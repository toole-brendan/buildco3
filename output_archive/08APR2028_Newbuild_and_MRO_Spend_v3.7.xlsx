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1">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1">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16" borderId="6" applyAlignment="1" pivotButton="0" quotePrefix="0" xfId="0">
      <alignment vertical="center"/>
    </xf>
    <xf numFmtId="0" fontId="35" fillId="16"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c r="A15" s="81" t="inlineStr">
        <is>
          <t>(B) FY2026 Total Funding by Vessel Category</t>
        </is>
      </c>
      <c r="B15" s="82" t="n"/>
      <c r="C15" s="82" t="n"/>
    </row>
    <row r="16" ht="10" customHeight="1">
      <c r="A16" s="83" t="inlineStr">
        <is>
          <t>Category</t>
        </is>
      </c>
      <c r="B16" s="83" t="inlineStr">
        <is>
          <t>FY2026 ($K)</t>
        </is>
      </c>
      <c r="C16" s="83" t="inlineStr">
        <is>
          <t>TAM Scope</t>
        </is>
      </c>
    </row>
    <row r="17" ht="10" customHeight="1">
      <c r="A17" s="84" t="inlineStr">
        <is>
          <t>Combatant Ships</t>
        </is>
      </c>
      <c r="B17"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7" s="80" t="inlineStr">
        <is>
          <t>YES → TAM</t>
        </is>
      </c>
    </row>
    <row r="18" ht="10" customHeight="1">
      <c r="A18" s="84" t="inlineStr">
        <is>
          <t>Auxiliary Ships</t>
        </is>
      </c>
      <c r="B18"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8" s="80" t="inlineStr">
        <is>
          <t>YES → TAM</t>
        </is>
      </c>
    </row>
    <row r="19" ht="10" customHeight="1">
      <c r="A19" s="84" t="inlineStr">
        <is>
          <t>Cutters</t>
        </is>
      </c>
      <c r="B19" s="85">
        <f>SUMIFS(JB_R,JB_V,"Cutters",JB_S,"",JB_R,"&lt;&gt;")+SUMIFS(JB_N,JB_V,"Cutters",JB_S,"",JB_R,"",JB_N,"&lt;&gt;")+SUMIFS(JB_L,JB_V,"Cutters",JB_S,"",JB_R,"",JB_N,"")+SUMIFS(JB_R,JB_V,"Cutters",JB_S,"[PARENT]",JB_R,"&lt;&gt;")+SUMIFS(JB_N,JB_V,"Cutters",JB_S,"[PARENT]",JB_R,"",JB_N,"&lt;&gt;")+SUMIFS(JB_L,JB_V,"Cutters",JB_S,"[PARENT]",JB_R,"",JB_N,"")</f>
        <v/>
      </c>
      <c r="C19" s="80" t="inlineStr">
        <is>
          <t>YES → TAM</t>
        </is>
      </c>
    </row>
    <row r="20" ht="10" customHeight="1">
      <c r="A20" s="84" t="inlineStr">
        <is>
          <t>Unmanned Maritime Platforms</t>
        </is>
      </c>
      <c r="B20"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0" s="80" t="inlineStr">
        <is>
          <t>YES → TAM</t>
        </is>
      </c>
    </row>
    <row r="21" ht="10" customHeight="1">
      <c r="A21" s="84" t="inlineStr">
        <is>
          <t>Combatant Crafts</t>
        </is>
      </c>
      <c r="B21"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1" s="80" t="inlineStr">
        <is>
          <t>No — small craft</t>
        </is>
      </c>
    </row>
    <row r="22" ht="10" customHeight="1">
      <c r="A22" s="84" t="inlineStr">
        <is>
          <t>Support Crafts</t>
        </is>
      </c>
      <c r="B22"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2" s="80" t="inlineStr">
        <is>
          <t>No — non-oceangoing</t>
        </is>
      </c>
    </row>
    <row r="23" ht="10" customHeight="1">
      <c r="A23" s="84" t="inlineStr">
        <is>
          <t>Boats</t>
        </is>
      </c>
      <c r="B23" s="85">
        <f>SUMIFS(JB_R,JB_V,"Boats",JB_S,"",JB_R,"&lt;&gt;")+SUMIFS(JB_N,JB_V,"Boats",JB_S,"",JB_R,"",JB_N,"&lt;&gt;")+SUMIFS(JB_L,JB_V,"Boats",JB_S,"",JB_R,"",JB_N,"")+SUMIFS(JB_R,JB_V,"Boats",JB_S,"[PARENT]",JB_R,"&lt;&gt;")+SUMIFS(JB_N,JB_V,"Boats",JB_S,"[PARENT]",JB_R,"",JB_N,"&lt;&gt;")+SUMIFS(JB_L,JB_V,"Boats",JB_S,"[PARENT]",JB_R,"",JB_N,"")</f>
        <v/>
      </c>
      <c r="C23" s="80" t="inlineStr">
        <is>
          <t>No — under 65 ft</t>
        </is>
      </c>
    </row>
    <row r="24" ht="10" customHeight="1">
      <c r="A24" s="84" t="inlineStr">
        <is>
          <t>Unattributed (fleet-wide)</t>
        </is>
      </c>
      <c r="B24" s="85">
        <f>SUMIFS(JB_R,JB_V,"",JB_S,"",JB_R,"&lt;&gt;")+SUMIFS(JB_N,JB_V,"",JB_S,"",JB_R,"",JB_N,"&lt;&gt;")+SUMIFS(JB_L,JB_V,"",JB_S,"",JB_R,"",JB_N,"")+SUMIFS(JB_R,JB_V,"",JB_S,"[PARENT]",JB_R,"&lt;&gt;")+SUMIFS(JB_N,JB_V,"",JB_S,"[PARENT]",JB_R,"",JB_N,"&lt;&gt;")+SUMIFS(JB_L,JB_V,"",JB_S,"[PARENT]",JB_R,"",JB_N,"")</f>
        <v/>
      </c>
      <c r="C24" s="80" t="inlineStr">
        <is>
          <t>No — not vessel-specific</t>
        </is>
      </c>
    </row>
    <row r="25" ht="10" customHeight="1">
      <c r="A25" s="86" t="inlineStr">
        <is>
          <t>Total</t>
        </is>
      </c>
      <c r="B25" s="87">
        <f>SUM(B17:B24)</f>
        <v/>
      </c>
      <c r="C25" s="88" t="n"/>
    </row>
    <row r="26" ht="10" customHeight="1">
      <c r="A26" s="89" t="inlineStr">
        <is>
          <t>TAM-eligible</t>
        </is>
      </c>
      <c r="B26" s="90">
        <f>B17+B18+B19+B20</f>
        <v/>
      </c>
    </row>
    <row r="27" ht="10" customHeight="1"/>
    <row r="28" ht="10" customHeight="1">
      <c r="A28" s="81" t="inlineStr">
        <is>
          <t>(C) FY2026 Total Funding by Source Book</t>
        </is>
      </c>
      <c r="B28" s="82" t="n"/>
    </row>
    <row r="29" ht="10" customHeight="1">
      <c r="A29" s="83" t="inlineStr">
        <is>
          <t>Source Book</t>
        </is>
      </c>
      <c r="B29" s="83" t="inlineStr">
        <is>
          <t>FY2026 ($K)</t>
        </is>
      </c>
    </row>
    <row r="30" ht="10" customHeight="1">
      <c r="A30" s="84" t="inlineStr">
        <is>
          <t>NWCF</t>
        </is>
      </c>
      <c r="B30" s="85">
        <f>SUMIFS(JB_R,JB_A,"NWCF",JB_S,"",JB_R,"&lt;&gt;")+SUMIFS(JB_N,JB_A,"NWCF",JB_S,"",JB_R,"",JB_N,"&lt;&gt;")+SUMIFS(JB_L,JB_A,"NWCF",JB_S,"",JB_R,"",JB_N,"")+SUMIFS(JB_R,JB_A,"NWCF",JB_S,"[PARENT]",JB_R,"&lt;&gt;")+SUMIFS(JB_N,JB_A,"NWCF",JB_S,"[PARENT]",JB_R,"",JB_N,"&lt;&gt;")+SUMIFS(JB_L,JB_A,"NWCF",JB_S,"[PARENT]",JB_R,"",JB_N,"")</f>
        <v/>
      </c>
    </row>
    <row r="31" ht="10" customHeight="1">
      <c r="A31" s="84" t="inlineStr">
        <is>
          <t>OMN_Vol2</t>
        </is>
      </c>
      <c r="B31" s="85">
        <f>SUMIFS(JB_R,JB_A,"OMN_Vol2",JB_S,"",JB_R,"&lt;&gt;")+SUMIFS(JB_N,JB_A,"OMN_Vol2",JB_S,"",JB_R,"",JB_N,"&lt;&gt;")+SUMIFS(JB_L,JB_A,"OMN_Vol2",JB_S,"",JB_R,"",JB_N,"")+SUMIFS(JB_R,JB_A,"OMN_Vol2",JB_S,"[PARENT]",JB_R,"&lt;&gt;")+SUMIFS(JB_N,JB_A,"OMN_Vol2",JB_S,"[PARENT]",JB_R,"",JB_N,"&lt;&gt;")+SUMIFS(JB_L,JB_A,"OMN_Vol2",JB_S,"[PARENT]",JB_R,"",JB_N,"")</f>
        <v/>
      </c>
    </row>
    <row r="32" ht="10" customHeight="1">
      <c r="A32" s="84" t="inlineStr">
        <is>
          <t>SCN</t>
        </is>
      </c>
      <c r="B32" s="85">
        <f>SUMIFS(JB_R,JB_A,"SCN",JB_S,"",JB_R,"&lt;&gt;")+SUMIFS(JB_N,JB_A,"SCN",JB_S,"",JB_R,"",JB_N,"&lt;&gt;")+SUMIFS(JB_L,JB_A,"SCN",JB_S,"",JB_R,"",JB_N,"")+SUMIFS(JB_R,JB_A,"SCN",JB_S,"[PARENT]",JB_R,"&lt;&gt;")+SUMIFS(JB_N,JB_A,"SCN",JB_S,"[PARENT]",JB_R,"",JB_N,"&lt;&gt;")+SUMIFS(JB_L,JB_A,"SCN",JB_S,"[PARENT]",JB_R,"",JB_N,"")</f>
        <v/>
      </c>
    </row>
    <row r="33" ht="10" customHeight="1">
      <c r="A33" s="84" t="inlineStr">
        <is>
          <t>OMN</t>
        </is>
      </c>
      <c r="B33" s="85">
        <f>SUMIFS(JB_R,JB_A,"OMN",JB_S,"",JB_R,"&lt;&gt;")+SUMIFS(JB_N,JB_A,"OMN",JB_S,"",JB_R,"",JB_N,"&lt;&gt;")+SUMIFS(JB_L,JB_A,"OMN",JB_S,"",JB_R,"",JB_N,"")+SUMIFS(JB_R,JB_A,"OMN",JB_S,"[PARENT]",JB_R,"&lt;&gt;")+SUMIFS(JB_N,JB_A,"OMN",JB_S,"[PARENT]",JB_R,"",JB_N,"&lt;&gt;")+SUMIFS(JB_L,JB_A,"OMN",JB_S,"[PARENT]",JB_R,"",JB_N,"")</f>
        <v/>
      </c>
    </row>
    <row r="34" ht="10" customHeight="1">
      <c r="A34" s="84" t="inlineStr">
        <is>
          <t>WPN</t>
        </is>
      </c>
      <c r="B34" s="85">
        <f>SUMIFS(JB_R,JB_A,"WPN",JB_S,"",JB_R,"&lt;&gt;")+SUMIFS(JB_N,JB_A,"WPN",JB_S,"",JB_R,"",JB_N,"&lt;&gt;")+SUMIFS(JB_L,JB_A,"WPN",JB_S,"",JB_R,"",JB_N,"")+SUMIFS(JB_R,JB_A,"WPN",JB_S,"[PARENT]",JB_R,"&lt;&gt;")+SUMIFS(JB_N,JB_A,"WPN",JB_S,"[PARENT]",JB_R,"",JB_N,"&lt;&gt;")+SUMIFS(JB_L,JB_A,"WPN",JB_S,"[PARENT]",JB_R,"",JB_N,"")</f>
        <v/>
      </c>
    </row>
    <row r="35" ht="10" customHeight="1">
      <c r="A35" s="84" t="inlineStr">
        <is>
          <t>OPN_BA1</t>
        </is>
      </c>
      <c r="B35" s="85">
        <f>SUMIFS(JB_R,JB_A,"OPN_BA1",JB_S,"",JB_R,"&lt;&gt;")+SUMIFS(JB_N,JB_A,"OPN_BA1",JB_S,"",JB_R,"",JB_N,"&lt;&gt;")+SUMIFS(JB_L,JB_A,"OPN_BA1",JB_S,"",JB_R,"",JB_N,"")+SUMIFS(JB_R,JB_A,"OPN_BA1",JB_S,"[PARENT]",JB_R,"&lt;&gt;")+SUMIFS(JB_N,JB_A,"OPN_BA1",JB_S,"[PARENT]",JB_R,"",JB_N,"&lt;&gt;")+SUMIFS(JB_L,JB_A,"OPN_BA1",JB_S,"[PARENT]",JB_R,"",JB_N,"")</f>
        <v/>
      </c>
    </row>
    <row r="36" ht="10" customHeight="1">
      <c r="A36" s="84" t="inlineStr">
        <is>
          <t>OPN_BA2</t>
        </is>
      </c>
      <c r="B36" s="85">
        <f>SUMIFS(JB_R,JB_A,"OPN_BA2",JB_S,"",JB_R,"&lt;&gt;")+SUMIFS(JB_N,JB_A,"OPN_BA2",JB_S,"",JB_R,"",JB_N,"&lt;&gt;")+SUMIFS(JB_L,JB_A,"OPN_BA2",JB_S,"",JB_R,"",JB_N,"")+SUMIFS(JB_R,JB_A,"OPN_BA2",JB_S,"[PARENT]",JB_R,"&lt;&gt;")+SUMIFS(JB_N,JB_A,"OPN_BA2",JB_S,"[PARENT]",JB_R,"",JB_N,"&lt;&gt;")+SUMIFS(JB_L,JB_A,"OPN_BA2",JB_S,"[PARENT]",JB_R,"",JB_N,"")</f>
        <v/>
      </c>
    </row>
    <row r="37" ht="10" customHeight="1">
      <c r="A37" s="84" t="inlineStr">
        <is>
          <t>OPN_BA5-8</t>
        </is>
      </c>
      <c r="B37" s="85">
        <f>SUMIFS(JB_R,JB_A,"OPN_BA5-8",JB_S,"",JB_R,"&lt;&gt;")+SUMIFS(JB_N,JB_A,"OPN_BA5-8",JB_S,"",JB_R,"",JB_N,"&lt;&gt;")+SUMIFS(JB_L,JB_A,"OPN_BA5-8",JB_S,"",JB_R,"",JB_N,"")+SUMIFS(JB_R,JB_A,"OPN_BA5-8",JB_S,"[PARENT]",JB_R,"&lt;&gt;")+SUMIFS(JB_N,JB_A,"OPN_BA5-8",JB_S,"[PARENT]",JB_R,"",JB_N,"&lt;&gt;")+SUMIFS(JB_L,JB_A,"OPN_BA5-8",JB_S,"[PARENT]",JB_R,"",JB_N,"")</f>
        <v/>
      </c>
    </row>
    <row r="38" ht="10" customHeight="1">
      <c r="A38" s="84" t="inlineStr">
        <is>
          <t>OPN_BA4</t>
        </is>
      </c>
      <c r="B38" s="85">
        <f>SUMIFS(JB_R,JB_A,"OPN_BA4",JB_S,"",JB_R,"&lt;&gt;")+SUMIFS(JB_N,JB_A,"OPN_BA4",JB_S,"",JB_R,"",JB_N,"&lt;&gt;")+SUMIFS(JB_L,JB_A,"OPN_BA4",JB_S,"",JB_R,"",JB_N,"")+SUMIFS(JB_R,JB_A,"OPN_BA4",JB_S,"[PARENT]",JB_R,"&lt;&gt;")+SUMIFS(JB_N,JB_A,"OPN_BA4",JB_S,"[PARENT]",JB_R,"",JB_N,"&lt;&gt;")+SUMIFS(JB_L,JB_A,"OPN_BA4",JB_S,"[PARENT]",JB_R,"",JB_N,"")</f>
        <v/>
      </c>
    </row>
    <row r="39" ht="10" customHeight="1">
      <c r="A39" s="84" t="inlineStr">
        <is>
          <t>USCG</t>
        </is>
      </c>
      <c r="B39" s="85">
        <f>SUMIFS(JB_R,JB_A,"USCG",JB_S,"",JB_R,"&lt;&gt;")+SUMIFS(JB_N,JB_A,"USCG",JB_S,"",JB_R,"",JB_N,"&lt;&gt;")+SUMIFS(JB_L,JB_A,"USCG",JB_S,"",JB_R,"",JB_N,"")+SUMIFS(JB_R,JB_A,"USCG",JB_S,"[PARENT]",JB_R,"&lt;&gt;")+SUMIFS(JB_N,JB_A,"USCG",JB_S,"[PARENT]",JB_R,"",JB_N,"&lt;&gt;")+SUMIFS(JB_L,JB_A,"USCG",JB_S,"[PARENT]",JB_R,"",JB_N,"")</f>
        <v/>
      </c>
    </row>
    <row r="40" ht="10" customHeight="1">
      <c r="A40" s="84" t="inlineStr">
        <is>
          <t>OPN_BA3</t>
        </is>
      </c>
      <c r="B40" s="85">
        <f>SUMIFS(JB_R,JB_A,"OPN_BA3",JB_S,"",JB_R,"&lt;&gt;")+SUMIFS(JB_N,JB_A,"OPN_BA3",JB_S,"",JB_R,"",JB_N,"&lt;&gt;")+SUMIFS(JB_L,JB_A,"OPN_BA3",JB_S,"",JB_R,"",JB_N,"")+SUMIFS(JB_R,JB_A,"OPN_BA3",JB_S,"[PARENT]",JB_R,"&lt;&gt;")+SUMIFS(JB_N,JB_A,"OPN_BA3",JB_S,"[PARENT]",JB_R,"",JB_N,"&lt;&gt;")+SUMIFS(JB_L,JB_A,"OPN_BA3",JB_S,"[PARENT]",JB_R,"",JB_N,"")</f>
        <v/>
      </c>
    </row>
    <row r="41" ht="10" customHeight="1">
      <c r="A41" s="86" t="inlineStr">
        <is>
          <t>Total</t>
        </is>
      </c>
      <c r="B41" s="87">
        <f>SUM(B30:B40)</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49"/>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c r="A11" s="81" t="inlineStr">
        <is>
          <t>(B) Newbuild TAM by Vessel Type</t>
        </is>
      </c>
      <c r="B11" s="82" t="n"/>
      <c r="C11" s="82" t="n"/>
      <c r="D11" s="82" t="n"/>
    </row>
    <row r="12" ht="10" customHeight="1">
      <c r="A12" s="83" t="inlineStr">
        <is>
          <t>Vessel Type</t>
        </is>
      </c>
      <c r="B12" s="83" t="inlineStr">
        <is>
          <t>Service</t>
        </is>
      </c>
      <c r="C12" s="83" t="inlineStr">
        <is>
          <t>FY2026 ($K)</t>
        </is>
      </c>
      <c r="D12" s="83" t="inlineStr">
        <is>
          <t>% of TAM</t>
        </is>
      </c>
    </row>
    <row r="13" ht="10" customHeight="1">
      <c r="A13" s="84" t="inlineStr">
        <is>
          <t>Submarines</t>
        </is>
      </c>
      <c r="B13" s="84" t="inlineStr">
        <is>
          <t>USN</t>
        </is>
      </c>
      <c r="C13"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3" s="91">
        <f>IFERROR(C13/C$41,0)</f>
        <v/>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IFERROR(C14/C$41,0)</f>
        <v/>
      </c>
    </row>
    <row r="15" ht="10" customHeight="1">
      <c r="A15" s="84" t="inlineStr">
        <is>
          <t>Aircraft Carriers</t>
        </is>
      </c>
      <c r="B15" s="84" t="inlineStr">
        <is>
          <t>USN</t>
        </is>
      </c>
      <c r="C15"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5" s="91">
        <f>IFERROR(C15/C$41,0)</f>
        <v/>
      </c>
    </row>
    <row r="16" ht="10" customHeight="1">
      <c r="A16" s="84" t="inlineStr">
        <is>
          <t>Expeditionary &amp; Seabasing Ships</t>
        </is>
      </c>
      <c r="B16" s="84" t="inlineStr">
        <is>
          <t>USN</t>
        </is>
      </c>
      <c r="C16"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6" s="91">
        <f>IFERROR(C16/C$41,0)</f>
        <v/>
      </c>
    </row>
    <row r="17" ht="10" customHeight="1">
      <c r="A17" s="84" t="inlineStr">
        <is>
          <t>Combat Logistics Ships</t>
        </is>
      </c>
      <c r="B17" s="84" t="inlineStr">
        <is>
          <t>MSC</t>
        </is>
      </c>
      <c r="C17"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7" s="91">
        <f>IFERROR(C17/C$41,0)</f>
        <v/>
      </c>
    </row>
    <row r="18" ht="10" customHeight="1">
      <c r="A18" s="84" t="inlineStr">
        <is>
          <t>Amphibious Warfare Ships</t>
        </is>
      </c>
      <c r="B18" s="84" t="inlineStr">
        <is>
          <t>USN</t>
        </is>
      </c>
      <c r="C18"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8" s="91">
        <f>IFERROR(C18/C$41,0)</f>
        <v/>
      </c>
    </row>
    <row r="19" ht="10" customHeight="1">
      <c r="A19" s="84" t="inlineStr">
        <is>
          <t>Unmanned Surface Vehicles</t>
        </is>
      </c>
      <c r="B19" s="84" t="inlineStr">
        <is>
          <t>USN</t>
        </is>
      </c>
      <c r="C19"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9" s="91">
        <f>IFERROR(C19/C$41,0)</f>
        <v/>
      </c>
    </row>
    <row r="20" ht="10" customHeight="1">
      <c r="A20" s="84" t="inlineStr">
        <is>
          <t>Cargo &amp; Vehicle Cargo Ships</t>
        </is>
      </c>
      <c r="B20" s="84" t="inlineStr">
        <is>
          <t>USN</t>
        </is>
      </c>
      <c r="C20"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0" s="91">
        <f>IFERROR(C20/C$41,0)</f>
        <v/>
      </c>
    </row>
    <row r="21" ht="10" customHeight="1">
      <c r="A21" s="84" t="inlineStr">
        <is>
          <t>Surveillance Ships</t>
        </is>
      </c>
      <c r="B21" s="84" t="inlineStr">
        <is>
          <t>USN</t>
        </is>
      </c>
      <c r="C21"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1" s="91">
        <f>IFERROR(C21/C$41,0)</f>
        <v/>
      </c>
    </row>
    <row r="22" ht="10" customHeight="1">
      <c r="A22" s="84" t="inlineStr">
        <is>
          <t>Unmanned Undersea Vehicles</t>
        </is>
      </c>
      <c r="B22" s="84" t="inlineStr">
        <is>
          <t>USN</t>
        </is>
      </c>
      <c r="C22"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2" s="91">
        <f>IFERROR(C22/C$41,0)</f>
        <v/>
      </c>
    </row>
    <row r="23" ht="10" customHeight="1">
      <c r="A23" s="84" t="inlineStr">
        <is>
          <t>Salvage Ships &amp; Fleet Ocean Tugs</t>
        </is>
      </c>
      <c r="B23" s="84" t="inlineStr">
        <is>
          <t>MSC</t>
        </is>
      </c>
      <c r="C23"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3" s="91">
        <f>IFERROR(C23/C$41,0)</f>
        <v/>
      </c>
    </row>
    <row r="24" ht="10" customHeight="1">
      <c r="A24" s="84" t="inlineStr">
        <is>
          <t>Submarine Escort Ship</t>
        </is>
      </c>
      <c r="B24" s="84" t="inlineStr">
        <is>
          <t>USN</t>
        </is>
      </c>
      <c r="C24"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4" s="91">
        <f>IFERROR(C24/C$41,0)</f>
        <v/>
      </c>
    </row>
    <row r="25" ht="10" customHeight="1">
      <c r="A25" s="84" t="inlineStr">
        <is>
          <t>Material Support Ships</t>
        </is>
      </c>
      <c r="B25" s="84" t="inlineStr">
        <is>
          <t>USN</t>
        </is>
      </c>
      <c r="C25"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5" s="91">
        <f>IFERROR(C25/C$41,0)</f>
        <v/>
      </c>
    </row>
    <row r="26" ht="10" customHeight="1">
      <c r="A26" s="84" t="inlineStr">
        <is>
          <t>General Auxiliary</t>
        </is>
      </c>
      <c r="B26" s="84" t="inlineStr">
        <is>
          <t>USN</t>
        </is>
      </c>
      <c r="C26"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6" s="91">
        <f>IFERROR(C26/C$41,0)</f>
        <v/>
      </c>
    </row>
    <row r="27" ht="10" customHeight="1">
      <c r="A27" s="84" t="inlineStr">
        <is>
          <t>Hospital Ship</t>
        </is>
      </c>
      <c r="B27" s="84" t="inlineStr">
        <is>
          <t>MSC</t>
        </is>
      </c>
      <c r="C27"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7" s="91">
        <f>IFERROR(C27/C$41,0)</f>
        <v/>
      </c>
    </row>
    <row r="28" ht="10" customHeight="1">
      <c r="A28" s="84" t="inlineStr">
        <is>
          <t>Command Ships</t>
        </is>
      </c>
      <c r="B28" s="84" t="inlineStr">
        <is>
          <t>USN</t>
        </is>
      </c>
      <c r="C28"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8" s="91">
        <f>IFERROR(C28/C$41,0)</f>
        <v/>
      </c>
    </row>
    <row r="29" ht="10" customHeight="1">
      <c r="A29" s="84" t="inlineStr">
        <is>
          <t>Crane Ship</t>
        </is>
      </c>
      <c r="B29" s="84" t="inlineStr">
        <is>
          <t>USN</t>
        </is>
      </c>
      <c r="C29"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9" s="91">
        <f>IFERROR(C29/C$41,0)</f>
        <v/>
      </c>
    </row>
    <row r="30" ht="10" customHeight="1">
      <c r="A30" s="84" t="inlineStr">
        <is>
          <t>Research, Survey &amp; Instrumentation Ships</t>
        </is>
      </c>
      <c r="B30" s="84" t="inlineStr">
        <is>
          <t>MSC</t>
        </is>
      </c>
      <c r="C30"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30" s="91">
        <f>IFERROR(C30/C$41,0)</f>
        <v/>
      </c>
    </row>
    <row r="31" ht="10" customHeight="1">
      <c r="A31" s="84" t="inlineStr">
        <is>
          <t>High Speed Transport</t>
        </is>
      </c>
      <c r="B31" s="84" t="inlineStr">
        <is>
          <t>USN</t>
        </is>
      </c>
      <c r="C31"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1" s="91">
        <f>IFERROR(C31/C$41,0)</f>
        <v/>
      </c>
    </row>
    <row r="32" ht="10" customHeight="1">
      <c r="A32" s="84" t="inlineStr">
        <is>
          <t>Mine Warfare</t>
        </is>
      </c>
      <c r="B32" s="84" t="inlineStr">
        <is>
          <t>USN</t>
        </is>
      </c>
      <c r="C32"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2" s="91">
        <f>IFERROR(C32/C$41,0)</f>
        <v/>
      </c>
    </row>
    <row r="33" ht="10" customHeight="1">
      <c r="A33" s="84" t="inlineStr">
        <is>
          <t>Aviation Logistics Support Ship</t>
        </is>
      </c>
      <c r="B33" s="84" t="inlineStr">
        <is>
          <t>USN</t>
        </is>
      </c>
      <c r="C33"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3" s="91">
        <f>IFERROR(C33/C$41,0)</f>
        <v/>
      </c>
    </row>
    <row r="34" ht="10" customHeight="1">
      <c r="A34" s="84" t="inlineStr">
        <is>
          <t>Offshore Patrol Cutter</t>
        </is>
      </c>
      <c r="B34" s="84" t="inlineStr">
        <is>
          <t>USCG</t>
        </is>
      </c>
      <c r="C34"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4" s="91">
        <f>IFERROR(C34/C$41,0)</f>
        <v/>
      </c>
    </row>
    <row r="35" ht="10" customHeight="1">
      <c r="A35" s="84" t="inlineStr">
        <is>
          <t>Fast Response Cutters</t>
        </is>
      </c>
      <c r="B35" s="84" t="inlineStr">
        <is>
          <t>USCG</t>
        </is>
      </c>
      <c r="C35"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5" s="91">
        <f>IFERROR(C35/C$41,0)</f>
        <v/>
      </c>
    </row>
    <row r="36" ht="10" customHeight="1">
      <c r="A36" s="84" t="inlineStr">
        <is>
          <t>Icebreakers, Oceangoing</t>
        </is>
      </c>
      <c r="B36" s="84" t="inlineStr">
        <is>
          <t>USCG</t>
        </is>
      </c>
      <c r="C36"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6" s="91">
        <f>IFERROR(C36/C$41,0)</f>
        <v/>
      </c>
    </row>
    <row r="37" ht="10" customHeight="1">
      <c r="A37" s="84" t="inlineStr">
        <is>
          <t>Waterways Commerce Cutters</t>
        </is>
      </c>
      <c r="B37" s="84" t="inlineStr">
        <is>
          <t>USCG</t>
        </is>
      </c>
      <c r="C37"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7" s="91">
        <f>IFERROR(C37/C$41,0)</f>
        <v/>
      </c>
    </row>
    <row r="38" ht="10" customHeight="1">
      <c r="A38" s="84" t="inlineStr">
        <is>
          <t>National Security Cutters</t>
        </is>
      </c>
      <c r="B38" s="84" t="inlineStr">
        <is>
          <t>USCG</t>
        </is>
      </c>
      <c r="C38"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8" s="91">
        <f>IFERROR(C38/C$41,0)</f>
        <v/>
      </c>
    </row>
    <row r="39" ht="10" customHeight="1">
      <c r="A39" s="84" t="inlineStr">
        <is>
          <t>Icebreakers, Great Lakes</t>
        </is>
      </c>
      <c r="B39" s="84" t="inlineStr">
        <is>
          <t>USCG</t>
        </is>
      </c>
      <c r="C39"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9" s="91">
        <f>IFERROR(C39/C$41,0)</f>
        <v/>
      </c>
    </row>
    <row r="40" ht="10" customHeight="1">
      <c r="A40" s="84" t="inlineStr">
        <is>
          <t>Coastal Buoy Tenders</t>
        </is>
      </c>
      <c r="B40" s="84" t="inlineStr">
        <is>
          <t>USCG</t>
        </is>
      </c>
      <c r="C40"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0" s="91">
        <f>IFERROR(C40/C$41,0)</f>
        <v/>
      </c>
    </row>
    <row r="41" ht="10" customHeight="1">
      <c r="A41" s="86" t="inlineStr">
        <is>
          <t>Newbuild TAM</t>
        </is>
      </c>
      <c r="B41" s="86" t="inlineStr"/>
      <c r="C41" s="87">
        <f>SUM(C13:C40)</f>
        <v/>
      </c>
      <c r="D41" s="92"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c r="O43" s="82" t="n"/>
      <c r="P43" s="82" t="n"/>
      <c r="Q43" s="82" t="n"/>
    </row>
    <row r="44" ht="10" customHeight="1">
      <c r="A44" s="93" t="n"/>
      <c r="B44" s="94" t="inlineStr">
        <is>
          <t>USN</t>
        </is>
      </c>
      <c r="C44" s="93" t="n"/>
      <c r="D44" s="93" t="n"/>
      <c r="E44" s="93" t="n"/>
      <c r="F44" s="93" t="n"/>
      <c r="G44" s="93" t="n"/>
      <c r="H44" s="93" t="n"/>
      <c r="I44" s="93" t="n"/>
      <c r="J44" s="93" t="n"/>
      <c r="K44" s="93" t="n"/>
      <c r="L44" s="93" t="n"/>
      <c r="M44" s="94" t="inlineStr">
        <is>
          <t>USCG</t>
        </is>
      </c>
      <c r="N44" s="93" t="n"/>
      <c r="O44" s="93" t="n"/>
      <c r="P44" s="93" t="n"/>
      <c r="Q44" s="95" t="n"/>
    </row>
    <row r="45" ht="10" customHeight="1">
      <c r="A45" s="96" t="inlineStr">
        <is>
          <t>Sub-Category</t>
        </is>
      </c>
      <c r="B45" s="97" t="inlineStr">
        <is>
          <t>Submarines</t>
        </is>
      </c>
      <c r="C45" s="96" t="inlineStr">
        <is>
          <t>Surface Combatants</t>
        </is>
      </c>
      <c r="D45" s="96" t="inlineStr">
        <is>
          <t>Aircraft Carriers</t>
        </is>
      </c>
      <c r="E45" s="96" t="inlineStr">
        <is>
          <t>Expeditionary &amp; Seabasing Ships</t>
        </is>
      </c>
      <c r="F45" s="96" t="inlineStr">
        <is>
          <t>Combat Logistics Ships</t>
        </is>
      </c>
      <c r="G45" s="96" t="inlineStr">
        <is>
          <t>Amphibious Warfare Ships</t>
        </is>
      </c>
      <c r="H45" s="96" t="inlineStr">
        <is>
          <t>Unmanned Surface Vehicles</t>
        </is>
      </c>
      <c r="I45" s="96" t="inlineStr">
        <is>
          <t>Cargo &amp; Vehicle Cargo Ships</t>
        </is>
      </c>
      <c r="J45" s="96" t="inlineStr">
        <is>
          <t>Surveillance Ships</t>
        </is>
      </c>
      <c r="K45" s="96" t="inlineStr">
        <is>
          <t>Unmanned Undersea Vehicles</t>
        </is>
      </c>
      <c r="L45" s="96" t="inlineStr">
        <is>
          <t>Salvage Ships &amp; Fleet Ocean Tugs</t>
        </is>
      </c>
      <c r="M45" s="97" t="inlineStr">
        <is>
          <t>Offshore Patrol Cutter</t>
        </is>
      </c>
      <c r="N45" s="96" t="inlineStr">
        <is>
          <t>Fast Response Cutters</t>
        </is>
      </c>
      <c r="O45" s="96" t="inlineStr">
        <is>
          <t>Icebreakers, Oceangoing</t>
        </is>
      </c>
      <c r="P45" s="96" t="inlineStr">
        <is>
          <t>Waterways Commerce Cutters</t>
        </is>
      </c>
      <c r="Q45" s="97" t="inlineStr">
        <is>
          <t>Total</t>
        </is>
      </c>
    </row>
    <row r="46" ht="10" customHeight="1">
      <c r="A46" s="84" t="inlineStr">
        <is>
          <t>Full Ship DD&amp;C</t>
        </is>
      </c>
      <c r="B46" s="98">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procurement",JB_S,"[PARENT]",JB_R,"",JB_N,""))/B$49,0)</f>
        <v/>
      </c>
      <c r="C46"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procurement",JB_S,"[PARENT]",JB_R,"",JB_N,""))/C$49,0)</f>
        <v/>
      </c>
      <c r="D46"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procurement",JB_S,"[PARENT]",JB_R,"",JB_N,""))/D$49,0)</f>
        <v/>
      </c>
      <c r="E46"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procurement",JB_S,"[PARENT]",JB_R,"",JB_N,""))/E$49,0)</f>
        <v/>
      </c>
      <c r="F46"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procurement",JB_S,"[PARENT]",JB_R,"",JB_N,""))/F$49,0)</f>
        <v/>
      </c>
      <c r="G46"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procurement",JB_S,"[PARENT]",JB_R,"",JB_N,""))/G$49,0)</f>
        <v/>
      </c>
      <c r="H46"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procurement",JB_S,"[PARENT]",JB_R,"",JB_N,""))/H$49,0)</f>
        <v/>
      </c>
      <c r="I46"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procurement",JB_S,"[PARENT]",JB_R,"",JB_N,""))/I$49,0)</f>
        <v/>
      </c>
      <c r="J46"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procurement",JB_S,"[PARENT]",JB_R,"",JB_N,""))/J$49,0)</f>
        <v/>
      </c>
      <c r="K46"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procurement",JB_S,"[PARENT]",JB_R,"",JB_N,""))/K$49,0)</f>
        <v/>
      </c>
      <c r="L46"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procurement",JB_S,"[PARENT]",JB_R,"",JB_N,""))/L$49,0)</f>
        <v/>
      </c>
      <c r="M46" s="9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procurement",JB_S,"[PARENT]",JB_R,"",JB_N,""))/M$49,0)</f>
        <v/>
      </c>
      <c r="N46"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procurement",JB_S,"[PARENT]",JB_R,"",JB_N,""))/N$49,0)</f>
        <v/>
      </c>
      <c r="O46"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procurement",JB_S,"[PARENT]",JB_R,"",JB_N,""))/O$49,0)</f>
        <v/>
      </c>
      <c r="P46"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procurement",JB_S,"[PARENT]",JB_R,"",JB_N,""))/P$49,0)</f>
        <v/>
      </c>
      <c r="Q46" s="98">
        <f>IFERROR(1-Q47,0)</f>
        <v/>
      </c>
    </row>
    <row r="47" ht="10" customHeight="1">
      <c r="A47" s="84" t="inlineStr">
        <is>
          <t>Advance Procurement / LLTM</t>
        </is>
      </c>
      <c r="B47" s="98">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LLTM",JB_S,"[PARENT]",JB_R,"",JB_N,""))/B$49,0)</f>
        <v/>
      </c>
      <c r="C47"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LLTM",JB_S,"[PARENT]",JB_R,"",JB_N,""))/C$49,0)</f>
        <v/>
      </c>
      <c r="D47"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LLTM",JB_S,"[PARENT]",JB_R,"",JB_N,""))/D$49,0)</f>
        <v/>
      </c>
      <c r="E47"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LLTM",JB_S,"[PARENT]",JB_R,"",JB_N,""))/E$49,0)</f>
        <v/>
      </c>
      <c r="F47"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LLTM",JB_S,"[PARENT]",JB_R,"",JB_N,""))/F$49,0)</f>
        <v/>
      </c>
      <c r="G47"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LLTM",JB_S,"[PARENT]",JB_R,"",JB_N,""))/G$49,0)</f>
        <v/>
      </c>
      <c r="H47"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LLTM",JB_S,"[PARENT]",JB_R,"",JB_N,""))/H$49,0)</f>
        <v/>
      </c>
      <c r="I47"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LLTM",JB_S,"[PARENT]",JB_R,"",JB_N,""))/I$49,0)</f>
        <v/>
      </c>
      <c r="J47"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LLTM",JB_S,"[PARENT]",JB_R,"",JB_N,""))/J$49,0)</f>
        <v/>
      </c>
      <c r="K47"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LLTM",JB_S,"[PARENT]",JB_R,"",JB_N,""))/K$49,0)</f>
        <v/>
      </c>
      <c r="L47"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LLTM",JB_S,"[PARENT]",JB_R,"",JB_N,""))/L$49,0)</f>
        <v/>
      </c>
      <c r="M47" s="9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LLTM",JB_S,"[PARENT]",JB_R,"",JB_N,""))/M$49,0)</f>
        <v/>
      </c>
      <c r="N47"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LLTM",JB_S,"[PARENT]",JB_R,"",JB_N,""))/N$49,0)</f>
        <v/>
      </c>
      <c r="O47"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LLTM",JB_S,"[PARENT]",JB_R,"",JB_N,""))/O$49,0)</f>
        <v/>
      </c>
      <c r="P47"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LLTM",JB_S,"[PARENT]",JB_R,"",JB_N,""))/P$49,0)</f>
        <v/>
      </c>
      <c r="Q47" s="9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LLTM",JB_S,"[PARENT]",JB_R,"",JB_N,""))/Q$49,0)</f>
        <v/>
      </c>
    </row>
    <row r="48" ht="10" customHeight="1">
      <c r="A48" s="84" t="inlineStr">
        <is>
          <t>Other NC Sub-Categories</t>
        </is>
      </c>
      <c r="B48" s="98">
        <f>IFERROR(1-B46-B47,0)</f>
        <v/>
      </c>
      <c r="C48" s="91">
        <f>IFERROR(1-C46-C47,0)</f>
        <v/>
      </c>
      <c r="D48" s="91">
        <f>IFERROR(1-D46-D47,0)</f>
        <v/>
      </c>
      <c r="E48" s="91">
        <f>IFERROR(1-E46-E47,0)</f>
        <v/>
      </c>
      <c r="F48" s="91">
        <f>IFERROR(1-F46-F47,0)</f>
        <v/>
      </c>
      <c r="G48" s="91">
        <f>IFERROR(1-G46-G47,0)</f>
        <v/>
      </c>
      <c r="H48" s="91">
        <f>IFERROR(1-H46-H47,0)</f>
        <v/>
      </c>
      <c r="I48" s="91">
        <f>IFERROR(1-I46-I47,0)</f>
        <v/>
      </c>
      <c r="J48" s="91">
        <f>IFERROR(1-J46-J47,0)</f>
        <v/>
      </c>
      <c r="K48" s="91">
        <f>IFERROR(1-K46-K47,0)</f>
        <v/>
      </c>
      <c r="L48" s="91">
        <f>IFERROR(1-L46-L47,0)</f>
        <v/>
      </c>
      <c r="M48" s="98">
        <f>IFERROR(1-M46-M47,0)</f>
        <v/>
      </c>
      <c r="N48" s="91">
        <f>IFERROR(1-N46-N47,0)</f>
        <v/>
      </c>
      <c r="O48" s="91">
        <f>IFERROR(1-O46-O47,0)</f>
        <v/>
      </c>
      <c r="P48" s="91">
        <f>IFERROR(1-P46-P47,0)</f>
        <v/>
      </c>
      <c r="Q48" s="98">
        <f>IFERROR(1-Q46-Q47,0)</f>
        <v/>
      </c>
    </row>
    <row r="49" ht="10" customHeight="1">
      <c r="A49" s="86" t="inlineStr">
        <is>
          <t>Total ($K)</t>
        </is>
      </c>
      <c r="B49" s="99">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49"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49"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49"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49"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49"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49"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49"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49"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49"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49"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49" s="9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49"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49"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49"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49" s="99">
        <f>SUM(B49:P49)</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c r="A11" s="81" t="inlineStr">
        <is>
          <t>(B) Newbuild SAM by Vessel Type</t>
        </is>
      </c>
      <c r="B11" s="82" t="n"/>
      <c r="C11" s="82" t="n"/>
      <c r="D11" s="82" t="n"/>
    </row>
    <row r="12" ht="10" customHeight="1">
      <c r="A12" s="83" t="inlineStr">
        <is>
          <t>Vessel Type</t>
        </is>
      </c>
      <c r="B12" s="83" t="inlineStr">
        <is>
          <t>Service</t>
        </is>
      </c>
      <c r="C12" s="83" t="inlineStr">
        <is>
          <t>FY2026 ($K)</t>
        </is>
      </c>
      <c r="D12" s="83" t="inlineStr">
        <is>
          <t>% of SAM</t>
        </is>
      </c>
    </row>
    <row r="13" ht="10" customHeight="1">
      <c r="A13" s="84" t="inlineStr">
        <is>
          <t>Surface Combatants</t>
        </is>
      </c>
      <c r="B13" s="84" t="inlineStr">
        <is>
          <t>USN</t>
        </is>
      </c>
      <c r="C13"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3" s="91">
        <f>IFERROR(C13/C$38,0)</f>
        <v/>
      </c>
    </row>
    <row r="14" ht="10" customHeight="1">
      <c r="A14" s="84" t="inlineStr">
        <is>
          <t>Expeditionary &amp; Seabasing Ships</t>
        </is>
      </c>
      <c r="B14" s="84" t="inlineStr">
        <is>
          <t>USN</t>
        </is>
      </c>
      <c r="C14"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4" s="91">
        <f>IFERROR(C14/C$38,0)</f>
        <v/>
      </c>
    </row>
    <row r="15" ht="10" customHeight="1">
      <c r="A15" s="84" t="inlineStr">
        <is>
          <t>Combat Logistics Ships</t>
        </is>
      </c>
      <c r="B15" s="84" t="inlineStr">
        <is>
          <t>MSC</t>
        </is>
      </c>
      <c r="C15"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5" s="91">
        <f>IFERROR(C15/C$38,0)</f>
        <v/>
      </c>
    </row>
    <row r="16" ht="10" customHeight="1">
      <c r="A16" s="84" t="inlineStr">
        <is>
          <t>Amphibious Warfare Ships</t>
        </is>
      </c>
      <c r="B16" s="84" t="inlineStr">
        <is>
          <t>USN</t>
        </is>
      </c>
      <c r="C16"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6" s="91">
        <f>IFERROR(C16/C$38,0)</f>
        <v/>
      </c>
    </row>
    <row r="17" ht="10" customHeight="1">
      <c r="A17" s="84" t="inlineStr">
        <is>
          <t>Unmanned Surface Vehicles</t>
        </is>
      </c>
      <c r="B17" s="84" t="inlineStr">
        <is>
          <t>USN</t>
        </is>
      </c>
      <c r="C17"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7" s="91">
        <f>IFERROR(C17/C$38,0)</f>
        <v/>
      </c>
    </row>
    <row r="18" ht="10" customHeight="1">
      <c r="A18" s="84" t="inlineStr">
        <is>
          <t>Cargo &amp; Vehicle Cargo Ships</t>
        </is>
      </c>
      <c r="B18" s="84" t="inlineStr">
        <is>
          <t>USN</t>
        </is>
      </c>
      <c r="C18"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8" s="91">
        <f>IFERROR(C18/C$38,0)</f>
        <v/>
      </c>
    </row>
    <row r="19" ht="10" customHeight="1">
      <c r="A19" s="84" t="inlineStr">
        <is>
          <t>Surveillance Ships</t>
        </is>
      </c>
      <c r="B19" s="84" t="inlineStr">
        <is>
          <t>USN</t>
        </is>
      </c>
      <c r="C19"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19" s="91">
        <f>IFERROR(C19/C$38,0)</f>
        <v/>
      </c>
    </row>
    <row r="20" ht="10" customHeight="1">
      <c r="A20" s="84" t="inlineStr">
        <is>
          <t>Salvage Ships &amp; Fleet Ocean Tugs</t>
        </is>
      </c>
      <c r="B20" s="84" t="inlineStr">
        <is>
          <t>MSC</t>
        </is>
      </c>
      <c r="C20"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0" s="91">
        <f>IFERROR(C20/C$38,0)</f>
        <v/>
      </c>
    </row>
    <row r="21" ht="10" customHeight="1">
      <c r="A21" s="84" t="inlineStr">
        <is>
          <t>Crane Ship</t>
        </is>
      </c>
      <c r="B21" s="84" t="inlineStr">
        <is>
          <t>USN</t>
        </is>
      </c>
      <c r="C21"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1" s="91">
        <f>IFERROR(C21/C$38,0)</f>
        <v/>
      </c>
    </row>
    <row r="22" ht="10" customHeight="1">
      <c r="A22" s="84" t="inlineStr">
        <is>
          <t>Submarine Escort Ship</t>
        </is>
      </c>
      <c r="B22" s="84" t="inlineStr">
        <is>
          <t>USN</t>
        </is>
      </c>
      <c r="C22"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2" s="91">
        <f>IFERROR(C22/C$38,0)</f>
        <v/>
      </c>
    </row>
    <row r="23" ht="10" customHeight="1">
      <c r="A23" s="84" t="inlineStr">
        <is>
          <t>Research, Survey &amp; Instrumentation Ships</t>
        </is>
      </c>
      <c r="B23" s="84" t="inlineStr">
        <is>
          <t>MSC</t>
        </is>
      </c>
      <c r="C23"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3" s="91">
        <f>IFERROR(C23/C$38,0)</f>
        <v/>
      </c>
    </row>
    <row r="24" ht="10" customHeight="1">
      <c r="A24" s="84" t="inlineStr">
        <is>
          <t>Material Support Ships</t>
        </is>
      </c>
      <c r="B24" s="84" t="inlineStr">
        <is>
          <t>USN</t>
        </is>
      </c>
      <c r="C24"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4" s="91">
        <f>IFERROR(C24/C$38,0)</f>
        <v/>
      </c>
    </row>
    <row r="25" ht="10" customHeight="1">
      <c r="A25" s="84" t="inlineStr">
        <is>
          <t>High Speed Transport</t>
        </is>
      </c>
      <c r="B25" s="84" t="inlineStr">
        <is>
          <t>USN</t>
        </is>
      </c>
      <c r="C25"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5" s="91">
        <f>IFERROR(C25/C$38,0)</f>
        <v/>
      </c>
    </row>
    <row r="26" ht="10" customHeight="1">
      <c r="A26" s="84" t="inlineStr">
        <is>
          <t>General Auxiliary</t>
        </is>
      </c>
      <c r="B26" s="84" t="inlineStr">
        <is>
          <t>USN</t>
        </is>
      </c>
      <c r="C26"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6" s="91">
        <f>IFERROR(C26/C$38,0)</f>
        <v/>
      </c>
    </row>
    <row r="27" ht="10" customHeight="1">
      <c r="A27" s="84" t="inlineStr">
        <is>
          <t>Mine Warfare</t>
        </is>
      </c>
      <c r="B27" s="84" t="inlineStr">
        <is>
          <t>USN</t>
        </is>
      </c>
      <c r="C27"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7" s="91">
        <f>IFERROR(C27/C$38,0)</f>
        <v/>
      </c>
    </row>
    <row r="28" ht="10" customHeight="1">
      <c r="A28" s="84" t="inlineStr">
        <is>
          <t>Aviation Logistics Support Ship</t>
        </is>
      </c>
      <c r="B28" s="84" t="inlineStr">
        <is>
          <t>USN</t>
        </is>
      </c>
      <c r="C28"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8" s="91">
        <f>IFERROR(C28/C$38,0)</f>
        <v/>
      </c>
    </row>
    <row r="29" ht="10" customHeight="1">
      <c r="A29" s="84" t="inlineStr">
        <is>
          <t>Hospital Ship</t>
        </is>
      </c>
      <c r="B29" s="84" t="inlineStr">
        <is>
          <t>MSC</t>
        </is>
      </c>
      <c r="C29"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9" s="91">
        <f>IFERROR(C29/C$38,0)</f>
        <v/>
      </c>
    </row>
    <row r="30" ht="10" customHeight="1">
      <c r="A30" s="84" t="inlineStr">
        <is>
          <t>Command Ships</t>
        </is>
      </c>
      <c r="B30" s="84" t="inlineStr">
        <is>
          <t>USN</t>
        </is>
      </c>
      <c r="C30"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0" s="91">
        <f>IFERROR(C30/C$38,0)</f>
        <v/>
      </c>
    </row>
    <row r="31" ht="10" customHeight="1">
      <c r="A31" s="84" t="inlineStr">
        <is>
          <t>Offshore Patrol Cutter</t>
        </is>
      </c>
      <c r="B31" s="84" t="inlineStr">
        <is>
          <t>USCG</t>
        </is>
      </c>
      <c r="C31"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1" s="91">
        <f>IFERROR(C31/C$38,0)</f>
        <v/>
      </c>
    </row>
    <row r="32" ht="10" customHeight="1">
      <c r="A32" s="84" t="inlineStr">
        <is>
          <t>Fast Response Cutters</t>
        </is>
      </c>
      <c r="B32" s="84" t="inlineStr">
        <is>
          <t>USCG</t>
        </is>
      </c>
      <c r="C32"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2" s="91">
        <f>IFERROR(C32/C$38,0)</f>
        <v/>
      </c>
    </row>
    <row r="33" ht="10" customHeight="1">
      <c r="A33" s="84" t="inlineStr">
        <is>
          <t>Icebreakers, Oceangoing</t>
        </is>
      </c>
      <c r="B33" s="84" t="inlineStr">
        <is>
          <t>USCG</t>
        </is>
      </c>
      <c r="C33"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3" s="91">
        <f>IFERROR(C33/C$38,0)</f>
        <v/>
      </c>
    </row>
    <row r="34" ht="10" customHeight="1">
      <c r="A34" s="84" t="inlineStr">
        <is>
          <t>Waterways Commerce Cutters</t>
        </is>
      </c>
      <c r="B34" s="84" t="inlineStr">
        <is>
          <t>USCG</t>
        </is>
      </c>
      <c r="C34"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4" s="91">
        <f>IFERROR(C34/C$38,0)</f>
        <v/>
      </c>
    </row>
    <row r="35" ht="10" customHeight="1">
      <c r="A35" s="84" t="inlineStr">
        <is>
          <t>National Security Cutters</t>
        </is>
      </c>
      <c r="B35" s="84" t="inlineStr">
        <is>
          <t>USCG</t>
        </is>
      </c>
      <c r="C35"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5" s="91">
        <f>IFERROR(C35/C$38,0)</f>
        <v/>
      </c>
    </row>
    <row r="36" ht="10" customHeight="1">
      <c r="A36" s="84" t="inlineStr">
        <is>
          <t>Icebreakers, Great Lakes</t>
        </is>
      </c>
      <c r="B36" s="84" t="inlineStr">
        <is>
          <t>USCG</t>
        </is>
      </c>
      <c r="C36"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6" s="91">
        <f>IFERROR(C36/C$38,0)</f>
        <v/>
      </c>
    </row>
    <row r="37" ht="10" customHeight="1">
      <c r="A37" s="84" t="inlineStr">
        <is>
          <t>Coastal Buoy Tenders</t>
        </is>
      </c>
      <c r="B37" s="84" t="inlineStr">
        <is>
          <t>USCG</t>
        </is>
      </c>
      <c r="C37"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7" s="91">
        <f>IFERROR(C37/C$38,0)</f>
        <v/>
      </c>
    </row>
    <row r="38" ht="10" customHeight="1">
      <c r="A38" s="86" t="inlineStr">
        <is>
          <t>Newbuild SAM</t>
        </is>
      </c>
      <c r="B38" s="86" t="inlineStr"/>
      <c r="C38" s="87">
        <f>SUM(C13:C37)</f>
        <v/>
      </c>
      <c r="D38" s="92"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c r="L40" s="82" t="n"/>
      <c r="M40" s="82" t="n"/>
      <c r="N40" s="82" t="n"/>
    </row>
    <row r="41" ht="10" customHeight="1">
      <c r="A41" s="93" t="n"/>
      <c r="B41" s="94" t="inlineStr">
        <is>
          <t>USN</t>
        </is>
      </c>
      <c r="C41" s="93" t="n"/>
      <c r="D41" s="93" t="n"/>
      <c r="E41" s="93" t="n"/>
      <c r="F41" s="93" t="n"/>
      <c r="G41" s="93" t="n"/>
      <c r="H41" s="93" t="n"/>
      <c r="I41" s="93" t="n"/>
      <c r="J41" s="94" t="inlineStr">
        <is>
          <t>USCG</t>
        </is>
      </c>
      <c r="K41" s="93" t="n"/>
      <c r="L41" s="93" t="n"/>
      <c r="M41" s="93" t="n"/>
      <c r="N41" s="95" t="n"/>
    </row>
    <row r="42" ht="10" customHeight="1">
      <c r="A42" s="96" t="inlineStr">
        <is>
          <t>Sub-Category</t>
        </is>
      </c>
      <c r="B42" s="97" t="inlineStr">
        <is>
          <t>Surface Combatants</t>
        </is>
      </c>
      <c r="C42" s="96" t="inlineStr">
        <is>
          <t>Expeditionary &amp; Seabasing Ships</t>
        </is>
      </c>
      <c r="D42" s="96" t="inlineStr">
        <is>
          <t>Combat Logistics Ships</t>
        </is>
      </c>
      <c r="E42" s="96" t="inlineStr">
        <is>
          <t>Amphibious Warfare Ships</t>
        </is>
      </c>
      <c r="F42" s="96" t="inlineStr">
        <is>
          <t>Unmanned Surface Vehicles</t>
        </is>
      </c>
      <c r="G42" s="96" t="inlineStr">
        <is>
          <t>Cargo &amp; Vehicle Cargo Ships</t>
        </is>
      </c>
      <c r="H42" s="96" t="inlineStr">
        <is>
          <t>Surveillance Ships</t>
        </is>
      </c>
      <c r="I42" s="96" t="inlineStr">
        <is>
          <t>Salvage Ships &amp; Fleet Ocean Tugs</t>
        </is>
      </c>
      <c r="J42" s="97" t="inlineStr">
        <is>
          <t>Offshore Patrol Cutter</t>
        </is>
      </c>
      <c r="K42" s="96" t="inlineStr">
        <is>
          <t>Fast Response Cutters</t>
        </is>
      </c>
      <c r="L42" s="96" t="inlineStr">
        <is>
          <t>Icebreakers, Oceangoing</t>
        </is>
      </c>
      <c r="M42" s="96" t="inlineStr">
        <is>
          <t>Waterways Commerce Cutters</t>
        </is>
      </c>
      <c r="N42" s="97" t="inlineStr">
        <is>
          <t>Total</t>
        </is>
      </c>
    </row>
    <row r="43" ht="10" customHeight="1">
      <c r="A43" s="84" t="inlineStr">
        <is>
          <t>Full Ship DD&amp;C</t>
        </is>
      </c>
      <c r="B43" s="98">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procurement",JB_S,"[PARENT]",JB_R,"",JB_N,""))/B$45,0)</f>
        <v/>
      </c>
      <c r="C43"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procurement",JB_S,"[PARENT]",JB_R,"",JB_N,""))/C$45,0)</f>
        <v/>
      </c>
      <c r="D43"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procurement",JB_S,"[PARENT]",JB_R,"",JB_N,""))/D$45,0)</f>
        <v/>
      </c>
      <c r="E43"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procurement",JB_S,"[PARENT]",JB_R,"",JB_N,""))/E$45,0)</f>
        <v/>
      </c>
      <c r="F43"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procurement",JB_S,"[PARENT]",JB_R,"",JB_N,""))/F$45,0)</f>
        <v/>
      </c>
      <c r="G43"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procurement",JB_S,"[PARENT]",JB_R,"",JB_N,""))/G$45,0)</f>
        <v/>
      </c>
      <c r="H43"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procurement",JB_S,"[PARENT]",JB_R,"",JB_N,""))/H$45,0)</f>
        <v/>
      </c>
      <c r="I43"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procurement",JB_S,"[PARENT]",JB_R,"",JB_N,""))/I$45,0)</f>
        <v/>
      </c>
      <c r="J43" s="98">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procurement",JB_S,"[PARENT]",JB_R,"",JB_N,""))/J$45,0)</f>
        <v/>
      </c>
      <c r="K43"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procurement",JB_S,"[PARENT]",JB_R,"",JB_N,""))/K$45,0)</f>
        <v/>
      </c>
      <c r="L43"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procurement",JB_S,"[PARENT]",JB_R,"",JB_N,""))/L$45,0)</f>
        <v/>
      </c>
      <c r="M43"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procurement",JB_S,"[PARENT]",JB_R,"",JB_N,""))/M$45,0)</f>
        <v/>
      </c>
      <c r="N43" s="98">
        <f>IFERROR(1-N44,0)</f>
        <v/>
      </c>
    </row>
    <row r="44" ht="10" customHeight="1">
      <c r="A44" s="84" t="inlineStr">
        <is>
          <t>Advance Procurement / LLTM</t>
        </is>
      </c>
      <c r="B44" s="98">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LLTM",JB_S,"[PARENT]",JB_R,"",JB_N,""))/B$45,0)</f>
        <v/>
      </c>
      <c r="C44"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LLTM",JB_S,"[PARENT]",JB_R,"",JB_N,""))/C$45,0)</f>
        <v/>
      </c>
      <c r="D44"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LLTM",JB_S,"[PARENT]",JB_R,"",JB_N,""))/D$45,0)</f>
        <v/>
      </c>
      <c r="E44"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LLTM",JB_S,"[PARENT]",JB_R,"",JB_N,""))/E$45,0)</f>
        <v/>
      </c>
      <c r="F44"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LLTM",JB_S,"[PARENT]",JB_R,"",JB_N,""))/F$45,0)</f>
        <v/>
      </c>
      <c r="G44"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LLTM",JB_S,"[PARENT]",JB_R,"",JB_N,""))/G$45,0)</f>
        <v/>
      </c>
      <c r="H44"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LLTM",JB_S,"[PARENT]",JB_R,"",JB_N,""))/H$45,0)</f>
        <v/>
      </c>
      <c r="I44"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LLTM",JB_S,"[PARENT]",JB_R,"",JB_N,""))/I$45,0)</f>
        <v/>
      </c>
      <c r="J44" s="98">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LLTM",JB_S,"[PARENT]",JB_R,"",JB_N,""))/J$45,0)</f>
        <v/>
      </c>
      <c r="K44"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LLTM",JB_S,"[PARENT]",JB_R,"",JB_N,""))/K$45,0)</f>
        <v/>
      </c>
      <c r="L44"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LLTM",JB_S,"[PARENT]",JB_R,"",JB_N,""))/L$45,0)</f>
        <v/>
      </c>
      <c r="M44"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LLTM",JB_S,"[PARENT]",JB_R,"",JB_N,""))/M$45,0)</f>
        <v/>
      </c>
      <c r="N44" s="98">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LLTM",JB_S,"[PARENT]",JB_R,"",JB_N,""))/N$45,0)</f>
        <v/>
      </c>
    </row>
    <row r="45" ht="10" customHeight="1">
      <c r="A45" s="86" t="inlineStr">
        <is>
          <t>Total ($K)</t>
        </is>
      </c>
      <c r="B45" s="9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5"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5"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5"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5"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5"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5"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5"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5" s="9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5"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5"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5"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5" s="99">
        <f>SUM(B45:M45)</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B19</f>
        <v/>
      </c>
    </row>
    <row r="10" ht="10" customHeight="1"/>
    <row r="11" ht="10" customHeight="1">
      <c r="A11" s="81" t="inlineStr">
        <is>
          <t>(B) MRO TAM by Work Type</t>
        </is>
      </c>
      <c r="B11" s="82" t="n"/>
      <c r="C11" s="82" t="n"/>
    </row>
    <row r="12" ht="10" customHeight="1">
      <c r="A12" s="83" t="inlineStr">
        <is>
          <t>Work Type</t>
        </is>
      </c>
      <c r="B12" s="83" t="inlineStr">
        <is>
          <t>FY2026 ($K)</t>
        </is>
      </c>
      <c r="C12" s="83" t="inlineStr">
        <is>
          <t>% of TAM</t>
        </is>
      </c>
    </row>
    <row r="13" ht="10" customHeight="1">
      <c r="A13" s="84" t="inlineStr">
        <is>
          <t>Scheduled Depot Maintenance</t>
        </is>
      </c>
      <c r="B13"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3" s="91">
        <f>IFERROR(B13/B$19,0)</f>
        <v/>
      </c>
    </row>
    <row r="14" ht="10" customHeight="1">
      <c r="A14" s="84" t="inlineStr">
        <is>
          <t>Continuous / Emergent Maintenance</t>
        </is>
      </c>
      <c r="B14"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4" s="91">
        <f>IFERROR(B14/B$19,0)</f>
        <v/>
      </c>
    </row>
    <row r="15" ht="10" customHeight="1">
      <c r="A15" s="84" t="inlineStr">
        <is>
          <t>Modernization</t>
        </is>
      </c>
      <c r="B15"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5" s="91">
        <f>IFERROR(B15/B$19,0)</f>
        <v/>
      </c>
    </row>
    <row r="16" ht="10" customHeight="1">
      <c r="A16" s="84" t="inlineStr">
        <is>
          <t>Major Life-Cycle Events / RCOH</t>
        </is>
      </c>
      <c r="B16"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6" s="91">
        <f>IFERROR(B16/B$19,0)</f>
        <v/>
      </c>
    </row>
    <row r="17" ht="10" customHeight="1">
      <c r="A17" s="84" t="inlineStr">
        <is>
          <t>Sustainment Engineering</t>
        </is>
      </c>
      <c r="B17"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7" s="91">
        <f>IFERROR(B17/B$19,0)</f>
        <v/>
      </c>
    </row>
    <row r="18" ht="10" customHeight="1">
      <c r="A18" s="84" t="inlineStr">
        <is>
          <t>Availability Support</t>
        </is>
      </c>
      <c r="B18"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8" s="91">
        <f>IFERROR(B18/B$19,0)</f>
        <v/>
      </c>
    </row>
    <row r="19" ht="10" customHeight="1">
      <c r="A19" s="86" t="inlineStr">
        <is>
          <t>MRO TAM</t>
        </is>
      </c>
      <c r="B19" s="87">
        <f>SUM(B13:B18)</f>
        <v/>
      </c>
      <c r="C19" s="92" t="n">
        <v>1</v>
      </c>
    </row>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FY2026 ($K)</t>
        </is>
      </c>
      <c r="D22" s="83" t="inlineStr">
        <is>
          <t>% of TAM</t>
        </is>
      </c>
    </row>
    <row r="23" ht="10" customHeight="1">
      <c r="A23" s="84" t="inlineStr">
        <is>
          <t>Submarines</t>
        </is>
      </c>
      <c r="B23" s="84" t="inlineStr">
        <is>
          <t>USN</t>
        </is>
      </c>
      <c r="C23"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3" s="91">
        <f>IFERROR(C23/C$51,0)</f>
        <v/>
      </c>
    </row>
    <row r="24" ht="10" customHeight="1">
      <c r="A24" s="84" t="inlineStr">
        <is>
          <t>Surface Combatants</t>
        </is>
      </c>
      <c r="B24" s="84" t="inlineStr">
        <is>
          <t>USN</t>
        </is>
      </c>
      <c r="C2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4" s="91">
        <f>IFERROR(C24/C$51,0)</f>
        <v/>
      </c>
    </row>
    <row r="25" ht="10" customHeight="1">
      <c r="A25" s="84" t="inlineStr">
        <is>
          <t>Aircraft Carriers</t>
        </is>
      </c>
      <c r="B25" s="84" t="inlineStr">
        <is>
          <t>USN</t>
        </is>
      </c>
      <c r="C25"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5" s="91">
        <f>IFERROR(C25/C$51,0)</f>
        <v/>
      </c>
    </row>
    <row r="26" ht="10" customHeight="1">
      <c r="A26" s="84" t="inlineStr">
        <is>
          <t>Amphibious Warfare Ships</t>
        </is>
      </c>
      <c r="B26" s="84" t="inlineStr">
        <is>
          <t>USN</t>
        </is>
      </c>
      <c r="C2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6" s="91">
        <f>IFERROR(C26/C$51,0)</f>
        <v/>
      </c>
    </row>
    <row r="27" ht="10" customHeight="1">
      <c r="A27" s="84" t="inlineStr">
        <is>
          <t>Expeditionary &amp; Seabasing Ships</t>
        </is>
      </c>
      <c r="B27" s="84" t="inlineStr">
        <is>
          <t>USN</t>
        </is>
      </c>
      <c r="C2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7" s="91">
        <f>IFERROR(C27/C$51,0)</f>
        <v/>
      </c>
    </row>
    <row r="28" ht="10" customHeight="1">
      <c r="A28" s="84" t="inlineStr">
        <is>
          <t>Command Ships</t>
        </is>
      </c>
      <c r="B28" s="84" t="inlineStr">
        <is>
          <t>USN</t>
        </is>
      </c>
      <c r="C28"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28" s="91">
        <f>IFERROR(C28/C$51,0)</f>
        <v/>
      </c>
    </row>
    <row r="29" ht="10" customHeight="1">
      <c r="A29" s="84" t="inlineStr">
        <is>
          <t>Surveillance Ships</t>
        </is>
      </c>
      <c r="B29" s="84" t="inlineStr">
        <is>
          <t>USN</t>
        </is>
      </c>
      <c r="C29"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29" s="91">
        <f>IFERROR(C29/C$51,0)</f>
        <v/>
      </c>
    </row>
    <row r="30" ht="10" customHeight="1">
      <c r="A30" s="84" t="inlineStr">
        <is>
          <t>Mine Warfare</t>
        </is>
      </c>
      <c r="B30" s="84" t="inlineStr">
        <is>
          <t>USN</t>
        </is>
      </c>
      <c r="C30"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0" s="91">
        <f>IFERROR(C30/C$51,0)</f>
        <v/>
      </c>
    </row>
    <row r="31" ht="10" customHeight="1">
      <c r="A31" s="84" t="inlineStr">
        <is>
          <t>Submarine Escort Ship</t>
        </is>
      </c>
      <c r="B31" s="84" t="inlineStr">
        <is>
          <t>USN</t>
        </is>
      </c>
      <c r="C3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1" s="91">
        <f>IFERROR(C31/C$51,0)</f>
        <v/>
      </c>
    </row>
    <row r="32" ht="10" customHeight="1">
      <c r="A32" s="84" t="inlineStr">
        <is>
          <t>Material Support Ships</t>
        </is>
      </c>
      <c r="B32" s="84" t="inlineStr">
        <is>
          <t>USN</t>
        </is>
      </c>
      <c r="C32"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32" s="91">
        <f>IFERROR(C32/C$51,0)</f>
        <v/>
      </c>
    </row>
    <row r="33" ht="10" customHeight="1">
      <c r="A33" s="84" t="inlineStr">
        <is>
          <t>General Auxiliary</t>
        </is>
      </c>
      <c r="B33" s="84" t="inlineStr">
        <is>
          <t>USN</t>
        </is>
      </c>
      <c r="C33"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3" s="91">
        <f>IFERROR(C33/C$51,0)</f>
        <v/>
      </c>
    </row>
    <row r="34" ht="10" customHeight="1">
      <c r="A34" s="84" t="inlineStr">
        <is>
          <t>Unmanned Surface Vehicles</t>
        </is>
      </c>
      <c r="B34" s="84" t="inlineStr">
        <is>
          <t>USN</t>
        </is>
      </c>
      <c r="C34"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4" s="91">
        <f>IFERROR(C34/C$51,0)</f>
        <v/>
      </c>
    </row>
    <row r="35" ht="10" customHeight="1">
      <c r="A35" s="84" t="inlineStr">
        <is>
          <t>Cargo &amp; Vehicle Cargo Ships</t>
        </is>
      </c>
      <c r="B35" s="84" t="inlineStr">
        <is>
          <t>USN</t>
        </is>
      </c>
      <c r="C35"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5" s="91">
        <f>IFERROR(C35/C$51,0)</f>
        <v/>
      </c>
    </row>
    <row r="36" ht="10" customHeight="1">
      <c r="A36" s="84" t="inlineStr">
        <is>
          <t>Combat Logistics Ships</t>
        </is>
      </c>
      <c r="B36" s="84" t="inlineStr">
        <is>
          <t>MSC</t>
        </is>
      </c>
      <c r="C36"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6" s="91">
        <f>IFERROR(C36/C$51,0)</f>
        <v/>
      </c>
    </row>
    <row r="37" ht="10" customHeight="1">
      <c r="A37" s="84" t="inlineStr">
        <is>
          <t>Hospital Ship</t>
        </is>
      </c>
      <c r="B37" s="84" t="inlineStr">
        <is>
          <t>MSC</t>
        </is>
      </c>
      <c r="C37"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37" s="91">
        <f>IFERROR(C37/C$51,0)</f>
        <v/>
      </c>
    </row>
    <row r="38" ht="10" customHeight="1">
      <c r="A38" s="84" t="inlineStr">
        <is>
          <t>Crane Ship</t>
        </is>
      </c>
      <c r="B38" s="84" t="inlineStr">
        <is>
          <t>USN</t>
        </is>
      </c>
      <c r="C38"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8" s="91">
        <f>IFERROR(C38/C$51,0)</f>
        <v/>
      </c>
    </row>
    <row r="39" ht="10" customHeight="1">
      <c r="A39" s="84" t="inlineStr">
        <is>
          <t>Research, Survey &amp; Instrumentation Ships</t>
        </is>
      </c>
      <c r="B39" s="84" t="inlineStr">
        <is>
          <t>MSC</t>
        </is>
      </c>
      <c r="C39"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9" s="91">
        <f>IFERROR(C39/C$51,0)</f>
        <v/>
      </c>
    </row>
    <row r="40" ht="10" customHeight="1">
      <c r="A40" s="84" t="inlineStr">
        <is>
          <t>High Speed Transport</t>
        </is>
      </c>
      <c r="B40" s="84" t="inlineStr">
        <is>
          <t>USN</t>
        </is>
      </c>
      <c r="C40"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40" s="91">
        <f>IFERROR(C40/C$51,0)</f>
        <v/>
      </c>
    </row>
    <row r="41" ht="10" customHeight="1">
      <c r="A41" s="84" t="inlineStr">
        <is>
          <t>Aviation Logistics Support Ship</t>
        </is>
      </c>
      <c r="B41" s="84" t="inlineStr">
        <is>
          <t>USN</t>
        </is>
      </c>
      <c r="C41"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1" s="91">
        <f>IFERROR(C41/C$51,0)</f>
        <v/>
      </c>
    </row>
    <row r="42" ht="10" customHeight="1">
      <c r="A42" s="84" t="inlineStr">
        <is>
          <t>Salvage Ships &amp; Fleet Ocean Tugs</t>
        </is>
      </c>
      <c r="B42" s="84" t="inlineStr">
        <is>
          <t>MSC</t>
        </is>
      </c>
      <c r="C42"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2" s="91">
        <f>IFERROR(C42/C$51,0)</f>
        <v/>
      </c>
    </row>
    <row r="43" ht="10" customHeight="1">
      <c r="A43" s="84" t="inlineStr">
        <is>
          <t>Unmanned Undersea Vehicles</t>
        </is>
      </c>
      <c r="B43" s="84" t="inlineStr">
        <is>
          <t>USN</t>
        </is>
      </c>
      <c r="C43"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3" s="91">
        <f>IFERROR(C43/C$51,0)</f>
        <v/>
      </c>
    </row>
    <row r="44" ht="10" customHeight="1">
      <c r="A44" s="84" t="inlineStr">
        <is>
          <t>National Security Cutters</t>
        </is>
      </c>
      <c r="B44" s="84" t="inlineStr">
        <is>
          <t>USCG</t>
        </is>
      </c>
      <c r="C44"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4" s="91">
        <f>IFERROR(C44/C$51,0)</f>
        <v/>
      </c>
    </row>
    <row r="45" ht="10" customHeight="1">
      <c r="A45" s="84" t="inlineStr">
        <is>
          <t>Waterways Commerce Cutters</t>
        </is>
      </c>
      <c r="B45" s="84" t="inlineStr">
        <is>
          <t>USCG</t>
        </is>
      </c>
      <c r="C45"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5" s="91">
        <f>IFERROR(C45/C$51,0)</f>
        <v/>
      </c>
    </row>
    <row r="46" ht="10" customHeight="1">
      <c r="A46" s="84" t="inlineStr">
        <is>
          <t>Icebreakers, Oceangoing</t>
        </is>
      </c>
      <c r="B46" s="84" t="inlineStr">
        <is>
          <t>USCG</t>
        </is>
      </c>
      <c r="C46"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6" s="91">
        <f>IFERROR(C46/C$51,0)</f>
        <v/>
      </c>
    </row>
    <row r="47" ht="10" customHeight="1">
      <c r="A47" s="84" t="inlineStr">
        <is>
          <t>Fast Response Cutters</t>
        </is>
      </c>
      <c r="B47" s="84" t="inlineStr">
        <is>
          <t>USCG</t>
        </is>
      </c>
      <c r="C4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7" s="91">
        <f>IFERROR(C47/C$51,0)</f>
        <v/>
      </c>
    </row>
    <row r="48" ht="10" customHeight="1">
      <c r="A48" s="84" t="inlineStr">
        <is>
          <t>Offshore Patrol Cutter</t>
        </is>
      </c>
      <c r="B48" s="84" t="inlineStr">
        <is>
          <t>USCG</t>
        </is>
      </c>
      <c r="C48"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8" s="91">
        <f>IFERROR(C48/C$51,0)</f>
        <v/>
      </c>
    </row>
    <row r="49" ht="10" customHeight="1">
      <c r="A49" s="84" t="inlineStr">
        <is>
          <t>Icebreakers, Great Lakes</t>
        </is>
      </c>
      <c r="B49" s="84" t="inlineStr">
        <is>
          <t>USCG</t>
        </is>
      </c>
      <c r="C49"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49" s="91">
        <f>IFERROR(C49/C$51,0)</f>
        <v/>
      </c>
    </row>
    <row r="50" ht="10" customHeight="1">
      <c r="A50" s="84" t="inlineStr">
        <is>
          <t>Coastal Buoy Tenders</t>
        </is>
      </c>
      <c r="B50" s="84" t="inlineStr">
        <is>
          <t>USCG</t>
        </is>
      </c>
      <c r="C50"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0" s="91">
        <f>IFERROR(C50/C$51,0)</f>
        <v/>
      </c>
    </row>
    <row r="51" ht="10" customHeight="1">
      <c r="A51" s="86" t="inlineStr">
        <is>
          <t>MRO TAM</t>
        </is>
      </c>
      <c r="B51" s="86" t="inlineStr"/>
      <c r="C51" s="87">
        <f>SUM(C23:C50)</f>
        <v/>
      </c>
      <c r="D51" s="92" t="n">
        <v>1</v>
      </c>
    </row>
    <row r="52" ht="10" customHeight="1"/>
    <row r="53" ht="10" customHeight="1">
      <c r="A53" s="81" t="inlineStr">
        <is>
          <t>(D) MRO TAM — Work Type by Vessel Type (Mekko)</t>
        </is>
      </c>
      <c r="B53" s="82" t="n"/>
      <c r="C53" s="82" t="n"/>
      <c r="D53" s="82" t="n"/>
      <c r="E53" s="82" t="n"/>
      <c r="F53" s="82" t="n"/>
      <c r="G53" s="82" t="n"/>
      <c r="H53" s="82" t="n"/>
      <c r="I53" s="82" t="n"/>
      <c r="J53" s="82" t="n"/>
      <c r="K53" s="82" t="n"/>
    </row>
    <row r="54" ht="10" customHeight="1">
      <c r="A54" s="93" t="n"/>
      <c r="B54" s="94" t="inlineStr">
        <is>
          <t>USN</t>
        </is>
      </c>
      <c r="C54" s="93" t="n"/>
      <c r="D54" s="93" t="n"/>
      <c r="E54" s="93" t="n"/>
      <c r="F54" s="93" t="n"/>
      <c r="G54" s="93" t="n"/>
      <c r="H54" s="93" t="n"/>
      <c r="I54" s="93" t="n"/>
      <c r="J54" s="94" t="inlineStr">
        <is>
          <t>USCG</t>
        </is>
      </c>
      <c r="K54" s="95" t="n"/>
    </row>
    <row r="55" ht="10" customHeight="1">
      <c r="A55" s="96" t="inlineStr">
        <is>
          <t>Work Type</t>
        </is>
      </c>
      <c r="B55" s="97" t="inlineStr">
        <is>
          <t>Submarines</t>
        </is>
      </c>
      <c r="C55" s="96" t="inlineStr">
        <is>
          <t>Surface Combatants</t>
        </is>
      </c>
      <c r="D55" s="96" t="inlineStr">
        <is>
          <t>Aircraft Carriers</t>
        </is>
      </c>
      <c r="E55" s="96" t="inlineStr">
        <is>
          <t>Amphibious Warfare Ships</t>
        </is>
      </c>
      <c r="F55" s="96" t="inlineStr">
        <is>
          <t>Expeditionary &amp; Seabasing Ships</t>
        </is>
      </c>
      <c r="G55" s="96" t="inlineStr">
        <is>
          <t>Command Ships</t>
        </is>
      </c>
      <c r="H55" s="96" t="inlineStr">
        <is>
          <t>Surveillance Ships</t>
        </is>
      </c>
      <c r="I55" s="96" t="inlineStr">
        <is>
          <t>Mine Warfare</t>
        </is>
      </c>
      <c r="J55" s="97" t="inlineStr">
        <is>
          <t>National Security Cutters</t>
        </is>
      </c>
      <c r="K55" s="97" t="inlineStr">
        <is>
          <t>Total</t>
        </is>
      </c>
    </row>
    <row r="56" ht="10" customHeight="1">
      <c r="A56" s="84" t="inlineStr">
        <is>
          <t>Scheduled Depot Maintenance</t>
        </is>
      </c>
      <c r="B56" s="98">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$62,0)</f>
        <v/>
      </c>
      <c r="C56"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Combatants",JB_S,"[PARENT]",JB_R,"",JB_N,""))/C$62,0)</f>
        <v/>
      </c>
      <c r="D56"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Carriers",JB_S,"[PARENT]",JB_R,"",JB_N,""))/D$62,0)</f>
        <v/>
      </c>
      <c r="E5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Ships",JB_S,"[PARENT]",JB_R,"",JB_N,""))/E$62,0)</f>
        <v/>
      </c>
      <c r="F5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Ships",JB_S,"[PARENT]",JB_R,"",JB_N,""))/F$62,0)</f>
        <v/>
      </c>
      <c r="G5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Ships",JB_S,"[PARENT]",JB_R,"",JB_N,""))/G$62,0)</f>
        <v/>
      </c>
      <c r="H5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Ships",JB_S,"[PARENT]",JB_R,"",JB_N,""))/H$62,0)</f>
        <v/>
      </c>
      <c r="I5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Warfare",JB_S,"[PARENT]",JB_R,"",JB_N,""))/I$62,0)</f>
        <v/>
      </c>
      <c r="J56" s="9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Cutters",JB_S,"[PARENT]",JB_R,"",JB_N,""))/J$62,0)</f>
        <v/>
      </c>
      <c r="K56" s="98">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Platforms",JB_S,"[PARENT]",JB_R,"",JB_N,""))/K$62,0)</f>
        <v/>
      </c>
    </row>
    <row r="57" ht="10" customHeight="1">
      <c r="A57" s="84" t="inlineStr">
        <is>
          <t>Continuous / Emergent Maintenance</t>
        </is>
      </c>
      <c r="B57" s="98">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$62,0)</f>
        <v/>
      </c>
      <c r="C57"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Combatants",JB_S,"[PARENT]",JB_R,"",JB_N,""))/C$62,0)</f>
        <v/>
      </c>
      <c r="D57"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Carriers",JB_S,"[PARENT]",JB_R,"",JB_N,""))/D$62,0)</f>
        <v/>
      </c>
      <c r="E57"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Ships",JB_S,"[PARENT]",JB_R,"",JB_N,""))/E$62,0)</f>
        <v/>
      </c>
      <c r="F57"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Ships",JB_S,"[PARENT]",JB_R,"",JB_N,""))/F$62,0)</f>
        <v/>
      </c>
      <c r="G57"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Ships",JB_S,"[PARENT]",JB_R,"",JB_N,""))/G$62,0)</f>
        <v/>
      </c>
      <c r="H57"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Ships",JB_S,"[PARENT]",JB_R,"",JB_N,""))/H$62,0)</f>
        <v/>
      </c>
      <c r="I57"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Warfare",JB_S,"[PARENT]",JB_R,"",JB_N,""))/I$62,0)</f>
        <v/>
      </c>
      <c r="J57" s="98">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Cutters",JB_S,"[PARENT]",JB_R,"",JB_N,""))/J$62,0)</f>
        <v/>
      </c>
      <c r="K57" s="98">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Platforms",JB_S,"[PARENT]",JB_R,"",JB_N,""))/K$62,0)</f>
        <v/>
      </c>
    </row>
    <row r="58" ht="10" customHeight="1">
      <c r="A58" s="84" t="inlineStr">
        <is>
          <t>Modernization</t>
        </is>
      </c>
      <c r="B58" s="98">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$62,0)</f>
        <v/>
      </c>
      <c r="C58"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Combatants",JB_S,"[PARENT]",JB_R,"",JB_N,""))/C$62,0)</f>
        <v/>
      </c>
      <c r="D58"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Carriers",JB_S,"[PARENT]",JB_R,"",JB_N,""))/D$62,0)</f>
        <v/>
      </c>
      <c r="E58"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Ships",JB_S,"[PARENT]",JB_R,"",JB_N,""))/E$62,0)</f>
        <v/>
      </c>
      <c r="F58"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Ships",JB_S,"[PARENT]",JB_R,"",JB_N,""))/F$62,0)</f>
        <v/>
      </c>
      <c r="G58"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Ships",JB_S,"[PARENT]",JB_R,"",JB_N,""))/G$62,0)</f>
        <v/>
      </c>
      <c r="H58"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Ships",JB_S,"[PARENT]",JB_R,"",JB_N,""))/H$62,0)</f>
        <v/>
      </c>
      <c r="I58"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Warfare",JB_S,"[PARENT]",JB_R,"",JB_N,""))/I$62,0)</f>
        <v/>
      </c>
      <c r="J58" s="9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Cutters",JB_S,"[PARENT]",JB_R,"",JB_N,""))/J$62,0)</f>
        <v/>
      </c>
      <c r="K58" s="98">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Platforms",JB_S,"[PARENT]",JB_R,"",JB_N,""))/K$62,0)</f>
        <v/>
      </c>
    </row>
    <row r="59" ht="10" customHeight="1">
      <c r="A59" s="84" t="inlineStr">
        <is>
          <t>Major Life-Cycle Events / RCOH</t>
        </is>
      </c>
      <c r="B59" s="98">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$62,0)</f>
        <v/>
      </c>
      <c r="C59"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Combatants",JB_S,"[PARENT]",JB_R,"",JB_N,""))/C$62,0)</f>
        <v/>
      </c>
      <c r="D59"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Carriers",JB_S,"[PARENT]",JB_R,"",JB_N,""))/D$62,0)</f>
        <v/>
      </c>
      <c r="E59"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Ships",JB_S,"[PARENT]",JB_R,"",JB_N,""))/E$62,0)</f>
        <v/>
      </c>
      <c r="F59"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Ships",JB_S,"[PARENT]",JB_R,"",JB_N,""))/F$62,0)</f>
        <v/>
      </c>
      <c r="G59"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Ships",JB_S,"[PARENT]",JB_R,"",JB_N,""))/G$62,0)</f>
        <v/>
      </c>
      <c r="H59"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Ships",JB_S,"[PARENT]",JB_R,"",JB_N,""))/H$62,0)</f>
        <v/>
      </c>
      <c r="I59"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Warfare",JB_S,"[PARENT]",JB_R,"",JB_N,""))/I$62,0)</f>
        <v/>
      </c>
      <c r="J59" s="98">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Cutters",JB_S,"[PARENT]",JB_R,"",JB_N,""))/J$62,0)</f>
        <v/>
      </c>
      <c r="K59" s="98">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Platforms",JB_S,"[PARENT]",JB_R,"",JB_N,""))/K$62,0)</f>
        <v/>
      </c>
    </row>
    <row r="60" ht="10" customHeight="1">
      <c r="A60" s="84" t="inlineStr">
        <is>
          <t>Sustainment Engineering</t>
        </is>
      </c>
      <c r="B60" s="98">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$62,0)</f>
        <v/>
      </c>
      <c r="C60"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Combatants",JB_S,"[PARENT]",JB_R,"",JB_N,""))/C$62,0)</f>
        <v/>
      </c>
      <c r="D60"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Carriers",JB_S,"[PARENT]",JB_R,"",JB_N,""))/D$62,0)</f>
        <v/>
      </c>
      <c r="E60"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Ships",JB_S,"[PARENT]",JB_R,"",JB_N,""))/E$62,0)</f>
        <v/>
      </c>
      <c r="F60"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Ships",JB_S,"[PARENT]",JB_R,"",JB_N,""))/F$62,0)</f>
        <v/>
      </c>
      <c r="G60"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Ships",JB_S,"[PARENT]",JB_R,"",JB_N,""))/G$62,0)</f>
        <v/>
      </c>
      <c r="H60"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Ships",JB_S,"[PARENT]",JB_R,"",JB_N,""))/H$62,0)</f>
        <v/>
      </c>
      <c r="I60"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Warfare",JB_S,"[PARENT]",JB_R,"",JB_N,""))/I$62,0)</f>
        <v/>
      </c>
      <c r="J60" s="98">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Cutters",JB_S,"[PARENT]",JB_R,"",JB_N,""))/J$62,0)</f>
        <v/>
      </c>
      <c r="K60" s="98">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Platforms",JB_S,"[PARENT]",JB_R,"",JB_N,""))/K$62,0)</f>
        <v/>
      </c>
    </row>
    <row r="61" ht="10" customHeight="1">
      <c r="A61" s="84" t="inlineStr">
        <is>
          <t>Availability Support</t>
        </is>
      </c>
      <c r="B61" s="98">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$62,0)</f>
        <v/>
      </c>
      <c r="C61"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Combatants",JB_S,"[PARENT]",JB_R,"",JB_N,""))/C$62,0)</f>
        <v/>
      </c>
      <c r="D61"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Carriers",JB_S,"[PARENT]",JB_R,"",JB_N,""))/D$62,0)</f>
        <v/>
      </c>
      <c r="E61"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Ships",JB_S,"[PARENT]",JB_R,"",JB_N,""))/E$62,0)</f>
        <v/>
      </c>
      <c r="F61"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Ships",JB_S,"[PARENT]",JB_R,"",JB_N,""))/F$62,0)</f>
        <v/>
      </c>
      <c r="G61"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Ships",JB_S,"[PARENT]",JB_R,"",JB_N,""))/G$62,0)</f>
        <v/>
      </c>
      <c r="H61"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Ships",JB_S,"[PARENT]",JB_R,"",JB_N,""))/H$62,0)</f>
        <v/>
      </c>
      <c r="I61"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Warfare",JB_S,"[PARENT]",JB_R,"",JB_N,""))/I$62,0)</f>
        <v/>
      </c>
      <c r="J61" s="98">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Cutters",JB_S,"[PARENT]",JB_R,"",JB_N,""))/J$62,0)</f>
        <v/>
      </c>
      <c r="K61" s="98">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Platforms",JB_S,"[PARENT]",JB_R,"",JB_N,""))/K$62,0)</f>
        <v/>
      </c>
    </row>
    <row r="62" ht="10" customHeight="1">
      <c r="A62" s="86" t="inlineStr">
        <is>
          <t>Total ($K)</t>
        </is>
      </c>
      <c r="B62" s="9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2"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2"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2"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2"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2"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2"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2"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2" s="9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2" s="99">
        <f>SUM(B62:J62)</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100">
        <f>'FY26 MRO TAM'!B19</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4"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4" s="85">
        <f>C14+D14</f>
        <v/>
      </c>
      <c r="F14" s="91">
        <f>IFERROR(E14/E$39,0)</f>
        <v/>
      </c>
    </row>
    <row r="15" ht="10" customHeight="1">
      <c r="A15" s="84" t="inlineStr">
        <is>
          <t>Amphibious Warfare Ships</t>
        </is>
      </c>
      <c r="B15" s="84" t="inlineStr">
        <is>
          <t>USN</t>
        </is>
      </c>
      <c r="C15"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5"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5" s="85">
        <f>C15+D15</f>
        <v/>
      </c>
      <c r="F15" s="91">
        <f>IFERROR(E15/E$39,0)</f>
        <v/>
      </c>
    </row>
    <row r="16" ht="10" customHeight="1">
      <c r="A16" s="84" t="inlineStr">
        <is>
          <t>Surveillance Ships</t>
        </is>
      </c>
      <c r="B16" s="84" t="inlineStr">
        <is>
          <t>USN</t>
        </is>
      </c>
      <c r="C16"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6"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6" s="85">
        <f>C16+D16</f>
        <v/>
      </c>
      <c r="F16" s="91">
        <f>IFERROR(E16/E$39,0)</f>
        <v/>
      </c>
    </row>
    <row r="17" ht="10" customHeight="1">
      <c r="A17" s="84" t="inlineStr">
        <is>
          <t>Expeditionary &amp; Seabasing Ships</t>
        </is>
      </c>
      <c r="B17" s="84" t="inlineStr">
        <is>
          <t>USN</t>
        </is>
      </c>
      <c r="C17"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7"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7" s="85">
        <f>C17+D17</f>
        <v/>
      </c>
      <c r="F17" s="91">
        <f>IFERROR(E17/E$39,0)</f>
        <v/>
      </c>
    </row>
    <row r="18" ht="10" customHeight="1">
      <c r="A18" s="84" t="inlineStr">
        <is>
          <t>Mine Warfare</t>
        </is>
      </c>
      <c r="B18" s="84" t="inlineStr">
        <is>
          <t>USN</t>
        </is>
      </c>
      <c r="C18"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8"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8" s="85">
        <f>C18+D18</f>
        <v/>
      </c>
      <c r="F18" s="91">
        <f>IFERROR(E18/E$39,0)</f>
        <v/>
      </c>
    </row>
    <row r="19" ht="10" customHeight="1">
      <c r="A19" s="84" t="inlineStr">
        <is>
          <t>Command Ships</t>
        </is>
      </c>
      <c r="B19" s="84" t="inlineStr">
        <is>
          <t>USN</t>
        </is>
      </c>
      <c r="C19"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19"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19" s="85">
        <f>C19+D19</f>
        <v/>
      </c>
      <c r="F19" s="91">
        <f>IFERROR(E19/E$39,0)</f>
        <v/>
      </c>
    </row>
    <row r="20" ht="10" customHeight="1">
      <c r="A20" s="84" t="inlineStr">
        <is>
          <t>Crane Ship</t>
        </is>
      </c>
      <c r="B20" s="84" t="inlineStr">
        <is>
          <t>USN</t>
        </is>
      </c>
      <c r="C20"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0"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0" s="85">
        <f>C20+D20</f>
        <v/>
      </c>
      <c r="F20" s="91">
        <f>IFERROR(E20/E$39,0)</f>
        <v/>
      </c>
    </row>
    <row r="21" ht="10" customHeight="1">
      <c r="A21" s="84" t="inlineStr">
        <is>
          <t>Submarine Escort Ship</t>
        </is>
      </c>
      <c r="B21" s="84" t="inlineStr">
        <is>
          <t>USN</t>
        </is>
      </c>
      <c r="C21"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21"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21" s="85">
        <f>C21+D21</f>
        <v/>
      </c>
      <c r="F21" s="91">
        <f>IFERROR(E21/E$39,0)</f>
        <v/>
      </c>
    </row>
    <row r="22" ht="10" customHeight="1">
      <c r="A22" s="84" t="inlineStr">
        <is>
          <t>Research, Survey &amp; Instrumentation Ships</t>
        </is>
      </c>
      <c r="B22" s="84" t="inlineStr">
        <is>
          <t>MSC</t>
        </is>
      </c>
      <c r="C22"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2"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2" s="85">
        <f>C22+D22</f>
        <v/>
      </c>
      <c r="F22" s="91">
        <f>IFERROR(E22/E$39,0)</f>
        <v/>
      </c>
    </row>
    <row r="23" ht="10" customHeight="1">
      <c r="A23" s="84" t="inlineStr">
        <is>
          <t>Material Support Ships</t>
        </is>
      </c>
      <c r="B23" s="84" t="inlineStr">
        <is>
          <t>USN</t>
        </is>
      </c>
      <c r="C23"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3"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3" s="85">
        <f>C23+D23</f>
        <v/>
      </c>
      <c r="F23" s="91">
        <f>IFERROR(E23/E$39,0)</f>
        <v/>
      </c>
    </row>
    <row r="24" ht="10" customHeight="1">
      <c r="A24" s="84" t="inlineStr">
        <is>
          <t>High Speed Transport</t>
        </is>
      </c>
      <c r="B24" s="84" t="inlineStr">
        <is>
          <t>USN</t>
        </is>
      </c>
      <c r="C24"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4"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4" s="85">
        <f>C24+D24</f>
        <v/>
      </c>
      <c r="F24" s="91">
        <f>IFERROR(E24/E$39,0)</f>
        <v/>
      </c>
    </row>
    <row r="25" ht="10" customHeight="1">
      <c r="A25" s="84" t="inlineStr">
        <is>
          <t>General Auxiliary</t>
        </is>
      </c>
      <c r="B25" s="84" t="inlineStr">
        <is>
          <t>USN</t>
        </is>
      </c>
      <c r="C25"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5"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5" s="85">
        <f>C25+D25</f>
        <v/>
      </c>
      <c r="F25" s="91">
        <f>IFERROR(E25/E$39,0)</f>
        <v/>
      </c>
    </row>
    <row r="26" ht="10" customHeight="1">
      <c r="A26" s="84" t="inlineStr">
        <is>
          <t>Unmanned Surface Vehicles</t>
        </is>
      </c>
      <c r="B26" s="84" t="inlineStr">
        <is>
          <t>USN</t>
        </is>
      </c>
      <c r="C26"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6"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6" s="85">
        <f>C26+D26</f>
        <v/>
      </c>
      <c r="F26" s="91">
        <f>IFERROR(E26/E$39,0)</f>
        <v/>
      </c>
    </row>
    <row r="27" ht="10" customHeight="1">
      <c r="A27" s="84" t="inlineStr">
        <is>
          <t>Cargo &amp; Vehicle Cargo Ships</t>
        </is>
      </c>
      <c r="B27" s="84" t="inlineStr">
        <is>
          <t>USN</t>
        </is>
      </c>
      <c r="C27"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7"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7" s="85">
        <f>C27+D27</f>
        <v/>
      </c>
      <c r="F27" s="91">
        <f>IFERROR(E27/E$39,0)</f>
        <v/>
      </c>
    </row>
    <row r="28" ht="10" customHeight="1">
      <c r="A28" s="84" t="inlineStr">
        <is>
          <t>Combat Logistics Ships</t>
        </is>
      </c>
      <c r="B28" s="84" t="inlineStr">
        <is>
          <t>MSC</t>
        </is>
      </c>
      <c r="C28"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8"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8" s="85">
        <f>C28+D28</f>
        <v/>
      </c>
      <c r="F28" s="91">
        <f>IFERROR(E28/E$39,0)</f>
        <v/>
      </c>
    </row>
    <row r="29" ht="10" customHeight="1">
      <c r="A29" s="84" t="inlineStr">
        <is>
          <t>Aviation Logistics Support Ship</t>
        </is>
      </c>
      <c r="B29" s="84" t="inlineStr">
        <is>
          <t>USN</t>
        </is>
      </c>
      <c r="C29"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9"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9" s="85">
        <f>C29+D29</f>
        <v/>
      </c>
      <c r="F29" s="91">
        <f>IFERROR(E29/E$39,0)</f>
        <v/>
      </c>
    </row>
    <row r="30" ht="10" customHeight="1">
      <c r="A30" s="84" t="inlineStr">
        <is>
          <t>Salvage Ships &amp; Fleet Ocean Tugs</t>
        </is>
      </c>
      <c r="B30" s="84" t="inlineStr">
        <is>
          <t>MSC</t>
        </is>
      </c>
      <c r="C30"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0"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0" s="85">
        <f>C30+D30</f>
        <v/>
      </c>
      <c r="F30" s="91">
        <f>IFERROR(E30/E$39,0)</f>
        <v/>
      </c>
    </row>
    <row r="31" ht="10" customHeight="1">
      <c r="A31" s="84" t="inlineStr">
        <is>
          <t>Hospital Ship</t>
        </is>
      </c>
      <c r="B31" s="84" t="inlineStr">
        <is>
          <t>MSC</t>
        </is>
      </c>
      <c r="C31"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1"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1" s="85">
        <f>C31+D31</f>
        <v/>
      </c>
      <c r="F31" s="91">
        <f>IFERROR(E31/E$39,0)</f>
        <v/>
      </c>
    </row>
    <row r="32" ht="10" customHeight="1">
      <c r="A32" s="84" t="inlineStr">
        <is>
          <t>National Security Cutters</t>
        </is>
      </c>
      <c r="B32" s="84" t="inlineStr">
        <is>
          <t>USCG</t>
        </is>
      </c>
      <c r="C32"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2"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2" s="85">
        <f>C32+D32</f>
        <v/>
      </c>
      <c r="F32" s="91">
        <f>IFERROR(E32/E$39,0)</f>
        <v/>
      </c>
    </row>
    <row r="33" ht="10" customHeight="1">
      <c r="A33" s="84" t="inlineStr">
        <is>
          <t>Fast Response Cutters</t>
        </is>
      </c>
      <c r="B33" s="84" t="inlineStr">
        <is>
          <t>USCG</t>
        </is>
      </c>
      <c r="C33"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3"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3" s="85">
        <f>C33+D33</f>
        <v/>
      </c>
      <c r="F33" s="91">
        <f>IFERROR(E33/E$39,0)</f>
        <v/>
      </c>
    </row>
    <row r="34" ht="10" customHeight="1">
      <c r="A34" s="84" t="inlineStr">
        <is>
          <t>Waterways Commerce Cutters</t>
        </is>
      </c>
      <c r="B34" s="84" t="inlineStr">
        <is>
          <t>USCG</t>
        </is>
      </c>
      <c r="C34"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85">
        <f>C34+D34</f>
        <v/>
      </c>
      <c r="F34" s="91">
        <f>IFERROR(E34/E$39,0)</f>
        <v/>
      </c>
    </row>
    <row r="35" ht="10" customHeight="1">
      <c r="A35" s="84" t="inlineStr">
        <is>
          <t>Offshore Patrol Cutter</t>
        </is>
      </c>
      <c r="B35" s="84" t="inlineStr">
        <is>
          <t>USCG</t>
        </is>
      </c>
      <c r="C35"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5"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5" s="85">
        <f>C35+D35</f>
        <v/>
      </c>
      <c r="F35" s="91">
        <f>IFERROR(E35/E$39,0)</f>
        <v/>
      </c>
    </row>
    <row r="36" ht="10" customHeight="1">
      <c r="A36" s="84" t="inlineStr">
        <is>
          <t>Icebreakers, Great Lakes</t>
        </is>
      </c>
      <c r="B36" s="84" t="inlineStr">
        <is>
          <t>USCG</t>
        </is>
      </c>
      <c r="C36"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6"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6" s="85">
        <f>C36+D36</f>
        <v/>
      </c>
      <c r="F36" s="91">
        <f>IFERROR(E36/E$39,0)</f>
        <v/>
      </c>
    </row>
    <row r="37" ht="10" customHeight="1">
      <c r="A37" s="84" t="inlineStr">
        <is>
          <t>Icebreakers, Oceangoing</t>
        </is>
      </c>
      <c r="B37" s="84" t="inlineStr">
        <is>
          <t>USCG</t>
        </is>
      </c>
      <c r="C37"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7"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7" s="85">
        <f>C37+D37</f>
        <v/>
      </c>
      <c r="F37" s="91">
        <f>IFERROR(E37/E$39,0)</f>
        <v/>
      </c>
    </row>
    <row r="38" ht="10" customHeight="1">
      <c r="A38" s="84" t="inlineStr">
        <is>
          <t>Coastal Buoy Tenders</t>
        </is>
      </c>
      <c r="B38" s="84" t="inlineStr">
        <is>
          <t>USCG</t>
        </is>
      </c>
      <c r="C38"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8"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8" s="85">
        <f>C38+D38</f>
        <v/>
      </c>
      <c r="F38" s="91">
        <f>IFERROR(E38/E$39,0)</f>
        <v/>
      </c>
    </row>
    <row r="39" ht="10" customHeight="1">
      <c r="A39" s="86" t="inlineStr">
        <is>
          <t>MRO SAM</t>
        </is>
      </c>
      <c r="B39" s="86" t="inlineStr"/>
      <c r="C39" s="87">
        <f>SUM(C14:C38)</f>
        <v/>
      </c>
      <c r="D39" s="87">
        <f>SUM(D14:D38)</f>
        <v/>
      </c>
      <c r="E39" s="87">
        <f>SUM(E14:E38)</f>
        <v/>
      </c>
      <c r="F39" s="92" t="n">
        <v>1</v>
      </c>
    </row>
    <row r="40" ht="10" customHeight="1"/>
    <row r="41" ht="10" customHeight="1">
      <c r="A41" s="81" t="inlineStr">
        <is>
          <t>(C) MRO SAM — SDM vs Modernization by Vessel Type (Mekko)</t>
        </is>
      </c>
      <c r="B41" s="82" t="n"/>
      <c r="C41" s="82" t="n"/>
      <c r="D41" s="82" t="n"/>
      <c r="E41" s="82" t="n"/>
      <c r="F41" s="82" t="n"/>
      <c r="G41" s="82" t="n"/>
      <c r="H41" s="82" t="n"/>
      <c r="I41" s="82" t="n"/>
    </row>
    <row r="42" ht="10" customHeight="1">
      <c r="A42" s="93" t="n"/>
      <c r="B42" s="94" t="inlineStr">
        <is>
          <t>USN</t>
        </is>
      </c>
      <c r="C42" s="93" t="n"/>
      <c r="D42" s="93" t="n"/>
      <c r="E42" s="93" t="n"/>
      <c r="F42" s="93" t="n"/>
      <c r="G42" s="93" t="n"/>
      <c r="H42" s="94" t="inlineStr">
        <is>
          <t>USCG</t>
        </is>
      </c>
      <c r="I42" s="95" t="n"/>
    </row>
    <row r="43" ht="10" customHeight="1">
      <c r="A43" s="96" t="inlineStr">
        <is>
          <t>Work Type</t>
        </is>
      </c>
      <c r="B43" s="97" t="inlineStr">
        <is>
          <t>Surface Combatants</t>
        </is>
      </c>
      <c r="C43" s="96" t="inlineStr">
        <is>
          <t>Amphibious Warfare Ships</t>
        </is>
      </c>
      <c r="D43" s="96" t="inlineStr">
        <is>
          <t>Expeditionary &amp; Seabasing Ships</t>
        </is>
      </c>
      <c r="E43" s="96" t="inlineStr">
        <is>
          <t>Command Ships</t>
        </is>
      </c>
      <c r="F43" s="96" t="inlineStr">
        <is>
          <t>Surveillance Ships</t>
        </is>
      </c>
      <c r="G43" s="96" t="inlineStr">
        <is>
          <t>Mine Warfare</t>
        </is>
      </c>
      <c r="H43" s="97" t="inlineStr">
        <is>
          <t>National Security Cutters</t>
        </is>
      </c>
      <c r="I43" s="97" t="inlineStr">
        <is>
          <t>Total</t>
        </is>
      </c>
    </row>
    <row r="44" ht="10" customHeight="1">
      <c r="A44" s="84" t="inlineStr">
        <is>
          <t>Scheduled Depot Maintenance</t>
        </is>
      </c>
      <c r="B44" s="98">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Combatants",JB_S,"[PARENT]",JB_R,"",JB_N,""))/B$46,0)</f>
        <v/>
      </c>
      <c r="C44"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Ships",JB_S,"[PARENT]",JB_R,"",JB_N,""))/C$46,0)</f>
        <v/>
      </c>
      <c r="D44"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Ships",JB_S,"[PARENT]",JB_R,"",JB_N,""))/D$46,0)</f>
        <v/>
      </c>
      <c r="E44"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Ships",JB_S,"[PARENT]",JB_R,"",JB_N,""))/E$46,0)</f>
        <v/>
      </c>
      <c r="F44"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Ships",JB_S,"[PARENT]",JB_R,"",JB_N,""))/F$46,0)</f>
        <v/>
      </c>
      <c r="G44"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Warfare",JB_S,"[PARENT]",JB_R,"",JB_N,""))/G$46,0)</f>
        <v/>
      </c>
      <c r="H44" s="98">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Cutters",JB_S,"[PARENT]",JB_R,"",JB_N,""))/H$46,0)</f>
        <v/>
      </c>
      <c r="I44" s="98">
        <f>IFERROR(1-I45,0)</f>
        <v/>
      </c>
    </row>
    <row r="45" ht="10" customHeight="1">
      <c r="A45" s="84" t="inlineStr">
        <is>
          <t>Modernization</t>
        </is>
      </c>
      <c r="B45" s="9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Combatants",JB_S,"[PARENT]",JB_R,"",JB_N,""))/B$46,0)</f>
        <v/>
      </c>
      <c r="C45"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Ships",JB_S,"[PARENT]",JB_R,"",JB_N,""))/C$46,0)</f>
        <v/>
      </c>
      <c r="D45"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Ships",JB_S,"[PARENT]",JB_R,"",JB_N,""))/D$46,0)</f>
        <v/>
      </c>
      <c r="E45"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Ships",JB_S,"[PARENT]",JB_R,"",JB_N,""))/E$46,0)</f>
        <v/>
      </c>
      <c r="F45"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Ships",JB_S,"[PARENT]",JB_R,"",JB_N,""))/F$46,0)</f>
        <v/>
      </c>
      <c r="G45"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Warfare",JB_S,"[PARENT]",JB_R,"",JB_N,""))/G$46,0)</f>
        <v/>
      </c>
      <c r="H45" s="98">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Cutters",JB_S,"[PARENT]",JB_R,"",JB_N,""))/H$46,0)</f>
        <v/>
      </c>
      <c r="I45" s="98">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Cutters",JB_S,"[PARENT]",JB_R,"",JB_N,""))/I$46,0)</f>
        <v/>
      </c>
    </row>
    <row r="46" ht="10" customHeight="1">
      <c r="A46" s="86" t="inlineStr">
        <is>
          <t>Total ($K)</t>
        </is>
      </c>
      <c r="B46" s="9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6"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6"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6"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6"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6"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6" s="9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6" s="99">
        <f>SUM(B46:H46)</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1"/>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c r="A15" s="81" t="inlineStr">
        <is>
          <t>(B) FY2027 Total Funding by Vessel Category</t>
        </is>
      </c>
      <c r="B15" s="82" t="n"/>
      <c r="C15" s="82" t="n"/>
    </row>
    <row r="16" ht="10" customHeight="1">
      <c r="A16" s="83" t="inlineStr">
        <is>
          <t>Category</t>
        </is>
      </c>
      <c r="B16" s="83" t="inlineStr">
        <is>
          <t>FY2027 ($K)</t>
        </is>
      </c>
      <c r="C16" s="83" t="inlineStr">
        <is>
          <t>TAM Scope</t>
        </is>
      </c>
    </row>
    <row r="17" ht="10" customHeight="1">
      <c r="A17" s="84" t="inlineStr">
        <is>
          <t>Combatant Ships</t>
        </is>
      </c>
      <c r="B17" s="85">
        <f>SUMIFS(JB_27U,JB_V,"Combatant Ships",JB_S,"",JB_27U,"&lt;&gt;")+SUMIFS(JB_27S,JB_V,"Combatant Ships",JB_S,"",JB_27U,"")+SUMIFS(JB_27U,JB_V,"Combatant Ships",JB_S,"[PARENT]",JB_27U,"&lt;&gt;")+SUMIFS(JB_27S,JB_V,"Combatant Ships",JB_S,"[PARENT]",JB_27U,"")</f>
        <v/>
      </c>
      <c r="C17" s="80" t="inlineStr">
        <is>
          <t>YES → TAM</t>
        </is>
      </c>
    </row>
    <row r="18" ht="10" customHeight="1">
      <c r="A18" s="84" t="inlineStr">
        <is>
          <t>Auxiliary Ships</t>
        </is>
      </c>
      <c r="B18" s="85">
        <f>SUMIFS(JB_27U,JB_V,"Auxiliary Ships",JB_S,"",JB_27U,"&lt;&gt;")+SUMIFS(JB_27S,JB_V,"Auxiliary Ships",JB_S,"",JB_27U,"")+SUMIFS(JB_27U,JB_V,"Auxiliary Ships",JB_S,"[PARENT]",JB_27U,"&lt;&gt;")+SUMIFS(JB_27S,JB_V,"Auxiliary Ships",JB_S,"[PARENT]",JB_27U,"")</f>
        <v/>
      </c>
      <c r="C18" s="80" t="inlineStr">
        <is>
          <t>YES → TAM</t>
        </is>
      </c>
    </row>
    <row r="19" ht="10" customHeight="1">
      <c r="A19" s="84" t="inlineStr">
        <is>
          <t>Cutters</t>
        </is>
      </c>
      <c r="B19" s="85">
        <f>SUMIFS(JB_27U,JB_V,"Cutters",JB_S,"",JB_27U,"&lt;&gt;")+SUMIFS(JB_27S,JB_V,"Cutters",JB_S,"",JB_27U,"")+SUMIFS(JB_27U,JB_V,"Cutters",JB_S,"[PARENT]",JB_27U,"&lt;&gt;")+SUMIFS(JB_27S,JB_V,"Cutters",JB_S,"[PARENT]",JB_27U,"")</f>
        <v/>
      </c>
      <c r="C19" s="80" t="inlineStr">
        <is>
          <t>YES → TAM</t>
        </is>
      </c>
    </row>
    <row r="20" ht="10" customHeight="1">
      <c r="A20" s="84" t="inlineStr">
        <is>
          <t>Unmanned Maritime Platforms</t>
        </is>
      </c>
      <c r="B20" s="85">
        <f>SUMIFS(JB_27U,JB_V,"Unmanned Maritime Platforms",JB_S,"",JB_27U,"&lt;&gt;")+SUMIFS(JB_27S,JB_V,"Unmanned Maritime Platforms",JB_S,"",JB_27U,"")+SUMIFS(JB_27U,JB_V,"Unmanned Maritime Platforms",JB_S,"[PARENT]",JB_27U,"&lt;&gt;")+SUMIFS(JB_27S,JB_V,"Unmanned Maritime Platforms",JB_S,"[PARENT]",JB_27U,"")</f>
        <v/>
      </c>
      <c r="C20" s="80" t="inlineStr">
        <is>
          <t>YES → TAM</t>
        </is>
      </c>
    </row>
    <row r="21" ht="10" customHeight="1">
      <c r="A21" s="84" t="inlineStr">
        <is>
          <t>Combatant Crafts</t>
        </is>
      </c>
      <c r="B21" s="85">
        <f>SUMIFS(JB_27U,JB_V,"Combatant Crafts",JB_S,"",JB_27U,"&lt;&gt;")+SUMIFS(JB_27S,JB_V,"Combatant Crafts",JB_S,"",JB_27U,"")+SUMIFS(JB_27U,JB_V,"Combatant Crafts",JB_S,"[PARENT]",JB_27U,"&lt;&gt;")+SUMIFS(JB_27S,JB_V,"Combatant Crafts",JB_S,"[PARENT]",JB_27U,"")</f>
        <v/>
      </c>
      <c r="C21" s="80" t="inlineStr">
        <is>
          <t>No — small craft</t>
        </is>
      </c>
    </row>
    <row r="22" ht="10" customHeight="1">
      <c r="A22" s="84" t="inlineStr">
        <is>
          <t>Support Crafts</t>
        </is>
      </c>
      <c r="B22" s="85">
        <f>SUMIFS(JB_27U,JB_V,"Support Crafts",JB_S,"",JB_27U,"&lt;&gt;")+SUMIFS(JB_27S,JB_V,"Support Crafts",JB_S,"",JB_27U,"")+SUMIFS(JB_27U,JB_V,"Support Crafts",JB_S,"[PARENT]",JB_27U,"&lt;&gt;")+SUMIFS(JB_27S,JB_V,"Support Crafts",JB_S,"[PARENT]",JB_27U,"")</f>
        <v/>
      </c>
      <c r="C22" s="80" t="inlineStr">
        <is>
          <t>No — non-oceangoing</t>
        </is>
      </c>
    </row>
    <row r="23" ht="10" customHeight="1">
      <c r="A23" s="84" t="inlineStr">
        <is>
          <t>Boats</t>
        </is>
      </c>
      <c r="B23" s="85">
        <f>SUMIFS(JB_27U,JB_V,"Boats",JB_S,"",JB_27U,"&lt;&gt;")+SUMIFS(JB_27S,JB_V,"Boats",JB_S,"",JB_27U,"")+SUMIFS(JB_27U,JB_V,"Boats",JB_S,"[PARENT]",JB_27U,"&lt;&gt;")+SUMIFS(JB_27S,JB_V,"Boats",JB_S,"[PARENT]",JB_27U,"")</f>
        <v/>
      </c>
      <c r="C23" s="80" t="inlineStr">
        <is>
          <t>No — under 65 ft</t>
        </is>
      </c>
    </row>
    <row r="24" ht="10" customHeight="1">
      <c r="A24" s="84" t="inlineStr">
        <is>
          <t>Unattributed (fleet-wide)</t>
        </is>
      </c>
      <c r="B24" s="85">
        <f>SUMIFS(JB_27U,JB_V,"",JB_S,"",JB_27U,"&lt;&gt;")+SUMIFS(JB_27S,JB_V,"",JB_S,"",JB_27U,"")+SUMIFS(JB_27U,JB_V,"",JB_S,"[PARENT]",JB_27U,"&lt;&gt;")+SUMIFS(JB_27S,JB_V,"",JB_S,"[PARENT]",JB_27U,"")</f>
        <v/>
      </c>
      <c r="C24" s="80" t="inlineStr">
        <is>
          <t>No — not vessel-specific</t>
        </is>
      </c>
    </row>
    <row r="25" ht="10" customHeight="1">
      <c r="A25" s="86" t="inlineStr">
        <is>
          <t>Total</t>
        </is>
      </c>
      <c r="B25" s="87">
        <f>SUM(B17:B24)</f>
        <v/>
      </c>
      <c r="C25" s="88" t="n"/>
    </row>
    <row r="26" ht="10" customHeight="1">
      <c r="A26" s="89" t="inlineStr">
        <is>
          <t>TAM-eligible</t>
        </is>
      </c>
      <c r="B26" s="90">
        <f>B17+B18+B19+B20</f>
        <v/>
      </c>
    </row>
    <row r="27" ht="10" customHeight="1"/>
    <row r="28" ht="10" customHeight="1">
      <c r="A28" s="81" t="inlineStr">
        <is>
          <t>(C) FY2027 Total Funding by Source Book</t>
        </is>
      </c>
      <c r="B28" s="82" t="n"/>
    </row>
    <row r="29" ht="10" customHeight="1">
      <c r="A29" s="83" t="inlineStr">
        <is>
          <t>Source Book</t>
        </is>
      </c>
      <c r="B29" s="83" t="inlineStr">
        <is>
          <t>FY2027 ($K)</t>
        </is>
      </c>
    </row>
    <row r="30" ht="10" customHeight="1">
      <c r="A30" s="84" t="inlineStr">
        <is>
          <t>SCN</t>
        </is>
      </c>
      <c r="B30" s="85">
        <f>SUMIFS(JB_27U,JB_A,"SCN",JB_S,"",JB_27U,"&lt;&gt;")+SUMIFS(JB_27S,JB_A,"SCN",JB_S,"",JB_27U,"")+SUMIFS(JB_27U,JB_A,"SCN",JB_S,"[PARENT]",JB_27U,"&lt;&gt;")+SUMIFS(JB_27S,JB_A,"SCN",JB_S,"[PARENT]",JB_27U,"")</f>
        <v/>
      </c>
    </row>
    <row r="31" ht="10" customHeight="1">
      <c r="A31" s="84" t="inlineStr">
        <is>
          <t>WPN</t>
        </is>
      </c>
      <c r="B31" s="85">
        <f>SUMIFS(JB_27U,JB_A,"WPN",JB_S,"",JB_27U,"&lt;&gt;")+SUMIFS(JB_27S,JB_A,"WPN",JB_S,"",JB_27U,"")+SUMIFS(JB_27U,JB_A,"WPN",JB_S,"[PARENT]",JB_27U,"&lt;&gt;")+SUMIFS(JB_27S,JB_A,"WPN",JB_S,"[PARENT]",JB_27U,"")</f>
        <v/>
      </c>
    </row>
    <row r="32" ht="10" customHeight="1">
      <c r="A32" s="84" t="inlineStr">
        <is>
          <t>OPN_BA2</t>
        </is>
      </c>
      <c r="B32" s="85">
        <f>SUMIFS(JB_27U,JB_A,"OPN_BA2",JB_S,"",JB_27U,"&lt;&gt;")+SUMIFS(JB_27S,JB_A,"OPN_BA2",JB_S,"",JB_27U,"")+SUMIFS(JB_27U,JB_A,"OPN_BA2",JB_S,"[PARENT]",JB_27U,"&lt;&gt;")+SUMIFS(JB_27S,JB_A,"OPN_BA2",JB_S,"[PARENT]",JB_27U,"")</f>
        <v/>
      </c>
    </row>
    <row r="33" ht="10" customHeight="1">
      <c r="A33" s="84" t="inlineStr">
        <is>
          <t>OPN_BA1</t>
        </is>
      </c>
      <c r="B33" s="85">
        <f>SUMIFS(JB_27U,JB_A,"OPN_BA1",JB_S,"",JB_27U,"&lt;&gt;")+SUMIFS(JB_27S,JB_A,"OPN_BA1",JB_S,"",JB_27U,"")+SUMIFS(JB_27U,JB_A,"OPN_BA1",JB_S,"[PARENT]",JB_27U,"&lt;&gt;")+SUMIFS(JB_27S,JB_A,"OPN_BA1",JB_S,"[PARENT]",JB_27U,"")</f>
        <v/>
      </c>
    </row>
    <row r="34" ht="10" customHeight="1">
      <c r="A34" s="84" t="inlineStr">
        <is>
          <t>OPN_BA4</t>
        </is>
      </c>
      <c r="B34" s="85">
        <f>SUMIFS(JB_27U,JB_A,"OPN_BA4",JB_S,"",JB_27U,"&lt;&gt;")+SUMIFS(JB_27S,JB_A,"OPN_BA4",JB_S,"",JB_27U,"")+SUMIFS(JB_27U,JB_A,"OPN_BA4",JB_S,"[PARENT]",JB_27U,"&lt;&gt;")+SUMIFS(JB_27S,JB_A,"OPN_BA4",JB_S,"[PARENT]",JB_27U,"")</f>
        <v/>
      </c>
    </row>
    <row r="35" ht="10" customHeight="1">
      <c r="A35" s="84" t="inlineStr">
        <is>
          <t>OPN_BA3</t>
        </is>
      </c>
      <c r="B35" s="85">
        <f>SUMIFS(JB_27U,JB_A,"OPN_BA3",JB_S,"",JB_27U,"&lt;&gt;")+SUMIFS(JB_27S,JB_A,"OPN_BA3",JB_S,"",JB_27U,"")+SUMIFS(JB_27U,JB_A,"OPN_BA3",JB_S,"[PARENT]",JB_27U,"&lt;&gt;")+SUMIFS(JB_27S,JB_A,"OPN_BA3",JB_S,"[PARENT]",JB_27U,"")</f>
        <v/>
      </c>
    </row>
    <row r="36" ht="10" customHeight="1">
      <c r="A36" s="84" t="inlineStr">
        <is>
          <t>OPN_BA5-8</t>
        </is>
      </c>
      <c r="B36" s="85">
        <f>SUMIFS(JB_27U,JB_A,"OPN_BA5-8",JB_S,"",JB_27U,"&lt;&gt;")+SUMIFS(JB_27S,JB_A,"OPN_BA5-8",JB_S,"",JB_27U,"")+SUMIFS(JB_27U,JB_A,"OPN_BA5-8",JB_S,"[PARENT]",JB_27U,"&lt;&gt;")+SUMIFS(JB_27S,JB_A,"OPN_BA5-8",JB_S,"[PARENT]",JB_27U,"")</f>
        <v/>
      </c>
    </row>
    <row r="37" ht="10" customHeight="1">
      <c r="A37" s="84" t="inlineStr">
        <is>
          <t>NWCF</t>
        </is>
      </c>
      <c r="B37" s="85">
        <f>SUMIFS(JB_27U,JB_A,"NWCF",JB_S,"",JB_27U,"&lt;&gt;")+SUMIFS(JB_27S,JB_A,"NWCF",JB_S,"",JB_27U,"")+SUMIFS(JB_27U,JB_A,"NWCF",JB_S,"[PARENT]",JB_27U,"&lt;&gt;")+SUMIFS(JB_27S,JB_A,"NWCF",JB_S,"[PARENT]",JB_27U,"")</f>
        <v/>
      </c>
    </row>
    <row r="38" ht="10" customHeight="1">
      <c r="A38" s="84" t="inlineStr">
        <is>
          <t>OMN</t>
        </is>
      </c>
      <c r="B38" s="85">
        <f>SUMIFS(JB_27U,JB_A,"OMN",JB_S,"",JB_27U,"&lt;&gt;")+SUMIFS(JB_27S,JB_A,"OMN",JB_S,"",JB_27U,"")+SUMIFS(JB_27U,JB_A,"OMN",JB_S,"[PARENT]",JB_27U,"&lt;&gt;")+SUMIFS(JB_27S,JB_A,"OMN",JB_S,"[PARENT]",JB_27U,"")</f>
        <v/>
      </c>
    </row>
    <row r="39" ht="10" customHeight="1">
      <c r="A39" s="84" t="inlineStr">
        <is>
          <t>OMN_Vol2</t>
        </is>
      </c>
      <c r="B39" s="85">
        <f>SUMIFS(JB_27U,JB_A,"OMN_Vol2",JB_S,"",JB_27U,"&lt;&gt;")+SUMIFS(JB_27S,JB_A,"OMN_Vol2",JB_S,"",JB_27U,"")+SUMIFS(JB_27U,JB_A,"OMN_Vol2",JB_S,"[PARENT]",JB_27U,"&lt;&gt;")+SUMIFS(JB_27S,JB_A,"OMN_Vol2",JB_S,"[PARENT]",JB_27U,"")</f>
        <v/>
      </c>
    </row>
    <row r="40" ht="10" customHeight="1">
      <c r="A40" s="84" t="inlineStr">
        <is>
          <t>USCG</t>
        </is>
      </c>
      <c r="B40" s="85">
        <f>SUMIFS(JB_27U,JB_A,"USCG",JB_S,"",JB_27U,"&lt;&gt;")+SUMIFS(JB_27S,JB_A,"USCG",JB_S,"",JB_27U,"")+SUMIFS(JB_27U,JB_A,"USCG",JB_S,"[PARENT]",JB_27U,"&lt;&gt;")+SUMIFS(JB_27S,JB_A,"USCG",JB_S,"[PARENT]",JB_27U,"")</f>
        <v/>
      </c>
    </row>
    <row r="41" ht="10" customHeight="1">
      <c r="A41" s="86" t="inlineStr">
        <is>
          <t>Total</t>
        </is>
      </c>
      <c r="B41" s="87">
        <f>SUM(B30:B40)</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49"/>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c r="A11" s="81" t="inlineStr">
        <is>
          <t>(B) Newbuild TAM by Vessel Type</t>
        </is>
      </c>
      <c r="B11" s="82" t="n"/>
      <c r="C11" s="82" t="n"/>
      <c r="D11" s="82" t="n"/>
    </row>
    <row r="12" ht="10" customHeight="1">
      <c r="A12" s="83" t="inlineStr">
        <is>
          <t>Vessel Type</t>
        </is>
      </c>
      <c r="B12" s="83" t="inlineStr">
        <is>
          <t>Service</t>
        </is>
      </c>
      <c r="C12" s="83" t="inlineStr">
        <is>
          <t>FY2027 ($K)</t>
        </is>
      </c>
      <c r="D12" s="83" t="inlineStr">
        <is>
          <t>% of TAM</t>
        </is>
      </c>
    </row>
    <row r="13" ht="10" customHeight="1">
      <c r="A13" s="84" t="inlineStr">
        <is>
          <t>Submarines</t>
        </is>
      </c>
      <c r="B13" s="84" t="inlineStr">
        <is>
          <t>USN</t>
        </is>
      </c>
      <c r="C13" s="85">
        <f>SUMIFS(JB_27U,JB_B,1,JB_W,"Submarines",JB_S,"",JB_27U,"&lt;&gt;")+SUMIFS(JB_27S,JB_B,1,JB_W,"Submarines",JB_S,"",JB_27U,"")+SUMIFS(JB_27U,JB_B,1,JB_W,"Submarines",JB_S,"[PARENT]",JB_27U,"&lt;&gt;")+SUMIFS(JB_27S,JB_B,1,JB_W,"Submarines",JB_S,"[PARENT]",JB_27U,"")</f>
        <v/>
      </c>
      <c r="D13" s="91">
        <f>IFERROR(C13/C$41,0)</f>
        <v/>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IFERROR(C14/C$41,0)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IFERROR(C15/C$41,0)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IFERROR(C16/C$41,0)</f>
        <v/>
      </c>
    </row>
    <row r="17" ht="10" customHeight="1">
      <c r="A17" s="84" t="inlineStr">
        <is>
          <t>Aircraft Carriers</t>
        </is>
      </c>
      <c r="B17" s="84" t="inlineStr">
        <is>
          <t>USN</t>
        </is>
      </c>
      <c r="C17" s="85">
        <f>SUMIFS(JB_27U,JB_B,1,JB_W,"Aircraft Carriers",JB_S,"",JB_27U,"&lt;&gt;")+SUMIFS(JB_27S,JB_B,1,JB_W,"Aircraft Carriers",JB_S,"",JB_27U,"")+SUMIFS(JB_27U,JB_B,1,JB_W,"Aircraft Carriers",JB_S,"[PARENT]",JB_27U,"&lt;&gt;")+SUMIFS(JB_27S,JB_B,1,JB_W,"Aircraft Carriers",JB_S,"[PARENT]",JB_27U,"")</f>
        <v/>
      </c>
      <c r="D17" s="91">
        <f>IFERROR(C17/C$41,0)</f>
        <v/>
      </c>
    </row>
    <row r="18" ht="10" customHeight="1">
      <c r="A18" s="84" t="inlineStr">
        <is>
          <t>Combat Logistics Ships</t>
        </is>
      </c>
      <c r="B18" s="84" t="inlineStr">
        <is>
          <t>MSC</t>
        </is>
      </c>
      <c r="C18" s="85">
        <f>SUMIFS(JB_27U,JB_B,1,JB_W,"Combat Logistics Ships",JB_S,"",JB_27U,"&lt;&gt;")+SUMIFS(JB_27S,JB_B,1,JB_W,"Combat Logistics Ships",JB_S,"",JB_27U,"")+SUMIFS(JB_27U,JB_B,1,JB_W,"Combat Logistics Ships",JB_S,"[PARENT]",JB_27U,"&lt;&gt;")+SUMIFS(JB_27S,JB_B,1,JB_W,"Combat Logistics Ships",JB_S,"[PARENT]",JB_27U,"")</f>
        <v/>
      </c>
      <c r="D18" s="91">
        <f>IFERROR(C18/C$41,0)</f>
        <v/>
      </c>
    </row>
    <row r="19" ht="10" customHeight="1">
      <c r="A19" s="84" t="inlineStr">
        <is>
          <t>Expeditionary &amp; Seabasing Ships</t>
        </is>
      </c>
      <c r="B19" s="84" t="inlineStr">
        <is>
          <t>USN</t>
        </is>
      </c>
      <c r="C19"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9" s="91">
        <f>IFERROR(C19/C$41,0)</f>
        <v/>
      </c>
    </row>
    <row r="20" ht="10" customHeight="1">
      <c r="A20" s="84" t="inlineStr">
        <is>
          <t>Surveillance Ships</t>
        </is>
      </c>
      <c r="B20" s="84" t="inlineStr">
        <is>
          <t>USN</t>
        </is>
      </c>
      <c r="C20" s="85">
        <f>SUMIFS(JB_27U,JB_B,1,JB_W,"Surveillance Ships",JB_S,"",JB_27U,"&lt;&gt;")+SUMIFS(JB_27S,JB_B,1,JB_W,"Surveillance Ships",JB_S,"",JB_27U,"")+SUMIFS(JB_27U,JB_B,1,JB_W,"Surveillance Ships",JB_S,"[PARENT]",JB_27U,"&lt;&gt;")+SUMIFS(JB_27S,JB_B,1,JB_W,"Surveillance Ships",JB_S,"[PARENT]",JB_27U,"")</f>
        <v/>
      </c>
      <c r="D20" s="91">
        <f>IFERROR(C20/C$41,0)</f>
        <v/>
      </c>
    </row>
    <row r="21" ht="10" customHeight="1">
      <c r="A21" s="84" t="inlineStr">
        <is>
          <t>Hospital Ship</t>
        </is>
      </c>
      <c r="B21" s="84" t="inlineStr">
        <is>
          <t>MSC</t>
        </is>
      </c>
      <c r="C21" s="85">
        <f>SUMIFS(JB_27U,JB_B,1,JB_W,"Hospital Ship",JB_S,"",JB_27U,"&lt;&gt;")+SUMIFS(JB_27S,JB_B,1,JB_W,"Hospital Ship",JB_S,"",JB_27U,"")+SUMIFS(JB_27U,JB_B,1,JB_W,"Hospital Ship",JB_S,"[PARENT]",JB_27U,"&lt;&gt;")+SUMIFS(JB_27S,JB_B,1,JB_W,"Hospital Ship",JB_S,"[PARENT]",JB_27U,"")</f>
        <v/>
      </c>
      <c r="D21" s="91">
        <f>IFERROR(C21/C$41,0)</f>
        <v/>
      </c>
    </row>
    <row r="22" ht="10" customHeight="1">
      <c r="A22" s="84" t="inlineStr">
        <is>
          <t>Cargo &amp; Vehicle Cargo Ships</t>
        </is>
      </c>
      <c r="B22" s="84" t="inlineStr">
        <is>
          <t>USN</t>
        </is>
      </c>
      <c r="C22" s="85">
        <f>SUMIFS(JB_27U,JB_B,1,JB_W,"Cargo &amp; Vehicle Cargo Ships",JB_S,"",JB_27U,"&lt;&gt;")+SUMIFS(JB_27S,JB_B,1,JB_W,"Cargo &amp; Vehicle Cargo Ships",JB_S,"",JB_27U,"")+SUMIFS(JB_27U,JB_B,1,JB_W,"Cargo &amp; Vehicle Cargo Ships",JB_S,"[PARENT]",JB_27U,"&lt;&gt;")+SUMIFS(JB_27S,JB_B,1,JB_W,"Cargo &amp; Vehicle Cargo Ships",JB_S,"[PARENT]",JB_27U,"")</f>
        <v/>
      </c>
      <c r="D22" s="91">
        <f>IFERROR(C22/C$41,0)</f>
        <v/>
      </c>
    </row>
    <row r="23" ht="10" customHeight="1">
      <c r="A23" s="84" t="inlineStr">
        <is>
          <t>Unmanned Undersea Vehicles</t>
        </is>
      </c>
      <c r="B23" s="84" t="inlineStr">
        <is>
          <t>USN</t>
        </is>
      </c>
      <c r="C23" s="85">
        <f>SUMIFS(JB_27U,JB_B,1,JB_W,"Unmanned Undersea Vehicles",JB_S,"",JB_27U,"&lt;&gt;")+SUMIFS(JB_27S,JB_B,1,JB_W,"Unmanned Undersea Vehicles",JB_S,"",JB_27U,"")+SUMIFS(JB_27U,JB_B,1,JB_W,"Unmanned Undersea Vehicles",JB_S,"[PARENT]",JB_27U,"&lt;&gt;")+SUMIFS(JB_27S,JB_B,1,JB_W,"Unmanned Undersea Vehicles",JB_S,"[PARENT]",JB_27U,"")</f>
        <v/>
      </c>
      <c r="D23" s="91">
        <f>IFERROR(C23/C$41,0)</f>
        <v/>
      </c>
    </row>
    <row r="24" ht="10" customHeight="1">
      <c r="A24" s="84" t="inlineStr">
        <is>
          <t>Unmanned Surface Vehicles</t>
        </is>
      </c>
      <c r="B24" s="84" t="inlineStr">
        <is>
          <t>USN</t>
        </is>
      </c>
      <c r="C24" s="85">
        <f>SUMIFS(JB_27U,JB_B,1,JB_W,"Unmanned Surface Vehicles",JB_S,"",JB_27U,"&lt;&gt;")+SUMIFS(JB_27S,JB_B,1,JB_W,"Unmanned Surface Vehicles",JB_S,"",JB_27U,"")+SUMIFS(JB_27U,JB_B,1,JB_W,"Unmanned Surface Vehicles",JB_S,"[PARENT]",JB_27U,"&lt;&gt;")+SUMIFS(JB_27S,JB_B,1,JB_W,"Unmanned Surface Vehicles",JB_S,"[PARENT]",JB_27U,"")</f>
        <v/>
      </c>
      <c r="D24" s="91">
        <f>IFERROR(C24/C$41,0)</f>
        <v/>
      </c>
    </row>
    <row r="25" ht="10" customHeight="1">
      <c r="A25" s="84" t="inlineStr">
        <is>
          <t>Submarine Escort Ship</t>
        </is>
      </c>
      <c r="B25" s="84" t="inlineStr">
        <is>
          <t>USN</t>
        </is>
      </c>
      <c r="C25" s="85">
        <f>SUMIFS(JB_27U,JB_B,1,JB_W,"Submarine Escort Ship",JB_S,"",JB_27U,"&lt;&gt;")+SUMIFS(JB_27S,JB_B,1,JB_W,"Submarine Escort Ship",JB_S,"",JB_27U,"")+SUMIFS(JB_27U,JB_B,1,JB_W,"Submarine Escort Ship",JB_S,"[PARENT]",JB_27U,"&lt;&gt;")+SUMIFS(JB_27S,JB_B,1,JB_W,"Submarine Escort Ship",JB_S,"[PARENT]",JB_27U,"")</f>
        <v/>
      </c>
      <c r="D25" s="91">
        <f>IFERROR(C25/C$41,0)</f>
        <v/>
      </c>
    </row>
    <row r="26" ht="10" customHeight="1">
      <c r="A26" s="84" t="inlineStr">
        <is>
          <t>General Auxiliary</t>
        </is>
      </c>
      <c r="B26" s="84" t="inlineStr">
        <is>
          <t>USN</t>
        </is>
      </c>
      <c r="C26" s="85">
        <f>SUMIFS(JB_27U,JB_B,1,JB_W,"General Auxiliary",JB_S,"",JB_27U,"&lt;&gt;")+SUMIFS(JB_27S,JB_B,1,JB_W,"General Auxiliary",JB_S,"",JB_27U,"")+SUMIFS(JB_27U,JB_B,1,JB_W,"General Auxiliary",JB_S,"[PARENT]",JB_27U,"&lt;&gt;")+SUMIFS(JB_27S,JB_B,1,JB_W,"General Auxiliary",JB_S,"[PARENT]",JB_27U,"")</f>
        <v/>
      </c>
      <c r="D26" s="91">
        <f>IFERROR(C26/C$41,0)</f>
        <v/>
      </c>
    </row>
    <row r="27" ht="10" customHeight="1">
      <c r="A27" s="84" t="inlineStr">
        <is>
          <t>Command Ships</t>
        </is>
      </c>
      <c r="B27" s="84" t="inlineStr">
        <is>
          <t>USN</t>
        </is>
      </c>
      <c r="C27" s="85">
        <f>SUMIFS(JB_27U,JB_B,1,JB_W,"Command Ships",JB_S,"",JB_27U,"&lt;&gt;")+SUMIFS(JB_27S,JB_B,1,JB_W,"Command Ships",JB_S,"",JB_27U,"")+SUMIFS(JB_27U,JB_B,1,JB_W,"Command Ships",JB_S,"[PARENT]",JB_27U,"&lt;&gt;")+SUMIFS(JB_27S,JB_B,1,JB_W,"Command Ships",JB_S,"[PARENT]",JB_27U,"")</f>
        <v/>
      </c>
      <c r="D27" s="91">
        <f>IFERROR(C27/C$41,0)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1">
        <f>IFERROR(C28/C$41,0)</f>
        <v/>
      </c>
    </row>
    <row r="29" ht="10" customHeight="1">
      <c r="A29" s="84" t="inlineStr">
        <is>
          <t>Research, Survey &amp; Instrumentation Ships</t>
        </is>
      </c>
      <c r="B29" s="84" t="inlineStr">
        <is>
          <t>MSC</t>
        </is>
      </c>
      <c r="C29"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91">
        <f>IFERROR(C29/C$41,0)</f>
        <v/>
      </c>
    </row>
    <row r="30" ht="10" customHeight="1">
      <c r="A30" s="84" t="inlineStr">
        <is>
          <t>High Speed Transport</t>
        </is>
      </c>
      <c r="B30" s="84" t="inlineStr">
        <is>
          <t>USN</t>
        </is>
      </c>
      <c r="C30" s="85">
        <f>SUMIFS(JB_27U,JB_B,1,JB_W,"High Speed Transport",JB_S,"",JB_27U,"&lt;&gt;")+SUMIFS(JB_27S,JB_B,1,JB_W,"High Speed Transport",JB_S,"",JB_27U,"")+SUMIFS(JB_27U,JB_B,1,JB_W,"High Speed Transport",JB_S,"[PARENT]",JB_27U,"&lt;&gt;")+SUMIFS(JB_27S,JB_B,1,JB_W,"High Speed Transport",JB_S,"[PARENT]",JB_27U,"")</f>
        <v/>
      </c>
      <c r="D30" s="91">
        <f>IFERROR(C30/C$41,0)</f>
        <v/>
      </c>
    </row>
    <row r="31" ht="10" customHeight="1">
      <c r="A31" s="84" t="inlineStr">
        <is>
          <t>Mine Warfare</t>
        </is>
      </c>
      <c r="B31" s="84" t="inlineStr">
        <is>
          <t>USN</t>
        </is>
      </c>
      <c r="C31" s="85">
        <f>SUMIFS(JB_27U,JB_B,1,JB_W,"Mine Warfare",JB_S,"",JB_27U,"&lt;&gt;")+SUMIFS(JB_27S,JB_B,1,JB_W,"Mine Warfare",JB_S,"",JB_27U,"")+SUMIFS(JB_27U,JB_B,1,JB_W,"Mine Warfare",JB_S,"[PARENT]",JB_27U,"&lt;&gt;")+SUMIFS(JB_27S,JB_B,1,JB_W,"Mine Warfare",JB_S,"[PARENT]",JB_27U,"")</f>
        <v/>
      </c>
      <c r="D31" s="91">
        <f>IFERROR(C31/C$41,0)</f>
        <v/>
      </c>
    </row>
    <row r="32" ht="10" customHeight="1">
      <c r="A32" s="84" t="inlineStr">
        <is>
          <t>Aviation Logistics Support Ship</t>
        </is>
      </c>
      <c r="B32" s="84" t="inlineStr">
        <is>
          <t>USN</t>
        </is>
      </c>
      <c r="C32"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2" s="91">
        <f>IFERROR(C32/C$41,0)</f>
        <v/>
      </c>
    </row>
    <row r="33" ht="10" customHeight="1">
      <c r="A33" s="84" t="inlineStr">
        <is>
          <t>Salvage Ships &amp; Fleet Ocean Tugs</t>
        </is>
      </c>
      <c r="B33" s="84" t="inlineStr">
        <is>
          <t>MSC</t>
        </is>
      </c>
      <c r="C33"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3" s="91">
        <f>IFERROR(C33/C$41,0)</f>
        <v/>
      </c>
    </row>
    <row r="34" ht="10" customHeight="1">
      <c r="A34" s="84" t="inlineStr">
        <is>
          <t>National Security Cutters</t>
        </is>
      </c>
      <c r="B34" s="84" t="inlineStr">
        <is>
          <t>USCG</t>
        </is>
      </c>
      <c r="C34" s="85">
        <f>SUMIFS(JB_27U,JB_B,1,JB_W,"National Security Cutters",JB_S,"",JB_27U,"&lt;&gt;")+SUMIFS(JB_27S,JB_B,1,JB_W,"National Security Cutters",JB_S,"",JB_27U,"")+SUMIFS(JB_27U,JB_B,1,JB_W,"National Security Cutters",JB_S,"[PARENT]",JB_27U,"&lt;&gt;")+SUMIFS(JB_27S,JB_B,1,JB_W,"National Security Cutters",JB_S,"[PARENT]",JB_27U,"")</f>
        <v/>
      </c>
      <c r="D34" s="91">
        <f>IFERROR(C34/C$41,0)</f>
        <v/>
      </c>
    </row>
    <row r="35" ht="10" customHeight="1">
      <c r="A35" s="84" t="inlineStr">
        <is>
          <t>Waterways Commerce Cutters</t>
        </is>
      </c>
      <c r="B35" s="84" t="inlineStr">
        <is>
          <t>USCG</t>
        </is>
      </c>
      <c r="C35" s="85">
        <f>SUMIFS(JB_27U,JB_B,1,JB_W,"Waterways Commerce Cutters",JB_S,"",JB_27U,"&lt;&gt;")+SUMIFS(JB_27S,JB_B,1,JB_W,"Waterways Commerce Cutters",JB_S,"",JB_27U,"")+SUMIFS(JB_27U,JB_B,1,JB_W,"Waterways Commerce Cutters",JB_S,"[PARENT]",JB_27U,"&lt;&gt;")+SUMIFS(JB_27S,JB_B,1,JB_W,"Waterways Commerce Cutters",JB_S,"[PARENT]",JB_27U,"")</f>
        <v/>
      </c>
      <c r="D35" s="91">
        <f>IFERROR(C35/C$41,0)</f>
        <v/>
      </c>
    </row>
    <row r="36" ht="10" customHeight="1">
      <c r="A36" s="84" t="inlineStr">
        <is>
          <t>Icebreakers, Oceangoing</t>
        </is>
      </c>
      <c r="B36" s="84" t="inlineStr">
        <is>
          <t>USCG</t>
        </is>
      </c>
      <c r="C36" s="85">
        <f>SUMIFS(JB_27U,JB_B,1,JB_W,"Icebreakers, Oceangoing",JB_S,"",JB_27U,"&lt;&gt;")+SUMIFS(JB_27S,JB_B,1,JB_W,"Icebreakers, Oceangoing",JB_S,"",JB_27U,"")+SUMIFS(JB_27U,JB_B,1,JB_W,"Icebreakers, Oceangoing",JB_S,"[PARENT]",JB_27U,"&lt;&gt;")+SUMIFS(JB_27S,JB_B,1,JB_W,"Icebreakers, Oceangoing",JB_S,"[PARENT]",JB_27U,"")</f>
        <v/>
      </c>
      <c r="D36" s="91">
        <f>IFERROR(C36/C$41,0)</f>
        <v/>
      </c>
    </row>
    <row r="37" ht="10" customHeight="1">
      <c r="A37" s="84" t="inlineStr">
        <is>
          <t>Fast Response Cutters</t>
        </is>
      </c>
      <c r="B37" s="84" t="inlineStr">
        <is>
          <t>USCG</t>
        </is>
      </c>
      <c r="C37" s="85">
        <f>SUMIFS(JB_27U,JB_B,1,JB_W,"Fast Response Cutters",JB_S,"",JB_27U,"&lt;&gt;")+SUMIFS(JB_27S,JB_B,1,JB_W,"Fast Response Cutters",JB_S,"",JB_27U,"")+SUMIFS(JB_27U,JB_B,1,JB_W,"Fast Response Cutters",JB_S,"[PARENT]",JB_27U,"&lt;&gt;")+SUMIFS(JB_27S,JB_B,1,JB_W,"Fast Response Cutters",JB_S,"[PARENT]",JB_27U,"")</f>
        <v/>
      </c>
      <c r="D37" s="91">
        <f>IFERROR(C37/C$41,0)</f>
        <v/>
      </c>
    </row>
    <row r="38" ht="10" customHeight="1">
      <c r="A38" s="84" t="inlineStr">
        <is>
          <t>Offshore Patrol Cutter</t>
        </is>
      </c>
      <c r="B38" s="84" t="inlineStr">
        <is>
          <t>USCG</t>
        </is>
      </c>
      <c r="C38" s="85">
        <f>SUMIFS(JB_27U,JB_B,1,JB_W,"Offshore Patrol Cutter",JB_S,"",JB_27U,"&lt;&gt;")+SUMIFS(JB_27S,JB_B,1,JB_W,"Offshore Patrol Cutter",JB_S,"",JB_27U,"")+SUMIFS(JB_27U,JB_B,1,JB_W,"Offshore Patrol Cutter",JB_S,"[PARENT]",JB_27U,"&lt;&gt;")+SUMIFS(JB_27S,JB_B,1,JB_W,"Offshore Patrol Cutter",JB_S,"[PARENT]",JB_27U,"")</f>
        <v/>
      </c>
      <c r="D38" s="91">
        <f>IFERROR(C38/C$41,0)</f>
        <v/>
      </c>
    </row>
    <row r="39" ht="10" customHeight="1">
      <c r="A39" s="84" t="inlineStr">
        <is>
          <t>Icebreakers, Great Lakes</t>
        </is>
      </c>
      <c r="B39" s="84" t="inlineStr">
        <is>
          <t>USCG</t>
        </is>
      </c>
      <c r="C39" s="85">
        <f>SUMIFS(JB_27U,JB_B,1,JB_W,"Icebreakers, Great Lakes",JB_S,"",JB_27U,"&lt;&gt;")+SUMIFS(JB_27S,JB_B,1,JB_W,"Icebreakers, Great Lakes",JB_S,"",JB_27U,"")+SUMIFS(JB_27U,JB_B,1,JB_W,"Icebreakers, Great Lakes",JB_S,"[PARENT]",JB_27U,"&lt;&gt;")+SUMIFS(JB_27S,JB_B,1,JB_W,"Icebreakers, Great Lakes",JB_S,"[PARENT]",JB_27U,"")</f>
        <v/>
      </c>
      <c r="D39" s="91">
        <f>IFERROR(C39/C$41,0)</f>
        <v/>
      </c>
    </row>
    <row r="40" ht="10" customHeight="1">
      <c r="A40" s="84" t="inlineStr">
        <is>
          <t>Coastal Buoy Tenders</t>
        </is>
      </c>
      <c r="B40" s="84" t="inlineStr">
        <is>
          <t>USCG</t>
        </is>
      </c>
      <c r="C40" s="85">
        <f>SUMIFS(JB_27U,JB_B,1,JB_W,"Coastal Buoy Tenders",JB_S,"",JB_27U,"&lt;&gt;")+SUMIFS(JB_27S,JB_B,1,JB_W,"Coastal Buoy Tenders",JB_S,"",JB_27U,"")+SUMIFS(JB_27U,JB_B,1,JB_W,"Coastal Buoy Tenders",JB_S,"[PARENT]",JB_27U,"&lt;&gt;")+SUMIFS(JB_27S,JB_B,1,JB_W,"Coastal Buoy Tenders",JB_S,"[PARENT]",JB_27U,"")</f>
        <v/>
      </c>
      <c r="D40" s="91">
        <f>IFERROR(C40/C$41,0)</f>
        <v/>
      </c>
    </row>
    <row r="41" ht="10" customHeight="1">
      <c r="A41" s="86" t="inlineStr">
        <is>
          <t>Newbuild TAM</t>
        </is>
      </c>
      <c r="B41" s="86" t="inlineStr"/>
      <c r="C41" s="87">
        <f>SUM(C13:C40)</f>
        <v/>
      </c>
      <c r="D41" s="92" t="n">
        <v>1</v>
      </c>
    </row>
    <row r="42" ht="10" customHeight="1"/>
    <row r="43" ht="10" customHeight="1">
      <c r="A43" s="81" t="inlineStr">
        <is>
          <t>(C) Newbuild TAM — DD&amp;C vs AP/LLTM by Vessel Type (Mekko)</t>
        </is>
      </c>
      <c r="B43" s="82" t="n"/>
      <c r="C43" s="82" t="n"/>
      <c r="D43" s="82" t="n"/>
      <c r="E43" s="82" t="n"/>
      <c r="F43" s="82" t="n"/>
      <c r="G43" s="82" t="n"/>
      <c r="H43" s="82" t="n"/>
      <c r="I43" s="82" t="n"/>
      <c r="J43" s="82" t="n"/>
      <c r="K43" s="82" t="n"/>
      <c r="L43" s="82" t="n"/>
      <c r="M43" s="82" t="n"/>
      <c r="N43" s="82" t="n"/>
    </row>
    <row r="44" ht="10" customHeight="1">
      <c r="A44" s="93" t="n"/>
      <c r="B44" s="94" t="inlineStr">
        <is>
          <t>USN</t>
        </is>
      </c>
      <c r="C44" s="93" t="n"/>
      <c r="D44" s="93" t="n"/>
      <c r="E44" s="93" t="n"/>
      <c r="F44" s="93" t="n"/>
      <c r="G44" s="93" t="n"/>
      <c r="H44" s="93" t="n"/>
      <c r="I44" s="93" t="n"/>
      <c r="J44" s="93" t="n"/>
      <c r="K44" s="93" t="n"/>
      <c r="L44" s="93" t="n"/>
      <c r="M44" s="93" t="n"/>
      <c r="N44" s="95" t="n"/>
    </row>
    <row r="45" ht="10" customHeight="1">
      <c r="A45" s="96" t="inlineStr">
        <is>
          <t>Sub-Category</t>
        </is>
      </c>
      <c r="B45" s="97" t="inlineStr">
        <is>
          <t>Submarines</t>
        </is>
      </c>
      <c r="C45" s="96" t="inlineStr">
        <is>
          <t>Amphibious Warfare Ships</t>
        </is>
      </c>
      <c r="D45" s="96" t="inlineStr">
        <is>
          <t>Surface Combatants</t>
        </is>
      </c>
      <c r="E45" s="96" t="inlineStr">
        <is>
          <t>Material Support Ships</t>
        </is>
      </c>
      <c r="F45" s="96" t="inlineStr">
        <is>
          <t>Aircraft Carriers</t>
        </is>
      </c>
      <c r="G45" s="96" t="inlineStr">
        <is>
          <t>Combat Logistics Ships</t>
        </is>
      </c>
      <c r="H45" s="96" t="inlineStr">
        <is>
          <t>Expeditionary &amp; Seabasing Ships</t>
        </is>
      </c>
      <c r="I45" s="96" t="inlineStr">
        <is>
          <t>Surveillance Ships</t>
        </is>
      </c>
      <c r="J45" s="96" t="inlineStr">
        <is>
          <t>Hospital Ship</t>
        </is>
      </c>
      <c r="K45" s="96" t="inlineStr">
        <is>
          <t>Cargo &amp; Vehicle Cargo Ships</t>
        </is>
      </c>
      <c r="L45" s="96" t="inlineStr">
        <is>
          <t>Unmanned Undersea Vehicles</t>
        </is>
      </c>
      <c r="M45" s="96" t="inlineStr">
        <is>
          <t>Unmanned Surface Vehicles</t>
        </is>
      </c>
      <c r="N45" s="97" t="inlineStr">
        <is>
          <t>Total</t>
        </is>
      </c>
    </row>
    <row r="46" ht="10" customHeight="1">
      <c r="A46" s="84" t="inlineStr">
        <is>
          <t>Full Ship DD&amp;C</t>
        </is>
      </c>
      <c r="B46" s="98">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procurement",JB_S,"[PARENT]",JB_27U,""))/B$49,0)</f>
        <v/>
      </c>
      <c r="C46"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procurement",JB_S,"[PARENT]",JB_27U,""))/C$49,0)</f>
        <v/>
      </c>
      <c r="D46"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procurement",JB_S,"[PARENT]",JB_27U,""))/D$49,0)</f>
        <v/>
      </c>
      <c r="E46"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procurement",JB_S,"[PARENT]",JB_27U,""))/E$49,0)</f>
        <v/>
      </c>
      <c r="F46"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procurement",JB_S,"[PARENT]",JB_27U,""))/F$49,0)</f>
        <v/>
      </c>
      <c r="G46"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procurement",JB_S,"[PARENT]",JB_27U,""))/G$49,0)</f>
        <v/>
      </c>
      <c r="H46"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procurement",JB_S,"[PARENT]",JB_27U,""))/H$49,0)</f>
        <v/>
      </c>
      <c r="I46"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procurement",JB_S,"[PARENT]",JB_27U,""))/I$49,0)</f>
        <v/>
      </c>
      <c r="J46"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procurement",JB_S,"[PARENT]",JB_27U,""))/J$49,0)</f>
        <v/>
      </c>
      <c r="K46"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procurement",JB_S,"[PARENT]",JB_27U,""))/K$49,0)</f>
        <v/>
      </c>
      <c r="L46"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procurement",JB_S,"[PARENT]",JB_27U,""))/L$49,0)</f>
        <v/>
      </c>
      <c r="M46"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procurement",JB_S,"[PARENT]",JB_27U,""))/M$49,0)</f>
        <v/>
      </c>
      <c r="N46" s="98">
        <f>IFERROR(1-N47,0)</f>
        <v/>
      </c>
    </row>
    <row r="47" ht="10" customHeight="1">
      <c r="A47" s="84" t="inlineStr">
        <is>
          <t>Advance Procurement / LLTM</t>
        </is>
      </c>
      <c r="B47" s="98">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LLTM",JB_S,"[PARENT]",JB_27U,""))/B$49,0)</f>
        <v/>
      </c>
      <c r="C47"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LLTM",JB_S,"[PARENT]",JB_27U,""))/C$49,0)</f>
        <v/>
      </c>
      <c r="D47"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LLTM",JB_S,"[PARENT]",JB_27U,""))/D$49,0)</f>
        <v/>
      </c>
      <c r="E47"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LLTM",JB_S,"[PARENT]",JB_27U,""))/E$49,0)</f>
        <v/>
      </c>
      <c r="F47"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LLTM",JB_S,"[PARENT]",JB_27U,""))/F$49,0)</f>
        <v/>
      </c>
      <c r="G47"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LLTM",JB_S,"[PARENT]",JB_27U,""))/G$49,0)</f>
        <v/>
      </c>
      <c r="H47"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LLTM",JB_S,"[PARENT]",JB_27U,""))/H$49,0)</f>
        <v/>
      </c>
      <c r="I47"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LLTM",JB_S,"[PARENT]",JB_27U,""))/I$49,0)</f>
        <v/>
      </c>
      <c r="J47"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LLTM",JB_S,"[PARENT]",JB_27U,""))/J$49,0)</f>
        <v/>
      </c>
      <c r="K47"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LLTM",JB_S,"[PARENT]",JB_27U,""))/K$49,0)</f>
        <v/>
      </c>
      <c r="L47"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LLTM",JB_S,"[PARENT]",JB_27U,""))/L$49,0)</f>
        <v/>
      </c>
      <c r="M47"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LLTM",JB_S,"[PARENT]",JB_27U,""))/M$49,0)</f>
        <v/>
      </c>
      <c r="N47" s="9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LLTM",JB_S,"[PARENT]",JB_27U,""))/N$49,0)</f>
        <v/>
      </c>
    </row>
    <row r="48" ht="10" customHeight="1">
      <c r="A48" s="84" t="inlineStr">
        <is>
          <t>Other NC Sub-Categories</t>
        </is>
      </c>
      <c r="B48" s="98">
        <f>IFERROR(1-B46-B47,0)</f>
        <v/>
      </c>
      <c r="C48" s="91">
        <f>IFERROR(1-C46-C47,0)</f>
        <v/>
      </c>
      <c r="D48" s="91">
        <f>IFERROR(1-D46-D47,0)</f>
        <v/>
      </c>
      <c r="E48" s="91">
        <f>IFERROR(1-E46-E47,0)</f>
        <v/>
      </c>
      <c r="F48" s="91">
        <f>IFERROR(1-F46-F47,0)</f>
        <v/>
      </c>
      <c r="G48" s="91">
        <f>IFERROR(1-G46-G47,0)</f>
        <v/>
      </c>
      <c r="H48" s="91">
        <f>IFERROR(1-H46-H47,0)</f>
        <v/>
      </c>
      <c r="I48" s="91">
        <f>IFERROR(1-I46-I47,0)</f>
        <v/>
      </c>
      <c r="J48" s="91">
        <f>IFERROR(1-J46-J47,0)</f>
        <v/>
      </c>
      <c r="K48" s="91">
        <f>IFERROR(1-K46-K47,0)</f>
        <v/>
      </c>
      <c r="L48" s="91">
        <f>IFERROR(1-L46-L47,0)</f>
        <v/>
      </c>
      <c r="M48" s="91">
        <f>IFERROR(1-M46-M47,0)</f>
        <v/>
      </c>
      <c r="N48" s="98">
        <f>IFERROR(1-N46-N47,0)</f>
        <v/>
      </c>
    </row>
    <row r="49" ht="10" customHeight="1">
      <c r="A49" s="86" t="inlineStr">
        <is>
          <t>Total ($K)</t>
        </is>
      </c>
      <c r="B49" s="99">
        <f>SUMIFS(JB_27U,JB_B,1,JB_W,"Submarines",JB_S,"",JB_27U,"&lt;&gt;")+SUMIFS(JB_27S,JB_B,1,JB_W,"Submarines",JB_S,"",JB_27U,"")+SUMIFS(JB_27U,JB_B,1,JB_W,"Submarines",JB_S,"[PARENT]",JB_27U,"&lt;&gt;")+SUMIFS(JB_27S,JB_B,1,JB_W,"Submarines",JB_S,"[PARENT]",JB_27U,"")</f>
        <v/>
      </c>
      <c r="C49" s="87">
        <f>SUMIFS(JB_27U,JB_B,1,JB_W,"Amphibious Warfare Ships",JB_S,"",JB_27U,"&lt;&gt;")+SUMIFS(JB_27S,JB_B,1,JB_W,"Amphibious Warfare Ships",JB_S,"",JB_27U,"")+SUMIFS(JB_27U,JB_B,1,JB_W,"Amphibious Warfare Ships",JB_S,"[PARENT]",JB_27U,"&lt;&gt;")+SUMIFS(JB_27S,JB_B,1,JB_W,"Amphibious Warfare Ships",JB_S,"[PARENT]",JB_27U,"")</f>
        <v/>
      </c>
      <c r="D49" s="87">
        <f>SUMIFS(JB_27U,JB_B,1,JB_W,"Surface Combatants",JB_S,"",JB_27U,"&lt;&gt;")+SUMIFS(JB_27S,JB_B,1,JB_W,"Surface Combatants",JB_S,"",JB_27U,"")+SUMIFS(JB_27U,JB_B,1,JB_W,"Surface Combatants",JB_S,"[PARENT]",JB_27U,"&lt;&gt;")+SUMIFS(JB_27S,JB_B,1,JB_W,"Surface Combatants",JB_S,"[PARENT]",JB_27U,"")</f>
        <v/>
      </c>
      <c r="E49" s="87">
        <f>SUMIFS(JB_27U,JB_B,1,JB_W,"Material Support Ships",JB_S,"",JB_27U,"&lt;&gt;")+SUMIFS(JB_27S,JB_B,1,JB_W,"Material Support Ships",JB_S,"",JB_27U,"")+SUMIFS(JB_27U,JB_B,1,JB_W,"Material Support Ships",JB_S,"[PARENT]",JB_27U,"&lt;&gt;")+SUMIFS(JB_27S,JB_B,1,JB_W,"Material Support Ships",JB_S,"[PARENT]",JB_27U,"")</f>
        <v/>
      </c>
      <c r="F49" s="87">
        <f>SUMIFS(JB_27U,JB_B,1,JB_W,"Aircraft Carriers",JB_S,"",JB_27U,"&lt;&gt;")+SUMIFS(JB_27S,JB_B,1,JB_W,"Aircraft Carriers",JB_S,"",JB_27U,"")+SUMIFS(JB_27U,JB_B,1,JB_W,"Aircraft Carriers",JB_S,"[PARENT]",JB_27U,"&lt;&gt;")+SUMIFS(JB_27S,JB_B,1,JB_W,"Aircraft Carriers",JB_S,"[PARENT]",JB_27U,"")</f>
        <v/>
      </c>
      <c r="G49" s="87">
        <f>SUMIFS(JB_27U,JB_B,1,JB_W,"Combat Logistics Ships",JB_S,"",JB_27U,"&lt;&gt;")+SUMIFS(JB_27S,JB_B,1,JB_W,"Combat Logistics Ships",JB_S,"",JB_27U,"")+SUMIFS(JB_27U,JB_B,1,JB_W,"Combat Logistics Ships",JB_S,"[PARENT]",JB_27U,"&lt;&gt;")+SUMIFS(JB_27S,JB_B,1,JB_W,"Combat Logistics Ships",JB_S,"[PARENT]",JB_27U,"")</f>
        <v/>
      </c>
      <c r="H49"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49" s="87">
        <f>SUMIFS(JB_27U,JB_B,1,JB_W,"Surveillance Ships",JB_S,"",JB_27U,"&lt;&gt;")+SUMIFS(JB_27S,JB_B,1,JB_W,"Surveillance Ships",JB_S,"",JB_27U,"")+SUMIFS(JB_27U,JB_B,1,JB_W,"Surveillance Ships",JB_S,"[PARENT]",JB_27U,"&lt;&gt;")+SUMIFS(JB_27S,JB_B,1,JB_W,"Surveillance Ships",JB_S,"[PARENT]",JB_27U,"")</f>
        <v/>
      </c>
      <c r="J49" s="87">
        <f>SUMIFS(JB_27U,JB_B,1,JB_W,"Hospital Ship",JB_S,"",JB_27U,"&lt;&gt;")+SUMIFS(JB_27S,JB_B,1,JB_W,"Hospital Ship",JB_S,"",JB_27U,"")+SUMIFS(JB_27U,JB_B,1,JB_W,"Hospital Ship",JB_S,"[PARENT]",JB_27U,"&lt;&gt;")+SUMIFS(JB_27S,JB_B,1,JB_W,"Hospital Ship",JB_S,"[PARENT]",JB_27U,"")</f>
        <v/>
      </c>
      <c r="K49" s="87">
        <f>SUMIFS(JB_27U,JB_B,1,JB_W,"Cargo &amp; Vehicle Cargo Ships",JB_S,"",JB_27U,"&lt;&gt;")+SUMIFS(JB_27S,JB_B,1,JB_W,"Cargo &amp; Vehicle Cargo Ships",JB_S,"",JB_27U,"")+SUMIFS(JB_27U,JB_B,1,JB_W,"Cargo &amp; Vehicle Cargo Ships",JB_S,"[PARENT]",JB_27U,"&lt;&gt;")+SUMIFS(JB_27S,JB_B,1,JB_W,"Cargo &amp; Vehicle Cargo Ships",JB_S,"[PARENT]",JB_27U,"")</f>
        <v/>
      </c>
      <c r="L49" s="87">
        <f>SUMIFS(JB_27U,JB_B,1,JB_W,"Unmanned Undersea Vehicles",JB_S,"",JB_27U,"&lt;&gt;")+SUMIFS(JB_27S,JB_B,1,JB_W,"Unmanned Undersea Vehicles",JB_S,"",JB_27U,"")+SUMIFS(JB_27U,JB_B,1,JB_W,"Unmanned Undersea Vehicles",JB_S,"[PARENT]",JB_27U,"&lt;&gt;")+SUMIFS(JB_27S,JB_B,1,JB_W,"Unmanned Undersea Vehicles",JB_S,"[PARENT]",JB_27U,"")</f>
        <v/>
      </c>
      <c r="M49" s="87">
        <f>SUMIFS(JB_27U,JB_B,1,JB_W,"Unmanned Surface Vehicles",JB_S,"",JB_27U,"&lt;&gt;")+SUMIFS(JB_27S,JB_B,1,JB_W,"Unmanned Surface Vehicles",JB_S,"",JB_27U,"")+SUMIFS(JB_27U,JB_B,1,JB_W,"Unmanned Surface Vehicles",JB_S,"[PARENT]",JB_27U,"&lt;&gt;")+SUMIFS(JB_27S,JB_B,1,JB_W,"Unmanned Surface Vehicles",JB_S,"[PARENT]",JB_27U,"")</f>
        <v/>
      </c>
      <c r="N49" s="99">
        <f>SUM(B49:M49)</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c r="A11" s="81" t="inlineStr">
        <is>
          <t>(B) Newbuild SAM by Vessel Type</t>
        </is>
      </c>
      <c r="B11" s="82" t="n"/>
      <c r="C11" s="82" t="n"/>
      <c r="D11" s="82" t="n"/>
    </row>
    <row r="12" ht="10" customHeight="1">
      <c r="A12" s="83" t="inlineStr">
        <is>
          <t>Vessel Type</t>
        </is>
      </c>
      <c r="B12" s="83" t="inlineStr">
        <is>
          <t>Service</t>
        </is>
      </c>
      <c r="C12" s="83" t="inlineStr">
        <is>
          <t>FY2027 ($K)</t>
        </is>
      </c>
      <c r="D12" s="83" t="inlineStr">
        <is>
          <t>% of SAM</t>
        </is>
      </c>
    </row>
    <row r="13" ht="10" customHeight="1">
      <c r="A13" s="84" t="inlineStr">
        <is>
          <t>Amphibious Warfare Ships</t>
        </is>
      </c>
      <c r="B13" s="84" t="inlineStr">
        <is>
          <t>USN</t>
        </is>
      </c>
      <c r="C13" s="85">
        <f>SUMIFS(JB_27U,JB_B,1,JB_W,"Amphibious Warfare Ships",JB_S,"",JB_27U,"&lt;&gt;")+SUMIFS(JB_27S,JB_B,1,JB_W,"Amphibious Warfare Ships",JB_S,"",JB_27U,"")+SUMIFS(JB_27U,JB_B,1,JB_W,"Amphibious Warfare Ships",JB_S,"[PARENT]",JB_27U,"&lt;&gt;")+SUMIFS(JB_27S,JB_B,1,JB_W,"Amphibious Warfare Ships",JB_S,"[PARENT]",JB_27U,"")</f>
        <v/>
      </c>
      <c r="D13" s="91">
        <f>IFERROR(C13/C$38,0)</f>
        <v/>
      </c>
    </row>
    <row r="14" ht="10" customHeight="1">
      <c r="A14" s="84" t="inlineStr">
        <is>
          <t>Surface Combatants</t>
        </is>
      </c>
      <c r="B14" s="84" t="inlineStr">
        <is>
          <t>USN</t>
        </is>
      </c>
      <c r="C14" s="85">
        <f>SUMIFS(JB_27U,JB_B,1,JB_W,"Surface Combatants",JB_S,"",JB_27U,"&lt;&gt;")+SUMIFS(JB_27S,JB_B,1,JB_W,"Surface Combatants",JB_S,"",JB_27U,"")+SUMIFS(JB_27U,JB_B,1,JB_W,"Surface Combatants",JB_S,"[PARENT]",JB_27U,"&lt;&gt;")+SUMIFS(JB_27S,JB_B,1,JB_W,"Surface Combatants",JB_S,"[PARENT]",JB_27U,"")</f>
        <v/>
      </c>
      <c r="D14" s="91">
        <f>IFERROR(C14/C$38,0)</f>
        <v/>
      </c>
    </row>
    <row r="15" ht="10" customHeight="1">
      <c r="A15" s="84" t="inlineStr">
        <is>
          <t>Material Support Ships</t>
        </is>
      </c>
      <c r="B15" s="84" t="inlineStr">
        <is>
          <t>USN</t>
        </is>
      </c>
      <c r="C15" s="85">
        <f>SUMIFS(JB_27U,JB_B,1,JB_W,"Material Support Ships",JB_S,"",JB_27U,"&lt;&gt;")+SUMIFS(JB_27S,JB_B,1,JB_W,"Material Support Ships",JB_S,"",JB_27U,"")+SUMIFS(JB_27U,JB_B,1,JB_W,"Material Support Ships",JB_S,"[PARENT]",JB_27U,"&lt;&gt;")+SUMIFS(JB_27S,JB_B,1,JB_W,"Material Support Ships",JB_S,"[PARENT]",JB_27U,"")</f>
        <v/>
      </c>
      <c r="D15" s="91">
        <f>IFERROR(C15/C$38,0)</f>
        <v/>
      </c>
    </row>
    <row r="16" ht="10" customHeight="1">
      <c r="A16" s="84" t="inlineStr">
        <is>
          <t>Combat Logistics Ships</t>
        </is>
      </c>
      <c r="B16" s="84" t="inlineStr">
        <is>
          <t>MSC</t>
        </is>
      </c>
      <c r="C16" s="85">
        <f>SUMIFS(JB_27U,JB_B,1,JB_W,"Combat Logistics Ships",JB_S,"",JB_27U,"&lt;&gt;")+SUMIFS(JB_27S,JB_B,1,JB_W,"Combat Logistics Ships",JB_S,"",JB_27U,"")+SUMIFS(JB_27U,JB_B,1,JB_W,"Combat Logistics Ships",JB_S,"[PARENT]",JB_27U,"&lt;&gt;")+SUMIFS(JB_27S,JB_B,1,JB_W,"Combat Logistics Ships",JB_S,"[PARENT]",JB_27U,"")</f>
        <v/>
      </c>
      <c r="D16" s="91">
        <f>IFERROR(C16/C$38,0)</f>
        <v/>
      </c>
    </row>
    <row r="17" ht="10" customHeight="1">
      <c r="A17" s="84" t="inlineStr">
        <is>
          <t>Expeditionary &amp; Seabasing Ships</t>
        </is>
      </c>
      <c r="B17" s="84" t="inlineStr">
        <is>
          <t>USN</t>
        </is>
      </c>
      <c r="C17"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7" s="91">
        <f>IFERROR(C17/C$38,0)</f>
        <v/>
      </c>
    </row>
    <row r="18" ht="10" customHeight="1">
      <c r="A18" s="84" t="inlineStr">
        <is>
          <t>Surveillance Ships</t>
        </is>
      </c>
      <c r="B18" s="84" t="inlineStr">
        <is>
          <t>USN</t>
        </is>
      </c>
      <c r="C18" s="85">
        <f>SUMIFS(JB_27U,JB_B,1,JB_W,"Surveillance Ships",JB_S,"",JB_27U,"&lt;&gt;")+SUMIFS(JB_27S,JB_B,1,JB_W,"Surveillance Ships",JB_S,"",JB_27U,"")+SUMIFS(JB_27U,JB_B,1,JB_W,"Surveillance Ships",JB_S,"[PARENT]",JB_27U,"&lt;&gt;")+SUMIFS(JB_27S,JB_B,1,JB_W,"Surveillance Ships",JB_S,"[PARENT]",JB_27U,"")</f>
        <v/>
      </c>
      <c r="D18" s="91">
        <f>IFERROR(C18/C$38,0)</f>
        <v/>
      </c>
    </row>
    <row r="19" ht="10" customHeight="1">
      <c r="A19" s="84" t="inlineStr">
        <is>
          <t>Hospital Ship</t>
        </is>
      </c>
      <c r="B19" s="84" t="inlineStr">
        <is>
          <t>MSC</t>
        </is>
      </c>
      <c r="C19" s="85">
        <f>SUMIFS(JB_27U,JB_B,1,JB_W,"Hospital Ship",JB_S,"",JB_27U,"&lt;&gt;")+SUMIFS(JB_27S,JB_B,1,JB_W,"Hospital Ship",JB_S,"",JB_27U,"")+SUMIFS(JB_27U,JB_B,1,JB_W,"Hospital Ship",JB_S,"[PARENT]",JB_27U,"&lt;&gt;")+SUMIFS(JB_27S,JB_B,1,JB_W,"Hospital Ship",JB_S,"[PARENT]",JB_27U,"")</f>
        <v/>
      </c>
      <c r="D19" s="91">
        <f>IFERROR(C19/C$38,0)</f>
        <v/>
      </c>
    </row>
    <row r="20" ht="10" customHeight="1">
      <c r="A20" s="84" t="inlineStr">
        <is>
          <t>Cargo &amp; Vehicle Cargo Ships</t>
        </is>
      </c>
      <c r="B20" s="84" t="inlineStr">
        <is>
          <t>USN</t>
        </is>
      </c>
      <c r="C20" s="85">
        <f>SUMIFS(JB_27U,JB_B,1,JB_W,"Cargo &amp; Vehicle Cargo Ships",JB_S,"",JB_27U,"&lt;&gt;")+SUMIFS(JB_27S,JB_B,1,JB_W,"Cargo &amp; Vehicle Cargo Ships",JB_S,"",JB_27U,"")+SUMIFS(JB_27U,JB_B,1,JB_W,"Cargo &amp; Vehicle Cargo Ships",JB_S,"[PARENT]",JB_27U,"&lt;&gt;")+SUMIFS(JB_27S,JB_B,1,JB_W,"Cargo &amp; Vehicle Cargo Ships",JB_S,"[PARENT]",JB_27U,"")</f>
        <v/>
      </c>
      <c r="D20" s="91">
        <f>IFERROR(C20/C$38,0)</f>
        <v/>
      </c>
    </row>
    <row r="21" ht="10" customHeight="1">
      <c r="A21" s="84" t="inlineStr">
        <is>
          <t>Unmanned Surface Vehicles</t>
        </is>
      </c>
      <c r="B21" s="84" t="inlineStr">
        <is>
          <t>USN</t>
        </is>
      </c>
      <c r="C21" s="85">
        <f>SUMIFS(JB_27U,JB_B,1,JB_W,"Unmanned Surface Vehicles",JB_S,"",JB_27U,"&lt;&gt;")+SUMIFS(JB_27S,JB_B,1,JB_W,"Unmanned Surface Vehicles",JB_S,"",JB_27U,"")+SUMIFS(JB_27U,JB_B,1,JB_W,"Unmanned Surface Vehicles",JB_S,"[PARENT]",JB_27U,"&lt;&gt;")+SUMIFS(JB_27S,JB_B,1,JB_W,"Unmanned Surface Vehicles",JB_S,"[PARENT]",JB_27U,"")</f>
        <v/>
      </c>
      <c r="D21" s="91">
        <f>IFERROR(C21/C$38,0)</f>
        <v/>
      </c>
    </row>
    <row r="22" ht="10" customHeight="1">
      <c r="A22" s="84" t="inlineStr">
        <is>
          <t>Crane Ship</t>
        </is>
      </c>
      <c r="B22" s="84" t="inlineStr">
        <is>
          <t>USN</t>
        </is>
      </c>
      <c r="C22" s="85">
        <f>SUMIFS(JB_27U,JB_B,1,JB_W,"Crane Ship",JB_S,"",JB_27U,"&lt;&gt;")+SUMIFS(JB_27S,JB_B,1,JB_W,"Crane Ship",JB_S,"",JB_27U,"")+SUMIFS(JB_27U,JB_B,1,JB_W,"Crane Ship",JB_S,"[PARENT]",JB_27U,"&lt;&gt;")+SUMIFS(JB_27S,JB_B,1,JB_W,"Crane Ship",JB_S,"[PARENT]",JB_27U,"")</f>
        <v/>
      </c>
      <c r="D22" s="91">
        <f>IFERROR(C22/C$38,0)</f>
        <v/>
      </c>
    </row>
    <row r="23" ht="10" customHeight="1">
      <c r="A23" s="84" t="inlineStr">
        <is>
          <t>Submarine Escort Ship</t>
        </is>
      </c>
      <c r="B23" s="84" t="inlineStr">
        <is>
          <t>USN</t>
        </is>
      </c>
      <c r="C23" s="85">
        <f>SUMIFS(JB_27U,JB_B,1,JB_W,"Submarine Escort Ship",JB_S,"",JB_27U,"&lt;&gt;")+SUMIFS(JB_27S,JB_B,1,JB_W,"Submarine Escort Ship",JB_S,"",JB_27U,"")+SUMIFS(JB_27U,JB_B,1,JB_W,"Submarine Escort Ship",JB_S,"[PARENT]",JB_27U,"&lt;&gt;")+SUMIFS(JB_27S,JB_B,1,JB_W,"Submarine Escort Ship",JB_S,"[PARENT]",JB_27U,"")</f>
        <v/>
      </c>
      <c r="D23" s="91">
        <f>IFERROR(C23/C$38,0)</f>
        <v/>
      </c>
    </row>
    <row r="24" ht="10" customHeight="1">
      <c r="A24" s="84" t="inlineStr">
        <is>
          <t>Research, Survey &amp; Instrumentation Ships</t>
        </is>
      </c>
      <c r="B24" s="84" t="inlineStr">
        <is>
          <t>MSC</t>
        </is>
      </c>
      <c r="C24"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4" s="91">
        <f>IFERROR(C24/C$38,0)</f>
        <v/>
      </c>
    </row>
    <row r="25" ht="10" customHeight="1">
      <c r="A25" s="84" t="inlineStr">
        <is>
          <t>High Speed Transport</t>
        </is>
      </c>
      <c r="B25" s="84" t="inlineStr">
        <is>
          <t>USN</t>
        </is>
      </c>
      <c r="C25" s="85">
        <f>SUMIFS(JB_27U,JB_B,1,JB_W,"High Speed Transport",JB_S,"",JB_27U,"&lt;&gt;")+SUMIFS(JB_27S,JB_B,1,JB_W,"High Speed Transport",JB_S,"",JB_27U,"")+SUMIFS(JB_27U,JB_B,1,JB_W,"High Speed Transport",JB_S,"[PARENT]",JB_27U,"&lt;&gt;")+SUMIFS(JB_27S,JB_B,1,JB_W,"High Speed Transport",JB_S,"[PARENT]",JB_27U,"")</f>
        <v/>
      </c>
      <c r="D25" s="91">
        <f>IFERROR(C25/C$38,0)</f>
        <v/>
      </c>
    </row>
    <row r="26" ht="10" customHeight="1">
      <c r="A26" s="84" t="inlineStr">
        <is>
          <t>General Auxiliary</t>
        </is>
      </c>
      <c r="B26" s="84" t="inlineStr">
        <is>
          <t>USN</t>
        </is>
      </c>
      <c r="C26" s="85">
        <f>SUMIFS(JB_27U,JB_B,1,JB_W,"General Auxiliary",JB_S,"",JB_27U,"&lt;&gt;")+SUMIFS(JB_27S,JB_B,1,JB_W,"General Auxiliary",JB_S,"",JB_27U,"")+SUMIFS(JB_27U,JB_B,1,JB_W,"General Auxiliary",JB_S,"[PARENT]",JB_27U,"&lt;&gt;")+SUMIFS(JB_27S,JB_B,1,JB_W,"General Auxiliary",JB_S,"[PARENT]",JB_27U,"")</f>
        <v/>
      </c>
      <c r="D26" s="91">
        <f>IFERROR(C26/C$38,0)</f>
        <v/>
      </c>
    </row>
    <row r="27" ht="10" customHeight="1">
      <c r="A27" s="84" t="inlineStr">
        <is>
          <t>Mine Warfare</t>
        </is>
      </c>
      <c r="B27" s="84" t="inlineStr">
        <is>
          <t>USN</t>
        </is>
      </c>
      <c r="C27" s="85">
        <f>SUMIFS(JB_27U,JB_B,1,JB_W,"Mine Warfare",JB_S,"",JB_27U,"&lt;&gt;")+SUMIFS(JB_27S,JB_B,1,JB_W,"Mine Warfare",JB_S,"",JB_27U,"")+SUMIFS(JB_27U,JB_B,1,JB_W,"Mine Warfare",JB_S,"[PARENT]",JB_27U,"&lt;&gt;")+SUMIFS(JB_27S,JB_B,1,JB_W,"Mine Warfare",JB_S,"[PARENT]",JB_27U,"")</f>
        <v/>
      </c>
      <c r="D27" s="91">
        <f>IFERROR(C27/C$38,0)</f>
        <v/>
      </c>
    </row>
    <row r="28" ht="10" customHeight="1">
      <c r="A28" s="84" t="inlineStr">
        <is>
          <t>Aviation Logistics Support Ship</t>
        </is>
      </c>
      <c r="B28" s="84" t="inlineStr">
        <is>
          <t>USN</t>
        </is>
      </c>
      <c r="C28"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8" s="91">
        <f>IFERROR(C28/C$38,0)</f>
        <v/>
      </c>
    </row>
    <row r="29" ht="10" customHeight="1">
      <c r="A29" s="84" t="inlineStr">
        <is>
          <t>Salvage Ships &amp; Fleet Ocean Tugs</t>
        </is>
      </c>
      <c r="B29" s="84" t="inlineStr">
        <is>
          <t>MSC</t>
        </is>
      </c>
      <c r="C29"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9" s="91">
        <f>IFERROR(C29/C$38,0)</f>
        <v/>
      </c>
    </row>
    <row r="30" ht="10" customHeight="1">
      <c r="A30" s="84" t="inlineStr">
        <is>
          <t>Command Ships</t>
        </is>
      </c>
      <c r="B30" s="84" t="inlineStr">
        <is>
          <t>USN</t>
        </is>
      </c>
      <c r="C30" s="85">
        <f>SUMIFS(JB_27U,JB_B,1,JB_W,"Command Ships",JB_S,"",JB_27U,"&lt;&gt;")+SUMIFS(JB_27S,JB_B,1,JB_W,"Command Ships",JB_S,"",JB_27U,"")+SUMIFS(JB_27U,JB_B,1,JB_W,"Command Ships",JB_S,"[PARENT]",JB_27U,"&lt;&gt;")+SUMIFS(JB_27S,JB_B,1,JB_W,"Command Ships",JB_S,"[PARENT]",JB_27U,"")</f>
        <v/>
      </c>
      <c r="D30" s="91">
        <f>IFERROR(C30/C$38,0)</f>
        <v/>
      </c>
    </row>
    <row r="31" ht="10" customHeight="1">
      <c r="A31" s="84" t="inlineStr">
        <is>
          <t>Fast Response Cutters</t>
        </is>
      </c>
      <c r="B31" s="84" t="inlineStr">
        <is>
          <t>USCG</t>
        </is>
      </c>
      <c r="C31" s="85">
        <f>SUMIFS(JB_27U,JB_B,1,JB_W,"Fast Response Cutters",JB_S,"",JB_27U,"&lt;&gt;")+SUMIFS(JB_27S,JB_B,1,JB_W,"Fast Response Cutters",JB_S,"",JB_27U,"")+SUMIFS(JB_27U,JB_B,1,JB_W,"Fast Response Cutters",JB_S,"[PARENT]",JB_27U,"&lt;&gt;")+SUMIFS(JB_27S,JB_B,1,JB_W,"Fast Response Cutters",JB_S,"[PARENT]",JB_27U,"")</f>
        <v/>
      </c>
      <c r="D31" s="91">
        <f>IFERROR(C31/C$38,0)</f>
        <v/>
      </c>
    </row>
    <row r="32" ht="10" customHeight="1">
      <c r="A32" s="84" t="inlineStr">
        <is>
          <t>National Security Cutters</t>
        </is>
      </c>
      <c r="B32" s="84" t="inlineStr">
        <is>
          <t>USCG</t>
        </is>
      </c>
      <c r="C32" s="85">
        <f>SUMIFS(JB_27U,JB_B,1,JB_W,"National Security Cutters",JB_S,"",JB_27U,"&lt;&gt;")+SUMIFS(JB_27S,JB_B,1,JB_W,"National Security Cutters",JB_S,"",JB_27U,"")+SUMIFS(JB_27U,JB_B,1,JB_W,"National Security Cutters",JB_S,"[PARENT]",JB_27U,"&lt;&gt;")+SUMIFS(JB_27S,JB_B,1,JB_W,"National Security Cutters",JB_S,"[PARENT]",JB_27U,"")</f>
        <v/>
      </c>
      <c r="D32" s="91">
        <f>IFERROR(C32/C$38,0)</f>
        <v/>
      </c>
    </row>
    <row r="33" ht="10" customHeight="1">
      <c r="A33" s="84" t="inlineStr">
        <is>
          <t>Waterways Commerce Cutters</t>
        </is>
      </c>
      <c r="B33" s="84" t="inlineStr">
        <is>
          <t>USCG</t>
        </is>
      </c>
      <c r="C33" s="85">
        <f>SUMIFS(JB_27U,JB_B,1,JB_W,"Waterways Commerce Cutters",JB_S,"",JB_27U,"&lt;&gt;")+SUMIFS(JB_27S,JB_B,1,JB_W,"Waterways Commerce Cutters",JB_S,"",JB_27U,"")+SUMIFS(JB_27U,JB_B,1,JB_W,"Waterways Commerce Cutters",JB_S,"[PARENT]",JB_27U,"&lt;&gt;")+SUMIFS(JB_27S,JB_B,1,JB_W,"Waterways Commerce Cutters",JB_S,"[PARENT]",JB_27U,"")</f>
        <v/>
      </c>
      <c r="D33" s="91">
        <f>IFERROR(C33/C$38,0)</f>
        <v/>
      </c>
    </row>
    <row r="34" ht="10" customHeight="1">
      <c r="A34" s="84" t="inlineStr">
        <is>
          <t>Offshore Patrol Cutter</t>
        </is>
      </c>
      <c r="B34" s="84" t="inlineStr">
        <is>
          <t>USCG</t>
        </is>
      </c>
      <c r="C34" s="85">
        <f>SUMIFS(JB_27U,JB_B,1,JB_W,"Offshore Patrol Cutter",JB_S,"",JB_27U,"&lt;&gt;")+SUMIFS(JB_27S,JB_B,1,JB_W,"Offshore Patrol Cutter",JB_S,"",JB_27U,"")+SUMIFS(JB_27U,JB_B,1,JB_W,"Offshore Patrol Cutter",JB_S,"[PARENT]",JB_27U,"&lt;&gt;")+SUMIFS(JB_27S,JB_B,1,JB_W,"Offshore Patrol Cutter",JB_S,"[PARENT]",JB_27U,"")</f>
        <v/>
      </c>
      <c r="D34" s="91">
        <f>IFERROR(C34/C$38,0)</f>
        <v/>
      </c>
    </row>
    <row r="35" ht="10" customHeight="1">
      <c r="A35" s="84" t="inlineStr">
        <is>
          <t>Icebreakers, Great Lakes</t>
        </is>
      </c>
      <c r="B35" s="84" t="inlineStr">
        <is>
          <t>USCG</t>
        </is>
      </c>
      <c r="C35" s="85">
        <f>SUMIFS(JB_27U,JB_B,1,JB_W,"Icebreakers, Great Lakes",JB_S,"",JB_27U,"&lt;&gt;")+SUMIFS(JB_27S,JB_B,1,JB_W,"Icebreakers, Great Lakes",JB_S,"",JB_27U,"")+SUMIFS(JB_27U,JB_B,1,JB_W,"Icebreakers, Great Lakes",JB_S,"[PARENT]",JB_27U,"&lt;&gt;")+SUMIFS(JB_27S,JB_B,1,JB_W,"Icebreakers, Great Lakes",JB_S,"[PARENT]",JB_27U,"")</f>
        <v/>
      </c>
      <c r="D35" s="91">
        <f>IFERROR(C35/C$38,0)</f>
        <v/>
      </c>
    </row>
    <row r="36" ht="10" customHeight="1">
      <c r="A36" s="84" t="inlineStr">
        <is>
          <t>Icebreakers, Oceangoing</t>
        </is>
      </c>
      <c r="B36" s="84" t="inlineStr">
        <is>
          <t>USCG</t>
        </is>
      </c>
      <c r="C36" s="85">
        <f>SUMIFS(JB_27U,JB_B,1,JB_W,"Icebreakers, Oceangoing",JB_S,"",JB_27U,"&lt;&gt;")+SUMIFS(JB_27S,JB_B,1,JB_W,"Icebreakers, Oceangoing",JB_S,"",JB_27U,"")+SUMIFS(JB_27U,JB_B,1,JB_W,"Icebreakers, Oceangoing",JB_S,"[PARENT]",JB_27U,"&lt;&gt;")+SUMIFS(JB_27S,JB_B,1,JB_W,"Icebreakers, Oceangoing",JB_S,"[PARENT]",JB_27U,"")</f>
        <v/>
      </c>
      <c r="D36" s="91">
        <f>IFERROR(C36/C$38,0)</f>
        <v/>
      </c>
    </row>
    <row r="37" ht="10" customHeight="1">
      <c r="A37" s="84" t="inlineStr">
        <is>
          <t>Coastal Buoy Tenders</t>
        </is>
      </c>
      <c r="B37" s="84" t="inlineStr">
        <is>
          <t>USCG</t>
        </is>
      </c>
      <c r="C37" s="85">
        <f>SUMIFS(JB_27U,JB_B,1,JB_W,"Coastal Buoy Tenders",JB_S,"",JB_27U,"&lt;&gt;")+SUMIFS(JB_27S,JB_B,1,JB_W,"Coastal Buoy Tenders",JB_S,"",JB_27U,"")+SUMIFS(JB_27U,JB_B,1,JB_W,"Coastal Buoy Tenders",JB_S,"[PARENT]",JB_27U,"&lt;&gt;")+SUMIFS(JB_27S,JB_B,1,JB_W,"Coastal Buoy Tenders",JB_S,"[PARENT]",JB_27U,"")</f>
        <v/>
      </c>
      <c r="D37" s="91">
        <f>IFERROR(C37/C$38,0)</f>
        <v/>
      </c>
    </row>
    <row r="38" ht="10" customHeight="1">
      <c r="A38" s="86" t="inlineStr">
        <is>
          <t>Newbuild SAM</t>
        </is>
      </c>
      <c r="B38" s="86" t="inlineStr"/>
      <c r="C38" s="87">
        <f>SUM(C13:C37)</f>
        <v/>
      </c>
      <c r="D38" s="92" t="n">
        <v>1</v>
      </c>
    </row>
    <row r="39" ht="10" customHeight="1"/>
    <row r="40" ht="10" customHeight="1">
      <c r="A40" s="81" t="inlineStr">
        <is>
          <t>(C) Newbuild SAM — DD&amp;C vs AP/LLTM by Vessel Type (Mekko)</t>
        </is>
      </c>
      <c r="B40" s="82" t="n"/>
      <c r="C40" s="82" t="n"/>
      <c r="D40" s="82" t="n"/>
      <c r="E40" s="82" t="n"/>
      <c r="F40" s="82" t="n"/>
      <c r="G40" s="82" t="n"/>
      <c r="H40" s="82" t="n"/>
      <c r="I40" s="82" t="n"/>
      <c r="J40" s="82" t="n"/>
      <c r="K40" s="82" t="n"/>
    </row>
    <row r="41" ht="10" customHeight="1">
      <c r="A41" s="93" t="n"/>
      <c r="B41" s="94" t="inlineStr">
        <is>
          <t>USN</t>
        </is>
      </c>
      <c r="C41" s="93" t="n"/>
      <c r="D41" s="93" t="n"/>
      <c r="E41" s="93" t="n"/>
      <c r="F41" s="93" t="n"/>
      <c r="G41" s="93" t="n"/>
      <c r="H41" s="93" t="n"/>
      <c r="I41" s="93" t="n"/>
      <c r="J41" s="93" t="n"/>
      <c r="K41" s="95" t="n"/>
    </row>
    <row r="42" ht="10" customHeight="1">
      <c r="A42" s="96" t="inlineStr">
        <is>
          <t>Sub-Category</t>
        </is>
      </c>
      <c r="B42" s="97" t="inlineStr">
        <is>
          <t>Amphibious Warfare Ships</t>
        </is>
      </c>
      <c r="C42" s="96" t="inlineStr">
        <is>
          <t>Surface Combatants</t>
        </is>
      </c>
      <c r="D42" s="96" t="inlineStr">
        <is>
          <t>Material Support Ships</t>
        </is>
      </c>
      <c r="E42" s="96" t="inlineStr">
        <is>
          <t>Combat Logistics Ships</t>
        </is>
      </c>
      <c r="F42" s="96" t="inlineStr">
        <is>
          <t>Expeditionary &amp; Seabasing Ships</t>
        </is>
      </c>
      <c r="G42" s="96" t="inlineStr">
        <is>
          <t>Surveillance Ships</t>
        </is>
      </c>
      <c r="H42" s="96" t="inlineStr">
        <is>
          <t>Hospital Ship</t>
        </is>
      </c>
      <c r="I42" s="96" t="inlineStr">
        <is>
          <t>Cargo &amp; Vehicle Cargo Ships</t>
        </is>
      </c>
      <c r="J42" s="96" t="inlineStr">
        <is>
          <t>Unmanned Surface Vehicles</t>
        </is>
      </c>
      <c r="K42" s="97" t="inlineStr">
        <is>
          <t>Total</t>
        </is>
      </c>
    </row>
    <row r="43" ht="10" customHeight="1">
      <c r="A43" s="84" t="inlineStr">
        <is>
          <t>Full Ship DD&amp;C</t>
        </is>
      </c>
      <c r="B43" s="98">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procurement",JB_S,"[PARENT]",JB_27U,""))/B$45,0)</f>
        <v/>
      </c>
      <c r="C43"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procurement",JB_S,"[PARENT]",JB_27U,""))/C$45,0)</f>
        <v/>
      </c>
      <c r="D43"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procurement",JB_S,"[PARENT]",JB_27U,""))/D$45,0)</f>
        <v/>
      </c>
      <c r="E43"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procurement",JB_S,"[PARENT]",JB_27U,""))/E$45,0)</f>
        <v/>
      </c>
      <c r="F43"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procurement",JB_S,"[PARENT]",JB_27U,""))/F$45,0)</f>
        <v/>
      </c>
      <c r="G43"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procurement",JB_S,"[PARENT]",JB_27U,""))/G$45,0)</f>
        <v/>
      </c>
      <c r="H43"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procurement",JB_S,"[PARENT]",JB_27U,""))/H$45,0)</f>
        <v/>
      </c>
      <c r="I43"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procurement",JB_S,"[PARENT]",JB_27U,""))/I$45,0)</f>
        <v/>
      </c>
      <c r="J43"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procurement",JB_S,"[PARENT]",JB_27U,""))/J$45,0)</f>
        <v/>
      </c>
      <c r="K43" s="98">
        <f>IFERROR(1-K44,0)</f>
        <v/>
      </c>
    </row>
    <row r="44" ht="10" customHeight="1">
      <c r="A44" s="84" t="inlineStr">
        <is>
          <t>Advance Procurement / LLTM</t>
        </is>
      </c>
      <c r="B44" s="98">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LLTM",JB_S,"[PARENT]",JB_27U,""))/B$45,0)</f>
        <v/>
      </c>
      <c r="C44"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LLTM",JB_S,"[PARENT]",JB_27U,""))/C$45,0)</f>
        <v/>
      </c>
      <c r="D44"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LLTM",JB_S,"[PARENT]",JB_27U,""))/D$45,0)</f>
        <v/>
      </c>
      <c r="E44"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LLTM",JB_S,"[PARENT]",JB_27U,""))/E$45,0)</f>
        <v/>
      </c>
      <c r="F44"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LLTM",JB_S,"[PARENT]",JB_27U,""))/F$45,0)</f>
        <v/>
      </c>
      <c r="G44"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LLTM",JB_S,"[PARENT]",JB_27U,""))/G$45,0)</f>
        <v/>
      </c>
      <c r="H44"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LLTM",JB_S,"[PARENT]",JB_27U,""))/H$45,0)</f>
        <v/>
      </c>
      <c r="I44"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LLTM",JB_S,"[PARENT]",JB_27U,""))/I$45,0)</f>
        <v/>
      </c>
      <c r="J44"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LLTM",JB_S,"[PARENT]",JB_27U,""))/J$45,0)</f>
        <v/>
      </c>
      <c r="K44" s="98">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LLTM",JB_S,"[PARENT]",JB_27U,""))/K$45,0)</f>
        <v/>
      </c>
    </row>
    <row r="45" ht="10" customHeight="1">
      <c r="A45" s="86" t="inlineStr">
        <is>
          <t>Total ($K)</t>
        </is>
      </c>
      <c r="B45" s="99">
        <f>SUMIFS(JB_27U,JB_B,1,JB_W,"Amphibious Warfare Ships",JB_S,"",JB_27U,"&lt;&gt;")+SUMIFS(JB_27S,JB_B,1,JB_W,"Amphibious Warfare Ships",JB_S,"",JB_27U,"")+SUMIFS(JB_27U,JB_B,1,JB_W,"Amphibious Warfare Ships",JB_S,"[PARENT]",JB_27U,"&lt;&gt;")+SUMIFS(JB_27S,JB_B,1,JB_W,"Amphibious Warfare Ships",JB_S,"[PARENT]",JB_27U,"")</f>
        <v/>
      </c>
      <c r="C45" s="87">
        <f>SUMIFS(JB_27U,JB_B,1,JB_W,"Surface Combatants",JB_S,"",JB_27U,"&lt;&gt;")+SUMIFS(JB_27S,JB_B,1,JB_W,"Surface Combatants",JB_S,"",JB_27U,"")+SUMIFS(JB_27U,JB_B,1,JB_W,"Surface Combatants",JB_S,"[PARENT]",JB_27U,"&lt;&gt;")+SUMIFS(JB_27S,JB_B,1,JB_W,"Surface Combatants",JB_S,"[PARENT]",JB_27U,"")</f>
        <v/>
      </c>
      <c r="D45" s="87">
        <f>SUMIFS(JB_27U,JB_B,1,JB_W,"Material Support Ships",JB_S,"",JB_27U,"&lt;&gt;")+SUMIFS(JB_27S,JB_B,1,JB_W,"Material Support Ships",JB_S,"",JB_27U,"")+SUMIFS(JB_27U,JB_B,1,JB_W,"Material Support Ships",JB_S,"[PARENT]",JB_27U,"&lt;&gt;")+SUMIFS(JB_27S,JB_B,1,JB_W,"Material Support Ships",JB_S,"[PARENT]",JB_27U,"")</f>
        <v/>
      </c>
      <c r="E45" s="87">
        <f>SUMIFS(JB_27U,JB_B,1,JB_W,"Combat Logistics Ships",JB_S,"",JB_27U,"&lt;&gt;")+SUMIFS(JB_27S,JB_B,1,JB_W,"Combat Logistics Ships",JB_S,"",JB_27U,"")+SUMIFS(JB_27U,JB_B,1,JB_W,"Combat Logistics Ships",JB_S,"[PARENT]",JB_27U,"&lt;&gt;")+SUMIFS(JB_27S,JB_B,1,JB_W,"Combat Logistics Ships",JB_S,"[PARENT]",JB_27U,"")</f>
        <v/>
      </c>
      <c r="F45"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5" s="87">
        <f>SUMIFS(JB_27U,JB_B,1,JB_W,"Surveillance Ships",JB_S,"",JB_27U,"&lt;&gt;")+SUMIFS(JB_27S,JB_B,1,JB_W,"Surveillance Ships",JB_S,"",JB_27U,"")+SUMIFS(JB_27U,JB_B,1,JB_W,"Surveillance Ships",JB_S,"[PARENT]",JB_27U,"&lt;&gt;")+SUMIFS(JB_27S,JB_B,1,JB_W,"Surveillance Ships",JB_S,"[PARENT]",JB_27U,"")</f>
        <v/>
      </c>
      <c r="H45" s="87">
        <f>SUMIFS(JB_27U,JB_B,1,JB_W,"Hospital Ship",JB_S,"",JB_27U,"&lt;&gt;")+SUMIFS(JB_27S,JB_B,1,JB_W,"Hospital Ship",JB_S,"",JB_27U,"")+SUMIFS(JB_27U,JB_B,1,JB_W,"Hospital Ship",JB_S,"[PARENT]",JB_27U,"&lt;&gt;")+SUMIFS(JB_27S,JB_B,1,JB_W,"Hospital Ship",JB_S,"[PARENT]",JB_27U,"")</f>
        <v/>
      </c>
      <c r="I45" s="87">
        <f>SUMIFS(JB_27U,JB_B,1,JB_W,"Cargo &amp; Vehicle Cargo Ships",JB_S,"",JB_27U,"&lt;&gt;")+SUMIFS(JB_27S,JB_B,1,JB_W,"Cargo &amp; Vehicle Cargo Ships",JB_S,"",JB_27U,"")+SUMIFS(JB_27U,JB_B,1,JB_W,"Cargo &amp; Vehicle Cargo Ships",JB_S,"[PARENT]",JB_27U,"&lt;&gt;")+SUMIFS(JB_27S,JB_B,1,JB_W,"Cargo &amp; Vehicle Cargo Ships",JB_S,"[PARENT]",JB_27U,"")</f>
        <v/>
      </c>
      <c r="J45" s="87">
        <f>SUMIFS(JB_27U,JB_B,1,JB_W,"Unmanned Surface Vehicles",JB_S,"",JB_27U,"&lt;&gt;")+SUMIFS(JB_27S,JB_B,1,JB_W,"Unmanned Surface Vehicles",JB_S,"",JB_27U,"")+SUMIFS(JB_27U,JB_B,1,JB_W,"Unmanned Surface Vehicles",JB_S,"[PARENT]",JB_27U,"&lt;&gt;")+SUMIFS(JB_27S,JB_B,1,JB_W,"Unmanned Surface Vehicles",JB_S,"[PARENT]",JB_27U,"")</f>
        <v/>
      </c>
      <c r="K45" s="99">
        <f>SUM(B45:J45)</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5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B17</f>
        <v/>
      </c>
    </row>
    <row r="10" ht="10" customHeight="1"/>
    <row r="11" ht="10" customHeight="1">
      <c r="A11" s="81" t="inlineStr">
        <is>
          <t>(B) MRO TAM by Work Type</t>
        </is>
      </c>
      <c r="B11" s="82" t="n"/>
      <c r="C11" s="82" t="n"/>
    </row>
    <row r="12" ht="10" customHeight="1">
      <c r="A12" s="83" t="inlineStr">
        <is>
          <t>Work Type</t>
        </is>
      </c>
      <c r="B12" s="83" t="inlineStr">
        <is>
          <t>FY2027 ($K)</t>
        </is>
      </c>
      <c r="C12" s="83" t="inlineStr">
        <is>
          <t>% of TAM</t>
        </is>
      </c>
    </row>
    <row r="13" ht="10" customHeight="1">
      <c r="A13" s="84" t="inlineStr">
        <is>
          <t>Modernization</t>
        </is>
      </c>
      <c r="B13"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3" s="91">
        <f>IFERROR(B13/B$17,0)</f>
        <v/>
      </c>
    </row>
    <row r="14" ht="10" customHeight="1">
      <c r="A14" s="84" t="inlineStr">
        <is>
          <t>Major Life-Cycle Events / RCOH</t>
        </is>
      </c>
      <c r="B14"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4" s="91">
        <f>IFERROR(B14/B$17,0)</f>
        <v/>
      </c>
    </row>
    <row r="15" ht="10" customHeight="1">
      <c r="A15" s="84" t="inlineStr">
        <is>
          <t>Sustainment Engineering</t>
        </is>
      </c>
      <c r="B15"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5" s="91">
        <f>IFERROR(B15/B$17,0)</f>
        <v/>
      </c>
    </row>
    <row r="16" ht="10" customHeight="1">
      <c r="A16" s="84" t="inlineStr">
        <is>
          <t>Availability Support</t>
        </is>
      </c>
      <c r="B16"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6" s="91">
        <f>IFERROR(B16/B$17,0)</f>
        <v/>
      </c>
    </row>
    <row r="17" ht="10" customHeight="1">
      <c r="A17" s="86" t="inlineStr">
        <is>
          <t>MRO TAM</t>
        </is>
      </c>
      <c r="B17" s="87">
        <f>SUM(B13:B16)</f>
        <v/>
      </c>
      <c r="C17" s="92" t="n">
        <v>1</v>
      </c>
    </row>
    <row r="18" ht="10" customHeight="1"/>
    <row r="19" ht="10" customHeight="1">
      <c r="A19" s="81" t="inlineStr">
        <is>
          <t>(C) MRO TAM by Vessel Type</t>
        </is>
      </c>
      <c r="B19" s="82" t="n"/>
      <c r="C19" s="82" t="n"/>
      <c r="D19" s="82" t="n"/>
    </row>
    <row r="20" ht="10" customHeight="1">
      <c r="A20" s="83" t="inlineStr">
        <is>
          <t>Vessel Type</t>
        </is>
      </c>
      <c r="B20" s="83" t="inlineStr">
        <is>
          <t>Service</t>
        </is>
      </c>
      <c r="C20" s="83" t="inlineStr">
        <is>
          <t>FY2027 ($K)</t>
        </is>
      </c>
      <c r="D20" s="83" t="inlineStr">
        <is>
          <t>% of TAM</t>
        </is>
      </c>
    </row>
    <row r="21" ht="10" customHeight="1">
      <c r="A21" s="84" t="inlineStr">
        <is>
          <t>Submarines</t>
        </is>
      </c>
      <c r="B21" s="84" t="inlineStr">
        <is>
          <t>USN</t>
        </is>
      </c>
      <c r="C21"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1" s="91">
        <f>IFERROR(C21/C$49,0)</f>
        <v/>
      </c>
    </row>
    <row r="22" ht="10" customHeight="1">
      <c r="A22" s="84" t="inlineStr">
        <is>
          <t>Surface Combatants</t>
        </is>
      </c>
      <c r="B22" s="84" t="inlineStr">
        <is>
          <t>USN</t>
        </is>
      </c>
      <c r="C22"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2" s="91">
        <f>IFERROR(C22/C$49,0)</f>
        <v/>
      </c>
    </row>
    <row r="23" ht="10" customHeight="1">
      <c r="A23" s="84" t="inlineStr">
        <is>
          <t>Aircraft Carriers</t>
        </is>
      </c>
      <c r="B23" s="84" t="inlineStr">
        <is>
          <t>USN</t>
        </is>
      </c>
      <c r="C23"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3" s="91">
        <f>IFERROR(C23/C$49,0)</f>
        <v/>
      </c>
    </row>
    <row r="24" ht="10" customHeight="1">
      <c r="A24" s="84" t="inlineStr">
        <is>
          <t>Amphibious Warfare Ships</t>
        </is>
      </c>
      <c r="B24" s="84" t="inlineStr">
        <is>
          <t>USN</t>
        </is>
      </c>
      <c r="C24"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4" s="91">
        <f>IFERROR(C24/C$49,0)</f>
        <v/>
      </c>
    </row>
    <row r="25" ht="10" customHeight="1">
      <c r="A25" s="84" t="inlineStr">
        <is>
          <t>Surveillance Ships</t>
        </is>
      </c>
      <c r="B25" s="84" t="inlineStr">
        <is>
          <t>USN</t>
        </is>
      </c>
      <c r="C25"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5" s="91">
        <f>IFERROR(C25/C$49,0)</f>
        <v/>
      </c>
    </row>
    <row r="26" ht="10" customHeight="1">
      <c r="A26" s="84" t="inlineStr">
        <is>
          <t>Expeditionary &amp; Seabasing Ships</t>
        </is>
      </c>
      <c r="B26" s="84" t="inlineStr">
        <is>
          <t>USN</t>
        </is>
      </c>
      <c r="C26"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6" s="91">
        <f>IFERROR(C26/C$49,0)</f>
        <v/>
      </c>
    </row>
    <row r="27" ht="10" customHeight="1">
      <c r="A27" s="84" t="inlineStr">
        <is>
          <t>Command Ships</t>
        </is>
      </c>
      <c r="B27" s="84" t="inlineStr">
        <is>
          <t>USN</t>
        </is>
      </c>
      <c r="C27"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7" s="91">
        <f>IFERROR(C27/C$49,0)</f>
        <v/>
      </c>
    </row>
    <row r="28" ht="10" customHeight="1">
      <c r="A28" s="84" t="inlineStr">
        <is>
          <t>Submarine Escort Ship</t>
        </is>
      </c>
      <c r="B28" s="84" t="inlineStr">
        <is>
          <t>USN</t>
        </is>
      </c>
      <c r="C28"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28" s="91">
        <f>IFERROR(C28/C$49,0)</f>
        <v/>
      </c>
    </row>
    <row r="29" ht="10" customHeight="1">
      <c r="A29" s="84" t="inlineStr">
        <is>
          <t>Material Support Ships</t>
        </is>
      </c>
      <c r="B29" s="84" t="inlineStr">
        <is>
          <t>USN</t>
        </is>
      </c>
      <c r="C29"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29" s="91">
        <f>IFERROR(C29/C$49,0)</f>
        <v/>
      </c>
    </row>
    <row r="30" ht="10" customHeight="1">
      <c r="A30" s="84" t="inlineStr">
        <is>
          <t>General Auxiliary</t>
        </is>
      </c>
      <c r="B30" s="84" t="inlineStr">
        <is>
          <t>USN</t>
        </is>
      </c>
      <c r="C30"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0" s="91">
        <f>IFERROR(C30/C$49,0)</f>
        <v/>
      </c>
    </row>
    <row r="31" ht="10" customHeight="1">
      <c r="A31" s="84" t="inlineStr">
        <is>
          <t>Unmanned Surface Vehicles</t>
        </is>
      </c>
      <c r="B31" s="84" t="inlineStr">
        <is>
          <t>USN</t>
        </is>
      </c>
      <c r="C31"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1" s="91">
        <f>IFERROR(C31/C$49,0)</f>
        <v/>
      </c>
    </row>
    <row r="32" ht="10" customHeight="1">
      <c r="A32" s="84" t="inlineStr">
        <is>
          <t>Cargo &amp; Vehicle Cargo Ships</t>
        </is>
      </c>
      <c r="B32" s="84" t="inlineStr">
        <is>
          <t>USN</t>
        </is>
      </c>
      <c r="C32"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2" s="91">
        <f>IFERROR(C32/C$49,0)</f>
        <v/>
      </c>
    </row>
    <row r="33" ht="10" customHeight="1">
      <c r="A33" s="84" t="inlineStr">
        <is>
          <t>Combat Logistics Ships</t>
        </is>
      </c>
      <c r="B33" s="84" t="inlineStr">
        <is>
          <t>MSC</t>
        </is>
      </c>
      <c r="C33"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3" s="91">
        <f>IFERROR(C33/C$49,0)</f>
        <v/>
      </c>
    </row>
    <row r="34" ht="10" customHeight="1">
      <c r="A34" s="84" t="inlineStr">
        <is>
          <t>Hospital Ship</t>
        </is>
      </c>
      <c r="B34" s="84" t="inlineStr">
        <is>
          <t>MSC</t>
        </is>
      </c>
      <c r="C34"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4" s="91">
        <f>IFERROR(C34/C$49,0)</f>
        <v/>
      </c>
    </row>
    <row r="35" ht="10" customHeight="1">
      <c r="A35" s="84" t="inlineStr">
        <is>
          <t>Crane Ship</t>
        </is>
      </c>
      <c r="B35" s="84" t="inlineStr">
        <is>
          <t>USN</t>
        </is>
      </c>
      <c r="C35"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5" s="91">
        <f>IFERROR(C35/C$49,0)</f>
        <v/>
      </c>
    </row>
    <row r="36" ht="10" customHeight="1">
      <c r="A36" s="84" t="inlineStr">
        <is>
          <t>Research, Survey &amp; Instrumentation Ships</t>
        </is>
      </c>
      <c r="B36" s="84" t="inlineStr">
        <is>
          <t>MSC</t>
        </is>
      </c>
      <c r="C36"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6" s="91">
        <f>IFERROR(C36/C$49,0)</f>
        <v/>
      </c>
    </row>
    <row r="37" ht="10" customHeight="1">
      <c r="A37" s="84" t="inlineStr">
        <is>
          <t>High Speed Transport</t>
        </is>
      </c>
      <c r="B37" s="84" t="inlineStr">
        <is>
          <t>USN</t>
        </is>
      </c>
      <c r="C37"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37" s="91">
        <f>IFERROR(C37/C$49,0)</f>
        <v/>
      </c>
    </row>
    <row r="38" ht="10" customHeight="1">
      <c r="A38" s="84" t="inlineStr">
        <is>
          <t>Mine Warfare</t>
        </is>
      </c>
      <c r="B38" s="84" t="inlineStr">
        <is>
          <t>USN</t>
        </is>
      </c>
      <c r="C38"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8" s="91">
        <f>IFERROR(C38/C$49,0)</f>
        <v/>
      </c>
    </row>
    <row r="39" ht="10" customHeight="1">
      <c r="A39" s="84" t="inlineStr">
        <is>
          <t>Aviation Logistics Support Ship</t>
        </is>
      </c>
      <c r="B39" s="84" t="inlineStr">
        <is>
          <t>USN</t>
        </is>
      </c>
      <c r="C39"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9" s="91">
        <f>IFERROR(C39/C$49,0)</f>
        <v/>
      </c>
    </row>
    <row r="40" ht="10" customHeight="1">
      <c r="A40" s="84" t="inlineStr">
        <is>
          <t>Salvage Ships &amp; Fleet Ocean Tugs</t>
        </is>
      </c>
      <c r="B40" s="84" t="inlineStr">
        <is>
          <t>MSC</t>
        </is>
      </c>
      <c r="C40"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0" s="91">
        <f>IFERROR(C40/C$49,0)</f>
        <v/>
      </c>
    </row>
    <row r="41" ht="10" customHeight="1">
      <c r="A41" s="84" t="inlineStr">
        <is>
          <t>Unmanned Undersea Vehicles</t>
        </is>
      </c>
      <c r="B41" s="84" t="inlineStr">
        <is>
          <t>USN</t>
        </is>
      </c>
      <c r="C41"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41" s="91">
        <f>IFERROR(C41/C$49,0)</f>
        <v/>
      </c>
    </row>
    <row r="42" ht="10" customHeight="1">
      <c r="A42" s="84" t="inlineStr">
        <is>
          <t>National Security Cutters</t>
        </is>
      </c>
      <c r="B42" s="84" t="inlineStr">
        <is>
          <t>USCG</t>
        </is>
      </c>
      <c r="C42"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2" s="91">
        <f>IFERROR(C42/C$49,0)</f>
        <v/>
      </c>
    </row>
    <row r="43" ht="10" customHeight="1">
      <c r="A43" s="84" t="inlineStr">
        <is>
          <t>Waterways Commerce Cutters</t>
        </is>
      </c>
      <c r="B43" s="84" t="inlineStr">
        <is>
          <t>USCG</t>
        </is>
      </c>
      <c r="C43"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3" s="91">
        <f>IFERROR(C43/C$49,0)</f>
        <v/>
      </c>
    </row>
    <row r="44" ht="10" customHeight="1">
      <c r="A44" s="84" t="inlineStr">
        <is>
          <t>Icebreakers, Oceangoing</t>
        </is>
      </c>
      <c r="B44" s="84" t="inlineStr">
        <is>
          <t>USCG</t>
        </is>
      </c>
      <c r="C44"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4" s="91">
        <f>IFERROR(C44/C$49,0)</f>
        <v/>
      </c>
    </row>
    <row r="45" ht="10" customHeight="1">
      <c r="A45" s="84" t="inlineStr">
        <is>
          <t>Fast Response Cutters</t>
        </is>
      </c>
      <c r="B45" s="84" t="inlineStr">
        <is>
          <t>USCG</t>
        </is>
      </c>
      <c r="C45"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5" s="91">
        <f>IFERROR(C45/C$49,0)</f>
        <v/>
      </c>
    </row>
    <row r="46" ht="10" customHeight="1">
      <c r="A46" s="84" t="inlineStr">
        <is>
          <t>Offshore Patrol Cutter</t>
        </is>
      </c>
      <c r="B46" s="84" t="inlineStr">
        <is>
          <t>USCG</t>
        </is>
      </c>
      <c r="C46"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6" s="91">
        <f>IFERROR(C46/C$49,0)</f>
        <v/>
      </c>
    </row>
    <row r="47" ht="10" customHeight="1">
      <c r="A47" s="84" t="inlineStr">
        <is>
          <t>Icebreakers, Great Lakes</t>
        </is>
      </c>
      <c r="B47" s="84" t="inlineStr">
        <is>
          <t>USCG</t>
        </is>
      </c>
      <c r="C47"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7" s="91">
        <f>IFERROR(C47/C$49,0)</f>
        <v/>
      </c>
    </row>
    <row r="48" ht="10" customHeight="1">
      <c r="A48" s="84" t="inlineStr">
        <is>
          <t>Coastal Buoy Tenders</t>
        </is>
      </c>
      <c r="B48" s="84" t="inlineStr">
        <is>
          <t>USCG</t>
        </is>
      </c>
      <c r="C48"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8" s="91">
        <f>IFERROR(C48/C$49,0)</f>
        <v/>
      </c>
    </row>
    <row r="49" ht="10" customHeight="1">
      <c r="A49" s="86" t="inlineStr">
        <is>
          <t>MRO TAM</t>
        </is>
      </c>
      <c r="B49" s="86" t="inlineStr"/>
      <c r="C49" s="87">
        <f>SUM(C21:C48)</f>
        <v/>
      </c>
      <c r="D49" s="92" t="n">
        <v>1</v>
      </c>
    </row>
    <row r="50" ht="10" customHeight="1"/>
    <row r="51" ht="10" customHeight="1">
      <c r="A51" s="81" t="inlineStr">
        <is>
          <t>(D) MRO TAM — Work Type by Vessel Type (Mekko)</t>
        </is>
      </c>
      <c r="B51" s="82" t="n"/>
      <c r="C51" s="82" t="n"/>
      <c r="D51" s="82" t="n"/>
      <c r="E51" s="82" t="n"/>
      <c r="F51" s="82" t="n"/>
      <c r="G51" s="82" t="n"/>
      <c r="H51" s="82" t="n"/>
      <c r="I51" s="82" t="n"/>
    </row>
    <row r="52" ht="10" customHeight="1">
      <c r="A52" s="93" t="n"/>
      <c r="B52" s="94" t="inlineStr">
        <is>
          <t>USN</t>
        </is>
      </c>
      <c r="C52" s="93" t="n"/>
      <c r="D52" s="93" t="n"/>
      <c r="E52" s="93" t="n"/>
      <c r="F52" s="93" t="n"/>
      <c r="G52" s="93" t="n"/>
      <c r="H52" s="93" t="n"/>
      <c r="I52" s="95" t="n"/>
    </row>
    <row r="53" ht="10" customHeight="1">
      <c r="A53" s="96" t="inlineStr">
        <is>
          <t>Work Type</t>
        </is>
      </c>
      <c r="B53" s="97" t="inlineStr">
        <is>
          <t>Submarines</t>
        </is>
      </c>
      <c r="C53" s="96" t="inlineStr">
        <is>
          <t>Surface Combatants</t>
        </is>
      </c>
      <c r="D53" s="96" t="inlineStr">
        <is>
          <t>Aircraft Carriers</t>
        </is>
      </c>
      <c r="E53" s="96" t="inlineStr">
        <is>
          <t>Amphibious Warfare Ships</t>
        </is>
      </c>
      <c r="F53" s="96" t="inlineStr">
        <is>
          <t>Surveillance Ships</t>
        </is>
      </c>
      <c r="G53" s="96" t="inlineStr">
        <is>
          <t>Expeditionary &amp; Seabasing Ships</t>
        </is>
      </c>
      <c r="H53" s="96" t="inlineStr">
        <is>
          <t>Command Ships</t>
        </is>
      </c>
      <c r="I53" s="97" t="inlineStr">
        <is>
          <t>Total</t>
        </is>
      </c>
    </row>
    <row r="54" ht="10" customHeight="1">
      <c r="A54" s="84" t="inlineStr">
        <is>
          <t>Modernization</t>
        </is>
      </c>
      <c r="B54" s="98">
        <f>IFERROR((SUMIFS(JB_27U,JB_B,4,JB_W,"Submarines",JB_S,"",JB_27U,"&lt;&gt;")+SUMIFS(JB_27S,JB_B,4,JB_W,"Submarines",JB_S,"",JB_27U,"")+SUMIFS(JB_27U,JB_B,4,JB_W,"Submarines",JB_S,"[PARENT]",JB_27U,"&lt;&gt;")+SUMIFS(JB_27S,JB_B,4,JB_W,"Submarines",JB_S,"[PARENT]",JB_27U,""))/B$58,0)</f>
        <v/>
      </c>
      <c r="C54" s="91">
        <f>IFERROR((SUMIFS(JB_27U,JB_B,4,JB_W,"Surface Combatants",JB_S,"",JB_27U,"&lt;&gt;")+SUMIFS(JB_27S,JB_B,4,JB_W,"Surface Combatants",JB_S,"",JB_27U,"")+SUMIFS(JB_27U,JB_B,4,JB_W,"Surface Combatants",JB_S,"[PARENT]",JB_27U,"&lt;&gt;")+SUMIFS(JB_27S,JB_B,4,JB_W,"Surface Combatants",JB_S,"[PARENT]",JB_27U,""))/C$58,0)</f>
        <v/>
      </c>
      <c r="D54" s="91">
        <f>IFERROR((SUMIFS(JB_27U,JB_B,4,JB_W,"Aircraft Carriers",JB_S,"",JB_27U,"&lt;&gt;")+SUMIFS(JB_27S,JB_B,4,JB_W,"Aircraft Carriers",JB_S,"",JB_27U,"")+SUMIFS(JB_27U,JB_B,4,JB_W,"Aircraft Carriers",JB_S,"[PARENT]",JB_27U,"&lt;&gt;")+SUMIFS(JB_27S,JB_B,4,JB_W,"Aircraft Carriers",JB_S,"[PARENT]",JB_27U,""))/D$58,0)</f>
        <v/>
      </c>
      <c r="E54" s="91">
        <f>IFERROR((SUMIFS(JB_27U,JB_B,4,JB_W,"Amphibious Warfare Ships",JB_S,"",JB_27U,"&lt;&gt;")+SUMIFS(JB_27S,JB_B,4,JB_W,"Amphibious Warfare Ships",JB_S,"",JB_27U,"")+SUMIFS(JB_27U,JB_B,4,JB_W,"Amphibious Warfare Ships",JB_S,"[PARENT]",JB_27U,"&lt;&gt;")+SUMIFS(JB_27S,JB_B,4,JB_W,"Amphibious Warfare Ships",JB_S,"[PARENT]",JB_27U,""))/E$58,0)</f>
        <v/>
      </c>
      <c r="F54" s="91">
        <f>IFERROR((SUMIFS(JB_27U,JB_B,4,JB_W,"Surveillance Ships",JB_S,"",JB_27U,"&lt;&gt;")+SUMIFS(JB_27S,JB_B,4,JB_W,"Surveillance Ships",JB_S,"",JB_27U,"")+SUMIFS(JB_27U,JB_B,4,JB_W,"Surveillance Ships",JB_S,"[PARENT]",JB_27U,"&lt;&gt;")+SUMIFS(JB_27S,JB_B,4,JB_W,"Surveillance Ships",JB_S,"[PARENT]",JB_27U,""))/F$58,0)</f>
        <v/>
      </c>
      <c r="G54"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Ships",JB_S,"[PARENT]",JB_27U,""))/G$58,0)</f>
        <v/>
      </c>
      <c r="H54" s="91">
        <f>IFERROR((SUMIFS(JB_27U,JB_B,4,JB_W,"Command Ships",JB_S,"",JB_27U,"&lt;&gt;")+SUMIFS(JB_27S,JB_B,4,JB_W,"Command Ships",JB_S,"",JB_27U,"")+SUMIFS(JB_27U,JB_B,4,JB_W,"Command Ships",JB_S,"[PARENT]",JB_27U,"&lt;&gt;")+SUMIFS(JB_27S,JB_B,4,JB_W,"Command Ships",JB_S,"[PARENT]",JB_27U,""))/H$58,0)</f>
        <v/>
      </c>
      <c r="I54" s="98">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Platforms",JB_S,"[PARENT]",JB_27U,""))/I$58,0)</f>
        <v/>
      </c>
    </row>
    <row r="55" ht="10" customHeight="1">
      <c r="A55" s="84" t="inlineStr">
        <is>
          <t>Major Life-Cycle Events / RCOH</t>
        </is>
      </c>
      <c r="B55" s="98">
        <f>IFERROR((SUMIFS(JB_27U,JB_B,5,JB_W,"Submarines",JB_S,"",JB_27U,"&lt;&gt;")+SUMIFS(JB_27S,JB_B,5,JB_W,"Submarines",JB_S,"",JB_27U,"")+SUMIFS(JB_27U,JB_B,5,JB_W,"Submarines",JB_S,"[PARENT]",JB_27U,"&lt;&gt;")+SUMIFS(JB_27S,JB_B,5,JB_W,"Submarines",JB_S,"[PARENT]",JB_27U,""))/B$58,0)</f>
        <v/>
      </c>
      <c r="C55" s="91">
        <f>IFERROR((SUMIFS(JB_27U,JB_B,5,JB_W,"Surface Combatants",JB_S,"",JB_27U,"&lt;&gt;")+SUMIFS(JB_27S,JB_B,5,JB_W,"Surface Combatants",JB_S,"",JB_27U,"")+SUMIFS(JB_27U,JB_B,5,JB_W,"Surface Combatants",JB_S,"[PARENT]",JB_27U,"&lt;&gt;")+SUMIFS(JB_27S,JB_B,5,JB_W,"Surface Combatants",JB_S,"[PARENT]",JB_27U,""))/C$58,0)</f>
        <v/>
      </c>
      <c r="D55" s="91">
        <f>IFERROR((SUMIFS(JB_27U,JB_B,5,JB_W,"Aircraft Carriers",JB_S,"",JB_27U,"&lt;&gt;")+SUMIFS(JB_27S,JB_B,5,JB_W,"Aircraft Carriers",JB_S,"",JB_27U,"")+SUMIFS(JB_27U,JB_B,5,JB_W,"Aircraft Carriers",JB_S,"[PARENT]",JB_27U,"&lt;&gt;")+SUMIFS(JB_27S,JB_B,5,JB_W,"Aircraft Carriers",JB_S,"[PARENT]",JB_27U,""))/D$58,0)</f>
        <v/>
      </c>
      <c r="E55" s="91">
        <f>IFERROR((SUMIFS(JB_27U,JB_B,5,JB_W,"Amphibious Warfare Ships",JB_S,"",JB_27U,"&lt;&gt;")+SUMIFS(JB_27S,JB_B,5,JB_W,"Amphibious Warfare Ships",JB_S,"",JB_27U,"")+SUMIFS(JB_27U,JB_B,5,JB_W,"Amphibious Warfare Ships",JB_S,"[PARENT]",JB_27U,"&lt;&gt;")+SUMIFS(JB_27S,JB_B,5,JB_W,"Amphibious Warfare Ships",JB_S,"[PARENT]",JB_27U,""))/E$58,0)</f>
        <v/>
      </c>
      <c r="F55" s="91">
        <f>IFERROR((SUMIFS(JB_27U,JB_B,5,JB_W,"Surveillance Ships",JB_S,"",JB_27U,"&lt;&gt;")+SUMIFS(JB_27S,JB_B,5,JB_W,"Surveillance Ships",JB_S,"",JB_27U,"")+SUMIFS(JB_27U,JB_B,5,JB_W,"Surveillance Ships",JB_S,"[PARENT]",JB_27U,"&lt;&gt;")+SUMIFS(JB_27S,JB_B,5,JB_W,"Surveillance Ships",JB_S,"[PARENT]",JB_27U,""))/F$58,0)</f>
        <v/>
      </c>
      <c r="G55"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Ships",JB_S,"[PARENT]",JB_27U,""))/G$58,0)</f>
        <v/>
      </c>
      <c r="H55" s="91">
        <f>IFERROR((SUMIFS(JB_27U,JB_B,5,JB_W,"Command Ships",JB_S,"",JB_27U,"&lt;&gt;")+SUMIFS(JB_27S,JB_B,5,JB_W,"Command Ships",JB_S,"",JB_27U,"")+SUMIFS(JB_27U,JB_B,5,JB_W,"Command Ships",JB_S,"[PARENT]",JB_27U,"&lt;&gt;")+SUMIFS(JB_27S,JB_B,5,JB_W,"Command Ships",JB_S,"[PARENT]",JB_27U,""))/H$58,0)</f>
        <v/>
      </c>
      <c r="I55" s="98">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Platforms",JB_S,"[PARENT]",JB_27U,""))/I$58,0)</f>
        <v/>
      </c>
    </row>
    <row r="56" ht="10" customHeight="1">
      <c r="A56" s="84" t="inlineStr">
        <is>
          <t>Sustainment Engineering</t>
        </is>
      </c>
      <c r="B56" s="98">
        <f>IFERROR((SUMIFS(JB_27U,JB_B,6,JB_W,"Submarines",JB_S,"",JB_27U,"&lt;&gt;")+SUMIFS(JB_27S,JB_B,6,JB_W,"Submarines",JB_S,"",JB_27U,"")+SUMIFS(JB_27U,JB_B,6,JB_W,"Submarines",JB_S,"[PARENT]",JB_27U,"&lt;&gt;")+SUMIFS(JB_27S,JB_B,6,JB_W,"Submarines",JB_S,"[PARENT]",JB_27U,""))/B$58,0)</f>
        <v/>
      </c>
      <c r="C56" s="91">
        <f>IFERROR((SUMIFS(JB_27U,JB_B,6,JB_W,"Surface Combatants",JB_S,"",JB_27U,"&lt;&gt;")+SUMIFS(JB_27S,JB_B,6,JB_W,"Surface Combatants",JB_S,"",JB_27U,"")+SUMIFS(JB_27U,JB_B,6,JB_W,"Surface Combatants",JB_S,"[PARENT]",JB_27U,"&lt;&gt;")+SUMIFS(JB_27S,JB_B,6,JB_W,"Surface Combatants",JB_S,"[PARENT]",JB_27U,""))/C$58,0)</f>
        <v/>
      </c>
      <c r="D56" s="91">
        <f>IFERROR((SUMIFS(JB_27U,JB_B,6,JB_W,"Aircraft Carriers",JB_S,"",JB_27U,"&lt;&gt;")+SUMIFS(JB_27S,JB_B,6,JB_W,"Aircraft Carriers",JB_S,"",JB_27U,"")+SUMIFS(JB_27U,JB_B,6,JB_W,"Aircraft Carriers",JB_S,"[PARENT]",JB_27U,"&lt;&gt;")+SUMIFS(JB_27S,JB_B,6,JB_W,"Aircraft Carriers",JB_S,"[PARENT]",JB_27U,""))/D$58,0)</f>
        <v/>
      </c>
      <c r="E56" s="91">
        <f>IFERROR((SUMIFS(JB_27U,JB_B,6,JB_W,"Amphibious Warfare Ships",JB_S,"",JB_27U,"&lt;&gt;")+SUMIFS(JB_27S,JB_B,6,JB_W,"Amphibious Warfare Ships",JB_S,"",JB_27U,"")+SUMIFS(JB_27U,JB_B,6,JB_W,"Amphibious Warfare Ships",JB_S,"[PARENT]",JB_27U,"&lt;&gt;")+SUMIFS(JB_27S,JB_B,6,JB_W,"Amphibious Warfare Ships",JB_S,"[PARENT]",JB_27U,""))/E$58,0)</f>
        <v/>
      </c>
      <c r="F56" s="91">
        <f>IFERROR((SUMIFS(JB_27U,JB_B,6,JB_W,"Surveillance Ships",JB_S,"",JB_27U,"&lt;&gt;")+SUMIFS(JB_27S,JB_B,6,JB_W,"Surveillance Ships",JB_S,"",JB_27U,"")+SUMIFS(JB_27U,JB_B,6,JB_W,"Surveillance Ships",JB_S,"[PARENT]",JB_27U,"&lt;&gt;")+SUMIFS(JB_27S,JB_B,6,JB_W,"Surveillance Ships",JB_S,"[PARENT]",JB_27U,""))/F$58,0)</f>
        <v/>
      </c>
      <c r="G56"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Ships",JB_S,"[PARENT]",JB_27U,""))/G$58,0)</f>
        <v/>
      </c>
      <c r="H56" s="91">
        <f>IFERROR((SUMIFS(JB_27U,JB_B,6,JB_W,"Command Ships",JB_S,"",JB_27U,"&lt;&gt;")+SUMIFS(JB_27S,JB_B,6,JB_W,"Command Ships",JB_S,"",JB_27U,"")+SUMIFS(JB_27U,JB_B,6,JB_W,"Command Ships",JB_S,"[PARENT]",JB_27U,"&lt;&gt;")+SUMIFS(JB_27S,JB_B,6,JB_W,"Command Ships",JB_S,"[PARENT]",JB_27U,""))/H$58,0)</f>
        <v/>
      </c>
      <c r="I56" s="98">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Platforms",JB_S,"[PARENT]",JB_27U,""))/I$58,0)</f>
        <v/>
      </c>
    </row>
    <row r="57" ht="10" customHeight="1">
      <c r="A57" s="84" t="inlineStr">
        <is>
          <t>Availability Support</t>
        </is>
      </c>
      <c r="B57" s="98">
        <f>IFERROR((SUMIFS(JB_27U,JB_B,7,JB_W,"Submarines",JB_S,"",JB_27U,"&lt;&gt;")+SUMIFS(JB_27S,JB_B,7,JB_W,"Submarines",JB_S,"",JB_27U,"")+SUMIFS(JB_27U,JB_B,7,JB_W,"Submarines",JB_S,"[PARENT]",JB_27U,"&lt;&gt;")+SUMIFS(JB_27S,JB_B,7,JB_W,"Submarines",JB_S,"[PARENT]",JB_27U,""))/B$58,0)</f>
        <v/>
      </c>
      <c r="C57" s="91">
        <f>IFERROR((SUMIFS(JB_27U,JB_B,7,JB_W,"Surface Combatants",JB_S,"",JB_27U,"&lt;&gt;")+SUMIFS(JB_27S,JB_B,7,JB_W,"Surface Combatants",JB_S,"",JB_27U,"")+SUMIFS(JB_27U,JB_B,7,JB_W,"Surface Combatants",JB_S,"[PARENT]",JB_27U,"&lt;&gt;")+SUMIFS(JB_27S,JB_B,7,JB_W,"Surface Combatants",JB_S,"[PARENT]",JB_27U,""))/C$58,0)</f>
        <v/>
      </c>
      <c r="D57" s="91">
        <f>IFERROR((SUMIFS(JB_27U,JB_B,7,JB_W,"Aircraft Carriers",JB_S,"",JB_27U,"&lt;&gt;")+SUMIFS(JB_27S,JB_B,7,JB_W,"Aircraft Carriers",JB_S,"",JB_27U,"")+SUMIFS(JB_27U,JB_B,7,JB_W,"Aircraft Carriers",JB_S,"[PARENT]",JB_27U,"&lt;&gt;")+SUMIFS(JB_27S,JB_B,7,JB_W,"Aircraft Carriers",JB_S,"[PARENT]",JB_27U,""))/D$58,0)</f>
        <v/>
      </c>
      <c r="E57" s="91">
        <f>IFERROR((SUMIFS(JB_27U,JB_B,7,JB_W,"Amphibious Warfare Ships",JB_S,"",JB_27U,"&lt;&gt;")+SUMIFS(JB_27S,JB_B,7,JB_W,"Amphibious Warfare Ships",JB_S,"",JB_27U,"")+SUMIFS(JB_27U,JB_B,7,JB_W,"Amphibious Warfare Ships",JB_S,"[PARENT]",JB_27U,"&lt;&gt;")+SUMIFS(JB_27S,JB_B,7,JB_W,"Amphibious Warfare Ships",JB_S,"[PARENT]",JB_27U,""))/E$58,0)</f>
        <v/>
      </c>
      <c r="F57" s="91">
        <f>IFERROR((SUMIFS(JB_27U,JB_B,7,JB_W,"Surveillance Ships",JB_S,"",JB_27U,"&lt;&gt;")+SUMIFS(JB_27S,JB_B,7,JB_W,"Surveillance Ships",JB_S,"",JB_27U,"")+SUMIFS(JB_27U,JB_B,7,JB_W,"Surveillance Ships",JB_S,"[PARENT]",JB_27U,"&lt;&gt;")+SUMIFS(JB_27S,JB_B,7,JB_W,"Surveillance Ships",JB_S,"[PARENT]",JB_27U,""))/F$58,0)</f>
        <v/>
      </c>
      <c r="G57"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Ships",JB_S,"[PARENT]",JB_27U,""))/G$58,0)</f>
        <v/>
      </c>
      <c r="H57" s="91">
        <f>IFERROR((SUMIFS(JB_27U,JB_B,7,JB_W,"Command Ships",JB_S,"",JB_27U,"&lt;&gt;")+SUMIFS(JB_27S,JB_B,7,JB_W,"Command Ships",JB_S,"",JB_27U,"")+SUMIFS(JB_27U,JB_B,7,JB_W,"Command Ships",JB_S,"[PARENT]",JB_27U,"&lt;&gt;")+SUMIFS(JB_27S,JB_B,7,JB_W,"Command Ships",JB_S,"[PARENT]",JB_27U,""))/H$58,0)</f>
        <v/>
      </c>
      <c r="I57" s="98">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Platforms",JB_S,"[PARENT]",JB_27U,""))/I$58,0)</f>
        <v/>
      </c>
    </row>
    <row r="58" ht="10" customHeight="1">
      <c r="A58" s="86" t="inlineStr">
        <is>
          <t>Total ($K)</t>
        </is>
      </c>
      <c r="B58" s="9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58"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58"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58"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58"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58"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58"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58" s="99">
        <f>SUM(B58:H58)</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100">
        <f>'FY27 MRO TAM'!B17</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c r="A12" s="81" t="inlineStr">
        <is>
          <t>(B) MRO SAM by Vessel Type</t>
        </is>
      </c>
      <c r="B12" s="82" t="n"/>
      <c r="C12" s="82" t="n"/>
      <c r="D12" s="82" t="n"/>
      <c r="E12" s="82" t="n"/>
      <c r="F12" s="82" t="n"/>
    </row>
    <row r="13" ht="10" customHeight="1">
      <c r="A13" s="83" t="inlineStr">
        <is>
          <t>Vessel Type</t>
        </is>
      </c>
      <c r="B13" s="83" t="inlineStr">
        <is>
          <t>Service</t>
        </is>
      </c>
      <c r="C13" s="83" t="inlineStr">
        <is>
          <t>SDM ($K)</t>
        </is>
      </c>
      <c r="D13" s="83" t="inlineStr">
        <is>
          <t>Mod ($K)</t>
        </is>
      </c>
      <c r="E13" s="83" t="inlineStr">
        <is>
          <t>Total ($K)</t>
        </is>
      </c>
      <c r="F13" s="83" t="inlineStr">
        <is>
          <t>% of SAM</t>
        </is>
      </c>
    </row>
    <row r="14" ht="10" customHeight="1">
      <c r="A14" s="84" t="inlineStr">
        <is>
          <t>Surface Combatants</t>
        </is>
      </c>
      <c r="B14" s="84" t="inlineStr">
        <is>
          <t>USN</t>
        </is>
      </c>
      <c r="C14" s="85">
        <f>SUMIFS(JB_27U,JB_B,2,JB_W,"Surface Combatants",JB_S,"",JB_27U,"&lt;&gt;")+SUMIFS(JB_27S,JB_B,2,JB_W,"Surface Combatants",JB_S,"",JB_27U,"")+SUMIFS(JB_27U,JB_B,2,JB_W,"Surface Combatants",JB_S,"[PARENT]",JB_27U,"&lt;&gt;")+SUMIFS(JB_27S,JB_B,2,JB_W,"Surface Combatants",JB_S,"[PARENT]",JB_27U,"")</f>
        <v/>
      </c>
      <c r="D14" s="85">
        <f>SUMIFS(JB_27U,JB_B,4,JB_W,"Surface Combatants",JB_S,"",JB_27U,"&lt;&gt;")+SUMIFS(JB_27S,JB_B,4,JB_W,"Surface Combatants",JB_S,"",JB_27U,"")+SUMIFS(JB_27U,JB_B,4,JB_W,"Surface Combatants",JB_S,"[PARENT]",JB_27U,"&lt;&gt;")+SUMIFS(JB_27S,JB_B,4,JB_W,"Surface Combatants",JB_S,"[PARENT]",JB_27U,"")</f>
        <v/>
      </c>
      <c r="E14" s="85">
        <f>C14+D14</f>
        <v/>
      </c>
      <c r="F14" s="91">
        <f>IFERROR(E14/E$39,0)</f>
        <v/>
      </c>
    </row>
    <row r="15" ht="10" customHeight="1">
      <c r="A15" s="84" t="inlineStr">
        <is>
          <t>Amphibious Warfare Ships</t>
        </is>
      </c>
      <c r="B15" s="84" t="inlineStr">
        <is>
          <t>USN</t>
        </is>
      </c>
      <c r="C15" s="85">
        <f>SUMIFS(JB_27U,JB_B,2,JB_W,"Amphibious Warfare Ships",JB_S,"",JB_27U,"&lt;&gt;")+SUMIFS(JB_27S,JB_B,2,JB_W,"Amphibious Warfare Ships",JB_S,"",JB_27U,"")+SUMIFS(JB_27U,JB_B,2,JB_W,"Amphibious Warfare Ships",JB_S,"[PARENT]",JB_27U,"&lt;&gt;")+SUMIFS(JB_27S,JB_B,2,JB_W,"Amphibious Warfare Ships",JB_S,"[PARENT]",JB_27U,"")</f>
        <v/>
      </c>
      <c r="D15" s="85">
        <f>SUMIFS(JB_27U,JB_B,4,JB_W,"Amphibious Warfare Ships",JB_S,"",JB_27U,"&lt;&gt;")+SUMIFS(JB_27S,JB_B,4,JB_W,"Amphibious Warfare Ships",JB_S,"",JB_27U,"")+SUMIFS(JB_27U,JB_B,4,JB_W,"Amphibious Warfare Ships",JB_S,"[PARENT]",JB_27U,"&lt;&gt;")+SUMIFS(JB_27S,JB_B,4,JB_W,"Amphibious Warfare Ships",JB_S,"[PARENT]",JB_27U,"")</f>
        <v/>
      </c>
      <c r="E15" s="85">
        <f>C15+D15</f>
        <v/>
      </c>
      <c r="F15" s="91">
        <f>IFERROR(E15/E$39,0)</f>
        <v/>
      </c>
    </row>
    <row r="16" ht="10" customHeight="1">
      <c r="A16" s="84" t="inlineStr">
        <is>
          <t>Surveillance Ships</t>
        </is>
      </c>
      <c r="B16" s="84" t="inlineStr">
        <is>
          <t>USN</t>
        </is>
      </c>
      <c r="C16" s="85">
        <f>SUMIFS(JB_27U,JB_B,2,JB_W,"Surveillance Ships",JB_S,"",JB_27U,"&lt;&gt;")+SUMIFS(JB_27S,JB_B,2,JB_W,"Surveillance Ships",JB_S,"",JB_27U,"")+SUMIFS(JB_27U,JB_B,2,JB_W,"Surveillance Ships",JB_S,"[PARENT]",JB_27U,"&lt;&gt;")+SUMIFS(JB_27S,JB_B,2,JB_W,"Surveillance Ships",JB_S,"[PARENT]",JB_27U,"")</f>
        <v/>
      </c>
      <c r="D16" s="85">
        <f>SUMIFS(JB_27U,JB_B,4,JB_W,"Surveillance Ships",JB_S,"",JB_27U,"&lt;&gt;")+SUMIFS(JB_27S,JB_B,4,JB_W,"Surveillance Ships",JB_S,"",JB_27U,"")+SUMIFS(JB_27U,JB_B,4,JB_W,"Surveillance Ships",JB_S,"[PARENT]",JB_27U,"&lt;&gt;")+SUMIFS(JB_27S,JB_B,4,JB_W,"Surveillance Ships",JB_S,"[PARENT]",JB_27U,"")</f>
        <v/>
      </c>
      <c r="E16" s="85">
        <f>C16+D16</f>
        <v/>
      </c>
      <c r="F16" s="91">
        <f>IFERROR(E16/E$39,0)</f>
        <v/>
      </c>
    </row>
    <row r="17" ht="10" customHeight="1">
      <c r="A17" s="84" t="inlineStr">
        <is>
          <t>Crane Ship</t>
        </is>
      </c>
      <c r="B17" s="84" t="inlineStr">
        <is>
          <t>USN</t>
        </is>
      </c>
      <c r="C17" s="85">
        <f>SUMIFS(JB_27U,JB_B,2,JB_W,"Crane Ship",JB_S,"",JB_27U,"&lt;&gt;")+SUMIFS(JB_27S,JB_B,2,JB_W,"Crane Ship",JB_S,"",JB_27U,"")+SUMIFS(JB_27U,JB_B,2,JB_W,"Crane Ship",JB_S,"[PARENT]",JB_27U,"&lt;&gt;")+SUMIFS(JB_27S,JB_B,2,JB_W,"Crane Ship",JB_S,"[PARENT]",JB_27U,"")</f>
        <v/>
      </c>
      <c r="D17" s="85">
        <f>SUMIFS(JB_27U,JB_B,4,JB_W,"Crane Ship",JB_S,"",JB_27U,"&lt;&gt;")+SUMIFS(JB_27S,JB_B,4,JB_W,"Crane Ship",JB_S,"",JB_27U,"")+SUMIFS(JB_27U,JB_B,4,JB_W,"Crane Ship",JB_S,"[PARENT]",JB_27U,"&lt;&gt;")+SUMIFS(JB_27S,JB_B,4,JB_W,"Crane Ship",JB_S,"[PARENT]",JB_27U,"")</f>
        <v/>
      </c>
      <c r="E17" s="85">
        <f>C17+D17</f>
        <v/>
      </c>
      <c r="F17" s="91">
        <f>IFERROR(E17/E$39,0)</f>
        <v/>
      </c>
    </row>
    <row r="18" ht="10" customHeight="1">
      <c r="A18" s="84" t="inlineStr">
        <is>
          <t>Submarine Escort Ship</t>
        </is>
      </c>
      <c r="B18" s="84" t="inlineStr">
        <is>
          <t>USN</t>
        </is>
      </c>
      <c r="C18" s="85">
        <f>SUMIFS(JB_27U,JB_B,2,JB_W,"Submarine Escort Ship",JB_S,"",JB_27U,"&lt;&gt;")+SUMIFS(JB_27S,JB_B,2,JB_W,"Submarine Escort Ship",JB_S,"",JB_27U,"")+SUMIFS(JB_27U,JB_B,2,JB_W,"Submarine Escort Ship",JB_S,"[PARENT]",JB_27U,"&lt;&gt;")+SUMIFS(JB_27S,JB_B,2,JB_W,"Submarine Escort Ship",JB_S,"[PARENT]",JB_27U,"")</f>
        <v/>
      </c>
      <c r="D18" s="85">
        <f>SUMIFS(JB_27U,JB_B,4,JB_W,"Submarine Escort Ship",JB_S,"",JB_27U,"&lt;&gt;")+SUMIFS(JB_27S,JB_B,4,JB_W,"Submarine Escort Ship",JB_S,"",JB_27U,"")+SUMIFS(JB_27U,JB_B,4,JB_W,"Submarine Escort Ship",JB_S,"[PARENT]",JB_27U,"&lt;&gt;")+SUMIFS(JB_27S,JB_B,4,JB_W,"Submarine Escort Ship",JB_S,"[PARENT]",JB_27U,"")</f>
        <v/>
      </c>
      <c r="E18" s="85">
        <f>C18+D18</f>
        <v/>
      </c>
      <c r="F18" s="91">
        <f>IFERROR(E18/E$39,0)</f>
        <v/>
      </c>
    </row>
    <row r="19" ht="10" customHeight="1">
      <c r="A19" s="84" t="inlineStr">
        <is>
          <t>Research, Survey &amp; Instrumentation Ships</t>
        </is>
      </c>
      <c r="B19" s="84" t="inlineStr">
        <is>
          <t>MSC</t>
        </is>
      </c>
      <c r="C19"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19"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19" s="85">
        <f>C19+D19</f>
        <v/>
      </c>
      <c r="F19" s="91">
        <f>IFERROR(E19/E$39,0)</f>
        <v/>
      </c>
    </row>
    <row r="20" ht="10" customHeight="1">
      <c r="A20" s="84" t="inlineStr">
        <is>
          <t>Material Support Ships</t>
        </is>
      </c>
      <c r="B20" s="84" t="inlineStr">
        <is>
          <t>USN</t>
        </is>
      </c>
      <c r="C20" s="85">
        <f>SUMIFS(JB_27U,JB_B,2,JB_W,"Material Support Ships",JB_S,"",JB_27U,"&lt;&gt;")+SUMIFS(JB_27S,JB_B,2,JB_W,"Material Support Ships",JB_S,"",JB_27U,"")+SUMIFS(JB_27U,JB_B,2,JB_W,"Material Support Ships",JB_S,"[PARENT]",JB_27U,"&lt;&gt;")+SUMIFS(JB_27S,JB_B,2,JB_W,"Material Support Ships",JB_S,"[PARENT]",JB_27U,"")</f>
        <v/>
      </c>
      <c r="D20" s="85">
        <f>SUMIFS(JB_27U,JB_B,4,JB_W,"Material Support Ships",JB_S,"",JB_27U,"&lt;&gt;")+SUMIFS(JB_27S,JB_B,4,JB_W,"Material Support Ships",JB_S,"",JB_27U,"")+SUMIFS(JB_27U,JB_B,4,JB_W,"Material Support Ships",JB_S,"[PARENT]",JB_27U,"&lt;&gt;")+SUMIFS(JB_27S,JB_B,4,JB_W,"Material Support Ships",JB_S,"[PARENT]",JB_27U,"")</f>
        <v/>
      </c>
      <c r="E20" s="85">
        <f>C20+D20</f>
        <v/>
      </c>
      <c r="F20" s="91">
        <f>IFERROR(E20/E$39,0)</f>
        <v/>
      </c>
    </row>
    <row r="21" ht="10" customHeight="1">
      <c r="A21" s="84" t="inlineStr">
        <is>
          <t>High Speed Transport</t>
        </is>
      </c>
      <c r="B21" s="84" t="inlineStr">
        <is>
          <t>USN</t>
        </is>
      </c>
      <c r="C21" s="85">
        <f>SUMIFS(JB_27U,JB_B,2,JB_W,"High Speed Transport",JB_S,"",JB_27U,"&lt;&gt;")+SUMIFS(JB_27S,JB_B,2,JB_W,"High Speed Transport",JB_S,"",JB_27U,"")+SUMIFS(JB_27U,JB_B,2,JB_W,"High Speed Transport",JB_S,"[PARENT]",JB_27U,"&lt;&gt;")+SUMIFS(JB_27S,JB_B,2,JB_W,"High Speed Transport",JB_S,"[PARENT]",JB_27U,"")</f>
        <v/>
      </c>
      <c r="D21" s="85">
        <f>SUMIFS(JB_27U,JB_B,4,JB_W,"High Speed Transport",JB_S,"",JB_27U,"&lt;&gt;")+SUMIFS(JB_27S,JB_B,4,JB_W,"High Speed Transport",JB_S,"",JB_27U,"")+SUMIFS(JB_27U,JB_B,4,JB_W,"High Speed Transport",JB_S,"[PARENT]",JB_27U,"&lt;&gt;")+SUMIFS(JB_27S,JB_B,4,JB_W,"High Speed Transport",JB_S,"[PARENT]",JB_27U,"")</f>
        <v/>
      </c>
      <c r="E21" s="85">
        <f>C21+D21</f>
        <v/>
      </c>
      <c r="F21" s="91">
        <f>IFERROR(E21/E$39,0)</f>
        <v/>
      </c>
    </row>
    <row r="22" ht="10" customHeight="1">
      <c r="A22" s="84" t="inlineStr">
        <is>
          <t>Expeditionary &amp; Seabasing Ships</t>
        </is>
      </c>
      <c r="B22" s="84" t="inlineStr">
        <is>
          <t>USN</t>
        </is>
      </c>
      <c r="C22"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22"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22" s="85">
        <f>C22+D22</f>
        <v/>
      </c>
      <c r="F22" s="91">
        <f>IFERROR(E22/E$39,0)</f>
        <v/>
      </c>
    </row>
    <row r="23" ht="10" customHeight="1">
      <c r="A23" s="84" t="inlineStr">
        <is>
          <t>General Auxiliary</t>
        </is>
      </c>
      <c r="B23" s="84" t="inlineStr">
        <is>
          <t>USN</t>
        </is>
      </c>
      <c r="C23" s="85">
        <f>SUMIFS(JB_27U,JB_B,2,JB_W,"General Auxiliary",JB_S,"",JB_27U,"&lt;&gt;")+SUMIFS(JB_27S,JB_B,2,JB_W,"General Auxiliary",JB_S,"",JB_27U,"")+SUMIFS(JB_27U,JB_B,2,JB_W,"General Auxiliary",JB_S,"[PARENT]",JB_27U,"&lt;&gt;")+SUMIFS(JB_27S,JB_B,2,JB_W,"General Auxiliary",JB_S,"[PARENT]",JB_27U,"")</f>
        <v/>
      </c>
      <c r="D23" s="85">
        <f>SUMIFS(JB_27U,JB_B,4,JB_W,"General Auxiliary",JB_S,"",JB_27U,"&lt;&gt;")+SUMIFS(JB_27S,JB_B,4,JB_W,"General Auxiliary",JB_S,"",JB_27U,"")+SUMIFS(JB_27U,JB_B,4,JB_W,"General Auxiliary",JB_S,"[PARENT]",JB_27U,"&lt;&gt;")+SUMIFS(JB_27S,JB_B,4,JB_W,"General Auxiliary",JB_S,"[PARENT]",JB_27U,"")</f>
        <v/>
      </c>
      <c r="E23" s="85">
        <f>C23+D23</f>
        <v/>
      </c>
      <c r="F23" s="91">
        <f>IFERROR(E23/E$39,0)</f>
        <v/>
      </c>
    </row>
    <row r="24" ht="10" customHeight="1">
      <c r="A24" s="84" t="inlineStr">
        <is>
          <t>Unmanned Surface Vehicles</t>
        </is>
      </c>
      <c r="B24" s="84" t="inlineStr">
        <is>
          <t>USN</t>
        </is>
      </c>
      <c r="C24" s="85">
        <f>SUMIFS(JB_27U,JB_B,2,JB_W,"Unmanned Surface Vehicles",JB_S,"",JB_27U,"&lt;&gt;")+SUMIFS(JB_27S,JB_B,2,JB_W,"Unmanned Surface Vehicles",JB_S,"",JB_27U,"")+SUMIFS(JB_27U,JB_B,2,JB_W,"Unmanned Surface Vehicles",JB_S,"[PARENT]",JB_27U,"&lt;&gt;")+SUMIFS(JB_27S,JB_B,2,JB_W,"Unmanned Surface Vehicles",JB_S,"[PARENT]",JB_27U,"")</f>
        <v/>
      </c>
      <c r="D24" s="85">
        <f>SUMIFS(JB_27U,JB_B,4,JB_W,"Unmanned Surface Vehicles",JB_S,"",JB_27U,"&lt;&gt;")+SUMIFS(JB_27S,JB_B,4,JB_W,"Unmanned Surface Vehicles",JB_S,"",JB_27U,"")+SUMIFS(JB_27U,JB_B,4,JB_W,"Unmanned Surface Vehicles",JB_S,"[PARENT]",JB_27U,"&lt;&gt;")+SUMIFS(JB_27S,JB_B,4,JB_W,"Unmanned Surface Vehicles",JB_S,"[PARENT]",JB_27U,"")</f>
        <v/>
      </c>
      <c r="E24" s="85">
        <f>C24+D24</f>
        <v/>
      </c>
      <c r="F24" s="91">
        <f>IFERROR(E24/E$39,0)</f>
        <v/>
      </c>
    </row>
    <row r="25" ht="10" customHeight="1">
      <c r="A25" s="84" t="inlineStr">
        <is>
          <t>Mine Warfare</t>
        </is>
      </c>
      <c r="B25" s="84" t="inlineStr">
        <is>
          <t>USN</t>
        </is>
      </c>
      <c r="C25" s="85">
        <f>SUMIFS(JB_27U,JB_B,2,JB_W,"Mine Warfare",JB_S,"",JB_27U,"&lt;&gt;")+SUMIFS(JB_27S,JB_B,2,JB_W,"Mine Warfare",JB_S,"",JB_27U,"")+SUMIFS(JB_27U,JB_B,2,JB_W,"Mine Warfare",JB_S,"[PARENT]",JB_27U,"&lt;&gt;")+SUMIFS(JB_27S,JB_B,2,JB_W,"Mine Warfare",JB_S,"[PARENT]",JB_27U,"")</f>
        <v/>
      </c>
      <c r="D25" s="85">
        <f>SUMIFS(JB_27U,JB_B,4,JB_W,"Mine Warfare",JB_S,"",JB_27U,"&lt;&gt;")+SUMIFS(JB_27S,JB_B,4,JB_W,"Mine Warfare",JB_S,"",JB_27U,"")+SUMIFS(JB_27U,JB_B,4,JB_W,"Mine Warfare",JB_S,"[PARENT]",JB_27U,"&lt;&gt;")+SUMIFS(JB_27S,JB_B,4,JB_W,"Mine Warfare",JB_S,"[PARENT]",JB_27U,"")</f>
        <v/>
      </c>
      <c r="E25" s="85">
        <f>C25+D25</f>
        <v/>
      </c>
      <c r="F25" s="91">
        <f>IFERROR(E25/E$39,0)</f>
        <v/>
      </c>
    </row>
    <row r="26" ht="10" customHeight="1">
      <c r="A26" s="84" t="inlineStr">
        <is>
          <t>Cargo &amp; Vehicle Cargo Ships</t>
        </is>
      </c>
      <c r="B26" s="84" t="inlineStr">
        <is>
          <t>USN</t>
        </is>
      </c>
      <c r="C26" s="85">
        <f>SUMIFS(JB_27U,JB_B,2,JB_W,"Cargo &amp; Vehicle Cargo Ships",JB_S,"",JB_27U,"&lt;&gt;")+SUMIFS(JB_27S,JB_B,2,JB_W,"Cargo &amp; Vehicle Cargo Ships",JB_S,"",JB_27U,"")+SUMIFS(JB_27U,JB_B,2,JB_W,"Cargo &amp; Vehicle Cargo Ships",JB_S,"[PARENT]",JB_27U,"&lt;&gt;")+SUMIFS(JB_27S,JB_B,2,JB_W,"Cargo &amp; Vehicle Cargo Ships",JB_S,"[PARENT]",JB_27U,"")</f>
        <v/>
      </c>
      <c r="D26" s="85">
        <f>SUMIFS(JB_27U,JB_B,4,JB_W,"Cargo &amp; Vehicle Cargo Ships",JB_S,"",JB_27U,"&lt;&gt;")+SUMIFS(JB_27S,JB_B,4,JB_W,"Cargo &amp; Vehicle Cargo Ships",JB_S,"",JB_27U,"")+SUMIFS(JB_27U,JB_B,4,JB_W,"Cargo &amp; Vehicle Cargo Ships",JB_S,"[PARENT]",JB_27U,"&lt;&gt;")+SUMIFS(JB_27S,JB_B,4,JB_W,"Cargo &amp; Vehicle Cargo Ships",JB_S,"[PARENT]",JB_27U,"")</f>
        <v/>
      </c>
      <c r="E26" s="85">
        <f>C26+D26</f>
        <v/>
      </c>
      <c r="F26" s="91">
        <f>IFERROR(E26/E$39,0)</f>
        <v/>
      </c>
    </row>
    <row r="27" ht="10" customHeight="1">
      <c r="A27" s="84" t="inlineStr">
        <is>
          <t>Combat Logistics Ships</t>
        </is>
      </c>
      <c r="B27" s="84" t="inlineStr">
        <is>
          <t>MSC</t>
        </is>
      </c>
      <c r="C27" s="85">
        <f>SUMIFS(JB_27U,JB_B,2,JB_W,"Combat Logistics Ships",JB_S,"",JB_27U,"&lt;&gt;")+SUMIFS(JB_27S,JB_B,2,JB_W,"Combat Logistics Ships",JB_S,"",JB_27U,"")+SUMIFS(JB_27U,JB_B,2,JB_W,"Combat Logistics Ships",JB_S,"[PARENT]",JB_27U,"&lt;&gt;")+SUMIFS(JB_27S,JB_B,2,JB_W,"Combat Logistics Ships",JB_S,"[PARENT]",JB_27U,"")</f>
        <v/>
      </c>
      <c r="D27" s="85">
        <f>SUMIFS(JB_27U,JB_B,4,JB_W,"Combat Logistics Ships",JB_S,"",JB_27U,"&lt;&gt;")+SUMIFS(JB_27S,JB_B,4,JB_W,"Combat Logistics Ships",JB_S,"",JB_27U,"")+SUMIFS(JB_27U,JB_B,4,JB_W,"Combat Logistics Ships",JB_S,"[PARENT]",JB_27U,"&lt;&gt;")+SUMIFS(JB_27S,JB_B,4,JB_W,"Combat Logistics Ships",JB_S,"[PARENT]",JB_27U,"")</f>
        <v/>
      </c>
      <c r="E27" s="85">
        <f>C27+D27</f>
        <v/>
      </c>
      <c r="F27" s="91">
        <f>IFERROR(E27/E$39,0)</f>
        <v/>
      </c>
    </row>
    <row r="28" ht="10" customHeight="1">
      <c r="A28" s="84" t="inlineStr">
        <is>
          <t>Aviation Logistics Support Ship</t>
        </is>
      </c>
      <c r="B28" s="84" t="inlineStr">
        <is>
          <t>USN</t>
        </is>
      </c>
      <c r="C28"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8"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8" s="85">
        <f>C28+D28</f>
        <v/>
      </c>
      <c r="F28" s="91">
        <f>IFERROR(E28/E$39,0)</f>
        <v/>
      </c>
    </row>
    <row r="29" ht="10" customHeight="1">
      <c r="A29" s="84" t="inlineStr">
        <is>
          <t>Salvage Ships &amp; Fleet Ocean Tugs</t>
        </is>
      </c>
      <c r="B29" s="84" t="inlineStr">
        <is>
          <t>MSC</t>
        </is>
      </c>
      <c r="C29"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29"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29" s="85">
        <f>C29+D29</f>
        <v/>
      </c>
      <c r="F29" s="91">
        <f>IFERROR(E29/E$39,0)</f>
        <v/>
      </c>
    </row>
    <row r="30" ht="10" customHeight="1">
      <c r="A30" s="84" t="inlineStr">
        <is>
          <t>Hospital Ship</t>
        </is>
      </c>
      <c r="B30" s="84" t="inlineStr">
        <is>
          <t>MSC</t>
        </is>
      </c>
      <c r="C30" s="85">
        <f>SUMIFS(JB_27U,JB_B,2,JB_W,"Hospital Ship",JB_S,"",JB_27U,"&lt;&gt;")+SUMIFS(JB_27S,JB_B,2,JB_W,"Hospital Ship",JB_S,"",JB_27U,"")+SUMIFS(JB_27U,JB_B,2,JB_W,"Hospital Ship",JB_S,"[PARENT]",JB_27U,"&lt;&gt;")+SUMIFS(JB_27S,JB_B,2,JB_W,"Hospital Ship",JB_S,"[PARENT]",JB_27U,"")</f>
        <v/>
      </c>
      <c r="D30" s="85">
        <f>SUMIFS(JB_27U,JB_B,4,JB_W,"Hospital Ship",JB_S,"",JB_27U,"&lt;&gt;")+SUMIFS(JB_27S,JB_B,4,JB_W,"Hospital Ship",JB_S,"",JB_27U,"")+SUMIFS(JB_27U,JB_B,4,JB_W,"Hospital Ship",JB_S,"[PARENT]",JB_27U,"&lt;&gt;")+SUMIFS(JB_27S,JB_B,4,JB_W,"Hospital Ship",JB_S,"[PARENT]",JB_27U,"")</f>
        <v/>
      </c>
      <c r="E30" s="85">
        <f>C30+D30</f>
        <v/>
      </c>
      <c r="F30" s="91">
        <f>IFERROR(E30/E$39,0)</f>
        <v/>
      </c>
    </row>
    <row r="31" ht="10" customHeight="1">
      <c r="A31" s="84" t="inlineStr">
        <is>
          <t>Command Ships</t>
        </is>
      </c>
      <c r="B31" s="84" t="inlineStr">
        <is>
          <t>USN</t>
        </is>
      </c>
      <c r="C31" s="85">
        <f>SUMIFS(JB_27U,JB_B,2,JB_W,"Command Ships",JB_S,"",JB_27U,"&lt;&gt;")+SUMIFS(JB_27S,JB_B,2,JB_W,"Command Ships",JB_S,"",JB_27U,"")+SUMIFS(JB_27U,JB_B,2,JB_W,"Command Ships",JB_S,"[PARENT]",JB_27U,"&lt;&gt;")+SUMIFS(JB_27S,JB_B,2,JB_W,"Command Ships",JB_S,"[PARENT]",JB_27U,"")</f>
        <v/>
      </c>
      <c r="D31" s="85">
        <f>SUMIFS(JB_27U,JB_B,4,JB_W,"Command Ships",JB_S,"",JB_27U,"&lt;&gt;")+SUMIFS(JB_27S,JB_B,4,JB_W,"Command Ships",JB_S,"",JB_27U,"")+SUMIFS(JB_27U,JB_B,4,JB_W,"Command Ships",JB_S,"[PARENT]",JB_27U,"&lt;&gt;")+SUMIFS(JB_27S,JB_B,4,JB_W,"Command Ships",JB_S,"[PARENT]",JB_27U,"")</f>
        <v/>
      </c>
      <c r="E31" s="85">
        <f>C31+D31</f>
        <v/>
      </c>
      <c r="F31" s="91">
        <f>IFERROR(E31/E$39,0)</f>
        <v/>
      </c>
    </row>
    <row r="32" ht="10" customHeight="1">
      <c r="A32" s="84" t="inlineStr">
        <is>
          <t>Fast Response Cutters</t>
        </is>
      </c>
      <c r="B32" s="84" t="inlineStr">
        <is>
          <t>USCG</t>
        </is>
      </c>
      <c r="C32" s="85">
        <f>SUMIFS(JB_27U,JB_B,2,JB_W,"Fast Response Cutters",JB_S,"",JB_27U,"&lt;&gt;")+SUMIFS(JB_27S,JB_B,2,JB_W,"Fast Response Cutters",JB_S,"",JB_27U,"")+SUMIFS(JB_27U,JB_B,2,JB_W,"Fast Response Cutters",JB_S,"[PARENT]",JB_27U,"&lt;&gt;")+SUMIFS(JB_27S,JB_B,2,JB_W,"Fast Response Cutters",JB_S,"[PARENT]",JB_27U,"")</f>
        <v/>
      </c>
      <c r="D32" s="85">
        <f>SUMIFS(JB_27U,JB_B,4,JB_W,"Fast Response Cutters",JB_S,"",JB_27U,"&lt;&gt;")+SUMIFS(JB_27S,JB_B,4,JB_W,"Fast Response Cutters",JB_S,"",JB_27U,"")+SUMIFS(JB_27U,JB_B,4,JB_W,"Fast Response Cutters",JB_S,"[PARENT]",JB_27U,"&lt;&gt;")+SUMIFS(JB_27S,JB_B,4,JB_W,"Fast Response Cutters",JB_S,"[PARENT]",JB_27U,"")</f>
        <v/>
      </c>
      <c r="E32" s="85">
        <f>C32+D32</f>
        <v/>
      </c>
      <c r="F32" s="91">
        <f>IFERROR(E32/E$39,0)</f>
        <v/>
      </c>
    </row>
    <row r="33" ht="10" customHeight="1">
      <c r="A33" s="84" t="inlineStr">
        <is>
          <t>National Security Cutters</t>
        </is>
      </c>
      <c r="B33" s="84" t="inlineStr">
        <is>
          <t>USCG</t>
        </is>
      </c>
      <c r="C33" s="85">
        <f>SUMIFS(JB_27U,JB_B,2,JB_W,"National Security Cutters",JB_S,"",JB_27U,"&lt;&gt;")+SUMIFS(JB_27S,JB_B,2,JB_W,"National Security Cutters",JB_S,"",JB_27U,"")+SUMIFS(JB_27U,JB_B,2,JB_W,"National Security Cutters",JB_S,"[PARENT]",JB_27U,"&lt;&gt;")+SUMIFS(JB_27S,JB_B,2,JB_W,"National Security Cutters",JB_S,"[PARENT]",JB_27U,"")</f>
        <v/>
      </c>
      <c r="D33" s="85">
        <f>SUMIFS(JB_27U,JB_B,4,JB_W,"National Security Cutters",JB_S,"",JB_27U,"&lt;&gt;")+SUMIFS(JB_27S,JB_B,4,JB_W,"National Security Cutters",JB_S,"",JB_27U,"")+SUMIFS(JB_27U,JB_B,4,JB_W,"National Security Cutters",JB_S,"[PARENT]",JB_27U,"&lt;&gt;")+SUMIFS(JB_27S,JB_B,4,JB_W,"National Security Cutters",JB_S,"[PARENT]",JB_27U,"")</f>
        <v/>
      </c>
      <c r="E33" s="85">
        <f>C33+D33</f>
        <v/>
      </c>
      <c r="F33" s="91">
        <f>IFERROR(E33/E$39,0)</f>
        <v/>
      </c>
    </row>
    <row r="34" ht="10" customHeight="1">
      <c r="A34" s="84" t="inlineStr">
        <is>
          <t>Waterways Commerce Cutters</t>
        </is>
      </c>
      <c r="B34" s="84" t="inlineStr">
        <is>
          <t>USCG</t>
        </is>
      </c>
      <c r="C34" s="85">
        <f>SUMIFS(JB_27U,JB_B,2,JB_W,"Waterways Commerce Cutters",JB_S,"",JB_27U,"&lt;&gt;")+SUMIFS(JB_27S,JB_B,2,JB_W,"Waterways Commerce Cutters",JB_S,"",JB_27U,"")+SUMIFS(JB_27U,JB_B,2,JB_W,"Waterways Commerce Cutters",JB_S,"[PARENT]",JB_27U,"&lt;&gt;")+SUMIFS(JB_27S,JB_B,2,JB_W,"Waterways Commerce Cutters",JB_S,"[PARENT]",JB_27U,"")</f>
        <v/>
      </c>
      <c r="D34" s="85">
        <f>SUMIFS(JB_27U,JB_B,4,JB_W,"Waterways Commerce Cutters",JB_S,"",JB_27U,"&lt;&gt;")+SUMIFS(JB_27S,JB_B,4,JB_W,"Waterways Commerce Cutters",JB_S,"",JB_27U,"")+SUMIFS(JB_27U,JB_B,4,JB_W,"Waterways Commerce Cutters",JB_S,"[PARENT]",JB_27U,"&lt;&gt;")+SUMIFS(JB_27S,JB_B,4,JB_W,"Waterways Commerce Cutters",JB_S,"[PARENT]",JB_27U,"")</f>
        <v/>
      </c>
      <c r="E34" s="85">
        <f>C34+D34</f>
        <v/>
      </c>
      <c r="F34" s="91">
        <f>IFERROR(E34/E$39,0)</f>
        <v/>
      </c>
    </row>
    <row r="35" ht="10" customHeight="1">
      <c r="A35" s="84" t="inlineStr">
        <is>
          <t>Offshore Patrol Cutter</t>
        </is>
      </c>
      <c r="B35" s="84" t="inlineStr">
        <is>
          <t>USCG</t>
        </is>
      </c>
      <c r="C35" s="85">
        <f>SUMIFS(JB_27U,JB_B,2,JB_W,"Offshore Patrol Cutter",JB_S,"",JB_27U,"&lt;&gt;")+SUMIFS(JB_27S,JB_B,2,JB_W,"Offshore Patrol Cutter",JB_S,"",JB_27U,"")+SUMIFS(JB_27U,JB_B,2,JB_W,"Offshore Patrol Cutter",JB_S,"[PARENT]",JB_27U,"&lt;&gt;")+SUMIFS(JB_27S,JB_B,2,JB_W,"Offshore Patrol Cutter",JB_S,"[PARENT]",JB_27U,"")</f>
        <v/>
      </c>
      <c r="D35" s="85">
        <f>SUMIFS(JB_27U,JB_B,4,JB_W,"Offshore Patrol Cutter",JB_S,"",JB_27U,"&lt;&gt;")+SUMIFS(JB_27S,JB_B,4,JB_W,"Offshore Patrol Cutter",JB_S,"",JB_27U,"")+SUMIFS(JB_27U,JB_B,4,JB_W,"Offshore Patrol Cutter",JB_S,"[PARENT]",JB_27U,"&lt;&gt;")+SUMIFS(JB_27S,JB_B,4,JB_W,"Offshore Patrol Cutter",JB_S,"[PARENT]",JB_27U,"")</f>
        <v/>
      </c>
      <c r="E35" s="85">
        <f>C35+D35</f>
        <v/>
      </c>
      <c r="F35" s="91">
        <f>IFERROR(E35/E$39,0)</f>
        <v/>
      </c>
    </row>
    <row r="36" ht="10" customHeight="1">
      <c r="A36" s="84" t="inlineStr">
        <is>
          <t>Icebreakers, Great Lakes</t>
        </is>
      </c>
      <c r="B36" s="84" t="inlineStr">
        <is>
          <t>USCG</t>
        </is>
      </c>
      <c r="C36" s="85">
        <f>SUMIFS(JB_27U,JB_B,2,JB_W,"Icebreakers, Great Lakes",JB_S,"",JB_27U,"&lt;&gt;")+SUMIFS(JB_27S,JB_B,2,JB_W,"Icebreakers, Great Lakes",JB_S,"",JB_27U,"")+SUMIFS(JB_27U,JB_B,2,JB_W,"Icebreakers, Great Lakes",JB_S,"[PARENT]",JB_27U,"&lt;&gt;")+SUMIFS(JB_27S,JB_B,2,JB_W,"Icebreakers, Great Lakes",JB_S,"[PARENT]",JB_27U,"")</f>
        <v/>
      </c>
      <c r="D36" s="85">
        <f>SUMIFS(JB_27U,JB_B,4,JB_W,"Icebreakers, Great Lakes",JB_S,"",JB_27U,"&lt;&gt;")+SUMIFS(JB_27S,JB_B,4,JB_W,"Icebreakers, Great Lakes",JB_S,"",JB_27U,"")+SUMIFS(JB_27U,JB_B,4,JB_W,"Icebreakers, Great Lakes",JB_S,"[PARENT]",JB_27U,"&lt;&gt;")+SUMIFS(JB_27S,JB_B,4,JB_W,"Icebreakers, Great Lakes",JB_S,"[PARENT]",JB_27U,"")</f>
        <v/>
      </c>
      <c r="E36" s="85">
        <f>C36+D36</f>
        <v/>
      </c>
      <c r="F36" s="91">
        <f>IFERROR(E36/E$39,0)</f>
        <v/>
      </c>
    </row>
    <row r="37" ht="10" customHeight="1">
      <c r="A37" s="84" t="inlineStr">
        <is>
          <t>Icebreakers, Oceangoing</t>
        </is>
      </c>
      <c r="B37" s="84" t="inlineStr">
        <is>
          <t>USCG</t>
        </is>
      </c>
      <c r="C37" s="85">
        <f>SUMIFS(JB_27U,JB_B,2,JB_W,"Icebreakers, Oceangoing",JB_S,"",JB_27U,"&lt;&gt;")+SUMIFS(JB_27S,JB_B,2,JB_W,"Icebreakers, Oceangoing",JB_S,"",JB_27U,"")+SUMIFS(JB_27U,JB_B,2,JB_W,"Icebreakers, Oceangoing",JB_S,"[PARENT]",JB_27U,"&lt;&gt;")+SUMIFS(JB_27S,JB_B,2,JB_W,"Icebreakers, Oceangoing",JB_S,"[PARENT]",JB_27U,"")</f>
        <v/>
      </c>
      <c r="D37" s="85">
        <f>SUMIFS(JB_27U,JB_B,4,JB_W,"Icebreakers, Oceangoing",JB_S,"",JB_27U,"&lt;&gt;")+SUMIFS(JB_27S,JB_B,4,JB_W,"Icebreakers, Oceangoing",JB_S,"",JB_27U,"")+SUMIFS(JB_27U,JB_B,4,JB_W,"Icebreakers, Oceangoing",JB_S,"[PARENT]",JB_27U,"&lt;&gt;")+SUMIFS(JB_27S,JB_B,4,JB_W,"Icebreakers, Oceangoing",JB_S,"[PARENT]",JB_27U,"")</f>
        <v/>
      </c>
      <c r="E37" s="85">
        <f>C37+D37</f>
        <v/>
      </c>
      <c r="F37" s="91">
        <f>IFERROR(E37/E$39,0)</f>
        <v/>
      </c>
    </row>
    <row r="38" ht="10" customHeight="1">
      <c r="A38" s="84" t="inlineStr">
        <is>
          <t>Coastal Buoy Tenders</t>
        </is>
      </c>
      <c r="B38" s="84" t="inlineStr">
        <is>
          <t>USCG</t>
        </is>
      </c>
      <c r="C38" s="85">
        <f>SUMIFS(JB_27U,JB_B,2,JB_W,"Coastal Buoy Tenders",JB_S,"",JB_27U,"&lt;&gt;")+SUMIFS(JB_27S,JB_B,2,JB_W,"Coastal Buoy Tenders",JB_S,"",JB_27U,"")+SUMIFS(JB_27U,JB_B,2,JB_W,"Coastal Buoy Tenders",JB_S,"[PARENT]",JB_27U,"&lt;&gt;")+SUMIFS(JB_27S,JB_B,2,JB_W,"Coastal Buoy Tenders",JB_S,"[PARENT]",JB_27U,"")</f>
        <v/>
      </c>
      <c r="D38" s="85">
        <f>SUMIFS(JB_27U,JB_B,4,JB_W,"Coastal Buoy Tenders",JB_S,"",JB_27U,"&lt;&gt;")+SUMIFS(JB_27S,JB_B,4,JB_W,"Coastal Buoy Tenders",JB_S,"",JB_27U,"")+SUMIFS(JB_27U,JB_B,4,JB_W,"Coastal Buoy Tenders",JB_S,"[PARENT]",JB_27U,"&lt;&gt;")+SUMIFS(JB_27S,JB_B,4,JB_W,"Coastal Buoy Tenders",JB_S,"[PARENT]",JB_27U,"")</f>
        <v/>
      </c>
      <c r="E38" s="85">
        <f>C38+D38</f>
        <v/>
      </c>
      <c r="F38" s="91">
        <f>IFERROR(E38/E$39,0)</f>
        <v/>
      </c>
    </row>
    <row r="39" ht="10" customHeight="1">
      <c r="A39" s="86" t="inlineStr">
        <is>
          <t>MRO SAM</t>
        </is>
      </c>
      <c r="B39" s="86" t="inlineStr"/>
      <c r="C39" s="87">
        <f>SUM(C14:C38)</f>
        <v/>
      </c>
      <c r="D39" s="87">
        <f>SUM(D14:D38)</f>
        <v/>
      </c>
      <c r="E39" s="87">
        <f>SUM(E14:E38)</f>
        <v/>
      </c>
      <c r="F39" s="92" t="n">
        <v>1</v>
      </c>
    </row>
    <row r="40" ht="10" customHeight="1"/>
    <row r="41" ht="10" customHeight="1">
      <c r="A41" s="81" t="inlineStr">
        <is>
          <t>(C) MRO SAM — SDM vs Modernization by Vessel Type (Mekko)</t>
        </is>
      </c>
      <c r="B41" s="82" t="n"/>
      <c r="C41" s="82" t="n"/>
      <c r="D41" s="82" t="n"/>
      <c r="E41" s="82" t="n"/>
    </row>
    <row r="42" ht="10" customHeight="1">
      <c r="A42" s="93" t="n"/>
      <c r="B42" s="94" t="inlineStr">
        <is>
          <t>USN</t>
        </is>
      </c>
      <c r="C42" s="93" t="n"/>
      <c r="D42" s="93" t="n"/>
      <c r="E42" s="95" t="n"/>
    </row>
    <row r="43" ht="10" customHeight="1">
      <c r="A43" s="96" t="inlineStr">
        <is>
          <t>Work Type</t>
        </is>
      </c>
      <c r="B43" s="97" t="inlineStr">
        <is>
          <t>Surface Combatants</t>
        </is>
      </c>
      <c r="C43" s="96" t="inlineStr">
        <is>
          <t>Amphibious Warfare Ships</t>
        </is>
      </c>
      <c r="D43" s="96" t="inlineStr">
        <is>
          <t>Surveillance Ships</t>
        </is>
      </c>
      <c r="E43" s="97" t="inlineStr">
        <is>
          <t>Total</t>
        </is>
      </c>
    </row>
    <row r="44" ht="10" customHeight="1">
      <c r="A44" s="84" t="inlineStr">
        <is>
          <t>Scheduled Depot Maintenance</t>
        </is>
      </c>
      <c r="B44" s="98">
        <f>IFERROR((SUMIFS(JB_27U,JB_B,2,JB_W,"Surface Combatants",JB_S,"",JB_27U,"&lt;&gt;")+SUMIFS(JB_27S,JB_B,2,JB_W,"Surface Combatants",JB_S,"",JB_27U,"")+SUMIFS(JB_27U,JB_B,2,JB_W,"Surface Combatants",JB_S,"[PARENT]",JB_27U,"&lt;&gt;")+SUMIFS(JB_27S,JB_B,2,JB_W,"Surface Combatants",JB_S,"[PARENT]",JB_27U,""))/B$46,0)</f>
        <v/>
      </c>
      <c r="C44" s="91">
        <f>IFERROR((SUMIFS(JB_27U,JB_B,2,JB_W,"Amphibious Warfare Ships",JB_S,"",JB_27U,"&lt;&gt;")+SUMIFS(JB_27S,JB_B,2,JB_W,"Amphibious Warfare Ships",JB_S,"",JB_27U,"")+SUMIFS(JB_27U,JB_B,2,JB_W,"Amphibious Warfare Ships",JB_S,"[PARENT]",JB_27U,"&lt;&gt;")+SUMIFS(JB_27S,JB_B,2,JB_W,"Amphibious Warfare Ships",JB_S,"[PARENT]",JB_27U,""))/C$46,0)</f>
        <v/>
      </c>
      <c r="D44" s="91">
        <f>IFERROR((SUMIFS(JB_27U,JB_B,2,JB_W,"Surveillance Ships",JB_S,"",JB_27U,"&lt;&gt;")+SUMIFS(JB_27S,JB_B,2,JB_W,"Surveillance Ships",JB_S,"",JB_27U,"")+SUMIFS(JB_27U,JB_B,2,JB_W,"Surveillance Ships",JB_S,"[PARENT]",JB_27U,"&lt;&gt;")+SUMIFS(JB_27S,JB_B,2,JB_W,"Surveillance Ships",JB_S,"[PARENT]",JB_27U,""))/D$46,0)</f>
        <v/>
      </c>
      <c r="E44" s="98">
        <f>IFERROR(1-E45,0)</f>
        <v/>
      </c>
    </row>
    <row r="45" ht="10" customHeight="1">
      <c r="A45" s="84" t="inlineStr">
        <is>
          <t>Modernization</t>
        </is>
      </c>
      <c r="B45" s="98">
        <f>IFERROR((SUMIFS(JB_27U,JB_B,4,JB_W,"Surface Combatants",JB_S,"",JB_27U,"&lt;&gt;")+SUMIFS(JB_27S,JB_B,4,JB_W,"Surface Combatants",JB_S,"",JB_27U,"")+SUMIFS(JB_27U,JB_B,4,JB_W,"Surface Combatants",JB_S,"[PARENT]",JB_27U,"&lt;&gt;")+SUMIFS(JB_27S,JB_B,4,JB_W,"Surface Combatants",JB_S,"[PARENT]",JB_27U,""))/B$46,0)</f>
        <v/>
      </c>
      <c r="C45" s="91">
        <f>IFERROR((SUMIFS(JB_27U,JB_B,4,JB_W,"Amphibious Warfare Ships",JB_S,"",JB_27U,"&lt;&gt;")+SUMIFS(JB_27S,JB_B,4,JB_W,"Amphibious Warfare Ships",JB_S,"",JB_27U,"")+SUMIFS(JB_27U,JB_B,4,JB_W,"Amphibious Warfare Ships",JB_S,"[PARENT]",JB_27U,"&lt;&gt;")+SUMIFS(JB_27S,JB_B,4,JB_W,"Amphibious Warfare Ships",JB_S,"[PARENT]",JB_27U,""))/C$46,0)</f>
        <v/>
      </c>
      <c r="D45" s="91">
        <f>IFERROR((SUMIFS(JB_27U,JB_B,4,JB_W,"Surveillance Ships",JB_S,"",JB_27U,"&lt;&gt;")+SUMIFS(JB_27S,JB_B,4,JB_W,"Surveillance Ships",JB_S,"",JB_27U,"")+SUMIFS(JB_27U,JB_B,4,JB_W,"Surveillance Ships",JB_S,"[PARENT]",JB_27U,"&lt;&gt;")+SUMIFS(JB_27S,JB_B,4,JB_W,"Surveillance Ships",JB_S,"[PARENT]",JB_27U,""))/D$46,0)</f>
        <v/>
      </c>
      <c r="E45" s="98">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Ships",JB_S,"[PARENT]",JB_27U,""))/E$46,0)</f>
        <v/>
      </c>
    </row>
    <row r="46" ht="10" customHeight="1">
      <c r="A46" s="86" t="inlineStr">
        <is>
          <t>Total ($K)</t>
        </is>
      </c>
      <c r="B46" s="99">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6"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6"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6" s="99">
        <f>SUM(B46:D46)</f>
        <v/>
      </c>
    </row>
  </sheetData>
  <pageMargins left="0.75" right="0.75" top="1" bottom="1" header="0.5" footer="0.5"/>
</worksheet>
</file>

<file path=xl/worksheets/sheet14.xml><?xml version="1.0" encoding="utf-8"?>
<worksheet xmlns="http://schemas.openxmlformats.org/spreadsheetml/2006/main">
  <sheetPr>
    <tabColor rgb="FF1F314F"/>
    <outlinePr summaryBelow="1" summaryRight="1"/>
    <pageSetUpPr/>
  </sheetPr>
  <dimension ref="A1:L182"/>
  <sheetViews>
    <sheetView showGridLines="0" zoomScale="75" zoomScaleNormal="75" workbookViewId="0">
      <selection activeCell="E76" sqref="E76"/>
    </sheetView>
  </sheetViews>
  <sheetFormatPr baseColWidth="10" defaultColWidth="55" defaultRowHeight="11"/>
  <cols>
    <col width="23.1640625" customWidth="1" style="1" min="1" max="1"/>
    <col width="30.83203125" customWidth="1" style="1" min="2" max="2"/>
    <col width="10.5" customWidth="1" style="1" min="3" max="3"/>
    <col width="12.6640625" customWidth="1" style="1" min="4" max="4"/>
    <col width="39.33203125" customWidth="1" style="1" min="5" max="5"/>
    <col width="27.83203125" customWidth="1" style="1" min="6" max="6"/>
    <col width="8.33203125" customWidth="1" style="1" min="7" max="7"/>
    <col width="12.5" customWidth="1" style="1" min="8" max="8"/>
    <col width="30" customWidth="1" style="1" min="9" max="9"/>
    <col width="55" customWidth="1" style="1" min="10" max="10"/>
    <col width="32" customWidth="1" style="1" min="11" max="11"/>
    <col width="22" customWidth="1" style="1" min="12" max="12"/>
    <col width="55" customWidth="1" style="1" min="13" max="25"/>
    <col width="55" customWidth="1" style="1" min="26" max="16384"/>
  </cols>
  <sheetData>
    <row r="1" ht="9.75" customHeight="1">
      <c r="A1" s="2" t="inlineStr">
        <is>
          <t>Competitive Dynamics</t>
        </is>
      </c>
      <c r="B1" s="2" t="n"/>
      <c r="C1" s="2" t="n"/>
      <c r="D1" s="2" t="n"/>
      <c r="E1" s="2" t="n"/>
      <c r="F1" s="2" t="n"/>
      <c r="G1" s="2" t="n"/>
      <c r="H1" s="2" t="n"/>
    </row>
    <row r="2" ht="9.75" customHeight="1">
      <c r="A2" s="3" t="inlineStr">
        <is>
          <t>Analysis of current competitive landscape with respect to SAM categories (target work types x target vessels)</t>
        </is>
      </c>
      <c r="B2" s="14" t="n"/>
    </row>
    <row r="5" ht="9.75" customHeight="1">
      <c r="A5" s="11" t="inlineStr">
        <is>
          <t>FY2026 SAM — Amphibious Warfare Ships, Surface Combatants, Submarines &amp; USCG Cutters: Funding Line Detail by Hull</t>
        </is>
      </c>
      <c r="B5" s="11" t="n"/>
      <c r="C5" s="11" t="n"/>
      <c r="D5" s="11" t="n"/>
      <c r="E5" s="11" t="n"/>
      <c r="F5" s="11" t="n"/>
      <c r="G5" s="11" t="n"/>
      <c r="H5" s="11" t="n"/>
    </row>
    <row r="6" ht="9.75" customHeight="1">
      <c r="A6" s="3" t="inlineStr">
        <is>
          <t>Programs / funding lines composing the amounts in the table above (rows with no tag or [PARENT] only)</t>
        </is>
      </c>
      <c r="B6" s="17" t="n"/>
      <c r="C6" s="17" t="n"/>
      <c r="D6" s="17" t="n"/>
      <c r="E6" s="17" t="n"/>
      <c r="F6" s="17" t="n"/>
      <c r="G6" s="17" t="n"/>
      <c r="H6" s="17" t="n"/>
    </row>
    <row r="7" ht="9.75" customHeight="1">
      <c r="A7" s="17" t="n"/>
      <c r="B7" s="17" t="n"/>
      <c r="C7" s="17" t="n"/>
      <c r="D7" s="17" t="n"/>
      <c r="E7" s="17" t="n"/>
      <c r="F7" s="17" t="n"/>
      <c r="G7" s="17" t="n"/>
      <c r="H7" s="17" t="n"/>
    </row>
    <row r="8" ht="9.75" customHeight="1">
      <c r="A8" s="15" t="inlineStr">
        <is>
          <t>Vessel Hull</t>
        </is>
      </c>
      <c r="B8" s="15" t="inlineStr">
        <is>
          <t>Work Type</t>
        </is>
      </c>
      <c r="C8" s="15" t="inlineStr">
        <is>
          <t>Source Book</t>
        </is>
      </c>
      <c r="D8" s="15" t="inlineStr">
        <is>
          <t>Line Item #</t>
        </is>
      </c>
      <c r="E8" s="15" t="inlineStr">
        <is>
          <t>Line Item Title</t>
        </is>
      </c>
      <c r="F8" s="15" t="inlineStr">
        <is>
          <t>Bucket Sub-Category</t>
        </is>
      </c>
      <c r="G8" s="15" t="inlineStr">
        <is>
          <t>Row Type</t>
        </is>
      </c>
      <c r="H8" s="21" t="inlineStr">
        <is>
          <t>FY2026 ($K)</t>
        </is>
      </c>
      <c r="I8" s="22" t="inlineStr">
        <is>
          <t>Prime Contractor</t>
        </is>
      </c>
      <c r="J8" s="22" t="inlineStr">
        <is>
          <t>Key Subcontractors (by $ value)</t>
        </is>
      </c>
      <c r="K8" s="22" t="inlineStr">
        <is>
          <t>Contract Vehicle (PIID)</t>
        </is>
      </c>
      <c r="L8" s="22" t="inlineStr">
        <is>
          <t>Competition Status</t>
        </is>
      </c>
    </row>
    <row r="9" ht="9.75" customHeight="1">
      <c r="A9" s="23" t="n"/>
      <c r="B9" s="23" t="n"/>
      <c r="C9" s="23" t="n"/>
      <c r="D9" s="23" t="n"/>
      <c r="E9" s="23" t="n"/>
      <c r="F9" s="23" t="n"/>
      <c r="G9" s="23" t="n"/>
      <c r="H9" s="24" t="n"/>
    </row>
    <row r="10" ht="9.75" customHeight="1">
      <c r="A10" s="15" t="inlineStr">
        <is>
          <t>LHD</t>
        </is>
      </c>
      <c r="B10" s="15" t="n"/>
      <c r="C10" s="15" t="n"/>
      <c r="D10" s="15" t="n"/>
      <c r="E10" s="15" t="n"/>
      <c r="F10" s="15" t="n"/>
      <c r="G10" s="15" t="n"/>
      <c r="H10" s="21" t="n"/>
    </row>
    <row r="11" ht="9.75" customHeight="1">
      <c r="A11" s="12" t="n"/>
      <c r="B11" s="12" t="inlineStr">
        <is>
          <t>Scheduled Depot Maintenance &amp; Repair</t>
        </is>
      </c>
      <c r="C11" s="12" t="n"/>
      <c r="D11" s="12" t="n"/>
      <c r="E11" s="12" t="n"/>
      <c r="F11" s="12" t="n"/>
      <c r="G11" s="12" t="n"/>
      <c r="H11" s="25">
        <f>SUM(H12:H15)</f>
        <v/>
      </c>
    </row>
    <row r="12" ht="9.75" customHeight="1">
      <c r="A12" s="26" t="n"/>
      <c r="B12" s="18" t="n"/>
      <c r="C12" s="3" t="inlineStr">
        <is>
          <t>OMN_Vol2</t>
        </is>
      </c>
      <c r="D12" s="18" t="n"/>
      <c r="E12" s="18" t="inlineStr">
        <is>
          <t>AMPHIBS</t>
        </is>
      </c>
      <c r="F12" s="18" t="n"/>
      <c r="G12" s="3" t="inlineStr">
        <is>
          <t>(no tag)</t>
        </is>
      </c>
      <c r="H12" s="16">
        <f>IF('J Book Items Cons.'!R2582&lt;&gt;"",'J Book Items Cons.'!R2582,IF('J Book Items Cons.'!N2582&lt;&gt;"",'J Book Items Cons.'!N2582,'J Book Items Cons.'!L2582))</f>
        <v/>
      </c>
    </row>
    <row r="13" ht="9.75" customHeight="1">
      <c r="A13" s="26" t="n"/>
      <c r="B13" s="18" t="n"/>
      <c r="C13" s="3" t="inlineStr">
        <is>
          <t>OMN_Vol2</t>
        </is>
      </c>
      <c r="D13" s="18" t="n"/>
      <c r="E13" s="18" t="inlineStr">
        <is>
          <t>AMPHIBS</t>
        </is>
      </c>
      <c r="F13" s="18" t="n"/>
      <c r="G13" s="3" t="inlineStr">
        <is>
          <t>(no tag)</t>
        </is>
      </c>
      <c r="H13" s="16">
        <f>IF('J Book Items Cons.'!R2554&lt;&gt;"",'J Book Items Cons.'!R2554,IF('J Book Items Cons.'!N2554&lt;&gt;"",'J Book Items Cons.'!N2554,'J Book Items Cons.'!L2554))</f>
        <v/>
      </c>
    </row>
    <row r="14" ht="9.75" customHeight="1">
      <c r="A14" s="26" t="n"/>
      <c r="B14" s="18" t="n"/>
      <c r="C14" s="3" t="inlineStr">
        <is>
          <t>OMN_Vol2</t>
        </is>
      </c>
      <c r="D14" s="18" t="n"/>
      <c r="E14" s="18" t="inlineStr">
        <is>
          <t>LHD</t>
        </is>
      </c>
      <c r="F14" s="18" t="n"/>
      <c r="G14" s="3" t="inlineStr">
        <is>
          <t>(no tag)</t>
        </is>
      </c>
      <c r="H14" s="16">
        <f>IF('J Book Items Cons.'!R2597&lt;&gt;"",'J Book Items Cons.'!R2597,IF('J Book Items Cons.'!N2597&lt;&gt;"",'J Book Items Cons.'!N2597,'J Book Items Cons.'!L2597))</f>
        <v/>
      </c>
    </row>
    <row r="15" ht="9.75" customHeight="1">
      <c r="A15" s="26" t="n"/>
      <c r="B15" s="18" t="n"/>
      <c r="C15" s="3" t="inlineStr">
        <is>
          <t>OMN_Vol2</t>
        </is>
      </c>
      <c r="D15" s="18" t="n"/>
      <c r="E15" s="18" t="inlineStr">
        <is>
          <t>LHD</t>
        </is>
      </c>
      <c r="F15" s="18" t="n"/>
      <c r="G15" s="3" t="inlineStr">
        <is>
          <t>(no tag)</t>
        </is>
      </c>
      <c r="H15" s="16">
        <f>IF('J Book Items Cons.'!R2567&lt;&gt;"",'J Book Items Cons.'!R2567,IF('J Book Items Cons.'!N2567&lt;&gt;"",'J Book Items Cons.'!N2567,'J Book Items Cons.'!L2567))</f>
        <v/>
      </c>
    </row>
    <row r="16" ht="9.75" customHeight="1">
      <c r="A16" s="13" t="n"/>
      <c r="B16" s="12" t="inlineStr">
        <is>
          <t>Modernization &amp; Alteration Installation</t>
        </is>
      </c>
      <c r="C16" s="12" t="n"/>
      <c r="D16" s="12" t="n"/>
      <c r="E16" s="12" t="n"/>
      <c r="F16" s="12" t="n"/>
      <c r="G16" s="12" t="n"/>
      <c r="H16" s="25">
        <f>SUM(H17:H19)</f>
        <v/>
      </c>
    </row>
    <row r="17" ht="9.75" customHeight="1">
      <c r="A17" s="27" t="n"/>
      <c r="B17" s="19" t="n"/>
      <c r="C17" s="3" t="inlineStr">
        <is>
          <t>OMN_Vol2</t>
        </is>
      </c>
      <c r="D17" s="19" t="n"/>
      <c r="E17" s="19" t="inlineStr">
        <is>
          <t>LHD</t>
        </is>
      </c>
      <c r="F17" s="19" t="n"/>
      <c r="G17" s="3" t="inlineStr">
        <is>
          <t>(no tag)</t>
        </is>
      </c>
      <c r="H17" s="16">
        <f>IF('J Book Items Cons.'!R2622&lt;&gt;"",'J Book Items Cons.'!R2622,IF('J Book Items Cons.'!N2622&lt;&gt;"",'J Book Items Cons.'!N2622,'J Book Items Cons.'!L2622))</f>
        <v/>
      </c>
    </row>
    <row r="18" ht="9.75" customHeight="1">
      <c r="A18" s="27" t="n"/>
      <c r="B18" s="19" t="n"/>
      <c r="C18" s="3" t="inlineStr">
        <is>
          <t>OMN_Vol2</t>
        </is>
      </c>
      <c r="D18" s="19" t="n"/>
      <c r="E18" s="19" t="inlineStr">
        <is>
          <t>AMPHIBS</t>
        </is>
      </c>
      <c r="F18" s="19" t="n"/>
      <c r="G18" s="3" t="inlineStr">
        <is>
          <t>(no tag)</t>
        </is>
      </c>
      <c r="H18" s="16">
        <f>IF('J Book Items Cons.'!R2616&lt;&gt;"",'J Book Items Cons.'!R2616,IF('J Book Items Cons.'!N2616&lt;&gt;"",'J Book Items Cons.'!N2616,'J Book Items Cons.'!L2616))</f>
        <v/>
      </c>
    </row>
    <row r="19" ht="9.75" customHeight="1">
      <c r="A19" s="27" t="n"/>
      <c r="B19" s="19" t="n"/>
      <c r="C19" s="3" t="inlineStr">
        <is>
          <t>OPN_BA1</t>
        </is>
      </c>
      <c r="D19" s="19" t="inlineStr">
        <is>
          <t>8</t>
        </is>
      </c>
      <c r="E19" s="19" t="inlineStr">
        <is>
          <t>LHA/LHD Midlife</t>
        </is>
      </c>
      <c r="F19" s="19" t="n"/>
      <c r="G19" s="3" t="inlineStr">
        <is>
          <t>(no tag)</t>
        </is>
      </c>
      <c r="H19" s="16">
        <f>IF('J Book Items Cons.'!R2664&lt;&gt;"",'J Book Items Cons.'!R2664,IF('J Book Items Cons.'!N2664&lt;&gt;"",'J Book Items Cons.'!N2664,'J Book Items Cons.'!L2664))</f>
        <v/>
      </c>
    </row>
    <row r="20" ht="9.75" customHeight="1">
      <c r="A20" s="28" t="n"/>
      <c r="B20" s="29" t="inlineStr">
        <is>
          <t>HULL TOTAL</t>
        </is>
      </c>
      <c r="C20" s="30" t="n"/>
      <c r="D20" s="30" t="n"/>
      <c r="E20" s="28" t="n"/>
      <c r="F20" s="30" t="n"/>
      <c r="G20" s="30" t="n"/>
      <c r="H20" s="30">
        <f>H11+H16</f>
        <v/>
      </c>
    </row>
    <row r="21" ht="9.75" customHeight="1">
      <c r="A21" s="19" t="n"/>
      <c r="B21" s="19" t="n"/>
      <c r="C21" s="19" t="n"/>
      <c r="D21" s="19" t="n"/>
      <c r="E21" s="19" t="n"/>
      <c r="F21" s="19" t="n"/>
      <c r="G21" s="19" t="n"/>
      <c r="H21" s="19" t="n"/>
    </row>
    <row r="22" ht="9.75" customHeight="1">
      <c r="A22" s="19" t="n"/>
      <c r="B22" s="19" t="n"/>
      <c r="C22" s="19" t="n"/>
      <c r="D22" s="19" t="n"/>
      <c r="E22" s="19" t="n"/>
      <c r="F22" s="19" t="n"/>
      <c r="G22" s="19" t="n"/>
      <c r="H22" s="20" t="n"/>
    </row>
    <row r="23" ht="9.75" customHeight="1">
      <c r="A23" s="31" t="inlineStr">
        <is>
          <t>LPD</t>
        </is>
      </c>
      <c r="B23" s="32" t="n"/>
      <c r="C23" s="32" t="n"/>
      <c r="D23" s="32" t="n"/>
      <c r="E23" s="32" t="n"/>
      <c r="F23" s="32" t="n"/>
      <c r="G23" s="32" t="n"/>
      <c r="H23" s="33" t="n"/>
    </row>
    <row r="24" ht="9.75" customHeight="1">
      <c r="A24" s="12" t="n"/>
      <c r="B24" s="12" t="inlineStr">
        <is>
          <t>New Construction</t>
        </is>
      </c>
      <c r="C24" s="12" t="n"/>
      <c r="D24" s="12" t="n"/>
      <c r="E24" s="12" t="n"/>
      <c r="F24" s="12" t="n"/>
      <c r="G24" s="12" t="n"/>
      <c r="H24" s="34">
        <f>SUM(H25:H25)</f>
        <v/>
      </c>
    </row>
    <row r="25" ht="9.75" customHeight="1">
      <c r="A25" s="19" t="n"/>
      <c r="B25" s="19" t="n"/>
      <c r="C25" s="3" t="inlineStr">
        <is>
          <t>SCN</t>
        </is>
      </c>
      <c r="D25" s="19" t="inlineStr">
        <is>
          <t>3010</t>
        </is>
      </c>
      <c r="E25" s="19" t="inlineStr">
        <is>
          <t>LPD Flight II</t>
        </is>
      </c>
      <c r="F25" s="19" t="inlineStr">
        <is>
          <t>Full ship DD&amp;C</t>
        </is>
      </c>
      <c r="G25" s="3" t="inlineStr">
        <is>
          <t>[PARENT]</t>
        </is>
      </c>
      <c r="H25" s="35">
        <f>IF('J Book Items Cons.'!R32&lt;&gt;"",'J Book Items Cons.'!R32,IF('J Book Items Cons.'!N32&lt;&gt;"",'J Book Items Cons.'!N32,'J Book Items Cons.'!L32))</f>
        <v/>
      </c>
    </row>
    <row r="26" ht="9.75" customHeight="1">
      <c r="A26" s="19" t="n"/>
      <c r="B26" s="19" t="n"/>
      <c r="C26" s="3" t="inlineStr">
        <is>
          <t>SCN</t>
        </is>
      </c>
      <c r="D26" s="19" t="inlineStr">
        <is>
          <t>3010</t>
        </is>
      </c>
      <c r="E26" s="19" t="inlineStr">
        <is>
          <t>LPD Flight II Advance Procurement (CY)</t>
        </is>
      </c>
      <c r="F26" s="19" t="inlineStr">
        <is>
          <t>Advance procurement / LLTM</t>
        </is>
      </c>
      <c r="G26" s="3" t="inlineStr">
        <is>
          <t>(no tag)</t>
        </is>
      </c>
      <c r="H26" s="35">
        <f>IF('J Book Items Cons.'!R36&lt;&gt;"",'J Book Items Cons.'!R36,IF('J Book Items Cons.'!N36&lt;&gt;"",'J Book Items Cons.'!N36,'J Book Items Cons.'!L36))</f>
        <v/>
      </c>
    </row>
    <row r="27" ht="9.75" customHeight="1">
      <c r="A27" s="12" t="n"/>
      <c r="B27" s="12" t="inlineStr">
        <is>
          <t>Scheduled Depot Maintenance &amp; Repair</t>
        </is>
      </c>
      <c r="C27" s="12" t="n"/>
      <c r="D27" s="12" t="n"/>
      <c r="E27" s="12" t="n"/>
      <c r="F27" s="12" t="n"/>
      <c r="G27" s="12" t="n"/>
      <c r="H27" s="34">
        <f>SUM(H26:H26)</f>
        <v/>
      </c>
    </row>
    <row r="28" ht="9.75" customHeight="1">
      <c r="A28" s="19" t="n"/>
      <c r="B28" s="19" t="n"/>
      <c r="C28" s="3" t="inlineStr">
        <is>
          <t>OMN_Vol2</t>
        </is>
      </c>
      <c r="D28" s="19" t="n"/>
      <c r="E28" s="19" t="inlineStr">
        <is>
          <t>LPD</t>
        </is>
      </c>
      <c r="F28" s="19" t="n"/>
      <c r="G28" s="3" t="inlineStr">
        <is>
          <t>(no tag)</t>
        </is>
      </c>
      <c r="H28" s="35">
        <f>IF('J Book Items Cons.'!R2598&lt;&gt;"",'J Book Items Cons.'!R2598,IF('J Book Items Cons.'!N2598&lt;&gt;"",'J Book Items Cons.'!N2598,'J Book Items Cons.'!L2598))</f>
        <v/>
      </c>
    </row>
    <row r="29" ht="9.75" customHeight="1">
      <c r="A29" s="19" t="n"/>
      <c r="B29" s="19" t="n"/>
      <c r="C29" s="3" t="inlineStr">
        <is>
          <t>OMN_Vol2</t>
        </is>
      </c>
      <c r="D29" s="19" t="n"/>
      <c r="E29" s="19" t="inlineStr">
        <is>
          <t>LPD</t>
        </is>
      </c>
      <c r="F29" s="19" t="n"/>
      <c r="G29" s="3" t="inlineStr">
        <is>
          <t>(no tag)</t>
        </is>
      </c>
      <c r="H29" s="35">
        <f>IF('J Book Items Cons.'!R2568&lt;&gt;"",'J Book Items Cons.'!R2568,IF('J Book Items Cons.'!N2568&lt;&gt;"",'J Book Items Cons.'!N2568,'J Book Items Cons.'!L2568))</f>
        <v/>
      </c>
    </row>
    <row r="30" ht="9.75" customHeight="1">
      <c r="A30" s="12" t="n"/>
      <c r="B30" s="12" t="inlineStr">
        <is>
          <t>Modernization &amp; Alteration Installation</t>
        </is>
      </c>
      <c r="C30" s="12" t="n"/>
      <c r="D30" s="12" t="n"/>
      <c r="E30" s="12" t="n"/>
      <c r="F30" s="12" t="n"/>
      <c r="G30" s="12" t="n"/>
      <c r="H30" s="34">
        <f>SUM(H28:H29)</f>
        <v/>
      </c>
    </row>
    <row r="31" ht="24" customHeight="1">
      <c r="A31" s="19" t="n"/>
      <c r="B31" s="19" t="n"/>
      <c r="C31" s="3" t="inlineStr">
        <is>
          <t>OPN_BA1</t>
        </is>
      </c>
      <c r="D31" s="19" t="inlineStr">
        <is>
          <t>15</t>
        </is>
      </c>
      <c r="E31" s="19" t="inlineStr">
        <is>
          <t>LPD Class Support Equipment</t>
        </is>
      </c>
      <c r="F31" s="19" t="n"/>
      <c r="G31" s="3" t="inlineStr">
        <is>
          <t>(no tag)</t>
        </is>
      </c>
      <c r="H31" s="35">
        <f>IF('J Book Items Cons.'!R2671&lt;&gt;"",'J Book Items Cons.'!R2671,IF('J Book Items Cons.'!N2671&lt;&gt;"",'J Book Items Cons.'!N2671,'J Book Items Cons.'!L2671))</f>
        <v/>
      </c>
    </row>
    <row r="32" ht="9.75" customHeight="1">
      <c r="A32" s="19" t="n"/>
      <c r="B32" s="19" t="n"/>
      <c r="C32" s="3" t="inlineStr">
        <is>
          <t>OMN_Vol2</t>
        </is>
      </c>
      <c r="D32" s="19" t="n"/>
      <c r="E32" s="19" t="inlineStr">
        <is>
          <t>LPD</t>
        </is>
      </c>
      <c r="F32" s="19" t="n"/>
      <c r="G32" s="3" t="inlineStr">
        <is>
          <t>(no tag)</t>
        </is>
      </c>
      <c r="H32" s="35">
        <f>IF('J Book Items Cons.'!R2623&lt;&gt;"",'J Book Items Cons.'!R2623,IF('J Book Items Cons.'!N2623&lt;&gt;"",'J Book Items Cons.'!N2623,'J Book Items Cons.'!L2623))</f>
        <v/>
      </c>
    </row>
    <row r="33" ht="9.75" customHeight="1">
      <c r="A33" s="28" t="n"/>
      <c r="B33" s="29" t="inlineStr">
        <is>
          <t>HULL TOTAL</t>
        </is>
      </c>
      <c r="C33" s="30" t="n"/>
      <c r="D33" s="30" t="n"/>
      <c r="E33" s="28" t="n"/>
      <c r="F33" s="30" t="n"/>
      <c r="G33" s="30" t="n"/>
      <c r="H33" s="30">
        <f>H24+#REF!+H27</f>
        <v/>
      </c>
    </row>
    <row r="35" ht="9.75" customHeight="1">
      <c r="A35" s="19" t="n"/>
      <c r="B35" s="19" t="n"/>
      <c r="C35" s="19" t="n"/>
      <c r="D35" s="19" t="n"/>
      <c r="E35" s="19" t="n"/>
      <c r="F35" s="19" t="n"/>
      <c r="G35" s="19" t="n"/>
      <c r="H35" s="20" t="n"/>
    </row>
    <row r="36" ht="9.75" customHeight="1">
      <c r="A36" s="31" t="inlineStr">
        <is>
          <t>LSD</t>
        </is>
      </c>
      <c r="B36" s="32" t="n"/>
      <c r="C36" s="32" t="n"/>
      <c r="D36" s="32" t="n"/>
      <c r="E36" s="32" t="n"/>
      <c r="F36" s="32" t="n"/>
      <c r="G36" s="32" t="n"/>
      <c r="H36" s="33" t="n"/>
    </row>
    <row r="37" ht="9.75" customHeight="1">
      <c r="A37" s="12" t="n"/>
      <c r="B37" s="12" t="inlineStr">
        <is>
          <t>Scheduled Depot Maintenance &amp; Repair</t>
        </is>
      </c>
      <c r="C37" s="12" t="n"/>
      <c r="D37" s="12" t="n"/>
      <c r="E37" s="12" t="n"/>
      <c r="F37" s="12" t="n"/>
      <c r="G37" s="12" t="n"/>
      <c r="H37" s="34">
        <f>SUM(H35:H36)</f>
        <v/>
      </c>
    </row>
    <row r="38" ht="9.75" customHeight="1">
      <c r="A38" s="19" t="n"/>
      <c r="B38" s="19" t="n"/>
      <c r="C38" s="3" t="inlineStr">
        <is>
          <t>OMN_Vol2</t>
        </is>
      </c>
      <c r="D38" s="19" t="n"/>
      <c r="E38" s="19" t="inlineStr">
        <is>
          <t>LSD</t>
        </is>
      </c>
      <c r="F38" s="19" t="n"/>
      <c r="G38" s="3" t="inlineStr">
        <is>
          <t>(no tag)</t>
        </is>
      </c>
      <c r="H38" s="35">
        <f>IF('J Book Items Cons.'!R2599&lt;&gt;"",'J Book Items Cons.'!R2599,IF('J Book Items Cons.'!N2599&lt;&gt;"",'J Book Items Cons.'!N2599,'J Book Items Cons.'!L2599))</f>
        <v/>
      </c>
    </row>
    <row r="39" ht="9.75" customHeight="1">
      <c r="A39" s="19" t="n"/>
      <c r="B39" s="19" t="n"/>
      <c r="C39" s="3" t="inlineStr">
        <is>
          <t>OMN_Vol2</t>
        </is>
      </c>
      <c r="D39" s="19" t="n"/>
      <c r="E39" s="19" t="inlineStr">
        <is>
          <t>LSD</t>
        </is>
      </c>
      <c r="F39" s="19" t="n"/>
      <c r="G39" s="3" t="inlineStr">
        <is>
          <t>(no tag)</t>
        </is>
      </c>
      <c r="H39" s="35">
        <f>IF('J Book Items Cons.'!R2569&lt;&gt;"",'J Book Items Cons.'!R2569,IF('J Book Items Cons.'!N2569&lt;&gt;"",'J Book Items Cons.'!N2569,'J Book Items Cons.'!L2569))</f>
        <v/>
      </c>
    </row>
    <row r="40" ht="9.75" customHeight="1">
      <c r="A40" s="12" t="n"/>
      <c r="B40" s="12" t="inlineStr">
        <is>
          <t>Modernization &amp; Alteration Installation</t>
        </is>
      </c>
      <c r="C40" s="12" t="n"/>
      <c r="D40" s="12" t="n"/>
      <c r="E40" s="12" t="n"/>
      <c r="F40" s="12" t="n"/>
      <c r="G40" s="12" t="n"/>
      <c r="H40" s="34">
        <f>SUM(H38:H39)</f>
        <v/>
      </c>
    </row>
    <row r="41" ht="9.75" customHeight="1">
      <c r="A41" s="19" t="n"/>
      <c r="B41" s="19" t="n"/>
      <c r="C41" s="3" t="inlineStr">
        <is>
          <t>OMN_Vol2</t>
        </is>
      </c>
      <c r="D41" s="19" t="n"/>
      <c r="E41" s="19" t="inlineStr">
        <is>
          <t>LSD</t>
        </is>
      </c>
      <c r="F41" s="19" t="n"/>
      <c r="G41" s="3" t="inlineStr">
        <is>
          <t>(no tag)</t>
        </is>
      </c>
      <c r="H41" s="35">
        <f>IF('J Book Items Cons.'!R2624&lt;&gt;"",'J Book Items Cons.'!R2624,IF('J Book Items Cons.'!N2624&lt;&gt;"",'J Book Items Cons.'!N2624,'J Book Items Cons.'!L2624))</f>
        <v/>
      </c>
    </row>
    <row r="42" ht="9.75" customHeight="1">
      <c r="A42" s="19" t="n"/>
      <c r="B42" s="19" t="n"/>
      <c r="C42" s="3" t="inlineStr">
        <is>
          <t>OPN_BA1</t>
        </is>
      </c>
      <c r="D42" s="19" t="inlineStr">
        <is>
          <t>40</t>
        </is>
      </c>
      <c r="E42" s="19" t="inlineStr">
        <is>
          <t>LSD Midlife &amp; Modernization</t>
        </is>
      </c>
      <c r="F42" s="19" t="n"/>
      <c r="G42" s="3" t="inlineStr">
        <is>
          <t>(no tag)</t>
        </is>
      </c>
      <c r="H42" s="35">
        <f>IF('J Book Items Cons.'!R2698&lt;&gt;"",'J Book Items Cons.'!R2698,IF('J Book Items Cons.'!N2698&lt;&gt;"",'J Book Items Cons.'!N2698,'J Book Items Cons.'!L2698))</f>
        <v/>
      </c>
    </row>
    <row r="43" ht="9.75" customHeight="1">
      <c r="A43" s="28" t="n"/>
      <c r="B43" s="29" t="inlineStr">
        <is>
          <t>HULL TOTAL</t>
        </is>
      </c>
      <c r="C43" s="30" t="n"/>
      <c r="D43" s="30" t="n"/>
      <c r="E43" s="28" t="n"/>
      <c r="F43" s="30" t="n"/>
      <c r="G43" s="30" t="n"/>
      <c r="H43" s="30">
        <f>H34+H37</f>
        <v/>
      </c>
    </row>
    <row r="44" ht="9.75" customHeight="1">
      <c r="A44" s="19" t="n"/>
      <c r="B44" s="19" t="n"/>
      <c r="C44" s="19" t="n"/>
      <c r="D44" s="19" t="n"/>
      <c r="E44" s="19" t="n"/>
      <c r="F44" s="19" t="n"/>
      <c r="G44" s="19" t="n"/>
      <c r="H44" s="20" t="n"/>
    </row>
    <row r="45" ht="9.75" customHeight="1">
      <c r="A45" s="19" t="n"/>
      <c r="B45" s="19" t="n"/>
      <c r="C45" s="19" t="n"/>
      <c r="D45" s="19" t="n"/>
      <c r="E45" s="19" t="n"/>
      <c r="F45" s="19" t="n"/>
      <c r="G45" s="19" t="n"/>
      <c r="H45" s="20" t="n"/>
    </row>
    <row r="46" ht="9.75" customHeight="1">
      <c r="A46" s="31" t="inlineStr">
        <is>
          <t>LHA</t>
        </is>
      </c>
      <c r="B46" s="32" t="n"/>
      <c r="C46" s="32" t="n"/>
      <c r="D46" s="32" t="n"/>
      <c r="E46" s="32" t="n"/>
      <c r="F46" s="32" t="n"/>
      <c r="G46" s="32" t="n"/>
      <c r="H46" s="33" t="n"/>
    </row>
    <row r="47" ht="9.75" customHeight="1">
      <c r="A47" s="12" t="n"/>
      <c r="B47" s="12" t="inlineStr">
        <is>
          <t>New Construction</t>
        </is>
      </c>
      <c r="C47" s="36" t="n"/>
      <c r="D47" s="12" t="n"/>
      <c r="E47" s="12" t="n"/>
      <c r="F47" s="12" t="n"/>
      <c r="G47" s="12" t="n"/>
      <c r="H47" s="34">
        <f>H45</f>
        <v/>
      </c>
    </row>
    <row r="48" ht="9.75" customHeight="1">
      <c r="A48" s="19" t="n"/>
      <c r="B48" s="19" t="n"/>
      <c r="C48" s="3" t="inlineStr">
        <is>
          <t>SCN</t>
        </is>
      </c>
      <c r="D48" s="19" t="inlineStr">
        <is>
          <t>3041</t>
        </is>
      </c>
      <c r="E48" s="19" t="inlineStr">
        <is>
          <t>LHA Replacement</t>
        </is>
      </c>
      <c r="F48" s="19" t="inlineStr">
        <is>
          <t>Full ship DD&amp;C</t>
        </is>
      </c>
      <c r="G48" s="3" t="inlineStr">
        <is>
          <t>[PARENT]</t>
        </is>
      </c>
      <c r="H48" s="35">
        <f>IF('J Book Items Cons.'!R38&lt;&gt;"",'J Book Items Cons.'!R38,IF('J Book Items Cons.'!N38&lt;&gt;"",'J Book Items Cons.'!N38,'J Book Items Cons.'!L38))</f>
        <v/>
      </c>
    </row>
    <row r="49" ht="9.75" customHeight="1">
      <c r="A49" s="12" t="n"/>
      <c r="B49" s="12" t="inlineStr">
        <is>
          <t>Scheduled Depot Maintenance &amp; Repair</t>
        </is>
      </c>
      <c r="C49" s="36" t="n"/>
      <c r="D49" s="12" t="n"/>
      <c r="E49" s="12" t="n"/>
      <c r="F49" s="12" t="n"/>
      <c r="G49" s="36" t="n"/>
      <c r="H49" s="34">
        <f>SUM(H47:H48)</f>
        <v/>
      </c>
    </row>
    <row r="50" ht="9.75" customHeight="1">
      <c r="A50" s="19" t="n"/>
      <c r="B50" s="19" t="n"/>
      <c r="C50" s="3" t="inlineStr">
        <is>
          <t>OMN_Vol2</t>
        </is>
      </c>
      <c r="D50" s="19" t="n"/>
      <c r="E50" s="19" t="inlineStr">
        <is>
          <t>LHA</t>
        </is>
      </c>
      <c r="F50" s="19" t="n"/>
      <c r="G50" s="3" t="inlineStr">
        <is>
          <t>(no tag)</t>
        </is>
      </c>
      <c r="H50" s="35">
        <f>IF('J Book Items Cons.'!R2595&lt;&gt;"",'J Book Items Cons.'!R2595,IF('J Book Items Cons.'!N2595&lt;&gt;"",'J Book Items Cons.'!N2595,'J Book Items Cons.'!L2595))</f>
        <v/>
      </c>
    </row>
    <row r="51" ht="9.75" customHeight="1">
      <c r="A51" s="19" t="n"/>
      <c r="B51" s="19" t="n"/>
      <c r="C51" s="3" t="inlineStr">
        <is>
          <t>OMN_Vol2</t>
        </is>
      </c>
      <c r="D51" s="19" t="n"/>
      <c r="E51" s="19" t="inlineStr">
        <is>
          <t>LHA</t>
        </is>
      </c>
      <c r="F51" s="19" t="n"/>
      <c r="G51" s="3" t="inlineStr">
        <is>
          <t>(no tag)</t>
        </is>
      </c>
      <c r="H51" s="35">
        <f>IF('J Book Items Cons.'!R2566&lt;&gt;"",'J Book Items Cons.'!R2566,IF('J Book Items Cons.'!N2566&lt;&gt;"",'J Book Items Cons.'!N2566,'J Book Items Cons.'!L2566))</f>
        <v/>
      </c>
    </row>
    <row r="52" ht="9.75" customHeight="1">
      <c r="A52" s="12" t="n"/>
      <c r="B52" s="12" t="inlineStr">
        <is>
          <t>Modernization &amp; Alteration Installation</t>
        </is>
      </c>
      <c r="C52" s="36" t="n"/>
      <c r="D52" s="12" t="n"/>
      <c r="E52" s="12" t="n"/>
      <c r="F52" s="12" t="n"/>
      <c r="G52" s="36" t="n"/>
      <c r="H52" s="34">
        <f>H50</f>
        <v/>
      </c>
    </row>
    <row r="53" ht="9.75" customHeight="1">
      <c r="A53" s="19" t="n"/>
      <c r="B53" s="19" t="n"/>
      <c r="C53" s="3" t="inlineStr">
        <is>
          <t>OMN_Vol2</t>
        </is>
      </c>
      <c r="D53" s="19" t="n"/>
      <c r="E53" s="19" t="inlineStr">
        <is>
          <t>LHA</t>
        </is>
      </c>
      <c r="F53" s="19" t="n"/>
      <c r="G53" s="3" t="inlineStr">
        <is>
          <t>(no tag)</t>
        </is>
      </c>
      <c r="H53" s="35">
        <f>IF('J Book Items Cons.'!R2621&lt;&gt;"",'J Book Items Cons.'!R2621,IF('J Book Items Cons.'!N2621&lt;&gt;"",'J Book Items Cons.'!N2621,'J Book Items Cons.'!L2621))</f>
        <v/>
      </c>
    </row>
    <row r="54" ht="9.75" customHeight="1">
      <c r="A54" s="28" t="n"/>
      <c r="B54" s="29" t="inlineStr">
        <is>
          <t>HULL TOTAL</t>
        </is>
      </c>
      <c r="C54" s="37" t="n"/>
      <c r="D54" s="30" t="n"/>
      <c r="E54" s="28" t="n"/>
      <c r="F54" s="30" t="n"/>
      <c r="G54" s="37" t="n"/>
      <c r="H54" s="30">
        <f>H44+H46+H49</f>
        <v/>
      </c>
    </row>
    <row r="55" ht="9.75" customHeight="1">
      <c r="A55" s="19" t="n"/>
      <c r="B55" s="19" t="n"/>
      <c r="C55" s="38" t="n"/>
      <c r="D55" s="19" t="n"/>
      <c r="E55" s="19" t="n"/>
      <c r="F55" s="19" t="n"/>
      <c r="G55" s="38" t="n"/>
      <c r="H55" s="20" t="n"/>
    </row>
    <row r="56" ht="9.75" customHeight="1">
      <c r="A56" s="19" t="n"/>
      <c r="B56" s="19" t="n"/>
      <c r="C56" s="38" t="n"/>
      <c r="D56" s="19" t="n"/>
      <c r="E56" s="19" t="n"/>
      <c r="F56" s="19" t="n"/>
      <c r="G56" s="38" t="n"/>
      <c r="H56" s="20" t="n"/>
    </row>
    <row r="57" ht="9.75" customHeight="1">
      <c r="A57" s="31" t="inlineStr">
        <is>
          <t>DDG</t>
        </is>
      </c>
      <c r="B57" s="32" t="n"/>
      <c r="C57" s="39" t="n"/>
      <c r="D57" s="32" t="n"/>
      <c r="E57" s="32" t="n"/>
      <c r="F57" s="32" t="n"/>
      <c r="G57" s="39" t="n"/>
      <c r="H57" s="33" t="n"/>
    </row>
    <row r="58" ht="9.75" customHeight="1">
      <c r="A58" s="12" t="n"/>
      <c r="B58" s="12" t="inlineStr">
        <is>
          <t>New Construction</t>
        </is>
      </c>
      <c r="C58" s="36" t="n"/>
      <c r="D58" s="12" t="n"/>
      <c r="E58" s="12" t="n"/>
      <c r="F58" s="12" t="n"/>
      <c r="G58" s="36" t="n"/>
      <c r="H58" s="34">
        <f>SUM(H56:H58)</f>
        <v/>
      </c>
    </row>
    <row r="59" ht="9.75" customHeight="1">
      <c r="A59" s="19" t="n"/>
      <c r="B59" s="19" t="n"/>
      <c r="C59" s="3" t="inlineStr">
        <is>
          <t>SCN</t>
        </is>
      </c>
      <c r="D59" s="19" t="inlineStr">
        <is>
          <t>2122</t>
        </is>
      </c>
      <c r="E59" s="19" t="inlineStr">
        <is>
          <t>DDG-51</t>
        </is>
      </c>
      <c r="F59" s="19" t="inlineStr">
        <is>
          <t>Full ship DD&amp;C</t>
        </is>
      </c>
      <c r="G59" s="3" t="inlineStr">
        <is>
          <t>[PARENT]</t>
        </is>
      </c>
      <c r="H59" s="35">
        <f>IF('J Book Items Cons.'!R25&lt;&gt;"",'J Book Items Cons.'!R25,IF('J Book Items Cons.'!N25&lt;&gt;"",'J Book Items Cons.'!N25,'J Book Items Cons.'!L25))</f>
        <v/>
      </c>
    </row>
    <row r="60" ht="9.75" customHeight="1">
      <c r="A60" s="19" t="n"/>
      <c r="B60" s="19" t="n"/>
      <c r="C60" s="3" t="inlineStr">
        <is>
          <t>SCN</t>
        </is>
      </c>
      <c r="D60" s="19" t="inlineStr">
        <is>
          <t>2122</t>
        </is>
      </c>
      <c r="E60" s="19" t="inlineStr">
        <is>
          <t>DDG-51 Advance Procurement (CY)</t>
        </is>
      </c>
      <c r="F60" s="19" t="inlineStr">
        <is>
          <t>Advance procurement / LLTM</t>
        </is>
      </c>
      <c r="G60" s="3" t="inlineStr">
        <is>
          <t>(no tag)</t>
        </is>
      </c>
      <c r="H60" s="35">
        <f>IF('J Book Items Cons.'!R29&lt;&gt;"",'J Book Items Cons.'!R29,IF('J Book Items Cons.'!N29&lt;&gt;"",'J Book Items Cons.'!N29,'J Book Items Cons.'!L29))</f>
        <v/>
      </c>
    </row>
    <row r="61" ht="9.75" customHeight="1">
      <c r="A61" s="19" t="n"/>
      <c r="B61" s="19" t="n"/>
      <c r="C61" s="3" t="inlineStr">
        <is>
          <t>SCN</t>
        </is>
      </c>
      <c r="D61" s="19" t="inlineStr">
        <is>
          <t>2119</t>
        </is>
      </c>
      <c r="E61" s="19" t="inlineStr">
        <is>
          <t>DDG 1000</t>
        </is>
      </c>
      <c r="F61" s="19" t="inlineStr">
        <is>
          <t>Full ship DD&amp;C</t>
        </is>
      </c>
      <c r="G61" s="3" t="inlineStr">
        <is>
          <t>(no tag)</t>
        </is>
      </c>
      <c r="H61" s="35">
        <f>IF('J Book Items Cons.'!R24&lt;&gt;"",'J Book Items Cons.'!R24,IF('J Book Items Cons.'!N24&lt;&gt;"",'J Book Items Cons.'!N24,'J Book Items Cons.'!L24))</f>
        <v/>
      </c>
    </row>
    <row r="62" ht="9.75" customHeight="1">
      <c r="A62" s="12" t="n"/>
      <c r="B62" s="12" t="inlineStr">
        <is>
          <t>Scheduled Depot Maintenance &amp; Repair</t>
        </is>
      </c>
      <c r="C62" s="36" t="n"/>
      <c r="D62" s="12" t="n"/>
      <c r="E62" s="12" t="n"/>
      <c r="F62" s="12" t="n"/>
      <c r="G62" s="36" t="n"/>
      <c r="H62" s="34">
        <f>SUM(H60:H61)</f>
        <v/>
      </c>
    </row>
    <row r="63" ht="9.75" customHeight="1">
      <c r="A63" s="19" t="n"/>
      <c r="B63" s="19" t="n"/>
      <c r="C63" s="3" t="inlineStr">
        <is>
          <t>OMN_Vol2</t>
        </is>
      </c>
      <c r="D63" s="19" t="n"/>
      <c r="E63" s="19" t="inlineStr">
        <is>
          <t>DDG</t>
        </is>
      </c>
      <c r="F63" s="19" t="n"/>
      <c r="G63" s="3" t="inlineStr">
        <is>
          <t>(no tag)</t>
        </is>
      </c>
      <c r="H63" s="35">
        <f>IF('J Book Items Cons.'!R2589&lt;&gt;"",'J Book Items Cons.'!R2589,IF('J Book Items Cons.'!N2589&lt;&gt;"",'J Book Items Cons.'!N2589,'J Book Items Cons.'!L2589))</f>
        <v/>
      </c>
    </row>
    <row r="64" ht="9.75" customHeight="1">
      <c r="A64" s="19" t="n"/>
      <c r="B64" s="19" t="n"/>
      <c r="C64" s="3" t="inlineStr">
        <is>
          <t>OMN_Vol2</t>
        </is>
      </c>
      <c r="D64" s="19" t="n"/>
      <c r="E64" s="19" t="inlineStr">
        <is>
          <t>DDG</t>
        </is>
      </c>
      <c r="F64" s="19" t="n"/>
      <c r="G64" s="3" t="inlineStr">
        <is>
          <t>(no tag)</t>
        </is>
      </c>
      <c r="H64" s="35">
        <f>IF('J Book Items Cons.'!R2560&lt;&gt;"",'J Book Items Cons.'!R2560,IF('J Book Items Cons.'!N2560&lt;&gt;"",'J Book Items Cons.'!N2560,'J Book Items Cons.'!L2560))</f>
        <v/>
      </c>
    </row>
    <row r="65" ht="9.75" customHeight="1">
      <c r="A65" s="19" t="n"/>
      <c r="B65" s="19" t="n"/>
      <c r="C65" s="3" t="inlineStr">
        <is>
          <t>OMN_Vol2</t>
        </is>
      </c>
      <c r="D65" s="19" t="n"/>
      <c r="E65" s="19" t="inlineStr">
        <is>
          <t>DDG - 1000</t>
        </is>
      </c>
      <c r="F65" s="19" t="n"/>
      <c r="G65" s="3" t="inlineStr">
        <is>
          <t>(no tag)</t>
        </is>
      </c>
      <c r="H65" s="35">
        <f>IF('J Book Items Cons.'!R2590&lt;&gt;"",'J Book Items Cons.'!R2590,IF('J Book Items Cons.'!N2590&lt;&gt;"",'J Book Items Cons.'!N2590,'J Book Items Cons.'!L2590))</f>
        <v/>
      </c>
    </row>
    <row r="66" ht="9.75" customHeight="1">
      <c r="A66" s="19" t="n"/>
      <c r="B66" s="19" t="n"/>
      <c r="C66" s="3" t="inlineStr">
        <is>
          <t>OMN_Vol2</t>
        </is>
      </c>
      <c r="D66" s="19" t="n"/>
      <c r="E66" s="19" t="inlineStr">
        <is>
          <t>DDG - 1000</t>
        </is>
      </c>
      <c r="F66" s="19" t="n"/>
      <c r="G66" s="3" t="inlineStr">
        <is>
          <t>(no tag)</t>
        </is>
      </c>
      <c r="H66" s="35">
        <f>IF('J Book Items Cons.'!R2561&lt;&gt;"",'J Book Items Cons.'!R2561,IF('J Book Items Cons.'!N2561&lt;&gt;"",'J Book Items Cons.'!N2561,'J Book Items Cons.'!L2561))</f>
        <v/>
      </c>
    </row>
    <row r="67" ht="9.75" customHeight="1">
      <c r="A67" s="12" t="n"/>
      <c r="B67" s="12" t="inlineStr">
        <is>
          <t>Modernization &amp; Alteration Installation</t>
        </is>
      </c>
      <c r="C67" s="36" t="n"/>
      <c r="D67" s="12" t="n"/>
      <c r="E67" s="12" t="n"/>
      <c r="F67" s="12" t="n"/>
      <c r="G67" s="36" t="n"/>
      <c r="H67" s="34" t="n"/>
    </row>
    <row r="68" ht="9.75" customHeight="1">
      <c r="A68" s="19" t="n"/>
      <c r="B68" s="19" t="n"/>
      <c r="C68" s="3" t="inlineStr">
        <is>
          <t>OMN_Vol2</t>
        </is>
      </c>
      <c r="D68" s="19" t="n"/>
      <c r="E68" s="19" t="inlineStr">
        <is>
          <t>DDG</t>
        </is>
      </c>
      <c r="F68" s="19" t="n"/>
      <c r="G68" s="3" t="inlineStr">
        <is>
          <t>(no tag)</t>
        </is>
      </c>
      <c r="H68" s="35">
        <f>IF('J Book Items Cons.'!R2619&lt;&gt;"",'J Book Items Cons.'!R2619,IF('J Book Items Cons.'!N2619&lt;&gt;"",'J Book Items Cons.'!N2619,'J Book Items Cons.'!L2619))</f>
        <v/>
      </c>
    </row>
    <row r="69" ht="9.75" customHeight="1">
      <c r="A69" s="19" t="n"/>
      <c r="B69" s="19" t="n"/>
      <c r="C69" s="3" t="inlineStr">
        <is>
          <t>WPN</t>
        </is>
      </c>
      <c r="D69" s="19" t="inlineStr">
        <is>
          <t>2234</t>
        </is>
      </c>
      <c r="E69" s="19" t="inlineStr">
        <is>
          <t>Standard Missile</t>
        </is>
      </c>
      <c r="F69" s="19" t="n"/>
      <c r="G69" s="3" t="inlineStr">
        <is>
          <t>(no tag)</t>
        </is>
      </c>
      <c r="H69" s="35">
        <f>IF('J Book Items Cons.'!R3264&lt;&gt;"",'J Book Items Cons.'!R3264,IF('J Book Items Cons.'!N3264&lt;&gt;"",'J Book Items Cons.'!N3264,'J Book Items Cons.'!L3264))</f>
        <v/>
      </c>
    </row>
    <row r="70" ht="9.75" customHeight="1">
      <c r="A70" s="19" t="n"/>
      <c r="B70" s="19" t="n"/>
      <c r="C70" s="3" t="inlineStr">
        <is>
          <t>OPN_BA1</t>
        </is>
      </c>
      <c r="D70" s="19" t="inlineStr">
        <is>
          <t>5</t>
        </is>
      </c>
      <c r="E70" s="19" t="inlineStr">
        <is>
          <t>DDG Mod</t>
        </is>
      </c>
      <c r="F70" s="19" t="n"/>
      <c r="G70" s="3" t="inlineStr">
        <is>
          <t>[PARENT]</t>
        </is>
      </c>
      <c r="H70" s="35">
        <f>IF('J Book Items Cons.'!R2657&lt;&gt;"",'J Book Items Cons.'!R2657,IF('J Book Items Cons.'!N2657&lt;&gt;"",'J Book Items Cons.'!N2657,'J Book Items Cons.'!L2657))</f>
        <v/>
      </c>
    </row>
    <row r="71" ht="9.75" customHeight="1">
      <c r="A71" s="19" t="n"/>
      <c r="B71" s="19" t="n"/>
      <c r="C71" s="3" t="inlineStr">
        <is>
          <t>WPN</t>
        </is>
      </c>
      <c r="D71" s="19" t="inlineStr">
        <is>
          <t>3215</t>
        </is>
      </c>
      <c r="E71" s="19" t="inlineStr">
        <is>
          <t>MK-54 Torpedo Mods</t>
        </is>
      </c>
      <c r="F71" s="19" t="n"/>
      <c r="G71" s="3" t="inlineStr">
        <is>
          <t>(no tag)</t>
        </is>
      </c>
      <c r="H71" s="35">
        <f>IF('J Book Items Cons.'!R3294&lt;&gt;"",'J Book Items Cons.'!R3294,IF('J Book Items Cons.'!N3294&lt;&gt;"",'J Book Items Cons.'!N3294,'J Book Items Cons.'!L3294))</f>
        <v/>
      </c>
    </row>
    <row r="72" ht="9.75" customHeight="1">
      <c r="A72" s="19" t="n"/>
      <c r="B72" s="19" t="n"/>
      <c r="C72" s="3" t="inlineStr">
        <is>
          <t>OPN_BA1</t>
        </is>
      </c>
      <c r="D72" s="19" t="inlineStr">
        <is>
          <t>16</t>
        </is>
      </c>
      <c r="E72" s="19" t="inlineStr">
        <is>
          <t>DDG 1000 Class Support Equipment</t>
        </is>
      </c>
      <c r="F72" s="19" t="n"/>
      <c r="G72" s="3" t="inlineStr">
        <is>
          <t>[PARENT]</t>
        </is>
      </c>
      <c r="H72" s="35">
        <f>IF('J Book Items Cons.'!R2672&lt;&gt;"",'J Book Items Cons.'!R2672,IF('J Book Items Cons.'!N2672&lt;&gt;"",'J Book Items Cons.'!N2672,'J Book Items Cons.'!L2672))</f>
        <v/>
      </c>
    </row>
    <row r="73" ht="9.75" customHeight="1">
      <c r="A73" s="19" t="n"/>
      <c r="B73" s="19" t="n"/>
      <c r="C73" s="3" t="inlineStr">
        <is>
          <t>WPN</t>
        </is>
      </c>
      <c r="D73" s="19" t="inlineStr">
        <is>
          <t>2356</t>
        </is>
      </c>
      <c r="E73" s="19" t="inlineStr">
        <is>
          <t>Standard Missiles Mods</t>
        </is>
      </c>
      <c r="F73" s="19" t="n"/>
      <c r="G73" s="3" t="inlineStr">
        <is>
          <t>(no tag)</t>
        </is>
      </c>
      <c r="H73" s="35">
        <f>IF('J Book Items Cons.'!R3288&lt;&gt;"",'J Book Items Cons.'!R3288,IF('J Book Items Cons.'!N3288&lt;&gt;"",'J Book Items Cons.'!N3288,'J Book Items Cons.'!L3288))</f>
        <v/>
      </c>
    </row>
    <row r="74" ht="9.75" customHeight="1">
      <c r="A74" s="19" t="n"/>
      <c r="B74" s="19" t="n"/>
      <c r="C74" s="3" t="inlineStr">
        <is>
          <t>OPN_BA2</t>
        </is>
      </c>
      <c r="D74" s="19" t="inlineStr">
        <is>
          <t>2213</t>
        </is>
      </c>
      <c r="E74" s="19" t="inlineStr">
        <is>
          <t>Surface Ship Torpedo Def (SSTD)</t>
        </is>
      </c>
      <c r="F74" s="19" t="n"/>
      <c r="G74" s="3" t="inlineStr">
        <is>
          <t>(no tag)</t>
        </is>
      </c>
      <c r="H74" s="35">
        <f>IF('J Book Items Cons.'!R2723&lt;&gt;"",'J Book Items Cons.'!R2723,IF('J Book Items Cons.'!N2723&lt;&gt;"",'J Book Items Cons.'!N2723,'J Book Items Cons.'!L2723))</f>
        <v/>
      </c>
    </row>
    <row r="75" ht="9.75" customHeight="1">
      <c r="A75" s="19" t="n"/>
      <c r="B75" s="19" t="n"/>
      <c r="C75" s="3" t="inlineStr">
        <is>
          <t>OPN_BA4</t>
        </is>
      </c>
      <c r="D75" s="19" t="inlineStr">
        <is>
          <t>5111</t>
        </is>
      </c>
      <c r="E75" s="19" t="inlineStr">
        <is>
          <t>Ship Gun Systems Equipment</t>
        </is>
      </c>
      <c r="F75" s="19" t="n"/>
      <c r="G75" s="3" t="inlineStr">
        <is>
          <t>[PARENT]</t>
        </is>
      </c>
      <c r="H75" s="35">
        <f>IF('J Book Items Cons.'!R2975&lt;&gt;"",'J Book Items Cons.'!R2975,IF('J Book Items Cons.'!N2975&lt;&gt;"",'J Book Items Cons.'!N2975,'J Book Items Cons.'!L2975))</f>
        <v/>
      </c>
    </row>
    <row r="76" ht="9.75" customHeight="1">
      <c r="A76" s="28" t="n"/>
      <c r="B76" s="29" t="inlineStr">
        <is>
          <t>HULL TOTAL</t>
        </is>
      </c>
      <c r="C76" s="37" t="n"/>
      <c r="D76" s="30" t="n"/>
      <c r="E76" s="28" t="n"/>
      <c r="F76" s="30" t="n"/>
      <c r="G76" s="37" t="n"/>
      <c r="H76" s="30">
        <f>H55+H59+H62</f>
        <v/>
      </c>
    </row>
    <row r="77" ht="9.75" customHeight="1">
      <c r="A77" s="19" t="n"/>
      <c r="B77" s="19" t="n"/>
      <c r="C77" s="38" t="n"/>
      <c r="D77" s="19" t="n"/>
      <c r="E77" s="19" t="n"/>
      <c r="F77" s="19" t="n"/>
      <c r="G77" s="38" t="n"/>
      <c r="H77" s="20" t="n"/>
    </row>
    <row r="78" ht="9.75" customHeight="1">
      <c r="A78" s="19" t="n"/>
      <c r="B78" s="19" t="n"/>
      <c r="C78" s="38" t="n"/>
      <c r="D78" s="19" t="n"/>
      <c r="E78" s="19" t="n"/>
      <c r="F78" s="19" t="n"/>
      <c r="G78" s="38" t="n"/>
      <c r="H78" s="20" t="n"/>
    </row>
    <row r="79" ht="10.5" customHeight="1">
      <c r="A79" s="31" t="inlineStr">
        <is>
          <t>LCS</t>
        </is>
      </c>
      <c r="B79" s="32" t="n"/>
      <c r="C79" s="39" t="n"/>
      <c r="D79" s="32" t="n"/>
      <c r="E79" s="32" t="n"/>
      <c r="F79" s="32" t="n"/>
      <c r="G79" s="39" t="n"/>
      <c r="H79" s="33" t="n"/>
    </row>
    <row r="80" ht="10.5" customHeight="1">
      <c r="A80" s="12" t="n"/>
      <c r="B80" s="12" t="inlineStr">
        <is>
          <t>Scheduled Depot Maintenance &amp; Repair</t>
        </is>
      </c>
      <c r="C80" s="36" t="n"/>
      <c r="D80" s="12" t="n"/>
      <c r="E80" s="12" t="n"/>
      <c r="F80" s="12" t="n"/>
      <c r="G80" s="36" t="n"/>
      <c r="H80" s="34">
        <f>SUM(H81:H82)</f>
        <v/>
      </c>
    </row>
    <row r="81" ht="9.75" customHeight="1">
      <c r="A81" s="19" t="n"/>
      <c r="B81" s="19" t="n"/>
      <c r="C81" s="3" t="inlineStr">
        <is>
          <t>OMN_Vol2</t>
        </is>
      </c>
      <c r="D81" s="19" t="n"/>
      <c r="E81" s="19" t="inlineStr">
        <is>
          <t>LCS</t>
        </is>
      </c>
      <c r="F81" s="19" t="n"/>
      <c r="G81" s="3" t="inlineStr">
        <is>
          <t>(no tag)</t>
        </is>
      </c>
      <c r="H81" s="35">
        <f>IF('J Book Items Cons.'!R2564&lt;&gt;"",'J Book Items Cons.'!R2564,IF('J Book Items Cons.'!N2564&lt;&gt;"",'J Book Items Cons.'!N2564,'J Book Items Cons.'!L2564))</f>
        <v/>
      </c>
    </row>
    <row r="82" ht="9.75" customHeight="1">
      <c r="A82" s="19" t="n"/>
      <c r="B82" s="19" t="n"/>
      <c r="C82" s="3" t="inlineStr">
        <is>
          <t>OMN_Vol2</t>
        </is>
      </c>
      <c r="D82" s="19" t="n"/>
      <c r="E82" s="19" t="inlineStr">
        <is>
          <t>LCS</t>
        </is>
      </c>
      <c r="F82" s="19" t="n"/>
      <c r="G82" s="3" t="inlineStr">
        <is>
          <t>(no tag)</t>
        </is>
      </c>
      <c r="H82" s="35">
        <f>IF('J Book Items Cons.'!R2594&lt;&gt;"",'J Book Items Cons.'!R2594,IF('J Book Items Cons.'!N2594&lt;&gt;"",'J Book Items Cons.'!N2594,'J Book Items Cons.'!L2594))</f>
        <v/>
      </c>
    </row>
    <row r="83" ht="9.75" customHeight="1">
      <c r="A83" s="12" t="n"/>
      <c r="B83" s="12" t="inlineStr">
        <is>
          <t>Modernization &amp; Alteration Installation</t>
        </is>
      </c>
      <c r="C83" s="36" t="n"/>
      <c r="D83" s="12" t="n"/>
      <c r="E83" s="12" t="n"/>
      <c r="F83" s="12" t="n"/>
      <c r="G83" s="36" t="n"/>
      <c r="H83" s="34" t="n"/>
    </row>
    <row r="84" ht="9.75" customHeight="1">
      <c r="A84" s="19" t="n"/>
      <c r="B84" s="19" t="n"/>
      <c r="C84" s="3" t="inlineStr">
        <is>
          <t>OMN_Vol2</t>
        </is>
      </c>
      <c r="D84" s="19" t="n"/>
      <c r="E84" s="19" t="inlineStr">
        <is>
          <t>LCS</t>
        </is>
      </c>
      <c r="F84" s="19" t="n"/>
      <c r="G84" s="3" t="inlineStr">
        <is>
          <t>(no tag)</t>
        </is>
      </c>
      <c r="H84" s="35">
        <f>IF('J Book Items Cons.'!R2620&lt;&gt;"",'J Book Items Cons.'!R2620,IF('J Book Items Cons.'!N2620&lt;&gt;"",'J Book Items Cons.'!N2620,'J Book Items Cons.'!L2620))</f>
        <v/>
      </c>
    </row>
    <row r="85" ht="9.75" customHeight="1">
      <c r="A85" s="19" t="n"/>
      <c r="B85" s="19" t="n"/>
      <c r="C85" s="3" t="inlineStr">
        <is>
          <t>OPN_BA1</t>
        </is>
      </c>
      <c r="D85" s="19" t="inlineStr">
        <is>
          <t>37</t>
        </is>
      </c>
      <c r="E85" s="19" t="inlineStr">
        <is>
          <t>LCS In-Service Modernization</t>
        </is>
      </c>
      <c r="F85" s="19" t="n"/>
      <c r="G85" s="3" t="inlineStr">
        <is>
          <t>(no tag)</t>
        </is>
      </c>
      <c r="H85" s="35">
        <f>IF('J Book Items Cons.'!R2695&lt;&gt;"",'J Book Items Cons.'!R2695,IF('J Book Items Cons.'!N2695&lt;&gt;"",'J Book Items Cons.'!N2695,'J Book Items Cons.'!L2695))</f>
        <v/>
      </c>
    </row>
    <row r="86" ht="9.75" customHeight="1">
      <c r="A86" s="19" t="n"/>
      <c r="B86" s="19" t="n"/>
      <c r="C86" s="3" t="inlineStr">
        <is>
          <t>OPN_BA1</t>
        </is>
      </c>
      <c r="D86" s="19" t="inlineStr">
        <is>
          <t>34</t>
        </is>
      </c>
      <c r="E86" s="19" t="inlineStr">
        <is>
          <t>LCS MCM Mission Modules</t>
        </is>
      </c>
      <c r="F86" s="19" t="n"/>
      <c r="G86" s="3" t="inlineStr">
        <is>
          <t>(no tag)</t>
        </is>
      </c>
      <c r="H86" s="35">
        <f>IF('J Book Items Cons.'!R2693&lt;&gt;"",'J Book Items Cons.'!R2693,IF('J Book Items Cons.'!N2693&lt;&gt;"",'J Book Items Cons.'!N2693,'J Book Items Cons.'!L2693))</f>
        <v/>
      </c>
    </row>
    <row r="87" ht="9.75" customHeight="1">
      <c r="A87" s="19" t="n"/>
      <c r="B87" s="19" t="n"/>
      <c r="C87" s="3" t="inlineStr">
        <is>
          <t>OPN_BA1</t>
        </is>
      </c>
      <c r="D87" s="19" t="inlineStr">
        <is>
          <t>33</t>
        </is>
      </c>
      <c r="E87" s="19" t="inlineStr">
        <is>
          <t>LCS Common Mission Modules Equipment</t>
        </is>
      </c>
      <c r="F87" s="19" t="n"/>
      <c r="G87" s="3" t="inlineStr">
        <is>
          <t>(no tag)</t>
        </is>
      </c>
      <c r="H87" s="35">
        <f>IF('J Book Items Cons.'!R2692&lt;&gt;"",'J Book Items Cons.'!R2692,IF('J Book Items Cons.'!N2692&lt;&gt;"",'J Book Items Cons.'!N2692,'J Book Items Cons.'!L2692))</f>
        <v/>
      </c>
    </row>
    <row r="88" ht="9.75" customHeight="1">
      <c r="A88" s="19" t="n"/>
      <c r="B88" s="19" t="n"/>
      <c r="C88" s="3" t="inlineStr">
        <is>
          <t>WPN</t>
        </is>
      </c>
      <c r="D88" s="19" t="inlineStr">
        <is>
          <t>2292</t>
        </is>
      </c>
      <c r="E88" s="19" t="inlineStr">
        <is>
          <t>Naval Strike Missile (NSM)</t>
        </is>
      </c>
      <c r="F88" s="19" t="n"/>
      <c r="G88" s="3" t="inlineStr">
        <is>
          <t>(no tag)</t>
        </is>
      </c>
      <c r="H88" s="35">
        <f>IF('J Book Items Cons.'!R3280&lt;&gt;"",'J Book Items Cons.'!R3280,IF('J Book Items Cons.'!N3280&lt;&gt;"",'J Book Items Cons.'!N3280,'J Book Items Cons.'!L3280))</f>
        <v/>
      </c>
    </row>
    <row r="89" ht="9.75" customHeight="1">
      <c r="A89" s="19" t="n"/>
      <c r="B89" s="19" t="n"/>
      <c r="C89" s="3" t="inlineStr">
        <is>
          <t>OPN_BA3</t>
        </is>
      </c>
      <c r="D89" s="19" t="inlineStr">
        <is>
          <t>119</t>
        </is>
      </c>
      <c r="E89" s="19" t="inlineStr">
        <is>
          <t>Airborne MCM</t>
        </is>
      </c>
      <c r="F89" s="19" t="n"/>
      <c r="G89" s="3" t="inlineStr">
        <is>
          <t>[PARENT]</t>
        </is>
      </c>
      <c r="H89" s="35">
        <f>IF('J Book Items Cons.'!R2925&lt;&gt;"",'J Book Items Cons.'!R2925,IF('J Book Items Cons.'!N2925&lt;&gt;"",'J Book Items Cons.'!N2925,'J Book Items Cons.'!L2925))</f>
        <v/>
      </c>
    </row>
    <row r="90" ht="9.75" customHeight="1">
      <c r="A90" s="19" t="n"/>
      <c r="B90" s="19" t="n"/>
      <c r="C90" s="3" t="inlineStr">
        <is>
          <t>OPN_BA1</t>
        </is>
      </c>
      <c r="D90" s="19" t="inlineStr">
        <is>
          <t>36</t>
        </is>
      </c>
      <c r="E90" s="19" t="inlineStr">
        <is>
          <t>LCS SUW Mission Modules</t>
        </is>
      </c>
      <c r="F90" s="19" t="n"/>
      <c r="G90" s="3" t="inlineStr">
        <is>
          <t>(no tag)</t>
        </is>
      </c>
      <c r="H90" s="35">
        <f>IF('J Book Items Cons.'!R2694&lt;&gt;"",'J Book Items Cons.'!R2694,IF('J Book Items Cons.'!N2694&lt;&gt;"",'J Book Items Cons.'!N2694,'J Book Items Cons.'!L2694))</f>
        <v/>
      </c>
    </row>
    <row r="91" ht="9.75" customHeight="1">
      <c r="A91" s="19" t="n"/>
      <c r="B91" s="19" t="n"/>
      <c r="C91" s="3" t="inlineStr">
        <is>
          <t>WPN</t>
        </is>
      </c>
      <c r="D91" s="19" t="inlineStr">
        <is>
          <t>4221</t>
        </is>
      </c>
      <c r="E91" s="19" t="inlineStr">
        <is>
          <t>LCS Module Weapons</t>
        </is>
      </c>
      <c r="F91" s="19" t="n"/>
      <c r="G91" s="3" t="inlineStr">
        <is>
          <t>(no tag)</t>
        </is>
      </c>
      <c r="H91" s="35">
        <f>IF('J Book Items Cons.'!R3320&lt;&gt;"",'J Book Items Cons.'!R3320,IF('J Book Items Cons.'!N3320&lt;&gt;"",'J Book Items Cons.'!N3320,'J Book Items Cons.'!L3320))</f>
        <v/>
      </c>
    </row>
    <row r="92" ht="9.75" customHeight="1">
      <c r="A92" s="28" t="n"/>
      <c r="B92" s="29" t="inlineStr">
        <is>
          <t>HULL TOTAL</t>
        </is>
      </c>
      <c r="C92" s="37" t="n"/>
      <c r="D92" s="30" t="n"/>
      <c r="E92" s="28" t="n"/>
      <c r="F92" s="30" t="n"/>
      <c r="G92" s="37" t="n"/>
      <c r="H92" s="30" t="n"/>
    </row>
    <row r="93" ht="9.75" customHeight="1">
      <c r="A93" s="19" t="n"/>
      <c r="B93" s="19" t="n"/>
      <c r="C93" s="38" t="n"/>
      <c r="D93" s="19" t="n"/>
      <c r="E93" s="19" t="n"/>
      <c r="F93" s="19" t="n"/>
      <c r="G93" s="38" t="n"/>
      <c r="H93" s="20" t="n"/>
    </row>
    <row r="94" ht="9.75" customHeight="1">
      <c r="A94" s="19" t="n"/>
      <c r="B94" s="19" t="n"/>
      <c r="C94" s="38" t="n"/>
      <c r="D94" s="19" t="n"/>
      <c r="E94" s="19" t="n"/>
      <c r="F94" s="19" t="n"/>
      <c r="G94" s="38" t="n"/>
      <c r="H94" s="20" t="n"/>
    </row>
    <row r="95" ht="9.75" customHeight="1">
      <c r="A95" s="31" t="inlineStr">
        <is>
          <t>CG</t>
        </is>
      </c>
      <c r="B95" s="32" t="n"/>
      <c r="C95" s="39" t="n"/>
      <c r="D95" s="32" t="n"/>
      <c r="E95" s="32" t="n"/>
      <c r="F95" s="32" t="n"/>
      <c r="G95" s="39" t="n"/>
      <c r="H95" s="33" t="n"/>
    </row>
    <row r="96" ht="10.5" customHeight="1">
      <c r="A96" s="12" t="n"/>
      <c r="B96" s="12" t="inlineStr">
        <is>
          <t>Scheduled Depot Maintenance &amp; Repair</t>
        </is>
      </c>
      <c r="C96" s="36" t="n"/>
      <c r="D96" s="12" t="n"/>
      <c r="E96" s="12" t="n"/>
      <c r="F96" s="12" t="n"/>
      <c r="G96" s="36" t="n"/>
      <c r="H96" s="34" t="n"/>
    </row>
    <row r="97" ht="12" customHeight="1">
      <c r="A97" s="19" t="n"/>
      <c r="B97" s="19" t="n"/>
      <c r="C97" s="3" t="inlineStr">
        <is>
          <t>OMN_Vol2</t>
        </is>
      </c>
      <c r="D97" s="19" t="n"/>
      <c r="E97" s="19" t="inlineStr">
        <is>
          <t>CG</t>
        </is>
      </c>
      <c r="F97" s="19" t="n"/>
      <c r="G97" s="3" t="inlineStr">
        <is>
          <t>(no tag)</t>
        </is>
      </c>
      <c r="H97" s="35">
        <f>IF('J Book Items Cons.'!R2557&lt;&gt;"",'J Book Items Cons.'!R2557,IF('J Book Items Cons.'!N2557&lt;&gt;"",'J Book Items Cons.'!N2557,'J Book Items Cons.'!L2557))</f>
        <v/>
      </c>
    </row>
    <row r="98" ht="9.75" customHeight="1">
      <c r="A98" s="19" t="n"/>
      <c r="B98" s="19" t="n"/>
      <c r="C98" s="3" t="inlineStr">
        <is>
          <t>OMN_Vol2</t>
        </is>
      </c>
      <c r="D98" s="19" t="n"/>
      <c r="E98" s="19" t="inlineStr">
        <is>
          <t>CG</t>
        </is>
      </c>
      <c r="F98" s="19" t="n"/>
      <c r="G98" s="3" t="inlineStr">
        <is>
          <t>(no tag)</t>
        </is>
      </c>
      <c r="H98" s="35">
        <f>IF('J Book Items Cons.'!R2585&lt;&gt;"",'J Book Items Cons.'!R2585,IF('J Book Items Cons.'!N2585&lt;&gt;"",'J Book Items Cons.'!N2585,'J Book Items Cons.'!L2585))</f>
        <v/>
      </c>
    </row>
    <row r="99" ht="9.75" customHeight="1">
      <c r="A99" s="12" t="n"/>
      <c r="B99" s="12" t="inlineStr">
        <is>
          <t>Modernization &amp; Alteration Installation</t>
        </is>
      </c>
      <c r="C99" s="36" t="n"/>
      <c r="D99" s="12" t="n"/>
      <c r="E99" s="12" t="n"/>
      <c r="F99" s="12" t="n"/>
      <c r="G99" s="36" t="n"/>
      <c r="H99" s="34">
        <f>H77</f>
        <v/>
      </c>
    </row>
    <row r="100" ht="9.75" customHeight="1">
      <c r="A100" s="19" t="n"/>
      <c r="B100" s="19" t="n"/>
      <c r="C100" s="3" t="inlineStr">
        <is>
          <t>OMN_Vol2</t>
        </is>
      </c>
      <c r="D100" s="19" t="n"/>
      <c r="E100" s="19" t="inlineStr">
        <is>
          <t>CG</t>
        </is>
      </c>
      <c r="F100" s="19" t="n"/>
      <c r="G100" s="3" t="inlineStr">
        <is>
          <t>(no tag)</t>
        </is>
      </c>
      <c r="H100" s="35">
        <f>IF('J Book Items Cons.'!R2617&lt;&gt;"",'J Book Items Cons.'!R2617,IF('J Book Items Cons.'!N2617&lt;&gt;"",'J Book Items Cons.'!N2617,'J Book Items Cons.'!L2617))</f>
        <v/>
      </c>
    </row>
    <row r="101" ht="9.75" customHeight="1">
      <c r="A101" s="28" t="n"/>
      <c r="B101" s="29" t="inlineStr">
        <is>
          <t>HULL TOTAL</t>
        </is>
      </c>
      <c r="C101" s="30" t="n"/>
      <c r="D101" s="30" t="n"/>
      <c r="E101" s="28" t="n"/>
      <c r="F101" s="30" t="n"/>
      <c r="G101" s="30" t="n"/>
      <c r="H101" s="30" t="n"/>
    </row>
    <row r="104" ht="9.75" customHeight="1">
      <c r="A104" s="15" t="inlineStr">
        <is>
          <t>SSN</t>
        </is>
      </c>
      <c r="B104" s="15" t="n"/>
      <c r="C104" s="15" t="n"/>
      <c r="D104" s="15" t="n"/>
      <c r="E104" s="15" t="n"/>
      <c r="F104" s="15" t="n"/>
      <c r="G104" s="15" t="n"/>
      <c r="H104" s="21" t="n"/>
      <c r="I104" s="40" t="inlineStr">
        <is>
          <t>GD Electric Boat / HII NNS (team build)</t>
        </is>
      </c>
    </row>
    <row r="105" ht="9.75" customHeight="1">
      <c r="A105" s="12" t="n"/>
      <c r="B105" s="12" t="inlineStr">
        <is>
          <t>New Construction</t>
        </is>
      </c>
      <c r="C105" s="12" t="n"/>
      <c r="D105" s="12" t="n"/>
      <c r="E105" s="12" t="n"/>
      <c r="F105" s="12" t="n"/>
      <c r="G105" s="12" t="n"/>
      <c r="H105" s="25">
        <f>SUM(H83:H84)</f>
        <v/>
      </c>
      <c r="I105" s="40" t="inlineStr">
        <is>
          <t>GD Electric Boat (prime) + HII Newport News (~50% hull work)</t>
        </is>
      </c>
      <c r="J105" s="40" t="inlineStr">
        <is>
          <t>Northrop Grumman ($1.27B sonar/electronics); BAE Systems L&amp;A ($355M propulsors); Curtiss-Wright ($239M motors/valves); DC Fabricators ($205M hull fab); Globe Composite ($197M composites); Scot Forge ($145M forgings); Bechtel Plant Machinery (~$18B reactor components across 10 PIIDs)</t>
        </is>
      </c>
      <c r="K105" s="40" t="inlineStr">
        <is>
          <t>N0002417C2100 (Blk V→VI, $34.9B); N0002424C2110 (Blk VI LLTM, $5.0B); N0002412C2115 (Blk IV, $19.9B)</t>
        </is>
      </c>
      <c r="L105" s="40" t="inlineStr">
        <is>
          <t>Sole-source team build (EB+HII NNS)</t>
        </is>
      </c>
    </row>
    <row r="106" ht="9.75" customHeight="1">
      <c r="A106" s="26" t="n"/>
      <c r="B106" s="18" t="n"/>
      <c r="C106" s="3" t="inlineStr">
        <is>
          <t>SCN</t>
        </is>
      </c>
      <c r="D106" s="18" t="n">
        <v>2013</v>
      </c>
      <c r="E106" s="18" t="inlineStr">
        <is>
          <t>Virginia Class Submarine</t>
        </is>
      </c>
      <c r="F106" s="18" t="inlineStr">
        <is>
          <t>Full ship DD&amp;C</t>
        </is>
      </c>
      <c r="G106" s="3" t="inlineStr">
        <is>
          <t>[PARENT]</t>
        </is>
      </c>
      <c r="H106" s="16">
        <f>IF('J Book Items Cons.'!R14&lt;&gt;"",'J Book Items Cons.'!R14,IF('J Book Items Cons.'!N14&lt;&gt;"",'J Book Items Cons.'!N14,'J Book Items Cons.'!L14))</f>
        <v/>
      </c>
      <c r="I106" s="40" t="inlineStr">
        <is>
          <t>GD Electric Boat</t>
        </is>
      </c>
      <c r="K106" s="40" t="inlineStr">
        <is>
          <t>N0002417C2100 ($34.9B cumul.)</t>
        </is>
      </c>
      <c r="L106" s="40" t="inlineStr">
        <is>
          <t>Sole-source</t>
        </is>
      </c>
    </row>
    <row r="107" ht="9.75" customHeight="1">
      <c r="A107" s="26" t="n"/>
      <c r="B107" s="18" t="n"/>
      <c r="C107" s="3" t="inlineStr">
        <is>
          <t>SCN</t>
        </is>
      </c>
      <c r="D107" s="18" t="n">
        <v>2013</v>
      </c>
      <c r="E107" s="18" t="inlineStr">
        <is>
          <t>Virginia Class Submarine Advance Procurement (CY)</t>
        </is>
      </c>
      <c r="F107" s="18" t="inlineStr">
        <is>
          <t>Advance procurement / LLTM</t>
        </is>
      </c>
      <c r="G107" s="3" t="inlineStr">
        <is>
          <t>(no tag)</t>
        </is>
      </c>
      <c r="H107" s="16">
        <f>IF('J Book Items Cons.'!R18&lt;&gt;"",'J Book Items Cons.'!R18,IF('J Book Items Cons.'!N18&lt;&gt;"",'J Book Items Cons.'!N18,'J Book Items Cons.'!L18))</f>
        <v/>
      </c>
      <c r="I107" s="40" t="inlineStr">
        <is>
          <t>GD Electric Boat</t>
        </is>
      </c>
      <c r="K107" s="40" t="inlineStr">
        <is>
          <t>N0002424C2110 ($5.0B cumul.)</t>
        </is>
      </c>
      <c r="L107" s="40" t="inlineStr">
        <is>
          <t>Sole-source</t>
        </is>
      </c>
    </row>
    <row r="108" ht="9.75" customHeight="1">
      <c r="A108" s="12" t="n"/>
      <c r="B108" s="12" t="inlineStr">
        <is>
          <t>Scheduled Depot Maintenance &amp; Repair</t>
        </is>
      </c>
      <c r="C108" s="12" t="n"/>
      <c r="D108" s="12" t="n"/>
      <c r="E108" s="12" t="n"/>
      <c r="F108" s="12" t="n"/>
      <c r="G108" s="12" t="n"/>
      <c r="H108" s="25">
        <f>SUM(H86:H86)</f>
        <v/>
      </c>
      <c r="I108" s="40" t="inlineStr">
        <is>
          <t>Federal naval shipyards (NNSY, PNSY, PHNSY, PSNS) — bulk is federal payroll, invisible in FPDS</t>
        </is>
      </c>
      <c r="J108" s="40" t="inlineStr">
        <is>
          <t>GD Electric Boat ($1.33B USS Hartford EOH — N0002420C4312); HII NNS (emergent repairs)</t>
        </is>
      </c>
      <c r="L108" s="40" t="inlineStr">
        <is>
          <t>Federal workforce + sole-source private contracts</t>
        </is>
      </c>
    </row>
    <row r="109" ht="9.75" customHeight="1">
      <c r="A109" s="26" t="n"/>
      <c r="B109" s="18" t="n"/>
      <c r="C109" s="3" t="inlineStr">
        <is>
          <t>OMN_Vol2</t>
        </is>
      </c>
      <c r="D109" s="18" t="n"/>
      <c r="E109" s="18" t="inlineStr">
        <is>
          <t>SSN</t>
        </is>
      </c>
      <c r="F109" s="18" t="n"/>
      <c r="G109" s="3" t="inlineStr">
        <is>
          <t>(no tag)</t>
        </is>
      </c>
      <c r="H109" s="16">
        <f>IF('J Book Items Cons.'!R2577&lt;&gt;"",'J Book Items Cons.'!R2577,IF('J Book Items Cons.'!N2577&lt;&gt;"",'J Book Items Cons.'!N2577,'J Book Items Cons.'!L2577))</f>
        <v/>
      </c>
    </row>
    <row r="110" ht="9.75" customHeight="1">
      <c r="A110" s="26" t="n"/>
      <c r="B110" s="18" t="n"/>
      <c r="C110" s="3" t="inlineStr">
        <is>
          <t>OMN_Vol2</t>
        </is>
      </c>
      <c r="D110" s="18" t="n"/>
      <c r="E110" s="18" t="inlineStr">
        <is>
          <t>SSN-MTS-SSGN</t>
        </is>
      </c>
      <c r="F110" s="18" t="n"/>
      <c r="G110" s="3" t="inlineStr">
        <is>
          <t>(no tag)</t>
        </is>
      </c>
      <c r="H110" s="16">
        <f>IF('J Book Items Cons.'!R2578&lt;&gt;"",'J Book Items Cons.'!R2578,IF('J Book Items Cons.'!N2578&lt;&gt;"",'J Book Items Cons.'!N2578,'J Book Items Cons.'!L2578))</f>
        <v/>
      </c>
    </row>
    <row r="111" ht="12" customHeight="1">
      <c r="A111" s="26" t="n"/>
      <c r="B111" s="18" t="n"/>
      <c r="C111" s="3" t="inlineStr">
        <is>
          <t>OMN_Vol2</t>
        </is>
      </c>
      <c r="D111" s="18" t="n"/>
      <c r="E111" s="18" t="inlineStr">
        <is>
          <t>SSN-SSGN</t>
        </is>
      </c>
      <c r="F111" s="18" t="n"/>
      <c r="G111" s="3" t="inlineStr">
        <is>
          <t>(no tag)</t>
        </is>
      </c>
      <c r="H111" s="16">
        <f>IF('J Book Items Cons.'!R2579&lt;&gt;"",'J Book Items Cons.'!R2579,IF('J Book Items Cons.'!N2579&lt;&gt;"",'J Book Items Cons.'!N2579,'J Book Items Cons.'!L2579))</f>
        <v/>
      </c>
    </row>
    <row r="112" ht="12" customHeight="1">
      <c r="A112" s="26" t="n"/>
      <c r="B112" s="18" t="n"/>
      <c r="C112" s="3" t="inlineStr">
        <is>
          <t>OMN_Vol2</t>
        </is>
      </c>
      <c r="D112" s="18" t="n"/>
      <c r="E112" s="18" t="inlineStr">
        <is>
          <t>SSN</t>
        </is>
      </c>
      <c r="F112" s="18" t="n"/>
      <c r="G112" s="3" t="inlineStr">
        <is>
          <t>(no tag)</t>
        </is>
      </c>
      <c r="H112" s="16">
        <f>IF('J Book Items Cons.'!R2608&lt;&gt;"",'J Book Items Cons.'!R2608,IF('J Book Items Cons.'!N2608&lt;&gt;"",'J Book Items Cons.'!N2608,'J Book Items Cons.'!L2608))</f>
        <v/>
      </c>
    </row>
    <row r="113" ht="9.75" customHeight="1">
      <c r="A113" s="26" t="n"/>
      <c r="B113" s="18" t="n"/>
      <c r="C113" s="3" t="inlineStr">
        <is>
          <t>OMN_Vol2</t>
        </is>
      </c>
      <c r="D113" s="18" t="n"/>
      <c r="E113" s="18" t="inlineStr">
        <is>
          <t>SSN-MTS-SSGN</t>
        </is>
      </c>
      <c r="F113" s="18" t="n"/>
      <c r="G113" s="3" t="inlineStr">
        <is>
          <t>(no tag)</t>
        </is>
      </c>
      <c r="H113" s="16">
        <f>IF('J Book Items Cons.'!R2609&lt;&gt;"",'J Book Items Cons.'!R2609,IF('J Book Items Cons.'!N2609&lt;&gt;"",'J Book Items Cons.'!N2609,'J Book Items Cons.'!L2609))</f>
        <v/>
      </c>
    </row>
    <row r="114" ht="9.75" customHeight="1">
      <c r="A114" s="26" t="n"/>
      <c r="B114" s="18" t="n"/>
      <c r="C114" s="3" t="inlineStr">
        <is>
          <t>OMN_Vol2</t>
        </is>
      </c>
      <c r="D114" s="18" t="n"/>
      <c r="E114" s="18" t="inlineStr">
        <is>
          <t>SSN-SSGN</t>
        </is>
      </c>
      <c r="F114" s="18" t="n"/>
      <c r="G114" s="3" t="inlineStr">
        <is>
          <t>(no tag)</t>
        </is>
      </c>
      <c r="H114" s="16">
        <f>IF('J Book Items Cons.'!R2610&lt;&gt;"",'J Book Items Cons.'!R2610,IF('J Book Items Cons.'!N2610&lt;&gt;"",'J Book Items Cons.'!N2610,'J Book Items Cons.'!L2610))</f>
        <v/>
      </c>
    </row>
    <row r="115" ht="9.75" customHeight="1">
      <c r="A115" s="12" t="n"/>
      <c r="B115" s="12" t="inlineStr">
        <is>
          <t>Modernization &amp; Alteration Installation</t>
        </is>
      </c>
      <c r="C115" s="12" t="n"/>
      <c r="D115" s="12" t="n"/>
      <c r="E115" s="12" t="n"/>
      <c r="F115" s="12" t="n"/>
      <c r="G115" s="12" t="n"/>
      <c r="H115" s="25">
        <f>SUM(H87:H94)</f>
        <v/>
      </c>
      <c r="I115" s="40" t="inlineStr">
        <is>
          <t>Multiple — see line items below</t>
        </is>
      </c>
      <c r="J115" s="40" t="inlineStr">
        <is>
          <t>Lockheed Martin ($899M Virginia combat sys — N0002410C6266); BAE Systems ($85M SSN 812 fwd subassy); Rolls-Royce ($29M sub rotor)</t>
        </is>
      </c>
    </row>
    <row r="116" ht="9.75" customHeight="1">
      <c r="A116" s="26" t="n"/>
      <c r="B116" s="18" t="n"/>
      <c r="C116" s="3" t="inlineStr">
        <is>
          <t>OMN_Vol2</t>
        </is>
      </c>
      <c r="D116" s="18" t="n"/>
      <c r="E116" s="18" t="inlineStr">
        <is>
          <t>SSN / SSGN</t>
        </is>
      </c>
      <c r="F116" s="18" t="n"/>
      <c r="G116" s="3" t="inlineStr">
        <is>
          <t>(no tag)</t>
        </is>
      </c>
      <c r="H116" s="16">
        <f>IF('J Book Items Cons.'!R2612&lt;&gt;"",'J Book Items Cons.'!R2612,IF('J Book Items Cons.'!N2612&lt;&gt;"",'J Book Items Cons.'!N2612,'J Book Items Cons.'!L2612))</f>
        <v/>
      </c>
    </row>
    <row r="117" ht="9.75" customHeight="1">
      <c r="A117" s="26" t="n"/>
      <c r="B117" s="18" t="n"/>
      <c r="C117" s="3" t="inlineStr">
        <is>
          <t>OMN_Vol2</t>
        </is>
      </c>
      <c r="D117" s="18" t="n"/>
      <c r="E117" s="18" t="inlineStr">
        <is>
          <t>SSN</t>
        </is>
      </c>
      <c r="F117" s="18" t="n"/>
      <c r="G117" s="3" t="inlineStr">
        <is>
          <t>(no tag)</t>
        </is>
      </c>
      <c r="H117" s="16">
        <f>IF('J Book Items Cons.'!R2615&lt;&gt;"",'J Book Items Cons.'!R2615,IF('J Book Items Cons.'!N2615&lt;&gt;"",'J Book Items Cons.'!N2615,'J Book Items Cons.'!L2615))</f>
        <v/>
      </c>
    </row>
    <row r="118" ht="12" customHeight="1">
      <c r="A118" s="26" t="n"/>
      <c r="B118" s="18" t="n"/>
      <c r="C118" s="3" t="inlineStr">
        <is>
          <t>OPN_BA1</t>
        </is>
      </c>
      <c r="D118" s="18" t="n">
        <v>4</v>
      </c>
      <c r="E118" s="18" t="inlineStr">
        <is>
          <t>Sub Periscope Imaging and Supt Equip Prog</t>
        </is>
      </c>
      <c r="F118" s="18" t="n"/>
      <c r="G118" s="3" t="inlineStr">
        <is>
          <t>(no tag)</t>
        </is>
      </c>
      <c r="H118" s="16">
        <f>IF('J Book Items Cons.'!R2656&lt;&gt;"",'J Book Items Cons.'!R2656,IF('J Book Items Cons.'!N2656&lt;&gt;"",'J Book Items Cons.'!N2656,'J Book Items Cons.'!L2656))</f>
        <v/>
      </c>
      <c r="I118" s="40" t="inlineStr">
        <is>
          <t>DRS Network &amp; Imaging Systems (spares); Leidos (modeling); GDIT (repair)</t>
        </is>
      </c>
      <c r="J118" s="40" t="inlineStr">
        <is>
          <t>L3Harris (OEM Type-18 photonics mast — flows through EB prime)</t>
        </is>
      </c>
      <c r="K118" s="40" t="inlineStr">
        <is>
          <t>SPRRA220F0132 ($43M); SPRRA225F0038 ($36M); 1601/HQ08 ($31M Leidos)</t>
        </is>
      </c>
      <c r="L118" s="40" t="inlineStr">
        <is>
          <t>Mixed — DLA spares sole-source; support competed</t>
        </is>
      </c>
    </row>
    <row r="119" ht="12" customHeight="1">
      <c r="A119" s="26" t="n"/>
      <c r="B119" s="18" t="n"/>
      <c r="C119" s="3" t="inlineStr">
        <is>
          <t>OPN_BA1</t>
        </is>
      </c>
      <c r="D119" s="18" t="n">
        <v>11</v>
      </c>
      <c r="E119" s="18" t="inlineStr">
        <is>
          <t>Submarine Support Equipment</t>
        </is>
      </c>
      <c r="F119" s="18" t="n"/>
      <c r="G119" s="3" t="inlineStr">
        <is>
          <t>(no tag)</t>
        </is>
      </c>
      <c r="H119" s="16">
        <f>IF('J Book Items Cons.'!R2667&lt;&gt;"",'J Book Items Cons.'!R2667,IF('J Book Items Cons.'!N2667&lt;&gt;"",'J Book Items Cons.'!N2667,'J Book Items Cons.'!L2667))</f>
        <v/>
      </c>
      <c r="I119" s="40" t="inlineStr">
        <is>
          <t>Multiple — budget rollup across several FPDS vehicles</t>
        </is>
      </c>
    </row>
    <row r="120" ht="9.75" customHeight="1">
      <c r="A120" s="26" t="n"/>
      <c r="B120" s="18" t="n"/>
      <c r="C120" s="3" t="inlineStr">
        <is>
          <t>OPN_BA1</t>
        </is>
      </c>
      <c r="D120" s="18" t="n">
        <v>12</v>
      </c>
      <c r="E120" s="18" t="inlineStr">
        <is>
          <t>Virginia Class Support Equipment</t>
        </is>
      </c>
      <c r="F120" s="18" t="n"/>
      <c r="G120" s="3" t="inlineStr">
        <is>
          <t>(no tag)</t>
        </is>
      </c>
      <c r="H120" s="16">
        <f>IF('J Book Items Cons.'!R2668&lt;&gt;"",'J Book Items Cons.'!R2668,IF('J Book Items Cons.'!N2668&lt;&gt;"",'J Book Items Cons.'!N2668,'J Book Items Cons.'!L2668))</f>
        <v/>
      </c>
      <c r="I120" s="40" t="inlineStr">
        <is>
          <t>GD Electric Boat (via Virginia prime)</t>
        </is>
      </c>
    </row>
    <row r="121" ht="9.75" customHeight="1">
      <c r="A121" s="26" t="n"/>
      <c r="B121" s="18" t="n"/>
      <c r="C121" s="3" t="inlineStr">
        <is>
          <t>OPN_BA2</t>
        </is>
      </c>
      <c r="D121" s="18" t="n">
        <v>2150</v>
      </c>
      <c r="E121" s="18" t="inlineStr">
        <is>
          <t>SSN Acoustic Equipment</t>
        </is>
      </c>
      <c r="F121" s="18" t="n"/>
      <c r="G121" s="3" t="inlineStr">
        <is>
          <t>[PARENT]</t>
        </is>
      </c>
      <c r="H121" s="16">
        <f>IF('J Book Items Cons.'!R2709&lt;&gt;"",'J Book Items Cons.'!R2709,IF('J Book Items Cons.'!N2709&lt;&gt;"",'J Book Items Cons.'!N2709,'J Book Items Cons.'!L2709))</f>
        <v/>
      </c>
      <c r="I121" s="40" t="inlineStr">
        <is>
          <t>ManTech Advanced Systems ($43M); GDIT ($35M acoustic research)</t>
        </is>
      </c>
      <c r="J121" s="40" t="inlineStr">
        <is>
          <t>Cosmic Software ($5M); Premier Technology ($5M test infra)</t>
        </is>
      </c>
      <c r="K121" s="40" t="inlineStr">
        <is>
          <t>N0016721F3010 ($43M ManTech); N0016721F3000 ($35M GDIT)</t>
        </is>
      </c>
      <c r="L121" s="40" t="inlineStr">
        <is>
          <t>Competed (task orders)</t>
        </is>
      </c>
    </row>
    <row r="122" ht="9.75" customHeight="1">
      <c r="A122" s="26" t="n"/>
      <c r="B122" s="18" t="n"/>
      <c r="C122" s="3" t="inlineStr">
        <is>
          <t>OPN_BA2</t>
        </is>
      </c>
      <c r="D122" s="18" t="n">
        <v>2210</v>
      </c>
      <c r="E122" s="18" t="inlineStr">
        <is>
          <t>Submarine Acoustic Warfare System</t>
        </is>
      </c>
      <c r="F122" s="18" t="n"/>
      <c r="G122" s="3" t="inlineStr">
        <is>
          <t>(no tag)</t>
        </is>
      </c>
      <c r="H122" s="16">
        <f>IF('J Book Items Cons.'!R2722&lt;&gt;"",'J Book Items Cons.'!R2722,IF('J Book Items Cons.'!N2722&lt;&gt;"",'J Book Items Cons.'!N2722,'J Book Items Cons.'!L2722))</f>
        <v/>
      </c>
      <c r="I122" s="40" t="inlineStr">
        <is>
          <t>ManTech / GDIT (cross-prime work)</t>
        </is>
      </c>
      <c r="L122" s="40" t="inlineStr">
        <is>
          <t>Competed</t>
        </is>
      </c>
    </row>
    <row r="123" ht="9.75" customHeight="1">
      <c r="A123" s="26" t="n"/>
      <c r="B123" s="18" t="n"/>
      <c r="C123" s="3" t="inlineStr">
        <is>
          <t>OPN_BA2</t>
        </is>
      </c>
      <c r="D123" s="18" t="n">
        <v>3107</v>
      </c>
      <c r="E123" s="18" t="inlineStr">
        <is>
          <t>Submarine Broadcast Support</t>
        </is>
      </c>
      <c r="F123" s="18" t="n"/>
      <c r="G123" s="3" t="inlineStr">
        <is>
          <t>(no tag)</t>
        </is>
      </c>
      <c r="H123" s="16">
        <f>IF('J Book Items Cons.'!R2783&lt;&gt;"",'J Book Items Cons.'!R2783,IF('J Book Items Cons.'!N2783&lt;&gt;"",'J Book Items Cons.'!N2783,'J Book Items Cons.'!L2783))</f>
        <v/>
      </c>
      <c r="I123" s="40" t="inlineStr">
        <is>
          <t>Salient CRGT ($12M); Hi-Q Engineering ($7M); AECOM ($5M)</t>
        </is>
      </c>
      <c r="K123" s="40" t="inlineStr">
        <is>
          <t>N6523626F0003; N6523621F0770</t>
        </is>
      </c>
      <c r="L123" s="40" t="inlineStr">
        <is>
          <t>Competed (task orders)</t>
        </is>
      </c>
    </row>
    <row r="124" ht="12" customHeight="1">
      <c r="A124" s="26" t="n"/>
      <c r="B124" s="18" t="n"/>
      <c r="C124" s="3" t="inlineStr">
        <is>
          <t>OPN_BA2</t>
        </is>
      </c>
      <c r="D124" s="18" t="n">
        <v>3130</v>
      </c>
      <c r="E124" s="18" t="inlineStr">
        <is>
          <t>Submarine Communication Equipment</t>
        </is>
      </c>
      <c r="F124" s="18" t="n"/>
      <c r="G124" s="3" t="inlineStr">
        <is>
          <t>(no tag)</t>
        </is>
      </c>
      <c r="H124" s="16">
        <f>IF('J Book Items Cons.'!R2784&lt;&gt;"",'J Book Items Cons.'!R2784,IF('J Book Items Cons.'!N2784&lt;&gt;"",'J Book Items Cons.'!N2784,'J Book Items Cons.'!L2784))</f>
        <v/>
      </c>
      <c r="I124" s="40" t="inlineStr">
        <is>
          <t>R&amp;D Solutions ($34M); Amentum ($14M); Precise Systems ($12M); Noblis MSD ($8M)</t>
        </is>
      </c>
      <c r="K124" s="40" t="inlineStr">
        <is>
          <t>N6660417F3007; N5005417F3002; N6660420F3008</t>
        </is>
      </c>
      <c r="L124" s="40" t="inlineStr">
        <is>
          <t>Competed (task orders)</t>
        </is>
      </c>
    </row>
    <row r="125" ht="12" customHeight="1">
      <c r="A125" s="26" t="n"/>
      <c r="B125" s="18" t="n"/>
      <c r="C125" s="3" t="inlineStr">
        <is>
          <t>OPN_BA4</t>
        </is>
      </c>
      <c r="D125" s="18" t="n">
        <v>5353</v>
      </c>
      <c r="E125" s="18" t="inlineStr">
        <is>
          <t>CPS Support Equipment</t>
        </is>
      </c>
      <c r="F125" s="18" t="inlineStr">
        <is>
          <t>GFE / combat systems for newbuild</t>
        </is>
      </c>
      <c r="G125" s="3" t="inlineStr">
        <is>
          <t>[PARENT]</t>
        </is>
      </c>
      <c r="H125" s="16">
        <f>IF('J Book Items Cons.'!R3051&lt;&gt;"",'J Book Items Cons.'!R3051,IF('J Book Items Cons.'!N3051&lt;&gt;"",'J Book Items Cons.'!N3051,'J Book Items Cons.'!L3051))</f>
        <v/>
      </c>
      <c r="I125" s="40" t="inlineStr">
        <is>
          <t>JHU APL (Navy T&amp;E side — $46M+); LM Space / Dynetics / NG / Aerojet (all-up-round via Army LRHW)</t>
        </is>
      </c>
      <c r="K125" s="40" t="inlineStr">
        <is>
          <t>N0002423F8129 ($46M JHU APL); Army LRHW PIIDs (W9113M-*)</t>
        </is>
      </c>
      <c r="L125" s="40" t="inlineStr">
        <is>
          <t>Sole-source (JHU APL FFRDC); Army prime competed then sole-source</t>
        </is>
      </c>
    </row>
    <row r="126" ht="9.75" customHeight="1">
      <c r="A126" s="26" t="n"/>
      <c r="B126" s="18" t="n"/>
      <c r="C126" s="3" t="inlineStr">
        <is>
          <t>OPN_BA4</t>
        </is>
      </c>
      <c r="D126" s="18" t="n">
        <v>5420</v>
      </c>
      <c r="E126" s="18" t="inlineStr">
        <is>
          <t>SSN Combat Control Systems</t>
        </is>
      </c>
      <c r="F126" s="18" t="n"/>
      <c r="G126" s="3" t="inlineStr">
        <is>
          <t>[PARENT]</t>
        </is>
      </c>
      <c r="H126" s="16">
        <f>IF('J Book Items Cons.'!R3096&lt;&gt;"",'J Book Items Cons.'!R3096,IF('J Book Items Cons.'!N3096&lt;&gt;"",'J Book Items Cons.'!N3096,'J Book Items Cons.'!L3096))</f>
        <v/>
      </c>
      <c r="I126" s="40" t="inlineStr">
        <is>
          <t>Lockheed Martin (BYG-1 combat system); Northrop Grumman ($30M trainer/SUWET)</t>
        </is>
      </c>
      <c r="J126" s="40" t="inlineStr">
        <is>
          <t>Rite-Solutions ($27M combat SW); Knight Federal ($26M trainer eng)</t>
        </is>
      </c>
      <c r="K126" s="40" t="inlineStr">
        <is>
          <t>N0002410C6266 ($899M LM); N6660420F3007 ($30M NG)</t>
        </is>
      </c>
      <c r="L126" s="40" t="inlineStr">
        <is>
          <t>Sole-source (LM BYG-1); competed (NG trainer)</t>
        </is>
      </c>
    </row>
    <row r="127" ht="9.75" customHeight="1">
      <c r="A127" s="26" t="n"/>
      <c r="B127" s="18" t="n"/>
      <c r="C127" s="3" t="inlineStr">
        <is>
          <t>WPN</t>
        </is>
      </c>
      <c r="D127" s="18" t="n">
        <v>3117</v>
      </c>
      <c r="E127" s="18" t="inlineStr">
        <is>
          <t>MK-48 Torpedo</t>
        </is>
      </c>
      <c r="F127" s="18" t="n"/>
      <c r="G127" s="3" t="inlineStr">
        <is>
          <t>(no tag)</t>
        </is>
      </c>
      <c r="H127" s="16">
        <f>IF('J Book Items Cons.'!R3292&lt;&gt;"",'J Book Items Cons.'!R3292,IF('J Book Items Cons.'!N3292&lt;&gt;"",'J Book Items Cons.'!N3292,'J Book Items Cons.'!L3292))</f>
        <v/>
      </c>
      <c r="I127" s="40" t="inlineStr">
        <is>
          <t>Lockheed Martin Sippican (Marion, MA)</t>
        </is>
      </c>
      <c r="J127" s="40" t="inlineStr">
        <is>
          <t>Ultra Electronics Ocean Sys ($96M sonar arrays); Frontgrade Tech ($19M ICs); TTM Technologies ($16M PCBs); EMCORE ($8M fiber optic gyros)</t>
        </is>
      </c>
      <c r="K127" s="40" t="inlineStr">
        <is>
          <t>N0002416C6412 ($489M G&amp;C production)</t>
        </is>
      </c>
      <c r="L127" s="40" t="inlineStr">
        <is>
          <t>Sole-source</t>
        </is>
      </c>
    </row>
    <row r="128" ht="9.75" customHeight="1">
      <c r="A128" s="26" t="n"/>
      <c r="B128" s="18" t="n"/>
      <c r="C128" s="3" t="inlineStr">
        <is>
          <t>WPN</t>
        </is>
      </c>
      <c r="D128" s="18" t="n">
        <v>3225</v>
      </c>
      <c r="E128" s="18" t="inlineStr">
        <is>
          <t>MK-48 Torpedo ADCAP Mods</t>
        </is>
      </c>
      <c r="F128" s="18" t="n"/>
      <c r="G128" s="3" t="inlineStr">
        <is>
          <t>(no tag)</t>
        </is>
      </c>
      <c r="H128" s="16">
        <f>IF('J Book Items Cons.'!R3295&lt;&gt;"",'J Book Items Cons.'!R3295,IF('J Book Items Cons.'!N3295&lt;&gt;"",'J Book Items Cons.'!N3295,'J Book Items Cons.'!L3295))</f>
        <v/>
      </c>
      <c r="I128" s="40" t="inlineStr">
        <is>
          <t>Lockheed Martin Sippican</t>
        </is>
      </c>
      <c r="K128" s="40" t="inlineStr">
        <is>
          <t>N0003920C0013 ($62M OE-538B upgrade)</t>
        </is>
      </c>
      <c r="L128" s="40" t="inlineStr">
        <is>
          <t>Sole-source</t>
        </is>
      </c>
    </row>
    <row r="129" ht="9.75" customHeight="1">
      <c r="A129" s="28" t="n"/>
      <c r="B129" s="29" t="inlineStr">
        <is>
          <t>HULL TOTAL</t>
        </is>
      </c>
      <c r="C129" s="30" t="n"/>
      <c r="D129" s="30" t="n"/>
      <c r="E129" s="28" t="n"/>
      <c r="F129" s="30" t="n"/>
      <c r="G129" s="30" t="n"/>
      <c r="H129" s="30">
        <f>H82+H85+#REF!</f>
        <v/>
      </c>
    </row>
    <row r="130" ht="10.5" customHeight="1"/>
    <row r="131" ht="10.5" customHeight="1"/>
    <row r="132" ht="9.75" customHeight="1">
      <c r="A132" s="15" t="inlineStr">
        <is>
          <t>SSBN</t>
        </is>
      </c>
      <c r="B132" s="15" t="n"/>
      <c r="C132" s="15" t="n"/>
      <c r="D132" s="15" t="n"/>
      <c r="E132" s="15" t="n"/>
      <c r="F132" s="15" t="n"/>
      <c r="G132" s="15" t="n"/>
      <c r="H132" s="21" t="n"/>
      <c r="I132" s="40" t="inlineStr">
        <is>
          <t>GD Electric Boat / HII NNS (team build)</t>
        </is>
      </c>
    </row>
    <row r="133" ht="9.75" customHeight="1">
      <c r="A133" s="12" t="n"/>
      <c r="B133" s="12" t="inlineStr">
        <is>
          <t>New Construction</t>
        </is>
      </c>
      <c r="C133" s="12" t="n"/>
      <c r="D133" s="12" t="n"/>
      <c r="E133" s="12" t="n"/>
      <c r="F133" s="12" t="n"/>
      <c r="G133" s="12" t="n"/>
      <c r="H133" s="25">
        <f>SUM(H100:H102)</f>
        <v/>
      </c>
      <c r="I133" s="40" t="inlineStr">
        <is>
          <t>GD Electric Boat (prime) + HII Newport News (~22% hull work)</t>
        </is>
      </c>
      <c r="J133" s="40" t="inlineStr">
        <is>
          <t>BlueForge Alliance ($4.21B SIB consortium); Northrop Grumman ($669M sonar/mission sys); DRS Naval Power ($403M switchboards); Curtiss-Wright ($176M motors); Babcock Marine Rosyth UK ($172M propulsion); Scot Forge ($171M forgings); APCO Technologies SA ($131M launch tubes); Bechtel ($3.0B+ reactor industrial base)</t>
        </is>
      </c>
      <c r="K133" s="40" t="inlineStr">
        <is>
          <t>N0002417C2117 (Build I+II, $24-30B climbing, $42B ceiling); N0002419C2115 ($3.0B Bechtel industrial base)</t>
        </is>
      </c>
      <c r="L133" s="40" t="inlineStr">
        <is>
          <t>Sole-source team build (EB+HII NNS)</t>
        </is>
      </c>
    </row>
    <row r="134" ht="9.75" customHeight="1">
      <c r="A134" s="26" t="n"/>
      <c r="B134" s="18" t="n"/>
      <c r="C134" s="3" t="inlineStr">
        <is>
          <t>SCN</t>
        </is>
      </c>
      <c r="D134" s="18" t="n">
        <v>1045</v>
      </c>
      <c r="E134" s="18" t="inlineStr">
        <is>
          <t>COLUMBIA Class Submarine</t>
        </is>
      </c>
      <c r="F134" s="18" t="inlineStr">
        <is>
          <t>Full ship DD&amp;C</t>
        </is>
      </c>
      <c r="G134" s="3" t="inlineStr">
        <is>
          <t>[PARENT]</t>
        </is>
      </c>
      <c r="H134" s="16">
        <f>IF('J Book Items Cons.'!R5&lt;&gt;"",'J Book Items Cons.'!R5,IF('J Book Items Cons.'!N5&lt;&gt;"",'J Book Items Cons.'!N5,'J Book Items Cons.'!L5))</f>
        <v/>
      </c>
      <c r="I134" s="40" t="inlineStr">
        <is>
          <t>GD Electric Boat</t>
        </is>
      </c>
      <c r="K134" s="40" t="inlineStr">
        <is>
          <t>N0002417C2117 ($24-30B cumul., $42.2B ceiling)</t>
        </is>
      </c>
      <c r="L134" s="40" t="inlineStr">
        <is>
          <t>Sole-source</t>
        </is>
      </c>
    </row>
    <row r="135" ht="9.75" customHeight="1">
      <c r="A135" s="26" t="n"/>
      <c r="B135" s="18" t="n"/>
      <c r="C135" s="3" t="inlineStr">
        <is>
          <t>SCN</t>
        </is>
      </c>
      <c r="D135" s="18" t="n">
        <v>1045</v>
      </c>
      <c r="E135" s="18" t="inlineStr">
        <is>
          <t>COLUMBIA Class Submarine Advance Procurement (CY)</t>
        </is>
      </c>
      <c r="F135" s="18" t="inlineStr">
        <is>
          <t>Advance procurement / LLTM</t>
        </is>
      </c>
      <c r="G135" s="3" t="inlineStr">
        <is>
          <t>(no tag)</t>
        </is>
      </c>
      <c r="H135" s="16">
        <f>IF('J Book Items Cons.'!R8&lt;&gt;"",'J Book Items Cons.'!R8,IF('J Book Items Cons.'!N8&lt;&gt;"",'J Book Items Cons.'!N8,'J Book Items Cons.'!L8))</f>
        <v/>
      </c>
      <c r="I135" s="40" t="inlineStr">
        <is>
          <t>GD Electric Boat + Bechtel Plant Machinery (reactor)</t>
        </is>
      </c>
      <c r="J135" s="40" t="inlineStr">
        <is>
          <t>BWXT Nuclear Operations ($272M reactor cores); BWX Technologies ($53M pressure vessels)</t>
        </is>
      </c>
      <c r="K135" s="40" t="inlineStr">
        <is>
          <t>N0002419C2115 ($3.0B Bechtel); N0002419C2114 ($3.4B Bechtel reactor)</t>
        </is>
      </c>
      <c r="L135" s="40" t="inlineStr">
        <is>
          <t>Sole-source</t>
        </is>
      </c>
    </row>
    <row r="136" ht="9.75" customHeight="1">
      <c r="A136" s="26" t="n"/>
      <c r="B136" s="18" t="n"/>
      <c r="C136" s="3" t="inlineStr">
        <is>
          <t>NWCF</t>
        </is>
      </c>
      <c r="D136" s="18" t="n"/>
      <c r="E136" s="18" t="inlineStr">
        <is>
          <t>R&amp;D Orders from National Sea Base Deterrence Fund</t>
        </is>
      </c>
      <c r="F136" s="18" t="inlineStr">
        <is>
          <t>Construction engineering / planning yard</t>
        </is>
      </c>
      <c r="G136" s="3" t="inlineStr">
        <is>
          <t>(no tag)</t>
        </is>
      </c>
      <c r="H136" s="16">
        <f>IF('J Book Items Cons.'!R1901&lt;&gt;"",'J Book Items Cons.'!R1901,IF('J Book Items Cons.'!N1901&lt;&gt;"",'J Book Items Cons.'!N1901,'J Book Items Cons.'!L1901))</f>
        <v/>
      </c>
      <c r="I136" s="40" t="inlineStr">
        <is>
          <t>Bechtel Plant Machinery / BWXT (pass-through)</t>
        </is>
      </c>
      <c r="L136" s="40" t="inlineStr">
        <is>
          <t>Sole-source (national security exemption)</t>
        </is>
      </c>
    </row>
    <row r="137" ht="10.5" customHeight="1">
      <c r="A137" s="12" t="n"/>
      <c r="B137" s="12" t="inlineStr">
        <is>
          <t>Scheduled Depot Maintenance &amp; Repair</t>
        </is>
      </c>
      <c r="C137" s="12" t="n"/>
      <c r="D137" s="12" t="n"/>
      <c r="E137" s="12" t="n"/>
      <c r="F137" s="12" t="n"/>
      <c r="G137" s="12" t="n"/>
      <c r="H137" s="25">
        <f>SUM(H104:H105)</f>
        <v/>
      </c>
      <c r="I137" s="40" t="inlineStr">
        <is>
          <t>Federal facilities (Trident Refit Facility Bangor, Kings Bay) — invisible in FPDS</t>
        </is>
      </c>
      <c r="L137" s="40" t="inlineStr">
        <is>
          <t>Federal workforce</t>
        </is>
      </c>
    </row>
    <row r="138" ht="12" customHeight="1">
      <c r="A138" s="26" t="n"/>
      <c r="B138" s="18" t="n"/>
      <c r="C138" s="3" t="inlineStr">
        <is>
          <t>OMN_Vol2</t>
        </is>
      </c>
      <c r="D138" s="18" t="n"/>
      <c r="E138" s="18" t="inlineStr">
        <is>
          <t>SSBN</t>
        </is>
      </c>
      <c r="F138" s="18" t="n"/>
      <c r="G138" s="3" t="inlineStr">
        <is>
          <t>(no tag)</t>
        </is>
      </c>
      <c r="H138" s="16">
        <f>IF('J Book Items Cons.'!R2575&lt;&gt;"",'J Book Items Cons.'!R2575,IF('J Book Items Cons.'!N2575&lt;&gt;"",'J Book Items Cons.'!N2575,'J Book Items Cons.'!L2575))</f>
        <v/>
      </c>
    </row>
    <row r="139" ht="9.75" customHeight="1">
      <c r="A139" s="26" t="n"/>
      <c r="B139" s="18" t="n"/>
      <c r="C139" s="3" t="inlineStr">
        <is>
          <t>OMN_Vol2</t>
        </is>
      </c>
      <c r="D139" s="18" t="n"/>
      <c r="E139" s="18" t="inlineStr">
        <is>
          <t>SSBN</t>
        </is>
      </c>
      <c r="F139" s="18" t="n"/>
      <c r="G139" s="3" t="inlineStr">
        <is>
          <t>(no tag)</t>
        </is>
      </c>
      <c r="H139" s="16">
        <f>IF('J Book Items Cons.'!R2606&lt;&gt;"",'J Book Items Cons.'!R2606,IF('J Book Items Cons.'!N2606&lt;&gt;"",'J Book Items Cons.'!N2606,'J Book Items Cons.'!L2606))</f>
        <v/>
      </c>
    </row>
    <row r="140" ht="9.75" customHeight="1">
      <c r="A140" s="12" t="n"/>
      <c r="B140" s="12" t="inlineStr">
        <is>
          <t>Modernization &amp; Alteration Installation</t>
        </is>
      </c>
      <c r="C140" s="12" t="n"/>
      <c r="D140" s="12" t="n"/>
      <c r="E140" s="12" t="n"/>
      <c r="F140" s="12" t="n"/>
      <c r="G140" s="12" t="n"/>
      <c r="H140" s="25">
        <f>SUM(H107:H109)</f>
        <v/>
      </c>
      <c r="I140" s="40" t="inlineStr">
        <is>
          <t>Multiple — see line items below</t>
        </is>
      </c>
      <c r="J140" s="40" t="inlineStr">
        <is>
          <t>GD Mission Systems ($465M fire control via LM TI18); Mercury Systems ($80M secure processing)</t>
        </is>
      </c>
    </row>
    <row r="141" ht="9.75" customHeight="1">
      <c r="A141" s="26" t="n"/>
      <c r="B141" s="18" t="n"/>
      <c r="C141" s="3" t="inlineStr">
        <is>
          <t>OMN_Vol2</t>
        </is>
      </c>
      <c r="D141" s="18" t="n"/>
      <c r="E141" s="18" t="inlineStr">
        <is>
          <t>SSBN/SSGN</t>
        </is>
      </c>
      <c r="F141" s="18" t="n"/>
      <c r="G141" s="3" t="inlineStr">
        <is>
          <t>(no tag)</t>
        </is>
      </c>
      <c r="H141" s="16">
        <f>IF('J Book Items Cons.'!R2614&lt;&gt;"",'J Book Items Cons.'!R2614,IF('J Book Items Cons.'!N2614&lt;&gt;"",'J Book Items Cons.'!N2614,'J Book Items Cons.'!L2614))</f>
        <v/>
      </c>
    </row>
    <row r="142" ht="9.75" customHeight="1">
      <c r="A142" s="26" t="n"/>
      <c r="B142" s="18" t="n"/>
      <c r="C142" s="3" t="inlineStr">
        <is>
          <t>OPN_BA4</t>
        </is>
      </c>
      <c r="D142" s="18" t="n">
        <v>5358</v>
      </c>
      <c r="E142" s="18" t="inlineStr">
        <is>
          <t>Strategic Missile Systems Equip</t>
        </is>
      </c>
      <c r="F142" s="18" t="n"/>
      <c r="G142" s="3" t="inlineStr">
        <is>
          <t>[PARENT]</t>
        </is>
      </c>
      <c r="H142" s="16">
        <f>IF('J Book Items Cons.'!R3053&lt;&gt;"",'J Book Items Cons.'!R3053,IF('J Book Items Cons.'!N3053&lt;&gt;"",'J Book Items Cons.'!N3053,'J Book Items Cons.'!L3053))</f>
        <v/>
      </c>
      <c r="I142" s="40" t="inlineStr">
        <is>
          <t>Lockheed Martin ($1.02B TI18 SSBN material); GD Advanced Info Sys ($164M fire control)</t>
        </is>
      </c>
      <c r="J142" s="40" t="inlineStr">
        <is>
          <t>GD Mission Systems ($465M FCS); Gromelski &amp; Assoc ($81M eng); Mercury Systems ($80M secure proc); Turk Consulting ($79M eng)</t>
        </is>
      </c>
      <c r="K142" s="40" t="inlineStr">
        <is>
          <t>N0002417C6259 ($1.02B LM TI18); N0003014C0005 ($164M GD)</t>
        </is>
      </c>
      <c r="L142" s="40" t="inlineStr">
        <is>
          <t>Sole-source (LM/GD incumbent)</t>
        </is>
      </c>
    </row>
    <row r="143" ht="12" customHeight="1">
      <c r="A143" s="26" t="n"/>
      <c r="B143" s="18" t="n"/>
      <c r="C143" s="3" t="inlineStr">
        <is>
          <t>WPN</t>
        </is>
      </c>
      <c r="D143" s="18" t="n">
        <v>1250</v>
      </c>
      <c r="E143" s="18" t="inlineStr">
        <is>
          <t>TRIDENT II Mods</t>
        </is>
      </c>
      <c r="F143" s="18" t="n"/>
      <c r="G143" s="3" t="inlineStr">
        <is>
          <t>[PARENT]</t>
        </is>
      </c>
      <c r="H143" s="16">
        <f>IF('J Book Items Cons.'!R3255&lt;&gt;"",'J Book Items Cons.'!R3255,IF('J Book Items Cons.'!N3255&lt;&gt;"",'J Book Items Cons.'!N3255,'J Book Items Cons.'!L3255))</f>
        <v/>
      </c>
      <c r="I143" s="40" t="inlineStr">
        <is>
          <t>Lockheed Martin Space (sole-source SLBM prime)</t>
        </is>
      </c>
      <c r="J143" s="40" t="inlineStr">
        <is>
          <t>Northrop Grumman/ATK ($1.56B combined solid rocket motors); Aerojet Rocketdyne ($324M PBCS); CAES Mission Sys ($177M RF electronics); GD Mission Sys ($170M fire control); Cometto SpA Italy ($104M transport); BAE Ordnance ($86M propellant); Excelitas ($57M optoelectronics)</t>
        </is>
      </c>
      <c r="K143" s="40" t="inlineStr">
        <is>
          <t>N0003023C0100 ($1.2B FY24); N0003019C0100 ($1.1B FY20); N0003020C0100 ($1.1B FY21)</t>
        </is>
      </c>
      <c r="L143" s="40" t="inlineStr">
        <is>
          <t>Sole-source to LM Space (SSP)</t>
        </is>
      </c>
    </row>
    <row r="144" ht="10.5" customHeight="1">
      <c r="A144" s="28" t="n"/>
      <c r="B144" s="29" t="inlineStr">
        <is>
          <t>HULL TOTAL</t>
        </is>
      </c>
      <c r="C144" s="30" t="n"/>
      <c r="D144" s="30" t="n"/>
      <c r="E144" s="28" t="n"/>
      <c r="F144" s="30" t="n"/>
      <c r="G144" s="30" t="n"/>
      <c r="H144" s="30">
        <f>H99+H103+H106</f>
        <v/>
      </c>
    </row>
    <row r="147" ht="9.75" customHeight="1">
      <c r="A147" s="15" t="inlineStr">
        <is>
          <t>SSGN</t>
        </is>
      </c>
      <c r="B147" s="15" t="n"/>
      <c r="C147" s="15" t="n"/>
      <c r="D147" s="15" t="n"/>
      <c r="E147" s="15" t="n"/>
      <c r="F147" s="15" t="n"/>
      <c r="G147" s="15" t="n"/>
      <c r="H147" s="21" t="n"/>
      <c r="I147" s="40" t="inlineStr">
        <is>
          <t>(Ohio-class retiring — sustainment only)</t>
        </is>
      </c>
    </row>
    <row r="148" ht="9.75" customHeight="1">
      <c r="A148" s="12" t="n"/>
      <c r="B148" s="12" t="inlineStr">
        <is>
          <t>Scheduled Depot Maintenance &amp; Repair</t>
        </is>
      </c>
      <c r="C148" s="12" t="n"/>
      <c r="D148" s="12" t="n"/>
      <c r="E148" s="12" t="n"/>
      <c r="F148" s="12" t="n"/>
      <c r="G148" s="12" t="n"/>
      <c r="H148" s="25">
        <f>SUM(H115:H116)</f>
        <v/>
      </c>
      <c r="I148" s="40" t="inlineStr">
        <is>
          <t>Federal naval shipyards + GD Electric Boat (sustain.)</t>
        </is>
      </c>
      <c r="L148" s="40" t="inlineStr">
        <is>
          <t>Federal workforce + sole-source</t>
        </is>
      </c>
    </row>
    <row r="149" ht="12" customHeight="1">
      <c r="A149" s="26" t="n"/>
      <c r="B149" s="18" t="n"/>
      <c r="C149" s="3" t="inlineStr">
        <is>
          <t>OMN_Vol2</t>
        </is>
      </c>
      <c r="D149" s="18" t="n"/>
      <c r="E149" s="18" t="inlineStr">
        <is>
          <t>SSGN</t>
        </is>
      </c>
      <c r="F149" s="18" t="n"/>
      <c r="G149" s="3" t="inlineStr">
        <is>
          <t>(no tag)</t>
        </is>
      </c>
      <c r="H149" s="16">
        <f>IF('J Book Items Cons.'!R2576&lt;&gt;"",'J Book Items Cons.'!R2576,IF('J Book Items Cons.'!N2576&lt;&gt;"",'J Book Items Cons.'!N2576,'J Book Items Cons.'!L2576))</f>
        <v/>
      </c>
    </row>
    <row r="150" ht="12" customHeight="1">
      <c r="A150" s="26" t="n"/>
      <c r="B150" s="18" t="n"/>
      <c r="C150" s="3" t="inlineStr">
        <is>
          <t>OMN_Vol2</t>
        </is>
      </c>
      <c r="D150" s="18" t="n"/>
      <c r="E150" s="18" t="inlineStr">
        <is>
          <t>SSGN</t>
        </is>
      </c>
      <c r="F150" s="18" t="n"/>
      <c r="G150" s="3" t="inlineStr">
        <is>
          <t>(no tag)</t>
        </is>
      </c>
      <c r="H150" s="16">
        <f>IF('J Book Items Cons.'!R2607&lt;&gt;"",'J Book Items Cons.'!R2607,IF('J Book Items Cons.'!N2607&lt;&gt;"",'J Book Items Cons.'!N2607,'J Book Items Cons.'!L2607))</f>
        <v/>
      </c>
    </row>
    <row r="151" ht="10.5" customHeight="1">
      <c r="A151" s="28" t="n"/>
      <c r="B151" s="29" t="inlineStr">
        <is>
          <t>HULL TOTAL</t>
        </is>
      </c>
      <c r="C151" s="30" t="n"/>
      <c r="D151" s="30" t="n"/>
      <c r="E151" s="28" t="n"/>
      <c r="F151" s="30" t="n"/>
      <c r="G151" s="30" t="n"/>
      <c r="H151" s="30">
        <f>H114</f>
        <v/>
      </c>
    </row>
    <row r="152" ht="10.5" customHeight="1"/>
    <row r="153" ht="10.5" customHeight="1"/>
    <row r="154" ht="10.5" customHeight="1">
      <c r="A154" s="15" t="inlineStr">
        <is>
          <t>WAGB</t>
        </is>
      </c>
      <c r="B154" s="15" t="n"/>
      <c r="C154" s="15" t="n"/>
      <c r="D154" s="15" t="n"/>
      <c r="E154" s="15" t="n"/>
      <c r="F154" s="15" t="n"/>
      <c r="G154" s="15" t="n"/>
      <c r="H154" s="21" t="n"/>
      <c r="I154" s="40" t="inlineStr">
        <is>
          <t>Bollinger Mississippi Shipbuilding (fmr VT Halter Marine)</t>
        </is>
      </c>
    </row>
    <row r="155" ht="10.5" customHeight="1">
      <c r="A155" s="12" t="n"/>
      <c r="B155" s="12" t="inlineStr">
        <is>
          <t>New Construction</t>
        </is>
      </c>
      <c r="C155" s="12" t="n"/>
      <c r="D155" s="12" t="n"/>
      <c r="E155" s="12" t="n"/>
      <c r="F155" s="12" t="n"/>
      <c r="G155" s="12" t="n"/>
      <c r="H155" s="25">
        <f>SUM(H122:H122)</f>
        <v/>
      </c>
      <c r="I155" s="40" t="inlineStr">
        <is>
          <t>Bollinger Mississippi Shipbuilding</t>
        </is>
      </c>
      <c r="J155" s="40" t="inlineStr">
        <is>
          <t>(0 subawards reported — known reporting gap); L3 Technologies ($12M comms cert); Crow Point Energy ($4M GENSET)</t>
        </is>
      </c>
      <c r="K155" s="40" t="inlineStr">
        <is>
          <t>N0002419C2210 ($2.02B obligated, $2.74B ceiling)</t>
        </is>
      </c>
      <c r="L155" s="40" t="inlineStr">
        <is>
          <t>Sole-source (novated from VT Halter Marine after Bollinger acquisition Nov 2022)</t>
        </is>
      </c>
    </row>
    <row r="156" ht="12" customHeight="1">
      <c r="A156" s="26" t="n"/>
      <c r="B156" s="18" t="n"/>
      <c r="C156" s="3" t="inlineStr">
        <is>
          <t>USCG</t>
        </is>
      </c>
      <c r="D156" s="18" t="inlineStr">
        <is>
          <t>N024_000006381</t>
        </is>
      </c>
      <c r="E156" s="18" t="inlineStr">
        <is>
          <t>Polar Security Cutter</t>
        </is>
      </c>
      <c r="F156" s="18" t="inlineStr">
        <is>
          <t>Full ship DD&amp;C / LLTM</t>
        </is>
      </c>
      <c r="G156" s="3" t="inlineStr">
        <is>
          <t>(no tag)</t>
        </is>
      </c>
      <c r="H156" s="16">
        <f>IF('J Book Items Cons.'!R3337&lt;&gt;"",'J Book Items Cons.'!R3337,IF('J Book Items Cons.'!N3337&lt;&gt;"",'J Book Items Cons.'!N3337,'J Book Items Cons.'!L3337))</f>
        <v/>
      </c>
      <c r="I156" s="40" t="inlineStr">
        <is>
          <t>Bollinger Mississippi Shipbuilding</t>
        </is>
      </c>
      <c r="K156" s="40" t="inlineStr">
        <is>
          <t>N0002419C2210</t>
        </is>
      </c>
      <c r="L156" s="40" t="inlineStr">
        <is>
          <t>Sole-source</t>
        </is>
      </c>
    </row>
    <row r="157" ht="10.5" customHeight="1">
      <c r="A157" s="28" t="n"/>
      <c r="B157" s="29" t="inlineStr">
        <is>
          <t>HULL TOTAL</t>
        </is>
      </c>
      <c r="C157" s="30" t="n"/>
      <c r="D157" s="30" t="n"/>
      <c r="E157" s="28" t="n"/>
      <c r="F157" s="30" t="n"/>
      <c r="G157" s="30" t="n"/>
      <c r="H157" s="30">
        <f>H121</f>
        <v/>
      </c>
    </row>
    <row r="158" ht="10.5" customHeight="1"/>
    <row r="159" ht="10.5" customHeight="1"/>
    <row r="160" ht="10.5" customHeight="1">
      <c r="A160" s="15" t="inlineStr">
        <is>
          <t>WCC</t>
        </is>
      </c>
      <c r="B160" s="15" t="n"/>
      <c r="C160" s="15" t="n"/>
      <c r="D160" s="15" t="n"/>
      <c r="E160" s="15" t="n"/>
      <c r="F160" s="15" t="n"/>
      <c r="G160" s="15" t="n"/>
      <c r="H160" s="21" t="n"/>
      <c r="I160" s="40" t="inlineStr">
        <is>
          <t>Birdon America Inc (subsidiary of Birdon Pty Ltd, Australia)</t>
        </is>
      </c>
    </row>
    <row r="161" ht="10.5" customHeight="1">
      <c r="A161" s="12" t="n"/>
      <c r="B161" s="12" t="inlineStr">
        <is>
          <t>New Construction</t>
        </is>
      </c>
      <c r="C161" s="12" t="n"/>
      <c r="D161" s="12" t="n"/>
      <c r="E161" s="12" t="n"/>
      <c r="F161" s="12" t="n"/>
      <c r="G161" s="12" t="n"/>
      <c r="H161" s="25">
        <f>SUM(H128:H128)</f>
        <v/>
      </c>
      <c r="I161" s="40" t="inlineStr">
        <is>
          <t>Birdon America Inc</t>
        </is>
      </c>
      <c r="J161" s="40" t="inlineStr">
        <is>
          <t>(0 subawards reported — production just ramping 2025-26); Known: Caterpillar (propulsion), local MS/LA steel fabricators</t>
        </is>
      </c>
      <c r="K161" s="40" t="inlineStr">
        <is>
          <t>70Z02323D93270001 (IDIQ, $1.2B ceiling); 70Z02324F93270004 ($106M LLTM); 70Z02325F93270007 ($84M production)</t>
        </is>
      </c>
      <c r="L161" s="40" t="inlineStr">
        <is>
          <t>Sole-source IDIQ</t>
        </is>
      </c>
    </row>
    <row r="162" ht="12" customHeight="1">
      <c r="A162" s="26" t="n"/>
      <c r="B162" s="18" t="n"/>
      <c r="C162" s="3" t="inlineStr">
        <is>
          <t>USCG</t>
        </is>
      </c>
      <c r="D162" s="18" t="inlineStr">
        <is>
          <t>N024_000006386</t>
        </is>
      </c>
      <c r="E162" s="18" t="inlineStr">
        <is>
          <t>Waterways Commerce Cutter</t>
        </is>
      </c>
      <c r="F162" s="18" t="inlineStr">
        <is>
          <t>Full ship DD&amp;C / LLTM</t>
        </is>
      </c>
      <c r="G162" s="3" t="inlineStr">
        <is>
          <t>(no tag)</t>
        </is>
      </c>
      <c r="H162" s="16">
        <f>IF('J Book Items Cons.'!R3340&lt;&gt;"",'J Book Items Cons.'!R3340,IF('J Book Items Cons.'!N3340&lt;&gt;"",'J Book Items Cons.'!N3340,'J Book Items Cons.'!L3340))</f>
        <v/>
      </c>
      <c r="I162" s="40" t="inlineStr">
        <is>
          <t>Birdon America Inc</t>
        </is>
      </c>
      <c r="K162" s="40" t="inlineStr">
        <is>
          <t>70Z02323D93270001 ($1.2B IDIQ ceiling)</t>
        </is>
      </c>
      <c r="L162" s="40" t="inlineStr">
        <is>
          <t>Sole-source</t>
        </is>
      </c>
    </row>
    <row r="163" ht="10.5" customHeight="1">
      <c r="A163" s="28" t="n"/>
      <c r="B163" s="29" t="inlineStr">
        <is>
          <t>HULL TOTAL</t>
        </is>
      </c>
      <c r="C163" s="30" t="n"/>
      <c r="D163" s="30" t="n"/>
      <c r="E163" s="28" t="n"/>
      <c r="F163" s="30" t="n"/>
      <c r="G163" s="30" t="n"/>
      <c r="H163" s="30">
        <f>H127</f>
        <v/>
      </c>
    </row>
    <row r="164" ht="10.5" customHeight="1"/>
    <row r="165" ht="10.5" customHeight="1"/>
    <row r="166" ht="10.5" customHeight="1">
      <c r="A166" s="15" t="inlineStr">
        <is>
          <t>WMSL</t>
        </is>
      </c>
      <c r="B166" s="15" t="n"/>
      <c r="C166" s="15" t="n"/>
      <c r="D166" s="15" t="n"/>
      <c r="E166" s="15" t="n"/>
      <c r="F166" s="15" t="n"/>
      <c r="G166" s="15" t="n"/>
      <c r="H166" s="21" t="n"/>
      <c r="I166" s="40" t="inlineStr">
        <is>
          <t>HII Ingalls Shipbuilding (Pascagoula, MS)</t>
        </is>
      </c>
    </row>
    <row r="167" ht="10.5" customHeight="1">
      <c r="A167" s="12" t="n"/>
      <c r="B167" s="12" t="inlineStr">
        <is>
          <t>Modernization &amp; Alteration Installation</t>
        </is>
      </c>
      <c r="C167" s="12" t="n"/>
      <c r="D167" s="12" t="n"/>
      <c r="E167" s="12" t="n"/>
      <c r="F167" s="12" t="n"/>
      <c r="G167" s="12" t="n"/>
      <c r="H167" s="25">
        <f>SUM(H134:H135)</f>
        <v/>
      </c>
      <c r="I167" s="40" t="inlineStr">
        <is>
          <t>HII Ingalls Shipbuilding (sustainment)</t>
        </is>
      </c>
      <c r="J167" s="40" t="inlineStr">
        <is>
          <t>Lockheed Martin ($503M NSC combat sys/SPQ-9B); Rolls-Royce Solutions ($148M mtu diesel); Bird-Johnson Propeller ($26M spares)</t>
        </is>
      </c>
      <c r="K167" s="40" t="inlineStr">
        <is>
          <t>HSCG2313CADB014 ($1.65B ISSS); HSCG2316CADB016 ($1.46B)</t>
        </is>
      </c>
      <c r="L167" s="40" t="inlineStr">
        <is>
          <t>Sole-source (OEM sustainment)</t>
        </is>
      </c>
    </row>
    <row r="168" ht="12" customHeight="1">
      <c r="A168" s="26" t="n"/>
      <c r="B168" s="18" t="n"/>
      <c r="C168" s="3" t="inlineStr">
        <is>
          <t>USCG</t>
        </is>
      </c>
      <c r="D168" s="18" t="n"/>
      <c r="E168" s="18" t="inlineStr">
        <is>
          <t>In-Service Systems Sustainment (ISSS)</t>
        </is>
      </c>
      <c r="F168" s="18" t="n"/>
      <c r="G168" s="3" t="inlineStr">
        <is>
          <t>(no tag)</t>
        </is>
      </c>
      <c r="H168" s="16">
        <f>IF('J Book Items Cons.'!R3347&lt;&gt;"",'J Book Items Cons.'!R3347,IF('J Book Items Cons.'!N3347&lt;&gt;"",'J Book Items Cons.'!N3347,'J Book Items Cons.'!L3347))</f>
        <v/>
      </c>
      <c r="I168" s="40" t="inlineStr">
        <is>
          <t>HII Ingalls Shipbuilding</t>
        </is>
      </c>
      <c r="K168" s="40" t="inlineStr">
        <is>
          <t>HSCG2313CADB014 (ISSS)</t>
        </is>
      </c>
    </row>
    <row r="169" ht="10.5" customHeight="1">
      <c r="A169" s="26" t="n"/>
      <c r="B169" s="18" t="n"/>
      <c r="C169" s="3" t="inlineStr">
        <is>
          <t>USCG</t>
        </is>
      </c>
      <c r="D169" s="18" t="inlineStr">
        <is>
          <t>N024_000006404</t>
        </is>
      </c>
      <c r="E169" s="18" t="inlineStr">
        <is>
          <t>Unmanned Aircraft Systems (on NSCs)</t>
        </is>
      </c>
      <c r="F169" s="18" t="n"/>
      <c r="G169" s="3" t="inlineStr">
        <is>
          <t>(no tag)</t>
        </is>
      </c>
      <c r="H169" s="16">
        <f>IF('J Book Items Cons.'!R3349&lt;&gt;"",'J Book Items Cons.'!R3349,IF('J Book Items Cons.'!N3349&lt;&gt;"",'J Book Items Cons.'!N3349,'J Book Items Cons.'!L3349))</f>
        <v/>
      </c>
      <c r="I169" s="40" t="inlineStr">
        <is>
          <t>Insitu / Boeing (ScanEagle) — routed through Navy PMA-263</t>
        </is>
      </c>
      <c r="J169" s="40" t="inlineStr">
        <is>
          <t>MITRE ($4M C-UAS FFRDC)</t>
        </is>
      </c>
      <c r="L169" s="40" t="inlineStr">
        <is>
          <t>Sole-source (ScanEagle OEM)</t>
        </is>
      </c>
    </row>
    <row r="170" ht="10.5" customHeight="1">
      <c r="A170" s="28" t="n"/>
      <c r="B170" s="29" t="inlineStr">
        <is>
          <t>HULL TOTAL</t>
        </is>
      </c>
      <c r="C170" s="30" t="n"/>
      <c r="D170" s="30" t="n"/>
      <c r="E170" s="28" t="n"/>
      <c r="F170" s="30" t="n"/>
      <c r="G170" s="30" t="n"/>
      <c r="H170" s="30">
        <f>H133</f>
        <v/>
      </c>
    </row>
    <row r="171" ht="10.5" customHeight="1"/>
    <row r="172" ht="10.5" customHeight="1"/>
    <row r="173" ht="10.5" customHeight="1">
      <c r="A173" s="15" t="inlineStr">
        <is>
          <t>WMSM</t>
        </is>
      </c>
      <c r="B173" s="15" t="n"/>
      <c r="C173" s="15" t="n"/>
      <c r="D173" s="15" t="n"/>
      <c r="E173" s="15" t="n"/>
      <c r="F173" s="15" t="n"/>
      <c r="G173" s="15" t="n"/>
      <c r="H173" s="21" t="n"/>
      <c r="I173" s="40" t="inlineStr">
        <is>
          <t>Eastern Shipbuilding (Stage 1, OPCs 1-4) + Austal USA (Stage 2, OPCs 5-15)</t>
        </is>
      </c>
    </row>
    <row r="174" ht="10.5" customHeight="1">
      <c r="A174" s="12" t="n"/>
      <c r="B174" s="12" t="inlineStr">
        <is>
          <t>New Construction</t>
        </is>
      </c>
      <c r="C174" s="12" t="n"/>
      <c r="D174" s="12" t="n"/>
      <c r="E174" s="12" t="n"/>
      <c r="F174" s="12" t="n"/>
      <c r="G174" s="12" t="n"/>
      <c r="H174" s="25">
        <f>SUM(H141:H141)</f>
        <v/>
      </c>
      <c r="I174" s="40" t="inlineStr">
        <is>
          <t>Eastern Shipbuilding Group (Stage 1) + Austal USA (Stage 2)</t>
        </is>
      </c>
      <c r="J174" s="40" t="inlineStr">
        <is>
          <t>Eastern subs: Marine Interior Sys ($63M outfitting); Rolls-Royce ($46M propulsion); Trident Maritime ($33M); IMENCO ($32M); Northrop Grumman ($30M combat sys); Fairbanks Morse ($24M diesel). Austal subs: 0 reported (too new) — known: Caterpillar, Rolls-Royce, GE</t>
        </is>
      </c>
      <c r="K174" s="40" t="inlineStr">
        <is>
          <t>HSCG2314CAPC002 ($1.4B Eastern Stage 1); 70Z02322C93220001 ($1.4B Austal Stage 2, $3.3B ceiling)</t>
        </is>
      </c>
      <c r="L174" s="40" t="inlineStr">
        <is>
          <t>Stage 1 competed (2016); Stage 2 re-competed (2022, awarded Austal)</t>
        </is>
      </c>
    </row>
    <row r="175" ht="12" customHeight="1">
      <c r="A175" s="26" t="n"/>
      <c r="B175" s="18" t="n"/>
      <c r="C175" s="3" t="inlineStr">
        <is>
          <t>USCG</t>
        </is>
      </c>
      <c r="D175" s="18" t="inlineStr">
        <is>
          <t>N024_000006362</t>
        </is>
      </c>
      <c r="E175" s="18" t="inlineStr">
        <is>
          <t>Offshore Patrol Cutter</t>
        </is>
      </c>
      <c r="F175" s="18" t="inlineStr">
        <is>
          <t>Full ship DD&amp;C / LLTM</t>
        </is>
      </c>
      <c r="G175" s="3" t="inlineStr">
        <is>
          <t>(no tag)</t>
        </is>
      </c>
      <c r="H175" s="16">
        <f>IF('J Book Items Cons.'!R3334&lt;&gt;"",'J Book Items Cons.'!R3334,IF('J Book Items Cons.'!N3334&lt;&gt;"",'J Book Items Cons.'!N3334,'J Book Items Cons.'!L3334))</f>
        <v/>
      </c>
      <c r="I175" s="40" t="inlineStr">
        <is>
          <t>Eastern Shipbuilding (Stage 1) / Austal USA (Stage 2)</t>
        </is>
      </c>
      <c r="K175" s="40" t="inlineStr">
        <is>
          <t>HSCG2314CAPC002; 70Z02322C93220001</t>
        </is>
      </c>
      <c r="L175" s="40" t="inlineStr">
        <is>
          <t>Competed</t>
        </is>
      </c>
    </row>
    <row r="176" ht="10.5" customHeight="1">
      <c r="A176" s="28" t="n"/>
      <c r="B176" s="29" t="inlineStr">
        <is>
          <t>HULL TOTAL</t>
        </is>
      </c>
      <c r="C176" s="30" t="n"/>
      <c r="D176" s="30" t="n"/>
      <c r="E176" s="28" t="n"/>
      <c r="F176" s="30" t="n"/>
      <c r="G176" s="30" t="n"/>
      <c r="H176" s="30">
        <f>H140</f>
        <v/>
      </c>
    </row>
    <row r="177" ht="10.5" customHeight="1"/>
    <row r="178" ht="10.5" customHeight="1"/>
    <row r="179" ht="10.5" customHeight="1">
      <c r="A179" s="15" t="inlineStr">
        <is>
          <t>WPC</t>
        </is>
      </c>
      <c r="B179" s="15" t="n"/>
      <c r="C179" s="15" t="n"/>
      <c r="D179" s="15" t="n"/>
      <c r="E179" s="15" t="n"/>
      <c r="F179" s="15" t="n"/>
      <c r="G179" s="15" t="n"/>
      <c r="H179" s="21" t="n"/>
      <c r="I179" s="40" t="inlineStr">
        <is>
          <t>Bollinger Shipyards Lockport (Lockport, LA)</t>
        </is>
      </c>
    </row>
    <row r="180" ht="10.5" customHeight="1">
      <c r="A180" s="12" t="n"/>
      <c r="B180" s="12" t="inlineStr">
        <is>
          <t>New Construction</t>
        </is>
      </c>
      <c r="C180" s="12" t="n"/>
      <c r="D180" s="12" t="n"/>
      <c r="E180" s="12" t="n"/>
      <c r="F180" s="12" t="n"/>
      <c r="G180" s="12" t="n"/>
      <c r="H180" s="25">
        <f>SUM(H147:H147)</f>
        <v/>
      </c>
      <c r="I180" s="40" t="inlineStr">
        <is>
          <t>Bollinger Shipyards Lockport</t>
        </is>
      </c>
      <c r="J180" s="40" t="inlineStr">
        <is>
          <t>(0 subawards reported); Known: MTU Detroit Diesel (propulsion), Hamilton Jet (waterjets), Furuno (radar), Rapp Marine (deck machinery)</t>
        </is>
      </c>
      <c r="K180" s="40" t="inlineStr">
        <is>
          <t>HSCG2316CAFR625 ($2.08B FRC post-2016); HSCG2308C2FR125 ($1.54B FRC original, closing out)</t>
        </is>
      </c>
      <c r="L180" s="40" t="inlineStr">
        <is>
          <t>Sole-source (Damen Stan 4708 license)</t>
        </is>
      </c>
    </row>
    <row r="181" ht="12" customHeight="1">
      <c r="A181" s="26" t="n"/>
      <c r="B181" s="18" t="n"/>
      <c r="C181" s="3" t="inlineStr">
        <is>
          <t>USCG</t>
        </is>
      </c>
      <c r="D181" s="18" t="inlineStr">
        <is>
          <t>N024_000006370</t>
        </is>
      </c>
      <c r="E181" s="18" t="inlineStr">
        <is>
          <t>Fast Response Cutter</t>
        </is>
      </c>
      <c r="F181" s="18" t="inlineStr">
        <is>
          <t>Full ship DD&amp;C</t>
        </is>
      </c>
      <c r="G181" s="3" t="inlineStr">
        <is>
          <t>(no tag)</t>
        </is>
      </c>
      <c r="H181" s="16">
        <f>IF('J Book Items Cons.'!R3335&lt;&gt;"",'J Book Items Cons.'!R3335,IF('J Book Items Cons.'!N3335&lt;&gt;"",'J Book Items Cons.'!N3335,'J Book Items Cons.'!L3335))</f>
        <v/>
      </c>
      <c r="I181" s="40" t="inlineStr">
        <is>
          <t>Bollinger Shipyards Lockport</t>
        </is>
      </c>
      <c r="K181" s="40" t="inlineStr">
        <is>
          <t>HSCG2316CAFR625 ($2.08B)</t>
        </is>
      </c>
      <c r="L181" s="40" t="inlineStr">
        <is>
          <t>Sole-source</t>
        </is>
      </c>
    </row>
    <row r="182" ht="10.5" customHeight="1">
      <c r="A182" s="28" t="n"/>
      <c r="B182" s="29" t="inlineStr">
        <is>
          <t>HULL TOTAL</t>
        </is>
      </c>
      <c r="C182" s="30" t="n"/>
      <c r="D182" s="30" t="n"/>
      <c r="E182" s="28" t="n"/>
      <c r="F182" s="30" t="n"/>
      <c r="G182" s="30" t="n"/>
      <c r="H182" s="30">
        <f>H146</f>
        <v/>
      </c>
    </row>
  </sheetData>
  <pageMargins left="0.7" right="0.7" top="0.75" bottom="0.75" header="0.511811023622047" footer="0.511811023622047"/>
  <pageSetup orientation="portrait" paperSize="9" horizontalDpi="300" verticalDpi="300"/>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2026-04-12T22:31:08Z</dcterms:modified>
  <cp:lastModifiedBy>Brendan Toole</cp:lastModifiedBy>
  <cp:revision>0</cp:revision>
</cp:coreProperties>
</file>