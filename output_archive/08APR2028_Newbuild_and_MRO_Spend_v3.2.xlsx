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6 Total Funding" sheetId="2" state="visible" r:id="rId2"/>
    <sheet xmlns:r="http://schemas.openxmlformats.org/officeDocument/2006/relationships" name="FY26 Newbuild TAM" sheetId="3" state="visible" r:id="rId3"/>
    <sheet xmlns:r="http://schemas.openxmlformats.org/officeDocument/2006/relationships" name="FY26 Newbuild SAM" sheetId="4" state="visible" r:id="rId4"/>
    <sheet xmlns:r="http://schemas.openxmlformats.org/officeDocument/2006/relationships" name="FY26 MRO TAM" sheetId="5" state="visible" r:id="rId5"/>
    <sheet xmlns:r="http://schemas.openxmlformats.org/officeDocument/2006/relationships" name="FY26 MRO SAM" sheetId="6" state="visible" r:id="rId6"/>
    <sheet xmlns:r="http://schemas.openxmlformats.org/officeDocument/2006/relationships" name="FY27 Total Funding" sheetId="7" state="visible" r:id="rId7"/>
    <sheet xmlns:r="http://schemas.openxmlformats.org/officeDocument/2006/relationships" name="FY27 Newbuild TAM" sheetId="8" state="visible" r:id="rId8"/>
    <sheet xmlns:r="http://schemas.openxmlformats.org/officeDocument/2006/relationships" name="FY27 Newbuild SAM" sheetId="9" state="visible" r:id="rId9"/>
    <sheet xmlns:r="http://schemas.openxmlformats.org/officeDocument/2006/relationships" name="FY27 MRO TAM" sheetId="10" state="visible" r:id="rId10"/>
    <sheet xmlns:r="http://schemas.openxmlformats.org/officeDocument/2006/relationships" name="FY27 MRO SAM" sheetId="11" state="visible" r:id="rId11"/>
    <sheet xmlns:r="http://schemas.openxmlformats.org/officeDocument/2006/relationships" name="Competitive Dynamics" sheetId="12" state="visible" r:id="rId12"/>
    <sheet xmlns:r="http://schemas.openxmlformats.org/officeDocument/2006/relationships" name="Validation" sheetId="13" state="visible" r:id="rId13"/>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2">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5B7A99"/>
      <sz val="8"/>
    </font>
    <font>
      <name val="Arial"/>
      <b val="1"/>
      <color rgb="00000000"/>
      <sz val="8"/>
    </font>
    <font>
      <name val="Arial"/>
      <color rgb="00000000"/>
      <sz val="8"/>
    </font>
    <font>
      <name val="Arial"/>
      <color rgb="005B7A99"/>
      <sz val="8"/>
    </font>
    <font>
      <name val="Arial"/>
      <b val="1"/>
      <color rgb="001F314F"/>
      <sz val="8"/>
    </font>
    <font>
      <name val="Arial"/>
      <b val="1"/>
      <i val="1"/>
      <color rgb="00000000"/>
      <sz val="8"/>
    </font>
    <font>
      <name val="Arial"/>
      <i val="1"/>
      <color rgb="00000000"/>
      <sz val="8"/>
    </font>
    <font>
      <name val="Arial"/>
      <color rgb="002E7D32"/>
      <sz val="8"/>
    </font>
  </fonts>
  <fills count="16">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F2F4F7"/>
        <bgColor rgb="00F2F4F7"/>
      </patternFill>
    </fill>
    <fill>
      <patternFill patternType="solid">
        <fgColor rgb="00E0F2F1"/>
        <bgColor rgb="00E0F2F1"/>
      </patternFill>
    </fill>
  </fills>
  <borders count="9">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thin"/>
    </border>
    <border>
      <top style="medium"/>
    </border>
  </borders>
  <cellStyleXfs count="1">
    <xf numFmtId="0" fontId="0" fillId="0" borderId="3"/>
  </cellStyleXfs>
  <cellXfs count="97">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xf>
    <xf numFmtId="0" fontId="0" fillId="13" borderId="0" applyAlignment="1" pivotButton="0" quotePrefix="0" xfId="0">
      <alignment/>
    </xf>
    <xf numFmtId="0" fontId="34" fillId="0" borderId="0" applyAlignment="1" pivotButton="0" quotePrefix="0" xfId="0">
      <alignment/>
    </xf>
    <xf numFmtId="0" fontId="35" fillId="14" borderId="0" applyAlignment="1" pivotButton="0" quotePrefix="0" xfId="0">
      <alignment/>
    </xf>
    <xf numFmtId="0" fontId="0" fillId="14" borderId="0" applyAlignment="1" pivotButton="0" quotePrefix="0" xfId="0">
      <alignment/>
    </xf>
    <xf numFmtId="0" fontId="35" fillId="14" borderId="6" applyAlignment="1" pivotButton="0" quotePrefix="0" xfId="0">
      <alignment/>
    </xf>
    <xf numFmtId="0" fontId="36" fillId="0" borderId="0" applyAlignment="1" pivotButton="0" quotePrefix="0" xfId="0">
      <alignment/>
    </xf>
    <xf numFmtId="166" fontId="36" fillId="0" borderId="0" applyAlignment="1" pivotButton="0" quotePrefix="0" xfId="0">
      <alignment/>
    </xf>
    <xf numFmtId="0" fontId="35" fillId="0" borderId="7" applyAlignment="1" pivotButton="0" quotePrefix="0" xfId="0">
      <alignment/>
    </xf>
    <xf numFmtId="166" fontId="35" fillId="0" borderId="7" applyAlignment="1" pivotButton="0" quotePrefix="0" xfId="0">
      <alignment/>
    </xf>
    <xf numFmtId="0" fontId="37" fillId="0" borderId="0" applyAlignment="1" pivotButton="0" quotePrefix="0" xfId="0">
      <alignment/>
    </xf>
    <xf numFmtId="0" fontId="38" fillId="15" borderId="0" applyAlignment="1" pivotButton="0" quotePrefix="0" xfId="0">
      <alignment/>
    </xf>
    <xf numFmtId="166" fontId="38" fillId="15" borderId="0" applyAlignment="1" pivotButton="0" quotePrefix="0" xfId="0">
      <alignment/>
    </xf>
    <xf numFmtId="0" fontId="35" fillId="0" borderId="8" applyAlignment="1" pivotButton="0" quotePrefix="0" xfId="0">
      <alignment/>
    </xf>
    <xf numFmtId="166" fontId="35" fillId="0" borderId="8" applyAlignment="1" pivotButton="0" quotePrefix="0" xfId="0">
      <alignment/>
    </xf>
    <xf numFmtId="0" fontId="35" fillId="0" borderId="0" applyAlignment="1" pivotButton="0" quotePrefix="0" xfId="0">
      <alignment/>
    </xf>
    <xf numFmtId="167" fontId="40" fillId="0" borderId="0" applyAlignment="1" pivotButton="0" quotePrefix="0" xfId="0">
      <alignment/>
    </xf>
    <xf numFmtId="167" fontId="39" fillId="0" borderId="7" applyAlignment="1" pivotButton="0" quotePrefix="0" xfId="0">
      <alignment/>
    </xf>
    <xf numFmtId="166" fontId="41" fillId="0" borderId="0" applyAlignment="1" pivotButton="0" quotePrefix="0" xfId="0">
      <alignmen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c r="C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8"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8"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8"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8"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8"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8"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8"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FY2026 Total Funding by Source Book</t>
        </is>
      </c>
      <c r="B28" s="82" t="n"/>
      <c r="C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0"/>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c r="P4" s="82" t="n"/>
      <c r="Q4" s="82" t="n"/>
      <c r="R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1" t="inlineStr">
        <is>
          <t>Newbuild TAM</t>
        </is>
      </c>
      <c r="B9" s="9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c r="P11" s="82" t="n"/>
      <c r="Q11" s="82" t="n"/>
      <c r="R11" s="82" t="n"/>
    </row>
    <row r="12" ht="10" customHeight="1">
      <c r="B12" s="93" t="inlineStr">
        <is>
          <t>USN</t>
        </is>
      </c>
      <c r="W12" s="93" t="inlineStr">
        <is>
          <t>USCG</t>
        </is>
      </c>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4">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4">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4">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4">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4">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4">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4">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4">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4">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4">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4">
        <f>IFERROR(C24/C$42,0)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4">
        <f>IFERROR(C25/C$42,0)</f>
        <v/>
      </c>
    </row>
    <row r="26" ht="10" customHeight="1">
      <c r="A26" s="84" t="inlineStr">
        <is>
          <t>High Speed Transport</t>
        </is>
      </c>
      <c r="B26" s="84" t="inlineStr">
        <is>
          <t>USN</t>
        </is>
      </c>
      <c r="C26"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6" s="94">
        <f>IFERROR(C26/C$42,0)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4">
        <f>IFERROR(C27/C$42,0)</f>
        <v/>
      </c>
    </row>
    <row r="28" ht="10" customHeight="1">
      <c r="A28" s="84" t="inlineStr">
        <is>
          <t>Command Ships</t>
        </is>
      </c>
      <c r="B28" s="84" t="inlineStr">
        <is>
          <t>USN</t>
        </is>
      </c>
      <c r="C28"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8" s="94">
        <f>IFERROR(C28/C$42,0)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4">
        <f>IFERROR(C29/C$42,0)</f>
        <v/>
      </c>
    </row>
    <row r="30" ht="10" customHeight="1">
      <c r="A30" s="84" t="inlineStr">
        <is>
          <t>General Auxiliary</t>
        </is>
      </c>
      <c r="B30" s="84" t="inlineStr">
        <is>
          <t>USN</t>
        </is>
      </c>
      <c r="C30"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94">
        <f>IFERROR(C30/C$42,0)</f>
        <v/>
      </c>
    </row>
    <row r="31" ht="10" customHeight="1">
      <c r="A31" s="84" t="inlineStr">
        <is>
          <t>Mine Warfare</t>
        </is>
      </c>
      <c r="B31" s="84" t="inlineStr">
        <is>
          <t>USN</t>
        </is>
      </c>
      <c r="C31"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1" s="94">
        <f>IFERROR(C31/C$42,0)</f>
        <v/>
      </c>
    </row>
    <row r="32" ht="10" customHeight="1">
      <c r="A32" s="84" t="inlineStr">
        <is>
          <t>Submarine Escort Ship</t>
        </is>
      </c>
      <c r="B32" s="84" t="inlineStr">
        <is>
          <t>USN</t>
        </is>
      </c>
      <c r="C3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2" s="94">
        <f>IFERROR(C32/C$42,0)</f>
        <v/>
      </c>
    </row>
    <row r="33" ht="10" customHeight="1">
      <c r="A33" s="84" t="inlineStr">
        <is>
          <t>Research, Survey &amp; Instrumentation Ships</t>
        </is>
      </c>
      <c r="B33" s="84" t="inlineStr">
        <is>
          <t>MSC</t>
        </is>
      </c>
      <c r="C33"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3" s="94">
        <f>IFERROR(C33/C$42,0)</f>
        <v/>
      </c>
    </row>
    <row r="34" ht="10" customHeight="1">
      <c r="A34" s="84" t="inlineStr">
        <is>
          <t>Material Support Ships</t>
        </is>
      </c>
      <c r="B34" s="84" t="inlineStr">
        <is>
          <t>USN</t>
        </is>
      </c>
      <c r="C34"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4" s="94">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4">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4">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4">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4">
        <f>IFERROR(C38/C$42,0)</f>
        <v/>
      </c>
    </row>
    <row r="39" ht="10" customHeight="1">
      <c r="A39" s="84" t="inlineStr">
        <is>
          <t>Coastal Buoy Tenders</t>
        </is>
      </c>
      <c r="B39" s="84" t="inlineStr">
        <is>
          <t>USCG</t>
        </is>
      </c>
      <c r="C39"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4">
        <f>IFERROR(C39/C$42,0)</f>
        <v/>
      </c>
    </row>
    <row r="40" ht="10" customHeight="1">
      <c r="A40" s="84" t="inlineStr">
        <is>
          <t>Icebreakers, Great Lakes</t>
        </is>
      </c>
      <c r="B40" s="84" t="inlineStr">
        <is>
          <t>USCG</t>
        </is>
      </c>
      <c r="C40"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4">
        <f>IFERROR(C40/C$42,0)</f>
        <v/>
      </c>
    </row>
    <row r="41" ht="10" customHeight="1">
      <c r="A41" s="84" t="inlineStr">
        <is>
          <t>National Security Cutters</t>
        </is>
      </c>
      <c r="B41" s="84" t="inlineStr">
        <is>
          <t>USCG</t>
        </is>
      </c>
      <c r="C41"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4">
        <f>IFERROR(C41/C$42,0)</f>
        <v/>
      </c>
    </row>
    <row r="42" ht="10" customHeight="1">
      <c r="A42" s="86" t="inlineStr">
        <is>
          <t>Newbuild TAM</t>
        </is>
      </c>
      <c r="B42" s="86" t="inlineStr"/>
      <c r="C42" s="87">
        <f>SUM(C14:C41)</f>
        <v/>
      </c>
      <c r="D42" s="95" t="n">
        <v>1</v>
      </c>
    </row>
    <row r="43" ht="10" customHeight="1"/>
    <row r="44" ht="10" customHeight="1">
      <c r="A44" s="81" t="inlineStr">
        <is>
          <t>(C) Newbuild TAM — DD&amp;C vs AP/LLTM by Vessel Type (Mekko)</t>
        </is>
      </c>
      <c r="B44" s="82" t="n"/>
      <c r="C44" s="82" t="n"/>
      <c r="D44" s="82" t="n"/>
      <c r="E44" s="82" t="n"/>
      <c r="F44" s="82" t="n"/>
      <c r="G44" s="82" t="n"/>
      <c r="H44" s="82" t="n"/>
      <c r="I44" s="82" t="n"/>
      <c r="J44" s="82" t="n"/>
      <c r="K44" s="82" t="n"/>
      <c r="L44" s="82" t="n"/>
      <c r="M44" s="82" t="n"/>
      <c r="N44" s="82" t="n"/>
      <c r="O44" s="82" t="n"/>
      <c r="P44" s="82" t="n"/>
      <c r="Q44" s="82" t="n"/>
      <c r="R44" s="82" t="n"/>
    </row>
    <row r="45" ht="10" customHeight="1">
      <c r="B45" s="93" t="inlineStr">
        <is>
          <t>USN</t>
        </is>
      </c>
      <c r="M45" s="93" t="inlineStr">
        <is>
          <t>USCG</t>
        </is>
      </c>
    </row>
    <row r="46" ht="10" customHeight="1">
      <c r="A46" s="83" t="inlineStr">
        <is>
          <t>Sub-Category</t>
        </is>
      </c>
      <c r="B46" s="83" t="inlineStr">
        <is>
          <t>Submarines</t>
        </is>
      </c>
      <c r="C46" s="83" t="inlineStr">
        <is>
          <t>Surface Combatants</t>
        </is>
      </c>
      <c r="D46" s="83" t="inlineStr">
        <is>
          <t>Aircraft Carriers</t>
        </is>
      </c>
      <c r="E46" s="83" t="inlineStr">
        <is>
          <t>Expeditionary &amp; Seabasing Ships</t>
        </is>
      </c>
      <c r="F46" s="83" t="inlineStr">
        <is>
          <t>Combat Logistics Ships</t>
        </is>
      </c>
      <c r="G46" s="83" t="inlineStr">
        <is>
          <t>Amphibious Warfare Ships</t>
        </is>
      </c>
      <c r="H46" s="83" t="inlineStr">
        <is>
          <t>Unmanned Surface Vehicles</t>
        </is>
      </c>
      <c r="I46" s="83" t="inlineStr">
        <is>
          <t>Cargo &amp; Vehicle Cargo Ships</t>
        </is>
      </c>
      <c r="J46" s="83" t="inlineStr">
        <is>
          <t>Surveillance Ships</t>
        </is>
      </c>
      <c r="K46" s="83" t="inlineStr">
        <is>
          <t>Unmanned Undersea Vehicles</t>
        </is>
      </c>
      <c r="L46" s="83" t="inlineStr">
        <is>
          <t>Salvage Ships &amp; Fleet Ocean Tugs</t>
        </is>
      </c>
      <c r="M46" s="83" t="inlineStr">
        <is>
          <t>Offshore Patrol Cutter</t>
        </is>
      </c>
      <c r="N46" s="83" t="inlineStr">
        <is>
          <t>Fast Response Cutters</t>
        </is>
      </c>
      <c r="O46" s="83" t="inlineStr">
        <is>
          <t>Icebreakers, Oceangoing</t>
        </is>
      </c>
      <c r="P46" s="83" t="inlineStr">
        <is>
          <t>Waterways Commerce Cutters</t>
        </is>
      </c>
      <c r="Q46" s="83" t="inlineStr">
        <is>
          <t>Total</t>
        </is>
      </c>
    </row>
    <row r="47" ht="10" customHeight="1">
      <c r="A47" s="84" t="inlineStr">
        <is>
          <t>Full Ship DD&amp;C</t>
        </is>
      </c>
      <c r="B47" s="94">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
      </c>
      <c r="C47" s="9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
      </c>
      <c r="D47" s="94">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
      </c>
      <c r="E47" s="9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
      </c>
      <c r="F47" s="9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
      </c>
      <c r="G47" s="9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
      </c>
      <c r="H47" s="9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
      </c>
      <c r="I47" s="9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
      </c>
      <c r="J47" s="9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
      </c>
      <c r="K47" s="94">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
      </c>
      <c r="L47" s="9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
      </c>
      <c r="M47" s="9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
      </c>
      <c r="N47" s="9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
      </c>
      <c r="O47" s="9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
      </c>
      <c r="P47" s="9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
      </c>
      <c r="Q47" s="94">
        <f>IFERROR(1-Q48,0)</f>
        <v/>
      </c>
    </row>
    <row r="48" ht="10" customHeight="1">
      <c r="A48" s="84" t="inlineStr">
        <is>
          <t>Advance Procurement / LLTM</t>
        </is>
      </c>
      <c r="B48" s="94">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
      </c>
      <c r="C48" s="9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
      </c>
      <c r="D48" s="94">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
      </c>
      <c r="E48" s="9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
      </c>
      <c r="F48" s="9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
      </c>
      <c r="G48" s="9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
      </c>
      <c r="H48" s="9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
      </c>
      <c r="I48" s="9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
      </c>
      <c r="J48" s="9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
      </c>
      <c r="K48" s="94">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
      </c>
      <c r="L48" s="9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
      </c>
      <c r="M48" s="9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
      </c>
      <c r="N48" s="9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
      </c>
      <c r="O48" s="9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
      </c>
      <c r="P48" s="9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
      </c>
      <c r="Q48" s="9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
      </c>
    </row>
    <row r="49" ht="10" customHeight="1">
      <c r="A49" s="84" t="inlineStr">
        <is>
          <t>Other NC Sub-Categories</t>
        </is>
      </c>
      <c r="B49" s="94">
        <f>IFERROR(1-B47-B48,0)</f>
        <v/>
      </c>
      <c r="C49" s="94">
        <f>IFERROR(1-C47-C48,0)</f>
        <v/>
      </c>
      <c r="D49" s="94">
        <f>IFERROR(1-D47-D48,0)</f>
        <v/>
      </c>
      <c r="E49" s="94">
        <f>IFERROR(1-E47-E48,0)</f>
        <v/>
      </c>
      <c r="F49" s="94">
        <f>IFERROR(1-F47-F48,0)</f>
        <v/>
      </c>
      <c r="G49" s="94">
        <f>IFERROR(1-G47-G48,0)</f>
        <v/>
      </c>
      <c r="H49" s="94">
        <f>IFERROR(1-H47-H48,0)</f>
        <v/>
      </c>
      <c r="I49" s="94">
        <f>IFERROR(1-I47-I48,0)</f>
        <v/>
      </c>
      <c r="J49" s="94">
        <f>IFERROR(1-J47-J48,0)</f>
        <v/>
      </c>
      <c r="K49" s="94">
        <f>IFERROR(1-K47-K48,0)</f>
        <v/>
      </c>
      <c r="L49" s="94">
        <f>IFERROR(1-L47-L48,0)</f>
        <v/>
      </c>
      <c r="M49" s="94">
        <f>IFERROR(1-M47-M48,0)</f>
        <v/>
      </c>
      <c r="N49" s="94">
        <f>IFERROR(1-N47-N48,0)</f>
        <v/>
      </c>
      <c r="O49" s="94">
        <f>IFERROR(1-O47-O48,0)</f>
        <v/>
      </c>
      <c r="P49" s="94">
        <f>IFERROR(1-P47-P48,0)</f>
        <v/>
      </c>
      <c r="Q49" s="94">
        <f>IFERROR(1-Q47-Q48,0)</f>
        <v/>
      </c>
    </row>
    <row r="50" ht="10" customHeight="1">
      <c r="A50" s="86" t="inlineStr">
        <is>
          <t>Total ($K)</t>
        </is>
      </c>
      <c r="B50"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0"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0"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0"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0"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0"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0"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0"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0"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0"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0"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0"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0"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0"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0"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0" s="87">
        <f>SUM(B50:P50)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c r="M4" s="82" t="n"/>
      <c r="N4" s="82" t="n"/>
      <c r="O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c r="M11" s="82" t="n"/>
      <c r="N11" s="82" t="n"/>
      <c r="O11" s="82" t="n"/>
    </row>
    <row r="12" ht="10" customHeight="1">
      <c r="B12" s="93" t="inlineStr">
        <is>
          <t>USN</t>
        </is>
      </c>
      <c r="T12" s="93" t="inlineStr">
        <is>
          <t>USCG</t>
        </is>
      </c>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4">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4">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4">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4">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4">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4">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4">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4">
        <f>IFERROR(C21/C$39,0)</f>
        <v/>
      </c>
    </row>
    <row r="22" ht="10" customHeight="1">
      <c r="A22" s="84" t="inlineStr">
        <is>
          <t>Submarine Escort Ship</t>
        </is>
      </c>
      <c r="B22" s="84" t="inlineStr">
        <is>
          <t>USN</t>
        </is>
      </c>
      <c r="C2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2" s="94">
        <f>IFERROR(C22/C$39,0)</f>
        <v/>
      </c>
    </row>
    <row r="23" ht="10" customHeight="1">
      <c r="A23" s="84" t="inlineStr">
        <is>
          <t>Aviation Logistics Support Ship</t>
        </is>
      </c>
      <c r="B23" s="84" t="inlineStr">
        <is>
          <t>USN</t>
        </is>
      </c>
      <c r="C23"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3" s="94">
        <f>IFERROR(C23/C$39,0)</f>
        <v/>
      </c>
    </row>
    <row r="24" ht="10" customHeight="1">
      <c r="A24" s="84" t="inlineStr">
        <is>
          <t>High Speed Transport</t>
        </is>
      </c>
      <c r="B24" s="84" t="inlineStr">
        <is>
          <t>USN</t>
        </is>
      </c>
      <c r="C24"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4" s="94">
        <f>IFERROR(C24/C$39,0)</f>
        <v/>
      </c>
    </row>
    <row r="25" ht="10" customHeight="1">
      <c r="A25" s="84" t="inlineStr">
        <is>
          <t>Hospital Ship</t>
        </is>
      </c>
      <c r="B25" s="84" t="inlineStr">
        <is>
          <t>MSC</t>
        </is>
      </c>
      <c r="C25"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5" s="94">
        <f>IFERROR(C25/C$39,0)</f>
        <v/>
      </c>
    </row>
    <row r="26" ht="10" customHeight="1">
      <c r="A26" s="84" t="inlineStr">
        <is>
          <t>Research, Survey &amp; Instrumentation Ships</t>
        </is>
      </c>
      <c r="B26" s="84" t="inlineStr">
        <is>
          <t>MSC</t>
        </is>
      </c>
      <c r="C26"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94">
        <f>IFERROR(C26/C$39,0)</f>
        <v/>
      </c>
    </row>
    <row r="27" ht="10" customHeight="1">
      <c r="A27" s="84" t="inlineStr">
        <is>
          <t>Command Ships</t>
        </is>
      </c>
      <c r="B27" s="84" t="inlineStr">
        <is>
          <t>USN</t>
        </is>
      </c>
      <c r="C27"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4">
        <f>IFERROR(C27/C$39,0)</f>
        <v/>
      </c>
    </row>
    <row r="28" ht="10" customHeight="1">
      <c r="A28" s="84" t="inlineStr">
        <is>
          <t>Material Support Ships</t>
        </is>
      </c>
      <c r="B28" s="84" t="inlineStr">
        <is>
          <t>USN</t>
        </is>
      </c>
      <c r="C28"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8" s="94">
        <f>IFERROR(C28/C$39,0)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4">
        <f>IFERROR(C29/C$39,0)</f>
        <v/>
      </c>
    </row>
    <row r="30" ht="10" customHeight="1">
      <c r="A30" s="84" t="inlineStr">
        <is>
          <t>General Auxiliary</t>
        </is>
      </c>
      <c r="B30" s="84" t="inlineStr">
        <is>
          <t>USN</t>
        </is>
      </c>
      <c r="C30"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94">
        <f>IFERROR(C30/C$39,0)</f>
        <v/>
      </c>
    </row>
    <row r="31" ht="10" customHeight="1">
      <c r="A31" s="84" t="inlineStr">
        <is>
          <t>Mine Warfare</t>
        </is>
      </c>
      <c r="B31" s="84" t="inlineStr">
        <is>
          <t>USN</t>
        </is>
      </c>
      <c r="C31"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1" s="94">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4">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4">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4">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4">
        <f>IFERROR(C35/C$39,0)</f>
        <v/>
      </c>
    </row>
    <row r="36" ht="10" customHeight="1">
      <c r="A36" s="84" t="inlineStr">
        <is>
          <t>Coastal Buoy Tenders</t>
        </is>
      </c>
      <c r="B36" s="84" t="inlineStr">
        <is>
          <t>USCG</t>
        </is>
      </c>
      <c r="C36"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4">
        <f>IFERROR(C36/C$39,0)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4">
        <f>IFERROR(C37/C$39,0)</f>
        <v/>
      </c>
    </row>
    <row r="38" ht="10" customHeight="1">
      <c r="A38" s="84" t="inlineStr">
        <is>
          <t>National Security Cutters</t>
        </is>
      </c>
      <c r="B38" s="84" t="inlineStr">
        <is>
          <t>USCG</t>
        </is>
      </c>
      <c r="C38"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4">
        <f>IFERROR(C38/C$39,0)</f>
        <v/>
      </c>
    </row>
    <row r="39" ht="10" customHeight="1">
      <c r="A39" s="86" t="inlineStr">
        <is>
          <t>Newbuild SAM</t>
        </is>
      </c>
      <c r="B39" s="86" t="inlineStr"/>
      <c r="C39" s="87">
        <f>SUM(C14:C38)</f>
        <v/>
      </c>
      <c r="D39" s="95" t="n">
        <v>1</v>
      </c>
    </row>
    <row r="40" ht="10" customHeight="1"/>
    <row r="41" ht="10" customHeight="1">
      <c r="A41" s="81" t="inlineStr">
        <is>
          <t>(C) Newbuild SAM — DD&amp;C vs AP/LLTM by Vessel Type (Mekko)</t>
        </is>
      </c>
      <c r="B41" s="82" t="n"/>
      <c r="C41" s="82" t="n"/>
      <c r="D41" s="82" t="n"/>
      <c r="E41" s="82" t="n"/>
      <c r="F41" s="82" t="n"/>
      <c r="G41" s="82" t="n"/>
      <c r="H41" s="82" t="n"/>
      <c r="I41" s="82" t="n"/>
      <c r="J41" s="82" t="n"/>
      <c r="K41" s="82" t="n"/>
      <c r="L41" s="82" t="n"/>
      <c r="M41" s="82" t="n"/>
      <c r="N41" s="82" t="n"/>
      <c r="O41" s="82" t="n"/>
    </row>
    <row r="42" ht="10" customHeight="1">
      <c r="B42" s="93" t="inlineStr">
        <is>
          <t>USN</t>
        </is>
      </c>
      <c r="J42" s="93" t="inlineStr">
        <is>
          <t>USCG</t>
        </is>
      </c>
    </row>
    <row r="43" ht="10" customHeight="1">
      <c r="A43" s="83" t="inlineStr">
        <is>
          <t>Sub-Category</t>
        </is>
      </c>
      <c r="B43" s="83" t="inlineStr">
        <is>
          <t>Surface Combatants</t>
        </is>
      </c>
      <c r="C43" s="83" t="inlineStr">
        <is>
          <t>Expeditionary &amp; Seabasing Ships</t>
        </is>
      </c>
      <c r="D43" s="83" t="inlineStr">
        <is>
          <t>Combat Logistics Ships</t>
        </is>
      </c>
      <c r="E43" s="83" t="inlineStr">
        <is>
          <t>Amphibious Warfare Ships</t>
        </is>
      </c>
      <c r="F43" s="83" t="inlineStr">
        <is>
          <t>Unmanned Surface Vehicles</t>
        </is>
      </c>
      <c r="G43" s="83" t="inlineStr">
        <is>
          <t>Cargo &amp; Vehicle Cargo Ships</t>
        </is>
      </c>
      <c r="H43" s="83" t="inlineStr">
        <is>
          <t>Surveillance Ships</t>
        </is>
      </c>
      <c r="I43" s="83" t="inlineStr">
        <is>
          <t>Salvage Ships &amp; Fleet Ocean Tugs</t>
        </is>
      </c>
      <c r="J43" s="83" t="inlineStr">
        <is>
          <t>Offshore Patrol Cutter</t>
        </is>
      </c>
      <c r="K43" s="83" t="inlineStr">
        <is>
          <t>Fast Response Cutters</t>
        </is>
      </c>
      <c r="L43" s="83" t="inlineStr">
        <is>
          <t>Icebreakers, Oceangoing</t>
        </is>
      </c>
      <c r="M43" s="83" t="inlineStr">
        <is>
          <t>Waterways Commerce Cutters</t>
        </is>
      </c>
      <c r="N43" s="83" t="inlineStr">
        <is>
          <t>Total</t>
        </is>
      </c>
    </row>
    <row r="44" ht="10" customHeight="1">
      <c r="A44" s="84" t="inlineStr">
        <is>
          <t>Full Ship DD&amp;C</t>
        </is>
      </c>
      <c r="B44" s="9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procurement",JB_S,"[PARENT]",JB_R,"",JB_N,""))/B$46,0)</f>
        <v/>
      </c>
      <c r="C44" s="9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procurement",JB_S,"[PARENT]",JB_R,"",JB_N,""))/C$46,0)</f>
        <v/>
      </c>
      <c r="D44" s="9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procurement",JB_S,"[PARENT]",JB_R,"",JB_N,""))/D$46,0)</f>
        <v/>
      </c>
      <c r="E44" s="9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procurement",JB_S,"[PARENT]",JB_R,"",JB_N,""))/E$46,0)</f>
        <v/>
      </c>
      <c r="F44" s="9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procurement",JB_S,"[PARENT]",JB_R,"",JB_N,""))/F$46,0)</f>
        <v/>
      </c>
      <c r="G44" s="9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procurement",JB_S,"[PARENT]",JB_R,"",JB_N,""))/G$46,0)</f>
        <v/>
      </c>
      <c r="H44" s="9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procurement",JB_S,"[PARENT]",JB_R,"",JB_N,""))/H$46,0)</f>
        <v/>
      </c>
      <c r="I44" s="9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procurement",JB_S,"[PARENT]",JB_R,"",JB_N,""))/I$46,0)</f>
        <v/>
      </c>
      <c r="J44" s="9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procurement",JB_S,"[PARENT]",JB_R,"",JB_N,""))/J$46,0)</f>
        <v/>
      </c>
      <c r="K44" s="9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procurement",JB_S,"[PARENT]",JB_R,"",JB_N,""))/K$46,0)</f>
        <v/>
      </c>
      <c r="L44" s="9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procurement",JB_S,"[PARENT]",JB_R,"",JB_N,""))/L$46,0)</f>
        <v/>
      </c>
      <c r="M44" s="9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procurement",JB_S,"[PARENT]",JB_R,"",JB_N,""))/M$46,0)</f>
        <v/>
      </c>
      <c r="N44" s="94">
        <f>IFERROR(1-N45,0)</f>
        <v/>
      </c>
    </row>
    <row r="45" ht="10" customHeight="1">
      <c r="A45" s="84" t="inlineStr">
        <is>
          <t>Advance Procurement / LLTM</t>
        </is>
      </c>
      <c r="B45" s="9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LLTM",JB_S,"[PARENT]",JB_R,"",JB_N,""))/B$46,0)</f>
        <v/>
      </c>
      <c r="C45" s="9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LLTM",JB_S,"[PARENT]",JB_R,"",JB_N,""))/C$46,0)</f>
        <v/>
      </c>
      <c r="D45" s="9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LLTM",JB_S,"[PARENT]",JB_R,"",JB_N,""))/D$46,0)</f>
        <v/>
      </c>
      <c r="E45" s="9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LLTM",JB_S,"[PARENT]",JB_R,"",JB_N,""))/E$46,0)</f>
        <v/>
      </c>
      <c r="F45" s="9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LLTM",JB_S,"[PARENT]",JB_R,"",JB_N,""))/F$46,0)</f>
        <v/>
      </c>
      <c r="G45" s="9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LLTM",JB_S,"[PARENT]",JB_R,"",JB_N,""))/G$46,0)</f>
        <v/>
      </c>
      <c r="H45" s="9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LLTM",JB_S,"[PARENT]",JB_R,"",JB_N,""))/H$46,0)</f>
        <v/>
      </c>
      <c r="I45" s="9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LLTM",JB_S,"[PARENT]",JB_R,"",JB_N,""))/I$46,0)</f>
        <v/>
      </c>
      <c r="J45" s="9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LLTM",JB_S,"[PARENT]",JB_R,"",JB_N,""))/J$46,0)</f>
        <v/>
      </c>
      <c r="K45" s="9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LLTM",JB_S,"[PARENT]",JB_R,"",JB_N,""))/K$46,0)</f>
        <v/>
      </c>
      <c r="L45" s="9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LLTM",JB_S,"[PARENT]",JB_R,"",JB_N,""))/L$46,0)</f>
        <v/>
      </c>
      <c r="M45" s="9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LLTM",JB_S,"[PARENT]",JB_R,"",JB_N,""))/M$46,0)</f>
        <v/>
      </c>
      <c r="N45" s="9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LLTM",JB_S,"[PARENT]",JB_R,"",JB_N,""))/N$46,0)</f>
        <v/>
      </c>
    </row>
    <row r="46" ht="10" customHeight="1">
      <c r="A46" s="86" t="inlineStr">
        <is>
          <t>Total ($K)</t>
        </is>
      </c>
      <c r="B46"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6"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6"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6"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6"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6"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6"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6"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6"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6"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6"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6"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6" s="87">
        <f>SUM(B46:M46)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c r="K4" s="82" t="n"/>
      <c r="L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1" t="inlineStr">
        <is>
          <t>MRO TAM</t>
        </is>
      </c>
      <c r="B9" s="92">
        <f>B19</f>
        <v/>
      </c>
    </row>
    <row r="10" ht="10" customHeight="1"/>
    <row r="11" ht="10" customHeight="1">
      <c r="A11" s="81" t="inlineStr">
        <is>
          <t>(B) MRO TAM by Work Type</t>
        </is>
      </c>
      <c r="B11" s="82" t="n"/>
      <c r="C11" s="82" t="n"/>
      <c r="D11" s="82" t="n"/>
      <c r="E11" s="82" t="n"/>
      <c r="F11" s="82" t="n"/>
      <c r="G11" s="82" t="n"/>
      <c r="H11" s="82" t="n"/>
      <c r="I11" s="82" t="n"/>
      <c r="J11" s="82" t="n"/>
      <c r="K11" s="82" t="n"/>
      <c r="L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4">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4">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4">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4">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4">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4">
        <f>IFERROR(B18/B$19,0)</f>
        <v/>
      </c>
    </row>
    <row r="19" ht="10" customHeight="1">
      <c r="A19" s="86" t="inlineStr">
        <is>
          <t>MRO TAM</t>
        </is>
      </c>
      <c r="B19" s="87">
        <f>SUM(B13:B18)</f>
        <v/>
      </c>
      <c r="C19" s="95" t="n">
        <v>1</v>
      </c>
    </row>
    <row r="20" ht="10" customHeight="1"/>
    <row r="21" ht="10" customHeight="1">
      <c r="A21" s="81" t="inlineStr">
        <is>
          <t>(C) MRO TAM by Vessel Type</t>
        </is>
      </c>
      <c r="B21" s="82" t="n"/>
      <c r="C21" s="82" t="n"/>
      <c r="D21" s="82" t="n"/>
      <c r="E21" s="82" t="n"/>
      <c r="F21" s="82" t="n"/>
      <c r="G21" s="82" t="n"/>
      <c r="H21" s="82" t="n"/>
      <c r="I21" s="82" t="n"/>
      <c r="J21" s="82" t="n"/>
      <c r="K21" s="82" t="n"/>
      <c r="L21" s="82" t="n"/>
    </row>
    <row r="22" ht="10" customHeight="1">
      <c r="B22" s="93" t="inlineStr">
        <is>
          <t>USN</t>
        </is>
      </c>
      <c r="W22" s="93" t="inlineStr">
        <is>
          <t>USCG</t>
        </is>
      </c>
    </row>
    <row r="23" ht="10" customHeight="1">
      <c r="A23" s="83" t="inlineStr">
        <is>
          <t>Vessel Type</t>
        </is>
      </c>
      <c r="B23" s="83" t="inlineStr">
        <is>
          <t>Service</t>
        </is>
      </c>
      <c r="C23" s="83" t="inlineStr">
        <is>
          <t>FY2026 ($K)</t>
        </is>
      </c>
      <c r="D23" s="83" t="inlineStr">
        <is>
          <t>% of TAM</t>
        </is>
      </c>
    </row>
    <row r="24" ht="10" customHeight="1">
      <c r="A24" s="84" t="inlineStr">
        <is>
          <t>Submarines</t>
        </is>
      </c>
      <c r="B24" s="84" t="inlineStr">
        <is>
          <t>USN</t>
        </is>
      </c>
      <c r="C24"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4" s="94">
        <f>IFERROR(C24/C$52,0)</f>
        <v/>
      </c>
    </row>
    <row r="25" ht="10" customHeight="1">
      <c r="A25" s="84" t="inlineStr">
        <is>
          <t>Surface Combatants</t>
        </is>
      </c>
      <c r="B25" s="84" t="inlineStr">
        <is>
          <t>USN</t>
        </is>
      </c>
      <c r="C2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5" s="94">
        <f>IFERROR(C25/C$52,0)</f>
        <v/>
      </c>
    </row>
    <row r="26" ht="10" customHeight="1">
      <c r="A26" s="84" t="inlineStr">
        <is>
          <t>Aircraft Carriers</t>
        </is>
      </c>
      <c r="B26" s="84" t="inlineStr">
        <is>
          <t>USN</t>
        </is>
      </c>
      <c r="C26"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6" s="94">
        <f>IFERROR(C26/C$52,0)</f>
        <v/>
      </c>
    </row>
    <row r="27" ht="10" customHeight="1">
      <c r="A27" s="84" t="inlineStr">
        <is>
          <t>Amphibious Warfare Ships</t>
        </is>
      </c>
      <c r="B27" s="84" t="inlineStr">
        <is>
          <t>USN</t>
        </is>
      </c>
      <c r="C27"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7" s="94">
        <f>IFERROR(C27/C$52,0)</f>
        <v/>
      </c>
    </row>
    <row r="28" ht="10" customHeight="1">
      <c r="A28" s="84" t="inlineStr">
        <is>
          <t>Expeditionary &amp; Seabasing Ships</t>
        </is>
      </c>
      <c r="B28" s="84" t="inlineStr">
        <is>
          <t>USN</t>
        </is>
      </c>
      <c r="C2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8" s="94">
        <f>IFERROR(C28/C$52,0)</f>
        <v/>
      </c>
    </row>
    <row r="29" ht="10" customHeight="1">
      <c r="A29" s="84" t="inlineStr">
        <is>
          <t>Command Ships</t>
        </is>
      </c>
      <c r="B29" s="84" t="inlineStr">
        <is>
          <t>USN</t>
        </is>
      </c>
      <c r="C2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9" s="94">
        <f>IFERROR(C29/C$52,0)</f>
        <v/>
      </c>
    </row>
    <row r="30" ht="10" customHeight="1">
      <c r="A30" s="84" t="inlineStr">
        <is>
          <t>Surveillance Ships</t>
        </is>
      </c>
      <c r="B30" s="84" t="inlineStr">
        <is>
          <t>USN</t>
        </is>
      </c>
      <c r="C30"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0" s="94">
        <f>IFERROR(C30/C$52,0)</f>
        <v/>
      </c>
    </row>
    <row r="31" ht="10" customHeight="1">
      <c r="A31" s="84" t="inlineStr">
        <is>
          <t>Mine Warfare</t>
        </is>
      </c>
      <c r="B31" s="84" t="inlineStr">
        <is>
          <t>USN</t>
        </is>
      </c>
      <c r="C31"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1" s="94">
        <f>IFERROR(C31/C$52,0)</f>
        <v/>
      </c>
    </row>
    <row r="32" ht="10" customHeight="1">
      <c r="A32" s="84" t="inlineStr">
        <is>
          <t>Aviation Logistics Support Ship</t>
        </is>
      </c>
      <c r="B32" s="84" t="inlineStr">
        <is>
          <t>USN</t>
        </is>
      </c>
      <c r="C32"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2" s="94">
        <f>IFERROR(C32/C$52,0)</f>
        <v/>
      </c>
    </row>
    <row r="33" ht="10" customHeight="1">
      <c r="A33" s="84" t="inlineStr">
        <is>
          <t>High Speed Transport</t>
        </is>
      </c>
      <c r="B33" s="84" t="inlineStr">
        <is>
          <t>USN</t>
        </is>
      </c>
      <c r="C3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3" s="94">
        <f>IFERROR(C33/C$52,0)</f>
        <v/>
      </c>
    </row>
    <row r="34" ht="10" customHeight="1">
      <c r="A34" s="84" t="inlineStr">
        <is>
          <t>Cargo &amp; Vehicle Cargo Ships</t>
        </is>
      </c>
      <c r="B34" s="84" t="inlineStr">
        <is>
          <t>USN</t>
        </is>
      </c>
      <c r="C34"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4" s="94">
        <f>IFERROR(C34/C$52,0)</f>
        <v/>
      </c>
    </row>
    <row r="35" ht="10" customHeight="1">
      <c r="A35" s="84" t="inlineStr">
        <is>
          <t>Hospital Ship</t>
        </is>
      </c>
      <c r="B35" s="84" t="inlineStr">
        <is>
          <t>MSC</t>
        </is>
      </c>
      <c r="C35"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5" s="94">
        <f>IFERROR(C35/C$52,0)</f>
        <v/>
      </c>
    </row>
    <row r="36" ht="10" customHeight="1">
      <c r="A36" s="84" t="inlineStr">
        <is>
          <t>Crane Ship</t>
        </is>
      </c>
      <c r="B36" s="84" t="inlineStr">
        <is>
          <t>USN</t>
        </is>
      </c>
      <c r="C36"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6" s="94">
        <f>IFERROR(C36/C$52,0)</f>
        <v/>
      </c>
    </row>
    <row r="37" ht="10" customHeight="1">
      <c r="A37" s="84" t="inlineStr">
        <is>
          <t>General Auxiliary</t>
        </is>
      </c>
      <c r="B37" s="84" t="inlineStr">
        <is>
          <t>USN</t>
        </is>
      </c>
      <c r="C37"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7" s="94">
        <f>IFERROR(C37/C$52,0)</f>
        <v/>
      </c>
    </row>
    <row r="38" ht="10" customHeight="1">
      <c r="A38" s="84" t="inlineStr">
        <is>
          <t>Unmanned Undersea Vehicles</t>
        </is>
      </c>
      <c r="B38" s="84" t="inlineStr">
        <is>
          <t>USN</t>
        </is>
      </c>
      <c r="C3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8" s="94">
        <f>IFERROR(C38/C$52,0)</f>
        <v/>
      </c>
    </row>
    <row r="39" ht="10" customHeight="1">
      <c r="A39" s="84" t="inlineStr">
        <is>
          <t>Submarine Escort Ship</t>
        </is>
      </c>
      <c r="B39" s="84" t="inlineStr">
        <is>
          <t>USN</t>
        </is>
      </c>
      <c r="C39"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9" s="94">
        <f>IFERROR(C39/C$52,0)</f>
        <v/>
      </c>
    </row>
    <row r="40" ht="10" customHeight="1">
      <c r="A40" s="84" t="inlineStr">
        <is>
          <t>Combat Logistics Ships</t>
        </is>
      </c>
      <c r="B40" s="84" t="inlineStr">
        <is>
          <t>MSC</t>
        </is>
      </c>
      <c r="C40"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0" s="94">
        <f>IFERROR(C40/C$52,0)</f>
        <v/>
      </c>
    </row>
    <row r="41" ht="10" customHeight="1">
      <c r="A41" s="84" t="inlineStr">
        <is>
          <t>Research, Survey &amp; Instrumentation Ships</t>
        </is>
      </c>
      <c r="B41" s="84" t="inlineStr">
        <is>
          <t>MSC</t>
        </is>
      </c>
      <c r="C41"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1" s="94">
        <f>IFERROR(C41/C$52,0)</f>
        <v/>
      </c>
    </row>
    <row r="42" ht="10" customHeight="1">
      <c r="A42" s="84" t="inlineStr">
        <is>
          <t>Unmanned Surface Vehicles</t>
        </is>
      </c>
      <c r="B42" s="84" t="inlineStr">
        <is>
          <t>USN</t>
        </is>
      </c>
      <c r="C42"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2" s="94">
        <f>IFERROR(C42/C$52,0)</f>
        <v/>
      </c>
    </row>
    <row r="43" ht="10" customHeight="1">
      <c r="A43" s="84" t="inlineStr">
        <is>
          <t>Salvage Ships &amp; Fleet Ocean Tugs</t>
        </is>
      </c>
      <c r="B43" s="84" t="inlineStr">
        <is>
          <t>MSC</t>
        </is>
      </c>
      <c r="C43"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3" s="94">
        <f>IFERROR(C43/C$52,0)</f>
        <v/>
      </c>
    </row>
    <row r="44" ht="10" customHeight="1">
      <c r="A44" s="84" t="inlineStr">
        <is>
          <t>Material Support Ships</t>
        </is>
      </c>
      <c r="B44" s="84" t="inlineStr">
        <is>
          <t>USN</t>
        </is>
      </c>
      <c r="C44"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4" s="94">
        <f>IFERROR(C44/C$52,0)</f>
        <v/>
      </c>
    </row>
    <row r="45" ht="10" customHeight="1">
      <c r="A45" s="84" t="inlineStr">
        <is>
          <t>National Security Cutters</t>
        </is>
      </c>
      <c r="B45" s="84" t="inlineStr">
        <is>
          <t>USCG</t>
        </is>
      </c>
      <c r="C45"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5" s="94">
        <f>IFERROR(C45/C$52,0)</f>
        <v/>
      </c>
    </row>
    <row r="46" ht="10" customHeight="1">
      <c r="A46" s="84" t="inlineStr">
        <is>
          <t>Coastal Buoy Tenders</t>
        </is>
      </c>
      <c r="B46" s="84" t="inlineStr">
        <is>
          <t>USCG</t>
        </is>
      </c>
      <c r="C46"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6" s="94">
        <f>IFERROR(C46/C$52,0)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4">
        <f>IFERROR(C47/C$52,0)</f>
        <v/>
      </c>
    </row>
    <row r="48" ht="10" customHeight="1">
      <c r="A48" s="84" t="inlineStr">
        <is>
          <t>Icebreakers, Great Lakes</t>
        </is>
      </c>
      <c r="B48" s="84" t="inlineStr">
        <is>
          <t>USCG</t>
        </is>
      </c>
      <c r="C4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8" s="94">
        <f>IFERROR(C48/C$52,0)</f>
        <v/>
      </c>
    </row>
    <row r="49" ht="10" customHeight="1">
      <c r="A49" s="84" t="inlineStr">
        <is>
          <t>Waterways Commerce Cutters</t>
        </is>
      </c>
      <c r="B49" s="84" t="inlineStr">
        <is>
          <t>USCG</t>
        </is>
      </c>
      <c r="C49"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9" s="94">
        <f>IFERROR(C49/C$52,0)</f>
        <v/>
      </c>
    </row>
    <row r="50" ht="10" customHeight="1">
      <c r="A50" s="84" t="inlineStr">
        <is>
          <t>Fast Response Cutters</t>
        </is>
      </c>
      <c r="B50" s="84" t="inlineStr">
        <is>
          <t>USCG</t>
        </is>
      </c>
      <c r="C50"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0" s="94">
        <f>IFERROR(C50/C$52,0)</f>
        <v/>
      </c>
    </row>
    <row r="51" ht="10" customHeight="1">
      <c r="A51" s="84" t="inlineStr">
        <is>
          <t>Icebreakers, Oceangoing</t>
        </is>
      </c>
      <c r="B51" s="84" t="inlineStr">
        <is>
          <t>USCG</t>
        </is>
      </c>
      <c r="C51"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1" s="94">
        <f>IFERROR(C51/C$52,0)</f>
        <v/>
      </c>
    </row>
    <row r="52" ht="10" customHeight="1">
      <c r="A52" s="86" t="inlineStr">
        <is>
          <t>MRO TAM</t>
        </is>
      </c>
      <c r="B52" s="86" t="inlineStr"/>
      <c r="C52" s="87">
        <f>SUM(C24:C51)</f>
        <v/>
      </c>
      <c r="D52" s="95" t="n">
        <v>1</v>
      </c>
    </row>
    <row r="53" ht="10" customHeight="1"/>
    <row r="54" ht="10" customHeight="1">
      <c r="A54" s="81" t="inlineStr">
        <is>
          <t>(D) MRO TAM — Work Type by Vessel Type (Mekko)</t>
        </is>
      </c>
      <c r="B54" s="82" t="n"/>
      <c r="C54" s="82" t="n"/>
      <c r="D54" s="82" t="n"/>
      <c r="E54" s="82" t="n"/>
      <c r="F54" s="82" t="n"/>
      <c r="G54" s="82" t="n"/>
      <c r="H54" s="82" t="n"/>
      <c r="I54" s="82" t="n"/>
      <c r="J54" s="82" t="n"/>
      <c r="K54" s="82" t="n"/>
      <c r="L54" s="82" t="n"/>
    </row>
    <row r="55" ht="10" customHeight="1">
      <c r="B55" s="93" t="inlineStr">
        <is>
          <t>USN</t>
        </is>
      </c>
      <c r="J55" s="93" t="inlineStr">
        <is>
          <t>USCG</t>
        </is>
      </c>
    </row>
    <row r="56" ht="10" customHeight="1">
      <c r="A56" s="83" t="inlineStr">
        <is>
          <t>Work Type</t>
        </is>
      </c>
      <c r="B56" s="83" t="inlineStr">
        <is>
          <t>Submarines</t>
        </is>
      </c>
      <c r="C56" s="83" t="inlineStr">
        <is>
          <t>Surface Combatants</t>
        </is>
      </c>
      <c r="D56" s="83" t="inlineStr">
        <is>
          <t>Aircraft Carriers</t>
        </is>
      </c>
      <c r="E56" s="83" t="inlineStr">
        <is>
          <t>Amphibious Warfare Ships</t>
        </is>
      </c>
      <c r="F56" s="83" t="inlineStr">
        <is>
          <t>Expeditionary &amp; Seabasing Ships</t>
        </is>
      </c>
      <c r="G56" s="83" t="inlineStr">
        <is>
          <t>Command Ships</t>
        </is>
      </c>
      <c r="H56" s="83" t="inlineStr">
        <is>
          <t>Surveillance Ships</t>
        </is>
      </c>
      <c r="I56" s="83" t="inlineStr">
        <is>
          <t>Mine Warfare</t>
        </is>
      </c>
      <c r="J56" s="83" t="inlineStr">
        <is>
          <t>National Security Cutters</t>
        </is>
      </c>
      <c r="K56" s="83" t="inlineStr">
        <is>
          <t>Total</t>
        </is>
      </c>
    </row>
    <row r="57" ht="10" customHeight="1">
      <c r="A57" s="84" t="inlineStr">
        <is>
          <t>Scheduled Depot Maintenance</t>
        </is>
      </c>
      <c r="B57" s="94">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$63,0)</f>
        <v/>
      </c>
      <c r="C57" s="9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Combatants",JB_S,"[PARENT]",JB_R,"",JB_N,""))/C$63,0)</f>
        <v/>
      </c>
      <c r="D57" s="94">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Carriers",JB_S,"[PARENT]",JB_R,"",JB_N,""))/D$63,0)</f>
        <v/>
      </c>
      <c r="E57" s="9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Ships",JB_S,"[PARENT]",JB_R,"",JB_N,""))/E$63,0)</f>
        <v/>
      </c>
      <c r="F57" s="9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Ships",JB_S,"[PARENT]",JB_R,"",JB_N,""))/F$63,0)</f>
        <v/>
      </c>
      <c r="G57" s="9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Ships",JB_S,"[PARENT]",JB_R,"",JB_N,""))/G$63,0)</f>
        <v/>
      </c>
      <c r="H57" s="9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Ships",JB_S,"[PARENT]",JB_R,"",JB_N,""))/H$63,0)</f>
        <v/>
      </c>
      <c r="I57" s="9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Warfare",JB_S,"[PARENT]",JB_R,"",JB_N,""))/I$63,0)</f>
        <v/>
      </c>
      <c r="J57" s="9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Cutters",JB_S,"[PARENT]",JB_R,"",JB_N,""))/J$63,0)</f>
        <v/>
      </c>
      <c r="K57" s="94">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Platforms",JB_S,"[PARENT]",JB_R,"",JB_N,""))/K$63,0)</f>
        <v/>
      </c>
    </row>
    <row r="58" ht="10" customHeight="1">
      <c r="A58" s="84" t="inlineStr">
        <is>
          <t>Continuous / Emergent Maintenance</t>
        </is>
      </c>
      <c r="B58" s="94">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$63,0)</f>
        <v/>
      </c>
      <c r="C58" s="94">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Combatants",JB_S,"[PARENT]",JB_R,"",JB_N,""))/C$63,0)</f>
        <v/>
      </c>
      <c r="D58" s="94">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Carriers",JB_S,"[PARENT]",JB_R,"",JB_N,""))/D$63,0)</f>
        <v/>
      </c>
      <c r="E58" s="94">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Ships",JB_S,"[PARENT]",JB_R,"",JB_N,""))/E$63,0)</f>
        <v/>
      </c>
      <c r="F58" s="94">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Ships",JB_S,"[PARENT]",JB_R,"",JB_N,""))/F$63,0)</f>
        <v/>
      </c>
      <c r="G58" s="94">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Ships",JB_S,"[PARENT]",JB_R,"",JB_N,""))/G$63,0)</f>
        <v/>
      </c>
      <c r="H58" s="94">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Ships",JB_S,"[PARENT]",JB_R,"",JB_N,""))/H$63,0)</f>
        <v/>
      </c>
      <c r="I58" s="94">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Warfare",JB_S,"[PARENT]",JB_R,"",JB_N,""))/I$63,0)</f>
        <v/>
      </c>
      <c r="J58" s="94">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Cutters",JB_S,"[PARENT]",JB_R,"",JB_N,""))/J$63,0)</f>
        <v/>
      </c>
      <c r="K58" s="94">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Platforms",JB_S,"[PARENT]",JB_R,"",JB_N,""))/K$63,0)</f>
        <v/>
      </c>
    </row>
    <row r="59" ht="10" customHeight="1">
      <c r="A59" s="84" t="inlineStr">
        <is>
          <t>Modernization</t>
        </is>
      </c>
      <c r="B59" s="94">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$63,0)</f>
        <v/>
      </c>
      <c r="C59" s="9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Combatants",JB_S,"[PARENT]",JB_R,"",JB_N,""))/C$63,0)</f>
        <v/>
      </c>
      <c r="D59" s="94">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Carriers",JB_S,"[PARENT]",JB_R,"",JB_N,""))/D$63,0)</f>
        <v/>
      </c>
      <c r="E59" s="9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Ships",JB_S,"[PARENT]",JB_R,"",JB_N,""))/E$63,0)</f>
        <v/>
      </c>
      <c r="F59" s="9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Ships",JB_S,"[PARENT]",JB_R,"",JB_N,""))/F$63,0)</f>
        <v/>
      </c>
      <c r="G59" s="9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Ships",JB_S,"[PARENT]",JB_R,"",JB_N,""))/G$63,0)</f>
        <v/>
      </c>
      <c r="H59" s="9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Ships",JB_S,"[PARENT]",JB_R,"",JB_N,""))/H$63,0)</f>
        <v/>
      </c>
      <c r="I59" s="9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Warfare",JB_S,"[PARENT]",JB_R,"",JB_N,""))/I$63,0)</f>
        <v/>
      </c>
      <c r="J59" s="9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Cutters",JB_S,"[PARENT]",JB_R,"",JB_N,""))/J$63,0)</f>
        <v/>
      </c>
      <c r="K59" s="94">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Platforms",JB_S,"[PARENT]",JB_R,"",JB_N,""))/K$63,0)</f>
        <v/>
      </c>
    </row>
    <row r="60" ht="10" customHeight="1">
      <c r="A60" s="84" t="inlineStr">
        <is>
          <t>Major Life-Cycle Events / RCOH</t>
        </is>
      </c>
      <c r="B60" s="94">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$63,0)</f>
        <v/>
      </c>
      <c r="C60" s="94">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Combatants",JB_S,"[PARENT]",JB_R,"",JB_N,""))/C$63,0)</f>
        <v/>
      </c>
      <c r="D60" s="94">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Carriers",JB_S,"[PARENT]",JB_R,"",JB_N,""))/D$63,0)</f>
        <v/>
      </c>
      <c r="E60" s="94">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Ships",JB_S,"[PARENT]",JB_R,"",JB_N,""))/E$63,0)</f>
        <v/>
      </c>
      <c r="F60" s="94">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Ships",JB_S,"[PARENT]",JB_R,"",JB_N,""))/F$63,0)</f>
        <v/>
      </c>
      <c r="G60" s="94">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Ships",JB_S,"[PARENT]",JB_R,"",JB_N,""))/G$63,0)</f>
        <v/>
      </c>
      <c r="H60" s="94">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Ships",JB_S,"[PARENT]",JB_R,"",JB_N,""))/H$63,0)</f>
        <v/>
      </c>
      <c r="I60" s="94">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Warfare",JB_S,"[PARENT]",JB_R,"",JB_N,""))/I$63,0)</f>
        <v/>
      </c>
      <c r="J60" s="94">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Cutters",JB_S,"[PARENT]",JB_R,"",JB_N,""))/J$63,0)</f>
        <v/>
      </c>
      <c r="K60" s="94">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Platforms",JB_S,"[PARENT]",JB_R,"",JB_N,""))/K$63,0)</f>
        <v/>
      </c>
    </row>
    <row r="61" ht="10" customHeight="1">
      <c r="A61" s="84" t="inlineStr">
        <is>
          <t>Sustainment Engineering</t>
        </is>
      </c>
      <c r="B61" s="94">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$63,0)</f>
        <v/>
      </c>
      <c r="C61" s="94">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Combatants",JB_S,"[PARENT]",JB_R,"",JB_N,""))/C$63,0)</f>
        <v/>
      </c>
      <c r="D61" s="94">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Carriers",JB_S,"[PARENT]",JB_R,"",JB_N,""))/D$63,0)</f>
        <v/>
      </c>
      <c r="E61" s="94">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Ships",JB_S,"[PARENT]",JB_R,"",JB_N,""))/E$63,0)</f>
        <v/>
      </c>
      <c r="F61" s="94">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Ships",JB_S,"[PARENT]",JB_R,"",JB_N,""))/F$63,0)</f>
        <v/>
      </c>
      <c r="G61" s="94">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Ships",JB_S,"[PARENT]",JB_R,"",JB_N,""))/G$63,0)</f>
        <v/>
      </c>
      <c r="H61" s="94">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Ships",JB_S,"[PARENT]",JB_R,"",JB_N,""))/H$63,0)</f>
        <v/>
      </c>
      <c r="I61" s="94">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Warfare",JB_S,"[PARENT]",JB_R,"",JB_N,""))/I$63,0)</f>
        <v/>
      </c>
      <c r="J61" s="94">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Cutters",JB_S,"[PARENT]",JB_R,"",JB_N,""))/J$63,0)</f>
        <v/>
      </c>
      <c r="K61" s="94">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Platforms",JB_S,"[PARENT]",JB_R,"",JB_N,""))/K$63,0)</f>
        <v/>
      </c>
    </row>
    <row r="62" ht="10" customHeight="1">
      <c r="A62" s="84" t="inlineStr">
        <is>
          <t>Availability Support</t>
        </is>
      </c>
      <c r="B62" s="94">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$63,0)</f>
        <v/>
      </c>
      <c r="C62" s="94">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Combatants",JB_S,"[PARENT]",JB_R,"",JB_N,""))/C$63,0)</f>
        <v/>
      </c>
      <c r="D62" s="94">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Carriers",JB_S,"[PARENT]",JB_R,"",JB_N,""))/D$63,0)</f>
        <v/>
      </c>
      <c r="E62" s="94">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Ships",JB_S,"[PARENT]",JB_R,"",JB_N,""))/E$63,0)</f>
        <v/>
      </c>
      <c r="F62" s="94">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Ships",JB_S,"[PARENT]",JB_R,"",JB_N,""))/F$63,0)</f>
        <v/>
      </c>
      <c r="G62" s="94">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Ships",JB_S,"[PARENT]",JB_R,"",JB_N,""))/G$63,0)</f>
        <v/>
      </c>
      <c r="H62" s="94">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Ships",JB_S,"[PARENT]",JB_R,"",JB_N,""))/H$63,0)</f>
        <v/>
      </c>
      <c r="I62" s="94">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Warfare",JB_S,"[PARENT]",JB_R,"",JB_N,""))/I$63,0)</f>
        <v/>
      </c>
      <c r="J62" s="94">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Cutters",JB_S,"[PARENT]",JB_R,"",JB_N,""))/J$63,0)</f>
        <v/>
      </c>
      <c r="K62" s="94">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Platforms",JB_S,"[PARENT]",JB_R,"",JB_N,""))/K$63,0)</f>
        <v/>
      </c>
    </row>
    <row r="63" ht="10" customHeight="1">
      <c r="A63" s="86" t="inlineStr">
        <is>
          <t>Total ($K)</t>
        </is>
      </c>
      <c r="B63"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3"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3"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3"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3"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3"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3"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3"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3"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3" s="87">
        <f>SUM(B63:J63)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c r="G4" s="82" t="n"/>
      <c r="H4" s="82" t="n"/>
      <c r="I4" s="82" t="n"/>
      <c r="J4" s="82" t="n"/>
    </row>
    <row r="5" ht="10" customHeight="1">
      <c r="A5" s="84" t="inlineStr">
        <is>
          <t>MRO TAM</t>
        </is>
      </c>
      <c r="B5" s="96">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91" t="inlineStr">
        <is>
          <t>MRO SAM</t>
        </is>
      </c>
      <c r="B10" s="9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c r="G12" s="82" t="n"/>
      <c r="H12" s="82" t="n"/>
      <c r="I12" s="82" t="n"/>
      <c r="J12" s="82" t="n"/>
    </row>
    <row r="13" ht="10" customHeight="1">
      <c r="B13" s="93" t="inlineStr">
        <is>
          <t>USN</t>
        </is>
      </c>
      <c r="T13" s="93" t="inlineStr">
        <is>
          <t>USCG</t>
        </is>
      </c>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4">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4">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4">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4">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4">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4">
        <f>IFERROR(E20/E$40,0)</f>
        <v/>
      </c>
    </row>
    <row r="21" ht="10" customHeight="1">
      <c r="A21" s="84" t="inlineStr">
        <is>
          <t>Submarine Escort Ship</t>
        </is>
      </c>
      <c r="B21" s="84" t="inlineStr">
        <is>
          <t>USN</t>
        </is>
      </c>
      <c r="C2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1" s="85">
        <f>C21+D21</f>
        <v/>
      </c>
      <c r="F21" s="94">
        <f>IFERROR(E21/E$40,0)</f>
        <v/>
      </c>
    </row>
    <row r="22" ht="10" customHeight="1">
      <c r="A22" s="84" t="inlineStr">
        <is>
          <t>Aviation Logistics Support Ship</t>
        </is>
      </c>
      <c r="B22" s="84" t="inlineStr">
        <is>
          <t>USN</t>
        </is>
      </c>
      <c r="C22"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2"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2" s="85">
        <f>C22+D22</f>
        <v/>
      </c>
      <c r="F22" s="94">
        <f>IFERROR(E22/E$40,0)</f>
        <v/>
      </c>
    </row>
    <row r="23" ht="10" customHeight="1">
      <c r="A23" s="84" t="inlineStr">
        <is>
          <t>High Speed Transport</t>
        </is>
      </c>
      <c r="B23" s="84" t="inlineStr">
        <is>
          <t>USN</t>
        </is>
      </c>
      <c r="C2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3"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3" s="85">
        <f>C23+D23</f>
        <v/>
      </c>
      <c r="F23" s="94">
        <f>IFERROR(E23/E$40,0)</f>
        <v/>
      </c>
    </row>
    <row r="24" ht="10" customHeight="1">
      <c r="A24" s="84" t="inlineStr">
        <is>
          <t>Combat Logistics Ships</t>
        </is>
      </c>
      <c r="B24" s="84" t="inlineStr">
        <is>
          <t>MSC</t>
        </is>
      </c>
      <c r="C24"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4"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4" s="85">
        <f>C24+D24</f>
        <v/>
      </c>
      <c r="F24" s="94">
        <f>IFERROR(E24/E$40,0)</f>
        <v/>
      </c>
    </row>
    <row r="25" ht="10" customHeight="1">
      <c r="A25" s="84" t="inlineStr">
        <is>
          <t>Cargo &amp; Vehicle Cargo Ships</t>
        </is>
      </c>
      <c r="B25" s="84" t="inlineStr">
        <is>
          <t>USN</t>
        </is>
      </c>
      <c r="C25"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5"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5" s="85">
        <f>C25+D25</f>
        <v/>
      </c>
      <c r="F25" s="94">
        <f>IFERROR(E25/E$40,0)</f>
        <v/>
      </c>
    </row>
    <row r="26" ht="10" customHeight="1">
      <c r="A26" s="84" t="inlineStr">
        <is>
          <t>Hospital Ship</t>
        </is>
      </c>
      <c r="B26" s="84" t="inlineStr">
        <is>
          <t>MSC</t>
        </is>
      </c>
      <c r="C26"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6"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6" s="85">
        <f>C26+D26</f>
        <v/>
      </c>
      <c r="F26" s="94">
        <f>IFERROR(E26/E$40,0)</f>
        <v/>
      </c>
    </row>
    <row r="27" ht="10" customHeight="1">
      <c r="A27" s="84" t="inlineStr">
        <is>
          <t>Research, Survey &amp; Instrumentation Ships</t>
        </is>
      </c>
      <c r="B27" s="84" t="inlineStr">
        <is>
          <t>MSC</t>
        </is>
      </c>
      <c r="C27"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7"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7" s="85">
        <f>C27+D27</f>
        <v/>
      </c>
      <c r="F27" s="94">
        <f>IFERROR(E27/E$40,0)</f>
        <v/>
      </c>
    </row>
    <row r="28" ht="10" customHeight="1">
      <c r="A28" s="84" t="inlineStr">
        <is>
          <t>Unmanned Surface Vehicles</t>
        </is>
      </c>
      <c r="B28" s="84" t="inlineStr">
        <is>
          <t>USN</t>
        </is>
      </c>
      <c r="C28"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8"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8" s="85">
        <f>C28+D28</f>
        <v/>
      </c>
      <c r="F28" s="94">
        <f>IFERROR(E28/E$40,0)</f>
        <v/>
      </c>
    </row>
    <row r="29" ht="10" customHeight="1">
      <c r="A29" s="84" t="inlineStr">
        <is>
          <t>Salvage Ships &amp; Fleet Ocean Tugs</t>
        </is>
      </c>
      <c r="B29" s="84" t="inlineStr">
        <is>
          <t>MSC</t>
        </is>
      </c>
      <c r="C29"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9"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9" s="85">
        <f>C29+D29</f>
        <v/>
      </c>
      <c r="F29" s="94">
        <f>IFERROR(E29/E$40,0)</f>
        <v/>
      </c>
    </row>
    <row r="30" ht="10" customHeight="1">
      <c r="A30" s="84" t="inlineStr">
        <is>
          <t>Material Support Ships</t>
        </is>
      </c>
      <c r="B30" s="84" t="inlineStr">
        <is>
          <t>USN</t>
        </is>
      </c>
      <c r="C30"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30"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30" s="85">
        <f>C30+D30</f>
        <v/>
      </c>
      <c r="F30" s="94">
        <f>IFERROR(E30/E$40,0)</f>
        <v/>
      </c>
    </row>
    <row r="31" ht="10" customHeight="1">
      <c r="A31" s="84" t="inlineStr">
        <is>
          <t>Crane Ship</t>
        </is>
      </c>
      <c r="B31" s="84" t="inlineStr">
        <is>
          <t>USN</t>
        </is>
      </c>
      <c r="C31"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1"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1" s="85">
        <f>C31+D31</f>
        <v/>
      </c>
      <c r="F31" s="94">
        <f>IFERROR(E31/E$40,0)</f>
        <v/>
      </c>
    </row>
    <row r="32" ht="10" customHeight="1">
      <c r="A32" s="84" t="inlineStr">
        <is>
          <t>General Auxiliary</t>
        </is>
      </c>
      <c r="B32" s="84" t="inlineStr">
        <is>
          <t>USN</t>
        </is>
      </c>
      <c r="C3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2" s="85">
        <f>C32+D32</f>
        <v/>
      </c>
      <c r="F32" s="94">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4">
        <f>IFERROR(E33/E$40,0)</f>
        <v/>
      </c>
    </row>
    <row r="34" ht="10" customHeight="1">
      <c r="A34" s="84" t="inlineStr">
        <is>
          <t>Coastal Buoy Tenders</t>
        </is>
      </c>
      <c r="B34" s="84" t="inlineStr">
        <is>
          <t>USCG</t>
        </is>
      </c>
      <c r="C34"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4"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4" s="85">
        <f>C34+D34</f>
        <v/>
      </c>
      <c r="F34" s="94">
        <f>IFERROR(E34/E$40,0)</f>
        <v/>
      </c>
    </row>
    <row r="35" ht="10" customHeight="1">
      <c r="A35" s="84" t="inlineStr">
        <is>
          <t>Offshore Patrol Cutter</t>
        </is>
      </c>
      <c r="B35" s="84" t="inlineStr">
        <is>
          <t>USCG</t>
        </is>
      </c>
      <c r="C35"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5"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5" s="85">
        <f>C35+D35</f>
        <v/>
      </c>
      <c r="F35" s="94">
        <f>IFERROR(E35/E$40,0)</f>
        <v/>
      </c>
    </row>
    <row r="36" ht="10" customHeight="1">
      <c r="A36" s="84" t="inlineStr">
        <is>
          <t>Icebreakers, Great Lakes</t>
        </is>
      </c>
      <c r="B36" s="84" t="inlineStr">
        <is>
          <t>USCG</t>
        </is>
      </c>
      <c r="C3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5">
        <f>C36+D36</f>
        <v/>
      </c>
      <c r="F36" s="94">
        <f>IFERROR(E36/E$40,0)</f>
        <v/>
      </c>
    </row>
    <row r="37" ht="10" customHeight="1">
      <c r="A37" s="84" t="inlineStr">
        <is>
          <t>Icebreakers, Oceangoing</t>
        </is>
      </c>
      <c r="B37" s="84" t="inlineStr">
        <is>
          <t>USCG</t>
        </is>
      </c>
      <c r="C37"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7"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7" s="85">
        <f>C37+D37</f>
        <v/>
      </c>
      <c r="F37" s="94">
        <f>IFERROR(E37/E$40,0)</f>
        <v/>
      </c>
    </row>
    <row r="38" ht="10" customHeight="1">
      <c r="A38" s="84" t="inlineStr">
        <is>
          <t>Waterways Commerce Cutters</t>
        </is>
      </c>
      <c r="B38" s="84" t="inlineStr">
        <is>
          <t>USCG</t>
        </is>
      </c>
      <c r="C38"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8"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8" s="85">
        <f>C38+D38</f>
        <v/>
      </c>
      <c r="F38" s="94">
        <f>IFERROR(E38/E$40,0)</f>
        <v/>
      </c>
    </row>
    <row r="39" ht="10" customHeight="1">
      <c r="A39" s="84" t="inlineStr">
        <is>
          <t>Fast Response Cutters</t>
        </is>
      </c>
      <c r="B39" s="84" t="inlineStr">
        <is>
          <t>USCG</t>
        </is>
      </c>
      <c r="C39"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9"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9" s="85">
        <f>C39+D39</f>
        <v/>
      </c>
      <c r="F39" s="94">
        <f>IFERROR(E39/E$40,0)</f>
        <v/>
      </c>
    </row>
    <row r="40" ht="10" customHeight="1">
      <c r="A40" s="86" t="inlineStr">
        <is>
          <t>MRO SAM</t>
        </is>
      </c>
      <c r="B40" s="86" t="inlineStr"/>
      <c r="C40" s="87">
        <f>SUM(C15:C39)</f>
        <v/>
      </c>
      <c r="D40" s="87">
        <f>SUM(D15:D39)</f>
        <v/>
      </c>
      <c r="E40" s="87">
        <f>SUM(E15:E39)</f>
        <v/>
      </c>
      <c r="F40" s="95" t="n">
        <v>1</v>
      </c>
    </row>
    <row r="41" ht="10" customHeight="1"/>
    <row r="42" ht="10" customHeight="1">
      <c r="A42" s="81" t="inlineStr">
        <is>
          <t>(C) MRO SAM — SDM vs Modernization by Vessel Type (Mekko)</t>
        </is>
      </c>
      <c r="B42" s="82" t="n"/>
      <c r="C42" s="82" t="n"/>
      <c r="D42" s="82" t="n"/>
      <c r="E42" s="82" t="n"/>
      <c r="F42" s="82" t="n"/>
      <c r="G42" s="82" t="n"/>
      <c r="H42" s="82" t="n"/>
      <c r="I42" s="82" t="n"/>
      <c r="J42" s="82" t="n"/>
    </row>
    <row r="43" ht="10" customHeight="1">
      <c r="B43" s="93" t="inlineStr">
        <is>
          <t>USN</t>
        </is>
      </c>
      <c r="H43" s="93" t="inlineStr">
        <is>
          <t>USCG</t>
        </is>
      </c>
    </row>
    <row r="44" ht="10" customHeight="1">
      <c r="A44" s="83" t="inlineStr">
        <is>
          <t>Work Type</t>
        </is>
      </c>
      <c r="B44" s="83" t="inlineStr">
        <is>
          <t>Surface Combatants</t>
        </is>
      </c>
      <c r="C44" s="83" t="inlineStr">
        <is>
          <t>Amphibious Warfare Ships</t>
        </is>
      </c>
      <c r="D44" s="83" t="inlineStr">
        <is>
          <t>Expeditionary &amp; Seabasing Ships</t>
        </is>
      </c>
      <c r="E44" s="83" t="inlineStr">
        <is>
          <t>Command Ships</t>
        </is>
      </c>
      <c r="F44" s="83" t="inlineStr">
        <is>
          <t>Surveillance Ships</t>
        </is>
      </c>
      <c r="G44" s="83" t="inlineStr">
        <is>
          <t>Mine Warfare</t>
        </is>
      </c>
      <c r="H44" s="83" t="inlineStr">
        <is>
          <t>National Security Cutters</t>
        </is>
      </c>
      <c r="I44" s="83" t="inlineStr">
        <is>
          <t>Total</t>
        </is>
      </c>
    </row>
    <row r="45" ht="10" customHeight="1">
      <c r="A45" s="84" t="inlineStr">
        <is>
          <t>Scheduled Depot Maintenance</t>
        </is>
      </c>
      <c r="B45" s="9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Combatants",JB_S,"[PARENT]",JB_R,"",JB_N,""))/B$47,0)</f>
        <v/>
      </c>
      <c r="C45" s="9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Ships",JB_S,"[PARENT]",JB_R,"",JB_N,""))/C$47,0)</f>
        <v/>
      </c>
      <c r="D45" s="9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Ships",JB_S,"[PARENT]",JB_R,"",JB_N,""))/D$47,0)</f>
        <v/>
      </c>
      <c r="E45" s="9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Ships",JB_S,"[PARENT]",JB_R,"",JB_N,""))/E$47,0)</f>
        <v/>
      </c>
      <c r="F45" s="9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Ships",JB_S,"[PARENT]",JB_R,"",JB_N,""))/F$47,0)</f>
        <v/>
      </c>
      <c r="G45" s="9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Warfare",JB_S,"[PARENT]",JB_R,"",JB_N,""))/G$47,0)</f>
        <v/>
      </c>
      <c r="H45" s="9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Cutters",JB_S,"[PARENT]",JB_R,"",JB_N,""))/H$47,0)</f>
        <v/>
      </c>
      <c r="I45" s="94">
        <f>IFERROR(1-I46,0)</f>
        <v/>
      </c>
    </row>
    <row r="46" ht="10" customHeight="1">
      <c r="A46" s="84" t="inlineStr">
        <is>
          <t>Modernization</t>
        </is>
      </c>
      <c r="B46" s="9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Combatants",JB_S,"[PARENT]",JB_R,"",JB_N,""))/B$47,0)</f>
        <v/>
      </c>
      <c r="C46" s="9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Ships",JB_S,"[PARENT]",JB_R,"",JB_N,""))/C$47,0)</f>
        <v/>
      </c>
      <c r="D46" s="9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Ships",JB_S,"[PARENT]",JB_R,"",JB_N,""))/D$47,0)</f>
        <v/>
      </c>
      <c r="E46" s="9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Ships",JB_S,"[PARENT]",JB_R,"",JB_N,""))/E$47,0)</f>
        <v/>
      </c>
      <c r="F46" s="9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Ships",JB_S,"[PARENT]",JB_R,"",JB_N,""))/F$47,0)</f>
        <v/>
      </c>
      <c r="G46" s="9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Warfare",JB_S,"[PARENT]",JB_R,"",JB_N,""))/G$47,0)</f>
        <v/>
      </c>
      <c r="H46" s="9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Cutters",JB_S,"[PARENT]",JB_R,"",JB_N,""))/H$47,0)</f>
        <v/>
      </c>
      <c r="I46" s="9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Cutters",JB_S,"[PARENT]",JB_R,"",JB_N,""))/I$47,0)</f>
        <v/>
      </c>
    </row>
    <row r="47" ht="10" customHeight="1">
      <c r="A47" s="86" t="inlineStr">
        <is>
          <t>Total ($K)</t>
        </is>
      </c>
      <c r="B47"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7"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7"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7"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7"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7"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7"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7" s="87">
        <f>SUM(B47:H47)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c r="C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8"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8"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8"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8"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8"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8"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8" t="inlineStr">
        <is>
          <t>No — under 65 ft</t>
        </is>
      </c>
    </row>
    <row r="24" ht="10" customHeight="1">
      <c r="A24" s="84" t="inlineStr">
        <is>
          <t>Unattributed (fleet-wide)</t>
        </is>
      </c>
      <c r="B24" s="85">
        <f>SUMIFS(JB_27U,JB_V,"",JB_S,"",JB_27U,"&lt;&gt;")+SUMIFS(JB_27S,JB_V,"",JB_S,"",JB_27U,"")+SUMIFS(JB_27U,JB_V,"",JB_S,"[PARENT]",JB_27U,"&lt;&gt;")+SUMIFS(JB_27S,JB_V,"",JB_S,"[PARENT]",JB_27U,"")</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FY2027 Total Funding by Source Book</t>
        </is>
      </c>
      <c r="B28" s="82" t="n"/>
      <c r="C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0"/>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91" t="inlineStr">
        <is>
          <t>Newbuild TAM</t>
        </is>
      </c>
      <c r="B9" s="9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row>
    <row r="12" ht="10" customHeight="1">
      <c r="B12" s="93" t="inlineStr">
        <is>
          <t>USN</t>
        </is>
      </c>
      <c r="W12" s="93" t="inlineStr">
        <is>
          <t>USCG</t>
        </is>
      </c>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4">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4">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4">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4">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4">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4">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4">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4">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4">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4">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4">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4">
        <f>IFERROR(C25/C$42,0)</f>
        <v/>
      </c>
    </row>
    <row r="26" ht="10" customHeight="1">
      <c r="A26" s="84" t="inlineStr">
        <is>
          <t>Aviation Logistics Support Ship</t>
        </is>
      </c>
      <c r="B26" s="84" t="inlineStr">
        <is>
          <t>USN</t>
        </is>
      </c>
      <c r="C26"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6" s="94">
        <f>IFERROR(C26/C$42,0)</f>
        <v/>
      </c>
    </row>
    <row r="27" ht="10" customHeight="1">
      <c r="A27" s="84" t="inlineStr">
        <is>
          <t>High Speed Transport</t>
        </is>
      </c>
      <c r="B27" s="84" t="inlineStr">
        <is>
          <t>USN</t>
        </is>
      </c>
      <c r="C27" s="85">
        <f>SUMIFS(JB_27U,JB_B,1,JB_W,"High Speed Transport",JB_S,"",JB_27U,"&lt;&gt;")+SUMIFS(JB_27S,JB_B,1,JB_W,"High Speed Transport",JB_S,"",JB_27U,"")+SUMIFS(JB_27U,JB_B,1,JB_W,"High Speed Transport",JB_S,"[PARENT]",JB_27U,"&lt;&gt;")+SUMIFS(JB_27S,JB_B,1,JB_W,"High Speed Transport",JB_S,"[PARENT]",JB_27U,"")</f>
        <v/>
      </c>
      <c r="D27" s="94">
        <f>IFERROR(C27/C$42,0)</f>
        <v/>
      </c>
    </row>
    <row r="28" ht="10" customHeight="1">
      <c r="A28" s="84" t="inlineStr">
        <is>
          <t>Command Ships</t>
        </is>
      </c>
      <c r="B28" s="84" t="inlineStr">
        <is>
          <t>USN</t>
        </is>
      </c>
      <c r="C28" s="85">
        <f>SUMIFS(JB_27U,JB_B,1,JB_W,"Command Ships",JB_S,"",JB_27U,"&lt;&gt;")+SUMIFS(JB_27S,JB_B,1,JB_W,"Command Ships",JB_S,"",JB_27U,"")+SUMIFS(JB_27U,JB_B,1,JB_W,"Command Ships",JB_S,"[PARENT]",JB_27U,"&lt;&gt;")+SUMIFS(JB_27S,JB_B,1,JB_W,"Command Ships",JB_S,"[PARENT]",JB_27U,"")</f>
        <v/>
      </c>
      <c r="D28" s="94">
        <f>IFERROR(C28/C$42,0)</f>
        <v/>
      </c>
    </row>
    <row r="29" ht="10" customHeight="1">
      <c r="A29" s="84" t="inlineStr">
        <is>
          <t>Crane Ship</t>
        </is>
      </c>
      <c r="B29" s="84" t="inlineStr">
        <is>
          <t>USN</t>
        </is>
      </c>
      <c r="C29" s="85">
        <f>SUMIFS(JB_27U,JB_B,1,JB_W,"Crane Ship",JB_S,"",JB_27U,"&lt;&gt;")+SUMIFS(JB_27S,JB_B,1,JB_W,"Crane Ship",JB_S,"",JB_27U,"")+SUMIFS(JB_27U,JB_B,1,JB_W,"Crane Ship",JB_S,"[PARENT]",JB_27U,"&lt;&gt;")+SUMIFS(JB_27S,JB_B,1,JB_W,"Crane Ship",JB_S,"[PARENT]",JB_27U,"")</f>
        <v/>
      </c>
      <c r="D29" s="94">
        <f>IFERROR(C29/C$42,0)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4">
        <f>IFERROR(C30/C$42,0)</f>
        <v/>
      </c>
    </row>
    <row r="31" ht="10" customHeight="1">
      <c r="A31" s="84" t="inlineStr">
        <is>
          <t>Mine Warfare</t>
        </is>
      </c>
      <c r="B31" s="84" t="inlineStr">
        <is>
          <t>USN</t>
        </is>
      </c>
      <c r="C31" s="85">
        <f>SUMIFS(JB_27U,JB_B,1,JB_W,"Mine Warfare",JB_S,"",JB_27U,"&lt;&gt;")+SUMIFS(JB_27S,JB_B,1,JB_W,"Mine Warfare",JB_S,"",JB_27U,"")+SUMIFS(JB_27U,JB_B,1,JB_W,"Mine Warfare",JB_S,"[PARENT]",JB_27U,"&lt;&gt;")+SUMIFS(JB_27S,JB_B,1,JB_W,"Mine Warfare",JB_S,"[PARENT]",JB_27U,"")</f>
        <v/>
      </c>
      <c r="D31" s="94">
        <f>IFERROR(C31/C$42,0)</f>
        <v/>
      </c>
    </row>
    <row r="32" ht="10" customHeight="1">
      <c r="A32" s="84" t="inlineStr">
        <is>
          <t>Submarine Escort Ship</t>
        </is>
      </c>
      <c r="B32" s="84" t="inlineStr">
        <is>
          <t>USN</t>
        </is>
      </c>
      <c r="C32" s="85">
        <f>SUMIFS(JB_27U,JB_B,1,JB_W,"Submarine Escort Ship",JB_S,"",JB_27U,"&lt;&gt;")+SUMIFS(JB_27S,JB_B,1,JB_W,"Submarine Escort Ship",JB_S,"",JB_27U,"")+SUMIFS(JB_27U,JB_B,1,JB_W,"Submarine Escort Ship",JB_S,"[PARENT]",JB_27U,"&lt;&gt;")+SUMIFS(JB_27S,JB_B,1,JB_W,"Submarine Escort Ship",JB_S,"[PARENT]",JB_27U,"")</f>
        <v/>
      </c>
      <c r="D32" s="94">
        <f>IFERROR(C32/C$42,0)</f>
        <v/>
      </c>
    </row>
    <row r="33" ht="10" customHeight="1">
      <c r="A33" s="84" t="inlineStr">
        <is>
          <t>Research, Survey &amp; Instrumentation Ships</t>
        </is>
      </c>
      <c r="B33" s="84" t="inlineStr">
        <is>
          <t>MSC</t>
        </is>
      </c>
      <c r="C33"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3" s="94">
        <f>IFERROR(C33/C$42,0)</f>
        <v/>
      </c>
    </row>
    <row r="34" ht="10" customHeight="1">
      <c r="A34" s="84" t="inlineStr">
        <is>
          <t>Salvage Ships &amp; Fleet Ocean Tugs</t>
        </is>
      </c>
      <c r="B34" s="84" t="inlineStr">
        <is>
          <t>MSC</t>
        </is>
      </c>
      <c r="C34"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4" s="94">
        <f>IFERROR(C34/C$42,0)</f>
        <v/>
      </c>
    </row>
    <row r="35" ht="10" customHeight="1">
      <c r="A35" s="84" t="inlineStr">
        <is>
          <t>Coastal Buoy Tenders</t>
        </is>
      </c>
      <c r="B35" s="84" t="inlineStr">
        <is>
          <t>USCG</t>
        </is>
      </c>
      <c r="C35" s="85">
        <f>SUMIFS(JB_27U,JB_B,1,JB_W,"Coastal Buoy Tenders",JB_S,"",JB_27U,"&lt;&gt;")+SUMIFS(JB_27S,JB_B,1,JB_W,"Coastal Buoy Tenders",JB_S,"",JB_27U,"")+SUMIFS(JB_27U,JB_B,1,JB_W,"Coastal Buoy Tenders",JB_S,"[PARENT]",JB_27U,"&lt;&gt;")+SUMIFS(JB_27S,JB_B,1,JB_W,"Coastal Buoy Tenders",JB_S,"[PARENT]",JB_27U,"")</f>
        <v/>
      </c>
      <c r="D35" s="94">
        <f>IFERROR(C35/C$42,0)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4">
        <f>IFERROR(C36/C$42,0)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4">
        <f>IFERROR(C37/C$42,0)</f>
        <v/>
      </c>
    </row>
    <row r="38" ht="10" customHeight="1">
      <c r="A38" s="84" t="inlineStr">
        <is>
          <t>Waterways Commerce Cutters</t>
        </is>
      </c>
      <c r="B38" s="84" t="inlineStr">
        <is>
          <t>USCG</t>
        </is>
      </c>
      <c r="C38" s="85">
        <f>SUMIFS(JB_27U,JB_B,1,JB_W,"Waterways Commerce Cutters",JB_S,"",JB_27U,"&lt;&gt;")+SUMIFS(JB_27S,JB_B,1,JB_W,"Waterways Commerce Cutters",JB_S,"",JB_27U,"")+SUMIFS(JB_27U,JB_B,1,JB_W,"Waterways Commerce Cutters",JB_S,"[PARENT]",JB_27U,"&lt;&gt;")+SUMIFS(JB_27S,JB_B,1,JB_W,"Waterways Commerce Cutters",JB_S,"[PARENT]",JB_27U,"")</f>
        <v/>
      </c>
      <c r="D38" s="94">
        <f>IFERROR(C38/C$42,0)</f>
        <v/>
      </c>
    </row>
    <row r="39" ht="10" customHeight="1">
      <c r="A39" s="84" t="inlineStr">
        <is>
          <t>Fast Response Cutters</t>
        </is>
      </c>
      <c r="B39" s="84" t="inlineStr">
        <is>
          <t>USCG</t>
        </is>
      </c>
      <c r="C39" s="85">
        <f>SUMIFS(JB_27U,JB_B,1,JB_W,"Fast Response Cutters",JB_S,"",JB_27U,"&lt;&gt;")+SUMIFS(JB_27S,JB_B,1,JB_W,"Fast Response Cutters",JB_S,"",JB_27U,"")+SUMIFS(JB_27U,JB_B,1,JB_W,"Fast Response Cutters",JB_S,"[PARENT]",JB_27U,"&lt;&gt;")+SUMIFS(JB_27S,JB_B,1,JB_W,"Fast Response Cutters",JB_S,"[PARENT]",JB_27U,"")</f>
        <v/>
      </c>
      <c r="D39" s="94">
        <f>IFERROR(C39/C$42,0)</f>
        <v/>
      </c>
    </row>
    <row r="40" ht="10" customHeight="1">
      <c r="A40" s="84" t="inlineStr">
        <is>
          <t>Icebreakers, Oceangoing</t>
        </is>
      </c>
      <c r="B40" s="84" t="inlineStr">
        <is>
          <t>USCG</t>
        </is>
      </c>
      <c r="C40" s="85">
        <f>SUMIFS(JB_27U,JB_B,1,JB_W,"Icebreakers, Oceangoing",JB_S,"",JB_27U,"&lt;&gt;")+SUMIFS(JB_27S,JB_B,1,JB_W,"Icebreakers, Oceangoing",JB_S,"",JB_27U,"")+SUMIFS(JB_27U,JB_B,1,JB_W,"Icebreakers, Oceangoing",JB_S,"[PARENT]",JB_27U,"&lt;&gt;")+SUMIFS(JB_27S,JB_B,1,JB_W,"Icebreakers, Oceangoing",JB_S,"[PARENT]",JB_27U,"")</f>
        <v/>
      </c>
      <c r="D40" s="94">
        <f>IFERROR(C40/C$42,0)</f>
        <v/>
      </c>
    </row>
    <row r="41" ht="10" customHeight="1">
      <c r="A41" s="84" t="inlineStr">
        <is>
          <t>National Security Cutters</t>
        </is>
      </c>
      <c r="B41" s="84" t="inlineStr">
        <is>
          <t>USCG</t>
        </is>
      </c>
      <c r="C41" s="85">
        <f>SUMIFS(JB_27U,JB_B,1,JB_W,"National Security Cutters",JB_S,"",JB_27U,"&lt;&gt;")+SUMIFS(JB_27S,JB_B,1,JB_W,"National Security Cutters",JB_S,"",JB_27U,"")+SUMIFS(JB_27U,JB_B,1,JB_W,"National Security Cutters",JB_S,"[PARENT]",JB_27U,"&lt;&gt;")+SUMIFS(JB_27S,JB_B,1,JB_W,"National Security Cutters",JB_S,"[PARENT]",JB_27U,"")</f>
        <v/>
      </c>
      <c r="D41" s="94">
        <f>IFERROR(C41/C$42,0)</f>
        <v/>
      </c>
    </row>
    <row r="42" ht="10" customHeight="1">
      <c r="A42" s="86" t="inlineStr">
        <is>
          <t>Newbuild TAM</t>
        </is>
      </c>
      <c r="B42" s="86" t="inlineStr"/>
      <c r="C42" s="87">
        <f>SUM(C14:C41)</f>
        <v/>
      </c>
      <c r="D42" s="95" t="n">
        <v>1</v>
      </c>
    </row>
    <row r="43" ht="10" customHeight="1"/>
    <row r="44" ht="10" customHeight="1">
      <c r="A44" s="81" t="inlineStr">
        <is>
          <t>(C) Newbuild TAM — DD&amp;C vs AP/LLTM by Vessel Type (Mekko)</t>
        </is>
      </c>
      <c r="B44" s="82" t="n"/>
      <c r="C44" s="82" t="n"/>
      <c r="D44" s="82" t="n"/>
      <c r="E44" s="82" t="n"/>
      <c r="F44" s="82" t="n"/>
      <c r="G44" s="82" t="n"/>
      <c r="H44" s="82" t="n"/>
      <c r="I44" s="82" t="n"/>
      <c r="J44" s="82" t="n"/>
      <c r="K44" s="82" t="n"/>
      <c r="L44" s="82" t="n"/>
      <c r="M44" s="82" t="n"/>
      <c r="N44" s="82" t="n"/>
      <c r="O44" s="82" t="n"/>
    </row>
    <row r="45" ht="10" customHeight="1">
      <c r="B45" s="93" t="inlineStr">
        <is>
          <t>USN</t>
        </is>
      </c>
    </row>
    <row r="46" ht="10" customHeight="1">
      <c r="A46" s="83" t="inlineStr">
        <is>
          <t>Sub-Category</t>
        </is>
      </c>
      <c r="B46" s="83" t="inlineStr">
        <is>
          <t>Submarines</t>
        </is>
      </c>
      <c r="C46" s="83" t="inlineStr">
        <is>
          <t>Amphibious Warfare Ships</t>
        </is>
      </c>
      <c r="D46" s="83" t="inlineStr">
        <is>
          <t>Surface Combatants</t>
        </is>
      </c>
      <c r="E46" s="83" t="inlineStr">
        <is>
          <t>Material Support Ships</t>
        </is>
      </c>
      <c r="F46" s="83" t="inlineStr">
        <is>
          <t>Aircraft Carriers</t>
        </is>
      </c>
      <c r="G46" s="83" t="inlineStr">
        <is>
          <t>Combat Logistics Ships</t>
        </is>
      </c>
      <c r="H46" s="83" t="inlineStr">
        <is>
          <t>Expeditionary &amp; Seabasing Ships</t>
        </is>
      </c>
      <c r="I46" s="83" t="inlineStr">
        <is>
          <t>Surveillance Ships</t>
        </is>
      </c>
      <c r="J46" s="83" t="inlineStr">
        <is>
          <t>Hospital Ship</t>
        </is>
      </c>
      <c r="K46" s="83" t="inlineStr">
        <is>
          <t>Cargo &amp; Vehicle Cargo Ships</t>
        </is>
      </c>
      <c r="L46" s="83" t="inlineStr">
        <is>
          <t>Unmanned Undersea Vehicles</t>
        </is>
      </c>
      <c r="M46" s="83" t="inlineStr">
        <is>
          <t>Unmanned Surface Vehicles</t>
        </is>
      </c>
      <c r="N46" s="83" t="inlineStr">
        <is>
          <t>Total</t>
        </is>
      </c>
    </row>
    <row r="47" ht="10" customHeight="1">
      <c r="A47" s="84" t="inlineStr">
        <is>
          <t>Full Ship DD&amp;C</t>
        </is>
      </c>
      <c r="B47" s="94">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procurement",JB_S,"[PARENT]",JB_27U,""))/B$50,0)</f>
        <v/>
      </c>
      <c r="C47" s="9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procurement",JB_S,"[PARENT]",JB_27U,""))/C$50,0)</f>
        <v/>
      </c>
      <c r="D47" s="9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procurement",JB_S,"[PARENT]",JB_27U,""))/D$50,0)</f>
        <v/>
      </c>
      <c r="E47" s="9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procurement",JB_S,"[PARENT]",JB_27U,""))/E$50,0)</f>
        <v/>
      </c>
      <c r="F47" s="94">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procurement",JB_S,"[PARENT]",JB_27U,""))/F$50,0)</f>
        <v/>
      </c>
      <c r="G47" s="9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procurement",JB_S,"[PARENT]",JB_27U,""))/G$50,0)</f>
        <v/>
      </c>
      <c r="H47" s="9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procurement",JB_S,"[PARENT]",JB_27U,""))/H$50,0)</f>
        <v/>
      </c>
      <c r="I47" s="9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procurement",JB_S,"[PARENT]",JB_27U,""))/I$50,0)</f>
        <v/>
      </c>
      <c r="J47" s="9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procurement",JB_S,"[PARENT]",JB_27U,""))/J$50,0)</f>
        <v/>
      </c>
      <c r="K47" s="9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procurement",JB_S,"[PARENT]",JB_27U,""))/K$50,0)</f>
        <v/>
      </c>
      <c r="L47" s="94">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procurement",JB_S,"[PARENT]",JB_27U,""))/L$50,0)</f>
        <v/>
      </c>
      <c r="M47" s="9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procurement",JB_S,"[PARENT]",JB_27U,""))/M$50,0)</f>
        <v/>
      </c>
      <c r="N47" s="94">
        <f>IFERROR(1-N48,0)</f>
        <v/>
      </c>
    </row>
    <row r="48" ht="10" customHeight="1">
      <c r="A48" s="84" t="inlineStr">
        <is>
          <t>Advance Procurement / LLTM</t>
        </is>
      </c>
      <c r="B48" s="94">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LLTM",JB_S,"[PARENT]",JB_27U,""))/B$50,0)</f>
        <v/>
      </c>
      <c r="C48" s="9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LLTM",JB_S,"[PARENT]",JB_27U,""))/C$50,0)</f>
        <v/>
      </c>
      <c r="D48" s="9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LLTM",JB_S,"[PARENT]",JB_27U,""))/D$50,0)</f>
        <v/>
      </c>
      <c r="E48" s="9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LLTM",JB_S,"[PARENT]",JB_27U,""))/E$50,0)</f>
        <v/>
      </c>
      <c r="F48" s="94">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LLTM",JB_S,"[PARENT]",JB_27U,""))/F$50,0)</f>
        <v/>
      </c>
      <c r="G48" s="9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LLTM",JB_S,"[PARENT]",JB_27U,""))/G$50,0)</f>
        <v/>
      </c>
      <c r="H48" s="9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LLTM",JB_S,"[PARENT]",JB_27U,""))/H$50,0)</f>
        <v/>
      </c>
      <c r="I48" s="9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LLTM",JB_S,"[PARENT]",JB_27U,""))/I$50,0)</f>
        <v/>
      </c>
      <c r="J48" s="9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LLTM",JB_S,"[PARENT]",JB_27U,""))/J$50,0)</f>
        <v/>
      </c>
      <c r="K48" s="9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LLTM",JB_S,"[PARENT]",JB_27U,""))/K$50,0)</f>
        <v/>
      </c>
      <c r="L48" s="94">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LLTM",JB_S,"[PARENT]",JB_27U,""))/L$50,0)</f>
        <v/>
      </c>
      <c r="M48" s="9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LLTM",JB_S,"[PARENT]",JB_27U,""))/M$50,0)</f>
        <v/>
      </c>
      <c r="N48" s="9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LLTM",JB_S,"[PARENT]",JB_27U,""))/N$50,0)</f>
        <v/>
      </c>
    </row>
    <row r="49" ht="10" customHeight="1">
      <c r="A49" s="84" t="inlineStr">
        <is>
          <t>Other NC Sub-Categories</t>
        </is>
      </c>
      <c r="B49" s="94">
        <f>IFERROR(1-B47-B48,0)</f>
        <v/>
      </c>
      <c r="C49" s="94">
        <f>IFERROR(1-C47-C48,0)</f>
        <v/>
      </c>
      <c r="D49" s="94">
        <f>IFERROR(1-D47-D48,0)</f>
        <v/>
      </c>
      <c r="E49" s="94">
        <f>IFERROR(1-E47-E48,0)</f>
        <v/>
      </c>
      <c r="F49" s="94">
        <f>IFERROR(1-F47-F48,0)</f>
        <v/>
      </c>
      <c r="G49" s="94">
        <f>IFERROR(1-G47-G48,0)</f>
        <v/>
      </c>
      <c r="H49" s="94">
        <f>IFERROR(1-H47-H48,0)</f>
        <v/>
      </c>
      <c r="I49" s="94">
        <f>IFERROR(1-I47-I48,0)</f>
        <v/>
      </c>
      <c r="J49" s="94">
        <f>IFERROR(1-J47-J48,0)</f>
        <v/>
      </c>
      <c r="K49" s="94">
        <f>IFERROR(1-K47-K48,0)</f>
        <v/>
      </c>
      <c r="L49" s="94">
        <f>IFERROR(1-L47-L48,0)</f>
        <v/>
      </c>
      <c r="M49" s="94">
        <f>IFERROR(1-M47-M48,0)</f>
        <v/>
      </c>
      <c r="N49" s="94">
        <f>IFERROR(1-N47-N48,0)</f>
        <v/>
      </c>
    </row>
    <row r="50" ht="10" customHeight="1">
      <c r="A50" s="86" t="inlineStr">
        <is>
          <t>Total ($K)</t>
        </is>
      </c>
      <c r="B50" s="87">
        <f>SUMIFS(JB_27U,JB_B,1,JB_W,"Submarines",JB_S,"",JB_27U,"&lt;&gt;")+SUMIFS(JB_27S,JB_B,1,JB_W,"Submarines",JB_S,"",JB_27U,"")+SUMIFS(JB_27U,JB_B,1,JB_W,"Submarines",JB_S,"[PARENT]",JB_27U,"&lt;&gt;")+SUMIFS(JB_27S,JB_B,1,JB_W,"Submarines",JB_S,"[PARENT]",JB_27U,"")</f>
        <v/>
      </c>
      <c r="C50" s="87">
        <f>SUMIFS(JB_27U,JB_B,1,JB_W,"Amphibious Warfare Ships",JB_S,"",JB_27U,"&lt;&gt;")+SUMIFS(JB_27S,JB_B,1,JB_W,"Amphibious Warfare Ships",JB_S,"",JB_27U,"")+SUMIFS(JB_27U,JB_B,1,JB_W,"Amphibious Warfare Ships",JB_S,"[PARENT]",JB_27U,"&lt;&gt;")+SUMIFS(JB_27S,JB_B,1,JB_W,"Amphibious Warfare Ships",JB_S,"[PARENT]",JB_27U,"")</f>
        <v/>
      </c>
      <c r="D50" s="87">
        <f>SUMIFS(JB_27U,JB_B,1,JB_W,"Surface Combatants",JB_S,"",JB_27U,"&lt;&gt;")+SUMIFS(JB_27S,JB_B,1,JB_W,"Surface Combatants",JB_S,"",JB_27U,"")+SUMIFS(JB_27U,JB_B,1,JB_W,"Surface Combatants",JB_S,"[PARENT]",JB_27U,"&lt;&gt;")+SUMIFS(JB_27S,JB_B,1,JB_W,"Surface Combatants",JB_S,"[PARENT]",JB_27U,"")</f>
        <v/>
      </c>
      <c r="E50" s="87">
        <f>SUMIFS(JB_27U,JB_B,1,JB_W,"Material Support Ships",JB_S,"",JB_27U,"&lt;&gt;")+SUMIFS(JB_27S,JB_B,1,JB_W,"Material Support Ships",JB_S,"",JB_27U,"")+SUMIFS(JB_27U,JB_B,1,JB_W,"Material Support Ships",JB_S,"[PARENT]",JB_27U,"&lt;&gt;")+SUMIFS(JB_27S,JB_B,1,JB_W,"Material Support Ships",JB_S,"[PARENT]",JB_27U,"")</f>
        <v/>
      </c>
      <c r="F50" s="87">
        <f>SUMIFS(JB_27U,JB_B,1,JB_W,"Aircraft Carriers",JB_S,"",JB_27U,"&lt;&gt;")+SUMIFS(JB_27S,JB_B,1,JB_W,"Aircraft Carriers",JB_S,"",JB_27U,"")+SUMIFS(JB_27U,JB_B,1,JB_W,"Aircraft Carriers",JB_S,"[PARENT]",JB_27U,"&lt;&gt;")+SUMIFS(JB_27S,JB_B,1,JB_W,"Aircraft Carriers",JB_S,"[PARENT]",JB_27U,"")</f>
        <v/>
      </c>
      <c r="G50" s="87">
        <f>SUMIFS(JB_27U,JB_B,1,JB_W,"Combat Logistics Ships",JB_S,"",JB_27U,"&lt;&gt;")+SUMIFS(JB_27S,JB_B,1,JB_W,"Combat Logistics Ships",JB_S,"",JB_27U,"")+SUMIFS(JB_27U,JB_B,1,JB_W,"Combat Logistics Ships",JB_S,"[PARENT]",JB_27U,"&lt;&gt;")+SUMIFS(JB_27S,JB_B,1,JB_W,"Combat Logistics Ships",JB_S,"[PARENT]",JB_27U,"")</f>
        <v/>
      </c>
      <c r="H50"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0" s="87">
        <f>SUMIFS(JB_27U,JB_B,1,JB_W,"Surveillance Ships",JB_S,"",JB_27U,"&lt;&gt;")+SUMIFS(JB_27S,JB_B,1,JB_W,"Surveillance Ships",JB_S,"",JB_27U,"")+SUMIFS(JB_27U,JB_B,1,JB_W,"Surveillance Ships",JB_S,"[PARENT]",JB_27U,"&lt;&gt;")+SUMIFS(JB_27S,JB_B,1,JB_W,"Surveillance Ships",JB_S,"[PARENT]",JB_27U,"")</f>
        <v/>
      </c>
      <c r="J50" s="87">
        <f>SUMIFS(JB_27U,JB_B,1,JB_W,"Hospital Ship",JB_S,"",JB_27U,"&lt;&gt;")+SUMIFS(JB_27S,JB_B,1,JB_W,"Hospital Ship",JB_S,"",JB_27U,"")+SUMIFS(JB_27U,JB_B,1,JB_W,"Hospital Ship",JB_S,"[PARENT]",JB_27U,"&lt;&gt;")+SUMIFS(JB_27S,JB_B,1,JB_W,"Hospital Ship",JB_S,"[PARENT]",JB_27U,"")</f>
        <v/>
      </c>
      <c r="K50" s="87">
        <f>SUMIFS(JB_27U,JB_B,1,JB_W,"Cargo &amp; Vehicle Cargo Ships",JB_S,"",JB_27U,"&lt;&gt;")+SUMIFS(JB_27S,JB_B,1,JB_W,"Cargo &amp; Vehicle Cargo Ships",JB_S,"",JB_27U,"")+SUMIFS(JB_27U,JB_B,1,JB_W,"Cargo &amp; Vehicle Cargo Ships",JB_S,"[PARENT]",JB_27U,"&lt;&gt;")+SUMIFS(JB_27S,JB_B,1,JB_W,"Cargo &amp; Vehicle Cargo Ships",JB_S,"[PARENT]",JB_27U,"")</f>
        <v/>
      </c>
      <c r="L50" s="87">
        <f>SUMIFS(JB_27U,JB_B,1,JB_W,"Unmanned Undersea Vehicles",JB_S,"",JB_27U,"&lt;&gt;")+SUMIFS(JB_27S,JB_B,1,JB_W,"Unmanned Undersea Vehicles",JB_S,"",JB_27U,"")+SUMIFS(JB_27U,JB_B,1,JB_W,"Unmanned Undersea Vehicles",JB_S,"[PARENT]",JB_27U,"&lt;&gt;")+SUMIFS(JB_27S,JB_B,1,JB_W,"Unmanned Undersea Vehicles",JB_S,"[PARENT]",JB_27U,"")</f>
        <v/>
      </c>
      <c r="M50" s="87">
        <f>SUMIFS(JB_27U,JB_B,1,JB_W,"Unmanned Surface Vehicles",JB_S,"",JB_27U,"&lt;&gt;")+SUMIFS(JB_27S,JB_B,1,JB_W,"Unmanned Surface Vehicles",JB_S,"",JB_27U,"")+SUMIFS(JB_27U,JB_B,1,JB_W,"Unmanned Surface Vehicles",JB_S,"[PARENT]",JB_27U,"&lt;&gt;")+SUMIFS(JB_27S,JB_B,1,JB_W,"Unmanned Surface Vehicles",JB_S,"[PARENT]",JB_27U,"")</f>
        <v/>
      </c>
      <c r="N50" s="87">
        <f>SUM(B50:M50)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row>
    <row r="12" ht="10" customHeight="1">
      <c r="B12" s="93" t="inlineStr">
        <is>
          <t>USN</t>
        </is>
      </c>
      <c r="T12" s="93" t="inlineStr">
        <is>
          <t>USCG</t>
        </is>
      </c>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4">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4">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4">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4">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4">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4">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4">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4">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4">
        <f>IFERROR(C22/C$39,0)</f>
        <v/>
      </c>
    </row>
    <row r="23" ht="10" customHeight="1">
      <c r="A23" s="84" t="inlineStr">
        <is>
          <t>Submarine Escort Ship</t>
        </is>
      </c>
      <c r="B23" s="84" t="inlineStr">
        <is>
          <t>USN</t>
        </is>
      </c>
      <c r="C23" s="85">
        <f>SUMIFS(JB_27U,JB_B,1,JB_W,"Submarine Escort Ship",JB_S,"",JB_27U,"&lt;&gt;")+SUMIFS(JB_27S,JB_B,1,JB_W,"Submarine Escort Ship",JB_S,"",JB_27U,"")+SUMIFS(JB_27U,JB_B,1,JB_W,"Submarine Escort Ship",JB_S,"[PARENT]",JB_27U,"&lt;&gt;")+SUMIFS(JB_27S,JB_B,1,JB_W,"Submarine Escort Ship",JB_S,"[PARENT]",JB_27U,"")</f>
        <v/>
      </c>
      <c r="D23" s="94">
        <f>IFERROR(C23/C$39,0)</f>
        <v/>
      </c>
    </row>
    <row r="24" ht="10" customHeight="1">
      <c r="A24" s="84" t="inlineStr">
        <is>
          <t>Aviation Logistics Support Ship</t>
        </is>
      </c>
      <c r="B24" s="84" t="inlineStr">
        <is>
          <t>USN</t>
        </is>
      </c>
      <c r="C24"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4" s="94">
        <f>IFERROR(C24/C$39,0)</f>
        <v/>
      </c>
    </row>
    <row r="25" ht="10" customHeight="1">
      <c r="A25" s="84" t="inlineStr">
        <is>
          <t>High Speed Transport</t>
        </is>
      </c>
      <c r="B25" s="84" t="inlineStr">
        <is>
          <t>USN</t>
        </is>
      </c>
      <c r="C25" s="85">
        <f>SUMIFS(JB_27U,JB_B,1,JB_W,"High Speed Transport",JB_S,"",JB_27U,"&lt;&gt;")+SUMIFS(JB_27S,JB_B,1,JB_W,"High Speed Transport",JB_S,"",JB_27U,"")+SUMIFS(JB_27U,JB_B,1,JB_W,"High Speed Transport",JB_S,"[PARENT]",JB_27U,"&lt;&gt;")+SUMIFS(JB_27S,JB_B,1,JB_W,"High Speed Transport",JB_S,"[PARENT]",JB_27U,"")</f>
        <v/>
      </c>
      <c r="D25" s="94">
        <f>IFERROR(C25/C$39,0)</f>
        <v/>
      </c>
    </row>
    <row r="26" ht="10" customHeight="1">
      <c r="A26" s="84" t="inlineStr">
        <is>
          <t>Research, Survey &amp; Instrumentation Ships</t>
        </is>
      </c>
      <c r="B26" s="84" t="inlineStr">
        <is>
          <t>MSC</t>
        </is>
      </c>
      <c r="C26"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6" s="94">
        <f>IFERROR(C26/C$39,0)</f>
        <v/>
      </c>
    </row>
    <row r="27" ht="10" customHeight="1">
      <c r="A27" s="84" t="inlineStr">
        <is>
          <t>Command Ships</t>
        </is>
      </c>
      <c r="B27" s="84" t="inlineStr">
        <is>
          <t>USN</t>
        </is>
      </c>
      <c r="C27" s="85">
        <f>SUMIFS(JB_27U,JB_B,1,JB_W,"Command Ships",JB_S,"",JB_27U,"&lt;&gt;")+SUMIFS(JB_27S,JB_B,1,JB_W,"Command Ships",JB_S,"",JB_27U,"")+SUMIFS(JB_27U,JB_B,1,JB_W,"Command Ships",JB_S,"[PARENT]",JB_27U,"&lt;&gt;")+SUMIFS(JB_27S,JB_B,1,JB_W,"Command Ships",JB_S,"[PARENT]",JB_27U,"")</f>
        <v/>
      </c>
      <c r="D27" s="94">
        <f>IFERROR(C27/C$39,0)</f>
        <v/>
      </c>
    </row>
    <row r="28" ht="10" customHeight="1">
      <c r="A28" s="84" t="inlineStr">
        <is>
          <t>Salvage Ships &amp; Fleet Ocean Tugs</t>
        </is>
      </c>
      <c r="B28" s="84" t="inlineStr">
        <is>
          <t>MSC</t>
        </is>
      </c>
      <c r="C28"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8" s="94">
        <f>IFERROR(C28/C$39,0)</f>
        <v/>
      </c>
    </row>
    <row r="29" ht="10" customHeight="1">
      <c r="A29" s="84" t="inlineStr">
        <is>
          <t>Crane Ship</t>
        </is>
      </c>
      <c r="B29" s="84" t="inlineStr">
        <is>
          <t>USN</t>
        </is>
      </c>
      <c r="C29" s="85">
        <f>SUMIFS(JB_27U,JB_B,1,JB_W,"Crane Ship",JB_S,"",JB_27U,"&lt;&gt;")+SUMIFS(JB_27S,JB_B,1,JB_W,"Crane Ship",JB_S,"",JB_27U,"")+SUMIFS(JB_27U,JB_B,1,JB_W,"Crane Ship",JB_S,"[PARENT]",JB_27U,"&lt;&gt;")+SUMIFS(JB_27S,JB_B,1,JB_W,"Crane Ship",JB_S,"[PARENT]",JB_27U,"")</f>
        <v/>
      </c>
      <c r="D29" s="94">
        <f>IFERROR(C29/C$39,0)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4">
        <f>IFERROR(C30/C$39,0)</f>
        <v/>
      </c>
    </row>
    <row r="31" ht="10" customHeight="1">
      <c r="A31" s="84" t="inlineStr">
        <is>
          <t>Mine Warfare</t>
        </is>
      </c>
      <c r="B31" s="84" t="inlineStr">
        <is>
          <t>USN</t>
        </is>
      </c>
      <c r="C31" s="85">
        <f>SUMIFS(JB_27U,JB_B,1,JB_W,"Mine Warfare",JB_S,"",JB_27U,"&lt;&gt;")+SUMIFS(JB_27S,JB_B,1,JB_W,"Mine Warfare",JB_S,"",JB_27U,"")+SUMIFS(JB_27U,JB_B,1,JB_W,"Mine Warfare",JB_S,"[PARENT]",JB_27U,"&lt;&gt;")+SUMIFS(JB_27S,JB_B,1,JB_W,"Mine Warfare",JB_S,"[PARENT]",JB_27U,"")</f>
        <v/>
      </c>
      <c r="D31" s="94">
        <f>IFERROR(C31/C$39,0)</f>
        <v/>
      </c>
    </row>
    <row r="32" ht="10" customHeight="1">
      <c r="A32" s="84" t="inlineStr">
        <is>
          <t>Coastal Buoy Tenders</t>
        </is>
      </c>
      <c r="B32" s="84" t="inlineStr">
        <is>
          <t>USCG</t>
        </is>
      </c>
      <c r="C32" s="85">
        <f>SUMIFS(JB_27U,JB_B,1,JB_W,"Coastal Buoy Tenders",JB_S,"",JB_27U,"&lt;&gt;")+SUMIFS(JB_27S,JB_B,1,JB_W,"Coastal Buoy Tenders",JB_S,"",JB_27U,"")+SUMIFS(JB_27U,JB_B,1,JB_W,"Coastal Buoy Tenders",JB_S,"[PARENT]",JB_27U,"&lt;&gt;")+SUMIFS(JB_27S,JB_B,1,JB_W,"Coastal Buoy Tenders",JB_S,"[PARENT]",JB_27U,"")</f>
        <v/>
      </c>
      <c r="D32" s="94">
        <f>IFERROR(C32/C$39,0)</f>
        <v/>
      </c>
    </row>
    <row r="33" ht="10" customHeight="1">
      <c r="A33" s="84" t="inlineStr">
        <is>
          <t>Offshore Patrol Cutter</t>
        </is>
      </c>
      <c r="B33" s="84" t="inlineStr">
        <is>
          <t>USCG</t>
        </is>
      </c>
      <c r="C33" s="85">
        <f>SUMIFS(JB_27U,JB_B,1,JB_W,"Offshore Patrol Cutter",JB_S,"",JB_27U,"&lt;&gt;")+SUMIFS(JB_27S,JB_B,1,JB_W,"Offshore Patrol Cutter",JB_S,"",JB_27U,"")+SUMIFS(JB_27U,JB_B,1,JB_W,"Offshore Patrol Cutter",JB_S,"[PARENT]",JB_27U,"&lt;&gt;")+SUMIFS(JB_27S,JB_B,1,JB_W,"Offshore Patrol Cutter",JB_S,"[PARENT]",JB_27U,"")</f>
        <v/>
      </c>
      <c r="D33" s="94">
        <f>IFERROR(C33/C$39,0)</f>
        <v/>
      </c>
    </row>
    <row r="34" ht="10" customHeight="1">
      <c r="A34" s="84" t="inlineStr">
        <is>
          <t>Icebreakers, Great Lakes</t>
        </is>
      </c>
      <c r="B34" s="84" t="inlineStr">
        <is>
          <t>USCG</t>
        </is>
      </c>
      <c r="C34" s="85">
        <f>SUMIFS(JB_27U,JB_B,1,JB_W,"Icebreakers, Great Lakes",JB_S,"",JB_27U,"&lt;&gt;")+SUMIFS(JB_27S,JB_B,1,JB_W,"Icebreakers, Great Lakes",JB_S,"",JB_27U,"")+SUMIFS(JB_27U,JB_B,1,JB_W,"Icebreakers, Great Lakes",JB_S,"[PARENT]",JB_27U,"&lt;&gt;")+SUMIFS(JB_27S,JB_B,1,JB_W,"Icebreakers, Great Lakes",JB_S,"[PARENT]",JB_27U,"")</f>
        <v/>
      </c>
      <c r="D34" s="94">
        <f>IFERROR(C34/C$39,0)</f>
        <v/>
      </c>
    </row>
    <row r="35" ht="10" customHeight="1">
      <c r="A35" s="84" t="inlineStr">
        <is>
          <t>Icebreakers, Oceangoing</t>
        </is>
      </c>
      <c r="B35" s="84" t="inlineStr">
        <is>
          <t>USCG</t>
        </is>
      </c>
      <c r="C35" s="85">
        <f>SUMIFS(JB_27U,JB_B,1,JB_W,"Icebreakers, Oceangoing",JB_S,"",JB_27U,"&lt;&gt;")+SUMIFS(JB_27S,JB_B,1,JB_W,"Icebreakers, Oceangoing",JB_S,"",JB_27U,"")+SUMIFS(JB_27U,JB_B,1,JB_W,"Icebreakers, Oceangoing",JB_S,"[PARENT]",JB_27U,"&lt;&gt;")+SUMIFS(JB_27S,JB_B,1,JB_W,"Icebreakers, Oceangoing",JB_S,"[PARENT]",JB_27U,"")</f>
        <v/>
      </c>
      <c r="D35" s="94">
        <f>IFERROR(C35/C$39,0)</f>
        <v/>
      </c>
    </row>
    <row r="36" ht="10" customHeight="1">
      <c r="A36" s="84" t="inlineStr">
        <is>
          <t>Waterways Commerce Cutters</t>
        </is>
      </c>
      <c r="B36" s="84" t="inlineStr">
        <is>
          <t>USCG</t>
        </is>
      </c>
      <c r="C36" s="85">
        <f>SUMIFS(JB_27U,JB_B,1,JB_W,"Waterways Commerce Cutters",JB_S,"",JB_27U,"&lt;&gt;")+SUMIFS(JB_27S,JB_B,1,JB_W,"Waterways Commerce Cutters",JB_S,"",JB_27U,"")+SUMIFS(JB_27U,JB_B,1,JB_W,"Waterways Commerce Cutters",JB_S,"[PARENT]",JB_27U,"&lt;&gt;")+SUMIFS(JB_27S,JB_B,1,JB_W,"Waterways Commerce Cutters",JB_S,"[PARENT]",JB_27U,"")</f>
        <v/>
      </c>
      <c r="D36" s="94">
        <f>IFERROR(C36/C$39,0)</f>
        <v/>
      </c>
    </row>
    <row r="37" ht="10" customHeight="1">
      <c r="A37" s="84" t="inlineStr">
        <is>
          <t>National Security Cutters</t>
        </is>
      </c>
      <c r="B37" s="84" t="inlineStr">
        <is>
          <t>USCG</t>
        </is>
      </c>
      <c r="C37" s="85">
        <f>SUMIFS(JB_27U,JB_B,1,JB_W,"National Security Cutters",JB_S,"",JB_27U,"&lt;&gt;")+SUMIFS(JB_27S,JB_B,1,JB_W,"National Security Cutters",JB_S,"",JB_27U,"")+SUMIFS(JB_27U,JB_B,1,JB_W,"National Security Cutters",JB_S,"[PARENT]",JB_27U,"&lt;&gt;")+SUMIFS(JB_27S,JB_B,1,JB_W,"National Security Cutters",JB_S,"[PARENT]",JB_27U,"")</f>
        <v/>
      </c>
      <c r="D37" s="94">
        <f>IFERROR(C37/C$39,0)</f>
        <v/>
      </c>
    </row>
    <row r="38" ht="10" customHeight="1">
      <c r="A38" s="84" t="inlineStr">
        <is>
          <t>Fast Response Cutters</t>
        </is>
      </c>
      <c r="B38" s="84" t="inlineStr">
        <is>
          <t>USCG</t>
        </is>
      </c>
      <c r="C38" s="85">
        <f>SUMIFS(JB_27U,JB_B,1,JB_W,"Fast Response Cutters",JB_S,"",JB_27U,"&lt;&gt;")+SUMIFS(JB_27S,JB_B,1,JB_W,"Fast Response Cutters",JB_S,"",JB_27U,"")+SUMIFS(JB_27U,JB_B,1,JB_W,"Fast Response Cutters",JB_S,"[PARENT]",JB_27U,"&lt;&gt;")+SUMIFS(JB_27S,JB_B,1,JB_W,"Fast Response Cutters",JB_S,"[PARENT]",JB_27U,"")</f>
        <v/>
      </c>
      <c r="D38" s="94">
        <f>IFERROR(C38/C$39,0)</f>
        <v/>
      </c>
    </row>
    <row r="39" ht="10" customHeight="1">
      <c r="A39" s="86" t="inlineStr">
        <is>
          <t>Newbuild SAM</t>
        </is>
      </c>
      <c r="B39" s="86" t="inlineStr"/>
      <c r="C39" s="87">
        <f>SUM(C14:C38)</f>
        <v/>
      </c>
      <c r="D39" s="95" t="n">
        <v>1</v>
      </c>
    </row>
    <row r="40" ht="10" customHeight="1"/>
    <row r="41" ht="10" customHeight="1">
      <c r="A41" s="81" t="inlineStr">
        <is>
          <t>(C) Newbuild SAM — DD&amp;C vs AP/LLTM by Vessel Type (Mekko)</t>
        </is>
      </c>
      <c r="B41" s="82" t="n"/>
      <c r="C41" s="82" t="n"/>
      <c r="D41" s="82" t="n"/>
      <c r="E41" s="82" t="n"/>
      <c r="F41" s="82" t="n"/>
      <c r="G41" s="82" t="n"/>
      <c r="H41" s="82" t="n"/>
      <c r="I41" s="82" t="n"/>
      <c r="J41" s="82" t="n"/>
      <c r="K41" s="82" t="n"/>
      <c r="L41" s="82" t="n"/>
    </row>
    <row r="42" ht="10" customHeight="1">
      <c r="B42" s="93" t="inlineStr">
        <is>
          <t>USN</t>
        </is>
      </c>
    </row>
    <row r="43" ht="10" customHeight="1">
      <c r="A43" s="83" t="inlineStr">
        <is>
          <t>Sub-Category</t>
        </is>
      </c>
      <c r="B43" s="83" t="inlineStr">
        <is>
          <t>Amphibious Warfare Ships</t>
        </is>
      </c>
      <c r="C43" s="83" t="inlineStr">
        <is>
          <t>Surface Combatants</t>
        </is>
      </c>
      <c r="D43" s="83" t="inlineStr">
        <is>
          <t>Material Support Ships</t>
        </is>
      </c>
      <c r="E43" s="83" t="inlineStr">
        <is>
          <t>Combat Logistics Ships</t>
        </is>
      </c>
      <c r="F43" s="83" t="inlineStr">
        <is>
          <t>Expeditionary &amp; Seabasing Ships</t>
        </is>
      </c>
      <c r="G43" s="83" t="inlineStr">
        <is>
          <t>Surveillance Ships</t>
        </is>
      </c>
      <c r="H43" s="83" t="inlineStr">
        <is>
          <t>Hospital Ship</t>
        </is>
      </c>
      <c r="I43" s="83" t="inlineStr">
        <is>
          <t>Cargo &amp; Vehicle Cargo Ships</t>
        </is>
      </c>
      <c r="J43" s="83" t="inlineStr">
        <is>
          <t>Unmanned Surface Vehicles</t>
        </is>
      </c>
      <c r="K43" s="83" t="inlineStr">
        <is>
          <t>Total</t>
        </is>
      </c>
    </row>
    <row r="44" ht="10" customHeight="1">
      <c r="A44" s="84" t="inlineStr">
        <is>
          <t>Full Ship DD&amp;C</t>
        </is>
      </c>
      <c r="B44" s="9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procurement",JB_S,"[PARENT]",JB_27U,""))/B$46,0)</f>
        <v/>
      </c>
      <c r="C44" s="9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procurement",JB_S,"[PARENT]",JB_27U,""))/C$46,0)</f>
        <v/>
      </c>
      <c r="D44" s="9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procurement",JB_S,"[PARENT]",JB_27U,""))/D$46,0)</f>
        <v/>
      </c>
      <c r="E44" s="9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procurement",JB_S,"[PARENT]",JB_27U,""))/E$46,0)</f>
        <v/>
      </c>
      <c r="F44" s="9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procurement",JB_S,"[PARENT]",JB_27U,""))/F$46,0)</f>
        <v/>
      </c>
      <c r="G44" s="9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procurement",JB_S,"[PARENT]",JB_27U,""))/G$46,0)</f>
        <v/>
      </c>
      <c r="H44" s="9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procurement",JB_S,"[PARENT]",JB_27U,""))/H$46,0)</f>
        <v/>
      </c>
      <c r="I44" s="9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procurement",JB_S,"[PARENT]",JB_27U,""))/I$46,0)</f>
        <v/>
      </c>
      <c r="J44" s="9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procurement",JB_S,"[PARENT]",JB_27U,""))/J$46,0)</f>
        <v/>
      </c>
      <c r="K44" s="94">
        <f>IFERROR(1-K45,0)</f>
        <v/>
      </c>
    </row>
    <row r="45" ht="10" customHeight="1">
      <c r="A45" s="84" t="inlineStr">
        <is>
          <t>Advance Procurement / LLTM</t>
        </is>
      </c>
      <c r="B45" s="9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LLTM",JB_S,"[PARENT]",JB_27U,""))/B$46,0)</f>
        <v/>
      </c>
      <c r="C45" s="9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LLTM",JB_S,"[PARENT]",JB_27U,""))/C$46,0)</f>
        <v/>
      </c>
      <c r="D45" s="9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LLTM",JB_S,"[PARENT]",JB_27U,""))/D$46,0)</f>
        <v/>
      </c>
      <c r="E45" s="9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LLTM",JB_S,"[PARENT]",JB_27U,""))/E$46,0)</f>
        <v/>
      </c>
      <c r="F45" s="9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LLTM",JB_S,"[PARENT]",JB_27U,""))/F$46,0)</f>
        <v/>
      </c>
      <c r="G45" s="9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LLTM",JB_S,"[PARENT]",JB_27U,""))/G$46,0)</f>
        <v/>
      </c>
      <c r="H45" s="9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LLTM",JB_S,"[PARENT]",JB_27U,""))/H$46,0)</f>
        <v/>
      </c>
      <c r="I45" s="9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LLTM",JB_S,"[PARENT]",JB_27U,""))/I$46,0)</f>
        <v/>
      </c>
      <c r="J45" s="9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LLTM",JB_S,"[PARENT]",JB_27U,""))/J$46,0)</f>
        <v/>
      </c>
      <c r="K45" s="9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LLTM",JB_S,"[PARENT]",JB_27U,""))/K$46,0)</f>
        <v/>
      </c>
    </row>
    <row r="46" ht="10" customHeight="1">
      <c r="A46" s="86" t="inlineStr">
        <is>
          <t>Total ($K)</t>
        </is>
      </c>
      <c r="B46" s="87">
        <f>SUMIFS(JB_27U,JB_B,1,JB_W,"Amphibious Warfare Ships",JB_S,"",JB_27U,"&lt;&gt;")+SUMIFS(JB_27S,JB_B,1,JB_W,"Amphibious Warfare Ships",JB_S,"",JB_27U,"")+SUMIFS(JB_27U,JB_B,1,JB_W,"Amphibious Warfare Ships",JB_S,"[PARENT]",JB_27U,"&lt;&gt;")+SUMIFS(JB_27S,JB_B,1,JB_W,"Amphibious Warfare Ships",JB_S,"[PARENT]",JB_27U,"")</f>
        <v/>
      </c>
      <c r="C46" s="87">
        <f>SUMIFS(JB_27U,JB_B,1,JB_W,"Surface Combatants",JB_S,"",JB_27U,"&lt;&gt;")+SUMIFS(JB_27S,JB_B,1,JB_W,"Surface Combatants",JB_S,"",JB_27U,"")+SUMIFS(JB_27U,JB_B,1,JB_W,"Surface Combatants",JB_S,"[PARENT]",JB_27U,"&lt;&gt;")+SUMIFS(JB_27S,JB_B,1,JB_W,"Surface Combatants",JB_S,"[PARENT]",JB_27U,"")</f>
        <v/>
      </c>
      <c r="D46" s="87">
        <f>SUMIFS(JB_27U,JB_B,1,JB_W,"Material Support Ships",JB_S,"",JB_27U,"&lt;&gt;")+SUMIFS(JB_27S,JB_B,1,JB_W,"Material Support Ships",JB_S,"",JB_27U,"")+SUMIFS(JB_27U,JB_B,1,JB_W,"Material Support Ships",JB_S,"[PARENT]",JB_27U,"&lt;&gt;")+SUMIFS(JB_27S,JB_B,1,JB_W,"Material Support Ships",JB_S,"[PARENT]",JB_27U,"")</f>
        <v/>
      </c>
      <c r="E46" s="87">
        <f>SUMIFS(JB_27U,JB_B,1,JB_W,"Combat Logistics Ships",JB_S,"",JB_27U,"&lt;&gt;")+SUMIFS(JB_27S,JB_B,1,JB_W,"Combat Logistics Ships",JB_S,"",JB_27U,"")+SUMIFS(JB_27U,JB_B,1,JB_W,"Combat Logistics Ships",JB_S,"[PARENT]",JB_27U,"&lt;&gt;")+SUMIFS(JB_27S,JB_B,1,JB_W,"Combat Logistics Ships",JB_S,"[PARENT]",JB_27U,"")</f>
        <v/>
      </c>
      <c r="F46"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6" s="87">
        <f>SUMIFS(JB_27U,JB_B,1,JB_W,"Surveillance Ships",JB_S,"",JB_27U,"&lt;&gt;")+SUMIFS(JB_27S,JB_B,1,JB_W,"Surveillance Ships",JB_S,"",JB_27U,"")+SUMIFS(JB_27U,JB_B,1,JB_W,"Surveillance Ships",JB_S,"[PARENT]",JB_27U,"&lt;&gt;")+SUMIFS(JB_27S,JB_B,1,JB_W,"Surveillance Ships",JB_S,"[PARENT]",JB_27U,"")</f>
        <v/>
      </c>
      <c r="H46" s="87">
        <f>SUMIFS(JB_27U,JB_B,1,JB_W,"Hospital Ship",JB_S,"",JB_27U,"&lt;&gt;")+SUMIFS(JB_27S,JB_B,1,JB_W,"Hospital Ship",JB_S,"",JB_27U,"")+SUMIFS(JB_27U,JB_B,1,JB_W,"Hospital Ship",JB_S,"[PARENT]",JB_27U,"&lt;&gt;")+SUMIFS(JB_27S,JB_B,1,JB_W,"Hospital Ship",JB_S,"[PARENT]",JB_27U,"")</f>
        <v/>
      </c>
      <c r="I46" s="87">
        <f>SUMIFS(JB_27U,JB_B,1,JB_W,"Cargo &amp; Vehicle Cargo Ships",JB_S,"",JB_27U,"&lt;&gt;")+SUMIFS(JB_27S,JB_B,1,JB_W,"Cargo &amp; Vehicle Cargo Ships",JB_S,"",JB_27U,"")+SUMIFS(JB_27U,JB_B,1,JB_W,"Cargo &amp; Vehicle Cargo Ships",JB_S,"[PARENT]",JB_27U,"&lt;&gt;")+SUMIFS(JB_27S,JB_B,1,JB_W,"Cargo &amp; Vehicle Cargo Ships",JB_S,"[PARENT]",JB_27U,"")</f>
        <v/>
      </c>
      <c r="J46" s="87">
        <f>SUMIFS(JB_27U,JB_B,1,JB_W,"Unmanned Surface Vehicles",JB_S,"",JB_27U,"&lt;&gt;")+SUMIFS(JB_27S,JB_B,1,JB_W,"Unmanned Surface Vehicles",JB_S,"",JB_27U,"")+SUMIFS(JB_27U,JB_B,1,JB_W,"Unmanned Surface Vehicles",JB_S,"[PARENT]",JB_27U,"&lt;&gt;")+SUMIFS(JB_27S,JB_B,1,JB_W,"Unmanned Surface Vehicles",JB_S,"[PARENT]",JB_27U,"")</f>
        <v/>
      </c>
      <c r="K46" s="87">
        <f>SUM(B46:J46)</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9"/>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1" t="inlineStr">
        <is>
          <t>MRO TAM</t>
        </is>
      </c>
      <c r="B9" s="92">
        <f>B17</f>
        <v/>
      </c>
    </row>
    <row r="10" ht="10" customHeight="1"/>
    <row r="11" ht="10" customHeight="1">
      <c r="A11" s="81" t="inlineStr">
        <is>
          <t>(B) MRO TAM by Work Type</t>
        </is>
      </c>
      <c r="B11" s="82" t="n"/>
      <c r="C11" s="82" t="n"/>
      <c r="D11" s="82" t="n"/>
      <c r="E11" s="82" t="n"/>
      <c r="F11" s="82" t="n"/>
      <c r="G11" s="82" t="n"/>
      <c r="H11" s="82" t="n"/>
      <c r="I11" s="82" t="n"/>
      <c r="J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4">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4">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4">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4">
        <f>IFERROR(B16/B$17,0)</f>
        <v/>
      </c>
    </row>
    <row r="17" ht="10" customHeight="1">
      <c r="A17" s="86" t="inlineStr">
        <is>
          <t>MRO TAM</t>
        </is>
      </c>
      <c r="B17" s="87">
        <f>SUM(B13:B16)</f>
        <v/>
      </c>
      <c r="C17" s="95" t="n">
        <v>1</v>
      </c>
    </row>
    <row r="18" ht="10" customHeight="1"/>
    <row r="19" ht="10" customHeight="1">
      <c r="A19" s="81" t="inlineStr">
        <is>
          <t>(C) MRO TAM by Vessel Type</t>
        </is>
      </c>
      <c r="B19" s="82" t="n"/>
      <c r="C19" s="82" t="n"/>
      <c r="D19" s="82" t="n"/>
      <c r="E19" s="82" t="n"/>
      <c r="F19" s="82" t="n"/>
      <c r="G19" s="82" t="n"/>
      <c r="H19" s="82" t="n"/>
      <c r="I19" s="82" t="n"/>
      <c r="J19" s="82" t="n"/>
    </row>
    <row r="20" ht="10" customHeight="1">
      <c r="B20" s="93" t="inlineStr">
        <is>
          <t>USN</t>
        </is>
      </c>
      <c r="W20" s="93" t="inlineStr">
        <is>
          <t>USCG</t>
        </is>
      </c>
    </row>
    <row r="21" ht="10" customHeight="1">
      <c r="A21" s="83" t="inlineStr">
        <is>
          <t>Vessel Type</t>
        </is>
      </c>
      <c r="B21" s="83" t="inlineStr">
        <is>
          <t>Service</t>
        </is>
      </c>
      <c r="C21" s="83" t="inlineStr">
        <is>
          <t>FY2027 ($K)</t>
        </is>
      </c>
      <c r="D21" s="83" t="inlineStr">
        <is>
          <t>% of TAM</t>
        </is>
      </c>
    </row>
    <row r="22" ht="10" customHeight="1">
      <c r="A22" s="84" t="inlineStr">
        <is>
          <t>Submarines</t>
        </is>
      </c>
      <c r="B22" s="84" t="inlineStr">
        <is>
          <t>USN</t>
        </is>
      </c>
      <c r="C22"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2" s="94">
        <f>IFERROR(C22/C$50,0)</f>
        <v/>
      </c>
    </row>
    <row r="23" ht="10" customHeight="1">
      <c r="A23" s="84" t="inlineStr">
        <is>
          <t>Surface Combatants</t>
        </is>
      </c>
      <c r="B23" s="84" t="inlineStr">
        <is>
          <t>USN</t>
        </is>
      </c>
      <c r="C23"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3" s="94">
        <f>IFERROR(C23/C$50,0)</f>
        <v/>
      </c>
    </row>
    <row r="24" ht="10" customHeight="1">
      <c r="A24" s="84" t="inlineStr">
        <is>
          <t>Aircraft Carriers</t>
        </is>
      </c>
      <c r="B24" s="84" t="inlineStr">
        <is>
          <t>USN</t>
        </is>
      </c>
      <c r="C24"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4" s="94">
        <f>IFERROR(C24/C$50,0)</f>
        <v/>
      </c>
    </row>
    <row r="25" ht="10" customHeight="1">
      <c r="A25" s="84" t="inlineStr">
        <is>
          <t>Amphibious Warfare Ships</t>
        </is>
      </c>
      <c r="B25" s="84" t="inlineStr">
        <is>
          <t>USN</t>
        </is>
      </c>
      <c r="C25"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5" s="94">
        <f>IFERROR(C25/C$50,0)</f>
        <v/>
      </c>
    </row>
    <row r="26" ht="10" customHeight="1">
      <c r="A26" s="84" t="inlineStr">
        <is>
          <t>Surveillance Ships</t>
        </is>
      </c>
      <c r="B26" s="84" t="inlineStr">
        <is>
          <t>USN</t>
        </is>
      </c>
      <c r="C26"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6" s="94">
        <f>IFERROR(C26/C$50,0)</f>
        <v/>
      </c>
    </row>
    <row r="27" ht="10" customHeight="1">
      <c r="A27" s="84" t="inlineStr">
        <is>
          <t>Expeditionary &amp; Seabasing Ships</t>
        </is>
      </c>
      <c r="B27" s="84" t="inlineStr">
        <is>
          <t>USN</t>
        </is>
      </c>
      <c r="C27"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7" s="94">
        <f>IFERROR(C27/C$50,0)</f>
        <v/>
      </c>
    </row>
    <row r="28" ht="10" customHeight="1">
      <c r="A28" s="84" t="inlineStr">
        <is>
          <t>Command Ships</t>
        </is>
      </c>
      <c r="B28" s="84" t="inlineStr">
        <is>
          <t>USN</t>
        </is>
      </c>
      <c r="C28"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8" s="94">
        <f>IFERROR(C28/C$50,0)</f>
        <v/>
      </c>
    </row>
    <row r="29" ht="10" customHeight="1">
      <c r="A29" s="84" t="inlineStr">
        <is>
          <t>Aviation Logistics Support Ship</t>
        </is>
      </c>
      <c r="B29" s="84" t="inlineStr">
        <is>
          <t>USN</t>
        </is>
      </c>
      <c r="C29"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29" s="94">
        <f>IFERROR(C29/C$50,0)</f>
        <v/>
      </c>
    </row>
    <row r="30" ht="10" customHeight="1">
      <c r="A30" s="84" t="inlineStr">
        <is>
          <t>High Speed Transport</t>
        </is>
      </c>
      <c r="B30" s="84" t="inlineStr">
        <is>
          <t>USN</t>
        </is>
      </c>
      <c r="C30"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0" s="94">
        <f>IFERROR(C30/C$50,0)</f>
        <v/>
      </c>
    </row>
    <row r="31" ht="10" customHeight="1">
      <c r="A31" s="84" t="inlineStr">
        <is>
          <t>Cargo &amp; Vehicle Cargo Ships</t>
        </is>
      </c>
      <c r="B31" s="84" t="inlineStr">
        <is>
          <t>USN</t>
        </is>
      </c>
      <c r="C31"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1" s="94">
        <f>IFERROR(C31/C$50,0)</f>
        <v/>
      </c>
    </row>
    <row r="32" ht="10" customHeight="1">
      <c r="A32" s="84" t="inlineStr">
        <is>
          <t>Hospital Ship</t>
        </is>
      </c>
      <c r="B32" s="84" t="inlineStr">
        <is>
          <t>MSC</t>
        </is>
      </c>
      <c r="C32"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2" s="94">
        <f>IFERROR(C32/C$50,0)</f>
        <v/>
      </c>
    </row>
    <row r="33" ht="10" customHeight="1">
      <c r="A33" s="84" t="inlineStr">
        <is>
          <t>Crane Ship</t>
        </is>
      </c>
      <c r="B33" s="84" t="inlineStr">
        <is>
          <t>USN</t>
        </is>
      </c>
      <c r="C33"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3" s="94">
        <f>IFERROR(C33/C$50,0)</f>
        <v/>
      </c>
    </row>
    <row r="34" ht="10" customHeight="1">
      <c r="A34" s="84" t="inlineStr">
        <is>
          <t>General Auxiliary</t>
        </is>
      </c>
      <c r="B34" s="84" t="inlineStr">
        <is>
          <t>USN</t>
        </is>
      </c>
      <c r="C34"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4" s="94">
        <f>IFERROR(C34/C$50,0)</f>
        <v/>
      </c>
    </row>
    <row r="35" ht="10" customHeight="1">
      <c r="A35" s="84" t="inlineStr">
        <is>
          <t>Mine Warfare</t>
        </is>
      </c>
      <c r="B35" s="84" t="inlineStr">
        <is>
          <t>USN</t>
        </is>
      </c>
      <c r="C35"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5" s="94">
        <f>IFERROR(C35/C$50,0)</f>
        <v/>
      </c>
    </row>
    <row r="36" ht="10" customHeight="1">
      <c r="A36" s="84" t="inlineStr">
        <is>
          <t>Unmanned Undersea Vehicles</t>
        </is>
      </c>
      <c r="B36" s="84" t="inlineStr">
        <is>
          <t>USN</t>
        </is>
      </c>
      <c r="C36"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6" s="94">
        <f>IFERROR(C36/C$50,0)</f>
        <v/>
      </c>
    </row>
    <row r="37" ht="10" customHeight="1">
      <c r="A37" s="84" t="inlineStr">
        <is>
          <t>Submarine Escort Ship</t>
        </is>
      </c>
      <c r="B37" s="84" t="inlineStr">
        <is>
          <t>USN</t>
        </is>
      </c>
      <c r="C37"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7" s="94">
        <f>IFERROR(C37/C$50,0)</f>
        <v/>
      </c>
    </row>
    <row r="38" ht="10" customHeight="1">
      <c r="A38" s="84" t="inlineStr">
        <is>
          <t>Combat Logistics Ships</t>
        </is>
      </c>
      <c r="B38" s="84" t="inlineStr">
        <is>
          <t>MSC</t>
        </is>
      </c>
      <c r="C38"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8" s="94">
        <f>IFERROR(C38/C$50,0)</f>
        <v/>
      </c>
    </row>
    <row r="39" ht="10" customHeight="1">
      <c r="A39" s="84" t="inlineStr">
        <is>
          <t>Research, Survey &amp; Instrumentation Ships</t>
        </is>
      </c>
      <c r="B39" s="84" t="inlineStr">
        <is>
          <t>MSC</t>
        </is>
      </c>
      <c r="C39"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9" s="94">
        <f>IFERROR(C39/C$50,0)</f>
        <v/>
      </c>
    </row>
    <row r="40" ht="10" customHeight="1">
      <c r="A40" s="84" t="inlineStr">
        <is>
          <t>Unmanned Surface Vehicles</t>
        </is>
      </c>
      <c r="B40" s="84" t="inlineStr">
        <is>
          <t>USN</t>
        </is>
      </c>
      <c r="C40"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0" s="94">
        <f>IFERROR(C40/C$50,0)</f>
        <v/>
      </c>
    </row>
    <row r="41" ht="10" customHeight="1">
      <c r="A41" s="84" t="inlineStr">
        <is>
          <t>Salvage Ships &amp; Fleet Ocean Tugs</t>
        </is>
      </c>
      <c r="B41" s="84" t="inlineStr">
        <is>
          <t>MSC</t>
        </is>
      </c>
      <c r="C41"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1" s="94">
        <f>IFERROR(C41/C$50,0)</f>
        <v/>
      </c>
    </row>
    <row r="42" ht="10" customHeight="1">
      <c r="A42" s="84" t="inlineStr">
        <is>
          <t>Material Support Ships</t>
        </is>
      </c>
      <c r="B42" s="84" t="inlineStr">
        <is>
          <t>USN</t>
        </is>
      </c>
      <c r="C42"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2" s="94">
        <f>IFERROR(C42/C$50,0)</f>
        <v/>
      </c>
    </row>
    <row r="43" ht="10" customHeight="1">
      <c r="A43" s="84" t="inlineStr">
        <is>
          <t>Coastal Buoy Tenders</t>
        </is>
      </c>
      <c r="B43" s="84" t="inlineStr">
        <is>
          <t>USCG</t>
        </is>
      </c>
      <c r="C43"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3" s="94">
        <f>IFERROR(C43/C$50,0)</f>
        <v/>
      </c>
    </row>
    <row r="44" ht="10" customHeight="1">
      <c r="A44" s="84" t="inlineStr">
        <is>
          <t>Offshore Patrol Cutter</t>
        </is>
      </c>
      <c r="B44" s="84" t="inlineStr">
        <is>
          <t>USCG</t>
        </is>
      </c>
      <c r="C44"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94">
        <f>IFERROR(C44/C$50,0)</f>
        <v/>
      </c>
    </row>
    <row r="45" ht="10" customHeight="1">
      <c r="A45" s="84" t="inlineStr">
        <is>
          <t>Icebreakers, Great Lakes</t>
        </is>
      </c>
      <c r="B45" s="84" t="inlineStr">
        <is>
          <t>USCG</t>
        </is>
      </c>
      <c r="C45"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5" s="94">
        <f>IFERROR(C45/C$50,0)</f>
        <v/>
      </c>
    </row>
    <row r="46" ht="10" customHeight="1">
      <c r="A46" s="84" t="inlineStr">
        <is>
          <t>Waterways Commerce Cutters</t>
        </is>
      </c>
      <c r="B46" s="84" t="inlineStr">
        <is>
          <t>USCG</t>
        </is>
      </c>
      <c r="C46"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6" s="94">
        <f>IFERROR(C46/C$50,0)</f>
        <v/>
      </c>
    </row>
    <row r="47" ht="10" customHeight="1">
      <c r="A47" s="84" t="inlineStr">
        <is>
          <t>Fast Response Cutters</t>
        </is>
      </c>
      <c r="B47" s="84" t="inlineStr">
        <is>
          <t>USCG</t>
        </is>
      </c>
      <c r="C47"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7" s="94">
        <f>IFERROR(C47/C$50,0)</f>
        <v/>
      </c>
    </row>
    <row r="48" ht="10" customHeight="1">
      <c r="A48" s="84" t="inlineStr">
        <is>
          <t>Icebreakers, Oceangoing</t>
        </is>
      </c>
      <c r="B48" s="84" t="inlineStr">
        <is>
          <t>USCG</t>
        </is>
      </c>
      <c r="C48"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8" s="94">
        <f>IFERROR(C48/C$50,0)</f>
        <v/>
      </c>
    </row>
    <row r="49" ht="10" customHeight="1">
      <c r="A49" s="84" t="inlineStr">
        <is>
          <t>National Security Cutters</t>
        </is>
      </c>
      <c r="B49" s="84" t="inlineStr">
        <is>
          <t>USCG</t>
        </is>
      </c>
      <c r="C49"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9" s="94">
        <f>IFERROR(C49/C$50,0)</f>
        <v/>
      </c>
    </row>
    <row r="50" ht="10" customHeight="1">
      <c r="A50" s="86" t="inlineStr">
        <is>
          <t>MRO TAM</t>
        </is>
      </c>
      <c r="B50" s="86" t="inlineStr"/>
      <c r="C50" s="87">
        <f>SUM(C22:C49)</f>
        <v/>
      </c>
      <c r="D50" s="95" t="n">
        <v>1</v>
      </c>
    </row>
    <row r="51" ht="10" customHeight="1"/>
    <row r="52" ht="10" customHeight="1">
      <c r="A52" s="81" t="inlineStr">
        <is>
          <t>(D) MRO TAM — Work Type by Vessel Type (Mekko)</t>
        </is>
      </c>
      <c r="B52" s="82" t="n"/>
      <c r="C52" s="82" t="n"/>
      <c r="D52" s="82" t="n"/>
      <c r="E52" s="82" t="n"/>
      <c r="F52" s="82" t="n"/>
      <c r="G52" s="82" t="n"/>
      <c r="H52" s="82" t="n"/>
      <c r="I52" s="82" t="n"/>
      <c r="J52" s="82" t="n"/>
    </row>
    <row r="53" ht="10" customHeight="1">
      <c r="B53" s="93" t="inlineStr">
        <is>
          <t>USN</t>
        </is>
      </c>
    </row>
    <row r="54" ht="10" customHeight="1">
      <c r="A54" s="83" t="inlineStr">
        <is>
          <t>Work Type</t>
        </is>
      </c>
      <c r="B54" s="83" t="inlineStr">
        <is>
          <t>Submarines</t>
        </is>
      </c>
      <c r="C54" s="83" t="inlineStr">
        <is>
          <t>Surface Combatants</t>
        </is>
      </c>
      <c r="D54" s="83" t="inlineStr">
        <is>
          <t>Aircraft Carriers</t>
        </is>
      </c>
      <c r="E54" s="83" t="inlineStr">
        <is>
          <t>Amphibious Warfare Ships</t>
        </is>
      </c>
      <c r="F54" s="83" t="inlineStr">
        <is>
          <t>Surveillance Ships</t>
        </is>
      </c>
      <c r="G54" s="83" t="inlineStr">
        <is>
          <t>Expeditionary &amp; Seabasing Ships</t>
        </is>
      </c>
      <c r="H54" s="83" t="inlineStr">
        <is>
          <t>Command Ships</t>
        </is>
      </c>
      <c r="I54" s="83" t="inlineStr">
        <is>
          <t>Total</t>
        </is>
      </c>
    </row>
    <row r="55" ht="10" customHeight="1">
      <c r="A55" s="84" t="inlineStr">
        <is>
          <t>Modernization</t>
        </is>
      </c>
      <c r="B55" s="94">
        <f>IFERROR((SUMIFS(JB_27U,JB_B,4,JB_W,"Submarines",JB_S,"",JB_27U,"&lt;&gt;")+SUMIFS(JB_27S,JB_B,4,JB_W,"Submarines",JB_S,"",JB_27U,"")+SUMIFS(JB_27U,JB_B,4,JB_W,"Submarines",JB_S,"[PARENT]",JB_27U,"&lt;&gt;")+SUMIFS(JB_27S,JB_B,4,JB_W,"Submarines",JB_S,"[PARENT]",JB_27U,""))/B$59,0)</f>
        <v/>
      </c>
      <c r="C55" s="94">
        <f>IFERROR((SUMIFS(JB_27U,JB_B,4,JB_W,"Surface Combatants",JB_S,"",JB_27U,"&lt;&gt;")+SUMIFS(JB_27S,JB_B,4,JB_W,"Surface Combatants",JB_S,"",JB_27U,"")+SUMIFS(JB_27U,JB_B,4,JB_W,"Surface Combatants",JB_S,"[PARENT]",JB_27U,"&lt;&gt;")+SUMIFS(JB_27S,JB_B,4,JB_W,"Surface Combatants",JB_S,"[PARENT]",JB_27U,""))/C$59,0)</f>
        <v/>
      </c>
      <c r="D55" s="94">
        <f>IFERROR((SUMIFS(JB_27U,JB_B,4,JB_W,"Aircraft Carriers",JB_S,"",JB_27U,"&lt;&gt;")+SUMIFS(JB_27S,JB_B,4,JB_W,"Aircraft Carriers",JB_S,"",JB_27U,"")+SUMIFS(JB_27U,JB_B,4,JB_W,"Aircraft Carriers",JB_S,"[PARENT]",JB_27U,"&lt;&gt;")+SUMIFS(JB_27S,JB_B,4,JB_W,"Aircraft Carriers",JB_S,"[PARENT]",JB_27U,""))/D$59,0)</f>
        <v/>
      </c>
      <c r="E55" s="94">
        <f>IFERROR((SUMIFS(JB_27U,JB_B,4,JB_W,"Amphibious Warfare Ships",JB_S,"",JB_27U,"&lt;&gt;")+SUMIFS(JB_27S,JB_B,4,JB_W,"Amphibious Warfare Ships",JB_S,"",JB_27U,"")+SUMIFS(JB_27U,JB_B,4,JB_W,"Amphibious Warfare Ships",JB_S,"[PARENT]",JB_27U,"&lt;&gt;")+SUMIFS(JB_27S,JB_B,4,JB_W,"Amphibious Warfare Ships",JB_S,"[PARENT]",JB_27U,""))/E$59,0)</f>
        <v/>
      </c>
      <c r="F55" s="94">
        <f>IFERROR((SUMIFS(JB_27U,JB_B,4,JB_W,"Surveillance Ships",JB_S,"",JB_27U,"&lt;&gt;")+SUMIFS(JB_27S,JB_B,4,JB_W,"Surveillance Ships",JB_S,"",JB_27U,"")+SUMIFS(JB_27U,JB_B,4,JB_W,"Surveillance Ships",JB_S,"[PARENT]",JB_27U,"&lt;&gt;")+SUMIFS(JB_27S,JB_B,4,JB_W,"Surveillance Ships",JB_S,"[PARENT]",JB_27U,""))/F$59,0)</f>
        <v/>
      </c>
      <c r="G55" s="94">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Ships",JB_S,"[PARENT]",JB_27U,""))/G$59,0)</f>
        <v/>
      </c>
      <c r="H55" s="94">
        <f>IFERROR((SUMIFS(JB_27U,JB_B,4,JB_W,"Command Ships",JB_S,"",JB_27U,"&lt;&gt;")+SUMIFS(JB_27S,JB_B,4,JB_W,"Command Ships",JB_S,"",JB_27U,"")+SUMIFS(JB_27U,JB_B,4,JB_W,"Command Ships",JB_S,"[PARENT]",JB_27U,"&lt;&gt;")+SUMIFS(JB_27S,JB_B,4,JB_W,"Command Ships",JB_S,"[PARENT]",JB_27U,""))/H$59,0)</f>
        <v/>
      </c>
      <c r="I55" s="94">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Platforms",JB_S,"[PARENT]",JB_27U,""))/I$59,0)</f>
        <v/>
      </c>
    </row>
    <row r="56" ht="10" customHeight="1">
      <c r="A56" s="84" t="inlineStr">
        <is>
          <t>Major Life-Cycle Events / RCOH</t>
        </is>
      </c>
      <c r="B56" s="94">
        <f>IFERROR((SUMIFS(JB_27U,JB_B,5,JB_W,"Submarines",JB_S,"",JB_27U,"&lt;&gt;")+SUMIFS(JB_27S,JB_B,5,JB_W,"Submarines",JB_S,"",JB_27U,"")+SUMIFS(JB_27U,JB_B,5,JB_W,"Submarines",JB_S,"[PARENT]",JB_27U,"&lt;&gt;")+SUMIFS(JB_27S,JB_B,5,JB_W,"Submarines",JB_S,"[PARENT]",JB_27U,""))/B$59,0)</f>
        <v/>
      </c>
      <c r="C56" s="94">
        <f>IFERROR((SUMIFS(JB_27U,JB_B,5,JB_W,"Surface Combatants",JB_S,"",JB_27U,"&lt;&gt;")+SUMIFS(JB_27S,JB_B,5,JB_W,"Surface Combatants",JB_S,"",JB_27U,"")+SUMIFS(JB_27U,JB_B,5,JB_W,"Surface Combatants",JB_S,"[PARENT]",JB_27U,"&lt;&gt;")+SUMIFS(JB_27S,JB_B,5,JB_W,"Surface Combatants",JB_S,"[PARENT]",JB_27U,""))/C$59,0)</f>
        <v/>
      </c>
      <c r="D56" s="94">
        <f>IFERROR((SUMIFS(JB_27U,JB_B,5,JB_W,"Aircraft Carriers",JB_S,"",JB_27U,"&lt;&gt;")+SUMIFS(JB_27S,JB_B,5,JB_W,"Aircraft Carriers",JB_S,"",JB_27U,"")+SUMIFS(JB_27U,JB_B,5,JB_W,"Aircraft Carriers",JB_S,"[PARENT]",JB_27U,"&lt;&gt;")+SUMIFS(JB_27S,JB_B,5,JB_W,"Aircraft Carriers",JB_S,"[PARENT]",JB_27U,""))/D$59,0)</f>
        <v/>
      </c>
      <c r="E56" s="94">
        <f>IFERROR((SUMIFS(JB_27U,JB_B,5,JB_W,"Amphibious Warfare Ships",JB_S,"",JB_27U,"&lt;&gt;")+SUMIFS(JB_27S,JB_B,5,JB_W,"Amphibious Warfare Ships",JB_S,"",JB_27U,"")+SUMIFS(JB_27U,JB_B,5,JB_W,"Amphibious Warfare Ships",JB_S,"[PARENT]",JB_27U,"&lt;&gt;")+SUMIFS(JB_27S,JB_B,5,JB_W,"Amphibious Warfare Ships",JB_S,"[PARENT]",JB_27U,""))/E$59,0)</f>
        <v/>
      </c>
      <c r="F56" s="94">
        <f>IFERROR((SUMIFS(JB_27U,JB_B,5,JB_W,"Surveillance Ships",JB_S,"",JB_27U,"&lt;&gt;")+SUMIFS(JB_27S,JB_B,5,JB_W,"Surveillance Ships",JB_S,"",JB_27U,"")+SUMIFS(JB_27U,JB_B,5,JB_W,"Surveillance Ships",JB_S,"[PARENT]",JB_27U,"&lt;&gt;")+SUMIFS(JB_27S,JB_B,5,JB_W,"Surveillance Ships",JB_S,"[PARENT]",JB_27U,""))/F$59,0)</f>
        <v/>
      </c>
      <c r="G56" s="94">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Ships",JB_S,"[PARENT]",JB_27U,""))/G$59,0)</f>
        <v/>
      </c>
      <c r="H56" s="94">
        <f>IFERROR((SUMIFS(JB_27U,JB_B,5,JB_W,"Command Ships",JB_S,"",JB_27U,"&lt;&gt;")+SUMIFS(JB_27S,JB_B,5,JB_W,"Command Ships",JB_S,"",JB_27U,"")+SUMIFS(JB_27U,JB_B,5,JB_W,"Command Ships",JB_S,"[PARENT]",JB_27U,"&lt;&gt;")+SUMIFS(JB_27S,JB_B,5,JB_W,"Command Ships",JB_S,"[PARENT]",JB_27U,""))/H$59,0)</f>
        <v/>
      </c>
      <c r="I56" s="94">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Platforms",JB_S,"[PARENT]",JB_27U,""))/I$59,0)</f>
        <v/>
      </c>
    </row>
    <row r="57" ht="10" customHeight="1">
      <c r="A57" s="84" t="inlineStr">
        <is>
          <t>Sustainment Engineering</t>
        </is>
      </c>
      <c r="B57" s="94">
        <f>IFERROR((SUMIFS(JB_27U,JB_B,6,JB_W,"Submarines",JB_S,"",JB_27U,"&lt;&gt;")+SUMIFS(JB_27S,JB_B,6,JB_W,"Submarines",JB_S,"",JB_27U,"")+SUMIFS(JB_27U,JB_B,6,JB_W,"Submarines",JB_S,"[PARENT]",JB_27U,"&lt;&gt;")+SUMIFS(JB_27S,JB_B,6,JB_W,"Submarines",JB_S,"[PARENT]",JB_27U,""))/B$59,0)</f>
        <v/>
      </c>
      <c r="C57" s="94">
        <f>IFERROR((SUMIFS(JB_27U,JB_B,6,JB_W,"Surface Combatants",JB_S,"",JB_27U,"&lt;&gt;")+SUMIFS(JB_27S,JB_B,6,JB_W,"Surface Combatants",JB_S,"",JB_27U,"")+SUMIFS(JB_27U,JB_B,6,JB_W,"Surface Combatants",JB_S,"[PARENT]",JB_27U,"&lt;&gt;")+SUMIFS(JB_27S,JB_B,6,JB_W,"Surface Combatants",JB_S,"[PARENT]",JB_27U,""))/C$59,0)</f>
        <v/>
      </c>
      <c r="D57" s="94">
        <f>IFERROR((SUMIFS(JB_27U,JB_B,6,JB_W,"Aircraft Carriers",JB_S,"",JB_27U,"&lt;&gt;")+SUMIFS(JB_27S,JB_B,6,JB_W,"Aircraft Carriers",JB_S,"",JB_27U,"")+SUMIFS(JB_27U,JB_B,6,JB_W,"Aircraft Carriers",JB_S,"[PARENT]",JB_27U,"&lt;&gt;")+SUMIFS(JB_27S,JB_B,6,JB_W,"Aircraft Carriers",JB_S,"[PARENT]",JB_27U,""))/D$59,0)</f>
        <v/>
      </c>
      <c r="E57" s="94">
        <f>IFERROR((SUMIFS(JB_27U,JB_B,6,JB_W,"Amphibious Warfare Ships",JB_S,"",JB_27U,"&lt;&gt;")+SUMIFS(JB_27S,JB_B,6,JB_W,"Amphibious Warfare Ships",JB_S,"",JB_27U,"")+SUMIFS(JB_27U,JB_B,6,JB_W,"Amphibious Warfare Ships",JB_S,"[PARENT]",JB_27U,"&lt;&gt;")+SUMIFS(JB_27S,JB_B,6,JB_W,"Amphibious Warfare Ships",JB_S,"[PARENT]",JB_27U,""))/E$59,0)</f>
        <v/>
      </c>
      <c r="F57" s="94">
        <f>IFERROR((SUMIFS(JB_27U,JB_B,6,JB_W,"Surveillance Ships",JB_S,"",JB_27U,"&lt;&gt;")+SUMIFS(JB_27S,JB_B,6,JB_W,"Surveillance Ships",JB_S,"",JB_27U,"")+SUMIFS(JB_27U,JB_B,6,JB_W,"Surveillance Ships",JB_S,"[PARENT]",JB_27U,"&lt;&gt;")+SUMIFS(JB_27S,JB_B,6,JB_W,"Surveillance Ships",JB_S,"[PARENT]",JB_27U,""))/F$59,0)</f>
        <v/>
      </c>
      <c r="G57" s="94">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Ships",JB_S,"[PARENT]",JB_27U,""))/G$59,0)</f>
        <v/>
      </c>
      <c r="H57" s="94">
        <f>IFERROR((SUMIFS(JB_27U,JB_B,6,JB_W,"Command Ships",JB_S,"",JB_27U,"&lt;&gt;")+SUMIFS(JB_27S,JB_B,6,JB_W,"Command Ships",JB_S,"",JB_27U,"")+SUMIFS(JB_27U,JB_B,6,JB_W,"Command Ships",JB_S,"[PARENT]",JB_27U,"&lt;&gt;")+SUMIFS(JB_27S,JB_B,6,JB_W,"Command Ships",JB_S,"[PARENT]",JB_27U,""))/H$59,0)</f>
        <v/>
      </c>
      <c r="I57" s="94">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Platforms",JB_S,"[PARENT]",JB_27U,""))/I$59,0)</f>
        <v/>
      </c>
    </row>
    <row r="58" ht="10" customHeight="1">
      <c r="A58" s="84" t="inlineStr">
        <is>
          <t>Availability Support</t>
        </is>
      </c>
      <c r="B58" s="94">
        <f>IFERROR((SUMIFS(JB_27U,JB_B,7,JB_W,"Submarines",JB_S,"",JB_27U,"&lt;&gt;")+SUMIFS(JB_27S,JB_B,7,JB_W,"Submarines",JB_S,"",JB_27U,"")+SUMIFS(JB_27U,JB_B,7,JB_W,"Submarines",JB_S,"[PARENT]",JB_27U,"&lt;&gt;")+SUMIFS(JB_27S,JB_B,7,JB_W,"Submarines",JB_S,"[PARENT]",JB_27U,""))/B$59,0)</f>
        <v/>
      </c>
      <c r="C58" s="94">
        <f>IFERROR((SUMIFS(JB_27U,JB_B,7,JB_W,"Surface Combatants",JB_S,"",JB_27U,"&lt;&gt;")+SUMIFS(JB_27S,JB_B,7,JB_W,"Surface Combatants",JB_S,"",JB_27U,"")+SUMIFS(JB_27U,JB_B,7,JB_W,"Surface Combatants",JB_S,"[PARENT]",JB_27U,"&lt;&gt;")+SUMIFS(JB_27S,JB_B,7,JB_W,"Surface Combatants",JB_S,"[PARENT]",JB_27U,""))/C$59,0)</f>
        <v/>
      </c>
      <c r="D58" s="94">
        <f>IFERROR((SUMIFS(JB_27U,JB_B,7,JB_W,"Aircraft Carriers",JB_S,"",JB_27U,"&lt;&gt;")+SUMIFS(JB_27S,JB_B,7,JB_W,"Aircraft Carriers",JB_S,"",JB_27U,"")+SUMIFS(JB_27U,JB_B,7,JB_W,"Aircraft Carriers",JB_S,"[PARENT]",JB_27U,"&lt;&gt;")+SUMIFS(JB_27S,JB_B,7,JB_W,"Aircraft Carriers",JB_S,"[PARENT]",JB_27U,""))/D$59,0)</f>
        <v/>
      </c>
      <c r="E58" s="94">
        <f>IFERROR((SUMIFS(JB_27U,JB_B,7,JB_W,"Amphibious Warfare Ships",JB_S,"",JB_27U,"&lt;&gt;")+SUMIFS(JB_27S,JB_B,7,JB_W,"Amphibious Warfare Ships",JB_S,"",JB_27U,"")+SUMIFS(JB_27U,JB_B,7,JB_W,"Amphibious Warfare Ships",JB_S,"[PARENT]",JB_27U,"&lt;&gt;")+SUMIFS(JB_27S,JB_B,7,JB_W,"Amphibious Warfare Ships",JB_S,"[PARENT]",JB_27U,""))/E$59,0)</f>
        <v/>
      </c>
      <c r="F58" s="94">
        <f>IFERROR((SUMIFS(JB_27U,JB_B,7,JB_W,"Surveillance Ships",JB_S,"",JB_27U,"&lt;&gt;")+SUMIFS(JB_27S,JB_B,7,JB_W,"Surveillance Ships",JB_S,"",JB_27U,"")+SUMIFS(JB_27U,JB_B,7,JB_W,"Surveillance Ships",JB_S,"[PARENT]",JB_27U,"&lt;&gt;")+SUMIFS(JB_27S,JB_B,7,JB_W,"Surveillance Ships",JB_S,"[PARENT]",JB_27U,""))/F$59,0)</f>
        <v/>
      </c>
      <c r="G58" s="94">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Ships",JB_S,"[PARENT]",JB_27U,""))/G$59,0)</f>
        <v/>
      </c>
      <c r="H58" s="94">
        <f>IFERROR((SUMIFS(JB_27U,JB_B,7,JB_W,"Command Ships",JB_S,"",JB_27U,"&lt;&gt;")+SUMIFS(JB_27S,JB_B,7,JB_W,"Command Ships",JB_S,"",JB_27U,"")+SUMIFS(JB_27U,JB_B,7,JB_W,"Command Ships",JB_S,"[PARENT]",JB_27U,"&lt;&gt;")+SUMIFS(JB_27S,JB_B,7,JB_W,"Command Ships",JB_S,"[PARENT]",JB_27U,""))/H$59,0)</f>
        <v/>
      </c>
      <c r="I58" s="94">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Platforms",JB_S,"[PARENT]",JB_27U,""))/I$59,0)</f>
        <v/>
      </c>
    </row>
    <row r="59" ht="10" customHeight="1">
      <c r="A59" s="86" t="inlineStr">
        <is>
          <t>Total ($K)</t>
        </is>
      </c>
      <c r="B59"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9"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9"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9"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9"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9"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9"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9" s="87">
        <f>SUM(B59:H59)</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row>
    <row r="5" ht="10" customHeight="1">
      <c r="A5" s="84" t="inlineStr">
        <is>
          <t>MRO TAM</t>
        </is>
      </c>
      <c r="B5" s="96">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91" t="inlineStr">
        <is>
          <t>MRO SAM</t>
        </is>
      </c>
      <c r="B10" s="9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B13" s="93" t="inlineStr">
        <is>
          <t>USN</t>
        </is>
      </c>
      <c r="T13" s="93" t="inlineStr">
        <is>
          <t>USCG</t>
        </is>
      </c>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4">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4">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4">
        <f>IFERROR(E17/E$40,0)</f>
        <v/>
      </c>
    </row>
    <row r="18" ht="10" customHeight="1">
      <c r="A18" s="84" t="inlineStr">
        <is>
          <t>Submarine Escort Ship</t>
        </is>
      </c>
      <c r="B18" s="84" t="inlineStr">
        <is>
          <t>USN</t>
        </is>
      </c>
      <c r="C18" s="85">
        <f>SUMIFS(JB_27U,JB_B,2,JB_W,"Submarine Escort Ship",JB_S,"",JB_27U,"&lt;&gt;")+SUMIFS(JB_27S,JB_B,2,JB_W,"Submarine Escort Ship",JB_S,"",JB_27U,"")+SUMIFS(JB_27U,JB_B,2,JB_W,"Submarine Escort Ship",JB_S,"[PARENT]",JB_27U,"&lt;&gt;")+SUMIFS(JB_27S,JB_B,2,JB_W,"Submarine Escort Ship",JB_S,"[PARENT]",JB_27U,"")</f>
        <v/>
      </c>
      <c r="D18" s="85">
        <f>SUMIFS(JB_27U,JB_B,4,JB_W,"Submarine Escort Ship",JB_S,"",JB_27U,"&lt;&gt;")+SUMIFS(JB_27S,JB_B,4,JB_W,"Submarine Escort Ship",JB_S,"",JB_27U,"")+SUMIFS(JB_27U,JB_B,4,JB_W,"Submarine Escort Ship",JB_S,"[PARENT]",JB_27U,"&lt;&gt;")+SUMIFS(JB_27S,JB_B,4,JB_W,"Submarine Escort Ship",JB_S,"[PARENT]",JB_27U,"")</f>
        <v/>
      </c>
      <c r="E18" s="85">
        <f>C18+D18</f>
        <v/>
      </c>
      <c r="F18" s="94">
        <f>IFERROR(E18/E$40,0)</f>
        <v/>
      </c>
    </row>
    <row r="19" ht="10" customHeight="1">
      <c r="A19" s="84" t="inlineStr">
        <is>
          <t>Aviation Logistics Support Ship</t>
        </is>
      </c>
      <c r="B19" s="84" t="inlineStr">
        <is>
          <t>USN</t>
        </is>
      </c>
      <c r="C19"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19"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19" s="85">
        <f>C19+D19</f>
        <v/>
      </c>
      <c r="F19" s="94">
        <f>IFERROR(E19/E$40,0)</f>
        <v/>
      </c>
    </row>
    <row r="20" ht="10" customHeight="1">
      <c r="A20" s="84" t="inlineStr">
        <is>
          <t>High Speed Transport</t>
        </is>
      </c>
      <c r="B20" s="84" t="inlineStr">
        <is>
          <t>USN</t>
        </is>
      </c>
      <c r="C20" s="85">
        <f>SUMIFS(JB_27U,JB_B,2,JB_W,"High Speed Transport",JB_S,"",JB_27U,"&lt;&gt;")+SUMIFS(JB_27S,JB_B,2,JB_W,"High Speed Transport",JB_S,"",JB_27U,"")+SUMIFS(JB_27U,JB_B,2,JB_W,"High Speed Transport",JB_S,"[PARENT]",JB_27U,"&lt;&gt;")+SUMIFS(JB_27S,JB_B,2,JB_W,"High Speed Transport",JB_S,"[PARENT]",JB_27U,"")</f>
        <v/>
      </c>
      <c r="D20" s="85">
        <f>SUMIFS(JB_27U,JB_B,4,JB_W,"High Speed Transport",JB_S,"",JB_27U,"&lt;&gt;")+SUMIFS(JB_27S,JB_B,4,JB_W,"High Speed Transport",JB_S,"",JB_27U,"")+SUMIFS(JB_27U,JB_B,4,JB_W,"High Speed Transport",JB_S,"[PARENT]",JB_27U,"&lt;&gt;")+SUMIFS(JB_27S,JB_B,4,JB_W,"High Speed Transport",JB_S,"[PARENT]",JB_27U,"")</f>
        <v/>
      </c>
      <c r="E20" s="85">
        <f>C20+D20</f>
        <v/>
      </c>
      <c r="F20" s="94">
        <f>IFERROR(E20/E$40,0)</f>
        <v/>
      </c>
    </row>
    <row r="21" ht="10" customHeight="1">
      <c r="A21" s="84" t="inlineStr">
        <is>
          <t>Combat Logistics Ships</t>
        </is>
      </c>
      <c r="B21" s="84" t="inlineStr">
        <is>
          <t>MSC</t>
        </is>
      </c>
      <c r="C21" s="85">
        <f>SUMIFS(JB_27U,JB_B,2,JB_W,"Combat Logistics Ships",JB_S,"",JB_27U,"&lt;&gt;")+SUMIFS(JB_27S,JB_B,2,JB_W,"Combat Logistics Ships",JB_S,"",JB_27U,"")+SUMIFS(JB_27U,JB_B,2,JB_W,"Combat Logistics Ships",JB_S,"[PARENT]",JB_27U,"&lt;&gt;")+SUMIFS(JB_27S,JB_B,2,JB_W,"Combat Logistics Ships",JB_S,"[PARENT]",JB_27U,"")</f>
        <v/>
      </c>
      <c r="D21" s="85">
        <f>SUMIFS(JB_27U,JB_B,4,JB_W,"Combat Logistics Ships",JB_S,"",JB_27U,"&lt;&gt;")+SUMIFS(JB_27S,JB_B,4,JB_W,"Combat Logistics Ships",JB_S,"",JB_27U,"")+SUMIFS(JB_27U,JB_B,4,JB_W,"Combat Logistics Ships",JB_S,"[PARENT]",JB_27U,"&lt;&gt;")+SUMIFS(JB_27S,JB_B,4,JB_W,"Combat Logistics Ships",JB_S,"[PARENT]",JB_27U,"")</f>
        <v/>
      </c>
      <c r="E21" s="85">
        <f>C21+D21</f>
        <v/>
      </c>
      <c r="F21" s="94">
        <f>IFERROR(E21/E$40,0)</f>
        <v/>
      </c>
    </row>
    <row r="22" ht="10" customHeight="1">
      <c r="A22" s="84" t="inlineStr">
        <is>
          <t>Cargo &amp; Vehicle Cargo Ships</t>
        </is>
      </c>
      <c r="B22" s="84" t="inlineStr">
        <is>
          <t>USN</t>
        </is>
      </c>
      <c r="C22" s="85">
        <f>SUMIFS(JB_27U,JB_B,2,JB_W,"Cargo &amp; Vehicle Cargo Ships",JB_S,"",JB_27U,"&lt;&gt;")+SUMIFS(JB_27S,JB_B,2,JB_W,"Cargo &amp; Vehicle Cargo Ships",JB_S,"",JB_27U,"")+SUMIFS(JB_27U,JB_B,2,JB_W,"Cargo &amp; Vehicle Cargo Ships",JB_S,"[PARENT]",JB_27U,"&lt;&gt;")+SUMIFS(JB_27S,JB_B,2,JB_W,"Cargo &amp; Vehicle Cargo Ships",JB_S,"[PARENT]",JB_27U,"")</f>
        <v/>
      </c>
      <c r="D22" s="85">
        <f>SUMIFS(JB_27U,JB_B,4,JB_W,"Cargo &amp; Vehicle Cargo Ships",JB_S,"",JB_27U,"&lt;&gt;")+SUMIFS(JB_27S,JB_B,4,JB_W,"Cargo &amp; Vehicle Cargo Ships",JB_S,"",JB_27U,"")+SUMIFS(JB_27U,JB_B,4,JB_W,"Cargo &amp; Vehicle Cargo Ships",JB_S,"[PARENT]",JB_27U,"&lt;&gt;")+SUMIFS(JB_27S,JB_B,4,JB_W,"Cargo &amp; Vehicle Cargo Ships",JB_S,"[PARENT]",JB_27U,"")</f>
        <v/>
      </c>
      <c r="E22" s="85">
        <f>C22+D22</f>
        <v/>
      </c>
      <c r="F22" s="94">
        <f>IFERROR(E22/E$40,0)</f>
        <v/>
      </c>
    </row>
    <row r="23" ht="10" customHeight="1">
      <c r="A23" s="84" t="inlineStr">
        <is>
          <t>Hospital Ship</t>
        </is>
      </c>
      <c r="B23" s="84" t="inlineStr">
        <is>
          <t>MSC</t>
        </is>
      </c>
      <c r="C23" s="85">
        <f>SUMIFS(JB_27U,JB_B,2,JB_W,"Hospital Ship",JB_S,"",JB_27U,"&lt;&gt;")+SUMIFS(JB_27S,JB_B,2,JB_W,"Hospital Ship",JB_S,"",JB_27U,"")+SUMIFS(JB_27U,JB_B,2,JB_W,"Hospital Ship",JB_S,"[PARENT]",JB_27U,"&lt;&gt;")+SUMIFS(JB_27S,JB_B,2,JB_W,"Hospital Ship",JB_S,"[PARENT]",JB_27U,"")</f>
        <v/>
      </c>
      <c r="D23" s="85">
        <f>SUMIFS(JB_27U,JB_B,4,JB_W,"Hospital Ship",JB_S,"",JB_27U,"&lt;&gt;")+SUMIFS(JB_27S,JB_B,4,JB_W,"Hospital Ship",JB_S,"",JB_27U,"")+SUMIFS(JB_27U,JB_B,4,JB_W,"Hospital Ship",JB_S,"[PARENT]",JB_27U,"&lt;&gt;")+SUMIFS(JB_27S,JB_B,4,JB_W,"Hospital Ship",JB_S,"[PARENT]",JB_27U,"")</f>
        <v/>
      </c>
      <c r="E23" s="85">
        <f>C23+D23</f>
        <v/>
      </c>
      <c r="F23" s="94">
        <f>IFERROR(E23/E$40,0)</f>
        <v/>
      </c>
    </row>
    <row r="24" ht="10" customHeight="1">
      <c r="A24" s="84" t="inlineStr">
        <is>
          <t>Research, Survey &amp; Instrumentation Ships</t>
        </is>
      </c>
      <c r="B24" s="84" t="inlineStr">
        <is>
          <t>MSC</t>
        </is>
      </c>
      <c r="C24"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4"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4" s="85">
        <f>C24+D24</f>
        <v/>
      </c>
      <c r="F24" s="94">
        <f>IFERROR(E24/E$40,0)</f>
        <v/>
      </c>
    </row>
    <row r="25" ht="10" customHeight="1">
      <c r="A25" s="84" t="inlineStr">
        <is>
          <t>Unmanned Surface Vehicles</t>
        </is>
      </c>
      <c r="B25" s="84" t="inlineStr">
        <is>
          <t>USN</t>
        </is>
      </c>
      <c r="C25" s="85">
        <f>SUMIFS(JB_27U,JB_B,2,JB_W,"Unmanned Surface Vehicles",JB_S,"",JB_27U,"&lt;&gt;")+SUMIFS(JB_27S,JB_B,2,JB_W,"Unmanned Surface Vehicles",JB_S,"",JB_27U,"")+SUMIFS(JB_27U,JB_B,2,JB_W,"Unmanned Surface Vehicles",JB_S,"[PARENT]",JB_27U,"&lt;&gt;")+SUMIFS(JB_27S,JB_B,2,JB_W,"Unmanned Surface Vehicles",JB_S,"[PARENT]",JB_27U,"")</f>
        <v/>
      </c>
      <c r="D25" s="85">
        <f>SUMIFS(JB_27U,JB_B,4,JB_W,"Unmanned Surface Vehicles",JB_S,"",JB_27U,"&lt;&gt;")+SUMIFS(JB_27S,JB_B,4,JB_W,"Unmanned Surface Vehicles",JB_S,"",JB_27U,"")+SUMIFS(JB_27U,JB_B,4,JB_W,"Unmanned Surface Vehicles",JB_S,"[PARENT]",JB_27U,"&lt;&gt;")+SUMIFS(JB_27S,JB_B,4,JB_W,"Unmanned Surface Vehicles",JB_S,"[PARENT]",JB_27U,"")</f>
        <v/>
      </c>
      <c r="E25" s="85">
        <f>C25+D25</f>
        <v/>
      </c>
      <c r="F25" s="94">
        <f>IFERROR(E25/E$40,0)</f>
        <v/>
      </c>
    </row>
    <row r="26" ht="10" customHeight="1">
      <c r="A26" s="84" t="inlineStr">
        <is>
          <t>Command Ships</t>
        </is>
      </c>
      <c r="B26" s="84" t="inlineStr">
        <is>
          <t>USN</t>
        </is>
      </c>
      <c r="C26" s="85">
        <f>SUMIFS(JB_27U,JB_B,2,JB_W,"Command Ships",JB_S,"",JB_27U,"&lt;&gt;")+SUMIFS(JB_27S,JB_B,2,JB_W,"Command Ships",JB_S,"",JB_27U,"")+SUMIFS(JB_27U,JB_B,2,JB_W,"Command Ships",JB_S,"[PARENT]",JB_27U,"&lt;&gt;")+SUMIFS(JB_27S,JB_B,2,JB_W,"Command Ships",JB_S,"[PARENT]",JB_27U,"")</f>
        <v/>
      </c>
      <c r="D26" s="85">
        <f>SUMIFS(JB_27U,JB_B,4,JB_W,"Command Ships",JB_S,"",JB_27U,"&lt;&gt;")+SUMIFS(JB_27S,JB_B,4,JB_W,"Command Ships",JB_S,"",JB_27U,"")+SUMIFS(JB_27U,JB_B,4,JB_W,"Command Ships",JB_S,"[PARENT]",JB_27U,"&lt;&gt;")+SUMIFS(JB_27S,JB_B,4,JB_W,"Command Ships",JB_S,"[PARENT]",JB_27U,"")</f>
        <v/>
      </c>
      <c r="E26" s="85">
        <f>C26+D26</f>
        <v/>
      </c>
      <c r="F26" s="94">
        <f>IFERROR(E26/E$40,0)</f>
        <v/>
      </c>
    </row>
    <row r="27" ht="10" customHeight="1">
      <c r="A27" s="84" t="inlineStr">
        <is>
          <t>Expeditionary &amp; Seabasing Ships</t>
        </is>
      </c>
      <c r="B27" s="84" t="inlineStr">
        <is>
          <t>USN</t>
        </is>
      </c>
      <c r="C27"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7"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7" s="85">
        <f>C27+D27</f>
        <v/>
      </c>
      <c r="F27" s="94">
        <f>IFERROR(E27/E$40,0)</f>
        <v/>
      </c>
    </row>
    <row r="28" ht="10" customHeight="1">
      <c r="A28" s="84" t="inlineStr">
        <is>
          <t>Salvage Ships &amp; Fleet Ocean Tugs</t>
        </is>
      </c>
      <c r="B28" s="84" t="inlineStr">
        <is>
          <t>MSC</t>
        </is>
      </c>
      <c r="C28"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8"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8" s="85">
        <f>C28+D28</f>
        <v/>
      </c>
      <c r="F28" s="94">
        <f>IFERROR(E28/E$40,0)</f>
        <v/>
      </c>
    </row>
    <row r="29" ht="10" customHeight="1">
      <c r="A29" s="84" t="inlineStr">
        <is>
          <t>Material Support Ships</t>
        </is>
      </c>
      <c r="B29" s="84" t="inlineStr">
        <is>
          <t>USN</t>
        </is>
      </c>
      <c r="C29" s="85">
        <f>SUMIFS(JB_27U,JB_B,2,JB_W,"Material Support Ships",JB_S,"",JB_27U,"&lt;&gt;")+SUMIFS(JB_27S,JB_B,2,JB_W,"Material Support Ships",JB_S,"",JB_27U,"")+SUMIFS(JB_27U,JB_B,2,JB_W,"Material Support Ships",JB_S,"[PARENT]",JB_27U,"&lt;&gt;")+SUMIFS(JB_27S,JB_B,2,JB_W,"Material Support Ships",JB_S,"[PARENT]",JB_27U,"")</f>
        <v/>
      </c>
      <c r="D29" s="85">
        <f>SUMIFS(JB_27U,JB_B,4,JB_W,"Material Support Ships",JB_S,"",JB_27U,"&lt;&gt;")+SUMIFS(JB_27S,JB_B,4,JB_W,"Material Support Ships",JB_S,"",JB_27U,"")+SUMIFS(JB_27U,JB_B,4,JB_W,"Material Support Ships",JB_S,"[PARENT]",JB_27U,"&lt;&gt;")+SUMIFS(JB_27S,JB_B,4,JB_W,"Material Support Ships",JB_S,"[PARENT]",JB_27U,"")</f>
        <v/>
      </c>
      <c r="E29" s="85">
        <f>C29+D29</f>
        <v/>
      </c>
      <c r="F29" s="94">
        <f>IFERROR(E29/E$40,0)</f>
        <v/>
      </c>
    </row>
    <row r="30" ht="10" customHeight="1">
      <c r="A30" s="84" t="inlineStr">
        <is>
          <t>Crane Ship</t>
        </is>
      </c>
      <c r="B30" s="84" t="inlineStr">
        <is>
          <t>USN</t>
        </is>
      </c>
      <c r="C30" s="85">
        <f>SUMIFS(JB_27U,JB_B,2,JB_W,"Crane Ship",JB_S,"",JB_27U,"&lt;&gt;")+SUMIFS(JB_27S,JB_B,2,JB_W,"Crane Ship",JB_S,"",JB_27U,"")+SUMIFS(JB_27U,JB_B,2,JB_W,"Crane Ship",JB_S,"[PARENT]",JB_27U,"&lt;&gt;")+SUMIFS(JB_27S,JB_B,2,JB_W,"Crane Ship",JB_S,"[PARENT]",JB_27U,"")</f>
        <v/>
      </c>
      <c r="D30" s="85">
        <f>SUMIFS(JB_27U,JB_B,4,JB_W,"Crane Ship",JB_S,"",JB_27U,"&lt;&gt;")+SUMIFS(JB_27S,JB_B,4,JB_W,"Crane Ship",JB_S,"",JB_27U,"")+SUMIFS(JB_27U,JB_B,4,JB_W,"Crane Ship",JB_S,"[PARENT]",JB_27U,"&lt;&gt;")+SUMIFS(JB_27S,JB_B,4,JB_W,"Crane Ship",JB_S,"[PARENT]",JB_27U,"")</f>
        <v/>
      </c>
      <c r="E30" s="85">
        <f>C30+D30</f>
        <v/>
      </c>
      <c r="F30" s="94">
        <f>IFERROR(E30/E$40,0)</f>
        <v/>
      </c>
    </row>
    <row r="31" ht="10" customHeight="1">
      <c r="A31" s="84" t="inlineStr">
        <is>
          <t>General Auxiliary</t>
        </is>
      </c>
      <c r="B31" s="84" t="inlineStr">
        <is>
          <t>USN</t>
        </is>
      </c>
      <c r="C31" s="85">
        <f>SUMIFS(JB_27U,JB_B,2,JB_W,"General Auxiliary",JB_S,"",JB_27U,"&lt;&gt;")+SUMIFS(JB_27S,JB_B,2,JB_W,"General Auxiliary",JB_S,"",JB_27U,"")+SUMIFS(JB_27U,JB_B,2,JB_W,"General Auxiliary",JB_S,"[PARENT]",JB_27U,"&lt;&gt;")+SUMIFS(JB_27S,JB_B,2,JB_W,"General Auxiliary",JB_S,"[PARENT]",JB_27U,"")</f>
        <v/>
      </c>
      <c r="D31" s="85">
        <f>SUMIFS(JB_27U,JB_B,4,JB_W,"General Auxiliary",JB_S,"",JB_27U,"&lt;&gt;")+SUMIFS(JB_27S,JB_B,4,JB_W,"General Auxiliary",JB_S,"",JB_27U,"")+SUMIFS(JB_27U,JB_B,4,JB_W,"General Auxiliary",JB_S,"[PARENT]",JB_27U,"&lt;&gt;")+SUMIFS(JB_27S,JB_B,4,JB_W,"General Auxiliary",JB_S,"[PARENT]",JB_27U,"")</f>
        <v/>
      </c>
      <c r="E31" s="85">
        <f>C31+D31</f>
        <v/>
      </c>
      <c r="F31" s="94">
        <f>IFERROR(E31/E$40,0)</f>
        <v/>
      </c>
    </row>
    <row r="32" ht="10" customHeight="1">
      <c r="A32" s="84" t="inlineStr">
        <is>
          <t>Mine Warfare</t>
        </is>
      </c>
      <c r="B32" s="84" t="inlineStr">
        <is>
          <t>USN</t>
        </is>
      </c>
      <c r="C32" s="85">
        <f>SUMIFS(JB_27U,JB_B,2,JB_W,"Mine Warfare",JB_S,"",JB_27U,"&lt;&gt;")+SUMIFS(JB_27S,JB_B,2,JB_W,"Mine Warfare",JB_S,"",JB_27U,"")+SUMIFS(JB_27U,JB_B,2,JB_W,"Mine Warfare",JB_S,"[PARENT]",JB_27U,"&lt;&gt;")+SUMIFS(JB_27S,JB_B,2,JB_W,"Mine Warfare",JB_S,"[PARENT]",JB_27U,"")</f>
        <v/>
      </c>
      <c r="D32" s="85">
        <f>SUMIFS(JB_27U,JB_B,4,JB_W,"Mine Warfare",JB_S,"",JB_27U,"&lt;&gt;")+SUMIFS(JB_27S,JB_B,4,JB_W,"Mine Warfare",JB_S,"",JB_27U,"")+SUMIFS(JB_27U,JB_B,4,JB_W,"Mine Warfare",JB_S,"[PARENT]",JB_27U,"&lt;&gt;")+SUMIFS(JB_27S,JB_B,4,JB_W,"Mine Warfare",JB_S,"[PARENT]",JB_27U,"")</f>
        <v/>
      </c>
      <c r="E32" s="85">
        <f>C32+D32</f>
        <v/>
      </c>
      <c r="F32" s="94">
        <f>IFERROR(E32/E$40,0)</f>
        <v/>
      </c>
    </row>
    <row r="33" ht="10" customHeight="1">
      <c r="A33" s="84" t="inlineStr">
        <is>
          <t>Coastal Buoy Tenders</t>
        </is>
      </c>
      <c r="B33" s="84" t="inlineStr">
        <is>
          <t>USCG</t>
        </is>
      </c>
      <c r="C33" s="85">
        <f>SUMIFS(JB_27U,JB_B,2,JB_W,"Coastal Buoy Tenders",JB_S,"",JB_27U,"&lt;&gt;")+SUMIFS(JB_27S,JB_B,2,JB_W,"Coastal Buoy Tenders",JB_S,"",JB_27U,"")+SUMIFS(JB_27U,JB_B,2,JB_W,"Coastal Buoy Tenders",JB_S,"[PARENT]",JB_27U,"&lt;&gt;")+SUMIFS(JB_27S,JB_B,2,JB_W,"Coastal Buoy Tenders",JB_S,"[PARENT]",JB_27U,"")</f>
        <v/>
      </c>
      <c r="D33" s="85">
        <f>SUMIFS(JB_27U,JB_B,4,JB_W,"Coastal Buoy Tenders",JB_S,"",JB_27U,"&lt;&gt;")+SUMIFS(JB_27S,JB_B,4,JB_W,"Coastal Buoy Tenders",JB_S,"",JB_27U,"")+SUMIFS(JB_27U,JB_B,4,JB_W,"Coastal Buoy Tenders",JB_S,"[PARENT]",JB_27U,"&lt;&gt;")+SUMIFS(JB_27S,JB_B,4,JB_W,"Coastal Buoy Tenders",JB_S,"[PARENT]",JB_27U,"")</f>
        <v/>
      </c>
      <c r="E33" s="85">
        <f>C33+D33</f>
        <v/>
      </c>
      <c r="F33" s="94">
        <f>IFERROR(E33/E$40,0)</f>
        <v/>
      </c>
    </row>
    <row r="34" ht="10" customHeight="1">
      <c r="A34" s="84" t="inlineStr">
        <is>
          <t>Offshore Patrol Cutter</t>
        </is>
      </c>
      <c r="B34" s="84" t="inlineStr">
        <is>
          <t>USCG</t>
        </is>
      </c>
      <c r="C34" s="85">
        <f>SUMIFS(JB_27U,JB_B,2,JB_W,"Offshore Patrol Cutter",JB_S,"",JB_27U,"&lt;&gt;")+SUMIFS(JB_27S,JB_B,2,JB_W,"Offshore Patrol Cutter",JB_S,"",JB_27U,"")+SUMIFS(JB_27U,JB_B,2,JB_W,"Offshore Patrol Cutter",JB_S,"[PARENT]",JB_27U,"&lt;&gt;")+SUMIFS(JB_27S,JB_B,2,JB_W,"Offshore Patrol Cutter",JB_S,"[PARENT]",JB_27U,"")</f>
        <v/>
      </c>
      <c r="D34" s="85">
        <f>SUMIFS(JB_27U,JB_B,4,JB_W,"Offshore Patrol Cutter",JB_S,"",JB_27U,"&lt;&gt;")+SUMIFS(JB_27S,JB_B,4,JB_W,"Offshore Patrol Cutter",JB_S,"",JB_27U,"")+SUMIFS(JB_27U,JB_B,4,JB_W,"Offshore Patrol Cutter",JB_S,"[PARENT]",JB_27U,"&lt;&gt;")+SUMIFS(JB_27S,JB_B,4,JB_W,"Offshore Patrol Cutter",JB_S,"[PARENT]",JB_27U,"")</f>
        <v/>
      </c>
      <c r="E34" s="85">
        <f>C34+D34</f>
        <v/>
      </c>
      <c r="F34" s="94">
        <f>IFERROR(E34/E$40,0)</f>
        <v/>
      </c>
    </row>
    <row r="35" ht="10" customHeight="1">
      <c r="A35" s="84" t="inlineStr">
        <is>
          <t>Icebreakers, Great Lakes</t>
        </is>
      </c>
      <c r="B35" s="84" t="inlineStr">
        <is>
          <t>USCG</t>
        </is>
      </c>
      <c r="C35" s="85">
        <f>SUMIFS(JB_27U,JB_B,2,JB_W,"Icebreakers, Great Lakes",JB_S,"",JB_27U,"&lt;&gt;")+SUMIFS(JB_27S,JB_B,2,JB_W,"Icebreakers, Great Lakes",JB_S,"",JB_27U,"")+SUMIFS(JB_27U,JB_B,2,JB_W,"Icebreakers, Great Lakes",JB_S,"[PARENT]",JB_27U,"&lt;&gt;")+SUMIFS(JB_27S,JB_B,2,JB_W,"Icebreakers, Great Lakes",JB_S,"[PARENT]",JB_27U,"")</f>
        <v/>
      </c>
      <c r="D35" s="85">
        <f>SUMIFS(JB_27U,JB_B,4,JB_W,"Icebreakers, Great Lakes",JB_S,"",JB_27U,"&lt;&gt;")+SUMIFS(JB_27S,JB_B,4,JB_W,"Icebreakers, Great Lakes",JB_S,"",JB_27U,"")+SUMIFS(JB_27U,JB_B,4,JB_W,"Icebreakers, Great Lakes",JB_S,"[PARENT]",JB_27U,"&lt;&gt;")+SUMIFS(JB_27S,JB_B,4,JB_W,"Icebreakers, Great Lakes",JB_S,"[PARENT]",JB_27U,"")</f>
        <v/>
      </c>
      <c r="E35" s="85">
        <f>C35+D35</f>
        <v/>
      </c>
      <c r="F35" s="94">
        <f>IFERROR(E35/E$40,0)</f>
        <v/>
      </c>
    </row>
    <row r="36" ht="10" customHeight="1">
      <c r="A36" s="84" t="inlineStr">
        <is>
          <t>Icebreakers, Oceangoing</t>
        </is>
      </c>
      <c r="B36" s="84" t="inlineStr">
        <is>
          <t>USCG</t>
        </is>
      </c>
      <c r="C36" s="85">
        <f>SUMIFS(JB_27U,JB_B,2,JB_W,"Icebreakers, Oceangoing",JB_S,"",JB_27U,"&lt;&gt;")+SUMIFS(JB_27S,JB_B,2,JB_W,"Icebreakers, Oceangoing",JB_S,"",JB_27U,"")+SUMIFS(JB_27U,JB_B,2,JB_W,"Icebreakers, Oceangoing",JB_S,"[PARENT]",JB_27U,"&lt;&gt;")+SUMIFS(JB_27S,JB_B,2,JB_W,"Icebreakers, Oceangoing",JB_S,"[PARENT]",JB_27U,"")</f>
        <v/>
      </c>
      <c r="D36" s="85">
        <f>SUMIFS(JB_27U,JB_B,4,JB_W,"Icebreakers, Oceangoing",JB_S,"",JB_27U,"&lt;&gt;")+SUMIFS(JB_27S,JB_B,4,JB_W,"Icebreakers, Oceangoing",JB_S,"",JB_27U,"")+SUMIFS(JB_27U,JB_B,4,JB_W,"Icebreakers, Oceangoing",JB_S,"[PARENT]",JB_27U,"&lt;&gt;")+SUMIFS(JB_27S,JB_B,4,JB_W,"Icebreakers, Oceangoing",JB_S,"[PARENT]",JB_27U,"")</f>
        <v/>
      </c>
      <c r="E36" s="85">
        <f>C36+D36</f>
        <v/>
      </c>
      <c r="F36" s="94">
        <f>IFERROR(E36/E$40,0)</f>
        <v/>
      </c>
    </row>
    <row r="37" ht="10" customHeight="1">
      <c r="A37" s="84" t="inlineStr">
        <is>
          <t>Waterways Commerce Cutters</t>
        </is>
      </c>
      <c r="B37" s="84" t="inlineStr">
        <is>
          <t>USCG</t>
        </is>
      </c>
      <c r="C37" s="85">
        <f>SUMIFS(JB_27U,JB_B,2,JB_W,"Waterways Commerce Cutters",JB_S,"",JB_27U,"&lt;&gt;")+SUMIFS(JB_27S,JB_B,2,JB_W,"Waterways Commerce Cutters",JB_S,"",JB_27U,"")+SUMIFS(JB_27U,JB_B,2,JB_W,"Waterways Commerce Cutters",JB_S,"[PARENT]",JB_27U,"&lt;&gt;")+SUMIFS(JB_27S,JB_B,2,JB_W,"Waterways Commerce Cutters",JB_S,"[PARENT]",JB_27U,"")</f>
        <v/>
      </c>
      <c r="D37" s="85">
        <f>SUMIFS(JB_27U,JB_B,4,JB_W,"Waterways Commerce Cutters",JB_S,"",JB_27U,"&lt;&gt;")+SUMIFS(JB_27S,JB_B,4,JB_W,"Waterways Commerce Cutters",JB_S,"",JB_27U,"")+SUMIFS(JB_27U,JB_B,4,JB_W,"Waterways Commerce Cutters",JB_S,"[PARENT]",JB_27U,"&lt;&gt;")+SUMIFS(JB_27S,JB_B,4,JB_W,"Waterways Commerce Cutters",JB_S,"[PARENT]",JB_27U,"")</f>
        <v/>
      </c>
      <c r="E37" s="85">
        <f>C37+D37</f>
        <v/>
      </c>
      <c r="F37" s="94">
        <f>IFERROR(E37/E$40,0)</f>
        <v/>
      </c>
    </row>
    <row r="38" ht="10" customHeight="1">
      <c r="A38" s="84" t="inlineStr">
        <is>
          <t>National Security Cutters</t>
        </is>
      </c>
      <c r="B38" s="84" t="inlineStr">
        <is>
          <t>USCG</t>
        </is>
      </c>
      <c r="C38" s="85">
        <f>SUMIFS(JB_27U,JB_B,2,JB_W,"National Security Cutters",JB_S,"",JB_27U,"&lt;&gt;")+SUMIFS(JB_27S,JB_B,2,JB_W,"National Security Cutters",JB_S,"",JB_27U,"")+SUMIFS(JB_27U,JB_B,2,JB_W,"National Security Cutters",JB_S,"[PARENT]",JB_27U,"&lt;&gt;")+SUMIFS(JB_27S,JB_B,2,JB_W,"National Security Cutters",JB_S,"[PARENT]",JB_27U,"")</f>
        <v/>
      </c>
      <c r="D38" s="85">
        <f>SUMIFS(JB_27U,JB_B,4,JB_W,"National Security Cutters",JB_S,"",JB_27U,"&lt;&gt;")+SUMIFS(JB_27S,JB_B,4,JB_W,"National Security Cutters",JB_S,"",JB_27U,"")+SUMIFS(JB_27U,JB_B,4,JB_W,"National Security Cutters",JB_S,"[PARENT]",JB_27U,"&lt;&gt;")+SUMIFS(JB_27S,JB_B,4,JB_W,"National Security Cutters",JB_S,"[PARENT]",JB_27U,"")</f>
        <v/>
      </c>
      <c r="E38" s="85">
        <f>C38+D38</f>
        <v/>
      </c>
      <c r="F38" s="94">
        <f>IFERROR(E38/E$40,0)</f>
        <v/>
      </c>
    </row>
    <row r="39" ht="10" customHeight="1">
      <c r="A39" s="84" t="inlineStr">
        <is>
          <t>Fast Response Cutters</t>
        </is>
      </c>
      <c r="B39" s="84" t="inlineStr">
        <is>
          <t>USCG</t>
        </is>
      </c>
      <c r="C39" s="85">
        <f>SUMIFS(JB_27U,JB_B,2,JB_W,"Fast Response Cutters",JB_S,"",JB_27U,"&lt;&gt;")+SUMIFS(JB_27S,JB_B,2,JB_W,"Fast Response Cutters",JB_S,"",JB_27U,"")+SUMIFS(JB_27U,JB_B,2,JB_W,"Fast Response Cutters",JB_S,"[PARENT]",JB_27U,"&lt;&gt;")+SUMIFS(JB_27S,JB_B,2,JB_W,"Fast Response Cutters",JB_S,"[PARENT]",JB_27U,"")</f>
        <v/>
      </c>
      <c r="D39" s="85">
        <f>SUMIFS(JB_27U,JB_B,4,JB_W,"Fast Response Cutters",JB_S,"",JB_27U,"&lt;&gt;")+SUMIFS(JB_27S,JB_B,4,JB_W,"Fast Response Cutters",JB_S,"",JB_27U,"")+SUMIFS(JB_27U,JB_B,4,JB_W,"Fast Response Cutters",JB_S,"[PARENT]",JB_27U,"&lt;&gt;")+SUMIFS(JB_27S,JB_B,4,JB_W,"Fast Response Cutters",JB_S,"[PARENT]",JB_27U,"")</f>
        <v/>
      </c>
      <c r="E39" s="85">
        <f>C39+D39</f>
        <v/>
      </c>
      <c r="F39" s="94">
        <f>IFERROR(E39/E$40,0)</f>
        <v/>
      </c>
    </row>
    <row r="40" ht="10" customHeight="1">
      <c r="A40" s="86" t="inlineStr">
        <is>
          <t>MRO SAM</t>
        </is>
      </c>
      <c r="B40" s="86" t="inlineStr"/>
      <c r="C40" s="87">
        <f>SUM(C15:C39)</f>
        <v/>
      </c>
      <c r="D40" s="87">
        <f>SUM(D15:D39)</f>
        <v/>
      </c>
      <c r="E40" s="87">
        <f>SUM(E15:E39)</f>
        <v/>
      </c>
      <c r="F40" s="95" t="n">
        <v>1</v>
      </c>
    </row>
    <row r="41" ht="10" customHeight="1"/>
    <row r="42" ht="10" customHeight="1">
      <c r="A42" s="81" t="inlineStr">
        <is>
          <t>(C) MRO SAM — SDM vs Modernization by Vessel Type (Mekko)</t>
        </is>
      </c>
      <c r="B42" s="82" t="n"/>
      <c r="C42" s="82" t="n"/>
      <c r="D42" s="82" t="n"/>
      <c r="E42" s="82" t="n"/>
      <c r="F42" s="82" t="n"/>
    </row>
    <row r="43" ht="10" customHeight="1">
      <c r="B43" s="93" t="inlineStr">
        <is>
          <t>USN</t>
        </is>
      </c>
    </row>
    <row r="44" ht="10" customHeight="1">
      <c r="A44" s="83" t="inlineStr">
        <is>
          <t>Work Type</t>
        </is>
      </c>
      <c r="B44" s="83" t="inlineStr">
        <is>
          <t>Surface Combatants</t>
        </is>
      </c>
      <c r="C44" s="83" t="inlineStr">
        <is>
          <t>Amphibious Warfare Ships</t>
        </is>
      </c>
      <c r="D44" s="83" t="inlineStr">
        <is>
          <t>Surveillance Ships</t>
        </is>
      </c>
      <c r="E44" s="83" t="inlineStr">
        <is>
          <t>Total</t>
        </is>
      </c>
    </row>
    <row r="45" ht="10" customHeight="1">
      <c r="A45" s="84" t="inlineStr">
        <is>
          <t>Scheduled Depot Maintenance</t>
        </is>
      </c>
      <c r="B45" s="94">
        <f>IFERROR((SUMIFS(JB_27U,JB_B,2,JB_W,"Surface Combatants",JB_S,"",JB_27U,"&lt;&gt;")+SUMIFS(JB_27S,JB_B,2,JB_W,"Surface Combatants",JB_S,"",JB_27U,"")+SUMIFS(JB_27U,JB_B,2,JB_W,"Surface Combatants",JB_S,"[PARENT]",JB_27U,"&lt;&gt;")+SUMIFS(JB_27S,JB_B,2,JB_W,"Surface Combatants",JB_S,"[PARENT]",JB_27U,""))/B$47,0)</f>
        <v/>
      </c>
      <c r="C45" s="94">
        <f>IFERROR((SUMIFS(JB_27U,JB_B,2,JB_W,"Amphibious Warfare Ships",JB_S,"",JB_27U,"&lt;&gt;")+SUMIFS(JB_27S,JB_B,2,JB_W,"Amphibious Warfare Ships",JB_S,"",JB_27U,"")+SUMIFS(JB_27U,JB_B,2,JB_W,"Amphibious Warfare Ships",JB_S,"[PARENT]",JB_27U,"&lt;&gt;")+SUMIFS(JB_27S,JB_B,2,JB_W,"Amphibious Warfare Ships",JB_S,"[PARENT]",JB_27U,""))/C$47,0)</f>
        <v/>
      </c>
      <c r="D45" s="94">
        <f>IFERROR((SUMIFS(JB_27U,JB_B,2,JB_W,"Surveillance Ships",JB_S,"",JB_27U,"&lt;&gt;")+SUMIFS(JB_27S,JB_B,2,JB_W,"Surveillance Ships",JB_S,"",JB_27U,"")+SUMIFS(JB_27U,JB_B,2,JB_W,"Surveillance Ships",JB_S,"[PARENT]",JB_27U,"&lt;&gt;")+SUMIFS(JB_27S,JB_B,2,JB_W,"Surveillance Ships",JB_S,"[PARENT]",JB_27U,""))/D$47,0)</f>
        <v/>
      </c>
      <c r="E45" s="94">
        <f>IFERROR(1-E46,0)</f>
        <v/>
      </c>
    </row>
    <row r="46" ht="10" customHeight="1">
      <c r="A46" s="84" t="inlineStr">
        <is>
          <t>Modernization</t>
        </is>
      </c>
      <c r="B46" s="94">
        <f>IFERROR((SUMIFS(JB_27U,JB_B,4,JB_W,"Surface Combatants",JB_S,"",JB_27U,"&lt;&gt;")+SUMIFS(JB_27S,JB_B,4,JB_W,"Surface Combatants",JB_S,"",JB_27U,"")+SUMIFS(JB_27U,JB_B,4,JB_W,"Surface Combatants",JB_S,"[PARENT]",JB_27U,"&lt;&gt;")+SUMIFS(JB_27S,JB_B,4,JB_W,"Surface Combatants",JB_S,"[PARENT]",JB_27U,""))/B$47,0)</f>
        <v/>
      </c>
      <c r="C46" s="94">
        <f>IFERROR((SUMIFS(JB_27U,JB_B,4,JB_W,"Amphibious Warfare Ships",JB_S,"",JB_27U,"&lt;&gt;")+SUMIFS(JB_27S,JB_B,4,JB_W,"Amphibious Warfare Ships",JB_S,"",JB_27U,"")+SUMIFS(JB_27U,JB_B,4,JB_W,"Amphibious Warfare Ships",JB_S,"[PARENT]",JB_27U,"&lt;&gt;")+SUMIFS(JB_27S,JB_B,4,JB_W,"Amphibious Warfare Ships",JB_S,"[PARENT]",JB_27U,""))/C$47,0)</f>
        <v/>
      </c>
      <c r="D46" s="94">
        <f>IFERROR((SUMIFS(JB_27U,JB_B,4,JB_W,"Surveillance Ships",JB_S,"",JB_27U,"&lt;&gt;")+SUMIFS(JB_27S,JB_B,4,JB_W,"Surveillance Ships",JB_S,"",JB_27U,"")+SUMIFS(JB_27U,JB_B,4,JB_W,"Surveillance Ships",JB_S,"[PARENT]",JB_27U,"&lt;&gt;")+SUMIFS(JB_27S,JB_B,4,JB_W,"Surveillance Ships",JB_S,"[PARENT]",JB_27U,""))/D$47,0)</f>
        <v/>
      </c>
      <c r="E46" s="94">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Ships",JB_S,"[PARENT]",JB_27U,""))/E$47,0)</f>
        <v/>
      </c>
    </row>
    <row r="47" ht="10" customHeight="1">
      <c r="A47" s="86" t="inlineStr">
        <is>
          <t>Total ($K)</t>
        </is>
      </c>
      <c r="B47" s="87">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7"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7"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7" s="87">
        <f>SUM(B47:D47)</f>
        <v/>
      </c>
    </row>
  </sheetData>
  <pageMargins left="0.75" right="0.75" top="1" bottom="1" header="0.5" footer="0.5"/>
</worksheet>
</file>

<file path=xl/worksheets/sheet12.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2026-04-12T22:00:26Z</dcterms:modified>
  <cp:lastModifiedBy>Brendan Toole</cp:lastModifiedBy>
  <cp:revision>0</cp:revision>
</cp:coreProperties>
</file>