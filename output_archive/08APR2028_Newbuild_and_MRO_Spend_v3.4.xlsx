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6 Total Funding" sheetId="2" state="visible" r:id="rId2"/>
    <sheet xmlns:r="http://schemas.openxmlformats.org/officeDocument/2006/relationships" name="FY26 Newbuild TAM" sheetId="3" state="visible" r:id="rId3"/>
    <sheet xmlns:r="http://schemas.openxmlformats.org/officeDocument/2006/relationships" name="FY26 Newbuild SAM" sheetId="4" state="visible" r:id="rId4"/>
    <sheet xmlns:r="http://schemas.openxmlformats.org/officeDocument/2006/relationships" name="FY26 MRO TAM" sheetId="5" state="visible" r:id="rId5"/>
    <sheet xmlns:r="http://schemas.openxmlformats.org/officeDocument/2006/relationships" name="FY26 MRO SAM" sheetId="6" state="visible" r:id="rId6"/>
    <sheet xmlns:r="http://schemas.openxmlformats.org/officeDocument/2006/relationships" name="FY27 Total Funding" sheetId="7" state="visible" r:id="rId7"/>
    <sheet xmlns:r="http://schemas.openxmlformats.org/officeDocument/2006/relationships" name="FY27 Newbuild TAM" sheetId="8" state="visible" r:id="rId8"/>
    <sheet xmlns:r="http://schemas.openxmlformats.org/officeDocument/2006/relationships" name="FY27 Newbuild SAM" sheetId="9" state="visible" r:id="rId9"/>
    <sheet xmlns:r="http://schemas.openxmlformats.org/officeDocument/2006/relationships" name="FY27 MRO TAM" sheetId="10" state="visible" r:id="rId10"/>
    <sheet xmlns:r="http://schemas.openxmlformats.org/officeDocument/2006/relationships" name="FY27 MRO SAM" sheetId="11" state="visible" r:id="rId11"/>
    <sheet xmlns:r="http://schemas.openxmlformats.org/officeDocument/2006/relationships" name="Competitive Dynamics" sheetId="12" state="visible" r:id="rId12"/>
    <sheet xmlns:r="http://schemas.openxmlformats.org/officeDocument/2006/relationships" name="Validation" sheetId="13" state="visible" r:id="rId13"/>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2">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5B7A99"/>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F2F4F7"/>
        <bgColor rgb="00F2F4F7"/>
      </patternFill>
    </fill>
    <fill>
      <patternFill patternType="solid">
        <fgColor rgb="00E0F2F1"/>
        <bgColor rgb="00E0F2F1"/>
      </patternFill>
    </fill>
  </fills>
  <borders count="9">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thin"/>
    </border>
    <border>
      <top style="medium"/>
    </border>
  </borders>
  <cellStyleXfs count="1">
    <xf numFmtId="0" fontId="0" fillId="0" borderId="3"/>
  </cellStyleXfs>
  <cellXfs count="96">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xf>
    <xf numFmtId="0" fontId="0" fillId="13" borderId="0" applyAlignment="1" pivotButton="0" quotePrefix="0" xfId="0">
      <alignment/>
    </xf>
    <xf numFmtId="0" fontId="34" fillId="0" borderId="0" applyAlignment="1" pivotButton="0" quotePrefix="0" xfId="0">
      <alignment/>
    </xf>
    <xf numFmtId="0" fontId="33" fillId="14" borderId="0" applyAlignment="1" pivotButton="0" quotePrefix="0" xfId="0">
      <alignment/>
    </xf>
    <xf numFmtId="0" fontId="0" fillId="14" borderId="0" applyAlignment="1" pivotButton="0" quotePrefix="0" xfId="0">
      <alignment/>
    </xf>
    <xf numFmtId="0" fontId="35" fillId="15" borderId="6" applyAlignment="1" pivotButton="0" quotePrefix="0" xfId="0">
      <alignment/>
    </xf>
    <xf numFmtId="0" fontId="36" fillId="0" borderId="0" applyAlignment="1" pivotButton="0" quotePrefix="0" xfId="0">
      <alignment/>
    </xf>
    <xf numFmtId="166" fontId="36" fillId="0" borderId="0" applyAlignment="1" pivotButton="0" quotePrefix="0" xfId="0">
      <alignment/>
    </xf>
    <xf numFmtId="0" fontId="35" fillId="0" borderId="7" applyAlignment="1" pivotButton="0" quotePrefix="0" xfId="0">
      <alignment/>
    </xf>
    <xf numFmtId="166" fontId="35" fillId="0" borderId="7" applyAlignment="1" pivotButton="0" quotePrefix="0" xfId="0">
      <alignment/>
    </xf>
    <xf numFmtId="0" fontId="37" fillId="0" borderId="0" applyAlignment="1" pivotButton="0" quotePrefix="0" xfId="0">
      <alignment/>
    </xf>
    <xf numFmtId="0" fontId="38" fillId="16" borderId="0" applyAlignment="1" pivotButton="0" quotePrefix="0" xfId="0">
      <alignment/>
    </xf>
    <xf numFmtId="166" fontId="38" fillId="16" borderId="0" applyAlignment="1" pivotButton="0" quotePrefix="0" xfId="0">
      <alignment/>
    </xf>
    <xf numFmtId="0" fontId="35" fillId="0" borderId="8" applyAlignment="1" pivotButton="0" quotePrefix="0" xfId="0">
      <alignment/>
    </xf>
    <xf numFmtId="166" fontId="35" fillId="0" borderId="8" applyAlignment="1" pivotButton="0" quotePrefix="0" xfId="0">
      <alignment/>
    </xf>
    <xf numFmtId="167" fontId="40" fillId="0" borderId="0" applyAlignment="1" pivotButton="0" quotePrefix="0" xfId="0">
      <alignment/>
    </xf>
    <xf numFmtId="167" fontId="39" fillId="0" borderId="7" applyAlignment="1" pivotButton="0" quotePrefix="0" xfId="0">
      <alignment/>
    </xf>
    <xf numFmtId="166" fontId="41" fillId="0" borderId="0" applyAlignment="1" pivotButton="0" quotePrefix="0" xfId="0">
      <alignmen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c r="C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c r="A15" s="81" t="inlineStr">
        <is>
          <t>(B) FY2026 Total Funding by Vessel Category</t>
        </is>
      </c>
      <c r="B15" s="82" t="n"/>
      <c r="C15" s="82" t="n"/>
    </row>
    <row r="16" ht="10" customHeight="1">
      <c r="A16" s="83" t="inlineStr">
        <is>
          <t>Category</t>
        </is>
      </c>
      <c r="B16" s="83" t="inlineStr">
        <is>
          <t>FY2026 ($K)</t>
        </is>
      </c>
      <c r="C16" s="83" t="inlineStr">
        <is>
          <t>TAM Scope</t>
        </is>
      </c>
    </row>
    <row r="17" ht="10" customHeight="1">
      <c r="A17" s="84" t="inlineStr">
        <is>
          <t>Combatant Ships</t>
        </is>
      </c>
      <c r="B17"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7" s="88" t="inlineStr">
        <is>
          <t>YES → TAM</t>
        </is>
      </c>
    </row>
    <row r="18" ht="10" customHeight="1">
      <c r="A18" s="84" t="inlineStr">
        <is>
          <t>Auxiliary Ships</t>
        </is>
      </c>
      <c r="B18"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8" s="88" t="inlineStr">
        <is>
          <t>YES → TAM</t>
        </is>
      </c>
    </row>
    <row r="19" ht="10" customHeight="1">
      <c r="A19" s="84" t="inlineStr">
        <is>
          <t>Cutters</t>
        </is>
      </c>
      <c r="B19" s="85">
        <f>SUMIFS(JB_R,JB_V,"Cutters",JB_S,"",JB_R,"&lt;&gt;")+SUMIFS(JB_N,JB_V,"Cutters",JB_S,"",JB_R,"",JB_N,"&lt;&gt;")+SUMIFS(JB_L,JB_V,"Cutters",JB_S,"",JB_R,"",JB_N,"")+SUMIFS(JB_R,JB_V,"Cutters",JB_S,"[PARENT]",JB_R,"&lt;&gt;")+SUMIFS(JB_N,JB_V,"Cutters",JB_S,"[PARENT]",JB_R,"",JB_N,"&lt;&gt;")+SUMIFS(JB_L,JB_V,"Cutters",JB_S,"[PARENT]",JB_R,"",JB_N,"")</f>
        <v/>
      </c>
      <c r="C19" s="88" t="inlineStr">
        <is>
          <t>YES → TAM</t>
        </is>
      </c>
    </row>
    <row r="20" ht="10" customHeight="1">
      <c r="A20" s="84" t="inlineStr">
        <is>
          <t>Unmanned Maritime Platforms</t>
        </is>
      </c>
      <c r="B20"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0" s="88" t="inlineStr">
        <is>
          <t>YES → TAM</t>
        </is>
      </c>
    </row>
    <row r="21" ht="10" customHeight="1">
      <c r="A21" s="84" t="inlineStr">
        <is>
          <t>Combatant Crafts</t>
        </is>
      </c>
      <c r="B21"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1" s="88" t="inlineStr">
        <is>
          <t>No — small craft</t>
        </is>
      </c>
    </row>
    <row r="22" ht="10" customHeight="1">
      <c r="A22" s="84" t="inlineStr">
        <is>
          <t>Support Crafts</t>
        </is>
      </c>
      <c r="B22"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2" s="88" t="inlineStr">
        <is>
          <t>No — non-oceangoing</t>
        </is>
      </c>
    </row>
    <row r="23" ht="10" customHeight="1">
      <c r="A23" s="84" t="inlineStr">
        <is>
          <t>Boats</t>
        </is>
      </c>
      <c r="B23" s="85">
        <f>SUMIFS(JB_R,JB_V,"Boats",JB_S,"",JB_R,"&lt;&gt;")+SUMIFS(JB_N,JB_V,"Boats",JB_S,"",JB_R,"",JB_N,"&lt;&gt;")+SUMIFS(JB_L,JB_V,"Boats",JB_S,"",JB_R,"",JB_N,"")+SUMIFS(JB_R,JB_V,"Boats",JB_S,"[PARENT]",JB_R,"&lt;&gt;")+SUMIFS(JB_N,JB_V,"Boats",JB_S,"[PARENT]",JB_R,"",JB_N,"&lt;&gt;")+SUMIFS(JB_L,JB_V,"Boats",JB_S,"[PARENT]",JB_R,"",JB_N,"")</f>
        <v/>
      </c>
      <c r="C23" s="88" t="inlineStr">
        <is>
          <t>No — under 65 ft</t>
        </is>
      </c>
    </row>
    <row r="24" ht="10" customHeight="1">
      <c r="A24" s="84" t="inlineStr">
        <is>
          <t>Unattributed (fleet-wide)</t>
        </is>
      </c>
      <c r="B24" s="85">
        <f>SUMIFS(JB_R,JB_V,"",JB_S,"",JB_R,"&lt;&gt;")+SUMIFS(JB_N,JB_V,"",JB_S,"",JB_R,"",JB_N,"&lt;&gt;")+SUMIFS(JB_L,JB_V,"",JB_S,"",JB_R,"",JB_N,"")+SUMIFS(JB_R,JB_V,"",JB_S,"[PARENT]",JB_R,"&lt;&gt;")+SUMIFS(JB_N,JB_V,"",JB_S,"[PARENT]",JB_R,"",JB_N,"&lt;&gt;")+SUMIFS(JB_L,JB_V,"",JB_S,"[PARENT]",JB_R,"",JB_N,"")</f>
        <v/>
      </c>
      <c r="C24" s="88" t="inlineStr">
        <is>
          <t>No — not vessel-specific</t>
        </is>
      </c>
    </row>
    <row r="25" ht="10" customHeight="1">
      <c r="A25" s="86" t="inlineStr">
        <is>
          <t>Total</t>
        </is>
      </c>
      <c r="B25" s="87">
        <f>SUM(B17:B24)</f>
        <v/>
      </c>
    </row>
    <row r="26" ht="10" customHeight="1">
      <c r="A26" s="89" t="inlineStr">
        <is>
          <t>TAM-eligible</t>
        </is>
      </c>
      <c r="B26" s="90">
        <f>B17+B18+B19+B20</f>
        <v/>
      </c>
    </row>
    <row r="27" ht="10" customHeight="1"/>
    <row r="28" ht="10" customHeight="1">
      <c r="A28" s="81" t="inlineStr">
        <is>
          <t>(C) FY2026 Total Funding by Source Book</t>
        </is>
      </c>
      <c r="B28" s="82" t="n"/>
      <c r="C28" s="82" t="n"/>
    </row>
    <row r="29" ht="10" customHeight="1">
      <c r="A29" s="83" t="inlineStr">
        <is>
          <t>Source Book</t>
        </is>
      </c>
      <c r="B29" s="83" t="inlineStr">
        <is>
          <t>FY2026 ($K)</t>
        </is>
      </c>
    </row>
    <row r="30" ht="10" customHeight="1">
      <c r="A30" s="84" t="inlineStr">
        <is>
          <t>NWCF</t>
        </is>
      </c>
      <c r="B30" s="85">
        <f>SUMIFS(JB_R,JB_A,"NWCF",JB_S,"",JB_R,"&lt;&gt;")+SUMIFS(JB_N,JB_A,"NWCF",JB_S,"",JB_R,"",JB_N,"&lt;&gt;")+SUMIFS(JB_L,JB_A,"NWCF",JB_S,"",JB_R,"",JB_N,"")+SUMIFS(JB_R,JB_A,"NWCF",JB_S,"[PARENT]",JB_R,"&lt;&gt;")+SUMIFS(JB_N,JB_A,"NWCF",JB_S,"[PARENT]",JB_R,"",JB_N,"&lt;&gt;")+SUMIFS(JB_L,JB_A,"NWCF",JB_S,"[PARENT]",JB_R,"",JB_N,"")</f>
        <v/>
      </c>
    </row>
    <row r="31" ht="10" customHeight="1">
      <c r="A31" s="84" t="inlineStr">
        <is>
          <t>OMN_Vol2</t>
        </is>
      </c>
      <c r="B31" s="85">
        <f>SUMIFS(JB_R,JB_A,"OMN_Vol2",JB_S,"",JB_R,"&lt;&gt;")+SUMIFS(JB_N,JB_A,"OMN_Vol2",JB_S,"",JB_R,"",JB_N,"&lt;&gt;")+SUMIFS(JB_L,JB_A,"OMN_Vol2",JB_S,"",JB_R,"",JB_N,"")+SUMIFS(JB_R,JB_A,"OMN_Vol2",JB_S,"[PARENT]",JB_R,"&lt;&gt;")+SUMIFS(JB_N,JB_A,"OMN_Vol2",JB_S,"[PARENT]",JB_R,"",JB_N,"&lt;&gt;")+SUMIFS(JB_L,JB_A,"OMN_Vol2",JB_S,"[PARENT]",JB_R,"",JB_N,"")</f>
        <v/>
      </c>
    </row>
    <row r="32" ht="10" customHeight="1">
      <c r="A32" s="84" t="inlineStr">
        <is>
          <t>SCN</t>
        </is>
      </c>
      <c r="B32" s="85">
        <f>SUMIFS(JB_R,JB_A,"SCN",JB_S,"",JB_R,"&lt;&gt;")+SUMIFS(JB_N,JB_A,"SCN",JB_S,"",JB_R,"",JB_N,"&lt;&gt;")+SUMIFS(JB_L,JB_A,"SCN",JB_S,"",JB_R,"",JB_N,"")+SUMIFS(JB_R,JB_A,"SCN",JB_S,"[PARENT]",JB_R,"&lt;&gt;")+SUMIFS(JB_N,JB_A,"SCN",JB_S,"[PARENT]",JB_R,"",JB_N,"&lt;&gt;")+SUMIFS(JB_L,JB_A,"SCN",JB_S,"[PARENT]",JB_R,"",JB_N,"")</f>
        <v/>
      </c>
    </row>
    <row r="33" ht="10" customHeight="1">
      <c r="A33" s="84" t="inlineStr">
        <is>
          <t>OMN</t>
        </is>
      </c>
      <c r="B33" s="85">
        <f>SUMIFS(JB_R,JB_A,"OMN",JB_S,"",JB_R,"&lt;&gt;")+SUMIFS(JB_N,JB_A,"OMN",JB_S,"",JB_R,"",JB_N,"&lt;&gt;")+SUMIFS(JB_L,JB_A,"OMN",JB_S,"",JB_R,"",JB_N,"")+SUMIFS(JB_R,JB_A,"OMN",JB_S,"[PARENT]",JB_R,"&lt;&gt;")+SUMIFS(JB_N,JB_A,"OMN",JB_S,"[PARENT]",JB_R,"",JB_N,"&lt;&gt;")+SUMIFS(JB_L,JB_A,"OMN",JB_S,"[PARENT]",JB_R,"",JB_N,"")</f>
        <v/>
      </c>
    </row>
    <row r="34" ht="10" customHeight="1">
      <c r="A34" s="84" t="inlineStr">
        <is>
          <t>WPN</t>
        </is>
      </c>
      <c r="B34" s="85">
        <f>SUMIFS(JB_R,JB_A,"WPN",JB_S,"",JB_R,"&lt;&gt;")+SUMIFS(JB_N,JB_A,"WPN",JB_S,"",JB_R,"",JB_N,"&lt;&gt;")+SUMIFS(JB_L,JB_A,"WPN",JB_S,"",JB_R,"",JB_N,"")+SUMIFS(JB_R,JB_A,"WPN",JB_S,"[PARENT]",JB_R,"&lt;&gt;")+SUMIFS(JB_N,JB_A,"WPN",JB_S,"[PARENT]",JB_R,"",JB_N,"&lt;&gt;")+SUMIFS(JB_L,JB_A,"WPN",JB_S,"[PARENT]",JB_R,"",JB_N,"")</f>
        <v/>
      </c>
    </row>
    <row r="35" ht="10" customHeight="1">
      <c r="A35" s="84" t="inlineStr">
        <is>
          <t>OPN_BA1</t>
        </is>
      </c>
      <c r="B35" s="85">
        <f>SUMIFS(JB_R,JB_A,"OPN_BA1",JB_S,"",JB_R,"&lt;&gt;")+SUMIFS(JB_N,JB_A,"OPN_BA1",JB_S,"",JB_R,"",JB_N,"&lt;&gt;")+SUMIFS(JB_L,JB_A,"OPN_BA1",JB_S,"",JB_R,"",JB_N,"")+SUMIFS(JB_R,JB_A,"OPN_BA1",JB_S,"[PARENT]",JB_R,"&lt;&gt;")+SUMIFS(JB_N,JB_A,"OPN_BA1",JB_S,"[PARENT]",JB_R,"",JB_N,"&lt;&gt;")+SUMIFS(JB_L,JB_A,"OPN_BA1",JB_S,"[PARENT]",JB_R,"",JB_N,"")</f>
        <v/>
      </c>
    </row>
    <row r="36" ht="10" customHeight="1">
      <c r="A36" s="84" t="inlineStr">
        <is>
          <t>OPN_BA2</t>
        </is>
      </c>
      <c r="B36" s="85">
        <f>SUMIFS(JB_R,JB_A,"OPN_BA2",JB_S,"",JB_R,"&lt;&gt;")+SUMIFS(JB_N,JB_A,"OPN_BA2",JB_S,"",JB_R,"",JB_N,"&lt;&gt;")+SUMIFS(JB_L,JB_A,"OPN_BA2",JB_S,"",JB_R,"",JB_N,"")+SUMIFS(JB_R,JB_A,"OPN_BA2",JB_S,"[PARENT]",JB_R,"&lt;&gt;")+SUMIFS(JB_N,JB_A,"OPN_BA2",JB_S,"[PARENT]",JB_R,"",JB_N,"&lt;&gt;")+SUMIFS(JB_L,JB_A,"OPN_BA2",JB_S,"[PARENT]",JB_R,"",JB_N,"")</f>
        <v/>
      </c>
    </row>
    <row r="37" ht="10" customHeight="1">
      <c r="A37" s="84" t="inlineStr">
        <is>
          <t>OPN_BA5-8</t>
        </is>
      </c>
      <c r="B37" s="85">
        <f>SUMIFS(JB_R,JB_A,"OPN_BA5-8",JB_S,"",JB_R,"&lt;&gt;")+SUMIFS(JB_N,JB_A,"OPN_BA5-8",JB_S,"",JB_R,"",JB_N,"&lt;&gt;")+SUMIFS(JB_L,JB_A,"OPN_BA5-8",JB_S,"",JB_R,"",JB_N,"")+SUMIFS(JB_R,JB_A,"OPN_BA5-8",JB_S,"[PARENT]",JB_R,"&lt;&gt;")+SUMIFS(JB_N,JB_A,"OPN_BA5-8",JB_S,"[PARENT]",JB_R,"",JB_N,"&lt;&gt;")+SUMIFS(JB_L,JB_A,"OPN_BA5-8",JB_S,"[PARENT]",JB_R,"",JB_N,"")</f>
        <v/>
      </c>
    </row>
    <row r="38" ht="10" customHeight="1">
      <c r="A38" s="84" t="inlineStr">
        <is>
          <t>OPN_BA4</t>
        </is>
      </c>
      <c r="B38" s="85">
        <f>SUMIFS(JB_R,JB_A,"OPN_BA4",JB_S,"",JB_R,"&lt;&gt;")+SUMIFS(JB_N,JB_A,"OPN_BA4",JB_S,"",JB_R,"",JB_N,"&lt;&gt;")+SUMIFS(JB_L,JB_A,"OPN_BA4",JB_S,"",JB_R,"",JB_N,"")+SUMIFS(JB_R,JB_A,"OPN_BA4",JB_S,"[PARENT]",JB_R,"&lt;&gt;")+SUMIFS(JB_N,JB_A,"OPN_BA4",JB_S,"[PARENT]",JB_R,"",JB_N,"&lt;&gt;")+SUMIFS(JB_L,JB_A,"OPN_BA4",JB_S,"[PARENT]",JB_R,"",JB_N,"")</f>
        <v/>
      </c>
    </row>
    <row r="39" ht="10" customHeight="1">
      <c r="A39" s="84" t="inlineStr">
        <is>
          <t>USCG</t>
        </is>
      </c>
      <c r="B39" s="85">
        <f>SUMIFS(JB_R,JB_A,"USCG",JB_S,"",JB_R,"&lt;&gt;")+SUMIFS(JB_N,JB_A,"USCG",JB_S,"",JB_R,"",JB_N,"&lt;&gt;")+SUMIFS(JB_L,JB_A,"USCG",JB_S,"",JB_R,"",JB_N,"")+SUMIFS(JB_R,JB_A,"USCG",JB_S,"[PARENT]",JB_R,"&lt;&gt;")+SUMIFS(JB_N,JB_A,"USCG",JB_S,"[PARENT]",JB_R,"",JB_N,"&lt;&gt;")+SUMIFS(JB_L,JB_A,"USCG",JB_S,"[PARENT]",JB_R,"",JB_N,"")</f>
        <v/>
      </c>
    </row>
    <row r="40" ht="10" customHeight="1">
      <c r="A40" s="84" t="inlineStr">
        <is>
          <t>OPN_BA3</t>
        </is>
      </c>
      <c r="B40" s="85">
        <f>SUMIFS(JB_R,JB_A,"OPN_BA3",JB_S,"",JB_R,"&lt;&gt;")+SUMIFS(JB_N,JB_A,"OPN_BA3",JB_S,"",JB_R,"",JB_N,"&lt;&gt;")+SUMIFS(JB_L,JB_A,"OPN_BA3",JB_S,"",JB_R,"",JB_N,"")+SUMIFS(JB_R,JB_A,"OPN_BA3",JB_S,"[PARENT]",JB_R,"&lt;&gt;")+SUMIFS(JB_N,JB_A,"OPN_BA3",JB_S,"[PARENT]",JB_R,"",JB_N,"&lt;&gt;")+SUMIFS(JB_L,JB_A,"OPN_BA3",JB_S,"[PARENT]",JB_R,"",JB_N,"")</f>
        <v/>
      </c>
    </row>
    <row r="41" ht="10" customHeight="1">
      <c r="A41" s="86" t="inlineStr">
        <is>
          <t>Total</t>
        </is>
      </c>
      <c r="B41" s="87">
        <f>SUM(B30:B40)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c r="C4" s="82" t="n"/>
      <c r="D4" s="82" t="n"/>
      <c r="E4" s="82" t="n"/>
      <c r="F4" s="82" t="n"/>
      <c r="G4" s="82" t="n"/>
      <c r="H4" s="82" t="n"/>
      <c r="I4" s="82" t="n"/>
      <c r="J4" s="82" t="n"/>
      <c r="K4" s="82" t="n"/>
      <c r="L4" s="82" t="n"/>
      <c r="M4" s="82" t="n"/>
      <c r="N4" s="82" t="n"/>
      <c r="O4" s="82" t="n"/>
      <c r="P4" s="82" t="n"/>
      <c r="Q4" s="82" t="n"/>
      <c r="R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91" t="inlineStr">
        <is>
          <t>Newbuild TAM</t>
        </is>
      </c>
      <c r="B9" s="9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c r="A11" s="81" t="inlineStr">
        <is>
          <t>(B) Newbuild TAM by Vessel Type</t>
        </is>
      </c>
      <c r="B11" s="82" t="n"/>
      <c r="C11" s="82" t="n"/>
      <c r="D11" s="82" t="n"/>
      <c r="E11" s="82" t="n"/>
      <c r="F11" s="82" t="n"/>
      <c r="G11" s="82" t="n"/>
      <c r="H11" s="82" t="n"/>
      <c r="I11" s="82" t="n"/>
      <c r="J11" s="82" t="n"/>
      <c r="K11" s="82" t="n"/>
      <c r="L11" s="82" t="n"/>
      <c r="M11" s="82" t="n"/>
      <c r="N11" s="82" t="n"/>
      <c r="O11" s="82" t="n"/>
      <c r="P11" s="82" t="n"/>
      <c r="Q11" s="82" t="n"/>
      <c r="R11" s="82" t="n"/>
    </row>
    <row r="12" ht="10" customHeight="1">
      <c r="A12" s="83" t="inlineStr">
        <is>
          <t>Vessel Type</t>
        </is>
      </c>
      <c r="B12" s="83" t="inlineStr">
        <is>
          <t>Service</t>
        </is>
      </c>
      <c r="C12" s="83" t="inlineStr">
        <is>
          <t>FY2026 ($K)</t>
        </is>
      </c>
      <c r="D12" s="83" t="inlineStr">
        <is>
          <t>% of TAM</t>
        </is>
      </c>
    </row>
    <row r="13" ht="10" customHeight="1">
      <c r="A13" s="84" t="inlineStr">
        <is>
          <t>Submarines</t>
        </is>
      </c>
      <c r="B13" s="84" t="inlineStr">
        <is>
          <t>USN</t>
        </is>
      </c>
      <c r="C13"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3" s="93">
        <f>IFERROR(C13/C$41,0)</f>
        <v/>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3">
        <f>IFERROR(C14/C$41,0)</f>
        <v/>
      </c>
    </row>
    <row r="15" ht="10" customHeight="1">
      <c r="A15" s="84" t="inlineStr">
        <is>
          <t>Aircraft Carriers</t>
        </is>
      </c>
      <c r="B15" s="84" t="inlineStr">
        <is>
          <t>USN</t>
        </is>
      </c>
      <c r="C15"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5" s="93">
        <f>IFERROR(C15/C$41,0)</f>
        <v/>
      </c>
    </row>
    <row r="16" ht="10" customHeight="1">
      <c r="A16" s="84" t="inlineStr">
        <is>
          <t>Expeditionary &amp; Seabasing Ships</t>
        </is>
      </c>
      <c r="B16" s="84" t="inlineStr">
        <is>
          <t>USN</t>
        </is>
      </c>
      <c r="C16"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6" s="93">
        <f>IFERROR(C16/C$41,0)</f>
        <v/>
      </c>
    </row>
    <row r="17" ht="10" customHeight="1">
      <c r="A17" s="84" t="inlineStr">
        <is>
          <t>Combat Logistics Ships</t>
        </is>
      </c>
      <c r="B17" s="84" t="inlineStr">
        <is>
          <t>MSC</t>
        </is>
      </c>
      <c r="C17"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7" s="93">
        <f>IFERROR(C17/C$41,0)</f>
        <v/>
      </c>
    </row>
    <row r="18" ht="10" customHeight="1">
      <c r="A18" s="84" t="inlineStr">
        <is>
          <t>Amphibious Warfare Ships</t>
        </is>
      </c>
      <c r="B18" s="84" t="inlineStr">
        <is>
          <t>USN</t>
        </is>
      </c>
      <c r="C18"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8" s="93">
        <f>IFERROR(C18/C$41,0)</f>
        <v/>
      </c>
    </row>
    <row r="19" ht="10" customHeight="1">
      <c r="A19" s="84" t="inlineStr">
        <is>
          <t>Unmanned Surface Vehicles</t>
        </is>
      </c>
      <c r="B19" s="84" t="inlineStr">
        <is>
          <t>USN</t>
        </is>
      </c>
      <c r="C19"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9" s="93">
        <f>IFERROR(C19/C$41,0)</f>
        <v/>
      </c>
    </row>
    <row r="20" ht="10" customHeight="1">
      <c r="A20" s="84" t="inlineStr">
        <is>
          <t>Cargo &amp; Vehicle Cargo Ships</t>
        </is>
      </c>
      <c r="B20" s="84" t="inlineStr">
        <is>
          <t>USN</t>
        </is>
      </c>
      <c r="C20"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0" s="93">
        <f>IFERROR(C20/C$41,0)</f>
        <v/>
      </c>
    </row>
    <row r="21" ht="10" customHeight="1">
      <c r="A21" s="84" t="inlineStr">
        <is>
          <t>Surveillance Ships</t>
        </is>
      </c>
      <c r="B21" s="84" t="inlineStr">
        <is>
          <t>USN</t>
        </is>
      </c>
      <c r="C21"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1" s="93">
        <f>IFERROR(C21/C$41,0)</f>
        <v/>
      </c>
    </row>
    <row r="22" ht="10" customHeight="1">
      <c r="A22" s="84" t="inlineStr">
        <is>
          <t>Unmanned Undersea Vehicles</t>
        </is>
      </c>
      <c r="B22" s="84" t="inlineStr">
        <is>
          <t>USN</t>
        </is>
      </c>
      <c r="C22"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2" s="93">
        <f>IFERROR(C22/C$41,0)</f>
        <v/>
      </c>
    </row>
    <row r="23" ht="10" customHeight="1">
      <c r="A23" s="84" t="inlineStr">
        <is>
          <t>Salvage Ships &amp; Fleet Ocean Tugs</t>
        </is>
      </c>
      <c r="B23" s="84" t="inlineStr">
        <is>
          <t>MSC</t>
        </is>
      </c>
      <c r="C23"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3" s="93">
        <f>IFERROR(C23/C$41,0)</f>
        <v/>
      </c>
    </row>
    <row r="24" ht="10" customHeight="1">
      <c r="A24" s="84" t="inlineStr">
        <is>
          <t>Submarine Escort Ship</t>
        </is>
      </c>
      <c r="B24" s="84" t="inlineStr">
        <is>
          <t>USN</t>
        </is>
      </c>
      <c r="C24"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4" s="93">
        <f>IFERROR(C24/C$41,0)</f>
        <v/>
      </c>
    </row>
    <row r="25" ht="10" customHeight="1">
      <c r="A25" s="84" t="inlineStr">
        <is>
          <t>Command Ships</t>
        </is>
      </c>
      <c r="B25" s="84" t="inlineStr">
        <is>
          <t>USN</t>
        </is>
      </c>
      <c r="C25"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5" s="93">
        <f>IFERROR(C25/C$41,0)</f>
        <v/>
      </c>
    </row>
    <row r="26" ht="10" customHeight="1">
      <c r="A26" s="84" t="inlineStr">
        <is>
          <t>High Speed Transport</t>
        </is>
      </c>
      <c r="B26" s="84" t="inlineStr">
        <is>
          <t>USN</t>
        </is>
      </c>
      <c r="C26"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6" s="93">
        <f>IFERROR(C26/C$41,0)</f>
        <v/>
      </c>
    </row>
    <row r="27" ht="10" customHeight="1">
      <c r="A27" s="84" t="inlineStr">
        <is>
          <t>Crane Ship</t>
        </is>
      </c>
      <c r="B27" s="84" t="inlineStr">
        <is>
          <t>USN</t>
        </is>
      </c>
      <c r="C27"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7" s="93">
        <f>IFERROR(C27/C$41,0)</f>
        <v/>
      </c>
    </row>
    <row r="28" ht="10" customHeight="1">
      <c r="A28" s="84" t="inlineStr">
        <is>
          <t>Aviation Logistics Support Ship</t>
        </is>
      </c>
      <c r="B28" s="84" t="inlineStr">
        <is>
          <t>USN</t>
        </is>
      </c>
      <c r="C28"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8" s="93">
        <f>IFERROR(C28/C$41,0)</f>
        <v/>
      </c>
    </row>
    <row r="29" ht="10" customHeight="1">
      <c r="A29" s="84" t="inlineStr">
        <is>
          <t>Material Support Ships</t>
        </is>
      </c>
      <c r="B29" s="84" t="inlineStr">
        <is>
          <t>USN</t>
        </is>
      </c>
      <c r="C29"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9" s="93">
        <f>IFERROR(C29/C$41,0)</f>
        <v/>
      </c>
    </row>
    <row r="30" ht="10" customHeight="1">
      <c r="A30" s="84" t="inlineStr">
        <is>
          <t>Research, Survey &amp; Instrumentation Ships</t>
        </is>
      </c>
      <c r="B30" s="84" t="inlineStr">
        <is>
          <t>MSC</t>
        </is>
      </c>
      <c r="C30"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0" s="93">
        <f>IFERROR(C30/C$41,0)</f>
        <v/>
      </c>
    </row>
    <row r="31" ht="10" customHeight="1">
      <c r="A31" s="84" t="inlineStr">
        <is>
          <t>Hospital Ship</t>
        </is>
      </c>
      <c r="B31" s="84" t="inlineStr">
        <is>
          <t>MSC</t>
        </is>
      </c>
      <c r="C31"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1" s="93">
        <f>IFERROR(C31/C$41,0)</f>
        <v/>
      </c>
    </row>
    <row r="32" ht="10" customHeight="1">
      <c r="A32" s="84" t="inlineStr">
        <is>
          <t>General Auxiliary</t>
        </is>
      </c>
      <c r="B32" s="84" t="inlineStr">
        <is>
          <t>USN</t>
        </is>
      </c>
      <c r="C32"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2" s="93">
        <f>IFERROR(C32/C$41,0)</f>
        <v/>
      </c>
    </row>
    <row r="33" ht="10" customHeight="1">
      <c r="A33" s="84" t="inlineStr">
        <is>
          <t>Mine Warfare</t>
        </is>
      </c>
      <c r="B33" s="84" t="inlineStr">
        <is>
          <t>USN</t>
        </is>
      </c>
      <c r="C33"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3" s="93">
        <f>IFERROR(C33/C$41,0)</f>
        <v/>
      </c>
    </row>
    <row r="34" ht="10" customHeight="1">
      <c r="A34" s="84" t="inlineStr">
        <is>
          <t>Offshore Patrol Cutter</t>
        </is>
      </c>
      <c r="B34" s="84" t="inlineStr">
        <is>
          <t>USCG</t>
        </is>
      </c>
      <c r="C34"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4" s="93">
        <f>IFERROR(C34/C$41,0)</f>
        <v/>
      </c>
    </row>
    <row r="35" ht="10" customHeight="1">
      <c r="A35" s="84" t="inlineStr">
        <is>
          <t>Fast Response Cutters</t>
        </is>
      </c>
      <c r="B35" s="84" t="inlineStr">
        <is>
          <t>USCG</t>
        </is>
      </c>
      <c r="C35"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5" s="93">
        <f>IFERROR(C35/C$41,0)</f>
        <v/>
      </c>
    </row>
    <row r="36" ht="10" customHeight="1">
      <c r="A36" s="84" t="inlineStr">
        <is>
          <t>Icebreakers, Oceangoing</t>
        </is>
      </c>
      <c r="B36" s="84" t="inlineStr">
        <is>
          <t>USCG</t>
        </is>
      </c>
      <c r="C36"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6" s="93">
        <f>IFERROR(C36/C$41,0)</f>
        <v/>
      </c>
    </row>
    <row r="37" ht="10" customHeight="1">
      <c r="A37" s="84" t="inlineStr">
        <is>
          <t>Waterways Commerce Cutters</t>
        </is>
      </c>
      <c r="B37" s="84" t="inlineStr">
        <is>
          <t>USCG</t>
        </is>
      </c>
      <c r="C37"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7" s="93">
        <f>IFERROR(C37/C$41,0)</f>
        <v/>
      </c>
    </row>
    <row r="38" ht="10" customHeight="1">
      <c r="A38" s="84" t="inlineStr">
        <is>
          <t>Icebreakers, Great Lakes</t>
        </is>
      </c>
      <c r="B38" s="84" t="inlineStr">
        <is>
          <t>USCG</t>
        </is>
      </c>
      <c r="C38"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8" s="93">
        <f>IFERROR(C38/C$41,0)</f>
        <v/>
      </c>
    </row>
    <row r="39" ht="10" customHeight="1">
      <c r="A39" s="84" t="inlineStr">
        <is>
          <t>National Security Cutters</t>
        </is>
      </c>
      <c r="B39" s="84" t="inlineStr">
        <is>
          <t>USCG</t>
        </is>
      </c>
      <c r="C39"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9" s="93">
        <f>IFERROR(C39/C$41,0)</f>
        <v/>
      </c>
    </row>
    <row r="40" ht="10" customHeight="1">
      <c r="A40" s="84" t="inlineStr">
        <is>
          <t>Coastal Buoy Tenders</t>
        </is>
      </c>
      <c r="B40" s="84" t="inlineStr">
        <is>
          <t>USCG</t>
        </is>
      </c>
      <c r="C40"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0" s="93">
        <f>IFERROR(C40/C$41,0)</f>
        <v/>
      </c>
    </row>
    <row r="41" ht="10" customHeight="1">
      <c r="A41" s="86" t="inlineStr">
        <is>
          <t>Newbuild TAM</t>
        </is>
      </c>
      <c r="B41" s="86" t="inlineStr"/>
      <c r="C41" s="87">
        <f>SUM(C13:C40)</f>
        <v/>
      </c>
      <c r="D41" s="94"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c r="O43" s="82" t="n"/>
      <c r="P43" s="82" t="n"/>
      <c r="Q43" s="82" t="n"/>
      <c r="R43" s="82" t="n"/>
    </row>
    <row r="44" ht="10" customHeight="1">
      <c r="A44" s="83" t="inlineStr">
        <is>
          <t>Sub-Category</t>
        </is>
      </c>
      <c r="B44" s="83" t="inlineStr">
        <is>
          <t>Submarines</t>
        </is>
      </c>
      <c r="C44" s="83" t="inlineStr">
        <is>
          <t>Surface Combatants</t>
        </is>
      </c>
      <c r="D44" s="83" t="inlineStr">
        <is>
          <t>Aircraft Carriers</t>
        </is>
      </c>
      <c r="E44" s="83" t="inlineStr">
        <is>
          <t>Expeditionary &amp; Seabasing Ships</t>
        </is>
      </c>
      <c r="F44" s="83" t="inlineStr">
        <is>
          <t>Combat Logistics Ships</t>
        </is>
      </c>
      <c r="G44" s="83" t="inlineStr">
        <is>
          <t>Amphibious Warfare Ships</t>
        </is>
      </c>
      <c r="H44" s="83" t="inlineStr">
        <is>
          <t>Unmanned Surface Vehicles</t>
        </is>
      </c>
      <c r="I44" s="83" t="inlineStr">
        <is>
          <t>Cargo &amp; Vehicle Cargo Ships</t>
        </is>
      </c>
      <c r="J44" s="83" t="inlineStr">
        <is>
          <t>Surveillance Ships</t>
        </is>
      </c>
      <c r="K44" s="83" t="inlineStr">
        <is>
          <t>Unmanned Undersea Vehicles</t>
        </is>
      </c>
      <c r="L44" s="83" t="inlineStr">
        <is>
          <t>Salvage Ships &amp; Fleet Ocean Tugs</t>
        </is>
      </c>
      <c r="M44" s="83" t="inlineStr">
        <is>
          <t>Offshore Patrol Cutter</t>
        </is>
      </c>
      <c r="N44" s="83" t="inlineStr">
        <is>
          <t>Fast Response Cutters</t>
        </is>
      </c>
      <c r="O44" s="83" t="inlineStr">
        <is>
          <t>Icebreakers, Oceangoing</t>
        </is>
      </c>
      <c r="P44" s="83" t="inlineStr">
        <is>
          <t>Waterways Commerce Cutters</t>
        </is>
      </c>
      <c r="Q44" s="83" t="inlineStr">
        <is>
          <t>Total</t>
        </is>
      </c>
    </row>
    <row r="45" ht="10" customHeight="1">
      <c r="A45" s="84" t="inlineStr">
        <is>
          <t>Full Ship DD&amp;C</t>
        </is>
      </c>
      <c r="B45" s="93">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procurement",JB_S,"[PARENT]",JB_R,"",JB_N,""))/B$48,0)</f>
        <v/>
      </c>
      <c r="C45" s="93">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procurement",JB_S,"[PARENT]",JB_R,"",JB_N,""))/C$48,0)</f>
        <v/>
      </c>
      <c r="D45" s="93">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procurement",JB_S,"[PARENT]",JB_R,"",JB_N,""))/D$48,0)</f>
        <v/>
      </c>
      <c r="E45" s="9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procurement",JB_S,"[PARENT]",JB_R,"",JB_N,""))/E$48,0)</f>
        <v/>
      </c>
      <c r="F45" s="9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procurement",JB_S,"[PARENT]",JB_R,"",JB_N,""))/F$48,0)</f>
        <v/>
      </c>
      <c r="G45" s="9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procurement",JB_S,"[PARENT]",JB_R,"",JB_N,""))/G$48,0)</f>
        <v/>
      </c>
      <c r="H45" s="9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procurement",JB_S,"[PARENT]",JB_R,"",JB_N,""))/H$48,0)</f>
        <v/>
      </c>
      <c r="I45" s="9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procurement",JB_S,"[PARENT]",JB_R,"",JB_N,""))/I$48,0)</f>
        <v/>
      </c>
      <c r="J45" s="9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procurement",JB_S,"[PARENT]",JB_R,"",JB_N,""))/J$48,0)</f>
        <v/>
      </c>
      <c r="K45" s="93">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procurement",JB_S,"[PARENT]",JB_R,"",JB_N,""))/K$48,0)</f>
        <v/>
      </c>
      <c r="L45" s="9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procurement",JB_S,"[PARENT]",JB_R,"",JB_N,""))/L$48,0)</f>
        <v/>
      </c>
      <c r="M45" s="93">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procurement",JB_S,"[PARENT]",JB_R,"",JB_N,""))/M$48,0)</f>
        <v/>
      </c>
      <c r="N45" s="9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procurement",JB_S,"[PARENT]",JB_R,"",JB_N,""))/N$48,0)</f>
        <v/>
      </c>
      <c r="O45" s="9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procurement",JB_S,"[PARENT]",JB_R,"",JB_N,""))/O$48,0)</f>
        <v/>
      </c>
      <c r="P45" s="9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procurement",JB_S,"[PARENT]",JB_R,"",JB_N,""))/P$48,0)</f>
        <v/>
      </c>
      <c r="Q45" s="93">
        <f>IFERROR(1-Q46,0)</f>
        <v/>
      </c>
    </row>
    <row r="46" ht="10" customHeight="1">
      <c r="A46" s="84" t="inlineStr">
        <is>
          <t>Advance Procurement / LLTM</t>
        </is>
      </c>
      <c r="B46" s="93">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LLTM",JB_S,"[PARENT]",JB_R,"",JB_N,""))/B$48,0)</f>
        <v/>
      </c>
      <c r="C46" s="93">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LLTM",JB_S,"[PARENT]",JB_R,"",JB_N,""))/C$48,0)</f>
        <v/>
      </c>
      <c r="D46" s="93">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LLTM",JB_S,"[PARENT]",JB_R,"",JB_N,""))/D$48,0)</f>
        <v/>
      </c>
      <c r="E46" s="9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LLTM",JB_S,"[PARENT]",JB_R,"",JB_N,""))/E$48,0)</f>
        <v/>
      </c>
      <c r="F46" s="9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LLTM",JB_S,"[PARENT]",JB_R,"",JB_N,""))/F$48,0)</f>
        <v/>
      </c>
      <c r="G46" s="9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LLTM",JB_S,"[PARENT]",JB_R,"",JB_N,""))/G$48,0)</f>
        <v/>
      </c>
      <c r="H46" s="9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LLTM",JB_S,"[PARENT]",JB_R,"",JB_N,""))/H$48,0)</f>
        <v/>
      </c>
      <c r="I46" s="9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LLTM",JB_S,"[PARENT]",JB_R,"",JB_N,""))/I$48,0)</f>
        <v/>
      </c>
      <c r="J46" s="9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LLTM",JB_S,"[PARENT]",JB_R,"",JB_N,""))/J$48,0)</f>
        <v/>
      </c>
      <c r="K46" s="93">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LLTM",JB_S,"[PARENT]",JB_R,"",JB_N,""))/K$48,0)</f>
        <v/>
      </c>
      <c r="L46" s="9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LLTM",JB_S,"[PARENT]",JB_R,"",JB_N,""))/L$48,0)</f>
        <v/>
      </c>
      <c r="M46" s="93">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LLTM",JB_S,"[PARENT]",JB_R,"",JB_N,""))/M$48,0)</f>
        <v/>
      </c>
      <c r="N46" s="9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LLTM",JB_S,"[PARENT]",JB_R,"",JB_N,""))/N$48,0)</f>
        <v/>
      </c>
      <c r="O46" s="9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LLTM",JB_S,"[PARENT]",JB_R,"",JB_N,""))/O$48,0)</f>
        <v/>
      </c>
      <c r="P46" s="9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LLTM",JB_S,"[PARENT]",JB_R,"",JB_N,""))/P$48,0)</f>
        <v/>
      </c>
      <c r="Q46" s="93">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LLTM",JB_S,"[PARENT]",JB_R,"",JB_N,""))/Q$48,0)</f>
        <v/>
      </c>
    </row>
    <row r="47" ht="10" customHeight="1">
      <c r="A47" s="84" t="inlineStr">
        <is>
          <t>Other NC Sub-Categories</t>
        </is>
      </c>
      <c r="B47" s="93">
        <f>IFERROR(1-B45-B46,0)</f>
        <v/>
      </c>
      <c r="C47" s="93">
        <f>IFERROR(1-C45-C46,0)</f>
        <v/>
      </c>
      <c r="D47" s="93">
        <f>IFERROR(1-D45-D46,0)</f>
        <v/>
      </c>
      <c r="E47" s="93">
        <f>IFERROR(1-E45-E46,0)</f>
        <v/>
      </c>
      <c r="F47" s="93">
        <f>IFERROR(1-F45-F46,0)</f>
        <v/>
      </c>
      <c r="G47" s="93">
        <f>IFERROR(1-G45-G46,0)</f>
        <v/>
      </c>
      <c r="H47" s="93">
        <f>IFERROR(1-H45-H46,0)</f>
        <v/>
      </c>
      <c r="I47" s="93">
        <f>IFERROR(1-I45-I46,0)</f>
        <v/>
      </c>
      <c r="J47" s="93">
        <f>IFERROR(1-J45-J46,0)</f>
        <v/>
      </c>
      <c r="K47" s="93">
        <f>IFERROR(1-K45-K46,0)</f>
        <v/>
      </c>
      <c r="L47" s="93">
        <f>IFERROR(1-L45-L46,0)</f>
        <v/>
      </c>
      <c r="M47" s="93">
        <f>IFERROR(1-M45-M46,0)</f>
        <v/>
      </c>
      <c r="N47" s="93">
        <f>IFERROR(1-N45-N46,0)</f>
        <v/>
      </c>
      <c r="O47" s="93">
        <f>IFERROR(1-O45-O46,0)</f>
        <v/>
      </c>
      <c r="P47" s="93">
        <f>IFERROR(1-P45-P46,0)</f>
        <v/>
      </c>
      <c r="Q47" s="93">
        <f>IFERROR(1-Q45-Q46,0)</f>
        <v/>
      </c>
    </row>
    <row r="48" ht="10" customHeight="1">
      <c r="A48" s="86" t="inlineStr">
        <is>
          <t>Total ($K)</t>
        </is>
      </c>
      <c r="B48" s="8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48"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48"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48"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48"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48"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48"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48"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48"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48"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48"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48"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48"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48"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48"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48" s="87">
        <f>SUM(B48:P48)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c r="C4" s="82" t="n"/>
      <c r="D4" s="82" t="n"/>
      <c r="E4" s="82" t="n"/>
      <c r="F4" s="82" t="n"/>
      <c r="G4" s="82" t="n"/>
      <c r="H4" s="82" t="n"/>
      <c r="I4" s="82" t="n"/>
      <c r="J4" s="82" t="n"/>
      <c r="K4" s="82" t="n"/>
      <c r="L4" s="82" t="n"/>
      <c r="M4" s="82" t="n"/>
      <c r="N4" s="82" t="n"/>
      <c r="O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91" t="inlineStr">
        <is>
          <t>Newbuild SAM</t>
        </is>
      </c>
      <c r="B9" s="92">
        <f>SUM(B5:B8)</f>
        <v/>
      </c>
    </row>
    <row r="10" ht="10" customHeight="1"/>
    <row r="11" ht="10" customHeight="1">
      <c r="A11" s="81" t="inlineStr">
        <is>
          <t>(B) Newbuild SAM by Vessel Type</t>
        </is>
      </c>
      <c r="B11" s="82" t="n"/>
      <c r="C11" s="82" t="n"/>
      <c r="D11" s="82" t="n"/>
      <c r="E11" s="82" t="n"/>
      <c r="F11" s="82" t="n"/>
      <c r="G11" s="82" t="n"/>
      <c r="H11" s="82" t="n"/>
      <c r="I11" s="82" t="n"/>
      <c r="J11" s="82" t="n"/>
      <c r="K11" s="82" t="n"/>
      <c r="L11" s="82" t="n"/>
      <c r="M11" s="82" t="n"/>
      <c r="N11" s="82" t="n"/>
      <c r="O11" s="82" t="n"/>
    </row>
    <row r="12" ht="10" customHeight="1">
      <c r="A12" s="83" t="inlineStr">
        <is>
          <t>Vessel Type</t>
        </is>
      </c>
      <c r="B12" s="83" t="inlineStr">
        <is>
          <t>Service</t>
        </is>
      </c>
      <c r="C12" s="83" t="inlineStr">
        <is>
          <t>FY2026 ($K)</t>
        </is>
      </c>
      <c r="D12" s="83" t="inlineStr">
        <is>
          <t>% of SAM</t>
        </is>
      </c>
    </row>
    <row r="13" ht="10" customHeight="1">
      <c r="A13" s="84" t="inlineStr">
        <is>
          <t>Surface Combatants</t>
        </is>
      </c>
      <c r="B13" s="84" t="inlineStr">
        <is>
          <t>USN</t>
        </is>
      </c>
      <c r="C13"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3" s="93">
        <f>IFERROR(C13/C$38,0)</f>
        <v/>
      </c>
    </row>
    <row r="14" ht="10" customHeight="1">
      <c r="A14" s="84" t="inlineStr">
        <is>
          <t>Expeditionary &amp; Seabasing Ships</t>
        </is>
      </c>
      <c r="B14" s="84" t="inlineStr">
        <is>
          <t>USN</t>
        </is>
      </c>
      <c r="C14"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4" s="93">
        <f>IFERROR(C14/C$38,0)</f>
        <v/>
      </c>
    </row>
    <row r="15" ht="10" customHeight="1">
      <c r="A15" s="84" t="inlineStr">
        <is>
          <t>Combat Logistics Ships</t>
        </is>
      </c>
      <c r="B15" s="84" t="inlineStr">
        <is>
          <t>MSC</t>
        </is>
      </c>
      <c r="C15"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5" s="93">
        <f>IFERROR(C15/C$38,0)</f>
        <v/>
      </c>
    </row>
    <row r="16" ht="10" customHeight="1">
      <c r="A16" s="84" t="inlineStr">
        <is>
          <t>Amphibious Warfare Ships</t>
        </is>
      </c>
      <c r="B16" s="84" t="inlineStr">
        <is>
          <t>USN</t>
        </is>
      </c>
      <c r="C16"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6" s="93">
        <f>IFERROR(C16/C$38,0)</f>
        <v/>
      </c>
    </row>
    <row r="17" ht="10" customHeight="1">
      <c r="A17" s="84" t="inlineStr">
        <is>
          <t>Unmanned Surface Vehicles</t>
        </is>
      </c>
      <c r="B17" s="84" t="inlineStr">
        <is>
          <t>USN</t>
        </is>
      </c>
      <c r="C17"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7" s="93">
        <f>IFERROR(C17/C$38,0)</f>
        <v/>
      </c>
    </row>
    <row r="18" ht="10" customHeight="1">
      <c r="A18" s="84" t="inlineStr">
        <is>
          <t>Cargo &amp; Vehicle Cargo Ships</t>
        </is>
      </c>
      <c r="B18" s="84" t="inlineStr">
        <is>
          <t>USN</t>
        </is>
      </c>
      <c r="C18"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8" s="93">
        <f>IFERROR(C18/C$38,0)</f>
        <v/>
      </c>
    </row>
    <row r="19" ht="10" customHeight="1">
      <c r="A19" s="84" t="inlineStr">
        <is>
          <t>Surveillance Ships</t>
        </is>
      </c>
      <c r="B19" s="84" t="inlineStr">
        <is>
          <t>USN</t>
        </is>
      </c>
      <c r="C19"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19" s="93">
        <f>IFERROR(C19/C$38,0)</f>
        <v/>
      </c>
    </row>
    <row r="20" ht="10" customHeight="1">
      <c r="A20" s="84" t="inlineStr">
        <is>
          <t>Salvage Ships &amp; Fleet Ocean Tugs</t>
        </is>
      </c>
      <c r="B20" s="84" t="inlineStr">
        <is>
          <t>MSC</t>
        </is>
      </c>
      <c r="C20"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0" s="93">
        <f>IFERROR(C20/C$38,0)</f>
        <v/>
      </c>
    </row>
    <row r="21" ht="10" customHeight="1">
      <c r="A21" s="84" t="inlineStr">
        <is>
          <t>General Auxiliary</t>
        </is>
      </c>
      <c r="B21" s="84" t="inlineStr">
        <is>
          <t>USN</t>
        </is>
      </c>
      <c r="C21"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1" s="93">
        <f>IFERROR(C21/C$38,0)</f>
        <v/>
      </c>
    </row>
    <row r="22" ht="10" customHeight="1">
      <c r="A22" s="84" t="inlineStr">
        <is>
          <t>Submarine Escort Ship</t>
        </is>
      </c>
      <c r="B22" s="84" t="inlineStr">
        <is>
          <t>USN</t>
        </is>
      </c>
      <c r="C22"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2" s="93">
        <f>IFERROR(C22/C$38,0)</f>
        <v/>
      </c>
    </row>
    <row r="23" ht="10" customHeight="1">
      <c r="A23" s="84" t="inlineStr">
        <is>
          <t>Command Ships</t>
        </is>
      </c>
      <c r="B23" s="84" t="inlineStr">
        <is>
          <t>USN</t>
        </is>
      </c>
      <c r="C23"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3" s="93">
        <f>IFERROR(C23/C$38,0)</f>
        <v/>
      </c>
    </row>
    <row r="24" ht="10" customHeight="1">
      <c r="A24" s="84" t="inlineStr">
        <is>
          <t>High Speed Transport</t>
        </is>
      </c>
      <c r="B24" s="84" t="inlineStr">
        <is>
          <t>USN</t>
        </is>
      </c>
      <c r="C24"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4" s="93">
        <f>IFERROR(C24/C$38,0)</f>
        <v/>
      </c>
    </row>
    <row r="25" ht="10" customHeight="1">
      <c r="A25" s="84" t="inlineStr">
        <is>
          <t>Crane Ship</t>
        </is>
      </c>
      <c r="B25" s="84" t="inlineStr">
        <is>
          <t>USN</t>
        </is>
      </c>
      <c r="C25"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5" s="93">
        <f>IFERROR(C25/C$38,0)</f>
        <v/>
      </c>
    </row>
    <row r="26" ht="10" customHeight="1">
      <c r="A26" s="84" t="inlineStr">
        <is>
          <t>Aviation Logistics Support Ship</t>
        </is>
      </c>
      <c r="B26" s="84" t="inlineStr">
        <is>
          <t>USN</t>
        </is>
      </c>
      <c r="C26"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6" s="93">
        <f>IFERROR(C26/C$38,0)</f>
        <v/>
      </c>
    </row>
    <row r="27" ht="10" customHeight="1">
      <c r="A27" s="84" t="inlineStr">
        <is>
          <t>Material Support Ships</t>
        </is>
      </c>
      <c r="B27" s="84" t="inlineStr">
        <is>
          <t>USN</t>
        </is>
      </c>
      <c r="C27"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7" s="93">
        <f>IFERROR(C27/C$38,0)</f>
        <v/>
      </c>
    </row>
    <row r="28" ht="10" customHeight="1">
      <c r="A28" s="84" t="inlineStr">
        <is>
          <t>Research, Survey &amp; Instrumentation Ships</t>
        </is>
      </c>
      <c r="B28" s="84" t="inlineStr">
        <is>
          <t>MSC</t>
        </is>
      </c>
      <c r="C28"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8" s="93">
        <f>IFERROR(C28/C$38,0)</f>
        <v/>
      </c>
    </row>
    <row r="29" ht="10" customHeight="1">
      <c r="A29" s="84" t="inlineStr">
        <is>
          <t>Hospital Ship</t>
        </is>
      </c>
      <c r="B29" s="84" t="inlineStr">
        <is>
          <t>MSC</t>
        </is>
      </c>
      <c r="C29"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9" s="93">
        <f>IFERROR(C29/C$38,0)</f>
        <v/>
      </c>
    </row>
    <row r="30" ht="10" customHeight="1">
      <c r="A30" s="84" t="inlineStr">
        <is>
          <t>Mine Warfare</t>
        </is>
      </c>
      <c r="B30" s="84" t="inlineStr">
        <is>
          <t>USN</t>
        </is>
      </c>
      <c r="C30"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0" s="93">
        <f>IFERROR(C30/C$38,0)</f>
        <v/>
      </c>
    </row>
    <row r="31" ht="10" customHeight="1">
      <c r="A31" s="84" t="inlineStr">
        <is>
          <t>Offshore Patrol Cutter</t>
        </is>
      </c>
      <c r="B31" s="84" t="inlineStr">
        <is>
          <t>USCG</t>
        </is>
      </c>
      <c r="C31"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1" s="93">
        <f>IFERROR(C31/C$38,0)</f>
        <v/>
      </c>
    </row>
    <row r="32" ht="10" customHeight="1">
      <c r="A32" s="84" t="inlineStr">
        <is>
          <t>Fast Response Cutters</t>
        </is>
      </c>
      <c r="B32" s="84" t="inlineStr">
        <is>
          <t>USCG</t>
        </is>
      </c>
      <c r="C32"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2" s="93">
        <f>IFERROR(C32/C$38,0)</f>
        <v/>
      </c>
    </row>
    <row r="33" ht="10" customHeight="1">
      <c r="A33" s="84" t="inlineStr">
        <is>
          <t>Icebreakers, Oceangoing</t>
        </is>
      </c>
      <c r="B33" s="84" t="inlineStr">
        <is>
          <t>USCG</t>
        </is>
      </c>
      <c r="C33"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3" s="93">
        <f>IFERROR(C33/C$38,0)</f>
        <v/>
      </c>
    </row>
    <row r="34" ht="10" customHeight="1">
      <c r="A34" s="84" t="inlineStr">
        <is>
          <t>Waterways Commerce Cutters</t>
        </is>
      </c>
      <c r="B34" s="84" t="inlineStr">
        <is>
          <t>USCG</t>
        </is>
      </c>
      <c r="C34"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4" s="93">
        <f>IFERROR(C34/C$38,0)</f>
        <v/>
      </c>
    </row>
    <row r="35" ht="10" customHeight="1">
      <c r="A35" s="84" t="inlineStr">
        <is>
          <t>National Security Cutters</t>
        </is>
      </c>
      <c r="B35" s="84" t="inlineStr">
        <is>
          <t>USCG</t>
        </is>
      </c>
      <c r="C35"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5" s="93">
        <f>IFERROR(C35/C$38,0)</f>
        <v/>
      </c>
    </row>
    <row r="36" ht="10" customHeight="1">
      <c r="A36" s="84" t="inlineStr">
        <is>
          <t>Coastal Buoy Tenders</t>
        </is>
      </c>
      <c r="B36" s="84" t="inlineStr">
        <is>
          <t>USCG</t>
        </is>
      </c>
      <c r="C36"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6" s="93">
        <f>IFERROR(C36/C$38,0)</f>
        <v/>
      </c>
    </row>
    <row r="37" ht="10" customHeight="1">
      <c r="A37" s="84" t="inlineStr">
        <is>
          <t>Icebreakers, Great Lakes</t>
        </is>
      </c>
      <c r="B37" s="84" t="inlineStr">
        <is>
          <t>USCG</t>
        </is>
      </c>
      <c r="C37"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3">
        <f>IFERROR(C37/C$38,0)</f>
        <v/>
      </c>
    </row>
    <row r="38" ht="10" customHeight="1">
      <c r="A38" s="86" t="inlineStr">
        <is>
          <t>Newbuild SAM</t>
        </is>
      </c>
      <c r="B38" s="86" t="inlineStr"/>
      <c r="C38" s="87">
        <f>SUM(C13:C37)</f>
        <v/>
      </c>
      <c r="D38" s="94"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c r="L40" s="82" t="n"/>
      <c r="M40" s="82" t="n"/>
      <c r="N40" s="82" t="n"/>
      <c r="O40" s="82" t="n"/>
    </row>
    <row r="41" ht="10" customHeight="1">
      <c r="A41" s="83" t="inlineStr">
        <is>
          <t>Sub-Category</t>
        </is>
      </c>
      <c r="B41" s="83" t="inlineStr">
        <is>
          <t>Surface Combatants</t>
        </is>
      </c>
      <c r="C41" s="83" t="inlineStr">
        <is>
          <t>Expeditionary &amp; Seabasing Ships</t>
        </is>
      </c>
      <c r="D41" s="83" t="inlineStr">
        <is>
          <t>Combat Logistics Ships</t>
        </is>
      </c>
      <c r="E41" s="83" t="inlineStr">
        <is>
          <t>Amphibious Warfare Ships</t>
        </is>
      </c>
      <c r="F41" s="83" t="inlineStr">
        <is>
          <t>Unmanned Surface Vehicles</t>
        </is>
      </c>
      <c r="G41" s="83" t="inlineStr">
        <is>
          <t>Cargo &amp; Vehicle Cargo Ships</t>
        </is>
      </c>
      <c r="H41" s="83" t="inlineStr">
        <is>
          <t>Surveillance Ships</t>
        </is>
      </c>
      <c r="I41" s="83" t="inlineStr">
        <is>
          <t>Salvage Ships &amp; Fleet Ocean Tugs</t>
        </is>
      </c>
      <c r="J41" s="83" t="inlineStr">
        <is>
          <t>Offshore Patrol Cutter</t>
        </is>
      </c>
      <c r="K41" s="83" t="inlineStr">
        <is>
          <t>Fast Response Cutters</t>
        </is>
      </c>
      <c r="L41" s="83" t="inlineStr">
        <is>
          <t>Icebreakers, Oceangoing</t>
        </is>
      </c>
      <c r="M41" s="83" t="inlineStr">
        <is>
          <t>Waterways Commerce Cutters</t>
        </is>
      </c>
      <c r="N41" s="83" t="inlineStr">
        <is>
          <t>Total</t>
        </is>
      </c>
    </row>
    <row r="42" ht="10" customHeight="1">
      <c r="A42" s="84" t="inlineStr">
        <is>
          <t>Full Ship DD&amp;C</t>
        </is>
      </c>
      <c r="B42" s="93">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procurement",JB_S,"[PARENT]",JB_R,"",JB_N,""))/B$44,0)</f>
        <v/>
      </c>
      <c r="C42" s="9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procurement",JB_S,"[PARENT]",JB_R,"",JB_N,""))/C$44,0)</f>
        <v/>
      </c>
      <c r="D42" s="9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procurement",JB_S,"[PARENT]",JB_R,"",JB_N,""))/D$44,0)</f>
        <v/>
      </c>
      <c r="E42" s="9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procurement",JB_S,"[PARENT]",JB_R,"",JB_N,""))/E$44,0)</f>
        <v/>
      </c>
      <c r="F42" s="9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procurement",JB_S,"[PARENT]",JB_R,"",JB_N,""))/F$44,0)</f>
        <v/>
      </c>
      <c r="G42" s="9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procurement",JB_S,"[PARENT]",JB_R,"",JB_N,""))/G$44,0)</f>
        <v/>
      </c>
      <c r="H42" s="9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procurement",JB_S,"[PARENT]",JB_R,"",JB_N,""))/H$44,0)</f>
        <v/>
      </c>
      <c r="I42" s="9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procurement",JB_S,"[PARENT]",JB_R,"",JB_N,""))/I$44,0)</f>
        <v/>
      </c>
      <c r="J42" s="93">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procurement",JB_S,"[PARENT]",JB_R,"",JB_N,""))/J$44,0)</f>
        <v/>
      </c>
      <c r="K42" s="9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procurement",JB_S,"[PARENT]",JB_R,"",JB_N,""))/K$44,0)</f>
        <v/>
      </c>
      <c r="L42" s="9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procurement",JB_S,"[PARENT]",JB_R,"",JB_N,""))/L$44,0)</f>
        <v/>
      </c>
      <c r="M42" s="9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procurement",JB_S,"[PARENT]",JB_R,"",JB_N,""))/M$44,0)</f>
        <v/>
      </c>
      <c r="N42" s="93">
        <f>IFERROR(1-N43,0)</f>
        <v/>
      </c>
    </row>
    <row r="43" ht="10" customHeight="1">
      <c r="A43" s="84" t="inlineStr">
        <is>
          <t>Advance Procurement / LLTM</t>
        </is>
      </c>
      <c r="B43" s="93">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LLTM",JB_S,"[PARENT]",JB_R,"",JB_N,""))/B$44,0)</f>
        <v/>
      </c>
      <c r="C43" s="9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LLTM",JB_S,"[PARENT]",JB_R,"",JB_N,""))/C$44,0)</f>
        <v/>
      </c>
      <c r="D43" s="9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LLTM",JB_S,"[PARENT]",JB_R,"",JB_N,""))/D$44,0)</f>
        <v/>
      </c>
      <c r="E43" s="9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LLTM",JB_S,"[PARENT]",JB_R,"",JB_N,""))/E$44,0)</f>
        <v/>
      </c>
      <c r="F43" s="9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LLTM",JB_S,"[PARENT]",JB_R,"",JB_N,""))/F$44,0)</f>
        <v/>
      </c>
      <c r="G43" s="9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LLTM",JB_S,"[PARENT]",JB_R,"",JB_N,""))/G$44,0)</f>
        <v/>
      </c>
      <c r="H43" s="9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LLTM",JB_S,"[PARENT]",JB_R,"",JB_N,""))/H$44,0)</f>
        <v/>
      </c>
      <c r="I43" s="9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LLTM",JB_S,"[PARENT]",JB_R,"",JB_N,""))/I$44,0)</f>
        <v/>
      </c>
      <c r="J43" s="93">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LLTM",JB_S,"[PARENT]",JB_R,"",JB_N,""))/J$44,0)</f>
        <v/>
      </c>
      <c r="K43" s="9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LLTM",JB_S,"[PARENT]",JB_R,"",JB_N,""))/K$44,0)</f>
        <v/>
      </c>
      <c r="L43" s="9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LLTM",JB_S,"[PARENT]",JB_R,"",JB_N,""))/L$44,0)</f>
        <v/>
      </c>
      <c r="M43" s="9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LLTM",JB_S,"[PARENT]",JB_R,"",JB_N,""))/M$44,0)</f>
        <v/>
      </c>
      <c r="N43" s="93">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LLTM",JB_S,"[PARENT]",JB_R,"",JB_N,""))/N$44,0)</f>
        <v/>
      </c>
    </row>
    <row r="44" ht="10" customHeight="1">
      <c r="A44" s="86" t="inlineStr">
        <is>
          <t>Total ($K)</t>
        </is>
      </c>
      <c r="B44"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4"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4"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4"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4"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4"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4"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4"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4"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4"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4"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4"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4" s="87">
        <f>SUM(B44:M44)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c r="C4" s="82" t="n"/>
      <c r="D4" s="82" t="n"/>
      <c r="E4" s="82" t="n"/>
      <c r="F4" s="82" t="n"/>
      <c r="G4" s="82" t="n"/>
      <c r="H4" s="82" t="n"/>
      <c r="I4" s="82" t="n"/>
      <c r="J4" s="82" t="n"/>
      <c r="K4" s="82" t="n"/>
      <c r="L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91" t="inlineStr">
        <is>
          <t>MRO TAM</t>
        </is>
      </c>
      <c r="B9" s="92">
        <f>B19</f>
        <v/>
      </c>
    </row>
    <row r="10" ht="10" customHeight="1"/>
    <row r="11" ht="10" customHeight="1">
      <c r="A11" s="81" t="inlineStr">
        <is>
          <t>(B) MRO TAM by Work Type</t>
        </is>
      </c>
      <c r="B11" s="82" t="n"/>
      <c r="C11" s="82" t="n"/>
      <c r="D11" s="82" t="n"/>
      <c r="E11" s="82" t="n"/>
      <c r="F11" s="82" t="n"/>
      <c r="G11" s="82" t="n"/>
      <c r="H11" s="82" t="n"/>
      <c r="I11" s="82" t="n"/>
      <c r="J11" s="82" t="n"/>
      <c r="K11" s="82" t="n"/>
      <c r="L11" s="82" t="n"/>
    </row>
    <row r="12" ht="10" customHeight="1">
      <c r="A12" s="83" t="inlineStr">
        <is>
          <t>Work Type</t>
        </is>
      </c>
      <c r="B12" s="83" t="inlineStr">
        <is>
          <t>FY2026 ($K)</t>
        </is>
      </c>
      <c r="C12" s="83" t="inlineStr">
        <is>
          <t>% of TAM</t>
        </is>
      </c>
    </row>
    <row r="13" ht="10" customHeight="1">
      <c r="A13" s="84" t="inlineStr">
        <is>
          <t>Scheduled Depot Maintenance</t>
        </is>
      </c>
      <c r="B13"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3" s="93">
        <f>IFERROR(B13/B$19,0)</f>
        <v/>
      </c>
    </row>
    <row r="14" ht="10" customHeight="1">
      <c r="A14" s="84" t="inlineStr">
        <is>
          <t>Continuous / Emergent Maintenance</t>
        </is>
      </c>
      <c r="B14"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4" s="93">
        <f>IFERROR(B14/B$19,0)</f>
        <v/>
      </c>
    </row>
    <row r="15" ht="10" customHeight="1">
      <c r="A15" s="84" t="inlineStr">
        <is>
          <t>Modernization</t>
        </is>
      </c>
      <c r="B15"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5" s="93">
        <f>IFERROR(B15/B$19,0)</f>
        <v/>
      </c>
    </row>
    <row r="16" ht="10" customHeight="1">
      <c r="A16" s="84" t="inlineStr">
        <is>
          <t>Major Life-Cycle Events / RCOH</t>
        </is>
      </c>
      <c r="B16"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6" s="93">
        <f>IFERROR(B16/B$19,0)</f>
        <v/>
      </c>
    </row>
    <row r="17" ht="10" customHeight="1">
      <c r="A17" s="84" t="inlineStr">
        <is>
          <t>Sustainment Engineering</t>
        </is>
      </c>
      <c r="B17"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7" s="93">
        <f>IFERROR(B17/B$19,0)</f>
        <v/>
      </c>
    </row>
    <row r="18" ht="10" customHeight="1">
      <c r="A18" s="84" t="inlineStr">
        <is>
          <t>Availability Support</t>
        </is>
      </c>
      <c r="B18"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8" s="93">
        <f>IFERROR(B18/B$19,0)</f>
        <v/>
      </c>
    </row>
    <row r="19" ht="10" customHeight="1">
      <c r="A19" s="86" t="inlineStr">
        <is>
          <t>MRO TAM</t>
        </is>
      </c>
      <c r="B19" s="87">
        <f>SUM(B13:B18)</f>
        <v/>
      </c>
      <c r="C19" s="94" t="n">
        <v>1</v>
      </c>
    </row>
    <row r="20" ht="10" customHeight="1"/>
    <row r="21" ht="10" customHeight="1">
      <c r="A21" s="81" t="inlineStr">
        <is>
          <t>(C) MRO TAM by Vessel Type</t>
        </is>
      </c>
      <c r="B21" s="82" t="n"/>
      <c r="C21" s="82" t="n"/>
      <c r="D21" s="82" t="n"/>
      <c r="E21" s="82" t="n"/>
      <c r="F21" s="82" t="n"/>
      <c r="G21" s="82" t="n"/>
      <c r="H21" s="82" t="n"/>
      <c r="I21" s="82" t="n"/>
      <c r="J21" s="82" t="n"/>
      <c r="K21" s="82" t="n"/>
      <c r="L21" s="82" t="n"/>
    </row>
    <row r="22" ht="10" customHeight="1">
      <c r="A22" s="83" t="inlineStr">
        <is>
          <t>Vessel Type</t>
        </is>
      </c>
      <c r="B22" s="83" t="inlineStr">
        <is>
          <t>Service</t>
        </is>
      </c>
      <c r="C22" s="83" t="inlineStr">
        <is>
          <t>FY2026 ($K)</t>
        </is>
      </c>
      <c r="D22" s="83" t="inlineStr">
        <is>
          <t>% of TAM</t>
        </is>
      </c>
    </row>
    <row r="23" ht="10" customHeight="1">
      <c r="A23" s="84" t="inlineStr">
        <is>
          <t>Submarines</t>
        </is>
      </c>
      <c r="B23" s="84" t="inlineStr">
        <is>
          <t>USN</t>
        </is>
      </c>
      <c r="C23"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3" s="93">
        <f>IFERROR(C23/C$51,0)</f>
        <v/>
      </c>
    </row>
    <row r="24" ht="10" customHeight="1">
      <c r="A24" s="84" t="inlineStr">
        <is>
          <t>Surface Combatants</t>
        </is>
      </c>
      <c r="B24" s="84" t="inlineStr">
        <is>
          <t>USN</t>
        </is>
      </c>
      <c r="C2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4" s="93">
        <f>IFERROR(C24/C$51,0)</f>
        <v/>
      </c>
    </row>
    <row r="25" ht="10" customHeight="1">
      <c r="A25" s="84" t="inlineStr">
        <is>
          <t>Aircraft Carriers</t>
        </is>
      </c>
      <c r="B25" s="84" t="inlineStr">
        <is>
          <t>USN</t>
        </is>
      </c>
      <c r="C25"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5" s="93">
        <f>IFERROR(C25/C$51,0)</f>
        <v/>
      </c>
    </row>
    <row r="26" ht="10" customHeight="1">
      <c r="A26" s="84" t="inlineStr">
        <is>
          <t>Amphibious Warfare Ships</t>
        </is>
      </c>
      <c r="B26" s="84" t="inlineStr">
        <is>
          <t>USN</t>
        </is>
      </c>
      <c r="C2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6" s="93">
        <f>IFERROR(C26/C$51,0)</f>
        <v/>
      </c>
    </row>
    <row r="27" ht="10" customHeight="1">
      <c r="A27" s="84" t="inlineStr">
        <is>
          <t>Expeditionary &amp; Seabasing Ships</t>
        </is>
      </c>
      <c r="B27" s="84" t="inlineStr">
        <is>
          <t>USN</t>
        </is>
      </c>
      <c r="C2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7" s="93">
        <f>IFERROR(C27/C$51,0)</f>
        <v/>
      </c>
    </row>
    <row r="28" ht="10" customHeight="1">
      <c r="A28" s="84" t="inlineStr">
        <is>
          <t>Command Ships</t>
        </is>
      </c>
      <c r="B28" s="84" t="inlineStr">
        <is>
          <t>USN</t>
        </is>
      </c>
      <c r="C28"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28" s="93">
        <f>IFERROR(C28/C$51,0)</f>
        <v/>
      </c>
    </row>
    <row r="29" ht="10" customHeight="1">
      <c r="A29" s="84" t="inlineStr">
        <is>
          <t>Surveillance Ships</t>
        </is>
      </c>
      <c r="B29" s="84" t="inlineStr">
        <is>
          <t>USN</t>
        </is>
      </c>
      <c r="C29"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29" s="93">
        <f>IFERROR(C29/C$51,0)</f>
        <v/>
      </c>
    </row>
    <row r="30" ht="10" customHeight="1">
      <c r="A30" s="84" t="inlineStr">
        <is>
          <t>Mine Warfare</t>
        </is>
      </c>
      <c r="B30" s="84" t="inlineStr">
        <is>
          <t>USN</t>
        </is>
      </c>
      <c r="C30"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0" s="93">
        <f>IFERROR(C30/C$51,0)</f>
        <v/>
      </c>
    </row>
    <row r="31" ht="10" customHeight="1">
      <c r="A31" s="84" t="inlineStr">
        <is>
          <t>Combat Logistics Ships</t>
        </is>
      </c>
      <c r="B31" s="84" t="inlineStr">
        <is>
          <t>MSC</t>
        </is>
      </c>
      <c r="C31"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1" s="93">
        <f>IFERROR(C31/C$51,0)</f>
        <v/>
      </c>
    </row>
    <row r="32" ht="10" customHeight="1">
      <c r="A32" s="84" t="inlineStr">
        <is>
          <t>Submarine Escort Ship</t>
        </is>
      </c>
      <c r="B32" s="84" t="inlineStr">
        <is>
          <t>USN</t>
        </is>
      </c>
      <c r="C32"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2" s="93">
        <f>IFERROR(C32/C$51,0)</f>
        <v/>
      </c>
    </row>
    <row r="33" ht="10" customHeight="1">
      <c r="A33" s="84" t="inlineStr">
        <is>
          <t>High Speed Transport</t>
        </is>
      </c>
      <c r="B33" s="84" t="inlineStr">
        <is>
          <t>USN</t>
        </is>
      </c>
      <c r="C33"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3" s="93">
        <f>IFERROR(C33/C$51,0)</f>
        <v/>
      </c>
    </row>
    <row r="34" ht="10" customHeight="1">
      <c r="A34" s="84" t="inlineStr">
        <is>
          <t>Crane Ship</t>
        </is>
      </c>
      <c r="B34" s="84" t="inlineStr">
        <is>
          <t>USN</t>
        </is>
      </c>
      <c r="C34"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4" s="93">
        <f>IFERROR(C34/C$51,0)</f>
        <v/>
      </c>
    </row>
    <row r="35" ht="10" customHeight="1">
      <c r="A35" s="84" t="inlineStr">
        <is>
          <t>Aviation Logistics Support Ship</t>
        </is>
      </c>
      <c r="B35" s="84" t="inlineStr">
        <is>
          <t>USN</t>
        </is>
      </c>
      <c r="C35"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5" s="93">
        <f>IFERROR(C35/C$51,0)</f>
        <v/>
      </c>
    </row>
    <row r="36" ht="10" customHeight="1">
      <c r="A36" s="84" t="inlineStr">
        <is>
          <t>Material Support Ships</t>
        </is>
      </c>
      <c r="B36" s="84" t="inlineStr">
        <is>
          <t>USN</t>
        </is>
      </c>
      <c r="C36"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6" s="93">
        <f>IFERROR(C36/C$51,0)</f>
        <v/>
      </c>
    </row>
    <row r="37" ht="10" customHeight="1">
      <c r="A37" s="84" t="inlineStr">
        <is>
          <t>Research, Survey &amp; Instrumentation Ships</t>
        </is>
      </c>
      <c r="B37" s="84" t="inlineStr">
        <is>
          <t>MSC</t>
        </is>
      </c>
      <c r="C37"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7" s="93">
        <f>IFERROR(C37/C$51,0)</f>
        <v/>
      </c>
    </row>
    <row r="38" ht="10" customHeight="1">
      <c r="A38" s="84" t="inlineStr">
        <is>
          <t>Salvage Ships &amp; Fleet Ocean Tugs</t>
        </is>
      </c>
      <c r="B38" s="84" t="inlineStr">
        <is>
          <t>MSC</t>
        </is>
      </c>
      <c r="C38"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8" s="93">
        <f>IFERROR(C38/C$51,0)</f>
        <v/>
      </c>
    </row>
    <row r="39" ht="10" customHeight="1">
      <c r="A39" s="84" t="inlineStr">
        <is>
          <t>Hospital Ship</t>
        </is>
      </c>
      <c r="B39" s="84" t="inlineStr">
        <is>
          <t>MSC</t>
        </is>
      </c>
      <c r="C39"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9" s="93">
        <f>IFERROR(C39/C$51,0)</f>
        <v/>
      </c>
    </row>
    <row r="40" ht="10" customHeight="1">
      <c r="A40" s="84" t="inlineStr">
        <is>
          <t>Cargo &amp; Vehicle Cargo Ships</t>
        </is>
      </c>
      <c r="B40" s="84" t="inlineStr">
        <is>
          <t>USN</t>
        </is>
      </c>
      <c r="C40"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0" s="93">
        <f>IFERROR(C40/C$51,0)</f>
        <v/>
      </c>
    </row>
    <row r="41" ht="10" customHeight="1">
      <c r="A41" s="84" t="inlineStr">
        <is>
          <t>Unmanned Undersea Vehicles</t>
        </is>
      </c>
      <c r="B41" s="84" t="inlineStr">
        <is>
          <t>USN</t>
        </is>
      </c>
      <c r="C41"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41" s="93">
        <f>IFERROR(C41/C$51,0)</f>
        <v/>
      </c>
    </row>
    <row r="42" ht="10" customHeight="1">
      <c r="A42" s="84" t="inlineStr">
        <is>
          <t>General Auxiliary</t>
        </is>
      </c>
      <c r="B42" s="84" t="inlineStr">
        <is>
          <t>USN</t>
        </is>
      </c>
      <c r="C42"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2" s="93">
        <f>IFERROR(C42/C$51,0)</f>
        <v/>
      </c>
    </row>
    <row r="43" ht="10" customHeight="1">
      <c r="A43" s="84" t="inlineStr">
        <is>
          <t>Unmanned Surface Vehicles</t>
        </is>
      </c>
      <c r="B43" s="84" t="inlineStr">
        <is>
          <t>USN</t>
        </is>
      </c>
      <c r="C43"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43" s="93">
        <f>IFERROR(C43/C$51,0)</f>
        <v/>
      </c>
    </row>
    <row r="44" ht="10" customHeight="1">
      <c r="A44" s="84" t="inlineStr">
        <is>
          <t>National Security Cutters</t>
        </is>
      </c>
      <c r="B44" s="84" t="inlineStr">
        <is>
          <t>USCG</t>
        </is>
      </c>
      <c r="C44"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4" s="93">
        <f>IFERROR(C44/C$51,0)</f>
        <v/>
      </c>
    </row>
    <row r="45" ht="10" customHeight="1">
      <c r="A45" s="84" t="inlineStr">
        <is>
          <t>Fast Response Cutters</t>
        </is>
      </c>
      <c r="B45" s="84" t="inlineStr">
        <is>
          <t>USCG</t>
        </is>
      </c>
      <c r="C45"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5" s="93">
        <f>IFERROR(C45/C$51,0)</f>
        <v/>
      </c>
    </row>
    <row r="46" ht="10" customHeight="1">
      <c r="A46" s="84" t="inlineStr">
        <is>
          <t>Icebreakers, Great Lakes</t>
        </is>
      </c>
      <c r="B46" s="84" t="inlineStr">
        <is>
          <t>USCG</t>
        </is>
      </c>
      <c r="C46"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6" s="93">
        <f>IFERROR(C46/C$51,0)</f>
        <v/>
      </c>
    </row>
    <row r="47" ht="10" customHeight="1">
      <c r="A47" s="84" t="inlineStr">
        <is>
          <t>Waterways Commerce Cutters</t>
        </is>
      </c>
      <c r="B47" s="84" t="inlineStr">
        <is>
          <t>USCG</t>
        </is>
      </c>
      <c r="C47"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7" s="93">
        <f>IFERROR(C47/C$51,0)</f>
        <v/>
      </c>
    </row>
    <row r="48" ht="10" customHeight="1">
      <c r="A48" s="84" t="inlineStr">
        <is>
          <t>Coastal Buoy Tenders</t>
        </is>
      </c>
      <c r="B48" s="84" t="inlineStr">
        <is>
          <t>USCG</t>
        </is>
      </c>
      <c r="C48"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8" s="93">
        <f>IFERROR(C48/C$51,0)</f>
        <v/>
      </c>
    </row>
    <row r="49" ht="10" customHeight="1">
      <c r="A49" s="84" t="inlineStr">
        <is>
          <t>Icebreakers, Oceangoing</t>
        </is>
      </c>
      <c r="B49" s="84" t="inlineStr">
        <is>
          <t>USCG</t>
        </is>
      </c>
      <c r="C49"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9" s="93">
        <f>IFERROR(C49/C$51,0)</f>
        <v/>
      </c>
    </row>
    <row r="50" ht="10" customHeight="1">
      <c r="A50" s="84" t="inlineStr">
        <is>
          <t>Offshore Patrol Cutter</t>
        </is>
      </c>
      <c r="B50" s="84" t="inlineStr">
        <is>
          <t>USCG</t>
        </is>
      </c>
      <c r="C50"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50" s="93">
        <f>IFERROR(C50/C$51,0)</f>
        <v/>
      </c>
    </row>
    <row r="51" ht="10" customHeight="1">
      <c r="A51" s="86" t="inlineStr">
        <is>
          <t>MRO TAM</t>
        </is>
      </c>
      <c r="B51" s="86" t="inlineStr"/>
      <c r="C51" s="87">
        <f>SUM(C23:C50)</f>
        <v/>
      </c>
      <c r="D51" s="94" t="n">
        <v>1</v>
      </c>
    </row>
    <row r="52" ht="10" customHeight="1"/>
    <row r="53" ht="10" customHeight="1">
      <c r="A53" s="81" t="inlineStr">
        <is>
          <t>(D) MRO TAM — Work Type by Vessel Type (Mekko)</t>
        </is>
      </c>
      <c r="B53" s="82" t="n"/>
      <c r="C53" s="82" t="n"/>
      <c r="D53" s="82" t="n"/>
      <c r="E53" s="82" t="n"/>
      <c r="F53" s="82" t="n"/>
      <c r="G53" s="82" t="n"/>
      <c r="H53" s="82" t="n"/>
      <c r="I53" s="82" t="n"/>
      <c r="J53" s="82" t="n"/>
      <c r="K53" s="82" t="n"/>
      <c r="L53" s="82" t="n"/>
    </row>
    <row r="54" ht="10" customHeight="1">
      <c r="A54" s="83" t="inlineStr">
        <is>
          <t>Work Type</t>
        </is>
      </c>
      <c r="B54" s="83" t="inlineStr">
        <is>
          <t>Submarines</t>
        </is>
      </c>
      <c r="C54" s="83" t="inlineStr">
        <is>
          <t>Surface Combatants</t>
        </is>
      </c>
      <c r="D54" s="83" t="inlineStr">
        <is>
          <t>Aircraft Carriers</t>
        </is>
      </c>
      <c r="E54" s="83" t="inlineStr">
        <is>
          <t>Amphibious Warfare Ships</t>
        </is>
      </c>
      <c r="F54" s="83" t="inlineStr">
        <is>
          <t>Expeditionary &amp; Seabasing Ships</t>
        </is>
      </c>
      <c r="G54" s="83" t="inlineStr">
        <is>
          <t>Command Ships</t>
        </is>
      </c>
      <c r="H54" s="83" t="inlineStr">
        <is>
          <t>Surveillance Ships</t>
        </is>
      </c>
      <c r="I54" s="83" t="inlineStr">
        <is>
          <t>Mine Warfare</t>
        </is>
      </c>
      <c r="J54" s="83" t="inlineStr">
        <is>
          <t>National Security Cutters</t>
        </is>
      </c>
      <c r="K54" s="83" t="inlineStr">
        <is>
          <t>Total</t>
        </is>
      </c>
    </row>
    <row r="55" ht="10" customHeight="1">
      <c r="A55" s="84" t="inlineStr">
        <is>
          <t>Scheduled Depot Maintenance</t>
        </is>
      </c>
      <c r="B55" s="93">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$61,0)</f>
        <v/>
      </c>
      <c r="C55" s="93">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Combatants",JB_S,"[PARENT]",JB_R,"",JB_N,""))/C$61,0)</f>
        <v/>
      </c>
      <c r="D55" s="93">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Carriers",JB_S,"[PARENT]",JB_R,"",JB_N,""))/D$61,0)</f>
        <v/>
      </c>
      <c r="E55" s="9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Ships",JB_S,"[PARENT]",JB_R,"",JB_N,""))/E$61,0)</f>
        <v/>
      </c>
      <c r="F55" s="9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Ships",JB_S,"[PARENT]",JB_R,"",JB_N,""))/F$61,0)</f>
        <v/>
      </c>
      <c r="G55" s="9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Ships",JB_S,"[PARENT]",JB_R,"",JB_N,""))/G$61,0)</f>
        <v/>
      </c>
      <c r="H55" s="9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Ships",JB_S,"[PARENT]",JB_R,"",JB_N,""))/H$61,0)</f>
        <v/>
      </c>
      <c r="I55" s="9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Warfare",JB_S,"[PARENT]",JB_R,"",JB_N,""))/I$61,0)</f>
        <v/>
      </c>
      <c r="J55" s="93">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Cutters",JB_S,"[PARENT]",JB_R,"",JB_N,""))/J$61,0)</f>
        <v/>
      </c>
      <c r="K55" s="93">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Platforms",JB_S,"[PARENT]",JB_R,"",JB_N,""))/K$61,0)</f>
        <v/>
      </c>
    </row>
    <row r="56" ht="10" customHeight="1">
      <c r="A56" s="84" t="inlineStr">
        <is>
          <t>Continuous / Emergent Maintenance</t>
        </is>
      </c>
      <c r="B56" s="93">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$61,0)</f>
        <v/>
      </c>
      <c r="C56" s="93">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Combatants",JB_S,"[PARENT]",JB_R,"",JB_N,""))/C$61,0)</f>
        <v/>
      </c>
      <c r="D56" s="93">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Carriers",JB_S,"[PARENT]",JB_R,"",JB_N,""))/D$61,0)</f>
        <v/>
      </c>
      <c r="E56" s="93">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Ships",JB_S,"[PARENT]",JB_R,"",JB_N,""))/E$61,0)</f>
        <v/>
      </c>
      <c r="F56" s="93">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Ships",JB_S,"[PARENT]",JB_R,"",JB_N,""))/F$61,0)</f>
        <v/>
      </c>
      <c r="G56" s="93">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Ships",JB_S,"[PARENT]",JB_R,"",JB_N,""))/G$61,0)</f>
        <v/>
      </c>
      <c r="H56" s="93">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Ships",JB_S,"[PARENT]",JB_R,"",JB_N,""))/H$61,0)</f>
        <v/>
      </c>
      <c r="I56" s="93">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Warfare",JB_S,"[PARENT]",JB_R,"",JB_N,""))/I$61,0)</f>
        <v/>
      </c>
      <c r="J56" s="93">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Cutters",JB_S,"[PARENT]",JB_R,"",JB_N,""))/J$61,0)</f>
        <v/>
      </c>
      <c r="K56" s="93">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Platforms",JB_S,"[PARENT]",JB_R,"",JB_N,""))/K$61,0)</f>
        <v/>
      </c>
    </row>
    <row r="57" ht="10" customHeight="1">
      <c r="A57" s="84" t="inlineStr">
        <is>
          <t>Modernization</t>
        </is>
      </c>
      <c r="B57" s="93">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$61,0)</f>
        <v/>
      </c>
      <c r="C57" s="9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Combatants",JB_S,"[PARENT]",JB_R,"",JB_N,""))/C$61,0)</f>
        <v/>
      </c>
      <c r="D57" s="93">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Carriers",JB_S,"[PARENT]",JB_R,"",JB_N,""))/D$61,0)</f>
        <v/>
      </c>
      <c r="E57" s="9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Ships",JB_S,"[PARENT]",JB_R,"",JB_N,""))/E$61,0)</f>
        <v/>
      </c>
      <c r="F57" s="9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Ships",JB_S,"[PARENT]",JB_R,"",JB_N,""))/F$61,0)</f>
        <v/>
      </c>
      <c r="G57" s="9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Ships",JB_S,"[PARENT]",JB_R,"",JB_N,""))/G$61,0)</f>
        <v/>
      </c>
      <c r="H57" s="9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Ships",JB_S,"[PARENT]",JB_R,"",JB_N,""))/H$61,0)</f>
        <v/>
      </c>
      <c r="I57" s="9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Warfare",JB_S,"[PARENT]",JB_R,"",JB_N,""))/I$61,0)</f>
        <v/>
      </c>
      <c r="J57" s="93">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Cutters",JB_S,"[PARENT]",JB_R,"",JB_N,""))/J$61,0)</f>
        <v/>
      </c>
      <c r="K57" s="93">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Platforms",JB_S,"[PARENT]",JB_R,"",JB_N,""))/K$61,0)</f>
        <v/>
      </c>
    </row>
    <row r="58" ht="10" customHeight="1">
      <c r="A58" s="84" t="inlineStr">
        <is>
          <t>Major Life-Cycle Events / RCOH</t>
        </is>
      </c>
      <c r="B58" s="93">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$61,0)</f>
        <v/>
      </c>
      <c r="C58" s="93">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Combatants",JB_S,"[PARENT]",JB_R,"",JB_N,""))/C$61,0)</f>
        <v/>
      </c>
      <c r="D58" s="93">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Carriers",JB_S,"[PARENT]",JB_R,"",JB_N,""))/D$61,0)</f>
        <v/>
      </c>
      <c r="E58" s="93">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Ships",JB_S,"[PARENT]",JB_R,"",JB_N,""))/E$61,0)</f>
        <v/>
      </c>
      <c r="F58" s="93">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Ships",JB_S,"[PARENT]",JB_R,"",JB_N,""))/F$61,0)</f>
        <v/>
      </c>
      <c r="G58" s="93">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Ships",JB_S,"[PARENT]",JB_R,"",JB_N,""))/G$61,0)</f>
        <v/>
      </c>
      <c r="H58" s="93">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Ships",JB_S,"[PARENT]",JB_R,"",JB_N,""))/H$61,0)</f>
        <v/>
      </c>
      <c r="I58" s="93">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Warfare",JB_S,"[PARENT]",JB_R,"",JB_N,""))/I$61,0)</f>
        <v/>
      </c>
      <c r="J58" s="93">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Cutters",JB_S,"[PARENT]",JB_R,"",JB_N,""))/J$61,0)</f>
        <v/>
      </c>
      <c r="K58" s="93">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Platforms",JB_S,"[PARENT]",JB_R,"",JB_N,""))/K$61,0)</f>
        <v/>
      </c>
    </row>
    <row r="59" ht="10" customHeight="1">
      <c r="A59" s="84" t="inlineStr">
        <is>
          <t>Sustainment Engineering</t>
        </is>
      </c>
      <c r="B59" s="93">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$61,0)</f>
        <v/>
      </c>
      <c r="C59" s="93">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Combatants",JB_S,"[PARENT]",JB_R,"",JB_N,""))/C$61,0)</f>
        <v/>
      </c>
      <c r="D59" s="93">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Carriers",JB_S,"[PARENT]",JB_R,"",JB_N,""))/D$61,0)</f>
        <v/>
      </c>
      <c r="E59" s="93">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Ships",JB_S,"[PARENT]",JB_R,"",JB_N,""))/E$61,0)</f>
        <v/>
      </c>
      <c r="F59" s="93">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Ships",JB_S,"[PARENT]",JB_R,"",JB_N,""))/F$61,0)</f>
        <v/>
      </c>
      <c r="G59" s="93">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Ships",JB_S,"[PARENT]",JB_R,"",JB_N,""))/G$61,0)</f>
        <v/>
      </c>
      <c r="H59" s="93">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Ships",JB_S,"[PARENT]",JB_R,"",JB_N,""))/H$61,0)</f>
        <v/>
      </c>
      <c r="I59" s="93">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Warfare",JB_S,"[PARENT]",JB_R,"",JB_N,""))/I$61,0)</f>
        <v/>
      </c>
      <c r="J59" s="93">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Cutters",JB_S,"[PARENT]",JB_R,"",JB_N,""))/J$61,0)</f>
        <v/>
      </c>
      <c r="K59" s="93">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Platforms",JB_S,"[PARENT]",JB_R,"",JB_N,""))/K$61,0)</f>
        <v/>
      </c>
    </row>
    <row r="60" ht="10" customHeight="1">
      <c r="A60" s="84" t="inlineStr">
        <is>
          <t>Availability Support</t>
        </is>
      </c>
      <c r="B60" s="93">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$61,0)</f>
        <v/>
      </c>
      <c r="C60" s="93">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Combatants",JB_S,"[PARENT]",JB_R,"",JB_N,""))/C$61,0)</f>
        <v/>
      </c>
      <c r="D60" s="93">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Carriers",JB_S,"[PARENT]",JB_R,"",JB_N,""))/D$61,0)</f>
        <v/>
      </c>
      <c r="E60" s="93">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Ships",JB_S,"[PARENT]",JB_R,"",JB_N,""))/E$61,0)</f>
        <v/>
      </c>
      <c r="F60" s="93">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Ships",JB_S,"[PARENT]",JB_R,"",JB_N,""))/F$61,0)</f>
        <v/>
      </c>
      <c r="G60" s="93">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Ships",JB_S,"[PARENT]",JB_R,"",JB_N,""))/G$61,0)</f>
        <v/>
      </c>
      <c r="H60" s="93">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Ships",JB_S,"[PARENT]",JB_R,"",JB_N,""))/H$61,0)</f>
        <v/>
      </c>
      <c r="I60" s="93">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Warfare",JB_S,"[PARENT]",JB_R,"",JB_N,""))/I$61,0)</f>
        <v/>
      </c>
      <c r="J60" s="93">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Cutters",JB_S,"[PARENT]",JB_R,"",JB_N,""))/J$61,0)</f>
        <v/>
      </c>
      <c r="K60" s="93">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Platforms",JB_S,"[PARENT]",JB_R,"",JB_N,""))/K$61,0)</f>
        <v/>
      </c>
    </row>
    <row r="61" ht="10" customHeight="1">
      <c r="A61" s="86" t="inlineStr">
        <is>
          <t>Total ($K)</t>
        </is>
      </c>
      <c r="B61" s="8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1"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1"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1"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1"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1"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1"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1"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1"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1" s="87">
        <f>SUM(B61:J61)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c r="C4" s="82" t="n"/>
      <c r="D4" s="82" t="n"/>
      <c r="E4" s="82" t="n"/>
      <c r="F4" s="82" t="n"/>
      <c r="G4" s="82" t="n"/>
      <c r="H4" s="82" t="n"/>
      <c r="I4" s="82" t="n"/>
      <c r="J4" s="82" t="n"/>
    </row>
    <row r="5" ht="10" customHeight="1">
      <c r="A5" s="84" t="inlineStr">
        <is>
          <t>MRO TAM</t>
        </is>
      </c>
      <c r="B5" s="95">
        <f>'FY26 MRO TAM'!B19</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91" t="inlineStr">
        <is>
          <t>MRO SAM</t>
        </is>
      </c>
      <c r="B10" s="9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c r="A12" s="81" t="inlineStr">
        <is>
          <t>(B) MRO SAM by Vessel Type</t>
        </is>
      </c>
      <c r="B12" s="82" t="n"/>
      <c r="C12" s="82" t="n"/>
      <c r="D12" s="82" t="n"/>
      <c r="E12" s="82" t="n"/>
      <c r="F12" s="82" t="n"/>
      <c r="G12" s="82" t="n"/>
      <c r="H12" s="82" t="n"/>
      <c r="I12" s="82" t="n"/>
      <c r="J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4"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4" s="85">
        <f>C14+D14</f>
        <v/>
      </c>
      <c r="F14" s="93">
        <f>IFERROR(E14/E$39,0)</f>
        <v/>
      </c>
    </row>
    <row r="15" ht="10" customHeight="1">
      <c r="A15" s="84" t="inlineStr">
        <is>
          <t>Amphibious Warfare Ships</t>
        </is>
      </c>
      <c r="B15" s="84" t="inlineStr">
        <is>
          <t>USN</t>
        </is>
      </c>
      <c r="C15"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5"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5" s="85">
        <f>C15+D15</f>
        <v/>
      </c>
      <c r="F15" s="93">
        <f>IFERROR(E15/E$39,0)</f>
        <v/>
      </c>
    </row>
    <row r="16" ht="10" customHeight="1">
      <c r="A16" s="84" t="inlineStr">
        <is>
          <t>Surveillance Ships</t>
        </is>
      </c>
      <c r="B16" s="84" t="inlineStr">
        <is>
          <t>USN</t>
        </is>
      </c>
      <c r="C16"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6"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6" s="85">
        <f>C16+D16</f>
        <v/>
      </c>
      <c r="F16" s="93">
        <f>IFERROR(E16/E$39,0)</f>
        <v/>
      </c>
    </row>
    <row r="17" ht="10" customHeight="1">
      <c r="A17" s="84" t="inlineStr">
        <is>
          <t>Expeditionary &amp; Seabasing Ships</t>
        </is>
      </c>
      <c r="B17" s="84" t="inlineStr">
        <is>
          <t>USN</t>
        </is>
      </c>
      <c r="C1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7"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7" s="85">
        <f>C17+D17</f>
        <v/>
      </c>
      <c r="F17" s="93">
        <f>IFERROR(E17/E$39,0)</f>
        <v/>
      </c>
    </row>
    <row r="18" ht="10" customHeight="1">
      <c r="A18" s="84" t="inlineStr">
        <is>
          <t>Mine Warfare</t>
        </is>
      </c>
      <c r="B18" s="84" t="inlineStr">
        <is>
          <t>USN</t>
        </is>
      </c>
      <c r="C18"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8"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8" s="85">
        <f>C18+D18</f>
        <v/>
      </c>
      <c r="F18" s="93">
        <f>IFERROR(E18/E$39,0)</f>
        <v/>
      </c>
    </row>
    <row r="19" ht="10" customHeight="1">
      <c r="A19" s="84" t="inlineStr">
        <is>
          <t>Command Ships</t>
        </is>
      </c>
      <c r="B19" s="84" t="inlineStr">
        <is>
          <t>USN</t>
        </is>
      </c>
      <c r="C19"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19"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19" s="85">
        <f>C19+D19</f>
        <v/>
      </c>
      <c r="F19" s="93">
        <f>IFERROR(E19/E$39,0)</f>
        <v/>
      </c>
    </row>
    <row r="20" ht="10" customHeight="1">
      <c r="A20" s="84" t="inlineStr">
        <is>
          <t>Combat Logistics Ships</t>
        </is>
      </c>
      <c r="B20" s="84" t="inlineStr">
        <is>
          <t>MSC</t>
        </is>
      </c>
      <c r="C20"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0"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0" s="85">
        <f>C20+D20</f>
        <v/>
      </c>
      <c r="F20" s="93">
        <f>IFERROR(E20/E$39,0)</f>
        <v/>
      </c>
    </row>
    <row r="21" ht="10" customHeight="1">
      <c r="A21" s="84" t="inlineStr">
        <is>
          <t>General Auxiliary</t>
        </is>
      </c>
      <c r="B21" s="84" t="inlineStr">
        <is>
          <t>USN</t>
        </is>
      </c>
      <c r="C21"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1"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1" s="85">
        <f>C21+D21</f>
        <v/>
      </c>
      <c r="F21" s="93">
        <f>IFERROR(E21/E$39,0)</f>
        <v/>
      </c>
    </row>
    <row r="22" ht="10" customHeight="1">
      <c r="A22" s="84" t="inlineStr">
        <is>
          <t>Submarine Escort Ship</t>
        </is>
      </c>
      <c r="B22" s="84" t="inlineStr">
        <is>
          <t>USN</t>
        </is>
      </c>
      <c r="C22"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2"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2" s="85">
        <f>C22+D22</f>
        <v/>
      </c>
      <c r="F22" s="93">
        <f>IFERROR(E22/E$39,0)</f>
        <v/>
      </c>
    </row>
    <row r="23" ht="10" customHeight="1">
      <c r="A23" s="84" t="inlineStr">
        <is>
          <t>Unmanned Surface Vehicles</t>
        </is>
      </c>
      <c r="B23" s="84" t="inlineStr">
        <is>
          <t>USN</t>
        </is>
      </c>
      <c r="C23"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3"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3" s="85">
        <f>C23+D23</f>
        <v/>
      </c>
      <c r="F23" s="93">
        <f>IFERROR(E23/E$39,0)</f>
        <v/>
      </c>
    </row>
    <row r="24" ht="10" customHeight="1">
      <c r="A24" s="84" t="inlineStr">
        <is>
          <t>High Speed Transport</t>
        </is>
      </c>
      <c r="B24" s="84" t="inlineStr">
        <is>
          <t>USN</t>
        </is>
      </c>
      <c r="C24"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4"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4" s="85">
        <f>C24+D24</f>
        <v/>
      </c>
      <c r="F24" s="93">
        <f>IFERROR(E24/E$39,0)</f>
        <v/>
      </c>
    </row>
    <row r="25" ht="10" customHeight="1">
      <c r="A25" s="84" t="inlineStr">
        <is>
          <t>Crane Ship</t>
        </is>
      </c>
      <c r="B25" s="84" t="inlineStr">
        <is>
          <t>USN</t>
        </is>
      </c>
      <c r="C25"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5"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5" s="85">
        <f>C25+D25</f>
        <v/>
      </c>
      <c r="F25" s="93">
        <f>IFERROR(E25/E$39,0)</f>
        <v/>
      </c>
    </row>
    <row r="26" ht="10" customHeight="1">
      <c r="A26" s="84" t="inlineStr">
        <is>
          <t>Aviation Logistics Support Ship</t>
        </is>
      </c>
      <c r="B26" s="84" t="inlineStr">
        <is>
          <t>USN</t>
        </is>
      </c>
      <c r="C26"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6"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6" s="85">
        <f>C26+D26</f>
        <v/>
      </c>
      <c r="F26" s="93">
        <f>IFERROR(E26/E$39,0)</f>
        <v/>
      </c>
    </row>
    <row r="27" ht="10" customHeight="1">
      <c r="A27" s="84" t="inlineStr">
        <is>
          <t>Material Support Ships</t>
        </is>
      </c>
      <c r="B27" s="84" t="inlineStr">
        <is>
          <t>USN</t>
        </is>
      </c>
      <c r="C27"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7"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7" s="85">
        <f>C27+D27</f>
        <v/>
      </c>
      <c r="F27" s="93">
        <f>IFERROR(E27/E$39,0)</f>
        <v/>
      </c>
    </row>
    <row r="28" ht="10" customHeight="1">
      <c r="A28" s="84" t="inlineStr">
        <is>
          <t>Research, Survey &amp; Instrumentation Ships</t>
        </is>
      </c>
      <c r="B28" s="84" t="inlineStr">
        <is>
          <t>MSC</t>
        </is>
      </c>
      <c r="C28"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8"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8" s="85">
        <f>C28+D28</f>
        <v/>
      </c>
      <c r="F28" s="93">
        <f>IFERROR(E28/E$39,0)</f>
        <v/>
      </c>
    </row>
    <row r="29" ht="10" customHeight="1">
      <c r="A29" s="84" t="inlineStr">
        <is>
          <t>Salvage Ships &amp; Fleet Ocean Tugs</t>
        </is>
      </c>
      <c r="B29" s="84" t="inlineStr">
        <is>
          <t>MSC</t>
        </is>
      </c>
      <c r="C29"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9"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9" s="85">
        <f>C29+D29</f>
        <v/>
      </c>
      <c r="F29" s="93">
        <f>IFERROR(E29/E$39,0)</f>
        <v/>
      </c>
    </row>
    <row r="30" ht="10" customHeight="1">
      <c r="A30" s="84" t="inlineStr">
        <is>
          <t>Hospital Ship</t>
        </is>
      </c>
      <c r="B30" s="84" t="inlineStr">
        <is>
          <t>MSC</t>
        </is>
      </c>
      <c r="C30"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0"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0" s="85">
        <f>C30+D30</f>
        <v/>
      </c>
      <c r="F30" s="93">
        <f>IFERROR(E30/E$39,0)</f>
        <v/>
      </c>
    </row>
    <row r="31" ht="10" customHeight="1">
      <c r="A31" s="84" t="inlineStr">
        <is>
          <t>Cargo &amp; Vehicle Cargo Ships</t>
        </is>
      </c>
      <c r="B31" s="84" t="inlineStr">
        <is>
          <t>USN</t>
        </is>
      </c>
      <c r="C31"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31"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31" s="85">
        <f>C31+D31</f>
        <v/>
      </c>
      <c r="F31" s="93">
        <f>IFERROR(E31/E$39,0)</f>
        <v/>
      </c>
    </row>
    <row r="32" ht="10" customHeight="1">
      <c r="A32" s="84" t="inlineStr">
        <is>
          <t>National Security Cutters</t>
        </is>
      </c>
      <c r="B32" s="84" t="inlineStr">
        <is>
          <t>USCG</t>
        </is>
      </c>
      <c r="C32"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2"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2" s="85">
        <f>C32+D32</f>
        <v/>
      </c>
      <c r="F32" s="93">
        <f>IFERROR(E32/E$39,0)</f>
        <v/>
      </c>
    </row>
    <row r="33" ht="10" customHeight="1">
      <c r="A33" s="84" t="inlineStr">
        <is>
          <t>Fast Response Cutters</t>
        </is>
      </c>
      <c r="B33" s="84" t="inlineStr">
        <is>
          <t>USCG</t>
        </is>
      </c>
      <c r="C33"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3"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3" s="85">
        <f>C33+D33</f>
        <v/>
      </c>
      <c r="F33" s="93">
        <f>IFERROR(E33/E$39,0)</f>
        <v/>
      </c>
    </row>
    <row r="34" ht="10" customHeight="1">
      <c r="A34" s="84" t="inlineStr">
        <is>
          <t>Coastal Buoy Tenders</t>
        </is>
      </c>
      <c r="B34" s="84" t="inlineStr">
        <is>
          <t>USCG</t>
        </is>
      </c>
      <c r="C34"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4"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4" s="85">
        <f>C34+D34</f>
        <v/>
      </c>
      <c r="F34" s="93">
        <f>IFERROR(E34/E$39,0)</f>
        <v/>
      </c>
    </row>
    <row r="35" ht="10" customHeight="1">
      <c r="A35" s="84" t="inlineStr">
        <is>
          <t>Icebreakers, Great Lakes</t>
        </is>
      </c>
      <c r="B35" s="84" t="inlineStr">
        <is>
          <t>USCG</t>
        </is>
      </c>
      <c r="C35"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5"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5" s="85">
        <f>C35+D35</f>
        <v/>
      </c>
      <c r="F35" s="93">
        <f>IFERROR(E35/E$39,0)</f>
        <v/>
      </c>
    </row>
    <row r="36" ht="10" customHeight="1">
      <c r="A36" s="84" t="inlineStr">
        <is>
          <t>Icebreakers, Oceangoing</t>
        </is>
      </c>
      <c r="B36" s="84" t="inlineStr">
        <is>
          <t>USCG</t>
        </is>
      </c>
      <c r="C36"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6"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6" s="85">
        <f>C36+D36</f>
        <v/>
      </c>
      <c r="F36" s="93">
        <f>IFERROR(E36/E$39,0)</f>
        <v/>
      </c>
    </row>
    <row r="37" ht="10" customHeight="1">
      <c r="A37" s="84" t="inlineStr">
        <is>
          <t>Waterways Commerce Cutters</t>
        </is>
      </c>
      <c r="B37" s="84" t="inlineStr">
        <is>
          <t>USCG</t>
        </is>
      </c>
      <c r="C37"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7"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7" s="85">
        <f>C37+D37</f>
        <v/>
      </c>
      <c r="F37" s="93">
        <f>IFERROR(E37/E$39,0)</f>
        <v/>
      </c>
    </row>
    <row r="38" ht="10" customHeight="1">
      <c r="A38" s="84" t="inlineStr">
        <is>
          <t>Offshore Patrol Cutter</t>
        </is>
      </c>
      <c r="B38" s="84" t="inlineStr">
        <is>
          <t>USCG</t>
        </is>
      </c>
      <c r="C38"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8"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8" s="85">
        <f>C38+D38</f>
        <v/>
      </c>
      <c r="F38" s="93">
        <f>IFERROR(E38/E$39,0)</f>
        <v/>
      </c>
    </row>
    <row r="39" ht="10" customHeight="1">
      <c r="A39" s="86" t="inlineStr">
        <is>
          <t>MRO SAM</t>
        </is>
      </c>
      <c r="B39" s="86" t="inlineStr"/>
      <c r="C39" s="87">
        <f>SUM(C14:C38)</f>
        <v/>
      </c>
      <c r="D39" s="87">
        <f>SUM(D14:D38)</f>
        <v/>
      </c>
      <c r="E39" s="87">
        <f>SUM(E14:E38)</f>
        <v/>
      </c>
      <c r="F39" s="94" t="n">
        <v>1</v>
      </c>
    </row>
    <row r="40" ht="10" customHeight="1"/>
    <row r="41" ht="10" customHeight="1">
      <c r="A41" s="81" t="inlineStr">
        <is>
          <t>(C) MRO SAM — SDM vs Modernization by Vessel Type (Mekko)</t>
        </is>
      </c>
      <c r="B41" s="82" t="n"/>
      <c r="C41" s="82" t="n"/>
      <c r="D41" s="82" t="n"/>
      <c r="E41" s="82" t="n"/>
      <c r="F41" s="82" t="n"/>
      <c r="G41" s="82" t="n"/>
      <c r="H41" s="82" t="n"/>
      <c r="I41" s="82" t="n"/>
      <c r="J41" s="82" t="n"/>
    </row>
    <row r="42" ht="10" customHeight="1">
      <c r="A42" s="83" t="inlineStr">
        <is>
          <t>Work Type</t>
        </is>
      </c>
      <c r="B42" s="83" t="inlineStr">
        <is>
          <t>Surface Combatants</t>
        </is>
      </c>
      <c r="C42" s="83" t="inlineStr">
        <is>
          <t>Amphibious Warfare Ships</t>
        </is>
      </c>
      <c r="D42" s="83" t="inlineStr">
        <is>
          <t>Expeditionary &amp; Seabasing Ships</t>
        </is>
      </c>
      <c r="E42" s="83" t="inlineStr">
        <is>
          <t>Command Ships</t>
        </is>
      </c>
      <c r="F42" s="83" t="inlineStr">
        <is>
          <t>Surveillance Ships</t>
        </is>
      </c>
      <c r="G42" s="83" t="inlineStr">
        <is>
          <t>Mine Warfare</t>
        </is>
      </c>
      <c r="H42" s="83" t="inlineStr">
        <is>
          <t>National Security Cutters</t>
        </is>
      </c>
      <c r="I42" s="83" t="inlineStr">
        <is>
          <t>Total</t>
        </is>
      </c>
    </row>
    <row r="43" ht="10" customHeight="1">
      <c r="A43" s="84" t="inlineStr">
        <is>
          <t>Scheduled Depot Maintenance</t>
        </is>
      </c>
      <c r="B43" s="93">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Combatants",JB_S,"[PARENT]",JB_R,"",JB_N,""))/B$45,0)</f>
        <v/>
      </c>
      <c r="C43" s="9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Ships",JB_S,"[PARENT]",JB_R,"",JB_N,""))/C$45,0)</f>
        <v/>
      </c>
      <c r="D43" s="9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Ships",JB_S,"[PARENT]",JB_R,"",JB_N,""))/D$45,0)</f>
        <v/>
      </c>
      <c r="E43" s="9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Ships",JB_S,"[PARENT]",JB_R,"",JB_N,""))/E$45,0)</f>
        <v/>
      </c>
      <c r="F43" s="9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Ships",JB_S,"[PARENT]",JB_R,"",JB_N,""))/F$45,0)</f>
        <v/>
      </c>
      <c r="G43" s="9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Warfare",JB_S,"[PARENT]",JB_R,"",JB_N,""))/G$45,0)</f>
        <v/>
      </c>
      <c r="H43" s="93">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Cutters",JB_S,"[PARENT]",JB_R,"",JB_N,""))/H$45,0)</f>
        <v/>
      </c>
      <c r="I43" s="93">
        <f>IFERROR(1-I44,0)</f>
        <v/>
      </c>
    </row>
    <row r="44" ht="10" customHeight="1">
      <c r="A44" s="84" t="inlineStr">
        <is>
          <t>Modernization</t>
        </is>
      </c>
      <c r="B44" s="9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Combatants",JB_S,"[PARENT]",JB_R,"",JB_N,""))/B$45,0)</f>
        <v/>
      </c>
      <c r="C44" s="9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Ships",JB_S,"[PARENT]",JB_R,"",JB_N,""))/C$45,0)</f>
        <v/>
      </c>
      <c r="D44" s="9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Ships",JB_S,"[PARENT]",JB_R,"",JB_N,""))/D$45,0)</f>
        <v/>
      </c>
      <c r="E44" s="9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Ships",JB_S,"[PARENT]",JB_R,"",JB_N,""))/E$45,0)</f>
        <v/>
      </c>
      <c r="F44" s="9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Ships",JB_S,"[PARENT]",JB_R,"",JB_N,""))/F$45,0)</f>
        <v/>
      </c>
      <c r="G44" s="9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Warfare",JB_S,"[PARENT]",JB_R,"",JB_N,""))/G$45,0)</f>
        <v/>
      </c>
      <c r="H44" s="93">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Cutters",JB_S,"[PARENT]",JB_R,"",JB_N,""))/H$45,0)</f>
        <v/>
      </c>
      <c r="I44" s="9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Cutters",JB_S,"[PARENT]",JB_R,"",JB_N,""))/I$45,0)</f>
        <v/>
      </c>
    </row>
    <row r="45" ht="10" customHeight="1">
      <c r="A45" s="86" t="inlineStr">
        <is>
          <t>Total ($K)</t>
        </is>
      </c>
      <c r="B4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5"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5" s="87">
        <f>SUM(B45:H45)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c r="C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c r="A15" s="81" t="inlineStr">
        <is>
          <t>(B) FY2027 Total Funding by Vessel Category</t>
        </is>
      </c>
      <c r="B15" s="82" t="n"/>
      <c r="C15" s="82" t="n"/>
    </row>
    <row r="16" ht="10" customHeight="1">
      <c r="A16" s="83" t="inlineStr">
        <is>
          <t>Category</t>
        </is>
      </c>
      <c r="B16" s="83" t="inlineStr">
        <is>
          <t>FY2027 ($K)</t>
        </is>
      </c>
      <c r="C16" s="83" t="inlineStr">
        <is>
          <t>TAM Scope</t>
        </is>
      </c>
    </row>
    <row r="17" ht="10" customHeight="1">
      <c r="A17" s="84" t="inlineStr">
        <is>
          <t>Combatant Ships</t>
        </is>
      </c>
      <c r="B17" s="85">
        <f>SUMIFS(JB_27U,JB_V,"Combatant Ships",JB_S,"",JB_27U,"&lt;&gt;")+SUMIFS(JB_27S,JB_V,"Combatant Ships",JB_S,"",JB_27U,"")+SUMIFS(JB_27U,JB_V,"Combatant Ships",JB_S,"[PARENT]",JB_27U,"&lt;&gt;")+SUMIFS(JB_27S,JB_V,"Combatant Ships",JB_S,"[PARENT]",JB_27U,"")</f>
        <v/>
      </c>
      <c r="C17" s="88" t="inlineStr">
        <is>
          <t>YES → TAM</t>
        </is>
      </c>
    </row>
    <row r="18" ht="10" customHeight="1">
      <c r="A18" s="84" t="inlineStr">
        <is>
          <t>Auxiliary Ships</t>
        </is>
      </c>
      <c r="B18" s="85">
        <f>SUMIFS(JB_27U,JB_V,"Auxiliary Ships",JB_S,"",JB_27U,"&lt;&gt;")+SUMIFS(JB_27S,JB_V,"Auxiliary Ships",JB_S,"",JB_27U,"")+SUMIFS(JB_27U,JB_V,"Auxiliary Ships",JB_S,"[PARENT]",JB_27U,"&lt;&gt;")+SUMIFS(JB_27S,JB_V,"Auxiliary Ships",JB_S,"[PARENT]",JB_27U,"")</f>
        <v/>
      </c>
      <c r="C18" s="88" t="inlineStr">
        <is>
          <t>YES → TAM</t>
        </is>
      </c>
    </row>
    <row r="19" ht="10" customHeight="1">
      <c r="A19" s="84" t="inlineStr">
        <is>
          <t>Cutters</t>
        </is>
      </c>
      <c r="B19" s="85">
        <f>SUMIFS(JB_27U,JB_V,"Cutters",JB_S,"",JB_27U,"&lt;&gt;")+SUMIFS(JB_27S,JB_V,"Cutters",JB_S,"",JB_27U,"")+SUMIFS(JB_27U,JB_V,"Cutters",JB_S,"[PARENT]",JB_27U,"&lt;&gt;")+SUMIFS(JB_27S,JB_V,"Cutters",JB_S,"[PARENT]",JB_27U,"")</f>
        <v/>
      </c>
      <c r="C19" s="88" t="inlineStr">
        <is>
          <t>YES → TAM</t>
        </is>
      </c>
    </row>
    <row r="20" ht="10" customHeight="1">
      <c r="A20" s="84" t="inlineStr">
        <is>
          <t>Unmanned Maritime Platforms</t>
        </is>
      </c>
      <c r="B20" s="85">
        <f>SUMIFS(JB_27U,JB_V,"Unmanned Maritime Platforms",JB_S,"",JB_27U,"&lt;&gt;")+SUMIFS(JB_27S,JB_V,"Unmanned Maritime Platforms",JB_S,"",JB_27U,"")+SUMIFS(JB_27U,JB_V,"Unmanned Maritime Platforms",JB_S,"[PARENT]",JB_27U,"&lt;&gt;")+SUMIFS(JB_27S,JB_V,"Unmanned Maritime Platforms",JB_S,"[PARENT]",JB_27U,"")</f>
        <v/>
      </c>
      <c r="C20" s="88" t="inlineStr">
        <is>
          <t>YES → TAM</t>
        </is>
      </c>
    </row>
    <row r="21" ht="10" customHeight="1">
      <c r="A21" s="84" t="inlineStr">
        <is>
          <t>Combatant Crafts</t>
        </is>
      </c>
      <c r="B21" s="85">
        <f>SUMIFS(JB_27U,JB_V,"Combatant Crafts",JB_S,"",JB_27U,"&lt;&gt;")+SUMIFS(JB_27S,JB_V,"Combatant Crafts",JB_S,"",JB_27U,"")+SUMIFS(JB_27U,JB_V,"Combatant Crafts",JB_S,"[PARENT]",JB_27U,"&lt;&gt;")+SUMIFS(JB_27S,JB_V,"Combatant Crafts",JB_S,"[PARENT]",JB_27U,"")</f>
        <v/>
      </c>
      <c r="C21" s="88" t="inlineStr">
        <is>
          <t>No — small craft</t>
        </is>
      </c>
    </row>
    <row r="22" ht="10" customHeight="1">
      <c r="A22" s="84" t="inlineStr">
        <is>
          <t>Support Crafts</t>
        </is>
      </c>
      <c r="B22" s="85">
        <f>SUMIFS(JB_27U,JB_V,"Support Crafts",JB_S,"",JB_27U,"&lt;&gt;")+SUMIFS(JB_27S,JB_V,"Support Crafts",JB_S,"",JB_27U,"")+SUMIFS(JB_27U,JB_V,"Support Crafts",JB_S,"[PARENT]",JB_27U,"&lt;&gt;")+SUMIFS(JB_27S,JB_V,"Support Crafts",JB_S,"[PARENT]",JB_27U,"")</f>
        <v/>
      </c>
      <c r="C22" s="88" t="inlineStr">
        <is>
          <t>No — non-oceangoing</t>
        </is>
      </c>
    </row>
    <row r="23" ht="10" customHeight="1">
      <c r="A23" s="84" t="inlineStr">
        <is>
          <t>Boats</t>
        </is>
      </c>
      <c r="B23" s="85">
        <f>SUMIFS(JB_27U,JB_V,"Boats",JB_S,"",JB_27U,"&lt;&gt;")+SUMIFS(JB_27S,JB_V,"Boats",JB_S,"",JB_27U,"")+SUMIFS(JB_27U,JB_V,"Boats",JB_S,"[PARENT]",JB_27U,"&lt;&gt;")+SUMIFS(JB_27S,JB_V,"Boats",JB_S,"[PARENT]",JB_27U,"")</f>
        <v/>
      </c>
      <c r="C23" s="88" t="inlineStr">
        <is>
          <t>No — under 65 ft</t>
        </is>
      </c>
    </row>
    <row r="24" ht="10" customHeight="1">
      <c r="A24" s="84" t="inlineStr">
        <is>
          <t>Unattributed (fleet-wide)</t>
        </is>
      </c>
      <c r="B24" s="85">
        <f>SUMIFS(JB_27U,JB_V,"",JB_S,"",JB_27U,"&lt;&gt;")+SUMIFS(JB_27S,JB_V,"",JB_S,"",JB_27U,"")+SUMIFS(JB_27U,JB_V,"",JB_S,"[PARENT]",JB_27U,"&lt;&gt;")+SUMIFS(JB_27S,JB_V,"",JB_S,"[PARENT]",JB_27U,"")</f>
        <v/>
      </c>
      <c r="C24" s="88" t="inlineStr">
        <is>
          <t>No — not vessel-specific</t>
        </is>
      </c>
    </row>
    <row r="25" ht="10" customHeight="1">
      <c r="A25" s="86" t="inlineStr">
        <is>
          <t>Total</t>
        </is>
      </c>
      <c r="B25" s="87">
        <f>SUM(B17:B24)</f>
        <v/>
      </c>
    </row>
    <row r="26" ht="10" customHeight="1">
      <c r="A26" s="89" t="inlineStr">
        <is>
          <t>TAM-eligible</t>
        </is>
      </c>
      <c r="B26" s="90">
        <f>B17+B18+B19+B20</f>
        <v/>
      </c>
    </row>
    <row r="27" ht="10" customHeight="1"/>
    <row r="28" ht="10" customHeight="1">
      <c r="A28" s="81" t="inlineStr">
        <is>
          <t>(C) FY2027 Total Funding by Source Book</t>
        </is>
      </c>
      <c r="B28" s="82" t="n"/>
      <c r="C28" s="82" t="n"/>
    </row>
    <row r="29" ht="10" customHeight="1">
      <c r="A29" s="83" t="inlineStr">
        <is>
          <t>Source Book</t>
        </is>
      </c>
      <c r="B29" s="83" t="inlineStr">
        <is>
          <t>FY2027 ($K)</t>
        </is>
      </c>
    </row>
    <row r="30" ht="10" customHeight="1">
      <c r="A30" s="84" t="inlineStr">
        <is>
          <t>SCN</t>
        </is>
      </c>
      <c r="B30" s="85">
        <f>SUMIFS(JB_27U,JB_A,"SCN",JB_S,"",JB_27U,"&lt;&gt;")+SUMIFS(JB_27S,JB_A,"SCN",JB_S,"",JB_27U,"")+SUMIFS(JB_27U,JB_A,"SCN",JB_S,"[PARENT]",JB_27U,"&lt;&gt;")+SUMIFS(JB_27S,JB_A,"SCN",JB_S,"[PARENT]",JB_27U,"")</f>
        <v/>
      </c>
    </row>
    <row r="31" ht="10" customHeight="1">
      <c r="A31" s="84" t="inlineStr">
        <is>
          <t>WPN</t>
        </is>
      </c>
      <c r="B31" s="85">
        <f>SUMIFS(JB_27U,JB_A,"WPN",JB_S,"",JB_27U,"&lt;&gt;")+SUMIFS(JB_27S,JB_A,"WPN",JB_S,"",JB_27U,"")+SUMIFS(JB_27U,JB_A,"WPN",JB_S,"[PARENT]",JB_27U,"&lt;&gt;")+SUMIFS(JB_27S,JB_A,"WPN",JB_S,"[PARENT]",JB_27U,"")</f>
        <v/>
      </c>
    </row>
    <row r="32" ht="10" customHeight="1">
      <c r="A32" s="84" t="inlineStr">
        <is>
          <t>OPN_BA2</t>
        </is>
      </c>
      <c r="B32" s="85">
        <f>SUMIFS(JB_27U,JB_A,"OPN_BA2",JB_S,"",JB_27U,"&lt;&gt;")+SUMIFS(JB_27S,JB_A,"OPN_BA2",JB_S,"",JB_27U,"")+SUMIFS(JB_27U,JB_A,"OPN_BA2",JB_S,"[PARENT]",JB_27U,"&lt;&gt;")+SUMIFS(JB_27S,JB_A,"OPN_BA2",JB_S,"[PARENT]",JB_27U,"")</f>
        <v/>
      </c>
    </row>
    <row r="33" ht="10" customHeight="1">
      <c r="A33" s="84" t="inlineStr">
        <is>
          <t>OPN_BA1</t>
        </is>
      </c>
      <c r="B33" s="85">
        <f>SUMIFS(JB_27U,JB_A,"OPN_BA1",JB_S,"",JB_27U,"&lt;&gt;")+SUMIFS(JB_27S,JB_A,"OPN_BA1",JB_S,"",JB_27U,"")+SUMIFS(JB_27U,JB_A,"OPN_BA1",JB_S,"[PARENT]",JB_27U,"&lt;&gt;")+SUMIFS(JB_27S,JB_A,"OPN_BA1",JB_S,"[PARENT]",JB_27U,"")</f>
        <v/>
      </c>
    </row>
    <row r="34" ht="10" customHeight="1">
      <c r="A34" s="84" t="inlineStr">
        <is>
          <t>OPN_BA4</t>
        </is>
      </c>
      <c r="B34" s="85">
        <f>SUMIFS(JB_27U,JB_A,"OPN_BA4",JB_S,"",JB_27U,"&lt;&gt;")+SUMIFS(JB_27S,JB_A,"OPN_BA4",JB_S,"",JB_27U,"")+SUMIFS(JB_27U,JB_A,"OPN_BA4",JB_S,"[PARENT]",JB_27U,"&lt;&gt;")+SUMIFS(JB_27S,JB_A,"OPN_BA4",JB_S,"[PARENT]",JB_27U,"")</f>
        <v/>
      </c>
    </row>
    <row r="35" ht="10" customHeight="1">
      <c r="A35" s="84" t="inlineStr">
        <is>
          <t>OPN_BA3</t>
        </is>
      </c>
      <c r="B35" s="85">
        <f>SUMIFS(JB_27U,JB_A,"OPN_BA3",JB_S,"",JB_27U,"&lt;&gt;")+SUMIFS(JB_27S,JB_A,"OPN_BA3",JB_S,"",JB_27U,"")+SUMIFS(JB_27U,JB_A,"OPN_BA3",JB_S,"[PARENT]",JB_27U,"&lt;&gt;")+SUMIFS(JB_27S,JB_A,"OPN_BA3",JB_S,"[PARENT]",JB_27U,"")</f>
        <v/>
      </c>
    </row>
    <row r="36" ht="10" customHeight="1">
      <c r="A36" s="84" t="inlineStr">
        <is>
          <t>OPN_BA5-8</t>
        </is>
      </c>
      <c r="B36" s="85">
        <f>SUMIFS(JB_27U,JB_A,"OPN_BA5-8",JB_S,"",JB_27U,"&lt;&gt;")+SUMIFS(JB_27S,JB_A,"OPN_BA5-8",JB_S,"",JB_27U,"")+SUMIFS(JB_27U,JB_A,"OPN_BA5-8",JB_S,"[PARENT]",JB_27U,"&lt;&gt;")+SUMIFS(JB_27S,JB_A,"OPN_BA5-8",JB_S,"[PARENT]",JB_27U,"")</f>
        <v/>
      </c>
    </row>
    <row r="37" ht="10" customHeight="1">
      <c r="A37" s="84" t="inlineStr">
        <is>
          <t>NWCF</t>
        </is>
      </c>
      <c r="B37" s="85">
        <f>SUMIFS(JB_27U,JB_A,"NWCF",JB_S,"",JB_27U,"&lt;&gt;")+SUMIFS(JB_27S,JB_A,"NWCF",JB_S,"",JB_27U,"")+SUMIFS(JB_27U,JB_A,"NWCF",JB_S,"[PARENT]",JB_27U,"&lt;&gt;")+SUMIFS(JB_27S,JB_A,"NWCF",JB_S,"[PARENT]",JB_27U,"")</f>
        <v/>
      </c>
    </row>
    <row r="38" ht="10" customHeight="1">
      <c r="A38" s="84" t="inlineStr">
        <is>
          <t>OMN</t>
        </is>
      </c>
      <c r="B38" s="85">
        <f>SUMIFS(JB_27U,JB_A,"OMN",JB_S,"",JB_27U,"&lt;&gt;")+SUMIFS(JB_27S,JB_A,"OMN",JB_S,"",JB_27U,"")+SUMIFS(JB_27U,JB_A,"OMN",JB_S,"[PARENT]",JB_27U,"&lt;&gt;")+SUMIFS(JB_27S,JB_A,"OMN",JB_S,"[PARENT]",JB_27U,"")</f>
        <v/>
      </c>
    </row>
    <row r="39" ht="10" customHeight="1">
      <c r="A39" s="84" t="inlineStr">
        <is>
          <t>OMN_Vol2</t>
        </is>
      </c>
      <c r="B39" s="85">
        <f>SUMIFS(JB_27U,JB_A,"OMN_Vol2",JB_S,"",JB_27U,"&lt;&gt;")+SUMIFS(JB_27S,JB_A,"OMN_Vol2",JB_S,"",JB_27U,"")+SUMIFS(JB_27U,JB_A,"OMN_Vol2",JB_S,"[PARENT]",JB_27U,"&lt;&gt;")+SUMIFS(JB_27S,JB_A,"OMN_Vol2",JB_S,"[PARENT]",JB_27U,"")</f>
        <v/>
      </c>
    </row>
    <row r="40" ht="10" customHeight="1">
      <c r="A40" s="84" t="inlineStr">
        <is>
          <t>USCG</t>
        </is>
      </c>
      <c r="B40" s="85">
        <f>SUMIFS(JB_27U,JB_A,"USCG",JB_S,"",JB_27U,"&lt;&gt;")+SUMIFS(JB_27S,JB_A,"USCG",JB_S,"",JB_27U,"")+SUMIFS(JB_27U,JB_A,"USCG",JB_S,"[PARENT]",JB_27U,"&lt;&gt;")+SUMIFS(JB_27S,JB_A,"USCG",JB_S,"[PARENT]",JB_27U,"")</f>
        <v/>
      </c>
    </row>
    <row r="41" ht="10" customHeight="1">
      <c r="A41" s="86" t="inlineStr">
        <is>
          <t>Total</t>
        </is>
      </c>
      <c r="B41" s="87">
        <f>SUM(B30:B40)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c r="C4" s="82" t="n"/>
      <c r="D4" s="82" t="n"/>
      <c r="E4" s="82" t="n"/>
      <c r="F4" s="82" t="n"/>
      <c r="G4" s="82" t="n"/>
      <c r="H4" s="82" t="n"/>
      <c r="I4" s="82" t="n"/>
      <c r="J4" s="82" t="n"/>
      <c r="K4" s="82" t="n"/>
      <c r="L4" s="82" t="n"/>
      <c r="M4" s="82" t="n"/>
      <c r="N4" s="82" t="n"/>
      <c r="O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91" t="inlineStr">
        <is>
          <t>Newbuild TAM</t>
        </is>
      </c>
      <c r="B9" s="9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c r="A11" s="81" t="inlineStr">
        <is>
          <t>(B) Newbuild TAM by Vessel Type</t>
        </is>
      </c>
      <c r="B11" s="82" t="n"/>
      <c r="C11" s="82" t="n"/>
      <c r="D11" s="82" t="n"/>
      <c r="E11" s="82" t="n"/>
      <c r="F11" s="82" t="n"/>
      <c r="G11" s="82" t="n"/>
      <c r="H11" s="82" t="n"/>
      <c r="I11" s="82" t="n"/>
      <c r="J11" s="82" t="n"/>
      <c r="K11" s="82" t="n"/>
      <c r="L11" s="82" t="n"/>
      <c r="M11" s="82" t="n"/>
      <c r="N11" s="82" t="n"/>
      <c r="O11" s="82" t="n"/>
    </row>
    <row r="12" ht="10" customHeight="1">
      <c r="A12" s="83" t="inlineStr">
        <is>
          <t>Vessel Type</t>
        </is>
      </c>
      <c r="B12" s="83" t="inlineStr">
        <is>
          <t>Service</t>
        </is>
      </c>
      <c r="C12" s="83" t="inlineStr">
        <is>
          <t>FY2027 ($K)</t>
        </is>
      </c>
      <c r="D12" s="83" t="inlineStr">
        <is>
          <t>% of TAM</t>
        </is>
      </c>
    </row>
    <row r="13" ht="10" customHeight="1">
      <c r="A13" s="84" t="inlineStr">
        <is>
          <t>Submarines</t>
        </is>
      </c>
      <c r="B13" s="84" t="inlineStr">
        <is>
          <t>USN</t>
        </is>
      </c>
      <c r="C13" s="85">
        <f>SUMIFS(JB_27U,JB_B,1,JB_W,"Submarines",JB_S,"",JB_27U,"&lt;&gt;")+SUMIFS(JB_27S,JB_B,1,JB_W,"Submarines",JB_S,"",JB_27U,"")+SUMIFS(JB_27U,JB_B,1,JB_W,"Submarines",JB_S,"[PARENT]",JB_27U,"&lt;&gt;")+SUMIFS(JB_27S,JB_B,1,JB_W,"Submarines",JB_S,"[PARENT]",JB_27U,"")</f>
        <v/>
      </c>
      <c r="D13" s="93">
        <f>IFERROR(C13/C$41,0)</f>
        <v/>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3">
        <f>IFERROR(C14/C$41,0)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3">
        <f>IFERROR(C15/C$41,0)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3">
        <f>IFERROR(C16/C$41,0)</f>
        <v/>
      </c>
    </row>
    <row r="17" ht="10" customHeight="1">
      <c r="A17" s="84" t="inlineStr">
        <is>
          <t>Aircraft Carriers</t>
        </is>
      </c>
      <c r="B17" s="84" t="inlineStr">
        <is>
          <t>USN</t>
        </is>
      </c>
      <c r="C17" s="85">
        <f>SUMIFS(JB_27U,JB_B,1,JB_W,"Aircraft Carriers",JB_S,"",JB_27U,"&lt;&gt;")+SUMIFS(JB_27S,JB_B,1,JB_W,"Aircraft Carriers",JB_S,"",JB_27U,"")+SUMIFS(JB_27U,JB_B,1,JB_W,"Aircraft Carriers",JB_S,"[PARENT]",JB_27U,"&lt;&gt;")+SUMIFS(JB_27S,JB_B,1,JB_W,"Aircraft Carriers",JB_S,"[PARENT]",JB_27U,"")</f>
        <v/>
      </c>
      <c r="D17" s="93">
        <f>IFERROR(C17/C$41,0)</f>
        <v/>
      </c>
    </row>
    <row r="18" ht="10" customHeight="1">
      <c r="A18" s="84" t="inlineStr">
        <is>
          <t>Combat Logistics Ships</t>
        </is>
      </c>
      <c r="B18" s="84" t="inlineStr">
        <is>
          <t>MSC</t>
        </is>
      </c>
      <c r="C18" s="85">
        <f>SUMIFS(JB_27U,JB_B,1,JB_W,"Combat Logistics Ships",JB_S,"",JB_27U,"&lt;&gt;")+SUMIFS(JB_27S,JB_B,1,JB_W,"Combat Logistics Ships",JB_S,"",JB_27U,"")+SUMIFS(JB_27U,JB_B,1,JB_W,"Combat Logistics Ships",JB_S,"[PARENT]",JB_27U,"&lt;&gt;")+SUMIFS(JB_27S,JB_B,1,JB_W,"Combat Logistics Ships",JB_S,"[PARENT]",JB_27U,"")</f>
        <v/>
      </c>
      <c r="D18" s="93">
        <f>IFERROR(C18/C$41,0)</f>
        <v/>
      </c>
    </row>
    <row r="19" ht="10" customHeight="1">
      <c r="A19" s="84" t="inlineStr">
        <is>
          <t>Expeditionary &amp; Seabasing Ships</t>
        </is>
      </c>
      <c r="B19" s="84" t="inlineStr">
        <is>
          <t>USN</t>
        </is>
      </c>
      <c r="C19"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9" s="93">
        <f>IFERROR(C19/C$41,0)</f>
        <v/>
      </c>
    </row>
    <row r="20" ht="10" customHeight="1">
      <c r="A20" s="84" t="inlineStr">
        <is>
          <t>Surveillance Ships</t>
        </is>
      </c>
      <c r="B20" s="84" t="inlineStr">
        <is>
          <t>USN</t>
        </is>
      </c>
      <c r="C20" s="85">
        <f>SUMIFS(JB_27U,JB_B,1,JB_W,"Surveillance Ships",JB_S,"",JB_27U,"&lt;&gt;")+SUMIFS(JB_27S,JB_B,1,JB_W,"Surveillance Ships",JB_S,"",JB_27U,"")+SUMIFS(JB_27U,JB_B,1,JB_W,"Surveillance Ships",JB_S,"[PARENT]",JB_27U,"&lt;&gt;")+SUMIFS(JB_27S,JB_B,1,JB_W,"Surveillance Ships",JB_S,"[PARENT]",JB_27U,"")</f>
        <v/>
      </c>
      <c r="D20" s="93">
        <f>IFERROR(C20/C$41,0)</f>
        <v/>
      </c>
    </row>
    <row r="21" ht="10" customHeight="1">
      <c r="A21" s="84" t="inlineStr">
        <is>
          <t>Hospital Ship</t>
        </is>
      </c>
      <c r="B21" s="84" t="inlineStr">
        <is>
          <t>MSC</t>
        </is>
      </c>
      <c r="C21" s="85">
        <f>SUMIFS(JB_27U,JB_B,1,JB_W,"Hospital Ship",JB_S,"",JB_27U,"&lt;&gt;")+SUMIFS(JB_27S,JB_B,1,JB_W,"Hospital Ship",JB_S,"",JB_27U,"")+SUMIFS(JB_27U,JB_B,1,JB_W,"Hospital Ship",JB_S,"[PARENT]",JB_27U,"&lt;&gt;")+SUMIFS(JB_27S,JB_B,1,JB_W,"Hospital Ship",JB_S,"[PARENT]",JB_27U,"")</f>
        <v/>
      </c>
      <c r="D21" s="93">
        <f>IFERROR(C21/C$41,0)</f>
        <v/>
      </c>
    </row>
    <row r="22" ht="10" customHeight="1">
      <c r="A22" s="84" t="inlineStr">
        <is>
          <t>Cargo &amp; Vehicle Cargo Ships</t>
        </is>
      </c>
      <c r="B22" s="84" t="inlineStr">
        <is>
          <t>USN</t>
        </is>
      </c>
      <c r="C22" s="85">
        <f>SUMIFS(JB_27U,JB_B,1,JB_W,"Cargo &amp; Vehicle Cargo Ships",JB_S,"",JB_27U,"&lt;&gt;")+SUMIFS(JB_27S,JB_B,1,JB_W,"Cargo &amp; Vehicle Cargo Ships",JB_S,"",JB_27U,"")+SUMIFS(JB_27U,JB_B,1,JB_W,"Cargo &amp; Vehicle Cargo Ships",JB_S,"[PARENT]",JB_27U,"&lt;&gt;")+SUMIFS(JB_27S,JB_B,1,JB_W,"Cargo &amp; Vehicle Cargo Ships",JB_S,"[PARENT]",JB_27U,"")</f>
        <v/>
      </c>
      <c r="D22" s="93">
        <f>IFERROR(C22/C$41,0)</f>
        <v/>
      </c>
    </row>
    <row r="23" ht="10" customHeight="1">
      <c r="A23" s="84" t="inlineStr">
        <is>
          <t>Unmanned Undersea Vehicles</t>
        </is>
      </c>
      <c r="B23" s="84" t="inlineStr">
        <is>
          <t>USN</t>
        </is>
      </c>
      <c r="C23" s="85">
        <f>SUMIFS(JB_27U,JB_B,1,JB_W,"Unmanned Undersea Vehicles",JB_S,"",JB_27U,"&lt;&gt;")+SUMIFS(JB_27S,JB_B,1,JB_W,"Unmanned Undersea Vehicles",JB_S,"",JB_27U,"")+SUMIFS(JB_27U,JB_B,1,JB_W,"Unmanned Undersea Vehicles",JB_S,"[PARENT]",JB_27U,"&lt;&gt;")+SUMIFS(JB_27S,JB_B,1,JB_W,"Unmanned Undersea Vehicles",JB_S,"[PARENT]",JB_27U,"")</f>
        <v/>
      </c>
      <c r="D23" s="93">
        <f>IFERROR(C23/C$41,0)</f>
        <v/>
      </c>
    </row>
    <row r="24" ht="10" customHeight="1">
      <c r="A24" s="84" t="inlineStr">
        <is>
          <t>Unmanned Surface Vehicles</t>
        </is>
      </c>
      <c r="B24" s="84" t="inlineStr">
        <is>
          <t>USN</t>
        </is>
      </c>
      <c r="C24" s="85">
        <f>SUMIFS(JB_27U,JB_B,1,JB_W,"Unmanned Surface Vehicles",JB_S,"",JB_27U,"&lt;&gt;")+SUMIFS(JB_27S,JB_B,1,JB_W,"Unmanned Surface Vehicles",JB_S,"",JB_27U,"")+SUMIFS(JB_27U,JB_B,1,JB_W,"Unmanned Surface Vehicles",JB_S,"[PARENT]",JB_27U,"&lt;&gt;")+SUMIFS(JB_27S,JB_B,1,JB_W,"Unmanned Surface Vehicles",JB_S,"[PARENT]",JB_27U,"")</f>
        <v/>
      </c>
      <c r="D24" s="93">
        <f>IFERROR(C24/C$41,0)</f>
        <v/>
      </c>
    </row>
    <row r="25" ht="10" customHeight="1">
      <c r="A25" s="84" t="inlineStr">
        <is>
          <t>Submarine Escort Ship</t>
        </is>
      </c>
      <c r="B25" s="84" t="inlineStr">
        <is>
          <t>USN</t>
        </is>
      </c>
      <c r="C25" s="85">
        <f>SUMIFS(JB_27U,JB_B,1,JB_W,"Submarine Escort Ship",JB_S,"",JB_27U,"&lt;&gt;")+SUMIFS(JB_27S,JB_B,1,JB_W,"Submarine Escort Ship",JB_S,"",JB_27U,"")+SUMIFS(JB_27U,JB_B,1,JB_W,"Submarine Escort Ship",JB_S,"[PARENT]",JB_27U,"&lt;&gt;")+SUMIFS(JB_27S,JB_B,1,JB_W,"Submarine Escort Ship",JB_S,"[PARENT]",JB_27U,"")</f>
        <v/>
      </c>
      <c r="D25" s="93">
        <f>IFERROR(C25/C$41,0)</f>
        <v/>
      </c>
    </row>
    <row r="26" ht="10" customHeight="1">
      <c r="A26" s="84" t="inlineStr">
        <is>
          <t>Command Ships</t>
        </is>
      </c>
      <c r="B26" s="84" t="inlineStr">
        <is>
          <t>USN</t>
        </is>
      </c>
      <c r="C26" s="85">
        <f>SUMIFS(JB_27U,JB_B,1,JB_W,"Command Ships",JB_S,"",JB_27U,"&lt;&gt;")+SUMIFS(JB_27S,JB_B,1,JB_W,"Command Ships",JB_S,"",JB_27U,"")+SUMIFS(JB_27U,JB_B,1,JB_W,"Command Ships",JB_S,"[PARENT]",JB_27U,"&lt;&gt;")+SUMIFS(JB_27S,JB_B,1,JB_W,"Command Ships",JB_S,"[PARENT]",JB_27U,"")</f>
        <v/>
      </c>
      <c r="D26" s="93">
        <f>IFERROR(C26/C$41,0)</f>
        <v/>
      </c>
    </row>
    <row r="27" ht="10" customHeight="1">
      <c r="A27" s="84" t="inlineStr">
        <is>
          <t>High Speed Transport</t>
        </is>
      </c>
      <c r="B27" s="84" t="inlineStr">
        <is>
          <t>USN</t>
        </is>
      </c>
      <c r="C27" s="85">
        <f>SUMIFS(JB_27U,JB_B,1,JB_W,"High Speed Transport",JB_S,"",JB_27U,"&lt;&gt;")+SUMIFS(JB_27S,JB_B,1,JB_W,"High Speed Transport",JB_S,"",JB_27U,"")+SUMIFS(JB_27U,JB_B,1,JB_W,"High Speed Transport",JB_S,"[PARENT]",JB_27U,"&lt;&gt;")+SUMIFS(JB_27S,JB_B,1,JB_W,"High Speed Transport",JB_S,"[PARENT]",JB_27U,"")</f>
        <v/>
      </c>
      <c r="D27" s="93">
        <f>IFERROR(C27/C$41,0)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3">
        <f>IFERROR(C28/C$41,0)</f>
        <v/>
      </c>
    </row>
    <row r="29" ht="10" customHeight="1">
      <c r="A29" s="84" t="inlineStr">
        <is>
          <t>Aviation Logistics Support Ship</t>
        </is>
      </c>
      <c r="B29" s="84" t="inlineStr">
        <is>
          <t>USN</t>
        </is>
      </c>
      <c r="C29"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9" s="93">
        <f>IFERROR(C29/C$41,0)</f>
        <v/>
      </c>
    </row>
    <row r="30" ht="10" customHeight="1">
      <c r="A30" s="84" t="inlineStr">
        <is>
          <t>Research, Survey &amp; Instrumentation Ships</t>
        </is>
      </c>
      <c r="B30" s="84" t="inlineStr">
        <is>
          <t>MSC</t>
        </is>
      </c>
      <c r="C30"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0" s="93">
        <f>IFERROR(C30/C$41,0)</f>
        <v/>
      </c>
    </row>
    <row r="31" ht="10" customHeight="1">
      <c r="A31" s="84" t="inlineStr">
        <is>
          <t>Salvage Ships &amp; Fleet Ocean Tugs</t>
        </is>
      </c>
      <c r="B31" s="84" t="inlineStr">
        <is>
          <t>MSC</t>
        </is>
      </c>
      <c r="C31"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1" s="93">
        <f>IFERROR(C31/C$41,0)</f>
        <v/>
      </c>
    </row>
    <row r="32" ht="10" customHeight="1">
      <c r="A32" s="84" t="inlineStr">
        <is>
          <t>General Auxiliary</t>
        </is>
      </c>
      <c r="B32" s="84" t="inlineStr">
        <is>
          <t>USN</t>
        </is>
      </c>
      <c r="C32" s="85">
        <f>SUMIFS(JB_27U,JB_B,1,JB_W,"General Auxiliary",JB_S,"",JB_27U,"&lt;&gt;")+SUMIFS(JB_27S,JB_B,1,JB_W,"General Auxiliary",JB_S,"",JB_27U,"")+SUMIFS(JB_27U,JB_B,1,JB_W,"General Auxiliary",JB_S,"[PARENT]",JB_27U,"&lt;&gt;")+SUMIFS(JB_27S,JB_B,1,JB_W,"General Auxiliary",JB_S,"[PARENT]",JB_27U,"")</f>
        <v/>
      </c>
      <c r="D32" s="93">
        <f>IFERROR(C32/C$41,0)</f>
        <v/>
      </c>
    </row>
    <row r="33" ht="10" customHeight="1">
      <c r="A33" s="84" t="inlineStr">
        <is>
          <t>Mine Warfare</t>
        </is>
      </c>
      <c r="B33" s="84" t="inlineStr">
        <is>
          <t>USN</t>
        </is>
      </c>
      <c r="C33" s="85">
        <f>SUMIFS(JB_27U,JB_B,1,JB_W,"Mine Warfare",JB_S,"",JB_27U,"&lt;&gt;")+SUMIFS(JB_27S,JB_B,1,JB_W,"Mine Warfare",JB_S,"",JB_27U,"")+SUMIFS(JB_27U,JB_B,1,JB_W,"Mine Warfare",JB_S,"[PARENT]",JB_27U,"&lt;&gt;")+SUMIFS(JB_27S,JB_B,1,JB_W,"Mine Warfare",JB_S,"[PARENT]",JB_27U,"")</f>
        <v/>
      </c>
      <c r="D33" s="93">
        <f>IFERROR(C33/C$41,0)</f>
        <v/>
      </c>
    </row>
    <row r="34" ht="10" customHeight="1">
      <c r="A34" s="84" t="inlineStr">
        <is>
          <t>Fast Response Cutters</t>
        </is>
      </c>
      <c r="B34" s="84" t="inlineStr">
        <is>
          <t>USCG</t>
        </is>
      </c>
      <c r="C34" s="85">
        <f>SUMIFS(JB_27U,JB_B,1,JB_W,"Fast Response Cutters",JB_S,"",JB_27U,"&lt;&gt;")+SUMIFS(JB_27S,JB_B,1,JB_W,"Fast Response Cutters",JB_S,"",JB_27U,"")+SUMIFS(JB_27U,JB_B,1,JB_W,"Fast Response Cutters",JB_S,"[PARENT]",JB_27U,"&lt;&gt;")+SUMIFS(JB_27S,JB_B,1,JB_W,"Fast Response Cutters",JB_S,"[PARENT]",JB_27U,"")</f>
        <v/>
      </c>
      <c r="D34" s="93">
        <f>IFERROR(C34/C$41,0)</f>
        <v/>
      </c>
    </row>
    <row r="35" ht="10" customHeight="1">
      <c r="A35" s="84" t="inlineStr">
        <is>
          <t>Icebreakers, Great Lakes</t>
        </is>
      </c>
      <c r="B35" s="84" t="inlineStr">
        <is>
          <t>USCG</t>
        </is>
      </c>
      <c r="C35" s="85">
        <f>SUMIFS(JB_27U,JB_B,1,JB_W,"Icebreakers, Great Lakes",JB_S,"",JB_27U,"&lt;&gt;")+SUMIFS(JB_27S,JB_B,1,JB_W,"Icebreakers, Great Lakes",JB_S,"",JB_27U,"")+SUMIFS(JB_27U,JB_B,1,JB_W,"Icebreakers, Great Lakes",JB_S,"[PARENT]",JB_27U,"&lt;&gt;")+SUMIFS(JB_27S,JB_B,1,JB_W,"Icebreakers, Great Lakes",JB_S,"[PARENT]",JB_27U,"")</f>
        <v/>
      </c>
      <c r="D35" s="93">
        <f>IFERROR(C35/C$41,0)</f>
        <v/>
      </c>
    </row>
    <row r="36" ht="10" customHeight="1">
      <c r="A36" s="84" t="inlineStr">
        <is>
          <t>Waterways Commerce Cutters</t>
        </is>
      </c>
      <c r="B36" s="84" t="inlineStr">
        <is>
          <t>USCG</t>
        </is>
      </c>
      <c r="C36" s="85">
        <f>SUMIFS(JB_27U,JB_B,1,JB_W,"Waterways Commerce Cutters",JB_S,"",JB_27U,"&lt;&gt;")+SUMIFS(JB_27S,JB_B,1,JB_W,"Waterways Commerce Cutters",JB_S,"",JB_27U,"")+SUMIFS(JB_27U,JB_B,1,JB_W,"Waterways Commerce Cutters",JB_S,"[PARENT]",JB_27U,"&lt;&gt;")+SUMIFS(JB_27S,JB_B,1,JB_W,"Waterways Commerce Cutters",JB_S,"[PARENT]",JB_27U,"")</f>
        <v/>
      </c>
      <c r="D36" s="93">
        <f>IFERROR(C36/C$41,0)</f>
        <v/>
      </c>
    </row>
    <row r="37" ht="10" customHeight="1">
      <c r="A37" s="84" t="inlineStr">
        <is>
          <t>National Security Cutters</t>
        </is>
      </c>
      <c r="B37" s="84" t="inlineStr">
        <is>
          <t>USCG</t>
        </is>
      </c>
      <c r="C37" s="85">
        <f>SUMIFS(JB_27U,JB_B,1,JB_W,"National Security Cutters",JB_S,"",JB_27U,"&lt;&gt;")+SUMIFS(JB_27S,JB_B,1,JB_W,"National Security Cutters",JB_S,"",JB_27U,"")+SUMIFS(JB_27U,JB_B,1,JB_W,"National Security Cutters",JB_S,"[PARENT]",JB_27U,"&lt;&gt;")+SUMIFS(JB_27S,JB_B,1,JB_W,"National Security Cutters",JB_S,"[PARENT]",JB_27U,"")</f>
        <v/>
      </c>
      <c r="D37" s="93">
        <f>IFERROR(C37/C$41,0)</f>
        <v/>
      </c>
    </row>
    <row r="38" ht="10" customHeight="1">
      <c r="A38" s="84" t="inlineStr">
        <is>
          <t>Coastal Buoy Tenders</t>
        </is>
      </c>
      <c r="B38" s="84" t="inlineStr">
        <is>
          <t>USCG</t>
        </is>
      </c>
      <c r="C38" s="85">
        <f>SUMIFS(JB_27U,JB_B,1,JB_W,"Coastal Buoy Tenders",JB_S,"",JB_27U,"&lt;&gt;")+SUMIFS(JB_27S,JB_B,1,JB_W,"Coastal Buoy Tenders",JB_S,"",JB_27U,"")+SUMIFS(JB_27U,JB_B,1,JB_W,"Coastal Buoy Tenders",JB_S,"[PARENT]",JB_27U,"&lt;&gt;")+SUMIFS(JB_27S,JB_B,1,JB_W,"Coastal Buoy Tenders",JB_S,"[PARENT]",JB_27U,"")</f>
        <v/>
      </c>
      <c r="D38" s="93">
        <f>IFERROR(C38/C$41,0)</f>
        <v/>
      </c>
    </row>
    <row r="39" ht="10" customHeight="1">
      <c r="A39" s="84" t="inlineStr">
        <is>
          <t>Icebreakers, Oceangoing</t>
        </is>
      </c>
      <c r="B39" s="84" t="inlineStr">
        <is>
          <t>USCG</t>
        </is>
      </c>
      <c r="C39" s="85">
        <f>SUMIFS(JB_27U,JB_B,1,JB_W,"Icebreakers, Oceangoing",JB_S,"",JB_27U,"&lt;&gt;")+SUMIFS(JB_27S,JB_B,1,JB_W,"Icebreakers, Oceangoing",JB_S,"",JB_27U,"")+SUMIFS(JB_27U,JB_B,1,JB_W,"Icebreakers, Oceangoing",JB_S,"[PARENT]",JB_27U,"&lt;&gt;")+SUMIFS(JB_27S,JB_B,1,JB_W,"Icebreakers, Oceangoing",JB_S,"[PARENT]",JB_27U,"")</f>
        <v/>
      </c>
      <c r="D39" s="93">
        <f>IFERROR(C39/C$41,0)</f>
        <v/>
      </c>
    </row>
    <row r="40" ht="10" customHeight="1">
      <c r="A40" s="84" t="inlineStr">
        <is>
          <t>Offshore Patrol Cutter</t>
        </is>
      </c>
      <c r="B40" s="84" t="inlineStr">
        <is>
          <t>USCG</t>
        </is>
      </c>
      <c r="C40" s="85">
        <f>SUMIFS(JB_27U,JB_B,1,JB_W,"Offshore Patrol Cutter",JB_S,"",JB_27U,"&lt;&gt;")+SUMIFS(JB_27S,JB_B,1,JB_W,"Offshore Patrol Cutter",JB_S,"",JB_27U,"")+SUMIFS(JB_27U,JB_B,1,JB_W,"Offshore Patrol Cutter",JB_S,"[PARENT]",JB_27U,"&lt;&gt;")+SUMIFS(JB_27S,JB_B,1,JB_W,"Offshore Patrol Cutter",JB_S,"[PARENT]",JB_27U,"")</f>
        <v/>
      </c>
      <c r="D40" s="93">
        <f>IFERROR(C40/C$41,0)</f>
        <v/>
      </c>
    </row>
    <row r="41" ht="10" customHeight="1">
      <c r="A41" s="86" t="inlineStr">
        <is>
          <t>Newbuild TAM</t>
        </is>
      </c>
      <c r="B41" s="86" t="inlineStr"/>
      <c r="C41" s="87">
        <f>SUM(C13:C40)</f>
        <v/>
      </c>
      <c r="D41" s="94"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c r="O43" s="82" t="n"/>
    </row>
    <row r="44" ht="10" customHeight="1">
      <c r="A44" s="83" t="inlineStr">
        <is>
          <t>Sub-Category</t>
        </is>
      </c>
      <c r="B44" s="83" t="inlineStr">
        <is>
          <t>Submarines</t>
        </is>
      </c>
      <c r="C44" s="83" t="inlineStr">
        <is>
          <t>Amphibious Warfare Ships</t>
        </is>
      </c>
      <c r="D44" s="83" t="inlineStr">
        <is>
          <t>Surface Combatants</t>
        </is>
      </c>
      <c r="E44" s="83" t="inlineStr">
        <is>
          <t>Material Support Ships</t>
        </is>
      </c>
      <c r="F44" s="83" t="inlineStr">
        <is>
          <t>Aircraft Carriers</t>
        </is>
      </c>
      <c r="G44" s="83" t="inlineStr">
        <is>
          <t>Combat Logistics Ships</t>
        </is>
      </c>
      <c r="H44" s="83" t="inlineStr">
        <is>
          <t>Expeditionary &amp; Seabasing Ships</t>
        </is>
      </c>
      <c r="I44" s="83" t="inlineStr">
        <is>
          <t>Surveillance Ships</t>
        </is>
      </c>
      <c r="J44" s="83" t="inlineStr">
        <is>
          <t>Hospital Ship</t>
        </is>
      </c>
      <c r="K44" s="83" t="inlineStr">
        <is>
          <t>Cargo &amp; Vehicle Cargo Ships</t>
        </is>
      </c>
      <c r="L44" s="83" t="inlineStr">
        <is>
          <t>Unmanned Undersea Vehicles</t>
        </is>
      </c>
      <c r="M44" s="83" t="inlineStr">
        <is>
          <t>Unmanned Surface Vehicles</t>
        </is>
      </c>
      <c r="N44" s="83" t="inlineStr">
        <is>
          <t>Total</t>
        </is>
      </c>
    </row>
    <row r="45" ht="10" customHeight="1">
      <c r="A45" s="84" t="inlineStr">
        <is>
          <t>Full Ship DD&amp;C</t>
        </is>
      </c>
      <c r="B45" s="93">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procurement",JB_S,"[PARENT]",JB_27U,""))/B$48,0)</f>
        <v/>
      </c>
      <c r="C45" s="93">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procurement",JB_S,"[PARENT]",JB_27U,""))/C$48,0)</f>
        <v/>
      </c>
      <c r="D45" s="9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procurement",JB_S,"[PARENT]",JB_27U,""))/D$48,0)</f>
        <v/>
      </c>
      <c r="E45" s="9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procurement",JB_S,"[PARENT]",JB_27U,""))/E$48,0)</f>
        <v/>
      </c>
      <c r="F45" s="93">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procurement",JB_S,"[PARENT]",JB_27U,""))/F$48,0)</f>
        <v/>
      </c>
      <c r="G45" s="9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procurement",JB_S,"[PARENT]",JB_27U,""))/G$48,0)</f>
        <v/>
      </c>
      <c r="H45" s="9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procurement",JB_S,"[PARENT]",JB_27U,""))/H$48,0)</f>
        <v/>
      </c>
      <c r="I45" s="9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procurement",JB_S,"[PARENT]",JB_27U,""))/I$48,0)</f>
        <v/>
      </c>
      <c r="J45" s="9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procurement",JB_S,"[PARENT]",JB_27U,""))/J$48,0)</f>
        <v/>
      </c>
      <c r="K45" s="9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procurement",JB_S,"[PARENT]",JB_27U,""))/K$48,0)</f>
        <v/>
      </c>
      <c r="L45" s="93">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procurement",JB_S,"[PARENT]",JB_27U,""))/L$48,0)</f>
        <v/>
      </c>
      <c r="M45" s="9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procurement",JB_S,"[PARENT]",JB_27U,""))/M$48,0)</f>
        <v/>
      </c>
      <c r="N45" s="93">
        <f>IFERROR(1-N46,0)</f>
        <v/>
      </c>
    </row>
    <row r="46" ht="10" customHeight="1">
      <c r="A46" s="84" t="inlineStr">
        <is>
          <t>Advance Procurement / LLTM</t>
        </is>
      </c>
      <c r="B46" s="93">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LLTM",JB_S,"[PARENT]",JB_27U,""))/B$48,0)</f>
        <v/>
      </c>
      <c r="C46" s="93">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LLTM",JB_S,"[PARENT]",JB_27U,""))/C$48,0)</f>
        <v/>
      </c>
      <c r="D46" s="9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LLTM",JB_S,"[PARENT]",JB_27U,""))/D$48,0)</f>
        <v/>
      </c>
      <c r="E46" s="9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LLTM",JB_S,"[PARENT]",JB_27U,""))/E$48,0)</f>
        <v/>
      </c>
      <c r="F46" s="93">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LLTM",JB_S,"[PARENT]",JB_27U,""))/F$48,0)</f>
        <v/>
      </c>
      <c r="G46" s="9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LLTM",JB_S,"[PARENT]",JB_27U,""))/G$48,0)</f>
        <v/>
      </c>
      <c r="H46" s="9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LLTM",JB_S,"[PARENT]",JB_27U,""))/H$48,0)</f>
        <v/>
      </c>
      <c r="I46" s="9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LLTM",JB_S,"[PARENT]",JB_27U,""))/I$48,0)</f>
        <v/>
      </c>
      <c r="J46" s="9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LLTM",JB_S,"[PARENT]",JB_27U,""))/J$48,0)</f>
        <v/>
      </c>
      <c r="K46" s="9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LLTM",JB_S,"[PARENT]",JB_27U,""))/K$48,0)</f>
        <v/>
      </c>
      <c r="L46" s="93">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LLTM",JB_S,"[PARENT]",JB_27U,""))/L$48,0)</f>
        <v/>
      </c>
      <c r="M46" s="9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LLTM",JB_S,"[PARENT]",JB_27U,""))/M$48,0)</f>
        <v/>
      </c>
      <c r="N46" s="93">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LLTM",JB_S,"[PARENT]",JB_27U,""))/N$48,0)</f>
        <v/>
      </c>
    </row>
    <row r="47" ht="10" customHeight="1">
      <c r="A47" s="84" t="inlineStr">
        <is>
          <t>Other NC Sub-Categories</t>
        </is>
      </c>
      <c r="B47" s="93">
        <f>IFERROR(1-B45-B46,0)</f>
        <v/>
      </c>
      <c r="C47" s="93">
        <f>IFERROR(1-C45-C46,0)</f>
        <v/>
      </c>
      <c r="D47" s="93">
        <f>IFERROR(1-D45-D46,0)</f>
        <v/>
      </c>
      <c r="E47" s="93">
        <f>IFERROR(1-E45-E46,0)</f>
        <v/>
      </c>
      <c r="F47" s="93">
        <f>IFERROR(1-F45-F46,0)</f>
        <v/>
      </c>
      <c r="G47" s="93">
        <f>IFERROR(1-G45-G46,0)</f>
        <v/>
      </c>
      <c r="H47" s="93">
        <f>IFERROR(1-H45-H46,0)</f>
        <v/>
      </c>
      <c r="I47" s="93">
        <f>IFERROR(1-I45-I46,0)</f>
        <v/>
      </c>
      <c r="J47" s="93">
        <f>IFERROR(1-J45-J46,0)</f>
        <v/>
      </c>
      <c r="K47" s="93">
        <f>IFERROR(1-K45-K46,0)</f>
        <v/>
      </c>
      <c r="L47" s="93">
        <f>IFERROR(1-L45-L46,0)</f>
        <v/>
      </c>
      <c r="M47" s="93">
        <f>IFERROR(1-M45-M46,0)</f>
        <v/>
      </c>
      <c r="N47" s="93">
        <f>IFERROR(1-N45-N46,0)</f>
        <v/>
      </c>
    </row>
    <row r="48" ht="10" customHeight="1">
      <c r="A48" s="86" t="inlineStr">
        <is>
          <t>Total ($K)</t>
        </is>
      </c>
      <c r="B48" s="87">
        <f>SUMIFS(JB_27U,JB_B,1,JB_W,"Submarines",JB_S,"",JB_27U,"&lt;&gt;")+SUMIFS(JB_27S,JB_B,1,JB_W,"Submarines",JB_S,"",JB_27U,"")+SUMIFS(JB_27U,JB_B,1,JB_W,"Submarines",JB_S,"[PARENT]",JB_27U,"&lt;&gt;")+SUMIFS(JB_27S,JB_B,1,JB_W,"Submarines",JB_S,"[PARENT]",JB_27U,"")</f>
        <v/>
      </c>
      <c r="C48" s="87">
        <f>SUMIFS(JB_27U,JB_B,1,JB_W,"Amphibious Warfare Ships",JB_S,"",JB_27U,"&lt;&gt;")+SUMIFS(JB_27S,JB_B,1,JB_W,"Amphibious Warfare Ships",JB_S,"",JB_27U,"")+SUMIFS(JB_27U,JB_B,1,JB_W,"Amphibious Warfare Ships",JB_S,"[PARENT]",JB_27U,"&lt;&gt;")+SUMIFS(JB_27S,JB_B,1,JB_W,"Amphibious Warfare Ships",JB_S,"[PARENT]",JB_27U,"")</f>
        <v/>
      </c>
      <c r="D48" s="87">
        <f>SUMIFS(JB_27U,JB_B,1,JB_W,"Surface Combatants",JB_S,"",JB_27U,"&lt;&gt;")+SUMIFS(JB_27S,JB_B,1,JB_W,"Surface Combatants",JB_S,"",JB_27U,"")+SUMIFS(JB_27U,JB_B,1,JB_W,"Surface Combatants",JB_S,"[PARENT]",JB_27U,"&lt;&gt;")+SUMIFS(JB_27S,JB_B,1,JB_W,"Surface Combatants",JB_S,"[PARENT]",JB_27U,"")</f>
        <v/>
      </c>
      <c r="E48" s="87">
        <f>SUMIFS(JB_27U,JB_B,1,JB_W,"Material Support Ships",JB_S,"",JB_27U,"&lt;&gt;")+SUMIFS(JB_27S,JB_B,1,JB_W,"Material Support Ships",JB_S,"",JB_27U,"")+SUMIFS(JB_27U,JB_B,1,JB_W,"Material Support Ships",JB_S,"[PARENT]",JB_27U,"&lt;&gt;")+SUMIFS(JB_27S,JB_B,1,JB_W,"Material Support Ships",JB_S,"[PARENT]",JB_27U,"")</f>
        <v/>
      </c>
      <c r="F48" s="87">
        <f>SUMIFS(JB_27U,JB_B,1,JB_W,"Aircraft Carriers",JB_S,"",JB_27U,"&lt;&gt;")+SUMIFS(JB_27S,JB_B,1,JB_W,"Aircraft Carriers",JB_S,"",JB_27U,"")+SUMIFS(JB_27U,JB_B,1,JB_W,"Aircraft Carriers",JB_S,"[PARENT]",JB_27U,"&lt;&gt;")+SUMIFS(JB_27S,JB_B,1,JB_W,"Aircraft Carriers",JB_S,"[PARENT]",JB_27U,"")</f>
        <v/>
      </c>
      <c r="G48" s="87">
        <f>SUMIFS(JB_27U,JB_B,1,JB_W,"Combat Logistics Ships",JB_S,"",JB_27U,"&lt;&gt;")+SUMIFS(JB_27S,JB_B,1,JB_W,"Combat Logistics Ships",JB_S,"",JB_27U,"")+SUMIFS(JB_27U,JB_B,1,JB_W,"Combat Logistics Ships",JB_S,"[PARENT]",JB_27U,"&lt;&gt;")+SUMIFS(JB_27S,JB_B,1,JB_W,"Combat Logistics Ships",JB_S,"[PARENT]",JB_27U,"")</f>
        <v/>
      </c>
      <c r="H48"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48" s="87">
        <f>SUMIFS(JB_27U,JB_B,1,JB_W,"Surveillance Ships",JB_S,"",JB_27U,"&lt;&gt;")+SUMIFS(JB_27S,JB_B,1,JB_W,"Surveillance Ships",JB_S,"",JB_27U,"")+SUMIFS(JB_27U,JB_B,1,JB_W,"Surveillance Ships",JB_S,"[PARENT]",JB_27U,"&lt;&gt;")+SUMIFS(JB_27S,JB_B,1,JB_W,"Surveillance Ships",JB_S,"[PARENT]",JB_27U,"")</f>
        <v/>
      </c>
      <c r="J48" s="87">
        <f>SUMIFS(JB_27U,JB_B,1,JB_W,"Hospital Ship",JB_S,"",JB_27U,"&lt;&gt;")+SUMIFS(JB_27S,JB_B,1,JB_W,"Hospital Ship",JB_S,"",JB_27U,"")+SUMIFS(JB_27U,JB_B,1,JB_W,"Hospital Ship",JB_S,"[PARENT]",JB_27U,"&lt;&gt;")+SUMIFS(JB_27S,JB_B,1,JB_W,"Hospital Ship",JB_S,"[PARENT]",JB_27U,"")</f>
        <v/>
      </c>
      <c r="K48" s="87">
        <f>SUMIFS(JB_27U,JB_B,1,JB_W,"Cargo &amp; Vehicle Cargo Ships",JB_S,"",JB_27U,"&lt;&gt;")+SUMIFS(JB_27S,JB_B,1,JB_W,"Cargo &amp; Vehicle Cargo Ships",JB_S,"",JB_27U,"")+SUMIFS(JB_27U,JB_B,1,JB_W,"Cargo &amp; Vehicle Cargo Ships",JB_S,"[PARENT]",JB_27U,"&lt;&gt;")+SUMIFS(JB_27S,JB_B,1,JB_W,"Cargo &amp; Vehicle Cargo Ships",JB_S,"[PARENT]",JB_27U,"")</f>
        <v/>
      </c>
      <c r="L48" s="87">
        <f>SUMIFS(JB_27U,JB_B,1,JB_W,"Unmanned Undersea Vehicles",JB_S,"",JB_27U,"&lt;&gt;")+SUMIFS(JB_27S,JB_B,1,JB_W,"Unmanned Undersea Vehicles",JB_S,"",JB_27U,"")+SUMIFS(JB_27U,JB_B,1,JB_W,"Unmanned Undersea Vehicles",JB_S,"[PARENT]",JB_27U,"&lt;&gt;")+SUMIFS(JB_27S,JB_B,1,JB_W,"Unmanned Undersea Vehicles",JB_S,"[PARENT]",JB_27U,"")</f>
        <v/>
      </c>
      <c r="M48" s="87">
        <f>SUMIFS(JB_27U,JB_B,1,JB_W,"Unmanned Surface Vehicles",JB_S,"",JB_27U,"&lt;&gt;")+SUMIFS(JB_27S,JB_B,1,JB_W,"Unmanned Surface Vehicles",JB_S,"",JB_27U,"")+SUMIFS(JB_27U,JB_B,1,JB_W,"Unmanned Surface Vehicles",JB_S,"[PARENT]",JB_27U,"&lt;&gt;")+SUMIFS(JB_27S,JB_B,1,JB_W,"Unmanned Surface Vehicles",JB_S,"[PARENT]",JB_27U,"")</f>
        <v/>
      </c>
      <c r="N48" s="87">
        <f>SUM(B48:M48)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c r="C4" s="82" t="n"/>
      <c r="D4" s="82" t="n"/>
      <c r="E4" s="82" t="n"/>
      <c r="F4" s="82" t="n"/>
      <c r="G4" s="82" t="n"/>
      <c r="H4" s="82" t="n"/>
      <c r="I4" s="82" t="n"/>
      <c r="J4" s="82" t="n"/>
      <c r="K4" s="82" t="n"/>
      <c r="L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91" t="inlineStr">
        <is>
          <t>Newbuild SAM</t>
        </is>
      </c>
      <c r="B9" s="92">
        <f>SUM(B5:B8)</f>
        <v/>
      </c>
    </row>
    <row r="10" ht="10" customHeight="1"/>
    <row r="11" ht="10" customHeight="1">
      <c r="A11" s="81" t="inlineStr">
        <is>
          <t>(B) Newbuild SAM by Vessel Type</t>
        </is>
      </c>
      <c r="B11" s="82" t="n"/>
      <c r="C11" s="82" t="n"/>
      <c r="D11" s="82" t="n"/>
      <c r="E11" s="82" t="n"/>
      <c r="F11" s="82" t="n"/>
      <c r="G11" s="82" t="n"/>
      <c r="H11" s="82" t="n"/>
      <c r="I11" s="82" t="n"/>
      <c r="J11" s="82" t="n"/>
      <c r="K11" s="82" t="n"/>
      <c r="L11" s="82" t="n"/>
    </row>
    <row r="12" ht="10" customHeight="1">
      <c r="A12" s="83" t="inlineStr">
        <is>
          <t>Vessel Type</t>
        </is>
      </c>
      <c r="B12" s="83" t="inlineStr">
        <is>
          <t>Service</t>
        </is>
      </c>
      <c r="C12" s="83" t="inlineStr">
        <is>
          <t>FY2027 ($K)</t>
        </is>
      </c>
      <c r="D12" s="83" t="inlineStr">
        <is>
          <t>% of SAM</t>
        </is>
      </c>
    </row>
    <row r="13" ht="10" customHeight="1">
      <c r="A13" s="84" t="inlineStr">
        <is>
          <t>Amphibious Warfare Ships</t>
        </is>
      </c>
      <c r="B13" s="84" t="inlineStr">
        <is>
          <t>USN</t>
        </is>
      </c>
      <c r="C13" s="85">
        <f>SUMIFS(JB_27U,JB_B,1,JB_W,"Amphibious Warfare Ships",JB_S,"",JB_27U,"&lt;&gt;")+SUMIFS(JB_27S,JB_B,1,JB_W,"Amphibious Warfare Ships",JB_S,"",JB_27U,"")+SUMIFS(JB_27U,JB_B,1,JB_W,"Amphibious Warfare Ships",JB_S,"[PARENT]",JB_27U,"&lt;&gt;")+SUMIFS(JB_27S,JB_B,1,JB_W,"Amphibious Warfare Ships",JB_S,"[PARENT]",JB_27U,"")</f>
        <v/>
      </c>
      <c r="D13" s="93">
        <f>IFERROR(C13/C$38,0)</f>
        <v/>
      </c>
    </row>
    <row r="14" ht="10" customHeight="1">
      <c r="A14" s="84" t="inlineStr">
        <is>
          <t>Surface Combatants</t>
        </is>
      </c>
      <c r="B14" s="84" t="inlineStr">
        <is>
          <t>USN</t>
        </is>
      </c>
      <c r="C14" s="85">
        <f>SUMIFS(JB_27U,JB_B,1,JB_W,"Surface Combatants",JB_S,"",JB_27U,"&lt;&gt;")+SUMIFS(JB_27S,JB_B,1,JB_W,"Surface Combatants",JB_S,"",JB_27U,"")+SUMIFS(JB_27U,JB_B,1,JB_W,"Surface Combatants",JB_S,"[PARENT]",JB_27U,"&lt;&gt;")+SUMIFS(JB_27S,JB_B,1,JB_W,"Surface Combatants",JB_S,"[PARENT]",JB_27U,"")</f>
        <v/>
      </c>
      <c r="D14" s="93">
        <f>IFERROR(C14/C$38,0)</f>
        <v/>
      </c>
    </row>
    <row r="15" ht="10" customHeight="1">
      <c r="A15" s="84" t="inlineStr">
        <is>
          <t>Material Support Ships</t>
        </is>
      </c>
      <c r="B15" s="84" t="inlineStr">
        <is>
          <t>USN</t>
        </is>
      </c>
      <c r="C15" s="85">
        <f>SUMIFS(JB_27U,JB_B,1,JB_W,"Material Support Ships",JB_S,"",JB_27U,"&lt;&gt;")+SUMIFS(JB_27S,JB_B,1,JB_W,"Material Support Ships",JB_S,"",JB_27U,"")+SUMIFS(JB_27U,JB_B,1,JB_W,"Material Support Ships",JB_S,"[PARENT]",JB_27U,"&lt;&gt;")+SUMIFS(JB_27S,JB_B,1,JB_W,"Material Support Ships",JB_S,"[PARENT]",JB_27U,"")</f>
        <v/>
      </c>
      <c r="D15" s="93">
        <f>IFERROR(C15/C$38,0)</f>
        <v/>
      </c>
    </row>
    <row r="16" ht="10" customHeight="1">
      <c r="A16" s="84" t="inlineStr">
        <is>
          <t>Combat Logistics Ships</t>
        </is>
      </c>
      <c r="B16" s="84" t="inlineStr">
        <is>
          <t>MSC</t>
        </is>
      </c>
      <c r="C16" s="85">
        <f>SUMIFS(JB_27U,JB_B,1,JB_W,"Combat Logistics Ships",JB_S,"",JB_27U,"&lt;&gt;")+SUMIFS(JB_27S,JB_B,1,JB_W,"Combat Logistics Ships",JB_S,"",JB_27U,"")+SUMIFS(JB_27U,JB_B,1,JB_W,"Combat Logistics Ships",JB_S,"[PARENT]",JB_27U,"&lt;&gt;")+SUMIFS(JB_27S,JB_B,1,JB_W,"Combat Logistics Ships",JB_S,"[PARENT]",JB_27U,"")</f>
        <v/>
      </c>
      <c r="D16" s="93">
        <f>IFERROR(C16/C$38,0)</f>
        <v/>
      </c>
    </row>
    <row r="17" ht="10" customHeight="1">
      <c r="A17" s="84" t="inlineStr">
        <is>
          <t>Expeditionary &amp; Seabasing Ships</t>
        </is>
      </c>
      <c r="B17" s="84" t="inlineStr">
        <is>
          <t>USN</t>
        </is>
      </c>
      <c r="C17"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7" s="93">
        <f>IFERROR(C17/C$38,0)</f>
        <v/>
      </c>
    </row>
    <row r="18" ht="10" customHeight="1">
      <c r="A18" s="84" t="inlineStr">
        <is>
          <t>Surveillance Ships</t>
        </is>
      </c>
      <c r="B18" s="84" t="inlineStr">
        <is>
          <t>USN</t>
        </is>
      </c>
      <c r="C18" s="85">
        <f>SUMIFS(JB_27U,JB_B,1,JB_W,"Surveillance Ships",JB_S,"",JB_27U,"&lt;&gt;")+SUMIFS(JB_27S,JB_B,1,JB_W,"Surveillance Ships",JB_S,"",JB_27U,"")+SUMIFS(JB_27U,JB_B,1,JB_W,"Surveillance Ships",JB_S,"[PARENT]",JB_27U,"&lt;&gt;")+SUMIFS(JB_27S,JB_B,1,JB_W,"Surveillance Ships",JB_S,"[PARENT]",JB_27U,"")</f>
        <v/>
      </c>
      <c r="D18" s="93">
        <f>IFERROR(C18/C$38,0)</f>
        <v/>
      </c>
    </row>
    <row r="19" ht="10" customHeight="1">
      <c r="A19" s="84" t="inlineStr">
        <is>
          <t>Hospital Ship</t>
        </is>
      </c>
      <c r="B19" s="84" t="inlineStr">
        <is>
          <t>MSC</t>
        </is>
      </c>
      <c r="C19" s="85">
        <f>SUMIFS(JB_27U,JB_B,1,JB_W,"Hospital Ship",JB_S,"",JB_27U,"&lt;&gt;")+SUMIFS(JB_27S,JB_B,1,JB_W,"Hospital Ship",JB_S,"",JB_27U,"")+SUMIFS(JB_27U,JB_B,1,JB_W,"Hospital Ship",JB_S,"[PARENT]",JB_27U,"&lt;&gt;")+SUMIFS(JB_27S,JB_B,1,JB_W,"Hospital Ship",JB_S,"[PARENT]",JB_27U,"")</f>
        <v/>
      </c>
      <c r="D19" s="93">
        <f>IFERROR(C19/C$38,0)</f>
        <v/>
      </c>
    </row>
    <row r="20" ht="10" customHeight="1">
      <c r="A20" s="84" t="inlineStr">
        <is>
          <t>Cargo &amp; Vehicle Cargo Ships</t>
        </is>
      </c>
      <c r="B20" s="84" t="inlineStr">
        <is>
          <t>USN</t>
        </is>
      </c>
      <c r="C20" s="85">
        <f>SUMIFS(JB_27U,JB_B,1,JB_W,"Cargo &amp; Vehicle Cargo Ships",JB_S,"",JB_27U,"&lt;&gt;")+SUMIFS(JB_27S,JB_B,1,JB_W,"Cargo &amp; Vehicle Cargo Ships",JB_S,"",JB_27U,"")+SUMIFS(JB_27U,JB_B,1,JB_W,"Cargo &amp; Vehicle Cargo Ships",JB_S,"[PARENT]",JB_27U,"&lt;&gt;")+SUMIFS(JB_27S,JB_B,1,JB_W,"Cargo &amp; Vehicle Cargo Ships",JB_S,"[PARENT]",JB_27U,"")</f>
        <v/>
      </c>
      <c r="D20" s="93">
        <f>IFERROR(C20/C$38,0)</f>
        <v/>
      </c>
    </row>
    <row r="21" ht="10" customHeight="1">
      <c r="A21" s="84" t="inlineStr">
        <is>
          <t>Unmanned Surface Vehicles</t>
        </is>
      </c>
      <c r="B21" s="84" t="inlineStr">
        <is>
          <t>USN</t>
        </is>
      </c>
      <c r="C21" s="85">
        <f>SUMIFS(JB_27U,JB_B,1,JB_W,"Unmanned Surface Vehicles",JB_S,"",JB_27U,"&lt;&gt;")+SUMIFS(JB_27S,JB_B,1,JB_W,"Unmanned Surface Vehicles",JB_S,"",JB_27U,"")+SUMIFS(JB_27U,JB_B,1,JB_W,"Unmanned Surface Vehicles",JB_S,"[PARENT]",JB_27U,"&lt;&gt;")+SUMIFS(JB_27S,JB_B,1,JB_W,"Unmanned Surface Vehicles",JB_S,"[PARENT]",JB_27U,"")</f>
        <v/>
      </c>
      <c r="D21" s="93">
        <f>IFERROR(C21/C$38,0)</f>
        <v/>
      </c>
    </row>
    <row r="22" ht="10" customHeight="1">
      <c r="A22" s="84" t="inlineStr">
        <is>
          <t>General Auxiliary</t>
        </is>
      </c>
      <c r="B22" s="84" t="inlineStr">
        <is>
          <t>USN</t>
        </is>
      </c>
      <c r="C22" s="85">
        <f>SUMIFS(JB_27U,JB_B,1,JB_W,"General Auxiliary",JB_S,"",JB_27U,"&lt;&gt;")+SUMIFS(JB_27S,JB_B,1,JB_W,"General Auxiliary",JB_S,"",JB_27U,"")+SUMIFS(JB_27U,JB_B,1,JB_W,"General Auxiliary",JB_S,"[PARENT]",JB_27U,"&lt;&gt;")+SUMIFS(JB_27S,JB_B,1,JB_W,"General Auxiliary",JB_S,"[PARENT]",JB_27U,"")</f>
        <v/>
      </c>
      <c r="D22" s="93">
        <f>IFERROR(C22/C$38,0)</f>
        <v/>
      </c>
    </row>
    <row r="23" ht="10" customHeight="1">
      <c r="A23" s="84" t="inlineStr">
        <is>
          <t>Submarine Escort Ship</t>
        </is>
      </c>
      <c r="B23" s="84" t="inlineStr">
        <is>
          <t>USN</t>
        </is>
      </c>
      <c r="C23" s="85">
        <f>SUMIFS(JB_27U,JB_B,1,JB_W,"Submarine Escort Ship",JB_S,"",JB_27U,"&lt;&gt;")+SUMIFS(JB_27S,JB_B,1,JB_W,"Submarine Escort Ship",JB_S,"",JB_27U,"")+SUMIFS(JB_27U,JB_B,1,JB_W,"Submarine Escort Ship",JB_S,"[PARENT]",JB_27U,"&lt;&gt;")+SUMIFS(JB_27S,JB_B,1,JB_W,"Submarine Escort Ship",JB_S,"[PARENT]",JB_27U,"")</f>
        <v/>
      </c>
      <c r="D23" s="93">
        <f>IFERROR(C23/C$38,0)</f>
        <v/>
      </c>
    </row>
    <row r="24" ht="10" customHeight="1">
      <c r="A24" s="84" t="inlineStr">
        <is>
          <t>Command Ships</t>
        </is>
      </c>
      <c r="B24" s="84" t="inlineStr">
        <is>
          <t>USN</t>
        </is>
      </c>
      <c r="C24" s="85">
        <f>SUMIFS(JB_27U,JB_B,1,JB_W,"Command Ships",JB_S,"",JB_27U,"&lt;&gt;")+SUMIFS(JB_27S,JB_B,1,JB_W,"Command Ships",JB_S,"",JB_27U,"")+SUMIFS(JB_27U,JB_B,1,JB_W,"Command Ships",JB_S,"[PARENT]",JB_27U,"&lt;&gt;")+SUMIFS(JB_27S,JB_B,1,JB_W,"Command Ships",JB_S,"[PARENT]",JB_27U,"")</f>
        <v/>
      </c>
      <c r="D24" s="93">
        <f>IFERROR(C24/C$38,0)</f>
        <v/>
      </c>
    </row>
    <row r="25" ht="10" customHeight="1">
      <c r="A25" s="84" t="inlineStr">
        <is>
          <t>High Speed Transport</t>
        </is>
      </c>
      <c r="B25" s="84" t="inlineStr">
        <is>
          <t>USN</t>
        </is>
      </c>
      <c r="C25" s="85">
        <f>SUMIFS(JB_27U,JB_B,1,JB_W,"High Speed Transport",JB_S,"",JB_27U,"&lt;&gt;")+SUMIFS(JB_27S,JB_B,1,JB_W,"High Speed Transport",JB_S,"",JB_27U,"")+SUMIFS(JB_27U,JB_B,1,JB_W,"High Speed Transport",JB_S,"[PARENT]",JB_27U,"&lt;&gt;")+SUMIFS(JB_27S,JB_B,1,JB_W,"High Speed Transport",JB_S,"[PARENT]",JB_27U,"")</f>
        <v/>
      </c>
      <c r="D25" s="93">
        <f>IFERROR(C25/C$38,0)</f>
        <v/>
      </c>
    </row>
    <row r="26" ht="10" customHeight="1">
      <c r="A26" s="84" t="inlineStr">
        <is>
          <t>Crane Ship</t>
        </is>
      </c>
      <c r="B26" s="84" t="inlineStr">
        <is>
          <t>USN</t>
        </is>
      </c>
      <c r="C26" s="85">
        <f>SUMIFS(JB_27U,JB_B,1,JB_W,"Crane Ship",JB_S,"",JB_27U,"&lt;&gt;")+SUMIFS(JB_27S,JB_B,1,JB_W,"Crane Ship",JB_S,"",JB_27U,"")+SUMIFS(JB_27U,JB_B,1,JB_W,"Crane Ship",JB_S,"[PARENT]",JB_27U,"&lt;&gt;")+SUMIFS(JB_27S,JB_B,1,JB_W,"Crane Ship",JB_S,"[PARENT]",JB_27U,"")</f>
        <v/>
      </c>
      <c r="D26" s="93">
        <f>IFERROR(C26/C$38,0)</f>
        <v/>
      </c>
    </row>
    <row r="27" ht="10" customHeight="1">
      <c r="A27" s="84" t="inlineStr">
        <is>
          <t>Aviation Logistics Support Ship</t>
        </is>
      </c>
      <c r="B27" s="84" t="inlineStr">
        <is>
          <t>USN</t>
        </is>
      </c>
      <c r="C27"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93">
        <f>IFERROR(C27/C$38,0)</f>
        <v/>
      </c>
    </row>
    <row r="28" ht="10" customHeight="1">
      <c r="A28" s="84" t="inlineStr">
        <is>
          <t>Research, Survey &amp; Instrumentation Ships</t>
        </is>
      </c>
      <c r="B28" s="84" t="inlineStr">
        <is>
          <t>MSC</t>
        </is>
      </c>
      <c r="C28"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8" s="93">
        <f>IFERROR(C28/C$38,0)</f>
        <v/>
      </c>
    </row>
    <row r="29" ht="10" customHeight="1">
      <c r="A29" s="84" t="inlineStr">
        <is>
          <t>Salvage Ships &amp; Fleet Ocean Tugs</t>
        </is>
      </c>
      <c r="B29" s="84" t="inlineStr">
        <is>
          <t>MSC</t>
        </is>
      </c>
      <c r="C29"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9" s="93">
        <f>IFERROR(C29/C$38,0)</f>
        <v/>
      </c>
    </row>
    <row r="30" ht="10" customHeight="1">
      <c r="A30" s="84" t="inlineStr">
        <is>
          <t>Mine Warfare</t>
        </is>
      </c>
      <c r="B30" s="84" t="inlineStr">
        <is>
          <t>USN</t>
        </is>
      </c>
      <c r="C30" s="85">
        <f>SUMIFS(JB_27U,JB_B,1,JB_W,"Mine Warfare",JB_S,"",JB_27U,"&lt;&gt;")+SUMIFS(JB_27S,JB_B,1,JB_W,"Mine Warfare",JB_S,"",JB_27U,"")+SUMIFS(JB_27U,JB_B,1,JB_W,"Mine Warfare",JB_S,"[PARENT]",JB_27U,"&lt;&gt;")+SUMIFS(JB_27S,JB_B,1,JB_W,"Mine Warfare",JB_S,"[PARENT]",JB_27U,"")</f>
        <v/>
      </c>
      <c r="D30" s="93">
        <f>IFERROR(C30/C$38,0)</f>
        <v/>
      </c>
    </row>
    <row r="31" ht="10" customHeight="1">
      <c r="A31" s="84" t="inlineStr">
        <is>
          <t>National Security Cutters</t>
        </is>
      </c>
      <c r="B31" s="84" t="inlineStr">
        <is>
          <t>USCG</t>
        </is>
      </c>
      <c r="C31" s="85">
        <f>SUMIFS(JB_27U,JB_B,1,JB_W,"National Security Cutters",JB_S,"",JB_27U,"&lt;&gt;")+SUMIFS(JB_27S,JB_B,1,JB_W,"National Security Cutters",JB_S,"",JB_27U,"")+SUMIFS(JB_27U,JB_B,1,JB_W,"National Security Cutters",JB_S,"[PARENT]",JB_27U,"&lt;&gt;")+SUMIFS(JB_27S,JB_B,1,JB_W,"National Security Cutters",JB_S,"[PARENT]",JB_27U,"")</f>
        <v/>
      </c>
      <c r="D31" s="93">
        <f>IFERROR(C31/C$38,0)</f>
        <v/>
      </c>
    </row>
    <row r="32" ht="10" customHeight="1">
      <c r="A32" s="84" t="inlineStr">
        <is>
          <t>Fast Response Cutters</t>
        </is>
      </c>
      <c r="B32" s="84" t="inlineStr">
        <is>
          <t>USCG</t>
        </is>
      </c>
      <c r="C32" s="85">
        <f>SUMIFS(JB_27U,JB_B,1,JB_W,"Fast Response Cutters",JB_S,"",JB_27U,"&lt;&gt;")+SUMIFS(JB_27S,JB_B,1,JB_W,"Fast Response Cutters",JB_S,"",JB_27U,"")+SUMIFS(JB_27U,JB_B,1,JB_W,"Fast Response Cutters",JB_S,"[PARENT]",JB_27U,"&lt;&gt;")+SUMIFS(JB_27S,JB_B,1,JB_W,"Fast Response Cutters",JB_S,"[PARENT]",JB_27U,"")</f>
        <v/>
      </c>
      <c r="D32" s="93">
        <f>IFERROR(C32/C$38,0)</f>
        <v/>
      </c>
    </row>
    <row r="33" ht="10" customHeight="1">
      <c r="A33" s="84" t="inlineStr">
        <is>
          <t>Coastal Buoy Tenders</t>
        </is>
      </c>
      <c r="B33" s="84" t="inlineStr">
        <is>
          <t>USCG</t>
        </is>
      </c>
      <c r="C33" s="85">
        <f>SUMIFS(JB_27U,JB_B,1,JB_W,"Coastal Buoy Tenders",JB_S,"",JB_27U,"&lt;&gt;")+SUMIFS(JB_27S,JB_B,1,JB_W,"Coastal Buoy Tenders",JB_S,"",JB_27U,"")+SUMIFS(JB_27U,JB_B,1,JB_W,"Coastal Buoy Tenders",JB_S,"[PARENT]",JB_27U,"&lt;&gt;")+SUMIFS(JB_27S,JB_B,1,JB_W,"Coastal Buoy Tenders",JB_S,"[PARENT]",JB_27U,"")</f>
        <v/>
      </c>
      <c r="D33" s="93">
        <f>IFERROR(C33/C$38,0)</f>
        <v/>
      </c>
    </row>
    <row r="34" ht="10" customHeight="1">
      <c r="A34" s="84" t="inlineStr">
        <is>
          <t>Icebreakers, Great Lakes</t>
        </is>
      </c>
      <c r="B34" s="84" t="inlineStr">
        <is>
          <t>USCG</t>
        </is>
      </c>
      <c r="C34" s="85">
        <f>SUMIFS(JB_27U,JB_B,1,JB_W,"Icebreakers, Great Lakes",JB_S,"",JB_27U,"&lt;&gt;")+SUMIFS(JB_27S,JB_B,1,JB_W,"Icebreakers, Great Lakes",JB_S,"",JB_27U,"")+SUMIFS(JB_27U,JB_B,1,JB_W,"Icebreakers, Great Lakes",JB_S,"[PARENT]",JB_27U,"&lt;&gt;")+SUMIFS(JB_27S,JB_B,1,JB_W,"Icebreakers, Great Lakes",JB_S,"[PARENT]",JB_27U,"")</f>
        <v/>
      </c>
      <c r="D34" s="93">
        <f>IFERROR(C34/C$38,0)</f>
        <v/>
      </c>
    </row>
    <row r="35" ht="10" customHeight="1">
      <c r="A35" s="84" t="inlineStr">
        <is>
          <t>Icebreakers, Oceangoing</t>
        </is>
      </c>
      <c r="B35" s="84" t="inlineStr">
        <is>
          <t>USCG</t>
        </is>
      </c>
      <c r="C35" s="85">
        <f>SUMIFS(JB_27U,JB_B,1,JB_W,"Icebreakers, Oceangoing",JB_S,"",JB_27U,"&lt;&gt;")+SUMIFS(JB_27S,JB_B,1,JB_W,"Icebreakers, Oceangoing",JB_S,"",JB_27U,"")+SUMIFS(JB_27U,JB_B,1,JB_W,"Icebreakers, Oceangoing",JB_S,"[PARENT]",JB_27U,"&lt;&gt;")+SUMIFS(JB_27S,JB_B,1,JB_W,"Icebreakers, Oceangoing",JB_S,"[PARENT]",JB_27U,"")</f>
        <v/>
      </c>
      <c r="D35" s="93">
        <f>IFERROR(C35/C$38,0)</f>
        <v/>
      </c>
    </row>
    <row r="36" ht="10" customHeight="1">
      <c r="A36" s="84" t="inlineStr">
        <is>
          <t>Waterways Commerce Cutters</t>
        </is>
      </c>
      <c r="B36" s="84" t="inlineStr">
        <is>
          <t>USCG</t>
        </is>
      </c>
      <c r="C36" s="85">
        <f>SUMIFS(JB_27U,JB_B,1,JB_W,"Waterways Commerce Cutters",JB_S,"",JB_27U,"&lt;&gt;")+SUMIFS(JB_27S,JB_B,1,JB_W,"Waterways Commerce Cutters",JB_S,"",JB_27U,"")+SUMIFS(JB_27U,JB_B,1,JB_W,"Waterways Commerce Cutters",JB_S,"[PARENT]",JB_27U,"&lt;&gt;")+SUMIFS(JB_27S,JB_B,1,JB_W,"Waterways Commerce Cutters",JB_S,"[PARENT]",JB_27U,"")</f>
        <v/>
      </c>
      <c r="D36" s="93">
        <f>IFERROR(C36/C$38,0)</f>
        <v/>
      </c>
    </row>
    <row r="37" ht="10" customHeight="1">
      <c r="A37" s="84" t="inlineStr">
        <is>
          <t>Offshore Patrol Cutter</t>
        </is>
      </c>
      <c r="B37" s="84" t="inlineStr">
        <is>
          <t>USCG</t>
        </is>
      </c>
      <c r="C37" s="85">
        <f>SUMIFS(JB_27U,JB_B,1,JB_W,"Offshore Patrol Cutter",JB_S,"",JB_27U,"&lt;&gt;")+SUMIFS(JB_27S,JB_B,1,JB_W,"Offshore Patrol Cutter",JB_S,"",JB_27U,"")+SUMIFS(JB_27U,JB_B,1,JB_W,"Offshore Patrol Cutter",JB_S,"[PARENT]",JB_27U,"&lt;&gt;")+SUMIFS(JB_27S,JB_B,1,JB_W,"Offshore Patrol Cutter",JB_S,"[PARENT]",JB_27U,"")</f>
        <v/>
      </c>
      <c r="D37" s="93">
        <f>IFERROR(C37/C$38,0)</f>
        <v/>
      </c>
    </row>
    <row r="38" ht="10" customHeight="1">
      <c r="A38" s="86" t="inlineStr">
        <is>
          <t>Newbuild SAM</t>
        </is>
      </c>
      <c r="B38" s="86" t="inlineStr"/>
      <c r="C38" s="87">
        <f>SUM(C13:C37)</f>
        <v/>
      </c>
      <c r="D38" s="94"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c r="L40" s="82" t="n"/>
    </row>
    <row r="41" ht="10" customHeight="1">
      <c r="A41" s="83" t="inlineStr">
        <is>
          <t>Sub-Category</t>
        </is>
      </c>
      <c r="B41" s="83" t="inlineStr">
        <is>
          <t>Amphibious Warfare Ships</t>
        </is>
      </c>
      <c r="C41" s="83" t="inlineStr">
        <is>
          <t>Surface Combatants</t>
        </is>
      </c>
      <c r="D41" s="83" t="inlineStr">
        <is>
          <t>Material Support Ships</t>
        </is>
      </c>
      <c r="E41" s="83" t="inlineStr">
        <is>
          <t>Combat Logistics Ships</t>
        </is>
      </c>
      <c r="F41" s="83" t="inlineStr">
        <is>
          <t>Expeditionary &amp; Seabasing Ships</t>
        </is>
      </c>
      <c r="G41" s="83" t="inlineStr">
        <is>
          <t>Surveillance Ships</t>
        </is>
      </c>
      <c r="H41" s="83" t="inlineStr">
        <is>
          <t>Hospital Ship</t>
        </is>
      </c>
      <c r="I41" s="83" t="inlineStr">
        <is>
          <t>Cargo &amp; Vehicle Cargo Ships</t>
        </is>
      </c>
      <c r="J41" s="83" t="inlineStr">
        <is>
          <t>Unmanned Surface Vehicles</t>
        </is>
      </c>
      <c r="K41" s="83" t="inlineStr">
        <is>
          <t>Total</t>
        </is>
      </c>
    </row>
    <row r="42" ht="10" customHeight="1">
      <c r="A42" s="84" t="inlineStr">
        <is>
          <t>Full Ship DD&amp;C</t>
        </is>
      </c>
      <c r="B42" s="93">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procurement",JB_S,"[PARENT]",JB_27U,""))/B$44,0)</f>
        <v/>
      </c>
      <c r="C42" s="9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procurement",JB_S,"[PARENT]",JB_27U,""))/C$44,0)</f>
        <v/>
      </c>
      <c r="D42" s="9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procurement",JB_S,"[PARENT]",JB_27U,""))/D$44,0)</f>
        <v/>
      </c>
      <c r="E42" s="9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procurement",JB_S,"[PARENT]",JB_27U,""))/E$44,0)</f>
        <v/>
      </c>
      <c r="F42" s="9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procurement",JB_S,"[PARENT]",JB_27U,""))/F$44,0)</f>
        <v/>
      </c>
      <c r="G42" s="9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procurement",JB_S,"[PARENT]",JB_27U,""))/G$44,0)</f>
        <v/>
      </c>
      <c r="H42" s="9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procurement",JB_S,"[PARENT]",JB_27U,""))/H$44,0)</f>
        <v/>
      </c>
      <c r="I42" s="9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procurement",JB_S,"[PARENT]",JB_27U,""))/I$44,0)</f>
        <v/>
      </c>
      <c r="J42" s="9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procurement",JB_S,"[PARENT]",JB_27U,""))/J$44,0)</f>
        <v/>
      </c>
      <c r="K42" s="93">
        <f>IFERROR(1-K43,0)</f>
        <v/>
      </c>
    </row>
    <row r="43" ht="10" customHeight="1">
      <c r="A43" s="84" t="inlineStr">
        <is>
          <t>Advance Procurement / LLTM</t>
        </is>
      </c>
      <c r="B43" s="93">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LLTM",JB_S,"[PARENT]",JB_27U,""))/B$44,0)</f>
        <v/>
      </c>
      <c r="C43" s="9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LLTM",JB_S,"[PARENT]",JB_27U,""))/C$44,0)</f>
        <v/>
      </c>
      <c r="D43" s="9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LLTM",JB_S,"[PARENT]",JB_27U,""))/D$44,0)</f>
        <v/>
      </c>
      <c r="E43" s="9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LLTM",JB_S,"[PARENT]",JB_27U,""))/E$44,0)</f>
        <v/>
      </c>
      <c r="F43" s="9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LLTM",JB_S,"[PARENT]",JB_27U,""))/F$44,0)</f>
        <v/>
      </c>
      <c r="G43" s="9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LLTM",JB_S,"[PARENT]",JB_27U,""))/G$44,0)</f>
        <v/>
      </c>
      <c r="H43" s="9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LLTM",JB_S,"[PARENT]",JB_27U,""))/H$44,0)</f>
        <v/>
      </c>
      <c r="I43" s="9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LLTM",JB_S,"[PARENT]",JB_27U,""))/I$44,0)</f>
        <v/>
      </c>
      <c r="J43" s="9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LLTM",JB_S,"[PARENT]",JB_27U,""))/J$44,0)</f>
        <v/>
      </c>
      <c r="K43" s="93">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LLTM",JB_S,"[PARENT]",JB_27U,""))/K$44,0)</f>
        <v/>
      </c>
    </row>
    <row r="44" ht="10" customHeight="1">
      <c r="A44" s="86" t="inlineStr">
        <is>
          <t>Total ($K)</t>
        </is>
      </c>
      <c r="B44" s="87">
        <f>SUMIFS(JB_27U,JB_B,1,JB_W,"Amphibious Warfare Ships",JB_S,"",JB_27U,"&lt;&gt;")+SUMIFS(JB_27S,JB_B,1,JB_W,"Amphibious Warfare Ships",JB_S,"",JB_27U,"")+SUMIFS(JB_27U,JB_B,1,JB_W,"Amphibious Warfare Ships",JB_S,"[PARENT]",JB_27U,"&lt;&gt;")+SUMIFS(JB_27S,JB_B,1,JB_W,"Amphibious Warfare Ships",JB_S,"[PARENT]",JB_27U,"")</f>
        <v/>
      </c>
      <c r="C44" s="87">
        <f>SUMIFS(JB_27U,JB_B,1,JB_W,"Surface Combatants",JB_S,"",JB_27U,"&lt;&gt;")+SUMIFS(JB_27S,JB_B,1,JB_W,"Surface Combatants",JB_S,"",JB_27U,"")+SUMIFS(JB_27U,JB_B,1,JB_W,"Surface Combatants",JB_S,"[PARENT]",JB_27U,"&lt;&gt;")+SUMIFS(JB_27S,JB_B,1,JB_W,"Surface Combatants",JB_S,"[PARENT]",JB_27U,"")</f>
        <v/>
      </c>
      <c r="D44" s="87">
        <f>SUMIFS(JB_27U,JB_B,1,JB_W,"Material Support Ships",JB_S,"",JB_27U,"&lt;&gt;")+SUMIFS(JB_27S,JB_B,1,JB_W,"Material Support Ships",JB_S,"",JB_27U,"")+SUMIFS(JB_27U,JB_B,1,JB_W,"Material Support Ships",JB_S,"[PARENT]",JB_27U,"&lt;&gt;")+SUMIFS(JB_27S,JB_B,1,JB_W,"Material Support Ships",JB_S,"[PARENT]",JB_27U,"")</f>
        <v/>
      </c>
      <c r="E44" s="87">
        <f>SUMIFS(JB_27U,JB_B,1,JB_W,"Combat Logistics Ships",JB_S,"",JB_27U,"&lt;&gt;")+SUMIFS(JB_27S,JB_B,1,JB_W,"Combat Logistics Ships",JB_S,"",JB_27U,"")+SUMIFS(JB_27U,JB_B,1,JB_W,"Combat Logistics Ships",JB_S,"[PARENT]",JB_27U,"&lt;&gt;")+SUMIFS(JB_27S,JB_B,1,JB_W,"Combat Logistics Ships",JB_S,"[PARENT]",JB_27U,"")</f>
        <v/>
      </c>
      <c r="F44"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4" s="87">
        <f>SUMIFS(JB_27U,JB_B,1,JB_W,"Surveillance Ships",JB_S,"",JB_27U,"&lt;&gt;")+SUMIFS(JB_27S,JB_B,1,JB_W,"Surveillance Ships",JB_S,"",JB_27U,"")+SUMIFS(JB_27U,JB_B,1,JB_W,"Surveillance Ships",JB_S,"[PARENT]",JB_27U,"&lt;&gt;")+SUMIFS(JB_27S,JB_B,1,JB_W,"Surveillance Ships",JB_S,"[PARENT]",JB_27U,"")</f>
        <v/>
      </c>
      <c r="H44" s="87">
        <f>SUMIFS(JB_27U,JB_B,1,JB_W,"Hospital Ship",JB_S,"",JB_27U,"&lt;&gt;")+SUMIFS(JB_27S,JB_B,1,JB_W,"Hospital Ship",JB_S,"",JB_27U,"")+SUMIFS(JB_27U,JB_B,1,JB_W,"Hospital Ship",JB_S,"[PARENT]",JB_27U,"&lt;&gt;")+SUMIFS(JB_27S,JB_B,1,JB_W,"Hospital Ship",JB_S,"[PARENT]",JB_27U,"")</f>
        <v/>
      </c>
      <c r="I44" s="87">
        <f>SUMIFS(JB_27U,JB_B,1,JB_W,"Cargo &amp; Vehicle Cargo Ships",JB_S,"",JB_27U,"&lt;&gt;")+SUMIFS(JB_27S,JB_B,1,JB_W,"Cargo &amp; Vehicle Cargo Ships",JB_S,"",JB_27U,"")+SUMIFS(JB_27U,JB_B,1,JB_W,"Cargo &amp; Vehicle Cargo Ships",JB_S,"[PARENT]",JB_27U,"&lt;&gt;")+SUMIFS(JB_27S,JB_B,1,JB_W,"Cargo &amp; Vehicle Cargo Ships",JB_S,"[PARENT]",JB_27U,"")</f>
        <v/>
      </c>
      <c r="J44" s="87">
        <f>SUMIFS(JB_27U,JB_B,1,JB_W,"Unmanned Surface Vehicles",JB_S,"",JB_27U,"&lt;&gt;")+SUMIFS(JB_27S,JB_B,1,JB_W,"Unmanned Surface Vehicles",JB_S,"",JB_27U,"")+SUMIFS(JB_27U,JB_B,1,JB_W,"Unmanned Surface Vehicles",JB_S,"[PARENT]",JB_27U,"&lt;&gt;")+SUMIFS(JB_27S,JB_B,1,JB_W,"Unmanned Surface Vehicles",JB_S,"[PARENT]",JB_27U,"")</f>
        <v/>
      </c>
      <c r="K44" s="87">
        <f>SUM(B44:J44)</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c r="C4" s="82" t="n"/>
      <c r="D4" s="82" t="n"/>
      <c r="E4" s="82" t="n"/>
      <c r="F4" s="82" t="n"/>
      <c r="G4" s="82" t="n"/>
      <c r="H4" s="82" t="n"/>
      <c r="I4" s="82" t="n"/>
      <c r="J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91" t="inlineStr">
        <is>
          <t>MRO TAM</t>
        </is>
      </c>
      <c r="B9" s="92">
        <f>B17</f>
        <v/>
      </c>
    </row>
    <row r="10" ht="10" customHeight="1"/>
    <row r="11" ht="10" customHeight="1">
      <c r="A11" s="81" t="inlineStr">
        <is>
          <t>(B) MRO TAM by Work Type</t>
        </is>
      </c>
      <c r="B11" s="82" t="n"/>
      <c r="C11" s="82" t="n"/>
      <c r="D11" s="82" t="n"/>
      <c r="E11" s="82" t="n"/>
      <c r="F11" s="82" t="n"/>
      <c r="G11" s="82" t="n"/>
      <c r="H11" s="82" t="n"/>
      <c r="I11" s="82" t="n"/>
      <c r="J11" s="82" t="n"/>
    </row>
    <row r="12" ht="10" customHeight="1">
      <c r="A12" s="83" t="inlineStr">
        <is>
          <t>Work Type</t>
        </is>
      </c>
      <c r="B12" s="83" t="inlineStr">
        <is>
          <t>FY2027 ($K)</t>
        </is>
      </c>
      <c r="C12" s="83" t="inlineStr">
        <is>
          <t>% of TAM</t>
        </is>
      </c>
    </row>
    <row r="13" ht="10" customHeight="1">
      <c r="A13" s="84" t="inlineStr">
        <is>
          <t>Modernization</t>
        </is>
      </c>
      <c r="B13"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3" s="93">
        <f>IFERROR(B13/B$17,0)</f>
        <v/>
      </c>
    </row>
    <row r="14" ht="10" customHeight="1">
      <c r="A14" s="84" t="inlineStr">
        <is>
          <t>Major Life-Cycle Events / RCOH</t>
        </is>
      </c>
      <c r="B14"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4" s="93">
        <f>IFERROR(B14/B$17,0)</f>
        <v/>
      </c>
    </row>
    <row r="15" ht="10" customHeight="1">
      <c r="A15" s="84" t="inlineStr">
        <is>
          <t>Sustainment Engineering</t>
        </is>
      </c>
      <c r="B15"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5" s="93">
        <f>IFERROR(B15/B$17,0)</f>
        <v/>
      </c>
    </row>
    <row r="16" ht="10" customHeight="1">
      <c r="A16" s="84" t="inlineStr">
        <is>
          <t>Availability Support</t>
        </is>
      </c>
      <c r="B16"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6" s="93">
        <f>IFERROR(B16/B$17,0)</f>
        <v/>
      </c>
    </row>
    <row r="17" ht="10" customHeight="1">
      <c r="A17" s="86" t="inlineStr">
        <is>
          <t>MRO TAM</t>
        </is>
      </c>
      <c r="B17" s="87">
        <f>SUM(B13:B16)</f>
        <v/>
      </c>
      <c r="C17" s="94" t="n">
        <v>1</v>
      </c>
    </row>
    <row r="18" ht="10" customHeight="1"/>
    <row r="19" ht="10" customHeight="1">
      <c r="A19" s="81" t="inlineStr">
        <is>
          <t>(C) MRO TAM by Vessel Type</t>
        </is>
      </c>
      <c r="B19" s="82" t="n"/>
      <c r="C19" s="82" t="n"/>
      <c r="D19" s="82" t="n"/>
      <c r="E19" s="82" t="n"/>
      <c r="F19" s="82" t="n"/>
      <c r="G19" s="82" t="n"/>
      <c r="H19" s="82" t="n"/>
      <c r="I19" s="82" t="n"/>
      <c r="J19" s="82" t="n"/>
    </row>
    <row r="20" ht="10" customHeight="1">
      <c r="A20" s="83" t="inlineStr">
        <is>
          <t>Vessel Type</t>
        </is>
      </c>
      <c r="B20" s="83" t="inlineStr">
        <is>
          <t>Service</t>
        </is>
      </c>
      <c r="C20" s="83" t="inlineStr">
        <is>
          <t>FY2027 ($K)</t>
        </is>
      </c>
      <c r="D20" s="83" t="inlineStr">
        <is>
          <t>% of TAM</t>
        </is>
      </c>
    </row>
    <row r="21" ht="10" customHeight="1">
      <c r="A21" s="84" t="inlineStr">
        <is>
          <t>Submarines</t>
        </is>
      </c>
      <c r="B21" s="84" t="inlineStr">
        <is>
          <t>USN</t>
        </is>
      </c>
      <c r="C21"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1" s="93">
        <f>IFERROR(C21/C$49,0)</f>
        <v/>
      </c>
    </row>
    <row r="22" ht="10" customHeight="1">
      <c r="A22" s="84" t="inlineStr">
        <is>
          <t>Surface Combatants</t>
        </is>
      </c>
      <c r="B22" s="84" t="inlineStr">
        <is>
          <t>USN</t>
        </is>
      </c>
      <c r="C22"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2" s="93">
        <f>IFERROR(C22/C$49,0)</f>
        <v/>
      </c>
    </row>
    <row r="23" ht="10" customHeight="1">
      <c r="A23" s="84" t="inlineStr">
        <is>
          <t>Aircraft Carriers</t>
        </is>
      </c>
      <c r="B23" s="84" t="inlineStr">
        <is>
          <t>USN</t>
        </is>
      </c>
      <c r="C23"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3" s="93">
        <f>IFERROR(C23/C$49,0)</f>
        <v/>
      </c>
    </row>
    <row r="24" ht="10" customHeight="1">
      <c r="A24" s="84" t="inlineStr">
        <is>
          <t>Amphibious Warfare Ships</t>
        </is>
      </c>
      <c r="B24" s="84" t="inlineStr">
        <is>
          <t>USN</t>
        </is>
      </c>
      <c r="C24"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4" s="93">
        <f>IFERROR(C24/C$49,0)</f>
        <v/>
      </c>
    </row>
    <row r="25" ht="10" customHeight="1">
      <c r="A25" s="84" t="inlineStr">
        <is>
          <t>Surveillance Ships</t>
        </is>
      </c>
      <c r="B25" s="84" t="inlineStr">
        <is>
          <t>USN</t>
        </is>
      </c>
      <c r="C25"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5" s="93">
        <f>IFERROR(C25/C$49,0)</f>
        <v/>
      </c>
    </row>
    <row r="26" ht="10" customHeight="1">
      <c r="A26" s="84" t="inlineStr">
        <is>
          <t>Expeditionary &amp; Seabasing Ships</t>
        </is>
      </c>
      <c r="B26" s="84" t="inlineStr">
        <is>
          <t>USN</t>
        </is>
      </c>
      <c r="C26"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6" s="93">
        <f>IFERROR(C26/C$49,0)</f>
        <v/>
      </c>
    </row>
    <row r="27" ht="10" customHeight="1">
      <c r="A27" s="84" t="inlineStr">
        <is>
          <t>Command Ships</t>
        </is>
      </c>
      <c r="B27" s="84" t="inlineStr">
        <is>
          <t>USN</t>
        </is>
      </c>
      <c r="C27"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7" s="93">
        <f>IFERROR(C27/C$49,0)</f>
        <v/>
      </c>
    </row>
    <row r="28" ht="10" customHeight="1">
      <c r="A28" s="84" t="inlineStr">
        <is>
          <t>Combat Logistics Ships</t>
        </is>
      </c>
      <c r="B28" s="84" t="inlineStr">
        <is>
          <t>MSC</t>
        </is>
      </c>
      <c r="C28"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28" s="93">
        <f>IFERROR(C28/C$49,0)</f>
        <v/>
      </c>
    </row>
    <row r="29" ht="10" customHeight="1">
      <c r="A29" s="84" t="inlineStr">
        <is>
          <t>Submarine Escort Ship</t>
        </is>
      </c>
      <c r="B29" s="84" t="inlineStr">
        <is>
          <t>USN</t>
        </is>
      </c>
      <c r="C29"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29" s="93">
        <f>IFERROR(C29/C$49,0)</f>
        <v/>
      </c>
    </row>
    <row r="30" ht="10" customHeight="1">
      <c r="A30" s="84" t="inlineStr">
        <is>
          <t>High Speed Transport</t>
        </is>
      </c>
      <c r="B30" s="84" t="inlineStr">
        <is>
          <t>USN</t>
        </is>
      </c>
      <c r="C30"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0" s="93">
        <f>IFERROR(C30/C$49,0)</f>
        <v/>
      </c>
    </row>
    <row r="31" ht="10" customHeight="1">
      <c r="A31" s="84" t="inlineStr">
        <is>
          <t>Crane Ship</t>
        </is>
      </c>
      <c r="B31" s="84" t="inlineStr">
        <is>
          <t>USN</t>
        </is>
      </c>
      <c r="C31"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1" s="93">
        <f>IFERROR(C31/C$49,0)</f>
        <v/>
      </c>
    </row>
    <row r="32" ht="10" customHeight="1">
      <c r="A32" s="84" t="inlineStr">
        <is>
          <t>Aviation Logistics Support Ship</t>
        </is>
      </c>
      <c r="B32" s="84" t="inlineStr">
        <is>
          <t>USN</t>
        </is>
      </c>
      <c r="C32"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2" s="93">
        <f>IFERROR(C32/C$49,0)</f>
        <v/>
      </c>
    </row>
    <row r="33" ht="10" customHeight="1">
      <c r="A33" s="84" t="inlineStr">
        <is>
          <t>Material Support Ships</t>
        </is>
      </c>
      <c r="B33" s="84" t="inlineStr">
        <is>
          <t>USN</t>
        </is>
      </c>
      <c r="C33"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3" s="93">
        <f>IFERROR(C33/C$49,0)</f>
        <v/>
      </c>
    </row>
    <row r="34" ht="10" customHeight="1">
      <c r="A34" s="84" t="inlineStr">
        <is>
          <t>Research, Survey &amp; Instrumentation Ships</t>
        </is>
      </c>
      <c r="B34" s="84" t="inlineStr">
        <is>
          <t>MSC</t>
        </is>
      </c>
      <c r="C34"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4" s="93">
        <f>IFERROR(C34/C$49,0)</f>
        <v/>
      </c>
    </row>
    <row r="35" ht="10" customHeight="1">
      <c r="A35" s="84" t="inlineStr">
        <is>
          <t>Salvage Ships &amp; Fleet Ocean Tugs</t>
        </is>
      </c>
      <c r="B35" s="84" t="inlineStr">
        <is>
          <t>MSC</t>
        </is>
      </c>
      <c r="C35"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5" s="93">
        <f>IFERROR(C35/C$49,0)</f>
        <v/>
      </c>
    </row>
    <row r="36" ht="10" customHeight="1">
      <c r="A36" s="84" t="inlineStr">
        <is>
          <t>Hospital Ship</t>
        </is>
      </c>
      <c r="B36" s="84" t="inlineStr">
        <is>
          <t>MSC</t>
        </is>
      </c>
      <c r="C36"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6" s="93">
        <f>IFERROR(C36/C$49,0)</f>
        <v/>
      </c>
    </row>
    <row r="37" ht="10" customHeight="1">
      <c r="A37" s="84" t="inlineStr">
        <is>
          <t>Cargo &amp; Vehicle Cargo Ships</t>
        </is>
      </c>
      <c r="B37" s="84" t="inlineStr">
        <is>
          <t>USN</t>
        </is>
      </c>
      <c r="C37"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7" s="93">
        <f>IFERROR(C37/C$49,0)</f>
        <v/>
      </c>
    </row>
    <row r="38" ht="10" customHeight="1">
      <c r="A38" s="84" t="inlineStr">
        <is>
          <t>Unmanned Undersea Vehicles</t>
        </is>
      </c>
      <c r="B38" s="84" t="inlineStr">
        <is>
          <t>USN</t>
        </is>
      </c>
      <c r="C3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8" s="93">
        <f>IFERROR(C38/C$49,0)</f>
        <v/>
      </c>
    </row>
    <row r="39" ht="10" customHeight="1">
      <c r="A39" s="84" t="inlineStr">
        <is>
          <t>General Auxiliary</t>
        </is>
      </c>
      <c r="B39" s="84" t="inlineStr">
        <is>
          <t>USN</t>
        </is>
      </c>
      <c r="C39"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9" s="93">
        <f>IFERROR(C39/C$49,0)</f>
        <v/>
      </c>
    </row>
    <row r="40" ht="10" customHeight="1">
      <c r="A40" s="84" t="inlineStr">
        <is>
          <t>Unmanned Surface Vehicles</t>
        </is>
      </c>
      <c r="B40" s="84" t="inlineStr">
        <is>
          <t>USN</t>
        </is>
      </c>
      <c r="C40"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40" s="93">
        <f>IFERROR(C40/C$49,0)</f>
        <v/>
      </c>
    </row>
    <row r="41" ht="10" customHeight="1">
      <c r="A41" s="84" t="inlineStr">
        <is>
          <t>Mine Warfare</t>
        </is>
      </c>
      <c r="B41" s="84" t="inlineStr">
        <is>
          <t>USN</t>
        </is>
      </c>
      <c r="C41"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41" s="93">
        <f>IFERROR(C41/C$49,0)</f>
        <v/>
      </c>
    </row>
    <row r="42" ht="10" customHeight="1">
      <c r="A42" s="84" t="inlineStr">
        <is>
          <t>Fast Response Cutters</t>
        </is>
      </c>
      <c r="B42" s="84" t="inlineStr">
        <is>
          <t>USCG</t>
        </is>
      </c>
      <c r="C42"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2" s="93">
        <f>IFERROR(C42/C$49,0)</f>
        <v/>
      </c>
    </row>
    <row r="43" ht="10" customHeight="1">
      <c r="A43" s="84" t="inlineStr">
        <is>
          <t>Icebreakers, Great Lakes</t>
        </is>
      </c>
      <c r="B43" s="84" t="inlineStr">
        <is>
          <t>USCG</t>
        </is>
      </c>
      <c r="C43"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3" s="93">
        <f>IFERROR(C43/C$49,0)</f>
        <v/>
      </c>
    </row>
    <row r="44" ht="10" customHeight="1">
      <c r="A44" s="84" t="inlineStr">
        <is>
          <t>Waterways Commerce Cutters</t>
        </is>
      </c>
      <c r="B44" s="84" t="inlineStr">
        <is>
          <t>USCG</t>
        </is>
      </c>
      <c r="C44"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4" s="93">
        <f>IFERROR(C44/C$49,0)</f>
        <v/>
      </c>
    </row>
    <row r="45" ht="10" customHeight="1">
      <c r="A45" s="84" t="inlineStr">
        <is>
          <t>National Security Cutters</t>
        </is>
      </c>
      <c r="B45" s="84" t="inlineStr">
        <is>
          <t>USCG</t>
        </is>
      </c>
      <c r="C45"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5" s="93">
        <f>IFERROR(C45/C$49,0)</f>
        <v/>
      </c>
    </row>
    <row r="46" ht="10" customHeight="1">
      <c r="A46" s="84" t="inlineStr">
        <is>
          <t>Coastal Buoy Tenders</t>
        </is>
      </c>
      <c r="B46" s="84" t="inlineStr">
        <is>
          <t>USCG</t>
        </is>
      </c>
      <c r="C46"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6" s="93">
        <f>IFERROR(C46/C$49,0)</f>
        <v/>
      </c>
    </row>
    <row r="47" ht="10" customHeight="1">
      <c r="A47" s="84" t="inlineStr">
        <is>
          <t>Icebreakers, Oceangoing</t>
        </is>
      </c>
      <c r="B47" s="84" t="inlineStr">
        <is>
          <t>USCG</t>
        </is>
      </c>
      <c r="C47"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7" s="93">
        <f>IFERROR(C47/C$49,0)</f>
        <v/>
      </c>
    </row>
    <row r="48" ht="10" customHeight="1">
      <c r="A48" s="84" t="inlineStr">
        <is>
          <t>Offshore Patrol Cutter</t>
        </is>
      </c>
      <c r="B48" s="84" t="inlineStr">
        <is>
          <t>USCG</t>
        </is>
      </c>
      <c r="C48"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8" s="93">
        <f>IFERROR(C48/C$49,0)</f>
        <v/>
      </c>
    </row>
    <row r="49" ht="10" customHeight="1">
      <c r="A49" s="86" t="inlineStr">
        <is>
          <t>MRO TAM</t>
        </is>
      </c>
      <c r="B49" s="86" t="inlineStr"/>
      <c r="C49" s="87">
        <f>SUM(C21:C48)</f>
        <v/>
      </c>
      <c r="D49" s="94" t="n">
        <v>1</v>
      </c>
    </row>
    <row r="50" ht="10" customHeight="1"/>
    <row r="51" ht="10" customHeight="1">
      <c r="A51" s="81" t="inlineStr">
        <is>
          <t>(D) MRO TAM — Work Type by Vessel Type (Mekko)</t>
        </is>
      </c>
      <c r="B51" s="82" t="n"/>
      <c r="C51" s="82" t="n"/>
      <c r="D51" s="82" t="n"/>
      <c r="E51" s="82" t="n"/>
      <c r="F51" s="82" t="n"/>
      <c r="G51" s="82" t="n"/>
      <c r="H51" s="82" t="n"/>
      <c r="I51" s="82" t="n"/>
      <c r="J51" s="82" t="n"/>
    </row>
    <row r="52" ht="10" customHeight="1">
      <c r="A52" s="83" t="inlineStr">
        <is>
          <t>Work Type</t>
        </is>
      </c>
      <c r="B52" s="83" t="inlineStr">
        <is>
          <t>Submarines</t>
        </is>
      </c>
      <c r="C52" s="83" t="inlineStr">
        <is>
          <t>Surface Combatants</t>
        </is>
      </c>
      <c r="D52" s="83" t="inlineStr">
        <is>
          <t>Aircraft Carriers</t>
        </is>
      </c>
      <c r="E52" s="83" t="inlineStr">
        <is>
          <t>Amphibious Warfare Ships</t>
        </is>
      </c>
      <c r="F52" s="83" t="inlineStr">
        <is>
          <t>Surveillance Ships</t>
        </is>
      </c>
      <c r="G52" s="83" t="inlineStr">
        <is>
          <t>Expeditionary &amp; Seabasing Ships</t>
        </is>
      </c>
      <c r="H52" s="83" t="inlineStr">
        <is>
          <t>Command Ships</t>
        </is>
      </c>
      <c r="I52" s="83" t="inlineStr">
        <is>
          <t>Total</t>
        </is>
      </c>
    </row>
    <row r="53" ht="10" customHeight="1">
      <c r="A53" s="84" t="inlineStr">
        <is>
          <t>Modernization</t>
        </is>
      </c>
      <c r="B53" s="93">
        <f>IFERROR((SUMIFS(JB_27U,JB_B,4,JB_W,"Submarines",JB_S,"",JB_27U,"&lt;&gt;")+SUMIFS(JB_27S,JB_B,4,JB_W,"Submarines",JB_S,"",JB_27U,"")+SUMIFS(JB_27U,JB_B,4,JB_W,"Submarines",JB_S,"[PARENT]",JB_27U,"&lt;&gt;")+SUMIFS(JB_27S,JB_B,4,JB_W,"Submarines",JB_S,"[PARENT]",JB_27U,""))/B$57,0)</f>
        <v/>
      </c>
      <c r="C53" s="93">
        <f>IFERROR((SUMIFS(JB_27U,JB_B,4,JB_W,"Surface Combatants",JB_S,"",JB_27U,"&lt;&gt;")+SUMIFS(JB_27S,JB_B,4,JB_W,"Surface Combatants",JB_S,"",JB_27U,"")+SUMIFS(JB_27U,JB_B,4,JB_W,"Surface Combatants",JB_S,"[PARENT]",JB_27U,"&lt;&gt;")+SUMIFS(JB_27S,JB_B,4,JB_W,"Surface Combatants",JB_S,"[PARENT]",JB_27U,""))/C$57,0)</f>
        <v/>
      </c>
      <c r="D53" s="93">
        <f>IFERROR((SUMIFS(JB_27U,JB_B,4,JB_W,"Aircraft Carriers",JB_S,"",JB_27U,"&lt;&gt;")+SUMIFS(JB_27S,JB_B,4,JB_W,"Aircraft Carriers",JB_S,"",JB_27U,"")+SUMIFS(JB_27U,JB_B,4,JB_W,"Aircraft Carriers",JB_S,"[PARENT]",JB_27U,"&lt;&gt;")+SUMIFS(JB_27S,JB_B,4,JB_W,"Aircraft Carriers",JB_S,"[PARENT]",JB_27U,""))/D$57,0)</f>
        <v/>
      </c>
      <c r="E53" s="93">
        <f>IFERROR((SUMIFS(JB_27U,JB_B,4,JB_W,"Amphibious Warfare Ships",JB_S,"",JB_27U,"&lt;&gt;")+SUMIFS(JB_27S,JB_B,4,JB_W,"Amphibious Warfare Ships",JB_S,"",JB_27U,"")+SUMIFS(JB_27U,JB_B,4,JB_W,"Amphibious Warfare Ships",JB_S,"[PARENT]",JB_27U,"&lt;&gt;")+SUMIFS(JB_27S,JB_B,4,JB_W,"Amphibious Warfare Ships",JB_S,"[PARENT]",JB_27U,""))/E$57,0)</f>
        <v/>
      </c>
      <c r="F53" s="93">
        <f>IFERROR((SUMIFS(JB_27U,JB_B,4,JB_W,"Surveillance Ships",JB_S,"",JB_27U,"&lt;&gt;")+SUMIFS(JB_27S,JB_B,4,JB_W,"Surveillance Ships",JB_S,"",JB_27U,"")+SUMIFS(JB_27U,JB_B,4,JB_W,"Surveillance Ships",JB_S,"[PARENT]",JB_27U,"&lt;&gt;")+SUMIFS(JB_27S,JB_B,4,JB_W,"Surveillance Ships",JB_S,"[PARENT]",JB_27U,""))/F$57,0)</f>
        <v/>
      </c>
      <c r="G53" s="93">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Ships",JB_S,"[PARENT]",JB_27U,""))/G$57,0)</f>
        <v/>
      </c>
      <c r="H53" s="93">
        <f>IFERROR((SUMIFS(JB_27U,JB_B,4,JB_W,"Command Ships",JB_S,"",JB_27U,"&lt;&gt;")+SUMIFS(JB_27S,JB_B,4,JB_W,"Command Ships",JB_S,"",JB_27U,"")+SUMIFS(JB_27U,JB_B,4,JB_W,"Command Ships",JB_S,"[PARENT]",JB_27U,"&lt;&gt;")+SUMIFS(JB_27S,JB_B,4,JB_W,"Command Ships",JB_S,"[PARENT]",JB_27U,""))/H$57,0)</f>
        <v/>
      </c>
      <c r="I53" s="93">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Platforms",JB_S,"[PARENT]",JB_27U,""))/I$57,0)</f>
        <v/>
      </c>
    </row>
    <row r="54" ht="10" customHeight="1">
      <c r="A54" s="84" t="inlineStr">
        <is>
          <t>Major Life-Cycle Events / RCOH</t>
        </is>
      </c>
      <c r="B54" s="93">
        <f>IFERROR((SUMIFS(JB_27U,JB_B,5,JB_W,"Submarines",JB_S,"",JB_27U,"&lt;&gt;")+SUMIFS(JB_27S,JB_B,5,JB_W,"Submarines",JB_S,"",JB_27U,"")+SUMIFS(JB_27U,JB_B,5,JB_W,"Submarines",JB_S,"[PARENT]",JB_27U,"&lt;&gt;")+SUMIFS(JB_27S,JB_B,5,JB_W,"Submarines",JB_S,"[PARENT]",JB_27U,""))/B$57,0)</f>
        <v/>
      </c>
      <c r="C54" s="93">
        <f>IFERROR((SUMIFS(JB_27U,JB_B,5,JB_W,"Surface Combatants",JB_S,"",JB_27U,"&lt;&gt;")+SUMIFS(JB_27S,JB_B,5,JB_W,"Surface Combatants",JB_S,"",JB_27U,"")+SUMIFS(JB_27U,JB_B,5,JB_W,"Surface Combatants",JB_S,"[PARENT]",JB_27U,"&lt;&gt;")+SUMIFS(JB_27S,JB_B,5,JB_W,"Surface Combatants",JB_S,"[PARENT]",JB_27U,""))/C$57,0)</f>
        <v/>
      </c>
      <c r="D54" s="93">
        <f>IFERROR((SUMIFS(JB_27U,JB_B,5,JB_W,"Aircraft Carriers",JB_S,"",JB_27U,"&lt;&gt;")+SUMIFS(JB_27S,JB_B,5,JB_W,"Aircraft Carriers",JB_S,"",JB_27U,"")+SUMIFS(JB_27U,JB_B,5,JB_W,"Aircraft Carriers",JB_S,"[PARENT]",JB_27U,"&lt;&gt;")+SUMIFS(JB_27S,JB_B,5,JB_W,"Aircraft Carriers",JB_S,"[PARENT]",JB_27U,""))/D$57,0)</f>
        <v/>
      </c>
      <c r="E54" s="93">
        <f>IFERROR((SUMIFS(JB_27U,JB_B,5,JB_W,"Amphibious Warfare Ships",JB_S,"",JB_27U,"&lt;&gt;")+SUMIFS(JB_27S,JB_B,5,JB_W,"Amphibious Warfare Ships",JB_S,"",JB_27U,"")+SUMIFS(JB_27U,JB_B,5,JB_W,"Amphibious Warfare Ships",JB_S,"[PARENT]",JB_27U,"&lt;&gt;")+SUMIFS(JB_27S,JB_B,5,JB_W,"Amphibious Warfare Ships",JB_S,"[PARENT]",JB_27U,""))/E$57,0)</f>
        <v/>
      </c>
      <c r="F54" s="93">
        <f>IFERROR((SUMIFS(JB_27U,JB_B,5,JB_W,"Surveillance Ships",JB_S,"",JB_27U,"&lt;&gt;")+SUMIFS(JB_27S,JB_B,5,JB_W,"Surveillance Ships",JB_S,"",JB_27U,"")+SUMIFS(JB_27U,JB_B,5,JB_W,"Surveillance Ships",JB_S,"[PARENT]",JB_27U,"&lt;&gt;")+SUMIFS(JB_27S,JB_B,5,JB_W,"Surveillance Ships",JB_S,"[PARENT]",JB_27U,""))/F$57,0)</f>
        <v/>
      </c>
      <c r="G54" s="93">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Ships",JB_S,"[PARENT]",JB_27U,""))/G$57,0)</f>
        <v/>
      </c>
      <c r="H54" s="93">
        <f>IFERROR((SUMIFS(JB_27U,JB_B,5,JB_W,"Command Ships",JB_S,"",JB_27U,"&lt;&gt;")+SUMIFS(JB_27S,JB_B,5,JB_W,"Command Ships",JB_S,"",JB_27U,"")+SUMIFS(JB_27U,JB_B,5,JB_W,"Command Ships",JB_S,"[PARENT]",JB_27U,"&lt;&gt;")+SUMIFS(JB_27S,JB_B,5,JB_W,"Command Ships",JB_S,"[PARENT]",JB_27U,""))/H$57,0)</f>
        <v/>
      </c>
      <c r="I54" s="93">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Platforms",JB_S,"[PARENT]",JB_27U,""))/I$57,0)</f>
        <v/>
      </c>
    </row>
    <row r="55" ht="10" customHeight="1">
      <c r="A55" s="84" t="inlineStr">
        <is>
          <t>Sustainment Engineering</t>
        </is>
      </c>
      <c r="B55" s="93">
        <f>IFERROR((SUMIFS(JB_27U,JB_B,6,JB_W,"Submarines",JB_S,"",JB_27U,"&lt;&gt;")+SUMIFS(JB_27S,JB_B,6,JB_W,"Submarines",JB_S,"",JB_27U,"")+SUMIFS(JB_27U,JB_B,6,JB_W,"Submarines",JB_S,"[PARENT]",JB_27U,"&lt;&gt;")+SUMIFS(JB_27S,JB_B,6,JB_W,"Submarines",JB_S,"[PARENT]",JB_27U,""))/B$57,0)</f>
        <v/>
      </c>
      <c r="C55" s="93">
        <f>IFERROR((SUMIFS(JB_27U,JB_B,6,JB_W,"Surface Combatants",JB_S,"",JB_27U,"&lt;&gt;")+SUMIFS(JB_27S,JB_B,6,JB_W,"Surface Combatants",JB_S,"",JB_27U,"")+SUMIFS(JB_27U,JB_B,6,JB_W,"Surface Combatants",JB_S,"[PARENT]",JB_27U,"&lt;&gt;")+SUMIFS(JB_27S,JB_B,6,JB_W,"Surface Combatants",JB_S,"[PARENT]",JB_27U,""))/C$57,0)</f>
        <v/>
      </c>
      <c r="D55" s="93">
        <f>IFERROR((SUMIFS(JB_27U,JB_B,6,JB_W,"Aircraft Carriers",JB_S,"",JB_27U,"&lt;&gt;")+SUMIFS(JB_27S,JB_B,6,JB_W,"Aircraft Carriers",JB_S,"",JB_27U,"")+SUMIFS(JB_27U,JB_B,6,JB_W,"Aircraft Carriers",JB_S,"[PARENT]",JB_27U,"&lt;&gt;")+SUMIFS(JB_27S,JB_B,6,JB_W,"Aircraft Carriers",JB_S,"[PARENT]",JB_27U,""))/D$57,0)</f>
        <v/>
      </c>
      <c r="E55" s="93">
        <f>IFERROR((SUMIFS(JB_27U,JB_B,6,JB_W,"Amphibious Warfare Ships",JB_S,"",JB_27U,"&lt;&gt;")+SUMIFS(JB_27S,JB_B,6,JB_W,"Amphibious Warfare Ships",JB_S,"",JB_27U,"")+SUMIFS(JB_27U,JB_B,6,JB_W,"Amphibious Warfare Ships",JB_S,"[PARENT]",JB_27U,"&lt;&gt;")+SUMIFS(JB_27S,JB_B,6,JB_W,"Amphibious Warfare Ships",JB_S,"[PARENT]",JB_27U,""))/E$57,0)</f>
        <v/>
      </c>
      <c r="F55" s="93">
        <f>IFERROR((SUMIFS(JB_27U,JB_B,6,JB_W,"Surveillance Ships",JB_S,"",JB_27U,"&lt;&gt;")+SUMIFS(JB_27S,JB_B,6,JB_W,"Surveillance Ships",JB_S,"",JB_27U,"")+SUMIFS(JB_27U,JB_B,6,JB_W,"Surveillance Ships",JB_S,"[PARENT]",JB_27U,"&lt;&gt;")+SUMIFS(JB_27S,JB_B,6,JB_W,"Surveillance Ships",JB_S,"[PARENT]",JB_27U,""))/F$57,0)</f>
        <v/>
      </c>
      <c r="G55" s="93">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Ships",JB_S,"[PARENT]",JB_27U,""))/G$57,0)</f>
        <v/>
      </c>
      <c r="H55" s="93">
        <f>IFERROR((SUMIFS(JB_27U,JB_B,6,JB_W,"Command Ships",JB_S,"",JB_27U,"&lt;&gt;")+SUMIFS(JB_27S,JB_B,6,JB_W,"Command Ships",JB_S,"",JB_27U,"")+SUMIFS(JB_27U,JB_B,6,JB_W,"Command Ships",JB_S,"[PARENT]",JB_27U,"&lt;&gt;")+SUMIFS(JB_27S,JB_B,6,JB_W,"Command Ships",JB_S,"[PARENT]",JB_27U,""))/H$57,0)</f>
        <v/>
      </c>
      <c r="I55" s="93">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Platforms",JB_S,"[PARENT]",JB_27U,""))/I$57,0)</f>
        <v/>
      </c>
    </row>
    <row r="56" ht="10" customHeight="1">
      <c r="A56" s="84" t="inlineStr">
        <is>
          <t>Availability Support</t>
        </is>
      </c>
      <c r="B56" s="93">
        <f>IFERROR((SUMIFS(JB_27U,JB_B,7,JB_W,"Submarines",JB_S,"",JB_27U,"&lt;&gt;")+SUMIFS(JB_27S,JB_B,7,JB_W,"Submarines",JB_S,"",JB_27U,"")+SUMIFS(JB_27U,JB_B,7,JB_W,"Submarines",JB_S,"[PARENT]",JB_27U,"&lt;&gt;")+SUMIFS(JB_27S,JB_B,7,JB_W,"Submarines",JB_S,"[PARENT]",JB_27U,""))/B$57,0)</f>
        <v/>
      </c>
      <c r="C56" s="93">
        <f>IFERROR((SUMIFS(JB_27U,JB_B,7,JB_W,"Surface Combatants",JB_S,"",JB_27U,"&lt;&gt;")+SUMIFS(JB_27S,JB_B,7,JB_W,"Surface Combatants",JB_S,"",JB_27U,"")+SUMIFS(JB_27U,JB_B,7,JB_W,"Surface Combatants",JB_S,"[PARENT]",JB_27U,"&lt;&gt;")+SUMIFS(JB_27S,JB_B,7,JB_W,"Surface Combatants",JB_S,"[PARENT]",JB_27U,""))/C$57,0)</f>
        <v/>
      </c>
      <c r="D56" s="93">
        <f>IFERROR((SUMIFS(JB_27U,JB_B,7,JB_W,"Aircraft Carriers",JB_S,"",JB_27U,"&lt;&gt;")+SUMIFS(JB_27S,JB_B,7,JB_W,"Aircraft Carriers",JB_S,"",JB_27U,"")+SUMIFS(JB_27U,JB_B,7,JB_W,"Aircraft Carriers",JB_S,"[PARENT]",JB_27U,"&lt;&gt;")+SUMIFS(JB_27S,JB_B,7,JB_W,"Aircraft Carriers",JB_S,"[PARENT]",JB_27U,""))/D$57,0)</f>
        <v/>
      </c>
      <c r="E56" s="93">
        <f>IFERROR((SUMIFS(JB_27U,JB_B,7,JB_W,"Amphibious Warfare Ships",JB_S,"",JB_27U,"&lt;&gt;")+SUMIFS(JB_27S,JB_B,7,JB_W,"Amphibious Warfare Ships",JB_S,"",JB_27U,"")+SUMIFS(JB_27U,JB_B,7,JB_W,"Amphibious Warfare Ships",JB_S,"[PARENT]",JB_27U,"&lt;&gt;")+SUMIFS(JB_27S,JB_B,7,JB_W,"Amphibious Warfare Ships",JB_S,"[PARENT]",JB_27U,""))/E$57,0)</f>
        <v/>
      </c>
      <c r="F56" s="93">
        <f>IFERROR((SUMIFS(JB_27U,JB_B,7,JB_W,"Surveillance Ships",JB_S,"",JB_27U,"&lt;&gt;")+SUMIFS(JB_27S,JB_B,7,JB_W,"Surveillance Ships",JB_S,"",JB_27U,"")+SUMIFS(JB_27U,JB_B,7,JB_W,"Surveillance Ships",JB_S,"[PARENT]",JB_27U,"&lt;&gt;")+SUMIFS(JB_27S,JB_B,7,JB_W,"Surveillance Ships",JB_S,"[PARENT]",JB_27U,""))/F$57,0)</f>
        <v/>
      </c>
      <c r="G56" s="93">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Ships",JB_S,"[PARENT]",JB_27U,""))/G$57,0)</f>
        <v/>
      </c>
      <c r="H56" s="93">
        <f>IFERROR((SUMIFS(JB_27U,JB_B,7,JB_W,"Command Ships",JB_S,"",JB_27U,"&lt;&gt;")+SUMIFS(JB_27S,JB_B,7,JB_W,"Command Ships",JB_S,"",JB_27U,"")+SUMIFS(JB_27U,JB_B,7,JB_W,"Command Ships",JB_S,"[PARENT]",JB_27U,"&lt;&gt;")+SUMIFS(JB_27S,JB_B,7,JB_W,"Command Ships",JB_S,"[PARENT]",JB_27U,""))/H$57,0)</f>
        <v/>
      </c>
      <c r="I56" s="93">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Platforms",JB_S,"[PARENT]",JB_27U,""))/I$57,0)</f>
        <v/>
      </c>
    </row>
    <row r="57" ht="10" customHeight="1">
      <c r="A57" s="86" t="inlineStr">
        <is>
          <t>Total ($K)</t>
        </is>
      </c>
      <c r="B57" s="8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57"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57"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57"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57"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57"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57"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57" s="87">
        <f>SUM(B57:H57)</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c r="C4" s="82" t="n"/>
      <c r="D4" s="82" t="n"/>
      <c r="E4" s="82" t="n"/>
      <c r="F4" s="82" t="n"/>
    </row>
    <row r="5" ht="10" customHeight="1">
      <c r="A5" s="84" t="inlineStr">
        <is>
          <t>MRO TAM</t>
        </is>
      </c>
      <c r="B5" s="95">
        <f>'FY27 MRO TAM'!B17</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91" t="inlineStr">
        <is>
          <t>MRO SAM</t>
        </is>
      </c>
      <c r="B10" s="92">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c r="A12" s="81" t="inlineStr">
        <is>
          <t>(B) MRO SAM by Vessel Type</t>
        </is>
      </c>
      <c r="B12" s="82" t="n"/>
      <c r="C12" s="82" t="n"/>
      <c r="D12" s="82" t="n"/>
      <c r="E12" s="82" t="n"/>
      <c r="F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SUMIFS(JB_27U,JB_B,2,JB_W,"Surface Combatants",JB_S,"",JB_27U,"&lt;&gt;")+SUMIFS(JB_27S,JB_B,2,JB_W,"Surface Combatants",JB_S,"",JB_27U,"")+SUMIFS(JB_27U,JB_B,2,JB_W,"Surface Combatants",JB_S,"[PARENT]",JB_27U,"&lt;&gt;")+SUMIFS(JB_27S,JB_B,2,JB_W,"Surface Combatants",JB_S,"[PARENT]",JB_27U,"")</f>
        <v/>
      </c>
      <c r="D14" s="85">
        <f>SUMIFS(JB_27U,JB_B,4,JB_W,"Surface Combatants",JB_S,"",JB_27U,"&lt;&gt;")+SUMIFS(JB_27S,JB_B,4,JB_W,"Surface Combatants",JB_S,"",JB_27U,"")+SUMIFS(JB_27U,JB_B,4,JB_W,"Surface Combatants",JB_S,"[PARENT]",JB_27U,"&lt;&gt;")+SUMIFS(JB_27S,JB_B,4,JB_W,"Surface Combatants",JB_S,"[PARENT]",JB_27U,"")</f>
        <v/>
      </c>
      <c r="E14" s="85">
        <f>C14+D14</f>
        <v/>
      </c>
      <c r="F14" s="93">
        <f>IFERROR(E14/E$39,0)</f>
        <v/>
      </c>
    </row>
    <row r="15" ht="10" customHeight="1">
      <c r="A15" s="84" t="inlineStr">
        <is>
          <t>Amphibious Warfare Ships</t>
        </is>
      </c>
      <c r="B15" s="84" t="inlineStr">
        <is>
          <t>USN</t>
        </is>
      </c>
      <c r="C15" s="85">
        <f>SUMIFS(JB_27U,JB_B,2,JB_W,"Amphibious Warfare Ships",JB_S,"",JB_27U,"&lt;&gt;")+SUMIFS(JB_27S,JB_B,2,JB_W,"Amphibious Warfare Ships",JB_S,"",JB_27U,"")+SUMIFS(JB_27U,JB_B,2,JB_W,"Amphibious Warfare Ships",JB_S,"[PARENT]",JB_27U,"&lt;&gt;")+SUMIFS(JB_27S,JB_B,2,JB_W,"Amphibious Warfare Ships",JB_S,"[PARENT]",JB_27U,"")</f>
        <v/>
      </c>
      <c r="D15" s="85">
        <f>SUMIFS(JB_27U,JB_B,4,JB_W,"Amphibious Warfare Ships",JB_S,"",JB_27U,"&lt;&gt;")+SUMIFS(JB_27S,JB_B,4,JB_W,"Amphibious Warfare Ships",JB_S,"",JB_27U,"")+SUMIFS(JB_27U,JB_B,4,JB_W,"Amphibious Warfare Ships",JB_S,"[PARENT]",JB_27U,"&lt;&gt;")+SUMIFS(JB_27S,JB_B,4,JB_W,"Amphibious Warfare Ships",JB_S,"[PARENT]",JB_27U,"")</f>
        <v/>
      </c>
      <c r="E15" s="85">
        <f>C15+D15</f>
        <v/>
      </c>
      <c r="F15" s="93">
        <f>IFERROR(E15/E$39,0)</f>
        <v/>
      </c>
    </row>
    <row r="16" ht="10" customHeight="1">
      <c r="A16" s="84" t="inlineStr">
        <is>
          <t>Surveillance Ships</t>
        </is>
      </c>
      <c r="B16" s="84" t="inlineStr">
        <is>
          <t>USN</t>
        </is>
      </c>
      <c r="C16" s="85">
        <f>SUMIFS(JB_27U,JB_B,2,JB_W,"Surveillance Ships",JB_S,"",JB_27U,"&lt;&gt;")+SUMIFS(JB_27S,JB_B,2,JB_W,"Surveillance Ships",JB_S,"",JB_27U,"")+SUMIFS(JB_27U,JB_B,2,JB_W,"Surveillance Ships",JB_S,"[PARENT]",JB_27U,"&lt;&gt;")+SUMIFS(JB_27S,JB_B,2,JB_W,"Surveillance Ships",JB_S,"[PARENT]",JB_27U,"")</f>
        <v/>
      </c>
      <c r="D16" s="85">
        <f>SUMIFS(JB_27U,JB_B,4,JB_W,"Surveillance Ships",JB_S,"",JB_27U,"&lt;&gt;")+SUMIFS(JB_27S,JB_B,4,JB_W,"Surveillance Ships",JB_S,"",JB_27U,"")+SUMIFS(JB_27U,JB_B,4,JB_W,"Surveillance Ships",JB_S,"[PARENT]",JB_27U,"&lt;&gt;")+SUMIFS(JB_27S,JB_B,4,JB_W,"Surveillance Ships",JB_S,"[PARENT]",JB_27U,"")</f>
        <v/>
      </c>
      <c r="E16" s="85">
        <f>C16+D16</f>
        <v/>
      </c>
      <c r="F16" s="93">
        <f>IFERROR(E16/E$39,0)</f>
        <v/>
      </c>
    </row>
    <row r="17" ht="10" customHeight="1">
      <c r="A17" s="84" t="inlineStr">
        <is>
          <t>Combat Logistics Ships</t>
        </is>
      </c>
      <c r="B17" s="84" t="inlineStr">
        <is>
          <t>MSC</t>
        </is>
      </c>
      <c r="C17" s="85">
        <f>SUMIFS(JB_27U,JB_B,2,JB_W,"Combat Logistics Ships",JB_S,"",JB_27U,"&lt;&gt;")+SUMIFS(JB_27S,JB_B,2,JB_W,"Combat Logistics Ships",JB_S,"",JB_27U,"")+SUMIFS(JB_27U,JB_B,2,JB_W,"Combat Logistics Ships",JB_S,"[PARENT]",JB_27U,"&lt;&gt;")+SUMIFS(JB_27S,JB_B,2,JB_W,"Combat Logistics Ships",JB_S,"[PARENT]",JB_27U,"")</f>
        <v/>
      </c>
      <c r="D17" s="85">
        <f>SUMIFS(JB_27U,JB_B,4,JB_W,"Combat Logistics Ships",JB_S,"",JB_27U,"&lt;&gt;")+SUMIFS(JB_27S,JB_B,4,JB_W,"Combat Logistics Ships",JB_S,"",JB_27U,"")+SUMIFS(JB_27U,JB_B,4,JB_W,"Combat Logistics Ships",JB_S,"[PARENT]",JB_27U,"&lt;&gt;")+SUMIFS(JB_27S,JB_B,4,JB_W,"Combat Logistics Ships",JB_S,"[PARENT]",JB_27U,"")</f>
        <v/>
      </c>
      <c r="E17" s="85">
        <f>C17+D17</f>
        <v/>
      </c>
      <c r="F17" s="93">
        <f>IFERROR(E17/E$39,0)</f>
        <v/>
      </c>
    </row>
    <row r="18" ht="10" customHeight="1">
      <c r="A18" s="84" t="inlineStr">
        <is>
          <t>General Auxiliary</t>
        </is>
      </c>
      <c r="B18" s="84" t="inlineStr">
        <is>
          <t>USN</t>
        </is>
      </c>
      <c r="C18" s="85">
        <f>SUMIFS(JB_27U,JB_B,2,JB_W,"General Auxiliary",JB_S,"",JB_27U,"&lt;&gt;")+SUMIFS(JB_27S,JB_B,2,JB_W,"General Auxiliary",JB_S,"",JB_27U,"")+SUMIFS(JB_27U,JB_B,2,JB_W,"General Auxiliary",JB_S,"[PARENT]",JB_27U,"&lt;&gt;")+SUMIFS(JB_27S,JB_B,2,JB_W,"General Auxiliary",JB_S,"[PARENT]",JB_27U,"")</f>
        <v/>
      </c>
      <c r="D18" s="85">
        <f>SUMIFS(JB_27U,JB_B,4,JB_W,"General Auxiliary",JB_S,"",JB_27U,"&lt;&gt;")+SUMIFS(JB_27S,JB_B,4,JB_W,"General Auxiliary",JB_S,"",JB_27U,"")+SUMIFS(JB_27U,JB_B,4,JB_W,"General Auxiliary",JB_S,"[PARENT]",JB_27U,"&lt;&gt;")+SUMIFS(JB_27S,JB_B,4,JB_W,"General Auxiliary",JB_S,"[PARENT]",JB_27U,"")</f>
        <v/>
      </c>
      <c r="E18" s="85">
        <f>C18+D18</f>
        <v/>
      </c>
      <c r="F18" s="93">
        <f>IFERROR(E18/E$39,0)</f>
        <v/>
      </c>
    </row>
    <row r="19" ht="10" customHeight="1">
      <c r="A19" s="84" t="inlineStr">
        <is>
          <t>Submarine Escort Ship</t>
        </is>
      </c>
      <c r="B19" s="84" t="inlineStr">
        <is>
          <t>USN</t>
        </is>
      </c>
      <c r="C19" s="85">
        <f>SUMIFS(JB_27U,JB_B,2,JB_W,"Submarine Escort Ship",JB_S,"",JB_27U,"&lt;&gt;")+SUMIFS(JB_27S,JB_B,2,JB_W,"Submarine Escort Ship",JB_S,"",JB_27U,"")+SUMIFS(JB_27U,JB_B,2,JB_W,"Submarine Escort Ship",JB_S,"[PARENT]",JB_27U,"&lt;&gt;")+SUMIFS(JB_27S,JB_B,2,JB_W,"Submarine Escort Ship",JB_S,"[PARENT]",JB_27U,"")</f>
        <v/>
      </c>
      <c r="D19" s="85">
        <f>SUMIFS(JB_27U,JB_B,4,JB_W,"Submarine Escort Ship",JB_S,"",JB_27U,"&lt;&gt;")+SUMIFS(JB_27S,JB_B,4,JB_W,"Submarine Escort Ship",JB_S,"",JB_27U,"")+SUMIFS(JB_27U,JB_B,4,JB_W,"Submarine Escort Ship",JB_S,"[PARENT]",JB_27U,"&lt;&gt;")+SUMIFS(JB_27S,JB_B,4,JB_W,"Submarine Escort Ship",JB_S,"[PARENT]",JB_27U,"")</f>
        <v/>
      </c>
      <c r="E19" s="85">
        <f>C19+D19</f>
        <v/>
      </c>
      <c r="F19" s="93">
        <f>IFERROR(E19/E$39,0)</f>
        <v/>
      </c>
    </row>
    <row r="20" ht="10" customHeight="1">
      <c r="A20" s="84" t="inlineStr">
        <is>
          <t>Unmanned Surface Vehicles</t>
        </is>
      </c>
      <c r="B20" s="84" t="inlineStr">
        <is>
          <t>USN</t>
        </is>
      </c>
      <c r="C20" s="85">
        <f>SUMIFS(JB_27U,JB_B,2,JB_W,"Unmanned Surface Vehicles",JB_S,"",JB_27U,"&lt;&gt;")+SUMIFS(JB_27S,JB_B,2,JB_W,"Unmanned Surface Vehicles",JB_S,"",JB_27U,"")+SUMIFS(JB_27U,JB_B,2,JB_W,"Unmanned Surface Vehicles",JB_S,"[PARENT]",JB_27U,"&lt;&gt;")+SUMIFS(JB_27S,JB_B,2,JB_W,"Unmanned Surface Vehicles",JB_S,"[PARENT]",JB_27U,"")</f>
        <v/>
      </c>
      <c r="D20" s="85">
        <f>SUMIFS(JB_27U,JB_B,4,JB_W,"Unmanned Surface Vehicles",JB_S,"",JB_27U,"&lt;&gt;")+SUMIFS(JB_27S,JB_B,4,JB_W,"Unmanned Surface Vehicles",JB_S,"",JB_27U,"")+SUMIFS(JB_27U,JB_B,4,JB_W,"Unmanned Surface Vehicles",JB_S,"[PARENT]",JB_27U,"&lt;&gt;")+SUMIFS(JB_27S,JB_B,4,JB_W,"Unmanned Surface Vehicles",JB_S,"[PARENT]",JB_27U,"")</f>
        <v/>
      </c>
      <c r="E20" s="85">
        <f>C20+D20</f>
        <v/>
      </c>
      <c r="F20" s="93">
        <f>IFERROR(E20/E$39,0)</f>
        <v/>
      </c>
    </row>
    <row r="21" ht="10" customHeight="1">
      <c r="A21" s="84" t="inlineStr">
        <is>
          <t>Command Ships</t>
        </is>
      </c>
      <c r="B21" s="84" t="inlineStr">
        <is>
          <t>USN</t>
        </is>
      </c>
      <c r="C21" s="85">
        <f>SUMIFS(JB_27U,JB_B,2,JB_W,"Command Ships",JB_S,"",JB_27U,"&lt;&gt;")+SUMIFS(JB_27S,JB_B,2,JB_W,"Command Ships",JB_S,"",JB_27U,"")+SUMIFS(JB_27U,JB_B,2,JB_W,"Command Ships",JB_S,"[PARENT]",JB_27U,"&lt;&gt;")+SUMIFS(JB_27S,JB_B,2,JB_W,"Command Ships",JB_S,"[PARENT]",JB_27U,"")</f>
        <v/>
      </c>
      <c r="D21" s="85">
        <f>SUMIFS(JB_27U,JB_B,4,JB_W,"Command Ships",JB_S,"",JB_27U,"&lt;&gt;")+SUMIFS(JB_27S,JB_B,4,JB_W,"Command Ships",JB_S,"",JB_27U,"")+SUMIFS(JB_27U,JB_B,4,JB_W,"Command Ships",JB_S,"[PARENT]",JB_27U,"&lt;&gt;")+SUMIFS(JB_27S,JB_B,4,JB_W,"Command Ships",JB_S,"[PARENT]",JB_27U,"")</f>
        <v/>
      </c>
      <c r="E21" s="85">
        <f>C21+D21</f>
        <v/>
      </c>
      <c r="F21" s="93">
        <f>IFERROR(E21/E$39,0)</f>
        <v/>
      </c>
    </row>
    <row r="22" ht="10" customHeight="1">
      <c r="A22" s="84" t="inlineStr">
        <is>
          <t>High Speed Transport</t>
        </is>
      </c>
      <c r="B22" s="84" t="inlineStr">
        <is>
          <t>USN</t>
        </is>
      </c>
      <c r="C22" s="85">
        <f>SUMIFS(JB_27U,JB_B,2,JB_W,"High Speed Transport",JB_S,"",JB_27U,"&lt;&gt;")+SUMIFS(JB_27S,JB_B,2,JB_W,"High Speed Transport",JB_S,"",JB_27U,"")+SUMIFS(JB_27U,JB_B,2,JB_W,"High Speed Transport",JB_S,"[PARENT]",JB_27U,"&lt;&gt;")+SUMIFS(JB_27S,JB_B,2,JB_W,"High Speed Transport",JB_S,"[PARENT]",JB_27U,"")</f>
        <v/>
      </c>
      <c r="D22" s="85">
        <f>SUMIFS(JB_27U,JB_B,4,JB_W,"High Speed Transport",JB_S,"",JB_27U,"&lt;&gt;")+SUMIFS(JB_27S,JB_B,4,JB_W,"High Speed Transport",JB_S,"",JB_27U,"")+SUMIFS(JB_27U,JB_B,4,JB_W,"High Speed Transport",JB_S,"[PARENT]",JB_27U,"&lt;&gt;")+SUMIFS(JB_27S,JB_B,4,JB_W,"High Speed Transport",JB_S,"[PARENT]",JB_27U,"")</f>
        <v/>
      </c>
      <c r="E22" s="85">
        <f>C22+D22</f>
        <v/>
      </c>
      <c r="F22" s="93">
        <f>IFERROR(E22/E$39,0)</f>
        <v/>
      </c>
    </row>
    <row r="23" ht="10" customHeight="1">
      <c r="A23" s="84" t="inlineStr">
        <is>
          <t>Crane Ship</t>
        </is>
      </c>
      <c r="B23" s="84" t="inlineStr">
        <is>
          <t>USN</t>
        </is>
      </c>
      <c r="C23" s="85">
        <f>SUMIFS(JB_27U,JB_B,2,JB_W,"Crane Ship",JB_S,"",JB_27U,"&lt;&gt;")+SUMIFS(JB_27S,JB_B,2,JB_W,"Crane Ship",JB_S,"",JB_27U,"")+SUMIFS(JB_27U,JB_B,2,JB_W,"Crane Ship",JB_S,"[PARENT]",JB_27U,"&lt;&gt;")+SUMIFS(JB_27S,JB_B,2,JB_W,"Crane Ship",JB_S,"[PARENT]",JB_27U,"")</f>
        <v/>
      </c>
      <c r="D23" s="85">
        <f>SUMIFS(JB_27U,JB_B,4,JB_W,"Crane Ship",JB_S,"",JB_27U,"&lt;&gt;")+SUMIFS(JB_27S,JB_B,4,JB_W,"Crane Ship",JB_S,"",JB_27U,"")+SUMIFS(JB_27U,JB_B,4,JB_W,"Crane Ship",JB_S,"[PARENT]",JB_27U,"&lt;&gt;")+SUMIFS(JB_27S,JB_B,4,JB_W,"Crane Ship",JB_S,"[PARENT]",JB_27U,"")</f>
        <v/>
      </c>
      <c r="E23" s="85">
        <f>C23+D23</f>
        <v/>
      </c>
      <c r="F23" s="93">
        <f>IFERROR(E23/E$39,0)</f>
        <v/>
      </c>
    </row>
    <row r="24" ht="10" customHeight="1">
      <c r="A24" s="84" t="inlineStr">
        <is>
          <t>Aviation Logistics Support Ship</t>
        </is>
      </c>
      <c r="B24" s="84" t="inlineStr">
        <is>
          <t>USN</t>
        </is>
      </c>
      <c r="C24"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4"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4" s="85">
        <f>C24+D24</f>
        <v/>
      </c>
      <c r="F24" s="93">
        <f>IFERROR(E24/E$39,0)</f>
        <v/>
      </c>
    </row>
    <row r="25" ht="10" customHeight="1">
      <c r="A25" s="84" t="inlineStr">
        <is>
          <t>Material Support Ships</t>
        </is>
      </c>
      <c r="B25" s="84" t="inlineStr">
        <is>
          <t>USN</t>
        </is>
      </c>
      <c r="C25" s="85">
        <f>SUMIFS(JB_27U,JB_B,2,JB_W,"Material Support Ships",JB_S,"",JB_27U,"&lt;&gt;")+SUMIFS(JB_27S,JB_B,2,JB_W,"Material Support Ships",JB_S,"",JB_27U,"")+SUMIFS(JB_27U,JB_B,2,JB_W,"Material Support Ships",JB_S,"[PARENT]",JB_27U,"&lt;&gt;")+SUMIFS(JB_27S,JB_B,2,JB_W,"Material Support Ships",JB_S,"[PARENT]",JB_27U,"")</f>
        <v/>
      </c>
      <c r="D25" s="85">
        <f>SUMIFS(JB_27U,JB_B,4,JB_W,"Material Support Ships",JB_S,"",JB_27U,"&lt;&gt;")+SUMIFS(JB_27S,JB_B,4,JB_W,"Material Support Ships",JB_S,"",JB_27U,"")+SUMIFS(JB_27U,JB_B,4,JB_W,"Material Support Ships",JB_S,"[PARENT]",JB_27U,"&lt;&gt;")+SUMIFS(JB_27S,JB_B,4,JB_W,"Material Support Ships",JB_S,"[PARENT]",JB_27U,"")</f>
        <v/>
      </c>
      <c r="E25" s="85">
        <f>C25+D25</f>
        <v/>
      </c>
      <c r="F25" s="93">
        <f>IFERROR(E25/E$39,0)</f>
        <v/>
      </c>
    </row>
    <row r="26" ht="10" customHeight="1">
      <c r="A26" s="84" t="inlineStr">
        <is>
          <t>Research, Survey &amp; Instrumentation Ships</t>
        </is>
      </c>
      <c r="B26" s="84" t="inlineStr">
        <is>
          <t>MSC</t>
        </is>
      </c>
      <c r="C26"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6"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6" s="85">
        <f>C26+D26</f>
        <v/>
      </c>
      <c r="F26" s="93">
        <f>IFERROR(E26/E$39,0)</f>
        <v/>
      </c>
    </row>
    <row r="27" ht="10" customHeight="1">
      <c r="A27" s="84" t="inlineStr">
        <is>
          <t>Salvage Ships &amp; Fleet Ocean Tugs</t>
        </is>
      </c>
      <c r="B27" s="84" t="inlineStr">
        <is>
          <t>MSC</t>
        </is>
      </c>
      <c r="C27"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7"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7" s="85">
        <f>C27+D27</f>
        <v/>
      </c>
      <c r="F27" s="93">
        <f>IFERROR(E27/E$39,0)</f>
        <v/>
      </c>
    </row>
    <row r="28" ht="10" customHeight="1">
      <c r="A28" s="84" t="inlineStr">
        <is>
          <t>Expeditionary &amp; Seabasing Ships</t>
        </is>
      </c>
      <c r="B28" s="84" t="inlineStr">
        <is>
          <t>USN</t>
        </is>
      </c>
      <c r="C28"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8"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8" s="85">
        <f>C28+D28</f>
        <v/>
      </c>
      <c r="F28" s="93">
        <f>IFERROR(E28/E$39,0)</f>
        <v/>
      </c>
    </row>
    <row r="29" ht="10" customHeight="1">
      <c r="A29" s="84" t="inlineStr">
        <is>
          <t>Hospital Ship</t>
        </is>
      </c>
      <c r="B29" s="84" t="inlineStr">
        <is>
          <t>MSC</t>
        </is>
      </c>
      <c r="C29" s="85">
        <f>SUMIFS(JB_27U,JB_B,2,JB_W,"Hospital Ship",JB_S,"",JB_27U,"&lt;&gt;")+SUMIFS(JB_27S,JB_B,2,JB_W,"Hospital Ship",JB_S,"",JB_27U,"")+SUMIFS(JB_27U,JB_B,2,JB_W,"Hospital Ship",JB_S,"[PARENT]",JB_27U,"&lt;&gt;")+SUMIFS(JB_27S,JB_B,2,JB_W,"Hospital Ship",JB_S,"[PARENT]",JB_27U,"")</f>
        <v/>
      </c>
      <c r="D29" s="85">
        <f>SUMIFS(JB_27U,JB_B,4,JB_W,"Hospital Ship",JB_S,"",JB_27U,"&lt;&gt;")+SUMIFS(JB_27S,JB_B,4,JB_W,"Hospital Ship",JB_S,"",JB_27U,"")+SUMIFS(JB_27U,JB_B,4,JB_W,"Hospital Ship",JB_S,"[PARENT]",JB_27U,"&lt;&gt;")+SUMIFS(JB_27S,JB_B,4,JB_W,"Hospital Ship",JB_S,"[PARENT]",JB_27U,"")</f>
        <v/>
      </c>
      <c r="E29" s="85">
        <f>C29+D29</f>
        <v/>
      </c>
      <c r="F29" s="93">
        <f>IFERROR(E29/E$39,0)</f>
        <v/>
      </c>
    </row>
    <row r="30" ht="10" customHeight="1">
      <c r="A30" s="84" t="inlineStr">
        <is>
          <t>Cargo &amp; Vehicle Cargo Ships</t>
        </is>
      </c>
      <c r="B30" s="84" t="inlineStr">
        <is>
          <t>USN</t>
        </is>
      </c>
      <c r="C30" s="85">
        <f>SUMIFS(JB_27U,JB_B,2,JB_W,"Cargo &amp; Vehicle Cargo Ships",JB_S,"",JB_27U,"&lt;&gt;")+SUMIFS(JB_27S,JB_B,2,JB_W,"Cargo &amp; Vehicle Cargo Ships",JB_S,"",JB_27U,"")+SUMIFS(JB_27U,JB_B,2,JB_W,"Cargo &amp; Vehicle Cargo Ships",JB_S,"[PARENT]",JB_27U,"&lt;&gt;")+SUMIFS(JB_27S,JB_B,2,JB_W,"Cargo &amp; Vehicle Cargo Ships",JB_S,"[PARENT]",JB_27U,"")</f>
        <v/>
      </c>
      <c r="D30" s="85">
        <f>SUMIFS(JB_27U,JB_B,4,JB_W,"Cargo &amp; Vehicle Cargo Ships",JB_S,"",JB_27U,"&lt;&gt;")+SUMIFS(JB_27S,JB_B,4,JB_W,"Cargo &amp; Vehicle Cargo Ships",JB_S,"",JB_27U,"")+SUMIFS(JB_27U,JB_B,4,JB_W,"Cargo &amp; Vehicle Cargo Ships",JB_S,"[PARENT]",JB_27U,"&lt;&gt;")+SUMIFS(JB_27S,JB_B,4,JB_W,"Cargo &amp; Vehicle Cargo Ships",JB_S,"[PARENT]",JB_27U,"")</f>
        <v/>
      </c>
      <c r="E30" s="85">
        <f>C30+D30</f>
        <v/>
      </c>
      <c r="F30" s="93">
        <f>IFERROR(E30/E$39,0)</f>
        <v/>
      </c>
    </row>
    <row r="31" ht="10" customHeight="1">
      <c r="A31" s="84" t="inlineStr">
        <is>
          <t>Mine Warfare</t>
        </is>
      </c>
      <c r="B31" s="84" t="inlineStr">
        <is>
          <t>USN</t>
        </is>
      </c>
      <c r="C31" s="85">
        <f>SUMIFS(JB_27U,JB_B,2,JB_W,"Mine Warfare",JB_S,"",JB_27U,"&lt;&gt;")+SUMIFS(JB_27S,JB_B,2,JB_W,"Mine Warfare",JB_S,"",JB_27U,"")+SUMIFS(JB_27U,JB_B,2,JB_W,"Mine Warfare",JB_S,"[PARENT]",JB_27U,"&lt;&gt;")+SUMIFS(JB_27S,JB_B,2,JB_W,"Mine Warfare",JB_S,"[PARENT]",JB_27U,"")</f>
        <v/>
      </c>
      <c r="D31" s="85">
        <f>SUMIFS(JB_27U,JB_B,4,JB_W,"Mine Warfare",JB_S,"",JB_27U,"&lt;&gt;")+SUMIFS(JB_27S,JB_B,4,JB_W,"Mine Warfare",JB_S,"",JB_27U,"")+SUMIFS(JB_27U,JB_B,4,JB_W,"Mine Warfare",JB_S,"[PARENT]",JB_27U,"&lt;&gt;")+SUMIFS(JB_27S,JB_B,4,JB_W,"Mine Warfare",JB_S,"[PARENT]",JB_27U,"")</f>
        <v/>
      </c>
      <c r="E31" s="85">
        <f>C31+D31</f>
        <v/>
      </c>
      <c r="F31" s="93">
        <f>IFERROR(E31/E$39,0)</f>
        <v/>
      </c>
    </row>
    <row r="32" ht="10" customHeight="1">
      <c r="A32" s="84" t="inlineStr">
        <is>
          <t>National Security Cutters</t>
        </is>
      </c>
      <c r="B32" s="84" t="inlineStr">
        <is>
          <t>USCG</t>
        </is>
      </c>
      <c r="C32" s="85">
        <f>SUMIFS(JB_27U,JB_B,2,JB_W,"National Security Cutters",JB_S,"",JB_27U,"&lt;&gt;")+SUMIFS(JB_27S,JB_B,2,JB_W,"National Security Cutters",JB_S,"",JB_27U,"")+SUMIFS(JB_27U,JB_B,2,JB_W,"National Security Cutters",JB_S,"[PARENT]",JB_27U,"&lt;&gt;")+SUMIFS(JB_27S,JB_B,2,JB_W,"National Security Cutters",JB_S,"[PARENT]",JB_27U,"")</f>
        <v/>
      </c>
      <c r="D32" s="85">
        <f>SUMIFS(JB_27U,JB_B,4,JB_W,"National Security Cutters",JB_S,"",JB_27U,"&lt;&gt;")+SUMIFS(JB_27S,JB_B,4,JB_W,"National Security Cutters",JB_S,"",JB_27U,"")+SUMIFS(JB_27U,JB_B,4,JB_W,"National Security Cutters",JB_S,"[PARENT]",JB_27U,"&lt;&gt;")+SUMIFS(JB_27S,JB_B,4,JB_W,"National Security Cutters",JB_S,"[PARENT]",JB_27U,"")</f>
        <v/>
      </c>
      <c r="E32" s="85">
        <f>C32+D32</f>
        <v/>
      </c>
      <c r="F32" s="93">
        <f>IFERROR(E32/E$39,0)</f>
        <v/>
      </c>
    </row>
    <row r="33" ht="10" customHeight="1">
      <c r="A33" s="84" t="inlineStr">
        <is>
          <t>Fast Response Cutters</t>
        </is>
      </c>
      <c r="B33" s="84" t="inlineStr">
        <is>
          <t>USCG</t>
        </is>
      </c>
      <c r="C33" s="85">
        <f>SUMIFS(JB_27U,JB_B,2,JB_W,"Fast Response Cutters",JB_S,"",JB_27U,"&lt;&gt;")+SUMIFS(JB_27S,JB_B,2,JB_W,"Fast Response Cutters",JB_S,"",JB_27U,"")+SUMIFS(JB_27U,JB_B,2,JB_W,"Fast Response Cutters",JB_S,"[PARENT]",JB_27U,"&lt;&gt;")+SUMIFS(JB_27S,JB_B,2,JB_W,"Fast Response Cutters",JB_S,"[PARENT]",JB_27U,"")</f>
        <v/>
      </c>
      <c r="D33" s="85">
        <f>SUMIFS(JB_27U,JB_B,4,JB_W,"Fast Response Cutters",JB_S,"",JB_27U,"&lt;&gt;")+SUMIFS(JB_27S,JB_B,4,JB_W,"Fast Response Cutters",JB_S,"",JB_27U,"")+SUMIFS(JB_27U,JB_B,4,JB_W,"Fast Response Cutters",JB_S,"[PARENT]",JB_27U,"&lt;&gt;")+SUMIFS(JB_27S,JB_B,4,JB_W,"Fast Response Cutters",JB_S,"[PARENT]",JB_27U,"")</f>
        <v/>
      </c>
      <c r="E33" s="85">
        <f>C33+D33</f>
        <v/>
      </c>
      <c r="F33" s="93">
        <f>IFERROR(E33/E$39,0)</f>
        <v/>
      </c>
    </row>
    <row r="34" ht="10" customHeight="1">
      <c r="A34" s="84" t="inlineStr">
        <is>
          <t>Coastal Buoy Tenders</t>
        </is>
      </c>
      <c r="B34" s="84" t="inlineStr">
        <is>
          <t>USCG</t>
        </is>
      </c>
      <c r="C34" s="85">
        <f>SUMIFS(JB_27U,JB_B,2,JB_W,"Coastal Buoy Tenders",JB_S,"",JB_27U,"&lt;&gt;")+SUMIFS(JB_27S,JB_B,2,JB_W,"Coastal Buoy Tenders",JB_S,"",JB_27U,"")+SUMIFS(JB_27U,JB_B,2,JB_W,"Coastal Buoy Tenders",JB_S,"[PARENT]",JB_27U,"&lt;&gt;")+SUMIFS(JB_27S,JB_B,2,JB_W,"Coastal Buoy Tenders",JB_S,"[PARENT]",JB_27U,"")</f>
        <v/>
      </c>
      <c r="D34" s="85">
        <f>SUMIFS(JB_27U,JB_B,4,JB_W,"Coastal Buoy Tenders",JB_S,"",JB_27U,"&lt;&gt;")+SUMIFS(JB_27S,JB_B,4,JB_W,"Coastal Buoy Tenders",JB_S,"",JB_27U,"")+SUMIFS(JB_27U,JB_B,4,JB_W,"Coastal Buoy Tenders",JB_S,"[PARENT]",JB_27U,"&lt;&gt;")+SUMIFS(JB_27S,JB_B,4,JB_W,"Coastal Buoy Tenders",JB_S,"[PARENT]",JB_27U,"")</f>
        <v/>
      </c>
      <c r="E34" s="85">
        <f>C34+D34</f>
        <v/>
      </c>
      <c r="F34" s="93">
        <f>IFERROR(E34/E$39,0)</f>
        <v/>
      </c>
    </row>
    <row r="35" ht="10" customHeight="1">
      <c r="A35" s="84" t="inlineStr">
        <is>
          <t>Icebreakers, Great Lakes</t>
        </is>
      </c>
      <c r="B35" s="84" t="inlineStr">
        <is>
          <t>USCG</t>
        </is>
      </c>
      <c r="C35" s="85">
        <f>SUMIFS(JB_27U,JB_B,2,JB_W,"Icebreakers, Great Lakes",JB_S,"",JB_27U,"&lt;&gt;")+SUMIFS(JB_27S,JB_B,2,JB_W,"Icebreakers, Great Lakes",JB_S,"",JB_27U,"")+SUMIFS(JB_27U,JB_B,2,JB_W,"Icebreakers, Great Lakes",JB_S,"[PARENT]",JB_27U,"&lt;&gt;")+SUMIFS(JB_27S,JB_B,2,JB_W,"Icebreakers, Great Lakes",JB_S,"[PARENT]",JB_27U,"")</f>
        <v/>
      </c>
      <c r="D35" s="85">
        <f>SUMIFS(JB_27U,JB_B,4,JB_W,"Icebreakers, Great Lakes",JB_S,"",JB_27U,"&lt;&gt;")+SUMIFS(JB_27S,JB_B,4,JB_W,"Icebreakers, Great Lakes",JB_S,"",JB_27U,"")+SUMIFS(JB_27U,JB_B,4,JB_W,"Icebreakers, Great Lakes",JB_S,"[PARENT]",JB_27U,"&lt;&gt;")+SUMIFS(JB_27S,JB_B,4,JB_W,"Icebreakers, Great Lakes",JB_S,"[PARENT]",JB_27U,"")</f>
        <v/>
      </c>
      <c r="E35" s="85">
        <f>C35+D35</f>
        <v/>
      </c>
      <c r="F35" s="93">
        <f>IFERROR(E35/E$39,0)</f>
        <v/>
      </c>
    </row>
    <row r="36" ht="10" customHeight="1">
      <c r="A36" s="84" t="inlineStr">
        <is>
          <t>Icebreakers, Oceangoing</t>
        </is>
      </c>
      <c r="B36" s="84" t="inlineStr">
        <is>
          <t>USCG</t>
        </is>
      </c>
      <c r="C36" s="85">
        <f>SUMIFS(JB_27U,JB_B,2,JB_W,"Icebreakers, Oceangoing",JB_S,"",JB_27U,"&lt;&gt;")+SUMIFS(JB_27S,JB_B,2,JB_W,"Icebreakers, Oceangoing",JB_S,"",JB_27U,"")+SUMIFS(JB_27U,JB_B,2,JB_W,"Icebreakers, Oceangoing",JB_S,"[PARENT]",JB_27U,"&lt;&gt;")+SUMIFS(JB_27S,JB_B,2,JB_W,"Icebreakers, Oceangoing",JB_S,"[PARENT]",JB_27U,"")</f>
        <v/>
      </c>
      <c r="D36" s="85">
        <f>SUMIFS(JB_27U,JB_B,4,JB_W,"Icebreakers, Oceangoing",JB_S,"",JB_27U,"&lt;&gt;")+SUMIFS(JB_27S,JB_B,4,JB_W,"Icebreakers, Oceangoing",JB_S,"",JB_27U,"")+SUMIFS(JB_27U,JB_B,4,JB_W,"Icebreakers, Oceangoing",JB_S,"[PARENT]",JB_27U,"&lt;&gt;")+SUMIFS(JB_27S,JB_B,4,JB_W,"Icebreakers, Oceangoing",JB_S,"[PARENT]",JB_27U,"")</f>
        <v/>
      </c>
      <c r="E36" s="85">
        <f>C36+D36</f>
        <v/>
      </c>
      <c r="F36" s="93">
        <f>IFERROR(E36/E$39,0)</f>
        <v/>
      </c>
    </row>
    <row r="37" ht="10" customHeight="1">
      <c r="A37" s="84" t="inlineStr">
        <is>
          <t>Waterways Commerce Cutters</t>
        </is>
      </c>
      <c r="B37" s="84" t="inlineStr">
        <is>
          <t>USCG</t>
        </is>
      </c>
      <c r="C37" s="85">
        <f>SUMIFS(JB_27U,JB_B,2,JB_W,"Waterways Commerce Cutters",JB_S,"",JB_27U,"&lt;&gt;")+SUMIFS(JB_27S,JB_B,2,JB_W,"Waterways Commerce Cutters",JB_S,"",JB_27U,"")+SUMIFS(JB_27U,JB_B,2,JB_W,"Waterways Commerce Cutters",JB_S,"[PARENT]",JB_27U,"&lt;&gt;")+SUMIFS(JB_27S,JB_B,2,JB_W,"Waterways Commerce Cutters",JB_S,"[PARENT]",JB_27U,"")</f>
        <v/>
      </c>
      <c r="D37" s="85">
        <f>SUMIFS(JB_27U,JB_B,4,JB_W,"Waterways Commerce Cutters",JB_S,"",JB_27U,"&lt;&gt;")+SUMIFS(JB_27S,JB_B,4,JB_W,"Waterways Commerce Cutters",JB_S,"",JB_27U,"")+SUMIFS(JB_27U,JB_B,4,JB_W,"Waterways Commerce Cutters",JB_S,"[PARENT]",JB_27U,"&lt;&gt;")+SUMIFS(JB_27S,JB_B,4,JB_W,"Waterways Commerce Cutters",JB_S,"[PARENT]",JB_27U,"")</f>
        <v/>
      </c>
      <c r="E37" s="85">
        <f>C37+D37</f>
        <v/>
      </c>
      <c r="F37" s="93">
        <f>IFERROR(E37/E$39,0)</f>
        <v/>
      </c>
    </row>
    <row r="38" ht="10" customHeight="1">
      <c r="A38" s="84" t="inlineStr">
        <is>
          <t>Offshore Patrol Cutter</t>
        </is>
      </c>
      <c r="B38" s="84" t="inlineStr">
        <is>
          <t>USCG</t>
        </is>
      </c>
      <c r="C38" s="85">
        <f>SUMIFS(JB_27U,JB_B,2,JB_W,"Offshore Patrol Cutter",JB_S,"",JB_27U,"&lt;&gt;")+SUMIFS(JB_27S,JB_B,2,JB_W,"Offshore Patrol Cutter",JB_S,"",JB_27U,"")+SUMIFS(JB_27U,JB_B,2,JB_W,"Offshore Patrol Cutter",JB_S,"[PARENT]",JB_27U,"&lt;&gt;")+SUMIFS(JB_27S,JB_B,2,JB_W,"Offshore Patrol Cutter",JB_S,"[PARENT]",JB_27U,"")</f>
        <v/>
      </c>
      <c r="D38" s="85">
        <f>SUMIFS(JB_27U,JB_B,4,JB_W,"Offshore Patrol Cutter",JB_S,"",JB_27U,"&lt;&gt;")+SUMIFS(JB_27S,JB_B,4,JB_W,"Offshore Patrol Cutter",JB_S,"",JB_27U,"")+SUMIFS(JB_27U,JB_B,4,JB_W,"Offshore Patrol Cutter",JB_S,"[PARENT]",JB_27U,"&lt;&gt;")+SUMIFS(JB_27S,JB_B,4,JB_W,"Offshore Patrol Cutter",JB_S,"[PARENT]",JB_27U,"")</f>
        <v/>
      </c>
      <c r="E38" s="85">
        <f>C38+D38</f>
        <v/>
      </c>
      <c r="F38" s="93">
        <f>IFERROR(E38/E$39,0)</f>
        <v/>
      </c>
    </row>
    <row r="39" ht="10" customHeight="1">
      <c r="A39" s="86" t="inlineStr">
        <is>
          <t>MRO SAM</t>
        </is>
      </c>
      <c r="B39" s="86" t="inlineStr"/>
      <c r="C39" s="87">
        <f>SUM(C14:C38)</f>
        <v/>
      </c>
      <c r="D39" s="87">
        <f>SUM(D14:D38)</f>
        <v/>
      </c>
      <c r="E39" s="87">
        <f>SUM(E14:E38)</f>
        <v/>
      </c>
      <c r="F39" s="94" t="n">
        <v>1</v>
      </c>
    </row>
    <row r="40" ht="10" customHeight="1"/>
    <row r="41" ht="10" customHeight="1">
      <c r="A41" s="81" t="inlineStr">
        <is>
          <t>(C) MRO SAM — SDM vs Modernization by Vessel Type (Mekko)</t>
        </is>
      </c>
      <c r="B41" s="82" t="n"/>
      <c r="C41" s="82" t="n"/>
      <c r="D41" s="82" t="n"/>
      <c r="E41" s="82" t="n"/>
      <c r="F41" s="82" t="n"/>
    </row>
    <row r="42" ht="10" customHeight="1">
      <c r="A42" s="83" t="inlineStr">
        <is>
          <t>Work Type</t>
        </is>
      </c>
      <c r="B42" s="83" t="inlineStr">
        <is>
          <t>Surface Combatants</t>
        </is>
      </c>
      <c r="C42" s="83" t="inlineStr">
        <is>
          <t>Amphibious Warfare Ships</t>
        </is>
      </c>
      <c r="D42" s="83" t="inlineStr">
        <is>
          <t>Surveillance Ships</t>
        </is>
      </c>
      <c r="E42" s="83" t="inlineStr">
        <is>
          <t>Total</t>
        </is>
      </c>
    </row>
    <row r="43" ht="10" customHeight="1">
      <c r="A43" s="84" t="inlineStr">
        <is>
          <t>Scheduled Depot Maintenance</t>
        </is>
      </c>
      <c r="B43" s="93">
        <f>IFERROR((SUMIFS(JB_27U,JB_B,2,JB_W,"Surface Combatants",JB_S,"",JB_27U,"&lt;&gt;")+SUMIFS(JB_27S,JB_B,2,JB_W,"Surface Combatants",JB_S,"",JB_27U,"")+SUMIFS(JB_27U,JB_B,2,JB_W,"Surface Combatants",JB_S,"[PARENT]",JB_27U,"&lt;&gt;")+SUMIFS(JB_27S,JB_B,2,JB_W,"Surface Combatants",JB_S,"[PARENT]",JB_27U,""))/B$45,0)</f>
        <v/>
      </c>
      <c r="C43" s="93">
        <f>IFERROR((SUMIFS(JB_27U,JB_B,2,JB_W,"Amphibious Warfare Ships",JB_S,"",JB_27U,"&lt;&gt;")+SUMIFS(JB_27S,JB_B,2,JB_W,"Amphibious Warfare Ships",JB_S,"",JB_27U,"")+SUMIFS(JB_27U,JB_B,2,JB_W,"Amphibious Warfare Ships",JB_S,"[PARENT]",JB_27U,"&lt;&gt;")+SUMIFS(JB_27S,JB_B,2,JB_W,"Amphibious Warfare Ships",JB_S,"[PARENT]",JB_27U,""))/C$45,0)</f>
        <v/>
      </c>
      <c r="D43" s="93">
        <f>IFERROR((SUMIFS(JB_27U,JB_B,2,JB_W,"Surveillance Ships",JB_S,"",JB_27U,"&lt;&gt;")+SUMIFS(JB_27S,JB_B,2,JB_W,"Surveillance Ships",JB_S,"",JB_27U,"")+SUMIFS(JB_27U,JB_B,2,JB_W,"Surveillance Ships",JB_S,"[PARENT]",JB_27U,"&lt;&gt;")+SUMIFS(JB_27S,JB_B,2,JB_W,"Surveillance Ships",JB_S,"[PARENT]",JB_27U,""))/D$45,0)</f>
        <v/>
      </c>
      <c r="E43" s="93">
        <f>IFERROR(1-E44,0)</f>
        <v/>
      </c>
    </row>
    <row r="44" ht="10" customHeight="1">
      <c r="A44" s="84" t="inlineStr">
        <is>
          <t>Modernization</t>
        </is>
      </c>
      <c r="B44" s="93">
        <f>IFERROR((SUMIFS(JB_27U,JB_B,4,JB_W,"Surface Combatants",JB_S,"",JB_27U,"&lt;&gt;")+SUMIFS(JB_27S,JB_B,4,JB_W,"Surface Combatants",JB_S,"",JB_27U,"")+SUMIFS(JB_27U,JB_B,4,JB_W,"Surface Combatants",JB_S,"[PARENT]",JB_27U,"&lt;&gt;")+SUMIFS(JB_27S,JB_B,4,JB_W,"Surface Combatants",JB_S,"[PARENT]",JB_27U,""))/B$45,0)</f>
        <v/>
      </c>
      <c r="C44" s="93">
        <f>IFERROR((SUMIFS(JB_27U,JB_B,4,JB_W,"Amphibious Warfare Ships",JB_S,"",JB_27U,"&lt;&gt;")+SUMIFS(JB_27S,JB_B,4,JB_W,"Amphibious Warfare Ships",JB_S,"",JB_27U,"")+SUMIFS(JB_27U,JB_B,4,JB_W,"Amphibious Warfare Ships",JB_S,"[PARENT]",JB_27U,"&lt;&gt;")+SUMIFS(JB_27S,JB_B,4,JB_W,"Amphibious Warfare Ships",JB_S,"[PARENT]",JB_27U,""))/C$45,0)</f>
        <v/>
      </c>
      <c r="D44" s="93">
        <f>IFERROR((SUMIFS(JB_27U,JB_B,4,JB_W,"Surveillance Ships",JB_S,"",JB_27U,"&lt;&gt;")+SUMIFS(JB_27S,JB_B,4,JB_W,"Surveillance Ships",JB_S,"",JB_27U,"")+SUMIFS(JB_27U,JB_B,4,JB_W,"Surveillance Ships",JB_S,"[PARENT]",JB_27U,"&lt;&gt;")+SUMIFS(JB_27S,JB_B,4,JB_W,"Surveillance Ships",JB_S,"[PARENT]",JB_27U,""))/D$45,0)</f>
        <v/>
      </c>
      <c r="E44" s="93">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Ships",JB_S,"[PARENT]",JB_27U,""))/E$45,0)</f>
        <v/>
      </c>
    </row>
    <row r="45" ht="10" customHeight="1">
      <c r="A45" s="86" t="inlineStr">
        <is>
          <t>Total ($K)</t>
        </is>
      </c>
      <c r="B45" s="87">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5"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5"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5" s="87">
        <f>SUM(B45:D45)</f>
        <v/>
      </c>
    </row>
  </sheetData>
  <pageMargins left="0.75" right="0.75" top="1" bottom="1" header="0.5" footer="0.5"/>
</worksheet>
</file>

<file path=xl/worksheets/sheet12.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2026-04-12T22:08:33Z</dcterms:modified>
  <cp:lastModifiedBy>Brendan Toole</cp:lastModifiedBy>
  <cp:revision>0</cp:revision>
</cp:coreProperties>
</file>