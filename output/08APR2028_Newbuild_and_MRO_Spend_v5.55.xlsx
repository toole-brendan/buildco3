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Mine Warfare</t>
        </is>
      </c>
      <c r="B27" s="30" t="inlineStr">
        <is>
          <t>USN</t>
        </is>
      </c>
      <c r="C27" s="31">
        <f>SUMIFS(JB_26BV,JB_B,1,JB_W,"Mine Warfare",JB_RC,"ADD")</f>
        <v/>
      </c>
      <c r="D27" s="37">
        <f>IFERROR(C27/C$44,0)</f>
        <v/>
      </c>
    </row>
    <row r="28" ht="10" customHeight="1">
      <c r="A28" s="30" t="inlineStr">
        <is>
          <t>General Auxiliary</t>
        </is>
      </c>
      <c r="B28" s="30" t="inlineStr">
        <is>
          <t>USN</t>
        </is>
      </c>
      <c r="C28" s="31">
        <f>SUMIFS(JB_26BV,JB_B,1,JB_W,"General Auxiliary",JB_RC,"ADD")</f>
        <v/>
      </c>
      <c r="D28" s="37">
        <f>IFERROR(C28/C$44,0)</f>
        <v/>
      </c>
    </row>
    <row r="29" ht="10" customHeight="1">
      <c r="A29" s="30" t="inlineStr">
        <is>
          <t>Hospital Ship</t>
        </is>
      </c>
      <c r="B29" s="30" t="inlineStr">
        <is>
          <t>MSC</t>
        </is>
      </c>
      <c r="C29" s="31">
        <f>SUMIFS(JB_26BV,JB_B,1,JB_W,"Hospital Ship",JB_RC,"ADD")</f>
        <v/>
      </c>
      <c r="D29" s="37">
        <f>IFERROR(C29/C$44,0)</f>
        <v/>
      </c>
    </row>
    <row r="30" ht="10" customHeight="1">
      <c r="A30" s="30" t="inlineStr">
        <is>
          <t>Material Support Ships</t>
        </is>
      </c>
      <c r="B30" s="30" t="inlineStr">
        <is>
          <t>USN</t>
        </is>
      </c>
      <c r="C30" s="31">
        <f>SUMIFS(JB_26BV,JB_B,1,JB_W,"Material Support Ships",JB_RC,"ADD")</f>
        <v/>
      </c>
      <c r="D30" s="37">
        <f>IFERROR(C30/C$44,0)</f>
        <v/>
      </c>
    </row>
    <row r="31" ht="10" customHeight="1">
      <c r="A31" s="30" t="inlineStr">
        <is>
          <t>Crane Ship</t>
        </is>
      </c>
      <c r="B31" s="30" t="inlineStr">
        <is>
          <t>USN</t>
        </is>
      </c>
      <c r="C31" s="31">
        <f>SUMIFS(JB_26BV,JB_B,1,JB_W,"Crane Ship",JB_RC,"ADD")</f>
        <v/>
      </c>
      <c r="D31" s="37">
        <f>IFERROR(C31/C$44,0)</f>
        <v/>
      </c>
    </row>
    <row r="32" ht="10" customHeight="1">
      <c r="A32" s="30" t="inlineStr">
        <is>
          <t>Aviation Logistics Support Ship</t>
        </is>
      </c>
      <c r="B32" s="30" t="inlineStr">
        <is>
          <t>USN</t>
        </is>
      </c>
      <c r="C32" s="31">
        <f>SUMIFS(JB_26BV,JB_B,1,JB_W,"Aviation Logistics Support Ship",JB_RC,"ADD")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Research, Survey &amp; Instrumentation Ships</t>
        </is>
      </c>
      <c r="B34" s="30" t="inlineStr">
        <is>
          <t>MSC</t>
        </is>
      </c>
      <c r="C34" s="31">
        <f>SUMIFS(JB_26BV,JB_B,1,JB_W,"Research, Survey &amp; Instrumentation Ships",JB_RC,"ADD")</f>
        <v/>
      </c>
      <c r="D34" s="37">
        <f>IFERROR(C34/C$44,0)</f>
        <v/>
      </c>
    </row>
    <row r="35" ht="10" customHeight="1">
      <c r="A35" s="30" t="inlineStr">
        <is>
          <t>High Speed Transport</t>
        </is>
      </c>
      <c r="B35" s="30" t="inlineStr">
        <is>
          <t>USN</t>
        </is>
      </c>
      <c r="C35" s="31">
        <f>SUMIFS(JB_26BV,JB_B,1,JB_W,"High Speed Transport",JB_RC,"ADD")</f>
        <v/>
      </c>
      <c r="D35" s="37">
        <f>IFERROR(C35/C$44,0)</f>
        <v/>
      </c>
    </row>
    <row r="36" ht="10" customHeight="1">
      <c r="A36" s="30" t="inlineStr">
        <is>
          <t>Submarine Escort Ship</t>
        </is>
      </c>
      <c r="B36" s="30" t="inlineStr">
        <is>
          <t>USN</t>
        </is>
      </c>
      <c r="C36" s="31">
        <f>SUMIFS(JB_26BV,JB_B,1,JB_W,"Submarine Escort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AC18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 width="32" customWidth="1" min="21" max="21"/>
    <col width="22" customWidth="1" min="22" max="22"/>
    <col width="14" customWidth="1" min="23" max="23"/>
    <col width="10" customWidth="1" min="24" max="24"/>
    <col width="32" customWidth="1" min="26" max="26"/>
    <col width="22" customWidth="1" min="27" max="27"/>
    <col width="14" customWidth="1" min="28" max="28"/>
    <col width="10" customWidth="1" min="29" max="2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c r="AA114" s="28" t="n"/>
      <c r="AB114" s="28" t="n"/>
      <c r="AC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LPD (Amphibious Warfare Ships)</t>
        </is>
      </c>
      <c r="L117" s="39" t="n"/>
      <c r="M117" s="39" t="n"/>
      <c r="N117" s="39" t="n"/>
      <c r="P117" s="46" t="inlineStr">
        <is>
          <t>FFG (Surface Combatants)</t>
        </is>
      </c>
      <c r="Q117" s="39" t="n"/>
      <c r="R117" s="39" t="n"/>
      <c r="S117" s="39" t="n"/>
      <c r="U117" s="46" t="inlineStr">
        <is>
          <t>T-AO (Combat Logistics Ships)</t>
        </is>
      </c>
      <c r="V117" s="39" t="n"/>
      <c r="W117" s="39" t="n"/>
      <c r="X117" s="39" t="n"/>
      <c r="Z117" s="46" t="inlineStr">
        <is>
          <t>T-AGOS (Surveillance Ships)</t>
        </is>
      </c>
      <c r="AA117" s="39" t="n"/>
      <c r="AB117" s="39" t="n"/>
      <c r="AC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c r="U118" s="29" t="inlineStr">
        <is>
          <t>System</t>
        </is>
      </c>
      <c r="V118" s="29" t="inlineStr">
        <is>
          <t>Cost Category</t>
        </is>
      </c>
      <c r="W118" s="29" t="inlineStr">
        <is>
          <t>FY2026 ($K)</t>
        </is>
      </c>
      <c r="X118" s="29" t="inlineStr">
        <is>
          <t>% of Hull</t>
        </is>
      </c>
      <c r="Z118" s="29" t="inlineStr">
        <is>
          <t>System</t>
        </is>
      </c>
      <c r="AA118" s="29" t="inlineStr">
        <is>
          <t>Cost Category</t>
        </is>
      </c>
      <c r="AB118" s="29" t="inlineStr">
        <is>
          <t>FY2026 ($K)</t>
        </is>
      </c>
      <c r="AC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IFERROR(H119/H$161,0)</f>
        <v/>
      </c>
      <c r="K119" s="49" t="inlineStr">
        <is>
          <t>Electronics</t>
        </is>
      </c>
      <c r="M119" s="50">
        <f>SUM(M120:M136)</f>
        <v/>
      </c>
      <c r="N119" s="51">
        <f>IFERROR(M119/M$155,0)</f>
        <v/>
      </c>
      <c r="P119" s="49" t="inlineStr">
        <is>
          <t>Electronics</t>
        </is>
      </c>
      <c r="R119" s="50">
        <f>SUM(R120:R126)</f>
        <v/>
      </c>
      <c r="S119" s="51">
        <f>IFERROR(R119/R$140,0)</f>
        <v/>
      </c>
      <c r="U119" s="49" t="inlineStr">
        <is>
          <t>Electronics</t>
        </is>
      </c>
      <c r="W119" s="50">
        <f>SUM(W120:W128)</f>
        <v/>
      </c>
      <c r="X119" s="51">
        <f>IFERROR(W119/W$135,0)</f>
        <v/>
      </c>
      <c r="Z119" s="49" t="inlineStr">
        <is>
          <t>Electronics</t>
        </is>
      </c>
      <c r="AB119" s="50">
        <f>SUM(AB120:AB121)</f>
        <v/>
      </c>
      <c r="AC119" s="51">
        <f>IFERROR(AB119/AB$122,0)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IFERROR(H120/H$161,0)</f>
        <v/>
      </c>
      <c r="K120" s="52" t="inlineStr">
        <is>
          <t xml:space="preserve">  C4ISR</t>
        </is>
      </c>
      <c r="L120" s="52" t="inlineStr">
        <is>
          <t>Electronics</t>
        </is>
      </c>
      <c r="M120" s="53">
        <f>SUMIFS(JB_26BV,JB_B,1,JB_EX,"P-8a",JB_CC,"Electronics",JB_H,"LPD",JB_CE,"C4ISR",JB_RC,"ALT")</f>
        <v/>
      </c>
      <c r="N120" s="37">
        <f>IFERROR(M120/M$155,0)</f>
        <v/>
      </c>
      <c r="P120" s="52" t="inlineStr">
        <is>
          <t xml:space="preserve">  Enterprise Air Surveillance Radar (EASR)</t>
        </is>
      </c>
      <c r="Q120" s="52" t="inlineStr">
        <is>
          <t>Electronics</t>
        </is>
      </c>
      <c r="R120" s="53">
        <f>SUMIFS(JB_26BV,JB_B,1,JB_EX,"P-8a",JB_CC,"Electronics",JB_H,"FFG",JB_CE,"Enterprise Air Surveillance Radar (EASR)",JB_RC,"ALT")</f>
        <v/>
      </c>
      <c r="S120" s="37">
        <f>IFERROR(R120/R$140,0)</f>
        <v/>
      </c>
      <c r="U120" s="52" t="inlineStr">
        <is>
          <t xml:space="preserve">  Network Management System (NMS) 2.0/Consolidated Afloat Networks and Enterprise Services (CANES) [T-AO 214]</t>
        </is>
      </c>
      <c r="V120" s="52" t="inlineStr">
        <is>
          <t>Electronics</t>
        </is>
      </c>
      <c r="W120" s="53">
        <f>SUMIFS(JB_26BV,JB_B,1,JB_EX,"P-8a",JB_CC,"Electronics",JB_H,"T-AO",JB_CE,"Network Management System (NMS) 2.0/Consolidated Afloat Networks and Enterprise Services (CANES) [T-AO 214]",JB_RC,"ALT")</f>
        <v/>
      </c>
      <c r="X120" s="37">
        <f>IFERROR(W120/W$135,0)</f>
        <v/>
      </c>
      <c r="Z120" s="52" t="inlineStr">
        <is>
          <t xml:space="preserve">  Surveillance Towed Array Sensor System (SURTASS)</t>
        </is>
      </c>
      <c r="AA120" s="52" t="inlineStr">
        <is>
          <t>Electronics</t>
        </is>
      </c>
      <c r="AB120" s="53">
        <f>SUMIFS(JB_26BV,JB_B,1,JB_EX,"P-8a",JB_CC,"Electronics",JB_H,"T-AGOS",JB_CE,"Surveillance Towed Array Sensor System (SURTASS)",JB_RC,"ALT")</f>
        <v/>
      </c>
      <c r="AC120" s="37">
        <f>IFERROR(AB120/AB$122,0)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IFERROR(H121/H$161,0)</f>
        <v/>
      </c>
      <c r="K121" s="52" t="inlineStr">
        <is>
          <t xml:space="preserve">  Mission Systems</t>
        </is>
      </c>
      <c r="L121" s="52" t="inlineStr">
        <is>
          <t>Electronics</t>
        </is>
      </c>
      <c r="M121" s="53">
        <f>SUMIFS(JB_26BV,JB_B,1,JB_EX,"P-8a",JB_CC,"Electronics",JB_H,"LPD",JB_CE,"Mission Systems",JB_RC,"ALT")</f>
        <v/>
      </c>
      <c r="N121" s="37">
        <f>IFERROR(M121/M$155,0)</f>
        <v/>
      </c>
      <c r="P121" s="52" t="inlineStr">
        <is>
          <t xml:space="preserve">  AEGIS Weapon System (AWS)</t>
        </is>
      </c>
      <c r="Q121" s="52" t="inlineStr">
        <is>
          <t>Electronics</t>
        </is>
      </c>
      <c r="R121" s="53">
        <f>SUMIFS(JB_26BV,JB_B,1,JB_EX,"P-8a",JB_CC,"Electronics",JB_H,"FFG",JB_CE,"AEGIS Weapon System (AWS)",JB_RC,"ALT")</f>
        <v/>
      </c>
      <c r="S121" s="37">
        <f>IFERROR(R121/R$140,0)</f>
        <v/>
      </c>
      <c r="U121" s="52" t="inlineStr">
        <is>
          <t xml:space="preserve">  Minor Systems</t>
        </is>
      </c>
      <c r="V121" s="52" t="inlineStr">
        <is>
          <t>Electronics</t>
        </is>
      </c>
      <c r="W121" s="53">
        <f>SUMIFS(JB_26BV,JB_B,1,JB_EX,"P-8a",JB_CC,"Electronics",JB_H,"T-AO",JB_CE,"Minor Systems",JB_RC,"ALT")</f>
        <v/>
      </c>
      <c r="X121" s="37">
        <f>IFERROR(W121/W$135,0)</f>
        <v/>
      </c>
      <c r="Z121" s="52" t="inlineStr">
        <is>
          <t xml:space="preserve">  Command, Control, Communications, Computers and Intelligence (C4I)</t>
        </is>
      </c>
      <c r="AA121" s="52" t="inlineStr">
        <is>
          <t>Electronics</t>
        </is>
      </c>
      <c r="AB121" s="53">
        <f>SUMIFS(JB_26BV,JB_B,1,JB_EX,"P-8a",JB_CC,"Electronics",JB_H,"T-AGOS",JB_CE,"Command, Control, Communications, Computers and Intelligence (C4I)",JB_RC,"ALT")</f>
        <v/>
      </c>
      <c r="AC121" s="37">
        <f>IFERROR(AB121/AB$122,0)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IFERROR(H122/H$161,0)</f>
        <v/>
      </c>
      <c r="K122" s="52" t="inlineStr">
        <is>
          <t xml:space="preserve">  Miscellaneous Electronics</t>
        </is>
      </c>
      <c r="L122" s="52" t="inlineStr">
        <is>
          <t>Electronics</t>
        </is>
      </c>
      <c r="M122" s="53">
        <f>SUMIFS(JB_26BV,JB_B,1,JB_EX,"P-8a",JB_CC,"Electronics",JB_H,"LPD",JB_CE,"Miscellaneous Electronics",JB_RC,"ALT")</f>
        <v/>
      </c>
      <c r="N122" s="37">
        <f>IFERROR(M122/M$155,0)</f>
        <v/>
      </c>
      <c r="P122" s="52" t="inlineStr">
        <is>
          <t xml:space="preserve">  Anti-Submarine Warfare (ASW) Combat Suite</t>
        </is>
      </c>
      <c r="Q122" s="52" t="inlineStr">
        <is>
          <t>Electronics</t>
        </is>
      </c>
      <c r="R122" s="53">
        <f>SUMIFS(JB_26BV,JB_B,1,JB_EX,"P-8a",JB_CC,"Electronics",JB_H,"FFG",JB_CE,"Anti-Submarine Warfare (ASW) Combat Suite",JB_RC,"ALT")</f>
        <v/>
      </c>
      <c r="S122" s="37">
        <f>IFERROR(R122/R$140,0)</f>
        <v/>
      </c>
      <c r="U122" s="52" t="inlineStr">
        <is>
          <t xml:space="preserve">  Radio Communication System (RCS) TURNKEY</t>
        </is>
      </c>
      <c r="V122" s="52" t="inlineStr">
        <is>
          <t>Electronics</t>
        </is>
      </c>
      <c r="W122" s="53">
        <f>SUMIFS(JB_26BV,JB_B,1,JB_EX,"P-8a",JB_CC,"Electronics",JB_H,"T-AO",JB_CE,"Radio Communication System (RCS) TURNKEY",JB_RC,"ALT")</f>
        <v/>
      </c>
      <c r="X122" s="37">
        <f>IFERROR(W122/W$135,0)</f>
        <v/>
      </c>
      <c r="Z122" s="32" t="inlineStr">
        <is>
          <t>T-AGOS Total</t>
        </is>
      </c>
      <c r="AA122" s="54" t="n"/>
      <c r="AB122" s="33">
        <f>AB119</f>
        <v/>
      </c>
      <c r="AC122" s="38" t="n">
        <v>1</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IFERROR(H123/H$161,0)</f>
        <v/>
      </c>
      <c r="K123" s="52" t="inlineStr">
        <is>
          <t xml:space="preserve">  Ship Self Defense System (SSDS)</t>
        </is>
      </c>
      <c r="L123" s="52" t="inlineStr">
        <is>
          <t>Electronics</t>
        </is>
      </c>
      <c r="M123" s="53">
        <f>SUMIFS(JB_26BV,JB_B,1,JB_EX,"P-8a",JB_CC,"Electronics",JB_H,"LPD",JB_CE,"Ship Self Defense System (SSDS)",JB_RC,"ALT")</f>
        <v/>
      </c>
      <c r="N123" s="37">
        <f>IFERROR(M123/M$155,0)</f>
        <v/>
      </c>
      <c r="P123" s="52" t="inlineStr">
        <is>
          <t xml:space="preserve">  Tactical COMINT System- Spectral</t>
        </is>
      </c>
      <c r="Q123" s="52" t="inlineStr">
        <is>
          <t>Electronics</t>
        </is>
      </c>
      <c r="R123" s="53">
        <f>SUMIFS(JB_26BV,JB_B,1,JB_EX,"P-8a",JB_CC,"Electronics",JB_H,"FFG",JB_CE,"Tactical COMINT System- Spectral",JB_RC,"ALT")</f>
        <v/>
      </c>
      <c r="S123" s="37">
        <f>IFERROR(R123/R$140,0)</f>
        <v/>
      </c>
      <c r="U123" s="52" t="inlineStr">
        <is>
          <t xml:space="preserve">  AN/SLQ-25 NIXIE</t>
        </is>
      </c>
      <c r="V123" s="52" t="inlineStr">
        <is>
          <t>Electronics</t>
        </is>
      </c>
      <c r="W123" s="53">
        <f>SUMIFS(JB_26BV,JB_B,1,JB_EX,"P-8a",JB_CC,"Electronics",JB_H,"T-AO",JB_CE,"AN/SLQ-25 NIXIE",JB_RC,"ALT")</f>
        <v/>
      </c>
      <c r="X123" s="37">
        <f>IFERROR(W123/W$135,0)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IFERROR(H124/H$161,0)</f>
        <v/>
      </c>
      <c r="K124" s="52" t="inlineStr">
        <is>
          <t xml:space="preserve">  AN/SLQ-32(V)6 Surface Electronic Warfare Improvement Program (SEWIP)</t>
        </is>
      </c>
      <c r="L124" s="52" t="inlineStr">
        <is>
          <t>Electronics</t>
        </is>
      </c>
      <c r="M124" s="53">
        <f>SUMIFS(JB_26BV,JB_B,1,JB_EX,"P-8a",JB_CC,"Electronics",JB_H,"LPD",JB_CE,"AN/SLQ-32(V)6 Surface Electronic Warfare Improvement Program (SEWIP)",JB_RC,"ALT")</f>
        <v/>
      </c>
      <c r="N124" s="37">
        <f>IFERROR(M124/M$155,0)</f>
        <v/>
      </c>
      <c r="P124" s="52" t="inlineStr">
        <is>
          <t xml:space="preserve">  External Communication Suite (EXCOMM)</t>
        </is>
      </c>
      <c r="Q124" s="52" t="inlineStr">
        <is>
          <t>Electronics</t>
        </is>
      </c>
      <c r="R124" s="53">
        <f>SUMIFS(JB_26BV,JB_B,1,JB_EX,"P-8a",JB_CC,"Electronics",JB_H,"FFG",JB_CE,"External Communication Suite (EXCOMM)",JB_RC,"ALT")</f>
        <v/>
      </c>
      <c r="S124" s="37">
        <f>IFERROR(R124/R$140,0)</f>
        <v/>
      </c>
      <c r="U124" s="52" t="inlineStr">
        <is>
          <t xml:space="preserve">  Digital Modular Radio (DMR)</t>
        </is>
      </c>
      <c r="V124" s="52" t="inlineStr">
        <is>
          <t>Electronics</t>
        </is>
      </c>
      <c r="W124" s="53">
        <f>SUMIFS(JB_26BV,JB_B,1,JB_EX,"P-8a",JB_CC,"Electronics",JB_H,"T-AO",JB_CE,"Digital Modular Radio (DMR)",JB_RC,"ALT")</f>
        <v/>
      </c>
      <c r="X124" s="37">
        <f>IFERROR(W124/W$135,0)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IFERROR(H125/H$161,0)</f>
        <v/>
      </c>
      <c r="K125" s="52" t="inlineStr">
        <is>
          <t xml:space="preserve">  Cooperative Engagement Capability (CEC)</t>
        </is>
      </c>
      <c r="L125" s="52" t="inlineStr">
        <is>
          <t>Electronics</t>
        </is>
      </c>
      <c r="M125" s="53">
        <f>SUMIFS(JB_26BV,JB_B,1,JB_EX,"P-8a",JB_CC,"Electronics",JB_H,"LPD",JB_CE,"Cooperative Engagement Capability (CEC)",JB_RC,"ALT")</f>
        <v/>
      </c>
      <c r="N125" s="37">
        <f>IFERROR(M125/M$155,0)</f>
        <v/>
      </c>
      <c r="P125" s="52" t="inlineStr">
        <is>
          <t xml:space="preserve">  Cooperative Engagement Capability (CEC)</t>
        </is>
      </c>
      <c r="Q125" s="52" t="inlineStr">
        <is>
          <t>Electronics</t>
        </is>
      </c>
      <c r="R125" s="53">
        <f>SUMIFS(JB_26BV,JB_B,1,JB_EX,"P-8a",JB_CC,"Electronics",JB_H,"FFG",JB_CE,"Cooperative Engagement Capability (CEC)",JB_RC,"ALT")</f>
        <v/>
      </c>
      <c r="S125" s="37">
        <f>IFERROR(R125/R$140,0)</f>
        <v/>
      </c>
      <c r="U125" s="52" t="inlineStr">
        <is>
          <t xml:space="preserve">  Commercial Broadband Satellite Program (CBSP)</t>
        </is>
      </c>
      <c r="V125" s="52" t="inlineStr">
        <is>
          <t>Electronics</t>
        </is>
      </c>
      <c r="W125" s="53">
        <f>SUMIFS(JB_26BV,JB_B,1,JB_EX,"P-8a",JB_CC,"Electronics",JB_H,"T-AO",JB_CE,"Commercial Broadband Satellite Program (CBSP)",JB_RC,"ALT")</f>
        <v/>
      </c>
      <c r="X125" s="37">
        <f>IFERROR(W125/W$135,0)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IFERROR(H126/H$161,0)</f>
        <v/>
      </c>
      <c r="K126" s="52" t="inlineStr">
        <is>
          <t xml:space="preserve">  Interrogator System IFF (Identification Friend or Foe)</t>
        </is>
      </c>
      <c r="L126" s="52" t="inlineStr">
        <is>
          <t>Electronics</t>
        </is>
      </c>
      <c r="M126" s="53">
        <f>SUMIFS(JB_26BV,JB_B,1,JB_EX,"P-8a",JB_CC,"Electronics",JB_H,"LPD",JB_CE,"Interrogator System IFF (Identification Friend or Foe)",JB_RC,"ALT")</f>
        <v/>
      </c>
      <c r="N126" s="37">
        <f>IFERROR(M126/M$155,0)</f>
        <v/>
      </c>
      <c r="P126" s="52" t="inlineStr">
        <is>
          <t xml:space="preserve">  Identification Friend or Foe (IFF) UPX-29</t>
        </is>
      </c>
      <c r="Q126" s="52" t="inlineStr">
        <is>
          <t>Electronics</t>
        </is>
      </c>
      <c r="R126" s="53">
        <f>SUMIFS(JB_26BV,JB_B,1,JB_EX,"P-8a",JB_CC,"Electronics",JB_H,"FFG",JB_CE,"Identification Friend or Foe (IFF) UPX-29",JB_RC,"ALT")</f>
        <v/>
      </c>
      <c r="S126" s="37">
        <f>IFERROR(R126/R$140,0)</f>
        <v/>
      </c>
      <c r="U126" s="52" t="inlineStr">
        <is>
          <t xml:space="preserve">  OA-9277A</t>
        </is>
      </c>
      <c r="V126" s="52" t="inlineStr">
        <is>
          <t>Electronics</t>
        </is>
      </c>
      <c r="W126" s="53">
        <f>SUMIFS(JB_26BV,JB_B,1,JB_EX,"P-8a",JB_CC,"Electronics",JB_H,"T-AO",JB_CE,"OA-9277A",JB_RC,"ALT")</f>
        <v/>
      </c>
      <c r="X126" s="37">
        <f>IFERROR(W126/W$135,0)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IFERROR(H127/H$161,0)</f>
        <v/>
      </c>
      <c r="K127" s="52" t="inlineStr">
        <is>
          <t xml:space="preserve">  IWS CSI</t>
        </is>
      </c>
      <c r="L127" s="52" t="inlineStr">
        <is>
          <t>Electronics</t>
        </is>
      </c>
      <c r="M127" s="53">
        <f>SUMIFS(JB_26BV,JB_B,1,JB_EX,"P-8a",JB_CC,"Electronics",JB_H,"LPD",JB_CE,"IWS CSI",JB_RC,"ALT")</f>
        <v/>
      </c>
      <c r="N127" s="37">
        <f>IFERROR(M127/M$155,0)</f>
        <v/>
      </c>
      <c r="P127" s="49" t="inlineStr">
        <is>
          <t>Hull, Mechanical, and Electrical</t>
        </is>
      </c>
      <c r="R127" s="50">
        <f>SUM(R128:R134)</f>
        <v/>
      </c>
      <c r="S127" s="51">
        <f>IFERROR(R127/R$140,0)</f>
        <v/>
      </c>
      <c r="U127" s="52" t="inlineStr">
        <is>
          <t xml:space="preserve">  Battle Force Tactical Network (BFTN)/BFTN Resilient Command and Control System Enhancement (BRSE)</t>
        </is>
      </c>
      <c r="V127" s="52" t="inlineStr">
        <is>
          <t>Electronics</t>
        </is>
      </c>
      <c r="W127" s="53">
        <f>SUMIFS(JB_26BV,JB_B,1,JB_EX,"P-8a",JB_CC,"Electronics",JB_H,"T-AO",JB_CE,"Battle Force Tactical Network (BFTN)/BFTN Resilient Command and Control System Enhancement (BRSE)",JB_RC,"ALT")</f>
        <v/>
      </c>
      <c r="X127" s="37">
        <f>IFERROR(W127/W$135,0)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IFERROR(H128/H$161,0)</f>
        <v/>
      </c>
      <c r="K128" s="52" t="inlineStr">
        <is>
          <t xml:space="preserve">  AN/WSN-7(RLGN)</t>
        </is>
      </c>
      <c r="L128" s="52" t="inlineStr">
        <is>
          <t>Electronics</t>
        </is>
      </c>
      <c r="M128" s="53">
        <f>SUMIFS(JB_26BV,JB_B,1,JB_EX,"P-8a",JB_CC,"Electronics",JB_H,"LPD",JB_CE,"AN/WSN-7(RLGN)",JB_RC,"ALT")</f>
        <v/>
      </c>
      <c r="N128" s="37">
        <f>IFERROR(M128/M$155,0)</f>
        <v/>
      </c>
      <c r="P128" s="52" t="inlineStr">
        <is>
          <t xml:space="preserve">  Aircraft Ship Integrated Securing and Traversing System (ASIST)</t>
        </is>
      </c>
      <c r="Q128" s="52" t="inlineStr">
        <is>
          <t>Hull, Mechanical, and Electrical</t>
        </is>
      </c>
      <c r="R128" s="53">
        <f>SUMIFS(JB_26BV,JB_B,1,JB_EX,"P-8a",JB_CC,"Hull, Mechanical, and Electrical",JB_H,"FFG",JB_CE,"Aircraft Ship Integrated Securing and Traversing System (ASIST)",JB_RC,"ALT")</f>
        <v/>
      </c>
      <c r="S128" s="37">
        <f>IFERROR(R128/R$140,0)</f>
        <v/>
      </c>
      <c r="U128" s="52" t="inlineStr">
        <is>
          <t xml:space="preserve">  AN/USQ-155 Tactical Variant Switch (TVS)</t>
        </is>
      </c>
      <c r="V128" s="52" t="inlineStr">
        <is>
          <t>Electronics</t>
        </is>
      </c>
      <c r="W128" s="53">
        <f>SUMIFS(JB_26BV,JB_B,1,JB_EX,"P-8a",JB_CC,"Electronics",JB_H,"T-AO",JB_CE,"AN/USQ-155 Tactical Variant Switch (TVS)",JB_RC,"ALT")</f>
        <v/>
      </c>
      <c r="X128" s="37">
        <f>IFERROR(W128/W$135,0)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IFERROR(H129/H$161,0)</f>
        <v/>
      </c>
      <c r="K129" s="52" t="inlineStr">
        <is>
          <t xml:space="preserve">  HM&amp;E Condition System (HMECS)</t>
        </is>
      </c>
      <c r="L129" s="52" t="inlineStr">
        <is>
          <t>Electronics</t>
        </is>
      </c>
      <c r="M129" s="53">
        <f>SUMIFS(JB_26BV,JB_B,1,JB_EX,"P-8a",JB_CC,"Electronics",JB_H,"LPD",JB_CE,"HM&amp;E Condition System (HMECS)",JB_RC,"ALT")</f>
        <v/>
      </c>
      <c r="N129" s="37">
        <f>IFERROR(M129/M$155,0)</f>
        <v/>
      </c>
      <c r="P129" s="52" t="inlineStr">
        <is>
          <t xml:space="preserve">  Other HM&amp;E</t>
        </is>
      </c>
      <c r="Q129" s="52" t="inlineStr">
        <is>
          <t>Hull, Mechanical, and Electrical</t>
        </is>
      </c>
      <c r="R129" s="53">
        <f>SUMIFS(JB_26BV,JB_B,1,JB_EX,"P-8a",JB_CC,"Hull, Mechanical, and Electrical",JB_H,"FFG",JB_CE,"Other HM&amp;E",JB_RC,"ALT")</f>
        <v/>
      </c>
      <c r="S129" s="37">
        <f>IFERROR(R129/R$140,0)</f>
        <v/>
      </c>
      <c r="U129" s="49" t="inlineStr">
        <is>
          <t>Hull, Mechanical, and Electrical</t>
        </is>
      </c>
      <c r="W129" s="50">
        <f>SUM(W130:W134)</f>
        <v/>
      </c>
      <c r="X129" s="51">
        <f>IFERROR(W129/W$135,0)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IFERROR(H130/H$161,0)</f>
        <v/>
      </c>
      <c r="K130" s="52" t="inlineStr">
        <is>
          <t xml:space="preserve">  Electronic Charting Display and Information Systems-Navy (ECDIS-N)</t>
        </is>
      </c>
      <c r="L130" s="52" t="inlineStr">
        <is>
          <t>Electronics</t>
        </is>
      </c>
      <c r="M130" s="53">
        <f>SUMIFS(JB_26BV,JB_B,1,JB_EX,"P-8a",JB_CC,"Electronics",JB_H,"LPD",JB_CE,"Electronic Charting Display and Information Systems-Navy (ECDIS-N)",JB_RC,"ALT")</f>
        <v/>
      </c>
      <c r="N130" s="37">
        <f>IFERROR(M130/M$155,0)</f>
        <v/>
      </c>
      <c r="P130" s="52" t="inlineStr">
        <is>
          <t xml:space="preserve">  Internal Communication (IC) Voice</t>
        </is>
      </c>
      <c r="Q130" s="52" t="inlineStr">
        <is>
          <t>Hull, Mechanical, and Electrical</t>
        </is>
      </c>
      <c r="R130" s="53">
        <f>SUMIFS(JB_26BV,JB_B,1,JB_EX,"P-8a",JB_CC,"Hull, Mechanical, and Electrical",JB_H,"FFG",JB_CE,"Internal Communication (IC) Voice",JB_RC,"ALT")</f>
        <v/>
      </c>
      <c r="S130" s="37">
        <f>IFERROR(R130/R$140,0)</f>
        <v/>
      </c>
      <c r="U130" s="52" t="inlineStr">
        <is>
          <t xml:space="preserve">  Engineering Services</t>
        </is>
      </c>
      <c r="V130" s="52" t="inlineStr">
        <is>
          <t>Hull, Mechanical, and Electrical</t>
        </is>
      </c>
      <c r="W130" s="53">
        <f>SUMIFS(JB_26BV,JB_B,1,JB_EX,"P-8a",JB_CC,"Hull, Mechanical, and Electrical",JB_H,"T-AO",JB_CE,"Engineering Services",JB_RC,"ALT")</f>
        <v/>
      </c>
      <c r="X130" s="37">
        <f>IFERROR(W130/W$135,0)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IFERROR(H131/H$161,0)</f>
        <v/>
      </c>
      <c r="K131" s="52" t="inlineStr">
        <is>
          <t xml:space="preserve">  Nulka Decoy Launching System (DLS)</t>
        </is>
      </c>
      <c r="L131" s="52" t="inlineStr">
        <is>
          <t>Electronics</t>
        </is>
      </c>
      <c r="M131" s="53">
        <f>SUMIFS(JB_26BV,JB_B,1,JB_EX,"P-8a",JB_CC,"Electronics",JB_H,"LPD",JB_CE,"Nulka Decoy Launching System (DLS)",JB_RC,"ALT")</f>
        <v/>
      </c>
      <c r="N131" s="37">
        <f>IFERROR(M131/M$155,0)</f>
        <v/>
      </c>
      <c r="P131" s="52" t="inlineStr">
        <is>
          <t xml:space="preserve">  Interior Wireless Communication System (IWCS)</t>
        </is>
      </c>
      <c r="Q131" s="52" t="inlineStr">
        <is>
          <t>Hull, Mechanical, and Electrical</t>
        </is>
      </c>
      <c r="R131" s="53">
        <f>SUMIFS(JB_26BV,JB_B,1,JB_EX,"P-8a",JB_CC,"Hull, Mechanical, and Electrical",JB_H,"FFG",JB_CE,"Interior Wireless Communication System (IWCS)",JB_RC,"ALT")</f>
        <v/>
      </c>
      <c r="S131" s="37">
        <f>IFERROR(R131/R$140,0)</f>
        <v/>
      </c>
      <c r="U131" s="52" t="inlineStr">
        <is>
          <t xml:space="preserve">  Logistics Support Services</t>
        </is>
      </c>
      <c r="V131" s="52" t="inlineStr">
        <is>
          <t>Hull, Mechanical, and Electrical</t>
        </is>
      </c>
      <c r="W131" s="53">
        <f>SUMIFS(JB_26BV,JB_B,1,JB_EX,"P-8a",JB_CC,"Hull, Mechanical, and Electrical",JB_H,"T-AO",JB_CE,"Logistics Support Services",JB_RC,"ALT")</f>
        <v/>
      </c>
      <c r="X131" s="37">
        <f>IFERROR(W131/W$135,0)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IFERROR(H132/H$161,0)</f>
        <v/>
      </c>
      <c r="K132" s="52" t="inlineStr">
        <is>
          <t xml:space="preserve">  Advanced Training Domain (ATD)</t>
        </is>
      </c>
      <c r="L132" s="52" t="inlineStr">
        <is>
          <t>Electronics</t>
        </is>
      </c>
      <c r="M132" s="53">
        <f>SUMIFS(JB_26BV,JB_B,1,JB_EX,"P-8a",JB_CC,"Electronics",JB_H,"LPD",JB_CE,"Advanced Training Domain (ATD)",JB_RC,"ALT")</f>
        <v/>
      </c>
      <c r="N132" s="37">
        <f>IFERROR(M132/M$155,0)</f>
        <v/>
      </c>
      <c r="P132" s="52" t="inlineStr">
        <is>
          <t xml:space="preserve">  Unclassified Video System (UVS)</t>
        </is>
      </c>
      <c r="Q132" s="52" t="inlineStr">
        <is>
          <t>Hull, Mechanical, and Electrical</t>
        </is>
      </c>
      <c r="R132" s="53">
        <f>SUMIFS(JB_26BV,JB_B,1,JB_EX,"P-8a",JB_CC,"Hull, Mechanical, and Electrical",JB_H,"FFG",JB_CE,"Unclassified Video System (UVS)",JB_RC,"ALT")</f>
        <v/>
      </c>
      <c r="S132" s="37">
        <f>IFERROR(R132/R$140,0)</f>
        <v/>
      </c>
      <c r="U132" s="52" t="inlineStr">
        <is>
          <t xml:space="preserve">  Material Handling Equipment</t>
        </is>
      </c>
      <c r="V132" s="52" t="inlineStr">
        <is>
          <t>Hull, Mechanical, and Electrical</t>
        </is>
      </c>
      <c r="W132" s="53">
        <f>SUMIFS(JB_26BV,JB_B,1,JB_EX,"P-8a",JB_CC,"Hull, Mechanical, and Electrical",JB_H,"T-AO",JB_CE,"Material Handling Equipment",JB_RC,"ALT")</f>
        <v/>
      </c>
      <c r="X132" s="37">
        <f>IFERROR(W132/W$135,0)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IFERROR(H133/H$161,0)</f>
        <v/>
      </c>
      <c r="K133" s="52" t="inlineStr">
        <is>
          <t xml:space="preserve">  Amphibious Assault Direction System (AADS)</t>
        </is>
      </c>
      <c r="L133" s="52" t="inlineStr">
        <is>
          <t>Electronics</t>
        </is>
      </c>
      <c r="M133" s="53">
        <f>SUMIFS(JB_26BV,JB_B,1,JB_EX,"P-8a",JB_CC,"Electronics",JB_H,"LPD",JB_CE,"Amphibious Assault Direction System (AADS)",JB_RC,"ALT")</f>
        <v/>
      </c>
      <c r="N133" s="37">
        <f>IFERROR(M133/M$155,0)</f>
        <v/>
      </c>
      <c r="P133" s="52" t="inlineStr">
        <is>
          <t xml:space="preserve">  Ship Control System-Government (SCS GOV)</t>
        </is>
      </c>
      <c r="Q133" s="52" t="inlineStr">
        <is>
          <t>Hull, Mechanical, and Electrical</t>
        </is>
      </c>
      <c r="R133" s="53">
        <f>SUMIFS(JB_26BV,JB_B,1,JB_EX,"P-8a",JB_CC,"Hull, Mechanical, and Electrical",JB_H,"FFG",JB_CE,"Ship Control System-Government (SCS GOV)",JB_RC,"ALT")</f>
        <v/>
      </c>
      <c r="S133" s="37">
        <f>IFERROR(R133/R$140,0)</f>
        <v/>
      </c>
      <c r="U133" s="52" t="inlineStr">
        <is>
          <t xml:space="preserve">  Improved Point Detection System - Lifecycle Replacement (IPDS-LR)</t>
        </is>
      </c>
      <c r="V133" s="52" t="inlineStr">
        <is>
          <t>Hull, Mechanical, and Electrical</t>
        </is>
      </c>
      <c r="W133" s="53">
        <f>SUMIFS(JB_26BV,JB_B,1,JB_EX,"P-8a",JB_CC,"Hull, Mechanical, and Electrical",JB_H,"T-AO",JB_CE,"Improved Point Detection System - Lifecycle Replacement (IPDS-LR)",JB_RC,"ALT")</f>
        <v/>
      </c>
      <c r="X133" s="37">
        <f>IFERROR(W133/W$135,0)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IFERROR(H134/H$161,0)</f>
        <v/>
      </c>
      <c r="K134" s="52" t="inlineStr">
        <is>
          <t xml:space="preserve">  DHYSL</t>
        </is>
      </c>
      <c r="L134" s="52" t="inlineStr">
        <is>
          <t>Electronics</t>
        </is>
      </c>
      <c r="M134" s="53">
        <f>SUMIFS(JB_26BV,JB_B,1,JB_EX,"P-8a",JB_CC,"Electronics",JB_H,"LPD",JB_CE,"DHYSL",JB_RC,"ALT")</f>
        <v/>
      </c>
      <c r="N134" s="37">
        <f>IFERROR(M134/M$155,0)</f>
        <v/>
      </c>
      <c r="P134" s="52" t="inlineStr">
        <is>
          <t xml:space="preserve">  Advanced Flight Deck Lighting System (AFDLS)</t>
        </is>
      </c>
      <c r="Q134" s="52" t="inlineStr">
        <is>
          <t>Hull, Mechanical, and Electrical</t>
        </is>
      </c>
      <c r="R134" s="53">
        <f>SUMIFS(JB_26BV,JB_B,1,JB_EX,"P-8a",JB_CC,"Hull, Mechanical, and Electrical",JB_H,"FFG",JB_CE,"Advanced Flight Deck Lighting System (AFDLS)",JB_RC,"ALT")</f>
        <v/>
      </c>
      <c r="S134" s="37">
        <f>IFERROR(R134/R$140,0)</f>
        <v/>
      </c>
      <c r="U134" s="52" t="inlineStr">
        <is>
          <t xml:space="preserve">  Shipboard Automated Maintenance Module (SAMM)</t>
        </is>
      </c>
      <c r="V134" s="52" t="inlineStr">
        <is>
          <t>Hull, Mechanical, and Electrical</t>
        </is>
      </c>
      <c r="W134" s="53">
        <f>SUMIFS(JB_26BV,JB_B,1,JB_EX,"P-8a",JB_CC,"Hull, Mechanical, and Electrical",JB_H,"T-AO",JB_CE,"Shipboard Automated Maintenance Module (SAMM)",JB_RC,"ALT")</f>
        <v/>
      </c>
      <c r="X134" s="37">
        <f>IFERROR(W134/W$135,0)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IFERROR(H135/H$161,0)</f>
        <v/>
      </c>
      <c r="K135" s="52" t="inlineStr">
        <is>
          <t xml:space="preserve">  AN/UQN-10</t>
        </is>
      </c>
      <c r="L135" s="52" t="inlineStr">
        <is>
          <t>Electronics</t>
        </is>
      </c>
      <c r="M135" s="53">
        <f>SUMIFS(JB_26BV,JB_B,1,JB_EX,"P-8a",JB_CC,"Electronics",JB_H,"LPD",JB_CE,"AN/UQN-10",JB_RC,"ALT")</f>
        <v/>
      </c>
      <c r="N135" s="37">
        <f>IFERROR(M135/M$155,0)</f>
        <v/>
      </c>
      <c r="P135" s="49" t="inlineStr">
        <is>
          <t>Ordnance</t>
        </is>
      </c>
      <c r="R135" s="50">
        <f>SUM(R136:R139)</f>
        <v/>
      </c>
      <c r="S135" s="51">
        <f>IFERROR(R135/R$140,0)</f>
        <v/>
      </c>
      <c r="U135" s="32" t="inlineStr">
        <is>
          <t>T-AO Total</t>
        </is>
      </c>
      <c r="V135" s="54" t="n"/>
      <c r="W135" s="33">
        <f>W119+W129</f>
        <v/>
      </c>
      <c r="X135" s="38" t="n">
        <v>1</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IFERROR(H136/H$161,0)</f>
        <v/>
      </c>
      <c r="K136" s="52" t="inlineStr">
        <is>
          <t xml:space="preserve">  RADIAC</t>
        </is>
      </c>
      <c r="L136" s="52" t="inlineStr">
        <is>
          <t>Electronics</t>
        </is>
      </c>
      <c r="M136" s="53">
        <f>SUMIFS(JB_26BV,JB_B,1,JB_EX,"P-8a",JB_CC,"Electronics",JB_H,"LPD",JB_CE,"RADIAC",JB_RC,"ALT")</f>
        <v/>
      </c>
      <c r="N136" s="37">
        <f>IFERROR(M136/M$155,0)</f>
        <v/>
      </c>
      <c r="P136" s="52" t="inlineStr">
        <is>
          <t xml:space="preserve">  MK 41 Vertical Launch System (VLS)- 32 Cell</t>
        </is>
      </c>
      <c r="Q136" s="52" t="inlineStr">
        <is>
          <t>Ordnance</t>
        </is>
      </c>
      <c r="R136" s="53">
        <f>SUMIFS(JB_26BV,JB_B,1,JB_EX,"P-8a",JB_CC,"Ordnance",JB_H,"FFG",JB_CE,"MK 41 Vertical Launch System (VLS)- 32 Cell",JB_RC,"ALT")</f>
        <v/>
      </c>
      <c r="S136" s="37">
        <f>IFERROR(R136/R$140,0)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IFERROR(H137/H$161,0)</f>
        <v/>
      </c>
      <c r="K137" s="49" t="inlineStr">
        <is>
          <t>Hull, Mechanical, and Electrical</t>
        </is>
      </c>
      <c r="M137" s="50">
        <f>SUM(M138:M145)</f>
        <v/>
      </c>
      <c r="N137" s="51">
        <f>IFERROR(M137/M$155,0)</f>
        <v/>
      </c>
      <c r="P137" s="52" t="inlineStr">
        <is>
          <t xml:space="preserve">  MK 48 Gun Weapon System (GWS)</t>
        </is>
      </c>
      <c r="Q137" s="52" t="inlineStr">
        <is>
          <t>Ordnance</t>
        </is>
      </c>
      <c r="R137" s="53">
        <f>SUMIFS(JB_26BV,JB_B,1,JB_EX,"P-8a",JB_CC,"Ordnance",JB_H,"FFG",JB_CE,"MK 48 Gun Weapon System (GWS)",JB_RC,"ALT")</f>
        <v/>
      </c>
      <c r="S137" s="37">
        <f>IFERROR(R137/R$140,0)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IFERROR(H138/H$161,0)</f>
        <v/>
      </c>
      <c r="K138" s="52" t="inlineStr">
        <is>
          <t xml:space="preserve">  Unclassified Video System (UVS)</t>
        </is>
      </c>
      <c r="L138" s="52" t="inlineStr">
        <is>
          <t>Hull, Mechanical, and Electrical</t>
        </is>
      </c>
      <c r="M138" s="53">
        <f>SUMIFS(JB_26BV,JB_B,1,JB_EX,"P-8a",JB_CC,"Hull, Mechanical, and Electrical",JB_H,"LPD",JB_CE,"Unclassified Video System (UVS)",JB_RC,"ALT")</f>
        <v/>
      </c>
      <c r="N138" s="37">
        <f>IFERROR(M138/M$155,0)</f>
        <v/>
      </c>
      <c r="P138" s="52" t="inlineStr">
        <is>
          <t xml:space="preserve">  Other Ordnance</t>
        </is>
      </c>
      <c r="Q138" s="52" t="inlineStr">
        <is>
          <t>Ordnance</t>
        </is>
      </c>
      <c r="R138" s="53">
        <f>SUMIFS(JB_26BV,JB_B,1,JB_EX,"P-8a",JB_CC,"Ordnance",JB_H,"FFG",JB_CE,"Other Ordnance",JB_RC,"ALT")</f>
        <v/>
      </c>
      <c r="S138" s="37">
        <f>IFERROR(R138/R$140,0)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IFERROR(H139/H$161,0)</f>
        <v/>
      </c>
      <c r="K139" s="52" t="inlineStr">
        <is>
          <t xml:space="preserve">  Forklift Trucks</t>
        </is>
      </c>
      <c r="L139" s="52" t="inlineStr">
        <is>
          <t>Hull, Mechanical, and Electrical</t>
        </is>
      </c>
      <c r="M139" s="53">
        <f>SUMIFS(JB_26BV,JB_B,1,JB_EX,"P-8a",JB_CC,"Hull, Mechanical, and Electrical",JB_H,"LPD",JB_CE,"Forklift Trucks",JB_RC,"ALT")</f>
        <v/>
      </c>
      <c r="N139" s="37">
        <f>IFERROR(M139/M$155,0)</f>
        <v/>
      </c>
      <c r="P139" s="52" t="inlineStr">
        <is>
          <t xml:space="preserve">  MK 53 Decoy Launching System (DLS) (Nulka)- 4 Launcher</t>
        </is>
      </c>
      <c r="Q139" s="52" t="inlineStr">
        <is>
          <t>Ordnance</t>
        </is>
      </c>
      <c r="R139" s="53">
        <f>SUMIFS(JB_26BV,JB_B,1,JB_EX,"P-8a",JB_CC,"Ordnance",JB_H,"FFG",JB_CE,"MK 53 Decoy Launching System (DLS) (Nulka)- 4 Launcher",JB_RC,"ALT")</f>
        <v/>
      </c>
      <c r="S139" s="37">
        <f>IFERROR(R139/R$140,0)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IFERROR(H140/H$161,0)</f>
        <v/>
      </c>
      <c r="K140" s="52" t="inlineStr">
        <is>
          <t xml:space="preserve">  Chemical Warfare Detectors</t>
        </is>
      </c>
      <c r="L140" s="52" t="inlineStr">
        <is>
          <t>Hull, Mechanical, and Electrical</t>
        </is>
      </c>
      <c r="M140" s="53">
        <f>SUMIFS(JB_26BV,JB_B,1,JB_EX,"P-8a",JB_CC,"Hull, Mechanical, and Electrical",JB_H,"LPD",JB_CE,"Chemical Warfare Detectors",JB_RC,"ALT")</f>
        <v/>
      </c>
      <c r="N140" s="37">
        <f>IFERROR(M140/M$155,0)</f>
        <v/>
      </c>
      <c r="P140" s="32" t="inlineStr">
        <is>
          <t>FFG Total</t>
        </is>
      </c>
      <c r="Q140" s="54" t="n"/>
      <c r="R140" s="33">
        <f>R119+R127+R135</f>
        <v/>
      </c>
      <c r="S140" s="38" t="n">
        <v>1</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IFERROR(H141/H$161,0)</f>
        <v/>
      </c>
      <c r="K141" s="52" t="inlineStr">
        <is>
          <t xml:space="preserve">  Motor Operated Pilot Valve (MOPV)</t>
        </is>
      </c>
      <c r="L141" s="52" t="inlineStr">
        <is>
          <t>Hull, Mechanical, and Electrical</t>
        </is>
      </c>
      <c r="M141" s="53">
        <f>SUMIFS(JB_26BV,JB_B,1,JB_EX,"P-8a",JB_CC,"Hull, Mechanical, and Electrical",JB_H,"LPD",JB_CE,"Motor Operated Pilot Valve (MOPV)",JB_RC,"ALT")</f>
        <v/>
      </c>
      <c r="N141" s="37">
        <f>IFERROR(M141/M$155,0)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IFERROR(H142/H$161,0)</f>
        <v/>
      </c>
      <c r="K142" s="52" t="inlineStr">
        <is>
          <t xml:space="preserve">  Plastic Waste Processing EQP</t>
        </is>
      </c>
      <c r="L142" s="52" t="inlineStr">
        <is>
          <t>Hull, Mechanical, and Electrical</t>
        </is>
      </c>
      <c r="M142" s="53">
        <f>SUMIFS(JB_26BV,JB_B,1,JB_EX,"P-8a",JB_CC,"Hull, Mechanical, and Electrical",JB_H,"LPD",JB_CE,"Plastic Waste Processing EQP",JB_RC,"ALT")</f>
        <v/>
      </c>
      <c r="N142" s="37">
        <f>IFERROR(M142/M$155,0)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IFERROR(H143/H$161,0)</f>
        <v/>
      </c>
      <c r="K143" s="52" t="inlineStr">
        <is>
          <t xml:space="preserve">  Boats (Rigid Inflatable Boat, 7 meter)</t>
        </is>
      </c>
      <c r="L143" s="52" t="inlineStr">
        <is>
          <t>Hull, Mechanical, and Electrical</t>
        </is>
      </c>
      <c r="M143" s="53">
        <f>SUMIFS(JB_26BV,JB_B,1,JB_EX,"P-8a",JB_CC,"Hull, Mechanical, and Electrical",JB_H,"LPD",JB_CE,"Boats (Rigid Inflatable Boat, 7 meter)",JB_RC,"ALT")</f>
        <v/>
      </c>
      <c r="N143" s="37">
        <f>IFERROR(M143/M$155,0)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IFERROR(H144/H$161,0)</f>
        <v/>
      </c>
      <c r="K144" s="52" t="inlineStr">
        <is>
          <t xml:space="preserve">  Military Payroll System</t>
        </is>
      </c>
      <c r="L144" s="52" t="inlineStr">
        <is>
          <t>Hull, Mechanical, and Electrical</t>
        </is>
      </c>
      <c r="M144" s="53">
        <f>SUMIFS(JB_26BV,JB_B,1,JB_EX,"P-8a",JB_CC,"Hull, Mechanical, and Electrical",JB_H,"LPD",JB_CE,"Military Payroll System",JB_RC,"ALT")</f>
        <v/>
      </c>
      <c r="N144" s="37">
        <f>IFERROR(M144/M$155,0)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IFERROR(H145/H$161,0)</f>
        <v/>
      </c>
      <c r="K145" s="52" t="inlineStr">
        <is>
          <t xml:space="preserve">  Oily Water Separator</t>
        </is>
      </c>
      <c r="L145" s="52" t="inlineStr">
        <is>
          <t>Hull, Mechanical, and Electrical</t>
        </is>
      </c>
      <c r="M145" s="53">
        <f>SUMIFS(JB_26BV,JB_B,1,JB_EX,"P-8a",JB_CC,"Hull, Mechanical, and Electrical",JB_H,"LPD",JB_CE,"Oily Water Separator",JB_RC,"ALT")</f>
        <v/>
      </c>
      <c r="N145" s="37">
        <f>IFERROR(M145/M$155,0)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IFERROR(H146/H$161,0)</f>
        <v/>
      </c>
      <c r="K146" s="49" t="inlineStr">
        <is>
          <t>Ordnance</t>
        </is>
      </c>
      <c r="M146" s="50">
        <f>SUM(M147:M154)</f>
        <v/>
      </c>
      <c r="N146" s="51">
        <f>IFERROR(M146/M$155,0)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IFERROR(H147/H$161,0)</f>
        <v/>
      </c>
      <c r="K147" s="52" t="inlineStr">
        <is>
          <t xml:space="preserve">  EASR</t>
        </is>
      </c>
      <c r="L147" s="52" t="inlineStr">
        <is>
          <t>Ordnance</t>
        </is>
      </c>
      <c r="M147" s="53">
        <f>SUMIFS(JB_26BV,JB_B,1,JB_EX,"P-8a",JB_CC,"Ordnance",JB_H,"LPD",JB_CE,"EASR",JB_RC,"ALT")</f>
        <v/>
      </c>
      <c r="N147" s="37">
        <f>IFERROR(M147/M$155,0)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IFERROR(H148/H$161,0)</f>
        <v/>
      </c>
      <c r="K148" s="52" t="inlineStr">
        <is>
          <t xml:space="preserve">  RAM BLOCK II</t>
        </is>
      </c>
      <c r="L148" s="52" t="inlineStr">
        <is>
          <t>Ordnance</t>
        </is>
      </c>
      <c r="M148" s="53">
        <f>SUMIFS(JB_26BV,JB_B,1,JB_EX,"P-8a",JB_CC,"Ordnance",JB_H,"LPD",JB_CE,"RAM BLOCK II",JB_RC,"ALT")</f>
        <v/>
      </c>
      <c r="N148" s="37">
        <f>IFERROR(M148/M$155,0)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IFERROR(H149/H$161,0)</f>
        <v/>
      </c>
      <c r="K149" s="52" t="inlineStr">
        <is>
          <t xml:space="preserve">  MISCELLANEOUS ORDNANCE</t>
        </is>
      </c>
      <c r="L149" s="52" t="inlineStr">
        <is>
          <t>Ordnance</t>
        </is>
      </c>
      <c r="M149" s="53">
        <f>SUMIFS(JB_26BV,JB_B,1,JB_EX,"P-8a",JB_CC,"Ordnance",JB_H,"LPD",JB_CE,"MISCELLANEOUS ORDNANCE",JB_RC,"ALT")</f>
        <v/>
      </c>
      <c r="N149" s="37">
        <f>IFERROR(M149/M$155,0)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IFERROR(H150/H$161,0)</f>
        <v/>
      </c>
      <c r="K150" s="52" t="inlineStr">
        <is>
          <t xml:space="preserve">  MK 46 GUN</t>
        </is>
      </c>
      <c r="L150" s="52" t="inlineStr">
        <is>
          <t>Ordnance</t>
        </is>
      </c>
      <c r="M150" s="53">
        <f>SUMIFS(JB_26BV,JB_B,1,JB_EX,"P-8a",JB_CC,"Ordnance",JB_H,"LPD",JB_CE,"MK 46 GUN",JB_RC,"ALT")</f>
        <v/>
      </c>
      <c r="N150" s="37">
        <f>IFERROR(M150/M$155,0)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IFERROR(H151/H$161,0)</f>
        <v/>
      </c>
      <c r="K151" s="52" t="inlineStr">
        <is>
          <t xml:space="preserve">  AN/SPQ-9B Radar Set</t>
        </is>
      </c>
      <c r="L151" s="52" t="inlineStr">
        <is>
          <t>Ordnance</t>
        </is>
      </c>
      <c r="M151" s="53">
        <f>SUMIFS(JB_26BV,JB_B,1,JB_EX,"P-8a",JB_CC,"Ordnance",JB_H,"LPD",JB_CE,"AN/SPQ-9B Radar Set",JB_RC,"ALT")</f>
        <v/>
      </c>
      <c r="N151" s="37">
        <f>IFERROR(M151/M$155,0)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IFERROR(H152/H$161,0)</f>
        <v/>
      </c>
      <c r="K152" s="52" t="inlineStr">
        <is>
          <t xml:space="preserve">  ASGSI/HOSS/MWS Fit Control &amp; Inst Land Sys</t>
        </is>
      </c>
      <c r="L152" s="52" t="inlineStr">
        <is>
          <t>Ordnance</t>
        </is>
      </c>
      <c r="M152" s="53">
        <f>SUMIFS(JB_26BV,JB_B,1,JB_EX,"P-8a",JB_CC,"Ordnance",JB_H,"LPD",JB_CE,"ASGSI/HOSS/MWS Fit Control &amp; Inst Land Sys",JB_RC,"ALT")</f>
        <v/>
      </c>
      <c r="N152" s="37">
        <f>IFERROR(M152/M$155,0)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IFERROR(H153/H$161,0)</f>
        <v/>
      </c>
      <c r="K153" s="52" t="inlineStr">
        <is>
          <t xml:space="preserve">  Next Generation Surface Search Radar (NGSSR)</t>
        </is>
      </c>
      <c r="L153" s="52" t="inlineStr">
        <is>
          <t>Ordnance</t>
        </is>
      </c>
      <c r="M153" s="53">
        <f>SUMIFS(JB_26BV,JB_B,1,JB_EX,"P-8a",JB_CC,"Ordnance",JB_H,"LPD",JB_CE,"Next Generation Surface Search Radar (NGSSR)",JB_RC,"ALT")</f>
        <v/>
      </c>
      <c r="N153" s="37">
        <f>IFERROR(M153/M$155,0)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IFERROR(H154/H$161,0)</f>
        <v/>
      </c>
      <c r="K154" s="52" t="inlineStr">
        <is>
          <t xml:space="preserve">  ORDNANCE HANDLING EQUIPMENT</t>
        </is>
      </c>
      <c r="L154" s="52" t="inlineStr">
        <is>
          <t>Ordnance</t>
        </is>
      </c>
      <c r="M154" s="53">
        <f>SUMIFS(JB_26BV,JB_B,1,JB_EX,"P-8a",JB_CC,"Ordnance",JB_H,"LPD",JB_CE,"ORDNANCE HANDLING EQUIPMENT",JB_RC,"ALT")</f>
        <v/>
      </c>
      <c r="N154" s="37">
        <f>IFERROR(M154/M$155,0)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IFERROR(H155/H$161,0)</f>
        <v/>
      </c>
      <c r="K155" s="32" t="inlineStr">
        <is>
          <t>LPD Total</t>
        </is>
      </c>
      <c r="L155" s="54" t="n"/>
      <c r="M155" s="33">
        <f>M119+M137+M146</f>
        <v/>
      </c>
      <c r="N155" s="38" t="n">
        <v>1</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IFERROR(H156/H$161,0)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IFERROR(H157/H$161,0)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IFERROR(H158/H$161,0)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IFERROR(H159/H$161,0)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IFERROR(H160/H$161,0)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c r="F161" s="32" t="inlineStr">
        <is>
          <t>LHA Total</t>
        </is>
      </c>
      <c r="G161" s="54" t="n"/>
      <c r="H161" s="33">
        <f>H119+H145+H149</f>
        <v/>
      </c>
      <c r="I161" s="38" t="n">
        <v>1</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General Auxiliary</t>
        </is>
      </c>
      <c r="B35" s="30" t="inlineStr">
        <is>
          <t>USN</t>
        </is>
      </c>
      <c r="C3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5" s="37">
        <f>IFERROR(C35/C$55,0)</f>
        <v/>
      </c>
    </row>
    <row r="36" ht="10" customHeight="1">
      <c r="A36" s="30" t="inlineStr">
        <is>
          <t>Hospital Ship</t>
        </is>
      </c>
      <c r="B36" s="30" t="inlineStr">
        <is>
          <t>MSC</t>
        </is>
      </c>
      <c r="C36" s="31">
        <f>SUMIFS(JB_26BV,JB_B,2,JB_W,"Hospital Ship",JB_RC,"ADD")+SUMIFS(JB_26BV,JB_B,3,JB_W,"Hospital Ship",JB_RC,"ADD")+SUMIFS(JB_26BV,JB_B,4,JB_W,"Hospital Ship",JB_RC,"ADD")+SUMIFS(JB_26BV,JB_B,5,JB_W,"Hospital Ship",JB_RC,"ADD")+SUMIFS(JB_26BV,JB_B,6,JB_W,"Hospital Ship",JB_RC,"ADD")+SUMIFS(JB_26BV,JB_B,7,JB_W,"Hospital Ship",JB_RC,"ADD")</f>
        <v/>
      </c>
      <c r="D36" s="37">
        <f>IFERROR(C36/C$55,0)</f>
        <v/>
      </c>
    </row>
    <row r="37" ht="10" customHeight="1">
      <c r="A37" s="30" t="inlineStr">
        <is>
          <t>Material Support Ships</t>
        </is>
      </c>
      <c r="B37" s="30" t="inlineStr">
        <is>
          <t>USN</t>
        </is>
      </c>
      <c r="C3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7" s="37">
        <f>IFERROR(C37/C$55,0)</f>
        <v/>
      </c>
    </row>
    <row r="38" ht="10" customHeight="1">
      <c r="A38" s="30" t="inlineStr">
        <is>
          <t>Salvage Ships &amp; Fleet Ocean Tugs</t>
        </is>
      </c>
      <c r="B38" s="30" t="inlineStr">
        <is>
          <t>MSC</t>
        </is>
      </c>
      <c r="C38"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8" s="37">
        <f>IFERROR(C38/C$55,0)</f>
        <v/>
      </c>
    </row>
    <row r="39" ht="10" customHeight="1">
      <c r="A39" s="30" t="inlineStr">
        <is>
          <t>Cargo &amp; Vehicle Cargo Ships</t>
        </is>
      </c>
      <c r="B39" s="30" t="inlineStr">
        <is>
          <t>USN</t>
        </is>
      </c>
      <c r="C39"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9" s="37">
        <f>IFERROR(C39/C$55,0)</f>
        <v/>
      </c>
    </row>
    <row r="40" ht="10" customHeight="1">
      <c r="A40" s="30" t="inlineStr">
        <is>
          <t>Crane Ship</t>
        </is>
      </c>
      <c r="B40" s="30" t="inlineStr">
        <is>
          <t>USN</t>
        </is>
      </c>
      <c r="C40" s="31">
        <f>SUMIFS(JB_26BV,JB_B,2,JB_W,"Crane Ship",JB_RC,"ADD")+SUMIFS(JB_26BV,JB_B,3,JB_W,"Crane Ship",JB_RC,"ADD")+SUMIFS(JB_26BV,JB_B,4,JB_W,"Crane Ship",JB_RC,"ADD")+SUMIFS(JB_26BV,JB_B,5,JB_W,"Crane Ship",JB_RC,"ADD")+SUMIFS(JB_26BV,JB_B,6,JB_W,"Crane Ship",JB_RC,"ADD")+SUMIFS(JB_26BV,JB_B,7,JB_W,"Crane Ship",JB_RC,"ADD")</f>
        <v/>
      </c>
      <c r="D40" s="37">
        <f>IFERROR(C40/C$55,0)</f>
        <v/>
      </c>
    </row>
    <row r="41" ht="10" customHeight="1">
      <c r="A41" s="30" t="inlineStr">
        <is>
          <t>Aviation Logistics Support Ship</t>
        </is>
      </c>
      <c r="B41" s="30" t="inlineStr">
        <is>
          <t>USN</t>
        </is>
      </c>
      <c r="C41"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1" s="37">
        <f>IFERROR(C41/C$55,0)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IFERROR(C42/C$55,0)</f>
        <v/>
      </c>
    </row>
    <row r="43" ht="10" customHeight="1">
      <c r="A43" s="30" t="inlineStr">
        <is>
          <t>Unmanned Surface Vehicles</t>
        </is>
      </c>
      <c r="B43" s="30" t="inlineStr">
        <is>
          <t>USN</t>
        </is>
      </c>
      <c r="C43"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3" s="37">
        <f>IFERROR(C43/C$55,0)</f>
        <v/>
      </c>
    </row>
    <row r="44" ht="10" customHeight="1">
      <c r="A44" s="30" t="inlineStr">
        <is>
          <t>Research, Survey &amp; Instrumentation Ships</t>
        </is>
      </c>
      <c r="B44" s="30" t="inlineStr">
        <is>
          <t>MSC</t>
        </is>
      </c>
      <c r="C44"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4" s="37">
        <f>IFERROR(C44/C$55,0)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IFERROR(C45/C$55,0)</f>
        <v/>
      </c>
    </row>
    <row r="46" ht="10" customHeight="1">
      <c r="A46" s="30" t="inlineStr">
        <is>
          <t>Combat Logistics Ships</t>
        </is>
      </c>
      <c r="B46" s="30" t="inlineStr">
        <is>
          <t>MSC</t>
        </is>
      </c>
      <c r="C4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6" s="37">
        <f>IFERROR(C46/C$55,0)</f>
        <v/>
      </c>
    </row>
    <row r="47" ht="10" customHeight="1">
      <c r="A47" s="30" t="inlineStr">
        <is>
          <t>Submarine Escort Ship</t>
        </is>
      </c>
      <c r="B47" s="30" t="inlineStr">
        <is>
          <t>USN</t>
        </is>
      </c>
      <c r="C47"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IFERROR(C49/C$55,0)</f>
        <v/>
      </c>
    </row>
    <row r="50" ht="10" customHeight="1">
      <c r="A50" s="30" t="inlineStr">
        <is>
          <t>Icebreakers, Oceangoing</t>
        </is>
      </c>
      <c r="B50" s="30" t="inlineStr">
        <is>
          <t>USCG</t>
        </is>
      </c>
      <c r="C50"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0" s="37">
        <f>IFERROR(C50/C$55,0)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IFERROR(C51/C$55,0)</f>
        <v/>
      </c>
    </row>
    <row r="52" ht="10" customHeight="1">
      <c r="A52" s="30" t="inlineStr">
        <is>
          <t>Fast Response Cutters</t>
        </is>
      </c>
      <c r="B52" s="30" t="inlineStr">
        <is>
          <t>USCG</t>
        </is>
      </c>
      <c r="C52"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2" s="37">
        <f>IFERROR(C52/C$55,0)</f>
        <v/>
      </c>
    </row>
    <row r="53" ht="10" customHeight="1">
      <c r="A53" s="30" t="inlineStr">
        <is>
          <t>Icebreakers, Great Lakes</t>
        </is>
      </c>
      <c r="B53" s="30" t="inlineStr">
        <is>
          <t>USCG</t>
        </is>
      </c>
      <c r="C53"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3" s="37">
        <f>IFERROR(C53/C$55,0)</f>
        <v/>
      </c>
    </row>
    <row r="54" ht="10" customHeight="1">
      <c r="A54" s="30" t="inlineStr">
        <is>
          <t>Coastal Buoy Tenders</t>
        </is>
      </c>
      <c r="B54" s="30" t="inlineStr">
        <is>
          <t>USCG</t>
        </is>
      </c>
      <c r="C54"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Unmanned Surface Vehicles</t>
        </is>
      </c>
      <c r="B21" s="30" t="inlineStr">
        <is>
          <t>USN</t>
        </is>
      </c>
      <c r="C21" s="31">
        <f>SUMIFS(JB_26BV,JB_B,2,JB_W,"Unmanned Surface Vehicles",JB_RC,"ADD")</f>
        <v/>
      </c>
      <c r="D21" s="31">
        <f>SUMIFS(JB_26BV,JB_B,3,JB_W,"Unmanned Surface Vehicles",JB_RC,"ADD")</f>
        <v/>
      </c>
      <c r="E21" s="31">
        <f>SUMIFS(JB_26BV,JB_B,4,JB_W,"Unmanned Surface Vehicles",JB_RC,"ADD")</f>
        <v/>
      </c>
      <c r="F21" s="31">
        <f>SUMIFS(JB_26BV,JB_B,5,JB_W,"Unmanned Surface Vehicles",JB_RC,"ADD")</f>
        <v/>
      </c>
      <c r="G21" s="31">
        <f>SUM(C21:F21)</f>
        <v/>
      </c>
      <c r="H21" s="37">
        <f>IFERROR(G21/G$40,0)</f>
        <v/>
      </c>
    </row>
    <row r="22" ht="10" customHeight="1">
      <c r="A22" s="30" t="inlineStr">
        <is>
          <t>Research, Survey &amp; Instrumentation Ships</t>
        </is>
      </c>
      <c r="B22" s="30" t="inlineStr">
        <is>
          <t>MSC</t>
        </is>
      </c>
      <c r="C22" s="31">
        <f>SUMIFS(JB_26BV,JB_B,2,JB_W,"Research, Survey &amp; Instrumentation Ships",JB_RC,"ADD")</f>
        <v/>
      </c>
      <c r="D22" s="31">
        <f>SUMIFS(JB_26BV,JB_B,3,JB_W,"Research, Survey &amp; Instrumentation Ships",JB_RC,"ADD")</f>
        <v/>
      </c>
      <c r="E22" s="31">
        <f>SUMIFS(JB_26BV,JB_B,4,JB_W,"Research, Survey &amp; Instrumentation Ships",JB_RC,"ADD")</f>
        <v/>
      </c>
      <c r="F22" s="31">
        <f>SUMIFS(JB_26BV,JB_B,5,JB_W,"Research, Survey &amp; Instrumentation Ships",JB_RC,"ADD")</f>
        <v/>
      </c>
      <c r="G22" s="31">
        <f>SUM(C22:F22)</f>
        <v/>
      </c>
      <c r="H22" s="37">
        <f>IFERROR(G22/G$40,0)</f>
        <v/>
      </c>
    </row>
    <row r="23" ht="10" customHeight="1">
      <c r="A23" s="30" t="inlineStr">
        <is>
          <t>High Speed Transport</t>
        </is>
      </c>
      <c r="B23" s="30" t="inlineStr">
        <is>
          <t>USN</t>
        </is>
      </c>
      <c r="C23" s="31">
        <f>SUMIFS(JB_26BV,JB_B,2,JB_W,"High Speed Transport",JB_RC,"ADD")</f>
        <v/>
      </c>
      <c r="D23" s="31">
        <f>SUMIFS(JB_26BV,JB_B,3,JB_W,"High Speed Transport",JB_RC,"ADD")</f>
        <v/>
      </c>
      <c r="E23" s="31">
        <f>SUMIFS(JB_26BV,JB_B,4,JB_W,"High Speed Transport",JB_RC,"ADD")</f>
        <v/>
      </c>
      <c r="F23" s="31">
        <f>SUMIFS(JB_26BV,JB_B,5,JB_W,"High Speed Transport",JB_RC,"ADD")</f>
        <v/>
      </c>
      <c r="G23" s="31">
        <f>SUM(C23:F23)</f>
        <v/>
      </c>
      <c r="H23" s="37">
        <f>IFERROR(G23/G$40,0)</f>
        <v/>
      </c>
    </row>
    <row r="24" ht="10" customHeight="1">
      <c r="A24" s="30" t="inlineStr">
        <is>
          <t>General Auxiliary</t>
        </is>
      </c>
      <c r="B24" s="30" t="inlineStr">
        <is>
          <t>USN</t>
        </is>
      </c>
      <c r="C24" s="31">
        <f>SUMIFS(JB_26BV,JB_B,2,JB_W,"General Auxiliary",JB_RC,"ADD")</f>
        <v/>
      </c>
      <c r="D24" s="31">
        <f>SUMIFS(JB_26BV,JB_B,3,JB_W,"General Auxiliary",JB_RC,"ADD")</f>
        <v/>
      </c>
      <c r="E24" s="31">
        <f>SUMIFS(JB_26BV,JB_B,4,JB_W,"General Auxiliary",JB_RC,"ADD")</f>
        <v/>
      </c>
      <c r="F24" s="31">
        <f>SUMIFS(JB_26BV,JB_B,5,JB_W,"General Auxiliary",JB_RC,"ADD")</f>
        <v/>
      </c>
      <c r="G24" s="31">
        <f>SUM(C24:F24)</f>
        <v/>
      </c>
      <c r="H24" s="37">
        <f>IFERROR(G24/G$40,0)</f>
        <v/>
      </c>
    </row>
    <row r="25" ht="10" customHeight="1">
      <c r="A25" s="30" t="inlineStr">
        <is>
          <t>Hospital Ship</t>
        </is>
      </c>
      <c r="B25" s="30" t="inlineStr">
        <is>
          <t>MSC</t>
        </is>
      </c>
      <c r="C25" s="31">
        <f>SUMIFS(JB_26BV,JB_B,2,JB_W,"Hospital Ship",JB_RC,"ADD")</f>
        <v/>
      </c>
      <c r="D25" s="31">
        <f>SUMIFS(JB_26BV,JB_B,3,JB_W,"Hospital Ship",JB_RC,"ADD")</f>
        <v/>
      </c>
      <c r="E25" s="31">
        <f>SUMIFS(JB_26BV,JB_B,4,JB_W,"Hospital Ship",JB_RC,"ADD")</f>
        <v/>
      </c>
      <c r="F25" s="31">
        <f>SUMIFS(JB_26BV,JB_B,5,JB_W,"Hospital Ship",JB_RC,"ADD")</f>
        <v/>
      </c>
      <c r="G25" s="31">
        <f>SUM(C25:F25)</f>
        <v/>
      </c>
      <c r="H25" s="37">
        <f>IFERROR(G25/G$40,0)</f>
        <v/>
      </c>
    </row>
    <row r="26" ht="10" customHeight="1">
      <c r="A26" s="30" t="inlineStr">
        <is>
          <t>Combat Logistics Ships</t>
        </is>
      </c>
      <c r="B26" s="30" t="inlineStr">
        <is>
          <t>MSC</t>
        </is>
      </c>
      <c r="C26" s="31">
        <f>SUMIFS(JB_26BV,JB_B,2,JB_W,"Combat Logistics Ships",JB_RC,"ADD")</f>
        <v/>
      </c>
      <c r="D26" s="31">
        <f>SUMIFS(JB_26BV,JB_B,3,JB_W,"Combat Logistics Ships",JB_RC,"ADD")</f>
        <v/>
      </c>
      <c r="E26" s="31">
        <f>SUMIFS(JB_26BV,JB_B,4,JB_W,"Combat Logistics Ships",JB_RC,"ADD")</f>
        <v/>
      </c>
      <c r="F26" s="31">
        <f>SUMIFS(JB_26BV,JB_B,5,JB_W,"Combat Logistics Ships",JB_RC,"ADD")</f>
        <v/>
      </c>
      <c r="G26" s="31">
        <f>SUM(C26:F26)</f>
        <v/>
      </c>
      <c r="H26" s="37">
        <f>IFERROR(G26/G$40,0)</f>
        <v/>
      </c>
    </row>
    <row r="27" ht="10" customHeight="1">
      <c r="A27" s="30" t="inlineStr">
        <is>
          <t>Material Support Ships</t>
        </is>
      </c>
      <c r="B27" s="30" t="inlineStr">
        <is>
          <t>USN</t>
        </is>
      </c>
      <c r="C27" s="31">
        <f>SUMIFS(JB_26BV,JB_B,2,JB_W,"Material Support Ships",JB_RC,"ADD")</f>
        <v/>
      </c>
      <c r="D27" s="31">
        <f>SUMIFS(JB_26BV,JB_B,3,JB_W,"Material Support Ships",JB_RC,"ADD")</f>
        <v/>
      </c>
      <c r="E27" s="31">
        <f>SUMIFS(JB_26BV,JB_B,4,JB_W,"Material Support Ships",JB_RC,"ADD")</f>
        <v/>
      </c>
      <c r="F27" s="31">
        <f>SUMIFS(JB_26BV,JB_B,5,JB_W,"Material Support Ships",JB_RC,"ADD")</f>
        <v/>
      </c>
      <c r="G27" s="31">
        <f>SUM(C27:F27)</f>
        <v/>
      </c>
      <c r="H27" s="37">
        <f>IFERROR(G27/G$40,0)</f>
        <v/>
      </c>
    </row>
    <row r="28" ht="10" customHeight="1">
      <c r="A28" s="30" t="inlineStr">
        <is>
          <t>Salvage Ships &amp; Fleet Ocean Tugs</t>
        </is>
      </c>
      <c r="B28" s="30" t="inlineStr">
        <is>
          <t>MSC</t>
        </is>
      </c>
      <c r="C28" s="31">
        <f>SUMIFS(JB_26BV,JB_B,2,JB_W,"Salvage Ships &amp; Fleet Ocean Tugs",JB_RC,"ADD")</f>
        <v/>
      </c>
      <c r="D28" s="31">
        <f>SUMIFS(JB_26BV,JB_B,3,JB_W,"Salvage Ships &amp; Fleet Ocean Tugs",JB_RC,"ADD")</f>
        <v/>
      </c>
      <c r="E28" s="31">
        <f>SUMIFS(JB_26BV,JB_B,4,JB_W,"Salvage Ships &amp; Fleet Ocean Tugs",JB_RC,"ADD")</f>
        <v/>
      </c>
      <c r="F28" s="31">
        <f>SUMIFS(JB_26BV,JB_B,5,JB_W,"Salvage Ships &amp; Fleet Ocean Tugs",JB_RC,"ADD")</f>
        <v/>
      </c>
      <c r="G28" s="31">
        <f>SUM(C28:F28)</f>
        <v/>
      </c>
      <c r="H28" s="37">
        <f>IFERROR(G28/G$40,0)</f>
        <v/>
      </c>
    </row>
    <row r="29" ht="10" customHeight="1">
      <c r="A29" s="30" t="inlineStr">
        <is>
          <t>Cargo &amp; Vehicle Cargo Ships</t>
        </is>
      </c>
      <c r="B29" s="30" t="inlineStr">
        <is>
          <t>USN</t>
        </is>
      </c>
      <c r="C29" s="31">
        <f>SUMIFS(JB_26BV,JB_B,2,JB_W,"Cargo &amp; Vehicle Cargo Ships",JB_RC,"ADD")</f>
        <v/>
      </c>
      <c r="D29" s="31">
        <f>SUMIFS(JB_26BV,JB_B,3,JB_W,"Cargo &amp; Vehicle Cargo Ships",JB_RC,"ADD")</f>
        <v/>
      </c>
      <c r="E29" s="31">
        <f>SUMIFS(JB_26BV,JB_B,4,JB_W,"Cargo &amp; Vehicle Cargo Ships",JB_RC,"ADD")</f>
        <v/>
      </c>
      <c r="F29" s="31">
        <f>SUMIFS(JB_26BV,JB_B,5,JB_W,"Cargo &amp; Vehicle Cargo Ships",JB_RC,"ADD")</f>
        <v/>
      </c>
      <c r="G29" s="31">
        <f>SUM(C29:F29)</f>
        <v/>
      </c>
      <c r="H29" s="37">
        <f>IFERROR(G29/G$40,0)</f>
        <v/>
      </c>
    </row>
    <row r="30" ht="10" customHeight="1">
      <c r="A30" s="30" t="inlineStr">
        <is>
          <t>Crane Ship</t>
        </is>
      </c>
      <c r="B30" s="30" t="inlineStr">
        <is>
          <t>USN</t>
        </is>
      </c>
      <c r="C30" s="31">
        <f>SUMIFS(JB_26BV,JB_B,2,JB_W,"Crane Ship",JB_RC,"ADD")</f>
        <v/>
      </c>
      <c r="D30" s="31">
        <f>SUMIFS(JB_26BV,JB_B,3,JB_W,"Crane Ship",JB_RC,"ADD")</f>
        <v/>
      </c>
      <c r="E30" s="31">
        <f>SUMIFS(JB_26BV,JB_B,4,JB_W,"Crane Ship",JB_RC,"ADD")</f>
        <v/>
      </c>
      <c r="F30" s="31">
        <f>SUMIFS(JB_26BV,JB_B,5,JB_W,"Crane Ship",JB_RC,"ADD")</f>
        <v/>
      </c>
      <c r="G30" s="31">
        <f>SUM(C30:F30)</f>
        <v/>
      </c>
      <c r="H30" s="37">
        <f>IFERROR(G30/G$40,0)</f>
        <v/>
      </c>
    </row>
    <row r="31" ht="10" customHeight="1">
      <c r="A31" s="30" t="inlineStr">
        <is>
          <t>Aviation Logistics Support Ship</t>
        </is>
      </c>
      <c r="B31" s="30" t="inlineStr">
        <is>
          <t>USN</t>
        </is>
      </c>
      <c r="C31" s="31">
        <f>SUMIFS(JB_26BV,JB_B,2,JB_W,"Aviation Logistics Support Ship",JB_RC,"ADD")</f>
        <v/>
      </c>
      <c r="D31" s="31">
        <f>SUMIFS(JB_26BV,JB_B,3,JB_W,"Aviation Logistics Support Ship",JB_RC,"ADD")</f>
        <v/>
      </c>
      <c r="E31" s="31">
        <f>SUMIFS(JB_26BV,JB_B,4,JB_W,"Aviation Logistics Support Ship",JB_RC,"ADD")</f>
        <v/>
      </c>
      <c r="F31" s="31">
        <f>SUMIFS(JB_26BV,JB_B,5,JB_W,"Aviation Logistics Support Ship",JB_RC,"ADD")</f>
        <v/>
      </c>
      <c r="G31" s="31">
        <f>SUM(C31:F31)</f>
        <v/>
      </c>
      <c r="H31" s="37">
        <f>IFERROR(G31/G$40,0)</f>
        <v/>
      </c>
    </row>
    <row r="32" ht="10" customHeight="1">
      <c r="A32" s="30" t="inlineStr">
        <is>
          <t>Submarine Escort Ship</t>
        </is>
      </c>
      <c r="B32" s="30" t="inlineStr">
        <is>
          <t>USN</t>
        </is>
      </c>
      <c r="C32" s="31">
        <f>SUMIFS(JB_26BV,JB_B,2,JB_W,"Submarine Escort Ship",JB_RC,"ADD")</f>
        <v/>
      </c>
      <c r="D32" s="31">
        <f>SUMIFS(JB_26BV,JB_B,3,JB_W,"Submarine Escort Ship",JB_RC,"ADD")</f>
        <v/>
      </c>
      <c r="E32" s="31">
        <f>SUMIFS(JB_26BV,JB_B,4,JB_W,"Submarine Escort Ship",JB_RC,"ADD")</f>
        <v/>
      </c>
      <c r="F32" s="31">
        <f>SUMIFS(JB_26BV,JB_B,5,JB_W,"Submarine Escort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Offshore Patrol Cutter</t>
        </is>
      </c>
      <c r="B34" s="30" t="inlineStr">
        <is>
          <t>USCG</t>
        </is>
      </c>
      <c r="C34" s="31">
        <f>SUMIFS(JB_26BV,JB_B,2,JB_W,"Offshore Patrol Cutter",JB_RC,"ADD")</f>
        <v/>
      </c>
      <c r="D34" s="31">
        <f>SUMIFS(JB_26BV,JB_B,3,JB_W,"Offshore Patrol Cutter",JB_RC,"ADD")</f>
        <v/>
      </c>
      <c r="E34" s="31">
        <f>SUMIFS(JB_26BV,JB_B,4,JB_W,"Offshore Patrol Cutter",JB_RC,"ADD")</f>
        <v/>
      </c>
      <c r="F34" s="31">
        <f>SUMIFS(JB_26BV,JB_B,5,JB_W,"Offshore Patrol Cutter",JB_RC,"ADD")</f>
        <v/>
      </c>
      <c r="G34" s="31">
        <f>SUM(C34:F34)</f>
        <v/>
      </c>
      <c r="H34" s="37">
        <f>IFERROR(G34/G$40,0)</f>
        <v/>
      </c>
    </row>
    <row r="35" ht="10" customHeight="1">
      <c r="A35" s="30" t="inlineStr">
        <is>
          <t>Waterways Commerce Cutters</t>
        </is>
      </c>
      <c r="B35" s="30" t="inlineStr">
        <is>
          <t>USCG</t>
        </is>
      </c>
      <c r="C35" s="31">
        <f>SUMIFS(JB_26BV,JB_B,2,JB_W,"Waterways Commerce Cutters",JB_RC,"ADD")</f>
        <v/>
      </c>
      <c r="D35" s="31">
        <f>SUMIFS(JB_26BV,JB_B,3,JB_W,"Waterways Commerce Cutters",JB_RC,"ADD")</f>
        <v/>
      </c>
      <c r="E35" s="31">
        <f>SUMIFS(JB_26BV,JB_B,4,JB_W,"Waterways Commerce Cutters",JB_RC,"ADD")</f>
        <v/>
      </c>
      <c r="F35" s="31">
        <f>SUMIFS(JB_26BV,JB_B,5,JB_W,"Waterways Commerce Cutters",JB_RC,"ADD")</f>
        <v/>
      </c>
      <c r="G35" s="31">
        <f>SUM(C35:F35)</f>
        <v/>
      </c>
      <c r="H35" s="37">
        <f>IFERROR(G35/G$40,0)</f>
        <v/>
      </c>
    </row>
    <row r="36" ht="10" customHeight="1">
      <c r="A36" s="30" t="inlineStr">
        <is>
          <t>Fast Response Cutters</t>
        </is>
      </c>
      <c r="B36" s="30" t="inlineStr">
        <is>
          <t>USCG</t>
        </is>
      </c>
      <c r="C36" s="31">
        <f>SUMIFS(JB_26BV,JB_B,2,JB_W,"Fast Response Cutters",JB_RC,"ADD")</f>
        <v/>
      </c>
      <c r="D36" s="31">
        <f>SUMIFS(JB_26BV,JB_B,3,JB_W,"Fast Response Cutters",JB_RC,"ADD")</f>
        <v/>
      </c>
      <c r="E36" s="31">
        <f>SUMIFS(JB_26BV,JB_B,4,JB_W,"Fast Response Cutters",JB_RC,"ADD")</f>
        <v/>
      </c>
      <c r="F36" s="31">
        <f>SUMIFS(JB_26BV,JB_B,5,JB_W,"Fast Response Cutters",JB_RC,"ADD")</f>
        <v/>
      </c>
      <c r="G36" s="31">
        <f>SUM(C36:F36)</f>
        <v/>
      </c>
      <c r="H36" s="37">
        <f>IFERROR(G36/G$40,0)</f>
        <v/>
      </c>
    </row>
    <row r="37" ht="10" customHeight="1">
      <c r="A37" s="30" t="inlineStr">
        <is>
          <t>Coastal Buoy Tenders</t>
        </is>
      </c>
      <c r="B37" s="30" t="inlineStr">
        <is>
          <t>USCG</t>
        </is>
      </c>
      <c r="C37" s="31">
        <f>SUMIFS(JB_26BV,JB_B,2,JB_W,"Coastal Buoy Tenders",JB_RC,"ADD")</f>
        <v/>
      </c>
      <c r="D37" s="31">
        <f>SUMIFS(JB_26BV,JB_B,3,JB_W,"Coastal Buoy Tenders",JB_RC,"ADD")</f>
        <v/>
      </c>
      <c r="E37" s="31">
        <f>SUMIFS(JB_26BV,JB_B,4,JB_W,"Coastal Buoy Tenders",JB_RC,"ADD")</f>
        <v/>
      </c>
      <c r="F37" s="31">
        <f>SUMIFS(JB_26BV,JB_B,5,JB_W,"Coastal Buoy Tenders",JB_RC,"ADD")</f>
        <v/>
      </c>
      <c r="G37" s="31">
        <f>SUM(C37:F37)</f>
        <v/>
      </c>
      <c r="H37" s="37">
        <f>IFERROR(G37/G$40,0)</f>
        <v/>
      </c>
    </row>
    <row r="38" ht="10" customHeight="1">
      <c r="A38" s="30" t="inlineStr">
        <is>
          <t>Icebreakers, Great Lakes</t>
        </is>
      </c>
      <c r="B38" s="30" t="inlineStr">
        <is>
          <t>USCG</t>
        </is>
      </c>
      <c r="C38" s="31">
        <f>SUMIFS(JB_26BV,JB_B,2,JB_W,"Icebreakers, Great Lakes",JB_RC,"ADD")</f>
        <v/>
      </c>
      <c r="D38" s="31">
        <f>SUMIFS(JB_26BV,JB_B,3,JB_W,"Icebreakers, Great Lakes",JB_RC,"ADD")</f>
        <v/>
      </c>
      <c r="E38" s="31">
        <f>SUMIFS(JB_26BV,JB_B,4,JB_W,"Icebreakers, Great Lakes",JB_RC,"ADD")</f>
        <v/>
      </c>
      <c r="F38" s="31">
        <f>SUMIFS(JB_26BV,JB_B,5,JB_W,"Icebreakers, Great Lakes",JB_RC,"ADD")</f>
        <v/>
      </c>
      <c r="G38" s="31">
        <f>SUM(C38:F38)</f>
        <v/>
      </c>
      <c r="H38" s="37">
        <f>IFERROR(G38/G$40,0)</f>
        <v/>
      </c>
    </row>
    <row r="39" ht="10" customHeight="1">
      <c r="A39" s="30" t="inlineStr">
        <is>
          <t>Icebreakers, Oceangoing</t>
        </is>
      </c>
      <c r="B39" s="30" t="inlineStr">
        <is>
          <t>USCG</t>
        </is>
      </c>
      <c r="C39" s="31">
        <f>SUMIFS(JB_26BV,JB_B,2,JB_W,"Icebreakers, Oceangoing",JB_RC,"ADD")</f>
        <v/>
      </c>
      <c r="D39" s="31">
        <f>SUMIFS(JB_26BV,JB_B,3,JB_W,"Icebreakers, Oceangoing",JB_RC,"ADD")</f>
        <v/>
      </c>
      <c r="E39" s="31">
        <f>SUMIFS(JB_26BV,JB_B,4,JB_W,"Icebreakers, Oceangoing",JB_RC,"ADD")</f>
        <v/>
      </c>
      <c r="F39" s="31">
        <f>SUMIFS(JB_26BV,JB_B,5,JB_W,"Icebreakers, Oceangoing",JB_RC,"ADD")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Mine Warfare</t>
        </is>
      </c>
      <c r="B28" s="30" t="inlineStr">
        <is>
          <t>USN</t>
        </is>
      </c>
      <c r="C28" s="31">
        <f>SUMIFS(JB_27BV,JB_B,1,JB_W,"Mine Warfare",JB_RC,"ADD")</f>
        <v/>
      </c>
      <c r="D28" s="37">
        <f>IFERROR(C28/C$44,0)</f>
        <v/>
      </c>
    </row>
    <row r="29" ht="10" customHeight="1">
      <c r="A29" s="30" t="inlineStr">
        <is>
          <t>General Auxiliary</t>
        </is>
      </c>
      <c r="B29" s="30" t="inlineStr">
        <is>
          <t>USN</t>
        </is>
      </c>
      <c r="C29" s="31">
        <f>SUMIFS(JB_27BV,JB_B,1,JB_W,"General Auxiliary",JB_RC,"ADD")</f>
        <v/>
      </c>
      <c r="D29" s="37">
        <f>IFERROR(C29/C$44,0)</f>
        <v/>
      </c>
    </row>
    <row r="30" ht="10" customHeight="1">
      <c r="A30" s="30" t="inlineStr">
        <is>
          <t>Salvage Ships &amp; Fleet Ocean Tugs</t>
        </is>
      </c>
      <c r="B30" s="30" t="inlineStr">
        <is>
          <t>MSC</t>
        </is>
      </c>
      <c r="C30" s="31">
        <f>SUMIFS(JB_27BV,JB_B,1,JB_W,"Salvage Ships &amp; Fleet Ocean Tugs",JB_RC,"ADD")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Aviation Logistics Support Ship</t>
        </is>
      </c>
      <c r="B32" s="30" t="inlineStr">
        <is>
          <t>USN</t>
        </is>
      </c>
      <c r="C32" s="31">
        <f>SUMIFS(JB_27BV,JB_B,1,JB_W,"Aviation Logistics Support Ship",JB_RC,"ADD")</f>
        <v/>
      </c>
      <c r="D32" s="37">
        <f>IFERROR(C32/C$44,0)</f>
        <v/>
      </c>
    </row>
    <row r="33" ht="10" customHeight="1">
      <c r="A33" s="30" t="inlineStr">
        <is>
          <t>Command Ships</t>
        </is>
      </c>
      <c r="B33" s="30" t="inlineStr">
        <is>
          <t>USN</t>
        </is>
      </c>
      <c r="C33" s="31">
        <f>SUMIFS(JB_27BV,JB_B,1,JB_W,"Command Ships",JB_RC,"ADD")</f>
        <v/>
      </c>
      <c r="D33" s="37">
        <f>IFERROR(C33/C$44,0)</f>
        <v/>
      </c>
    </row>
    <row r="34" ht="10" customHeight="1">
      <c r="A34" s="30" t="inlineStr">
        <is>
          <t>Research, Survey &amp; Instrumentation Ships</t>
        </is>
      </c>
      <c r="B34" s="30" t="inlineStr">
        <is>
          <t>MSC</t>
        </is>
      </c>
      <c r="C34" s="31">
        <f>SUMIFS(JB_27BV,JB_B,1,JB_W,"Research, Survey &amp; Instrumentation Ships",JB_RC,"ADD")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Submarine Escort Ship</t>
        </is>
      </c>
      <c r="B36" s="30" t="inlineStr">
        <is>
          <t>USN</t>
        </is>
      </c>
      <c r="C36" s="31">
        <f>SUMIFS(JB_27BV,JB_B,1,JB_W,"Submarine Escort Ship",JB_RC,"ADD")</f>
        <v/>
      </c>
      <c r="D36" s="37">
        <f>IFERROR(C36/C$44,0)</f>
        <v/>
      </c>
    </row>
    <row r="37" ht="10" customHeight="1">
      <c r="A37" s="30" t="inlineStr">
        <is>
          <t>Offshore Patrol Cutter</t>
        </is>
      </c>
      <c r="B37" s="30" t="inlineStr">
        <is>
          <t>USCG</t>
        </is>
      </c>
      <c r="C37" s="31">
        <f>SUMIFS(JB_27BV,JB_B,1,JB_W,"Offshore Patrol Cutter",JB_RC,"ADD")</f>
        <v/>
      </c>
      <c r="D37" s="37">
        <f>IFERROR(C37/C$44,0)</f>
        <v/>
      </c>
    </row>
    <row r="38" ht="10" customHeight="1">
      <c r="A38" s="30" t="inlineStr">
        <is>
          <t>Icebreakers, Oceangoing</t>
        </is>
      </c>
      <c r="B38" s="30" t="inlineStr">
        <is>
          <t>USCG</t>
        </is>
      </c>
      <c r="C38" s="31">
        <f>SUMIFS(JB_27BV,JB_B,1,JB_W,"Icebreakers, Oceangoing",JB_RC,"ADD")</f>
        <v/>
      </c>
      <c r="D38" s="37">
        <f>IFERROR(C38/C$44,0)</f>
        <v/>
      </c>
    </row>
    <row r="39" ht="10" customHeight="1">
      <c r="A39" s="30" t="inlineStr">
        <is>
          <t>National Security Cutters</t>
        </is>
      </c>
      <c r="B39" s="30" t="inlineStr">
        <is>
          <t>USCG</t>
        </is>
      </c>
      <c r="C39" s="31">
        <f>SUMIFS(JB_27BV,JB_B,1,JB_W,"National Security Cutters",JB_RC,"ADD")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Fast Response Cutters</t>
        </is>
      </c>
      <c r="B41" s="30" t="inlineStr">
        <is>
          <t>USCG</t>
        </is>
      </c>
      <c r="C41" s="31">
        <f>SUMIFS(JB_27BV,JB_B,1,JB_W,"Fast Response Cutters",JB_RC,"ADD")</f>
        <v/>
      </c>
      <c r="D41" s="37">
        <f>IFERROR(C41/C$44,0)</f>
        <v/>
      </c>
    </row>
    <row r="42" ht="10" customHeight="1">
      <c r="A42" s="30" t="inlineStr">
        <is>
          <t>Icebreakers, Great Lakes</t>
        </is>
      </c>
      <c r="B42" s="30" t="inlineStr">
        <is>
          <t>USCG</t>
        </is>
      </c>
      <c r="C42" s="31">
        <f>SUMIFS(JB_27BV,JB_B,1,JB_W,"Icebreakers, Great Lakes",JB_RC,"ADD")</f>
        <v/>
      </c>
      <c r="D42" s="37">
        <f>IFERROR(C42/C$44,0)</f>
        <v/>
      </c>
    </row>
    <row r="43" ht="10" customHeight="1">
      <c r="A43" s="30" t="inlineStr">
        <is>
          <t>Coastal Buoy Tenders</t>
        </is>
      </c>
      <c r="B43" s="30" t="inlineStr">
        <is>
          <t>USCG</t>
        </is>
      </c>
      <c r="C43" s="31">
        <f>SUMIFS(JB_27BV,JB_B,1,JB_W,"Coastal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Mine Warfare</t>
        </is>
      </c>
      <c r="B32" s="30" t="inlineStr">
        <is>
          <t>USN</t>
        </is>
      </c>
      <c r="C32" s="31">
        <f>SUMIFS(JB_27BV,JB_B,2,JB_W,"Mine Warfare",JB_RC,"ADD")+SUMIFS(JB_27BV,JB_B,3,JB_W,"Mine Warfare",JB_RC,"ADD")+SUMIFS(JB_27BV,JB_B,4,JB_W,"Mine Warfare",JB_RC,"ADD")+SUMIFS(JB_27BV,JB_B,5,JB_W,"Mine Warfare",JB_RC,"ADD")+SUMIFS(JB_27BV,JB_B,6,JB_W,"Mine Warfare",JB_RC,"ADD")+SUMIFS(JB_27BV,JB_B,7,JB_W,"Mine Warfare",JB_RC,"ADD")</f>
        <v/>
      </c>
      <c r="D32" s="37">
        <f>IFERROR(C32/C$53,0)</f>
        <v/>
      </c>
    </row>
    <row r="33" ht="10" customHeight="1">
      <c r="A33" s="30" t="inlineStr">
        <is>
          <t>General Auxiliary</t>
        </is>
      </c>
      <c r="B33" s="30" t="inlineStr">
        <is>
          <t>USN</t>
        </is>
      </c>
      <c r="C33"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3" s="37">
        <f>IFERROR(C33/C$53,0)</f>
        <v/>
      </c>
    </row>
    <row r="34" ht="10" customHeight="1">
      <c r="A34" s="30" t="inlineStr">
        <is>
          <t>Hospital Ship</t>
        </is>
      </c>
      <c r="B34" s="30" t="inlineStr">
        <is>
          <t>MSC</t>
        </is>
      </c>
      <c r="C34" s="31">
        <f>SUMIFS(JB_27BV,JB_B,2,JB_W,"Hospital Ship",JB_RC,"ADD")+SUMIFS(JB_27BV,JB_B,3,JB_W,"Hospital Ship",JB_RC,"ADD")+SUMIFS(JB_27BV,JB_B,4,JB_W,"Hospital Ship",JB_RC,"ADD")+SUMIFS(JB_27BV,JB_B,5,JB_W,"Hospital Ship",JB_RC,"ADD")+SUMIFS(JB_27BV,JB_B,6,JB_W,"Hospital Ship",JB_RC,"ADD")+SUMIFS(JB_27BV,JB_B,7,JB_W,"Hospital Ship",JB_RC,"ADD")</f>
        <v/>
      </c>
      <c r="D34" s="37">
        <f>IFERROR(C34/C$53,0)</f>
        <v/>
      </c>
    </row>
    <row r="35" ht="10" customHeight="1">
      <c r="A35" s="30" t="inlineStr">
        <is>
          <t>Material Support Ships</t>
        </is>
      </c>
      <c r="B35" s="30" t="inlineStr">
        <is>
          <t>USN</t>
        </is>
      </c>
      <c r="C35"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5" s="37">
        <f>IFERROR(C35/C$53,0)</f>
        <v/>
      </c>
    </row>
    <row r="36" ht="10" customHeight="1">
      <c r="A36" s="30" t="inlineStr">
        <is>
          <t>Salvage Ships &amp; Fleet Ocean Tugs</t>
        </is>
      </c>
      <c r="B36" s="30" t="inlineStr">
        <is>
          <t>MSC</t>
        </is>
      </c>
      <c r="C36"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6" s="37">
        <f>IFERROR(C36/C$53,0)</f>
        <v/>
      </c>
    </row>
    <row r="37" ht="10" customHeight="1">
      <c r="A37" s="30" t="inlineStr">
        <is>
          <t>Cargo &amp; Vehicle Cargo Ships</t>
        </is>
      </c>
      <c r="B37" s="30" t="inlineStr">
        <is>
          <t>USN</t>
        </is>
      </c>
      <c r="C37"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7" s="37">
        <f>IFERROR(C37/C$53,0)</f>
        <v/>
      </c>
    </row>
    <row r="38" ht="10" customHeight="1">
      <c r="A38" s="30" t="inlineStr">
        <is>
          <t>Crane Ship</t>
        </is>
      </c>
      <c r="B38" s="30" t="inlineStr">
        <is>
          <t>USN</t>
        </is>
      </c>
      <c r="C38" s="31">
        <f>SUMIFS(JB_27BV,JB_B,2,JB_W,"Crane Ship",JB_RC,"ADD")+SUMIFS(JB_27BV,JB_B,3,JB_W,"Crane Ship",JB_RC,"ADD")+SUMIFS(JB_27BV,JB_B,4,JB_W,"Crane Ship",JB_RC,"ADD")+SUMIFS(JB_27BV,JB_B,5,JB_W,"Crane Ship",JB_RC,"ADD")+SUMIFS(JB_27BV,JB_B,6,JB_W,"Crane Ship",JB_RC,"ADD")+SUMIFS(JB_27BV,JB_B,7,JB_W,"Crane Ship",JB_RC,"ADD")</f>
        <v/>
      </c>
      <c r="D38" s="37">
        <f>IFERROR(C38/C$53,0)</f>
        <v/>
      </c>
    </row>
    <row r="39" ht="10" customHeight="1">
      <c r="A39" s="30" t="inlineStr">
        <is>
          <t>Aviation Logistics Support Ship</t>
        </is>
      </c>
      <c r="B39" s="30" t="inlineStr">
        <is>
          <t>USN</t>
        </is>
      </c>
      <c r="C39"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9" s="37">
        <f>IFERROR(C39/C$53,0)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IFERROR(C40/C$53,0)</f>
        <v/>
      </c>
    </row>
    <row r="41" ht="10" customHeight="1">
      <c r="A41" s="30" t="inlineStr">
        <is>
          <t>Unmanned Surface Vehicles</t>
        </is>
      </c>
      <c r="B41" s="30" t="inlineStr">
        <is>
          <t>USN</t>
        </is>
      </c>
      <c r="C41"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1" s="37">
        <f>IFERROR(C41/C$53,0)</f>
        <v/>
      </c>
    </row>
    <row r="42" ht="10" customHeight="1">
      <c r="A42" s="30" t="inlineStr">
        <is>
          <t>Research, Survey &amp; Instrumentation Ships</t>
        </is>
      </c>
      <c r="B42" s="30" t="inlineStr">
        <is>
          <t>MSC</t>
        </is>
      </c>
      <c r="C42"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2" s="37">
        <f>IFERROR(C42/C$53,0)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IFERROR(C43/C$53,0)</f>
        <v/>
      </c>
    </row>
    <row r="44" ht="10" customHeight="1">
      <c r="A44" s="30" t="inlineStr">
        <is>
          <t>Combat Logistics Ships</t>
        </is>
      </c>
      <c r="B44" s="30" t="inlineStr">
        <is>
          <t>MSC</t>
        </is>
      </c>
      <c r="C4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4" s="37">
        <f>IFERROR(C44/C$53,0)</f>
        <v/>
      </c>
    </row>
    <row r="45" ht="10" customHeight="1">
      <c r="A45" s="30" t="inlineStr">
        <is>
          <t>Submarine Escort Ship</t>
        </is>
      </c>
      <c r="B45" s="30" t="inlineStr">
        <is>
          <t>USN</t>
        </is>
      </c>
      <c r="C4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5" s="37">
        <f>IFERROR(C45/C$53,0)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IFERROR(C46/C$53,0)</f>
        <v/>
      </c>
    </row>
    <row r="47" ht="10" customHeight="1">
      <c r="A47" s="30" t="inlineStr">
        <is>
          <t>Icebreakers, Oceangoing</t>
        </is>
      </c>
      <c r="B47" s="30" t="inlineStr">
        <is>
          <t>USCG</t>
        </is>
      </c>
      <c r="C47"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7" s="37">
        <f>IFERROR(C47/C$53,0)</f>
        <v/>
      </c>
    </row>
    <row r="48" ht="10" customHeight="1">
      <c r="A48" s="30" t="inlineStr">
        <is>
          <t>National Security Cutters</t>
        </is>
      </c>
      <c r="B48" s="30" t="inlineStr">
        <is>
          <t>USCG</t>
        </is>
      </c>
      <c r="C48"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8" s="37">
        <f>IFERROR(C48/C$53,0)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IFERROR(C49/C$53,0)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IFERROR(C50/C$53,0)</f>
        <v/>
      </c>
    </row>
    <row r="51" ht="10" customHeight="1">
      <c r="A51" s="30" t="inlineStr">
        <is>
          <t>Icebreakers, Great Lakes</t>
        </is>
      </c>
      <c r="B51" s="30" t="inlineStr">
        <is>
          <t>USCG</t>
        </is>
      </c>
      <c r="C51"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1" s="37">
        <f>IFERROR(C51/C$53,0)</f>
        <v/>
      </c>
    </row>
    <row r="52" ht="10" customHeight="1">
      <c r="A52" s="30" t="inlineStr">
        <is>
          <t>Coastal Buoy Tenders</t>
        </is>
      </c>
      <c r="B52" s="30" t="inlineStr">
        <is>
          <t>USCG</t>
        </is>
      </c>
      <c r="C52"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Mine Warfare</t>
        </is>
      </c>
      <c r="B19" s="30" t="inlineStr">
        <is>
          <t>USN</t>
        </is>
      </c>
      <c r="C19" s="31">
        <f>SUMIFS(JB_27BV,JB_B,2,JB_W,"Mine Warfare",JB_RC,"ADD")</f>
        <v/>
      </c>
      <c r="D19" s="31">
        <f>SUMIFS(JB_27BV,JB_B,3,JB_W,"Mine Warfare",JB_RC,"ADD")</f>
        <v/>
      </c>
      <c r="E19" s="31">
        <f>SUMIFS(JB_27BV,JB_B,4,JB_W,"Mine Warfare",JB_RC,"ADD")</f>
        <v/>
      </c>
      <c r="F19" s="31">
        <f>SUMIFS(JB_27BV,JB_B,5,JB_W,"Mine Warfare",JB_RC,"ADD")</f>
        <v/>
      </c>
      <c r="G19" s="31">
        <f>SUM(C19:F19)</f>
        <v/>
      </c>
      <c r="H19" s="37">
        <f>IFERROR(G19/G$40,0)</f>
        <v/>
      </c>
    </row>
    <row r="20" ht="10" customHeight="1">
      <c r="A20" s="30" t="inlineStr">
        <is>
          <t>Unmanned Surface Vehicles</t>
        </is>
      </c>
      <c r="B20" s="30" t="inlineStr">
        <is>
          <t>USN</t>
        </is>
      </c>
      <c r="C20" s="31">
        <f>SUMIFS(JB_27BV,JB_B,2,JB_W,"Unmanned Surface Vehicles",JB_RC,"ADD")</f>
        <v/>
      </c>
      <c r="D20" s="31">
        <f>SUMIFS(JB_27BV,JB_B,3,JB_W,"Unmanned Surface Vehicles",JB_RC,"ADD")</f>
        <v/>
      </c>
      <c r="E20" s="31">
        <f>SUMIFS(JB_27BV,JB_B,4,JB_W,"Unmanned Surface Vehicles",JB_RC,"ADD")</f>
        <v/>
      </c>
      <c r="F20" s="31">
        <f>SUMIFS(JB_27BV,JB_B,5,JB_W,"Unmanned Surface Vehicles",JB_RC,"ADD")</f>
        <v/>
      </c>
      <c r="G20" s="31">
        <f>SUM(C20:F20)</f>
        <v/>
      </c>
      <c r="H20" s="37">
        <f>IFERROR(G20/G$40,0)</f>
        <v/>
      </c>
    </row>
    <row r="21" ht="10" customHeight="1">
      <c r="A21" s="30" t="inlineStr">
        <is>
          <t>Expeditionary &amp; Seabasing Ships</t>
        </is>
      </c>
      <c r="B21" s="30" t="inlineStr">
        <is>
          <t>USN</t>
        </is>
      </c>
      <c r="C21" s="31">
        <f>SUMIFS(JB_27BV,JB_B,2,JB_W,"Expeditionary &amp; Seabasing Ships",JB_RC,"ADD")</f>
        <v/>
      </c>
      <c r="D21" s="31">
        <f>SUMIFS(JB_27BV,JB_B,3,JB_W,"Expeditionary &amp; Seabasing Ships",JB_RC,"ADD")</f>
        <v/>
      </c>
      <c r="E21" s="31">
        <f>SUMIFS(JB_27BV,JB_B,4,JB_W,"Expeditionary &amp; Seabasing Ships",JB_RC,"ADD")</f>
        <v/>
      </c>
      <c r="F21" s="31">
        <f>SUMIFS(JB_27BV,JB_B,5,JB_W,"Expeditionary &amp; Seabasing Ships",JB_RC,"ADD")</f>
        <v/>
      </c>
      <c r="G21" s="31">
        <f>SUM(C21:F21)</f>
        <v/>
      </c>
      <c r="H21" s="37">
        <f>IFERROR(G21/G$40,0)</f>
        <v/>
      </c>
    </row>
    <row r="22" ht="10" customHeight="1">
      <c r="A22" s="30" t="inlineStr">
        <is>
          <t>Research, Survey &amp; Instrumentation Ships</t>
        </is>
      </c>
      <c r="B22" s="30" t="inlineStr">
        <is>
          <t>MSC</t>
        </is>
      </c>
      <c r="C22" s="31">
        <f>SUMIFS(JB_27BV,JB_B,2,JB_W,"Research, Survey &amp; Instrumentation Ships",JB_RC,"ADD")</f>
        <v/>
      </c>
      <c r="D22" s="31">
        <f>SUMIFS(JB_27BV,JB_B,3,JB_W,"Research, Survey &amp; Instrumentation Ships",JB_RC,"ADD")</f>
        <v/>
      </c>
      <c r="E22" s="31">
        <f>SUMIFS(JB_27BV,JB_B,4,JB_W,"Research, Survey &amp; Instrumentation Ships",JB_RC,"ADD")</f>
        <v/>
      </c>
      <c r="F22" s="31">
        <f>SUMIFS(JB_27BV,JB_B,5,JB_W,"Research, Survey &amp; Instrumentation Ships",JB_RC,"ADD")</f>
        <v/>
      </c>
      <c r="G22" s="31">
        <f>SUM(C22:F22)</f>
        <v/>
      </c>
      <c r="H22" s="37">
        <f>IFERROR(G22/G$40,0)</f>
        <v/>
      </c>
    </row>
    <row r="23" ht="10" customHeight="1">
      <c r="A23" s="30" t="inlineStr">
        <is>
          <t>High Speed Transport</t>
        </is>
      </c>
      <c r="B23" s="30" t="inlineStr">
        <is>
          <t>USN</t>
        </is>
      </c>
      <c r="C23" s="31">
        <f>SUMIFS(JB_27BV,JB_B,2,JB_W,"High Speed Transport",JB_RC,"ADD")</f>
        <v/>
      </c>
      <c r="D23" s="31">
        <f>SUMIFS(JB_27BV,JB_B,3,JB_W,"High Speed Transport",JB_RC,"ADD")</f>
        <v/>
      </c>
      <c r="E23" s="31">
        <f>SUMIFS(JB_27BV,JB_B,4,JB_W,"High Speed Transport",JB_RC,"ADD")</f>
        <v/>
      </c>
      <c r="F23" s="31">
        <f>SUMIFS(JB_27BV,JB_B,5,JB_W,"High Speed Transport",JB_RC,"ADD")</f>
        <v/>
      </c>
      <c r="G23" s="31">
        <f>SUM(C23:F23)</f>
        <v/>
      </c>
      <c r="H23" s="37">
        <f>IFERROR(G23/G$40,0)</f>
        <v/>
      </c>
    </row>
    <row r="24" ht="10" customHeight="1">
      <c r="A24" s="30" t="inlineStr">
        <is>
          <t>General Auxiliary</t>
        </is>
      </c>
      <c r="B24" s="30" t="inlineStr">
        <is>
          <t>USN</t>
        </is>
      </c>
      <c r="C24" s="31">
        <f>SUMIFS(JB_27BV,JB_B,2,JB_W,"General Auxiliary",JB_RC,"ADD")</f>
        <v/>
      </c>
      <c r="D24" s="31">
        <f>SUMIFS(JB_27BV,JB_B,3,JB_W,"General Auxiliary",JB_RC,"ADD")</f>
        <v/>
      </c>
      <c r="E24" s="31">
        <f>SUMIFS(JB_27BV,JB_B,4,JB_W,"General Auxiliary",JB_RC,"ADD")</f>
        <v/>
      </c>
      <c r="F24" s="31">
        <f>SUMIFS(JB_27BV,JB_B,5,JB_W,"General Auxiliary",JB_RC,"ADD")</f>
        <v/>
      </c>
      <c r="G24" s="31">
        <f>SUM(C24:F24)</f>
        <v/>
      </c>
      <c r="H24" s="37">
        <f>IFERROR(G24/G$40,0)</f>
        <v/>
      </c>
    </row>
    <row r="25" ht="10" customHeight="1">
      <c r="A25" s="30" t="inlineStr">
        <is>
          <t>Hospital Ship</t>
        </is>
      </c>
      <c r="B25" s="30" t="inlineStr">
        <is>
          <t>MSC</t>
        </is>
      </c>
      <c r="C25" s="31">
        <f>SUMIFS(JB_27BV,JB_B,2,JB_W,"Hospital Ship",JB_RC,"ADD")</f>
        <v/>
      </c>
      <c r="D25" s="31">
        <f>SUMIFS(JB_27BV,JB_B,3,JB_W,"Hospital Ship",JB_RC,"ADD")</f>
        <v/>
      </c>
      <c r="E25" s="31">
        <f>SUMIFS(JB_27BV,JB_B,4,JB_W,"Hospital Ship",JB_RC,"ADD")</f>
        <v/>
      </c>
      <c r="F25" s="31">
        <f>SUMIFS(JB_27BV,JB_B,5,JB_W,"Hospital Ship",JB_RC,"ADD")</f>
        <v/>
      </c>
      <c r="G25" s="31">
        <f>SUM(C25:F25)</f>
        <v/>
      </c>
      <c r="H25" s="37">
        <f>IFERROR(G25/G$40,0)</f>
        <v/>
      </c>
    </row>
    <row r="26" ht="10" customHeight="1">
      <c r="A26" s="30" t="inlineStr">
        <is>
          <t>Combat Logistics Ships</t>
        </is>
      </c>
      <c r="B26" s="30" t="inlineStr">
        <is>
          <t>MSC</t>
        </is>
      </c>
      <c r="C26" s="31">
        <f>SUMIFS(JB_27BV,JB_B,2,JB_W,"Combat Logistics Ships",JB_RC,"ADD")</f>
        <v/>
      </c>
      <c r="D26" s="31">
        <f>SUMIFS(JB_27BV,JB_B,3,JB_W,"Combat Logistics Ships",JB_RC,"ADD")</f>
        <v/>
      </c>
      <c r="E26" s="31">
        <f>SUMIFS(JB_27BV,JB_B,4,JB_W,"Combat Logistics Ships",JB_RC,"ADD")</f>
        <v/>
      </c>
      <c r="F26" s="31">
        <f>SUMIFS(JB_27BV,JB_B,5,JB_W,"Combat Logistics Ships",JB_RC,"ADD")</f>
        <v/>
      </c>
      <c r="G26" s="31">
        <f>SUM(C26:F26)</f>
        <v/>
      </c>
      <c r="H26" s="37">
        <f>IFERROR(G26/G$40,0)</f>
        <v/>
      </c>
    </row>
    <row r="27" ht="10" customHeight="1">
      <c r="A27" s="30" t="inlineStr">
        <is>
          <t>Material Support Ships</t>
        </is>
      </c>
      <c r="B27" s="30" t="inlineStr">
        <is>
          <t>USN</t>
        </is>
      </c>
      <c r="C27" s="31">
        <f>SUMIFS(JB_27BV,JB_B,2,JB_W,"Material Support Ships",JB_RC,"ADD")</f>
        <v/>
      </c>
      <c r="D27" s="31">
        <f>SUMIFS(JB_27BV,JB_B,3,JB_W,"Material Support Ships",JB_RC,"ADD")</f>
        <v/>
      </c>
      <c r="E27" s="31">
        <f>SUMIFS(JB_27BV,JB_B,4,JB_W,"Material Support Ships",JB_RC,"ADD")</f>
        <v/>
      </c>
      <c r="F27" s="31">
        <f>SUMIFS(JB_27BV,JB_B,5,JB_W,"Material Support Ships",JB_RC,"ADD")</f>
        <v/>
      </c>
      <c r="G27" s="31">
        <f>SUM(C27:F27)</f>
        <v/>
      </c>
      <c r="H27" s="37">
        <f>IFERROR(G27/G$40,0)</f>
        <v/>
      </c>
    </row>
    <row r="28" ht="10" customHeight="1">
      <c r="A28" s="30" t="inlineStr">
        <is>
          <t>Salvage Ships &amp; Fleet Ocean Tugs</t>
        </is>
      </c>
      <c r="B28" s="30" t="inlineStr">
        <is>
          <t>MSC</t>
        </is>
      </c>
      <c r="C28" s="31">
        <f>SUMIFS(JB_27BV,JB_B,2,JB_W,"Salvage Ships &amp; Fleet Ocean Tugs",JB_RC,"ADD")</f>
        <v/>
      </c>
      <c r="D28" s="31">
        <f>SUMIFS(JB_27BV,JB_B,3,JB_W,"Salvage Ships &amp; Fleet Ocean Tugs",JB_RC,"ADD")</f>
        <v/>
      </c>
      <c r="E28" s="31">
        <f>SUMIFS(JB_27BV,JB_B,4,JB_W,"Salvage Ships &amp; Fleet Ocean Tugs",JB_RC,"ADD")</f>
        <v/>
      </c>
      <c r="F28" s="31">
        <f>SUMIFS(JB_27BV,JB_B,5,JB_W,"Salvage Ships &amp; Fleet Ocean Tugs",JB_RC,"ADD")</f>
        <v/>
      </c>
      <c r="G28" s="31">
        <f>SUM(C28:F28)</f>
        <v/>
      </c>
      <c r="H28" s="37">
        <f>IFERROR(G28/G$40,0)</f>
        <v/>
      </c>
    </row>
    <row r="29" ht="10" customHeight="1">
      <c r="A29" s="30" t="inlineStr">
        <is>
          <t>Cargo &amp; Vehicle Cargo Ships</t>
        </is>
      </c>
      <c r="B29" s="30" t="inlineStr">
        <is>
          <t>USN</t>
        </is>
      </c>
      <c r="C29" s="31">
        <f>SUMIFS(JB_27BV,JB_B,2,JB_W,"Cargo &amp; Vehicle Cargo Ships",JB_RC,"ADD")</f>
        <v/>
      </c>
      <c r="D29" s="31">
        <f>SUMIFS(JB_27BV,JB_B,3,JB_W,"Cargo &amp; Vehicle Cargo Ships",JB_RC,"ADD")</f>
        <v/>
      </c>
      <c r="E29" s="31">
        <f>SUMIFS(JB_27BV,JB_B,4,JB_W,"Cargo &amp; Vehicle Cargo Ships",JB_RC,"ADD")</f>
        <v/>
      </c>
      <c r="F29" s="31">
        <f>SUMIFS(JB_27BV,JB_B,5,JB_W,"Cargo &amp; Vehicle Cargo Ships",JB_RC,"ADD")</f>
        <v/>
      </c>
      <c r="G29" s="31">
        <f>SUM(C29:F29)</f>
        <v/>
      </c>
      <c r="H29" s="37">
        <f>IFERROR(G29/G$40,0)</f>
        <v/>
      </c>
    </row>
    <row r="30" ht="10" customHeight="1">
      <c r="A30" s="30" t="inlineStr">
        <is>
          <t>Crane Ship</t>
        </is>
      </c>
      <c r="B30" s="30" t="inlineStr">
        <is>
          <t>USN</t>
        </is>
      </c>
      <c r="C30" s="31">
        <f>SUMIFS(JB_27BV,JB_B,2,JB_W,"Crane Ship",JB_RC,"ADD")</f>
        <v/>
      </c>
      <c r="D30" s="31">
        <f>SUMIFS(JB_27BV,JB_B,3,JB_W,"Crane Ship",JB_RC,"ADD")</f>
        <v/>
      </c>
      <c r="E30" s="31">
        <f>SUMIFS(JB_27BV,JB_B,4,JB_W,"Crane Ship",JB_RC,"ADD")</f>
        <v/>
      </c>
      <c r="F30" s="31">
        <f>SUMIFS(JB_27BV,JB_B,5,JB_W,"Crane Ship",JB_RC,"ADD")</f>
        <v/>
      </c>
      <c r="G30" s="31">
        <f>SUM(C30:F30)</f>
        <v/>
      </c>
      <c r="H30" s="37">
        <f>IFERROR(G30/G$40,0)</f>
        <v/>
      </c>
    </row>
    <row r="31" ht="10" customHeight="1">
      <c r="A31" s="30" t="inlineStr">
        <is>
          <t>Aviation Logistics Support Ship</t>
        </is>
      </c>
      <c r="B31" s="30" t="inlineStr">
        <is>
          <t>USN</t>
        </is>
      </c>
      <c r="C31" s="31">
        <f>SUMIFS(JB_27BV,JB_B,2,JB_W,"Aviation Logistics Support Ship",JB_RC,"ADD")</f>
        <v/>
      </c>
      <c r="D31" s="31">
        <f>SUMIFS(JB_27BV,JB_B,3,JB_W,"Aviation Logistics Support Ship",JB_RC,"ADD")</f>
        <v/>
      </c>
      <c r="E31" s="31">
        <f>SUMIFS(JB_27BV,JB_B,4,JB_W,"Aviation Logistics Support Ship",JB_RC,"ADD")</f>
        <v/>
      </c>
      <c r="F31" s="31">
        <f>SUMIFS(JB_27BV,JB_B,5,JB_W,"Aviation Logistics Support Ship",JB_RC,"ADD")</f>
        <v/>
      </c>
      <c r="G31" s="31">
        <f>SUM(C31:F31)</f>
        <v/>
      </c>
      <c r="H31" s="37">
        <f>IFERROR(G31/G$40,0)</f>
        <v/>
      </c>
    </row>
    <row r="32" ht="10" customHeight="1">
      <c r="A32" s="30" t="inlineStr">
        <is>
          <t>Submarine Escort Ship</t>
        </is>
      </c>
      <c r="B32" s="30" t="inlineStr">
        <is>
          <t>USN</t>
        </is>
      </c>
      <c r="C32" s="31">
        <f>SUMIFS(JB_27BV,JB_B,2,JB_W,"Submarine Escort Ship",JB_RC,"ADD")</f>
        <v/>
      </c>
      <c r="D32" s="31">
        <f>SUMIFS(JB_27BV,JB_B,3,JB_W,"Submarine Escort Ship",JB_RC,"ADD")</f>
        <v/>
      </c>
      <c r="E32" s="31">
        <f>SUMIFS(JB_27BV,JB_B,4,JB_W,"Submarine Escort Ship",JB_RC,"ADD")</f>
        <v/>
      </c>
      <c r="F32" s="31">
        <f>SUMIFS(JB_27BV,JB_B,5,JB_W,"Submarine Escort Ship",JB_RC,"ADD")</f>
        <v/>
      </c>
      <c r="G32" s="31">
        <f>SUM(C32:F32)</f>
        <v/>
      </c>
      <c r="H32" s="37">
        <f>IFERROR(G32/G$40,0)</f>
        <v/>
      </c>
    </row>
    <row r="33" ht="10" customHeight="1">
      <c r="A33" s="30" t="inlineStr">
        <is>
          <t>Offshore Patrol Cutter</t>
        </is>
      </c>
      <c r="B33" s="30" t="inlineStr">
        <is>
          <t>USCG</t>
        </is>
      </c>
      <c r="C33" s="31">
        <f>SUMIFS(JB_27BV,JB_B,2,JB_W,"Offshore Patrol Cutter",JB_RC,"ADD")</f>
        <v/>
      </c>
      <c r="D33" s="31">
        <f>SUMIFS(JB_27BV,JB_B,3,JB_W,"Offshore Patrol Cutter",JB_RC,"ADD")</f>
        <v/>
      </c>
      <c r="E33" s="31">
        <f>SUMIFS(JB_27BV,JB_B,4,JB_W,"Offshore Patrol Cutter",JB_RC,"ADD")</f>
        <v/>
      </c>
      <c r="F33" s="31">
        <f>SUMIFS(JB_27BV,JB_B,5,JB_W,"Offshore Patrol Cutter",JB_RC,"ADD")</f>
        <v/>
      </c>
      <c r="G33" s="31">
        <f>SUM(C33:F33)</f>
        <v/>
      </c>
      <c r="H33" s="37">
        <f>IFERROR(G33/G$40,0)</f>
        <v/>
      </c>
    </row>
    <row r="34" ht="10" customHeight="1">
      <c r="A34" s="30" t="inlineStr">
        <is>
          <t>National Security Cutters</t>
        </is>
      </c>
      <c r="B34" s="30" t="inlineStr">
        <is>
          <t>USCG</t>
        </is>
      </c>
      <c r="C34" s="31">
        <f>SUMIFS(JB_27BV,JB_B,2,JB_W,"National Security Cutters",JB_RC,"ADD")</f>
        <v/>
      </c>
      <c r="D34" s="31">
        <f>SUMIFS(JB_27BV,JB_B,3,JB_W,"National Security Cutters",JB_RC,"ADD")</f>
        <v/>
      </c>
      <c r="E34" s="31">
        <f>SUMIFS(JB_27BV,JB_B,4,JB_W,"National Security Cutters",JB_RC,"ADD")</f>
        <v/>
      </c>
      <c r="F34" s="31">
        <f>SUMIFS(JB_27BV,JB_B,5,JB_W,"National Security Cutters",JB_RC,"ADD")</f>
        <v/>
      </c>
      <c r="G34" s="31">
        <f>SUM(C34:F34)</f>
        <v/>
      </c>
      <c r="H34" s="37">
        <f>IFERROR(G34/G$40,0)</f>
        <v/>
      </c>
    </row>
    <row r="35" ht="10" customHeight="1">
      <c r="A35" s="30" t="inlineStr">
        <is>
          <t>Waterways Commerce Cutters</t>
        </is>
      </c>
      <c r="B35" s="30" t="inlineStr">
        <is>
          <t>USCG</t>
        </is>
      </c>
      <c r="C35" s="31">
        <f>SUMIFS(JB_27BV,JB_B,2,JB_W,"Waterways Commerce Cutters",JB_RC,"ADD")</f>
        <v/>
      </c>
      <c r="D35" s="31">
        <f>SUMIFS(JB_27BV,JB_B,3,JB_W,"Waterways Commerce Cutters",JB_RC,"ADD")</f>
        <v/>
      </c>
      <c r="E35" s="31">
        <f>SUMIFS(JB_27BV,JB_B,4,JB_W,"Waterways Commerce Cutters",JB_RC,"ADD")</f>
        <v/>
      </c>
      <c r="F35" s="31">
        <f>SUMIFS(JB_27BV,JB_B,5,JB_W,"Waterways Commerce Cutters",JB_RC,"ADD")</f>
        <v/>
      </c>
      <c r="G35" s="31">
        <f>SUM(C35:F35)</f>
        <v/>
      </c>
      <c r="H35" s="37">
        <f>IFERROR(G35/G$40,0)</f>
        <v/>
      </c>
    </row>
    <row r="36" ht="10" customHeight="1">
      <c r="A36" s="30" t="inlineStr">
        <is>
          <t>Fast Response Cutters</t>
        </is>
      </c>
      <c r="B36" s="30" t="inlineStr">
        <is>
          <t>USCG</t>
        </is>
      </c>
      <c r="C36" s="31">
        <f>SUMIFS(JB_27BV,JB_B,2,JB_W,"Fast Response Cutters",JB_RC,"ADD")</f>
        <v/>
      </c>
      <c r="D36" s="31">
        <f>SUMIFS(JB_27BV,JB_B,3,JB_W,"Fast Response Cutters",JB_RC,"ADD")</f>
        <v/>
      </c>
      <c r="E36" s="31">
        <f>SUMIFS(JB_27BV,JB_B,4,JB_W,"Fast Response Cutters",JB_RC,"ADD")</f>
        <v/>
      </c>
      <c r="F36" s="31">
        <f>SUMIFS(JB_27BV,JB_B,5,JB_W,"Fast Response Cutters",JB_RC,"ADD")</f>
        <v/>
      </c>
      <c r="G36" s="31">
        <f>SUM(C36:F36)</f>
        <v/>
      </c>
      <c r="H36" s="37">
        <f>IFERROR(G36/G$40,0)</f>
        <v/>
      </c>
    </row>
    <row r="37" ht="10" customHeight="1">
      <c r="A37" s="30" t="inlineStr">
        <is>
          <t>Coastal Buoy Tenders</t>
        </is>
      </c>
      <c r="B37" s="30" t="inlineStr">
        <is>
          <t>USCG</t>
        </is>
      </c>
      <c r="C37" s="31">
        <f>SUMIFS(JB_27BV,JB_B,2,JB_W,"Coastal Buoy Tenders",JB_RC,"ADD")</f>
        <v/>
      </c>
      <c r="D37" s="31">
        <f>SUMIFS(JB_27BV,JB_B,3,JB_W,"Coastal Buoy Tenders",JB_RC,"ADD")</f>
        <v/>
      </c>
      <c r="E37" s="31">
        <f>SUMIFS(JB_27BV,JB_B,4,JB_W,"Coastal Buoy Tenders",JB_RC,"ADD")</f>
        <v/>
      </c>
      <c r="F37" s="31">
        <f>SUMIFS(JB_27BV,JB_B,5,JB_W,"Coastal Buoy Tenders",JB_RC,"ADD")</f>
        <v/>
      </c>
      <c r="G37" s="31">
        <f>SUM(C37:F37)</f>
        <v/>
      </c>
      <c r="H37" s="37">
        <f>IFERROR(G37/G$40,0)</f>
        <v/>
      </c>
    </row>
    <row r="38" ht="10" customHeight="1">
      <c r="A38" s="30" t="inlineStr">
        <is>
          <t>Icebreakers, Great Lakes</t>
        </is>
      </c>
      <c r="B38" s="30" t="inlineStr">
        <is>
          <t>USCG</t>
        </is>
      </c>
      <c r="C38" s="31">
        <f>SUMIFS(JB_27BV,JB_B,2,JB_W,"Icebreakers, Great Lakes",JB_RC,"ADD")</f>
        <v/>
      </c>
      <c r="D38" s="31">
        <f>SUMIFS(JB_27BV,JB_B,3,JB_W,"Icebreakers, Great Lakes",JB_RC,"ADD")</f>
        <v/>
      </c>
      <c r="E38" s="31">
        <f>SUMIFS(JB_27BV,JB_B,4,JB_W,"Icebreakers, Great Lakes",JB_RC,"ADD")</f>
        <v/>
      </c>
      <c r="F38" s="31">
        <f>SUMIFS(JB_27BV,JB_B,5,JB_W,"Icebreakers, Great Lakes",JB_RC,"ADD")</f>
        <v/>
      </c>
      <c r="G38" s="31">
        <f>SUM(C38:F38)</f>
        <v/>
      </c>
      <c r="H38" s="37">
        <f>IFERROR(G38/G$40,0)</f>
        <v/>
      </c>
    </row>
    <row r="39" ht="10" customHeight="1">
      <c r="A39" s="30" t="inlineStr">
        <is>
          <t>Icebreakers, Oceangoing</t>
        </is>
      </c>
      <c r="B39" s="30" t="inlineStr">
        <is>
          <t>USCG</t>
        </is>
      </c>
      <c r="C39" s="31">
        <f>SUMIFS(JB_27BV,JB_B,2,JB_W,"Icebreakers, Oceangoing",JB_RC,"ADD")</f>
        <v/>
      </c>
      <c r="D39" s="31">
        <f>SUMIFS(JB_27BV,JB_B,3,JB_W,"Icebreakers, Oceangoing",JB_RC,"ADD")</f>
        <v/>
      </c>
      <c r="E39" s="31">
        <f>SUMIFS(JB_27BV,JB_B,4,JB_W,"Icebreakers, Oceangoing",JB_RC,"ADD")</f>
        <v/>
      </c>
      <c r="F39" s="31">
        <f>SUMIFS(JB_27BV,JB_B,5,JB_W,"Icebreakers, Oceangoing",JB_RC,"ADD")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2026-04-14T13:16:45Z</dcterms:modified>
  <cp:lastModifiedBy>Brendan Toole</cp:lastModifiedBy>
</cp:coreProperties>
</file>