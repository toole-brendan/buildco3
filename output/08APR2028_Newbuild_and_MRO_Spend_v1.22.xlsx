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mc:AlternateContent xmlns:mc="http://schemas.openxmlformats.org/markup-compatibility/2006">
    <mc:Choice Requires="x15">
      <x15ac:absPath xmlns:x15ac="http://schemas.microsoft.com/office/spreadsheetml/2010/11/ac" url="/Users/brendantoole/projects2/buildco3/"/>
    </mc:Choice>
  </mc:AlternateContent>
  <xr:revisionPtr revIDLastSave="0" documentId="13_ncr:1_{A900AA9D-3FDA-AE49-B584-772A044F3D87}" xr6:coauthVersionLast="47" xr6:coauthVersionMax="47" xr10:uidLastSave="{00000000-0000-0000-0000-000000000000}"/>
  <bookViews>
    <workbookView xWindow="0" yWindow="760" windowWidth="34560" windowHeight="20380" tabRatio="500" xr2:uid="{00000000-000D-0000-FFFF-FFFF00000000}"/>
  </bookViews>
  <sheets>
    <sheet name="J Book Items Cons." sheetId="1" r:id="rId1"/>
    <sheet name="TAM" sheetId="2" r:id="rId2"/>
    <sheet name="SAM" sheetId="3" r:id="rId3"/>
    <sheet name="Competitive Dynamics" sheetId="4" r:id="rId4"/>
    <sheet name="Validation" sheetId="5" r:id="rId5"/>
  </sheets>
  <definedNames>
    <definedName name="_xlnm._FilterDatabase" localSheetId="0" hidden="1">'J Book Items Cons.'!$A$4:$AH$3372</definedName>
  </definedName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2" i="4" l="1"/>
  <c r="H181" i="4"/>
  <c r="H180" i="4"/>
  <c r="H175" i="4"/>
  <c r="H169" i="4"/>
  <c r="H168" i="4"/>
  <c r="H163" i="4"/>
  <c r="H162" i="4"/>
  <c r="H161" i="4"/>
  <c r="H157" i="4"/>
  <c r="H156" i="4"/>
  <c r="H155" i="4"/>
  <c r="H150" i="4"/>
  <c r="H149" i="4"/>
  <c r="H143" i="4"/>
  <c r="H142" i="4"/>
  <c r="H141" i="4"/>
  <c r="H174" i="4" s="1"/>
  <c r="H139" i="4"/>
  <c r="H138" i="4"/>
  <c r="H136" i="4"/>
  <c r="H135" i="4"/>
  <c r="H134" i="4"/>
  <c r="H167" i="4" s="1"/>
  <c r="H133" i="4"/>
  <c r="H170" i="4" s="1"/>
  <c r="H128" i="4"/>
  <c r="H127" i="4"/>
  <c r="H126" i="4"/>
  <c r="H125" i="4"/>
  <c r="H124" i="4"/>
  <c r="H123" i="4"/>
  <c r="H122" i="4"/>
  <c r="H121" i="4"/>
  <c r="H120" i="4"/>
  <c r="H119" i="4"/>
  <c r="H118" i="4"/>
  <c r="H117" i="4"/>
  <c r="H116" i="4"/>
  <c r="H114" i="4"/>
  <c r="H151" i="4" s="1"/>
  <c r="H113" i="4"/>
  <c r="H112" i="4"/>
  <c r="H111" i="4"/>
  <c r="H110" i="4"/>
  <c r="H109" i="4"/>
  <c r="H108" i="4"/>
  <c r="H107" i="4"/>
  <c r="H140" i="4" s="1"/>
  <c r="H176" i="4" s="1"/>
  <c r="H106" i="4"/>
  <c r="H144" i="4" s="1"/>
  <c r="H100" i="4"/>
  <c r="H99" i="4"/>
  <c r="H98" i="4"/>
  <c r="H97" i="4"/>
  <c r="H91" i="4"/>
  <c r="H90" i="4"/>
  <c r="H89" i="4"/>
  <c r="H115" i="4" s="1"/>
  <c r="H148" i="4" s="1"/>
  <c r="H88" i="4"/>
  <c r="H87" i="4"/>
  <c r="H86" i="4"/>
  <c r="H85" i="4"/>
  <c r="H84" i="4"/>
  <c r="H105" i="4" s="1"/>
  <c r="H137" i="4" s="1"/>
  <c r="H82" i="4"/>
  <c r="H129" i="4" s="1"/>
  <c r="H81" i="4"/>
  <c r="H80" i="4"/>
  <c r="H75" i="4"/>
  <c r="H74" i="4"/>
  <c r="H73" i="4"/>
  <c r="H72" i="4"/>
  <c r="H71" i="4"/>
  <c r="H70" i="4"/>
  <c r="H69" i="4"/>
  <c r="H68" i="4"/>
  <c r="H66" i="4"/>
  <c r="H65" i="4"/>
  <c r="H64" i="4"/>
  <c r="H63" i="4"/>
  <c r="H61" i="4"/>
  <c r="H62" i="4" s="1"/>
  <c r="H76" i="4" s="1"/>
  <c r="H60" i="4"/>
  <c r="H59" i="4"/>
  <c r="H53" i="4"/>
  <c r="H51" i="4"/>
  <c r="H50" i="4"/>
  <c r="H52" i="4" s="1"/>
  <c r="H48" i="4"/>
  <c r="H47" i="4"/>
  <c r="H49" i="4" s="1"/>
  <c r="H54" i="4" s="1"/>
  <c r="H42" i="4"/>
  <c r="H41" i="4"/>
  <c r="H39" i="4"/>
  <c r="H40" i="4" s="1"/>
  <c r="H38" i="4"/>
  <c r="H37" i="4"/>
  <c r="H43" i="4" s="1"/>
  <c r="H32" i="4"/>
  <c r="H31" i="4"/>
  <c r="H29" i="4"/>
  <c r="H28" i="4"/>
  <c r="H30" i="4" s="1"/>
  <c r="H26" i="4"/>
  <c r="H27" i="4" s="1"/>
  <c r="H33" i="4" s="1"/>
  <c r="H25" i="4"/>
  <c r="H24" i="4"/>
  <c r="H19" i="4"/>
  <c r="H18" i="4"/>
  <c r="H17" i="4"/>
  <c r="H16" i="4" s="1"/>
  <c r="H15" i="4"/>
  <c r="H14" i="4"/>
  <c r="H13" i="4"/>
  <c r="H12" i="4"/>
  <c r="H11" i="4" s="1"/>
  <c r="P36" i="3"/>
  <c r="O36" i="3"/>
  <c r="N36" i="3"/>
  <c r="M36" i="3"/>
  <c r="L36" i="3"/>
  <c r="K36" i="3"/>
  <c r="J36" i="3"/>
  <c r="I36" i="3"/>
  <c r="H36" i="3"/>
  <c r="G36" i="3"/>
  <c r="F36" i="3"/>
  <c r="E36" i="3"/>
  <c r="D36" i="3"/>
  <c r="C36" i="3"/>
  <c r="B36" i="3"/>
  <c r="Q36" i="3" s="1"/>
  <c r="P35" i="3"/>
  <c r="O35" i="3"/>
  <c r="N35" i="3"/>
  <c r="M35" i="3"/>
  <c r="L35" i="3"/>
  <c r="K35" i="3"/>
  <c r="J35" i="3"/>
  <c r="I35" i="3"/>
  <c r="H35" i="3"/>
  <c r="G35" i="3"/>
  <c r="F35" i="3"/>
  <c r="E35" i="3"/>
  <c r="D35" i="3"/>
  <c r="C35" i="3"/>
  <c r="B35" i="3"/>
  <c r="P34" i="3"/>
  <c r="O34" i="3"/>
  <c r="N34" i="3"/>
  <c r="M34" i="3"/>
  <c r="L34" i="3"/>
  <c r="K34" i="3"/>
  <c r="J34" i="3"/>
  <c r="I34" i="3"/>
  <c r="H34" i="3"/>
  <c r="G34" i="3"/>
  <c r="F34" i="3"/>
  <c r="E34" i="3"/>
  <c r="D34" i="3"/>
  <c r="C34" i="3"/>
  <c r="B34" i="3"/>
  <c r="P33" i="3"/>
  <c r="O33" i="3"/>
  <c r="N33" i="3"/>
  <c r="M33" i="3"/>
  <c r="L33" i="3"/>
  <c r="K33" i="3"/>
  <c r="J33" i="3"/>
  <c r="I33" i="3"/>
  <c r="H33" i="3"/>
  <c r="G33" i="3"/>
  <c r="F33" i="3"/>
  <c r="E33" i="3"/>
  <c r="D33" i="3"/>
  <c r="C33" i="3"/>
  <c r="B33" i="3"/>
  <c r="P32" i="3"/>
  <c r="O32" i="3"/>
  <c r="N32" i="3"/>
  <c r="M32" i="3"/>
  <c r="L32" i="3"/>
  <c r="K32" i="3"/>
  <c r="J32" i="3"/>
  <c r="I32" i="3"/>
  <c r="H32" i="3"/>
  <c r="G32" i="3"/>
  <c r="F32" i="3"/>
  <c r="E32" i="3"/>
  <c r="D32" i="3"/>
  <c r="C32" i="3"/>
  <c r="B32" i="3"/>
  <c r="P31" i="3"/>
  <c r="O31" i="3"/>
  <c r="N31" i="3"/>
  <c r="M31" i="3"/>
  <c r="L31" i="3"/>
  <c r="K31" i="3"/>
  <c r="J31" i="3"/>
  <c r="I31" i="3"/>
  <c r="H31" i="3"/>
  <c r="G31" i="3"/>
  <c r="F31" i="3"/>
  <c r="E31" i="3"/>
  <c r="D31" i="3"/>
  <c r="C31" i="3"/>
  <c r="B31" i="3"/>
  <c r="P30" i="3"/>
  <c r="O30" i="3"/>
  <c r="N30" i="3"/>
  <c r="M30" i="3"/>
  <c r="L30" i="3"/>
  <c r="K30" i="3"/>
  <c r="J30" i="3"/>
  <c r="I30" i="3"/>
  <c r="H30" i="3"/>
  <c r="G30" i="3"/>
  <c r="F30" i="3"/>
  <c r="E30" i="3"/>
  <c r="D30" i="3"/>
  <c r="C30" i="3"/>
  <c r="B30" i="3"/>
  <c r="P25" i="3"/>
  <c r="O25" i="3"/>
  <c r="N25" i="3"/>
  <c r="M25" i="3"/>
  <c r="L25" i="3"/>
  <c r="K25" i="3"/>
  <c r="J25" i="3"/>
  <c r="I25" i="3"/>
  <c r="H25" i="3"/>
  <c r="G25" i="3"/>
  <c r="F25" i="3"/>
  <c r="E25" i="3"/>
  <c r="D25" i="3"/>
  <c r="C25" i="3"/>
  <c r="B25" i="3"/>
  <c r="Q25" i="3" s="1"/>
  <c r="P24" i="3"/>
  <c r="O24" i="3"/>
  <c r="N24" i="3"/>
  <c r="M24" i="3"/>
  <c r="L24" i="3"/>
  <c r="K24" i="3"/>
  <c r="J24" i="3"/>
  <c r="I24" i="3"/>
  <c r="H24" i="3"/>
  <c r="G24" i="3"/>
  <c r="F24" i="3"/>
  <c r="E24" i="3"/>
  <c r="D24" i="3"/>
  <c r="C24" i="3"/>
  <c r="B24" i="3"/>
  <c r="P23" i="3"/>
  <c r="O23" i="3"/>
  <c r="N23" i="3"/>
  <c r="M23" i="3"/>
  <c r="L23" i="3"/>
  <c r="K23" i="3"/>
  <c r="J23" i="3"/>
  <c r="I23" i="3"/>
  <c r="H23" i="3"/>
  <c r="G23" i="3"/>
  <c r="F23" i="3"/>
  <c r="E23" i="3"/>
  <c r="D23" i="3"/>
  <c r="C23" i="3"/>
  <c r="B23" i="3"/>
  <c r="P22" i="3"/>
  <c r="O22" i="3"/>
  <c r="N22" i="3"/>
  <c r="M22" i="3"/>
  <c r="L22" i="3"/>
  <c r="K22" i="3"/>
  <c r="J22" i="3"/>
  <c r="I22" i="3"/>
  <c r="H22" i="3"/>
  <c r="G22" i="3"/>
  <c r="F22" i="3"/>
  <c r="E22" i="3"/>
  <c r="D22" i="3"/>
  <c r="C22" i="3"/>
  <c r="B22" i="3"/>
  <c r="P16" i="3"/>
  <c r="P11" i="3" s="1"/>
  <c r="O16" i="3"/>
  <c r="N16" i="3"/>
  <c r="N15" i="3" s="1"/>
  <c r="M16" i="3"/>
  <c r="M14" i="3" s="1"/>
  <c r="L16" i="3"/>
  <c r="L15" i="3" s="1"/>
  <c r="K16" i="3"/>
  <c r="K14" i="3" s="1"/>
  <c r="J16" i="3"/>
  <c r="J15" i="3" s="1"/>
  <c r="I16" i="3"/>
  <c r="I14" i="3" s="1"/>
  <c r="H16" i="3"/>
  <c r="H12" i="3" s="1"/>
  <c r="G16" i="3"/>
  <c r="G7" i="3" s="1"/>
  <c r="F16" i="3"/>
  <c r="E16" i="3"/>
  <c r="E12" i="3" s="1"/>
  <c r="D16" i="3"/>
  <c r="D14" i="3" s="1"/>
  <c r="C16" i="3"/>
  <c r="C11" i="3" s="1"/>
  <c r="B16" i="3"/>
  <c r="B14" i="3" s="1"/>
  <c r="P15" i="3"/>
  <c r="M15" i="3"/>
  <c r="K15" i="3"/>
  <c r="H15" i="3"/>
  <c r="D15" i="3"/>
  <c r="B15" i="3"/>
  <c r="P14" i="3"/>
  <c r="L14" i="3"/>
  <c r="J14" i="3"/>
  <c r="H14" i="3"/>
  <c r="M13" i="3"/>
  <c r="L13" i="3"/>
  <c r="K13" i="3"/>
  <c r="I13" i="3"/>
  <c r="H13" i="3"/>
  <c r="G13" i="3"/>
  <c r="D13" i="3"/>
  <c r="B13" i="3"/>
  <c r="M12" i="3"/>
  <c r="L12" i="3"/>
  <c r="K12" i="3"/>
  <c r="J12" i="3"/>
  <c r="G12" i="3"/>
  <c r="D12" i="3"/>
  <c r="B12" i="3"/>
  <c r="AH11" i="3"/>
  <c r="AG11" i="3"/>
  <c r="AF11" i="3"/>
  <c r="AE11" i="3"/>
  <c r="AD11" i="3"/>
  <c r="AC11" i="3"/>
  <c r="AB11" i="3"/>
  <c r="AA11" i="3"/>
  <c r="Z11" i="3"/>
  <c r="Y11" i="3"/>
  <c r="X11" i="3"/>
  <c r="W11" i="3"/>
  <c r="V11" i="3"/>
  <c r="U11" i="3"/>
  <c r="T11" i="3"/>
  <c r="AI11" i="3" s="1"/>
  <c r="M11" i="3"/>
  <c r="L11" i="3"/>
  <c r="J11" i="3"/>
  <c r="I11" i="3"/>
  <c r="H11" i="3"/>
  <c r="D11" i="3"/>
  <c r="B11" i="3"/>
  <c r="AH10" i="3"/>
  <c r="AG10" i="3"/>
  <c r="AF10" i="3"/>
  <c r="AE10" i="3"/>
  <c r="AD10" i="3"/>
  <c r="AC10" i="3"/>
  <c r="AB10" i="3"/>
  <c r="AA10" i="3"/>
  <c r="Z10" i="3"/>
  <c r="Y10" i="3"/>
  <c r="X10" i="3"/>
  <c r="W10" i="3"/>
  <c r="V10" i="3"/>
  <c r="U10" i="3"/>
  <c r="T10" i="3"/>
  <c r="AI10" i="3" s="1"/>
  <c r="P10" i="3"/>
  <c r="M10" i="3"/>
  <c r="L10" i="3"/>
  <c r="J10" i="3"/>
  <c r="H10" i="3"/>
  <c r="G10" i="3"/>
  <c r="E10" i="3"/>
  <c r="D10" i="3"/>
  <c r="B10" i="3"/>
  <c r="AH9" i="3"/>
  <c r="AG9" i="3"/>
  <c r="AF9" i="3"/>
  <c r="AE9" i="3"/>
  <c r="AD9" i="3"/>
  <c r="AC9" i="3"/>
  <c r="AC7" i="3" s="1"/>
  <c r="AC12" i="3" s="1"/>
  <c r="AB9" i="3"/>
  <c r="AA9" i="3"/>
  <c r="Z9" i="3"/>
  <c r="Y9" i="3"/>
  <c r="X9" i="3"/>
  <c r="W9" i="3"/>
  <c r="V9" i="3"/>
  <c r="U9" i="3"/>
  <c r="T9" i="3"/>
  <c r="AI9" i="3" s="1"/>
  <c r="P9" i="3"/>
  <c r="M9" i="3"/>
  <c r="K9" i="3"/>
  <c r="I9" i="3"/>
  <c r="H9" i="3"/>
  <c r="E9" i="3"/>
  <c r="C9" i="3"/>
  <c r="B9" i="3"/>
  <c r="AH8" i="3"/>
  <c r="AG8" i="3"/>
  <c r="AF8" i="3"/>
  <c r="AE8" i="3"/>
  <c r="AD8" i="3"/>
  <c r="AI8" i="3" s="1"/>
  <c r="AC8" i="3"/>
  <c r="AB8" i="3"/>
  <c r="AB7" i="3" s="1"/>
  <c r="AB12" i="3" s="1"/>
  <c r="AA8" i="3"/>
  <c r="Z8" i="3"/>
  <c r="Y8" i="3"/>
  <c r="Y7" i="3" s="1"/>
  <c r="Y12" i="3" s="1"/>
  <c r="X8" i="3"/>
  <c r="W8" i="3"/>
  <c r="W7" i="3" s="1"/>
  <c r="W12" i="3" s="1"/>
  <c r="V8" i="3"/>
  <c r="U8" i="3"/>
  <c r="T8" i="3"/>
  <c r="P8" i="3"/>
  <c r="M8" i="3"/>
  <c r="K8" i="3"/>
  <c r="J8" i="3"/>
  <c r="I8" i="3"/>
  <c r="H8" i="3"/>
  <c r="G8" i="3"/>
  <c r="E8" i="3"/>
  <c r="D8" i="3"/>
  <c r="C8" i="3"/>
  <c r="B8" i="3"/>
  <c r="AH7" i="3"/>
  <c r="AH12" i="3" s="1"/>
  <c r="AG7" i="3"/>
  <c r="AG12" i="3" s="1"/>
  <c r="AF7" i="3"/>
  <c r="AF12" i="3" s="1"/>
  <c r="AE7" i="3"/>
  <c r="AE12" i="3" s="1"/>
  <c r="AD7" i="3"/>
  <c r="AD12" i="3" s="1"/>
  <c r="AA7" i="3"/>
  <c r="AA12" i="3" s="1"/>
  <c r="Z7" i="3"/>
  <c r="Z12" i="3" s="1"/>
  <c r="X7" i="3"/>
  <c r="X12" i="3" s="1"/>
  <c r="V7" i="3"/>
  <c r="V12" i="3" s="1"/>
  <c r="U7" i="3"/>
  <c r="U12" i="3" s="1"/>
  <c r="T7" i="3"/>
  <c r="T12" i="3" s="1"/>
  <c r="O7" i="3"/>
  <c r="N7" i="3"/>
  <c r="M7" i="3"/>
  <c r="L7" i="3"/>
  <c r="K7" i="3"/>
  <c r="J7" i="3"/>
  <c r="I7" i="3"/>
  <c r="H7" i="3"/>
  <c r="F7" i="3"/>
  <c r="E7" i="3"/>
  <c r="D7" i="3"/>
  <c r="C7" i="3"/>
  <c r="B7" i="3"/>
  <c r="S100" i="2"/>
  <c r="R100" i="2"/>
  <c r="R98" i="2" s="1"/>
  <c r="Q100" i="2"/>
  <c r="Q97" i="2" s="1"/>
  <c r="P100" i="2"/>
  <c r="P98" i="2" s="1"/>
  <c r="O100" i="2"/>
  <c r="O99" i="2" s="1"/>
  <c r="N100" i="2"/>
  <c r="M100" i="2"/>
  <c r="M99" i="2" s="1"/>
  <c r="L100" i="2"/>
  <c r="L94" i="2" s="1"/>
  <c r="K100" i="2"/>
  <c r="K95" i="2" s="1"/>
  <c r="J100" i="2"/>
  <c r="I100" i="2"/>
  <c r="I95" i="2" s="1"/>
  <c r="H100" i="2"/>
  <c r="H96" i="2" s="1"/>
  <c r="G100" i="2"/>
  <c r="G95" i="2" s="1"/>
  <c r="F100" i="2"/>
  <c r="F96" i="2" s="1"/>
  <c r="E100" i="2"/>
  <c r="E94" i="2" s="1"/>
  <c r="D100" i="2"/>
  <c r="D96" i="2" s="1"/>
  <c r="C100" i="2"/>
  <c r="B100" i="2"/>
  <c r="B98" i="2" s="1"/>
  <c r="S99" i="2"/>
  <c r="N99" i="2"/>
  <c r="L99" i="2"/>
  <c r="J99" i="2"/>
  <c r="E99" i="2"/>
  <c r="D99" i="2"/>
  <c r="C99" i="2"/>
  <c r="S98" i="2"/>
  <c r="Q98" i="2"/>
  <c r="O98" i="2"/>
  <c r="N98" i="2"/>
  <c r="L98" i="2"/>
  <c r="J98" i="2"/>
  <c r="H98" i="2"/>
  <c r="G98" i="2"/>
  <c r="F98" i="2"/>
  <c r="E98" i="2"/>
  <c r="C98" i="2"/>
  <c r="S97" i="2"/>
  <c r="R97" i="2"/>
  <c r="O97" i="2"/>
  <c r="N97" i="2"/>
  <c r="J97" i="2"/>
  <c r="I97" i="2"/>
  <c r="H97" i="2"/>
  <c r="F97" i="2"/>
  <c r="E97" i="2"/>
  <c r="D97" i="2"/>
  <c r="C97" i="2"/>
  <c r="B97" i="2"/>
  <c r="S96" i="2"/>
  <c r="N96" i="2"/>
  <c r="L96" i="2"/>
  <c r="J96" i="2"/>
  <c r="I96" i="2"/>
  <c r="G96" i="2"/>
  <c r="E96" i="2"/>
  <c r="C96" i="2"/>
  <c r="S95" i="2"/>
  <c r="Q95" i="2"/>
  <c r="O95" i="2"/>
  <c r="N95" i="2"/>
  <c r="L95" i="2"/>
  <c r="J95" i="2"/>
  <c r="H95" i="2"/>
  <c r="F95" i="2"/>
  <c r="E95" i="2"/>
  <c r="C95" i="2"/>
  <c r="S94" i="2"/>
  <c r="R94" i="2"/>
  <c r="O94" i="2"/>
  <c r="N94" i="2"/>
  <c r="M94" i="2"/>
  <c r="J94" i="2"/>
  <c r="H94" i="2"/>
  <c r="D94" i="2"/>
  <c r="C94" i="2"/>
  <c r="B94" i="2"/>
  <c r="S88" i="2"/>
  <c r="R88" i="2"/>
  <c r="R87" i="2" s="1"/>
  <c r="Q88" i="2"/>
  <c r="Q85" i="2" s="1"/>
  <c r="P88" i="2"/>
  <c r="P87" i="2" s="1"/>
  <c r="O88" i="2"/>
  <c r="N88" i="2"/>
  <c r="N87" i="2" s="1"/>
  <c r="M88" i="2"/>
  <c r="M87" i="2" s="1"/>
  <c r="L88" i="2"/>
  <c r="L87" i="2" s="1"/>
  <c r="K88" i="2"/>
  <c r="K87" i="2" s="1"/>
  <c r="J88" i="2"/>
  <c r="I88" i="2"/>
  <c r="I86" i="2" s="1"/>
  <c r="H88" i="2"/>
  <c r="G88" i="2"/>
  <c r="G86" i="2" s="1"/>
  <c r="F88" i="2"/>
  <c r="F85" i="2" s="1"/>
  <c r="E88" i="2"/>
  <c r="E86" i="2" s="1"/>
  <c r="D88" i="2"/>
  <c r="D87" i="2" s="1"/>
  <c r="C88" i="2"/>
  <c r="B88" i="2"/>
  <c r="B87" i="2" s="1"/>
  <c r="S87" i="2"/>
  <c r="Q87" i="2"/>
  <c r="O87" i="2"/>
  <c r="J87" i="2"/>
  <c r="I87" i="2"/>
  <c r="H87" i="2"/>
  <c r="C87" i="2"/>
  <c r="S86" i="2"/>
  <c r="Q86" i="2"/>
  <c r="O86" i="2"/>
  <c r="M86" i="2"/>
  <c r="L86" i="2"/>
  <c r="K86" i="2"/>
  <c r="J86" i="2"/>
  <c r="H86" i="2"/>
  <c r="F86" i="2"/>
  <c r="D86" i="2"/>
  <c r="C86" i="2"/>
  <c r="S85" i="2"/>
  <c r="O85" i="2"/>
  <c r="N85" i="2"/>
  <c r="M85" i="2"/>
  <c r="K85" i="2"/>
  <c r="J85" i="2"/>
  <c r="I85" i="2"/>
  <c r="H85" i="2"/>
  <c r="G85" i="2"/>
  <c r="D85" i="2"/>
  <c r="C85" i="2"/>
  <c r="S79" i="2"/>
  <c r="S77" i="2" s="1"/>
  <c r="R79" i="2"/>
  <c r="R76" i="2" s="1"/>
  <c r="Q79" i="2"/>
  <c r="Q77" i="2" s="1"/>
  <c r="P79" i="2"/>
  <c r="P78" i="2" s="1"/>
  <c r="O79" i="2"/>
  <c r="N79" i="2"/>
  <c r="N70" i="2" s="1"/>
  <c r="M79" i="2"/>
  <c r="M73" i="2" s="1"/>
  <c r="L79" i="2"/>
  <c r="L74" i="2" s="1"/>
  <c r="K79" i="2"/>
  <c r="K75" i="2" s="1"/>
  <c r="J79" i="2"/>
  <c r="J74" i="2" s="1"/>
  <c r="I79" i="2"/>
  <c r="I75" i="2" s="1"/>
  <c r="H79" i="2"/>
  <c r="H74" i="2" s="1"/>
  <c r="G79" i="2"/>
  <c r="G75" i="2" s="1"/>
  <c r="F79" i="2"/>
  <c r="F73" i="2" s="1"/>
  <c r="E79" i="2"/>
  <c r="E75" i="2" s="1"/>
  <c r="D79" i="2"/>
  <c r="C79" i="2"/>
  <c r="C77" i="2" s="1"/>
  <c r="B79" i="2"/>
  <c r="B76" i="2" s="1"/>
  <c r="O78" i="2"/>
  <c r="M78" i="2"/>
  <c r="K78" i="2"/>
  <c r="F78" i="2"/>
  <c r="E78" i="2"/>
  <c r="D78" i="2"/>
  <c r="R77" i="2"/>
  <c r="P77" i="2"/>
  <c r="O77" i="2"/>
  <c r="M77" i="2"/>
  <c r="K77" i="2"/>
  <c r="I77" i="2"/>
  <c r="H77" i="2"/>
  <c r="G77" i="2"/>
  <c r="F77" i="2"/>
  <c r="D77" i="2"/>
  <c r="B77" i="2"/>
  <c r="S76" i="2"/>
  <c r="P76" i="2"/>
  <c r="O76" i="2"/>
  <c r="K76" i="2"/>
  <c r="J76" i="2"/>
  <c r="I76" i="2"/>
  <c r="G76" i="2"/>
  <c r="F76" i="2"/>
  <c r="E76" i="2"/>
  <c r="D76" i="2"/>
  <c r="C76" i="2"/>
  <c r="O75" i="2"/>
  <c r="N75" i="2"/>
  <c r="M75" i="2"/>
  <c r="J75" i="2"/>
  <c r="H75" i="2"/>
  <c r="F75" i="2"/>
  <c r="D75" i="2"/>
  <c r="R74" i="2"/>
  <c r="P74" i="2"/>
  <c r="O74" i="2"/>
  <c r="M74" i="2"/>
  <c r="K74" i="2"/>
  <c r="I74" i="2"/>
  <c r="G74" i="2"/>
  <c r="F74" i="2"/>
  <c r="D74" i="2"/>
  <c r="B74" i="2"/>
  <c r="S73" i="2"/>
  <c r="P73" i="2"/>
  <c r="O73" i="2"/>
  <c r="N73" i="2"/>
  <c r="L73" i="2"/>
  <c r="K73" i="2"/>
  <c r="I73" i="2"/>
  <c r="G73" i="2"/>
  <c r="E73" i="2"/>
  <c r="D73" i="2"/>
  <c r="C73" i="2"/>
  <c r="S72" i="2"/>
  <c r="N72" i="2"/>
  <c r="K72" i="2"/>
  <c r="I72" i="2"/>
  <c r="G72" i="2"/>
  <c r="F72" i="2"/>
  <c r="E72" i="2"/>
  <c r="D72" i="2"/>
  <c r="C72" i="2"/>
  <c r="B72" i="2"/>
  <c r="N71" i="2"/>
  <c r="M71" i="2"/>
  <c r="K71" i="2"/>
  <c r="I71" i="2"/>
  <c r="F71" i="2"/>
  <c r="E71" i="2"/>
  <c r="D71" i="2"/>
  <c r="S70" i="2"/>
  <c r="R70" i="2"/>
  <c r="O70" i="2"/>
  <c r="M70" i="2"/>
  <c r="K70" i="2"/>
  <c r="I70" i="2"/>
  <c r="H70" i="2"/>
  <c r="F70" i="2"/>
  <c r="D70" i="2"/>
  <c r="C70" i="2"/>
  <c r="B70" i="2"/>
  <c r="AC63" i="2"/>
  <c r="AB63" i="2"/>
  <c r="AA63" i="2"/>
  <c r="Z63" i="2"/>
  <c r="Y63" i="2"/>
  <c r="X63" i="2"/>
  <c r="W63" i="2"/>
  <c r="V63" i="2"/>
  <c r="U63" i="2"/>
  <c r="T63" i="2"/>
  <c r="S63" i="2"/>
  <c r="R63" i="2"/>
  <c r="Q63" i="2"/>
  <c r="P63" i="2"/>
  <c r="O63" i="2"/>
  <c r="N63" i="2"/>
  <c r="M63" i="2"/>
  <c r="L63" i="2"/>
  <c r="K63" i="2"/>
  <c r="J63" i="2"/>
  <c r="I63" i="2"/>
  <c r="H63" i="2"/>
  <c r="G63" i="2"/>
  <c r="F63" i="2"/>
  <c r="E63" i="2"/>
  <c r="AD63" i="2" s="1"/>
  <c r="D63" i="2"/>
  <c r="C63" i="2"/>
  <c r="B63" i="2"/>
  <c r="AC62" i="2"/>
  <c r="AB62" i="2"/>
  <c r="AA62" i="2"/>
  <c r="Z62" i="2"/>
  <c r="Y62" i="2"/>
  <c r="X62" i="2"/>
  <c r="W62" i="2"/>
  <c r="V62" i="2"/>
  <c r="U62" i="2"/>
  <c r="T62" i="2"/>
  <c r="S62" i="2"/>
  <c r="R62" i="2"/>
  <c r="Q62" i="2"/>
  <c r="P62" i="2"/>
  <c r="O62" i="2"/>
  <c r="N62" i="2"/>
  <c r="M62" i="2"/>
  <c r="L62" i="2"/>
  <c r="K62" i="2"/>
  <c r="J62" i="2"/>
  <c r="I62" i="2"/>
  <c r="H62" i="2"/>
  <c r="G62" i="2"/>
  <c r="F62" i="2"/>
  <c r="E62" i="2"/>
  <c r="D62" i="2"/>
  <c r="C62" i="2"/>
  <c r="B62" i="2"/>
  <c r="AD62" i="2" s="1"/>
  <c r="AC61" i="2"/>
  <c r="AB61" i="2"/>
  <c r="AA61" i="2"/>
  <c r="Z61" i="2"/>
  <c r="Y61" i="2"/>
  <c r="X61" i="2"/>
  <c r="W61" i="2"/>
  <c r="V61" i="2"/>
  <c r="U61" i="2"/>
  <c r="T61" i="2"/>
  <c r="S61" i="2"/>
  <c r="R61" i="2"/>
  <c r="Q61" i="2"/>
  <c r="P61" i="2"/>
  <c r="O61" i="2"/>
  <c r="N61" i="2"/>
  <c r="M61" i="2"/>
  <c r="L61" i="2"/>
  <c r="K61" i="2"/>
  <c r="J61" i="2"/>
  <c r="I61" i="2"/>
  <c r="H61" i="2"/>
  <c r="G61" i="2"/>
  <c r="F61" i="2"/>
  <c r="E61" i="2"/>
  <c r="D61" i="2"/>
  <c r="C61" i="2"/>
  <c r="B61" i="2"/>
  <c r="AD61" i="2" s="1"/>
  <c r="AC60" i="2"/>
  <c r="AB60" i="2"/>
  <c r="AA60" i="2"/>
  <c r="Z60" i="2"/>
  <c r="Y60" i="2"/>
  <c r="X60" i="2"/>
  <c r="W60" i="2"/>
  <c r="V60" i="2"/>
  <c r="U60" i="2"/>
  <c r="T60" i="2"/>
  <c r="S60" i="2"/>
  <c r="R60" i="2"/>
  <c r="Q60" i="2"/>
  <c r="P60" i="2"/>
  <c r="O60" i="2"/>
  <c r="N60" i="2"/>
  <c r="AD60" i="2" s="1"/>
  <c r="M60" i="2"/>
  <c r="L60" i="2"/>
  <c r="K60" i="2"/>
  <c r="J60" i="2"/>
  <c r="I60" i="2"/>
  <c r="H60" i="2"/>
  <c r="G60" i="2"/>
  <c r="F60" i="2"/>
  <c r="E60" i="2"/>
  <c r="D60" i="2"/>
  <c r="C60" i="2"/>
  <c r="B60" i="2"/>
  <c r="AC59" i="2"/>
  <c r="AB59" i="2"/>
  <c r="AA59" i="2"/>
  <c r="Z59" i="2"/>
  <c r="Y59" i="2"/>
  <c r="X59" i="2"/>
  <c r="W59" i="2"/>
  <c r="V59" i="2"/>
  <c r="U59" i="2"/>
  <c r="T59" i="2"/>
  <c r="S59" i="2"/>
  <c r="R59" i="2"/>
  <c r="Q59" i="2"/>
  <c r="P59" i="2"/>
  <c r="O59" i="2"/>
  <c r="N59" i="2"/>
  <c r="M59" i="2"/>
  <c r="L59" i="2"/>
  <c r="K59" i="2"/>
  <c r="J59" i="2"/>
  <c r="I59" i="2"/>
  <c r="H59" i="2"/>
  <c r="G59" i="2"/>
  <c r="F59" i="2"/>
  <c r="E59" i="2"/>
  <c r="D59" i="2"/>
  <c r="C59" i="2"/>
  <c r="B59" i="2"/>
  <c r="AD59" i="2" s="1"/>
  <c r="AC58" i="2"/>
  <c r="AB58" i="2"/>
  <c r="AA58" i="2"/>
  <c r="Z58" i="2"/>
  <c r="Y58" i="2"/>
  <c r="X58" i="2"/>
  <c r="X64" i="2" s="1"/>
  <c r="W58" i="2"/>
  <c r="V58" i="2"/>
  <c r="V64" i="2" s="1"/>
  <c r="U58" i="2"/>
  <c r="T58" i="2"/>
  <c r="S58" i="2"/>
  <c r="R58" i="2"/>
  <c r="Q58" i="2"/>
  <c r="P58" i="2"/>
  <c r="O58" i="2"/>
  <c r="O64" i="2" s="1"/>
  <c r="N58" i="2"/>
  <c r="M58" i="2"/>
  <c r="L58" i="2"/>
  <c r="K58" i="2"/>
  <c r="J58" i="2"/>
  <c r="I58" i="2"/>
  <c r="H58" i="2"/>
  <c r="H64" i="2" s="1"/>
  <c r="G58" i="2"/>
  <c r="F58" i="2"/>
  <c r="F64" i="2" s="1"/>
  <c r="E58" i="2"/>
  <c r="D58" i="2"/>
  <c r="AD58" i="2" s="1"/>
  <c r="C58" i="2"/>
  <c r="B58" i="2"/>
  <c r="AC57" i="2"/>
  <c r="AC64" i="2" s="1"/>
  <c r="AB57" i="2"/>
  <c r="AB64" i="2" s="1"/>
  <c r="AA57" i="2"/>
  <c r="AA64" i="2" s="1"/>
  <c r="Z57" i="2"/>
  <c r="Z64" i="2" s="1"/>
  <c r="Y57" i="2"/>
  <c r="Y64" i="2" s="1"/>
  <c r="X57" i="2"/>
  <c r="W57" i="2"/>
  <c r="W64" i="2" s="1"/>
  <c r="V57" i="2"/>
  <c r="U57" i="2"/>
  <c r="U64" i="2" s="1"/>
  <c r="T57" i="2"/>
  <c r="T64" i="2" s="1"/>
  <c r="S57" i="2"/>
  <c r="S64" i="2" s="1"/>
  <c r="R57" i="2"/>
  <c r="R64" i="2" s="1"/>
  <c r="Q57" i="2"/>
  <c r="Q64" i="2" s="1"/>
  <c r="P57" i="2"/>
  <c r="P64" i="2" s="1"/>
  <c r="O57" i="2"/>
  <c r="N57" i="2"/>
  <c r="N64" i="2" s="1"/>
  <c r="M57" i="2"/>
  <c r="M64" i="2" s="1"/>
  <c r="L57" i="2"/>
  <c r="L64" i="2" s="1"/>
  <c r="K57" i="2"/>
  <c r="K64" i="2" s="1"/>
  <c r="J57" i="2"/>
  <c r="J64" i="2" s="1"/>
  <c r="I57" i="2"/>
  <c r="I64" i="2" s="1"/>
  <c r="H57" i="2"/>
  <c r="G57" i="2"/>
  <c r="G64" i="2" s="1"/>
  <c r="F57" i="2"/>
  <c r="E57" i="2"/>
  <c r="E64" i="2" s="1"/>
  <c r="D57" i="2"/>
  <c r="D64" i="2" s="1"/>
  <c r="C57" i="2"/>
  <c r="C64" i="2" s="1"/>
  <c r="B57" i="2"/>
  <c r="B64" i="2" s="1"/>
  <c r="AF51" i="2"/>
  <c r="AL50" i="2"/>
  <c r="AK50" i="2"/>
  <c r="AJ50" i="2"/>
  <c r="AI50" i="2"/>
  <c r="AH50" i="2"/>
  <c r="AG50" i="2"/>
  <c r="AF50" i="2"/>
  <c r="AE50" i="2"/>
  <c r="AD50" i="2"/>
  <c r="AC50" i="2"/>
  <c r="AB50" i="2"/>
  <c r="AA50" i="2"/>
  <c r="Z50" i="2"/>
  <c r="Y50" i="2"/>
  <c r="X50" i="2"/>
  <c r="W50" i="2"/>
  <c r="V50" i="2"/>
  <c r="U50" i="2"/>
  <c r="T50" i="2"/>
  <c r="S50" i="2"/>
  <c r="R50" i="2"/>
  <c r="Q50" i="2"/>
  <c r="P50" i="2"/>
  <c r="O50" i="2"/>
  <c r="N50" i="2"/>
  <c r="M50" i="2"/>
  <c r="L50" i="2"/>
  <c r="K50" i="2"/>
  <c r="J50" i="2"/>
  <c r="I50" i="2"/>
  <c r="H50" i="2"/>
  <c r="G50" i="2"/>
  <c r="F50" i="2"/>
  <c r="E50" i="2"/>
  <c r="D50" i="2"/>
  <c r="C50" i="2"/>
  <c r="AM50" i="2" s="1"/>
  <c r="B50" i="2"/>
  <c r="AL49" i="2"/>
  <c r="AK49" i="2"/>
  <c r="AJ49" i="2"/>
  <c r="AI49" i="2"/>
  <c r="AH49" i="2"/>
  <c r="AG49" i="2"/>
  <c r="AF49" i="2"/>
  <c r="AE49" i="2"/>
  <c r="AD49" i="2"/>
  <c r="AC49" i="2"/>
  <c r="AB49" i="2"/>
  <c r="AA49" i="2"/>
  <c r="Z49" i="2"/>
  <c r="Y49" i="2"/>
  <c r="X49" i="2"/>
  <c r="W49" i="2"/>
  <c r="V49" i="2"/>
  <c r="U49" i="2"/>
  <c r="T49" i="2"/>
  <c r="S49" i="2"/>
  <c r="R49" i="2"/>
  <c r="Q49" i="2"/>
  <c r="P49" i="2"/>
  <c r="O49" i="2"/>
  <c r="N49" i="2"/>
  <c r="M49" i="2"/>
  <c r="L49" i="2"/>
  <c r="K49" i="2"/>
  <c r="J49" i="2"/>
  <c r="I49" i="2"/>
  <c r="H49" i="2"/>
  <c r="G49" i="2"/>
  <c r="AM49" i="2" s="1"/>
  <c r="F49" i="2"/>
  <c r="E49" i="2"/>
  <c r="D49" i="2"/>
  <c r="C49" i="2"/>
  <c r="B49" i="2"/>
  <c r="AL48" i="2"/>
  <c r="AK48" i="2"/>
  <c r="AJ48" i="2"/>
  <c r="AI48" i="2"/>
  <c r="AH48" i="2"/>
  <c r="AG48" i="2"/>
  <c r="AF48" i="2"/>
  <c r="AE48" i="2"/>
  <c r="AD48" i="2"/>
  <c r="AC48" i="2"/>
  <c r="AB48" i="2"/>
  <c r="AA48" i="2"/>
  <c r="Z48" i="2"/>
  <c r="Y48" i="2"/>
  <c r="X48" i="2"/>
  <c r="W48" i="2"/>
  <c r="V48" i="2"/>
  <c r="U48" i="2"/>
  <c r="T48" i="2"/>
  <c r="S48" i="2"/>
  <c r="R48" i="2"/>
  <c r="Q48" i="2"/>
  <c r="P48" i="2"/>
  <c r="O48" i="2"/>
  <c r="N48" i="2"/>
  <c r="M48" i="2"/>
  <c r="L48" i="2"/>
  <c r="K48" i="2"/>
  <c r="J48" i="2"/>
  <c r="I48" i="2"/>
  <c r="H48" i="2"/>
  <c r="G48" i="2"/>
  <c r="F48" i="2"/>
  <c r="E48" i="2"/>
  <c r="D48" i="2"/>
  <c r="C48" i="2"/>
  <c r="B48" i="2"/>
  <c r="AM48" i="2" s="1"/>
  <c r="AL47" i="2"/>
  <c r="AK47" i="2"/>
  <c r="AJ47" i="2"/>
  <c r="AI47" i="2"/>
  <c r="AH47" i="2"/>
  <c r="AG47" i="2"/>
  <c r="AF47" i="2"/>
  <c r="AE47" i="2"/>
  <c r="AD47" i="2"/>
  <c r="AC47" i="2"/>
  <c r="AB47" i="2"/>
  <c r="AA47" i="2"/>
  <c r="Z47" i="2"/>
  <c r="Y47" i="2"/>
  <c r="X47" i="2"/>
  <c r="W47" i="2"/>
  <c r="V47" i="2"/>
  <c r="U47" i="2"/>
  <c r="T47" i="2"/>
  <c r="S47" i="2"/>
  <c r="R47" i="2"/>
  <c r="Q47" i="2"/>
  <c r="P47" i="2"/>
  <c r="O47" i="2"/>
  <c r="N47" i="2"/>
  <c r="M47" i="2"/>
  <c r="L47" i="2"/>
  <c r="K47" i="2"/>
  <c r="J47" i="2"/>
  <c r="I47" i="2"/>
  <c r="H47" i="2"/>
  <c r="G47" i="2"/>
  <c r="F47" i="2"/>
  <c r="E47" i="2"/>
  <c r="D47" i="2"/>
  <c r="C47" i="2"/>
  <c r="AM47" i="2" s="1"/>
  <c r="B47" i="2"/>
  <c r="AL46" i="2"/>
  <c r="AK46" i="2"/>
  <c r="AJ46" i="2"/>
  <c r="AI46" i="2"/>
  <c r="AH46" i="2"/>
  <c r="AH51" i="2" s="1"/>
  <c r="AG46" i="2"/>
  <c r="AF46" i="2"/>
  <c r="AE46" i="2"/>
  <c r="AD46" i="2"/>
  <c r="AC46" i="2"/>
  <c r="AB46" i="2"/>
  <c r="AA46" i="2"/>
  <c r="Z46" i="2"/>
  <c r="Y46" i="2"/>
  <c r="X46" i="2"/>
  <c r="W46" i="2"/>
  <c r="V46" i="2"/>
  <c r="U46" i="2"/>
  <c r="T46" i="2"/>
  <c r="S46" i="2"/>
  <c r="R46" i="2"/>
  <c r="R51" i="2" s="1"/>
  <c r="Q46" i="2"/>
  <c r="P46" i="2"/>
  <c r="O46" i="2"/>
  <c r="N46" i="2"/>
  <c r="M46" i="2"/>
  <c r="L46" i="2"/>
  <c r="K46" i="2"/>
  <c r="J46" i="2"/>
  <c r="I46" i="2"/>
  <c r="H46" i="2"/>
  <c r="G46" i="2"/>
  <c r="AM46" i="2" s="1"/>
  <c r="F46" i="2"/>
  <c r="E46" i="2"/>
  <c r="D46" i="2"/>
  <c r="C46" i="2"/>
  <c r="B46" i="2"/>
  <c r="B51" i="2" s="1"/>
  <c r="AL45" i="2"/>
  <c r="AK45" i="2"/>
  <c r="AJ45" i="2"/>
  <c r="AI45" i="2"/>
  <c r="AH45" i="2"/>
  <c r="AG45" i="2"/>
  <c r="AF45" i="2"/>
  <c r="AE45" i="2"/>
  <c r="AD45" i="2"/>
  <c r="AC45" i="2"/>
  <c r="AC51" i="2" s="1"/>
  <c r="AB45" i="2"/>
  <c r="AA45" i="2"/>
  <c r="Z45" i="2"/>
  <c r="Y45" i="2"/>
  <c r="X45" i="2"/>
  <c r="W45" i="2"/>
  <c r="V45" i="2"/>
  <c r="U45" i="2"/>
  <c r="T45" i="2"/>
  <c r="S45" i="2"/>
  <c r="R45" i="2"/>
  <c r="Q45" i="2"/>
  <c r="P45" i="2"/>
  <c r="O45" i="2"/>
  <c r="N45" i="2"/>
  <c r="M45" i="2"/>
  <c r="M51" i="2" s="1"/>
  <c r="L45" i="2"/>
  <c r="K45" i="2"/>
  <c r="J45" i="2"/>
  <c r="I45" i="2"/>
  <c r="H45" i="2"/>
  <c r="G45" i="2"/>
  <c r="F45" i="2"/>
  <c r="E45" i="2"/>
  <c r="D45" i="2"/>
  <c r="C45" i="2"/>
  <c r="AM45" i="2" s="1"/>
  <c r="B45" i="2"/>
  <c r="AL44" i="2"/>
  <c r="AL51" i="2" s="1"/>
  <c r="AK44" i="2"/>
  <c r="AK51" i="2" s="1"/>
  <c r="AJ44" i="2"/>
  <c r="AJ51" i="2" s="1"/>
  <c r="AI44" i="2"/>
  <c r="AI51" i="2" s="1"/>
  <c r="AH44" i="2"/>
  <c r="AG44" i="2"/>
  <c r="AG51" i="2" s="1"/>
  <c r="AF44" i="2"/>
  <c r="AE44" i="2"/>
  <c r="AE51" i="2" s="1"/>
  <c r="AD44" i="2"/>
  <c r="AD51" i="2" s="1"/>
  <c r="AC44" i="2"/>
  <c r="AB44" i="2"/>
  <c r="AB51" i="2" s="1"/>
  <c r="AA44" i="2"/>
  <c r="AA51" i="2" s="1"/>
  <c r="Z44" i="2"/>
  <c r="Z51" i="2" s="1"/>
  <c r="Y44" i="2"/>
  <c r="Y51" i="2" s="1"/>
  <c r="X44" i="2"/>
  <c r="X51" i="2" s="1"/>
  <c r="W44" i="2"/>
  <c r="W51" i="2" s="1"/>
  <c r="V44" i="2"/>
  <c r="V51" i="2" s="1"/>
  <c r="U44" i="2"/>
  <c r="U51" i="2" s="1"/>
  <c r="T44" i="2"/>
  <c r="T51" i="2" s="1"/>
  <c r="S44" i="2"/>
  <c r="S51" i="2" s="1"/>
  <c r="R44" i="2"/>
  <c r="Q44" i="2"/>
  <c r="Q51" i="2" s="1"/>
  <c r="P44" i="2"/>
  <c r="P51" i="2" s="1"/>
  <c r="O44" i="2"/>
  <c r="O51" i="2" s="1"/>
  <c r="N44" i="2"/>
  <c r="N51" i="2" s="1"/>
  <c r="M44" i="2"/>
  <c r="L44" i="2"/>
  <c r="L51" i="2" s="1"/>
  <c r="K44" i="2"/>
  <c r="K51" i="2" s="1"/>
  <c r="J44" i="2"/>
  <c r="J51" i="2" s="1"/>
  <c r="I44" i="2"/>
  <c r="I51" i="2" s="1"/>
  <c r="H44" i="2"/>
  <c r="H51" i="2" s="1"/>
  <c r="G44" i="2"/>
  <c r="G51" i="2" s="1"/>
  <c r="F44" i="2"/>
  <c r="F51" i="2" s="1"/>
  <c r="E44" i="2"/>
  <c r="E51" i="2" s="1"/>
  <c r="D44" i="2"/>
  <c r="D51" i="2" s="1"/>
  <c r="C44" i="2"/>
  <c r="C51" i="2" s="1"/>
  <c r="B44" i="2"/>
  <c r="C38" i="2"/>
  <c r="I37" i="2"/>
  <c r="H37" i="2"/>
  <c r="G37" i="2"/>
  <c r="F37" i="2"/>
  <c r="E37" i="2"/>
  <c r="D37" i="2"/>
  <c r="C37" i="2"/>
  <c r="B37" i="2"/>
  <c r="J37" i="2" s="1"/>
  <c r="I36" i="2"/>
  <c r="H36" i="2"/>
  <c r="G36" i="2"/>
  <c r="F36" i="2"/>
  <c r="E36" i="2"/>
  <c r="D36" i="2"/>
  <c r="C36" i="2"/>
  <c r="B36" i="2"/>
  <c r="J36" i="2" s="1"/>
  <c r="I35" i="2"/>
  <c r="H35" i="2"/>
  <c r="G35" i="2"/>
  <c r="F35" i="2"/>
  <c r="E35" i="2"/>
  <c r="E38" i="2" s="1"/>
  <c r="D35" i="2"/>
  <c r="C35" i="2"/>
  <c r="B35" i="2"/>
  <c r="J35" i="2" s="1"/>
  <c r="I34" i="2"/>
  <c r="H34" i="2"/>
  <c r="G34" i="2"/>
  <c r="F34" i="2"/>
  <c r="E34" i="2"/>
  <c r="D34" i="2"/>
  <c r="C34" i="2"/>
  <c r="B34" i="2"/>
  <c r="J34" i="2" s="1"/>
  <c r="I33" i="2"/>
  <c r="H33" i="2"/>
  <c r="G33" i="2"/>
  <c r="G38" i="2" s="1"/>
  <c r="F33" i="2"/>
  <c r="E33" i="2"/>
  <c r="D33" i="2"/>
  <c r="C33" i="2"/>
  <c r="B33" i="2"/>
  <c r="J33" i="2" s="1"/>
  <c r="I32" i="2"/>
  <c r="H32" i="2"/>
  <c r="G32" i="2"/>
  <c r="F32" i="2"/>
  <c r="E32" i="2"/>
  <c r="D32" i="2"/>
  <c r="D38" i="2" s="1"/>
  <c r="C32" i="2"/>
  <c r="B32" i="2"/>
  <c r="J32" i="2" s="1"/>
  <c r="I31" i="2"/>
  <c r="I38" i="2" s="1"/>
  <c r="H31" i="2"/>
  <c r="H38" i="2" s="1"/>
  <c r="G31" i="2"/>
  <c r="F31" i="2"/>
  <c r="F38" i="2" s="1"/>
  <c r="E31" i="2"/>
  <c r="D31" i="2"/>
  <c r="C31" i="2"/>
  <c r="B31" i="2"/>
  <c r="J31" i="2" s="1"/>
  <c r="D24" i="2"/>
  <c r="C24" i="2"/>
  <c r="E24" i="2" s="1"/>
  <c r="B24" i="2"/>
  <c r="D23" i="2"/>
  <c r="E23" i="2" s="1"/>
  <c r="C23" i="2"/>
  <c r="B23" i="2"/>
  <c r="D22" i="2"/>
  <c r="C22" i="2"/>
  <c r="B22" i="2"/>
  <c r="E22" i="2" s="1"/>
  <c r="D21" i="2"/>
  <c r="C21" i="2"/>
  <c r="E21" i="2" s="1"/>
  <c r="B21" i="2"/>
  <c r="D20" i="2"/>
  <c r="C20" i="2"/>
  <c r="E20" i="2" s="1"/>
  <c r="B20" i="2"/>
  <c r="D19" i="2"/>
  <c r="E19" i="2" s="1"/>
  <c r="C19" i="2"/>
  <c r="B19" i="2"/>
  <c r="D18" i="2"/>
  <c r="D25" i="2" s="1"/>
  <c r="C18" i="2"/>
  <c r="C25" i="2" s="1"/>
  <c r="B18" i="2"/>
  <c r="B25" i="2" s="1"/>
  <c r="D12" i="2"/>
  <c r="C12" i="2"/>
  <c r="B12" i="2"/>
  <c r="D11" i="2"/>
  <c r="C11" i="2"/>
  <c r="B11" i="2"/>
  <c r="D10" i="2"/>
  <c r="C10" i="2"/>
  <c r="B10" i="2"/>
  <c r="D9" i="2"/>
  <c r="C9" i="2"/>
  <c r="B9" i="2"/>
  <c r="D8" i="2"/>
  <c r="C8" i="2"/>
  <c r="B8" i="2"/>
  <c r="D7" i="2"/>
  <c r="D13" i="2" s="1"/>
  <c r="C7" i="2"/>
  <c r="B7" i="2"/>
  <c r="B13" i="2" s="1"/>
  <c r="D6" i="2"/>
  <c r="C6" i="2"/>
  <c r="C13" i="2" s="1"/>
  <c r="B6" i="2"/>
  <c r="Q24" i="3" l="1"/>
  <c r="Q23" i="3"/>
  <c r="Q22" i="3"/>
  <c r="AI12" i="3"/>
  <c r="J38" i="2"/>
  <c r="H20" i="4"/>
  <c r="Q35" i="3"/>
  <c r="Q34" i="3"/>
  <c r="Q33" i="3"/>
  <c r="Q32" i="3"/>
  <c r="Q31" i="3"/>
  <c r="Q30" i="3"/>
  <c r="AM44" i="2"/>
  <c r="AM51" i="2" s="1"/>
  <c r="Q78" i="2"/>
  <c r="E87" i="2"/>
  <c r="P99" i="2"/>
  <c r="P70" i="2"/>
  <c r="P71" i="2"/>
  <c r="Q73" i="2"/>
  <c r="N74" i="2"/>
  <c r="H76" i="2"/>
  <c r="E77" i="2"/>
  <c r="B78" i="2"/>
  <c r="R78" i="2"/>
  <c r="L85" i="2"/>
  <c r="F87" i="2"/>
  <c r="P94" i="2"/>
  <c r="M95" i="2"/>
  <c r="G97" i="2"/>
  <c r="D98" i="2"/>
  <c r="Q99" i="2"/>
  <c r="C10" i="3"/>
  <c r="E11" i="3"/>
  <c r="J13" i="3"/>
  <c r="Q16" i="3"/>
  <c r="B38" i="2"/>
  <c r="Q70" i="2"/>
  <c r="S71" i="2"/>
  <c r="B73" i="2"/>
  <c r="R73" i="2"/>
  <c r="L75" i="2"/>
  <c r="C78" i="2"/>
  <c r="S78" i="2"/>
  <c r="G87" i="2"/>
  <c r="T88" i="2"/>
  <c r="Q94" i="2"/>
  <c r="K96" i="2"/>
  <c r="B99" i="2"/>
  <c r="R99" i="2"/>
  <c r="G11" i="3"/>
  <c r="I12" i="3"/>
  <c r="N14" i="3"/>
  <c r="Q74" i="2"/>
  <c r="P95" i="2"/>
  <c r="M96" i="2"/>
  <c r="L76" i="2"/>
  <c r="P85" i="2"/>
  <c r="K97" i="2"/>
  <c r="N13" i="3"/>
  <c r="E18" i="2"/>
  <c r="E25" i="2" s="1"/>
  <c r="E70" i="2"/>
  <c r="B71" i="2"/>
  <c r="C74" i="2"/>
  <c r="S74" i="2"/>
  <c r="P75" i="2"/>
  <c r="M76" i="2"/>
  <c r="J77" i="2"/>
  <c r="G78" i="2"/>
  <c r="T79" i="2"/>
  <c r="N86" i="2"/>
  <c r="B95" i="2"/>
  <c r="R95" i="2"/>
  <c r="O96" i="2"/>
  <c r="L97" i="2"/>
  <c r="I98" i="2"/>
  <c r="F99" i="2"/>
  <c r="P7" i="3"/>
  <c r="D9" i="3"/>
  <c r="I10" i="3"/>
  <c r="K11" i="3"/>
  <c r="P13" i="3"/>
  <c r="C15" i="3"/>
  <c r="AD57" i="2"/>
  <c r="AD64" i="2" s="1"/>
  <c r="C71" i="2"/>
  <c r="Q75" i="2"/>
  <c r="N76" i="2"/>
  <c r="H78" i="2"/>
  <c r="B85" i="2"/>
  <c r="R85" i="2"/>
  <c r="F94" i="2"/>
  <c r="P96" i="2"/>
  <c r="M97" i="2"/>
  <c r="G99" i="2"/>
  <c r="T100" i="2"/>
  <c r="AI7" i="3"/>
  <c r="N12" i="3"/>
  <c r="G70" i="2"/>
  <c r="H73" i="2"/>
  <c r="E74" i="2"/>
  <c r="B75" i="2"/>
  <c r="R75" i="2"/>
  <c r="L77" i="2"/>
  <c r="I78" i="2"/>
  <c r="P86" i="2"/>
  <c r="G94" i="2"/>
  <c r="D95" i="2"/>
  <c r="Q96" i="2"/>
  <c r="K98" i="2"/>
  <c r="H99" i="2"/>
  <c r="G9" i="3"/>
  <c r="K10" i="3"/>
  <c r="P12" i="3"/>
  <c r="E15" i="3"/>
  <c r="C75" i="2"/>
  <c r="S75" i="2"/>
  <c r="J78" i="2"/>
  <c r="B96" i="2"/>
  <c r="R96" i="2"/>
  <c r="I99" i="2"/>
  <c r="N11" i="3"/>
  <c r="C14" i="3"/>
  <c r="J73" i="2"/>
  <c r="Q76" i="2"/>
  <c r="N77" i="2"/>
  <c r="E85" i="2"/>
  <c r="B86" i="2"/>
  <c r="R86" i="2"/>
  <c r="I94" i="2"/>
  <c r="P97" i="2"/>
  <c r="M98" i="2"/>
  <c r="I15" i="3"/>
  <c r="J70" i="2"/>
  <c r="G71" i="2"/>
  <c r="J72" i="2"/>
  <c r="L78" i="2"/>
  <c r="K99" i="2"/>
  <c r="J9" i="3"/>
  <c r="N10" i="3"/>
  <c r="C13" i="3"/>
  <c r="E14" i="3"/>
  <c r="K94" i="2"/>
  <c r="L70" i="2"/>
  <c r="J71" i="2"/>
  <c r="M72" i="2"/>
  <c r="N78" i="2"/>
  <c r="C12" i="3"/>
  <c r="E13" i="3"/>
  <c r="P72" i="2"/>
  <c r="T97" i="2" l="1"/>
  <c r="T96" i="2"/>
  <c r="T95" i="2"/>
  <c r="T94" i="2"/>
  <c r="T99" i="2"/>
  <c r="T98" i="2"/>
  <c r="T87" i="2"/>
  <c r="T86" i="2"/>
  <c r="T85" i="2"/>
  <c r="T76" i="2"/>
  <c r="T75" i="2"/>
  <c r="T74" i="2"/>
  <c r="T70" i="2"/>
  <c r="T73" i="2"/>
  <c r="T78" i="2"/>
  <c r="T71" i="2"/>
  <c r="T72" i="2"/>
  <c r="T77" i="2"/>
  <c r="Q9" i="3"/>
  <c r="Q10" i="3"/>
  <c r="Q11" i="3"/>
  <c r="Q12" i="3"/>
  <c r="Q13" i="3"/>
  <c r="Q7" i="3"/>
  <c r="Q14" i="3"/>
  <c r="Q8" i="3"/>
  <c r="Q15" i="3"/>
  <c r="H58" i="4"/>
</calcChain>
</file>

<file path=xl/sharedStrings.xml><?xml version="1.0" encoding="utf-8"?>
<sst xmlns="http://schemas.openxmlformats.org/spreadsheetml/2006/main" count="52339" uniqueCount="9443">
  <si>
    <t>J Book Items Consolidated</t>
  </si>
  <si>
    <t>Consolidated line-item budget data from SCN, OPN, OMN, NWCF, and USCG justification books</t>
  </si>
  <si>
    <t>Source Book</t>
  </si>
  <si>
    <t>Color of Money</t>
  </si>
  <si>
    <t>Line Item Number</t>
  </si>
  <si>
    <t>Line Item Title</t>
  </si>
  <si>
    <t>Bucket</t>
  </si>
  <si>
    <t>Bucket Sub Category</t>
  </si>
  <si>
    <t>Description</t>
  </si>
  <si>
    <t>Prior Years ($K)</t>
  </si>
  <si>
    <t>FY2024 ($K)</t>
  </si>
  <si>
    <t>FY2025 ($K)</t>
  </si>
  <si>
    <t>FY2025 Required ($K)</t>
  </si>
  <si>
    <t>FY2026 Request ($K)</t>
  </si>
  <si>
    <t>FY2026 Reconciliation ($K)</t>
  </si>
  <si>
    <t>FY2026 Total ($K)</t>
  </si>
  <si>
    <t>FY2026 Required ($K)</t>
  </si>
  <si>
    <t>FY2026 DAA Mandatory ($K)</t>
  </si>
  <si>
    <t>FY2026 DAA Final Bill ($K)</t>
  </si>
  <si>
    <t>FY2026 DAA Enacted Total ($K)</t>
  </si>
  <si>
    <t>Row Type</t>
  </si>
  <si>
    <t>Parent Item</t>
  </si>
  <si>
    <t>Vessel Service</t>
  </si>
  <si>
    <t>Vessel Category</t>
  </si>
  <si>
    <t>Vessel Type</t>
  </si>
  <si>
    <t>Vessel Hull</t>
  </si>
  <si>
    <t>Citation</t>
  </si>
  <si>
    <t>Source Page</t>
  </si>
  <si>
    <t>Program Element Number</t>
  </si>
  <si>
    <t>Project</t>
  </si>
  <si>
    <t>Cost Element</t>
  </si>
  <si>
    <t>Market</t>
  </si>
  <si>
    <t>Submarket</t>
  </si>
  <si>
    <t>PE Description</t>
  </si>
  <si>
    <t>FY2027 Request ($K)</t>
  </si>
  <si>
    <t>FY2027 Mandatory Request ($K)</t>
  </si>
  <si>
    <t>FY2027 Total ($K)</t>
  </si>
  <si>
    <t>SCN</t>
  </si>
  <si>
    <t>Procurement</t>
  </si>
  <si>
    <t>1045</t>
  </si>
  <si>
    <t>COLUMBIA Class Submarine</t>
  </si>
  <si>
    <t>Full ship DD&amp;C</t>
  </si>
  <si>
    <t>MISSION: Strategic Deterrence. The COLUMBIA Class Program is an Acquisition Category (ACAT) ID Major Defense Acquisition Program (MDAP) to design, construct, and deliver a replacement for the OHIO Class Fleet Ballistic Missile Submarines (SSBNs), which begins retiring at a rate of one per year</t>
  </si>
  <si>
    <t>[PARENT]</t>
  </si>
  <si>
    <t>USN</t>
  </si>
  <si>
    <t>Combatant Ships</t>
  </si>
  <si>
    <t>Submarines</t>
  </si>
  <si>
    <t>SSBN</t>
  </si>
  <si>
    <t>P-40 Exhibit &gt; LI 1045 &gt; COLUMBIA Class Submarine</t>
  </si>
  <si>
    <t>31</t>
  </si>
  <si>
    <t>Maritime Platforms &amp; Systems</t>
  </si>
  <si>
    <t>Submarines - SSBN/SSGN</t>
  </si>
  <si>
    <t>MISSION:  Strategic Deterrence.  The COLUMBIA Class Program is an Acquisition Category (ACAT) ID Major Defense Acquisition Program (MDAP) to design, construct, and deliver a replacement for the OHIO Class Fleet Ballistic Missile Submarines (SSBNs), which begins retiring at a rate of one per year beginning in 2027.  The mission of the COLUMBIA SSBN is to maintain an appropriate state of readiness to assist in deterring nuclear attack on the United States and its allies.  In the event deterrence should fail, the force must be capable of launching missiles against pre-planned or adaptively planned targets.  To fulfill this mission COLUMBIA SSBNs must be capable of performing extended strategic deterrent patrols without requiring assistance or replenishment.  It does not have a requirement for additional capabilities or other missions unrelated to survivable strategic nuclear deterrence.  Armament: Torpedo Tubes Ballistic Missile Tubes  Major Electronics: Trident D5 Strategic Weapons System Command, Control, Communications and Intelligence System - Open System Architecture - Twenty-three Subsystems  Note: The FY 2026 request for COLUMBIA Class Submarine includes $8,994,594 thousand of discretionary funding and $1,925,892 thousand of mandatory (reconciliation) funding for a total of $10,920,486 thousand. While the total FY 2026 discretionary funding decreased by $1,426,814 million when compared to the FY 2026 funding in the FY 2025 submission ($10,421,408 thousand), the overall funding (mandatory plus discretionary) for COLUMBIA Class Submarine increased by $499,078 thousand when compared to the FY 2026 funding in the FY 2025 submission.  FY2026 is the first year of incremental full funding for the third ship, SSBN 828. Additionally, FY2026 funds the COLUMBIA Class Program to the NAVSEA 05C's 2023 cost estimate and preliminary Build II (SSBN 828-832) contract negotiations. The FY2026 budget and P5 breakout also includes Cost to Complete for Build I (SSBN 826-827), however, funding is reflected in FY2027-2030. The budget also includes continuing Integrated Enterprise Plan (IEP) funding initiatives, material procurement for future ships, and funding for the Maritime Industrial Base (MIB) (previously referred to as the Submarine Industrial Base/SIB). These MIB investments provide enterprise funding to strengthen the MIB to support a generational increase in submarine demand and includes supplier development, shipbuilder/supplier infrastructure, workforce development, technology opportunities, and strategic outsourcing. Investments are targeted to support uplift of the MIB to achieve a "1+2 " Production Cadence, strengthening the MIB and reprioritizing/growing infrastructure to support new construction goals and increased demand as well as improved maintenance and sustainment for the submarine fleet. The MIB funding profile reflects the funding provided by the Indo-Pacific Supplemental Appropriations Act, 2024 ($1,955M) to support improvements to the MIB. FY2025 Plans includes supplier development Congressional adds +$5M for explosion welding facilities and +$18.5M for tube/propulsor facilitization.   In August 2020, the COLUMBIA Class program completed its Construction Authorization In Progress Review (IPR). The Milestone Decision Authority (MDA) approved the program for entry into Build I construction on 28 August 2020, pending FY2021 congressional authorization and appropriation. As a result of the IPR, the FY2022 budget submission reflected SSBN 826-837 requirements aligned to the NAVSEA 05C's 2020 cost estimate plus additional funding for SSBN 826 based on the CAPE Lead Ship Assessment (LSA) cost estimate (+$155M FY2022-FY2023). At the COLUMBIA Program Semi-Annual IPR held on August 30, 2021, the MDA directed COLUMBIA to be funded to the program baseline, including IEP funding.   FY2026 reflects funding to the NAVSEA 05C's 2023 cost estimate (including impacts from inflation) as well as to the results of preliminary Build II contract negotiations for basic construction costs. The Build II preliminary negotiations accounts for anticipated cost growth based on current vendor proposals, current shipbuilder performance, and inflation. The Program is completing an updated cost estimate and CAPE Independent Cost Estimate (ICE) to support Build II contract negotiation and award.  The IEP funding leverages Congressional authorities and is aligned to OSD and Navy direction to execute COLUMBIA Class schedules needed to accelerate ship delivery schedules to reduce the strategic deterrence coverage gaps during transition from OHIO SSBNs to CLB SSBNs and the transition from D5LE to D5LE2 missiles.  It is crucial to maintain force structure necessary to meet USSTRATCOM requirements for Sea-Based Strategic Deterrence (SBSD).   Total MIB funding of $1,352M in FY2026 is accounted for in SSBN 837 Plans Costs P-5c Cost Category to ensure it is visible and can be appropriately tracked and managed. Since the FY2025 submission, FY2026 was reduced by $50M and rephased later into the FYDP   FY2021 was the year of authorization for the lead ship, DISTRICT OF COLUMBIA (SSBN 826), and was a new start program due to FY2021 being the first year of incremental full funding.  FY2022 and FY2023 were the second and third year of full funding for lead ship, DISTRICT OF COLUMBIA. FY2024 was the year of authorization for the second ship, WISCONSIN (SSBN 827), and first year of incremental funding for the second ship; FY2025 is the second year of incremental funding. FY2026 will be the year of authorization and the first year of incremental funding for the third ship. The budget request supports continued detailed design and construction of CFE and GFE systems to build, test, outfit, and deliver SSBN 828 and later ships.  Funding also supports Continuous Production of Missile Tubes, Advance Construction (AC), EOQ for Multi-Program Procurement, Continuous Production of Shipyard Manufactured Items, and Supplier Development to reduce COLUMBIA Class construction schedule risk executed in accordance with enhanced acquisition authorities contained within the National Sea-Based Deterrence Fund (NSBDF), 10 U.S.C. 2218a. The Navy executed a Build I contract for the first two COLUMBIA class submarines (SSBN 826 and SSBN 827), detailed below.   The Navy's FY2026 budget was altered to reflect three-year incremental funding profile for all COLUMBIA (CLB) Build II Ships and continues for rest of class.  This results in a reduction of $3.1B in FY2026 (shifted into follow years).  This incremental full funding profile supports the phased requirements to meet the objective SSBN 828 delivery date.  A Contract Modification for ongoing design/advance construction efforts was awarded on 22 June 2020, which also included the Build I Option for the First Two Ships. This was a Pre-Priced Option for the two ships, SSBN 826 and SSBN 827, and associated design/support efforts. This was a modification of the current IPPD contract (N00024-17-C-2117) and is in line with the program's approved Acquisition Strategy.  The program received authorization for SSBN 826 in FY2021, funded with three years of incremental funding in FY2021-2023, and SSBN 827 was authorized in FY2024, funded with two years of incremental funding in FY2024-2025.  In December 2022, program awarded an additional pre-priced contract modification of IPPD to support Build II/III Advance Procurement / Advance Construction, EOQ for Build II, and MIB efforts.  CLB and VIRGINIA Class (VCS) Programs are executing an innovative contracting approach (similar to CLB Build I) which will coordinate CLB Build II with VCS new construction contracting efforts (VCS FY2024 ships and Block VI (FY2025-2029)) to maximize efficiency and stability across the industrial base.  The coordination of three separate contract actions eliminates redundant effort by negotiating multiple contracts simultaneously while allowing the shipbuilders to place material orders for multiple ships in concert with VCS which improves stability for supplier base to de-risk schedules.  Since the FY2025 submission, the COLUMBIA Class Program continues investment in initiatives to reduce construction schedule risk and enable cost savings (Multi-Program Material Procurement (MPMP), Continuous Production (CP) of Missile Tubes/Outfitting, Ordnance Systems and Shipyard Manufactured Components, Economic Order Quantity efforts, and Advance Construction).  Increased investment in Strategic Weapons System (SWS) Shipboard Systems EOQ and Continuous Production leverages additional opportunities to mitigate obsolescence and construction schedule risks and realize additional cost savings outside of the FYDP. The Navy in FY2026 continues to fund additional IEP initiatives (EOQ/MPMP, CP, Missile Tube Outfitting, AC/AP, and Production Backup Units) which is crucial to de-risk and execute IEP Objective schedules. Total class cost savings is $2,010M. Details are contained in the P-10. The first Missile Tube Module (MTM) is funded through RDTEN Program Element 0603595N for $584M; additional $195M funds added due to MTM performance growth in the FY2026 submission.</t>
  </si>
  <si>
    <t>COLUMBIA Class Submarine - SFF for FY 2024</t>
  </si>
  <si>
    <t>[SUB]</t>
  </si>
  <si>
    <t>1045 / COLUMBIA Class Submarine</t>
  </si>
  <si>
    <t>P-1 Exhibit &gt; BA 01 &gt; Line 1 SFF</t>
  </si>
  <si>
    <t>12</t>
  </si>
  <si>
    <t>COLUMBIA Class Submarine - Net Procurement FY 2026</t>
  </si>
  <si>
    <t>P-1 Exhibit &gt; BA 01 &gt; Line 1 Net</t>
  </si>
  <si>
    <t>COLUMBIA Class Submarine Advance Procurement (CY)</t>
  </si>
  <si>
    <t>Advance procurement / LLTM</t>
  </si>
  <si>
    <t>P-40 Exhibit &gt; LI 1045 AP &gt; COLUMBIA Class Submarine Advance Procurement</t>
  </si>
  <si>
    <t>57</t>
  </si>
  <si>
    <t>2001</t>
  </si>
  <si>
    <t>Carrier Replacement Program</t>
  </si>
  <si>
    <t>To provide credible, sustainable, independent forward presence during peacetime without access to land bases; operate as the cornerstone of a joint and/or allied maritime expeditionary force in response to crisis; and carry the war to the enemy through joint multi-mission offensive operations. The</t>
  </si>
  <si>
    <t>Aircraft Carriers</t>
  </si>
  <si>
    <t>CVN</t>
  </si>
  <si>
    <t>P-40 Exhibit &gt; LI 2001 &gt; Carrier Replacement Program</t>
  </si>
  <si>
    <t>73</t>
  </si>
  <si>
    <t>To provide credible, sustainable, independent forward presence during peacetime without access to land bases; operate as the cornerstone of a joint and/or allied maritime expeditionary force in response to crisis; and carry the war to the enemy through joint multi-mission offensive operations.  The Navy designed the FORD Class aircraft carrier with the warfighting capability essential for the 21st century, and the flexibility and resilience to rapidly adapt to emerging threats. The Ford class incorporates advances in technology such as a new reactor plant, propulsion system, electric plant, Electromagnetic Aircraft Launch System (EMALS), Advanced Arresting Gear (AAG), machinery control, and integrated warfare systems that increase lethality, while lowering life cycle costs through reductions in maintenance and manning requirements. Increased Service Life Allowances (SLA) for weight and stability enable future modernization and the ability to adapt to new missions over the ship's 50-year life cycle.  CVN 80 and CVN 81 were awarded under a two-ship buy.  CVN 80 is a separate contract line item under the same contract as CVN 81, which allows discrete hull costs to be captured. The CVN 80/81 construction contract is a Fixed Price Incentive (Firm Target) (FPIF) contract type that limits the Navy's liability and incentivizes the shipyard's best performance. The contract language guarantees a single technical baseline for both ships, which allows the shipyard to re-use engineering rollover products, minimize changes between the two ships and leverages economic order quantities for equipment and material procurement.  The Advanced Procurement (AP) funding in FY 2026 is the first of 4 years of AP funding for CVN 82.  CVN 81 was moved to BLI 2004 in accordance with the Department of Defense Appropriations Act, 2020.</t>
  </si>
  <si>
    <t>Carrier Replacement - SFF for FY 2018</t>
  </si>
  <si>
    <t>2001 / Carrier Replacement Program</t>
  </si>
  <si>
    <t>P-1 Exhibit &gt; BA 02 &gt; Line 5 SFF</t>
  </si>
  <si>
    <t>15</t>
  </si>
  <si>
    <t>Carrier Replacement - Completion PY FY 2013</t>
  </si>
  <si>
    <t>P-1 Exhibit &gt; BA 02 &gt; Line 5 CTC</t>
  </si>
  <si>
    <t>Carrier Replacement Program Advance Procurement (CY)</t>
  </si>
  <si>
    <t>Basic: Funding is required for procurement of the longest lead non-reactor propulsion plant, electric plant contractor furnished equipment and shipbuilder advance procurement / construction efforts necessary to support an efficient CVN 82 construction schedule. Advance Construction (AC) / Advance</t>
  </si>
  <si>
    <t>P-40 Exhibit &gt; LI 2001 AP &gt; Carrier Replacement AP</t>
  </si>
  <si>
    <t>115</t>
  </si>
  <si>
    <t>2004</t>
  </si>
  <si>
    <t>CVN-81</t>
  </si>
  <si>
    <t>P-40 Exhibit &gt; LI 2004 &gt; CVN-81</t>
  </si>
  <si>
    <t>117</t>
  </si>
  <si>
    <t>To provide credible, sustainable, independent forward presence during peacetime without access to land bases; operate as the cornerstone of a joint and/or allied maritime expeditionary force in response to crisis; and carry the war to the enemy through joint multi-mission offensive operations.  The Navy designed the FORD Class aircraft carrier with the warfighting capability essential for the 21st century, and the flexibility and resilience to rapidly adapt to emerging threats. The Ford class incorporates advances in technology such as a new reactor plant, propulsion system, electric plant, Electromagnetic Aircraft Launch System (EMALS), Advanced Arresting Gear (AAG), machinery control, and integrated warfare systems that increase lethality, while lowering life cycle costs through reductions in maintenance and manning requirements. Increased Service Life Allowances (SLA) for weight and stability enable future modernization and the ability to adapt to new missions over the ship's 50-year life cycle.  CVN 80 and CVN 81 were awarded under a two-ship buy.  CVN 81 is a separate contract line item under the same contract as CVN 80, which allows discrete hull costs to be captured. The CVN 80/81 construction contract is a Fixed Price Incentive (Firm Target) (FPIF) contract type that limits the Navy's liability and incentivizes the shipyard's best performance. The contract language guarantees a single technical baseline for both ships, which allows the shipyard to re-use engineering rollover products, minimize changes between the two ships and leverages economic order quantities for equipment and material procurement.</t>
  </si>
  <si>
    <t>2013</t>
  </si>
  <si>
    <t>Virginia Class Submarine</t>
  </si>
  <si>
    <t>MISSION: To seek out and destroy enemy ships across a wide spectrum of tactical scenarios, working both independently and in concert with a battle group/other ships, providing Joint Commanders with early, accurate knowledge of the battlefield on which power may be projected from sea; covert</t>
  </si>
  <si>
    <t>SSN</t>
  </si>
  <si>
    <t>P-40 Exhibit &gt; LI 2013 &gt; Virginia Class Submarine</t>
  </si>
  <si>
    <t>155</t>
  </si>
  <si>
    <t>Submarines - SSN</t>
  </si>
  <si>
    <t>MISSION:  To seek out and destroy enemy ships across a wide spectrum of tactical scenarios, working both independently and in concert with a battle group/other ships, providing Joint Commanders with early, accurate knowledge of the battlefield on which power may be projected from sea; covert striking power against targets ashore; the capability to establish covertly an expeditionary force on land; and the maritime strength to destroy enemy naval forces and interdict seaborne commerce.  NOTE:   For VIRGINIA Class Submarine (VCS), the Department requests a total of $11,078,029 thousand and a total quantity of 2 ships. This request includes $3,943,521 thousand of discretionary and a quantity of 1 and $7,134,508 thousand and a quantity of 1 of mandatory for a total of $11,078,029 thousand and a quantity of 2. The mandatory funds one FY 2026 VCS as well as continued investments in nuclear shipbuilder productivity wage enhancements. The discretionary includes funds for one FY 2026 VCS, and advance procurement and economic order quantity funds for future VIRGINIA Class Submarines.  Further information for this reconciliation request is provided in Section 20002 (Shipbuilding) of the Reconciliation Exhibit.  The program is currently executing the fourth Multi-Year Procurement (MYP) (Block V) contract which was awarded on 2 December 2019, modified on 22 March 2021 to exercise an option for a tenth SSN, and subsequently modified on 30 April 2025 to include the FY 2024 eleventh and twelfth SSNs. The April 2025 modification includes funds received via the American Relief Act (ARA) of 2025 (H.R.10545) to support construction of the FY 2024 hulls ($1,950M) and FY 2025 hull ($1,528M), as well as investments in shipbuilder workforce support and infrastructure enhancements ($2,213M). Block V incorporates Acoustic Superiority (AS) modifications on all SSNs, and VIRGINIA Payload Module (VPM) beginning with SSN 803. All Block V SSNs will include modifications to provide enhanced capability and improved performance based upon efforts performed via RDT&amp;E (PE 0604558N/Prj 1947). VPM is an 84-foot hull section with four additional payload tubes, each capable of carrying seven Tomahawk cruise missiles or various other payloads. VPM helps mitigate the loss of undersea strike capability with the retirement of the Service's four guided missile submarines (SSGNs) in the late-2020s. Funding associated with these changes to the baseline are shown in more detail on subsequent pages of these exhibits.   The program is currently planning the fifth MYP (Block VI) contract for FY 2025 - FY 2029 procurements.</t>
  </si>
  <si>
    <t>Virginia Class Sub - Net Procurement</t>
  </si>
  <si>
    <t>2013 / Virginia Class Submarine</t>
  </si>
  <si>
    <t>P-1 Exhibit &gt; BA 02 &gt; Line 8 Net</t>
  </si>
  <si>
    <t>14</t>
  </si>
  <si>
    <t>Virginia Class Sub - SFF for FY 2024</t>
  </si>
  <si>
    <t>P-1 Exhibit &gt; BA 02 &gt; Line 8 SFF</t>
  </si>
  <si>
    <t>Virginia Class Sub - Completion PY (FY15-18)</t>
  </si>
  <si>
    <t>P-1 Exhibit &gt; BA 02 &gt; Line 8 CTC</t>
  </si>
  <si>
    <t>Virginia Class Submarine Advance Procurement (CY)</t>
  </si>
  <si>
    <t>The Total Ship estimate for the FY 2025 hull includes additional funds in support of critical spare material that will be consumed on future hulls to ensure critical sub-tier vendors maintain two per year cadence. Advance Procurement and EOQ funds essential Long Lead Time materials to meet in yard</t>
  </si>
  <si>
    <t>P-40 Exhibit &gt; LI 2013 AP &gt; Virginia Class Sub AP</t>
  </si>
  <si>
    <t>171</t>
  </si>
  <si>
    <t>2086</t>
  </si>
  <si>
    <t>CVN Refueling Overhauls</t>
  </si>
  <si>
    <t>RCOH</t>
  </si>
  <si>
    <t>To support and operate aircraft to engage in attacks on targets afloat and ashore which threaten our use of the sea and to engage in sustained operations in support of other forces. The refueling of the reactors and repair and upgrade of the main propulsion equipment will provide for reliable</t>
  </si>
  <si>
    <t>P-40 Exhibit &gt; LI 2086 &gt; CVN Refueling Overhauls</t>
  </si>
  <si>
    <t>175</t>
  </si>
  <si>
    <t>Maritime Sustainment &amp; Lifecycle Support</t>
  </si>
  <si>
    <t>Nuclear Refueling Overhaul (NNSY)</t>
  </si>
  <si>
    <t>To support and operate aircraft to engage in attacks on targets afloat and ashore which threaten our use of the sea and to engage in sustained operations in support of other forces. The refueling of the reactors and repair and upgrade of the main propulsion equipment will provide for reliable operations during its remaining 23 plus years of ship life using only the normal maintenance cycle.</t>
  </si>
  <si>
    <t>CVN Refueling - Net Procurement FY 2025</t>
  </si>
  <si>
    <t>2086 / CVN Refueling Overhauls</t>
  </si>
  <si>
    <t>P-1 Exhibit &gt; BA 02 &gt; Line 10 Net</t>
  </si>
  <si>
    <t>CVN Refueling - SFF for FY 2025</t>
  </si>
  <si>
    <t>P-1 Exhibit &gt; BA 02 &gt; Line 10 SFF</t>
  </si>
  <si>
    <t>CVN Refueling - Completion PY FY 2020</t>
  </si>
  <si>
    <t>P-1 Exhibit &gt; BA 02 &gt; Line 10 CTC</t>
  </si>
  <si>
    <t>CVN Refueling Overhauls Advance Procurement (CY)</t>
  </si>
  <si>
    <t>No advance procurement funds requested for RCOH in FY 2026. *Note: "When Required" is the number of months required before ship delivery.</t>
  </si>
  <si>
    <t>P-40 Exhibit &gt; LI 2086 AP &gt; CVN Refueling AP</t>
  </si>
  <si>
    <t>209</t>
  </si>
  <si>
    <t>2119</t>
  </si>
  <si>
    <t>DDG 1000</t>
  </si>
  <si>
    <t>DDG 1000, a multi-mission surface combatant, will serve as a versatile asset in the context of future Naval Strategy. Armed with an array of weapons, DDG 1000 will provide the Joint Force Commander with precision strike and volume fires. Designed with sustainable payload, multi-spectral stealth and</t>
  </si>
  <si>
    <t>Surface Combatants</t>
  </si>
  <si>
    <t>DDG</t>
  </si>
  <si>
    <t>P-40 Exhibit &gt; LI 2119 &gt; DDG 1000</t>
  </si>
  <si>
    <t>211</t>
  </si>
  <si>
    <t>Surface Combatants - Large</t>
  </si>
  <si>
    <t>DDG 1000, a multi-mission surface combatant, will serve as a versatile asset in the context of future Naval Strategy. Armed with an array of weapons, DDG 1000 will provide the Joint Force Commander with precision strike and volume fires. Designed with sustainable payload, multi-spectral stealth and optimal manning, DDG 1000 will take the fight to the enemy with unprecedented striking power.  The program continues to integrate the Conventional Prompt Strike (CPS) weapons system on the DDG 1000 Class.  CPS installation on the lead ship by Q1 FY25 and all three ships in the class by Q4 FY28. DDG 1000 will be the first maritime platform to integrate the CPS weapons system. This naval surface hypersonic strike capability will conduct independent forward deployed operations and prosecute deep-inland, time-critical, soft and medium-hardened targets in a contested environment. The CPS capability, combined with the low observable characteristics of the ZUMWALT platform, creates a uniquely lethal and survivable naval surface platform. ZUMWALT Class enhances U.S. conventional power projection by providing an independent forward deployed strike platform, with longer range, shorter time of flight, and higher survivability against enemy defenses compared to current capabilities.  CPS integration on Lyndon B. Johnson (DDG 1002) will occur during new construction, prior to the ship's arrival in homeport and prior to installation of CPS on DDG 1001. Full CPS operational capability on ZUMWALT Class is achieved when CPS is installed on all three ships and they are turned over for Fleet operations.   DDG 1000 and DDG 1001 are delivered/commissioned ships. The CPS installations for these ships is budgeted with Other Procurement, Navy (OPN LI 0947) funding. DDG 1002 CPS installation is budgeted in Shipbuilding and Conversion, Navy funding.</t>
  </si>
  <si>
    <t>2122</t>
  </si>
  <si>
    <t>DDG-51</t>
  </si>
  <si>
    <t>DDG 51 will be able to operate offensively and defensively, independently or as units of Carrier Strike Groups and Surface Action Groups, in support of Marine Amphibious Task Forces in multi-threat environments that include air, surface and subsurface threats. These ships will respond to Low</t>
  </si>
  <si>
    <t>P-40 Exhibit &gt; LI 2122 &gt; DDG-51</t>
  </si>
  <si>
    <t>237</t>
  </si>
  <si>
    <t>DDG 51 will be able to operate offensively and defensively, independently or as units of Carrier Strike Groups and Surface Action Groups, in support of Marine Amphibious Task Forces in multi-threat environments that include air, surface and subsurface threats. These ships will respond to Low Intensity Conflict/Coastal and Littoral Offshore Warfare (LIC/CALOW) scenarios as well as open ocean conflict providing or augmenting power projection and forward presence requirements, and escort operations at sea. Beginning in FY17, DDG 51 Flight III with the Air and Missile Defense Radar (SPY-6(V)1) will significantly enhance Integrated Air and Missile Defense capability against current and future threats. Starting in FY22, DDG 51 Flight III AN/SLQ-32 system is upgraded from AN/SLQ-32(V)6 to AN/SLQ-32(V)7, with the addition of SEWIP Block 3, which provides advanced Electronic Attack (EA) capability to keep pace with the evolving Anti-Ship Missile (ASM) threat and counter-targeting.  Starting in FY23, the MK38 Gun Weapon System is being upgraded to the Mod 4 configuration and transitions from a post construction to an in-line installation, the WSN-7 inertial navigation system is being replaced with the follow-on WSN-12 navigation system, 15 additional berths are being introduced, and the Bridgemaster Surface Search Radar is being replaced by the Next-Generation Surface Search Radar (NGSSR).  For the DDG 51 Program, the Department requests a total of $5,410,773 thousand and a total quantity of two. This request includes includes $10,773 thousand and quantity of 0 of discretionary funding and $5,410,000 thousand and quantity of 2 of mandatory funding for a total FY 2026 request of $5,410,773 thousand and quantity of 2.  The mandatory and discretionary funds support the contract award for two FY 2026 ships.  Further information for this reconciliation request will be provided in Section 20002 (Shipbuilding) of the Reconciliation Exhibit.  Note: (1) The FY 2018-2022 acquisition strategy is a 10 ship Multi-year Procurement (MYP) with options. This budget request reflects savings for the ships in FY 2018-FY 2022 associated with EOQ procurement and a MYP strategy. Additional ships in FY 2019 and FY 2020 also reflect quantity savings over annual ship prices. (2) The Navy awarded two Multi-year Procurement (MYP) contracts for FY 2023 - FY 2027 for 9 ships with options. This budget request reflects savings for the ships in FY 2023-FY 2027 associated with EOQ procurement and a MYP strategy.  The additional ships in FY 2023 and FY 2025 also reflect quantity savings over annual ship prices.     (3) FY 2025 includes subsequent year full funding for the following: $923,808K for FY 2023 ships and $759,563K for FY 2024 ships.</t>
  </si>
  <si>
    <t>DDG-51 - Net Procurement</t>
  </si>
  <si>
    <t>2122 / DDG-51</t>
  </si>
  <si>
    <t>P-1 Exhibit &gt; BA 02 &gt; Line 13 Net</t>
  </si>
  <si>
    <t>DDG-51 - SFF for FY 2023 and FY 2024</t>
  </si>
  <si>
    <t>P-1 Exhibit &gt; BA 02 &gt; Line 13 SFF</t>
  </si>
  <si>
    <t>DDG-51 - Completion PY (FY16-18)</t>
  </si>
  <si>
    <t>P-1 Exhibit &gt; BA 02 &gt; Line 13 CTC</t>
  </si>
  <si>
    <t>DDG-51 Advance Procurement (CY)</t>
  </si>
  <si>
    <t>There is no FY 2026 Advance Procurement request in mandatory ($0 thousand) or discretionary ($0 thousand) funding. FY23 - FY24 AP is required for shipbuilder and AEGIS Weapon System (AWS) Economic Order Quantity procurements for material items to achieve savings for the FY23-FY27 MYP ships. FY24 -</t>
  </si>
  <si>
    <t>P-40 Exhibit &gt; LI 2122 AP &gt; DDG-51 AP</t>
  </si>
  <si>
    <t>265</t>
  </si>
  <si>
    <t>2127</t>
  </si>
  <si>
    <t>Littoral Combat Ship (LCS)</t>
  </si>
  <si>
    <t>Provides for the design, construction, integration, and testing of the Littoral Combat Ship (LCS) including ordnance, government furnished equipment (GFE), plans and change order costs. LCS deploys focused-mission packages to execute surface warfare (SUW) and mine countermeasures (MCM) operations.</t>
  </si>
  <si>
    <t>LCS</t>
  </si>
  <si>
    <t>P-40 Exhibit &gt; LI 2127 &gt; Littoral Combat Ship</t>
  </si>
  <si>
    <t>269</t>
  </si>
  <si>
    <t>Surface Combatants - Medium</t>
  </si>
  <si>
    <t>Provides for the design, construction, integration, and testing of the Littoral Combat Ship (LCS) including ordnance, government furnished equipment (GFE), plans and change order costs.    LCS deploys focused-mission packages to execute surface warfare (SUW) and mine countermeasures (MCM) operations. LCS also possesses inherent capabilities, regardless of the mission package installed, including intelligence, surveillance, and reconnaissance (ISR), anti-terrorism/force protection (AT/FP), air warfare self-defense, joint littoral mobility, and logistic support for movement of personnel and supplies.  LCS SUW ships will also include maritime interdiction/interception operations (MIO). LCS MCM ships will incorporate unmanned vehicles to conduct mine hunting and mine sweeping missions. This relatively small, shallow-draft, high-speed surface combatant complements the U.S. Navy's Surface Fleet by operating in environments where it is impossible or undesirable to employ larger deeper-draft, multi-mission ships. LCS can deploy independently to overseas littoral regions or remain on station for extended periods of time either with a battle group or through a forward-basing arrangement.  LCS will operate with Carrier Strike Groups, Surface Action Groups, or independently as dictated by the mission and environment. Additionally, LCS can operate cooperatively with the U.S. Coast Guard and Allies.</t>
  </si>
  <si>
    <t>2128</t>
  </si>
  <si>
    <t>FFG-Frigate</t>
  </si>
  <si>
    <t>The Guided Missile Frigate (FFG 62 Class) is a more lethal and survivable multi-mission small surface combatant. With the FFG 62 Class, the Navy will maximize the small surface combatant capabilities in the Anti-Surface Warfare (SUW), Anti-Submarine Warfare (ASW), Electronic Warfare/Information</t>
  </si>
  <si>
    <t>FFG</t>
  </si>
  <si>
    <t>P-40 Exhibit &gt; LI 2128 &gt; FFG-Frigate</t>
  </si>
  <si>
    <t>273</t>
  </si>
  <si>
    <t>The Guided Missile Frigate (FFG 62 Class) is a more lethal and survivable multi-mission small surface combatant. With the FFG 62 Class, the Navy will maximize the small surface combatant capabilities in the Anti-Surface Warfare (SUW), Anti-Submarine Warfare (ASW), Electronic Warfare/Information Operations (EW/IO), Air Warfare (AW) mission areas, and survivability while keeping the ship affordable and as a part of a "high-low" mix of surface ships. The FFG 62 Class Capability Development Document was JROC approved in Feb 2019 and completed Milestone B, an informed Independent Cost Estimate, and award of the Detail Design &amp; Construction contract in April 2020.  Delivery dates reflect the most recent Master Planning Schedule that reflects known programmatic schedule delays.</t>
  </si>
  <si>
    <t>3010</t>
  </si>
  <si>
    <t>LPD Flight II</t>
  </si>
  <si>
    <t>For the LPD Flight II Program, the Department requests a total of $2,600,000 thousand and a total quantity of one. This request includes $0 thousand of discretionary funding and $2,600,000 thousand and quantity of 1 of mandatory funding for a total FY 2026 request of $2,600,000 thousand and a</t>
  </si>
  <si>
    <t>Amphibious Warfare Ships</t>
  </si>
  <si>
    <t>LPD</t>
  </si>
  <si>
    <t>P-40 Exhibit &gt; LI 3010 &gt; LPD Flight II</t>
  </si>
  <si>
    <t>303</t>
  </si>
  <si>
    <t>Amphibious Ships</t>
  </si>
  <si>
    <t>For the LPD Flight II Program, the Department requests a total of $2,600,000 thousand and a total quantity of one. This request includes $0 thousand of discretionary funding and $2,600,000 thousand and quantity of 1 of mandatory funding for a total FY 2026 request of $2,600,000 thousand and a quantity of 1.  The mandatory funds support the contract award of one FY 2026 ship, LPD 34 ($2,129,963 thousand), incremental funding for the FY 2025 ship, LPD 33 ($195,037 thousand), and Advance Procurement for the future LPD 35 ($275,000 thousand).  Further information for this reconciliation request will be provided in Section 20002 (Shipbuilding) of the Reconciliation Exhibit.   The LPD 17 Flight II is expected to functionally replace LSD-41 Class ships and LSD-49 Class ships for embark, transport, control, insert, sustainment, and extract of Marine Air-Ground Task Force elements and supporting forces by helicopters, landing craft, and amphibious vehicles.   Per signed Acquisition Decision Memorandum, LPD 17 Flight II will meet the Capabilities Development Document for LX(R) and shall subsume all previous LX(R) efforts. Name change endorsed in JROCM 093-21, from "Amphibious Ship Replacement LX(R)" to "LPD 17 San Antonio Class Amphibious Transport Dock FLT II." LPD 30 is the first ship of LPD 17 Flight II.  The Navy has awarded a Multi-Ship Procurement (MSP) contract in September 2024 for 3 ships (LPD 33, 34, and 35). In total, the 4-ship agreement was awarded simultaneously for LHA 10 and LPD 33-35 and included Advanced Procurement (AP) to acquire Long Lead Time Material (LLTM) and full funding.</t>
  </si>
  <si>
    <t>LPD Flight II - Net Procurement</t>
  </si>
  <si>
    <t>3010 / LPD Flight II</t>
  </si>
  <si>
    <t>P-1 Exhibit &gt; BA 03 &gt; Line 19 Net</t>
  </si>
  <si>
    <t>18</t>
  </si>
  <si>
    <t>LPD Flight II - SFF for FY 2025</t>
  </si>
  <si>
    <t>P-1 Exhibit &gt; BA 03 &gt; Line 19 SFF</t>
  </si>
  <si>
    <t>LPD Flight II - Completion PY FY 2018</t>
  </si>
  <si>
    <t>P-1 Exhibit &gt; BA 03 &gt; Line 19 CTC</t>
  </si>
  <si>
    <t>LPD Flight II Advance Procurement (CY)</t>
  </si>
  <si>
    <t>Advance Procurement funding will be used to purchase Long Lead Time Material (LLTM) and to maintain schedule. LLTM procurements will include, but are not limited to: Engines, Diesel Generators, Reduction Gears, Motor Controllers, Propellers, Shafting, Elevators, A/C Plants, Switchboards/Power</t>
  </si>
  <si>
    <t>P-40 Exhibit &gt; LI 3010 AP &gt; LPD Flight II AP</t>
  </si>
  <si>
    <t>321</t>
  </si>
  <si>
    <t>LPD-17</t>
  </si>
  <si>
    <t>P-1 Exhibit &gt; BA 03 &gt; Line 21</t>
  </si>
  <si>
    <t>3041</t>
  </si>
  <si>
    <t>LHA Replacement</t>
  </si>
  <si>
    <t>For the LHA(R) Program, the Department requests a total of $3,895,000 thousand and a total quantity of one. This request includes $0 thousand of discretionary funding and $3,895,000 thousand and quantity of 1 of mandatory funding for a total FY 2026 request of $3,895,000 thousand and a quantity of</t>
  </si>
  <si>
    <t>LHA</t>
  </si>
  <si>
    <t>P-40 Exhibit &gt; LI 3041 &gt; LHA Replacement</t>
  </si>
  <si>
    <t>323</t>
  </si>
  <si>
    <t>For the LHA(R) Program, the Department requests a total of $3,895,000 thousand and a total quantity of one. This request includes $0 thousand of discretionary funding and $3,895,000 thousand and quantity of 1 of mandatory funding for a total FY 2026 request of $3,895,000 thousand and a quantity of 1.  The mandatory funds support the contract award of one FY 2026 ship, LHA 10.  Further information for this reconciliation request will be provided in Section 20002 (Shipbuilding) of the Reconciliation Exhibit.  The LHA(R) Program replaces the Tarawa Class (LHA 1) Amphibious Assault Class Ships and the retiring Wasp Class (LHD 1) Amphibious Assault Class Ships. The LHA(R) Class Program ensures that the Amphibious Fleet remains capable of Expeditionary Warfare well into the 21st Century and provides for an affordable and sustainable Amphibious Ship development program. The LHA(R) Class provides forward presence and power projection as an integral part of joint, interagency, and multinational maritime Expeditionary forces. The LHA(R) Class operates for sustained periods in transit to and operations in an Amphibious Objective Area to include the embarkation, deployment, and landing of a Marine Landing Force and supporting forces by helicopters and tilt rotors supported by Joint Strike Fighters (JSF) F-35B.  LHA(R) Flight 0 is considered a transitional increment intended to increase the aviation capabilities of Amphibious Assault Class Ships. LHA(R) Flight 0 consisted of two ships - LHA 6 and LHA 7.   LHA(R) Flight 1 is the second increment in the LHA 6 Class, with LHA 8 (FY 2017) being the first ship of Flight 1. The LHA(R) Flight 1 design continues the incremental development of Amphibious Assault Class Ships by adding a well deck and increasing the flight deck capacity by reducing the footprint of the island and adding a sponson. The Flight 1 ships maintain an aviation centric capability with the addition of a well deck that will accommodate two Landing Craft, Air Cushion (LCAC) vehicles. LHA 9 (FY 2023) is the second LHA(R) Flight 1 ship and assumes a LHA 8 baseline design.</t>
  </si>
  <si>
    <t>LHA Replacement - SFF for FY 2023</t>
  </si>
  <si>
    <t>3041 / LHA Replacement</t>
  </si>
  <si>
    <t>P-1 Exhibit &gt; BA 03 &gt; Line 24 SFF</t>
  </si>
  <si>
    <t>LHA Replacement - Completion PY FY 2017</t>
  </si>
  <si>
    <t>P-1 Exhibit &gt; BA 03 &gt; Line 24 CTC</t>
  </si>
  <si>
    <t>LHA Replacement Advance Procurement (CY)</t>
  </si>
  <si>
    <t>There is no FY 2026 Advance Procurement request in mandatory ($0 thousand) or discretionary ($0 thousand) funding. Advance Procurement funding will be used to purchase Long Lead Time Material (LLTM) and maintain production schedule. LLTM procurements will include, but not be limited to, Port Deck</t>
  </si>
  <si>
    <t>P-40 Exhibit &gt; LI 3041 AP &gt; LHA Replacement AP</t>
  </si>
  <si>
    <t>351</t>
  </si>
  <si>
    <t>Basic Construction</t>
  </si>
  <si>
    <t>3050</t>
  </si>
  <si>
    <t>Medium Landing Ship</t>
  </si>
  <si>
    <t>Medium Landing Ship (LSM) is a medium-sized landing ship that enables distributed maneuver and logistics such as Distributed Maritime Operations (DMO), Littoral Operations in a Contested Environment (LOCE), and Expeditionary Advanced Base Operations (EABO), in support of the Marine Littoral</t>
  </si>
  <si>
    <t>Expeditionary &amp; Seabasing Ships</t>
  </si>
  <si>
    <t>LSM</t>
  </si>
  <si>
    <t>P-40 Exhibit &gt; LI 3050 &gt; Medium Landing Ship</t>
  </si>
  <si>
    <t>353</t>
  </si>
  <si>
    <t>Medium Landing Ship (LSM) is a medium-sized landing ship that enables distributed maneuver and logistics such as Distributed Maritime Operations (DMO), Littoral Operations in a Contested Environment (LOCE), and Expeditionary Advanced Base Operations (EABO), in support of the Marine Littoral Regiment (MLR). It is designed to fill the gap in capability between the Navy's large, multipurpose amphibious warfare class ships and smaller landing vessels. This ship will deploy tailored logistics, select power projection and support strike capabilities via the embarked MLR. With the authorities granted in Section 128 of the FY 2025 National Defense Authorization Act, the LSM program will procure an existing design to construct Non-Developmental Vessels (NDV). This procurement is known as LSM Block 1.  For the LSM Program, the Department requests a total of $1,963,941 thousand and a total quantity of nine. This request includes $0 thousand of discretionary and $1,963,941 thousand of mandatory (reconciliation) for a total of $1,963,941 thousand.  The mandatory funds will be used to procure 9 ships. Further information for this reconciliation request is provided in Section 20002 (Shipbuilding) of the Reconciliation Exhibit.</t>
  </si>
  <si>
    <t>3039</t>
  </si>
  <si>
    <t>Expeditionary Sea Base (ESB)</t>
  </si>
  <si>
    <t>The Expeditionary Mobile Base (ESB) (formerly MLP Afloat Forward Staging Base (AFSB)) will serve as a dedicated Naval Afloat Forward Staging Base, optimized to support naval assets in a variety of missions rather than independently modifying ships-of-opportunity as required to meet these roles. The</t>
  </si>
  <si>
    <t>[REFERENCE]</t>
  </si>
  <si>
    <t>CTC captured in 5300 / Completion of PY Shipbuilding Programs (ESB sub-item)</t>
  </si>
  <si>
    <t>MSC</t>
  </si>
  <si>
    <t>T-ESB</t>
  </si>
  <si>
    <t>P-40 Exhibit &gt; LI 3039 &gt; Expeditionary Sea Base</t>
  </si>
  <si>
    <t>357</t>
  </si>
  <si>
    <t>3043</t>
  </si>
  <si>
    <t>Expeditionary Fast Transport (EPF)</t>
  </si>
  <si>
    <t>Future joint forces will be responsive, deployable, agile, versatile, lethal, survivable, and sustainable. The nation will need lift assets that can provide for assured access, decrease predictability and dwell time, and have the capacity to quickly deliver troops and equipment together in a manner</t>
  </si>
  <si>
    <t>CTC captured in 5300 / Completion of PY Shipbuilding Programs (JHSV sub-item)</t>
  </si>
  <si>
    <t>T-EPF</t>
  </si>
  <si>
    <t>P-40 Exhibit &gt; LI 3043 &gt; Expeditionary Fast Transport</t>
  </si>
  <si>
    <t>361</t>
  </si>
  <si>
    <t>5025</t>
  </si>
  <si>
    <t>TAO Fleet Oiler</t>
  </si>
  <si>
    <t>For the T-AO 205 Program, the Department requests a total of $1,861,705 thousand and two ships. This request includes $8,346 thousand of discretionary and $1,853,359 thousand of mandatory (reconciliation) for a total of $1,861,705 thousand. The mandatory and discretionary funds support the contract</t>
  </si>
  <si>
    <t>Combat Logistics Ships</t>
  </si>
  <si>
    <t>T-AO</t>
  </si>
  <si>
    <t>P-40 Exhibit &gt; LI 5025 &gt; TAO Fleet Oiler</t>
  </si>
  <si>
    <t>365</t>
  </si>
  <si>
    <t>For the T-AO 205 Program, the Department requests a total of $1,861,705 thousand and two ships. This request includes $8,346 thousand of discretionary and $1,853,359 thousand of mandatory (reconciliation) for a total of $1,861,705 thousand. The mandatory and discretionary funds support the contract award of 2 T-AO Fleet Oilers. Further information for this reconciliation request is provided in Section 20002 (Shipbuilding) of the Reconciliation Exhibit.  The T-AO 205 John Lewis Fleet Oiler Class will recapitalize the existing T-AO 187 fleet oiler class. The Navy's Combat Logistics Force (CLF) oilers supply fuel and dry cargo to Navy ships at sea. The T-AO 205 Class will operate as shuttle ships from resupply posts to customer ships. Additionally, in conjunction with a dry cargo and ammunition ship (T-AKE), they will accompany and stay on-station with a Carrier Strike Group (CSG) to provide fuel as required to customer ships.</t>
  </si>
  <si>
    <t>TAO Fleet Oiler - Net Procurement</t>
  </si>
  <si>
    <t>5025 / TAO Fleet Oiler</t>
  </si>
  <si>
    <t>P-1 Exhibit &gt; BA 05 &gt; Line 31 Net</t>
  </si>
  <si>
    <t>19</t>
  </si>
  <si>
    <t>TAO Fleet Oiler - Completion PY (FY19-23)</t>
  </si>
  <si>
    <t>P-1 Exhibit &gt; BA 05 &gt; Line 31 CTC</t>
  </si>
  <si>
    <t>5030</t>
  </si>
  <si>
    <t>TAGOS Surtass Ships</t>
  </si>
  <si>
    <t>Auxiliary General Ocean Surveillance (T-AGOS) ships gather underwater acoustical data to support the mission of the Integrated Undersea Surveillance System (IUSS) by providing a ship platform capable of theater anti-submarine acoustic passive and active surveillance. T-AGOS ships are operated by</t>
  </si>
  <si>
    <t>Surveillance Ships</t>
  </si>
  <si>
    <t>T-AGOS</t>
  </si>
  <si>
    <t>P-40 Exhibit &gt; LI 5030 &gt; TAGOS Surtass Ships</t>
  </si>
  <si>
    <t>373</t>
  </si>
  <si>
    <t>Auxiliary &amp; Support Ships</t>
  </si>
  <si>
    <t>Auxiliary General Ocean Surveillance (T-AGOS) ships gather underwater acoustical data to support the mission of the Integrated Undersea Surveillance System (IUSS) by providing a ship platform capable of theater anti-submarine acoustic passive and active surveillance. T-AGOS ships are operated by Military Sealift Command to support the anti-submarine warfare mission of the commanders of the Atlantic and Pacific Fleets. The two current classes of surveillance ships use Surveillance Towed-Array Sensor System (SURTASS) equipment to gather undersea acoustic data. The ships also carry electronic equipment to process and transmit that data via satellite to shore stations for evaluation. Funding will support recapitalization of the four Small Waterplane Area Twin Hull (SWATH) T-19 Class and one SWATH T-23 Class ships.</t>
  </si>
  <si>
    <t>TAGOS - SFF for FY 2022</t>
  </si>
  <si>
    <t>5030 / TAGOS Surtass Ships</t>
  </si>
  <si>
    <t>P-1 Exhibit &gt; BA 05 &gt; Line 34 SFF</t>
  </si>
  <si>
    <t>TAGOS - Net Procurement FY 2026</t>
  </si>
  <si>
    <t>P-1 Exhibit &gt; BA 05 &gt; Line 34 Net</t>
  </si>
  <si>
    <t>20</t>
  </si>
  <si>
    <t>5035</t>
  </si>
  <si>
    <t>Towing Salvage and Rescue Ship (ATS)</t>
  </si>
  <si>
    <t>The Navy requires ocean-going towing, salvage, and rescue capabilities to support Fleet operations. The Navy's current capabilities are provided by four Fleet Ocean Tugs (T-ATF) 166 Class Fleet tugs and four Rescue and Salvage Ships (T-ARS 50) Class salvage ships which will reach the end of their</t>
  </si>
  <si>
    <t>Salvage Ships &amp; Fleet Ocean Tugs</t>
  </si>
  <si>
    <t>T-ATS</t>
  </si>
  <si>
    <t>P-40 Exhibit &gt; LI 5035 &gt; Towing Salvage and Rescue Ship</t>
  </si>
  <si>
    <t>381</t>
  </si>
  <si>
    <t>The Navy requires ocean-going towing, salvage, and rescue capabilities to support Fleet operations. The Navy's current capabilities are provided by four Fleet Ocean Tugs (T-ATF) 166 Class Fleet tugs and four Rescue and Salvage Ships (T-ARS 50) Class salvage ships which will reach the end of their expected service lives beginning in 2020 and 2025, respectively. The Towing, Salvage and Rescue Ships (T-ATS 6 Navajo Class) will recapitalize the current Fleet tugs and salvage ships with a common hull that is capable of performing the missions of the retiring T-ATF and T-ARS classes.</t>
  </si>
  <si>
    <t>5087</t>
  </si>
  <si>
    <t>Oceanographic Ships</t>
  </si>
  <si>
    <t>The FY 2018 Omnibus Appropriations Act included a Congressional add for Detail Design and Construction (DD&amp;C) efforts for one T-AGS 60 vessel. T-AGS 67 is a repeat platform of T-AGS 66 and includes the Moon Pool Launch and Recovery System. The TAGS 67 will be capable of deep ocean and coastal surveys, oceanographic sampling and data collections.</t>
  </si>
  <si>
    <t>Auxiliary Ships</t>
  </si>
  <si>
    <t>Research, Survey &amp; Instrumentation Ships</t>
  </si>
  <si>
    <t>T-AGS</t>
  </si>
  <si>
    <t>P-40 Exhibit &gt; LI 5087 &gt; Oceanographic Ships</t>
  </si>
  <si>
    <t>385</t>
  </si>
  <si>
    <t>The FY 2018 Omnibus Appropriations Act included a Congressional add for Detail Design and Construction (DD&amp;C) efforts for one T-AGS 60 vessel. T-AGS 67 is a repeat platform of T-AGS 66 and includes the Moon Pool Launch and Recovery System.  The TAGS 67 will be capable of deep ocean and coastal surveys, oceanographic sampling and data collections of surface, midwater and ocean floor parameters, shipboard oceanographic data processing and sample analysis, and operation of remotely operated vehicles and hydrographic survey launches.</t>
  </si>
  <si>
    <t>5100</t>
  </si>
  <si>
    <t>LCU 1700</t>
  </si>
  <si>
    <t>For the Landing Craft, Utility (LCU) 1700 program, the Department requests a total of $295,000 thousand and a total quantity of nine. This request includes $0 thousand of discretionary funding and $295,000 thousand of mandatory (reconciliation) funding. The mandatory funds support the contract</t>
  </si>
  <si>
    <t>Combatant Crafts</t>
  </si>
  <si>
    <t>Amphibious Warfare Craft</t>
  </si>
  <si>
    <t>LCU</t>
  </si>
  <si>
    <t>P-40 Exhibit &gt; LI 5100 &gt; LCU 1700</t>
  </si>
  <si>
    <t>389</t>
  </si>
  <si>
    <t>For the Landing Craft, Utility (LCU) 1700 program, the Department requests a total of $295,000 thousand and a total quantity of nine. This request includes $0 thousand of discretionary funding and $295,000 thousand of mandatory (reconciliation) funding.  The mandatory funds support the contract award of 9 LCU craft and development of a second shipyard. Further information for this reconciliation request is provided in Section 20002 (Shipbuilding) of the Reconciliation Exhibit.  The LCU 1700 program provides heavy lift capability to transport personnel, weapons, equipment, and cargo from the ship to shore and shore to shore across the range of military operations (ROMO). LCU 1700 will be able to conduct 24 hours/day operations for up to 10 days for continuous landing of troops, equipment, and supplies; provide support for missions requiring persistence such as riverine sustainment, surveillance or port clearing; and execute missions to reinforce, reposition, and resupply forces over a wide operating area.  LCU 1700 provides the functional replacement for the LCU 1610 class of landing craft, all of which have significantly exceeded their 25 year service life, the average age exceeds 50 years old.  The initial Swiftships LLC contract was terminated for default in February 2024. No craft from the initial contract will be delivered.  A Detail Design and Construction contract was awarded in September 2023 for three LCUs (LCU 1710-1712), with the option for LCUs 1713 and 1714 awarded in July 2024. There are options for up to seven additional craft to Austal USA.</t>
  </si>
  <si>
    <t>Strategic Sealift</t>
  </si>
  <si>
    <t>Cargo &amp; Vehicle Cargo Ships</t>
  </si>
  <si>
    <t>T-AK / T-AKR</t>
  </si>
  <si>
    <t>P-1 Exhibit &gt; BA 05 &gt; Line 40</t>
  </si>
  <si>
    <t>5110</t>
  </si>
  <si>
    <t>Outfitting</t>
  </si>
  <si>
    <t>GFE / combat systems for newbuild</t>
  </si>
  <si>
    <t>Outfitting (OF) funds are used to acquire on board repair parts, other secondary items, equipage, recreation items, precommissioning crew support and general use consumables furnished to the shipbuilder or the fitting-out activity to fill the ship's initial allowances as defined by the baseline</t>
  </si>
  <si>
    <t>P-40 Exhibit &gt; LI 5110 &gt; Outfitting</t>
  </si>
  <si>
    <t>395</t>
  </si>
  <si>
    <t>Depot-Level Repair Parts</t>
  </si>
  <si>
    <t>Outfitting (OF) funds are used to acquire on board repair parts, other secondary items, equipage, recreation items, precommissioning crew support and general use consumables furnished to the shipbuilder or the fitting-out activity to fill the ship's initial allowances as defined by the baseline coordinated shipboard allowance list (COSAL).  The program also budgets for contractor-furnished spares, a lead-time away from delivery.  The program ensures operational readiness of ships undergoing new construction, conversion, service life extension program (SLEP), and nuclear refueling.  It ensures these ships receive their full allowances of spare parts and equipment which are vitally required to support the shipboard maintenance process; ensures ships are equipped with operating space items (tools, test equipment, damage control), personnel safety and survivability commodities for successful completion of builder sea trials; supports shipboard maintenance and thereby achieving the OPNAV-directed supply readiness goals for material on board ship at delivery.  SCN funding for the initial fill of allowance list items are limited to those items on the COSAL and authorized requirements through the Obligation Work Limiting Date (OWLD). While most outfitting funds are executed prior to ships' completion of fitting out dates, some outfitting funding may be required in the fiscal year following the scheduled Delivery Date.  Post Delivery (PD) funding covers the repair of government-responsible items which were believed to have been complete to standard and/or operable at delivery, as well as funding to conduct tests and trials after delivery.  It is essential to deliver to the Fleet complete ships, free from both contractor and government responsible deficiencies, capable of supporting the Navy's mission.  The Post Shakedown Availability (PSA) is a shipyard availability assigned to commence after delivery and to be completed prior to the expiration of the SCN OWLD.  It is during this time that acceptance and final contract trials deficiencies will be corrected.  The purpose of the PSA is to correct new construction deficiencies found during the shakedown period; to correct contractor and government responsible deficiencies previously authorized; and accomplishment of other improvements or class items as authorized.  Funding is used for corrections authorized by the ship's Program Manager as a result of builders' trials (pre-delivery), acceptance or underway trials, final contract trials, trial board items, and correction of production-related defects or deficiencies which develop during the post delivery period.  Although the majority of post delivery funding occurs after ships' delivery dates, some funding is required prior to the delivery date in preparation for post delivery events.  First Destination Transportation (FDT). FDT delivers material from a procurement source to the first point of use or storage which may be in the Continental United States or overseas. The procurement source may be a supplier outside of the Department of Defense (DoD) supply system or a DoD activity which fabricates new material. FDT also includes transportation from point of origin to point of use or storage when Navy-owned material or equipment is provided to a contractor incident to a Research and Development project or a system/equipment acquisition or modification.</t>
  </si>
  <si>
    <t>Outfitting - COLUMBIA Class</t>
  </si>
  <si>
    <t>5110 / Outfitting</t>
  </si>
  <si>
    <t>P-40 &gt; LI 5110 &gt; P-29/P-30 &gt; CO CLASS</t>
  </si>
  <si>
    <t>Outfitting - CVN (79/80)</t>
  </si>
  <si>
    <t>P-40 &gt; LI 5110 &gt; P-29/P-30 &gt; CVN</t>
  </si>
  <si>
    <t>Outfitting - Virginia Class</t>
  </si>
  <si>
    <t>P-40 &gt; LI 5110 &gt; P-29/P-30 &gt; VIRGINIA</t>
  </si>
  <si>
    <t>Outfitting - CVN RCOH</t>
  </si>
  <si>
    <t>P-40 &gt; LI 5110 &gt; P-29/P-30 &gt; CVN-RCOH</t>
  </si>
  <si>
    <t>Outfitting - DDG 1000</t>
  </si>
  <si>
    <t>P-40 &gt; LI 5110 &gt; P-29/P-30 &gt; DDG 1000</t>
  </si>
  <si>
    <t>Outfitting - DDG-51</t>
  </si>
  <si>
    <t>P-40 &gt; LI 5110 &gt; P-29/P-30 &gt; DDG</t>
  </si>
  <si>
    <t>Outfitting - LCS</t>
  </si>
  <si>
    <t>P-40 &gt; LI 5110 &gt; P-29/P-30 &gt; LCS</t>
  </si>
  <si>
    <t>Outfitting - LPD Flight II</t>
  </si>
  <si>
    <t>P-40 &gt; LI 5110 &gt; P-29/P-30 &gt; LPD FLT II</t>
  </si>
  <si>
    <t>Outfitting - LPD-17</t>
  </si>
  <si>
    <t>P-40 &gt; LI 5110 &gt; P-29/P-30 &gt; LPD</t>
  </si>
  <si>
    <t>Outfitting - ESB</t>
  </si>
  <si>
    <t>P-40 &gt; LI 5110 &gt; P-29/P-30 &gt; ESB</t>
  </si>
  <si>
    <t>Outfitting - LHA</t>
  </si>
  <si>
    <t>P-40 &gt; LI 5110 &gt; P-29/P-30 &gt; LHA</t>
  </si>
  <si>
    <t>Outfitting - EPF</t>
  </si>
  <si>
    <t>P-40 &gt; LI 5110 &gt; P-29/P-30 &gt; EPF</t>
  </si>
  <si>
    <t>Outfitting - T-AO</t>
  </si>
  <si>
    <t>P-40 &gt; LI 5110 &gt; P-29/P-30 &gt; T-AO</t>
  </si>
  <si>
    <t>Outfitting - T-ATS</t>
  </si>
  <si>
    <t>P-40 &gt; LI 5110 &gt; P-29/P-30 &gt; T-ATS</t>
  </si>
  <si>
    <t>Outfitting - T-AGS/AGOR</t>
  </si>
  <si>
    <t>P-40 &gt; LI 5110 &gt; P-29/P-30 &gt; T-AGS/AGOR</t>
  </si>
  <si>
    <t>Outfitting - LCU</t>
  </si>
  <si>
    <t>P-40 &gt; LI 5110 &gt; P-29/P-30 &gt; LCU</t>
  </si>
  <si>
    <t>Outfitting - SSC (Ship to Shore Connector)</t>
  </si>
  <si>
    <t>LCAC</t>
  </si>
  <si>
    <t>P-40 &gt; LI 5110 &gt; P-29/P-30 &gt; LCAC SSC</t>
  </si>
  <si>
    <t>Outfitting - LCAC SLEP</t>
  </si>
  <si>
    <t>SLEP</t>
  </si>
  <si>
    <t>P-40 &gt; LI 5110 &gt; P-29/P-30 &gt; LCAC SLEP</t>
  </si>
  <si>
    <t>Outfitting - PUBS / First Destination</t>
  </si>
  <si>
    <t>P-40 &gt; LI 5110 &gt; P-29/P-30 &gt; PUBS + FD</t>
  </si>
  <si>
    <t>5112</t>
  </si>
  <si>
    <t>Ship to Shore Connector</t>
  </si>
  <si>
    <t>For the Ship to Shore Connector (SSC) program, the Department requests a total of $239,095 thousand and a total quantity of one. This request includes $0 thousand of discretionary funding and $239,095 thousand of mandatory (reconciliation) funding. The mandatory funds support the contract award of</t>
  </si>
  <si>
    <t>P-40 Exhibit &gt; LI 5112 &gt; Ship to Shore Connector</t>
  </si>
  <si>
    <t>407</t>
  </si>
  <si>
    <t>For the Ship to Shore Connector (SSC) program, the Department requests a total of $239,095 thousand and a total quantity of one. This request includes $0 thousand of discretionary funding and $239,095 thousand of mandatory (reconciliation) funding. The mandatory funds support the contract award of 1 SSC.  Further information for this reconciliation request is provided in Section 20002 (Shipbuilding) of the Reconciliation Exhibit.  The SSC program provides the capability to rapidly move assault forces within the littoral operational environment to accomplish Unified Command Plan (UCP) missions. SSC ensures the Joint Force Commander's (JFCDR) ability to conduct amphibious operations and operate over the high-water mark, including movement over ice, mud, rivers, swamps, and marshes. SSC provides the functional replacement for the Landing Craft, Air Cushion (LCAC) Class of ships, which began reaching extended service life in 2015.</t>
  </si>
  <si>
    <t>5113</t>
  </si>
  <si>
    <t>Service Craft</t>
  </si>
  <si>
    <t>Covered Lighter (YFN) transports ordnance and sensitive equipment, and cargo that requires protection from the weather. Open Lighter (YC) transports cargo/equipment and serves as a work platform for ship maintenance. Repair, Berthing and Messing Barge (YRBM) provides crew messing, duty crew berthing, and administrative spaces for small to mid-size ships and submarines during CNO maintenance availabilities.</t>
  </si>
  <si>
    <t>P-40 Exhibit &gt; LI 5113 &gt; Service Craft</t>
  </si>
  <si>
    <t>413</t>
  </si>
  <si>
    <t>The Department of Defense Appropriations Act, 2023 moved the FY 2023 requested Auxiliary Personnel Lighter (APL) from the Service Craft line item (SCN 5113) to a new line item, now SCN 5114, Auxiliary Personnel Lighter. FY 2022 and prior year APL craft are shown in the Service Craft budget line item 5113. Auxiliary Personnel Lighter (Small) (APL(S)) provides craft berthing and messing facilities for sailors while their ships are in port for availabilities and Inter-Deployment Training Cycles (IDTC).   The Further Consolidated Act of 2024 provided an additional $30M for one YRBM.  The Full-Year Continuing Appropriations and Extensions Act, 2025 provided an additional $30M for one YRBM.  The US Navy owns and operates 347 Service Craft consisting of 33 different classes of craft at 56 different commands and activities throughout the world. Service Craft provide critical support to carriers, submarines, and other Navy vessels through port operations, ship maintenance, testing, and training missions. Nearly half of the Service Craft inventory is over 40 years of age. The Service Craft budget supports the acquisition of replacement craft as follows:  Auxiliary Floating Dry Dock Medium (AFDM) is used to dry dock surface ships (including CG, DDG, LCS, and LSD) in order to perform maintenance availabilities.   Harbor Tug (YT) provides critical vessel towing, escort, personnel transfer, and emergency services to carriers, ships, and submarines. The YT program replaces aging YTB tugboats in the Northwest Region, Yokosuka, and Portsmouth Naval Shipyard and is required to meet port operations mission requirements.  Small Harbor Tug (YTL) is used by port operations for ship assist, towing, and escort of smaller Navy ships and craft.  Fuel Oil Barge (YON) carries liquid petroleum products for refueling ships. YON barges greatly reduce the risk of a major fuel oil spill. Many existing YONs are 50 to 60 years old and of single hull construction. The new YONs will be double-hulled and will meet the requirements of the Oil Pollution Act of 1990 (OPA-90).  Waste Oil Barge (YWO) offloads oily waste water from ships for transport and processing. The YWO will be double-hulled and have piping and other systems specifically designed for transferring oily waste. The YWO program will replace 66 to 78 year old barges that were not specifically designed to transport oily waste and are in extremely poor condition.  Covered Lighter (YFN) transports ordnance and sensitive equipment, and cargo that requires protection from the weather.  Open Lighter (YC) transports cargo/equipment and serves as a work platform for ship maintenance.  Repair, Berthing and Messing Barge (YRBM) provides crew messing, duty crew berthing, and administrative spaces for small to mid-size ships and submarines during CNO maintenance availabilities. The new YRBM barges will augment legacy YR, YRB, YRBM, and YRBM(L) barges that are 50-80 years old, not built to current safety standards, and is not dual gender configured.</t>
  </si>
  <si>
    <t>5114</t>
  </si>
  <si>
    <t>Auxiliary Personnel Lighter</t>
  </si>
  <si>
    <t>The Further Consolidated Act of 2024 provided an additional $72M for one APL. Auxiliary Personnel Lighter (Small) - APL(S) barracks craft provide berthing and messing facilities for sailors while their ships are in port for availabilities and inter-deployment training cycles. It supports up to an</t>
  </si>
  <si>
    <t>Support Crafts</t>
  </si>
  <si>
    <t>Other Craft, Non-Self-Propelled</t>
  </si>
  <si>
    <t>APL</t>
  </si>
  <si>
    <t>P-40 Exhibit &gt; LI 5114 &gt; Auxiliary Personnel Lighter</t>
  </si>
  <si>
    <t>421</t>
  </si>
  <si>
    <t>The Further Consolidated Act of 2024 provided an additional $72M for one APL.  Auxiliary Personnel Lighter (Small) - APL(S) barracks craft provide berthing and messing facilities for sailors while their ships are in port for availabilities and inter-deployment training cycles. It supports up to an aircraft carrier (CVN) size ship where it is designed to provide berthing for up to 600 personnel and messing for up to 1,130 personnel. APL(S) facilities include classrooms, conference rooms, administrative offices, disbursing office, galley, mess, scullery, post office, convenience store, barbershop, lounges, laundry facilities, physical fitness center, chaplain's office, medical complex, quarterdeck, equipment/machinery rooms, and various storerooms. Lastly, it provides berthing and sanitary facilities designed for dual-gender use.</t>
  </si>
  <si>
    <t>5139</t>
  </si>
  <si>
    <t>LCAC SLEP</t>
  </si>
  <si>
    <t>For the Landing Craft, Air Cushion (LCAC) Extended Service Life Extension Program (ESLEP), the Department requests a total of $37,390 thousand and a total quantity of one. This request includes $0 thousand of discretionary funding and $37,390 thousand of mandatory (reconciliation) funding. The</t>
  </si>
  <si>
    <t>P-40 Exhibit &gt; LI 5139 &gt; LCAC SLEP</t>
  </si>
  <si>
    <t>425</t>
  </si>
  <si>
    <t>Shipyard Maintenance &amp; Modernization</t>
  </si>
  <si>
    <t>For the Landing Craft, Air Cushion (LCAC) Extended Service Life Extension Program (ESLEP), the Department requests a total of $37,390 thousand and a total quantity of one. This request includes $0 thousand of discretionary funding and $37,390 thousand of mandatory (reconciliation) funding.  The mandatory funds support the contract award of 1 LCAC ESLEP.  Further information for this reconciliation request is provided in Section 20002 (Shipbuilding) of the Reconciliation Exhibit.  LCAC transports weapon systems, equipment, cargo and personnel of the assault elements of the Marine Air/Ground Task Force from ship to shore and across the beach. The LCAC Service Life Extension Program (SLEP) and LCAC Extended Service Life Extension Program (ESLEP) extends the craft service life past the original twenty years.  The LCAC SLEP program incorporates the following modifications and enhancements: upgrade from the TF40B engines to the ETF40B engines; repair corrosion damage; replace obsolete electronics; upgrade C4N suite; and replace deep skirt. The LCAC SLEP program was completed in March 2022 with the delivery of LCAC SLEP 77.  The LCAC ESLEP program incorporates the following modifications and enhancements: repairs corrosion damage; replaces obsolete electronics, upgrades C4N including cyber hardening; and replaces the deep skirt.</t>
  </si>
  <si>
    <t>5201</t>
  </si>
  <si>
    <t>Auxiliary Vessels (Used Sealift)</t>
  </si>
  <si>
    <t>For the Auxiliary Vessels (Used Sealift) Program, the Department requests a total of $145,000 thousand and a total quantity of one. This request includes $45,000 thousand of discretionary funding and $100,000 thousand of mandatory (reconciliation) funding. The mandatory and discretionary funds</t>
  </si>
  <si>
    <t>P-40 Exhibit &gt; LI 5201 &gt; Auxiliary Vessels (Used Sealift)</t>
  </si>
  <si>
    <t>429</t>
  </si>
  <si>
    <t>For the Auxiliary Vessels (Used Sealift) Program, the Department requests a total of $145,000 thousand and a total quantity of one. This request includes $45,000 thousand of discretionary funding and $100,000 thousand of mandatory (reconciliation) funding.  The mandatory and discretionary funds support the contract award for one ship.  Further information for this reconciliation request will be provided in Section 20002 (Shipbuilding) of the Reconciliation Exhibit.  This funding is required to recapitalize the U.S. surge sealift fleet. The principal enabler for recapitalizing the U.S. surge sealift fleet is through ship procurements and upgrades of used commercial vessels via the Ready Reserve Force (RRF) Recapitalization program.  Strategic sealift is a key enabler of U.S. power projection and supports the afloat movement of equipment and supplies for major ground combat operations. During surge deployments, approximately 90% of Marine Corps and Army combat equipment is transported by sea, under the operation of U.S. Transportation Command (USTRANSCOM). The RRF, managed by the U.S. Department of Transportation's (DOT) Maritime Administration (MARAD), is the primary force of the surge sealift fleet.  As a key element of strategic sealift, the RRF is specifically structured to transport military unit equipment and supplies during the initial surge of U.S. combat forces deploying anywhere in the world. This fleet consists of 48 government-owned ships with an average age of 43 years; a majority of these ships have already exceeded their expected service life, limiting their supportability and adding significant risk to their operational readiness. As a result, the Joint Force requires 18 ships over the next 5 years to replace anticipated sealift capacity losses.  In FY 2023, the Navy purchased three FY 2022 funded used vessels. These vessels have all been delivered, completed post-delivery modification, outfitting and sea trials, and were ready for tasking beginning in the third quarter of FY 2024. These three vessels provide 660 thousand square feet of capacity to the RRF.  In FY 2024, the Navy purchased one FY 2023 funded used vessel, and one FY24 funded used vessel. These vessels were delivered to MARAD in December 2024 and are in the process of completing post-delivery modifications and regulatory overhauls. These two vessels are sister ships of the three purchased in FY 2023 and will complete post-delivery modification, outfitting and sea trials and be ready for tasking beginning in the first quarter of FY 2026. These two vessels will provide an additional 440 thousand square feet of capacity to the RRF.  MARAD has identified up to ten more vessels to purchase with FY 2025 funds, two of which are sister ships of the most recently purchased FY 2024 vessels. The Navy has already conducted on-site surveys of an additional class of vessels and plan to award contracts for purchase of up to two vessels with FY 2025 funding by the fourth quarter of FY 2025.  With procurement of one vessel in FY 2026, the Navy will have procured the maximum allowable number of used ships authorized by law (10 ships).</t>
  </si>
  <si>
    <t>5300</t>
  </si>
  <si>
    <t>Completion of PY Shipbuilding Programs</t>
  </si>
  <si>
    <t>P-40 Exhibit &gt; LI 5300 &gt; Completion of PY Shpbldg Progr</t>
  </si>
  <si>
    <t>433</t>
  </si>
  <si>
    <t>Note: Section 1417 of the Full-Year Continuing Appropriations and Extensions Act, 2025 directs that of the funds appropriated in Section 1404 of this act shall be available to fund prior year shipbuilding cost increases as specified in the general provision.  The FY 2026 request for Completion of PY Shipbuilding Programs includes $1,214,295 thousand of discretionary and $476,551 thousand of mandatory (reconciliation) for a total of $1,690,846 thousand. The mandatory funds are for completion of multiple ships. Further information for this reconciliation request is provided in Section 20002 (Shipbuilding) of the Reconciliation Exhibit.  [P5 / [2013] SSN Virginia Class]: Funds in FY 2026 are for the Government responsible portion of the shipbuilding construction contract overruns for FY 2016 SSN 796/SSN 797 ($121.5M), FY 2017 SSN 798/SSN 799($99.1M), and FY 2018 SSN 800/SSN 801 ($289.8M).  [P5 / [2127] Littoral Combat Ship (LCS)]: Funds in FY 2026 are for the Economic Price Adjustments (EPA) for LCS 31/LCS 38 ($5.8M).  [P5 / [2001] CVN - Carrier Replacement]: Funds in FY 2026 support Advanced Arresting Gear (AAG) Water Twister MOD II replacement installation, associated delay and disruption, time related services, and continued Advanced Weapons Elevator (AWE) work ($150.0M) for CVN 79.  [P5 / [2086] CVN RCOH]: Funds in FY 2026 are for CVN 74 cost growth and time related charges due to an additional 13 month delivery delay ($483.1M).  [P5 / [3043] EPF]: Funds in FY 2026 are for Government portion of the shipbuilding construction contract overrun of EPF 16 ($10.2M) and additional change orders to implement aluminum welding lessons learned and best practices on EPF 16 ($1.0M).  [P5 / [2122] DDG-51]: The FY 2026 request for DDG-51 Class Completion of Prior Year Shipbuilding Programs includes $0 thousands of discretionary and $176,845 thousands of mandatory (reconciliation) for a total $176,845 thousands.  The mandatory funds are for the Government responsible portion of shipbuilding construction contract overruns for DDG 127 ($13.9M), DDG 126 ($60.4M), and DDG 128/129 ($77.5M), Bridge System Modifications for DDG 129 ($0.3M), Flight III Interim Support for DDG 129 ($6.0M), and the Government responsible portion of GFE cost increases for DDG 129 ($18.7M). Further information for this reconciliation request is provided in Section 20002 (Shipbuilding) of the Reconciliation Exhibit.  [P5 / [3010] LPD 17 FLT II]: The FY 2026 request for LPD 17 Flight II Completion of Prior Year Shipbuilding Programs includes $0 thousands of discretionary and $93,442 thousands of mandatory (reconciliation) for a total of $93,442 thousands.  The mandatory funds in FY 2026 are for the Government responsible portion of the shipbuilding construction contract share line for LPD 30 ($44.0M), Economic Price Adjustment for LPD 30 ($22.7M), LPD 30 cost impact due to COVID induced schedule delays ($20.0M), LPD 30 Cyber improvements &amp; Navy Electronic Chart Display ($3.0M), and the procurement and installation of the new GFE HM&amp;E Condition System for LPD 30 ($3.7M). Further information for this reconciliation request is provided in Section 20002 (Shipbuilding) of the Reconciliation Exhibit.  [P5 / [3039] Expeditionary Sea Base (ESB 8)]: The FY 2026 request for Expeditionary Sea Base (ESB 8) Completion of Prior Year Shipbuilding Programs includes $8,400 thousand of discretionary and $21,600 thousand of mandatory (reconciliation) for a total $30,000 thousand.  The mandatory funds are for the Government portion of the shipbuilding construction contract overrun and Economic Price Adjustment for ESB 8 ($21.6M).  Discretionary funds in FY 2026 are for the Government portion of the shipbuilding construction contract overrun and Economic Price Adjustment for ESB 8 ($8.4M). Further information for this reconciliation request is provided in Section 20002 (Shipbuilding) of the Reconciliation Exhibit.  [P5 / [5087] TAGS Class]: Funds in FY 2026 for T-AGS 67 are for the Government responsible portion of the shipbuilding construction contract overrun ($5.0M), additional HM&amp;E funds for shipyard oversight due to program delays ($0.4M), and mission equipment cost increases due to inflation ($0.6M).  [P5 / [5035] Navy Fleet Auxiliary Force]: The FY 2026 request Navy Fleet Auxiliary Force Completion of Prior Year Program includes $4,650 thousands of discretionary and $14,259 thousands of mandatory (reconciliation) for a total of $18,909 thousands.  The mandatory funds in FY 2026 are for the Government responsible portion of the shipbuilding construction contract overrun for Austal T-ATS 13 ($1.3M), Austal T-ATS 14 ($3.5M), and Austal T-ATS 15 ($3.7M), non-recurring engineering for the class technical data package for T-ATS 15 ($5.4M) and for additional H,M&amp;E oversight of T-ATS 9 and T-ATS 10 ($0.4M).  The discretionary funds are for First of Class emergent work and testing support for Bollinger T-ATS 7 ($1.7M) and Austal T-ATS 11 ($3.0M). Further information for this reconciliation request is provided in Section 20002 (Shipbuilding) of the Reconciliation Exhibit.  [P5 / [3041] LHA (R)]: The FY 2026 request for LHA Completion of Prior Year Shipbuilding Programs includes $0 thousand of discretionary and $93,603 thousand of mandatory (reconciliation) for a total of $93,603 thousand. The mandatory funds in FY 2026 are for the Government responsible portion of the shipbuilding construction contract overrun for LHA 8 ($79.5M), Economic Price Adjustment for LHA 8 ($13.2M), and LHA 8 Condition Base Maintenance Enterprise remote Monitoring (eRM) install ($0.9M). Further information for this reconciliation request is provided in Section 20002 (Shipbuilding) of the Reconciliation Exhibit.  [P5 / [5112] Ship to Shore Connector]: Funds in FY 2026 are for Government responsible portion of the shipbuilding construction contract overruns for LCAC 117 through LCAC 122 ($15.5M).  [P5 / [5025] TAO Fleet Oiler]: The FY 2026 request for TAO Fleet Oiler Completion of Prior Year Shipbuilding Programs includes $19,238 thousands of discretionary and $76,802 thousands of mandatory (reconciliation) for a total $96,040 thousands. The mandatory funds in FY 2026 are for the Economic Price Adjustment for T-AO 208 (FY 2019 ship) ($15.4M); for the Economic Price Adjustment for FY 2020 ships T-AO 209 ($11.0M) and T-AO 210 ($13.2M), UNREP E-Stream 2.0 Non-Recurring Engineering (NRE) due to obsolescence ($2.1M), and changing from Commercial Aqueous Film Forming Foam (AFFF) to purchasing MIL-SPEC AFFF due to obsolescence ($2.8M); for (FY 2022 ships) T-AO 211/212 there are higher shipbuilding costs at award ($7.7M), Government furnished Electronics equipment cost growth for T-AO 212 ($5.1M), UNREP E-Stream 2.0 NRE due to obsolescence ($4.0M), and changing from commercial AFFF to purchasing MIL-SPEC AFFF due to obsolescence ($2.8M); for (FY 2023 ship) T-AO 213 there is Government furnished Electronics equipment cost growth ($2.6M), UNREP E-Stream 2.0 NRE due to obsolescence ($2.5M), and changing from commercial AFFF to purchasing MIL-SPEC AFFF due to obsolescence ($1.4M); for (FY 2024 ship) T-AO 214 there are increased costs due to UNREP E-Stream 2.0 NRE and procurement due to obsolescence ($2.5M), and MIL-SPEC AFFF NRE and procurement due to obsolescence ($3.7M).  The discretionary funds in FY 2026 are for the Economic Price Adjustment for T-AO 209 (FY 2020 ship) ($19.2M). Further information for this reconciliation request is provided in Section 20002 (Shipbuilding) of the Reconciliation Exhibit.</t>
  </si>
  <si>
    <t>Completion PY - AUX (T-AO Fleet Oiler)</t>
  </si>
  <si>
    <t>5300 / Completion of PY Shpbldg</t>
  </si>
  <si>
    <t>P-1 Exhibit &gt; BA 05 &gt; Line 49 &gt; AUX</t>
  </si>
  <si>
    <t>Completion PY - MSAUX (T-ATS)</t>
  </si>
  <si>
    <t>P-1 Exhibit &gt; BA 05 &gt; Line 49 &gt; MSAUX</t>
  </si>
  <si>
    <t>Completion PY - LHA R</t>
  </si>
  <si>
    <t>P-1 Exhibit &gt; BA 05 &gt; Line 49 &gt; LHA R</t>
  </si>
  <si>
    <t>Completion PY - CVN (Carrier Replacement)</t>
  </si>
  <si>
    <t>P-1 Exhibit &gt; BA 05 &gt; Line 49 &gt; CVN</t>
  </si>
  <si>
    <t>Completion PY - SSN-774 (Virginia Class)</t>
  </si>
  <si>
    <t>P-1 Exhibit &gt; BA 05 &gt; Line 49 &gt; SSN-774</t>
  </si>
  <si>
    <t>Completion PY - TAGOS</t>
  </si>
  <si>
    <t>P-1 Exhibit &gt; BA 05 &gt; Line 49 &gt; TAGOS</t>
  </si>
  <si>
    <t>Completion PY - CVN RCOH</t>
  </si>
  <si>
    <t>P-1 Exhibit &gt; BA 05 &gt; Line 49 &gt; CVN RCOH</t>
  </si>
  <si>
    <t>Completion PY - LCS</t>
  </si>
  <si>
    <t>P-1 Exhibit &gt; BA 05 &gt; Line 49 &gt; LCS</t>
  </si>
  <si>
    <t>Completion PY - JHSV (EPF)</t>
  </si>
  <si>
    <t>P-1 Exhibit &gt; BA 05 &gt; Line 49 &gt; JHSV</t>
  </si>
  <si>
    <t>Completion PY - DDG</t>
  </si>
  <si>
    <t>P-1 Exhibit &gt; BA 05 &gt; Line 49 &gt; DDG</t>
  </si>
  <si>
    <t>Completion PY - LPD 17</t>
  </si>
  <si>
    <t>P-1 Exhibit &gt; BA 05 &gt; Line 49 &gt; LPD 17</t>
  </si>
  <si>
    <t>Completion PY - TAGS</t>
  </si>
  <si>
    <t>P-1 Exhibit &gt; BA 05 &gt; Line 49 &gt; TAGS</t>
  </si>
  <si>
    <t>Completion PY - LCAC (Ship to Shore Connector)</t>
  </si>
  <si>
    <t>P-1 Exhibit &gt; BA 05 &gt; Line 49 &gt; LCAC</t>
  </si>
  <si>
    <t>COLUMBIA Class Submarine - P-5c - Plan Costs</t>
  </si>
  <si>
    <t>[ALT_VIEW]</t>
  </si>
  <si>
    <t>P-5c &gt; COLUMBIA Class Submarine &gt; Plan Costs</t>
  </si>
  <si>
    <t>35</t>
  </si>
  <si>
    <t>Plan</t>
  </si>
  <si>
    <t>COLUMBIA Class Submarine - P-5c - Basic Construction</t>
  </si>
  <si>
    <t>P-5c &gt; COLUMBIA Class Submarine &gt; Basic Construction</t>
  </si>
  <si>
    <t>COLUMBIA Class Submarine - P-5c - Change Orders</t>
  </si>
  <si>
    <t>P-5c &gt; COLUMBIA Class Submarine &gt; Change Orders</t>
  </si>
  <si>
    <t>Change Orders</t>
  </si>
  <si>
    <t>COLUMBIA Class Submarine - P-5c - Electronics</t>
  </si>
  <si>
    <t>P-5c &gt; COLUMBIA Class Submarine &gt; Electronics</t>
  </si>
  <si>
    <t>COLUMBIA Class Submarine - P-5c - Propulsion Equipment</t>
  </si>
  <si>
    <t>P-5c &gt; COLUMBIA Class Submarine &gt; Propulsion Equipment</t>
  </si>
  <si>
    <t>Propulsion Equipment</t>
  </si>
  <si>
    <t>COLUMBIA Class Submarine - P-5c - Hull, Mechanical, and Electrical</t>
  </si>
  <si>
    <t>P-5c &gt; COLUMBIA Class Submarine &gt; Hull, Mechanical, and Electrical</t>
  </si>
  <si>
    <t>COLUMBIA Class Submarine - P-5c - Ordnance</t>
  </si>
  <si>
    <t>P-5c &gt; COLUMBIA Class Submarine &gt; Ordnance</t>
  </si>
  <si>
    <t>COLUMBIA Class Submarine - P-5c - Other Cost</t>
  </si>
  <si>
    <t>P-5c &gt; COLUMBIA Class Submarine &gt; Other Cost</t>
  </si>
  <si>
    <t>Other Costs</t>
  </si>
  <si>
    <t>COLUMBIA Class Submarine - P-8a Electronics - Sonar 1</t>
  </si>
  <si>
    <t>P-8a &gt; COLUMBIA Class Submarine &gt; Electronics &gt; Sonar 1</t>
  </si>
  <si>
    <t>38</t>
  </si>
  <si>
    <t>Sonar</t>
  </si>
  <si>
    <t>COLUMBIA Class Submarine - P-8a Electronics - Combat Control 1</t>
  </si>
  <si>
    <t>P-8a &gt; COLUMBIA Class Submarine &gt; Electronics &gt; Combat Control 1</t>
  </si>
  <si>
    <t>Combat Control</t>
  </si>
  <si>
    <t>COLUMBIA Class Submarine - P-8a Electronics - CANES 1</t>
  </si>
  <si>
    <t>P-8a &gt; COLUMBIA Class Submarine &gt; Electronics &gt; CANES 1</t>
  </si>
  <si>
    <t>CANES</t>
  </si>
  <si>
    <t>COLUMBIA Class Submarine - P-8a Electronics - Electronic Warfare 1</t>
  </si>
  <si>
    <t>P-8a &gt; COLUMBIA Class Submarine &gt; Electronics &gt; Electronic Warfare 1</t>
  </si>
  <si>
    <t>Electronic Warfare</t>
  </si>
  <si>
    <t>COLUMBIA Class Submarine - P-8a Electronics - Photonics 1</t>
  </si>
  <si>
    <t>P-8a &gt; COLUMBIA Class Submarine &gt; Electronics &gt; Photonics 1</t>
  </si>
  <si>
    <t>Photonics</t>
  </si>
  <si>
    <t>COLUMBIA Class Submarine - P-8a Electronics - Universal Modular Masts (UMM) 1</t>
  </si>
  <si>
    <t>P-8a &gt; COLUMBIA Class Submarine &gt; Electronics &gt; Universal Modular Masts (UMM) 1</t>
  </si>
  <si>
    <t>Universal Modular Masts (UMM)</t>
  </si>
  <si>
    <t>COLUMBIA Class Submarine - P-8a Electronics - Exterior Communications 1</t>
  </si>
  <si>
    <t>P-8a &gt; COLUMBIA Class Submarine &gt; Electronics &gt; Exterior Communications 1</t>
  </si>
  <si>
    <t>Exterior Communications</t>
  </si>
  <si>
    <t>COLUMBIA Class Submarine - P-8a Electronics - System Level Activities 1</t>
  </si>
  <si>
    <t>P-8a &gt; COLUMBIA Class Submarine &gt; Electronics &gt; System Level Activities 1</t>
  </si>
  <si>
    <t>System Level Activities</t>
  </si>
  <si>
    <t>COLUMBIA Class Submarine - P-8a Electronics - RADAR 1</t>
  </si>
  <si>
    <t>P-8a &gt; COLUMBIA Class Submarine &gt; Electronics &gt; RADAR 1</t>
  </si>
  <si>
    <t>RADAR</t>
  </si>
  <si>
    <t>COLUMBIA Class Submarine - P-8a Electronics - Navigation 1</t>
  </si>
  <si>
    <t>P-8a &gt; COLUMBIA Class Submarine &gt; Electronics &gt; Navigation 1</t>
  </si>
  <si>
    <t>Navigation</t>
  </si>
  <si>
    <t>COLUMBIA Class Submarine - P-8a Electronics - CWITT 1</t>
  </si>
  <si>
    <t>P-8a &gt; COLUMBIA Class Submarine &gt; Electronics &gt; CWITT 1</t>
  </si>
  <si>
    <t>CWITT</t>
  </si>
  <si>
    <t>COLUMBIA Class Submarine - P-8a Electronics - Integration (NPES SE&amp;I) 1</t>
  </si>
  <si>
    <t>P-8a &gt; COLUMBIA Class Submarine &gt; Electronics &gt; Integration (NPES SE&amp;I) 1</t>
  </si>
  <si>
    <t>Non-Propulsion Electronics System, Systems Engineering and Integration (NPES SE&amp;I)</t>
  </si>
  <si>
    <t>COLUMBIA Class Submarine - P-8a Electronics - BRR-6 System 1</t>
  </si>
  <si>
    <t>P-8a &gt; COLUMBIA Class Submarine &gt; Electronics &gt; BRR-6 System 1</t>
  </si>
  <si>
    <t>BRR-6 System</t>
  </si>
  <si>
    <t>COLUMBIA Class Submarine - P-8a Electronics - BST-1 System 1</t>
  </si>
  <si>
    <t>P-8a &gt; COLUMBIA Class Submarine &gt; Electronics &gt; BST-1 System 1</t>
  </si>
  <si>
    <t>BST-1 System</t>
  </si>
  <si>
    <t>COLUMBIA Class Submarine - P-8a Electronics - External Countermeasures, IFF 1</t>
  </si>
  <si>
    <t>P-8a &gt; COLUMBIA Class Submarine &gt; Electronics &gt; External Countermeasures, IFF 1</t>
  </si>
  <si>
    <t>External Countermeasures, IFF</t>
  </si>
  <si>
    <t>COLUMBIA Class Submarine - P-8a Hull, Mechanical, and Electrical - Propulsor 1</t>
  </si>
  <si>
    <t>P-8a &gt; COLUMBIA Class Submarine &gt; Hull, Mechanical, and Electrical &gt; Propulsor 1</t>
  </si>
  <si>
    <t>39</t>
  </si>
  <si>
    <t>Propulsor</t>
  </si>
  <si>
    <t>COLUMBIA Class Submarine - P-8a Hull, Mechanical, and Electrical - Advanced Carbon Dioxide Removal Unit (ACRU) 1</t>
  </si>
  <si>
    <t>P-8a &gt; COLUMBIA Class Submarine &gt; Hull, Mechanical, and Electrical &gt; Advanced Carbon Dioxide Removal Unit (ACRU) 1</t>
  </si>
  <si>
    <t>Advanced Carbon Dioxide Removal Unit (ACRU)</t>
  </si>
  <si>
    <t>COLUMBIA Class Submarine - P-8a Hull, Mechanical, and Electrical - HM&amp;E Installation and testing</t>
  </si>
  <si>
    <t>P-8a &gt; COLUMBIA Class Submarine &gt; Hull, Mechanical, and Electrical &gt; HM&amp;E Installation and testing</t>
  </si>
  <si>
    <t>HM&amp;E Installation and testing</t>
  </si>
  <si>
    <t>COLUMBIA Class Submarine - P-8a Hull, Mechanical, and Electrical - T&amp;E</t>
  </si>
  <si>
    <t>P-8a &gt; COLUMBIA Class Submarine &gt; Hull, Mechanical, and Electrical &gt; T&amp;E</t>
  </si>
  <si>
    <t>T&amp;E</t>
  </si>
  <si>
    <t>COLUMBIA Class Submarine - P-8a Hull, Mechanical, and Electrical - SUPSHIP responsible material</t>
  </si>
  <si>
    <t>P-8a &gt; COLUMBIA Class Submarine &gt; Hull, Mechanical, and Electrical &gt; SUPSHIP responsible material</t>
  </si>
  <si>
    <t>SUPSHIP responsible material</t>
  </si>
  <si>
    <t>COLUMBIA Class Submarine - P-8a Hull, Mechanical, and Electrical - Naval Foundry Propeller Center (NFPC)</t>
  </si>
  <si>
    <t>P-8a &gt; COLUMBIA Class Submarine &gt; Hull, Mechanical, and Electrical &gt; Naval Foundry Propeller Center (NFPC)</t>
  </si>
  <si>
    <t>Naval Foundry Propeller Center (NFPC)</t>
  </si>
  <si>
    <t>COLUMBIA Class Submarine - P-8a Ordnance - Strategic Weapons System (SWS) Launcher 1</t>
  </si>
  <si>
    <t>P-8a &gt; COLUMBIA Class Submarine &gt; Ordnance &gt; Strategic Weapons System (SWS) Launcher 1</t>
  </si>
  <si>
    <t>40</t>
  </si>
  <si>
    <t>Strategic Weapons System (SWS) Launcher</t>
  </si>
  <si>
    <t>COLUMBIA Class Submarine - P-8a Ordnance - SWS Fire Control 1</t>
  </si>
  <si>
    <t>P-8a &gt; COLUMBIA Class Submarine &gt; Ordnance &gt; SWS Fire Control 1</t>
  </si>
  <si>
    <t>SWS Fire Control</t>
  </si>
  <si>
    <t>COLUMBIA Class Submarine - P-8a Ordnance - SWS Navigation 1</t>
  </si>
  <si>
    <t>P-8a &gt; COLUMBIA Class Submarine &gt; Ordnance &gt; SWS Navigation 1</t>
  </si>
  <si>
    <t>SWS Navigation</t>
  </si>
  <si>
    <t>COLUMBIA Class Submarine - P-8a Ordnance - SWS System Level Activities</t>
  </si>
  <si>
    <t>P-8a &gt; COLUMBIA Class Submarine &gt; Ordnance &gt; SWS System Level Activities</t>
  </si>
  <si>
    <t>SWS System Level Activities</t>
  </si>
  <si>
    <t>COLUMBIA Class Submarine - P-8a Ordnance - SWS Reentry Subsystem</t>
  </si>
  <si>
    <t>P-8a &gt; COLUMBIA Class Submarine &gt; Ordnance &gt; SWS Reentry Subsystem</t>
  </si>
  <si>
    <t>SWS Reentry Subsystem</t>
  </si>
  <si>
    <t>COLUMBIA Class Submarine - P-8a Ordnance - SWS Guidance Subsystem</t>
  </si>
  <si>
    <t>P-8a &gt; COLUMBIA Class Submarine &gt; Ordnance &gt; SWS Guidance Subsystem</t>
  </si>
  <si>
    <t>SWS Guidance Subsystem</t>
  </si>
  <si>
    <t>COLUMBIA Class Submarine - P-8a Ordnance - SWS Missile Integration Activities</t>
  </si>
  <si>
    <t>P-8a &gt; COLUMBIA Class Submarine &gt; Ordnance &gt; SWS Missile Integration Activities</t>
  </si>
  <si>
    <t>SWS Missile Integration Activities</t>
  </si>
  <si>
    <t>COLUMBIA Class Submarine - P-8a Ordnance - SWS Test Instrumentation Subsystem</t>
  </si>
  <si>
    <t>P-8a &gt; COLUMBIA Class Submarine &gt; Ordnance &gt; SWS Test Instrumentation Subsystem</t>
  </si>
  <si>
    <t>SWS Test Instrumentation Subsystem</t>
  </si>
  <si>
    <t>COLUMBIA Class Submarine - P-35 Sonar - Major Hardware                                                                              1</t>
  </si>
  <si>
    <t>P-35 &gt; COLUMBIA Class Submarine &gt; Sonar &gt; Major Hardware                                                                              1</t>
  </si>
  <si>
    <t>41</t>
  </si>
  <si>
    <t>Sonar [SSBN 828]</t>
  </si>
  <si>
    <t>COLUMBIA Class Submarine - P-35 Sonar - Technical Engineering Services</t>
  </si>
  <si>
    <t>P-35 &gt; COLUMBIA Class Submarine &gt; Sonar &gt; Technical Engineering Services</t>
  </si>
  <si>
    <t>COLUMBIA Class Submarine - P-35 Sonar - Other Costs</t>
  </si>
  <si>
    <t>P-35 &gt; COLUMBIA Class Submarine &gt; Sonar &gt; Other Costs</t>
  </si>
  <si>
    <t>COLUMBIA Class Submarine - P-35 Combat Control - Major Hardware                                                                         1</t>
  </si>
  <si>
    <t>P-35 &gt; COLUMBIA Class Submarine &gt; Combat Control &gt; Major Hardware                                                                         1</t>
  </si>
  <si>
    <t>43</t>
  </si>
  <si>
    <t>Combat Control [SSBN 828]</t>
  </si>
  <si>
    <t>COLUMBIA Class Submarine - P-35 Combat Control - Technical Engineering Services</t>
  </si>
  <si>
    <t>P-35 &gt; COLUMBIA Class Submarine &gt; Combat Control &gt; Technical Engineering Services</t>
  </si>
  <si>
    <t>COLUMBIA Class Submarine - P-35 Combat Control - Other Costs</t>
  </si>
  <si>
    <t>P-35 &gt; COLUMBIA Class Submarine &gt; Combat Control &gt; Other Costs</t>
  </si>
  <si>
    <t>COLUMBIA Class Submarine - P-35 CANES - Major Hardware                                                                           1</t>
  </si>
  <si>
    <t>P-35 &gt; COLUMBIA Class Submarine &gt; CANES &gt; Major Hardware                                                                           1</t>
  </si>
  <si>
    <t>44</t>
  </si>
  <si>
    <t>CANES [SSBN 828]</t>
  </si>
  <si>
    <t>COLUMBIA Class Submarine - P-35 CANES - Technical Data and Documentation</t>
  </si>
  <si>
    <t>P-35 &gt; COLUMBIA Class Submarine &gt; CANES &gt; Technical Data and Documentation</t>
  </si>
  <si>
    <t>COLUMBIA Class Submarine - P-35 CANES - Other Costs</t>
  </si>
  <si>
    <t>P-35 &gt; COLUMBIA Class Submarine &gt; CANES &gt; Other Costs</t>
  </si>
  <si>
    <t>COLUMBIA Class Submarine - P-35 Electronic Warfare - Major Hardware                                                                            1</t>
  </si>
  <si>
    <t>P-35 &gt; COLUMBIA Class Submarine &gt; Electronic Warfare &gt; Major Hardware                                                                            1</t>
  </si>
  <si>
    <t>45</t>
  </si>
  <si>
    <t>Electronic Warfare [SSBN 828]</t>
  </si>
  <si>
    <t>COLUMBIA Class Submarine - P-35 Electronic Warfare - Technical Engineering Services</t>
  </si>
  <si>
    <t>P-35 &gt; COLUMBIA Class Submarine &gt; Electronic Warfare &gt; Technical Engineering Services</t>
  </si>
  <si>
    <t>COLUMBIA Class Submarine - P-35 Electronic Warfare - Other Costs</t>
  </si>
  <si>
    <t>P-35 &gt; COLUMBIA Class Submarine &gt; Electronic Warfare &gt; Other Costs</t>
  </si>
  <si>
    <t>COLUMBIA Class Submarine - P-35 Photonics - Major Hardware                                                                            1</t>
  </si>
  <si>
    <t>P-35 &gt; COLUMBIA Class Submarine &gt; Photonics &gt; Major Hardware                                                                            1</t>
  </si>
  <si>
    <t>46</t>
  </si>
  <si>
    <t>Photonics [SSBN 828]</t>
  </si>
  <si>
    <t>COLUMBIA Class Submarine - P-35 Photonics - Technical Engineering Services</t>
  </si>
  <si>
    <t>P-35 &gt; COLUMBIA Class Submarine &gt; Photonics &gt; Technical Engineering Services</t>
  </si>
  <si>
    <t>COLUMBIA Class Submarine - P-35 Photonics - Other Costs</t>
  </si>
  <si>
    <t>P-35 &gt; COLUMBIA Class Submarine &gt; Photonics &gt; Other Costs</t>
  </si>
  <si>
    <t>COLUMBIA Class Submarine - P-35 Universal Modular Masts (UMM) - Major Hardware                                                                            1</t>
  </si>
  <si>
    <t>P-35 &gt; COLUMBIA Class Submarine &gt; Universal Modular Masts (UMM) &gt; Major Hardware                                                                            1</t>
  </si>
  <si>
    <t>47</t>
  </si>
  <si>
    <t>Universal Modular Masts (UMM) [SSBN 828]</t>
  </si>
  <si>
    <t>COLUMBIA Class Submarine - P-35 Universal Modular Masts (UMM) - Technical Engineering Services</t>
  </si>
  <si>
    <t>P-35 &gt; COLUMBIA Class Submarine &gt; Universal Modular Masts (UMM) &gt; Technical Engineering Services</t>
  </si>
  <si>
    <t>COLUMBIA Class Submarine - P-35 Universal Modular Masts (UMM) - Other Costs</t>
  </si>
  <si>
    <t>P-35 &gt; COLUMBIA Class Submarine &gt; Universal Modular Masts (UMM) &gt; Other Costs</t>
  </si>
  <si>
    <t>COLUMBIA Class Submarine - P-35 Exterior Communications - Major Hardware                                                                            1</t>
  </si>
  <si>
    <t>P-35 &gt; COLUMBIA Class Submarine &gt; Exterior Communications &gt; Major Hardware                                                                            1</t>
  </si>
  <si>
    <t>48</t>
  </si>
  <si>
    <t>Exterior Communications [SSBN 828]</t>
  </si>
  <si>
    <t>COLUMBIA Class Submarine - P-35 Exterior Communications - Technical Engineering Services</t>
  </si>
  <si>
    <t>P-35 &gt; COLUMBIA Class Submarine &gt; Exterior Communications &gt; Technical Engineering Services</t>
  </si>
  <si>
    <t>COLUMBIA Class Submarine - P-35 Exterior Communications - Other Costs</t>
  </si>
  <si>
    <t>P-35 &gt; COLUMBIA Class Submarine &gt; Exterior Communications &gt; Other Costs</t>
  </si>
  <si>
    <t>Advanced Carbon Dioxide Removal Unit (ACRU) [SSBN 827]</t>
  </si>
  <si>
    <t>COLUMBIA Class Submarine - P-35 Propulsor - Major Hardware                                                                             1</t>
  </si>
  <si>
    <t>P-35 &gt; COLUMBIA Class Submarine &gt; Propulsor &gt; Major Hardware                                                                             1</t>
  </si>
  <si>
    <t>49</t>
  </si>
  <si>
    <t>Propulsor [SSBN 828]</t>
  </si>
  <si>
    <t>COLUMBIA Class Submarine - P-35 Propulsor - Technical Engineering Services</t>
  </si>
  <si>
    <t>P-35 &gt; COLUMBIA Class Submarine &gt; Propulsor &gt; Technical Engineering Services</t>
  </si>
  <si>
    <t>COLUMBIA Class Submarine - P-35 Advanced Carbon Dioxide Removal Unit (ACRU) - Major Hardware                                                                             1</t>
  </si>
  <si>
    <t>P-35 &gt; COLUMBIA Class Submarine &gt; Advanced Carbon Dioxide Removal Unit (ACRU) &gt; Major Hardware                                                                             1</t>
  </si>
  <si>
    <t>50</t>
  </si>
  <si>
    <t>COLUMBIA Class Submarine - P-35 Advanced Carbon Dioxide Removal Unit (ACRU) - Technical Engineering Services</t>
  </si>
  <si>
    <t>P-35 &gt; COLUMBIA Class Submarine &gt; Advanced Carbon Dioxide Removal Unit (ACRU) &gt; Technical Engineering Services</t>
  </si>
  <si>
    <t>COLUMBIA Class Submarine - P-35 Advanced Carbon Dioxide Removal Unit (ACRU) - Other Costs</t>
  </si>
  <si>
    <t>P-35 &gt; COLUMBIA Class Submarine &gt; Advanced Carbon Dioxide Removal Unit (ACRU) &gt; Other Costs</t>
  </si>
  <si>
    <t>COLUMBIA Class Submarine - P-35 Strategic Weapons System (SWS) Launcher - Major Hardware                                                                           1</t>
  </si>
  <si>
    <t>P-35 &gt; COLUMBIA Class Submarine &gt; Strategic Weapons System (SWS) Launcher &gt; Major Hardware                                                                           1</t>
  </si>
  <si>
    <t>51</t>
  </si>
  <si>
    <t>Strategic Weapons System (SWS) Launcher [SSBN 828]</t>
  </si>
  <si>
    <t>COLUMBIA Class Submarine - P-35 Strategic Weapons System (SWS) Launcher - Technical Engineering Services</t>
  </si>
  <si>
    <t>P-35 &gt; COLUMBIA Class Submarine &gt; Strategic Weapons System (SWS) Launcher &gt; Technical Engineering Services</t>
  </si>
  <si>
    <t>COLUMBIA Class Submarine - P-35 SWS Fire Control - Major Hardware                                                                           1</t>
  </si>
  <si>
    <t>P-35 &gt; COLUMBIA Class Submarine &gt; SWS Fire Control &gt; Major Hardware                                                                           1</t>
  </si>
  <si>
    <t>53</t>
  </si>
  <si>
    <t>SWS Fire Control [SSBN 828]</t>
  </si>
  <si>
    <t>COLUMBIA Class Submarine - P-35 SWS Fire Control - Technical Engineering Services</t>
  </si>
  <si>
    <t>P-35 &gt; COLUMBIA Class Submarine &gt; SWS Fire Control &gt; Technical Engineering Services</t>
  </si>
  <si>
    <t>COLUMBIA Class Submarine - P-35 SWS Navigation - Major Hardware                                                                           1</t>
  </si>
  <si>
    <t>P-35 &gt; COLUMBIA Class Submarine &gt; SWS Navigation &gt; Major Hardware                                                                           1</t>
  </si>
  <si>
    <t>55</t>
  </si>
  <si>
    <t>SWS Navigation [SSBN 828]</t>
  </si>
  <si>
    <t>COLUMBIA Class Submarine - P-35 SWS Navigation - Technical Engineering Services</t>
  </si>
  <si>
    <t>P-35 &gt; COLUMBIA Class Submarine &gt; SWS Navigation &gt; Technical Engineering Services</t>
  </si>
  <si>
    <t>COLUMBIA Class Submarine - P-10 - PLANS - Supplier Development- Maritime Industrial Base - SSBN 837 (2)</t>
  </si>
  <si>
    <t>1045 / COLUMBIA Class Submarine AP</t>
  </si>
  <si>
    <t>P-10 &gt; COLUMBIA Class Submarine &gt; PLANS - Supplier Development- Maritime Industrial Base - SSBN 837 (2)</t>
  </si>
  <si>
    <t>SSBN 837</t>
  </si>
  <si>
    <t>COLUMBIA Class Submarine - P-10 - PLANS - SSBN 828</t>
  </si>
  <si>
    <t>P-10 &gt; COLUMBIA Class Submarine &gt; PLANS - SSBN 828</t>
  </si>
  <si>
    <t>SSBN 828</t>
  </si>
  <si>
    <t>COLUMBIA Class Submarine - P-10 - PLANS - SSBN 829</t>
  </si>
  <si>
    <t>P-10 &gt; COLUMBIA Class Submarine &gt; PLANS - SSBN 829</t>
  </si>
  <si>
    <t>SSBN 829</t>
  </si>
  <si>
    <t>COLUMBIA Class Submarine - P-10 - PLANS - SSBN 830</t>
  </si>
  <si>
    <t>P-10 &gt; COLUMBIA Class Submarine &gt; PLANS - SSBN 830</t>
  </si>
  <si>
    <t>SSBN 830</t>
  </si>
  <si>
    <t>COLUMBIA Class Submarine - P-10 - PLANS - SSBN 831</t>
  </si>
  <si>
    <t>P-10 &gt; COLUMBIA Class Submarine &gt; PLANS - SSBN 831</t>
  </si>
  <si>
    <t>SSBN 831</t>
  </si>
  <si>
    <t>COLUMBIA Class Submarine - P-10 - PLANS - SSBN 832</t>
  </si>
  <si>
    <t>P-10 &gt; COLUMBIA Class Submarine &gt; PLANS - SSBN 832</t>
  </si>
  <si>
    <t>SSBN 832</t>
  </si>
  <si>
    <t>COLUMBIA Class Submarine - P-10 - PLANS - SSBN 833</t>
  </si>
  <si>
    <t>P-10 &gt; COLUMBIA Class Submarine &gt; PLANS - SSBN 833</t>
  </si>
  <si>
    <t>SSBN 833</t>
  </si>
  <si>
    <t>COLUMBIA Class Submarine - P-10 - PLANS - SSBN 834</t>
  </si>
  <si>
    <t>P-10 &gt; COLUMBIA Class Submarine &gt; PLANS - SSBN 834</t>
  </si>
  <si>
    <t>SSBN 834</t>
  </si>
  <si>
    <t>COLUMBIA Class Submarine - P-10 - BASIC CONSTRUCTION (3) - SHIPBUILDER PROCURED LLTM - SSBN 827</t>
  </si>
  <si>
    <t>P-10 &gt; COLUMBIA Class Submarine &gt; BASIC CONSTRUCTION (3) - SHIPBUILDER PROCURED LLTM - SSBN 827</t>
  </si>
  <si>
    <t>SSBN 827</t>
  </si>
  <si>
    <t>COLUMBIA Class Submarine - P-10 - BASIC CONSTRUCTION (3) - SHIPBUILDER PROCURED LLTM - SSBN 828</t>
  </si>
  <si>
    <t>P-10 &gt; COLUMBIA Class Submarine &gt; BASIC CONSTRUCTION (3) - SHIPBUILDER PROCURED LLTM - SSBN 828</t>
  </si>
  <si>
    <t>COLUMBIA Class Submarine - P-10 - BASIC CONSTRUCTION (3) - SHIPBUILDER PROCURED LLTM - SSBN 829</t>
  </si>
  <si>
    <t>P-10 &gt; COLUMBIA Class Submarine &gt; BASIC CONSTRUCTION (3) - SHIPBUILDER PROCURED LLTM - SSBN 829</t>
  </si>
  <si>
    <t>COLUMBIA Class Submarine - P-10 - BASIC CONSTRUCTION (3) - SHIPBUILDER PROCURED LLTM - SSBN 830</t>
  </si>
  <si>
    <t>P-10 &gt; COLUMBIA Class Submarine &gt; BASIC CONSTRUCTION (3) - SHIPBUILDER PROCURED LLTM - SSBN 830</t>
  </si>
  <si>
    <t>COLUMBIA Class Submarine - P-10 - BASIC CONSTRUCTION (3) - SHIPBUILDER PROCURED LLTM - SSBN 831</t>
  </si>
  <si>
    <t>P-10 &gt; COLUMBIA Class Submarine &gt; BASIC CONSTRUCTION (3) - SHIPBUILDER PROCURED LLTM - SSBN 831</t>
  </si>
  <si>
    <t>COLUMBIA Class Submarine - P-10 - BASIC CONSTRUCTION (3) - SHIPBUILDER PROCURED LLTM - SSBN 832</t>
  </si>
  <si>
    <t>P-10 &gt; COLUMBIA Class Submarine &gt; BASIC CONSTRUCTION (3) - SHIPBUILDER PROCURED LLTM - SSBN 832</t>
  </si>
  <si>
    <t>COLUMBIA Class Submarine - P-10 - BASIC CONSTRUCTION (3) - SHIPBUILDER PROCURED LLTM - SSBN 833</t>
  </si>
  <si>
    <t>P-10 &gt; COLUMBIA Class Submarine &gt; BASIC CONSTRUCTION (3) - SHIPBUILDER PROCURED LLTM - SSBN 833</t>
  </si>
  <si>
    <t>COLUMBIA Class Submarine - P-10 - BASIC CONSTRUCTION (3) - SHIPBUILDER PROCURED LLTM - SSBN 834</t>
  </si>
  <si>
    <t>P-10 &gt; COLUMBIA Class Submarine &gt; BASIC CONSTRUCTION (3) - SHIPBUILDER PROCURED LLTM - SSBN 834</t>
  </si>
  <si>
    <t>COLUMBIA Class Submarine - P-10 - BASIC CONSTRUCTION (3) - SHIPBUILDER PROCURED LLTM - SSBN 835</t>
  </si>
  <si>
    <t>P-10 &gt; COLUMBIA Class Submarine &gt; BASIC CONSTRUCTION (3) - SHIPBUILDER PROCURED LLTM - SSBN 835</t>
  </si>
  <si>
    <t>SSBN 835</t>
  </si>
  <si>
    <t>COLUMBIA Class Submarine - P-10 - BASIC CONSTRUCTION (4) - MISSILE TUBE CONTINUOUS PRODUCTION &amp; OUTFITTING - SSBN 827</t>
  </si>
  <si>
    <t>P-10 &gt; COLUMBIA Class Submarine &gt; BASIC CONSTRUCTION (4) - MISSILE TUBE CONTINUOUS PRODUCTION &amp; OUTFITTING - SSBN 827</t>
  </si>
  <si>
    <t>COLUMBIA Class Submarine - P-10 - BASIC CONSTRUCTION (4) - MISSILE TUBE CONTINUOUS PRODUCTION &amp; OUTFITTING - SSBN 828</t>
  </si>
  <si>
    <t>P-10 &gt; COLUMBIA Class Submarine &gt; BASIC CONSTRUCTION (4) - MISSILE TUBE CONTINUOUS PRODUCTION &amp; OUTFITTING - SSBN 828</t>
  </si>
  <si>
    <t>COLUMBIA Class Submarine - P-10 - BASIC CONSTRUCTION (4) - MISSILE TUBE CONTINUOUS PRODUCTION &amp; OUTFITTING - SSBN 829</t>
  </si>
  <si>
    <t>P-10 &gt; COLUMBIA Class Submarine &gt; BASIC CONSTRUCTION (4) - MISSILE TUBE CONTINUOUS PRODUCTION &amp; OUTFITTING - SSBN 829</t>
  </si>
  <si>
    <t>COLUMBIA Class Submarine - P-10 - BASIC CONSTRUCTION (4) - MISSILE TUBE CONTINUOUS PRODUCTION &amp; OUTFITTING - SSBN 830</t>
  </si>
  <si>
    <t>P-10 &gt; COLUMBIA Class Submarine &gt; BASIC CONSTRUCTION (4) - MISSILE TUBE CONTINUOUS PRODUCTION &amp; OUTFITTING - SSBN 830</t>
  </si>
  <si>
    <t>COLUMBIA Class Submarine - P-10 - BASIC CONSTRUCTION (4) - MISSILE TUBE CONTINUOUS PRODUCTION &amp; OUTFITTING - SSBN 831</t>
  </si>
  <si>
    <t>P-10 &gt; COLUMBIA Class Submarine &gt; BASIC CONSTRUCTION (4) - MISSILE TUBE CONTINUOUS PRODUCTION &amp; OUTFITTING - SSBN 831</t>
  </si>
  <si>
    <t>COLUMBIA Class Submarine - P-10 - BASIC CONSTRUCTION (4) - MISSILE TUBE CONTINUOUS PRODUCTION &amp; OUTFITTING - SSBN 832</t>
  </si>
  <si>
    <t>P-10 &gt; COLUMBIA Class Submarine &gt; BASIC CONSTRUCTION (4) - MISSILE TUBE CONTINUOUS PRODUCTION &amp; OUTFITTING - SSBN 832</t>
  </si>
  <si>
    <t>COLUMBIA Class Submarine - P-10 - BASIC CONSTRUCTION (4) - MISSILE TUBE CONTINUOUS PRODUCTION &amp; OUTFITTING - SSBN 833</t>
  </si>
  <si>
    <t>P-10 &gt; COLUMBIA Class Submarine &gt; BASIC CONSTRUCTION (4) - MISSILE TUBE CONTINUOUS PRODUCTION &amp; OUTFITTING - SSBN 833</t>
  </si>
  <si>
    <t>COLUMBIA Class Submarine - P-10 - SSBN 834</t>
  </si>
  <si>
    <t>P-10 &gt; COLUMBIA Class Submarine &gt; SSBN 834</t>
  </si>
  <si>
    <t>58</t>
  </si>
  <si>
    <t>COLUMBIA Class Submarine - P-10 - SSBN 835</t>
  </si>
  <si>
    <t>P-10 &gt; COLUMBIA Class Submarine &gt; SSBN 835</t>
  </si>
  <si>
    <t>COLUMBIA Class Submarine - P-10 - SSBN 836</t>
  </si>
  <si>
    <t>P-10 &gt; COLUMBIA Class Submarine &gt; SSBN 836</t>
  </si>
  <si>
    <t>SSBN 836</t>
  </si>
  <si>
    <t>COLUMBIA Class Submarine - P-10 - SSBN 837</t>
  </si>
  <si>
    <t>P-10 &gt; COLUMBIA Class Submarine &gt; SSBN 837</t>
  </si>
  <si>
    <t>COLUMBIA Class Submarine - P-10 - BASIC CONSTRUCTION (5) - ADVANCE CONSTRUCTION - SSBN 827</t>
  </si>
  <si>
    <t>P-10 &gt; COLUMBIA Class Submarine &gt; BASIC CONSTRUCTION (5) - ADVANCE CONSTRUCTION - SSBN 827</t>
  </si>
  <si>
    <t>COLUMBIA Class Submarine - P-10 - BASIC CONSTRUCTION (5) - ADVANCE CONSTRUCTION - SSBN 828</t>
  </si>
  <si>
    <t>P-10 &gt; COLUMBIA Class Submarine &gt; BASIC CONSTRUCTION (5) - ADVANCE CONSTRUCTION - SSBN 828</t>
  </si>
  <si>
    <t>COLUMBIA Class Submarine - P-10 - BASIC CONSTRUCTION (5) - ADVANCE CONSTRUCTION - SSBN 829</t>
  </si>
  <si>
    <t>P-10 &gt; COLUMBIA Class Submarine &gt; BASIC CONSTRUCTION (5) - ADVANCE CONSTRUCTION - SSBN 829</t>
  </si>
  <si>
    <t>COLUMBIA Class Submarine - P-10 - BASIC CONSTRUCTION (5) - ADVANCE CONSTRUCTION - SSBN 830</t>
  </si>
  <si>
    <t>P-10 &gt; COLUMBIA Class Submarine &gt; BASIC CONSTRUCTION (5) - ADVANCE CONSTRUCTION - SSBN 830</t>
  </si>
  <si>
    <t>COLUMBIA Class Submarine - P-10 - BASIC CONSTRUCTION (5) - ADVANCE CONSTRUCTION - SSBN 831</t>
  </si>
  <si>
    <t>P-10 &gt; COLUMBIA Class Submarine &gt; BASIC CONSTRUCTION (5) - ADVANCE CONSTRUCTION - SSBN 831</t>
  </si>
  <si>
    <t>COLUMBIA Class Submarine - P-10 - BASIC CONSTRUCTION (5) - ADVANCE CONSTRUCTION - SSBN 832</t>
  </si>
  <si>
    <t>P-10 &gt; COLUMBIA Class Submarine &gt; BASIC CONSTRUCTION (5) - ADVANCE CONSTRUCTION - SSBN 832</t>
  </si>
  <si>
    <t>COLUMBIA Class Submarine - P-10 - BASIC CONSTRUCTION (5) - ADVANCE CONSTRUCTION - SSBN 833</t>
  </si>
  <si>
    <t>P-10 &gt; COLUMBIA Class Submarine &gt; BASIC CONSTRUCTION (5) - ADVANCE CONSTRUCTION - SSBN 833</t>
  </si>
  <si>
    <t>COLUMBIA Class Submarine - P-10 - BASIC CONSTRUCTION (5) - ADVANCE CONSTRUCTION - SSBN 834</t>
  </si>
  <si>
    <t>P-10 &gt; COLUMBIA Class Submarine &gt; BASIC CONSTRUCTION (5) - ADVANCE CONSTRUCTION - SSBN 834</t>
  </si>
  <si>
    <t>COLUMBIA Class Submarine - P-10 - BASIC CONSTRUCTION (5) - ADVANCE CONSTRUCTION - SSBN 835</t>
  </si>
  <si>
    <t>P-10 &gt; COLUMBIA Class Submarine &gt; BASIC CONSTRUCTION (5) - ADVANCE CONSTRUCTION - SSBN 835</t>
  </si>
  <si>
    <t>COLUMBIA Class Submarine - P-10 - BASIC CONSTRUCTION (6) - EOQ IN SUPPORT OF MULTI-PROGRAM PROCUREMENT - SSBN 829</t>
  </si>
  <si>
    <t>P-10 &gt; COLUMBIA Class Submarine &gt; BASIC CONSTRUCTION (6) - EOQ IN SUPPORT OF MULTI-PROGRAM PROCUREMENT - SSBN 829</t>
  </si>
  <si>
    <t>COLUMBIA Class Submarine - P-10 - BASIC CONSTRUCTION (6) - EOQ IN SUPPORT OF MULTI-PROGRAM PROCUREMENT - SSBN 830</t>
  </si>
  <si>
    <t>P-10 &gt; COLUMBIA Class Submarine &gt; BASIC CONSTRUCTION (6) - EOQ IN SUPPORT OF MULTI-PROGRAM PROCUREMENT - SSBN 830</t>
  </si>
  <si>
    <t>COLUMBIA Class Submarine - P-10 - BASIC CONSTRUCTION (6) - EOQ IN SUPPORT OF MULTI-PROGRAM PROCUREMENT - SSBN 831</t>
  </si>
  <si>
    <t>P-10 &gt; COLUMBIA Class Submarine &gt; BASIC CONSTRUCTION (6) - EOQ IN SUPPORT OF MULTI-PROGRAM PROCUREMENT - SSBN 831</t>
  </si>
  <si>
    <t>COLUMBIA Class Submarine - P-10 - BASIC CONSTRUCTION (6) - EOQ IN SUPPORT OF MULTI-PROGRAM PROCUREMENT - SSBN 832</t>
  </si>
  <si>
    <t>P-10 &gt; COLUMBIA Class Submarine &gt; BASIC CONSTRUCTION (6) - EOQ IN SUPPORT OF MULTI-PROGRAM PROCUREMENT - SSBN 832</t>
  </si>
  <si>
    <t>COLUMBIA Class Submarine - P-10 - BASIC CONSTRUCTION (6) - EOQ IN SUPPORT OF MULTI-PROGRAM PROCUREMENT - SSBN 833</t>
  </si>
  <si>
    <t>P-10 &gt; COLUMBIA Class Submarine &gt; BASIC CONSTRUCTION (6) - EOQ IN SUPPORT OF MULTI-PROGRAM PROCUREMENT - SSBN 833</t>
  </si>
  <si>
    <t>COLUMBIA Class Submarine - P-10 - BASIC CONSTRUCTION (6) - EOQ IN SUPPORT OF MULTI-PROGRAM PROCUREMENT - SSBN 834</t>
  </si>
  <si>
    <t>P-10 &gt; COLUMBIA Class Submarine &gt; BASIC CONSTRUCTION (6) - EOQ IN SUPPORT OF MULTI-PROGRAM PROCUREMENT - SSBN 834</t>
  </si>
  <si>
    <t>COLUMBIA Class Submarine - P-10 - BASIC CONSTRUCTION (6) - EOQ IN SUPPORT OF MULTI-PROGRAM PROCUREMENT - SSBN 835</t>
  </si>
  <si>
    <t>P-10 &gt; COLUMBIA Class Submarine &gt; BASIC CONSTRUCTION (6) - EOQ IN SUPPORT OF MULTI-PROGRAM PROCUREMENT - SSBN 835</t>
  </si>
  <si>
    <t>COLUMBIA Class Submarine - P-10 - BASIC CONSTRUCTION (6) - EOQ IN SUPPORT OF MULTI-PROGRAM PROCUREMENT - SSBN 836</t>
  </si>
  <si>
    <t>P-10 &gt; COLUMBIA Class Submarine &gt; BASIC CONSTRUCTION (6) - EOQ IN SUPPORT OF MULTI-PROGRAM PROCUREMENT - SSBN 836</t>
  </si>
  <si>
    <t>COLUMBIA Class Submarine - P-10 - BASIC CONSTRUCTION (6) - EOQ IN SUPPORT OF MULTI-PROGRAM PROCUREMENT - SSBN 837 - Production Backup Units</t>
  </si>
  <si>
    <t>P-10 &gt; COLUMBIA Class Submarine &gt; BASIC CONSTRUCTION (6) - EOQ IN SUPPORT OF MULTI-PROGRAM PROCUREMENT - SSBN 837 - Production Backup Units</t>
  </si>
  <si>
    <t>SSBN 837 - Production Backup Units</t>
  </si>
  <si>
    <t>COLUMBIA Class Submarine - P-10 - SSBN 827</t>
  </si>
  <si>
    <t>P-10 &gt; COLUMBIA Class Submarine &gt; SSBN 827</t>
  </si>
  <si>
    <t>59</t>
  </si>
  <si>
    <t>COLUMBIA Class Submarine - P-10 - SSBN 828</t>
  </si>
  <si>
    <t>P-10 &gt; COLUMBIA Class Submarine &gt; SSBN 828</t>
  </si>
  <si>
    <t>COLUMBIA Class Submarine - P-10 - SSBN 829</t>
  </si>
  <si>
    <t>P-10 &gt; COLUMBIA Class Submarine &gt; SSBN 829</t>
  </si>
  <si>
    <t>COLUMBIA Class Submarine - P-10 - SSBN 830</t>
  </si>
  <si>
    <t>P-10 &gt; COLUMBIA Class Submarine &gt; SSBN 830</t>
  </si>
  <si>
    <t>COLUMBIA Class Submarine - P-10 - SSBN 831</t>
  </si>
  <si>
    <t>P-10 &gt; COLUMBIA Class Submarine &gt; SSBN 831</t>
  </si>
  <si>
    <t>COLUMBIA Class Submarine - P-10 - SSBN 832</t>
  </si>
  <si>
    <t>P-10 &gt; COLUMBIA Class Submarine &gt; SSBN 832</t>
  </si>
  <si>
    <t>COLUMBIA Class Submarine - P-10 - SSBN 833</t>
  </si>
  <si>
    <t>P-10 &gt; COLUMBIA Class Submarine &gt; SSBN 833</t>
  </si>
  <si>
    <t>COLUMBIA Class Submarine - P-10 - NUCLEAR PROPULSION PLANT EQUIPMENT (8) - SSBN 828 (In Support of AC)</t>
  </si>
  <si>
    <t>P-10 &gt; COLUMBIA Class Submarine &gt; NUCLEAR PROPULSION PLANT EQUIPMENT (8) - SSBN 828 (In Support of AC)</t>
  </si>
  <si>
    <t>SSBN 828 (In Support of AC)</t>
  </si>
  <si>
    <t>COLUMBIA Class Submarine - P-10 - NUCLEAR PROPULSION PLANT EQUIPMENT (8) - SSBN 829 (In Support of AC)</t>
  </si>
  <si>
    <t>P-10 &gt; COLUMBIA Class Submarine &gt; NUCLEAR PROPULSION PLANT EQUIPMENT (8) - SSBN 829 (In Support of AC)</t>
  </si>
  <si>
    <t>SSBN 829 (In Support of AC)</t>
  </si>
  <si>
    <t>COLUMBIA Class Submarine - P-10 - NUCLEAR PROPULSION PLANT EQUIPMENT (8) - SSBN 830 (In support of AC)</t>
  </si>
  <si>
    <t>P-10 &gt; COLUMBIA Class Submarine &gt; NUCLEAR PROPULSION PLANT EQUIPMENT (8) - SSBN 830 (In support of AC)</t>
  </si>
  <si>
    <t>SSBN 830 (In support of AC)</t>
  </si>
  <si>
    <t>COLUMBIA Class Submarine - P-10 - NUCLEAR PROPULSION PLANT EQUIPMENT (8) - SSBN 831 (In Support of AC)</t>
  </si>
  <si>
    <t>P-10 &gt; COLUMBIA Class Submarine &gt; NUCLEAR PROPULSION PLANT EQUIPMENT (8) - SSBN 831 (In Support of AC)</t>
  </si>
  <si>
    <t>SSBN 831 (In Support of AC)</t>
  </si>
  <si>
    <t>COLUMBIA Class Submarine - P-10 - NUCLEAR PROPULSION PLANT EQUIPMENT (8) - SSBN 832 (In Support of AC)</t>
  </si>
  <si>
    <t>P-10 &gt; COLUMBIA Class Submarine &gt; NUCLEAR PROPULSION PLANT EQUIPMENT (8) - SSBN 832 (In Support of AC)</t>
  </si>
  <si>
    <t>SSBN 832 (In Support of AC)</t>
  </si>
  <si>
    <t>COLUMBIA Class Submarine - P-10 - NUCLEAR PROPULSION PLANT EQUIPMENT (8) - SSBN 833 (In Support of AC)</t>
  </si>
  <si>
    <t>P-10 &gt; COLUMBIA Class Submarine &gt; NUCLEAR PROPULSION PLANT EQUIPMENT (8) - SSBN 833 (In Support of AC)</t>
  </si>
  <si>
    <t>SSBN 833 (In Support of AC)</t>
  </si>
  <si>
    <t>COLUMBIA Class Submarine - P-10 - NUCLEAR PROPULSION PLANT EQUIPMENT (8) - SSBN 834 (In Support of AC)</t>
  </si>
  <si>
    <t>P-10 &gt; COLUMBIA Class Submarine &gt; NUCLEAR PROPULSION PLANT EQUIPMENT (8) - SSBN 834 (In Support of AC)</t>
  </si>
  <si>
    <t>SSBN 834 (In Support of AC)</t>
  </si>
  <si>
    <t>COLUMBIA Class Submarine - P-10 - NUCLEAR PROPULSION PLANT EQUIPMENT (8) - SSBN 835</t>
  </si>
  <si>
    <t>P-10 &gt; COLUMBIA Class Submarine &gt; NUCLEAR PROPULSION PLANT EQUIPMENT (8) - SSBN 835</t>
  </si>
  <si>
    <t>COLUMBIA Class Submarine - P-10 - HM&amp;E (9) - SSBN 827 (In Support of AC)</t>
  </si>
  <si>
    <t>P-10 &gt; COLUMBIA Class Submarine &gt; HM&amp;E (9) - SSBN 827 (In Support of AC)</t>
  </si>
  <si>
    <t>SSBN 827 (In Support of AC)</t>
  </si>
  <si>
    <t>COLUMBIA Class Submarine - P-10 - HM&amp;E (9) - SSBN 828 (In support of AC)</t>
  </si>
  <si>
    <t>P-10 &gt; COLUMBIA Class Submarine &gt; HM&amp;E (9) - SSBN 828 (In support of AC)</t>
  </si>
  <si>
    <t>SSBN 828 (In support of AC)</t>
  </si>
  <si>
    <t>COLUMBIA Class Submarine - P-10 - HM&amp;E (9) - SSBN 829 (In Support of AC)</t>
  </si>
  <si>
    <t>P-10 &gt; COLUMBIA Class Submarine &gt; HM&amp;E (9) - SSBN 829 (In Support of AC)</t>
  </si>
  <si>
    <t>COLUMBIA Class Submarine - P-10 - HM&amp;E (9) - SSBN 830 (In Support of AC)</t>
  </si>
  <si>
    <t>P-10 &gt; COLUMBIA Class Submarine &gt; HM&amp;E (9) - SSBN 830 (In Support of AC)</t>
  </si>
  <si>
    <t>SSBN 830 (In Support of AC)</t>
  </si>
  <si>
    <t>COLUMBIA Class Submarine - P-10 - HM&amp;E (9) - SSBN 831 (In Support of AC)</t>
  </si>
  <si>
    <t>P-10 &gt; COLUMBIA Class Submarine &gt; HM&amp;E (9) - SSBN 831 (In Support of AC)</t>
  </si>
  <si>
    <t>COLUMBIA Class Submarine - P-10 - SSBN 832 (In Support of AC)</t>
  </si>
  <si>
    <t>P-10 &gt; COLUMBIA Class Submarine &gt; SSBN 832 (In Support of AC)</t>
  </si>
  <si>
    <t>60</t>
  </si>
  <si>
    <t>COLUMBIA Class Submarine - P-10 - SSBN 833 (In Support of AC)</t>
  </si>
  <si>
    <t>P-10 &gt; COLUMBIA Class Submarine &gt; SSBN 833 (In Support of AC)</t>
  </si>
  <si>
    <t>COLUMBIA Class Submarine - P-10 - SSBN 834 (In Support of AC)</t>
  </si>
  <si>
    <t>P-10 &gt; COLUMBIA Class Submarine &gt; SSBN 834 (In Support of AC)</t>
  </si>
  <si>
    <t>COLUMBIA Class Submarine - P-10 - SSBN 835 (In Support of AC)</t>
  </si>
  <si>
    <t>P-10 &gt; COLUMBIA Class Submarine &gt; SSBN 835 (In Support of AC)</t>
  </si>
  <si>
    <t>SSBN 835 (In Support of AC)</t>
  </si>
  <si>
    <t>COLUMBIA Class Submarine - P-10 - SSBN 836 (In Support of AC)</t>
  </si>
  <si>
    <t>P-10 &gt; COLUMBIA Class Submarine &gt; SSBN 836 (In Support of AC)</t>
  </si>
  <si>
    <t>SSBN 836 (In Support of AC)</t>
  </si>
  <si>
    <t>COLUMBIA Class Submarine - P-10 - SSBN 837 (In Support of AC)</t>
  </si>
  <si>
    <t>P-10 &gt; COLUMBIA Class Submarine &gt; SSBN 837 (In Support of AC)</t>
  </si>
  <si>
    <t>SSBN 837 (In Support of AC)</t>
  </si>
  <si>
    <t>COLUMBIA Class Submarine - P-10 - ORDNANCE SWS SHIPBOARD SYSTEMS (10) - LLTM - SSBN 827 (In Support of AC)</t>
  </si>
  <si>
    <t>P-10 &gt; COLUMBIA Class Submarine &gt; ORDNANCE SWS SHIPBOARD SYSTEMS (10) - LLTM - SSBN 827 (In Support of AC)</t>
  </si>
  <si>
    <t>COLUMBIA Class Submarine - P-10 - ORDNANCE SWS SHIPBOARD SYSTEMS (10) - LLTM - SSBN 828 (In Support of AC)</t>
  </si>
  <si>
    <t>P-10 &gt; COLUMBIA Class Submarine &gt; ORDNANCE SWS SHIPBOARD SYSTEMS (10) - LLTM - SSBN 828 (In Support of AC)</t>
  </si>
  <si>
    <t>COLUMBIA Class Submarine - P-10 - ORDNANCE SWS SHIPBOARD SYSTEMS (10) - LLTM - SSBN 829 (In Support of AC)</t>
  </si>
  <si>
    <t>P-10 &gt; COLUMBIA Class Submarine &gt; ORDNANCE SWS SHIPBOARD SYSTEMS (10) - LLTM - SSBN 829 (In Support of AC)</t>
  </si>
  <si>
    <t>COLUMBIA Class Submarine - P-10 - ORDNANCE SWS SHIPBOARD SYSTEMS (10) - LLTM - SSBN 830 (In Support of AC)</t>
  </si>
  <si>
    <t>P-10 &gt; COLUMBIA Class Submarine &gt; ORDNANCE SWS SHIPBOARD SYSTEMS (10) - LLTM - SSBN 830 (In Support of AC)</t>
  </si>
  <si>
    <t>COLUMBIA Class Submarine - P-10 - ORDNANCE SWS SHIPBOARD SYSTEMS (10) - LLTM - SSBN 831 (In Support of AC)</t>
  </si>
  <si>
    <t>P-10 &gt; COLUMBIA Class Submarine &gt; ORDNANCE SWS SHIPBOARD SYSTEMS (10) - LLTM - SSBN 831 (In Support of AC)</t>
  </si>
  <si>
    <t>COLUMBIA Class Submarine - P-10 - ORDNANCE SWS SHIPBOARD SYSTEMS (10) - LLTM - SSBN 832 (In Support of AC)</t>
  </si>
  <si>
    <t>P-10 &gt; COLUMBIA Class Submarine &gt; ORDNANCE SWS SHIPBOARD SYSTEMS (10) - LLTM - SSBN 832 (In Support of AC)</t>
  </si>
  <si>
    <t>COLUMBIA Class Submarine - P-10 - ORDNANCE SWS SHIPBOARD SYSTEMS (10) - LLTM - SSBN 833 (In Support of AC)</t>
  </si>
  <si>
    <t>P-10 &gt; COLUMBIA Class Submarine &gt; ORDNANCE SWS SHIPBOARD SYSTEMS (10) - LLTM - SSBN 833 (In Support of AC)</t>
  </si>
  <si>
    <t>COLUMBIA Class Submarine - P-10 - ORDNANCE SWS SHIPBOARD SYSTEMS (10) - LLTM - SSBN 834 (In Support of AC)</t>
  </si>
  <si>
    <t>P-10 &gt; COLUMBIA Class Submarine &gt; ORDNANCE SWS SHIPBOARD SYSTEMS (10) - LLTM - SSBN 834 (In Support of AC)</t>
  </si>
  <si>
    <t>COLUMBIA Class Submarine - P-10 - ORDNANCE SWS SHIPBOARD SYSTEMS (10) - LLTM - SSBN 835 (In Support of AC)</t>
  </si>
  <si>
    <t>P-10 &gt; COLUMBIA Class Submarine &gt; ORDNANCE SWS SHIPBOARD SYSTEMS (10) - LLTM - SSBN 835 (In Support of AC)</t>
  </si>
  <si>
    <t>COLUMBIA Class Submarine - P-10 - ORDNANCE SWS SHIPBOARD SYSTEMS (10) - LLTM - SSBN 836 (In Support of AC)</t>
  </si>
  <si>
    <t>P-10 &gt; COLUMBIA Class Submarine &gt; ORDNANCE SWS SHIPBOARD SYSTEMS (10) - LLTM - SSBN 836 (In Support of AC)</t>
  </si>
  <si>
    <t>COLUMBIA Class Submarine - P-10 - ORDNANCE SWS SHIPBOARD SYSTEMS (10) - LLTM - SSBN 837 (In Support of AC)</t>
  </si>
  <si>
    <t>P-10 &gt; COLUMBIA Class Submarine &gt; ORDNANCE SWS SHIPBOARD SYSTEMS (10) - LLTM - SSBN 837 (In Support of AC)</t>
  </si>
  <si>
    <t>COLUMBIA Class Submarine - P-10 - ORDNANCE SWS SHIPBOARD SYSTEMS (11) - ECONOMIC ORDER QUANTITY - SSBN 827</t>
  </si>
  <si>
    <t>P-10 &gt; COLUMBIA Class Submarine &gt; ORDNANCE SWS SHIPBOARD SYSTEMS (11) - ECONOMIC ORDER QUANTITY - SSBN 827</t>
  </si>
  <si>
    <t>COLUMBIA Class Submarine - P-10 - ORDNANCE SWS SHIPBOARD SYSTEMS (11) - ECONOMIC ORDER QUANTITY - SSBN 828</t>
  </si>
  <si>
    <t>P-10 &gt; COLUMBIA Class Submarine &gt; ORDNANCE SWS SHIPBOARD SYSTEMS (11) - ECONOMIC ORDER QUANTITY - SSBN 828</t>
  </si>
  <si>
    <t>COLUMBIA Class Submarine - P-10 - ORDNANCE SWS SHIPBOARD SYSTEMS (11) - ECONOMIC ORDER QUANTITY - SSBN 829</t>
  </si>
  <si>
    <t>P-10 &gt; COLUMBIA Class Submarine &gt; ORDNANCE SWS SHIPBOARD SYSTEMS (11) - ECONOMIC ORDER QUANTITY - SSBN 829</t>
  </si>
  <si>
    <t>COLUMBIA Class Submarine - P-10 - ORDNANCE SWS SHIPBOARD SYSTEMS (11) - ECONOMIC ORDER QUANTITY - SSBN 830</t>
  </si>
  <si>
    <t>P-10 &gt; COLUMBIA Class Submarine &gt; ORDNANCE SWS SHIPBOARD SYSTEMS (11) - ECONOMIC ORDER QUANTITY - SSBN 830</t>
  </si>
  <si>
    <t>COLUMBIA Class Submarine - P-10 - ORDNANCE SWS SHIPBOARD SYSTEMS (11) - ECONOMIC ORDER QUANTITY - SSBN 831</t>
  </si>
  <si>
    <t>P-10 &gt; COLUMBIA Class Submarine &gt; ORDNANCE SWS SHIPBOARD SYSTEMS (11) - ECONOMIC ORDER QUANTITY - SSBN 831</t>
  </si>
  <si>
    <t>COLUMBIA Class Submarine - P-10 - ORDNANCE SWS SHIPBOARD SYSTEMS (11) - ECONOMIC ORDER QUANTITY - SSBN 832</t>
  </si>
  <si>
    <t>P-10 &gt; COLUMBIA Class Submarine &gt; ORDNANCE SWS SHIPBOARD SYSTEMS (11) - ECONOMIC ORDER QUANTITY - SSBN 832</t>
  </si>
  <si>
    <t>COLUMBIA Class Submarine - P-10 - ORDNANCE SWS SHIPBOARD SYSTEMS (11) - ECONOMIC ORDER QUANTITY - SSBN 833</t>
  </si>
  <si>
    <t>P-10 &gt; COLUMBIA Class Submarine &gt; ORDNANCE SWS SHIPBOARD SYSTEMS (11) - ECONOMIC ORDER QUANTITY - SSBN 833</t>
  </si>
  <si>
    <t>COLUMBIA Class Submarine - P-10 - ORDNANCE SWS SHIPBOARD SYSTEMS (11) - ECONOMIC ORDER QUANTITY - SSBN 834</t>
  </si>
  <si>
    <t>P-10 &gt; COLUMBIA Class Submarine &gt; ORDNANCE SWS SHIPBOARD SYSTEMS (11) - ECONOMIC ORDER QUANTITY - SSBN 834</t>
  </si>
  <si>
    <t>61</t>
  </si>
  <si>
    <t>COLUMBIA Class Submarine - P-10 - ORDNANCE SWS SHIPBOARD SYSTEMS (12) - CONTINUOUS PRODUCTION - SSBN 828</t>
  </si>
  <si>
    <t>P-10 &gt; COLUMBIA Class Submarine &gt; ORDNANCE SWS SHIPBOARD SYSTEMS (12) - CONTINUOUS PRODUCTION - SSBN 828</t>
  </si>
  <si>
    <t>COLUMBIA Class Submarine - P-10 - ORDNANCE SWS SHIPBOARD SYSTEMS (12) - CONTINUOUS PRODUCTION - SSBN 829</t>
  </si>
  <si>
    <t>P-10 &gt; COLUMBIA Class Submarine &gt; ORDNANCE SWS SHIPBOARD SYSTEMS (12) - CONTINUOUS PRODUCTION - SSBN 829</t>
  </si>
  <si>
    <t>COLUMBIA Class Submarine - P-10 - ORDNANCE SWS SHIPBOARD SYSTEMS (12) - CONTINUOUS PRODUCTION - SSBN 830</t>
  </si>
  <si>
    <t>P-10 &gt; COLUMBIA Class Submarine &gt; ORDNANCE SWS SHIPBOARD SYSTEMS (12) - CONTINUOUS PRODUCTION - SSBN 830</t>
  </si>
  <si>
    <t>COLUMBIA Class Submarine - P-10 - ORDNANCE SWS SHIPBOARD SYSTEMS (12) - CONTINUOUS PRODUCTION - SSBN 831</t>
  </si>
  <si>
    <t>P-10 &gt; COLUMBIA Class Submarine &gt; ORDNANCE SWS SHIPBOARD SYSTEMS (12) - CONTINUOUS PRODUCTION - SSBN 831</t>
  </si>
  <si>
    <t>COLUMBIA Class Submarine - P-10 - ORDNANCE SWS SHIPBOARD SYSTEMS (12) - CONTINUOUS PRODUCTION - SSBN 832</t>
  </si>
  <si>
    <t>P-10 &gt; COLUMBIA Class Submarine &gt; ORDNANCE SWS SHIPBOARD SYSTEMS (12) - CONTINUOUS PRODUCTION - SSBN 832</t>
  </si>
  <si>
    <t>COLUMBIA Class Submarine - P-10 - ORDNANCE SWS SHIPBOARD SYSTEMS (12) - CONTINUOUS PRODUCTION - SSBN 833</t>
  </si>
  <si>
    <t>P-10 &gt; COLUMBIA Class Submarine &gt; ORDNANCE SWS SHIPBOARD SYSTEMS (12) - CONTINUOUS PRODUCTION - SSBN 833</t>
  </si>
  <si>
    <t>COLUMBIA Class Submarine - P-10 - ORDNANCE SWS SHIPBOARD SYSTEMS (12) - CONTINUOUS PRODUCTION - SSBN 834</t>
  </si>
  <si>
    <t>P-10 &gt; COLUMBIA Class Submarine &gt; ORDNANCE SWS SHIPBOARD SYSTEMS (12) - CONTINUOUS PRODUCTION - SSBN 834</t>
  </si>
  <si>
    <t>COLUMBIA Class Submarine - P-10 - ORDNANCE SWS SHIPBOARD SYSTEMS (12) - CONTINUOUS PRODUCTION - SSBN 835</t>
  </si>
  <si>
    <t>P-10 &gt; COLUMBIA Class Submarine &gt; ORDNANCE SWS SHIPBOARD SYSTEMS (12) - CONTINUOUS PRODUCTION - SSBN 835</t>
  </si>
  <si>
    <t>COLUMBIA Class Submarine - P-10 - ORDNANCE SWS SHIPBOARD SYSTEMS (12) - CONTINUOUS PRODUCTION - SSBN 836</t>
  </si>
  <si>
    <t>P-10 &gt; COLUMBIA Class Submarine &gt; ORDNANCE SWS SHIPBOARD SYSTEMS (12) - CONTINUOUS PRODUCTION - SSBN 836</t>
  </si>
  <si>
    <t>COLUMBIA Class Submarine - P-10 - ORDNANCE SWS SHIPBOARD SYSTEMS (12) - CONTINUOUS PRODUCTION - SSBN 837</t>
  </si>
  <si>
    <t>P-10 &gt; COLUMBIA Class Submarine &gt; ORDNANCE SWS SHIPBOARD SYSTEMS (12) - CONTINUOUS PRODUCTION - SSBN 837</t>
  </si>
  <si>
    <t>COLUMBIA Class Submarine - P-10 - ELECTRONICS (13) - SSBN 827</t>
  </si>
  <si>
    <t>P-10 &gt; COLUMBIA Class Submarine &gt; ELECTRONICS (13) - SSBN 827</t>
  </si>
  <si>
    <t>COLUMBIA Class Submarine - P-10 - ELECTRONICS (13) - SSBN 828</t>
  </si>
  <si>
    <t>P-10 &gt; COLUMBIA Class Submarine &gt; ELECTRONICS (13) - SSBN 828</t>
  </si>
  <si>
    <t>COLUMBIA Class Submarine - P-10 - ELECTRONICS (13) - SSBN 829</t>
  </si>
  <si>
    <t>P-10 &gt; COLUMBIA Class Submarine &gt; ELECTRONICS (13) - SSBN 829</t>
  </si>
  <si>
    <t>COLUMBIA Class Submarine - P-10 - ELECTRONICS (13) - SSBN 830</t>
  </si>
  <si>
    <t>P-10 &gt; COLUMBIA Class Submarine &gt; ELECTRONICS (13) - SSBN 830</t>
  </si>
  <si>
    <t>COLUMBIA Class Submarine - P-10 - ELECTRONICS (13) - SSBN 831</t>
  </si>
  <si>
    <t>P-10 &gt; COLUMBIA Class Submarine &gt; ELECTRONICS (13) - SSBN 831</t>
  </si>
  <si>
    <t>COLUMBIA Class Submarine - P-10 - ELECTRONICS (13) - SSBN 832</t>
  </si>
  <si>
    <t>P-10 &gt; COLUMBIA Class Submarine &gt; ELECTRONICS (13) - SSBN 832</t>
  </si>
  <si>
    <t>COLUMBIA Class Submarine - P-10 - ELECTRONICS (13) - SSBN 833</t>
  </si>
  <si>
    <t>P-10 &gt; COLUMBIA Class Submarine &gt; ELECTRONICS (13) - SSBN 833</t>
  </si>
  <si>
    <t>COLUMBIA Class Submarine - P-10 - ELECTRONICS (13) - SSBN 834</t>
  </si>
  <si>
    <t>P-10 &gt; COLUMBIA Class Submarine &gt; ELECTRONICS (13) - SSBN 834</t>
  </si>
  <si>
    <t>62</t>
  </si>
  <si>
    <t>63</t>
  </si>
  <si>
    <t>COLUMBIA Class Submarine - P-10 - BASIC CONSTRUCTION (4) - MISSILE TUBE CONTINUOUS PRODUCTION &amp; OUTFITTING - SSBN 834</t>
  </si>
  <si>
    <t>P-10 &gt; COLUMBIA Class Submarine &gt; BASIC CONSTRUCTION (4) - MISSILE TUBE CONTINUOUS PRODUCTION &amp; OUTFITTING - SSBN 834</t>
  </si>
  <si>
    <t>COLUMBIA Class Submarine - P-10 - BASIC CONSTRUCTION (4) - MISSILE TUBE CONTINUOUS PRODUCTION &amp; OUTFITTING - SSBN 835</t>
  </si>
  <si>
    <t>P-10 &gt; COLUMBIA Class Submarine &gt; BASIC CONSTRUCTION (4) - MISSILE TUBE CONTINUOUS PRODUCTION &amp; OUTFITTING - SSBN 835</t>
  </si>
  <si>
    <t>COLUMBIA Class Submarine - P-10 - BASIC CONSTRUCTION (4) - MISSILE TUBE CONTINUOUS PRODUCTION &amp; OUTFITTING - SSBN 836</t>
  </si>
  <si>
    <t>P-10 &gt; COLUMBIA Class Submarine &gt; BASIC CONSTRUCTION (4) - MISSILE TUBE CONTINUOUS PRODUCTION &amp; OUTFITTING - SSBN 836</t>
  </si>
  <si>
    <t>64</t>
  </si>
  <si>
    <t>COLUMBIA Class Submarine - P-10 - BASIC CONSTRUCTION (7) - SHIPYARD MANUFACTURED ITEMS CONTINUOUS PRODUCTION - SSBN 828</t>
  </si>
  <si>
    <t>P-10 &gt; COLUMBIA Class Submarine &gt; BASIC CONSTRUCTION (7) - SHIPYARD MANUFACTURED ITEMS CONTINUOUS PRODUCTION - SSBN 828</t>
  </si>
  <si>
    <t>COLUMBIA Class Submarine - P-10 - BASIC CONSTRUCTION (7) - SHIPYARD MANUFACTURED ITEMS CONTINUOUS PRODUCTION - SSBN 829</t>
  </si>
  <si>
    <t>P-10 &gt; COLUMBIA Class Submarine &gt; BASIC CONSTRUCTION (7) - SHIPYARD MANUFACTURED ITEMS CONTINUOUS PRODUCTION - SSBN 829</t>
  </si>
  <si>
    <t>COLUMBIA Class Submarine - P-10 - BASIC CONSTRUCTION (7) - SHIPYARD MANUFACTURED ITEMS CONTINUOUS PRODUCTION - SSBN 830</t>
  </si>
  <si>
    <t>P-10 &gt; COLUMBIA Class Submarine &gt; BASIC CONSTRUCTION (7) - SHIPYARD MANUFACTURED ITEMS CONTINUOUS PRODUCTION - SSBN 830</t>
  </si>
  <si>
    <t>COLUMBIA Class Submarine - P-10 - BASIC CONSTRUCTION (7) - SHIPYARD MANUFACTURED ITEMS CONTINUOUS PRODUCTION - SSBN 831</t>
  </si>
  <si>
    <t>P-10 &gt; COLUMBIA Class Submarine &gt; BASIC CONSTRUCTION (7) - SHIPYARD MANUFACTURED ITEMS CONTINUOUS PRODUCTION - SSBN 831</t>
  </si>
  <si>
    <t>65</t>
  </si>
  <si>
    <t>COLUMBIA Class Submarine - P-10 - HM&amp;E (9) - SSBN 832 (In Support of AC)</t>
  </si>
  <si>
    <t>P-10 &gt; COLUMBIA Class Submarine &gt; HM&amp;E (9) - SSBN 832 (In Support of AC)</t>
  </si>
  <si>
    <t>COLUMBIA Class Submarine - P-10 - HM&amp;E (9) - SSBN 833 (In Support of AC)</t>
  </si>
  <si>
    <t>P-10 &gt; COLUMBIA Class Submarine &gt; HM&amp;E (9) - SSBN 833 (In Support of AC)</t>
  </si>
  <si>
    <t>COLUMBIA Class Submarine - P-10 - HM&amp;E (9) - SSBN 834 (In Support of AC)</t>
  </si>
  <si>
    <t>P-10 &gt; COLUMBIA Class Submarine &gt; HM&amp;E (9) - SSBN 834 (In Support of AC)</t>
  </si>
  <si>
    <t>COLUMBIA Class Submarine - P-10 - HM&amp;E (9) - SSBN 835 (In Support of AC)</t>
  </si>
  <si>
    <t>P-10 &gt; COLUMBIA Class Submarine &gt; HM&amp;E (9) - SSBN 835 (In Support of AC)</t>
  </si>
  <si>
    <t>COLUMBIA Class Submarine - P-10 - HM&amp;E (9) - SSBN 836 (In Support of AC)</t>
  </si>
  <si>
    <t>P-10 &gt; COLUMBIA Class Submarine &gt; HM&amp;E (9) - SSBN 836 (In Support of AC)</t>
  </si>
  <si>
    <t>COLUMBIA Class Submarine - P-10 - HM&amp;E (9) - SSBN 837 (In Support of AC)</t>
  </si>
  <si>
    <t>P-10 &gt; COLUMBIA Class Submarine &gt; HM&amp;E (9) - SSBN 837 (In Support of AC)</t>
  </si>
  <si>
    <t>66</t>
  </si>
  <si>
    <t>COLUMBIA Class Submarine - P-10 - ORDNANCE SWS SHIPBOARD SYSTEMS (11) - ECONOMIC ORDER QUANTITY - SSBN 835</t>
  </si>
  <si>
    <t>P-10 &gt; COLUMBIA Class Submarine &gt; ORDNANCE SWS SHIPBOARD SYSTEMS (11) - ECONOMIC ORDER QUANTITY - SSBN 835</t>
  </si>
  <si>
    <t>COLUMBIA Class Submarine - P-10 - ORDNANCE SWS SHIPBOARD SYSTEMS (11) - ECONOMIC ORDER QUANTITY - SSBN 836</t>
  </si>
  <si>
    <t>P-10 &gt; COLUMBIA Class Submarine &gt; ORDNANCE SWS SHIPBOARD SYSTEMS (11) - ECONOMIC ORDER QUANTITY - SSBN 836</t>
  </si>
  <si>
    <t>COLUMBIA Class Submarine - P-10 - ORDNANCE SWS SHIPBOARD SYSTEMS (11) - ECONOMIC ORDER QUANTITY - SSBN 837</t>
  </si>
  <si>
    <t>P-10 &gt; COLUMBIA Class Submarine &gt; ORDNANCE SWS SHIPBOARD SYSTEMS (11) - ECONOMIC ORDER QUANTITY - SSBN 837</t>
  </si>
  <si>
    <t>67</t>
  </si>
  <si>
    <t>Carrier Replacement Program - P-5c - Plan Costs</t>
  </si>
  <si>
    <t>P-5c &gt; Carrier Replacement Program &gt; Plan Costs</t>
  </si>
  <si>
    <t>75</t>
  </si>
  <si>
    <t>Carrier Replacement Program - P-5c - Basic Construction</t>
  </si>
  <si>
    <t>P-5c &gt; Carrier Replacement Program &gt; Basic Construction</t>
  </si>
  <si>
    <t>Carrier Replacement Program - P-5c - Change Orders</t>
  </si>
  <si>
    <t>P-5c &gt; Carrier Replacement Program &gt; Change Orders</t>
  </si>
  <si>
    <t>Carrier Replacement Program - P-5c - Electronics</t>
  </si>
  <si>
    <t>P-5c &gt; Carrier Replacement Program &gt; Electronics</t>
  </si>
  <si>
    <t>Carrier Replacement Program - P-5c - Propulsion Equipment</t>
  </si>
  <si>
    <t>P-5c &gt; Carrier Replacement Program &gt; Propulsion Equipment</t>
  </si>
  <si>
    <t>Carrier Replacement Program - P-5c - Hull, Mechanical, and Electrical</t>
  </si>
  <si>
    <t>P-5c &gt; Carrier Replacement Program &gt; Hull, Mechanical, and Electrical</t>
  </si>
  <si>
    <t>Carrier Replacement Program - P-5c - Ordnance</t>
  </si>
  <si>
    <t>P-5c &gt; Carrier Replacement Program &gt; Ordnance</t>
  </si>
  <si>
    <t>Ordnance</t>
  </si>
  <si>
    <t>Carrier Replacement Program - P-5c - Other Cost</t>
  </si>
  <si>
    <t>P-5c &gt; Carrier Replacement Program &gt; Other Cost</t>
  </si>
  <si>
    <t>Carrier Replacement Program - P-8a Electronics - CONSOLIDATED AFLOAT NETWORK AND ENTERPRISE SERVICES (CANES) 1</t>
  </si>
  <si>
    <t>P-8a &gt; Carrier Replacement Program &gt; Electronics &gt; CONSOLIDATED AFLOAT NETWORK AND ENTERPRISE SERVICES (CANES) 1</t>
  </si>
  <si>
    <t>78</t>
  </si>
  <si>
    <t>CONSOLIDATED AFLOAT NETWORK AND ENTERPRISE SERVICES (CANES)</t>
  </si>
  <si>
    <t>Carrier Replacement Program - P-8a Electronics - AN/USG-2, COOPERATIVE ENGAGEMENT CAPABILITY (CEC) 1</t>
  </si>
  <si>
    <t>P-8a &gt; Carrier Replacement Program &gt; Electronics &gt; AN/USG-2, COOPERATIVE ENGAGEMENT CAPABILITY (CEC) 1</t>
  </si>
  <si>
    <t>AN/USG-2, COOPERATIVE ENGAGEMENT CAPABILITY (CEC)</t>
  </si>
  <si>
    <t>Carrier Replacement Program - P-8a Electronics - FREQUENCY LINE OF SIGHT (EHF/VHF LOS) SAT 1</t>
  </si>
  <si>
    <t>P-8a &gt; Carrier Replacement Program &gt; Electronics &gt; FREQUENCY LINE OF SIGHT (EHF/VHF LOS) SAT 1</t>
  </si>
  <si>
    <t>Carrier Replacement Program - P-8a Electronics - AN/UPX-29(V), INTERROGATOR FRIEND OR FOE (IFF) W/MK XII 1</t>
  </si>
  <si>
    <t>P-8a &gt; Carrier Replacement Program &gt; Electronics &gt; AN/UPX-29(V), INTERROGATOR FRIEND OR FOE (IFF) W/MK XII 1</t>
  </si>
  <si>
    <t>AN/UPX-29(V), INTERROGATOR FRIEND OR FOE (IFF) W/MK XII</t>
  </si>
  <si>
    <t>Carrier Replacement Program - P-8a Electronics - SPN-46, AUTOMATIC CARRIER LANDING SYSTEM 1</t>
  </si>
  <si>
    <t>P-8a &gt; Carrier Replacement Program &gt; Electronics &gt; SPN-46, AUTOMATIC CARRIER LANDING SYSTEM 1</t>
  </si>
  <si>
    <t>SPN-46, AUTOMATIC CARRIER LANDING SYSTEM</t>
  </si>
  <si>
    <t>Carrier Replacement Program - P-8a Electronics - SHIP SELF DEFENSE SYSTEM (SSDS) 1</t>
  </si>
  <si>
    <t>P-8a &gt; Carrier Replacement Program &gt; Electronics &gt; SHIP SELF DEFENSE SYSTEM (SSDS) 1</t>
  </si>
  <si>
    <t>SHIP SELF DEFENSE SYSTEM (SSDS)</t>
  </si>
  <si>
    <t>Carrier Replacement Program - P-8a Electronics - AN/SYY-1(V)1 AIR TRAFFIC CONTROL SYSTEM, SHIPBOARD 1</t>
  </si>
  <si>
    <t>P-8a &gt; Carrier Replacement Program &gt; Electronics &gt; AN/SYY-1(V)1 AIR TRAFFIC CONTROL SYSTEM, SHIPBOARD 1</t>
  </si>
  <si>
    <t>AN/SYY-1(V)1 AIR TRAFFIC CONTROL SYSTEM, SHIPBOARD</t>
  </si>
  <si>
    <t>Carrier Replacement Program - P-8a Electronics - NAVY MULTI-BAND TERMINAL (NMT) 1</t>
  </si>
  <si>
    <t>P-8a &gt; Carrier Replacement Program &gt; Electronics &gt; NAVY MULTI-BAND TERMINAL (NMT) 1</t>
  </si>
  <si>
    <t>NAVY MULTI-BAND TERMINAL (NMT)</t>
  </si>
  <si>
    <t>Carrier Replacement Program - P-8a Electronics - SEWIP) BLOCK 2 1</t>
  </si>
  <si>
    <t>P-8a &gt; Carrier Replacement Program &gt; Electronics &gt; SEWIP) BLOCK 2 1</t>
  </si>
  <si>
    <t>Carrier Replacement Program - P-8a Electronics - AN/SSQ-130(V)8, SHIP'S SIGNAL EXPLOITATION EQUIPMENT INCREMENT F 1</t>
  </si>
  <si>
    <t>P-8a &gt; Carrier Replacement Program &gt; Electronics &gt; AN/SSQ-130(V)8, SHIP'S SIGNAL EXPLOITATION EQUIPMENT INCREMENT F 1</t>
  </si>
  <si>
    <t>AN/SSQ-130(V)8, SHIP'S SIGNAL EXPLOITATION EQUIPMENT INCREMENT F</t>
  </si>
  <si>
    <t>Carrier Replacement Program - P-8a Electronics - AN/SRC-66 (V)3 HFDAG 1</t>
  </si>
  <si>
    <t>P-8a &gt; Carrier Replacement Program &gt; Electronics &gt; AN/SRC-66 (V)3 HFDAG 1</t>
  </si>
  <si>
    <t>AN/SRC-66 (V)3 HFDAG</t>
  </si>
  <si>
    <t>Carrier Replacement Program - P-8a Electronics - AN/USN-3(V)1 SATELLITE SIGNAL LANDING SYSTEM (SSLS) 1</t>
  </si>
  <si>
    <t>P-8a &gt; Carrier Replacement Program &gt; Electronics &gt; AN/USN-3(V)1 SATELLITE SIGNAL LANDING SYSTEM (SSLS) 1</t>
  </si>
  <si>
    <t>AN/USN-3(V)1 SATELLITE SIGNAL LANDING SYSTEM (SSLS)</t>
  </si>
  <si>
    <t>Carrier Replacement Program - P-8a Electronics - ELECTRONIC CONSOLIDATED AUTOMATED SUPPORT SYSTEM (eCASS) 1</t>
  </si>
  <si>
    <t>P-8a &gt; Carrier Replacement Program &gt; Electronics &gt; ELECTRONIC CONSOLIDATED AUTOMATED SUPPORT SYSTEM (eCASS) 1</t>
  </si>
  <si>
    <t>ELECTRONIC CONSOLIDATED AUTOMATED SUPPORT SYSTEM (eCASS)</t>
  </si>
  <si>
    <t>Carrier Replacement Program - P-8a Electronics - OA-9277 ULTRA HIGH FREQUENCY (UHF) MULTICOUPLER 0 - 1</t>
  </si>
  <si>
    <t>P-8a &gt; Carrier Replacement Program &gt; Electronics &gt; OA-9277 ULTRA HIGH FREQUENCY (UHF) MULTICOUPLER 0 - 1</t>
  </si>
  <si>
    <t>OA-9277 ULTRA HIGH FREQUENCY (UHF) MULTICOUPLER</t>
  </si>
  <si>
    <t>Carrier Replacement Program - P-8a Electronics - AN/USQ-214(V)1, NETWORK TACTICAL COMMON DATA LINK (NTCDL) SYSTEM 0 - 1</t>
  </si>
  <si>
    <t>P-8a &gt; Carrier Replacement Program &gt; Electronics &gt; AN/USQ-214(V)1, NETWORK TACTICAL COMMON DATA LINK (NTCDL) SYSTEM 0 - 1</t>
  </si>
  <si>
    <t>AN/USQ-214(V)1, NETWORK TACTICAL COMMON DATA LINK (NTCDL) SYSTEM</t>
  </si>
  <si>
    <t>Carrier Replacement Program - P-8a Electronics - RING LASER GYRO NAVIGATOR (RLGN) AN/WSN-12(V)1 0 - 1</t>
  </si>
  <si>
    <t>P-8a &gt; Carrier Replacement Program &gt; Electronics &gt; RING LASER GYRO NAVIGATOR (RLGN) AN/WSN-12(V)1 0 - 1</t>
  </si>
  <si>
    <t>RING LASER GYRO NAVIGATOR (RLGN) AN/WSN-12(V)1</t>
  </si>
  <si>
    <t>Carrier Replacement Program - P-8a Electronics - MK 53 MOD 15 DECOY LAUNCHING SYSTEM 0 - 1</t>
  </si>
  <si>
    <t>P-8a &gt; Carrier Replacement Program &gt; Electronics &gt; MK 53 MOD 15 DECOY LAUNCHING SYSTEM 0 - 1</t>
  </si>
  <si>
    <t>MK 53 MOD 15 DECOY LAUNCHING SYSTEM</t>
  </si>
  <si>
    <t>Carrier Replacement Program - P-8a Electronics - I-STALKER 0 - 1</t>
  </si>
  <si>
    <t>P-8a &gt; Carrier Replacement Program &gt; Electronics &gt; I-STALKER 0 - 1</t>
  </si>
  <si>
    <t>I-STALKER</t>
  </si>
  <si>
    <t>Carrier Replacement Program - P-8a Electronics - AN/USQ-155(V)1 TACTICAL VARIANT SWITCH 1</t>
  </si>
  <si>
    <t>P-8a &gt; Carrier Replacement Program &gt; Electronics &gt; AN/USQ-155(V)1 TACTICAL VARIANT SWITCH 1</t>
  </si>
  <si>
    <t>AN/USQ-155(V)1 TACTICAL VARIANT SWITCH</t>
  </si>
  <si>
    <t>Carrier Replacement Program - P-8a Electronics - INFORMATION ASSURANCE (IA)</t>
  </si>
  <si>
    <t>P-8a &gt; Carrier Replacement Program &gt; Electronics &gt; INFORMATION ASSURANCE (IA)</t>
  </si>
  <si>
    <t>INFORMATION ASSURANCE (IA)</t>
  </si>
  <si>
    <t>Carrier Replacement Program - P-8a Electronics - MIDS)-ON SHIP (MOS) 1</t>
  </si>
  <si>
    <t>P-8a &gt; Carrier Replacement Program &gt; Electronics &gt; MIDS)-ON SHIP (MOS) 1</t>
  </si>
  <si>
    <t>Carrier Replacement Program - P-8a Electronics - AN/SLQ-25E DUAL, SURFACE SHIP TORPEDO DEFENSE SYSTEM, NIXIE 1</t>
  </si>
  <si>
    <t>P-8a &gt; Carrier Replacement Program &gt; Electronics &gt; AN/SLQ-25E DUAL, SURFACE SHIP TORPEDO DEFENSE SYSTEM, NIXIE 1</t>
  </si>
  <si>
    <t>AN/SLQ-25E DUAL, SURFACE SHIP TORPEDO DEFENSE SYSTEM, NIXIE</t>
  </si>
  <si>
    <t>Carrier Replacement Program - P-8a Electronics - SHIPBOARD AIR TRAFFIC CONTROL COMMUNICATIONS (SATCC) 1</t>
  </si>
  <si>
    <t>P-8a &gt; Carrier Replacement Program &gt; Electronics &gt; SHIPBOARD AIR TRAFFIC CONTROL COMMUNICATIONS (SATCC) 1</t>
  </si>
  <si>
    <t>SHIPBOARD AIR TRAFFIC CONTROL COMMUNICATIONS (SATCC)</t>
  </si>
  <si>
    <t>Carrier Replacement Program - P-8a Electronics - AN/WSN-7(V)3, RING LASER GYRO NAVIGATOR (RLGN) 1</t>
  </si>
  <si>
    <t>P-8a &gt; Carrier Replacement Program &gt; Electronics &gt; AN/WSN-7(V)3, RING LASER GYRO NAVIGATOR (RLGN) 1</t>
  </si>
  <si>
    <t>AN/WSN-7(V)3, RING LASER GYRO NAVIGATOR (RLGN)</t>
  </si>
  <si>
    <t>Carrier Replacement Program - P-8a Electronics - DISTRIBUTED SYSTEMS DESIGN INTEGRATION SERVICES 1</t>
  </si>
  <si>
    <t>P-8a &gt; Carrier Replacement Program &gt; Electronics &gt; DISTRIBUTED SYSTEMS DESIGN INTEGRATION SERVICES 1</t>
  </si>
  <si>
    <t>DISTRIBUTED SYSTEMS DESIGN INTEGRATION SERVICES</t>
  </si>
  <si>
    <t>Carrier Replacement Program - P-8a Electronics - C4I INTEGRATION &amp; COORDINATION</t>
  </si>
  <si>
    <t>P-8a &gt; Carrier Replacement Program &gt; Electronics &gt; C4I INTEGRATION &amp; COORDINATION</t>
  </si>
  <si>
    <t>C4I INTEGRATION &amp; COORDINATION</t>
  </si>
  <si>
    <t>Carrier Replacement Program - P-8a Electronics - DISTRIBUTED COMMON GROUND STATION - NAVY (DCGS-N) 1</t>
  </si>
  <si>
    <t>P-8a &gt; Carrier Replacement Program &gt; Electronics &gt; DISTRIBUTED COMMON GROUND STATION - NAVY (DCGS-N) 1</t>
  </si>
  <si>
    <t>DISTRIBUTED COMMON GROUND STATION - NAVY (DCGS-N)</t>
  </si>
  <si>
    <t>Carrier Replacement Program - P-8a Electronics - AN/USQ-144 AUTOMATED DIGITAL NETWORK SYSTEM (ADNS) 1</t>
  </si>
  <si>
    <t>P-8a &gt; Carrier Replacement Program &gt; Electronics &gt; AN/USQ-144 AUTOMATED DIGITAL NETWORK SYSTEM (ADNS) 1</t>
  </si>
  <si>
    <t>AN/USQ-144 AUTOMATED DIGITAL NETWORK SYSTEM (ADNS)</t>
  </si>
  <si>
    <t>Carrier Replacement Program - P-8a Electronics - AN/UYQ-120(V)1 COMMAND &amp; CONTROL PROCESSOR SYSTEM (C2PS) 1</t>
  </si>
  <si>
    <t>P-8a &gt; Carrier Replacement Program &gt; Electronics &gt; AN/UYQ-120(V)1 COMMAND &amp; CONTROL PROCESSOR SYSTEM (C2PS) 1</t>
  </si>
  <si>
    <t>AN/UYQ-120(V)1 COMMAND &amp; CONTROL PROCESSOR SYSTEM (C2PS)</t>
  </si>
  <si>
    <t>Carrier Replacement Program - P-8a Electronics - OA-9277 ULTRA HIGH FREQUENCY (UHF) MULTICOUPLER 1</t>
  </si>
  <si>
    <t>P-8a &gt; Carrier Replacement Program &gt; Electronics &gt; OA-9277 ULTRA HIGH FREQUENCY (UHF) MULTICOUPLER 1</t>
  </si>
  <si>
    <t>79</t>
  </si>
  <si>
    <t>Carrier Replacement Program - P-8a Electronics - SIGNAL OFFICER (LSO) SYSTEM 1</t>
  </si>
  <si>
    <t>P-8a &gt; Carrier Replacement Program &gt; Electronics &gt; SIGNAL OFFICER (LSO) SYSTEM 1</t>
  </si>
  <si>
    <t>Carrier Replacement Program - P-8a Electronics - WARFARE SYSTEM INTEGRATION</t>
  </si>
  <si>
    <t>P-8a &gt; Carrier Replacement Program &gt; Electronics &gt; WARFARE SYSTEM INTEGRATION</t>
  </si>
  <si>
    <t>WARFARE SYSTEM INTEGRATION</t>
  </si>
  <si>
    <t>Carrier Replacement Program - P-8a Electronics - CBSP-FLV) 2</t>
  </si>
  <si>
    <t>P-8a &gt; Carrier Replacement Program &gt; Electronics &gt; CBSP-FLV) 2</t>
  </si>
  <si>
    <t>Carrier Replacement Program - P-8a Electronics - AN/SSN-6(V)X BLOCK 4, NAVIGATION SENSOR SYSTEM INTERFACE (NAVSSI) 1</t>
  </si>
  <si>
    <t>P-8a &gt; Carrier Replacement Program &gt; Electronics &gt; AN/SSN-6(V)X BLOCK 4, NAVIGATION SENSOR SYSTEM INTERFACE (NAVSSI) 1</t>
  </si>
  <si>
    <t>AN/SSN-6(V)X BLOCK 4, NAVIGATION SENSOR SYSTEM INTERFACE (NAVSSI)</t>
  </si>
  <si>
    <t>Carrier Replacement Program - P-8a Electronics - GLOBAL POSITIONING SYSTEM, NAVIGATION, AND TIMING SERVICE (GPNTS) 0 - 1</t>
  </si>
  <si>
    <t>P-8a &gt; Carrier Replacement Program &gt; Electronics &gt; GLOBAL POSITIONING SYSTEM, NAVIGATION, AND TIMING SERVICE (GPNTS) 0 - 1</t>
  </si>
  <si>
    <t>GLOBAL POSITIONING SYSTEM, NAVIGATION, AND TIMING SERVICE (GPNTS)</t>
  </si>
  <si>
    <t>Carrier Replacement Program - P-8a Electronics - INTEGRATED STRIKE PLANNING &amp; EXECUTION SYSTEMS (ISP&amp;E) 1</t>
  </si>
  <si>
    <t>P-8a &gt; Carrier Replacement Program &gt; Electronics &gt; INTEGRATED STRIKE PLANNING &amp; EXECUTION SYSTEMS (ISP&amp;E) 1</t>
  </si>
  <si>
    <t>INTEGRATED STRIKE PLANNING &amp; EXECUTION SYSTEMS (ISP&amp;E)</t>
  </si>
  <si>
    <t>Carrier Replacement Program - P-8a Electronics - AN/USQ-123(V), COMMUNICATIONS DATA LINK-SYSTEM (CDL-S) 1</t>
  </si>
  <si>
    <t>P-8a &gt; Carrier Replacement Program &gt; Electronics &gt; AN/USQ-123(V), COMMUNICATIONS DATA LINK-SYSTEM (CDL-S) 1</t>
  </si>
  <si>
    <t>AN/USQ-123(V), COMMUNICATIONS DATA LINK-SYSTEM (CDL-S)</t>
  </si>
  <si>
    <t>Carrier Replacement Program - P-8a Electronics - AN/SPN-41 (V), INSTRUMENT LANDING SYSTEM (ILS) 1</t>
  </si>
  <si>
    <t>P-8a &gt; Carrier Replacement Program &gt; Electronics &gt; AN/SPN-41 (V), INSTRUMENT LANDING SYSTEM (ILS) 1</t>
  </si>
  <si>
    <t>AN/SPN-41 (V), INSTRUMENT LANDING SYSTEM (ILS)</t>
  </si>
  <si>
    <t>Carrier Replacement Program - P-8a Electronics - SHIP SIGNAL EXPLOITATION SPACE (SSES/SI) COMMUNICATIONS 1</t>
  </si>
  <si>
    <t>P-8a &gt; Carrier Replacement Program &gt; Electronics &gt; SHIP SIGNAL EXPLOITATION SPACE (SSES/SI) COMMUNICATIONS 1</t>
  </si>
  <si>
    <t>SHIP SIGNAL EXPLOITATION SPACE (SSES/SI) COMMUNICATIONS</t>
  </si>
  <si>
    <t>Carrier Replacement Program - P-8a Electronics - TURNKEY RADIO COMMUNICATIONS SYSTEM (RCS) 1</t>
  </si>
  <si>
    <t>P-8a &gt; Carrier Replacement Program &gt; Electronics &gt; TURNKEY RADIO COMMUNICATIONS SYSTEM (RCS) 1</t>
  </si>
  <si>
    <t>TURNKEY RADIO COMMUNICATIONS SYSTEM (RCS)</t>
  </si>
  <si>
    <t>Carrier Replacement Program - P-8a Electronics - ATD) 1</t>
  </si>
  <si>
    <t>P-8a &gt; Carrier Replacement Program &gt; Electronics &gt; ATD) 1</t>
  </si>
  <si>
    <t>Carrier Replacement Program - P-8a Electronics - AN/SPS-73(V)18 NEXT GENERATION SURFACE SEARCH RADAR (NGSSR) 0 - 1</t>
  </si>
  <si>
    <t>P-8a &gt; Carrier Replacement Program &gt; Electronics &gt; AN/SPS-73(V)18 NEXT GENERATION SURFACE SEARCH RADAR (NGSSR) 0 - 1</t>
  </si>
  <si>
    <t>AN/SPS-73(V)18 NEXT GENERATION SURFACE SEARCH RADAR (NGSSR)</t>
  </si>
  <si>
    <t>Carrier Replacement Program - P-8a Electronics - READY ROOM (JSF) MODIFICATIONS</t>
  </si>
  <si>
    <t>P-8a &gt; Carrier Replacement Program &gt; Electronics &gt; READY ROOM (JSF) MODIFICATIONS</t>
  </si>
  <si>
    <t>READY ROOM (JSF) MODIFICATIONS</t>
  </si>
  <si>
    <t>Carrier Replacement Program - P-8a Electronics - LITHIUM ION BATTERY HANDLING &amp; STORAGE</t>
  </si>
  <si>
    <t>P-8a &gt; Carrier Replacement Program &gt; Electronics &gt; LITHIUM ION BATTERY HANDLING &amp; STORAGE</t>
  </si>
  <si>
    <t>LITHIUM ION BATTERY HANDLING &amp; STORAGE</t>
  </si>
  <si>
    <t>Carrier Replacement Program - P-8a Electronics - OE-570G SATELLITE ANTENNA 0 - 1</t>
  </si>
  <si>
    <t>P-8a &gt; Carrier Replacement Program &gt; Electronics &gt; OE-570G SATELLITE ANTENNA 0 - 1</t>
  </si>
  <si>
    <t>OE-570G SATELLITE ANTENNA</t>
  </si>
  <si>
    <t>Carrier Replacement Program - P-8a Electronics - ELECTRONIC CHART DISPLAY AND INFORMATION SYSTEM, NAVY (ECDIS-N) 0 - 1</t>
  </si>
  <si>
    <t>P-8a &gt; Carrier Replacement Program &gt; Electronics &gt; ELECTRONIC CHART DISPLAY AND INFORMATION SYSTEM, NAVY (ECDIS-N) 0 - 1</t>
  </si>
  <si>
    <t>ELECTRONIC CHART DISPLAY AND INFORMATION SYSTEM, NAVY (ECDIS-N)</t>
  </si>
  <si>
    <t>Carrier Replacement Program - P-8a Electronics - I-STALKER 1</t>
  </si>
  <si>
    <t>P-8a &gt; Carrier Replacement Program &gt; Electronics &gt; I-STALKER 1</t>
  </si>
  <si>
    <t>Carrier Replacement Program - P-8a Electronics - ENVIRONMENTAL SATELLITE RECEIVER PROGRAM (ESRP) 0 - 1</t>
  </si>
  <si>
    <t>P-8a &gt; Carrier Replacement Program &gt; Electronics &gt; ENVIRONMENTAL SATELLITE RECEIVER PROGRAM (ESRP) 0 - 1</t>
  </si>
  <si>
    <t>ENVIRONMENTAL SATELLITE RECEIVER PROGRAM (ESRP)</t>
  </si>
  <si>
    <t>Carrier Replacement Program - P-8a Electronics - EQUIPMENT (DTEE) 0 - 1</t>
  </si>
  <si>
    <t>P-8a &gt; Carrier Replacement Program &gt; Electronics &gt; EQUIPMENT (DTEE) 0 - 1</t>
  </si>
  <si>
    <t>Carrier Replacement Program - P-8a Electronics - Other ELECTRONICS</t>
  </si>
  <si>
    <t>P-8a &gt; Carrier Replacement Program &gt; Electronics &gt; Other ELECTRONICS</t>
  </si>
  <si>
    <t>Other ELECTRONICS</t>
  </si>
  <si>
    <t>Carrier Replacement Program - P-8a  - Increase of $</t>
  </si>
  <si>
    <t>P-8a &gt; Carrier Replacement Program &gt;  &gt; Increase of $</t>
  </si>
  <si>
    <t>80</t>
  </si>
  <si>
    <t>Carrier Replacement Program - P-8a  - Decrease from the FY 2025 budget submission due to FY 2024 enacted Congressional Reduction of ($</t>
  </si>
  <si>
    <t>P-8a &gt; Carrier Replacement Program &gt;  &gt; Decrease from the FY 2025 budget submission due to FY 2024 enacted Congressional Reduction of ($</t>
  </si>
  <si>
    <t>Carrier Replacement Program - P-8a Hull, Mechanical, and Electrical - HM&amp;E ENGINEERING SERVICES</t>
  </si>
  <si>
    <t>P-8a &gt; Carrier Replacement Program &gt; Hull, Mechanical, and Electrical &gt; HM&amp;E ENGINEERING SERVICES</t>
  </si>
  <si>
    <t>81</t>
  </si>
  <si>
    <t>HM&amp;E ENGINEERING SERVICES</t>
  </si>
  <si>
    <t>Carrier Replacement Program - P-8a Hull, Mechanical, and Electrical - LIFE RAFTS</t>
  </si>
  <si>
    <t>P-8a &gt; Carrier Replacement Program &gt; Hull, Mechanical, and Electrical &gt; LIFE RAFTS</t>
  </si>
  <si>
    <t>LIFE RAFTS</t>
  </si>
  <si>
    <t>Carrier Replacement Program - P-8a Hull, Mechanical, and Electrical - SUPSHIP MATERIAL AND GFE</t>
  </si>
  <si>
    <t>P-8a &gt; Carrier Replacement Program &gt; Hull, Mechanical, and Electrical &gt; SUPSHIP MATERIAL AND GFE</t>
  </si>
  <si>
    <t>SUPSHIP MATERIAL AND GFE</t>
  </si>
  <si>
    <t>Carrier Replacement Program - P-8a Hull, Mechanical, and Electrical - TRUCKS (FORKLIFTS) -</t>
  </si>
  <si>
    <t>P-8a &gt; Carrier Replacement Program &gt; Hull, Mechanical, and Electrical &gt; TRUCKS (FORKLIFTS) -</t>
  </si>
  <si>
    <t>TRUCKS (FORKLIFTS)</t>
  </si>
  <si>
    <t>Carrier Replacement Program - P-8a Hull, Mechanical, and Electrical - Other HM&amp;E</t>
  </si>
  <si>
    <t>P-8a &gt; Carrier Replacement Program &gt; Hull, Mechanical, and Electrical &gt; Other HM&amp;E</t>
  </si>
  <si>
    <t>Other HM&amp;E</t>
  </si>
  <si>
    <t>Carrier Replacement Program - P-8a Ordnance - ELECTROMAGNETIC AIRCRAFT LAUNCHING SYSTEM (EMALS) 1</t>
  </si>
  <si>
    <t>P-8a &gt; Carrier Replacement Program &gt; Ordnance &gt; ELECTROMAGNETIC AIRCRAFT LAUNCHING SYSTEM (EMALS) 1</t>
  </si>
  <si>
    <t>82</t>
  </si>
  <si>
    <t>ELECTROMAGNETIC AIRCRAFT LAUNCHING SYSTEM (EMALS)</t>
  </si>
  <si>
    <t>Carrier Replacement Program - P-8a Ordnance - AN/SPY-6(V)3 ENTERPRISE AIR SURVEILLANCE RADAR (EASR) 1</t>
  </si>
  <si>
    <t>P-8a &gt; Carrier Replacement Program &gt; Ordnance &gt; AN/SPY-6(V)3 ENTERPRISE AIR SURVEILLANCE RADAR (EASR) 1</t>
  </si>
  <si>
    <t>AN/SPY-6(V)3 ENTERPRISE AIR SURVEILLANCE RADAR (EASR)</t>
  </si>
  <si>
    <t>Carrier Replacement Program - P-8a Ordnance - ADVANCED ARRESTING GEAR (AAG) 1</t>
  </si>
  <si>
    <t>P-8a &gt; Carrier Replacement Program &gt; Ordnance &gt; ADVANCED ARRESTING GEAR (AAG) 1</t>
  </si>
  <si>
    <t>ADVANCED ARRESTING GEAR (AAG)</t>
  </si>
  <si>
    <t>Carrier Replacement Program - P-8a Ordnance - PHALANX BLOCK 1B MK 15 MOD 21 &amp; 22, CLOSE - IN WEAPONS SYSTEM (CIWS) 3</t>
  </si>
  <si>
    <t>P-8a &gt; Carrier Replacement Program &gt; Ordnance &gt; PHALANX BLOCK 1B MK 15 MOD 21 &amp; 22, CLOSE - IN WEAPONS SYSTEM (CIWS) 3</t>
  </si>
  <si>
    <t>Carrier Replacement Program - P-8a Ordnance - AN/SQQ-34, CARRIER-TACTICAL SUPPORT CENTER (CV-TSC) 1</t>
  </si>
  <si>
    <t>P-8a &gt; Carrier Replacement Program &gt; Ordnance &gt; AN/SQQ-34, CARRIER-TACTICAL SUPPORT CENTER (CV-TSC) 1</t>
  </si>
  <si>
    <t>AN/SQQ-34, CARRIER-TACTICAL SUPPORT CENTER (CV-TSC)</t>
  </si>
  <si>
    <t>Carrier Replacement Program - P-8a Ordnance - MK-57 NATO SEASPARROW MISSILE SYSTEM (NSSMS) 1</t>
  </si>
  <si>
    <t>P-8a &gt; Carrier Replacement Program &gt; Ordnance &gt; MK-57 NATO SEASPARROW MISSILE SYSTEM (NSSMS) 1</t>
  </si>
  <si>
    <t>MK-57 NATO SEASPARROW MISSILE SYSTEM (NSSMS)</t>
  </si>
  <si>
    <t>Carrier Replacement Program - P-8a Ordnance - AVIATION DATA MANAGEMENT AND CONTROL SYSTEM (ADMACS) 1</t>
  </si>
  <si>
    <t>P-8a &gt; Carrier Replacement Program &gt; Ordnance &gt; AVIATION DATA MANAGEMENT AND CONTROL SYSTEM (ADMACS) 1</t>
  </si>
  <si>
    <t>AVIATION DATA MANAGEMENT AND CONTROL SYSTEM (ADMACS)</t>
  </si>
  <si>
    <t>Carrier Replacement Program - P-8a Ordnance - MK 49, MOD 5 ROLLING AIRFRAME MISSILE (RAM) 2</t>
  </si>
  <si>
    <t>P-8a &gt; Carrier Replacement Program &gt; Ordnance &gt; MK 49, MOD 5 ROLLING AIRFRAME MISSILE (RAM) 2</t>
  </si>
  <si>
    <t>MK 49, MOD 5 ROLLING AIRFRAME MISSILE (RAM)</t>
  </si>
  <si>
    <t>Carrier Replacement Program - P-8a Ordnance - TRACKING RADAR 1</t>
  </si>
  <si>
    <t>P-8a &gt; Carrier Replacement Program &gt; Ordnance &gt; TRACKING RADAR 1</t>
  </si>
  <si>
    <t>Carrier Replacement Program - P-8a Ordnance - IMPROVED FRESNEL LENS OPTICAL LANDING SYSTEM (IFLOLS) 0 - 1</t>
  </si>
  <si>
    <t>P-8a &gt; Carrier Replacement Program &gt; Ordnance &gt; IMPROVED FRESNEL LENS OPTICAL LANDING SYSTEM (IFLOLS) 0 - 1</t>
  </si>
  <si>
    <t>IMPROVED FRESNEL LENS OPTICAL LANDING SYSTEM (IFLOLS)</t>
  </si>
  <si>
    <t>Carrier Replacement Program - P-8a Ordnance - INTEGRATED LAUNCH AND RECOVERY TELEVISION SYSTEM (ILARTS) 0 - 1</t>
  </si>
  <si>
    <t>P-8a &gt; Carrier Replacement Program &gt; Ordnance &gt; INTEGRATED LAUNCH AND RECOVERY TELEVISION SYSTEM (ILARTS) 0 - 1</t>
  </si>
  <si>
    <t>INTEGRATED LAUNCH AND RECOVERY TELEVISION SYSTEM (ILARTS)</t>
  </si>
  <si>
    <t>Carrier Replacement Program - P-8a Ordnance - UNMANNED AVIATION WARFARE CENTER (UAWC) 0 - 1</t>
  </si>
  <si>
    <t>P-8a &gt; Carrier Replacement Program &gt; Ordnance &gt; UNMANNED AVIATION WARFARE CENTER (UAWC) 0 - 1</t>
  </si>
  <si>
    <t>UNMANNED AVIATION WARFARE CENTER (UAWC)</t>
  </si>
  <si>
    <t>Carrier Replacement Program - P-8a Ordnance - LANDING SIGNAL OFFICER DISPLAY SYSTEM (LSODS) 1</t>
  </si>
  <si>
    <t>P-8a &gt; Carrier Replacement Program &gt; Ordnance &gt; LANDING SIGNAL OFFICER DISPLAY SYSTEM (LSODS) 1</t>
  </si>
  <si>
    <t>LANDING SIGNAL OFFICER DISPLAY SYSTEM (LSODS)</t>
  </si>
  <si>
    <t>Carrier Replacement Program - P-8a Ordnance - MORIAH BLOCK 2 1</t>
  </si>
  <si>
    <t>P-8a &gt; Carrier Replacement Program &gt; Ordnance &gt; MORIAH BLOCK 2 1</t>
  </si>
  <si>
    <t>MORIAH BLOCK 2</t>
  </si>
  <si>
    <t>Carrier Replacement Program - P-8a Ordnance - LONG RANGE LINEUP SYSTEM (LRLS) 1</t>
  </si>
  <si>
    <t>P-8a &gt; Carrier Replacement Program &gt; Ordnance &gt; LONG RANGE LINEUP SYSTEM (LRLS) 1</t>
  </si>
  <si>
    <t>LONG RANGE LINEUP SYSTEM (LRLS)</t>
  </si>
  <si>
    <t>Carrier Replacement Program - P-8a Ordnance - IMPROVED FRESNEL LENS OPTICAL LANDING SYSTEM (IFLOLS) 1</t>
  </si>
  <si>
    <t>P-8a &gt; Carrier Replacement Program &gt; Ordnance &gt; IMPROVED FRESNEL LENS OPTICAL LANDING SYSTEM (IFLOLS) 1</t>
  </si>
  <si>
    <t>Carrier Replacement Program - P-8a Ordnance - INTEGRATED LAUNCH AND RECOVERY TELEVISION SYSTEM (ILARTS) 1</t>
  </si>
  <si>
    <t>P-8a &gt; Carrier Replacement Program &gt; Ordnance &gt; INTEGRATED LAUNCH AND RECOVERY TELEVISION SYSTEM (ILARTS) 1</t>
  </si>
  <si>
    <t>Carrier Replacement Program - P-8a Ordnance - COMPACT SWAGING MACHINE (CSM) 2</t>
  </si>
  <si>
    <t>P-8a &gt; Carrier Replacement Program &gt; Ordnance &gt; COMPACT SWAGING MACHINE (CSM) 2</t>
  </si>
  <si>
    <t>COMPACT SWAGING MACHINE (CSM)</t>
  </si>
  <si>
    <t>Carrier Replacement Program - P-8a Ordnance - JOINT STRIKE FIGHTER ALIS 1</t>
  </si>
  <si>
    <t>P-8a &gt; Carrier Replacement Program &gt; Ordnance &gt; JOINT STRIKE FIGHTER ALIS 1</t>
  </si>
  <si>
    <t>JOINT STRIKE FIGHTER ALIS</t>
  </si>
  <si>
    <t>Carrier Replacement Program - P-8a Ordnance - MK-38 MOD 3 MACHINE GUN SYSTEM (MGS) 0 - 4</t>
  </si>
  <si>
    <t>P-8a &gt; Carrier Replacement Program &gt; Ordnance &gt; MK-38 MOD 3 MACHINE GUN SYSTEM (MGS) 0 - 4</t>
  </si>
  <si>
    <t>MK-38 MOD 3 MACHINE GUN SYSTEM (MGS)</t>
  </si>
  <si>
    <t>Carrier Replacement Program - P-8a Ordnance - MANUALLY OPERATED VISUAL LANDING AID SYSTEM (MOVLAS) 0 - 1</t>
  </si>
  <si>
    <t>P-8a &gt; Carrier Replacement Program &gt; Ordnance &gt; MANUALLY OPERATED VISUAL LANDING AID SYSTEM (MOVLAS) 0 - 1</t>
  </si>
  <si>
    <t>MANUALLY OPERATED VISUAL LANDING AID SYSTEM (MOVLAS)</t>
  </si>
  <si>
    <t>Carrier Replacement Program - P-8a Ordnance - CMBRE) - MAGAZINE OPERATIONS (MAGOPS) 0 - 1</t>
  </si>
  <si>
    <t>P-8a &gt; Carrier Replacement Program &gt; Ordnance &gt; CMBRE) - MAGAZINE OPERATIONS (MAGOPS) 0 - 1</t>
  </si>
  <si>
    <t>Carrier Replacement Program - P-8a Ordnance - DUAL BAND RADAR (DBR) (SPY-3 AND VOLUME SEARCH RADAR (VSR))</t>
  </si>
  <si>
    <t>P-8a &gt; Carrier Replacement Program &gt; Ordnance &gt; DUAL BAND RADAR (DBR) (SPY-3 AND VOLUME SEARCH RADAR (VSR))</t>
  </si>
  <si>
    <t>DUAL BAND RADAR (DBR) (SPY-3 AND VOLUME SEARCH RADAR (VSR))</t>
  </si>
  <si>
    <t>Carrier Replacement Program - P-8a Ordnance - Other ORDNANCE</t>
  </si>
  <si>
    <t>P-8a &gt; Carrier Replacement Program &gt; Ordnance &gt; Other ORDNANCE</t>
  </si>
  <si>
    <t>Other ORDNANCE</t>
  </si>
  <si>
    <t>Carrier Replacement Program - P-8a Ordnance - Ordnance: Total increase of $</t>
  </si>
  <si>
    <t>P-8a &gt; Carrier Replacement Program &gt; Ordnance &gt; Ordnance: Total increase of $</t>
  </si>
  <si>
    <t>83</t>
  </si>
  <si>
    <t>Carrier Replacement Program - P-35 CONSOLIDATED AFLOAT NETWORK AND ENTERPRISE SERVICES (CANES) - Major Hardware                                                                                                  1</t>
  </si>
  <si>
    <t>P-35 &gt; Carrier Replacement Program &gt; CONSOLIDATED AFLOAT NETWORK AND ENTERPRISE SERVICES (CANES) &gt; Major Hardware                                                                                                  1</t>
  </si>
  <si>
    <t>84</t>
  </si>
  <si>
    <t>Carrier Replacement Program - P-35 CONSOLIDATED AFLOAT NETWORK AND ENTERPRISE SERVICES (CANES) - Technical Data and Documentation</t>
  </si>
  <si>
    <t>P-35 &gt; Carrier Replacement Program &gt; CONSOLIDATED AFLOAT NETWORK AND ENTERPRISE SERVICES (CANES) &gt; Technical Data and Documentation</t>
  </si>
  <si>
    <t>Carrier Replacement Program - P-35 CONSOLIDATED AFLOAT NETWORK AND ENTERPRISE SERVICES (CANES) - Spares</t>
  </si>
  <si>
    <t>P-35 &gt; Carrier Replacement Program &gt; CONSOLIDATED AFLOAT NETWORK AND ENTERPRISE SERVICES (CANES) &gt; Spares</t>
  </si>
  <si>
    <t>Carrier Replacement Program - P-35 CONSOLIDATED AFLOAT NETWORK AND ENTERPRISE SERVICES (CANES) - System Engineering</t>
  </si>
  <si>
    <t>P-35 &gt; Carrier Replacement Program &gt; CONSOLIDATED AFLOAT NETWORK AND ENTERPRISE SERVICES (CANES) &gt; System Engineering</t>
  </si>
  <si>
    <t>Carrier Replacement Program - P-35 CONSOLIDATED AFLOAT NETWORK AND ENTERPRISE SERVICES (CANES) - Technical Engineering Services</t>
  </si>
  <si>
    <t>P-35 &gt; Carrier Replacement Program &gt; CONSOLIDATED AFLOAT NETWORK AND ENTERPRISE SERVICES (CANES) &gt; Technical Engineering Services</t>
  </si>
  <si>
    <t>Carrier Replacement Program - P-35 CONSOLIDATED AFLOAT NETWORK AND ENTERPRISE SERVICES (CANES) - Other Costs</t>
  </si>
  <si>
    <t>P-35 &gt; Carrier Replacement Program &gt; CONSOLIDATED AFLOAT NETWORK AND ENTERPRISE SERVICES (CANES) &gt; Other Costs</t>
  </si>
  <si>
    <t>Carrier Replacement Program - P-35 AN/USG-2, COOPERATIVE ENGAGEMENT CAPABILITY (CEC) - Major Hardware                                                                                                    1</t>
  </si>
  <si>
    <t>P-35 &gt; Carrier Replacement Program &gt; AN/USG-2, COOPERATIVE ENGAGEMENT CAPABILITY (CEC) &gt; Major Hardware                                                                                                    1</t>
  </si>
  <si>
    <t>85</t>
  </si>
  <si>
    <t>Carrier Replacement Program - P-35 AN/USG-2, COOPERATIVE ENGAGEMENT CAPABILITY (CEC) - Spares</t>
  </si>
  <si>
    <t>P-35 &gt; Carrier Replacement Program &gt; AN/USG-2, COOPERATIVE ENGAGEMENT CAPABILITY (CEC) &gt; Spares</t>
  </si>
  <si>
    <t>Carrier Replacement Program - P-35 AN/USG-2, COOPERATIVE ENGAGEMENT CAPABILITY (CEC) - System Engineering</t>
  </si>
  <si>
    <t>P-35 &gt; Carrier Replacement Program &gt; AN/USG-2, COOPERATIVE ENGAGEMENT CAPABILITY (CEC) &gt; System Engineering</t>
  </si>
  <si>
    <t>Carrier Replacement Program - P-35 AN/USG-2, COOPERATIVE ENGAGEMENT CAPABILITY (CEC) - Technical Engineering Services</t>
  </si>
  <si>
    <t>P-35 &gt; Carrier Replacement Program &gt; AN/USG-2, COOPERATIVE ENGAGEMENT CAPABILITY (CEC) &gt; Technical Engineering Services</t>
  </si>
  <si>
    <t>Carrier Replacement Program - P-35 AN/USG-2, COOPERATIVE ENGAGEMENT CAPABILITY (CEC) - Other Costs</t>
  </si>
  <si>
    <t>P-35 &gt; Carrier Replacement Program &gt; AN/USG-2, COOPERATIVE ENGAGEMENT CAPABILITY (CEC) &gt; Other Costs</t>
  </si>
  <si>
    <t>Carrier Replacement Program - P-35 DIGITAL MODULAR RADIO (DMR) ULTRA HIGH FREQUENCY/VERY HIGH FREQUENCY LINE OF PARM Code: PMW 170 - Major Hardware                                                                                          1</t>
  </si>
  <si>
    <t>P-35 &gt; Carrier Replacement Program &gt; DIGITAL MODULAR RADIO (DMR) ULTRA HIGH FREQUENCY/VERY HIGH FREQUENCY LINE OF PARM Code: PMW 170 &gt; Major Hardware                                                                                          1</t>
  </si>
  <si>
    <t>86</t>
  </si>
  <si>
    <t>Carrier Replacement Program - P-35 DIGITAL MODULAR RADIO (DMR) ULTRA HIGH FREQUENCY/VERY HIGH FREQUENCY LINE OF PARM Code: PMW 170 - Ancillary Equipment</t>
  </si>
  <si>
    <t>P-35 &gt; Carrier Replacement Program &gt; DIGITAL MODULAR RADIO (DMR) ULTRA HIGH FREQUENCY/VERY HIGH FREQUENCY LINE OF PARM Code: PMW 170 &gt; Ancillary Equipment</t>
  </si>
  <si>
    <t>Carrier Replacement Program - P-35 DIGITAL MODULAR RADIO (DMR) ULTRA HIGH FREQUENCY/VERY HIGH FREQUENCY LINE OF PARM Code: PMW 170 - Spares</t>
  </si>
  <si>
    <t>P-35 &gt; Carrier Replacement Program &gt; DIGITAL MODULAR RADIO (DMR) ULTRA HIGH FREQUENCY/VERY HIGH FREQUENCY LINE OF PARM Code: PMW 170 &gt; Spares</t>
  </si>
  <si>
    <t>Carrier Replacement Program - P-35 DIGITAL MODULAR RADIO (DMR) ULTRA HIGH FREQUENCY/VERY HIGH FREQUENCY LINE OF PARM Code: PMW 170 - System Engineering</t>
  </si>
  <si>
    <t>P-35 &gt; Carrier Replacement Program &gt; DIGITAL MODULAR RADIO (DMR) ULTRA HIGH FREQUENCY/VERY HIGH FREQUENCY LINE OF PARM Code: PMW 170 &gt; System Engineering</t>
  </si>
  <si>
    <t>Carrier Replacement Program - P-35 DIGITAL MODULAR RADIO (DMR) ULTRA HIGH FREQUENCY/VERY HIGH FREQUENCY LINE OF PARM Code: PMW 170 - Technical Engineering Services</t>
  </si>
  <si>
    <t>P-35 &gt; Carrier Replacement Program &gt; DIGITAL MODULAR RADIO (DMR) ULTRA HIGH FREQUENCY/VERY HIGH FREQUENCY LINE OF PARM Code: PMW 170 &gt; Technical Engineering Services</t>
  </si>
  <si>
    <t>Carrier Replacement Program - P-35 DIGITAL MODULAR RADIO (DMR) ULTRA HIGH FREQUENCY/VERY HIGH FREQUENCY LINE OF PARM Code: PMW 170 - Other Costs</t>
  </si>
  <si>
    <t>P-35 &gt; Carrier Replacement Program &gt; DIGITAL MODULAR RADIO (DMR) ULTRA HIGH FREQUENCY/VERY HIGH FREQUENCY LINE OF PARM Code: PMW 170 &gt; Other Costs</t>
  </si>
  <si>
    <t>Carrier Replacement Program - P-35 AN/UPX-29(V), INTERROGATOR FRIEND OR FOE (IFF) W/MK XII - Major Hardware                                                                                                    1</t>
  </si>
  <si>
    <t>P-35 &gt; Carrier Replacement Program &gt; AN/UPX-29(V), INTERROGATOR FRIEND OR FOE (IFF) W/MK XII &gt; Major Hardware                                                                                                    1</t>
  </si>
  <si>
    <t>87</t>
  </si>
  <si>
    <t>Carrier Replacement Program - P-35 AN/UPX-29(V), INTERROGATOR FRIEND OR FOE (IFF) W/MK XII - Ancillary Equipment</t>
  </si>
  <si>
    <t>P-35 &gt; Carrier Replacement Program &gt; AN/UPX-29(V), INTERROGATOR FRIEND OR FOE (IFF) W/MK XII &gt; Ancillary Equipment</t>
  </si>
  <si>
    <t>Carrier Replacement Program - P-35 AN/UPX-29(V), INTERROGATOR FRIEND OR FOE (IFF) W/MK XII - Technical Data and Documentation</t>
  </si>
  <si>
    <t>P-35 &gt; Carrier Replacement Program &gt; AN/UPX-29(V), INTERROGATOR FRIEND OR FOE (IFF) W/MK XII &gt; Technical Data and Documentation</t>
  </si>
  <si>
    <t>Carrier Replacement Program - P-35 AN/UPX-29(V), INTERROGATOR FRIEND OR FOE (IFF) W/MK XII - Spares</t>
  </si>
  <si>
    <t>P-35 &gt; Carrier Replacement Program &gt; AN/UPX-29(V), INTERROGATOR FRIEND OR FOE (IFF) W/MK XII &gt; Spares</t>
  </si>
  <si>
    <t>Carrier Replacement Program - P-35 AN/UPX-29(V), INTERROGATOR FRIEND OR FOE (IFF) W/MK XII - System Engineering</t>
  </si>
  <si>
    <t>P-35 &gt; Carrier Replacement Program &gt; AN/UPX-29(V), INTERROGATOR FRIEND OR FOE (IFF) W/MK XII &gt; System Engineering</t>
  </si>
  <si>
    <t>Carrier Replacement Program - P-35 AN/UPX-29(V), INTERROGATOR FRIEND OR FOE (IFF) W/MK XII - Technical Engineering Services</t>
  </si>
  <si>
    <t>P-35 &gt; Carrier Replacement Program &gt; AN/UPX-29(V), INTERROGATOR FRIEND OR FOE (IFF) W/MK XII &gt; Technical Engineering Services</t>
  </si>
  <si>
    <t>Carrier Replacement Program - P-35 AN/UPX-29(V), INTERROGATOR FRIEND OR FOE (IFF) W/MK XII - Other Costs</t>
  </si>
  <si>
    <t>P-35 &gt; Carrier Replacement Program &gt; AN/UPX-29(V), INTERROGATOR FRIEND OR FOE (IFF) W/MK XII &gt; Other Costs</t>
  </si>
  <si>
    <t>Carrier Replacement Program - P-35 SPN-46, AUTOMATIC CARRIER LANDING SYSTEM - Major Hardware                                                                                                    1</t>
  </si>
  <si>
    <t>P-35 &gt; Carrier Replacement Program &gt; SPN-46, AUTOMATIC CARRIER LANDING SYSTEM &gt; Major Hardware                                                                                                    1</t>
  </si>
  <si>
    <t>88</t>
  </si>
  <si>
    <t>Carrier Replacement Program - P-35 SPN-46, AUTOMATIC CARRIER LANDING SYSTEM - System Engineering</t>
  </si>
  <si>
    <t>P-35 &gt; Carrier Replacement Program &gt; SPN-46, AUTOMATIC CARRIER LANDING SYSTEM &gt; System Engineering</t>
  </si>
  <si>
    <t>Carrier Replacement Program - P-35 SPN-46, AUTOMATIC CARRIER LANDING SYSTEM - Technical Engineering Services</t>
  </si>
  <si>
    <t>P-35 &gt; Carrier Replacement Program &gt; SPN-46, AUTOMATIC CARRIER LANDING SYSTEM &gt; Technical Engineering Services</t>
  </si>
  <si>
    <t>Carrier Replacement Program - P-35 SPN-46, AUTOMATIC CARRIER LANDING SYSTEM - Other Costs</t>
  </si>
  <si>
    <t>P-35 &gt; Carrier Replacement Program &gt; SPN-46, AUTOMATIC CARRIER LANDING SYSTEM &gt; Other Costs</t>
  </si>
  <si>
    <t>Carrier Replacement Program - P-35 SHIP SELF DEFENSE SYSTEM (SSDS) - Major Hardware                                                                                                1</t>
  </si>
  <si>
    <t>P-35 &gt; Carrier Replacement Program &gt; SHIP SELF DEFENSE SYSTEM (SSDS) &gt; Major Hardware                                                                                                1</t>
  </si>
  <si>
    <t>89</t>
  </si>
  <si>
    <t>Carrier Replacement Program - P-35 SHIP SELF DEFENSE SYSTEM (SSDS) - Technical Data and Documentation</t>
  </si>
  <si>
    <t>P-35 &gt; Carrier Replacement Program &gt; SHIP SELF DEFENSE SYSTEM (SSDS) &gt; Technical Data and Documentation</t>
  </si>
  <si>
    <t>Carrier Replacement Program - P-35 SHIP SELF DEFENSE SYSTEM (SSDS) - Spares</t>
  </si>
  <si>
    <t>P-35 &gt; Carrier Replacement Program &gt; SHIP SELF DEFENSE SYSTEM (SSDS) &gt; Spares</t>
  </si>
  <si>
    <t>Carrier Replacement Program - P-35 SHIP SELF DEFENSE SYSTEM (SSDS) - System Engineering</t>
  </si>
  <si>
    <t>P-35 &gt; Carrier Replacement Program &gt; SHIP SELF DEFENSE SYSTEM (SSDS) &gt; System Engineering</t>
  </si>
  <si>
    <t>Carrier Replacement Program - P-35 SHIP SELF DEFENSE SYSTEM (SSDS) - Technical Engineering Services</t>
  </si>
  <si>
    <t>P-35 &gt; Carrier Replacement Program &gt; SHIP SELF DEFENSE SYSTEM (SSDS) &gt; Technical Engineering Services</t>
  </si>
  <si>
    <t>Carrier Replacement Program - P-35 SHIP SELF DEFENSE SYSTEM (SSDS) - Other Costs</t>
  </si>
  <si>
    <t>P-35 &gt; Carrier Replacement Program &gt; SHIP SELF DEFENSE SYSTEM (SSDS) &gt; Other Costs</t>
  </si>
  <si>
    <t>Carrier Replacement Program - P-35 AN/SYY-1(V)1 AIR TRAFFIC CONTROL SYSTEM, SHIPBOARD - Major Hardware                                                                                                  1</t>
  </si>
  <si>
    <t>P-35 &gt; Carrier Replacement Program &gt; AN/SYY-1(V)1 AIR TRAFFIC CONTROL SYSTEM, SHIPBOARD &gt; Major Hardware                                                                                                  1</t>
  </si>
  <si>
    <t>90</t>
  </si>
  <si>
    <t>Carrier Replacement Program - P-35 AN/SYY-1(V)1 AIR TRAFFIC CONTROL SYSTEM, SHIPBOARD - Spares</t>
  </si>
  <si>
    <t>P-35 &gt; Carrier Replacement Program &gt; AN/SYY-1(V)1 AIR TRAFFIC CONTROL SYSTEM, SHIPBOARD &gt; Spares</t>
  </si>
  <si>
    <t>Carrier Replacement Program - P-35 AN/SYY-1(V)1 AIR TRAFFIC CONTROL SYSTEM, SHIPBOARD - System Engineering</t>
  </si>
  <si>
    <t>P-35 &gt; Carrier Replacement Program &gt; AN/SYY-1(V)1 AIR TRAFFIC CONTROL SYSTEM, SHIPBOARD &gt; System Engineering</t>
  </si>
  <si>
    <t>Carrier Replacement Program - P-35 AN/SYY-1(V)1 AIR TRAFFIC CONTROL SYSTEM, SHIPBOARD - Technical Engineering Services</t>
  </si>
  <si>
    <t>P-35 &gt; Carrier Replacement Program &gt; AN/SYY-1(V)1 AIR TRAFFIC CONTROL SYSTEM, SHIPBOARD &gt; Technical Engineering Services</t>
  </si>
  <si>
    <t>Carrier Replacement Program - P-35 AN/SYY-1(V)1 AIR TRAFFIC CONTROL SYSTEM, SHIPBOARD - Other Costs</t>
  </si>
  <si>
    <t>P-35 &gt; Carrier Replacement Program &gt; AN/SYY-1(V)1 AIR TRAFFIC CONTROL SYSTEM, SHIPBOARD &gt; Other Costs</t>
  </si>
  <si>
    <t>Carrier Replacement Program - P-35 NAVY MULTI-BAND TERMINAL (NMT) - Major Hardware                                                                                               1</t>
  </si>
  <si>
    <t>P-35 &gt; Carrier Replacement Program &gt; NAVY MULTI-BAND TERMINAL (NMT) &gt; Major Hardware                                                                                               1</t>
  </si>
  <si>
    <t>91</t>
  </si>
  <si>
    <t>Carrier Replacement Program - P-35 NAVY MULTI-BAND TERMINAL (NMT) - Ancillary Equipment</t>
  </si>
  <si>
    <t>P-35 &gt; Carrier Replacement Program &gt; NAVY MULTI-BAND TERMINAL (NMT) &gt; Ancillary Equipment</t>
  </si>
  <si>
    <t>Carrier Replacement Program - P-35 NAVY MULTI-BAND TERMINAL (NMT) - Spares                                                                                                                                      -</t>
  </si>
  <si>
    <t>P-35 &gt; Carrier Replacement Program &gt; NAVY MULTI-BAND TERMINAL (NMT) &gt; Spares                                                                                                                                      -</t>
  </si>
  <si>
    <t>Carrier Replacement Program - P-35 NAVY MULTI-BAND TERMINAL (NMT) - System Engineering</t>
  </si>
  <si>
    <t>P-35 &gt; Carrier Replacement Program &gt; NAVY MULTI-BAND TERMINAL (NMT) &gt; System Engineering</t>
  </si>
  <si>
    <t>Carrier Replacement Program - P-35 NAVY MULTI-BAND TERMINAL (NMT) - Technical Engineering Services</t>
  </si>
  <si>
    <t>P-35 &gt; Carrier Replacement Program &gt; NAVY MULTI-BAND TERMINAL (NMT) &gt; Technical Engineering Services</t>
  </si>
  <si>
    <t>Carrier Replacement Program - P-35 NAVY MULTI-BAND TERMINAL (NMT) - Other Costs</t>
  </si>
  <si>
    <t>P-35 &gt; Carrier Replacement Program &gt; NAVY MULTI-BAND TERMINAL (NMT) &gt; Other Costs</t>
  </si>
  <si>
    <t>Carrier Replacement Program - P-35 AN/SLQ-32(V)6, SURFACE ELECTRONIC WARFARE IMPROVEMENT PROGRAM (SEWIP) BLOCK PARM Code: PEO IWS 2E - Major Hardware                                                                                                 1</t>
  </si>
  <si>
    <t>P-35 &gt; Carrier Replacement Program &gt; AN/SLQ-32(V)6, SURFACE ELECTRONIC WARFARE IMPROVEMENT PROGRAM (SEWIP) BLOCK PARM Code: PEO IWS 2E &gt; Major Hardware                                                                                                 1</t>
  </si>
  <si>
    <t>92</t>
  </si>
  <si>
    <t>Carrier Replacement Program - P-35 AN/SLQ-32(V)6, SURFACE ELECTRONIC WARFARE IMPROVEMENT PROGRAM (SEWIP) BLOCK PARM Code: PEO IWS 2E - Ancillary Equipment</t>
  </si>
  <si>
    <t>P-35 &gt; Carrier Replacement Program &gt; AN/SLQ-32(V)6, SURFACE ELECTRONIC WARFARE IMPROVEMENT PROGRAM (SEWIP) BLOCK PARM Code: PEO IWS 2E &gt; Ancillary Equipment</t>
  </si>
  <si>
    <t>Carrier Replacement Program - P-35 AN/SLQ-32(V)6, SURFACE ELECTRONIC WARFARE IMPROVEMENT PROGRAM (SEWIP) BLOCK PARM Code: PEO IWS 2E - Spares</t>
  </si>
  <si>
    <t>P-35 &gt; Carrier Replacement Program &gt; AN/SLQ-32(V)6, SURFACE ELECTRONIC WARFARE IMPROVEMENT PROGRAM (SEWIP) BLOCK PARM Code: PEO IWS 2E &gt; Spares</t>
  </si>
  <si>
    <t>Carrier Replacement Program - P-35 AN/SLQ-32(V)6, SURFACE ELECTRONIC WARFARE IMPROVEMENT PROGRAM (SEWIP) BLOCK PARM Code: PEO IWS 2E - System Engineering</t>
  </si>
  <si>
    <t>P-35 &gt; Carrier Replacement Program &gt; AN/SLQ-32(V)6, SURFACE ELECTRONIC WARFARE IMPROVEMENT PROGRAM (SEWIP) BLOCK PARM Code: PEO IWS 2E &gt; System Engineering</t>
  </si>
  <si>
    <t>Carrier Replacement Program - P-35 AN/SLQ-32(V)6, SURFACE ELECTRONIC WARFARE IMPROVEMENT PROGRAM (SEWIP) BLOCK PARM Code: PEO IWS 2E - Technical Engineering Services</t>
  </si>
  <si>
    <t>P-35 &gt; Carrier Replacement Program &gt; AN/SLQ-32(V)6, SURFACE ELECTRONIC WARFARE IMPROVEMENT PROGRAM (SEWIP) BLOCK PARM Code: PEO IWS 2E &gt; Technical Engineering Services</t>
  </si>
  <si>
    <t>Carrier Replacement Program - P-35 AN/SLQ-32(V)6, SURFACE ELECTRONIC WARFARE IMPROVEMENT PROGRAM (SEWIP) BLOCK PARM Code: PEO IWS 2E - Other Costs</t>
  </si>
  <si>
    <t>P-35 &gt; Carrier Replacement Program &gt; AN/SLQ-32(V)6, SURFACE ELECTRONIC WARFARE IMPROVEMENT PROGRAM (SEWIP) BLOCK PARM Code: PEO IWS 2E &gt; Other Costs</t>
  </si>
  <si>
    <t>Carrier Replacement Program - P-35 AN/SSQ-130(V)8, SHIP'S SIGNAL EXPLOITATION EQUIPMENT INCREMENT F - Major Hardware                                                                                                  1</t>
  </si>
  <si>
    <t>P-35 &gt; Carrier Replacement Program &gt; AN/SSQ-130(V)8, SHIP'S SIGNAL EXPLOITATION EQUIPMENT INCREMENT F &gt; Major Hardware                                                                                                  1</t>
  </si>
  <si>
    <t>93</t>
  </si>
  <si>
    <t>Carrier Replacement Program - P-35 AN/SSQ-130(V)8, SHIP'S SIGNAL EXPLOITATION EQUIPMENT INCREMENT F - Spares</t>
  </si>
  <si>
    <t>P-35 &gt; Carrier Replacement Program &gt; AN/SSQ-130(V)8, SHIP'S SIGNAL EXPLOITATION EQUIPMENT INCREMENT F &gt; Spares</t>
  </si>
  <si>
    <t>Carrier Replacement Program - P-35 AN/SSQ-130(V)8, SHIP'S SIGNAL EXPLOITATION EQUIPMENT INCREMENT F - System Engineering</t>
  </si>
  <si>
    <t>P-35 &gt; Carrier Replacement Program &gt; AN/SSQ-130(V)8, SHIP'S SIGNAL EXPLOITATION EQUIPMENT INCREMENT F &gt; System Engineering</t>
  </si>
  <si>
    <t>Carrier Replacement Program - P-35 AN/SSQ-130(V)8, SHIP'S SIGNAL EXPLOITATION EQUIPMENT INCREMENT F - Technical Engineering Services</t>
  </si>
  <si>
    <t>P-35 &gt; Carrier Replacement Program &gt; AN/SSQ-130(V)8, SHIP'S SIGNAL EXPLOITATION EQUIPMENT INCREMENT F &gt; Technical Engineering Services</t>
  </si>
  <si>
    <t>Carrier Replacement Program - P-35 AN/SSQ-130(V)8, SHIP'S SIGNAL EXPLOITATION EQUIPMENT INCREMENT F - Other Costs</t>
  </si>
  <si>
    <t>P-35 &gt; Carrier Replacement Program &gt; AN/SSQ-130(V)8, SHIP'S SIGNAL EXPLOITATION EQUIPMENT INCREMENT F &gt; Other Costs</t>
  </si>
  <si>
    <t>Carrier Replacement Program - P-35 AN/SRC-66 (V)3 HFDAG - Major Hardware                                                                                               1</t>
  </si>
  <si>
    <t>P-35 &gt; Carrier Replacement Program &gt; AN/SRC-66 (V)3 HFDAG &gt; Major Hardware                                                                                               1</t>
  </si>
  <si>
    <t>94</t>
  </si>
  <si>
    <t>Carrier Replacement Program - P-35 AN/SRC-66 (V)3 HFDAG - Spares</t>
  </si>
  <si>
    <t>P-35 &gt; Carrier Replacement Program &gt; AN/SRC-66 (V)3 HFDAG &gt; Spares</t>
  </si>
  <si>
    <t>Carrier Replacement Program - P-35 AN/SRC-66 (V)3 HFDAG - System Engineering</t>
  </si>
  <si>
    <t>P-35 &gt; Carrier Replacement Program &gt; AN/SRC-66 (V)3 HFDAG &gt; System Engineering</t>
  </si>
  <si>
    <t>Carrier Replacement Program - P-35 AN/SRC-66 (V)3 HFDAG - Technical Engineering Services</t>
  </si>
  <si>
    <t>P-35 &gt; Carrier Replacement Program &gt; AN/SRC-66 (V)3 HFDAG &gt; Technical Engineering Services</t>
  </si>
  <si>
    <t>Carrier Replacement Program - P-35 AN/SRC-66 (V)3 HFDAG - Other Costs</t>
  </si>
  <si>
    <t>P-35 &gt; Carrier Replacement Program &gt; AN/SRC-66 (V)3 HFDAG &gt; Other Costs</t>
  </si>
  <si>
    <t>Carrier Replacement Program - P-35 AN/USN-3(V)1 SATELLITE SIGNAL LANDING SYSTEM (SSLS) - Major Hardware                                                                                                  1</t>
  </si>
  <si>
    <t>P-35 &gt; Carrier Replacement Program &gt; AN/USN-3(V)1 SATELLITE SIGNAL LANDING SYSTEM (SSLS) &gt; Major Hardware                                                                                                  1</t>
  </si>
  <si>
    <t>95</t>
  </si>
  <si>
    <t>Carrier Replacement Program - P-35 AN/USN-3(V)1 SATELLITE SIGNAL LANDING SYSTEM (SSLS) - System Engineering</t>
  </si>
  <si>
    <t>P-35 &gt; Carrier Replacement Program &gt; AN/USN-3(V)1 SATELLITE SIGNAL LANDING SYSTEM (SSLS) &gt; System Engineering</t>
  </si>
  <si>
    <t>Carrier Replacement Program - P-35 AN/USN-3(V)1 SATELLITE SIGNAL LANDING SYSTEM (SSLS) - Technical Engineering Services</t>
  </si>
  <si>
    <t>P-35 &gt; Carrier Replacement Program &gt; AN/USN-3(V)1 SATELLITE SIGNAL LANDING SYSTEM (SSLS) &gt; Technical Engineering Services</t>
  </si>
  <si>
    <t>Carrier Replacement Program - P-35 AN/USN-3(V)1 SATELLITE SIGNAL LANDING SYSTEM (SSLS) - Other Costs</t>
  </si>
  <si>
    <t>P-35 &gt; Carrier Replacement Program &gt; AN/USN-3(V)1 SATELLITE SIGNAL LANDING SYSTEM (SSLS) &gt; Other Costs</t>
  </si>
  <si>
    <t>Carrier Replacement Program - P-35 ELECTRONIC CONSOLIDATED AUTOMATED SUPPORT SYSTEM (eCASS) - Major Hardware                                                                                                 1</t>
  </si>
  <si>
    <t>P-35 &gt; Carrier Replacement Program &gt; ELECTRONIC CONSOLIDATED AUTOMATED SUPPORT SYSTEM (eCASS) &gt; Major Hardware                                                                                                 1</t>
  </si>
  <si>
    <t>96</t>
  </si>
  <si>
    <t>Carrier Replacement Program - P-35 ELECTRONIC CONSOLIDATED AUTOMATED SUPPORT SYSTEM (eCASS) - Technical Engineering Services</t>
  </si>
  <si>
    <t>P-35 &gt; Carrier Replacement Program &gt; ELECTRONIC CONSOLIDATED AUTOMATED SUPPORT SYSTEM (eCASS) &gt; Technical Engineering Services</t>
  </si>
  <si>
    <t>Carrier Replacement Program - P-35 OA-9277 ULTRA HIGH FREQUENCY (UHF) MULTICOUPLER - Major Hardware                                                                                            0                             -                                 1</t>
  </si>
  <si>
    <t>P-35 &gt; Carrier Replacement Program &gt; OA-9277 ULTRA HIGH FREQUENCY (UHF) MULTICOUPLER &gt; Major Hardware                                                                                            0                             -                                 1</t>
  </si>
  <si>
    <t>97</t>
  </si>
  <si>
    <t>Carrier Replacement Program - P-35 OA-9277 ULTRA HIGH FREQUENCY (UHF) MULTICOUPLER - System Engineering                                                                                                                      -</t>
  </si>
  <si>
    <t>P-35 &gt; Carrier Replacement Program &gt; OA-9277 ULTRA HIGH FREQUENCY (UHF) MULTICOUPLER &gt; System Engineering                                                                                                                      -</t>
  </si>
  <si>
    <t>Carrier Replacement Program - P-35 OA-9277 ULTRA HIGH FREQUENCY (UHF) MULTICOUPLER - Technical Engineering Services                                                                                                          -</t>
  </si>
  <si>
    <t>P-35 &gt; Carrier Replacement Program &gt; OA-9277 ULTRA HIGH FREQUENCY (UHF) MULTICOUPLER &gt; Technical Engineering Services                                                                                                          -</t>
  </si>
  <si>
    <t>Carrier Replacement Program - P-35 OA-9277 ULTRA HIGH FREQUENCY (UHF) MULTICOUPLER - Other Costs                                                                                                                             -</t>
  </si>
  <si>
    <t>P-35 &gt; Carrier Replacement Program &gt; OA-9277 ULTRA HIGH FREQUENCY (UHF) MULTICOUPLER &gt; Other Costs                                                                                                                             -</t>
  </si>
  <si>
    <t>Carrier Replacement Program - P-35 AN/USQ-214(V)1, NETWORK TACTICAL COMMON DATA LINK (NTCDL) SYSTEM - Major Hardware                                                                                                         0                           -                                 1</t>
  </si>
  <si>
    <t>P-35 &gt; Carrier Replacement Program &gt; AN/USQ-214(V)1, NETWORK TACTICAL COMMON DATA LINK (NTCDL) SYSTEM &gt; Major Hardware                                                                                                         0                           -                                 1</t>
  </si>
  <si>
    <t>98</t>
  </si>
  <si>
    <t>Carrier Replacement Program - P-35 AN/USQ-214(V)1, NETWORK TACTICAL COMMON DATA LINK (NTCDL) SYSTEM - Spares                                                                                                                                             -</t>
  </si>
  <si>
    <t>P-35 &gt; Carrier Replacement Program &gt; AN/USQ-214(V)1, NETWORK TACTICAL COMMON DATA LINK (NTCDL) SYSTEM &gt; Spares                                                                                                                                             -</t>
  </si>
  <si>
    <t>Carrier Replacement Program - P-35 AN/USQ-214(V)1, NETWORK TACTICAL COMMON DATA LINK (NTCDL) SYSTEM - System Engineering                                                                                                                                 -</t>
  </si>
  <si>
    <t>P-35 &gt; Carrier Replacement Program &gt; AN/USQ-214(V)1, NETWORK TACTICAL COMMON DATA LINK (NTCDL) SYSTEM &gt; System Engineering                                                                                                                                 -</t>
  </si>
  <si>
    <t>Carrier Replacement Program - P-35 AN/USQ-214(V)1, NETWORK TACTICAL COMMON DATA LINK (NTCDL) SYSTEM - Technical Engineering Services                                                                                                                     -</t>
  </si>
  <si>
    <t>P-35 &gt; Carrier Replacement Program &gt; AN/USQ-214(V)1, NETWORK TACTICAL COMMON DATA LINK (NTCDL) SYSTEM &gt; Technical Engineering Services                                                                                                                     -</t>
  </si>
  <si>
    <t>Carrier Replacement Program - P-35 AN/USQ-214(V)1, NETWORK TACTICAL COMMON DATA LINK (NTCDL) SYSTEM - Other Costs                                                                                                                                        -</t>
  </si>
  <si>
    <t>P-35 &gt; Carrier Replacement Program &gt; AN/USQ-214(V)1, NETWORK TACTICAL COMMON DATA LINK (NTCDL) SYSTEM &gt; Other Costs                                                                                                                                        -</t>
  </si>
  <si>
    <t>Carrier Replacement Program - P-35 RING LASER GYRO NAVIGATOR (RLGN) AN/WSN-12(V)1 - Major Hardware                                                                                            0                             -                                 1</t>
  </si>
  <si>
    <t>P-35 &gt; Carrier Replacement Program &gt; RING LASER GYRO NAVIGATOR (RLGN) AN/WSN-12(V)1 &gt; Major Hardware                                                                                            0                             -                                 1</t>
  </si>
  <si>
    <t>99</t>
  </si>
  <si>
    <t>0670</t>
  </si>
  <si>
    <t>C4ISR &amp; Battle Management</t>
  </si>
  <si>
    <t>Command &amp; Control Systems</t>
  </si>
  <si>
    <t>Carrier Replacement Program - P-35 RING LASER GYRO NAVIGATOR (RLGN) AN/WSN-12(V)1 - Technical Data and Documentation                                                                                                        -</t>
  </si>
  <si>
    <t>P-35 &gt; Carrier Replacement Program &gt; RING LASER GYRO NAVIGATOR (RLGN) AN/WSN-12(V)1 &gt; Technical Data and Documentation                                                                                                        -</t>
  </si>
  <si>
    <t>Carrier Replacement Program - P-35 RING LASER GYRO NAVIGATOR (RLGN) AN/WSN-12(V)1 - Spares                                                                                                                                  -</t>
  </si>
  <si>
    <t>P-35 &gt; Carrier Replacement Program &gt; RING LASER GYRO NAVIGATOR (RLGN) AN/WSN-12(V)1 &gt; Spares                                                                                                                                  -</t>
  </si>
  <si>
    <t>Carrier Replacement Program - P-35 RING LASER GYRO NAVIGATOR (RLGN) AN/WSN-12(V)1 - System Engineering                                                                                                                      -</t>
  </si>
  <si>
    <t>P-35 &gt; Carrier Replacement Program &gt; RING LASER GYRO NAVIGATOR (RLGN) AN/WSN-12(V)1 &gt; System Engineering                                                                                                                      -</t>
  </si>
  <si>
    <t>Carrier Replacement Program - P-35 RING LASER GYRO NAVIGATOR (RLGN) AN/WSN-12(V)1 - Technical Engineering Services                                                                                                          -</t>
  </si>
  <si>
    <t>P-35 &gt; Carrier Replacement Program &gt; RING LASER GYRO NAVIGATOR (RLGN) AN/WSN-12(V)1 &gt; Technical Engineering Services                                                                                                          -</t>
  </si>
  <si>
    <t>Carrier Replacement Program - P-35 RING LASER GYRO NAVIGATOR (RLGN) AN/WSN-12(V)1 - Other Costs                                                                                                                             -</t>
  </si>
  <si>
    <t>P-35 &gt; Carrier Replacement Program &gt; RING LASER GYRO NAVIGATOR (RLGN) AN/WSN-12(V)1 &gt; Other Costs                                                                                                                             -</t>
  </si>
  <si>
    <t>Carrier Replacement Program - P-35 MK 53 MOD 15 DECOY LAUNCHING SYSTEM - Major Hardware                                                                                                 0                              -                                 1</t>
  </si>
  <si>
    <t>P-35 &gt; Carrier Replacement Program &gt; MK 53 MOD 15 DECOY LAUNCHING SYSTEM &gt; Major Hardware                                                                                                 0                              -                                 1</t>
  </si>
  <si>
    <t>100</t>
  </si>
  <si>
    <t>Carrier Replacement Program - P-35 MK 53 MOD 15 DECOY LAUNCHING SYSTEM - Technical Data and Documentation                                                                                                              -</t>
  </si>
  <si>
    <t>P-35 &gt; Carrier Replacement Program &gt; MK 53 MOD 15 DECOY LAUNCHING SYSTEM &gt; Technical Data and Documentation                                                                                                              -</t>
  </si>
  <si>
    <t>Carrier Replacement Program - P-35 MK 53 MOD 15 DECOY LAUNCHING SYSTEM - Spares                                                                                                                                        -</t>
  </si>
  <si>
    <t>P-35 &gt; Carrier Replacement Program &gt; MK 53 MOD 15 DECOY LAUNCHING SYSTEM &gt; Spares                                                                                                                                        -</t>
  </si>
  <si>
    <t>Carrier Replacement Program - P-35 MK 53 MOD 15 DECOY LAUNCHING SYSTEM - System Engineering                                                                                                                            -</t>
  </si>
  <si>
    <t>P-35 &gt; Carrier Replacement Program &gt; MK 53 MOD 15 DECOY LAUNCHING SYSTEM &gt; System Engineering                                                                                                                            -</t>
  </si>
  <si>
    <t>Carrier Replacement Program - P-35 MK 53 MOD 15 DECOY LAUNCHING SYSTEM - Technical Engineering Services                                                                                                                -</t>
  </si>
  <si>
    <t>P-35 &gt; Carrier Replacement Program &gt; MK 53 MOD 15 DECOY LAUNCHING SYSTEM &gt; Technical Engineering Services                                                                                                                -</t>
  </si>
  <si>
    <t>Carrier Replacement Program - P-35 MK 53 MOD 15 DECOY LAUNCHING SYSTEM - Other Costs                                                                                                                                   -</t>
  </si>
  <si>
    <t>P-35 &gt; Carrier Replacement Program &gt; MK 53 MOD 15 DECOY LAUNCHING SYSTEM &gt; Other Costs                                                                                                                                   -</t>
  </si>
  <si>
    <t>Carrier Replacement Program - P-35 I-STALKER - Major Hardware                                                                                                    0                              -                                 1</t>
  </si>
  <si>
    <t>P-35 &gt; Carrier Replacement Program &gt; I-STALKER &gt; Major Hardware                                                                                                    0                              -                                 1</t>
  </si>
  <si>
    <t>101</t>
  </si>
  <si>
    <t>Carrier Replacement Program - P-35 I-STALKER - Ancillary Equipment                                                                                                                              -</t>
  </si>
  <si>
    <t>P-35 &gt; Carrier Replacement Program &gt; I-STALKER &gt; Ancillary Equipment                                                                                                                              -</t>
  </si>
  <si>
    <t>Carrier Replacement Program - P-35 I-STALKER - Spares                                                                                                                                           -</t>
  </si>
  <si>
    <t>P-35 &gt; Carrier Replacement Program &gt; I-STALKER &gt; Spares                                                                                                                                           -</t>
  </si>
  <si>
    <t>Carrier Replacement Program - P-35 I-STALKER - System Engineering                                                                                                                               -</t>
  </si>
  <si>
    <t>P-35 &gt; Carrier Replacement Program &gt; I-STALKER &gt; System Engineering                                                                                                                               -</t>
  </si>
  <si>
    <t>Carrier Replacement Program - P-35 I-STALKER - Technical Engineering Services                                                                                                                   -</t>
  </si>
  <si>
    <t>P-35 &gt; Carrier Replacement Program &gt; I-STALKER &gt; Technical Engineering Services                                                                                                                   -</t>
  </si>
  <si>
    <t>Carrier Replacement Program - P-35 I-STALKER - Other Costs                                                                                                                                      -</t>
  </si>
  <si>
    <t>P-35 &gt; Carrier Replacement Program &gt; I-STALKER &gt; Other Costs                                                                                                                                      -</t>
  </si>
  <si>
    <t>Carrier Replacement Program - P-35 ELECTROMAGNETIC AIRCRAFT LAUNCHING SYSTEM (EMALS) - Major Hardware                                                                                                1</t>
  </si>
  <si>
    <t>P-35 &gt; Carrier Replacement Program &gt; ELECTROMAGNETIC AIRCRAFT LAUNCHING SYSTEM (EMALS) &gt; Major Hardware                                                                                                1</t>
  </si>
  <si>
    <t>102</t>
  </si>
  <si>
    <t>Carrier Replacement Program - P-35 ELECTROMAGNETIC AIRCRAFT LAUNCHING SYSTEM (EMALS) - Spares</t>
  </si>
  <si>
    <t>P-35 &gt; Carrier Replacement Program &gt; ELECTROMAGNETIC AIRCRAFT LAUNCHING SYSTEM (EMALS) &gt; Spares</t>
  </si>
  <si>
    <t>Carrier Replacement Program - P-35 ELECTROMAGNETIC AIRCRAFT LAUNCHING SYSTEM (EMALS) - System Engineering</t>
  </si>
  <si>
    <t>P-35 &gt; Carrier Replacement Program &gt; ELECTROMAGNETIC AIRCRAFT LAUNCHING SYSTEM (EMALS) &gt; System Engineering</t>
  </si>
  <si>
    <t>Carrier Replacement Program - P-35 ELECTROMAGNETIC AIRCRAFT LAUNCHING SYSTEM (EMALS) - Technical Engineering Services</t>
  </si>
  <si>
    <t>P-35 &gt; Carrier Replacement Program &gt; ELECTROMAGNETIC AIRCRAFT LAUNCHING SYSTEM (EMALS) &gt; Technical Engineering Services</t>
  </si>
  <si>
    <t>Carrier Replacement Program - P-35 ELECTROMAGNETIC AIRCRAFT LAUNCHING SYSTEM (EMALS) - Other Costs</t>
  </si>
  <si>
    <t>P-35 &gt; Carrier Replacement Program &gt; ELECTROMAGNETIC AIRCRAFT LAUNCHING SYSTEM (EMALS) &gt; Other Costs</t>
  </si>
  <si>
    <t>Carrier Replacement Program - P-35 AN/SPY-6(V)3 ENTERPRISE AIR SURVEILLANCE RADAR (EASR) - Major Hardware                                                                                                  1</t>
  </si>
  <si>
    <t>P-35 &gt; Carrier Replacement Program &gt; AN/SPY-6(V)3 ENTERPRISE AIR SURVEILLANCE RADAR (EASR) &gt; Major Hardware                                                                                                  1</t>
  </si>
  <si>
    <t>103</t>
  </si>
  <si>
    <t>Carrier Replacement Program - P-35 AN/SPY-6(V)3 ENTERPRISE AIR SURVEILLANCE RADAR (EASR) - Ancillary Equipment</t>
  </si>
  <si>
    <t>P-35 &gt; Carrier Replacement Program &gt; AN/SPY-6(V)3 ENTERPRISE AIR SURVEILLANCE RADAR (EASR) &gt; Ancillary Equipment</t>
  </si>
  <si>
    <t>Carrier Replacement Program - P-35 AN/SPY-6(V)3 ENTERPRISE AIR SURVEILLANCE RADAR (EASR) - Spares</t>
  </si>
  <si>
    <t>P-35 &gt; Carrier Replacement Program &gt; AN/SPY-6(V)3 ENTERPRISE AIR SURVEILLANCE RADAR (EASR) &gt; Spares</t>
  </si>
  <si>
    <t>Carrier Replacement Program - P-35 AN/SPY-6(V)3 ENTERPRISE AIR SURVEILLANCE RADAR (EASR) - System Engineering</t>
  </si>
  <si>
    <t>P-35 &gt; Carrier Replacement Program &gt; AN/SPY-6(V)3 ENTERPRISE AIR SURVEILLANCE RADAR (EASR) &gt; System Engineering</t>
  </si>
  <si>
    <t>Carrier Replacement Program - P-35 AN/SPY-6(V)3 ENTERPRISE AIR SURVEILLANCE RADAR (EASR) - Technical Engineering Services</t>
  </si>
  <si>
    <t>P-35 &gt; Carrier Replacement Program &gt; AN/SPY-6(V)3 ENTERPRISE AIR SURVEILLANCE RADAR (EASR) &gt; Technical Engineering Services</t>
  </si>
  <si>
    <t>Carrier Replacement Program - P-35 AN/SPY-6(V)3 ENTERPRISE AIR SURVEILLANCE RADAR (EASR) - Other Costs</t>
  </si>
  <si>
    <t>P-35 &gt; Carrier Replacement Program &gt; AN/SPY-6(V)3 ENTERPRISE AIR SURVEILLANCE RADAR (EASR) &gt; Other Costs</t>
  </si>
  <si>
    <t>Carrier Replacement Program - P-35 ADVANCED ARRESTING GEAR (AAG) - Major Hardware                                                                                                  1</t>
  </si>
  <si>
    <t>P-35 &gt; Carrier Replacement Program &gt; ADVANCED ARRESTING GEAR (AAG) &gt; Major Hardware                                                                                                  1</t>
  </si>
  <si>
    <t>104</t>
  </si>
  <si>
    <t>Carrier Replacement Program - P-35 ADVANCED ARRESTING GEAR (AAG) - Spares</t>
  </si>
  <si>
    <t>P-35 &gt; Carrier Replacement Program &gt; ADVANCED ARRESTING GEAR (AAG) &gt; Spares</t>
  </si>
  <si>
    <t>Carrier Replacement Program - P-35 ADVANCED ARRESTING GEAR (AAG) - System Engineering</t>
  </si>
  <si>
    <t>P-35 &gt; Carrier Replacement Program &gt; ADVANCED ARRESTING GEAR (AAG) &gt; System Engineering</t>
  </si>
  <si>
    <t>Carrier Replacement Program - P-35 ADVANCED ARRESTING GEAR (AAG) - Technical Engineering Services</t>
  </si>
  <si>
    <t>P-35 &gt; Carrier Replacement Program &gt; ADVANCED ARRESTING GEAR (AAG) &gt; Technical Engineering Services</t>
  </si>
  <si>
    <t>Carrier Replacement Program - P-35 ADVANCED ARRESTING GEAR (AAG) - Other Costs</t>
  </si>
  <si>
    <t>P-35 &gt; Carrier Replacement Program &gt; ADVANCED ARRESTING GEAR (AAG) &gt; Other Costs</t>
  </si>
  <si>
    <t>Carrier Replacement Program - P-35 PHALANX BLOCK 1B MK 15 MOD 21 &amp; 22, CLOSE - IN WEAPONS SYSTEM (CIWS) - Major Hardware                                                                                                    3</t>
  </si>
  <si>
    <t>P-35 &gt; Carrier Replacement Program &gt; PHALANX BLOCK 1B MK 15 MOD 21 &amp; 22, CLOSE - IN WEAPONS SYSTEM (CIWS) &gt; Major Hardware                                                                                                    3</t>
  </si>
  <si>
    <t>105</t>
  </si>
  <si>
    <t>Carrier Replacement Program - P-35 PHALANX BLOCK 1B MK 15 MOD 21 &amp; 22, CLOSE - IN WEAPONS SYSTEM (CIWS) - Ancillary Equipment</t>
  </si>
  <si>
    <t>P-35 &gt; Carrier Replacement Program &gt; PHALANX BLOCK 1B MK 15 MOD 21 &amp; 22, CLOSE - IN WEAPONS SYSTEM (CIWS) &gt; Ancillary Equipment</t>
  </si>
  <si>
    <t>Carrier Replacement Program - P-35 PHALANX BLOCK 1B MK 15 MOD 21 &amp; 22, CLOSE - IN WEAPONS SYSTEM (CIWS) - Spares</t>
  </si>
  <si>
    <t>P-35 &gt; Carrier Replacement Program &gt; PHALANX BLOCK 1B MK 15 MOD 21 &amp; 22, CLOSE - IN WEAPONS SYSTEM (CIWS) &gt; Spares</t>
  </si>
  <si>
    <t>PHALANX BLOCK 1B MK 15 MOD 21 &amp; 22,  CLOSE - IN WEAPONS SYSTEM (CIWS)</t>
  </si>
  <si>
    <t>Carrier Replacement Program - P-35 PHALANX BLOCK 1B MK 15 MOD 21 &amp; 22, CLOSE - IN WEAPONS SYSTEM (CIWS) - System Engineering</t>
  </si>
  <si>
    <t>P-35 &gt; Carrier Replacement Program &gt; PHALANX BLOCK 1B MK 15 MOD 21 &amp; 22, CLOSE - IN WEAPONS SYSTEM (CIWS) &gt; System Engineering</t>
  </si>
  <si>
    <t>Carrier Replacement Program - P-35 PHALANX BLOCK 1B MK 15 MOD 21 &amp; 22, CLOSE - IN WEAPONS SYSTEM (CIWS) - Technical Engineering Services</t>
  </si>
  <si>
    <t>P-35 &gt; Carrier Replacement Program &gt; PHALANX BLOCK 1B MK 15 MOD 21 &amp; 22, CLOSE - IN WEAPONS SYSTEM (CIWS) &gt; Technical Engineering Services</t>
  </si>
  <si>
    <t>Carrier Replacement Program - P-35 PHALANX BLOCK 1B MK 15 MOD 21 &amp; 22, CLOSE - IN WEAPONS SYSTEM (CIWS) - Other Costs</t>
  </si>
  <si>
    <t>P-35 &gt; Carrier Replacement Program &gt; PHALANX BLOCK 1B MK 15 MOD 21 &amp; 22, CLOSE - IN WEAPONS SYSTEM (CIWS) &gt; Other Costs</t>
  </si>
  <si>
    <t>Carrier Replacement Program - P-35 AN/SQQ-34, CARRIER-TACTICAL SUPPORT CENTER (CV-TSC) - Major Hardware                                                                                           1</t>
  </si>
  <si>
    <t>P-35 &gt; Carrier Replacement Program &gt; AN/SQQ-34, CARRIER-TACTICAL SUPPORT CENTER (CV-TSC) &gt; Major Hardware                                                                                           1</t>
  </si>
  <si>
    <t>106</t>
  </si>
  <si>
    <t>Carrier Replacement Program - P-35 AN/SQQ-34, CARRIER-TACTICAL SUPPORT CENTER (CV-TSC) - Spares</t>
  </si>
  <si>
    <t>P-35 &gt; Carrier Replacement Program &gt; AN/SQQ-34, CARRIER-TACTICAL SUPPORT CENTER (CV-TSC) &gt; Spares</t>
  </si>
  <si>
    <t>Carrier Replacement Program - P-35 AN/SQQ-34, CARRIER-TACTICAL SUPPORT CENTER (CV-TSC) - System Engineering</t>
  </si>
  <si>
    <t>P-35 &gt; Carrier Replacement Program &gt; AN/SQQ-34, CARRIER-TACTICAL SUPPORT CENTER (CV-TSC) &gt; System Engineering</t>
  </si>
  <si>
    <t>Carrier Replacement Program - P-35 AN/SQQ-34, CARRIER-TACTICAL SUPPORT CENTER (CV-TSC) - Technical Engineering Services</t>
  </si>
  <si>
    <t>P-35 &gt; Carrier Replacement Program &gt; AN/SQQ-34, CARRIER-TACTICAL SUPPORT CENTER (CV-TSC) &gt; Technical Engineering Services</t>
  </si>
  <si>
    <t>Carrier Replacement Program - P-35 AN/SQQ-34, CARRIER-TACTICAL SUPPORT CENTER (CV-TSC) - Other Costs</t>
  </si>
  <si>
    <t>P-35 &gt; Carrier Replacement Program &gt; AN/SQQ-34, CARRIER-TACTICAL SUPPORT CENTER (CV-TSC) &gt; Other Costs</t>
  </si>
  <si>
    <t>Carrier Replacement Program - P-35 MK-57 NATO SEASPARROW MISSILE SYSTEM (NSSMS) - Major Hardware                                                                                           1</t>
  </si>
  <si>
    <t>P-35 &gt; Carrier Replacement Program &gt; MK-57 NATO SEASPARROW MISSILE SYSTEM (NSSMS) &gt; Major Hardware                                                                                           1</t>
  </si>
  <si>
    <t>107</t>
  </si>
  <si>
    <t>Carrier Replacement Program - P-35 MK-57 NATO SEASPARROW MISSILE SYSTEM (NSSMS) - Ancillary Equipment</t>
  </si>
  <si>
    <t>P-35 &gt; Carrier Replacement Program &gt; MK-57 NATO SEASPARROW MISSILE SYSTEM (NSSMS) &gt; Ancillary Equipment</t>
  </si>
  <si>
    <t>Carrier Replacement Program - P-35 MK-57 NATO SEASPARROW MISSILE SYSTEM (NSSMS) - Spares</t>
  </si>
  <si>
    <t>P-35 &gt; Carrier Replacement Program &gt; MK-57 NATO SEASPARROW MISSILE SYSTEM (NSSMS) &gt; Spares</t>
  </si>
  <si>
    <t>Carrier Replacement Program - P-35 MK-57 NATO SEASPARROW MISSILE SYSTEM (NSSMS) - System Engineering</t>
  </si>
  <si>
    <t>P-35 &gt; Carrier Replacement Program &gt; MK-57 NATO SEASPARROW MISSILE SYSTEM (NSSMS) &gt; System Engineering</t>
  </si>
  <si>
    <t>Carrier Replacement Program - P-35 MK-57 NATO SEASPARROW MISSILE SYSTEM (NSSMS) - Technical Engineering Services</t>
  </si>
  <si>
    <t>P-35 &gt; Carrier Replacement Program &gt; MK-57 NATO SEASPARROW MISSILE SYSTEM (NSSMS) &gt; Technical Engineering Services</t>
  </si>
  <si>
    <t>Carrier Replacement Program - P-35 MK-57 NATO SEASPARROW MISSILE SYSTEM (NSSMS) - Other Costs</t>
  </si>
  <si>
    <t>P-35 &gt; Carrier Replacement Program &gt; MK-57 NATO SEASPARROW MISSILE SYSTEM (NSSMS) &gt; Other Costs</t>
  </si>
  <si>
    <t>Carrier Replacement Program - P-35 AVIATION DATA MANAGEMENT AND CONTROL SYSTEM (ADMACS) - Major Hardware                                                                                                 1</t>
  </si>
  <si>
    <t>P-35 &gt; Carrier Replacement Program &gt; AVIATION DATA MANAGEMENT AND CONTROL SYSTEM (ADMACS) &gt; Major Hardware                                                                                                 1</t>
  </si>
  <si>
    <t>108</t>
  </si>
  <si>
    <t>Carrier Replacement Program - P-35 AVIATION DATA MANAGEMENT AND CONTROL SYSTEM (ADMACS) - Spares                                                                                                                                         -</t>
  </si>
  <si>
    <t>P-35 &gt; Carrier Replacement Program &gt; AVIATION DATA MANAGEMENT AND CONTROL SYSTEM (ADMACS) &gt; Spares                                                                                                                                         -</t>
  </si>
  <si>
    <t>Carrier Replacement Program - P-35 AVIATION DATA MANAGEMENT AND CONTROL SYSTEM (ADMACS) - System Engineering</t>
  </si>
  <si>
    <t>P-35 &gt; Carrier Replacement Program &gt; AVIATION DATA MANAGEMENT AND CONTROL SYSTEM (ADMACS) &gt; System Engineering</t>
  </si>
  <si>
    <t>Carrier Replacement Program - P-35 AVIATION DATA MANAGEMENT AND CONTROL SYSTEM (ADMACS) - Technical Engineering Services</t>
  </si>
  <si>
    <t>P-35 &gt; Carrier Replacement Program &gt; AVIATION DATA MANAGEMENT AND CONTROL SYSTEM (ADMACS) &gt; Technical Engineering Services</t>
  </si>
  <si>
    <t>Carrier Replacement Program - P-35 AVIATION DATA MANAGEMENT AND CONTROL SYSTEM (ADMACS) - Other Costs</t>
  </si>
  <si>
    <t>P-35 &gt; Carrier Replacement Program &gt; AVIATION DATA MANAGEMENT AND CONTROL SYSTEM (ADMACS) &gt; Other Costs</t>
  </si>
  <si>
    <t>Carrier Replacement Program - P-35 MK 49, MOD 5 ROLLING AIRFRAME MISSILE (RAM) - Major Hardware                                                                                                 2</t>
  </si>
  <si>
    <t>P-35 &gt; Carrier Replacement Program &gt; MK 49, MOD 5 ROLLING AIRFRAME MISSILE (RAM) &gt; Major Hardware                                                                                                 2</t>
  </si>
  <si>
    <t>109</t>
  </si>
  <si>
    <t>Carrier Replacement Program - P-35 MK 49, MOD 5 ROLLING AIRFRAME MISSILE (RAM) - Ancillary Equipment</t>
  </si>
  <si>
    <t>P-35 &gt; Carrier Replacement Program &gt; MK 49, MOD 5 ROLLING AIRFRAME MISSILE (RAM) &gt; Ancillary Equipment</t>
  </si>
  <si>
    <t>Carrier Replacement Program - P-35 MK 49, MOD 5 ROLLING AIRFRAME MISSILE (RAM) - Spares                                                                                                                                        -</t>
  </si>
  <si>
    <t>P-35 &gt; Carrier Replacement Program &gt; MK 49, MOD 5 ROLLING AIRFRAME MISSILE (RAM) &gt; Spares                                                                                                                                        -</t>
  </si>
  <si>
    <t>Carrier Replacement Program - P-35 MK 49, MOD 5 ROLLING AIRFRAME MISSILE (RAM) - System Engineering</t>
  </si>
  <si>
    <t>P-35 &gt; Carrier Replacement Program &gt; MK 49, MOD 5 ROLLING AIRFRAME MISSILE (RAM) &gt; System Engineering</t>
  </si>
  <si>
    <t>Carrier Replacement Program - P-35 MK 49, MOD 5 ROLLING AIRFRAME MISSILE (RAM) - Technical Engineering Services</t>
  </si>
  <si>
    <t>P-35 &gt; Carrier Replacement Program &gt; MK 49, MOD 5 ROLLING AIRFRAME MISSILE (RAM) &gt; Technical Engineering Services</t>
  </si>
  <si>
    <t>Carrier Replacement Program - P-35 MK 49, MOD 5 ROLLING AIRFRAME MISSILE (RAM) - Other Costs</t>
  </si>
  <si>
    <t>P-35 &gt; Carrier Replacement Program &gt; MK 49, MOD 5 ROLLING AIRFRAME MISSILE (RAM) &gt; Other Costs</t>
  </si>
  <si>
    <t>Carrier Replacement Program - P-35 AN/SPQ-9B, ANTI-SHIP MISSILE DEFENSE (ASMD) SURFACE SURVEILLANCE AND TRACKING - Major Hardware                                                                                                1</t>
  </si>
  <si>
    <t>P-35 &gt; Carrier Replacement Program &gt; AN/SPQ-9B, ANTI-SHIP MISSILE DEFENSE (ASMD) SURFACE SURVEILLANCE AND TRACKING &gt; Major Hardware                                                                                                1</t>
  </si>
  <si>
    <t>110</t>
  </si>
  <si>
    <t>Carrier Replacement Program - P-35 AN/SPQ-9B, ANTI-SHIP MISSILE DEFENSE (ASMD) SURFACE SURVEILLANCE AND TRACKING - Spares</t>
  </si>
  <si>
    <t>P-35 &gt; Carrier Replacement Program &gt; AN/SPQ-9B, ANTI-SHIP MISSILE DEFENSE (ASMD) SURFACE SURVEILLANCE AND TRACKING &gt; Spares</t>
  </si>
  <si>
    <t>AN/SPQ-9B, ANTI-SHIP MISSILE DEFENSE (ASMD) SURFACE SURVEILLANCE AND TRACKING RADAR [CVN 80]</t>
  </si>
  <si>
    <t>Carrier Replacement Program - P-35 AN/SPQ-9B, ANTI-SHIP MISSILE DEFENSE (ASMD) SURFACE SURVEILLANCE AND TRACKING - System Engineering</t>
  </si>
  <si>
    <t>P-35 &gt; Carrier Replacement Program &gt; AN/SPQ-9B, ANTI-SHIP MISSILE DEFENSE (ASMD) SURFACE SURVEILLANCE AND TRACKING &gt; System Engineering</t>
  </si>
  <si>
    <t>Carrier Replacement Program - P-35 AN/SPQ-9B, ANTI-SHIP MISSILE DEFENSE (ASMD) SURFACE SURVEILLANCE AND TRACKING - Technical Engineering Services</t>
  </si>
  <si>
    <t>P-35 &gt; Carrier Replacement Program &gt; AN/SPQ-9B, ANTI-SHIP MISSILE DEFENSE (ASMD) SURFACE SURVEILLANCE AND TRACKING &gt; Technical Engineering Services</t>
  </si>
  <si>
    <t>Carrier Replacement Program - P-35 AN/SPQ-9B, ANTI-SHIP MISSILE DEFENSE (ASMD) SURFACE SURVEILLANCE AND TRACKING - Other Costs</t>
  </si>
  <si>
    <t>P-35 &gt; Carrier Replacement Program &gt; AN/SPQ-9B, ANTI-SHIP MISSILE DEFENSE (ASMD) SURFACE SURVEILLANCE AND TRACKING &gt; Other Costs</t>
  </si>
  <si>
    <t>Carrier Replacement Program - P-35 IMPROVED FRESNEL LENS OPTICAL LANDING SYSTEM (IFLOLS) - Major Hardware                                                                                                 0                              -                                 1</t>
  </si>
  <si>
    <t>P-35 &gt; Carrier Replacement Program &gt; IMPROVED FRESNEL LENS OPTICAL LANDING SYSTEM (IFLOLS) &gt; Major Hardware                                                                                                 0                              -                                 1</t>
  </si>
  <si>
    <t>111</t>
  </si>
  <si>
    <t>Carrier Replacement Program - P-35 IMPROVED FRESNEL LENS OPTICAL LANDING SYSTEM (IFLOLS) - System Engineering                                                                                                                            -</t>
  </si>
  <si>
    <t>P-35 &gt; Carrier Replacement Program &gt; IMPROVED FRESNEL LENS OPTICAL LANDING SYSTEM (IFLOLS) &gt; System Engineering                                                                                                                            -</t>
  </si>
  <si>
    <t>Carrier Replacement Program - P-35 IMPROVED FRESNEL LENS OPTICAL LANDING SYSTEM (IFLOLS) - Technical Engineering Services                                                                                                                -</t>
  </si>
  <si>
    <t>P-35 &gt; Carrier Replacement Program &gt; IMPROVED FRESNEL LENS OPTICAL LANDING SYSTEM (IFLOLS) &gt; Technical Engineering Services                                                                                                                -</t>
  </si>
  <si>
    <t>Carrier Replacement Program - P-35 IMPROVED FRESNEL LENS OPTICAL LANDING SYSTEM (IFLOLS) - Other Costs                                                                                                                                   -</t>
  </si>
  <si>
    <t>P-35 &gt; Carrier Replacement Program &gt; IMPROVED FRESNEL LENS OPTICAL LANDING SYSTEM (IFLOLS) &gt; Other Costs                                                                                                                                   -</t>
  </si>
  <si>
    <t>Carrier Replacement Program - P-35 INTEGRATED LAUNCH AND RECOVERY TELEVISION SYSTEM (ILARTS) - Major Hardware                                                                                                0                              -                                 1</t>
  </si>
  <si>
    <t>P-35 &gt; Carrier Replacement Program &gt; INTEGRATED LAUNCH AND RECOVERY TELEVISION SYSTEM (ILARTS) &gt; Major Hardware                                                                                                0                              -                                 1</t>
  </si>
  <si>
    <t>112</t>
  </si>
  <si>
    <t>Carrier Replacement Program - P-35 INTEGRATED LAUNCH AND RECOVERY TELEVISION SYSTEM (ILARTS) - Spares                                                                                                                                       -</t>
  </si>
  <si>
    <t>P-35 &gt; Carrier Replacement Program &gt; INTEGRATED LAUNCH AND RECOVERY TELEVISION SYSTEM (ILARTS) &gt; Spares                                                                                                                                       -</t>
  </si>
  <si>
    <t>Carrier Replacement Program - P-35 INTEGRATED LAUNCH AND RECOVERY TELEVISION SYSTEM (ILARTS) - System Engineering                                                                                                                           -</t>
  </si>
  <si>
    <t>P-35 &gt; Carrier Replacement Program &gt; INTEGRATED LAUNCH AND RECOVERY TELEVISION SYSTEM (ILARTS) &gt; System Engineering                                                                                                                           -</t>
  </si>
  <si>
    <t>Carrier Replacement Program - P-35 INTEGRATED LAUNCH AND RECOVERY TELEVISION SYSTEM (ILARTS) - Technical Engineering Services                                                                                                               -</t>
  </si>
  <si>
    <t>P-35 &gt; Carrier Replacement Program &gt; INTEGRATED LAUNCH AND RECOVERY TELEVISION SYSTEM (ILARTS) &gt; Technical Engineering Services                                                                                                               -</t>
  </si>
  <si>
    <t>Carrier Replacement Program - P-35 INTEGRATED LAUNCH AND RECOVERY TELEVISION SYSTEM (ILARTS) - Other Costs                                                                                                                                  -</t>
  </si>
  <si>
    <t>P-35 &gt; Carrier Replacement Program &gt; INTEGRATED LAUNCH AND RECOVERY TELEVISION SYSTEM (ILARTS) &gt; Other Costs                                                                                                                                  -</t>
  </si>
  <si>
    <t>Carrier Replacement Program - P-35 UNMANNED AVIATION WARFARE CENTER (UAWC) - Major Hardware                                                                                                 0                              -                                 1</t>
  </si>
  <si>
    <t>P-35 &gt; Carrier Replacement Program &gt; UNMANNED AVIATION WARFARE CENTER (UAWC) &gt; Major Hardware                                                                                                 0                              -                                 1</t>
  </si>
  <si>
    <t>113</t>
  </si>
  <si>
    <t>Carrier Replacement Program - P-35 UNMANNED AVIATION WARFARE CENTER (UAWC) - Technical Engineering Services                                                                                                                -</t>
  </si>
  <si>
    <t>P-35 &gt; Carrier Replacement Program &gt; UNMANNED AVIATION WARFARE CENTER (UAWC) &gt; Technical Engineering Services                                                                                                                -</t>
  </si>
  <si>
    <t>Carrier Replacement Program - P-10 - CVN 82 - Basic</t>
  </si>
  <si>
    <t>2001 / Carrier Replacement Program AP</t>
  </si>
  <si>
    <t>P-10 &gt; Carrier Replacement Program &gt; CVN 82 - Basic</t>
  </si>
  <si>
    <t>Basic</t>
  </si>
  <si>
    <t>Carrier Replacement Program - P-10 - CVN 82 - Propulsion Equipment</t>
  </si>
  <si>
    <t>P-10 &gt; Carrier Replacement Program &gt; CVN 82 - Propulsion Equipment</t>
  </si>
  <si>
    <t>Carrier Replacement Program - P-10 - CVN 82 - Ordnance</t>
  </si>
  <si>
    <t>P-10 &gt; Carrier Replacement Program &gt; CVN 82 - Ordnance</t>
  </si>
  <si>
    <t>Carrier Replacement Program - P-10 - CVN 83 - Basic                                                                                       -               -              -             -</t>
  </si>
  <si>
    <t>P-10 &gt; Carrier Replacement Program &gt; CVN 83 - Basic                                                                                       -               -              -             -</t>
  </si>
  <si>
    <t>Carrier Replacement Program - P-10 - CVN 83 - Ordnance                                                                                    -               -              -             -</t>
  </si>
  <si>
    <t>P-10 &gt; Carrier Replacement Program &gt; CVN 83 - Ordnance                                                                                    -               -              -             -</t>
  </si>
  <si>
    <t>Carrier Replacement Program - P-10 - CVN 83 - Basic                                                                                         -                   -                 -                                      -</t>
  </si>
  <si>
    <t>P-10 &gt; Carrier Replacement Program &gt; CVN 83 - Basic                                                                                         -                   -                 -                                      -</t>
  </si>
  <si>
    <t>116</t>
  </si>
  <si>
    <t>Carrier Replacement Program - P-10 - CVN 83 - Ordnance                                                                                      -                   -                 -                                      -</t>
  </si>
  <si>
    <t>P-10 &gt; Carrier Replacement Program &gt; CVN 83 - Ordnance                                                                                      -                   -                 -                                      -</t>
  </si>
  <si>
    <t>CVN-81 - P-5c - Basic Construction</t>
  </si>
  <si>
    <t>2004 / CVN-81</t>
  </si>
  <si>
    <t>P-5c &gt; CVN-81 &gt; Basic Construction</t>
  </si>
  <si>
    <t>119</t>
  </si>
  <si>
    <t>CVN-81 - P-5c - Change Orders</t>
  </si>
  <si>
    <t>P-5c &gt; CVN-81 &gt; Change Orders</t>
  </si>
  <si>
    <t>CVN-81 - P-5c - Electronics</t>
  </si>
  <si>
    <t>P-5c &gt; CVN-81 &gt; Electronics</t>
  </si>
  <si>
    <t>CVN-81 - P-5c - Propulsion Equipment</t>
  </si>
  <si>
    <t>P-5c &gt; CVN-81 &gt; Propulsion Equipment</t>
  </si>
  <si>
    <t>CVN-81 - P-5c - Hull, Mechanical, and Electrical</t>
  </si>
  <si>
    <t>P-5c &gt; CVN-81 &gt; Hull, Mechanical, and Electrical</t>
  </si>
  <si>
    <t>CVN-81 - P-5c - Ordnance</t>
  </si>
  <si>
    <t>P-5c &gt; CVN-81 &gt; Ordnance</t>
  </si>
  <si>
    <t>CVN-81 - P-5c - Other Cost</t>
  </si>
  <si>
    <t>P-5c &gt; CVN-81 &gt; Other Cost</t>
  </si>
  <si>
    <t>CVN-81 - P-8a Electronics - CONSOLIDATED AFLOAT NETWORK AND ENTERPRISE SERVICES (CANES) 1</t>
  </si>
  <si>
    <t>P-8a &gt; CVN-81 &gt; Electronics &gt; CONSOLIDATED AFLOAT NETWORK AND ENTERPRISE SERVICES (CANES) 1</t>
  </si>
  <si>
    <t>121</t>
  </si>
  <si>
    <t>CVN-81 - P-8a Electronics - AN/USG-2, COOPERATIVE ENGAGEMENT CAPABILITY (CEC) 1</t>
  </si>
  <si>
    <t>P-8a &gt; CVN-81 &gt; Electronics &gt; AN/USG-2, COOPERATIVE ENGAGEMENT CAPABILITY (CEC) 1</t>
  </si>
  <si>
    <t>CVN-81 - P-8a Electronics - SAT 1</t>
  </si>
  <si>
    <t>P-8a &gt; CVN-81 &gt; Electronics &gt; SAT 1</t>
  </si>
  <si>
    <t>CVN-81 - P-8a Electronics - AN/UPX-29(V), INTERROGATOR FRIEND OR FOE (IFF) W/MK XII 1</t>
  </si>
  <si>
    <t>P-8a &gt; CVN-81 &gt; Electronics &gt; AN/UPX-29(V), INTERROGATOR FRIEND OR FOE (IFF) W/MK XII 1</t>
  </si>
  <si>
    <t>CVN-81 - P-8a Electronics - SPN-46, AUTOMATIC CARRIER LANDING SYSTEM 1</t>
  </si>
  <si>
    <t>P-8a &gt; CVN-81 &gt; Electronics &gt; SPN-46, AUTOMATIC CARRIER LANDING SYSTEM 1</t>
  </si>
  <si>
    <t>CVN-81 - P-8a Electronics - SHIP SELF DEFENSE SYSTEM (SSDS) 1</t>
  </si>
  <si>
    <t>P-8a &gt; CVN-81 &gt; Electronics &gt; SHIP SELF DEFENSE SYSTEM (SSDS) 1</t>
  </si>
  <si>
    <t>CVN-81 - P-8a Electronics - AN/SYY-1(V)1 AIR TRAFFIC CONTROL SYSTEM, SHIPBOARD 1</t>
  </si>
  <si>
    <t>P-8a &gt; CVN-81 &gt; Electronics &gt; AN/SYY-1(V)1 AIR TRAFFIC CONTROL SYSTEM, SHIPBOARD 1</t>
  </si>
  <si>
    <t>CVN-81 - P-8a Electronics - NAVY MULTI-BAND TERMINAL (NMT) 1</t>
  </si>
  <si>
    <t>P-8a &gt; CVN-81 &gt; Electronics &gt; NAVY MULTI-BAND TERMINAL (NMT) 1</t>
  </si>
  <si>
    <t>CVN-81 - P-8a Electronics - AN/SLQ-32(V)7, SURFACE ELECTRONIC WARFARE IMPROVEMENT PROGRAM (SEWIP) BLOCK 3 1</t>
  </si>
  <si>
    <t>P-8a &gt; CVN-81 &gt; Electronics &gt; AN/SLQ-32(V)7, SURFACE ELECTRONIC WARFARE IMPROVEMENT PROGRAM (SEWIP) BLOCK 3 1</t>
  </si>
  <si>
    <t>AN/SLQ-32(V)7, SURFACE ELECTRONIC WARFARE IMPROVEMENT PROGRAM (SEWIP) BLOCK 3</t>
  </si>
  <si>
    <t>CVN-81 - P-8a Electronics - SPECTRAL 1</t>
  </si>
  <si>
    <t>P-8a &gt; CVN-81 &gt; Electronics &gt; SPECTRAL 1</t>
  </si>
  <si>
    <t>SPECTRAL</t>
  </si>
  <si>
    <t>CVN-81 - P-8a Electronics - AN/SRC-66(V)3 HFDAG 1</t>
  </si>
  <si>
    <t>P-8a &gt; CVN-81 &gt; Electronics &gt; AN/SRC-66(V)3 HFDAG 1</t>
  </si>
  <si>
    <t>AN/SRC-66(V)3 HFDAG</t>
  </si>
  <si>
    <t>CVN-81 - P-8a Electronics - AN/USN-3(V)1 SATELLITE SIGNAL LANDING SYSTEM (SSLS) 1</t>
  </si>
  <si>
    <t>P-8a &gt; CVN-81 &gt; Electronics &gt; AN/USN-3(V)1 SATELLITE SIGNAL LANDING SYSTEM (SSLS) 1</t>
  </si>
  <si>
    <t>CVN-81 - P-8a Electronics - OA-9277 ULTRA HIGH FREQUENCY (UHF) MULTICOUPLER 1</t>
  </si>
  <si>
    <t>P-8a &gt; CVN-81 &gt; Electronics &gt; OA-9277 ULTRA HIGH FREQUENCY (UHF) MULTICOUPLER 1</t>
  </si>
  <si>
    <t>CVN-81 - P-8a Electronics - AN/WSN-12(V)1, RING LASER GYRO NAVIGATOR (RLGN) 1</t>
  </si>
  <si>
    <t>P-8a &gt; CVN-81 &gt; Electronics &gt; AN/WSN-12(V)1, RING LASER GYRO NAVIGATOR (RLGN) 1</t>
  </si>
  <si>
    <t>AN/WSN-12(V)1, RING LASER GYRO NAVIGATOR (RLGN)</t>
  </si>
  <si>
    <t>CVN-81 - P-8a Electronics - AN/USQ-214(V)1, NETWORK TACTICAL COMMON DATA LINK (NTCDL) SYSTEM 1</t>
  </si>
  <si>
    <t>P-8a &gt; CVN-81 &gt; Electronics &gt; AN/USQ-214(V)1, NETWORK TACTICAL COMMON DATA LINK (NTCDL) SYSTEM 1</t>
  </si>
  <si>
    <t>CVN-81 - P-8a Electronics - MK 53 MOD 15 DECOY LAUNCHING SYSTEM (DLS) 1</t>
  </si>
  <si>
    <t>P-8a &gt; CVN-81 &gt; Electronics &gt; MK 53 MOD 15 DECOY LAUNCHING SYSTEM (DLS) 1</t>
  </si>
  <si>
    <t>MK 53 MOD 15 DECOY LAUNCHING SYSTEM (DLS)</t>
  </si>
  <si>
    <t>CVN-81 - P-8a Electronics - I-STALKER 1</t>
  </si>
  <si>
    <t>P-8a &gt; CVN-81 &gt; Electronics &gt; I-STALKER 1</t>
  </si>
  <si>
    <t>CVN-81 - P-8a Electronics - AN/USQ-155(V)1 TACTICAL VARIANT SWITCH 1</t>
  </si>
  <si>
    <t>P-8a &gt; CVN-81 &gt; Electronics &gt; AN/USQ-155(V)1 TACTICAL VARIANT SWITCH 1</t>
  </si>
  <si>
    <t>CVN-81 - P-8a Electronics - INFORMATION ASSURANCE (IA)</t>
  </si>
  <si>
    <t>P-8a &gt; CVN-81 &gt; Electronics &gt; INFORMATION ASSURANCE (IA)</t>
  </si>
  <si>
    <t>CVN-81 - P-8a Electronics - AN/URC-141X, MULTI-FUNCTION INFORMATION DISTRIBUTION SYSTEM (MIDS)-ON SHIP (MOS) 1</t>
  </si>
  <si>
    <t>P-8a &gt; CVN-81 &gt; Electronics &gt; AN/URC-141X, MULTI-FUNCTION INFORMATION DISTRIBUTION SYSTEM (MIDS)-ON SHIP (MOS) 1</t>
  </si>
  <si>
    <t>AN/URC-141X, MULTI-FUNCTION INFORMATION DISTRIBUTION SYSTEM (MIDS)-ON SHIP (MOS)</t>
  </si>
  <si>
    <t>CVN-81 - P-8a Electronics - AN/SLQ-25E DUAL, SURFACE SHIP TORPEDO DEFENSE SYSTEM, NIXIE 1</t>
  </si>
  <si>
    <t>P-8a &gt; CVN-81 &gt; Electronics &gt; AN/SLQ-25E DUAL, SURFACE SHIP TORPEDO DEFENSE SYSTEM, NIXIE 1</t>
  </si>
  <si>
    <t>CVN-81 - P-8a Electronics - SHIPBOARD AIR TRAFFIC CONTROL COMMUNICATIONS (SATCC) 1</t>
  </si>
  <si>
    <t>P-8a &gt; CVN-81 &gt; Electronics &gt; SHIPBOARD AIR TRAFFIC CONTROL COMMUNICATIONS (SATCC) 1</t>
  </si>
  <si>
    <t>CVN-81 - P-8a Electronics - DISTRIBUTED SYSTEMS DESIGN INTEGRATION SERVICES 1</t>
  </si>
  <si>
    <t>P-8a &gt; CVN-81 &gt; Electronics &gt; DISTRIBUTED SYSTEMS DESIGN INTEGRATION SERVICES 1</t>
  </si>
  <si>
    <t>CVN-81 - P-8a Electronics - C4I INTEGRATION &amp; COORDINATION</t>
  </si>
  <si>
    <t>P-8a &gt; CVN-81 &gt; Electronics &gt; C4I INTEGRATION &amp; COORDINATION</t>
  </si>
  <si>
    <t>CVN-81 - P-8a Electronics - DISTRIBUTED COMMON GROUND STATION - NAVY (DCGS-N) TACTICAL EDGE EQUIPMENT (DTEE) 1</t>
  </si>
  <si>
    <t>P-8a &gt; CVN-81 &gt; Electronics &gt; DISTRIBUTED COMMON GROUND STATION - NAVY (DCGS-N) TACTICAL EDGE EQUIPMENT (DTEE) 1</t>
  </si>
  <si>
    <t>DISTRIBUTED COMMON GROUND STATION - NAVY (DCGS-N) TACTICAL EDGE EQUIPMENT (DTEE)</t>
  </si>
  <si>
    <t>CVN-81 - P-8a Electronics - AN/USQ-144M(V)2 AUTOMATED DIGITAL NETWORK SYSTEM (ADNS) 1</t>
  </si>
  <si>
    <t>P-8a &gt; CVN-81 &gt; Electronics &gt; AN/USQ-144M(V)2 AUTOMATED DIGITAL NETWORK SYSTEM (ADNS) 1</t>
  </si>
  <si>
    <t>AN/USQ-144M(V)2 AUTOMATED DIGITAL NETWORK SYSTEM (ADNS)</t>
  </si>
  <si>
    <t>CVN-81 - P-8a Electronics - AN/UYQ-131 COMMAND &amp; CONTROL PROCESSOR SYSTEM (C2P MOD) 1</t>
  </si>
  <si>
    <t>P-8a &gt; CVN-81 &gt; Electronics &gt; AN/UYQ-131 COMMAND &amp; CONTROL PROCESSOR SYSTEM (C2P MOD) 1</t>
  </si>
  <si>
    <t>AN/UYQ-131 COMMAND &amp; CONTROL PROCESSOR SYSTEM (C2P MOD)</t>
  </si>
  <si>
    <t>CVN-81 - P-8a Electronics - ARC-210 CARRIER AIR TRAFFIC CONTROL CENTER (CATCC) - PRIFLY - LANDING SIGNAL OFFICER (LSO) SYSTEM 1</t>
  </si>
  <si>
    <t>P-8a &gt; CVN-81 &gt; Electronics &gt; ARC-210 CARRIER AIR TRAFFIC CONTROL CENTER (CATCC) - PRIFLY - LANDING SIGNAL OFFICER (LSO) SYSTEM 1</t>
  </si>
  <si>
    <t>ARC-210 CARRIER AIR TRAFFIC CONTROL CENTER (CATCC) - PRIFLY - LANDING SIGNAL OFFICER (LSO) SYSTEM</t>
  </si>
  <si>
    <t>CVN-81 - P-8a Electronics - WARFARE SYSTEM INTEGRATION</t>
  </si>
  <si>
    <t>P-8a &gt; CVN-81 &gt; Electronics &gt; WARFARE SYSTEM INTEGRATION</t>
  </si>
  <si>
    <t>CVN-81 - P-8a Electronics - COMMERCIAL BROADBAND SATELLITE PROGRAM, FORCE LEVEL VARIANT (CBSP-FLV) 2</t>
  </si>
  <si>
    <t>P-8a &gt; CVN-81 &gt; Electronics &gt; COMMERCIAL BROADBAND SATELLITE PROGRAM, FORCE LEVEL VARIANT (CBSP-FLV) 2</t>
  </si>
  <si>
    <t>COMMERCIAL BROADBAND SATELLITE PROGRAM, FORCE LEVEL VARIANT (CBSP-FLV)</t>
  </si>
  <si>
    <t>CVN-81 - P-8a Electronics - GLOBAL POSITIONING SYSTEM, NAVIGATION, AND TIMING SERVICE (GPNTS) 1</t>
  </si>
  <si>
    <t>P-8a &gt; CVN-81 &gt; Electronics &gt; GLOBAL POSITIONING SYSTEM, NAVIGATION, AND TIMING SERVICE (GPNTS) 1</t>
  </si>
  <si>
    <t>122</t>
  </si>
  <si>
    <t>CVN-81 - P-8a Electronics - INTEGRATED STRIKE PLANNING &amp; EXECUTION SYSTEMS (ISP&amp;E) 1</t>
  </si>
  <si>
    <t>P-8a &gt; CVN-81 &gt; Electronics &gt; INTEGRATED STRIKE PLANNING &amp; EXECUTION SYSTEMS (ISP&amp;E) 1</t>
  </si>
  <si>
    <t>CVN-81 - P-8a Electronics - AN/SPN-41 (V), INSTRUMENT LANDING SYSTEM (ILS) 1</t>
  </si>
  <si>
    <t>P-8a &gt; CVN-81 &gt; Electronics &gt; AN/SPN-41 (V), INSTRUMENT LANDING SYSTEM (ILS) 1</t>
  </si>
  <si>
    <t>CVN-81 - P-8a Electronics - SHIP SIGNAL EXPLOITATION SPACE (SSES/SI) COMMUNICATIONS 1</t>
  </si>
  <si>
    <t>P-8a &gt; CVN-81 &gt; Electronics &gt; SHIP SIGNAL EXPLOITATION SPACE (SSES/SI) COMMUNICATIONS 1</t>
  </si>
  <si>
    <t>CVN-81 - P-8a Electronics - TURNKEY RADIO COMMUNICATIONS SYSTEM (RCS) 1</t>
  </si>
  <si>
    <t>P-8a &gt; CVN-81 &gt; Electronics &gt; TURNKEY RADIO COMMUNICATIONS SYSTEM (RCS) 1</t>
  </si>
  <si>
    <t>CVN-81 - P-8a Electronics - AN/USQ-T52 TRAINING INTERFACE UNIT (TIU) ADVANCED TRAINING DOMAIN (ATD) 1</t>
  </si>
  <si>
    <t>P-8a &gt; CVN-81 &gt; Electronics &gt; AN/USQ-T52 TRAINING INTERFACE UNIT (TIU) ADVANCED TRAINING DOMAIN (ATD) 1</t>
  </si>
  <si>
    <t>AN/USQ-T52 TRAINING INTERFACE UNIT (TIU) ADVANCED TRAINING DOMAIN (ATD)</t>
  </si>
  <si>
    <t>CVN-81 - P-8a Electronics - AN/SPS-73(V)18 NEXT GENERATION SURFACE SEARCH RADAR (NGSSR) 1</t>
  </si>
  <si>
    <t>P-8a &gt; CVN-81 &gt; Electronics &gt; AN/SPS-73(V)18 NEXT GENERATION SURFACE SEARCH RADAR (NGSSR) 1</t>
  </si>
  <si>
    <t>CVN-81 - P-8a Electronics - READY ROOM (JSF) 1</t>
  </si>
  <si>
    <t>P-8a &gt; CVN-81 &gt; Electronics &gt; READY ROOM (JSF) 1</t>
  </si>
  <si>
    <t>READY ROOM (JSF)</t>
  </si>
  <si>
    <t>CVN-81 - P-8a Electronics - LITHIUM ION BATTERY HANDLING &amp; STORAGE</t>
  </si>
  <si>
    <t>P-8a &gt; CVN-81 &gt; Electronics &gt; LITHIUM ION BATTERY HANDLING &amp; STORAGE</t>
  </si>
  <si>
    <t>CVN-81 - P-8a Electronics - OE-570G SATELLITE ANTENNA 1</t>
  </si>
  <si>
    <t>P-8a &gt; CVN-81 &gt; Electronics &gt; OE-570G SATELLITE ANTENNA 1</t>
  </si>
  <si>
    <t>CVN-81 - P-8a Electronics - ELECTRONIC CHART DISPLAY AND INFORMATION SYSTEM, NAVY (ECDIS-N) 1</t>
  </si>
  <si>
    <t>P-8a &gt; CVN-81 &gt; Electronics &gt; ELECTRONIC CHART DISPLAY AND INFORMATION SYSTEM, NAVY (ECDIS-N) 1</t>
  </si>
  <si>
    <t>CVN-81 - P-8a Electronics - ENVIRONMENTAL SATELLITE RECEIVER PROGRAM (ESRP) 1</t>
  </si>
  <si>
    <t>P-8a &gt; CVN-81 &gt; Electronics &gt; ENVIRONMENTAL SATELLITE RECEIVER PROGRAM (ESRP) 1</t>
  </si>
  <si>
    <t>CVN-81 - P-8a Electronics - Other ELECTRONICS</t>
  </si>
  <si>
    <t>P-8a &gt; CVN-81 &gt; Electronics &gt; Other ELECTRONICS</t>
  </si>
  <si>
    <t>CVN-81 - P-8a Hull, Mechanical, and Electrical - HM&amp;E ENGINEERING SERVICES</t>
  </si>
  <si>
    <t>P-8a &gt; CVN-81 &gt; Hull, Mechanical, and Electrical &gt; HM&amp;E ENGINEERING SERVICES</t>
  </si>
  <si>
    <t>123</t>
  </si>
  <si>
    <t>CVN-81 - P-8a Hull, Mechanical, and Electrical - LIFE RAFTS</t>
  </si>
  <si>
    <t>P-8a &gt; CVN-81 &gt; Hull, Mechanical, and Electrical &gt; LIFE RAFTS</t>
  </si>
  <si>
    <t>CVN-81 - P-8a Hull, Mechanical, and Electrical - SUPSHIP MATERIAL AND GFE</t>
  </si>
  <si>
    <t>P-8a &gt; CVN-81 &gt; Hull, Mechanical, and Electrical &gt; SUPSHIP MATERIAL AND GFE</t>
  </si>
  <si>
    <t>CVN-81 - P-8a Hull, Mechanical, and Electrical - TRUCKS (FORKLIFTS)</t>
  </si>
  <si>
    <t>P-8a &gt; CVN-81 &gt; Hull, Mechanical, and Electrical &gt; TRUCKS (FORKLIFTS)</t>
  </si>
  <si>
    <t>CVN-81 - P-8a Hull, Mechanical, and Electrical - Other HM&amp;E</t>
  </si>
  <si>
    <t>P-8a &gt; CVN-81 &gt; Hull, Mechanical, and Electrical &gt; Other HM&amp;E</t>
  </si>
  <si>
    <t>CVN-81 - P-8a Ordnance - ELECTROMAGNETIC AIRCRAFT LAUNCHING SYSTEM (EMALS) 1</t>
  </si>
  <si>
    <t>P-8a &gt; CVN-81 &gt; Ordnance &gt; ELECTROMAGNETIC AIRCRAFT LAUNCHING SYSTEM (EMALS) 1</t>
  </si>
  <si>
    <t>124</t>
  </si>
  <si>
    <t>CVN-81 - P-8a Ordnance - AN/SPY-6(V)3 ENTERPRISE AIR SURVEILLANCE RADAR (EASR) 1</t>
  </si>
  <si>
    <t>P-8a &gt; CVN-81 &gt; Ordnance &gt; AN/SPY-6(V)3 ENTERPRISE AIR SURVEILLANCE RADAR (EASR) 1</t>
  </si>
  <si>
    <t>CVN-81 - P-8a Ordnance - ADVANCED ARRESTING GEAR (AAG) 1</t>
  </si>
  <si>
    <t>P-8a &gt; CVN-81 &gt; Ordnance &gt; ADVANCED ARRESTING GEAR (AAG) 1</t>
  </si>
  <si>
    <t>CVN-81 - P-8a Ordnance - PHALANX BLOCK 1B MK 15 MOD 21 &amp; 22, CLOSE - IN WEAPONS SYSTEM (CIWS) 3</t>
  </si>
  <si>
    <t>P-8a &gt; CVN-81 &gt; Ordnance &gt; PHALANX BLOCK 1B MK 15 MOD 21 &amp; 22, CLOSE - IN WEAPONS SYSTEM (CIWS) 3</t>
  </si>
  <si>
    <t>CVN-81 - P-8a Ordnance - AN/SQQ-34, CARRIER-TACTICAL SUPPORT CENTER (CV-TSC) 1</t>
  </si>
  <si>
    <t>P-8a &gt; CVN-81 &gt; Ordnance &gt; AN/SQQ-34, CARRIER-TACTICAL SUPPORT CENTER (CV-TSC) 1</t>
  </si>
  <si>
    <t>CVN-81 - P-8a Ordnance - MK-57 NATO SEASPARROW MISSILE SYSTEM (NSSMS) 1</t>
  </si>
  <si>
    <t>P-8a &gt; CVN-81 &gt; Ordnance &gt; MK-57 NATO SEASPARROW MISSILE SYSTEM (NSSMS) 1</t>
  </si>
  <si>
    <t>CVN-81 - P-8a Ordnance - AVIATION DATA MANAGEMENT AND CONTROL SYSTEM (ADMACS) 1</t>
  </si>
  <si>
    <t>P-8a &gt; CVN-81 &gt; Ordnance &gt; AVIATION DATA MANAGEMENT AND CONTROL SYSTEM (ADMACS) 1</t>
  </si>
  <si>
    <t>CVN-81 - P-8a Ordnance - MK 49, MOD 3 ROLLING AIRFRAME MISSILE (RAM) 2</t>
  </si>
  <si>
    <t>P-8a &gt; CVN-81 &gt; Ordnance &gt; MK 49, MOD 3 ROLLING AIRFRAME MISSILE (RAM) 2</t>
  </si>
  <si>
    <t>MK 49, MOD 3 ROLLING AIRFRAME MISSILE (RAM)</t>
  </si>
  <si>
    <t>CVN-81 - P-8a Ordnance - AN/SPQ-9B, ANTI-SHIP MISSILE DEFENSE (ASMD) SURFACE SURVEILLANCE AND TRACKING RADAR 1</t>
  </si>
  <si>
    <t>P-8a &gt; CVN-81 &gt; Ordnance &gt; AN/SPQ-9B, ANTI-SHIP MISSILE DEFENSE (ASMD) SURFACE SURVEILLANCE AND TRACKING RADAR 1</t>
  </si>
  <si>
    <t>AN/SPQ-9B, ANTI-SHIP MISSILE DEFENSE (ASMD) SURFACE SURVEILLANCE AND TRACKING RADAR [CVN 81]</t>
  </si>
  <si>
    <t>CVN-81 - P-8a Ordnance - IMPROVED FRESNEL LENS OPTICAL LANDING SYSTEM (IFLOLS) 1</t>
  </si>
  <si>
    <t>P-8a &gt; CVN-81 &gt; Ordnance &gt; IMPROVED FRESNEL LENS OPTICAL LANDING SYSTEM (IFLOLS) 1</t>
  </si>
  <si>
    <t>CVN-81 - P-8a Ordnance - INTEGRATED LAUNCH AND RECOVERY TELEVISION SYSTEM (ILARTS) 1</t>
  </si>
  <si>
    <t>P-8a &gt; CVN-81 &gt; Ordnance &gt; INTEGRATED LAUNCH AND RECOVERY TELEVISION SYSTEM (ILARTS) 1</t>
  </si>
  <si>
    <t>CVN-81 - P-8a Ordnance - UNMANNED AVIATION WARFARE CENTER (UAWC) 1</t>
  </si>
  <si>
    <t>P-8a &gt; CVN-81 &gt; Ordnance &gt; UNMANNED AVIATION WARFARE CENTER (UAWC) 1</t>
  </si>
  <si>
    <t>CVN-81 - P-8a Ordnance - LANDING SIGNAL OFFICER DISPLAY SYSTEM (LSODS) 1</t>
  </si>
  <si>
    <t>P-8a &gt; CVN-81 &gt; Ordnance &gt; LANDING SIGNAL OFFICER DISPLAY SYSTEM (LSODS) 1</t>
  </si>
  <si>
    <t>CVN-81 - P-8a Ordnance - MORIAH BLOCK 2 1</t>
  </si>
  <si>
    <t>P-8a &gt; CVN-81 &gt; Ordnance &gt; MORIAH BLOCK 2 1</t>
  </si>
  <si>
    <t>CVN-81 - P-8a Ordnance - LONG RANGE LINEUP SYSTEM (LRLS) 1</t>
  </si>
  <si>
    <t>P-8a &gt; CVN-81 &gt; Ordnance &gt; LONG RANGE LINEUP SYSTEM (LRLS) 1</t>
  </si>
  <si>
    <t>CVN-81 - P-8a Ordnance - COMPACT SWAGING MACHINE (CSM) 2</t>
  </si>
  <si>
    <t>P-8a &gt; CVN-81 &gt; Ordnance &gt; COMPACT SWAGING MACHINE (CSM) 2</t>
  </si>
  <si>
    <t>CVN-81 - P-8a Ordnance - JOINT STRIKE FIGHTER ALIS 1</t>
  </si>
  <si>
    <t>P-8a &gt; CVN-81 &gt; Ordnance &gt; JOINT STRIKE FIGHTER ALIS 1</t>
  </si>
  <si>
    <t>CVN-81 - P-8a Ordnance - MK-38 MOD 3 MACHINE GUN SYSTEM (MGS) 4</t>
  </si>
  <si>
    <t>P-8a &gt; CVN-81 &gt; Ordnance &gt; MK-38 MOD 3 MACHINE GUN SYSTEM (MGS) 4</t>
  </si>
  <si>
    <t>CVN-81 - P-8a Ordnance - MANUALLY OPERATED VISUAL LANDING AID SYSTEM (MOVLAS) 1</t>
  </si>
  <si>
    <t>P-8a &gt; CVN-81 &gt; Ordnance &gt; MANUALLY OPERATED VISUAL LANDING AID SYSTEM (MOVLAS) 1</t>
  </si>
  <si>
    <t>CVN-81 - P-8a Ordnance - MAGOPS) 1</t>
  </si>
  <si>
    <t>P-8a &gt; CVN-81 &gt; Ordnance &gt; MAGOPS) 1</t>
  </si>
  <si>
    <t>CVN-81 - P-8a Ordnance - Other ORDNANCE</t>
  </si>
  <si>
    <t>P-8a &gt; CVN-81 &gt; Ordnance &gt; Other ORDNANCE</t>
  </si>
  <si>
    <t>CVN-81 - P-35 CONSOLIDATED AFLOAT NETWORK AND ENTERPRISE SERVICES (CANES) - Major Hardware                                                                                                                                                     1</t>
  </si>
  <si>
    <t>P-35 &gt; CVN-81 &gt; CONSOLIDATED AFLOAT NETWORK AND ENTERPRISE SERVICES (CANES) &gt; Major Hardware                                                                                                                                                     1</t>
  </si>
  <si>
    <t>125</t>
  </si>
  <si>
    <t>CVN-81 - P-35 CONSOLIDATED AFLOAT NETWORK AND ENTERPRISE SERVICES (CANES) - Technical Data and Documentation</t>
  </si>
  <si>
    <t>P-35 &gt; CVN-81 &gt; CONSOLIDATED AFLOAT NETWORK AND ENTERPRISE SERVICES (CANES) &gt; Technical Data and Documentation</t>
  </si>
  <si>
    <t>CVN-81 - P-35 CONSOLIDATED AFLOAT NETWORK AND ENTERPRISE SERVICES (CANES) - Spares</t>
  </si>
  <si>
    <t>P-35 &gt; CVN-81 &gt; CONSOLIDATED AFLOAT NETWORK AND ENTERPRISE SERVICES (CANES) &gt; Spares</t>
  </si>
  <si>
    <t>CONSOLIDATED AFLOAT NETWORK AND ENTERPRISE SERVICES (CANES) [CVN 81]</t>
  </si>
  <si>
    <t>CVN-81 - P-35 CONSOLIDATED AFLOAT NETWORK AND ENTERPRISE SERVICES (CANES) - System Engineering</t>
  </si>
  <si>
    <t>P-35 &gt; CVN-81 &gt; CONSOLIDATED AFLOAT NETWORK AND ENTERPRISE SERVICES (CANES) &gt; System Engineering</t>
  </si>
  <si>
    <t>CVN-81 - P-35 CONSOLIDATED AFLOAT NETWORK AND ENTERPRISE SERVICES (CANES) - Technical Engineering Services</t>
  </si>
  <si>
    <t>P-35 &gt; CVN-81 &gt; CONSOLIDATED AFLOAT NETWORK AND ENTERPRISE SERVICES (CANES) &gt; Technical Engineering Services</t>
  </si>
  <si>
    <t>CVN-81 - P-35 CONSOLIDATED AFLOAT NETWORK AND ENTERPRISE SERVICES (CANES) - Other Costs</t>
  </si>
  <si>
    <t>P-35 &gt; CVN-81 &gt; CONSOLIDATED AFLOAT NETWORK AND ENTERPRISE SERVICES (CANES) &gt; Other Costs</t>
  </si>
  <si>
    <t>CVN-81 - P-35 AN/USG-2, COOPERATIVE ENGAGEMENT CAPABILITY (CEC) - Major Hardware                                                                                                                                                       1</t>
  </si>
  <si>
    <t>P-35 &gt; CVN-81 &gt; AN/USG-2, COOPERATIVE ENGAGEMENT CAPABILITY (CEC) &gt; Major Hardware                                                                                                                                                       1</t>
  </si>
  <si>
    <t>126</t>
  </si>
  <si>
    <t>CVN-81 - P-35 AN/USG-2, COOPERATIVE ENGAGEMENT CAPABILITY (CEC) - Spares</t>
  </si>
  <si>
    <t>P-35 &gt; CVN-81 &gt; AN/USG-2, COOPERATIVE ENGAGEMENT CAPABILITY (CEC) &gt; Spares</t>
  </si>
  <si>
    <t>AN/USG-2, COOPERATIVE ENGAGEMENT CAPABILITY (CEC) [CVN 81]</t>
  </si>
  <si>
    <t>CVN-81 - P-35 AN/USG-2, COOPERATIVE ENGAGEMENT CAPABILITY (CEC) - System Engineering</t>
  </si>
  <si>
    <t>P-35 &gt; CVN-81 &gt; AN/USG-2, COOPERATIVE ENGAGEMENT CAPABILITY (CEC) &gt; System Engineering</t>
  </si>
  <si>
    <t>CVN-81 - P-35 AN/USG-2, COOPERATIVE ENGAGEMENT CAPABILITY (CEC) - Technical Engineering Services</t>
  </si>
  <si>
    <t>P-35 &gt; CVN-81 &gt; AN/USG-2, COOPERATIVE ENGAGEMENT CAPABILITY (CEC) &gt; Technical Engineering Services</t>
  </si>
  <si>
    <t>CVN-81 - P-35 AN/USG-2, COOPERATIVE ENGAGEMENT CAPABILITY (CEC) - Other Costs</t>
  </si>
  <si>
    <t>P-35 &gt; CVN-81 &gt; AN/USG-2, COOPERATIVE ENGAGEMENT CAPABILITY (CEC) &gt; Other Costs</t>
  </si>
  <si>
    <t>CVN-81 - P-35 DIGITAL MODULAR RADIO (DMR) ULTRA HIGH FREQUENCY/VERY HIGH FREQUENCY LINE OF PARM Code: PMW 170 - Major Hardware                                                                                                                                               1</t>
  </si>
  <si>
    <t>P-35 &gt; CVN-81 &gt; DIGITAL MODULAR RADIO (DMR) ULTRA HIGH FREQUENCY/VERY HIGH FREQUENCY LINE OF PARM Code: PMW 170 &gt; Major Hardware                                                                                                                                               1</t>
  </si>
  <si>
    <t>127</t>
  </si>
  <si>
    <t>CVN-81 - P-35 DIGITAL MODULAR RADIO (DMR) ULTRA HIGH FREQUENCY/VERY HIGH FREQUENCY LINE OF PARM Code: PMW 170 - Spares</t>
  </si>
  <si>
    <t>P-35 &gt; CVN-81 &gt; DIGITAL MODULAR RADIO (DMR) ULTRA HIGH FREQUENCY/VERY HIGH FREQUENCY LINE OF PARM Code: PMW 170 &gt; Spares</t>
  </si>
  <si>
    <t>DIGITAL MODULAR RADIO (DMR) ULTRA HIGH FREQUENCY/VERY HIGH FREQUENCY LINE OF SIGHT (EHF/VHF LOS) SAT</t>
  </si>
  <si>
    <t>CVN-81 - P-35 DIGITAL MODULAR RADIO (DMR) ULTRA HIGH FREQUENCY/VERY HIGH FREQUENCY LINE OF PARM Code: PMW 170 - System Engineering</t>
  </si>
  <si>
    <t>P-35 &gt; CVN-81 &gt; DIGITAL MODULAR RADIO (DMR) ULTRA HIGH FREQUENCY/VERY HIGH FREQUENCY LINE OF PARM Code: PMW 170 &gt; System Engineering</t>
  </si>
  <si>
    <t>CVN-81 - P-35 DIGITAL MODULAR RADIO (DMR) ULTRA HIGH FREQUENCY/VERY HIGH FREQUENCY LINE OF PARM Code: PMW 170 - Technical Engineering Services</t>
  </si>
  <si>
    <t>P-35 &gt; CVN-81 &gt; DIGITAL MODULAR RADIO (DMR) ULTRA HIGH FREQUENCY/VERY HIGH FREQUENCY LINE OF PARM Code: PMW 170 &gt; Technical Engineering Services</t>
  </si>
  <si>
    <t>CVN-81 - P-35 DIGITAL MODULAR RADIO (DMR) ULTRA HIGH FREQUENCY/VERY HIGH FREQUENCY LINE OF PARM Code: PMW 170 - Other Costs</t>
  </si>
  <si>
    <t>P-35 &gt; CVN-81 &gt; DIGITAL MODULAR RADIO (DMR) ULTRA HIGH FREQUENCY/VERY HIGH FREQUENCY LINE OF PARM Code: PMW 170 &gt; Other Costs</t>
  </si>
  <si>
    <t>CVN-81 - P-35 AN/UPX-29(V), INTERROGATOR FRIEND OR FOE (IFF) W/MK XII - Major Hardware                                                                                                                                                       1</t>
  </si>
  <si>
    <t>P-35 &gt; CVN-81 &gt; AN/UPX-29(V), INTERROGATOR FRIEND OR FOE (IFF) W/MK XII &gt; Major Hardware                                                                                                                                                       1</t>
  </si>
  <si>
    <t>128</t>
  </si>
  <si>
    <t>CVN-81 - P-35 AN/UPX-29(V), INTERROGATOR FRIEND OR FOE (IFF) W/MK XII - Ancillary Equipment</t>
  </si>
  <si>
    <t>P-35 &gt; CVN-81 &gt; AN/UPX-29(V), INTERROGATOR FRIEND OR FOE (IFF) W/MK XII &gt; Ancillary Equipment</t>
  </si>
  <si>
    <t>CVN-81 - P-35 AN/UPX-29(V), INTERROGATOR FRIEND OR FOE (IFF) W/MK XII - Technical Data and Documentation</t>
  </si>
  <si>
    <t>P-35 &gt; CVN-81 &gt; AN/UPX-29(V), INTERROGATOR FRIEND OR FOE (IFF) W/MK XII &gt; Technical Data and Documentation</t>
  </si>
  <si>
    <t>CVN-81 - P-35 AN/UPX-29(V), INTERROGATOR FRIEND OR FOE (IFF) W/MK XII - Spares</t>
  </si>
  <si>
    <t>P-35 &gt; CVN-81 &gt; AN/UPX-29(V), INTERROGATOR FRIEND OR FOE (IFF) W/MK XII &gt; Spares</t>
  </si>
  <si>
    <t>AN/UPX-29(V), INTERROGATOR FRIEND OR FOE (IFF) W/MK XII [CVN 81]</t>
  </si>
  <si>
    <t>CVN-81 - P-35 AN/UPX-29(V), INTERROGATOR FRIEND OR FOE (IFF) W/MK XII - System Engineering</t>
  </si>
  <si>
    <t>P-35 &gt; CVN-81 &gt; AN/UPX-29(V), INTERROGATOR FRIEND OR FOE (IFF) W/MK XII &gt; System Engineering</t>
  </si>
  <si>
    <t>CVN-81 - P-35 AN/UPX-29(V), INTERROGATOR FRIEND OR FOE (IFF) W/MK XII - Technical Engineering Services</t>
  </si>
  <si>
    <t>P-35 &gt; CVN-81 &gt; AN/UPX-29(V), INTERROGATOR FRIEND OR FOE (IFF) W/MK XII &gt; Technical Engineering Services</t>
  </si>
  <si>
    <t>CVN-81 - P-35 AN/UPX-29(V), INTERROGATOR FRIEND OR FOE (IFF) W/MK XII - Other Costs</t>
  </si>
  <si>
    <t>P-35 &gt; CVN-81 &gt; AN/UPX-29(V), INTERROGATOR FRIEND OR FOE (IFF) W/MK XII &gt; Other Costs</t>
  </si>
  <si>
    <t>CVN-81 - P-35 SPN-46, AUTOMATIC CARRIER LANDING SYSTEM - Major Hardware                                                                                                                                                 1</t>
  </si>
  <si>
    <t>P-35 &gt; CVN-81 &gt; SPN-46, AUTOMATIC CARRIER LANDING SYSTEM &gt; Major Hardware                                                                                                                                                 1</t>
  </si>
  <si>
    <t>129</t>
  </si>
  <si>
    <t>CVN-81 - P-35 SPN-46, AUTOMATIC CARRIER LANDING SYSTEM - System Engineering</t>
  </si>
  <si>
    <t>P-35 &gt; CVN-81 &gt; SPN-46, AUTOMATIC CARRIER LANDING SYSTEM &gt; System Engineering</t>
  </si>
  <si>
    <t>CVN-81 - P-35 SPN-46, AUTOMATIC CARRIER LANDING SYSTEM - Technical Engineering Services</t>
  </si>
  <si>
    <t>P-35 &gt; CVN-81 &gt; SPN-46, AUTOMATIC CARRIER LANDING SYSTEM &gt; Technical Engineering Services</t>
  </si>
  <si>
    <t>CVN-81 - P-35 SPN-46, AUTOMATIC CARRIER LANDING SYSTEM - Other Costs</t>
  </si>
  <si>
    <t>P-35 &gt; CVN-81 &gt; SPN-46, AUTOMATIC CARRIER LANDING SYSTEM &gt; Other Costs</t>
  </si>
  <si>
    <t>CVN-81 - P-35 SHIP SELF DEFENSE SYSTEM (SSDS) - Major Hardware                                                                                                                                                  1</t>
  </si>
  <si>
    <t>P-35 &gt; CVN-81 &gt; SHIP SELF DEFENSE SYSTEM (SSDS) &gt; Major Hardware                                                                                                                                                  1</t>
  </si>
  <si>
    <t>130</t>
  </si>
  <si>
    <t>CVN-81 - P-35 SHIP SELF DEFENSE SYSTEM (SSDS) - Technical Data and Documentation</t>
  </si>
  <si>
    <t>P-35 &gt; CVN-81 &gt; SHIP SELF DEFENSE SYSTEM (SSDS) &gt; Technical Data and Documentation</t>
  </si>
  <si>
    <t>CVN-81 - P-35 SHIP SELF DEFENSE SYSTEM (SSDS) - Spares</t>
  </si>
  <si>
    <t>P-35 &gt; CVN-81 &gt; SHIP SELF DEFENSE SYSTEM (SSDS) &gt; Spares</t>
  </si>
  <si>
    <t>CVN-81 - P-35 SHIP SELF DEFENSE SYSTEM (SSDS) - System Engineering</t>
  </si>
  <si>
    <t>P-35 &gt; CVN-81 &gt; SHIP SELF DEFENSE SYSTEM (SSDS) &gt; System Engineering</t>
  </si>
  <si>
    <t>CVN-81 - P-35 SHIP SELF DEFENSE SYSTEM (SSDS) - Technical Engineering Services</t>
  </si>
  <si>
    <t>P-35 &gt; CVN-81 &gt; SHIP SELF DEFENSE SYSTEM (SSDS) &gt; Technical Engineering Services</t>
  </si>
  <si>
    <t>CVN-81 - P-35 SHIP SELF DEFENSE SYSTEM (SSDS) - Other Costs</t>
  </si>
  <si>
    <t>P-35 &gt; CVN-81 &gt; SHIP SELF DEFENSE SYSTEM (SSDS) &gt; Other Costs</t>
  </si>
  <si>
    <t>CVN-81 - P-35 AN/SYY-1(V)1 AIR TRAFFIC CONTROL SYSTEM, SHIPBOARD - Major Hardware                                                                                                                                                     1</t>
  </si>
  <si>
    <t>P-35 &gt; CVN-81 &gt; AN/SYY-1(V)1 AIR TRAFFIC CONTROL SYSTEM, SHIPBOARD &gt; Major Hardware                                                                                                                                                     1</t>
  </si>
  <si>
    <t>131</t>
  </si>
  <si>
    <t>CVN-81 - P-35 AN/SYY-1(V)1 AIR TRAFFIC CONTROL SYSTEM, SHIPBOARD - Spares</t>
  </si>
  <si>
    <t>P-35 &gt; CVN-81 &gt; AN/SYY-1(V)1 AIR TRAFFIC CONTROL SYSTEM, SHIPBOARD &gt; Spares</t>
  </si>
  <si>
    <t>AN/SYY-1(V)1 AIR TRAFFIC CONTROL SYSTEM, SHIPBOARD [CVN 81]</t>
  </si>
  <si>
    <t>CVN-81 - P-35 AN/SYY-1(V)1 AIR TRAFFIC CONTROL SYSTEM, SHIPBOARD - System Engineering</t>
  </si>
  <si>
    <t>P-35 &gt; CVN-81 &gt; AN/SYY-1(V)1 AIR TRAFFIC CONTROL SYSTEM, SHIPBOARD &gt; System Engineering</t>
  </si>
  <si>
    <t>CVN-81 - P-35 AN/SYY-1(V)1 AIR TRAFFIC CONTROL SYSTEM, SHIPBOARD - Technical Engineering Services</t>
  </si>
  <si>
    <t>P-35 &gt; CVN-81 &gt; AN/SYY-1(V)1 AIR TRAFFIC CONTROL SYSTEM, SHIPBOARD &gt; Technical Engineering Services</t>
  </si>
  <si>
    <t>CVN-81 - P-35 AN/SYY-1(V)1 AIR TRAFFIC CONTROL SYSTEM, SHIPBOARD - Other Costs</t>
  </si>
  <si>
    <t>P-35 &gt; CVN-81 &gt; AN/SYY-1(V)1 AIR TRAFFIC CONTROL SYSTEM, SHIPBOARD &gt; Other Costs</t>
  </si>
  <si>
    <t>CVN-81 - P-35 NAVY MULTI-BAND TERMINAL (NMT) - Major Hardware                                                                                                                                                     1</t>
  </si>
  <si>
    <t>P-35 &gt; CVN-81 &gt; NAVY MULTI-BAND TERMINAL (NMT) &gt; Major Hardware                                                                                                                                                     1</t>
  </si>
  <si>
    <t>132</t>
  </si>
  <si>
    <t>CVN-81 - P-35 NAVY MULTI-BAND TERMINAL (NMT) - Spares</t>
  </si>
  <si>
    <t>P-35 &gt; CVN-81 &gt; NAVY MULTI-BAND TERMINAL (NMT) &gt; Spares</t>
  </si>
  <si>
    <t>CVN-81 - P-35 NAVY MULTI-BAND TERMINAL (NMT) - System Engineering</t>
  </si>
  <si>
    <t>P-35 &gt; CVN-81 &gt; NAVY MULTI-BAND TERMINAL (NMT) &gt; System Engineering</t>
  </si>
  <si>
    <t>CVN-81 - P-35 NAVY MULTI-BAND TERMINAL (NMT) - Technical Engineering Services</t>
  </si>
  <si>
    <t>P-35 &gt; CVN-81 &gt; NAVY MULTI-BAND TERMINAL (NMT) &gt; Technical Engineering Services</t>
  </si>
  <si>
    <t>CVN-81 - P-35 NAVY MULTI-BAND TERMINAL (NMT) - Other Costs</t>
  </si>
  <si>
    <t>P-35 &gt; CVN-81 &gt; NAVY MULTI-BAND TERMINAL (NMT) &gt; Other Costs</t>
  </si>
  <si>
    <t>CVN-81 - P-35 AN/SLQ-32(V)7, SURFACE ELECTRONIC WARFARE IMPROVEMENT PROGRAM (SEWIP) BLOCK PARM Code: PEO IWS 2E - Major Hardware                                                                                                                                                   1</t>
  </si>
  <si>
    <t>P-35 &gt; CVN-81 &gt; AN/SLQ-32(V)7, SURFACE ELECTRONIC WARFARE IMPROVEMENT PROGRAM (SEWIP) BLOCK PARM Code: PEO IWS 2E &gt; Major Hardware                                                                                                                                                   1</t>
  </si>
  <si>
    <t>133</t>
  </si>
  <si>
    <t>CVN-81 - P-35 AN/SLQ-32(V)7, SURFACE ELECTRONIC WARFARE IMPROVEMENT PROGRAM (SEWIP) BLOCK PARM Code: PEO IWS 2E - Ancillary Equipment</t>
  </si>
  <si>
    <t>P-35 &gt; CVN-81 &gt; AN/SLQ-32(V)7, SURFACE ELECTRONIC WARFARE IMPROVEMENT PROGRAM (SEWIP) BLOCK PARM Code: PEO IWS 2E &gt; Ancillary Equipment</t>
  </si>
  <si>
    <t>CVN-81 - P-35 AN/SLQ-32(V)7, SURFACE ELECTRONIC WARFARE IMPROVEMENT PROGRAM (SEWIP) BLOCK PARM Code: PEO IWS 2E - Spares</t>
  </si>
  <si>
    <t>P-35 &gt; CVN-81 &gt; AN/SLQ-32(V)7, SURFACE ELECTRONIC WARFARE IMPROVEMENT PROGRAM (SEWIP) BLOCK PARM Code: PEO IWS 2E &gt; Spares</t>
  </si>
  <si>
    <t>CVN-81 - P-35 AN/SLQ-32(V)7, SURFACE ELECTRONIC WARFARE IMPROVEMENT PROGRAM (SEWIP) BLOCK PARM Code: PEO IWS 2E - System Engineering</t>
  </si>
  <si>
    <t>P-35 &gt; CVN-81 &gt; AN/SLQ-32(V)7, SURFACE ELECTRONIC WARFARE IMPROVEMENT PROGRAM (SEWIP) BLOCK PARM Code: PEO IWS 2E &gt; System Engineering</t>
  </si>
  <si>
    <t>CVN-81 - P-35 AN/SLQ-32(V)7, SURFACE ELECTRONIC WARFARE IMPROVEMENT PROGRAM (SEWIP) BLOCK PARM Code: PEO IWS 2E - Technical Engineering Services</t>
  </si>
  <si>
    <t>P-35 &gt; CVN-81 &gt; AN/SLQ-32(V)7, SURFACE ELECTRONIC WARFARE IMPROVEMENT PROGRAM (SEWIP) BLOCK PARM Code: PEO IWS 2E &gt; Technical Engineering Services</t>
  </si>
  <si>
    <t>CVN-81 - P-35 AN/SLQ-32(V)7, SURFACE ELECTRONIC WARFARE IMPROVEMENT PROGRAM (SEWIP) BLOCK PARM Code: PEO IWS 2E - Other Costs</t>
  </si>
  <si>
    <t>P-35 &gt; CVN-81 &gt; AN/SLQ-32(V)7, SURFACE ELECTRONIC WARFARE IMPROVEMENT PROGRAM (SEWIP) BLOCK PARM Code: PEO IWS 2E &gt; Other Costs</t>
  </si>
  <si>
    <t>CVN-81 - P-35 SPECTRAL - Major Hardware                                                                                                                                                          1</t>
  </si>
  <si>
    <t>P-35 &gt; CVN-81 &gt; SPECTRAL &gt; Major Hardware                                                                                                                                                          1</t>
  </si>
  <si>
    <t>134</t>
  </si>
  <si>
    <t>CVN-81 - P-35 SPECTRAL - Spares</t>
  </si>
  <si>
    <t>P-35 &gt; CVN-81 &gt; SPECTRAL &gt; Spares</t>
  </si>
  <si>
    <t>CVN-81 - P-35 SPECTRAL - System Engineering</t>
  </si>
  <si>
    <t>P-35 &gt; CVN-81 &gt; SPECTRAL &gt; System Engineering</t>
  </si>
  <si>
    <t>CVN-81 - P-35 SPECTRAL - Technical Engineering Services</t>
  </si>
  <si>
    <t>P-35 &gt; CVN-81 &gt; SPECTRAL &gt; Technical Engineering Services</t>
  </si>
  <si>
    <t>CVN-81 - P-35 SPECTRAL - Other Costs</t>
  </si>
  <si>
    <t>P-35 &gt; CVN-81 &gt; SPECTRAL &gt; Other Costs</t>
  </si>
  <si>
    <t>CVN-81 - P-35 AN/SRC-66(V)3 HFDAG - Major Hardware                                                                                                                                                 1</t>
  </si>
  <si>
    <t>P-35 &gt; CVN-81 &gt; AN/SRC-66(V)3 HFDAG &gt; Major Hardware                                                                                                                                                 1</t>
  </si>
  <si>
    <t>135</t>
  </si>
  <si>
    <t>CVN-81 - P-35 AN/SRC-66(V)3 HFDAG - Spares</t>
  </si>
  <si>
    <t>P-35 &gt; CVN-81 &gt; AN/SRC-66(V)3 HFDAG &gt; Spares</t>
  </si>
  <si>
    <t>CVN-81 - P-35 AN/SRC-66(V)3 HFDAG - System Engineering</t>
  </si>
  <si>
    <t>P-35 &gt; CVN-81 &gt; AN/SRC-66(V)3 HFDAG &gt; System Engineering</t>
  </si>
  <si>
    <t>CVN-81 - P-35 AN/SRC-66(V)3 HFDAG - Technical Engineering Services</t>
  </si>
  <si>
    <t>P-35 &gt; CVN-81 &gt; AN/SRC-66(V)3 HFDAG &gt; Technical Engineering Services</t>
  </si>
  <si>
    <t>CVN-81 - P-35 AN/SRC-66(V)3 HFDAG - Other Costs</t>
  </si>
  <si>
    <t>P-35 &gt; CVN-81 &gt; AN/SRC-66(V)3 HFDAG &gt; Other Costs</t>
  </si>
  <si>
    <t>CVN-81 - P-35 AN/USN-3(V)1 SATELLITE SIGNAL LANDING SYSTEM (SSLS) - Major Hardware                                                                                                                                                    1</t>
  </si>
  <si>
    <t>P-35 &gt; CVN-81 &gt; AN/USN-3(V)1 SATELLITE SIGNAL LANDING SYSTEM (SSLS) &gt; Major Hardware                                                                                                                                                    1</t>
  </si>
  <si>
    <t>136</t>
  </si>
  <si>
    <t>CVN-81 - P-35 AN/USN-3(V)1 SATELLITE SIGNAL LANDING SYSTEM (SSLS) - Spares</t>
  </si>
  <si>
    <t>P-35 &gt; CVN-81 &gt; AN/USN-3(V)1 SATELLITE SIGNAL LANDING SYSTEM (SSLS) &gt; Spares</t>
  </si>
  <si>
    <t>AN/USN-3(V)1 SATELLITE SIGNAL LANDING SYSTEM (SSLS) [CVN 81]</t>
  </si>
  <si>
    <t>CVN-81 - P-35 AN/USN-3(V)1 SATELLITE SIGNAL LANDING SYSTEM (SSLS) - System Engineering</t>
  </si>
  <si>
    <t>P-35 &gt; CVN-81 &gt; AN/USN-3(V)1 SATELLITE SIGNAL LANDING SYSTEM (SSLS) &gt; System Engineering</t>
  </si>
  <si>
    <t>CVN-81 - P-35 AN/USN-3(V)1 SATELLITE SIGNAL LANDING SYSTEM (SSLS) - Technical Engineering Services</t>
  </si>
  <si>
    <t>P-35 &gt; CVN-81 &gt; AN/USN-3(V)1 SATELLITE SIGNAL LANDING SYSTEM (SSLS) &gt; Technical Engineering Services</t>
  </si>
  <si>
    <t>CVN-81 - P-35 AN/USN-3(V)1 SATELLITE SIGNAL LANDING SYSTEM (SSLS) - Other Costs</t>
  </si>
  <si>
    <t>P-35 &gt; CVN-81 &gt; AN/USN-3(V)1 SATELLITE SIGNAL LANDING SYSTEM (SSLS) &gt; Other Costs</t>
  </si>
  <si>
    <t>CVN-81 - P-35 OA-9277 ULTRA HIGH FREQUENCY (UHF) MULTICOUPLER - Major Hardware                                                                                                                                             1</t>
  </si>
  <si>
    <t>P-35 &gt; CVN-81 &gt; OA-9277 ULTRA HIGH FREQUENCY (UHF) MULTICOUPLER &gt; Major Hardware                                                                                                                                             1</t>
  </si>
  <si>
    <t>137</t>
  </si>
  <si>
    <t>CVN-81 - P-35 OA-9277 ULTRA HIGH FREQUENCY (UHF) MULTICOUPLER - System Engineering</t>
  </si>
  <si>
    <t>P-35 &gt; CVN-81 &gt; OA-9277 ULTRA HIGH FREQUENCY (UHF) MULTICOUPLER &gt; System Engineering</t>
  </si>
  <si>
    <t>CVN-81 - P-35 OA-9277 ULTRA HIGH FREQUENCY (UHF) MULTICOUPLER - Technical Engineering Services</t>
  </si>
  <si>
    <t>P-35 &gt; CVN-81 &gt; OA-9277 ULTRA HIGH FREQUENCY (UHF) MULTICOUPLER &gt; Technical Engineering Services</t>
  </si>
  <si>
    <t>CVN-81 - P-35 OA-9277 ULTRA HIGH FREQUENCY (UHF) MULTICOUPLER - Other Costs</t>
  </si>
  <si>
    <t>P-35 &gt; CVN-81 &gt; OA-9277 ULTRA HIGH FREQUENCY (UHF) MULTICOUPLER &gt; Other Costs</t>
  </si>
  <si>
    <t>CVN-81 - P-35 AN/WSN-12(V)1, RING LASER GYRO NAVIGATOR (RLGN) - Major Hardware                                                                                                                                              1</t>
  </si>
  <si>
    <t>P-35 &gt; CVN-81 &gt; AN/WSN-12(V)1, RING LASER GYRO NAVIGATOR (RLGN) &gt; Major Hardware                                                                                                                                              1</t>
  </si>
  <si>
    <t>138</t>
  </si>
  <si>
    <t>CVN-81 - P-35 AN/WSN-12(V)1, RING LASER GYRO NAVIGATOR (RLGN) - Spares</t>
  </si>
  <si>
    <t>P-35 &gt; CVN-81 &gt; AN/WSN-12(V)1, RING LASER GYRO NAVIGATOR (RLGN) &gt; Spares</t>
  </si>
  <si>
    <t>AN/WSN-12(V)1, RING LASER GYRO NAVIGATOR (RLGN) [CVN 81]</t>
  </si>
  <si>
    <t>CVN-81 - P-35 AN/WSN-12(V)1, RING LASER GYRO NAVIGATOR (RLGN) - System Engineering</t>
  </si>
  <si>
    <t>P-35 &gt; CVN-81 &gt; AN/WSN-12(V)1, RING LASER GYRO NAVIGATOR (RLGN) &gt; System Engineering</t>
  </si>
  <si>
    <t>CVN-81 - P-35 AN/WSN-12(V)1, RING LASER GYRO NAVIGATOR (RLGN) - Technical Engineering Services</t>
  </si>
  <si>
    <t>P-35 &gt; CVN-81 &gt; AN/WSN-12(V)1, RING LASER GYRO NAVIGATOR (RLGN) &gt; Technical Engineering Services</t>
  </si>
  <si>
    <t>CVN-81 - P-35 AN/WSN-12(V)1, RING LASER GYRO NAVIGATOR (RLGN) - Other Costs</t>
  </si>
  <si>
    <t>P-35 &gt; CVN-81 &gt; AN/WSN-12(V)1, RING LASER GYRO NAVIGATOR (RLGN) &gt; Other Costs</t>
  </si>
  <si>
    <t>CVN-81 - P-35 AN/USQ-214(V)1, NETWORK TACTICAL COMMON DATA LINK (NTCDL) SYSTEM - Major Hardware                                                                                                                                                    1</t>
  </si>
  <si>
    <t>P-35 &gt; CVN-81 &gt; AN/USQ-214(V)1, NETWORK TACTICAL COMMON DATA LINK (NTCDL) SYSTEM &gt; Major Hardware                                                                                                                                                    1</t>
  </si>
  <si>
    <t>139</t>
  </si>
  <si>
    <t>CVN-81 - P-35 AN/USQ-214(V)1, NETWORK TACTICAL COMMON DATA LINK (NTCDL) SYSTEM - Spares</t>
  </si>
  <si>
    <t>P-35 &gt; CVN-81 &gt; AN/USQ-214(V)1, NETWORK TACTICAL COMMON DATA LINK (NTCDL) SYSTEM &gt; Spares</t>
  </si>
  <si>
    <t>AN/USQ-214(V)1, NETWORK TACTICAL COMMON DATA LINK (NTCDL) SYSTEM [CVN 81]</t>
  </si>
  <si>
    <t>CVN-81 - P-35 AN/USQ-214(V)1, NETWORK TACTICAL COMMON DATA LINK (NTCDL) SYSTEM - System Engineering</t>
  </si>
  <si>
    <t>P-35 &gt; CVN-81 &gt; AN/USQ-214(V)1, NETWORK TACTICAL COMMON DATA LINK (NTCDL) SYSTEM &gt; System Engineering</t>
  </si>
  <si>
    <t>CVN-81 - P-35 AN/USQ-214(V)1, NETWORK TACTICAL COMMON DATA LINK (NTCDL) SYSTEM - Technical Engineering Services</t>
  </si>
  <si>
    <t>P-35 &gt; CVN-81 &gt; AN/USQ-214(V)1, NETWORK TACTICAL COMMON DATA LINK (NTCDL) SYSTEM &gt; Technical Engineering Services</t>
  </si>
  <si>
    <t>CVN-81 - P-35 AN/USQ-214(V)1, NETWORK TACTICAL COMMON DATA LINK (NTCDL) SYSTEM - Other Costs</t>
  </si>
  <si>
    <t>P-35 &gt; CVN-81 &gt; AN/USQ-214(V)1, NETWORK TACTICAL COMMON DATA LINK (NTCDL) SYSTEM &gt; Other Costs</t>
  </si>
  <si>
    <t>CVN-81 - P-35 MK 53 MOD 15 DECOY LAUNCHING SYSTEM (DLS) - Major Hardware                                                                                                                                                   1</t>
  </si>
  <si>
    <t>P-35 &gt; CVN-81 &gt; MK 53 MOD 15 DECOY LAUNCHING SYSTEM (DLS) &gt; Major Hardware                                                                                                                                                   1</t>
  </si>
  <si>
    <t>140</t>
  </si>
  <si>
    <t>CVN-81 - P-35 MK 53 MOD 15 DECOY LAUNCHING SYSTEM (DLS) - Technical Data and Documentation</t>
  </si>
  <si>
    <t>P-35 &gt; CVN-81 &gt; MK 53 MOD 15 DECOY LAUNCHING SYSTEM (DLS) &gt; Technical Data and Documentation</t>
  </si>
  <si>
    <t>CVN-81 - P-35 MK 53 MOD 15 DECOY LAUNCHING SYSTEM (DLS) - Spares</t>
  </si>
  <si>
    <t>P-35 &gt; CVN-81 &gt; MK 53 MOD 15 DECOY LAUNCHING SYSTEM (DLS) &gt; Spares</t>
  </si>
  <si>
    <t>MK 53 MOD 15 DECOY LAUNCHING SYSTEM (DLS) [CVN 81]</t>
  </si>
  <si>
    <t>CVN-81 - P-35 MK 53 MOD 15 DECOY LAUNCHING SYSTEM (DLS) - System Engineering</t>
  </si>
  <si>
    <t>P-35 &gt; CVN-81 &gt; MK 53 MOD 15 DECOY LAUNCHING SYSTEM (DLS) &gt; System Engineering</t>
  </si>
  <si>
    <t>CVN-81 - P-35 MK 53 MOD 15 DECOY LAUNCHING SYSTEM (DLS) - Technical Engineering Services</t>
  </si>
  <si>
    <t>P-35 &gt; CVN-81 &gt; MK 53 MOD 15 DECOY LAUNCHING SYSTEM (DLS) &gt; Technical Engineering Services</t>
  </si>
  <si>
    <t>CVN-81 - P-35 MK 53 MOD 15 DECOY LAUNCHING SYSTEM (DLS) - Other Costs</t>
  </si>
  <si>
    <t>P-35 &gt; CVN-81 &gt; MK 53 MOD 15 DECOY LAUNCHING SYSTEM (DLS) &gt; Other Costs</t>
  </si>
  <si>
    <t>CVN-81 - P-35 I-STALKER - Major Hardware                                                                                                                                                       1</t>
  </si>
  <si>
    <t>P-35 &gt; CVN-81 &gt; I-STALKER &gt; Major Hardware                                                                                                                                                       1</t>
  </si>
  <si>
    <t>141</t>
  </si>
  <si>
    <t>CVN-81 - P-35 I-STALKER - Ancillary Equipment</t>
  </si>
  <si>
    <t>P-35 &gt; CVN-81 &gt; I-STALKER &gt; Ancillary Equipment</t>
  </si>
  <si>
    <t>CVN-81 - P-35 I-STALKER - Spares</t>
  </si>
  <si>
    <t>P-35 &gt; CVN-81 &gt; I-STALKER &gt; Spares</t>
  </si>
  <si>
    <t>CVN-81 - P-35 I-STALKER - System Engineering</t>
  </si>
  <si>
    <t>P-35 &gt; CVN-81 &gt; I-STALKER &gt; System Engineering</t>
  </si>
  <si>
    <t>CVN-81 - P-35 I-STALKER - Technical Engineering Services</t>
  </si>
  <si>
    <t>P-35 &gt; CVN-81 &gt; I-STALKER &gt; Technical Engineering Services</t>
  </si>
  <si>
    <t>CVN-81 - P-35 I-STALKER - Other Costs</t>
  </si>
  <si>
    <t>P-35 &gt; CVN-81 &gt; I-STALKER &gt; Other Costs</t>
  </si>
  <si>
    <t>CVN-81 - P-35 ELECTROMAGNETIC AIRCRAFT LAUNCHING SYSTEM (EMALS) - Major Hardware                                                                                                                                                  1</t>
  </si>
  <si>
    <t>P-35 &gt; CVN-81 &gt; ELECTROMAGNETIC AIRCRAFT LAUNCHING SYSTEM (EMALS) &gt; Major Hardware                                                                                                                                                  1</t>
  </si>
  <si>
    <t>142</t>
  </si>
  <si>
    <t>CVN-81 - P-35 ELECTROMAGNETIC AIRCRAFT LAUNCHING SYSTEM (EMALS) - Spares</t>
  </si>
  <si>
    <t>P-35 &gt; CVN-81 &gt; ELECTROMAGNETIC AIRCRAFT LAUNCHING SYSTEM (EMALS) &gt; Spares</t>
  </si>
  <si>
    <t>ELECTROMAGNETIC AIRCRAFT LAUNCHING SYSTEM (EMALS) [CVN 81]</t>
  </si>
  <si>
    <t>CVN-81 - P-35 ELECTROMAGNETIC AIRCRAFT LAUNCHING SYSTEM (EMALS) - System Engineering</t>
  </si>
  <si>
    <t>P-35 &gt; CVN-81 &gt; ELECTROMAGNETIC AIRCRAFT LAUNCHING SYSTEM (EMALS) &gt; System Engineering</t>
  </si>
  <si>
    <t>CVN-81 - P-35 ELECTROMAGNETIC AIRCRAFT LAUNCHING SYSTEM (EMALS) - Technical Engineering Services</t>
  </si>
  <si>
    <t>P-35 &gt; CVN-81 &gt; ELECTROMAGNETIC AIRCRAFT LAUNCHING SYSTEM (EMALS) &gt; Technical Engineering Services</t>
  </si>
  <si>
    <t>CVN-81 - P-35 ELECTROMAGNETIC AIRCRAFT LAUNCHING SYSTEM (EMALS) - Other Costs</t>
  </si>
  <si>
    <t>P-35 &gt; CVN-81 &gt; ELECTROMAGNETIC AIRCRAFT LAUNCHING SYSTEM (EMALS) &gt; Other Costs</t>
  </si>
  <si>
    <t>CVN-81 - P-35 AN/SPY-6(V)3 ENTERPRISE AIR SURVEILLANCE RADAR (EASR) - Major Hardware                                                                                                                                                     1</t>
  </si>
  <si>
    <t>P-35 &gt; CVN-81 &gt; AN/SPY-6(V)3 ENTERPRISE AIR SURVEILLANCE RADAR (EASR) &gt; Major Hardware                                                                                                                                                     1</t>
  </si>
  <si>
    <t>143</t>
  </si>
  <si>
    <t>CVN-81 - P-35 AN/SPY-6(V)3 ENTERPRISE AIR SURVEILLANCE RADAR (EASR) - Ancillary Equipment</t>
  </si>
  <si>
    <t>P-35 &gt; CVN-81 &gt; AN/SPY-6(V)3 ENTERPRISE AIR SURVEILLANCE RADAR (EASR) &gt; Ancillary Equipment</t>
  </si>
  <si>
    <t>CVN-81 - P-35 AN/SPY-6(V)3 ENTERPRISE AIR SURVEILLANCE RADAR (EASR) - Spares</t>
  </si>
  <si>
    <t>P-35 &gt; CVN-81 &gt; AN/SPY-6(V)3 ENTERPRISE AIR SURVEILLANCE RADAR (EASR) &gt; Spares</t>
  </si>
  <si>
    <t>AN/SPY-6(V)3 ENTERPRISE AIR SURVEILLANCE RADAR (EASR) [CVN 81]</t>
  </si>
  <si>
    <t>CVN-81 - P-35 AN/SPY-6(V)3 ENTERPRISE AIR SURVEILLANCE RADAR (EASR) - System Engineering</t>
  </si>
  <si>
    <t>P-35 &gt; CVN-81 &gt; AN/SPY-6(V)3 ENTERPRISE AIR SURVEILLANCE RADAR (EASR) &gt; System Engineering</t>
  </si>
  <si>
    <t>CVN-81 - P-35 AN/SPY-6(V)3 ENTERPRISE AIR SURVEILLANCE RADAR (EASR) - Technical Engineering Services</t>
  </si>
  <si>
    <t>P-35 &gt; CVN-81 &gt; AN/SPY-6(V)3 ENTERPRISE AIR SURVEILLANCE RADAR (EASR) &gt; Technical Engineering Services</t>
  </si>
  <si>
    <t>CVN-81 - P-35 AN/SPY-6(V)3 ENTERPRISE AIR SURVEILLANCE RADAR (EASR) - Other Costs</t>
  </si>
  <si>
    <t>P-35 &gt; CVN-81 &gt; AN/SPY-6(V)3 ENTERPRISE AIR SURVEILLANCE RADAR (EASR) &gt; Other Costs</t>
  </si>
  <si>
    <t>CVN-81 - P-35 ADVANCED ARRESTING GEAR (AAG) - Major Hardware                                                                                                                                                       1</t>
  </si>
  <si>
    <t>P-35 &gt; CVN-81 &gt; ADVANCED ARRESTING GEAR (AAG) &gt; Major Hardware                                                                                                                                                       1</t>
  </si>
  <si>
    <t>144</t>
  </si>
  <si>
    <t>CVN-81 - P-35 ADVANCED ARRESTING GEAR (AAG) - Spares</t>
  </si>
  <si>
    <t>P-35 &gt; CVN-81 &gt; ADVANCED ARRESTING GEAR (AAG) &gt; Spares</t>
  </si>
  <si>
    <t>CVN-81 - P-35 ADVANCED ARRESTING GEAR (AAG) - System Engineering</t>
  </si>
  <si>
    <t>P-35 &gt; CVN-81 &gt; ADVANCED ARRESTING GEAR (AAG) &gt; System Engineering</t>
  </si>
  <si>
    <t>CVN-81 - P-35 ADVANCED ARRESTING GEAR (AAG) - Technical Engineering Services</t>
  </si>
  <si>
    <t>P-35 &gt; CVN-81 &gt; ADVANCED ARRESTING GEAR (AAG) &gt; Technical Engineering Services</t>
  </si>
  <si>
    <t>CVN-81 - P-35 ADVANCED ARRESTING GEAR (AAG) - Other Costs</t>
  </si>
  <si>
    <t>P-35 &gt; CVN-81 &gt; ADVANCED ARRESTING GEAR (AAG) &gt; Other Costs</t>
  </si>
  <si>
    <t>CVN-81 - P-35 PHALANX BLOCK 1B MK 15 MOD 21 &amp; 22, CLOSE - IN WEAPONS SYSTEM (CIWS) - Major Hardware                                                                                                                                                         3</t>
  </si>
  <si>
    <t>P-35 &gt; CVN-81 &gt; PHALANX BLOCK 1B MK 15 MOD 21 &amp; 22, CLOSE - IN WEAPONS SYSTEM (CIWS) &gt; Major Hardware                                                                                                                                                         3</t>
  </si>
  <si>
    <t>145</t>
  </si>
  <si>
    <t>CVN-81 - P-35 PHALANX BLOCK 1B MK 15 MOD 21 &amp; 22, CLOSE - IN WEAPONS SYSTEM (CIWS) - Ancillary Equipment</t>
  </si>
  <si>
    <t>P-35 &gt; CVN-81 &gt; PHALANX BLOCK 1B MK 15 MOD 21 &amp; 22, CLOSE - IN WEAPONS SYSTEM (CIWS) &gt; Ancillary Equipment</t>
  </si>
  <si>
    <t>CVN-81 - P-35 PHALANX BLOCK 1B MK 15 MOD 21 &amp; 22, CLOSE - IN WEAPONS SYSTEM (CIWS) - Spares</t>
  </si>
  <si>
    <t>P-35 &gt; CVN-81 &gt; PHALANX BLOCK 1B MK 15 MOD 21 &amp; 22, CLOSE - IN WEAPONS SYSTEM (CIWS) &gt; Spares</t>
  </si>
  <si>
    <t>CVN-81 - P-35 PHALANX BLOCK 1B MK 15 MOD 21 &amp; 22, CLOSE - IN WEAPONS SYSTEM (CIWS) - System Engineering</t>
  </si>
  <si>
    <t>P-35 &gt; CVN-81 &gt; PHALANX BLOCK 1B MK 15 MOD 21 &amp; 22, CLOSE - IN WEAPONS SYSTEM (CIWS) &gt; System Engineering</t>
  </si>
  <si>
    <t>CVN-81 - P-35 PHALANX BLOCK 1B MK 15 MOD 21 &amp; 22, CLOSE - IN WEAPONS SYSTEM (CIWS) - Technical Engineering Services</t>
  </si>
  <si>
    <t>P-35 &gt; CVN-81 &gt; PHALANX BLOCK 1B MK 15 MOD 21 &amp; 22, CLOSE - IN WEAPONS SYSTEM (CIWS) &gt; Technical Engineering Services</t>
  </si>
  <si>
    <t>CVN-81 - P-35 PHALANX BLOCK 1B MK 15 MOD 21 &amp; 22, CLOSE - IN WEAPONS SYSTEM (CIWS) - Other Costs</t>
  </si>
  <si>
    <t>P-35 &gt; CVN-81 &gt; PHALANX BLOCK 1B MK 15 MOD 21 &amp; 22, CLOSE - IN WEAPONS SYSTEM (CIWS) &gt; Other Costs</t>
  </si>
  <si>
    <t>CVN-81 - P-35 AN/SQQ-34, CARRIER-TACTICAL SUPPORT CENTER (CV-TSC) - Major Hardware                                                                                                                                             1</t>
  </si>
  <si>
    <t>P-35 &gt; CVN-81 &gt; AN/SQQ-34, CARRIER-TACTICAL SUPPORT CENTER (CV-TSC) &gt; Major Hardware                                                                                                                                             1</t>
  </si>
  <si>
    <t>146</t>
  </si>
  <si>
    <t>CVN-81 - P-35 AN/SQQ-34, CARRIER-TACTICAL SUPPORT CENTER (CV-TSC) - Spares</t>
  </si>
  <si>
    <t>P-35 &gt; CVN-81 &gt; AN/SQQ-34, CARRIER-TACTICAL SUPPORT CENTER (CV-TSC) &gt; Spares</t>
  </si>
  <si>
    <t>AN/SQQ-34, CARRIER-TACTICAL SUPPORT CENTER (CV-TSC) [CVN 81]</t>
  </si>
  <si>
    <t>CVN-81 - P-35 AN/SQQ-34, CARRIER-TACTICAL SUPPORT CENTER (CV-TSC) - System Engineering</t>
  </si>
  <si>
    <t>P-35 &gt; CVN-81 &gt; AN/SQQ-34, CARRIER-TACTICAL SUPPORT CENTER (CV-TSC) &gt; System Engineering</t>
  </si>
  <si>
    <t>CVN-81 - P-35 AN/SQQ-34, CARRIER-TACTICAL SUPPORT CENTER (CV-TSC) - Other Costs</t>
  </si>
  <si>
    <t>P-35 &gt; CVN-81 &gt; AN/SQQ-34, CARRIER-TACTICAL SUPPORT CENTER (CV-TSC) &gt; Other Costs</t>
  </si>
  <si>
    <t>CVN-81 - P-35 MK-57 NATO SEASPARROW MISSILE SYSTEM (NSSMS) - Major Hardware                                                                                                                                                1</t>
  </si>
  <si>
    <t>P-35 &gt; CVN-81 &gt; MK-57 NATO SEASPARROW MISSILE SYSTEM (NSSMS) &gt; Major Hardware                                                                                                                                                1</t>
  </si>
  <si>
    <t>147</t>
  </si>
  <si>
    <t>CVN-81 - P-35 MK-57 NATO SEASPARROW MISSILE SYSTEM (NSSMS) - Ancillary Equipment</t>
  </si>
  <si>
    <t>P-35 &gt; CVN-81 &gt; MK-57 NATO SEASPARROW MISSILE SYSTEM (NSSMS) &gt; Ancillary Equipment</t>
  </si>
  <si>
    <t>CVN-81 - P-35 MK-57 NATO SEASPARROW MISSILE SYSTEM (NSSMS) - Spares</t>
  </si>
  <si>
    <t>P-35 &gt; CVN-81 &gt; MK-57 NATO SEASPARROW MISSILE SYSTEM (NSSMS) &gt; Spares</t>
  </si>
  <si>
    <t>MK-57 NATO SEASPARROW MISSILE SYSTEM (NSSMS) [CVN 81]</t>
  </si>
  <si>
    <t>CVN-81 - P-35 MK-57 NATO SEASPARROW MISSILE SYSTEM (NSSMS) - System Engineering</t>
  </si>
  <si>
    <t>P-35 &gt; CVN-81 &gt; MK-57 NATO SEASPARROW MISSILE SYSTEM (NSSMS) &gt; System Engineering</t>
  </si>
  <si>
    <t>CVN-81 - P-35 MK-57 NATO SEASPARROW MISSILE SYSTEM (NSSMS) - Technical Engineering Services</t>
  </si>
  <si>
    <t>P-35 &gt; CVN-81 &gt; MK-57 NATO SEASPARROW MISSILE SYSTEM (NSSMS) &gt; Technical Engineering Services</t>
  </si>
  <si>
    <t>CVN-81 - P-35 MK-57 NATO SEASPARROW MISSILE SYSTEM (NSSMS) - Other Costs</t>
  </si>
  <si>
    <t>P-35 &gt; CVN-81 &gt; MK-57 NATO SEASPARROW MISSILE SYSTEM (NSSMS) &gt; Other Costs</t>
  </si>
  <si>
    <t>CVN-81 - P-35 AVIATION DATA MANAGEMENT AND CONTROL SYSTEM (ADMACS) - Major Hardware                                                                                                                                                    1</t>
  </si>
  <si>
    <t>P-35 &gt; CVN-81 &gt; AVIATION DATA MANAGEMENT AND CONTROL SYSTEM (ADMACS) &gt; Major Hardware                                                                                                                                                    1</t>
  </si>
  <si>
    <t>148</t>
  </si>
  <si>
    <t>CVN-81 - P-35 AVIATION DATA MANAGEMENT AND CONTROL SYSTEM (ADMACS) - System Engineering</t>
  </si>
  <si>
    <t>P-35 &gt; CVN-81 &gt; AVIATION DATA MANAGEMENT AND CONTROL SYSTEM (ADMACS) &gt; System Engineering</t>
  </si>
  <si>
    <t>CVN-81 - P-35 AVIATION DATA MANAGEMENT AND CONTROL SYSTEM (ADMACS) - Technical Engineering Services</t>
  </si>
  <si>
    <t>P-35 &gt; CVN-81 &gt; AVIATION DATA MANAGEMENT AND CONTROL SYSTEM (ADMACS) &gt; Technical Engineering Services</t>
  </si>
  <si>
    <t>CVN-81 - P-35 AVIATION DATA MANAGEMENT AND CONTROL SYSTEM (ADMACS) - Other Costs</t>
  </si>
  <si>
    <t>P-35 &gt; CVN-81 &gt; AVIATION DATA MANAGEMENT AND CONTROL SYSTEM (ADMACS) &gt; Other Costs</t>
  </si>
  <si>
    <t>CVN-81 - P-35 MK 49, MOD 3 ROLLING AIRFRAME MISSILE (RAM) - Major Hardware                                                                                                                                                   2</t>
  </si>
  <si>
    <t>P-35 &gt; CVN-81 &gt; MK 49, MOD 3 ROLLING AIRFRAME MISSILE (RAM) &gt; Major Hardware                                                                                                                                                   2</t>
  </si>
  <si>
    <t>149</t>
  </si>
  <si>
    <t>CVN-81 - P-35 MK 49, MOD 3 ROLLING AIRFRAME MISSILE (RAM) - Ancillary Equipment</t>
  </si>
  <si>
    <t>P-35 &gt; CVN-81 &gt; MK 49, MOD 3 ROLLING AIRFRAME MISSILE (RAM) &gt; Ancillary Equipment</t>
  </si>
  <si>
    <t>CVN-81 - P-35 MK 49, MOD 3 ROLLING AIRFRAME MISSILE (RAM) - Spares</t>
  </si>
  <si>
    <t>P-35 &gt; CVN-81 &gt; MK 49, MOD 3 ROLLING AIRFRAME MISSILE (RAM) &gt; Spares</t>
  </si>
  <si>
    <t>MK 49, MOD 3 ROLLING AIRFRAME MISSILE (RAM) [CVN 81]</t>
  </si>
  <si>
    <t>CVN-81 - P-35 MK 49, MOD 3 ROLLING AIRFRAME MISSILE (RAM) - System Engineering</t>
  </si>
  <si>
    <t>P-35 &gt; CVN-81 &gt; MK 49, MOD 3 ROLLING AIRFRAME MISSILE (RAM) &gt; System Engineering</t>
  </si>
  <si>
    <t>CVN-81 - P-35 MK 49, MOD 3 ROLLING AIRFRAME MISSILE (RAM) - Technical Engineering Services</t>
  </si>
  <si>
    <t>P-35 &gt; CVN-81 &gt; MK 49, MOD 3 ROLLING AIRFRAME MISSILE (RAM) &gt; Technical Engineering Services</t>
  </si>
  <si>
    <t>CVN-81 - P-35 MK 49, MOD 3 ROLLING AIRFRAME MISSILE (RAM) - Other Costs</t>
  </si>
  <si>
    <t>P-35 &gt; CVN-81 &gt; MK 49, MOD 3 ROLLING AIRFRAME MISSILE (RAM) &gt; Other Costs</t>
  </si>
  <si>
    <t>CVN-81 - P-35 AN/SPQ-9B, ANTI-SHIP MISSILE DEFENSE (ASMD) SURFACE SURVEILLANCE AND TRACKING - Major Hardware                                                                                                                                                  1</t>
  </si>
  <si>
    <t>P-35 &gt; CVN-81 &gt; AN/SPQ-9B, ANTI-SHIP MISSILE DEFENSE (ASMD) SURFACE SURVEILLANCE AND TRACKING &gt; Major Hardware                                                                                                                                                  1</t>
  </si>
  <si>
    <t>150</t>
  </si>
  <si>
    <t>CVN-81 - P-35 AN/SPQ-9B, ANTI-SHIP MISSILE DEFENSE (ASMD) SURFACE SURVEILLANCE AND TRACKING - Spares</t>
  </si>
  <si>
    <t>P-35 &gt; CVN-81 &gt; AN/SPQ-9B, ANTI-SHIP MISSILE DEFENSE (ASMD) SURFACE SURVEILLANCE AND TRACKING &gt; Spares</t>
  </si>
  <si>
    <t>AN/SPQ-9B, ANTI-SHIP MISSILE DEFENSE (ASMD) SURFACE SURVEILLANCE AND TRACKING RADAR</t>
  </si>
  <si>
    <t>CVN-81 - P-35 AN/SPQ-9B, ANTI-SHIP MISSILE DEFENSE (ASMD) SURFACE SURVEILLANCE AND TRACKING - System Engineering</t>
  </si>
  <si>
    <t>P-35 &gt; CVN-81 &gt; AN/SPQ-9B, ANTI-SHIP MISSILE DEFENSE (ASMD) SURFACE SURVEILLANCE AND TRACKING &gt; System Engineering</t>
  </si>
  <si>
    <t>CVN-81 - P-35 AN/SPQ-9B, ANTI-SHIP MISSILE DEFENSE (ASMD) SURFACE SURVEILLANCE AND TRACKING - Technical Engineering Services</t>
  </si>
  <si>
    <t>P-35 &gt; CVN-81 &gt; AN/SPQ-9B, ANTI-SHIP MISSILE DEFENSE (ASMD) SURFACE SURVEILLANCE AND TRACKING &gt; Technical Engineering Services</t>
  </si>
  <si>
    <t>CVN-81 - P-35 AN/SPQ-9B, ANTI-SHIP MISSILE DEFENSE (ASMD) SURFACE SURVEILLANCE AND TRACKING - Other Costs</t>
  </si>
  <si>
    <t>P-35 &gt; CVN-81 &gt; AN/SPQ-9B, ANTI-SHIP MISSILE DEFENSE (ASMD) SURFACE SURVEILLANCE AND TRACKING &gt; Other Costs</t>
  </si>
  <si>
    <t>CVN-81 - P-35 IMPROVED FRESNEL LENS OPTICAL LANDING SYSTEM (IFLOLS) - Major Hardware                                                                                                                                                    1</t>
  </si>
  <si>
    <t>P-35 &gt; CVN-81 &gt; IMPROVED FRESNEL LENS OPTICAL LANDING SYSTEM (IFLOLS) &gt; Major Hardware                                                                                                                                                    1</t>
  </si>
  <si>
    <t>151</t>
  </si>
  <si>
    <t>CVN-81 - P-35 IMPROVED FRESNEL LENS OPTICAL LANDING SYSTEM (IFLOLS) - System Engineering</t>
  </si>
  <si>
    <t>P-35 &gt; CVN-81 &gt; IMPROVED FRESNEL LENS OPTICAL LANDING SYSTEM (IFLOLS) &gt; System Engineering</t>
  </si>
  <si>
    <t>CVN-81 - P-35 IMPROVED FRESNEL LENS OPTICAL LANDING SYSTEM (IFLOLS) - Technical Engineering Services</t>
  </si>
  <si>
    <t>P-35 &gt; CVN-81 &gt; IMPROVED FRESNEL LENS OPTICAL LANDING SYSTEM (IFLOLS) &gt; Technical Engineering Services</t>
  </si>
  <si>
    <t>CVN-81 - P-35 IMPROVED FRESNEL LENS OPTICAL LANDING SYSTEM (IFLOLS) - Other Costs</t>
  </si>
  <si>
    <t>P-35 &gt; CVN-81 &gt; IMPROVED FRESNEL LENS OPTICAL LANDING SYSTEM (IFLOLS) &gt; Other Costs</t>
  </si>
  <si>
    <t>CVN-81 - P-35 INTEGRATED LAUNCH AND RECOVERY TELEVISION SYSTEM (ILARTS) - Major Hardware                                                                                                                                                     1</t>
  </si>
  <si>
    <t>P-35 &gt; CVN-81 &gt; INTEGRATED LAUNCH AND RECOVERY TELEVISION SYSTEM (ILARTS) &gt; Major Hardware                                                                                                                                                     1</t>
  </si>
  <si>
    <t>152</t>
  </si>
  <si>
    <t>CVN-81 - P-35 INTEGRATED LAUNCH AND RECOVERY TELEVISION SYSTEM (ILARTS) - System Engineering</t>
  </si>
  <si>
    <t>P-35 &gt; CVN-81 &gt; INTEGRATED LAUNCH AND RECOVERY TELEVISION SYSTEM (ILARTS) &gt; System Engineering</t>
  </si>
  <si>
    <t>CVN-81 - P-35 INTEGRATED LAUNCH AND RECOVERY TELEVISION SYSTEM (ILARTS) - Technical Engineering Services</t>
  </si>
  <si>
    <t>P-35 &gt; CVN-81 &gt; INTEGRATED LAUNCH AND RECOVERY TELEVISION SYSTEM (ILARTS) &gt; Technical Engineering Services</t>
  </si>
  <si>
    <t>CVN-81 - P-35 INTEGRATED LAUNCH AND RECOVERY TELEVISION SYSTEM (ILARTS) - Other Costs</t>
  </si>
  <si>
    <t>P-35 &gt; CVN-81 &gt; INTEGRATED LAUNCH AND RECOVERY TELEVISION SYSTEM (ILARTS) &gt; Other Costs</t>
  </si>
  <si>
    <t>CVN-81 - P-35 UNMANNED AVIATION WARFARE CENTER (UAWC) - Major Hardware                                                                                                                                                   1</t>
  </si>
  <si>
    <t>P-35 &gt; CVN-81 &gt; UNMANNED AVIATION WARFARE CENTER (UAWC) &gt; Major Hardware                                                                                                                                                   1</t>
  </si>
  <si>
    <t>153</t>
  </si>
  <si>
    <t>CVN-81 - P-35 UNMANNED AVIATION WARFARE CENTER (UAWC) - Technical Engineering Services</t>
  </si>
  <si>
    <t>P-35 &gt; CVN-81 &gt; UNMANNED AVIATION WARFARE CENTER (UAWC) &gt; Technical Engineering Services</t>
  </si>
  <si>
    <t>Virginia Class Submarine - P-5c - Plan Costs</t>
  </si>
  <si>
    <t>P-5c &gt; Virginia Class Submarine &gt; Plan Costs</t>
  </si>
  <si>
    <t>158</t>
  </si>
  <si>
    <t>Virginia Class Submarine - P-5c - Basic Construction</t>
  </si>
  <si>
    <t>P-5c &gt; Virginia Class Submarine &gt; Basic Construction</t>
  </si>
  <si>
    <t>Virginia Class Submarine - P-5c - Change Orders</t>
  </si>
  <si>
    <t>P-5c &gt; Virginia Class Submarine &gt; Change Orders</t>
  </si>
  <si>
    <t>Virginia Class Submarine - P-5c - Electronics</t>
  </si>
  <si>
    <t>P-5c &gt; Virginia Class Submarine &gt; Electronics</t>
  </si>
  <si>
    <t>Virginia Class Submarine - P-5c - Technology Insertion</t>
  </si>
  <si>
    <t>P-5c &gt; Virginia Class Submarine &gt; Technology Insertion</t>
  </si>
  <si>
    <t>Virginia Class Submarine - P-5c - Propulsion Equipment</t>
  </si>
  <si>
    <t>P-5c &gt; Virginia Class Submarine &gt; Propulsion Equipment</t>
  </si>
  <si>
    <t>Virginia Class Submarine - P-5c - Other Cost</t>
  </si>
  <si>
    <t>P-5c &gt; Virginia Class Submarine &gt; Other Cost</t>
  </si>
  <si>
    <t>Virginia Class Submarine - P-5c - 2014</t>
  </si>
  <si>
    <t>P-5c &gt; Virginia Class Submarine &gt; 2014</t>
  </si>
  <si>
    <t>Virginia Class Submarine - P-5c - 2015</t>
  </si>
  <si>
    <t>P-5c &gt; Virginia Class Submarine &gt; 2015</t>
  </si>
  <si>
    <t>Virginia Class Submarine - P-5c - 2016                                                      -</t>
  </si>
  <si>
    <t>P-5c &gt; Virginia Class Submarine &gt; 2016                                                      -</t>
  </si>
  <si>
    <t>Virginia Class Submarine - P-5c - 2017                                                      -                          -</t>
  </si>
  <si>
    <t>P-5c &gt; Virginia Class Submarine &gt; 2017                                                      -                          -</t>
  </si>
  <si>
    <t>Virginia Class Submarine - P-5c - 2018                                                      -                          -                          -</t>
  </si>
  <si>
    <t>P-5c &gt; Virginia Class Submarine &gt; 2018                                                      -                          -                          -</t>
  </si>
  <si>
    <t>Virginia Class Submarine - P-5c - 2019                                                      -                          -                          -                           -</t>
  </si>
  <si>
    <t>P-5c &gt; Virginia Class Submarine &gt; 2019                                                      -                          -                          -                           -</t>
  </si>
  <si>
    <t>Virginia Class Submarine - P-5c - 2020                                                      -                          -                          -                           -                          -</t>
  </si>
  <si>
    <t>P-5c &gt; Virginia Class Submarine &gt; 2020                                                      -                          -                          -                           -                          -</t>
  </si>
  <si>
    <t>Virginia Class Submarine - P-5c - 2021                                                      -                          -                          -                           -                          -                             -</t>
  </si>
  <si>
    <t>P-5c &gt; Virginia Class Submarine &gt; 2021                                                      -                          -                          -                           -                          -                             -</t>
  </si>
  <si>
    <t>Virginia Class Submarine - P-5c - 2022                                                      -                          -                          -                           -                          -                             -                          -</t>
  </si>
  <si>
    <t>P-5c &gt; Virginia Class Submarine &gt; 2022                                                      -                          -                          -                           -                          -                             -                          -</t>
  </si>
  <si>
    <t>Virginia Class Submarine - P-5c - 2023</t>
  </si>
  <si>
    <t>P-5c &gt; Virginia Class Submarine &gt; 2023</t>
  </si>
  <si>
    <t>Virginia Class Submarine - P-5c - 2024</t>
  </si>
  <si>
    <t>P-5c &gt; Virginia Class Submarine &gt; 2024</t>
  </si>
  <si>
    <t>159</t>
  </si>
  <si>
    <t>Virginia Class Submarine - P-5c - 2025                                           -</t>
  </si>
  <si>
    <t>P-5c &gt; Virginia Class Submarine &gt; 2025                                           -</t>
  </si>
  <si>
    <t>Virginia Class Submarine - P-5c - 2026</t>
  </si>
  <si>
    <t>P-5c &gt; Virginia Class Submarine &gt; 2026</t>
  </si>
  <si>
    <t>Virginia Class Submarine - P-5c - 2027                                           -                      -                      -</t>
  </si>
  <si>
    <t>P-5c &gt; Virginia Class Submarine &gt; 2027                                           -                      -                      -</t>
  </si>
  <si>
    <t>Virginia Class Submarine - P-5c - 2028                                           -                      -                      -</t>
  </si>
  <si>
    <t>P-5c &gt; Virginia Class Submarine &gt; 2028                                           -                      -                      -</t>
  </si>
  <si>
    <t>Virginia Class Submarine - P-5c - 2029                                           -                      -                      -                         -</t>
  </si>
  <si>
    <t>P-5c &gt; Virginia Class Submarine &gt; 2029                                           -                      -                      -                         -</t>
  </si>
  <si>
    <t>Virginia Class Submarine - P-5c - 2030                                           -                      -                      -                         -                      -</t>
  </si>
  <si>
    <t>P-5c &gt; Virginia Class Submarine &gt; 2030                                           -                      -                      -                         -                      -</t>
  </si>
  <si>
    <t>160</t>
  </si>
  <si>
    <t>Technology Insertion</t>
  </si>
  <si>
    <t>Virginia Class Submarine - P-5c - Hull, Mechanical, and Electrical</t>
  </si>
  <si>
    <t>P-5c &gt; Virginia Class Submarine &gt; Hull, Mechanical, and Electrical</t>
  </si>
  <si>
    <t>Virginia Class Submarine - P-8a Electronics - Sonar, Combat Control &amp; Architecture 2</t>
  </si>
  <si>
    <t>P-8a &gt; Virginia Class Submarine &gt; Electronics &gt; Sonar, Combat Control &amp; Architecture 2</t>
  </si>
  <si>
    <t>163</t>
  </si>
  <si>
    <t>Sonar, Combat Control &amp; Architecture</t>
  </si>
  <si>
    <t>Virginia Class Submarine - P-8a Electronics - Electronic Support Measures (ESM) 2</t>
  </si>
  <si>
    <t>P-8a &gt; Virginia Class Submarine &gt; Electronics &gt; Electronic Support Measures (ESM) 2</t>
  </si>
  <si>
    <t>Electronic Support Measures (ESM)</t>
  </si>
  <si>
    <t>Virginia Class Submarine - P-8a Electronics - Photonics Masts 2</t>
  </si>
  <si>
    <t>P-8a &gt; Virginia Class Submarine &gt; Electronics &gt; Photonics Masts 2</t>
  </si>
  <si>
    <t>Photonics Masts</t>
  </si>
  <si>
    <t>Virginia Class Submarine - P-8a Electronics - Universal Modular Mast (UMM) 2</t>
  </si>
  <si>
    <t>P-8a &gt; Virginia Class Submarine &gt; Electronics &gt; Universal Modular Mast (UMM) 2</t>
  </si>
  <si>
    <t>Universal Modular Mast (UMM)</t>
  </si>
  <si>
    <t>Virginia Class Submarine - P-8a Electronics - Exterior Communications System (ECS) Recurring 2</t>
  </si>
  <si>
    <t>P-8a &gt; Virginia Class Submarine &gt; Electronics &gt; Exterior Communications System (ECS) Recurring 2</t>
  </si>
  <si>
    <t>Exterior Communications System (ECS) Recurring</t>
  </si>
  <si>
    <t>Virginia Class Submarine - P-8a Electronics - System Level Activities 2</t>
  </si>
  <si>
    <t>P-8a &gt; Virginia Class Submarine &gt; Electronics &gt; System Level Activities 2</t>
  </si>
  <si>
    <t>Virginia Class Submarine - P-8a Electronics - AN/BPS-16 2</t>
  </si>
  <si>
    <t>P-8a &gt; Virginia Class Submarine &gt; Electronics &gt; AN/BPS-16 2</t>
  </si>
  <si>
    <t>AN/BPS-16</t>
  </si>
  <si>
    <t>Virginia Class Submarine - P-8a Electronics - Navigation 2</t>
  </si>
  <si>
    <t>P-8a &gt; Virginia Class Submarine &gt; Electronics &gt; Navigation 2</t>
  </si>
  <si>
    <t>Virginia Class Submarine - P-8a Electronics - CWITT 2</t>
  </si>
  <si>
    <t>P-8a &gt; Virginia Class Submarine &gt; Electronics &gt; CWITT 2</t>
  </si>
  <si>
    <t>Virginia Class Submarine - P-8a Electronics - Integration (NPES SE&amp;I) 2</t>
  </si>
  <si>
    <t>P-8a &gt; Virginia Class Submarine &gt; Electronics &gt; Integration (NPES SE&amp;I) 2</t>
  </si>
  <si>
    <t>Virginia Class Submarine - P-8a Electronics - Misc Electronics</t>
  </si>
  <si>
    <t>P-8a &gt; Virginia Class Submarine &gt; Electronics &gt; Misc Electronics</t>
  </si>
  <si>
    <t>Misc Electronics</t>
  </si>
  <si>
    <t>Virginia Class Submarine - P-8a Hull, Mechanical, and Electrical - Propulsor 2</t>
  </si>
  <si>
    <t>P-8a &gt; Virginia Class Submarine &gt; Hull, Mechanical, and Electrical &gt; Propulsor 2</t>
  </si>
  <si>
    <t>164</t>
  </si>
  <si>
    <t>Virginia Class Submarine - P-8a Hull, Mechanical, and Electrical - CSA</t>
  </si>
  <si>
    <t>P-8a &gt; Virginia Class Submarine &gt; Hull, Mechanical, and Electrical &gt; CSA</t>
  </si>
  <si>
    <t>CSA</t>
  </si>
  <si>
    <t>Virginia Class Submarine - P-8a Hull, Mechanical, and Electrical - HM&amp;E Installation and testing</t>
  </si>
  <si>
    <t>P-8a &gt; Virginia Class Submarine &gt; Hull, Mechanical, and Electrical &gt; HM&amp;E Installation and testing</t>
  </si>
  <si>
    <t>Virginia Class Submarine - P-8a Hull, Mechanical, and Electrical - T&amp;E</t>
  </si>
  <si>
    <t>P-8a &gt; Virginia Class Submarine &gt; Hull, Mechanical, and Electrical &gt; T&amp;E</t>
  </si>
  <si>
    <t>Virginia Class Submarine - P-8a Hull, Mechanical, and Electrical - SUPSHIP responsible material</t>
  </si>
  <si>
    <t>P-8a &gt; Virginia Class Submarine &gt; Hull, Mechanical, and Electrical &gt; SUPSHIP responsible material</t>
  </si>
  <si>
    <t>Virginia Class Submarine - P-35 Sonar, Combat Control &amp; Architecture - Major Hardware                                                                         2</t>
  </si>
  <si>
    <t>P-35 &gt; Virginia Class Submarine &gt; Sonar, Combat Control &amp; Architecture &gt; Major Hardware                                                                         2</t>
  </si>
  <si>
    <t>165</t>
  </si>
  <si>
    <t>Sonar, Combat Control &amp; Architecture [SSN 815]</t>
  </si>
  <si>
    <t>Virginia Class Submarine - P-35 Sonar, Combat Control &amp; Architecture - Technical Engineering Services</t>
  </si>
  <si>
    <t>P-35 &gt; Virginia Class Submarine &gt; Sonar, Combat Control &amp; Architecture &gt; Technical Engineering Services</t>
  </si>
  <si>
    <t>Virginia Class Submarine - P-35 Sonar, Combat Control &amp; Architecture - Other Costs</t>
  </si>
  <si>
    <t>P-35 &gt; Virginia Class Submarine &gt; Sonar, Combat Control &amp; Architecture &gt; Other Costs</t>
  </si>
  <si>
    <t>Virginia Class Submarine - P-35 Electronic Support Measures (ESM) - Major Hardware                                                                         2</t>
  </si>
  <si>
    <t>P-35 &gt; Virginia Class Submarine &gt; Electronic Support Measures (ESM) &gt; Major Hardware                                                                         2</t>
  </si>
  <si>
    <t>166</t>
  </si>
  <si>
    <t>Electronic Support Measures (ESM) [SSN 815]</t>
  </si>
  <si>
    <t>Virginia Class Submarine - P-35 Electronic Support Measures (ESM) - Technical Engineering Services</t>
  </si>
  <si>
    <t>P-35 &gt; Virginia Class Submarine &gt; Electronic Support Measures (ESM) &gt; Technical Engineering Services</t>
  </si>
  <si>
    <t>Virginia Class Submarine - P-35 Electronic Support Measures (ESM) - Other Costs</t>
  </si>
  <si>
    <t>P-35 &gt; Virginia Class Submarine &gt; Electronic Support Measures (ESM) &gt; Other Costs</t>
  </si>
  <si>
    <t>Virginia Class Submarine - P-35 Photonics Masts - Major Hardware                                                                       2</t>
  </si>
  <si>
    <t>P-35 &gt; Virginia Class Submarine &gt; Photonics Masts &gt; Major Hardware                                                                       2</t>
  </si>
  <si>
    <t>167</t>
  </si>
  <si>
    <t>Photonics Masts [SSN 815]</t>
  </si>
  <si>
    <t>Virginia Class Submarine - P-35 Photonics Masts - Technical Engineering Services</t>
  </si>
  <si>
    <t>P-35 &gt; Virginia Class Submarine &gt; Photonics Masts &gt; Technical Engineering Services</t>
  </si>
  <si>
    <t>Virginia Class Submarine - P-35 Photonics Masts - Other Costs</t>
  </si>
  <si>
    <t>P-35 &gt; Virginia Class Submarine &gt; Photonics Masts &gt; Other Costs</t>
  </si>
  <si>
    <t>Virginia Class Submarine - P-35 Universal Modular Mast (UMM) - Major Hardware                                                                            2</t>
  </si>
  <si>
    <t>P-35 &gt; Virginia Class Submarine &gt; Universal Modular Mast (UMM) &gt; Major Hardware                                                                            2</t>
  </si>
  <si>
    <t>168</t>
  </si>
  <si>
    <t>Universal Modular Mast (UMM) [SSN 815]</t>
  </si>
  <si>
    <t>Virginia Class Submarine - P-35 Universal Modular Mast (UMM) - Technical Engineering Services</t>
  </si>
  <si>
    <t>P-35 &gt; Virginia Class Submarine &gt; Universal Modular Mast (UMM) &gt; Technical Engineering Services</t>
  </si>
  <si>
    <t>Virginia Class Submarine - P-35 Universal Modular Mast (UMM) - Other Costs</t>
  </si>
  <si>
    <t>P-35 &gt; Virginia Class Submarine &gt; Universal Modular Mast (UMM) &gt; Other Costs</t>
  </si>
  <si>
    <t>Virginia Class Submarine - P-35 Exterior Communications System (ECS) Recurring - Major Hardware                                                                          2</t>
  </si>
  <si>
    <t>P-35 &gt; Virginia Class Submarine &gt; Exterior Communications System (ECS) Recurring &gt; Major Hardware                                                                          2</t>
  </si>
  <si>
    <t>169</t>
  </si>
  <si>
    <t>Exterior Communications System (ECS) Recurring [SSN 815]</t>
  </si>
  <si>
    <t>Virginia Class Submarine - P-35 Exterior Communications System (ECS) Recurring - Technical Engineering Services</t>
  </si>
  <si>
    <t>P-35 &gt; Virginia Class Submarine &gt; Exterior Communications System (ECS) Recurring &gt; Technical Engineering Services</t>
  </si>
  <si>
    <t>Virginia Class Submarine - P-35 Exterior Communications System (ECS) Recurring - Other Costs</t>
  </si>
  <si>
    <t>P-35 &gt; Virginia Class Submarine &gt; Exterior Communications System (ECS) Recurring &gt; Other Costs</t>
  </si>
  <si>
    <t>Virginia Class Submarine - P-35 Propulsor - Major Hardware                                                                         2</t>
  </si>
  <si>
    <t>P-35 &gt; Virginia Class Submarine &gt; Propulsor &gt; Major Hardware                                                                         2</t>
  </si>
  <si>
    <t>170</t>
  </si>
  <si>
    <t>Propulsor [SSN 815]</t>
  </si>
  <si>
    <t>Virginia Class Submarine - P-35 Propulsor - TECH ENGINEERING SERVICES</t>
  </si>
  <si>
    <t>P-35 &gt; Virginia Class Submarine &gt; Propulsor &gt; TECH ENGINEERING SERVICES</t>
  </si>
  <si>
    <t>Virginia Class Submarine - P-10 - (1)</t>
  </si>
  <si>
    <t>2013 / Virginia Class Submarine AP</t>
  </si>
  <si>
    <t>P-10 &gt; Virginia Class Submarine &gt; (1)</t>
  </si>
  <si>
    <t>Nuclear Propulsion Plant Equipment</t>
  </si>
  <si>
    <t>Virginia Class Submarine - P-10 - (2)</t>
  </si>
  <si>
    <t>P-10 &gt; Virginia Class Submarine &gt; (2)</t>
  </si>
  <si>
    <t>Electronics Equipment</t>
  </si>
  <si>
    <t>Virginia Class Submarine - P-10 - (3)</t>
  </si>
  <si>
    <t>P-10 &gt; Virginia Class Submarine &gt; (3)</t>
  </si>
  <si>
    <t>NON-Nuclear Propulsion Plant Equipment - Propulsor</t>
  </si>
  <si>
    <t>Virginia Class Submarine - P-10 - (4)</t>
  </si>
  <si>
    <t>P-10 &gt; Virginia Class Submarine &gt; (4)</t>
  </si>
  <si>
    <t>Long Lead-Time CFE One Year AP</t>
  </si>
  <si>
    <t>Virginia Class Submarine - P-10 - (5)</t>
  </si>
  <si>
    <t>P-10 &gt; Virginia Class Submarine &gt; (5)</t>
  </si>
  <si>
    <t>Long Lead-Time CFE Two Year AP</t>
  </si>
  <si>
    <t>Virginia Class Submarine - P-10 - EOQ for FY25 SSNs                                                                           -               -</t>
  </si>
  <si>
    <t>P-10 &gt; Virginia Class Submarine &gt; EOQ for FY25 SSNs                                                                           -               -</t>
  </si>
  <si>
    <t>EOQ for FY25 SSNs</t>
  </si>
  <si>
    <t>Virginia Class Submarine - P-10 - EOQ for FY26 SSNs                                                                           -               -</t>
  </si>
  <si>
    <t>P-10 &gt; Virginia Class Submarine &gt; EOQ for FY26 SSNs                                                                           -               -</t>
  </si>
  <si>
    <t>EOQ for FY26 SSNs</t>
  </si>
  <si>
    <t>Virginia Class Submarine - P-10 - EOQ for FY27 SSNs                                                                           -       Various</t>
  </si>
  <si>
    <t>P-10 &gt; Virginia Class Submarine &gt; EOQ for FY27 SSNs                                                                           -       Various</t>
  </si>
  <si>
    <t>EOQ for FY27 SSNs</t>
  </si>
  <si>
    <t>Virginia Class Submarine - P-10 - EOQ for FY28 SSNs                                                                           -       Various</t>
  </si>
  <si>
    <t>P-10 &gt; Virginia Class Submarine &gt; EOQ for FY28 SSNs                                                                           -       Various</t>
  </si>
  <si>
    <t>EOQ for FY28 SSNs</t>
  </si>
  <si>
    <t>Virginia Class Submarine - P-10 - EOQ For FY 29 SSNs                                                                          -       Various</t>
  </si>
  <si>
    <t>P-10 &gt; Virginia Class Submarine &gt; EOQ For FY 29 SSNs                                                                          -       Various</t>
  </si>
  <si>
    <t>EOQ For FY 29 SSNs</t>
  </si>
  <si>
    <t>Virginia Class Submarine - P-10 - (6)</t>
  </si>
  <si>
    <t>P-10 &gt; Virginia Class Submarine &gt; (6)</t>
  </si>
  <si>
    <t>Supplier Development - Submarine Industrial Base (2034 SSNs)</t>
  </si>
  <si>
    <t>172</t>
  </si>
  <si>
    <t>Virginia Class Submarine - P-10 - EOQ for FY25 SSNs                                                                               -                   -                  -                                       -</t>
  </si>
  <si>
    <t>P-10 &gt; Virginia Class Submarine &gt; EOQ for FY25 SSNs                                                                               -                   -                  -                                       -</t>
  </si>
  <si>
    <t>Virginia Class Submarine - P-10 - EOQ for FY26 SSNs                                                                               -                   -                  -                                       -</t>
  </si>
  <si>
    <t>P-10 &gt; Virginia Class Submarine &gt; EOQ for FY26 SSNs                                                                               -                   -                  -                                       -</t>
  </si>
  <si>
    <t>Virginia Class Submarine - P-10 - EOQ for FY27 SSNs                                                                               -             Various                  -        Jan 2026                       -          2027</t>
  </si>
  <si>
    <t>P-10 &gt; Virginia Class Submarine &gt; EOQ for FY27 SSNs                                                                               -             Various                  -        Jan 2026                       -          2027</t>
  </si>
  <si>
    <t>Virginia Class Submarine - P-10 - EOQ for FY28 SSNs                                                                               -             Various                  -        Jan 2026                       -          2028</t>
  </si>
  <si>
    <t>P-10 &gt; Virginia Class Submarine &gt; EOQ for FY28 SSNs                                                                               -             Various                  -        Jan 2026                       -          2028</t>
  </si>
  <si>
    <t>Virginia Class Submarine - P-10 - EOQ For FY 29 SSNs                                                                              -             Various                  -        Jan 2026                       -          2029</t>
  </si>
  <si>
    <t>P-10 &gt; Virginia Class Submarine &gt; EOQ For FY 29 SSNs                                                                              -             Various                  -        Jan 2026                       -          2029</t>
  </si>
  <si>
    <t>CVN Refueling Overhauls - P-5c - Plan Costs</t>
  </si>
  <si>
    <t>P-5c &gt; CVN Refueling Overhauls &gt; Plan Costs</t>
  </si>
  <si>
    <t>178</t>
  </si>
  <si>
    <t>CVN Refueling Overhauls - P-5c - Basic Construction</t>
  </si>
  <si>
    <t>P-5c &gt; CVN Refueling Overhauls &gt; Basic Construction</t>
  </si>
  <si>
    <t>CVN Refueling Overhauls - P-5c - Electronics</t>
  </si>
  <si>
    <t>P-5c &gt; CVN Refueling Overhauls &gt; Electronics</t>
  </si>
  <si>
    <t>CVN Refueling Overhauls - P-5c - Propulsion Equipment</t>
  </si>
  <si>
    <t>P-5c &gt; CVN Refueling Overhauls &gt; Propulsion Equipment</t>
  </si>
  <si>
    <t>CVN Refueling Overhauls - P-5c - Hull, Mechanical, and Electrical</t>
  </si>
  <si>
    <t>P-5c &gt; CVN Refueling Overhauls &gt; Hull, Mechanical, and Electrical</t>
  </si>
  <si>
    <t>CVN Refueling Overhauls - P-5c - Ordnance</t>
  </si>
  <si>
    <t>P-5c &gt; CVN Refueling Overhauls &gt; Ordnance</t>
  </si>
  <si>
    <t>CVN Refueling Overhauls - P-5c - Other Cost</t>
  </si>
  <si>
    <t>P-5c &gt; CVN Refueling Overhauls &gt; Other Cost</t>
  </si>
  <si>
    <t>CVN Refueling Overhauls - P-8a Electronics - C4ISR 1</t>
  </si>
  <si>
    <t>P-8a &gt; CVN Refueling Overhauls &gt; Electronics &gt; C4ISR 1</t>
  </si>
  <si>
    <t>181</t>
  </si>
  <si>
    <t>C4ISR</t>
  </si>
  <si>
    <t>CVN Refueling Overhauls - P-8a Electronics - INTEGRATED COMMUNICATION NETWORK (ICAN / DDCN &amp; IVCN) 1</t>
  </si>
  <si>
    <t>P-8a &gt; CVN Refueling Overhauls &gt; Electronics &gt; INTEGRATED COMMUNICATION NETWORK (ICAN / DDCN &amp; IVCN) 1</t>
  </si>
  <si>
    <t>INTEGRATED COMMUNICATION NETWORK (ICAN / DDCN &amp; IVCN)</t>
  </si>
  <si>
    <t>CVN Refueling Overhauls - P-8a Electronics - ELECTRONIC CONSOLIDATED AUTOMATED SUPPORT SYSTEM (ECASS) 1</t>
  </si>
  <si>
    <t>P-8a &gt; CVN Refueling Overhauls &gt; Electronics &gt; ELECTRONIC CONSOLIDATED AUTOMATED SUPPORT SYSTEM (ECASS) 1</t>
  </si>
  <si>
    <t>ELECTRONIC CONSOLIDATED AUTOMATED SUPPORT SYSTEM (ECASS)</t>
  </si>
  <si>
    <t>CVN Refueling Overhauls - P-8a Electronics - SHIP SELF DEFENSE SYSTEM (SSDS) MK2 MOD 1E 1</t>
  </si>
  <si>
    <t>P-8a &gt; CVN Refueling Overhauls &gt; Electronics &gt; SHIP SELF DEFENSE SYSTEM (SSDS) MK2 MOD 1E 1</t>
  </si>
  <si>
    <t>SHIP SELF DEFENSE SYSTEM (SSDS) MK2 MOD 1E</t>
  </si>
  <si>
    <t>CVN Refueling Overhauls - P-8a Electronics - AN/SPN-50(V)1 - AIR TRAFFIC CONTROL RADAR 1</t>
  </si>
  <si>
    <t>P-8a &gt; CVN Refueling Overhauls &gt; Electronics &gt; AN/SPN-50(V)1 - AIR TRAFFIC CONTROL RADAR 1</t>
  </si>
  <si>
    <t>AN/SPN-50(V)1 - AIR TRAFFIC CONTROL RADAR</t>
  </si>
  <si>
    <t>CVN Refueling Overhauls - P-8a Electronics - AN/SPN-46 OVERHAUL/UPGRADE 1</t>
  </si>
  <si>
    <t>P-8a &gt; CVN Refueling Overhauls &gt; Electronics &gt; AN/SPN-46 OVERHAUL/UPGRADE 1</t>
  </si>
  <si>
    <t>AN/SPN-46 OVERHAUL/UPGRADE</t>
  </si>
  <si>
    <t>CVN Refueling Overhauls - P-8a Electronics - SATELLITE SIGNAL LANDING SYSTEM (SSLS) 1</t>
  </si>
  <si>
    <t>P-8a &gt; CVN Refueling Overhauls &gt; Electronics &gt; SATELLITE SIGNAL LANDING SYSTEM (SSLS) 1</t>
  </si>
  <si>
    <t>SATELLITE SIGNAL LANDING SYSTEM (SSLS)</t>
  </si>
  <si>
    <t>CVN Refueling Overhauls - P-8a Electronics - AN/USG-2B - COOPERATIVE ENGAGEMENT CAPABILITY (CEC) 1</t>
  </si>
  <si>
    <t>P-8a &gt; CVN Refueling Overhauls &gt; Electronics &gt; AN/USG-2B - COOPERATIVE ENGAGEMENT CAPABILITY (CEC) 1</t>
  </si>
  <si>
    <t>AN/USG-2B - COOPERATIVE ENGAGEMENT CAPABILITY (CEC)</t>
  </si>
  <si>
    <t>CVN Refueling Overhauls - P-8a Electronics - AN/SPN-41 REFURBISHMENT 1</t>
  </si>
  <si>
    <t>P-8a &gt; CVN Refueling Overhauls &gt; Electronics &gt; AN/SPN-41 REFURBISHMENT 1</t>
  </si>
  <si>
    <t>AN/SPN-41 REFURBISHMENT</t>
  </si>
  <si>
    <t>CVN Refueling Overhauls - P-8a Electronics - UNMANNED AVIATION WARFARE CENTER (UAWC) 0 - 1</t>
  </si>
  <si>
    <t>P-8a &gt; CVN Refueling Overhauls &gt; Electronics &gt; UNMANNED AVIATION WARFARE CENTER (UAWC) 0 - 1</t>
  </si>
  <si>
    <t>CVN Refueling Overhauls - P-8a Electronics - AN/UPX-29 - IDENTIFICATION FRIEND OR FOE (IFF) INTERROGATOR SET 1</t>
  </si>
  <si>
    <t>P-8a &gt; CVN Refueling Overhauls &gt; Electronics &gt; AN/UPX-29 - IDENTIFICATION FRIEND OR FOE (IFF) INTERROGATOR SET 1</t>
  </si>
  <si>
    <t>AN/UPX-29 - IDENTIFICATION FRIEND OR FOE (IFF) INTERROGATOR SET</t>
  </si>
  <si>
    <t>CVN Refueling Overhauls - P-8a Electronics - NAVAL STRIKE WARFARE PLANNING CENTER (NSWPC) 1</t>
  </si>
  <si>
    <t>P-8a &gt; CVN Refueling Overhauls &gt; Electronics &gt; NAVAL STRIKE WARFARE PLANNING CENTER (NSWPC) 1</t>
  </si>
  <si>
    <t>NAVAL STRIKE WARFARE PLANNING CENTER (NSWPC)</t>
  </si>
  <si>
    <t>CVN Refueling Overhauls - P-8a Electronics - OPERATIONS (MAGOPS) 1</t>
  </si>
  <si>
    <t>P-8a &gt; CVN Refueling Overhauls &gt; Electronics &gt; OPERATIONS (MAGOPS) 1</t>
  </si>
  <si>
    <t>CVN Refueling Overhauls - P-8a Electronics - AN/SYY-1 - AIR TRAFFIC CONTROL SYSTEM 1</t>
  </si>
  <si>
    <t>P-8a &gt; CVN Refueling Overhauls &gt; Electronics &gt; AN/SYY-1 - AIR TRAFFIC CONTROL SYSTEM 1</t>
  </si>
  <si>
    <t>AN/SYY-1 - AIR TRAFFIC CONTROL SYSTEM</t>
  </si>
  <si>
    <t>CVN Refueling Overhauls - P-8a Electronics - TEST &amp; CERTIFICATIONS, MISCELLANEOUS GFE</t>
  </si>
  <si>
    <t>P-8a &gt; CVN Refueling Overhauls &gt; Electronics &gt; TEST &amp; CERTIFICATIONS, MISCELLANEOUS GFE</t>
  </si>
  <si>
    <t>TEST &amp; CERTIFICATIONS, MISCELLANEOUS GFE</t>
  </si>
  <si>
    <t>CVN Refueling Overhauls - P-8a Hull, Mechanical, and Electrical - LOW PRESSURE AIR PLANT (LPAP) 1</t>
  </si>
  <si>
    <t>P-8a &gt; CVN Refueling Overhauls &gt; Hull, Mechanical, and Electrical &gt; LOW PRESSURE AIR PLANT (LPAP) 1</t>
  </si>
  <si>
    <t>183</t>
  </si>
  <si>
    <t>LOW PRESSURE AIR PLANT (LPAP)</t>
  </si>
  <si>
    <t>CVN Refueling Overhauls - P-8a Hull, Mechanical, and Electrical - VSA O2 GENERATOR 1</t>
  </si>
  <si>
    <t>P-8a &gt; CVN Refueling Overhauls &gt; Hull, Mechanical, and Electrical &gt; VSA O2 GENERATOR 1</t>
  </si>
  <si>
    <t>VSA O2 GENERATOR</t>
  </si>
  <si>
    <t>CVN Refueling Overhauls - P-8a Hull, Mechanical, and Electrical - FOOD SERVICE EQUIPMENT (FSE)</t>
  </si>
  <si>
    <t>P-8a &gt; CVN Refueling Overhauls &gt; Hull, Mechanical, and Electrical &gt; FOOD SERVICE EQUIPMENT (FSE)</t>
  </si>
  <si>
    <t>FOOD SERVICE EQUIPMENT (FSE)</t>
  </si>
  <si>
    <t>CVN Refueling Overhauls - P-8a Hull, Mechanical, and Electrical - NODE ROOM INSTALL 1</t>
  </si>
  <si>
    <t>P-8a &gt; CVN Refueling Overhauls &gt; Hull, Mechanical, and Electrical &gt; NODE ROOM INSTALL 1</t>
  </si>
  <si>
    <t>NODE ROOM INSTALL</t>
  </si>
  <si>
    <t>CVN Refueling Overhauls - P-8a Hull, Mechanical, and Electrical - OPERATOR BALLISTIC PROTECTION FOR CREW SERVED WEAPONS STATIONS 1</t>
  </si>
  <si>
    <t>P-8a &gt; CVN Refueling Overhauls &gt; Hull, Mechanical, and Electrical &gt; OPERATOR BALLISTIC PROTECTION FOR CREW SERVED WEAPONS STATIONS 1</t>
  </si>
  <si>
    <t>OPERATOR BALLISTIC PROTECTION FOR CREW SERVED WEAPONS STATIONS</t>
  </si>
  <si>
    <t>CVN Refueling Overhauls - P-8a Hull, Mechanical, and Electrical - PASSIVE COUNTER MEASURE SYSTEM (PCMS)</t>
  </si>
  <si>
    <t>P-8a &gt; CVN Refueling Overhauls &gt; Hull, Mechanical, and Electrical &gt; PASSIVE COUNTER MEASURE SYSTEM (PCMS)</t>
  </si>
  <si>
    <t>PASSIVE COUNTER MEASURE SYSTEM (PCMS)</t>
  </si>
  <si>
    <t>CVN Refueling Overhauls - P-8a Hull, Mechanical, and Electrical - COMBAT SYSTEMS SUPPORT CENTER (CSSC) RIPOUT/INSTALL 1</t>
  </si>
  <si>
    <t>P-8a &gt; CVN Refueling Overhauls &gt; Hull, Mechanical, and Electrical &gt; COMBAT SYSTEMS SUPPORT CENTER (CSSC) RIPOUT/INSTALL 1</t>
  </si>
  <si>
    <t>COMBAT SYSTEMS SUPPORT CENTER (CSSC) RIPOUT/INSTALL</t>
  </si>
  <si>
    <t>CVN Refueling Overhauls - P-8a Hull, Mechanical, and Electrical - CARRIER INTELLIGENCE CENTER (CVIC) RIPOUT/INSTALL</t>
  </si>
  <si>
    <t>P-8a &gt; CVN Refueling Overhauls &gt; Hull, Mechanical, and Electrical &gt; CARRIER INTELLIGENCE CENTER (CVIC) RIPOUT/INSTALL</t>
  </si>
  <si>
    <t>CARRIER INTELLIGENCE CENTER (CVIC) RIPOUT/INSTALL</t>
  </si>
  <si>
    <t>CVN Refueling Overhauls - P-8a Hull, Mechanical, and Electrical - MODULAR REFRIGERATION UNIT (MRU) 1</t>
  </si>
  <si>
    <t>P-8a &gt; CVN Refueling Overhauls &gt; Hull, Mechanical, and Electrical &gt; MODULAR REFRIGERATION UNIT (MRU) 1</t>
  </si>
  <si>
    <t>MODULAR REFRIGERATION UNIT (MRU)</t>
  </si>
  <si>
    <t>CVN Refueling Overhauls - P-8a Hull, Mechanical, and Electrical - MEDICAL AND DENTAL SUITE 1</t>
  </si>
  <si>
    <t>P-8a &gt; CVN Refueling Overhauls &gt; Hull, Mechanical, and Electrical &gt; MEDICAL AND DENTAL SUITE 1</t>
  </si>
  <si>
    <t>MEDICAL AND DENTAL SUITE</t>
  </si>
  <si>
    <t>CVN Refueling Overhauls - P-8a Hull, Mechanical, and Electrical - DECK EDGE DOOR 1</t>
  </si>
  <si>
    <t>P-8a &gt; CVN Refueling Overhauls &gt; Hull, Mechanical, and Electrical &gt; DECK EDGE DOOR 1</t>
  </si>
  <si>
    <t>DECK EDGE DOOR</t>
  </si>
  <si>
    <t>CVN Refueling Overhauls - P-8a Hull, Mechanical, and Electrical - HANGAR DIVISION DOORS (HDD) 1</t>
  </si>
  <si>
    <t>P-8a &gt; CVN Refueling Overhauls &gt; Hull, Mechanical, and Electrical &gt; HANGAR DIVISION DOORS (HDD) 1</t>
  </si>
  <si>
    <t>HANGAR DIVISION DOORS (HDD)</t>
  </si>
  <si>
    <t>CVN Refueling Overhauls - P-8a Hull, Mechanical, and Electrical - AIRCRAFT ELEVATOR (ACE) 1</t>
  </si>
  <si>
    <t>P-8a &gt; CVN Refueling Overhauls &gt; Hull, Mechanical, and Electrical &gt; AIRCRAFT ELEVATOR (ACE) 1</t>
  </si>
  <si>
    <t>AIRCRAFT ELEVATOR (ACE)</t>
  </si>
  <si>
    <t>CVN Refueling Overhauls - P-8a Hull, Mechanical, and Electrical - ENGINEERING, TEST &amp; CERTIFICATION</t>
  </si>
  <si>
    <t>P-8a &gt; CVN Refueling Overhauls &gt; Hull, Mechanical, and Electrical &gt; ENGINEERING, TEST &amp; CERTIFICATION</t>
  </si>
  <si>
    <t>ENGINEERING, TEST &amp; CERTIFICATION</t>
  </si>
  <si>
    <t>CVN Refueling Overhauls - P-8a Hull, Mechanical, and Electrical - MISCELLANEOUS GOVERNMENT FURNISHED EQUIPMENT (GFE)</t>
  </si>
  <si>
    <t>P-8a &gt; CVN Refueling Overhauls &gt; Hull, Mechanical, and Electrical &gt; MISCELLANEOUS GOVERNMENT FURNISHED EQUIPMENT (GFE)</t>
  </si>
  <si>
    <t>MISCELLANEOUS GOVERNMENT FURNISHED EQUIPMENT (GFE)</t>
  </si>
  <si>
    <t>CVN Refueling Overhauls - P-8a  - ENGINEERING, TEST &amp; CERTIFICATION: CVN 74 overall increase of $</t>
  </si>
  <si>
    <t>P-8a &gt; CVN Refueling Overhauls &gt;  &gt; ENGINEERING, TEST &amp; CERTIFICATION: CVN 74 overall increase of $</t>
  </si>
  <si>
    <t>184</t>
  </si>
  <si>
    <t>CVN Refueling Overhauls - P-8a  - the FY 2025 budget request. CVN 75 re-categorization of $</t>
  </si>
  <si>
    <t>P-8a &gt; CVN Refueling Overhauls &gt;  &gt; the FY 2025 budget request. CVN 75 re-categorization of $</t>
  </si>
  <si>
    <t>CVN Refueling Overhauls - P-8a  - of $</t>
  </si>
  <si>
    <t>P-8a &gt; CVN Refueling Overhauls &gt;  &gt; of $</t>
  </si>
  <si>
    <t>CVN Refueling Overhauls - P-8a Ordnance - ENTERPRISE AIR SURVEILLANCE RADAR (EASR) 1</t>
  </si>
  <si>
    <t>P-8a &gt; CVN Refueling Overhauls &gt; Ordnance &gt; ENTERPRISE AIR SURVEILLANCE RADAR (EASR) 1</t>
  </si>
  <si>
    <t>185</t>
  </si>
  <si>
    <t>ENTERPRISE AIR SURVEILLANCE RADAR (EASR)</t>
  </si>
  <si>
    <t>CVN Refueling Overhauls - P-8a Ordnance - AVIATION EQUIPMENT &amp; SUPPORT 1</t>
  </si>
  <si>
    <t>P-8a &gt; CVN Refueling Overhauls &gt; Ordnance &gt; AVIATION EQUIPMENT &amp; SUPPORT 1</t>
  </si>
  <si>
    <t>AVIATION EQUIPMENT &amp; SUPPORT</t>
  </si>
  <si>
    <t>CVN Refueling Overhauls - P-8a Ordnance - CIWS/RAM DEFENSE CAPABILITY (CRDC) BLOCK 1 1</t>
  </si>
  <si>
    <t>P-8a &gt; CVN Refueling Overhauls &gt; Ordnance &gt; CIWS/RAM DEFENSE CAPABILITY (CRDC) BLOCK 1 1</t>
  </si>
  <si>
    <t>CIWS/RAM DEFENSE CAPABILITY (CRDC) BLOCK 1</t>
  </si>
  <si>
    <t>CVN Refueling Overhauls - P-8a Ordnance - NATO SEASPARROW SURFACE MISSILE SYSTEM (NSSMS) 1</t>
  </si>
  <si>
    <t>P-8a &gt; CVN Refueling Overhauls &gt; Ordnance &gt; NATO SEASPARROW SURFACE MISSILE SYSTEM (NSSMS) 1</t>
  </si>
  <si>
    <t>NATO SEASPARROW SURFACE MISSILE SYSTEM (NSSMS)</t>
  </si>
  <si>
    <t>CVN Refueling Overhauls - P-8a Ordnance - SURFACE ELECTRONIC WARFARE IMPROVEMENT PROGRAM (SEWIP) BLOCK 2 1</t>
  </si>
  <si>
    <t>P-8a &gt; CVN Refueling Overhauls &gt; Ordnance &gt; SURFACE ELECTRONIC WARFARE IMPROVEMENT PROGRAM (SEWIP) BLOCK 2 1</t>
  </si>
  <si>
    <t>SURFACE ELECTRONIC WARFARE IMPROVEMENT PROGRAM (SEWIP) BLOCK 2</t>
  </si>
  <si>
    <t>CVN Refueling Overhauls - P-8a Ordnance - MK 38 MOD 3 GUN SYSTEM 1</t>
  </si>
  <si>
    <t>P-8a &gt; CVN Refueling Overhauls &gt; Ordnance &gt; MK 38 MOD 3 GUN SYSTEM 1</t>
  </si>
  <si>
    <t>MK 38 MOD 3 GUN SYSTEM</t>
  </si>
  <si>
    <t>CVN Refueling Overhauls - P-8a Ordnance - SURFACE ELECTRONIC WARFARE IMPROVEMENT PROGRAM (SEWIP) BLOCK 3 -</t>
  </si>
  <si>
    <t>P-8a &gt; CVN Refueling Overhauls &gt; Ordnance &gt; SURFACE ELECTRONIC WARFARE IMPROVEMENT PROGRAM (SEWIP) BLOCK 3 -</t>
  </si>
  <si>
    <t>SURFACE ELECTRONIC WARFARE IMPROVEMENT PROGRAM (SEWIP) BLOCK 3</t>
  </si>
  <si>
    <t>CVN Refueling Overhauls - P-8a Ordnance - CLOSE IN WEAPON SYSTEM (CIWS) BLOCK 1B</t>
  </si>
  <si>
    <t>P-8a &gt; CVN Refueling Overhauls &gt; Ordnance &gt; CLOSE IN WEAPON SYSTEM (CIWS) BLOCK 1B</t>
  </si>
  <si>
    <t>CLOSE IN WEAPON SYSTEM (CIWS) BLOCK 1B</t>
  </si>
  <si>
    <t>CVN Refueling Overhauls - P-8a Ordnance - COMBAT DIRECTION CENTER (CDC)/FLAG RIPOUT/INSTALL 1</t>
  </si>
  <si>
    <t>P-8a &gt; CVN Refueling Overhauls &gt; Ordnance &gt; COMBAT DIRECTION CENTER (CDC)/FLAG RIPOUT/INSTALL 1</t>
  </si>
  <si>
    <t>COMBAT DIRECTION CENTER (CDC)/FLAG RIPOUT/INSTALL</t>
  </si>
  <si>
    <t>CVN Refueling Overhauls - P-8a Ordnance - AN/SPS-73 NEXT GENERATION SURFACE SEARCH RADAR (NGSSR) 1</t>
  </si>
  <si>
    <t>P-8a &gt; CVN Refueling Overhauls &gt; Ordnance &gt; AN/SPS-73 NEXT GENERATION SURFACE SEARCH RADAR (NGSSR) 1</t>
  </si>
  <si>
    <t>AN/SPS-73 NEXT GENERATION SURFACE SEARCH RADAR (NGSSR)</t>
  </si>
  <si>
    <t>CVN Refueling Overhauls - P-8a Ordnance - RAM GUIDED MISSILE LAUNCHING SYSTEM 1</t>
  </si>
  <si>
    <t>P-8a &gt; CVN Refueling Overhauls &gt; Ordnance &gt; RAM GUIDED MISSILE LAUNCHING SYSTEM 1</t>
  </si>
  <si>
    <t>RAM GUIDED MISSILE LAUNCHING SYSTEM</t>
  </si>
  <si>
    <t>CVN Refueling Overhauls - P-8a Ordnance - AN/SQQ-34C - CARRIER TACTICAL SUPPORT CENTER 1</t>
  </si>
  <si>
    <t>P-8a &gt; CVN Refueling Overhauls &gt; Ordnance &gt; AN/SQQ-34C - CARRIER TACTICAL SUPPORT CENTER 1</t>
  </si>
  <si>
    <t>AN/SQQ-34C - CARRIER TACTICAL SUPPORT CENTER</t>
  </si>
  <si>
    <t>CVN Refueling Overhauls - P-8a Ordnance - RADAR DATA DISTRIBUTION SYSTEM (RDDS) 0 - 1</t>
  </si>
  <si>
    <t>P-8a &gt; CVN Refueling Overhauls &gt; Ordnance &gt; RADAR DATA DISTRIBUTION SYSTEM (RDDS) 0 - 1</t>
  </si>
  <si>
    <t>RADAR DATA DISTRIBUTION SYSTEM (RDDS)</t>
  </si>
  <si>
    <t>CVN Refueling Overhauls - P-8a Ordnance - TEST &amp; CERTIFICATIONS, MISCELLANEOUS GFE</t>
  </si>
  <si>
    <t>P-8a &gt; CVN Refueling Overhauls &gt; Ordnance &gt; TEST &amp; CERTIFICATIONS, MISCELLANEOUS GFE</t>
  </si>
  <si>
    <t>CVN Refueling Overhauls - P-35 C4ISR - Major Hardware                                                                                                  1</t>
  </si>
  <si>
    <t>P-35 &gt; CVN Refueling Overhauls &gt; C4ISR &gt; Major Hardware                                                                                                  1</t>
  </si>
  <si>
    <t>187</t>
  </si>
  <si>
    <t>CVN Refueling Overhauls - P-35 C4ISR - Ancillary Equipment</t>
  </si>
  <si>
    <t>P-35 &gt; CVN Refueling Overhauls &gt; C4ISR &gt; Ancillary Equipment</t>
  </si>
  <si>
    <t>CVN Refueling Overhauls - P-35 C4ISR - Technical Data and Documentation</t>
  </si>
  <si>
    <t>P-35 &gt; CVN Refueling Overhauls &gt; C4ISR &gt; Technical Data and Documentation</t>
  </si>
  <si>
    <t>CVN Refueling Overhauls - P-35 C4ISR - Spares</t>
  </si>
  <si>
    <t>P-35 &gt; CVN Refueling Overhauls &gt; C4ISR &gt; Spares</t>
  </si>
  <si>
    <t>CVN Refueling Overhauls - P-35 C4ISR - System Engineering</t>
  </si>
  <si>
    <t>P-35 &gt; CVN Refueling Overhauls &gt; C4ISR &gt; System Engineering</t>
  </si>
  <si>
    <t>CVN Refueling Overhauls - P-35 C4ISR - Technical Engineering Services</t>
  </si>
  <si>
    <t>P-35 &gt; CVN Refueling Overhauls &gt; C4ISR &gt; Technical Engineering Services</t>
  </si>
  <si>
    <t>CVN Refueling Overhauls - P-35 C4ISR - Other Costs</t>
  </si>
  <si>
    <t>P-35 &gt; CVN Refueling Overhauls &gt; C4ISR &gt; Other Costs</t>
  </si>
  <si>
    <t>CVN Refueling Overhauls - P-35 INTEGRATED COMMUNICATION NETWORK (ICAN / DDCN &amp; IVCN) - Major Hardware                                                                                                  1</t>
  </si>
  <si>
    <t>P-35 &gt; CVN Refueling Overhauls &gt; INTEGRATED COMMUNICATION NETWORK (ICAN / DDCN &amp; IVCN) &gt; Major Hardware                                                                                                  1</t>
  </si>
  <si>
    <t>188</t>
  </si>
  <si>
    <t>CVN Refueling Overhauls - P-35 INTEGRATED COMMUNICATION NETWORK (ICAN / DDCN &amp; IVCN) - Ancillary Equipment</t>
  </si>
  <si>
    <t>P-35 &gt; CVN Refueling Overhauls &gt; INTEGRATED COMMUNICATION NETWORK (ICAN / DDCN &amp; IVCN) &gt; Ancillary Equipment</t>
  </si>
  <si>
    <t>CVN Refueling Overhauls - P-35 INTEGRATED COMMUNICATION NETWORK (ICAN / DDCN &amp; IVCN) - Technical Data and Documentation</t>
  </si>
  <si>
    <t>P-35 &gt; CVN Refueling Overhauls &gt; INTEGRATED COMMUNICATION NETWORK (ICAN / DDCN &amp; IVCN) &gt; Technical Data and Documentation</t>
  </si>
  <si>
    <t>CVN Refueling Overhauls - P-35 INTEGRATED COMMUNICATION NETWORK (ICAN / DDCN &amp; IVCN) - Spares</t>
  </si>
  <si>
    <t>P-35 &gt; CVN Refueling Overhauls &gt; INTEGRATED COMMUNICATION NETWORK (ICAN / DDCN &amp; IVCN) &gt; Spares</t>
  </si>
  <si>
    <t>CVN Refueling Overhauls - P-35 INTEGRATED COMMUNICATION NETWORK (ICAN / DDCN &amp; IVCN) - System Engineering</t>
  </si>
  <si>
    <t>P-35 &gt; CVN Refueling Overhauls &gt; INTEGRATED COMMUNICATION NETWORK (ICAN / DDCN &amp; IVCN) &gt; System Engineering</t>
  </si>
  <si>
    <t>CVN Refueling Overhauls - P-35 INTEGRATED COMMUNICATION NETWORK (ICAN / DDCN &amp; IVCN) - Technical Engineering Services</t>
  </si>
  <si>
    <t>P-35 &gt; CVN Refueling Overhauls &gt; INTEGRATED COMMUNICATION NETWORK (ICAN / DDCN &amp; IVCN) &gt; Technical Engineering Services</t>
  </si>
  <si>
    <t>CVN Refueling Overhauls - P-35 INTEGRATED COMMUNICATION NETWORK (ICAN / DDCN &amp; IVCN) - Other Costs</t>
  </si>
  <si>
    <t>P-35 &gt; CVN Refueling Overhauls &gt; INTEGRATED COMMUNICATION NETWORK (ICAN / DDCN &amp; IVCN) &gt; Other Costs</t>
  </si>
  <si>
    <t>CVN Refueling Overhauls - P-35 INTEGRATED COMMUNICATION NETWORK (ICAN / DDCN &amp; IVCN) - CVN 74 RCOH - Comprised of 33 discretely funded line items. Net cost increase of $</t>
  </si>
  <si>
    <t>P-35 &gt; CVN Refueling Overhauls &gt; INTEGRATED COMMUNICATION NETWORK (ICAN / DDCN &amp; IVCN) &gt; CVN 74 RCOH - Comprised of 33 discretely funded line items. Net cost increase of $</t>
  </si>
  <si>
    <t>189</t>
  </si>
  <si>
    <t>CVN Refueling Overhauls - P-35 INTEGRATED COMMUNICATION NETWORK (ICAN / DDCN &amp; IVCN) - significant decrease exists for Integrated Voice Communications Network (IVCN/IVN), which is reflected in Electronics to be $</t>
  </si>
  <si>
    <t>P-35 &gt; CVN Refueling Overhauls &gt; INTEGRATED COMMUNICATION NETWORK (ICAN / DDCN &amp; IVCN) &gt; significant decrease exists for Integrated Voice Communications Network (IVCN/IVN), which is reflected in Electronics to be $</t>
  </si>
  <si>
    <t>CVN Refueling Overhauls - P-35 INTEGRATED COMMUNICATION NETWORK (ICAN / DDCN &amp; IVCN) - government alteration installation teams (AIT). CVN 74 adjusted for inflation is valued $</t>
  </si>
  <si>
    <t>P-35 &gt; CVN Refueling Overhauls &gt; INTEGRATED COMMUNICATION NETWORK (ICAN / DDCN &amp; IVCN) &gt; government alteration installation teams (AIT). CVN 74 adjusted for inflation is valued $</t>
  </si>
  <si>
    <t>CVN Refueling Overhauls - P-35 ELECTRONIC CONSOLIDATED AUTOMATED SUPPORT SYSTEM (ECASS) - Major Hardware                                                                                                 1</t>
  </si>
  <si>
    <t>P-35 &gt; CVN Refueling Overhauls &gt; ELECTRONIC CONSOLIDATED AUTOMATED SUPPORT SYSTEM (ECASS) &gt; Major Hardware                                                                                                 1</t>
  </si>
  <si>
    <t>190</t>
  </si>
  <si>
    <t>CVN Refueling Overhauls - P-35 ELECTRONIC CONSOLIDATED AUTOMATED SUPPORT SYSTEM (ECASS) - Technical Engineering Services</t>
  </si>
  <si>
    <t>P-35 &gt; CVN Refueling Overhauls &gt; ELECTRONIC CONSOLIDATED AUTOMATED SUPPORT SYSTEM (ECASS) &gt; Technical Engineering Services</t>
  </si>
  <si>
    <t>CVN Refueling Overhauls - P-35 ELECTRONIC CONSOLIDATED AUTOMATED SUPPORT SYSTEM (ECASS) - Other Costs</t>
  </si>
  <si>
    <t>P-35 &gt; CVN Refueling Overhauls &gt; ELECTRONIC CONSOLIDATED AUTOMATED SUPPORT SYSTEM (ECASS) &gt; Other Costs</t>
  </si>
  <si>
    <t>CVN Refueling Overhauls - P-35 SHIP SELF DEFENSE SYSTEM (SSDS) MK2 MOD 1E - Major Hardware                                                                                              1</t>
  </si>
  <si>
    <t>P-35 &gt; CVN Refueling Overhauls &gt; SHIP SELF DEFENSE SYSTEM (SSDS) MK2 MOD 1E &gt; Major Hardware                                                                                              1</t>
  </si>
  <si>
    <t>191</t>
  </si>
  <si>
    <t>CVN Refueling Overhauls - P-35 SHIP SELF DEFENSE SYSTEM (SSDS) MK2 MOD 1E - Technical Data and Documentation</t>
  </si>
  <si>
    <t>P-35 &gt; CVN Refueling Overhauls &gt; SHIP SELF DEFENSE SYSTEM (SSDS) MK2 MOD 1E &gt; Technical Data and Documentation</t>
  </si>
  <si>
    <t>CVN Refueling Overhauls - P-35 SHIP SELF DEFENSE SYSTEM (SSDS) MK2 MOD 1E - Spares</t>
  </si>
  <si>
    <t>P-35 &gt; CVN Refueling Overhauls &gt; SHIP SELF DEFENSE SYSTEM (SSDS) MK2 MOD 1E &gt; Spares</t>
  </si>
  <si>
    <t>CVN Refueling Overhauls - P-35 SHIP SELF DEFENSE SYSTEM (SSDS) MK2 MOD 1E - System Engineering</t>
  </si>
  <si>
    <t>P-35 &gt; CVN Refueling Overhauls &gt; SHIP SELF DEFENSE SYSTEM (SSDS) MK2 MOD 1E &gt; System Engineering</t>
  </si>
  <si>
    <t>CVN Refueling Overhauls - P-35 SHIP SELF DEFENSE SYSTEM (SSDS) MK2 MOD 1E - Technical Engineering Services</t>
  </si>
  <si>
    <t>P-35 &gt; CVN Refueling Overhauls &gt; SHIP SELF DEFENSE SYSTEM (SSDS) MK2 MOD 1E &gt; Technical Engineering Services</t>
  </si>
  <si>
    <t>CVN Refueling Overhauls - P-35 SHIP SELF DEFENSE SYSTEM (SSDS) MK2 MOD 1E - Other Costs</t>
  </si>
  <si>
    <t>P-35 &gt; CVN Refueling Overhauls &gt; SHIP SELF DEFENSE SYSTEM (SSDS) MK2 MOD 1E &gt; Other Costs</t>
  </si>
  <si>
    <t>CVN Refueling Overhauls - P-35 AN/SPN-50(V)1 - AIR TRAFFIC CONTROL RADAR - Major Hardware                                                                                                 1</t>
  </si>
  <si>
    <t>P-35 &gt; CVN Refueling Overhauls &gt; AN/SPN-50(V)1 - AIR TRAFFIC CONTROL RADAR &gt; Major Hardware                                                                                                 1</t>
  </si>
  <si>
    <t>192</t>
  </si>
  <si>
    <t>CVN Refueling Overhauls - P-35 AN/SPN-50(V)1 - AIR TRAFFIC CONTROL RADAR - Technical Data and Documentation</t>
  </si>
  <si>
    <t>P-35 &gt; CVN Refueling Overhauls &gt; AN/SPN-50(V)1 - AIR TRAFFIC CONTROL RADAR &gt; Technical Data and Documentation</t>
  </si>
  <si>
    <t>CVN Refueling Overhauls - P-35 AN/SPN-50(V)1 - AIR TRAFFIC CONTROL RADAR - Spares</t>
  </si>
  <si>
    <t>P-35 &gt; CVN Refueling Overhauls &gt; AN/SPN-50(V)1 - AIR TRAFFIC CONTROL RADAR &gt; Spares</t>
  </si>
  <si>
    <t>CVN Refueling Overhauls - P-35 AN/SPN-50(V)1 - AIR TRAFFIC CONTROL RADAR - System Engineering</t>
  </si>
  <si>
    <t>P-35 &gt; CVN Refueling Overhauls &gt; AN/SPN-50(V)1 - AIR TRAFFIC CONTROL RADAR &gt; System Engineering</t>
  </si>
  <si>
    <t>CVN Refueling Overhauls - P-35 AN/SPN-50(V)1 - AIR TRAFFIC CONTROL RADAR - Technical Engineering Services</t>
  </si>
  <si>
    <t>P-35 &gt; CVN Refueling Overhauls &gt; AN/SPN-50(V)1 - AIR TRAFFIC CONTROL RADAR &gt; Technical Engineering Services</t>
  </si>
  <si>
    <t>CVN Refueling Overhauls - P-35 AN/SPN-50(V)1 - AIR TRAFFIC CONTROL RADAR - Other Costs</t>
  </si>
  <si>
    <t>P-35 &gt; CVN Refueling Overhauls &gt; AN/SPN-50(V)1 - AIR TRAFFIC CONTROL RADAR &gt; Other Costs</t>
  </si>
  <si>
    <t>CVN Refueling Overhauls - P-35 AN/SPN-46 OVERHAUL/UPGRADE - Major Hardware                                                                                                        1</t>
  </si>
  <si>
    <t>P-35 &gt; CVN Refueling Overhauls &gt; AN/SPN-46 OVERHAUL/UPGRADE &gt; Major Hardware                                                                                                        1</t>
  </si>
  <si>
    <t>193</t>
  </si>
  <si>
    <t>CVN Refueling Overhauls - P-35 AN/SPN-46 OVERHAUL/UPGRADE - System Engineering</t>
  </si>
  <si>
    <t>P-35 &gt; CVN Refueling Overhauls &gt; AN/SPN-46 OVERHAUL/UPGRADE &gt; System Engineering</t>
  </si>
  <si>
    <t>CVN Refueling Overhauls - P-35 AN/SPN-46 OVERHAUL/UPGRADE - Technical Engineering Services</t>
  </si>
  <si>
    <t>P-35 &gt; CVN Refueling Overhauls &gt; AN/SPN-46 OVERHAUL/UPGRADE &gt; Technical Engineering Services</t>
  </si>
  <si>
    <t>CVN Refueling Overhauls - P-35 AN/SPN-46 OVERHAUL/UPGRADE - Other Costs</t>
  </si>
  <si>
    <t>P-35 &gt; CVN Refueling Overhauls &gt; AN/SPN-46 OVERHAUL/UPGRADE &gt; Other Costs</t>
  </si>
  <si>
    <t>CVN Refueling Overhauls - P-35 SATELLITE SIGNAL LANDING SYSTEM (SSLS) - Major Hardware                                                                                                   1</t>
  </si>
  <si>
    <t>P-35 &gt; CVN Refueling Overhauls &gt; SATELLITE SIGNAL LANDING SYSTEM (SSLS) &gt; Major Hardware                                                                                                   1</t>
  </si>
  <si>
    <t>194</t>
  </si>
  <si>
    <t>CVN Refueling Overhauls - P-35 SATELLITE SIGNAL LANDING SYSTEM (SSLS) - Spares</t>
  </si>
  <si>
    <t>P-35 &gt; CVN Refueling Overhauls &gt; SATELLITE SIGNAL LANDING SYSTEM (SSLS) &gt; Spares</t>
  </si>
  <si>
    <t>CVN Refueling Overhauls - P-35 SATELLITE SIGNAL LANDING SYSTEM (SSLS) - System Engineering</t>
  </si>
  <si>
    <t>P-35 &gt; CVN Refueling Overhauls &gt; SATELLITE SIGNAL LANDING SYSTEM (SSLS) &gt; System Engineering</t>
  </si>
  <si>
    <t>CVN Refueling Overhauls - P-35 SATELLITE SIGNAL LANDING SYSTEM (SSLS) - Technical Engineering Services</t>
  </si>
  <si>
    <t>P-35 &gt; CVN Refueling Overhauls &gt; SATELLITE SIGNAL LANDING SYSTEM (SSLS) &gt; Technical Engineering Services</t>
  </si>
  <si>
    <t>CVN Refueling Overhauls - P-35 SATELLITE SIGNAL LANDING SYSTEM (SSLS) - Other Costs</t>
  </si>
  <si>
    <t>P-35 &gt; CVN Refueling Overhauls &gt; SATELLITE SIGNAL LANDING SYSTEM (SSLS) &gt; Other Costs</t>
  </si>
  <si>
    <t>CVN Refueling Overhauls - P-35 AN/USG-2B - COOPERATIVE ENGAGEMENT CAPABILITY (CEC) - Major Hardware                                                                                                1</t>
  </si>
  <si>
    <t>P-35 &gt; CVN Refueling Overhauls &gt; AN/USG-2B - COOPERATIVE ENGAGEMENT CAPABILITY (CEC) &gt; Major Hardware                                                                                                1</t>
  </si>
  <si>
    <t>195</t>
  </si>
  <si>
    <t>CVN Refueling Overhauls - P-35 AN/USG-2B - COOPERATIVE ENGAGEMENT CAPABILITY (CEC) - Technical Data and Documentation</t>
  </si>
  <si>
    <t>P-35 &gt; CVN Refueling Overhauls &gt; AN/USG-2B - COOPERATIVE ENGAGEMENT CAPABILITY (CEC) &gt; Technical Data and Documentation</t>
  </si>
  <si>
    <t>CVN Refueling Overhauls - P-35 AN/USG-2B - COOPERATIVE ENGAGEMENT CAPABILITY (CEC) - Spares</t>
  </si>
  <si>
    <t>P-35 &gt; CVN Refueling Overhauls &gt; AN/USG-2B - COOPERATIVE ENGAGEMENT CAPABILITY (CEC) &gt; Spares</t>
  </si>
  <si>
    <t>CVN Refueling Overhauls - P-35 AN/USG-2B - COOPERATIVE ENGAGEMENT CAPABILITY (CEC) - System Engineering</t>
  </si>
  <si>
    <t>P-35 &gt; CVN Refueling Overhauls &gt; AN/USG-2B - COOPERATIVE ENGAGEMENT CAPABILITY (CEC) &gt; System Engineering</t>
  </si>
  <si>
    <t>CVN Refueling Overhauls - P-35 AN/USG-2B - COOPERATIVE ENGAGEMENT CAPABILITY (CEC) - Technical Engineering Services</t>
  </si>
  <si>
    <t>P-35 &gt; CVN Refueling Overhauls &gt; AN/USG-2B - COOPERATIVE ENGAGEMENT CAPABILITY (CEC) &gt; Technical Engineering Services</t>
  </si>
  <si>
    <t>CVN Refueling Overhauls - P-35 AN/USG-2B - COOPERATIVE ENGAGEMENT CAPABILITY (CEC) - Other Costs</t>
  </si>
  <si>
    <t>P-35 &gt; CVN Refueling Overhauls &gt; AN/USG-2B - COOPERATIVE ENGAGEMENT CAPABILITY (CEC) &gt; Other Costs</t>
  </si>
  <si>
    <t>CVN Refueling Overhauls - P-35 AN/SPN-41 REFURBISHMENT - Major Hardware                                                                                                    1</t>
  </si>
  <si>
    <t>P-35 &gt; CVN Refueling Overhauls &gt; AN/SPN-41 REFURBISHMENT &gt; Major Hardware                                                                                                    1</t>
  </si>
  <si>
    <t>196</t>
  </si>
  <si>
    <t>CVN Refueling Overhauls - P-35 AN/SPN-41 REFURBISHMENT - System Engineering</t>
  </si>
  <si>
    <t>P-35 &gt; CVN Refueling Overhauls &gt; AN/SPN-41 REFURBISHMENT &gt; System Engineering</t>
  </si>
  <si>
    <t>CVN Refueling Overhauls - P-35 AN/SPN-41 REFURBISHMENT - Technical Engineering Services</t>
  </si>
  <si>
    <t>P-35 &gt; CVN Refueling Overhauls &gt; AN/SPN-41 REFURBISHMENT &gt; Technical Engineering Services</t>
  </si>
  <si>
    <t>CVN Refueling Overhauls - P-35 AN/SPN-41 REFURBISHMENT - Other Costs</t>
  </si>
  <si>
    <t>P-35 &gt; CVN Refueling Overhauls &gt; AN/SPN-41 REFURBISHMENT &gt; Other Costs</t>
  </si>
  <si>
    <t>CVN Refueling Overhauls - P-35 UNMANNED AVIATION WARFARE CENTER (UAWC) - Major Hardware                                                                                                  0                               -                                 1</t>
  </si>
  <si>
    <t>P-35 &gt; CVN Refueling Overhauls &gt; UNMANNED AVIATION WARFARE CENTER (UAWC) &gt; Major Hardware                                                                                                  0                               -                                 1</t>
  </si>
  <si>
    <t>197</t>
  </si>
  <si>
    <t>CVN Refueling Overhauls - P-35 UNMANNED AVIATION WARFARE CENTER (UAWC) - Technical Data and Documentation                                                                                                                -</t>
  </si>
  <si>
    <t>P-35 &gt; CVN Refueling Overhauls &gt; UNMANNED AVIATION WARFARE CENTER (UAWC) &gt; Technical Data and Documentation                                                                                                                -</t>
  </si>
  <si>
    <t>CVN Refueling Overhauls - P-35 UNMANNED AVIATION WARFARE CENTER (UAWC) - Technical Engineering Services                                                                                                                  -</t>
  </si>
  <si>
    <t>P-35 &gt; CVN Refueling Overhauls &gt; UNMANNED AVIATION WARFARE CENTER (UAWC) &gt; Technical Engineering Services                                                                                                                  -</t>
  </si>
  <si>
    <t>CVN Refueling Overhauls - P-35 UNMANNED AVIATION WARFARE CENTER (UAWC) - Other Costs                                                                                                                                     -</t>
  </si>
  <si>
    <t>P-35 &gt; CVN Refueling Overhauls &gt; UNMANNED AVIATION WARFARE CENTER (UAWC) &gt; Other Costs                                                                                                                                     -</t>
  </si>
  <si>
    <t>CVN Refueling Overhauls - P-35 LOW PRESSURE AIR PLANT (LPAP) - Major Hardware                                                                                                 1</t>
  </si>
  <si>
    <t>P-35 &gt; CVN Refueling Overhauls &gt; LOW PRESSURE AIR PLANT (LPAP) &gt; Major Hardware                                                                                                 1</t>
  </si>
  <si>
    <t>198</t>
  </si>
  <si>
    <t>CVN Refueling Overhauls - P-35 LOW PRESSURE AIR PLANT (LPAP) - Ancillary Equipment</t>
  </si>
  <si>
    <t>P-35 &gt; CVN Refueling Overhauls &gt; LOW PRESSURE AIR PLANT (LPAP) &gt; Ancillary Equipment</t>
  </si>
  <si>
    <t>CVN Refueling Overhauls - P-35 LOW PRESSURE AIR PLANT (LPAP) - Spares</t>
  </si>
  <si>
    <t>P-35 &gt; CVN Refueling Overhauls &gt; LOW PRESSURE AIR PLANT (LPAP) &gt; Spares</t>
  </si>
  <si>
    <t>CVN Refueling Overhauls - P-35 LOW PRESSURE AIR PLANT (LPAP) - System Engineering</t>
  </si>
  <si>
    <t>P-35 &gt; CVN Refueling Overhauls &gt; LOW PRESSURE AIR PLANT (LPAP) &gt; System Engineering</t>
  </si>
  <si>
    <t>CVN Refueling Overhauls - P-35 LOW PRESSURE AIR PLANT (LPAP) - Technical Engineering Services</t>
  </si>
  <si>
    <t>P-35 &gt; CVN Refueling Overhauls &gt; LOW PRESSURE AIR PLANT (LPAP) &gt; Technical Engineering Services</t>
  </si>
  <si>
    <t>CVN Refueling Overhauls - P-35 LOW PRESSURE AIR PLANT (LPAP) - Other Costs</t>
  </si>
  <si>
    <t>P-35 &gt; CVN Refueling Overhauls &gt; LOW PRESSURE AIR PLANT (LPAP) &gt; Other Costs</t>
  </si>
  <si>
    <t>CVN Refueling Overhauls - P-35 VSA O2 GENERATOR - Major Hardware                                                                                                      1</t>
  </si>
  <si>
    <t>P-35 &gt; CVN Refueling Overhauls &gt; VSA O2 GENERATOR &gt; Major Hardware                                                                                                      1</t>
  </si>
  <si>
    <t>199</t>
  </si>
  <si>
    <t>CVN Refueling Overhauls - P-35 VSA O2 GENERATOR - Ancillary Equipment</t>
  </si>
  <si>
    <t>P-35 &gt; CVN Refueling Overhauls &gt; VSA O2 GENERATOR &gt; Ancillary Equipment</t>
  </si>
  <si>
    <t>CVN Refueling Overhauls - P-35 VSA O2 GENERATOR - Spares</t>
  </si>
  <si>
    <t>P-35 &gt; CVN Refueling Overhauls &gt; VSA O2 GENERATOR &gt; Spares</t>
  </si>
  <si>
    <t>CVN Refueling Overhauls - P-35 VSA O2 GENERATOR - System Engineering</t>
  </si>
  <si>
    <t>P-35 &gt; CVN Refueling Overhauls &gt; VSA O2 GENERATOR &gt; System Engineering</t>
  </si>
  <si>
    <t>CVN Refueling Overhauls - P-35 VSA O2 GENERATOR - Technical Engineering Services</t>
  </si>
  <si>
    <t>P-35 &gt; CVN Refueling Overhauls &gt; VSA O2 GENERATOR &gt; Technical Engineering Services</t>
  </si>
  <si>
    <t>CVN Refueling Overhauls - P-35 VSA O2 GENERATOR - Other Costs</t>
  </si>
  <si>
    <t>P-35 &gt; CVN Refueling Overhauls &gt; VSA O2 GENERATOR &gt; Other Costs</t>
  </si>
  <si>
    <t>CVN Refueling Overhauls - P-35 ENTERPRISE AIR SURVEILLANCE RADAR (EASR) - Major Hardware                                                                                                    1</t>
  </si>
  <si>
    <t>P-35 &gt; CVN Refueling Overhauls &gt; ENTERPRISE AIR SURVEILLANCE RADAR (EASR) &gt; Major Hardware                                                                                                    1</t>
  </si>
  <si>
    <t>200</t>
  </si>
  <si>
    <t>CVN Refueling Overhauls - P-35 ENTERPRISE AIR SURVEILLANCE RADAR (EASR) - Ancillary Equipment</t>
  </si>
  <si>
    <t>P-35 &gt; CVN Refueling Overhauls &gt; ENTERPRISE AIR SURVEILLANCE RADAR (EASR) &gt; Ancillary Equipment</t>
  </si>
  <si>
    <t>CVN Refueling Overhauls - P-35 ENTERPRISE AIR SURVEILLANCE RADAR (EASR) - Spares</t>
  </si>
  <si>
    <t>P-35 &gt; CVN Refueling Overhauls &gt; ENTERPRISE AIR SURVEILLANCE RADAR (EASR) &gt; Spares</t>
  </si>
  <si>
    <t>CVN Refueling Overhauls - P-35 ENTERPRISE AIR SURVEILLANCE RADAR (EASR) - System Engineering</t>
  </si>
  <si>
    <t>P-35 &gt; CVN Refueling Overhauls &gt; ENTERPRISE AIR SURVEILLANCE RADAR (EASR) &gt; System Engineering</t>
  </si>
  <si>
    <t>CVN Refueling Overhauls - P-35 ENTERPRISE AIR SURVEILLANCE RADAR (EASR) - Technical Engineering Services</t>
  </si>
  <si>
    <t>P-35 &gt; CVN Refueling Overhauls &gt; ENTERPRISE AIR SURVEILLANCE RADAR (EASR) &gt; Technical Engineering Services</t>
  </si>
  <si>
    <t>CVN Refueling Overhauls - P-35 ENTERPRISE AIR SURVEILLANCE RADAR (EASR) - Other Costs</t>
  </si>
  <si>
    <t>P-35 &gt; CVN Refueling Overhauls &gt; ENTERPRISE AIR SURVEILLANCE RADAR (EASR) &gt; Other Costs</t>
  </si>
  <si>
    <t>CVN Refueling Overhauls - P-35 AVIATION EQUIPMENT &amp; SUPPORT - Major Hardware                                                                                                   1</t>
  </si>
  <si>
    <t>P-35 &gt; CVN Refueling Overhauls &gt; AVIATION EQUIPMENT &amp; SUPPORT &gt; Major Hardware                                                                                                   1</t>
  </si>
  <si>
    <t>201</t>
  </si>
  <si>
    <t>CVN Refueling Overhauls - P-35 AVIATION EQUIPMENT &amp; SUPPORT - Ancillary Equipment</t>
  </si>
  <si>
    <t>P-35 &gt; CVN Refueling Overhauls &gt; AVIATION EQUIPMENT &amp; SUPPORT &gt; Ancillary Equipment</t>
  </si>
  <si>
    <t>CVN Refueling Overhauls - P-35 AVIATION EQUIPMENT &amp; SUPPORT - Technical Data and Documentation</t>
  </si>
  <si>
    <t>P-35 &gt; CVN Refueling Overhauls &gt; AVIATION EQUIPMENT &amp; SUPPORT &gt; Technical Data and Documentation</t>
  </si>
  <si>
    <t>CVN Refueling Overhauls - P-35 AVIATION EQUIPMENT &amp; SUPPORT - Spares</t>
  </si>
  <si>
    <t>P-35 &gt; CVN Refueling Overhauls &gt; AVIATION EQUIPMENT &amp; SUPPORT &gt; Spares</t>
  </si>
  <si>
    <t>CVN Refueling Overhauls - P-35 AVIATION EQUIPMENT &amp; SUPPORT - System Engineering</t>
  </si>
  <si>
    <t>P-35 &gt; CVN Refueling Overhauls &gt; AVIATION EQUIPMENT &amp; SUPPORT &gt; System Engineering</t>
  </si>
  <si>
    <t>CVN Refueling Overhauls - P-35 AVIATION EQUIPMENT &amp; SUPPORT - Technical Engineering Services</t>
  </si>
  <si>
    <t>P-35 &gt; CVN Refueling Overhauls &gt; AVIATION EQUIPMENT &amp; SUPPORT &gt; Technical Engineering Services</t>
  </si>
  <si>
    <t>CVN Refueling Overhauls - P-35 AVIATION EQUIPMENT &amp; SUPPORT - Other Costs</t>
  </si>
  <si>
    <t>P-35 &gt; CVN Refueling Overhauls &gt; AVIATION EQUIPMENT &amp; SUPPORT &gt; Other Costs</t>
  </si>
  <si>
    <t>CVN Refueling Overhauls - P-35 CIWS/RAM DEFENSE CAPABILITY (CRDC) BLOCK 1 - Major Hardware                                                                                                1</t>
  </si>
  <si>
    <t>P-35 &gt; CVN Refueling Overhauls &gt; CIWS/RAM DEFENSE CAPABILITY (CRDC) BLOCK 1 &gt; Major Hardware                                                                                                1</t>
  </si>
  <si>
    <t>202</t>
  </si>
  <si>
    <t>CVN Refueling Overhauls - P-35 CIWS/RAM DEFENSE CAPABILITY (CRDC) BLOCK 1 - Ancillary Equipment                                                                                                                          -</t>
  </si>
  <si>
    <t>P-35 &gt; CVN Refueling Overhauls &gt; CIWS/RAM DEFENSE CAPABILITY (CRDC) BLOCK 1 &gt; Ancillary Equipment                                                                                                                          -</t>
  </si>
  <si>
    <t>CVN Refueling Overhauls - P-35 CIWS/RAM DEFENSE CAPABILITY (CRDC) BLOCK 1 - Technical Data and Documentation                                                                                                             -</t>
  </si>
  <si>
    <t>P-35 &gt; CVN Refueling Overhauls &gt; CIWS/RAM DEFENSE CAPABILITY (CRDC) BLOCK 1 &gt; Technical Data and Documentation                                                                                                             -</t>
  </si>
  <si>
    <t>CVN Refueling Overhauls - P-35 CIWS/RAM DEFENSE CAPABILITY (CRDC) BLOCK 1 - Spares                                                                                                                                       -</t>
  </si>
  <si>
    <t>P-35 &gt; CVN Refueling Overhauls &gt; CIWS/RAM DEFENSE CAPABILITY (CRDC) BLOCK 1 &gt; Spares                                                                                                                                       -</t>
  </si>
  <si>
    <t>CVN Refueling Overhauls - P-35 CIWS/RAM DEFENSE CAPABILITY (CRDC) BLOCK 1 - System Engineering</t>
  </si>
  <si>
    <t>P-35 &gt; CVN Refueling Overhauls &gt; CIWS/RAM DEFENSE CAPABILITY (CRDC) BLOCK 1 &gt; System Engineering</t>
  </si>
  <si>
    <t>CVN Refueling Overhauls - P-35 CIWS/RAM DEFENSE CAPABILITY (CRDC) BLOCK 1 - Technical Engineering Services</t>
  </si>
  <si>
    <t>P-35 &gt; CVN Refueling Overhauls &gt; CIWS/RAM DEFENSE CAPABILITY (CRDC) BLOCK 1 &gt; Technical Engineering Services</t>
  </si>
  <si>
    <t>CVN Refueling Overhauls - P-35 CIWS/RAM DEFENSE CAPABILITY (CRDC) BLOCK 1 - Other Costs</t>
  </si>
  <si>
    <t>P-35 &gt; CVN Refueling Overhauls &gt; CIWS/RAM DEFENSE CAPABILITY (CRDC) BLOCK 1 &gt; Other Costs</t>
  </si>
  <si>
    <t>CVN Refueling Overhauls - P-35 NATO SEASPARROW SURFACE MISSILE SYSTEM (NSSMS) - Major Hardware                                                                                                1</t>
  </si>
  <si>
    <t>P-35 &gt; CVN Refueling Overhauls &gt; NATO SEASPARROW SURFACE MISSILE SYSTEM (NSSMS) &gt; Major Hardware                                                                                                1</t>
  </si>
  <si>
    <t>203</t>
  </si>
  <si>
    <t>CVN Refueling Overhauls - P-35 NATO SEASPARROW SURFACE MISSILE SYSTEM (NSSMS) - Ancillary Equipment</t>
  </si>
  <si>
    <t>P-35 &gt; CVN Refueling Overhauls &gt; NATO SEASPARROW SURFACE MISSILE SYSTEM (NSSMS) &gt; Ancillary Equipment</t>
  </si>
  <si>
    <t>CVN Refueling Overhauls - P-35 NATO SEASPARROW SURFACE MISSILE SYSTEM (NSSMS) - Spares</t>
  </si>
  <si>
    <t>P-35 &gt; CVN Refueling Overhauls &gt; NATO SEASPARROW SURFACE MISSILE SYSTEM (NSSMS) &gt; Spares</t>
  </si>
  <si>
    <t>CVN Refueling Overhauls - P-35 NATO SEASPARROW SURFACE MISSILE SYSTEM (NSSMS) - System Engineering</t>
  </si>
  <si>
    <t>P-35 &gt; CVN Refueling Overhauls &gt; NATO SEASPARROW SURFACE MISSILE SYSTEM (NSSMS) &gt; System Engineering</t>
  </si>
  <si>
    <t>CVN Refueling Overhauls - P-35 NATO SEASPARROW SURFACE MISSILE SYSTEM (NSSMS) - Technical Engineering Services</t>
  </si>
  <si>
    <t>P-35 &gt; CVN Refueling Overhauls &gt; NATO SEASPARROW SURFACE MISSILE SYSTEM (NSSMS) &gt; Technical Engineering Services</t>
  </si>
  <si>
    <t>CVN Refueling Overhauls - P-35 NATO SEASPARROW SURFACE MISSILE SYSTEM (NSSMS) - Other Costs</t>
  </si>
  <si>
    <t>P-35 &gt; CVN Refueling Overhauls &gt; NATO SEASPARROW SURFACE MISSILE SYSTEM (NSSMS) &gt; Other Costs</t>
  </si>
  <si>
    <t>CVN Refueling Overhauls - P-35 SURFACE ELECTRONIC WARFARE IMPROVEMENT PROGRAM (SEWIP) BLOCK 2 - Major Hardware                                                                                             1</t>
  </si>
  <si>
    <t>P-35 &gt; CVN Refueling Overhauls &gt; SURFACE ELECTRONIC WARFARE IMPROVEMENT PROGRAM (SEWIP) BLOCK 2 &gt; Major Hardware                                                                                             1</t>
  </si>
  <si>
    <t>204</t>
  </si>
  <si>
    <t>CVN Refueling Overhauls - P-35 SURFACE ELECTRONIC WARFARE IMPROVEMENT PROGRAM (SEWIP) BLOCK 2 - Ancillary Equipment</t>
  </si>
  <si>
    <t>P-35 &gt; CVN Refueling Overhauls &gt; SURFACE ELECTRONIC WARFARE IMPROVEMENT PROGRAM (SEWIP) BLOCK 2 &gt; Ancillary Equipment</t>
  </si>
  <si>
    <t>CVN Refueling Overhauls - P-35 SURFACE ELECTRONIC WARFARE IMPROVEMENT PROGRAM (SEWIP) BLOCK 2 - Spares</t>
  </si>
  <si>
    <t>P-35 &gt; CVN Refueling Overhauls &gt; SURFACE ELECTRONIC WARFARE IMPROVEMENT PROGRAM (SEWIP) BLOCK 2 &gt; Spares</t>
  </si>
  <si>
    <t>CVN Refueling Overhauls - P-35 SURFACE ELECTRONIC WARFARE IMPROVEMENT PROGRAM (SEWIP) BLOCK 2 - System Engineering</t>
  </si>
  <si>
    <t>P-35 &gt; CVN Refueling Overhauls &gt; SURFACE ELECTRONIC WARFARE IMPROVEMENT PROGRAM (SEWIP) BLOCK 2 &gt; System Engineering</t>
  </si>
  <si>
    <t>CVN Refueling Overhauls - P-35 SURFACE ELECTRONIC WARFARE IMPROVEMENT PROGRAM (SEWIP) BLOCK 2 - Technical Engineering Services</t>
  </si>
  <si>
    <t>P-35 &gt; CVN Refueling Overhauls &gt; SURFACE ELECTRONIC WARFARE IMPROVEMENT PROGRAM (SEWIP) BLOCK 2 &gt; Technical Engineering Services</t>
  </si>
  <si>
    <t>CVN Refueling Overhauls - P-35 SURFACE ELECTRONIC WARFARE IMPROVEMENT PROGRAM (SEWIP) BLOCK 2 - Other Costs</t>
  </si>
  <si>
    <t>P-35 &gt; CVN Refueling Overhauls &gt; SURFACE ELECTRONIC WARFARE IMPROVEMENT PROGRAM (SEWIP) BLOCK 2 &gt; Other Costs</t>
  </si>
  <si>
    <t>CVN Refueling Overhauls - P-35 MK 38 MOD 3 GUN SYSTEM - Major Hardware                                                                                               1</t>
  </si>
  <si>
    <t>P-35 &gt; CVN Refueling Overhauls &gt; MK 38 MOD 3 GUN SYSTEM &gt; Major Hardware                                                                                               1</t>
  </si>
  <si>
    <t>205</t>
  </si>
  <si>
    <t>CVN Refueling Overhauls - P-35 MK 38 MOD 3 GUN SYSTEM - Technical Data and Documentation</t>
  </si>
  <si>
    <t>P-35 &gt; CVN Refueling Overhauls &gt; MK 38 MOD 3 GUN SYSTEM &gt; Technical Data and Documentation</t>
  </si>
  <si>
    <t>CVN Refueling Overhauls - P-35 MK 38 MOD 3 GUN SYSTEM - Spares</t>
  </si>
  <si>
    <t>P-35 &gt; CVN Refueling Overhauls &gt; MK 38 MOD 3 GUN SYSTEM &gt; Spares</t>
  </si>
  <si>
    <t>CVN Refueling Overhauls - P-35 MK 38 MOD 3 GUN SYSTEM - System Engineering                                                                                                                          -</t>
  </si>
  <si>
    <t>P-35 &gt; CVN Refueling Overhauls &gt; MK 38 MOD 3 GUN SYSTEM &gt; System Engineering                                                                                                                          -</t>
  </si>
  <si>
    <t>CVN Refueling Overhauls - P-35 MK 38 MOD 3 GUN SYSTEM - Technical Engineering Services</t>
  </si>
  <si>
    <t>P-35 &gt; CVN Refueling Overhauls &gt; MK 38 MOD 3 GUN SYSTEM &gt; Technical Engineering Services</t>
  </si>
  <si>
    <t>CVN Refueling Overhauls - P-35 MK 38 MOD 3 GUN SYSTEM - Other Costs</t>
  </si>
  <si>
    <t>P-35 &gt; CVN Refueling Overhauls &gt; MK 38 MOD 3 GUN SYSTEM &gt; Other Costs</t>
  </si>
  <si>
    <t>CVN Refueling Overhauls - P-35 SURFACE ELECTRONIC WARFARE IMPROVEMENT PROGRAM (SEWIP) BLOCK 3 - Major Hardware                                                                                                  0                              -                                    1</t>
  </si>
  <si>
    <t>P-35 &gt; CVN Refueling Overhauls &gt; SURFACE ELECTRONIC WARFARE IMPROVEMENT PROGRAM (SEWIP) BLOCK 3 &gt; Major Hardware                                                                                                  0                              -                                    1</t>
  </si>
  <si>
    <t>206</t>
  </si>
  <si>
    <t>CVN Refueling Overhauls - P-35 SURFACE ELECTRONIC WARFARE IMPROVEMENT PROGRAM (SEWIP) BLOCK 3 - Ancillary Equipment                                                                                                                            -</t>
  </si>
  <si>
    <t>P-35 &gt; CVN Refueling Overhauls &gt; SURFACE ELECTRONIC WARFARE IMPROVEMENT PROGRAM (SEWIP) BLOCK 3 &gt; Ancillary Equipment                                                                                                                            -</t>
  </si>
  <si>
    <t>CVN Refueling Overhauls - P-35 SURFACE ELECTRONIC WARFARE IMPROVEMENT PROGRAM (SEWIP) BLOCK 3 - Spares                                                                                                                                         -</t>
  </si>
  <si>
    <t>P-35 &gt; CVN Refueling Overhauls &gt; SURFACE ELECTRONIC WARFARE IMPROVEMENT PROGRAM (SEWIP) BLOCK 3 &gt; Spares                                                                                                                                         -</t>
  </si>
  <si>
    <t>CVN Refueling Overhauls - P-35 SURFACE ELECTRONIC WARFARE IMPROVEMENT PROGRAM (SEWIP) BLOCK 3 - System Engineering                                                                                                                             -</t>
  </si>
  <si>
    <t>P-35 &gt; CVN Refueling Overhauls &gt; SURFACE ELECTRONIC WARFARE IMPROVEMENT PROGRAM (SEWIP) BLOCK 3 &gt; System Engineering                                                                                                                             -</t>
  </si>
  <si>
    <t>CVN Refueling Overhauls - P-35 SURFACE ELECTRONIC WARFARE IMPROVEMENT PROGRAM (SEWIP) BLOCK 3 - Technical Engineering Services                                                                                                                 -</t>
  </si>
  <si>
    <t>P-35 &gt; CVN Refueling Overhauls &gt; SURFACE ELECTRONIC WARFARE IMPROVEMENT PROGRAM (SEWIP) BLOCK 3 &gt; Technical Engineering Services                                                                                                                 -</t>
  </si>
  <si>
    <t>CVN Refueling Overhauls - P-35 SURFACE ELECTRONIC WARFARE IMPROVEMENT PROGRAM (SEWIP) BLOCK 3 - Other Costs                                                                                                                                    -</t>
  </si>
  <si>
    <t>P-35 &gt; CVN Refueling Overhauls &gt; SURFACE ELECTRONIC WARFARE IMPROVEMENT PROGRAM (SEWIP) BLOCK 3 &gt; Other Costs                                                                                                                                    -</t>
  </si>
  <si>
    <t>CVN Refueling Overhauls - P-35 CLOSE IN WEAPON SYSTEM (CIWS) BLOCK 1B - Major Hardware                                                                                                   0                               -                                 1</t>
  </si>
  <si>
    <t>P-35 &gt; CVN Refueling Overhauls &gt; CLOSE IN WEAPON SYSTEM (CIWS) BLOCK 1B &gt; Major Hardware                                                                                                   0                               -                                 1</t>
  </si>
  <si>
    <t>207</t>
  </si>
  <si>
    <t>CVN Refueling Overhauls - P-35 CLOSE IN WEAPON SYSTEM (CIWS) BLOCK 1B - Technical Data and Documentation                                                                                                                 -</t>
  </si>
  <si>
    <t>P-35 &gt; CVN Refueling Overhauls &gt; CLOSE IN WEAPON SYSTEM (CIWS) BLOCK 1B &gt; Technical Data and Documentation                                                                                                                 -</t>
  </si>
  <si>
    <t>CVN Refueling Overhauls - P-35 CLOSE IN WEAPON SYSTEM (CIWS) BLOCK 1B - Spares                                                                                                                                           -</t>
  </si>
  <si>
    <t>P-35 &gt; CVN Refueling Overhauls &gt; CLOSE IN WEAPON SYSTEM (CIWS) BLOCK 1B &gt; Spares                                                                                                                                           -</t>
  </si>
  <si>
    <t>CVN Refueling Overhauls - P-35 CLOSE IN WEAPON SYSTEM (CIWS) BLOCK 1B - System Engineering</t>
  </si>
  <si>
    <t>P-35 &gt; CVN Refueling Overhauls &gt; CLOSE IN WEAPON SYSTEM (CIWS) BLOCK 1B &gt; System Engineering</t>
  </si>
  <si>
    <t>CVN Refueling Overhauls - P-35 CLOSE IN WEAPON SYSTEM (CIWS) BLOCK 1B - Technical Engineering Services</t>
  </si>
  <si>
    <t>P-35 &gt; CVN Refueling Overhauls &gt; CLOSE IN WEAPON SYSTEM (CIWS) BLOCK 1B &gt; Technical Engineering Services</t>
  </si>
  <si>
    <t>CVN Refueling Overhauls - P-35 CLOSE IN WEAPON SYSTEM (CIWS) BLOCK 1B - Other Costs</t>
  </si>
  <si>
    <t>P-35 &gt; CVN Refueling Overhauls &gt; CLOSE IN WEAPON SYSTEM (CIWS) BLOCK 1B &gt; Other Costs</t>
  </si>
  <si>
    <t>CVN Refueling Overhauls - P-10 - Plans                                                                                       -       Various</t>
  </si>
  <si>
    <t>2086 / CVN Refueling Overhauls AP</t>
  </si>
  <si>
    <t>P-10 &gt; CVN Refueling Overhauls &gt; Plans                                                                                       -       Various</t>
  </si>
  <si>
    <t>Plans</t>
  </si>
  <si>
    <t>CVN Refueling Overhauls - P-10 - Basic (Ship)                                                                                -       Various</t>
  </si>
  <si>
    <t>P-10 &gt; CVN Refueling Overhauls &gt; Basic (Ship)                                                                                -       Various</t>
  </si>
  <si>
    <t>Basic (Ship)</t>
  </si>
  <si>
    <t>CVN Refueling Overhauls - P-10 - Basic (Parking Garages)                                                                     -       Various</t>
  </si>
  <si>
    <t>P-10 &gt; CVN Refueling Overhauls &gt; Basic (Parking Garages)                                                                     -       Various</t>
  </si>
  <si>
    <t>Basic (Parking Garages)</t>
  </si>
  <si>
    <t>CVN Refueling Overhauls - P-10 - Basic (Multi-Use Facility)                                                                  -       Various</t>
  </si>
  <si>
    <t>P-10 &gt; CVN Refueling Overhauls &gt; Basic (Multi-Use Facility)                                                                  -       Various</t>
  </si>
  <si>
    <t>Basic (Multi-Use Facility)</t>
  </si>
  <si>
    <t>CVN Refueling Overhauls - P-10 - Other                                                                                       -       Various</t>
  </si>
  <si>
    <t>P-10 &gt; CVN Refueling Overhauls &gt; Other                                                                                       -       Various</t>
  </si>
  <si>
    <t>Other</t>
  </si>
  <si>
    <t>CVN Refueling Overhauls - P-10 - Propulsion Equipment                                                                        -       Various</t>
  </si>
  <si>
    <t>P-10 &gt; CVN Refueling Overhauls &gt; Propulsion Equipment                                                                        -       Various</t>
  </si>
  <si>
    <t>CVN Refueling Overhauls - P-10 - HM&amp;E                                                                                        -       Various</t>
  </si>
  <si>
    <t>P-10 &gt; CVN Refueling Overhauls &gt; HM&amp;E                                                                                        -       Various</t>
  </si>
  <si>
    <t>HM&amp;E</t>
  </si>
  <si>
    <t>CVN Refueling Overhauls - P-10 - Electronics                                                                                 -       Various</t>
  </si>
  <si>
    <t>P-10 &gt; CVN Refueling Overhauls &gt; Electronics                                                                                 -       Various</t>
  </si>
  <si>
    <t>CVN Refueling Overhauls - P-10 - Ordnance                                                                                    -       Various</t>
  </si>
  <si>
    <t>P-10 &gt; CVN Refueling Overhauls &gt; Ordnance                                                                                    -       Various</t>
  </si>
  <si>
    <t>DDG 1000 - P-5c - Plan Costs</t>
  </si>
  <si>
    <t>2119 / DDG 1000</t>
  </si>
  <si>
    <t>P-5c &gt; DDG 1000 &gt; Plan Costs</t>
  </si>
  <si>
    <t>214</t>
  </si>
  <si>
    <t>DDG 1000 - P-5c - Basic Construction</t>
  </si>
  <si>
    <t>P-5c &gt; DDG 1000 &gt; Basic Construction</t>
  </si>
  <si>
    <t>DDG 1000 - P-5c - Change Orders</t>
  </si>
  <si>
    <t>P-5c &gt; DDG 1000 &gt; Change Orders</t>
  </si>
  <si>
    <t>DDG 1000 - P-5c - Electronics</t>
  </si>
  <si>
    <t>P-5c &gt; DDG 1000 &gt; Electronics</t>
  </si>
  <si>
    <t>DDG 1000 - P-5c - Hull, Mechanical, and Electrical</t>
  </si>
  <si>
    <t>P-5c &gt; DDG 1000 &gt; Hull, Mechanical, and Electrical</t>
  </si>
  <si>
    <t>DDG 1000 - P-5c - Ordnance</t>
  </si>
  <si>
    <t>P-5c &gt; DDG 1000 &gt; Ordnance</t>
  </si>
  <si>
    <t>DDG 1000 - P-5c - Other Cost</t>
  </si>
  <si>
    <t>P-5c &gt; DDG 1000 &gt; Other Cost</t>
  </si>
  <si>
    <t>DDG 1000 - P-8a Electronics - EXTERIOR COMMUNICATIONS (EXCOMMS) 1</t>
  </si>
  <si>
    <t>P-8a &gt; DDG 1000 &gt; Electronics &gt; EXTERIOR COMMUNICATIONS (EXCOMMS) 1</t>
  </si>
  <si>
    <t>217</t>
  </si>
  <si>
    <t>EXTERIOR COMMUNICATIONS (EXCOMMS)</t>
  </si>
  <si>
    <t>DDG 1000 - P-8a Electronics - INTEGRATED UNDERSEA WARFARE (IUSW) SYSTEM 1</t>
  </si>
  <si>
    <t>P-8a &gt; DDG 1000 &gt; Electronics &gt; INTEGRATED UNDERSEA WARFARE (IUSW) SYSTEM 1</t>
  </si>
  <si>
    <t>INTEGRATED UNDERSEA WARFARE (IUSW) SYSTEM</t>
  </si>
  <si>
    <t>DDG 1000 - P-8a Electronics - MULTI FUNCTION RADAR (MFR) 1</t>
  </si>
  <si>
    <t>P-8a &gt; DDG 1000 &gt; Electronics &gt; MULTI FUNCTION RADAR (MFR) 1</t>
  </si>
  <si>
    <t>MULTI FUNCTION RADAR (MFR)</t>
  </si>
  <si>
    <t>DDG 1000 - P-8a Electronics - COMMON ARRAY POWER SYSTEM (CAPS) 1</t>
  </si>
  <si>
    <t>P-8a &gt; DDG 1000 &gt; Electronics &gt; COMMON ARRAY POWER SYSTEM (CAPS) 1</t>
  </si>
  <si>
    <t>COMMON ARRAY POWER SYSTEM (CAPS)</t>
  </si>
  <si>
    <t>DDG 1000 - P-8a Electronics - TOTAL SHIP COMPUTING ENVIRONMENT (TSCE) 1</t>
  </si>
  <si>
    <t>P-8a &gt; DDG 1000 &gt; Electronics &gt; TOTAL SHIP COMPUTING ENVIRONMENT (TSCE) 1</t>
  </si>
  <si>
    <t>TOTAL SHIP COMPUTING ENVIRONMENT (TSCE)</t>
  </si>
  <si>
    <t>DDG 1000 - P-8a Electronics - ELECTRO-OPTICAL / INFRARED (EO/IR) 1</t>
  </si>
  <si>
    <t>P-8a &gt; DDG 1000 &gt; Electronics &gt; ELECTRO-OPTICAL / INFRARED (EO/IR) 1</t>
  </si>
  <si>
    <t>ELECTRO-OPTICAL / INFRARED (EO/IR)</t>
  </si>
  <si>
    <t>DDG 1000 - P-8a Electronics - IDENTIFICATION FRIEND OR FOE (IFF) 1</t>
  </si>
  <si>
    <t>P-8a &gt; DDG 1000 &gt; Electronics &gt; IDENTIFICATION FRIEND OR FOE (IFF) 1</t>
  </si>
  <si>
    <t>IDENTIFICATION FRIEND OR FOE (IFF)</t>
  </si>
  <si>
    <t>DDG 1000 - P-8a Electronics - COMMON ARRAY COOLING SYSTEM (CACS) 1</t>
  </si>
  <si>
    <t>P-8a &gt; DDG 1000 &gt; Electronics &gt; COMMON ARRAY COOLING SYSTEM (CACS) 1</t>
  </si>
  <si>
    <t>COMMON ARRAY COOLING SYSTEM (CACS)</t>
  </si>
  <si>
    <t>DDG 1000 - P-8a Electronics - SHIP CONTROL SYSTEM (SCS) 1</t>
  </si>
  <si>
    <t>P-8a &gt; DDG 1000 &gt; Electronics &gt; SHIP CONTROL SYSTEM (SCS) 1</t>
  </si>
  <si>
    <t>SHIP CONTROL SYSTEM (SCS)</t>
  </si>
  <si>
    <t>DDG 1000 - P-8a Electronics - COOPERATIVE ENGAGEMENT CAPABILITY (CEC) 1</t>
  </si>
  <si>
    <t>P-8a &gt; DDG 1000 &gt; Electronics &gt; COOPERATIVE ENGAGEMENT CAPABILITY (CEC) 1</t>
  </si>
  <si>
    <t>COOPERATIVE ENGAGEMENT CAPABILITY (CEC)</t>
  </si>
  <si>
    <t>DDG 1000 - P-8a Electronics - SURFACE ELECTRONIC WARFARE IMPROVEMENT PROGRAM (SEWIP) 1</t>
  </si>
  <si>
    <t>P-8a &gt; DDG 1000 &gt; Electronics &gt; SURFACE ELECTRONIC WARFARE IMPROVEMENT PROGRAM (SEWIP) 1</t>
  </si>
  <si>
    <t>SURFACE ELECTRONIC WARFARE IMPROVEMENT PROGRAM (SEWIP)</t>
  </si>
  <si>
    <t>DDG 1000 - P-8a Electronics - VERTICAL LAUNCHING SYSTEM (VLS) MK 57 4-CELL MODULES 20</t>
  </si>
  <si>
    <t>P-8a &gt; DDG 1000 &gt; Electronics &gt; VERTICAL LAUNCHING SYSTEM (VLS) MK 57 4-CELL MODULES 20</t>
  </si>
  <si>
    <t>VERTICAL LAUNCHING SYSTEM (VLS) MK 57 4-CELL MODULES</t>
  </si>
  <si>
    <t>DDG 1000 - P-8a Electronics - DDG 1002 TSCE MODERNIZATION 1</t>
  </si>
  <si>
    <t>P-8a &gt; DDG 1000 &gt; Electronics &gt; DDG 1002 TSCE MODERNIZATION 1</t>
  </si>
  <si>
    <t>DDG 1002 TSCE MODERNIZATION</t>
  </si>
  <si>
    <t>DDG 1000 - P-8a Electronics - DDG 1002 UNIVERSAL CANISTER ELECTRICAL UNITS (UCEU) 80</t>
  </si>
  <si>
    <t>P-8a &gt; DDG 1000 &gt; Electronics &gt; DDG 1002 UNIVERSAL CANISTER ELECTRICAL UNITS (UCEU) 80</t>
  </si>
  <si>
    <t>DDG 1002 UNIVERSAL CANISTER ELECTRICAL UNITS (UCEU)</t>
  </si>
  <si>
    <t>DDG 1000 - P-8a Electronics - MISSION SYSTEM ENGR INTEGR &amp; TEST (MSEIT)</t>
  </si>
  <si>
    <t>P-8a &gt; DDG 1000 &gt; Electronics &gt; MISSION SYSTEM ENGR INTEGR &amp; TEST (MSEIT)</t>
  </si>
  <si>
    <t>MISSION SYSTEM ENGR INTEGR &amp; TEST (MSEIT)</t>
  </si>
  <si>
    <t>DDG 1000 - P-8a Electronics - MISSION SYSTEM ACTIVATION</t>
  </si>
  <si>
    <t>P-8a &gt; DDG 1000 &gt; Electronics &gt; MISSION SYSTEM ACTIVATION</t>
  </si>
  <si>
    <t>MISSION SYSTEM ACTIVATION</t>
  </si>
  <si>
    <t>DDG 1000 - P-8a Electronics - SPARES</t>
  </si>
  <si>
    <t>P-8a &gt; DDG 1000 &gt; Electronics &gt; SPARES</t>
  </si>
  <si>
    <t>SPARES</t>
  </si>
  <si>
    <t>DDG 1000 - P-8a Hull, Mechanical, and Electrical - MAIN TURBINE GENERATOR (MTG) 2</t>
  </si>
  <si>
    <t>P-8a &gt; DDG 1000 &gt; Hull, Mechanical, and Electrical &gt; MAIN TURBINE GENERATOR (MTG) 2</t>
  </si>
  <si>
    <t>218</t>
  </si>
  <si>
    <t>MAIN TURBINE GENERATOR (MTG)</t>
  </si>
  <si>
    <t>DDG 1000 - P-8a Hull, Mechanical, and Electrical - RIGID HULL INFLATABLE BOAT (RHIB) 2</t>
  </si>
  <si>
    <t>P-8a &gt; DDG 1000 &gt; Hull, Mechanical, and Electrical &gt; RIGID HULL INFLATABLE BOAT (RHIB) 2</t>
  </si>
  <si>
    <t>RIGID HULL INFLATABLE BOAT (RHIB)</t>
  </si>
  <si>
    <t>DDG 1000 - P-8a Hull, Mechanical, and Electrical - HM&amp;E (NGVLA, Moriah Wind Measurement System (WMS), Aviation Integration)</t>
  </si>
  <si>
    <t>P-8a &gt; DDG 1000 &gt; Hull, Mechanical, and Electrical &gt; HM&amp;E (NGVLA, Moriah Wind Measurement System (WMS), Aviation Integration)</t>
  </si>
  <si>
    <t>HM&amp;E (NGVLA, Moriah Wind Measurement System (WMS), Aviation Integration)</t>
  </si>
  <si>
    <t>DDG 1000 - P-8a Hull, Mechanical, and Electrical - MISSION SYSTEM ACTIVATION</t>
  </si>
  <si>
    <t>P-8a &gt; DDG 1000 &gt; Hull, Mechanical, and Electrical &gt; MISSION SYSTEM ACTIVATION</t>
  </si>
  <si>
    <t>DDG 1000 - P-8a Hull, Mechanical, and Electrical - INTERIM SPARES</t>
  </si>
  <si>
    <t>P-8a &gt; DDG 1000 &gt; Hull, Mechanical, and Electrical &gt; INTERIM SPARES</t>
  </si>
  <si>
    <t>INTERIM SPARES</t>
  </si>
  <si>
    <t>DDG 1000 - P-8a Ordnance - ADVANCED GUN SYSTEM (AGS) 2</t>
  </si>
  <si>
    <t>P-8a &gt; DDG 1000 &gt; Ordnance &gt; ADVANCED GUN SYSTEM (AGS) 2</t>
  </si>
  <si>
    <t>219</t>
  </si>
  <si>
    <t>ADVANCED GUN SYSTEM (AGS)</t>
  </si>
  <si>
    <t>DDG 1000 - P-8a Ordnance - CLOSE-IN GUN SYSTEM (CIGS) 2</t>
  </si>
  <si>
    <t>P-8a &gt; DDG 1000 &gt; Ordnance &gt; CLOSE-IN GUN SYSTEM (CIGS) 2</t>
  </si>
  <si>
    <t>CLOSE-IN GUN SYSTEM (CIGS)</t>
  </si>
  <si>
    <t>DDG 1000 - P-8a Ordnance - DDG 1002 Missile Tubes (CPS) 4</t>
  </si>
  <si>
    <t>P-8a &gt; DDG 1000 &gt; Ordnance &gt; DDG 1002 Missile Tubes (CPS) 4</t>
  </si>
  <si>
    <t>DDG 1002 Missile Tubes (CPS)</t>
  </si>
  <si>
    <t>DDG 1000 - P-8a Ordnance - DDG 1002 Rubber Boots, Hatches, Shock Isolation (CPS) 4</t>
  </si>
  <si>
    <t>P-8a &gt; DDG 1000 &gt; Ordnance &gt; DDG 1002 Rubber Boots, Hatches, Shock Isolation (CPS) 4</t>
  </si>
  <si>
    <t>DDG 1002 Rubber Boots, Hatches, Shock Isolation (CPS)</t>
  </si>
  <si>
    <t>DDG 1000 - P-8a Ordnance - MISSION SYSTEM ACTIVATION</t>
  </si>
  <si>
    <t>P-8a &gt; DDG 1000 &gt; Ordnance &gt; MISSION SYSTEM ACTIVATION</t>
  </si>
  <si>
    <t>DDG 1000 - P-35 EXTERIOR COMMUNICATIONS (EXCOMMS) - Major Hardware                                                                                                                                            1</t>
  </si>
  <si>
    <t>P-35 &gt; DDG 1000 &gt; EXTERIOR COMMUNICATIONS (EXCOMMS) &gt; Major Hardware                                                                                                                                            1</t>
  </si>
  <si>
    <t>220</t>
  </si>
  <si>
    <t>DDG 1000 - P-35 EXTERIOR COMMUNICATIONS (EXCOMMS) - Technical Support Services</t>
  </si>
  <si>
    <t>P-35 &gt; DDG 1000 &gt; EXTERIOR COMMUNICATIONS (EXCOMMS) &gt; Technical Support Services</t>
  </si>
  <si>
    <t>DDG 1000 - P-35 EXTERIOR COMMUNICATIONS (EXCOMMS) - Other / NRE</t>
  </si>
  <si>
    <t>P-35 &gt; DDG 1000 &gt; EXTERIOR COMMUNICATIONS (EXCOMMS) &gt; Other / NRE</t>
  </si>
  <si>
    <t>DDG 1000 - P-35 INTEGRATED UNDERSEA WARFARE (IUSW) SYSTEM - Major Hardware                                                                                                                                               1</t>
  </si>
  <si>
    <t>P-35 &gt; DDG 1000 &gt; INTEGRATED UNDERSEA WARFARE (IUSW) SYSTEM &gt; Major Hardware                                                                                                                                               1</t>
  </si>
  <si>
    <t>221</t>
  </si>
  <si>
    <t>DDG 1000 - P-35 INTEGRATED UNDERSEA WARFARE (IUSW) SYSTEM - Technical Support Services</t>
  </si>
  <si>
    <t>P-35 &gt; DDG 1000 &gt; INTEGRATED UNDERSEA WARFARE (IUSW) SYSTEM &gt; Technical Support Services</t>
  </si>
  <si>
    <t>DDG 1000 - P-35 INTEGRATED UNDERSEA WARFARE (IUSW) SYSTEM - Other / NRE</t>
  </si>
  <si>
    <t>P-35 &gt; DDG 1000 &gt; INTEGRATED UNDERSEA WARFARE (IUSW) SYSTEM &gt; Other / NRE</t>
  </si>
  <si>
    <t>DDG 1000 - P-35 MULTI FUNCTION RADAR (MFR) - Major Hardware                                                                                                                                                   1</t>
  </si>
  <si>
    <t>P-35 &gt; DDG 1000 &gt; MULTI FUNCTION RADAR (MFR) &gt; Major Hardware                                                                                                                                                   1</t>
  </si>
  <si>
    <t>222</t>
  </si>
  <si>
    <t>DDG 1000 - P-35 MULTI FUNCTION RADAR (MFR) - Technical Support Services</t>
  </si>
  <si>
    <t>P-35 &gt; DDG 1000 &gt; MULTI FUNCTION RADAR (MFR) &gt; Technical Support Services</t>
  </si>
  <si>
    <t>DDG 1000 - P-35 MULTI FUNCTION RADAR (MFR) - Other / NRE</t>
  </si>
  <si>
    <t>P-35 &gt; DDG 1000 &gt; MULTI FUNCTION RADAR (MFR) &gt; Other / NRE</t>
  </si>
  <si>
    <t>DDG 1000 - P-35 COMMON ARRAY POWER SYSTEM (CAPS) - Major Hardware                                                                                                                                               1</t>
  </si>
  <si>
    <t>P-35 &gt; DDG 1000 &gt; COMMON ARRAY POWER SYSTEM (CAPS) &gt; Major Hardware                                                                                                                                               1</t>
  </si>
  <si>
    <t>223</t>
  </si>
  <si>
    <t>DDG 1000 - P-35 COMMON ARRAY POWER SYSTEM (CAPS) - Technical Support Services</t>
  </si>
  <si>
    <t>P-35 &gt; DDG 1000 &gt; COMMON ARRAY POWER SYSTEM (CAPS) &gt; Technical Support Services</t>
  </si>
  <si>
    <t>DDG 1000 - P-35 COMMON ARRAY POWER SYSTEM (CAPS) - Other / NRE</t>
  </si>
  <si>
    <t>P-35 &gt; DDG 1000 &gt; COMMON ARRAY POWER SYSTEM (CAPS) &gt; Other / NRE</t>
  </si>
  <si>
    <t>DDG 1000 - P-35 TOTAL SHIP COMPUTING ENVIRONMENT (TSCE) - Major Hardware                                                                                                                                             1</t>
  </si>
  <si>
    <t>P-35 &gt; DDG 1000 &gt; TOTAL SHIP COMPUTING ENVIRONMENT (TSCE) &gt; Major Hardware                                                                                                                                             1</t>
  </si>
  <si>
    <t>224</t>
  </si>
  <si>
    <t>DDG 1000 - P-35 TOTAL SHIP COMPUTING ENVIRONMENT (TSCE) - Technical Support Services</t>
  </si>
  <si>
    <t>P-35 &gt; DDG 1000 &gt; TOTAL SHIP COMPUTING ENVIRONMENT (TSCE) &gt; Technical Support Services</t>
  </si>
  <si>
    <t>DDG 1000 - P-35 TOTAL SHIP COMPUTING ENVIRONMENT (TSCE) - Other / NRE</t>
  </si>
  <si>
    <t>P-35 &gt; DDG 1000 &gt; TOTAL SHIP COMPUTING ENVIRONMENT (TSCE) &gt; Other / NRE</t>
  </si>
  <si>
    <t>DDG 1000 - P-35 TOTAL SHIP COMPUTING ENVIRONMENT (TSCE) - Total                                                                                                                                                      1</t>
  </si>
  <si>
    <t>P-35 &gt; DDG 1000 &gt; TOTAL SHIP COMPUTING ENVIRONMENT (TSCE) &gt; Total                                                                                                                                                      1</t>
  </si>
  <si>
    <t>DDG 1000 - P-35 ELECTRO-OPTICAL / INFRARED (EO/IR) - Major Hardware                                                                                                                                                  1</t>
  </si>
  <si>
    <t>P-35 &gt; DDG 1000 &gt; ELECTRO-OPTICAL / INFRARED (EO/IR) &gt; Major Hardware                                                                                                                                                  1</t>
  </si>
  <si>
    <t>225</t>
  </si>
  <si>
    <t>DDG 1000 - P-35 ELECTRO-OPTICAL / INFRARED (EO/IR) - Technical Support Services</t>
  </si>
  <si>
    <t>P-35 &gt; DDG 1000 &gt; ELECTRO-OPTICAL / INFRARED (EO/IR) &gt; Technical Support Services</t>
  </si>
  <si>
    <t>DDG 1000 - P-35 ELECTRO-OPTICAL / INFRARED (EO/IR) - Other / NRE</t>
  </si>
  <si>
    <t>P-35 &gt; DDG 1000 &gt; ELECTRO-OPTICAL / INFRARED (EO/IR) &gt; Other / NRE</t>
  </si>
  <si>
    <t>DDG 1000 - P-35 IDENTIFICATION FRIEND OR FOE (IFF) - Major Hardware                                                                                                                                                       1</t>
  </si>
  <si>
    <t>P-35 &gt; DDG 1000 &gt; IDENTIFICATION FRIEND OR FOE (IFF) &gt; Major Hardware                                                                                                                                                       1</t>
  </si>
  <si>
    <t>226</t>
  </si>
  <si>
    <t>DDG 1000 - P-35 IDENTIFICATION FRIEND OR FOE (IFF) - Technical Support Services</t>
  </si>
  <si>
    <t>P-35 &gt; DDG 1000 &gt; IDENTIFICATION FRIEND OR FOE (IFF) &gt; Technical Support Services</t>
  </si>
  <si>
    <t>DDG 1000 - P-35 IDENTIFICATION FRIEND OR FOE (IFF) - Other / NRE</t>
  </si>
  <si>
    <t>P-35 &gt; DDG 1000 &gt; IDENTIFICATION FRIEND OR FOE (IFF) &gt; Other / NRE</t>
  </si>
  <si>
    <t>DDG 1000 - P-35 COMMON ARRAY COOLING SYSTEM (CACS) - Technical Support Services</t>
  </si>
  <si>
    <t>P-35 &gt; DDG 1000 &gt; COMMON ARRAY COOLING SYSTEM (CACS) &gt; Technical Support Services</t>
  </si>
  <si>
    <t>227</t>
  </si>
  <si>
    <t>DDG 1000 - P-35 COMMON ARRAY COOLING SYSTEM (CACS) - Other / NRE</t>
  </si>
  <si>
    <t>P-35 &gt; DDG 1000 &gt; COMMON ARRAY COOLING SYSTEM (CACS) &gt; Other / NRE</t>
  </si>
  <si>
    <t>DDG 1000 - P-35 SHIP CONTROL SYSTEM (SCS) - Major Hardware                                                                                                                                                   1</t>
  </si>
  <si>
    <t>P-35 &gt; DDG 1000 &gt; SHIP CONTROL SYSTEM (SCS) &gt; Major Hardware                                                                                                                                                   1</t>
  </si>
  <si>
    <t>228</t>
  </si>
  <si>
    <t>DDG 1000 - P-35 SHIP CONTROL SYSTEM (SCS) - Technical Support Services</t>
  </si>
  <si>
    <t>P-35 &gt; DDG 1000 &gt; SHIP CONTROL SYSTEM (SCS) &gt; Technical Support Services</t>
  </si>
  <si>
    <t>DDG 1000 - P-35 SHIP CONTROL SYSTEM (SCS) - Other / NRE</t>
  </si>
  <si>
    <t>P-35 &gt; DDG 1000 &gt; SHIP CONTROL SYSTEM (SCS) &gt; Other / NRE</t>
  </si>
  <si>
    <t>0933</t>
  </si>
  <si>
    <t>DDG 1000 - P-35 COOPERATIVE ENGAGEMENT CAPABILITY (CEC) - Major Hardware                                                                                                                                                        1</t>
  </si>
  <si>
    <t>P-35 &gt; DDG 1000 &gt; COOPERATIVE ENGAGEMENT CAPABILITY (CEC) &gt; Major Hardware                                                                                                                                                        1</t>
  </si>
  <si>
    <t>229</t>
  </si>
  <si>
    <t>DDG 1000 - P-35 COOPERATIVE ENGAGEMENT CAPABILITY (CEC) - Technical Support Services</t>
  </si>
  <si>
    <t>P-35 &gt; DDG 1000 &gt; COOPERATIVE ENGAGEMENT CAPABILITY (CEC) &gt; Technical Support Services</t>
  </si>
  <si>
    <t>DDG 1000 - P-35 SURFACE ELECTRONIC WARFARE IMPROVEMENT PROGRAM (SEWIP) - Major Hardware                                                                                                                                                    1</t>
  </si>
  <si>
    <t>P-35 &gt; DDG 1000 &gt; SURFACE ELECTRONIC WARFARE IMPROVEMENT PROGRAM (SEWIP) &gt; Major Hardware                                                                                                                                                    1</t>
  </si>
  <si>
    <t>230</t>
  </si>
  <si>
    <t>DDG 1000 - P-35 SURFACE ELECTRONIC WARFARE IMPROVEMENT PROGRAM (SEWIP) - Technical Support Services</t>
  </si>
  <si>
    <t>P-35 &gt; DDG 1000 &gt; SURFACE ELECTRONIC WARFARE IMPROVEMENT PROGRAM (SEWIP) &gt; Technical Support Services</t>
  </si>
  <si>
    <t>DDG 1000 - P-35 SURFACE ELECTRONIC WARFARE IMPROVEMENT PROGRAM (SEWIP) - Other / NRE</t>
  </si>
  <si>
    <t>P-35 &gt; DDG 1000 &gt; SURFACE ELECTRONIC WARFARE IMPROVEMENT PROGRAM (SEWIP) &gt; Other / NRE</t>
  </si>
  <si>
    <t>SURFACE ELECTRONIC WARFARE IMPROVEMENT PROGRAM (SEWIP) [DDG 1002]</t>
  </si>
  <si>
    <t>DDG 1000 - P-35 VERTICAL LAUNCHING SYSTEM (VLS) MK 57 4-CELL MODULES - Major Hardware                                                                                                                                                20</t>
  </si>
  <si>
    <t>P-35 &gt; DDG 1000 &gt; VERTICAL LAUNCHING SYSTEM (VLS) MK 57 4-CELL MODULES &gt; Major Hardware                                                                                                                                                20</t>
  </si>
  <si>
    <t>231</t>
  </si>
  <si>
    <t>DDG 1000 - P-35 VERTICAL LAUNCHING SYSTEM (VLS) MK 57 4-CELL MODULES - Technical Support Services</t>
  </si>
  <si>
    <t>P-35 &gt; DDG 1000 &gt; VERTICAL LAUNCHING SYSTEM (VLS) MK 57 4-CELL MODULES &gt; Technical Support Services</t>
  </si>
  <si>
    <t>DDG 1000 - P-35 VERTICAL LAUNCHING SYSTEM (VLS) MK 57 4-CELL MODULES - Other / NRE</t>
  </si>
  <si>
    <t>P-35 &gt; DDG 1000 &gt; VERTICAL LAUNCHING SYSTEM (VLS) MK 57 4-CELL MODULES &gt; Other / NRE</t>
  </si>
  <si>
    <t>DDG 1000 - P-35 DDG 1002 TSCE MODERNIZATION - Major Hardware                                                                                                                                                1</t>
  </si>
  <si>
    <t>P-35 &gt; DDG 1000 &gt; DDG 1002 TSCE MODERNIZATION &gt; Major Hardware                                                                                                                                                1</t>
  </si>
  <si>
    <t>232</t>
  </si>
  <si>
    <t>DDG 1000 - P-35 DDG 1002 UNIVERSAL CANISTER ELECTRICAL UNITS (UCEU) - Major Hardware                                                                                                                                               80</t>
  </si>
  <si>
    <t>P-35 &gt; DDG 1000 &gt; DDG 1002 UNIVERSAL CANISTER ELECTRICAL UNITS (UCEU) &gt; Major Hardware                                                                                                                                               80</t>
  </si>
  <si>
    <t>233</t>
  </si>
  <si>
    <t>DDG 1000 - P-35 MAIN TURBINE GENERATOR (MTG) - Major Hardware                                                                                                                                                  2</t>
  </si>
  <si>
    <t>P-35 &gt; DDG 1000 &gt; MAIN TURBINE GENERATOR (MTG) &gt; Major Hardware                                                                                                                                                  2</t>
  </si>
  <si>
    <t>234</t>
  </si>
  <si>
    <t>DDG 1000 - P-35 ADVANCED GUN SYSTEM (AGS) - Major Hardware                                                                                                                                                      2</t>
  </si>
  <si>
    <t>P-35 &gt; DDG 1000 &gt; ADVANCED GUN SYSTEM (AGS) &gt; Major Hardware                                                                                                                                                      2</t>
  </si>
  <si>
    <t>235</t>
  </si>
  <si>
    <t>DDG 1000 - P-35 ADVANCED GUN SYSTEM (AGS) - Technical Support Services</t>
  </si>
  <si>
    <t>P-35 &gt; DDG 1000 &gt; ADVANCED GUN SYSTEM (AGS) &gt; Technical Support Services</t>
  </si>
  <si>
    <t>DDG 1000 - P-35 ADVANCED GUN SYSTEM (AGS) - Other / NRE</t>
  </si>
  <si>
    <t>P-35 &gt; DDG 1000 &gt; ADVANCED GUN SYSTEM (AGS) &gt; Other / NRE</t>
  </si>
  <si>
    <t>DDG 1000 - P-35 CLOSE-IN GUN SYSTEM (CIGS) - Major Hardware                                                                                                                                                      2</t>
  </si>
  <si>
    <t>P-35 &gt; DDG 1000 &gt; CLOSE-IN GUN SYSTEM (CIGS) &gt; Major Hardware                                                                                                                                                      2</t>
  </si>
  <si>
    <t>236</t>
  </si>
  <si>
    <t>DDG 1000 - P-35 CLOSE-IN GUN SYSTEM (CIGS) - Technical Support Services</t>
  </si>
  <si>
    <t>P-35 &gt; DDG 1000 &gt; CLOSE-IN GUN SYSTEM (CIGS) &gt; Technical Support Services</t>
  </si>
  <si>
    <t>DDG 1000 - P-35 CLOSE-IN GUN SYSTEM (CIGS) - Other / NRE</t>
  </si>
  <si>
    <t>P-35 &gt; DDG 1000 &gt; CLOSE-IN GUN SYSTEM (CIGS) &gt; Other / NRE</t>
  </si>
  <si>
    <t>DDG-51 - P-5c - Plan Costs</t>
  </si>
  <si>
    <t>P-5c &gt; DDG-51 &gt; Plan Costs</t>
  </si>
  <si>
    <t>241</t>
  </si>
  <si>
    <t>DDG-51 - P-5c - Basic Construction</t>
  </si>
  <si>
    <t>P-5c &gt; DDG-51 &gt; Basic Construction</t>
  </si>
  <si>
    <t>DDG-51 - P-5c - Change Orders</t>
  </si>
  <si>
    <t>P-5c &gt; DDG-51 &gt; Change Orders</t>
  </si>
  <si>
    <t>DDG-51 - P-5c - Electronics</t>
  </si>
  <si>
    <t>P-5c &gt; DDG-51 &gt; Electronics</t>
  </si>
  <si>
    <t>DDG-51 - P-5c - Ordnance</t>
  </si>
  <si>
    <t>P-5c &gt; DDG-51 &gt; Ordnance</t>
  </si>
  <si>
    <t>DDG-51 - P-5c - Other Cost</t>
  </si>
  <si>
    <t>P-5c &gt; DDG-51 &gt; Other Cost</t>
  </si>
  <si>
    <t>DDG-51 - P-5c - 2015</t>
  </si>
  <si>
    <t>P-5c &gt; DDG-51 &gt; 2015</t>
  </si>
  <si>
    <t>DDG-51 - P-5c - 2022</t>
  </si>
  <si>
    <t>P-5c &gt; DDG-51 &gt; 2022</t>
  </si>
  <si>
    <t>DDG-51 - P-5c - 2023</t>
  </si>
  <si>
    <t>P-5c &gt; DDG-51 &gt; 2023</t>
  </si>
  <si>
    <t>DDG-51 - P-5c - 2024</t>
  </si>
  <si>
    <t>P-5c &gt; DDG-51 &gt; 2024</t>
  </si>
  <si>
    <t>DDG-51 - P-5c - 2025</t>
  </si>
  <si>
    <t>P-5c &gt; DDG-51 &gt; 2025</t>
  </si>
  <si>
    <t>DDG-51 - P-5c - 2027                                                      -</t>
  </si>
  <si>
    <t>P-5c &gt; DDG-51 &gt; 2027                                                      -</t>
  </si>
  <si>
    <t>DDG-51 - P-5c - 2028                                                      -                          -                          -</t>
  </si>
  <si>
    <t>P-5c &gt; DDG-51 &gt; 2028                                                      -                          -                          -</t>
  </si>
  <si>
    <t>DDG-51 - P-5c - 2029                                                      -                          -                          -</t>
  </si>
  <si>
    <t>P-5c &gt; DDG-51 &gt; 2029                                                      -                          -                          -</t>
  </si>
  <si>
    <t>DDG-51 - P-5c - 2030                                                      -                          -                          -</t>
  </si>
  <si>
    <t>P-5c &gt; DDG-51 &gt; 2030                                                      -                          -                          -</t>
  </si>
  <si>
    <t>243</t>
  </si>
  <si>
    <t>EXCOMM [DDG 145]</t>
  </si>
  <si>
    <t>DDG-51 - P-5c - Hull, Mechanical, and Electrical</t>
  </si>
  <si>
    <t>P-5c &gt; DDG-51 &gt; Hull, Mechanical, and Electrical</t>
  </si>
  <si>
    <t>DDG-51 - P-8a Electronics - SQQ 89 ASW 2</t>
  </si>
  <si>
    <t>P-8a &gt; DDG-51 &gt; Electronics &gt; SQQ 89 ASW 2</t>
  </si>
  <si>
    <t>246</t>
  </si>
  <si>
    <t>SQQ 89 ASW</t>
  </si>
  <si>
    <t>DDG-51 - P-8a Electronics - AN/SLQ-32 SEWIP V(7) 2</t>
  </si>
  <si>
    <t>P-8a &gt; DDG-51 &gt; Electronics &gt; AN/SLQ-32 SEWIP V(7) 2</t>
  </si>
  <si>
    <t>AN/SLQ-32 SEWIP V(7)</t>
  </si>
  <si>
    <t>DDG-51 - P-8a Electronics - USQ 82(V) GEDMS 2</t>
  </si>
  <si>
    <t>P-8a &gt; DDG-51 &gt; Electronics &gt; USQ 82(V) GEDMS 2</t>
  </si>
  <si>
    <t>USQ 82(V) GEDMS</t>
  </si>
  <si>
    <t>DDG-51 - P-8a Electronics - EXCOMM 2</t>
  </si>
  <si>
    <t>P-8a &gt; DDG-51 &gt; Electronics &gt; EXCOMM 2</t>
  </si>
  <si>
    <t>EXCOMM</t>
  </si>
  <si>
    <t>DDG-51 - P-8a Electronics - AN/UPX 29(V) IFF and TACAN 2</t>
  </si>
  <si>
    <t>P-8a &gt; DDG-51 &gt; Electronics &gt; AN/UPX 29(V) IFF and TACAN 2</t>
  </si>
  <si>
    <t>AN/UPX 29(V) IFF and TACAN</t>
  </si>
  <si>
    <t>DDG-51 - P-8a Electronics - CEC 2</t>
  </si>
  <si>
    <t>P-8a &gt; DDG-51 &gt; Electronics &gt; CEC 2</t>
  </si>
  <si>
    <t>CEC</t>
  </si>
  <si>
    <t>DDG-51 - P-8a Electronics - NGSSR 2</t>
  </si>
  <si>
    <t>P-8a &gt; DDG-51 &gt; Electronics &gt; NGSSR 2</t>
  </si>
  <si>
    <t>NGSSR</t>
  </si>
  <si>
    <t>DDG-51 - P-8a Electronics - NAVIGATION SYSTEM 2</t>
  </si>
  <si>
    <t>P-8a &gt; DDG-51 &gt; Electronics &gt; NAVIGATION SYSTEM 2</t>
  </si>
  <si>
    <t>NAVIGATION SYSTEM</t>
  </si>
  <si>
    <t>DDG-51 - P-8a Electronics - SLQ 25 NIXIE 2</t>
  </si>
  <si>
    <t>P-8a &gt; DDG-51 &gt; Electronics &gt; SLQ 25 NIXIE 2</t>
  </si>
  <si>
    <t>SLQ 25 NIXIE</t>
  </si>
  <si>
    <t>DDG-51 - P-8a Electronics - SRQ 4 LAMPS III 2</t>
  </si>
  <si>
    <t>P-8a &gt; DDG-51 &gt; Electronics &gt; SRQ 4 LAMPS III 2</t>
  </si>
  <si>
    <t>SRQ 4 LAMPS III</t>
  </si>
  <si>
    <t>DDG-51 - P-8a Electronics - SPECTRAL 2</t>
  </si>
  <si>
    <t>P-8a &gt; DDG-51 &gt; Electronics &gt; SPECTRAL 2</t>
  </si>
  <si>
    <t>DDG-51 - P-8a Electronics - MIDS 2</t>
  </si>
  <si>
    <t>P-8a &gt; DDG-51 &gt; Electronics &gt; MIDS 2</t>
  </si>
  <si>
    <t>MIDS</t>
  </si>
  <si>
    <t>DDG-51 - P-8a Electronics - MK 53 NULKA 2</t>
  </si>
  <si>
    <t>P-8a &gt; DDG-51 &gt; Electronics &gt; MK 53 NULKA 2</t>
  </si>
  <si>
    <t>MK 53 NULKA</t>
  </si>
  <si>
    <t>DDG-51 - P-8a Electronics - TSA ANTENNA 2</t>
  </si>
  <si>
    <t>P-8a &gt; DDG-51 &gt; Electronics &gt; TSA ANTENNA 2</t>
  </si>
  <si>
    <t>TSA ANTENNA</t>
  </si>
  <si>
    <t>DDG-51 - P-8a Electronics - MISC. ELECTRONICS 2</t>
  </si>
  <si>
    <t>P-8a &gt; DDG-51 &gt; Electronics &gt; MISC. ELECTRONICS 2</t>
  </si>
  <si>
    <t>MISC. ELECTRONICS</t>
  </si>
  <si>
    <t>DDG-51 - P-8a Hull, Mechanical, and Electrical - STC 3 IVCS 2</t>
  </si>
  <si>
    <t>P-8a &gt; DDG-51 &gt; Hull, Mechanical, and Electrical &gt; STC 3 IVCS 2</t>
  </si>
  <si>
    <t>247</t>
  </si>
  <si>
    <t>STC 3 IVCS</t>
  </si>
  <si>
    <t>DDG-51 - P-8a Hull, Mechanical, and Electrical - Machinery Control System 2</t>
  </si>
  <si>
    <t>P-8a &gt; DDG-51 &gt; Hull, Mechanical, and Electrical &gt; Machinery Control System 2</t>
  </si>
  <si>
    <t>Machinery Control System</t>
  </si>
  <si>
    <t>DDG-51 - P-8a Hull, Mechanical, and Electrical - Integrated Bridge Navigation System 2</t>
  </si>
  <si>
    <t>P-8a &gt; DDG-51 &gt; Hull, Mechanical, and Electrical &gt; Integrated Bridge Navigation System 2</t>
  </si>
  <si>
    <t>Integrated Bridge Navigation System</t>
  </si>
  <si>
    <t>DDG-51 - P-8a Hull, Mechanical, and Electrical - CYBER BDC 2</t>
  </si>
  <si>
    <t>P-8a &gt; DDG-51 &gt; Hull, Mechanical, and Electrical &gt; CYBER BDC 2</t>
  </si>
  <si>
    <t>CYBER BDC</t>
  </si>
  <si>
    <t>DDG-51 - P-8a Hull, Mechanical, and Electrical - WSN 12 2</t>
  </si>
  <si>
    <t>P-8a &gt; DDG-51 &gt; Hull, Mechanical, and Electrical &gt; WSN 12 2</t>
  </si>
  <si>
    <t>WSN 12</t>
  </si>
  <si>
    <t>DDG-51 - P-8a Hull, Mechanical, and Electrical - MISC. HM&amp;E 2</t>
  </si>
  <si>
    <t>P-8a &gt; DDG-51 &gt; Hull, Mechanical, and Electrical &gt; MISC. HM&amp;E 2</t>
  </si>
  <si>
    <t>MISC. HM&amp;E</t>
  </si>
  <si>
    <t>DDG-51 - P-8a Ordnance - AEGIS WEAPON SYSTEM (MK-7) 2</t>
  </si>
  <si>
    <t>P-8a &gt; DDG-51 &gt; Ordnance &gt; AEGIS WEAPON SYSTEM (MK-7) 2</t>
  </si>
  <si>
    <t>248</t>
  </si>
  <si>
    <t>AEGIS WEAPON SYSTEM (MK-7)</t>
  </si>
  <si>
    <t>DDG-51 - P-8a Ordnance - AN/SPY-6(V)1 (AMDR) 2</t>
  </si>
  <si>
    <t>P-8a &gt; DDG-51 &gt; Ordnance &gt; AN/SPY-6(V)1 (AMDR) 2</t>
  </si>
  <si>
    <t>AN/SPY-6(V)1 (AMDR)</t>
  </si>
  <si>
    <t>DDG-51 - P-8a Ordnance - VLS MK 41 2</t>
  </si>
  <si>
    <t>P-8a &gt; DDG-51 &gt; Ordnance &gt; VLS MK 41 2</t>
  </si>
  <si>
    <t>VLS MK 41</t>
  </si>
  <si>
    <t>DDG-51 - P-8a Ordnance - MK 45 Light Weight Gun (LWG) 2</t>
  </si>
  <si>
    <t>P-8a &gt; DDG-51 &gt; Ordnance &gt; MK 45 Light Weight Gun (LWG) 2</t>
  </si>
  <si>
    <t>MK 45 Light Weight Gun (LWG)</t>
  </si>
  <si>
    <t>DDG-51 - P-8a Ordnance - MK 37 TOMAHAWK 2</t>
  </si>
  <si>
    <t>P-8a &gt; DDG-51 &gt; Ordnance &gt; MK 37 TOMAHAWK 2</t>
  </si>
  <si>
    <t>MK 37 TOMAHAWK</t>
  </si>
  <si>
    <t>DDG-51 - P-8a Ordnance - PHALANX (CIWS) 2</t>
  </si>
  <si>
    <t>P-8a &gt; DDG-51 &gt; Ordnance &gt; PHALANX (CIWS) 2</t>
  </si>
  <si>
    <t>PHALANX (CIWS)</t>
  </si>
  <si>
    <t>DDG-51 - P-8a Ordnance - SPQ-9B Radar 2</t>
  </si>
  <si>
    <t>P-8a &gt; DDG-51 &gt; Ordnance &gt; SPQ-9B Radar 2</t>
  </si>
  <si>
    <t>SPQ-9B Radar</t>
  </si>
  <si>
    <t>DDG-51 - P-8a Ordnance - MK-38 Gun Weapon System (GWS) 2</t>
  </si>
  <si>
    <t>P-8a &gt; DDG-51 &gt; Ordnance &gt; MK-38 Gun Weapon System (GWS) 2</t>
  </si>
  <si>
    <t>MK-38 Gun Weapon System (GWS)</t>
  </si>
  <si>
    <t>DDG-51 - P-8a Ordnance - MK 32 Surface Vessel Torpedo Tubes (SVTT) 2</t>
  </si>
  <si>
    <t>P-8a &gt; DDG-51 &gt; Ordnance &gt; MK 32 Surface Vessel Torpedo Tubes (SVTT) 2</t>
  </si>
  <si>
    <t>MK 32 Surface Vessel Torpedo Tubes (SVTT)</t>
  </si>
  <si>
    <t>DDG-51 - P-8a Ordnance - ELECTRO-OPTICAL SYSTEM 2</t>
  </si>
  <si>
    <t>P-8a &gt; DDG-51 &gt; Ordnance &gt; ELECTRO-OPTICAL SYSTEM 2</t>
  </si>
  <si>
    <t>ELECTRO-OPTICAL SYSTEM</t>
  </si>
  <si>
    <t>DDG-51 - P-8a Ordnance - MK 160 Gun Fire Control System (GFCS) 2</t>
  </si>
  <si>
    <t>P-8a &gt; DDG-51 &gt; Ordnance &gt; MK 160 Gun Fire Control System (GFCS) 2</t>
  </si>
  <si>
    <t>MK 160 Gun Fire Control System (GFCS)</t>
  </si>
  <si>
    <t>DDG-51 - P-8a Ordnance - MISC. ORDNANCE 2</t>
  </si>
  <si>
    <t>P-8a &gt; DDG-51 &gt; Ordnance &gt; MISC. ORDNANCE 2</t>
  </si>
  <si>
    <t>MISC. ORDNANCE</t>
  </si>
  <si>
    <t>DDG-51 - P-35 SQQ 89 ASW - Major Hardware                                                                                                2</t>
  </si>
  <si>
    <t>P-35 &gt; DDG-51 &gt; SQQ 89 ASW &gt; Major Hardware                                                                                                2</t>
  </si>
  <si>
    <t>249</t>
  </si>
  <si>
    <t>SQQ 89 ASW [DDG 145]</t>
  </si>
  <si>
    <t>DDG-51 - P-35 SQQ 89 ASW - Spares</t>
  </si>
  <si>
    <t>P-35 &gt; DDG-51 &gt; SQQ 89 ASW &gt; Spares</t>
  </si>
  <si>
    <t>DDG-51 - P-35 SQQ 89 ASW - System Engineering</t>
  </si>
  <si>
    <t>P-35 &gt; DDG-51 &gt; SQQ 89 ASW &gt; System Engineering</t>
  </si>
  <si>
    <t>MK-38 Gun Weapon System (GWS) [DDG 145]</t>
  </si>
  <si>
    <t>DDG-51 - P-35 SQQ 89 ASW - Technical Engineering Services</t>
  </si>
  <si>
    <t>P-35 &gt; DDG-51 &gt; SQQ 89 ASW &gt; Technical Engineering Services</t>
  </si>
  <si>
    <t>DDG-51 - P-35 SQQ 89 ASW - Other Costs</t>
  </si>
  <si>
    <t>P-35 &gt; DDG-51 &gt; SQQ 89 ASW &gt; Other Costs</t>
  </si>
  <si>
    <t>DDG-51 - P-35 AN/SLQ-32 SEWIP V(7) - Major Hardware                                                                                                 2</t>
  </si>
  <si>
    <t>P-35 &gt; DDG-51 &gt; AN/SLQ-32 SEWIP V(7) &gt; Major Hardware                                                                                                 2</t>
  </si>
  <si>
    <t>250</t>
  </si>
  <si>
    <t>AN/SLQ-32 SEWIP V(7) [DDG 145]</t>
  </si>
  <si>
    <t>DDG-51 - P-35 AN/SLQ-32 SEWIP V(7) - Spares</t>
  </si>
  <si>
    <t>P-35 &gt; DDG-51 &gt; AN/SLQ-32 SEWIP V(7) &gt; Spares</t>
  </si>
  <si>
    <t>DDG-51 - P-35 AN/SLQ-32 SEWIP V(7) - System Engineering</t>
  </si>
  <si>
    <t>P-35 &gt; DDG-51 &gt; AN/SLQ-32 SEWIP V(7) &gt; System Engineering</t>
  </si>
  <si>
    <t>DDG-51 - P-35 AN/SLQ-32 SEWIP V(7) - Technical Engineering Services</t>
  </si>
  <si>
    <t>P-35 &gt; DDG-51 &gt; AN/SLQ-32 SEWIP V(7) &gt; Technical Engineering Services</t>
  </si>
  <si>
    <t>DDG-51 - P-35 AN/SLQ-32 SEWIP V(7) - Other Costs</t>
  </si>
  <si>
    <t>P-35 &gt; DDG-51 &gt; AN/SLQ-32 SEWIP V(7) &gt; Other Costs</t>
  </si>
  <si>
    <t>DDG-51 - P-35 USQ 82(V) GEDMS - Major Hardware                                                                                                2</t>
  </si>
  <si>
    <t>P-35 &gt; DDG-51 &gt; USQ 82(V) GEDMS &gt; Major Hardware                                                                                                2</t>
  </si>
  <si>
    <t>251</t>
  </si>
  <si>
    <t>USQ 82(V) GEDMS [DDG 145]</t>
  </si>
  <si>
    <t>DDG-51 - P-35 USQ 82(V) GEDMS - Technical Data and Documentation</t>
  </si>
  <si>
    <t>P-35 &gt; DDG-51 &gt; USQ 82(V) GEDMS &gt; Technical Data and Documentation</t>
  </si>
  <si>
    <t>DDG-51 - P-35 USQ 82(V) GEDMS - System Engineering</t>
  </si>
  <si>
    <t>P-35 &gt; DDG-51 &gt; USQ 82(V) GEDMS &gt; System Engineering</t>
  </si>
  <si>
    <t>DDG-51 - P-35 USQ 82(V) GEDMS - Technical Engineering Services</t>
  </si>
  <si>
    <t>P-35 &gt; DDG-51 &gt; USQ 82(V) GEDMS &gt; Technical Engineering Services</t>
  </si>
  <si>
    <t>DDG-51 - P-35 USQ 82(V) GEDMS - Other Costs</t>
  </si>
  <si>
    <t>P-35 &gt; DDG-51 &gt; USQ 82(V) GEDMS &gt; Other Costs</t>
  </si>
  <si>
    <t>DDG-51 - P-35 EXCOMM - Major Hardware                                                                                                 2</t>
  </si>
  <si>
    <t>P-35 &gt; DDG-51 &gt; EXCOMM &gt; Major Hardware                                                                                                 2</t>
  </si>
  <si>
    <t>252</t>
  </si>
  <si>
    <t>DDG-51 - P-35 EXCOMM - Technical Data and Documentation</t>
  </si>
  <si>
    <t>P-35 &gt; DDG-51 &gt; EXCOMM &gt; Technical Data and Documentation</t>
  </si>
  <si>
    <t>DDG-51 - P-35 EXCOMM - Spares</t>
  </si>
  <si>
    <t>P-35 &gt; DDG-51 &gt; EXCOMM &gt; Spares</t>
  </si>
  <si>
    <t>DDG-51 - P-35 EXCOMM - System Engineering</t>
  </si>
  <si>
    <t>P-35 &gt; DDG-51 &gt; EXCOMM &gt; System Engineering</t>
  </si>
  <si>
    <t>DDG-51 - P-35 EXCOMM - Technical Engineering Services</t>
  </si>
  <si>
    <t>P-35 &gt; DDG-51 &gt; EXCOMM &gt; Technical Engineering Services</t>
  </si>
  <si>
    <t>DDG-51 - P-35 EXCOMM - Other Costs</t>
  </si>
  <si>
    <t>P-35 &gt; DDG-51 &gt; EXCOMM &gt; Other Costs</t>
  </si>
  <si>
    <t>DDG-51 - P-35 EXCOMM - Assembly &amp; Integration</t>
  </si>
  <si>
    <t>P-35 &gt; DDG-51 &gt; EXCOMM &gt; Assembly &amp; Integration</t>
  </si>
  <si>
    <t>DDG-51 - P-35 AN/UPX 29(V) IFF and TACAN - Major Hardware                                                                                                   2</t>
  </si>
  <si>
    <t>P-35 &gt; DDG-51 &gt; AN/UPX 29(V) IFF and TACAN &gt; Major Hardware                                                                                                   2</t>
  </si>
  <si>
    <t>253</t>
  </si>
  <si>
    <t>AN/UPX 29(V) IFF and TACAN [DDG 145]</t>
  </si>
  <si>
    <t>DDG-51 - P-35 AN/UPX 29(V) IFF and TACAN - Spares</t>
  </si>
  <si>
    <t>P-35 &gt; DDG-51 &gt; AN/UPX 29(V) IFF and TACAN &gt; Spares</t>
  </si>
  <si>
    <t>DDG-51 - P-35 AN/UPX 29(V) IFF and TACAN - System Engineering</t>
  </si>
  <si>
    <t>P-35 &gt; DDG-51 &gt; AN/UPX 29(V) IFF and TACAN &gt; System Engineering</t>
  </si>
  <si>
    <t>DDG-51 - P-35 AN/UPX 29(V) IFF and TACAN - Technical Engineering Services</t>
  </si>
  <si>
    <t>P-35 &gt; DDG-51 &gt; AN/UPX 29(V) IFF and TACAN &gt; Technical Engineering Services</t>
  </si>
  <si>
    <t>DDG-51 - P-35 AN/UPX 29(V) IFF and TACAN - Other Costs</t>
  </si>
  <si>
    <t>P-35 &gt; DDG-51 &gt; AN/UPX 29(V) IFF and TACAN &gt; Other Costs</t>
  </si>
  <si>
    <t>DDG-51 - P-35 CEC - Major Hardware                                                                                                 2</t>
  </si>
  <si>
    <t>P-35 &gt; DDG-51 &gt; CEC &gt; Major Hardware                                                                                                 2</t>
  </si>
  <si>
    <t>254</t>
  </si>
  <si>
    <t>CEC [DDG 145]</t>
  </si>
  <si>
    <t>DDG-51 - P-35 CEC - System Engineering</t>
  </si>
  <si>
    <t>P-35 &gt; DDG-51 &gt; CEC &gt; System Engineering</t>
  </si>
  <si>
    <t>DDG-51 - P-35 CEC - Technical Engineering Services</t>
  </si>
  <si>
    <t>P-35 &gt; DDG-51 &gt; CEC &gt; Technical Engineering Services</t>
  </si>
  <si>
    <t>DDG-51 - P-35 CEC - Other Costs</t>
  </si>
  <si>
    <t>P-35 &gt; DDG-51 &gt; CEC &gt; Other Costs</t>
  </si>
  <si>
    <t>DDG-51 - P-35 STC 3 IVCS - Major Hardware                                                                                                2</t>
  </si>
  <si>
    <t>P-35 &gt; DDG-51 &gt; STC 3 IVCS &gt; Major Hardware                                                                                                2</t>
  </si>
  <si>
    <t>255</t>
  </si>
  <si>
    <t>STC 3 IVCS [DDG 145]</t>
  </si>
  <si>
    <t>DDG-51 - P-35 STC 3 IVCS - Spares</t>
  </si>
  <si>
    <t>P-35 &gt; DDG-51 &gt; STC 3 IVCS &gt; Spares</t>
  </si>
  <si>
    <t>DDG-51 - P-35 STC 3 IVCS - System Engineering</t>
  </si>
  <si>
    <t>P-35 &gt; DDG-51 &gt; STC 3 IVCS &gt; System Engineering</t>
  </si>
  <si>
    <t>DDG-51 - P-35 STC 3 IVCS - Technical Engineering Services</t>
  </si>
  <si>
    <t>P-35 &gt; DDG-51 &gt; STC 3 IVCS &gt; Technical Engineering Services</t>
  </si>
  <si>
    <t>DDG-51 - P-35 STC 3 IVCS - Other Costs</t>
  </si>
  <si>
    <t>P-35 &gt; DDG-51 &gt; STC 3 IVCS &gt; Other Costs</t>
  </si>
  <si>
    <t>DDG-51 - P-35 AEGIS WEAPON SYSTEM (MK-7) - Major Hardware                                                                                                 2</t>
  </si>
  <si>
    <t>P-35 &gt; DDG-51 &gt; AEGIS WEAPON SYSTEM (MK-7) &gt; Major Hardware                                                                                                 2</t>
  </si>
  <si>
    <t>256</t>
  </si>
  <si>
    <t>AEGIS WEAPON SYSTEM (MK-7) [DDG 145]</t>
  </si>
  <si>
    <t>DDG-51 - P-35 AEGIS WEAPON SYSTEM (MK-7) - System Engineering</t>
  </si>
  <si>
    <t>P-35 &gt; DDG-51 &gt; AEGIS WEAPON SYSTEM (MK-7) &gt; System Engineering</t>
  </si>
  <si>
    <t>DDG-51 - P-35 AEGIS WEAPON SYSTEM (MK-7) - Technical Engineering Services</t>
  </si>
  <si>
    <t>P-35 &gt; DDG-51 &gt; AEGIS WEAPON SYSTEM (MK-7) &gt; Technical Engineering Services</t>
  </si>
  <si>
    <t>DDG-51 - P-35 AEGIS WEAPON SYSTEM (MK-7) - Other Costs</t>
  </si>
  <si>
    <t>P-35 &gt; DDG-51 &gt; AEGIS WEAPON SYSTEM (MK-7) &gt; Other Costs</t>
  </si>
  <si>
    <t>DDG-51 - P-35 AEGIS WEAPON SYSTEM (MK-7) - Logistics Support</t>
  </si>
  <si>
    <t>P-35 &gt; DDG-51 &gt; AEGIS WEAPON SYSTEM (MK-7) &gt; Logistics Support</t>
  </si>
  <si>
    <t>DDG-51 - P-35 AEGIS WEAPON SYSTEM (MK-7) - Combat System Integration</t>
  </si>
  <si>
    <t>P-35 &gt; DDG-51 &gt; AEGIS WEAPON SYSTEM (MK-7) &gt; Combat System Integration</t>
  </si>
  <si>
    <t>DDG-51 - P-35 AN/SPY-6(V)1 (AMDR) - Major Hardware                                                                                                    2</t>
  </si>
  <si>
    <t>P-35 &gt; DDG-51 &gt; AN/SPY-6(V)1 (AMDR) &gt; Major Hardware                                                                                                    2</t>
  </si>
  <si>
    <t>258</t>
  </si>
  <si>
    <t>AN/SPY-6(V)1 (AMDR) [DDG 145]</t>
  </si>
  <si>
    <t>DDG-51 - P-35 AN/SPY-6(V)1 (AMDR) - System Engineering</t>
  </si>
  <si>
    <t>P-35 &gt; DDG-51 &gt; AN/SPY-6(V)1 (AMDR) &gt; System Engineering</t>
  </si>
  <si>
    <t>DDG-51 - P-35 AN/SPY-6(V)1 (AMDR) - Technical Engineering Services</t>
  </si>
  <si>
    <t>P-35 &gt; DDG-51 &gt; AN/SPY-6(V)1 (AMDR) &gt; Technical Engineering Services</t>
  </si>
  <si>
    <t>DDG-51 - P-35 AN/SPY-6(V)1 (AMDR) - Other Costs</t>
  </si>
  <si>
    <t>P-35 &gt; DDG-51 &gt; AN/SPY-6(V)1 (AMDR) &gt; Other Costs</t>
  </si>
  <si>
    <t>DDG-51 - P-35 AN/SPY-6(V)1 (AMDR) - Logistics</t>
  </si>
  <si>
    <t>P-35 &gt; DDG-51 &gt; AN/SPY-6(V)1 (AMDR) &gt; Logistics</t>
  </si>
  <si>
    <t>DDG-51 - P-35 VLS MK 41 - Major Hardware                                                                                                2</t>
  </si>
  <si>
    <t>P-35 &gt; DDG-51 &gt; VLS MK 41 &gt; Major Hardware                                                                                                2</t>
  </si>
  <si>
    <t>259</t>
  </si>
  <si>
    <t>VLS MK 41 [DDG 145]</t>
  </si>
  <si>
    <t>DDG-51 - P-35 VLS MK 41 - Ancillary Equipment</t>
  </si>
  <si>
    <t>P-35 &gt; DDG-51 &gt; VLS MK 41 &gt; Ancillary Equipment</t>
  </si>
  <si>
    <t>DDG-51 - P-35 VLS MK 41 - Technical Data and Documentation</t>
  </si>
  <si>
    <t>P-35 &gt; DDG-51 &gt; VLS MK 41 &gt; Technical Data and Documentation</t>
  </si>
  <si>
    <t>DDG-51 - P-35 VLS MK 41 - System Engineering</t>
  </si>
  <si>
    <t>P-35 &gt; DDG-51 &gt; VLS MK 41 &gt; System Engineering</t>
  </si>
  <si>
    <t>DDG-51 - P-35 VLS MK 41 - Technical Engineering Services</t>
  </si>
  <si>
    <t>P-35 &gt; DDG-51 &gt; VLS MK 41 &gt; Technical Engineering Services</t>
  </si>
  <si>
    <t>DDG-51 - P-35 VLS MK 41 - Other Costs</t>
  </si>
  <si>
    <t>P-35 &gt; DDG-51 &gt; VLS MK 41 &gt; Other Costs</t>
  </si>
  <si>
    <t>DDG-51 - P-35 MK 45 Light Weight Gun (LWG) - Major Hardware                                                                                                      2</t>
  </si>
  <si>
    <t>P-35 &gt; DDG-51 &gt; MK 45 Light Weight Gun (LWG) &gt; Major Hardware                                                                                                      2</t>
  </si>
  <si>
    <t>260</t>
  </si>
  <si>
    <t>MK 45 Light Weight Gun (LWG) [DDG 145]</t>
  </si>
  <si>
    <t>DDG-51 - P-35 MK 45 Light Weight Gun (LWG) - Spares</t>
  </si>
  <si>
    <t>P-35 &gt; DDG-51 &gt; MK 45 Light Weight Gun (LWG) &gt; Spares</t>
  </si>
  <si>
    <t>DDG-51 - P-35 MK 45 Light Weight Gun (LWG) - System Engineering</t>
  </si>
  <si>
    <t>P-35 &gt; DDG-51 &gt; MK 45 Light Weight Gun (LWG) &gt; System Engineering</t>
  </si>
  <si>
    <t>DDG-51 - P-35 MK 45 Light Weight Gun (LWG) - Technical Engineering Services</t>
  </si>
  <si>
    <t>P-35 &gt; DDG-51 &gt; MK 45 Light Weight Gun (LWG) &gt; Technical Engineering Services</t>
  </si>
  <si>
    <t>DDG-51 - P-35 MK 45 Light Weight Gun (LWG) - Other Costs</t>
  </si>
  <si>
    <t>P-35 &gt; DDG-51 &gt; MK 45 Light Weight Gun (LWG) &gt; Other Costs</t>
  </si>
  <si>
    <t>DDG-51 - P-35 MK 37 TOMAHAWK - Major Hardware                                                                                                2</t>
  </si>
  <si>
    <t>P-35 &gt; DDG-51 &gt; MK 37 TOMAHAWK &gt; Major Hardware                                                                                                2</t>
  </si>
  <si>
    <t>261</t>
  </si>
  <si>
    <t>MK 37 TOMAHAWK [DDG 145]</t>
  </si>
  <si>
    <t>DDG-51 - P-35 MK 37 TOMAHAWK - Spares</t>
  </si>
  <si>
    <t>P-35 &gt; DDG-51 &gt; MK 37 TOMAHAWK &gt; Spares</t>
  </si>
  <si>
    <t>DDG-51 - P-35 MK 37 TOMAHAWK - System Engineering</t>
  </si>
  <si>
    <t>P-35 &gt; DDG-51 &gt; MK 37 TOMAHAWK &gt; System Engineering</t>
  </si>
  <si>
    <t>DDG-51 - P-35 MK 37 TOMAHAWK - Technical Engineering Services</t>
  </si>
  <si>
    <t>P-35 &gt; DDG-51 &gt; MK 37 TOMAHAWK &gt; Technical Engineering Services</t>
  </si>
  <si>
    <t>DDG-51 - P-35 MK 37 TOMAHAWK - Other Costs</t>
  </si>
  <si>
    <t>P-35 &gt; DDG-51 &gt; MK 37 TOMAHAWK &gt; Other Costs</t>
  </si>
  <si>
    <t>DDG-51 - P-35 PHALANX (CIWS) - Major Hardware                                                                                                  2</t>
  </si>
  <si>
    <t>P-35 &gt; DDG-51 &gt; PHALANX (CIWS) &gt; Major Hardware                                                                                                  2</t>
  </si>
  <si>
    <t>262</t>
  </si>
  <si>
    <t>DDG-51 - P-35 PHALANX (CIWS) - System Engineering</t>
  </si>
  <si>
    <t>P-35 &gt; DDG-51 &gt; PHALANX (CIWS) &gt; System Engineering</t>
  </si>
  <si>
    <t>DDG-51 - P-35 PHALANX (CIWS) - Technical Engineering Services</t>
  </si>
  <si>
    <t>P-35 &gt; DDG-51 &gt; PHALANX (CIWS) &gt; Technical Engineering Services</t>
  </si>
  <si>
    <t>DDG-51 - P-35 PHALANX (CIWS) - Other Costs</t>
  </si>
  <si>
    <t>P-35 &gt; DDG-51 &gt; PHALANX (CIWS) &gt; Other Costs</t>
  </si>
  <si>
    <t>DDG-51 - P-35 SPQ-9B Radar - Major Hardware                                                                                                 2</t>
  </si>
  <si>
    <t>P-35 &gt; DDG-51 &gt; SPQ-9B Radar &gt; Major Hardware                                                                                                 2</t>
  </si>
  <si>
    <t>263</t>
  </si>
  <si>
    <t>SPQ-9B Radar [DDG 145]</t>
  </si>
  <si>
    <t>DDG-51 - P-35 SPQ-9B Radar - Spares</t>
  </si>
  <si>
    <t>P-35 &gt; DDG-51 &gt; SPQ-9B Radar &gt; Spares</t>
  </si>
  <si>
    <t>DDG-51 - P-35 SPQ-9B Radar - System Engineering</t>
  </si>
  <si>
    <t>P-35 &gt; DDG-51 &gt; SPQ-9B Radar &gt; System Engineering</t>
  </si>
  <si>
    <t>DDG-51 - P-35 SPQ-9B Radar - Technical Engineering Services</t>
  </si>
  <si>
    <t>P-35 &gt; DDG-51 &gt; SPQ-9B Radar &gt; Technical Engineering Services</t>
  </si>
  <si>
    <t>DDG-51 - P-35 SPQ-9B Radar - Other Costs</t>
  </si>
  <si>
    <t>P-35 &gt; DDG-51 &gt; SPQ-9B Radar &gt; Other Costs</t>
  </si>
  <si>
    <t>DDG-51 - P-35 MK-38 Gun Weapon System (GWS) - Major Hardware                                                                                                 2</t>
  </si>
  <si>
    <t>P-35 &gt; DDG-51 &gt; MK-38 Gun Weapon System (GWS) &gt; Major Hardware                                                                                                 2</t>
  </si>
  <si>
    <t>264</t>
  </si>
  <si>
    <t>DDG-51 - P-35 MK-38 Gun Weapon System (GWS) - Technical Data and Documentation</t>
  </si>
  <si>
    <t>P-35 &gt; DDG-51 &gt; MK-38 Gun Weapon System (GWS) &gt; Technical Data and Documentation</t>
  </si>
  <si>
    <t>DDG-51 - P-35 MK-38 Gun Weapon System (GWS) - System Engineering</t>
  </si>
  <si>
    <t>P-35 &gt; DDG-51 &gt; MK-38 Gun Weapon System (GWS) &gt; System Engineering</t>
  </si>
  <si>
    <t>DDG-51 - P-35 MK-38 Gun Weapon System (GWS) - Technical Engineering Services</t>
  </si>
  <si>
    <t>P-35 &gt; DDG-51 &gt; MK-38 Gun Weapon System (GWS) &gt; Technical Engineering Services</t>
  </si>
  <si>
    <t>DDG-51 - P-35 MK-38 Gun Weapon System (GWS) - Other Costs</t>
  </si>
  <si>
    <t>P-35 &gt; DDG-51 &gt; MK-38 Gun Weapon System (GWS) &gt; Other Costs</t>
  </si>
  <si>
    <t>DDG-51 - P-10 - SHIP CONSTRUCTION ECONOMIC ORDER QUANTITY (EOQ) - SHIP Construction EOQ FY23 Ships                                                 VARIOUS          VARIOUS                -             -</t>
  </si>
  <si>
    <t>2122 / DDG-51 AP</t>
  </si>
  <si>
    <t>P-10 &gt; DDG-51 &gt; SHIP CONSTRUCTION ECONOMIC ORDER QUANTITY (EOQ) - SHIP Construction EOQ FY23 Ships                                                 VARIOUS          VARIOUS                -             -</t>
  </si>
  <si>
    <t>SHIP Construction EOQ FY23 Ships</t>
  </si>
  <si>
    <t>DDG-51 - P-10 - SHIP CONSTRUCTION ECONOMIC ORDER QUANTITY (EOQ) - SHIP Construction EOQ FY24 Ships                                                 VARIOUS          VARIOUS                -             -</t>
  </si>
  <si>
    <t>P-10 &gt; DDG-51 &gt; SHIP CONSTRUCTION ECONOMIC ORDER QUANTITY (EOQ) - SHIP Construction EOQ FY24 Ships                                                 VARIOUS          VARIOUS                -             -</t>
  </si>
  <si>
    <t>SHIP Construction EOQ FY24 Ships</t>
  </si>
  <si>
    <t>DDG-51 - P-10 - SHIP CONSTRUCTION ECONOMIC ORDER QUANTITY (EOQ) - SHIP Construction EOQ FY25 Ships                                                 VARIOUS          VARIOUS</t>
  </si>
  <si>
    <t>P-10 &gt; DDG-51 &gt; SHIP CONSTRUCTION ECONOMIC ORDER QUANTITY (EOQ) - SHIP Construction EOQ FY25 Ships                                                 VARIOUS          VARIOUS</t>
  </si>
  <si>
    <t>SHIP Construction EOQ FY25 Ships</t>
  </si>
  <si>
    <t>DDG-51 - P-10 - SHIP CONSTRUCTION ECONOMIC ORDER QUANTITY (EOQ) - SHIP Construction EOQ FY26 Ships                                                 VARIOUS          VARIOUS</t>
  </si>
  <si>
    <t>P-10 &gt; DDG-51 &gt; SHIP CONSTRUCTION ECONOMIC ORDER QUANTITY (EOQ) - SHIP Construction EOQ FY26 Ships                                                 VARIOUS          VARIOUS</t>
  </si>
  <si>
    <t>SHIP Construction EOQ FY26 Ships</t>
  </si>
  <si>
    <t>DDG-51 - P-10 - SHIP CONSTRUCTION ECONOMIC ORDER QUANTITY (EOQ) - SHIP Construction EOQ FY27 Ships                                                 VARIOUS          VARIOUS</t>
  </si>
  <si>
    <t>P-10 &gt; DDG-51 &gt; SHIP CONSTRUCTION ECONOMIC ORDER QUANTITY (EOQ) - SHIP Construction EOQ FY27 Ships                                                 VARIOUS          VARIOUS</t>
  </si>
  <si>
    <t>SHIP Construction EOQ FY27 Ships</t>
  </si>
  <si>
    <t>DDG-51 - P-10 - SHIP CONSTRUCTION ECONOMIC ORDER QUANTITY (EOQ) - SHIP Construction EOQ FY29 Ships                                                 VARIOUS          VARIOUS                -             -</t>
  </si>
  <si>
    <t>P-10 &gt; DDG-51 &gt; SHIP CONSTRUCTION ECONOMIC ORDER QUANTITY (EOQ) - SHIP Construction EOQ FY29 Ships                                                 VARIOUS          VARIOUS                -             -</t>
  </si>
  <si>
    <t>SHIP Construction EOQ FY29 Ships</t>
  </si>
  <si>
    <t>DDG-51 - P-10 - SHIP CONSTRUCTION ECONOMIC ORDER QUANTITY (EOQ) - SHIP Construction EOQ FY30 Ships                                                 VARIOUS          VARIOUS                -             -</t>
  </si>
  <si>
    <t>P-10 &gt; DDG-51 &gt; SHIP CONSTRUCTION ECONOMIC ORDER QUANTITY (EOQ) - SHIP Construction EOQ FY30 Ships                                                 VARIOUS          VARIOUS                -             -</t>
  </si>
  <si>
    <t>SHIP Construction EOQ FY30 Ships</t>
  </si>
  <si>
    <t>DDG-51 - P-10 - SHIP CONSTRUCTION ECONOMIC ORDER QUANTITY (EOQ) - SHIP Construction EOQ FY31 Ships                                                 VARIOUS          VARIOUS                -             -</t>
  </si>
  <si>
    <t>P-10 &gt; DDG-51 &gt; SHIP CONSTRUCTION ECONOMIC ORDER QUANTITY (EOQ) - SHIP Construction EOQ FY31 Ships                                                 VARIOUS          VARIOUS                -             -</t>
  </si>
  <si>
    <t>SHIP Construction EOQ FY31 Ships</t>
  </si>
  <si>
    <t>DDG-51 - P-10 - SHIP CONSTRUCTION ECONOMIC ORDER QUANTITY (EOQ) - SHIP Construction EOQ FY32 Ships                                                 VARIOUS          VARIOUS                -             -</t>
  </si>
  <si>
    <t>P-10 &gt; DDG-51 &gt; SHIP CONSTRUCTION ECONOMIC ORDER QUANTITY (EOQ) - SHIP Construction EOQ FY32 Ships                                                 VARIOUS          VARIOUS                -             -</t>
  </si>
  <si>
    <t>SHIP Construction EOQ FY32 Ships</t>
  </si>
  <si>
    <t>DDG-51 - P-10 - AWS EOQ - AWS EOQ FY24 Ships                                                               VARIOUS          VARIOUS                -             -</t>
  </si>
  <si>
    <t>P-10 &gt; DDG-51 &gt; AWS EOQ - AWS EOQ FY24 Ships                                                               VARIOUS          VARIOUS                -             -</t>
  </si>
  <si>
    <t>AWS EOQ FY24 Ships</t>
  </si>
  <si>
    <t>DDG-51 - P-10 - AWS EOQ - AWS EOQ FY25 Ships                                                               VARIOUS          VARIOUS                -             -</t>
  </si>
  <si>
    <t>P-10 &gt; DDG-51 &gt; AWS EOQ - AWS EOQ FY25 Ships                                                               VARIOUS          VARIOUS                -             -</t>
  </si>
  <si>
    <t>AWS EOQ FY25 Ships</t>
  </si>
  <si>
    <t>DDG-51 - P-10 - AWS EOQ - AWS EOQ FY26 Ships                                                               VARIOUS          VARIOUS                -             -</t>
  </si>
  <si>
    <t>P-10 &gt; DDG-51 &gt; AWS EOQ - AWS EOQ FY26 Ships                                                               VARIOUS          VARIOUS                -             -</t>
  </si>
  <si>
    <t>AWS EOQ FY26 Ships</t>
  </si>
  <si>
    <t>DDG-51 - P-10 - AWS EOQ - AWS EOQ FY27 Ships                                                               VARIOUS          VARIOUS                -             -</t>
  </si>
  <si>
    <t>P-10 &gt; DDG-51 &gt; AWS EOQ - AWS EOQ FY27 Ships                                                               VARIOUS          VARIOUS                -             -</t>
  </si>
  <si>
    <t>AWS EOQ FY27 Ships</t>
  </si>
  <si>
    <t>DDG-51 - P-10 - AWS EOQ - (7)</t>
  </si>
  <si>
    <t>P-10 &gt; DDG-51 &gt; AWS EOQ - (7)</t>
  </si>
  <si>
    <t>CBSP AP for FY25 Ships</t>
  </si>
  <si>
    <t>DDG-51 - P-10 - AWS EOQ - CBSP AP for FY26 Ships                                                                      06    VARIOUS</t>
  </si>
  <si>
    <t>P-10 &gt; DDG-51 &gt; AWS EOQ - CBSP AP for FY26 Ships                                                                      06    VARIOUS</t>
  </si>
  <si>
    <t>CBSP AP for FY26 Ships</t>
  </si>
  <si>
    <t>DDG-51 - P-10 - AWS EOQ - CBSP AP for FY27 Ships                                                                      06    VARIOUS</t>
  </si>
  <si>
    <t>P-10 &gt; DDG-51 &gt; AWS EOQ - CBSP AP for FY27 Ships                                                                      06    VARIOUS</t>
  </si>
  <si>
    <t>CBSP AP for FY27 Ships</t>
  </si>
  <si>
    <t>DDG-51 - P-10 - AWS EOQ - (8)                                                                                              -</t>
  </si>
  <si>
    <t>P-10 &gt; DDG-51 &gt; AWS EOQ - (8)                                                                                              -</t>
  </si>
  <si>
    <t>DDG-51 - P-10 - AWS EOQ - NMT AP for FY27 Ships                                                                       18    VARIOUS                -</t>
  </si>
  <si>
    <t>P-10 &gt; DDG-51 &gt; AWS EOQ - NMT AP for FY27 Ships                                                                       18    VARIOUS                -</t>
  </si>
  <si>
    <t>NMT AP for FY27 Ships</t>
  </si>
  <si>
    <t>DDG-51 - P-10 - SHIP CONSTRUCTION ECONOMIC ORDER QUANTITY (EOQ) - SHIP Construction EOQ FY25 Ships                                                  VARIOUS             VARIOUS                     -                                 -</t>
  </si>
  <si>
    <t>P-10 &gt; DDG-51 &gt; SHIP CONSTRUCTION ECONOMIC ORDER QUANTITY (EOQ) - SHIP Construction EOQ FY25 Ships                                                  VARIOUS             VARIOUS                     -                                 -</t>
  </si>
  <si>
    <t>266</t>
  </si>
  <si>
    <t>DDG-51 - P-10 - SHIP CONSTRUCTION ECONOMIC ORDER QUANTITY (EOQ) - SHIP Construction EOQ FY26 Ships                                                  VARIOUS             VARIOUS                     -                                 -</t>
  </si>
  <si>
    <t>P-10 &gt; DDG-51 &gt; SHIP CONSTRUCTION ECONOMIC ORDER QUANTITY (EOQ) - SHIP Construction EOQ FY26 Ships                                                  VARIOUS             VARIOUS                     -                                 -</t>
  </si>
  <si>
    <t>DDG-51 - P-10 - SHIP CONSTRUCTION ECONOMIC ORDER QUANTITY (EOQ) - SHIP Construction EOQ FY27 Ships                                                  VARIOUS             VARIOUS                     -                                 -</t>
  </si>
  <si>
    <t>P-10 &gt; DDG-51 &gt; SHIP CONSTRUCTION ECONOMIC ORDER QUANTITY (EOQ) - SHIP Construction EOQ FY27 Ships                                                  VARIOUS             VARIOUS                     -                                 -</t>
  </si>
  <si>
    <t>DDG-51 - P-10 - SHIP CONSTRUCTION ECONOMIC ORDER QUANTITY (EOQ) - SHIP Construction EOQ FY29 Ships                                                  VARIOUS             VARIOUS                     -                                 -</t>
  </si>
  <si>
    <t>P-10 &gt; DDG-51 &gt; SHIP CONSTRUCTION ECONOMIC ORDER QUANTITY (EOQ) - SHIP Construction EOQ FY29 Ships                                                  VARIOUS             VARIOUS                     -                                 -</t>
  </si>
  <si>
    <t>DDG-51 - P-10 - SHIP CONSTRUCTION ECONOMIC ORDER QUANTITY (EOQ) - SHIP Construction EOQ FY30 Ships                                                  VARIOUS             VARIOUS                     -                                 -</t>
  </si>
  <si>
    <t>P-10 &gt; DDG-51 &gt; SHIP CONSTRUCTION ECONOMIC ORDER QUANTITY (EOQ) - SHIP Construction EOQ FY30 Ships                                                  VARIOUS             VARIOUS                     -                                 -</t>
  </si>
  <si>
    <t>DDG-51 - P-10 - SHIP CONSTRUCTION ECONOMIC ORDER QUANTITY (EOQ) - SHIP Construction EOQ FY31 Ships                                                  VARIOUS             VARIOUS                     -                                 -</t>
  </si>
  <si>
    <t>P-10 &gt; DDG-51 &gt; SHIP CONSTRUCTION ECONOMIC ORDER QUANTITY (EOQ) - SHIP Construction EOQ FY31 Ships                                                  VARIOUS             VARIOUS                     -                                 -</t>
  </si>
  <si>
    <t>DDG-51 - P-10 - SHIP CONSTRUCTION ECONOMIC ORDER QUANTITY (EOQ) - SHIP Construction EOQ FY32 Ships                                                  VARIOUS             VARIOUS                     -                                 -</t>
  </si>
  <si>
    <t>P-10 &gt; DDG-51 &gt; SHIP CONSTRUCTION ECONOMIC ORDER QUANTITY (EOQ) - SHIP Construction EOQ FY32 Ships                                                  VARIOUS             VARIOUS                     -                                 -</t>
  </si>
  <si>
    <t>DDG-51 - P-10 - AWS EOQ - AWS EOQ FY24 Ships                                                                VARIOUS             VARIOUS                     -                                 -</t>
  </si>
  <si>
    <t>P-10 &gt; DDG-51 &gt; AWS EOQ - AWS EOQ FY24 Ships                                                                VARIOUS             VARIOUS                     -                                 -</t>
  </si>
  <si>
    <t>DDG-51 - P-10 - AWS EOQ - AWS EOQ FY25 Ships                                                                VARIOUS             VARIOUS                     -                                 -</t>
  </si>
  <si>
    <t>P-10 &gt; DDG-51 &gt; AWS EOQ - AWS EOQ FY25 Ships                                                                VARIOUS             VARIOUS                     -                                 -</t>
  </si>
  <si>
    <t>DDG-51 - P-10 - AWS EOQ - AWS EOQ FY26 Ships                                                                VARIOUS             VARIOUS                     -                                 -</t>
  </si>
  <si>
    <t>P-10 &gt; DDG-51 &gt; AWS EOQ - AWS EOQ FY26 Ships                                                                VARIOUS             VARIOUS                     -                                 -</t>
  </si>
  <si>
    <t>DDG-51 - P-10 - AWS EOQ - AWS EOQ FY27 Ships                                                                VARIOUS             VARIOUS                     -                                 -</t>
  </si>
  <si>
    <t>P-10 &gt; DDG-51 &gt; AWS EOQ - AWS EOQ FY27 Ships                                                                VARIOUS             VARIOUS                     -                                 -</t>
  </si>
  <si>
    <t>DDG-51 - P-10 - AWS EOQ - CBSP AP for FY26 Ships                                                                     06         VARIOUS                     -                                 -</t>
  </si>
  <si>
    <t>P-10 &gt; DDG-51 &gt; AWS EOQ - CBSP AP for FY26 Ships                                                                     06         VARIOUS                     -                                 -</t>
  </si>
  <si>
    <t>DDG-51 - P-10 - AWS EOQ - CBSP AP for FY27 Ships                                                                     06         VARIOUS                     -                                 -</t>
  </si>
  <si>
    <t>P-10 &gt; DDG-51 &gt; AWS EOQ - CBSP AP for FY27 Ships                                                                     06         VARIOUS                     -                                 -</t>
  </si>
  <si>
    <t>DDG-51 - P-10 - AWS EOQ - (8)</t>
  </si>
  <si>
    <t>P-10 &gt; DDG-51 &gt; AWS EOQ - (8)</t>
  </si>
  <si>
    <t>DDG-51 - P-10 - AWS EOQ - NMT AP for FY27 Ships                                                                      18         VARIOUS                     -                                 -</t>
  </si>
  <si>
    <t>P-10 &gt; DDG-51 &gt; AWS EOQ - NMT AP for FY27 Ships                                                                      18         VARIOUS                     -                                 -</t>
  </si>
  <si>
    <t>Littoral Combat Ship (LCS) - P-5c - Plan Costs</t>
  </si>
  <si>
    <t>2127 / LCS</t>
  </si>
  <si>
    <t>P-5c &gt; Littoral Combat Ship (LCS) &gt; Plan Costs</t>
  </si>
  <si>
    <t>271</t>
  </si>
  <si>
    <t>Littoral Combat Ship (LCS) - P-5c - Basic Construction</t>
  </si>
  <si>
    <t>P-5c &gt; Littoral Combat Ship (LCS) &gt; Basic Construction</t>
  </si>
  <si>
    <t>Littoral Combat Ship (LCS) - P-5c - Change Orders</t>
  </si>
  <si>
    <t>P-5c &gt; Littoral Combat Ship (LCS) &gt; Change Orders</t>
  </si>
  <si>
    <t>Littoral Combat Ship (LCS) - P-5c - Electronics</t>
  </si>
  <si>
    <t>P-5c &gt; Littoral Combat Ship (LCS) &gt; Electronics</t>
  </si>
  <si>
    <t>Electronics</t>
  </si>
  <si>
    <t>Littoral Combat Ship (LCS) - P-5c - Hull, Mechanical, and Electrical</t>
  </si>
  <si>
    <t>P-5c &gt; Littoral Combat Ship (LCS) &gt; Hull, Mechanical, and Electrical</t>
  </si>
  <si>
    <t>Littoral Combat Ship (LCS) - P-5c - Ordnance</t>
  </si>
  <si>
    <t>P-5c &gt; Littoral Combat Ship (LCS) &gt; Ordnance</t>
  </si>
  <si>
    <t>Littoral Combat Ship (LCS) - P-5c - Other Cost</t>
  </si>
  <si>
    <t>P-5c &gt; Littoral Combat Ship (LCS) &gt; Other Cost</t>
  </si>
  <si>
    <t>FFG-Frigate - P-5c - Plan Costs</t>
  </si>
  <si>
    <t>2128 / FFG-Frigate</t>
  </si>
  <si>
    <t>P-5c &gt; FFG-Frigate &gt; Plan Costs</t>
  </si>
  <si>
    <t>275</t>
  </si>
  <si>
    <t>FFG-Frigate - P-5c - Basic Construction</t>
  </si>
  <si>
    <t>P-5c &gt; FFG-Frigate &gt; Basic Construction</t>
  </si>
  <si>
    <t>FFG-Frigate - P-5c - Change Orders</t>
  </si>
  <si>
    <t>P-5c &gt; FFG-Frigate &gt; Change Orders</t>
  </si>
  <si>
    <t>FFG-Frigate - P-5c - Electronics</t>
  </si>
  <si>
    <t>P-5c &gt; FFG-Frigate &gt; Electronics</t>
  </si>
  <si>
    <t>FFG-Frigate - P-5c - Ordnance</t>
  </si>
  <si>
    <t>P-5c &gt; FFG-Frigate &gt; Ordnance</t>
  </si>
  <si>
    <t>FFG-Frigate - P-5c - Other Cost</t>
  </si>
  <si>
    <t>P-5c &gt; FFG-Frigate &gt; Other Cost</t>
  </si>
  <si>
    <t>FFG-Frigate - P-5c - 2020                                                                 -                            -                            -</t>
  </si>
  <si>
    <t>P-5c &gt; FFG-Frigate &gt; 2020                                                                 -                            -                            -</t>
  </si>
  <si>
    <t>FFG-Frigate - P-5c - 2025                                                                 -                            -                            -                             -</t>
  </si>
  <si>
    <t>P-5c &gt; FFG-Frigate &gt; 2025                                                                 -                            -                            -                             -</t>
  </si>
  <si>
    <t>FFG-Frigate - P-8a Electronics - Enterprise Air Surveillance Radar (EASR) 2</t>
  </si>
  <si>
    <t>P-8a &gt; FFG-Frigate &gt; Electronics &gt; Enterprise Air Surveillance Radar (EASR) 2</t>
  </si>
  <si>
    <t>277</t>
  </si>
  <si>
    <t>Enterprise Air Surveillance Radar (EASR)</t>
  </si>
  <si>
    <t>FFG-Frigate - P-8a Electronics - AEGIS Weapon System (AWS) 2</t>
  </si>
  <si>
    <t>P-8a &gt; FFG-Frigate &gt; Electronics &gt; AEGIS Weapon System (AWS) 2</t>
  </si>
  <si>
    <t>AEGIS Weapon System (AWS)</t>
  </si>
  <si>
    <t>FFG-Frigate - P-8a Electronics - Anti-Submarine Warfare (ASW) Combat Suite 2</t>
  </si>
  <si>
    <t>P-8a &gt; FFG-Frigate &gt; Electronics &gt; Anti-Submarine Warfare (ASW) Combat Suite 2</t>
  </si>
  <si>
    <t>Anti-Submarine Warfare (ASW) Combat Suite</t>
  </si>
  <si>
    <t>FFG-Frigate - P-8a Electronics - SLQ-32(V)6) 2</t>
  </si>
  <si>
    <t>P-8a &gt; FFG-Frigate &gt; Electronics &gt; SLQ-32(V)6) 2</t>
  </si>
  <si>
    <t>FFG-Frigate - P-8a Electronics - Tactical COMINT System- Spectral 2</t>
  </si>
  <si>
    <t>P-8a &gt; FFG-Frigate &gt; Electronics &gt; Tactical COMINT System- Spectral 2</t>
  </si>
  <si>
    <t>Tactical COMINT System- Spectral</t>
  </si>
  <si>
    <t>FFG-Frigate - P-8a Electronics - Cooperative Engagement Capability (CEC) 2</t>
  </si>
  <si>
    <t>P-8a &gt; FFG-Frigate &gt; Electronics &gt; Cooperative Engagement Capability (CEC) 2</t>
  </si>
  <si>
    <t>Cooperative Engagement Capability (CEC)</t>
  </si>
  <si>
    <t>FFG-Frigate - P-8a Electronics - Identification Friend or Foe (IFF) UPX-29 2</t>
  </si>
  <si>
    <t>P-8a &gt; FFG-Frigate &gt; Electronics &gt; Identification Friend or Foe (IFF) UPX-29 2</t>
  </si>
  <si>
    <t>Identification Friend or Foe (IFF) UPX-29</t>
  </si>
  <si>
    <t>FFG-Frigate - P-8a Electronics - External Communication Suite (EXCOMM) 2</t>
  </si>
  <si>
    <t>P-8a &gt; FFG-Frigate &gt; Electronics &gt; External Communication Suite (EXCOMM) 2</t>
  </si>
  <si>
    <t>External Communication Suite (EXCOMM)</t>
  </si>
  <si>
    <t>FFG-Frigate - P-8a Hull, Mechanical, and Electrical - Aircraft Ship Integrated Securing and Traversing System (ASIST) 2</t>
  </si>
  <si>
    <t>P-8a &gt; FFG-Frigate &gt; Hull, Mechanical, and Electrical &gt; Aircraft Ship Integrated Securing and Traversing System (ASIST) 2</t>
  </si>
  <si>
    <t>279</t>
  </si>
  <si>
    <t>Aircraft Ship Integrated Securing and Traversing System (ASIST)</t>
  </si>
  <si>
    <t>FFG-Frigate - P-8a Hull, Mechanical, and Electrical - Internal Communication (IC) Voice 2</t>
  </si>
  <si>
    <t>P-8a &gt; FFG-Frigate &gt; Hull, Mechanical, and Electrical &gt; Internal Communication (IC) Voice 2</t>
  </si>
  <si>
    <t>Internal Communication (IC) Voice</t>
  </si>
  <si>
    <t>FFG-Frigate - P-8a Hull, Mechanical, and Electrical - Advanced Flight Deck Lighting System (AFDLS) 2</t>
  </si>
  <si>
    <t>P-8a &gt; FFG-Frigate &gt; Hull, Mechanical, and Electrical &gt; Advanced Flight Deck Lighting System (AFDLS) 2</t>
  </si>
  <si>
    <t>Advanced Flight Deck Lighting System (AFDLS)</t>
  </si>
  <si>
    <t>FFG-Frigate - P-8a Hull, Mechanical, and Electrical - Unclassified Video System (UVS) 2</t>
  </si>
  <si>
    <t>P-8a &gt; FFG-Frigate &gt; Hull, Mechanical, and Electrical &gt; Unclassified Video System (UVS) 2</t>
  </si>
  <si>
    <t>Unclassified Video System (UVS)</t>
  </si>
  <si>
    <t>FFG-Frigate - P-8a Hull, Mechanical, and Electrical - Interior Wireless Communication System (IWCS) 2</t>
  </si>
  <si>
    <t>P-8a &gt; FFG-Frigate &gt; Hull, Mechanical, and Electrical &gt; Interior Wireless Communication System (IWCS) 2</t>
  </si>
  <si>
    <t>Interior Wireless Communication System (IWCS)</t>
  </si>
  <si>
    <t>FFG-Frigate - P-8a Hull, Mechanical, and Electrical - Response (SABER) 2</t>
  </si>
  <si>
    <t>P-8a &gt; FFG-Frigate &gt; Hull, Mechanical, and Electrical &gt; Response (SABER) 2</t>
  </si>
  <si>
    <t>FFG-Frigate - P-8a Hull, Mechanical, and Electrical - Ship Control System-Government (SCS GOV) 2</t>
  </si>
  <si>
    <t>P-8a &gt; FFG-Frigate &gt; Hull, Mechanical, and Electrical &gt; Ship Control System-Government (SCS GOV) 2</t>
  </si>
  <si>
    <t>Ship Control System-Government (SCS GOV)</t>
  </si>
  <si>
    <t>FFG-Frigate - P-8a Hull, Mechanical, and Electrical - Other HM&amp;E 2</t>
  </si>
  <si>
    <t>P-8a &gt; FFG-Frigate &gt; Hull, Mechanical, and Electrical &gt; Other HM&amp;E 2</t>
  </si>
  <si>
    <t>FFG-Frigate - P-8a Ordnance - MK 41 Vertical Launch System (VLS)- 32 Cell 2</t>
  </si>
  <si>
    <t>P-8a &gt; FFG-Frigate &gt; Ordnance &gt; MK 41 Vertical Launch System (VLS)- 32 Cell 2</t>
  </si>
  <si>
    <t>280</t>
  </si>
  <si>
    <t>MK 41 Vertical Launch System (VLS)- 32 Cell</t>
  </si>
  <si>
    <t>FFG-Frigate - P-8a Ordnance - MK 48 Gun Weapon System (GWS) 2</t>
  </si>
  <si>
    <t>P-8a &gt; FFG-Frigate &gt; Ordnance &gt; MK 48 Gun Weapon System (GWS) 2</t>
  </si>
  <si>
    <t>MK 48 Gun Weapon System (GWS)</t>
  </si>
  <si>
    <t>FFG-Frigate - P-8a Ordnance - 21 Cell 2</t>
  </si>
  <si>
    <t>P-8a &gt; FFG-Frigate &gt; Ordnance &gt; 21 Cell 2</t>
  </si>
  <si>
    <t>FFG-Frigate - P-8a Ordnance - MK 53 Decoy Launching System (DLS) (Nulka)- 4 Launcher 2</t>
  </si>
  <si>
    <t>P-8a &gt; FFG-Frigate &gt; Ordnance &gt; MK 53 Decoy Launching System (DLS) (Nulka)- 4 Launcher 2</t>
  </si>
  <si>
    <t>MK 53 Decoy Launching System (DLS) (Nulka)- 4 Launcher</t>
  </si>
  <si>
    <t>FFG-Frigate - P-8a Ordnance - Other Ordnance 2</t>
  </si>
  <si>
    <t>P-8a &gt; FFG-Frigate &gt; Ordnance &gt; Other Ordnance 2</t>
  </si>
  <si>
    <t>Other Ordnance</t>
  </si>
  <si>
    <t>FFG-Frigate - P-35 Enterprise Air Surveillance Radar (EASR) - Major Hardware                                                                           2</t>
  </si>
  <si>
    <t>P-35 &gt; FFG-Frigate &gt; Enterprise Air Surveillance Radar (EASR) &gt; Major Hardware                                                                           2</t>
  </si>
  <si>
    <t>281</t>
  </si>
  <si>
    <t>FFG-Frigate - P-35 Enterprise Air Surveillance Radar (EASR) - System Engineering</t>
  </si>
  <si>
    <t>P-35 &gt; FFG-Frigate &gt; Enterprise Air Surveillance Radar (EASR) &gt; System Engineering</t>
  </si>
  <si>
    <t>FFG-Frigate - P-35 Enterprise Air Surveillance Radar (EASR) - Technical Engineering Services</t>
  </si>
  <si>
    <t>P-35 &gt; FFG-Frigate &gt; Enterprise Air Surveillance Radar (EASR) &gt; Technical Engineering Services</t>
  </si>
  <si>
    <t>FFG-Frigate - P-35 Enterprise Air Surveillance Radar (EASR) - Other Costs</t>
  </si>
  <si>
    <t>P-35 &gt; FFG-Frigate &gt; Enterprise Air Surveillance Radar (EASR) &gt; Other Costs</t>
  </si>
  <si>
    <t>FFG-Frigate - P-35 AEGIS Weapon System (AWS) - Major Hardware                                                                        2</t>
  </si>
  <si>
    <t>P-35 &gt; FFG-Frigate &gt; AEGIS Weapon System (AWS) &gt; Major Hardware                                                                        2</t>
  </si>
  <si>
    <t>282</t>
  </si>
  <si>
    <t>FFG-Frigate - P-35 AEGIS Weapon System (AWS) - System Engineering</t>
  </si>
  <si>
    <t>P-35 &gt; FFG-Frigate &gt; AEGIS Weapon System (AWS) &gt; System Engineering</t>
  </si>
  <si>
    <t>FFG-Frigate - P-35 AEGIS Weapon System (AWS) - Technical Engineering Services</t>
  </si>
  <si>
    <t>P-35 &gt; FFG-Frigate &gt; AEGIS Weapon System (AWS) &gt; Technical Engineering Services</t>
  </si>
  <si>
    <t>FFG-Frigate - P-35 AEGIS Weapon System (AWS) - Other Costs</t>
  </si>
  <si>
    <t>P-35 &gt; FFG-Frigate &gt; AEGIS Weapon System (AWS) &gt; Other Costs</t>
  </si>
  <si>
    <t>FFG-Frigate - P-35 Anti-Submarine Warfare (ASW) Combat Suite - Major Hardware                                                                      2</t>
  </si>
  <si>
    <t>P-35 &gt; FFG-Frigate &gt; Anti-Submarine Warfare (ASW) Combat Suite &gt; Major Hardware                                                                      2</t>
  </si>
  <si>
    <t>283</t>
  </si>
  <si>
    <t>FFG-Frigate - P-35 Anti-Submarine Warfare (ASW) Combat Suite - System Engineering</t>
  </si>
  <si>
    <t>P-35 &gt; FFG-Frigate &gt; Anti-Submarine Warfare (ASW) Combat Suite &gt; System Engineering</t>
  </si>
  <si>
    <t>FFG-Frigate - P-35 Anti-Submarine Warfare (ASW) Combat Suite - Technical Engineering Services</t>
  </si>
  <si>
    <t>P-35 &gt; FFG-Frigate &gt; Anti-Submarine Warfare (ASW) Combat Suite &gt; Technical Engineering Services</t>
  </si>
  <si>
    <t>FFG-Frigate - P-35 Anti-Submarine Warfare (ASW) Combat Suite - Other Costs</t>
  </si>
  <si>
    <t>P-35 &gt; FFG-Frigate &gt; Anti-Submarine Warfare (ASW) Combat Suite &gt; Other Costs</t>
  </si>
  <si>
    <t>FFG-Frigate - P-35 Surface Electronic Warfare Improvement Program (SEWIP) BLK II (SLQ-32(V)6) - Major Hardware                                                                        2</t>
  </si>
  <si>
    <t>P-35 &gt; FFG-Frigate &gt; Surface Electronic Warfare Improvement Program (SEWIP) BLK II (SLQ-32(V)6) &gt; Major Hardware                                                                        2</t>
  </si>
  <si>
    <t>284</t>
  </si>
  <si>
    <t>Surface Electronic Warfare Improvement Program (SEWIP) BLK II (SLQ-32(V)6)</t>
  </si>
  <si>
    <t>FFG-Frigate - P-35 Surface Electronic Warfare Improvement Program (SEWIP) BLK II (SLQ-32(V)6) - System Engineering</t>
  </si>
  <si>
    <t>P-35 &gt; FFG-Frigate &gt; Surface Electronic Warfare Improvement Program (SEWIP) BLK II (SLQ-32(V)6) &gt; System Engineering</t>
  </si>
  <si>
    <t>FFG-Frigate - P-35 Surface Electronic Warfare Improvement Program (SEWIP) BLK II (SLQ-32(V)6) - Technical Engineering Services</t>
  </si>
  <si>
    <t>P-35 &gt; FFG-Frigate &gt; Surface Electronic Warfare Improvement Program (SEWIP) BLK II (SLQ-32(V)6) &gt; Technical Engineering Services</t>
  </si>
  <si>
    <t>FFG-Frigate - P-35 Surface Electronic Warfare Improvement Program (SEWIP) BLK II (SLQ-32(V)6) - Other Costs</t>
  </si>
  <si>
    <t>P-35 &gt; FFG-Frigate &gt; Surface Electronic Warfare Improvement Program (SEWIP) BLK II (SLQ-32(V)6) &gt; Other Costs</t>
  </si>
  <si>
    <t>Surface Electronic Warfare Improvement Program (SEWIP) BLK II (SLQ-32(V)6) [FFG 66]</t>
  </si>
  <si>
    <t>FFG-Frigate - P-35 Tactical COMINT System- Spectral - Major Hardware                                                                          2</t>
  </si>
  <si>
    <t>P-35 &gt; FFG-Frigate &gt; Tactical COMINT System- Spectral &gt; Major Hardware                                                                          2</t>
  </si>
  <si>
    <t>285</t>
  </si>
  <si>
    <t>FFG-Frigate - P-35 Tactical COMINT System- Spectral - Technical Engineering Services</t>
  </si>
  <si>
    <t>P-35 &gt; FFG-Frigate &gt; Tactical COMINT System- Spectral &gt; Technical Engineering Services</t>
  </si>
  <si>
    <t>FFG-Frigate - P-35 Tactical COMINT System- Spectral - Other Costs</t>
  </si>
  <si>
    <t>P-35 &gt; FFG-Frigate &gt; Tactical COMINT System- Spectral &gt; Other Costs</t>
  </si>
  <si>
    <t>FFG-Frigate - P-35 Tactical COMINT System- Spectral - Systems Engineering</t>
  </si>
  <si>
    <t>P-35 &gt; FFG-Frigate &gt; Tactical COMINT System- Spectral &gt; Systems Engineering</t>
  </si>
  <si>
    <t>FFG-Frigate - P-35 Cooperative Engagement Capability (CEC) - Major Hardware                                                                       2</t>
  </si>
  <si>
    <t>P-35 &gt; FFG-Frigate &gt; Cooperative Engagement Capability (CEC) &gt; Major Hardware                                                                       2</t>
  </si>
  <si>
    <t>286</t>
  </si>
  <si>
    <t>FFG-Frigate - P-35 Cooperative Engagement Capability (CEC) - System Engineering</t>
  </si>
  <si>
    <t>P-35 &gt; FFG-Frigate &gt; Cooperative Engagement Capability (CEC) &gt; System Engineering</t>
  </si>
  <si>
    <t>FFG-Frigate - P-35 Cooperative Engagement Capability (CEC) - Technical Engineering Services</t>
  </si>
  <si>
    <t>P-35 &gt; FFG-Frigate &gt; Cooperative Engagement Capability (CEC) &gt; Technical Engineering Services</t>
  </si>
  <si>
    <t>FFG-Frigate - P-35 Cooperative Engagement Capability (CEC) - Other Costs</t>
  </si>
  <si>
    <t>P-35 &gt; FFG-Frigate &gt; Cooperative Engagement Capability (CEC) &gt; Other Costs</t>
  </si>
  <si>
    <t>FFG-Frigate - P-35 Identification Friend or Foe (IFF) UPX-29 - Major Hardware                                                                              2</t>
  </si>
  <si>
    <t>P-35 &gt; FFG-Frigate &gt; Identification Friend or Foe (IFF) UPX-29 &gt; Major Hardware                                                                              2</t>
  </si>
  <si>
    <t>287</t>
  </si>
  <si>
    <t>FFG-Frigate - P-35 Identification Friend or Foe (IFF) UPX-29 - System Engineering</t>
  </si>
  <si>
    <t>P-35 &gt; FFG-Frigate &gt; Identification Friend or Foe (IFF) UPX-29 &gt; System Engineering</t>
  </si>
  <si>
    <t>FFG-Frigate - P-35 Identification Friend or Foe (IFF) UPX-29 - Technical Engineering Services</t>
  </si>
  <si>
    <t>P-35 &gt; FFG-Frigate &gt; Identification Friend or Foe (IFF) UPX-29 &gt; Technical Engineering Services</t>
  </si>
  <si>
    <t>FFG-Frigate - P-35 Identification Friend or Foe (IFF) UPX-29 - Other Costs</t>
  </si>
  <si>
    <t>P-35 &gt; FFG-Frigate &gt; Identification Friend or Foe (IFF) UPX-29 &gt; Other Costs</t>
  </si>
  <si>
    <t>FFG-Frigate - P-35 External Communication Suite (EXCOMM) - Major Hardware                                                                     2</t>
  </si>
  <si>
    <t>P-35 &gt; FFG-Frigate &gt; External Communication Suite (EXCOMM) &gt; Major Hardware                                                                     2</t>
  </si>
  <si>
    <t>288</t>
  </si>
  <si>
    <t>FFG-Frigate - P-35 External Communication Suite (EXCOMM) - System Engineering</t>
  </si>
  <si>
    <t>P-35 &gt; FFG-Frigate &gt; External Communication Suite (EXCOMM) &gt; System Engineering</t>
  </si>
  <si>
    <t>FFG-Frigate - P-35 External Communication Suite (EXCOMM) - Technical Engineering Services</t>
  </si>
  <si>
    <t>P-35 &gt; FFG-Frigate &gt; External Communication Suite (EXCOMM) &gt; Technical Engineering Services</t>
  </si>
  <si>
    <t>FFG-Frigate - P-35 External Communication Suite (EXCOMM) - Other Costs</t>
  </si>
  <si>
    <t>P-35 &gt; FFG-Frigate &gt; External Communication Suite (EXCOMM) &gt; Other Costs</t>
  </si>
  <si>
    <t>FFG-Frigate - P-35 Navy Advanced Extremely High Frequency (AEHF) Multiband Terminal (NMT)(AN/WSC-9(V)1)) - Major Hardware                                                                           2</t>
  </si>
  <si>
    <t>P-35 &gt; FFG-Frigate &gt; Navy Advanced Extremely High Frequency (AEHF) Multiband Terminal (NMT)(AN/WSC-9(V)1)) &gt; Major Hardware                                                                           2</t>
  </si>
  <si>
    <t>289</t>
  </si>
  <si>
    <t>Navy Advanced Extremely High Frequency (AEHF) Multiband Terminal (NMT)(AN/WSC-9(V)1))</t>
  </si>
  <si>
    <t>FFG-Frigate - P-35 Navy Advanced Extremely High Frequency (AEHF) Multiband Terminal (NMT)(AN/WSC-9(V)1)) - System Engineering</t>
  </si>
  <si>
    <t>P-35 &gt; FFG-Frigate &gt; Navy Advanced Extremely High Frequency (AEHF) Multiband Terminal (NMT)(AN/WSC-9(V)1)) &gt; System Engineering</t>
  </si>
  <si>
    <t>FFG-Frigate - P-35 Navy Advanced Extremely High Frequency (AEHF) Multiband Terminal (NMT)(AN/WSC-9(V)1)) - Technical Engineering Services</t>
  </si>
  <si>
    <t>P-35 &gt; FFG-Frigate &gt; Navy Advanced Extremely High Frequency (AEHF) Multiband Terminal (NMT)(AN/WSC-9(V)1)) &gt; Technical Engineering Services</t>
  </si>
  <si>
    <t>FFG-Frigate - P-35 Navy Advanced Extremely High Frequency (AEHF) Multiband Terminal (NMT)(AN/WSC-9(V)1)) - Other Costs</t>
  </si>
  <si>
    <t>P-35 &gt; FFG-Frigate &gt; Navy Advanced Extremely High Frequency (AEHF) Multiband Terminal (NMT)(AN/WSC-9(V)1)) &gt; Other Costs</t>
  </si>
  <si>
    <t>Navy Advanced Extremely High Frequency (AEHF) Multiband Terminal (NMT)(AN/WSC-9(V)1)) [FFG 66]</t>
  </si>
  <si>
    <t>FFG-Frigate - P-35 Consolidated Afloat Network Enterprise System (CANES) - Major Hardware                                                                         2</t>
  </si>
  <si>
    <t>P-35 &gt; FFG-Frigate &gt; Consolidated Afloat Network Enterprise System (CANES) &gt; Major Hardware                                                                         2</t>
  </si>
  <si>
    <t>290</t>
  </si>
  <si>
    <t>Consolidated Afloat Network Enterprise System (CANES)</t>
  </si>
  <si>
    <t>FFG-Frigate - P-35 Consolidated Afloat Network Enterprise System (CANES) - System Engineering</t>
  </si>
  <si>
    <t>P-35 &gt; FFG-Frigate &gt; Consolidated Afloat Network Enterprise System (CANES) &gt; System Engineering</t>
  </si>
  <si>
    <t>FFG-Frigate - P-35 Consolidated Afloat Network Enterprise System (CANES) - Technical Engineering Services</t>
  </si>
  <si>
    <t>P-35 &gt; FFG-Frigate &gt; Consolidated Afloat Network Enterprise System (CANES) &gt; Technical Engineering Services</t>
  </si>
  <si>
    <t>FFG-Frigate - P-35 Consolidated Afloat Network Enterprise System (CANES) - Other Costs</t>
  </si>
  <si>
    <t>P-35 &gt; FFG-Frigate &gt; Consolidated Afloat Network Enterprise System (CANES) &gt; Other Costs</t>
  </si>
  <si>
    <t>FFG-Frigate - P-35 Network Tactical Common Data Link (NTCDL) Variant B - Major Hardware                                                                        2</t>
  </si>
  <si>
    <t>P-35 &gt; FFG-Frigate &gt; Network Tactical Common Data Link (NTCDL) Variant B &gt; Major Hardware                                                                        2</t>
  </si>
  <si>
    <t>291</t>
  </si>
  <si>
    <t>Network Tactical Common Data Link (NTCDL) Variant B</t>
  </si>
  <si>
    <t>FFG-Frigate - P-35 Network Tactical Common Data Link (NTCDL) Variant B - System Engineering</t>
  </si>
  <si>
    <t>P-35 &gt; FFG-Frigate &gt; Network Tactical Common Data Link (NTCDL) Variant B &gt; System Engineering</t>
  </si>
  <si>
    <t>FFG-Frigate - P-35 Network Tactical Common Data Link (NTCDL) Variant B - Technical Engineering Services</t>
  </si>
  <si>
    <t>P-35 &gt; FFG-Frigate &gt; Network Tactical Common Data Link (NTCDL) Variant B &gt; Technical Engineering Services</t>
  </si>
  <si>
    <t>FFG-Frigate - P-35 Network Tactical Common Data Link (NTCDL) Variant B - Other Costs</t>
  </si>
  <si>
    <t>P-35 &gt; FFG-Frigate &gt; Network Tactical Common Data Link (NTCDL) Variant B &gt; Other Costs</t>
  </si>
  <si>
    <t>FFG-Frigate - P-35 Inertial Navigation System (INS) AN/WSN-7(V)1 - Major Hardware                                                                     2</t>
  </si>
  <si>
    <t>P-35 &gt; FFG-Frigate &gt; Inertial Navigation System (INS) AN/WSN-7(V)1 &gt; Major Hardware                                                                     2</t>
  </si>
  <si>
    <t>292</t>
  </si>
  <si>
    <t>Inertial Navigation System (INS) AN/WSN-7(V)1</t>
  </si>
  <si>
    <t>FFG-Frigate - P-35 Inertial Navigation System (INS) AN/WSN-7(V)1 - System Engineering</t>
  </si>
  <si>
    <t>P-35 &gt; FFG-Frigate &gt; Inertial Navigation System (INS) AN/WSN-7(V)1 &gt; System Engineering</t>
  </si>
  <si>
    <t>FFG-Frigate - P-35 Inertial Navigation System (INS) AN/WSN-7(V)1 - Technical Engineering Services</t>
  </si>
  <si>
    <t>P-35 &gt; FFG-Frigate &gt; Inertial Navigation System (INS) AN/WSN-7(V)1 &gt; Technical Engineering Services</t>
  </si>
  <si>
    <t>FFG-Frigate - P-35 Inertial Navigation System (INS) AN/WSN-7(V)1 - Other Costs</t>
  </si>
  <si>
    <t>P-35 &gt; FFG-Frigate &gt; Inertial Navigation System (INS) AN/WSN-7(V)1 &gt; Other Costs</t>
  </si>
  <si>
    <t>FFG-Frigate - P-35 Situation Awareness EO/IR - Major Hardware                                                                       2</t>
  </si>
  <si>
    <t>P-35 &gt; FFG-Frigate &gt; Situation Awareness EO/IR &gt; Major Hardware                                                                       2</t>
  </si>
  <si>
    <t>293</t>
  </si>
  <si>
    <t>Situation Awareness EO/IR</t>
  </si>
  <si>
    <t>FFG-Frigate - P-35 Situation Awareness EO/IR - System Engineering</t>
  </si>
  <si>
    <t>P-35 &gt; FFG-Frigate &gt; Situation Awareness EO/IR &gt; System Engineering</t>
  </si>
  <si>
    <t>FFG-Frigate - P-35 Situation Awareness EO/IR - Technical Engineering Services</t>
  </si>
  <si>
    <t>P-35 &gt; FFG-Frigate &gt; Situation Awareness EO/IR &gt; Technical Engineering Services</t>
  </si>
  <si>
    <t>FFG-Frigate - P-35 Situation Awareness EO/IR - Other Costs</t>
  </si>
  <si>
    <t>P-35 &gt; FFG-Frigate &gt; Situation Awareness EO/IR &gt; Other Costs</t>
  </si>
  <si>
    <t>FFG-Frigate - P-35 NIXIE AN/SLQ-25E - Major Hardware                                                                     2</t>
  </si>
  <si>
    <t>P-35 &gt; FFG-Frigate &gt; NIXIE AN/SLQ-25E &gt; Major Hardware                                                                     2</t>
  </si>
  <si>
    <t>294</t>
  </si>
  <si>
    <t>NIXIE AN/SLQ-25E</t>
  </si>
  <si>
    <t>FFG-Frigate - P-35 NIXIE AN/SLQ-25E - System Engineering</t>
  </si>
  <si>
    <t>P-35 &gt; FFG-Frigate &gt; NIXIE AN/SLQ-25E &gt; System Engineering</t>
  </si>
  <si>
    <t>FFG-Frigate - P-35 NIXIE AN/SLQ-25E - Technical Engineering Services</t>
  </si>
  <si>
    <t>P-35 &gt; FFG-Frigate &gt; NIXIE AN/SLQ-25E &gt; Technical Engineering Services</t>
  </si>
  <si>
    <t>FFG-Frigate - P-35 NIXIE AN/SLQ-25E - Other Costs</t>
  </si>
  <si>
    <t>P-35 &gt; FFG-Frigate &gt; NIXIE AN/SLQ-25E &gt; Other Costs</t>
  </si>
  <si>
    <t>FFG-Frigate - P-35 Situational Awareness Boundary Enforcement Response Navigation (SABER NAV) - Major Hardware                                                                         2</t>
  </si>
  <si>
    <t>P-35 &gt; FFG-Frigate &gt; Situational Awareness Boundary Enforcement Response Navigation (SABER NAV) &gt; Major Hardware                                                                         2</t>
  </si>
  <si>
    <t>295</t>
  </si>
  <si>
    <t>Situational Awareness Boundary Enforcement Response Navigation (SABER NAV)</t>
  </si>
  <si>
    <t>FFG-Frigate - P-35 Situational Awareness Boundary Enforcement Response Navigation (SABER NAV) - System Engineering</t>
  </si>
  <si>
    <t>P-35 &gt; FFG-Frigate &gt; Situational Awareness Boundary Enforcement Response Navigation (SABER NAV) &gt; System Engineering</t>
  </si>
  <si>
    <t>FFG-Frigate - P-35 Situational Awareness Boundary Enforcement Response Navigation (SABER NAV) - Technical Engineering Services</t>
  </si>
  <si>
    <t>P-35 &gt; FFG-Frigate &gt; Situational Awareness Boundary Enforcement Response Navigation (SABER NAV) &gt; Technical Engineering Services</t>
  </si>
  <si>
    <t>FFG-Frigate - P-35 Situational Awareness Boundary Enforcement Response Navigation (SABER NAV) - Other Costs</t>
  </si>
  <si>
    <t>P-35 &gt; FFG-Frigate &gt; Situational Awareness Boundary Enforcement Response Navigation (SABER NAV) &gt; Other Costs</t>
  </si>
  <si>
    <t>Situational Awareness Boundary Enforcement Response Navigation (SABER NAV) [FFG 66]</t>
  </si>
  <si>
    <t>FFG-Frigate - P-35 Platform Boundary Defense (PBD) - Major Hardware                                                                        2</t>
  </si>
  <si>
    <t>P-35 &gt; FFG-Frigate &gt; Platform Boundary Defense (PBD) &gt; Major Hardware                                                                        2</t>
  </si>
  <si>
    <t>296</t>
  </si>
  <si>
    <t>Platform Boundary Defense (PBD)</t>
  </si>
  <si>
    <t>FFG-Frigate - P-35 Platform Boundary Defense (PBD) - System Engineering</t>
  </si>
  <si>
    <t>P-35 &gt; FFG-Frigate &gt; Platform Boundary Defense (PBD) &gt; System Engineering</t>
  </si>
  <si>
    <t>FFG-Frigate - P-35 Platform Boundary Defense (PBD) - Technical Engineering Services</t>
  </si>
  <si>
    <t>P-35 &gt; FFG-Frigate &gt; Platform Boundary Defense (PBD) &gt; Technical Engineering Services</t>
  </si>
  <si>
    <t>FFG-Frigate - P-35 Platform Boundary Defense (PBD) - Other Costs</t>
  </si>
  <si>
    <t>P-35 &gt; FFG-Frigate &gt; Platform Boundary Defense (PBD) &gt; Other Costs</t>
  </si>
  <si>
    <t>FFG-Frigate - P-35 Aircraft Ship Integrated Securing and Traversing System (ASIST) - Major Hardware                                                                      2</t>
  </si>
  <si>
    <t>P-35 &gt; FFG-Frigate &gt; Aircraft Ship Integrated Securing and Traversing System (ASIST) &gt; Major Hardware                                                                      2</t>
  </si>
  <si>
    <t>297</t>
  </si>
  <si>
    <t>FFG-Frigate - P-35 Aircraft Ship Integrated Securing and Traversing System (ASIST) - System Engineering</t>
  </si>
  <si>
    <t>P-35 &gt; FFG-Frigate &gt; Aircraft Ship Integrated Securing and Traversing System (ASIST) &gt; System Engineering</t>
  </si>
  <si>
    <t>FFG-Frigate - P-35 Aircraft Ship Integrated Securing and Traversing System (ASIST) - Technical Engineering Services</t>
  </si>
  <si>
    <t>P-35 &gt; FFG-Frigate &gt; Aircraft Ship Integrated Securing and Traversing System (ASIST) &gt; Technical Engineering Services</t>
  </si>
  <si>
    <t>FFG-Frigate - P-35 Aircraft Ship Integrated Securing and Traversing System (ASIST) - Other Costs</t>
  </si>
  <si>
    <t>P-35 &gt; FFG-Frigate &gt; Aircraft Ship Integrated Securing and Traversing System (ASIST) &gt; Other Costs</t>
  </si>
  <si>
    <t>Aircraft Ship Integrated Securing and Traversing System (ASIST) [FFG 66]</t>
  </si>
  <si>
    <t>FFG-Frigate - P-35 Internal Communication (IC) Voice - Major Hardware                                                                      2</t>
  </si>
  <si>
    <t>P-35 &gt; FFG-Frigate &gt; Internal Communication (IC) Voice &gt; Major Hardware                                                                      2</t>
  </si>
  <si>
    <t>298</t>
  </si>
  <si>
    <t>FFG-Frigate - P-35 Internal Communication (IC) Voice - System Engineering</t>
  </si>
  <si>
    <t>P-35 &gt; FFG-Frigate &gt; Internal Communication (IC) Voice &gt; System Engineering</t>
  </si>
  <si>
    <t>FFG-Frigate - P-35 Internal Communication (IC) Voice - Technical Engineering Services</t>
  </si>
  <si>
    <t>P-35 &gt; FFG-Frigate &gt; Internal Communication (IC) Voice &gt; Technical Engineering Services</t>
  </si>
  <si>
    <t>FFG-Frigate - P-35 Internal Communication (IC) Voice - Other Costs</t>
  </si>
  <si>
    <t>P-35 &gt; FFG-Frigate &gt; Internal Communication (IC) Voice &gt; Other Costs</t>
  </si>
  <si>
    <t>FFG-Frigate - P-35 MK 41 Vertical Launch System (VLS)- 32 Cell - Major Hardware                                                                       2</t>
  </si>
  <si>
    <t>P-35 &gt; FFG-Frigate &gt; MK 41 Vertical Launch System (VLS)- 32 Cell &gt; Major Hardware                                                                       2</t>
  </si>
  <si>
    <t>299</t>
  </si>
  <si>
    <t>FFG-Frigate - P-35 MK 41 Vertical Launch System (VLS)- 32 Cell - System Engineering</t>
  </si>
  <si>
    <t>P-35 &gt; FFG-Frigate &gt; MK 41 Vertical Launch System (VLS)- 32 Cell &gt; System Engineering</t>
  </si>
  <si>
    <t>FFG-Frigate - P-35 MK 41 Vertical Launch System (VLS)- 32 Cell - Other Costs</t>
  </si>
  <si>
    <t>P-35 &gt; FFG-Frigate &gt; MK 41 Vertical Launch System (VLS)- 32 Cell &gt; Other Costs</t>
  </si>
  <si>
    <t>FFG-Frigate - P-35 MK 48 Gun Weapon System (GWS) - Major Hardware                                                                         2</t>
  </si>
  <si>
    <t>P-35 &gt; FFG-Frigate &gt; MK 48 Gun Weapon System (GWS) &gt; Major Hardware                                                                         2</t>
  </si>
  <si>
    <t>300</t>
  </si>
  <si>
    <t>FFG-Frigate - P-35 MK 48 Gun Weapon System (GWS) - System Engineering</t>
  </si>
  <si>
    <t>P-35 &gt; FFG-Frigate &gt; MK 48 Gun Weapon System (GWS) &gt; System Engineering</t>
  </si>
  <si>
    <t>FFG-Frigate - P-35 MK 48 Gun Weapon System (GWS) - Technical Engineering Services</t>
  </si>
  <si>
    <t>P-35 &gt; FFG-Frigate &gt; MK 48 Gun Weapon System (GWS) &gt; Technical Engineering Services</t>
  </si>
  <si>
    <t>FFG-Frigate - P-35 MK 48 Gun Weapon System (GWS) - Other Costs</t>
  </si>
  <si>
    <t>P-35 &gt; FFG-Frigate &gt; MK 48 Gun Weapon System (GWS) &gt; Other Costs</t>
  </si>
  <si>
    <t>FFG-Frigate - P-35 Rolling Airframe Missile (RAM) Guided Missile Launching System- 21 Cell - Major Hardware                                                                         2</t>
  </si>
  <si>
    <t>P-35 &gt; FFG-Frigate &gt; Rolling Airframe Missile (RAM) Guided Missile Launching System- 21 Cell &gt; Major Hardware                                                                         2</t>
  </si>
  <si>
    <t>301</t>
  </si>
  <si>
    <t>Rolling Airframe Missile (RAM) Guided Missile Launching System- 21 Cell</t>
  </si>
  <si>
    <t>FFG-Frigate - P-35 Rolling Airframe Missile (RAM) Guided Missile Launching System- 21 Cell - System Engineering</t>
  </si>
  <si>
    <t>P-35 &gt; FFG-Frigate &gt; Rolling Airframe Missile (RAM) Guided Missile Launching System- 21 Cell &gt; System Engineering</t>
  </si>
  <si>
    <t>FFG-Frigate - P-35 Rolling Airframe Missile (RAM) Guided Missile Launching System- 21 Cell - Technical Engineering Services</t>
  </si>
  <si>
    <t>P-35 &gt; FFG-Frigate &gt; Rolling Airframe Missile (RAM) Guided Missile Launching System- 21 Cell &gt; Technical Engineering Services</t>
  </si>
  <si>
    <t>FFG-Frigate - P-35 Rolling Airframe Missile (RAM) Guided Missile Launching System- 21 Cell - Other Costs</t>
  </si>
  <si>
    <t>P-35 &gt; FFG-Frigate &gt; Rolling Airframe Missile (RAM) Guided Missile Launching System- 21 Cell &gt; Other Costs</t>
  </si>
  <si>
    <t>Rolling Airframe Missile (RAM) Guided Missile Launching System- 21 Cell [FFG 66]</t>
  </si>
  <si>
    <t>LPD Flight II - P-5c - Basic Construction</t>
  </si>
  <si>
    <t>P-5c &gt; LPD Flight II &gt; Basic Construction</t>
  </si>
  <si>
    <t>306</t>
  </si>
  <si>
    <t>LPD Flight II - P-5c - Change Orders</t>
  </si>
  <si>
    <t>P-5c &gt; LPD Flight II &gt; Change Orders</t>
  </si>
  <si>
    <t>LPD Flight II - P-5c - Electronics</t>
  </si>
  <si>
    <t>P-5c &gt; LPD Flight II &gt; Electronics</t>
  </si>
  <si>
    <t>LPD Flight II - P-5c - Hull, Mechanical, and Electrical</t>
  </si>
  <si>
    <t>P-5c &gt; LPD Flight II &gt; Hull, Mechanical, and Electrical</t>
  </si>
  <si>
    <t>LPD Flight II - P-5c - Ordnance</t>
  </si>
  <si>
    <t>P-5c &gt; LPD Flight II &gt; Ordnance</t>
  </si>
  <si>
    <t>LPD Flight II - P-5c - Other Cost</t>
  </si>
  <si>
    <t>P-5c &gt; LPD Flight II &gt; Other Cost</t>
  </si>
  <si>
    <t>LPD Flight II - P-8a Electronics - Mission Systems 1</t>
  </si>
  <si>
    <t>P-8a &gt; LPD Flight II &gt; Electronics &gt; Mission Systems 1</t>
  </si>
  <si>
    <t>308</t>
  </si>
  <si>
    <t>Mission Systems</t>
  </si>
  <si>
    <t>LPD Flight II - P-8a Electronics - C4ISR 1</t>
  </si>
  <si>
    <t>P-8a &gt; LPD Flight II &gt; Electronics &gt; C4ISR 1</t>
  </si>
  <si>
    <t>LPD Flight II - P-8a Electronics - Ship Self Defense System (SSDS) 1</t>
  </si>
  <si>
    <t>P-8a &gt; LPD Flight II &gt; Electronics &gt; Ship Self Defense System (SSDS) 1</t>
  </si>
  <si>
    <t>Ship Self Defense System (SSDS)</t>
  </si>
  <si>
    <t>LPD Flight II - P-8a Electronics - Cooperative Engagement Capability (CEC) 1</t>
  </si>
  <si>
    <t>P-8a &gt; LPD Flight II &gt; Electronics &gt; Cooperative Engagement Capability (CEC) 1</t>
  </si>
  <si>
    <t>LPD Flight II - P-8a Electronics - Interrogator System IFF (Identification Friend or Foe) 1</t>
  </si>
  <si>
    <t>P-8a &gt; LPD Flight II &gt; Electronics &gt; Interrogator System IFF (Identification Friend or Foe) 1</t>
  </si>
  <si>
    <t>Interrogator System IFF (Identification Friend or Foe)</t>
  </si>
  <si>
    <t>LPD Flight II - P-8a Electronics - AN/SLQ-32(V)6 Surface Electronic Warfare Improvement Program (SEWIP) 1</t>
  </si>
  <si>
    <t>P-8a &gt; LPD Flight II &gt; Electronics &gt; AN/SLQ-32(V)6 Surface Electronic Warfare Improvement Program (SEWIP) 1</t>
  </si>
  <si>
    <t>AN/SLQ-32(V)6 Surface Electronic Warfare Improvement Program (SEWIP)</t>
  </si>
  <si>
    <t>LPD Flight II - P-8a Electronics - HM&amp;E Condition System (HMECS) 1</t>
  </si>
  <si>
    <t>P-8a &gt; LPD Flight II &gt; Electronics &gt; HM&amp;E Condition System (HMECS) 1</t>
  </si>
  <si>
    <t>HM&amp;E Condition System (HMECS)</t>
  </si>
  <si>
    <t>LPD Flight II - P-8a Electronics - Advanced Training Domain (ATD) 1</t>
  </si>
  <si>
    <t>P-8a &gt; LPD Flight II &gt; Electronics &gt; Advanced Training Domain (ATD) 1</t>
  </si>
  <si>
    <t>Advanced Training Domain (ATD)</t>
  </si>
  <si>
    <t>LPD Flight II - P-8a Electronics - AN/WSN-7(RLGN) 1</t>
  </si>
  <si>
    <t>P-8a &gt; LPD Flight II &gt; Electronics &gt; AN/WSN-7(RLGN) 1</t>
  </si>
  <si>
    <t>AN/WSN-7(RLGN)</t>
  </si>
  <si>
    <t>LPD Flight II - P-8a Electronics - Nulka Decoy Launching System (DLS) 1</t>
  </si>
  <si>
    <t>P-8a &gt; LPD Flight II &gt; Electronics &gt; Nulka Decoy Launching System (DLS) 1</t>
  </si>
  <si>
    <t>Nulka Decoy Launching System (DLS)</t>
  </si>
  <si>
    <t>LPD Flight II - P-8a Electronics - Amphibious Assault Direction System (AADS) 1</t>
  </si>
  <si>
    <t>P-8a &gt; LPD Flight II &gt; Electronics &gt; Amphibious Assault Direction System (AADS) 1</t>
  </si>
  <si>
    <t>Amphibious Assault Direction System (AADS)</t>
  </si>
  <si>
    <t>LPD Flight II - P-8a Electronics - RADIAC 1</t>
  </si>
  <si>
    <t>P-8a &gt; LPD Flight II &gt; Electronics &gt; RADIAC 1</t>
  </si>
  <si>
    <t>RADIAC</t>
  </si>
  <si>
    <t>LPD Flight II - P-8a Electronics - AN/UQN-10 1</t>
  </si>
  <si>
    <t>P-8a &gt; LPD Flight II &gt; Electronics &gt; AN/UQN-10 1</t>
  </si>
  <si>
    <t>AN/UQN-10</t>
  </si>
  <si>
    <t>LPD Flight II - P-8a Electronics - DHYSL 1</t>
  </si>
  <si>
    <t>P-8a &gt; LPD Flight II &gt; Electronics &gt; DHYSL 1</t>
  </si>
  <si>
    <t>DHYSL</t>
  </si>
  <si>
    <t>LPD Flight II - P-8a Electronics - Electronic Charting Display and Information Systems-Navy (ECDIS-N) 1</t>
  </si>
  <si>
    <t>P-8a &gt; LPD Flight II &gt; Electronics &gt; Electronic Charting Display and Information Systems-Navy (ECDIS-N) 1</t>
  </si>
  <si>
    <t>Electronic Charting Display and Information Systems-Navy (ECDIS-N)</t>
  </si>
  <si>
    <t>LPD Flight II - P-8a Electronics - Miscellaneous Electronics</t>
  </si>
  <si>
    <t>P-8a &gt; LPD Flight II &gt; Electronics &gt; Miscellaneous Electronics</t>
  </si>
  <si>
    <t>Miscellaneous Electronics</t>
  </si>
  <si>
    <t>LPD Flight II - P-8a Electronics - IWS CSI</t>
  </si>
  <si>
    <t>P-8a &gt; LPD Flight II &gt; Electronics &gt; IWS CSI</t>
  </si>
  <si>
    <t>IWS CSI</t>
  </si>
  <si>
    <t>LPD Flight II - P-8a Hull, Mechanical, and Electrical - Boats (Rigid Inflatable Boat, 7 meter) 1</t>
  </si>
  <si>
    <t>P-8a &gt; LPD Flight II &gt; Hull, Mechanical, and Electrical &gt; Boats (Rigid Inflatable Boat, 7 meter) 1</t>
  </si>
  <si>
    <t>309</t>
  </si>
  <si>
    <t>Boats (Rigid Inflatable Boat, 7 meter)</t>
  </si>
  <si>
    <t>LPD Flight II - P-8a Hull, Mechanical, and Electrical - Forklift Trucks 7</t>
  </si>
  <si>
    <t>P-8a &gt; LPD Flight II &gt; Hull, Mechanical, and Electrical &gt; Forklift Trucks 7</t>
  </si>
  <si>
    <t>Forklift Trucks</t>
  </si>
  <si>
    <t>LPD Flight II - P-8a Hull, Mechanical, and Electrical - Chemical Warfare Detectors 1</t>
  </si>
  <si>
    <t>P-8a &gt; LPD Flight II &gt; Hull, Mechanical, and Electrical &gt; Chemical Warfare Detectors 1</t>
  </si>
  <si>
    <t>Chemical Warfare Detectors</t>
  </si>
  <si>
    <t>LPD Flight II - P-8a Hull, Mechanical, and Electrical - Military Payroll System 1</t>
  </si>
  <si>
    <t>P-8a &gt; LPD Flight II &gt; Hull, Mechanical, and Electrical &gt; Military Payroll System 1</t>
  </si>
  <si>
    <t>Military Payroll System</t>
  </si>
  <si>
    <t>LPD Flight II - P-8a Hull, Mechanical, and Electrical - Motor Operated Pilot Valve (MOPV) 1</t>
  </si>
  <si>
    <t>P-8a &gt; LPD Flight II &gt; Hull, Mechanical, and Electrical &gt; Motor Operated Pilot Valve (MOPV) 1</t>
  </si>
  <si>
    <t>Motor Operated Pilot Valve (MOPV)</t>
  </si>
  <si>
    <t>LPD Flight II - P-8a Hull, Mechanical, and Electrical - Oily Water Separator 1</t>
  </si>
  <si>
    <t>P-8a &gt; LPD Flight II &gt; Hull, Mechanical, and Electrical &gt; Oily Water Separator 1</t>
  </si>
  <si>
    <t>Oily Water Separator</t>
  </si>
  <si>
    <t>LPD Flight II - P-8a Hull, Mechanical, and Electrical - Plastic Waste Processing EQP 1</t>
  </si>
  <si>
    <t>P-8a &gt; LPD Flight II &gt; Hull, Mechanical, and Electrical &gt; Plastic Waste Processing EQP 1</t>
  </si>
  <si>
    <t>Plastic Waste Processing EQP</t>
  </si>
  <si>
    <t>LPD Flight II - P-8a Hull, Mechanical, and Electrical - Unclassified Video System (UVS) 1</t>
  </si>
  <si>
    <t>P-8a &gt; LPD Flight II &gt; Hull, Mechanical, and Electrical &gt; Unclassified Video System (UVS) 1</t>
  </si>
  <si>
    <t>LPD Flight II - P-8a Ordnance - RAM BLOCK II 2</t>
  </si>
  <si>
    <t>P-8a &gt; LPD Flight II &gt; Ordnance &gt; RAM BLOCK II 2</t>
  </si>
  <si>
    <t>310</t>
  </si>
  <si>
    <t>RAM BLOCK II</t>
  </si>
  <si>
    <t>LPD Flight II - P-8a Ordnance - MK 46 GUN 2</t>
  </si>
  <si>
    <t>P-8a &gt; LPD Flight II &gt; Ordnance &gt; MK 46 GUN 2</t>
  </si>
  <si>
    <t>MK 46 GUN</t>
  </si>
  <si>
    <t>LPD Flight II - P-8a Ordnance - AN/SPQ-9B Radar Set 1</t>
  </si>
  <si>
    <t>P-8a &gt; LPD Flight II &gt; Ordnance &gt; AN/SPQ-9B Radar Set 1</t>
  </si>
  <si>
    <t>AN/SPQ-9B Radar Set</t>
  </si>
  <si>
    <t>LPD Flight II - P-8a Ordnance - EASR 1</t>
  </si>
  <si>
    <t>P-8a &gt; LPD Flight II &gt; Ordnance &gt; EASR 1</t>
  </si>
  <si>
    <t>EASR</t>
  </si>
  <si>
    <t>LPD Flight II - P-8a Ordnance - ASGSI/HOSS/MWS Fit Control &amp; Inst Land Sys 1</t>
  </si>
  <si>
    <t>P-8a &gt; LPD Flight II &gt; Ordnance &gt; ASGSI/HOSS/MWS Fit Control &amp; Inst Land Sys 1</t>
  </si>
  <si>
    <t>ASGSI/HOSS/MWS Fit Control &amp; Inst Land Sys</t>
  </si>
  <si>
    <t>LPD Flight II - P-8a Ordnance - ORDNANCE HANDLING EQUIPMENT 1</t>
  </si>
  <si>
    <t>P-8a &gt; LPD Flight II &gt; Ordnance &gt; ORDNANCE HANDLING EQUIPMENT 1</t>
  </si>
  <si>
    <t>ORDNANCE HANDLING EQUIPMENT</t>
  </si>
  <si>
    <t>LPD Flight II - P-8a Ordnance - Next Generation Surface Search Radar (NGSSR) 1</t>
  </si>
  <si>
    <t>P-8a &gt; LPD Flight II &gt; Ordnance &gt; Next Generation Surface Search Radar (NGSSR) 1</t>
  </si>
  <si>
    <t>Next Generation Surface Search Radar (NGSSR)</t>
  </si>
  <si>
    <t>LPD Flight II - P-8a Ordnance - MISCELLANEOUS ORDNANCE</t>
  </si>
  <si>
    <t>P-8a &gt; LPD Flight II &gt; Ordnance &gt; MISCELLANEOUS ORDNANCE</t>
  </si>
  <si>
    <t>MISCELLANEOUS ORDNANCE</t>
  </si>
  <si>
    <t>LPD Flight II - P-35 Mission Systems - Major Hardware                                                                                                                                                 1</t>
  </si>
  <si>
    <t>P-35 &gt; LPD Flight II &gt; Mission Systems &gt; Major Hardware                                                                                                                                                 1</t>
  </si>
  <si>
    <t>311</t>
  </si>
  <si>
    <t>LPD Flight II - P-35 Mission Systems - Other Costs</t>
  </si>
  <si>
    <t>P-35 &gt; LPD Flight II &gt; Mission Systems &gt; Other Costs</t>
  </si>
  <si>
    <t>LPD Flight II - P-35 C4ISR - Major Hardware                                                                                                                                                    1</t>
  </si>
  <si>
    <t>P-35 &gt; LPD Flight II &gt; C4ISR &gt; Major Hardware                                                                                                                                                    1</t>
  </si>
  <si>
    <t>312</t>
  </si>
  <si>
    <t>LPD Flight II - P-35 C4ISR - Spares</t>
  </si>
  <si>
    <t>P-35 &gt; LPD Flight II &gt; C4ISR &gt; Spares</t>
  </si>
  <si>
    <t>LPD Flight II - P-35 C4ISR - Technical Engineering Services</t>
  </si>
  <si>
    <t>P-35 &gt; LPD Flight II &gt; C4ISR &gt; Technical Engineering Services</t>
  </si>
  <si>
    <t>LPD Flight II - P-35 C4ISR - Ancillary Equipment</t>
  </si>
  <si>
    <t>P-35 &gt; LPD Flight II &gt; C4ISR &gt; Ancillary Equipment</t>
  </si>
  <si>
    <t>LPD Flight II - P-35 C4ISR - Documentation and Systems Engineering</t>
  </si>
  <si>
    <t>P-35 &gt; LPD Flight II &gt; C4ISR &gt; Documentation and Systems Engineering</t>
  </si>
  <si>
    <t>LPD Flight II - P-35 C4ISR - Other Appropriate Costs</t>
  </si>
  <si>
    <t>P-35 &gt; LPD Flight II &gt; C4ISR &gt; Other Appropriate Costs</t>
  </si>
  <si>
    <t>LPD Flight II - P-35 C4ISR - Turnkey</t>
  </si>
  <si>
    <t>P-35 &gt; LPD Flight II &gt; C4ISR &gt; Turnkey</t>
  </si>
  <si>
    <t>LPD Flight II - P-35 Ship Self Defense System (SSDS) - Major Hardware                                                                                                                                                 1</t>
  </si>
  <si>
    <t>P-35 &gt; LPD Flight II &gt; Ship Self Defense System (SSDS) &gt; Major Hardware                                                                                                                                                 1</t>
  </si>
  <si>
    <t>313</t>
  </si>
  <si>
    <t>LPD Flight II - P-35 Ship Self Defense System (SSDS) - Spares</t>
  </si>
  <si>
    <t>P-35 &gt; LPD Flight II &gt; Ship Self Defense System (SSDS) &gt; Spares</t>
  </si>
  <si>
    <t>LPD Flight II - P-35 Ship Self Defense System (SSDS) - Technical Engineering Services</t>
  </si>
  <si>
    <t>P-35 &gt; LPD Flight II &gt; Ship Self Defense System (SSDS) &gt; Technical Engineering Services</t>
  </si>
  <si>
    <t>LPD Flight II - P-35 Ship Self Defense System (SSDS) - Other Costs</t>
  </si>
  <si>
    <t>P-35 &gt; LPD Flight II &gt; Ship Self Defense System (SSDS) &gt; Other Costs</t>
  </si>
  <si>
    <t>LPD Flight II - P-35 Ship Self Defense System (SSDS) - Documentation and Systems Engineering</t>
  </si>
  <si>
    <t>P-35 &gt; LPD Flight II &gt; Ship Self Defense System (SSDS) &gt; Documentation and Systems Engineering</t>
  </si>
  <si>
    <t>LPD Flight II - P-35 Cooperative Engagement Capability (CEC) - Major Hardware                                                                                                                                                       1</t>
  </si>
  <si>
    <t>P-35 &gt; LPD Flight II &gt; Cooperative Engagement Capability (CEC) &gt; Major Hardware                                                                                                                                                       1</t>
  </si>
  <si>
    <t>314</t>
  </si>
  <si>
    <t>LPD Flight II - P-35 Cooperative Engagement Capability (CEC) - Technical Engineering Services</t>
  </si>
  <si>
    <t>P-35 &gt; LPD Flight II &gt; Cooperative Engagement Capability (CEC) &gt; Technical Engineering Services</t>
  </si>
  <si>
    <t>LPD Flight II - P-35 Cooperative Engagement Capability (CEC) - Documentation and Systems Engineering</t>
  </si>
  <si>
    <t>P-35 &gt; LPD Flight II &gt; Cooperative Engagement Capability (CEC) &gt; Documentation and Systems Engineering</t>
  </si>
  <si>
    <t>LPD Flight II - P-35 Cooperative Engagement Capability (CEC) - Other Costs</t>
  </si>
  <si>
    <t>P-35 &gt; LPD Flight II &gt; Cooperative Engagement Capability (CEC) &gt; Other Costs</t>
  </si>
  <si>
    <t>LPD Flight II - P-35 Interrogator System IFF (Identification Friend or Foe) - Major Hardware                                                                                                                                                       1</t>
  </si>
  <si>
    <t>P-35 &gt; LPD Flight II &gt; Interrogator System IFF (Identification Friend or Foe) &gt; Major Hardware                                                                                                                                                       1</t>
  </si>
  <si>
    <t>315</t>
  </si>
  <si>
    <t>LPD Flight II - P-35 Interrogator System IFF (Identification Friend or Foe) - Spares</t>
  </si>
  <si>
    <t>P-35 &gt; LPD Flight II &gt; Interrogator System IFF (Identification Friend or Foe) &gt; Spares</t>
  </si>
  <si>
    <t>LPD Flight II - P-35 Interrogator System IFF (Identification Friend or Foe) - Technical Engineering Services</t>
  </si>
  <si>
    <t>P-35 &gt; LPD Flight II &gt; Interrogator System IFF (Identification Friend or Foe) &gt; Technical Engineering Services</t>
  </si>
  <si>
    <t>LPD Flight II - P-35 Interrogator System IFF (Identification Friend or Foe) - Other Costs</t>
  </si>
  <si>
    <t>P-35 &gt; LPD Flight II &gt; Interrogator System IFF (Identification Friend or Foe) &gt; Other Costs</t>
  </si>
  <si>
    <t>LPD Flight II - P-35 Interrogator System IFF (Identification Friend or Foe) - Documentation and Systems Engineering</t>
  </si>
  <si>
    <t>P-35 &gt; LPD Flight II &gt; Interrogator System IFF (Identification Friend or Foe) &gt; Documentation and Systems Engineering</t>
  </si>
  <si>
    <t>LPD Flight II - P-35 AN/SLQ-32(V)6 Surface Electronic Warfare Improvement Program (SEWIP) - Major Hardware                                                                                                                                                   1</t>
  </si>
  <si>
    <t>P-35 &gt; LPD Flight II &gt; AN/SLQ-32(V)6 Surface Electronic Warfare Improvement Program (SEWIP) &gt; Major Hardware                                                                                                                                                   1</t>
  </si>
  <si>
    <t>316</t>
  </si>
  <si>
    <t>LPD Flight II - P-35 AN/SLQ-32(V)6 Surface Electronic Warfare Improvement Program (SEWIP) - Spares</t>
  </si>
  <si>
    <t>P-35 &gt; LPD Flight II &gt; AN/SLQ-32(V)6 Surface Electronic Warfare Improvement Program (SEWIP) &gt; Spares</t>
  </si>
  <si>
    <t>LPD Flight II - P-35 AN/SLQ-32(V)6 Surface Electronic Warfare Improvement Program (SEWIP) - Technical Engineering Services</t>
  </si>
  <si>
    <t>P-35 &gt; LPD Flight II &gt; AN/SLQ-32(V)6 Surface Electronic Warfare Improvement Program (SEWIP) &gt; Technical Engineering Services</t>
  </si>
  <si>
    <t>LPD Flight II - P-35 AN/SLQ-32(V)6 Surface Electronic Warfare Improvement Program (SEWIP) - Other Costs</t>
  </si>
  <si>
    <t>P-35 &gt; LPD Flight II &gt; AN/SLQ-32(V)6 Surface Electronic Warfare Improvement Program (SEWIP) &gt; Other Costs</t>
  </si>
  <si>
    <t>AN/SLQ-32(V)6 Surface Electronic Warfare Improvement Program (SEWIP) [LPD FLT II 33]</t>
  </si>
  <si>
    <t>LPD Flight II - P-35 AN/SLQ-32(V)6 Surface Electronic Warfare Improvement Program (SEWIP) - Documentation and Systems Engineering</t>
  </si>
  <si>
    <t>P-35 &gt; LPD Flight II &gt; AN/SLQ-32(V)6 Surface Electronic Warfare Improvement Program (SEWIP) &gt; Documentation and Systems Engineering</t>
  </si>
  <si>
    <t>LPD Flight II - P-35 RAM BLOCK II - Major Hardware                                                                                                                                                      2</t>
  </si>
  <si>
    <t>P-35 &gt; LPD Flight II &gt; RAM BLOCK II &gt; Major Hardware                                                                                                                                                      2</t>
  </si>
  <si>
    <t>317</t>
  </si>
  <si>
    <t>LPD Flight II - P-35 RAM BLOCK II - Spares</t>
  </si>
  <si>
    <t>P-35 &gt; LPD Flight II &gt; RAM BLOCK II &gt; Spares</t>
  </si>
  <si>
    <t>LPD Flight II - P-35 RAM BLOCK II - Technical Engineering Services</t>
  </si>
  <si>
    <t>P-35 &gt; LPD Flight II &gt; RAM BLOCK II &gt; Technical Engineering Services</t>
  </si>
  <si>
    <t>LPD Flight II - P-35 RAM BLOCK II - Other Costs</t>
  </si>
  <si>
    <t>P-35 &gt; LPD Flight II &gt; RAM BLOCK II &gt; Other Costs</t>
  </si>
  <si>
    <t>LPD Flight II - P-35 RAM BLOCK II - Documentation and Systems Engineering</t>
  </si>
  <si>
    <t>P-35 &gt; LPD Flight II &gt; RAM BLOCK II &gt; Documentation and Systems Engineering</t>
  </si>
  <si>
    <t>LPD Flight II - P-35 MK 46 GUN - Major Hardware                                                                                                                                                      2</t>
  </si>
  <si>
    <t>P-35 &gt; LPD Flight II &gt; MK 46 GUN &gt; Major Hardware                                                                                                                                                      2</t>
  </si>
  <si>
    <t>318</t>
  </si>
  <si>
    <t>LPD Flight II - P-35 MK 46 GUN - Technical Engineering Services</t>
  </si>
  <si>
    <t>P-35 &gt; LPD Flight II &gt; MK 46 GUN &gt; Technical Engineering Services</t>
  </si>
  <si>
    <t>LPD Flight II - P-35 AN/SPQ-9B Radar Set - Major Hardware                                                                                                                                                 1</t>
  </si>
  <si>
    <t>P-35 &gt; LPD Flight II &gt; AN/SPQ-9B Radar Set &gt; Major Hardware                                                                                                                                                 1</t>
  </si>
  <si>
    <t>319</t>
  </si>
  <si>
    <t>LPD Flight II - P-35 AN/SPQ-9B Radar Set - Spares</t>
  </si>
  <si>
    <t>P-35 &gt; LPD Flight II &gt; AN/SPQ-9B Radar Set &gt; Spares</t>
  </si>
  <si>
    <t>LPD Flight II - P-35 AN/SPQ-9B Radar Set - Technical Engineering Services</t>
  </si>
  <si>
    <t>P-35 &gt; LPD Flight II &gt; AN/SPQ-9B Radar Set &gt; Technical Engineering Services</t>
  </si>
  <si>
    <t>LPD Flight II - P-35 AN/SPQ-9B Radar Set - Other Costs</t>
  </si>
  <si>
    <t>P-35 &gt; LPD Flight II &gt; AN/SPQ-9B Radar Set &gt; Other Costs</t>
  </si>
  <si>
    <t>LPD Flight II - P-35 AN/SPQ-9B Radar Set - Documentation and Systems Engineering</t>
  </si>
  <si>
    <t>P-35 &gt; LPD Flight II &gt; AN/SPQ-9B Radar Set &gt; Documentation and Systems Engineering</t>
  </si>
  <si>
    <t>LPD Flight II - P-35 EASR - Major Hardware                                                                                                                                              1</t>
  </si>
  <si>
    <t>P-35 &gt; LPD Flight II &gt; EASR &gt; Major Hardware                                                                                                                                              1</t>
  </si>
  <si>
    <t>320</t>
  </si>
  <si>
    <t>LPD Flight II - P-35 EASR - Spares</t>
  </si>
  <si>
    <t>P-35 &gt; LPD Flight II &gt; EASR &gt; Spares</t>
  </si>
  <si>
    <t>LPD Flight II - P-35 EASR - Technical Engineering Services</t>
  </si>
  <si>
    <t>P-35 &gt; LPD Flight II &gt; EASR &gt; Technical Engineering Services</t>
  </si>
  <si>
    <t>LPD Flight II - P-35 EASR - Other Costs</t>
  </si>
  <si>
    <t>P-35 &gt; LPD Flight II &gt; EASR &gt; Other Costs</t>
  </si>
  <si>
    <t>LPD Flight II - P-35 EASR - Documentation and Systems Engineering</t>
  </si>
  <si>
    <t>P-35 &gt; LPD Flight II &gt; EASR &gt; Documentation and Systems Engineering</t>
  </si>
  <si>
    <t>LPD Flight II - P-10 - Ordnance                                                                                    -               -</t>
  </si>
  <si>
    <t>3010 / LPD Flight II AP</t>
  </si>
  <si>
    <t>P-10 &gt; LPD Flight II &gt; Ordnance                                                                                    -               -</t>
  </si>
  <si>
    <t>LPD Flight II - P-10 - HM&amp;E                                                                                        -               -</t>
  </si>
  <si>
    <t>P-10 &gt; LPD Flight II &gt; HM&amp;E                                                                                        -               -</t>
  </si>
  <si>
    <t>LPD Flight II - P-10 - Electronics                                                                                 -               -</t>
  </si>
  <si>
    <t>P-10 &gt; LPD Flight II &gt; Electronics                                                                                 -               -</t>
  </si>
  <si>
    <t>LPD Flight II - P-10 - Basic Construction                                                                          -               -</t>
  </si>
  <si>
    <t>P-10 &gt; LPD Flight II &gt; Basic Construction                                                                          -               -</t>
  </si>
  <si>
    <t>LPD Flight II - P-10 - Ordnance                                                                                      -                  -                -                                    -</t>
  </si>
  <si>
    <t>P-10 &gt; LPD Flight II &gt; Ordnance                                                                                      -                  -                -                                    -</t>
  </si>
  <si>
    <t>322</t>
  </si>
  <si>
    <t>LPD Flight II - P-10 - HM&amp;E                                                                                          -                  -                -                                    -</t>
  </si>
  <si>
    <t>P-10 &gt; LPD Flight II &gt; HM&amp;E                                                                                          -                  -                -                                    -</t>
  </si>
  <si>
    <t>LPD Flight II - P-10 - Electronics                                                                                   -                  -                -                                    -</t>
  </si>
  <si>
    <t>P-10 &gt; LPD Flight II &gt; Electronics                                                                                   -                  -                -                                    -</t>
  </si>
  <si>
    <t>LPD Flight II - P-10 - Basic Construction                                                                            -                  -                -                                    -</t>
  </si>
  <si>
    <t>P-10 &gt; LPD Flight II &gt; Basic Construction                                                                            -                  -                -                                    -</t>
  </si>
  <si>
    <t>LHA Replacement - P-5c - Plan Costs</t>
  </si>
  <si>
    <t>3041 / LHA Replacement AP</t>
  </si>
  <si>
    <t>P-5c &gt; LHA Replacement &gt; Plan Costs</t>
  </si>
  <si>
    <t>326</t>
  </si>
  <si>
    <t>LHA Replacement - P-5c - Basic Construction</t>
  </si>
  <si>
    <t>P-5c &gt; LHA Replacement &gt; Basic Construction</t>
  </si>
  <si>
    <t>LHA Replacement - P-5c - Change Orders</t>
  </si>
  <si>
    <t>P-5c &gt; LHA Replacement &gt; Change Orders</t>
  </si>
  <si>
    <t>LHA Replacement - P-5c - Electronics</t>
  </si>
  <si>
    <t>P-5c &gt; LHA Replacement &gt; Electronics</t>
  </si>
  <si>
    <t>LHA Replacement - P-5c - Hull, Mechanical, and Electrical</t>
  </si>
  <si>
    <t>P-5c &gt; LHA Replacement &gt; Hull, Mechanical, and Electrical</t>
  </si>
  <si>
    <t>LHA Replacement - P-5c - Ordnance</t>
  </si>
  <si>
    <t>P-5c &gt; LHA Replacement &gt; Ordnance</t>
  </si>
  <si>
    <t>LHA Replacement - P-5c - Other Cost</t>
  </si>
  <si>
    <t>P-5c &gt; LHA Replacement &gt; Other Cost</t>
  </si>
  <si>
    <t>LHA Replacement - P-8a Electronics - Command, Control, Communication, Computer Intelligence Surveillance and Reconnaissance (C4ISR) 1</t>
  </si>
  <si>
    <t>P-8a &gt; LHA Replacement &gt; Electronics &gt; Command, Control, Communication, Computer Intelligence Surveillance and Reconnaissance (C4ISR) 1</t>
  </si>
  <si>
    <t>328</t>
  </si>
  <si>
    <t>Command, Control, Communication, Computer Intelligence Surveillance and Reconnaissance (C4ISR)</t>
  </si>
  <si>
    <t>LHA Replacement - P-8a Electronics - MK 2 MOD 4E Ship Self Defense System (SSDS) 1</t>
  </si>
  <si>
    <t>P-8a &gt; LHA Replacement &gt; Electronics &gt; MK 2 MOD 4E Ship Self Defense System (SSDS) 1</t>
  </si>
  <si>
    <t>MK 2 MOD 4E Ship Self Defense System (SSDS)</t>
  </si>
  <si>
    <t>LHA Replacement - P-8a Electronics - Integrated Voice Network (IVN) 1</t>
  </si>
  <si>
    <t>P-8a &gt; LHA Replacement &gt; Electronics &gt; Integrated Voice Network (IVN) 1</t>
  </si>
  <si>
    <t>Integrated Voice Network (IVN)</t>
  </si>
  <si>
    <t>LHA Replacement - P-8a Electronics - AN/SLQ-32(V), Surface Warfare Improvement Program (SEWIP) 1</t>
  </si>
  <si>
    <t>P-8a &gt; LHA Replacement &gt; Electronics &gt; AN/SLQ-32(V), Surface Warfare Improvement Program (SEWIP) 1</t>
  </si>
  <si>
    <t>AN/SLQ-32(V), Surface Warfare Improvement Program (SEWIP)</t>
  </si>
  <si>
    <t>LHA Replacement - P-8a Electronics - AN/SPN-50 (V)1 1</t>
  </si>
  <si>
    <t>P-8a &gt; LHA Replacement &gt; Electronics &gt; AN/SPN-50 (V)1 1</t>
  </si>
  <si>
    <t>AN/SPN-50 (V)1</t>
  </si>
  <si>
    <t>LHA Replacement - P-8a Electronics - Joint Precision Approach and Landing System (JPALS) (AN/USN-3(V)1, SSLS) 1</t>
  </si>
  <si>
    <t>P-8a &gt; LHA Replacement &gt; Electronics &gt; Joint Precision Approach and Landing System (JPALS) (AN/USN-3(V)1, SSLS) 1</t>
  </si>
  <si>
    <t>Joint Precision Approach and Landing System (JPALS) (AN/USN-3(V)1, SSLS)</t>
  </si>
  <si>
    <t>LHA Replacement - P-8a Electronics - Hierarchical Yet Dynamically Reprogrammable Architecture (HYDRA) AN/SRC-55 1</t>
  </si>
  <si>
    <t>P-8a &gt; LHA Replacement &gt; Electronics &gt; Hierarchical Yet Dynamically Reprogrammable Architecture (HYDRA) AN/SRC-55 1</t>
  </si>
  <si>
    <t>Hierarchical Yet Dynamically Reprogrammable Architecture (HYDRA) AN/SRC-55</t>
  </si>
  <si>
    <t>LHA Replacement - P-8a Electronics - AN/UPX-29(V), Identification Friend or Foe (IFF) MK12 1</t>
  </si>
  <si>
    <t>P-8a &gt; LHA Replacement &gt; Electronics &gt; AN/UPX-29(V), Identification Friend or Foe (IFF) MK12 1</t>
  </si>
  <si>
    <t>AN/UPX-29(V), Identification Friend or Foe (IFF) MK12</t>
  </si>
  <si>
    <t>LHA Replacement - P-8a Electronics - Ring Laser Gyro Navigator (RLGN) AN/WSN-7 1</t>
  </si>
  <si>
    <t>P-8a &gt; LHA Replacement &gt; Electronics &gt; Ring Laser Gyro Navigator (RLGN) AN/WSN-7 1</t>
  </si>
  <si>
    <t>Ring Laser Gyro Navigator (RLGN) AN/WSN-7</t>
  </si>
  <si>
    <t>LHA Replacement - P-8a Electronics - Amphibious Air Traffic Control Direct Altitude and Identity Readout (AATC-DAIR) 1</t>
  </si>
  <si>
    <t>P-8a &gt; LHA Replacement &gt; Electronics &gt; Amphibious Air Traffic Control Direct Altitude and Identity Readout (AATC-DAIR) 1</t>
  </si>
  <si>
    <t>Amphibious Air Traffic Control Direct Altitude and Identity Readout (AATC-DAIR)</t>
  </si>
  <si>
    <t>LHA Replacement - P-8a Electronics - Aircraft Control Approach Central AN/SPN-35C 1</t>
  </si>
  <si>
    <t>P-8a &gt; LHA Replacement &gt; Electronics &gt; Aircraft Control Approach Central AN/SPN-35C 1</t>
  </si>
  <si>
    <t>Aircraft Control Approach Central AN/SPN-35C</t>
  </si>
  <si>
    <t>LHA Replacement - P-8a Electronics - Aircraft Approach Control Transmitting Set (AACTS) AN/SPN-41B 1</t>
  </si>
  <si>
    <t>P-8a &gt; LHA Replacement &gt; Electronics &gt; Aircraft Approach Control Transmitting Set (AACTS) AN/SPN-41B 1</t>
  </si>
  <si>
    <t>Aircraft Approach Control Transmitting Set (AACTS) AN/SPN-41B</t>
  </si>
  <si>
    <t>LHA Replacement - P-8a Electronics - AN/USG-2, Cooperative Engagement Transmission Processing Set (CETPS) 1</t>
  </si>
  <si>
    <t>P-8a &gt; LHA Replacement &gt; Electronics &gt; AN/USG-2, Cooperative Engagement Transmission Processing Set (CETPS) 1</t>
  </si>
  <si>
    <t>AN/USG-2, Cooperative Engagement Transmission Processing Set (CETPS)</t>
  </si>
  <si>
    <t>LHA Replacement - P-8a Electronics - USQ-82, Gigabit Ethernet Data Multiplex System (GEDMS) 1</t>
  </si>
  <si>
    <t>P-8a &gt; LHA Replacement &gt; Electronics &gt; USQ-82, Gigabit Ethernet Data Multiplex System (GEDMS) 1</t>
  </si>
  <si>
    <t>USQ-82, Gigabit Ethernet Data Multiplex System (GEDMS)</t>
  </si>
  <si>
    <t>LHA Replacement - P-8a Electronics - AN/SLQ-25C, Torpedo Countermeasures Transmitting Set (NIXIE) 2</t>
  </si>
  <si>
    <t>P-8a &gt; LHA Replacement &gt; Electronics &gt; AN/SLQ-25C, Torpedo Countermeasures Transmitting Set (NIXIE) 2</t>
  </si>
  <si>
    <t>AN/SLQ-25C, Torpedo Countermeasures Transmitting Set (NIXIE)</t>
  </si>
  <si>
    <t>LHA Replacement - P-8a Electronics - AN/USQ-T46(V), Battle Force Tactical Training (BFTT) 1</t>
  </si>
  <si>
    <t>P-8a &gt; LHA Replacement &gt; Electronics &gt; AN/USQ-T46(V), Battle Force Tactical Training (BFTT) 1</t>
  </si>
  <si>
    <t>AN/USQ-T46(V), Battle Force Tactical Training (BFTT)</t>
  </si>
  <si>
    <t>LHA Replacement - P-8a Electronics - Announcing Systems AN/SIA-127H 1</t>
  </si>
  <si>
    <t>P-8a &gt; LHA Replacement &gt; Electronics &gt; Announcing Systems AN/SIA-127H 1</t>
  </si>
  <si>
    <t>Announcing Systems AN/SIA-127H</t>
  </si>
  <si>
    <t>LHA Replacement - P-8a Electronics - SATCC 1</t>
  </si>
  <si>
    <t>P-8a &gt; LHA Replacement &gt; Electronics &gt; SATCC 1</t>
  </si>
  <si>
    <t>SATCC</t>
  </si>
  <si>
    <t>LHA Replacement - P-8a Electronics - Amphibious Assault Direction System (AADS) 1</t>
  </si>
  <si>
    <t>P-8a &gt; LHA Replacement &gt; Electronics &gt; Amphibious Assault Direction System (AADS) 1</t>
  </si>
  <si>
    <t>LHA Replacement - P-8a Electronics - Digital Photo Lab 1</t>
  </si>
  <si>
    <t>P-8a &gt; LHA Replacement &gt; Electronics &gt; Digital Photo Lab 1</t>
  </si>
  <si>
    <t>Digital Photo Lab</t>
  </si>
  <si>
    <t>LHA Replacement - P-8a Electronics - MK 53 NULKA Decoy Launching System (DLS) Mod 3 1</t>
  </si>
  <si>
    <t>P-8a &gt; LHA Replacement &gt; Electronics &gt; MK 53 NULKA Decoy Launching System (DLS) Mod 3 1</t>
  </si>
  <si>
    <t>MK 53 NULKA Decoy Launching System (DLS) Mod 3</t>
  </si>
  <si>
    <t>LHA Replacement - P-8a Electronics - Print Shop 1</t>
  </si>
  <si>
    <t>P-8a &gt; LHA Replacement &gt; Electronics &gt; Print Shop 1</t>
  </si>
  <si>
    <t>Print Shop</t>
  </si>
  <si>
    <t>LHA Replacement - P-8a Electronics - 30 TV 1</t>
  </si>
  <si>
    <t>P-8a &gt; LHA Replacement &gt; Electronics &gt; 30 TV 1</t>
  </si>
  <si>
    <t>30 TV</t>
  </si>
  <si>
    <t>LHA Replacement - P-8a Electronics - Next Generation Navigational Radar 1</t>
  </si>
  <si>
    <t>P-8a &gt; LHA Replacement &gt; Electronics &gt; Next Generation Navigational Radar 1</t>
  </si>
  <si>
    <t>Next Generation Navigational Radar</t>
  </si>
  <si>
    <t>LHA Replacement - P-8a Electronics - Miscellaneous Electronics</t>
  </si>
  <si>
    <t>P-8a &gt; LHA Replacement &gt; Electronics &gt; Miscellaneous Electronics</t>
  </si>
  <si>
    <t>LHA Replacement - P-8a Hull, Mechanical, and Electrical - Equipment &amp; Engineering</t>
  </si>
  <si>
    <t>P-8a &gt; LHA Replacement &gt; Hull, Mechanical, and Electrical &gt; Equipment &amp; Engineering</t>
  </si>
  <si>
    <t>330</t>
  </si>
  <si>
    <t>Equipment &amp; Engineering</t>
  </si>
  <si>
    <t>LHA Replacement - P-8a Hull, Mechanical, and Electrical - SUPSHIP Material/Services</t>
  </si>
  <si>
    <t>P-8a &gt; LHA Replacement &gt; Hull, Mechanical, and Electrical &gt; SUPSHIP Material/Services</t>
  </si>
  <si>
    <t>SUPSHIP Material/Services</t>
  </si>
  <si>
    <t>LHA Replacement - P-8a Hull, Mechanical, and Electrical - Test &amp; Instrumentation</t>
  </si>
  <si>
    <t>P-8a &gt; LHA Replacement &gt; Hull, Mechanical, and Electrical &gt; Test &amp; Instrumentation</t>
  </si>
  <si>
    <t>Test &amp; Instrumentation</t>
  </si>
  <si>
    <t>LHA Replacement - P-8a Ordnance - Enterprise Air Surveillance Radar (EASR) 1</t>
  </si>
  <si>
    <t>P-8a &gt; LHA Replacement &gt; Ordnance &gt; Enterprise Air Surveillance Radar (EASR) 1</t>
  </si>
  <si>
    <t>331</t>
  </si>
  <si>
    <t>LHA Replacement - P-8a Ordnance - NATO Sea Sparrow Missile System (NSSMS) MK 57 Mod 14 1</t>
  </si>
  <si>
    <t>P-8a &gt; LHA Replacement &gt; Ordnance &gt; NATO Sea Sparrow Missile System (NSSMS) MK 57 Mod 14 1</t>
  </si>
  <si>
    <t>NATO Sea Sparrow Missile System (NSSMS) MK 57 Mod 14</t>
  </si>
  <si>
    <t>LHA Replacement - P-8a Ordnance - MK31 Mod 3, Rolling Airframe Missile (RAM) (Tech Refresh) 2</t>
  </si>
  <si>
    <t>P-8a &gt; LHA Replacement &gt; Ordnance &gt; MK31 Mod 3, Rolling Airframe Missile (RAM) (Tech Refresh) 2</t>
  </si>
  <si>
    <t>MK31 Mod 3, Rolling Airframe Missile (RAM) (Tech Refresh)</t>
  </si>
  <si>
    <t>LHA Replacement - P-8a Ordnance - PHALANX Block 1B MK15 Mod 21 &amp; 22, Close-in Weapon System (CIWS) 1</t>
  </si>
  <si>
    <t>P-8a &gt; LHA Replacement &gt; Ordnance &gt; PHALANX Block 1B MK15 Mod 21 &amp; 22, Close-in Weapon System (CIWS) 1</t>
  </si>
  <si>
    <t>PHALANX Block 1B MK15 Mod 21 &amp; 22, Close-in Weapon System (CIWS)</t>
  </si>
  <si>
    <t>LHA Replacement - P-8a Ordnance - Vertical/Stationary Take-Off Landing Optical Landing System (VSTOL OLS) 1</t>
  </si>
  <si>
    <t>P-8a &gt; LHA Replacement &gt; Ordnance &gt; Vertical/Stationary Take-Off Landing Optical Landing System (VSTOL OLS) 1</t>
  </si>
  <si>
    <t>Vertical/Stationary Take-Off Landing Optical Landing System (VSTOL OLS)</t>
  </si>
  <si>
    <t>LHA Replacement - P-8a Ordnance - AN/SPQ-9B Radar Set 1</t>
  </si>
  <si>
    <t>P-8a &gt; LHA Replacement &gt; Ordnance &gt; AN/SPQ-9B Radar Set 1</t>
  </si>
  <si>
    <t>LHA Replacement - P-8a Ordnance - MK 38 Mod 2 Stabilized Gun Stand Assembly 3</t>
  </si>
  <si>
    <t>P-8a &gt; LHA Replacement &gt; Ordnance &gt; MK 38 Mod 2 Stabilized Gun Stand Assembly 3</t>
  </si>
  <si>
    <t>MK 38 Mod 2 Stabilized Gun Stand Assembly</t>
  </si>
  <si>
    <t>LHA Replacement - P-8a Ordnance - AN/SPQ-14 4</t>
  </si>
  <si>
    <t>P-8a &gt; LHA Replacement &gt; Ordnance &gt; AN/SPQ-14 4</t>
  </si>
  <si>
    <t>AN/SPQ-14</t>
  </si>
  <si>
    <t>LHA Replacement - P-8a Ordnance - MORIAH 1</t>
  </si>
  <si>
    <t>P-8a &gt; LHA Replacement &gt; Ordnance &gt; MORIAH 1</t>
  </si>
  <si>
    <t>MORIAH</t>
  </si>
  <si>
    <t>LHA Replacement - P-8a Ordnance - Aviation Support</t>
  </si>
  <si>
    <t>P-8a &gt; LHA Replacement &gt; Ordnance &gt; Aviation Support</t>
  </si>
  <si>
    <t>Aviation Support</t>
  </si>
  <si>
    <t>LHA Replacement - P-8a Ordnance - Miscellaneous Ordnance</t>
  </si>
  <si>
    <t>P-8a &gt; LHA Replacement &gt; Ordnance &gt; Miscellaneous Ordnance</t>
  </si>
  <si>
    <t>Miscellaneous Ordnance</t>
  </si>
  <si>
    <t>LHA Replacement - P-35 Command, Control, Communication, Computer Intelligence Surveillance and Reconnaissance (C4ISR) PARM Code: PEO C4I - Major Hardware                                                                                                                                               1</t>
  </si>
  <si>
    <t>P-35 &gt; LHA Replacement &gt; Command, Control, Communication, Computer Intelligence Surveillance and Reconnaissance (C4ISR) PARM Code: PEO C4I &gt; Major Hardware                                                                                                                                               1</t>
  </si>
  <si>
    <t>332</t>
  </si>
  <si>
    <t>LHA Replacement - P-35 Command, Control, Communication, Computer Intelligence Surveillance and Reconnaissance (C4ISR) PARM Code: PEO C4I - Technical Data and Documentation</t>
  </si>
  <si>
    <t>P-35 &gt; LHA Replacement &gt; Command, Control, Communication, Computer Intelligence Surveillance and Reconnaissance (C4ISR) PARM Code: PEO C4I &gt; Technical Data and Documentation</t>
  </si>
  <si>
    <t>LHA Replacement - P-35 Command, Control, Communication, Computer Intelligence Surveillance and Reconnaissance (C4ISR) PARM Code: PEO C4I - Spares</t>
  </si>
  <si>
    <t>P-35 &gt; LHA Replacement &gt; Command, Control, Communication, Computer Intelligence Surveillance and Reconnaissance (C4ISR) PARM Code: PEO C4I &gt; Spares</t>
  </si>
  <si>
    <t>LHA Replacement - P-35 Command, Control, Communication, Computer Intelligence Surveillance and Reconnaissance (C4ISR) PARM Code: PEO C4I - System Engineering</t>
  </si>
  <si>
    <t>P-35 &gt; LHA Replacement &gt; Command, Control, Communication, Computer Intelligence Surveillance and Reconnaissance (C4ISR) PARM Code: PEO C4I &gt; System Engineering</t>
  </si>
  <si>
    <t>LHA Replacement - P-35 Command, Control, Communication, Computer Intelligence Surveillance and Reconnaissance (C4ISR) PARM Code: PEO C4I - Technical Engineering Services</t>
  </si>
  <si>
    <t>P-35 &gt; LHA Replacement &gt; Command, Control, Communication, Computer Intelligence Surveillance and Reconnaissance (C4ISR) PARM Code: PEO C4I &gt; Technical Engineering Services</t>
  </si>
  <si>
    <t>LHA Replacement - P-35 Command, Control, Communication, Computer Intelligence Surveillance and Reconnaissance (C4ISR) PARM Code: PEO C4I - Other Costs</t>
  </si>
  <si>
    <t>P-35 &gt; LHA Replacement &gt; Command, Control, Communication, Computer Intelligence Surveillance and Reconnaissance (C4ISR) PARM Code: PEO C4I &gt; Other Costs</t>
  </si>
  <si>
    <t>LHA Replacement - P-35 MK 2 MOD 4E Ship Self Defense System (SSDS) - Major Hardware                                                                                                                                                 1</t>
  </si>
  <si>
    <t>P-35 &gt; LHA Replacement &gt; MK 2 MOD 4E Ship Self Defense System (SSDS) &gt; Major Hardware                                                                                                                                                 1</t>
  </si>
  <si>
    <t>333</t>
  </si>
  <si>
    <t>LHA Replacement - P-35 MK 2 MOD 4E Ship Self Defense System (SSDS) - Technical Data and Documentation</t>
  </si>
  <si>
    <t>P-35 &gt; LHA Replacement &gt; MK 2 MOD 4E Ship Self Defense System (SSDS) &gt; Technical Data and Documentation</t>
  </si>
  <si>
    <t>LHA Replacement - P-35 MK 2 MOD 4E Ship Self Defense System (SSDS) - Spares</t>
  </si>
  <si>
    <t>P-35 &gt; LHA Replacement &gt; MK 2 MOD 4E Ship Self Defense System (SSDS) &gt; Spares</t>
  </si>
  <si>
    <t>LHA Replacement - P-35 MK 2 MOD 4E Ship Self Defense System (SSDS) - System Engineering</t>
  </si>
  <si>
    <t>P-35 &gt; LHA Replacement &gt; MK 2 MOD 4E Ship Self Defense System (SSDS) &gt; System Engineering</t>
  </si>
  <si>
    <t>LHA Replacement - P-35 MK 2 MOD 4E Ship Self Defense System (SSDS) - Technical Engineering Services</t>
  </si>
  <si>
    <t>P-35 &gt; LHA Replacement &gt; MK 2 MOD 4E Ship Self Defense System (SSDS) &gt; Technical Engineering Services</t>
  </si>
  <si>
    <t>LHA Replacement - P-35 MK 2 MOD 4E Ship Self Defense System (SSDS) - Other Costs</t>
  </si>
  <si>
    <t>P-35 &gt; LHA Replacement &gt; MK 2 MOD 4E Ship Self Defense System (SSDS) &gt; Other Costs</t>
  </si>
  <si>
    <t>LHA Replacement - P-35 Integrated Voice Network (IVN) - Major Hardware                                                                                                                                                  1</t>
  </si>
  <si>
    <t>P-35 &gt; LHA Replacement &gt; Integrated Voice Network (IVN) &gt; Major Hardware                                                                                                                                                  1</t>
  </si>
  <si>
    <t>334</t>
  </si>
  <si>
    <t>LHA Replacement - P-35 Integrated Voice Network (IVN) - Technical Data and Documentation</t>
  </si>
  <si>
    <t>P-35 &gt; LHA Replacement &gt; Integrated Voice Network (IVN) &gt; Technical Data and Documentation</t>
  </si>
  <si>
    <t>LHA Replacement - P-35 Integrated Voice Network (IVN) - System Engineering</t>
  </si>
  <si>
    <t>P-35 &gt; LHA Replacement &gt; Integrated Voice Network (IVN) &gt; System Engineering</t>
  </si>
  <si>
    <t>LHA Replacement - P-35 Integrated Voice Network (IVN) - Technical Engineering Services</t>
  </si>
  <si>
    <t>P-35 &gt; LHA Replacement &gt; Integrated Voice Network (IVN) &gt; Technical Engineering Services</t>
  </si>
  <si>
    <t>LHA Replacement - P-35 Integrated Voice Network (IVN) - Other Costs</t>
  </si>
  <si>
    <t>P-35 &gt; LHA Replacement &gt; Integrated Voice Network (IVN) &gt; Other Costs</t>
  </si>
  <si>
    <t>LHA Replacement - P-35 AN/SLQ-32(V), Surface Warfare Improvement Program (SEWIP) - Major Hardware                                                                                                                                                   1</t>
  </si>
  <si>
    <t>P-35 &gt; LHA Replacement &gt; AN/SLQ-32(V), Surface Warfare Improvement Program (SEWIP) &gt; Major Hardware                                                                                                                                                   1</t>
  </si>
  <si>
    <t>335</t>
  </si>
  <si>
    <t>LHA Replacement - P-35 AN/SLQ-32(V), Surface Warfare Improvement Program (SEWIP) - Technical Data and Documentation</t>
  </si>
  <si>
    <t>P-35 &gt; LHA Replacement &gt; AN/SLQ-32(V), Surface Warfare Improvement Program (SEWIP) &gt; Technical Data and Documentation</t>
  </si>
  <si>
    <t>LHA Replacement - P-35 AN/SLQ-32(V), Surface Warfare Improvement Program (SEWIP) - Spares</t>
  </si>
  <si>
    <t>P-35 &gt; LHA Replacement &gt; AN/SLQ-32(V), Surface Warfare Improvement Program (SEWIP) &gt; Spares</t>
  </si>
  <si>
    <t>AN/SLQ-32(V), Surface Warfare Improvement Program (SEWIP) [LHA 9]</t>
  </si>
  <si>
    <t>LHA Replacement - P-35 AN/SLQ-32(V), Surface Warfare Improvement Program (SEWIP) - System Engineering</t>
  </si>
  <si>
    <t>P-35 &gt; LHA Replacement &gt; AN/SLQ-32(V), Surface Warfare Improvement Program (SEWIP) &gt; System Engineering</t>
  </si>
  <si>
    <t>LHA Replacement - P-35 AN/SLQ-32(V), Surface Warfare Improvement Program (SEWIP) - Technical Engineering Services</t>
  </si>
  <si>
    <t>P-35 &gt; LHA Replacement &gt; AN/SLQ-32(V), Surface Warfare Improvement Program (SEWIP) &gt; Technical Engineering Services</t>
  </si>
  <si>
    <t>LHA Replacement - P-35 AN/SLQ-32(V), Surface Warfare Improvement Program (SEWIP) - Other Costs</t>
  </si>
  <si>
    <t>P-35 &gt; LHA Replacement &gt; AN/SLQ-32(V), Surface Warfare Improvement Program (SEWIP) &gt; Other Costs</t>
  </si>
  <si>
    <t>LHA Replacement - P-35 AN/SPN-50 (V)1 - Major Hardware                                                                                                                                                        1</t>
  </si>
  <si>
    <t>P-35 &gt; LHA Replacement &gt; AN/SPN-50 (V)1 &gt; Major Hardware                                                                                                                                                        1</t>
  </si>
  <si>
    <t>336</t>
  </si>
  <si>
    <t>LHA Replacement - P-35 AN/SPN-50 (V)1 - Technical Data and Documentation</t>
  </si>
  <si>
    <t>P-35 &gt; LHA Replacement &gt; AN/SPN-50 (V)1 &gt; Technical Data and Documentation</t>
  </si>
  <si>
    <t>LHA Replacement - P-35 AN/SPN-50 (V)1 - Spares</t>
  </si>
  <si>
    <t>P-35 &gt; LHA Replacement &gt; AN/SPN-50 (V)1 &gt; Spares</t>
  </si>
  <si>
    <t>LHA Replacement - P-35 AN/SPN-50 (V)1 - System Engineering</t>
  </si>
  <si>
    <t>P-35 &gt; LHA Replacement &gt; AN/SPN-50 (V)1 &gt; System Engineering</t>
  </si>
  <si>
    <t>LHA Replacement - P-35 AN/SPN-50 (V)1 - Technical Engineering Services</t>
  </si>
  <si>
    <t>P-35 &gt; LHA Replacement &gt; AN/SPN-50 (V)1 &gt; Technical Engineering Services</t>
  </si>
  <si>
    <t>LHA Replacement - P-35 AN/SPN-50 (V)1 - Other Costs</t>
  </si>
  <si>
    <t>P-35 &gt; LHA Replacement &gt; AN/SPN-50 (V)1 &gt; Other Costs</t>
  </si>
  <si>
    <t>LHA Replacement - P-35 Joint Precision Approach and Landing System (JPALS) (AN/USN-3(V)1, SSLS) - Major Hardware                                                                                                                                                   1</t>
  </si>
  <si>
    <t>P-35 &gt; LHA Replacement &gt; Joint Precision Approach and Landing System (JPALS) (AN/USN-3(V)1, SSLS) &gt; Major Hardware                                                                                                                                                   1</t>
  </si>
  <si>
    <t>337</t>
  </si>
  <si>
    <t>LHA Replacement - P-35 Joint Precision Approach and Landing System (JPALS) (AN/USN-3(V)1, SSLS) - Spares</t>
  </si>
  <si>
    <t>P-35 &gt; LHA Replacement &gt; Joint Precision Approach and Landing System (JPALS) (AN/USN-3(V)1, SSLS) &gt; Spares</t>
  </si>
  <si>
    <t>Joint Precision Approach and Landing System (JPALS) (AN/USN-3(V)1, SSLS) [LHA 9]</t>
  </si>
  <si>
    <t>LHA Replacement - P-35 Joint Precision Approach and Landing System (JPALS) (AN/USN-3(V)1, SSLS) - System Engineering</t>
  </si>
  <si>
    <t>P-35 &gt; LHA Replacement &gt; Joint Precision Approach and Landing System (JPALS) (AN/USN-3(V)1, SSLS) &gt; System Engineering</t>
  </si>
  <si>
    <t>LHA Replacement - P-35 Joint Precision Approach and Landing System (JPALS) (AN/USN-3(V)1, SSLS) - Technical Engineering Services</t>
  </si>
  <si>
    <t>P-35 &gt; LHA Replacement &gt; Joint Precision Approach and Landing System (JPALS) (AN/USN-3(V)1, SSLS) &gt; Technical Engineering Services</t>
  </si>
  <si>
    <t>LHA Replacement - P-35 Joint Precision Approach and Landing System (JPALS) (AN/USN-3(V)1, SSLS) - Other Costs</t>
  </si>
  <si>
    <t>P-35 &gt; LHA Replacement &gt; Joint Precision Approach and Landing System (JPALS) (AN/USN-3(V)1, SSLS) &gt; Other Costs</t>
  </si>
  <si>
    <t>LHA Replacement - P-35 Hierarchical Yet Dynamically Reprogrammable Architecture (HYDRA) AN/SRC-55 - Major Hardware                                                                                                                                                1</t>
  </si>
  <si>
    <t>P-35 &gt; LHA Replacement &gt; Hierarchical Yet Dynamically Reprogrammable Architecture (HYDRA) AN/SRC-55 &gt; Major Hardware                                                                                                                                                1</t>
  </si>
  <si>
    <t>338</t>
  </si>
  <si>
    <t>LHA Replacement - P-35 Hierarchical Yet Dynamically Reprogrammable Architecture (HYDRA) AN/SRC-55 - Technical Data and Documentation</t>
  </si>
  <si>
    <t>P-35 &gt; LHA Replacement &gt; Hierarchical Yet Dynamically Reprogrammable Architecture (HYDRA) AN/SRC-55 &gt; Technical Data and Documentation</t>
  </si>
  <si>
    <t>LHA Replacement - P-35 Hierarchical Yet Dynamically Reprogrammable Architecture (HYDRA) AN/SRC-55 - Spares</t>
  </si>
  <si>
    <t>P-35 &gt; LHA Replacement &gt; Hierarchical Yet Dynamically Reprogrammable Architecture (HYDRA) AN/SRC-55 &gt; Spares</t>
  </si>
  <si>
    <t>Hierarchical Yet Dynamically Reprogrammable Architecture (HYDRA) AN/SRC-55 [LHA 9]</t>
  </si>
  <si>
    <t>LHA Replacement - P-35 Hierarchical Yet Dynamically Reprogrammable Architecture (HYDRA) AN/SRC-55 - System Engineering</t>
  </si>
  <si>
    <t>P-35 &gt; LHA Replacement &gt; Hierarchical Yet Dynamically Reprogrammable Architecture (HYDRA) AN/SRC-55 &gt; System Engineering</t>
  </si>
  <si>
    <t>LHA Replacement - P-35 Hierarchical Yet Dynamically Reprogrammable Architecture (HYDRA) AN/SRC-55 - Technical Engineering Services</t>
  </si>
  <si>
    <t>P-35 &gt; LHA Replacement &gt; Hierarchical Yet Dynamically Reprogrammable Architecture (HYDRA) AN/SRC-55 &gt; Technical Engineering Services</t>
  </si>
  <si>
    <t>LHA Replacement - P-35 Hierarchical Yet Dynamically Reprogrammable Architecture (HYDRA) AN/SRC-55 - Other Costs</t>
  </si>
  <si>
    <t>P-35 &gt; LHA Replacement &gt; Hierarchical Yet Dynamically Reprogrammable Architecture (HYDRA) AN/SRC-55 &gt; Other Costs</t>
  </si>
  <si>
    <t>LHA Replacement - P-35 AN/UPX-29(V), Identification Friend or Foe (IFF) MK12 - Major Hardware                                                                                                                                                        1</t>
  </si>
  <si>
    <t>P-35 &gt; LHA Replacement &gt; AN/UPX-29(V), Identification Friend or Foe (IFF) MK12 &gt; Major Hardware                                                                                                                                                        1</t>
  </si>
  <si>
    <t>339</t>
  </si>
  <si>
    <t>LHA Replacement - P-35 AN/UPX-29(V), Identification Friend or Foe (IFF) MK12 - Spares</t>
  </si>
  <si>
    <t>P-35 &gt; LHA Replacement &gt; AN/UPX-29(V), Identification Friend or Foe (IFF) MK12 &gt; Spares</t>
  </si>
  <si>
    <t>AN/UPX-29(V), Identification Friend or Foe (IFF) MK12 [LHA 9]</t>
  </si>
  <si>
    <t>LHA Replacement - P-35 AN/UPX-29(V), Identification Friend or Foe (IFF) MK12 - System Engineering</t>
  </si>
  <si>
    <t>P-35 &gt; LHA Replacement &gt; AN/UPX-29(V), Identification Friend or Foe (IFF) MK12 &gt; System Engineering</t>
  </si>
  <si>
    <t>LHA Replacement - P-35 AN/UPX-29(V), Identification Friend or Foe (IFF) MK12 - Technical Engineering Services</t>
  </si>
  <si>
    <t>P-35 &gt; LHA Replacement &gt; AN/UPX-29(V), Identification Friend or Foe (IFF) MK12 &gt; Technical Engineering Services</t>
  </si>
  <si>
    <t>LHA Replacement - P-35 AN/UPX-29(V), Identification Friend or Foe (IFF) MK12 - Other Costs</t>
  </si>
  <si>
    <t>P-35 &gt; LHA Replacement &gt; AN/UPX-29(V), Identification Friend or Foe (IFF) MK12 &gt; Other Costs</t>
  </si>
  <si>
    <t>LHA Replacement - P-35 Ring Laser Gyro Navigator (RLGN) AN/WSN-7 - Major Hardware                                                                                                                                            1</t>
  </si>
  <si>
    <t>P-35 &gt; LHA Replacement &gt; Ring Laser Gyro Navigator (RLGN) AN/WSN-7 &gt; Major Hardware                                                                                                                                            1</t>
  </si>
  <si>
    <t>340</t>
  </si>
  <si>
    <t>LHA Replacement - P-35 Ring Laser Gyro Navigator (RLGN) AN/WSN-7 - System Engineering</t>
  </si>
  <si>
    <t>P-35 &gt; LHA Replacement &gt; Ring Laser Gyro Navigator (RLGN) AN/WSN-7 &gt; System Engineering</t>
  </si>
  <si>
    <t>LHA Replacement - P-35 Ring Laser Gyro Navigator (RLGN) AN/WSN-7 - Technical Engineering Services</t>
  </si>
  <si>
    <t>P-35 &gt; LHA Replacement &gt; Ring Laser Gyro Navigator (RLGN) AN/WSN-7 &gt; Technical Engineering Services</t>
  </si>
  <si>
    <t>LHA Replacement - P-35 Ring Laser Gyro Navigator (RLGN) AN/WSN-7 - Other Costs</t>
  </si>
  <si>
    <t>P-35 &gt; LHA Replacement &gt; Ring Laser Gyro Navigator (RLGN) AN/WSN-7 &gt; Other Costs</t>
  </si>
  <si>
    <t>LHA Replacement - P-35 Amphibious Air Traffic Control Direct Altitude and Identity Readout (AATC-DAIR) - Major Hardware                                                                                                                                                     1</t>
  </si>
  <si>
    <t>P-35 &gt; LHA Replacement &gt; Amphibious Air Traffic Control Direct Altitude and Identity Readout (AATC-DAIR) &gt; Major Hardware                                                                                                                                                     1</t>
  </si>
  <si>
    <t>341</t>
  </si>
  <si>
    <t>LHA Replacement - P-35 Amphibious Air Traffic Control Direct Altitude and Identity Readout (AATC-DAIR) - Spares</t>
  </si>
  <si>
    <t>P-35 &gt; LHA Replacement &gt; Amphibious Air Traffic Control Direct Altitude and Identity Readout (AATC-DAIR) &gt; Spares</t>
  </si>
  <si>
    <t>Amphibious Air Traffic Control Direct Altitude and Identity Readout (AATC-DAIR) [LHA 9]</t>
  </si>
  <si>
    <t>LHA Replacement - P-35 Amphibious Air Traffic Control Direct Altitude and Identity Readout (AATC-DAIR) - System Engineering</t>
  </si>
  <si>
    <t>P-35 &gt; LHA Replacement &gt; Amphibious Air Traffic Control Direct Altitude and Identity Readout (AATC-DAIR) &gt; System Engineering</t>
  </si>
  <si>
    <t>LHA Replacement - P-35 Amphibious Air Traffic Control Direct Altitude and Identity Readout (AATC-DAIR) - Technical Engineering Services</t>
  </si>
  <si>
    <t>P-35 &gt; LHA Replacement &gt; Amphibious Air Traffic Control Direct Altitude and Identity Readout (AATC-DAIR) &gt; Technical Engineering Services</t>
  </si>
  <si>
    <t>LHA Replacement - P-35 Amphibious Air Traffic Control Direct Altitude and Identity Readout (AATC-DAIR) - Other Costs</t>
  </si>
  <si>
    <t>P-35 &gt; LHA Replacement &gt; Amphibious Air Traffic Control Direct Altitude and Identity Readout (AATC-DAIR) &gt; Other Costs</t>
  </si>
  <si>
    <t>LHA Replacement - P-35 Aircraft Control Approach Central AN/SPN-35C - Major Hardware                                                                                                                                                     1</t>
  </si>
  <si>
    <t>P-35 &gt; LHA Replacement &gt; Aircraft Control Approach Central AN/SPN-35C &gt; Major Hardware                                                                                                                                                     1</t>
  </si>
  <si>
    <t>342</t>
  </si>
  <si>
    <t>LHA Replacement - P-35 Aircraft Control Approach Central AN/SPN-35C - System Engineering</t>
  </si>
  <si>
    <t>P-35 &gt; LHA Replacement &gt; Aircraft Control Approach Central AN/SPN-35C &gt; System Engineering</t>
  </si>
  <si>
    <t>LHA Replacement - P-35 Aircraft Control Approach Central AN/SPN-35C - Technical Engineering Services</t>
  </si>
  <si>
    <t>P-35 &gt; LHA Replacement &gt; Aircraft Control Approach Central AN/SPN-35C &gt; Technical Engineering Services</t>
  </si>
  <si>
    <t>LHA Replacement - P-35 Aircraft Control Approach Central AN/SPN-35C - Other Costs</t>
  </si>
  <si>
    <t>P-35 &gt; LHA Replacement &gt; Aircraft Control Approach Central AN/SPN-35C &gt; Other Costs</t>
  </si>
  <si>
    <t>LHA Replacement - P-35 Aircraft Approach Control Transmitting Set (AACTS) AN/SPN-41B - Major Hardware                                                                                                                                                    1</t>
  </si>
  <si>
    <t>P-35 &gt; LHA Replacement &gt; Aircraft Approach Control Transmitting Set (AACTS) AN/SPN-41B &gt; Major Hardware                                                                                                                                                    1</t>
  </si>
  <si>
    <t>343</t>
  </si>
  <si>
    <t>LHA Replacement - P-35 Aircraft Approach Control Transmitting Set (AACTS) AN/SPN-41B - System Engineering</t>
  </si>
  <si>
    <t>P-35 &gt; LHA Replacement &gt; Aircraft Approach Control Transmitting Set (AACTS) AN/SPN-41B &gt; System Engineering</t>
  </si>
  <si>
    <t>LHA Replacement - P-35 Aircraft Approach Control Transmitting Set (AACTS) AN/SPN-41B - Technical Engineering Services</t>
  </si>
  <si>
    <t>P-35 &gt; LHA Replacement &gt; Aircraft Approach Control Transmitting Set (AACTS) AN/SPN-41B &gt; Technical Engineering Services</t>
  </si>
  <si>
    <t>LHA Replacement - P-35 Aircraft Approach Control Transmitting Set (AACTS) AN/SPN-41B - Other Costs</t>
  </si>
  <si>
    <t>P-35 &gt; LHA Replacement &gt; Aircraft Approach Control Transmitting Set (AACTS) AN/SPN-41B &gt; Other Costs</t>
  </si>
  <si>
    <t>Aircraft Approach Control Transmitting Set (AACTS) AN/SPN-41B [LHA 9]</t>
  </si>
  <si>
    <t>LHA Replacement - P-35 Enterprise Air Surveillance Radar (EASR) - Major Hardware                                                                                                                                                     1</t>
  </si>
  <si>
    <t>P-35 &gt; LHA Replacement &gt; Enterprise Air Surveillance Radar (EASR) &gt; Major Hardware                                                                                                                                                     1</t>
  </si>
  <si>
    <t>344</t>
  </si>
  <si>
    <t>LHA Replacement - P-35 Enterprise Air Surveillance Radar (EASR) - Technical Data and Documentation</t>
  </si>
  <si>
    <t>P-35 &gt; LHA Replacement &gt; Enterprise Air Surveillance Radar (EASR) &gt; Technical Data and Documentation</t>
  </si>
  <si>
    <t>LHA Replacement - P-35 Enterprise Air Surveillance Radar (EASR) - Spares</t>
  </si>
  <si>
    <t>P-35 &gt; LHA Replacement &gt; Enterprise Air Surveillance Radar (EASR) &gt; Spares</t>
  </si>
  <si>
    <t>LHA Replacement - P-35 Enterprise Air Surveillance Radar (EASR) - System Engineering</t>
  </si>
  <si>
    <t>P-35 &gt; LHA Replacement &gt; Enterprise Air Surveillance Radar (EASR) &gt; System Engineering</t>
  </si>
  <si>
    <t>LHA Replacement - P-35 Enterprise Air Surveillance Radar (EASR) - Technical Engineering Services</t>
  </si>
  <si>
    <t>P-35 &gt; LHA Replacement &gt; Enterprise Air Surveillance Radar (EASR) &gt; Technical Engineering Services</t>
  </si>
  <si>
    <t>LHA Replacement - P-35 Enterprise Air Surveillance Radar (EASR) - Other Costs</t>
  </si>
  <si>
    <t>P-35 &gt; LHA Replacement &gt; Enterprise Air Surveillance Radar (EASR) &gt; Other Costs</t>
  </si>
  <si>
    <t>LHA Replacement - P-35 NATO Sea Sparrow Missile System (NSSMS) MK 57 Mod 14 - Major Hardware                                                                                                                                                     1</t>
  </si>
  <si>
    <t>P-35 &gt; LHA Replacement &gt; NATO Sea Sparrow Missile System (NSSMS) MK 57 Mod 14 &gt; Major Hardware                                                                                                                                                     1</t>
  </si>
  <si>
    <t>345</t>
  </si>
  <si>
    <t>LHA Replacement - P-35 NATO Sea Sparrow Missile System (NSSMS) MK 57 Mod 14 - Spares</t>
  </si>
  <si>
    <t>P-35 &gt; LHA Replacement &gt; NATO Sea Sparrow Missile System (NSSMS) MK 57 Mod 14 &gt; Spares</t>
  </si>
  <si>
    <t>NATO Sea Sparrow Missile System (NSSMS) MK 57 Mod 14 [LHA 9]</t>
  </si>
  <si>
    <t>LHA Replacement - P-35 NATO Sea Sparrow Missile System (NSSMS) MK 57 Mod 14 - System Engineering</t>
  </si>
  <si>
    <t>P-35 &gt; LHA Replacement &gt; NATO Sea Sparrow Missile System (NSSMS) MK 57 Mod 14 &gt; System Engineering</t>
  </si>
  <si>
    <t>LHA Replacement - P-35 NATO Sea Sparrow Missile System (NSSMS) MK 57 Mod 14 - Technical Engineering Services</t>
  </si>
  <si>
    <t>P-35 &gt; LHA Replacement &gt; NATO Sea Sparrow Missile System (NSSMS) MK 57 Mod 14 &gt; Technical Engineering Services</t>
  </si>
  <si>
    <t>LHA Replacement - P-35 NATO Sea Sparrow Missile System (NSSMS) MK 57 Mod 14 - Other Costs</t>
  </si>
  <si>
    <t>P-35 &gt; LHA Replacement &gt; NATO Sea Sparrow Missile System (NSSMS) MK 57 Mod 14 &gt; Other Costs</t>
  </si>
  <si>
    <t>LHA Replacement - P-35 MK31 Mod 3, Rolling Airframe Missile (RAM) (Tech Refresh) - Major Hardware                                                                                                                                                   2</t>
  </si>
  <si>
    <t>P-35 &gt; LHA Replacement &gt; MK31 Mod 3, Rolling Airframe Missile (RAM) (Tech Refresh) &gt; Major Hardware                                                                                                                                                   2</t>
  </si>
  <si>
    <t>346</t>
  </si>
  <si>
    <t>LHA Replacement - P-35 MK31 Mod 3, Rolling Airframe Missile (RAM) (Tech Refresh) - Technical Data and Documentation</t>
  </si>
  <si>
    <t>P-35 &gt; LHA Replacement &gt; MK31 Mod 3, Rolling Airframe Missile (RAM) (Tech Refresh) &gt; Technical Data and Documentation</t>
  </si>
  <si>
    <t>LHA Replacement - P-35 MK31 Mod 3, Rolling Airframe Missile (RAM) (Tech Refresh) - Spares</t>
  </si>
  <si>
    <t>P-35 &gt; LHA Replacement &gt; MK31 Mod 3, Rolling Airframe Missile (RAM) (Tech Refresh) &gt; Spares</t>
  </si>
  <si>
    <t>MK31 Mod 3, Rolling Airframe Missile (RAM) (Tech Refresh) [LHA 9]</t>
  </si>
  <si>
    <t>LHA Replacement - P-35 MK31 Mod 3, Rolling Airframe Missile (RAM) (Tech Refresh) - System Engineering</t>
  </si>
  <si>
    <t>P-35 &gt; LHA Replacement &gt; MK31 Mod 3, Rolling Airframe Missile (RAM) (Tech Refresh) &gt; System Engineering</t>
  </si>
  <si>
    <t>LHA Replacement - P-35 MK31 Mod 3, Rolling Airframe Missile (RAM) (Tech Refresh) - Technical Engineering Services</t>
  </si>
  <si>
    <t>P-35 &gt; LHA Replacement &gt; MK31 Mod 3, Rolling Airframe Missile (RAM) (Tech Refresh) &gt; Technical Engineering Services</t>
  </si>
  <si>
    <t>LHA Replacement - P-35 MK31 Mod 3, Rolling Airframe Missile (RAM) (Tech Refresh) - Other Costs</t>
  </si>
  <si>
    <t>P-35 &gt; LHA Replacement &gt; MK31 Mod 3, Rolling Airframe Missile (RAM) (Tech Refresh) &gt; Other Costs</t>
  </si>
  <si>
    <t>LHA Replacement - P-35 PHALANX Block 1B MK15 Mod 21 &amp; 22, Close-in Weapon System (CIWS) - Major Hardware                                                                                                                                                         1</t>
  </si>
  <si>
    <t>P-35 &gt; LHA Replacement &gt; PHALANX Block 1B MK15 Mod 21 &amp; 22, Close-in Weapon System (CIWS) &gt; Major Hardware                                                                                                                                                         1</t>
  </si>
  <si>
    <t>347</t>
  </si>
  <si>
    <t>LHA Replacement - P-35 PHALANX Block 1B MK15 Mod 21 &amp; 22, Close-in Weapon System (CIWS) - Technical Data and Documentation</t>
  </si>
  <si>
    <t>P-35 &gt; LHA Replacement &gt; PHALANX Block 1B MK15 Mod 21 &amp; 22, Close-in Weapon System (CIWS) &gt; Technical Data and Documentation</t>
  </si>
  <si>
    <t>LHA Replacement - P-35 PHALANX Block 1B MK15 Mod 21 &amp; 22, Close-in Weapon System (CIWS) - Spares</t>
  </si>
  <si>
    <t>P-35 &gt; LHA Replacement &gt; PHALANX Block 1B MK15 Mod 21 &amp; 22, Close-in Weapon System (CIWS) &gt; Spares</t>
  </si>
  <si>
    <t>PHALANX Block 1B MK15 Mod 21 &amp; 22, Close-in Weapon System (CIWS) [LHA 9]</t>
  </si>
  <si>
    <t>LHA Replacement - P-35 PHALANX Block 1B MK15 Mod 21 &amp; 22, Close-in Weapon System (CIWS) - System Engineering</t>
  </si>
  <si>
    <t>P-35 &gt; LHA Replacement &gt; PHALANX Block 1B MK15 Mod 21 &amp; 22, Close-in Weapon System (CIWS) &gt; System Engineering</t>
  </si>
  <si>
    <t>LHA Replacement - P-35 PHALANX Block 1B MK15 Mod 21 &amp; 22, Close-in Weapon System (CIWS) - Technical Engineering Services</t>
  </si>
  <si>
    <t>P-35 &gt; LHA Replacement &gt; PHALANX Block 1B MK15 Mod 21 &amp; 22, Close-in Weapon System (CIWS) &gt; Technical Engineering Services</t>
  </si>
  <si>
    <t>LHA Replacement - P-35 PHALANX Block 1B MK15 Mod 21 &amp; 22, Close-in Weapon System (CIWS) - Other Costs</t>
  </si>
  <si>
    <t>P-35 &gt; LHA Replacement &gt; PHALANX Block 1B MK15 Mod 21 &amp; 22, Close-in Weapon System (CIWS) &gt; Other Costs</t>
  </si>
  <si>
    <t>LHA Replacement - P-35 Vertical/Stationary Take-Off Landing Optical Landing System (VSTOL OLS) - Major Hardware                                                                                                                                                    1</t>
  </si>
  <si>
    <t>P-35 &gt; LHA Replacement &gt; Vertical/Stationary Take-Off Landing Optical Landing System (VSTOL OLS) &gt; Major Hardware                                                                                                                                                    1</t>
  </si>
  <si>
    <t>348</t>
  </si>
  <si>
    <t>LHA Replacement - P-35 Vertical/Stationary Take-Off Landing Optical Landing System (VSTOL OLS) - System Engineering</t>
  </si>
  <si>
    <t>P-35 &gt; LHA Replacement &gt; Vertical/Stationary Take-Off Landing Optical Landing System (VSTOL OLS) &gt; System Engineering</t>
  </si>
  <si>
    <t>LHA Replacement - P-35 Vertical/Stationary Take-Off Landing Optical Landing System (VSTOL OLS) - Technical Engineering Services</t>
  </si>
  <si>
    <t>P-35 &gt; LHA Replacement &gt; Vertical/Stationary Take-Off Landing Optical Landing System (VSTOL OLS) &gt; Technical Engineering Services</t>
  </si>
  <si>
    <t>LHA Replacement - P-35 Vertical/Stationary Take-Off Landing Optical Landing System (VSTOL OLS) - Other Costs</t>
  </si>
  <si>
    <t>P-35 &gt; LHA Replacement &gt; Vertical/Stationary Take-Off Landing Optical Landing System (VSTOL OLS) &gt; Other Costs</t>
  </si>
  <si>
    <t>Vertical/Stationary Take-Off Landing Optical Landing System (VSTOL OLS) [LHA 9]</t>
  </si>
  <si>
    <t>LHA Replacement - P-35 AN/SPQ-9B Radar Set - Major Hardware                                                                                                                                                      1</t>
  </si>
  <si>
    <t>P-35 &gt; LHA Replacement &gt; AN/SPQ-9B Radar Set &gt; Major Hardware                                                                                                                                                      1</t>
  </si>
  <si>
    <t>349</t>
  </si>
  <si>
    <t>LHA Replacement - P-35 AN/SPQ-9B Radar Set - Technical Data and Documentation</t>
  </si>
  <si>
    <t>P-35 &gt; LHA Replacement &gt; AN/SPQ-9B Radar Set &gt; Technical Data and Documentation</t>
  </si>
  <si>
    <t>LHA Replacement - P-35 AN/SPQ-9B Radar Set - Spares</t>
  </si>
  <si>
    <t>P-35 &gt; LHA Replacement &gt; AN/SPQ-9B Radar Set &gt; Spares</t>
  </si>
  <si>
    <t>LHA Replacement - P-35 AN/SPQ-9B Radar Set - System Engineering</t>
  </si>
  <si>
    <t>P-35 &gt; LHA Replacement &gt; AN/SPQ-9B Radar Set &gt; System Engineering</t>
  </si>
  <si>
    <t>LHA Replacement - P-35 AN/SPQ-9B Radar Set - Technical Engineering Services</t>
  </si>
  <si>
    <t>P-35 &gt; LHA Replacement &gt; AN/SPQ-9B Radar Set &gt; Technical Engineering Services</t>
  </si>
  <si>
    <t>LHA Replacement - P-35 AN/SPQ-9B Radar Set - Other Costs</t>
  </si>
  <si>
    <t>P-35 &gt; LHA Replacement &gt; AN/SPQ-9B Radar Set &gt; Other Costs</t>
  </si>
  <si>
    <t>LHA Replacement - P-10 - Basic Construction                                                                          -               -               -</t>
  </si>
  <si>
    <t>P-10 &gt; LHA Replacement &gt; Basic Construction                                                                          -               -               -</t>
  </si>
  <si>
    <t>LHA Replacement - P-10 - Basic Construction                                                                            -                  -                 -                                     -</t>
  </si>
  <si>
    <t>P-10 &gt; LHA Replacement &gt; Basic Construction                                                                            -                  -                 -                                     -</t>
  </si>
  <si>
    <t>352</t>
  </si>
  <si>
    <t>Medium Landing Ship - P-5c - Plan Costs</t>
  </si>
  <si>
    <t>P-5c &gt; Medium Landing Ship &gt; Plan Costs</t>
  </si>
  <si>
    <t>355</t>
  </si>
  <si>
    <t>Medium Landing Ship - P-5c - Electronics</t>
  </si>
  <si>
    <t>P-5c &gt; Medium Landing Ship &gt; Electronics</t>
  </si>
  <si>
    <t>Medium Landing Ship - P-5c - Other Cost</t>
  </si>
  <si>
    <t>P-5c &gt; Medium Landing Ship &gt; Other Cost</t>
  </si>
  <si>
    <t>Expeditionary Sea Base (ESB) - P-5c - Basic Construction</t>
  </si>
  <si>
    <t>3039 / Expeditionary Sea Base (ESB)</t>
  </si>
  <si>
    <t>P-5c &gt; Expeditionary Sea Base (ESB) &gt; Basic Construction</t>
  </si>
  <si>
    <t>359</t>
  </si>
  <si>
    <t>Expeditionary Sea Base (ESB) - P-5c - Change Orders</t>
  </si>
  <si>
    <t>P-5c &gt; Expeditionary Sea Base (ESB) &gt; Change Orders</t>
  </si>
  <si>
    <t>Expeditionary Sea Base (ESB) - P-5c - Electronics</t>
  </si>
  <si>
    <t>P-5c &gt; Expeditionary Sea Base (ESB) &gt; Electronics</t>
  </si>
  <si>
    <t>Expeditionary Sea Base (ESB) - P-5c - Hull, Mechanical, and Electrical</t>
  </si>
  <si>
    <t>P-5c &gt; Expeditionary Sea Base (ESB) &gt; Hull, Mechanical, and Electrical</t>
  </si>
  <si>
    <t>Expeditionary Sea Base (ESB) - P-5c - Other Cost</t>
  </si>
  <si>
    <t>P-5c &gt; Expeditionary Sea Base (ESB) &gt; Other Cost</t>
  </si>
  <si>
    <t>Expeditionary Fast Transport (EPF) - P-5c - Plan Costs</t>
  </si>
  <si>
    <t>3043 / Expeditionary Fast Transport (EPF)</t>
  </si>
  <si>
    <t>P-5c &gt; Expeditionary Fast Transport (EPF) &gt; Plan Costs</t>
  </si>
  <si>
    <t>363</t>
  </si>
  <si>
    <t>Expeditionary Fast Transport (EPF) - P-5c - Basic Construction</t>
  </si>
  <si>
    <t>P-5c &gt; Expeditionary Fast Transport (EPF) &gt; Basic Construction</t>
  </si>
  <si>
    <t>Expeditionary Fast Transport (EPF) - P-5c - Change Orders</t>
  </si>
  <si>
    <t>P-5c &gt; Expeditionary Fast Transport (EPF) &gt; Change Orders</t>
  </si>
  <si>
    <t>Expeditionary Fast Transport (EPF) - P-5c - Electronics</t>
  </si>
  <si>
    <t>P-5c &gt; Expeditionary Fast Transport (EPF) &gt; Electronics</t>
  </si>
  <si>
    <t>Expeditionary Fast Transport (EPF) - P-5c - Hull, Mechanical, and Electrical</t>
  </si>
  <si>
    <t>P-5c &gt; Expeditionary Fast Transport (EPF) &gt; Hull, Mechanical, and Electrical</t>
  </si>
  <si>
    <t>Expeditionary Fast Transport (EPF) - P-5c - Other Cost</t>
  </si>
  <si>
    <t>P-5c &gt; Expeditionary Fast Transport (EPF) &gt; Other Cost</t>
  </si>
  <si>
    <t>TAO Fleet Oiler - P-5c - Basic Construction</t>
  </si>
  <si>
    <t>P-5c &gt; TAO Fleet Oiler &gt; Basic Construction</t>
  </si>
  <si>
    <t>367</t>
  </si>
  <si>
    <t>TAO Fleet Oiler - P-5c - Change Orders</t>
  </si>
  <si>
    <t>P-5c &gt; TAO Fleet Oiler &gt; Change Orders</t>
  </si>
  <si>
    <t>TAO Fleet Oiler - P-5c - Electronics</t>
  </si>
  <si>
    <t>P-5c &gt; TAO Fleet Oiler &gt; Electronics</t>
  </si>
  <si>
    <t>TAO Fleet Oiler - P-5c - Hull, Mechanical, and Electrical</t>
  </si>
  <si>
    <t>P-5c &gt; TAO Fleet Oiler &gt; Hull, Mechanical, and Electrical</t>
  </si>
  <si>
    <t>TAO Fleet Oiler - P-5c - Other Cost</t>
  </si>
  <si>
    <t>P-5c &gt; TAO Fleet Oiler &gt; Other Cost</t>
  </si>
  <si>
    <t>TAO Fleet Oiler - P-5c - 2023</t>
  </si>
  <si>
    <t>P-5c &gt; TAO Fleet Oiler &gt; 2023</t>
  </si>
  <si>
    <t>TAO Fleet Oiler - P-8a Electronics - Radio Communication System (RCS) TURNKEY 1</t>
  </si>
  <si>
    <t>P-8a &gt; TAO Fleet Oiler &gt; Electronics &gt; Radio Communication System (RCS) TURNKEY 1</t>
  </si>
  <si>
    <t>369</t>
  </si>
  <si>
    <t>Radio Communication System (RCS) TURNKEY</t>
  </si>
  <si>
    <t>TAO Fleet Oiler - P-8a Electronics - Network Management System (NMS) 2.0/Consolidated Afloat Networks and Enterprise Services (CANES) 1</t>
  </si>
  <si>
    <t>P-8a &gt; TAO Fleet Oiler &gt; Electronics &gt; Network Management System (NMS) 2.0/Consolidated Afloat Networks and Enterprise Services (CANES) 1</t>
  </si>
  <si>
    <t>Network Management System (NMS) 2.0/Consolidated Afloat Networks and Enterprise Services (CANES) [T-AO 214]</t>
  </si>
  <si>
    <t>TAO Fleet Oiler - P-8a Electronics - Digital Modular Radio (DMR) 3</t>
  </si>
  <si>
    <t>P-8a &gt; TAO Fleet Oiler &gt; Electronics &gt; Digital Modular Radio (DMR) 3</t>
  </si>
  <si>
    <t>Digital Modular Radio (DMR)</t>
  </si>
  <si>
    <t>TAO Fleet Oiler - P-8a Electronics - Commercial Broadband Satellite Program (CBSP) 1</t>
  </si>
  <si>
    <t>P-8a &gt; TAO Fleet Oiler &gt; Electronics &gt; Commercial Broadband Satellite Program (CBSP) 1</t>
  </si>
  <si>
    <t>Commercial Broadband Satellite Program (CBSP)</t>
  </si>
  <si>
    <t>TAO Fleet Oiler - P-8a Electronics - AN/SLQ-25 NIXIE 1</t>
  </si>
  <si>
    <t>P-8a &gt; TAO Fleet Oiler &gt; Electronics &gt; AN/SLQ-25 NIXIE 1</t>
  </si>
  <si>
    <t>AN/SLQ-25 NIXIE</t>
  </si>
  <si>
    <t>TAO Fleet Oiler - P-8a Electronics - AN/USQ-155 Tactical Variant Switch (TVS) 1</t>
  </si>
  <si>
    <t>P-8a &gt; TAO Fleet Oiler &gt; Electronics &gt; AN/USQ-155 Tactical Variant Switch (TVS) 1</t>
  </si>
  <si>
    <t>AN/USQ-155 Tactical Variant Switch (TVS)</t>
  </si>
  <si>
    <t>TAO Fleet Oiler - P-8a Electronics - OA-9277A 1</t>
  </si>
  <si>
    <t>P-8a &gt; TAO Fleet Oiler &gt; Electronics &gt; OA-9277A 1</t>
  </si>
  <si>
    <t>OA-9277A</t>
  </si>
  <si>
    <t>TAO Fleet Oiler - P-8a Electronics - Battle Force Tactical Network (BFTN)/BFTN Resilient Command and Control System Enhancement (BRSE) 1</t>
  </si>
  <si>
    <t>P-8a &gt; TAO Fleet Oiler &gt; Electronics &gt; Battle Force Tactical Network (BFTN)/BFTN Resilient Command and Control System Enhancement (BRSE) 1</t>
  </si>
  <si>
    <t>Battle Force Tactical Network (BFTN)/BFTN Resilient Command and Control System Enhancement (BRSE)</t>
  </si>
  <si>
    <t>TAO Fleet Oiler - P-8a Electronics - Minor Systems 1</t>
  </si>
  <si>
    <t>P-8a &gt; TAO Fleet Oiler &gt; Electronics &gt; Minor Systems 1</t>
  </si>
  <si>
    <t>Minor Systems</t>
  </si>
  <si>
    <t>TAO Fleet Oiler - P-8a Hull, Mechanical, and Electrical - Engineering Services 1</t>
  </si>
  <si>
    <t>P-8a &gt; TAO Fleet Oiler &gt; Hull, Mechanical, and Electrical &gt; Engineering Services 1</t>
  </si>
  <si>
    <t>370</t>
  </si>
  <si>
    <t>Engineering Services</t>
  </si>
  <si>
    <t>TAO Fleet Oiler - P-8a Hull, Mechanical, and Electrical - Logistics Support Services 1</t>
  </si>
  <si>
    <t>P-8a &gt; TAO Fleet Oiler &gt; Hull, Mechanical, and Electrical &gt; Logistics Support Services 1</t>
  </si>
  <si>
    <t>Logistics Support Services</t>
  </si>
  <si>
    <t>TAO Fleet Oiler - P-8a Hull, Mechanical, and Electrical - Material Handling Equipment 1</t>
  </si>
  <si>
    <t>P-8a &gt; TAO Fleet Oiler &gt; Hull, Mechanical, and Electrical &gt; Material Handling Equipment 1</t>
  </si>
  <si>
    <t>Material Handling Equipment</t>
  </si>
  <si>
    <t>TAO Fleet Oiler - P-8a Hull, Mechanical, and Electrical - Shipboard Automated Maintenance Module (SAMM) 1</t>
  </si>
  <si>
    <t>P-8a &gt; TAO Fleet Oiler &gt; Hull, Mechanical, and Electrical &gt; Shipboard Automated Maintenance Module (SAMM) 1</t>
  </si>
  <si>
    <t>Shipboard Automated Maintenance Module (SAMM)</t>
  </si>
  <si>
    <t>TAO Fleet Oiler - P-8a Hull, Mechanical, and Electrical - Improved Point Detection System - Lifecycle Replacement (IPDS-LR) 1</t>
  </si>
  <si>
    <t>P-8a &gt; TAO Fleet Oiler &gt; Hull, Mechanical, and Electrical &gt; Improved Point Detection System - Lifecycle Replacement (IPDS-LR) 1</t>
  </si>
  <si>
    <t>Improved Point Detection System - Lifecycle Replacement (IPDS-LR)</t>
  </si>
  <si>
    <t>TAO Fleet Oiler - P-35 Radio Communication System (RCS) TURNKEY - Major Hardware                                                                                                                                                 1</t>
  </si>
  <si>
    <t>P-35 &gt; TAO Fleet Oiler &gt; Radio Communication System (RCS) TURNKEY &gt; Major Hardware                                                                                                                                                 1</t>
  </si>
  <si>
    <t>371</t>
  </si>
  <si>
    <t>TAO Fleet Oiler - P-35 Radio Communication System (RCS) TURNKEY - Ancillary Equipment</t>
  </si>
  <si>
    <t>P-35 &gt; TAO Fleet Oiler &gt; Radio Communication System (RCS) TURNKEY &gt; Ancillary Equipment</t>
  </si>
  <si>
    <t>TAO Fleet Oiler - P-35 Radio Communication System (RCS) TURNKEY - Technical Engineering Services</t>
  </si>
  <si>
    <t>P-35 &gt; TAO Fleet Oiler &gt; Radio Communication System (RCS) TURNKEY &gt; Technical Engineering Services</t>
  </si>
  <si>
    <t>TAO Fleet Oiler - P-35 Radio Communication System (RCS) TURNKEY - Ship Installation</t>
  </si>
  <si>
    <t>P-35 &gt; TAO Fleet Oiler &gt; Radio Communication System (RCS) TURNKEY &gt; Ship Installation</t>
  </si>
  <si>
    <t>TAO Fleet Oiler - P-35 Radio Communication System (RCS) TURNKEY - Program Management</t>
  </si>
  <si>
    <t>P-35 &gt; TAO Fleet Oiler &gt; Radio Communication System (RCS) TURNKEY &gt; Program Management</t>
  </si>
  <si>
    <t>TAO Fleet Oiler - P-35 Network Management System (NMS) 2.0/Consolidated Afloat Networks and Enterprise Services - Major Hardware                                                                                                                                                  1</t>
  </si>
  <si>
    <t>P-35 &gt; TAO Fleet Oiler &gt; Network Management System (NMS) 2.0/Consolidated Afloat Networks and Enterprise Services &gt; Major Hardware                                                                                                                                                  1</t>
  </si>
  <si>
    <t>372</t>
  </si>
  <si>
    <t>TAO Fleet Oiler - P-35 Network Management System (NMS) 2.0/Consolidated Afloat Networks and Enterprise Services - System Engineering</t>
  </si>
  <si>
    <t>P-35 &gt; TAO Fleet Oiler &gt; Network Management System (NMS) 2.0/Consolidated Afloat Networks and Enterprise Services &gt; System Engineering</t>
  </si>
  <si>
    <t>TAO Fleet Oiler - P-35 Network Management System (NMS) 2.0/Consolidated Afloat Networks and Enterprise Services - Technical Engineering Services</t>
  </si>
  <si>
    <t>P-35 &gt; TAO Fleet Oiler &gt; Network Management System (NMS) 2.0/Consolidated Afloat Networks and Enterprise Services &gt; Technical Engineering Services</t>
  </si>
  <si>
    <t>TAO Fleet Oiler - P-35 Network Management System (NMS) 2.0/Consolidated Afloat Networks and Enterprise Services - Software</t>
  </si>
  <si>
    <t>P-35 &gt; TAO Fleet Oiler &gt; Network Management System (NMS) 2.0/Consolidated Afloat Networks and Enterprise Services &gt; Software</t>
  </si>
  <si>
    <t>TAO Fleet Oiler - P-35 Network Management System (NMS) 2.0/Consolidated Afloat Networks and Enterprise Services - Ship Installation</t>
  </si>
  <si>
    <t>P-35 &gt; TAO Fleet Oiler &gt; Network Management System (NMS) 2.0/Consolidated Afloat Networks and Enterprise Services &gt; Ship Installation</t>
  </si>
  <si>
    <t>TAO Fleet Oiler - P-35 Network Management System (NMS) 2.0/Consolidated Afloat Networks and Enterprise Services - Program Management</t>
  </si>
  <si>
    <t>P-35 &gt; TAO Fleet Oiler &gt; Network Management System (NMS) 2.0/Consolidated Afloat Networks and Enterprise Services &gt; Program Management</t>
  </si>
  <si>
    <t>TAO Fleet Oiler - P-35 Network Management System (NMS) 2.0/Consolidated Afloat Networks and Enterprise Services - Integrated Logistics Support and Data</t>
  </si>
  <si>
    <t>P-35 &gt; TAO Fleet Oiler &gt; Network Management System (NMS) 2.0/Consolidated Afloat Networks and Enterprise Services &gt; Integrated Logistics Support and Data</t>
  </si>
  <si>
    <t>TAGOS Surtass Ships - P-5c - Plan Costs</t>
  </si>
  <si>
    <t>P-5c &gt; TAGOS Surtass Ships &gt; Plan Costs</t>
  </si>
  <si>
    <t>375</t>
  </si>
  <si>
    <t>TAGOS Surtass Ships - P-5c - Basic Construction</t>
  </si>
  <si>
    <t>P-5c &gt; TAGOS Surtass Ships &gt; Basic Construction</t>
  </si>
  <si>
    <t>TAGOS Surtass Ships - P-5c - Change Orders</t>
  </si>
  <si>
    <t>P-5c &gt; TAGOS Surtass Ships &gt; Change Orders</t>
  </si>
  <si>
    <t>TAGOS Surtass Ships - P-5c - Electronics</t>
  </si>
  <si>
    <t>P-5c &gt; TAGOS Surtass Ships &gt; Electronics</t>
  </si>
  <si>
    <t>TAGOS Surtass Ships - P-5c - Hull, Mechanical, and Electrical</t>
  </si>
  <si>
    <t>P-5c &gt; TAGOS Surtass Ships &gt; Hull, Mechanical, and Electrical</t>
  </si>
  <si>
    <t>HME</t>
  </si>
  <si>
    <t>TAGOS Surtass Ships - P-8a Electronics - Command, Control, Communications, Computers and Intelligence (C4I) 1</t>
  </si>
  <si>
    <t>P-8a &gt; TAGOS Surtass Ships &gt; Electronics &gt; Command, Control, Communications, Computers and Intelligence (C4I) 1</t>
  </si>
  <si>
    <t>377</t>
  </si>
  <si>
    <t>Command, Control, Communications, Computers and Intelligence (C4I)</t>
  </si>
  <si>
    <t>TAGOS Surtass Ships - P-8a Electronics - Surveillance Towed Array Sensor System (SURTASS) 4</t>
  </si>
  <si>
    <t>P-8a &gt; TAGOS Surtass Ships &gt; Electronics &gt; Surveillance Towed Array Sensor System (SURTASS) 4</t>
  </si>
  <si>
    <t>Surveillance Towed Array Sensor System (SURTASS)</t>
  </si>
  <si>
    <t>TAGOS Surtass Ships - P-35 Command, Control, Communications, Computers and Intelligence (C4I) - Major Hardware                                                                                            1</t>
  </si>
  <si>
    <t>P-35 &gt; TAGOS Surtass Ships &gt; Command, Control, Communications, Computers and Intelligence (C4I) &gt; Major Hardware                                                                                            1</t>
  </si>
  <si>
    <t>378</t>
  </si>
  <si>
    <t>Command, Control, Communications, Computers and Intelligence (C4I) [T-AGOS 26]</t>
  </si>
  <si>
    <t>TAGOS Surtass Ships - P-35 Command, Control, Communications, Computers and Intelligence (C4I) - Ancillary Equipment</t>
  </si>
  <si>
    <t>P-35 &gt; TAGOS Surtass Ships &gt; Command, Control, Communications, Computers and Intelligence (C4I) &gt; Ancillary Equipment</t>
  </si>
  <si>
    <t>TAGOS Surtass Ships - P-35 Command, Control, Communications, Computers and Intelligence (C4I) - System Engineering                                                                                        0</t>
  </si>
  <si>
    <t>P-35 &gt; TAGOS Surtass Ships &gt; Command, Control, Communications, Computers and Intelligence (C4I) &gt; System Engineering                                                                                        0</t>
  </si>
  <si>
    <t>TAGOS Surtass Ships - P-35 Command, Control, Communications, Computers and Intelligence (C4I) - Other Costs</t>
  </si>
  <si>
    <t>P-35 &gt; TAGOS Surtass Ships &gt; Command, Control, Communications, Computers and Intelligence (C4I) &gt; Other Costs</t>
  </si>
  <si>
    <t>TAGOS Surtass Ships - P-35 Surveillance Towed Array Sensor System (SURTASS) - Major Hardware                                                                                                1</t>
  </si>
  <si>
    <t>P-35 &gt; TAGOS Surtass Ships &gt; Surveillance Towed Array Sensor System (SURTASS) &gt; Major Hardware                                                                                                1</t>
  </si>
  <si>
    <t>379</t>
  </si>
  <si>
    <t>Surveillance Towed Array Sensor System (SURTASS) [T-AGOS 25]</t>
  </si>
  <si>
    <t>TAGOS Surtass Ships - P-35 Surveillance Towed Array Sensor System (SURTASS) - Ancillary Equipment</t>
  </si>
  <si>
    <t>P-35 &gt; TAGOS Surtass Ships &gt; Surveillance Towed Array Sensor System (SURTASS) &gt; Ancillary Equipment</t>
  </si>
  <si>
    <t>TAGOS Surtass Ships - P-35 Surveillance Towed Array Sensor System (SURTASS) - System Engineering</t>
  </si>
  <si>
    <t>P-35 &gt; TAGOS Surtass Ships &gt; Surveillance Towed Array Sensor System (SURTASS) &gt; System Engineering</t>
  </si>
  <si>
    <t>TAGOS Surtass Ships - P-35 Surveillance Towed Array Sensor System (SURTASS) - Active Array                                                                                                  1</t>
  </si>
  <si>
    <t>P-35 &gt; TAGOS Surtass Ships &gt; Surveillance Towed Array Sensor System (SURTASS) &gt; Active Array                                                                                                  1</t>
  </si>
  <si>
    <t>TAGOS Surtass Ships - P-35 Surveillance Towed Array Sensor System (SURTASS) - Active Handling System                                                                                        1</t>
  </si>
  <si>
    <t>P-35 &gt; TAGOS Surtass Ships &gt; Surveillance Towed Array Sensor System (SURTASS) &gt; Active Handling System                                                                                        1</t>
  </si>
  <si>
    <t>TAGOS Surtass Ships - P-35 Surveillance Towed Array Sensor System (SURTASS) - Passive Handling System                                                                                       1</t>
  </si>
  <si>
    <t>P-35 &gt; TAGOS Surtass Ships &gt; Surveillance Towed Array Sensor System (SURTASS) &gt; Passive Handling System                                                                                       1</t>
  </si>
  <si>
    <t>Towing, Salvage, and Rescue Ship (ATS) - P-5c - Basic Construction</t>
  </si>
  <si>
    <t>5035 / Towing Salvage and Rescue Ship (ATS)</t>
  </si>
  <si>
    <t>P-5c &gt; Towing, Salvage, and Rescue Ship (ATS) &gt; Basic Construction</t>
  </si>
  <si>
    <t>383</t>
  </si>
  <si>
    <t>Towing, Salvage, and Rescue Ship (ATS) - P-5c - Change Orders</t>
  </si>
  <si>
    <t>P-5c &gt; Towing, Salvage, and Rescue Ship (ATS) &gt; Change Orders</t>
  </si>
  <si>
    <t>Towing, Salvage, and Rescue Ship (ATS) - P-5c - Electronics</t>
  </si>
  <si>
    <t>P-5c &gt; Towing, Salvage, and Rescue Ship (ATS) &gt; Electronics</t>
  </si>
  <si>
    <t>Oceanographic Ships - P-5c - Basic Construction</t>
  </si>
  <si>
    <t>5087 / Oceanographic Ships</t>
  </si>
  <si>
    <t>P-5c &gt; Oceanographic Ships &gt; Basic Construction</t>
  </si>
  <si>
    <t>387</t>
  </si>
  <si>
    <t>Oceanographic Ships - P-5c - Change Orders</t>
  </si>
  <si>
    <t>P-5c &gt; Oceanographic Ships &gt; Change Orders</t>
  </si>
  <si>
    <t>Oceanographic Ships - P-5c - Electronics</t>
  </si>
  <si>
    <t>P-5c &gt; Oceanographic Ships &gt; Electronics</t>
  </si>
  <si>
    <t>Oceanographic Ships - P-5c - Hull, Mechanical, and Electrical</t>
  </si>
  <si>
    <t>P-5c &gt; Oceanographic Ships &gt; Hull, Mechanical, and Electrical</t>
  </si>
  <si>
    <t>LCU 1700 - P-5c - Basic Construction</t>
  </si>
  <si>
    <t>5100 / LCU 1700</t>
  </si>
  <si>
    <t>P-5c &gt; LCU 1700 &gt; Basic Construction</t>
  </si>
  <si>
    <t>392</t>
  </si>
  <si>
    <t>LCU 1700 - P-5c - Change Orders</t>
  </si>
  <si>
    <t>P-5c &gt; LCU 1700 &gt; Change Orders</t>
  </si>
  <si>
    <t>LCU 1700 - P-5c - Electronics</t>
  </si>
  <si>
    <t>P-5c &gt; LCU 1700 &gt; Electronics</t>
  </si>
  <si>
    <t>LCU 1700 - P-5c - Hull, Mechanical, and Electrical</t>
  </si>
  <si>
    <t>P-5c &gt; LCU 1700 &gt; Hull, Mechanical, and Electrical</t>
  </si>
  <si>
    <t>LCU 1700 - P-5c - Other Cost</t>
  </si>
  <si>
    <t>P-5c &gt; LCU 1700 &gt; Other Cost</t>
  </si>
  <si>
    <t>Ship to Shore Connector - P-5c - Basic Construction</t>
  </si>
  <si>
    <t>5112 / Ship to Shore Connector</t>
  </si>
  <si>
    <t>P-5c &gt; Ship to Shore Connector &gt; Basic Construction</t>
  </si>
  <si>
    <t>410</t>
  </si>
  <si>
    <t>Ship to Shore Connector - P-5c - Change Orders</t>
  </si>
  <si>
    <t>P-5c &gt; Ship to Shore Connector &gt; Change Orders</t>
  </si>
  <si>
    <t>Ship to Shore Connector - P-5c - Electronics</t>
  </si>
  <si>
    <t>P-5c &gt; Ship to Shore Connector &gt; Electronics</t>
  </si>
  <si>
    <t>Ship to Shore Connector - P-5c - Other Cost</t>
  </si>
  <si>
    <t>P-5c &gt; Ship to Shore Connector &gt; Other Cost</t>
  </si>
  <si>
    <t>Ship to Shore Connector - P-8a Hull, Mechanical, and Electrical - MT7 Engines, Skirt &amp; Composite Components 16</t>
  </si>
  <si>
    <t>P-8a &gt; Ship to Shore Connector &gt; Hull, Mechanical, and Electrical &gt; MT7 Engines, Skirt &amp; Composite Components 16</t>
  </si>
  <si>
    <t>412</t>
  </si>
  <si>
    <t>MT7 Engines, Skirt &amp; Composite Components</t>
  </si>
  <si>
    <t>Ship to Shore Connector - P-8a Hull, Mechanical, and Electrical - Ship Design and Engineering Services</t>
  </si>
  <si>
    <t>P-8a &gt; Ship to Shore Connector &gt; Hull, Mechanical, and Electrical &gt; Ship Design and Engineering Services</t>
  </si>
  <si>
    <t>Ship Design and Engineering Services</t>
  </si>
  <si>
    <t>Ship to Shore Connector - P-8a Hull, Mechanical, and Electrical - SUPSHIP Material/Services</t>
  </si>
  <si>
    <t>P-8a &gt; Ship to Shore Connector &gt; Hull, Mechanical, and Electrical &gt; SUPSHIP Material/Services</t>
  </si>
  <si>
    <t>Service Craft - P-5c - Basic Construction</t>
  </si>
  <si>
    <t>5113 / Service Craft</t>
  </si>
  <si>
    <t>P-5c &gt; Service Craft &gt; Basic Construction</t>
  </si>
  <si>
    <t>417</t>
  </si>
  <si>
    <t>Service Craft - P-5c - Change Orders</t>
  </si>
  <si>
    <t>P-5c &gt; Service Craft &gt; Change Orders</t>
  </si>
  <si>
    <t>Service Craft - P-5c - 1 YRBM: $</t>
  </si>
  <si>
    <t>P-5c &gt; Service Craft &gt; 1 YRBM: $</t>
  </si>
  <si>
    <t>418</t>
  </si>
  <si>
    <t>Service Craft - P-5c - 2 YON: $</t>
  </si>
  <si>
    <t>P-5c &gt; Service Craft &gt; 2 YON: $</t>
  </si>
  <si>
    <t>Auxiliary Personnel Lighter - P-5c - Basic Construction</t>
  </si>
  <si>
    <t>5114 / Auxiliary Personnel Lighter</t>
  </si>
  <si>
    <t>P-5c &gt; Auxiliary Personnel Lighter &gt; Basic Construction</t>
  </si>
  <si>
    <t>423</t>
  </si>
  <si>
    <t>Auxiliary Personnel Lighter - P-5c - Change Orders</t>
  </si>
  <si>
    <t>P-5c &gt; Auxiliary Personnel Lighter &gt; Change Orders</t>
  </si>
  <si>
    <t>Auxiliary Personnel Lighter - P-5c - Hull, Mechanical, and Electrical</t>
  </si>
  <si>
    <t>P-5c &gt; Auxiliary Personnel Lighter &gt; Hull, Mechanical, and Electrical</t>
  </si>
  <si>
    <t>LCAC SLEP - P-5c - Basic Construction</t>
  </si>
  <si>
    <t>5139 / LCAC SLEP</t>
  </si>
  <si>
    <t>P-5c &gt; LCAC SLEP &gt; Basic Construction</t>
  </si>
  <si>
    <t>427</t>
  </si>
  <si>
    <t>LCAC SLEP - P-5c - Electronics</t>
  </si>
  <si>
    <t>P-5c &gt; LCAC SLEP &gt; Electronics</t>
  </si>
  <si>
    <t>LCAC SLEP - P-5c - Hull, Mechanical, and Electrical</t>
  </si>
  <si>
    <t>P-5c &gt; LCAC SLEP &gt; Hull, Mechanical, and Electrical</t>
  </si>
  <si>
    <t>LCAC SLEP - P-5c - Other Cost</t>
  </si>
  <si>
    <t>P-5c &gt; LCAC SLEP &gt; Other Cost</t>
  </si>
  <si>
    <t>Auxiliary Vessels (Used Sealift) - P-5c - Basic Construction</t>
  </si>
  <si>
    <t>5201 / Auxiliary Vessels (Used Sealift)</t>
  </si>
  <si>
    <t>P-5c &gt; Auxiliary Vessels (Used Sealift) &gt; Basic Construction</t>
  </si>
  <si>
    <t>431</t>
  </si>
  <si>
    <t>NWCF</t>
  </si>
  <si>
    <t>Working Capital Fund</t>
  </si>
  <si>
    <t>MSC Total New Orders</t>
  </si>
  <si>
    <t>MSC operates under four distinct unit cost goals - one for each of its programs. All programs have cost/per day as the unit cost basis.</t>
  </si>
  <si>
    <t>Transportation &gt; Exhibit Fund-11 &gt; Line 1. New Orders</t>
  </si>
  <si>
    <t>NWCF-Transportation</t>
  </si>
  <si>
    <t>Military Sealift Command - provides over-ocean movement of supplies and provisions to deployed forces, and maintains prepositioned equipment and supplies</t>
  </si>
  <si>
    <t>MSC Total Revenue (Total Income)</t>
  </si>
  <si>
    <t>Transportation &gt; Exhibit Fund-14 &gt; Total Income</t>
  </si>
  <si>
    <t>MSC Total Expenses (Cost of Goods Sold)</t>
  </si>
  <si>
    <t>Transportation &gt; Exhibit Fund-14 &gt; Total Expenses</t>
  </si>
  <si>
    <t>CLF M&amp;R Realignment to OMN</t>
  </si>
  <si>
    <t>Scheduled Depot Maintenance</t>
  </si>
  <si>
    <t>$969.32 millions were realigned out of NWCF reimbursable authority in FY 2026.</t>
  </si>
  <si>
    <t>MSC Total Program Changes (M&amp;R Realignment)</t>
  </si>
  <si>
    <t>Transportation &gt; Narrative &gt; Significant Changes &gt; CLF</t>
  </si>
  <si>
    <t>CLF</t>
  </si>
  <si>
    <t>SMS M&amp;R Realignment to OMN</t>
  </si>
  <si>
    <t>In support of M&amp;R transition from NWCF to OMN, $95.82 millions were realigned out of NWCF reimbursable authority in FY 2026.</t>
  </si>
  <si>
    <t>Transportation &gt; Narrative &gt; Significant Changes &gt; SMS</t>
  </si>
  <si>
    <t>SMS</t>
  </si>
  <si>
    <t>APF-N M&amp;R Realignment to OMN</t>
  </si>
  <si>
    <t>M&amp;R transition from NWCF to OMN, $209.40 millions were realigned out of NWCF reimbursable authority in FY 2026.</t>
  </si>
  <si>
    <t>Transportation &gt; Narrative &gt; Significant Changes &gt; APF-N</t>
  </si>
  <si>
    <t>216</t>
  </si>
  <si>
    <t>APF-N</t>
  </si>
  <si>
    <t>SSS M&amp;R Realignment to OMN</t>
  </si>
  <si>
    <t>In support of M&amp;R transition from NWCF to OMN, $125.46 millions were realigned out of NWCF reimbursable authority in FY 2026.</t>
  </si>
  <si>
    <t>Transportation &gt; Narrative &gt; Significant Changes &gt; SSS</t>
  </si>
  <si>
    <t>215</t>
  </si>
  <si>
    <t>SSS</t>
  </si>
  <si>
    <t>Aligned with SECDEF priorities for mission readiness, approximately $1 billion was realigned from Navy Working Capital Fund (NWCF) to Operations and Maintenance, Navy (OMN) in FY 2026 to support maintenance and repair requirements for Military Sealift Command.</t>
  </si>
  <si>
    <t>Transportation &gt; Exhibit Fund-2 &gt; Program Changes</t>
  </si>
  <si>
    <t>CLF Unit Cost Per Day ($)</t>
  </si>
  <si>
    <t>Transportation &gt; Narrative &gt; Unit Cost Ratio</t>
  </si>
  <si>
    <t>SMS Unit Cost Per Day ($)</t>
  </si>
  <si>
    <t>APF-N Unit Cost Per Day ($)</t>
  </si>
  <si>
    <t>SSS Unit Cost Per Day ($)</t>
  </si>
  <si>
    <t>CLF Workload (Per Diem Days)</t>
  </si>
  <si>
    <t>Transportation &gt; Narrative &gt; Workload</t>
  </si>
  <si>
    <t>SMS Workload (Per Diem Days)</t>
  </si>
  <si>
    <t>APF-N Workload (Per Diem Days)</t>
  </si>
  <si>
    <t>SSS Workload (Per Diem Days)</t>
  </si>
  <si>
    <t>MSC Orders from O&amp;M Navy</t>
  </si>
  <si>
    <t>Transportation &gt; Exhibit Fund-11 &gt; O &amp; M Navy</t>
  </si>
  <si>
    <t>O &amp; M Navy</t>
  </si>
  <si>
    <t>MSC Orders from O&amp;M Marine Corps</t>
  </si>
  <si>
    <t>Transportation &gt; Exhibit Fund-11 &gt; O &amp; M Marine Corps</t>
  </si>
  <si>
    <t>O &amp; M Marine Corps</t>
  </si>
  <si>
    <t>MSC Orders from Shipbuilding &amp; Conversion Navy</t>
  </si>
  <si>
    <t>Transportation &gt; Exhibit Fund-11 &gt; Shipbuilding &amp; Conversion Navy</t>
  </si>
  <si>
    <t>Shipbuilding &amp; Conversion Navy</t>
  </si>
  <si>
    <t>MSC Orders from Other Procurement Navy</t>
  </si>
  <si>
    <t>Transportation &gt; Exhibit Fund-11 &gt; Other Procurement Navy</t>
  </si>
  <si>
    <t>Other Procurement Navy</t>
  </si>
  <si>
    <t>MSC Orders from RDT&amp;E Navy</t>
  </si>
  <si>
    <t>Transportation &gt; Exhibit Fund-11 &gt; Research Dev. Test &amp; Eval. Navy</t>
  </si>
  <si>
    <t>Research Dev. Test &amp; Eval. Navy</t>
  </si>
  <si>
    <t>MSC Orders from National Defense Sealift Fund</t>
  </si>
  <si>
    <t>Transportation &gt; Exhibit Fund-11 &gt; National Defense Sealift Fund</t>
  </si>
  <si>
    <t>National Defense Sealift Fund</t>
  </si>
  <si>
    <t>MSC Orders from Air Force O&amp;M</t>
  </si>
  <si>
    <t>Transportation &gt; Exhibit Fund-11 &gt; Air Force Operation &amp; Maintenance</t>
  </si>
  <si>
    <t>Air Force Operation &amp; Maintenance</t>
  </si>
  <si>
    <t>MSC Orders from DoD O&amp;M Accounts</t>
  </si>
  <si>
    <t>Transportation &gt; Exhibit Fund-11 &gt; DOD O&amp;M Accounts</t>
  </si>
  <si>
    <t>DOD O&amp;M Accounts</t>
  </si>
  <si>
    <t>MSC Orders from DoD RDT&amp;E Accounts</t>
  </si>
  <si>
    <t>Transportation &gt; Exhibit Fund-11 &gt; DOD Res Dev Test &amp; Eval Accounts</t>
  </si>
  <si>
    <t>DOD Res Dev Test &amp; Eval Accounts</t>
  </si>
  <si>
    <t>MSC Carry-In Orders</t>
  </si>
  <si>
    <t>Transportation &gt; Exhibit Fund-11 &gt; Carry-In Orders</t>
  </si>
  <si>
    <t>MSC Total Gross Orders</t>
  </si>
  <si>
    <t>Transportation &gt; Exhibit Fund-11 &gt; Total Gross Orders</t>
  </si>
  <si>
    <t>MSC Military Personnel Compensation &amp; Benefits</t>
  </si>
  <si>
    <t>Transportation &gt; Exhibit Fund-14 &gt; Military Personnel Compensation &amp; Benefits</t>
  </si>
  <si>
    <t>Military Personnel Compensation &amp; Benefits</t>
  </si>
  <si>
    <t>MSC Civilian Personnel Compensation &amp; Benefits</t>
  </si>
  <si>
    <t>Transportation &gt; Exhibit Fund-14 &gt; Civilian Personnel Compensation &amp; Benefits</t>
  </si>
  <si>
    <t>Civilian Personnel Compensation &amp; Benefits</t>
  </si>
  <si>
    <t>MSC Travel and Transportation of Personnel</t>
  </si>
  <si>
    <t>Transportation &gt; Exhibit Fund-14 &gt; Travel and Transportation of Personnel</t>
  </si>
  <si>
    <t>Travel and Transportation of Personnel</t>
  </si>
  <si>
    <t>MSC Material &amp; Supplies (Internal Operations)</t>
  </si>
  <si>
    <t>Transportation &gt; Exhibit Fund-14 &gt; Material &amp; Supplies</t>
  </si>
  <si>
    <t>Material &amp; Supplies</t>
  </si>
  <si>
    <t>MSC Equipment</t>
  </si>
  <si>
    <t>Transportation &gt; Exhibit Fund-14 &gt; Equipment</t>
  </si>
  <si>
    <t>Equipment</t>
  </si>
  <si>
    <t>MSC Transportation of Things</t>
  </si>
  <si>
    <t>Transportation &gt; Exhibit Fund-14 &gt; Transportation of Things</t>
  </si>
  <si>
    <t>Transportation of Things</t>
  </si>
  <si>
    <t>MSC Advisory and Assistance Services</t>
  </si>
  <si>
    <t>Transportation &gt; Exhibit Fund-14 &gt; Advisory and Assistance Services</t>
  </si>
  <si>
    <t>Advisory and Assistance Services</t>
  </si>
  <si>
    <t>MSC Rent Communication Utilities &amp; Misc</t>
  </si>
  <si>
    <t>Transportation &gt; Exhibit Fund-14 &gt; Rent Communication Utilities &amp; Misc Charges</t>
  </si>
  <si>
    <t>Rent Communication Utilities &amp; Misc Charges</t>
  </si>
  <si>
    <t>MSC Other Purchased Services</t>
  </si>
  <si>
    <t>Transportation &gt; Exhibit Fund-14 &gt; Other Purchased Services</t>
  </si>
  <si>
    <t>Other Purchased Services</t>
  </si>
  <si>
    <t>MSC Net Operating Result</t>
  </si>
  <si>
    <t>Transportation &gt; Exhibit Fund-14 &gt; Net Operating Result</t>
  </si>
  <si>
    <t>MSC Bunker Marine Fuel</t>
  </si>
  <si>
    <t>Transportation &gt; Exhibit Fund-15 &gt; Bunker Marine</t>
  </si>
  <si>
    <t>Bunker Marine</t>
  </si>
  <si>
    <t>MSC Distillate (Diesel F76) Fuel</t>
  </si>
  <si>
    <t>Transportation &gt; Exhibit Fund-15 &gt; Distillate (Diesel F76)</t>
  </si>
  <si>
    <t>Distillate (Diesel F76)</t>
  </si>
  <si>
    <t>MSC Total Fuel</t>
  </si>
  <si>
    <t>Transportation &gt; Exhibit Fund-15 &gt; Total</t>
  </si>
  <si>
    <t>MSC Pricing Adjustments (FY25 to FY26)</t>
  </si>
  <si>
    <t>Annualization of Prior Year Pay Raises ($18.60M), BY2 Pay Raise (-$16.90M), Fuel Price Changes ($2.10M), General Purchase Inflation ($66.30M)</t>
  </si>
  <si>
    <t>Transportation &gt; Exhibit Fund-2 &gt; Pricing Adjustments</t>
  </si>
  <si>
    <t>Pricing Adjustments</t>
  </si>
  <si>
    <t>BP28 Ship Repairable and Consumables (Wholesale) - Total Obligations</t>
  </si>
  <si>
    <t>Sustainment Engineering/Planning/Obsolescence Support - spares</t>
  </si>
  <si>
    <t>NAVSUP manages Budget Project 28 for ship repairable and consumable inventory wholesale operations.</t>
  </si>
  <si>
    <t>Supply Management &gt; Exhibit SM-1 &gt; BP28 Total Obligations</t>
  </si>
  <si>
    <t>BP28</t>
  </si>
  <si>
    <t>Supply Chain &amp; Logistics</t>
  </si>
  <si>
    <t>NAVSUP-managed wholesale ship repairable and consumable inventory operations</t>
  </si>
  <si>
    <t>BP28 Ship Repairable and Consumables - Variability Target</t>
  </si>
  <si>
    <t>BP28 Ship Repairable and Consumables - Target Total</t>
  </si>
  <si>
    <t>Supply Management &gt; Exhibit SM-1 &gt; BP28 Variability Target</t>
  </si>
  <si>
    <t>BP28 Variability Target</t>
  </si>
  <si>
    <t>Supply Management &gt; Exhibit SM-1 &gt; BP28 Target Total</t>
  </si>
  <si>
    <t>BP28 Peacetime Inventory</t>
  </si>
  <si>
    <t>Supply Management &gt; Exhibit SM-1 &gt; BP28 Inventory</t>
  </si>
  <si>
    <t>BP81 Ship Repairable and Consumables (Wholesale) - Total Obligations</t>
  </si>
  <si>
    <t>Budget Project 81 provides shipboard spare parts - repairables and consumables - across all Navy vessel classes.</t>
  </si>
  <si>
    <t>Supply Management &gt; Exhibit SM-1 &gt; BP81 Total Obligations</t>
  </si>
  <si>
    <t>BP81</t>
  </si>
  <si>
    <t>Shipboard spare parts - repairables and consumables across all Navy vessel classes</t>
  </si>
  <si>
    <t>BP81 Ship Repairable and Consumables - Variability Target</t>
  </si>
  <si>
    <t>BP81 Ship Repairable and Consumables - Target Total</t>
  </si>
  <si>
    <t>Supply Management &gt; Exhibit SM-1 &gt; BP81 Variability Target</t>
  </si>
  <si>
    <t>BP81 Variability Target</t>
  </si>
  <si>
    <t>Supply Management &gt; Exhibit SM-1 &gt; BP81 Target Total</t>
  </si>
  <si>
    <t>BP81 Peacetime Inventory</t>
  </si>
  <si>
    <t>Supply Management &gt; Exhibit SM-1 &gt; BP81 Inventory</t>
  </si>
  <si>
    <t>BP34 Shipboard Repairables (Retail) - Total Obligations</t>
  </si>
  <si>
    <t>Supply Management &gt; Exhibit SM-1 &gt; BP34 Total Obligations</t>
  </si>
  <si>
    <t>BP34</t>
  </si>
  <si>
    <t>Retail-level shipboard repairable inventory operations</t>
  </si>
  <si>
    <t>BP34 Shipboard Repairables - Target Total</t>
  </si>
  <si>
    <t>Supply Management &gt; Exhibit SM-1 &gt; BP34 Target Total</t>
  </si>
  <si>
    <t>BP85 Aviation Repairables (Wholesale) - Total Obligations</t>
  </si>
  <si>
    <t>Supply Management &gt; Exhibit SM-1 &gt; BP85 Total Obligations</t>
  </si>
  <si>
    <t>BP85</t>
  </si>
  <si>
    <t>Aviation Depot Maintenance</t>
  </si>
  <si>
    <t>Aviation repairable component wholesale inventory operations</t>
  </si>
  <si>
    <t>BP85 Aviation Repairables - Variability Target</t>
  </si>
  <si>
    <t>BP85 Aviation Repairables - Target Total</t>
  </si>
  <si>
    <t>Supply Management &gt; Exhibit SM-1 &gt; BP85 Variability Target</t>
  </si>
  <si>
    <t>BP85 Variability Target</t>
  </si>
  <si>
    <t>Supply Management &gt; Exhibit SM-1 &gt; BP85 Target Total</t>
  </si>
  <si>
    <t>BP91 Operations and Reimbursables - Total Obligations</t>
  </si>
  <si>
    <t>Supply Management &gt; Exhibit SM-1 &gt; BP91 Total Obligations</t>
  </si>
  <si>
    <t>BP91</t>
  </si>
  <si>
    <t>Operations and reimbursable activities for supply management</t>
  </si>
  <si>
    <t>Supply Management Navy - Total Obligations</t>
  </si>
  <si>
    <t>Supply Management &gt; Exhibit SM-1 &gt; Total</t>
  </si>
  <si>
    <t>NWCF-Supply</t>
  </si>
  <si>
    <t>Performs inventory oversight functions for aviation and shipboard components, repairables, and consumables</t>
  </si>
  <si>
    <t>BP81 NUCLEAR - FY2024</t>
  </si>
  <si>
    <t>BP81 Ship Repairable and Consumables - Total Obligations</t>
  </si>
  <si>
    <t>Supply Management &gt; Exhibit SM-3b &gt; BP81 &gt; FY2024 &gt; NUCLEAR</t>
  </si>
  <si>
    <t>NUCLEAR</t>
  </si>
  <si>
    <t>BP81 AMPHIBIOUS - FY2024</t>
  </si>
  <si>
    <t>Supply Management &gt; Exhibit SM-3b &gt; BP81 &gt; FY2024 &gt; AMPHIBIOUS</t>
  </si>
  <si>
    <t>AMPHIBIOUS</t>
  </si>
  <si>
    <t>BP81 COMMON ELECTRONIC - FY2024</t>
  </si>
  <si>
    <t>Supply Management &gt; Exhibit SM-3b &gt; BP81 &gt; FY2024 &gt; COMMON ELECTRONIC</t>
  </si>
  <si>
    <t>COMMON ELECTRONIC</t>
  </si>
  <si>
    <t>BP81 COMMON HM&amp;E - FY2024</t>
  </si>
  <si>
    <t>Supply Management &gt; Exhibit SM-3b &gt; BP81 &gt; FY2024 &gt; COMMON HM&amp;E</t>
  </si>
  <si>
    <t>COMMON HM&amp;E</t>
  </si>
  <si>
    <t>BP81 CRUDES - FY2024</t>
  </si>
  <si>
    <t>Supply Management &gt; Exhibit SM-3b &gt; BP81 &gt; FY2024 &gt; CRUDES</t>
  </si>
  <si>
    <t>CRUDES</t>
  </si>
  <si>
    <t>BP81 CVN - FY2024</t>
  </si>
  <si>
    <t>Supply Management &gt; Exhibit SM-3b &gt; BP81 &gt; FY2024 &gt; CVN</t>
  </si>
  <si>
    <t>BP81 EXPEDITIONARY - FY2024</t>
  </si>
  <si>
    <t>Supply Management &gt; Exhibit SM-3b &gt; BP81 &gt; FY2024 &gt; EXPEDITIONARY</t>
  </si>
  <si>
    <t>EXPEDITIONARY</t>
  </si>
  <si>
    <t>BP81 UM&amp;SC - FY2024</t>
  </si>
  <si>
    <t>Supply Management &gt; Exhibit SM-3b &gt; BP81 &gt; FY2024 &gt; UM&amp;SC</t>
  </si>
  <si>
    <t>UM&amp;SC</t>
  </si>
  <si>
    <t>BP81 L1 ASDS DSSP - FY2024</t>
  </si>
  <si>
    <t>Supply Management &gt; Exhibit SM-3b &gt; BP81 &gt; FY2024 &gt; L1 ASDS DSSP</t>
  </si>
  <si>
    <t>L1 ASDS DSSP</t>
  </si>
  <si>
    <t>BP81 SUBMARINE - FY2024</t>
  </si>
  <si>
    <t>Supply Management &gt; Exhibit SM-3b &gt; BP81 &gt; FY2024 &gt; SUBMARINE</t>
  </si>
  <si>
    <t>SUBMARINE</t>
  </si>
  <si>
    <t>BP81 Total - FY2024</t>
  </si>
  <si>
    <t>Supply Management &gt; Exhibit SM-3b &gt; BP81 &gt; FY2024 &gt; Total</t>
  </si>
  <si>
    <t>BP81 NUCLEAR - FY2025</t>
  </si>
  <si>
    <t>Supply Management &gt; Exhibit SM-3b &gt; BP81 &gt; FY2025 &gt; NUCLEAR</t>
  </si>
  <si>
    <t>BP81 AMPHIBIOUS - FY2025</t>
  </si>
  <si>
    <t>Supply Management &gt; Exhibit SM-3b &gt; BP81 &gt; FY2025 &gt; AMPHIBIOUS</t>
  </si>
  <si>
    <t>BP81 COMMON ELECTRONIC - FY2025</t>
  </si>
  <si>
    <t>Supply Management &gt; Exhibit SM-3b &gt; BP81 &gt; FY2025 &gt; COMMON ELECTRONIC</t>
  </si>
  <si>
    <t>BP81 COMMON HM&amp;E - FY2025</t>
  </si>
  <si>
    <t>Supply Management &gt; Exhibit SM-3b &gt; BP81 &gt; FY2025 &gt; COMMON HM&amp;E</t>
  </si>
  <si>
    <t>BP81 CRUDES - FY2025</t>
  </si>
  <si>
    <t>Supply Management &gt; Exhibit SM-3b &gt; BP81 &gt; FY2025 &gt; CRUDES</t>
  </si>
  <si>
    <t>BP81 CVN - FY2025</t>
  </si>
  <si>
    <t>Supply Management &gt; Exhibit SM-3b &gt; BP81 &gt; FY2025 &gt; CVN</t>
  </si>
  <si>
    <t>BP81 EXPEDITIONARY - FY2025</t>
  </si>
  <si>
    <t>Supply Management &gt; Exhibit SM-3b &gt; BP81 &gt; FY2025 &gt; EXPEDITIONARY</t>
  </si>
  <si>
    <t>BP81 UM&amp;SC - FY2025</t>
  </si>
  <si>
    <t>Supply Management &gt; Exhibit SM-3b &gt; BP81 &gt; FY2025 &gt; UM&amp;SC</t>
  </si>
  <si>
    <t>BP81 L1 ASDS DSSP - FY2025</t>
  </si>
  <si>
    <t>Supply Management &gt; Exhibit SM-3b &gt; BP81 &gt; FY2025 &gt; L1 ASDS DSSP</t>
  </si>
  <si>
    <t>BP81 SUBMARINE - FY2025</t>
  </si>
  <si>
    <t>Supply Management &gt; Exhibit SM-3b &gt; BP81 &gt; FY2025 &gt; SUBMARINE</t>
  </si>
  <si>
    <t>BP81 CLSSA - FY2025</t>
  </si>
  <si>
    <t>Supply Management &gt; Exhibit SM-3b &gt; BP81 &gt; FY2025 &gt; CLSSA</t>
  </si>
  <si>
    <t>CLSSA</t>
  </si>
  <si>
    <t>BP81 Gross Requirement - FY2025</t>
  </si>
  <si>
    <t>Supply Management &gt; Exhibit SM-3b &gt; BP81 &gt; FY2025 &gt; Gross Requirement</t>
  </si>
  <si>
    <t>BP81 NUCLEAR - FY2026</t>
  </si>
  <si>
    <t>Supply Management &gt; Exhibit SM-3b &gt; BP81 &gt; FY2026 &gt; NUCLEAR</t>
  </si>
  <si>
    <t>BP81 AMPHIBIOUS - FY2026</t>
  </si>
  <si>
    <t>Supply Management &gt; Exhibit SM-3b &gt; BP81 &gt; FY2026 &gt; AMPHIBIOUS</t>
  </si>
  <si>
    <t>BP81 COMMON ELECTRONIC - FY2026</t>
  </si>
  <si>
    <t>Supply Management &gt; Exhibit SM-3b &gt; BP81 &gt; FY2026 &gt; COMMON ELECTRONIC</t>
  </si>
  <si>
    <t>BP81 COMMON HM&amp;E - FY2026</t>
  </si>
  <si>
    <t>Supply Management &gt; Exhibit SM-3b &gt; BP81 &gt; FY2026 &gt; COMMON HM&amp;E</t>
  </si>
  <si>
    <t>BP81 CRUDES - FY2026</t>
  </si>
  <si>
    <t>Supply Management &gt; Exhibit SM-3b &gt; BP81 &gt; FY2026 &gt; CRUDES</t>
  </si>
  <si>
    <t>BP81 CVN - FY2026</t>
  </si>
  <si>
    <t>Supply Management &gt; Exhibit SM-3b &gt; BP81 &gt; FY2026 &gt; CVN</t>
  </si>
  <si>
    <t>BP81 EXPEDITIONARY - FY2026</t>
  </si>
  <si>
    <t>Supply Management &gt; Exhibit SM-3b &gt; BP81 &gt; FY2026 &gt; EXPEDITIONARY</t>
  </si>
  <si>
    <t>BP81 UM&amp;SC - FY2026</t>
  </si>
  <si>
    <t>Supply Management &gt; Exhibit SM-3b &gt; BP81 &gt; FY2026 &gt; UM&amp;SC</t>
  </si>
  <si>
    <t>BP81 L1 ASDS DSSP - FY2026</t>
  </si>
  <si>
    <t>Supply Management &gt; Exhibit SM-3b &gt; BP81 &gt; FY2026 &gt; L1 ASDS DSSP</t>
  </si>
  <si>
    <t>BP81 SUBMARINE - FY2026</t>
  </si>
  <si>
    <t>Supply Management &gt; Exhibit SM-3b &gt; BP81 &gt; FY2026 &gt; SUBMARINE</t>
  </si>
  <si>
    <t>BP81 CLSSA - FY2026</t>
  </si>
  <si>
    <t>Supply Management &gt; Exhibit SM-3b &gt; BP81 &gt; FY2026 &gt; CLSSA</t>
  </si>
  <si>
    <t>BP81 Gross Requirement - FY2026</t>
  </si>
  <si>
    <t>Supply Management &gt; Exhibit SM-3b &gt; BP81 &gt; FY2026 &gt; Gross Requirement</t>
  </si>
  <si>
    <t>Supply Orders from O&amp;M Navy</t>
  </si>
  <si>
    <t>Supply Total New Orders</t>
  </si>
  <si>
    <t>Supply Management &gt; Exhibit Fund-11 &gt; O &amp; M Navy</t>
  </si>
  <si>
    <t>Supply Orders from Shipbuilding &amp; Conversion Navy</t>
  </si>
  <si>
    <t>Supply Management &gt; Exhibit Fund-11 &gt; Shipbuilding &amp; Conversion Navy</t>
  </si>
  <si>
    <t>Supply Orders from Aircraft Procurement Navy</t>
  </si>
  <si>
    <t>Supply Management &gt; Exhibit Fund-11 &gt; Aircraft Procurement Navy</t>
  </si>
  <si>
    <t>Aircraft Procurement Navy</t>
  </si>
  <si>
    <t>Supply Orders from Other Procurement Navy</t>
  </si>
  <si>
    <t>Supply Management &gt; Exhibit Fund-11 &gt; Other Procurement Navy</t>
  </si>
  <si>
    <t>Supply Orders from Foreign Military Sales</t>
  </si>
  <si>
    <t>Supply Management &gt; Exhibit Fund-11 &gt; Foreign Military Sales</t>
  </si>
  <si>
    <t>Foreign Military Sales</t>
  </si>
  <si>
    <t>Supply Orders from Navy Working Capital Fund</t>
  </si>
  <si>
    <t>Supply Management &gt; Exhibit Fund-11 &gt; Navy Working Capital Fund</t>
  </si>
  <si>
    <t>Navy Working Capital Fund</t>
  </si>
  <si>
    <t>Supply Management &gt; Exhibit Fund-11 &gt; Total New Orders</t>
  </si>
  <si>
    <t>Supply Carry-In Orders</t>
  </si>
  <si>
    <t>Supply Management &gt; Exhibit Fund-11 &gt; Carry-In Orders</t>
  </si>
  <si>
    <t>Supply Net Sales</t>
  </si>
  <si>
    <t>Supply Management &gt; Exhibit Fund-11 &gt; Net Sales</t>
  </si>
  <si>
    <t>Net Sales</t>
  </si>
  <si>
    <t>Supply Total Income</t>
  </si>
  <si>
    <t>Supply Management &gt; Exhibit Fund-14 &gt; Total Income</t>
  </si>
  <si>
    <t>Supply Cost of Navy Managed Materiel (920)</t>
  </si>
  <si>
    <t>Supply Total Expenses</t>
  </si>
  <si>
    <t>Supply Management &gt; Exhibit Fund-14 &gt; Navy Managed (920)</t>
  </si>
  <si>
    <t>Navy Managed (920)</t>
  </si>
  <si>
    <t>Supply Cost of DLA Managed Materiel (424)</t>
  </si>
  <si>
    <t>Supply Management &gt; Exhibit Fund-14 &gt; DLA Managed (424)</t>
  </si>
  <si>
    <t>DLA Managed (424)</t>
  </si>
  <si>
    <t>Supply Management &gt; Exhibit Fund-14 &gt; Total Expenses</t>
  </si>
  <si>
    <t>Supply Net Operating Result</t>
  </si>
  <si>
    <t>Supply Management &gt; Exhibit Fund-14 &gt; Net Operating Result</t>
  </si>
  <si>
    <t>VACL Material Strategy</t>
  </si>
  <si>
    <t>The Virginia Class (VACL) Material Strategy is an initiative to buy critical initial spare parts in support of VACL submarine Extended Dry-Dock Selected Restricted Availabilities (EDSRA) and Depot Modernization Periods (DMP).</t>
  </si>
  <si>
    <t>Supply Management &gt; Narrative &gt; Significant Changes &gt; VACL Material Strategy</t>
  </si>
  <si>
    <t>Submarine Wholeness (Shipyards) CA increase</t>
  </si>
  <si>
    <t>FY 2026 CA increased by $38 million from FY2025 in support of Submarine Wholeness (Shipyards) increased requirements and DLA/GSA price increase.</t>
  </si>
  <si>
    <t>Supply Management &gt; Narrative &gt; Contract Authority &gt; Retail</t>
  </si>
  <si>
    <t>Amphibious Reset Steam and Diesel BOM</t>
  </si>
  <si>
    <t>Amphibious Reset Steam and Diesel BOM initiative to reduce maintenance delays for aging amphibious ships.</t>
  </si>
  <si>
    <t>Supply Management &gt; Narrative &gt; Significant Changes</t>
  </si>
  <si>
    <t>Shipboard Consumables ICC AIC Rate</t>
  </si>
  <si>
    <t>4.74%</t>
  </si>
  <si>
    <t>Supply Management &gt; Narrative &gt; Unit Cost Ratio &gt; Shipboard Consumables</t>
  </si>
  <si>
    <t>Shipboard Repairables Standard ICC AIC Rate</t>
  </si>
  <si>
    <t>Supply Management &gt; Narrative &gt; Unit Cost Ratio &gt; Shipboard Repairables Standard</t>
  </si>
  <si>
    <t>Shipboard Repairables Net ICC AIC Rate</t>
  </si>
  <si>
    <t>-0.61%</t>
  </si>
  <si>
    <t>Supply Management &gt; Narrative &gt; Unit Cost Ratio &gt; Shipboard Repairables Net</t>
  </si>
  <si>
    <t>FRC Orders from Shipbuilding &amp; Conversion Navy</t>
  </si>
  <si>
    <t>Construction engineering / planning yard</t>
  </si>
  <si>
    <t>Depot Maintenance FRC &gt; Exhibit Fund-11 &gt; Shipbuilding &amp; Conversion Navy</t>
  </si>
  <si>
    <t>72</t>
  </si>
  <si>
    <t>NWCF-FRC</t>
  </si>
  <si>
    <t>Produces quality airframes, engines, components and support equipment for Naval Aviation Enterprise</t>
  </si>
  <si>
    <t>FRC Total New Orders</t>
  </si>
  <si>
    <t>The Fleet Readiness Centers (FRCs) produce quality airframes, engines, components and support equipment, and provide services that meet Naval Aviation Enterprise (NAE) goals.</t>
  </si>
  <si>
    <t>Depot Maintenance FRC &gt; Exhibit Fund-11 &gt; Line 1. New Orders</t>
  </si>
  <si>
    <t>FRC Total Revenue (Total Income)</t>
  </si>
  <si>
    <t>Depot Maintenance FRC &gt; Exhibit Fund-14 &gt; Total Income</t>
  </si>
  <si>
    <t>74</t>
  </si>
  <si>
    <t>FRC Total Expenses (Cost of Goods Sold)</t>
  </si>
  <si>
    <t>Depot Maintenance FRC &gt; Exhibit Fund-14 &gt; Cost of Goods Sold</t>
  </si>
  <si>
    <t>Cost of Goods Sold</t>
  </si>
  <si>
    <t>FRC Orders from O&amp;M Navy</t>
  </si>
  <si>
    <t>Depot Maintenance FRC &gt; Exhibit Fund-11 &gt; O &amp; M Navy</t>
  </si>
  <si>
    <t>FRC Orders from Aircraft Procurement Navy</t>
  </si>
  <si>
    <t>Depot Maintenance FRC &gt; Exhibit Fund-11 &gt; Aircraft Procurement Navy</t>
  </si>
  <si>
    <t>FRC Orders from RDT&amp;E Navy</t>
  </si>
  <si>
    <t>Depot Maintenance FRC &gt; Exhibit Fund-11 &gt; Research Dev. Test &amp; Eval. Navy</t>
  </si>
  <si>
    <t>FRC Orders from Foreign Military Sales</t>
  </si>
  <si>
    <t>Depot Maintenance FRC &gt; Exhibit Fund-11 &gt; Foreign Military Sales</t>
  </si>
  <si>
    <t>FRC Orders from Other Fund Activity Groups</t>
  </si>
  <si>
    <t>Depot Maintenance FRC &gt; Exhibit Fund-11 &gt; Other Fund Activity Groups</t>
  </si>
  <si>
    <t>Other Fund Activity Groups</t>
  </si>
  <si>
    <t>R&amp;D Orders from Shipbuilding &amp; Conversion Navy</t>
  </si>
  <si>
    <t>R&amp;D &gt; Exhibit Fund-11 &gt; Shipbuilding &amp; Conversion Navy</t>
  </si>
  <si>
    <t>NWCF-R&amp;D</t>
  </si>
  <si>
    <t>Supports weapons systems, facilities and equipment through development, engineering, acquisition, in-service support, and repair and maintenance</t>
  </si>
  <si>
    <t>R&amp;D Orders from National Sea Base Deterrence Fund</t>
  </si>
  <si>
    <t>R&amp;D &gt; Exhibit Fund-11 &gt; National Sea Base Deterrence Fund</t>
  </si>
  <si>
    <t>R&amp;D Orders from O&amp;M Navy</t>
  </si>
  <si>
    <t>R&amp;D Total New Orders</t>
  </si>
  <si>
    <t>R&amp;D &gt; Exhibit Fund-11 &gt; O &amp; M Navy</t>
  </si>
  <si>
    <t>R&amp;D Orders from Other Procurement Navy</t>
  </si>
  <si>
    <t>R&amp;D &gt; Exhibit Fund-11 &gt; Other Procurement Navy</t>
  </si>
  <si>
    <t>R&amp;D Orders from Weapons Procurement Navy</t>
  </si>
  <si>
    <t>R&amp;D &gt; Exhibit Fund-11 &gt; Weapons Procurement Navy</t>
  </si>
  <si>
    <t>Weapons Procurement Navy</t>
  </si>
  <si>
    <t>R&amp;D Orders from RDT&amp;E Navy</t>
  </si>
  <si>
    <t>R&amp;D &gt; Exhibit Fund-11 &gt; Research Dev. Test &amp; Eval. Navy</t>
  </si>
  <si>
    <t>R&amp;D Orders from National Defense Sealift Fund</t>
  </si>
  <si>
    <t>R&amp;D &gt; Exhibit Fund-11 &gt; National Defense Sealift Fund</t>
  </si>
  <si>
    <t>R&amp;D Orders from Foreign Military Sales</t>
  </si>
  <si>
    <t>R&amp;D &gt; Exhibit Fund-11 &gt; Foreign Military Sales</t>
  </si>
  <si>
    <t>R&amp;D &gt; Exhibit Fund-11 &gt; Total New Orders</t>
  </si>
  <si>
    <t>R&amp;D Total Revenue (Total Income)</t>
  </si>
  <si>
    <t>R&amp;D &gt; Exhibit Fund-14 &gt; Total Income</t>
  </si>
  <si>
    <t>Working Capital Fund Navy - Direct Appropriation (Naval Surface Warfare Centers)</t>
  </si>
  <si>
    <t>R&amp;D &gt; Exhibit RF-1 &gt; Working Capital Fund Navy &gt; Naval Surface Warfare Centers</t>
  </si>
  <si>
    <t>Supp Book p.4</t>
  </si>
  <si>
    <t>NAWC-38 Vessel Replacement</t>
  </si>
  <si>
    <t>NAWC-38 Vessel Replacement NAWCAD Atlantic Targets and Marine Operations (ATMO) has a Key West mission that supports RDT&amp;E and Fleet Training with maritime support services.</t>
  </si>
  <si>
    <t>General Auxiliary</t>
  </si>
  <si>
    <t>AG</t>
  </si>
  <si>
    <t>R&amp;D &gt; Exhibit Fund-9B &gt; NAWC-38 Vessel Replacement</t>
  </si>
  <si>
    <t>Lake Glendora Heavyweight Ship Shock Platform Infrastructure (Tunable Deck)</t>
  </si>
  <si>
    <t>FY24 Lake Glendora- Heavyweight Ship Shock Platform Infrastructure (Tunable Deck)- $2,500K (NSWC Crane; Crane, IN) - Heavy Weight Shipboard Shock testing is required for both submerged and dry systems that are installed on any fleet vessel.</t>
  </si>
  <si>
    <t>R&amp;D CIP Total</t>
  </si>
  <si>
    <t>R&amp;D &gt; Exhibit Fund-9B &gt; FY24 &gt; NSWC Crane</t>
  </si>
  <si>
    <t>156</t>
  </si>
  <si>
    <t>NSWC Crane</t>
  </si>
  <si>
    <t>Battery-Rated Environmental Test Chamber</t>
  </si>
  <si>
    <t>FY25 Battery-Rated Environmental Test Chamber - $1,400K (NSWC Carderock; Bethesda, MD) - Naval Surface Warfare Center Carderock Division (NSWCCD) Topside Signature Division maintains the unique capability of at sea, in-situ dynamic radar cross section measurements.</t>
  </si>
  <si>
    <t>R&amp;D &gt; Exhibit Fund-9B &gt; FY25 &gt; NSWC Carderock</t>
  </si>
  <si>
    <t>NSWC Carderock</t>
  </si>
  <si>
    <t>Deployable Signature Measurement System</t>
  </si>
  <si>
    <t>FY25 Deployable Signature Measurement System - $2,500K (NSWC Carderock; Bethesda, MD) - Naval Surface Warfare Center Carderock Division (NSWCCD) Topside Signature Division maintains the unique capability of at sea, in-situ dynamic radar cross section measurements.</t>
  </si>
  <si>
    <t>154</t>
  </si>
  <si>
    <t>Modernized Deployable Signature Measurement System for Navy Platforms (RCS)</t>
  </si>
  <si>
    <t>FY26 Modernized Deployable Signature Measurement System for Navy Platforms (Radar Cross Section) - $2,500K (NSWC Carderock; Bethesda, MD) - The proposed deliverable is a modernized mobile radar measurement system, to include updated antennas and high-powered amplifiers.</t>
  </si>
  <si>
    <t>R&amp;D &gt; Exhibit Fund-9B &gt; FY26 &gt; NSWC Carderock</t>
  </si>
  <si>
    <t>Hydrostatic Pressure Vessel</t>
  </si>
  <si>
    <t>FY24 Hydrostatic Pressure Vessel - $5,100K (NUWC Newport; Newport, RI) - Procure and integrate a Hydrostatic Pressure Vessel to perform test and evaluation of shipboard systems relative to volume requirements and hydrostatic pressure requirements.</t>
  </si>
  <si>
    <t>R&amp;D &gt; Exhibit Fund-9B &gt; FY24 &gt; NUWC Newport</t>
  </si>
  <si>
    <t>162</t>
  </si>
  <si>
    <t>NUWC Newport</t>
  </si>
  <si>
    <t>Payload Integration Modernization for Payload Tube Facility - System</t>
  </si>
  <si>
    <t>FY26 Payload Integration Modernization for the Payload Tube Facility - System - $3,810K (NUWC Newport; Newport, RI) - Procure and integrate the Engineering Development Modules to be integrated into the newly constructed Payload Tube Facility.</t>
  </si>
  <si>
    <t>R&amp;D &gt; Exhibit Fund-9B &gt; FY26 &gt; NUWC Newport</t>
  </si>
  <si>
    <t>Building 1319 Land Based Submarine Radio Room Integration</t>
  </si>
  <si>
    <t>FY24 Building 1319 Land Based Submarine Radio Room Integration- $1,362K - (NUWC Newport; Newport, RI) - Perform the construction to unify the classified Land Based Submarine Radio Room laboratories on the 1st floor of Building 1319.</t>
  </si>
  <si>
    <t>R&amp;D &gt; Exhibit Fund-9B &gt; FY24 &gt; NUWC Newport Minor Construction</t>
  </si>
  <si>
    <t>NUWC Newport Minor Construction</t>
  </si>
  <si>
    <t>Submarine Defense Systems Land Based Integration and Test Facility</t>
  </si>
  <si>
    <t>FY25 Submarine Defense Systems Land Based Integration and Test Facility - Construction - $4,725K - (NUWC Newport; Newport, RI) - Construct a 1,500 sq. ft. facility.</t>
  </si>
  <si>
    <t>R&amp;D &gt; Exhibit Fund-9B &gt; FY25 &gt; NUWC Newport Minor Construction</t>
  </si>
  <si>
    <t>Building 13 Heading Sensor Calibration Facility Upgrades</t>
  </si>
  <si>
    <t>FY26 Building 13 Heading Sensor Calibration Facility Upgrades - $3600K - (NUWC Newport; Newport, RI) - Construct a heading sensor calibration facility in Building 13 at Naval Station Newport to support towed array module level heading sensor calibration.</t>
  </si>
  <si>
    <t>R&amp;D &gt; Exhibit Fund-9B &gt; FY26 &gt; NUWC Newport Minor Construction</t>
  </si>
  <si>
    <t>Building 124 Upgrade - Construction</t>
  </si>
  <si>
    <t>FY26 Building 124 Upgrade - Construction - $8,500K - (NUWC Newport; Newport, RI) - Construct a laboratory space as part of Building 124 to allow for current and future processing requirements of fleet weapons integration work.</t>
  </si>
  <si>
    <t>Deep Depth Test Facility Modernization</t>
  </si>
  <si>
    <t>FY25 Deep Depth Test Facility Modernization - Construction - $2,521K - (NUWC Newport; Newport, RI) - Perform the construction to modernize the Deep Depth Test Facility to combat degradation and enhance safety by modernizing the Movable Pressure Vessel.</t>
  </si>
  <si>
    <t>Pier 171 Upgrades</t>
  </si>
  <si>
    <t>FY25 Pier 171 Upgrades - $5,835K - (NUWC Newport; Newport, RI) - Perform construction on Pier 171 at Division Newport's Stillwater Basin to construct a pier that can support a gross vehicle weight limit of 20,000 pounds.</t>
  </si>
  <si>
    <t>UUV/CUUV Support Craft</t>
  </si>
  <si>
    <t>FY25 UUV/CUUV Support Craft - $2,500K - (NUWC Keyport; Keyport, WA) - Procure a vessel to support all UUV/CUUV (and additional) projects during range testing.</t>
  </si>
  <si>
    <t>Unmanned Maritime Platforms</t>
  </si>
  <si>
    <t>Unmanned Undersea Vehicles</t>
  </si>
  <si>
    <t>R&amp;D &gt; Exhibit Fund-9B &gt; FY25 &gt; NUWC Keyport</t>
  </si>
  <si>
    <t>NUWC Keyport</t>
  </si>
  <si>
    <t>Over the Horizon (OTH) Lab Facility - 100% Design</t>
  </si>
  <si>
    <t>FY26 Over the Horizon (OTH) Lab Facility - 100% Design- $800K (NSWC Port Hueneme; Port Hueneme, CA) - Current Building 1326 does not have sufficient space and is in disrepair.</t>
  </si>
  <si>
    <t>R&amp;D &gt; Exhibit Fund-9B &gt; FY26 &gt; NSWC Port Hueneme Minor Construction</t>
  </si>
  <si>
    <t>NSWC Port Hueneme Minor Construction</t>
  </si>
  <si>
    <t>VLS Automated Test Equipment Innovation Facility - 100% Design</t>
  </si>
  <si>
    <t>FY26 VLS Automated Test Equipment Innovation Facility - 100% Design- $800K (NSWC Port Hueneme; Port Hueneme, CA) - Current space in Bldg 7 (Rm 1A&amp;7A) isn't viable for operational testing (space flooded) and doesn't support growth of the VLS Automated Test Equipment.</t>
  </si>
  <si>
    <t>Maritime Mining Lab</t>
  </si>
  <si>
    <t>FY26 Maritime Mining Lab - $4,000K (NSWC Panama City; Panama City, FL) - An 100' X 40' structure with an open first floor high bay including modular rooms, unisex restroom, and lab sinks to the rear.</t>
  </si>
  <si>
    <t>Mine Warfare</t>
  </si>
  <si>
    <t>MCM</t>
  </si>
  <si>
    <t>R&amp;D &gt; Exhibit Fund-9B &gt; FY26 &gt; NSWC Panama City Minor Construction</t>
  </si>
  <si>
    <t>NSWC Panama City Minor Construction</t>
  </si>
  <si>
    <t>Shipboard/Ground Systems Lab Design</t>
  </si>
  <si>
    <t>FY26 Shipboard/Ground Systems Lab Design- $1,800K (NSWC Crane; Crane, IN) - This project will provide adequate space for accomplishing the growing workload in Strategic Systems Shipboard and Ground Systems including hardware and cybersecurity aspects.</t>
  </si>
  <si>
    <t>R&amp;D &gt; Exhibit Fund-9B &gt; FY26 &gt; NSWC Crane Minor Construction</t>
  </si>
  <si>
    <t>NSWC Crane Minor Construction</t>
  </si>
  <si>
    <t>MINCON Construct ARD Boathouse #11</t>
  </si>
  <si>
    <t>FY26 MINCON Construct ARD Boathouse #11 - $1,500 (NSWC Carderock; Bethesda, MD) - New boathouse construction to replace the existing capability, built in 1942.</t>
  </si>
  <si>
    <t>R&amp;D &gt; Exhibit Fund-9B &gt; FY26 &gt; NSWC Carderock Minor Construction</t>
  </si>
  <si>
    <t>NSWC Carderock Minor Construction</t>
  </si>
  <si>
    <t>MINCON Construct V-47 Boathouse</t>
  </si>
  <si>
    <t>FY26 MINCON Construct V-47 Boathouse - $4,690K (NSWC Carderock; Bethesda, MD) - This MINCON would construct a boat house adjacent to the small boat floating finger piers to provide covered boat slips to allow quick repair and/or load out of craft in severe weather.</t>
  </si>
  <si>
    <t>LMSR (Large Medium Speed Ro/Ro) - Construction &amp; Conversion</t>
  </si>
  <si>
    <t>T-AKR</t>
  </si>
  <si>
    <t>Supp Book &gt; Exhibit RF-1 &gt; NDSF &gt; BA01 &gt; LMSR</t>
  </si>
  <si>
    <t>Supp Book p.2</t>
  </si>
  <si>
    <t>NDSF</t>
  </si>
  <si>
    <t>Funds sealift vessels and logistics capabilities for national defense</t>
  </si>
  <si>
    <t>MPF MLP (Mobile Landing Platform)</t>
  </si>
  <si>
    <t>ESD</t>
  </si>
  <si>
    <t>Supp Book &gt; Exhibit RF-1 &gt; NDSF &gt; BA01 &gt; MPF MLP</t>
  </si>
  <si>
    <t>LG Med Spd Ro/Ro Maintenance</t>
  </si>
  <si>
    <t>Supp Book &gt; Exhibit RF-1 &gt; NDSF &gt; BA02 &gt; LG Med Spd Ro/Ro Maintenance</t>
  </si>
  <si>
    <t>DoD Mobilization Alterations</t>
  </si>
  <si>
    <t>Supp Book &gt; Exhibit RF-1 &gt; NDSF &gt; BA02 &gt; DoD Mobilization Alterations</t>
  </si>
  <si>
    <t>NDSF Research and Development</t>
  </si>
  <si>
    <t>Supp Book &gt; Exhibit RF-1 &gt; NDSF &gt; BA04 &gt; Research And Development</t>
  </si>
  <si>
    <t>Supp Book p.3</t>
  </si>
  <si>
    <t>Total National Defense Sealift Fund</t>
  </si>
  <si>
    <t>Supp Book &gt; Exhibit RF-1 &gt; Total National Defense Sealift Fund</t>
  </si>
  <si>
    <t>OMN</t>
  </si>
  <si>
    <t>O&amp;M</t>
  </si>
  <si>
    <t>Ship Maintenance</t>
  </si>
  <si>
    <t>2|3</t>
  </si>
  <si>
    <t>"The total Ship Maintenance program supports 8 Overhauls &amp; 60 maintenance availabilities in FY 2024."</t>
  </si>
  <si>
    <t>BA1 &gt; Ship Operations &gt; 1B4B Ship Maintenance &gt; Financial Summary</t>
  </si>
  <si>
    <t>1B4B</t>
  </si>
  <si>
    <t>Ship Depot Maintenance</t>
  </si>
  <si>
    <t>Overhauls (OH)</t>
  </si>
  <si>
    <t>BA1 &gt; 1B4B &gt; Performance Criteria &gt; Availability Type (Total Program)</t>
  </si>
  <si>
    <t>157</t>
  </si>
  <si>
    <t>Selected Restricted Availabilities (SRA)</t>
  </si>
  <si>
    <t>Surface Incremental Availabilities (SIA)</t>
  </si>
  <si>
    <t>Planned Incremental Availabilities (PIA)</t>
  </si>
  <si>
    <t>Carrier Incremental Availabilities (CIA)</t>
  </si>
  <si>
    <t>Service Craft Overhauls (SCO)</t>
  </si>
  <si>
    <t>Emergent Repair (ERATA)</t>
  </si>
  <si>
    <t>Miscellaneous RA/TA (ORATA)</t>
  </si>
  <si>
    <t>Continuous Maintenance (CM)</t>
  </si>
  <si>
    <t>Non-Depot / Intermediate Maintenance (IL)</t>
  </si>
  <si>
    <t>Norfolk Naval Shipyard (NNSY)</t>
  </si>
  <si>
    <t>BA1 &gt; 1B4B &gt; Performance Criteria &gt; By Shipyard</t>
  </si>
  <si>
    <t>By Shipyard</t>
  </si>
  <si>
    <t>Portsmouth Naval Shipyard (PNSY)</t>
  </si>
  <si>
    <t>Puget Sound Naval Shipyard (PSNSY)</t>
  </si>
  <si>
    <t>Pearl Harbor Naval Shipyard (PHNSY)</t>
  </si>
  <si>
    <t>Intermediate-Level (I-Level) Maintenance - Labor</t>
  </si>
  <si>
    <t>BA1 &gt; 1B4B &gt; Performance Criteria &gt; Table II I-Level</t>
  </si>
  <si>
    <t>Table II I-Level</t>
  </si>
  <si>
    <t>Intermediate-Level (I-Level) Maintenance - Non-Labor</t>
  </si>
  <si>
    <t>MSC Mid-Term Availability (MTA)</t>
  </si>
  <si>
    <t>BA1 &gt; 1B4B &gt; MSC Availability Type</t>
  </si>
  <si>
    <t>MSC Regular Overhaul (ROH)</t>
  </si>
  <si>
    <t>MSC Other Maintenance and Repair</t>
  </si>
  <si>
    <t>PHNSY - SSN 789 EDSRA / SSN 780 DMP / SSN 761 DSRA</t>
  </si>
  <si>
    <t>"Pearl Harbor Naval Shipyard and Intermediate Maintenance Facility (PHNSY and IMF): Program increase in due to increased maintenance and workload at PHNSY &amp; IMF due to induction of USS INDIANA (SSN 789) Extended Docking Selective Restricted Availability (EDSRA), USS MISSOURI (SSN 780) Depot Modernization Period (DMP) and USS SPRINGFIELD (SSN 761) Docking Selective Restricted Availability (DSRA)."</t>
  </si>
  <si>
    <t>BA1 &gt; 1B4B &gt; Reconciliation &gt; Program Increases &gt; i</t>
  </si>
  <si>
    <t>Program Increases</t>
  </si>
  <si>
    <t>i</t>
  </si>
  <si>
    <t>Non-Depot / Intermediate Maintenance (IL) - RMC Support</t>
  </si>
  <si>
    <t>"Non-Depot and Intermediate Maintenance (IL): Program increase in non-labor support of fleet maintenance performed at Southeast Regional Maintenance Center (SERMC), Mid-Atlantic Regional Maintenance Center (MARMC), and Forward Deployed Regional Maintenance Center (FDRMC). (Baseline: $1,429,333)"</t>
  </si>
  <si>
    <t>BA1 &gt; 1B4B &gt; Reconciliation &gt; Program Increases &gt; ii</t>
  </si>
  <si>
    <t>ii</t>
  </si>
  <si>
    <t>PSNSY - USS KENTUCKY (SSBN 737) Induction</t>
  </si>
  <si>
    <t>"Puget Sound Naval Shipyard and Intermediate Maintenance Facility (PSNSY and IMF): Increase in non-labor costs due to increase maintenance workload at PSNSY for induction of USS KENTUCKY (SSBN 737). (Baseline: $871,165)"</t>
  </si>
  <si>
    <t>SSBN / SSGN</t>
  </si>
  <si>
    <t>BA1 &gt; 1B4B &gt; Reconciliation &gt; Program Increases &gt; iii</t>
  </si>
  <si>
    <t>iii</t>
  </si>
  <si>
    <t>ORATA - Outsourcing to Private Sector</t>
  </si>
  <si>
    <t>"Miscellaneous Restricted Technical Availability (RA/TA) (ORATA): Program increase in Outsourcing workload from the Naval Shipyards to the private sector in an effort to increase total capacity to improve submarine readiness. (Baseline: $990,461)"</t>
  </si>
  <si>
    <t>BA1 &gt; 1B4B &gt; Reconciliation &gt; Program Increases &gt; iv</t>
  </si>
  <si>
    <t>iv</t>
  </si>
  <si>
    <t>CIA - CVN 69, CVN 74, CVN 71 Inductions</t>
  </si>
  <si>
    <t>"Carrier Incremental Availabilities (CIA): Program increase in private sector CVN maintenance cost due to induction of USS DWIGHT D. EISENHOWER (CVN 69), USS JOHN C. STENNIS (CVN 74) and USS THEODORE ROOSEVELT (CVN"</t>
  </si>
  <si>
    <t>BA1 &gt; 1B4B &gt; Reconciliation &gt; Program Increases &gt; v</t>
  </si>
  <si>
    <t>v</t>
  </si>
  <si>
    <t>PHNSY - AUKUS SRF-W Non-Labor Support</t>
  </si>
  <si>
    <t>"Pearl Harbor Naval Shipyard and Intermediate Maintenance Facility (PHNSY and IMF): Program increase in non-labor funding to in order to support additional FTEs at PHNSY &amp; IMF for AUKUS-related program support for Submarine Rotational Force - West (SRF-W) to support U.S. operational and repair capability in INDOPACOM. (Baseline: $0)"</t>
  </si>
  <si>
    <t>BA1 &gt; 1B4B &gt; Reconciliation &gt; Program Increases &gt; vi</t>
  </si>
  <si>
    <t>vi</t>
  </si>
  <si>
    <t>SIA - USS ARLEIGH BURKE (DDG 51) / USS RUSHMORE (LSD 47)</t>
  </si>
  <si>
    <t>"Surface Incremental Availabilties (SIA): Program increase in private sector DDG maintenance cost due to induction of USS ARLIEGH BURKE (DDG 51) and USS RUSHMORE (LSD 47). (Baseline: $63,660)"</t>
  </si>
  <si>
    <t>BA1 &gt; 1B4B &gt; Reconciliation &gt; Program Increases &gt; vii</t>
  </si>
  <si>
    <t>vii</t>
  </si>
  <si>
    <t>PSNSY - CVN 72 DPIA / CVN 70 PIA / CVN 73 SRA</t>
  </si>
  <si>
    <t>"Puget Sound Naval Shipyard and Intermediate Maintenance Facility (PSNSY and IMF): Increase in civilian personnel costs due to increase maintenance workload at PSNSY for induction of USS ABRAHAM LINCOLN (CVN 72) Docking Planned Incremental Availability (DPIA), USS CARL VINSON (CVN 70) Planned Incremental Availability (PIA) and USS GEORGE WASHINGTON (CVN 73) Selective Restricted Availability (SRA)."</t>
  </si>
  <si>
    <t>BA1 &gt; 1B4B &gt; Reconciliation &gt; Program Increases &gt; viii</t>
  </si>
  <si>
    <t>viii</t>
  </si>
  <si>
    <t>PSNSY - USS MICHIGAN (SSGN 727) Complexity</t>
  </si>
  <si>
    <t>"Puget Sound Naval Shipyard and Intermediate Maintenance Facility (PSNSY and IMF): Increase in non-labor costs due to increase maintenance workload complexities at PSNSY for USS MICHIGAN (SSGN 727). (Baseline: $871,165)"</t>
  </si>
  <si>
    <t>BA1 &gt; 1B4B &gt; Reconciliation &gt; Program Increases &gt; ix</t>
  </si>
  <si>
    <t>ix</t>
  </si>
  <si>
    <t>PIA - USS GERALD R. FORD (CVN 78)</t>
  </si>
  <si>
    <t>"Planned Incremental Availabilities (PIA): Program increase in private sector CVN maintenance cost due to induction of USS GERALD R. FORD (CVN 78). (Baseline: $322,052)"</t>
  </si>
  <si>
    <t>BA1 &gt; 1B4B &gt; Reconciliation &gt; Program Increases &gt; x</t>
  </si>
  <si>
    <t>x</t>
  </si>
  <si>
    <t>PHNSY - AUKUS SRF-W Civilian Personnel</t>
  </si>
  <si>
    <t>"Pearl Harbor Naval Shipyard and Intermediate Maintenance Facility (PHNSY and IMF): Program increase due to funding additional FTEs at PHNSY &amp; IMF for AUKUS-related program support for Submarine Rotational Force - West (SRF-W) to support U.S. operational and repair capability in INDOPACOM. (Baseline: $0; +147 civilian FTE)"</t>
  </si>
  <si>
    <t>BA1 &gt; 1B4B &gt; Reconciliation &gt; Program Increases &gt; xi</t>
  </si>
  <si>
    <t>xi</t>
  </si>
  <si>
    <t>PNSY - USS NEW MEXICO (SSN 779) DMP</t>
  </si>
  <si>
    <t>"Portsmouth Naval Shipyard (PNSY): Program increase due to increase maintenance workload at PNSY for induction of USS NEW MEXICO (SSN 779) Depot Modernization Period (DMP). (Baseline: $1,468,055)"</t>
  </si>
  <si>
    <t>BA1 &gt; 1B4B &gt; Reconciliation &gt; Program Increases &gt; xii</t>
  </si>
  <si>
    <t>xii</t>
  </si>
  <si>
    <t>NNSY - USS GERALD R. FORD (CVN 78) PIA</t>
  </si>
  <si>
    <t>"Norfolk Naval Shipyard (NNSY): Program increase in civilian personnel costs due to increase maintenance and workload at NNSY for induction of USS GERALD R. FORD (CVN 78) Planned Incremental Availability (PIA). (Baseline: $1,259,521; +92 civilian FTE)"</t>
  </si>
  <si>
    <t>BA1 &gt; 1B4B &gt; Reconciliation &gt; Program Increases &gt; xiv</t>
  </si>
  <si>
    <t>33</t>
  </si>
  <si>
    <t>xiv</t>
  </si>
  <si>
    <t>PNSY - USS ALBANY (SSN 753) DSRA / USS NEW MEXICO (SSN 779) DMP</t>
  </si>
  <si>
    <t>"Portsmouth Naval Shipyard (PNSY): Program increase in civilian personnel costs due to increase maintenance workload at PNSY for induction of USS ALBANY (SSN 753) Docking Selective Restrictive Availability (DSRA) and USS NEW MEXICO (SSN 779) Depot Modernization Period (DMP). (Baseline: $854,614; +84 civilian FTE)"</t>
  </si>
  <si>
    <t>BA1 &gt; 1B4B &gt; Reconciliation &gt; Program Increases &gt; xv</t>
  </si>
  <si>
    <t>xv</t>
  </si>
  <si>
    <t>SRA - USS JOHN F. KENNEDY (CVN 79) Decrease</t>
  </si>
  <si>
    <t>"Selective Restricted Availabilities (SRA): Program decrease due to a decrease in requirements for induction of USS JOHN"</t>
  </si>
  <si>
    <t>BA1 &gt; 1B4B &gt; Reconciliation &gt; Program Decreases &gt; ii</t>
  </si>
  <si>
    <t>Program Decreases</t>
  </si>
  <si>
    <t>Efficiency - Contract Services Reduction</t>
  </si>
  <si>
    <t>"Efficiency - Contract Services: Reduces contracts for Advisory and Assistance Services to promote efficiencies and advance the policies of the Administration in alignment with Executive Order 14222, "Implementing the President's Department of Government Efficiency Cost Efficiency Initiative." (Baseline: $11,763,594) -76,395"</t>
  </si>
  <si>
    <t>BA1 &gt; 1B4B &gt; Reconciliation &gt; Program Decreases &gt; iv</t>
  </si>
  <si>
    <t>Efficiency - Workforce Optimization (Public Shipyards)</t>
  </si>
  <si>
    <t>"Efficiency - Workforce Optimization: Reduces civilian personnel full-time equivalents and funding to optimize the workforce in compliance with Executive Order 14210, "Implementing the President's Department of Government Efficiency Workforce Optimization Initiative." (Baseline: $5,061,857; -983 civilian FTE) -207,734 FY 2026 Budget Request"</t>
  </si>
  <si>
    <t>BA1 &gt; 1B4B &gt; Reconciliation &gt; Program Decreases &gt; v</t>
  </si>
  <si>
    <t>928</t>
  </si>
  <si>
    <t>Ship Maintenance By Contract</t>
  </si>
  <si>
    <t>BA1 &gt; 1B4B &gt; OP-32 Line Items &gt; 928</t>
  </si>
  <si>
    <t>928 - Ship Maintenance by Contract</t>
  </si>
  <si>
    <t>922</t>
  </si>
  <si>
    <t>Equipment Maintenance By Contract</t>
  </si>
  <si>
    <t>BA1 &gt; 1B4B &gt; OP-32 Line Items &gt; 922</t>
  </si>
  <si>
    <t>922 - Equipment Maintenance by Contract</t>
  </si>
  <si>
    <t>Executive, General and Special Schedules</t>
  </si>
  <si>
    <t>BA1 &gt; 1B4B &gt; OP-32 Line Items &gt; 101</t>
  </si>
  <si>
    <t>177</t>
  </si>
  <si>
    <t>101 - Executive, General and Special Schedules</t>
  </si>
  <si>
    <t>Wage Board</t>
  </si>
  <si>
    <t>BA1 &gt; 1B4B &gt; OP-32 Line Items &gt; 103</t>
  </si>
  <si>
    <t>103 - Wage Board</t>
  </si>
  <si>
    <t>Navy Managed Supplies &amp; Materials</t>
  </si>
  <si>
    <t>BA1 &gt; 1B4B &gt; OP-32 Line Items &gt; 412</t>
  </si>
  <si>
    <t>412 - Navy Managed Supplies &amp; Materials</t>
  </si>
  <si>
    <t>424</t>
  </si>
  <si>
    <t>DLA Material Supply Chain - Weapon Systems</t>
  </si>
  <si>
    <t>BA1 &gt; 1B4B &gt; OP-32 Line Items &gt; 424</t>
  </si>
  <si>
    <t>424 - DLA Material Supply Chain (Weapon Systems)</t>
  </si>
  <si>
    <t>611</t>
  </si>
  <si>
    <t>Naval Surface Warfare Center</t>
  </si>
  <si>
    <t>BA1 &gt; 1B4B &gt; OP-32 Line Items &gt; 611</t>
  </si>
  <si>
    <t>611 - Naval Surface Warfare Center</t>
  </si>
  <si>
    <t>930</t>
  </si>
  <si>
    <t>Other Depot Maintenance Non-Fund</t>
  </si>
  <si>
    <t>BA1 &gt; 1B4B &gt; OP-32 Line Items &gt; 930</t>
  </si>
  <si>
    <t>930 - Other Depot Maintenance (Non-Fund)</t>
  </si>
  <si>
    <t>987</t>
  </si>
  <si>
    <t>Other Intra-Government Purchases</t>
  </si>
  <si>
    <t>BA1 &gt; 1B4B &gt; OP-32 Line Items &gt; 987</t>
  </si>
  <si>
    <t>987 - Other Intragovernmental Purchases</t>
  </si>
  <si>
    <t>SSN 753</t>
  </si>
  <si>
    <t>USS ALBANY - SRA</t>
  </si>
  <si>
    <t>BA1 &gt; 1B4B &gt; Table III CNO Availabilities</t>
  </si>
  <si>
    <t>SSN 778</t>
  </si>
  <si>
    <t>USS NEW HAMPSHIRE - OH</t>
  </si>
  <si>
    <t>SSN 779</t>
  </si>
  <si>
    <t>USS NEW MEXICO - OH</t>
  </si>
  <si>
    <t>CVN 078</t>
  </si>
  <si>
    <t>USS GERALD R. FORD - PIA</t>
  </si>
  <si>
    <t>CVN 074</t>
  </si>
  <si>
    <t>USS JOHN C STENNIS - CIA</t>
  </si>
  <si>
    <t>SSN 762</t>
  </si>
  <si>
    <t>USS COLUMBUS - OH</t>
  </si>
  <si>
    <t>SSN 768</t>
  </si>
  <si>
    <t>USS HARTFORD - OH</t>
  </si>
  <si>
    <t>DDG 088</t>
  </si>
  <si>
    <t>USS PREBLE - SRA</t>
  </si>
  <si>
    <t>DDG 113</t>
  </si>
  <si>
    <t>USS JOHN FINN - SIA</t>
  </si>
  <si>
    <t>CVN 069</t>
  </si>
  <si>
    <t>USS DWIGHT D EISENHOWER - CIA</t>
  </si>
  <si>
    <t>LPD 018</t>
  </si>
  <si>
    <t>USS NEW ORLEANS - SIA</t>
  </si>
  <si>
    <t>SSBN 737</t>
  </si>
  <si>
    <t>USS KENTUCKY - SRA</t>
  </si>
  <si>
    <t>CVN 071</t>
  </si>
  <si>
    <t>USS THEODORE ROOSEVELT - CIA</t>
  </si>
  <si>
    <t>LCC 019</t>
  </si>
  <si>
    <t>USS BLUE RIDGE - SRA</t>
  </si>
  <si>
    <t>Command Ships</t>
  </si>
  <si>
    <t>LCC</t>
  </si>
  <si>
    <t>CVN 073</t>
  </si>
  <si>
    <t>USS GEORGE WASHINGTON - SRA</t>
  </si>
  <si>
    <t>DDG 117</t>
  </si>
  <si>
    <t>USS PAUL IGNATIUS - SRA</t>
  </si>
  <si>
    <t>DDG 105</t>
  </si>
  <si>
    <t>USS DEWEY - SRA</t>
  </si>
  <si>
    <t>SSN 789</t>
  </si>
  <si>
    <t>USS INDIANA - SRA</t>
  </si>
  <si>
    <t>DDG 115</t>
  </si>
  <si>
    <t>USS RAFAEL PERALTA - SIA</t>
  </si>
  <si>
    <t>CVN 079</t>
  </si>
  <si>
    <t>USS JOHN F KENNEDY - SRA</t>
  </si>
  <si>
    <t>LPD 022</t>
  </si>
  <si>
    <t>USS SAN DIEGO - SRA</t>
  </si>
  <si>
    <t>SSN 021</t>
  </si>
  <si>
    <t>USS SEAWOLF - SRA</t>
  </si>
  <si>
    <t>DDG 069</t>
  </si>
  <si>
    <t>USS MILIUS - SIA</t>
  </si>
  <si>
    <t>DDG 084</t>
  </si>
  <si>
    <t>USS BULKELEY - SIA</t>
  </si>
  <si>
    <t>DDG 086</t>
  </si>
  <si>
    <t>USS SHOUP - SIA</t>
  </si>
  <si>
    <t>USS GERALD R FORD (PIA) - PIA</t>
  </si>
  <si>
    <t>161</t>
  </si>
  <si>
    <t>SSN 776</t>
  </si>
  <si>
    <t>USS HAWAII - CMAV</t>
  </si>
  <si>
    <t>DDG 076</t>
  </si>
  <si>
    <t>USS HIGGINS - SRA</t>
  </si>
  <si>
    <t>DDG 085</t>
  </si>
  <si>
    <t>USS MCCAMPBELL - SIA</t>
  </si>
  <si>
    <t>CVN 072</t>
  </si>
  <si>
    <t>USS ABRAHAM LINCOLN - PIA</t>
  </si>
  <si>
    <t>SSN 780</t>
  </si>
  <si>
    <t>USS MISSOURI - OH</t>
  </si>
  <si>
    <t>DDG 051</t>
  </si>
  <si>
    <t>USS ARLEIGH BURKE - SIA</t>
  </si>
  <si>
    <t>SSN 759</t>
  </si>
  <si>
    <t>USS JEFFERSON CITY - SRA</t>
  </si>
  <si>
    <t>DDG 089</t>
  </si>
  <si>
    <t>USS MUSTIN - SIA</t>
  </si>
  <si>
    <t>LSD 047</t>
  </si>
  <si>
    <t>USS RUSHMORE - SIA</t>
  </si>
  <si>
    <t>LSD</t>
  </si>
  <si>
    <t>SSN 761</t>
  </si>
  <si>
    <t>USS SPRINGFIELD - SRA</t>
  </si>
  <si>
    <t>LHD 001</t>
  </si>
  <si>
    <t>USS WASP - SRA</t>
  </si>
  <si>
    <t>OPN-funded; not OMN TAM</t>
  </si>
  <si>
    <t>LHD</t>
  </si>
  <si>
    <t>BA1 &gt; 1B4B &gt; Table III CNO Availabilities (OPN)</t>
  </si>
  <si>
    <t>DDG 058</t>
  </si>
  <si>
    <t>USS LABOON - SRA</t>
  </si>
  <si>
    <t>LPD 021</t>
  </si>
  <si>
    <t>USS NEW YORK - SRA</t>
  </si>
  <si>
    <t>LSD 051</t>
  </si>
  <si>
    <t>USS OAK HILL - SRA</t>
  </si>
  <si>
    <t>DDG 068</t>
  </si>
  <si>
    <t>USS THE SULLIVANS - SRA</t>
  </si>
  <si>
    <t>LHA 006</t>
  </si>
  <si>
    <t>USS AMERICA - SRA</t>
  </si>
  <si>
    <t>LSD 052</t>
  </si>
  <si>
    <t>USS PEARL HARBOR - SRA</t>
  </si>
  <si>
    <t>DDG 098</t>
  </si>
  <si>
    <t>USS FORREST SHERMAN - OH</t>
  </si>
  <si>
    <t>DDG 096</t>
  </si>
  <si>
    <t>USS BAINBRIDGE - SRA</t>
  </si>
  <si>
    <t>DDG 067</t>
  </si>
  <si>
    <t>USS COLE - SRA</t>
  </si>
  <si>
    <t>DDG 106</t>
  </si>
  <si>
    <t>USS STOCKDALE - SRA</t>
  </si>
  <si>
    <t>LCS 022</t>
  </si>
  <si>
    <t>USS KANSAS CITY - SRA</t>
  </si>
  <si>
    <t>LCS 013</t>
  </si>
  <si>
    <t>USS WICHITA - SRA</t>
  </si>
  <si>
    <t>LHD 007</t>
  </si>
  <si>
    <t>USS IWO JIMA - SRA</t>
  </si>
  <si>
    <t>LPD 028</t>
  </si>
  <si>
    <t>USS FORT LAUDERDALE - SRA</t>
  </si>
  <si>
    <t>DDG 116</t>
  </si>
  <si>
    <t>USS THOMAS HUDNER - SRA</t>
  </si>
  <si>
    <t>DDG 102</t>
  </si>
  <si>
    <t>USS SAMPSON - OH</t>
  </si>
  <si>
    <t>LPD 017</t>
  </si>
  <si>
    <t>USS SAN ANTONIO - SRA</t>
  </si>
  <si>
    <t>DDG-1001</t>
  </si>
  <si>
    <t>USS MICHAEL MONSOOR - SRA</t>
  </si>
  <si>
    <t>DDG 072</t>
  </si>
  <si>
    <t>USS MAHAN - SRA</t>
  </si>
  <si>
    <t>DDG 123</t>
  </si>
  <si>
    <t>USS LENAH H. SUTCLIFFE HIGBEE - SRA</t>
  </si>
  <si>
    <t>LCS 030</t>
  </si>
  <si>
    <t>USS CANBERRA - SRA</t>
  </si>
  <si>
    <t>LCS 034</t>
  </si>
  <si>
    <t>USS AUGUSTA - SRA</t>
  </si>
  <si>
    <t>DDG 091</t>
  </si>
  <si>
    <t>USS PINCKNEY - OH</t>
  </si>
  <si>
    <t>CG 071</t>
  </si>
  <si>
    <t>USS CAPE ST GEORGE - SRA</t>
  </si>
  <si>
    <t>CG</t>
  </si>
  <si>
    <t>LHD 004</t>
  </si>
  <si>
    <t>USS BOXER - SRA</t>
  </si>
  <si>
    <t>DDG 075</t>
  </si>
  <si>
    <t>USS DONALD COOK - SRA</t>
  </si>
  <si>
    <t>AS 39</t>
  </si>
  <si>
    <t>USS EMORY LAND</t>
  </si>
  <si>
    <t>Material Support Ships</t>
  </si>
  <si>
    <t>AS</t>
  </si>
  <si>
    <t>BA1 &gt; 1B4B &gt; Table IV MSC M&amp;R</t>
  </si>
  <si>
    <t>AS 40</t>
  </si>
  <si>
    <t>USS FRANK CABLE</t>
  </si>
  <si>
    <t>ESB 3</t>
  </si>
  <si>
    <t>USS LEWIS B. PULLER</t>
  </si>
  <si>
    <t>ESB 4</t>
  </si>
  <si>
    <t>ESB 4 H. WILLIAMS</t>
  </si>
  <si>
    <t>ESB 5</t>
  </si>
  <si>
    <t>USNS MIGUEL KEITH</t>
  </si>
  <si>
    <t>ESB 6</t>
  </si>
  <si>
    <t>USNS JOHN L CANLEY</t>
  </si>
  <si>
    <t>ESB 7</t>
  </si>
  <si>
    <t>USNS ROBERT E SIMANEK</t>
  </si>
  <si>
    <t>ESB 8</t>
  </si>
  <si>
    <t>USNS HECTOR A. CAFFERATA JR.</t>
  </si>
  <si>
    <t>HST 1</t>
  </si>
  <si>
    <t>USNS GUAM</t>
  </si>
  <si>
    <t>High Speed Transport</t>
  </si>
  <si>
    <t>HST</t>
  </si>
  <si>
    <t>LCC 20</t>
  </si>
  <si>
    <t>USS MT WHITNEY</t>
  </si>
  <si>
    <t>T-AG 5001</t>
  </si>
  <si>
    <t>USNS VADM K.R. WHEELER</t>
  </si>
  <si>
    <t>T-AGOS 19</t>
  </si>
  <si>
    <t>USNS VICTORIOUS</t>
  </si>
  <si>
    <t>T-AGOS 20</t>
  </si>
  <si>
    <t>USNS ABLE</t>
  </si>
  <si>
    <t>T-AGOS 21</t>
  </si>
  <si>
    <t>USNS EFFECTIVE</t>
  </si>
  <si>
    <t>T-AGOS 22</t>
  </si>
  <si>
    <t>USNS LOYAL</t>
  </si>
  <si>
    <t>T-AGOS 23</t>
  </si>
  <si>
    <t>USNS IMPECCABLE</t>
  </si>
  <si>
    <t>T-AGS 45</t>
  </si>
  <si>
    <t>USNS WATERS</t>
  </si>
  <si>
    <t>T-AGS 60</t>
  </si>
  <si>
    <t>USNS PATHFINDER</t>
  </si>
  <si>
    <t>T-AGS 62</t>
  </si>
  <si>
    <t>USNS BOWDITCH</t>
  </si>
  <si>
    <t>T-AGS 63</t>
  </si>
  <si>
    <t>USNS HENSON</t>
  </si>
  <si>
    <t>T-AGS 64</t>
  </si>
  <si>
    <t>USNS BRUCE HEEZEN</t>
  </si>
  <si>
    <t>T-AGS 65</t>
  </si>
  <si>
    <t>USNS MARY SEARS</t>
  </si>
  <si>
    <t>T-AGS 66</t>
  </si>
  <si>
    <t>USNS MARIE THARP</t>
  </si>
  <si>
    <t>T-AGS 67</t>
  </si>
  <si>
    <t>USNS ROBERT BALLARD</t>
  </si>
  <si>
    <t>T-AGSE 1</t>
  </si>
  <si>
    <t>USNS BLACK POWDER</t>
  </si>
  <si>
    <t>Submarine Escort Ship</t>
  </si>
  <si>
    <t>AGSE</t>
  </si>
  <si>
    <t>T-AGSE 2</t>
  </si>
  <si>
    <t>USNS WEST WIND</t>
  </si>
  <si>
    <t>T-AGSE 3</t>
  </si>
  <si>
    <t>USNS EAGLE VIEW</t>
  </si>
  <si>
    <t>T-AGSE 4</t>
  </si>
  <si>
    <t>USNS ARROWHEAD</t>
  </si>
  <si>
    <t>T-AH 19</t>
  </si>
  <si>
    <t>USNS MERCY</t>
  </si>
  <si>
    <t>Hospital Ship</t>
  </si>
  <si>
    <t>T-AH</t>
  </si>
  <si>
    <t>T-AH 20</t>
  </si>
  <si>
    <t>USNS COMFORT</t>
  </si>
  <si>
    <t>T-AKE 1</t>
  </si>
  <si>
    <t>USNS LEWIS AND CLARK</t>
  </si>
  <si>
    <t>T-AKE</t>
  </si>
  <si>
    <t>T-AKE 10</t>
  </si>
  <si>
    <t>USNS CHARLES DREW</t>
  </si>
  <si>
    <t>T-AKE 11</t>
  </si>
  <si>
    <t>USNS WASHINGTON CHAMBERS</t>
  </si>
  <si>
    <t>T-AKE 12</t>
  </si>
  <si>
    <t>USNS WILLIAM MCLEAN</t>
  </si>
  <si>
    <t>T-AKE 13</t>
  </si>
  <si>
    <t>USNS MEDGAR EVERS</t>
  </si>
  <si>
    <t>T-AKE 14</t>
  </si>
  <si>
    <t>USNS CESAR CHAVEZ</t>
  </si>
  <si>
    <t>T-AKE 2</t>
  </si>
  <si>
    <t>USNS SACAGAWEA</t>
  </si>
  <si>
    <t>T-AKE 3</t>
  </si>
  <si>
    <t>USNS ALAN SHEPARD</t>
  </si>
  <si>
    <t>T-AKE 4</t>
  </si>
  <si>
    <t>USNS RICHARD E. BYRD</t>
  </si>
  <si>
    <t>T-AKE 5</t>
  </si>
  <si>
    <t>USNS ROBERT E PEARY</t>
  </si>
  <si>
    <t>T-AKE 6</t>
  </si>
  <si>
    <t>USNS AMELIA EARHART</t>
  </si>
  <si>
    <t>T-AKE 7</t>
  </si>
  <si>
    <t>USNS CARL BRASHEAR</t>
  </si>
  <si>
    <t>T-AKE 8</t>
  </si>
  <si>
    <t>USNS WALLY SCHIRRA</t>
  </si>
  <si>
    <t>T-AKE 9</t>
  </si>
  <si>
    <t>USNS MATTHEW PERRY</t>
  </si>
  <si>
    <t>T-AO 187</t>
  </si>
  <si>
    <t>USNS HENRY J. KAISER</t>
  </si>
  <si>
    <t>T-AO 188</t>
  </si>
  <si>
    <t>USNS JOSHUA HUMPHREYS</t>
  </si>
  <si>
    <t>T-AO 189</t>
  </si>
  <si>
    <t>USNS JOHN LENTHALL</t>
  </si>
  <si>
    <t>T-AO 194</t>
  </si>
  <si>
    <t>USNS JOHN ERICSSON</t>
  </si>
  <si>
    <t>T-AO 195</t>
  </si>
  <si>
    <t>USNS LEROY GRUMMAN</t>
  </si>
  <si>
    <t>T-AO 196</t>
  </si>
  <si>
    <t>USNS KANAWHA</t>
  </si>
  <si>
    <t>T-AO 197</t>
  </si>
  <si>
    <t>USNS PECOS</t>
  </si>
  <si>
    <t>T-AO 198</t>
  </si>
  <si>
    <t>USNS BIG HORN</t>
  </si>
  <si>
    <t>T-AO 199</t>
  </si>
  <si>
    <t>USNS TIPPECANOE</t>
  </si>
  <si>
    <t>T-AO 200</t>
  </si>
  <si>
    <t>USNS GUADALUPE</t>
  </si>
  <si>
    <t>T-AO 201</t>
  </si>
  <si>
    <t>USNS PATUXENT</t>
  </si>
  <si>
    <t>T-AO 202</t>
  </si>
  <si>
    <t>USNS YUKON</t>
  </si>
  <si>
    <t>T-AO 203</t>
  </si>
  <si>
    <t>USNS LARAMIE</t>
  </si>
  <si>
    <t>T-AO 204</t>
  </si>
  <si>
    <t>USNS RAPPAHANNOCK</t>
  </si>
  <si>
    <t>T-AO 205</t>
  </si>
  <si>
    <t>USNS JOHN LEWIS</t>
  </si>
  <si>
    <t>T-AO 206</t>
  </si>
  <si>
    <t>USNS HARVEY MILK</t>
  </si>
  <si>
    <t>T-AO 207</t>
  </si>
  <si>
    <t>USNS EARL WARREN</t>
  </si>
  <si>
    <t>T-AO 208</t>
  </si>
  <si>
    <t>USNS ROBERT F KENNEDY</t>
  </si>
  <si>
    <t>T-AO 209</t>
  </si>
  <si>
    <t>USNS STONE</t>
  </si>
  <si>
    <t>T-AOE 6</t>
  </si>
  <si>
    <t>USNS SUPPLY</t>
  </si>
  <si>
    <t>T-AOE</t>
  </si>
  <si>
    <t>USNS SUPPLY (ops)</t>
  </si>
  <si>
    <t>T-AOE 8</t>
  </si>
  <si>
    <t>USNS ARCTIC</t>
  </si>
  <si>
    <t>T-ARS 51</t>
  </si>
  <si>
    <t>USNS GRASP</t>
  </si>
  <si>
    <t>ARS</t>
  </si>
  <si>
    <t>T-ARS 52</t>
  </si>
  <si>
    <t>USNS SALVOR</t>
  </si>
  <si>
    <t>T-ATF 168</t>
  </si>
  <si>
    <t>USNS CATAWBA</t>
  </si>
  <si>
    <t>ATF</t>
  </si>
  <si>
    <t>T-ATS 11</t>
  </si>
  <si>
    <t>USNS BILLY FRANK JR</t>
  </si>
  <si>
    <t>T-ATS 12</t>
  </si>
  <si>
    <t>USNS SOLOMON ATKINSON</t>
  </si>
  <si>
    <t>T-ATS 6</t>
  </si>
  <si>
    <t>USNS NAVAJO</t>
  </si>
  <si>
    <t>T-ATS 7</t>
  </si>
  <si>
    <t>USNS CHEROKEE NATION</t>
  </si>
  <si>
    <t>T-EPF 11</t>
  </si>
  <si>
    <t>USNS PUERTO RICO</t>
  </si>
  <si>
    <t>T-EPF 9</t>
  </si>
  <si>
    <t>USNS BISMARK</t>
  </si>
  <si>
    <t>T-EPF 14</t>
  </si>
  <si>
    <t>USNS CODY</t>
  </si>
  <si>
    <t>T-EPF 15</t>
  </si>
  <si>
    <t>USNS POINT LOMA</t>
  </si>
  <si>
    <t>T-ESD 1</t>
  </si>
  <si>
    <t>USNS MONTFORD POINT</t>
  </si>
  <si>
    <t>T-ESD 2</t>
  </si>
  <si>
    <t>USNS JOHN GLENN</t>
  </si>
  <si>
    <t>USS PEARL HARBOR</t>
  </si>
  <si>
    <t>[UNFUNDED]</t>
  </si>
  <si>
    <t>BA1 &gt; 1B4B &gt; Table VI Deferred Maintenance &gt; SWE</t>
  </si>
  <si>
    <t>173</t>
  </si>
  <si>
    <t>USS IWO JIMA</t>
  </si>
  <si>
    <t>USS AMERICA</t>
  </si>
  <si>
    <t>LSD 045</t>
  </si>
  <si>
    <t>USS COMSTOCK</t>
  </si>
  <si>
    <t>DDG 1001</t>
  </si>
  <si>
    <t>USS MICHAEL MONSOOR</t>
  </si>
  <si>
    <t>DDG 065</t>
  </si>
  <si>
    <t>USS BENFOLD</t>
  </si>
  <si>
    <t>USS SAN ANTONIO</t>
  </si>
  <si>
    <t>USS LENAH H SUTCLIFFE HIGBEE</t>
  </si>
  <si>
    <t>USS HIGGINS</t>
  </si>
  <si>
    <t>DDG 079</t>
  </si>
  <si>
    <t>USS OSCAR AUSTIN</t>
  </si>
  <si>
    <t>USS FORREST SHERMAN</t>
  </si>
  <si>
    <t>USS MAHAN</t>
  </si>
  <si>
    <t>LCS 012</t>
  </si>
  <si>
    <t>USS OMAHA</t>
  </si>
  <si>
    <t>USS KANSAS CITY</t>
  </si>
  <si>
    <t>USS CANBERRA</t>
  </si>
  <si>
    <t>USS AUGUSTA</t>
  </si>
  <si>
    <t>174</t>
  </si>
  <si>
    <t>USS PAUL IGNATIUS</t>
  </si>
  <si>
    <t>USS SAN DIEGO</t>
  </si>
  <si>
    <t>DDG 110</t>
  </si>
  <si>
    <t>USS WILLIAM P LAWRENCE</t>
  </si>
  <si>
    <t>USS DEWEY</t>
  </si>
  <si>
    <t>DDG 081</t>
  </si>
  <si>
    <t>USS WINSTON S CHURCHILL</t>
  </si>
  <si>
    <t>DDG 077</t>
  </si>
  <si>
    <t>USS O'KANE</t>
  </si>
  <si>
    <t>DDG 112</t>
  </si>
  <si>
    <t>USS MICHAEL MURPHY</t>
  </si>
  <si>
    <t>30</t>
  </si>
  <si>
    <t>USS PINCKNEY</t>
  </si>
  <si>
    <t>DDG 054</t>
  </si>
  <si>
    <t>USS CURTIS WILBUR</t>
  </si>
  <si>
    <t>Total SWE Deferred Maintenance</t>
  </si>
  <si>
    <t>USS DWIGHT D. EISENHOWER</t>
  </si>
  <si>
    <t>BA1 &gt; 1B4B &gt; Table VI Deferred Maintenance &gt; NAE</t>
  </si>
  <si>
    <t>CVN 070</t>
  </si>
  <si>
    <t>USS CARL VINSON</t>
  </si>
  <si>
    <t>CVN 076</t>
  </si>
  <si>
    <t>USS RONALD REAGAN</t>
  </si>
  <si>
    <t>USS ABRAHAM LINCOLN</t>
  </si>
  <si>
    <t>USS GERALD R. FORD</t>
  </si>
  <si>
    <t>Total NAE Deferred Maintenance</t>
  </si>
  <si>
    <t>Ship Depot Operations Support</t>
  </si>
  <si>
    <t>BA1 &gt; Ship Operations &gt; 1B5B Ship Depot Operations Support</t>
  </si>
  <si>
    <t>180</t>
  </si>
  <si>
    <t>1B5B</t>
  </si>
  <si>
    <t>DDG-1000 Maintenance and Support</t>
  </si>
  <si>
    <t>"System Engineering requirements to support planned Pointing &amp; Firing Cutouts. DDG 1000 completing modernization availability in FY25."</t>
  </si>
  <si>
    <t>BA1 &gt; 1B5B &gt; Performance Criteria</t>
  </si>
  <si>
    <t>186</t>
  </si>
  <si>
    <t>Mine Countermeasures Ship Support</t>
  </si>
  <si>
    <t>PRE/PRL CV/CVN Technical Support</t>
  </si>
  <si>
    <t>Service Craft Support, Boats/Targets Rehab</t>
  </si>
  <si>
    <t>Surface &amp; Amphibious Ship Support</t>
  </si>
  <si>
    <t>"ISEA support for increased reliability and sustainability; combat system support facilities for LCS testing, integration, and certification. Includes LCS 13-19 in-service retention."</t>
  </si>
  <si>
    <t>Facilities and Supply Support Operations</t>
  </si>
  <si>
    <t>Nuclear Propulsion Technical Logistics and Operating Reactor Plant Technology</t>
  </si>
  <si>
    <t>Supervisor of Shipbuilding Costs</t>
  </si>
  <si>
    <t>Navy Modernization Process (NMP)</t>
  </si>
  <si>
    <t>BA1 &gt; 1B5B &gt; Performance Criteria &gt; NMP</t>
  </si>
  <si>
    <t>NMP - Navy Data Environment</t>
  </si>
  <si>
    <t>BA1 &gt; 1B5B &gt; NMP &gt; Navy Data Environment</t>
  </si>
  <si>
    <t>Navy Data Environment</t>
  </si>
  <si>
    <t>NMP - Submarines</t>
  </si>
  <si>
    <t>BA1 &gt; 1B5B &gt; NMP &gt; Submarines</t>
  </si>
  <si>
    <t>NMP - DDG</t>
  </si>
  <si>
    <t>"DDG Modernization planned installations, availability planning, training, waterfront engineering. Ships in execution: DDG 75, DDG 91, DDG 101, DDG 103."</t>
  </si>
  <si>
    <t>BA1 &gt; 1B5B &gt; NMP &gt; DDG</t>
  </si>
  <si>
    <t>NMP - Amphibious Ships</t>
  </si>
  <si>
    <t>"USS IWO JIMA (LHD 7) JSF Modernization shifting to FY2026 from FY25."</t>
  </si>
  <si>
    <t>BA1 &gt; 1B5B &gt; NMP &gt; Amphibious Ships</t>
  </si>
  <si>
    <t>NMP - Surface Combatants</t>
  </si>
  <si>
    <t>BA1 &gt; 1B5B &gt; NMP &gt; Surface Combatants</t>
  </si>
  <si>
    <t>NMP - Carriers</t>
  </si>
  <si>
    <t>"Dual Band Radar obsolescence and RADAR Suite Drawings on CVN 78. CVN schedule-driven availabilities with Ship Change Documents."</t>
  </si>
  <si>
    <t>BA1 &gt; 1B5B &gt; NMP &gt; Carriers</t>
  </si>
  <si>
    <t>Carriers</t>
  </si>
  <si>
    <t>NMP - Cruiser Modernization</t>
  </si>
  <si>
    <t>BA1 &gt; 1B5B &gt; NMP &gt; Cruiser Modernization</t>
  </si>
  <si>
    <t>Cruiser Modernization</t>
  </si>
  <si>
    <t>NMP - LCS</t>
  </si>
  <si>
    <t>BA1 &gt; 1B5B &gt; NMP &gt; LCS</t>
  </si>
  <si>
    <t>NMP - Service Craft</t>
  </si>
  <si>
    <t>BA1 &gt; 1B5B &gt; NMP &gt; Service Craft</t>
  </si>
  <si>
    <t>NMP - Combat Systems</t>
  </si>
  <si>
    <t>BA1 &gt; 1B5B &gt; NMP &gt; Combat Systems</t>
  </si>
  <si>
    <t>Combat Systems</t>
  </si>
  <si>
    <t>Navy Maritime Maintenance Enterprise Solutions (NMMES)</t>
  </si>
  <si>
    <t>BA1 &gt; 1B5B &gt; Performance Criteria &gt; NMMES</t>
  </si>
  <si>
    <t>NMMES</t>
  </si>
  <si>
    <t>Smart Work/TOC Initiatives</t>
  </si>
  <si>
    <t>"LOG IT Modernization requirements supporting digital data transformation."</t>
  </si>
  <si>
    <t>BA1 &gt; 1B5B &gt; Performance Criteria &gt; Smart Work</t>
  </si>
  <si>
    <t>Smart Work</t>
  </si>
  <si>
    <t>Combat System Operational Sequencing System (CSOSS)</t>
  </si>
  <si>
    <t>BA1 &gt; 1B5B &gt; Performance Criteria &gt; CSOSS</t>
  </si>
  <si>
    <t>CSOSS</t>
  </si>
  <si>
    <t>Berthing and Messing Program</t>
  </si>
  <si>
    <t>BA1 &gt; 1B5B &gt; Berthing and Messing</t>
  </si>
  <si>
    <t>Barge Operations/Overhauls/Availabilities/Modernization</t>
  </si>
  <si>
    <t>"Increase in scope and complexity of barge overhaul contracted availabilities. CLU lease supporting 4 to 6 DDGs forward deployed to Rota, Spain."</t>
  </si>
  <si>
    <t>BA1 &gt; 1B5B &gt; Berthing and Messing &gt; Barge Operations</t>
  </si>
  <si>
    <t>Barge Operations</t>
  </si>
  <si>
    <t>Off-Ship Berthing Costs</t>
  </si>
  <si>
    <t>BA1 &gt; 1B5B &gt; Berthing and Messing &gt; Off-Ship Berthing</t>
  </si>
  <si>
    <t>Off-Ship Berthing</t>
  </si>
  <si>
    <t>Regional Maintenance Centers (RMC)</t>
  </si>
  <si>
    <t>BA1 &gt; 1B5B &gt; Performance Criteria &gt; RMC</t>
  </si>
  <si>
    <t>RMC</t>
  </si>
  <si>
    <t>NAVSEA Headquarters Civilian Personnel and IT Operations</t>
  </si>
  <si>
    <t>"Submarine Industrial Base (SIB) government oversight to achieve 1+2 production cadence. Workforce optimization reducing 228 FTEs."</t>
  </si>
  <si>
    <t>BA1 &gt; 1B5B &gt; Performance Criteria &gt; NAVSEA HQ</t>
  </si>
  <si>
    <t>NAVSEA HQ</t>
  </si>
  <si>
    <t>Ship Prepositioning and Surge</t>
  </si>
  <si>
    <t>"Operations and maintenance of Maritime Prepositioning Ships, exercise support, and sealift sustainment."</t>
  </si>
  <si>
    <t>BA2 &gt; Mobilization &gt; 2A1F Ship Prepositioning and Surge</t>
  </si>
  <si>
    <t>21</t>
  </si>
  <si>
    <t>2A1F</t>
  </si>
  <si>
    <t>INLS Electrical/Mechanical/Propulsion Obsolescence</t>
  </si>
  <si>
    <t>"Improved Navy Lighterage System electrical/mechanical/propulsion obsolescence management."</t>
  </si>
  <si>
    <t>Sealift Support Craft</t>
  </si>
  <si>
    <t>INLS</t>
  </si>
  <si>
    <t>BA2 &gt; 2A1F &gt; Program Increases</t>
  </si>
  <si>
    <t>434</t>
  </si>
  <si>
    <t>INLS Mid-Life Overhaul (60 craft)</t>
  </si>
  <si>
    <t>BA2 &gt; 2A1F &gt; OP-32 &gt; 928</t>
  </si>
  <si>
    <t>22</t>
  </si>
  <si>
    <t>Ready Reserve Force</t>
  </si>
  <si>
    <t>BA2 &gt; Mobilization &gt; 2A2F Ready Reserve Force</t>
  </si>
  <si>
    <t>2A2F</t>
  </si>
  <si>
    <t>RRF Roll-on/Roll-off Vessels (32 ships)</t>
  </si>
  <si>
    <t>AKR</t>
  </si>
  <si>
    <t>BA2 &gt; 2A2F &gt; Force Structure</t>
  </si>
  <si>
    <t>444</t>
  </si>
  <si>
    <t>LMSR Transfer from MSC/Army (13 vessels)</t>
  </si>
  <si>
    <t>"Large Medium Speed Roll-on/Roll-off ships transferred from Army to Navy. Includes $116,930K transfer from O&amp;M Army."</t>
  </si>
  <si>
    <t>BA2 &gt; 2A2F &gt; Force Structure &gt; LMSR</t>
  </si>
  <si>
    <t>446</t>
  </si>
  <si>
    <t>LMSR</t>
  </si>
  <si>
    <t>Aviation Support Ships (T-AVB) (2 vessels)</t>
  </si>
  <si>
    <t>Aviation Logistics Support Ship</t>
  </si>
  <si>
    <t>AVB</t>
  </si>
  <si>
    <t>BA2 &gt; 2A2F &gt; Force Structure &gt; T-AVB</t>
  </si>
  <si>
    <t>T-AVB</t>
  </si>
  <si>
    <t>Crane Ships (T-ACS) (4 vessels)</t>
  </si>
  <si>
    <t>Crane Ship</t>
  </si>
  <si>
    <t>ACS</t>
  </si>
  <si>
    <t>BA2 &gt; 2A2F &gt; Force Structure &gt; T-ACS</t>
  </si>
  <si>
    <t>T-ACS</t>
  </si>
  <si>
    <t>Used Sealift Vessel Modernization</t>
  </si>
  <si>
    <t>BA2 &gt; 2A2F &gt; Used Sealift Vessel Modernization</t>
  </si>
  <si>
    <t>Reserve Sealift Alterations</t>
  </si>
  <si>
    <t>BA2 &gt; 2A2F &gt; Reserve Sealift Alterations</t>
  </si>
  <si>
    <t>447</t>
  </si>
  <si>
    <t>Activations/Inactivations</t>
  </si>
  <si>
    <t>BA2 &gt; Mobilization &gt; 2B2G Activations/Inactivations</t>
  </si>
  <si>
    <t>2B2G</t>
  </si>
  <si>
    <t>Ship Activations/Inactivations</t>
  </si>
  <si>
    <t>Inactive Ship Maintenance Facility &amp; Operations</t>
  </si>
  <si>
    <t>"Inactive Ship Maintenance Facility CIVPERS and facility operations."</t>
  </si>
  <si>
    <t>BA2 &gt; 2B2G &gt; Inactive Ship Maintenance</t>
  </si>
  <si>
    <t>459</t>
  </si>
  <si>
    <t>CVN 068</t>
  </si>
  <si>
    <t>USS NIMITZ (CVN 68) - I&amp;D and STOP</t>
  </si>
  <si>
    <t>"Inactivation and Defueling (I&amp;D) plus Ships Terminal Offload Plan (STOP) for CVN 68."</t>
  </si>
  <si>
    <t>BA2 &gt; 2B2G &gt; Nuclear Surface Ship Inactivation</t>
  </si>
  <si>
    <t>465</t>
  </si>
  <si>
    <t>CVN 065</t>
  </si>
  <si>
    <t>Ex-ENTERPRISE (CVN 65) - Dismantlement &amp; Disposal</t>
  </si>
  <si>
    <t>456</t>
  </si>
  <si>
    <t>SSN 757</t>
  </si>
  <si>
    <t>USS ALEXANDRIA (SSN 757) - Nuclear Sub I&amp;D</t>
  </si>
  <si>
    <t>BA2 &gt; 2B2G &gt; Nuclear Submarine Inactivation</t>
  </si>
  <si>
    <t>461</t>
  </si>
  <si>
    <t>Nuclear Submarine Advanced Planning (7 boats)</t>
  </si>
  <si>
    <t>BA2 &gt; 2B2G &gt; Nuclear Submarine Advanced Planning</t>
  </si>
  <si>
    <t>Surface Ship Decommissioning (LSD 42, LSD 48, LCS 3, CG 67, CG 70)</t>
  </si>
  <si>
    <t>BA2 &gt; 2B2G &gt; Surface Ship Inactivation</t>
  </si>
  <si>
    <t>460</t>
  </si>
  <si>
    <t>SSN 691</t>
  </si>
  <si>
    <t>Ex-MEMPHIS (SSN 691) - Reactor Compartment Recycling</t>
  </si>
  <si>
    <t>BA2 &gt; 2B2G &gt; Nuclear Submarine Recycling</t>
  </si>
  <si>
    <t>Inactivation Program Management Support</t>
  </si>
  <si>
    <t>BA2 &gt; 2B2G &gt; Program Management</t>
  </si>
  <si>
    <t>462</t>
  </si>
  <si>
    <t>Ship Operational Support and Training</t>
  </si>
  <si>
    <t>BA1 &gt; Ship Operations &gt; 1B2B Ship Operational Support and Training</t>
  </si>
  <si>
    <t>1B2B</t>
  </si>
  <si>
    <t>Ship Operations Support &amp; Training</t>
  </si>
  <si>
    <t>AEGIS Harvesting &amp; Depot Establishment</t>
  </si>
  <si>
    <t>BA1 &gt; 1B2B &gt; Program Increases &gt; Surface Support</t>
  </si>
  <si>
    <t>Surface Support</t>
  </si>
  <si>
    <t>Subsurface Support - OHIO Class &amp; Columbia Platform</t>
  </si>
  <si>
    <t>BA1 &gt; 1B2B &gt; Program Increases &gt; Subsurface</t>
  </si>
  <si>
    <t>Subsurface</t>
  </si>
  <si>
    <t>Submarine In-Service Engineering Activity (ISEA) Support</t>
  </si>
  <si>
    <t>"HM&amp;E maintenance problem resolution support for fleet, shipyards and industrial activities. Submarine maintenance planning management, standards, and material condition assessment."</t>
  </si>
  <si>
    <t>Submarine Industrial Base (SIB) Recapitalization</t>
  </si>
  <si>
    <t>CVN 78 Class Lifecycle Training for HM&amp;E Systems</t>
  </si>
  <si>
    <t>"CVN 78 Class lifecycle training for HM&amp;E systems."</t>
  </si>
  <si>
    <t>BA1 &gt; 1B2B &gt; Program Increases &gt; Surface</t>
  </si>
  <si>
    <t>Surface</t>
  </si>
  <si>
    <t>3M Surface Ship PMS Technical Feedback Reports</t>
  </si>
  <si>
    <t>RVL Tempalt Tech Refresh (Submarines)</t>
  </si>
  <si>
    <t>BA1 &gt; 1B2B &gt; OP-32 &gt; 922</t>
  </si>
  <si>
    <t>OPTAR Support - Parts &amp; Organizational Maintenance</t>
  </si>
  <si>
    <t>Mission and Other Ship Operations</t>
  </si>
  <si>
    <t>BA1 &gt; 1B1B &gt; Program Increases &gt; OPTAR</t>
  </si>
  <si>
    <t>1B1B</t>
  </si>
  <si>
    <t>OPTAR</t>
  </si>
  <si>
    <t>Transfer to 1B4B - MSC M&amp;R</t>
  </si>
  <si>
    <t>BA1 &gt; 1B1B &gt; Transfers Out</t>
  </si>
  <si>
    <t>Planning, Engineering, and Program Support</t>
  </si>
  <si>
    <t>BA4 &gt; Administration &gt; 4B2N Planning, Engineering, and Program Support</t>
  </si>
  <si>
    <t>24</t>
  </si>
  <si>
    <t>4B2N</t>
  </si>
  <si>
    <t>Professional &amp; Technical Services</t>
  </si>
  <si>
    <t>Hull, Mechanical &amp; Electrical Support (NAVSEA)</t>
  </si>
  <si>
    <t>"Technical Authority and Systems Engineering for ships and ship systems. Damage Control, Fire Protection programs. Naval Ship Technical Manual maintenance."</t>
  </si>
  <si>
    <t>BA4 &gt; 4B2N &gt; NAVSEA &gt; HM&amp;E Support</t>
  </si>
  <si>
    <t>688</t>
  </si>
  <si>
    <t>HM&amp;E Support</t>
  </si>
  <si>
    <t>Shipboard Environmental Protection Programs</t>
  </si>
  <si>
    <t>BA4 &gt; 4B2N &gt; NAVSEA &gt; Shipboard Env Protection</t>
  </si>
  <si>
    <t>Shipboard Env Protection</t>
  </si>
  <si>
    <t>Magnetic Silencing In-Service Support</t>
  </si>
  <si>
    <t>"Magnetic Silencing In-Service Support for degaussing systems on Navy, Coast Guard, MSC ships."</t>
  </si>
  <si>
    <t>BA4 &gt; 4B2N &gt; NAVSEA &gt; Other Programs &gt; Magnetic Silencing</t>
  </si>
  <si>
    <t>685</t>
  </si>
  <si>
    <t>Other Programs</t>
  </si>
  <si>
    <t>Magnetic Silencing</t>
  </si>
  <si>
    <t>Weight Handling Ashore (Navy Crane Center)</t>
  </si>
  <si>
    <t>BA4 &gt; 4B2N &gt; CNIC &gt; Weight Handling Ashore</t>
  </si>
  <si>
    <t>682</t>
  </si>
  <si>
    <t>Weight Handling Ashore</t>
  </si>
  <si>
    <t>Counter-Unmanned Aerial Systems (C-UAS)</t>
  </si>
  <si>
    <t>BA4 &gt; 4B2N &gt; NAVAIR &gt; C-UAS</t>
  </si>
  <si>
    <t>C-UAS</t>
  </si>
  <si>
    <t>Coast Guard Support</t>
  </si>
  <si>
    <t>BA2 &gt; Mobilization &gt; 2C3H Coast Guard Support</t>
  </si>
  <si>
    <t>2C3H</t>
  </si>
  <si>
    <t>CG Weapons, Radar &amp; System Maintenance Support</t>
  </si>
  <si>
    <t>BA2 &gt; 2C3H &gt; Weapons Radar &amp; System Maintenance</t>
  </si>
  <si>
    <t>481</t>
  </si>
  <si>
    <t>CG Avionics, Gun &amp; Communication Support</t>
  </si>
  <si>
    <t>BA2 &gt; 2C3H &gt; Avionics Gun &amp; Comm Support</t>
  </si>
  <si>
    <t>Amphibious Tactical Support Units (LCAC/LCU)</t>
  </si>
  <si>
    <t>"Operations and maintenance for LCAC and LCU in support of ARG operational requirements. Transferred largely to 1B1B/1B4B in FY26."</t>
  </si>
  <si>
    <t>Combat Support Forces</t>
  </si>
  <si>
    <t>BA1 &gt; 1C6C &gt; Amphibious Tactical Support Units</t>
  </si>
  <si>
    <t>1C6C</t>
  </si>
  <si>
    <t>LCU 1610 Service Life Extension</t>
  </si>
  <si>
    <t>BA1 &gt; 1C6C &gt; Program Increases &gt; LCU SLE</t>
  </si>
  <si>
    <t>274</t>
  </si>
  <si>
    <t>LCU SLE</t>
  </si>
  <si>
    <t>Diving and Salvage / Underwater Ship Husbandry</t>
  </si>
  <si>
    <t>"Navy ship salvage and Underwater Ship Husbandry; Emergency Ship Salvage Material (ESSM) bases; Navy Certification and ISEA support for Fleet diving systems."</t>
  </si>
  <si>
    <t>BA1 &gt; 1C6C &gt; Diving and Salvage</t>
  </si>
  <si>
    <t>Weapons Maintenance</t>
  </si>
  <si>
    <t>BA1 &gt; Weapons Support &gt; 1D4D Weapons Maintenance</t>
  </si>
  <si>
    <t>1D4D</t>
  </si>
  <si>
    <t>Missiles, Rockets &amp; Precision Fires</t>
  </si>
  <si>
    <t>Naval Missiles</t>
  </si>
  <si>
    <t>Tomahawk Systems (All-Up Round and TTWCS)</t>
  </si>
  <si>
    <t>BA1 &gt; 1D4D &gt; Tomahawk Systems</t>
  </si>
  <si>
    <t>366</t>
  </si>
  <si>
    <t>Close-In Weapons System (CIWS)</t>
  </si>
  <si>
    <t>"CIWS configurations across 11 different ship classes. Full Mission Capable mounts for Red Sea operations."</t>
  </si>
  <si>
    <t>BA1 &gt; 1D4D &gt; CIWS</t>
  </si>
  <si>
    <t>Standard Missile Depot Maintenance (SM-2/SM-6)</t>
  </si>
  <si>
    <t>BA1 &gt; 1D4D &gt; Standard Missile &gt; Depot</t>
  </si>
  <si>
    <t>Depot</t>
  </si>
  <si>
    <t>Standard Missile Non-Depot Maintenance (SM-2/SM-6)</t>
  </si>
  <si>
    <t>BA1 &gt; 1D4D &gt; Standard Missile &gt; Non-Depot</t>
  </si>
  <si>
    <t>Non-Depot</t>
  </si>
  <si>
    <t>Vertical Launching System (VLS)</t>
  </si>
  <si>
    <t>BA1 &gt; 1D4D &gt; Standard Missile &gt; VLS</t>
  </si>
  <si>
    <t>VLS</t>
  </si>
  <si>
    <t>Submarine Torpedo Systems</t>
  </si>
  <si>
    <t>"MK48 Heavyweight Torpedo and Lightweight Torpedo depot maintenance and engineering/logistics."</t>
  </si>
  <si>
    <t>BA1 &gt; 1D4D &gt; Submarine Acquisition &gt; Torpedo Systems</t>
  </si>
  <si>
    <t>Torpedo Systems</t>
  </si>
  <si>
    <t>Surface Undersea Warfare (USW)</t>
  </si>
  <si>
    <t>BA1 &gt; 1D4D &gt; Integrated Warfare &gt; Surface USW</t>
  </si>
  <si>
    <t>Surface USW</t>
  </si>
  <si>
    <t>Submarine Acoustics / In-Service Combat Systems</t>
  </si>
  <si>
    <t>BA1 &gt; 1D4D &gt; Submarine Acoustics</t>
  </si>
  <si>
    <t>NATO Seasparrow (RIM-7)</t>
  </si>
  <si>
    <t>BA1 &gt; 1D4D &gt; NATO Seasparrow</t>
  </si>
  <si>
    <t>Rolling Air Frame (RAM) Maintenance</t>
  </si>
  <si>
    <t>BA1 &gt; 1D4D &gt; RAM Maintenance</t>
  </si>
  <si>
    <t>Surface Ship Torpedo Defense (SSTD) Depot Repair</t>
  </si>
  <si>
    <t>"Anti Torpedo Torpedo Defense System (ATTDS) comprised of CAT and TWS."</t>
  </si>
  <si>
    <t>BA1 &gt; 1D4D &gt; Submarine Acquisition &gt; SSTD</t>
  </si>
  <si>
    <t>SSTD</t>
  </si>
  <si>
    <t>Surface Mine Countermeasures (SMCM)</t>
  </si>
  <si>
    <t>BA1 &gt; 1D4D &gt; Littoral &amp; Mine Warfare &gt; SMCM</t>
  </si>
  <si>
    <t>368</t>
  </si>
  <si>
    <t>SMCM</t>
  </si>
  <si>
    <t>MCM USV (Mine Countermeasures Unmanned Surface Vehicle)</t>
  </si>
  <si>
    <t>Unmanned Surface Vehicles</t>
  </si>
  <si>
    <t>MUSV</t>
  </si>
  <si>
    <t>BA1 &gt; 1D4D &gt; Littoral &amp; Mine Warfare &gt; MCMUSV</t>
  </si>
  <si>
    <t>MCMUSV</t>
  </si>
  <si>
    <t>LCS Mission Modules</t>
  </si>
  <si>
    <t>"In-Service Engineering Agent support for LCS mission module maintenance."</t>
  </si>
  <si>
    <t>BA1 &gt; 1D4D &gt; Littoral &amp; Mine Warfare &gt; LCS MM</t>
  </si>
  <si>
    <t>LCS MM - LCS MISSION MODULES</t>
  </si>
  <si>
    <t>Orca Extra Large UUV (XLUUV)</t>
  </si>
  <si>
    <t>XLUUV</t>
  </si>
  <si>
    <t>BA1 &gt; 1D4D &gt; Littoral &amp; Mine Warfare &gt; XLUUV</t>
  </si>
  <si>
    <t>Small Unmanned Surface Vehicle (sUSV)</t>
  </si>
  <si>
    <t>"Global Autonomous Reconnaissance Craft and Production-Ready, Inexpensive, Maritime Expeditionary sUSV."</t>
  </si>
  <si>
    <t>SUSV / VSUSV</t>
  </si>
  <si>
    <t>BA1 &gt; 1D4D &gt; Littoral &amp; Mine Warfare &gt; sUSV</t>
  </si>
  <si>
    <t>sUSV</t>
  </si>
  <si>
    <t>Sonar Towed Array Replenishment Spares</t>
  </si>
  <si>
    <t>"TB-16 series, TB-23, TB-29 series, TB-34 series towed array spares."</t>
  </si>
  <si>
    <t>BA1 &gt; 1D4D &gt; Submarine Acquisition &gt; Sonar Towed Array</t>
  </si>
  <si>
    <t>Sonar Towed Array</t>
  </si>
  <si>
    <t>Sustainment, Restoration and Modernization</t>
  </si>
  <si>
    <t>"Facility Sustainment, Restoration, and Modernization (FSRM) for shore activities including shipyards. 62,960 facilities."</t>
  </si>
  <si>
    <t>BA1 &gt; Base Support &gt; BSM1 Sustainment, Restoration and Modernization</t>
  </si>
  <si>
    <t>PSNS Drydock 4 Seismic Repairs</t>
  </si>
  <si>
    <t>"Puget Sound Naval Shipyard Drydock 4 seismic repairs - one-time mandatory/reconciliation funding."</t>
  </si>
  <si>
    <t>BSM1 Sustainment, Restoration and Modernization</t>
  </si>
  <si>
    <t>BA1 &gt; BSM1 &gt; Program Increases &gt; One-Time Costs &gt; PSNS Drydock 4</t>
  </si>
  <si>
    <t>Shipyard Infrastructure Optimization Program (SIOP)</t>
  </si>
  <si>
    <t>BA1 &gt; BSM1 &gt; Restoration and Modernization &gt; SIOP</t>
  </si>
  <si>
    <t>Equipment Maintenance and Depot Operations Support</t>
  </si>
  <si>
    <t>BA1 &gt; Combat Operations &gt; 1C7C Equipment Maint &amp; Depot Ops Support</t>
  </si>
  <si>
    <t>1C7C</t>
  </si>
  <si>
    <t>Airborne Mine Countermeasures Equipment (AMCM)</t>
  </si>
  <si>
    <t>BA1 &gt; 1C7C &gt; AMCM</t>
  </si>
  <si>
    <t>Shipboard Instrumentation and Systems Calibration (SISCAL)</t>
  </si>
  <si>
    <t>BA1 &gt; 1C7C &gt; Calibration &gt; SISCAL</t>
  </si>
  <si>
    <t>SISCAL</t>
  </si>
  <si>
    <t>OMN_Vol2</t>
  </si>
  <si>
    <t>Ships - Depot Level Repairables (DLRs)</t>
  </si>
  <si>
    <t>OMN Vol2 &gt; OP-31 &gt; Spares and Repair Parts &gt; DLRs &gt; Ships</t>
  </si>
  <si>
    <t>Spares and Repair Parts</t>
  </si>
  <si>
    <t>DLRs</t>
  </si>
  <si>
    <t>Ships - Consumables</t>
  </si>
  <si>
    <t>OMN Vol2 &gt; OP-31 &gt; Spares and Repair Parts &gt; Consumables &gt; Ships</t>
  </si>
  <si>
    <t>Consumables</t>
  </si>
  <si>
    <t>Pearl Harbor Naval Shipyard &amp; IMF: Source of Funding - Department of Navy</t>
  </si>
  <si>
    <t>PHNSY&amp;IMF Total</t>
  </si>
  <si>
    <t>OMN Vol2 &gt; OP-5A &gt; PHNSY&amp;IMF &gt; Source of Funding &gt; Department of Navy</t>
  </si>
  <si>
    <t>PHNSY&amp;IMF</t>
  </si>
  <si>
    <t>Source of Funding</t>
  </si>
  <si>
    <t>Pearl Harbor Naval Shipyard &amp; IMF: Source of Funding - Direct</t>
  </si>
  <si>
    <t>OMN Vol2 &gt; OP-5A &gt; PHNSY&amp;IMF &gt; Source of Funding &gt; Direct</t>
  </si>
  <si>
    <t>Pearl Harbor Naval Shipyard &amp; IMF: Source of Funding - Operation &amp; Maintenance, Navy (Fleet, Base)</t>
  </si>
  <si>
    <t>OMN Vol2 &gt; OP-5A &gt; PHNSY&amp;IMF &gt; Source of Funding &gt; Operation &amp; Maintenance, Navy (Fleet, Base)</t>
  </si>
  <si>
    <t>Pearl Harbor Naval Shipyard &amp; IMF: Source of Funding - Operation &amp; Maintenance, Navy (Fleet, OCO)</t>
  </si>
  <si>
    <t>OMN Vol2 &gt; OP-5A &gt; PHNSY&amp;IMF &gt; Source of Funding &gt; Operation &amp; Maintenance, Navy (Fleet, OCO)</t>
  </si>
  <si>
    <t>Pearl Harbor Naval Shipyard &amp; IMF: Source of Funding - Military Personnel, Navy (Fleet, MPN)</t>
  </si>
  <si>
    <t>OMN Vol2 &gt; OP-5A &gt; PHNSY&amp;IMF &gt; Source of Funding &gt; Military Personnel, Navy (Fleet, MPN)</t>
  </si>
  <si>
    <t>Pearl Harbor Naval Shipyard &amp; IMF: Source of Funding - Reimbursable</t>
  </si>
  <si>
    <t>OMN Vol2 &gt; OP-5A &gt; PHNSY&amp;IMF &gt; Source of Funding &gt; Reimbursable</t>
  </si>
  <si>
    <t>Pearl Harbor Naval Shipyard &amp; IMF: Source of Funding - Operation &amp; Maintenance, Navy</t>
  </si>
  <si>
    <t>OMN Vol2 &gt; OP-5A &gt; PHNSY&amp;IMF &gt; Source of Funding &gt; Operation &amp; Maintenance, Navy</t>
  </si>
  <si>
    <t>Pearl Harbor Naval Shipyard &amp; IMF: Source of Funding - Shipbuilding &amp; Conversion, Navy</t>
  </si>
  <si>
    <t>OMN Vol2 &gt; OP-5A &gt; PHNSY&amp;IMF &gt; Source of Funding &gt; Shipbuilding &amp; Conversion, Navy</t>
  </si>
  <si>
    <t>Pearl Harbor Naval Shipyard &amp; IMF: Source of Funding - Other Procurement, Navy</t>
  </si>
  <si>
    <t>OMN Vol2 &gt; OP-5A &gt; PHNSY&amp;IMF &gt; Source of Funding &gt; Other Procurement, Navy</t>
  </si>
  <si>
    <t>Pearl Harbor Naval Shipyard &amp; IMF: Source of Funding - Procurement, Marine Corps</t>
  </si>
  <si>
    <t>OMN Vol2 &gt; OP-5A &gt; PHNSY&amp;IMF &gt; Source of Funding &gt; Procurement, Marine Corps</t>
  </si>
  <si>
    <t>Pearl Harbor Naval Shipyard &amp; IMF: Source of Funding - Other Department of Navy</t>
  </si>
  <si>
    <t>OMN Vol2 &gt; OP-5A &gt; PHNSY&amp;IMF &gt; Source of Funding &gt; Other Department of Navy</t>
  </si>
  <si>
    <t>Pearl Harbor Naval Shipyard &amp; IMF: Source of Funding - Department of Defense</t>
  </si>
  <si>
    <t>OMN Vol2 &gt; OP-5A &gt; PHNSY&amp;IMF &gt; Source of Funding &gt; Department of Defense</t>
  </si>
  <si>
    <t>Pearl Harbor Naval Shipyard &amp; IMF: Source of Funding - Other Orders</t>
  </si>
  <si>
    <t>OMN Vol2 &gt; OP-5A &gt; PHNSY&amp;IMF &gt; Source of Funding &gt; Other Orders</t>
  </si>
  <si>
    <t>Pearl Harbor Naval Shipyard &amp; IMF: Source of Funding - Other Federal Agencies</t>
  </si>
  <si>
    <t>OMN Vol2 &gt; OP-5A &gt; PHNSY&amp;IMF &gt; Source of Funding &gt; Other Federal Agencies</t>
  </si>
  <si>
    <t>Pearl Harbor Naval Shipyard &amp; IMF: Source of Funding - Foreign Military Sales</t>
  </si>
  <si>
    <t>OMN Vol2 &gt; OP-5A &gt; PHNSY&amp;IMF &gt; Source of Funding &gt; Foreign Military Sales</t>
  </si>
  <si>
    <t>Pearl Harbor Naval Shipyard &amp; IMF: Source of Funding - Other</t>
  </si>
  <si>
    <t>OMN Vol2 &gt; OP-5A &gt; PHNSY&amp;IMF &gt; Source of Funding &gt; Other</t>
  </si>
  <si>
    <t>Pearl Harbor Naval Shipyard &amp; IMF: Source of Funding - Total</t>
  </si>
  <si>
    <t>OMN Vol2 &gt; OP-5A &gt; PHNSY&amp;IMF &gt; Source of Funding &gt; Total</t>
  </si>
  <si>
    <t>Pearl Harbor Naval Shipyard &amp; IMF: Performance Data - Direct Civilian Labor</t>
  </si>
  <si>
    <t>OMN Vol2 &gt; OP-5A &gt; PHNSY&amp;IMF &gt; Performance Data &gt; Direct Civilian Labor</t>
  </si>
  <si>
    <t>68</t>
  </si>
  <si>
    <t>Performance Data</t>
  </si>
  <si>
    <t>Pearl Harbor Naval Shipyard &amp; IMF: Performance Data - Direct Military Labor</t>
  </si>
  <si>
    <t>OMN Vol2 &gt; OP-5A &gt; PHNSY&amp;IMF &gt; Performance Data &gt; Direct Military Labor</t>
  </si>
  <si>
    <t>Pearl Harbor Naval Shipyard &amp; IMF: Performance Data - Direct Material</t>
  </si>
  <si>
    <t>OMN Vol2 &gt; OP-5A &gt; PHNSY&amp;IMF &gt; Performance Data &gt; Direct Material</t>
  </si>
  <si>
    <t>Pearl Harbor Naval Shipyard &amp; IMF: Performance Data - Direct Contracts</t>
  </si>
  <si>
    <t>OMN Vol2 &gt; OP-5A &gt; PHNSY&amp;IMF &gt; Performance Data &gt; Direct Contracts</t>
  </si>
  <si>
    <t>Pearl Harbor Naval Shipyard &amp; IMF: Performance Data - Other Direct Costs</t>
  </si>
  <si>
    <t>OMN Vol2 &gt; OP-5A &gt; PHNSY&amp;IMF &gt; Performance Data &gt; Other Direct Costs</t>
  </si>
  <si>
    <t>Pearl Harbor Naval Shipyard &amp; IMF: Performance Data - Overhead Civilian Labor</t>
  </si>
  <si>
    <t>OMN Vol2 &gt; OP-5A &gt; PHNSY&amp;IMF &gt; Performance Data &gt; Overhead Civilian Labor</t>
  </si>
  <si>
    <t>Pearl Harbor Naval Shipyard &amp; IMF: Performance Data - Overhead Military Labor</t>
  </si>
  <si>
    <t>OMN Vol2 &gt; OP-5A &gt; PHNSY&amp;IMF &gt; Performance Data &gt; Overhead Military Labor</t>
  </si>
  <si>
    <t>Pearl Harbor Naval Shipyard &amp; IMF: Performance Data - Overhead Non-Labor</t>
  </si>
  <si>
    <t>OMN Vol2 &gt; OP-5A &gt; PHNSY&amp;IMF &gt; Performance Data &gt; Overhead Non-Labor</t>
  </si>
  <si>
    <t>Pearl Harbor Naval Shipyard &amp; IMF: Performance Data - Navy/Marine Corps Intranet (NMCI)</t>
  </si>
  <si>
    <t>OMN Vol2 &gt; OP-5A &gt; PHNSY&amp;IMF &gt; Performance Data &gt; NMCI</t>
  </si>
  <si>
    <t>Pearl Harbor Naval Shipyard &amp; IMF: Performance Data - Total</t>
  </si>
  <si>
    <t>OMN Vol2 &gt; OP-5A &gt; PHNSY&amp;IMF &gt; Performance Data &gt; Total</t>
  </si>
  <si>
    <t>Pearl Harbor Naval Shipyard &amp; IMF: Infrastructure - Base Operating Support (Operation &amp; Maintenance, Navy)</t>
  </si>
  <si>
    <t>Availability Support</t>
  </si>
  <si>
    <t>PHNSY&amp;IMF Infrastructure Total</t>
  </si>
  <si>
    <t>OMN Vol2 &gt; OP-5A &gt; PHNSY&amp;IMF &gt; Infrastructure &gt; Base Operating Support (OM,N)</t>
  </si>
  <si>
    <t>71</t>
  </si>
  <si>
    <t>Infrastructure</t>
  </si>
  <si>
    <t>Pearl Harbor Naval Shipyard &amp; IMF: Infrastructure - Capital Equipment (Other Procurement, Navy)</t>
  </si>
  <si>
    <t>OMN Vol2 &gt; OP-5A &gt; PHNSY&amp;IMF &gt; Infrastructure &gt; Capital Equipment (OP,N)</t>
  </si>
  <si>
    <t>Pearl Harbor Naval Shipyard &amp; IMF: Infrastructure - Facilities Restoration &amp; Modernization (Operation &amp; Maintenance, Navy)</t>
  </si>
  <si>
    <t>OMN Vol2 &gt; OP-5A &gt; PHNSY&amp;IMF &gt; Infrastructure &gt; Facilities Restoration &amp; Modernization (OM,N)</t>
  </si>
  <si>
    <t>Pearl Harbor Naval Shipyard &amp; IMF: Infrastructure - Facilities Restoration &amp; Modernization (Navy Working Capital Fund)</t>
  </si>
  <si>
    <t>OMN Vol2 &gt; OP-5A &gt; PHNSY&amp;IMF &gt; Infrastructure &gt; Facilities Restoration &amp; Modernization (NWCF)</t>
  </si>
  <si>
    <t>Pearl Harbor Naval Shipyard &amp; IMF: Infrastructure - Military Construction (MILCON)</t>
  </si>
  <si>
    <t>OMN Vol2 &gt; OP-5A &gt; PHNSY&amp;IMF &gt; Infrastructure &gt; Military Construction (MILCON)</t>
  </si>
  <si>
    <t>Pearl Harbor Naval Shipyard &amp; IMF: Infrastructure - Total</t>
  </si>
  <si>
    <t>OMN Vol2 &gt; OP-5A &gt; PHNSY&amp;IMF &gt; Infrastructure &gt; Total</t>
  </si>
  <si>
    <t>Pearl Harbor Naval Shipyard &amp; IMF: Capital Equipment - Shaft Lathe</t>
  </si>
  <si>
    <t>OMN Vol2 &gt; OP-5A &gt; PHNSY&amp;IMF &gt; Capital Equipment &gt; Shaft Lathe</t>
  </si>
  <si>
    <t>Capital Equipment</t>
  </si>
  <si>
    <t>Pearl Harbor Naval Shipyard &amp; IMF: Capital Equipment - 1MW Turbine Generator (7th of 8)</t>
  </si>
  <si>
    <t>OMN Vol2 &gt; OP-5A &gt; PHNSY&amp;IMF &gt; Capital Equipment &gt; 1MW Turbine Generator (7th of 8)</t>
  </si>
  <si>
    <t>Pearl Harbor Naval Shipyard &amp; IMF: Capital Equipment - Water Jet</t>
  </si>
  <si>
    <t>OMN Vol2 &gt; OP-5A &gt; PHNSY&amp;IMF &gt; Capital Equipment &gt; Water Jet</t>
  </si>
  <si>
    <t>Pearl Harbor Naval Shipyard &amp; IMF: Capital Equipment - Badge Reader System</t>
  </si>
  <si>
    <t>OMN Vol2 &gt; OP-5A &gt; PHNSY&amp;IMF &gt; Capital Equipment &gt; Badge Reader System</t>
  </si>
  <si>
    <t>Pearl Harbor Naval Shipyard &amp; IMF: Capital Equipment - C-Frame Press</t>
  </si>
  <si>
    <t>OMN Vol2 &gt; OP-5A &gt; PHNSY&amp;IMF &gt; Capital Equipment &gt; C-Frame Press</t>
  </si>
  <si>
    <t>Pearl Harbor Naval Shipyard &amp; IMF: Capital Equipment - Hydrostatic Test Tank</t>
  </si>
  <si>
    <t>OMN Vol2 &gt; OP-5A &gt; PHNSY&amp;IMF &gt; Capital Equipment &gt; Hydrostatic Test Tank</t>
  </si>
  <si>
    <t>Pearl Harbor Naval Shipyard &amp; IMF: Capital Equipment - Temporary Electrical Power Distribution Enclosure</t>
  </si>
  <si>
    <t>OMN Vol2 &gt; OP-5A &gt; PHNSY&amp;IMF &gt; Capital Equipment &gt; Temporary Electrical Power Distribution Enclosure</t>
  </si>
  <si>
    <t>Pearl Harbor Naval Shipyard &amp; IMF: Military Construction (MILCON) - DRY DOCK 3 REPLACEMENT, INCREMENT 2 of 5</t>
  </si>
  <si>
    <t>OMN Vol2 &gt; OP-5A &gt; PHNSY&amp;IMF &gt; MILCON &gt; DRY DOCK 3 REPLACEMENT, INCREMENT 2 of 5</t>
  </si>
  <si>
    <t>MILCON</t>
  </si>
  <si>
    <t>Pearl Harbor Naval Shipyard &amp; IMF: Military Construction (MILCON) - DRY DOCK 3 REPLACEMENT, INCREMENT 3 of 5</t>
  </si>
  <si>
    <t>OMN Vol2 &gt; OP-5A &gt; PHNSY&amp;IMF &gt; MILCON &gt; DRY DOCK 3 REPLACEMENT, INCREMENT 3 of 5</t>
  </si>
  <si>
    <t>Pearl Harbor Naval Shipyard &amp; IMF: Military Construction (MILCON) - DRY DOCK 3 REPLACEMENT, INCREMENT 4 of 5</t>
  </si>
  <si>
    <t>OMN Vol2 &gt; OP-5A &gt; PHNSY&amp;IMF &gt; MILCON &gt; DRY DOCK 3 REPLACEMENT, INCREMENT 4 of 5</t>
  </si>
  <si>
    <t>SSN 701 USS LA JOLLA* - Phased Incremental Repair Availability (PIRA)</t>
  </si>
  <si>
    <t>Ship Availability</t>
  </si>
  <si>
    <t>OMN Vol2 &gt; OP-5A &gt; PHNSY&amp;IMF &gt; Ship Availability &gt; SSN 701 USS LA JOLLA* - PIRA</t>
  </si>
  <si>
    <t>SSN 698 USS BREMERTON* - Docking Selected Restricted Availability (DSRA)</t>
  </si>
  <si>
    <t>OMN Vol2 &gt; OP-5A &gt; PHNSY&amp;IMF &gt; Ship Availability &gt; SSN 698 USS BREMERTON* - DSRA</t>
  </si>
  <si>
    <t>SSN 722 USS KEY WEST* - Engineered Overhaul (EOH)</t>
  </si>
  <si>
    <t>OMN Vol2 &gt; OP-5A &gt; PHNSY&amp;IMF &gt; Ship Availability &gt; SSN 722 USS KEY WEST* - EOH</t>
  </si>
  <si>
    <t>SSN 713 USS HOUSTON* - Phased Incremental Repair Availability (PIRA)</t>
  </si>
  <si>
    <t>OMN Vol2 &gt; OP-5A &gt; PHNSY&amp;IMF &gt; Ship Availability &gt; SSN 713 USS HOUSTON* - PIRA</t>
  </si>
  <si>
    <t>SSN 775 USS TEXAS* - Extended Docking Selected Restricted Availability (EDSRA)</t>
  </si>
  <si>
    <t>OMN Vol2 &gt; OP-5A &gt; PHNSY&amp;IMF &gt; Ship Availability &gt; SSN 775 USS TEXAS* - EDSRA</t>
  </si>
  <si>
    <t>SSN 771 USS COLUMBIA* - Docking Selected Restricted Availability (DSRA)</t>
  </si>
  <si>
    <t>OMN Vol2 &gt; OP-5A &gt; PHNSY&amp;IMF &gt; Ship Availability &gt; SSN 771 USS COLUMBIA* - DSRA</t>
  </si>
  <si>
    <t>SSN 715 USS BUFFALO* - Phased Incremental Repair Availability (PIRA)</t>
  </si>
  <si>
    <t>OMN Vol2 &gt; OP-5A &gt; PHNSY&amp;IMF &gt; Ship Availability &gt; SSN 715 USS BUFFALO* - PIRA</t>
  </si>
  <si>
    <t>SSN 773 USS CHEYENNE* - Docking Selected Restricted Availability (DSRA)</t>
  </si>
  <si>
    <t>OMN Vol2 &gt; OP-5A &gt; PHNSY&amp;IMF &gt; Ship Availability &gt; SSN 773 USS CHEYENNE* - DSRA</t>
  </si>
  <si>
    <t>SSN 770 USS TUCSON* - Docking Selected Restricted Availability (DSRA)</t>
  </si>
  <si>
    <t>OMN Vol2 &gt; OP-5A &gt; PHNSY&amp;IMF &gt; Ship Availability &gt; SSN 770 USS TUCSON* - DSRA</t>
  </si>
  <si>
    <t>SSN 717 USS OLYMPIA* - Docking Selected Restricted Availability (DSRA)</t>
  </si>
  <si>
    <t>OMN Vol2 &gt; OP-5A &gt; PHNSY&amp;IMF &gt; Ship Availability &gt; SSN 717 USS OLYMPIA* - DSRA</t>
  </si>
  <si>
    <t>SSN 721 USS CHICAGO* - Docking Selected Restricted Availability (DSRA)</t>
  </si>
  <si>
    <t>OMN Vol2 &gt; OP-5A &gt; PHNSY&amp;IMF &gt; Ship Availability &gt; SSN 721 USS CHICAGO* - DSRA</t>
  </si>
  <si>
    <t>SSN 766 USS CHARLOTTE* - Engineered Overhaul (EOH)</t>
  </si>
  <si>
    <t>OMN Vol2 &gt; OP-5A &gt; PHNSY&amp;IMF &gt; Ship Availability &gt; SSN 766 USS CHARLOTTE* - EOH</t>
  </si>
  <si>
    <t>SSN 776 USS HAWAII - Docking Maintenance Period (DMP)</t>
  </si>
  <si>
    <t>OMN Vol2 &gt; OP-5A &gt; PHNSY&amp;IMF &gt; Ship Availability &gt; SSN 776 USS HAWAII - DMP</t>
  </si>
  <si>
    <t>SSN 783 USS MINNESOTA - Extended Docking Selected Restricted Availability (EDSRA)</t>
  </si>
  <si>
    <t>OMN Vol2 &gt; OP-5A &gt; PHNSY&amp;IMF &gt; Ship Availability &gt; SSN 783 USS MINNESOTA - EDSRA</t>
  </si>
  <si>
    <t>SSN 786 USS ILLINOIS - Extended Docking Selected Restricted Availability (EDSRA)</t>
  </si>
  <si>
    <t>OMN Vol2 &gt; OP-5A &gt; PHNSY&amp;IMF &gt; Ship Availability &gt; SSN 786 USS ILLINOIS - EDSRA</t>
  </si>
  <si>
    <t>SSN 771 USS COLUMBIA - Docking Continuous Maintenance Availability (DCMAV)</t>
  </si>
  <si>
    <t>OMN Vol2 &gt; OP-5A &gt; PHNSY&amp;IMF &gt; Ship Availability &gt; SSN 771 USS COLUMBIA - DCMAV</t>
  </si>
  <si>
    <t>SSN 777 USS NORTH CAROLINA - Docking Maintenance Period (DMP)</t>
  </si>
  <si>
    <t>OMN Vol2 &gt; OP-5A &gt; PHNSY&amp;IMF &gt; Ship Availability &gt; SSN 777 USS NORTH CAROLINA - DMP</t>
  </si>
  <si>
    <t>SSN 788 USS COLORADO - Extended Docking Selected Restricted Availability (EDSRA)</t>
  </si>
  <si>
    <t>OMN Vol2 &gt; OP-5A &gt; PHNSY&amp;IMF &gt; Ship Availability &gt; SSN 788 USS COLORADO - EDSRA</t>
  </si>
  <si>
    <t>DDG 70 USS HOPPER - Selected Restricted Availability (SRA)</t>
  </si>
  <si>
    <t>OMN Vol2 &gt; OP-5A &gt; PHNSY&amp;IMF &gt; Ship Availability &gt; DDG 70 USS HOPPER - SRA</t>
  </si>
  <si>
    <t>SSN 789 USS INDIANA - Extended Docking Selected Restricted Availability (EDSRA)</t>
  </si>
  <si>
    <t>OMN Vol2 &gt; OP-5A &gt; PHNSY&amp;IMF &gt; Ship Availability &gt; SSN 789 USS INDIANA - EDSRA</t>
  </si>
  <si>
    <t>SSN 776 USS HAWAII - Continuous Maintenance Availability (CMAV)</t>
  </si>
  <si>
    <t>OMN Vol2 &gt; OP-5A &gt; PHNSY&amp;IMF &gt; Ship Availability &gt; SSN 776 USS HAWAII - CMAV</t>
  </si>
  <si>
    <t>SSN 780 USS MISSOURI - Docking Maintenance Period (DMP)</t>
  </si>
  <si>
    <t>OMN Vol2 &gt; OP-5A &gt; PHNSY&amp;IMF &gt; Ship Availability &gt; SSN 780 USS MISSOURI - DMP</t>
  </si>
  <si>
    <t>SSN 761 USS SPRINGFIELD - Docking Selected Restricted Availability (DSRA)</t>
  </si>
  <si>
    <t>OMN Vol2 &gt; OP-5A &gt; PHNSY&amp;IMF &gt; Ship Availability &gt; SSN 761 USS SPRINGFIELD - DSRA</t>
  </si>
  <si>
    <t>Puget Sound Naval Shipyard &amp; IMF: Source of Funding - Department of Navy</t>
  </si>
  <si>
    <t>PSNS&amp;IMF Total</t>
  </si>
  <si>
    <t>OMN Vol2 &gt; OP-5A &gt; PSNS&amp;IMF &gt; Source of Funding &gt; Department of Navy</t>
  </si>
  <si>
    <t>PSNS&amp;IMF</t>
  </si>
  <si>
    <t>Puget Sound Naval Shipyard &amp; IMF: Source of Funding - Direct</t>
  </si>
  <si>
    <t>OMN Vol2 &gt; OP-5A &gt; PSNS&amp;IMF &gt; Source of Funding &gt; Direct</t>
  </si>
  <si>
    <t>Puget Sound Naval Shipyard &amp; IMF: Source of Funding - Operation &amp; Maintenance, Navy (Fleet, Base)</t>
  </si>
  <si>
    <t>OMN Vol2 &gt; OP-5A &gt; PSNS&amp;IMF &gt; Source of Funding &gt; Operation &amp; Maintenance, Navy (Fleet, Base)</t>
  </si>
  <si>
    <t>Puget Sound Naval Shipyard &amp; IMF: Source of Funding - Operation &amp; Maintenance, Navy (Fleet, OCO)</t>
  </si>
  <si>
    <t>OMN Vol2 &gt; OP-5A &gt; PSNS&amp;IMF &gt; Source of Funding &gt; Operation &amp; Maintenance, Navy (Fleet, OCO)</t>
  </si>
  <si>
    <t>Puget Sound Naval Shipyard &amp; IMF: Source of Funding - Military Personnel, Navy (Fleet, MPN)</t>
  </si>
  <si>
    <t>OMN Vol2 &gt; OP-5A &gt; PSNS&amp;IMF &gt; Source of Funding &gt; Military Personnel, Navy (Fleet, MPN)</t>
  </si>
  <si>
    <t>Puget Sound Naval Shipyard &amp; IMF: Source of Funding - Reimbursable</t>
  </si>
  <si>
    <t>OMN Vol2 &gt; OP-5A &gt; PSNS&amp;IMF &gt; Source of Funding &gt; Reimbursable</t>
  </si>
  <si>
    <t>Puget Sound Naval Shipyard &amp; IMF: Source of Funding - Operation &amp; Maintenance, Navy</t>
  </si>
  <si>
    <t>OMN Vol2 &gt; OP-5A &gt; PSNS&amp;IMF &gt; Source of Funding &gt; Operation &amp; Maintenance, Navy</t>
  </si>
  <si>
    <t>Puget Sound Naval Shipyard &amp; IMF: Source of Funding - Shipbuilding &amp; Conversion, Navy</t>
  </si>
  <si>
    <t>OMN Vol2 &gt; OP-5A &gt; PSNS&amp;IMF &gt; Source of Funding &gt; Shipbuilding &amp; Conversion, Navy</t>
  </si>
  <si>
    <t>Puget Sound Naval Shipyard &amp; IMF: Source of Funding - Other Procurement, Navy</t>
  </si>
  <si>
    <t>OMN Vol2 &gt; OP-5A &gt; PSNS&amp;IMF &gt; Source of Funding &gt; Other Procurement, Navy</t>
  </si>
  <si>
    <t>Puget Sound Naval Shipyard &amp; IMF: Source of Funding - Procurement, Marine Corps</t>
  </si>
  <si>
    <t>OMN Vol2 &gt; OP-5A &gt; PSNS&amp;IMF &gt; Source of Funding &gt; Procurement, Marine Corps</t>
  </si>
  <si>
    <t>Puget Sound Naval Shipyard &amp; IMF: Source of Funding - Other Department of Navy</t>
  </si>
  <si>
    <t>OMN Vol2 &gt; OP-5A &gt; PSNS&amp;IMF &gt; Source of Funding &gt; Other Department of Navy</t>
  </si>
  <si>
    <t>Puget Sound Naval Shipyard &amp; IMF: Source of Funding - Department of Defense</t>
  </si>
  <si>
    <t>OMN Vol2 &gt; OP-5A &gt; PSNS&amp;IMF &gt; Source of Funding &gt; Department of Defense</t>
  </si>
  <si>
    <t>Puget Sound Naval Shipyard &amp; IMF: Source of Funding - Other Orders</t>
  </si>
  <si>
    <t>OMN Vol2 &gt; OP-5A &gt; PSNS&amp;IMF &gt; Source of Funding &gt; Other Orders</t>
  </si>
  <si>
    <t>Puget Sound Naval Shipyard &amp; IMF: Source of Funding - Other Federal Agencies</t>
  </si>
  <si>
    <t>OMN Vol2 &gt; OP-5A &gt; PSNS&amp;IMF &gt; Source of Funding &gt; Other Federal Agencies</t>
  </si>
  <si>
    <t>Puget Sound Naval Shipyard &amp; IMF: Source of Funding - Foreign Military Sales</t>
  </si>
  <si>
    <t>OMN Vol2 &gt; OP-5A &gt; PSNS&amp;IMF &gt; Source of Funding &gt; Foreign Military Sales</t>
  </si>
  <si>
    <t>Puget Sound Naval Shipyard &amp; IMF: Source of Funding - Other</t>
  </si>
  <si>
    <t>OMN Vol2 &gt; OP-5A &gt; PSNS&amp;IMF &gt; Source of Funding &gt; Other</t>
  </si>
  <si>
    <t>Puget Sound Naval Shipyard &amp; IMF: Source of Funding - Total</t>
  </si>
  <si>
    <t>OMN Vol2 &gt; OP-5A &gt; PSNS&amp;IMF &gt; Source of Funding &gt; Total</t>
  </si>
  <si>
    <t>Puget Sound Naval Shipyard &amp; IMF: Performance Data - Direct Civilian Labor</t>
  </si>
  <si>
    <t>OMN Vol2 &gt; OP-5A &gt; PSNS&amp;IMF &gt; Performance Data &gt; Direct Civilian Labor</t>
  </si>
  <si>
    <t>Puget Sound Naval Shipyard &amp; IMF: Performance Data - Direct Military Labor</t>
  </si>
  <si>
    <t>OMN Vol2 &gt; OP-5A &gt; PSNS&amp;IMF &gt; Performance Data &gt; Direct Military Labor</t>
  </si>
  <si>
    <t>Puget Sound Naval Shipyard &amp; IMF: Performance Data - Direct Material</t>
  </si>
  <si>
    <t>OMN Vol2 &gt; OP-5A &gt; PSNS&amp;IMF &gt; Performance Data &gt; Direct Material</t>
  </si>
  <si>
    <t>Puget Sound Naval Shipyard &amp; IMF: Performance Data - Direct Contracts</t>
  </si>
  <si>
    <t>OMN Vol2 &gt; OP-5A &gt; PSNS&amp;IMF &gt; Performance Data &gt; Direct Contracts</t>
  </si>
  <si>
    <t>Puget Sound Naval Shipyard &amp; IMF: Performance Data - Other Direct Costs</t>
  </si>
  <si>
    <t>OMN Vol2 &gt; OP-5A &gt; PSNS&amp;IMF &gt; Performance Data &gt; Other Direct Costs</t>
  </si>
  <si>
    <t>Puget Sound Naval Shipyard &amp; IMF: Performance Data - Overhead Civilian Labor</t>
  </si>
  <si>
    <t>OMN Vol2 &gt; OP-5A &gt; PSNS&amp;IMF &gt; Performance Data &gt; Overhead Civilian Labor</t>
  </si>
  <si>
    <t>Puget Sound Naval Shipyard &amp; IMF: Performance Data - Overhead Military Labor</t>
  </si>
  <si>
    <t>OMN Vol2 &gt; OP-5A &gt; PSNS&amp;IMF &gt; Performance Data &gt; Overhead Military Labor</t>
  </si>
  <si>
    <t>Puget Sound Naval Shipyard &amp; IMF: Performance Data - Overhead Non-Labor</t>
  </si>
  <si>
    <t>OMN Vol2 &gt; OP-5A &gt; PSNS&amp;IMF &gt; Performance Data &gt; Overhead Non-Labor</t>
  </si>
  <si>
    <t>Puget Sound Naval Shipyard &amp; IMF: Performance Data - Navy/Marine Corps Intranet (NMCI)</t>
  </si>
  <si>
    <t>OMN Vol2 &gt; OP-5A &gt; PSNS&amp;IMF &gt; Performance Data &gt; NMCI</t>
  </si>
  <si>
    <t>Puget Sound Naval Shipyard &amp; IMF: Performance Data - Total</t>
  </si>
  <si>
    <t>OMN Vol2 &gt; OP-5A &gt; PSNS&amp;IMF &gt; Performance Data &gt; Total</t>
  </si>
  <si>
    <t>Puget Sound Naval Shipyard &amp; IMF: Infrastructure - Base Operating Support (Operation &amp; Maintenance, Navy)</t>
  </si>
  <si>
    <t>PSNS&amp;IMF Infrastructure Total</t>
  </si>
  <si>
    <t>OMN Vol2 &gt; OP-5A &gt; PSNS&amp;IMF &gt; Infrastructure &gt; Base Operating Support (OM,N)</t>
  </si>
  <si>
    <t>Puget Sound Naval Shipyard &amp; IMF: Infrastructure - Capital Equipment (Other Procurement, Navy)</t>
  </si>
  <si>
    <t>OMN Vol2 &gt; OP-5A &gt; PSNS&amp;IMF &gt; Infrastructure &gt; Capital Equipment (OP,N)</t>
  </si>
  <si>
    <t>Puget Sound Naval Shipyard &amp; IMF: Infrastructure - Facilities Restoration &amp; Modernization (Operation &amp; Maintenance, Navy)</t>
  </si>
  <si>
    <t>OMN Vol2 &gt; OP-5A &gt; PSNS&amp;IMF &gt; Infrastructure &gt; Facilities Restoration &amp; Modernization (OM,N)</t>
  </si>
  <si>
    <t>Puget Sound Naval Shipyard &amp; IMF: Infrastructure - Facilities Restoration &amp; Modernization (Navy Working Capital Fund)</t>
  </si>
  <si>
    <t>OMN Vol2 &gt; OP-5A &gt; PSNS&amp;IMF &gt; Infrastructure &gt; Facilities Restoration &amp; Modernization (NWCF)</t>
  </si>
  <si>
    <t>Puget Sound Naval Shipyard &amp; IMF: Infrastructure - Military Construction (MILCON)</t>
  </si>
  <si>
    <t>OMN Vol2 &gt; OP-5A &gt; PSNS&amp;IMF &gt; Infrastructure &gt; Military Construction (MILCON)</t>
  </si>
  <si>
    <t>Puget Sound Naval Shipyard &amp; IMF: Infrastructure - Total</t>
  </si>
  <si>
    <t>OMN Vol2 &gt; OP-5A &gt; PSNS&amp;IMF &gt; Infrastructure &gt; Total</t>
  </si>
  <si>
    <t>Puget Sound Naval Shipyard &amp; IMF: Capital Equipment - Seismic Cradles Fabrication</t>
  </si>
  <si>
    <t>OMN Vol2 &gt; OP-5A &gt; PSNS&amp;IMF &gt; Capital Equipment &gt; Seismic Cradles Fabrication</t>
  </si>
  <si>
    <t>Puget Sound Naval Shipyard &amp; IMF: Capital Equipment - Oily Waste Water Treatment System</t>
  </si>
  <si>
    <t>OMN Vol2 &gt; OP-5A &gt; PSNS&amp;IMF &gt; Capital Equipment &gt; Oily Waste Water Treatment System</t>
  </si>
  <si>
    <t>Puget Sound Naval Shipyard &amp; IMF: Capital Equipment - 25 Ton Portal Crane Litigation Expense - Paid</t>
  </si>
  <si>
    <t>OMN Vol2 &gt; OP-5A &gt; PSNS&amp;IMF &gt; Capital Equipment &gt; 25 Ton Portal Crane Litigation Expense - Paid</t>
  </si>
  <si>
    <t>Puget Sound Naval Shipyard &amp; IMF: Capital Equipment - 25 Ton Portal Crane Remaining Interest Claim</t>
  </si>
  <si>
    <t>OMN Vol2 &gt; OP-5A &gt; PSNS&amp;IMF &gt; Capital Equipment &gt; 25 Ton Portal Crane Remaining Interest Claim</t>
  </si>
  <si>
    <t>Puget Sound Naval Shipyard &amp; IMF: Capital Equipment - Badge Reader System</t>
  </si>
  <si>
    <t>OMN Vol2 &gt; OP-5A &gt; PSNS&amp;IMF &gt; Capital Equipment &gt; Badge Reader System</t>
  </si>
  <si>
    <t>Puget Sound Naval Shipyard &amp; IMF: Capital Equipment - 175 Ton Portal Crane Gudgeon Bearing Fix</t>
  </si>
  <si>
    <t>OMN Vol2 &gt; OP-5A &gt; PSNS&amp;IMF &gt; Capital Equipment &gt; 175 Ton Portal Crane Gudgeon Bearing Fix</t>
  </si>
  <si>
    <t>Puget Sound Naval Shipyard &amp; IMF: Capital Equipment - P-454 Phase 0 IT Equipment</t>
  </si>
  <si>
    <t>OMN Vol2 &gt; OP-5A &gt; PSNS&amp;IMF &gt; Capital Equipment &gt; P-454 Phase 0 IT Equipment</t>
  </si>
  <si>
    <t>Puget Sound Naval Shipyard &amp; IMF: Capital Equipment - Seismic Stability System Design (SSN 23 Class)</t>
  </si>
  <si>
    <t>OMN Vol2 &gt; OP-5A &gt; PSNS&amp;IMF &gt; Capital Equipment &gt; Seismic Stability System Design (SSN 23 Class)</t>
  </si>
  <si>
    <t>Puget Sound Naval Shipyard &amp; IMF: Capital Equipment - 25 Ton Portal Crane (FY17 back-fill)</t>
  </si>
  <si>
    <t>OMN Vol2 &gt; OP-5A &gt; PSNS&amp;IMF &gt; Capital Equipment &gt; 25 Ton Portal Crane (FY17 back-fill)</t>
  </si>
  <si>
    <t>Puget Sound Naval Shipyard &amp; IMF: Military Construction (MILCON) - SHIPYARD ELECTRICAL BACKBONE</t>
  </si>
  <si>
    <t>OMN Vol2 &gt; OP-5A &gt; PSNS&amp;IMF &gt; MILCON &gt; SHIPYARD ELECTRICAL BACKBONE</t>
  </si>
  <si>
    <t>Puget Sound Naval Shipyard &amp; IMF: Military Construction (MILCON) - CVN 78 ELECTRICAL UPGRADES, INCREMENT 1 of 2</t>
  </si>
  <si>
    <t>OMN Vol2 &gt; OP-5A &gt; PSNS&amp;IMF &gt; MILCON &gt; CVN 78 ELECTRICAL UPGRADES, INCREMENT 1 of 2</t>
  </si>
  <si>
    <t>Puget Sound Naval Shipyard &amp; IMF: Military Construction (MILCON) - CVN 78 ELECTRICAL UPGRADES, INCREMENT 2 of 2</t>
  </si>
  <si>
    <t>OMN Vol2 &gt; OP-5A &gt; PSNS&amp;IMF &gt; MILCON &gt; CVN 78 ELECTRICAL UPGRADES, INCREMENT 2 of 2</t>
  </si>
  <si>
    <t>SSBN 735 USS PENNSYLVANIA* - Engineered Refueling Overhaul (ERO)</t>
  </si>
  <si>
    <t>OMN Vol2 &gt; OP-5A &gt; PSNS&amp;IMF &gt; Ship Availability &gt; SSBN 735 USS PENNSYLVANIA* - ERO</t>
  </si>
  <si>
    <t>CVN 68 USS NIMITZ* - Docking Planned Incremental Availability (DPIA)</t>
  </si>
  <si>
    <t>OMN Vol2 &gt; OP-5A &gt; PSNS&amp;IMF &gt; Ship Availability &gt; CVN 68 USS NIMITZ* - DPIA</t>
  </si>
  <si>
    <t>CVN 73 USS GEORGE WASHINGTON* - Selected Restricted Availability (SRA)</t>
  </si>
  <si>
    <t>OMN Vol2 &gt; OP-5A &gt; PSNS&amp;IMF &gt; Ship Availability &gt; CVN 73 USS GEORGE WASHINGTON* - SRA</t>
  </si>
  <si>
    <t>SSN 23 USS JIMMY CARTER* - Docking Phased Maintenance Availability (DPMA)</t>
  </si>
  <si>
    <t>OMN Vol2 &gt; OP-5A &gt; PSNS&amp;IMF &gt; Ship Availability &gt; SSN 23 USS JIMMY CARTER* - DPMA</t>
  </si>
  <si>
    <t>SSBN 730 USS HENRY M JACKSON* - Extended Refit Period (ERP)</t>
  </si>
  <si>
    <t>OMN Vol2 &gt; OP-5A &gt; PSNS&amp;IMF &gt; Ship Availability &gt; SSBN 730 USS HENRY M JACKSON* - ERP</t>
  </si>
  <si>
    <t>SSN 23 USS JIMMY CARTER* - Extended Docking Selected Restricted Availability (EDSRA)</t>
  </si>
  <si>
    <t>OMN Vol2 &gt; OP-5A &gt; PSNS&amp;IMF &gt; Ship Availability &gt; SSN 23 USS JIMMY CARTER* - EDSRA</t>
  </si>
  <si>
    <t>SSGN 726 USS OHIO - Major Maintenance Period (MMP)</t>
  </si>
  <si>
    <t>OMN Vol2 &gt; OP-5A &gt; PSNS&amp;IMF &gt; Ship Availability &gt; SSGN 726 USS OHIO - MMP</t>
  </si>
  <si>
    <t>SSN 707 EX PORTSMOUTH - Recycling/Disposal (RCD)</t>
  </si>
  <si>
    <t>OMN Vol2 &gt; OP-5A &gt; PSNS&amp;IMF &gt; Ship Availability &gt; SSN 707 EX PORTSMOUTH - RCD</t>
  </si>
  <si>
    <t>SSN 705 EX CITY OF CORPUS CHRISTI - Recycling/Disposal (RCD)</t>
  </si>
  <si>
    <t>OMN Vol2 &gt; OP-5A &gt; PSNS&amp;IMF &gt; Ship Availability &gt; SSN 705 EX CITY OF CORPUS CHRISTI - RCD</t>
  </si>
  <si>
    <t>SSN 721 USS CHICAGO - Inactivation Availability (IA)</t>
  </si>
  <si>
    <t>OMN Vol2 &gt; OP-5A &gt; PSNS&amp;IMF &gt; Ship Availability &gt; SSN 721 USS CHICAGO - IA</t>
  </si>
  <si>
    <t>SSBN 735 USS PENNSYLVANIA - Extended Refit Period (ERP)</t>
  </si>
  <si>
    <t>OMN Vol2 &gt; OP-5A &gt; PSNS&amp;IMF &gt; Ship Availability &gt; SSBN 735 USS PENNSYLVANIA - ERP</t>
  </si>
  <si>
    <t>SSN 756 USS SCRANTON - Docking Selected Restricted Availability (DSRA)</t>
  </si>
  <si>
    <t>OMN Vol2 &gt; OP-5A &gt; PSNS&amp;IMF &gt; Ship Availability &gt; SSN 756 USS SCRANTON - DSRA</t>
  </si>
  <si>
    <t>CVN 72 USS ABRAHAM LINCOLN - Planned Incremental Availability (PIA)</t>
  </si>
  <si>
    <t>OMN Vol2 &gt; OP-5A &gt; PSNS&amp;IMF &gt; Ship Availability &gt; CVN 72 USS ABRAHAM LINCOLN - PIA</t>
  </si>
  <si>
    <t>SSN 22 USS CONNECTICUT - Extended Docking Selected Restricted Availability (EDSRA)</t>
  </si>
  <si>
    <t>OMN Vol2 &gt; OP-5A &gt; PSNS&amp;IMF &gt; Ship Availability &gt; SSN 22 USS CONNECTICUT - EDSRA</t>
  </si>
  <si>
    <t>SSGN 727 USS MICHIGAN - Major Maintenance Period (MMP)</t>
  </si>
  <si>
    <t>OMN Vol2 &gt; OP-5A &gt; PSNS&amp;IMF &gt; Ship Availability &gt; SSGN 727 USS MICHIGAN - MMP</t>
  </si>
  <si>
    <t>SSN 709 EX HYMAN G. RICKOVER - Recycling/Disposal (RCD)</t>
  </si>
  <si>
    <t>OMN Vol2 &gt; OP-5A &gt; PSNS&amp;IMF &gt; Ship Availability &gt; SSN 709 EX HYMAN G. RICKOVER - RCD</t>
  </si>
  <si>
    <t>SSN 714 EX NORFOLK - Recycling/Disposal (RCD)</t>
  </si>
  <si>
    <t>OMN Vol2 &gt; OP-5A &gt; PSNS&amp;IMF &gt; Ship Availability &gt; SSN 714 EX NORFOLK - RCD</t>
  </si>
  <si>
    <t>CVN 68 USS NIMITZ - Planned Incremental Availability (PIA)</t>
  </si>
  <si>
    <t>OMN Vol2 &gt; OP-5A &gt; PSNS&amp;IMF &gt; Ship Availability &gt; CVN 68 USS NIMITZ - PIA</t>
  </si>
  <si>
    <t>CVN 76 USS RONALD REAGAN - Selected Restricted Availability (SRA)</t>
  </si>
  <si>
    <t>OMN Vol2 &gt; OP-5A &gt; PSNS&amp;IMF &gt; Ship Availability &gt; CVN 76 USS RONALD REAGAN - SRA</t>
  </si>
  <si>
    <t>CVN 70 USS CARL VINSON - Continuous Incremental Availability (CIA)</t>
  </si>
  <si>
    <t>OMN Vol2 &gt; OP-5A &gt; PSNS&amp;IMF &gt; Ship Availability &gt; CVN 70 USS CARL VINSON - CIA</t>
  </si>
  <si>
    <t>CVN 71 USS THEODORE ROOSEVELT - Planned Incremental Availability (PIA)</t>
  </si>
  <si>
    <t>OMN Vol2 &gt; OP-5A &gt; PSNS&amp;IMF &gt; Ship Availability &gt; CVN 71 USS THEODORE ROOSEVELT - PIA</t>
  </si>
  <si>
    <t>SSN 722 USS KEY WEST - Inactivation Availability (IA)</t>
  </si>
  <si>
    <t>OMN Vol2 &gt; OP-5A &gt; PSNS&amp;IMF &gt; Ship Availability &gt; SSN 722 USS KEY WEST - IA</t>
  </si>
  <si>
    <t>SSN 698 EX BREMERTON - Recycling/Disposal (RCD)</t>
  </si>
  <si>
    <t>OMN Vol2 &gt; OP-5A &gt; PSNS&amp;IMF &gt; Ship Availability &gt; SSN 698 EX BREMERTON - RCD</t>
  </si>
  <si>
    <t>SSN 699 EX JACKSONVILLE - Recycling/Disposal (RCD)</t>
  </si>
  <si>
    <t>OMN Vol2 &gt; OP-5A &gt; PSNS&amp;IMF &gt; Ship Availability &gt; SSN 699 EX JACKSONVILLE - RCD</t>
  </si>
  <si>
    <t>CVN 73 USS GEORGE WASHINGTON - Selected Restricted Availability (SRA)</t>
  </si>
  <si>
    <t>OMN Vol2 &gt; OP-5A &gt; PSNS&amp;IMF &gt; Ship Availability &gt; CVN 73 USS GEORGE WASHINGTON - SRA</t>
  </si>
  <si>
    <t>SSBN 737 USS KENTUCKY - Extended Refit Period (ERP)</t>
  </si>
  <si>
    <t>OMN Vol2 &gt; OP-5A &gt; PSNS&amp;IMF &gt; Ship Availability &gt; SSBN 737 USS KENTUCKY - ERP</t>
  </si>
  <si>
    <t>CVN 72 USS ABRAHAM LINCOLN - Continuous Incremental Availability (CIA)</t>
  </si>
  <si>
    <t>OMN Vol2 &gt; OP-5A &gt; PSNS&amp;IMF &gt; Ship Availability &gt; CVN 72 USS ABRAHAM LINCOLN - CIA</t>
  </si>
  <si>
    <t>CVN 76 USS RONALD REAGAN - Docking Planned Incremental Availability (DPIA)</t>
  </si>
  <si>
    <t>OMN Vol2 &gt; OP-5A &gt; PSNS&amp;IMF &gt; Ship Availability &gt; CVN 76 USS RONALD REAGAN - DPIA</t>
  </si>
  <si>
    <t>SSN 751 USS SAN JUAN - Inactivation Availability (IA)</t>
  </si>
  <si>
    <t>OMN Vol2 &gt; OP-5A &gt; PSNS&amp;IMF &gt; Ship Availability &gt; SSN 751 USS SAN JUAN - IA</t>
  </si>
  <si>
    <t>CVN 70 USS CARL VINSON - Planned Incremental Availability (PIA)</t>
  </si>
  <si>
    <t>OMN Vol2 &gt; OP-5A &gt; PSNS&amp;IMF &gt; Ship Availability &gt; CVN 70 USS CARL VINSON - PIA</t>
  </si>
  <si>
    <t>SSN 21 USS SEAWOLF - Extended Docking Selected Restricted Availability (EDSRA)</t>
  </si>
  <si>
    <t>OMN Vol2 &gt; OP-5A &gt; PSNS&amp;IMF &gt; Ship Availability &gt; SSN 21 USS SEAWOLF - EDSRA</t>
  </si>
  <si>
    <t>SSN 752 USS HELENA - Inactivation Availability (IA)</t>
  </si>
  <si>
    <t>OMN Vol2 &gt; OP-5A &gt; PSNS&amp;IMF &gt; Ship Availability &gt; SSN 752 USS HELENA - IA</t>
  </si>
  <si>
    <t>SSBN 737 KENTUCKY - Extended Refit Period (ERP)</t>
  </si>
  <si>
    <t>OMN Vol2 &gt; OP-5A &gt; PSNS&amp;IMF &gt; Ship Availability &gt; SSBN 737 KENTUCKY - ERP</t>
  </si>
  <si>
    <t>SSN 725 USS HELENA - Service Life Allowance (SLA)</t>
  </si>
  <si>
    <t>OMN Vol2 &gt; OP-5A &gt; PSNS&amp;IMF &gt; Ship Availability &gt; SSN 725 USS HELENA - SLA</t>
  </si>
  <si>
    <t>SSN 754 USS TOPEKA - Service Life Allowance (SLA)</t>
  </si>
  <si>
    <t>OMN Vol2 &gt; OP-5A &gt; PSNS&amp;IMF &gt; Ship Availability &gt; SSN 754 USS TOPEKA - SLA</t>
  </si>
  <si>
    <t>CVN 72 USS ABRAHAM LINCOLN - Docking Planned Incremental Availability (DPIA)</t>
  </si>
  <si>
    <t>OMN Vol2 &gt; OP-5A &gt; PSNS&amp;IMF &gt; Ship Availability &gt; CVN 72 USS ABRAHAM LINCOLN - DPIA</t>
  </si>
  <si>
    <t>SSN 757 USS ALEXANDRIA - Inactivation Availability (IA)</t>
  </si>
  <si>
    <t>OMN Vol2 &gt; OP-5A &gt; PSNS&amp;IMF &gt; Ship Availability &gt; SSN 757 USS ALEXANDRIA - IA</t>
  </si>
  <si>
    <t>CVN 71 USS THEODORE ROOSEVELT - Continuous Incremental Availability (CIA)</t>
  </si>
  <si>
    <t>OMN Vol2 &gt; OP-5A &gt; PSNS&amp;IMF &gt; Ship Availability &gt; CVN 71 USS THEODORE ROOSEVELT - CIA</t>
  </si>
  <si>
    <t>Portsmouth Naval Shipyard: Source of Funding - Department of Navy</t>
  </si>
  <si>
    <t>PNSY Total</t>
  </si>
  <si>
    <t>OMN Vol2 &gt; OP-5A &gt; PNSY &gt; Source of Funding &gt; Department of Navy</t>
  </si>
  <si>
    <t>PNSY</t>
  </si>
  <si>
    <t>Portsmouth Naval Shipyard: Source of Funding - Direct</t>
  </si>
  <si>
    <t>OMN Vol2 &gt; OP-5A &gt; PNSY &gt; Source of Funding &gt; Direct</t>
  </si>
  <si>
    <t>Portsmouth Naval Shipyard: Source of Funding - Operation &amp; Maintenance, Navy (Fleet, Base)</t>
  </si>
  <si>
    <t>OMN Vol2 &gt; OP-5A &gt; PNSY &gt; Source of Funding &gt; Operation &amp; Maintenance, Navy (Fleet, Base)</t>
  </si>
  <si>
    <t>Portsmouth Naval Shipyard: Source of Funding - Operation &amp; Maintenance, Navy (Fleet, OCO)</t>
  </si>
  <si>
    <t>OMN Vol2 &gt; OP-5A &gt; PNSY &gt; Source of Funding &gt; Operation &amp; Maintenance, Navy (Fleet, OCO)</t>
  </si>
  <si>
    <t>Portsmouth Naval Shipyard: Source of Funding - Military Personnel, Navy (Fleet, MPN)</t>
  </si>
  <si>
    <t>OMN Vol2 &gt; OP-5A &gt; PNSY &gt; Source of Funding &gt; Military Personnel, Navy (Fleet, MPN)</t>
  </si>
  <si>
    <t>Portsmouth Naval Shipyard: Source of Funding - Reimbursable</t>
  </si>
  <si>
    <t>OMN Vol2 &gt; OP-5A &gt; PNSY &gt; Source of Funding &gt; Reimbursable</t>
  </si>
  <si>
    <t>Portsmouth Naval Shipyard: Source of Funding - Operation &amp; Maintenance, Navy</t>
  </si>
  <si>
    <t>OMN Vol2 &gt; OP-5A &gt; PNSY &gt; Source of Funding &gt; Operation &amp; Maintenance, Navy</t>
  </si>
  <si>
    <t>Portsmouth Naval Shipyard: Source of Funding - Shipbuilding &amp; Conversion, Navy</t>
  </si>
  <si>
    <t>OMN Vol2 &gt; OP-5A &gt; PNSY &gt; Source of Funding &gt; Shipbuilding &amp; Conversion, Navy</t>
  </si>
  <si>
    <t>Portsmouth Naval Shipyard: Source of Funding - Other Procurement, Navy</t>
  </si>
  <si>
    <t>OMN Vol2 &gt; OP-5A &gt; PNSY &gt; Source of Funding &gt; Other Procurement, Navy</t>
  </si>
  <si>
    <t>Portsmouth Naval Shipyard: Source of Funding - Procurement, Marine Corps</t>
  </si>
  <si>
    <t>OMN Vol2 &gt; OP-5A &gt; PNSY &gt; Source of Funding &gt; Procurement, Marine Corps</t>
  </si>
  <si>
    <t>Portsmouth Naval Shipyard: Source of Funding - Other Department of Navy</t>
  </si>
  <si>
    <t>OMN Vol2 &gt; OP-5A &gt; PNSY &gt; Source of Funding &gt; Other Department of Navy</t>
  </si>
  <si>
    <t>Portsmouth Naval Shipyard: Source of Funding - Department of Defense</t>
  </si>
  <si>
    <t>OMN Vol2 &gt; OP-5A &gt; PNSY &gt; Source of Funding &gt; Department of Defense</t>
  </si>
  <si>
    <t>Portsmouth Naval Shipyard: Source of Funding - Other Orders</t>
  </si>
  <si>
    <t>OMN Vol2 &gt; OP-5A &gt; PNSY &gt; Source of Funding &gt; Other Orders</t>
  </si>
  <si>
    <t>Portsmouth Naval Shipyard: Source of Funding - Other Federal Agencies</t>
  </si>
  <si>
    <t>OMN Vol2 &gt; OP-5A &gt; PNSY &gt; Source of Funding &gt; Other Federal Agencies</t>
  </si>
  <si>
    <t>Portsmouth Naval Shipyard: Source of Funding - Foreign Military Sales</t>
  </si>
  <si>
    <t>OMN Vol2 &gt; OP-5A &gt; PNSY &gt; Source of Funding &gt; Foreign Military Sales</t>
  </si>
  <si>
    <t>Portsmouth Naval Shipyard: Source of Funding - Other</t>
  </si>
  <si>
    <t>OMN Vol2 &gt; OP-5A &gt; PNSY &gt; Source of Funding &gt; Other</t>
  </si>
  <si>
    <t>Portsmouth Naval Shipyard: Source of Funding - Total</t>
  </si>
  <si>
    <t>OMN Vol2 &gt; OP-5A &gt; PNSY &gt; Source of Funding &gt; Total</t>
  </si>
  <si>
    <t>Portsmouth Naval Shipyard: Performance Data - Direct Civilian Labor</t>
  </si>
  <si>
    <t>OMN Vol2 &gt; OP-5A &gt; PNSY &gt; Performance Data &gt; Direct Civilian Labor</t>
  </si>
  <si>
    <t>Portsmouth Naval Shipyard: Performance Data - Direct Military Labor</t>
  </si>
  <si>
    <t>OMN Vol2 &gt; OP-5A &gt; PNSY &gt; Performance Data &gt; Direct Military Labor</t>
  </si>
  <si>
    <t>Portsmouth Naval Shipyard: Performance Data - Direct Material</t>
  </si>
  <si>
    <t>OMN Vol2 &gt; OP-5A &gt; PNSY &gt; Performance Data &gt; Direct Material</t>
  </si>
  <si>
    <t>Portsmouth Naval Shipyard: Performance Data - Direct Contracts</t>
  </si>
  <si>
    <t>OMN Vol2 &gt; OP-5A &gt; PNSY &gt; Performance Data &gt; Direct Contracts</t>
  </si>
  <si>
    <t>Portsmouth Naval Shipyard: Performance Data - Other Direct Costs</t>
  </si>
  <si>
    <t>OMN Vol2 &gt; OP-5A &gt; PNSY &gt; Performance Data &gt; Other Direct Costs</t>
  </si>
  <si>
    <t>Portsmouth Naval Shipyard: Performance Data - Overhead Civilian Labor</t>
  </si>
  <si>
    <t>OMN Vol2 &gt; OP-5A &gt; PNSY &gt; Performance Data &gt; Overhead Civilian Labor</t>
  </si>
  <si>
    <t>Portsmouth Naval Shipyard: Performance Data - Overhead Military Labor</t>
  </si>
  <si>
    <t>OMN Vol2 &gt; OP-5A &gt; PNSY &gt; Performance Data &gt; Overhead Military Labor</t>
  </si>
  <si>
    <t>Portsmouth Naval Shipyard: Performance Data - Overhead Non-Labor</t>
  </si>
  <si>
    <t>OMN Vol2 &gt; OP-5A &gt; PNSY &gt; Performance Data &gt; Overhead Non-Labor</t>
  </si>
  <si>
    <t>Portsmouth Naval Shipyard: Performance Data - Navy/Marine Corps Intranet (NMCI)</t>
  </si>
  <si>
    <t>OMN Vol2 &gt; OP-5A &gt; PNSY &gt; Performance Data &gt; NMCI</t>
  </si>
  <si>
    <t>Portsmouth Naval Shipyard: Performance Data - Total</t>
  </si>
  <si>
    <t>OMN Vol2 &gt; OP-5A &gt; PNSY &gt; Performance Data &gt; Total</t>
  </si>
  <si>
    <t>Portsmouth Naval Shipyard: Infrastructure - Base Operating Support (Operation &amp; Maintenance, Navy)</t>
  </si>
  <si>
    <t>PNSY Infrastructure Total</t>
  </si>
  <si>
    <t>OMN Vol2 &gt; OP-5A &gt; PNSY &gt; Infrastructure &gt; Base Operating Support (OM,N)</t>
  </si>
  <si>
    <t>Portsmouth Naval Shipyard: Infrastructure - Capital Equipment (Other Procurement, Navy)</t>
  </si>
  <si>
    <t>OMN Vol2 &gt; OP-5A &gt; PNSY &gt; Infrastructure &gt; Capital Equipment (OP,N)</t>
  </si>
  <si>
    <t>Portsmouth Naval Shipyard: Infrastructure - Facilities Restoration &amp; Modernization (Operation &amp; Maintenance, Navy)</t>
  </si>
  <si>
    <t>OMN Vol2 &gt; OP-5A &gt; PNSY &gt; Infrastructure &gt; Facilities Restoration &amp; Modernization (OM,N)</t>
  </si>
  <si>
    <t>Portsmouth Naval Shipyard: Infrastructure - Facilities Restoration &amp; Modernization (Navy Working Capital Fund)</t>
  </si>
  <si>
    <t>OMN Vol2 &gt; OP-5A &gt; PNSY &gt; Infrastructure &gt; Facilities Restoration &amp; Modernization (NWCF)</t>
  </si>
  <si>
    <t>Portsmouth Naval Shipyard: Infrastructure - Military Construction (MILCON)</t>
  </si>
  <si>
    <t>OMN Vol2 &gt; OP-5A &gt; PNSY &gt; Infrastructure &gt; Military Construction (MILCON)</t>
  </si>
  <si>
    <t>Portsmouth Naval Shipyard: Infrastructure - Total</t>
  </si>
  <si>
    <t>OMN Vol2 &gt; OP-5A &gt; PNSY &gt; Infrastructure &gt; Total</t>
  </si>
  <si>
    <t>Portsmouth Naval Shipyard: Capital Equipment - RSC DD#2 Weather Protection</t>
  </si>
  <si>
    <t>OMN Vol2 &gt; OP-5A &gt; PNSY &gt; Capital Equipment &gt; RSC DD#2 Weather Protection</t>
  </si>
  <si>
    <t>Portsmouth Naval Shipyard: Capital Equipment - RSC Redesign ECE</t>
  </si>
  <si>
    <t>OMN Vol2 &gt; OP-5A &gt; PNSY &gt; Capital Equipment &gt; RSC Redesign ECE</t>
  </si>
  <si>
    <t>Portsmouth Naval Shipyard: Capital Equipment - VPT Platform increase</t>
  </si>
  <si>
    <t>OMN Vol2 &gt; OP-5A &gt; PNSY &gt; Capital Equipment &gt; VPT Platform increase</t>
  </si>
  <si>
    <t>Portsmouth Naval Shipyard: Capital Equipment - 42' Rotary Surface Grinder</t>
  </si>
  <si>
    <t>OMN Vol2 &gt; OP-5A &gt; PNSY &gt; Capital Equipment &gt; 42' Rotary Surface Grinder</t>
  </si>
  <si>
    <t>Portsmouth Naval Shipyard: Capital Equipment - Horizontal Honing Machine</t>
  </si>
  <si>
    <t>OMN Vol2 &gt; OP-5A &gt; PNSY &gt; Capital Equipment &gt; Horizontal Honing Machine</t>
  </si>
  <si>
    <t>Portsmouth Naval Shipyard: Capital Equipment - Hydrostatic Test Tank</t>
  </si>
  <si>
    <t>OMN Vol2 &gt; OP-5A &gt; PNSY &gt; Capital Equipment &gt; Hydrostatic Test Tank</t>
  </si>
  <si>
    <t>Portsmouth Naval Shipyard: Capital Equipment - Coffer Dam Enclosure</t>
  </si>
  <si>
    <t>OMN Vol2 &gt; OP-5A &gt; PNSY &gt; Capital Equipment &gt; Coffer Dam Enclosure</t>
  </si>
  <si>
    <t>Portsmouth Naval Shipyard: Capital Equipment - DD#2 RSC Re-boot</t>
  </si>
  <si>
    <t>OMN Vol2 &gt; OP-5A &gt; PNSY &gt; Capital Equipment &gt; DD#2 RSC Re-boot</t>
  </si>
  <si>
    <t>Portsmouth Naval Shipyard: Capital Equipment - DD#2 RSC Re-boot Design &amp; Labor</t>
  </si>
  <si>
    <t>OMN Vol2 &gt; OP-5A &gt; PNSY &gt; Capital Equipment &gt; DD#2 RSC Re-boot Design &amp; Labor</t>
  </si>
  <si>
    <t>Portsmouth Naval Shipyard: Capital Equipment - DD#2 RSC Early Work Package</t>
  </si>
  <si>
    <t>OMN Vol2 &gt; OP-5A &gt; PNSY &gt; Capital Equipment &gt; DD#2 RSC Early Work Package</t>
  </si>
  <si>
    <t>Portsmouth Naval Shipyard: Capital Equipment - DD#2 Intumescent Coating/Structural Shoring</t>
  </si>
  <si>
    <t>OMN Vol2 &gt; OP-5A &gt; PNSY &gt; Capital Equipment &gt; DD#2 Intumescent Coating/Structural Shoring</t>
  </si>
  <si>
    <t>Portsmouth Naval Shipyard: Military Construction (MILCON) - MULTI-MISSION DRY DOCK #1 EXTENSION, INCREMENT 4 of 7</t>
  </si>
  <si>
    <t>OMN Vol2 &gt; OP-5A &gt; PNSY &gt; MILCON &gt; MULTI-MISSION DRY DOCK #1 EXTENSION, INCREMENT 4 of 7</t>
  </si>
  <si>
    <t>Portsmouth Naval Shipyard: Military Construction (MILCON) - MULTI-MISSION DRY DOCK #1 EXTENSION, INCREMENT 5 of 7</t>
  </si>
  <si>
    <t>OMN Vol2 &gt; OP-5A &gt; PNSY &gt; MILCON &gt; MULTI-MISSION DRY DOCK #1 EXTENSION, INCREMENT 5 of 7</t>
  </si>
  <si>
    <t>Portsmouth Naval Shipyard: Military Construction (MILCON) - MULTI-MISSION DRY DOCK #1 EXTENSION, INCREMENT 6 of 7</t>
  </si>
  <si>
    <t>OMN Vol2 &gt; OP-5A &gt; PNSY &gt; MILCON &gt; MULTI-MISSION DRY DOCK #1 EXTENSION, INCREMENT 6 of 7</t>
  </si>
  <si>
    <t>Portsmouth Naval Shipyard: Military Construction (MILCON) - POWER RELIABILITY &amp; WATER RESILIENCY, INCREMENT 1 of 5</t>
  </si>
  <si>
    <t>OMN Vol2 &gt; OP-5A &gt; PNSY &gt; MILCON &gt; POWER RELIABILITY &amp; WATER RESILIENCY, INCREMENT 1 of 5</t>
  </si>
  <si>
    <t>SSN 752 USS PASADENA* - Engineered Overhaul (EOH)</t>
  </si>
  <si>
    <t>OMN Vol2 &gt; OP-5A &gt; PNSY &gt; Ship Availability &gt; SSN 752 USS PASADENA* - EOH</t>
  </si>
  <si>
    <t>SSN 757 USS ALEXANDRIA* 8/1/2013 3/1/2015 12/4/2013 8/12/2015 - Engineered Overhaul (EOH)</t>
  </si>
  <si>
    <t>OMN Vol2 &gt; OP-5A &gt; PNSY &gt; Ship Availability &gt; SSN 757 USS ALEXANDRIA* 8/1/2013 3/1/2015 12/4/2013 8/12/2015 - EOH</t>
  </si>
  <si>
    <t>SSN 723 USS OKLAHOMA CITY* - Docking Selected Restricted Availability (DSRA)</t>
  </si>
  <si>
    <t>OMN Vol2 &gt; OP-5A &gt; PNSY &gt; Ship Availability &gt; SSN 723 USS OKLAHOMA CITY* - DSRA</t>
  </si>
  <si>
    <t>SSN 751 USS SAN JUAN* - Docking Selected Restricted Availability (DSRA)</t>
  </si>
  <si>
    <t>OMN Vol2 &gt; OP-5A &gt; PNSY &gt; Ship Availability &gt; SSN 751 USS SAN JUAN* - DSRA</t>
  </si>
  <si>
    <t>SSN 781 USS CALIFORNIA* - Extended Docking Selected Restricted Availability (EDSRA)</t>
  </si>
  <si>
    <t>OMN Vol2 &gt; OP-5A &gt; PNSY &gt; Ship Availability &gt; SSN 781 USS CALIFORNIA* - EDSRA</t>
  </si>
  <si>
    <t>SSN 775 USS TEXAS - Docking Maintenance Period (DMP)</t>
  </si>
  <si>
    <t>OMN Vol2 &gt; OP-5A &gt; PNSY &gt; Ship Availability &gt; SSN 775 USS TEXAS - DMP</t>
  </si>
  <si>
    <t>SSN 760 USS ANNAPOLIS* - Docking Selected Restricted Availability (DSRA)</t>
  </si>
  <si>
    <t>OMN Vol2 &gt; OP-5A &gt; PNSY &gt; Ship Availability &gt; SSN 760 USS ANNAPOLIS* - DSRA</t>
  </si>
  <si>
    <t>SSN 772 USS GREENEVILLE - Engineered Overhaul (EOH)</t>
  </si>
  <si>
    <t>OMN Vol2 &gt; OP-5A &gt; PNSY &gt; Ship Availability &gt; SSN 772 USS GREENEVILLE - EOH</t>
  </si>
  <si>
    <t>SSN 773 USS CHEYENNE - Engineered Refueling Overhaul (ERO)</t>
  </si>
  <si>
    <t>OMN Vol2 &gt; OP-5A &gt; PNSY &gt; Ship Availability &gt; SSN 773 USS CHEYENNE - ERO</t>
  </si>
  <si>
    <t>SSN 757 USS ALEXANDRIA - Docking Selected Restricted Availability (DSRA)</t>
  </si>
  <si>
    <t>OMN Vol2 &gt; OP-5A &gt; PNSY &gt; Ship Availability &gt; SSN 757 USS ALEXANDRIA - DSRA</t>
  </si>
  <si>
    <t>SSN 784 USS NORTH DAKOTA - Extended Docking Selected Restricted Availability (EDSRA)</t>
  </si>
  <si>
    <t>OMN Vol2 &gt; OP-5A &gt; PNSY &gt; Ship Availability &gt; SSN 784 USS NORTH DAKOTA - EDSRA</t>
  </si>
  <si>
    <t>SSN 758 USS ASHEVILLE - Docking Selected Restricted Availability (DSRA)</t>
  </si>
  <si>
    <t>OMN Vol2 &gt; OP-5A &gt; PNSY &gt; Ship Availability &gt; SSN 758 USS ASHEVILLE - DSRA</t>
  </si>
  <si>
    <t>SSN 787 USS WASHINGTON - Extended Docking Selected Restricted Availability (EDSRA)</t>
  </si>
  <si>
    <t>OMN Vol2 &gt; OP-5A &gt; PNSY &gt; Ship Availability &gt; SSN 787 USS WASHINGTON - EDSRA</t>
  </si>
  <si>
    <t>SSN 767 USS HAMPTON - Engineered Refueling Overhaul (ERO)</t>
  </si>
  <si>
    <t>OMN Vol2 &gt; OP-5A &gt; PNSY &gt; Ship Availability &gt; SSN 767 USS HAMPTON - ERO</t>
  </si>
  <si>
    <t>SSN 769 USS ALBANY - Docking Selected Restricted Availability (DSRA)</t>
  </si>
  <si>
    <t>OMN Vol2 &gt; OP-5A &gt; PNSY &gt; Ship Availability &gt; SSN 769 USS ALBANY - DSRA</t>
  </si>
  <si>
    <t>SSN 759 USS JEFFERSON CITY - Docking Selected Restricted Availability (DSRA)</t>
  </si>
  <si>
    <t>OMN Vol2 &gt; OP-5A &gt; PNSY &gt; Ship Availability &gt; SSN 759 USS JEFFERSON CITY - DSRA</t>
  </si>
  <si>
    <t>SSN 779 USS NEW MEXICO - Docking Maintenance Period (DMP)</t>
  </si>
  <si>
    <t>OMN Vol2 &gt; OP-5A &gt; PNSY &gt; Ship Availability &gt; SSN 779 USS NEW MEXICO - DMP</t>
  </si>
  <si>
    <t>Norfolk Naval Shipyard: Source of Funding - Department of Navy</t>
  </si>
  <si>
    <t>NNSY Total</t>
  </si>
  <si>
    <t>OMN Vol2 &gt; OP-5A &gt; NNSY &gt; Source of Funding &gt; Department of Navy</t>
  </si>
  <si>
    <t>NNSY</t>
  </si>
  <si>
    <t>Norfolk Naval Shipyard: Source of Funding - Direct</t>
  </si>
  <si>
    <t>OMN Vol2 &gt; OP-5A &gt; NNSY &gt; Source of Funding &gt; Direct</t>
  </si>
  <si>
    <t>Norfolk Naval Shipyard: Source of Funding - Operation &amp; Maintenance, Navy (Fleet, Base)</t>
  </si>
  <si>
    <t>OMN Vol2 &gt; OP-5A &gt; NNSY &gt; Source of Funding &gt; Operation &amp; Maintenance, Navy (Fleet, Base)</t>
  </si>
  <si>
    <t>Norfolk Naval Shipyard: Source of Funding - Operation &amp; Maintenance, Navy (Fleet, OCO)</t>
  </si>
  <si>
    <t>OMN Vol2 &gt; OP-5A &gt; NNSY &gt; Source of Funding &gt; Operation &amp; Maintenance, Navy (Fleet, OCO)</t>
  </si>
  <si>
    <t>Norfolk Naval Shipyard: Source of Funding - Military Personnel, Navy (Fleet, MPN)</t>
  </si>
  <si>
    <t>OMN Vol2 &gt; OP-5A &gt; NNSY &gt; Source of Funding &gt; Military Personnel, Navy (Fleet, MPN)</t>
  </si>
  <si>
    <t>Norfolk Naval Shipyard: Source of Funding - Reimbursable</t>
  </si>
  <si>
    <t>OMN Vol2 &gt; OP-5A &gt; NNSY &gt; Source of Funding &gt; Reimbursable</t>
  </si>
  <si>
    <t>Norfolk Naval Shipyard: Source of Funding - Operation &amp; Maintenance, Navy</t>
  </si>
  <si>
    <t>OMN Vol2 &gt; OP-5A &gt; NNSY &gt; Source of Funding &gt; Operation &amp; Maintenance, Navy</t>
  </si>
  <si>
    <t>Norfolk Naval Shipyard: Source of Funding - Shipbuilding &amp; Conversion, Navy</t>
  </si>
  <si>
    <t>OMN Vol2 &gt; OP-5A &gt; NNSY &gt; Source of Funding &gt; Shipbuilding &amp; Conversion, Navy</t>
  </si>
  <si>
    <t>Norfolk Naval Shipyard: Source of Funding - Other Procurement, Navy</t>
  </si>
  <si>
    <t>OMN Vol2 &gt; OP-5A &gt; NNSY &gt; Source of Funding &gt; Other Procurement, Navy</t>
  </si>
  <si>
    <t>Norfolk Naval Shipyard: Source of Funding - Procurement, Marine Corps</t>
  </si>
  <si>
    <t>OMN Vol2 &gt; OP-5A &gt; NNSY &gt; Source of Funding &gt; Procurement, Marine Corps</t>
  </si>
  <si>
    <t>Norfolk Naval Shipyard: Source of Funding - Other Department of Navy</t>
  </si>
  <si>
    <t>OMN Vol2 &gt; OP-5A &gt; NNSY &gt; Source of Funding &gt; Other Department of Navy</t>
  </si>
  <si>
    <t>Norfolk Naval Shipyard: Source of Funding - Department of Defense</t>
  </si>
  <si>
    <t>OMN Vol2 &gt; OP-5A &gt; NNSY &gt; Source of Funding &gt; Department of Defense</t>
  </si>
  <si>
    <t>Norfolk Naval Shipyard: Source of Funding - Other Orders</t>
  </si>
  <si>
    <t>OMN Vol2 &gt; OP-5A &gt; NNSY &gt; Source of Funding &gt; Other Orders</t>
  </si>
  <si>
    <t>Norfolk Naval Shipyard: Source of Funding - Other Federal Agencies</t>
  </si>
  <si>
    <t>OMN Vol2 &gt; OP-5A &gt; NNSY &gt; Source of Funding &gt; Other Federal Agencies</t>
  </si>
  <si>
    <t>Norfolk Naval Shipyard: Source of Funding - Foreign Military Sales</t>
  </si>
  <si>
    <t>OMN Vol2 &gt; OP-5A &gt; NNSY &gt; Source of Funding &gt; Foreign Military Sales</t>
  </si>
  <si>
    <t>Norfolk Naval Shipyard: Source of Funding - Other</t>
  </si>
  <si>
    <t>OMN Vol2 &gt; OP-5A &gt; NNSY &gt; Source of Funding &gt; Other</t>
  </si>
  <si>
    <t>Norfolk Naval Shipyard: Source of Funding - Total</t>
  </si>
  <si>
    <t>OMN Vol2 &gt; OP-5A &gt; NNSY &gt; Source of Funding &gt; Total</t>
  </si>
  <si>
    <t>Norfolk Naval Shipyard: Performance Data - Direct Civilian Labor</t>
  </si>
  <si>
    <t>OMN Vol2 &gt; OP-5A &gt; NNSY &gt; Performance Data &gt; Direct Civilian Labor</t>
  </si>
  <si>
    <t>Norfolk Naval Shipyard: Performance Data - Direct Military Labor</t>
  </si>
  <si>
    <t>OMN Vol2 &gt; OP-5A &gt; NNSY &gt; Performance Data &gt; Direct Military Labor</t>
  </si>
  <si>
    <t>Norfolk Naval Shipyard: Performance Data - Direct Material</t>
  </si>
  <si>
    <t>OMN Vol2 &gt; OP-5A &gt; NNSY &gt; Performance Data &gt; Direct Material</t>
  </si>
  <si>
    <t>Norfolk Naval Shipyard: Performance Data - Direct Contracts</t>
  </si>
  <si>
    <t>OMN Vol2 &gt; OP-5A &gt; NNSY &gt; Performance Data &gt; Direct Contracts</t>
  </si>
  <si>
    <t>Norfolk Naval Shipyard: Performance Data - Other Direct Costs</t>
  </si>
  <si>
    <t>OMN Vol2 &gt; OP-5A &gt; NNSY &gt; Performance Data &gt; Other Direct Costs</t>
  </si>
  <si>
    <t>Norfolk Naval Shipyard: Performance Data - Overhead Civilian Labor</t>
  </si>
  <si>
    <t>OMN Vol2 &gt; OP-5A &gt; NNSY &gt; Performance Data &gt; Overhead Civilian Labor</t>
  </si>
  <si>
    <t>Norfolk Naval Shipyard: Performance Data - Overhead Military Labor</t>
  </si>
  <si>
    <t>OMN Vol2 &gt; OP-5A &gt; NNSY &gt; Performance Data &gt; Overhead Military Labor</t>
  </si>
  <si>
    <t>Norfolk Naval Shipyard: Performance Data - Overhead Non-Labor</t>
  </si>
  <si>
    <t>OMN Vol2 &gt; OP-5A &gt; NNSY &gt; Performance Data &gt; Overhead Non-Labor</t>
  </si>
  <si>
    <t>Norfolk Naval Shipyard: Performance Data - Navy/Marine Corps Intranet (NMCI)</t>
  </si>
  <si>
    <t>OMN Vol2 &gt; OP-5A &gt; NNSY &gt; Performance Data &gt; NMCI</t>
  </si>
  <si>
    <t>Norfolk Naval Shipyard: Performance Data - Total</t>
  </si>
  <si>
    <t>OMN Vol2 &gt; OP-5A &gt; NNSY &gt; Performance Data &gt; Total</t>
  </si>
  <si>
    <t>Norfolk Naval Shipyard: Infrastructure - Base Operating Support (Operation &amp; Maintenance, Navy)</t>
  </si>
  <si>
    <t>NNSY Infrastructure Total</t>
  </si>
  <si>
    <t>OMN Vol2 &gt; OP-5A &gt; NNSY &gt; Infrastructure &gt; Base Operating Support (OM,N)</t>
  </si>
  <si>
    <t>Norfolk Naval Shipyard: Infrastructure - Capital Equipment (Other Procurement, Navy)</t>
  </si>
  <si>
    <t>OMN Vol2 &gt; OP-5A &gt; NNSY &gt; Infrastructure &gt; Capital Equipment (OP,N)</t>
  </si>
  <si>
    <t>Norfolk Naval Shipyard: Infrastructure - Facilities Restoration &amp; Modernization (Operation &amp; Maintenance, Navy)</t>
  </si>
  <si>
    <t>OMN Vol2 &gt; OP-5A &gt; NNSY &gt; Infrastructure &gt; Facilities Restoration &amp; Modernization (OM,N)</t>
  </si>
  <si>
    <t>Norfolk Naval Shipyard: Infrastructure - Facilities Restoration &amp; Modernization (Navy Working Capital Fund)</t>
  </si>
  <si>
    <t>OMN Vol2 &gt; OP-5A &gt; NNSY &gt; Infrastructure &gt; Facilities Restoration &amp; Modernization (NWCF)</t>
  </si>
  <si>
    <t>Norfolk Naval Shipyard: Infrastructure - Military Construction (MILCON)</t>
  </si>
  <si>
    <t>OMN Vol2 &gt; OP-5A &gt; NNSY &gt; Infrastructure &gt; Military Construction (MILCON)</t>
  </si>
  <si>
    <t>Norfolk Naval Shipyard: Infrastructure - Total</t>
  </si>
  <si>
    <t>OMN Vol2 &gt; OP-5A &gt; NNSY &gt; Infrastructure &gt; Total</t>
  </si>
  <si>
    <t>Norfolk Naval Shipyard: Capital Equipment - Abrasive Tumbler Blaster Foundation</t>
  </si>
  <si>
    <t>OMN Vol2 &gt; OP-5A &gt; NNSY &gt; Capital Equipment &gt; Abrasive Tumbler Blaster Foundation</t>
  </si>
  <si>
    <t>Norfolk Naval Shipyard: Capital Equipment - Vindicator ESS</t>
  </si>
  <si>
    <t>OMN Vol2 &gt; OP-5A &gt; NNSY &gt; Capital Equipment &gt; Vindicator ESS</t>
  </si>
  <si>
    <t>Norfolk Naval Shipyard: Capital Equipment - Security LAN with CCTV Replacement</t>
  </si>
  <si>
    <t>OMN Vol2 &gt; OP-5A &gt; NNSY &gt; Capital Equipment &gt; Security LAN with CCTV Replacement</t>
  </si>
  <si>
    <t>Norfolk Naval Shipyard: Capital Equipment - 750 Ton Press Brake</t>
  </si>
  <si>
    <t>OMN Vol2 &gt; OP-5A &gt; NNSY &gt; Capital Equipment &gt; 750 Ton Press Brake</t>
  </si>
  <si>
    <t>Norfolk Naval Shipyard: Capital Equipment - Horizontal Turning Center, qty 4</t>
  </si>
  <si>
    <t>OMN Vol2 &gt; OP-5A &gt; NNSY &gt; Capital Equipment &gt; Horizontal Turning Center, qty 4</t>
  </si>
  <si>
    <t>Norfolk Naval Shipyard: Capital Equipment - Pure Water Trailers, qty 2</t>
  </si>
  <si>
    <t>OMN Vol2 &gt; OP-5A &gt; NNSY &gt; Capital Equipment &gt; Pure Water Trailers, qty 2</t>
  </si>
  <si>
    <t>Norfolk Naval Shipyard: Capital Equipment - Portal Crane, 175 Ton</t>
  </si>
  <si>
    <t>OMN Vol2 &gt; OP-5A &gt; NNSY &gt; Capital Equipment &gt; Portal Crane, 175 Ton</t>
  </si>
  <si>
    <t>Norfolk Naval Shipyard: Capital Equipment - DD3 Utility Bridge Design</t>
  </si>
  <si>
    <t>OMN Vol2 &gt; OP-5A &gt; NNSY &gt; Capital Equipment &gt; DD3 Utility Bridge Design</t>
  </si>
  <si>
    <t>Norfolk Naval Shipyard: Capital Equipment - Electronic Security System Scope Increase</t>
  </si>
  <si>
    <t>OMN Vol2 &gt; OP-5A &gt; NNSY &gt; Capital Equipment &gt; Electronic Security System Scope Increase</t>
  </si>
  <si>
    <t>Norfolk Naval Shipyard: Capital Equipment - VARIOUS NSYs: Various Equipment</t>
  </si>
  <si>
    <t>OMN Vol2 &gt; OP-5A &gt; NNSY &gt; Capital Equipment &gt; VARIOUS NSYs: Various Equipment</t>
  </si>
  <si>
    <t>Norfolk Naval Shipyard: Military Construction (MILCON) - DRY DOCK SALTWATER SYSTEM FOR CVN-78, INCREMENT 3 of 3</t>
  </si>
  <si>
    <t>OMN Vol2 &gt; OP-5A &gt; NNSY &gt; MILCON &gt; DRY DOCK SALTWATER SYSTEM FOR CVN-78, INCREMENT 3 of 3</t>
  </si>
  <si>
    <t>Norfolk Naval Shipyard: Military Construction (MILCON) - DD 3 MODERNIZATION, INCREMENT 1 of 5</t>
  </si>
  <si>
    <t>OMN Vol2 &gt; OP-5A &gt; NNSY &gt; MILCON &gt; DD 3 MODERNIZATION, INCREMENT 1 of 5</t>
  </si>
  <si>
    <t>Norfolk Naval Shipyard: Military Construction (MILCON) - DD 3 MODERNIZATION, INCREMENT 2 of 5</t>
  </si>
  <si>
    <t>OMN Vol2 &gt; OP-5A &gt; NNSY &gt; MILCON &gt; DD 3 MODERNIZATION, INCREMENT 2 of 5</t>
  </si>
  <si>
    <t>Norfolk Naval Shipyard: Military Construction (MILCON) - ELECTRICAL DISTRIBUTION UPGRADES, INCREMENT 1 of 3</t>
  </si>
  <si>
    <t>OMN Vol2 &gt; OP-5A &gt; NNSY &gt; MILCON &gt; ELECTRICAL DISTRIBUTION UPGRADES, INCREMENT 1 of 3</t>
  </si>
  <si>
    <t>SSN 765 USS MONTPELIER* - Docking Selected Restricted Availability (DSRA)</t>
  </si>
  <si>
    <t>OMN Vol2 &gt; OP-5A &gt; NNSY &gt; Ship Availability &gt; SSN 765 USS MONTPELIER* - DSRA</t>
  </si>
  <si>
    <t>AS 41 USS MCKEE - Inactivation Availability (IA)</t>
  </si>
  <si>
    <t>OMN Vol2 &gt; OP-5A &gt; NNSY &gt; Ship Availability &gt; AS 41 USS MCKEE - IA</t>
  </si>
  <si>
    <t>SSN 752 USS PASADENA* - Docking Selected Restricted Availability (DSRA)</t>
  </si>
  <si>
    <t>OMN Vol2 &gt; OP-5A &gt; NNSY &gt; Ship Availability &gt; SSN 752 USS PASADENA* - DSRA</t>
  </si>
  <si>
    <t>SSN 769 USS TOLEDO - Engineered Overhaul (EOH)</t>
  </si>
  <si>
    <t>OMN Vol2 &gt; OP-5A &gt; NNSY &gt; Ship Availability &gt; SSN 769 USS TOLEDO - EOH</t>
  </si>
  <si>
    <t>MTS 635 MTS SAMUEL RAYBURN - Inactivation Availability (IA)</t>
  </si>
  <si>
    <t>OMN Vol2 &gt; OP-5A &gt; NNSY &gt; Ship Availability &gt; MTS 635 MTS SAMUEL RAYBURN - IA</t>
  </si>
  <si>
    <t>SSN 785 USS JOHN WARNER - Extended Docking Selected Restricted Availability (EDSRA)</t>
  </si>
  <si>
    <t>OMN Vol2 &gt; OP-5A &gt; NNSY &gt; Ship Availability &gt; SSN 785 USS JOHN WARNER - EDSRA</t>
  </si>
  <si>
    <t>LHD 3 USS KEARSARGE - Docking Phased Maintenance Availability (DPMA)</t>
  </si>
  <si>
    <t>OMN Vol2 &gt; OP-5A &gt; NNSY &gt; Ship Availability &gt; LHD 3 USS KEARSARGE - DPMA</t>
  </si>
  <si>
    <t>CVN 75 USS HARRY S TRUMAN - Planned Incremental Availability (PIA)</t>
  </si>
  <si>
    <t>OMN Vol2 &gt; OP-5A &gt; NNSY &gt; Ship Availability &gt; CVN 75 USS HARRY S TRUMAN - PIA</t>
  </si>
  <si>
    <t>SSBN 736 USS WEST VIRGINIA - Extended Refit Period (ERP)</t>
  </si>
  <si>
    <t>OMN Vol2 &gt; OP-5A &gt; NNSY &gt; Ship Availability &gt; SSBN 736 USS WEST VIRGINIA - ERP</t>
  </si>
  <si>
    <t>CVN 77 USS GEORGE H.W. BUSH - Planned Incremental Availability (PIA)</t>
  </si>
  <si>
    <t>OMN Vol2 &gt; OP-5A &gt; NNSY &gt; Ship Availability &gt; CVN 77 USS GEORGE H.W. BUSH - PIA</t>
  </si>
  <si>
    <t>SSGN 728 USS FLORIDA - Major Maintenance Period (MMP)</t>
  </si>
  <si>
    <t>OMN Vol2 &gt; OP-5A &gt; NNSY &gt; Ship Availability &gt; SSGN 728 USS FLORIDA - MMP</t>
  </si>
  <si>
    <t>CVN 78 USS GERALD R. FORD - Continuous Incremental Availability (CIA)</t>
  </si>
  <si>
    <t>OMN Vol2 &gt; OP-5A &gt; NNSY &gt; Ship Availability &gt; CVN 78 USS GERALD R. FORD - CIA</t>
  </si>
  <si>
    <t>SSN 765 USS MONTPELIER - Engineered Overhaul (EOH)</t>
  </si>
  <si>
    <t>OMN Vol2 &gt; OP-5A &gt; NNSY &gt; Ship Availability &gt; SSN 765 USS MONTPELIER - EOH</t>
  </si>
  <si>
    <t>OMN Vol2 &gt; OP-5A &gt; NNSY &gt; Ship Availability &gt; CVN 73 USS GEORGE WASHINGTON - SRA</t>
  </si>
  <si>
    <t>CVN 69 USS DWIGHT D EISENHOWER - Planned Incremental Availability (PIA)</t>
  </si>
  <si>
    <t>OMN Vol2 &gt; OP-5A &gt; NNSY &gt; Ship Availability &gt; CVN 69 USS DWIGHT D EISENHOWER - PIA</t>
  </si>
  <si>
    <t>SSBN 738 USS MARYLAND - Extended Refit Period (ERP)</t>
  </si>
  <si>
    <t>OMN Vol2 &gt; OP-5A &gt; NNSY &gt; Ship Availability &gt; SSBN 738 USS MARYLAND - ERP</t>
  </si>
  <si>
    <t>SSGN 729 USS GEORGIA - Major Maintenance Period (MMP)</t>
  </si>
  <si>
    <t>OMN Vol2 &gt; OP-5A &gt; NNSY &gt; Ship Availability &gt; SSGN 729 USS GEORGIA - MMP</t>
  </si>
  <si>
    <t>SSN 778 USS NEW HAMPSHIRE - Docking Maintenance Period (DMP)</t>
  </si>
  <si>
    <t>OMN Vol2 &gt; OP-5A &gt; NNSY &gt; Ship Availability &gt; SSN 778 USS NEW HAMPSHIRE - DMP</t>
  </si>
  <si>
    <t>CVN 68 USS NIMITZ - Inactivation Availability (IA)</t>
  </si>
  <si>
    <t>OMN Vol2 &gt; OP-5A &gt; NNSY &gt; Ship Availability &gt; CVN 68 USS NIMITZ - IA</t>
  </si>
  <si>
    <t>CVN 78 USS GERALD R. FORD - Planned Incremental Availability (PIA)</t>
  </si>
  <si>
    <t>OMN Vol2 &gt; OP-5A &gt; NNSY &gt; Ship Availability &gt; CVN 78 USS GERALD R. FORD - PIA</t>
  </si>
  <si>
    <t>AMPHIBS</t>
  </si>
  <si>
    <t>OMN Vol2 &gt; PB-61 &gt; OMN &gt; Ships &gt; Continuous Maintenance &gt; AMPHIBS</t>
  </si>
  <si>
    <t>OMN &gt; Ships &gt; Continuous Maintenance</t>
  </si>
  <si>
    <t>OMN Vol2 &gt; PB-61 &gt; OMN &gt; Ships &gt; Continuous Maintenance &gt; CG</t>
  </si>
  <si>
    <t>OMN Vol2 &gt; PB-61 &gt; OMN &gt; Ships &gt; Continuous Maintenance &gt; DDG</t>
  </si>
  <si>
    <t>OMN Vol2 &gt; PB-61 &gt; OMN &gt; Ships &gt; Continuous Maintenance &gt; DDG 1000</t>
  </si>
  <si>
    <t>OMN Vol2 &gt; PB-61 &gt; OMN &gt; Ships &gt; Continuous Maintenance &gt; LCAC</t>
  </si>
  <si>
    <t>OMN Vol2 &gt; PB-61 &gt; OMN &gt; Ships &gt; Continuous Maintenance &gt; LCS</t>
  </si>
  <si>
    <t>OMN &gt; Ships &gt; Continuous Maintenance - LCS MCM Mission Packages</t>
  </si>
  <si>
    <t>Maritime Unmanned Systems</t>
  </si>
  <si>
    <t>Mine Countermeasure UUVs</t>
  </si>
  <si>
    <t>MINESWEEPERS</t>
  </si>
  <si>
    <t>OMN Vol2 &gt; PB-61 &gt; OMN &gt; Ships &gt; Continuous Maintenance &gt; MINESWEEPERS</t>
  </si>
  <si>
    <t>OMN Ships Continuous Maintenance - Other</t>
  </si>
  <si>
    <t>OMN Vol2 &gt; PB-61 &gt; OMN &gt; Ships &gt; Continuous Maintenance &gt; Other</t>
  </si>
  <si>
    <t>AEGIS ASHORE</t>
  </si>
  <si>
    <t>OMN Vol2 &gt; PB-61 &gt; OMN &gt; Ships &gt; Other &gt; AEGIS ASHORE</t>
  </si>
  <si>
    <t>OMN &gt; Ships &gt; Other</t>
  </si>
  <si>
    <t>AFDL-AFDM-ARS</t>
  </si>
  <si>
    <t>OMN Vol2 &gt; PB-61 &gt; OMN &gt; Ships &gt; Other &gt; AFDL-AFDM-ARS</t>
  </si>
  <si>
    <t>AGF-LCC</t>
  </si>
  <si>
    <t>OMN Vol2 &gt; PB-61 &gt; OMN &gt; Ships &gt; Other &gt; AGF-LCC</t>
  </si>
  <si>
    <t>OMN Vol2 &gt; PB-61 &gt; OMN &gt; Ships &gt; Other &gt; AMPHIBS</t>
  </si>
  <si>
    <t>ARDM-AS</t>
  </si>
  <si>
    <t>OMN Vol2 &gt; PB-61 &gt; OMN &gt; Ships &gt; Other &gt; ARDM-AS</t>
  </si>
  <si>
    <t>AS-ARDM</t>
  </si>
  <si>
    <t>OMN Vol2 &gt; PB-61 &gt; OMN &gt; Ships &gt; Other &gt; AS-ARDM</t>
  </si>
  <si>
    <t>OMN Vol2 &gt; PB-61 &gt; OMN &gt; Ships &gt; Other &gt; CG</t>
  </si>
  <si>
    <t>Combat Training System (CTSD)</t>
  </si>
  <si>
    <t>OMN Vol2 &gt; PB-61 &gt; OMN &gt; Ships &gt; Other &gt; CTSD</t>
  </si>
  <si>
    <t>CTSD</t>
  </si>
  <si>
    <t>CV-CVN</t>
  </si>
  <si>
    <t>OMN Vol2 &gt; PB-61 &gt; OMN &gt; Ships &gt; Other &gt; CV-CVN</t>
  </si>
  <si>
    <t>OMN Vol2 &gt; PB-61 &gt; OMN &gt; Ships &gt; Other &gt; DDG</t>
  </si>
  <si>
    <t>OMN &gt; Ships &gt; Other - DM001 - DDG MODERNIZATION HME (WIRELESS COMMUNICATIONS)</t>
  </si>
  <si>
    <t>DDG - 1000</t>
  </si>
  <si>
    <t>OMN Vol2 &gt; PB-61 &gt; OMN &gt; Ships &gt; Other &gt; DDG - 1000</t>
  </si>
  <si>
    <t>DDG-1000</t>
  </si>
  <si>
    <t>OMN Vol2 &gt; PB-61 &gt; OMN &gt; Ships &gt; Other &gt; DDG-1000</t>
  </si>
  <si>
    <t>ESB</t>
  </si>
  <si>
    <t>OMN Vol2 &gt; PB-61 &gt; OMN &gt; Ships &gt; Other &gt; ESB</t>
  </si>
  <si>
    <t>OMN Vol2 &gt; PB-61 &gt; OMN &gt; Ships &gt; Other &gt; LCS</t>
  </si>
  <si>
    <t>OMN Vol2 &gt; PB-61 &gt; OMN &gt; Ships &gt; Other &gt; LCU</t>
  </si>
  <si>
    <t>OMN Vol2 &gt; PB-61 &gt; OMN &gt; Ships &gt; Other &gt; LHA</t>
  </si>
  <si>
    <t>OMN Vol2 &gt; PB-61 &gt; OMN &gt; Ships &gt; Other &gt; LHD</t>
  </si>
  <si>
    <t>OMN Vol2 &gt; PB-61 &gt; OMN &gt; Ships &gt; Other &gt; LPD</t>
  </si>
  <si>
    <t>OMN Vol2 &gt; PB-61 &gt; OMN &gt; Ships &gt; Other &gt; LSD</t>
  </si>
  <si>
    <t>MCM-MHC (A)</t>
  </si>
  <si>
    <t>OMN Vol2 &gt; PB-61 &gt; OMN &gt; Ships &gt; Other &gt; MCM-MHC (A)</t>
  </si>
  <si>
    <t>Navy Expeditionary Combat Command (NECC) Centrally Managed Items</t>
  </si>
  <si>
    <t>OMN Vol2 &gt; PB-61 &gt; OMN &gt; Ships &gt; Other &gt; NECC Centrally Managed Items</t>
  </si>
  <si>
    <t>NECC Centrally Managed Items</t>
  </si>
  <si>
    <t>PC</t>
  </si>
  <si>
    <t>Patrol Combatant</t>
  </si>
  <si>
    <t>OMN Vol2 &gt; PB-61 &gt; OMN &gt; Ships &gt; Other &gt; PC</t>
  </si>
  <si>
    <t>OMN &gt; Ships &gt; Other - PCS Benefits</t>
  </si>
  <si>
    <t>Safety PE</t>
  </si>
  <si>
    <t>OMN Vol2 &gt; PB-61 &gt; OMN &gt; Ships &gt; Other &gt; Safety PE</t>
  </si>
  <si>
    <t>Service-Wide Support</t>
  </si>
  <si>
    <t>OMN Vol2 &gt; PB-61 &gt; OMN &gt; Ships &gt; Other &gt; Service-Wide Support</t>
  </si>
  <si>
    <t>OMN Vol2 &gt; PB-61 &gt; OMN &gt; Ships &gt; Other &gt; SSBN</t>
  </si>
  <si>
    <t>OMN &gt; Ships &gt; Other - SA303 SSBN TECHNICAL INSERTION CONVERSION (SWFTS)</t>
  </si>
  <si>
    <t>Maritime Sensors &amp; EW</t>
  </si>
  <si>
    <t>Hull Sonars</t>
  </si>
  <si>
    <t>SSGN</t>
  </si>
  <si>
    <t>OMN Vol2 &gt; PB-61 &gt; OMN &gt; Ships &gt; Other &gt; SSGN</t>
  </si>
  <si>
    <t>OMN Vol2 &gt; PB-61 &gt; OMN &gt; Ships &gt; Other &gt; SSN</t>
  </si>
  <si>
    <t>SSN-MTS-SSGN</t>
  </si>
  <si>
    <t>OMN Vol2 &gt; PB-61 &gt; OMN &gt; Ships &gt; Other &gt; SSN-MTS-SSGN</t>
  </si>
  <si>
    <t>SSN-SSGN</t>
  </si>
  <si>
    <t>OMN Vol2 &gt; PB-61 &gt; OMN &gt; Ships &gt; Other &gt; SSN-SSGN</t>
  </si>
  <si>
    <t>Surface Support Messing &amp; Berthing</t>
  </si>
  <si>
    <t>OMN Vol2 &gt; PB-61 &gt; OMN &gt; Ships &gt; Other &gt; Surface Support Messing &amp; Berthing</t>
  </si>
  <si>
    <t>OMN Vol2 &gt; PB-61 &gt; OMN &gt; Ships &gt; Ship Maint &gt; AGF-LCC</t>
  </si>
  <si>
    <t>OMN &gt; Ships &gt; Ship Maint</t>
  </si>
  <si>
    <t>OMN Vol2 &gt; PB-61 &gt; OMN &gt; Ships &gt; Ship Maint &gt; AMPHIBS</t>
  </si>
  <si>
    <t>OMN Vol2 &gt; PB-61 &gt; OMN &gt; Ships &gt; Ship Maint &gt; ARDM-AS</t>
  </si>
  <si>
    <t>OMN Vol2 &gt; PB-61 &gt; OMN &gt; Ships &gt; Ship Maint &gt; AS-ARDM</t>
  </si>
  <si>
    <t>OMN Vol2 &gt; PB-61 &gt; OMN &gt; Ships &gt; Ship Maint &gt; CG</t>
  </si>
  <si>
    <t>OMN Vol2 &gt; PB-61 &gt; OMN &gt; Ships &gt; Ship Maint &gt; CV-CVN</t>
  </si>
  <si>
    <t>CV-CVN (Selected Restricted Budget)</t>
  </si>
  <si>
    <t>OMN Vol2 &gt; PB-61 &gt; OMN &gt; Ships &gt; Ship Maint &gt; CV-CVN (SRB)</t>
  </si>
  <si>
    <t>CV-CVN (SRB)</t>
  </si>
  <si>
    <t>OMN Vol2 &gt; PB-61 &gt; OMN &gt; Ships &gt; Ship Maint &gt; CVN</t>
  </si>
  <si>
    <t>OMN Vol2 &gt; PB-61 &gt; OMN &gt; Ships &gt; Ship Maint &gt; DDG</t>
  </si>
  <si>
    <t>OMN &gt; Ships &gt; Ship Maint - DM001 - DDG MODERNIZATION HME (MCS/DCS)</t>
  </si>
  <si>
    <t>OMN Vol2 &gt; PB-61 &gt; OMN &gt; Ships &gt; Ship Maint &gt; DDG - 1000</t>
  </si>
  <si>
    <t>OMN Vol2 &gt; PB-61 &gt; OMN &gt; Ships &gt; Ship Maint &gt; DDG-1000</t>
  </si>
  <si>
    <t>OMN Vol2 &gt; PB-61 &gt; OMN &gt; Ships &gt; Ship Maint &gt; ESB</t>
  </si>
  <si>
    <t>OMN Vol2 &gt; PB-61 &gt; OMN &gt; Ships &gt; Ship Maint &gt; LCC</t>
  </si>
  <si>
    <t>OMN Vol2 &gt; PB-61 &gt; OMN &gt; Ships &gt; Ship Maint &gt; LCS</t>
  </si>
  <si>
    <t>OMN &gt; Ships &gt; Ship Maint - LCS Maintenance Modernization</t>
  </si>
  <si>
    <t>OMN Vol2 &gt; PB-61 &gt; OMN &gt; Ships &gt; Ship Maint &gt; LHA</t>
  </si>
  <si>
    <t>LHA-LHD-LPD-LSD</t>
  </si>
  <si>
    <t>OMN Vol2 &gt; PB-61 &gt; OMN &gt; Ships &gt; Ship Maint &gt; LHA-LHD-LPD-LSD</t>
  </si>
  <si>
    <t>OMN Vol2 &gt; PB-61 &gt; OMN &gt; Ships &gt; Ship Maint &gt; LHD</t>
  </si>
  <si>
    <t>OMN Vol2 &gt; PB-61 &gt; OMN &gt; Ships &gt; Ship Maint &gt; LPD</t>
  </si>
  <si>
    <t>OMN Vol2 &gt; PB-61 &gt; OMN &gt; Ships &gt; Ship Maint &gt; LSD</t>
  </si>
  <si>
    <t>OMN Vol2 &gt; PB-61 &gt; OMN &gt; Ships &gt; Ship Maint &gt; MCM-MHC (A)</t>
  </si>
  <si>
    <t>Naval Beach Group 2 (NBG2)</t>
  </si>
  <si>
    <t>OMN Vol2 &gt; PB-61 &gt; OMN &gt; Ships &gt; Ship Maint &gt; NBG2</t>
  </si>
  <si>
    <t>NBG2</t>
  </si>
  <si>
    <t>OMN Vol2 &gt; PB-61 &gt; OMN &gt; Ships &gt; Ship Maint &gt; PC</t>
  </si>
  <si>
    <t>OMN &gt; Ships &gt; Ship Maint - PCS Benefits</t>
  </si>
  <si>
    <t>OMN Vol2 &gt; PB-61 &gt; OMN &gt; Ships &gt; Ship Maint &gt; Safety PE</t>
  </si>
  <si>
    <t>OMN Vol2 &gt; PB-61 &gt; OMN &gt; Ships &gt; Ship Maint &gt; Service-Wide Support</t>
  </si>
  <si>
    <t>Safety &amp; Occupational Health (SOH)</t>
  </si>
  <si>
    <t>OMN Vol2 &gt; PB-61 &gt; OMN &gt; Ships &gt; Ship Maint &gt; SOH</t>
  </si>
  <si>
    <t>SOH</t>
  </si>
  <si>
    <t>OMN Vol2 &gt; PB-61 &gt; OMN &gt; Ships &gt; Ship Maint &gt; SSBN</t>
  </si>
  <si>
    <t>OMN &gt; Ships &gt; Ship Maint - GW066: SSBN NAVIGATION SENSOR OBSOLESCENCE</t>
  </si>
  <si>
    <t>OMN Vol2 &gt; PB-61 &gt; OMN &gt; Ships &gt; Ship Maint &gt; SSGN</t>
  </si>
  <si>
    <t>OMN Vol2 &gt; PB-61 &gt; OMN &gt; Ships &gt; Ship Maint &gt; SSN</t>
  </si>
  <si>
    <t>OMN Vol2 &gt; PB-61 &gt; OMN &gt; Ships &gt; Ship Maint &gt; SSN-MTS-SSGN</t>
  </si>
  <si>
    <t>OMN Vol2 &gt; PB-61 &gt; OMN &gt; Ships &gt; Ship Maint &gt; SSN-SSGN</t>
  </si>
  <si>
    <t>OMN Total</t>
  </si>
  <si>
    <t>Sum of all OMN entries</t>
  </si>
  <si>
    <t>OMN Vol2 &gt; PB-61 &gt; OMN Total</t>
  </si>
  <si>
    <t>SSN / SSGN</t>
  </si>
  <si>
    <t>OMN Vol2 &gt; PB-61 &gt; OPN &gt; Electronics and Communications Systems &gt; End Item &gt; SSN / SSGN</t>
  </si>
  <si>
    <t>118</t>
  </si>
  <si>
    <t>OPN &gt; Electronics and Communications Systems &gt; End Item</t>
  </si>
  <si>
    <t>OMN Vol2 &gt; PB-61 &gt; OPN &gt; Ships &gt; Continuous Maintenance &gt; CVN</t>
  </si>
  <si>
    <t>OPN &gt; Ships &gt; Continuous Maintenance</t>
  </si>
  <si>
    <t>SSBN/SSGN</t>
  </si>
  <si>
    <t>OMN Vol2 &gt; PB-61 &gt; OPN &gt; Ships &gt; Continuous Maintenance &gt; SSBN/SSGN</t>
  </si>
  <si>
    <t>OMN Vol2 &gt; PB-61 &gt; OPN &gt; Ships &gt; Continuous Maintenance &gt; SSN</t>
  </si>
  <si>
    <t>OPN &gt; Ships &gt; Continuous Maintenance - SSN Acoustics</t>
  </si>
  <si>
    <t>OMN Vol2 &gt; PB-61 &gt; OPN &gt; Ships &gt; Ship Maint &gt; AMPHIBS</t>
  </si>
  <si>
    <t>OPN &gt; Ships &gt; Ship Maint</t>
  </si>
  <si>
    <t>OMN Vol2 &gt; PB-61 &gt; OPN &gt; Ships &gt; Ship Maint &gt; CG</t>
  </si>
  <si>
    <t>OMN Vol2 &gt; PB-61 &gt; OPN &gt; Ships &gt; Ship Maint &gt; CV-CVN</t>
  </si>
  <si>
    <t>OMN Vol2 &gt; PB-61 &gt; OPN &gt; Ships &gt; Ship Maint &gt; DDG</t>
  </si>
  <si>
    <t>OPN &gt; Ships &gt; Ship Maint - DM001 - DDG MODERNIZATION HME (GEDMS)</t>
  </si>
  <si>
    <t>OMN Vol2 &gt; PB-61 &gt; OPN &gt; Ships &gt; Ship Maint &gt; LCS</t>
  </si>
  <si>
    <t>OPN &gt; Ships &gt; Ship Maint - LCS SUW Mission Packages</t>
  </si>
  <si>
    <t>OMN Vol2 &gt; PB-61 &gt; OPN &gt; Ships &gt; Ship Maint &gt; LHA</t>
  </si>
  <si>
    <t>OMN Vol2 &gt; PB-61 &gt; OPN &gt; Ships &gt; Ship Maint &gt; LHD</t>
  </si>
  <si>
    <t>OMN Vol2 &gt; PB-61 &gt; OPN &gt; Ships &gt; Ship Maint &gt; LPD</t>
  </si>
  <si>
    <t>OMN Vol2 &gt; PB-61 &gt; OPN &gt; Ships &gt; Ship Maint &gt; LSD</t>
  </si>
  <si>
    <t>OMN Vol2 &gt; PB-61 &gt; OPN &gt; Ships &gt; Ship Maint &gt; SSN-MTS-SSGN</t>
  </si>
  <si>
    <t>OPN Total</t>
  </si>
  <si>
    <t>Sum of all OPN entries</t>
  </si>
  <si>
    <t>OMN Vol2 &gt; PB-61 &gt; OPN Total</t>
  </si>
  <si>
    <t>Gap: FY2026 Required (3093) - Funded (2762)</t>
  </si>
  <si>
    <t>OMN Vol2 &gt; PB-61 &gt; OMN &gt; Ships &gt; Ship Maint &gt; AGF-LCC [UNFUNDED]</t>
  </si>
  <si>
    <t>AGF-LCC [UNFUNDED]</t>
  </si>
  <si>
    <t>Gap: FY2026 Required (223014) - Funded (180719)</t>
  </si>
  <si>
    <t>OMN Vol2 &gt; PB-61 &gt; OMN &gt; Ships &gt; Ship Maint &gt; AMPHIBS [UNFUNDED]</t>
  </si>
  <si>
    <t>AMPHIBS [UNFUNDED]</t>
  </si>
  <si>
    <t>Gap: FY2026 Required (8751) - Funded (8400)</t>
  </si>
  <si>
    <t>OMN Vol2 &gt; PB-61 &gt; OMN &gt; Ships &gt; Ship Maint &gt; AS-ARDM [UNFUNDED]</t>
  </si>
  <si>
    <t>AS-ARDM [UNFUNDED]</t>
  </si>
  <si>
    <t>Gap: FY2026 Required (42503) - Funded (40292)</t>
  </si>
  <si>
    <t>OMN Vol2 &gt; PB-61 &gt; OMN &gt; Ships &gt; Ship Maint &gt; CG [UNFUNDED]</t>
  </si>
  <si>
    <t>CG [UNFUNDED]</t>
  </si>
  <si>
    <t>Gap: FY2026 Required (3030280) - Funded (2720122)</t>
  </si>
  <si>
    <t>OMN Vol2 &gt; PB-61 &gt; OMN &gt; Ships &gt; Ship Maint &gt; CV-CVN [UNFUNDED]</t>
  </si>
  <si>
    <t>CV-CVN [UNFUNDED]</t>
  </si>
  <si>
    <t>Gap: FY2026 Required (323) - Funded (312)</t>
  </si>
  <si>
    <t>OMN Vol2 &gt; PB-61 &gt; OMN &gt; Ships &gt; Ship Maint &gt; CV-CVN (SRB) [UNFUNDED]</t>
  </si>
  <si>
    <t>CV-CVN (SRB) [UNFUNDED]</t>
  </si>
  <si>
    <t>Gap: FY2026 Required (18054) - Funded (17657)</t>
  </si>
  <si>
    <t>OMN Vol2 &gt; PB-61 &gt; OMN &gt; Ships &gt; Ship Maint &gt; CVN [UNFUNDED]</t>
  </si>
  <si>
    <t>CVN [UNFUNDED]</t>
  </si>
  <si>
    <t>Gap: FY2026 Required (568246) - Funded (525288)</t>
  </si>
  <si>
    <t>OMN Vol2 &gt; PB-61 &gt; OMN &gt; Ships &gt; Ship Maint &gt; DDG [UNFUNDED]</t>
  </si>
  <si>
    <t>OMN &gt; Ships &gt; Ship Maint - DM001 - DDG MODERNIZATION HME (DVSS)</t>
  </si>
  <si>
    <t>DDG [UNFUNDED]</t>
  </si>
  <si>
    <t>Gap: FY2026 Required (7358) - Funded (6174)</t>
  </si>
  <si>
    <t>OMN Vol2 &gt; PB-61 &gt; OMN &gt; Ships &gt; Ship Maint &gt; DDG - 1000 [UNFUNDED]</t>
  </si>
  <si>
    <t>DDG - 1000 [UNFUNDED]</t>
  </si>
  <si>
    <t>Gap: FY2026 Required (22134) - Funded (19655)</t>
  </si>
  <si>
    <t>OMN Vol2 &gt; PB-61 &gt; OMN &gt; Ships &gt; Ship Maint &gt; ESB [UNFUNDED]</t>
  </si>
  <si>
    <t>ESB [UNFUNDED]</t>
  </si>
  <si>
    <t>Gap: FY2026 Required (57265) - Funded (3899)</t>
  </si>
  <si>
    <t>OMN Vol2 &gt; PB-61 &gt; OMN &gt; Ships &gt; Ship Maint &gt; LCC [UNFUNDED]</t>
  </si>
  <si>
    <t>OMN &gt; Ships &gt; Ship Maint - LCC 19/20 EXTENDED SERVICE LIFE PROGRAM</t>
  </si>
  <si>
    <t>LCC [UNFUNDED]</t>
  </si>
  <si>
    <t>Gap: FY2026 Required (346046) - Funded (230789)</t>
  </si>
  <si>
    <t>OMN Vol2 &gt; PB-61 &gt; OMN &gt; Ships &gt; Ship Maint &gt; LCS [UNFUNDED]</t>
  </si>
  <si>
    <t>LCS [UNFUNDED]</t>
  </si>
  <si>
    <t>Gap: FY2026 Required (30946) - Funded (29116)</t>
  </si>
  <si>
    <t>OMN Vol2 &gt; PB-61 &gt; OMN &gt; Ships &gt; Ship Maint &gt; LHA [UNFUNDED]</t>
  </si>
  <si>
    <t>LHA [UNFUNDED]</t>
  </si>
  <si>
    <t>Gap: FY2026 Required (37210) - Funded (36577)</t>
  </si>
  <si>
    <t>OMN Vol2 &gt; PB-61 &gt; OMN &gt; Ships &gt; Ship Maint &gt; LHD [UNFUNDED]</t>
  </si>
  <si>
    <t>LHD [UNFUNDED]</t>
  </si>
  <si>
    <t>Gap: FY2026 Required (105354) - Funded (105286)</t>
  </si>
  <si>
    <t>OMN Vol2 &gt; PB-61 &gt; OMN &gt; Ships &gt; Ship Maint &gt; LPD [UNFUNDED]</t>
  </si>
  <si>
    <t>LPD [UNFUNDED]</t>
  </si>
  <si>
    <t>Gap: FY2026 Required (97543) - Funded (73346)</t>
  </si>
  <si>
    <t>OMN Vol2 &gt; PB-61 &gt; OMN &gt; Ships &gt; Ship Maint &gt; LSD [UNFUNDED]</t>
  </si>
  <si>
    <t>LSD [UNFUNDED]</t>
  </si>
  <si>
    <t>Gap: FY2026 Required (13189) - Funded (10813)</t>
  </si>
  <si>
    <t>OMN Vol2 &gt; PB-61 &gt; OMN &gt; Ships &gt; Ship Maint &gt; MCM-MHC (A) [UNFUNDED]</t>
  </si>
  <si>
    <t>MCM-MHC (A) [UNFUNDED]</t>
  </si>
  <si>
    <t>Gap: FY2026 Required (27283) - Funded (964)</t>
  </si>
  <si>
    <t>OMN Vol2 &gt; PB-61 &gt; OMN &gt; Ships &gt; Ship Maint &gt; NBG2 [UNFUNDED]</t>
  </si>
  <si>
    <t>NBG2 [UNFUNDED]</t>
  </si>
  <si>
    <t>Gap: FY2026 Required (29120) - Funded (27382)</t>
  </si>
  <si>
    <t>OMN Vol2 &gt; PB-61 &gt; OMN &gt; Ships &gt; Ship Maint &gt; SOH [UNFUNDED]</t>
  </si>
  <si>
    <t>SOH [UNFUNDED]</t>
  </si>
  <si>
    <t>Gap: FY2026 Required (307425) - Funded (301080)</t>
  </si>
  <si>
    <t>OMN Vol2 &gt; PB-61 &gt; OMN &gt; Ships &gt; Ship Maint &gt; SSBN [UNFUNDED]</t>
  </si>
  <si>
    <t>SSBN [UNFUNDED]</t>
  </si>
  <si>
    <t>Gap: FY2026 Required (67846) - Funded (67781)</t>
  </si>
  <si>
    <t>OMN Vol2 &gt; PB-61 &gt; OMN &gt; Ships &gt; Ship Maint &gt; SSGN [UNFUNDED]</t>
  </si>
  <si>
    <t>SSGN [UNFUNDED]</t>
  </si>
  <si>
    <t>Gap: FY2026 Required (592946) - Funded (584293)</t>
  </si>
  <si>
    <t>OMN Vol2 &gt; PB-61 &gt; OMN &gt; Ships &gt; Ship Maint &gt; SSN [UNFUNDED]</t>
  </si>
  <si>
    <t>OMN &gt; Ships &gt; Ship Maint - SA303 SSN 21 TECHNICAL INSERTION KITS (SWFTS)</t>
  </si>
  <si>
    <t>SSN [UNFUNDED]</t>
  </si>
  <si>
    <t>Gap: FY2026 Required (2531177) - Funded (2431863)</t>
  </si>
  <si>
    <t>OMN Vol2 &gt; PB-61 &gt; OMN &gt; Ships &gt; Ship Maint &gt; SSN-MTS-SSGN [UNFUNDED]</t>
  </si>
  <si>
    <t>SSN-MTS-SSGN [UNFUNDED]</t>
  </si>
  <si>
    <t>Gap: FY2026 Required (1598434) - Funded (1410798)</t>
  </si>
  <si>
    <t>OMN Vol2 &gt; PB-61 &gt; OMN &gt; Ships &gt; Ship Maint &gt; SSN-SSGN [UNFUNDED]</t>
  </si>
  <si>
    <t>SSN-SSGN [UNFUNDED]</t>
  </si>
  <si>
    <t>Gap: FY2026 Required (393588) - Funded (236773)</t>
  </si>
  <si>
    <t>OMN Vol2 &gt; PB-61 &gt; OPN &gt; Ships &gt; Ship Maint &gt; AMPHIBS [UNFUNDED]</t>
  </si>
  <si>
    <t>Gap: FY2026 Required (1418118) - Funded (1282612)</t>
  </si>
  <si>
    <t>OMN Vol2 &gt; PB-61 &gt; OPN &gt; Ships &gt; Ship Maint &gt; DDG [UNFUNDED]</t>
  </si>
  <si>
    <t>OPN &gt; Ships &gt; Ship Maint - DM001 - DDG MODERNIZATION HME (IBNS)</t>
  </si>
  <si>
    <t>OPN_BA1</t>
  </si>
  <si>
    <t>1</t>
  </si>
  <si>
    <t>Surface Power Equipment</t>
  </si>
  <si>
    <t>Surface Power Equipment budget line provides life-cycle support for the following Marine Gas Turbine systems: The General Electric LM2500 Marine Gas Turbine provides main propulsion for the Navy's surface combatants including the CG 47 TICONDEROGA Class, DDG 51 ARLEIGH BURKE Class, and LCS-2 (Austal) Class.</t>
  </si>
  <si>
    <t>OPN BA01 &gt; BSA 01 Ship Propulsion Equipment &gt; P-40 LI 0131</t>
  </si>
  <si>
    <t>0131</t>
  </si>
  <si>
    <t>2</t>
  </si>
  <si>
    <t>Surface Combatant HM&amp;E</t>
  </si>
  <si>
    <t>This program allows the Navy to better align and identify Hull, Mechanical &amp; Electrical (HM&amp;E) requirements and shipboard upgrades and equipment. This is in support of the in-service Surface Combatants and Amphibious ships to include Class Common Equipment (CCE) to support shorter Regular Overhauls and Selected Restricted Availabilities.</t>
  </si>
  <si>
    <t>OPN BA01 &gt; BSA 02 Generators &gt; P-40 LI 0200</t>
  </si>
  <si>
    <t>0200</t>
  </si>
  <si>
    <t>3</t>
  </si>
  <si>
    <t>Other Navigation Equipment</t>
  </si>
  <si>
    <t>This program provides procurement and improvements of navigation equipment to include Inertial Navigation equipment such as gyrocompasses, speed sensors, Electronic Chart Display and Information System (ECDIS) and major components for other navigation systems.</t>
  </si>
  <si>
    <t>OPN BA01 &gt; BSA 06 Navigation Equipment &gt; P-40 LI 0670</t>
  </si>
  <si>
    <t>GW054: NAVIGATION TRAINING EQUIPMENT</t>
  </si>
  <si>
    <t>4</t>
  </si>
  <si>
    <t>Sub Periscope Imaging and Supt Equip Prog</t>
  </si>
  <si>
    <t>The Submarine Periscope, Imaging, and Support Equipment program provides critical electromagnetic systems to all classes of submarine platforms. This includes Imaging, Electronic Warfare (EW), and RADAR systems which provide navigation safety and collision avoidance.</t>
  </si>
  <si>
    <t>OPN BA01 &gt; BSA 09 Other Shipboard Equipment &gt; P-40 LI 0840</t>
  </si>
  <si>
    <t>0840</t>
  </si>
  <si>
    <t>Naval EO/IR Sensors</t>
  </si>
  <si>
    <t>Sub Periscope, Imaging and Supt Equip Prog</t>
  </si>
  <si>
    <t>5</t>
  </si>
  <si>
    <t>DDG Mod</t>
  </si>
  <si>
    <t>The DDG Modernization (DDG MOD) Program is required to upgrade the in-service Flight I, II, and IIA DDG-51 Class ships in order to keep the DDG Class relevant and operational. The DDG MOD Program is composed of a series of improvements in both Hull, Mechanical, and Electrical (HM&amp;E) and Combat Systems.</t>
  </si>
  <si>
    <t>OPN BA01 &gt; BSA 09 Other Shipboard Equipment &gt; P-40 LI 0900</t>
  </si>
  <si>
    <t>0900</t>
  </si>
  <si>
    <t>5-DM014</t>
  </si>
  <si>
    <t>DDG Mod &gt; SPY-6(V)4 Solid State Radar Equipment</t>
  </si>
  <si>
    <t>5 / DDG Mod</t>
  </si>
  <si>
    <t>OPN BA01 &gt; BSA 09 &gt; P-40 LI 0900 &gt; P-3a DM014</t>
  </si>
  <si>
    <t>DM014 SOLID STATE RADAR EQUIPMENT</t>
  </si>
  <si>
    <t>DM014</t>
  </si>
  <si>
    <t>5-DM001</t>
  </si>
  <si>
    <t>DDG Mod &gt; DDG Modernization HM&amp;E (aggregate)</t>
  </si>
  <si>
    <t>OPN BA01 &gt; BSA 09 &gt; P-40 LI 0900 &gt; P-3a DM001</t>
  </si>
  <si>
    <t>DM001 - HES-C</t>
  </si>
  <si>
    <t>DM001</t>
  </si>
  <si>
    <t>5-DM004</t>
  </si>
  <si>
    <t>DDG Mod &gt; AWS Upgrade</t>
  </si>
  <si>
    <t>OPN BA01 &gt; BSA 09 &gt; P-40 LI 0900 &gt; P-3a DM004</t>
  </si>
  <si>
    <t>DM004 - AWS UPGRADE</t>
  </si>
  <si>
    <t>DM004</t>
  </si>
  <si>
    <t>5-AGG</t>
  </si>
  <si>
    <t>DDG Mod &gt; Aggregated Items</t>
  </si>
  <si>
    <t>OPN BA01 &gt; BSA 09 &gt; P-40 LI 0900 &gt; P-40a</t>
  </si>
  <si>
    <t>6</t>
  </si>
  <si>
    <t>Firefighting Equipment</t>
  </si>
  <si>
    <t>The program procures shipboard firefighting equipment. Equipment is procured based on installation schedules.</t>
  </si>
  <si>
    <t>OPN BA01 &gt; BSA 09 Other Shipboard Equipment &gt; P-40 LI 0910</t>
  </si>
  <si>
    <t>0910</t>
  </si>
  <si>
    <t>7</t>
  </si>
  <si>
    <t>Command and Control Switchboard</t>
  </si>
  <si>
    <t>The switchboard program provides mission critical switching capability required to link shipboard combat equipment including weapons, launchers, sensors, computers and navigation equipment. In total, this budget item supports approximately 200 ships and 1,000 pieces of equipment throughout the acquisition life cycle.</t>
  </si>
  <si>
    <t>OPN BA01 &gt; BSA 09 Other Shipboard Equipment &gt; P-40 LI 0925</t>
  </si>
  <si>
    <t>0925</t>
  </si>
  <si>
    <t>8</t>
  </si>
  <si>
    <t>LHA/LHD Midlife</t>
  </si>
  <si>
    <t>The Landing Helicopter Assault (LHA) and Landing Helicopter Dock (LHD) Modernization Program is required to upgrade the in-service LHA 6 and LHD 1 Class ships in order to keep the LHA and LHD Class relevant and operational.</t>
  </si>
  <si>
    <t>OPN BA01 &gt; BSA 09 Other Shipboard Equipment &gt; P-40 LI 0933</t>
  </si>
  <si>
    <t>9</t>
  </si>
  <si>
    <t>LCC 19/20 Extended Service Life Program</t>
  </si>
  <si>
    <t>The FY 2026 budget provides funding for Extended Service Life Program (ESLP) targeted modernization of various Hull, Mechanical and Electrical (HM&amp;E) systems onboard the Amphibious Command Ship (LCC) 19 hull. The major modernization efforts include Ship Service/Emergency Diesel Generator Upgrades (SS/EDG).</t>
  </si>
  <si>
    <t>OPN BA01 &gt; BSA 09 Other Shipboard Equipment &gt; P-40 LI 0934</t>
  </si>
  <si>
    <t>0934</t>
  </si>
  <si>
    <t>10</t>
  </si>
  <si>
    <t>Pollution Control Equipment</t>
  </si>
  <si>
    <t>Funds for the PCE Program are used to procure, install, and modernize Navy shipboard environmental equipment, systems, and technologies. The PCE Program ensures that Navy ships comply with applicable legal and statutory requirements governing environmental protection and shipboard discharge requirements.</t>
  </si>
  <si>
    <t>OPN BA01 &gt; BSA 09 Other Shipboard Equipment &gt; P-40 LI 0935</t>
  </si>
  <si>
    <t>0935</t>
  </si>
  <si>
    <t>Base Infrastructure &amp; Facilities</t>
  </si>
  <si>
    <t>Environmental Remediation</t>
  </si>
  <si>
    <t>11</t>
  </si>
  <si>
    <t>Submarine Support Equipment</t>
  </si>
  <si>
    <t>This line supports modernization and obsolete equipment replacement for SSNs, recapitalization of militarily critical silencing ranges, modifications and upgrades to weapons launch equipment, upgrades &amp; refurbishment of Submarine Special Operating Forces (SOF) equipment and Dry Deck Shelters (DDS), and the VIRGINIA class Acoustic Superiority Backfit program.</t>
  </si>
  <si>
    <t>OPN BA01 &gt; BSA 09 Other Shipboard Equipment &gt; P-40 LI 0941</t>
  </si>
  <si>
    <t>0941</t>
  </si>
  <si>
    <t>Virginia Class Support Equipment</t>
  </si>
  <si>
    <t>The VIRGINIA Class BLI 0942 provides a wide range of materials required to operate, test, support and maintain the viability of VIRGINIA SSN774 Class Submarines.</t>
  </si>
  <si>
    <t>OPN BA01 &gt; BSA 09 Other Shipboard Equipment &gt; P-40 LI 0942</t>
  </si>
  <si>
    <t>0942</t>
  </si>
  <si>
    <t>13</t>
  </si>
  <si>
    <t>LCS Class Support Equipment</t>
  </si>
  <si>
    <t>The FY2026 request supports procurement of multiple, lesser cost LCS Battle Spares. Mitigation of long lead times for repairs through procurements of adequate battle spares using failure data allows for continued progress toward mainstreaming and normalizing LCS platform sustainment.</t>
  </si>
  <si>
    <t>OPN BA01 &gt; BSA 09 Other Shipboard Equipment &gt; P-40 LI 0944</t>
  </si>
  <si>
    <t>0944</t>
  </si>
  <si>
    <t>Submarine Batteries</t>
  </si>
  <si>
    <t>FY 2026 funding supports the procurement of replacement Valve Regulated Lead Acid (VRLA) batteries for LOS ANGELES (5); OHIO (4); SEAWOLF (1); VIRGINIA (11); VA VRLA installation tray (1) and associated production engineering.</t>
  </si>
  <si>
    <t>OPN BA01 &gt; BSA 09 Other Shipboard Equipment &gt; P-40 LI 0945</t>
  </si>
  <si>
    <t>0945</t>
  </si>
  <si>
    <t>LPD Class Support Equipment</t>
  </si>
  <si>
    <t>The FY 2026 request for LPD Class Support Equipment includes $101,042 thousand of discretionary and $24,500 thousand of mandatory (reconciliation). The mandatory funds support AMPHIB modernization, LPD availability procurements and LPD Midlife availabilities.</t>
  </si>
  <si>
    <t>OPN BA01 &gt; BSA 09 Other Shipboard Equipment &gt; P-40 LI 0946</t>
  </si>
  <si>
    <t>403</t>
  </si>
  <si>
    <t>0946</t>
  </si>
  <si>
    <t>16</t>
  </si>
  <si>
    <t>DDG 1000 Class Support Equipment</t>
  </si>
  <si>
    <t>Combat system computing infrastructure (data centers, network infrastructure &amp; communications devices) is more than a decade old and requires extensive modernization and technology refresh to sustain operations, mitigate obsolescence.</t>
  </si>
  <si>
    <t>OPN BA01 &gt; BSA 09 Other Shipboard Equipment &gt; P-40 LI 0947</t>
  </si>
  <si>
    <t>439</t>
  </si>
  <si>
    <t>0947</t>
  </si>
  <si>
    <t>DDG 1000 CLASS SUPPORT EQUIPMENT</t>
  </si>
  <si>
    <t>16-CPS</t>
  </si>
  <si>
    <t>DDG 1000 &gt; Conventional Prompt Strike</t>
  </si>
  <si>
    <t>16 / DDG 1000 Class Support Equipment</t>
  </si>
  <si>
    <t>OPN BA01 &gt; BSA 09 &gt; P-40 LI 0947 &gt; P-3a CPS</t>
  </si>
  <si>
    <t>CPS</t>
  </si>
  <si>
    <t>17</t>
  </si>
  <si>
    <t>Strategic Platform Support Equip</t>
  </si>
  <si>
    <t>SSBN Strategic Weapon Support Systems (SWSS) program maintains the SWSS surveillance, modernization and obsolescence management program. This line monitors and predicts SWSS obsolescence issues and plans for program modernization to ensure OHIO class submarines continue to meet mission requirements until replaced by the COLUMBIA Class.</t>
  </si>
  <si>
    <t>OPN BA01 &gt; BSA 09 Other Shipboard Equipment &gt; P-40 LI 0950</t>
  </si>
  <si>
    <t>455</t>
  </si>
  <si>
    <t>0950</t>
  </si>
  <si>
    <t>Deep Subm Sys Proj (DSSP) Equip</t>
  </si>
  <si>
    <t>FY 2026 funding is to continue the U.S. Submarine Rescue System (SRS) modernization and upgrade. Funding levels required in order to meet fleet wholeness requirements for resiliency related to submarine rescue system critical items, sparing, and operational availability and crucial field changes.</t>
  </si>
  <si>
    <t>OPN BA01 &gt; BSA 09 Other Shipboard Equipment &gt; P-40 LI 0955</t>
  </si>
  <si>
    <t>463</t>
  </si>
  <si>
    <t>0955</t>
  </si>
  <si>
    <t>HJ030 - RESCUE SUPPORT EQUIPMENT</t>
  </si>
  <si>
    <t>Unmanned Undersea Vehicles (UUV)</t>
  </si>
  <si>
    <t>CG Modernization</t>
  </si>
  <si>
    <t>FY 2024 funds in the amount of $30M was requested and provided to complete maintenance and conduct Combat Systems Ship's Qualification Trials (CSSQT) for the USS CHOSIN (CG 65) and USS CAPE ST GEORGE (CG 71).</t>
  </si>
  <si>
    <t>OPN BA01 &gt; BSA 09 Other Shipboard Equipment &gt; P-40 LI 0960</t>
  </si>
  <si>
    <t>467</t>
  </si>
  <si>
    <t>0960</t>
  </si>
  <si>
    <t>FY 2024 funds in the amount of $30M was requested and provided to complete maintenance and conduct Combat Systems Ship's Qualification Trials (CSSQT) for the USS CHOSIN (CG 65) and USS CAPE ST GEORGE</t>
  </si>
  <si>
    <t>The LCAC (Landing Craft, Air Cushion), which consists of both the legacy and LCAC 100 classes of craft, mission is to transport weapons systems, equipment, cargo, and personnel of the assault elements for the Marine Air/Ground Task Force from ship to shore and across the beach. The LCAC sustainment funding is programmed for equipment procurement using OPN to replace selected engines, Personnel Transport Modules and other equipment.</t>
  </si>
  <si>
    <t>OPN BA01 &gt; BSA 09 Other Shipboard Equipment &gt; P-40 LI 0970</t>
  </si>
  <si>
    <t>469</t>
  </si>
  <si>
    <t>0970</t>
  </si>
  <si>
    <t>Underwater EOD Equipment</t>
  </si>
  <si>
    <t>Underwater Explosive Ordnance Disposal (EOD) program supplies EOD and maritime expeditionary forces with the necessary allowance outfitting, and diving and diving-related equipment aligned to fulfill assigned missions that includes Expeditionary Mine Countermeasures (ExMCM).</t>
  </si>
  <si>
    <t>OPN BA01 &gt; BSA 09 Other Shipboard Equipment &gt; P-40 LI 0977</t>
  </si>
  <si>
    <t>473</t>
  </si>
  <si>
    <t>0977</t>
  </si>
  <si>
    <t>Underwater EOD Programs</t>
  </si>
  <si>
    <t>23</t>
  </si>
  <si>
    <t>Items Less Than $5 Million</t>
  </si>
  <si>
    <t>This budget provides for "S" cognizance (Shipboard, Hull, Mechanical &amp; Electrical (HM&amp;E) equipment for surface ships and aircraft carriers) which are not in any specific category. This equipment accomplishes program alterations for installation during CNO and Fleet availabilities.</t>
  </si>
  <si>
    <t>OPN BA01 &gt; BSA 09 Other Shipboard Equipment &gt; P-40 LI 0981</t>
  </si>
  <si>
    <t>495</t>
  </si>
  <si>
    <t>0981</t>
  </si>
  <si>
    <t>Items less than $5 Million</t>
  </si>
  <si>
    <t>OPNAVINST 3400.10G articulates U.S. Navy Chemical, Biological and Radiological Defense (CBRD) policy and establishes functional responsibilities to ensure the highest level of the Fleet readiness and warfighting sustainability in a CBR environment.</t>
  </si>
  <si>
    <t>OPN BA01 &gt; BSA 09 Other Shipboard Equipment &gt; P-40 LI 0989</t>
  </si>
  <si>
    <t>509</t>
  </si>
  <si>
    <t>0989</t>
  </si>
  <si>
    <t>CW001 CHEMICAL WARFARE PROGRAM JBAIDS</t>
  </si>
  <si>
    <t>CBRN Defense Systems</t>
  </si>
  <si>
    <t>Detection &amp; Identification Systems</t>
  </si>
  <si>
    <t>26</t>
  </si>
  <si>
    <t>Ship Maintenance Repair and Modernization</t>
  </si>
  <si>
    <t>2/4</t>
  </si>
  <si>
    <t>FY 2026 funds $2.4B for Continental United Status (CONUS) private contracted surface and submarine maintenance in both U.S. Pacific Fleet (CPF) and U.S. Fleet Forces Command (FFC).</t>
  </si>
  <si>
    <t>OPN BA01 &gt; BSA 10 Reactor Plant Equipment &gt; P-40 LI 1000</t>
  </si>
  <si>
    <t>521</t>
  </si>
  <si>
    <t>1000</t>
  </si>
  <si>
    <t>Ship Maintenance, Repair and Modernization</t>
  </si>
  <si>
    <t>26-CPF</t>
  </si>
  <si>
    <t>Ship Maint Repair &amp; Mod &gt; U.S. Pacific Fleet Availabilities</t>
  </si>
  <si>
    <t>26 / Ship Maintenance Repair and Modernization</t>
  </si>
  <si>
    <t>OPN BA01 &gt; BSA 10 &gt; P-40 LI 1000 &gt; CPF detail</t>
  </si>
  <si>
    <t>26-FFC</t>
  </si>
  <si>
    <t>Ship Maint Repair &amp; Mod &gt; U.S. Fleet Forces Availabilities</t>
  </si>
  <si>
    <t>OPN BA01 &gt; BSA 10 &gt; P-40 LI 1000 &gt; FFC detail</t>
  </si>
  <si>
    <t>27</t>
  </si>
  <si>
    <t>Reactor Power Units</t>
  </si>
  <si>
    <t>OPN BA01 &gt; BSA 10 Reactor Plant Equipment &gt; P-40 LI 1010</t>
  </si>
  <si>
    <t>539</t>
  </si>
  <si>
    <t>1010</t>
  </si>
  <si>
    <t>28</t>
  </si>
  <si>
    <t>Reactor Components</t>
  </si>
  <si>
    <t>This Program funds long lead time nuclear reactor propulsion plant components for planned and emergent installation and reactor plant spares for all operational submarines (SSBN, SSN, and SSGN), aircraft carriers (CVN), moored training ships (MTS) and fleet training equipment. The details of this program are classified CONFIDENTIAL.</t>
  </si>
  <si>
    <t>OPN BA01 &gt; BSA 10 Reactor Plant Equipment &gt; P-40 LI 1020</t>
  </si>
  <si>
    <t>543</t>
  </si>
  <si>
    <t>1020</t>
  </si>
  <si>
    <t>29</t>
  </si>
  <si>
    <t>Diving and Salvage Equipment</t>
  </si>
  <si>
    <t>The equipment procured from this Diving and Salvage OPN line item provides critical diving and salvage equipment that enables planned/emergent waterborne submarine/ship repairs, salvage and battle damage repair operations, search and recovery to water depths up to 20,000 feet of seawater.</t>
  </si>
  <si>
    <t>OPN BA01 &gt; BSA 11 Ocean Engineering &gt; P-40 LI 1130</t>
  </si>
  <si>
    <t>547</t>
  </si>
  <si>
    <t>1130</t>
  </si>
  <si>
    <t>Medium Unmanned Surface Vehicle (MUSVs)</t>
  </si>
  <si>
    <t>Full vessel procurement</t>
  </si>
  <si>
    <t>OPN BA01 &gt; BSA 12 Small Boats &gt; P-1 Line #30</t>
  </si>
  <si>
    <t>Standard Boats</t>
  </si>
  <si>
    <t>Naval Sea Systems Command (NAVSEA) -- Boats are procured to fill allowances established by CNO and NAVSEA and to replace boats now in service which are beyond economical repair at shore activities and aboard ships.</t>
  </si>
  <si>
    <t>OPN BA01 &gt; BSA 12 Small Boats &gt; P-40 LI 1210</t>
  </si>
  <si>
    <t>571</t>
  </si>
  <si>
    <t>1210</t>
  </si>
  <si>
    <t>31-H0001</t>
  </si>
  <si>
    <t>Standard Boats &gt; Base Operating Forces</t>
  </si>
  <si>
    <t>31 / Standard Boats</t>
  </si>
  <si>
    <t>OPN BA01 &gt; BSA 12 &gt; P-40 LI 1210 &gt; H0001</t>
  </si>
  <si>
    <t>H0001 - Base Operating Forces</t>
  </si>
  <si>
    <t>31-H0004</t>
  </si>
  <si>
    <t>Standard Boats &gt; Naval Special Warfare</t>
  </si>
  <si>
    <t>Special Warfare Craft</t>
  </si>
  <si>
    <t>OPN BA01 &gt; BSA 12 &gt; P-40 LI 1210 &gt; H0004</t>
  </si>
  <si>
    <t>H0004 - Naval Special Warfare</t>
  </si>
  <si>
    <t>32</t>
  </si>
  <si>
    <t>Operating Forces IPE</t>
  </si>
  <si>
    <t>The Operating Forces Industrial Plant Equipment (IPE) budget provides funding for capital equipment procurement in support of naval shipyards and Fleet I-level maintenance activities. These investments deliver modern, innovative equipment essential for maintaining submarines, aircraft carriers, and surface ships.</t>
  </si>
  <si>
    <t>OPN BA01 &gt; BSA 14 Production Facilities Equipment &gt; P-40 LI 1445</t>
  </si>
  <si>
    <t>589</t>
  </si>
  <si>
    <t>1445</t>
  </si>
  <si>
    <t>LCS Common Mission Modules Equipment</t>
  </si>
  <si>
    <t>Littoral Combat Ship (LCS) focused mission packages provide the operational commander with capabilities to perform Mine Countermeasures (MCM) operations and a Surface Warfare (SUW) detect-to-engage capability to counter small boat threats.</t>
  </si>
  <si>
    <t>OPN BA01 &gt; BSA 15 Other Ship Support &gt; P-40 LI 1600</t>
  </si>
  <si>
    <t>607</t>
  </si>
  <si>
    <t>1600</t>
  </si>
  <si>
    <t>34</t>
  </si>
  <si>
    <t>LCS MCM Mission Modules</t>
  </si>
  <si>
    <t>The Littoral Combat Ship (LCS) Mine Countermeasures (MCM) Mission Package (MP) counters bottom, tethered, near surface, and surface mines in the littorals without putting Sailors in the minefield. MCM MP achieved Initial Operational Capability in 31MAR2023.</t>
  </si>
  <si>
    <t>OPN BA01 &gt; BSA 15 Other Ship Support &gt; P-40 LI 1601</t>
  </si>
  <si>
    <t>621</t>
  </si>
  <si>
    <t>1601</t>
  </si>
  <si>
    <t>LCS MCM Mission Packages</t>
  </si>
  <si>
    <t>36</t>
  </si>
  <si>
    <t>LCS SUW Mission Modules</t>
  </si>
  <si>
    <t>The Surface Warfare (SUW) Mission Package (MP) increases firepower and offensive/defensive capabilities against large numbers of highly maneuverable, fast, small craft threats, giving Littoral Combat Ships (LCS) the ability to protect the sea lanes.</t>
  </si>
  <si>
    <t>OPN BA01 &gt; BSA 15 Other Ship Support &gt; P-40 LI 1603</t>
  </si>
  <si>
    <t>635</t>
  </si>
  <si>
    <t>1603</t>
  </si>
  <si>
    <t>37</t>
  </si>
  <si>
    <t>LCS In-Service Modernization</t>
  </si>
  <si>
    <t>This line provides funding for ship changes and improvements related to mandatory safety, cyber security remediation, habitability, obsolescence, reliability, command and control, and communication modifications to maintain LCS operational availability and achieve ships expected service life. Funding covers planned CNO availabilities and two years of planning costs and long lead time materials (LLTM).</t>
  </si>
  <si>
    <t>OPN BA01 &gt; BSA 15 Other Ship Support &gt; P-40 LI 1604</t>
  </si>
  <si>
    <t>641</t>
  </si>
  <si>
    <t>1604</t>
  </si>
  <si>
    <t>MT005 LCS Combat System Modernization</t>
  </si>
  <si>
    <t>Small &amp; Medium UUV</t>
  </si>
  <si>
    <t>Lionfish and Viperfish are the next generation UUVs that will replace the MK18 Mod 1 and Mod 2 UUVs currently in the fleet. They are the Navy's first cybersecure UUVs, which support mine countermeasures (MCM), Intelligence Preparation of the Operational Environment (IPOE), Subsea and Seabed Warfare (SSW), Naval Special Warfare (NSW) Maritime Homeland Defense (MHLD) and combat salvage.</t>
  </si>
  <si>
    <t>UUV</t>
  </si>
  <si>
    <t>OPN BA01 &gt; BSA 15 Other Ship Support &gt; P-40 LI 1611</t>
  </si>
  <si>
    <t>667</t>
  </si>
  <si>
    <t>1611</t>
  </si>
  <si>
    <t>Extra Large UUV</t>
  </si>
  <si>
    <t>OPN BA01 &gt; BSA 15 Other Ship Support &gt; P-1 Line #39</t>
  </si>
  <si>
    <t>LSD Midlife &amp; Modernization</t>
  </si>
  <si>
    <t>Modernized LSD 41/49 Class ships transport and launch amphibious craft and vehicles with their crews and embarked personnel in amphibious assault operations.</t>
  </si>
  <si>
    <t>OPN BA01 &gt; BSA 16 Logistic Support &gt; P-40 LI 1610</t>
  </si>
  <si>
    <t>681</t>
  </si>
  <si>
    <t>1610</t>
  </si>
  <si>
    <t>ST001 - LSD Mod HM&amp;E Modernization</t>
  </si>
  <si>
    <t>OPN_BA2</t>
  </si>
  <si>
    <t>Budget Activity 02: Communications and electronics equipment</t>
  </si>
  <si>
    <t>OPN BA2 total - roll-up of all BA2 line items</t>
  </si>
  <si>
    <t>OPN BA2 P-1 Summary / 1810N Budget Activity Summary</t>
  </si>
  <si>
    <t>2026</t>
  </si>
  <si>
    <t>Beginning in FY26, all funding under LI 2026 has been realigned to LI 2981 - In-Service Radars and Sensors. This program provides for procurement of AN/SPQ-9B radars whose primary mission is to detect and track low flying Anti-Ship Missile targets in heavy clutter.</t>
  </si>
  <si>
    <t>Funding realigned to LI 2981 In-Service Radars and Sensors</t>
  </si>
  <si>
    <t>OPN BA2 &gt; BSA 2: Ship Sonars &gt; LI 2026 SPQ-9B Radar</t>
  </si>
  <si>
    <t>BR040 AN/SPQ-9B RADAR</t>
  </si>
  <si>
    <t>1 / BR040 AN/SPQ-9B RADAR FMP EQUIPMENT</t>
  </si>
  <si>
    <t>Procures AN/SPQ-9B Radars to add Anti-Ship Missile Defense (ASMD) capability to Shipboard Combat Systems. Procures radars to support combat systems on the following ship classes: CG, LHA, DDG, CVN, LHD, LPD, U.S. Coast Guard National Security Cutter and a Training Unit.</t>
  </si>
  <si>
    <t>LI 2026 SPQ-9B Radar</t>
  </si>
  <si>
    <t>OPN BA2 &gt; BSA 2: Ship Sonars &gt; LI 2026 SPQ-9B Radar &gt; P-3a BR040</t>
  </si>
  <si>
    <t>BR040</t>
  </si>
  <si>
    <t>2136</t>
  </si>
  <si>
    <t>AN/SQQ-89 Surf ASW Cmbt Sys</t>
  </si>
  <si>
    <t>OPN BLI 2136 consists of four separate and distinct programs: the AN/SQQ-89 Surface ASW Combat System program, the Aircraft Carrier Tactical Support Center (CV-TSC) program, the Sonar Dome Rubber Window (SDRW) program, and the Undersea Warfare Decision Support System (USW-DSS) program.</t>
  </si>
  <si>
    <t>OPN BA2 &gt; BSA 2: Ship Sonars &gt; LI 2136 AN/SQQ-89 Surf ASW Cmbt Sys</t>
  </si>
  <si>
    <t>69</t>
  </si>
  <si>
    <t>Towed Array Sonars</t>
  </si>
  <si>
    <t>AN/SQQ-89(V) SURFACE ASW COMBAT SYSTEM</t>
  </si>
  <si>
    <t>The AN/SQQ-89(V) Surface Ship ASW Combat System provides integrated Undersea Warfare (USW) combat management, fire control, command and control, and on-board training to enable surface combatants to engage USW targets. Variants are currently in operation on in-service CG47 and DDG51 Class Surface Combatants.</t>
  </si>
  <si>
    <t>LI 2136 AN/SQQ-89 Surf ASW Cmbt Sys</t>
  </si>
  <si>
    <t>OPN BA2 &gt; BSA 2: Ship Sonars &gt; LI 2136 &gt; P-40a AN/SQQ-89(V)</t>
  </si>
  <si>
    <t>AN/SQQ-89A(V)15 - DDG79-112 FLT IIA UPGRADE</t>
  </si>
  <si>
    <t>OPN BA2 &gt; BSA 2: Ship Sonars &gt; LI 2136 &gt; P-3a DDG79-112 FLT IIA</t>
  </si>
  <si>
    <t>DDG79-112 FLT IIA</t>
  </si>
  <si>
    <t>AN/SQQ-89A(V)15 - DDG51-78 (SELECT) FLT I/II UPGRADE</t>
  </si>
  <si>
    <t>OPN BA2 &gt; BSA 2: Ship Sonars &gt; LI 2136 &gt; P-3a DDG51-78 FLT I/II</t>
  </si>
  <si>
    <t>DDG51-78 FLT I/II</t>
  </si>
  <si>
    <t>AN/SQQ-89A(V)15 - DDG113-132 MFTA/HANDLER UPGRADE</t>
  </si>
  <si>
    <t>OPN BA2 &gt; BSA 2: Ship Sonars &gt; LI 2136 &gt; P-3a DDG113-132 MFTA</t>
  </si>
  <si>
    <t>DDG113-132 MFTA</t>
  </si>
  <si>
    <t>AN/SQQ-89A(V)15 - TECHNOLOGY INSERTION/REFRESH</t>
  </si>
  <si>
    <t>OPN BA2 &gt; BSA 2: Ship Sonars &gt; LI 2136 &gt; P-3a TI/Refresh</t>
  </si>
  <si>
    <t>TI/Refresh</t>
  </si>
  <si>
    <t>AN/SQQ-89A(V)15 - TECHNOLOGY INSERTION/REFRESH - BUILD-IN-PLACE</t>
  </si>
  <si>
    <t>AN/SQQ-89A(V)15 Build-In-Place Technology Insertion/Refresh upgrade for DDG51 Class platforms.</t>
  </si>
  <si>
    <t>OPN BA2 &gt; BSA 2: Ship Sonars &gt; LI 2136 &gt; P-3a TI/Refresh BIP</t>
  </si>
  <si>
    <t>TI/Refresh BIP</t>
  </si>
  <si>
    <t>2150</t>
  </si>
  <si>
    <t>SSN Acoustic Equipment</t>
  </si>
  <si>
    <t>This program procures submarine systems and equipment for installation on all classes of submarines to maintain clear acoustical, tactical, and operational superiority over submarine and surface combatants through detection, classification, localization, and contact following.</t>
  </si>
  <si>
    <t>OPN BA2 &gt; BSA 2: Ship Sonars &gt; LI 2150 SSN Acoustic Equipment</t>
  </si>
  <si>
    <t>SA105 SONAR SUPPORT EQUIPMENT</t>
  </si>
  <si>
    <t>LWWAA Unit 6512 Tech Refresh</t>
  </si>
  <si>
    <t>Funding supports procurement of Light Weight Wide Aperture Array (LWWAA) Unit 6512 receiver hardware for technology refresh for Software and Hardware updates to accommodate shifts in technology to counter obsolescence on Block I/II VIRGINIA Class submarines.</t>
  </si>
  <si>
    <t>LI 2150 SSN Acoustic Equipment</t>
  </si>
  <si>
    <t>OPN BA2 &gt; BSA 2: Ship Sonars &gt; LI 2150 &gt; LWWAA</t>
  </si>
  <si>
    <t>SSBN Legacy Interface Hardware</t>
  </si>
  <si>
    <t>Funding supports procurement of hardware to accommodate increased power requirements of SSBN modernization equipment.</t>
  </si>
  <si>
    <t>OPN BA2 &gt; BSA 2: Ship Sonars &gt; LI 2150 &gt; SSBN Legacy</t>
  </si>
  <si>
    <t>Low Cost Conformal Array (LCCA)</t>
  </si>
  <si>
    <t>Procurement of Low Cost Conformal Array (LCCA) to provide enhanced situational awareness and collision avoidance capability.</t>
  </si>
  <si>
    <t>OPN BA2 &gt; BSA 2: Ship Sonars &gt; LI 2150 &gt; LCCA</t>
  </si>
  <si>
    <t>High Frequency Sail Array (HFSA)</t>
  </si>
  <si>
    <t>The High Frequency Sail Array (HFSA) provides high frequency active and passive capability supporting Anti-Submarine Warfare (ASW) and Anti-Surface Warfare (ASUW) for SSNs, and contact avoidance for SSNs and SSBNs.</t>
  </si>
  <si>
    <t>OPN BA2 &gt; BSA 2: Ship Sonars &gt; LI 2150 &gt; HFSA</t>
  </si>
  <si>
    <t>Large Vertical Array (LVA) - OHIO Class</t>
  </si>
  <si>
    <t>The Large Vertical Array (LVA) provides improved detection and enhanced tactical situational awareness capability for tracking targets of interest, and supports acoustic superiority objectives for OHIO class submarines.</t>
  </si>
  <si>
    <t>OPN BA2 &gt; BSA 2: Ship Sonars &gt; LI 2150 &gt; LVA Ohio</t>
  </si>
  <si>
    <t>Large Vertical Array (LVA) - VIRGINIA Class</t>
  </si>
  <si>
    <t>Procurement of the VIRGINIA Class Large Vertical Array (LVA) provides improved detection and enhanced tactical situational awareness capability for tracking targets of interest, and supports acoustic superiority objectives for the VIRGINIA class submarines.</t>
  </si>
  <si>
    <t>OPN BA2 &gt; BSA 2: Ship Sonars &gt; LI 2150 &gt; LVA Virginia</t>
  </si>
  <si>
    <t>A-RCI Tech Insertion - Los Angeles Class</t>
  </si>
  <si>
    <t>Provides technology insertion upgrade kits to previously installed A-RCI systems, providing the latest and most current capability and includes tech insertion to Legacy Replacement components on Los Angeles Class submarines.</t>
  </si>
  <si>
    <t>OPN BA2 &gt; BSA 2: Ship Sonars &gt; LI 2150 &gt; ARCI 688</t>
  </si>
  <si>
    <t>A-RCI Tech Insertion - Seawolf Class</t>
  </si>
  <si>
    <t>Provides technology insertion upgrade kits to previously installed A-RCI systems, providing the latest and most current capability and includes tech insertion to Legacy Replacement components on Seawolf Class submarines.</t>
  </si>
  <si>
    <t>OPN BA2 &gt; BSA 2: Ship Sonars &gt; LI 2150 &gt; ARCI Seawolf</t>
  </si>
  <si>
    <t>A-RCI Tech Insertion - Virginia Class (BLK I-IV)</t>
  </si>
  <si>
    <t>Provides technology insertion upgrade kits to previously A-RCI installed systems on the VA Class Blocks I-III, providing the latest and most current capability.</t>
  </si>
  <si>
    <t>OPN BA2 &gt; BSA 2: Ship Sonars &gt; LI 2150 &gt; ARCI Virginia</t>
  </si>
  <si>
    <t>SSBN Technical Insertion Conversion (OHIO)</t>
  </si>
  <si>
    <t>Provides sonar modernization to the SSBN (TRIDENT) Class Submarine Fleet.</t>
  </si>
  <si>
    <t>OPN BA2 &gt; BSA 2: Ship Sonars &gt; LI 2150 &gt; SSBN TI Ohio</t>
  </si>
  <si>
    <t>CRAW MK 58 Torpedo Integration Kits</t>
  </si>
  <si>
    <t>This line item procures the required integration kits and other required submarine support equipment for the Compact Rapid Attack Weapon (CRAW) MK 58 torpedo. The MK 58 torpedo provides enhanced ASW and Anti-Torpedo Torpedo (ATT) mission capabilities to the submarine Force.</t>
  </si>
  <si>
    <t>OPN BA2 &gt; BSA 2: Ship Sonars &gt; LI 2150 &gt; CRAW MK 58</t>
  </si>
  <si>
    <t>2176</t>
  </si>
  <si>
    <t>Undersea Warfare Support Equipment</t>
  </si>
  <si>
    <t>NOTE: Effective FY 2026, all funding and programs within OPN BLI 2176 moved into OPN BLI 2136 in support of the PE/BLI consolidation initiative prescribed within the DoD Implementation Plan from the Commission on PPBE Reform Final Report.</t>
  </si>
  <si>
    <t>Funding realigned to LI 2136 AN/SQQ-89</t>
  </si>
  <si>
    <t>OPN BA2 &gt; BSA 2: Ship Sonars &gt; LI 2176 Undersea Warfare Support Equipment</t>
  </si>
  <si>
    <t>2210</t>
  </si>
  <si>
    <t>Submarine Acoustic Warfare System</t>
  </si>
  <si>
    <t>The Submarine Acoustic Warfare System (SAWS) program provides submarines with expendable defensive countermeasures and the systems necessary to externally launch against torpedo and acoustic sensor threats.</t>
  </si>
  <si>
    <t>OPN BA2 &gt; BSA 3: ASW Electronic Equipment &gt; LI 2210 Submarine Acoustic Warfare System</t>
  </si>
  <si>
    <t>Maritime EW Suites</t>
  </si>
  <si>
    <t>2213</t>
  </si>
  <si>
    <t>Surface Ship Torpedo Def (SSTD)</t>
  </si>
  <si>
    <t>Surface Ship Torpedo Defense (SSTD) provides a layered torpedo defense to protect surface ships against current and future threats. Sustains deployed systems including the towed AN/SLQ-25A/C (NIXIE) countermeasure. Modernizes NIXIE to the AN/SLQ-25E variant.</t>
  </si>
  <si>
    <t>OPN BA2 &gt; BSA 3: ASW Electronic Equipment &gt; LI 2213 Surface Ship Torpedo Def (SSTD)</t>
  </si>
  <si>
    <t>2225</t>
  </si>
  <si>
    <t>Fixed Surveillance System</t>
  </si>
  <si>
    <t>The details of this budget justification are classified, per Executive Order 13526.</t>
  </si>
  <si>
    <t>OPN BA2 &gt; BSA 3: ASW Electronic Equipment &gt; LI 2225 Fixed Surveillance System</t>
  </si>
  <si>
    <t>Classified</t>
  </si>
  <si>
    <t>2237</t>
  </si>
  <si>
    <t>SURTASS</t>
  </si>
  <si>
    <t>Surveillance Towed Array Sensor System (SURTASS) is the mobile, tactical, and strategic arm of the Navy's undersea surveillance capability that provides deep ocean and littoral acoustic detection and cueing for tactical weapon platforms against diesel and nuclear submarines.</t>
  </si>
  <si>
    <t>OPN BA2 &gt; BSA 3: ASW Electronic Equipment &gt; LI 2237 SURTASS</t>
  </si>
  <si>
    <t>Integrated Common Processor (ICP)</t>
  </si>
  <si>
    <t>LI 2237 SURTASS</t>
  </si>
  <si>
    <t>OPN BA2 &gt; BSA 3 &gt; LI 2237 SURTASS &gt; ICP</t>
  </si>
  <si>
    <t>TL-29A Twinline</t>
  </si>
  <si>
    <t>The TL-29A Twinline is a shallow water variant of the common array produced by NAVSEA. The array consists of two shorter array lengths and array support equipment, and is designed for increased surveillance capability in high clutter environments and littoral areas.</t>
  </si>
  <si>
    <t>OPN BA2 &gt; BSA 3 &gt; LI 2237 SURTASS &gt; TL-29A</t>
  </si>
  <si>
    <t>Japanese Auxiliary Oceanographic Surveillance (J-AOS)</t>
  </si>
  <si>
    <t>P-3A breaks out specific U.S. requirements of cost sharing for Japanese Auxiliary Oceanographic Surveillance (J-AOS) ships and shore sites.</t>
  </si>
  <si>
    <t>OPN BA2 &gt; BSA 3 &gt; LI 2237 SURTASS &gt; J-AOS</t>
  </si>
  <si>
    <t>208</t>
  </si>
  <si>
    <t>2312</t>
  </si>
  <si>
    <t>AN/SLQ-32</t>
  </si>
  <si>
    <t>Surface Electronic Warfare (EW) Improvement Program (SEWIP) will develop a modern, highly capable family of EW systems by block upgrade of the current AN/SLQ-32 system that is robust in detecting and countering current and future threats.</t>
  </si>
  <si>
    <t>OPN BA2 &gt; BSA 4: Electronic Warfare Equipment &gt; LI 2312 AN/SLQ-32</t>
  </si>
  <si>
    <t>213</t>
  </si>
  <si>
    <t>SEWIP Block 1 - AN/SLQ-32 Improvements</t>
  </si>
  <si>
    <t>LI 2312 AN/SLQ-32</t>
  </si>
  <si>
    <t>OPN BA2 &gt; BSA 4 &gt; LI 2312 &gt; SEWIP Block 1</t>
  </si>
  <si>
    <t>SEWIP Block 1B3 - High Gain High Sensitivity (HGHS)</t>
  </si>
  <si>
    <t>High Gain High Sensitivity (HGHS) Adjunct Sensor is a critical improvement for threat correlation, situational awareness, and extending the battle space. The SEWIP Block 1B3 and Block 2 units are installed conjunctively to compose the AN/SLQ-32(V)6 system.</t>
  </si>
  <si>
    <t>OPN BA2 &gt; BSA 4 &gt; LI 2312 &gt; SEWIP Block 1B3</t>
  </si>
  <si>
    <t>SEWIP Block 2 - Electronic Support (ES) System</t>
  </si>
  <si>
    <t>SEWIP Block 2 provides AN/SLQ-32(V) an upgraded antenna, receiver, and combat systems interface. The upgrades will pace the evolving threat, improve detection and accuracy and mitigate EMI.</t>
  </si>
  <si>
    <t>OPN BA2 &gt; BSA 4 &gt; LI 2312 &gt; SEWIP Block 2</t>
  </si>
  <si>
    <t>SEWIP Block 3 - Electronic Attack (EA)</t>
  </si>
  <si>
    <t>Block 3 provides an Electronic Attack (EA) capability improvement required for the AN/SLQ-32(V) system to keep pace with the evolving threat. The program provides a common EA capability to surface ships (CVN, DDG, and LHD).</t>
  </si>
  <si>
    <t>OPN BA2 &gt; BSA 4 &gt; LI 2312 &gt; SEWIP Block 3</t>
  </si>
  <si>
    <t>242</t>
  </si>
  <si>
    <t>TC070 - Scaled Onboard Electronic Attack (SOEA)</t>
  </si>
  <si>
    <t>Scaled Onboard Electronic Attack (SOEA)</t>
  </si>
  <si>
    <t>OPN BA2 &gt; BSA 4 &gt; LI 2312 &gt; SOEA</t>
  </si>
  <si>
    <t>2360</t>
  </si>
  <si>
    <t>Shipboard IW Exploit</t>
  </si>
  <si>
    <t>Funding for LI 3501 Cryptologic Carry-On Program (CCOP) has been realigned into LI 2360 Shipboard Information Warfare (IW) starting in FY 2026. This effort consolidates existing PEs/BLIs to group technology projects to allow flexibility.</t>
  </si>
  <si>
    <t>OPN BA2 &gt; BSA 5: Reconnaissance Equipment &gt; LI 2360 Shipboard IW Exploit</t>
  </si>
  <si>
    <t>Ship's Signal Exploitation Equipment (SSEE) Increment F</t>
  </si>
  <si>
    <t>LI 2360 Shipboard IW Exploit</t>
  </si>
  <si>
    <t>OPN BA2 &gt; BSA 5 &gt; LI 2360 &gt; SSEE Inc F</t>
  </si>
  <si>
    <t>267</t>
  </si>
  <si>
    <t>Real-Time Spectrum Operations (RTSO)</t>
  </si>
  <si>
    <t>OPN BA2 &gt; BSA 5 &gt; LI 2360 &gt; RTSO</t>
  </si>
  <si>
    <t>278</t>
  </si>
  <si>
    <t>Real Time Spectrum Operations - Own Force Monitoring Hardware</t>
  </si>
  <si>
    <t>Spectral Program</t>
  </si>
  <si>
    <t>OPN BA2 &gt; BSA 5 &gt; LI 2360 &gt; Spectral</t>
  </si>
  <si>
    <t>Cryptologic Carry-On Program (CCOP)</t>
  </si>
  <si>
    <t>OPN BA2 &gt; BSA 5 &gt; LI 2360 &gt; CCOP (from LI 3501)</t>
  </si>
  <si>
    <t>2361</t>
  </si>
  <si>
    <t>Automatic Identification System (AIS) / Maritime Battlespace Awareness</t>
  </si>
  <si>
    <t>Funding for LI 2900 Maritime Integrated Broadcast System (MIBS) has been realigned into LI 2361 starting in FY 2026. This effort consolidates existing PEs/BLIs to group technology projects.</t>
  </si>
  <si>
    <t>OPN BA2 &gt; BSA 5: Reconnaissance Equipment &gt; LI 2361 Automatic Identification System (AIS)</t>
  </si>
  <si>
    <t>1U030 Automatic Identification Systems (AIS)</t>
  </si>
  <si>
    <t>Automatic Identification System (AIS)</t>
  </si>
  <si>
    <t>2606</t>
  </si>
  <si>
    <t>Cooperative Engagement Capability</t>
  </si>
  <si>
    <t>CEC significantly improves Battle Force Anti-Air Warfare (AAW) capability by coordinating all Battle Force AAW sensors into a single, real-time, composite track picture capable of fire control quality.</t>
  </si>
  <si>
    <t>OPN BA2 &gt; BSA 7: Other Ship Electronic Equipment &gt; LI 2606 Cooperative Engagement Capability</t>
  </si>
  <si>
    <t>2611</t>
  </si>
  <si>
    <t>Naval Tactical Command Support System (NTCSS)</t>
  </si>
  <si>
    <t>NTCSS is the logistics information system which enables combat lethality by generating and sustaining Navy and Marine Corps force maintenance and logistics readiness for operational commanders afloat and ashore.</t>
  </si>
  <si>
    <t>OPN BA2 &gt; BSA 7: Other Ship Electronic Equipment &gt; LI 2611 Naval Tact Cmd Supt Sys (NTCSS)</t>
  </si>
  <si>
    <t>Naval Tact Cmd Supt Sys (NTCSS)</t>
  </si>
  <si>
    <t>2614</t>
  </si>
  <si>
    <t>Advanced Tactical Data Link Systems (ATDLS)</t>
  </si>
  <si>
    <t>ATDLS is the United States Navy's only ship-to-ship/ship-to-aircraft tactical information solution equipping warfighters and Combatant Commanders with real-time battlespace data and extending the range of lethality. ATDLS is the backbone of Carrier Strike Group and AEGIS-Based Defense operations.</t>
  </si>
  <si>
    <t>OPN BA2 &gt; BSA 7: Other Ship Electronic Equipment &gt; LI 2614 Adv Tact Data Link Sys (ATDLS)</t>
  </si>
  <si>
    <t>Adv Tact Data Link Sys (ATDLS)</t>
  </si>
  <si>
    <t>2618</t>
  </si>
  <si>
    <t>Navy Command and Control System (NCCS)</t>
  </si>
  <si>
    <t>Includes Global Command and Control System-Maritime (GCCS-M), the Navy fielded portions of GCCS-Joint, and Joint Automated Deep Operations Coordination System (JADOCS).</t>
  </si>
  <si>
    <t>OPN BA2 &gt; BSA 7: Other Ship Electronic Equipment &gt; LI 2618 Navy Command and Control System (NCCS)</t>
  </si>
  <si>
    <t>2622</t>
  </si>
  <si>
    <t>Minesweeping System Replacement</t>
  </si>
  <si>
    <t>Magnetic Silencing Facility Upgrades support hardware, auxiliary systems, and support in association with the upgrade of current aging or new installation of CONUS and OCONUS Magnetic Silencing Facilities for calibration of new Open-Loop Magnetic Systems or Advanced Degaussing System ships and submarines.</t>
  </si>
  <si>
    <t>OPN BA2 &gt; BSA 7: Other Ship Electronic Equipment &gt; LI 2622 Minesweeping System Replacement</t>
  </si>
  <si>
    <t>MAGNETIC SILENCING FACILITY UPGRADES</t>
  </si>
  <si>
    <t>2657</t>
  </si>
  <si>
    <t>NAVSTAR GPS Receivers (Space)</t>
  </si>
  <si>
    <t>NAVSTAR GPS provides assured and protected navigation solutions to Warfighters through supported, affordable, and integrated systems, and is the primary source of positioning, navigation and timing information for the Department of Defense.</t>
  </si>
  <si>
    <t>OPN BA2 &gt; BSA 7: Other Ship Electronic Equipment &gt; LI 2657 NAVSTAR GPS Receivers (Space)</t>
  </si>
  <si>
    <t>2666</t>
  </si>
  <si>
    <t>American Forces Radio and TV Service (AFRTS)</t>
  </si>
  <si>
    <t>AFRTS shipboard systems provide command information to deployed Sailors and Marines and allow for the distribution of AFRTS programming. The systems contribute significantly to the habitability of Navy ships.</t>
  </si>
  <si>
    <t>OPN BA2 &gt; BSA 7: Other Ship Electronic Equipment &gt; LI 2666 American Forces Radio and TV Service (AFRTS)</t>
  </si>
  <si>
    <t>2676</t>
  </si>
  <si>
    <t>Funding in this P-1 line provides Non-Propulsion Electronics equipment that will be installed aboard TRIDENT Class submarines as part of the Obsolete Equipment Replacement (OER) Program. Beginning in FY25, all requirements are aligned under 0950.</t>
  </si>
  <si>
    <t>Funding realigned to LI 0950 (BA1)</t>
  </si>
  <si>
    <t>OPN BA2 &gt; BSA 7: Other Ship Electronic Equipment &gt; LI 2676 Strategic Platform Support Equip</t>
  </si>
  <si>
    <t>P1221 Strategic Platform Support Equip NPES</t>
  </si>
  <si>
    <t>2820</t>
  </si>
  <si>
    <t>Ashore ATC Equipment</t>
  </si>
  <si>
    <t>Marine Air Traffic Control and Landing Systems (MATCALS) and DoD Advanced Automation System (DAAS) and other shore-based ATC equipment. Includes ATNAVICS, TACAN replacements, and FAA NextGen compliance systems.</t>
  </si>
  <si>
    <t>OPN BA2 &gt; BSA 9: Aviation Electronic Equipment &gt; LI 2820 Ashore ATC Equipment</t>
  </si>
  <si>
    <t>2830</t>
  </si>
  <si>
    <t>Afloat ATC Equipment</t>
  </si>
  <si>
    <t>Shipboard Air Traffic Control (SATC) and Automatic Carrier Landing System (ACLS). Includes Shipboard Air Traffic Radar (SATR) AN/SPN-50(V) and AN/SPN-35/41/46 modifications.</t>
  </si>
  <si>
    <t>OPN BA2 &gt; BSA 9: Aviation Electronic Equipment &gt; LI 2830 Afloat ATC Equipment</t>
  </si>
  <si>
    <t>449</t>
  </si>
  <si>
    <t>Shipboard Air Traffic Radar (SATR) AN/SPN-50(V)</t>
  </si>
  <si>
    <t>LI 2830 Afloat ATC Equipment</t>
  </si>
  <si>
    <t>OPN BA2 &gt; BSA 9 &gt; LI 2830 &gt; SATR AN/SPN-50(V)</t>
  </si>
  <si>
    <t>457</t>
  </si>
  <si>
    <t>AN/SPN-46 Block IV Precision Approach Landing System</t>
  </si>
  <si>
    <t>OPN BA2 &gt; BSA 9 &gt; LI 2830 &gt; AN/SPN-46 Block IV</t>
  </si>
  <si>
    <t>2851</t>
  </si>
  <si>
    <t>ID Systems</t>
  </si>
  <si>
    <t>The Identification Systems program funds procurements and ECPs to address obsolescence for Mark XII / Mark XIIA systems including AN/UPX-37, AN/UPX-41, AN/UPX-45 and AN/UPX-50 Digital Interrogators, AN/APX-118 and AN/APX-123 Common Digital Transponders.</t>
  </si>
  <si>
    <t>OPN BA2 &gt; BSA 9: Aviation Electronic Equipment &gt; LI 2851 ID Systems</t>
  </si>
  <si>
    <t>Mark XIIA Mode 5</t>
  </si>
  <si>
    <t>Mark XIIA Mode 5 provides improved secure cooperative combat identification throughout IFF. Mode 5 is a product improvement installed via engineering changes to digital MarkXII interrogators and transponders.</t>
  </si>
  <si>
    <t>LI 2851 ID Systems</t>
  </si>
  <si>
    <t>OPN BA2 &gt; BSA 9 &gt; LI 2851 &gt; Mode 5</t>
  </si>
  <si>
    <t>482</t>
  </si>
  <si>
    <t>Mark XII Mode 5 (MT037)</t>
  </si>
  <si>
    <t>AN/UPX-34A Radar Track Discriminator System (RTDS)</t>
  </si>
  <si>
    <t>OPN BA2 &gt; BSA 9 &gt; LI 2851 &gt; AN/UPX-34A</t>
  </si>
  <si>
    <t>Radar Track Discriminator System (RTDS) AN/UPX-34A (MT043)</t>
  </si>
  <si>
    <t>DDG 1000 Zumwalt Class IFF Sensor Suite</t>
  </si>
  <si>
    <t>Modernization of the DDG 1000 Zumwalt Class IFF Sensor Suite includes product improvement and engineering changes for a three panel electronically scanned array (ESA) antenna.</t>
  </si>
  <si>
    <t>OPN BA2 &gt; BSA 9 &gt; LI 2851 &gt; DDG 1000 IFF</t>
  </si>
  <si>
    <t>501</t>
  </si>
  <si>
    <t>2867</t>
  </si>
  <si>
    <t>Joint Precision Approach and Landing System (JPALS)</t>
  </si>
  <si>
    <t>JPALS is the primary precision approach and landing system for CVN and LHA/D ships to support aircraft without SPN-46 ACLS capability, including F-35B, F-35C, MQ-25, CVM-22 and future platforms.</t>
  </si>
  <si>
    <t>OPN BA2 &gt; BSA 9: Aviation Electronic Equipment &gt; LI 2867 Joint Precision Approach and Landing System (JPALS)</t>
  </si>
  <si>
    <t>507</t>
  </si>
  <si>
    <t>CR001 AN/USN-3 (V)1</t>
  </si>
  <si>
    <t>Joint Precision Approach and Landing System(JPALS)</t>
  </si>
  <si>
    <t>2876</t>
  </si>
  <si>
    <t>Naval Mission Planning Systems</t>
  </si>
  <si>
    <t>This line item provides funding to procure Mission Planning workstations and associated Support Equipment for the NavMPS family of systems including JMPS-M, CMPC, JMPS-E, Electronic Kneeboard (EKB), and CMBRE.</t>
  </si>
  <si>
    <t>OPN BA2 &gt; BSA 9: Aviation Electronic Equipment &gt; LI 2876 Naval Mission Planning Systems</t>
  </si>
  <si>
    <t>513</t>
  </si>
  <si>
    <t>2900</t>
  </si>
  <si>
    <t>Maritime Integrated Broadcast System</t>
  </si>
  <si>
    <t>Funding for Maritime Integrated Broadcast System (MIBS) has been realigned out of LI 2900 into LI 2361 starting in FY 2026.</t>
  </si>
  <si>
    <t>Funding realigned to LI 2361 AIS</t>
  </si>
  <si>
    <t>OPN BA2 &gt; BSA 10: Other Shore Electronic Equipment &gt; LI 2900 Maritime Integrated Broadcast System</t>
  </si>
  <si>
    <t>525</t>
  </si>
  <si>
    <t>Maritime Integrated Broadcast System (MIBS) - Procurement</t>
  </si>
  <si>
    <t>2906</t>
  </si>
  <si>
    <t>Tactical/Mobile C4I Systems</t>
  </si>
  <si>
    <t>TacMobile is the ground station program that supports P-8A Poseidon and MQ-4C Triton pre and post-flight C4I requirements and Inflight Command and Control support. These ground stations provide critical reach-back capabilities.</t>
  </si>
  <si>
    <t>OPN BA2 &gt; BSA 10: Other Shore Electronic Equipment &gt; LI 2906 Tactical/Mobile C4I Systems</t>
  </si>
  <si>
    <t>529</t>
  </si>
  <si>
    <t>T4050 Tactical/Mobile</t>
  </si>
  <si>
    <t>2914</t>
  </si>
  <si>
    <t>Intelligence Surveillance and Reconnaissance (ISR)</t>
  </si>
  <si>
    <t>Distributed Common Ground Systems-Navy (DCGS-N) is the Navy instance of the DCGS Family of Systems providing systems capable of receiving, processing, exploiting, and disseminating data from airborne and national reconnaissance platforms.</t>
  </si>
  <si>
    <t>OPN BA2 &gt; BSA 10: Other Shore Electronic Equipment &gt; LI 2914 ISR</t>
  </si>
  <si>
    <t>2915</t>
  </si>
  <si>
    <t>Consolidated Afloat Networks and Enterprise Services (CANES) operates at the Tactical Edge. CANES aligns with funding profile that supports the Navy's priority effort to modernize and protect tactical networks against increased cyber threats and ensure operational readiness.</t>
  </si>
  <si>
    <t>OPN BA2 &gt; BSA 10: Other Shore Electronic Equipment &gt; LI 2915 CANES</t>
  </si>
  <si>
    <t>557</t>
  </si>
  <si>
    <t>2920</t>
  </si>
  <si>
    <t>The RADIAC Program is responsible for the acquisition of new equipment to replace obsolete and unsupportable instruments to maintain legally compliant radiological operations. Equipment includes radiation monitoring instruments used on all Navy, Coast Guard and Military Sealift Command vessels.</t>
  </si>
  <si>
    <t>OPN BA2 &gt; BSA 10: Other Shore Electronic Equipment &gt; LI 2920 RADIAC</t>
  </si>
  <si>
    <t>2925</t>
  </si>
  <si>
    <t>CANES Intell</t>
  </si>
  <si>
    <t>Consolidated Afloat Networks and Enterprise Services (CANES) Intelligence variant operates at the Tactical Edge, modernizing and protecting tactical intelligence networks against increased cyber threats.</t>
  </si>
  <si>
    <t>OPN BA2 &gt; BSA 10: Other Shore Electronic Equipment &gt; LI 2925 CANES Intell</t>
  </si>
  <si>
    <t>583</t>
  </si>
  <si>
    <t>2940</t>
  </si>
  <si>
    <t>Gen Purp Elec Test Equip (GPETE)</t>
  </si>
  <si>
    <t>GPETE funding is provided to execute a detailed, multi-year sustainment and modernization plan for intermediate and organizational maintenance activities. GPETE is employed to ensure the accuracy of installation, alignment, and maintenance of all Navy weapons systems ashore and afloat.</t>
  </si>
  <si>
    <t>OPN BA2 &gt; BSA 10: Other Shore Electronic Equipment &gt; LI 2940 Gen Purp Elec Test Equip (GPETE)</t>
  </si>
  <si>
    <t>593</t>
  </si>
  <si>
    <t>2950</t>
  </si>
  <si>
    <t>Network Tactical Common Data Link (NTCDL) / MASF</t>
  </si>
  <si>
    <t>NTCDL provides the ability to transmit/receive real-time ISR data simultaneously from multiple sources and exchange command and control information across dissimilar joint, service, coalition, and civil networks.</t>
  </si>
  <si>
    <t>OPN BA2 &gt; BSA 10: Other Shore Electronic Equipment &gt; LI 2950 Network Tactical CDL (MASF)</t>
  </si>
  <si>
    <t>603</t>
  </si>
  <si>
    <t>Network Tactical Common Data Link (CDL)</t>
  </si>
  <si>
    <t>2960</t>
  </si>
  <si>
    <t>Integ Combat System Test Facility</t>
  </si>
  <si>
    <t>This program supports various Navy Land Based Test Sites (LBTS) required to support integration and interoperability testing including NSWC Dahlgren and other test sites.</t>
  </si>
  <si>
    <t>OPN BA2 &gt; BSA 10: Other Shore Electronic Equipment &gt; LI 2960 Integ Combat System Test Facility</t>
  </si>
  <si>
    <t>2970</t>
  </si>
  <si>
    <t>EMI Control Instrumentation</t>
  </si>
  <si>
    <t>The EMI Control Instrumentation Program provides Cradle to Grave Systems Engineering for Mission Assurance by implementing EMC hardware solutions, Spectrum Management software solutions, and procuring specialized test equipment for EMI problems aboard US Navy platforms.</t>
  </si>
  <si>
    <t>OPN BA2 &gt; BSA 10: Other Shore Electronic Equipment &gt; LI 2970 EMI Control Instrumentation</t>
  </si>
  <si>
    <t>615</t>
  </si>
  <si>
    <t>MA204 EMI CONTROL INSTRUMENTATION</t>
  </si>
  <si>
    <t>2981</t>
  </si>
  <si>
    <t>In-Service Radars and Sensors</t>
  </si>
  <si>
    <t>Beginning in FY26, all funding under LI 2026 SPQ-9B Radar has been realigned to LI 2981 In-Service Radars and Sensors. Includes AN/SPS-73 Navigation Radar, AN/SPS-48G Air Surveillance Radar, AN/SPY-1 RM&amp;A Improvements, SPY-6 Family of Radars O&amp;S, and SPEIR Block I.</t>
  </si>
  <si>
    <t>OPN BA2 &gt; BSA 10: Other Shore Electronic Equipment &gt; LI 2981 In-Service Radars and Sensors</t>
  </si>
  <si>
    <t>619</t>
  </si>
  <si>
    <t>AN/SPS-73(V) Navigation Radar / NGSSR Upgrade</t>
  </si>
  <si>
    <t>The AN/SPS-73(V) Radar provides navigation and general surface search radar functionality on all U.S. Navy ships. NGSSR upgrade will improve surface combatant's ability to engage FAC/FIAC tracking and periscope detection.</t>
  </si>
  <si>
    <t>LI 2981 In-Service Radars and Sensors</t>
  </si>
  <si>
    <t>OPN BA2 &gt; BSA 10 &gt; LI 2981 &gt; AN/SPS-73</t>
  </si>
  <si>
    <t>626</t>
  </si>
  <si>
    <t>AN/SPS-48G 3-D Air Surveillance Radar</t>
  </si>
  <si>
    <t>OPN BA2 &gt; BSA 10 &gt; LI 2981 &gt; AN/SPS-48G</t>
  </si>
  <si>
    <t>630</t>
  </si>
  <si>
    <t>AN/SPY-1 RM&amp;A Improvements</t>
  </si>
  <si>
    <t>OPN BA2 &gt; BSA 10 &gt; LI 2981 &gt; AN/SPY-1 RM&amp;A</t>
  </si>
  <si>
    <t>633</t>
  </si>
  <si>
    <t>SPY-6 Family of Radars (FoR) O&amp;S</t>
  </si>
  <si>
    <t>OPN BA2 &gt; BSA 10 &gt; LI 2981 &gt; SPY-6 FoR</t>
  </si>
  <si>
    <t>637</t>
  </si>
  <si>
    <t>DC024 - SPY-6 Family of Radars (FoR)</t>
  </si>
  <si>
    <t>Shipboard Passive Electro-Optical/Infrared (SPEIR) Block I</t>
  </si>
  <si>
    <t>OPN BA2 &gt; BSA 10 &gt; LI 2981 &gt; SPEIR Block I</t>
  </si>
  <si>
    <t>640</t>
  </si>
  <si>
    <t>2437</t>
  </si>
  <si>
    <t>Battle Force Tactical Network</t>
  </si>
  <si>
    <t>The details of this Budget Line Item are classified SECRET//NOFORN and are submitted to Congress in the classified budget justification books.</t>
  </si>
  <si>
    <t>OPN BA2 &gt; BSA 11: Shipboard Communications &gt; LI 2437 Battle Force Tactical Network</t>
  </si>
  <si>
    <t>647</t>
  </si>
  <si>
    <t>BATTLE FORCE TACTICAL NETWORK</t>
  </si>
  <si>
    <t>Shipboard Tactical Comms</t>
  </si>
  <si>
    <t>Funding provides for the procurement and installation of Integrated Waveform (IW) and Mobile User Objective System (MUOS) Digital Modular Radio (DMR) systems and IW and MUOS upgrade kits.</t>
  </si>
  <si>
    <t>OPN BA2 &gt; BSA 11: Shipboard Communications &gt; LI 3010 Shipboard Tactical Comms</t>
  </si>
  <si>
    <t>651</t>
  </si>
  <si>
    <t>Ship Communications Automation</t>
  </si>
  <si>
    <t>Ship Communications Automation supports Automated Digital Network System (ADNS), Legacy Network Operation Rolling Tide (ORT), Tactical Messaging, Shore Tactical Assured Command and Control (STACC), and Piers / Enterprise Pier Connectivity Architecture (EPCA).</t>
  </si>
  <si>
    <t>OPN BA2 &gt; BSA 11: Shipboard Communications &gt; LI 3050 Ship Communications Automation</t>
  </si>
  <si>
    <t>661</t>
  </si>
  <si>
    <t>Automated Digital Network System (ADNS)</t>
  </si>
  <si>
    <t>LI 3050 Ship Communications Automation</t>
  </si>
  <si>
    <t>OPN BA2 &gt; BSA 11 &gt; LI 3050 &gt; ADNS</t>
  </si>
  <si>
    <t>670</t>
  </si>
  <si>
    <t>Shore Tactical Assured Command and Control (STACC)</t>
  </si>
  <si>
    <t>STACC supports Fleet Commanders and Shore C2 users by globally connecting and consolidating common services, enabling resiliency, deploying resilient C2, and proactive network defense.</t>
  </si>
  <si>
    <t>OPN BA2 &gt; BSA 11 &gt; LI 3050 &gt; STACC</t>
  </si>
  <si>
    <t>676</t>
  </si>
  <si>
    <t>PQ070 Shore Tactical Assured Command and Control (STACC)</t>
  </si>
  <si>
    <t>Piers / Enterprise Pier Connectivity Architecture (EPCA)</t>
  </si>
  <si>
    <t>OPN BA2 &gt; BSA 11 &gt; LI 3050 &gt; EPCA</t>
  </si>
  <si>
    <t>684</t>
  </si>
  <si>
    <t>PQ020 Piers / Enterprise Pier Connectivity Architecture (EPCA)</t>
  </si>
  <si>
    <t>Amphibious Communications (Amphib Comms)</t>
  </si>
  <si>
    <t>Amphib Comms: Enhanced Position Location Reporting System - Data Radio (EPLRS-DR)/EMUT provides secure Anti-Jam UHF communications. Beginning in FY25, Blue in Support of Green (BISOG) Tactical Communications has been changed to Amphibious Communications.</t>
  </si>
  <si>
    <t>OPN BA2 &gt; BSA 11 &gt; LI 3050 &gt; Amphib Comms</t>
  </si>
  <si>
    <t>687</t>
  </si>
  <si>
    <t>3057</t>
  </si>
  <si>
    <t>Communications Items under $5M</t>
  </si>
  <si>
    <t>OPN BA2 &gt; BSA 11: Shipboard Communications &gt; LI 3057 Communications Items under $5M</t>
  </si>
  <si>
    <t>3107</t>
  </si>
  <si>
    <t>Submarine Broadcast Support</t>
  </si>
  <si>
    <t>OPN BA2 &gt; BSA 12: Submarine Communications &gt; LI 3107 Submarine Broadcast Support</t>
  </si>
  <si>
    <t>693</t>
  </si>
  <si>
    <t>3130</t>
  </si>
  <si>
    <t>Submarine Communication Equipment</t>
  </si>
  <si>
    <t>OPN BA2 &gt; BSA 12: Submarine Communications &gt; LI 3130 Submarine Communication Equipment</t>
  </si>
  <si>
    <t>697</t>
  </si>
  <si>
    <t>3215</t>
  </si>
  <si>
    <t>Satellite Communications Systems</t>
  </si>
  <si>
    <t>The SATCOM Systems line provides funding for procurement of shipboard terminal equipment for ship-to-ship, ship-to-shore, and ship-to-aircraft tactical communications via earth orbiting relay satellites.</t>
  </si>
  <si>
    <t>OPN BA2 &gt; BSA 13: Satellite Communications &gt; LI 3215 Satellite Communications Systems</t>
  </si>
  <si>
    <t>701</t>
  </si>
  <si>
    <t>Global Broadcast Service (GBS)</t>
  </si>
  <si>
    <t>LI 3215 Satellite Communications Systems</t>
  </si>
  <si>
    <t>OPN BA2 &gt; BSA 13 &gt; LI 3215 &gt; GBS</t>
  </si>
  <si>
    <t>707</t>
  </si>
  <si>
    <t>CBSP is the U.S. Navy Commercial SATCOM program providing the Navy's access to geostationary and NGSO constellations. CBSP provides the only source of wideband SATCOM to Patrol Coastal (PC) and Mine Countermeasure (MCM) Ships.</t>
  </si>
  <si>
    <t>OPN BA2 &gt; BSA 13 &gt; LI 3215 &gt; CBSP</t>
  </si>
  <si>
    <t>711</t>
  </si>
  <si>
    <t>(NR112) Commercial Broadband Satellite program (CBSP) - Afloat</t>
  </si>
  <si>
    <t>Wideband Anti-Jam Modem System (WAMS)</t>
  </si>
  <si>
    <t>OPN BA2 &gt; BSA 13 &gt; LI 3215 &gt; WAMS</t>
  </si>
  <si>
    <t>715</t>
  </si>
  <si>
    <t>CBSP Wideband Anti-Jam Modem System (WAMS)</t>
  </si>
  <si>
    <t>3216</t>
  </si>
  <si>
    <t>Navy Multiband Terminal (NMT)</t>
  </si>
  <si>
    <t>NMT SLEMOD Kits Afloat and Ashore - FY 2026 request includes funding for NMT Service Life Extension Modernization (SLEMOD) Kits procurement of 35 kits (29 Surface Afloat, 3 Sub Afloat and 3 Ashore).</t>
  </si>
  <si>
    <t>OPN BA2 &gt; BSA 13: Satellite Communications &gt; LI 3216 Navy Multiband Terminal (NMT)</t>
  </si>
  <si>
    <t>719</t>
  </si>
  <si>
    <t>NMT Service Life Extension Modernization (SLEMOD) Kits</t>
  </si>
  <si>
    <t>SLEMOD Kits provide sustainment and capability enhancements to the Fleet in order to establish system resilience while maintaining perpetual readiness. The NMT PoR has been tasked with extending the lifespan of the Terminal +20 years longer than originally planned.</t>
  </si>
  <si>
    <t>LI 3216 NMT</t>
  </si>
  <si>
    <t>OPN BA2 &gt; BSA 13 &gt; LI 3216 &gt; NMT SLEMOD</t>
  </si>
  <si>
    <t>724</t>
  </si>
  <si>
    <t>3222</t>
  </si>
  <si>
    <t>Mobile Advanced EHF Terminal (MAT)</t>
  </si>
  <si>
    <t>Beginning in FY 2026, SATCOM Terminals realigned from OPN BLI 3216 to OPN BLI 3222 Mobile Advanced EHF Terminal (MAT), which is classified SECRET/NOFORN.</t>
  </si>
  <si>
    <t>OPN BA2 &gt; BSA 13: Satellite Communications &gt; LI 3222 Mobile Advanced EHF Terminal (MAT)</t>
  </si>
  <si>
    <t>737</t>
  </si>
  <si>
    <t>3302</t>
  </si>
  <si>
    <t>Joint Communications Support Element (JCSE)</t>
  </si>
  <si>
    <t>Under JECC / USTRANSCOM, JCSE is the only DoD organization specifically formed that provides crisis and contingency communications to meet the operational support needs of the JCS, Combatant Commands, DoD agencies and non-DoD agencies.</t>
  </si>
  <si>
    <t>OPN BA2 &gt; BSA 14: Shore Communications &gt; LI 3302 Joint Communications Support Element (JCSE)</t>
  </si>
  <si>
    <t>743</t>
  </si>
  <si>
    <t>Joint Communications Support Element Modernization</t>
  </si>
  <si>
    <t>3415</t>
  </si>
  <si>
    <t>Info Systems Security Program (ISSP)</t>
  </si>
  <si>
    <t>The ISSP ensures the protection of Navy and joint cyberspace systems from exploitation and attack. Systems include wired and wireless telecommunications systems, cybersecurity systems, and the content processed, stored, or transmitted therein.</t>
  </si>
  <si>
    <t>OPN BA2 &gt; BSA 15: Cryptographic Equipment &gt; LI 3415 Info Systems Security Program (ISSP)</t>
  </si>
  <si>
    <t>747</t>
  </si>
  <si>
    <t>Computer Network Defense (CND)</t>
  </si>
  <si>
    <t>LI 3415 ISSP</t>
  </si>
  <si>
    <t>OPN BA2 &gt; BSA 15 &gt; LI 3415 &gt; CND</t>
  </si>
  <si>
    <t>755</t>
  </si>
  <si>
    <t>Navy Cryptography (Crypto) - Afloat</t>
  </si>
  <si>
    <t>OPN BA2 &gt; BSA 15 &gt; LI 3415 &gt; Crypto Afloat</t>
  </si>
  <si>
    <t>759</t>
  </si>
  <si>
    <t>Navy Cryptography (Crypto) - Afloat (DA071)</t>
  </si>
  <si>
    <t>Key Management (KM) - Afloat</t>
  </si>
  <si>
    <t>KM is a combination of Tier 1 Key Management Infrastructure (KMI), Tier 2 security equipment, and Tier 3 equipment and software for Key distribution and loading into End Cryptographic Units.</t>
  </si>
  <si>
    <t>OPN BA2 &gt; BSA 15 &gt; LI 3415 &gt; KM Afloat</t>
  </si>
  <si>
    <t>767</t>
  </si>
  <si>
    <t>Key Management (KM) - Afloat (DA005)</t>
  </si>
  <si>
    <t>SHARKCAGE</t>
  </si>
  <si>
    <t>SHARKCAGE is a global, federated Defensive Cyberspace Operations (DCO) enclave consisting of sensor nodes, DCO analysis workbenches, and analytic nodes. Utilizing passive taps, SHARKCAGE consolidates cyber event data from multiple platforms and networks.</t>
  </si>
  <si>
    <t>OPN BA2 &gt; BSA 15 &gt; LI 3415 &gt; SHARKCAGE</t>
  </si>
  <si>
    <t>775</t>
  </si>
  <si>
    <t>3417</t>
  </si>
  <si>
    <t>MIO Intel Exploitation Team</t>
  </si>
  <si>
    <t>Tactical Electronic Warfare (EW) equipment used in support of indications, warning, and force protection. Tactical EW systems provide the capability to collect data in both digital and analogue Radio Frequency (RF) environments.</t>
  </si>
  <si>
    <t>OPN BA2 &gt; BSA 15: Cryptographic Equipment &gt; LI 3417 MIO Intel Exploitation Team</t>
  </si>
  <si>
    <t>781</t>
  </si>
  <si>
    <t>343SA - Maritime Interdiction Operations Intel Exploitation Team</t>
  </si>
  <si>
    <t>3501</t>
  </si>
  <si>
    <t>Cryptologic Communications Equip</t>
  </si>
  <si>
    <t>Cryptologic Carry-On Program (CCOP) procures state-of-the-art COTS SIGINT equipment. Beginning in FY 2026, CCOP has been realigned into LI 2360 Shipboard IW Exploit.</t>
  </si>
  <si>
    <t>OPN BA2 &gt; BSA 16: Cryptologic Equipment &gt; LI 3501 Cryptologic Communications Equip</t>
  </si>
  <si>
    <t>785</t>
  </si>
  <si>
    <t>3620</t>
  </si>
  <si>
    <t>Coast Guard Equipment</t>
  </si>
  <si>
    <t>The Coast Guard Equipment line funds the sensors of the Navy-Type/Navy-Owned Coast Guard Combat System Suite for USCG cutters under the Coast Guard Surface Acquisition Program. The Combat System Suite must complement and integrate with Navy Combat Systems.</t>
  </si>
  <si>
    <t>OPN BA2 &gt; BSA 17: Other Electronic Support &gt; LI 3620 Coast Guard Equipment</t>
  </si>
  <si>
    <t>797</t>
  </si>
  <si>
    <t>CG001 - SPQ-9B RADAR</t>
  </si>
  <si>
    <t>Provides the AN/SPQ-9B radar for the Maritime Security Cutter, Large (WMSL) Class, aka the National Security Cutter (NSC), to track surface targets and low fliers in support of potential gun engagements.</t>
  </si>
  <si>
    <t>LI 3620 Coast Guard Equipment</t>
  </si>
  <si>
    <t>USCG</t>
  </si>
  <si>
    <t>Cutters</t>
  </si>
  <si>
    <t>National Security Cutters</t>
  </si>
  <si>
    <t>WMSL</t>
  </si>
  <si>
    <t>OPN BA2 &gt; BSA 17 &gt; LI 3620 &gt; CG001 SPQ-9B</t>
  </si>
  <si>
    <t>CG001</t>
  </si>
  <si>
    <t>CG002 IFF AIMS</t>
  </si>
  <si>
    <t>OPN BA2 &gt; BSA 17 &gt; LI 3620 &gt; CG002 IFF</t>
  </si>
  <si>
    <t>CG002</t>
  </si>
  <si>
    <t>CG003 DECOYS MK 53</t>
  </si>
  <si>
    <t>Provides the MK 53 Decoy Launching System (DLS) for the NSC (WMSL), PSC, and the OPC (WMSM) to provide soft-kill capability.</t>
  </si>
  <si>
    <t>OPN BA2 &gt; BSA 17 &gt; LI 3620 &gt; CG003 Decoys</t>
  </si>
  <si>
    <t>CG003</t>
  </si>
  <si>
    <t>CG004 SLQ-32</t>
  </si>
  <si>
    <t>Provides the AN/SLQ-32 Electronic Warfare System and the BEWT for the NSC (WMSL) to perform Electronic Support Measures to support soft-kill measures.</t>
  </si>
  <si>
    <t>OPN BA2 &gt; BSA 17 &gt; LI 3620 &gt; CG004 SLQ-32</t>
  </si>
  <si>
    <t>CG004</t>
  </si>
  <si>
    <t>CG007 MULTI-MODE RADAR</t>
  </si>
  <si>
    <t>MMR will provide Air Surveillance, Surface Surveillance, GWS support and IFF Antenna functions for OPC and PSC.</t>
  </si>
  <si>
    <t>OPN BA2 &gt; BSA 17 &gt; LI 3620 &gt; CG007 MMR</t>
  </si>
  <si>
    <t>798</t>
  </si>
  <si>
    <t>CG007</t>
  </si>
  <si>
    <t>CG008 ATHENA CCD</t>
  </si>
  <si>
    <t>ATHENA Control, Correlation &amp; Display (CCD) System for the OPC and PSC. Uses existing AEGIS BSL 9 Common Source Library (CSL) code to control and display MMR and IFF data.</t>
  </si>
  <si>
    <t>OPN BA2 &gt; BSA 17 &gt; LI 3620 &gt; CG008 ATHENA CCD</t>
  </si>
  <si>
    <t>CG008</t>
  </si>
  <si>
    <t>OPC C4I</t>
  </si>
  <si>
    <t>OPN BA2 &gt; BSA 17 &gt; LI 3620 &gt; OPC C4I</t>
  </si>
  <si>
    <t>CG006 COMBAT SYSTEM INTEGRATION</t>
  </si>
  <si>
    <t>Ensures successful integration and system interoperability of Navy type equipment for USCG NSCs (WMSLs), FRCs (WPCs), OPCs (WMSMs), PSCs (WMSPs) and the 270' WMEC modernization effort.</t>
  </si>
  <si>
    <t>OPN BA2 &gt; BSA 17 &gt; LI 3620 &gt; CG006 CSI</t>
  </si>
  <si>
    <t>CG006</t>
  </si>
  <si>
    <t>OPN_BA3</t>
  </si>
  <si>
    <t>Sonobuoys - All Types</t>
  </si>
  <si>
    <t>Sonobuoys are air launched expendable electro-mechanical sensors designed to relay underwater sounds associated with ships and submarines to remote processors critical to USN Air ASW mission</t>
  </si>
  <si>
    <t>P-40 / BA03 / BSA01 Sonobuoys / LI 4048</t>
  </si>
  <si>
    <t>4048</t>
  </si>
  <si>
    <t>Sonobuoys, All Types</t>
  </si>
  <si>
    <t>AN/SSQ-36 (BT) QZ001</t>
  </si>
  <si>
    <t>112 / Sonobuoys - All Types</t>
  </si>
  <si>
    <t>P-5 Cost Analysis / LI 4048 / Hardware - Sonobuoys (Common)</t>
  </si>
  <si>
    <t>QZ001</t>
  </si>
  <si>
    <t>AN/SSQ-53 (DIFAR) QZ002</t>
  </si>
  <si>
    <t>QZ002</t>
  </si>
  <si>
    <t>AN/SSQ-62 (DICASS) QZ004</t>
  </si>
  <si>
    <t>QZ004</t>
  </si>
  <si>
    <t>AN/SSQ-101 (Multi-static Coherent Receiver) QZ006</t>
  </si>
  <si>
    <t>P-5 Cost Analysis / LI 4048 / Hardware - Sonobuoys (Multistatic)</t>
  </si>
  <si>
    <t>QZ006</t>
  </si>
  <si>
    <t>AN/SSQ-125/125A (Multi-static Coherent Source) QZ010</t>
  </si>
  <si>
    <t>QZ010</t>
  </si>
  <si>
    <t>AN/SSQ-125B (Multi-static Coherent Source)</t>
  </si>
  <si>
    <t>SUS MK84 QZ012</t>
  </si>
  <si>
    <t>P-5 Cost Analysis / LI 4048 / Hardware - Sonobuoys (Other)</t>
  </si>
  <si>
    <t>QZ012</t>
  </si>
  <si>
    <t>Common Acceptance Testing QZ860</t>
  </si>
  <si>
    <t>P-5 Cost Analysis / LI 4048 / Hardware - Acceptance Testing</t>
  </si>
  <si>
    <t>QZ860</t>
  </si>
  <si>
    <t>Multi-static Acceptance Testing QZ860</t>
  </si>
  <si>
    <t>Other Acceptance Testing QZ860</t>
  </si>
  <si>
    <t>Common Production Engineering QZ830</t>
  </si>
  <si>
    <t>P-5 Cost Analysis / LI 4048 / Support - Production Engineering</t>
  </si>
  <si>
    <t>QZ830</t>
  </si>
  <si>
    <t>Multi-static Production Engineering QZ830</t>
  </si>
  <si>
    <t>Minotaur</t>
  </si>
  <si>
    <t>Minotaur Family of Services provides interoperable systems including Minotaur Core and Minotaur Data Link Processor for information exchange</t>
  </si>
  <si>
    <t>P-40 / BA03 / BSA03 Aircraft Support Equipment / LI 3640</t>
  </si>
  <si>
    <t>3640</t>
  </si>
  <si>
    <t>Ship-Based Hardware</t>
  </si>
  <si>
    <t>113 / Minotaur</t>
  </si>
  <si>
    <t>P-5 Cost Analysis / LI 3640 / Hardware (Recurring)</t>
  </si>
  <si>
    <t>Shore-Based Hardware</t>
  </si>
  <si>
    <t>Data</t>
  </si>
  <si>
    <t>P-5 Cost Analysis / LI 3640 / Support</t>
  </si>
  <si>
    <t>Training Equipment</t>
  </si>
  <si>
    <t>Support Equipment</t>
  </si>
  <si>
    <t>ILS</t>
  </si>
  <si>
    <t>Other Support</t>
  </si>
  <si>
    <t>114</t>
  </si>
  <si>
    <t>Weapons Range Support Equipment</t>
  </si>
  <si>
    <t>Weapons Range Support Equipment provides systems for tactical training ranges including ocean systems TCTS electronic warfare and live-virtual-constructive capabilities</t>
  </si>
  <si>
    <t>P-40 / BA03 / BSA03 Aircraft Support Equipment / LI 4204</t>
  </si>
  <si>
    <t>4204</t>
  </si>
  <si>
    <t>SC004 SRAM - Systems Replacement and Modernization</t>
  </si>
  <si>
    <t>114 / Weapons Range Support Equipment</t>
  </si>
  <si>
    <t>P-5 Cost Analysis / LI 4204 / Hardware - Systems Replacement</t>
  </si>
  <si>
    <t>SC004</t>
  </si>
  <si>
    <t>SC012 OS - Ocean Systems</t>
  </si>
  <si>
    <t>P-5 Cost Analysis / LI 4204 / Hardware - Ocean Systems</t>
  </si>
  <si>
    <t>SC012</t>
  </si>
  <si>
    <t>SC161 OS - East Coast USWTR</t>
  </si>
  <si>
    <t>SC161</t>
  </si>
  <si>
    <t>SC034 LATR Shipboard Rotary Technology Upgrade</t>
  </si>
  <si>
    <t>P-5 Cost Analysis / LI 4204 / Hardware - Large Area Tracking Range</t>
  </si>
  <si>
    <t>SC034</t>
  </si>
  <si>
    <t>SC132 LATR Navigation Technology Refresh</t>
  </si>
  <si>
    <t>SC132</t>
  </si>
  <si>
    <t>SC158 TCTS Common Ground Subsystem</t>
  </si>
  <si>
    <t>P-5 Cost Analysis / LI 4204 / Hardware - TCTS</t>
  </si>
  <si>
    <t>SC158</t>
  </si>
  <si>
    <t>SC140 TCTS Remote Range Unit</t>
  </si>
  <si>
    <t>SC140</t>
  </si>
  <si>
    <t>TCTS Internal Mount</t>
  </si>
  <si>
    <t>TCTS Engineering Change Proposal</t>
  </si>
  <si>
    <t>SC040 TCTS Shipboard Ground Subsystem</t>
  </si>
  <si>
    <t>SC040</t>
  </si>
  <si>
    <t>SC105 EW - Threat Presentation</t>
  </si>
  <si>
    <t>P-5 Cost Analysis / LI 4204 / Hardware - EW Training</t>
  </si>
  <si>
    <t>SC105</t>
  </si>
  <si>
    <t>SC151 MLT Hardware</t>
  </si>
  <si>
    <t>P-5 Cost Analysis / LI 4204 / Hardware - Aerial Targets</t>
  </si>
  <si>
    <t>SC151</t>
  </si>
  <si>
    <t>SC152 MLT Engineering Change Proposals</t>
  </si>
  <si>
    <t>SC152</t>
  </si>
  <si>
    <t>SC106 TTSP</t>
  </si>
  <si>
    <t>SC106</t>
  </si>
  <si>
    <t>SC711 LVC Range Integration</t>
  </si>
  <si>
    <t>P-5 Cost Analysis / LI 4204 / Hardware - LVC</t>
  </si>
  <si>
    <t>SC711</t>
  </si>
  <si>
    <t>SC820 SRAM Production Support</t>
  </si>
  <si>
    <t>P-5 Cost Analysis / LI 4204 / Support - Production Support</t>
  </si>
  <si>
    <t>SC820</t>
  </si>
  <si>
    <t>SC820 Ocean Systems Production Support</t>
  </si>
  <si>
    <t>SC820 TCTS Production Support</t>
  </si>
  <si>
    <t>SC820 EW Production Support</t>
  </si>
  <si>
    <t>SC820 LVC Range Integration Prod Support</t>
  </si>
  <si>
    <t>SC831 SRAM Production Engineering</t>
  </si>
  <si>
    <t>P-5 Cost Analysis / LI 4204 / Support - Production Engineering</t>
  </si>
  <si>
    <t>SC831</t>
  </si>
  <si>
    <t>SC831 Ocean Systems Production Engineering</t>
  </si>
  <si>
    <t>SC831 TCTS Production Engineering</t>
  </si>
  <si>
    <t>SC831 EW Production Engineering</t>
  </si>
  <si>
    <t>SC832 MLT Production Engineering</t>
  </si>
  <si>
    <t>SC832</t>
  </si>
  <si>
    <t>SC831 LVC Range Integration Prod Engineering</t>
  </si>
  <si>
    <t>Aircraft Support Equipment</t>
  </si>
  <si>
    <t>Aviation support equipment: expeditionary airfields aircraft rearming equipment air launch and recovery equipment ship modifications for LAMPS/CMV-22 and ALIS ship installations</t>
  </si>
  <si>
    <t>P-40 / BA03 / BSA03 Aircraft Support Equipment / LI 4213</t>
  </si>
  <si>
    <t>4213</t>
  </si>
  <si>
    <t>Expeditionary Airfields (Item 1 of LI 4213)</t>
  </si>
  <si>
    <t>EAF surfacing lighting and arresting gear for expeditionary airfield operations</t>
  </si>
  <si>
    <t>115 / Aircraft Support Equipment</t>
  </si>
  <si>
    <t>P-5 Cost Analysis / LI 4213 / Item 1 - Expeditionary Airfields</t>
  </si>
  <si>
    <t>Expeditionary Airfields</t>
  </si>
  <si>
    <t>Acft Rearming Equip (Item 2 of LI 4213)</t>
  </si>
  <si>
    <t>Aircraft rearming equipment including ordnance assembly transport and loading systems</t>
  </si>
  <si>
    <t>P-5 Cost Analysis / LI 4213 / Item 2 - Acft Rearming Equip</t>
  </si>
  <si>
    <t>Acft Rearming Equip</t>
  </si>
  <si>
    <t>Air Launch &amp; Recovery Equip (Item 3 of LI 4213)</t>
  </si>
  <si>
    <t>Aircraft launch recovery visual landing aids and related information systems for CVN DDG ACS LHD and shore stations</t>
  </si>
  <si>
    <t>P-5 Cost Analysis / LI 4213 / Item 3 - Air Launch &amp; Recovery</t>
  </si>
  <si>
    <t>Air Launch &amp; Recovery Equip</t>
  </si>
  <si>
    <t>Visual Landing Aids (Service Change Kits)</t>
  </si>
  <si>
    <t>115-I3 / Air Launch &amp; Recovery Equip</t>
  </si>
  <si>
    <t>P-5 / LI 4213 / Item 3 - Air Launch &amp; Recovery</t>
  </si>
  <si>
    <t>VLA - MA</t>
  </si>
  <si>
    <t>Launcher (JBD for CVN-78)</t>
  </si>
  <si>
    <t>Recovery</t>
  </si>
  <si>
    <t>ADMACS</t>
  </si>
  <si>
    <t>Visual Landing Aids N95 (LHA/LHD Spot 9 Lighting)</t>
  </si>
  <si>
    <t>VLA Non-Recurring Engineering</t>
  </si>
  <si>
    <t>VLA - MA NRE</t>
  </si>
  <si>
    <t>Launcher NRE</t>
  </si>
  <si>
    <t>Recovery NRE</t>
  </si>
  <si>
    <t>MADMS - MA NRE</t>
  </si>
  <si>
    <t>ADMACS Software</t>
  </si>
  <si>
    <t>VLA Installation - FMP (CVN DDG ACS AAS)</t>
  </si>
  <si>
    <t>Information Systems - MA Install (LPD LCC)</t>
  </si>
  <si>
    <t>Launcher Install - FMP (CVN JBD)</t>
  </si>
  <si>
    <t>ADMACS Install - FMP (CVN)</t>
  </si>
  <si>
    <t>VLA N95 Install (LHA/LHD Spot 9)</t>
  </si>
  <si>
    <t>Natural Disaster Recovery (Item 4 of LI 4213)</t>
  </si>
  <si>
    <t>Natural disaster recovery support equipment</t>
  </si>
  <si>
    <t>P-5 Cost Analysis / LI 4213 / Item 4 - Natural Disaster Recovery</t>
  </si>
  <si>
    <t>Natural Disaster Recovery</t>
  </si>
  <si>
    <t>LAMPS MK III - SRQ(KU)-4 (S1010)</t>
  </si>
  <si>
    <t>AN/SRQ-4(Ku) data link MH-60 to surface ships. Installs on 68 DDG and 22 CG plus 10 shore sites</t>
  </si>
  <si>
    <t>P-3a / LI 4213 / Mod 1 - LAMPS MK III SRQ(KU)-4</t>
  </si>
  <si>
    <t>/ LI 4213 / Mod 1 - LAMPS MK III SRQ(KU)-4</t>
  </si>
  <si>
    <t>115-P3a-1 / LAMPS MK III - SRQ(KU)-4 (S1010)</t>
  </si>
  <si>
    <t>P-3a / LI 4213 / Mod 1 - LAMPS</t>
  </si>
  <si>
    <t>/ LI 4213 / Mod 1 - LAMPS</t>
  </si>
  <si>
    <t>Government Engineering</t>
  </si>
  <si>
    <t>Acceptance Test &amp; Evaluation</t>
  </si>
  <si>
    <t>GFE</t>
  </si>
  <si>
    <t>Installation (SRQ(KU)-4 on DDG/CG)</t>
  </si>
  <si>
    <t>CMV22 Ship Mods</t>
  </si>
  <si>
    <t>CMV-22 SCD Turn-Key Mod modifying CVN ships for CMV-22 aircraft replacing C-2 COD. CVN-68 CVN-76 CVN-69</t>
  </si>
  <si>
    <t>P-3a / LI 4213 / Mod 2 - CMV22</t>
  </si>
  <si>
    <t>/ LI 4213 / Mod 2 - CMV22</t>
  </si>
  <si>
    <t>CMV-22 SCD B Kits (Organic)</t>
  </si>
  <si>
    <t>115-P3a-2 / CMV22 Ship Mods</t>
  </si>
  <si>
    <t>Advanced Arresting Gear (AAG)</t>
  </si>
  <si>
    <t>Advanced Arresting Gear life cycle support modifications and upgrades for Ford Class Carriers JCTS and RALS systems</t>
  </si>
  <si>
    <t>P-40 / BA03 / BSA03 Aircraft Support Equipment / LI 4217</t>
  </si>
  <si>
    <t>4217</t>
  </si>
  <si>
    <t>Water Twister Mod II - ECP 0014</t>
  </si>
  <si>
    <t>116 / Advanced Arresting Gear (AAG)</t>
  </si>
  <si>
    <t>P-3a / LI 4217 / Procurement</t>
  </si>
  <si>
    <t>/ LI 4217 / Procurement</t>
  </si>
  <si>
    <t>CSA Vent Valve - preECP 0027</t>
  </si>
  <si>
    <t>AAG Maintenance Laptop - ECP 0053</t>
  </si>
  <si>
    <t>Production Engineering Support</t>
  </si>
  <si>
    <t>P-3a / LI 4217 / Support</t>
  </si>
  <si>
    <t>/ LI 4217 / Support</t>
  </si>
  <si>
    <t>Integrated Logistics Support</t>
  </si>
  <si>
    <t>Installation: Water Twister Mod II - ECP 0014</t>
  </si>
  <si>
    <t>P-3a / LI 4217 / Installation</t>
  </si>
  <si>
    <t>/ LI 4217 / Installation</t>
  </si>
  <si>
    <t>Installation: CSA Vent Valve - preECP 0027</t>
  </si>
  <si>
    <t>Installation: AAG Maintenance Laptop - ECP 0053</t>
  </si>
  <si>
    <t>Electromagnetic Aircraft Launch System (EMALS)</t>
  </si>
  <si>
    <t>EMALS replacing C13 Steam Catapult aboard Ford Class carriers providing improved reliability maintainability reduced manning and increased operational availability</t>
  </si>
  <si>
    <t>P-40 / BA03 / BSA03 Aircraft Support Equipment / LI 4219</t>
  </si>
  <si>
    <t>4219</t>
  </si>
  <si>
    <t>T/R Fuse Detection - ECP 0025</t>
  </si>
  <si>
    <t>117 / Electromagnetic Aircraft Launch System (EMALS)</t>
  </si>
  <si>
    <t>P-3a / LI 4219 / Procurement</t>
  </si>
  <si>
    <t>/ LI 4219 / Procurement</t>
  </si>
  <si>
    <t>Motor Controller - ECP 0015</t>
  </si>
  <si>
    <t>Non-Recurring Engineering - E22 Builds (NonOrganic)</t>
  </si>
  <si>
    <t>P-3a / LI 4219 / Procurement NRE</t>
  </si>
  <si>
    <t>/ LI 4219 / Procurement NRE</t>
  </si>
  <si>
    <t>Non-Recurring Engineering - E22 Build (Organic)</t>
  </si>
  <si>
    <t>Other EMALS Obsolescence Modifications</t>
  </si>
  <si>
    <t>P-3a / LI 4219 / Procurement Obsolescence</t>
  </si>
  <si>
    <t>/ LI 4219 / Procurement Obsolescence</t>
  </si>
  <si>
    <t>P-3a / LI 4219 / Support</t>
  </si>
  <si>
    <t>/ LI 4219 / Support</t>
  </si>
  <si>
    <t>Installation: T/R Fuse Detection - ECP 0025</t>
  </si>
  <si>
    <t>P-3a / LI 4219 / Installation</t>
  </si>
  <si>
    <t>/ LI 4219 / Installation</t>
  </si>
  <si>
    <t>Installation: Motor Controller - ECP 0015</t>
  </si>
  <si>
    <t>Meteorological Equipment</t>
  </si>
  <si>
    <t>4/6</t>
  </si>
  <si>
    <t>Meteorological equipment including satellite receiver upgrades METOC SASC upgrades LBS-UUV gliders tactical METOC apps and HWDDC for force-level ships</t>
  </si>
  <si>
    <t>P-40a / BA03 / BSA03 Aircraft Support Equipment / LI 4226</t>
  </si>
  <si>
    <t>4226</t>
  </si>
  <si>
    <t>SP051 ESRP AFLOAT Modernized System (Satellite Receiver)</t>
  </si>
  <si>
    <t>118 / Meteorological Equipment</t>
  </si>
  <si>
    <t>P-40a / LI 4226 / SP051</t>
  </si>
  <si>
    <t>SP051 Satellite Receiver Upgrades (Space)</t>
  </si>
  <si>
    <t>SP051</t>
  </si>
  <si>
    <t>SP550 ASOS Upgrades</t>
  </si>
  <si>
    <t>P-40a / LI 4226 / SP550</t>
  </si>
  <si>
    <t>SP550 METOC SASC Upgrades</t>
  </si>
  <si>
    <t>SP550</t>
  </si>
  <si>
    <t>SP550 Supplemental Weather Radar (SWR) Upgrades</t>
  </si>
  <si>
    <t>SP600 LBS-Gliders (LBS-G)</t>
  </si>
  <si>
    <t>P-40a / LI 4226 / SP600</t>
  </si>
  <si>
    <t>SP600 Littoral Battlespace Sensing - Unmanned Undersea Vehicles (LBS-UUV)</t>
  </si>
  <si>
    <t>SP600</t>
  </si>
  <si>
    <t>SP600 LBS-UUV Upgrades/Backfits</t>
  </si>
  <si>
    <t>SP660 NIMS Sensors</t>
  </si>
  <si>
    <t>P-40a / LI 4226 / SP660</t>
  </si>
  <si>
    <t>SP660 Tactical METOC Applications</t>
  </si>
  <si>
    <t>SP660</t>
  </si>
  <si>
    <t>SP220 HWDDC EASR (SW v4.0)</t>
  </si>
  <si>
    <t>P-40a / LI 4226 / SP220</t>
  </si>
  <si>
    <t>SP220 Hazardous Weather Detection and Display Capability (HWDDC)</t>
  </si>
  <si>
    <t>SP220</t>
  </si>
  <si>
    <t>SP555 Satellite Receiver Upgrades (Prod Support)</t>
  </si>
  <si>
    <t>P-40a / LI 4226 / SP555</t>
  </si>
  <si>
    <t>SP555 Production Support</t>
  </si>
  <si>
    <t>SP555</t>
  </si>
  <si>
    <t>SP555 LBS-UUV (Prod Support)</t>
  </si>
  <si>
    <t>SP777 Satellite Receiver Upgrades (Installation)</t>
  </si>
  <si>
    <t>P-40a / LI 4226 / SP777</t>
  </si>
  <si>
    <t>SP777 FMP</t>
  </si>
  <si>
    <t>SP777</t>
  </si>
  <si>
    <t>SP777 HWDDC (Installation)</t>
  </si>
  <si>
    <t>DSA HWDDC</t>
  </si>
  <si>
    <t>P-40a / LI 4226 / DSA</t>
  </si>
  <si>
    <t>Airborne MCM</t>
  </si>
  <si>
    <t>Airborne Mine Countermeasures Equipment deployed on MH-60S and MH-53E helicopters. MCM Mission Package fielded on LCS in FY2025</t>
  </si>
  <si>
    <t>P-40 / BA03 / BSA03 Aircraft Support Equipment / LI 4248</t>
  </si>
  <si>
    <t>4248</t>
  </si>
  <si>
    <t>S0020 - MODIFICATION</t>
  </si>
  <si>
    <t>119 / Airborne MCM</t>
  </si>
  <si>
    <t>P-5 / LI 4248 / Hardware</t>
  </si>
  <si>
    <t>MODIFICATIONS</t>
  </si>
  <si>
    <t>NSAM</t>
  </si>
  <si>
    <t>MINEnet Tactical (MNT)</t>
  </si>
  <si>
    <t>Minefield Planning (MFP)</t>
  </si>
  <si>
    <t>Aviation Support Equipment</t>
  </si>
  <si>
    <t>Aviation support equipment including aviation life support helmets/hearing protection physiological monitoring AMAS logistics and ALIS ship installation</t>
  </si>
  <si>
    <t>P-40 / BA03 / BSA03 Aircraft Support Equipment / LI 4268</t>
  </si>
  <si>
    <t>4268</t>
  </si>
  <si>
    <t>Aviation Life Support</t>
  </si>
  <si>
    <t>Aviation Life Support (Item 1 of LI 4268)</t>
  </si>
  <si>
    <t>Survival electronics helmets hearing protection displays life support systems physiological monitoring</t>
  </si>
  <si>
    <t>121 / Aviation Support Equipment</t>
  </si>
  <si>
    <t>P-5 / LI 4268 / Item 1 - Aviation Life Support</t>
  </si>
  <si>
    <t>IJHMCS - SY215 (Integrated Joint Helmet Mounted Cueing System)</t>
  </si>
  <si>
    <t>121-I1 / Aviation Life Support</t>
  </si>
  <si>
    <t>SY215</t>
  </si>
  <si>
    <t>HPH - SY505 (Helo Pilot Helmet)</t>
  </si>
  <si>
    <t>SY505</t>
  </si>
  <si>
    <t>HMR - SY141 (Helmet Mounted Recorder)</t>
  </si>
  <si>
    <t>SY141</t>
  </si>
  <si>
    <t>HNIM - SY139</t>
  </si>
  <si>
    <t>SY139</t>
  </si>
  <si>
    <t>ISEA - SY143</t>
  </si>
  <si>
    <t>SY143</t>
  </si>
  <si>
    <t>Phys Mon - SY127 (Physiological Monitor)</t>
  </si>
  <si>
    <t>SY127</t>
  </si>
  <si>
    <t>ASIP - SY126</t>
  </si>
  <si>
    <t>SY126</t>
  </si>
  <si>
    <t>Aviation Maintenance Advancement Solutions (AMAS) (Item 2 of LI 4268)</t>
  </si>
  <si>
    <t>AMAS creates integrated cost-efficient maintenance and logistics support system for the warfighter</t>
  </si>
  <si>
    <t>P-5 / LI 4268 / Item 2 - AMAS</t>
  </si>
  <si>
    <t>Aviation Maintenance Advancement Solutions (AMAS)</t>
  </si>
  <si>
    <t>S6003 Aviation Maintenance Advancement Solution Hardware</t>
  </si>
  <si>
    <t>121-I2 / AMAS</t>
  </si>
  <si>
    <t>S6840 AMAS Production Support</t>
  </si>
  <si>
    <t>ALIS SHIP INSTALLATION (P-3a of LI 4268)</t>
  </si>
  <si>
    <t>Autonomic Logistics Information System ship installation aboard CVN LHD LHA for F-35 operations. 2 ships in FY26</t>
  </si>
  <si>
    <t>P-3a / LI 4268 / Mod 1 - ALIS SHIP INSTALLATION</t>
  </si>
  <si>
    <t>/ LI 4268 / Mod 1 - ALIS SHIP INSTALLATION</t>
  </si>
  <si>
    <t>Installation Material - B Kits</t>
  </si>
  <si>
    <t>121-P3a-1 / ALIS SHIP INSTALLATION</t>
  </si>
  <si>
    <t>P-3a / LI 4268 / ALIS Ship Installation</t>
  </si>
  <si>
    <t>/ LI 4268 / ALIS Ship Installation</t>
  </si>
  <si>
    <t>ALIS - Program Support</t>
  </si>
  <si>
    <t>ALIS - Production Engineering Support</t>
  </si>
  <si>
    <t>ALIS Ship Installation (labor)</t>
  </si>
  <si>
    <t>UMCS-Unman Carrier Aviation(UCA)Mission Cntrl Stn</t>
  </si>
  <si>
    <t>UMCS builds integrates installs and sustains systems to operate MQ-25 CCA and future unmanned systems afloat and ashore. Modifies approx 12-15 spaces on CVN</t>
  </si>
  <si>
    <t>P-40 / BA03 / BSA03 Aircraft Support Equipment / LI 4269</t>
  </si>
  <si>
    <t>4269</t>
  </si>
  <si>
    <t>MD-5C CVN Based GCS</t>
  </si>
  <si>
    <t>122 / UMCS-Unman Carrier Aviation(UCA)Mission Cntrl Stn</t>
  </si>
  <si>
    <t>P-5 / LI 4269 / Hardware Recurring</t>
  </si>
  <si>
    <t>MD-5D Shore Based GCS</t>
  </si>
  <si>
    <t>Video Management System (VidMS)</t>
  </si>
  <si>
    <t>ARC-210 Radio Communication System (RCS) Ship</t>
  </si>
  <si>
    <t>MUOS DMR Communication System Ship</t>
  </si>
  <si>
    <t>Shore Common Data Link (CDL)</t>
  </si>
  <si>
    <t>Ashore Routing Communication System (ARCS)</t>
  </si>
  <si>
    <t>Tech Refresh</t>
  </si>
  <si>
    <t>ARC-210 RCS Shore</t>
  </si>
  <si>
    <t>MUOS DMR Communication System Shore</t>
  </si>
  <si>
    <t>UCA Transport System (UTS)</t>
  </si>
  <si>
    <t>Air Traffic Control (ATC) Picture (UYY-1)</t>
  </si>
  <si>
    <t>ARC-210 Shore Voice Communication System</t>
  </si>
  <si>
    <t>Ancillaries (Shore Only)</t>
  </si>
  <si>
    <t>CVN Installation and Shipyard Services</t>
  </si>
  <si>
    <t>P-5 / LI 4269 / Hardware Non-Recurring</t>
  </si>
  <si>
    <t>Launch and Recovery</t>
  </si>
  <si>
    <t>C4I Integration</t>
  </si>
  <si>
    <t>CVN Modification Planning and Integration</t>
  </si>
  <si>
    <t>Product Support and Assembly</t>
  </si>
  <si>
    <t>Shore Integration</t>
  </si>
  <si>
    <t>Ground Control Station (GCS)</t>
  </si>
  <si>
    <t>Software</t>
  </si>
  <si>
    <t>P-5 / LI 4269 / Software Recurring</t>
  </si>
  <si>
    <t>Production Engineering Support (PES)</t>
  </si>
  <si>
    <t>P-5 / LI 4269 / Support</t>
  </si>
  <si>
    <t>Integrated Logistics Support (ILS)</t>
  </si>
  <si>
    <t>Architect &amp; Cap for Autonomy in Nav Enter (ARCANE)</t>
  </si>
  <si>
    <t>Program terminating in FY25. Software production enterprise architecture production engineering and ILS</t>
  </si>
  <si>
    <t>P-40a / BA03 / BSA03 Aircraft Support Equipment / LI 4604</t>
  </si>
  <si>
    <t>4604</t>
  </si>
  <si>
    <t>ARCANE</t>
  </si>
  <si>
    <t>176</t>
  </si>
  <si>
    <t>P-1 Detail / BA08 / BSA01 Spares and Repair Parts</t>
  </si>
  <si>
    <t>9020</t>
  </si>
  <si>
    <t>VIRGINIA Class (VACL) Spares and Repair parts</t>
  </si>
  <si>
    <t>9021</t>
  </si>
  <si>
    <t>OPN_BA4</t>
  </si>
  <si>
    <t>5111</t>
  </si>
  <si>
    <t>Ship Gun Systems Equipment</t>
  </si>
  <si>
    <t>"Ship gun system equipment provides funds for the procurement of equipment, material and Ordnance Alterations to improve combat effectiveness and logistic supportability for gun and mission planning systems, and ancillary support equipment."</t>
  </si>
  <si>
    <t>OPN BA4 / BSA 2: Ship Gun System Equipment / Ship Gun Systems Equipment</t>
  </si>
  <si>
    <t>Naval Fires Control Sys</t>
  </si>
  <si>
    <t>5111 / Ship Gun Systems Equipment</t>
  </si>
  <si>
    <t>OPN BA4 / BSA 2 / Ship Gun Systems Equipment / Naval Fires Control Sys</t>
  </si>
  <si>
    <t>FC010</t>
  </si>
  <si>
    <t>FC010 Product Improvement/ORDALT</t>
  </si>
  <si>
    <t>OPN BA4 / BSA 2 / Ship Gun Systems Equipment / Naval Fires Control Sys / Product Improvement</t>
  </si>
  <si>
    <t>FC011</t>
  </si>
  <si>
    <t>FC011 Installation of ORDALT</t>
  </si>
  <si>
    <t>OPN BA4 / BSA 2 / Ship Gun Systems Equipment / Naval Fires Control Sys / Installation</t>
  </si>
  <si>
    <t>FC830</t>
  </si>
  <si>
    <t>FC830 Production Engineering Support (NFCS)</t>
  </si>
  <si>
    <t>OPN BA4 / BSA 2 / Ship Gun Systems Equipment / Naval Fires Control Sys / Prod Eng</t>
  </si>
  <si>
    <t>Gun Fire Control Equipment</t>
  </si>
  <si>
    <t>OPN BA4 / BSA 2 / Ship Gun Systems Equipment / Gun Fire Control Equipment</t>
  </si>
  <si>
    <t>NV051</t>
  </si>
  <si>
    <t>NV051 Optical Sight Systems Production Improvement</t>
  </si>
  <si>
    <t>"Procures various Product Improvements for MK46 OSS/MK20 Electro-Optical Sight System (EOSS) on DDG 51 and CG 47 Class ships"</t>
  </si>
  <si>
    <t>OPN BA4 / BSA 2 / Ship Gun Systems Equipment / Gun Fire Control / OSS</t>
  </si>
  <si>
    <t>Night Vision Individual (AN/PVS-31B)</t>
  </si>
  <si>
    <t>OPN BA4 / BSA 2 / Ship Gun Systems Equipment / Gun Fire Control / NVD</t>
  </si>
  <si>
    <t>NVD Helmet Mount</t>
  </si>
  <si>
    <t>OPN BA4 / BSA 2 / Ship Gun Systems Equipment / Gun Fire Control / NVD Helmet</t>
  </si>
  <si>
    <t>NVD Helmet Shroud</t>
  </si>
  <si>
    <t>OPN BA4 / BSA 2 / Ship Gun Systems Equipment / Gun Fire Control / NVD Shroud</t>
  </si>
  <si>
    <t>5227</t>
  </si>
  <si>
    <t>HARPOON Support Equipment</t>
  </si>
  <si>
    <t>"The Director of the Undersea Warfare Division (N97) has ordered the reconstitution and integration of 64 Encapsulated (ENCAP) Harpoon BLK IC missile systems for the 688 class submarine fleet in order to provide over the horizon surface strike capabilities to the fleet. The ENCAP Harpoon missiles provide Navy Los Angeles-class nuclear attack submarines (SSN) a sub-launched, all-weather, long-range Anti- Surface Warfare (ASuW) missile to attack enemy warships at stand-off ranges, to include Surface and Amphibious Action Groups. There are currently retired Encapsulated Harpoons located at the Letterkenny Army Depot that are candidates for reconstitution and delivery to the submarine fleet."</t>
  </si>
  <si>
    <t>OPN BA4 / BSA 3: Ship Missile Systems Equipment / HARPOON Support Equipment</t>
  </si>
  <si>
    <t>Harpoon Support Equipment</t>
  </si>
  <si>
    <t>ILS (Harpoon)</t>
  </si>
  <si>
    <t>"ILS: required to re-integrate ENCAPs into the submarine databases and firing systems"</t>
  </si>
  <si>
    <t>5227 / HARPOON Support Equipment</t>
  </si>
  <si>
    <t>OPN BA4 / BSA 3 / HARPOON Support Equipment / ILS</t>
  </si>
  <si>
    <t>5231</t>
  </si>
  <si>
    <t>Ship Missile Support Equipment</t>
  </si>
  <si>
    <t>"Ship Missile Support Equipment provides procurement and installation support to address fleet requirements for AEGIS Weapons System, Ships Self Defense System (SSDS), Vertical Launch Systems (VLS), NATO SEASPARROW Surface Missile System (NSSMS), Rolling Airframe Missile (RAM) Guided Missile Launching System (GMLS), Over The Horizon Weapon System (OTH WS), MK57 Vertical Launching System (VLS) Support Equipment, Integrated Combat system (ICS), and Counter Unmanned Aircraft System (C-UAS). Below are program descriptions for each of these programs along with top line funding summaries. Improved Stalker (I-Stalker) is the Independent Mount (IM) Improvement to the Stalker Long Range Electro-Optic Sensor System (SLREOSS) system in response to a 2016 United States Fleet Forces Command (USFFC) Operational Needs Statement (ONS)."</t>
  </si>
  <si>
    <t>OPN BA4 / BSA 3: Ship Missile Systems Equipment / Ship Missile Support Equipment</t>
  </si>
  <si>
    <t>NATO SEASPARROW</t>
  </si>
  <si>
    <t>"additional engineering required to provide ESSM Block 2 capability in Functional Compatibility to CVN/LHA/LHD ships"</t>
  </si>
  <si>
    <t>5231 / Ship Missile Support Equipment</t>
  </si>
  <si>
    <t>OPN BA4 / BSA 3 / Ship Missile Support / NATO SEASPARROW</t>
  </si>
  <si>
    <t>MK57 Mod 14-19 Launcher Min-Mod BLK 2 Capability Upgrade</t>
  </si>
  <si>
    <t>OPN BA4 / BSA 3 / Ship Missile Support / NATO SEASPARROW / BLK 2</t>
  </si>
  <si>
    <t>MK57 Mod 14-19 Engineering</t>
  </si>
  <si>
    <t>"Hardware/Software engineering support for the modernization/upgrade of the NSSMS MK57 systems"</t>
  </si>
  <si>
    <t>OPN BA4 / BSA 3 / Ship Missile Support / NATO SEASPARROW / Engineering</t>
  </si>
  <si>
    <t>MK57 MOD 14-19 Modernization</t>
  </si>
  <si>
    <t>MK57 Mod 14-19 Logistics</t>
  </si>
  <si>
    <t>"Logistics support including Supply Data Management Configuration Training and Quality Management during the modernization/upgrade and installation of NSSMS MK57 systems on CVN/LHA/LHDs"</t>
  </si>
  <si>
    <t>OPN BA4 / BSA 3 / Ship Missile Support / NATO SEASPARROW / Logistics</t>
  </si>
  <si>
    <t>MK57 Mod 14-19 Depot</t>
  </si>
  <si>
    <t>"Depot Workload Planning Budget Updates and Estimating Contract Upgrade/Repair Engineering OM&amp;S Inventory/Warehouse Management and Depot Logistics Support"</t>
  </si>
  <si>
    <t>OPN BA4 / BSA 3 / Ship Missile Support / NATO SEASPARROW / Depot</t>
  </si>
  <si>
    <t>MK57 Mod 14-19 Cyber</t>
  </si>
  <si>
    <t>"document and validate system compliance with NIST SP 800-53A assessment procedures obtain RMF authorization"</t>
  </si>
  <si>
    <t>OPN BA4 / BSA 3 / Ship Missile Support / NATO SEASPARROW / Cyber</t>
  </si>
  <si>
    <t>MK57 Mod 14-19 Safety</t>
  </si>
  <si>
    <t>"qualified system safety program Principal for Safety (PFS) and PFS safety engineering support for in service NSSMS MK57 system configurations"</t>
  </si>
  <si>
    <t>OPN BA4 / BSA 3 / Ship Missile Support / NATO SEASPARROW / Safety</t>
  </si>
  <si>
    <t>Afloat Counter-Unmanned Aerial Systems (Afloat C-UAS)</t>
  </si>
  <si>
    <t>"Funds provided procurement and installation of multiple candidate Afloat C-UAS in response to combat operation in the Red Sea"</t>
  </si>
  <si>
    <t>OPN BA4 / BSA 3 / Ship Missile Support / Afloat C-UAS</t>
  </si>
  <si>
    <t>RAM Launchers</t>
  </si>
  <si>
    <t>"annual requirement which supports all on-going production and installation efforts Design Agent engineering and field activity support"</t>
  </si>
  <si>
    <t>OPN BA4 / BSA 3 / Ship Missile Support / RAM Launchers</t>
  </si>
  <si>
    <t>UR006</t>
  </si>
  <si>
    <t>UR006 RAM Launchers Production Support</t>
  </si>
  <si>
    <t>"annual requirement which supports all on-going production and installation efforts"</t>
  </si>
  <si>
    <t>OPN BA4 / BSA 3 / Ship Missile Support / RAM Launchers / Prod Support</t>
  </si>
  <si>
    <t>Ship Self Defense System</t>
  </si>
  <si>
    <t>"FY26 funding provides required Production support efforts for 11 ships"</t>
  </si>
  <si>
    <t>OPN BA4 / BSA 3 / Ship Missile Support / Ship Self Defense System</t>
  </si>
  <si>
    <t>UQ002</t>
  </si>
  <si>
    <t>UQ002 - SSDS Production Support</t>
  </si>
  <si>
    <t>OPN BA4 / BSA 3 / Ship Missile Support / SSDS / Production Support</t>
  </si>
  <si>
    <t>UQ003</t>
  </si>
  <si>
    <t>UQ003 - SSDS ECP / SCD</t>
  </si>
  <si>
    <t>"FY26 funding provides required SSDS ECP / SCD efforts for 7 ships"</t>
  </si>
  <si>
    <t>OPN BA4 / BSA 3 / Ship Missile Support / SSDS / ECP</t>
  </si>
  <si>
    <t>UQ004</t>
  </si>
  <si>
    <t>UQ004 - SSDS Training</t>
  </si>
  <si>
    <t>"FY26 funding provides required SSDS Training efforts for 6 ships"</t>
  </si>
  <si>
    <t>OPN BA4 / BSA 3 / Ship Missile Support / SSDS / Training</t>
  </si>
  <si>
    <t>UQ005A</t>
  </si>
  <si>
    <t>UQ005A - SSDS COTS Eng/Obsolescence Kits</t>
  </si>
  <si>
    <t>"COTS/Obsolescence engineering support for SSDS hardware Cyber Security hardware component procurement assembly and installation"</t>
  </si>
  <si>
    <t>OPN BA4 / BSA 3 / Ship Missile Support / SSDS / COTS Obsolescence</t>
  </si>
  <si>
    <t>UQ007</t>
  </si>
  <si>
    <t>UQ007 - Combat System Ship Qualification Trial (CSSQT)</t>
  </si>
  <si>
    <t>"CSSQT in FY26 includes: $9913K for conduct of 2 CSSQT events (1 LHD and 1 LPD)"</t>
  </si>
  <si>
    <t>OPN BA4 / BSA 3 / Ship Missile Support / SSDS / CSSQT</t>
  </si>
  <si>
    <t>UQ008</t>
  </si>
  <si>
    <t>UQ008 - Combat System Documentation &amp; Support</t>
  </si>
  <si>
    <t>"CS documentation produced for all CVN and Amphibious Class Ships undergoing Combat System SSDS MK 2 upgrades"</t>
  </si>
  <si>
    <t>OPN BA4 / BSA 3 / Ship Missile Support / SSDS / Doc Support</t>
  </si>
  <si>
    <t>AEGIS Support Equipment</t>
  </si>
  <si>
    <t>OPN BA4 / BSA 3 / Ship Missile Support / AEGIS Support Equipment</t>
  </si>
  <si>
    <t>L7001</t>
  </si>
  <si>
    <t>L7001 - Depot Special Tooling/Test Equipment</t>
  </si>
  <si>
    <t>"Special test equipment (ADEPT/Radiation Probes) for AEGIS WS on CGs DDGs. MK 99 MFCS illuminator and pedestal refurbishment"</t>
  </si>
  <si>
    <t>OPN BA4 / BSA 3 / Ship Missile Support / AEGIS / Depot Tooling</t>
  </si>
  <si>
    <t>L7006</t>
  </si>
  <si>
    <t>L7006 - Surface Combat Systems Center Equipment</t>
  </si>
  <si>
    <t>OPN BA4 / BSA 3 / Ship Missile Support / AEGIS / SCSC Equipment</t>
  </si>
  <si>
    <t>L7007</t>
  </si>
  <si>
    <t>L7007 - Aegis Training and Readiness Center Upgrade</t>
  </si>
  <si>
    <t>OPN BA4 / BSA 3 / Ship Missile Support / AEGIS / ATRC</t>
  </si>
  <si>
    <t>L7008</t>
  </si>
  <si>
    <t>L7008 - Combat System Engineering Development Site (CSEDS)</t>
  </si>
  <si>
    <t>OPN BA4 / BSA 3 / Ship Missile Support / AEGIS / CSEDS</t>
  </si>
  <si>
    <t>L7011</t>
  </si>
  <si>
    <t>L7011 - Aegis Weapon System Ship Change Procurement</t>
  </si>
  <si>
    <t>"fleet hardware issues related to equipment obsolescence high failure DMS. FY26 increase due to FLT I DDG Service Life Extension"</t>
  </si>
  <si>
    <t>OPN BA4 / BSA 3 / Ship Missile Support / AEGIS / Ship Change Procurement</t>
  </si>
  <si>
    <t>L7012</t>
  </si>
  <si>
    <t>L7012 - SPY 1D/DV Radar Enhancements (ALPS)</t>
  </si>
  <si>
    <t>"AEGIS Linear Processing System (ALPS) provides AN/SPY-1D/D(V) radar with AAW improvements. FY26 Increase for planned ALPS Procurements to proliferate warfighting capability"</t>
  </si>
  <si>
    <t>OPN BA4 / BSA 3 / Ship Missile Support / AEGIS / SPY ALPS</t>
  </si>
  <si>
    <t>L7014</t>
  </si>
  <si>
    <t>L7014 - SPY Wholeness</t>
  </si>
  <si>
    <t>"Convert LNA Arrays into standard SPY-1 configurations to support Battle-Spares for DDG 51 Class"</t>
  </si>
  <si>
    <t>OPN BA4 / BSA 3 / Ship Missile Support / AEGIS / SPY Wholeness</t>
  </si>
  <si>
    <t>L7018</t>
  </si>
  <si>
    <t>L7018 - Enhanced Collection System (ECS) Proc &amp; Install Support</t>
  </si>
  <si>
    <t>"centralized modern data collection and processing capability to Aegis CGs and DDGs"</t>
  </si>
  <si>
    <t>OPN BA4 / BSA 3 / Ship Missile Support / AEGIS / ECS</t>
  </si>
  <si>
    <t>L7019</t>
  </si>
  <si>
    <t>L7019 - AEGIS Depot Maintenance Support</t>
  </si>
  <si>
    <t>OPN BA4 / BSA 3 / Ship Missile Support / AEGIS / Depot Maint</t>
  </si>
  <si>
    <t>L7600</t>
  </si>
  <si>
    <t>L7600 - Aegis Support Equipment Installation</t>
  </si>
  <si>
    <t>"ORDALT installation and other Ship Changes for AEGIS Combat System readiness. FY26 increase due to FLT I DDG Service Life Extension"</t>
  </si>
  <si>
    <t>OPN BA4 / BSA 3 / Ship Missile Support / AEGIS / Installation</t>
  </si>
  <si>
    <t>Integrated Combat System (ICS) Equipment</t>
  </si>
  <si>
    <t>"IaaS Equipment to support combat system LBTS and shipsets in support of DDG FFG and US Coast Guard WMSM installations"</t>
  </si>
  <si>
    <t>OPN BA4 / BSA 3 / Ship Missile Support / ICS Equipment</t>
  </si>
  <si>
    <t>MK57 SUPPORT EQUIPMENT</t>
  </si>
  <si>
    <t>"systems engineering testing engineering changes cyber security accreditation installation production support DDG 1000 Class"</t>
  </si>
  <si>
    <t>OPN BA4 / BSA 3 / Ship Missile Support / MK57 Support</t>
  </si>
  <si>
    <t>MK57 UCEU Production Engineering and Logistics Support</t>
  </si>
  <si>
    <t>"systems engineering testing engineering changes cyber security accreditation installation production support"</t>
  </si>
  <si>
    <t>MK57 Support Equipment</t>
  </si>
  <si>
    <t>OPN BA4 / BSA 3 / Ship Missile Support / MK57 / Prod Eng</t>
  </si>
  <si>
    <t>Vertical Launch Systems</t>
  </si>
  <si>
    <t>OPN BA4 / BSA 3 / Ship Missile Support / VLS</t>
  </si>
  <si>
    <t>VLS ORDALTS</t>
  </si>
  <si>
    <t>"ECP/ORDALT for Fleet operational availability capability safety and survivability. FY25-FY26 increase attributed to additional procurement ORDALTS Reload and Handling equipment initiatives"</t>
  </si>
  <si>
    <t>OPN BA4 / BSA 3 / Ship Missile Support / VLS / ORDALTs</t>
  </si>
  <si>
    <t>VLS Production Engineering</t>
  </si>
  <si>
    <t>"sustaining engineering support for Fleet investigations and safety issues"</t>
  </si>
  <si>
    <t>OPN BA4 / BSA 3 / Ship Missile Support / VLS / Prod Eng</t>
  </si>
  <si>
    <t>5A5IN Install Equipment N86</t>
  </si>
  <si>
    <t>OPN BA4 / BSA 3 / Ship Missile Support / VLS / Install</t>
  </si>
  <si>
    <t>OTH Weapon System</t>
  </si>
  <si>
    <t>"FY26 increase due to 4 OTH WS procurements for LCS Freedom Class 13-19 restoration"</t>
  </si>
  <si>
    <t>OPN BA4 / BSA 3 / Ship Missile Support / OTH Weapon System</t>
  </si>
  <si>
    <t>OTH Procurement</t>
  </si>
  <si>
    <t>OPN BA4 / BSA 3 / Ship Missile Support / OTH / Procurement</t>
  </si>
  <si>
    <t>OTH WS Installation</t>
  </si>
  <si>
    <t>"FY26 OTH Installation increase due to Freedom installation acceleration"</t>
  </si>
  <si>
    <t>OPN BA4 / BSA 3 / Ship Missile Support / OTH / Installation</t>
  </si>
  <si>
    <t>DRAKE</t>
  </si>
  <si>
    <t>"Procures ECPs for DRAKE 2.0 systems and Retrofit Kits to upgrade DRAKE 1.0 Systems currently fielded onboard all Submarine Classes"</t>
  </si>
  <si>
    <t>OPN BA4 / BSA 3 / Ship Missile Support / DRAKE</t>
  </si>
  <si>
    <t>NATO SEASPARROW (NSSMS Mk 57) [P-3a Mod 1]</t>
  </si>
  <si>
    <t>"Equipment procurements on the P3a 1. Objective Configuration H/W line supports the NSSMS Mk57 Mod 14 (L class ships) for installation on six LHD 1 class ships. 2."</t>
  </si>
  <si>
    <t>OPN BA4 / BSA 3 / Ship Missile Support / P-3a NATO SEASPARROW</t>
  </si>
  <si>
    <t>Objective Configuration H/W (LHA/LHD/CVN) Backfit</t>
  </si>
  <si>
    <t>NATO SEASPARROW P-3a</t>
  </si>
  <si>
    <t>OPN BA4 / BSA 3 / Ship Missile Support / P-3a NSSMS / Obj Config Backfit</t>
  </si>
  <si>
    <t>NSSMS / Obj Config Backfit</t>
  </si>
  <si>
    <t>Launcher Min-Mod Blk 2 Capability H/W</t>
  </si>
  <si>
    <t>OPN BA4 / BSA 3 / Ship Missile Support / P-3a NSSMS / BLK2 HW</t>
  </si>
  <si>
    <t>NSSMS / BLK2 HW</t>
  </si>
  <si>
    <t>MK 9 Mod 2 CWTI Enhancement H/W</t>
  </si>
  <si>
    <t>OPN BA4 / BSA 3 / Ship Missile Support / P-3a NSSMS / CWTI</t>
  </si>
  <si>
    <t>NSSMS / CWTI</t>
  </si>
  <si>
    <t>NATO SEASPARROW Installation (all mods combined)</t>
  </si>
  <si>
    <t>OPN BA4 / BSA 3 / Ship Missile Support / P-3a NSSMS / Installation</t>
  </si>
  <si>
    <t>NSSMS / Installation</t>
  </si>
  <si>
    <t>UR006 RAM LAUNCHERS (NON-FMP Install) [P-3a Mod 2]</t>
  </si>
  <si>
    <t>"Rolling Airframe Missile (RAM) is a cooperative program executed under a series of production Memorandums of Understanding between the U.S. and the Federal Republic of Germany. RAM is a high firepower missile used primarily to defeat Anti-Ship Missiles (ASMs) and other anti-air warfare threats with no dependence on ship's fire control illuminators for terminal guidance."</t>
  </si>
  <si>
    <t>OPN BA4 / BSA 3 / Ship Missile Support / P-3a RAM Launchers</t>
  </si>
  <si>
    <t>MK-49 GMLS Firepower ORDALT</t>
  </si>
  <si>
    <t>UR006 / RAM Launchers P-3a</t>
  </si>
  <si>
    <t>OPN BA4 / BSA 3 / Ship Missile Support / P-3a RAM / Firepower ORDALT</t>
  </si>
  <si>
    <t>RAM / Firepower ORDALT</t>
  </si>
  <si>
    <t>MK-49 GMLS Shock Hardening ORDALT</t>
  </si>
  <si>
    <t>OPN BA4 / BSA 3 / Ship Missile Support / P-3a RAM / Shock ORDALT</t>
  </si>
  <si>
    <t>RAM / Shock ORDALT</t>
  </si>
  <si>
    <t>Replace Phalanx with MK-49 RAM ORDALT</t>
  </si>
  <si>
    <t>OPN BA4 / BSA 3 / Ship Missile Support / P-3a RAM / Phalanx Replacement</t>
  </si>
  <si>
    <t>RAM / Phalanx Replacement</t>
  </si>
  <si>
    <t>RAM Launcher Installation (all mods combined)</t>
  </si>
  <si>
    <t>OPN BA4 / BSA 3 / Ship Missile Support / P-3a RAM / Installation</t>
  </si>
  <si>
    <t>RAM / Installation</t>
  </si>
  <si>
    <t>UQ005B</t>
  </si>
  <si>
    <t>UQ005B - SSDS COTS CONVERSION KITS [P-3a Mod 3]</t>
  </si>
  <si>
    <t>"Procurement for computing Infrastructure (CI) configuration for ship systems began in FY23. Estimates for the procurement and installation of kits varies on the specific ship class (CVNs, LPDs, LSDs, LHAs, and LHDs), and the existing configuration of the ship. The SSDS OPN UQ005 supports field changes to the in-service baselines, and the establishment of new baseline configurations at the shore sites."</t>
  </si>
  <si>
    <t>OPN BA4 / BSA 3 / Ship Missile Support / P-3a SSDS COTS</t>
  </si>
  <si>
    <t>UQ005B - SSDS COTS CONVERSION KITS</t>
  </si>
  <si>
    <t>UQ5IN</t>
  </si>
  <si>
    <t>UQ5IN FMP Ship Units</t>
  </si>
  <si>
    <t>UQ005B / SSDS COTS P-3a</t>
  </si>
  <si>
    <t>OPN BA4 / BSA 3 / Ship Missile Support / P-3a SSDS COTS / FMP Ships</t>
  </si>
  <si>
    <t>SSDS COTS / FMP Ships</t>
  </si>
  <si>
    <t>UQ6IN</t>
  </si>
  <si>
    <t>UQ6IN NON FMP Shore Sites</t>
  </si>
  <si>
    <t>OPN BA4 / BSA 3 / Ship Missile Support / P-3a SSDS COTS / Shore Sites</t>
  </si>
  <si>
    <t>SSDS COTS / Shore Sites</t>
  </si>
  <si>
    <t>SSDS COTS Installation</t>
  </si>
  <si>
    <t>OPN BA4 / BSA 3 / Ship Missile Support / P-3a SSDS COTS / Installation</t>
  </si>
  <si>
    <t>SSDS COTS / Installation</t>
  </si>
  <si>
    <t>5253</t>
  </si>
  <si>
    <t>Tomahawk Support Equipment</t>
  </si>
  <si>
    <t>"The Theater Mission Planning Center (TMPC) and Tactical Tomahawk Weapons Control System (TTWCS) are components of the Tomahawk Weapons System (TWS) required to plan and execute Tomahawk strikes. The Theater Mission Planning Center (TMPC) consists of Commercial and Government Off-The-Shelf (COTS/GOTS) software and COTS hardware. TMPC is the mission planning segment of the Tomahawk Weapon System (TWS) that provides subsystems for the precision targeting, weaponeering, route planning, mission distribution, and strike management of Tomahawk cruise missile missions from sites located ashore and afloat."</t>
  </si>
  <si>
    <t>OPN BA4 / BSA 3: Ship Missile Systems Equipment / Tomahawk Support Equipment</t>
  </si>
  <si>
    <t>525300, TOMAHAWK Support Equipment</t>
  </si>
  <si>
    <t>TTWCS Hardware</t>
  </si>
  <si>
    <t>"address hardware obsolescence through periodic COTS hardware refresh procurement of TTWCS components for retrofit onto Fleet surface platforms"</t>
  </si>
  <si>
    <t>5253 / Tomahawk Support Equipment</t>
  </si>
  <si>
    <t>OPN BA4 / BSA 3 / Tomahawk Support / TTWCS Hardware</t>
  </si>
  <si>
    <t>TTWCS Product Improvement</t>
  </si>
  <si>
    <t>"FY26 initiates modernization and consolidation of legacy software code to contemporary software languages containerization and modularity upgrades"</t>
  </si>
  <si>
    <t>OPN BA4 / BSA 3 / Tomahawk Support / TTWCS Product Improvement</t>
  </si>
  <si>
    <t>Tomahawk Mission Planning Center (TMPC) Hardware</t>
  </si>
  <si>
    <t>"hardware for TMPC 7.X modernization upgrades at CMSAs TSMPCs CSGs CVNs and Firing Units"</t>
  </si>
  <si>
    <t>OPN BA4 / BSA 3 / Tomahawk Support / TMPC Hardware</t>
  </si>
  <si>
    <t>TMPC Product Improvements</t>
  </si>
  <si>
    <t>"TMPC redesign (TMPC X) - ground up redesign of TPS TNT and MDS components. Modern software development integrated cyber protections reduced mission planning times"</t>
  </si>
  <si>
    <t>OPN BA4 / BSA 3 / Tomahawk Support / TMPC Product Improvements</t>
  </si>
  <si>
    <t>TTWCS Production Engineering</t>
  </si>
  <si>
    <t>"kit production in support of Surface installations onboard firing units"</t>
  </si>
  <si>
    <t>OPN BA4 / BSA 3 / Tomahawk Support / TTWCS Prod Eng</t>
  </si>
  <si>
    <t>TTWCS Integrated Logistic Support</t>
  </si>
  <si>
    <t>"installations onboard surface and submarine firing units"</t>
  </si>
  <si>
    <t>OPN BA4 / BSA 3 / Tomahawk Support / TTWCS ILS</t>
  </si>
  <si>
    <t>TMPC Production Engineering</t>
  </si>
  <si>
    <t>"systems engineering support for system design and definition of requirements"</t>
  </si>
  <si>
    <t>OPN BA4 / BSA 3 / Tomahawk Support / TMPC Prod Eng</t>
  </si>
  <si>
    <t>TMPC Production Support</t>
  </si>
  <si>
    <t>"user events requirements validation systems engineering technical reviews software formal qualification testing"</t>
  </si>
  <si>
    <t>OPN BA4 / BSA 3 / Tomahawk Support / TMPC Prod Support</t>
  </si>
  <si>
    <t>TMPC Integrated Logistic Support</t>
  </si>
  <si>
    <t>"continues TMPC 6.0 CVNs FRU DDGs/CGs/SSNs. TMPC 7.X supports key mission planning timeline improvements cybersecurity hardening"</t>
  </si>
  <si>
    <t>OPN BA4 / BSA 3 / Tomahawk Support / TMPC ILS</t>
  </si>
  <si>
    <t>5353</t>
  </si>
  <si>
    <t>CPS Support Equipment</t>
  </si>
  <si>
    <t>"Conventional Prompt Strike (CPS) capability will enable precise and timely strike in contested environments across multiple platforms. In coordination with the Army, the Navy CPS Program is designing a common All Up Round (AUR) comprised of a Common Hypersonic Glide Body (C-HGB) and a 34.5" two-stage booster. The Navy is responsible for C-HGB design, while the Army leads C-HGB production."</t>
  </si>
  <si>
    <t>OPN BA4 / BSA 4: FBM Support Equipment / CPS Support Equipment</t>
  </si>
  <si>
    <t>CPS SSN Support Equipment</t>
  </si>
  <si>
    <t>CPS SSN Advanced Payload Module (APM)</t>
  </si>
  <si>
    <t>5353 / CPS Support Equipment</t>
  </si>
  <si>
    <t>OPN BA4 / BSA 4 / CPS Support / APM</t>
  </si>
  <si>
    <t>5358</t>
  </si>
  <si>
    <t>Strategic Missile Systems Equip</t>
  </si>
  <si>
    <t>"This budget supports the shipboard subsystem equipment modernization and technical refresh efforts associated with TRIDENT II D5 Life Extension (D5LE) program as well as procurement of Strategic Weapons System (SWS) equipment for deployed ballistic missile submarines (SSBNs) and shore support sites. OTHER MATERIAL SUPPORT A broad range of other material support equipment must be procured for deployed SSBNs, shore installations and contractor facilities. Included within this category are general and special purpose test equipment, launcher expendables, navigation principal items, test instrumentation in support of missile flight tests, and missile checkout equipment."</t>
  </si>
  <si>
    <t>OPN BA4 / BSA 4: FBM Support Equipment / Strategic Missile Systems Equip</t>
  </si>
  <si>
    <t>Launcher &amp; Handling Equipment</t>
  </si>
  <si>
    <t>5358 / Strategic Missile Systems Equip</t>
  </si>
  <si>
    <t>OPN BA4 / BSA 4 / Strategic Missile / Launcher &amp; Handling</t>
  </si>
  <si>
    <t>Alterations-Launcher and Handling Equipment</t>
  </si>
  <si>
    <t>Gas Generator Case Hardware</t>
  </si>
  <si>
    <t>OPN BA4 / BSA 4 / Strategic Missile / Launcher &amp; Handling / Gas Gen</t>
  </si>
  <si>
    <t>Ballast Support Equipment</t>
  </si>
  <si>
    <t>OPN BA4 / BSA 4 / Strategic Missile / Launcher &amp; Handling / Ballast Supt</t>
  </si>
  <si>
    <t>Training Support Equipment</t>
  </si>
  <si>
    <t>Fire Control Equipment</t>
  </si>
  <si>
    <t>OPN BA4 / BSA 4 / Strategic Missile / Fire Control</t>
  </si>
  <si>
    <t>Alterations-Fire Control Equipment</t>
  </si>
  <si>
    <t>NIROP Capital Maintenance</t>
  </si>
  <si>
    <t>OPN BA4 / BSA 4 / Strategic Missile / Fire Control / NIROP</t>
  </si>
  <si>
    <t>Fire Control Auxiliary Support Equipment</t>
  </si>
  <si>
    <t>OPN BA4 / BSA 4 / Strategic Missile / Fire Control / Aux Support</t>
  </si>
  <si>
    <t>D5 Targeting Hardware</t>
  </si>
  <si>
    <t>OPN BA4 / BSA 4 / Strategic Missile / Fire Control / Targeting HW</t>
  </si>
  <si>
    <t>Advanced Inventory Logistics (SAIL)</t>
  </si>
  <si>
    <t>OPN BA4 / BSA 4 / Strategic Missile / Fire Control / SAIL</t>
  </si>
  <si>
    <t>Targeting Software Refresh</t>
  </si>
  <si>
    <t>OPN BA4 / BSA 4 / Strategic Missile / Fire Control / SW Refresh</t>
  </si>
  <si>
    <t>Navigation Equipment</t>
  </si>
  <si>
    <t>OPN BA4 / BSA 4 / Strategic Missile / Navigation</t>
  </si>
  <si>
    <t>Alterations-Navigation Equipment</t>
  </si>
  <si>
    <t>ESGN(R) Stable Platform &amp; Housing Mat. &amp; SIS Kits</t>
  </si>
  <si>
    <t>"ESGN(R) Stable Platform and Housing Material and Shock Isolation System Kits"</t>
  </si>
  <si>
    <t>OPN BA4 / BSA 4 / Strategic Missile / Navigation / ESGN</t>
  </si>
  <si>
    <t>Instrumentation/Missile Checkout Equipment</t>
  </si>
  <si>
    <t>OPN BA4 / BSA 4 / Strategic Missile / Instrumentation</t>
  </si>
  <si>
    <t>Alterations-Instrumentation/Missle Checkout Equipment</t>
  </si>
  <si>
    <t>Umbilical Sets/Kits</t>
  </si>
  <si>
    <t>Instrumentation Equipment</t>
  </si>
  <si>
    <t>OPN BA4 / BSA 4 / Strategic Missile / Instrumentation / Umbilicals</t>
  </si>
  <si>
    <t>Flight Test Instrumentation (FTI) Refresh</t>
  </si>
  <si>
    <t>OPN BA4 / BSA 4 / Strategic Missile / Instrumentation / FTI</t>
  </si>
  <si>
    <t>Information Technology</t>
  </si>
  <si>
    <t>OPN BA4 / BSA 4 / Strategic Missile / IT</t>
  </si>
  <si>
    <t>Other Material Support- Information Technology</t>
  </si>
  <si>
    <t>Alterations - Launcher &amp; Handling Equipment</t>
  </si>
  <si>
    <t>OPN BA4 / BSA 4 / Strategic Missile / Launcher Alterations</t>
  </si>
  <si>
    <t>D5 Hoist</t>
  </si>
  <si>
    <t>Launcher Alterations</t>
  </si>
  <si>
    <t>OPN BA4 / BSA 4 / Strategic Missile / Launcher Alterations / Hoist</t>
  </si>
  <si>
    <t>Launcher SPALTs</t>
  </si>
  <si>
    <t>OPN BA4 / BSA 4 / Strategic Missile / Launcher Alterations / SPALTs</t>
  </si>
  <si>
    <t>Alterations - Fire Control Equipment</t>
  </si>
  <si>
    <t>OPN BA4 / BSA 4 / Strategic Missile / FC Alterations</t>
  </si>
  <si>
    <t>Portable Computing Devices (PCD) Refresh SPALT</t>
  </si>
  <si>
    <t>FC Alterations</t>
  </si>
  <si>
    <t>OPN BA4 / BSA 4 / Strategic Missile / FC Alterations / PCD</t>
  </si>
  <si>
    <t>Minor SPALTs</t>
  </si>
  <si>
    <t>OPN BA4 / BSA 4 / Strategic Missile / FC Alterations / Minor SPALTs</t>
  </si>
  <si>
    <t>Alterations - Navigation Equipment</t>
  </si>
  <si>
    <t>OPN BA4 / BSA 4 / Strategic Missile / Nav Alterations</t>
  </si>
  <si>
    <t>Legacy ESGN SPALTs</t>
  </si>
  <si>
    <t>Nav Alterations</t>
  </si>
  <si>
    <t>OPN BA4 / BSA 4 / Strategic Missile / Nav Alterations / ESGN SPALTs</t>
  </si>
  <si>
    <t>Transducer SPALTs</t>
  </si>
  <si>
    <t>OPN BA4 / BSA 4 / Strategic Missile / Nav Alterations / Transducer SPALTs</t>
  </si>
  <si>
    <t>Broadband Navigation SONAR System</t>
  </si>
  <si>
    <t>OPN BA4 / BSA 4 / Strategic Missile / Nav Alterations / BB Nav Sonar</t>
  </si>
  <si>
    <t>Alterations - Instrumentation/Missile Checkout</t>
  </si>
  <si>
    <t>OPN BA4 / BSA 4 / Strategic Missile / Instrumentation Alterations</t>
  </si>
  <si>
    <t>SSI Increment 8</t>
  </si>
  <si>
    <t>OPN BA4 / BSA 4 / Strategic Missile / SSI Inc 8</t>
  </si>
  <si>
    <t>Navigation SSI Inc 8 SHIPALT/Integration</t>
  </si>
  <si>
    <t>SSI Inc 8</t>
  </si>
  <si>
    <t>OPN BA4 / BSA 4 / Strategic Missile / SSI Inc 8 / SHIPALT</t>
  </si>
  <si>
    <t>Gyroscope Fault Isolation Capability</t>
  </si>
  <si>
    <t>OPN BA4 / BSA 4 / Strategic Missile / SSI Inc 8 / Gyro Fault Iso</t>
  </si>
  <si>
    <t>SSI Increment 15</t>
  </si>
  <si>
    <t>OPN BA4 / BSA 4 / Strategic Missile / SSI Inc 15</t>
  </si>
  <si>
    <t>Fire Control SSI Inc 15 Production</t>
  </si>
  <si>
    <t>SSI Inc 15</t>
  </si>
  <si>
    <t>OPN BA4 / BSA 4 / Strategic Missile / SSI Inc 15 / FC Production</t>
  </si>
  <si>
    <t>Increment 15 Fire Control Installation</t>
  </si>
  <si>
    <t>OPN BA4 / BSA 4 / Strategic Missile / SSI Inc 15 / FC Installation</t>
  </si>
  <si>
    <t>Shipboard Systems Modernization Portfolio (SSMP)</t>
  </si>
  <si>
    <t>OPN BA4 / BSA 4 / Strategic Missile / SSMP</t>
  </si>
  <si>
    <t>SSMP Advanced Development &amp; Tech Maturation</t>
  </si>
  <si>
    <t>SSMP</t>
  </si>
  <si>
    <t>OPN BA4 / BSA 4 / Strategic Missile / SSMP / Adv Dev</t>
  </si>
  <si>
    <t>SSMP Shipboard Re-Architecture</t>
  </si>
  <si>
    <t>OPN BA4 / BSA 4 / Strategic Missile / SSMP / Re-Arch</t>
  </si>
  <si>
    <t>SSMP Obsolescence Management</t>
  </si>
  <si>
    <t>OPN BA4 / BSA 4 / Strategic Missile / SSMP / Obsolescence</t>
  </si>
  <si>
    <t>SSMP Capability Insertion</t>
  </si>
  <si>
    <t>OPN BA4 / BSA 4 / Strategic Missile / SSMP / Capability Insertion</t>
  </si>
  <si>
    <t>SSMP Production Hardware</t>
  </si>
  <si>
    <t>OPN BA4 / BSA 4 / Strategic Missile / SSMP / Prod HW</t>
  </si>
  <si>
    <t>OPN BA4 / BSA 4 / Strategic Missile / Training Support</t>
  </si>
  <si>
    <t>Columbia Class</t>
  </si>
  <si>
    <t>OPN BA4 / BSA 4 / Strategic Missile / Columbia Class</t>
  </si>
  <si>
    <t>Columbia TRIPER spares</t>
  </si>
  <si>
    <t>OPN BA4 / BSA 4 / Strategic Missile / Columbia / TRIPER spares</t>
  </si>
  <si>
    <t>SWSS Trainer Equipment</t>
  </si>
  <si>
    <t>OPN BA4 / BSA 4 / Strategic Missile / Columbia / SWSS Trainer</t>
  </si>
  <si>
    <t>5420</t>
  </si>
  <si>
    <t>SSN Combat Control Systems</t>
  </si>
  <si>
    <t>"The AN/BYG-1 is the combat control system common across all submarine platforms which incorporates tactical control, weapon/payload control and Tactical Local Area Network (TacLAN) functions into a single procurement program. AN/BYG-1 allows the submarine to rapidly update the ship-safety tactical picture, integrates the common tactical picture into the battlegroup, improves torpedo interfaces, and provides tactical TOMAHAWK, Harpoon counter measures, and other payload capabilities. AN/BYG-1 systems will be continuously updated with hardware enhancements to address Commercial Off The Shelf (COTS) obsolescence, and provide capability improvements through software upgrades."</t>
  </si>
  <si>
    <t>OPN BA4 / BSA 5: ASW Support Equipment / SSN Combat Control Systems</t>
  </si>
  <si>
    <t>VB011</t>
  </si>
  <si>
    <t>VB011: Combat System Tech Refresh/Legacy Integration</t>
  </si>
  <si>
    <t>5420 / SSN Combat Control Systems</t>
  </si>
  <si>
    <t>OPN BA4 / BSA 5 / SSN Combat Control / Tech Refresh</t>
  </si>
  <si>
    <t>VB011: COMBAT SYSTEM TECH REFRESH/LEGACY INTEGRATION</t>
  </si>
  <si>
    <t>VB011: Weapon Launch Systems Tech Insertion</t>
  </si>
  <si>
    <t>VB011 / Tech Refresh</t>
  </si>
  <si>
    <t>OPN BA4 / BSA 5 / SSN Combat Control / Tech Refresh / WLS</t>
  </si>
  <si>
    <t>VB011: Infrastructure COTS Hardware</t>
  </si>
  <si>
    <t>OPN BA4 / BSA 5 / SSN Combat Control / Tech Refresh / COTS HW</t>
  </si>
  <si>
    <t>VB011: TIH Modernization</t>
  </si>
  <si>
    <t>OPN BA4 / BSA 5 / SSN Combat Control / Tech Refresh / TIH Mod</t>
  </si>
  <si>
    <t>VB995</t>
  </si>
  <si>
    <t>VB995: Production Engineering and Initial Training</t>
  </si>
  <si>
    <t>OPN BA4 / BSA 5 / SSN Combat Control / Prod Eng &amp; Training</t>
  </si>
  <si>
    <t>VB995: PRODUCTION ENGINEERING AND INITIAL TRAINING</t>
  </si>
  <si>
    <t>VB034</t>
  </si>
  <si>
    <t>VB034 SSBN Modernization Tech Insertion OHIO Class [P-3a Mod 1]</t>
  </si>
  <si>
    <t>"This program will provide submarine combat control systems with COTS-based upgrades to combat control and tactical control hardware and software."</t>
  </si>
  <si>
    <t>OPN BA4 / BSA 5 / SSN Combat Control / P-3a SSBN OHIO TI</t>
  </si>
  <si>
    <t>VB034 SSN774 BLK V AND OUT W/ CWL TECH INSERT- PSA INSTALL</t>
  </si>
  <si>
    <t>VB034 Upgrades TI04+ SSN21 Class [P-3a Mod 2]</t>
  </si>
  <si>
    <t>OPN BA4 / BSA 5 / SSN Combat Control / P-3a SSN21 TI</t>
  </si>
  <si>
    <t>VB034 Upgrades TI04+ SSN688 Class [P-3a Mod 3]</t>
  </si>
  <si>
    <t>OPN BA4 / BSA 5 / SSN Combat Control / P-3a SSN688 TI</t>
  </si>
  <si>
    <t>179</t>
  </si>
  <si>
    <t>VB034 Upgrades TI04+ SSN774 Class [P-3a Mod 4]</t>
  </si>
  <si>
    <t>"This program will provide submarine combat control systems with COTS-based upgrades to combat control and tactical control hardware and software and Common Weapon Launcher (CWL). SSN774 Class w/ CWL costs are greater than the costs for SSN774 Class (without CWL) due to the fact that CWL brings additional weapon launch interface hardware that allows AN/BYG-1 to communicate with the weapon launchers and the weapons. The CWL hardware requires additional ship alterations, installation procedures, installation verification procedures, cabling, and manpower."</t>
  </si>
  <si>
    <t>OPN BA4 / BSA 5 / SSN Combat Control / P-3a SSN774 TI</t>
  </si>
  <si>
    <t>VB034 Upgrades TI04+ SSN774 Class w/CWL [P-3a Mod 5]</t>
  </si>
  <si>
    <t>OPN BA4 / BSA 5 / SSN Combat Control / P-3a SSN774 CWL TI</t>
  </si>
  <si>
    <t>VB034 SSBN Modernization Tech Insertion COLUMBIA Class [P-3a Mod 6]</t>
  </si>
  <si>
    <t>OPN BA4 / BSA 5 / SSN Combat Control / P-3a COLUMBIA TI</t>
  </si>
  <si>
    <t>VB034 SSN774 BLK V+ w/CWL Tech Insert - PSA Install [P-3a Mod 7]</t>
  </si>
  <si>
    <t>"This program will provide submarine combat control systems with COTS-based upgrades to combat control and tactical control hardware and software. SSN 774 BLK V w/CWL installations costs during a PSA are greater due to increased costs incurred for shipyard services, additional industrial work scheduling and installation efforts, increased installation verification efforts, and additional certification workload."</t>
  </si>
  <si>
    <t>OPN BA4 / BSA 5 / SSN Combat Control / P-3a SSN774 PSA</t>
  </si>
  <si>
    <t>5429</t>
  </si>
  <si>
    <t>ASW Support Equipment</t>
  </si>
  <si>
    <t>"This Budget Line Item (BLI) consists of three separate and distinct programs, the Submarine Weapons Launching and Handling Support Equipment program, the Surface ASW Support Equipment program, and the ASW Range Support Equipment program. SUBMARINE WEAPONS LAUNCHING AND HANDLING SUPPORT EQUIPMENT (Cost Codes VC000/VC830/VC5IN): Funding for modifications and improvements to SSN 688, SSBN 726 and SSN 21 classes Attack and Ballistic Missile Submarine weapons launching, stowage and shipping systems, torpedo tube system components and torpedo tube test equipment. These requirements arise as a result of the introduction of new or modified weapons, devices, and sensors and their subsequent evaluation test and operational use."</t>
  </si>
  <si>
    <t>OPN BA4 / BSA 5: ASW Support Equipment / ASW Support Equipment</t>
  </si>
  <si>
    <t>Surface ASW Support Equipment</t>
  </si>
  <si>
    <t>5429 / ASW Support Equipment</t>
  </si>
  <si>
    <t>OPN BA4 / BSA 5 / ASW Support / Surface ASW Support</t>
  </si>
  <si>
    <t>VC008</t>
  </si>
  <si>
    <t>VC008 - ASWCS Fire Control ORDALTs</t>
  </si>
  <si>
    <t>Surface ASW Support</t>
  </si>
  <si>
    <t>OPN BA4 / BSA 5 / ASW Support / Surface / ASWCS ORDALTs</t>
  </si>
  <si>
    <t>VC009</t>
  </si>
  <si>
    <t>VC009 - Torpedo Tube ORDALTs</t>
  </si>
  <si>
    <t>OPN BA4 / BSA 5 / ASW Support / Surface / Torpedo Tube ORDALTs</t>
  </si>
  <si>
    <t>VC900</t>
  </si>
  <si>
    <t>VC900 - Consulting Services</t>
  </si>
  <si>
    <t>OPN BA4 / BSA 5 / ASW Support / Surface / Consulting</t>
  </si>
  <si>
    <t>VC6IN</t>
  </si>
  <si>
    <t>VC6IN - Installation of Equipment</t>
  </si>
  <si>
    <t>OPN BA4 / BSA 5 / ASW Support / Surface / Installation</t>
  </si>
  <si>
    <t>VC5IN - ORDALT INSTALLATION</t>
  </si>
  <si>
    <t>ASW Range Support Equipment</t>
  </si>
  <si>
    <t>OPN BA4 / BSA 5 / ASW Support / ASW Range Support</t>
  </si>
  <si>
    <t>VC001</t>
  </si>
  <si>
    <t>VC001 - SSRNM/US FORACS (S05)</t>
  </si>
  <si>
    <t>ASW Range Support</t>
  </si>
  <si>
    <t>OPN BA4 / BSA 5 / ASW Support / Range / SSRNM FORACS</t>
  </si>
  <si>
    <t>VC002</t>
  </si>
  <si>
    <t>VC002 - UTRE (S05)</t>
  </si>
  <si>
    <t>OPN BA4 / BSA 5 / ASW Support / Range / UTRE</t>
  </si>
  <si>
    <t>VC003</t>
  </si>
  <si>
    <t>VC003 - Towed Targets (USC)</t>
  </si>
  <si>
    <t>OPN BA4 / BSA 5 / ASW Support / Range / Towed Targets</t>
  </si>
  <si>
    <t>VC004</t>
  </si>
  <si>
    <t>VC004 - Instrumentation (USC)</t>
  </si>
  <si>
    <t>OPN BA4 / BSA 5 / ASW Support / Range / Instrumentation</t>
  </si>
  <si>
    <t>VC005</t>
  </si>
  <si>
    <t>VC005 - HSMST (USC)</t>
  </si>
  <si>
    <t>OPN BA4 / BSA 5 / ASW Support / Range / HSMST</t>
  </si>
  <si>
    <t>VC831</t>
  </si>
  <si>
    <t>VC831/2 - Production Engineering</t>
  </si>
  <si>
    <t>OPN BA4 / BSA 5 / ASW Support / Range / Prod Eng</t>
  </si>
  <si>
    <t>VC831/2 - PRODUCTION ENGINEERING</t>
  </si>
  <si>
    <t>VC970</t>
  </si>
  <si>
    <t>VC970 - Integrated Logistics Support (USC)</t>
  </si>
  <si>
    <t>OPN BA4 / BSA 5 / ASW Support / Range / ILS</t>
  </si>
  <si>
    <t>VC970 - INTEGRATED LOGISTICS SUPPORT</t>
  </si>
  <si>
    <t>VC010</t>
  </si>
  <si>
    <t>VC010 - AN/UQN-10 Sonar Sounding Set Fathometer [P-3a Mod 1]</t>
  </si>
  <si>
    <t>"This line item is responsible for the fielding of the next generation AN/UQN-10 Sonar Sounding Set Fathometer as a Commercial-Off-The-Shelf (COTS) retrofit/replacement of legacy AN/UQN-4/4A systems on Destroyer (DDG51 Class), Aircraft Carrier (CVN Class), and Amphibious (LHA, LHD, LPD, LSD, LCC) platforms. This program will also finance the non-recurring engineering (NRE) required to upgrade acoustic communications and convert the non-program of record fathometers and transducers employed on Littoral Combat Ship (LCS) and DDG1000 platforms to the common program of record AN/UQN-10 Sonar Sounding Set Fathometer and TR-355 transducer. Retrofit of legacy AN/UQN-4/4A systems is required to increase Reliability, Maintainability &amp; Availability (RM&amp;A) metrics, increase overall Sonar Sounding Set Fathometer system Operational Availability (Ao), eliminate obsolescence issues and reduce supportability costs."</t>
  </si>
  <si>
    <t>OPN BA4 / BSA 5 / ASW Support / P-3a AN/UQN-10 Fathometer</t>
  </si>
  <si>
    <t>VC010 - AN/UQN-10 SONAR SOUNDING SET FATHOMETER</t>
  </si>
  <si>
    <t>5509</t>
  </si>
  <si>
    <t>EOD Equipment</t>
  </si>
  <si>
    <t>"Explosive Ordnance Disposal (EOD) Equipment procures Navy EOD required tools and equipment developed to support a lethal, agile, and resilient force. In alignment with efforts to modernize in accordance with the National Defense Strategy, EOD Technicians require specialized tools to enable dynamic maneuver of Ships, Submarines, and Aircraft against near peer adversaries through the render safe and mitigation of explosive hazards on land and underwater. EOD Equipment supports 134 EOD Platoons both OCONUS and CONUS operations that allow the ability to detect, access, diagnose, render safe, exploit, and dispose of threats to National Security."</t>
  </si>
  <si>
    <t>OPN BA4 / BSA 6: Other Ordnance Support Equipment / EOD Equipment</t>
  </si>
  <si>
    <t>EOD - CREW Equipment</t>
  </si>
  <si>
    <t>VN077</t>
  </si>
  <si>
    <t>VN077 - Navy EOD Equipment</t>
  </si>
  <si>
    <t>"Procurement is a recapitalization of funds to purchase Large Unmanned Ground Vehicles (UGV) robotic systems for Navy EOD Shore Based Detachments (SBD) and next generation radiological detection equipment"</t>
  </si>
  <si>
    <t>5509 / EOD Equipment</t>
  </si>
  <si>
    <t>OPN BA4 / BSA 6 / EOD Equipment / Navy EOD Equipment</t>
  </si>
  <si>
    <t>VN870</t>
  </si>
  <si>
    <t>VN870 - Tech Insertion and Refresh (JCREW)</t>
  </si>
  <si>
    <t>OPN BA4 / BSA 6 / EOD Equipment / JCREW Tech Insertion</t>
  </si>
  <si>
    <t>210</t>
  </si>
  <si>
    <t>Counter Unmanned Aircraft Systems (CUAS/DRAKE)</t>
  </si>
  <si>
    <t>"Procures DRAKE 2.0 systems for the surface subsurface carrier amphibious and MSC assets for the US Navy"</t>
  </si>
  <si>
    <t>OPN BA4 / BSA 6 / EOD Equipment / CUAS DRAKE</t>
  </si>
  <si>
    <t>212</t>
  </si>
  <si>
    <t>DRAKE Systems/Tech Insertion Undersea Enterprise</t>
  </si>
  <si>
    <t>"Procures 13 DRAKE 2.0 systems and 27 Retrofit Kits to upgrade DRAKE 1.0 Systems currently fielded onboard all Submarine Classes"</t>
  </si>
  <si>
    <t>OPN BA4 / BSA 6 / EOD Equipment / DRAKE Undersea</t>
  </si>
  <si>
    <t>DRAKE Systems/Tech Insertion Air Enterprise</t>
  </si>
  <si>
    <t>"Procures Retrofit Kits to upgrade 44 DRAKE 1.0 Systems currently fielded onboard all CVN Class Ships"</t>
  </si>
  <si>
    <t>OPN BA4 / BSA 6 / EOD Equipment / DRAKE Air Enterprise</t>
  </si>
  <si>
    <t>5510</t>
  </si>
  <si>
    <t>Directed Energy Systems</t>
  </si>
  <si>
    <t>"Directed Energy Weapon Systems consist of multiple breakthrough technologies including laser weapons that provide for speed-of-light engagements at tactically significant ranges resulting in savings realized by minimizing the use of defensive missiles and projectiles, allowing for non-lethal determination of threat intent beyond small arms fire ranges. The AN/SEQ-4 Optical Dazzler Interdictor Navy (ODIN) program was initiated in FY18 in response to an urgent Fleet Counter-Intelligence, Surveillance, and Reconnaissance (C-ISR) gap. ODIN's primary mission is C-ISR capability against Electro-Optical/Infra-Red (EO/IR) sensors, is queued from a one-way CEC track feed, and has an ISR capability to aid the Fleet in battlespace awareness."</t>
  </si>
  <si>
    <t>OPN BA4 / BSA 6: Other Ordnance Support Equipment / Directed Energy Systems</t>
  </si>
  <si>
    <t>DE001 - DIRECTED ENERGY SYSTEMS</t>
  </si>
  <si>
    <t>DE001</t>
  </si>
  <si>
    <t>DE001 ILS/Production Support</t>
  </si>
  <si>
    <t>"FY26 ILS/Production funding is required to maintain the Government capability to perform repairs on system components that have failed during shipboard operations"</t>
  </si>
  <si>
    <t>5510 / Directed Energy Systems</t>
  </si>
  <si>
    <t>OPN BA4 / BSA 6 / Directed Energy / ILS Prod Support</t>
  </si>
  <si>
    <t>DE001 Engineering Change Proposals (ECPs)</t>
  </si>
  <si>
    <t>"FY26 ECP funding will address previously known emergent and anticipated reliability and other Fleet generated emergent issues"</t>
  </si>
  <si>
    <t>OPN BA4 / BSA 6 / Directed Energy / ECPs</t>
  </si>
  <si>
    <t>DE001 Spares</t>
  </si>
  <si>
    <t>"FY26 Spares funding will support the procurement of long lead time spares and repair parts for critical system components"</t>
  </si>
  <si>
    <t>OPN BA4 / BSA 6 / Directed Energy / Spares</t>
  </si>
  <si>
    <t>DE001 Tech Refresh</t>
  </si>
  <si>
    <t>"FY26 Tech Refresh funding will support Government components developed in prior years that will be replaced by available (newer) components/sub-systems"</t>
  </si>
  <si>
    <t>OPN BA4 / BSA 6 / Directed Energy / Tech Refresh</t>
  </si>
  <si>
    <t>5543</t>
  </si>
  <si>
    <t>"Items Less Than $5 Million procures generic (non-weapons systems specific) test equipment needed to assess the effects of aging and exposure to environmental conditions on Navy weapons systems and ordnance such as mines, gun ammunition, missiles, pyrotechnics, demolition systems/devices, bombs, and torpedoes throughout the in-service portion of their life cycle and will be located at NAVSEA engineering field activities. Requirements for the test equipment come from a need to replace or modernize obsolete or economically non-repairable equipment or to acquire new or expanded generic test capabilities when new evaluation techniques or processes are needed. The equipment procured by these funds are generally "one of a kind" and are used to support generic Navy weapons systems and ordnance types."</t>
  </si>
  <si>
    <t>OPN BA4 / BSA 6: Other Ordnance Support Equipment / Items Less Than $5 Million</t>
  </si>
  <si>
    <t>RA005</t>
  </si>
  <si>
    <t>RA005 - Fleet Mine Support Equipment</t>
  </si>
  <si>
    <t>"Mine Countermeasure (MCM) Targets are used to physically and electronically emulate foreign mine threats for Fleet training exercises ranges and platform and system validation"</t>
  </si>
  <si>
    <t>5543 / Items Less Than $5 Million</t>
  </si>
  <si>
    <t>OPN BA4 / BSA 6 / Items &lt;$5M / Fleet Mine Support</t>
  </si>
  <si>
    <t>RA003</t>
  </si>
  <si>
    <t>RA003 - Industrial Facilities (NIROP ABL)</t>
  </si>
  <si>
    <t>"Provides funding for the procurement of industrial equipment in support of core manufacturing and production requirements at the Government-Owned/Contractor-Operated (GOCO) Naval Industrial Reserve Ordnance Plant (NIROP) Allegany Ballistics Laboratory (ABL)"</t>
  </si>
  <si>
    <t>OPN BA4 / BSA 6 / Items &lt;$5M / NIROP ABL</t>
  </si>
  <si>
    <t>5530</t>
  </si>
  <si>
    <t>Anti-ship Missile Decoy System</t>
  </si>
  <si>
    <t>"The Anti-Ship Missile Decoy Program covers a family of decoys and the equipment to deploy them. It is an essential element of the Anti-Ship Missile (ASM) Defense tactics to counter the threat of enemy homing missiles. Nulka is a joint program with Australia and is currently in service with the Australian and United States Navies."</t>
  </si>
  <si>
    <t>OPN BA4 / BSA 7: Other Expendable Ordnance / Anti-ship Missile Decoy System</t>
  </si>
  <si>
    <t>VV003</t>
  </si>
  <si>
    <t>VV003 - Engineering Change Proposals</t>
  </si>
  <si>
    <t>5530 / Anti-ship Missile Decoy System</t>
  </si>
  <si>
    <t>OPN BA4 / BSA 7 / Anti-ship Missile Decoy / ECPs</t>
  </si>
  <si>
    <t>VV003 - ENG CHANGE PROPOSALS (ECPs)/ILS SUPPORT</t>
  </si>
  <si>
    <t>VV003 - Logistics/Production Support</t>
  </si>
  <si>
    <t>OPN BA4 / BSA 7 / Anti-ship Missile Decoy / Logistics</t>
  </si>
  <si>
    <t>VV830</t>
  </si>
  <si>
    <t>VV830 - Production Engineering</t>
  </si>
  <si>
    <t>OPN BA4 / BSA 7 / Anti-ship Missile Decoy / Prod Eng</t>
  </si>
  <si>
    <t>VV830 - PRODUCTION ENGINEERING</t>
  </si>
  <si>
    <t>VV500</t>
  </si>
  <si>
    <t>VV500 - AOEW (Advanced Offboard/EW)</t>
  </si>
  <si>
    <t>"Divestment of AOEW starting in FY26 AOEW CDD was cancelled and requirements were transferred to other programs"</t>
  </si>
  <si>
    <t>OPN BA4 / BSA 7 / Anti-ship Missile Decoy / AOEW</t>
  </si>
  <si>
    <t>VV500 - ADVANCED OFFBOARD/EW</t>
  </si>
  <si>
    <t>VV200</t>
  </si>
  <si>
    <t>VV200 - Nulka Kit Assemblies</t>
  </si>
  <si>
    <t>OPN BA4 / BSA 7 / Anti-ship Missile Decoy / Nulka Kits</t>
  </si>
  <si>
    <t>VV200 - NULKA KIT ASSEMBLIES</t>
  </si>
  <si>
    <t>VV201</t>
  </si>
  <si>
    <t>VV201 - Rocket Motor Assembly (RMA)</t>
  </si>
  <si>
    <t>OPN BA4 / BSA 7 / Anti-ship Missile Decoy / RMA</t>
  </si>
  <si>
    <t>VV201 - ROCKET MOTOR ASSEMBLY (RMA)</t>
  </si>
  <si>
    <t>VV600</t>
  </si>
  <si>
    <t>VV600 - MK 59</t>
  </si>
  <si>
    <t>OPN BA4 / BSA 7 / Anti-ship Missile Decoy / MK 59</t>
  </si>
  <si>
    <t>MK-59 Decoy and Launcher</t>
  </si>
  <si>
    <t>VV600 / MK 59</t>
  </si>
  <si>
    <t>OPN BA4 / BSA 7 / Anti-ship Missile Decoy / MK 59 / Procurement</t>
  </si>
  <si>
    <t>MK-59 Installations</t>
  </si>
  <si>
    <t>OPN BA4 / BSA 7 / Anti-ship Missile Decoy / MK 59 / Installation</t>
  </si>
  <si>
    <t>VV700</t>
  </si>
  <si>
    <t>VV700 - Long Endurance Electronic Decoy (LEED)</t>
  </si>
  <si>
    <t>"LEED is replacing NULKA. LEED cannot field across all navy ships (DDGs CVNs CGs LHAs LPDs LSDs LCCs and FFGs)"</t>
  </si>
  <si>
    <t>OPN BA4 / BSA 7 / Anti-ship Missile Decoy / LEED</t>
  </si>
  <si>
    <t>LEED Production Support</t>
  </si>
  <si>
    <t>VV700 / LEED</t>
  </si>
  <si>
    <t>OPN BA4 / BSA 7 / Anti-ship Missile Decoy / LEED / Prod Support</t>
  </si>
  <si>
    <t>LEED Ship Integration Planning and Installation</t>
  </si>
  <si>
    <t>OPN BA4 / BSA 7 / Anti-ship Missile Decoy / LEED / Installation</t>
  </si>
  <si>
    <t>LEED Engineering Services</t>
  </si>
  <si>
    <t>OPN BA4 / BSA 7 / Anti-ship Missile Decoy / LEED / Engineering</t>
  </si>
  <si>
    <t>5661</t>
  </si>
  <si>
    <t>Submarine Training Device Mods</t>
  </si>
  <si>
    <t>"The OPN 5661 line procures, installs and delivers training devices to eight Submarine Training Facilities. These funds support Hull, Mechanical, and Electrical (HM&amp;E), Engineering, Navigation and Combat Control System training requirements, training system upgrades and modernization for the Submarine Weapon Systems. Training devices develop system operations from basic through advanced seamanship skills to submarine crews utilized in all submarine mission sets."</t>
  </si>
  <si>
    <t>OPN BA4 / BSA 7: Other Expendable Ordnance / Submarine Training Device Mods</t>
  </si>
  <si>
    <t>Submarine Training (P-40a)</t>
  </si>
  <si>
    <t>5661 / Submarine Training Device Mods</t>
  </si>
  <si>
    <t>OPN BA4 / BSA 7 / Sub Training Device Mods / P-40a</t>
  </si>
  <si>
    <t>238</t>
  </si>
  <si>
    <t>TD 100</t>
  </si>
  <si>
    <t>TD 100 HM&amp;E Trainers</t>
  </si>
  <si>
    <t>"FY2026 funding supports procurement of two Firefighting Trainer equipment suites"</t>
  </si>
  <si>
    <t>Submarine Training</t>
  </si>
  <si>
    <t>OPN BA4 / BSA 7 / Sub Training / HM&amp;E Trainers</t>
  </si>
  <si>
    <t>239</t>
  </si>
  <si>
    <t>TD 100 HM&amp;E TRAINERS</t>
  </si>
  <si>
    <t>High Risk Trainers</t>
  </si>
  <si>
    <t>TD 100 / HM&amp;E Trainers</t>
  </si>
  <si>
    <t>OPN BA4 / BSA 7 / Sub Training / HM&amp;E / High Risk</t>
  </si>
  <si>
    <t>Submarine Training Devices</t>
  </si>
  <si>
    <t>"FY2026 procures Atmosphere Control Equipment upgrades to the simulator and Instructor Operator Station"</t>
  </si>
  <si>
    <t>OPN BA4 / BSA 7 / Sub Training / HM&amp;E / Sub Training Dev</t>
  </si>
  <si>
    <t>Ship Control Trainers</t>
  </si>
  <si>
    <t>"FY2026 procures two Ship Control Operator Trainer Technical Refreshes"</t>
  </si>
  <si>
    <t>OPN BA4 / BSA 7 / Sub Training / HM&amp;E / Ship Control</t>
  </si>
  <si>
    <t>TD200</t>
  </si>
  <si>
    <t>TD200 Engineering Trainers</t>
  </si>
  <si>
    <t>"FY2026 procures Submarine Basic Maintenance Course and FIDE training laboratories - Includes S6G S8G S9G S1B A4W A1B and CVN77 Nuclear Power Operator Trainers"</t>
  </si>
  <si>
    <t>OPN BA4 / BSA 7 / Sub Training / Engineering Trainers</t>
  </si>
  <si>
    <t>240</t>
  </si>
  <si>
    <t>TD200 ENGINEERING TRAINERS</t>
  </si>
  <si>
    <t>FIDE</t>
  </si>
  <si>
    <t>"FY2026 procures Submarine Basic Maintenance Course and FIDE training laboratories"</t>
  </si>
  <si>
    <t>TD200 / Engineering Trainers</t>
  </si>
  <si>
    <t>OPN BA4 / BSA 7 / Sub Training / Eng Trainers / FIDE</t>
  </si>
  <si>
    <t>Virtual Fleet Training Devices</t>
  </si>
  <si>
    <t>OPN BA4 / BSA 7 / Sub Training / Eng Trainers / VFTD</t>
  </si>
  <si>
    <t>Curricula and Training Materials</t>
  </si>
  <si>
    <t>OPN BA4 / BSA 7 / Sub Training / Eng Trainers / Curricula</t>
  </si>
  <si>
    <t>TD 300</t>
  </si>
  <si>
    <t>TD 300 Navigation Trainers</t>
  </si>
  <si>
    <t>OPN BA4 / BSA 7 / Sub Training / Navigation Trainers</t>
  </si>
  <si>
    <t>TD 300 NAVIGATION TRAINERS</t>
  </si>
  <si>
    <t>Navigation Safety of Ship Trainers</t>
  </si>
  <si>
    <t>TD 300 / Navigation Trainers</t>
  </si>
  <si>
    <t>OPN BA4 / BSA 7 / Sub Training / Nav Trainers / NSST</t>
  </si>
  <si>
    <t>SSBN Safety of Ship Trainers</t>
  </si>
  <si>
    <t>OPN BA4 / BSA 7 / Sub Training / Nav Trainers / SSBN SST</t>
  </si>
  <si>
    <t>Columbia Safety of Ship Trainer</t>
  </si>
  <si>
    <t>"FY2026 adds funding for procurement and delivery of Columbia Class trainer equipment"</t>
  </si>
  <si>
    <t>OPN BA4 / BSA 7 / Sub Training / Nav Trainers / Columbia SST</t>
  </si>
  <si>
    <t>Engineering Support (Nav Trainers)</t>
  </si>
  <si>
    <t>OPN BA4 / BSA 7 / Sub Training / Nav Trainers / Eng Support</t>
  </si>
  <si>
    <t>TD 400</t>
  </si>
  <si>
    <t>TD 400 Combat Control Acoustic Trainers</t>
  </si>
  <si>
    <t>OPN BA4 / BSA 7 / Sub Training / Combat Control Acoustic</t>
  </si>
  <si>
    <t>TD 400 COMBAT CONTROL ACOUSTIC TRAINERS</t>
  </si>
  <si>
    <t>Fleet Responsive Team Trainers</t>
  </si>
  <si>
    <t>"FY2026 reduces quantity procurement from five to one. This procures one Sonar Employment Trainer (SET)"</t>
  </si>
  <si>
    <t>TD 400 / Combat Control Acoustic</t>
  </si>
  <si>
    <t>OPN BA4 / BSA 7 / Sub Training / Acoustic / FRTT</t>
  </si>
  <si>
    <t>Engineering Tech Support</t>
  </si>
  <si>
    <t>"FY2026 funds Cyber Security Multi-Purpose Interactive Trainer (MIT) and STRATUS engineering support. Also provides funding to include SEAWOLF Class like sensors into the COAET for TTF Bangor training"</t>
  </si>
  <si>
    <t>OPN BA4 / BSA 7 / Sub Training / Acoustic / Eng Tech Support</t>
  </si>
  <si>
    <t>"FY2026 funds Cyber Security Multi-Purpose Interactive Trainer (MIT) and STRATUS engineering support. Also provides funding to include SEAWOLF Class like sensors into the COAET for TTF Bangor training</t>
  </si>
  <si>
    <t>TD 500</t>
  </si>
  <si>
    <t>TD 500 Attack Center Trainers</t>
  </si>
  <si>
    <t>"FY2026 procures four Submarine Attack Center modernization efforts"</t>
  </si>
  <si>
    <t>OPN BA4 / BSA 7 / Sub Training / Attack Center Trainers</t>
  </si>
  <si>
    <t>TD 500 ATTACK CENTER TRAINERS</t>
  </si>
  <si>
    <t>Submarine Attack Centers</t>
  </si>
  <si>
    <t>"FY2026 procures four Submarine Attack Center modernization efforts to include procurements related to TI/APB modernization hardware and software for SSN/SSBN/SSGN submarine attack centers"</t>
  </si>
  <si>
    <t>TD 500 / Attack Center Trainers</t>
  </si>
  <si>
    <t>OPN BA4 / BSA 7 / Sub Training / Attack Center / SAC</t>
  </si>
  <si>
    <t>SSBN SSGN SSN EPM</t>
  </si>
  <si>
    <t>"Includes 688 VA SSGN SSBN and CLB EPMs"</t>
  </si>
  <si>
    <t>OPN BA4 / BSA 7 / Sub Training / Attack Center / EPM</t>
  </si>
  <si>
    <t>SMMTT Tech Support</t>
  </si>
  <si>
    <t>"FY2026 increases due to additional tech support required for adding Large Vertical Array (LVA) capabilities to VA Class SMMTTS"</t>
  </si>
  <si>
    <t>OPN BA4 / BSA 7 / Sub Training / Attack Center / SMMTT</t>
  </si>
  <si>
    <t>Submarine Attack Center Modifications [P-3a Mod 1]</t>
  </si>
  <si>
    <t>"Submarine Attack Center Modifications line upgrades hardware, software and simulation to match current Fleet configurations."</t>
  </si>
  <si>
    <t>OPN BA4 / BSA 7 / Sub Training / P-3a Attack Center Mods</t>
  </si>
  <si>
    <t>245</t>
  </si>
  <si>
    <t>Attack Center Mods</t>
  </si>
  <si>
    <t>Sub Attack Center Mods - Procurement (B Kits)</t>
  </si>
  <si>
    <t>Sub Attack Center Mods</t>
  </si>
  <si>
    <t>OPN BA4 / BSA 7 / Sub Training / P-3a Attack Center / Procurement</t>
  </si>
  <si>
    <t>Attack Center / Procurement</t>
  </si>
  <si>
    <t>Sub Attack Center Mods - Installation</t>
  </si>
  <si>
    <t>OPN BA4 / BSA 7 / Sub Training / P-3a Attack Center / Installation</t>
  </si>
  <si>
    <t>Attack Center / Installation</t>
  </si>
  <si>
    <t>5664</t>
  </si>
  <si>
    <t>Surface Training Equipment</t>
  </si>
  <si>
    <t>"This line provides funding to procure, modify, and upgrade training devices to keep them compatible with equivalent changes made to Fleet operational equipment. Funds ensure alignment between Surface Learning Centers and Fleet Concentration Area training systems and Fleet training requirements as dictated by the Surface Training Investment Plan (STIP). SURFACE TRAINING ADVANCED VIRTUAL ENVIRONMENT (STAVE) SEAFRAME SIMULATORS Funds provided for hardware and software associated with tech refresh of the training systems at the Littoral Combat Ships (LCS) Training Facilities (LTF) and Surface Warfare Schools Command (SWSC) Newport, RI."</t>
  </si>
  <si>
    <t>OPN BA4 / BSA 7: Other Expendable Ordnance / Surface Training Equipment</t>
  </si>
  <si>
    <t>CVN 78 Class Training Equipment</t>
  </si>
  <si>
    <t>STAVE Seaframe Simulators</t>
  </si>
  <si>
    <t>5664 / Surface Training Equipment</t>
  </si>
  <si>
    <t>OPN BA4 / BSA 7 / Surface Training / STAVE</t>
  </si>
  <si>
    <t>Virtual Reality Labs Networks &amp; Modernization</t>
  </si>
  <si>
    <t>STAVE Simulators</t>
  </si>
  <si>
    <t>OPN BA4 / BSA 7 / Surface Training / STAVE / VR Labs</t>
  </si>
  <si>
    <t>Mission Bay Trainers &amp; Modernization</t>
  </si>
  <si>
    <t>OPN BA4 / BSA 7 / Surface Training / STAVE / Mission Bay</t>
  </si>
  <si>
    <t>Integrated Tactical Trainer (ITT) Modernization</t>
  </si>
  <si>
    <t>OPN BA4 / BSA 7 / Surface Training / STAVE / ITT</t>
  </si>
  <si>
    <t>Bridge Part Task Trainers (BPTT) &amp; Modernization</t>
  </si>
  <si>
    <t>OPN BA4 / BSA 7 / Surface Training / STAVE / BPTT</t>
  </si>
  <si>
    <t>Combat Systems Virtual Operations Trainers (CS VOT)</t>
  </si>
  <si>
    <t>OPN BA4 / BSA 7 / Surface Training / STAVE / CS VOT</t>
  </si>
  <si>
    <t>Courseware</t>
  </si>
  <si>
    <t>OPN BA4 / BSA 7 / Surface Training / STAVE / Courseware</t>
  </si>
  <si>
    <t>Total Ship Training Capability (TSTC) / BFTT/ATD</t>
  </si>
  <si>
    <t>OPN BA4 / BSA 7 / Surface Training / TSTC</t>
  </si>
  <si>
    <t>Total Ship Training Capability (TSTC) formerly MB040 - BFTT/ATD SHIP SETS/TSTC</t>
  </si>
  <si>
    <t>MB040 - Combined IAMD/ASW Trainer (CIAT)</t>
  </si>
  <si>
    <t>TSTC</t>
  </si>
  <si>
    <t>OPN BA4 / BSA 7 / Surface Training / TSTC / CIAT</t>
  </si>
  <si>
    <t>MB040 BFTT/ATD/TSTC Upgrade Kits</t>
  </si>
  <si>
    <t>MB040</t>
  </si>
  <si>
    <t>MB040 - Surface Advanced Virtual Environment (STAVE)</t>
  </si>
  <si>
    <t>OPN BA4 / BSA 7 / Surface Training / TSTC / STAVE</t>
  </si>
  <si>
    <t>MB040 - Live Virtual and Constructive (LVC) Training</t>
  </si>
  <si>
    <t>OPN BA4 / BSA 7 / Surface Training / TSTC / LVC</t>
  </si>
  <si>
    <t>OPN BA4 / BSA 7 / Surface Training / CVN 78 Training</t>
  </si>
  <si>
    <t>LCAC Lifecycle Training System</t>
  </si>
  <si>
    <t>OPN BA4 / BSA 7 / Surface Training / LCAC Training</t>
  </si>
  <si>
    <t>Surface Training Equipment - RRL Infrastructure</t>
  </si>
  <si>
    <t>OPN BA4 / BSA 7 / Surface Training / RRL Infrastructure</t>
  </si>
  <si>
    <t>Surface Training Equipment - RRL infrastructure and simulation development efforts</t>
  </si>
  <si>
    <t>TS004</t>
  </si>
  <si>
    <t>TS004 Surface Training Device Mods [P-5]</t>
  </si>
  <si>
    <t>OPN BA4 / BSA 7 / Surface Training / P-5 TS004</t>
  </si>
  <si>
    <t>TS004 Surface Training Device Mods [TS004]</t>
  </si>
  <si>
    <t>Navigation Trainers</t>
  </si>
  <si>
    <t>TS004 / TS004 Surface Training</t>
  </si>
  <si>
    <t>OPN BA4 / BSA 7 / Surface Training / TS004 / Nav Trainers</t>
  </si>
  <si>
    <t>257</t>
  </si>
  <si>
    <t>AEGIS Ashore Trainer/C4I/Tech Refresh</t>
  </si>
  <si>
    <t>OPN BA4 / BSA 7 / Surface Training / TS004 / AEGIS Ashore</t>
  </si>
  <si>
    <t>Combined IAMD/ASW Trainer (CIAT)</t>
  </si>
  <si>
    <t>OPN BA4 / BSA 7 / Surface Training / TS004 / CIAT</t>
  </si>
  <si>
    <t>Navy Training System Plan (NTSP TTE/TD Mods)</t>
  </si>
  <si>
    <t>OPN BA4 / BSA 7 / Surface Training / TS004 / NTSP</t>
  </si>
  <si>
    <t>STAVE SEAFRAME SIMULATORS (DDG LPD LHA LHD FFG)</t>
  </si>
  <si>
    <t>OPN BA4 / BSA 7 / Surface Training / TS004 / STAVE SIM</t>
  </si>
  <si>
    <t>Surface Minor Mods</t>
  </si>
  <si>
    <t>OPN BA4 / BSA 7 / Surface Training / TS004 / Minor Mods</t>
  </si>
  <si>
    <t>FFT/SLEP/Modular Trainer</t>
  </si>
  <si>
    <t>OPN BA4 / BSA 7 / Surface Training / TS004 / FFT SLEP</t>
  </si>
  <si>
    <t>FCA Trainers</t>
  </si>
  <si>
    <t>OPN BA4 / BSA 7 / Surface Training / TS004 / FCA</t>
  </si>
  <si>
    <t>MB040 - BFTT/ATD Ship Sets [P-3a Mod 1]</t>
  </si>
  <si>
    <t>"The Total Ship Training Capability (TSTC)/Advanced Training Domain (ATD)/ Battle Force Tactical Training (BFTT) family of systems provides realistic joint warfare training across the spectrum of armed conflict; realistic unit level team training in all warfare areas; a means to link ships together which are in different homeports for coordinated training; external stimulation of shipboard training systems; and simulation of non-shipboard forces. TSTC/ATD/BFTT uses a distributed architecture, integrating existing training systems, and uses Distributed Interactive Simulation (DIS) and High Level Architecture (HLA) protocols. TSTC/ATD/BFTT provides ships' Commanding Officers and Strike Group/Battle Force (SG/BF) Commanders with the ability to conduct coordinated realistic, high stress, combat system level team training as an integral part of the Afloat Training Groups (ATGs), the Tactical Training Groups and C2F/C3F Fleet Synthetic Training (FSTs)/Live Virtual Constructive (LVC) exercises."</t>
  </si>
  <si>
    <t>OPN BA4 / BSA 7 / Surface Training / P-3a BFTT Ship Sets</t>
  </si>
  <si>
    <t>BFTT/ATD Ship Sets - Procurement (B Kits)</t>
  </si>
  <si>
    <t>BFTT Ship Sets</t>
  </si>
  <si>
    <t>OPN BA4 / BSA 7 / Surface Training / P-3a BFTT / Procurement</t>
  </si>
  <si>
    <t>BFTT / Procurement</t>
  </si>
  <si>
    <t>BFTT/ATD Ship Sets - Installation</t>
  </si>
  <si>
    <t>OPN BA4 / BSA 7 / Surface Training / P-3a BFTT / Installation</t>
  </si>
  <si>
    <t>BFTT / Installation</t>
  </si>
  <si>
    <t>MB040 BFTT/ATD/TSTC Upgrade Kits [P-3a Mod 2]</t>
  </si>
  <si>
    <t>"Total Ship Training Capability (TSTC)/ Battle Force Tactical Training (BFTT) family of systems Upgrade Kits procure, install, and remove various quantities of upgrade kit/Engineering Change Proposal (ECP) system components, ShipAlts, Field Changes and Software Deliveries on surface ships and related shore sites to support the fleet's needs. Upgrade kits also support Shipboard Connectivity Suite (SCS) Tech Refresh and Fleet Synthetic Training (FST) Shipboard Network Connectivity upgrades. [BFTT/ATD/TSTC Upgrade Kits] ShipAlts are upgrades driven by Combat Systems configuration as well as training configuration requirements."</t>
  </si>
  <si>
    <t>OPN BA4 / BSA 7 / Surface Training / P-3a BFTT Upgrade Kits</t>
  </si>
  <si>
    <t>BFTT/ATD/TSTC Upgrade Kits - Procurement (B Kits)</t>
  </si>
  <si>
    <t>BFTT Upgrade Kits</t>
  </si>
  <si>
    <t>OPN BA4 / BSA 7 / Surface Training / P-3a Upgrade / Procurement</t>
  </si>
  <si>
    <t>Upgrade / Procurement</t>
  </si>
  <si>
    <t>BFTT/ATD/TSTC Upgrade Kits - Installation</t>
  </si>
  <si>
    <t>OPN BA4 / BSA 7 / Surface Training / P-3a Upgrade / Installation</t>
  </si>
  <si>
    <t>Upgrade / Installation</t>
  </si>
  <si>
    <t>OPN_BA5-8</t>
  </si>
  <si>
    <t>BA03</t>
  </si>
  <si>
    <t>Total Aviation Support Equipment</t>
  </si>
  <si>
    <t>Exhibit P-1 / BA03 Aviation Support Equipment</t>
  </si>
  <si>
    <t>Exhibit P-1 / BA03 Aviation Support Equipment / Aircraft Support Equipment</t>
  </si>
  <si>
    <t>25</t>
  </si>
  <si>
    <t>BA05</t>
  </si>
  <si>
    <t>Total Civil Engineering Support Equipment</t>
  </si>
  <si>
    <t>Exhibit P-1 / BA05 Civil Engineering Support Equipment</t>
  </si>
  <si>
    <t>Amphibious Equipment</t>
  </si>
  <si>
    <t>This budget line item funds the procurement of equipment to support Navy-Marine Corps amphibious operations, Logistics Over the Shore, and Joint Logistics Over the Shore operations. This provides the ability to execute the ship to shore transfer of vehicles, dry cargo, and liquid cargo, delivered over bare beaches</t>
  </si>
  <si>
    <t>Exhibit P-40 / BA05 Civil Engineering Support Equipment / Civil Engineering Support Equipment / Line 146</t>
  </si>
  <si>
    <t>6033</t>
  </si>
  <si>
    <t>BA06</t>
  </si>
  <si>
    <t>Total Supply Support Equipment</t>
  </si>
  <si>
    <t>Exhibit P-1 / BA06 Supply Support Equipment</t>
  </si>
  <si>
    <t>Supply Equipment</t>
  </si>
  <si>
    <t>Material Handling Equipment (MHE) and Shipboard Mobile Support Equipment (SMSE) is critical as ships cannot be mission-ready without the proper MHE/SMSE to move essential ammo, stores and material. Includes Navy Cash program for shipboard retail automation.</t>
  </si>
  <si>
    <t>Exhibit P-40 / BA06 Supply Support Equipment / Supply Support Equipment / Line 151</t>
  </si>
  <si>
    <t>7025</t>
  </si>
  <si>
    <t>151-SB</t>
  </si>
  <si>
    <t>Supply Equipment - Shipboard Program</t>
  </si>
  <si>
    <t>151 / Supply Equipment</t>
  </si>
  <si>
    <t>Exhibit P-40 / BA06 Supply Support Equipment / Supply Support Equipment / Line 151 / Shipboard Program</t>
  </si>
  <si>
    <t>Special Purpose Supply Systems</t>
  </si>
  <si>
    <t>The details of this budget justification are classified, per Executive Order 13526, Sec 1.4 (a) and are submitted annually to Congress in the classified budget justification book.</t>
  </si>
  <si>
    <t>Exhibit P-40 / BA06 Supply Support Equipment / Supply Support Equipment / Line 153</t>
  </si>
  <si>
    <t>7069</t>
  </si>
  <si>
    <t>BA07</t>
  </si>
  <si>
    <t>Total Personnel &amp; Command Support Equipment</t>
  </si>
  <si>
    <t>Exhibit P-1 / BA07 Personnel &amp; Command Support Equipment</t>
  </si>
  <si>
    <t>Medical Support Equipment</t>
  </si>
  <si>
    <t>The Medical Support Equipment (MSE) program funds new medical capability and new technology on naval operating ships. MSE configuration management, spares, technical manuals and installations are also funded through this line item.</t>
  </si>
  <si>
    <t>Exhibit P-40 / BA07 Personnel &amp; Command Support Equipment / Command Support Equipment / Line 158</t>
  </si>
  <si>
    <t>8109</t>
  </si>
  <si>
    <t>BA08</t>
  </si>
  <si>
    <t>Total Spares and Repair Parts</t>
  </si>
  <si>
    <t>Exhibit P-1 / BA08 Spares and Repair Parts</t>
  </si>
  <si>
    <t>OPN-8 Budget Line Item (BLI) 9020 Spares and Repair Parts Budget provides funding to procure spares for systems and equipment budgeted in Budget Activities (BA) 01-07. This budget is a follow on account, which supports End Item Hardware procurements.</t>
  </si>
  <si>
    <t>Exhibit P-40 / BA08 Spares and Repair Parts / Spares and Repair Parts / Line 176 (BLIN 9020)</t>
  </si>
  <si>
    <t>VIRGINIA Class (VACL) Spares and Repair Parts</t>
  </si>
  <si>
    <t>The VIRGINIA Class (VACL) Spares and Repair Parts program was a new program line started in FY 2024 specifically added to address ongoing issues with execution of VIRGINIA Class (VACL) Chief of Naval Operations (CNO) maintenance availabilities. Specifically, lack of material is significantly impacting the ability of shipyards to be able to start work on time, conduct required repairs, and complete work in a timely and efficient manner.</t>
  </si>
  <si>
    <t>Exhibit P-40 / BA08 Spares and Repair Parts / Spares and Repair Parts / Line 177 (BLIN 9021)</t>
  </si>
  <si>
    <t>The VIRGINIA Class (VACL) Spares and Repair Parts program was a new program line started in FY 2024 specifically added to address ongoing issues with execution of VIRGINIA Class (VACL) Chief of Naval</t>
  </si>
  <si>
    <t>176/0920</t>
  </si>
  <si>
    <t>Outfitting-COSAL</t>
  </si>
  <si>
    <t>176 / Spares and Repair Parts</t>
  </si>
  <si>
    <t>Exhibit P-40 / BA08 Spares and Repair Parts / Line 176 / P-18 Initial Spares / BLIN 0920</t>
  </si>
  <si>
    <t>0920</t>
  </si>
  <si>
    <t>176/0840</t>
  </si>
  <si>
    <t>Sub Periscope, Imaging &amp; Supt Equip (Initial)</t>
  </si>
  <si>
    <t>Exhibit P-40 / BA08 Spares and Repair Parts / Line 176 / P-18 Initial Spares / BLIN 0840</t>
  </si>
  <si>
    <t>176/0900</t>
  </si>
  <si>
    <t>DDG Mod (Initial Spares)</t>
  </si>
  <si>
    <t>Exhibit P-40 / BA08 Spares and Repair Parts / Line 176 / P-18 Initial Spares / BLIN 0900</t>
  </si>
  <si>
    <t>176/0930</t>
  </si>
  <si>
    <t>Wholesale Supply Inventory</t>
  </si>
  <si>
    <t>Exhibit P-40 / BA08 Spares and Repair Parts / Line 176 / P-18 Initial Spares / BLIN 0930</t>
  </si>
  <si>
    <t>0930</t>
  </si>
  <si>
    <t>176/5231</t>
  </si>
  <si>
    <t>Ship Missile Support Equip (Initial Spares)</t>
  </si>
  <si>
    <t>Exhibit P-40 / BA08 Spares and Repair Parts / Line 176 / P-18 Initial Spares / BLIN 5231</t>
  </si>
  <si>
    <t>176/2150</t>
  </si>
  <si>
    <t>SSN Acoustic Equipment (Initial Spares)</t>
  </si>
  <si>
    <t>Exhibit P-40 / BA08 Spares and Repair Parts / Line 176 / P-18 Initial Spares / BLIN 2150</t>
  </si>
  <si>
    <t>176/2312</t>
  </si>
  <si>
    <t>AN/SLQ-32 (Initial Spares)</t>
  </si>
  <si>
    <t>Exhibit P-40 / BA08 Spares and Repair Parts / Line 176 / P-18 Initial Spares / BLIN 2312</t>
  </si>
  <si>
    <t>176/1601</t>
  </si>
  <si>
    <t>LCS MCM Mission Modules (Initial Spares)</t>
  </si>
  <si>
    <t>Exhibit P-40 / BA08 Spares and Repair Parts / Line 176 / P-18 Initial Spares / BLIN 1601</t>
  </si>
  <si>
    <t>176/2606</t>
  </si>
  <si>
    <t>Cooperative Engagement Capability (Initial Spares)</t>
  </si>
  <si>
    <t>Exhibit P-40 / BA08 Spares and Repair Parts / Line 176 / P-18 Initial Spares / BLIN 2606</t>
  </si>
  <si>
    <t>358</t>
  </si>
  <si>
    <t>176/0670</t>
  </si>
  <si>
    <t>Other Navigation Equipment (Initial Spares)</t>
  </si>
  <si>
    <t>Exhibit P-40 / BA08 Spares and Repair Parts / Line 176 / P-18 Initial Spares / BLIN 0670</t>
  </si>
  <si>
    <t>176/1604</t>
  </si>
  <si>
    <t>LCS In-Service Modernization (Initial Spares)</t>
  </si>
  <si>
    <t>Exhibit P-40 / BA08 Spares and Repair Parts / Line 176 / P-18 Initial Spares / BLIN 1604</t>
  </si>
  <si>
    <t>176/2826</t>
  </si>
  <si>
    <t>Afloat ATC Equipment (Initial Spares)</t>
  </si>
  <si>
    <t>Exhibit P-40 / BA08 Spares and Repair Parts / Line 176 / P-18 Initial Spares / BLIN 2826</t>
  </si>
  <si>
    <t>2826</t>
  </si>
  <si>
    <t>176/1611</t>
  </si>
  <si>
    <t>Small &amp; Medium UUV (Initial Spares)</t>
  </si>
  <si>
    <t>Exhibit P-40 / BA08 Spares and Repair Parts / Line 176 / P-18 Initial Spares / BLIN 1611</t>
  </si>
  <si>
    <t>176/2136</t>
  </si>
  <si>
    <t>AN/SQQ-89 (Initial Spares)</t>
  </si>
  <si>
    <t>Exhibit P-40 / BA08 Spares and Repair Parts / Line 176 / P-18 Initial Spares / BLIN 2136</t>
  </si>
  <si>
    <t>176/2210</t>
  </si>
  <si>
    <t>Submarine Acoustic Warfare System (Initial Spares)</t>
  </si>
  <si>
    <t>Exhibit P-40 / BA08 Spares and Repair Parts / Line 176 / P-18 Initial Spares / BLIN 2210</t>
  </si>
  <si>
    <t>176/0933</t>
  </si>
  <si>
    <t>LHA/LHD Midlife (Initial Spares)</t>
  </si>
  <si>
    <t>Exhibit P-40 / BA08 Spares and Repair Parts / Line 176 / P-18 Initial Spares / BLIN 0933</t>
  </si>
  <si>
    <t>176/1210</t>
  </si>
  <si>
    <t>Standard Boats (Initial Spares)</t>
  </si>
  <si>
    <t>Exhibit P-40 / BA08 Spares and Repair Parts / Line 176 / P-18 Initial Spares / BLIN 1210</t>
  </si>
  <si>
    <t>176/2176</t>
  </si>
  <si>
    <t>Undersea Warfare Support Equip (Initial Spares)</t>
  </si>
  <si>
    <t>Exhibit P-40 / BA08 Spares and Repair Parts / Line 176 / P-18 Initial Spares / BLIN 2176</t>
  </si>
  <si>
    <t>176/2237</t>
  </si>
  <si>
    <t>SURTASS (Initial Spares)</t>
  </si>
  <si>
    <t>Exhibit P-40 / BA08 Spares and Repair Parts / Line 176 / P-18 Initial Spares / BLIN 2237</t>
  </si>
  <si>
    <t>176/0200</t>
  </si>
  <si>
    <t>Surface Combatant HM&amp;E (Initial Spares)</t>
  </si>
  <si>
    <t>Exhibit P-40 / BA08 Spares and Repair Parts / Line 176 / P-18 Initial Spares / BLIN 0200</t>
  </si>
  <si>
    <t>176/3050</t>
  </si>
  <si>
    <t>Ship Communications Automation (Initial Spares)</t>
  </si>
  <si>
    <t>Exhibit P-40 / BA08 Spares and Repair Parts / Line 176 / P-18 Initial Spares / BLIN 3050</t>
  </si>
  <si>
    <t>176/0977</t>
  </si>
  <si>
    <t>Underwater EOD Equipment (Initial Spares)</t>
  </si>
  <si>
    <t>Exhibit P-40 / BA08 Spares and Repair Parts / Line 176 / P-18 Initial Spares / BLIN 0977</t>
  </si>
  <si>
    <t>176/0942</t>
  </si>
  <si>
    <t>Virginia Class Support Equipment (Initial Spares)</t>
  </si>
  <si>
    <t>Exhibit P-40 / BA08 Spares and Repair Parts / Line 176 / P-18 Initial Spares / BLIN 0942</t>
  </si>
  <si>
    <t>176/1603</t>
  </si>
  <si>
    <t>LCS SUW Mission Modules (Initial Spares)</t>
  </si>
  <si>
    <t>Exhibit P-40 / BA08 Spares and Repair Parts / Line 176 / P-18 Initial Spares / BLIN 1603</t>
  </si>
  <si>
    <t>176/0840-R</t>
  </si>
  <si>
    <t>Sub Periscope, Imaging &amp; Supt Equip (Replenishment)</t>
  </si>
  <si>
    <t>Exhibit P-40 / BA08 Spares and Repair Parts / Line 176 / P-18 Replenishment Spares / BLIN 0840</t>
  </si>
  <si>
    <t>176/0950-R</t>
  </si>
  <si>
    <t>Strategic Platform Support Equip (Replenishment)</t>
  </si>
  <si>
    <t>Exhibit P-40 / BA08 Spares and Repair Parts / Line 176 / P-18 Replenishment Spares / BLIN 0950</t>
  </si>
  <si>
    <t>176/5111-R</t>
  </si>
  <si>
    <t>Ship Gun Systems Equipment (Replenishment)</t>
  </si>
  <si>
    <t>Exhibit P-40 / BA08 Spares and Repair Parts / Line 176 / P-18 Replenishment Spares / BLIN 5111</t>
  </si>
  <si>
    <t>176/5358-R</t>
  </si>
  <si>
    <t>Strategic Missile Systems Equip (Replenishment)</t>
  </si>
  <si>
    <t>Exhibit P-40 / BA08 Spares and Repair Parts / Line 176 / P-18 Replenishment Spares / BLIN 5358</t>
  </si>
  <si>
    <t>360</t>
  </si>
  <si>
    <t>176/2622-R</t>
  </si>
  <si>
    <t>Minesweeping System Replacement (Replenishment)</t>
  </si>
  <si>
    <t>Exhibit P-40 / BA08 Spares and Repair Parts / Line 176 / P-18 Replenishment Spares / BLIN 2622</t>
  </si>
  <si>
    <t>176/2210-R</t>
  </si>
  <si>
    <t>Submarine Acoustic Warfare System (Replenishment)</t>
  </si>
  <si>
    <t>Exhibit P-40 / BA08 Spares and Repair Parts / Line 176 / P-18 Replenishment Spares / BLIN 2210</t>
  </si>
  <si>
    <t>176/5429-R</t>
  </si>
  <si>
    <t>ASW Support Equipment (Replenishment)</t>
  </si>
  <si>
    <t>Exhibit P-40 / BA08 Spares and Repair Parts / Line 176 / P-18 Replenishment Spares / BLIN 5429</t>
  </si>
  <si>
    <t>176/1603-R</t>
  </si>
  <si>
    <t>LCS SUW Mission Modules (Replenishment)</t>
  </si>
  <si>
    <t>Exhibit P-40 / BA08 Spares and Repair Parts / Line 176 / P-18 Replenishment Spares / BLIN 1603</t>
  </si>
  <si>
    <t>177/0921</t>
  </si>
  <si>
    <t>Outfitting-VACL</t>
  </si>
  <si>
    <t>177 / VIRGINIA Class (VACL) Spares and Repair Parts</t>
  </si>
  <si>
    <t>Exhibit P-40 / BA08 Spares and Repair Parts / Line 177 / P-18 / BLIN 0921</t>
  </si>
  <si>
    <t>364</t>
  </si>
  <si>
    <t>0921</t>
  </si>
  <si>
    <t>WPN</t>
  </si>
  <si>
    <t>1250</t>
  </si>
  <si>
    <t>TRIDENT II Mods</t>
  </si>
  <si>
    <t>To maintain a strong strategic deterrent, the US Navy modernized the TRIDENT II (D5) missiles to the D5LE version, enhancing submarine survivability with increased range, minimizing costs by maximizing payload, and adding hard target kill capability for deployment on OHIO and COLUMBIA-class submarines.</t>
  </si>
  <si>
    <t>1507N &gt; BA 01 &gt; BSA 2: Modification of Missiles &gt; LI 1250 TRIDENT II Mods</t>
  </si>
  <si>
    <t>TRIDENT II Mods: D5 Life Extension</t>
  </si>
  <si>
    <t>The D5 Life Extension (D5LE) program funds re-entry body Joint Fuze Sustainment, the guidance system SPALT kits program, procures missile electronics packages (Flight Control Electronic Assembly, Missile Inverter, Command Sequencer, and Interlocks) and production support.</t>
  </si>
  <si>
    <t>2 / TRIDENT II Mods</t>
  </si>
  <si>
    <t>1507N &gt; BA 01 &gt; LI 1250 &gt; P-5 Item 1: D5 Life Extension</t>
  </si>
  <si>
    <t>TRIDENT II Mods - D5 Life Extension</t>
  </si>
  <si>
    <t>TRIDENT II Mods: Operating &amp; Support Costs</t>
  </si>
  <si>
    <t>The Operating and Support Costs program funds efforts associated with the sustainment of TRIDENT II (D5) and the converted D5LE missiles to include Warhead Components, Mk4B Shape Stable Nose Tip (SSNT), Tooling, Test/Support Equipment, system integration and planning efforts, Supportability Modifications/Strategic Programs Alteration (SPALT) Insertion, SRM, PBCS, and Industrial Base Sub-Tier Recapitalization - Strategic Solid Rocket Motors (SSRM).</t>
  </si>
  <si>
    <t>1507N &gt; BA 01 &gt; LI 1250 &gt; P-5 Item 2: Operating &amp; Support Costs</t>
  </si>
  <si>
    <t>TRIDENT II Mods -Operating and Support Costs</t>
  </si>
  <si>
    <t>TRIDENT II Mods: D5 Life Extension 2 (D5LE2)</t>
  </si>
  <si>
    <t>The D5 Life Extension II (D5LE2) subprogram, supporting the COLUMBIA-class Submarine, will continue WPN activities on the detailed design and non-recurring engineering efforts critical for the Strategic Weapons Systems (SWS) subsystems (Missile, Guidance, Fire Control, Launcher, Navigation, etc.) to incorporate design impacts driven by system level requirement refinement.</t>
  </si>
  <si>
    <t>1507N &gt; BA 01 &gt; LI 1250 &gt; P-5 Item 3: D5LE2</t>
  </si>
  <si>
    <t>1350</t>
  </si>
  <si>
    <t>Missile Industrial Facilities</t>
  </si>
  <si>
    <t>Funding for Missile Industrial Facilities provides for capital maintenance projects at Navy-owned Naval Industrial Reserve Ordnance Plants (NIROPs) at Sunnyvale, California, Santa Cruz, California, and Bacchus, Utah in support of the Fleet Ballistic Missile program.</t>
  </si>
  <si>
    <t>1507N &gt; BA 01 &gt; BSA 3: Support Equipment &amp; Facilities &gt; LI 1350 Missile Industrial Facilities</t>
  </si>
  <si>
    <t>2101</t>
  </si>
  <si>
    <t>Tomahawk</t>
  </si>
  <si>
    <t>The Block V TACTOM (Tactical Tomahawk) surface launched guided missile (RGM) and undersea guided missile (UGM) (TACTOM RGM/UGM-109E) preserves Tomahawk's long-range precision-strike capability while increasing responsiveness and flexibility. TACTOM is capable of in-flight retargeting, the ability to loiter over the battlefield, in-flight missile health and status monitoring, and battle damage indication.</t>
  </si>
  <si>
    <t>1507N &gt; BA 02 &gt; BSA 1: Strategic Missiles &gt; LI 2101 Tomahawk</t>
  </si>
  <si>
    <t>2206</t>
  </si>
  <si>
    <t>AMRAAM</t>
  </si>
  <si>
    <t>The Advanced Medium Range Air-to-Air Missile (AMRAAM) is a joint Air Force/Navy, Acquisition Category 1C program with Air Force as lead service. AMRAAM is the premier all-weather, all-environment, radar-guided missile with improved capabilities against very low and high-altitude targets in an electronic attack environment.</t>
  </si>
  <si>
    <t>1507N &gt; BA 02 &gt; BSA 2: Tactical Missiles &gt; LI 2206 AMRAAM</t>
  </si>
  <si>
    <t>2209</t>
  </si>
  <si>
    <t>Sidewinder</t>
  </si>
  <si>
    <t>The AIM-9X Block II Sidewinder (AIM-9X Blk II) continues the evolution of the AIM-9 series of missiles. This missile program delivers a launch and leave, air combat munition that uses passive Infrared (IR) energy to acquire and track enemy air targets and complements the radar guided Advanced Medium Range Air-to-Air Missile (AMRAAM).</t>
  </si>
  <si>
    <t>1507N &gt; BA 02 &gt; BSA 2: Tactical Missiles &gt; LI 2209 Sidewinder</t>
  </si>
  <si>
    <t>SIDEWINDER BLOCK II</t>
  </si>
  <si>
    <t>Joint Advance Tactical Missile (JATM)</t>
  </si>
  <si>
    <t>The details of this budget justification are classified per Executive Order 13526 Sec 1.4 (a) and are submitted annually to Congress in the classified budget justification book.</t>
  </si>
  <si>
    <t>1507N &gt; BA 02 &gt; BSA 2: Tactical Missiles &gt; LI 2210 JATM</t>
  </si>
  <si>
    <t>2234</t>
  </si>
  <si>
    <t>Standard Missile</t>
  </si>
  <si>
    <t>The SM-6 Block I/IA/IAU provides an extended range engagement capability to provide the air superiority and the umbrella of protection for joint U.S. forces and allies against the full spectrum of manned-fixed and rotary-winged aircraft, unmanned aerial vehicles, and land attack and anti-ship cruise missiles in flight. The SM-6 is the primary extended range air defense weapon for AEGIS cruisers and destroyers, Constellation class frigate and potentially future combatants.</t>
  </si>
  <si>
    <t>1507N &gt; BA 02 &gt; BSA 2: Tactical Missiles &gt; LI 2234 Standard Missile</t>
  </si>
  <si>
    <t>STANDARD MISSILE</t>
  </si>
  <si>
    <t>Standard Missile Advance Procurement</t>
  </si>
  <si>
    <t>FY 24 is the first year of a base plus option procurement. Advanced procurement includes the acquisition of long lead items or economic order quantities (EOQ) of items (advanced EOQ acquisition). Advance material may include materials, parts, components, and effort that must be funded in advance to maintain a planned production schedule.</t>
  </si>
  <si>
    <t>10 / Standard Missile</t>
  </si>
  <si>
    <t>1507N &gt; BA 02 &gt; BSA 2: Tactical Missiles &gt; LI 2234 Standard Missile AP</t>
  </si>
  <si>
    <t>2238</t>
  </si>
  <si>
    <t>Small Diameter Bomb II (SDB II)</t>
  </si>
  <si>
    <t>Small Diameter Bomb Increment II (SDB II) is an ACAT 1C program providing the warfighter a capability to attack mobile targets in all weather. The U.S. Air Force (USAF) is the lead service. The SDB II increases joint lethality in contested environments.</t>
  </si>
  <si>
    <t>1507N &gt; BA 02 &gt; BSA 2: Tactical Missiles &gt; LI 2238 SDB II</t>
  </si>
  <si>
    <t>2242</t>
  </si>
  <si>
    <t>Rolling Airframe Missile (RAM)</t>
  </si>
  <si>
    <t>Rolling Airframe Missile (RAM) is a high firepower missile system used to defeat Anti-Ship Cruise Missiles (ASCMs), as well as other airborne threats. The RAM missile is fired from a RAM Guided Missile Launching System (GMLS) (MK-49), which holds 21 RAM rounds. RAM is also fired from the Close-In Weapon System (CIWS) SeaRAM Anti-Ship Missile Defense System (MK-15 MOD 31-33) which holds 11 rounds.</t>
  </si>
  <si>
    <t>1507N &gt; BA 02 &gt; BSA 2: Tactical Missiles &gt; LI 2242 RAM</t>
  </si>
  <si>
    <t>MSE Missile</t>
  </si>
  <si>
    <t>Reconciliation-only item. No detail exhibit in unclassified justification book. FY2026 mandatory funding only.</t>
  </si>
  <si>
    <t>1507N &gt; BA 02 &gt; BSA 2: Tactical Missiles &gt; MSE Missile (P-1 only)</t>
  </si>
  <si>
    <t>2248</t>
  </si>
  <si>
    <t>Joint Air Ground Missile (JAGM)</t>
  </si>
  <si>
    <t>The Joint Air-to-Ground Missile (JAGM) is an Army-led air-launched missile system that incorporates multi-mode seeker technology thus providing advanced Line-of-Sight and Beyond-Line-of-Sight precision fire-and-forget seeker targeting capabilities resulting in increased lethality against soft, hardened, moving, stationary, land, and maritime threats.</t>
  </si>
  <si>
    <t>1507N &gt; BA 02 &gt; BSA 2: Tactical Missiles &gt; LI 2248 JAGM</t>
  </si>
  <si>
    <t>2254</t>
  </si>
  <si>
    <t>Hellfire</t>
  </si>
  <si>
    <t>AGM-114 Hellfire is a family of laser guided missiles employed against stationary, moving, land, aerial and maritime targets by both rotary and fixed wing aircraft.</t>
  </si>
  <si>
    <t>1507N &gt; BA 02 &gt; BSA 2: Tactical Missiles &gt; LI 2254 Hellfire</t>
  </si>
  <si>
    <t>Hellfire Missile</t>
  </si>
  <si>
    <t>2280</t>
  </si>
  <si>
    <t>Aerial Targets</t>
  </si>
  <si>
    <t>The Aerial Targets program provides threat representative aerial targets for test and evaluation (T&amp;E) and fleet training events. Assets procured under this line item are used to simulate and replicate currently fielded subsonic and supersonic Anti-Ship Cruise Missile (ASCM) threats and Air-to-Air threats.</t>
  </si>
  <si>
    <t>1507N &gt; BA 02 &gt; BSA 2: Tactical Missiles &gt; LI 2280 Aerial Targets</t>
  </si>
  <si>
    <t>Subsonic Aerial Targets</t>
  </si>
  <si>
    <t>Aerial Targets: Subsonic Aerial Targets</t>
  </si>
  <si>
    <t>2280 / Aerial Targets</t>
  </si>
  <si>
    <t>1507N &gt; BA 02 &gt; LI 2280 &gt; P-5 Item 1: Subsonic Aerial Targets</t>
  </si>
  <si>
    <t>Aerial Targets: Supersonic Targets</t>
  </si>
  <si>
    <t>1507N &gt; BA 02 &gt; LI 2280 &gt; P-5 Item 2: Supersonic Targets</t>
  </si>
  <si>
    <t>Supersonic Targets</t>
  </si>
  <si>
    <t>Aerial Targets: Full Scale Aerial Target</t>
  </si>
  <si>
    <t>1507N &gt; BA 02 &gt; LI 2280 &gt; P-5 Item 3: Full Scale Aerial Target</t>
  </si>
  <si>
    <t>Full Scale Aerial Target</t>
  </si>
  <si>
    <t>Aerial Targets: Target Aug/Aux System</t>
  </si>
  <si>
    <t>1507N &gt; BA 02 &gt; LI 2280 &gt; P-5 Item 4: Target Aug/Aux System</t>
  </si>
  <si>
    <t>Target Aug/Aux System</t>
  </si>
  <si>
    <t>2290</t>
  </si>
  <si>
    <t>Other Missile Support</t>
  </si>
  <si>
    <t>The MK-41 Vertical Launching System (VLS) is a surface combatant missile launching system designed to store, select, and launch various Standard Missile configurations, Tomahawk, Tactical Tomahawk (TACTOM), Evolved SeaSparrow (ESSM) and Vertical Launch Anti-Submarine Rocket (ASROC) (VLA) missiles. The MK-41 VLS significantly improves missile capacity, flexibility, multi-mission capability, and reaction time.</t>
  </si>
  <si>
    <t>1507N &gt; BA 02 &gt; BSA 2: Tactical Missiles &gt; LI 2290 Other Missile Support</t>
  </si>
  <si>
    <t>2291</t>
  </si>
  <si>
    <t>LRASM</t>
  </si>
  <si>
    <t>Long Range Anti-Ship Missile (LRASM) is Increment 1 of the Offensive Anti-Surface Warfare (OASuW) weapon development program. LRASM (AGM-158C) is a key air launched component of the Navy's overall Cruise Missile Strategy.</t>
  </si>
  <si>
    <t>1507N &gt; BA 02 &gt; BSA 2: Tactical Missiles &gt; LI 2291 LRASM</t>
  </si>
  <si>
    <t>LRASM C-1</t>
  </si>
  <si>
    <t>LRASM: C-1</t>
  </si>
  <si>
    <t>2291 / LRASM</t>
  </si>
  <si>
    <t>1507N &gt; BA 02 &gt; LI 2291 &gt; P-5 Item 1: LRASM C-1</t>
  </si>
  <si>
    <t>LRASM: C-3</t>
  </si>
  <si>
    <t>1507N &gt; BA 02 &gt; LI 2291 &gt; P-5 Item 2: LRASM C-3</t>
  </si>
  <si>
    <t>LRASM C-3</t>
  </si>
  <si>
    <t>2292</t>
  </si>
  <si>
    <t>Naval Strike Missile (NSM)</t>
  </si>
  <si>
    <t>The Naval Strike Missile (NSM) provides the Littoral Combat Ship (LCS) and Frigate, Guided Missile (FFG) ships with long range offensive strike capability against surface combatants. The OTH Weapon Systems (WS) consists of a Missile Launch System (MLS) and a complement of missiles.</t>
  </si>
  <si>
    <t>1507N &gt; BA 02 &gt; BSA 2: Tactical Missiles &gt; LI 2292 NSM</t>
  </si>
  <si>
    <t>Naval Strike Missile (NSM) Advance Procurement</t>
  </si>
  <si>
    <t>21 / Naval Strike Missile (NSM)</t>
  </si>
  <si>
    <t>1507N &gt; BA 02 &gt; BSA 2: Tactical Missiles &gt; LI 2292 NSM AP</t>
  </si>
  <si>
    <t>2301</t>
  </si>
  <si>
    <t>Tomahawk Mods</t>
  </si>
  <si>
    <t>The Block V Tactical Tomahawk (TACTOM RGM/UGM-109E) preserves Tomahawk's long-range precision-strike capability while increasing responsiveness and flexibility. TACTOM is capable of in-flight retargeting, the ability to loiter over the battlefield, in-flight missile health and status monitoring, and battle damage indication.</t>
  </si>
  <si>
    <t>1507N &gt; BA 02 &gt; BSA 3: Modification of Missiles &gt; LI 2301 Tomahawk Mods</t>
  </si>
  <si>
    <t>TACTOM NAV/COMMs Modernization and Recertification Kits</t>
  </si>
  <si>
    <t>2307</t>
  </si>
  <si>
    <t>Evolved Sea Sparrow Missile (ESSM)</t>
  </si>
  <si>
    <t>The Evolved SEASPARROW Missile (ESSM) Program is an international cooperative effort among twelve NATO SEASPARROW nations established to design, develop, test, produce and provide in-service support to a new and improved version of the SPARROW missile (RIM-7P) with the kinematic performance to defeat current and projected threats. ESSM consists of Blk 1 and Blk 2 missiles.</t>
  </si>
  <si>
    <t>1507N &gt; BA 02 &gt; BSA 3: Modification of Missiles &gt; LI 2307 ESSM</t>
  </si>
  <si>
    <t>2327</t>
  </si>
  <si>
    <t>AARGM-ER</t>
  </si>
  <si>
    <t>AGM-88G Advanced Anti-Radiation Guided Missile Extended Range (AARGM-ER) is an ACAT-1B program. The AARGM-ER program will integrate hardware and software upgrades to the AARGM missile guidance and control sections, a new rocket motor, and a Control Actuation System (CAS) into a new outer mold line able to be launched from FA-18 E/F, EA-18G and is compatible with F-35 internal bay platforms.</t>
  </si>
  <si>
    <t>1507N &gt; BA 02 &gt; BSA 3: Modification of Missiles &gt; LI 2327 AARGM-ER</t>
  </si>
  <si>
    <t>AARGM-ER: AARGM-ER (Item 1)</t>
  </si>
  <si>
    <t>2327 / AARGM-ER</t>
  </si>
  <si>
    <t>1507N &gt; BA 02 &gt; LI 2327 &gt; P-5 Item 1: AARGM-ER</t>
  </si>
  <si>
    <t>AARGM-ER: AARGM (Legacy)</t>
  </si>
  <si>
    <t>1507N &gt; BA 02 &gt; LI 2327 &gt; P-5 Item 2: AARGM</t>
  </si>
  <si>
    <t>AARGM-ER Advance Procurement</t>
  </si>
  <si>
    <t>The AARGM-ER Advance Procurement (AP) funding will be used to procure long-lead material to reduce the overall lead-time for missile production. The long lead Contractor Furnished Equipment materials and subcomponents may include specialty materials (e.g., Inconel, Titanium, and D6AC Steel), warhead explosive material, and Circuit Card Assembly subcomponents.</t>
  </si>
  <si>
    <t>28 / AARGM-ER</t>
  </si>
  <si>
    <t>1507N &gt; BA 02 &gt; BSA 3: Modification of Missiles &gt; LI 2327 AARGM-ER AP</t>
  </si>
  <si>
    <t>2356</t>
  </si>
  <si>
    <t>Standard Missiles Mods</t>
  </si>
  <si>
    <t>SM-2 BLK IIIC provides enhanced stream-raid performance against numerous threats, via target resolution and missile/target pairing logic, over-the-horizon capability for increased depth of fire, enhanced capability against electronic attack and improved firepower due to decreased dependence on illuminators. The inventory objective is 1,000 units.</t>
  </si>
  <si>
    <t>1507N &gt; BA 02 &gt; BSA 3: Modification of Missiles &gt; LI 2356 Standard Missiles Mods</t>
  </si>
  <si>
    <t>325</t>
  </si>
  <si>
    <t>2420</t>
  </si>
  <si>
    <t>Weapons Industrial Facilities</t>
  </si>
  <si>
    <t>The funding will alleviate sub-tier component bottlenecks including safe and arm devices/igniters, propulsion systems, thermal batteries, airframes, control/motion/guidance systems, as well as plan and design for future surge capacity by integrating overlapping demand at component suppliers.</t>
  </si>
  <si>
    <t>1507N &gt; BA 02 &gt; BSA 4: Support Equipment &amp; Facilities &gt; LI 2420 Weapons Industrial Facilities</t>
  </si>
  <si>
    <t>2500</t>
  </si>
  <si>
    <t>Ordnance Support Equipment</t>
  </si>
  <si>
    <t>1507N &gt; BA 02 &gt; BSA 5: Ordnance Support Equipment &gt; LI 2500 Ordnance Support Equipment</t>
  </si>
  <si>
    <t>3113</t>
  </si>
  <si>
    <t>Surface Ship Torpedo Defense (SSTD)</t>
  </si>
  <si>
    <t>The Surface Ship Torpedo Defense (SSTD) family of systems includes Acoustic Device Countermeasures (ADCs), Countermeasure Anti-Torpedo (CAT), Torpedo Warning System (TWS) and the AN/SLQ-25 NIXIE program. The ADC is a 3-inch expendable torpedo countermeasure (CM) that provides an over-the-side soft-kill defense against threat torpedoes.</t>
  </si>
  <si>
    <t>1507N &gt; BA 03 &gt; BSA 1: Torpedoes and Related Equip &gt; LI 3113 SSTD</t>
  </si>
  <si>
    <t>3117</t>
  </si>
  <si>
    <t>MK-48 Torpedo</t>
  </si>
  <si>
    <t>The MK 48 Heavyweight Torpedo is the U.S. Navy's submarine launched Anti-Submarine Warfare (ASW) and primary Anti-Surface Warfare (ASuW) weapon. The Heavyweight Torpedo provides the submarine force with an effective weapon against threat submarines and surface combatants to assist in achieving Sea Control and neutralizing or destroying threats to high value vessels.</t>
  </si>
  <si>
    <t>1507N &gt; BA 03 &gt; BSA 1: Torpedoes and Related Equip &gt; LI 3117 MK-48 Torpedo</t>
  </si>
  <si>
    <t>3141</t>
  </si>
  <si>
    <t>ASW Targets</t>
  </si>
  <si>
    <t>The MK-39 MOD 3 Expendable Mobile ASW Training Target (EMATT) is a small self-propelled underwater vehicle launched from fixed wing and rotary wing Anti-Submarine Warfare (ASW) aircraft and ASW surface ships for the purpose of providing basic open ocean sonar training and torpedo placement exercises.</t>
  </si>
  <si>
    <t>1507N &gt; BA 03 &gt; BSA 1: Torpedoes and Related Equip &gt; LI 3141 ASW Targets</t>
  </si>
  <si>
    <t>ASW TARGETS</t>
  </si>
  <si>
    <t>MK-54 Torpedo Mods</t>
  </si>
  <si>
    <t>The MK 54 is an anti-submarine torpedo deployed from surface ships and ASW air platforms in littoral scenarios operating in shallow water acoustic and environmental conditions, effective in the presence of threat countermeasures, and capable in deep water engagements. This line item procures MK 54 MOD 0 Torpedo Kits, MK 54 MOD 1 Torpedo Kits and High Altitude ASW Weapon Capability (HAAWC) Air Launch Accessory (ALA) Kits.</t>
  </si>
  <si>
    <t>1507N &gt; BA 03 &gt; BSA 2: Mod of Torpedoes &gt; LI 3215 MK-54 Torpedo Mods</t>
  </si>
  <si>
    <t>3225</t>
  </si>
  <si>
    <t>MK-48 Torpedo ADCAP Mods</t>
  </si>
  <si>
    <t>The CBASS torpedo kit consists of three major components: Guidance &amp; Control Box (GCB), a Broadband Sonar Analog Receiver (BSAR), and preamplifier.</t>
  </si>
  <si>
    <t>1507N &gt; BA 03 &gt; BSA 2: Mod of Torpedoes &gt; LI 3225 MK-48 ADCAP Mods</t>
  </si>
  <si>
    <t>3231</t>
  </si>
  <si>
    <t>Maritime Mines</t>
  </si>
  <si>
    <t>This funding procures all naval mines used for sea denial anti-surface ship or anti-submarine subsurface weapons. The Naval mining capability consists of the MK 67 Submarine Launched Mobile Mine (SLMM), in sustainment only, the MK 68 Clandestine Delivered Mine (CDM), Quickstrike (QS) family of mines, and the Hammerhead Encapsulated Effector.</t>
  </si>
  <si>
    <t>1507N &gt; BA 03 &gt; BSA 2: Mod of Torpedoes &gt; LI 3231 Maritime Mines</t>
  </si>
  <si>
    <t>Maritime Mines: Quickstrike Mine</t>
  </si>
  <si>
    <t>3231 / Maritime Mines</t>
  </si>
  <si>
    <t>1507N &gt; BA 03 &gt; LI 3231 &gt; P-5 Item 1: Quickstrike Mine</t>
  </si>
  <si>
    <t>Quickstrike Mine</t>
  </si>
  <si>
    <t>Maritime Mines: Encapsulated Effector</t>
  </si>
  <si>
    <t>1507N &gt; BA 03 &gt; LI 3231 &gt; P-5 Item 2: Encapsulated Effector</t>
  </si>
  <si>
    <t>436</t>
  </si>
  <si>
    <t>Encapsulated Effector</t>
  </si>
  <si>
    <t>Maritime Mines: Quickstrike Extended Range</t>
  </si>
  <si>
    <t>1507N &gt; BA 03 &gt; LI 3231 &gt; P-5 Item 3: Quickstrike Extended Range</t>
  </si>
  <si>
    <t>442</t>
  </si>
  <si>
    <t>Quickstrike Extended Range</t>
  </si>
  <si>
    <t>Maritime Mines: Clandestine Delivered Mine (CDM)</t>
  </si>
  <si>
    <t>1507N &gt; BA 03 &gt; LI 3231 &gt; P-5 Item 4: Clandestine Delivered Mine (CDM)</t>
  </si>
  <si>
    <t>Clandestine Delivered Mine (CDM)</t>
  </si>
  <si>
    <t>3301</t>
  </si>
  <si>
    <t>Torpedo Support Equipment</t>
  </si>
  <si>
    <t>The Torpedo Support Equipment account procures various 4T material and associated torpedo components required to maintain weapons for Surface Ships, Submarines, Fixed Wing, and Rotary Wing to achieve ASW and Anti-Surface Warfare (ASUW) readiness.</t>
  </si>
  <si>
    <t>1507N &gt; BA 03 &gt; BSA 3: Support Equipment &gt; LI 3301 Torpedo Support Equipment</t>
  </si>
  <si>
    <t>Lightweight Torpedo Support Equipment</t>
  </si>
  <si>
    <t>Torpedo Support Equipment: Lightweight</t>
  </si>
  <si>
    <t>46 / Torpedo Support Equipment</t>
  </si>
  <si>
    <t>1507N &gt; BA 03 &gt; BSA 3 &gt; LI 3301 &gt; P-5 Item 1: Lightweight Torpedo Support</t>
  </si>
  <si>
    <t>450</t>
  </si>
  <si>
    <t>Torpedo Support Equipment: Recoverable Exercise Torpedo</t>
  </si>
  <si>
    <t>3301 / Torpedo Support Equipment</t>
  </si>
  <si>
    <t>1507N &gt; BA 03 &gt; LI 3301 &gt; P-5 Item 2: Recoverable Exercise Torpedo</t>
  </si>
  <si>
    <t>468</t>
  </si>
  <si>
    <t>Recoverable Exercise Torpedo</t>
  </si>
  <si>
    <t>Torpedo Support Equipment: Heavyweight</t>
  </si>
  <si>
    <t>1507N &gt; BA 03 &gt; BSA 3 &gt; LI 3301 &gt; P-5 Item 3: Heavyweight Torpedo Support</t>
  </si>
  <si>
    <t>The Anti-Submarine Warfare (ASW) Range program provides test and training tracking equipment for both Contiguous United States (CONUS) and Outside Contiguous United States (OCONUS). This equipment is used for ground truth tracking of participants during Fleet training exercises and torpedo firings and directly supports reconstruction and analysis for Undersea Warfare (USW) proficiency assessment and test, evaluation &amp; analysis.</t>
  </si>
  <si>
    <t>1507N &gt; BA 03 &gt; BSA 3: Support Equipment &gt; LI 3302 ASW Range Support</t>
  </si>
  <si>
    <t>483</t>
  </si>
  <si>
    <t>2410</t>
  </si>
  <si>
    <t>First Destination Transportation</t>
  </si>
  <si>
    <t>First Destination Transportation (FDT) delivers material from a procurement source to the first point of use or storage which may be in the Continental United States or overseas. The procurement source may be a supplier outside of the Department of Defense (DoD) supply system or a DoD activity which fabricates new material.</t>
  </si>
  <si>
    <t>1507N &gt; BA 03 &gt; BSA 4: Destination Transportation &gt; LI 2410 FDT</t>
  </si>
  <si>
    <t>489</t>
  </si>
  <si>
    <t>FIRST DESTINATION TRANSPORTATION (FDT)</t>
  </si>
  <si>
    <t>4129</t>
  </si>
  <si>
    <t>Small Arms and Weapons</t>
  </si>
  <si>
    <t>Provides for the initial procurement, force-wide inventory sustainment and standardization, and modernization of US Navy service-common weapon systems and associated weapon equipment, to include required gun mounts and sights. These service-common weapon systems and equipment support force-wide training and security (ashore and afloat), foreign internal defense, peacekeeping missions, and global combat operations.</t>
  </si>
  <si>
    <t>1507N &gt; BA 04 &gt; BSA 1: Guns and Gun Mounts &gt; LI 4129 Small Arms and Weapons</t>
  </si>
  <si>
    <t>493</t>
  </si>
  <si>
    <t>Small Arms and Weapons: Expeditionary Warfare</t>
  </si>
  <si>
    <t>4129 / Small Arms and Weapons</t>
  </si>
  <si>
    <t>1507N &gt; BA 04 &gt; LI 4129 &gt; P-5 Item 1: Expeditionary Warfare</t>
  </si>
  <si>
    <t>EXPEDITIONARY WARFARE</t>
  </si>
  <si>
    <t>Small Arms and Weapons: Surface Warfare</t>
  </si>
  <si>
    <t>1507N &gt; BA 04 &gt; LI 4129 &gt; P-5 Item 2: Surface Warfare</t>
  </si>
  <si>
    <t>505</t>
  </si>
  <si>
    <t>4205</t>
  </si>
  <si>
    <t>Close-In Weapons System (CIWS) Mods</t>
  </si>
  <si>
    <t>Phalanx Close-In Weapon System (CIWS) is an autonomous combat system that searches, detects, tracks (radar and electro-optic), and engages threats with a 20mm Gatling gun capable of firing 4,500 tungsten penetrator rounds per minute. Integral to ship self-defense and the anti-air warfare defense-in-depth concept, CIWS provides terminal defense against anti-ship missiles and high-speed aircraft penetrating other fleet defenses.</t>
  </si>
  <si>
    <t>1507N &gt; BA 04 &gt; BSA 2: Mod of Guns and Gun Mounts &gt; LI 4205 CIWS Mods</t>
  </si>
  <si>
    <t>Close-In Wpns Sys (CIWS) Mods</t>
  </si>
  <si>
    <t>4206</t>
  </si>
  <si>
    <t>Coast Guard Weapons</t>
  </si>
  <si>
    <t>The Coast Guard Weapons line funds the gun weapon systems of the Navy-Type/Navy-Owned Coast Guard Combat System Suite for the United States Coast Guard (USCG) cutters under the Coast Guard Surface Acquisition Program.</t>
  </si>
  <si>
    <t>1507N &gt; BA 04 &gt; BSA 2: Mod of Guns and Gun Mounts &gt; LI 4206 Coast Guard Weapons</t>
  </si>
  <si>
    <t>519</t>
  </si>
  <si>
    <t>Coast Guard Weapons: MK 110 Gun (57mm)</t>
  </si>
  <si>
    <t>Provides the 57mm MK 110 gun to engage surface threats, independently or in cooperation with other forces, achieving mission kill on high-speed coastal patrol craft beyond small and intermediate caliber gunfire effective range.</t>
  </si>
  <si>
    <t>53 / Coast Guard Weapons</t>
  </si>
  <si>
    <t>1507N &gt; BA 04 &gt; BSA 2 &gt; LI 4206 &gt; CG002 MK 110 GUN</t>
  </si>
  <si>
    <t>Coast Guard Weapons: MK 160 GCS</t>
  </si>
  <si>
    <t>Provides the MK 160 Gun Computer System (GCS) including equipment procurement, production support, systems engineering, data, and software and test support for the National Security Cutter (NSC), aka the Maritime Security Cutter, Large (WMSL), and the Offshore Patrol Cutter (OPC), aka the Maritime Security Cutter, Medium (WMSM).</t>
  </si>
  <si>
    <t>1507N &gt; BA 04 &gt; BSA 2 &gt; LI 4206 &gt; CG003 MK 160 GCS</t>
  </si>
  <si>
    <t>Coast Guard Weapons: MK 38 Machine Gun Systems</t>
  </si>
  <si>
    <t>Provides the MK 38 Mod 2/3/4 Machine Gun System (MGS) equipment and ILS for the Fast Response Cutter (FRC), Offshore Patrol Cutter (OPC/WMSM), Medium Endurance Cutter (WMEC), and Polar Security Cutter (PSC/WMSP).</t>
  </si>
  <si>
    <t>1507N &gt; BA 04 &gt; BSA 2 &gt; LI 4206 &gt; CG004 MK 38 MGS</t>
  </si>
  <si>
    <t>Coast Guard Weapons: Gun Weapon System Integration</t>
  </si>
  <si>
    <t>Ensures successful integration and system interoperability of Navy type equipment that affects the gun weapon systems of USCG National Security Cutter (NSC), the Offshore Patrol Cutter (OPC), the Polar Security Cutter (PSC), and Fast Response Cutters (FRCs). Includes gun weapon system integration support for the OPC ATHENA Control, Correlation &amp; Display (CCD) System.</t>
  </si>
  <si>
    <t>1507N &gt; BA 04 &gt; BSA 2 &gt; LI 4206 &gt; CG005 GWS Integration</t>
  </si>
  <si>
    <t>Gun Mount Mods</t>
  </si>
  <si>
    <t>Gun Mount Mods supports various types of Gun Weapon Systems, sub-system modifications, and upgrade requirements.</t>
  </si>
  <si>
    <t>1507N &gt; BA 04 &gt; BSA 2: Mod of Guns and Gun Mounts &gt; LI 4217 Gun Mount Mods</t>
  </si>
  <si>
    <t>Gun Mount Mods: Medium Caliber</t>
  </si>
  <si>
    <t>Medium Caliber Gun Mounts (MK110 57mm) installed on United States Coast Guard (USCG) Maritime Security Cutters, Large (WMSL), and USCG Maritime Security Cutters, Medium (WMSM) as well as land based training/test units. Funds procure Ordnance Alterations (ORDALT) kits, provide Integrated Logistics Support (ILS), and provide production engineering for system improvements that affect safety, reliability and maintainability.</t>
  </si>
  <si>
    <t>54 / Gun Mount Mods</t>
  </si>
  <si>
    <t>1507N &gt; BA 04 &gt; BSA 2 &gt; LI 4217 &gt; E5002 Medium Caliber Gun Mods</t>
  </si>
  <si>
    <t>Gun Mount Mods: Minor Caliber (MK38)</t>
  </si>
  <si>
    <t>Minor Caliber Gun Mounts (MK38 MOD or MK46 MOD) are installed on Amphibious Assault Ships (AS), Aircraft Carrier (nuclear propulsion) (CVN), Guided Missile Cruisers, (CG), Destroyer Designated Guided ships (DDG), Littoral Combat Ships (LCS), and other ship classes. The gun mounts provide an anti-surface warfare and anti-air warfare capability for outfitted ships.</t>
  </si>
  <si>
    <t>1507N &gt; BA 04 &gt; BSA 2 &gt; LI 4217 &gt; E5006 Minor Caliber Gun Mods</t>
  </si>
  <si>
    <t>Gun Mount Mods: Major Caliber (MK45)</t>
  </si>
  <si>
    <t>The 5-Inch MK45 MOD Gun Mounts are automated, lightweight, single-barrel gun mounts that provide an anti-surface warfare, anti-air warfare, and naval surface fire support capability for outfitted ships. Funds procure ORDALTs kits and provide ILS and production engineering for system improvements that affect safety, reliability, maintainability.</t>
  </si>
  <si>
    <t>1507N &gt; BA 04 &gt; BSA 2 &gt; LI 4217 &gt; E5011 Major Caliber Gun Mods</t>
  </si>
  <si>
    <t>4221</t>
  </si>
  <si>
    <t>LCS Module Weapons</t>
  </si>
  <si>
    <t>Longbow Hellfire missiles provide Littoral Combat Ship (LCS) firepower to counter enemy high speed, agile surface craft executing swarm tactics. LCS equipped with the Surface Warfare Mission Package (SUW MP) will employ these missiles while escorting High Value Units (HVUs) through choke points and other strategic waterways or while conducting littoral operations.</t>
  </si>
  <si>
    <t>1507N &gt; BA 04 &gt; BSA 2: Mod of Guns and Gun Mounts &gt; LI 4221 LCS Module Weapons</t>
  </si>
  <si>
    <t>4225</t>
  </si>
  <si>
    <t>Airborne Mine Neutralization Systems</t>
  </si>
  <si>
    <t>Airborne Mine Countermeasures (AMCM) Equipment is currently deployed on MH-53E helicopters (through FY 2027) and MH-60S helicopters to counter the threat of sea mines. The equipment is divided into three categories -- minesweeping, mine hunting, and mine neutralization.</t>
  </si>
  <si>
    <t>1507N &gt; BA 04 &gt; BSA 2: Mod of Guns and Gun Mounts &gt; LI 4225 Airborne Mine Neutralization</t>
  </si>
  <si>
    <t>565</t>
  </si>
  <si>
    <t>ARCHERFISH Mine Neutralization Combat Rounds</t>
  </si>
  <si>
    <t>6120</t>
  </si>
  <si>
    <t>The Weapons Procurement, Navy (WPN-6) budget line item (BLI) is made up of three budget sub-line items (SUBLIs): SUBLI (20) Initial Spares, SUBLI (30) Torpedo Initial Spares, SUBLI (70) Lay-in and Inventory Augmentation, and SUBLI (90) Vendor Direct/Replenishment spares.</t>
  </si>
  <si>
    <t>1507N &gt; BA 06 &gt; BSA 1: Spares and Repair Parts &gt; LI 6120 Spares</t>
  </si>
  <si>
    <t>575</t>
  </si>
  <si>
    <t>The Weapons Procurement, Navy (WPN-6) budget line item (BLI) is made up of three budget sub-line items (SUBLIs): SUBLI (20) Initial Spares, SUBLI (30) Torpedo Initial Spares, SUBLI (70) Lay-in and Inv</t>
  </si>
  <si>
    <t>Spares and Repair Parts: Initial Spares</t>
  </si>
  <si>
    <t>61 / Spares and Repair Parts</t>
  </si>
  <si>
    <t>1507N &gt; BA 06 &gt; LI 6120 &gt; P-18 Initial Spares</t>
  </si>
  <si>
    <t>579</t>
  </si>
  <si>
    <t>Spares and Repair Parts: Replenishment Spares</t>
  </si>
  <si>
    <t>1507N &gt; BA 06 &gt; LI 6120 &gt; P-18 Replenishment Spares</t>
  </si>
  <si>
    <t>PC&amp;I</t>
  </si>
  <si>
    <t>Vessels PPA</t>
  </si>
  <si>
    <t>1,4,5</t>
  </si>
  <si>
    <t>The Vessels PPA provides funding to continue the Service's largest fleet recapitalization since World War II.</t>
  </si>
  <si>
    <t>PC&amp;I &gt; Vessels - PPA &gt; Budget Comparison and Adjustments</t>
  </si>
  <si>
    <t>USCG-Vessels</t>
  </si>
  <si>
    <t>Coast Guard Cutters</t>
  </si>
  <si>
    <t>Vessels PPA (aggregate)</t>
  </si>
  <si>
    <t>N024_000006384</t>
  </si>
  <si>
    <t>In-Service Vessel Sustainment</t>
  </si>
  <si>
    <t>In-Service Vessel Sustainment Investment (ISVS) consists of two sub-investments: The SLEP for the 47-foot Motor Life Boats (MLBs), and USCG Yard-supported Investments</t>
  </si>
  <si>
    <t>PC&amp;I &gt; Vessels - PPA &gt; In-Service Vessel Sustainment - Investment</t>
  </si>
  <si>
    <t>Coast Guard Sustainment</t>
  </si>
  <si>
    <t>47-Foot MLB SLEP</t>
  </si>
  <si>
    <t>The ISVS investment supports SLEP efforts on the 47-foot MLBs to extend the service life of 107 boats in the Coast Guard's fleet of 117 MLBs by an estimated 20 years.</t>
  </si>
  <si>
    <t>N024_000006384 / In-Service Vessel Sustainment</t>
  </si>
  <si>
    <t>PC&amp;I &gt; Vessels - PPA &gt; In-Service Vessel Sustainment &gt; 47-Foot MLB SLEP</t>
  </si>
  <si>
    <t>CG Yard-Supported Investments (subtotal)</t>
  </si>
  <si>
    <t>The ISVS program provides program management and logistics support for vessel repair availabilities including MMAs and SLEPs on existing Coast Guard vessels. This investment includes vessel availabilities supported by the Coast Guard Yard.</t>
  </si>
  <si>
    <t>PC&amp;I &gt; Vessels - PPA &gt; In-Service Vessel Sustainment &gt; CG Yard-Supported Investments (Overall Investment Funding)</t>
  </si>
  <si>
    <t>N024-000000001</t>
  </si>
  <si>
    <t>270-foot Medium Endurance Cutter (WMEC) SLEP</t>
  </si>
  <si>
    <t>The FY 2026 Budget funds program management activities and production efforts on the 270-foot Medium Endurance Cutter SLEP</t>
  </si>
  <si>
    <t>PC&amp;I &gt; Vessels - PPA &gt; In-Service Vessel Sustainment &gt; CG Yard-Supported &gt; 270-ft WMEC SLEP</t>
  </si>
  <si>
    <t>270-ft WMEC SLEP</t>
  </si>
  <si>
    <t>175-foot Coastal Buoy Tender (WLM) MMA</t>
  </si>
  <si>
    <t>Continue detail design engineering and procurement for long lead time materials for 175-foot WLM MMA. Continue production on first 175-foot WLM MMA. Begin production on second hull.</t>
  </si>
  <si>
    <t>Coastal Buoy Tenders</t>
  </si>
  <si>
    <t>WLM</t>
  </si>
  <si>
    <t>PC&amp;I &gt; Vessels - PPA &gt; In-Service Vessel Sustainment &gt; CG Yard-Supported &gt; 175-ft WLM MMA</t>
  </si>
  <si>
    <t>175-ft WLM MMA</t>
  </si>
  <si>
    <t>CGC Healy SLEP</t>
  </si>
  <si>
    <t>Continue detail design engineering and procurement for long lead time materials for CGC Healy SLEP.</t>
  </si>
  <si>
    <t>PC&amp;I &gt; Vessels - PPA &gt; In-Service Vessel Sustainment &gt; CG Yard-Supported &gt; CGC Healy SLEP</t>
  </si>
  <si>
    <t>418-foot National Security Cutter (WMSL) MMA</t>
  </si>
  <si>
    <t>Continue detail design engineering and procurement for long lead time materials for 418-foot WMSL MMA.</t>
  </si>
  <si>
    <t>PC&amp;I &gt; Vessels - PPA &gt; In-Service Vessel Sustainment &gt; CG Yard-Supported &gt; 418-ft WMSL MMA</t>
  </si>
  <si>
    <t>418-ft WMSL MMA</t>
  </si>
  <si>
    <t>N024_000006369</t>
  </si>
  <si>
    <t>National Security Cutter</t>
  </si>
  <si>
    <t>This investment supports the acquisition of NSCs, including Post Delivery Activities (PDA) necessary to make these cutters ready for operations. No funding was requested in the FY 2026 Budget for this.</t>
  </si>
  <si>
    <t>PC&amp;I &gt; Vessels - PPA &gt; Budget Comparison and Adjustments &gt; Investment Descriptions</t>
  </si>
  <si>
    <t>N024_000006362</t>
  </si>
  <si>
    <t>Offshore Patrol Cutter</t>
  </si>
  <si>
    <t>Full ship DD&amp;C / LLTM</t>
  </si>
  <si>
    <t>This investment supports the acquisition of 25 planned OPCs, including PDA necessary to make these cutters ready for operations</t>
  </si>
  <si>
    <t>WMSM</t>
  </si>
  <si>
    <t>PC&amp;I &gt; Vessels - PPA &gt; Offshore Patrol Cutter - Investment</t>
  </si>
  <si>
    <t>N024_000006370</t>
  </si>
  <si>
    <t>Fast Response Cutter</t>
  </si>
  <si>
    <t>This investment supports the continued FRC production, including those intended for Indo-Pacific operations.</t>
  </si>
  <si>
    <t>Fast Response Cutters</t>
  </si>
  <si>
    <t>WPC</t>
  </si>
  <si>
    <t>PC&amp;I &gt; Vessels - PPA &gt; Fast Response Cutter - Investment</t>
  </si>
  <si>
    <t>N024_000006371</t>
  </si>
  <si>
    <t>Boats</t>
  </si>
  <si>
    <t>This investment supports the acquisition, development, and management of production, delivery, and warranty support for multi-mission cutter and shore-based boats</t>
  </si>
  <si>
    <t>PC&amp;I &gt; Vessels - PPA &gt; Boats - Investment</t>
  </si>
  <si>
    <t>Coast Guard Small Boats</t>
  </si>
  <si>
    <t>N024_000006381</t>
  </si>
  <si>
    <t>Polar Security Cutter</t>
  </si>
  <si>
    <t>This program supports the acquisition of PSCs, including PDA necessary to make these cutters ready for operations.</t>
  </si>
  <si>
    <t>Icebreakers, Oceangoing</t>
  </si>
  <si>
    <t>WAGB</t>
  </si>
  <si>
    <t>PC&amp;I &gt; Vessels - PPA &gt; Polar Security Cutter - Investment</t>
  </si>
  <si>
    <t>N024_000006440</t>
  </si>
  <si>
    <t>Commercially Available Polar Icebreaker</t>
  </si>
  <si>
    <t>This investment supports the acquisition of CAPI as a bridge to national presence in the Arctic while the Coast Guard recapitalizes and expands its polar fleet. No funding was requested in the FY 2026 Budget for this.</t>
  </si>
  <si>
    <t>N024_000006543</t>
  </si>
  <si>
    <t>Great Lakes Icebreaker</t>
  </si>
  <si>
    <t>This investment supports the acquisition of a domestic heavy icebreaker to maintain waterborne commerce operating on the Great Lakes during the winter months. No funding was requested in the FY 2026 Budget for this.</t>
  </si>
  <si>
    <t>Icebreakers, Great Lakes</t>
  </si>
  <si>
    <t>WLBB</t>
  </si>
  <si>
    <t>N024_000006386</t>
  </si>
  <si>
    <t>Waterways Commerce Cutter</t>
  </si>
  <si>
    <t>The WCC program recapitalizes the capabilities provided by the current fleet of inland tenders and barges commissioned between 1944 and 1991.</t>
  </si>
  <si>
    <t>Waterways Commerce Cutters</t>
  </si>
  <si>
    <t>WCC</t>
  </si>
  <si>
    <t>PC&amp;I &gt; Vessels - PPA &gt; Waterways Commerce Cutter - Investment</t>
  </si>
  <si>
    <t>N024_000006383</t>
  </si>
  <si>
    <t>Survey and Design - Vessels Boats and Aircraft</t>
  </si>
  <si>
    <t>This investment primarily funds multi-year engineering survey and design work in direct support of emerging cutter, boat, and aircraft acquisitions and SLEP.</t>
  </si>
  <si>
    <t>PC&amp;I &gt; Other Acquisition Programs - PPA &gt; Survey and Design - Vessels, Boats, and Aircraft - Investment</t>
  </si>
  <si>
    <t>Survey and Design - Vessels, Boats, and Aircraft</t>
  </si>
  <si>
    <t>N024_000006401</t>
  </si>
  <si>
    <t>Other Equipment and Systems</t>
  </si>
  <si>
    <t>This investment manages procurement of end-use equipment that supports operations, including vessel travel lifts, specialized test equipment for depot maintenance, and specialized vehicles.</t>
  </si>
  <si>
    <t>PC&amp;I &gt; Other Acquisition Programs - PPA &gt; Other Equipment and Systems - Investment</t>
  </si>
  <si>
    <t>Vessel Operation Maintenance and Test Equipment</t>
  </si>
  <si>
    <t>End items supporting vessel operation, maintenance, and test requirements.</t>
  </si>
  <si>
    <t>N024_000006401 / Other Equipment and Systems</t>
  </si>
  <si>
    <t>PC&amp;I &gt; Other Acquisition Programs - PPA &gt; Other Equipment and Systems &gt; End Items Breakdown</t>
  </si>
  <si>
    <t>USCG-OtherAcq</t>
  </si>
  <si>
    <t>End Items Breakdown</t>
  </si>
  <si>
    <t>Other Acquisition Programs (aggregate)</t>
  </si>
  <si>
    <t>N024_000006394</t>
  </si>
  <si>
    <t>Program Oversight and Management</t>
  </si>
  <si>
    <t>This investment provides the Coast Guard with the overarching capability to protect the government's interests during acquisitions to ensure contractors and suppliers deliver required products and services.</t>
  </si>
  <si>
    <t>PC&amp;I &gt; Other Acquisition Programs - PPA &gt; Program Oversight and Management - Investment</t>
  </si>
  <si>
    <t>This investment integrates and supports the design, development, and information assurance posture of C4ISR integrated hardware and software systems on NSCs, OPCs, PSCs, FRCs, WCCs, and legacy 270-foot WMECs undergoing SLEPs.</t>
  </si>
  <si>
    <t>PC&amp;I &gt; Other Acquisition Programs - PPA &gt; C4ISR - Investment</t>
  </si>
  <si>
    <t>Cyber and Enterprise Mission Platform</t>
  </si>
  <si>
    <t>This investment supports the Coast Guard's Cyber and Enterprise Mission Platform (EMP), delivering operational and mission support capabilities for C5I.</t>
  </si>
  <si>
    <t>PC&amp;I &gt; Other Acquisition Programs - PPA &gt; Cyber and Enterprise Mission Platform - Investment</t>
  </si>
  <si>
    <t>In-Service Systems Sustainment (ISSS)</t>
  </si>
  <si>
    <t>The principal focus of ISSS activities is providing maintenance and upgrades for C5I systems to ensure continued operational capability. The majority of critical NSC C5I systems face obsolescence in the coming years.</t>
  </si>
  <si>
    <t>PC&amp;I &gt; Other Acquisition Programs - PPA &gt; In-Service System Sustainment - Investment</t>
  </si>
  <si>
    <t>N024_000006392</t>
  </si>
  <si>
    <t>Major Acquisition Systems Infrastructure</t>
  </si>
  <si>
    <t>This program supports shore facility infrastructure modifications, upgrades, new construction, and real property and land acquisition associated with homeporting new or modified cutters, boats, and aircraft.</t>
  </si>
  <si>
    <t>PC&amp;I &gt; Shore Facilities and Aids to Navigation - PPA &gt; Major Acquisition Systems Infrastructure - Investment</t>
  </si>
  <si>
    <t>Coast Guard Shore Infrastructure</t>
  </si>
  <si>
    <t>N024_000006404</t>
  </si>
  <si>
    <t>Unmanned Aircraft Systems (on NSCs)</t>
  </si>
  <si>
    <t>This investment provides persistent airborne surveillance capability and serves as an ISR platform for Coast Guard operations. Continues to support installation of the UAS system on the NSC fleet.</t>
  </si>
  <si>
    <t>PC&amp;I &gt; Aircraft - PPA &gt; Unmanned Aircraft Systems - Investment</t>
  </si>
  <si>
    <t>Coast Guard UAS</t>
  </si>
  <si>
    <t>O&amp;S</t>
  </si>
  <si>
    <t>Depot Level Maintenance (O&amp;S legislative earmark)</t>
  </si>
  <si>
    <t>$400,000,000 shall remain available until September 30, 2027, which shall only be available for depot level maintenance</t>
  </si>
  <si>
    <t>Operations and Support (total)</t>
  </si>
  <si>
    <t>O&amp;S &gt; Proposed Legislative Language</t>
  </si>
  <si>
    <t>USCG-O&amp;S</t>
  </si>
  <si>
    <t>Proposed Legislative Language</t>
  </si>
  <si>
    <t>Coast Guard Operations</t>
  </si>
  <si>
    <t>Operations and Support</t>
  </si>
  <si>
    <t>Surface Air and Shore Operations (PPA Level II)</t>
  </si>
  <si>
    <t>2,3</t>
  </si>
  <si>
    <t>O&amp;S &gt; Field Operations - PPA &gt; Surface, Air, and Shore Operations - PPA Level II</t>
  </si>
  <si>
    <t>USCG-Shore</t>
  </si>
  <si>
    <t>Shore Facilities and ATON</t>
  </si>
  <si>
    <t>Operation and Maintenance of Equipment (Field Ops OC 25.7)</t>
  </si>
  <si>
    <t>O&amp;S &gt; Field Operations - PPA &gt; Non Pay by Object Class &gt; 25.7</t>
  </si>
  <si>
    <t>Commercial Icebreaker Follow-On (O&amp;S program change)</t>
  </si>
  <si>
    <t>The FY 2026 Budget funds Operation and Maintenance (O&amp;M) for a recently acquired commercially available polar icebreaker, the future Coast Guard Cutter Storis.</t>
  </si>
  <si>
    <t>O&amp;S &gt; Justification of Program Changes &gt; Program Change 5</t>
  </si>
  <si>
    <t>Fast Response Cutter (FRC) Follow-On (O&amp;S program change)</t>
  </si>
  <si>
    <t>The FY 2026 Budget funds personnel, O&amp;M, and mission support elements for four FRCs scheduled for delivery in FY 2026.</t>
  </si>
  <si>
    <t>O&amp;S &gt; Justification of Program Changes &gt; Program Change 8</t>
  </si>
  <si>
    <t>Offshore Patrol Cutter (OPC) Follow-On (O&amp;S program change)</t>
  </si>
  <si>
    <t>The FY 2026 Budget funds the crew (first phase) for Coast Guard Cutter Pickering the fifth OPC which is scheduled for delivery in FY 2027.</t>
  </si>
  <si>
    <t>O&amp;S &gt; Justification of Program Changes &gt; Program Change 16</t>
  </si>
  <si>
    <t>Waterways Commerce Cutter (WCC) Follow-On (O&amp;S program change)</t>
  </si>
  <si>
    <t>The FY 2026 request funds crew and O&amp;M for two WCCs scheduled for delivery in FY 2026.</t>
  </si>
  <si>
    <t>O&amp;S &gt; Justification of Program Changes &gt; Program Change 21</t>
  </si>
  <si>
    <t>Decommission Reliance Class Medium Endurance Cutters (WMEC) (O&amp;S)</t>
  </si>
  <si>
    <t>The FY 2026 Budget decommissions three 210-foot Reliance Class WMECs. The 210-foot Reliance Class fleet is operating well beyond its projected 20-year service life.</t>
  </si>
  <si>
    <t>O&amp;S &gt; Justification of Program Changes &gt; Program Change 6</t>
  </si>
  <si>
    <t>Indo-Pacific Expansion (O&amp;S program change)</t>
  </si>
  <si>
    <t>The FY 2026 Budget strengthens Coast Guard operations in the Indo-Pacific region. Key investments include sustaining more frequent and effective surface deployments through increased funding for operations, maintenance, C5I enhancements</t>
  </si>
  <si>
    <t>O&amp;S &gt; Justification of Program Changes &gt; Program Change 14</t>
  </si>
  <si>
    <t>Search and Rescue Capabilities (O&amp;S program change)</t>
  </si>
  <si>
    <t>The FY 2026 Budget enhances the Service's search and rescue capabilities by providing funds to procure service-life boat replacements and establish a full-time multi-mission boat station in the U.S. Virgin Islands.</t>
  </si>
  <si>
    <t>O&amp;S &gt; Justification of Program Changes &gt; Program Change 17</t>
  </si>
  <si>
    <t>Yard Fund (Revolving)</t>
  </si>
  <si>
    <t>The Coast Guard Yard, located in Curtis Bay, MD, provides engineering support and industrial services for maintenance and repair of Coast Guard cutters, aids to navigation and other equipment.</t>
  </si>
  <si>
    <t>(revolving fund - reimbursable)</t>
  </si>
  <si>
    <t>Funds &gt; Yard Fund</t>
  </si>
  <si>
    <t>2A</t>
  </si>
  <si>
    <t>SUBMARINE INDUSTRIAL BASE</t>
  </si>
  <si>
    <t>[DAA_NEW]</t>
  </si>
  <si>
    <t>2B</t>
  </si>
  <si>
    <t>SURFACE SHIP INDUSTRIAL BASE</t>
  </si>
  <si>
    <t>OPN</t>
  </si>
  <si>
    <t>17A</t>
  </si>
  <si>
    <t>SMALL UNMANNED SURFACE VEHICLES</t>
  </si>
  <si>
    <t>1A5A</t>
  </si>
  <si>
    <t>AIRCRAFT DEPOT MAINTENANCE</t>
  </si>
  <si>
    <t>COMBAT SUPPORT FORCES</t>
  </si>
  <si>
    <t>1CCM</t>
  </si>
  <si>
    <t>COMBATANT COMMANDERS DIRECT MISSION</t>
  </si>
  <si>
    <t>1CCY</t>
  </si>
  <si>
    <t>CYBERSPACE ACTIVITIES</t>
  </si>
  <si>
    <t>102D</t>
  </si>
  <si>
    <t>FLEET BALLISTIC MISSILE</t>
  </si>
  <si>
    <t>BSIT</t>
  </si>
  <si>
    <t>ENTERPRISE INFORMATION</t>
  </si>
  <si>
    <t>BSM1</t>
  </si>
  <si>
    <t>SUSTAINMENT RESTORATION AND MODERNIZATION</t>
  </si>
  <si>
    <t>BSS1</t>
  </si>
  <si>
    <t>BASE OPERATING SUPPORT</t>
  </si>
  <si>
    <t>3C3L</t>
  </si>
  <si>
    <t>OFF-DUTY AND VOLUNTARY EDUCATION</t>
  </si>
  <si>
    <t>Surface Ship Industrial Base</t>
  </si>
  <si>
    <t>Industrial base investment for surface combatant construction (FY27 mandatory request).</t>
  </si>
  <si>
    <t>P-1 Exhibit &gt; 1611N &gt; BA02 Other Warships &gt; LI 8 Surface Ship Industrial Base</t>
  </si>
  <si>
    <t>BBG(X)</t>
  </si>
  <si>
    <t>New large surface combatant program (BBG(X)). FY27 advance procurement to support a future ship buy.</t>
  </si>
  <si>
    <t>P-1 Exhibit &gt; 1611N &gt; BA02 Other Warships &gt; LI 9 BBG(X) AP CY</t>
  </si>
  <si>
    <t>FF(X)</t>
  </si>
  <si>
    <t>Future Frigate (FF(X)). 1 ship in FY27 — appears to be a new procurement line distinct from FFG-62 Constellation.</t>
  </si>
  <si>
    <t>P-1 Exhibit &gt; 1611N &gt; BA02 Other Warships &gt; LI 17 FF(X)</t>
  </si>
  <si>
    <t>AS Submarine Tender</t>
  </si>
  <si>
    <t>New submarine tender procurement. 2 ships in FY27.</t>
  </si>
  <si>
    <t>P-1 Exhibit &gt; 1611N &gt; BA05 Auxiliaries &gt; LI 26 As Submarine Tender</t>
  </si>
  <si>
    <t>SMS-Special Mission Ship</t>
  </si>
  <si>
    <t>New Special Mission Ship (SMS) program. 1 ship in FY27 (mandatory request).</t>
  </si>
  <si>
    <t>P-1 Exhibit &gt; 1611N &gt; BA05 Auxiliaries &gt; LI 27 SMS-Special Mission Ship</t>
  </si>
  <si>
    <t>Next Generation Logistics Ship</t>
  </si>
  <si>
    <t>NGLS — new logistics ship program. FY26 had AP funding; no FY27 funding shown in P-1.</t>
  </si>
  <si>
    <t>P-1 Exhibit &gt; 1611N &gt; BA05 Auxiliaries &gt; LI 30 Next Generation Logistics Ship</t>
  </si>
  <si>
    <t>Bulk Fuel Vessel</t>
  </si>
  <si>
    <t>New Bulk Fuel Vessel program. 1 ship in FY27.</t>
  </si>
  <si>
    <t>P-1 Exhibit &gt; 1611N &gt; BA05 Auxiliaries &gt; LI 40 Bulk Fuel Vessel</t>
  </si>
  <si>
    <t>T-AH(X)</t>
  </si>
  <si>
    <t>Next-generation hospital ship (T-AH replacement). 1 ship in FY27 (mandatory request).</t>
  </si>
  <si>
    <t>P-1 Exhibit &gt; 1611N &gt; BA05 Auxiliaries &gt; LI 41 T-AH(X)</t>
  </si>
  <si>
    <t>Fireboats</t>
  </si>
  <si>
    <t>New Fireboats procurement. 5 fireboats in FY27 (mandatory request).</t>
  </si>
  <si>
    <t>Other Craft, Self-Propelled</t>
  </si>
  <si>
    <t>P-1 Exhibit &gt; 1611N &gt; BA05 Auxiliaries &gt; LI 42 Fireboats</t>
  </si>
  <si>
    <t>TAM by work type by FY</t>
  </si>
  <si>
    <t>FY2026 total addressable market by work-type bucket and fiscal year</t>
  </si>
  <si>
    <t>TAM by Work Type by FY</t>
  </si>
  <si>
    <t>Work Type</t>
  </si>
  <si>
    <t>FY2026 ($K)</t>
  </si>
  <si>
    <t>New Construction</t>
  </si>
  <si>
    <t>Scheduled Depot Maintenance &amp; Repair</t>
  </si>
  <si>
    <t>Continuous / Intermediate / Emergent Maintenance</t>
  </si>
  <si>
    <t>Modernization &amp; Alteration Installation</t>
  </si>
  <si>
    <t>Major Life-Cycle Events / SLEP / MMA / RCOH</t>
  </si>
  <si>
    <t>Sustainment Engineering / Planning / Obsolescence Support</t>
  </si>
  <si>
    <t>Availability Support / Husbanding / Port Services</t>
  </si>
  <si>
    <t>Total TAM</t>
  </si>
  <si>
    <t>FY2026 TAM by Work Type × Vessel Service</t>
  </si>
  <si>
    <t>Total</t>
  </si>
  <si>
    <t>FY2026 TAM by Work Type × Vessel Category</t>
  </si>
  <si>
    <t>Combatant Ships (MSC)</t>
  </si>
  <si>
    <t>Auxiliary Ships (MSC)</t>
  </si>
  <si>
    <t>FY2026 TAM by Work Type × Vessel Type</t>
  </si>
  <si>
    <t>Combat Logistics Ships (MSC)</t>
  </si>
  <si>
    <t>Cargo &amp; Vehicle Cargo Ships (MSC)</t>
  </si>
  <si>
    <t>Surveillance Ships (MSC)</t>
  </si>
  <si>
    <t>Salvage Ships &amp; Fleet Ocean Tugs (MSC)</t>
  </si>
  <si>
    <t>Expeditionary &amp; Seabasing Ships (MSC)</t>
  </si>
  <si>
    <t>Hospital Ship (MSC)</t>
  </si>
  <si>
    <t>Research, Survey &amp; Instrumentation Ships (MSC)</t>
  </si>
  <si>
    <t>FY2026 TAM by Work Type × Vessel Hull</t>
  </si>
  <si>
    <t>T-AO (MSC)</t>
  </si>
  <si>
    <t>T-AK / T-AKR (MSC)</t>
  </si>
  <si>
    <t>T-AGOS (MSC)</t>
  </si>
  <si>
    <t>ESB (MSC)</t>
  </si>
  <si>
    <t>FY2026 TAM by Work Type × Vessel Type (% of type total) - Mekko</t>
  </si>
  <si>
    <t xml:space="preserve">  Full Ship DD&amp;C</t>
  </si>
  <si>
    <t xml:space="preserve">  Advance Procurement / LLTM</t>
  </si>
  <si>
    <t>Continuous / Emergent Maintenance</t>
  </si>
  <si>
    <t>Modernization</t>
  </si>
  <si>
    <t>Major Life-Cycle Events</t>
  </si>
  <si>
    <t>Sustainment Engineering</t>
  </si>
  <si>
    <t>FY2026 TAM New Construction Only × Vessel Type (% of NC total) - Mekko</t>
  </si>
  <si>
    <t>FY2026 TAM MRO &amp; Other Work Types × Vessel Type (% of MRO total) - Mekko</t>
  </si>
  <si>
    <t>SAM</t>
  </si>
  <si>
    <t>FY2026 serviceable addressable market summary tables</t>
  </si>
  <si>
    <t>FY2026 SAM by Work Type × Vessel Type (TAM excl. Aircraft Carriers, Submarines &amp; Unmanned Undersea Vehicles) - Mekko</t>
  </si>
  <si>
    <t>FY2026 SAM — Amphibious Warfare Ships, Surface Combatants, Submarines &amp; USCG Cutters by Hull, only "outsourceable" Work Types</t>
  </si>
  <si>
    <t>FY2026 SAM New Construction Only × Vessel Type (% of NC total) - Mekko</t>
  </si>
  <si>
    <t>FY2026 SAM MRO &amp; Other Work Types × Vessel Type (% of MRO total) - Mekko</t>
  </si>
  <si>
    <t>Competitive Dynamics</t>
  </si>
  <si>
    <t>Analysis of current competitive landscape with respect to SAM categories (target work types x target vessels)</t>
  </si>
  <si>
    <t>FY2026 SAM — Amphibious Warfare Ships, Surface Combatants, Submarines &amp; USCG Cutters: Funding Line Detail by Hull</t>
  </si>
  <si>
    <t>Programs / funding lines composing the amounts in the table above (rows with no tag or [PARENT] only)</t>
  </si>
  <si>
    <t>Line Item #</t>
  </si>
  <si>
    <t>Bucket Sub-Category</t>
  </si>
  <si>
    <t>Prime Contractor</t>
  </si>
  <si>
    <t>Key Subcontractors (by $ value)</t>
  </si>
  <si>
    <t>Contract Vehicle (PIID)</t>
  </si>
  <si>
    <t>Competition Status</t>
  </si>
  <si>
    <t>(no tag)</t>
  </si>
  <si>
    <t>HULL TOTAL</t>
  </si>
  <si>
    <t>GD Electric Boat / HII NNS (team build)</t>
  </si>
  <si>
    <t>GD Electric Boat (prime) + HII Newport News (~50% hull work)</t>
  </si>
  <si>
    <t>Northrop Grumman ($1.27B sonar/electronics); BAE Systems L&amp;A ($355M propulsors); Curtiss-Wright ($239M motors/valves); DC Fabricators ($205M hull fab); Globe Composite ($197M composites); Scot Forge ($145M forgings); Bechtel Plant Machinery (~$18B reactor components across 10 PIIDs)</t>
  </si>
  <si>
    <t>N0002417C2100 (Blk V→VI, $34.9B); N0002424C2110 (Blk VI LLTM, $5.0B); N0002412C2115 (Blk IV, $19.9B)</t>
  </si>
  <si>
    <t>Sole-source team build (EB+HII NNS)</t>
  </si>
  <si>
    <t>GD Electric Boat</t>
  </si>
  <si>
    <t>N0002417C2100 ($34.9B cumul.)</t>
  </si>
  <si>
    <t>Sole-source</t>
  </si>
  <si>
    <t>N0002424C2110 ($5.0B cumul.)</t>
  </si>
  <si>
    <t>Federal naval shipyards (NNSY, PNSY, PHNSY, PSNS) — bulk is federal payroll, invisible in FPDS</t>
  </si>
  <si>
    <t>GD Electric Boat ($1.33B USS Hartford EOH — N0002420C4312); HII NNS (emergent repairs)</t>
  </si>
  <si>
    <t>Federal workforce + sole-source private contracts</t>
  </si>
  <si>
    <t>Multiple — see line items below</t>
  </si>
  <si>
    <t>Lockheed Martin ($899M Virginia combat sys — N0002410C6266); BAE Systems ($85M SSN 812 fwd subassy); Rolls-Royce ($29M sub rotor)</t>
  </si>
  <si>
    <t>DRS Network &amp; Imaging Systems (spares); Leidos (modeling); GDIT (repair)</t>
  </si>
  <si>
    <t>L3Harris (OEM Type-18 photonics mast — flows through EB prime)</t>
  </si>
  <si>
    <t>SPRRA220F0132 ($43M); SPRRA225F0038 ($36M); 1601/HQ08 ($31M Leidos)</t>
  </si>
  <si>
    <t>Mixed — DLA spares sole-source; support competed</t>
  </si>
  <si>
    <t>Multiple — budget rollup across several FPDS vehicles</t>
  </si>
  <si>
    <t>GD Electric Boat (via Virginia prime)</t>
  </si>
  <si>
    <t>ManTech Advanced Systems ($43M); GDIT ($35M acoustic research)</t>
  </si>
  <si>
    <t>Cosmic Software ($5M); Premier Technology ($5M test infra)</t>
  </si>
  <si>
    <t>N0016721F3010 ($43M ManTech); N0016721F3000 ($35M GDIT)</t>
  </si>
  <si>
    <t>Competed (task orders)</t>
  </si>
  <si>
    <t>ManTech / GDIT (cross-prime work)</t>
  </si>
  <si>
    <t>Competed</t>
  </si>
  <si>
    <t>Salient CRGT ($12M); Hi-Q Engineering ($7M); AECOM ($5M)</t>
  </si>
  <si>
    <t>N6523626F0003; N6523621F0770</t>
  </si>
  <si>
    <t>R&amp;D Solutions ($34M); Amentum ($14M); Precise Systems ($12M); Noblis MSD ($8M)</t>
  </si>
  <si>
    <t>N6660417F3007; N5005417F3002; N6660420F3008</t>
  </si>
  <si>
    <t>JHU APL (Navy T&amp;E side — $46M+); LM Space / Dynetics / NG / Aerojet (all-up-round via Army LRHW)</t>
  </si>
  <si>
    <t>N0002423F8129 ($46M JHU APL); Army LRHW PIIDs (W9113M-*)</t>
  </si>
  <si>
    <t>Sole-source (JHU APL FFRDC); Army prime competed then sole-source</t>
  </si>
  <si>
    <t>Lockheed Martin (BYG-1 combat system); Northrop Grumman ($30M trainer/SUWET)</t>
  </si>
  <si>
    <t>Rite-Solutions ($27M combat SW); Knight Federal ($26M trainer eng)</t>
  </si>
  <si>
    <t>N0002410C6266 ($899M LM); N6660420F3007 ($30M NG)</t>
  </si>
  <si>
    <t>Sole-source (LM BYG-1); competed (NG trainer)</t>
  </si>
  <si>
    <t>Lockheed Martin Sippican (Marion, MA)</t>
  </si>
  <si>
    <t>Ultra Electronics Ocean Sys ($96M sonar arrays); Frontgrade Tech ($19M ICs); TTM Technologies ($16M PCBs); EMCORE ($8M fiber optic gyros)</t>
  </si>
  <si>
    <t>N0002416C6412 ($489M G&amp;C production)</t>
  </si>
  <si>
    <t>Lockheed Martin Sippican</t>
  </si>
  <si>
    <t>N0003920C0013 ($62M OE-538B upgrade)</t>
  </si>
  <si>
    <t>GD Electric Boat (prime) + HII Newport News (~22% hull work)</t>
  </si>
  <si>
    <t>BlueForge Alliance ($4.21B SIB consortium); Northrop Grumman ($669M sonar/mission sys); DRS Naval Power ($403M switchboards); Curtiss-Wright ($176M motors); Babcock Marine Rosyth UK ($172M propulsion); Scot Forge ($171M forgings); APCO Technologies SA ($131M launch tubes); Bechtel ($3.0B+ reactor industrial base)</t>
  </si>
  <si>
    <t>N0002417C2117 (Build I+II, $24-30B climbing, $42B ceiling); N0002419C2115 ($3.0B Bechtel industrial base)</t>
  </si>
  <si>
    <t>N0002417C2117 ($24-30B cumul., $42.2B ceiling)</t>
  </si>
  <si>
    <t>GD Electric Boat + Bechtel Plant Machinery (reactor)</t>
  </si>
  <si>
    <t>BWXT Nuclear Operations ($272M reactor cores); BWX Technologies ($53M pressure vessels)</t>
  </si>
  <si>
    <t>N0002419C2115 ($3.0B Bechtel); N0002419C2114 ($3.4B Bechtel reactor)</t>
  </si>
  <si>
    <t>Bechtel Plant Machinery / BWXT (pass-through)</t>
  </si>
  <si>
    <t>Sole-source (national security exemption)</t>
  </si>
  <si>
    <t>Federal facilities (Trident Refit Facility Bangor, Kings Bay) — invisible in FPDS</t>
  </si>
  <si>
    <t>Federal workforce</t>
  </si>
  <si>
    <t>GD Mission Systems ($465M fire control via LM TI18); Mercury Systems ($80M secure processing)</t>
  </si>
  <si>
    <t>Lockheed Martin ($1.02B TI18 SSBN material); GD Advanced Info Sys ($164M fire control)</t>
  </si>
  <si>
    <t>GD Mission Systems ($465M FCS); Gromelski &amp; Assoc ($81M eng); Mercury Systems ($80M secure proc); Turk Consulting ($79M eng)</t>
  </si>
  <si>
    <t>N0002417C6259 ($1.02B LM TI18); N0003014C0005 ($164M GD)</t>
  </si>
  <si>
    <t>Sole-source (LM/GD incumbent)</t>
  </si>
  <si>
    <t>Lockheed Martin Space (sole-source SLBM prime)</t>
  </si>
  <si>
    <t>Northrop Grumman/ATK ($1.56B combined solid rocket motors); Aerojet Rocketdyne ($324M PBCS); CAES Mission Sys ($177M RF electronics); GD Mission Sys ($170M fire control); Cometto SpA Italy ($104M transport); BAE Ordnance ($86M propellant); Excelitas ($57M optoelectronics)</t>
  </si>
  <si>
    <t>N0003023C0100 ($1.2B FY24); N0003019C0100 ($1.1B FY20); N0003020C0100 ($1.1B FY21)</t>
  </si>
  <si>
    <t>Sole-source to LM Space (SSP)</t>
  </si>
  <si>
    <t>(Ohio-class retiring — sustainment only)</t>
  </si>
  <si>
    <t>Federal naval shipyards + GD Electric Boat (sustain.)</t>
  </si>
  <si>
    <t>Federal workforce + sole-source</t>
  </si>
  <si>
    <t>Bollinger Mississippi Shipbuilding (fmr VT Halter Marine)</t>
  </si>
  <si>
    <t>Bollinger Mississippi Shipbuilding</t>
  </si>
  <si>
    <t>(0 subawards reported — known reporting gap); L3 Technologies ($12M comms cert); Crow Point Energy ($4M GENSET)</t>
  </si>
  <si>
    <t>N0002419C2210 ($2.02B obligated, $2.74B ceiling)</t>
  </si>
  <si>
    <t>Sole-source (novated from VT Halter Marine after Bollinger acquisition Nov 2022)</t>
  </si>
  <si>
    <t>N0002419C2210</t>
  </si>
  <si>
    <t>Birdon America Inc (subsidiary of Birdon Pty Ltd, Australia)</t>
  </si>
  <si>
    <t>Birdon America Inc</t>
  </si>
  <si>
    <t>(0 subawards reported — production just ramping 2025-26); Known: Caterpillar (propulsion), local MS/LA steel fabricators</t>
  </si>
  <si>
    <t>70Z02323D93270001 (IDIQ, $1.2B ceiling); 70Z02324F93270004 ($106M LLTM); 70Z02325F93270007 ($84M production)</t>
  </si>
  <si>
    <t>Sole-source IDIQ</t>
  </si>
  <si>
    <t>70Z02323D93270001 ($1.2B IDIQ ceiling)</t>
  </si>
  <si>
    <t>HII Ingalls Shipbuilding (Pascagoula, MS)</t>
  </si>
  <si>
    <t>HII Ingalls Shipbuilding (sustainment)</t>
  </si>
  <si>
    <t>Lockheed Martin ($503M NSC combat sys/SPQ-9B); Rolls-Royce Solutions ($148M mtu diesel); Bird-Johnson Propeller ($26M spares)</t>
  </si>
  <si>
    <t>HSCG2313CADB014 ($1.65B ISSS); HSCG2316CADB016 ($1.46B)</t>
  </si>
  <si>
    <t>Sole-source (OEM sustainment)</t>
  </si>
  <si>
    <t>HII Ingalls Shipbuilding</t>
  </si>
  <si>
    <t>HSCG2313CADB014 (ISSS)</t>
  </si>
  <si>
    <t>Insitu / Boeing (ScanEagle) — routed through Navy PMA-263</t>
  </si>
  <si>
    <t>MITRE ($4M C-UAS FFRDC)</t>
  </si>
  <si>
    <t>Sole-source (ScanEagle OEM)</t>
  </si>
  <si>
    <t>Eastern Shipbuilding (Stage 1, OPCs 1-4) + Austal USA (Stage 2, OPCs 5-15)</t>
  </si>
  <si>
    <t>Eastern Shipbuilding Group (Stage 1) + Austal USA (Stage 2)</t>
  </si>
  <si>
    <t>Eastern subs: Marine Interior Sys ($63M outfitting); Rolls-Royce ($46M propulsion); Trident Maritime ($33M); IMENCO ($32M); Northrop Grumman ($30M combat sys); Fairbanks Morse ($24M diesel). Austal subs: 0 reported (too new) — known: Caterpillar, Rolls-Royce, GE</t>
  </si>
  <si>
    <t>HSCG2314CAPC002 ($1.4B Eastern Stage 1); 70Z02322C93220001 ($1.4B Austal Stage 2, $3.3B ceiling)</t>
  </si>
  <si>
    <t>Stage 1 competed (2016); Stage 2 re-competed (2022, awarded Austal)</t>
  </si>
  <si>
    <t>Eastern Shipbuilding (Stage 1) / Austal USA (Stage 2)</t>
  </si>
  <si>
    <t>HSCG2314CAPC002; 70Z02322C93220001</t>
  </si>
  <si>
    <t>Bollinger Shipyards Lockport (Lockport, LA)</t>
  </si>
  <si>
    <t>Bollinger Shipyards Lockport</t>
  </si>
  <si>
    <t>(0 subawards reported); Known: MTU Detroit Diesel (propulsion), Hamilton Jet (waterjets), Furuno (radar), Rapp Marine (deck machinery)</t>
  </si>
  <si>
    <t>HSCG2316CAFR625 ($2.08B FRC post-2016); HSCG2308C2FR125 ($1.54B FRC original, closing out)</t>
  </si>
  <si>
    <t>Sole-source (Damen Stan 4708 license)</t>
  </si>
  <si>
    <t>HSCG2316CAFR625 ($2.08B)</t>
  </si>
  <si>
    <t>Validation</t>
  </si>
  <si>
    <t>Data dictionary and validation rules for the consolidated line-item dataset</t>
  </si>
  <si>
    <t>Sheet</t>
  </si>
  <si>
    <t>Field</t>
  </si>
  <si>
    <t>Value</t>
  </si>
  <si>
    <t>Notes</t>
  </si>
  <si>
    <t>ROW TYPES</t>
  </si>
  <si>
    <t>Row Types</t>
  </si>
  <si>
    <t>Tag</t>
  </si>
  <si>
    <t>Additive — safe to sum for TAM totals. This row represents a standalone budget line item whose funding is not double-counted elsewhere in the file.</t>
  </si>
  <si>
    <t>TAM = sum of all (no tag) + [PARENT] rows</t>
  </si>
  <si>
    <t>Parent row whose children carry the detail. The parent holds the aggregate total; its [SUB] children break that total into components.</t>
  </si>
  <si>
    <t>Include in TAM sum alongside (no tag). Do NOT also sum the [SUB] children — that would double-count.</t>
  </si>
  <si>
    <t>Sub-item breakdown of a parent. Provides granular detail but double-counts if summed with the parent row.</t>
  </si>
  <si>
    <t>Parent Item column points to the parent row (by Line Number and/or Title). Exclude from TAM sum if you are already summing [PARENT].</t>
  </si>
  <si>
    <t>Alternative cut of the same money — e.g., availability types vs. individual hulls, or P-5c cost breakdowns vs. P-40 line items.</t>
  </si>
  <si>
    <t>Parent Item column indicates what this is an alternative view of. Always exclude from TAM sums.</t>
  </si>
  <si>
    <t>Deferred maintenance or unfunded requirements — real need identified in the budget justification but NOT included in the enacted/requested funding.</t>
  </si>
  <si>
    <t>Exclude from TAM. Useful for gap analysis (funded vs. required).</t>
  </si>
  <si>
    <t>Context data that is not additive — unit costs, O&amp;S program changes, revolving fund notes, weapon system cost tables.</t>
  </si>
  <si>
    <t>Exclude from TAM. Included for analytical context only.</t>
  </si>
  <si>
    <t>TAM FORMULA</t>
  </si>
  <si>
    <t>TAM Formula</t>
  </si>
  <si>
    <t>Formula</t>
  </si>
  <si>
    <t>FY2026 TAM = SUM(FY2026_Funding_K) WHERE Row_Type IN ('', '[PARENT]')</t>
  </si>
  <si>
    <t>Rows with no tag (additive) plus [PARENT] rows give non-overlapping TAM totals. FY2026_Funding_K for each row is selected from the first non-blank column in the priority order below.</t>
  </si>
  <si>
    <t>Column priority for per-row FY2026 funding: (1) FY2026_DAA_Enacted_Total_K [col R] first, (2) FY2026_Total_K [col N] if (1) is blank, (3) FY2026_Request_K [col L] if (1) and (2) are blank.</t>
  </si>
  <si>
    <t>Note</t>
  </si>
  <si>
    <t>Double-counting guard</t>
  </si>
  <si>
    <t>Never sum [PARENT] and its [SUB] children together. Never sum [ALT_VIEW] with either [PARENT] or (no tag) rows.</t>
  </si>
  <si>
    <t>OPN_BA4 convention</t>
  </si>
  <si>
    <t>OPN_BA4 has zero (no tag) rows — all items are [PARENT] or [SUB]. TAM for BA4 = sum of [PARENT] rows only.</t>
  </si>
  <si>
    <t>Cross-book overlap</t>
  </si>
  <si>
    <t>NWCF and OMN fund some of the same activities (NWCF is a revolving fund reimbursed by OMN). Use Source_Book to isolate when needed.</t>
  </si>
  <si>
    <t>BUCKET DEFINITIONS</t>
  </si>
  <si>
    <t>Buckets</t>
  </si>
  <si>
    <t>Bucket #</t>
  </si>
  <si>
    <t>New Construction — Design, construction, and delivery of new vessels from detail design through sea trials.</t>
  </si>
  <si>
    <t>Primary budget anchors: SCN (Navy), PC&amp;I (USCG). Keywords: DD&amp;C, LLTM, advance procurement.</t>
  </si>
  <si>
    <t>Scheduled Depot Maintenance &amp; Repair — Planned depot-level work to restore/sustain material condition during CNO-scheduled availabilities.</t>
  </si>
  <si>
    <t>Primary budget anchor: O&amp;M,N SAG 1B4B Ship Depot Maintenance. Keywords: DSRA, SRA, DPMA, PMA, PIA, ROH, overhaul, drydock.</t>
  </si>
  <si>
    <t>Continuous / Intermediate / Emergent Maintenance — Shorter-duration, intermediate-level, continuous, and emergent/casualty work outside the big depot event.</t>
  </si>
  <si>
    <t>Keywords: CMAV, WOO, EM, emergent, casualty repair, voyage repair, dockside. Same mission as Bucket 2 but different rhythm.</t>
  </si>
  <si>
    <t>Modernization &amp; Alteration Installation — Work that changes configuration or adds capability beyond restore-only repair. Funded primarily through procurement.</t>
  </si>
  <si>
    <t>Primary budget anchors: OPN P-40 line items (DDG Mod, CG Mod, LCS Mod, etc.). Keywords: SHIPALT, ORDALT, MACHALT, tech refresh, backfit, retrofit.</t>
  </si>
  <si>
    <t>Major Life-Cycle Events / SLEP / MMA / RCOH — Multi-year platform- or class-scale recapitalization that gets its own budget line.</t>
  </si>
  <si>
    <t>Keywords: RCOH, EOH, SLEP, MMA, midlife. Separate from routine depot maintenance (Bucket 2).</t>
  </si>
  <si>
    <t>Sustainment Engineering / Planning / Obsolescence Support — Engineering, planning, DMSMS/obsolescence, and program support for in-service vessels.</t>
  </si>
  <si>
    <t>Primary budget anchor: O&amp;M,N SAG 1B5B Ship Depot Operations Support. Also includes OPN spares (BA08). Keywords: SETA, DMSMS, survey &amp; design.</t>
  </si>
  <si>
    <t>Availability Support / Husbanding / Port Services — Services that enable repair/modernization but are not themselves repair or upgrade work.</t>
  </si>
  <si>
    <t>Keywords: husbanding, pilot, tug, berthing, crane, shore power, scaffolding, environmental. Adjacent to MRO, not core MRO.</t>
  </si>
  <si>
    <t>BUCKET 1 SUB-CATEGORIES</t>
  </si>
  <si>
    <t>Bucket 1 Subs</t>
  </si>
  <si>
    <t>Sub-Category</t>
  </si>
  <si>
    <t>Detail design and construction of a complete vessel.</t>
  </si>
  <si>
    <t>Examples: DDG-51, FFG-62, CVN-79, LPD, LHA, T-AO, OPC, FRC, PSC</t>
  </si>
  <si>
    <t>Long-lead time material and advance procurement funded 1-2 years ahead of DD&amp;C.</t>
  </si>
  <si>
    <t>Examples: reactor components, propulsion equipment, combat system long-lead items</t>
  </si>
  <si>
    <t>Lead yard support, planning yard services, and design completion work.</t>
  </si>
  <si>
    <t>Examples: EB submarine planning yard, Columbia design completion</t>
  </si>
  <si>
    <t>Government-furnished equipment / combat systems procured separately from hull construction (via OPN or RDT&amp;E).</t>
  </si>
  <si>
    <t>Funded through OPN, not SCN — but supports new construction.</t>
  </si>
  <si>
    <t>VESSEL SERVICE, CATEGORY, TYPE &amp; HULL TAXONOMY</t>
  </si>
  <si>
    <t>Vessel Taxonomy</t>
  </si>
  <si>
    <t>Service</t>
  </si>
  <si>
    <t>United States Navy — commissioned warships and support craft with Navy crews.</t>
  </si>
  <si>
    <t>Category</t>
  </si>
  <si>
    <t>Warships and other combatant vessels — the core fighting and logistics fleet.</t>
  </si>
  <si>
    <t>Type</t>
  </si>
  <si>
    <t>Nuclear-powered aircraft carriers</t>
  </si>
  <si>
    <t>Hulls: CVN</t>
  </si>
  <si>
    <t>Guided-missile cruisers, destroyers, frigates, littoral combat ships</t>
  </si>
  <si>
    <t>Hulls: CG, DDG, FFG, LCS</t>
  </si>
  <si>
    <t>Attack submarines, ballistic missile submarines, guided-missile submarines</t>
  </si>
  <si>
    <t>Hulls: SSN, SSBN, SSGN</t>
  </si>
  <si>
    <t>Amphibious assault ships and transport docks</t>
  </si>
  <si>
    <t>Hulls: LHA, LHD, LPD, LSD</t>
  </si>
  <si>
    <t>Mine countermeasure ships</t>
  </si>
  <si>
    <t>Hulls: MCM</t>
  </si>
  <si>
    <t>Oilers, ammunition ships, dry cargo/ammunition ships</t>
  </si>
  <si>
    <t>Hulls: AO, AOE, AOL, AKE</t>
  </si>
  <si>
    <t>Afloat command and control platforms</t>
  </si>
  <si>
    <t>Hulls: LCC</t>
  </si>
  <si>
    <t>Submarine tenders</t>
  </si>
  <si>
    <t>Hulls: AS</t>
  </si>
  <si>
    <t>Ocean surveillance ships</t>
  </si>
  <si>
    <t>Hulls: AGOS</t>
  </si>
  <si>
    <t>Rescue/salvage ships and fleet tugs</t>
  </si>
  <si>
    <t>Hulls: ARS, ATF, ATS</t>
  </si>
  <si>
    <t>Expeditionary fast transports, sea bases, medium landing ships</t>
  </si>
  <si>
    <t>Hulls: EPF, ESB, ESD, LSM</t>
  </si>
  <si>
    <t>Non-combatant support vessels — research, cargo, hospital, and special-purpose ships.</t>
  </si>
  <si>
    <t>Floating crane ship</t>
  </si>
  <si>
    <t>Hulls: ACS</t>
  </si>
  <si>
    <t>Multi-purpose auxiliary vessels</t>
  </si>
  <si>
    <t>Hulls: AG</t>
  </si>
  <si>
    <t>Oceanographic and survey ships</t>
  </si>
  <si>
    <t>Hulls: AGM, AGOR, AGS</t>
  </si>
  <si>
    <t>Hospital ships</t>
  </si>
  <si>
    <t>Hulls: AH</t>
  </si>
  <si>
    <t>Cargo and vehicle transport ships</t>
  </si>
  <si>
    <t>Hulls: AK, AKR</t>
  </si>
  <si>
    <t>Transport Oiler</t>
  </si>
  <si>
    <t>Transport oilers</t>
  </si>
  <si>
    <t>Hulls: AOT</t>
  </si>
  <si>
    <t>Cable Repairing Ship</t>
  </si>
  <si>
    <t>Submarine cable repair ships</t>
  </si>
  <si>
    <t>Hulls: ARC</t>
  </si>
  <si>
    <t>Aviation support ships</t>
  </si>
  <si>
    <t>Hulls: AVB</t>
  </si>
  <si>
    <t>High speed transports</t>
  </si>
  <si>
    <t>Hulls: HST</t>
  </si>
  <si>
    <t>Submarine escort/support vessels</t>
  </si>
  <si>
    <t>Hulls: AGSE</t>
  </si>
  <si>
    <t>USS Constitution</t>
  </si>
  <si>
    <t>Historic warship — not operationally classified</t>
  </si>
  <si>
    <t>Hulls: None</t>
  </si>
  <si>
    <t>Smaller combatant craft — patrol, landing, and special warfare.</t>
  </si>
  <si>
    <t>Coastal patrol craft</t>
  </si>
  <si>
    <t>Hulls: PC</t>
  </si>
  <si>
    <t>Landing craft — air cushion and utility</t>
  </si>
  <si>
    <t>Hulls: LCAC, LCU</t>
  </si>
  <si>
    <t>Patrol Boats</t>
  </si>
  <si>
    <t>Various patrol boats by length</t>
  </si>
  <si>
    <t>Hulls: 36PB, 64PB, 87PB</t>
  </si>
  <si>
    <t>Naval Special Warfare craft and swimmer delivery vehicles</t>
  </si>
  <si>
    <t>Hulls: DSB, CCA, CCM, CCH, NSW RHIB, SDV, SWCS, SSC</t>
  </si>
  <si>
    <t>Unmanned surface and undersea vehicles.</t>
  </si>
  <si>
    <t>Large, medium, small, and very small unmanned surface vehicles</t>
  </si>
  <si>
    <t>Hulls: LUSV, MUSV, SUSV, VSUSV</t>
  </si>
  <si>
    <t>Extra-large, large, medium, and small unmanned undersea vehicles</t>
  </si>
  <si>
    <t>Hulls: XLUUV, LUUV, MUUV, SUUV</t>
  </si>
  <si>
    <t>Yard craft, barges, tugs, and harbor support vessels.</t>
  </si>
  <si>
    <t>Dry Docks</t>
  </si>
  <si>
    <t>Floating dry docks</t>
  </si>
  <si>
    <t>Hulls: AFDL, ARDM, AFDM</t>
  </si>
  <si>
    <t>Harbor Tugs</t>
  </si>
  <si>
    <t>Yard and harbor tugboats</t>
  </si>
  <si>
    <t>Hulls: YT, YTB, YTL</t>
  </si>
  <si>
    <t>Lighters &amp; Barges</t>
  </si>
  <si>
    <t>Non-self-propelled barges and lighters</t>
  </si>
  <si>
    <t>Hulls: YC, YCV, YFN, YFNX, YFNB, YON, YOS, YWN, YWO</t>
  </si>
  <si>
    <t>Miscellaneous self-propelled yard and special craft</t>
  </si>
  <si>
    <t>Hulls: FSF, SBX, YFB, YP, YSD, YDT, YTT</t>
  </si>
  <si>
    <t>Berthing barges, floating workshops, miscellaneous non-propelled craft</t>
  </si>
  <si>
    <t>Hulls: APL, YD, YFND, YFP, YR, YRB, YRBM, YRDH, YRDM, IX</t>
  </si>
  <si>
    <t>Sealift and marine pre-positioning support craft</t>
  </si>
  <si>
    <t>Hulls: INLS, LCM 8, LARC V, MPF UB, OPDS UB</t>
  </si>
  <si>
    <t>Ships Boats</t>
  </si>
  <si>
    <t>Motor rescue boats carried aboard ships</t>
  </si>
  <si>
    <t>Hulls: 5MRB, 7MRB, 11MRB</t>
  </si>
  <si>
    <t>Shore-Based Harbor Security Boats</t>
  </si>
  <si>
    <t>Harbor security patrol boats</t>
  </si>
  <si>
    <t>Hulls: 27HS, 28HS, 32HS, 33HS, 11MHS, 35HS, 36HS</t>
  </si>
  <si>
    <t>Military Sealift Command — civilian-crewed ships using T- prefix before hull symbol (e.g., T-AO, T-AKE, T-EPF).</t>
  </si>
  <si>
    <t>MSC shares USN categories and types</t>
  </si>
  <si>
    <t>MSC vessels fall under the same Category and Type as their USN counterparts. The T- prefix on the hull designator distinguishes them. Service column = MSC when hull starts with T-.</t>
  </si>
  <si>
    <t>Examples: T-AO (Combat Logistics Ships), T-AGOS (Surveillance Ships), T-EPF (Expeditionary &amp; Seabasing Ships)</t>
  </si>
  <si>
    <t>United States Coast Guard — cutters and boats.</t>
  </si>
  <si>
    <t>Coast Guard cutters — 65 feet and larger.</t>
  </si>
  <si>
    <t>Heavy polar icebreakers</t>
  </si>
  <si>
    <t>Hull: WAGB</t>
  </si>
  <si>
    <t>Great Lakes icebreaking cutters</t>
  </si>
  <si>
    <t>Hull: WLBB</t>
  </si>
  <si>
    <t>Legend-class national security cutters</t>
  </si>
  <si>
    <t>Hull: WMSL</t>
  </si>
  <si>
    <t>High Endurance Cutters</t>
  </si>
  <si>
    <t>Hamilton-class high endurance cutters (retiring)</t>
  </si>
  <si>
    <t>Hull: WHEC</t>
  </si>
  <si>
    <t>Medium Endurance Cutters</t>
  </si>
  <si>
    <t>270-foot and 210-foot medium endurance cutters</t>
  </si>
  <si>
    <t>Hull: WMEC</t>
  </si>
  <si>
    <t>Heritage-class offshore patrol cutters</t>
  </si>
  <si>
    <t>Hull: WMSM</t>
  </si>
  <si>
    <t>Sentinel-class fast response cutters</t>
  </si>
  <si>
    <t>Hull: WPC</t>
  </si>
  <si>
    <t>Marine Protector-class patrol boats</t>
  </si>
  <si>
    <t>Hull: WPB</t>
  </si>
  <si>
    <t>Seagoing Buoy Tenders</t>
  </si>
  <si>
    <t>Juniper-class seagoing buoy tenders</t>
  </si>
  <si>
    <t>Hull: WLB</t>
  </si>
  <si>
    <t>Keeper-class coastal buoy tenders</t>
  </si>
  <si>
    <t>Hull: WLM</t>
  </si>
  <si>
    <t>Inland Construction Tenders</t>
  </si>
  <si>
    <t>Inland construction tenders</t>
  </si>
  <si>
    <t>Hull: WLIC</t>
  </si>
  <si>
    <t>Ice Breaking Tugs</t>
  </si>
  <si>
    <t>Ice-breaking harbor tugs</t>
  </si>
  <si>
    <t>Hull: WTGB</t>
  </si>
  <si>
    <t>River Buoy Tenders</t>
  </si>
  <si>
    <t>River buoy tenders</t>
  </si>
  <si>
    <t>Hull: WLR</t>
  </si>
  <si>
    <t>Inland Buoy Tenders</t>
  </si>
  <si>
    <t>Inland buoy tenders</t>
  </si>
  <si>
    <t>Hull: WLI</t>
  </si>
  <si>
    <t>Small Harbor Tugs</t>
  </si>
  <si>
    <t>65-foot small harbor tugs</t>
  </si>
  <si>
    <t>Hull: WYTL</t>
  </si>
  <si>
    <t>Barque Eagle</t>
  </si>
  <si>
    <t>USCG training sailing vessel</t>
  </si>
  <si>
    <t>Hull: WIX</t>
  </si>
  <si>
    <t>Coast Guard boats — under 65 feet.</t>
  </si>
  <si>
    <t>Response Boats</t>
  </si>
  <si>
    <t>Motor lifeboats, response boats, transportable port security boats</t>
  </si>
  <si>
    <t>Hulls: MLB, RB-M, TPSB, RB-S II, UTM, UTL</t>
  </si>
  <si>
    <t>Aids to Navigation Boats</t>
  </si>
  <si>
    <t>Boats supporting aids to navigation mission</t>
  </si>
  <si>
    <t>Hulls: ANB, BUSL, TANB, AB-S, AB-SKF</t>
  </si>
  <si>
    <t>Cutter Boats</t>
  </si>
  <si>
    <t>Small boats deployed from cutters</t>
  </si>
  <si>
    <t>Hulls: CB-LRI, CB-OTH, ASB/LC, MSB, CB-L, CB-ATON, CB-M, CB-S, UTL</t>
  </si>
  <si>
    <t>Special Purpose Craft</t>
  </si>
  <si>
    <t>Specialized mission craft</t>
  </si>
  <si>
    <t>Hulls: SPC-SV, SPC-TTB, SPC-TB, SPC-LE, SPC-BTD, SPC-LEO, SPC-SW, SPC-IRT, SKF-ICE, SKF</t>
  </si>
  <si>
    <t>Training Craft</t>
  </si>
  <si>
    <t>Academy and training center craft</t>
  </si>
  <si>
    <t>Hulls: CT-64, SB</t>
  </si>
  <si>
    <t>VESSEL CLASS DETAILED REFERENCE (contextual / not a column in the data)</t>
  </si>
  <si>
    <t>Vessel Classes</t>
  </si>
  <si>
    <t>Reference only</t>
  </si>
  <si>
    <t>Hull</t>
  </si>
  <si>
    <t>Class</t>
  </si>
  <si>
    <t>Nimitz (CVN-68)</t>
  </si>
  <si>
    <t>Nuclear-powered carrier, 10 ships (CVN-68 through CVN-77)</t>
  </si>
  <si>
    <t>Active</t>
  </si>
  <si>
    <t>Gerald R. Ford (CVN-78)</t>
  </si>
  <si>
    <t>Next-gen nuclear carrier: CVN-78, -79, -80, -81</t>
  </si>
  <si>
    <t>Active / under construction</t>
  </si>
  <si>
    <t>Arleigh Burke (DDG-51)</t>
  </si>
  <si>
    <t>Guided-missile destroyer — Flight I/II/IIA/III</t>
  </si>
  <si>
    <t>Zumwalt (DDG-1000)</t>
  </si>
  <si>
    <t>Multi-mission stealth destroyer, 3 ships</t>
  </si>
  <si>
    <t>Ticonderoga (CG-47)</t>
  </si>
  <si>
    <t>Guided-missile cruiser (being decommissioned)</t>
  </si>
  <si>
    <t>Active (retiring)</t>
  </si>
  <si>
    <t>Constellation (FFG-62)</t>
  </si>
  <si>
    <t>Next-generation guided-missile frigate</t>
  </si>
  <si>
    <t>Under construction</t>
  </si>
  <si>
    <t>Freedom (LCS-1)</t>
  </si>
  <si>
    <t>Littoral combat ship — Freedom variant</t>
  </si>
  <si>
    <t>Independence (LCS-2)</t>
  </si>
  <si>
    <t>Littoral combat ship — Independence variant</t>
  </si>
  <si>
    <t>Los Angeles (SSN-688)</t>
  </si>
  <si>
    <t>Nuclear attack submarine — largest SSN class</t>
  </si>
  <si>
    <t>Seawolf (SSN-21)</t>
  </si>
  <si>
    <t>Nuclear attack submarine, 3 ships</t>
  </si>
  <si>
    <t>Virginia (SSN-774)</t>
  </si>
  <si>
    <t>Nuclear attack submarine — Block I through V</t>
  </si>
  <si>
    <t>Ohio (SSBN-726 / SSGN-726)</t>
  </si>
  <si>
    <t>Fleet ballistic missile sub (SSBN) and guided-missile sub (SSGN)</t>
  </si>
  <si>
    <t>Columbia (SSBN-826)</t>
  </si>
  <si>
    <t>Next-gen ballistic missile submarine</t>
  </si>
  <si>
    <t>America (LHA-6)</t>
  </si>
  <si>
    <t>Amphibious assault ship</t>
  </si>
  <si>
    <t>Wasp (LHD-1)</t>
  </si>
  <si>
    <t>Multipurpose amphibious assault ship, 8 ships</t>
  </si>
  <si>
    <t>San Antonio (LPD-17)</t>
  </si>
  <si>
    <t>Amphibious transport dock — Flight I and II</t>
  </si>
  <si>
    <t>Whidbey Island / Harpers Ferry (LSD-41/49)</t>
  </si>
  <si>
    <t>Dock landing ships (being replaced by LPD Flight II)</t>
  </si>
  <si>
    <t>Avenger (MCM-1)</t>
  </si>
  <si>
    <t>Mine countermeasures ship</t>
  </si>
  <si>
    <t>Henry J. Kaiser (T-AO 187)</t>
  </si>
  <si>
    <t>Fleet replenishment oiler (MSC)</t>
  </si>
  <si>
    <t>John Lewis (T-AO 205)</t>
  </si>
  <si>
    <t>Next-gen fleet replenishment oiler (MSC)</t>
  </si>
  <si>
    <t>Lewis and Clark (T-AKE)</t>
  </si>
  <si>
    <t>Dry cargo/ammunition ship (MSC)</t>
  </si>
  <si>
    <t>Supply (T-AOE 6)</t>
  </si>
  <si>
    <t>Fast combat support ship</t>
  </si>
  <si>
    <t>Inactive</t>
  </si>
  <si>
    <t>Spearhead (T-EPF)</t>
  </si>
  <si>
    <t>Expeditionary fast transport (MSC)</t>
  </si>
  <si>
    <t>Lewis B. Puller (T-ESB)</t>
  </si>
  <si>
    <t>Expeditionary sea base (MSC)</t>
  </si>
  <si>
    <t>Medium Landing Ship (LSM)</t>
  </si>
  <si>
    <t>New program — medium amphibious landing ship</t>
  </si>
  <si>
    <t>Under development</t>
  </si>
  <si>
    <t>Ship to Shore Connector (SSC / LCAC 100)</t>
  </si>
  <si>
    <t>Next-gen landing craft air cushion</t>
  </si>
  <si>
    <t>Landing craft utility — next generation</t>
  </si>
  <si>
    <t>Blue Ridge (LCC-19/20)</t>
  </si>
  <si>
    <t>Amphibious command ship</t>
  </si>
  <si>
    <t>Emory S. Land (AS-39)</t>
  </si>
  <si>
    <t>Submarine tender</t>
  </si>
  <si>
    <t>Victorious (T-AGOS 19)</t>
  </si>
  <si>
    <t>Ocean surveillance ship (MSC)</t>
  </si>
  <si>
    <t>Pathfinder (T-AGS 60)</t>
  </si>
  <si>
    <t>Oceanographic survey ship (MSC)</t>
  </si>
  <si>
    <t>Mercy (T-AH 19)</t>
  </si>
  <si>
    <t>Hospital ship (MSC)</t>
  </si>
  <si>
    <t>Navajo (T-ATS)</t>
  </si>
  <si>
    <t>Towing/salvage/rescue ship (MSC)</t>
  </si>
  <si>
    <t>Safeguard (ARS-50)</t>
  </si>
  <si>
    <t>Rescue and salvage ship</t>
  </si>
  <si>
    <t>Legend (WMSL-750)</t>
  </si>
  <si>
    <t>Heritage (WMSM-920)</t>
  </si>
  <si>
    <t>Sentinel (WPC-1101)</t>
  </si>
  <si>
    <t>Famous (WMEC-270)</t>
  </si>
  <si>
    <t>270-foot medium endurance cutter</t>
  </si>
  <si>
    <t>Reliance (WMEC-210)</t>
  </si>
  <si>
    <t>210-foot medium endurance cutter</t>
  </si>
  <si>
    <t>Retiring</t>
  </si>
  <si>
    <t>Polar (WAGB-10)</t>
  </si>
  <si>
    <t>Polar-class heavy icebreaker</t>
  </si>
  <si>
    <t>Active (beyond service life)</t>
  </si>
  <si>
    <t>Polar Security Cutter (WAGB)</t>
  </si>
  <si>
    <t>New heavy polar icebreaker program</t>
  </si>
  <si>
    <t>Mackinaw (WLBB-30)</t>
  </si>
  <si>
    <t>Great Lakes icebreaker</t>
  </si>
  <si>
    <t>Juniper (WLB-201)</t>
  </si>
  <si>
    <t>Seagoing buoy tender</t>
  </si>
  <si>
    <t>Keeper (WLM-551)</t>
  </si>
  <si>
    <t>Coastal buoy tender</t>
  </si>
  <si>
    <t>VESSEL COLUMN STANDARDIZATION RULES</t>
  </si>
  <si>
    <t>Standardization</t>
  </si>
  <si>
    <t>Rule</t>
  </si>
  <si>
    <t>4-column vessel hierarchy</t>
  </si>
  <si>
    <t>Vessel data split into: Vessel_Service (USN/USCG/MSC), Vessel_Category (Combatant Ships, Auxiliary Ships, etc.), Vessel_Type (e.g., Surface Combatants), Vessel_Hull (e.g., DDG, T-AO).</t>
  </si>
  <si>
    <t>Each column progressively more specific. All 4 may be populated or only broader levels.</t>
  </si>
  <si>
    <t>Service determined by hull and source</t>
  </si>
  <si>
    <t>MSC assigned when hull starts with T-. USCG assigned for Cutters/Boats categories or USCG source book. All others USN.</t>
  </si>
  <si>
    <t>Multi-type / multi-hull rows blanked</t>
  </si>
  <si>
    <t>If a line item applies to multiple vessel types or hulls, all 4 vessel columns are blank.</t>
  </si>
  <si>
    <t>Description or Citation preserves original scope.</t>
  </si>
  <si>
    <t>Vague values blanked</t>
  </si>
  <si>
    <t>Values like 'Multiple', 'Afloat (various)', 'N/A' that cannot map to a single canonical type are blanked.</t>
  </si>
  <si>
    <t>Hull extracted from class or type</t>
  </si>
  <si>
    <t>Hull derived first from vessel class (Arleigh Burke -&gt; DDG). If no class but original type was specific (e.g., 'Surface Combatants (DDG)'), hull extracted from type.</t>
  </si>
  <si>
    <t>Type has no parentheticals</t>
  </si>
  <si>
    <t>Vessel_Type uses base name only (e.g., 'Surface Combatants'). Hull abbreviations belong in Vessel_Hull.</t>
  </si>
  <si>
    <t>Blank stays blank</t>
  </si>
  <si>
    <t>If vessel info was originally blank, all 4 vessel columns remain blank.</t>
  </si>
  <si>
    <t>COMPOSITE BUCKET VALUES</t>
  </si>
  <si>
    <t>Composite buckets</t>
  </si>
  <si>
    <t>Some line items span multiple work types. Their Bucket value uses a delimiter (pipe, comma, or slash) to indicate all applicable buckets.</t>
  </si>
  <si>
    <t>Values: 2|3, 2,3, 2/4, 4/6, 1,4,5. These do not match any single-integer SUMPRODUCT filter and are correctly excluded from per-bucket TAM sums.</t>
  </si>
  <si>
    <t>TAM impact</t>
  </si>
  <si>
    <t>Composite-bucket rows are excluded from the TAM-by-work-type pivot (sheets 3 &amp; 4) because SUMPRODUCT checks D=1, D=2, etc. — a string like "2|3" fails all single-integer tests.</t>
  </si>
  <si>
    <t>To capture these rows, filter Bucket for non-integer values.</t>
  </si>
  <si>
    <t>BUCKET SUB-CATEGORIES (BUCKETS 2-7)</t>
  </si>
  <si>
    <t>Bucket 2 Subs</t>
  </si>
  <si>
    <t>CNO-scheduled depot-level maintenance availabilities (DSRA, SRA, DPMA, PMA, PIA, drydock).</t>
  </si>
  <si>
    <t>113 rows in current data.</t>
  </si>
  <si>
    <t>Ship availability periods for maintenance and repair work.</t>
  </si>
  <si>
    <t>105 rows in current data.</t>
  </si>
  <si>
    <t>Bucket 4 Subs</t>
  </si>
  <si>
    <t>Government-furnished equipment and combat system modernization installations.</t>
  </si>
  <si>
    <t>Shared with Bucket 1 — same sub-category applies to both new construction and retrofit contexts.</t>
  </si>
  <si>
    <t>Bucket 5 Subs</t>
  </si>
  <si>
    <t>Refueling Complex Overhaul — multi-year nuclear carrier recapitalization.</t>
  </si>
  <si>
    <t>187 rows in current data.</t>
  </si>
  <si>
    <t>Service Life Extension Program — extends a platform beyond original design life.</t>
  </si>
  <si>
    <t>6 rows in current data.</t>
  </si>
  <si>
    <t>Bucket 6 Subs</t>
  </si>
  <si>
    <t>Spare parts procurement supporting sustainment engineering and obsolescence management (OPN BA08).</t>
  </si>
  <si>
    <t>14 rows in current data.</t>
  </si>
  <si>
    <t>Bucket 7 Subs</t>
  </si>
  <si>
    <t>Services enabling repair/modernization — husbanding, port services, crane, scaffolding, environmental.</t>
  </si>
  <si>
    <t>76 rows in current data.</t>
  </si>
  <si>
    <t>USCG full vessel procurement — equivalent to Full ship DD&amp;C but for Coast Guard assets.</t>
  </si>
  <si>
    <t>6 rows in current data. Used for USCG cutters/boats.</t>
  </si>
  <si>
    <t>Combined full ship construction and long-lead time material in a single line item.</t>
  </si>
  <si>
    <t>3 rows in current data.</t>
  </si>
  <si>
    <t>FY 2027 COLUMNS — METHODOLOGY &amp; SOURCING</t>
  </si>
  <si>
    <t>FY 2027 Columns</t>
  </si>
  <si>
    <t>Source Document</t>
  </si>
  <si>
    <t>FY 2027 P-1 / O-1 (April 2026)</t>
  </si>
  <si>
    <t>New columns added: FY2027 Request ($K), FY2027 Mandatory Request ($K), FY2027 Total ($K). Located at end of sheet (cols AI/AJ/AK) to avoid breaking the column-letter formula references in TAM, SAM, and Competitive Dynamics.</t>
  </si>
  <si>
    <t>Status of FY27: REQUEST only, not enacted. Congress has not yet acted on the FY27 budget submission.</t>
  </si>
  <si>
    <t>Discretionary vs Mandatory</t>
  </si>
  <si>
    <t>Two separate FY27 columns</t>
  </si>
  <si>
    <t>The FY 2027 P-1 has TWO request columns: "FY 2027 Discretionary Request" (the regular annual base request) and "FY 2027 Mandatory Request" (a NEW reconciliation ask the Administration is making — round 2 mandatory funding, separate from OBBBA, NOT enacted, NOT guaranteed to pass).</t>
  </si>
  <si>
    <t>FY2027 Total = Disc Request + Mandatory Request. SCN FY27 totals: Disc $60.18B + Mand $5.65B = $65.83B.</t>
  </si>
  <si>
    <t>Same as FY26 — sum (no tag) + [PARENT] rows</t>
  </si>
  <si>
    <t>For FY27: TAM = SUM(FY27_Total) WHERE Row_Type IN ("", "[PARENT]"). Use FY2027 Total as the per-row value, OR sum FY2027 Request + FY2027 Mandatory Request separately if you want to model the two scenarios.</t>
  </si>
  <si>
    <t>Same double-counting guards apply: skip [SUB], [ALT_VIEW], [REFERENCE], [UNFUNDED]. Composite-bucket rows still excluded from per-bucket pivots.</t>
  </si>
  <si>
    <t>Net vs Gross convention</t>
  </si>
  <si>
    <t>PARENT = NET (gross − Less:AP − Less:SFF)</t>
  </si>
  <si>
    <t>Same convention as FY26 DAA columns: PARENT row holds the NET value after deducting Advance Procurement (PY) and Subsequent Full Funding (FY) lines from the gross procurement amount. Completion-PY rolldowns from earlier years are EXCLUDED from PARENT (they live in [SUB] rows).</t>
  </si>
  <si>
    <t>Validated against FY26: Virginia Class PARENT FY26 DAA Final = $2.74B = gross $5.39B − AP $2.65B (FY27 P-1 page 135). Same approach used for FY27.</t>
  </si>
  <si>
    <t>OBBBA exclusion</t>
  </si>
  <si>
    <t>OBBBA does NOT get a separate FY27 column</t>
  </si>
  <si>
    <t>CRITICAL: OBBBA (PL 119-21, "One Big Beautiful Bill Act") provided $152.3B in MANDATORY funding enacted in July 2025. Per OBBBA Figure 1 in the OBBBA Funding Allocation Narrative, 100% of OBBBA budget authority is FY 2026 — every section shows zero in FY27/FY28/FY29 columns. OBBBA is fully captured in the existing FY2026 DAA Mandatory / FY2026 DAA Final Bill / FY2026 DAA Enacted Total columns.</t>
  </si>
  <si>
    <t>See "Budget authority vs spending implementation" row below for the nuance about why some OBBBA contracts will sign in FY27/FY28 even though the budget authority is FY26.</t>
  </si>
  <si>
    <t>Budget authority vs spending implementation</t>
  </si>
  <si>
    <t>Important conceptual distinction</t>
  </si>
  <si>
    <t>BUDGET AUTHORITY (BA) is the legal authority Congress grants in a given fiscal year for an agency to enter into financial obligations. SPENDING IMPLEMENTATION (outlays / contract awards) can happen in later years if the authority is multi-year. OBBBA gave the Department $152.3B of FY2026 BA, available for obligation through Sept 30, 2029. So contracts will sign in FY26, FY27, FY28, and FY29 — but the BA all counts as FY26. THIS WORKBOOK MEASURES BA, not outlays, because that is the apples-to-apples basis for comparing across years and against the President's Budget request. The "FY 2026 Reconciliation" / "FY 2026 DAA Mandatory" columns already capture all OBBBA dollars correctly. Adding an "FY 2027 OBBBA" column would double-count.</t>
  </si>
  <si>
    <t>Examples from OBBBA narrative: T-AO Oilers (item 23) — "three (3) T-AO Oilers, two (2) in FY 2026 and one (1) in FY 2027" — all $2.725B is FY26 BA, but the third oiler's contract will sign in FY27. LPD 34 / LHA 10 advance procurement (item 26) is also FY26 BA for FY27 ship buys.</t>
  </si>
  <si>
    <t>FY27 Mandatory Request vs OBBBA</t>
  </si>
  <si>
    <t>These are DIFFERENT pots of money</t>
  </si>
  <si>
    <t>OBBBA = enacted FY26 mandatory funding (PL 119-21, July 2025). Captured in FY26 DAA columns. FY 2027 Mandatory Request = a NEW reconciliation ask in the Apr 2026 President's Budget submission — the Administration is asking Congress for ANOTHER round of mandatory funding in FY27. As of the FY27 PB submission, this is NOT enacted; Congress may or may not pass it.</t>
  </si>
  <si>
    <t>SCN FY27 Mandatory Request = $5.65B. Compare to SCN FY26 OBBBA (PL 119-21) = $17.93B. Different bills, different fiscal years, both technically "reconciliation" but accounted separately.</t>
  </si>
  <si>
    <t>Coverage by source book</t>
  </si>
  <si>
    <t>High for SCN/OPN/WPN, blank for OMN/NWCF/USCG</t>
  </si>
  <si>
    <t>High coverage (line-item match available): SCN (33 rows), OPN_BA1-BA5-8 (118 rows), WPN (23 rows). Blank coverage in v1.21: OMN (12 rows), OMN_Vol2 (94 rows), NWCF (33 rows) — these source books only have SAG/account-level totals in the O-1/RF-1 exhibits, not per-line detail. USCG (18 rows) — Coast Guard is part of DHS, not in the DoW P-1/O-1.</t>
  </si>
  <si>
    <t>Plan: OMN/NWCF will be filled via prorated SAG-level allocation in a separate sheet (Phase 2). USCG will be filled when DHS Congressional Justification is sourced.</t>
  </si>
  <si>
    <t>New programs added in v1.21</t>
  </si>
  <si>
    <t>9 new SCN rows for FY27 P-1 line items</t>
  </si>
  <si>
    <t>Programs that exist in the FY27 P-1 but had no row in the v1.20 spreadsheet: Surface Ship Industrial Base (LI 8), BBG(X) (LI 9, AP only), FF(X) (LI 17), AS Submarine Tender (LI 26), SMS-Special Mission Ship (LI 27), Next Generation Logistics Ship (LI 30, no FY27 funding), Bulk Fuel Vessel (LI 40), T-AH(X) (LI 41), Fireboats (LI 42).</t>
  </si>
  <si>
    <t>Each new row has Source=SCN, Color of Money=Procurement, no Row Type tag (additive), and full vessel taxonomy populated where available.</t>
  </si>
  <si>
    <t>1613N Maritime Industrial Base Fund</t>
  </si>
  <si>
    <t>NOT added — FY26-only appropriation</t>
  </si>
  <si>
    <t>The FY27 P-1 includes a new appropriation 1613N "Maritime Industrial Base Fund" with two line items: Submarine Industrial Base ($2.54B FY26 PL 119-21) and Surface Ship Industrial Base ($1.99B FY26 PL 119-21). Both are zero in FY27. This is OBBBA-only money already captured by other rows in the workbook — no new rows added.</t>
  </si>
  <si>
    <t>—</t>
  </si>
  <si>
    <t>DATA QUALITY FLAGS — KNOWN DUPLICATES &amp; INCONSISTENCIES</t>
  </si>
  <si>
    <t>Data Quality</t>
  </si>
  <si>
    <t>Submarket value duplicates (RESOLVED in v1.22)</t>
  </si>
  <si>
    <t>Surface Combatants - Large / Medium</t>
  </si>
  <si>
    <t>The Submarket column previously had two punctuation variants for the same category: hyphen ("Surface Combatants - Large") and en-dash ("Surface Combatants – Large"). Same for Medium. As of v1.22, all en-dash variants have been replaced with hyphen variants so SAM filters and SUMIFS formulas treat them as a single bucket.</t>
  </si>
  <si>
    <t>If you reload data from a source that uses en-dashes, re-run the consolidation step.</t>
  </si>
  <si>
    <t>Duplicate rows across OPN_BA3 and OPN_BA5-8</t>
  </si>
  <si>
    <t>5 line items appear in both source books</t>
  </si>
  <si>
    <t>These five P-1 line items have a row in BOTH the OPN_BA3 source book and the OPN_BA5-8 source book of the J Book Items Cons. sheet. When summed across all OPN_BAx source books for TAM, they double-count. The duplication is pre-existing in v1.20 and earlier — likely an artifact of how the spreadsheet was originally compiled (BA03 captures aviation support items; BA08 captures spares; some items legitimately span both, but the duplicates here are the same line being categorized twice rather than split).</t>
  </si>
  <si>
    <t>Estimated double-count impact in FY26 and FY27: roughly +$1.0M to +$1.3M depending on year. To resolve, decide which source book is canonical and BLANK the other set's rows (do not delete — keep row positions stable for cross-sheet formula references).</t>
  </si>
  <si>
    <t>Duplicate row #1: LI 116 Advanced Arresting Gear (AAG)</t>
  </si>
  <si>
    <t>OPN_BA3 R2890 + OPN_BA5-8 R3208</t>
  </si>
  <si>
    <t>Both rows reference the same P-1 line item (Advanced Arresting Gear). Citation in OPN_BA3 says "P-40 / BA03 / BSA03 Aircraft Support Equipment / LI 4217". Citation in OPN_BA5-8 says "Exhibit P-1 / BA03 Aviation Support Equipment / Aircraft Support Equipment".</t>
  </si>
  <si>
    <t>Both populate FY27 = $23,551K disc. Pick one as canonical.</t>
  </si>
  <si>
    <t>Duplicate row #2: LI 117 Electromagnetic Aircraft Launch System (EMALS)</t>
  </si>
  <si>
    <t>OPN_BA3 R2901 + OPN_BA5-8 R3209</t>
  </si>
  <si>
    <t>Both rows reference the same P-1 line item (EMALS). Same dual-citation pattern as AAG.</t>
  </si>
  <si>
    <t>Both populate FY27 = $36,908K disc. Pick one as canonical.</t>
  </si>
  <si>
    <t>Duplicate row #3: LI 122 UMCS-Unman Carrier Aviation (UCA) Mission Control Station</t>
  </si>
  <si>
    <t>OPN_BA3 R2947 + OPN_BA5-8 R3210</t>
  </si>
  <si>
    <t>Both rows reference the same P-1 line item (UMCS-UCA). Same dual-citation pattern.</t>
  </si>
  <si>
    <t>Both populate FY27 = $211,216K disc. Pick one as canonical.</t>
  </si>
  <si>
    <t>Duplicate row #4: LI 176 Spares and Repair Parts</t>
  </si>
  <si>
    <t>OPN_BA3 R2973 + OPN_BA5-8 R3220</t>
  </si>
  <si>
    <t>Both rows reference P-1 BA08 line 176 "Spares and Repair Parts". OPN_BA3 has it because the source book includes BA08 spares; OPN_BA5-8 also covers BA08. Same line, two rows.</t>
  </si>
  <si>
    <t>Both populate FY27 = $765,711K disc. Pick one as canonical. Largest single-line double-count.</t>
  </si>
  <si>
    <t>Duplicate row #5: LI 177 VIRGINIA Class (VACL) Spares and Repair Parts</t>
  </si>
  <si>
    <t>OPN_BA3 R2974 + OPN_BA5-8 R3221</t>
  </si>
  <si>
    <t>Both rows have title "VIRGINIA Class (VACL) Spares and Repair Parts" with citation pointing to BA08 BLIN 9021. In FY27, the P-1 OPN does NOT have a separate Virginia-specific spares line — only the consolidated BA08 "Spares and Repair Parts" line 176. So in v1.21, neither of these rows received a FY27 value (no clean P-1 match). Both rows are blank in FY27 columns.</t>
  </si>
  <si>
    <t>In FY26, both rows have data populated. For FY27, decide whether VIRGINIA Spares should be allocated as a fixed share of the consolidated BA08 line 176 ($765,711K) or left blank. If allocated, follow the same prorated approach planned for OMN/NWCF.</t>
  </si>
  <si>
    <t>PHASE 2 — OMN / NWCF / USCG FY27 ALLOCATION METHODOLOGY (planned, not yet implemented)</t>
  </si>
  <si>
    <t>Phase 2 Plan</t>
  </si>
  <si>
    <t>Why a separate sheet</t>
  </si>
  <si>
    <t>New sheet "FY27 Allocation Workbench"</t>
  </si>
  <si>
    <t>The FY 2027 P-1 (procurement) gives line-item detail, so SCN/OPN/WPN can be populated directly in J Book Items Cons. (done in v1.21). The FY 2027 O-1 (operation &amp; maintenance) and RF-1 (revolving funds), however, only publish SAG/account-level totals — they do NOT break out individual ship availabilities or NSWC/NUWC sub-allocations. The OMN, OMN_Vol2, NWCF, and USCG source-book rows in this workbook have FAR more granular detail than the FY27 source documents support. To populate FY27 for those rows, we need to APPORTION the SAG total across the line items using a defensible rule, and we want to do that in a separate workbench sheet that can be reviewed independently before merging values back into J Book Items Cons.</t>
  </si>
  <si>
    <t>USCG cannot be filled from this DoW exhibit set at all — it would require the DHS Coast Guard Congressional Justification, sourced separately. Phase 2 covers OMN/OMN_Vol2/NWCF only.</t>
  </si>
  <si>
    <t>Allocation rule</t>
  </si>
  <si>
    <t>Pro-rate by FY26 share of SAG total</t>
  </si>
  <si>
    <t>For each spreadsheet row to be filled, compute its FY26 share of its SAG's total, then apply that share to the FY27 SAG total. Formula per row: FY27_row = (FY26_row / FY26_SAG_total) * FY27_SAG_total. Use FY26 DAA Enacted Total (col R) as the FY26 baseline because it is the most current authoritative figure (Validation rule: column priority is DAA Enacted → Total → Request).</t>
  </si>
  <si>
    <t>This assumes the relative distribution of dollars across line items within a SAG is stable year-over-year. That is a reasonable first-pass assumption for routine maintenance accounts but breaks down for one-time/emergent items. Flag any row where the prorated FY27 differs from FY26 by more than ±25% for human review.</t>
  </si>
  <si>
    <t>Source SAG totals (FY27)</t>
  </si>
  <si>
    <t>From FY27 O-1 / RF-1</t>
  </si>
  <si>
    <t>OMN (1804N) FY27 SAG totals come from FY27_o1.txt. The relevant OMN ship-related SAGs are: 1A5A Aircraft Depot Maintenance ($2,219,583K), 1B1B Mission and Other Ship Operations ($7,424,752K), 1B2B Ship Operations Support &amp; Training ($1,713,065K), 1B4B Ship Depot Maintenance ($14,292,873K), 1B5B Ship Depot Operations Support ($2,597,722K). NWCF (493002N) FY27 = $266,212K (only one line: Naval Surface Warfare Centers).</t>
  </si>
  <si>
    <t>These totals all have FY27 Disc Request only — no FY27 Mandatory Request for OMN/NWCF in the FY27 PB (mandatory is concentrated in procurement accounts).</t>
  </si>
  <si>
    <t>Workbench sheet structure</t>
  </si>
  <si>
    <t>One row per J Book row to be allocated</t>
  </si>
  <si>
    <t>Columns: (A) J Book row #, (B) Source Book, (C) LI, (D) Title, (E) SAG, (F) FY26 DAA Enacted, (G) FY26 SAG total, (H) FY26 share %, (I) FY27 SAG total, (J) FY27 prorated, (K) ±25% flag, (L) Notes / manual override. The FY27 prorated value in col J = G * F / G — i.e., F/G * I. Allow manual overrides in col L which take precedence when set.</t>
  </si>
  <si>
    <t>After review, copy col J back into the FY27 Request column of J Book Items Cons. for each row. Leave Mandatory Request blank for OMN/NWCF (no FY27 mandatory ask in those accounts).</t>
  </si>
  <si>
    <t>SAG → row mapping</t>
  </si>
  <si>
    <t>Use the Citation column</t>
  </si>
  <si>
    <t>Each OMN / OMN_Vol2 row in J Book Items Cons. has a Citation that includes the SAG code (e.g., "OMN &gt; BA01 Operating Forces &gt; 1B4B Ship Depot Maintenance &gt; ..."). Parse the SAG code from the Citation to group rows by SAG. NWCF rows similarly cite their account.</t>
  </si>
  <si>
    <t>For rows with ambiguous or missing citations, manual SAG assignment is required.</t>
  </si>
  <si>
    <t>Validation after Phase 2</t>
  </si>
  <si>
    <t>Sum check vs FY27 SAG total</t>
  </si>
  <si>
    <t>After allocating, the sum of all prorated FY27 values within a SAG should equal the FY27 SAG total (modulo rounding). If it does not, the prorated approach has lost or duplicated dollars. The Phase 2 sheet should include a per-SAG summary row with: SAG total, sum of prorated rows, variance.</t>
  </si>
  <si>
    <t>Same TAM rules apply: only PARENT and (no tag) rows are additive. Sub rows can be filled for context but should not be summed in the SAG check.</t>
  </si>
  <si>
    <t>When NOT to prorate</t>
  </si>
  <si>
    <t>Manually populated rows</t>
  </si>
  <si>
    <t>If you discover that a specific OMN/NWCF row has a directly-stated FY27 amount in some other source (e.g., a Q&amp;A document, an exhibit P-3a, an OSD memo), use the manual override (col L of the workbench) instead of the prorated value. The prorated approach is a placeholder, not a substitute for actual data when actual data is available.</t>
  </si>
  <si>
    <t>USCG handling</t>
  </si>
  <si>
    <t>Out of scope for Phase 2</t>
  </si>
  <si>
    <t>USCG rows (18 PARENT/no-tag rows) cannot be populated from the FY27 P-1/O-1 because Coast Guard is part of DHS, not DoW. To fill these, source the FY27 DHS Coast Guard Congressional Justification (a separate document, typically released around the same time as the DoW PB). Then build a similar mapping (likely simpler — USCG has fewer cutters/boats than the Navy has ship maintenance availabilities). This is Phase 3.</t>
  </si>
  <si>
    <t>Until Phase 3, USCG FY27 columns remain 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</si>
</sst>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Red]\(#,##0\);\-"/>
    <numFmt numFmtId="165" formatCode="0.0%;0.0%;\-"/>
  </numFmts>
  <fonts count="21" x14ac:knownFonts="1">
    <font>
      <sz val="11"/>
      <color theme="1"/>
      <name val="Calibri"/>
      <family val="2"/>
      <charset val="1"/>
    </font>
    <font>
      <sz val="8"/>
      <color theme="1"/>
      <name val="Arial"/>
      <family val="2"/>
      <charset val="1"/>
    </font>
    <font>
      <b/>
      <sz val="8"/>
      <color rgb="FFFFFFFF"/>
      <name val="Arial"/>
      <family val="2"/>
      <charset val="1"/>
    </font>
    <font>
      <i/>
      <sz val="8"/>
      <color theme="1" tint="0.49949644459364606"/>
      <name val="Arial"/>
      <family val="2"/>
      <charset val="1"/>
    </font>
    <font>
      <i/>
      <sz val="8"/>
      <color rgb="FF000000"/>
      <name val="Arial"/>
      <family val="2"/>
      <charset val="1"/>
    </font>
    <font>
      <sz val="8"/>
      <color rgb="FF000000"/>
      <name val="Arial"/>
      <family val="2"/>
      <charset val="1"/>
    </font>
    <font>
      <b/>
      <sz val="8"/>
      <color theme="0"/>
      <name val="Arial"/>
      <family val="2"/>
      <charset val="1"/>
    </font>
    <font>
      <sz val="8"/>
      <color rgb="FF0000FF"/>
      <name val="Arial"/>
      <family val="2"/>
      <charset val="1"/>
    </font>
    <font>
      <b/>
      <sz val="8"/>
      <color rgb="FF000000"/>
      <name val="Arial"/>
      <family val="2"/>
      <charset val="1"/>
    </font>
    <font>
      <sz val="8"/>
      <color rgb="FF008000"/>
      <name val="Arial"/>
      <family val="2"/>
      <charset val="1"/>
    </font>
    <font>
      <b/>
      <sz val="8"/>
      <color theme="1"/>
      <name val="Arial"/>
      <family val="2"/>
      <charset val="1"/>
    </font>
    <font>
      <sz val="8"/>
      <name val="Arial"/>
      <family val="2"/>
      <charset val="1"/>
    </font>
    <font>
      <i/>
      <sz val="8"/>
      <color rgb="FF008000"/>
      <name val="Arial"/>
      <family val="2"/>
      <charset val="1"/>
    </font>
    <font>
      <i/>
      <sz val="8"/>
      <color theme="1"/>
      <name val="Arial"/>
      <family val="2"/>
      <charset val="1"/>
    </font>
    <font>
      <sz val="8"/>
      <color theme="1"/>
      <name val="Calibri"/>
      <family val="2"/>
      <charset val="1"/>
    </font>
    <font>
      <i/>
      <sz val="8"/>
      <color rgb="FF5B7A99"/>
      <name val="Arial"/>
      <family val="2"/>
      <charset val="1"/>
    </font>
    <font>
      <b/>
      <sz val="8"/>
      <name val="Arial"/>
      <family val="2"/>
      <charset val="1"/>
    </font>
    <font>
      <b/>
      <sz val="8"/>
      <color rgb="FF008000"/>
      <name val="Arial"/>
      <family val="2"/>
      <charset val="1"/>
    </font>
    <font>
      <b/>
      <sz val="8"/>
      <color theme="1" tint="0.49949644459364606"/>
      <name val="Arial"/>
      <family val="2"/>
      <charset val="1"/>
    </font>
    <font>
      <sz val="8"/>
      <color theme="1" tint="0.49949644459364606"/>
      <name val="Arial"/>
      <family val="2"/>
      <charset val="1"/>
    </font>
    <font>
      <sz val="8"/>
      <color theme="1"/>
      <name val="Arial"/>
      <family val="2"/>
    </font>
  </fonts>
  <fills count="8">
    <fill>
      <patternFill patternType="none"/>
    </fill>
    <fill>
      <patternFill patternType="gray125"/>
    </fill>
    <fill>
      <patternFill patternType="solid">
        <fgColor rgb="FF000000"/>
        <bgColor rgb="FF003300"/>
      </patternFill>
    </fill>
    <fill>
      <patternFill patternType="solid">
        <fgColor rgb="FFFFFFFF"/>
        <bgColor rgb="FFF2F4F7"/>
      </patternFill>
    </fill>
    <fill>
      <patternFill patternType="solid">
        <fgColor theme="0" tint="-0.499984740745262"/>
        <bgColor rgb="FF7F7F7F"/>
      </patternFill>
    </fill>
    <fill>
      <patternFill patternType="solid">
        <fgColor rgb="FFF2F4F7"/>
        <bgColor rgb="FFF0F4FA"/>
      </patternFill>
    </fill>
    <fill>
      <patternFill patternType="solid">
        <fgColor rgb="FFD9E1F2"/>
        <bgColor rgb="FFDCE6F2"/>
      </patternFill>
    </fill>
    <fill>
      <patternFill patternType="solid">
        <fgColor theme="4" tint="0.79979857783745845"/>
        <bgColor rgb="FFD9E1F2"/>
      </patternFill>
    </fill>
  </fills>
  <borders count="18">
    <border>
      <left/>
      <right/>
      <top/>
      <bottom/>
      <diagonal/>
    </border>
    <border>
      <left/>
      <right/>
      <top/>
      <bottom style="thin">
        <color auto="1"/>
      </bottom>
      <diagonal/>
    </border>
    <border>
      <left/>
      <right/>
      <top style="medium">
        <color auto="1"/>
      </top>
      <bottom/>
      <diagonal/>
    </border>
    <border>
      <left style="thin">
        <color auto="1"/>
      </left>
      <right/>
      <top/>
      <bottom/>
      <diagonal/>
    </border>
    <border>
      <left/>
      <right style="thin">
        <color auto="1"/>
      </right>
      <top/>
      <bottom/>
      <diagonal/>
    </border>
    <border>
      <left style="thin">
        <color auto="1"/>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style="medium">
        <color auto="1"/>
      </top>
      <bottom/>
      <diagonal/>
    </border>
    <border>
      <left/>
      <right style="thin">
        <color auto="1"/>
      </right>
      <top style="medium">
        <color auto="1"/>
      </top>
      <bottom/>
      <diagonal/>
    </border>
    <border>
      <left style="thin">
        <color auto="1"/>
      </left>
      <right style="thin">
        <color auto="1"/>
      </right>
      <top style="medium">
        <color auto="1"/>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medium">
        <color auto="1"/>
      </bottom>
      <diagonal/>
    </border>
    <border>
      <left/>
      <right/>
      <top/>
      <bottom style="medium">
        <color auto="1"/>
      </bottom>
      <diagonal/>
    </border>
    <border>
      <left/>
      <right style="thin">
        <color auto="1"/>
      </right>
      <top/>
      <bottom style="medium">
        <color auto="1"/>
      </bottom>
      <diagonal/>
    </border>
  </borders>
  <cellStyleXfs count="1">
    <xf numFmtId="0" fontId="0" fillId="0" borderId="0"/>
  </cellStyleXfs>
  <cellXfs count="97">
    <xf numFmtId="0" fontId="0" fillId="0" borderId="0" xfId="0"/>
    <xf numFmtId="0" fontId="1" fillId="0" borderId="0" xfId="0" applyFont="1"/>
    <xf numFmtId="0" fontId="2" fillId="2" borderId="0" xfId="0" applyFont="1" applyFill="1" applyAlignment="1">
      <alignment horizontal="left" vertical="center"/>
    </xf>
    <xf numFmtId="0" fontId="3" fillId="3" borderId="0" xfId="0" applyFont="1" applyFill="1" applyAlignment="1">
      <alignment horizontal="left" vertical="center"/>
    </xf>
    <xf numFmtId="0" fontId="4" fillId="3" borderId="0" xfId="0" applyFont="1" applyFill="1" applyAlignment="1">
      <alignment horizontal="left" vertical="center"/>
    </xf>
    <xf numFmtId="0" fontId="5" fillId="3" borderId="0" xfId="0" applyFont="1" applyFill="1"/>
    <xf numFmtId="0" fontId="6" fillId="4" borderId="1" xfId="0" applyFont="1" applyFill="1" applyBorder="1" applyAlignment="1">
      <alignment horizontal="left" vertical="center"/>
    </xf>
    <xf numFmtId="0" fontId="5" fillId="3" borderId="0" xfId="0" applyFont="1" applyFill="1" applyAlignment="1">
      <alignment horizontal="left" vertical="center"/>
    </xf>
    <xf numFmtId="0" fontId="7" fillId="3" borderId="0" xfId="0" applyFont="1" applyFill="1" applyAlignment="1">
      <alignment horizontal="right" vertical="center"/>
    </xf>
    <xf numFmtId="164" fontId="5" fillId="3" borderId="0" xfId="0" applyNumberFormat="1" applyFont="1" applyFill="1" applyAlignment="1">
      <alignment horizontal="left" vertical="center"/>
    </xf>
    <xf numFmtId="164" fontId="7" fillId="3" borderId="0" xfId="0" applyNumberFormat="1" applyFont="1" applyFill="1" applyAlignment="1">
      <alignment horizontal="right" vertical="center"/>
    </xf>
    <xf numFmtId="0" fontId="6" fillId="4" borderId="0" xfId="0" applyFont="1" applyFill="1" applyAlignment="1">
      <alignment horizontal="left" vertical="center"/>
    </xf>
    <xf numFmtId="0" fontId="8" fillId="3" borderId="1" xfId="0" applyFont="1" applyFill="1" applyBorder="1" applyAlignment="1">
      <alignment horizontal="left" vertical="center"/>
    </xf>
    <xf numFmtId="0" fontId="8" fillId="3" borderId="1" xfId="0" applyFont="1" applyFill="1" applyBorder="1" applyAlignment="1">
      <alignment horizontal="center" vertical="center"/>
    </xf>
    <xf numFmtId="164" fontId="9" fillId="3" borderId="0" xfId="0" applyNumberFormat="1" applyFont="1" applyFill="1" applyAlignment="1">
      <alignment horizontal="right" vertical="center"/>
    </xf>
    <xf numFmtId="0" fontId="8" fillId="3" borderId="2" xfId="0" applyFont="1" applyFill="1" applyBorder="1" applyAlignment="1">
      <alignment horizontal="left" vertical="center"/>
    </xf>
    <xf numFmtId="164" fontId="8" fillId="3" borderId="2" xfId="0" applyNumberFormat="1" applyFont="1" applyFill="1" applyBorder="1" applyAlignment="1">
      <alignment horizontal="right" vertical="center"/>
    </xf>
    <xf numFmtId="0" fontId="8" fillId="3" borderId="0" xfId="0" applyFont="1" applyFill="1" applyAlignment="1">
      <alignment horizontal="left" vertical="center"/>
    </xf>
    <xf numFmtId="0" fontId="8" fillId="5" borderId="0" xfId="0" applyFont="1" applyFill="1" applyAlignment="1">
      <alignment horizontal="left" vertical="center"/>
    </xf>
    <xf numFmtId="0" fontId="8" fillId="5" borderId="3" xfId="0" applyFont="1" applyFill="1" applyBorder="1" applyAlignment="1">
      <alignment horizontal="left" vertical="center"/>
    </xf>
    <xf numFmtId="0" fontId="8" fillId="5" borderId="4" xfId="0" applyFont="1" applyFill="1" applyBorder="1" applyAlignment="1">
      <alignment horizontal="left" vertical="center"/>
    </xf>
    <xf numFmtId="0" fontId="8" fillId="5" borderId="5" xfId="0" applyFont="1" applyFill="1" applyBorder="1" applyAlignment="1">
      <alignment horizontal="left" vertical="center"/>
    </xf>
    <xf numFmtId="0" fontId="8" fillId="3" borderId="6" xfId="0" applyFont="1" applyFill="1" applyBorder="1" applyAlignment="1">
      <alignment horizontal="left" vertical="center"/>
    </xf>
    <xf numFmtId="0" fontId="8" fillId="3" borderId="7" xfId="0" applyFont="1" applyFill="1" applyBorder="1" applyAlignment="1">
      <alignment horizontal="left" vertical="center"/>
    </xf>
    <xf numFmtId="0" fontId="8" fillId="3" borderId="8" xfId="0" applyFont="1" applyFill="1" applyBorder="1" applyAlignment="1">
      <alignment horizontal="left" vertical="center"/>
    </xf>
    <xf numFmtId="164" fontId="9" fillId="3" borderId="3" xfId="0" applyNumberFormat="1" applyFont="1" applyFill="1" applyBorder="1" applyAlignment="1">
      <alignment horizontal="right" vertical="center"/>
    </xf>
    <xf numFmtId="164" fontId="9" fillId="3" borderId="4" xfId="0" applyNumberFormat="1" applyFont="1" applyFill="1" applyBorder="1" applyAlignment="1">
      <alignment horizontal="right" vertical="center"/>
    </xf>
    <xf numFmtId="164" fontId="9" fillId="3" borderId="5" xfId="0" applyNumberFormat="1" applyFont="1" applyFill="1" applyBorder="1" applyAlignment="1">
      <alignment horizontal="right" vertical="center"/>
    </xf>
    <xf numFmtId="164" fontId="8" fillId="3" borderId="9" xfId="0" applyNumberFormat="1" applyFont="1" applyFill="1" applyBorder="1" applyAlignment="1">
      <alignment horizontal="right" vertical="center"/>
    </xf>
    <xf numFmtId="164" fontId="8" fillId="3" borderId="10" xfId="0" applyNumberFormat="1" applyFont="1" applyFill="1" applyBorder="1" applyAlignment="1">
      <alignment horizontal="right" vertical="center"/>
    </xf>
    <xf numFmtId="164" fontId="8" fillId="3" borderId="11" xfId="0" applyNumberFormat="1" applyFont="1" applyFill="1" applyBorder="1" applyAlignment="1">
      <alignment horizontal="right" vertical="center"/>
    </xf>
    <xf numFmtId="0" fontId="6" fillId="5" borderId="0" xfId="0" applyFont="1" applyFill="1" applyAlignment="1">
      <alignment horizontal="left" vertical="center"/>
    </xf>
    <xf numFmtId="0" fontId="10" fillId="5" borderId="3" xfId="0" applyFont="1" applyFill="1" applyBorder="1" applyAlignment="1">
      <alignment vertical="center"/>
    </xf>
    <xf numFmtId="0" fontId="10" fillId="5" borderId="0" xfId="0" applyFont="1" applyFill="1" applyAlignment="1">
      <alignment vertical="center"/>
    </xf>
    <xf numFmtId="0" fontId="10" fillId="5" borderId="4" xfId="0" applyFont="1" applyFill="1" applyBorder="1" applyAlignment="1">
      <alignment vertical="center"/>
    </xf>
    <xf numFmtId="0" fontId="6" fillId="5" borderId="0" xfId="0" applyFont="1" applyFill="1" applyAlignment="1">
      <alignment vertical="center"/>
    </xf>
    <xf numFmtId="0" fontId="11" fillId="0" borderId="0" xfId="0" applyFont="1"/>
    <xf numFmtId="165" fontId="12" fillId="3" borderId="3" xfId="0" applyNumberFormat="1" applyFont="1" applyFill="1" applyBorder="1" applyAlignment="1">
      <alignment horizontal="right" vertical="center"/>
    </xf>
    <xf numFmtId="165" fontId="12" fillId="3" borderId="0" xfId="0" applyNumberFormat="1" applyFont="1" applyFill="1" applyAlignment="1">
      <alignment horizontal="right" vertical="center"/>
    </xf>
    <xf numFmtId="165" fontId="12" fillId="3" borderId="4" xfId="0" applyNumberFormat="1" applyFont="1" applyFill="1" applyBorder="1" applyAlignment="1">
      <alignment horizontal="right" vertical="center"/>
    </xf>
    <xf numFmtId="0" fontId="13" fillId="0" borderId="0" xfId="0" applyFont="1"/>
    <xf numFmtId="0" fontId="14" fillId="0" borderId="0" xfId="0" applyFont="1"/>
    <xf numFmtId="0" fontId="15" fillId="3" borderId="0" xfId="0" applyFont="1" applyFill="1" applyAlignment="1">
      <alignment horizontal="left" vertical="center"/>
    </xf>
    <xf numFmtId="0" fontId="1" fillId="3" borderId="0" xfId="0" applyFont="1" applyFill="1"/>
    <xf numFmtId="0" fontId="16" fillId="5" borderId="3" xfId="0" applyFont="1" applyFill="1" applyBorder="1" applyAlignment="1">
      <alignment vertical="center"/>
    </xf>
    <xf numFmtId="0" fontId="16" fillId="5" borderId="0" xfId="0" applyFont="1" applyFill="1" applyAlignment="1">
      <alignment vertical="center"/>
    </xf>
    <xf numFmtId="0" fontId="16" fillId="5" borderId="4" xfId="0" applyFont="1" applyFill="1" applyBorder="1" applyAlignment="1">
      <alignment vertical="center"/>
    </xf>
    <xf numFmtId="0" fontId="8" fillId="0" borderId="1" xfId="0" applyFont="1" applyBorder="1" applyAlignment="1">
      <alignment horizontal="left" vertical="center"/>
    </xf>
    <xf numFmtId="0" fontId="8" fillId="0" borderId="6" xfId="0" applyFont="1" applyBorder="1" applyAlignment="1">
      <alignment horizontal="left" vertical="center"/>
    </xf>
    <xf numFmtId="0" fontId="8" fillId="0" borderId="7" xfId="0" applyFont="1" applyBorder="1" applyAlignment="1">
      <alignment horizontal="left" vertical="center"/>
    </xf>
    <xf numFmtId="0" fontId="8" fillId="0" borderId="6" xfId="0" applyFont="1" applyBorder="1" applyAlignment="1">
      <alignment horizontal="right" vertical="center"/>
    </xf>
    <xf numFmtId="0" fontId="8" fillId="0" borderId="1" xfId="0" applyFont="1" applyBorder="1" applyAlignment="1">
      <alignment horizontal="right" vertical="center"/>
    </xf>
    <xf numFmtId="0" fontId="8" fillId="0" borderId="7" xfId="0" applyFont="1" applyBorder="1" applyAlignment="1">
      <alignment horizontal="right" vertical="center"/>
    </xf>
    <xf numFmtId="165" fontId="12" fillId="3" borderId="12" xfId="0" applyNumberFormat="1" applyFont="1" applyFill="1" applyBorder="1" applyAlignment="1">
      <alignment horizontal="right" vertical="center"/>
    </xf>
    <xf numFmtId="165" fontId="12" fillId="3" borderId="13" xfId="0" applyNumberFormat="1" applyFont="1" applyFill="1" applyBorder="1" applyAlignment="1">
      <alignment horizontal="right" vertical="center"/>
    </xf>
    <xf numFmtId="165" fontId="12" fillId="3" borderId="14" xfId="0" applyNumberFormat="1" applyFont="1" applyFill="1" applyBorder="1" applyAlignment="1">
      <alignment horizontal="right" vertical="center"/>
    </xf>
    <xf numFmtId="0" fontId="5" fillId="3" borderId="13" xfId="0" applyFont="1" applyFill="1" applyBorder="1" applyAlignment="1">
      <alignment horizontal="left" vertical="center"/>
    </xf>
    <xf numFmtId="164" fontId="9" fillId="3" borderId="12" xfId="0" applyNumberFormat="1" applyFont="1" applyFill="1" applyBorder="1" applyAlignment="1">
      <alignment horizontal="right" vertical="center"/>
    </xf>
    <xf numFmtId="164" fontId="9" fillId="3" borderId="13" xfId="0" applyNumberFormat="1" applyFont="1" applyFill="1" applyBorder="1" applyAlignment="1">
      <alignment horizontal="right" vertical="center"/>
    </xf>
    <xf numFmtId="164" fontId="9" fillId="3" borderId="14" xfId="0" applyNumberFormat="1" applyFont="1" applyFill="1" applyBorder="1" applyAlignment="1">
      <alignment horizontal="right" vertical="center"/>
    </xf>
    <xf numFmtId="164" fontId="12" fillId="3" borderId="0" xfId="0" applyNumberFormat="1" applyFont="1" applyFill="1" applyAlignment="1">
      <alignment horizontal="right" vertical="center"/>
    </xf>
    <xf numFmtId="164" fontId="9" fillId="3" borderId="15" xfId="0" applyNumberFormat="1" applyFont="1" applyFill="1" applyBorder="1" applyAlignment="1">
      <alignment horizontal="right" vertical="center"/>
    </xf>
    <xf numFmtId="164" fontId="9" fillId="3" borderId="16" xfId="0" applyNumberFormat="1" applyFont="1" applyFill="1" applyBorder="1" applyAlignment="1">
      <alignment horizontal="right" vertical="center"/>
    </xf>
    <xf numFmtId="164" fontId="9" fillId="3" borderId="17" xfId="0" applyNumberFormat="1" applyFont="1" applyFill="1" applyBorder="1" applyAlignment="1">
      <alignment horizontal="right" vertical="center"/>
    </xf>
    <xf numFmtId="165" fontId="12" fillId="3" borderId="15" xfId="0" applyNumberFormat="1" applyFont="1" applyFill="1" applyBorder="1" applyAlignment="1">
      <alignment horizontal="right" vertical="center"/>
    </xf>
    <xf numFmtId="165" fontId="12" fillId="3" borderId="16" xfId="0" applyNumberFormat="1" applyFont="1" applyFill="1" applyBorder="1" applyAlignment="1">
      <alignment horizontal="right" vertical="center"/>
    </xf>
    <xf numFmtId="165" fontId="12" fillId="3" borderId="17" xfId="0" applyNumberFormat="1" applyFont="1" applyFill="1" applyBorder="1" applyAlignment="1">
      <alignment horizontal="right" vertical="center"/>
    </xf>
    <xf numFmtId="0" fontId="11" fillId="3" borderId="0" xfId="0" applyFont="1" applyFill="1"/>
    <xf numFmtId="0" fontId="11" fillId="0" borderId="0" xfId="0" applyFont="1" applyAlignment="1">
      <alignment horizontal="left" vertical="center"/>
    </xf>
    <xf numFmtId="0" fontId="1" fillId="0" borderId="0" xfId="0" applyFont="1" applyAlignment="1">
      <alignment horizontal="left" vertical="center"/>
    </xf>
    <xf numFmtId="0" fontId="11" fillId="3" borderId="0" xfId="0" applyFont="1" applyFill="1" applyAlignment="1">
      <alignment horizontal="left" vertical="center"/>
    </xf>
    <xf numFmtId="0" fontId="1" fillId="3" borderId="0" xfId="0" applyFont="1" applyFill="1" applyAlignment="1">
      <alignment horizontal="left" vertical="center"/>
    </xf>
    <xf numFmtId="0" fontId="1" fillId="3" borderId="0" xfId="0" applyFont="1" applyFill="1" applyAlignment="1">
      <alignment horizontal="right" vertical="center"/>
    </xf>
    <xf numFmtId="0" fontId="8" fillId="0" borderId="1" xfId="0" applyFont="1" applyBorder="1" applyAlignment="1">
      <alignment horizontal="center" vertical="center"/>
    </xf>
    <xf numFmtId="0" fontId="16" fillId="6" borderId="0" xfId="0" applyFont="1" applyFill="1" applyAlignment="1">
      <alignment vertical="top" wrapText="1"/>
    </xf>
    <xf numFmtId="0" fontId="8" fillId="0" borderId="0" xfId="0" applyFont="1" applyAlignment="1">
      <alignment horizontal="left" vertical="center"/>
    </xf>
    <xf numFmtId="0" fontId="8" fillId="0" borderId="0" xfId="0" applyFont="1" applyAlignment="1">
      <alignment horizontal="center" vertical="center"/>
    </xf>
    <xf numFmtId="164" fontId="17" fillId="5" borderId="0" xfId="0" applyNumberFormat="1" applyFont="1" applyFill="1" applyAlignment="1">
      <alignment horizontal="right" vertical="center"/>
    </xf>
    <xf numFmtId="0" fontId="11" fillId="3" borderId="3" xfId="0" applyFont="1" applyFill="1" applyBorder="1" applyAlignment="1">
      <alignment horizontal="left" vertical="center"/>
    </xf>
    <xf numFmtId="0" fontId="1" fillId="3" borderId="3" xfId="0" applyFont="1" applyFill="1" applyBorder="1" applyAlignment="1">
      <alignment horizontal="left" vertical="center"/>
    </xf>
    <xf numFmtId="0" fontId="8" fillId="7" borderId="0" xfId="0" applyFont="1" applyFill="1" applyAlignment="1">
      <alignment horizontal="left" vertical="center"/>
    </xf>
    <xf numFmtId="164" fontId="8" fillId="7" borderId="0" xfId="0" applyNumberFormat="1" applyFont="1" applyFill="1" applyAlignment="1">
      <alignment horizontal="left" vertical="center"/>
    </xf>
    <xf numFmtId="164" fontId="8" fillId="7" borderId="0" xfId="0" applyNumberFormat="1" applyFont="1" applyFill="1" applyAlignment="1">
      <alignment horizontal="right" vertical="center"/>
    </xf>
    <xf numFmtId="0" fontId="10" fillId="3" borderId="1" xfId="0" applyFont="1" applyFill="1" applyBorder="1" applyAlignment="1">
      <alignment horizontal="left" vertical="center"/>
    </xf>
    <xf numFmtId="0" fontId="1" fillId="3" borderId="1" xfId="0" applyFont="1" applyFill="1" applyBorder="1" applyAlignment="1">
      <alignment horizontal="left" vertical="center"/>
    </xf>
    <xf numFmtId="0" fontId="1" fillId="3" borderId="1" xfId="0" applyFont="1" applyFill="1" applyBorder="1" applyAlignment="1">
      <alignment horizontal="right" vertical="center"/>
    </xf>
    <xf numFmtId="3" fontId="17" fillId="5" borderId="0" xfId="0" applyNumberFormat="1" applyFont="1" applyFill="1" applyAlignment="1">
      <alignment horizontal="right" vertical="center"/>
    </xf>
    <xf numFmtId="3" fontId="12" fillId="3" borderId="0" xfId="0" applyNumberFormat="1" applyFont="1" applyFill="1" applyAlignment="1">
      <alignment horizontal="right" vertical="center"/>
    </xf>
    <xf numFmtId="0" fontId="18" fillId="5" borderId="0" xfId="0" applyFont="1" applyFill="1" applyAlignment="1">
      <alignment horizontal="left" vertical="center"/>
    </xf>
    <xf numFmtId="164" fontId="18" fillId="7" borderId="0" xfId="0" applyNumberFormat="1" applyFont="1" applyFill="1" applyAlignment="1">
      <alignment horizontal="right" vertical="center"/>
    </xf>
    <xf numFmtId="0" fontId="19" fillId="3" borderId="0" xfId="0" applyFont="1" applyFill="1" applyAlignment="1">
      <alignment horizontal="left" vertical="center"/>
    </xf>
    <xf numFmtId="0" fontId="19" fillId="3" borderId="1" xfId="0" applyFont="1" applyFill="1" applyBorder="1" applyAlignment="1">
      <alignment horizontal="left" vertical="center"/>
    </xf>
    <xf numFmtId="0" fontId="1" fillId="0" borderId="0" xfId="0" applyFont="1" applyAlignment="1">
      <alignment vertical="top" wrapText="1"/>
    </xf>
    <xf numFmtId="0" fontId="5" fillId="5" borderId="0" xfId="0" applyFont="1" applyFill="1" applyAlignment="1">
      <alignment horizontal="left" vertical="center"/>
    </xf>
    <xf numFmtId="164" fontId="8" fillId="3" borderId="0" xfId="0" applyNumberFormat="1" applyFont="1" applyFill="1" applyAlignment="1">
      <alignment horizontal="right" vertical="center"/>
    </xf>
    <xf numFmtId="0" fontId="20" fillId="0" borderId="0" xfId="0" applyFont="1"/>
    <xf numFmtId="0" fontId="20" fillId="0" borderId="0" xfId="0" applyFont="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7"/>
      <rgbColor rgb="FFF0F4FA"/>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DCE6F2"/>
      <rgbColor rgb="FFCCFFCC"/>
      <rgbColor rgb="FFFFFF99"/>
      <rgbColor rgb="FF99CCFF"/>
      <rgbColor rgb="FFFF99CC"/>
      <rgbColor rgb="FFCC99FF"/>
      <rgbColor rgb="FFFFCC99"/>
      <rgbColor rgb="FF3366FF"/>
      <rgbColor rgb="FF33CCCC"/>
      <rgbColor rgb="FF99CC00"/>
      <rgbColor rgb="FFFFCC00"/>
      <rgbColor rgb="FFFF9900"/>
      <rgbColor rgb="FFFF6600"/>
      <rgbColor rgb="FF5B7A99"/>
      <rgbColor rgb="FF7F7F7F"/>
      <rgbColor rgb="FF003366"/>
      <rgbColor rgb="FF339966"/>
      <rgbColor rgb="FF003300"/>
      <rgbColor rgb="FF333300"/>
      <rgbColor rgb="FF993300"/>
      <rgbColor rgb="FF993366"/>
      <rgbColor rgb="FF1F4E79"/>
      <rgbColor rgb="FF1F314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14F"/>
  </sheetPr>
  <dimension ref="A1:AK3381"/>
  <sheetViews>
    <sheetView showGridLines="0" tabSelected="1" zoomScale="75" zoomScaleNormal="75" workbookViewId="0">
      <selection activeCell="A3" sqref="A3"/>
    </sheetView>
  </sheetViews>
  <sheetFormatPr baseColWidth="10" defaultColWidth="8.6640625" defaultRowHeight="15" x14ac:dyDescent="0.2"/>
  <cols>
    <col min="1" max="1" width="12" style="1" customWidth="1"/>
    <col min="2" max="3" width="14" style="1" customWidth="1"/>
    <col min="4" max="4" width="34" style="1" customWidth="1"/>
    <col min="5" max="5" width="8" style="1" customWidth="1"/>
    <col min="6" max="6" width="20" style="1" customWidth="1"/>
    <col min="7" max="7" width="34" style="1" customWidth="1"/>
    <col min="8" max="19" width="12" style="1" customWidth="1"/>
    <col min="20" max="20" width="24" style="1" customWidth="1"/>
    <col min="21" max="24" width="14" style="1" customWidth="1"/>
    <col min="25" max="25" width="24" style="1" customWidth="1"/>
    <col min="26" max="26" width="10" style="1" customWidth="1"/>
    <col min="27" max="28" width="3" style="1" customWidth="1"/>
    <col min="29" max="29" width="12" style="1" customWidth="1"/>
    <col min="30" max="30" width="10" style="1" customWidth="1"/>
    <col min="31" max="31" width="14" style="1" customWidth="1"/>
    <col min="32" max="32" width="24" style="1" customWidth="1"/>
    <col min="33" max="33" width="20" style="1" customWidth="1"/>
    <col min="34" max="34" width="34" style="1" customWidth="1"/>
    <col min="35" max="37" width="8.6640625" customWidth="1"/>
    <col min="38" max="38" width="8.6640625" style="1" customWidth="1"/>
    <col min="39" max="16384" width="8.6640625" style="1"/>
  </cols>
  <sheetData>
    <row r="1" spans="1:37" ht="9.75" customHeight="1" x14ac:dyDescent="0.2">
      <c r="A1" s="2" t="s">
        <v>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row>
    <row r="2" spans="1:37" ht="9.75" customHeight="1" x14ac:dyDescent="0.2">
      <c r="A2" s="3" t="s">
        <v>1</v>
      </c>
      <c r="B2" s="4"/>
      <c r="C2" s="4"/>
      <c r="D2" s="4"/>
      <c r="E2" s="4"/>
      <c r="F2" s="4"/>
      <c r="G2" s="4"/>
      <c r="H2" s="4"/>
      <c r="I2" s="4"/>
      <c r="J2" s="4"/>
      <c r="K2" s="4"/>
      <c r="L2" s="4"/>
      <c r="M2" s="4"/>
      <c r="N2" s="4"/>
      <c r="O2" s="4"/>
      <c r="P2" s="4"/>
      <c r="Q2" s="4"/>
      <c r="R2" s="4"/>
      <c r="S2" s="4"/>
      <c r="T2" s="4"/>
      <c r="U2" s="4"/>
      <c r="V2" s="4"/>
      <c r="W2" s="4"/>
      <c r="X2" s="4"/>
      <c r="Y2" s="4"/>
      <c r="Z2" s="4"/>
      <c r="AA2" s="4"/>
      <c r="AB2" s="4"/>
      <c r="AC2" s="4"/>
      <c r="AD2" s="4"/>
      <c r="AE2" s="4"/>
      <c r="AF2" s="4"/>
      <c r="AG2" s="4"/>
      <c r="AH2" s="4"/>
    </row>
    <row r="3" spans="1:37" ht="9.75" customHeight="1" x14ac:dyDescent="0.2">
      <c r="A3" s="5"/>
      <c r="B3" s="5"/>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row>
    <row r="4" spans="1:37" ht="9.75" customHeight="1" x14ac:dyDescent="0.15">
      <c r="A4" s="6" t="s">
        <v>2</v>
      </c>
      <c r="B4" s="6" t="s">
        <v>3</v>
      </c>
      <c r="C4" s="6" t="s">
        <v>4</v>
      </c>
      <c r="D4" s="6" t="s">
        <v>5</v>
      </c>
      <c r="E4" s="6" t="s">
        <v>6</v>
      </c>
      <c r="F4" s="6" t="s">
        <v>7</v>
      </c>
      <c r="G4" s="6" t="s">
        <v>8</v>
      </c>
      <c r="H4" s="6" t="s">
        <v>9</v>
      </c>
      <c r="I4" s="6" t="s">
        <v>10</v>
      </c>
      <c r="J4" s="6" t="s">
        <v>11</v>
      </c>
      <c r="K4" s="6" t="s">
        <v>12</v>
      </c>
      <c r="L4" s="6" t="s">
        <v>13</v>
      </c>
      <c r="M4" s="6" t="s">
        <v>14</v>
      </c>
      <c r="N4" s="6" t="s">
        <v>15</v>
      </c>
      <c r="O4" s="6" t="s">
        <v>16</v>
      </c>
      <c r="P4" s="6" t="s">
        <v>17</v>
      </c>
      <c r="Q4" s="6" t="s">
        <v>18</v>
      </c>
      <c r="R4" s="6" t="s">
        <v>19</v>
      </c>
      <c r="S4" s="6" t="s">
        <v>20</v>
      </c>
      <c r="T4" s="6" t="s">
        <v>21</v>
      </c>
      <c r="U4" s="6" t="s">
        <v>22</v>
      </c>
      <c r="V4" s="6" t="s">
        <v>23</v>
      </c>
      <c r="W4" s="6" t="s">
        <v>24</v>
      </c>
      <c r="X4" s="6" t="s">
        <v>25</v>
      </c>
      <c r="Y4" s="6" t="s">
        <v>26</v>
      </c>
      <c r="Z4" s="6" t="s">
        <v>27</v>
      </c>
      <c r="AA4" s="6"/>
      <c r="AB4" s="6"/>
      <c r="AC4" s="6" t="s">
        <v>28</v>
      </c>
      <c r="AD4" s="6" t="s">
        <v>29</v>
      </c>
      <c r="AE4" s="6" t="s">
        <v>30</v>
      </c>
      <c r="AF4" s="6" t="s">
        <v>31</v>
      </c>
      <c r="AG4" s="6" t="s">
        <v>32</v>
      </c>
      <c r="AH4" s="6" t="s">
        <v>33</v>
      </c>
      <c r="AI4" s="11" t="s">
        <v>34</v>
      </c>
      <c r="AJ4" s="11" t="s">
        <v>35</v>
      </c>
      <c r="AK4" s="11" t="s">
        <v>36</v>
      </c>
    </row>
    <row r="5" spans="1:37" ht="9.75" customHeight="1" x14ac:dyDescent="0.2">
      <c r="A5" s="7" t="s">
        <v>37</v>
      </c>
      <c r="B5" s="7" t="s">
        <v>38</v>
      </c>
      <c r="C5" s="7" t="s">
        <v>39</v>
      </c>
      <c r="D5" s="7" t="s">
        <v>40</v>
      </c>
      <c r="E5" s="8">
        <v>1</v>
      </c>
      <c r="F5" s="7" t="s">
        <v>41</v>
      </c>
      <c r="G5" s="7" t="s">
        <v>42</v>
      </c>
      <c r="H5" s="9"/>
      <c r="I5" s="10">
        <v>0</v>
      </c>
      <c r="J5" s="10">
        <v>3364835</v>
      </c>
      <c r="K5" s="9"/>
      <c r="L5" s="10">
        <v>3928828</v>
      </c>
      <c r="M5" s="10">
        <v>0</v>
      </c>
      <c r="N5" s="10">
        <v>3928828</v>
      </c>
      <c r="O5" s="9"/>
      <c r="P5" s="10"/>
      <c r="Q5" s="10">
        <v>3928828</v>
      </c>
      <c r="R5" s="10">
        <v>3928828</v>
      </c>
      <c r="S5" s="7" t="s">
        <v>43</v>
      </c>
      <c r="T5" s="7"/>
      <c r="U5" s="7" t="s">
        <v>44</v>
      </c>
      <c r="V5" s="7" t="s">
        <v>45</v>
      </c>
      <c r="W5" s="7" t="s">
        <v>46</v>
      </c>
      <c r="X5" s="7" t="s">
        <v>47</v>
      </c>
      <c r="Y5" s="7" t="s">
        <v>48</v>
      </c>
      <c r="Z5" s="7" t="s">
        <v>49</v>
      </c>
      <c r="AA5" s="7"/>
      <c r="AB5" s="7"/>
      <c r="AC5" s="7" t="s">
        <v>39</v>
      </c>
      <c r="AD5" s="7"/>
      <c r="AE5" s="7"/>
      <c r="AF5" s="7" t="s">
        <v>50</v>
      </c>
      <c r="AG5" s="7" t="s">
        <v>51</v>
      </c>
      <c r="AH5" s="7" t="s">
        <v>52</v>
      </c>
      <c r="AI5">
        <v>10233832</v>
      </c>
      <c r="AK5">
        <v>10233832</v>
      </c>
    </row>
    <row r="6" spans="1:37" ht="9.75" customHeight="1" x14ac:dyDescent="0.2">
      <c r="A6" s="7" t="s">
        <v>37</v>
      </c>
      <c r="B6" s="7" t="s">
        <v>38</v>
      </c>
      <c r="C6" s="7"/>
      <c r="D6" s="7" t="s">
        <v>53</v>
      </c>
      <c r="E6" s="8">
        <v>1</v>
      </c>
      <c r="F6" s="7" t="s">
        <v>41</v>
      </c>
      <c r="G6" s="7"/>
      <c r="H6" s="9"/>
      <c r="I6" s="9"/>
      <c r="J6" s="10">
        <v>3364835</v>
      </c>
      <c r="K6" s="9"/>
      <c r="L6" s="9"/>
      <c r="M6" s="9"/>
      <c r="N6" s="9"/>
      <c r="O6" s="9"/>
      <c r="P6" s="9"/>
      <c r="Q6" s="9"/>
      <c r="R6" s="9"/>
      <c r="S6" s="7" t="s">
        <v>54</v>
      </c>
      <c r="T6" s="7" t="s">
        <v>55</v>
      </c>
      <c r="U6" s="7" t="s">
        <v>44</v>
      </c>
      <c r="V6" s="7" t="s">
        <v>45</v>
      </c>
      <c r="W6" s="7" t="s">
        <v>46</v>
      </c>
      <c r="X6" s="7" t="s">
        <v>47</v>
      </c>
      <c r="Y6" s="7" t="s">
        <v>56</v>
      </c>
      <c r="Z6" s="7" t="s">
        <v>57</v>
      </c>
      <c r="AA6" s="7"/>
      <c r="AB6" s="7"/>
      <c r="AC6" s="7" t="s">
        <v>39</v>
      </c>
      <c r="AD6" s="7"/>
      <c r="AE6" s="7"/>
      <c r="AF6" s="7" t="s">
        <v>50</v>
      </c>
      <c r="AG6" s="7" t="s">
        <v>51</v>
      </c>
      <c r="AH6" s="7" t="s">
        <v>52</v>
      </c>
    </row>
    <row r="7" spans="1:37" ht="9.75" customHeight="1" x14ac:dyDescent="0.2">
      <c r="A7" s="7" t="s">
        <v>37</v>
      </c>
      <c r="B7" s="7" t="s">
        <v>38</v>
      </c>
      <c r="C7" s="7"/>
      <c r="D7" s="7" t="s">
        <v>58</v>
      </c>
      <c r="E7" s="8">
        <v>1</v>
      </c>
      <c r="F7" s="7" t="s">
        <v>41</v>
      </c>
      <c r="G7" s="7"/>
      <c r="H7" s="9"/>
      <c r="I7" s="9"/>
      <c r="J7" s="9"/>
      <c r="K7" s="9"/>
      <c r="L7" s="10">
        <v>3928828</v>
      </c>
      <c r="M7" s="9"/>
      <c r="N7" s="10">
        <v>3928828</v>
      </c>
      <c r="O7" s="9"/>
      <c r="P7" s="10"/>
      <c r="Q7" s="10"/>
      <c r="R7" s="10"/>
      <c r="S7" s="7" t="s">
        <v>54</v>
      </c>
      <c r="T7" s="7" t="s">
        <v>55</v>
      </c>
      <c r="U7" s="7" t="s">
        <v>44</v>
      </c>
      <c r="V7" s="7" t="s">
        <v>45</v>
      </c>
      <c r="W7" s="7" t="s">
        <v>46</v>
      </c>
      <c r="X7" s="7" t="s">
        <v>47</v>
      </c>
      <c r="Y7" s="7" t="s">
        <v>59</v>
      </c>
      <c r="Z7" s="7" t="s">
        <v>57</v>
      </c>
      <c r="AA7" s="7"/>
      <c r="AB7" s="7"/>
      <c r="AC7" s="7" t="s">
        <v>39</v>
      </c>
      <c r="AD7" s="7"/>
      <c r="AE7" s="7"/>
      <c r="AF7" s="7" t="s">
        <v>50</v>
      </c>
      <c r="AG7" s="7" t="s">
        <v>51</v>
      </c>
      <c r="AH7" s="7" t="s">
        <v>52</v>
      </c>
    </row>
    <row r="8" spans="1:37" ht="9.75" customHeight="1" x14ac:dyDescent="0.2">
      <c r="A8" s="7" t="s">
        <v>37</v>
      </c>
      <c r="B8" s="7" t="s">
        <v>38</v>
      </c>
      <c r="C8" s="7" t="s">
        <v>39</v>
      </c>
      <c r="D8" s="7" t="s">
        <v>60</v>
      </c>
      <c r="E8" s="8">
        <v>1</v>
      </c>
      <c r="F8" s="7" t="s">
        <v>61</v>
      </c>
      <c r="G8" s="7"/>
      <c r="H8" s="9"/>
      <c r="I8" s="9"/>
      <c r="J8" s="10">
        <v>6215939</v>
      </c>
      <c r="K8" s="9"/>
      <c r="L8" s="10">
        <v>5065766</v>
      </c>
      <c r="M8" s="10">
        <v>1925892</v>
      </c>
      <c r="N8" s="10">
        <v>6991658</v>
      </c>
      <c r="O8" s="9"/>
      <c r="P8" s="10">
        <v>0</v>
      </c>
      <c r="Q8" s="10">
        <v>5350766</v>
      </c>
      <c r="R8" s="10">
        <v>5350766</v>
      </c>
      <c r="S8" s="7"/>
      <c r="T8" s="7"/>
      <c r="U8" s="7" t="s">
        <v>44</v>
      </c>
      <c r="V8" s="7" t="s">
        <v>45</v>
      </c>
      <c r="W8" s="7" t="s">
        <v>46</v>
      </c>
      <c r="X8" s="7" t="s">
        <v>47</v>
      </c>
      <c r="Y8" s="7" t="s">
        <v>62</v>
      </c>
      <c r="Z8" s="7" t="s">
        <v>63</v>
      </c>
      <c r="AA8" s="7"/>
      <c r="AB8" s="7"/>
      <c r="AC8" s="7" t="s">
        <v>39</v>
      </c>
      <c r="AD8" s="7"/>
      <c r="AE8" s="7"/>
      <c r="AF8" s="7" t="s">
        <v>50</v>
      </c>
      <c r="AG8" s="7" t="s">
        <v>51</v>
      </c>
      <c r="AH8" s="7" t="s">
        <v>52</v>
      </c>
      <c r="AI8">
        <v>4763342</v>
      </c>
      <c r="AJ8">
        <v>205700</v>
      </c>
      <c r="AK8">
        <v>4969042</v>
      </c>
    </row>
    <row r="9" spans="1:37" ht="9.75" customHeight="1" x14ac:dyDescent="0.2">
      <c r="A9" s="7" t="s">
        <v>37</v>
      </c>
      <c r="B9" s="7" t="s">
        <v>38</v>
      </c>
      <c r="C9" s="7" t="s">
        <v>64</v>
      </c>
      <c r="D9" s="7" t="s">
        <v>65</v>
      </c>
      <c r="E9" s="8">
        <v>1</v>
      </c>
      <c r="F9" s="7" t="s">
        <v>41</v>
      </c>
      <c r="G9" s="7" t="s">
        <v>66</v>
      </c>
      <c r="H9" s="9"/>
      <c r="I9" s="10">
        <v>1729021</v>
      </c>
      <c r="J9" s="10">
        <v>1359124</v>
      </c>
      <c r="K9" s="9"/>
      <c r="L9" s="10">
        <v>1046700</v>
      </c>
      <c r="M9" s="10">
        <v>0</v>
      </c>
      <c r="N9" s="10">
        <v>1046700</v>
      </c>
      <c r="O9" s="9"/>
      <c r="P9" s="10"/>
      <c r="Q9" s="10"/>
      <c r="R9" s="10"/>
      <c r="S9" s="7" t="s">
        <v>43</v>
      </c>
      <c r="T9" s="7"/>
      <c r="U9" s="7" t="s">
        <v>44</v>
      </c>
      <c r="V9" s="7" t="s">
        <v>45</v>
      </c>
      <c r="W9" s="7" t="s">
        <v>67</v>
      </c>
      <c r="X9" s="7" t="s">
        <v>68</v>
      </c>
      <c r="Y9" s="7" t="s">
        <v>69</v>
      </c>
      <c r="Z9" s="7" t="s">
        <v>70</v>
      </c>
      <c r="AA9" s="7"/>
      <c r="AB9" s="7"/>
      <c r="AC9" s="7" t="s">
        <v>64</v>
      </c>
      <c r="AD9" s="7"/>
      <c r="AE9" s="7"/>
      <c r="AF9" s="7" t="s">
        <v>50</v>
      </c>
      <c r="AG9" s="7" t="s">
        <v>67</v>
      </c>
      <c r="AH9" s="7" t="s">
        <v>71</v>
      </c>
      <c r="AI9">
        <v>641907</v>
      </c>
      <c r="AJ9">
        <v>37000</v>
      </c>
      <c r="AK9">
        <v>678907</v>
      </c>
    </row>
    <row r="10" spans="1:37" ht="9.75" customHeight="1" x14ac:dyDescent="0.2">
      <c r="A10" s="7" t="s">
        <v>37</v>
      </c>
      <c r="B10" s="7" t="s">
        <v>38</v>
      </c>
      <c r="C10" s="7"/>
      <c r="D10" s="7" t="s">
        <v>72</v>
      </c>
      <c r="E10" s="8">
        <v>1</v>
      </c>
      <c r="F10" s="7" t="s">
        <v>41</v>
      </c>
      <c r="G10" s="7"/>
      <c r="H10" s="9"/>
      <c r="I10" s="10">
        <v>1104421</v>
      </c>
      <c r="J10" s="10">
        <v>1123124</v>
      </c>
      <c r="K10" s="9"/>
      <c r="L10" s="10">
        <v>1046700</v>
      </c>
      <c r="M10" s="9"/>
      <c r="N10" s="10">
        <v>1046700</v>
      </c>
      <c r="O10" s="9"/>
      <c r="P10" s="10"/>
      <c r="Q10" s="10"/>
      <c r="R10" s="10"/>
      <c r="S10" s="7" t="s">
        <v>54</v>
      </c>
      <c r="T10" s="7" t="s">
        <v>73</v>
      </c>
      <c r="U10" s="7" t="s">
        <v>44</v>
      </c>
      <c r="V10" s="7" t="s">
        <v>45</v>
      </c>
      <c r="W10" s="7" t="s">
        <v>67</v>
      </c>
      <c r="X10" s="7" t="s">
        <v>68</v>
      </c>
      <c r="Y10" s="7" t="s">
        <v>74</v>
      </c>
      <c r="Z10" s="7" t="s">
        <v>75</v>
      </c>
      <c r="AA10" s="7"/>
      <c r="AB10" s="7"/>
      <c r="AC10" s="7" t="s">
        <v>64</v>
      </c>
      <c r="AD10" s="7"/>
      <c r="AE10" s="7"/>
      <c r="AF10" s="7" t="s">
        <v>50</v>
      </c>
      <c r="AG10" s="7" t="s">
        <v>67</v>
      </c>
      <c r="AH10" s="7" t="s">
        <v>71</v>
      </c>
    </row>
    <row r="11" spans="1:37" ht="9.75" customHeight="1" x14ac:dyDescent="0.2">
      <c r="A11" s="7" t="s">
        <v>37</v>
      </c>
      <c r="B11" s="7" t="s">
        <v>38</v>
      </c>
      <c r="C11" s="7"/>
      <c r="D11" s="7" t="s">
        <v>76</v>
      </c>
      <c r="E11" s="8">
        <v>1</v>
      </c>
      <c r="F11" s="7" t="s">
        <v>41</v>
      </c>
      <c r="G11" s="7"/>
      <c r="H11" s="9"/>
      <c r="I11" s="10">
        <v>624600</v>
      </c>
      <c r="J11" s="10">
        <v>236000</v>
      </c>
      <c r="K11" s="9"/>
      <c r="L11" s="9"/>
      <c r="M11" s="9"/>
      <c r="N11" s="9"/>
      <c r="O11" s="9"/>
      <c r="P11" s="9"/>
      <c r="Q11" s="9"/>
      <c r="R11" s="9"/>
      <c r="S11" s="7" t="s">
        <v>54</v>
      </c>
      <c r="T11" s="7" t="s">
        <v>73</v>
      </c>
      <c r="U11" s="7" t="s">
        <v>44</v>
      </c>
      <c r="V11" s="7" t="s">
        <v>45</v>
      </c>
      <c r="W11" s="7" t="s">
        <v>67</v>
      </c>
      <c r="X11" s="7" t="s">
        <v>68</v>
      </c>
      <c r="Y11" s="7" t="s">
        <v>77</v>
      </c>
      <c r="Z11" s="7" t="s">
        <v>75</v>
      </c>
      <c r="AA11" s="7"/>
      <c r="AB11" s="7"/>
      <c r="AC11" s="7" t="s">
        <v>64</v>
      </c>
      <c r="AD11" s="7"/>
      <c r="AE11" s="7"/>
      <c r="AF11" s="7" t="s">
        <v>50</v>
      </c>
      <c r="AG11" s="7" t="s">
        <v>67</v>
      </c>
      <c r="AH11" s="7" t="s">
        <v>71</v>
      </c>
    </row>
    <row r="12" spans="1:37" ht="9.75" customHeight="1" x14ac:dyDescent="0.2">
      <c r="A12" s="7" t="s">
        <v>37</v>
      </c>
      <c r="B12" s="7" t="s">
        <v>38</v>
      </c>
      <c r="C12" s="7" t="s">
        <v>64</v>
      </c>
      <c r="D12" s="7" t="s">
        <v>78</v>
      </c>
      <c r="E12" s="8">
        <v>1</v>
      </c>
      <c r="F12" s="7" t="s">
        <v>61</v>
      </c>
      <c r="G12" s="7" t="s">
        <v>79</v>
      </c>
      <c r="H12" s="9"/>
      <c r="I12" s="9"/>
      <c r="J12" s="9"/>
      <c r="K12" s="9"/>
      <c r="L12" s="10">
        <v>612038</v>
      </c>
      <c r="M12" s="10">
        <v>0</v>
      </c>
      <c r="N12" s="10">
        <v>612038</v>
      </c>
      <c r="O12" s="9"/>
      <c r="P12" s="10"/>
      <c r="Q12" s="10">
        <v>612038</v>
      </c>
      <c r="R12" s="10">
        <v>612038</v>
      </c>
      <c r="S12" s="7"/>
      <c r="T12" s="7"/>
      <c r="U12" s="7" t="s">
        <v>44</v>
      </c>
      <c r="V12" s="7" t="s">
        <v>45</v>
      </c>
      <c r="W12" s="7" t="s">
        <v>67</v>
      </c>
      <c r="X12" s="7" t="s">
        <v>68</v>
      </c>
      <c r="Y12" s="7" t="s">
        <v>80</v>
      </c>
      <c r="Z12" s="7" t="s">
        <v>81</v>
      </c>
      <c r="AA12" s="7"/>
      <c r="AB12" s="7"/>
      <c r="AC12" s="7" t="s">
        <v>64</v>
      </c>
      <c r="AD12" s="7"/>
      <c r="AE12" s="7"/>
      <c r="AF12" s="7" t="s">
        <v>50</v>
      </c>
      <c r="AG12" s="7" t="s">
        <v>67</v>
      </c>
      <c r="AH12" s="7" t="s">
        <v>71</v>
      </c>
      <c r="AI12">
        <v>1940566</v>
      </c>
      <c r="AK12">
        <v>1940566</v>
      </c>
    </row>
    <row r="13" spans="1:37" ht="9.75" customHeight="1" x14ac:dyDescent="0.2">
      <c r="A13" s="7" t="s">
        <v>37</v>
      </c>
      <c r="B13" s="7" t="s">
        <v>38</v>
      </c>
      <c r="C13" s="7" t="s">
        <v>82</v>
      </c>
      <c r="D13" s="7" t="s">
        <v>83</v>
      </c>
      <c r="E13" s="8">
        <v>1</v>
      </c>
      <c r="F13" s="7" t="s">
        <v>41</v>
      </c>
      <c r="G13" s="7" t="s">
        <v>66</v>
      </c>
      <c r="H13" s="9"/>
      <c r="I13" s="10">
        <v>800492</v>
      </c>
      <c r="J13" s="10">
        <v>674930</v>
      </c>
      <c r="K13" s="9"/>
      <c r="L13" s="10">
        <v>1622935</v>
      </c>
      <c r="M13" s="10">
        <v>0</v>
      </c>
      <c r="N13" s="10">
        <v>1622935</v>
      </c>
      <c r="O13" s="9"/>
      <c r="P13" s="10"/>
      <c r="Q13" s="10"/>
      <c r="R13" s="10"/>
      <c r="S13" s="7"/>
      <c r="T13" s="7"/>
      <c r="U13" s="7" t="s">
        <v>44</v>
      </c>
      <c r="V13" s="7" t="s">
        <v>45</v>
      </c>
      <c r="W13" s="7" t="s">
        <v>67</v>
      </c>
      <c r="X13" s="7" t="s">
        <v>68</v>
      </c>
      <c r="Y13" s="7" t="s">
        <v>84</v>
      </c>
      <c r="Z13" s="7" t="s">
        <v>85</v>
      </c>
      <c r="AA13" s="7"/>
      <c r="AB13" s="7"/>
      <c r="AC13" s="7" t="s">
        <v>82</v>
      </c>
      <c r="AD13" s="7"/>
      <c r="AE13" s="7"/>
      <c r="AF13" s="7" t="s">
        <v>50</v>
      </c>
      <c r="AG13" s="7" t="s">
        <v>67</v>
      </c>
      <c r="AH13" s="7" t="s">
        <v>86</v>
      </c>
      <c r="AI13">
        <v>1447882</v>
      </c>
      <c r="AK13">
        <v>1447882</v>
      </c>
    </row>
    <row r="14" spans="1:37" ht="9.75" customHeight="1" x14ac:dyDescent="0.2">
      <c r="A14" s="7" t="s">
        <v>37</v>
      </c>
      <c r="B14" s="7" t="s">
        <v>38</v>
      </c>
      <c r="C14" s="7" t="s">
        <v>87</v>
      </c>
      <c r="D14" s="7" t="s">
        <v>88</v>
      </c>
      <c r="E14" s="8">
        <v>1</v>
      </c>
      <c r="F14" s="7" t="s">
        <v>41</v>
      </c>
      <c r="G14" s="7" t="s">
        <v>89</v>
      </c>
      <c r="H14" s="9"/>
      <c r="I14" s="10">
        <v>7298145</v>
      </c>
      <c r="J14" s="10">
        <v>9599908</v>
      </c>
      <c r="K14" s="9"/>
      <c r="L14" s="10">
        <v>816705</v>
      </c>
      <c r="M14" s="10">
        <v>6518600</v>
      </c>
      <c r="N14" s="10">
        <v>7335305</v>
      </c>
      <c r="O14" s="9"/>
      <c r="P14" s="10">
        <v>4600000</v>
      </c>
      <c r="Q14" s="10">
        <v>2740305</v>
      </c>
      <c r="R14" s="10">
        <v>7340305</v>
      </c>
      <c r="S14" s="7" t="s">
        <v>43</v>
      </c>
      <c r="T14" s="7"/>
      <c r="U14" s="7" t="s">
        <v>44</v>
      </c>
      <c r="V14" s="7" t="s">
        <v>45</v>
      </c>
      <c r="W14" s="7" t="s">
        <v>46</v>
      </c>
      <c r="X14" s="7" t="s">
        <v>90</v>
      </c>
      <c r="Y14" s="7" t="s">
        <v>91</v>
      </c>
      <c r="Z14" s="7" t="s">
        <v>92</v>
      </c>
      <c r="AA14" s="7"/>
      <c r="AB14" s="7"/>
      <c r="AC14" s="7" t="s">
        <v>87</v>
      </c>
      <c r="AD14" s="7"/>
      <c r="AE14" s="7"/>
      <c r="AF14" s="7" t="s">
        <v>50</v>
      </c>
      <c r="AG14" s="7" t="s">
        <v>93</v>
      </c>
      <c r="AH14" s="7" t="s">
        <v>94</v>
      </c>
      <c r="AI14">
        <v>8402316</v>
      </c>
      <c r="AK14">
        <v>8402316</v>
      </c>
    </row>
    <row r="15" spans="1:37" ht="9.75" customHeight="1" x14ac:dyDescent="0.2">
      <c r="A15" s="7" t="s">
        <v>37</v>
      </c>
      <c r="B15" s="7" t="s">
        <v>38</v>
      </c>
      <c r="C15" s="7"/>
      <c r="D15" s="7" t="s">
        <v>95</v>
      </c>
      <c r="E15" s="8">
        <v>1</v>
      </c>
      <c r="F15" s="7" t="s">
        <v>41</v>
      </c>
      <c r="G15" s="7"/>
      <c r="H15" s="9"/>
      <c r="I15" s="10">
        <v>7129965</v>
      </c>
      <c r="J15" s="10">
        <v>7356904</v>
      </c>
      <c r="K15" s="9"/>
      <c r="L15" s="10">
        <v>816705</v>
      </c>
      <c r="M15" s="10">
        <v>6518600</v>
      </c>
      <c r="N15" s="10">
        <v>7335305</v>
      </c>
      <c r="O15" s="9"/>
      <c r="P15" s="10"/>
      <c r="Q15" s="10"/>
      <c r="R15" s="10"/>
      <c r="S15" s="7" t="s">
        <v>54</v>
      </c>
      <c r="T15" s="7" t="s">
        <v>96</v>
      </c>
      <c r="U15" s="7" t="s">
        <v>44</v>
      </c>
      <c r="V15" s="7" t="s">
        <v>45</v>
      </c>
      <c r="W15" s="7" t="s">
        <v>46</v>
      </c>
      <c r="X15" s="7" t="s">
        <v>90</v>
      </c>
      <c r="Y15" s="7" t="s">
        <v>97</v>
      </c>
      <c r="Z15" s="7" t="s">
        <v>98</v>
      </c>
      <c r="AA15" s="7"/>
      <c r="AB15" s="7"/>
      <c r="AC15" s="7" t="s">
        <v>87</v>
      </c>
      <c r="AD15" s="7"/>
      <c r="AE15" s="7"/>
      <c r="AF15" s="7" t="s">
        <v>50</v>
      </c>
      <c r="AG15" s="7" t="s">
        <v>93</v>
      </c>
      <c r="AH15" s="7" t="s">
        <v>94</v>
      </c>
    </row>
    <row r="16" spans="1:37" ht="9.75" customHeight="1" x14ac:dyDescent="0.2">
      <c r="A16" s="7" t="s">
        <v>37</v>
      </c>
      <c r="B16" s="7" t="s">
        <v>38</v>
      </c>
      <c r="C16" s="7"/>
      <c r="D16" s="7" t="s">
        <v>99</v>
      </c>
      <c r="E16" s="8">
        <v>1</v>
      </c>
      <c r="F16" s="7" t="s">
        <v>41</v>
      </c>
      <c r="G16" s="7"/>
      <c r="H16" s="9"/>
      <c r="I16" s="9"/>
      <c r="J16" s="10">
        <v>1950000</v>
      </c>
      <c r="K16" s="9"/>
      <c r="L16" s="9"/>
      <c r="M16" s="9"/>
      <c r="N16" s="9"/>
      <c r="O16" s="9"/>
      <c r="P16" s="9"/>
      <c r="Q16" s="9"/>
      <c r="R16" s="9"/>
      <c r="S16" s="7" t="s">
        <v>54</v>
      </c>
      <c r="T16" s="7" t="s">
        <v>96</v>
      </c>
      <c r="U16" s="7" t="s">
        <v>44</v>
      </c>
      <c r="V16" s="7" t="s">
        <v>45</v>
      </c>
      <c r="W16" s="7" t="s">
        <v>46</v>
      </c>
      <c r="X16" s="7" t="s">
        <v>90</v>
      </c>
      <c r="Y16" s="7" t="s">
        <v>100</v>
      </c>
      <c r="Z16" s="7" t="s">
        <v>98</v>
      </c>
      <c r="AA16" s="7"/>
      <c r="AB16" s="7"/>
      <c r="AC16" s="7" t="s">
        <v>87</v>
      </c>
      <c r="AD16" s="7"/>
      <c r="AE16" s="7"/>
      <c r="AF16" s="7" t="s">
        <v>50</v>
      </c>
      <c r="AG16" s="7" t="s">
        <v>93</v>
      </c>
      <c r="AH16" s="7" t="s">
        <v>94</v>
      </c>
    </row>
    <row r="17" spans="1:37" ht="9.75" customHeight="1" x14ac:dyDescent="0.2">
      <c r="A17" s="7" t="s">
        <v>37</v>
      </c>
      <c r="B17" s="7" t="s">
        <v>38</v>
      </c>
      <c r="C17" s="7"/>
      <c r="D17" s="7" t="s">
        <v>101</v>
      </c>
      <c r="E17" s="8">
        <v>1</v>
      </c>
      <c r="F17" s="7" t="s">
        <v>41</v>
      </c>
      <c r="G17" s="7"/>
      <c r="H17" s="9"/>
      <c r="I17" s="10">
        <v>168180</v>
      </c>
      <c r="J17" s="10">
        <v>293004</v>
      </c>
      <c r="K17" s="9"/>
      <c r="L17" s="9"/>
      <c r="M17" s="9"/>
      <c r="N17" s="9"/>
      <c r="O17" s="9"/>
      <c r="P17" s="9"/>
      <c r="Q17" s="9"/>
      <c r="R17" s="9"/>
      <c r="S17" s="7" t="s">
        <v>54</v>
      </c>
      <c r="T17" s="7" t="s">
        <v>96</v>
      </c>
      <c r="U17" s="7" t="s">
        <v>44</v>
      </c>
      <c r="V17" s="7" t="s">
        <v>45</v>
      </c>
      <c r="W17" s="7" t="s">
        <v>46</v>
      </c>
      <c r="X17" s="7" t="s">
        <v>90</v>
      </c>
      <c r="Y17" s="7" t="s">
        <v>102</v>
      </c>
      <c r="Z17" s="7" t="s">
        <v>98</v>
      </c>
      <c r="AA17" s="7"/>
      <c r="AB17" s="7"/>
      <c r="AC17" s="7" t="s">
        <v>87</v>
      </c>
      <c r="AD17" s="7"/>
      <c r="AE17" s="7"/>
      <c r="AF17" s="7" t="s">
        <v>50</v>
      </c>
      <c r="AG17" s="7" t="s">
        <v>93</v>
      </c>
      <c r="AH17" s="7" t="s">
        <v>94</v>
      </c>
    </row>
    <row r="18" spans="1:37" ht="9.75" customHeight="1" x14ac:dyDescent="0.2">
      <c r="A18" s="7" t="s">
        <v>37</v>
      </c>
      <c r="B18" s="7" t="s">
        <v>38</v>
      </c>
      <c r="C18" s="7" t="s">
        <v>87</v>
      </c>
      <c r="D18" s="7" t="s">
        <v>103</v>
      </c>
      <c r="E18" s="8">
        <v>1</v>
      </c>
      <c r="F18" s="7" t="s">
        <v>61</v>
      </c>
      <c r="G18" s="7" t="s">
        <v>104</v>
      </c>
      <c r="H18" s="9"/>
      <c r="I18" s="10">
        <v>3358782</v>
      </c>
      <c r="J18" s="10">
        <v>3720303</v>
      </c>
      <c r="K18" s="9"/>
      <c r="L18" s="10">
        <v>3126816</v>
      </c>
      <c r="M18" s="10">
        <v>615908</v>
      </c>
      <c r="N18" s="10">
        <v>3742724</v>
      </c>
      <c r="O18" s="9"/>
      <c r="P18" s="10">
        <v>0</v>
      </c>
      <c r="Q18" s="10">
        <v>3126816</v>
      </c>
      <c r="R18" s="10">
        <v>3126816</v>
      </c>
      <c r="S18" s="7"/>
      <c r="T18" s="7"/>
      <c r="U18" s="7" t="s">
        <v>44</v>
      </c>
      <c r="V18" s="7" t="s">
        <v>45</v>
      </c>
      <c r="W18" s="7" t="s">
        <v>46</v>
      </c>
      <c r="X18" s="7" t="s">
        <v>90</v>
      </c>
      <c r="Y18" s="7" t="s">
        <v>105</v>
      </c>
      <c r="Z18" s="7" t="s">
        <v>106</v>
      </c>
      <c r="AA18" s="7"/>
      <c r="AB18" s="7"/>
      <c r="AC18" s="7" t="s">
        <v>87</v>
      </c>
      <c r="AD18" s="7"/>
      <c r="AE18" s="7"/>
      <c r="AF18" s="7" t="s">
        <v>50</v>
      </c>
      <c r="AG18" s="7" t="s">
        <v>93</v>
      </c>
      <c r="AH18" s="7" t="s">
        <v>94</v>
      </c>
      <c r="AI18">
        <v>4143618</v>
      </c>
      <c r="AJ18">
        <v>1440000</v>
      </c>
      <c r="AK18">
        <v>5583618</v>
      </c>
    </row>
    <row r="19" spans="1:37" ht="9.75" customHeight="1" x14ac:dyDescent="0.2">
      <c r="A19" s="7" t="s">
        <v>37</v>
      </c>
      <c r="B19" s="7" t="s">
        <v>38</v>
      </c>
      <c r="C19" s="7" t="s">
        <v>107</v>
      </c>
      <c r="D19" s="7" t="s">
        <v>108</v>
      </c>
      <c r="E19" s="8">
        <v>5</v>
      </c>
      <c r="F19" s="7" t="s">
        <v>109</v>
      </c>
      <c r="G19" s="7" t="s">
        <v>110</v>
      </c>
      <c r="H19" s="9"/>
      <c r="I19" s="10">
        <v>42422</v>
      </c>
      <c r="J19" s="10">
        <v>1480314</v>
      </c>
      <c r="K19" s="9"/>
      <c r="L19" s="10">
        <v>1779011</v>
      </c>
      <c r="M19" s="10">
        <v>0</v>
      </c>
      <c r="N19" s="10">
        <v>1779011</v>
      </c>
      <c r="O19" s="9"/>
      <c r="P19" s="10"/>
      <c r="Q19" s="10">
        <v>1579011</v>
      </c>
      <c r="R19" s="10">
        <v>1579011</v>
      </c>
      <c r="S19" s="7" t="s">
        <v>43</v>
      </c>
      <c r="T19" s="7"/>
      <c r="U19" s="7" t="s">
        <v>44</v>
      </c>
      <c r="V19" s="7" t="s">
        <v>45</v>
      </c>
      <c r="W19" s="7" t="s">
        <v>67</v>
      </c>
      <c r="X19" s="7" t="s">
        <v>68</v>
      </c>
      <c r="Y19" s="7" t="s">
        <v>111</v>
      </c>
      <c r="Z19" s="7" t="s">
        <v>112</v>
      </c>
      <c r="AA19" s="7"/>
      <c r="AB19" s="7"/>
      <c r="AC19" s="7" t="s">
        <v>107</v>
      </c>
      <c r="AD19" s="7"/>
      <c r="AE19" s="7"/>
      <c r="AF19" s="7" t="s">
        <v>113</v>
      </c>
      <c r="AG19" s="7" t="s">
        <v>114</v>
      </c>
      <c r="AH19" s="7" t="s">
        <v>115</v>
      </c>
      <c r="AI19">
        <v>4418902</v>
      </c>
      <c r="AJ19">
        <v>30000</v>
      </c>
      <c r="AK19">
        <v>4448902</v>
      </c>
    </row>
    <row r="20" spans="1:37" ht="9.75" customHeight="1" x14ac:dyDescent="0.2">
      <c r="A20" s="7" t="s">
        <v>37</v>
      </c>
      <c r="B20" s="7" t="s">
        <v>38</v>
      </c>
      <c r="C20" s="7"/>
      <c r="D20" s="7" t="s">
        <v>116</v>
      </c>
      <c r="E20" s="8">
        <v>5</v>
      </c>
      <c r="F20" s="7" t="s">
        <v>109</v>
      </c>
      <c r="G20" s="7"/>
      <c r="H20" s="9"/>
      <c r="I20" s="9"/>
      <c r="J20" s="10">
        <v>811143</v>
      </c>
      <c r="K20" s="9"/>
      <c r="L20" s="9"/>
      <c r="M20" s="9"/>
      <c r="N20" s="9"/>
      <c r="O20" s="9"/>
      <c r="P20" s="9"/>
      <c r="Q20" s="9"/>
      <c r="R20" s="9"/>
      <c r="S20" s="7" t="s">
        <v>54</v>
      </c>
      <c r="T20" s="7" t="s">
        <v>117</v>
      </c>
      <c r="U20" s="7" t="s">
        <v>44</v>
      </c>
      <c r="V20" s="7" t="s">
        <v>45</v>
      </c>
      <c r="W20" s="7" t="s">
        <v>67</v>
      </c>
      <c r="X20" s="7" t="s">
        <v>68</v>
      </c>
      <c r="Y20" s="7" t="s">
        <v>118</v>
      </c>
      <c r="Z20" s="7" t="s">
        <v>98</v>
      </c>
      <c r="AA20" s="7"/>
      <c r="AB20" s="7"/>
      <c r="AC20" s="7" t="s">
        <v>107</v>
      </c>
      <c r="AD20" s="7"/>
      <c r="AE20" s="7"/>
      <c r="AF20" s="7" t="s">
        <v>113</v>
      </c>
      <c r="AG20" s="7" t="s">
        <v>114</v>
      </c>
      <c r="AH20" s="7" t="s">
        <v>115</v>
      </c>
    </row>
    <row r="21" spans="1:37" ht="9.75" customHeight="1" x14ac:dyDescent="0.2">
      <c r="A21" s="7" t="s">
        <v>37</v>
      </c>
      <c r="B21" s="7" t="s">
        <v>38</v>
      </c>
      <c r="C21" s="7"/>
      <c r="D21" s="7" t="s">
        <v>119</v>
      </c>
      <c r="E21" s="8">
        <v>5</v>
      </c>
      <c r="F21" s="7" t="s">
        <v>109</v>
      </c>
      <c r="G21" s="7"/>
      <c r="H21" s="9"/>
      <c r="I21" s="9"/>
      <c r="J21" s="9"/>
      <c r="K21" s="9"/>
      <c r="L21" s="10">
        <v>1779011</v>
      </c>
      <c r="M21" s="9"/>
      <c r="N21" s="10">
        <v>1779011</v>
      </c>
      <c r="O21" s="9"/>
      <c r="P21" s="10"/>
      <c r="Q21" s="10"/>
      <c r="R21" s="10"/>
      <c r="S21" s="7" t="s">
        <v>54</v>
      </c>
      <c r="T21" s="7" t="s">
        <v>117</v>
      </c>
      <c r="U21" s="7" t="s">
        <v>44</v>
      </c>
      <c r="V21" s="7" t="s">
        <v>45</v>
      </c>
      <c r="W21" s="7" t="s">
        <v>67</v>
      </c>
      <c r="X21" s="7" t="s">
        <v>68</v>
      </c>
      <c r="Y21" s="7" t="s">
        <v>120</v>
      </c>
      <c r="Z21" s="7" t="s">
        <v>98</v>
      </c>
      <c r="AA21" s="7"/>
      <c r="AB21" s="7"/>
      <c r="AC21" s="7" t="s">
        <v>107</v>
      </c>
      <c r="AD21" s="7"/>
      <c r="AE21" s="7"/>
      <c r="AF21" s="7" t="s">
        <v>113</v>
      </c>
      <c r="AG21" s="7" t="s">
        <v>114</v>
      </c>
      <c r="AH21" s="7" t="s">
        <v>115</v>
      </c>
    </row>
    <row r="22" spans="1:37" ht="9.75" customHeight="1" x14ac:dyDescent="0.2">
      <c r="A22" s="7" t="s">
        <v>37</v>
      </c>
      <c r="B22" s="7" t="s">
        <v>38</v>
      </c>
      <c r="C22" s="7"/>
      <c r="D22" s="7" t="s">
        <v>121</v>
      </c>
      <c r="E22" s="8">
        <v>5</v>
      </c>
      <c r="F22" s="7" t="s">
        <v>109</v>
      </c>
      <c r="G22" s="7"/>
      <c r="H22" s="9"/>
      <c r="I22" s="10">
        <v>42422</v>
      </c>
      <c r="J22" s="10">
        <v>669171</v>
      </c>
      <c r="K22" s="9"/>
      <c r="L22" s="9"/>
      <c r="M22" s="9"/>
      <c r="N22" s="9"/>
      <c r="O22" s="9"/>
      <c r="P22" s="9"/>
      <c r="Q22" s="9"/>
      <c r="R22" s="9"/>
      <c r="S22" s="7" t="s">
        <v>54</v>
      </c>
      <c r="T22" s="7" t="s">
        <v>117</v>
      </c>
      <c r="U22" s="7" t="s">
        <v>44</v>
      </c>
      <c r="V22" s="7" t="s">
        <v>45</v>
      </c>
      <c r="W22" s="7" t="s">
        <v>67</v>
      </c>
      <c r="X22" s="7" t="s">
        <v>68</v>
      </c>
      <c r="Y22" s="7" t="s">
        <v>122</v>
      </c>
      <c r="Z22" s="7" t="s">
        <v>98</v>
      </c>
      <c r="AA22" s="7"/>
      <c r="AB22" s="7"/>
      <c r="AC22" s="7" t="s">
        <v>107</v>
      </c>
      <c r="AD22" s="7"/>
      <c r="AE22" s="7"/>
      <c r="AF22" s="7" t="s">
        <v>113</v>
      </c>
      <c r="AG22" s="7" t="s">
        <v>114</v>
      </c>
      <c r="AH22" s="7" t="s">
        <v>115</v>
      </c>
    </row>
    <row r="23" spans="1:37" ht="9.75" customHeight="1" x14ac:dyDescent="0.2">
      <c r="A23" s="7" t="s">
        <v>37</v>
      </c>
      <c r="B23" s="7" t="s">
        <v>38</v>
      </c>
      <c r="C23" s="7" t="s">
        <v>107</v>
      </c>
      <c r="D23" s="7" t="s">
        <v>123</v>
      </c>
      <c r="E23" s="8">
        <v>5</v>
      </c>
      <c r="F23" s="7" t="s">
        <v>109</v>
      </c>
      <c r="G23" s="7" t="s">
        <v>124</v>
      </c>
      <c r="H23" s="9"/>
      <c r="I23" s="10">
        <v>488446</v>
      </c>
      <c r="J23" s="10">
        <v>0</v>
      </c>
      <c r="K23" s="9"/>
      <c r="L23" s="10">
        <v>0</v>
      </c>
      <c r="M23" s="10">
        <v>0</v>
      </c>
      <c r="N23" s="10">
        <v>0</v>
      </c>
      <c r="O23" s="9"/>
      <c r="P23" s="10"/>
      <c r="Q23" s="10"/>
      <c r="R23" s="10"/>
      <c r="S23" s="7"/>
      <c r="T23" s="7"/>
      <c r="U23" s="7" t="s">
        <v>44</v>
      </c>
      <c r="V23" s="7" t="s">
        <v>45</v>
      </c>
      <c r="W23" s="7" t="s">
        <v>67</v>
      </c>
      <c r="X23" s="7" t="s">
        <v>68</v>
      </c>
      <c r="Y23" s="7" t="s">
        <v>125</v>
      </c>
      <c r="Z23" s="7" t="s">
        <v>126</v>
      </c>
      <c r="AA23" s="7"/>
      <c r="AB23" s="7"/>
      <c r="AC23" s="7" t="s">
        <v>107</v>
      </c>
      <c r="AD23" s="7"/>
      <c r="AE23" s="7"/>
      <c r="AF23" s="7" t="s">
        <v>113</v>
      </c>
      <c r="AG23" s="7" t="s">
        <v>114</v>
      </c>
      <c r="AH23" s="7" t="s">
        <v>115</v>
      </c>
      <c r="AI23">
        <v>53070</v>
      </c>
      <c r="AK23">
        <v>53070</v>
      </c>
    </row>
    <row r="24" spans="1:37" ht="9.75" customHeight="1" x14ac:dyDescent="0.2">
      <c r="A24" s="7" t="s">
        <v>37</v>
      </c>
      <c r="B24" s="7" t="s">
        <v>38</v>
      </c>
      <c r="C24" s="7" t="s">
        <v>127</v>
      </c>
      <c r="D24" s="7" t="s">
        <v>128</v>
      </c>
      <c r="E24" s="8">
        <v>1</v>
      </c>
      <c r="F24" s="7" t="s">
        <v>41</v>
      </c>
      <c r="G24" s="7" t="s">
        <v>129</v>
      </c>
      <c r="H24" s="9"/>
      <c r="I24" s="10">
        <v>392892</v>
      </c>
      <c r="J24" s="10">
        <v>61100</v>
      </c>
      <c r="K24" s="9"/>
      <c r="L24" s="10">
        <v>52358</v>
      </c>
      <c r="M24" s="10">
        <v>0</v>
      </c>
      <c r="N24" s="10">
        <v>52358</v>
      </c>
      <c r="O24" s="9"/>
      <c r="P24" s="10"/>
      <c r="Q24" s="10">
        <v>52358</v>
      </c>
      <c r="R24" s="10">
        <v>52358</v>
      </c>
      <c r="S24" s="7"/>
      <c r="T24" s="7"/>
      <c r="U24" s="7" t="s">
        <v>44</v>
      </c>
      <c r="V24" s="7" t="s">
        <v>45</v>
      </c>
      <c r="W24" s="7" t="s">
        <v>130</v>
      </c>
      <c r="X24" s="7" t="s">
        <v>131</v>
      </c>
      <c r="Y24" s="7" t="s">
        <v>132</v>
      </c>
      <c r="Z24" s="7" t="s">
        <v>133</v>
      </c>
      <c r="AA24" s="7"/>
      <c r="AB24" s="7"/>
      <c r="AC24" s="7" t="s">
        <v>127</v>
      </c>
      <c r="AD24" s="7"/>
      <c r="AE24" s="7"/>
      <c r="AF24" s="7" t="s">
        <v>50</v>
      </c>
      <c r="AG24" s="7" t="s">
        <v>134</v>
      </c>
      <c r="AH24" s="7" t="s">
        <v>135</v>
      </c>
      <c r="AI24">
        <v>66516</v>
      </c>
      <c r="AK24">
        <v>66516</v>
      </c>
    </row>
    <row r="25" spans="1:37" ht="9.75" customHeight="1" x14ac:dyDescent="0.2">
      <c r="A25" s="7" t="s">
        <v>37</v>
      </c>
      <c r="B25" s="7" t="s">
        <v>38</v>
      </c>
      <c r="C25" s="7" t="s">
        <v>136</v>
      </c>
      <c r="D25" s="7" t="s">
        <v>137</v>
      </c>
      <c r="E25" s="8">
        <v>1</v>
      </c>
      <c r="F25" s="7" t="s">
        <v>41</v>
      </c>
      <c r="G25" s="7" t="s">
        <v>138</v>
      </c>
      <c r="H25" s="9"/>
      <c r="I25" s="10">
        <v>4725096</v>
      </c>
      <c r="J25" s="10">
        <v>8185404</v>
      </c>
      <c r="K25" s="9"/>
      <c r="L25" s="10">
        <v>10773</v>
      </c>
      <c r="M25" s="10">
        <v>5400000</v>
      </c>
      <c r="N25" s="10">
        <v>5410773</v>
      </c>
      <c r="O25" s="9"/>
      <c r="P25" s="10">
        <v>5400000</v>
      </c>
      <c r="Q25" s="10">
        <v>10773</v>
      </c>
      <c r="R25" s="10">
        <v>5410773</v>
      </c>
      <c r="S25" s="7" t="s">
        <v>43</v>
      </c>
      <c r="T25" s="7"/>
      <c r="U25" s="7" t="s">
        <v>44</v>
      </c>
      <c r="V25" s="7" t="s">
        <v>45</v>
      </c>
      <c r="W25" s="7" t="s">
        <v>130</v>
      </c>
      <c r="X25" s="7" t="s">
        <v>131</v>
      </c>
      <c r="Y25" s="7" t="s">
        <v>139</v>
      </c>
      <c r="Z25" s="7" t="s">
        <v>140</v>
      </c>
      <c r="AA25" s="7"/>
      <c r="AB25" s="7"/>
      <c r="AC25" s="7" t="s">
        <v>136</v>
      </c>
      <c r="AD25" s="7"/>
      <c r="AE25" s="7"/>
      <c r="AF25" s="7" t="s">
        <v>50</v>
      </c>
      <c r="AG25" s="7" t="s">
        <v>134</v>
      </c>
      <c r="AH25" s="7" t="s">
        <v>141</v>
      </c>
      <c r="AI25">
        <v>2954238</v>
      </c>
      <c r="AJ25">
        <v>314000</v>
      </c>
      <c r="AK25">
        <v>3268238</v>
      </c>
    </row>
    <row r="26" spans="1:37" ht="9.75" customHeight="1" x14ac:dyDescent="0.2">
      <c r="A26" s="7" t="s">
        <v>37</v>
      </c>
      <c r="B26" s="7" t="s">
        <v>38</v>
      </c>
      <c r="C26" s="7"/>
      <c r="D26" s="7" t="s">
        <v>142</v>
      </c>
      <c r="E26" s="8">
        <v>1</v>
      </c>
      <c r="F26" s="7" t="s">
        <v>41</v>
      </c>
      <c r="G26" s="7"/>
      <c r="H26" s="9"/>
      <c r="I26" s="10">
        <v>4499179</v>
      </c>
      <c r="J26" s="10">
        <v>6268519</v>
      </c>
      <c r="K26" s="9"/>
      <c r="L26" s="10">
        <v>10773</v>
      </c>
      <c r="M26" s="10">
        <v>5400000</v>
      </c>
      <c r="N26" s="10">
        <v>5410773</v>
      </c>
      <c r="O26" s="9"/>
      <c r="P26" s="10"/>
      <c r="Q26" s="10"/>
      <c r="R26" s="10"/>
      <c r="S26" s="7" t="s">
        <v>54</v>
      </c>
      <c r="T26" s="7" t="s">
        <v>143</v>
      </c>
      <c r="U26" s="7" t="s">
        <v>44</v>
      </c>
      <c r="V26" s="7" t="s">
        <v>45</v>
      </c>
      <c r="W26" s="7" t="s">
        <v>130</v>
      </c>
      <c r="X26" s="7" t="s">
        <v>131</v>
      </c>
      <c r="Y26" s="7" t="s">
        <v>144</v>
      </c>
      <c r="Z26" s="7" t="s">
        <v>98</v>
      </c>
      <c r="AA26" s="7"/>
      <c r="AB26" s="7"/>
      <c r="AC26" s="7" t="s">
        <v>136</v>
      </c>
      <c r="AD26" s="7"/>
      <c r="AE26" s="7"/>
      <c r="AF26" s="7" t="s">
        <v>50</v>
      </c>
      <c r="AG26" s="7" t="s">
        <v>134</v>
      </c>
      <c r="AH26" s="7" t="s">
        <v>141</v>
      </c>
    </row>
    <row r="27" spans="1:37" ht="9.75" customHeight="1" x14ac:dyDescent="0.2">
      <c r="A27" s="7" t="s">
        <v>37</v>
      </c>
      <c r="B27" s="7" t="s">
        <v>38</v>
      </c>
      <c r="C27" s="7"/>
      <c r="D27" s="7" t="s">
        <v>145</v>
      </c>
      <c r="E27" s="8">
        <v>1</v>
      </c>
      <c r="F27" s="7" t="s">
        <v>41</v>
      </c>
      <c r="G27" s="7"/>
      <c r="H27" s="9"/>
      <c r="I27" s="9"/>
      <c r="J27" s="10">
        <v>1683371</v>
      </c>
      <c r="K27" s="9"/>
      <c r="L27" s="9"/>
      <c r="M27" s="9"/>
      <c r="N27" s="9"/>
      <c r="O27" s="9"/>
      <c r="P27" s="9"/>
      <c r="Q27" s="9"/>
      <c r="R27" s="9"/>
      <c r="S27" s="7" t="s">
        <v>54</v>
      </c>
      <c r="T27" s="7" t="s">
        <v>143</v>
      </c>
      <c r="U27" s="7" t="s">
        <v>44</v>
      </c>
      <c r="V27" s="7" t="s">
        <v>45</v>
      </c>
      <c r="W27" s="7" t="s">
        <v>130</v>
      </c>
      <c r="X27" s="7" t="s">
        <v>131</v>
      </c>
      <c r="Y27" s="7" t="s">
        <v>146</v>
      </c>
      <c r="Z27" s="7" t="s">
        <v>75</v>
      </c>
      <c r="AA27" s="7"/>
      <c r="AB27" s="7"/>
      <c r="AC27" s="7" t="s">
        <v>136</v>
      </c>
      <c r="AD27" s="7"/>
      <c r="AE27" s="7"/>
      <c r="AF27" s="7" t="s">
        <v>50</v>
      </c>
      <c r="AG27" s="7" t="s">
        <v>134</v>
      </c>
      <c r="AH27" s="7" t="s">
        <v>141</v>
      </c>
    </row>
    <row r="28" spans="1:37" ht="9.75" customHeight="1" x14ac:dyDescent="0.2">
      <c r="A28" s="7" t="s">
        <v>37</v>
      </c>
      <c r="B28" s="7" t="s">
        <v>38</v>
      </c>
      <c r="C28" s="7"/>
      <c r="D28" s="7" t="s">
        <v>147</v>
      </c>
      <c r="E28" s="8">
        <v>1</v>
      </c>
      <c r="F28" s="7" t="s">
        <v>41</v>
      </c>
      <c r="G28" s="7"/>
      <c r="H28" s="9"/>
      <c r="I28" s="10">
        <v>225917</v>
      </c>
      <c r="J28" s="10">
        <v>233514</v>
      </c>
      <c r="K28" s="9"/>
      <c r="L28" s="9"/>
      <c r="M28" s="9"/>
      <c r="N28" s="9"/>
      <c r="O28" s="9"/>
      <c r="P28" s="9"/>
      <c r="Q28" s="9"/>
      <c r="R28" s="9"/>
      <c r="S28" s="7" t="s">
        <v>54</v>
      </c>
      <c r="T28" s="7" t="s">
        <v>143</v>
      </c>
      <c r="U28" s="7" t="s">
        <v>44</v>
      </c>
      <c r="V28" s="7" t="s">
        <v>45</v>
      </c>
      <c r="W28" s="7" t="s">
        <v>130</v>
      </c>
      <c r="X28" s="7" t="s">
        <v>131</v>
      </c>
      <c r="Y28" s="7" t="s">
        <v>148</v>
      </c>
      <c r="Z28" s="7" t="s">
        <v>98</v>
      </c>
      <c r="AA28" s="7"/>
      <c r="AB28" s="7"/>
      <c r="AC28" s="7" t="s">
        <v>136</v>
      </c>
      <c r="AD28" s="7"/>
      <c r="AE28" s="7"/>
      <c r="AF28" s="7" t="s">
        <v>50</v>
      </c>
      <c r="AG28" s="7" t="s">
        <v>134</v>
      </c>
      <c r="AH28" s="7" t="s">
        <v>141</v>
      </c>
    </row>
    <row r="29" spans="1:37" ht="9.75" customHeight="1" x14ac:dyDescent="0.2">
      <c r="A29" s="7" t="s">
        <v>37</v>
      </c>
      <c r="B29" s="7" t="s">
        <v>38</v>
      </c>
      <c r="C29" s="7" t="s">
        <v>136</v>
      </c>
      <c r="D29" s="7" t="s">
        <v>149</v>
      </c>
      <c r="E29" s="8">
        <v>1</v>
      </c>
      <c r="F29" s="7" t="s">
        <v>61</v>
      </c>
      <c r="G29" s="7" t="s">
        <v>150</v>
      </c>
      <c r="H29" s="9"/>
      <c r="I29" s="10">
        <v>1641335</v>
      </c>
      <c r="J29" s="10">
        <v>83224</v>
      </c>
      <c r="K29" s="9"/>
      <c r="L29" s="10">
        <v>0</v>
      </c>
      <c r="M29" s="10">
        <v>0</v>
      </c>
      <c r="N29" s="10">
        <v>0</v>
      </c>
      <c r="O29" s="9"/>
      <c r="P29" s="10"/>
      <c r="Q29" s="10">
        <v>1750000</v>
      </c>
      <c r="R29" s="10">
        <v>1750000</v>
      </c>
      <c r="S29" s="7"/>
      <c r="T29" s="7"/>
      <c r="U29" s="7" t="s">
        <v>44</v>
      </c>
      <c r="V29" s="7" t="s">
        <v>45</v>
      </c>
      <c r="W29" s="7" t="s">
        <v>130</v>
      </c>
      <c r="X29" s="7" t="s">
        <v>131</v>
      </c>
      <c r="Y29" s="7" t="s">
        <v>151</v>
      </c>
      <c r="Z29" s="7" t="s">
        <v>152</v>
      </c>
      <c r="AA29" s="7"/>
      <c r="AB29" s="7"/>
      <c r="AC29" s="7" t="s">
        <v>136</v>
      </c>
      <c r="AD29" s="7"/>
      <c r="AE29" s="7"/>
      <c r="AF29" s="7" t="s">
        <v>50</v>
      </c>
      <c r="AG29" s="7" t="s">
        <v>134</v>
      </c>
      <c r="AH29" s="7" t="s">
        <v>141</v>
      </c>
    </row>
    <row r="30" spans="1:37" ht="9.75" customHeight="1" x14ac:dyDescent="0.2">
      <c r="A30" s="7" t="s">
        <v>37</v>
      </c>
      <c r="B30" s="7" t="s">
        <v>38</v>
      </c>
      <c r="C30" s="7" t="s">
        <v>153</v>
      </c>
      <c r="D30" s="7" t="s">
        <v>154</v>
      </c>
      <c r="E30" s="8">
        <v>1</v>
      </c>
      <c r="F30" s="7" t="s">
        <v>41</v>
      </c>
      <c r="G30" s="7" t="s">
        <v>155</v>
      </c>
      <c r="H30" s="9"/>
      <c r="I30" s="10">
        <v>23000</v>
      </c>
      <c r="J30" s="10">
        <v>48000</v>
      </c>
      <c r="K30" s="9"/>
      <c r="L30" s="10">
        <v>0</v>
      </c>
      <c r="M30" s="10">
        <v>0</v>
      </c>
      <c r="N30" s="10">
        <v>0</v>
      </c>
      <c r="O30" s="9"/>
      <c r="P30" s="10"/>
      <c r="Q30" s="10"/>
      <c r="R30" s="10"/>
      <c r="S30" s="7"/>
      <c r="T30" s="7"/>
      <c r="U30" s="7" t="s">
        <v>44</v>
      </c>
      <c r="V30" s="7" t="s">
        <v>45</v>
      </c>
      <c r="W30" s="7" t="s">
        <v>130</v>
      </c>
      <c r="X30" s="7" t="s">
        <v>156</v>
      </c>
      <c r="Y30" s="7" t="s">
        <v>157</v>
      </c>
      <c r="Z30" s="7" t="s">
        <v>158</v>
      </c>
      <c r="AA30" s="7"/>
      <c r="AB30" s="7"/>
      <c r="AC30" s="7" t="s">
        <v>153</v>
      </c>
      <c r="AD30" s="7"/>
      <c r="AE30" s="7"/>
      <c r="AF30" s="7" t="s">
        <v>50</v>
      </c>
      <c r="AG30" s="7" t="s">
        <v>159</v>
      </c>
      <c r="AH30" s="7" t="s">
        <v>160</v>
      </c>
    </row>
    <row r="31" spans="1:37" ht="9.75" customHeight="1" x14ac:dyDescent="0.2">
      <c r="A31" s="7" t="s">
        <v>37</v>
      </c>
      <c r="B31" s="7" t="s">
        <v>38</v>
      </c>
      <c r="C31" s="7" t="s">
        <v>161</v>
      </c>
      <c r="D31" s="7" t="s">
        <v>162</v>
      </c>
      <c r="E31" s="8">
        <v>1</v>
      </c>
      <c r="F31" s="7" t="s">
        <v>41</v>
      </c>
      <c r="G31" s="7" t="s">
        <v>163</v>
      </c>
      <c r="H31" s="9"/>
      <c r="I31" s="10">
        <v>2183861</v>
      </c>
      <c r="J31" s="10">
        <v>633200</v>
      </c>
      <c r="K31" s="9"/>
      <c r="L31" s="10">
        <v>0</v>
      </c>
      <c r="M31" s="10">
        <v>0</v>
      </c>
      <c r="N31" s="10">
        <v>0</v>
      </c>
      <c r="O31" s="9"/>
      <c r="P31" s="10"/>
      <c r="Q31" s="10">
        <v>242000</v>
      </c>
      <c r="R31" s="10">
        <v>242000</v>
      </c>
      <c r="S31" s="7"/>
      <c r="T31" s="7"/>
      <c r="U31" s="7" t="s">
        <v>44</v>
      </c>
      <c r="V31" s="7" t="s">
        <v>45</v>
      </c>
      <c r="W31" s="7" t="s">
        <v>130</v>
      </c>
      <c r="X31" s="7" t="s">
        <v>164</v>
      </c>
      <c r="Y31" s="7" t="s">
        <v>165</v>
      </c>
      <c r="Z31" s="7" t="s">
        <v>166</v>
      </c>
      <c r="AA31" s="7"/>
      <c r="AB31" s="7"/>
      <c r="AC31" s="7" t="s">
        <v>161</v>
      </c>
      <c r="AD31" s="7"/>
      <c r="AE31" s="7"/>
      <c r="AF31" s="7" t="s">
        <v>50</v>
      </c>
      <c r="AG31" s="7" t="s">
        <v>159</v>
      </c>
      <c r="AH31" s="7" t="s">
        <v>167</v>
      </c>
    </row>
    <row r="32" spans="1:37" ht="9.75" customHeight="1" x14ac:dyDescent="0.2">
      <c r="A32" s="7" t="s">
        <v>37</v>
      </c>
      <c r="B32" s="7" t="s">
        <v>38</v>
      </c>
      <c r="C32" s="7" t="s">
        <v>168</v>
      </c>
      <c r="D32" s="7" t="s">
        <v>169</v>
      </c>
      <c r="E32" s="8">
        <v>1</v>
      </c>
      <c r="F32" s="7" t="s">
        <v>41</v>
      </c>
      <c r="G32" s="7" t="s">
        <v>170</v>
      </c>
      <c r="H32" s="9"/>
      <c r="I32" s="10">
        <v>0</v>
      </c>
      <c r="J32" s="10">
        <v>1581121</v>
      </c>
      <c r="K32" s="9"/>
      <c r="L32" s="10">
        <v>0</v>
      </c>
      <c r="M32" s="10">
        <v>2325000</v>
      </c>
      <c r="N32" s="10">
        <v>2325000</v>
      </c>
      <c r="O32" s="9"/>
      <c r="P32" s="10">
        <v>835037</v>
      </c>
      <c r="Q32" s="10">
        <v>0</v>
      </c>
      <c r="R32" s="10">
        <v>835037</v>
      </c>
      <c r="S32" s="7" t="s">
        <v>43</v>
      </c>
      <c r="T32" s="7"/>
      <c r="U32" s="7" t="s">
        <v>44</v>
      </c>
      <c r="V32" s="7" t="s">
        <v>45</v>
      </c>
      <c r="W32" s="7" t="s">
        <v>171</v>
      </c>
      <c r="X32" s="7" t="s">
        <v>172</v>
      </c>
      <c r="Y32" s="7" t="s">
        <v>173</v>
      </c>
      <c r="Z32" s="7" t="s">
        <v>174</v>
      </c>
      <c r="AA32" s="7"/>
      <c r="AB32" s="7"/>
      <c r="AC32" s="7" t="s">
        <v>168</v>
      </c>
      <c r="AD32" s="7"/>
      <c r="AE32" s="7"/>
      <c r="AF32" s="7" t="s">
        <v>50</v>
      </c>
      <c r="AG32" s="7" t="s">
        <v>175</v>
      </c>
      <c r="AH32" s="7" t="s">
        <v>176</v>
      </c>
      <c r="AI32">
        <v>2188700</v>
      </c>
      <c r="AJ32">
        <v>4000</v>
      </c>
      <c r="AK32">
        <v>2192700</v>
      </c>
    </row>
    <row r="33" spans="1:37" ht="9.75" customHeight="1" x14ac:dyDescent="0.2">
      <c r="A33" s="7" t="s">
        <v>37</v>
      </c>
      <c r="B33" s="7" t="s">
        <v>38</v>
      </c>
      <c r="C33" s="7"/>
      <c r="D33" s="7" t="s">
        <v>177</v>
      </c>
      <c r="E33" s="8">
        <v>1</v>
      </c>
      <c r="F33" s="7" t="s">
        <v>41</v>
      </c>
      <c r="G33" s="7"/>
      <c r="H33" s="9"/>
      <c r="I33" s="9"/>
      <c r="J33" s="10">
        <v>1561963</v>
      </c>
      <c r="K33" s="9"/>
      <c r="L33" s="9"/>
      <c r="M33" s="10">
        <v>2129963</v>
      </c>
      <c r="N33" s="10">
        <v>2129963</v>
      </c>
      <c r="O33" s="9"/>
      <c r="P33" s="9"/>
      <c r="Q33" s="9"/>
      <c r="R33" s="9"/>
      <c r="S33" s="7" t="s">
        <v>54</v>
      </c>
      <c r="T33" s="7" t="s">
        <v>178</v>
      </c>
      <c r="U33" s="7" t="s">
        <v>44</v>
      </c>
      <c r="V33" s="7" t="s">
        <v>45</v>
      </c>
      <c r="W33" s="7" t="s">
        <v>171</v>
      </c>
      <c r="X33" s="7" t="s">
        <v>172</v>
      </c>
      <c r="Y33" s="7" t="s">
        <v>179</v>
      </c>
      <c r="Z33" s="7" t="s">
        <v>180</v>
      </c>
      <c r="AA33" s="7"/>
      <c r="AB33" s="7"/>
      <c r="AC33" s="7" t="s">
        <v>168</v>
      </c>
      <c r="AD33" s="7"/>
      <c r="AE33" s="7"/>
      <c r="AF33" s="7" t="s">
        <v>50</v>
      </c>
      <c r="AG33" s="7" t="s">
        <v>175</v>
      </c>
      <c r="AH33" s="7" t="s">
        <v>176</v>
      </c>
    </row>
    <row r="34" spans="1:37" ht="9.75" customHeight="1" x14ac:dyDescent="0.2">
      <c r="A34" s="7" t="s">
        <v>37</v>
      </c>
      <c r="B34" s="7" t="s">
        <v>38</v>
      </c>
      <c r="C34" s="7"/>
      <c r="D34" s="7" t="s">
        <v>181</v>
      </c>
      <c r="E34" s="8">
        <v>1</v>
      </c>
      <c r="F34" s="7" t="s">
        <v>41</v>
      </c>
      <c r="G34" s="7"/>
      <c r="H34" s="9"/>
      <c r="I34" s="9"/>
      <c r="J34" s="9"/>
      <c r="K34" s="9"/>
      <c r="L34" s="10">
        <v>0</v>
      </c>
      <c r="M34" s="10">
        <v>195037</v>
      </c>
      <c r="N34" s="10">
        <v>195037</v>
      </c>
      <c r="O34" s="9"/>
      <c r="P34" s="10"/>
      <c r="Q34" s="10"/>
      <c r="R34" s="10"/>
      <c r="S34" s="7" t="s">
        <v>54</v>
      </c>
      <c r="T34" s="7" t="s">
        <v>178</v>
      </c>
      <c r="U34" s="7" t="s">
        <v>44</v>
      </c>
      <c r="V34" s="7" t="s">
        <v>45</v>
      </c>
      <c r="W34" s="7" t="s">
        <v>171</v>
      </c>
      <c r="X34" s="7" t="s">
        <v>172</v>
      </c>
      <c r="Y34" s="7" t="s">
        <v>182</v>
      </c>
      <c r="Z34" s="7" t="s">
        <v>180</v>
      </c>
      <c r="AA34" s="7"/>
      <c r="AB34" s="7"/>
      <c r="AC34" s="7" t="s">
        <v>168</v>
      </c>
      <c r="AD34" s="7"/>
      <c r="AE34" s="7"/>
      <c r="AF34" s="7" t="s">
        <v>50</v>
      </c>
      <c r="AG34" s="7" t="s">
        <v>175</v>
      </c>
      <c r="AH34" s="7" t="s">
        <v>176</v>
      </c>
    </row>
    <row r="35" spans="1:37" ht="9.75" customHeight="1" x14ac:dyDescent="0.2">
      <c r="A35" s="7" t="s">
        <v>37</v>
      </c>
      <c r="B35" s="7" t="s">
        <v>38</v>
      </c>
      <c r="C35" s="7"/>
      <c r="D35" s="7" t="s">
        <v>183</v>
      </c>
      <c r="E35" s="8">
        <v>1</v>
      </c>
      <c r="F35" s="7" t="s">
        <v>41</v>
      </c>
      <c r="G35" s="7"/>
      <c r="H35" s="9"/>
      <c r="I35" s="9"/>
      <c r="J35" s="10">
        <v>19158</v>
      </c>
      <c r="K35" s="9"/>
      <c r="L35" s="9"/>
      <c r="M35" s="9"/>
      <c r="N35" s="9"/>
      <c r="O35" s="9"/>
      <c r="P35" s="9"/>
      <c r="Q35" s="9"/>
      <c r="R35" s="9"/>
      <c r="S35" s="7" t="s">
        <v>54</v>
      </c>
      <c r="T35" s="7" t="s">
        <v>178</v>
      </c>
      <c r="U35" s="7" t="s">
        <v>44</v>
      </c>
      <c r="V35" s="7" t="s">
        <v>45</v>
      </c>
      <c r="W35" s="7" t="s">
        <v>171</v>
      </c>
      <c r="X35" s="7" t="s">
        <v>172</v>
      </c>
      <c r="Y35" s="7" t="s">
        <v>184</v>
      </c>
      <c r="Z35" s="7" t="s">
        <v>180</v>
      </c>
      <c r="AA35" s="7"/>
      <c r="AB35" s="7"/>
      <c r="AC35" s="7" t="s">
        <v>168</v>
      </c>
      <c r="AD35" s="7"/>
      <c r="AE35" s="7"/>
      <c r="AF35" s="7" t="s">
        <v>50</v>
      </c>
      <c r="AG35" s="7" t="s">
        <v>175</v>
      </c>
      <c r="AH35" s="7" t="s">
        <v>176</v>
      </c>
    </row>
    <row r="36" spans="1:37" ht="9.75" customHeight="1" x14ac:dyDescent="0.2">
      <c r="A36" s="7" t="s">
        <v>37</v>
      </c>
      <c r="B36" s="7" t="s">
        <v>38</v>
      </c>
      <c r="C36" s="7" t="s">
        <v>168</v>
      </c>
      <c r="D36" s="7" t="s">
        <v>185</v>
      </c>
      <c r="E36" s="8">
        <v>1</v>
      </c>
      <c r="F36" s="7" t="s">
        <v>61</v>
      </c>
      <c r="G36" s="7" t="s">
        <v>186</v>
      </c>
      <c r="H36" s="9"/>
      <c r="I36" s="10">
        <v>500000</v>
      </c>
      <c r="J36" s="10">
        <v>0</v>
      </c>
      <c r="K36" s="9"/>
      <c r="L36" s="10">
        <v>0</v>
      </c>
      <c r="M36" s="10">
        <v>275000</v>
      </c>
      <c r="N36" s="10">
        <v>275000</v>
      </c>
      <c r="O36" s="9"/>
      <c r="P36" s="10"/>
      <c r="Q36" s="10"/>
      <c r="R36" s="10"/>
      <c r="S36" s="7"/>
      <c r="T36" s="7"/>
      <c r="U36" s="7" t="s">
        <v>44</v>
      </c>
      <c r="V36" s="7" t="s">
        <v>45</v>
      </c>
      <c r="W36" s="7" t="s">
        <v>171</v>
      </c>
      <c r="X36" s="7" t="s">
        <v>172</v>
      </c>
      <c r="Y36" s="7" t="s">
        <v>187</v>
      </c>
      <c r="Z36" s="7" t="s">
        <v>188</v>
      </c>
      <c r="AA36" s="7"/>
      <c r="AB36" s="7"/>
      <c r="AC36" s="7" t="s">
        <v>168</v>
      </c>
      <c r="AD36" s="7"/>
      <c r="AE36" s="7"/>
      <c r="AF36" s="7" t="s">
        <v>50</v>
      </c>
      <c r="AG36" s="7" t="s">
        <v>175</v>
      </c>
      <c r="AH36" s="7" t="s">
        <v>176</v>
      </c>
      <c r="AI36">
        <v>355950</v>
      </c>
      <c r="AK36">
        <v>355950</v>
      </c>
    </row>
    <row r="37" spans="1:37" ht="9.75" customHeight="1" x14ac:dyDescent="0.2">
      <c r="A37" s="7" t="s">
        <v>37</v>
      </c>
      <c r="B37" s="7" t="s">
        <v>38</v>
      </c>
      <c r="C37" s="7"/>
      <c r="D37" s="7" t="s">
        <v>189</v>
      </c>
      <c r="E37" s="8">
        <v>1</v>
      </c>
      <c r="F37" s="7" t="s">
        <v>41</v>
      </c>
      <c r="G37" s="7"/>
      <c r="H37" s="9"/>
      <c r="I37" s="10">
        <v>16520</v>
      </c>
      <c r="J37" s="10">
        <v>0</v>
      </c>
      <c r="K37" s="9"/>
      <c r="L37" s="10">
        <v>0</v>
      </c>
      <c r="M37" s="10">
        <v>0</v>
      </c>
      <c r="N37" s="10">
        <v>0</v>
      </c>
      <c r="O37" s="9"/>
      <c r="P37" s="10"/>
      <c r="Q37" s="10"/>
      <c r="R37" s="10"/>
      <c r="S37" s="7"/>
      <c r="T37" s="7"/>
      <c r="U37" s="7" t="s">
        <v>44</v>
      </c>
      <c r="V37" s="7" t="s">
        <v>45</v>
      </c>
      <c r="W37" s="7" t="s">
        <v>171</v>
      </c>
      <c r="X37" s="7" t="s">
        <v>172</v>
      </c>
      <c r="Y37" s="7" t="s">
        <v>190</v>
      </c>
      <c r="Z37" s="7" t="s">
        <v>180</v>
      </c>
      <c r="AA37" s="7"/>
      <c r="AB37" s="7"/>
      <c r="AC37" s="7"/>
      <c r="AD37" s="7"/>
      <c r="AE37" s="7"/>
      <c r="AF37" s="7"/>
      <c r="AG37" s="7"/>
      <c r="AH37" s="7"/>
    </row>
    <row r="38" spans="1:37" ht="9.75" customHeight="1" x14ac:dyDescent="0.2">
      <c r="A38" s="7" t="s">
        <v>37</v>
      </c>
      <c r="B38" s="7" t="s">
        <v>38</v>
      </c>
      <c r="C38" s="7" t="s">
        <v>191</v>
      </c>
      <c r="D38" s="7" t="s">
        <v>192</v>
      </c>
      <c r="E38" s="8">
        <v>1</v>
      </c>
      <c r="F38" s="7" t="s">
        <v>41</v>
      </c>
      <c r="G38" s="7" t="s">
        <v>193</v>
      </c>
      <c r="H38" s="9"/>
      <c r="I38" s="10">
        <v>1830149</v>
      </c>
      <c r="J38" s="10">
        <v>115397</v>
      </c>
      <c r="K38" s="9"/>
      <c r="L38" s="10">
        <v>0</v>
      </c>
      <c r="M38" s="10">
        <v>3895000</v>
      </c>
      <c r="N38" s="10">
        <v>3895000</v>
      </c>
      <c r="O38" s="9"/>
      <c r="P38" s="10">
        <v>634963</v>
      </c>
      <c r="Q38" s="10">
        <v>0</v>
      </c>
      <c r="R38" s="10">
        <v>634963</v>
      </c>
      <c r="S38" s="7" t="s">
        <v>43</v>
      </c>
      <c r="T38" s="7"/>
      <c r="U38" s="7" t="s">
        <v>44</v>
      </c>
      <c r="V38" s="7" t="s">
        <v>45</v>
      </c>
      <c r="W38" s="7" t="s">
        <v>171</v>
      </c>
      <c r="X38" s="7" t="s">
        <v>194</v>
      </c>
      <c r="Y38" s="7" t="s">
        <v>195</v>
      </c>
      <c r="Z38" s="7" t="s">
        <v>196</v>
      </c>
      <c r="AA38" s="7"/>
      <c r="AB38" s="7"/>
      <c r="AC38" s="7" t="s">
        <v>191</v>
      </c>
      <c r="AD38" s="7"/>
      <c r="AE38" s="7"/>
      <c r="AF38" s="7" t="s">
        <v>50</v>
      </c>
      <c r="AG38" s="7" t="s">
        <v>175</v>
      </c>
      <c r="AH38" s="7" t="s">
        <v>197</v>
      </c>
      <c r="AI38">
        <v>3850319</v>
      </c>
      <c r="AJ38">
        <v>2000</v>
      </c>
      <c r="AK38">
        <v>3852319</v>
      </c>
    </row>
    <row r="39" spans="1:37" ht="9.75" customHeight="1" x14ac:dyDescent="0.2">
      <c r="A39" s="7" t="s">
        <v>37</v>
      </c>
      <c r="B39" s="7" t="s">
        <v>38</v>
      </c>
      <c r="C39" s="7"/>
      <c r="D39" s="7" t="s">
        <v>198</v>
      </c>
      <c r="E39" s="8">
        <v>1</v>
      </c>
      <c r="F39" s="7" t="s">
        <v>41</v>
      </c>
      <c r="G39" s="7"/>
      <c r="H39" s="9"/>
      <c r="I39" s="10">
        <v>1830149</v>
      </c>
      <c r="J39" s="9"/>
      <c r="K39" s="9"/>
      <c r="L39" s="9"/>
      <c r="M39" s="9"/>
      <c r="N39" s="9"/>
      <c r="O39" s="9"/>
      <c r="P39" s="9"/>
      <c r="Q39" s="9"/>
      <c r="R39" s="9"/>
      <c r="S39" s="7" t="s">
        <v>54</v>
      </c>
      <c r="T39" s="7" t="s">
        <v>199</v>
      </c>
      <c r="U39" s="7" t="s">
        <v>44</v>
      </c>
      <c r="V39" s="7" t="s">
        <v>45</v>
      </c>
      <c r="W39" s="7" t="s">
        <v>171</v>
      </c>
      <c r="X39" s="7" t="s">
        <v>194</v>
      </c>
      <c r="Y39" s="7" t="s">
        <v>200</v>
      </c>
      <c r="Z39" s="7" t="s">
        <v>180</v>
      </c>
      <c r="AA39" s="7"/>
      <c r="AB39" s="7"/>
      <c r="AC39" s="7" t="s">
        <v>191</v>
      </c>
      <c r="AD39" s="7"/>
      <c r="AE39" s="7"/>
      <c r="AF39" s="7" t="s">
        <v>50</v>
      </c>
      <c r="AG39" s="7" t="s">
        <v>175</v>
      </c>
      <c r="AH39" s="7" t="s">
        <v>197</v>
      </c>
    </row>
    <row r="40" spans="1:37" ht="9.75" customHeight="1" x14ac:dyDescent="0.2">
      <c r="A40" s="7" t="s">
        <v>37</v>
      </c>
      <c r="B40" s="7" t="s">
        <v>38</v>
      </c>
      <c r="C40" s="7"/>
      <c r="D40" s="7" t="s">
        <v>201</v>
      </c>
      <c r="E40" s="8">
        <v>1</v>
      </c>
      <c r="F40" s="7" t="s">
        <v>41</v>
      </c>
      <c r="G40" s="7"/>
      <c r="H40" s="9"/>
      <c r="I40" s="9"/>
      <c r="J40" s="10">
        <v>115397</v>
      </c>
      <c r="K40" s="9"/>
      <c r="L40" s="9"/>
      <c r="M40" s="9"/>
      <c r="N40" s="9"/>
      <c r="O40" s="9"/>
      <c r="P40" s="9"/>
      <c r="Q40" s="9"/>
      <c r="R40" s="9"/>
      <c r="S40" s="7" t="s">
        <v>54</v>
      </c>
      <c r="T40" s="7" t="s">
        <v>199</v>
      </c>
      <c r="U40" s="7" t="s">
        <v>44</v>
      </c>
      <c r="V40" s="7" t="s">
        <v>45</v>
      </c>
      <c r="W40" s="7" t="s">
        <v>171</v>
      </c>
      <c r="X40" s="7" t="s">
        <v>194</v>
      </c>
      <c r="Y40" s="7" t="s">
        <v>202</v>
      </c>
      <c r="Z40" s="7" t="s">
        <v>180</v>
      </c>
      <c r="AA40" s="7"/>
      <c r="AB40" s="7"/>
      <c r="AC40" s="7" t="s">
        <v>191</v>
      </c>
      <c r="AD40" s="7"/>
      <c r="AE40" s="7"/>
      <c r="AF40" s="7" t="s">
        <v>50</v>
      </c>
      <c r="AG40" s="7" t="s">
        <v>175</v>
      </c>
      <c r="AH40" s="7" t="s">
        <v>197</v>
      </c>
    </row>
    <row r="41" spans="1:37" ht="9.75" customHeight="1" x14ac:dyDescent="0.2">
      <c r="A41" s="7" t="s">
        <v>37</v>
      </c>
      <c r="B41" s="7" t="s">
        <v>38</v>
      </c>
      <c r="C41" s="7" t="s">
        <v>191</v>
      </c>
      <c r="D41" s="7" t="s">
        <v>203</v>
      </c>
      <c r="E41" s="8">
        <v>1</v>
      </c>
      <c r="F41" s="7" t="s">
        <v>61</v>
      </c>
      <c r="G41" s="7" t="s">
        <v>204</v>
      </c>
      <c r="H41" s="9"/>
      <c r="I41" s="9"/>
      <c r="J41" s="10">
        <v>61118</v>
      </c>
      <c r="K41" s="9"/>
      <c r="L41" s="10">
        <v>0</v>
      </c>
      <c r="M41" s="10">
        <v>0</v>
      </c>
      <c r="N41" s="10">
        <v>0</v>
      </c>
      <c r="O41" s="9"/>
      <c r="P41" s="10"/>
      <c r="Q41" s="10"/>
      <c r="R41" s="10"/>
      <c r="S41" s="7"/>
      <c r="T41" s="7"/>
      <c r="U41" s="7" t="s">
        <v>44</v>
      </c>
      <c r="V41" s="7" t="s">
        <v>45</v>
      </c>
      <c r="W41" s="7" t="s">
        <v>171</v>
      </c>
      <c r="X41" s="7" t="s">
        <v>194</v>
      </c>
      <c r="Y41" s="7" t="s">
        <v>205</v>
      </c>
      <c r="Z41" s="7" t="s">
        <v>206</v>
      </c>
      <c r="AA41" s="7"/>
      <c r="AB41" s="7"/>
      <c r="AC41" s="7" t="s">
        <v>191</v>
      </c>
      <c r="AD41" s="7"/>
      <c r="AE41" s="7" t="s">
        <v>207</v>
      </c>
      <c r="AF41" s="7" t="s">
        <v>50</v>
      </c>
      <c r="AG41" s="7" t="s">
        <v>175</v>
      </c>
      <c r="AH41" s="7" t="s">
        <v>197</v>
      </c>
    </row>
    <row r="42" spans="1:37" ht="9.75" customHeight="1" x14ac:dyDescent="0.2">
      <c r="A42" s="7" t="s">
        <v>37</v>
      </c>
      <c r="B42" s="7" t="s">
        <v>38</v>
      </c>
      <c r="C42" s="7" t="s">
        <v>208</v>
      </c>
      <c r="D42" s="7" t="s">
        <v>209</v>
      </c>
      <c r="E42" s="8">
        <v>1</v>
      </c>
      <c r="F42" s="7" t="s">
        <v>41</v>
      </c>
      <c r="G42" s="7" t="s">
        <v>210</v>
      </c>
      <c r="H42" s="9"/>
      <c r="I42" s="9"/>
      <c r="J42" s="10">
        <v>29668</v>
      </c>
      <c r="K42" s="9"/>
      <c r="L42" s="10">
        <v>0</v>
      </c>
      <c r="M42" s="10">
        <v>1963941</v>
      </c>
      <c r="N42" s="10">
        <v>1963941</v>
      </c>
      <c r="O42" s="9"/>
      <c r="P42" s="10">
        <v>1963941</v>
      </c>
      <c r="Q42" s="10">
        <v>800000</v>
      </c>
      <c r="R42" s="10">
        <v>2763941</v>
      </c>
      <c r="S42" s="7"/>
      <c r="T42" s="7"/>
      <c r="U42" s="7" t="s">
        <v>44</v>
      </c>
      <c r="V42" s="7" t="s">
        <v>45</v>
      </c>
      <c r="W42" s="7" t="s">
        <v>211</v>
      </c>
      <c r="X42" s="7" t="s">
        <v>212</v>
      </c>
      <c r="Y42" s="7" t="s">
        <v>213</v>
      </c>
      <c r="Z42" s="7" t="s">
        <v>214</v>
      </c>
      <c r="AA42" s="7"/>
      <c r="AB42" s="7"/>
      <c r="AC42" s="7" t="s">
        <v>208</v>
      </c>
      <c r="AD42" s="7"/>
      <c r="AE42" s="7"/>
      <c r="AF42" s="7" t="s">
        <v>50</v>
      </c>
      <c r="AG42" s="7" t="s">
        <v>175</v>
      </c>
      <c r="AH42" s="7" t="s">
        <v>215</v>
      </c>
      <c r="AJ42">
        <v>1887500</v>
      </c>
      <c r="AK42">
        <v>1887500</v>
      </c>
    </row>
    <row r="43" spans="1:37" ht="9.75" customHeight="1" x14ac:dyDescent="0.2">
      <c r="A43" s="7" t="s">
        <v>37</v>
      </c>
      <c r="B43" s="7" t="s">
        <v>38</v>
      </c>
      <c r="C43" s="7" t="s">
        <v>216</v>
      </c>
      <c r="D43" s="7" t="s">
        <v>217</v>
      </c>
      <c r="E43" s="8">
        <v>1</v>
      </c>
      <c r="F43" s="7" t="s">
        <v>41</v>
      </c>
      <c r="G43" s="7" t="s">
        <v>218</v>
      </c>
      <c r="H43" s="9"/>
      <c r="I43" s="10">
        <v>0</v>
      </c>
      <c r="J43" s="10">
        <v>0</v>
      </c>
      <c r="K43" s="9"/>
      <c r="L43" s="10">
        <v>0</v>
      </c>
      <c r="M43" s="10">
        <v>0</v>
      </c>
      <c r="N43" s="10">
        <v>0</v>
      </c>
      <c r="O43" s="9"/>
      <c r="P43" s="10"/>
      <c r="Q43" s="10"/>
      <c r="R43" s="10"/>
      <c r="S43" s="7" t="s">
        <v>219</v>
      </c>
      <c r="T43" s="7" t="s">
        <v>220</v>
      </c>
      <c r="U43" s="7" t="s">
        <v>221</v>
      </c>
      <c r="V43" s="7" t="s">
        <v>45</v>
      </c>
      <c r="W43" s="7" t="s">
        <v>211</v>
      </c>
      <c r="X43" s="7" t="s">
        <v>222</v>
      </c>
      <c r="Y43" s="7" t="s">
        <v>223</v>
      </c>
      <c r="Z43" s="7" t="s">
        <v>224</v>
      </c>
      <c r="AA43" s="7"/>
      <c r="AB43" s="7"/>
      <c r="AC43" s="7"/>
      <c r="AD43" s="7"/>
      <c r="AE43" s="7"/>
      <c r="AF43" s="7"/>
      <c r="AG43" s="7"/>
      <c r="AH43" s="7"/>
    </row>
    <row r="44" spans="1:37" ht="9.75" customHeight="1" x14ac:dyDescent="0.2">
      <c r="A44" s="7" t="s">
        <v>37</v>
      </c>
      <c r="B44" s="7" t="s">
        <v>38</v>
      </c>
      <c r="C44" s="7" t="s">
        <v>225</v>
      </c>
      <c r="D44" s="7" t="s">
        <v>226</v>
      </c>
      <c r="E44" s="8">
        <v>1</v>
      </c>
      <c r="F44" s="7" t="s">
        <v>41</v>
      </c>
      <c r="G44" s="7" t="s">
        <v>227</v>
      </c>
      <c r="H44" s="9"/>
      <c r="I44" s="10">
        <v>0</v>
      </c>
      <c r="J44" s="10">
        <v>0</v>
      </c>
      <c r="K44" s="9"/>
      <c r="L44" s="10">
        <v>0</v>
      </c>
      <c r="M44" s="10">
        <v>0</v>
      </c>
      <c r="N44" s="10">
        <v>0</v>
      </c>
      <c r="O44" s="9"/>
      <c r="P44" s="10"/>
      <c r="Q44" s="10"/>
      <c r="R44" s="10"/>
      <c r="S44" s="7" t="s">
        <v>219</v>
      </c>
      <c r="T44" s="7" t="s">
        <v>228</v>
      </c>
      <c r="U44" s="7" t="s">
        <v>221</v>
      </c>
      <c r="V44" s="7" t="s">
        <v>45</v>
      </c>
      <c r="W44" s="7" t="s">
        <v>211</v>
      </c>
      <c r="X44" s="7" t="s">
        <v>229</v>
      </c>
      <c r="Y44" s="7" t="s">
        <v>230</v>
      </c>
      <c r="Z44" s="7" t="s">
        <v>231</v>
      </c>
      <c r="AA44" s="7"/>
      <c r="AB44" s="7"/>
      <c r="AC44" s="7"/>
      <c r="AD44" s="7"/>
      <c r="AE44" s="7"/>
      <c r="AF44" s="7"/>
      <c r="AG44" s="7"/>
      <c r="AH44" s="7"/>
    </row>
    <row r="45" spans="1:37" ht="9.75" customHeight="1" x14ac:dyDescent="0.2">
      <c r="A45" s="7" t="s">
        <v>37</v>
      </c>
      <c r="B45" s="7" t="s">
        <v>38</v>
      </c>
      <c r="C45" s="7" t="s">
        <v>232</v>
      </c>
      <c r="D45" s="7" t="s">
        <v>233</v>
      </c>
      <c r="E45" s="8">
        <v>1</v>
      </c>
      <c r="F45" s="7" t="s">
        <v>41</v>
      </c>
      <c r="G45" s="7" t="s">
        <v>234</v>
      </c>
      <c r="H45" s="9"/>
      <c r="I45" s="10">
        <v>938315</v>
      </c>
      <c r="J45" s="10">
        <v>227154</v>
      </c>
      <c r="K45" s="9"/>
      <c r="L45" s="10">
        <v>8346</v>
      </c>
      <c r="M45" s="10">
        <v>1853359</v>
      </c>
      <c r="N45" s="10">
        <v>1861705</v>
      </c>
      <c r="O45" s="9"/>
      <c r="P45" s="10">
        <v>1853359</v>
      </c>
      <c r="Q45" s="10">
        <v>8346</v>
      </c>
      <c r="R45" s="10">
        <v>1861705</v>
      </c>
      <c r="S45" s="7" t="s">
        <v>43</v>
      </c>
      <c r="T45" s="7"/>
      <c r="U45" s="7" t="s">
        <v>221</v>
      </c>
      <c r="V45" s="7" t="s">
        <v>45</v>
      </c>
      <c r="W45" s="7" t="s">
        <v>235</v>
      </c>
      <c r="X45" s="7" t="s">
        <v>236</v>
      </c>
      <c r="Y45" s="7" t="s">
        <v>237</v>
      </c>
      <c r="Z45" s="7" t="s">
        <v>238</v>
      </c>
      <c r="AA45" s="7"/>
      <c r="AB45" s="7"/>
      <c r="AC45" s="7" t="s">
        <v>232</v>
      </c>
      <c r="AD45" s="7"/>
      <c r="AE45" s="7"/>
      <c r="AF45" s="7" t="s">
        <v>50</v>
      </c>
      <c r="AG45" s="7" t="s">
        <v>235</v>
      </c>
      <c r="AH45" s="7" t="s">
        <v>239</v>
      </c>
      <c r="AI45">
        <v>1946063</v>
      </c>
      <c r="AJ45">
        <v>282820</v>
      </c>
      <c r="AK45">
        <v>2228883</v>
      </c>
    </row>
    <row r="46" spans="1:37" ht="9.75" customHeight="1" x14ac:dyDescent="0.2">
      <c r="A46" s="7" t="s">
        <v>37</v>
      </c>
      <c r="B46" s="7" t="s">
        <v>38</v>
      </c>
      <c r="C46" s="7"/>
      <c r="D46" s="7" t="s">
        <v>240</v>
      </c>
      <c r="E46" s="8">
        <v>1</v>
      </c>
      <c r="F46" s="7" t="s">
        <v>41</v>
      </c>
      <c r="G46" s="7"/>
      <c r="H46" s="9"/>
      <c r="I46" s="10">
        <v>815420</v>
      </c>
      <c r="J46" s="10">
        <v>0</v>
      </c>
      <c r="K46" s="9"/>
      <c r="L46" s="10">
        <v>8346</v>
      </c>
      <c r="M46" s="10">
        <v>1853359</v>
      </c>
      <c r="N46" s="10">
        <v>1861705</v>
      </c>
      <c r="O46" s="9"/>
      <c r="P46" s="10"/>
      <c r="Q46" s="10"/>
      <c r="R46" s="10"/>
      <c r="S46" s="7" t="s">
        <v>54</v>
      </c>
      <c r="T46" s="7" t="s">
        <v>241</v>
      </c>
      <c r="U46" s="7" t="s">
        <v>221</v>
      </c>
      <c r="V46" s="7" t="s">
        <v>45</v>
      </c>
      <c r="W46" s="7" t="s">
        <v>235</v>
      </c>
      <c r="X46" s="7" t="s">
        <v>236</v>
      </c>
      <c r="Y46" s="7" t="s">
        <v>242</v>
      </c>
      <c r="Z46" s="7" t="s">
        <v>243</v>
      </c>
      <c r="AA46" s="7"/>
      <c r="AB46" s="7"/>
      <c r="AC46" s="7" t="s">
        <v>232</v>
      </c>
      <c r="AD46" s="7"/>
      <c r="AE46" s="7"/>
      <c r="AF46" s="7" t="s">
        <v>50</v>
      </c>
      <c r="AG46" s="7" t="s">
        <v>235</v>
      </c>
      <c r="AH46" s="7" t="s">
        <v>239</v>
      </c>
    </row>
    <row r="47" spans="1:37" ht="9.75" customHeight="1" x14ac:dyDescent="0.2">
      <c r="A47" s="7" t="s">
        <v>37</v>
      </c>
      <c r="B47" s="7" t="s">
        <v>38</v>
      </c>
      <c r="C47" s="7"/>
      <c r="D47" s="7" t="s">
        <v>244</v>
      </c>
      <c r="E47" s="8">
        <v>1</v>
      </c>
      <c r="F47" s="7" t="s">
        <v>41</v>
      </c>
      <c r="G47" s="7"/>
      <c r="H47" s="9"/>
      <c r="I47" s="10">
        <v>122895</v>
      </c>
      <c r="J47" s="10">
        <v>227154</v>
      </c>
      <c r="K47" s="9"/>
      <c r="L47" s="9"/>
      <c r="M47" s="9"/>
      <c r="N47" s="9"/>
      <c r="O47" s="9"/>
      <c r="P47" s="9"/>
      <c r="Q47" s="9"/>
      <c r="R47" s="9"/>
      <c r="S47" s="7" t="s">
        <v>54</v>
      </c>
      <c r="T47" s="7" t="s">
        <v>241</v>
      </c>
      <c r="U47" s="7" t="s">
        <v>221</v>
      </c>
      <c r="V47" s="7" t="s">
        <v>45</v>
      </c>
      <c r="W47" s="7" t="s">
        <v>235</v>
      </c>
      <c r="X47" s="7" t="s">
        <v>236</v>
      </c>
      <c r="Y47" s="7" t="s">
        <v>245</v>
      </c>
      <c r="Z47" s="7" t="s">
        <v>243</v>
      </c>
      <c r="AA47" s="7"/>
      <c r="AB47" s="7"/>
      <c r="AC47" s="7" t="s">
        <v>232</v>
      </c>
      <c r="AD47" s="7"/>
      <c r="AE47" s="7"/>
      <c r="AF47" s="7" t="s">
        <v>50</v>
      </c>
      <c r="AG47" s="7" t="s">
        <v>235</v>
      </c>
      <c r="AH47" s="7" t="s">
        <v>239</v>
      </c>
    </row>
    <row r="48" spans="1:37" ht="9.75" customHeight="1" x14ac:dyDescent="0.2">
      <c r="A48" s="7" t="s">
        <v>37</v>
      </c>
      <c r="B48" s="7" t="s">
        <v>38</v>
      </c>
      <c r="C48" s="7" t="s">
        <v>246</v>
      </c>
      <c r="D48" s="7" t="s">
        <v>247</v>
      </c>
      <c r="E48" s="8">
        <v>1</v>
      </c>
      <c r="F48" s="7" t="s">
        <v>41</v>
      </c>
      <c r="G48" s="7" t="s">
        <v>248</v>
      </c>
      <c r="H48" s="9"/>
      <c r="I48" s="10">
        <v>513466</v>
      </c>
      <c r="J48" s="10">
        <v>0</v>
      </c>
      <c r="K48" s="9"/>
      <c r="L48" s="10">
        <v>612205</v>
      </c>
      <c r="M48" s="10">
        <v>0</v>
      </c>
      <c r="N48" s="10">
        <v>612205</v>
      </c>
      <c r="O48" s="9"/>
      <c r="P48" s="10"/>
      <c r="Q48" s="10">
        <v>612205</v>
      </c>
      <c r="R48" s="10">
        <v>612205</v>
      </c>
      <c r="S48" s="7" t="s">
        <v>43</v>
      </c>
      <c r="T48" s="7"/>
      <c r="U48" s="7" t="s">
        <v>221</v>
      </c>
      <c r="V48" s="7" t="s">
        <v>45</v>
      </c>
      <c r="W48" s="7" t="s">
        <v>249</v>
      </c>
      <c r="X48" s="7" t="s">
        <v>250</v>
      </c>
      <c r="Y48" s="7" t="s">
        <v>251</v>
      </c>
      <c r="Z48" s="7" t="s">
        <v>252</v>
      </c>
      <c r="AA48" s="7"/>
      <c r="AB48" s="7"/>
      <c r="AC48" s="7" t="s">
        <v>246</v>
      </c>
      <c r="AD48" s="7"/>
      <c r="AE48" s="7"/>
      <c r="AF48" s="7" t="s">
        <v>50</v>
      </c>
      <c r="AG48" s="7" t="s">
        <v>253</v>
      </c>
      <c r="AH48" s="7" t="s">
        <v>254</v>
      </c>
      <c r="AI48">
        <v>610664</v>
      </c>
      <c r="AJ48">
        <v>100000</v>
      </c>
      <c r="AK48">
        <v>710664</v>
      </c>
    </row>
    <row r="49" spans="1:37" ht="9.75" customHeight="1" x14ac:dyDescent="0.2">
      <c r="A49" s="7" t="s">
        <v>37</v>
      </c>
      <c r="B49" s="7" t="s">
        <v>38</v>
      </c>
      <c r="C49" s="7"/>
      <c r="D49" s="7" t="s">
        <v>255</v>
      </c>
      <c r="E49" s="8">
        <v>1</v>
      </c>
      <c r="F49" s="7" t="s">
        <v>41</v>
      </c>
      <c r="G49" s="7"/>
      <c r="H49" s="9"/>
      <c r="I49" s="10">
        <v>513466</v>
      </c>
      <c r="J49" s="9"/>
      <c r="K49" s="9"/>
      <c r="L49" s="9"/>
      <c r="M49" s="9"/>
      <c r="N49" s="9"/>
      <c r="O49" s="9"/>
      <c r="P49" s="9"/>
      <c r="Q49" s="9"/>
      <c r="R49" s="9"/>
      <c r="S49" s="7" t="s">
        <v>54</v>
      </c>
      <c r="T49" s="7" t="s">
        <v>256</v>
      </c>
      <c r="U49" s="7" t="s">
        <v>221</v>
      </c>
      <c r="V49" s="7" t="s">
        <v>45</v>
      </c>
      <c r="W49" s="7" t="s">
        <v>249</v>
      </c>
      <c r="X49" s="7" t="s">
        <v>250</v>
      </c>
      <c r="Y49" s="7" t="s">
        <v>257</v>
      </c>
      <c r="Z49" s="7" t="s">
        <v>243</v>
      </c>
      <c r="AA49" s="7"/>
      <c r="AB49" s="7"/>
      <c r="AC49" s="7" t="s">
        <v>246</v>
      </c>
      <c r="AD49" s="7"/>
      <c r="AE49" s="7"/>
      <c r="AF49" s="7" t="s">
        <v>50</v>
      </c>
      <c r="AG49" s="7" t="s">
        <v>253</v>
      </c>
      <c r="AH49" s="7" t="s">
        <v>254</v>
      </c>
    </row>
    <row r="50" spans="1:37" ht="9.75" customHeight="1" x14ac:dyDescent="0.2">
      <c r="A50" s="7" t="s">
        <v>37</v>
      </c>
      <c r="B50" s="7" t="s">
        <v>38</v>
      </c>
      <c r="C50" s="7"/>
      <c r="D50" s="7" t="s">
        <v>258</v>
      </c>
      <c r="E50" s="8">
        <v>1</v>
      </c>
      <c r="F50" s="7" t="s">
        <v>41</v>
      </c>
      <c r="G50" s="7"/>
      <c r="H50" s="9"/>
      <c r="I50" s="9"/>
      <c r="J50" s="9"/>
      <c r="K50" s="9"/>
      <c r="L50" s="10">
        <v>612205</v>
      </c>
      <c r="M50" s="9"/>
      <c r="N50" s="10">
        <v>612205</v>
      </c>
      <c r="O50" s="9"/>
      <c r="P50" s="10"/>
      <c r="Q50" s="10"/>
      <c r="R50" s="10"/>
      <c r="S50" s="7" t="s">
        <v>54</v>
      </c>
      <c r="T50" s="7" t="s">
        <v>256</v>
      </c>
      <c r="U50" s="7" t="s">
        <v>221</v>
      </c>
      <c r="V50" s="7" t="s">
        <v>45</v>
      </c>
      <c r="W50" s="7" t="s">
        <v>249</v>
      </c>
      <c r="X50" s="7" t="s">
        <v>250</v>
      </c>
      <c r="Y50" s="7" t="s">
        <v>259</v>
      </c>
      <c r="Z50" s="7" t="s">
        <v>260</v>
      </c>
      <c r="AA50" s="7"/>
      <c r="AB50" s="7"/>
      <c r="AC50" s="7" t="s">
        <v>246</v>
      </c>
      <c r="AD50" s="7"/>
      <c r="AE50" s="7"/>
      <c r="AF50" s="7" t="s">
        <v>50</v>
      </c>
      <c r="AG50" s="7" t="s">
        <v>253</v>
      </c>
      <c r="AH50" s="7" t="s">
        <v>254</v>
      </c>
    </row>
    <row r="51" spans="1:37" ht="9.75" customHeight="1" x14ac:dyDescent="0.2">
      <c r="A51" s="7" t="s">
        <v>37</v>
      </c>
      <c r="B51" s="7" t="s">
        <v>38</v>
      </c>
      <c r="C51" s="7" t="s">
        <v>261</v>
      </c>
      <c r="D51" s="7" t="s">
        <v>262</v>
      </c>
      <c r="E51" s="8">
        <v>1</v>
      </c>
      <c r="F51" s="7" t="s">
        <v>41</v>
      </c>
      <c r="G51" s="7" t="s">
        <v>263</v>
      </c>
      <c r="H51" s="9"/>
      <c r="I51" s="10">
        <v>22959</v>
      </c>
      <c r="J51" s="10">
        <v>82587</v>
      </c>
      <c r="K51" s="9"/>
      <c r="L51" s="10">
        <v>0</v>
      </c>
      <c r="M51" s="10">
        <v>0</v>
      </c>
      <c r="N51" s="10">
        <v>0</v>
      </c>
      <c r="O51" s="9"/>
      <c r="P51" s="10"/>
      <c r="Q51" s="10">
        <v>141500</v>
      </c>
      <c r="R51" s="10">
        <v>141500</v>
      </c>
      <c r="S51" s="7"/>
      <c r="T51" s="7"/>
      <c r="U51" s="7" t="s">
        <v>221</v>
      </c>
      <c r="V51" s="7" t="s">
        <v>45</v>
      </c>
      <c r="W51" s="7" t="s">
        <v>264</v>
      </c>
      <c r="X51" s="7" t="s">
        <v>265</v>
      </c>
      <c r="Y51" s="7" t="s">
        <v>266</v>
      </c>
      <c r="Z51" s="7" t="s">
        <v>267</v>
      </c>
      <c r="AA51" s="7"/>
      <c r="AB51" s="7"/>
      <c r="AC51" s="7" t="s">
        <v>261</v>
      </c>
      <c r="AD51" s="7"/>
      <c r="AE51" s="7"/>
      <c r="AF51" s="7" t="s">
        <v>50</v>
      </c>
      <c r="AG51" s="7" t="s">
        <v>253</v>
      </c>
      <c r="AH51" s="7" t="s">
        <v>268</v>
      </c>
    </row>
    <row r="52" spans="1:37" ht="9.75" customHeight="1" x14ac:dyDescent="0.2">
      <c r="A52" s="7" t="s">
        <v>37</v>
      </c>
      <c r="B52" s="7" t="s">
        <v>38</v>
      </c>
      <c r="C52" s="7" t="s">
        <v>269</v>
      </c>
      <c r="D52" s="7" t="s">
        <v>270</v>
      </c>
      <c r="E52" s="8">
        <v>1</v>
      </c>
      <c r="F52" s="7" t="s">
        <v>41</v>
      </c>
      <c r="G52" s="7" t="s">
        <v>271</v>
      </c>
      <c r="H52" s="9"/>
      <c r="I52" s="10">
        <v>0</v>
      </c>
      <c r="J52" s="10">
        <v>18000</v>
      </c>
      <c r="K52" s="9"/>
      <c r="L52" s="10">
        <v>0</v>
      </c>
      <c r="M52" s="10">
        <v>0</v>
      </c>
      <c r="N52" s="10">
        <v>0</v>
      </c>
      <c r="O52" s="9"/>
      <c r="P52" s="10"/>
      <c r="Q52" s="10"/>
      <c r="R52" s="10"/>
      <c r="S52" s="7"/>
      <c r="T52" s="7"/>
      <c r="U52" s="7" t="s">
        <v>221</v>
      </c>
      <c r="V52" s="7" t="s">
        <v>272</v>
      </c>
      <c r="W52" s="7" t="s">
        <v>273</v>
      </c>
      <c r="X52" s="7" t="s">
        <v>274</v>
      </c>
      <c r="Y52" s="7" t="s">
        <v>275</v>
      </c>
      <c r="Z52" s="7" t="s">
        <v>276</v>
      </c>
      <c r="AA52" s="7"/>
      <c r="AB52" s="7"/>
      <c r="AC52" s="7" t="s">
        <v>269</v>
      </c>
      <c r="AD52" s="7"/>
      <c r="AE52" s="7"/>
      <c r="AF52" s="7" t="s">
        <v>50</v>
      </c>
      <c r="AG52" s="7" t="s">
        <v>253</v>
      </c>
      <c r="AH52" s="7" t="s">
        <v>277</v>
      </c>
    </row>
    <row r="53" spans="1:37" ht="9.75" customHeight="1" x14ac:dyDescent="0.2">
      <c r="A53" s="7" t="s">
        <v>37</v>
      </c>
      <c r="B53" s="7" t="s">
        <v>38</v>
      </c>
      <c r="C53" s="7" t="s">
        <v>278</v>
      </c>
      <c r="D53" s="7" t="s">
        <v>279</v>
      </c>
      <c r="E53" s="8">
        <v>1</v>
      </c>
      <c r="F53" s="7" t="s">
        <v>41</v>
      </c>
      <c r="G53" s="7" t="s">
        <v>280</v>
      </c>
      <c r="H53" s="9"/>
      <c r="I53" s="10">
        <v>62532</v>
      </c>
      <c r="J53" s="10">
        <v>0</v>
      </c>
      <c r="K53" s="9"/>
      <c r="L53" s="10">
        <v>0</v>
      </c>
      <c r="M53" s="10">
        <v>295000</v>
      </c>
      <c r="N53" s="10">
        <v>295000</v>
      </c>
      <c r="O53" s="9"/>
      <c r="P53" s="10">
        <v>295000</v>
      </c>
      <c r="Q53" s="10">
        <v>0</v>
      </c>
      <c r="R53" s="10">
        <v>295000</v>
      </c>
      <c r="S53" s="7"/>
      <c r="T53" s="7"/>
      <c r="U53" s="7" t="s">
        <v>44</v>
      </c>
      <c r="V53" s="7" t="s">
        <v>281</v>
      </c>
      <c r="W53" s="7" t="s">
        <v>282</v>
      </c>
      <c r="X53" s="7" t="s">
        <v>283</v>
      </c>
      <c r="Y53" s="7" t="s">
        <v>284</v>
      </c>
      <c r="Z53" s="7" t="s">
        <v>285</v>
      </c>
      <c r="AA53" s="7"/>
      <c r="AB53" s="7"/>
      <c r="AC53" s="7" t="s">
        <v>278</v>
      </c>
      <c r="AD53" s="7"/>
      <c r="AE53" s="7"/>
      <c r="AF53" s="7" t="s">
        <v>50</v>
      </c>
      <c r="AG53" s="7" t="s">
        <v>253</v>
      </c>
      <c r="AH53" s="7" t="s">
        <v>286</v>
      </c>
    </row>
    <row r="54" spans="1:37" ht="9.75" customHeight="1" x14ac:dyDescent="0.2">
      <c r="A54" s="7" t="s">
        <v>37</v>
      </c>
      <c r="B54" s="7" t="s">
        <v>38</v>
      </c>
      <c r="C54" s="7"/>
      <c r="D54" s="7" t="s">
        <v>287</v>
      </c>
      <c r="E54" s="8">
        <v>1</v>
      </c>
      <c r="F54" s="7" t="s">
        <v>41</v>
      </c>
      <c r="G54" s="7"/>
      <c r="H54" s="9"/>
      <c r="I54" s="9"/>
      <c r="J54" s="9"/>
      <c r="K54" s="9"/>
      <c r="L54" s="9"/>
      <c r="M54" s="10">
        <v>600000</v>
      </c>
      <c r="N54" s="10">
        <v>600000</v>
      </c>
      <c r="O54" s="9"/>
      <c r="P54" s="9"/>
      <c r="Q54" s="9"/>
      <c r="R54" s="9"/>
      <c r="S54" s="7"/>
      <c r="T54" s="7"/>
      <c r="U54" s="7" t="s">
        <v>221</v>
      </c>
      <c r="V54" s="7" t="s">
        <v>272</v>
      </c>
      <c r="W54" s="7" t="s">
        <v>288</v>
      </c>
      <c r="X54" s="7" t="s">
        <v>289</v>
      </c>
      <c r="Y54" s="7" t="s">
        <v>290</v>
      </c>
      <c r="Z54" s="7" t="s">
        <v>243</v>
      </c>
      <c r="AA54" s="7"/>
      <c r="AB54" s="7"/>
      <c r="AC54" s="7"/>
      <c r="AD54" s="7"/>
      <c r="AE54" s="7"/>
      <c r="AF54" s="7"/>
      <c r="AG54" s="7"/>
      <c r="AH54" s="7"/>
      <c r="AI54">
        <v>450000</v>
      </c>
      <c r="AK54">
        <v>450000</v>
      </c>
    </row>
    <row r="55" spans="1:37" ht="9.75" customHeight="1" x14ac:dyDescent="0.2">
      <c r="A55" s="7" t="s">
        <v>37</v>
      </c>
      <c r="B55" s="7" t="s">
        <v>38</v>
      </c>
      <c r="C55" s="7" t="s">
        <v>291</v>
      </c>
      <c r="D55" s="7" t="s">
        <v>292</v>
      </c>
      <c r="E55" s="8">
        <v>1</v>
      </c>
      <c r="F55" s="7" t="s">
        <v>293</v>
      </c>
      <c r="G55" s="7" t="s">
        <v>294</v>
      </c>
      <c r="H55" s="9"/>
      <c r="I55" s="10">
        <v>512019</v>
      </c>
      <c r="J55" s="10">
        <v>585967</v>
      </c>
      <c r="K55" s="9"/>
      <c r="L55" s="10">
        <v>863846</v>
      </c>
      <c r="M55" s="10">
        <v>23449</v>
      </c>
      <c r="N55" s="10">
        <v>887295</v>
      </c>
      <c r="O55" s="9"/>
      <c r="P55" s="10">
        <v>0</v>
      </c>
      <c r="Q55" s="10">
        <v>886846</v>
      </c>
      <c r="R55" s="10">
        <v>886846</v>
      </c>
      <c r="S55" s="7" t="s">
        <v>43</v>
      </c>
      <c r="T55" s="7"/>
      <c r="U55" s="7"/>
      <c r="V55" s="7"/>
      <c r="W55" s="7"/>
      <c r="X55" s="7"/>
      <c r="Y55" s="7" t="s">
        <v>295</v>
      </c>
      <c r="Z55" s="7" t="s">
        <v>296</v>
      </c>
      <c r="AA55" s="7"/>
      <c r="AB55" s="7"/>
      <c r="AC55" s="7" t="s">
        <v>291</v>
      </c>
      <c r="AD55" s="7"/>
      <c r="AE55" s="7"/>
      <c r="AF55" s="7" t="s">
        <v>113</v>
      </c>
      <c r="AG55" s="7" t="s">
        <v>297</v>
      </c>
      <c r="AH55" s="7" t="s">
        <v>298</v>
      </c>
      <c r="AI55">
        <v>741270</v>
      </c>
      <c r="AK55">
        <v>741270</v>
      </c>
    </row>
    <row r="56" spans="1:37" ht="9.75" customHeight="1" x14ac:dyDescent="0.2">
      <c r="A56" s="7" t="s">
        <v>37</v>
      </c>
      <c r="B56" s="7" t="s">
        <v>38</v>
      </c>
      <c r="C56" s="7" t="s">
        <v>291</v>
      </c>
      <c r="D56" s="7" t="s">
        <v>299</v>
      </c>
      <c r="E56" s="8">
        <v>1</v>
      </c>
      <c r="F56" s="7" t="s">
        <v>293</v>
      </c>
      <c r="G56" s="7"/>
      <c r="H56" s="9"/>
      <c r="I56" s="9"/>
      <c r="J56" s="9"/>
      <c r="K56" s="9"/>
      <c r="L56" s="10">
        <v>46987</v>
      </c>
      <c r="M56" s="9"/>
      <c r="N56" s="9"/>
      <c r="O56" s="9"/>
      <c r="P56" s="10"/>
      <c r="Q56" s="10"/>
      <c r="R56" s="10"/>
      <c r="S56" s="7" t="s">
        <v>54</v>
      </c>
      <c r="T56" s="7" t="s">
        <v>300</v>
      </c>
      <c r="U56" s="7" t="s">
        <v>44</v>
      </c>
      <c r="V56" s="7" t="s">
        <v>45</v>
      </c>
      <c r="W56" s="7" t="s">
        <v>46</v>
      </c>
      <c r="X56" s="7" t="s">
        <v>47</v>
      </c>
      <c r="Y56" s="7" t="s">
        <v>301</v>
      </c>
      <c r="Z56" s="7" t="s">
        <v>296</v>
      </c>
      <c r="AA56" s="7"/>
      <c r="AB56" s="7"/>
      <c r="AC56" s="7" t="s">
        <v>291</v>
      </c>
      <c r="AD56" s="7"/>
      <c r="AE56" s="7"/>
      <c r="AF56" s="7" t="s">
        <v>113</v>
      </c>
      <c r="AG56" s="7" t="s">
        <v>297</v>
      </c>
      <c r="AH56" s="7" t="s">
        <v>298</v>
      </c>
    </row>
    <row r="57" spans="1:37" ht="9.75" customHeight="1" x14ac:dyDescent="0.2">
      <c r="A57" s="7" t="s">
        <v>37</v>
      </c>
      <c r="B57" s="7" t="s">
        <v>38</v>
      </c>
      <c r="C57" s="7" t="s">
        <v>291</v>
      </c>
      <c r="D57" s="7" t="s">
        <v>302</v>
      </c>
      <c r="E57" s="8">
        <v>1</v>
      </c>
      <c r="F57" s="7" t="s">
        <v>293</v>
      </c>
      <c r="G57" s="7"/>
      <c r="H57" s="9"/>
      <c r="I57" s="9"/>
      <c r="J57" s="9"/>
      <c r="K57" s="9"/>
      <c r="L57" s="10">
        <v>78780</v>
      </c>
      <c r="M57" s="9"/>
      <c r="N57" s="9"/>
      <c r="O57" s="9"/>
      <c r="P57" s="10"/>
      <c r="Q57" s="10"/>
      <c r="R57" s="10"/>
      <c r="S57" s="7" t="s">
        <v>54</v>
      </c>
      <c r="T57" s="7" t="s">
        <v>300</v>
      </c>
      <c r="U57" s="7" t="s">
        <v>44</v>
      </c>
      <c r="V57" s="7" t="s">
        <v>45</v>
      </c>
      <c r="W57" s="7" t="s">
        <v>67</v>
      </c>
      <c r="X57" s="7" t="s">
        <v>68</v>
      </c>
      <c r="Y57" s="7" t="s">
        <v>303</v>
      </c>
      <c r="Z57" s="7" t="s">
        <v>296</v>
      </c>
      <c r="AA57" s="7"/>
      <c r="AB57" s="7"/>
      <c r="AC57" s="7" t="s">
        <v>291</v>
      </c>
      <c r="AD57" s="7"/>
      <c r="AE57" s="7"/>
      <c r="AF57" s="7" t="s">
        <v>113</v>
      </c>
      <c r="AG57" s="7" t="s">
        <v>297</v>
      </c>
      <c r="AH57" s="7" t="s">
        <v>298</v>
      </c>
    </row>
    <row r="58" spans="1:37" ht="9.75" customHeight="1" x14ac:dyDescent="0.2">
      <c r="A58" s="7" t="s">
        <v>37</v>
      </c>
      <c r="B58" s="7" t="s">
        <v>38</v>
      </c>
      <c r="C58" s="7" t="s">
        <v>291</v>
      </c>
      <c r="D58" s="7" t="s">
        <v>304</v>
      </c>
      <c r="E58" s="8">
        <v>1</v>
      </c>
      <c r="F58" s="7" t="s">
        <v>293</v>
      </c>
      <c r="G58" s="7"/>
      <c r="H58" s="9"/>
      <c r="I58" s="9"/>
      <c r="J58" s="9"/>
      <c r="K58" s="9"/>
      <c r="L58" s="10">
        <v>218616</v>
      </c>
      <c r="M58" s="9"/>
      <c r="N58" s="9"/>
      <c r="O58" s="9"/>
      <c r="P58" s="10"/>
      <c r="Q58" s="10"/>
      <c r="R58" s="10"/>
      <c r="S58" s="7" t="s">
        <v>54</v>
      </c>
      <c r="T58" s="7" t="s">
        <v>300</v>
      </c>
      <c r="U58" s="7" t="s">
        <v>44</v>
      </c>
      <c r="V58" s="7" t="s">
        <v>45</v>
      </c>
      <c r="W58" s="7" t="s">
        <v>46</v>
      </c>
      <c r="X58" s="7" t="s">
        <v>90</v>
      </c>
      <c r="Y58" s="7" t="s">
        <v>305</v>
      </c>
      <c r="Z58" s="7" t="s">
        <v>296</v>
      </c>
      <c r="AA58" s="7"/>
      <c r="AB58" s="7"/>
      <c r="AC58" s="7" t="s">
        <v>291</v>
      </c>
      <c r="AD58" s="7"/>
      <c r="AE58" s="7"/>
      <c r="AF58" s="7" t="s">
        <v>113</v>
      </c>
      <c r="AG58" s="7" t="s">
        <v>297</v>
      </c>
      <c r="AH58" s="7" t="s">
        <v>298</v>
      </c>
    </row>
    <row r="59" spans="1:37" ht="9.75" customHeight="1" x14ac:dyDescent="0.2">
      <c r="A59" s="7" t="s">
        <v>37</v>
      </c>
      <c r="B59" s="7" t="s">
        <v>38</v>
      </c>
      <c r="C59" s="7" t="s">
        <v>291</v>
      </c>
      <c r="D59" s="7" t="s">
        <v>306</v>
      </c>
      <c r="E59" s="8">
        <v>5</v>
      </c>
      <c r="F59" s="7" t="s">
        <v>109</v>
      </c>
      <c r="G59" s="7"/>
      <c r="H59" s="9"/>
      <c r="I59" s="9"/>
      <c r="J59" s="9"/>
      <c r="K59" s="9"/>
      <c r="L59" s="10">
        <v>12200</v>
      </c>
      <c r="M59" s="9"/>
      <c r="N59" s="9"/>
      <c r="O59" s="9"/>
      <c r="P59" s="10"/>
      <c r="Q59" s="10"/>
      <c r="R59" s="10"/>
      <c r="S59" s="7" t="s">
        <v>54</v>
      </c>
      <c r="T59" s="7" t="s">
        <v>300</v>
      </c>
      <c r="U59" s="7" t="s">
        <v>44</v>
      </c>
      <c r="V59" s="7" t="s">
        <v>45</v>
      </c>
      <c r="W59" s="7" t="s">
        <v>67</v>
      </c>
      <c r="X59" s="7" t="s">
        <v>68</v>
      </c>
      <c r="Y59" s="7" t="s">
        <v>307</v>
      </c>
      <c r="Z59" s="7" t="s">
        <v>296</v>
      </c>
      <c r="AA59" s="7"/>
      <c r="AB59" s="7"/>
      <c r="AC59" s="7" t="s">
        <v>291</v>
      </c>
      <c r="AD59" s="7"/>
      <c r="AE59" s="7"/>
      <c r="AF59" s="7" t="s">
        <v>113</v>
      </c>
      <c r="AG59" s="7" t="s">
        <v>297</v>
      </c>
      <c r="AH59" s="7" t="s">
        <v>298</v>
      </c>
    </row>
    <row r="60" spans="1:37" ht="9.75" customHeight="1" x14ac:dyDescent="0.2">
      <c r="A60" s="7" t="s">
        <v>37</v>
      </c>
      <c r="B60" s="7" t="s">
        <v>38</v>
      </c>
      <c r="C60" s="7" t="s">
        <v>291</v>
      </c>
      <c r="D60" s="7" t="s">
        <v>308</v>
      </c>
      <c r="E60" s="8">
        <v>1</v>
      </c>
      <c r="F60" s="7" t="s">
        <v>293</v>
      </c>
      <c r="G60" s="7"/>
      <c r="H60" s="9"/>
      <c r="I60" s="9"/>
      <c r="J60" s="9"/>
      <c r="K60" s="9"/>
      <c r="L60" s="10">
        <v>9</v>
      </c>
      <c r="M60" s="9"/>
      <c r="N60" s="9"/>
      <c r="O60" s="9"/>
      <c r="P60" s="10"/>
      <c r="Q60" s="10"/>
      <c r="R60" s="10"/>
      <c r="S60" s="7" t="s">
        <v>54</v>
      </c>
      <c r="T60" s="7" t="s">
        <v>300</v>
      </c>
      <c r="U60" s="7" t="s">
        <v>44</v>
      </c>
      <c r="V60" s="7" t="s">
        <v>45</v>
      </c>
      <c r="W60" s="7" t="s">
        <v>130</v>
      </c>
      <c r="X60" s="7" t="s">
        <v>131</v>
      </c>
      <c r="Y60" s="7" t="s">
        <v>309</v>
      </c>
      <c r="Z60" s="7" t="s">
        <v>296</v>
      </c>
      <c r="AA60" s="7"/>
      <c r="AB60" s="7"/>
      <c r="AC60" s="7" t="s">
        <v>291</v>
      </c>
      <c r="AD60" s="7"/>
      <c r="AE60" s="7"/>
      <c r="AF60" s="7" t="s">
        <v>113</v>
      </c>
      <c r="AG60" s="7" t="s">
        <v>297</v>
      </c>
      <c r="AH60" s="7" t="s">
        <v>298</v>
      </c>
    </row>
    <row r="61" spans="1:37" ht="9.75" customHeight="1" x14ac:dyDescent="0.2">
      <c r="A61" s="7" t="s">
        <v>37</v>
      </c>
      <c r="B61" s="7" t="s">
        <v>38</v>
      </c>
      <c r="C61" s="7" t="s">
        <v>291</v>
      </c>
      <c r="D61" s="7" t="s">
        <v>310</v>
      </c>
      <c r="E61" s="8">
        <v>1</v>
      </c>
      <c r="F61" s="7" t="s">
        <v>293</v>
      </c>
      <c r="G61" s="7"/>
      <c r="H61" s="9"/>
      <c r="I61" s="9"/>
      <c r="J61" s="9"/>
      <c r="K61" s="9"/>
      <c r="L61" s="10">
        <v>167272</v>
      </c>
      <c r="M61" s="9"/>
      <c r="N61" s="9"/>
      <c r="O61" s="9"/>
      <c r="P61" s="10"/>
      <c r="Q61" s="10"/>
      <c r="R61" s="10"/>
      <c r="S61" s="7" t="s">
        <v>54</v>
      </c>
      <c r="T61" s="7" t="s">
        <v>300</v>
      </c>
      <c r="U61" s="7" t="s">
        <v>44</v>
      </c>
      <c r="V61" s="7" t="s">
        <v>45</v>
      </c>
      <c r="W61" s="7" t="s">
        <v>130</v>
      </c>
      <c r="X61" s="7" t="s">
        <v>131</v>
      </c>
      <c r="Y61" s="7" t="s">
        <v>311</v>
      </c>
      <c r="Z61" s="7" t="s">
        <v>296</v>
      </c>
      <c r="AA61" s="7"/>
      <c r="AB61" s="7"/>
      <c r="AC61" s="7" t="s">
        <v>291</v>
      </c>
      <c r="AD61" s="7"/>
      <c r="AE61" s="7"/>
      <c r="AF61" s="7" t="s">
        <v>113</v>
      </c>
      <c r="AG61" s="7" t="s">
        <v>297</v>
      </c>
      <c r="AH61" s="7" t="s">
        <v>298</v>
      </c>
    </row>
    <row r="62" spans="1:37" ht="9.75" customHeight="1" x14ac:dyDescent="0.2">
      <c r="A62" s="7" t="s">
        <v>37</v>
      </c>
      <c r="B62" s="7" t="s">
        <v>38</v>
      </c>
      <c r="C62" s="7" t="s">
        <v>291</v>
      </c>
      <c r="D62" s="7" t="s">
        <v>312</v>
      </c>
      <c r="E62" s="8">
        <v>1</v>
      </c>
      <c r="F62" s="7" t="s">
        <v>293</v>
      </c>
      <c r="G62" s="7"/>
      <c r="H62" s="9"/>
      <c r="I62" s="9"/>
      <c r="J62" s="9"/>
      <c r="K62" s="9"/>
      <c r="L62" s="10">
        <v>89186</v>
      </c>
      <c r="M62" s="9"/>
      <c r="N62" s="9"/>
      <c r="O62" s="9"/>
      <c r="P62" s="10"/>
      <c r="Q62" s="10"/>
      <c r="R62" s="10"/>
      <c r="S62" s="7" t="s">
        <v>54</v>
      </c>
      <c r="T62" s="7" t="s">
        <v>300</v>
      </c>
      <c r="U62" s="7" t="s">
        <v>44</v>
      </c>
      <c r="V62" s="7" t="s">
        <v>45</v>
      </c>
      <c r="W62" s="7" t="s">
        <v>130</v>
      </c>
      <c r="X62" s="7" t="s">
        <v>156</v>
      </c>
      <c r="Y62" s="7" t="s">
        <v>313</v>
      </c>
      <c r="Z62" s="7" t="s">
        <v>296</v>
      </c>
      <c r="AA62" s="7"/>
      <c r="AB62" s="7"/>
      <c r="AC62" s="7" t="s">
        <v>291</v>
      </c>
      <c r="AD62" s="7"/>
      <c r="AE62" s="7"/>
      <c r="AF62" s="7" t="s">
        <v>113</v>
      </c>
      <c r="AG62" s="7" t="s">
        <v>297</v>
      </c>
      <c r="AH62" s="7" t="s">
        <v>298</v>
      </c>
    </row>
    <row r="63" spans="1:37" ht="9.75" customHeight="1" x14ac:dyDescent="0.2">
      <c r="A63" s="7" t="s">
        <v>37</v>
      </c>
      <c r="B63" s="7" t="s">
        <v>38</v>
      </c>
      <c r="C63" s="7" t="s">
        <v>291</v>
      </c>
      <c r="D63" s="7" t="s">
        <v>314</v>
      </c>
      <c r="E63" s="8">
        <v>1</v>
      </c>
      <c r="F63" s="7" t="s">
        <v>293</v>
      </c>
      <c r="G63" s="7"/>
      <c r="H63" s="9"/>
      <c r="I63" s="9"/>
      <c r="J63" s="9"/>
      <c r="K63" s="9"/>
      <c r="L63" s="10">
        <v>49090</v>
      </c>
      <c r="M63" s="9"/>
      <c r="N63" s="9"/>
      <c r="O63" s="9"/>
      <c r="P63" s="10"/>
      <c r="Q63" s="10"/>
      <c r="R63" s="10"/>
      <c r="S63" s="7" t="s">
        <v>54</v>
      </c>
      <c r="T63" s="7" t="s">
        <v>300</v>
      </c>
      <c r="U63" s="7" t="s">
        <v>44</v>
      </c>
      <c r="V63" s="7" t="s">
        <v>45</v>
      </c>
      <c r="W63" s="7" t="s">
        <v>171</v>
      </c>
      <c r="X63" s="7" t="s">
        <v>172</v>
      </c>
      <c r="Y63" s="7" t="s">
        <v>315</v>
      </c>
      <c r="Z63" s="7" t="s">
        <v>296</v>
      </c>
      <c r="AA63" s="7"/>
      <c r="AB63" s="7"/>
      <c r="AC63" s="7" t="s">
        <v>291</v>
      </c>
      <c r="AD63" s="7"/>
      <c r="AE63" s="7"/>
      <c r="AF63" s="7" t="s">
        <v>113</v>
      </c>
      <c r="AG63" s="7" t="s">
        <v>297</v>
      </c>
      <c r="AH63" s="7" t="s">
        <v>298</v>
      </c>
    </row>
    <row r="64" spans="1:37" ht="9.75" customHeight="1" x14ac:dyDescent="0.2">
      <c r="A64" s="7" t="s">
        <v>37</v>
      </c>
      <c r="B64" s="7" t="s">
        <v>38</v>
      </c>
      <c r="C64" s="7" t="s">
        <v>291</v>
      </c>
      <c r="D64" s="7" t="s">
        <v>316</v>
      </c>
      <c r="E64" s="8">
        <v>1</v>
      </c>
      <c r="F64" s="7" t="s">
        <v>293</v>
      </c>
      <c r="G64" s="7"/>
      <c r="H64" s="9"/>
      <c r="I64" s="9"/>
      <c r="J64" s="9"/>
      <c r="K64" s="9"/>
      <c r="L64" s="10">
        <v>33000</v>
      </c>
      <c r="M64" s="9"/>
      <c r="N64" s="9"/>
      <c r="O64" s="9"/>
      <c r="P64" s="10"/>
      <c r="Q64" s="10"/>
      <c r="R64" s="10"/>
      <c r="S64" s="7" t="s">
        <v>54</v>
      </c>
      <c r="T64" s="7" t="s">
        <v>300</v>
      </c>
      <c r="U64" s="7" t="s">
        <v>44</v>
      </c>
      <c r="V64" s="7" t="s">
        <v>45</v>
      </c>
      <c r="W64" s="7" t="s">
        <v>171</v>
      </c>
      <c r="X64" s="7" t="s">
        <v>172</v>
      </c>
      <c r="Y64" s="7" t="s">
        <v>317</v>
      </c>
      <c r="Z64" s="7" t="s">
        <v>296</v>
      </c>
      <c r="AA64" s="7"/>
      <c r="AB64" s="7"/>
      <c r="AC64" s="7" t="s">
        <v>291</v>
      </c>
      <c r="AD64" s="7"/>
      <c r="AE64" s="7"/>
      <c r="AF64" s="7" t="s">
        <v>113</v>
      </c>
      <c r="AG64" s="7" t="s">
        <v>297</v>
      </c>
      <c r="AH64" s="7" t="s">
        <v>298</v>
      </c>
    </row>
    <row r="65" spans="1:37" ht="9.75" customHeight="1" x14ac:dyDescent="0.2">
      <c r="A65" s="7" t="s">
        <v>37</v>
      </c>
      <c r="B65" s="7" t="s">
        <v>38</v>
      </c>
      <c r="C65" s="7" t="s">
        <v>291</v>
      </c>
      <c r="D65" s="7" t="s">
        <v>318</v>
      </c>
      <c r="E65" s="8">
        <v>1</v>
      </c>
      <c r="F65" s="7" t="s">
        <v>293</v>
      </c>
      <c r="G65" s="7"/>
      <c r="H65" s="9"/>
      <c r="I65" s="9"/>
      <c r="J65" s="9"/>
      <c r="K65" s="9"/>
      <c r="L65" s="10">
        <v>11858</v>
      </c>
      <c r="M65" s="9"/>
      <c r="N65" s="9"/>
      <c r="O65" s="9"/>
      <c r="P65" s="10"/>
      <c r="Q65" s="10"/>
      <c r="R65" s="10"/>
      <c r="S65" s="7" t="s">
        <v>54</v>
      </c>
      <c r="T65" s="7" t="s">
        <v>300</v>
      </c>
      <c r="U65" s="7" t="s">
        <v>221</v>
      </c>
      <c r="V65" s="7" t="s">
        <v>45</v>
      </c>
      <c r="W65" s="7" t="s">
        <v>211</v>
      </c>
      <c r="X65" s="7" t="s">
        <v>222</v>
      </c>
      <c r="Y65" s="7" t="s">
        <v>319</v>
      </c>
      <c r="Z65" s="7" t="s">
        <v>296</v>
      </c>
      <c r="AA65" s="7"/>
      <c r="AB65" s="7"/>
      <c r="AC65" s="7" t="s">
        <v>291</v>
      </c>
      <c r="AD65" s="7"/>
      <c r="AE65" s="7"/>
      <c r="AF65" s="7" t="s">
        <v>113</v>
      </c>
      <c r="AG65" s="7" t="s">
        <v>297</v>
      </c>
      <c r="AH65" s="7" t="s">
        <v>298</v>
      </c>
    </row>
    <row r="66" spans="1:37" ht="9.75" customHeight="1" x14ac:dyDescent="0.2">
      <c r="A66" s="7" t="s">
        <v>37</v>
      </c>
      <c r="B66" s="7" t="s">
        <v>38</v>
      </c>
      <c r="C66" s="7" t="s">
        <v>291</v>
      </c>
      <c r="D66" s="7" t="s">
        <v>320</v>
      </c>
      <c r="E66" s="8">
        <v>1</v>
      </c>
      <c r="F66" s="7" t="s">
        <v>293</v>
      </c>
      <c r="G66" s="7"/>
      <c r="H66" s="9"/>
      <c r="I66" s="9"/>
      <c r="J66" s="9"/>
      <c r="K66" s="9"/>
      <c r="L66" s="10">
        <v>23119</v>
      </c>
      <c r="M66" s="9"/>
      <c r="N66" s="9"/>
      <c r="O66" s="9"/>
      <c r="P66" s="10"/>
      <c r="Q66" s="10"/>
      <c r="R66" s="10"/>
      <c r="S66" s="7" t="s">
        <v>54</v>
      </c>
      <c r="T66" s="7" t="s">
        <v>300</v>
      </c>
      <c r="U66" s="7" t="s">
        <v>44</v>
      </c>
      <c r="V66" s="7" t="s">
        <v>45</v>
      </c>
      <c r="W66" s="7" t="s">
        <v>171</v>
      </c>
      <c r="X66" s="7" t="s">
        <v>194</v>
      </c>
      <c r="Y66" s="7" t="s">
        <v>321</v>
      </c>
      <c r="Z66" s="7" t="s">
        <v>296</v>
      </c>
      <c r="AA66" s="7"/>
      <c r="AB66" s="7"/>
      <c r="AC66" s="7" t="s">
        <v>291</v>
      </c>
      <c r="AD66" s="7"/>
      <c r="AE66" s="7"/>
      <c r="AF66" s="7" t="s">
        <v>113</v>
      </c>
      <c r="AG66" s="7" t="s">
        <v>297</v>
      </c>
      <c r="AH66" s="7" t="s">
        <v>298</v>
      </c>
    </row>
    <row r="67" spans="1:37" ht="9.75" customHeight="1" x14ac:dyDescent="0.2">
      <c r="A67" s="7" t="s">
        <v>37</v>
      </c>
      <c r="B67" s="7" t="s">
        <v>38</v>
      </c>
      <c r="C67" s="7" t="s">
        <v>291</v>
      </c>
      <c r="D67" s="7" t="s">
        <v>322</v>
      </c>
      <c r="E67" s="8">
        <v>1</v>
      </c>
      <c r="F67" s="7" t="s">
        <v>293</v>
      </c>
      <c r="G67" s="7"/>
      <c r="H67" s="9"/>
      <c r="I67" s="9"/>
      <c r="J67" s="9"/>
      <c r="K67" s="9"/>
      <c r="L67" s="10">
        <v>8554</v>
      </c>
      <c r="M67" s="9"/>
      <c r="N67" s="9"/>
      <c r="O67" s="9"/>
      <c r="P67" s="10"/>
      <c r="Q67" s="10"/>
      <c r="R67" s="10"/>
      <c r="S67" s="7" t="s">
        <v>54</v>
      </c>
      <c r="T67" s="7" t="s">
        <v>300</v>
      </c>
      <c r="U67" s="7" t="s">
        <v>221</v>
      </c>
      <c r="V67" s="7" t="s">
        <v>45</v>
      </c>
      <c r="W67" s="7" t="s">
        <v>211</v>
      </c>
      <c r="X67" s="7" t="s">
        <v>229</v>
      </c>
      <c r="Y67" s="7" t="s">
        <v>323</v>
      </c>
      <c r="Z67" s="7" t="s">
        <v>296</v>
      </c>
      <c r="AA67" s="7"/>
      <c r="AB67" s="7"/>
      <c r="AC67" s="7" t="s">
        <v>291</v>
      </c>
      <c r="AD67" s="7"/>
      <c r="AE67" s="7"/>
      <c r="AF67" s="7" t="s">
        <v>113</v>
      </c>
      <c r="AG67" s="7" t="s">
        <v>297</v>
      </c>
      <c r="AH67" s="7" t="s">
        <v>298</v>
      </c>
    </row>
    <row r="68" spans="1:37" ht="9.75" customHeight="1" x14ac:dyDescent="0.2">
      <c r="A68" s="7" t="s">
        <v>37</v>
      </c>
      <c r="B68" s="7" t="s">
        <v>38</v>
      </c>
      <c r="C68" s="7" t="s">
        <v>291</v>
      </c>
      <c r="D68" s="7" t="s">
        <v>324</v>
      </c>
      <c r="E68" s="8">
        <v>1</v>
      </c>
      <c r="F68" s="7" t="s">
        <v>293</v>
      </c>
      <c r="G68" s="7"/>
      <c r="H68" s="9"/>
      <c r="I68" s="9"/>
      <c r="J68" s="9"/>
      <c r="K68" s="9"/>
      <c r="L68" s="10">
        <v>63848</v>
      </c>
      <c r="M68" s="9"/>
      <c r="N68" s="9"/>
      <c r="O68" s="9"/>
      <c r="P68" s="10"/>
      <c r="Q68" s="10"/>
      <c r="R68" s="10"/>
      <c r="S68" s="7" t="s">
        <v>54</v>
      </c>
      <c r="T68" s="7" t="s">
        <v>300</v>
      </c>
      <c r="U68" s="7" t="s">
        <v>221</v>
      </c>
      <c r="V68" s="7" t="s">
        <v>45</v>
      </c>
      <c r="W68" s="7" t="s">
        <v>235</v>
      </c>
      <c r="X68" s="7" t="s">
        <v>236</v>
      </c>
      <c r="Y68" s="7" t="s">
        <v>325</v>
      </c>
      <c r="Z68" s="7" t="s">
        <v>296</v>
      </c>
      <c r="AA68" s="7"/>
      <c r="AB68" s="7"/>
      <c r="AC68" s="7" t="s">
        <v>291</v>
      </c>
      <c r="AD68" s="7"/>
      <c r="AE68" s="7"/>
      <c r="AF68" s="7" t="s">
        <v>113</v>
      </c>
      <c r="AG68" s="7" t="s">
        <v>297</v>
      </c>
      <c r="AH68" s="7" t="s">
        <v>298</v>
      </c>
    </row>
    <row r="69" spans="1:37" ht="9.75" customHeight="1" x14ac:dyDescent="0.2">
      <c r="A69" s="7" t="s">
        <v>37</v>
      </c>
      <c r="B69" s="7" t="s">
        <v>38</v>
      </c>
      <c r="C69" s="7" t="s">
        <v>291</v>
      </c>
      <c r="D69" s="7" t="s">
        <v>326</v>
      </c>
      <c r="E69" s="8">
        <v>1</v>
      </c>
      <c r="F69" s="7" t="s">
        <v>293</v>
      </c>
      <c r="G69" s="7"/>
      <c r="H69" s="9"/>
      <c r="I69" s="9"/>
      <c r="J69" s="9"/>
      <c r="K69" s="9"/>
      <c r="L69" s="10">
        <v>8837</v>
      </c>
      <c r="M69" s="9"/>
      <c r="N69" s="9"/>
      <c r="O69" s="9"/>
      <c r="P69" s="10"/>
      <c r="Q69" s="10"/>
      <c r="R69" s="10"/>
      <c r="S69" s="7" t="s">
        <v>54</v>
      </c>
      <c r="T69" s="7" t="s">
        <v>300</v>
      </c>
      <c r="U69" s="7" t="s">
        <v>221</v>
      </c>
      <c r="V69" s="7" t="s">
        <v>45</v>
      </c>
      <c r="W69" s="7" t="s">
        <v>264</v>
      </c>
      <c r="X69" s="7" t="s">
        <v>265</v>
      </c>
      <c r="Y69" s="7" t="s">
        <v>327</v>
      </c>
      <c r="Z69" s="7" t="s">
        <v>296</v>
      </c>
      <c r="AA69" s="7"/>
      <c r="AB69" s="7"/>
      <c r="AC69" s="7" t="s">
        <v>291</v>
      </c>
      <c r="AD69" s="7"/>
      <c r="AE69" s="7"/>
      <c r="AF69" s="7" t="s">
        <v>113</v>
      </c>
      <c r="AG69" s="7" t="s">
        <v>297</v>
      </c>
      <c r="AH69" s="7" t="s">
        <v>298</v>
      </c>
    </row>
    <row r="70" spans="1:37" ht="9.75" customHeight="1" x14ac:dyDescent="0.2">
      <c r="A70" s="7" t="s">
        <v>37</v>
      </c>
      <c r="B70" s="7" t="s">
        <v>38</v>
      </c>
      <c r="C70" s="7" t="s">
        <v>291</v>
      </c>
      <c r="D70" s="7" t="s">
        <v>328</v>
      </c>
      <c r="E70" s="8">
        <v>1</v>
      </c>
      <c r="F70" s="7" t="s">
        <v>293</v>
      </c>
      <c r="G70" s="7"/>
      <c r="H70" s="9"/>
      <c r="I70" s="9"/>
      <c r="J70" s="9"/>
      <c r="K70" s="9"/>
      <c r="L70" s="10">
        <v>8150</v>
      </c>
      <c r="M70" s="9"/>
      <c r="N70" s="9"/>
      <c r="O70" s="9"/>
      <c r="P70" s="10"/>
      <c r="Q70" s="10"/>
      <c r="R70" s="10"/>
      <c r="S70" s="7" t="s">
        <v>54</v>
      </c>
      <c r="T70" s="7" t="s">
        <v>300</v>
      </c>
      <c r="U70" s="7" t="s">
        <v>221</v>
      </c>
      <c r="V70" s="7" t="s">
        <v>272</v>
      </c>
      <c r="W70" s="7" t="s">
        <v>273</v>
      </c>
      <c r="X70" s="7" t="s">
        <v>274</v>
      </c>
      <c r="Y70" s="7" t="s">
        <v>329</v>
      </c>
      <c r="Z70" s="7" t="s">
        <v>296</v>
      </c>
      <c r="AA70" s="7"/>
      <c r="AB70" s="7"/>
      <c r="AC70" s="7" t="s">
        <v>291</v>
      </c>
      <c r="AD70" s="7"/>
      <c r="AE70" s="7"/>
      <c r="AF70" s="7" t="s">
        <v>113</v>
      </c>
      <c r="AG70" s="7" t="s">
        <v>297</v>
      </c>
      <c r="AH70" s="7" t="s">
        <v>298</v>
      </c>
    </row>
    <row r="71" spans="1:37" ht="9.75" customHeight="1" x14ac:dyDescent="0.2">
      <c r="A71" s="7" t="s">
        <v>37</v>
      </c>
      <c r="B71" s="7" t="s">
        <v>38</v>
      </c>
      <c r="C71" s="7" t="s">
        <v>291</v>
      </c>
      <c r="D71" s="7" t="s">
        <v>330</v>
      </c>
      <c r="E71" s="8">
        <v>1</v>
      </c>
      <c r="F71" s="7" t="s">
        <v>293</v>
      </c>
      <c r="G71" s="7"/>
      <c r="H71" s="9"/>
      <c r="I71" s="9"/>
      <c r="J71" s="9"/>
      <c r="K71" s="9"/>
      <c r="L71" s="10">
        <v>9654</v>
      </c>
      <c r="M71" s="9"/>
      <c r="N71" s="9"/>
      <c r="O71" s="9"/>
      <c r="P71" s="10"/>
      <c r="Q71" s="10"/>
      <c r="R71" s="10"/>
      <c r="S71" s="7" t="s">
        <v>54</v>
      </c>
      <c r="T71" s="7" t="s">
        <v>300</v>
      </c>
      <c r="U71" s="7" t="s">
        <v>44</v>
      </c>
      <c r="V71" s="7" t="s">
        <v>281</v>
      </c>
      <c r="W71" s="7" t="s">
        <v>282</v>
      </c>
      <c r="X71" s="7" t="s">
        <v>283</v>
      </c>
      <c r="Y71" s="7" t="s">
        <v>331</v>
      </c>
      <c r="Z71" s="7" t="s">
        <v>296</v>
      </c>
      <c r="AA71" s="7"/>
      <c r="AB71" s="7"/>
      <c r="AC71" s="7" t="s">
        <v>291</v>
      </c>
      <c r="AD71" s="7"/>
      <c r="AE71" s="7"/>
      <c r="AF71" s="7" t="s">
        <v>113</v>
      </c>
      <c r="AG71" s="7" t="s">
        <v>297</v>
      </c>
      <c r="AH71" s="7" t="s">
        <v>298</v>
      </c>
    </row>
    <row r="72" spans="1:37" ht="9.75" customHeight="1" x14ac:dyDescent="0.2">
      <c r="A72" s="7" t="s">
        <v>37</v>
      </c>
      <c r="B72" s="7" t="s">
        <v>38</v>
      </c>
      <c r="C72" s="7" t="s">
        <v>291</v>
      </c>
      <c r="D72" s="7" t="s">
        <v>332</v>
      </c>
      <c r="E72" s="8">
        <v>1</v>
      </c>
      <c r="F72" s="7" t="s">
        <v>293</v>
      </c>
      <c r="G72" s="7"/>
      <c r="H72" s="9"/>
      <c r="I72" s="9"/>
      <c r="J72" s="9"/>
      <c r="K72" s="9"/>
      <c r="L72" s="10">
        <v>17536</v>
      </c>
      <c r="M72" s="9"/>
      <c r="N72" s="9"/>
      <c r="O72" s="9"/>
      <c r="P72" s="10">
        <v>239095</v>
      </c>
      <c r="Q72" s="10">
        <v>320000</v>
      </c>
      <c r="R72" s="10">
        <v>559095</v>
      </c>
      <c r="S72" s="7" t="s">
        <v>54</v>
      </c>
      <c r="T72" s="7" t="s">
        <v>300</v>
      </c>
      <c r="U72" s="7" t="s">
        <v>44</v>
      </c>
      <c r="V72" s="7" t="s">
        <v>281</v>
      </c>
      <c r="W72" s="7" t="s">
        <v>282</v>
      </c>
      <c r="X72" s="7" t="s">
        <v>333</v>
      </c>
      <c r="Y72" s="7" t="s">
        <v>334</v>
      </c>
      <c r="Z72" s="7" t="s">
        <v>296</v>
      </c>
      <c r="AA72" s="7"/>
      <c r="AB72" s="7"/>
      <c r="AC72" s="7" t="s">
        <v>291</v>
      </c>
      <c r="AD72" s="7"/>
      <c r="AE72" s="7"/>
      <c r="AF72" s="7" t="s">
        <v>113</v>
      </c>
      <c r="AG72" s="7" t="s">
        <v>297</v>
      </c>
      <c r="AH72" s="7" t="s">
        <v>298</v>
      </c>
    </row>
    <row r="73" spans="1:37" ht="9.75" customHeight="1" x14ac:dyDescent="0.2">
      <c r="A73" s="7" t="s">
        <v>37</v>
      </c>
      <c r="B73" s="7" t="s">
        <v>38</v>
      </c>
      <c r="C73" s="7" t="s">
        <v>291</v>
      </c>
      <c r="D73" s="7" t="s">
        <v>335</v>
      </c>
      <c r="E73" s="8">
        <v>5</v>
      </c>
      <c r="F73" s="7" t="s">
        <v>336</v>
      </c>
      <c r="G73" s="7"/>
      <c r="H73" s="9"/>
      <c r="I73" s="9"/>
      <c r="J73" s="9"/>
      <c r="K73" s="9"/>
      <c r="L73" s="10">
        <v>493</v>
      </c>
      <c r="M73" s="9"/>
      <c r="N73" s="9"/>
      <c r="O73" s="9"/>
      <c r="P73" s="10">
        <v>37390</v>
      </c>
      <c r="Q73" s="10">
        <v>0</v>
      </c>
      <c r="R73" s="10">
        <v>37390</v>
      </c>
      <c r="S73" s="7" t="s">
        <v>54</v>
      </c>
      <c r="T73" s="7" t="s">
        <v>300</v>
      </c>
      <c r="U73" s="7" t="s">
        <v>44</v>
      </c>
      <c r="V73" s="7" t="s">
        <v>281</v>
      </c>
      <c r="W73" s="7" t="s">
        <v>282</v>
      </c>
      <c r="X73" s="7" t="s">
        <v>333</v>
      </c>
      <c r="Y73" s="7" t="s">
        <v>337</v>
      </c>
      <c r="Z73" s="7" t="s">
        <v>296</v>
      </c>
      <c r="AA73" s="7"/>
      <c r="AB73" s="7"/>
      <c r="AC73" s="7" t="s">
        <v>291</v>
      </c>
      <c r="AD73" s="7"/>
      <c r="AE73" s="7"/>
      <c r="AF73" s="7" t="s">
        <v>113</v>
      </c>
      <c r="AG73" s="7" t="s">
        <v>297</v>
      </c>
      <c r="AH73" s="7" t="s">
        <v>298</v>
      </c>
    </row>
    <row r="74" spans="1:37" ht="9.75" customHeight="1" x14ac:dyDescent="0.2">
      <c r="A74" s="7" t="s">
        <v>37</v>
      </c>
      <c r="B74" s="7" t="s">
        <v>38</v>
      </c>
      <c r="C74" s="7" t="s">
        <v>291</v>
      </c>
      <c r="D74" s="7" t="s">
        <v>338</v>
      </c>
      <c r="E74" s="8">
        <v>1</v>
      </c>
      <c r="F74" s="7" t="s">
        <v>293</v>
      </c>
      <c r="G74" s="7"/>
      <c r="H74" s="9"/>
      <c r="I74" s="9"/>
      <c r="J74" s="9"/>
      <c r="K74" s="9"/>
      <c r="L74" s="10">
        <v>16657</v>
      </c>
      <c r="M74" s="9"/>
      <c r="N74" s="9"/>
      <c r="O74" s="9"/>
      <c r="P74" s="10"/>
      <c r="Q74" s="10"/>
      <c r="R74" s="10"/>
      <c r="S74" s="7" t="s">
        <v>54</v>
      </c>
      <c r="T74" s="7" t="s">
        <v>300</v>
      </c>
      <c r="U74" s="7"/>
      <c r="V74" s="7"/>
      <c r="W74" s="7"/>
      <c r="X74" s="7"/>
      <c r="Y74" s="7" t="s">
        <v>339</v>
      </c>
      <c r="Z74" s="7" t="s">
        <v>296</v>
      </c>
      <c r="AA74" s="7"/>
      <c r="AB74" s="7"/>
      <c r="AC74" s="7" t="s">
        <v>291</v>
      </c>
      <c r="AD74" s="7"/>
      <c r="AE74" s="7"/>
      <c r="AF74" s="7" t="s">
        <v>113</v>
      </c>
      <c r="AG74" s="7" t="s">
        <v>297</v>
      </c>
      <c r="AH74" s="7" t="s">
        <v>298</v>
      </c>
    </row>
    <row r="75" spans="1:37" ht="9.75" customHeight="1" x14ac:dyDescent="0.2">
      <c r="A75" s="7" t="s">
        <v>37</v>
      </c>
      <c r="B75" s="7" t="s">
        <v>38</v>
      </c>
      <c r="C75" s="7" t="s">
        <v>340</v>
      </c>
      <c r="D75" s="7" t="s">
        <v>341</v>
      </c>
      <c r="E75" s="8">
        <v>1</v>
      </c>
      <c r="F75" s="7" t="s">
        <v>41</v>
      </c>
      <c r="G75" s="7" t="s">
        <v>342</v>
      </c>
      <c r="H75" s="9"/>
      <c r="I75" s="10">
        <v>628600</v>
      </c>
      <c r="J75" s="10">
        <v>528039</v>
      </c>
      <c r="K75" s="9"/>
      <c r="L75" s="10">
        <v>0</v>
      </c>
      <c r="M75" s="10">
        <v>239095</v>
      </c>
      <c r="N75" s="10">
        <v>239095</v>
      </c>
      <c r="O75" s="9"/>
      <c r="P75" s="10">
        <v>239095</v>
      </c>
      <c r="Q75" s="10">
        <v>320000</v>
      </c>
      <c r="R75" s="10">
        <v>559095</v>
      </c>
      <c r="S75" s="7"/>
      <c r="T75" s="7"/>
      <c r="U75" s="7" t="s">
        <v>44</v>
      </c>
      <c r="V75" s="7" t="s">
        <v>281</v>
      </c>
      <c r="W75" s="7" t="s">
        <v>282</v>
      </c>
      <c r="X75" s="7" t="s">
        <v>333</v>
      </c>
      <c r="Y75" s="7" t="s">
        <v>343</v>
      </c>
      <c r="Z75" s="7" t="s">
        <v>344</v>
      </c>
      <c r="AA75" s="7"/>
      <c r="AB75" s="7"/>
      <c r="AC75" s="7" t="s">
        <v>340</v>
      </c>
      <c r="AD75" s="7"/>
      <c r="AE75" s="7"/>
      <c r="AF75" s="7" t="s">
        <v>50</v>
      </c>
      <c r="AG75" s="7" t="s">
        <v>175</v>
      </c>
      <c r="AH75" s="7" t="s">
        <v>345</v>
      </c>
      <c r="AI75">
        <v>733895</v>
      </c>
      <c r="AK75">
        <v>733895</v>
      </c>
    </row>
    <row r="76" spans="1:37" ht="9.75" customHeight="1" x14ac:dyDescent="0.2">
      <c r="A76" s="7" t="s">
        <v>37</v>
      </c>
      <c r="B76" s="7" t="s">
        <v>38</v>
      </c>
      <c r="C76" s="7" t="s">
        <v>346</v>
      </c>
      <c r="D76" s="7" t="s">
        <v>347</v>
      </c>
      <c r="E76" s="8">
        <v>1</v>
      </c>
      <c r="F76" s="7" t="s">
        <v>41</v>
      </c>
      <c r="G76" s="7" t="s">
        <v>348</v>
      </c>
      <c r="H76" s="9"/>
      <c r="I76" s="10">
        <v>93815</v>
      </c>
      <c r="J76" s="10">
        <v>41426</v>
      </c>
      <c r="K76" s="9"/>
      <c r="L76" s="10">
        <v>34602</v>
      </c>
      <c r="M76" s="10">
        <v>0</v>
      </c>
      <c r="N76" s="10">
        <v>34602</v>
      </c>
      <c r="O76" s="9"/>
      <c r="P76" s="10"/>
      <c r="Q76" s="10">
        <v>174602</v>
      </c>
      <c r="R76" s="10">
        <v>174602</v>
      </c>
      <c r="S76" s="7"/>
      <c r="T76" s="7"/>
      <c r="U76" s="7"/>
      <c r="V76" s="7"/>
      <c r="W76" s="7"/>
      <c r="X76" s="7"/>
      <c r="Y76" s="7" t="s">
        <v>349</v>
      </c>
      <c r="Z76" s="7" t="s">
        <v>350</v>
      </c>
      <c r="AA76" s="7"/>
      <c r="AB76" s="7"/>
      <c r="AC76" s="7" t="s">
        <v>346</v>
      </c>
      <c r="AD76" s="7"/>
      <c r="AE76" s="7"/>
      <c r="AF76" s="7" t="s">
        <v>50</v>
      </c>
      <c r="AG76" s="7" t="s">
        <v>253</v>
      </c>
      <c r="AH76" s="7" t="s">
        <v>351</v>
      </c>
      <c r="AI76">
        <v>177079</v>
      </c>
      <c r="AK76">
        <v>177079</v>
      </c>
    </row>
    <row r="77" spans="1:37" ht="9.75" customHeight="1" x14ac:dyDescent="0.2">
      <c r="A77" s="7" t="s">
        <v>37</v>
      </c>
      <c r="B77" s="7" t="s">
        <v>38</v>
      </c>
      <c r="C77" s="7" t="s">
        <v>352</v>
      </c>
      <c r="D77" s="7" t="s">
        <v>353</v>
      </c>
      <c r="E77" s="8">
        <v>1</v>
      </c>
      <c r="F77" s="7" t="s">
        <v>41</v>
      </c>
      <c r="G77" s="7" t="s">
        <v>354</v>
      </c>
      <c r="H77" s="9"/>
      <c r="I77" s="10">
        <v>72000</v>
      </c>
      <c r="J77" s="10">
        <v>76168</v>
      </c>
      <c r="K77" s="9"/>
      <c r="L77" s="10">
        <v>0</v>
      </c>
      <c r="M77" s="10">
        <v>0</v>
      </c>
      <c r="N77" s="10">
        <v>0</v>
      </c>
      <c r="O77" s="9"/>
      <c r="P77" s="10"/>
      <c r="Q77" s="10">
        <v>79000</v>
      </c>
      <c r="R77" s="10">
        <v>79000</v>
      </c>
      <c r="S77" s="7"/>
      <c r="T77" s="7"/>
      <c r="U77" s="7" t="s">
        <v>44</v>
      </c>
      <c r="V77" s="7" t="s">
        <v>355</v>
      </c>
      <c r="W77" s="7" t="s">
        <v>356</v>
      </c>
      <c r="X77" s="7" t="s">
        <v>357</v>
      </c>
      <c r="Y77" s="7" t="s">
        <v>358</v>
      </c>
      <c r="Z77" s="7" t="s">
        <v>359</v>
      </c>
      <c r="AA77" s="7"/>
      <c r="AB77" s="7"/>
      <c r="AC77" s="7" t="s">
        <v>352</v>
      </c>
      <c r="AD77" s="7"/>
      <c r="AE77" s="7"/>
      <c r="AF77" s="7" t="s">
        <v>50</v>
      </c>
      <c r="AG77" s="7" t="s">
        <v>253</v>
      </c>
      <c r="AH77" s="7" t="s">
        <v>360</v>
      </c>
      <c r="AI77">
        <v>83000</v>
      </c>
      <c r="AK77">
        <v>83000</v>
      </c>
    </row>
    <row r="78" spans="1:37" ht="9.75" customHeight="1" x14ac:dyDescent="0.2">
      <c r="A78" s="7" t="s">
        <v>37</v>
      </c>
      <c r="B78" s="7" t="s">
        <v>38</v>
      </c>
      <c r="C78" s="7" t="s">
        <v>361</v>
      </c>
      <c r="D78" s="7" t="s">
        <v>362</v>
      </c>
      <c r="E78" s="8">
        <v>5</v>
      </c>
      <c r="F78" s="7" t="s">
        <v>336</v>
      </c>
      <c r="G78" s="7" t="s">
        <v>363</v>
      </c>
      <c r="H78" s="9"/>
      <c r="I78" s="10">
        <v>15286</v>
      </c>
      <c r="J78" s="10">
        <v>45087</v>
      </c>
      <c r="K78" s="9"/>
      <c r="L78" s="10">
        <v>0</v>
      </c>
      <c r="M78" s="10">
        <v>37390</v>
      </c>
      <c r="N78" s="10">
        <v>37390</v>
      </c>
      <c r="O78" s="9"/>
      <c r="P78" s="10">
        <v>37390</v>
      </c>
      <c r="Q78" s="10">
        <v>0</v>
      </c>
      <c r="R78" s="10">
        <v>37390</v>
      </c>
      <c r="S78" s="7"/>
      <c r="T78" s="7"/>
      <c r="U78" s="7" t="s">
        <v>44</v>
      </c>
      <c r="V78" s="7" t="s">
        <v>281</v>
      </c>
      <c r="W78" s="7" t="s">
        <v>282</v>
      </c>
      <c r="X78" s="7" t="s">
        <v>333</v>
      </c>
      <c r="Y78" s="7" t="s">
        <v>364</v>
      </c>
      <c r="Z78" s="7" t="s">
        <v>365</v>
      </c>
      <c r="AA78" s="7"/>
      <c r="AB78" s="7"/>
      <c r="AC78" s="7" t="s">
        <v>361</v>
      </c>
      <c r="AD78" s="7"/>
      <c r="AE78" s="7"/>
      <c r="AF78" s="7" t="s">
        <v>113</v>
      </c>
      <c r="AG78" s="7" t="s">
        <v>366</v>
      </c>
      <c r="AH78" s="7" t="s">
        <v>367</v>
      </c>
      <c r="AI78">
        <v>37998</v>
      </c>
      <c r="AK78">
        <v>37998</v>
      </c>
    </row>
    <row r="79" spans="1:37" ht="9.75" customHeight="1" x14ac:dyDescent="0.2">
      <c r="A79" s="7" t="s">
        <v>37</v>
      </c>
      <c r="B79" s="7" t="s">
        <v>38</v>
      </c>
      <c r="C79" s="7" t="s">
        <v>368</v>
      </c>
      <c r="D79" s="7" t="s">
        <v>369</v>
      </c>
      <c r="E79" s="8">
        <v>1</v>
      </c>
      <c r="F79" s="7" t="s">
        <v>41</v>
      </c>
      <c r="G79" s="7" t="s">
        <v>370</v>
      </c>
      <c r="H79" s="9"/>
      <c r="I79" s="10">
        <v>142008</v>
      </c>
      <c r="J79" s="10">
        <v>204939</v>
      </c>
      <c r="K79" s="9"/>
      <c r="L79" s="10">
        <v>45000</v>
      </c>
      <c r="M79" s="10">
        <v>100000</v>
      </c>
      <c r="N79" s="10">
        <v>145000</v>
      </c>
      <c r="O79" s="9"/>
      <c r="P79" s="10">
        <v>0</v>
      </c>
      <c r="Q79" s="10">
        <v>290000</v>
      </c>
      <c r="R79" s="10">
        <v>290000</v>
      </c>
      <c r="S79" s="7"/>
      <c r="T79" s="7"/>
      <c r="U79" s="7" t="s">
        <v>221</v>
      </c>
      <c r="V79" s="7" t="s">
        <v>272</v>
      </c>
      <c r="W79" s="7" t="s">
        <v>288</v>
      </c>
      <c r="X79" s="7" t="s">
        <v>289</v>
      </c>
      <c r="Y79" s="7" t="s">
        <v>371</v>
      </c>
      <c r="Z79" s="7" t="s">
        <v>372</v>
      </c>
      <c r="AA79" s="7"/>
      <c r="AB79" s="7"/>
      <c r="AC79" s="7" t="s">
        <v>368</v>
      </c>
      <c r="AD79" s="7"/>
      <c r="AE79" s="7" t="s">
        <v>207</v>
      </c>
      <c r="AF79" s="7" t="s">
        <v>50</v>
      </c>
      <c r="AG79" s="7" t="s">
        <v>253</v>
      </c>
      <c r="AH79" s="7" t="s">
        <v>373</v>
      </c>
      <c r="AJ79">
        <v>130000</v>
      </c>
      <c r="AK79">
        <v>130000</v>
      </c>
    </row>
    <row r="80" spans="1:37" ht="9.75" customHeight="1" x14ac:dyDescent="0.2">
      <c r="A80" s="7" t="s">
        <v>37</v>
      </c>
      <c r="B80" s="7" t="s">
        <v>38</v>
      </c>
      <c r="C80" s="7" t="s">
        <v>374</v>
      </c>
      <c r="D80" s="7" t="s">
        <v>375</v>
      </c>
      <c r="E80" s="8">
        <v>1</v>
      </c>
      <c r="F80" s="7" t="s">
        <v>41</v>
      </c>
      <c r="G80" s="7"/>
      <c r="H80" s="9"/>
      <c r="I80" s="9"/>
      <c r="J80" s="10">
        <v>0</v>
      </c>
      <c r="K80" s="9"/>
      <c r="L80" s="10">
        <v>1214295</v>
      </c>
      <c r="M80" s="10">
        <v>476551</v>
      </c>
      <c r="N80" s="10">
        <v>1690846</v>
      </c>
      <c r="O80" s="9"/>
      <c r="P80" s="10">
        <v>0</v>
      </c>
      <c r="Q80" s="10">
        <v>1676587</v>
      </c>
      <c r="R80" s="10">
        <v>1676587</v>
      </c>
      <c r="S80" s="7"/>
      <c r="T80" s="7"/>
      <c r="U80" s="7"/>
      <c r="V80" s="7"/>
      <c r="W80" s="7"/>
      <c r="X80" s="7"/>
      <c r="Y80" s="7" t="s">
        <v>376</v>
      </c>
      <c r="Z80" s="7" t="s">
        <v>377</v>
      </c>
      <c r="AA80" s="7"/>
      <c r="AB80" s="7"/>
      <c r="AC80" s="7" t="s">
        <v>374</v>
      </c>
      <c r="AD80" s="7"/>
      <c r="AE80" s="7"/>
      <c r="AF80" s="7" t="s">
        <v>50</v>
      </c>
      <c r="AG80" s="7" t="s">
        <v>253</v>
      </c>
      <c r="AH80" s="7" t="s">
        <v>378</v>
      </c>
      <c r="AI80">
        <v>2611990</v>
      </c>
      <c r="AK80">
        <v>2611990</v>
      </c>
    </row>
    <row r="81" spans="1:34" ht="9.75" customHeight="1" x14ac:dyDescent="0.2">
      <c r="A81" s="7" t="s">
        <v>37</v>
      </c>
      <c r="B81" s="7" t="s">
        <v>38</v>
      </c>
      <c r="C81" s="7"/>
      <c r="D81" s="7" t="s">
        <v>379</v>
      </c>
      <c r="E81" s="8">
        <v>1</v>
      </c>
      <c r="F81" s="7" t="s">
        <v>41</v>
      </c>
      <c r="G81" s="7"/>
      <c r="H81" s="9"/>
      <c r="I81" s="9"/>
      <c r="J81" s="9"/>
      <c r="K81" s="9"/>
      <c r="L81" s="10">
        <v>19238</v>
      </c>
      <c r="M81" s="10">
        <v>76802</v>
      </c>
      <c r="N81" s="10">
        <v>96040</v>
      </c>
      <c r="O81" s="9"/>
      <c r="P81" s="10"/>
      <c r="Q81" s="10"/>
      <c r="R81" s="10"/>
      <c r="S81" s="7" t="s">
        <v>54</v>
      </c>
      <c r="T81" s="7" t="s">
        <v>380</v>
      </c>
      <c r="U81" s="7" t="s">
        <v>221</v>
      </c>
      <c r="V81" s="7" t="s">
        <v>45</v>
      </c>
      <c r="W81" s="7" t="s">
        <v>235</v>
      </c>
      <c r="X81" s="7" t="s">
        <v>236</v>
      </c>
      <c r="Y81" s="7" t="s">
        <v>381</v>
      </c>
      <c r="Z81" s="7" t="s">
        <v>243</v>
      </c>
      <c r="AA81" s="7"/>
      <c r="AB81" s="7"/>
      <c r="AC81" s="7" t="s">
        <v>374</v>
      </c>
      <c r="AD81" s="7"/>
      <c r="AE81" s="7"/>
      <c r="AF81" s="7" t="s">
        <v>50</v>
      </c>
      <c r="AG81" s="7" t="s">
        <v>253</v>
      </c>
      <c r="AH81" s="7" t="s">
        <v>378</v>
      </c>
    </row>
    <row r="82" spans="1:34" ht="9.75" customHeight="1" x14ac:dyDescent="0.2">
      <c r="A82" s="7" t="s">
        <v>37</v>
      </c>
      <c r="B82" s="7" t="s">
        <v>38</v>
      </c>
      <c r="C82" s="7"/>
      <c r="D82" s="7" t="s">
        <v>382</v>
      </c>
      <c r="E82" s="8">
        <v>1</v>
      </c>
      <c r="F82" s="7" t="s">
        <v>41</v>
      </c>
      <c r="G82" s="7"/>
      <c r="H82" s="9"/>
      <c r="I82" s="9"/>
      <c r="J82" s="9"/>
      <c r="K82" s="9"/>
      <c r="L82" s="10">
        <v>4650</v>
      </c>
      <c r="M82" s="10">
        <v>14259</v>
      </c>
      <c r="N82" s="10">
        <v>18909</v>
      </c>
      <c r="O82" s="9"/>
      <c r="P82" s="10"/>
      <c r="Q82" s="10"/>
      <c r="R82" s="10"/>
      <c r="S82" s="7" t="s">
        <v>54</v>
      </c>
      <c r="T82" s="7" t="s">
        <v>380</v>
      </c>
      <c r="U82" s="7" t="s">
        <v>221</v>
      </c>
      <c r="V82" s="7" t="s">
        <v>45</v>
      </c>
      <c r="W82" s="7" t="s">
        <v>264</v>
      </c>
      <c r="X82" s="7" t="s">
        <v>265</v>
      </c>
      <c r="Y82" s="7" t="s">
        <v>383</v>
      </c>
      <c r="Z82" s="7" t="s">
        <v>243</v>
      </c>
      <c r="AA82" s="7"/>
      <c r="AB82" s="7"/>
      <c r="AC82" s="7" t="s">
        <v>374</v>
      </c>
      <c r="AD82" s="7"/>
      <c r="AE82" s="7"/>
      <c r="AF82" s="7" t="s">
        <v>50</v>
      </c>
      <c r="AG82" s="7" t="s">
        <v>253</v>
      </c>
      <c r="AH82" s="7" t="s">
        <v>378</v>
      </c>
    </row>
    <row r="83" spans="1:34" ht="9.75" customHeight="1" x14ac:dyDescent="0.2">
      <c r="A83" s="7" t="s">
        <v>37</v>
      </c>
      <c r="B83" s="7" t="s">
        <v>38</v>
      </c>
      <c r="C83" s="7"/>
      <c r="D83" s="7" t="s">
        <v>384</v>
      </c>
      <c r="E83" s="8">
        <v>1</v>
      </c>
      <c r="F83" s="7" t="s">
        <v>41</v>
      </c>
      <c r="G83" s="7"/>
      <c r="H83" s="9"/>
      <c r="I83" s="9"/>
      <c r="J83" s="9"/>
      <c r="K83" s="9"/>
      <c r="L83" s="10">
        <v>0</v>
      </c>
      <c r="M83" s="10">
        <v>93603</v>
      </c>
      <c r="N83" s="10">
        <v>93603</v>
      </c>
      <c r="O83" s="9"/>
      <c r="P83" s="10"/>
      <c r="Q83" s="10"/>
      <c r="R83" s="10"/>
      <c r="S83" s="7" t="s">
        <v>54</v>
      </c>
      <c r="T83" s="7" t="s">
        <v>380</v>
      </c>
      <c r="U83" s="7" t="s">
        <v>44</v>
      </c>
      <c r="V83" s="7" t="s">
        <v>45</v>
      </c>
      <c r="W83" s="7" t="s">
        <v>171</v>
      </c>
      <c r="X83" s="7" t="s">
        <v>194</v>
      </c>
      <c r="Y83" s="7" t="s">
        <v>385</v>
      </c>
      <c r="Z83" s="7" t="s">
        <v>243</v>
      </c>
      <c r="AA83" s="7"/>
      <c r="AB83" s="7"/>
      <c r="AC83" s="7" t="s">
        <v>374</v>
      </c>
      <c r="AD83" s="7"/>
      <c r="AE83" s="7"/>
      <c r="AF83" s="7" t="s">
        <v>50</v>
      </c>
      <c r="AG83" s="7" t="s">
        <v>253</v>
      </c>
      <c r="AH83" s="7" t="s">
        <v>378</v>
      </c>
    </row>
    <row r="84" spans="1:34" ht="9.75" customHeight="1" x14ac:dyDescent="0.2">
      <c r="A84" s="7" t="s">
        <v>37</v>
      </c>
      <c r="B84" s="7" t="s">
        <v>38</v>
      </c>
      <c r="C84" s="7"/>
      <c r="D84" s="7" t="s">
        <v>386</v>
      </c>
      <c r="E84" s="8">
        <v>1</v>
      </c>
      <c r="F84" s="7" t="s">
        <v>41</v>
      </c>
      <c r="G84" s="7"/>
      <c r="H84" s="9"/>
      <c r="I84" s="9"/>
      <c r="J84" s="9"/>
      <c r="K84" s="9"/>
      <c r="L84" s="10">
        <v>150000</v>
      </c>
      <c r="M84" s="9"/>
      <c r="N84" s="10">
        <v>150000</v>
      </c>
      <c r="O84" s="9"/>
      <c r="P84" s="10"/>
      <c r="Q84" s="10"/>
      <c r="R84" s="10"/>
      <c r="S84" s="7" t="s">
        <v>54</v>
      </c>
      <c r="T84" s="7" t="s">
        <v>380</v>
      </c>
      <c r="U84" s="7" t="s">
        <v>44</v>
      </c>
      <c r="V84" s="7" t="s">
        <v>45</v>
      </c>
      <c r="W84" s="7" t="s">
        <v>67</v>
      </c>
      <c r="X84" s="7" t="s">
        <v>68</v>
      </c>
      <c r="Y84" s="7" t="s">
        <v>387</v>
      </c>
      <c r="Z84" s="7" t="s">
        <v>243</v>
      </c>
      <c r="AA84" s="7"/>
      <c r="AB84" s="7"/>
      <c r="AC84" s="7" t="s">
        <v>374</v>
      </c>
      <c r="AD84" s="7"/>
      <c r="AE84" s="7"/>
      <c r="AF84" s="7" t="s">
        <v>50</v>
      </c>
      <c r="AG84" s="7" t="s">
        <v>253</v>
      </c>
      <c r="AH84" s="7" t="s">
        <v>378</v>
      </c>
    </row>
    <row r="85" spans="1:34" ht="9.75" customHeight="1" x14ac:dyDescent="0.2">
      <c r="A85" s="7" t="s">
        <v>37</v>
      </c>
      <c r="B85" s="7" t="s">
        <v>38</v>
      </c>
      <c r="C85" s="7"/>
      <c r="D85" s="7" t="s">
        <v>388</v>
      </c>
      <c r="E85" s="8">
        <v>1</v>
      </c>
      <c r="F85" s="7" t="s">
        <v>41</v>
      </c>
      <c r="G85" s="7"/>
      <c r="H85" s="9"/>
      <c r="I85" s="9"/>
      <c r="J85" s="9"/>
      <c r="K85" s="9"/>
      <c r="L85" s="10">
        <v>510415</v>
      </c>
      <c r="M85" s="9"/>
      <c r="N85" s="10">
        <v>510415</v>
      </c>
      <c r="O85" s="9"/>
      <c r="P85" s="10"/>
      <c r="Q85" s="10"/>
      <c r="R85" s="10"/>
      <c r="S85" s="7" t="s">
        <v>54</v>
      </c>
      <c r="T85" s="7" t="s">
        <v>380</v>
      </c>
      <c r="U85" s="7" t="s">
        <v>44</v>
      </c>
      <c r="V85" s="7" t="s">
        <v>45</v>
      </c>
      <c r="W85" s="7" t="s">
        <v>46</v>
      </c>
      <c r="X85" s="7" t="s">
        <v>90</v>
      </c>
      <c r="Y85" s="7" t="s">
        <v>389</v>
      </c>
      <c r="Z85" s="7" t="s">
        <v>243</v>
      </c>
      <c r="AA85" s="7"/>
      <c r="AB85" s="7"/>
      <c r="AC85" s="7" t="s">
        <v>374</v>
      </c>
      <c r="AD85" s="7"/>
      <c r="AE85" s="7"/>
      <c r="AF85" s="7" t="s">
        <v>50</v>
      </c>
      <c r="AG85" s="7" t="s">
        <v>253</v>
      </c>
      <c r="AH85" s="7" t="s">
        <v>378</v>
      </c>
    </row>
    <row r="86" spans="1:34" ht="9.75" customHeight="1" x14ac:dyDescent="0.2">
      <c r="A86" s="7" t="s">
        <v>37</v>
      </c>
      <c r="B86" s="7" t="s">
        <v>38</v>
      </c>
      <c r="C86" s="7"/>
      <c r="D86" s="7" t="s">
        <v>390</v>
      </c>
      <c r="E86" s="8">
        <v>1</v>
      </c>
      <c r="F86" s="7" t="s">
        <v>41</v>
      </c>
      <c r="G86" s="7"/>
      <c r="H86" s="9"/>
      <c r="I86" s="9"/>
      <c r="J86" s="9"/>
      <c r="K86" s="9"/>
      <c r="L86" s="10">
        <v>8400</v>
      </c>
      <c r="M86" s="10">
        <v>21600</v>
      </c>
      <c r="N86" s="10">
        <v>30000</v>
      </c>
      <c r="O86" s="9"/>
      <c r="P86" s="10"/>
      <c r="Q86" s="10"/>
      <c r="R86" s="10"/>
      <c r="S86" s="7" t="s">
        <v>54</v>
      </c>
      <c r="T86" s="7" t="s">
        <v>380</v>
      </c>
      <c r="U86" s="7" t="s">
        <v>221</v>
      </c>
      <c r="V86" s="7" t="s">
        <v>45</v>
      </c>
      <c r="W86" s="7" t="s">
        <v>249</v>
      </c>
      <c r="X86" s="7" t="s">
        <v>250</v>
      </c>
      <c r="Y86" s="7" t="s">
        <v>391</v>
      </c>
      <c r="Z86" s="7" t="s">
        <v>243</v>
      </c>
      <c r="AA86" s="7"/>
      <c r="AB86" s="7"/>
      <c r="AC86" s="7" t="s">
        <v>374</v>
      </c>
      <c r="AD86" s="7"/>
      <c r="AE86" s="7"/>
      <c r="AF86" s="7" t="s">
        <v>50</v>
      </c>
      <c r="AG86" s="7" t="s">
        <v>253</v>
      </c>
      <c r="AH86" s="7" t="s">
        <v>378</v>
      </c>
    </row>
    <row r="87" spans="1:34" ht="9.75" customHeight="1" x14ac:dyDescent="0.2">
      <c r="A87" s="7" t="s">
        <v>37</v>
      </c>
      <c r="B87" s="7" t="s">
        <v>38</v>
      </c>
      <c r="C87" s="7"/>
      <c r="D87" s="7" t="s">
        <v>392</v>
      </c>
      <c r="E87" s="8">
        <v>5</v>
      </c>
      <c r="F87" s="7" t="s">
        <v>109</v>
      </c>
      <c r="G87" s="7"/>
      <c r="H87" s="9"/>
      <c r="I87" s="9"/>
      <c r="J87" s="9"/>
      <c r="K87" s="9"/>
      <c r="L87" s="10">
        <v>483100</v>
      </c>
      <c r="M87" s="9"/>
      <c r="N87" s="10">
        <v>483100</v>
      </c>
      <c r="O87" s="9"/>
      <c r="P87" s="10"/>
      <c r="Q87" s="10"/>
      <c r="R87" s="10"/>
      <c r="S87" s="7" t="s">
        <v>54</v>
      </c>
      <c r="T87" s="7" t="s">
        <v>380</v>
      </c>
      <c r="U87" s="7" t="s">
        <v>44</v>
      </c>
      <c r="V87" s="7" t="s">
        <v>45</v>
      </c>
      <c r="W87" s="7" t="s">
        <v>67</v>
      </c>
      <c r="X87" s="7" t="s">
        <v>68</v>
      </c>
      <c r="Y87" s="7" t="s">
        <v>393</v>
      </c>
      <c r="Z87" s="7" t="s">
        <v>243</v>
      </c>
      <c r="AA87" s="7"/>
      <c r="AB87" s="7"/>
      <c r="AC87" s="7" t="s">
        <v>374</v>
      </c>
      <c r="AD87" s="7"/>
      <c r="AE87" s="7"/>
      <c r="AF87" s="7" t="s">
        <v>50</v>
      </c>
      <c r="AG87" s="7" t="s">
        <v>253</v>
      </c>
      <c r="AH87" s="7" t="s">
        <v>378</v>
      </c>
    </row>
    <row r="88" spans="1:34" ht="9.75" customHeight="1" x14ac:dyDescent="0.2">
      <c r="A88" s="7" t="s">
        <v>37</v>
      </c>
      <c r="B88" s="7" t="s">
        <v>38</v>
      </c>
      <c r="C88" s="7"/>
      <c r="D88" s="7" t="s">
        <v>394</v>
      </c>
      <c r="E88" s="8">
        <v>1</v>
      </c>
      <c r="F88" s="7" t="s">
        <v>41</v>
      </c>
      <c r="G88" s="7"/>
      <c r="H88" s="9"/>
      <c r="I88" s="9"/>
      <c r="J88" s="9"/>
      <c r="K88" s="9"/>
      <c r="L88" s="10">
        <v>5766</v>
      </c>
      <c r="M88" s="9"/>
      <c r="N88" s="10">
        <v>5766</v>
      </c>
      <c r="O88" s="9"/>
      <c r="P88" s="10"/>
      <c r="Q88" s="10"/>
      <c r="R88" s="10"/>
      <c r="S88" s="7" t="s">
        <v>54</v>
      </c>
      <c r="T88" s="7" t="s">
        <v>380</v>
      </c>
      <c r="U88" s="7" t="s">
        <v>44</v>
      </c>
      <c r="V88" s="7" t="s">
        <v>45</v>
      </c>
      <c r="W88" s="7" t="s">
        <v>130</v>
      </c>
      <c r="X88" s="7" t="s">
        <v>156</v>
      </c>
      <c r="Y88" s="7" t="s">
        <v>395</v>
      </c>
      <c r="Z88" s="7" t="s">
        <v>243</v>
      </c>
      <c r="AA88" s="7"/>
      <c r="AB88" s="7"/>
      <c r="AC88" s="7" t="s">
        <v>374</v>
      </c>
      <c r="AD88" s="7"/>
      <c r="AE88" s="7"/>
      <c r="AF88" s="7" t="s">
        <v>50</v>
      </c>
      <c r="AG88" s="7" t="s">
        <v>253</v>
      </c>
      <c r="AH88" s="7" t="s">
        <v>378</v>
      </c>
    </row>
    <row r="89" spans="1:34" ht="9.75" customHeight="1" x14ac:dyDescent="0.2">
      <c r="A89" s="7" t="s">
        <v>37</v>
      </c>
      <c r="B89" s="7" t="s">
        <v>38</v>
      </c>
      <c r="C89" s="7"/>
      <c r="D89" s="7" t="s">
        <v>396</v>
      </c>
      <c r="E89" s="8">
        <v>1</v>
      </c>
      <c r="F89" s="7" t="s">
        <v>41</v>
      </c>
      <c r="G89" s="7"/>
      <c r="H89" s="9"/>
      <c r="I89" s="9"/>
      <c r="J89" s="9"/>
      <c r="K89" s="9"/>
      <c r="L89" s="10">
        <v>11231</v>
      </c>
      <c r="M89" s="9"/>
      <c r="N89" s="10">
        <v>11231</v>
      </c>
      <c r="O89" s="9"/>
      <c r="P89" s="10"/>
      <c r="Q89" s="10"/>
      <c r="R89" s="10"/>
      <c r="S89" s="7" t="s">
        <v>54</v>
      </c>
      <c r="T89" s="7" t="s">
        <v>380</v>
      </c>
      <c r="U89" s="7" t="s">
        <v>221</v>
      </c>
      <c r="V89" s="7" t="s">
        <v>45</v>
      </c>
      <c r="W89" s="7" t="s">
        <v>211</v>
      </c>
      <c r="X89" s="7" t="s">
        <v>229</v>
      </c>
      <c r="Y89" s="7" t="s">
        <v>397</v>
      </c>
      <c r="Z89" s="7" t="s">
        <v>243</v>
      </c>
      <c r="AA89" s="7"/>
      <c r="AB89" s="7"/>
      <c r="AC89" s="7" t="s">
        <v>374</v>
      </c>
      <c r="AD89" s="7"/>
      <c r="AE89" s="7"/>
      <c r="AF89" s="7" t="s">
        <v>50</v>
      </c>
      <c r="AG89" s="7" t="s">
        <v>253</v>
      </c>
      <c r="AH89" s="7" t="s">
        <v>378</v>
      </c>
    </row>
    <row r="90" spans="1:34" ht="9.75" customHeight="1" x14ac:dyDescent="0.2">
      <c r="A90" s="7" t="s">
        <v>37</v>
      </c>
      <c r="B90" s="7" t="s">
        <v>38</v>
      </c>
      <c r="C90" s="7"/>
      <c r="D90" s="7" t="s">
        <v>398</v>
      </c>
      <c r="E90" s="8">
        <v>1</v>
      </c>
      <c r="F90" s="7" t="s">
        <v>41</v>
      </c>
      <c r="G90" s="7"/>
      <c r="H90" s="9"/>
      <c r="I90" s="9"/>
      <c r="J90" s="9"/>
      <c r="K90" s="9"/>
      <c r="L90" s="10">
        <v>0</v>
      </c>
      <c r="M90" s="10">
        <v>176845</v>
      </c>
      <c r="N90" s="10">
        <v>176845</v>
      </c>
      <c r="O90" s="9"/>
      <c r="P90" s="10"/>
      <c r="Q90" s="10"/>
      <c r="R90" s="10"/>
      <c r="S90" s="7" t="s">
        <v>54</v>
      </c>
      <c r="T90" s="7" t="s">
        <v>380</v>
      </c>
      <c r="U90" s="7" t="s">
        <v>44</v>
      </c>
      <c r="V90" s="7" t="s">
        <v>45</v>
      </c>
      <c r="W90" s="7" t="s">
        <v>130</v>
      </c>
      <c r="X90" s="7" t="s">
        <v>131</v>
      </c>
      <c r="Y90" s="7" t="s">
        <v>399</v>
      </c>
      <c r="Z90" s="7" t="s">
        <v>243</v>
      </c>
      <c r="AA90" s="7"/>
      <c r="AB90" s="7"/>
      <c r="AC90" s="7" t="s">
        <v>374</v>
      </c>
      <c r="AD90" s="7"/>
      <c r="AE90" s="7"/>
      <c r="AF90" s="7" t="s">
        <v>50</v>
      </c>
      <c r="AG90" s="7" t="s">
        <v>253</v>
      </c>
      <c r="AH90" s="7" t="s">
        <v>378</v>
      </c>
    </row>
    <row r="91" spans="1:34" ht="9.75" customHeight="1" x14ac:dyDescent="0.2">
      <c r="A91" s="7" t="s">
        <v>37</v>
      </c>
      <c r="B91" s="7" t="s">
        <v>38</v>
      </c>
      <c r="C91" s="7"/>
      <c r="D91" s="7" t="s">
        <v>400</v>
      </c>
      <c r="E91" s="8">
        <v>1</v>
      </c>
      <c r="F91" s="7" t="s">
        <v>41</v>
      </c>
      <c r="G91" s="7"/>
      <c r="H91" s="9"/>
      <c r="I91" s="9"/>
      <c r="J91" s="9"/>
      <c r="K91" s="9"/>
      <c r="L91" s="10">
        <v>0</v>
      </c>
      <c r="M91" s="10">
        <v>93442</v>
      </c>
      <c r="N91" s="10">
        <v>93442</v>
      </c>
      <c r="O91" s="9"/>
      <c r="P91" s="10"/>
      <c r="Q91" s="10"/>
      <c r="R91" s="10"/>
      <c r="S91" s="7" t="s">
        <v>54</v>
      </c>
      <c r="T91" s="7" t="s">
        <v>380</v>
      </c>
      <c r="U91" s="7" t="s">
        <v>44</v>
      </c>
      <c r="V91" s="7" t="s">
        <v>45</v>
      </c>
      <c r="W91" s="7" t="s">
        <v>171</v>
      </c>
      <c r="X91" s="7" t="s">
        <v>172</v>
      </c>
      <c r="Y91" s="7" t="s">
        <v>401</v>
      </c>
      <c r="Z91" s="7" t="s">
        <v>243</v>
      </c>
      <c r="AA91" s="7"/>
      <c r="AB91" s="7"/>
      <c r="AC91" s="7" t="s">
        <v>374</v>
      </c>
      <c r="AD91" s="7"/>
      <c r="AE91" s="7"/>
      <c r="AF91" s="7" t="s">
        <v>50</v>
      </c>
      <c r="AG91" s="7" t="s">
        <v>253</v>
      </c>
      <c r="AH91" s="7" t="s">
        <v>378</v>
      </c>
    </row>
    <row r="92" spans="1:34" ht="9.75" customHeight="1" x14ac:dyDescent="0.2">
      <c r="A92" s="7" t="s">
        <v>37</v>
      </c>
      <c r="B92" s="7" t="s">
        <v>38</v>
      </c>
      <c r="C92" s="7"/>
      <c r="D92" s="7" t="s">
        <v>402</v>
      </c>
      <c r="E92" s="8">
        <v>1</v>
      </c>
      <c r="F92" s="7" t="s">
        <v>41</v>
      </c>
      <c r="G92" s="7"/>
      <c r="H92" s="9"/>
      <c r="I92" s="9"/>
      <c r="J92" s="9"/>
      <c r="K92" s="9"/>
      <c r="L92" s="10">
        <v>6015</v>
      </c>
      <c r="M92" s="9"/>
      <c r="N92" s="10">
        <v>6015</v>
      </c>
      <c r="O92" s="9"/>
      <c r="P92" s="10"/>
      <c r="Q92" s="10"/>
      <c r="R92" s="10"/>
      <c r="S92" s="7" t="s">
        <v>54</v>
      </c>
      <c r="T92" s="7" t="s">
        <v>380</v>
      </c>
      <c r="U92" s="7" t="s">
        <v>221</v>
      </c>
      <c r="V92" s="7" t="s">
        <v>272</v>
      </c>
      <c r="W92" s="7" t="s">
        <v>273</v>
      </c>
      <c r="X92" s="7" t="s">
        <v>274</v>
      </c>
      <c r="Y92" s="7" t="s">
        <v>403</v>
      </c>
      <c r="Z92" s="7" t="s">
        <v>243</v>
      </c>
      <c r="AA92" s="7"/>
      <c r="AB92" s="7"/>
      <c r="AC92" s="7" t="s">
        <v>374</v>
      </c>
      <c r="AD92" s="7"/>
      <c r="AE92" s="7"/>
      <c r="AF92" s="7" t="s">
        <v>50</v>
      </c>
      <c r="AG92" s="7" t="s">
        <v>253</v>
      </c>
      <c r="AH92" s="7" t="s">
        <v>378</v>
      </c>
    </row>
    <row r="93" spans="1:34" ht="9.75" customHeight="1" x14ac:dyDescent="0.2">
      <c r="A93" s="7" t="s">
        <v>37</v>
      </c>
      <c r="B93" s="7" t="s">
        <v>38</v>
      </c>
      <c r="C93" s="7"/>
      <c r="D93" s="7" t="s">
        <v>404</v>
      </c>
      <c r="E93" s="8">
        <v>1</v>
      </c>
      <c r="F93" s="7" t="s">
        <v>41</v>
      </c>
      <c r="G93" s="7"/>
      <c r="H93" s="9"/>
      <c r="I93" s="9"/>
      <c r="J93" s="9"/>
      <c r="K93" s="9"/>
      <c r="L93" s="10">
        <v>15480</v>
      </c>
      <c r="M93" s="9"/>
      <c r="N93" s="10">
        <v>15480</v>
      </c>
      <c r="O93" s="9"/>
      <c r="P93" s="10"/>
      <c r="Q93" s="10"/>
      <c r="R93" s="10"/>
      <c r="S93" s="7" t="s">
        <v>54</v>
      </c>
      <c r="T93" s="7" t="s">
        <v>380</v>
      </c>
      <c r="U93" s="7" t="s">
        <v>44</v>
      </c>
      <c r="V93" s="7" t="s">
        <v>281</v>
      </c>
      <c r="W93" s="7" t="s">
        <v>282</v>
      </c>
      <c r="X93" s="7" t="s">
        <v>333</v>
      </c>
      <c r="Y93" s="7" t="s">
        <v>405</v>
      </c>
      <c r="Z93" s="7" t="s">
        <v>243</v>
      </c>
      <c r="AA93" s="7"/>
      <c r="AB93" s="7"/>
      <c r="AC93" s="7" t="s">
        <v>374</v>
      </c>
      <c r="AD93" s="7"/>
      <c r="AE93" s="7"/>
      <c r="AF93" s="7" t="s">
        <v>50</v>
      </c>
      <c r="AG93" s="7" t="s">
        <v>253</v>
      </c>
      <c r="AH93" s="7" t="s">
        <v>378</v>
      </c>
    </row>
    <row r="94" spans="1:34" ht="9.75" customHeight="1" x14ac:dyDescent="0.2">
      <c r="A94" s="7" t="s">
        <v>37</v>
      </c>
      <c r="B94" s="7" t="s">
        <v>38</v>
      </c>
      <c r="C94" s="7"/>
      <c r="D94" s="7" t="s">
        <v>406</v>
      </c>
      <c r="E94" s="8">
        <v>1</v>
      </c>
      <c r="F94" s="7" t="s">
        <v>41</v>
      </c>
      <c r="G94" s="7"/>
      <c r="H94" s="9"/>
      <c r="I94" s="10">
        <v>1443300</v>
      </c>
      <c r="J94" s="9"/>
      <c r="K94" s="9"/>
      <c r="L94" s="10">
        <v>969560</v>
      </c>
      <c r="M94" s="9"/>
      <c r="N94" s="10">
        <v>969560</v>
      </c>
      <c r="O94" s="9"/>
      <c r="P94" s="10"/>
      <c r="Q94" s="10"/>
      <c r="R94" s="10"/>
      <c r="S94" s="7" t="s">
        <v>407</v>
      </c>
      <c r="T94" s="7" t="s">
        <v>55</v>
      </c>
      <c r="U94" s="7" t="s">
        <v>44</v>
      </c>
      <c r="V94" s="7" t="s">
        <v>45</v>
      </c>
      <c r="W94" s="7" t="s">
        <v>46</v>
      </c>
      <c r="X94" s="7" t="s">
        <v>47</v>
      </c>
      <c r="Y94" s="7" t="s">
        <v>408</v>
      </c>
      <c r="Z94" s="7" t="s">
        <v>409</v>
      </c>
      <c r="AA94" s="7"/>
      <c r="AB94" s="7"/>
      <c r="AC94" s="7" t="s">
        <v>39</v>
      </c>
      <c r="AD94" s="7"/>
      <c r="AE94" s="7" t="s">
        <v>410</v>
      </c>
      <c r="AF94" s="7" t="s">
        <v>50</v>
      </c>
      <c r="AG94" s="7" t="s">
        <v>51</v>
      </c>
      <c r="AH94" s="7" t="s">
        <v>52</v>
      </c>
    </row>
    <row r="95" spans="1:34" ht="9.75" customHeight="1" x14ac:dyDescent="0.2">
      <c r="A95" s="7" t="s">
        <v>37</v>
      </c>
      <c r="B95" s="7" t="s">
        <v>38</v>
      </c>
      <c r="C95" s="7"/>
      <c r="D95" s="7" t="s">
        <v>411</v>
      </c>
      <c r="E95" s="8">
        <v>1</v>
      </c>
      <c r="F95" s="7" t="s">
        <v>41</v>
      </c>
      <c r="G95" s="7"/>
      <c r="H95" s="9"/>
      <c r="I95" s="10">
        <v>6355733</v>
      </c>
      <c r="J95" s="9"/>
      <c r="K95" s="9"/>
      <c r="L95" s="10">
        <v>7127344</v>
      </c>
      <c r="M95" s="9"/>
      <c r="N95" s="10">
        <v>7127344</v>
      </c>
      <c r="O95" s="9"/>
      <c r="P95" s="10"/>
      <c r="Q95" s="10"/>
      <c r="R95" s="10"/>
      <c r="S95" s="7" t="s">
        <v>407</v>
      </c>
      <c r="T95" s="7" t="s">
        <v>55</v>
      </c>
      <c r="U95" s="7" t="s">
        <v>44</v>
      </c>
      <c r="V95" s="7" t="s">
        <v>45</v>
      </c>
      <c r="W95" s="7" t="s">
        <v>46</v>
      </c>
      <c r="X95" s="7" t="s">
        <v>47</v>
      </c>
      <c r="Y95" s="7" t="s">
        <v>412</v>
      </c>
      <c r="Z95" s="7" t="s">
        <v>409</v>
      </c>
      <c r="AA95" s="7"/>
      <c r="AB95" s="7"/>
      <c r="AC95" s="7" t="s">
        <v>39</v>
      </c>
      <c r="AD95" s="7"/>
      <c r="AE95" s="7" t="s">
        <v>207</v>
      </c>
      <c r="AF95" s="7" t="s">
        <v>50</v>
      </c>
      <c r="AG95" s="7" t="s">
        <v>51</v>
      </c>
      <c r="AH95" s="7" t="s">
        <v>52</v>
      </c>
    </row>
    <row r="96" spans="1:34" ht="9.75" customHeight="1" x14ac:dyDescent="0.2">
      <c r="A96" s="7" t="s">
        <v>37</v>
      </c>
      <c r="B96" s="7" t="s">
        <v>38</v>
      </c>
      <c r="C96" s="7"/>
      <c r="D96" s="7" t="s">
        <v>413</v>
      </c>
      <c r="E96" s="8">
        <v>1</v>
      </c>
      <c r="F96" s="7" t="s">
        <v>41</v>
      </c>
      <c r="G96" s="7"/>
      <c r="H96" s="9"/>
      <c r="I96" s="10">
        <v>143242</v>
      </c>
      <c r="J96" s="9"/>
      <c r="K96" s="9"/>
      <c r="L96" s="10">
        <v>179217</v>
      </c>
      <c r="M96" s="9"/>
      <c r="N96" s="10">
        <v>179217</v>
      </c>
      <c r="O96" s="9"/>
      <c r="P96" s="10"/>
      <c r="Q96" s="10"/>
      <c r="R96" s="10"/>
      <c r="S96" s="7" t="s">
        <v>407</v>
      </c>
      <c r="T96" s="7" t="s">
        <v>55</v>
      </c>
      <c r="U96" s="7" t="s">
        <v>44</v>
      </c>
      <c r="V96" s="7" t="s">
        <v>45</v>
      </c>
      <c r="W96" s="7" t="s">
        <v>46</v>
      </c>
      <c r="X96" s="7" t="s">
        <v>47</v>
      </c>
      <c r="Y96" s="7" t="s">
        <v>414</v>
      </c>
      <c r="Z96" s="7" t="s">
        <v>409</v>
      </c>
      <c r="AA96" s="7"/>
      <c r="AB96" s="7"/>
      <c r="AC96" s="7" t="s">
        <v>39</v>
      </c>
      <c r="AD96" s="7"/>
      <c r="AE96" s="7" t="s">
        <v>415</v>
      </c>
      <c r="AF96" s="7" t="s">
        <v>50</v>
      </c>
      <c r="AG96" s="7" t="s">
        <v>51</v>
      </c>
      <c r="AH96" s="7" t="s">
        <v>52</v>
      </c>
    </row>
    <row r="97" spans="1:34" ht="9.75" customHeight="1" x14ac:dyDescent="0.2">
      <c r="A97" s="7" t="s">
        <v>37</v>
      </c>
      <c r="B97" s="7" t="s">
        <v>38</v>
      </c>
      <c r="C97" s="7"/>
      <c r="D97" s="7" t="s">
        <v>416</v>
      </c>
      <c r="E97" s="8">
        <v>1</v>
      </c>
      <c r="F97" s="7" t="s">
        <v>41</v>
      </c>
      <c r="G97" s="7"/>
      <c r="H97" s="9"/>
      <c r="I97" s="10">
        <v>349701</v>
      </c>
      <c r="J97" s="9"/>
      <c r="K97" s="9"/>
      <c r="L97" s="10">
        <v>361283</v>
      </c>
      <c r="M97" s="9"/>
      <c r="N97" s="10">
        <v>361283</v>
      </c>
      <c r="O97" s="9"/>
      <c r="P97" s="10"/>
      <c r="Q97" s="10"/>
      <c r="R97" s="10"/>
      <c r="S97" s="7" t="s">
        <v>407</v>
      </c>
      <c r="T97" s="7" t="s">
        <v>55</v>
      </c>
      <c r="U97" s="7" t="s">
        <v>44</v>
      </c>
      <c r="V97" s="7" t="s">
        <v>45</v>
      </c>
      <c r="W97" s="7" t="s">
        <v>46</v>
      </c>
      <c r="X97" s="7" t="s">
        <v>47</v>
      </c>
      <c r="Y97" s="7" t="s">
        <v>417</v>
      </c>
      <c r="Z97" s="7" t="s">
        <v>409</v>
      </c>
      <c r="AA97" s="7"/>
      <c r="AB97" s="7"/>
      <c r="AC97" s="7" t="s">
        <v>39</v>
      </c>
      <c r="AD97" s="7"/>
      <c r="AE97" s="7"/>
      <c r="AF97" s="7" t="s">
        <v>50</v>
      </c>
      <c r="AG97" s="7" t="s">
        <v>51</v>
      </c>
      <c r="AH97" s="7" t="s">
        <v>52</v>
      </c>
    </row>
    <row r="98" spans="1:34" ht="9.75" customHeight="1" x14ac:dyDescent="0.2">
      <c r="A98" s="7" t="s">
        <v>37</v>
      </c>
      <c r="B98" s="7" t="s">
        <v>38</v>
      </c>
      <c r="C98" s="7"/>
      <c r="D98" s="7" t="s">
        <v>418</v>
      </c>
      <c r="E98" s="8">
        <v>1</v>
      </c>
      <c r="F98" s="7" t="s">
        <v>41</v>
      </c>
      <c r="G98" s="7"/>
      <c r="H98" s="9"/>
      <c r="I98" s="10">
        <v>1613999</v>
      </c>
      <c r="J98" s="9"/>
      <c r="K98" s="9"/>
      <c r="L98" s="10">
        <v>1294878</v>
      </c>
      <c r="M98" s="9"/>
      <c r="N98" s="10">
        <v>1294878</v>
      </c>
      <c r="O98" s="9"/>
      <c r="P98" s="10"/>
      <c r="Q98" s="10"/>
      <c r="R98" s="10"/>
      <c r="S98" s="7" t="s">
        <v>407</v>
      </c>
      <c r="T98" s="7" t="s">
        <v>55</v>
      </c>
      <c r="U98" s="7" t="s">
        <v>44</v>
      </c>
      <c r="V98" s="7" t="s">
        <v>45</v>
      </c>
      <c r="W98" s="7" t="s">
        <v>46</v>
      </c>
      <c r="X98" s="7" t="s">
        <v>47</v>
      </c>
      <c r="Y98" s="7" t="s">
        <v>419</v>
      </c>
      <c r="Z98" s="7" t="s">
        <v>409</v>
      </c>
      <c r="AA98" s="7"/>
      <c r="AB98" s="7"/>
      <c r="AC98" s="7" t="s">
        <v>39</v>
      </c>
      <c r="AD98" s="7"/>
      <c r="AE98" s="7" t="s">
        <v>420</v>
      </c>
      <c r="AF98" s="7" t="s">
        <v>50</v>
      </c>
      <c r="AG98" s="7" t="s">
        <v>51</v>
      </c>
      <c r="AH98" s="7" t="s">
        <v>52</v>
      </c>
    </row>
    <row r="99" spans="1:34" ht="9.75" customHeight="1" x14ac:dyDescent="0.2">
      <c r="A99" s="7" t="s">
        <v>37</v>
      </c>
      <c r="B99" s="7" t="s">
        <v>38</v>
      </c>
      <c r="C99" s="7"/>
      <c r="D99" s="7" t="s">
        <v>421</v>
      </c>
      <c r="E99" s="8">
        <v>1</v>
      </c>
      <c r="F99" s="7" t="s">
        <v>41</v>
      </c>
      <c r="G99" s="7"/>
      <c r="H99" s="9"/>
      <c r="I99" s="10">
        <v>119108</v>
      </c>
      <c r="J99" s="9"/>
      <c r="K99" s="9"/>
      <c r="L99" s="10">
        <v>102496</v>
      </c>
      <c r="M99" s="9"/>
      <c r="N99" s="10">
        <v>102496</v>
      </c>
      <c r="O99" s="9"/>
      <c r="P99" s="10"/>
      <c r="Q99" s="10"/>
      <c r="R99" s="10"/>
      <c r="S99" s="7" t="s">
        <v>407</v>
      </c>
      <c r="T99" s="7" t="s">
        <v>55</v>
      </c>
      <c r="U99" s="7" t="s">
        <v>44</v>
      </c>
      <c r="V99" s="7" t="s">
        <v>45</v>
      </c>
      <c r="W99" s="7" t="s">
        <v>46</v>
      </c>
      <c r="X99" s="7" t="s">
        <v>47</v>
      </c>
      <c r="Y99" s="7" t="s">
        <v>422</v>
      </c>
      <c r="Z99" s="7" t="s">
        <v>409</v>
      </c>
      <c r="AA99" s="7"/>
      <c r="AB99" s="7"/>
      <c r="AC99" s="7" t="s">
        <v>39</v>
      </c>
      <c r="AD99" s="7"/>
      <c r="AE99" s="7"/>
      <c r="AF99" s="7" t="s">
        <v>50</v>
      </c>
      <c r="AG99" s="7" t="s">
        <v>51</v>
      </c>
      <c r="AH99" s="7" t="s">
        <v>52</v>
      </c>
    </row>
    <row r="100" spans="1:34" ht="9.75" customHeight="1" x14ac:dyDescent="0.2">
      <c r="A100" s="7" t="s">
        <v>37</v>
      </c>
      <c r="B100" s="7" t="s">
        <v>38</v>
      </c>
      <c r="C100" s="7"/>
      <c r="D100" s="7" t="s">
        <v>423</v>
      </c>
      <c r="E100" s="8">
        <v>1</v>
      </c>
      <c r="F100" s="7" t="s">
        <v>41</v>
      </c>
      <c r="G100" s="7"/>
      <c r="H100" s="9"/>
      <c r="I100" s="10">
        <v>596757</v>
      </c>
      <c r="J100" s="9"/>
      <c r="K100" s="9"/>
      <c r="L100" s="10">
        <v>465059</v>
      </c>
      <c r="M100" s="9"/>
      <c r="N100" s="10">
        <v>465059</v>
      </c>
      <c r="O100" s="9"/>
      <c r="P100" s="10"/>
      <c r="Q100" s="10"/>
      <c r="R100" s="10"/>
      <c r="S100" s="7" t="s">
        <v>407</v>
      </c>
      <c r="T100" s="7" t="s">
        <v>55</v>
      </c>
      <c r="U100" s="7" t="s">
        <v>44</v>
      </c>
      <c r="V100" s="7" t="s">
        <v>45</v>
      </c>
      <c r="W100" s="7" t="s">
        <v>46</v>
      </c>
      <c r="X100" s="7" t="s">
        <v>47</v>
      </c>
      <c r="Y100" s="7" t="s">
        <v>424</v>
      </c>
      <c r="Z100" s="7" t="s">
        <v>409</v>
      </c>
      <c r="AA100" s="7"/>
      <c r="AB100" s="7"/>
      <c r="AC100" s="7" t="s">
        <v>39</v>
      </c>
      <c r="AD100" s="7"/>
      <c r="AE100" s="7"/>
      <c r="AF100" s="7" t="s">
        <v>50</v>
      </c>
      <c r="AG100" s="7" t="s">
        <v>51</v>
      </c>
      <c r="AH100" s="7" t="s">
        <v>52</v>
      </c>
    </row>
    <row r="101" spans="1:34" ht="9.75" customHeight="1" x14ac:dyDescent="0.2">
      <c r="A101" s="7" t="s">
        <v>37</v>
      </c>
      <c r="B101" s="7" t="s">
        <v>38</v>
      </c>
      <c r="C101" s="7"/>
      <c r="D101" s="7" t="s">
        <v>425</v>
      </c>
      <c r="E101" s="8">
        <v>1</v>
      </c>
      <c r="F101" s="7" t="s">
        <v>41</v>
      </c>
      <c r="G101" s="7"/>
      <c r="H101" s="9"/>
      <c r="I101" s="10">
        <v>66618</v>
      </c>
      <c r="J101" s="9"/>
      <c r="K101" s="9"/>
      <c r="L101" s="10">
        <v>43887</v>
      </c>
      <c r="M101" s="9"/>
      <c r="N101" s="10">
        <v>43887</v>
      </c>
      <c r="O101" s="9"/>
      <c r="P101" s="10"/>
      <c r="Q101" s="10"/>
      <c r="R101" s="10"/>
      <c r="S101" s="7" t="s">
        <v>407</v>
      </c>
      <c r="T101" s="7" t="s">
        <v>55</v>
      </c>
      <c r="U101" s="7" t="s">
        <v>44</v>
      </c>
      <c r="V101" s="7" t="s">
        <v>45</v>
      </c>
      <c r="W101" s="7" t="s">
        <v>46</v>
      </c>
      <c r="X101" s="7" t="s">
        <v>47</v>
      </c>
      <c r="Y101" s="7" t="s">
        <v>426</v>
      </c>
      <c r="Z101" s="7" t="s">
        <v>409</v>
      </c>
      <c r="AA101" s="7"/>
      <c r="AB101" s="7"/>
      <c r="AC101" s="7" t="s">
        <v>39</v>
      </c>
      <c r="AD101" s="7"/>
      <c r="AE101" s="7" t="s">
        <v>427</v>
      </c>
      <c r="AF101" s="7" t="s">
        <v>50</v>
      </c>
      <c r="AG101" s="7" t="s">
        <v>51</v>
      </c>
      <c r="AH101" s="7" t="s">
        <v>52</v>
      </c>
    </row>
    <row r="102" spans="1:34" ht="9.75" customHeight="1" x14ac:dyDescent="0.2">
      <c r="A102" s="7" t="s">
        <v>37</v>
      </c>
      <c r="B102" s="7" t="s">
        <v>38</v>
      </c>
      <c r="C102" s="7"/>
      <c r="D102" s="7" t="s">
        <v>428</v>
      </c>
      <c r="E102" s="8">
        <v>1</v>
      </c>
      <c r="F102" s="7" t="s">
        <v>41</v>
      </c>
      <c r="G102" s="7"/>
      <c r="H102" s="9"/>
      <c r="I102" s="10">
        <v>96649</v>
      </c>
      <c r="J102" s="9"/>
      <c r="K102" s="9"/>
      <c r="L102" s="10">
        <v>103540</v>
      </c>
      <c r="M102" s="9"/>
      <c r="N102" s="10">
        <v>103540</v>
      </c>
      <c r="O102" s="9"/>
      <c r="P102" s="10"/>
      <c r="Q102" s="10"/>
      <c r="R102" s="10"/>
      <c r="S102" s="7" t="s">
        <v>407</v>
      </c>
      <c r="T102" s="7" t="s">
        <v>55</v>
      </c>
      <c r="U102" s="7" t="s">
        <v>44</v>
      </c>
      <c r="V102" s="7" t="s">
        <v>45</v>
      </c>
      <c r="W102" s="7" t="s">
        <v>46</v>
      </c>
      <c r="X102" s="7" t="s">
        <v>47</v>
      </c>
      <c r="Y102" s="7" t="s">
        <v>429</v>
      </c>
      <c r="Z102" s="7" t="s">
        <v>430</v>
      </c>
      <c r="AA102" s="7"/>
      <c r="AB102" s="7"/>
      <c r="AC102" s="7" t="s">
        <v>39</v>
      </c>
      <c r="AD102" s="7"/>
      <c r="AE102" s="7" t="s">
        <v>431</v>
      </c>
      <c r="AF102" s="7" t="s">
        <v>50</v>
      </c>
      <c r="AG102" s="7" t="s">
        <v>51</v>
      </c>
      <c r="AH102" s="7" t="s">
        <v>52</v>
      </c>
    </row>
    <row r="103" spans="1:34" ht="9.75" customHeight="1" x14ac:dyDescent="0.2">
      <c r="A103" s="7" t="s">
        <v>37</v>
      </c>
      <c r="B103" s="7" t="s">
        <v>38</v>
      </c>
      <c r="C103" s="7"/>
      <c r="D103" s="7" t="s">
        <v>432</v>
      </c>
      <c r="E103" s="8">
        <v>1</v>
      </c>
      <c r="F103" s="7" t="s">
        <v>41</v>
      </c>
      <c r="G103" s="7"/>
      <c r="H103" s="9"/>
      <c r="I103" s="10">
        <v>16346</v>
      </c>
      <c r="J103" s="9"/>
      <c r="K103" s="9"/>
      <c r="L103" s="10">
        <v>19305</v>
      </c>
      <c r="M103" s="9"/>
      <c r="N103" s="10">
        <v>19305</v>
      </c>
      <c r="O103" s="9"/>
      <c r="P103" s="10"/>
      <c r="Q103" s="10"/>
      <c r="R103" s="10"/>
      <c r="S103" s="7" t="s">
        <v>407</v>
      </c>
      <c r="T103" s="7" t="s">
        <v>55</v>
      </c>
      <c r="U103" s="7" t="s">
        <v>44</v>
      </c>
      <c r="V103" s="7" t="s">
        <v>45</v>
      </c>
      <c r="W103" s="7" t="s">
        <v>46</v>
      </c>
      <c r="X103" s="7" t="s">
        <v>47</v>
      </c>
      <c r="Y103" s="7" t="s">
        <v>433</v>
      </c>
      <c r="Z103" s="7" t="s">
        <v>430</v>
      </c>
      <c r="AA103" s="7"/>
      <c r="AB103" s="7"/>
      <c r="AC103" s="7" t="s">
        <v>39</v>
      </c>
      <c r="AD103" s="7"/>
      <c r="AE103" s="7" t="s">
        <v>434</v>
      </c>
      <c r="AF103" s="7" t="s">
        <v>50</v>
      </c>
      <c r="AG103" s="7" t="s">
        <v>51</v>
      </c>
      <c r="AH103" s="7" t="s">
        <v>52</v>
      </c>
    </row>
    <row r="104" spans="1:34" ht="9.75" customHeight="1" x14ac:dyDescent="0.2">
      <c r="A104" s="7" t="s">
        <v>37</v>
      </c>
      <c r="B104" s="7" t="s">
        <v>38</v>
      </c>
      <c r="C104" s="7"/>
      <c r="D104" s="7" t="s">
        <v>435</v>
      </c>
      <c r="E104" s="8">
        <v>1</v>
      </c>
      <c r="F104" s="7" t="s">
        <v>41</v>
      </c>
      <c r="G104" s="7"/>
      <c r="H104" s="9"/>
      <c r="I104" s="10">
        <v>15642</v>
      </c>
      <c r="J104" s="9"/>
      <c r="K104" s="9"/>
      <c r="L104" s="10">
        <v>16270</v>
      </c>
      <c r="M104" s="9"/>
      <c r="N104" s="10">
        <v>16270</v>
      </c>
      <c r="O104" s="9"/>
      <c r="P104" s="10"/>
      <c r="Q104" s="10"/>
      <c r="R104" s="10"/>
      <c r="S104" s="7" t="s">
        <v>407</v>
      </c>
      <c r="T104" s="7" t="s">
        <v>55</v>
      </c>
      <c r="U104" s="7" t="s">
        <v>44</v>
      </c>
      <c r="V104" s="7" t="s">
        <v>45</v>
      </c>
      <c r="W104" s="7" t="s">
        <v>46</v>
      </c>
      <c r="X104" s="7" t="s">
        <v>47</v>
      </c>
      <c r="Y104" s="7" t="s">
        <v>436</v>
      </c>
      <c r="Z104" s="7" t="s">
        <v>430</v>
      </c>
      <c r="AA104" s="7"/>
      <c r="AB104" s="7"/>
      <c r="AC104" s="7" t="s">
        <v>39</v>
      </c>
      <c r="AD104" s="7"/>
      <c r="AE104" s="7" t="s">
        <v>437</v>
      </c>
      <c r="AF104" s="7" t="s">
        <v>50</v>
      </c>
      <c r="AG104" s="7" t="s">
        <v>51</v>
      </c>
      <c r="AH104" s="7" t="s">
        <v>52</v>
      </c>
    </row>
    <row r="105" spans="1:34" ht="9.75" customHeight="1" x14ac:dyDescent="0.2">
      <c r="A105" s="7" t="s">
        <v>37</v>
      </c>
      <c r="B105" s="7" t="s">
        <v>38</v>
      </c>
      <c r="C105" s="7"/>
      <c r="D105" s="7" t="s">
        <v>438</v>
      </c>
      <c r="E105" s="8">
        <v>1</v>
      </c>
      <c r="F105" s="7" t="s">
        <v>41</v>
      </c>
      <c r="G105" s="7"/>
      <c r="H105" s="9"/>
      <c r="I105" s="10">
        <v>21677</v>
      </c>
      <c r="J105" s="9"/>
      <c r="K105" s="9"/>
      <c r="L105" s="10">
        <v>22550</v>
      </c>
      <c r="M105" s="9"/>
      <c r="N105" s="10">
        <v>22550</v>
      </c>
      <c r="O105" s="9"/>
      <c r="P105" s="10"/>
      <c r="Q105" s="10"/>
      <c r="R105" s="10"/>
      <c r="S105" s="7" t="s">
        <v>407</v>
      </c>
      <c r="T105" s="7" t="s">
        <v>55</v>
      </c>
      <c r="U105" s="7" t="s">
        <v>44</v>
      </c>
      <c r="V105" s="7" t="s">
        <v>45</v>
      </c>
      <c r="W105" s="7" t="s">
        <v>46</v>
      </c>
      <c r="X105" s="7" t="s">
        <v>47</v>
      </c>
      <c r="Y105" s="7" t="s">
        <v>439</v>
      </c>
      <c r="Z105" s="7" t="s">
        <v>430</v>
      </c>
      <c r="AA105" s="7"/>
      <c r="AB105" s="7"/>
      <c r="AC105" s="7" t="s">
        <v>39</v>
      </c>
      <c r="AD105" s="7"/>
      <c r="AE105" s="7" t="s">
        <v>440</v>
      </c>
      <c r="AF105" s="7" t="s">
        <v>50</v>
      </c>
      <c r="AG105" s="7" t="s">
        <v>51</v>
      </c>
      <c r="AH105" s="7" t="s">
        <v>52</v>
      </c>
    </row>
    <row r="106" spans="1:34" ht="9.75" customHeight="1" x14ac:dyDescent="0.2">
      <c r="A106" s="7" t="s">
        <v>37</v>
      </c>
      <c r="B106" s="7" t="s">
        <v>38</v>
      </c>
      <c r="C106" s="7"/>
      <c r="D106" s="7" t="s">
        <v>441</v>
      </c>
      <c r="E106" s="8">
        <v>1</v>
      </c>
      <c r="F106" s="7" t="s">
        <v>41</v>
      </c>
      <c r="G106" s="7"/>
      <c r="H106" s="9"/>
      <c r="I106" s="10">
        <v>24149</v>
      </c>
      <c r="J106" s="9"/>
      <c r="K106" s="9"/>
      <c r="L106" s="10">
        <v>25125</v>
      </c>
      <c r="M106" s="9"/>
      <c r="N106" s="10">
        <v>25125</v>
      </c>
      <c r="O106" s="9"/>
      <c r="P106" s="10"/>
      <c r="Q106" s="10"/>
      <c r="R106" s="10"/>
      <c r="S106" s="7" t="s">
        <v>407</v>
      </c>
      <c r="T106" s="7" t="s">
        <v>55</v>
      </c>
      <c r="U106" s="7" t="s">
        <v>44</v>
      </c>
      <c r="V106" s="7" t="s">
        <v>45</v>
      </c>
      <c r="W106" s="7" t="s">
        <v>46</v>
      </c>
      <c r="X106" s="7" t="s">
        <v>47</v>
      </c>
      <c r="Y106" s="7" t="s">
        <v>442</v>
      </c>
      <c r="Z106" s="7" t="s">
        <v>430</v>
      </c>
      <c r="AA106" s="7"/>
      <c r="AB106" s="7"/>
      <c r="AC106" s="7" t="s">
        <v>39</v>
      </c>
      <c r="AD106" s="7"/>
      <c r="AE106" s="7" t="s">
        <v>443</v>
      </c>
      <c r="AF106" s="7" t="s">
        <v>50</v>
      </c>
      <c r="AG106" s="7" t="s">
        <v>51</v>
      </c>
      <c r="AH106" s="7" t="s">
        <v>52</v>
      </c>
    </row>
    <row r="107" spans="1:34" ht="9.75" customHeight="1" x14ac:dyDescent="0.2">
      <c r="A107" s="7" t="s">
        <v>37</v>
      </c>
      <c r="B107" s="7" t="s">
        <v>38</v>
      </c>
      <c r="C107" s="7"/>
      <c r="D107" s="7" t="s">
        <v>444</v>
      </c>
      <c r="E107" s="8">
        <v>1</v>
      </c>
      <c r="F107" s="7" t="s">
        <v>41</v>
      </c>
      <c r="G107" s="7"/>
      <c r="H107" s="9"/>
      <c r="I107" s="10">
        <v>7814</v>
      </c>
      <c r="J107" s="9"/>
      <c r="K107" s="9"/>
      <c r="L107" s="10">
        <v>8130</v>
      </c>
      <c r="M107" s="9"/>
      <c r="N107" s="10">
        <v>8130</v>
      </c>
      <c r="O107" s="9"/>
      <c r="P107" s="10"/>
      <c r="Q107" s="10"/>
      <c r="R107" s="10"/>
      <c r="S107" s="7" t="s">
        <v>407</v>
      </c>
      <c r="T107" s="7" t="s">
        <v>55</v>
      </c>
      <c r="U107" s="7" t="s">
        <v>44</v>
      </c>
      <c r="V107" s="7" t="s">
        <v>45</v>
      </c>
      <c r="W107" s="7" t="s">
        <v>46</v>
      </c>
      <c r="X107" s="7" t="s">
        <v>47</v>
      </c>
      <c r="Y107" s="7" t="s">
        <v>445</v>
      </c>
      <c r="Z107" s="7" t="s">
        <v>430</v>
      </c>
      <c r="AA107" s="7"/>
      <c r="AB107" s="7"/>
      <c r="AC107" s="7" t="s">
        <v>39</v>
      </c>
      <c r="AD107" s="7"/>
      <c r="AE107" s="7" t="s">
        <v>446</v>
      </c>
      <c r="AF107" s="7" t="s">
        <v>50</v>
      </c>
      <c r="AG107" s="7" t="s">
        <v>51</v>
      </c>
      <c r="AH107" s="7" t="s">
        <v>52</v>
      </c>
    </row>
    <row r="108" spans="1:34" ht="9.75" customHeight="1" x14ac:dyDescent="0.2">
      <c r="A108" s="7" t="s">
        <v>37</v>
      </c>
      <c r="B108" s="7" t="s">
        <v>38</v>
      </c>
      <c r="C108" s="7"/>
      <c r="D108" s="7" t="s">
        <v>447</v>
      </c>
      <c r="E108" s="8">
        <v>1</v>
      </c>
      <c r="F108" s="7" t="s">
        <v>41</v>
      </c>
      <c r="G108" s="7"/>
      <c r="H108" s="9"/>
      <c r="I108" s="10">
        <v>41702</v>
      </c>
      <c r="J108" s="9"/>
      <c r="K108" s="9"/>
      <c r="L108" s="10">
        <v>43390</v>
      </c>
      <c r="M108" s="9"/>
      <c r="N108" s="10">
        <v>43390</v>
      </c>
      <c r="O108" s="9"/>
      <c r="P108" s="10"/>
      <c r="Q108" s="10"/>
      <c r="R108" s="10"/>
      <c r="S108" s="7" t="s">
        <v>407</v>
      </c>
      <c r="T108" s="7" t="s">
        <v>55</v>
      </c>
      <c r="U108" s="7" t="s">
        <v>44</v>
      </c>
      <c r="V108" s="7" t="s">
        <v>45</v>
      </c>
      <c r="W108" s="7" t="s">
        <v>46</v>
      </c>
      <c r="X108" s="7" t="s">
        <v>47</v>
      </c>
      <c r="Y108" s="7" t="s">
        <v>448</v>
      </c>
      <c r="Z108" s="7" t="s">
        <v>430</v>
      </c>
      <c r="AA108" s="7"/>
      <c r="AB108" s="7"/>
      <c r="AC108" s="7" t="s">
        <v>39</v>
      </c>
      <c r="AD108" s="7"/>
      <c r="AE108" s="7" t="s">
        <v>449</v>
      </c>
      <c r="AF108" s="7" t="s">
        <v>50</v>
      </c>
      <c r="AG108" s="7" t="s">
        <v>51</v>
      </c>
      <c r="AH108" s="7" t="s">
        <v>52</v>
      </c>
    </row>
    <row r="109" spans="1:34" ht="9.75" customHeight="1" x14ac:dyDescent="0.2">
      <c r="A109" s="7" t="s">
        <v>37</v>
      </c>
      <c r="B109" s="7" t="s">
        <v>38</v>
      </c>
      <c r="C109" s="7"/>
      <c r="D109" s="7" t="s">
        <v>450</v>
      </c>
      <c r="E109" s="8">
        <v>1</v>
      </c>
      <c r="F109" s="7" t="s">
        <v>41</v>
      </c>
      <c r="G109" s="7"/>
      <c r="H109" s="9"/>
      <c r="I109" s="10">
        <v>43803</v>
      </c>
      <c r="J109" s="9"/>
      <c r="K109" s="9"/>
      <c r="L109" s="10">
        <v>37493</v>
      </c>
      <c r="M109" s="9"/>
      <c r="N109" s="10">
        <v>37493</v>
      </c>
      <c r="O109" s="9"/>
      <c r="P109" s="10"/>
      <c r="Q109" s="10"/>
      <c r="R109" s="10"/>
      <c r="S109" s="7" t="s">
        <v>407</v>
      </c>
      <c r="T109" s="7" t="s">
        <v>55</v>
      </c>
      <c r="U109" s="7" t="s">
        <v>44</v>
      </c>
      <c r="V109" s="7" t="s">
        <v>45</v>
      </c>
      <c r="W109" s="7" t="s">
        <v>46</v>
      </c>
      <c r="X109" s="7" t="s">
        <v>47</v>
      </c>
      <c r="Y109" s="7" t="s">
        <v>451</v>
      </c>
      <c r="Z109" s="7" t="s">
        <v>430</v>
      </c>
      <c r="AA109" s="7"/>
      <c r="AB109" s="7"/>
      <c r="AC109" s="7" t="s">
        <v>39</v>
      </c>
      <c r="AD109" s="7"/>
      <c r="AE109" s="7" t="s">
        <v>452</v>
      </c>
      <c r="AF109" s="7" t="s">
        <v>50</v>
      </c>
      <c r="AG109" s="7" t="s">
        <v>51</v>
      </c>
      <c r="AH109" s="7" t="s">
        <v>52</v>
      </c>
    </row>
    <row r="110" spans="1:34" ht="9.75" customHeight="1" x14ac:dyDescent="0.2">
      <c r="A110" s="7" t="s">
        <v>37</v>
      </c>
      <c r="B110" s="7" t="s">
        <v>38</v>
      </c>
      <c r="C110" s="7"/>
      <c r="D110" s="7" t="s">
        <v>453</v>
      </c>
      <c r="E110" s="8">
        <v>1</v>
      </c>
      <c r="F110" s="7" t="s">
        <v>41</v>
      </c>
      <c r="G110" s="7"/>
      <c r="H110" s="9"/>
      <c r="I110" s="10">
        <v>1858</v>
      </c>
      <c r="J110" s="9"/>
      <c r="K110" s="9"/>
      <c r="L110" s="10">
        <v>1930</v>
      </c>
      <c r="M110" s="9"/>
      <c r="N110" s="10">
        <v>1930</v>
      </c>
      <c r="O110" s="9"/>
      <c r="P110" s="10"/>
      <c r="Q110" s="10"/>
      <c r="R110" s="10"/>
      <c r="S110" s="7" t="s">
        <v>407</v>
      </c>
      <c r="T110" s="7" t="s">
        <v>55</v>
      </c>
      <c r="U110" s="7" t="s">
        <v>44</v>
      </c>
      <c r="V110" s="7" t="s">
        <v>45</v>
      </c>
      <c r="W110" s="7" t="s">
        <v>46</v>
      </c>
      <c r="X110" s="7" t="s">
        <v>47</v>
      </c>
      <c r="Y110" s="7" t="s">
        <v>454</v>
      </c>
      <c r="Z110" s="7" t="s">
        <v>430</v>
      </c>
      <c r="AA110" s="7"/>
      <c r="AB110" s="7"/>
      <c r="AC110" s="7" t="s">
        <v>39</v>
      </c>
      <c r="AD110" s="7"/>
      <c r="AE110" s="7" t="s">
        <v>455</v>
      </c>
      <c r="AF110" s="7" t="s">
        <v>50</v>
      </c>
      <c r="AG110" s="7" t="s">
        <v>51</v>
      </c>
      <c r="AH110" s="7" t="s">
        <v>52</v>
      </c>
    </row>
    <row r="111" spans="1:34" ht="9.75" customHeight="1" x14ac:dyDescent="0.2">
      <c r="A111" s="7" t="s">
        <v>37</v>
      </c>
      <c r="B111" s="7" t="s">
        <v>38</v>
      </c>
      <c r="C111" s="7"/>
      <c r="D111" s="7" t="s">
        <v>456</v>
      </c>
      <c r="E111" s="8">
        <v>1</v>
      </c>
      <c r="F111" s="7" t="s">
        <v>41</v>
      </c>
      <c r="G111" s="7"/>
      <c r="H111" s="9"/>
      <c r="I111" s="10">
        <v>2081</v>
      </c>
      <c r="J111" s="9"/>
      <c r="K111" s="9"/>
      <c r="L111" s="10">
        <v>2600</v>
      </c>
      <c r="M111" s="9"/>
      <c r="N111" s="10">
        <v>2600</v>
      </c>
      <c r="O111" s="9"/>
      <c r="P111" s="10"/>
      <c r="Q111" s="10"/>
      <c r="R111" s="10"/>
      <c r="S111" s="7" t="s">
        <v>407</v>
      </c>
      <c r="T111" s="7" t="s">
        <v>55</v>
      </c>
      <c r="U111" s="7" t="s">
        <v>44</v>
      </c>
      <c r="V111" s="7" t="s">
        <v>45</v>
      </c>
      <c r="W111" s="7" t="s">
        <v>46</v>
      </c>
      <c r="X111" s="7" t="s">
        <v>47</v>
      </c>
      <c r="Y111" s="7" t="s">
        <v>457</v>
      </c>
      <c r="Z111" s="7" t="s">
        <v>430</v>
      </c>
      <c r="AA111" s="7"/>
      <c r="AB111" s="7"/>
      <c r="AC111" s="7" t="s">
        <v>39</v>
      </c>
      <c r="AD111" s="7"/>
      <c r="AE111" s="7" t="s">
        <v>458</v>
      </c>
      <c r="AF111" s="7" t="s">
        <v>50</v>
      </c>
      <c r="AG111" s="7" t="s">
        <v>51</v>
      </c>
      <c r="AH111" s="7" t="s">
        <v>52</v>
      </c>
    </row>
    <row r="112" spans="1:34" ht="9.75" customHeight="1" x14ac:dyDescent="0.2">
      <c r="A112" s="7" t="s">
        <v>37</v>
      </c>
      <c r="B112" s="7" t="s">
        <v>38</v>
      </c>
      <c r="C112" s="7"/>
      <c r="D112" s="7" t="s">
        <v>459</v>
      </c>
      <c r="E112" s="8">
        <v>1</v>
      </c>
      <c r="F112" s="7" t="s">
        <v>41</v>
      </c>
      <c r="G112" s="7"/>
      <c r="H112" s="9"/>
      <c r="I112" s="10">
        <v>23851</v>
      </c>
      <c r="J112" s="9"/>
      <c r="K112" s="9"/>
      <c r="L112" s="10">
        <v>27810</v>
      </c>
      <c r="M112" s="9"/>
      <c r="N112" s="10">
        <v>27810</v>
      </c>
      <c r="O112" s="9"/>
      <c r="P112" s="10"/>
      <c r="Q112" s="10"/>
      <c r="R112" s="10"/>
      <c r="S112" s="7" t="s">
        <v>407</v>
      </c>
      <c r="T112" s="7" t="s">
        <v>55</v>
      </c>
      <c r="U112" s="7" t="s">
        <v>44</v>
      </c>
      <c r="V112" s="7" t="s">
        <v>45</v>
      </c>
      <c r="W112" s="7" t="s">
        <v>46</v>
      </c>
      <c r="X112" s="7" t="s">
        <v>47</v>
      </c>
      <c r="Y112" s="7" t="s">
        <v>460</v>
      </c>
      <c r="Z112" s="7" t="s">
        <v>430</v>
      </c>
      <c r="AA112" s="7"/>
      <c r="AB112" s="7"/>
      <c r="AC112" s="7" t="s">
        <v>39</v>
      </c>
      <c r="AD112" s="7"/>
      <c r="AE112" s="7" t="s">
        <v>461</v>
      </c>
      <c r="AF112" s="7" t="s">
        <v>50</v>
      </c>
      <c r="AG112" s="7" t="s">
        <v>51</v>
      </c>
      <c r="AH112" s="7" t="s">
        <v>52</v>
      </c>
    </row>
    <row r="113" spans="1:34" ht="9.75" customHeight="1" x14ac:dyDescent="0.2">
      <c r="A113" s="7" t="s">
        <v>37</v>
      </c>
      <c r="B113" s="7" t="s">
        <v>38</v>
      </c>
      <c r="C113" s="7"/>
      <c r="D113" s="7" t="s">
        <v>462</v>
      </c>
      <c r="E113" s="8">
        <v>1</v>
      </c>
      <c r="F113" s="7" t="s">
        <v>41</v>
      </c>
      <c r="G113" s="7"/>
      <c r="H113" s="9"/>
      <c r="I113" s="10">
        <v>31400</v>
      </c>
      <c r="J113" s="9"/>
      <c r="K113" s="9"/>
      <c r="L113" s="10">
        <v>28900</v>
      </c>
      <c r="M113" s="9"/>
      <c r="N113" s="10">
        <v>28900</v>
      </c>
      <c r="O113" s="9"/>
      <c r="P113" s="10"/>
      <c r="Q113" s="10"/>
      <c r="R113" s="10"/>
      <c r="S113" s="7" t="s">
        <v>407</v>
      </c>
      <c r="T113" s="7" t="s">
        <v>55</v>
      </c>
      <c r="U113" s="7" t="s">
        <v>44</v>
      </c>
      <c r="V113" s="7" t="s">
        <v>45</v>
      </c>
      <c r="W113" s="7" t="s">
        <v>46</v>
      </c>
      <c r="X113" s="7" t="s">
        <v>47</v>
      </c>
      <c r="Y113" s="7" t="s">
        <v>463</v>
      </c>
      <c r="Z113" s="7" t="s">
        <v>430</v>
      </c>
      <c r="AA113" s="7"/>
      <c r="AB113" s="7"/>
      <c r="AC113" s="7" t="s">
        <v>39</v>
      </c>
      <c r="AD113" s="7"/>
      <c r="AE113" s="7" t="s">
        <v>464</v>
      </c>
      <c r="AF113" s="7" t="s">
        <v>50</v>
      </c>
      <c r="AG113" s="7" t="s">
        <v>51</v>
      </c>
      <c r="AH113" s="7" t="s">
        <v>52</v>
      </c>
    </row>
    <row r="114" spans="1:34" ht="9.75" customHeight="1" x14ac:dyDescent="0.2">
      <c r="A114" s="7" t="s">
        <v>37</v>
      </c>
      <c r="B114" s="7" t="s">
        <v>38</v>
      </c>
      <c r="C114" s="7"/>
      <c r="D114" s="7" t="s">
        <v>465</v>
      </c>
      <c r="E114" s="8">
        <v>1</v>
      </c>
      <c r="F114" s="7" t="s">
        <v>41</v>
      </c>
      <c r="G114" s="7"/>
      <c r="H114" s="9"/>
      <c r="I114" s="10">
        <v>14922</v>
      </c>
      <c r="J114" s="9"/>
      <c r="K114" s="9"/>
      <c r="L114" s="10">
        <v>18500</v>
      </c>
      <c r="M114" s="9"/>
      <c r="N114" s="10">
        <v>18500</v>
      </c>
      <c r="O114" s="9"/>
      <c r="P114" s="10"/>
      <c r="Q114" s="10"/>
      <c r="R114" s="10"/>
      <c r="S114" s="7" t="s">
        <v>407</v>
      </c>
      <c r="T114" s="7" t="s">
        <v>55</v>
      </c>
      <c r="U114" s="7" t="s">
        <v>44</v>
      </c>
      <c r="V114" s="7" t="s">
        <v>45</v>
      </c>
      <c r="W114" s="7" t="s">
        <v>46</v>
      </c>
      <c r="X114" s="7" t="s">
        <v>47</v>
      </c>
      <c r="Y114" s="7" t="s">
        <v>466</v>
      </c>
      <c r="Z114" s="7" t="s">
        <v>430</v>
      </c>
      <c r="AA114" s="7"/>
      <c r="AB114" s="7"/>
      <c r="AC114" s="7" t="s">
        <v>39</v>
      </c>
      <c r="AD114" s="7"/>
      <c r="AE114" s="7" t="s">
        <v>467</v>
      </c>
      <c r="AF114" s="7" t="s">
        <v>50</v>
      </c>
      <c r="AG114" s="7" t="s">
        <v>51</v>
      </c>
      <c r="AH114" s="7" t="s">
        <v>52</v>
      </c>
    </row>
    <row r="115" spans="1:34" ht="9.75" customHeight="1" x14ac:dyDescent="0.2">
      <c r="A115" s="7" t="s">
        <v>37</v>
      </c>
      <c r="B115" s="7" t="s">
        <v>38</v>
      </c>
      <c r="C115" s="7"/>
      <c r="D115" s="7" t="s">
        <v>468</v>
      </c>
      <c r="E115" s="8">
        <v>1</v>
      </c>
      <c r="F115" s="7" t="s">
        <v>41</v>
      </c>
      <c r="G115" s="7"/>
      <c r="H115" s="9"/>
      <c r="I115" s="10">
        <v>4123</v>
      </c>
      <c r="J115" s="9"/>
      <c r="K115" s="9"/>
      <c r="L115" s="10">
        <v>5290</v>
      </c>
      <c r="M115" s="9"/>
      <c r="N115" s="10">
        <v>5290</v>
      </c>
      <c r="O115" s="9"/>
      <c r="P115" s="10"/>
      <c r="Q115" s="10"/>
      <c r="R115" s="10"/>
      <c r="S115" s="7" t="s">
        <v>407</v>
      </c>
      <c r="T115" s="7" t="s">
        <v>55</v>
      </c>
      <c r="U115" s="7" t="s">
        <v>44</v>
      </c>
      <c r="V115" s="7" t="s">
        <v>45</v>
      </c>
      <c r="W115" s="7" t="s">
        <v>46</v>
      </c>
      <c r="X115" s="7" t="s">
        <v>47</v>
      </c>
      <c r="Y115" s="7" t="s">
        <v>469</v>
      </c>
      <c r="Z115" s="7" t="s">
        <v>430</v>
      </c>
      <c r="AA115" s="7"/>
      <c r="AB115" s="7"/>
      <c r="AC115" s="7" t="s">
        <v>39</v>
      </c>
      <c r="AD115" s="7"/>
      <c r="AE115" s="7" t="s">
        <v>470</v>
      </c>
      <c r="AF115" s="7" t="s">
        <v>50</v>
      </c>
      <c r="AG115" s="7" t="s">
        <v>51</v>
      </c>
      <c r="AH115" s="7" t="s">
        <v>52</v>
      </c>
    </row>
    <row r="116" spans="1:34" ht="9.75" customHeight="1" x14ac:dyDescent="0.2">
      <c r="A116" s="7" t="s">
        <v>37</v>
      </c>
      <c r="B116" s="7" t="s">
        <v>38</v>
      </c>
      <c r="C116" s="7"/>
      <c r="D116" s="7" t="s">
        <v>471</v>
      </c>
      <c r="E116" s="8">
        <v>1</v>
      </c>
      <c r="F116" s="7" t="s">
        <v>41</v>
      </c>
      <c r="G116" s="7"/>
      <c r="H116" s="9"/>
      <c r="I116" s="10">
        <v>3684</v>
      </c>
      <c r="J116" s="9"/>
      <c r="K116" s="9"/>
      <c r="L116" s="10">
        <v>450</v>
      </c>
      <c r="M116" s="9"/>
      <c r="N116" s="10">
        <v>450</v>
      </c>
      <c r="O116" s="9"/>
      <c r="P116" s="10"/>
      <c r="Q116" s="10"/>
      <c r="R116" s="10"/>
      <c r="S116" s="7" t="s">
        <v>407</v>
      </c>
      <c r="T116" s="7" t="s">
        <v>55</v>
      </c>
      <c r="U116" s="7" t="s">
        <v>44</v>
      </c>
      <c r="V116" s="7" t="s">
        <v>45</v>
      </c>
      <c r="W116" s="7" t="s">
        <v>46</v>
      </c>
      <c r="X116" s="7" t="s">
        <v>47</v>
      </c>
      <c r="Y116" s="7" t="s">
        <v>472</v>
      </c>
      <c r="Z116" s="7" t="s">
        <v>430</v>
      </c>
      <c r="AA116" s="7"/>
      <c r="AB116" s="7"/>
      <c r="AC116" s="7" t="s">
        <v>39</v>
      </c>
      <c r="AD116" s="7"/>
      <c r="AE116" s="7" t="s">
        <v>473</v>
      </c>
      <c r="AF116" s="7" t="s">
        <v>50</v>
      </c>
      <c r="AG116" s="7" t="s">
        <v>51</v>
      </c>
      <c r="AH116" s="7" t="s">
        <v>52</v>
      </c>
    </row>
    <row r="117" spans="1:34" ht="9.75" customHeight="1" x14ac:dyDescent="0.2">
      <c r="A117" s="7" t="s">
        <v>37</v>
      </c>
      <c r="B117" s="7" t="s">
        <v>38</v>
      </c>
      <c r="C117" s="7"/>
      <c r="D117" s="7" t="s">
        <v>474</v>
      </c>
      <c r="E117" s="8">
        <v>1</v>
      </c>
      <c r="F117" s="7" t="s">
        <v>41</v>
      </c>
      <c r="G117" s="7"/>
      <c r="H117" s="9"/>
      <c r="I117" s="10">
        <v>88243</v>
      </c>
      <c r="J117" s="9"/>
      <c r="K117" s="9"/>
      <c r="L117" s="10">
        <v>79416</v>
      </c>
      <c r="M117" s="9"/>
      <c r="N117" s="10">
        <v>79416</v>
      </c>
      <c r="O117" s="9"/>
      <c r="P117" s="10"/>
      <c r="Q117" s="10"/>
      <c r="R117" s="10"/>
      <c r="S117" s="7" t="s">
        <v>407</v>
      </c>
      <c r="T117" s="7" t="s">
        <v>55</v>
      </c>
      <c r="U117" s="7" t="s">
        <v>44</v>
      </c>
      <c r="V117" s="7" t="s">
        <v>45</v>
      </c>
      <c r="W117" s="7" t="s">
        <v>46</v>
      </c>
      <c r="X117" s="7" t="s">
        <v>47</v>
      </c>
      <c r="Y117" s="7" t="s">
        <v>475</v>
      </c>
      <c r="Z117" s="7" t="s">
        <v>476</v>
      </c>
      <c r="AA117" s="7"/>
      <c r="AB117" s="7"/>
      <c r="AC117" s="7" t="s">
        <v>39</v>
      </c>
      <c r="AD117" s="7"/>
      <c r="AE117" s="7" t="s">
        <v>477</v>
      </c>
      <c r="AF117" s="7" t="s">
        <v>50</v>
      </c>
      <c r="AG117" s="7" t="s">
        <v>51</v>
      </c>
      <c r="AH117" s="7" t="s">
        <v>52</v>
      </c>
    </row>
    <row r="118" spans="1:34" ht="9.75" customHeight="1" x14ac:dyDescent="0.2">
      <c r="A118" s="7" t="s">
        <v>37</v>
      </c>
      <c r="B118" s="7" t="s">
        <v>38</v>
      </c>
      <c r="C118" s="7"/>
      <c r="D118" s="7" t="s">
        <v>478</v>
      </c>
      <c r="E118" s="8">
        <v>1</v>
      </c>
      <c r="F118" s="7" t="s">
        <v>41</v>
      </c>
      <c r="G118" s="7"/>
      <c r="H118" s="9"/>
      <c r="I118" s="10">
        <v>9877</v>
      </c>
      <c r="J118" s="9"/>
      <c r="K118" s="9"/>
      <c r="L118" s="10">
        <v>8748</v>
      </c>
      <c r="M118" s="9"/>
      <c r="N118" s="10">
        <v>8748</v>
      </c>
      <c r="O118" s="9"/>
      <c r="P118" s="10"/>
      <c r="Q118" s="10"/>
      <c r="R118" s="10"/>
      <c r="S118" s="7" t="s">
        <v>407</v>
      </c>
      <c r="T118" s="7" t="s">
        <v>55</v>
      </c>
      <c r="U118" s="7" t="s">
        <v>44</v>
      </c>
      <c r="V118" s="7" t="s">
        <v>45</v>
      </c>
      <c r="W118" s="7" t="s">
        <v>46</v>
      </c>
      <c r="X118" s="7" t="s">
        <v>47</v>
      </c>
      <c r="Y118" s="7" t="s">
        <v>479</v>
      </c>
      <c r="Z118" s="7" t="s">
        <v>476</v>
      </c>
      <c r="AA118" s="7"/>
      <c r="AB118" s="7"/>
      <c r="AC118" s="7" t="s">
        <v>39</v>
      </c>
      <c r="AD118" s="7"/>
      <c r="AE118" s="7" t="s">
        <v>480</v>
      </c>
      <c r="AF118" s="7" t="s">
        <v>50</v>
      </c>
      <c r="AG118" s="7" t="s">
        <v>51</v>
      </c>
      <c r="AH118" s="7" t="s">
        <v>52</v>
      </c>
    </row>
    <row r="119" spans="1:34" ht="9.75" customHeight="1" x14ac:dyDescent="0.2">
      <c r="A119" s="7" t="s">
        <v>37</v>
      </c>
      <c r="B119" s="7" t="s">
        <v>38</v>
      </c>
      <c r="C119" s="7"/>
      <c r="D119" s="7" t="s">
        <v>481</v>
      </c>
      <c r="E119" s="8">
        <v>1</v>
      </c>
      <c r="F119" s="7" t="s">
        <v>41</v>
      </c>
      <c r="G119" s="7"/>
      <c r="H119" s="9"/>
      <c r="I119" s="10">
        <v>12682</v>
      </c>
      <c r="J119" s="9"/>
      <c r="K119" s="9"/>
      <c r="L119" s="10">
        <v>13235</v>
      </c>
      <c r="M119" s="9"/>
      <c r="N119" s="10">
        <v>13235</v>
      </c>
      <c r="O119" s="9"/>
      <c r="P119" s="10"/>
      <c r="Q119" s="10"/>
      <c r="R119" s="10"/>
      <c r="S119" s="7" t="s">
        <v>407</v>
      </c>
      <c r="T119" s="7" t="s">
        <v>55</v>
      </c>
      <c r="U119" s="7" t="s">
        <v>44</v>
      </c>
      <c r="V119" s="7" t="s">
        <v>45</v>
      </c>
      <c r="W119" s="7" t="s">
        <v>46</v>
      </c>
      <c r="X119" s="7" t="s">
        <v>47</v>
      </c>
      <c r="Y119" s="7" t="s">
        <v>482</v>
      </c>
      <c r="Z119" s="7" t="s">
        <v>476</v>
      </c>
      <c r="AA119" s="7"/>
      <c r="AB119" s="7"/>
      <c r="AC119" s="7" t="s">
        <v>39</v>
      </c>
      <c r="AD119" s="7"/>
      <c r="AE119" s="7" t="s">
        <v>483</v>
      </c>
      <c r="AF119" s="7" t="s">
        <v>50</v>
      </c>
      <c r="AG119" s="7" t="s">
        <v>51</v>
      </c>
      <c r="AH119" s="7" t="s">
        <v>52</v>
      </c>
    </row>
    <row r="120" spans="1:34" ht="9.75" customHeight="1" x14ac:dyDescent="0.2">
      <c r="A120" s="7" t="s">
        <v>37</v>
      </c>
      <c r="B120" s="7" t="s">
        <v>38</v>
      </c>
      <c r="C120" s="7"/>
      <c r="D120" s="7" t="s">
        <v>484</v>
      </c>
      <c r="E120" s="8">
        <v>1</v>
      </c>
      <c r="F120" s="7" t="s">
        <v>41</v>
      </c>
      <c r="G120" s="7"/>
      <c r="H120" s="9"/>
      <c r="I120" s="10">
        <v>8033</v>
      </c>
      <c r="J120" s="9"/>
      <c r="K120" s="9"/>
      <c r="L120" s="10">
        <v>8374</v>
      </c>
      <c r="M120" s="9"/>
      <c r="N120" s="10">
        <v>8374</v>
      </c>
      <c r="O120" s="9"/>
      <c r="P120" s="10"/>
      <c r="Q120" s="10"/>
      <c r="R120" s="10"/>
      <c r="S120" s="7" t="s">
        <v>407</v>
      </c>
      <c r="T120" s="7" t="s">
        <v>55</v>
      </c>
      <c r="U120" s="7" t="s">
        <v>44</v>
      </c>
      <c r="V120" s="7" t="s">
        <v>45</v>
      </c>
      <c r="W120" s="7" t="s">
        <v>46</v>
      </c>
      <c r="X120" s="7" t="s">
        <v>47</v>
      </c>
      <c r="Y120" s="7" t="s">
        <v>485</v>
      </c>
      <c r="Z120" s="7" t="s">
        <v>476</v>
      </c>
      <c r="AA120" s="7"/>
      <c r="AB120" s="7"/>
      <c r="AC120" s="7" t="s">
        <v>39</v>
      </c>
      <c r="AD120" s="7"/>
      <c r="AE120" s="7" t="s">
        <v>486</v>
      </c>
      <c r="AF120" s="7" t="s">
        <v>50</v>
      </c>
      <c r="AG120" s="7" t="s">
        <v>51</v>
      </c>
      <c r="AH120" s="7" t="s">
        <v>52</v>
      </c>
    </row>
    <row r="121" spans="1:34" ht="9.75" customHeight="1" x14ac:dyDescent="0.2">
      <c r="A121" s="7" t="s">
        <v>37</v>
      </c>
      <c r="B121" s="7" t="s">
        <v>38</v>
      </c>
      <c r="C121" s="7"/>
      <c r="D121" s="7" t="s">
        <v>487</v>
      </c>
      <c r="E121" s="8">
        <v>1</v>
      </c>
      <c r="F121" s="7" t="s">
        <v>41</v>
      </c>
      <c r="G121" s="7"/>
      <c r="H121" s="9"/>
      <c r="I121" s="10">
        <v>1402</v>
      </c>
      <c r="J121" s="9"/>
      <c r="K121" s="9"/>
      <c r="L121" s="10">
        <v>1471</v>
      </c>
      <c r="M121" s="9"/>
      <c r="N121" s="10">
        <v>1471</v>
      </c>
      <c r="O121" s="9"/>
      <c r="P121" s="10"/>
      <c r="Q121" s="10"/>
      <c r="R121" s="10"/>
      <c r="S121" s="7" t="s">
        <v>407</v>
      </c>
      <c r="T121" s="7" t="s">
        <v>55</v>
      </c>
      <c r="U121" s="7" t="s">
        <v>44</v>
      </c>
      <c r="V121" s="7" t="s">
        <v>45</v>
      </c>
      <c r="W121" s="7" t="s">
        <v>46</v>
      </c>
      <c r="X121" s="7" t="s">
        <v>47</v>
      </c>
      <c r="Y121" s="7" t="s">
        <v>488</v>
      </c>
      <c r="Z121" s="7" t="s">
        <v>476</v>
      </c>
      <c r="AA121" s="7"/>
      <c r="AB121" s="7"/>
      <c r="AC121" s="7" t="s">
        <v>39</v>
      </c>
      <c r="AD121" s="7"/>
      <c r="AE121" s="7" t="s">
        <v>489</v>
      </c>
      <c r="AF121" s="7" t="s">
        <v>50</v>
      </c>
      <c r="AG121" s="7" t="s">
        <v>51</v>
      </c>
      <c r="AH121" s="7" t="s">
        <v>52</v>
      </c>
    </row>
    <row r="122" spans="1:34" ht="9.75" customHeight="1" x14ac:dyDescent="0.2">
      <c r="A122" s="7" t="s">
        <v>37</v>
      </c>
      <c r="B122" s="7" t="s">
        <v>38</v>
      </c>
      <c r="C122" s="7"/>
      <c r="D122" s="7" t="s">
        <v>490</v>
      </c>
      <c r="E122" s="8">
        <v>1</v>
      </c>
      <c r="F122" s="7" t="s">
        <v>41</v>
      </c>
      <c r="G122" s="7"/>
      <c r="H122" s="9"/>
      <c r="I122" s="9"/>
      <c r="J122" s="9"/>
      <c r="K122" s="9"/>
      <c r="L122" s="10">
        <v>29749</v>
      </c>
      <c r="M122" s="9"/>
      <c r="N122" s="10">
        <v>29749</v>
      </c>
      <c r="O122" s="9"/>
      <c r="P122" s="10"/>
      <c r="Q122" s="10"/>
      <c r="R122" s="10"/>
      <c r="S122" s="7" t="s">
        <v>407</v>
      </c>
      <c r="T122" s="7" t="s">
        <v>55</v>
      </c>
      <c r="U122" s="7" t="s">
        <v>44</v>
      </c>
      <c r="V122" s="7" t="s">
        <v>45</v>
      </c>
      <c r="W122" s="7" t="s">
        <v>46</v>
      </c>
      <c r="X122" s="7" t="s">
        <v>47</v>
      </c>
      <c r="Y122" s="7" t="s">
        <v>491</v>
      </c>
      <c r="Z122" s="7" t="s">
        <v>476</v>
      </c>
      <c r="AA122" s="7"/>
      <c r="AB122" s="7"/>
      <c r="AC122" s="7" t="s">
        <v>39</v>
      </c>
      <c r="AD122" s="7"/>
      <c r="AE122" s="7" t="s">
        <v>492</v>
      </c>
      <c r="AF122" s="7" t="s">
        <v>50</v>
      </c>
      <c r="AG122" s="7" t="s">
        <v>51</v>
      </c>
      <c r="AH122" s="7" t="s">
        <v>52</v>
      </c>
    </row>
    <row r="123" spans="1:34" ht="9.75" customHeight="1" x14ac:dyDescent="0.2">
      <c r="A123" s="7" t="s">
        <v>37</v>
      </c>
      <c r="B123" s="7" t="s">
        <v>38</v>
      </c>
      <c r="C123" s="7"/>
      <c r="D123" s="7" t="s">
        <v>493</v>
      </c>
      <c r="E123" s="8">
        <v>1</v>
      </c>
      <c r="F123" s="7" t="s">
        <v>41</v>
      </c>
      <c r="G123" s="7"/>
      <c r="H123" s="9"/>
      <c r="I123" s="10">
        <v>289404</v>
      </c>
      <c r="J123" s="9"/>
      <c r="K123" s="9"/>
      <c r="L123" s="10">
        <v>222711</v>
      </c>
      <c r="M123" s="9"/>
      <c r="N123" s="10">
        <v>222711</v>
      </c>
      <c r="O123" s="9"/>
      <c r="P123" s="10"/>
      <c r="Q123" s="10"/>
      <c r="R123" s="10"/>
      <c r="S123" s="7" t="s">
        <v>407</v>
      </c>
      <c r="T123" s="7" t="s">
        <v>55</v>
      </c>
      <c r="U123" s="7" t="s">
        <v>44</v>
      </c>
      <c r="V123" s="7" t="s">
        <v>45</v>
      </c>
      <c r="W123" s="7" t="s">
        <v>46</v>
      </c>
      <c r="X123" s="7" t="s">
        <v>47</v>
      </c>
      <c r="Y123" s="7" t="s">
        <v>494</v>
      </c>
      <c r="Z123" s="7" t="s">
        <v>495</v>
      </c>
      <c r="AA123" s="7"/>
      <c r="AB123" s="7"/>
      <c r="AC123" s="7" t="s">
        <v>39</v>
      </c>
      <c r="AD123" s="7"/>
      <c r="AE123" s="7" t="s">
        <v>496</v>
      </c>
      <c r="AF123" s="7" t="s">
        <v>50</v>
      </c>
      <c r="AG123" s="7" t="s">
        <v>51</v>
      </c>
      <c r="AH123" s="7" t="s">
        <v>52</v>
      </c>
    </row>
    <row r="124" spans="1:34" ht="9.75" customHeight="1" x14ac:dyDescent="0.2">
      <c r="A124" s="7" t="s">
        <v>37</v>
      </c>
      <c r="B124" s="7" t="s">
        <v>38</v>
      </c>
      <c r="C124" s="7"/>
      <c r="D124" s="7" t="s">
        <v>497</v>
      </c>
      <c r="E124" s="8">
        <v>1</v>
      </c>
      <c r="F124" s="7" t="s">
        <v>41</v>
      </c>
      <c r="G124" s="7"/>
      <c r="H124" s="9"/>
      <c r="I124" s="10">
        <v>129156</v>
      </c>
      <c r="J124" s="9"/>
      <c r="K124" s="9"/>
      <c r="L124" s="10">
        <v>105112</v>
      </c>
      <c r="M124" s="9"/>
      <c r="N124" s="10">
        <v>105112</v>
      </c>
      <c r="O124" s="9"/>
      <c r="P124" s="10"/>
      <c r="Q124" s="10"/>
      <c r="R124" s="10"/>
      <c r="S124" s="7" t="s">
        <v>407</v>
      </c>
      <c r="T124" s="7" t="s">
        <v>55</v>
      </c>
      <c r="U124" s="7" t="s">
        <v>44</v>
      </c>
      <c r="V124" s="7" t="s">
        <v>45</v>
      </c>
      <c r="W124" s="7" t="s">
        <v>46</v>
      </c>
      <c r="X124" s="7" t="s">
        <v>47</v>
      </c>
      <c r="Y124" s="7" t="s">
        <v>498</v>
      </c>
      <c r="Z124" s="7" t="s">
        <v>495</v>
      </c>
      <c r="AA124" s="7"/>
      <c r="AB124" s="7"/>
      <c r="AC124" s="7" t="s">
        <v>39</v>
      </c>
      <c r="AD124" s="7"/>
      <c r="AE124" s="7" t="s">
        <v>499</v>
      </c>
      <c r="AF124" s="7" t="s">
        <v>50</v>
      </c>
      <c r="AG124" s="7" t="s">
        <v>51</v>
      </c>
      <c r="AH124" s="7" t="s">
        <v>52</v>
      </c>
    </row>
    <row r="125" spans="1:34" ht="9.75" customHeight="1" x14ac:dyDescent="0.2">
      <c r="A125" s="7" t="s">
        <v>37</v>
      </c>
      <c r="B125" s="7" t="s">
        <v>38</v>
      </c>
      <c r="C125" s="7"/>
      <c r="D125" s="7" t="s">
        <v>500</v>
      </c>
      <c r="E125" s="8">
        <v>1</v>
      </c>
      <c r="F125" s="7" t="s">
        <v>41</v>
      </c>
      <c r="G125" s="7"/>
      <c r="H125" s="9"/>
      <c r="I125" s="10">
        <v>49961</v>
      </c>
      <c r="J125" s="9"/>
      <c r="K125" s="9"/>
      <c r="L125" s="10">
        <v>37443</v>
      </c>
      <c r="M125" s="9"/>
      <c r="N125" s="10">
        <v>37443</v>
      </c>
      <c r="O125" s="9"/>
      <c r="P125" s="10"/>
      <c r="Q125" s="10"/>
      <c r="R125" s="10"/>
      <c r="S125" s="7" t="s">
        <v>407</v>
      </c>
      <c r="T125" s="7" t="s">
        <v>55</v>
      </c>
      <c r="U125" s="7" t="s">
        <v>44</v>
      </c>
      <c r="V125" s="7" t="s">
        <v>45</v>
      </c>
      <c r="W125" s="7" t="s">
        <v>46</v>
      </c>
      <c r="X125" s="7" t="s">
        <v>47</v>
      </c>
      <c r="Y125" s="7" t="s">
        <v>501</v>
      </c>
      <c r="Z125" s="7" t="s">
        <v>495</v>
      </c>
      <c r="AA125" s="7"/>
      <c r="AB125" s="7"/>
      <c r="AC125" s="7" t="s">
        <v>39</v>
      </c>
      <c r="AD125" s="7"/>
      <c r="AE125" s="7" t="s">
        <v>502</v>
      </c>
      <c r="AF125" s="7" t="s">
        <v>50</v>
      </c>
      <c r="AG125" s="7" t="s">
        <v>51</v>
      </c>
      <c r="AH125" s="7" t="s">
        <v>52</v>
      </c>
    </row>
    <row r="126" spans="1:34" ht="9.75" customHeight="1" x14ac:dyDescent="0.2">
      <c r="A126" s="7" t="s">
        <v>37</v>
      </c>
      <c r="B126" s="7" t="s">
        <v>38</v>
      </c>
      <c r="C126" s="7"/>
      <c r="D126" s="7" t="s">
        <v>503</v>
      </c>
      <c r="E126" s="8">
        <v>1</v>
      </c>
      <c r="F126" s="7" t="s">
        <v>41</v>
      </c>
      <c r="G126" s="7"/>
      <c r="H126" s="9"/>
      <c r="I126" s="10">
        <v>78881</v>
      </c>
      <c r="J126" s="9"/>
      <c r="K126" s="9"/>
      <c r="L126" s="10">
        <v>64948</v>
      </c>
      <c r="M126" s="9"/>
      <c r="N126" s="10">
        <v>64948</v>
      </c>
      <c r="O126" s="9"/>
      <c r="P126" s="10"/>
      <c r="Q126" s="10"/>
      <c r="R126" s="10"/>
      <c r="S126" s="7" t="s">
        <v>407</v>
      </c>
      <c r="T126" s="7" t="s">
        <v>55</v>
      </c>
      <c r="U126" s="7" t="s">
        <v>44</v>
      </c>
      <c r="V126" s="7" t="s">
        <v>45</v>
      </c>
      <c r="W126" s="7" t="s">
        <v>46</v>
      </c>
      <c r="X126" s="7" t="s">
        <v>47</v>
      </c>
      <c r="Y126" s="7" t="s">
        <v>504</v>
      </c>
      <c r="Z126" s="7" t="s">
        <v>495</v>
      </c>
      <c r="AA126" s="7"/>
      <c r="AB126" s="7"/>
      <c r="AC126" s="7" t="s">
        <v>39</v>
      </c>
      <c r="AD126" s="7"/>
      <c r="AE126" s="7" t="s">
        <v>505</v>
      </c>
      <c r="AF126" s="7" t="s">
        <v>50</v>
      </c>
      <c r="AG126" s="7" t="s">
        <v>51</v>
      </c>
      <c r="AH126" s="7" t="s">
        <v>52</v>
      </c>
    </row>
    <row r="127" spans="1:34" ht="9.75" customHeight="1" x14ac:dyDescent="0.2">
      <c r="A127" s="7" t="s">
        <v>37</v>
      </c>
      <c r="B127" s="7" t="s">
        <v>38</v>
      </c>
      <c r="C127" s="7"/>
      <c r="D127" s="7" t="s">
        <v>506</v>
      </c>
      <c r="E127" s="8">
        <v>1</v>
      </c>
      <c r="F127" s="7" t="s">
        <v>41</v>
      </c>
      <c r="G127" s="7"/>
      <c r="H127" s="9"/>
      <c r="I127" s="9"/>
      <c r="J127" s="9"/>
      <c r="K127" s="9"/>
      <c r="L127" s="10">
        <v>7373</v>
      </c>
      <c r="M127" s="9"/>
      <c r="N127" s="10">
        <v>7373</v>
      </c>
      <c r="O127" s="9"/>
      <c r="P127" s="10"/>
      <c r="Q127" s="10"/>
      <c r="R127" s="10"/>
      <c r="S127" s="7" t="s">
        <v>407</v>
      </c>
      <c r="T127" s="7" t="s">
        <v>55</v>
      </c>
      <c r="U127" s="7" t="s">
        <v>44</v>
      </c>
      <c r="V127" s="7" t="s">
        <v>45</v>
      </c>
      <c r="W127" s="7" t="s">
        <v>46</v>
      </c>
      <c r="X127" s="7" t="s">
        <v>47</v>
      </c>
      <c r="Y127" s="7" t="s">
        <v>507</v>
      </c>
      <c r="Z127" s="7" t="s">
        <v>495</v>
      </c>
      <c r="AA127" s="7"/>
      <c r="AB127" s="7"/>
      <c r="AC127" s="7" t="s">
        <v>39</v>
      </c>
      <c r="AD127" s="7"/>
      <c r="AE127" s="7" t="s">
        <v>508</v>
      </c>
      <c r="AF127" s="7" t="s">
        <v>50</v>
      </c>
      <c r="AG127" s="7" t="s">
        <v>51</v>
      </c>
      <c r="AH127" s="7" t="s">
        <v>52</v>
      </c>
    </row>
    <row r="128" spans="1:34" ht="9.75" customHeight="1" x14ac:dyDescent="0.2">
      <c r="A128" s="7" t="s">
        <v>37</v>
      </c>
      <c r="B128" s="7" t="s">
        <v>38</v>
      </c>
      <c r="C128" s="7"/>
      <c r="D128" s="7" t="s">
        <v>509</v>
      </c>
      <c r="E128" s="8">
        <v>1</v>
      </c>
      <c r="F128" s="7" t="s">
        <v>41</v>
      </c>
      <c r="G128" s="7"/>
      <c r="H128" s="9"/>
      <c r="I128" s="10">
        <v>2091</v>
      </c>
      <c r="J128" s="9"/>
      <c r="K128" s="9"/>
      <c r="L128" s="10">
        <v>1331</v>
      </c>
      <c r="M128" s="9"/>
      <c r="N128" s="10">
        <v>1331</v>
      </c>
      <c r="O128" s="9"/>
      <c r="P128" s="10"/>
      <c r="Q128" s="10"/>
      <c r="R128" s="10"/>
      <c r="S128" s="7" t="s">
        <v>407</v>
      </c>
      <c r="T128" s="7" t="s">
        <v>55</v>
      </c>
      <c r="U128" s="7" t="s">
        <v>44</v>
      </c>
      <c r="V128" s="7" t="s">
        <v>45</v>
      </c>
      <c r="W128" s="7" t="s">
        <v>46</v>
      </c>
      <c r="X128" s="7" t="s">
        <v>47</v>
      </c>
      <c r="Y128" s="7" t="s">
        <v>510</v>
      </c>
      <c r="Z128" s="7" t="s">
        <v>495</v>
      </c>
      <c r="AA128" s="7"/>
      <c r="AB128" s="7"/>
      <c r="AC128" s="7" t="s">
        <v>39</v>
      </c>
      <c r="AD128" s="7"/>
      <c r="AE128" s="7" t="s">
        <v>511</v>
      </c>
      <c r="AF128" s="7" t="s">
        <v>50</v>
      </c>
      <c r="AG128" s="7" t="s">
        <v>51</v>
      </c>
      <c r="AH128" s="7" t="s">
        <v>52</v>
      </c>
    </row>
    <row r="129" spans="1:34" ht="9.75" customHeight="1" x14ac:dyDescent="0.2">
      <c r="A129" s="7" t="s">
        <v>37</v>
      </c>
      <c r="B129" s="7" t="s">
        <v>38</v>
      </c>
      <c r="C129" s="7"/>
      <c r="D129" s="7" t="s">
        <v>512</v>
      </c>
      <c r="E129" s="8">
        <v>1</v>
      </c>
      <c r="F129" s="7" t="s">
        <v>41</v>
      </c>
      <c r="G129" s="7"/>
      <c r="H129" s="9"/>
      <c r="I129" s="10">
        <v>45422</v>
      </c>
      <c r="J129" s="9"/>
      <c r="K129" s="9"/>
      <c r="L129" s="10">
        <v>31573</v>
      </c>
      <c r="M129" s="9"/>
      <c r="N129" s="10">
        <v>31573</v>
      </c>
      <c r="O129" s="9"/>
      <c r="P129" s="10"/>
      <c r="Q129" s="10"/>
      <c r="R129" s="10"/>
      <c r="S129" s="7" t="s">
        <v>407</v>
      </c>
      <c r="T129" s="7" t="s">
        <v>55</v>
      </c>
      <c r="U129" s="7" t="s">
        <v>44</v>
      </c>
      <c r="V129" s="7" t="s">
        <v>45</v>
      </c>
      <c r="W129" s="7" t="s">
        <v>46</v>
      </c>
      <c r="X129" s="7" t="s">
        <v>47</v>
      </c>
      <c r="Y129" s="7" t="s">
        <v>513</v>
      </c>
      <c r="Z129" s="7" t="s">
        <v>495</v>
      </c>
      <c r="AA129" s="7"/>
      <c r="AB129" s="7"/>
      <c r="AC129" s="7" t="s">
        <v>39</v>
      </c>
      <c r="AD129" s="7"/>
      <c r="AE129" s="7" t="s">
        <v>514</v>
      </c>
      <c r="AF129" s="7" t="s">
        <v>50</v>
      </c>
      <c r="AG129" s="7" t="s">
        <v>51</v>
      </c>
      <c r="AH129" s="7" t="s">
        <v>52</v>
      </c>
    </row>
    <row r="130" spans="1:34" ht="9.75" customHeight="1" x14ac:dyDescent="0.2">
      <c r="A130" s="7" t="s">
        <v>37</v>
      </c>
      <c r="B130" s="7" t="s">
        <v>38</v>
      </c>
      <c r="C130" s="7"/>
      <c r="D130" s="7" t="s">
        <v>515</v>
      </c>
      <c r="E130" s="8">
        <v>1</v>
      </c>
      <c r="F130" s="7" t="s">
        <v>41</v>
      </c>
      <c r="G130" s="7"/>
      <c r="H130" s="9"/>
      <c r="I130" s="10">
        <v>1842</v>
      </c>
      <c r="J130" s="9"/>
      <c r="K130" s="9"/>
      <c r="L130" s="10">
        <v>1941</v>
      </c>
      <c r="M130" s="9"/>
      <c r="N130" s="10">
        <v>1941</v>
      </c>
      <c r="O130" s="9"/>
      <c r="P130" s="10"/>
      <c r="Q130" s="10"/>
      <c r="R130" s="10"/>
      <c r="S130" s="7" t="s">
        <v>407</v>
      </c>
      <c r="T130" s="7" t="s">
        <v>55</v>
      </c>
      <c r="U130" s="7" t="s">
        <v>44</v>
      </c>
      <c r="V130" s="7" t="s">
        <v>45</v>
      </c>
      <c r="W130" s="7" t="s">
        <v>46</v>
      </c>
      <c r="X130" s="7" t="s">
        <v>47</v>
      </c>
      <c r="Y130" s="7" t="s">
        <v>516</v>
      </c>
      <c r="Z130" s="7" t="s">
        <v>495</v>
      </c>
      <c r="AA130" s="7"/>
      <c r="AB130" s="7"/>
      <c r="AC130" s="7" t="s">
        <v>39</v>
      </c>
      <c r="AD130" s="7"/>
      <c r="AE130" s="7" t="s">
        <v>517</v>
      </c>
      <c r="AF130" s="7" t="s">
        <v>50</v>
      </c>
      <c r="AG130" s="7" t="s">
        <v>51</v>
      </c>
      <c r="AH130" s="7" t="s">
        <v>52</v>
      </c>
    </row>
    <row r="131" spans="1:34" ht="9.75" customHeight="1" x14ac:dyDescent="0.2">
      <c r="A131" s="7" t="s">
        <v>37</v>
      </c>
      <c r="B131" s="7" t="s">
        <v>38</v>
      </c>
      <c r="C131" s="7"/>
      <c r="D131" s="7" t="s">
        <v>518</v>
      </c>
      <c r="E131" s="8">
        <v>1</v>
      </c>
      <c r="F131" s="7" t="s">
        <v>41</v>
      </c>
      <c r="G131" s="7"/>
      <c r="H131" s="9"/>
      <c r="I131" s="10">
        <v>61855</v>
      </c>
      <c r="J131" s="9"/>
      <c r="K131" s="9"/>
      <c r="L131" s="10">
        <v>66266</v>
      </c>
      <c r="M131" s="9"/>
      <c r="N131" s="10">
        <v>66266</v>
      </c>
      <c r="O131" s="9"/>
      <c r="P131" s="10"/>
      <c r="Q131" s="10"/>
      <c r="R131" s="10"/>
      <c r="S131" s="7" t="s">
        <v>407</v>
      </c>
      <c r="T131" s="7" t="s">
        <v>55</v>
      </c>
      <c r="U131" s="7" t="s">
        <v>44</v>
      </c>
      <c r="V131" s="7" t="s">
        <v>45</v>
      </c>
      <c r="W131" s="7" t="s">
        <v>46</v>
      </c>
      <c r="X131" s="7" t="s">
        <v>47</v>
      </c>
      <c r="Y131" s="7" t="s">
        <v>519</v>
      </c>
      <c r="Z131" s="7" t="s">
        <v>520</v>
      </c>
      <c r="AA131" s="7"/>
      <c r="AB131" s="7"/>
      <c r="AC131" s="7" t="s">
        <v>39</v>
      </c>
      <c r="AD131" s="7"/>
      <c r="AE131" s="7" t="s">
        <v>521</v>
      </c>
      <c r="AF131" s="7" t="s">
        <v>50</v>
      </c>
      <c r="AG131" s="7" t="s">
        <v>51</v>
      </c>
      <c r="AH131" s="7" t="s">
        <v>52</v>
      </c>
    </row>
    <row r="132" spans="1:34" ht="9.75" customHeight="1" x14ac:dyDescent="0.2">
      <c r="A132" s="7" t="s">
        <v>37</v>
      </c>
      <c r="B132" s="7" t="s">
        <v>38</v>
      </c>
      <c r="C132" s="7"/>
      <c r="D132" s="7" t="s">
        <v>522</v>
      </c>
      <c r="E132" s="8">
        <v>1</v>
      </c>
      <c r="F132" s="7" t="s">
        <v>41</v>
      </c>
      <c r="G132" s="7"/>
      <c r="H132" s="9"/>
      <c r="I132" s="10">
        <v>17880</v>
      </c>
      <c r="J132" s="9"/>
      <c r="K132" s="9"/>
      <c r="L132" s="10">
        <v>19154</v>
      </c>
      <c r="M132" s="9"/>
      <c r="N132" s="10">
        <v>19154</v>
      </c>
      <c r="O132" s="9"/>
      <c r="P132" s="10"/>
      <c r="Q132" s="10"/>
      <c r="R132" s="10"/>
      <c r="S132" s="7" t="s">
        <v>407</v>
      </c>
      <c r="T132" s="7" t="s">
        <v>55</v>
      </c>
      <c r="U132" s="7" t="s">
        <v>44</v>
      </c>
      <c r="V132" s="7" t="s">
        <v>45</v>
      </c>
      <c r="W132" s="7" t="s">
        <v>46</v>
      </c>
      <c r="X132" s="7" t="s">
        <v>47</v>
      </c>
      <c r="Y132" s="7" t="s">
        <v>523</v>
      </c>
      <c r="Z132" s="7" t="s">
        <v>520</v>
      </c>
      <c r="AA132" s="7"/>
      <c r="AB132" s="7"/>
      <c r="AC132" s="7" t="s">
        <v>39</v>
      </c>
      <c r="AD132" s="7"/>
      <c r="AE132" s="7" t="s">
        <v>431</v>
      </c>
      <c r="AF132" s="7" t="s">
        <v>50</v>
      </c>
      <c r="AG132" s="7" t="s">
        <v>51</v>
      </c>
      <c r="AH132" s="7" t="s">
        <v>52</v>
      </c>
    </row>
    <row r="133" spans="1:34" ht="9.75" customHeight="1" x14ac:dyDescent="0.2">
      <c r="A133" s="7" t="s">
        <v>37</v>
      </c>
      <c r="B133" s="7" t="s">
        <v>38</v>
      </c>
      <c r="C133" s="7"/>
      <c r="D133" s="7" t="s">
        <v>524</v>
      </c>
      <c r="E133" s="8">
        <v>1</v>
      </c>
      <c r="F133" s="7" t="s">
        <v>41</v>
      </c>
      <c r="G133" s="7"/>
      <c r="H133" s="9"/>
      <c r="I133" s="10">
        <v>16914</v>
      </c>
      <c r="J133" s="9"/>
      <c r="K133" s="9"/>
      <c r="L133" s="10">
        <v>18120</v>
      </c>
      <c r="M133" s="9"/>
      <c r="N133" s="10">
        <v>18120</v>
      </c>
      <c r="O133" s="9"/>
      <c r="P133" s="10"/>
      <c r="Q133" s="10"/>
      <c r="R133" s="10"/>
      <c r="S133" s="7" t="s">
        <v>407</v>
      </c>
      <c r="T133" s="7" t="s">
        <v>55</v>
      </c>
      <c r="U133" s="7" t="s">
        <v>44</v>
      </c>
      <c r="V133" s="7" t="s">
        <v>45</v>
      </c>
      <c r="W133" s="7" t="s">
        <v>46</v>
      </c>
      <c r="X133" s="7" t="s">
        <v>47</v>
      </c>
      <c r="Y133" s="7" t="s">
        <v>525</v>
      </c>
      <c r="Z133" s="7" t="s">
        <v>520</v>
      </c>
      <c r="AA133" s="7"/>
      <c r="AB133" s="7"/>
      <c r="AC133" s="7" t="s">
        <v>39</v>
      </c>
      <c r="AD133" s="7"/>
      <c r="AE133" s="7" t="s">
        <v>431</v>
      </c>
      <c r="AF133" s="7" t="s">
        <v>50</v>
      </c>
      <c r="AG133" s="7" t="s">
        <v>51</v>
      </c>
      <c r="AH133" s="7" t="s">
        <v>52</v>
      </c>
    </row>
    <row r="134" spans="1:34" ht="9.75" customHeight="1" x14ac:dyDescent="0.2">
      <c r="A134" s="7" t="s">
        <v>37</v>
      </c>
      <c r="B134" s="7" t="s">
        <v>38</v>
      </c>
      <c r="C134" s="7"/>
      <c r="D134" s="7" t="s">
        <v>526</v>
      </c>
      <c r="E134" s="8">
        <v>1</v>
      </c>
      <c r="F134" s="7" t="s">
        <v>41</v>
      </c>
      <c r="G134" s="7"/>
      <c r="H134" s="9"/>
      <c r="I134" s="10">
        <v>5149</v>
      </c>
      <c r="J134" s="9"/>
      <c r="K134" s="9"/>
      <c r="L134" s="10">
        <v>6081</v>
      </c>
      <c r="M134" s="9"/>
      <c r="N134" s="10">
        <v>6081</v>
      </c>
      <c r="O134" s="9"/>
      <c r="P134" s="10"/>
      <c r="Q134" s="10"/>
      <c r="R134" s="10"/>
      <c r="S134" s="7" t="s">
        <v>407</v>
      </c>
      <c r="T134" s="7" t="s">
        <v>55</v>
      </c>
      <c r="U134" s="7" t="s">
        <v>44</v>
      </c>
      <c r="V134" s="7" t="s">
        <v>45</v>
      </c>
      <c r="W134" s="7" t="s">
        <v>46</v>
      </c>
      <c r="X134" s="7" t="s">
        <v>47</v>
      </c>
      <c r="Y134" s="7" t="s">
        <v>527</v>
      </c>
      <c r="Z134" s="7" t="s">
        <v>528</v>
      </c>
      <c r="AA134" s="7"/>
      <c r="AB134" s="7"/>
      <c r="AC134" s="7" t="s">
        <v>39</v>
      </c>
      <c r="AD134" s="7"/>
      <c r="AE134" s="7" t="s">
        <v>529</v>
      </c>
      <c r="AF134" s="7" t="s">
        <v>50</v>
      </c>
      <c r="AG134" s="7" t="s">
        <v>51</v>
      </c>
      <c r="AH134" s="7" t="s">
        <v>52</v>
      </c>
    </row>
    <row r="135" spans="1:34" ht="9.75" customHeight="1" x14ac:dyDescent="0.2">
      <c r="A135" s="7" t="s">
        <v>37</v>
      </c>
      <c r="B135" s="7" t="s">
        <v>38</v>
      </c>
      <c r="C135" s="7"/>
      <c r="D135" s="7" t="s">
        <v>530</v>
      </c>
      <c r="E135" s="8">
        <v>1</v>
      </c>
      <c r="F135" s="7" t="s">
        <v>41</v>
      </c>
      <c r="G135" s="7"/>
      <c r="H135" s="9"/>
      <c r="I135" s="10">
        <v>3678</v>
      </c>
      <c r="J135" s="9"/>
      <c r="K135" s="9"/>
      <c r="L135" s="10">
        <v>4344</v>
      </c>
      <c r="M135" s="9"/>
      <c r="N135" s="10">
        <v>4344</v>
      </c>
      <c r="O135" s="9"/>
      <c r="P135" s="10"/>
      <c r="Q135" s="10"/>
      <c r="R135" s="10"/>
      <c r="S135" s="7" t="s">
        <v>407</v>
      </c>
      <c r="T135" s="7" t="s">
        <v>55</v>
      </c>
      <c r="U135" s="7" t="s">
        <v>44</v>
      </c>
      <c r="V135" s="7" t="s">
        <v>45</v>
      </c>
      <c r="W135" s="7" t="s">
        <v>46</v>
      </c>
      <c r="X135" s="7" t="s">
        <v>47</v>
      </c>
      <c r="Y135" s="7" t="s">
        <v>531</v>
      </c>
      <c r="Z135" s="7" t="s">
        <v>528</v>
      </c>
      <c r="AA135" s="7"/>
      <c r="AB135" s="7"/>
      <c r="AC135" s="7" t="s">
        <v>39</v>
      </c>
      <c r="AD135" s="7"/>
      <c r="AE135" s="7" t="s">
        <v>434</v>
      </c>
      <c r="AF135" s="7" t="s">
        <v>50</v>
      </c>
      <c r="AG135" s="7" t="s">
        <v>51</v>
      </c>
      <c r="AH135" s="7" t="s">
        <v>52</v>
      </c>
    </row>
    <row r="136" spans="1:34" ht="9.75" customHeight="1" x14ac:dyDescent="0.2">
      <c r="A136" s="7" t="s">
        <v>37</v>
      </c>
      <c r="B136" s="7" t="s">
        <v>38</v>
      </c>
      <c r="C136" s="7"/>
      <c r="D136" s="7" t="s">
        <v>532</v>
      </c>
      <c r="E136" s="8">
        <v>1</v>
      </c>
      <c r="F136" s="7" t="s">
        <v>41</v>
      </c>
      <c r="G136" s="7"/>
      <c r="H136" s="9"/>
      <c r="I136" s="10">
        <v>7519</v>
      </c>
      <c r="J136" s="9"/>
      <c r="K136" s="9"/>
      <c r="L136" s="10">
        <v>8880</v>
      </c>
      <c r="M136" s="9"/>
      <c r="N136" s="10">
        <v>8880</v>
      </c>
      <c r="O136" s="9"/>
      <c r="P136" s="10"/>
      <c r="Q136" s="10"/>
      <c r="R136" s="10"/>
      <c r="S136" s="7" t="s">
        <v>407</v>
      </c>
      <c r="T136" s="7" t="s">
        <v>55</v>
      </c>
      <c r="U136" s="7" t="s">
        <v>44</v>
      </c>
      <c r="V136" s="7" t="s">
        <v>45</v>
      </c>
      <c r="W136" s="7" t="s">
        <v>46</v>
      </c>
      <c r="X136" s="7" t="s">
        <v>47</v>
      </c>
      <c r="Y136" s="7" t="s">
        <v>533</v>
      </c>
      <c r="Z136" s="7" t="s">
        <v>528</v>
      </c>
      <c r="AA136" s="7"/>
      <c r="AB136" s="7"/>
      <c r="AC136" s="7" t="s">
        <v>39</v>
      </c>
      <c r="AD136" s="7"/>
      <c r="AE136" s="7" t="s">
        <v>434</v>
      </c>
      <c r="AF136" s="7" t="s">
        <v>50</v>
      </c>
      <c r="AG136" s="7" t="s">
        <v>51</v>
      </c>
      <c r="AH136" s="7" t="s">
        <v>52</v>
      </c>
    </row>
    <row r="137" spans="1:34" ht="9.75" customHeight="1" x14ac:dyDescent="0.2">
      <c r="A137" s="7" t="s">
        <v>37</v>
      </c>
      <c r="B137" s="7" t="s">
        <v>38</v>
      </c>
      <c r="C137" s="7"/>
      <c r="D137" s="7" t="s">
        <v>534</v>
      </c>
      <c r="E137" s="8">
        <v>1</v>
      </c>
      <c r="F137" s="7" t="s">
        <v>41</v>
      </c>
      <c r="G137" s="7"/>
      <c r="H137" s="9"/>
      <c r="I137" s="10">
        <v>4302</v>
      </c>
      <c r="J137" s="9"/>
      <c r="K137" s="9"/>
      <c r="L137" s="10">
        <v>4962</v>
      </c>
      <c r="M137" s="9"/>
      <c r="N137" s="10">
        <v>4962</v>
      </c>
      <c r="O137" s="9"/>
      <c r="P137" s="10"/>
      <c r="Q137" s="10"/>
      <c r="R137" s="10"/>
      <c r="S137" s="7" t="s">
        <v>407</v>
      </c>
      <c r="T137" s="7" t="s">
        <v>55</v>
      </c>
      <c r="U137" s="7" t="s">
        <v>44</v>
      </c>
      <c r="V137" s="7" t="s">
        <v>45</v>
      </c>
      <c r="W137" s="7" t="s">
        <v>46</v>
      </c>
      <c r="X137" s="7" t="s">
        <v>47</v>
      </c>
      <c r="Y137" s="7" t="s">
        <v>535</v>
      </c>
      <c r="Z137" s="7" t="s">
        <v>536</v>
      </c>
      <c r="AA137" s="7"/>
      <c r="AB137" s="7"/>
      <c r="AC137" s="7" t="s">
        <v>39</v>
      </c>
      <c r="AD137" s="7"/>
      <c r="AE137" s="7" t="s">
        <v>537</v>
      </c>
      <c r="AF137" s="7" t="s">
        <v>50</v>
      </c>
      <c r="AG137" s="7" t="s">
        <v>51</v>
      </c>
      <c r="AH137" s="7" t="s">
        <v>52</v>
      </c>
    </row>
    <row r="138" spans="1:34" ht="9.75" customHeight="1" x14ac:dyDescent="0.2">
      <c r="A138" s="7" t="s">
        <v>37</v>
      </c>
      <c r="B138" s="7" t="s">
        <v>38</v>
      </c>
      <c r="C138" s="7"/>
      <c r="D138" s="7" t="s">
        <v>538</v>
      </c>
      <c r="E138" s="8">
        <v>1</v>
      </c>
      <c r="F138" s="7" t="s">
        <v>41</v>
      </c>
      <c r="G138" s="7"/>
      <c r="H138" s="9"/>
      <c r="I138" s="10">
        <v>4614</v>
      </c>
      <c r="J138" s="9"/>
      <c r="K138" s="9"/>
      <c r="L138" s="10">
        <v>4393</v>
      </c>
      <c r="M138" s="9"/>
      <c r="N138" s="10">
        <v>4393</v>
      </c>
      <c r="O138" s="9"/>
      <c r="P138" s="10"/>
      <c r="Q138" s="10"/>
      <c r="R138" s="10"/>
      <c r="S138" s="7" t="s">
        <v>407</v>
      </c>
      <c r="T138" s="7" t="s">
        <v>55</v>
      </c>
      <c r="U138" s="7" t="s">
        <v>44</v>
      </c>
      <c r="V138" s="7" t="s">
        <v>45</v>
      </c>
      <c r="W138" s="7" t="s">
        <v>46</v>
      </c>
      <c r="X138" s="7" t="s">
        <v>47</v>
      </c>
      <c r="Y138" s="7" t="s">
        <v>539</v>
      </c>
      <c r="Z138" s="7" t="s">
        <v>536</v>
      </c>
      <c r="AA138" s="7"/>
      <c r="AB138" s="7"/>
      <c r="AC138" s="7" t="s">
        <v>39</v>
      </c>
      <c r="AD138" s="7"/>
      <c r="AE138" s="7" t="s">
        <v>437</v>
      </c>
      <c r="AF138" s="7" t="s">
        <v>50</v>
      </c>
      <c r="AG138" s="7" t="s">
        <v>51</v>
      </c>
      <c r="AH138" s="7" t="s">
        <v>52</v>
      </c>
    </row>
    <row r="139" spans="1:34" ht="9.75" customHeight="1" x14ac:dyDescent="0.2">
      <c r="A139" s="7" t="s">
        <v>37</v>
      </c>
      <c r="B139" s="7" t="s">
        <v>38</v>
      </c>
      <c r="C139" s="7"/>
      <c r="D139" s="7" t="s">
        <v>540</v>
      </c>
      <c r="E139" s="8">
        <v>1</v>
      </c>
      <c r="F139" s="7" t="s">
        <v>41</v>
      </c>
      <c r="G139" s="7"/>
      <c r="H139" s="9"/>
      <c r="I139" s="10">
        <v>6726</v>
      </c>
      <c r="J139" s="9"/>
      <c r="K139" s="9"/>
      <c r="L139" s="10">
        <v>6915</v>
      </c>
      <c r="M139" s="9"/>
      <c r="N139" s="10">
        <v>6915</v>
      </c>
      <c r="O139" s="9"/>
      <c r="P139" s="10"/>
      <c r="Q139" s="10"/>
      <c r="R139" s="10"/>
      <c r="S139" s="7" t="s">
        <v>407</v>
      </c>
      <c r="T139" s="7" t="s">
        <v>55</v>
      </c>
      <c r="U139" s="7" t="s">
        <v>44</v>
      </c>
      <c r="V139" s="7" t="s">
        <v>45</v>
      </c>
      <c r="W139" s="7" t="s">
        <v>46</v>
      </c>
      <c r="X139" s="7" t="s">
        <v>47</v>
      </c>
      <c r="Y139" s="7" t="s">
        <v>541</v>
      </c>
      <c r="Z139" s="7" t="s">
        <v>536</v>
      </c>
      <c r="AA139" s="7"/>
      <c r="AB139" s="7"/>
      <c r="AC139" s="7" t="s">
        <v>39</v>
      </c>
      <c r="AD139" s="7"/>
      <c r="AE139" s="7" t="s">
        <v>437</v>
      </c>
      <c r="AF139" s="7" t="s">
        <v>50</v>
      </c>
      <c r="AG139" s="7" t="s">
        <v>51</v>
      </c>
      <c r="AH139" s="7" t="s">
        <v>52</v>
      </c>
    </row>
    <row r="140" spans="1:34" ht="9.75" customHeight="1" x14ac:dyDescent="0.2">
      <c r="A140" s="7" t="s">
        <v>37</v>
      </c>
      <c r="B140" s="7" t="s">
        <v>38</v>
      </c>
      <c r="C140" s="7"/>
      <c r="D140" s="7" t="s">
        <v>542</v>
      </c>
      <c r="E140" s="8">
        <v>1</v>
      </c>
      <c r="F140" s="7" t="s">
        <v>41</v>
      </c>
      <c r="G140" s="7"/>
      <c r="H140" s="9"/>
      <c r="I140" s="10">
        <v>11922</v>
      </c>
      <c r="J140" s="9"/>
      <c r="K140" s="9"/>
      <c r="L140" s="10">
        <v>12403</v>
      </c>
      <c r="M140" s="9"/>
      <c r="N140" s="10">
        <v>12403</v>
      </c>
      <c r="O140" s="9"/>
      <c r="P140" s="10"/>
      <c r="Q140" s="10"/>
      <c r="R140" s="10"/>
      <c r="S140" s="7" t="s">
        <v>407</v>
      </c>
      <c r="T140" s="7" t="s">
        <v>55</v>
      </c>
      <c r="U140" s="7" t="s">
        <v>44</v>
      </c>
      <c r="V140" s="7" t="s">
        <v>45</v>
      </c>
      <c r="W140" s="7" t="s">
        <v>46</v>
      </c>
      <c r="X140" s="7" t="s">
        <v>47</v>
      </c>
      <c r="Y140" s="7" t="s">
        <v>543</v>
      </c>
      <c r="Z140" s="7" t="s">
        <v>544</v>
      </c>
      <c r="AA140" s="7"/>
      <c r="AB140" s="7"/>
      <c r="AC140" s="7" t="s">
        <v>39</v>
      </c>
      <c r="AD140" s="7"/>
      <c r="AE140" s="7" t="s">
        <v>545</v>
      </c>
      <c r="AF140" s="7" t="s">
        <v>50</v>
      </c>
      <c r="AG140" s="7" t="s">
        <v>51</v>
      </c>
      <c r="AH140" s="7" t="s">
        <v>52</v>
      </c>
    </row>
    <row r="141" spans="1:34" ht="9.75" customHeight="1" x14ac:dyDescent="0.2">
      <c r="A141" s="7" t="s">
        <v>37</v>
      </c>
      <c r="B141" s="7" t="s">
        <v>38</v>
      </c>
      <c r="C141" s="7"/>
      <c r="D141" s="7" t="s">
        <v>546</v>
      </c>
      <c r="E141" s="8">
        <v>1</v>
      </c>
      <c r="F141" s="7" t="s">
        <v>41</v>
      </c>
      <c r="G141" s="7"/>
      <c r="H141" s="9"/>
      <c r="I141" s="10">
        <v>5311</v>
      </c>
      <c r="J141" s="9"/>
      <c r="K141" s="9"/>
      <c r="L141" s="10">
        <v>5524</v>
      </c>
      <c r="M141" s="9"/>
      <c r="N141" s="10">
        <v>5524</v>
      </c>
      <c r="O141" s="9"/>
      <c r="P141" s="10"/>
      <c r="Q141" s="10"/>
      <c r="R141" s="10"/>
      <c r="S141" s="7" t="s">
        <v>407</v>
      </c>
      <c r="T141" s="7" t="s">
        <v>55</v>
      </c>
      <c r="U141" s="7" t="s">
        <v>44</v>
      </c>
      <c r="V141" s="7" t="s">
        <v>45</v>
      </c>
      <c r="W141" s="7" t="s">
        <v>46</v>
      </c>
      <c r="X141" s="7" t="s">
        <v>47</v>
      </c>
      <c r="Y141" s="7" t="s">
        <v>547</v>
      </c>
      <c r="Z141" s="7" t="s">
        <v>544</v>
      </c>
      <c r="AA141" s="7"/>
      <c r="AB141" s="7"/>
      <c r="AC141" s="7" t="s">
        <v>39</v>
      </c>
      <c r="AD141" s="7"/>
      <c r="AE141" s="7" t="s">
        <v>440</v>
      </c>
      <c r="AF141" s="7" t="s">
        <v>50</v>
      </c>
      <c r="AG141" s="7" t="s">
        <v>51</v>
      </c>
      <c r="AH141" s="7" t="s">
        <v>52</v>
      </c>
    </row>
    <row r="142" spans="1:34" ht="9.75" customHeight="1" x14ac:dyDescent="0.2">
      <c r="A142" s="7" t="s">
        <v>37</v>
      </c>
      <c r="B142" s="7" t="s">
        <v>38</v>
      </c>
      <c r="C142" s="7"/>
      <c r="D142" s="7" t="s">
        <v>548</v>
      </c>
      <c r="E142" s="8">
        <v>1</v>
      </c>
      <c r="F142" s="7" t="s">
        <v>41</v>
      </c>
      <c r="G142" s="7"/>
      <c r="H142" s="9"/>
      <c r="I142" s="10">
        <v>4444</v>
      </c>
      <c r="J142" s="9"/>
      <c r="K142" s="9"/>
      <c r="L142" s="10">
        <v>4623</v>
      </c>
      <c r="M142" s="9"/>
      <c r="N142" s="10">
        <v>4623</v>
      </c>
      <c r="O142" s="9"/>
      <c r="P142" s="10"/>
      <c r="Q142" s="10"/>
      <c r="R142" s="10"/>
      <c r="S142" s="7" t="s">
        <v>407</v>
      </c>
      <c r="T142" s="7" t="s">
        <v>55</v>
      </c>
      <c r="U142" s="7" t="s">
        <v>44</v>
      </c>
      <c r="V142" s="7" t="s">
        <v>45</v>
      </c>
      <c r="W142" s="7" t="s">
        <v>46</v>
      </c>
      <c r="X142" s="7" t="s">
        <v>47</v>
      </c>
      <c r="Y142" s="7" t="s">
        <v>549</v>
      </c>
      <c r="Z142" s="7" t="s">
        <v>544</v>
      </c>
      <c r="AA142" s="7"/>
      <c r="AB142" s="7"/>
      <c r="AC142" s="7" t="s">
        <v>39</v>
      </c>
      <c r="AD142" s="7"/>
      <c r="AE142" s="7" t="s">
        <v>440</v>
      </c>
      <c r="AF142" s="7" t="s">
        <v>50</v>
      </c>
      <c r="AG142" s="7" t="s">
        <v>51</v>
      </c>
      <c r="AH142" s="7" t="s">
        <v>52</v>
      </c>
    </row>
    <row r="143" spans="1:34" ht="9.75" customHeight="1" x14ac:dyDescent="0.2">
      <c r="A143" s="7" t="s">
        <v>37</v>
      </c>
      <c r="B143" s="7" t="s">
        <v>38</v>
      </c>
      <c r="C143" s="7"/>
      <c r="D143" s="7" t="s">
        <v>550</v>
      </c>
      <c r="E143" s="8">
        <v>1</v>
      </c>
      <c r="F143" s="7" t="s">
        <v>41</v>
      </c>
      <c r="G143" s="7"/>
      <c r="H143" s="9"/>
      <c r="I143" s="10">
        <v>16421</v>
      </c>
      <c r="J143" s="9"/>
      <c r="K143" s="9"/>
      <c r="L143" s="10">
        <v>17085</v>
      </c>
      <c r="M143" s="9"/>
      <c r="N143" s="10">
        <v>17085</v>
      </c>
      <c r="O143" s="9"/>
      <c r="P143" s="10"/>
      <c r="Q143" s="10"/>
      <c r="R143" s="10"/>
      <c r="S143" s="7" t="s">
        <v>407</v>
      </c>
      <c r="T143" s="7" t="s">
        <v>55</v>
      </c>
      <c r="U143" s="7" t="s">
        <v>44</v>
      </c>
      <c r="V143" s="7" t="s">
        <v>45</v>
      </c>
      <c r="W143" s="7" t="s">
        <v>46</v>
      </c>
      <c r="X143" s="7" t="s">
        <v>47</v>
      </c>
      <c r="Y143" s="7" t="s">
        <v>551</v>
      </c>
      <c r="Z143" s="7" t="s">
        <v>552</v>
      </c>
      <c r="AA143" s="7"/>
      <c r="AB143" s="7"/>
      <c r="AC143" s="7" t="s">
        <v>39</v>
      </c>
      <c r="AD143" s="7"/>
      <c r="AE143" s="7" t="s">
        <v>553</v>
      </c>
      <c r="AF143" s="7" t="s">
        <v>50</v>
      </c>
      <c r="AG143" s="7" t="s">
        <v>51</v>
      </c>
      <c r="AH143" s="7" t="s">
        <v>52</v>
      </c>
    </row>
    <row r="144" spans="1:34" ht="9.75" customHeight="1" x14ac:dyDescent="0.2">
      <c r="A144" s="7" t="s">
        <v>37</v>
      </c>
      <c r="B144" s="7" t="s">
        <v>38</v>
      </c>
      <c r="C144" s="7"/>
      <c r="D144" s="7" t="s">
        <v>554</v>
      </c>
      <c r="E144" s="8">
        <v>1</v>
      </c>
      <c r="F144" s="7" t="s">
        <v>41</v>
      </c>
      <c r="G144" s="7"/>
      <c r="H144" s="9"/>
      <c r="I144" s="10">
        <v>3623</v>
      </c>
      <c r="J144" s="9"/>
      <c r="K144" s="9"/>
      <c r="L144" s="10">
        <v>3769</v>
      </c>
      <c r="M144" s="9"/>
      <c r="N144" s="10">
        <v>3769</v>
      </c>
      <c r="O144" s="9"/>
      <c r="P144" s="10"/>
      <c r="Q144" s="10"/>
      <c r="R144" s="10"/>
      <c r="S144" s="7" t="s">
        <v>407</v>
      </c>
      <c r="T144" s="7" t="s">
        <v>55</v>
      </c>
      <c r="U144" s="7" t="s">
        <v>44</v>
      </c>
      <c r="V144" s="7" t="s">
        <v>45</v>
      </c>
      <c r="W144" s="7" t="s">
        <v>46</v>
      </c>
      <c r="X144" s="7" t="s">
        <v>47</v>
      </c>
      <c r="Y144" s="7" t="s">
        <v>555</v>
      </c>
      <c r="Z144" s="7" t="s">
        <v>552</v>
      </c>
      <c r="AA144" s="7"/>
      <c r="AB144" s="7"/>
      <c r="AC144" s="7" t="s">
        <v>39</v>
      </c>
      <c r="AD144" s="7"/>
      <c r="AE144" s="7" t="s">
        <v>443</v>
      </c>
      <c r="AF144" s="7" t="s">
        <v>50</v>
      </c>
      <c r="AG144" s="7" t="s">
        <v>51</v>
      </c>
      <c r="AH144" s="7" t="s">
        <v>52</v>
      </c>
    </row>
    <row r="145" spans="1:34" ht="9.75" customHeight="1" x14ac:dyDescent="0.2">
      <c r="A145" s="7" t="s">
        <v>37</v>
      </c>
      <c r="B145" s="7" t="s">
        <v>38</v>
      </c>
      <c r="C145" s="7"/>
      <c r="D145" s="7" t="s">
        <v>556</v>
      </c>
      <c r="E145" s="8">
        <v>1</v>
      </c>
      <c r="F145" s="7" t="s">
        <v>41</v>
      </c>
      <c r="G145" s="7"/>
      <c r="H145" s="9"/>
      <c r="I145" s="10">
        <v>4105</v>
      </c>
      <c r="J145" s="9"/>
      <c r="K145" s="9"/>
      <c r="L145" s="10">
        <v>4271</v>
      </c>
      <c r="M145" s="9"/>
      <c r="N145" s="10">
        <v>4271</v>
      </c>
      <c r="O145" s="9"/>
      <c r="P145" s="10"/>
      <c r="Q145" s="10"/>
      <c r="R145" s="10"/>
      <c r="S145" s="7" t="s">
        <v>407</v>
      </c>
      <c r="T145" s="7" t="s">
        <v>55</v>
      </c>
      <c r="U145" s="7" t="s">
        <v>44</v>
      </c>
      <c r="V145" s="7" t="s">
        <v>45</v>
      </c>
      <c r="W145" s="7" t="s">
        <v>46</v>
      </c>
      <c r="X145" s="7" t="s">
        <v>47</v>
      </c>
      <c r="Y145" s="7" t="s">
        <v>557</v>
      </c>
      <c r="Z145" s="7" t="s">
        <v>552</v>
      </c>
      <c r="AA145" s="7"/>
      <c r="AB145" s="7"/>
      <c r="AC145" s="7" t="s">
        <v>39</v>
      </c>
      <c r="AD145" s="7"/>
      <c r="AE145" s="7" t="s">
        <v>443</v>
      </c>
      <c r="AF145" s="7" t="s">
        <v>50</v>
      </c>
      <c r="AG145" s="7" t="s">
        <v>51</v>
      </c>
      <c r="AH145" s="7" t="s">
        <v>52</v>
      </c>
    </row>
    <row r="146" spans="1:34" ht="9.75" customHeight="1" x14ac:dyDescent="0.2">
      <c r="A146" s="7" t="s">
        <v>37</v>
      </c>
      <c r="B146" s="7" t="s">
        <v>38</v>
      </c>
      <c r="C146" s="7"/>
      <c r="D146" s="7" t="s">
        <v>558</v>
      </c>
      <c r="E146" s="8">
        <v>1</v>
      </c>
      <c r="F146" s="7" t="s">
        <v>41</v>
      </c>
      <c r="G146" s="7"/>
      <c r="H146" s="9"/>
      <c r="I146" s="10">
        <v>5587</v>
      </c>
      <c r="J146" s="9"/>
      <c r="K146" s="9"/>
      <c r="L146" s="10">
        <v>5813</v>
      </c>
      <c r="M146" s="9"/>
      <c r="N146" s="10">
        <v>5813</v>
      </c>
      <c r="O146" s="9"/>
      <c r="P146" s="10"/>
      <c r="Q146" s="10"/>
      <c r="R146" s="10"/>
      <c r="S146" s="7" t="s">
        <v>407</v>
      </c>
      <c r="T146" s="7" t="s">
        <v>55</v>
      </c>
      <c r="U146" s="7" t="s">
        <v>44</v>
      </c>
      <c r="V146" s="7" t="s">
        <v>45</v>
      </c>
      <c r="W146" s="7" t="s">
        <v>46</v>
      </c>
      <c r="X146" s="7" t="s">
        <v>47</v>
      </c>
      <c r="Y146" s="7" t="s">
        <v>559</v>
      </c>
      <c r="Z146" s="7" t="s">
        <v>560</v>
      </c>
      <c r="AA146" s="7"/>
      <c r="AB146" s="7"/>
      <c r="AC146" s="7" t="s">
        <v>39</v>
      </c>
      <c r="AD146" s="7"/>
      <c r="AE146" s="7" t="s">
        <v>561</v>
      </c>
      <c r="AF146" s="7" t="s">
        <v>50</v>
      </c>
      <c r="AG146" s="7" t="s">
        <v>51</v>
      </c>
      <c r="AH146" s="7" t="s">
        <v>52</v>
      </c>
    </row>
    <row r="147" spans="1:34" ht="9.75" customHeight="1" x14ac:dyDescent="0.2">
      <c r="A147" s="7" t="s">
        <v>37</v>
      </c>
      <c r="B147" s="7" t="s">
        <v>38</v>
      </c>
      <c r="C147" s="7"/>
      <c r="D147" s="7" t="s">
        <v>562</v>
      </c>
      <c r="E147" s="8">
        <v>1</v>
      </c>
      <c r="F147" s="7" t="s">
        <v>41</v>
      </c>
      <c r="G147" s="7"/>
      <c r="H147" s="9"/>
      <c r="I147" s="10">
        <v>1641</v>
      </c>
      <c r="J147" s="9"/>
      <c r="K147" s="9"/>
      <c r="L147" s="10">
        <v>1707</v>
      </c>
      <c r="M147" s="9"/>
      <c r="N147" s="10">
        <v>1707</v>
      </c>
      <c r="O147" s="9"/>
      <c r="P147" s="10"/>
      <c r="Q147" s="10"/>
      <c r="R147" s="10"/>
      <c r="S147" s="7" t="s">
        <v>407</v>
      </c>
      <c r="T147" s="7" t="s">
        <v>55</v>
      </c>
      <c r="U147" s="7" t="s">
        <v>44</v>
      </c>
      <c r="V147" s="7" t="s">
        <v>45</v>
      </c>
      <c r="W147" s="7" t="s">
        <v>46</v>
      </c>
      <c r="X147" s="7" t="s">
        <v>47</v>
      </c>
      <c r="Y147" s="7" t="s">
        <v>563</v>
      </c>
      <c r="Z147" s="7" t="s">
        <v>560</v>
      </c>
      <c r="AA147" s="7"/>
      <c r="AB147" s="7"/>
      <c r="AC147" s="7" t="s">
        <v>39</v>
      </c>
      <c r="AD147" s="7"/>
      <c r="AE147" s="7" t="s">
        <v>446</v>
      </c>
      <c r="AF147" s="7" t="s">
        <v>50</v>
      </c>
      <c r="AG147" s="7" t="s">
        <v>51</v>
      </c>
      <c r="AH147" s="7" t="s">
        <v>52</v>
      </c>
    </row>
    <row r="148" spans="1:34" ht="9.75" customHeight="1" x14ac:dyDescent="0.2">
      <c r="A148" s="7" t="s">
        <v>37</v>
      </c>
      <c r="B148" s="7" t="s">
        <v>38</v>
      </c>
      <c r="C148" s="7"/>
      <c r="D148" s="7" t="s">
        <v>564</v>
      </c>
      <c r="E148" s="8">
        <v>1</v>
      </c>
      <c r="F148" s="7" t="s">
        <v>41</v>
      </c>
      <c r="G148" s="7"/>
      <c r="H148" s="9"/>
      <c r="I148" s="10">
        <v>586</v>
      </c>
      <c r="J148" s="9"/>
      <c r="K148" s="9"/>
      <c r="L148" s="10">
        <v>610</v>
      </c>
      <c r="M148" s="9"/>
      <c r="N148" s="10">
        <v>610</v>
      </c>
      <c r="O148" s="9"/>
      <c r="P148" s="10"/>
      <c r="Q148" s="10"/>
      <c r="R148" s="10"/>
      <c r="S148" s="7" t="s">
        <v>407</v>
      </c>
      <c r="T148" s="7" t="s">
        <v>55</v>
      </c>
      <c r="U148" s="7" t="s">
        <v>44</v>
      </c>
      <c r="V148" s="7" t="s">
        <v>45</v>
      </c>
      <c r="W148" s="7" t="s">
        <v>46</v>
      </c>
      <c r="X148" s="7" t="s">
        <v>47</v>
      </c>
      <c r="Y148" s="7" t="s">
        <v>565</v>
      </c>
      <c r="Z148" s="7" t="s">
        <v>560</v>
      </c>
      <c r="AA148" s="7"/>
      <c r="AB148" s="7"/>
      <c r="AC148" s="7" t="s">
        <v>39</v>
      </c>
      <c r="AD148" s="7"/>
      <c r="AE148" s="7" t="s">
        <v>446</v>
      </c>
      <c r="AF148" s="7" t="s">
        <v>50</v>
      </c>
      <c r="AG148" s="7" t="s">
        <v>51</v>
      </c>
      <c r="AH148" s="7" t="s">
        <v>52</v>
      </c>
    </row>
    <row r="149" spans="1:34" ht="9.75" customHeight="1" x14ac:dyDescent="0.2">
      <c r="A149" s="7" t="s">
        <v>37</v>
      </c>
      <c r="B149" s="7" t="s">
        <v>38</v>
      </c>
      <c r="C149" s="7"/>
      <c r="D149" s="7" t="s">
        <v>566</v>
      </c>
      <c r="E149" s="8">
        <v>1</v>
      </c>
      <c r="F149" s="7" t="s">
        <v>41</v>
      </c>
      <c r="G149" s="7"/>
      <c r="H149" s="9"/>
      <c r="I149" s="10">
        <v>26064</v>
      </c>
      <c r="J149" s="9"/>
      <c r="K149" s="9"/>
      <c r="L149" s="10">
        <v>27119</v>
      </c>
      <c r="M149" s="9"/>
      <c r="N149" s="10">
        <v>27119</v>
      </c>
      <c r="O149" s="9"/>
      <c r="P149" s="10"/>
      <c r="Q149" s="10"/>
      <c r="R149" s="10"/>
      <c r="S149" s="7" t="s">
        <v>407</v>
      </c>
      <c r="T149" s="7" t="s">
        <v>55</v>
      </c>
      <c r="U149" s="7" t="s">
        <v>44</v>
      </c>
      <c r="V149" s="7" t="s">
        <v>45</v>
      </c>
      <c r="W149" s="7" t="s">
        <v>46</v>
      </c>
      <c r="X149" s="7" t="s">
        <v>47</v>
      </c>
      <c r="Y149" s="7" t="s">
        <v>567</v>
      </c>
      <c r="Z149" s="7" t="s">
        <v>568</v>
      </c>
      <c r="AA149" s="7"/>
      <c r="AB149" s="7"/>
      <c r="AC149" s="7" t="s">
        <v>39</v>
      </c>
      <c r="AD149" s="7"/>
      <c r="AE149" s="7" t="s">
        <v>569</v>
      </c>
      <c r="AF149" s="7" t="s">
        <v>50</v>
      </c>
      <c r="AG149" s="7" t="s">
        <v>51</v>
      </c>
      <c r="AH149" s="7" t="s">
        <v>52</v>
      </c>
    </row>
    <row r="150" spans="1:34" ht="9.75" customHeight="1" x14ac:dyDescent="0.2">
      <c r="A150" s="7" t="s">
        <v>37</v>
      </c>
      <c r="B150" s="7" t="s">
        <v>38</v>
      </c>
      <c r="C150" s="7"/>
      <c r="D150" s="7" t="s">
        <v>570</v>
      </c>
      <c r="E150" s="8">
        <v>1</v>
      </c>
      <c r="F150" s="7" t="s">
        <v>41</v>
      </c>
      <c r="G150" s="7"/>
      <c r="H150" s="9"/>
      <c r="I150" s="10">
        <v>8132</v>
      </c>
      <c r="J150" s="9"/>
      <c r="K150" s="9"/>
      <c r="L150" s="10">
        <v>8461</v>
      </c>
      <c r="M150" s="9"/>
      <c r="N150" s="10">
        <v>8461</v>
      </c>
      <c r="O150" s="9"/>
      <c r="P150" s="10"/>
      <c r="Q150" s="10"/>
      <c r="R150" s="10"/>
      <c r="S150" s="7" t="s">
        <v>407</v>
      </c>
      <c r="T150" s="7" t="s">
        <v>55</v>
      </c>
      <c r="U150" s="7" t="s">
        <v>44</v>
      </c>
      <c r="V150" s="7" t="s">
        <v>45</v>
      </c>
      <c r="W150" s="7" t="s">
        <v>46</v>
      </c>
      <c r="X150" s="7" t="s">
        <v>47</v>
      </c>
      <c r="Y150" s="7" t="s">
        <v>571</v>
      </c>
      <c r="Z150" s="7" t="s">
        <v>568</v>
      </c>
      <c r="AA150" s="7"/>
      <c r="AB150" s="7"/>
      <c r="AC150" s="7" t="s">
        <v>39</v>
      </c>
      <c r="AD150" s="7"/>
      <c r="AE150" s="7" t="s">
        <v>449</v>
      </c>
      <c r="AF150" s="7" t="s">
        <v>50</v>
      </c>
      <c r="AG150" s="7" t="s">
        <v>51</v>
      </c>
      <c r="AH150" s="7" t="s">
        <v>52</v>
      </c>
    </row>
    <row r="151" spans="1:34" ht="9.75" customHeight="1" x14ac:dyDescent="0.2">
      <c r="A151" s="7" t="s">
        <v>37</v>
      </c>
      <c r="B151" s="7" t="s">
        <v>38</v>
      </c>
      <c r="C151" s="7"/>
      <c r="D151" s="7" t="s">
        <v>572</v>
      </c>
      <c r="E151" s="8">
        <v>1</v>
      </c>
      <c r="F151" s="7" t="s">
        <v>41</v>
      </c>
      <c r="G151" s="7"/>
      <c r="H151" s="9"/>
      <c r="I151" s="10">
        <v>7506</v>
      </c>
      <c r="J151" s="9"/>
      <c r="K151" s="9"/>
      <c r="L151" s="10">
        <v>7810</v>
      </c>
      <c r="M151" s="9"/>
      <c r="N151" s="10">
        <v>7810</v>
      </c>
      <c r="O151" s="9"/>
      <c r="P151" s="10"/>
      <c r="Q151" s="10"/>
      <c r="R151" s="10"/>
      <c r="S151" s="7" t="s">
        <v>407</v>
      </c>
      <c r="T151" s="7" t="s">
        <v>55</v>
      </c>
      <c r="U151" s="7" t="s">
        <v>44</v>
      </c>
      <c r="V151" s="7" t="s">
        <v>45</v>
      </c>
      <c r="W151" s="7" t="s">
        <v>46</v>
      </c>
      <c r="X151" s="7" t="s">
        <v>47</v>
      </c>
      <c r="Y151" s="7" t="s">
        <v>573</v>
      </c>
      <c r="Z151" s="7" t="s">
        <v>568</v>
      </c>
      <c r="AA151" s="7"/>
      <c r="AB151" s="7"/>
      <c r="AC151" s="7" t="s">
        <v>39</v>
      </c>
      <c r="AD151" s="7"/>
      <c r="AE151" s="7" t="s">
        <v>574</v>
      </c>
      <c r="AF151" s="7" t="s">
        <v>50</v>
      </c>
      <c r="AG151" s="7" t="s">
        <v>51</v>
      </c>
      <c r="AH151" s="7" t="s">
        <v>52</v>
      </c>
    </row>
    <row r="152" spans="1:34" ht="9.75" customHeight="1" x14ac:dyDescent="0.2">
      <c r="A152" s="7" t="s">
        <v>37</v>
      </c>
      <c r="B152" s="7" t="s">
        <v>38</v>
      </c>
      <c r="C152" s="7"/>
      <c r="D152" s="7" t="s">
        <v>575</v>
      </c>
      <c r="E152" s="8">
        <v>1</v>
      </c>
      <c r="F152" s="7" t="s">
        <v>41</v>
      </c>
      <c r="G152" s="7"/>
      <c r="H152" s="9"/>
      <c r="I152" s="10">
        <v>78187</v>
      </c>
      <c r="J152" s="9"/>
      <c r="K152" s="9"/>
      <c r="L152" s="10">
        <v>71372</v>
      </c>
      <c r="M152" s="9"/>
      <c r="N152" s="10">
        <v>71372</v>
      </c>
      <c r="O152" s="9"/>
      <c r="P152" s="10"/>
      <c r="Q152" s="10"/>
      <c r="R152" s="10"/>
      <c r="S152" s="7" t="s">
        <v>407</v>
      </c>
      <c r="T152" s="7" t="s">
        <v>55</v>
      </c>
      <c r="U152" s="7" t="s">
        <v>44</v>
      </c>
      <c r="V152" s="7" t="s">
        <v>45</v>
      </c>
      <c r="W152" s="7" t="s">
        <v>46</v>
      </c>
      <c r="X152" s="7" t="s">
        <v>47</v>
      </c>
      <c r="Y152" s="7" t="s">
        <v>576</v>
      </c>
      <c r="Z152" s="7" t="s">
        <v>577</v>
      </c>
      <c r="AA152" s="7"/>
      <c r="AB152" s="7"/>
      <c r="AC152" s="7" t="s">
        <v>39</v>
      </c>
      <c r="AD152" s="7"/>
      <c r="AE152" s="7" t="s">
        <v>578</v>
      </c>
      <c r="AF152" s="7" t="s">
        <v>50</v>
      </c>
      <c r="AG152" s="7" t="s">
        <v>51</v>
      </c>
      <c r="AH152" s="7" t="s">
        <v>52</v>
      </c>
    </row>
    <row r="153" spans="1:34" ht="9.75" customHeight="1" x14ac:dyDescent="0.2">
      <c r="A153" s="7" t="s">
        <v>37</v>
      </c>
      <c r="B153" s="7" t="s">
        <v>38</v>
      </c>
      <c r="C153" s="7"/>
      <c r="D153" s="7" t="s">
        <v>579</v>
      </c>
      <c r="E153" s="8">
        <v>1</v>
      </c>
      <c r="F153" s="7" t="s">
        <v>41</v>
      </c>
      <c r="G153" s="7"/>
      <c r="H153" s="9"/>
      <c r="I153" s="10">
        <v>10056</v>
      </c>
      <c r="J153" s="9"/>
      <c r="K153" s="9"/>
      <c r="L153" s="10">
        <v>8044</v>
      </c>
      <c r="M153" s="9"/>
      <c r="N153" s="10">
        <v>8044</v>
      </c>
      <c r="O153" s="9"/>
      <c r="P153" s="10"/>
      <c r="Q153" s="10"/>
      <c r="R153" s="10"/>
      <c r="S153" s="7" t="s">
        <v>407</v>
      </c>
      <c r="T153" s="7" t="s">
        <v>55</v>
      </c>
      <c r="U153" s="7" t="s">
        <v>44</v>
      </c>
      <c r="V153" s="7" t="s">
        <v>45</v>
      </c>
      <c r="W153" s="7" t="s">
        <v>46</v>
      </c>
      <c r="X153" s="7" t="s">
        <v>47</v>
      </c>
      <c r="Y153" s="7" t="s">
        <v>580</v>
      </c>
      <c r="Z153" s="7" t="s">
        <v>577</v>
      </c>
      <c r="AA153" s="7"/>
      <c r="AB153" s="7"/>
      <c r="AC153" s="7" t="s">
        <v>39</v>
      </c>
      <c r="AD153" s="7"/>
      <c r="AE153" s="7" t="s">
        <v>477</v>
      </c>
      <c r="AF153" s="7" t="s">
        <v>50</v>
      </c>
      <c r="AG153" s="7" t="s">
        <v>51</v>
      </c>
      <c r="AH153" s="7" t="s">
        <v>52</v>
      </c>
    </row>
    <row r="154" spans="1:34" ht="9.75" customHeight="1" x14ac:dyDescent="0.2">
      <c r="A154" s="7" t="s">
        <v>37</v>
      </c>
      <c r="B154" s="7" t="s">
        <v>38</v>
      </c>
      <c r="C154" s="7"/>
      <c r="D154" s="7" t="s">
        <v>581</v>
      </c>
      <c r="E154" s="8">
        <v>1</v>
      </c>
      <c r="F154" s="7" t="s">
        <v>41</v>
      </c>
      <c r="G154" s="7"/>
      <c r="H154" s="9"/>
      <c r="I154" s="10">
        <v>7868</v>
      </c>
      <c r="J154" s="9"/>
      <c r="K154" s="9"/>
      <c r="L154" s="10">
        <v>7483</v>
      </c>
      <c r="M154" s="9"/>
      <c r="N154" s="10">
        <v>7483</v>
      </c>
      <c r="O154" s="9"/>
      <c r="P154" s="10"/>
      <c r="Q154" s="10"/>
      <c r="R154" s="10"/>
      <c r="S154" s="7" t="s">
        <v>407</v>
      </c>
      <c r="T154" s="7" t="s">
        <v>55</v>
      </c>
      <c r="U154" s="7" t="s">
        <v>44</v>
      </c>
      <c r="V154" s="7" t="s">
        <v>45</v>
      </c>
      <c r="W154" s="7" t="s">
        <v>46</v>
      </c>
      <c r="X154" s="7" t="s">
        <v>47</v>
      </c>
      <c r="Y154" s="7" t="s">
        <v>582</v>
      </c>
      <c r="Z154" s="7" t="s">
        <v>583</v>
      </c>
      <c r="AA154" s="7"/>
      <c r="AB154" s="7"/>
      <c r="AC154" s="7" t="s">
        <v>39</v>
      </c>
      <c r="AD154" s="7"/>
      <c r="AE154" s="7"/>
      <c r="AF154" s="7" t="s">
        <v>50</v>
      </c>
      <c r="AG154" s="7" t="s">
        <v>51</v>
      </c>
      <c r="AH154" s="7" t="s">
        <v>52</v>
      </c>
    </row>
    <row r="155" spans="1:34" ht="9.75" customHeight="1" x14ac:dyDescent="0.2">
      <c r="A155" s="7" t="s">
        <v>37</v>
      </c>
      <c r="B155" s="7" t="s">
        <v>38</v>
      </c>
      <c r="C155" s="7"/>
      <c r="D155" s="7" t="s">
        <v>584</v>
      </c>
      <c r="E155" s="8">
        <v>1</v>
      </c>
      <c r="F155" s="7" t="s">
        <v>41</v>
      </c>
      <c r="G155" s="7"/>
      <c r="H155" s="9"/>
      <c r="I155" s="10">
        <v>1623</v>
      </c>
      <c r="J155" s="9"/>
      <c r="K155" s="9"/>
      <c r="L155" s="10">
        <v>309</v>
      </c>
      <c r="M155" s="9"/>
      <c r="N155" s="10">
        <v>309</v>
      </c>
      <c r="O155" s="9"/>
      <c r="P155" s="10"/>
      <c r="Q155" s="10"/>
      <c r="R155" s="10"/>
      <c r="S155" s="7" t="s">
        <v>407</v>
      </c>
      <c r="T155" s="7" t="s">
        <v>55</v>
      </c>
      <c r="U155" s="7" t="s">
        <v>44</v>
      </c>
      <c r="V155" s="7" t="s">
        <v>45</v>
      </c>
      <c r="W155" s="7" t="s">
        <v>46</v>
      </c>
      <c r="X155" s="7" t="s">
        <v>47</v>
      </c>
      <c r="Y155" s="7" t="s">
        <v>585</v>
      </c>
      <c r="Z155" s="7" t="s">
        <v>583</v>
      </c>
      <c r="AA155" s="7"/>
      <c r="AB155" s="7"/>
      <c r="AC155" s="7" t="s">
        <v>39</v>
      </c>
      <c r="AD155" s="7"/>
      <c r="AE155" s="7"/>
      <c r="AF155" s="7" t="s">
        <v>50</v>
      </c>
      <c r="AG155" s="7" t="s">
        <v>51</v>
      </c>
      <c r="AH155" s="7" t="s">
        <v>52</v>
      </c>
    </row>
    <row r="156" spans="1:34" ht="9.75" customHeight="1" x14ac:dyDescent="0.2">
      <c r="A156" s="7" t="s">
        <v>37</v>
      </c>
      <c r="B156" s="7" t="s">
        <v>38</v>
      </c>
      <c r="C156" s="7"/>
      <c r="D156" s="7" t="s">
        <v>586</v>
      </c>
      <c r="E156" s="8">
        <v>1</v>
      </c>
      <c r="F156" s="7" t="s">
        <v>41</v>
      </c>
      <c r="G156" s="7"/>
      <c r="H156" s="9"/>
      <c r="I156" s="10">
        <v>386</v>
      </c>
      <c r="J156" s="9"/>
      <c r="K156" s="9"/>
      <c r="L156" s="10">
        <v>956</v>
      </c>
      <c r="M156" s="9"/>
      <c r="N156" s="10">
        <v>956</v>
      </c>
      <c r="O156" s="9"/>
      <c r="P156" s="10"/>
      <c r="Q156" s="10"/>
      <c r="R156" s="10"/>
      <c r="S156" s="7" t="s">
        <v>407</v>
      </c>
      <c r="T156" s="7" t="s">
        <v>55</v>
      </c>
      <c r="U156" s="7" t="s">
        <v>44</v>
      </c>
      <c r="V156" s="7" t="s">
        <v>45</v>
      </c>
      <c r="W156" s="7" t="s">
        <v>46</v>
      </c>
      <c r="X156" s="7" t="s">
        <v>47</v>
      </c>
      <c r="Y156" s="7" t="s">
        <v>587</v>
      </c>
      <c r="Z156" s="7" t="s">
        <v>583</v>
      </c>
      <c r="AA156" s="7"/>
      <c r="AB156" s="7"/>
      <c r="AC156" s="7" t="s">
        <v>39</v>
      </c>
      <c r="AD156" s="7"/>
      <c r="AE156" s="7"/>
      <c r="AF156" s="7" t="s">
        <v>50</v>
      </c>
      <c r="AG156" s="7" t="s">
        <v>51</v>
      </c>
      <c r="AH156" s="7" t="s">
        <v>52</v>
      </c>
    </row>
    <row r="157" spans="1:34" ht="9.75" customHeight="1" x14ac:dyDescent="0.2">
      <c r="A157" s="7" t="s">
        <v>37</v>
      </c>
      <c r="B157" s="7" t="s">
        <v>38</v>
      </c>
      <c r="C157" s="7"/>
      <c r="D157" s="7" t="s">
        <v>588</v>
      </c>
      <c r="E157" s="8">
        <v>1</v>
      </c>
      <c r="F157" s="7" t="s">
        <v>41</v>
      </c>
      <c r="G157" s="7"/>
      <c r="H157" s="9"/>
      <c r="I157" s="10">
        <v>223582</v>
      </c>
      <c r="J157" s="9"/>
      <c r="K157" s="9"/>
      <c r="L157" s="10">
        <v>193789</v>
      </c>
      <c r="M157" s="9"/>
      <c r="N157" s="10">
        <v>193789</v>
      </c>
      <c r="O157" s="9"/>
      <c r="P157" s="10"/>
      <c r="Q157" s="10"/>
      <c r="R157" s="10"/>
      <c r="S157" s="7" t="s">
        <v>407</v>
      </c>
      <c r="T157" s="7" t="s">
        <v>55</v>
      </c>
      <c r="U157" s="7" t="s">
        <v>44</v>
      </c>
      <c r="V157" s="7" t="s">
        <v>45</v>
      </c>
      <c r="W157" s="7" t="s">
        <v>46</v>
      </c>
      <c r="X157" s="7" t="s">
        <v>47</v>
      </c>
      <c r="Y157" s="7" t="s">
        <v>589</v>
      </c>
      <c r="Z157" s="7" t="s">
        <v>590</v>
      </c>
      <c r="AA157" s="7"/>
      <c r="AB157" s="7"/>
      <c r="AC157" s="7" t="s">
        <v>39</v>
      </c>
      <c r="AD157" s="7"/>
      <c r="AE157" s="7" t="s">
        <v>591</v>
      </c>
      <c r="AF157" s="7" t="s">
        <v>50</v>
      </c>
      <c r="AG157" s="7" t="s">
        <v>51</v>
      </c>
      <c r="AH157" s="7" t="s">
        <v>52</v>
      </c>
    </row>
    <row r="158" spans="1:34" ht="9.75" customHeight="1" x14ac:dyDescent="0.2">
      <c r="A158" s="7" t="s">
        <v>37</v>
      </c>
      <c r="B158" s="7" t="s">
        <v>38</v>
      </c>
      <c r="C158" s="7"/>
      <c r="D158" s="7" t="s">
        <v>592</v>
      </c>
      <c r="E158" s="8">
        <v>1</v>
      </c>
      <c r="F158" s="7" t="s">
        <v>41</v>
      </c>
      <c r="G158" s="7"/>
      <c r="H158" s="9"/>
      <c r="I158" s="10">
        <v>65822</v>
      </c>
      <c r="J158" s="9"/>
      <c r="K158" s="9"/>
      <c r="L158" s="10">
        <v>28922</v>
      </c>
      <c r="M158" s="9"/>
      <c r="N158" s="10">
        <v>28922</v>
      </c>
      <c r="O158" s="9"/>
      <c r="P158" s="10"/>
      <c r="Q158" s="10"/>
      <c r="R158" s="10"/>
      <c r="S158" s="7" t="s">
        <v>407</v>
      </c>
      <c r="T158" s="7" t="s">
        <v>55</v>
      </c>
      <c r="U158" s="7" t="s">
        <v>44</v>
      </c>
      <c r="V158" s="7" t="s">
        <v>45</v>
      </c>
      <c r="W158" s="7" t="s">
        <v>46</v>
      </c>
      <c r="X158" s="7" t="s">
        <v>47</v>
      </c>
      <c r="Y158" s="7" t="s">
        <v>593</v>
      </c>
      <c r="Z158" s="7" t="s">
        <v>590</v>
      </c>
      <c r="AA158" s="7"/>
      <c r="AB158" s="7"/>
      <c r="AC158" s="7" t="s">
        <v>39</v>
      </c>
      <c r="AD158" s="7"/>
      <c r="AE158" s="7" t="s">
        <v>496</v>
      </c>
      <c r="AF158" s="7" t="s">
        <v>50</v>
      </c>
      <c r="AG158" s="7" t="s">
        <v>51</v>
      </c>
      <c r="AH158" s="7" t="s">
        <v>52</v>
      </c>
    </row>
    <row r="159" spans="1:34" ht="9.75" customHeight="1" x14ac:dyDescent="0.2">
      <c r="A159" s="7" t="s">
        <v>37</v>
      </c>
      <c r="B159" s="7" t="s">
        <v>38</v>
      </c>
      <c r="C159" s="7"/>
      <c r="D159" s="7" t="s">
        <v>594</v>
      </c>
      <c r="E159" s="8">
        <v>1</v>
      </c>
      <c r="F159" s="7" t="s">
        <v>41</v>
      </c>
      <c r="G159" s="7"/>
      <c r="H159" s="9"/>
      <c r="I159" s="10">
        <v>71295</v>
      </c>
      <c r="J159" s="9"/>
      <c r="K159" s="9"/>
      <c r="L159" s="10">
        <v>70108</v>
      </c>
      <c r="M159" s="9"/>
      <c r="N159" s="10">
        <v>70108</v>
      </c>
      <c r="O159" s="9"/>
      <c r="P159" s="10"/>
      <c r="Q159" s="10"/>
      <c r="R159" s="10"/>
      <c r="S159" s="7" t="s">
        <v>407</v>
      </c>
      <c r="T159" s="7" t="s">
        <v>55</v>
      </c>
      <c r="U159" s="7" t="s">
        <v>44</v>
      </c>
      <c r="V159" s="7" t="s">
        <v>45</v>
      </c>
      <c r="W159" s="7" t="s">
        <v>46</v>
      </c>
      <c r="X159" s="7" t="s">
        <v>47</v>
      </c>
      <c r="Y159" s="7" t="s">
        <v>595</v>
      </c>
      <c r="Z159" s="7" t="s">
        <v>596</v>
      </c>
      <c r="AA159" s="7"/>
      <c r="AB159" s="7"/>
      <c r="AC159" s="7" t="s">
        <v>39</v>
      </c>
      <c r="AD159" s="7"/>
      <c r="AE159" s="7" t="s">
        <v>597</v>
      </c>
      <c r="AF159" s="7" t="s">
        <v>50</v>
      </c>
      <c r="AG159" s="7" t="s">
        <v>51</v>
      </c>
      <c r="AH159" s="7" t="s">
        <v>52</v>
      </c>
    </row>
    <row r="160" spans="1:34" ht="9.75" customHeight="1" x14ac:dyDescent="0.2">
      <c r="A160" s="7" t="s">
        <v>37</v>
      </c>
      <c r="B160" s="7" t="s">
        <v>38</v>
      </c>
      <c r="C160" s="7"/>
      <c r="D160" s="7" t="s">
        <v>598</v>
      </c>
      <c r="E160" s="8">
        <v>1</v>
      </c>
      <c r="F160" s="7" t="s">
        <v>41</v>
      </c>
      <c r="G160" s="7"/>
      <c r="H160" s="9"/>
      <c r="I160" s="10">
        <v>57861</v>
      </c>
      <c r="J160" s="9"/>
      <c r="K160" s="9"/>
      <c r="L160" s="10">
        <v>35004</v>
      </c>
      <c r="M160" s="9"/>
      <c r="N160" s="10">
        <v>35004</v>
      </c>
      <c r="O160" s="9"/>
      <c r="P160" s="10"/>
      <c r="Q160" s="10"/>
      <c r="R160" s="10"/>
      <c r="S160" s="7" t="s">
        <v>407</v>
      </c>
      <c r="T160" s="7" t="s">
        <v>55</v>
      </c>
      <c r="U160" s="7" t="s">
        <v>44</v>
      </c>
      <c r="V160" s="7" t="s">
        <v>45</v>
      </c>
      <c r="W160" s="7" t="s">
        <v>46</v>
      </c>
      <c r="X160" s="7" t="s">
        <v>47</v>
      </c>
      <c r="Y160" s="7" t="s">
        <v>599</v>
      </c>
      <c r="Z160" s="7" t="s">
        <v>596</v>
      </c>
      <c r="AA160" s="7"/>
      <c r="AB160" s="7"/>
      <c r="AC160" s="7" t="s">
        <v>39</v>
      </c>
      <c r="AD160" s="7"/>
      <c r="AE160" s="7" t="s">
        <v>499</v>
      </c>
      <c r="AF160" s="7" t="s">
        <v>50</v>
      </c>
      <c r="AG160" s="7" t="s">
        <v>51</v>
      </c>
      <c r="AH160" s="7" t="s">
        <v>52</v>
      </c>
    </row>
    <row r="161" spans="1:34" ht="9.75" customHeight="1" x14ac:dyDescent="0.2">
      <c r="A161" s="7" t="s">
        <v>37</v>
      </c>
      <c r="B161" s="7" t="s">
        <v>38</v>
      </c>
      <c r="C161" s="7"/>
      <c r="D161" s="7" t="s">
        <v>600</v>
      </c>
      <c r="E161" s="8">
        <v>1</v>
      </c>
      <c r="F161" s="7" t="s">
        <v>41</v>
      </c>
      <c r="G161" s="7"/>
      <c r="H161" s="9"/>
      <c r="I161" s="10">
        <v>31266</v>
      </c>
      <c r="J161" s="9"/>
      <c r="K161" s="9"/>
      <c r="L161" s="10">
        <v>27220</v>
      </c>
      <c r="M161" s="9"/>
      <c r="N161" s="10">
        <v>27220</v>
      </c>
      <c r="O161" s="9"/>
      <c r="P161" s="10"/>
      <c r="Q161" s="10"/>
      <c r="R161" s="10"/>
      <c r="S161" s="7" t="s">
        <v>407</v>
      </c>
      <c r="T161" s="7" t="s">
        <v>55</v>
      </c>
      <c r="U161" s="7" t="s">
        <v>44</v>
      </c>
      <c r="V161" s="7" t="s">
        <v>45</v>
      </c>
      <c r="W161" s="7" t="s">
        <v>46</v>
      </c>
      <c r="X161" s="7" t="s">
        <v>47</v>
      </c>
      <c r="Y161" s="7" t="s">
        <v>601</v>
      </c>
      <c r="Z161" s="7" t="s">
        <v>602</v>
      </c>
      <c r="AA161" s="7"/>
      <c r="AB161" s="7"/>
      <c r="AC161" s="7" t="s">
        <v>39</v>
      </c>
      <c r="AD161" s="7"/>
      <c r="AE161" s="7" t="s">
        <v>603</v>
      </c>
      <c r="AF161" s="7" t="s">
        <v>50</v>
      </c>
      <c r="AG161" s="7" t="s">
        <v>51</v>
      </c>
      <c r="AH161" s="7" t="s">
        <v>52</v>
      </c>
    </row>
    <row r="162" spans="1:34" ht="9.75" customHeight="1" x14ac:dyDescent="0.2">
      <c r="A162" s="7" t="s">
        <v>37</v>
      </c>
      <c r="B162" s="7" t="s">
        <v>38</v>
      </c>
      <c r="C162" s="7"/>
      <c r="D162" s="7" t="s">
        <v>604</v>
      </c>
      <c r="E162" s="8">
        <v>1</v>
      </c>
      <c r="F162" s="7" t="s">
        <v>41</v>
      </c>
      <c r="G162" s="7"/>
      <c r="H162" s="9"/>
      <c r="I162" s="10">
        <v>18695</v>
      </c>
      <c r="J162" s="9"/>
      <c r="K162" s="9"/>
      <c r="L162" s="10">
        <v>10223</v>
      </c>
      <c r="M162" s="9"/>
      <c r="N162" s="10">
        <v>10223</v>
      </c>
      <c r="O162" s="9"/>
      <c r="P162" s="10"/>
      <c r="Q162" s="10"/>
      <c r="R162" s="10"/>
      <c r="S162" s="7" t="s">
        <v>407</v>
      </c>
      <c r="T162" s="7" t="s">
        <v>55</v>
      </c>
      <c r="U162" s="7" t="s">
        <v>44</v>
      </c>
      <c r="V162" s="7" t="s">
        <v>45</v>
      </c>
      <c r="W162" s="7" t="s">
        <v>46</v>
      </c>
      <c r="X162" s="7" t="s">
        <v>47</v>
      </c>
      <c r="Y162" s="7" t="s">
        <v>605</v>
      </c>
      <c r="Z162" s="7" t="s">
        <v>602</v>
      </c>
      <c r="AA162" s="7"/>
      <c r="AB162" s="7"/>
      <c r="AC162" s="7" t="s">
        <v>39</v>
      </c>
      <c r="AD162" s="7"/>
      <c r="AE162" s="7" t="s">
        <v>502</v>
      </c>
      <c r="AF162" s="7" t="s">
        <v>50</v>
      </c>
      <c r="AG162" s="7" t="s">
        <v>51</v>
      </c>
      <c r="AH162" s="7" t="s">
        <v>52</v>
      </c>
    </row>
    <row r="163" spans="1:34" ht="9.75" customHeight="1" x14ac:dyDescent="0.2">
      <c r="A163" s="7" t="s">
        <v>37</v>
      </c>
      <c r="B163" s="7" t="s">
        <v>38</v>
      </c>
      <c r="C163" s="7"/>
      <c r="D163" s="7" t="s">
        <v>606</v>
      </c>
      <c r="E163" s="8">
        <v>1</v>
      </c>
      <c r="F163" s="7" t="s">
        <v>61</v>
      </c>
      <c r="G163" s="7"/>
      <c r="H163" s="9"/>
      <c r="I163" s="10">
        <v>2355000</v>
      </c>
      <c r="J163" s="10">
        <v>1954000</v>
      </c>
      <c r="K163" s="9"/>
      <c r="L163" s="10">
        <v>1352000</v>
      </c>
      <c r="M163" s="9"/>
      <c r="N163" s="10">
        <v>1352000</v>
      </c>
      <c r="O163" s="9"/>
      <c r="P163" s="10"/>
      <c r="Q163" s="10"/>
      <c r="R163" s="10"/>
      <c r="S163" s="7" t="s">
        <v>54</v>
      </c>
      <c r="T163" s="7" t="s">
        <v>607</v>
      </c>
      <c r="U163" s="7" t="s">
        <v>44</v>
      </c>
      <c r="V163" s="7" t="s">
        <v>45</v>
      </c>
      <c r="W163" s="7" t="s">
        <v>46</v>
      </c>
      <c r="X163" s="7" t="s">
        <v>47</v>
      </c>
      <c r="Y163" s="7" t="s">
        <v>608</v>
      </c>
      <c r="Z163" s="7" t="s">
        <v>63</v>
      </c>
      <c r="AA163" s="7"/>
      <c r="AB163" s="7"/>
      <c r="AC163" s="7" t="s">
        <v>39</v>
      </c>
      <c r="AD163" s="7"/>
      <c r="AE163" s="7" t="s">
        <v>609</v>
      </c>
      <c r="AF163" s="7" t="s">
        <v>50</v>
      </c>
      <c r="AG163" s="7" t="s">
        <v>51</v>
      </c>
      <c r="AH163" s="7" t="s">
        <v>52</v>
      </c>
    </row>
    <row r="164" spans="1:34" ht="9.75" customHeight="1" x14ac:dyDescent="0.2">
      <c r="A164" s="7" t="s">
        <v>37</v>
      </c>
      <c r="B164" s="7" t="s">
        <v>38</v>
      </c>
      <c r="C164" s="7"/>
      <c r="D164" s="7" t="s">
        <v>610</v>
      </c>
      <c r="E164" s="8">
        <v>1</v>
      </c>
      <c r="F164" s="7" t="s">
        <v>61</v>
      </c>
      <c r="G164" s="7"/>
      <c r="H164" s="9"/>
      <c r="I164" s="9"/>
      <c r="J164" s="10">
        <v>70000</v>
      </c>
      <c r="K164" s="9"/>
      <c r="L164" s="10">
        <v>0</v>
      </c>
      <c r="M164" s="9"/>
      <c r="N164" s="10">
        <v>0</v>
      </c>
      <c r="O164" s="9"/>
      <c r="P164" s="10"/>
      <c r="Q164" s="10"/>
      <c r="R164" s="10"/>
      <c r="S164" s="7" t="s">
        <v>54</v>
      </c>
      <c r="T164" s="7" t="s">
        <v>607</v>
      </c>
      <c r="U164" s="7" t="s">
        <v>44</v>
      </c>
      <c r="V164" s="7" t="s">
        <v>45</v>
      </c>
      <c r="W164" s="7" t="s">
        <v>46</v>
      </c>
      <c r="X164" s="7" t="s">
        <v>47</v>
      </c>
      <c r="Y164" s="7" t="s">
        <v>611</v>
      </c>
      <c r="Z164" s="7" t="s">
        <v>63</v>
      </c>
      <c r="AA164" s="7"/>
      <c r="AB164" s="7"/>
      <c r="AC164" s="7" t="s">
        <v>39</v>
      </c>
      <c r="AD164" s="7"/>
      <c r="AE164" s="7" t="s">
        <v>612</v>
      </c>
      <c r="AF164" s="7" t="s">
        <v>50</v>
      </c>
      <c r="AG164" s="7" t="s">
        <v>51</v>
      </c>
      <c r="AH164" s="7" t="s">
        <v>52</v>
      </c>
    </row>
    <row r="165" spans="1:34" ht="9.75" customHeight="1" x14ac:dyDescent="0.2">
      <c r="A165" s="7" t="s">
        <v>37</v>
      </c>
      <c r="B165" s="7" t="s">
        <v>38</v>
      </c>
      <c r="C165" s="7"/>
      <c r="D165" s="7" t="s">
        <v>613</v>
      </c>
      <c r="E165" s="8">
        <v>1</v>
      </c>
      <c r="F165" s="7" t="s">
        <v>61</v>
      </c>
      <c r="G165" s="7"/>
      <c r="H165" s="9"/>
      <c r="I165" s="9"/>
      <c r="J165" s="10">
        <v>53189</v>
      </c>
      <c r="K165" s="9"/>
      <c r="L165" s="10">
        <v>51989</v>
      </c>
      <c r="M165" s="9"/>
      <c r="N165" s="10">
        <v>51989</v>
      </c>
      <c r="O165" s="9"/>
      <c r="P165" s="10"/>
      <c r="Q165" s="10"/>
      <c r="R165" s="10"/>
      <c r="S165" s="7" t="s">
        <v>54</v>
      </c>
      <c r="T165" s="7" t="s">
        <v>607</v>
      </c>
      <c r="U165" s="7" t="s">
        <v>44</v>
      </c>
      <c r="V165" s="7" t="s">
        <v>45</v>
      </c>
      <c r="W165" s="7" t="s">
        <v>46</v>
      </c>
      <c r="X165" s="7" t="s">
        <v>47</v>
      </c>
      <c r="Y165" s="7" t="s">
        <v>614</v>
      </c>
      <c r="Z165" s="7" t="s">
        <v>63</v>
      </c>
      <c r="AA165" s="7"/>
      <c r="AB165" s="7"/>
      <c r="AC165" s="7" t="s">
        <v>39</v>
      </c>
      <c r="AD165" s="7"/>
      <c r="AE165" s="7" t="s">
        <v>615</v>
      </c>
      <c r="AF165" s="7" t="s">
        <v>50</v>
      </c>
      <c r="AG165" s="7" t="s">
        <v>51</v>
      </c>
      <c r="AH165" s="7" t="s">
        <v>52</v>
      </c>
    </row>
    <row r="166" spans="1:34" ht="9.75" customHeight="1" x14ac:dyDescent="0.2">
      <c r="A166" s="7" t="s">
        <v>37</v>
      </c>
      <c r="B166" s="7" t="s">
        <v>38</v>
      </c>
      <c r="C166" s="7"/>
      <c r="D166" s="7" t="s">
        <v>616</v>
      </c>
      <c r="E166" s="8">
        <v>1</v>
      </c>
      <c r="F166" s="7" t="s">
        <v>61</v>
      </c>
      <c r="G166" s="7"/>
      <c r="H166" s="9"/>
      <c r="I166" s="9"/>
      <c r="J166" s="9"/>
      <c r="K166" s="9"/>
      <c r="L166" s="10">
        <v>3260</v>
      </c>
      <c r="M166" s="9"/>
      <c r="N166" s="10">
        <v>3260</v>
      </c>
      <c r="O166" s="9"/>
      <c r="P166" s="10"/>
      <c r="Q166" s="10"/>
      <c r="R166" s="10"/>
      <c r="S166" s="7" t="s">
        <v>54</v>
      </c>
      <c r="T166" s="7" t="s">
        <v>607</v>
      </c>
      <c r="U166" s="7" t="s">
        <v>44</v>
      </c>
      <c r="V166" s="7" t="s">
        <v>45</v>
      </c>
      <c r="W166" s="7" t="s">
        <v>46</v>
      </c>
      <c r="X166" s="7" t="s">
        <v>47</v>
      </c>
      <c r="Y166" s="7" t="s">
        <v>617</v>
      </c>
      <c r="Z166" s="7" t="s">
        <v>63</v>
      </c>
      <c r="AA166" s="7"/>
      <c r="AB166" s="7"/>
      <c r="AC166" s="7" t="s">
        <v>39</v>
      </c>
      <c r="AD166" s="7"/>
      <c r="AE166" s="7" t="s">
        <v>618</v>
      </c>
      <c r="AF166" s="7" t="s">
        <v>50</v>
      </c>
      <c r="AG166" s="7" t="s">
        <v>51</v>
      </c>
      <c r="AH166" s="7" t="s">
        <v>52</v>
      </c>
    </row>
    <row r="167" spans="1:34" ht="9.75" customHeight="1" x14ac:dyDescent="0.2">
      <c r="A167" s="7" t="s">
        <v>37</v>
      </c>
      <c r="B167" s="7" t="s">
        <v>38</v>
      </c>
      <c r="C167" s="7"/>
      <c r="D167" s="7" t="s">
        <v>619</v>
      </c>
      <c r="E167" s="8">
        <v>1</v>
      </c>
      <c r="F167" s="7" t="s">
        <v>61</v>
      </c>
      <c r="G167" s="7"/>
      <c r="H167" s="9"/>
      <c r="I167" s="9"/>
      <c r="J167" s="9"/>
      <c r="K167" s="9"/>
      <c r="L167" s="10">
        <v>0</v>
      </c>
      <c r="M167" s="9"/>
      <c r="N167" s="10">
        <v>0</v>
      </c>
      <c r="O167" s="9"/>
      <c r="P167" s="10"/>
      <c r="Q167" s="10"/>
      <c r="R167" s="10"/>
      <c r="S167" s="7" t="s">
        <v>54</v>
      </c>
      <c r="T167" s="7" t="s">
        <v>607</v>
      </c>
      <c r="U167" s="7" t="s">
        <v>44</v>
      </c>
      <c r="V167" s="7" t="s">
        <v>45</v>
      </c>
      <c r="W167" s="7" t="s">
        <v>46</v>
      </c>
      <c r="X167" s="7" t="s">
        <v>47</v>
      </c>
      <c r="Y167" s="7" t="s">
        <v>620</v>
      </c>
      <c r="Z167" s="7" t="s">
        <v>63</v>
      </c>
      <c r="AA167" s="7"/>
      <c r="AB167" s="7"/>
      <c r="AC167" s="7" t="s">
        <v>39</v>
      </c>
      <c r="AD167" s="7"/>
      <c r="AE167" s="7" t="s">
        <v>621</v>
      </c>
      <c r="AF167" s="7" t="s">
        <v>50</v>
      </c>
      <c r="AG167" s="7" t="s">
        <v>51</v>
      </c>
      <c r="AH167" s="7" t="s">
        <v>52</v>
      </c>
    </row>
    <row r="168" spans="1:34" ht="9.75" customHeight="1" x14ac:dyDescent="0.2">
      <c r="A168" s="7" t="s">
        <v>37</v>
      </c>
      <c r="B168" s="7" t="s">
        <v>38</v>
      </c>
      <c r="C168" s="7"/>
      <c r="D168" s="7" t="s">
        <v>622</v>
      </c>
      <c r="E168" s="8">
        <v>1</v>
      </c>
      <c r="F168" s="7" t="s">
        <v>61</v>
      </c>
      <c r="G168" s="7"/>
      <c r="H168" s="9"/>
      <c r="I168" s="9"/>
      <c r="J168" s="9"/>
      <c r="K168" s="9"/>
      <c r="L168" s="10">
        <v>0</v>
      </c>
      <c r="M168" s="9"/>
      <c r="N168" s="10">
        <v>0</v>
      </c>
      <c r="O168" s="9"/>
      <c r="P168" s="10"/>
      <c r="Q168" s="10"/>
      <c r="R168" s="10"/>
      <c r="S168" s="7" t="s">
        <v>54</v>
      </c>
      <c r="T168" s="7" t="s">
        <v>607</v>
      </c>
      <c r="U168" s="7" t="s">
        <v>44</v>
      </c>
      <c r="V168" s="7" t="s">
        <v>45</v>
      </c>
      <c r="W168" s="7" t="s">
        <v>46</v>
      </c>
      <c r="X168" s="7" t="s">
        <v>47</v>
      </c>
      <c r="Y168" s="7" t="s">
        <v>623</v>
      </c>
      <c r="Z168" s="7" t="s">
        <v>63</v>
      </c>
      <c r="AA168" s="7"/>
      <c r="AB168" s="7"/>
      <c r="AC168" s="7" t="s">
        <v>39</v>
      </c>
      <c r="AD168" s="7"/>
      <c r="AE168" s="7" t="s">
        <v>624</v>
      </c>
      <c r="AF168" s="7" t="s">
        <v>50</v>
      </c>
      <c r="AG168" s="7" t="s">
        <v>51</v>
      </c>
      <c r="AH168" s="7" t="s">
        <v>52</v>
      </c>
    </row>
    <row r="169" spans="1:34" ht="9.75" customHeight="1" x14ac:dyDescent="0.2">
      <c r="A169" s="7" t="s">
        <v>37</v>
      </c>
      <c r="B169" s="7" t="s">
        <v>38</v>
      </c>
      <c r="C169" s="7"/>
      <c r="D169" s="7" t="s">
        <v>625</v>
      </c>
      <c r="E169" s="8">
        <v>1</v>
      </c>
      <c r="F169" s="7" t="s">
        <v>61</v>
      </c>
      <c r="G169" s="7"/>
      <c r="H169" s="9"/>
      <c r="I169" s="9"/>
      <c r="J169" s="9"/>
      <c r="K169" s="9"/>
      <c r="L169" s="10">
        <v>0</v>
      </c>
      <c r="M169" s="9"/>
      <c r="N169" s="10">
        <v>0</v>
      </c>
      <c r="O169" s="9"/>
      <c r="P169" s="10"/>
      <c r="Q169" s="10"/>
      <c r="R169" s="10"/>
      <c r="S169" s="7" t="s">
        <v>54</v>
      </c>
      <c r="T169" s="7" t="s">
        <v>607</v>
      </c>
      <c r="U169" s="7" t="s">
        <v>44</v>
      </c>
      <c r="V169" s="7" t="s">
        <v>45</v>
      </c>
      <c r="W169" s="7" t="s">
        <v>46</v>
      </c>
      <c r="X169" s="7" t="s">
        <v>47</v>
      </c>
      <c r="Y169" s="7" t="s">
        <v>626</v>
      </c>
      <c r="Z169" s="7" t="s">
        <v>63</v>
      </c>
      <c r="AA169" s="7"/>
      <c r="AB169" s="7"/>
      <c r="AC169" s="7" t="s">
        <v>39</v>
      </c>
      <c r="AD169" s="7"/>
      <c r="AE169" s="7" t="s">
        <v>627</v>
      </c>
      <c r="AF169" s="7" t="s">
        <v>50</v>
      </c>
      <c r="AG169" s="7" t="s">
        <v>51</v>
      </c>
      <c r="AH169" s="7" t="s">
        <v>52</v>
      </c>
    </row>
    <row r="170" spans="1:34" ht="9.75" customHeight="1" x14ac:dyDescent="0.2">
      <c r="A170" s="7" t="s">
        <v>37</v>
      </c>
      <c r="B170" s="7" t="s">
        <v>38</v>
      </c>
      <c r="C170" s="7"/>
      <c r="D170" s="7" t="s">
        <v>628</v>
      </c>
      <c r="E170" s="8">
        <v>1</v>
      </c>
      <c r="F170" s="7" t="s">
        <v>61</v>
      </c>
      <c r="G170" s="7"/>
      <c r="H170" s="9"/>
      <c r="I170" s="9"/>
      <c r="J170" s="9"/>
      <c r="K170" s="9"/>
      <c r="L170" s="10">
        <v>0</v>
      </c>
      <c r="M170" s="9"/>
      <c r="N170" s="10">
        <v>0</v>
      </c>
      <c r="O170" s="9"/>
      <c r="P170" s="10"/>
      <c r="Q170" s="10"/>
      <c r="R170" s="10"/>
      <c r="S170" s="7" t="s">
        <v>54</v>
      </c>
      <c r="T170" s="7" t="s">
        <v>607</v>
      </c>
      <c r="U170" s="7" t="s">
        <v>44</v>
      </c>
      <c r="V170" s="7" t="s">
        <v>45</v>
      </c>
      <c r="W170" s="7" t="s">
        <v>46</v>
      </c>
      <c r="X170" s="7" t="s">
        <v>47</v>
      </c>
      <c r="Y170" s="7" t="s">
        <v>629</v>
      </c>
      <c r="Z170" s="7" t="s">
        <v>63</v>
      </c>
      <c r="AA170" s="7"/>
      <c r="AB170" s="7"/>
      <c r="AC170" s="7" t="s">
        <v>39</v>
      </c>
      <c r="AD170" s="7"/>
      <c r="AE170" s="7" t="s">
        <v>630</v>
      </c>
      <c r="AF170" s="7" t="s">
        <v>50</v>
      </c>
      <c r="AG170" s="7" t="s">
        <v>51</v>
      </c>
      <c r="AH170" s="7" t="s">
        <v>52</v>
      </c>
    </row>
    <row r="171" spans="1:34" ht="9.75" customHeight="1" x14ac:dyDescent="0.2">
      <c r="A171" s="7" t="s">
        <v>37</v>
      </c>
      <c r="B171" s="7" t="s">
        <v>38</v>
      </c>
      <c r="C171" s="7"/>
      <c r="D171" s="7" t="s">
        <v>631</v>
      </c>
      <c r="E171" s="8">
        <v>1</v>
      </c>
      <c r="F171" s="7" t="s">
        <v>61</v>
      </c>
      <c r="G171" s="7"/>
      <c r="H171" s="9"/>
      <c r="I171" s="9"/>
      <c r="J171" s="9"/>
      <c r="K171" s="9"/>
      <c r="L171" s="10">
        <v>0</v>
      </c>
      <c r="M171" s="9"/>
      <c r="N171" s="10">
        <v>0</v>
      </c>
      <c r="O171" s="9"/>
      <c r="P171" s="10"/>
      <c r="Q171" s="10"/>
      <c r="R171" s="10"/>
      <c r="S171" s="7" t="s">
        <v>54</v>
      </c>
      <c r="T171" s="7" t="s">
        <v>607</v>
      </c>
      <c r="U171" s="7" t="s">
        <v>44</v>
      </c>
      <c r="V171" s="7" t="s">
        <v>45</v>
      </c>
      <c r="W171" s="7" t="s">
        <v>46</v>
      </c>
      <c r="X171" s="7" t="s">
        <v>47</v>
      </c>
      <c r="Y171" s="7" t="s">
        <v>632</v>
      </c>
      <c r="Z171" s="7" t="s">
        <v>63</v>
      </c>
      <c r="AA171" s="7"/>
      <c r="AB171" s="7"/>
      <c r="AC171" s="7" t="s">
        <v>39</v>
      </c>
      <c r="AD171" s="7"/>
      <c r="AE171" s="7" t="s">
        <v>633</v>
      </c>
      <c r="AF171" s="7" t="s">
        <v>50</v>
      </c>
      <c r="AG171" s="7" t="s">
        <v>51</v>
      </c>
      <c r="AH171" s="7" t="s">
        <v>52</v>
      </c>
    </row>
    <row r="172" spans="1:34" ht="9.75" customHeight="1" x14ac:dyDescent="0.2">
      <c r="A172" s="7" t="s">
        <v>37</v>
      </c>
      <c r="B172" s="7" t="s">
        <v>38</v>
      </c>
      <c r="C172" s="7"/>
      <c r="D172" s="7" t="s">
        <v>634</v>
      </c>
      <c r="E172" s="8">
        <v>1</v>
      </c>
      <c r="F172" s="7" t="s">
        <v>61</v>
      </c>
      <c r="G172" s="7"/>
      <c r="H172" s="9"/>
      <c r="I172" s="10">
        <v>192009</v>
      </c>
      <c r="J172" s="10">
        <v>495224</v>
      </c>
      <c r="K172" s="9"/>
      <c r="L172" s="10">
        <v>0</v>
      </c>
      <c r="M172" s="9"/>
      <c r="N172" s="10">
        <v>0</v>
      </c>
      <c r="O172" s="9"/>
      <c r="P172" s="10"/>
      <c r="Q172" s="10"/>
      <c r="R172" s="10"/>
      <c r="S172" s="7" t="s">
        <v>54</v>
      </c>
      <c r="T172" s="7" t="s">
        <v>607</v>
      </c>
      <c r="U172" s="7" t="s">
        <v>44</v>
      </c>
      <c r="V172" s="7" t="s">
        <v>45</v>
      </c>
      <c r="W172" s="7" t="s">
        <v>46</v>
      </c>
      <c r="X172" s="7" t="s">
        <v>47</v>
      </c>
      <c r="Y172" s="7" t="s">
        <v>635</v>
      </c>
      <c r="Z172" s="7" t="s">
        <v>63</v>
      </c>
      <c r="AA172" s="7"/>
      <c r="AB172" s="7"/>
      <c r="AC172" s="7" t="s">
        <v>39</v>
      </c>
      <c r="AD172" s="7"/>
      <c r="AE172" s="7" t="s">
        <v>612</v>
      </c>
      <c r="AF172" s="7" t="s">
        <v>50</v>
      </c>
      <c r="AG172" s="7" t="s">
        <v>51</v>
      </c>
      <c r="AH172" s="7" t="s">
        <v>52</v>
      </c>
    </row>
    <row r="173" spans="1:34" ht="9.75" customHeight="1" x14ac:dyDescent="0.2">
      <c r="A173" s="7" t="s">
        <v>37</v>
      </c>
      <c r="B173" s="7" t="s">
        <v>38</v>
      </c>
      <c r="C173" s="7"/>
      <c r="D173" s="7" t="s">
        <v>636</v>
      </c>
      <c r="E173" s="8">
        <v>1</v>
      </c>
      <c r="F173" s="7" t="s">
        <v>61</v>
      </c>
      <c r="G173" s="7"/>
      <c r="H173" s="9"/>
      <c r="I173" s="10">
        <v>172948</v>
      </c>
      <c r="J173" s="10">
        <v>121403</v>
      </c>
      <c r="K173" s="9"/>
      <c r="L173" s="10">
        <v>203000</v>
      </c>
      <c r="M173" s="9"/>
      <c r="N173" s="10">
        <v>203000</v>
      </c>
      <c r="O173" s="9"/>
      <c r="P173" s="10"/>
      <c r="Q173" s="10"/>
      <c r="R173" s="10"/>
      <c r="S173" s="7" t="s">
        <v>54</v>
      </c>
      <c r="T173" s="7" t="s">
        <v>607</v>
      </c>
      <c r="U173" s="7" t="s">
        <v>44</v>
      </c>
      <c r="V173" s="7" t="s">
        <v>45</v>
      </c>
      <c r="W173" s="7" t="s">
        <v>46</v>
      </c>
      <c r="X173" s="7" t="s">
        <v>47</v>
      </c>
      <c r="Y173" s="7" t="s">
        <v>637</v>
      </c>
      <c r="Z173" s="7" t="s">
        <v>63</v>
      </c>
      <c r="AA173" s="7"/>
      <c r="AB173" s="7"/>
      <c r="AC173" s="7" t="s">
        <v>39</v>
      </c>
      <c r="AD173" s="7"/>
      <c r="AE173" s="7" t="s">
        <v>615</v>
      </c>
      <c r="AF173" s="7" t="s">
        <v>50</v>
      </c>
      <c r="AG173" s="7" t="s">
        <v>51</v>
      </c>
      <c r="AH173" s="7" t="s">
        <v>52</v>
      </c>
    </row>
    <row r="174" spans="1:34" ht="9.75" customHeight="1" x14ac:dyDescent="0.2">
      <c r="A174" s="7" t="s">
        <v>37</v>
      </c>
      <c r="B174" s="7" t="s">
        <v>38</v>
      </c>
      <c r="C174" s="7"/>
      <c r="D174" s="7" t="s">
        <v>638</v>
      </c>
      <c r="E174" s="8">
        <v>1</v>
      </c>
      <c r="F174" s="7" t="s">
        <v>61</v>
      </c>
      <c r="G174" s="7"/>
      <c r="H174" s="9"/>
      <c r="I174" s="9"/>
      <c r="J174" s="10">
        <v>193773</v>
      </c>
      <c r="K174" s="9"/>
      <c r="L174" s="10">
        <v>150730</v>
      </c>
      <c r="M174" s="9"/>
      <c r="N174" s="10">
        <v>150730</v>
      </c>
      <c r="O174" s="9"/>
      <c r="P174" s="10"/>
      <c r="Q174" s="10"/>
      <c r="R174" s="10"/>
      <c r="S174" s="7" t="s">
        <v>54</v>
      </c>
      <c r="T174" s="7" t="s">
        <v>607</v>
      </c>
      <c r="U174" s="7" t="s">
        <v>44</v>
      </c>
      <c r="V174" s="7" t="s">
        <v>45</v>
      </c>
      <c r="W174" s="7" t="s">
        <v>46</v>
      </c>
      <c r="X174" s="7" t="s">
        <v>47</v>
      </c>
      <c r="Y174" s="7" t="s">
        <v>639</v>
      </c>
      <c r="Z174" s="7" t="s">
        <v>63</v>
      </c>
      <c r="AA174" s="7"/>
      <c r="AB174" s="7"/>
      <c r="AC174" s="7" t="s">
        <v>39</v>
      </c>
      <c r="AD174" s="7"/>
      <c r="AE174" s="7" t="s">
        <v>618</v>
      </c>
      <c r="AF174" s="7" t="s">
        <v>50</v>
      </c>
      <c r="AG174" s="7" t="s">
        <v>51</v>
      </c>
      <c r="AH174" s="7" t="s">
        <v>52</v>
      </c>
    </row>
    <row r="175" spans="1:34" ht="9.75" customHeight="1" x14ac:dyDescent="0.2">
      <c r="A175" s="7" t="s">
        <v>37</v>
      </c>
      <c r="B175" s="7" t="s">
        <v>38</v>
      </c>
      <c r="C175" s="7"/>
      <c r="D175" s="7" t="s">
        <v>640</v>
      </c>
      <c r="E175" s="8">
        <v>1</v>
      </c>
      <c r="F175" s="7" t="s">
        <v>61</v>
      </c>
      <c r="G175" s="7"/>
      <c r="H175" s="9"/>
      <c r="I175" s="9"/>
      <c r="J175" s="9"/>
      <c r="K175" s="9"/>
      <c r="L175" s="10">
        <v>161523</v>
      </c>
      <c r="M175" s="9"/>
      <c r="N175" s="10">
        <v>161523</v>
      </c>
      <c r="O175" s="9"/>
      <c r="P175" s="10"/>
      <c r="Q175" s="10"/>
      <c r="R175" s="10"/>
      <c r="S175" s="7" t="s">
        <v>54</v>
      </c>
      <c r="T175" s="7" t="s">
        <v>607</v>
      </c>
      <c r="U175" s="7" t="s">
        <v>44</v>
      </c>
      <c r="V175" s="7" t="s">
        <v>45</v>
      </c>
      <c r="W175" s="7" t="s">
        <v>46</v>
      </c>
      <c r="X175" s="7" t="s">
        <v>47</v>
      </c>
      <c r="Y175" s="7" t="s">
        <v>641</v>
      </c>
      <c r="Z175" s="7" t="s">
        <v>63</v>
      </c>
      <c r="AA175" s="7"/>
      <c r="AB175" s="7"/>
      <c r="AC175" s="7" t="s">
        <v>39</v>
      </c>
      <c r="AD175" s="7"/>
      <c r="AE175" s="7" t="s">
        <v>621</v>
      </c>
      <c r="AF175" s="7" t="s">
        <v>50</v>
      </c>
      <c r="AG175" s="7" t="s">
        <v>51</v>
      </c>
      <c r="AH175" s="7" t="s">
        <v>52</v>
      </c>
    </row>
    <row r="176" spans="1:34" ht="9.75" customHeight="1" x14ac:dyDescent="0.2">
      <c r="A176" s="7" t="s">
        <v>37</v>
      </c>
      <c r="B176" s="7" t="s">
        <v>38</v>
      </c>
      <c r="C176" s="7"/>
      <c r="D176" s="7" t="s">
        <v>642</v>
      </c>
      <c r="E176" s="8">
        <v>1</v>
      </c>
      <c r="F176" s="7" t="s">
        <v>61</v>
      </c>
      <c r="G176" s="7"/>
      <c r="H176" s="9"/>
      <c r="I176" s="9"/>
      <c r="J176" s="9"/>
      <c r="K176" s="9"/>
      <c r="L176" s="10">
        <v>0</v>
      </c>
      <c r="M176" s="9"/>
      <c r="N176" s="10">
        <v>0</v>
      </c>
      <c r="O176" s="9"/>
      <c r="P176" s="10"/>
      <c r="Q176" s="10"/>
      <c r="R176" s="10"/>
      <c r="S176" s="7" t="s">
        <v>54</v>
      </c>
      <c r="T176" s="7" t="s">
        <v>607</v>
      </c>
      <c r="U176" s="7" t="s">
        <v>44</v>
      </c>
      <c r="V176" s="7" t="s">
        <v>45</v>
      </c>
      <c r="W176" s="7" t="s">
        <v>46</v>
      </c>
      <c r="X176" s="7" t="s">
        <v>47</v>
      </c>
      <c r="Y176" s="7" t="s">
        <v>643</v>
      </c>
      <c r="Z176" s="7" t="s">
        <v>63</v>
      </c>
      <c r="AA176" s="7"/>
      <c r="AB176" s="7"/>
      <c r="AC176" s="7" t="s">
        <v>39</v>
      </c>
      <c r="AD176" s="7"/>
      <c r="AE176" s="7"/>
      <c r="AF176" s="7" t="s">
        <v>50</v>
      </c>
      <c r="AG176" s="7" t="s">
        <v>51</v>
      </c>
      <c r="AH176" s="7" t="s">
        <v>52</v>
      </c>
    </row>
    <row r="177" spans="1:34" ht="9.75" customHeight="1" x14ac:dyDescent="0.2">
      <c r="A177" s="7" t="s">
        <v>37</v>
      </c>
      <c r="B177" s="7" t="s">
        <v>38</v>
      </c>
      <c r="C177" s="7"/>
      <c r="D177" s="7" t="s">
        <v>644</v>
      </c>
      <c r="E177" s="8">
        <v>1</v>
      </c>
      <c r="F177" s="7" t="s">
        <v>61</v>
      </c>
      <c r="G177" s="7"/>
      <c r="H177" s="9"/>
      <c r="I177" s="9"/>
      <c r="J177" s="9"/>
      <c r="K177" s="9"/>
      <c r="L177" s="10">
        <v>0</v>
      </c>
      <c r="M177" s="9"/>
      <c r="N177" s="10">
        <v>0</v>
      </c>
      <c r="O177" s="9"/>
      <c r="P177" s="10"/>
      <c r="Q177" s="10"/>
      <c r="R177" s="10"/>
      <c r="S177" s="7" t="s">
        <v>54</v>
      </c>
      <c r="T177" s="7" t="s">
        <v>607</v>
      </c>
      <c r="U177" s="7" t="s">
        <v>44</v>
      </c>
      <c r="V177" s="7" t="s">
        <v>45</v>
      </c>
      <c r="W177" s="7" t="s">
        <v>46</v>
      </c>
      <c r="X177" s="7" t="s">
        <v>47</v>
      </c>
      <c r="Y177" s="7" t="s">
        <v>645</v>
      </c>
      <c r="Z177" s="7" t="s">
        <v>63</v>
      </c>
      <c r="AA177" s="7"/>
      <c r="AB177" s="7"/>
      <c r="AC177" s="7" t="s">
        <v>39</v>
      </c>
      <c r="AD177" s="7"/>
      <c r="AE177" s="7"/>
      <c r="AF177" s="7" t="s">
        <v>50</v>
      </c>
      <c r="AG177" s="7" t="s">
        <v>51</v>
      </c>
      <c r="AH177" s="7" t="s">
        <v>52</v>
      </c>
    </row>
    <row r="178" spans="1:34" ht="9.75" customHeight="1" x14ac:dyDescent="0.2">
      <c r="A178" s="7" t="s">
        <v>37</v>
      </c>
      <c r="B178" s="7" t="s">
        <v>38</v>
      </c>
      <c r="C178" s="7"/>
      <c r="D178" s="7" t="s">
        <v>646</v>
      </c>
      <c r="E178" s="8">
        <v>1</v>
      </c>
      <c r="F178" s="7" t="s">
        <v>61</v>
      </c>
      <c r="G178" s="7"/>
      <c r="H178" s="9"/>
      <c r="I178" s="9"/>
      <c r="J178" s="9"/>
      <c r="K178" s="9"/>
      <c r="L178" s="10">
        <v>0</v>
      </c>
      <c r="M178" s="9"/>
      <c r="N178" s="10">
        <v>0</v>
      </c>
      <c r="O178" s="9"/>
      <c r="P178" s="10"/>
      <c r="Q178" s="10"/>
      <c r="R178" s="10"/>
      <c r="S178" s="7" t="s">
        <v>54</v>
      </c>
      <c r="T178" s="7" t="s">
        <v>607</v>
      </c>
      <c r="U178" s="7" t="s">
        <v>44</v>
      </c>
      <c r="V178" s="7" t="s">
        <v>45</v>
      </c>
      <c r="W178" s="7" t="s">
        <v>46</v>
      </c>
      <c r="X178" s="7" t="s">
        <v>47</v>
      </c>
      <c r="Y178" s="7" t="s">
        <v>647</v>
      </c>
      <c r="Z178" s="7" t="s">
        <v>63</v>
      </c>
      <c r="AA178" s="7"/>
      <c r="AB178" s="7"/>
      <c r="AC178" s="7" t="s">
        <v>39</v>
      </c>
      <c r="AD178" s="7"/>
      <c r="AE178" s="7"/>
      <c r="AF178" s="7" t="s">
        <v>50</v>
      </c>
      <c r="AG178" s="7" t="s">
        <v>51</v>
      </c>
      <c r="AH178" s="7" t="s">
        <v>52</v>
      </c>
    </row>
    <row r="179" spans="1:34" ht="9.75" customHeight="1" x14ac:dyDescent="0.2">
      <c r="A179" s="7" t="s">
        <v>37</v>
      </c>
      <c r="B179" s="7" t="s">
        <v>38</v>
      </c>
      <c r="C179" s="7"/>
      <c r="D179" s="7" t="s">
        <v>648</v>
      </c>
      <c r="E179" s="8">
        <v>1</v>
      </c>
      <c r="F179" s="7" t="s">
        <v>61</v>
      </c>
      <c r="G179" s="7"/>
      <c r="H179" s="9"/>
      <c r="I179" s="9"/>
      <c r="J179" s="9"/>
      <c r="K179" s="9"/>
      <c r="L179" s="10">
        <v>0</v>
      </c>
      <c r="M179" s="9"/>
      <c r="N179" s="10">
        <v>0</v>
      </c>
      <c r="O179" s="9"/>
      <c r="P179" s="10"/>
      <c r="Q179" s="10"/>
      <c r="R179" s="10"/>
      <c r="S179" s="7" t="s">
        <v>54</v>
      </c>
      <c r="T179" s="7" t="s">
        <v>607</v>
      </c>
      <c r="U179" s="7" t="s">
        <v>44</v>
      </c>
      <c r="V179" s="7" t="s">
        <v>45</v>
      </c>
      <c r="W179" s="7" t="s">
        <v>46</v>
      </c>
      <c r="X179" s="7" t="s">
        <v>47</v>
      </c>
      <c r="Y179" s="7" t="s">
        <v>649</v>
      </c>
      <c r="Z179" s="7" t="s">
        <v>63</v>
      </c>
      <c r="AA179" s="7"/>
      <c r="AB179" s="7"/>
      <c r="AC179" s="7" t="s">
        <v>39</v>
      </c>
      <c r="AD179" s="7"/>
      <c r="AE179" s="7" t="s">
        <v>650</v>
      </c>
      <c r="AF179" s="7" t="s">
        <v>50</v>
      </c>
      <c r="AG179" s="7" t="s">
        <v>51</v>
      </c>
      <c r="AH179" s="7" t="s">
        <v>52</v>
      </c>
    </row>
    <row r="180" spans="1:34" ht="9.75" customHeight="1" x14ac:dyDescent="0.2">
      <c r="A180" s="7" t="s">
        <v>37</v>
      </c>
      <c r="B180" s="7" t="s">
        <v>38</v>
      </c>
      <c r="C180" s="7"/>
      <c r="D180" s="7" t="s">
        <v>651</v>
      </c>
      <c r="E180" s="8">
        <v>1</v>
      </c>
      <c r="F180" s="7" t="s">
        <v>61</v>
      </c>
      <c r="G180" s="7"/>
      <c r="H180" s="9"/>
      <c r="I180" s="9"/>
      <c r="J180" s="9"/>
      <c r="K180" s="9"/>
      <c r="L180" s="10">
        <v>0</v>
      </c>
      <c r="M180" s="9"/>
      <c r="N180" s="10">
        <v>0</v>
      </c>
      <c r="O180" s="9"/>
      <c r="P180" s="10"/>
      <c r="Q180" s="10"/>
      <c r="R180" s="10"/>
      <c r="S180" s="7" t="s">
        <v>54</v>
      </c>
      <c r="T180" s="7" t="s">
        <v>607</v>
      </c>
      <c r="U180" s="7" t="s">
        <v>44</v>
      </c>
      <c r="V180" s="7" t="s">
        <v>45</v>
      </c>
      <c r="W180" s="7" t="s">
        <v>46</v>
      </c>
      <c r="X180" s="7" t="s">
        <v>47</v>
      </c>
      <c r="Y180" s="7" t="s">
        <v>652</v>
      </c>
      <c r="Z180" s="7" t="s">
        <v>63</v>
      </c>
      <c r="AA180" s="7"/>
      <c r="AB180" s="7"/>
      <c r="AC180" s="7" t="s">
        <v>39</v>
      </c>
      <c r="AD180" s="7"/>
      <c r="AE180" s="7"/>
      <c r="AF180" s="7" t="s">
        <v>50</v>
      </c>
      <c r="AG180" s="7" t="s">
        <v>51</v>
      </c>
      <c r="AH180" s="7" t="s">
        <v>52</v>
      </c>
    </row>
    <row r="181" spans="1:34" ht="9.75" customHeight="1" x14ac:dyDescent="0.2">
      <c r="A181" s="7" t="s">
        <v>37</v>
      </c>
      <c r="B181" s="7" t="s">
        <v>38</v>
      </c>
      <c r="C181" s="7"/>
      <c r="D181" s="7" t="s">
        <v>653</v>
      </c>
      <c r="E181" s="8">
        <v>1</v>
      </c>
      <c r="F181" s="7" t="s">
        <v>61</v>
      </c>
      <c r="G181" s="7"/>
      <c r="H181" s="9"/>
      <c r="I181" s="10">
        <v>33104</v>
      </c>
      <c r="J181" s="9"/>
      <c r="K181" s="9"/>
      <c r="L181" s="10">
        <v>0</v>
      </c>
      <c r="M181" s="9"/>
      <c r="N181" s="10">
        <v>0</v>
      </c>
      <c r="O181" s="9"/>
      <c r="P181" s="10"/>
      <c r="Q181" s="10"/>
      <c r="R181" s="10"/>
      <c r="S181" s="7" t="s">
        <v>54</v>
      </c>
      <c r="T181" s="7" t="s">
        <v>607</v>
      </c>
      <c r="U181" s="7" t="s">
        <v>44</v>
      </c>
      <c r="V181" s="7" t="s">
        <v>45</v>
      </c>
      <c r="W181" s="7" t="s">
        <v>46</v>
      </c>
      <c r="X181" s="7" t="s">
        <v>47</v>
      </c>
      <c r="Y181" s="7" t="s">
        <v>654</v>
      </c>
      <c r="Z181" s="7" t="s">
        <v>63</v>
      </c>
      <c r="AA181" s="7"/>
      <c r="AB181" s="7"/>
      <c r="AC181" s="7" t="s">
        <v>39</v>
      </c>
      <c r="AD181" s="7"/>
      <c r="AE181" s="7" t="s">
        <v>612</v>
      </c>
      <c r="AF181" s="7" t="s">
        <v>50</v>
      </c>
      <c r="AG181" s="7" t="s">
        <v>51</v>
      </c>
      <c r="AH181" s="7" t="s">
        <v>52</v>
      </c>
    </row>
    <row r="182" spans="1:34" ht="9.75" customHeight="1" x14ac:dyDescent="0.2">
      <c r="A182" s="7" t="s">
        <v>37</v>
      </c>
      <c r="B182" s="7" t="s">
        <v>38</v>
      </c>
      <c r="C182" s="7"/>
      <c r="D182" s="7" t="s">
        <v>655</v>
      </c>
      <c r="E182" s="8">
        <v>1</v>
      </c>
      <c r="F182" s="7" t="s">
        <v>61</v>
      </c>
      <c r="G182" s="7"/>
      <c r="H182" s="9"/>
      <c r="I182" s="10">
        <v>58909</v>
      </c>
      <c r="J182" s="9"/>
      <c r="K182" s="9"/>
      <c r="L182" s="10">
        <v>0</v>
      </c>
      <c r="M182" s="9"/>
      <c r="N182" s="10">
        <v>0</v>
      </c>
      <c r="O182" s="9"/>
      <c r="P182" s="10"/>
      <c r="Q182" s="10"/>
      <c r="R182" s="10"/>
      <c r="S182" s="7" t="s">
        <v>54</v>
      </c>
      <c r="T182" s="7" t="s">
        <v>607</v>
      </c>
      <c r="U182" s="7" t="s">
        <v>44</v>
      </c>
      <c r="V182" s="7" t="s">
        <v>45</v>
      </c>
      <c r="W182" s="7" t="s">
        <v>46</v>
      </c>
      <c r="X182" s="7" t="s">
        <v>47</v>
      </c>
      <c r="Y182" s="7" t="s">
        <v>656</v>
      </c>
      <c r="Z182" s="7" t="s">
        <v>63</v>
      </c>
      <c r="AA182" s="7"/>
      <c r="AB182" s="7"/>
      <c r="AC182" s="7" t="s">
        <v>39</v>
      </c>
      <c r="AD182" s="7"/>
      <c r="AE182" s="7" t="s">
        <v>615</v>
      </c>
      <c r="AF182" s="7" t="s">
        <v>50</v>
      </c>
      <c r="AG182" s="7" t="s">
        <v>51</v>
      </c>
      <c r="AH182" s="7" t="s">
        <v>52</v>
      </c>
    </row>
    <row r="183" spans="1:34" ht="9.75" customHeight="1" x14ac:dyDescent="0.2">
      <c r="A183" s="7" t="s">
        <v>37</v>
      </c>
      <c r="B183" s="7" t="s">
        <v>38</v>
      </c>
      <c r="C183" s="7"/>
      <c r="D183" s="7" t="s">
        <v>657</v>
      </c>
      <c r="E183" s="8">
        <v>1</v>
      </c>
      <c r="F183" s="7" t="s">
        <v>61</v>
      </c>
      <c r="G183" s="7"/>
      <c r="H183" s="9"/>
      <c r="I183" s="10">
        <v>63393</v>
      </c>
      <c r="J183" s="10">
        <v>133496</v>
      </c>
      <c r="K183" s="9"/>
      <c r="L183" s="10">
        <v>36374</v>
      </c>
      <c r="M183" s="9"/>
      <c r="N183" s="10">
        <v>36374</v>
      </c>
      <c r="O183" s="9"/>
      <c r="P183" s="10"/>
      <c r="Q183" s="10"/>
      <c r="R183" s="10"/>
      <c r="S183" s="7" t="s">
        <v>54</v>
      </c>
      <c r="T183" s="7" t="s">
        <v>607</v>
      </c>
      <c r="U183" s="7" t="s">
        <v>44</v>
      </c>
      <c r="V183" s="7" t="s">
        <v>45</v>
      </c>
      <c r="W183" s="7" t="s">
        <v>46</v>
      </c>
      <c r="X183" s="7" t="s">
        <v>47</v>
      </c>
      <c r="Y183" s="7" t="s">
        <v>658</v>
      </c>
      <c r="Z183" s="7" t="s">
        <v>63</v>
      </c>
      <c r="AA183" s="7"/>
      <c r="AB183" s="7"/>
      <c r="AC183" s="7" t="s">
        <v>39</v>
      </c>
      <c r="AD183" s="7"/>
      <c r="AE183" s="7" t="s">
        <v>618</v>
      </c>
      <c r="AF183" s="7" t="s">
        <v>50</v>
      </c>
      <c r="AG183" s="7" t="s">
        <v>51</v>
      </c>
      <c r="AH183" s="7" t="s">
        <v>52</v>
      </c>
    </row>
    <row r="184" spans="1:34" ht="9.75" customHeight="1" x14ac:dyDescent="0.2">
      <c r="A184" s="7" t="s">
        <v>37</v>
      </c>
      <c r="B184" s="7" t="s">
        <v>38</v>
      </c>
      <c r="C184" s="7"/>
      <c r="D184" s="7" t="s">
        <v>659</v>
      </c>
      <c r="E184" s="8">
        <v>1</v>
      </c>
      <c r="F184" s="7" t="s">
        <v>61</v>
      </c>
      <c r="G184" s="7"/>
      <c r="H184" s="9"/>
      <c r="I184" s="10">
        <v>18730</v>
      </c>
      <c r="J184" s="10">
        <v>63059</v>
      </c>
      <c r="K184" s="9"/>
      <c r="L184" s="10">
        <v>139961</v>
      </c>
      <c r="M184" s="9"/>
      <c r="N184" s="10">
        <v>139961</v>
      </c>
      <c r="O184" s="9"/>
      <c r="P184" s="10"/>
      <c r="Q184" s="10"/>
      <c r="R184" s="10"/>
      <c r="S184" s="7" t="s">
        <v>54</v>
      </c>
      <c r="T184" s="7" t="s">
        <v>607</v>
      </c>
      <c r="U184" s="7" t="s">
        <v>44</v>
      </c>
      <c r="V184" s="7" t="s">
        <v>45</v>
      </c>
      <c r="W184" s="7" t="s">
        <v>46</v>
      </c>
      <c r="X184" s="7" t="s">
        <v>47</v>
      </c>
      <c r="Y184" s="7" t="s">
        <v>660</v>
      </c>
      <c r="Z184" s="7" t="s">
        <v>63</v>
      </c>
      <c r="AA184" s="7"/>
      <c r="AB184" s="7"/>
      <c r="AC184" s="7" t="s">
        <v>39</v>
      </c>
      <c r="AD184" s="7"/>
      <c r="AE184" s="7" t="s">
        <v>621</v>
      </c>
      <c r="AF184" s="7" t="s">
        <v>50</v>
      </c>
      <c r="AG184" s="7" t="s">
        <v>51</v>
      </c>
      <c r="AH184" s="7" t="s">
        <v>52</v>
      </c>
    </row>
    <row r="185" spans="1:34" ht="9.75" customHeight="1" x14ac:dyDescent="0.2">
      <c r="A185" s="7" t="s">
        <v>37</v>
      </c>
      <c r="B185" s="7" t="s">
        <v>38</v>
      </c>
      <c r="C185" s="7"/>
      <c r="D185" s="7" t="s">
        <v>661</v>
      </c>
      <c r="E185" s="8">
        <v>1</v>
      </c>
      <c r="F185" s="7" t="s">
        <v>61</v>
      </c>
      <c r="G185" s="7"/>
      <c r="H185" s="9"/>
      <c r="I185" s="9"/>
      <c r="J185" s="10">
        <v>19706</v>
      </c>
      <c r="K185" s="9"/>
      <c r="L185" s="10">
        <v>64025</v>
      </c>
      <c r="M185" s="9"/>
      <c r="N185" s="10">
        <v>64025</v>
      </c>
      <c r="O185" s="9"/>
      <c r="P185" s="10"/>
      <c r="Q185" s="10"/>
      <c r="R185" s="10"/>
      <c r="S185" s="7" t="s">
        <v>54</v>
      </c>
      <c r="T185" s="7" t="s">
        <v>607</v>
      </c>
      <c r="U185" s="7" t="s">
        <v>44</v>
      </c>
      <c r="V185" s="7" t="s">
        <v>45</v>
      </c>
      <c r="W185" s="7" t="s">
        <v>46</v>
      </c>
      <c r="X185" s="7" t="s">
        <v>47</v>
      </c>
      <c r="Y185" s="7" t="s">
        <v>662</v>
      </c>
      <c r="Z185" s="7" t="s">
        <v>63</v>
      </c>
      <c r="AA185" s="7"/>
      <c r="AB185" s="7"/>
      <c r="AC185" s="7" t="s">
        <v>39</v>
      </c>
      <c r="AD185" s="7"/>
      <c r="AE185" s="7" t="s">
        <v>624</v>
      </c>
      <c r="AF185" s="7" t="s">
        <v>50</v>
      </c>
      <c r="AG185" s="7" t="s">
        <v>51</v>
      </c>
      <c r="AH185" s="7" t="s">
        <v>52</v>
      </c>
    </row>
    <row r="186" spans="1:34" ht="9.75" customHeight="1" x14ac:dyDescent="0.2">
      <c r="A186" s="7" t="s">
        <v>37</v>
      </c>
      <c r="B186" s="7" t="s">
        <v>38</v>
      </c>
      <c r="C186" s="7"/>
      <c r="D186" s="7" t="s">
        <v>663</v>
      </c>
      <c r="E186" s="8">
        <v>1</v>
      </c>
      <c r="F186" s="7" t="s">
        <v>61</v>
      </c>
      <c r="G186" s="7"/>
      <c r="H186" s="9"/>
      <c r="I186" s="9"/>
      <c r="J186" s="9"/>
      <c r="K186" s="9"/>
      <c r="L186" s="10">
        <v>20931</v>
      </c>
      <c r="M186" s="9"/>
      <c r="N186" s="10">
        <v>20931</v>
      </c>
      <c r="O186" s="9"/>
      <c r="P186" s="10"/>
      <c r="Q186" s="10"/>
      <c r="R186" s="10"/>
      <c r="S186" s="7" t="s">
        <v>54</v>
      </c>
      <c r="T186" s="7" t="s">
        <v>607</v>
      </c>
      <c r="U186" s="7" t="s">
        <v>44</v>
      </c>
      <c r="V186" s="7" t="s">
        <v>45</v>
      </c>
      <c r="W186" s="7" t="s">
        <v>46</v>
      </c>
      <c r="X186" s="7" t="s">
        <v>47</v>
      </c>
      <c r="Y186" s="7" t="s">
        <v>664</v>
      </c>
      <c r="Z186" s="7" t="s">
        <v>63</v>
      </c>
      <c r="AA186" s="7"/>
      <c r="AB186" s="7"/>
      <c r="AC186" s="7" t="s">
        <v>39</v>
      </c>
      <c r="AD186" s="7"/>
      <c r="AE186" s="7" t="s">
        <v>627</v>
      </c>
      <c r="AF186" s="7" t="s">
        <v>50</v>
      </c>
      <c r="AG186" s="7" t="s">
        <v>51</v>
      </c>
      <c r="AH186" s="7" t="s">
        <v>52</v>
      </c>
    </row>
    <row r="187" spans="1:34" ht="9.75" customHeight="1" x14ac:dyDescent="0.2">
      <c r="A187" s="7" t="s">
        <v>37</v>
      </c>
      <c r="B187" s="7" t="s">
        <v>38</v>
      </c>
      <c r="C187" s="7"/>
      <c r="D187" s="7" t="s">
        <v>665</v>
      </c>
      <c r="E187" s="8">
        <v>1</v>
      </c>
      <c r="F187" s="7" t="s">
        <v>61</v>
      </c>
      <c r="G187" s="7"/>
      <c r="H187" s="9"/>
      <c r="I187" s="9"/>
      <c r="J187" s="9"/>
      <c r="K187" s="9"/>
      <c r="L187" s="10">
        <v>0</v>
      </c>
      <c r="M187" s="9"/>
      <c r="N187" s="10">
        <v>0</v>
      </c>
      <c r="O187" s="9"/>
      <c r="P187" s="10"/>
      <c r="Q187" s="10"/>
      <c r="R187" s="10"/>
      <c r="S187" s="7" t="s">
        <v>54</v>
      </c>
      <c r="T187" s="7" t="s">
        <v>607</v>
      </c>
      <c r="U187" s="7" t="s">
        <v>44</v>
      </c>
      <c r="V187" s="7" t="s">
        <v>45</v>
      </c>
      <c r="W187" s="7" t="s">
        <v>46</v>
      </c>
      <c r="X187" s="7" t="s">
        <v>47</v>
      </c>
      <c r="Y187" s="7" t="s">
        <v>666</v>
      </c>
      <c r="Z187" s="7" t="s">
        <v>667</v>
      </c>
      <c r="AA187" s="7"/>
      <c r="AB187" s="7"/>
      <c r="AC187" s="7" t="s">
        <v>39</v>
      </c>
      <c r="AD187" s="7"/>
      <c r="AE187" s="7"/>
      <c r="AF187" s="7" t="s">
        <v>50</v>
      </c>
      <c r="AG187" s="7" t="s">
        <v>51</v>
      </c>
      <c r="AH187" s="7" t="s">
        <v>52</v>
      </c>
    </row>
    <row r="188" spans="1:34" ht="9.75" customHeight="1" x14ac:dyDescent="0.2">
      <c r="A188" s="7" t="s">
        <v>37</v>
      </c>
      <c r="B188" s="7" t="s">
        <v>38</v>
      </c>
      <c r="C188" s="7"/>
      <c r="D188" s="7" t="s">
        <v>668</v>
      </c>
      <c r="E188" s="8">
        <v>1</v>
      </c>
      <c r="F188" s="7" t="s">
        <v>61</v>
      </c>
      <c r="G188" s="7"/>
      <c r="H188" s="9"/>
      <c r="I188" s="9"/>
      <c r="J188" s="9"/>
      <c r="K188" s="9"/>
      <c r="L188" s="10">
        <v>0</v>
      </c>
      <c r="M188" s="9"/>
      <c r="N188" s="10">
        <v>0</v>
      </c>
      <c r="O188" s="9"/>
      <c r="P188" s="10"/>
      <c r="Q188" s="10"/>
      <c r="R188" s="10"/>
      <c r="S188" s="7" t="s">
        <v>54</v>
      </c>
      <c r="T188" s="7" t="s">
        <v>607</v>
      </c>
      <c r="U188" s="7" t="s">
        <v>44</v>
      </c>
      <c r="V188" s="7" t="s">
        <v>45</v>
      </c>
      <c r="W188" s="7" t="s">
        <v>46</v>
      </c>
      <c r="X188" s="7" t="s">
        <v>47</v>
      </c>
      <c r="Y188" s="7" t="s">
        <v>669</v>
      </c>
      <c r="Z188" s="7" t="s">
        <v>667</v>
      </c>
      <c r="AA188" s="7"/>
      <c r="AB188" s="7"/>
      <c r="AC188" s="7" t="s">
        <v>39</v>
      </c>
      <c r="AD188" s="7"/>
      <c r="AE188" s="7"/>
      <c r="AF188" s="7" t="s">
        <v>50</v>
      </c>
      <c r="AG188" s="7" t="s">
        <v>51</v>
      </c>
      <c r="AH188" s="7" t="s">
        <v>52</v>
      </c>
    </row>
    <row r="189" spans="1:34" ht="9.75" customHeight="1" x14ac:dyDescent="0.2">
      <c r="A189" s="7" t="s">
        <v>37</v>
      </c>
      <c r="B189" s="7" t="s">
        <v>38</v>
      </c>
      <c r="C189" s="7"/>
      <c r="D189" s="7" t="s">
        <v>670</v>
      </c>
      <c r="E189" s="8">
        <v>1</v>
      </c>
      <c r="F189" s="7" t="s">
        <v>61</v>
      </c>
      <c r="G189" s="7"/>
      <c r="H189" s="9"/>
      <c r="I189" s="9"/>
      <c r="J189" s="9"/>
      <c r="K189" s="9"/>
      <c r="L189" s="10">
        <v>0</v>
      </c>
      <c r="M189" s="9"/>
      <c r="N189" s="10">
        <v>0</v>
      </c>
      <c r="O189" s="9"/>
      <c r="P189" s="10"/>
      <c r="Q189" s="10"/>
      <c r="R189" s="10"/>
      <c r="S189" s="7" t="s">
        <v>54</v>
      </c>
      <c r="T189" s="7" t="s">
        <v>607</v>
      </c>
      <c r="U189" s="7" t="s">
        <v>44</v>
      </c>
      <c r="V189" s="7" t="s">
        <v>45</v>
      </c>
      <c r="W189" s="7" t="s">
        <v>46</v>
      </c>
      <c r="X189" s="7" t="s">
        <v>47</v>
      </c>
      <c r="Y189" s="7" t="s">
        <v>671</v>
      </c>
      <c r="Z189" s="7" t="s">
        <v>667</v>
      </c>
      <c r="AA189" s="7"/>
      <c r="AB189" s="7"/>
      <c r="AC189" s="7" t="s">
        <v>39</v>
      </c>
      <c r="AD189" s="7"/>
      <c r="AE189" s="7" t="s">
        <v>672</v>
      </c>
      <c r="AF189" s="7" t="s">
        <v>50</v>
      </c>
      <c r="AG189" s="7" t="s">
        <v>51</v>
      </c>
      <c r="AH189" s="7" t="s">
        <v>52</v>
      </c>
    </row>
    <row r="190" spans="1:34" ht="9.75" customHeight="1" x14ac:dyDescent="0.2">
      <c r="A190" s="7" t="s">
        <v>37</v>
      </c>
      <c r="B190" s="7" t="s">
        <v>38</v>
      </c>
      <c r="C190" s="7"/>
      <c r="D190" s="7" t="s">
        <v>673</v>
      </c>
      <c r="E190" s="8">
        <v>1</v>
      </c>
      <c r="F190" s="7" t="s">
        <v>61</v>
      </c>
      <c r="G190" s="7"/>
      <c r="H190" s="9"/>
      <c r="I190" s="9"/>
      <c r="J190" s="9"/>
      <c r="K190" s="9"/>
      <c r="L190" s="10">
        <v>0</v>
      </c>
      <c r="M190" s="9"/>
      <c r="N190" s="10">
        <v>0</v>
      </c>
      <c r="O190" s="9"/>
      <c r="P190" s="10"/>
      <c r="Q190" s="10"/>
      <c r="R190" s="10"/>
      <c r="S190" s="7" t="s">
        <v>54</v>
      </c>
      <c r="T190" s="7" t="s">
        <v>607</v>
      </c>
      <c r="U190" s="7" t="s">
        <v>44</v>
      </c>
      <c r="V190" s="7" t="s">
        <v>45</v>
      </c>
      <c r="W190" s="7" t="s">
        <v>46</v>
      </c>
      <c r="X190" s="7" t="s">
        <v>47</v>
      </c>
      <c r="Y190" s="7" t="s">
        <v>674</v>
      </c>
      <c r="Z190" s="7" t="s">
        <v>667</v>
      </c>
      <c r="AA190" s="7"/>
      <c r="AB190" s="7"/>
      <c r="AC190" s="7" t="s">
        <v>39</v>
      </c>
      <c r="AD190" s="7"/>
      <c r="AE190" s="7"/>
      <c r="AF190" s="7" t="s">
        <v>50</v>
      </c>
      <c r="AG190" s="7" t="s">
        <v>51</v>
      </c>
      <c r="AH190" s="7" t="s">
        <v>52</v>
      </c>
    </row>
    <row r="191" spans="1:34" ht="9.75" customHeight="1" x14ac:dyDescent="0.2">
      <c r="A191" s="7" t="s">
        <v>37</v>
      </c>
      <c r="B191" s="7" t="s">
        <v>38</v>
      </c>
      <c r="C191" s="7"/>
      <c r="D191" s="7" t="s">
        <v>675</v>
      </c>
      <c r="E191" s="8">
        <v>1</v>
      </c>
      <c r="F191" s="7" t="s">
        <v>61</v>
      </c>
      <c r="G191" s="7"/>
      <c r="H191" s="9"/>
      <c r="I191" s="9"/>
      <c r="J191" s="9"/>
      <c r="K191" s="9"/>
      <c r="L191" s="10">
        <v>0</v>
      </c>
      <c r="M191" s="9"/>
      <c r="N191" s="10">
        <v>0</v>
      </c>
      <c r="O191" s="9"/>
      <c r="P191" s="10"/>
      <c r="Q191" s="10"/>
      <c r="R191" s="10"/>
      <c r="S191" s="7" t="s">
        <v>54</v>
      </c>
      <c r="T191" s="7" t="s">
        <v>607</v>
      </c>
      <c r="U191" s="7" t="s">
        <v>44</v>
      </c>
      <c r="V191" s="7" t="s">
        <v>45</v>
      </c>
      <c r="W191" s="7" t="s">
        <v>46</v>
      </c>
      <c r="X191" s="7" t="s">
        <v>47</v>
      </c>
      <c r="Y191" s="7" t="s">
        <v>676</v>
      </c>
      <c r="Z191" s="7" t="s">
        <v>667</v>
      </c>
      <c r="AA191" s="7"/>
      <c r="AB191" s="7"/>
      <c r="AC191" s="7" t="s">
        <v>39</v>
      </c>
      <c r="AD191" s="7"/>
      <c r="AE191" s="7"/>
      <c r="AF191" s="7" t="s">
        <v>50</v>
      </c>
      <c r="AG191" s="7" t="s">
        <v>51</v>
      </c>
      <c r="AH191" s="7" t="s">
        <v>52</v>
      </c>
    </row>
    <row r="192" spans="1:34" ht="9.75" customHeight="1" x14ac:dyDescent="0.2">
      <c r="A192" s="7" t="s">
        <v>37</v>
      </c>
      <c r="B192" s="7" t="s">
        <v>38</v>
      </c>
      <c r="C192" s="7"/>
      <c r="D192" s="7" t="s">
        <v>677</v>
      </c>
      <c r="E192" s="8">
        <v>1</v>
      </c>
      <c r="F192" s="7" t="s">
        <v>61</v>
      </c>
      <c r="G192" s="7"/>
      <c r="H192" s="9"/>
      <c r="I192" s="10">
        <v>91882</v>
      </c>
      <c r="J192" s="10">
        <v>501264</v>
      </c>
      <c r="K192" s="9"/>
      <c r="L192" s="10">
        <v>0</v>
      </c>
      <c r="M192" s="9"/>
      <c r="N192" s="10">
        <v>0</v>
      </c>
      <c r="O192" s="9"/>
      <c r="P192" s="10"/>
      <c r="Q192" s="10"/>
      <c r="R192" s="10"/>
      <c r="S192" s="7" t="s">
        <v>54</v>
      </c>
      <c r="T192" s="7" t="s">
        <v>607</v>
      </c>
      <c r="U192" s="7" t="s">
        <v>44</v>
      </c>
      <c r="V192" s="7" t="s">
        <v>45</v>
      </c>
      <c r="W192" s="7" t="s">
        <v>46</v>
      </c>
      <c r="X192" s="7" t="s">
        <v>47</v>
      </c>
      <c r="Y192" s="7" t="s">
        <v>678</v>
      </c>
      <c r="Z192" s="7" t="s">
        <v>667</v>
      </c>
      <c r="AA192" s="7"/>
      <c r="AB192" s="7"/>
      <c r="AC192" s="7" t="s">
        <v>39</v>
      </c>
      <c r="AD192" s="7"/>
      <c r="AE192" s="7" t="s">
        <v>612</v>
      </c>
      <c r="AF192" s="7" t="s">
        <v>50</v>
      </c>
      <c r="AG192" s="7" t="s">
        <v>51</v>
      </c>
      <c r="AH192" s="7" t="s">
        <v>52</v>
      </c>
    </row>
    <row r="193" spans="1:34" ht="9.75" customHeight="1" x14ac:dyDescent="0.2">
      <c r="A193" s="7" t="s">
        <v>37</v>
      </c>
      <c r="B193" s="7" t="s">
        <v>38</v>
      </c>
      <c r="C193" s="7"/>
      <c r="D193" s="7" t="s">
        <v>679</v>
      </c>
      <c r="E193" s="8">
        <v>1</v>
      </c>
      <c r="F193" s="7" t="s">
        <v>61</v>
      </c>
      <c r="G193" s="7"/>
      <c r="H193" s="9"/>
      <c r="I193" s="10">
        <v>32796</v>
      </c>
      <c r="J193" s="10">
        <v>73909</v>
      </c>
      <c r="K193" s="9"/>
      <c r="L193" s="10">
        <v>449046</v>
      </c>
      <c r="M193" s="9"/>
      <c r="N193" s="10">
        <v>449046</v>
      </c>
      <c r="O193" s="9"/>
      <c r="P193" s="10"/>
      <c r="Q193" s="10"/>
      <c r="R193" s="10"/>
      <c r="S193" s="7" t="s">
        <v>54</v>
      </c>
      <c r="T193" s="7" t="s">
        <v>607</v>
      </c>
      <c r="U193" s="7" t="s">
        <v>44</v>
      </c>
      <c r="V193" s="7" t="s">
        <v>45</v>
      </c>
      <c r="W193" s="7" t="s">
        <v>46</v>
      </c>
      <c r="X193" s="7" t="s">
        <v>47</v>
      </c>
      <c r="Y193" s="7" t="s">
        <v>680</v>
      </c>
      <c r="Z193" s="7" t="s">
        <v>667</v>
      </c>
      <c r="AA193" s="7"/>
      <c r="AB193" s="7"/>
      <c r="AC193" s="7" t="s">
        <v>39</v>
      </c>
      <c r="AD193" s="7"/>
      <c r="AE193" s="7" t="s">
        <v>615</v>
      </c>
      <c r="AF193" s="7" t="s">
        <v>50</v>
      </c>
      <c r="AG193" s="7" t="s">
        <v>51</v>
      </c>
      <c r="AH193" s="7" t="s">
        <v>52</v>
      </c>
    </row>
    <row r="194" spans="1:34" ht="9.75" customHeight="1" x14ac:dyDescent="0.2">
      <c r="A194" s="7" t="s">
        <v>37</v>
      </c>
      <c r="B194" s="7" t="s">
        <v>38</v>
      </c>
      <c r="C194" s="7"/>
      <c r="D194" s="7" t="s">
        <v>681</v>
      </c>
      <c r="E194" s="8">
        <v>1</v>
      </c>
      <c r="F194" s="7" t="s">
        <v>61</v>
      </c>
      <c r="G194" s="7"/>
      <c r="H194" s="9"/>
      <c r="I194" s="9"/>
      <c r="J194" s="10">
        <v>33554</v>
      </c>
      <c r="K194" s="9"/>
      <c r="L194" s="10">
        <v>100394</v>
      </c>
      <c r="M194" s="9"/>
      <c r="N194" s="10">
        <v>100394</v>
      </c>
      <c r="O194" s="9"/>
      <c r="P194" s="10"/>
      <c r="Q194" s="10"/>
      <c r="R194" s="10"/>
      <c r="S194" s="7" t="s">
        <v>54</v>
      </c>
      <c r="T194" s="7" t="s">
        <v>607</v>
      </c>
      <c r="U194" s="7" t="s">
        <v>44</v>
      </c>
      <c r="V194" s="7" t="s">
        <v>45</v>
      </c>
      <c r="W194" s="7" t="s">
        <v>46</v>
      </c>
      <c r="X194" s="7" t="s">
        <v>47</v>
      </c>
      <c r="Y194" s="7" t="s">
        <v>682</v>
      </c>
      <c r="Z194" s="7" t="s">
        <v>667</v>
      </c>
      <c r="AA194" s="7"/>
      <c r="AB194" s="7"/>
      <c r="AC194" s="7" t="s">
        <v>39</v>
      </c>
      <c r="AD194" s="7"/>
      <c r="AE194" s="7" t="s">
        <v>618</v>
      </c>
      <c r="AF194" s="7" t="s">
        <v>50</v>
      </c>
      <c r="AG194" s="7" t="s">
        <v>51</v>
      </c>
      <c r="AH194" s="7" t="s">
        <v>52</v>
      </c>
    </row>
    <row r="195" spans="1:34" ht="9.75" customHeight="1" x14ac:dyDescent="0.2">
      <c r="A195" s="7" t="s">
        <v>37</v>
      </c>
      <c r="B195" s="7" t="s">
        <v>38</v>
      </c>
      <c r="C195" s="7"/>
      <c r="D195" s="7" t="s">
        <v>683</v>
      </c>
      <c r="E195" s="8">
        <v>1</v>
      </c>
      <c r="F195" s="7" t="s">
        <v>61</v>
      </c>
      <c r="G195" s="7"/>
      <c r="H195" s="9"/>
      <c r="I195" s="9"/>
      <c r="J195" s="9"/>
      <c r="K195" s="9"/>
      <c r="L195" s="10">
        <v>34342</v>
      </c>
      <c r="M195" s="9"/>
      <c r="N195" s="10">
        <v>34342</v>
      </c>
      <c r="O195" s="9"/>
      <c r="P195" s="10"/>
      <c r="Q195" s="10"/>
      <c r="R195" s="10"/>
      <c r="S195" s="7" t="s">
        <v>54</v>
      </c>
      <c r="T195" s="7" t="s">
        <v>607</v>
      </c>
      <c r="U195" s="7" t="s">
        <v>44</v>
      </c>
      <c r="V195" s="7" t="s">
        <v>45</v>
      </c>
      <c r="W195" s="7" t="s">
        <v>46</v>
      </c>
      <c r="X195" s="7" t="s">
        <v>47</v>
      </c>
      <c r="Y195" s="7" t="s">
        <v>684</v>
      </c>
      <c r="Z195" s="7" t="s">
        <v>667</v>
      </c>
      <c r="AA195" s="7"/>
      <c r="AB195" s="7"/>
      <c r="AC195" s="7" t="s">
        <v>39</v>
      </c>
      <c r="AD195" s="7"/>
      <c r="AE195" s="7" t="s">
        <v>621</v>
      </c>
      <c r="AF195" s="7" t="s">
        <v>50</v>
      </c>
      <c r="AG195" s="7" t="s">
        <v>51</v>
      </c>
      <c r="AH195" s="7" t="s">
        <v>52</v>
      </c>
    </row>
    <row r="196" spans="1:34" ht="9.75" customHeight="1" x14ac:dyDescent="0.2">
      <c r="A196" s="7" t="s">
        <v>37</v>
      </c>
      <c r="B196" s="7" t="s">
        <v>38</v>
      </c>
      <c r="C196" s="7"/>
      <c r="D196" s="7" t="s">
        <v>685</v>
      </c>
      <c r="E196" s="8">
        <v>1</v>
      </c>
      <c r="F196" s="7" t="s">
        <v>61</v>
      </c>
      <c r="G196" s="7"/>
      <c r="H196" s="9"/>
      <c r="I196" s="9"/>
      <c r="J196" s="9"/>
      <c r="K196" s="9"/>
      <c r="L196" s="10">
        <v>0</v>
      </c>
      <c r="M196" s="9"/>
      <c r="N196" s="10">
        <v>0</v>
      </c>
      <c r="O196" s="9"/>
      <c r="P196" s="10"/>
      <c r="Q196" s="10"/>
      <c r="R196" s="10"/>
      <c r="S196" s="7" t="s">
        <v>54</v>
      </c>
      <c r="T196" s="7" t="s">
        <v>607</v>
      </c>
      <c r="U196" s="7" t="s">
        <v>44</v>
      </c>
      <c r="V196" s="7" t="s">
        <v>45</v>
      </c>
      <c r="W196" s="7" t="s">
        <v>46</v>
      </c>
      <c r="X196" s="7" t="s">
        <v>47</v>
      </c>
      <c r="Y196" s="7" t="s">
        <v>686</v>
      </c>
      <c r="Z196" s="7" t="s">
        <v>667</v>
      </c>
      <c r="AA196" s="7"/>
      <c r="AB196" s="7"/>
      <c r="AC196" s="7" t="s">
        <v>39</v>
      </c>
      <c r="AD196" s="7"/>
      <c r="AE196" s="7"/>
      <c r="AF196" s="7" t="s">
        <v>50</v>
      </c>
      <c r="AG196" s="7" t="s">
        <v>51</v>
      </c>
      <c r="AH196" s="7" t="s">
        <v>52</v>
      </c>
    </row>
    <row r="197" spans="1:34" ht="9.75" customHeight="1" x14ac:dyDescent="0.2">
      <c r="A197" s="7" t="s">
        <v>37</v>
      </c>
      <c r="B197" s="7" t="s">
        <v>38</v>
      </c>
      <c r="C197" s="7"/>
      <c r="D197" s="7" t="s">
        <v>687</v>
      </c>
      <c r="E197" s="8">
        <v>1</v>
      </c>
      <c r="F197" s="7" t="s">
        <v>61</v>
      </c>
      <c r="G197" s="7"/>
      <c r="H197" s="9"/>
      <c r="I197" s="9"/>
      <c r="J197" s="9"/>
      <c r="K197" s="9"/>
      <c r="L197" s="10">
        <v>0</v>
      </c>
      <c r="M197" s="9"/>
      <c r="N197" s="10">
        <v>0</v>
      </c>
      <c r="O197" s="9"/>
      <c r="P197" s="10"/>
      <c r="Q197" s="10"/>
      <c r="R197" s="10"/>
      <c r="S197" s="7" t="s">
        <v>54</v>
      </c>
      <c r="T197" s="7" t="s">
        <v>607</v>
      </c>
      <c r="U197" s="7" t="s">
        <v>44</v>
      </c>
      <c r="V197" s="7" t="s">
        <v>45</v>
      </c>
      <c r="W197" s="7" t="s">
        <v>46</v>
      </c>
      <c r="X197" s="7" t="s">
        <v>47</v>
      </c>
      <c r="Y197" s="7" t="s">
        <v>688</v>
      </c>
      <c r="Z197" s="7" t="s">
        <v>667</v>
      </c>
      <c r="AA197" s="7"/>
      <c r="AB197" s="7"/>
      <c r="AC197" s="7" t="s">
        <v>39</v>
      </c>
      <c r="AD197" s="7"/>
      <c r="AE197" s="7"/>
      <c r="AF197" s="7" t="s">
        <v>50</v>
      </c>
      <c r="AG197" s="7" t="s">
        <v>51</v>
      </c>
      <c r="AH197" s="7" t="s">
        <v>52</v>
      </c>
    </row>
    <row r="198" spans="1:34" ht="9.75" customHeight="1" x14ac:dyDescent="0.2">
      <c r="A198" s="7" t="s">
        <v>37</v>
      </c>
      <c r="B198" s="7" t="s">
        <v>38</v>
      </c>
      <c r="C198" s="7"/>
      <c r="D198" s="7" t="s">
        <v>689</v>
      </c>
      <c r="E198" s="8">
        <v>1</v>
      </c>
      <c r="F198" s="7" t="s">
        <v>61</v>
      </c>
      <c r="G198" s="7"/>
      <c r="H198" s="9"/>
      <c r="I198" s="9"/>
      <c r="J198" s="9"/>
      <c r="K198" s="9"/>
      <c r="L198" s="10">
        <v>0</v>
      </c>
      <c r="M198" s="9"/>
      <c r="N198" s="10">
        <v>0</v>
      </c>
      <c r="O198" s="9"/>
      <c r="P198" s="10"/>
      <c r="Q198" s="10"/>
      <c r="R198" s="10"/>
      <c r="S198" s="7" t="s">
        <v>54</v>
      </c>
      <c r="T198" s="7" t="s">
        <v>607</v>
      </c>
      <c r="U198" s="7" t="s">
        <v>44</v>
      </c>
      <c r="V198" s="7" t="s">
        <v>45</v>
      </c>
      <c r="W198" s="7" t="s">
        <v>46</v>
      </c>
      <c r="X198" s="7" t="s">
        <v>47</v>
      </c>
      <c r="Y198" s="7" t="s">
        <v>690</v>
      </c>
      <c r="Z198" s="7" t="s">
        <v>667</v>
      </c>
      <c r="AA198" s="7"/>
      <c r="AB198" s="7"/>
      <c r="AC198" s="7" t="s">
        <v>39</v>
      </c>
      <c r="AD198" s="7"/>
      <c r="AE198" s="7"/>
      <c r="AF198" s="7" t="s">
        <v>50</v>
      </c>
      <c r="AG198" s="7" t="s">
        <v>51</v>
      </c>
      <c r="AH198" s="7" t="s">
        <v>52</v>
      </c>
    </row>
    <row r="199" spans="1:34" ht="9.75" customHeight="1" x14ac:dyDescent="0.2">
      <c r="A199" s="7" t="s">
        <v>37</v>
      </c>
      <c r="B199" s="7" t="s">
        <v>38</v>
      </c>
      <c r="C199" s="7"/>
      <c r="D199" s="7" t="s">
        <v>691</v>
      </c>
      <c r="E199" s="8">
        <v>1</v>
      </c>
      <c r="F199" s="7" t="s">
        <v>61</v>
      </c>
      <c r="G199" s="7"/>
      <c r="H199" s="9"/>
      <c r="I199" s="9"/>
      <c r="J199" s="9"/>
      <c r="K199" s="9"/>
      <c r="L199" s="10">
        <v>0</v>
      </c>
      <c r="M199" s="9"/>
      <c r="N199" s="10">
        <v>0</v>
      </c>
      <c r="O199" s="9"/>
      <c r="P199" s="10"/>
      <c r="Q199" s="10"/>
      <c r="R199" s="10"/>
      <c r="S199" s="7" t="s">
        <v>54</v>
      </c>
      <c r="T199" s="7" t="s">
        <v>607</v>
      </c>
      <c r="U199" s="7" t="s">
        <v>44</v>
      </c>
      <c r="V199" s="7" t="s">
        <v>45</v>
      </c>
      <c r="W199" s="7" t="s">
        <v>46</v>
      </c>
      <c r="X199" s="7" t="s">
        <v>47</v>
      </c>
      <c r="Y199" s="7" t="s">
        <v>692</v>
      </c>
      <c r="Z199" s="7" t="s">
        <v>667</v>
      </c>
      <c r="AA199" s="7"/>
      <c r="AB199" s="7"/>
      <c r="AC199" s="7" t="s">
        <v>39</v>
      </c>
      <c r="AD199" s="7"/>
      <c r="AE199" s="7"/>
      <c r="AF199" s="7" t="s">
        <v>50</v>
      </c>
      <c r="AG199" s="7" t="s">
        <v>51</v>
      </c>
      <c r="AH199" s="7" t="s">
        <v>52</v>
      </c>
    </row>
    <row r="200" spans="1:34" ht="9.75" customHeight="1" x14ac:dyDescent="0.2">
      <c r="A200" s="7" t="s">
        <v>37</v>
      </c>
      <c r="B200" s="7" t="s">
        <v>38</v>
      </c>
      <c r="C200" s="7"/>
      <c r="D200" s="7" t="s">
        <v>693</v>
      </c>
      <c r="E200" s="8">
        <v>1</v>
      </c>
      <c r="F200" s="7" t="s">
        <v>61</v>
      </c>
      <c r="G200" s="7"/>
      <c r="H200" s="9"/>
      <c r="I200" s="10">
        <v>201588</v>
      </c>
      <c r="J200" s="9"/>
      <c r="K200" s="9"/>
      <c r="L200" s="10">
        <v>0</v>
      </c>
      <c r="M200" s="9"/>
      <c r="N200" s="10">
        <v>0</v>
      </c>
      <c r="O200" s="9"/>
      <c r="P200" s="10"/>
      <c r="Q200" s="10"/>
      <c r="R200" s="10"/>
      <c r="S200" s="7" t="s">
        <v>54</v>
      </c>
      <c r="T200" s="7" t="s">
        <v>607</v>
      </c>
      <c r="U200" s="7" t="s">
        <v>44</v>
      </c>
      <c r="V200" s="7" t="s">
        <v>45</v>
      </c>
      <c r="W200" s="7" t="s">
        <v>46</v>
      </c>
      <c r="X200" s="7" t="s">
        <v>47</v>
      </c>
      <c r="Y200" s="7" t="s">
        <v>694</v>
      </c>
      <c r="Z200" s="7" t="s">
        <v>667</v>
      </c>
      <c r="AA200" s="7"/>
      <c r="AB200" s="7"/>
      <c r="AC200" s="7" t="s">
        <v>39</v>
      </c>
      <c r="AD200" s="7"/>
      <c r="AE200" s="7" t="s">
        <v>615</v>
      </c>
      <c r="AF200" s="7" t="s">
        <v>50</v>
      </c>
      <c r="AG200" s="7" t="s">
        <v>51</v>
      </c>
      <c r="AH200" s="7" t="s">
        <v>52</v>
      </c>
    </row>
    <row r="201" spans="1:34" ht="9.75" customHeight="1" x14ac:dyDescent="0.2">
      <c r="A201" s="7" t="s">
        <v>37</v>
      </c>
      <c r="B201" s="7" t="s">
        <v>38</v>
      </c>
      <c r="C201" s="7"/>
      <c r="D201" s="7" t="s">
        <v>695</v>
      </c>
      <c r="E201" s="8">
        <v>1</v>
      </c>
      <c r="F201" s="7" t="s">
        <v>61</v>
      </c>
      <c r="G201" s="7"/>
      <c r="H201" s="9"/>
      <c r="I201" s="10">
        <v>201598</v>
      </c>
      <c r="J201" s="10">
        <v>103412</v>
      </c>
      <c r="K201" s="9"/>
      <c r="L201" s="10">
        <v>0</v>
      </c>
      <c r="M201" s="9"/>
      <c r="N201" s="10">
        <v>0</v>
      </c>
      <c r="O201" s="9"/>
      <c r="P201" s="10"/>
      <c r="Q201" s="10"/>
      <c r="R201" s="10"/>
      <c r="S201" s="7" t="s">
        <v>54</v>
      </c>
      <c r="T201" s="7" t="s">
        <v>607</v>
      </c>
      <c r="U201" s="7" t="s">
        <v>44</v>
      </c>
      <c r="V201" s="7" t="s">
        <v>45</v>
      </c>
      <c r="W201" s="7" t="s">
        <v>46</v>
      </c>
      <c r="X201" s="7" t="s">
        <v>47</v>
      </c>
      <c r="Y201" s="7" t="s">
        <v>696</v>
      </c>
      <c r="Z201" s="7" t="s">
        <v>667</v>
      </c>
      <c r="AA201" s="7"/>
      <c r="AB201" s="7"/>
      <c r="AC201" s="7" t="s">
        <v>39</v>
      </c>
      <c r="AD201" s="7"/>
      <c r="AE201" s="7" t="s">
        <v>618</v>
      </c>
      <c r="AF201" s="7" t="s">
        <v>50</v>
      </c>
      <c r="AG201" s="7" t="s">
        <v>51</v>
      </c>
      <c r="AH201" s="7" t="s">
        <v>52</v>
      </c>
    </row>
    <row r="202" spans="1:34" ht="9.75" customHeight="1" x14ac:dyDescent="0.2">
      <c r="A202" s="7" t="s">
        <v>37</v>
      </c>
      <c r="B202" s="7" t="s">
        <v>38</v>
      </c>
      <c r="C202" s="7"/>
      <c r="D202" s="7" t="s">
        <v>697</v>
      </c>
      <c r="E202" s="8">
        <v>1</v>
      </c>
      <c r="F202" s="7" t="s">
        <v>61</v>
      </c>
      <c r="G202" s="7"/>
      <c r="H202" s="9"/>
      <c r="I202" s="10">
        <v>100851</v>
      </c>
      <c r="J202" s="10">
        <v>111918</v>
      </c>
      <c r="K202" s="9"/>
      <c r="L202" s="10">
        <v>104926</v>
      </c>
      <c r="M202" s="9"/>
      <c r="N202" s="10">
        <v>104926</v>
      </c>
      <c r="O202" s="9"/>
      <c r="P202" s="10"/>
      <c r="Q202" s="10"/>
      <c r="R202" s="10"/>
      <c r="S202" s="7" t="s">
        <v>54</v>
      </c>
      <c r="T202" s="7" t="s">
        <v>607</v>
      </c>
      <c r="U202" s="7" t="s">
        <v>44</v>
      </c>
      <c r="V202" s="7" t="s">
        <v>45</v>
      </c>
      <c r="W202" s="7" t="s">
        <v>46</v>
      </c>
      <c r="X202" s="7" t="s">
        <v>47</v>
      </c>
      <c r="Y202" s="7" t="s">
        <v>698</v>
      </c>
      <c r="Z202" s="7" t="s">
        <v>667</v>
      </c>
      <c r="AA202" s="7"/>
      <c r="AB202" s="7"/>
      <c r="AC202" s="7" t="s">
        <v>39</v>
      </c>
      <c r="AD202" s="7"/>
      <c r="AE202" s="7" t="s">
        <v>621</v>
      </c>
      <c r="AF202" s="7" t="s">
        <v>50</v>
      </c>
      <c r="AG202" s="7" t="s">
        <v>51</v>
      </c>
      <c r="AH202" s="7" t="s">
        <v>52</v>
      </c>
    </row>
    <row r="203" spans="1:34" ht="9.75" customHeight="1" x14ac:dyDescent="0.2">
      <c r="A203" s="7" t="s">
        <v>37</v>
      </c>
      <c r="B203" s="7" t="s">
        <v>38</v>
      </c>
      <c r="C203" s="7"/>
      <c r="D203" s="7" t="s">
        <v>699</v>
      </c>
      <c r="E203" s="8">
        <v>1</v>
      </c>
      <c r="F203" s="7" t="s">
        <v>61</v>
      </c>
      <c r="G203" s="7"/>
      <c r="H203" s="9"/>
      <c r="I203" s="10">
        <v>101023</v>
      </c>
      <c r="J203" s="10">
        <v>102935</v>
      </c>
      <c r="K203" s="9"/>
      <c r="L203" s="10">
        <v>104927</v>
      </c>
      <c r="M203" s="9"/>
      <c r="N203" s="10">
        <v>104927</v>
      </c>
      <c r="O203" s="9"/>
      <c r="P203" s="10"/>
      <c r="Q203" s="10"/>
      <c r="R203" s="10"/>
      <c r="S203" s="7" t="s">
        <v>54</v>
      </c>
      <c r="T203" s="7" t="s">
        <v>607</v>
      </c>
      <c r="U203" s="7" t="s">
        <v>44</v>
      </c>
      <c r="V203" s="7" t="s">
        <v>45</v>
      </c>
      <c r="W203" s="7" t="s">
        <v>46</v>
      </c>
      <c r="X203" s="7" t="s">
        <v>47</v>
      </c>
      <c r="Y203" s="7" t="s">
        <v>700</v>
      </c>
      <c r="Z203" s="7" t="s">
        <v>667</v>
      </c>
      <c r="AA203" s="7"/>
      <c r="AB203" s="7"/>
      <c r="AC203" s="7" t="s">
        <v>39</v>
      </c>
      <c r="AD203" s="7"/>
      <c r="AE203" s="7" t="s">
        <v>624</v>
      </c>
      <c r="AF203" s="7" t="s">
        <v>50</v>
      </c>
      <c r="AG203" s="7" t="s">
        <v>51</v>
      </c>
      <c r="AH203" s="7" t="s">
        <v>52</v>
      </c>
    </row>
    <row r="204" spans="1:34" ht="9.75" customHeight="1" x14ac:dyDescent="0.2">
      <c r="A204" s="7" t="s">
        <v>37</v>
      </c>
      <c r="B204" s="7" t="s">
        <v>38</v>
      </c>
      <c r="C204" s="7"/>
      <c r="D204" s="7" t="s">
        <v>701</v>
      </c>
      <c r="E204" s="8">
        <v>1</v>
      </c>
      <c r="F204" s="7" t="s">
        <v>61</v>
      </c>
      <c r="G204" s="7"/>
      <c r="H204" s="9"/>
      <c r="I204" s="9"/>
      <c r="J204" s="9"/>
      <c r="K204" s="9"/>
      <c r="L204" s="10">
        <v>0</v>
      </c>
      <c r="M204" s="9"/>
      <c r="N204" s="10">
        <v>0</v>
      </c>
      <c r="O204" s="9"/>
      <c r="P204" s="10"/>
      <c r="Q204" s="10"/>
      <c r="R204" s="10"/>
      <c r="S204" s="7" t="s">
        <v>54</v>
      </c>
      <c r="T204" s="7" t="s">
        <v>607</v>
      </c>
      <c r="U204" s="7" t="s">
        <v>44</v>
      </c>
      <c r="V204" s="7" t="s">
        <v>45</v>
      </c>
      <c r="W204" s="7" t="s">
        <v>46</v>
      </c>
      <c r="X204" s="7" t="s">
        <v>47</v>
      </c>
      <c r="Y204" s="7" t="s">
        <v>702</v>
      </c>
      <c r="Z204" s="7" t="s">
        <v>667</v>
      </c>
      <c r="AA204" s="7"/>
      <c r="AB204" s="7"/>
      <c r="AC204" s="7" t="s">
        <v>39</v>
      </c>
      <c r="AD204" s="7"/>
      <c r="AE204" s="7"/>
      <c r="AF204" s="7" t="s">
        <v>50</v>
      </c>
      <c r="AG204" s="7" t="s">
        <v>51</v>
      </c>
      <c r="AH204" s="7" t="s">
        <v>52</v>
      </c>
    </row>
    <row r="205" spans="1:34" ht="9.75" customHeight="1" x14ac:dyDescent="0.2">
      <c r="A205" s="7" t="s">
        <v>37</v>
      </c>
      <c r="B205" s="7" t="s">
        <v>38</v>
      </c>
      <c r="C205" s="7"/>
      <c r="D205" s="7" t="s">
        <v>703</v>
      </c>
      <c r="E205" s="8">
        <v>1</v>
      </c>
      <c r="F205" s="7" t="s">
        <v>61</v>
      </c>
      <c r="G205" s="7"/>
      <c r="H205" s="9"/>
      <c r="I205" s="9"/>
      <c r="J205" s="9"/>
      <c r="K205" s="9"/>
      <c r="L205" s="10">
        <v>0</v>
      </c>
      <c r="M205" s="9"/>
      <c r="N205" s="10">
        <v>0</v>
      </c>
      <c r="O205" s="9"/>
      <c r="P205" s="10"/>
      <c r="Q205" s="10"/>
      <c r="R205" s="10"/>
      <c r="S205" s="7" t="s">
        <v>54</v>
      </c>
      <c r="T205" s="7" t="s">
        <v>607</v>
      </c>
      <c r="U205" s="7" t="s">
        <v>44</v>
      </c>
      <c r="V205" s="7" t="s">
        <v>45</v>
      </c>
      <c r="W205" s="7" t="s">
        <v>46</v>
      </c>
      <c r="X205" s="7" t="s">
        <v>47</v>
      </c>
      <c r="Y205" s="7" t="s">
        <v>704</v>
      </c>
      <c r="Z205" s="7" t="s">
        <v>667</v>
      </c>
      <c r="AA205" s="7"/>
      <c r="AB205" s="7"/>
      <c r="AC205" s="7" t="s">
        <v>39</v>
      </c>
      <c r="AD205" s="7"/>
      <c r="AE205" s="7"/>
      <c r="AF205" s="7" t="s">
        <v>50</v>
      </c>
      <c r="AG205" s="7" t="s">
        <v>51</v>
      </c>
      <c r="AH205" s="7" t="s">
        <v>52</v>
      </c>
    </row>
    <row r="206" spans="1:34" ht="9.75" customHeight="1" x14ac:dyDescent="0.2">
      <c r="A206" s="7" t="s">
        <v>37</v>
      </c>
      <c r="B206" s="7" t="s">
        <v>38</v>
      </c>
      <c r="C206" s="7"/>
      <c r="D206" s="7" t="s">
        <v>705</v>
      </c>
      <c r="E206" s="8">
        <v>1</v>
      </c>
      <c r="F206" s="7" t="s">
        <v>61</v>
      </c>
      <c r="G206" s="7"/>
      <c r="H206" s="9"/>
      <c r="I206" s="9"/>
      <c r="J206" s="9"/>
      <c r="K206" s="9"/>
      <c r="L206" s="10">
        <v>0</v>
      </c>
      <c r="M206" s="9"/>
      <c r="N206" s="10">
        <v>0</v>
      </c>
      <c r="O206" s="9"/>
      <c r="P206" s="10"/>
      <c r="Q206" s="10"/>
      <c r="R206" s="10"/>
      <c r="S206" s="7" t="s">
        <v>54</v>
      </c>
      <c r="T206" s="7" t="s">
        <v>607</v>
      </c>
      <c r="U206" s="7" t="s">
        <v>44</v>
      </c>
      <c r="V206" s="7" t="s">
        <v>45</v>
      </c>
      <c r="W206" s="7" t="s">
        <v>46</v>
      </c>
      <c r="X206" s="7" t="s">
        <v>47</v>
      </c>
      <c r="Y206" s="7" t="s">
        <v>706</v>
      </c>
      <c r="Z206" s="7" t="s">
        <v>667</v>
      </c>
      <c r="AA206" s="7"/>
      <c r="AB206" s="7"/>
      <c r="AC206" s="7" t="s">
        <v>39</v>
      </c>
      <c r="AD206" s="7"/>
      <c r="AE206" s="7"/>
      <c r="AF206" s="7" t="s">
        <v>50</v>
      </c>
      <c r="AG206" s="7" t="s">
        <v>51</v>
      </c>
      <c r="AH206" s="7" t="s">
        <v>52</v>
      </c>
    </row>
    <row r="207" spans="1:34" ht="9.75" customHeight="1" x14ac:dyDescent="0.2">
      <c r="A207" s="7" t="s">
        <v>37</v>
      </c>
      <c r="B207" s="7" t="s">
        <v>38</v>
      </c>
      <c r="C207" s="7"/>
      <c r="D207" s="7" t="s">
        <v>707</v>
      </c>
      <c r="E207" s="8">
        <v>1</v>
      </c>
      <c r="F207" s="7" t="s">
        <v>61</v>
      </c>
      <c r="G207" s="7"/>
      <c r="H207" s="9"/>
      <c r="I207" s="9"/>
      <c r="J207" s="9"/>
      <c r="K207" s="9"/>
      <c r="L207" s="10">
        <v>0</v>
      </c>
      <c r="M207" s="9"/>
      <c r="N207" s="10">
        <v>0</v>
      </c>
      <c r="O207" s="9"/>
      <c r="P207" s="10"/>
      <c r="Q207" s="10"/>
      <c r="R207" s="10"/>
      <c r="S207" s="7" t="s">
        <v>54</v>
      </c>
      <c r="T207" s="7" t="s">
        <v>607</v>
      </c>
      <c r="U207" s="7" t="s">
        <v>44</v>
      </c>
      <c r="V207" s="7" t="s">
        <v>45</v>
      </c>
      <c r="W207" s="7" t="s">
        <v>46</v>
      </c>
      <c r="X207" s="7" t="s">
        <v>47</v>
      </c>
      <c r="Y207" s="7" t="s">
        <v>708</v>
      </c>
      <c r="Z207" s="7" t="s">
        <v>667</v>
      </c>
      <c r="AA207" s="7"/>
      <c r="AB207" s="7"/>
      <c r="AC207" s="7" t="s">
        <v>39</v>
      </c>
      <c r="AD207" s="7"/>
      <c r="AE207" s="7"/>
      <c r="AF207" s="7" t="s">
        <v>50</v>
      </c>
      <c r="AG207" s="7" t="s">
        <v>51</v>
      </c>
      <c r="AH207" s="7" t="s">
        <v>52</v>
      </c>
    </row>
    <row r="208" spans="1:34" ht="9.75" customHeight="1" x14ac:dyDescent="0.2">
      <c r="A208" s="7" t="s">
        <v>37</v>
      </c>
      <c r="B208" s="7" t="s">
        <v>38</v>
      </c>
      <c r="C208" s="7"/>
      <c r="D208" s="7" t="s">
        <v>709</v>
      </c>
      <c r="E208" s="8">
        <v>1</v>
      </c>
      <c r="F208" s="7" t="s">
        <v>61</v>
      </c>
      <c r="G208" s="7"/>
      <c r="H208" s="9"/>
      <c r="I208" s="10">
        <v>164568</v>
      </c>
      <c r="J208" s="10">
        <v>171001</v>
      </c>
      <c r="K208" s="9"/>
      <c r="L208" s="10">
        <v>166792</v>
      </c>
      <c r="M208" s="9"/>
      <c r="N208" s="10">
        <v>166792</v>
      </c>
      <c r="O208" s="9"/>
      <c r="P208" s="10"/>
      <c r="Q208" s="10"/>
      <c r="R208" s="10"/>
      <c r="S208" s="7" t="s">
        <v>54</v>
      </c>
      <c r="T208" s="7" t="s">
        <v>607</v>
      </c>
      <c r="U208" s="7" t="s">
        <v>44</v>
      </c>
      <c r="V208" s="7" t="s">
        <v>45</v>
      </c>
      <c r="W208" s="7" t="s">
        <v>46</v>
      </c>
      <c r="X208" s="7" t="s">
        <v>47</v>
      </c>
      <c r="Y208" s="7" t="s">
        <v>710</v>
      </c>
      <c r="Z208" s="7" t="s">
        <v>667</v>
      </c>
      <c r="AA208" s="7"/>
      <c r="AB208" s="7"/>
      <c r="AC208" s="7" t="s">
        <v>39</v>
      </c>
      <c r="AD208" s="7"/>
      <c r="AE208" s="7" t="s">
        <v>711</v>
      </c>
      <c r="AF208" s="7" t="s">
        <v>50</v>
      </c>
      <c r="AG208" s="7" t="s">
        <v>51</v>
      </c>
      <c r="AH208" s="7" t="s">
        <v>52</v>
      </c>
    </row>
    <row r="209" spans="1:34" ht="9.75" customHeight="1" x14ac:dyDescent="0.2">
      <c r="A209" s="7" t="s">
        <v>37</v>
      </c>
      <c r="B209" s="7" t="s">
        <v>38</v>
      </c>
      <c r="C209" s="7"/>
      <c r="D209" s="7" t="s">
        <v>712</v>
      </c>
      <c r="E209" s="8">
        <v>1</v>
      </c>
      <c r="F209" s="7" t="s">
        <v>61</v>
      </c>
      <c r="G209" s="7"/>
      <c r="H209" s="9"/>
      <c r="I209" s="9"/>
      <c r="J209" s="9"/>
      <c r="K209" s="9"/>
      <c r="L209" s="10">
        <v>0</v>
      </c>
      <c r="M209" s="9"/>
      <c r="N209" s="10">
        <v>0</v>
      </c>
      <c r="O209" s="9"/>
      <c r="P209" s="10"/>
      <c r="Q209" s="10"/>
      <c r="R209" s="10"/>
      <c r="S209" s="7" t="s">
        <v>54</v>
      </c>
      <c r="T209" s="7" t="s">
        <v>607</v>
      </c>
      <c r="U209" s="7" t="s">
        <v>44</v>
      </c>
      <c r="V209" s="7" t="s">
        <v>45</v>
      </c>
      <c r="W209" s="7" t="s">
        <v>46</v>
      </c>
      <c r="X209" s="7" t="s">
        <v>47</v>
      </c>
      <c r="Y209" s="7" t="s">
        <v>713</v>
      </c>
      <c r="Z209" s="7" t="s">
        <v>714</v>
      </c>
      <c r="AA209" s="7"/>
      <c r="AB209" s="7"/>
      <c r="AC209" s="7" t="s">
        <v>39</v>
      </c>
      <c r="AD209" s="7"/>
      <c r="AE209" s="7"/>
      <c r="AF209" s="7" t="s">
        <v>50</v>
      </c>
      <c r="AG209" s="7" t="s">
        <v>51</v>
      </c>
      <c r="AH209" s="7" t="s">
        <v>52</v>
      </c>
    </row>
    <row r="210" spans="1:34" ht="9.75" customHeight="1" x14ac:dyDescent="0.2">
      <c r="A210" s="7" t="s">
        <v>37</v>
      </c>
      <c r="B210" s="7" t="s">
        <v>38</v>
      </c>
      <c r="C210" s="7"/>
      <c r="D210" s="7" t="s">
        <v>715</v>
      </c>
      <c r="E210" s="8">
        <v>1</v>
      </c>
      <c r="F210" s="7" t="s">
        <v>61</v>
      </c>
      <c r="G210" s="7"/>
      <c r="H210" s="9"/>
      <c r="I210" s="10">
        <v>16268</v>
      </c>
      <c r="J210" s="10">
        <v>15299</v>
      </c>
      <c r="K210" s="9"/>
      <c r="L210" s="10">
        <v>0</v>
      </c>
      <c r="M210" s="9"/>
      <c r="N210" s="10">
        <v>0</v>
      </c>
      <c r="O210" s="9"/>
      <c r="P210" s="10"/>
      <c r="Q210" s="10"/>
      <c r="R210" s="10"/>
      <c r="S210" s="7" t="s">
        <v>54</v>
      </c>
      <c r="T210" s="7" t="s">
        <v>607</v>
      </c>
      <c r="U210" s="7" t="s">
        <v>44</v>
      </c>
      <c r="V210" s="7" t="s">
        <v>45</v>
      </c>
      <c r="W210" s="7" t="s">
        <v>46</v>
      </c>
      <c r="X210" s="7" t="s">
        <v>47</v>
      </c>
      <c r="Y210" s="7" t="s">
        <v>716</v>
      </c>
      <c r="Z210" s="7" t="s">
        <v>714</v>
      </c>
      <c r="AA210" s="7"/>
      <c r="AB210" s="7"/>
      <c r="AC210" s="7" t="s">
        <v>39</v>
      </c>
      <c r="AD210" s="7"/>
      <c r="AE210" s="7" t="s">
        <v>612</v>
      </c>
      <c r="AF210" s="7" t="s">
        <v>50</v>
      </c>
      <c r="AG210" s="7" t="s">
        <v>51</v>
      </c>
      <c r="AH210" s="7" t="s">
        <v>52</v>
      </c>
    </row>
    <row r="211" spans="1:34" ht="9.75" customHeight="1" x14ac:dyDescent="0.2">
      <c r="A211" s="7" t="s">
        <v>37</v>
      </c>
      <c r="B211" s="7" t="s">
        <v>38</v>
      </c>
      <c r="C211" s="7"/>
      <c r="D211" s="7" t="s">
        <v>717</v>
      </c>
      <c r="E211" s="8">
        <v>1</v>
      </c>
      <c r="F211" s="7" t="s">
        <v>61</v>
      </c>
      <c r="G211" s="7"/>
      <c r="H211" s="9"/>
      <c r="I211" s="10">
        <v>5789</v>
      </c>
      <c r="J211" s="10">
        <v>11660</v>
      </c>
      <c r="K211" s="9"/>
      <c r="L211" s="10">
        <v>14476</v>
      </c>
      <c r="M211" s="9"/>
      <c r="N211" s="10">
        <v>14476</v>
      </c>
      <c r="O211" s="9"/>
      <c r="P211" s="10"/>
      <c r="Q211" s="10"/>
      <c r="R211" s="10"/>
      <c r="S211" s="7" t="s">
        <v>54</v>
      </c>
      <c r="T211" s="7" t="s">
        <v>607</v>
      </c>
      <c r="U211" s="7" t="s">
        <v>44</v>
      </c>
      <c r="V211" s="7" t="s">
        <v>45</v>
      </c>
      <c r="W211" s="7" t="s">
        <v>46</v>
      </c>
      <c r="X211" s="7" t="s">
        <v>47</v>
      </c>
      <c r="Y211" s="7" t="s">
        <v>718</v>
      </c>
      <c r="Z211" s="7" t="s">
        <v>714</v>
      </c>
      <c r="AA211" s="7"/>
      <c r="AB211" s="7"/>
      <c r="AC211" s="7" t="s">
        <v>39</v>
      </c>
      <c r="AD211" s="7"/>
      <c r="AE211" s="7" t="s">
        <v>615</v>
      </c>
      <c r="AF211" s="7" t="s">
        <v>50</v>
      </c>
      <c r="AG211" s="7" t="s">
        <v>51</v>
      </c>
      <c r="AH211" s="7" t="s">
        <v>52</v>
      </c>
    </row>
    <row r="212" spans="1:34" ht="9.75" customHeight="1" x14ac:dyDescent="0.2">
      <c r="A212" s="7" t="s">
        <v>37</v>
      </c>
      <c r="B212" s="7" t="s">
        <v>38</v>
      </c>
      <c r="C212" s="7"/>
      <c r="D212" s="7" t="s">
        <v>719</v>
      </c>
      <c r="E212" s="8">
        <v>1</v>
      </c>
      <c r="F212" s="7" t="s">
        <v>61</v>
      </c>
      <c r="G212" s="7"/>
      <c r="H212" s="9"/>
      <c r="I212" s="10">
        <v>4000</v>
      </c>
      <c r="J212" s="10">
        <v>7531</v>
      </c>
      <c r="K212" s="9"/>
      <c r="L212" s="10">
        <v>11057</v>
      </c>
      <c r="M212" s="9"/>
      <c r="N212" s="10">
        <v>11057</v>
      </c>
      <c r="O212" s="9"/>
      <c r="P212" s="10"/>
      <c r="Q212" s="10"/>
      <c r="R212" s="10"/>
      <c r="S212" s="7" t="s">
        <v>54</v>
      </c>
      <c r="T212" s="7" t="s">
        <v>607</v>
      </c>
      <c r="U212" s="7" t="s">
        <v>44</v>
      </c>
      <c r="V212" s="7" t="s">
        <v>45</v>
      </c>
      <c r="W212" s="7" t="s">
        <v>46</v>
      </c>
      <c r="X212" s="7" t="s">
        <v>47</v>
      </c>
      <c r="Y212" s="7" t="s">
        <v>720</v>
      </c>
      <c r="Z212" s="7" t="s">
        <v>714</v>
      </c>
      <c r="AA212" s="7"/>
      <c r="AB212" s="7"/>
      <c r="AC212" s="7" t="s">
        <v>39</v>
      </c>
      <c r="AD212" s="7"/>
      <c r="AE212" s="7" t="s">
        <v>618</v>
      </c>
      <c r="AF212" s="7" t="s">
        <v>50</v>
      </c>
      <c r="AG212" s="7" t="s">
        <v>51</v>
      </c>
      <c r="AH212" s="7" t="s">
        <v>52</v>
      </c>
    </row>
    <row r="213" spans="1:34" ht="9.75" customHeight="1" x14ac:dyDescent="0.2">
      <c r="A213" s="7" t="s">
        <v>37</v>
      </c>
      <c r="B213" s="7" t="s">
        <v>38</v>
      </c>
      <c r="C213" s="7"/>
      <c r="D213" s="7" t="s">
        <v>721</v>
      </c>
      <c r="E213" s="8">
        <v>1</v>
      </c>
      <c r="F213" s="7" t="s">
        <v>61</v>
      </c>
      <c r="G213" s="7"/>
      <c r="H213" s="9"/>
      <c r="I213" s="10">
        <v>4610</v>
      </c>
      <c r="J213" s="10">
        <v>4683</v>
      </c>
      <c r="K213" s="9"/>
      <c r="L213" s="10">
        <v>7968</v>
      </c>
      <c r="M213" s="9"/>
      <c r="N213" s="10">
        <v>7968</v>
      </c>
      <c r="O213" s="9"/>
      <c r="P213" s="10"/>
      <c r="Q213" s="10"/>
      <c r="R213" s="10"/>
      <c r="S213" s="7" t="s">
        <v>54</v>
      </c>
      <c r="T213" s="7" t="s">
        <v>607</v>
      </c>
      <c r="U213" s="7" t="s">
        <v>44</v>
      </c>
      <c r="V213" s="7" t="s">
        <v>45</v>
      </c>
      <c r="W213" s="7" t="s">
        <v>46</v>
      </c>
      <c r="X213" s="7" t="s">
        <v>47</v>
      </c>
      <c r="Y213" s="7" t="s">
        <v>722</v>
      </c>
      <c r="Z213" s="7" t="s">
        <v>714</v>
      </c>
      <c r="AA213" s="7"/>
      <c r="AB213" s="7"/>
      <c r="AC213" s="7" t="s">
        <v>39</v>
      </c>
      <c r="AD213" s="7"/>
      <c r="AE213" s="7" t="s">
        <v>621</v>
      </c>
      <c r="AF213" s="7" t="s">
        <v>50</v>
      </c>
      <c r="AG213" s="7" t="s">
        <v>51</v>
      </c>
      <c r="AH213" s="7" t="s">
        <v>52</v>
      </c>
    </row>
    <row r="214" spans="1:34" ht="9.75" customHeight="1" x14ac:dyDescent="0.2">
      <c r="A214" s="7" t="s">
        <v>37</v>
      </c>
      <c r="B214" s="7" t="s">
        <v>38</v>
      </c>
      <c r="C214" s="7"/>
      <c r="D214" s="7" t="s">
        <v>723</v>
      </c>
      <c r="E214" s="8">
        <v>1</v>
      </c>
      <c r="F214" s="7" t="s">
        <v>61</v>
      </c>
      <c r="G214" s="7"/>
      <c r="H214" s="9"/>
      <c r="I214" s="9"/>
      <c r="J214" s="10">
        <v>5420</v>
      </c>
      <c r="K214" s="9"/>
      <c r="L214" s="10">
        <v>5737</v>
      </c>
      <c r="M214" s="9"/>
      <c r="N214" s="10">
        <v>5737</v>
      </c>
      <c r="O214" s="9"/>
      <c r="P214" s="10"/>
      <c r="Q214" s="10"/>
      <c r="R214" s="10"/>
      <c r="S214" s="7" t="s">
        <v>54</v>
      </c>
      <c r="T214" s="7" t="s">
        <v>607</v>
      </c>
      <c r="U214" s="7" t="s">
        <v>44</v>
      </c>
      <c r="V214" s="7" t="s">
        <v>45</v>
      </c>
      <c r="W214" s="7" t="s">
        <v>46</v>
      </c>
      <c r="X214" s="7" t="s">
        <v>47</v>
      </c>
      <c r="Y214" s="7" t="s">
        <v>724</v>
      </c>
      <c r="Z214" s="7" t="s">
        <v>714</v>
      </c>
      <c r="AA214" s="7"/>
      <c r="AB214" s="7"/>
      <c r="AC214" s="7" t="s">
        <v>39</v>
      </c>
      <c r="AD214" s="7"/>
      <c r="AE214" s="7" t="s">
        <v>624</v>
      </c>
      <c r="AF214" s="7" t="s">
        <v>50</v>
      </c>
      <c r="AG214" s="7" t="s">
        <v>51</v>
      </c>
      <c r="AH214" s="7" t="s">
        <v>52</v>
      </c>
    </row>
    <row r="215" spans="1:34" ht="9.75" customHeight="1" x14ac:dyDescent="0.2">
      <c r="A215" s="7" t="s">
        <v>37</v>
      </c>
      <c r="B215" s="7" t="s">
        <v>38</v>
      </c>
      <c r="C215" s="7"/>
      <c r="D215" s="7" t="s">
        <v>725</v>
      </c>
      <c r="E215" s="8">
        <v>1</v>
      </c>
      <c r="F215" s="7" t="s">
        <v>61</v>
      </c>
      <c r="G215" s="7"/>
      <c r="H215" s="9"/>
      <c r="I215" s="10">
        <v>940</v>
      </c>
      <c r="J215" s="10">
        <v>1111</v>
      </c>
      <c r="K215" s="9"/>
      <c r="L215" s="10">
        <v>5752</v>
      </c>
      <c r="M215" s="9"/>
      <c r="N215" s="10">
        <v>5752</v>
      </c>
      <c r="O215" s="9"/>
      <c r="P215" s="10"/>
      <c r="Q215" s="10"/>
      <c r="R215" s="10"/>
      <c r="S215" s="7" t="s">
        <v>54</v>
      </c>
      <c r="T215" s="7" t="s">
        <v>607</v>
      </c>
      <c r="U215" s="7" t="s">
        <v>44</v>
      </c>
      <c r="V215" s="7" t="s">
        <v>45</v>
      </c>
      <c r="W215" s="7" t="s">
        <v>46</v>
      </c>
      <c r="X215" s="7" t="s">
        <v>47</v>
      </c>
      <c r="Y215" s="7" t="s">
        <v>726</v>
      </c>
      <c r="Z215" s="7" t="s">
        <v>714</v>
      </c>
      <c r="AA215" s="7"/>
      <c r="AB215" s="7"/>
      <c r="AC215" s="7" t="s">
        <v>39</v>
      </c>
      <c r="AD215" s="7"/>
      <c r="AE215" s="7" t="s">
        <v>627</v>
      </c>
      <c r="AF215" s="7" t="s">
        <v>50</v>
      </c>
      <c r="AG215" s="7" t="s">
        <v>51</v>
      </c>
      <c r="AH215" s="7" t="s">
        <v>52</v>
      </c>
    </row>
    <row r="216" spans="1:34" ht="9.75" customHeight="1" x14ac:dyDescent="0.2">
      <c r="A216" s="7" t="s">
        <v>37</v>
      </c>
      <c r="B216" s="7" t="s">
        <v>38</v>
      </c>
      <c r="C216" s="7"/>
      <c r="D216" s="7" t="s">
        <v>665</v>
      </c>
      <c r="E216" s="8">
        <v>1</v>
      </c>
      <c r="F216" s="7" t="s">
        <v>61</v>
      </c>
      <c r="G216" s="7"/>
      <c r="H216" s="9"/>
      <c r="I216" s="9"/>
      <c r="J216" s="10">
        <v>1616</v>
      </c>
      <c r="K216" s="9"/>
      <c r="L216" s="10">
        <v>0</v>
      </c>
      <c r="M216" s="9"/>
      <c r="N216" s="10">
        <v>0</v>
      </c>
      <c r="O216" s="9"/>
      <c r="P216" s="10"/>
      <c r="Q216" s="10"/>
      <c r="R216" s="10"/>
      <c r="S216" s="7" t="s">
        <v>54</v>
      </c>
      <c r="T216" s="7" t="s">
        <v>607</v>
      </c>
      <c r="U216" s="7" t="s">
        <v>44</v>
      </c>
      <c r="V216" s="7" t="s">
        <v>45</v>
      </c>
      <c r="W216" s="7" t="s">
        <v>46</v>
      </c>
      <c r="X216" s="7" t="s">
        <v>47</v>
      </c>
      <c r="Y216" s="7" t="s">
        <v>666</v>
      </c>
      <c r="Z216" s="7" t="s">
        <v>714</v>
      </c>
      <c r="AA216" s="7"/>
      <c r="AB216" s="7"/>
      <c r="AC216" s="7" t="s">
        <v>39</v>
      </c>
      <c r="AD216" s="7"/>
      <c r="AE216" s="7" t="s">
        <v>630</v>
      </c>
      <c r="AF216" s="7" t="s">
        <v>50</v>
      </c>
      <c r="AG216" s="7" t="s">
        <v>51</v>
      </c>
      <c r="AH216" s="7" t="s">
        <v>52</v>
      </c>
    </row>
    <row r="217" spans="1:34" ht="9.75" customHeight="1" x14ac:dyDescent="0.2">
      <c r="A217" s="7" t="s">
        <v>37</v>
      </c>
      <c r="B217" s="7" t="s">
        <v>38</v>
      </c>
      <c r="C217" s="7"/>
      <c r="D217" s="7" t="s">
        <v>668</v>
      </c>
      <c r="E217" s="8">
        <v>1</v>
      </c>
      <c r="F217" s="7" t="s">
        <v>61</v>
      </c>
      <c r="G217" s="7"/>
      <c r="H217" s="9"/>
      <c r="I217" s="9"/>
      <c r="J217" s="9"/>
      <c r="K217" s="9"/>
      <c r="L217" s="10">
        <v>1165</v>
      </c>
      <c r="M217" s="9"/>
      <c r="N217" s="10">
        <v>1165</v>
      </c>
      <c r="O217" s="9"/>
      <c r="P217" s="10"/>
      <c r="Q217" s="10"/>
      <c r="R217" s="10"/>
      <c r="S217" s="7" t="s">
        <v>54</v>
      </c>
      <c r="T217" s="7" t="s">
        <v>607</v>
      </c>
      <c r="U217" s="7" t="s">
        <v>44</v>
      </c>
      <c r="V217" s="7" t="s">
        <v>45</v>
      </c>
      <c r="W217" s="7" t="s">
        <v>46</v>
      </c>
      <c r="X217" s="7" t="s">
        <v>47</v>
      </c>
      <c r="Y217" s="7" t="s">
        <v>669</v>
      </c>
      <c r="Z217" s="7" t="s">
        <v>714</v>
      </c>
      <c r="AA217" s="7"/>
      <c r="AB217" s="7"/>
      <c r="AC217" s="7" t="s">
        <v>39</v>
      </c>
      <c r="AD217" s="7"/>
      <c r="AE217" s="7" t="s">
        <v>650</v>
      </c>
      <c r="AF217" s="7" t="s">
        <v>50</v>
      </c>
      <c r="AG217" s="7" t="s">
        <v>51</v>
      </c>
      <c r="AH217" s="7" t="s">
        <v>52</v>
      </c>
    </row>
    <row r="218" spans="1:34" ht="9.75" customHeight="1" x14ac:dyDescent="0.2">
      <c r="A218" s="7" t="s">
        <v>37</v>
      </c>
      <c r="B218" s="7" t="s">
        <v>38</v>
      </c>
      <c r="C218" s="7"/>
      <c r="D218" s="7" t="s">
        <v>727</v>
      </c>
      <c r="E218" s="8">
        <v>1</v>
      </c>
      <c r="F218" s="7" t="s">
        <v>61</v>
      </c>
      <c r="G218" s="7"/>
      <c r="H218" s="9"/>
      <c r="I218" s="10">
        <v>522192</v>
      </c>
      <c r="J218" s="9"/>
      <c r="K218" s="9"/>
      <c r="L218" s="10">
        <v>0</v>
      </c>
      <c r="M218" s="9"/>
      <c r="N218" s="10">
        <v>0</v>
      </c>
      <c r="O218" s="9"/>
      <c r="P218" s="10"/>
      <c r="Q218" s="10"/>
      <c r="R218" s="10"/>
      <c r="S218" s="7" t="s">
        <v>54</v>
      </c>
      <c r="T218" s="7" t="s">
        <v>607</v>
      </c>
      <c r="U218" s="7" t="s">
        <v>44</v>
      </c>
      <c r="V218" s="7" t="s">
        <v>45</v>
      </c>
      <c r="W218" s="7" t="s">
        <v>46</v>
      </c>
      <c r="X218" s="7" t="s">
        <v>47</v>
      </c>
      <c r="Y218" s="7" t="s">
        <v>728</v>
      </c>
      <c r="Z218" s="7" t="s">
        <v>714</v>
      </c>
      <c r="AA218" s="7"/>
      <c r="AB218" s="7"/>
      <c r="AC218" s="7" t="s">
        <v>39</v>
      </c>
      <c r="AD218" s="7"/>
      <c r="AE218" s="7" t="s">
        <v>729</v>
      </c>
      <c r="AF218" s="7" t="s">
        <v>50</v>
      </c>
      <c r="AG218" s="7" t="s">
        <v>51</v>
      </c>
      <c r="AH218" s="7" t="s">
        <v>52</v>
      </c>
    </row>
    <row r="219" spans="1:34" ht="9.75" customHeight="1" x14ac:dyDescent="0.2">
      <c r="A219" s="7" t="s">
        <v>37</v>
      </c>
      <c r="B219" s="7" t="s">
        <v>38</v>
      </c>
      <c r="C219" s="7"/>
      <c r="D219" s="7" t="s">
        <v>730</v>
      </c>
      <c r="E219" s="8">
        <v>1</v>
      </c>
      <c r="F219" s="7" t="s">
        <v>61</v>
      </c>
      <c r="G219" s="7"/>
      <c r="H219" s="9"/>
      <c r="I219" s="10">
        <v>750213</v>
      </c>
      <c r="J219" s="10">
        <v>791760</v>
      </c>
      <c r="K219" s="9"/>
      <c r="L219" s="10">
        <v>0</v>
      </c>
      <c r="M219" s="9"/>
      <c r="N219" s="10">
        <v>0</v>
      </c>
      <c r="O219" s="9"/>
      <c r="P219" s="10"/>
      <c r="Q219" s="10"/>
      <c r="R219" s="10"/>
      <c r="S219" s="7" t="s">
        <v>54</v>
      </c>
      <c r="T219" s="7" t="s">
        <v>607</v>
      </c>
      <c r="U219" s="7" t="s">
        <v>44</v>
      </c>
      <c r="V219" s="7" t="s">
        <v>45</v>
      </c>
      <c r="W219" s="7" t="s">
        <v>46</v>
      </c>
      <c r="X219" s="7" t="s">
        <v>47</v>
      </c>
      <c r="Y219" s="7" t="s">
        <v>731</v>
      </c>
      <c r="Z219" s="7" t="s">
        <v>714</v>
      </c>
      <c r="AA219" s="7"/>
      <c r="AB219" s="7"/>
      <c r="AC219" s="7" t="s">
        <v>39</v>
      </c>
      <c r="AD219" s="7"/>
      <c r="AE219" s="7" t="s">
        <v>732</v>
      </c>
      <c r="AF219" s="7" t="s">
        <v>50</v>
      </c>
      <c r="AG219" s="7" t="s">
        <v>51</v>
      </c>
      <c r="AH219" s="7" t="s">
        <v>52</v>
      </c>
    </row>
    <row r="220" spans="1:34" ht="9.75" customHeight="1" x14ac:dyDescent="0.2">
      <c r="A220" s="7" t="s">
        <v>37</v>
      </c>
      <c r="B220" s="7" t="s">
        <v>38</v>
      </c>
      <c r="C220" s="7"/>
      <c r="D220" s="7" t="s">
        <v>733</v>
      </c>
      <c r="E220" s="8">
        <v>1</v>
      </c>
      <c r="F220" s="7" t="s">
        <v>61</v>
      </c>
      <c r="G220" s="7"/>
      <c r="H220" s="9"/>
      <c r="I220" s="9"/>
      <c r="J220" s="10">
        <v>734937</v>
      </c>
      <c r="K220" s="9"/>
      <c r="L220" s="10">
        <v>711053</v>
      </c>
      <c r="M220" s="9"/>
      <c r="N220" s="10">
        <v>711053</v>
      </c>
      <c r="O220" s="9"/>
      <c r="P220" s="10"/>
      <c r="Q220" s="10"/>
      <c r="R220" s="10"/>
      <c r="S220" s="7" t="s">
        <v>54</v>
      </c>
      <c r="T220" s="7" t="s">
        <v>607</v>
      </c>
      <c r="U220" s="7" t="s">
        <v>44</v>
      </c>
      <c r="V220" s="7" t="s">
        <v>45</v>
      </c>
      <c r="W220" s="7" t="s">
        <v>46</v>
      </c>
      <c r="X220" s="7" t="s">
        <v>47</v>
      </c>
      <c r="Y220" s="7" t="s">
        <v>734</v>
      </c>
      <c r="Z220" s="7" t="s">
        <v>714</v>
      </c>
      <c r="AA220" s="7"/>
      <c r="AB220" s="7"/>
      <c r="AC220" s="7" t="s">
        <v>39</v>
      </c>
      <c r="AD220" s="7"/>
      <c r="AE220" s="7" t="s">
        <v>735</v>
      </c>
      <c r="AF220" s="7" t="s">
        <v>50</v>
      </c>
      <c r="AG220" s="7" t="s">
        <v>51</v>
      </c>
      <c r="AH220" s="7" t="s">
        <v>52</v>
      </c>
    </row>
    <row r="221" spans="1:34" ht="9.75" customHeight="1" x14ac:dyDescent="0.2">
      <c r="A221" s="7" t="s">
        <v>37</v>
      </c>
      <c r="B221" s="7" t="s">
        <v>38</v>
      </c>
      <c r="C221" s="7"/>
      <c r="D221" s="7" t="s">
        <v>736</v>
      </c>
      <c r="E221" s="8">
        <v>1</v>
      </c>
      <c r="F221" s="7" t="s">
        <v>61</v>
      </c>
      <c r="G221" s="7"/>
      <c r="H221" s="9"/>
      <c r="I221" s="9"/>
      <c r="J221" s="9"/>
      <c r="K221" s="9"/>
      <c r="L221" s="10">
        <v>729475</v>
      </c>
      <c r="M221" s="9"/>
      <c r="N221" s="10">
        <v>729475</v>
      </c>
      <c r="O221" s="9"/>
      <c r="P221" s="10"/>
      <c r="Q221" s="10"/>
      <c r="R221" s="10"/>
      <c r="S221" s="7" t="s">
        <v>54</v>
      </c>
      <c r="T221" s="7" t="s">
        <v>607</v>
      </c>
      <c r="U221" s="7" t="s">
        <v>44</v>
      </c>
      <c r="V221" s="7" t="s">
        <v>45</v>
      </c>
      <c r="W221" s="7" t="s">
        <v>46</v>
      </c>
      <c r="X221" s="7" t="s">
        <v>47</v>
      </c>
      <c r="Y221" s="7" t="s">
        <v>737</v>
      </c>
      <c r="Z221" s="7" t="s">
        <v>714</v>
      </c>
      <c r="AA221" s="7"/>
      <c r="AB221" s="7"/>
      <c r="AC221" s="7" t="s">
        <v>39</v>
      </c>
      <c r="AD221" s="7"/>
      <c r="AE221" s="7" t="s">
        <v>738</v>
      </c>
      <c r="AF221" s="7" t="s">
        <v>50</v>
      </c>
      <c r="AG221" s="7" t="s">
        <v>51</v>
      </c>
      <c r="AH221" s="7" t="s">
        <v>52</v>
      </c>
    </row>
    <row r="222" spans="1:34" ht="9.75" customHeight="1" x14ac:dyDescent="0.2">
      <c r="A222" s="7" t="s">
        <v>37</v>
      </c>
      <c r="B222" s="7" t="s">
        <v>38</v>
      </c>
      <c r="C222" s="7"/>
      <c r="D222" s="7" t="s">
        <v>739</v>
      </c>
      <c r="E222" s="8">
        <v>1</v>
      </c>
      <c r="F222" s="7" t="s">
        <v>61</v>
      </c>
      <c r="G222" s="7"/>
      <c r="H222" s="9"/>
      <c r="I222" s="9"/>
      <c r="J222" s="9"/>
      <c r="K222" s="9"/>
      <c r="L222" s="10">
        <v>0</v>
      </c>
      <c r="M222" s="9"/>
      <c r="N222" s="10">
        <v>0</v>
      </c>
      <c r="O222" s="9"/>
      <c r="P222" s="10"/>
      <c r="Q222" s="10"/>
      <c r="R222" s="10"/>
      <c r="S222" s="7" t="s">
        <v>54</v>
      </c>
      <c r="T222" s="7" t="s">
        <v>607</v>
      </c>
      <c r="U222" s="7" t="s">
        <v>44</v>
      </c>
      <c r="V222" s="7" t="s">
        <v>45</v>
      </c>
      <c r="W222" s="7" t="s">
        <v>46</v>
      </c>
      <c r="X222" s="7" t="s">
        <v>47</v>
      </c>
      <c r="Y222" s="7" t="s">
        <v>740</v>
      </c>
      <c r="Z222" s="7" t="s">
        <v>714</v>
      </c>
      <c r="AA222" s="7"/>
      <c r="AB222" s="7"/>
      <c r="AC222" s="7" t="s">
        <v>39</v>
      </c>
      <c r="AD222" s="7"/>
      <c r="AE222" s="7" t="s">
        <v>741</v>
      </c>
      <c r="AF222" s="7" t="s">
        <v>50</v>
      </c>
      <c r="AG222" s="7" t="s">
        <v>51</v>
      </c>
      <c r="AH222" s="7" t="s">
        <v>52</v>
      </c>
    </row>
    <row r="223" spans="1:34" ht="9.75" customHeight="1" x14ac:dyDescent="0.2">
      <c r="A223" s="7" t="s">
        <v>37</v>
      </c>
      <c r="B223" s="7" t="s">
        <v>38</v>
      </c>
      <c r="C223" s="7"/>
      <c r="D223" s="7" t="s">
        <v>742</v>
      </c>
      <c r="E223" s="8">
        <v>1</v>
      </c>
      <c r="F223" s="7" t="s">
        <v>61</v>
      </c>
      <c r="G223" s="7"/>
      <c r="H223" s="9"/>
      <c r="I223" s="9"/>
      <c r="J223" s="9"/>
      <c r="K223" s="9"/>
      <c r="L223" s="10">
        <v>0</v>
      </c>
      <c r="M223" s="9"/>
      <c r="N223" s="10">
        <v>0</v>
      </c>
      <c r="O223" s="9"/>
      <c r="P223" s="10"/>
      <c r="Q223" s="10"/>
      <c r="R223" s="10"/>
      <c r="S223" s="7" t="s">
        <v>54</v>
      </c>
      <c r="T223" s="7" t="s">
        <v>607</v>
      </c>
      <c r="U223" s="7" t="s">
        <v>44</v>
      </c>
      <c r="V223" s="7" t="s">
        <v>45</v>
      </c>
      <c r="W223" s="7" t="s">
        <v>46</v>
      </c>
      <c r="X223" s="7" t="s">
        <v>47</v>
      </c>
      <c r="Y223" s="7" t="s">
        <v>743</v>
      </c>
      <c r="Z223" s="7" t="s">
        <v>714</v>
      </c>
      <c r="AA223" s="7"/>
      <c r="AB223" s="7"/>
      <c r="AC223" s="7" t="s">
        <v>39</v>
      </c>
      <c r="AD223" s="7"/>
      <c r="AE223" s="7" t="s">
        <v>744</v>
      </c>
      <c r="AF223" s="7" t="s">
        <v>50</v>
      </c>
      <c r="AG223" s="7" t="s">
        <v>51</v>
      </c>
      <c r="AH223" s="7" t="s">
        <v>52</v>
      </c>
    </row>
    <row r="224" spans="1:34" ht="9.75" customHeight="1" x14ac:dyDescent="0.2">
      <c r="A224" s="7" t="s">
        <v>37</v>
      </c>
      <c r="B224" s="7" t="s">
        <v>38</v>
      </c>
      <c r="C224" s="7"/>
      <c r="D224" s="7" t="s">
        <v>745</v>
      </c>
      <c r="E224" s="8">
        <v>1</v>
      </c>
      <c r="F224" s="7" t="s">
        <v>61</v>
      </c>
      <c r="G224" s="7"/>
      <c r="H224" s="9"/>
      <c r="I224" s="9"/>
      <c r="J224" s="9"/>
      <c r="K224" s="9"/>
      <c r="L224" s="10">
        <v>0</v>
      </c>
      <c r="M224" s="9"/>
      <c r="N224" s="10">
        <v>0</v>
      </c>
      <c r="O224" s="9"/>
      <c r="P224" s="10"/>
      <c r="Q224" s="10"/>
      <c r="R224" s="10"/>
      <c r="S224" s="7" t="s">
        <v>54</v>
      </c>
      <c r="T224" s="7" t="s">
        <v>607</v>
      </c>
      <c r="U224" s="7" t="s">
        <v>44</v>
      </c>
      <c r="V224" s="7" t="s">
        <v>45</v>
      </c>
      <c r="W224" s="7" t="s">
        <v>46</v>
      </c>
      <c r="X224" s="7" t="s">
        <v>47</v>
      </c>
      <c r="Y224" s="7" t="s">
        <v>746</v>
      </c>
      <c r="Z224" s="7" t="s">
        <v>714</v>
      </c>
      <c r="AA224" s="7"/>
      <c r="AB224" s="7"/>
      <c r="AC224" s="7" t="s">
        <v>39</v>
      </c>
      <c r="AD224" s="7"/>
      <c r="AE224" s="7" t="s">
        <v>747</v>
      </c>
      <c r="AF224" s="7" t="s">
        <v>50</v>
      </c>
      <c r="AG224" s="7" t="s">
        <v>51</v>
      </c>
      <c r="AH224" s="7" t="s">
        <v>52</v>
      </c>
    </row>
    <row r="225" spans="1:34" ht="9.75" customHeight="1" x14ac:dyDescent="0.2">
      <c r="A225" s="7" t="s">
        <v>37</v>
      </c>
      <c r="B225" s="7" t="s">
        <v>38</v>
      </c>
      <c r="C225" s="7"/>
      <c r="D225" s="7" t="s">
        <v>748</v>
      </c>
      <c r="E225" s="8">
        <v>1</v>
      </c>
      <c r="F225" s="7" t="s">
        <v>61</v>
      </c>
      <c r="G225" s="7"/>
      <c r="H225" s="9"/>
      <c r="I225" s="9"/>
      <c r="J225" s="9"/>
      <c r="K225" s="9"/>
      <c r="L225" s="10">
        <v>0</v>
      </c>
      <c r="M225" s="9"/>
      <c r="N225" s="10">
        <v>0</v>
      </c>
      <c r="O225" s="9"/>
      <c r="P225" s="10"/>
      <c r="Q225" s="10"/>
      <c r="R225" s="10"/>
      <c r="S225" s="7" t="s">
        <v>54</v>
      </c>
      <c r="T225" s="7" t="s">
        <v>607</v>
      </c>
      <c r="U225" s="7" t="s">
        <v>44</v>
      </c>
      <c r="V225" s="7" t="s">
        <v>45</v>
      </c>
      <c r="W225" s="7" t="s">
        <v>46</v>
      </c>
      <c r="X225" s="7" t="s">
        <v>47</v>
      </c>
      <c r="Y225" s="7" t="s">
        <v>749</v>
      </c>
      <c r="Z225" s="7" t="s">
        <v>714</v>
      </c>
      <c r="AA225" s="7"/>
      <c r="AB225" s="7"/>
      <c r="AC225" s="7" t="s">
        <v>39</v>
      </c>
      <c r="AD225" s="7"/>
      <c r="AE225" s="7"/>
      <c r="AF225" s="7" t="s">
        <v>50</v>
      </c>
      <c r="AG225" s="7" t="s">
        <v>51</v>
      </c>
      <c r="AH225" s="7" t="s">
        <v>52</v>
      </c>
    </row>
    <row r="226" spans="1:34" ht="9.75" customHeight="1" x14ac:dyDescent="0.2">
      <c r="A226" s="7" t="s">
        <v>37</v>
      </c>
      <c r="B226" s="7" t="s">
        <v>38</v>
      </c>
      <c r="C226" s="7"/>
      <c r="D226" s="7" t="s">
        <v>750</v>
      </c>
      <c r="E226" s="8">
        <v>1</v>
      </c>
      <c r="F226" s="7" t="s">
        <v>61</v>
      </c>
      <c r="G226" s="7"/>
      <c r="H226" s="9"/>
      <c r="I226" s="9"/>
      <c r="J226" s="9"/>
      <c r="K226" s="9"/>
      <c r="L226" s="10">
        <v>0</v>
      </c>
      <c r="M226" s="9"/>
      <c r="N226" s="10">
        <v>0</v>
      </c>
      <c r="O226" s="9"/>
      <c r="P226" s="10"/>
      <c r="Q226" s="10"/>
      <c r="R226" s="10"/>
      <c r="S226" s="7" t="s">
        <v>54</v>
      </c>
      <c r="T226" s="7" t="s">
        <v>607</v>
      </c>
      <c r="U226" s="7" t="s">
        <v>44</v>
      </c>
      <c r="V226" s="7" t="s">
        <v>45</v>
      </c>
      <c r="W226" s="7" t="s">
        <v>46</v>
      </c>
      <c r="X226" s="7" t="s">
        <v>47</v>
      </c>
      <c r="Y226" s="7" t="s">
        <v>751</v>
      </c>
      <c r="Z226" s="7" t="s">
        <v>714</v>
      </c>
      <c r="AA226" s="7"/>
      <c r="AB226" s="7"/>
      <c r="AC226" s="7" t="s">
        <v>39</v>
      </c>
      <c r="AD226" s="7"/>
      <c r="AE226" s="7" t="s">
        <v>752</v>
      </c>
      <c r="AF226" s="7" t="s">
        <v>50</v>
      </c>
      <c r="AG226" s="7" t="s">
        <v>51</v>
      </c>
      <c r="AH226" s="7" t="s">
        <v>52</v>
      </c>
    </row>
    <row r="227" spans="1:34" ht="9.75" customHeight="1" x14ac:dyDescent="0.2">
      <c r="A227" s="7" t="s">
        <v>37</v>
      </c>
      <c r="B227" s="7" t="s">
        <v>38</v>
      </c>
      <c r="C227" s="7"/>
      <c r="D227" s="7" t="s">
        <v>753</v>
      </c>
      <c r="E227" s="8">
        <v>1</v>
      </c>
      <c r="F227" s="7" t="s">
        <v>61</v>
      </c>
      <c r="G227" s="7"/>
      <c r="H227" s="9"/>
      <c r="I227" s="10">
        <v>30739</v>
      </c>
      <c r="J227" s="10">
        <v>5860</v>
      </c>
      <c r="K227" s="9"/>
      <c r="L227" s="10">
        <v>0</v>
      </c>
      <c r="M227" s="9"/>
      <c r="N227" s="10">
        <v>0</v>
      </c>
      <c r="O227" s="9"/>
      <c r="P227" s="10"/>
      <c r="Q227" s="10"/>
      <c r="R227" s="10"/>
      <c r="S227" s="7" t="s">
        <v>54</v>
      </c>
      <c r="T227" s="7" t="s">
        <v>607</v>
      </c>
      <c r="U227" s="7" t="s">
        <v>44</v>
      </c>
      <c r="V227" s="7" t="s">
        <v>45</v>
      </c>
      <c r="W227" s="7" t="s">
        <v>46</v>
      </c>
      <c r="X227" s="7" t="s">
        <v>47</v>
      </c>
      <c r="Y227" s="7" t="s">
        <v>754</v>
      </c>
      <c r="Z227" s="7" t="s">
        <v>714</v>
      </c>
      <c r="AA227" s="7"/>
      <c r="AB227" s="7"/>
      <c r="AC227" s="7" t="s">
        <v>39</v>
      </c>
      <c r="AD227" s="7"/>
      <c r="AE227" s="7" t="s">
        <v>755</v>
      </c>
      <c r="AF227" s="7" t="s">
        <v>50</v>
      </c>
      <c r="AG227" s="7" t="s">
        <v>51</v>
      </c>
      <c r="AH227" s="7" t="s">
        <v>52</v>
      </c>
    </row>
    <row r="228" spans="1:34" ht="9.75" customHeight="1" x14ac:dyDescent="0.2">
      <c r="A228" s="7" t="s">
        <v>37</v>
      </c>
      <c r="B228" s="7" t="s">
        <v>38</v>
      </c>
      <c r="C228" s="7"/>
      <c r="D228" s="7" t="s">
        <v>756</v>
      </c>
      <c r="E228" s="8">
        <v>1</v>
      </c>
      <c r="F228" s="7" t="s">
        <v>61</v>
      </c>
      <c r="G228" s="7"/>
      <c r="H228" s="9"/>
      <c r="I228" s="10">
        <v>36085</v>
      </c>
      <c r="J228" s="10">
        <v>31468</v>
      </c>
      <c r="K228" s="9"/>
      <c r="L228" s="10">
        <v>8415</v>
      </c>
      <c r="M228" s="9"/>
      <c r="N228" s="10">
        <v>8415</v>
      </c>
      <c r="O228" s="9"/>
      <c r="P228" s="10"/>
      <c r="Q228" s="10"/>
      <c r="R228" s="10"/>
      <c r="S228" s="7" t="s">
        <v>54</v>
      </c>
      <c r="T228" s="7" t="s">
        <v>607</v>
      </c>
      <c r="U228" s="7" t="s">
        <v>44</v>
      </c>
      <c r="V228" s="7" t="s">
        <v>45</v>
      </c>
      <c r="W228" s="7" t="s">
        <v>46</v>
      </c>
      <c r="X228" s="7" t="s">
        <v>47</v>
      </c>
      <c r="Y228" s="7" t="s">
        <v>757</v>
      </c>
      <c r="Z228" s="7" t="s">
        <v>714</v>
      </c>
      <c r="AA228" s="7"/>
      <c r="AB228" s="7"/>
      <c r="AC228" s="7" t="s">
        <v>39</v>
      </c>
      <c r="AD228" s="7"/>
      <c r="AE228" s="7" t="s">
        <v>732</v>
      </c>
      <c r="AF228" s="7" t="s">
        <v>50</v>
      </c>
      <c r="AG228" s="7" t="s">
        <v>51</v>
      </c>
      <c r="AH228" s="7" t="s">
        <v>52</v>
      </c>
    </row>
    <row r="229" spans="1:34" ht="9.75" customHeight="1" x14ac:dyDescent="0.2">
      <c r="A229" s="7" t="s">
        <v>37</v>
      </c>
      <c r="B229" s="7" t="s">
        <v>38</v>
      </c>
      <c r="C229" s="7"/>
      <c r="D229" s="7" t="s">
        <v>758</v>
      </c>
      <c r="E229" s="8">
        <v>1</v>
      </c>
      <c r="F229" s="7" t="s">
        <v>61</v>
      </c>
      <c r="G229" s="7"/>
      <c r="H229" s="9"/>
      <c r="I229" s="9"/>
      <c r="J229" s="10">
        <v>38147</v>
      </c>
      <c r="K229" s="9"/>
      <c r="L229" s="10">
        <v>28330</v>
      </c>
      <c r="M229" s="9"/>
      <c r="N229" s="10">
        <v>28330</v>
      </c>
      <c r="O229" s="9"/>
      <c r="P229" s="10"/>
      <c r="Q229" s="10"/>
      <c r="R229" s="10"/>
      <c r="S229" s="7" t="s">
        <v>54</v>
      </c>
      <c r="T229" s="7" t="s">
        <v>607</v>
      </c>
      <c r="U229" s="7" t="s">
        <v>44</v>
      </c>
      <c r="V229" s="7" t="s">
        <v>45</v>
      </c>
      <c r="W229" s="7" t="s">
        <v>46</v>
      </c>
      <c r="X229" s="7" t="s">
        <v>47</v>
      </c>
      <c r="Y229" s="7" t="s">
        <v>759</v>
      </c>
      <c r="Z229" s="7" t="s">
        <v>714</v>
      </c>
      <c r="AA229" s="7"/>
      <c r="AB229" s="7"/>
      <c r="AC229" s="7" t="s">
        <v>39</v>
      </c>
      <c r="AD229" s="7"/>
      <c r="AE229" s="7" t="s">
        <v>760</v>
      </c>
      <c r="AF229" s="7" t="s">
        <v>50</v>
      </c>
      <c r="AG229" s="7" t="s">
        <v>51</v>
      </c>
      <c r="AH229" s="7" t="s">
        <v>52</v>
      </c>
    </row>
    <row r="230" spans="1:34" ht="9.75" customHeight="1" x14ac:dyDescent="0.2">
      <c r="A230" s="7" t="s">
        <v>37</v>
      </c>
      <c r="B230" s="7" t="s">
        <v>38</v>
      </c>
      <c r="C230" s="7"/>
      <c r="D230" s="7" t="s">
        <v>761</v>
      </c>
      <c r="E230" s="8">
        <v>1</v>
      </c>
      <c r="F230" s="7" t="s">
        <v>61</v>
      </c>
      <c r="G230" s="7"/>
      <c r="H230" s="9"/>
      <c r="I230" s="9"/>
      <c r="J230" s="9"/>
      <c r="K230" s="9"/>
      <c r="L230" s="10">
        <v>43408</v>
      </c>
      <c r="M230" s="9"/>
      <c r="N230" s="10">
        <v>43408</v>
      </c>
      <c r="O230" s="9"/>
      <c r="P230" s="10"/>
      <c r="Q230" s="10"/>
      <c r="R230" s="10"/>
      <c r="S230" s="7" t="s">
        <v>54</v>
      </c>
      <c r="T230" s="7" t="s">
        <v>607</v>
      </c>
      <c r="U230" s="7" t="s">
        <v>44</v>
      </c>
      <c r="V230" s="7" t="s">
        <v>45</v>
      </c>
      <c r="W230" s="7" t="s">
        <v>46</v>
      </c>
      <c r="X230" s="7" t="s">
        <v>47</v>
      </c>
      <c r="Y230" s="7" t="s">
        <v>762</v>
      </c>
      <c r="Z230" s="7" t="s">
        <v>714</v>
      </c>
      <c r="AA230" s="7"/>
      <c r="AB230" s="7"/>
      <c r="AC230" s="7" t="s">
        <v>39</v>
      </c>
      <c r="AD230" s="7"/>
      <c r="AE230" s="7" t="s">
        <v>738</v>
      </c>
      <c r="AF230" s="7" t="s">
        <v>50</v>
      </c>
      <c r="AG230" s="7" t="s">
        <v>51</v>
      </c>
      <c r="AH230" s="7" t="s">
        <v>52</v>
      </c>
    </row>
    <row r="231" spans="1:34" ht="9.75" customHeight="1" x14ac:dyDescent="0.2">
      <c r="A231" s="7" t="s">
        <v>37</v>
      </c>
      <c r="B231" s="7" t="s">
        <v>38</v>
      </c>
      <c r="C231" s="7"/>
      <c r="D231" s="7" t="s">
        <v>763</v>
      </c>
      <c r="E231" s="8">
        <v>1</v>
      </c>
      <c r="F231" s="7" t="s">
        <v>61</v>
      </c>
      <c r="G231" s="7"/>
      <c r="H231" s="9"/>
      <c r="I231" s="9"/>
      <c r="J231" s="9"/>
      <c r="K231" s="9"/>
      <c r="L231" s="10">
        <v>6049</v>
      </c>
      <c r="M231" s="9"/>
      <c r="N231" s="10">
        <v>6049</v>
      </c>
      <c r="O231" s="9"/>
      <c r="P231" s="10"/>
      <c r="Q231" s="10"/>
      <c r="R231" s="10"/>
      <c r="S231" s="7" t="s">
        <v>54</v>
      </c>
      <c r="T231" s="7" t="s">
        <v>607</v>
      </c>
      <c r="U231" s="7" t="s">
        <v>44</v>
      </c>
      <c r="V231" s="7" t="s">
        <v>45</v>
      </c>
      <c r="W231" s="7" t="s">
        <v>46</v>
      </c>
      <c r="X231" s="7" t="s">
        <v>47</v>
      </c>
      <c r="Y231" s="7" t="s">
        <v>764</v>
      </c>
      <c r="Z231" s="7" t="s">
        <v>765</v>
      </c>
      <c r="AA231" s="7"/>
      <c r="AB231" s="7"/>
      <c r="AC231" s="7" t="s">
        <v>39</v>
      </c>
      <c r="AD231" s="7"/>
      <c r="AE231" s="7" t="s">
        <v>741</v>
      </c>
      <c r="AF231" s="7" t="s">
        <v>50</v>
      </c>
      <c r="AG231" s="7" t="s">
        <v>51</v>
      </c>
      <c r="AH231" s="7" t="s">
        <v>52</v>
      </c>
    </row>
    <row r="232" spans="1:34" ht="9.75" customHeight="1" x14ac:dyDescent="0.2">
      <c r="A232" s="7" t="s">
        <v>37</v>
      </c>
      <c r="B232" s="7" t="s">
        <v>38</v>
      </c>
      <c r="C232" s="7"/>
      <c r="D232" s="7" t="s">
        <v>766</v>
      </c>
      <c r="E232" s="8">
        <v>1</v>
      </c>
      <c r="F232" s="7" t="s">
        <v>61</v>
      </c>
      <c r="G232" s="7"/>
      <c r="H232" s="9"/>
      <c r="I232" s="9"/>
      <c r="J232" s="9"/>
      <c r="K232" s="9"/>
      <c r="L232" s="10">
        <v>0</v>
      </c>
      <c r="M232" s="9"/>
      <c r="N232" s="10">
        <v>0</v>
      </c>
      <c r="O232" s="9"/>
      <c r="P232" s="10"/>
      <c r="Q232" s="10"/>
      <c r="R232" s="10"/>
      <c r="S232" s="7" t="s">
        <v>54</v>
      </c>
      <c r="T232" s="7" t="s">
        <v>607</v>
      </c>
      <c r="U232" s="7" t="s">
        <v>44</v>
      </c>
      <c r="V232" s="7" t="s">
        <v>45</v>
      </c>
      <c r="W232" s="7" t="s">
        <v>46</v>
      </c>
      <c r="X232" s="7" t="s">
        <v>47</v>
      </c>
      <c r="Y232" s="7" t="s">
        <v>767</v>
      </c>
      <c r="Z232" s="7" t="s">
        <v>765</v>
      </c>
      <c r="AA232" s="7"/>
      <c r="AB232" s="7"/>
      <c r="AC232" s="7" t="s">
        <v>39</v>
      </c>
      <c r="AD232" s="7"/>
      <c r="AE232" s="7"/>
      <c r="AF232" s="7" t="s">
        <v>50</v>
      </c>
      <c r="AG232" s="7" t="s">
        <v>51</v>
      </c>
      <c r="AH232" s="7" t="s">
        <v>52</v>
      </c>
    </row>
    <row r="233" spans="1:34" ht="9.75" customHeight="1" x14ac:dyDescent="0.2">
      <c r="A233" s="7" t="s">
        <v>37</v>
      </c>
      <c r="B233" s="7" t="s">
        <v>38</v>
      </c>
      <c r="C233" s="7"/>
      <c r="D233" s="7" t="s">
        <v>768</v>
      </c>
      <c r="E233" s="8">
        <v>1</v>
      </c>
      <c r="F233" s="7" t="s">
        <v>61</v>
      </c>
      <c r="G233" s="7"/>
      <c r="H233" s="9"/>
      <c r="I233" s="9"/>
      <c r="J233" s="9"/>
      <c r="K233" s="9"/>
      <c r="L233" s="10">
        <v>0</v>
      </c>
      <c r="M233" s="9"/>
      <c r="N233" s="10">
        <v>0</v>
      </c>
      <c r="O233" s="9"/>
      <c r="P233" s="10"/>
      <c r="Q233" s="10"/>
      <c r="R233" s="10"/>
      <c r="S233" s="7" t="s">
        <v>54</v>
      </c>
      <c r="T233" s="7" t="s">
        <v>607</v>
      </c>
      <c r="U233" s="7" t="s">
        <v>44</v>
      </c>
      <c r="V233" s="7" t="s">
        <v>45</v>
      </c>
      <c r="W233" s="7" t="s">
        <v>46</v>
      </c>
      <c r="X233" s="7" t="s">
        <v>47</v>
      </c>
      <c r="Y233" s="7" t="s">
        <v>769</v>
      </c>
      <c r="Z233" s="7" t="s">
        <v>765</v>
      </c>
      <c r="AA233" s="7"/>
      <c r="AB233" s="7"/>
      <c r="AC233" s="7" t="s">
        <v>39</v>
      </c>
      <c r="AD233" s="7"/>
      <c r="AE233" s="7"/>
      <c r="AF233" s="7" t="s">
        <v>50</v>
      </c>
      <c r="AG233" s="7" t="s">
        <v>51</v>
      </c>
      <c r="AH233" s="7" t="s">
        <v>52</v>
      </c>
    </row>
    <row r="234" spans="1:34" ht="9.75" customHeight="1" x14ac:dyDescent="0.2">
      <c r="A234" s="7" t="s">
        <v>37</v>
      </c>
      <c r="B234" s="7" t="s">
        <v>38</v>
      </c>
      <c r="C234" s="7"/>
      <c r="D234" s="7" t="s">
        <v>770</v>
      </c>
      <c r="E234" s="8">
        <v>1</v>
      </c>
      <c r="F234" s="7" t="s">
        <v>61</v>
      </c>
      <c r="G234" s="7"/>
      <c r="H234" s="9"/>
      <c r="I234" s="9"/>
      <c r="J234" s="9"/>
      <c r="K234" s="9"/>
      <c r="L234" s="10">
        <v>0</v>
      </c>
      <c r="M234" s="9"/>
      <c r="N234" s="10">
        <v>0</v>
      </c>
      <c r="O234" s="9"/>
      <c r="P234" s="10"/>
      <c r="Q234" s="10"/>
      <c r="R234" s="10"/>
      <c r="S234" s="7" t="s">
        <v>54</v>
      </c>
      <c r="T234" s="7" t="s">
        <v>607</v>
      </c>
      <c r="U234" s="7" t="s">
        <v>44</v>
      </c>
      <c r="V234" s="7" t="s">
        <v>45</v>
      </c>
      <c r="W234" s="7" t="s">
        <v>46</v>
      </c>
      <c r="X234" s="7" t="s">
        <v>47</v>
      </c>
      <c r="Y234" s="7" t="s">
        <v>771</v>
      </c>
      <c r="Z234" s="7" t="s">
        <v>765</v>
      </c>
      <c r="AA234" s="7"/>
      <c r="AB234" s="7"/>
      <c r="AC234" s="7" t="s">
        <v>39</v>
      </c>
      <c r="AD234" s="7"/>
      <c r="AE234" s="7" t="s">
        <v>772</v>
      </c>
      <c r="AF234" s="7" t="s">
        <v>50</v>
      </c>
      <c r="AG234" s="7" t="s">
        <v>51</v>
      </c>
      <c r="AH234" s="7" t="s">
        <v>52</v>
      </c>
    </row>
    <row r="235" spans="1:34" ht="9.75" customHeight="1" x14ac:dyDescent="0.2">
      <c r="A235" s="7" t="s">
        <v>37</v>
      </c>
      <c r="B235" s="7" t="s">
        <v>38</v>
      </c>
      <c r="C235" s="7"/>
      <c r="D235" s="7" t="s">
        <v>773</v>
      </c>
      <c r="E235" s="8">
        <v>1</v>
      </c>
      <c r="F235" s="7" t="s">
        <v>61</v>
      </c>
      <c r="G235" s="7"/>
      <c r="H235" s="9"/>
      <c r="I235" s="9"/>
      <c r="J235" s="9"/>
      <c r="K235" s="9"/>
      <c r="L235" s="10">
        <v>0</v>
      </c>
      <c r="M235" s="9"/>
      <c r="N235" s="10">
        <v>0</v>
      </c>
      <c r="O235" s="9"/>
      <c r="P235" s="10"/>
      <c r="Q235" s="10"/>
      <c r="R235" s="10"/>
      <c r="S235" s="7" t="s">
        <v>54</v>
      </c>
      <c r="T235" s="7" t="s">
        <v>607</v>
      </c>
      <c r="U235" s="7" t="s">
        <v>44</v>
      </c>
      <c r="V235" s="7" t="s">
        <v>45</v>
      </c>
      <c r="W235" s="7" t="s">
        <v>46</v>
      </c>
      <c r="X235" s="7" t="s">
        <v>47</v>
      </c>
      <c r="Y235" s="7" t="s">
        <v>774</v>
      </c>
      <c r="Z235" s="7" t="s">
        <v>765</v>
      </c>
      <c r="AA235" s="7"/>
      <c r="AB235" s="7"/>
      <c r="AC235" s="7" t="s">
        <v>39</v>
      </c>
      <c r="AD235" s="7"/>
      <c r="AE235" s="7" t="s">
        <v>775</v>
      </c>
      <c r="AF235" s="7" t="s">
        <v>50</v>
      </c>
      <c r="AG235" s="7" t="s">
        <v>51</v>
      </c>
      <c r="AH235" s="7" t="s">
        <v>52</v>
      </c>
    </row>
    <row r="236" spans="1:34" ht="9.75" customHeight="1" x14ac:dyDescent="0.2">
      <c r="A236" s="7" t="s">
        <v>37</v>
      </c>
      <c r="B236" s="7" t="s">
        <v>38</v>
      </c>
      <c r="C236" s="7"/>
      <c r="D236" s="7" t="s">
        <v>776</v>
      </c>
      <c r="E236" s="8">
        <v>1</v>
      </c>
      <c r="F236" s="7" t="s">
        <v>61</v>
      </c>
      <c r="G236" s="7"/>
      <c r="H236" s="9"/>
      <c r="I236" s="9"/>
      <c r="J236" s="9"/>
      <c r="K236" s="9"/>
      <c r="L236" s="10">
        <v>0</v>
      </c>
      <c r="M236" s="9"/>
      <c r="N236" s="10">
        <v>0</v>
      </c>
      <c r="O236" s="9"/>
      <c r="P236" s="10"/>
      <c r="Q236" s="10"/>
      <c r="R236" s="10"/>
      <c r="S236" s="7" t="s">
        <v>54</v>
      </c>
      <c r="T236" s="7" t="s">
        <v>607</v>
      </c>
      <c r="U236" s="7" t="s">
        <v>44</v>
      </c>
      <c r="V236" s="7" t="s">
        <v>45</v>
      </c>
      <c r="W236" s="7" t="s">
        <v>46</v>
      </c>
      <c r="X236" s="7" t="s">
        <v>47</v>
      </c>
      <c r="Y236" s="7" t="s">
        <v>777</v>
      </c>
      <c r="Z236" s="7" t="s">
        <v>765</v>
      </c>
      <c r="AA236" s="7"/>
      <c r="AB236" s="7"/>
      <c r="AC236" s="7" t="s">
        <v>39</v>
      </c>
      <c r="AD236" s="7"/>
      <c r="AE236" s="7" t="s">
        <v>778</v>
      </c>
      <c r="AF236" s="7" t="s">
        <v>50</v>
      </c>
      <c r="AG236" s="7" t="s">
        <v>51</v>
      </c>
      <c r="AH236" s="7" t="s">
        <v>52</v>
      </c>
    </row>
    <row r="237" spans="1:34" ht="9.75" customHeight="1" x14ac:dyDescent="0.2">
      <c r="A237" s="7" t="s">
        <v>37</v>
      </c>
      <c r="B237" s="7" t="s">
        <v>38</v>
      </c>
      <c r="C237" s="7"/>
      <c r="D237" s="7" t="s">
        <v>779</v>
      </c>
      <c r="E237" s="8">
        <v>1</v>
      </c>
      <c r="F237" s="7" t="s">
        <v>61</v>
      </c>
      <c r="G237" s="7"/>
      <c r="H237" s="9"/>
      <c r="I237" s="9"/>
      <c r="J237" s="9"/>
      <c r="K237" s="9"/>
      <c r="L237" s="10">
        <v>0</v>
      </c>
      <c r="M237" s="9"/>
      <c r="N237" s="10">
        <v>0</v>
      </c>
      <c r="O237" s="9"/>
      <c r="P237" s="10"/>
      <c r="Q237" s="10"/>
      <c r="R237" s="10"/>
      <c r="S237" s="7" t="s">
        <v>54</v>
      </c>
      <c r="T237" s="7" t="s">
        <v>607</v>
      </c>
      <c r="U237" s="7" t="s">
        <v>44</v>
      </c>
      <c r="V237" s="7" t="s">
        <v>45</v>
      </c>
      <c r="W237" s="7" t="s">
        <v>46</v>
      </c>
      <c r="X237" s="7" t="s">
        <v>47</v>
      </c>
      <c r="Y237" s="7" t="s">
        <v>780</v>
      </c>
      <c r="Z237" s="7" t="s">
        <v>765</v>
      </c>
      <c r="AA237" s="7"/>
      <c r="AB237" s="7"/>
      <c r="AC237" s="7" t="s">
        <v>39</v>
      </c>
      <c r="AD237" s="7"/>
      <c r="AE237" s="7"/>
      <c r="AF237" s="7" t="s">
        <v>50</v>
      </c>
      <c r="AG237" s="7" t="s">
        <v>51</v>
      </c>
      <c r="AH237" s="7" t="s">
        <v>52</v>
      </c>
    </row>
    <row r="238" spans="1:34" ht="9.75" customHeight="1" x14ac:dyDescent="0.2">
      <c r="A238" s="7" t="s">
        <v>37</v>
      </c>
      <c r="B238" s="7" t="s">
        <v>38</v>
      </c>
      <c r="C238" s="7"/>
      <c r="D238" s="7" t="s">
        <v>781</v>
      </c>
      <c r="E238" s="8">
        <v>1</v>
      </c>
      <c r="F238" s="7" t="s">
        <v>61</v>
      </c>
      <c r="G238" s="7"/>
      <c r="H238" s="9"/>
      <c r="I238" s="10">
        <v>54102</v>
      </c>
      <c r="J238" s="10">
        <v>24641</v>
      </c>
      <c r="K238" s="9"/>
      <c r="L238" s="10">
        <v>0</v>
      </c>
      <c r="M238" s="9"/>
      <c r="N238" s="10">
        <v>0</v>
      </c>
      <c r="O238" s="9"/>
      <c r="P238" s="10"/>
      <c r="Q238" s="10"/>
      <c r="R238" s="10"/>
      <c r="S238" s="7" t="s">
        <v>54</v>
      </c>
      <c r="T238" s="7" t="s">
        <v>607</v>
      </c>
      <c r="U238" s="7" t="s">
        <v>44</v>
      </c>
      <c r="V238" s="7" t="s">
        <v>45</v>
      </c>
      <c r="W238" s="7" t="s">
        <v>46</v>
      </c>
      <c r="X238" s="7" t="s">
        <v>47</v>
      </c>
      <c r="Y238" s="7" t="s">
        <v>782</v>
      </c>
      <c r="Z238" s="7" t="s">
        <v>765</v>
      </c>
      <c r="AA238" s="7"/>
      <c r="AB238" s="7"/>
      <c r="AC238" s="7" t="s">
        <v>39</v>
      </c>
      <c r="AD238" s="7"/>
      <c r="AE238" s="7" t="s">
        <v>729</v>
      </c>
      <c r="AF238" s="7" t="s">
        <v>50</v>
      </c>
      <c r="AG238" s="7" t="s">
        <v>51</v>
      </c>
      <c r="AH238" s="7" t="s">
        <v>52</v>
      </c>
    </row>
    <row r="239" spans="1:34" ht="9.75" customHeight="1" x14ac:dyDescent="0.2">
      <c r="A239" s="7" t="s">
        <v>37</v>
      </c>
      <c r="B239" s="7" t="s">
        <v>38</v>
      </c>
      <c r="C239" s="7"/>
      <c r="D239" s="7" t="s">
        <v>783</v>
      </c>
      <c r="E239" s="8">
        <v>1</v>
      </c>
      <c r="F239" s="7" t="s">
        <v>61</v>
      </c>
      <c r="G239" s="7"/>
      <c r="H239" s="9"/>
      <c r="I239" s="10">
        <v>12390</v>
      </c>
      <c r="J239" s="10">
        <v>60219</v>
      </c>
      <c r="K239" s="9"/>
      <c r="L239" s="10">
        <v>29510</v>
      </c>
      <c r="M239" s="9"/>
      <c r="N239" s="10">
        <v>29510</v>
      </c>
      <c r="O239" s="9"/>
      <c r="P239" s="10"/>
      <c r="Q239" s="10"/>
      <c r="R239" s="10"/>
      <c r="S239" s="7" t="s">
        <v>54</v>
      </c>
      <c r="T239" s="7" t="s">
        <v>607</v>
      </c>
      <c r="U239" s="7" t="s">
        <v>44</v>
      </c>
      <c r="V239" s="7" t="s">
        <v>45</v>
      </c>
      <c r="W239" s="7" t="s">
        <v>46</v>
      </c>
      <c r="X239" s="7" t="s">
        <v>47</v>
      </c>
      <c r="Y239" s="7" t="s">
        <v>784</v>
      </c>
      <c r="Z239" s="7" t="s">
        <v>765</v>
      </c>
      <c r="AA239" s="7"/>
      <c r="AB239" s="7"/>
      <c r="AC239" s="7" t="s">
        <v>39</v>
      </c>
      <c r="AD239" s="7"/>
      <c r="AE239" s="7" t="s">
        <v>732</v>
      </c>
      <c r="AF239" s="7" t="s">
        <v>50</v>
      </c>
      <c r="AG239" s="7" t="s">
        <v>51</v>
      </c>
      <c r="AH239" s="7" t="s">
        <v>52</v>
      </c>
    </row>
    <row r="240" spans="1:34" ht="9.75" customHeight="1" x14ac:dyDescent="0.2">
      <c r="A240" s="7" t="s">
        <v>37</v>
      </c>
      <c r="B240" s="7" t="s">
        <v>38</v>
      </c>
      <c r="C240" s="7"/>
      <c r="D240" s="7" t="s">
        <v>785</v>
      </c>
      <c r="E240" s="8">
        <v>1</v>
      </c>
      <c r="F240" s="7" t="s">
        <v>61</v>
      </c>
      <c r="G240" s="7"/>
      <c r="H240" s="9"/>
      <c r="I240" s="10">
        <v>5375</v>
      </c>
      <c r="J240" s="10">
        <v>44826</v>
      </c>
      <c r="K240" s="9"/>
      <c r="L240" s="10">
        <v>46009</v>
      </c>
      <c r="M240" s="9"/>
      <c r="N240" s="10">
        <v>46009</v>
      </c>
      <c r="O240" s="9"/>
      <c r="P240" s="10"/>
      <c r="Q240" s="10"/>
      <c r="R240" s="10"/>
      <c r="S240" s="7" t="s">
        <v>54</v>
      </c>
      <c r="T240" s="7" t="s">
        <v>607</v>
      </c>
      <c r="U240" s="7" t="s">
        <v>44</v>
      </c>
      <c r="V240" s="7" t="s">
        <v>45</v>
      </c>
      <c r="W240" s="7" t="s">
        <v>46</v>
      </c>
      <c r="X240" s="7" t="s">
        <v>47</v>
      </c>
      <c r="Y240" s="7" t="s">
        <v>786</v>
      </c>
      <c r="Z240" s="7" t="s">
        <v>765</v>
      </c>
      <c r="AA240" s="7"/>
      <c r="AB240" s="7"/>
      <c r="AC240" s="7" t="s">
        <v>39</v>
      </c>
      <c r="AD240" s="7"/>
      <c r="AE240" s="7" t="s">
        <v>760</v>
      </c>
      <c r="AF240" s="7" t="s">
        <v>50</v>
      </c>
      <c r="AG240" s="7" t="s">
        <v>51</v>
      </c>
      <c r="AH240" s="7" t="s">
        <v>52</v>
      </c>
    </row>
    <row r="241" spans="1:34" ht="9.75" customHeight="1" x14ac:dyDescent="0.2">
      <c r="A241" s="7" t="s">
        <v>37</v>
      </c>
      <c r="B241" s="7" t="s">
        <v>38</v>
      </c>
      <c r="C241" s="7"/>
      <c r="D241" s="7" t="s">
        <v>787</v>
      </c>
      <c r="E241" s="8">
        <v>1</v>
      </c>
      <c r="F241" s="7" t="s">
        <v>61</v>
      </c>
      <c r="G241" s="7"/>
      <c r="H241" s="9"/>
      <c r="I241" s="9"/>
      <c r="J241" s="10">
        <v>5429</v>
      </c>
      <c r="K241" s="9"/>
      <c r="L241" s="10">
        <v>35875</v>
      </c>
      <c r="M241" s="9"/>
      <c r="N241" s="10">
        <v>35875</v>
      </c>
      <c r="O241" s="9"/>
      <c r="P241" s="10"/>
      <c r="Q241" s="10"/>
      <c r="R241" s="10"/>
      <c r="S241" s="7" t="s">
        <v>54</v>
      </c>
      <c r="T241" s="7" t="s">
        <v>607</v>
      </c>
      <c r="U241" s="7" t="s">
        <v>44</v>
      </c>
      <c r="V241" s="7" t="s">
        <v>45</v>
      </c>
      <c r="W241" s="7" t="s">
        <v>46</v>
      </c>
      <c r="X241" s="7" t="s">
        <v>47</v>
      </c>
      <c r="Y241" s="7" t="s">
        <v>788</v>
      </c>
      <c r="Z241" s="7" t="s">
        <v>765</v>
      </c>
      <c r="AA241" s="7"/>
      <c r="AB241" s="7"/>
      <c r="AC241" s="7" t="s">
        <v>39</v>
      </c>
      <c r="AD241" s="7"/>
      <c r="AE241" s="7" t="s">
        <v>738</v>
      </c>
      <c r="AF241" s="7" t="s">
        <v>50</v>
      </c>
      <c r="AG241" s="7" t="s">
        <v>51</v>
      </c>
      <c r="AH241" s="7" t="s">
        <v>52</v>
      </c>
    </row>
    <row r="242" spans="1:34" ht="9.75" customHeight="1" x14ac:dyDescent="0.2">
      <c r="A242" s="7" t="s">
        <v>37</v>
      </c>
      <c r="B242" s="7" t="s">
        <v>38</v>
      </c>
      <c r="C242" s="7"/>
      <c r="D242" s="7" t="s">
        <v>789</v>
      </c>
      <c r="E242" s="8">
        <v>1</v>
      </c>
      <c r="F242" s="7" t="s">
        <v>61</v>
      </c>
      <c r="G242" s="7"/>
      <c r="H242" s="9"/>
      <c r="I242" s="9"/>
      <c r="J242" s="9"/>
      <c r="K242" s="9"/>
      <c r="L242" s="10">
        <v>12952</v>
      </c>
      <c r="M242" s="9"/>
      <c r="N242" s="10">
        <v>12952</v>
      </c>
      <c r="O242" s="9"/>
      <c r="P242" s="10"/>
      <c r="Q242" s="10"/>
      <c r="R242" s="10"/>
      <c r="S242" s="7" t="s">
        <v>54</v>
      </c>
      <c r="T242" s="7" t="s">
        <v>607</v>
      </c>
      <c r="U242" s="7" t="s">
        <v>44</v>
      </c>
      <c r="V242" s="7" t="s">
        <v>45</v>
      </c>
      <c r="W242" s="7" t="s">
        <v>46</v>
      </c>
      <c r="X242" s="7" t="s">
        <v>47</v>
      </c>
      <c r="Y242" s="7" t="s">
        <v>790</v>
      </c>
      <c r="Z242" s="7" t="s">
        <v>765</v>
      </c>
      <c r="AA242" s="7"/>
      <c r="AB242" s="7"/>
      <c r="AC242" s="7" t="s">
        <v>39</v>
      </c>
      <c r="AD242" s="7"/>
      <c r="AE242" s="7" t="s">
        <v>741</v>
      </c>
      <c r="AF242" s="7" t="s">
        <v>50</v>
      </c>
      <c r="AG242" s="7" t="s">
        <v>51</v>
      </c>
      <c r="AH242" s="7" t="s">
        <v>52</v>
      </c>
    </row>
    <row r="243" spans="1:34" ht="9.75" customHeight="1" x14ac:dyDescent="0.2">
      <c r="A243" s="7" t="s">
        <v>37</v>
      </c>
      <c r="B243" s="7" t="s">
        <v>38</v>
      </c>
      <c r="C243" s="7"/>
      <c r="D243" s="7" t="s">
        <v>791</v>
      </c>
      <c r="E243" s="8">
        <v>1</v>
      </c>
      <c r="F243" s="7" t="s">
        <v>61</v>
      </c>
      <c r="G243" s="7"/>
      <c r="H243" s="9"/>
      <c r="I243" s="9"/>
      <c r="J243" s="9"/>
      <c r="K243" s="9"/>
      <c r="L243" s="10">
        <v>0</v>
      </c>
      <c r="M243" s="9"/>
      <c r="N243" s="10">
        <v>0</v>
      </c>
      <c r="O243" s="9"/>
      <c r="P243" s="10"/>
      <c r="Q243" s="10"/>
      <c r="R243" s="10"/>
      <c r="S243" s="7" t="s">
        <v>54</v>
      </c>
      <c r="T243" s="7" t="s">
        <v>607</v>
      </c>
      <c r="U243" s="7" t="s">
        <v>44</v>
      </c>
      <c r="V243" s="7" t="s">
        <v>45</v>
      </c>
      <c r="W243" s="7" t="s">
        <v>46</v>
      </c>
      <c r="X243" s="7" t="s">
        <v>47</v>
      </c>
      <c r="Y243" s="7" t="s">
        <v>792</v>
      </c>
      <c r="Z243" s="7" t="s">
        <v>765</v>
      </c>
      <c r="AA243" s="7"/>
      <c r="AB243" s="7"/>
      <c r="AC243" s="7" t="s">
        <v>39</v>
      </c>
      <c r="AD243" s="7"/>
      <c r="AE243" s="7"/>
      <c r="AF243" s="7" t="s">
        <v>50</v>
      </c>
      <c r="AG243" s="7" t="s">
        <v>51</v>
      </c>
      <c r="AH243" s="7" t="s">
        <v>52</v>
      </c>
    </row>
    <row r="244" spans="1:34" ht="9.75" customHeight="1" x14ac:dyDescent="0.2">
      <c r="A244" s="7" t="s">
        <v>37</v>
      </c>
      <c r="B244" s="7" t="s">
        <v>38</v>
      </c>
      <c r="C244" s="7"/>
      <c r="D244" s="7" t="s">
        <v>793</v>
      </c>
      <c r="E244" s="8">
        <v>1</v>
      </c>
      <c r="F244" s="7" t="s">
        <v>61</v>
      </c>
      <c r="G244" s="7"/>
      <c r="H244" s="9"/>
      <c r="I244" s="9"/>
      <c r="J244" s="9"/>
      <c r="K244" s="9"/>
      <c r="L244" s="10">
        <v>0</v>
      </c>
      <c r="M244" s="9"/>
      <c r="N244" s="10">
        <v>0</v>
      </c>
      <c r="O244" s="9"/>
      <c r="P244" s="10"/>
      <c r="Q244" s="10"/>
      <c r="R244" s="10"/>
      <c r="S244" s="7" t="s">
        <v>54</v>
      </c>
      <c r="T244" s="7" t="s">
        <v>607</v>
      </c>
      <c r="U244" s="7" t="s">
        <v>44</v>
      </c>
      <c r="V244" s="7" t="s">
        <v>45</v>
      </c>
      <c r="W244" s="7" t="s">
        <v>46</v>
      </c>
      <c r="X244" s="7" t="s">
        <v>47</v>
      </c>
      <c r="Y244" s="7" t="s">
        <v>794</v>
      </c>
      <c r="Z244" s="7" t="s">
        <v>765</v>
      </c>
      <c r="AA244" s="7"/>
      <c r="AB244" s="7"/>
      <c r="AC244" s="7" t="s">
        <v>39</v>
      </c>
      <c r="AD244" s="7"/>
      <c r="AE244" s="7"/>
      <c r="AF244" s="7" t="s">
        <v>50</v>
      </c>
      <c r="AG244" s="7" t="s">
        <v>51</v>
      </c>
      <c r="AH244" s="7" t="s">
        <v>52</v>
      </c>
    </row>
    <row r="245" spans="1:34" ht="9.75" customHeight="1" x14ac:dyDescent="0.2">
      <c r="A245" s="7" t="s">
        <v>37</v>
      </c>
      <c r="B245" s="7" t="s">
        <v>38</v>
      </c>
      <c r="C245" s="7"/>
      <c r="D245" s="7" t="s">
        <v>795</v>
      </c>
      <c r="E245" s="8">
        <v>1</v>
      </c>
      <c r="F245" s="7" t="s">
        <v>61</v>
      </c>
      <c r="G245" s="7"/>
      <c r="H245" s="9"/>
      <c r="I245" s="9"/>
      <c r="J245" s="9"/>
      <c r="K245" s="9"/>
      <c r="L245" s="10">
        <v>0</v>
      </c>
      <c r="M245" s="9"/>
      <c r="N245" s="10">
        <v>0</v>
      </c>
      <c r="O245" s="9"/>
      <c r="P245" s="10"/>
      <c r="Q245" s="10"/>
      <c r="R245" s="10"/>
      <c r="S245" s="7" t="s">
        <v>54</v>
      </c>
      <c r="T245" s="7" t="s">
        <v>607</v>
      </c>
      <c r="U245" s="7" t="s">
        <v>44</v>
      </c>
      <c r="V245" s="7" t="s">
        <v>45</v>
      </c>
      <c r="W245" s="7" t="s">
        <v>46</v>
      </c>
      <c r="X245" s="7" t="s">
        <v>47</v>
      </c>
      <c r="Y245" s="7" t="s">
        <v>796</v>
      </c>
      <c r="Z245" s="7" t="s">
        <v>765</v>
      </c>
      <c r="AA245" s="7"/>
      <c r="AB245" s="7"/>
      <c r="AC245" s="7" t="s">
        <v>39</v>
      </c>
      <c r="AD245" s="7"/>
      <c r="AE245" s="7"/>
      <c r="AF245" s="7" t="s">
        <v>50</v>
      </c>
      <c r="AG245" s="7" t="s">
        <v>51</v>
      </c>
      <c r="AH245" s="7" t="s">
        <v>52</v>
      </c>
    </row>
    <row r="246" spans="1:34" ht="9.75" customHeight="1" x14ac:dyDescent="0.2">
      <c r="A246" s="7" t="s">
        <v>37</v>
      </c>
      <c r="B246" s="7" t="s">
        <v>38</v>
      </c>
      <c r="C246" s="7"/>
      <c r="D246" s="7" t="s">
        <v>797</v>
      </c>
      <c r="E246" s="8">
        <v>1</v>
      </c>
      <c r="F246" s="7" t="s">
        <v>61</v>
      </c>
      <c r="G246" s="7"/>
      <c r="H246" s="9"/>
      <c r="I246" s="9"/>
      <c r="J246" s="9"/>
      <c r="K246" s="9"/>
      <c r="L246" s="10">
        <v>0</v>
      </c>
      <c r="M246" s="9"/>
      <c r="N246" s="10">
        <v>0</v>
      </c>
      <c r="O246" s="9"/>
      <c r="P246" s="10"/>
      <c r="Q246" s="10"/>
      <c r="R246" s="10"/>
      <c r="S246" s="7" t="s">
        <v>54</v>
      </c>
      <c r="T246" s="7" t="s">
        <v>607</v>
      </c>
      <c r="U246" s="7" t="s">
        <v>44</v>
      </c>
      <c r="V246" s="7" t="s">
        <v>45</v>
      </c>
      <c r="W246" s="7" t="s">
        <v>46</v>
      </c>
      <c r="X246" s="7" t="s">
        <v>47</v>
      </c>
      <c r="Y246" s="7" t="s">
        <v>798</v>
      </c>
      <c r="Z246" s="7" t="s">
        <v>765</v>
      </c>
      <c r="AA246" s="7"/>
      <c r="AB246" s="7"/>
      <c r="AC246" s="7" t="s">
        <v>39</v>
      </c>
      <c r="AD246" s="7"/>
      <c r="AE246" s="7"/>
      <c r="AF246" s="7" t="s">
        <v>50</v>
      </c>
      <c r="AG246" s="7" t="s">
        <v>51</v>
      </c>
      <c r="AH246" s="7" t="s">
        <v>52</v>
      </c>
    </row>
    <row r="247" spans="1:34" ht="9.75" customHeight="1" x14ac:dyDescent="0.2">
      <c r="A247" s="7" t="s">
        <v>37</v>
      </c>
      <c r="B247" s="7" t="s">
        <v>38</v>
      </c>
      <c r="C247" s="7"/>
      <c r="D247" s="7" t="s">
        <v>799</v>
      </c>
      <c r="E247" s="8">
        <v>1</v>
      </c>
      <c r="F247" s="7" t="s">
        <v>61</v>
      </c>
      <c r="G247" s="7"/>
      <c r="H247" s="9"/>
      <c r="I247" s="9"/>
      <c r="J247" s="9"/>
      <c r="K247" s="9"/>
      <c r="L247" s="10">
        <v>0</v>
      </c>
      <c r="M247" s="9"/>
      <c r="N247" s="10">
        <v>0</v>
      </c>
      <c r="O247" s="9"/>
      <c r="P247" s="10"/>
      <c r="Q247" s="10"/>
      <c r="R247" s="10"/>
      <c r="S247" s="7" t="s">
        <v>54</v>
      </c>
      <c r="T247" s="7" t="s">
        <v>607</v>
      </c>
      <c r="U247" s="7" t="s">
        <v>44</v>
      </c>
      <c r="V247" s="7" t="s">
        <v>45</v>
      </c>
      <c r="W247" s="7" t="s">
        <v>46</v>
      </c>
      <c r="X247" s="7" t="s">
        <v>47</v>
      </c>
      <c r="Y247" s="7" t="s">
        <v>800</v>
      </c>
      <c r="Z247" s="7" t="s">
        <v>765</v>
      </c>
      <c r="AA247" s="7"/>
      <c r="AB247" s="7"/>
      <c r="AC247" s="7" t="s">
        <v>39</v>
      </c>
      <c r="AD247" s="7"/>
      <c r="AE247" s="7"/>
      <c r="AF247" s="7" t="s">
        <v>50</v>
      </c>
      <c r="AG247" s="7" t="s">
        <v>51</v>
      </c>
      <c r="AH247" s="7" t="s">
        <v>52</v>
      </c>
    </row>
    <row r="248" spans="1:34" ht="9.75" customHeight="1" x14ac:dyDescent="0.2">
      <c r="A248" s="7" t="s">
        <v>37</v>
      </c>
      <c r="B248" s="7" t="s">
        <v>38</v>
      </c>
      <c r="C248" s="7"/>
      <c r="D248" s="7" t="s">
        <v>801</v>
      </c>
      <c r="E248" s="8">
        <v>1</v>
      </c>
      <c r="F248" s="7" t="s">
        <v>61</v>
      </c>
      <c r="G248" s="7"/>
      <c r="H248" s="9"/>
      <c r="I248" s="9"/>
      <c r="J248" s="9"/>
      <c r="K248" s="9"/>
      <c r="L248" s="10">
        <v>0</v>
      </c>
      <c r="M248" s="9"/>
      <c r="N248" s="10">
        <v>0</v>
      </c>
      <c r="O248" s="9"/>
      <c r="P248" s="10"/>
      <c r="Q248" s="10"/>
      <c r="R248" s="10"/>
      <c r="S248" s="7" t="s">
        <v>54</v>
      </c>
      <c r="T248" s="7" t="s">
        <v>607</v>
      </c>
      <c r="U248" s="7" t="s">
        <v>44</v>
      </c>
      <c r="V248" s="7" t="s">
        <v>45</v>
      </c>
      <c r="W248" s="7" t="s">
        <v>46</v>
      </c>
      <c r="X248" s="7" t="s">
        <v>47</v>
      </c>
      <c r="Y248" s="7" t="s">
        <v>802</v>
      </c>
      <c r="Z248" s="7" t="s">
        <v>765</v>
      </c>
      <c r="AA248" s="7"/>
      <c r="AB248" s="7"/>
      <c r="AC248" s="7" t="s">
        <v>39</v>
      </c>
      <c r="AD248" s="7"/>
      <c r="AE248" s="7"/>
      <c r="AF248" s="7" t="s">
        <v>50</v>
      </c>
      <c r="AG248" s="7" t="s">
        <v>51</v>
      </c>
      <c r="AH248" s="7" t="s">
        <v>52</v>
      </c>
    </row>
    <row r="249" spans="1:34" ht="9.75" customHeight="1" x14ac:dyDescent="0.2">
      <c r="A249" s="7" t="s">
        <v>37</v>
      </c>
      <c r="B249" s="7" t="s">
        <v>38</v>
      </c>
      <c r="C249" s="7"/>
      <c r="D249" s="7" t="s">
        <v>803</v>
      </c>
      <c r="E249" s="8">
        <v>1</v>
      </c>
      <c r="F249" s="7" t="s">
        <v>61</v>
      </c>
      <c r="G249" s="7"/>
      <c r="H249" s="9"/>
      <c r="I249" s="10">
        <v>929</v>
      </c>
      <c r="J249" s="10">
        <v>255</v>
      </c>
      <c r="K249" s="9"/>
      <c r="L249" s="10">
        <v>0</v>
      </c>
      <c r="M249" s="9"/>
      <c r="N249" s="10">
        <v>0</v>
      </c>
      <c r="O249" s="9"/>
      <c r="P249" s="10"/>
      <c r="Q249" s="10"/>
      <c r="R249" s="10"/>
      <c r="S249" s="7" t="s">
        <v>54</v>
      </c>
      <c r="T249" s="7" t="s">
        <v>607</v>
      </c>
      <c r="U249" s="7" t="s">
        <v>44</v>
      </c>
      <c r="V249" s="7" t="s">
        <v>45</v>
      </c>
      <c r="W249" s="7" t="s">
        <v>46</v>
      </c>
      <c r="X249" s="7" t="s">
        <v>47</v>
      </c>
      <c r="Y249" s="7" t="s">
        <v>804</v>
      </c>
      <c r="Z249" s="7" t="s">
        <v>765</v>
      </c>
      <c r="AA249" s="7"/>
      <c r="AB249" s="7"/>
      <c r="AC249" s="7" t="s">
        <v>39</v>
      </c>
      <c r="AD249" s="7"/>
      <c r="AE249" s="7" t="s">
        <v>612</v>
      </c>
      <c r="AF249" s="7" t="s">
        <v>50</v>
      </c>
      <c r="AG249" s="7" t="s">
        <v>51</v>
      </c>
      <c r="AH249" s="7" t="s">
        <v>52</v>
      </c>
    </row>
    <row r="250" spans="1:34" ht="9.75" customHeight="1" x14ac:dyDescent="0.2">
      <c r="A250" s="7" t="s">
        <v>37</v>
      </c>
      <c r="B250" s="7" t="s">
        <v>38</v>
      </c>
      <c r="C250" s="7"/>
      <c r="D250" s="7" t="s">
        <v>805</v>
      </c>
      <c r="E250" s="8">
        <v>1</v>
      </c>
      <c r="F250" s="7" t="s">
        <v>61</v>
      </c>
      <c r="G250" s="7"/>
      <c r="H250" s="9"/>
      <c r="I250" s="10">
        <v>929</v>
      </c>
      <c r="J250" s="10">
        <v>255</v>
      </c>
      <c r="K250" s="9"/>
      <c r="L250" s="10">
        <v>250</v>
      </c>
      <c r="M250" s="9"/>
      <c r="N250" s="10">
        <v>250</v>
      </c>
      <c r="O250" s="9"/>
      <c r="P250" s="10"/>
      <c r="Q250" s="10"/>
      <c r="R250" s="10"/>
      <c r="S250" s="7" t="s">
        <v>54</v>
      </c>
      <c r="T250" s="7" t="s">
        <v>607</v>
      </c>
      <c r="U250" s="7" t="s">
        <v>44</v>
      </c>
      <c r="V250" s="7" t="s">
        <v>45</v>
      </c>
      <c r="W250" s="7" t="s">
        <v>46</v>
      </c>
      <c r="X250" s="7" t="s">
        <v>47</v>
      </c>
      <c r="Y250" s="7" t="s">
        <v>806</v>
      </c>
      <c r="Z250" s="7" t="s">
        <v>765</v>
      </c>
      <c r="AA250" s="7"/>
      <c r="AB250" s="7"/>
      <c r="AC250" s="7" t="s">
        <v>39</v>
      </c>
      <c r="AD250" s="7"/>
      <c r="AE250" s="7" t="s">
        <v>615</v>
      </c>
      <c r="AF250" s="7" t="s">
        <v>50</v>
      </c>
      <c r="AG250" s="7" t="s">
        <v>51</v>
      </c>
      <c r="AH250" s="7" t="s">
        <v>52</v>
      </c>
    </row>
    <row r="251" spans="1:34" ht="9.75" customHeight="1" x14ac:dyDescent="0.2">
      <c r="A251" s="7" t="s">
        <v>37</v>
      </c>
      <c r="B251" s="7" t="s">
        <v>38</v>
      </c>
      <c r="C251" s="7"/>
      <c r="D251" s="7" t="s">
        <v>807</v>
      </c>
      <c r="E251" s="8">
        <v>1</v>
      </c>
      <c r="F251" s="7" t="s">
        <v>61</v>
      </c>
      <c r="G251" s="7"/>
      <c r="H251" s="9"/>
      <c r="I251" s="10">
        <v>929</v>
      </c>
      <c r="J251" s="10">
        <v>255</v>
      </c>
      <c r="K251" s="9"/>
      <c r="L251" s="10">
        <v>250</v>
      </c>
      <c r="M251" s="9"/>
      <c r="N251" s="10">
        <v>250</v>
      </c>
      <c r="O251" s="9"/>
      <c r="P251" s="10"/>
      <c r="Q251" s="10"/>
      <c r="R251" s="10"/>
      <c r="S251" s="7" t="s">
        <v>54</v>
      </c>
      <c r="T251" s="7" t="s">
        <v>607</v>
      </c>
      <c r="U251" s="7" t="s">
        <v>44</v>
      </c>
      <c r="V251" s="7" t="s">
        <v>45</v>
      </c>
      <c r="W251" s="7" t="s">
        <v>46</v>
      </c>
      <c r="X251" s="7" t="s">
        <v>47</v>
      </c>
      <c r="Y251" s="7" t="s">
        <v>808</v>
      </c>
      <c r="Z251" s="7" t="s">
        <v>765</v>
      </c>
      <c r="AA251" s="7"/>
      <c r="AB251" s="7"/>
      <c r="AC251" s="7" t="s">
        <v>39</v>
      </c>
      <c r="AD251" s="7"/>
      <c r="AE251" s="7" t="s">
        <v>618</v>
      </c>
      <c r="AF251" s="7" t="s">
        <v>50</v>
      </c>
      <c r="AG251" s="7" t="s">
        <v>51</v>
      </c>
      <c r="AH251" s="7" t="s">
        <v>52</v>
      </c>
    </row>
    <row r="252" spans="1:34" ht="9.75" customHeight="1" x14ac:dyDescent="0.2">
      <c r="A252" s="7" t="s">
        <v>37</v>
      </c>
      <c r="B252" s="7" t="s">
        <v>38</v>
      </c>
      <c r="C252" s="7"/>
      <c r="D252" s="7" t="s">
        <v>809</v>
      </c>
      <c r="E252" s="8">
        <v>1</v>
      </c>
      <c r="F252" s="7" t="s">
        <v>61</v>
      </c>
      <c r="G252" s="7"/>
      <c r="H252" s="9"/>
      <c r="I252" s="10">
        <v>929</v>
      </c>
      <c r="J252" s="10">
        <v>255</v>
      </c>
      <c r="K252" s="9"/>
      <c r="L252" s="10">
        <v>250</v>
      </c>
      <c r="M252" s="9"/>
      <c r="N252" s="10">
        <v>250</v>
      </c>
      <c r="O252" s="9"/>
      <c r="P252" s="10"/>
      <c r="Q252" s="10"/>
      <c r="R252" s="10"/>
      <c r="S252" s="7" t="s">
        <v>54</v>
      </c>
      <c r="T252" s="7" t="s">
        <v>607</v>
      </c>
      <c r="U252" s="7" t="s">
        <v>44</v>
      </c>
      <c r="V252" s="7" t="s">
        <v>45</v>
      </c>
      <c r="W252" s="7" t="s">
        <v>46</v>
      </c>
      <c r="X252" s="7" t="s">
        <v>47</v>
      </c>
      <c r="Y252" s="7" t="s">
        <v>810</v>
      </c>
      <c r="Z252" s="7" t="s">
        <v>765</v>
      </c>
      <c r="AA252" s="7"/>
      <c r="AB252" s="7"/>
      <c r="AC252" s="7" t="s">
        <v>39</v>
      </c>
      <c r="AD252" s="7"/>
      <c r="AE252" s="7" t="s">
        <v>621</v>
      </c>
      <c r="AF252" s="7" t="s">
        <v>50</v>
      </c>
      <c r="AG252" s="7" t="s">
        <v>51</v>
      </c>
      <c r="AH252" s="7" t="s">
        <v>52</v>
      </c>
    </row>
    <row r="253" spans="1:34" ht="9.75" customHeight="1" x14ac:dyDescent="0.2">
      <c r="A253" s="7" t="s">
        <v>37</v>
      </c>
      <c r="B253" s="7" t="s">
        <v>38</v>
      </c>
      <c r="C253" s="7"/>
      <c r="D253" s="7" t="s">
        <v>811</v>
      </c>
      <c r="E253" s="8">
        <v>1</v>
      </c>
      <c r="F253" s="7" t="s">
        <v>61</v>
      </c>
      <c r="G253" s="7"/>
      <c r="H253" s="9"/>
      <c r="I253" s="10">
        <v>929</v>
      </c>
      <c r="J253" s="10">
        <v>669</v>
      </c>
      <c r="K253" s="9"/>
      <c r="L253" s="10">
        <v>250</v>
      </c>
      <c r="M253" s="9"/>
      <c r="N253" s="10">
        <v>250</v>
      </c>
      <c r="O253" s="9"/>
      <c r="P253" s="10"/>
      <c r="Q253" s="10"/>
      <c r="R253" s="10"/>
      <c r="S253" s="7" t="s">
        <v>54</v>
      </c>
      <c r="T253" s="7" t="s">
        <v>607</v>
      </c>
      <c r="U253" s="7" t="s">
        <v>44</v>
      </c>
      <c r="V253" s="7" t="s">
        <v>45</v>
      </c>
      <c r="W253" s="7" t="s">
        <v>46</v>
      </c>
      <c r="X253" s="7" t="s">
        <v>47</v>
      </c>
      <c r="Y253" s="7" t="s">
        <v>812</v>
      </c>
      <c r="Z253" s="7" t="s">
        <v>765</v>
      </c>
      <c r="AA253" s="7"/>
      <c r="AB253" s="7"/>
      <c r="AC253" s="7" t="s">
        <v>39</v>
      </c>
      <c r="AD253" s="7"/>
      <c r="AE253" s="7" t="s">
        <v>624</v>
      </c>
      <c r="AF253" s="7" t="s">
        <v>50</v>
      </c>
      <c r="AG253" s="7" t="s">
        <v>51</v>
      </c>
      <c r="AH253" s="7" t="s">
        <v>52</v>
      </c>
    </row>
    <row r="254" spans="1:34" ht="9.75" customHeight="1" x14ac:dyDescent="0.2">
      <c r="A254" s="7" t="s">
        <v>37</v>
      </c>
      <c r="B254" s="7" t="s">
        <v>38</v>
      </c>
      <c r="C254" s="7"/>
      <c r="D254" s="7" t="s">
        <v>813</v>
      </c>
      <c r="E254" s="8">
        <v>1</v>
      </c>
      <c r="F254" s="7" t="s">
        <v>61</v>
      </c>
      <c r="G254" s="7"/>
      <c r="H254" s="9"/>
      <c r="I254" s="10">
        <v>929</v>
      </c>
      <c r="J254" s="10">
        <v>669</v>
      </c>
      <c r="K254" s="9"/>
      <c r="L254" s="10">
        <v>899</v>
      </c>
      <c r="M254" s="9"/>
      <c r="N254" s="10">
        <v>899</v>
      </c>
      <c r="O254" s="9"/>
      <c r="P254" s="10"/>
      <c r="Q254" s="10"/>
      <c r="R254" s="10"/>
      <c r="S254" s="7" t="s">
        <v>54</v>
      </c>
      <c r="T254" s="7" t="s">
        <v>607</v>
      </c>
      <c r="U254" s="7" t="s">
        <v>44</v>
      </c>
      <c r="V254" s="7" t="s">
        <v>45</v>
      </c>
      <c r="W254" s="7" t="s">
        <v>46</v>
      </c>
      <c r="X254" s="7" t="s">
        <v>47</v>
      </c>
      <c r="Y254" s="7" t="s">
        <v>814</v>
      </c>
      <c r="Z254" s="7" t="s">
        <v>765</v>
      </c>
      <c r="AA254" s="7"/>
      <c r="AB254" s="7"/>
      <c r="AC254" s="7" t="s">
        <v>39</v>
      </c>
      <c r="AD254" s="7"/>
      <c r="AE254" s="7" t="s">
        <v>627</v>
      </c>
      <c r="AF254" s="7" t="s">
        <v>50</v>
      </c>
      <c r="AG254" s="7" t="s">
        <v>51</v>
      </c>
      <c r="AH254" s="7" t="s">
        <v>52</v>
      </c>
    </row>
    <row r="255" spans="1:34" ht="9.75" customHeight="1" x14ac:dyDescent="0.2">
      <c r="A255" s="7" t="s">
        <v>37</v>
      </c>
      <c r="B255" s="7" t="s">
        <v>38</v>
      </c>
      <c r="C255" s="7"/>
      <c r="D255" s="7" t="s">
        <v>815</v>
      </c>
      <c r="E255" s="8">
        <v>1</v>
      </c>
      <c r="F255" s="7" t="s">
        <v>61</v>
      </c>
      <c r="G255" s="7"/>
      <c r="H255" s="9"/>
      <c r="I255" s="10">
        <v>929</v>
      </c>
      <c r="J255" s="10">
        <v>669</v>
      </c>
      <c r="K255" s="9"/>
      <c r="L255" s="10">
        <v>899</v>
      </c>
      <c r="M255" s="9"/>
      <c r="N255" s="10">
        <v>899</v>
      </c>
      <c r="O255" s="9"/>
      <c r="P255" s="10"/>
      <c r="Q255" s="10"/>
      <c r="R255" s="10"/>
      <c r="S255" s="7" t="s">
        <v>54</v>
      </c>
      <c r="T255" s="7" t="s">
        <v>607</v>
      </c>
      <c r="U255" s="7" t="s">
        <v>44</v>
      </c>
      <c r="V255" s="7" t="s">
        <v>45</v>
      </c>
      <c r="W255" s="7" t="s">
        <v>46</v>
      </c>
      <c r="X255" s="7" t="s">
        <v>47</v>
      </c>
      <c r="Y255" s="7" t="s">
        <v>816</v>
      </c>
      <c r="Z255" s="7" t="s">
        <v>765</v>
      </c>
      <c r="AA255" s="7"/>
      <c r="AB255" s="7"/>
      <c r="AC255" s="7" t="s">
        <v>39</v>
      </c>
      <c r="AD255" s="7"/>
      <c r="AE255" s="7" t="s">
        <v>630</v>
      </c>
      <c r="AF255" s="7" t="s">
        <v>50</v>
      </c>
      <c r="AG255" s="7" t="s">
        <v>51</v>
      </c>
      <c r="AH255" s="7" t="s">
        <v>52</v>
      </c>
    </row>
    <row r="256" spans="1:34" ht="9.75" customHeight="1" x14ac:dyDescent="0.2">
      <c r="A256" s="7" t="s">
        <v>37</v>
      </c>
      <c r="B256" s="7" t="s">
        <v>38</v>
      </c>
      <c r="C256" s="7"/>
      <c r="D256" s="7" t="s">
        <v>668</v>
      </c>
      <c r="E256" s="8">
        <v>1</v>
      </c>
      <c r="F256" s="7" t="s">
        <v>61</v>
      </c>
      <c r="G256" s="7"/>
      <c r="H256" s="9"/>
      <c r="I256" s="10">
        <v>929</v>
      </c>
      <c r="J256" s="10">
        <v>672</v>
      </c>
      <c r="K256" s="9"/>
      <c r="L256" s="10">
        <v>899</v>
      </c>
      <c r="M256" s="9"/>
      <c r="N256" s="10">
        <v>899</v>
      </c>
      <c r="O256" s="9"/>
      <c r="P256" s="10"/>
      <c r="Q256" s="10"/>
      <c r="R256" s="10"/>
      <c r="S256" s="7" t="s">
        <v>54</v>
      </c>
      <c r="T256" s="7" t="s">
        <v>607</v>
      </c>
      <c r="U256" s="7" t="s">
        <v>44</v>
      </c>
      <c r="V256" s="7" t="s">
        <v>45</v>
      </c>
      <c r="W256" s="7" t="s">
        <v>46</v>
      </c>
      <c r="X256" s="7" t="s">
        <v>47</v>
      </c>
      <c r="Y256" s="7" t="s">
        <v>669</v>
      </c>
      <c r="Z256" s="7" t="s">
        <v>817</v>
      </c>
      <c r="AA256" s="7"/>
      <c r="AB256" s="7"/>
      <c r="AC256" s="7" t="s">
        <v>39</v>
      </c>
      <c r="AD256" s="7"/>
      <c r="AE256" s="7" t="s">
        <v>650</v>
      </c>
      <c r="AF256" s="7" t="s">
        <v>50</v>
      </c>
      <c r="AG256" s="7" t="s">
        <v>51</v>
      </c>
      <c r="AH256" s="7" t="s">
        <v>52</v>
      </c>
    </row>
    <row r="257" spans="1:34" ht="9.75" customHeight="1" x14ac:dyDescent="0.2">
      <c r="A257" s="7" t="s">
        <v>37</v>
      </c>
      <c r="B257" s="7" t="s">
        <v>38</v>
      </c>
      <c r="C257" s="7"/>
      <c r="D257" s="7" t="s">
        <v>670</v>
      </c>
      <c r="E257" s="8">
        <v>1</v>
      </c>
      <c r="F257" s="7" t="s">
        <v>61</v>
      </c>
      <c r="G257" s="7"/>
      <c r="H257" s="9"/>
      <c r="I257" s="10">
        <v>936</v>
      </c>
      <c r="J257" s="10">
        <v>667</v>
      </c>
      <c r="K257" s="9"/>
      <c r="L257" s="10">
        <v>913</v>
      </c>
      <c r="M257" s="9"/>
      <c r="N257" s="10">
        <v>913</v>
      </c>
      <c r="O257" s="9"/>
      <c r="P257" s="10"/>
      <c r="Q257" s="10"/>
      <c r="R257" s="10"/>
      <c r="S257" s="7" t="s">
        <v>54</v>
      </c>
      <c r="T257" s="7" t="s">
        <v>607</v>
      </c>
      <c r="U257" s="7" t="s">
        <v>44</v>
      </c>
      <c r="V257" s="7" t="s">
        <v>45</v>
      </c>
      <c r="W257" s="7" t="s">
        <v>46</v>
      </c>
      <c r="X257" s="7" t="s">
        <v>47</v>
      </c>
      <c r="Y257" s="7" t="s">
        <v>671</v>
      </c>
      <c r="Z257" s="7" t="s">
        <v>817</v>
      </c>
      <c r="AA257" s="7"/>
      <c r="AB257" s="7"/>
      <c r="AC257" s="7" t="s">
        <v>39</v>
      </c>
      <c r="AD257" s="7"/>
      <c r="AE257" s="7" t="s">
        <v>672</v>
      </c>
      <c r="AF257" s="7" t="s">
        <v>50</v>
      </c>
      <c r="AG257" s="7" t="s">
        <v>51</v>
      </c>
      <c r="AH257" s="7" t="s">
        <v>52</v>
      </c>
    </row>
    <row r="258" spans="1:34" ht="9.75" customHeight="1" x14ac:dyDescent="0.2">
      <c r="A258" s="7" t="s">
        <v>37</v>
      </c>
      <c r="B258" s="7" t="s">
        <v>38</v>
      </c>
      <c r="C258" s="7"/>
      <c r="D258" s="7" t="s">
        <v>673</v>
      </c>
      <c r="E258" s="8">
        <v>1</v>
      </c>
      <c r="F258" s="7" t="s">
        <v>61</v>
      </c>
      <c r="G258" s="7"/>
      <c r="H258" s="9"/>
      <c r="I258" s="10">
        <v>929</v>
      </c>
      <c r="J258" s="10">
        <v>669</v>
      </c>
      <c r="K258" s="9"/>
      <c r="L258" s="10">
        <v>899</v>
      </c>
      <c r="M258" s="9"/>
      <c r="N258" s="10">
        <v>899</v>
      </c>
      <c r="O258" s="9"/>
      <c r="P258" s="10"/>
      <c r="Q258" s="10"/>
      <c r="R258" s="10"/>
      <c r="S258" s="7" t="s">
        <v>54</v>
      </c>
      <c r="T258" s="7" t="s">
        <v>607</v>
      </c>
      <c r="U258" s="7" t="s">
        <v>44</v>
      </c>
      <c r="V258" s="7" t="s">
        <v>45</v>
      </c>
      <c r="W258" s="7" t="s">
        <v>46</v>
      </c>
      <c r="X258" s="7" t="s">
        <v>47</v>
      </c>
      <c r="Y258" s="7" t="s">
        <v>674</v>
      </c>
      <c r="Z258" s="7" t="s">
        <v>817</v>
      </c>
      <c r="AA258" s="7"/>
      <c r="AB258" s="7"/>
      <c r="AC258" s="7" t="s">
        <v>39</v>
      </c>
      <c r="AD258" s="7"/>
      <c r="AE258" s="7" t="s">
        <v>609</v>
      </c>
      <c r="AF258" s="7" t="s">
        <v>50</v>
      </c>
      <c r="AG258" s="7" t="s">
        <v>51</v>
      </c>
      <c r="AH258" s="7" t="s">
        <v>52</v>
      </c>
    </row>
    <row r="259" spans="1:34" ht="9.75" customHeight="1" x14ac:dyDescent="0.2">
      <c r="A259" s="7" t="s">
        <v>37</v>
      </c>
      <c r="B259" s="7" t="s">
        <v>38</v>
      </c>
      <c r="C259" s="7"/>
      <c r="D259" s="7" t="s">
        <v>818</v>
      </c>
      <c r="E259" s="8">
        <v>1</v>
      </c>
      <c r="F259" s="7" t="s">
        <v>61</v>
      </c>
      <c r="G259" s="7"/>
      <c r="H259" s="9"/>
      <c r="I259" s="9"/>
      <c r="J259" s="9"/>
      <c r="K259" s="9"/>
      <c r="L259" s="10">
        <v>0</v>
      </c>
      <c r="M259" s="9"/>
      <c r="N259" s="10">
        <v>0</v>
      </c>
      <c r="O259" s="9"/>
      <c r="P259" s="10"/>
      <c r="Q259" s="10"/>
      <c r="R259" s="10"/>
      <c r="S259" s="7" t="s">
        <v>54</v>
      </c>
      <c r="T259" s="7" t="s">
        <v>607</v>
      </c>
      <c r="U259" s="7" t="s">
        <v>44</v>
      </c>
      <c r="V259" s="7" t="s">
        <v>45</v>
      </c>
      <c r="W259" s="7" t="s">
        <v>46</v>
      </c>
      <c r="X259" s="7" t="s">
        <v>47</v>
      </c>
      <c r="Y259" s="7" t="s">
        <v>819</v>
      </c>
      <c r="Z259" s="7" t="s">
        <v>817</v>
      </c>
      <c r="AA259" s="7"/>
      <c r="AB259" s="7"/>
      <c r="AC259" s="7" t="s">
        <v>39</v>
      </c>
      <c r="AD259" s="7"/>
      <c r="AE259" s="7"/>
      <c r="AF259" s="7" t="s">
        <v>50</v>
      </c>
      <c r="AG259" s="7" t="s">
        <v>51</v>
      </c>
      <c r="AH259" s="7" t="s">
        <v>52</v>
      </c>
    </row>
    <row r="260" spans="1:34" ht="9.75" customHeight="1" x14ac:dyDescent="0.2">
      <c r="A260" s="7" t="s">
        <v>37</v>
      </c>
      <c r="B260" s="7" t="s">
        <v>38</v>
      </c>
      <c r="C260" s="7"/>
      <c r="D260" s="7" t="s">
        <v>820</v>
      </c>
      <c r="E260" s="8">
        <v>1</v>
      </c>
      <c r="F260" s="7" t="s">
        <v>61</v>
      </c>
      <c r="G260" s="7"/>
      <c r="H260" s="9"/>
      <c r="I260" s="10">
        <v>27632</v>
      </c>
      <c r="J260" s="10">
        <v>1870</v>
      </c>
      <c r="K260" s="9"/>
      <c r="L260" s="10">
        <v>7376</v>
      </c>
      <c r="M260" s="9"/>
      <c r="N260" s="10">
        <v>7376</v>
      </c>
      <c r="O260" s="9"/>
      <c r="P260" s="10"/>
      <c r="Q260" s="10"/>
      <c r="R260" s="10"/>
      <c r="S260" s="7" t="s">
        <v>54</v>
      </c>
      <c r="T260" s="7" t="s">
        <v>607</v>
      </c>
      <c r="U260" s="7" t="s">
        <v>44</v>
      </c>
      <c r="V260" s="7" t="s">
        <v>45</v>
      </c>
      <c r="W260" s="7" t="s">
        <v>46</v>
      </c>
      <c r="X260" s="7" t="s">
        <v>47</v>
      </c>
      <c r="Y260" s="7" t="s">
        <v>821</v>
      </c>
      <c r="Z260" s="7" t="s">
        <v>817</v>
      </c>
      <c r="AA260" s="7"/>
      <c r="AB260" s="7"/>
      <c r="AC260" s="7" t="s">
        <v>39</v>
      </c>
      <c r="AD260" s="7"/>
      <c r="AE260" s="7" t="s">
        <v>615</v>
      </c>
      <c r="AF260" s="7" t="s">
        <v>50</v>
      </c>
      <c r="AG260" s="7" t="s">
        <v>51</v>
      </c>
      <c r="AH260" s="7" t="s">
        <v>52</v>
      </c>
    </row>
    <row r="261" spans="1:34" ht="9.75" customHeight="1" x14ac:dyDescent="0.2">
      <c r="A261" s="7" t="s">
        <v>37</v>
      </c>
      <c r="B261" s="7" t="s">
        <v>38</v>
      </c>
      <c r="C261" s="7"/>
      <c r="D261" s="7" t="s">
        <v>822</v>
      </c>
      <c r="E261" s="8">
        <v>1</v>
      </c>
      <c r="F261" s="7" t="s">
        <v>61</v>
      </c>
      <c r="G261" s="7"/>
      <c r="H261" s="9"/>
      <c r="I261" s="10">
        <v>31643</v>
      </c>
      <c r="J261" s="10">
        <v>28871</v>
      </c>
      <c r="K261" s="9"/>
      <c r="L261" s="10">
        <v>6000</v>
      </c>
      <c r="M261" s="9"/>
      <c r="N261" s="10">
        <v>6000</v>
      </c>
      <c r="O261" s="9"/>
      <c r="P261" s="10"/>
      <c r="Q261" s="10"/>
      <c r="R261" s="10"/>
      <c r="S261" s="7" t="s">
        <v>54</v>
      </c>
      <c r="T261" s="7" t="s">
        <v>607</v>
      </c>
      <c r="U261" s="7" t="s">
        <v>44</v>
      </c>
      <c r="V261" s="7" t="s">
        <v>45</v>
      </c>
      <c r="W261" s="7" t="s">
        <v>46</v>
      </c>
      <c r="X261" s="7" t="s">
        <v>47</v>
      </c>
      <c r="Y261" s="7" t="s">
        <v>823</v>
      </c>
      <c r="Z261" s="7" t="s">
        <v>817</v>
      </c>
      <c r="AA261" s="7"/>
      <c r="AB261" s="7"/>
      <c r="AC261" s="7" t="s">
        <v>39</v>
      </c>
      <c r="AD261" s="7"/>
      <c r="AE261" s="7" t="s">
        <v>618</v>
      </c>
      <c r="AF261" s="7" t="s">
        <v>50</v>
      </c>
      <c r="AG261" s="7" t="s">
        <v>51</v>
      </c>
      <c r="AH261" s="7" t="s">
        <v>52</v>
      </c>
    </row>
    <row r="262" spans="1:34" ht="9.75" customHeight="1" x14ac:dyDescent="0.2">
      <c r="A262" s="7" t="s">
        <v>37</v>
      </c>
      <c r="B262" s="7" t="s">
        <v>38</v>
      </c>
      <c r="C262" s="7"/>
      <c r="D262" s="7" t="s">
        <v>824</v>
      </c>
      <c r="E262" s="8">
        <v>1</v>
      </c>
      <c r="F262" s="7" t="s">
        <v>61</v>
      </c>
      <c r="G262" s="7"/>
      <c r="H262" s="9"/>
      <c r="I262" s="10">
        <v>8889</v>
      </c>
      <c r="J262" s="10">
        <v>31735</v>
      </c>
      <c r="K262" s="9"/>
      <c r="L262" s="10">
        <v>39441</v>
      </c>
      <c r="M262" s="9"/>
      <c r="N262" s="10">
        <v>39441</v>
      </c>
      <c r="O262" s="9"/>
      <c r="P262" s="10"/>
      <c r="Q262" s="10"/>
      <c r="R262" s="10"/>
      <c r="S262" s="7" t="s">
        <v>54</v>
      </c>
      <c r="T262" s="7" t="s">
        <v>607</v>
      </c>
      <c r="U262" s="7" t="s">
        <v>44</v>
      </c>
      <c r="V262" s="7" t="s">
        <v>45</v>
      </c>
      <c r="W262" s="7" t="s">
        <v>46</v>
      </c>
      <c r="X262" s="7" t="s">
        <v>47</v>
      </c>
      <c r="Y262" s="7" t="s">
        <v>825</v>
      </c>
      <c r="Z262" s="7" t="s">
        <v>817</v>
      </c>
      <c r="AA262" s="7"/>
      <c r="AB262" s="7"/>
      <c r="AC262" s="7" t="s">
        <v>39</v>
      </c>
      <c r="AD262" s="7"/>
      <c r="AE262" s="7" t="s">
        <v>621</v>
      </c>
      <c r="AF262" s="7" t="s">
        <v>50</v>
      </c>
      <c r="AG262" s="7" t="s">
        <v>51</v>
      </c>
      <c r="AH262" s="7" t="s">
        <v>52</v>
      </c>
    </row>
    <row r="263" spans="1:34" ht="9.75" customHeight="1" x14ac:dyDescent="0.2">
      <c r="A263" s="7" t="s">
        <v>37</v>
      </c>
      <c r="B263" s="7" t="s">
        <v>38</v>
      </c>
      <c r="C263" s="7"/>
      <c r="D263" s="7" t="s">
        <v>826</v>
      </c>
      <c r="E263" s="8">
        <v>1</v>
      </c>
      <c r="F263" s="7" t="s">
        <v>61</v>
      </c>
      <c r="G263" s="7"/>
      <c r="H263" s="9"/>
      <c r="I263" s="10">
        <v>8889</v>
      </c>
      <c r="J263" s="10">
        <v>9039</v>
      </c>
      <c r="K263" s="9"/>
      <c r="L263" s="10">
        <v>32778</v>
      </c>
      <c r="M263" s="9"/>
      <c r="N263" s="10">
        <v>32778</v>
      </c>
      <c r="O263" s="9"/>
      <c r="P263" s="10"/>
      <c r="Q263" s="10"/>
      <c r="R263" s="10"/>
      <c r="S263" s="7" t="s">
        <v>54</v>
      </c>
      <c r="T263" s="7" t="s">
        <v>607</v>
      </c>
      <c r="U263" s="7" t="s">
        <v>44</v>
      </c>
      <c r="V263" s="7" t="s">
        <v>45</v>
      </c>
      <c r="W263" s="7" t="s">
        <v>46</v>
      </c>
      <c r="X263" s="7" t="s">
        <v>47</v>
      </c>
      <c r="Y263" s="7" t="s">
        <v>827</v>
      </c>
      <c r="Z263" s="7" t="s">
        <v>817</v>
      </c>
      <c r="AA263" s="7"/>
      <c r="AB263" s="7"/>
      <c r="AC263" s="7" t="s">
        <v>39</v>
      </c>
      <c r="AD263" s="7"/>
      <c r="AE263" s="7" t="s">
        <v>624</v>
      </c>
      <c r="AF263" s="7" t="s">
        <v>50</v>
      </c>
      <c r="AG263" s="7" t="s">
        <v>51</v>
      </c>
      <c r="AH263" s="7" t="s">
        <v>52</v>
      </c>
    </row>
    <row r="264" spans="1:34" ht="9.75" customHeight="1" x14ac:dyDescent="0.2">
      <c r="A264" s="7" t="s">
        <v>37</v>
      </c>
      <c r="B264" s="7" t="s">
        <v>38</v>
      </c>
      <c r="C264" s="7"/>
      <c r="D264" s="7" t="s">
        <v>828</v>
      </c>
      <c r="E264" s="8">
        <v>1</v>
      </c>
      <c r="F264" s="7" t="s">
        <v>61</v>
      </c>
      <c r="G264" s="7"/>
      <c r="H264" s="9"/>
      <c r="I264" s="10">
        <v>6084</v>
      </c>
      <c r="J264" s="10">
        <v>9062</v>
      </c>
      <c r="K264" s="9"/>
      <c r="L264" s="10">
        <v>5998</v>
      </c>
      <c r="M264" s="9"/>
      <c r="N264" s="10">
        <v>5998</v>
      </c>
      <c r="O264" s="9"/>
      <c r="P264" s="10"/>
      <c r="Q264" s="10"/>
      <c r="R264" s="10"/>
      <c r="S264" s="7" t="s">
        <v>54</v>
      </c>
      <c r="T264" s="7" t="s">
        <v>607</v>
      </c>
      <c r="U264" s="7" t="s">
        <v>44</v>
      </c>
      <c r="V264" s="7" t="s">
        <v>45</v>
      </c>
      <c r="W264" s="7" t="s">
        <v>46</v>
      </c>
      <c r="X264" s="7" t="s">
        <v>47</v>
      </c>
      <c r="Y264" s="7" t="s">
        <v>829</v>
      </c>
      <c r="Z264" s="7" t="s">
        <v>817</v>
      </c>
      <c r="AA264" s="7"/>
      <c r="AB264" s="7"/>
      <c r="AC264" s="7" t="s">
        <v>39</v>
      </c>
      <c r="AD264" s="7"/>
      <c r="AE264" s="7" t="s">
        <v>627</v>
      </c>
      <c r="AF264" s="7" t="s">
        <v>50</v>
      </c>
      <c r="AG264" s="7" t="s">
        <v>51</v>
      </c>
      <c r="AH264" s="7" t="s">
        <v>52</v>
      </c>
    </row>
    <row r="265" spans="1:34" ht="9.75" customHeight="1" x14ac:dyDescent="0.2">
      <c r="A265" s="7" t="s">
        <v>37</v>
      </c>
      <c r="B265" s="7" t="s">
        <v>38</v>
      </c>
      <c r="C265" s="7"/>
      <c r="D265" s="7" t="s">
        <v>830</v>
      </c>
      <c r="E265" s="8">
        <v>1</v>
      </c>
      <c r="F265" s="7" t="s">
        <v>61</v>
      </c>
      <c r="G265" s="7"/>
      <c r="H265" s="9"/>
      <c r="I265" s="10">
        <v>1779</v>
      </c>
      <c r="J265" s="10">
        <v>6206</v>
      </c>
      <c r="K265" s="9"/>
      <c r="L265" s="10">
        <v>7721</v>
      </c>
      <c r="M265" s="9"/>
      <c r="N265" s="10">
        <v>7721</v>
      </c>
      <c r="O265" s="9"/>
      <c r="P265" s="10"/>
      <c r="Q265" s="10"/>
      <c r="R265" s="10"/>
      <c r="S265" s="7" t="s">
        <v>54</v>
      </c>
      <c r="T265" s="7" t="s">
        <v>607</v>
      </c>
      <c r="U265" s="7" t="s">
        <v>44</v>
      </c>
      <c r="V265" s="7" t="s">
        <v>45</v>
      </c>
      <c r="W265" s="7" t="s">
        <v>46</v>
      </c>
      <c r="X265" s="7" t="s">
        <v>47</v>
      </c>
      <c r="Y265" s="7" t="s">
        <v>831</v>
      </c>
      <c r="Z265" s="7" t="s">
        <v>817</v>
      </c>
      <c r="AA265" s="7"/>
      <c r="AB265" s="7"/>
      <c r="AC265" s="7" t="s">
        <v>39</v>
      </c>
      <c r="AD265" s="7"/>
      <c r="AE265" s="7" t="s">
        <v>630</v>
      </c>
      <c r="AF265" s="7" t="s">
        <v>50</v>
      </c>
      <c r="AG265" s="7" t="s">
        <v>51</v>
      </c>
      <c r="AH265" s="7" t="s">
        <v>52</v>
      </c>
    </row>
    <row r="266" spans="1:34" ht="9.75" customHeight="1" x14ac:dyDescent="0.2">
      <c r="A266" s="7" t="s">
        <v>37</v>
      </c>
      <c r="B266" s="7" t="s">
        <v>38</v>
      </c>
      <c r="C266" s="7"/>
      <c r="D266" s="7" t="s">
        <v>832</v>
      </c>
      <c r="E266" s="8">
        <v>1</v>
      </c>
      <c r="F266" s="7" t="s">
        <v>61</v>
      </c>
      <c r="G266" s="7"/>
      <c r="H266" s="9"/>
      <c r="I266" s="10">
        <v>4001</v>
      </c>
      <c r="J266" s="9"/>
      <c r="K266" s="9"/>
      <c r="L266" s="10">
        <v>8891</v>
      </c>
      <c r="M266" s="9"/>
      <c r="N266" s="10">
        <v>8891</v>
      </c>
      <c r="O266" s="9"/>
      <c r="P266" s="10"/>
      <c r="Q266" s="10"/>
      <c r="R266" s="10"/>
      <c r="S266" s="7" t="s">
        <v>54</v>
      </c>
      <c r="T266" s="7" t="s">
        <v>607</v>
      </c>
      <c r="U266" s="7" t="s">
        <v>44</v>
      </c>
      <c r="V266" s="7" t="s">
        <v>45</v>
      </c>
      <c r="W266" s="7" t="s">
        <v>46</v>
      </c>
      <c r="X266" s="7" t="s">
        <v>47</v>
      </c>
      <c r="Y266" s="7" t="s">
        <v>833</v>
      </c>
      <c r="Z266" s="7" t="s">
        <v>817</v>
      </c>
      <c r="AA266" s="7"/>
      <c r="AB266" s="7"/>
      <c r="AC266" s="7" t="s">
        <v>39</v>
      </c>
      <c r="AD266" s="7"/>
      <c r="AE266" s="7" t="s">
        <v>650</v>
      </c>
      <c r="AF266" s="7" t="s">
        <v>50</v>
      </c>
      <c r="AG266" s="7" t="s">
        <v>51</v>
      </c>
      <c r="AH266" s="7" t="s">
        <v>52</v>
      </c>
    </row>
    <row r="267" spans="1:34" ht="9.75" customHeight="1" x14ac:dyDescent="0.2">
      <c r="A267" s="7" t="s">
        <v>37</v>
      </c>
      <c r="B267" s="7" t="s">
        <v>38</v>
      </c>
      <c r="C267" s="7"/>
      <c r="D267" s="7" t="s">
        <v>834</v>
      </c>
      <c r="E267" s="8">
        <v>1</v>
      </c>
      <c r="F267" s="7" t="s">
        <v>61</v>
      </c>
      <c r="G267" s="7"/>
      <c r="H267" s="9"/>
      <c r="I267" s="10">
        <v>3994</v>
      </c>
      <c r="J267" s="9"/>
      <c r="K267" s="9"/>
      <c r="L267" s="10">
        <v>0</v>
      </c>
      <c r="M267" s="9"/>
      <c r="N267" s="10">
        <v>0</v>
      </c>
      <c r="O267" s="9"/>
      <c r="P267" s="10"/>
      <c r="Q267" s="10"/>
      <c r="R267" s="10"/>
      <c r="S267" s="7" t="s">
        <v>54</v>
      </c>
      <c r="T267" s="7" t="s">
        <v>607</v>
      </c>
      <c r="U267" s="7" t="s">
        <v>44</v>
      </c>
      <c r="V267" s="7" t="s">
        <v>45</v>
      </c>
      <c r="W267" s="7" t="s">
        <v>46</v>
      </c>
      <c r="X267" s="7" t="s">
        <v>47</v>
      </c>
      <c r="Y267" s="7" t="s">
        <v>835</v>
      </c>
      <c r="Z267" s="7" t="s">
        <v>817</v>
      </c>
      <c r="AA267" s="7"/>
      <c r="AB267" s="7"/>
      <c r="AC267" s="7" t="s">
        <v>39</v>
      </c>
      <c r="AD267" s="7"/>
      <c r="AE267" s="7" t="s">
        <v>672</v>
      </c>
      <c r="AF267" s="7" t="s">
        <v>50</v>
      </c>
      <c r="AG267" s="7" t="s">
        <v>51</v>
      </c>
      <c r="AH267" s="7" t="s">
        <v>52</v>
      </c>
    </row>
    <row r="268" spans="1:34" ht="9.75" customHeight="1" x14ac:dyDescent="0.2">
      <c r="A268" s="7" t="s">
        <v>37</v>
      </c>
      <c r="B268" s="7" t="s">
        <v>38</v>
      </c>
      <c r="C268" s="7"/>
      <c r="D268" s="7" t="s">
        <v>836</v>
      </c>
      <c r="E268" s="8">
        <v>1</v>
      </c>
      <c r="F268" s="7" t="s">
        <v>61</v>
      </c>
      <c r="G268" s="7"/>
      <c r="H268" s="9"/>
      <c r="I268" s="10">
        <v>3994</v>
      </c>
      <c r="J268" s="9"/>
      <c r="K268" s="9"/>
      <c r="L268" s="10">
        <v>0</v>
      </c>
      <c r="M268" s="9"/>
      <c r="N268" s="10">
        <v>0</v>
      </c>
      <c r="O268" s="9"/>
      <c r="P268" s="10"/>
      <c r="Q268" s="10"/>
      <c r="R268" s="10"/>
      <c r="S268" s="7" t="s">
        <v>54</v>
      </c>
      <c r="T268" s="7" t="s">
        <v>607</v>
      </c>
      <c r="U268" s="7" t="s">
        <v>44</v>
      </c>
      <c r="V268" s="7" t="s">
        <v>45</v>
      </c>
      <c r="W268" s="7" t="s">
        <v>46</v>
      </c>
      <c r="X268" s="7" t="s">
        <v>47</v>
      </c>
      <c r="Y268" s="7" t="s">
        <v>837</v>
      </c>
      <c r="Z268" s="7" t="s">
        <v>817</v>
      </c>
      <c r="AA268" s="7"/>
      <c r="AB268" s="7"/>
      <c r="AC268" s="7" t="s">
        <v>39</v>
      </c>
      <c r="AD268" s="7"/>
      <c r="AE268" s="7" t="s">
        <v>609</v>
      </c>
      <c r="AF268" s="7" t="s">
        <v>50</v>
      </c>
      <c r="AG268" s="7" t="s">
        <v>51</v>
      </c>
      <c r="AH268" s="7" t="s">
        <v>52</v>
      </c>
    </row>
    <row r="269" spans="1:34" ht="9.75" customHeight="1" x14ac:dyDescent="0.2">
      <c r="A269" s="7" t="s">
        <v>37</v>
      </c>
      <c r="B269" s="7" t="s">
        <v>38</v>
      </c>
      <c r="C269" s="7"/>
      <c r="D269" s="7" t="s">
        <v>838</v>
      </c>
      <c r="E269" s="8">
        <v>1</v>
      </c>
      <c r="F269" s="7" t="s">
        <v>61</v>
      </c>
      <c r="G269" s="7"/>
      <c r="H269" s="9"/>
      <c r="I269" s="9"/>
      <c r="J269" s="9"/>
      <c r="K269" s="9"/>
      <c r="L269" s="10">
        <v>0</v>
      </c>
      <c r="M269" s="9"/>
      <c r="N269" s="10">
        <v>0</v>
      </c>
      <c r="O269" s="9"/>
      <c r="P269" s="10"/>
      <c r="Q269" s="10"/>
      <c r="R269" s="10"/>
      <c r="S269" s="7" t="s">
        <v>54</v>
      </c>
      <c r="T269" s="7" t="s">
        <v>607</v>
      </c>
      <c r="U269" s="7" t="s">
        <v>44</v>
      </c>
      <c r="V269" s="7" t="s">
        <v>45</v>
      </c>
      <c r="W269" s="7" t="s">
        <v>46</v>
      </c>
      <c r="X269" s="7" t="s">
        <v>47</v>
      </c>
      <c r="Y269" s="7" t="s">
        <v>839</v>
      </c>
      <c r="Z269" s="7" t="s">
        <v>817</v>
      </c>
      <c r="AA269" s="7"/>
      <c r="AB269" s="7"/>
      <c r="AC269" s="7" t="s">
        <v>39</v>
      </c>
      <c r="AD269" s="7"/>
      <c r="AE269" s="7"/>
      <c r="AF269" s="7" t="s">
        <v>50</v>
      </c>
      <c r="AG269" s="7" t="s">
        <v>51</v>
      </c>
      <c r="AH269" s="7" t="s">
        <v>52</v>
      </c>
    </row>
    <row r="270" spans="1:34" ht="9.75" customHeight="1" x14ac:dyDescent="0.2">
      <c r="A270" s="7" t="s">
        <v>37</v>
      </c>
      <c r="B270" s="7" t="s">
        <v>38</v>
      </c>
      <c r="C270" s="7"/>
      <c r="D270" s="7" t="s">
        <v>840</v>
      </c>
      <c r="E270" s="8">
        <v>1</v>
      </c>
      <c r="F270" s="7" t="s">
        <v>61</v>
      </c>
      <c r="G270" s="7"/>
      <c r="H270" s="9"/>
      <c r="I270" s="10">
        <v>8430</v>
      </c>
      <c r="J270" s="10">
        <v>58633</v>
      </c>
      <c r="K270" s="9"/>
      <c r="L270" s="10">
        <v>0</v>
      </c>
      <c r="M270" s="9"/>
      <c r="N270" s="10">
        <v>0</v>
      </c>
      <c r="O270" s="9"/>
      <c r="P270" s="10"/>
      <c r="Q270" s="10"/>
      <c r="R270" s="10"/>
      <c r="S270" s="7" t="s">
        <v>54</v>
      </c>
      <c r="T270" s="7" t="s">
        <v>607</v>
      </c>
      <c r="U270" s="7" t="s">
        <v>44</v>
      </c>
      <c r="V270" s="7" t="s">
        <v>45</v>
      </c>
      <c r="W270" s="7" t="s">
        <v>46</v>
      </c>
      <c r="X270" s="7" t="s">
        <v>47</v>
      </c>
      <c r="Y270" s="7" t="s">
        <v>841</v>
      </c>
      <c r="Z270" s="7" t="s">
        <v>817</v>
      </c>
      <c r="AA270" s="7"/>
      <c r="AB270" s="7"/>
      <c r="AC270" s="7" t="s">
        <v>39</v>
      </c>
      <c r="AD270" s="7"/>
      <c r="AE270" s="7" t="s">
        <v>612</v>
      </c>
      <c r="AF270" s="7" t="s">
        <v>50</v>
      </c>
      <c r="AG270" s="7" t="s">
        <v>51</v>
      </c>
      <c r="AH270" s="7" t="s">
        <v>52</v>
      </c>
    </row>
    <row r="271" spans="1:34" ht="9.75" customHeight="1" x14ac:dyDescent="0.2">
      <c r="A271" s="7" t="s">
        <v>37</v>
      </c>
      <c r="B271" s="7" t="s">
        <v>38</v>
      </c>
      <c r="C271" s="7"/>
      <c r="D271" s="7" t="s">
        <v>842</v>
      </c>
      <c r="E271" s="8">
        <v>1</v>
      </c>
      <c r="F271" s="7" t="s">
        <v>61</v>
      </c>
      <c r="G271" s="7"/>
      <c r="H271" s="9"/>
      <c r="I271" s="9"/>
      <c r="J271" s="10">
        <v>19538</v>
      </c>
      <c r="K271" s="9"/>
      <c r="L271" s="10">
        <v>85951</v>
      </c>
      <c r="M271" s="9"/>
      <c r="N271" s="10">
        <v>85951</v>
      </c>
      <c r="O271" s="9"/>
      <c r="P271" s="10"/>
      <c r="Q271" s="10"/>
      <c r="R271" s="10"/>
      <c r="S271" s="7" t="s">
        <v>54</v>
      </c>
      <c r="T271" s="7" t="s">
        <v>607</v>
      </c>
      <c r="U271" s="7" t="s">
        <v>44</v>
      </c>
      <c r="V271" s="7" t="s">
        <v>45</v>
      </c>
      <c r="W271" s="7" t="s">
        <v>46</v>
      </c>
      <c r="X271" s="7" t="s">
        <v>47</v>
      </c>
      <c r="Y271" s="7" t="s">
        <v>843</v>
      </c>
      <c r="Z271" s="7" t="s">
        <v>817</v>
      </c>
      <c r="AA271" s="7"/>
      <c r="AB271" s="7"/>
      <c r="AC271" s="7" t="s">
        <v>39</v>
      </c>
      <c r="AD271" s="7"/>
      <c r="AE271" s="7" t="s">
        <v>615</v>
      </c>
      <c r="AF271" s="7" t="s">
        <v>50</v>
      </c>
      <c r="AG271" s="7" t="s">
        <v>51</v>
      </c>
      <c r="AH271" s="7" t="s">
        <v>52</v>
      </c>
    </row>
    <row r="272" spans="1:34" ht="9.75" customHeight="1" x14ac:dyDescent="0.2">
      <c r="A272" s="7" t="s">
        <v>37</v>
      </c>
      <c r="B272" s="7" t="s">
        <v>38</v>
      </c>
      <c r="C272" s="7"/>
      <c r="D272" s="7" t="s">
        <v>844</v>
      </c>
      <c r="E272" s="8">
        <v>1</v>
      </c>
      <c r="F272" s="7" t="s">
        <v>61</v>
      </c>
      <c r="G272" s="7"/>
      <c r="H272" s="9"/>
      <c r="I272" s="9"/>
      <c r="J272" s="9"/>
      <c r="K272" s="9"/>
      <c r="L272" s="10">
        <v>24650</v>
      </c>
      <c r="M272" s="9"/>
      <c r="N272" s="10">
        <v>24650</v>
      </c>
      <c r="O272" s="9"/>
      <c r="P272" s="10"/>
      <c r="Q272" s="10"/>
      <c r="R272" s="10"/>
      <c r="S272" s="7" t="s">
        <v>54</v>
      </c>
      <c r="T272" s="7" t="s">
        <v>607</v>
      </c>
      <c r="U272" s="7" t="s">
        <v>44</v>
      </c>
      <c r="V272" s="7" t="s">
        <v>45</v>
      </c>
      <c r="W272" s="7" t="s">
        <v>46</v>
      </c>
      <c r="X272" s="7" t="s">
        <v>47</v>
      </c>
      <c r="Y272" s="7" t="s">
        <v>845</v>
      </c>
      <c r="Z272" s="7" t="s">
        <v>817</v>
      </c>
      <c r="AA272" s="7"/>
      <c r="AB272" s="7"/>
      <c r="AC272" s="7" t="s">
        <v>39</v>
      </c>
      <c r="AD272" s="7"/>
      <c r="AE272" s="7" t="s">
        <v>618</v>
      </c>
      <c r="AF272" s="7" t="s">
        <v>50</v>
      </c>
      <c r="AG272" s="7" t="s">
        <v>51</v>
      </c>
      <c r="AH272" s="7" t="s">
        <v>52</v>
      </c>
    </row>
    <row r="273" spans="1:34" ht="9.75" customHeight="1" x14ac:dyDescent="0.2">
      <c r="A273" s="7" t="s">
        <v>37</v>
      </c>
      <c r="B273" s="7" t="s">
        <v>38</v>
      </c>
      <c r="C273" s="7"/>
      <c r="D273" s="7" t="s">
        <v>846</v>
      </c>
      <c r="E273" s="8">
        <v>1</v>
      </c>
      <c r="F273" s="7" t="s">
        <v>61</v>
      </c>
      <c r="G273" s="7"/>
      <c r="H273" s="9"/>
      <c r="I273" s="9"/>
      <c r="J273" s="9"/>
      <c r="K273" s="9"/>
      <c r="L273" s="10">
        <v>0</v>
      </c>
      <c r="M273" s="9"/>
      <c r="N273" s="10">
        <v>0</v>
      </c>
      <c r="O273" s="9"/>
      <c r="P273" s="10"/>
      <c r="Q273" s="10"/>
      <c r="R273" s="10"/>
      <c r="S273" s="7" t="s">
        <v>54</v>
      </c>
      <c r="T273" s="7" t="s">
        <v>607</v>
      </c>
      <c r="U273" s="7" t="s">
        <v>44</v>
      </c>
      <c r="V273" s="7" t="s">
        <v>45</v>
      </c>
      <c r="W273" s="7" t="s">
        <v>46</v>
      </c>
      <c r="X273" s="7" t="s">
        <v>47</v>
      </c>
      <c r="Y273" s="7" t="s">
        <v>847</v>
      </c>
      <c r="Z273" s="7" t="s">
        <v>817</v>
      </c>
      <c r="AA273" s="7"/>
      <c r="AB273" s="7"/>
      <c r="AC273" s="7" t="s">
        <v>39</v>
      </c>
      <c r="AD273" s="7"/>
      <c r="AE273" s="7"/>
      <c r="AF273" s="7" t="s">
        <v>50</v>
      </c>
      <c r="AG273" s="7" t="s">
        <v>51</v>
      </c>
      <c r="AH273" s="7" t="s">
        <v>52</v>
      </c>
    </row>
    <row r="274" spans="1:34" ht="9.75" customHeight="1" x14ac:dyDescent="0.2">
      <c r="A274" s="7" t="s">
        <v>37</v>
      </c>
      <c r="B274" s="7" t="s">
        <v>38</v>
      </c>
      <c r="C274" s="7"/>
      <c r="D274" s="7" t="s">
        <v>848</v>
      </c>
      <c r="E274" s="8">
        <v>1</v>
      </c>
      <c r="F274" s="7" t="s">
        <v>61</v>
      </c>
      <c r="G274" s="7"/>
      <c r="H274" s="9"/>
      <c r="I274" s="9"/>
      <c r="J274" s="9"/>
      <c r="K274" s="9"/>
      <c r="L274" s="10">
        <v>0</v>
      </c>
      <c r="M274" s="9"/>
      <c r="N274" s="10">
        <v>0</v>
      </c>
      <c r="O274" s="9"/>
      <c r="P274" s="10"/>
      <c r="Q274" s="10"/>
      <c r="R274" s="10"/>
      <c r="S274" s="7" t="s">
        <v>54</v>
      </c>
      <c r="T274" s="7" t="s">
        <v>607</v>
      </c>
      <c r="U274" s="7" t="s">
        <v>44</v>
      </c>
      <c r="V274" s="7" t="s">
        <v>45</v>
      </c>
      <c r="W274" s="7" t="s">
        <v>46</v>
      </c>
      <c r="X274" s="7" t="s">
        <v>47</v>
      </c>
      <c r="Y274" s="7" t="s">
        <v>849</v>
      </c>
      <c r="Z274" s="7" t="s">
        <v>817</v>
      </c>
      <c r="AA274" s="7"/>
      <c r="AB274" s="7"/>
      <c r="AC274" s="7" t="s">
        <v>39</v>
      </c>
      <c r="AD274" s="7"/>
      <c r="AE274" s="7"/>
      <c r="AF274" s="7" t="s">
        <v>50</v>
      </c>
      <c r="AG274" s="7" t="s">
        <v>51</v>
      </c>
      <c r="AH274" s="7" t="s">
        <v>52</v>
      </c>
    </row>
    <row r="275" spans="1:34" ht="9.75" customHeight="1" x14ac:dyDescent="0.2">
      <c r="A275" s="7" t="s">
        <v>37</v>
      </c>
      <c r="B275" s="7" t="s">
        <v>38</v>
      </c>
      <c r="C275" s="7"/>
      <c r="D275" s="7" t="s">
        <v>850</v>
      </c>
      <c r="E275" s="8">
        <v>1</v>
      </c>
      <c r="F275" s="7" t="s">
        <v>61</v>
      </c>
      <c r="G275" s="7"/>
      <c r="H275" s="9"/>
      <c r="I275" s="9"/>
      <c r="J275" s="9"/>
      <c r="K275" s="9"/>
      <c r="L275" s="10">
        <v>0</v>
      </c>
      <c r="M275" s="9"/>
      <c r="N275" s="10">
        <v>0</v>
      </c>
      <c r="O275" s="9"/>
      <c r="P275" s="10"/>
      <c r="Q275" s="10"/>
      <c r="R275" s="10"/>
      <c r="S275" s="7" t="s">
        <v>54</v>
      </c>
      <c r="T275" s="7" t="s">
        <v>607</v>
      </c>
      <c r="U275" s="7" t="s">
        <v>44</v>
      </c>
      <c r="V275" s="7" t="s">
        <v>45</v>
      </c>
      <c r="W275" s="7" t="s">
        <v>46</v>
      </c>
      <c r="X275" s="7" t="s">
        <v>47</v>
      </c>
      <c r="Y275" s="7" t="s">
        <v>851</v>
      </c>
      <c r="Z275" s="7" t="s">
        <v>817</v>
      </c>
      <c r="AA275" s="7"/>
      <c r="AB275" s="7"/>
      <c r="AC275" s="7" t="s">
        <v>39</v>
      </c>
      <c r="AD275" s="7"/>
      <c r="AE275" s="7"/>
      <c r="AF275" s="7" t="s">
        <v>50</v>
      </c>
      <c r="AG275" s="7" t="s">
        <v>51</v>
      </c>
      <c r="AH275" s="7" t="s">
        <v>52</v>
      </c>
    </row>
    <row r="276" spans="1:34" ht="9.75" customHeight="1" x14ac:dyDescent="0.2">
      <c r="A276" s="7" t="s">
        <v>37</v>
      </c>
      <c r="B276" s="7" t="s">
        <v>38</v>
      </c>
      <c r="C276" s="7"/>
      <c r="D276" s="7" t="s">
        <v>852</v>
      </c>
      <c r="E276" s="8">
        <v>1</v>
      </c>
      <c r="F276" s="7" t="s">
        <v>61</v>
      </c>
      <c r="G276" s="7"/>
      <c r="H276" s="9"/>
      <c r="I276" s="9"/>
      <c r="J276" s="9"/>
      <c r="K276" s="9"/>
      <c r="L276" s="10">
        <v>0</v>
      </c>
      <c r="M276" s="9"/>
      <c r="N276" s="10">
        <v>0</v>
      </c>
      <c r="O276" s="9"/>
      <c r="P276" s="10"/>
      <c r="Q276" s="10"/>
      <c r="R276" s="10"/>
      <c r="S276" s="7" t="s">
        <v>54</v>
      </c>
      <c r="T276" s="7" t="s">
        <v>607</v>
      </c>
      <c r="U276" s="7" t="s">
        <v>44</v>
      </c>
      <c r="V276" s="7" t="s">
        <v>45</v>
      </c>
      <c r="W276" s="7" t="s">
        <v>46</v>
      </c>
      <c r="X276" s="7" t="s">
        <v>47</v>
      </c>
      <c r="Y276" s="7" t="s">
        <v>853</v>
      </c>
      <c r="Z276" s="7" t="s">
        <v>817</v>
      </c>
      <c r="AA276" s="7"/>
      <c r="AB276" s="7"/>
      <c r="AC276" s="7" t="s">
        <v>39</v>
      </c>
      <c r="AD276" s="7"/>
      <c r="AE276" s="7"/>
      <c r="AF276" s="7" t="s">
        <v>50</v>
      </c>
      <c r="AG276" s="7" t="s">
        <v>51</v>
      </c>
      <c r="AH276" s="7" t="s">
        <v>52</v>
      </c>
    </row>
    <row r="277" spans="1:34" ht="9.75" customHeight="1" x14ac:dyDescent="0.2">
      <c r="A277" s="7" t="s">
        <v>37</v>
      </c>
      <c r="B277" s="7" t="s">
        <v>38</v>
      </c>
      <c r="C277" s="7"/>
      <c r="D277" s="7" t="s">
        <v>840</v>
      </c>
      <c r="E277" s="8">
        <v>1</v>
      </c>
      <c r="F277" s="7" t="s">
        <v>61</v>
      </c>
      <c r="G277" s="7"/>
      <c r="H277" s="9"/>
      <c r="I277" s="9"/>
      <c r="J277" s="10">
        <v>11900</v>
      </c>
      <c r="K277" s="9"/>
      <c r="L277" s="10">
        <v>0</v>
      </c>
      <c r="M277" s="9"/>
      <c r="N277" s="10">
        <v>0</v>
      </c>
      <c r="O277" s="9"/>
      <c r="P277" s="10"/>
      <c r="Q277" s="10"/>
      <c r="R277" s="10"/>
      <c r="S277" s="7" t="s">
        <v>54</v>
      </c>
      <c r="T277" s="7" t="s">
        <v>607</v>
      </c>
      <c r="U277" s="7" t="s">
        <v>44</v>
      </c>
      <c r="V277" s="7" t="s">
        <v>45</v>
      </c>
      <c r="W277" s="7" t="s">
        <v>46</v>
      </c>
      <c r="X277" s="7" t="s">
        <v>47</v>
      </c>
      <c r="Y277" s="7" t="s">
        <v>841</v>
      </c>
      <c r="Z277" s="7" t="s">
        <v>817</v>
      </c>
      <c r="AA277" s="7"/>
      <c r="AB277" s="7"/>
      <c r="AC277" s="7" t="s">
        <v>39</v>
      </c>
      <c r="AD277" s="7"/>
      <c r="AE277" s="7" t="s">
        <v>612</v>
      </c>
      <c r="AF277" s="7" t="s">
        <v>50</v>
      </c>
      <c r="AG277" s="7" t="s">
        <v>51</v>
      </c>
      <c r="AH277" s="7" t="s">
        <v>52</v>
      </c>
    </row>
    <row r="278" spans="1:34" ht="9.75" customHeight="1" x14ac:dyDescent="0.2">
      <c r="A278" s="7" t="s">
        <v>37</v>
      </c>
      <c r="B278" s="7" t="s">
        <v>38</v>
      </c>
      <c r="C278" s="7"/>
      <c r="D278" s="7" t="s">
        <v>717</v>
      </c>
      <c r="E278" s="8">
        <v>1</v>
      </c>
      <c r="F278" s="7" t="s">
        <v>61</v>
      </c>
      <c r="G278" s="7"/>
      <c r="H278" s="9"/>
      <c r="I278" s="9"/>
      <c r="J278" s="10">
        <v>11900</v>
      </c>
      <c r="K278" s="9"/>
      <c r="L278" s="10">
        <v>0</v>
      </c>
      <c r="M278" s="9"/>
      <c r="N278" s="10">
        <v>0</v>
      </c>
      <c r="O278" s="9"/>
      <c r="P278" s="10"/>
      <c r="Q278" s="10"/>
      <c r="R278" s="10"/>
      <c r="S278" s="7" t="s">
        <v>54</v>
      </c>
      <c r="T278" s="7" t="s">
        <v>607</v>
      </c>
      <c r="U278" s="7" t="s">
        <v>44</v>
      </c>
      <c r="V278" s="7" t="s">
        <v>45</v>
      </c>
      <c r="W278" s="7" t="s">
        <v>46</v>
      </c>
      <c r="X278" s="7" t="s">
        <v>47</v>
      </c>
      <c r="Y278" s="7" t="s">
        <v>718</v>
      </c>
      <c r="Z278" s="7" t="s">
        <v>854</v>
      </c>
      <c r="AA278" s="7"/>
      <c r="AB278" s="7"/>
      <c r="AC278" s="7" t="s">
        <v>39</v>
      </c>
      <c r="AD278" s="7"/>
      <c r="AE278" s="7" t="s">
        <v>615</v>
      </c>
      <c r="AF278" s="7" t="s">
        <v>50</v>
      </c>
      <c r="AG278" s="7" t="s">
        <v>51</v>
      </c>
      <c r="AH278" s="7" t="s">
        <v>52</v>
      </c>
    </row>
    <row r="279" spans="1:34" ht="9.75" customHeight="1" x14ac:dyDescent="0.2">
      <c r="A279" s="7" t="s">
        <v>37</v>
      </c>
      <c r="B279" s="7" t="s">
        <v>38</v>
      </c>
      <c r="C279" s="7"/>
      <c r="D279" s="7" t="s">
        <v>719</v>
      </c>
      <c r="E279" s="8">
        <v>1</v>
      </c>
      <c r="F279" s="7" t="s">
        <v>61</v>
      </c>
      <c r="G279" s="7"/>
      <c r="H279" s="9"/>
      <c r="I279" s="9"/>
      <c r="J279" s="10">
        <v>11900</v>
      </c>
      <c r="K279" s="9"/>
      <c r="L279" s="10">
        <v>0</v>
      </c>
      <c r="M279" s="9"/>
      <c r="N279" s="10">
        <v>0</v>
      </c>
      <c r="O279" s="9"/>
      <c r="P279" s="10"/>
      <c r="Q279" s="10"/>
      <c r="R279" s="10"/>
      <c r="S279" s="7" t="s">
        <v>54</v>
      </c>
      <c r="T279" s="7" t="s">
        <v>607</v>
      </c>
      <c r="U279" s="7" t="s">
        <v>44</v>
      </c>
      <c r="V279" s="7" t="s">
        <v>45</v>
      </c>
      <c r="W279" s="7" t="s">
        <v>46</v>
      </c>
      <c r="X279" s="7" t="s">
        <v>47</v>
      </c>
      <c r="Y279" s="7" t="s">
        <v>720</v>
      </c>
      <c r="Z279" s="7" t="s">
        <v>854</v>
      </c>
      <c r="AA279" s="7"/>
      <c r="AB279" s="7"/>
      <c r="AC279" s="7" t="s">
        <v>39</v>
      </c>
      <c r="AD279" s="7"/>
      <c r="AE279" s="7" t="s">
        <v>618</v>
      </c>
      <c r="AF279" s="7" t="s">
        <v>50</v>
      </c>
      <c r="AG279" s="7" t="s">
        <v>51</v>
      </c>
      <c r="AH279" s="7" t="s">
        <v>52</v>
      </c>
    </row>
    <row r="280" spans="1:34" ht="9.75" customHeight="1" x14ac:dyDescent="0.2">
      <c r="A280" s="7" t="s">
        <v>37</v>
      </c>
      <c r="B280" s="7" t="s">
        <v>38</v>
      </c>
      <c r="C280" s="7"/>
      <c r="D280" s="7" t="s">
        <v>721</v>
      </c>
      <c r="E280" s="8">
        <v>1</v>
      </c>
      <c r="F280" s="7" t="s">
        <v>61</v>
      </c>
      <c r="G280" s="7"/>
      <c r="H280" s="9"/>
      <c r="I280" s="9"/>
      <c r="J280" s="10">
        <v>11900</v>
      </c>
      <c r="K280" s="9"/>
      <c r="L280" s="10">
        <v>0</v>
      </c>
      <c r="M280" s="9"/>
      <c r="N280" s="10">
        <v>0</v>
      </c>
      <c r="O280" s="9"/>
      <c r="P280" s="10"/>
      <c r="Q280" s="10"/>
      <c r="R280" s="10"/>
      <c r="S280" s="7" t="s">
        <v>54</v>
      </c>
      <c r="T280" s="7" t="s">
        <v>607</v>
      </c>
      <c r="U280" s="7" t="s">
        <v>44</v>
      </c>
      <c r="V280" s="7" t="s">
        <v>45</v>
      </c>
      <c r="W280" s="7" t="s">
        <v>46</v>
      </c>
      <c r="X280" s="7" t="s">
        <v>47</v>
      </c>
      <c r="Y280" s="7" t="s">
        <v>722</v>
      </c>
      <c r="Z280" s="7" t="s">
        <v>854</v>
      </c>
      <c r="AA280" s="7"/>
      <c r="AB280" s="7"/>
      <c r="AC280" s="7" t="s">
        <v>39</v>
      </c>
      <c r="AD280" s="7"/>
      <c r="AE280" s="7" t="s">
        <v>621</v>
      </c>
      <c r="AF280" s="7" t="s">
        <v>50</v>
      </c>
      <c r="AG280" s="7" t="s">
        <v>51</v>
      </c>
      <c r="AH280" s="7" t="s">
        <v>52</v>
      </c>
    </row>
    <row r="281" spans="1:34" ht="9.75" customHeight="1" x14ac:dyDescent="0.2">
      <c r="A281" s="7" t="s">
        <v>37</v>
      </c>
      <c r="B281" s="7" t="s">
        <v>38</v>
      </c>
      <c r="C281" s="7"/>
      <c r="D281" s="7" t="s">
        <v>723</v>
      </c>
      <c r="E281" s="8">
        <v>1</v>
      </c>
      <c r="F281" s="7" t="s">
        <v>61</v>
      </c>
      <c r="G281" s="7"/>
      <c r="H281" s="9"/>
      <c r="I281" s="9"/>
      <c r="J281" s="10">
        <v>11900</v>
      </c>
      <c r="K281" s="9"/>
      <c r="L281" s="10">
        <v>0</v>
      </c>
      <c r="M281" s="9"/>
      <c r="N281" s="10">
        <v>0</v>
      </c>
      <c r="O281" s="9"/>
      <c r="P281" s="10"/>
      <c r="Q281" s="10"/>
      <c r="R281" s="10"/>
      <c r="S281" s="7" t="s">
        <v>54</v>
      </c>
      <c r="T281" s="7" t="s">
        <v>607</v>
      </c>
      <c r="U281" s="7" t="s">
        <v>44</v>
      </c>
      <c r="V281" s="7" t="s">
        <v>45</v>
      </c>
      <c r="W281" s="7" t="s">
        <v>46</v>
      </c>
      <c r="X281" s="7" t="s">
        <v>47</v>
      </c>
      <c r="Y281" s="7" t="s">
        <v>724</v>
      </c>
      <c r="Z281" s="7" t="s">
        <v>854</v>
      </c>
      <c r="AA281" s="7"/>
      <c r="AB281" s="7"/>
      <c r="AC281" s="7" t="s">
        <v>39</v>
      </c>
      <c r="AD281" s="7"/>
      <c r="AE281" s="7" t="s">
        <v>624</v>
      </c>
      <c r="AF281" s="7" t="s">
        <v>50</v>
      </c>
      <c r="AG281" s="7" t="s">
        <v>51</v>
      </c>
      <c r="AH281" s="7" t="s">
        <v>52</v>
      </c>
    </row>
    <row r="282" spans="1:34" ht="9.75" customHeight="1" x14ac:dyDescent="0.2">
      <c r="A282" s="7" t="s">
        <v>37</v>
      </c>
      <c r="B282" s="7" t="s">
        <v>38</v>
      </c>
      <c r="C282" s="7"/>
      <c r="D282" s="7" t="s">
        <v>606</v>
      </c>
      <c r="E282" s="8">
        <v>1</v>
      </c>
      <c r="F282" s="7" t="s">
        <v>61</v>
      </c>
      <c r="G282" s="7"/>
      <c r="H282" s="9"/>
      <c r="I282" s="9"/>
      <c r="J282" s="9"/>
      <c r="K282" s="9"/>
      <c r="L282" s="10">
        <v>1352000</v>
      </c>
      <c r="M282" s="9"/>
      <c r="N282" s="10">
        <v>1352000</v>
      </c>
      <c r="O282" s="9"/>
      <c r="P282" s="10"/>
      <c r="Q282" s="10"/>
      <c r="R282" s="10"/>
      <c r="S282" s="7" t="s">
        <v>54</v>
      </c>
      <c r="T282" s="7" t="s">
        <v>607</v>
      </c>
      <c r="U282" s="7" t="s">
        <v>44</v>
      </c>
      <c r="V282" s="7" t="s">
        <v>45</v>
      </c>
      <c r="W282" s="7" t="s">
        <v>46</v>
      </c>
      <c r="X282" s="7" t="s">
        <v>47</v>
      </c>
      <c r="Y282" s="7" t="s">
        <v>608</v>
      </c>
      <c r="Z282" s="7" t="s">
        <v>855</v>
      </c>
      <c r="AA282" s="7"/>
      <c r="AB282" s="7"/>
      <c r="AC282" s="7" t="s">
        <v>39</v>
      </c>
      <c r="AD282" s="7"/>
      <c r="AE282" s="7"/>
      <c r="AF282" s="7" t="s">
        <v>50</v>
      </c>
      <c r="AG282" s="7" t="s">
        <v>51</v>
      </c>
      <c r="AH282" s="7" t="s">
        <v>52</v>
      </c>
    </row>
    <row r="283" spans="1:34" ht="9.75" customHeight="1" x14ac:dyDescent="0.2">
      <c r="A283" s="7" t="s">
        <v>37</v>
      </c>
      <c r="B283" s="7" t="s">
        <v>38</v>
      </c>
      <c r="C283" s="7"/>
      <c r="D283" s="7" t="s">
        <v>610</v>
      </c>
      <c r="E283" s="8">
        <v>1</v>
      </c>
      <c r="F283" s="7" t="s">
        <v>61</v>
      </c>
      <c r="G283" s="7"/>
      <c r="H283" s="9"/>
      <c r="I283" s="9"/>
      <c r="J283" s="9"/>
      <c r="K283" s="9"/>
      <c r="L283" s="10">
        <v>0</v>
      </c>
      <c r="M283" s="9"/>
      <c r="N283" s="10">
        <v>0</v>
      </c>
      <c r="O283" s="9"/>
      <c r="P283" s="10"/>
      <c r="Q283" s="10"/>
      <c r="R283" s="10"/>
      <c r="S283" s="7" t="s">
        <v>54</v>
      </c>
      <c r="T283" s="7" t="s">
        <v>607</v>
      </c>
      <c r="U283" s="7" t="s">
        <v>44</v>
      </c>
      <c r="V283" s="7" t="s">
        <v>45</v>
      </c>
      <c r="W283" s="7" t="s">
        <v>46</v>
      </c>
      <c r="X283" s="7" t="s">
        <v>47</v>
      </c>
      <c r="Y283" s="7" t="s">
        <v>611</v>
      </c>
      <c r="Z283" s="7" t="s">
        <v>855</v>
      </c>
      <c r="AA283" s="7"/>
      <c r="AB283" s="7"/>
      <c r="AC283" s="7" t="s">
        <v>39</v>
      </c>
      <c r="AD283" s="7"/>
      <c r="AE283" s="7"/>
      <c r="AF283" s="7" t="s">
        <v>50</v>
      </c>
      <c r="AG283" s="7" t="s">
        <v>51</v>
      </c>
      <c r="AH283" s="7" t="s">
        <v>52</v>
      </c>
    </row>
    <row r="284" spans="1:34" ht="9.75" customHeight="1" x14ac:dyDescent="0.2">
      <c r="A284" s="7" t="s">
        <v>37</v>
      </c>
      <c r="B284" s="7" t="s">
        <v>38</v>
      </c>
      <c r="C284" s="7"/>
      <c r="D284" s="7" t="s">
        <v>613</v>
      </c>
      <c r="E284" s="8">
        <v>1</v>
      </c>
      <c r="F284" s="7" t="s">
        <v>61</v>
      </c>
      <c r="G284" s="7"/>
      <c r="H284" s="9"/>
      <c r="I284" s="9"/>
      <c r="J284" s="9"/>
      <c r="K284" s="9"/>
      <c r="L284" s="10">
        <v>51989</v>
      </c>
      <c r="M284" s="9"/>
      <c r="N284" s="10">
        <v>51989</v>
      </c>
      <c r="O284" s="9"/>
      <c r="P284" s="10"/>
      <c r="Q284" s="10"/>
      <c r="R284" s="10"/>
      <c r="S284" s="7" t="s">
        <v>54</v>
      </c>
      <c r="T284" s="7" t="s">
        <v>607</v>
      </c>
      <c r="U284" s="7" t="s">
        <v>44</v>
      </c>
      <c r="V284" s="7" t="s">
        <v>45</v>
      </c>
      <c r="W284" s="7" t="s">
        <v>46</v>
      </c>
      <c r="X284" s="7" t="s">
        <v>47</v>
      </c>
      <c r="Y284" s="7" t="s">
        <v>614</v>
      </c>
      <c r="Z284" s="7" t="s">
        <v>855</v>
      </c>
      <c r="AA284" s="7"/>
      <c r="AB284" s="7"/>
      <c r="AC284" s="7" t="s">
        <v>39</v>
      </c>
      <c r="AD284" s="7"/>
      <c r="AE284" s="7"/>
      <c r="AF284" s="7" t="s">
        <v>50</v>
      </c>
      <c r="AG284" s="7" t="s">
        <v>51</v>
      </c>
      <c r="AH284" s="7" t="s">
        <v>52</v>
      </c>
    </row>
    <row r="285" spans="1:34" ht="9.75" customHeight="1" x14ac:dyDescent="0.2">
      <c r="A285" s="7" t="s">
        <v>37</v>
      </c>
      <c r="B285" s="7" t="s">
        <v>38</v>
      </c>
      <c r="C285" s="7"/>
      <c r="D285" s="7" t="s">
        <v>634</v>
      </c>
      <c r="E285" s="8">
        <v>1</v>
      </c>
      <c r="F285" s="7" t="s">
        <v>61</v>
      </c>
      <c r="G285" s="7"/>
      <c r="H285" s="9"/>
      <c r="I285" s="9"/>
      <c r="J285" s="9"/>
      <c r="K285" s="9"/>
      <c r="L285" s="10">
        <v>0</v>
      </c>
      <c r="M285" s="9"/>
      <c r="N285" s="10">
        <v>0</v>
      </c>
      <c r="O285" s="9"/>
      <c r="P285" s="10"/>
      <c r="Q285" s="10"/>
      <c r="R285" s="10"/>
      <c r="S285" s="7" t="s">
        <v>54</v>
      </c>
      <c r="T285" s="7" t="s">
        <v>607</v>
      </c>
      <c r="U285" s="7" t="s">
        <v>44</v>
      </c>
      <c r="V285" s="7" t="s">
        <v>45</v>
      </c>
      <c r="W285" s="7" t="s">
        <v>46</v>
      </c>
      <c r="X285" s="7" t="s">
        <v>47</v>
      </c>
      <c r="Y285" s="7" t="s">
        <v>635</v>
      </c>
      <c r="Z285" s="7" t="s">
        <v>855</v>
      </c>
      <c r="AA285" s="7"/>
      <c r="AB285" s="7"/>
      <c r="AC285" s="7" t="s">
        <v>39</v>
      </c>
      <c r="AD285" s="7"/>
      <c r="AE285" s="7"/>
      <c r="AF285" s="7" t="s">
        <v>50</v>
      </c>
      <c r="AG285" s="7" t="s">
        <v>51</v>
      </c>
      <c r="AH285" s="7" t="s">
        <v>52</v>
      </c>
    </row>
    <row r="286" spans="1:34" ht="9.75" customHeight="1" x14ac:dyDescent="0.2">
      <c r="A286" s="7" t="s">
        <v>37</v>
      </c>
      <c r="B286" s="7" t="s">
        <v>38</v>
      </c>
      <c r="C286" s="7"/>
      <c r="D286" s="7" t="s">
        <v>636</v>
      </c>
      <c r="E286" s="8">
        <v>1</v>
      </c>
      <c r="F286" s="7" t="s">
        <v>61</v>
      </c>
      <c r="G286" s="7"/>
      <c r="H286" s="9"/>
      <c r="I286" s="9"/>
      <c r="J286" s="9"/>
      <c r="K286" s="9"/>
      <c r="L286" s="10">
        <v>203000</v>
      </c>
      <c r="M286" s="9"/>
      <c r="N286" s="10">
        <v>203000</v>
      </c>
      <c r="O286" s="9"/>
      <c r="P286" s="10"/>
      <c r="Q286" s="10"/>
      <c r="R286" s="10"/>
      <c r="S286" s="7" t="s">
        <v>54</v>
      </c>
      <c r="T286" s="7" t="s">
        <v>607</v>
      </c>
      <c r="U286" s="7" t="s">
        <v>44</v>
      </c>
      <c r="V286" s="7" t="s">
        <v>45</v>
      </c>
      <c r="W286" s="7" t="s">
        <v>46</v>
      </c>
      <c r="X286" s="7" t="s">
        <v>47</v>
      </c>
      <c r="Y286" s="7" t="s">
        <v>637</v>
      </c>
      <c r="Z286" s="7" t="s">
        <v>855</v>
      </c>
      <c r="AA286" s="7"/>
      <c r="AB286" s="7"/>
      <c r="AC286" s="7" t="s">
        <v>39</v>
      </c>
      <c r="AD286" s="7"/>
      <c r="AE286" s="7"/>
      <c r="AF286" s="7" t="s">
        <v>50</v>
      </c>
      <c r="AG286" s="7" t="s">
        <v>51</v>
      </c>
      <c r="AH286" s="7" t="s">
        <v>52</v>
      </c>
    </row>
    <row r="287" spans="1:34" ht="9.75" customHeight="1" x14ac:dyDescent="0.2">
      <c r="A287" s="7" t="s">
        <v>37</v>
      </c>
      <c r="B287" s="7" t="s">
        <v>38</v>
      </c>
      <c r="C287" s="7"/>
      <c r="D287" s="7" t="s">
        <v>638</v>
      </c>
      <c r="E287" s="8">
        <v>1</v>
      </c>
      <c r="F287" s="7" t="s">
        <v>61</v>
      </c>
      <c r="G287" s="7"/>
      <c r="H287" s="9"/>
      <c r="I287" s="9"/>
      <c r="J287" s="9"/>
      <c r="K287" s="9"/>
      <c r="L287" s="10">
        <v>150730</v>
      </c>
      <c r="M287" s="9"/>
      <c r="N287" s="10">
        <v>150730</v>
      </c>
      <c r="O287" s="9"/>
      <c r="P287" s="10"/>
      <c r="Q287" s="10"/>
      <c r="R287" s="10"/>
      <c r="S287" s="7" t="s">
        <v>54</v>
      </c>
      <c r="T287" s="7" t="s">
        <v>607</v>
      </c>
      <c r="U287" s="7" t="s">
        <v>44</v>
      </c>
      <c r="V287" s="7" t="s">
        <v>45</v>
      </c>
      <c r="W287" s="7" t="s">
        <v>46</v>
      </c>
      <c r="X287" s="7" t="s">
        <v>47</v>
      </c>
      <c r="Y287" s="7" t="s">
        <v>639</v>
      </c>
      <c r="Z287" s="7" t="s">
        <v>855</v>
      </c>
      <c r="AA287" s="7"/>
      <c r="AB287" s="7"/>
      <c r="AC287" s="7" t="s">
        <v>39</v>
      </c>
      <c r="AD287" s="7"/>
      <c r="AE287" s="7"/>
      <c r="AF287" s="7" t="s">
        <v>50</v>
      </c>
      <c r="AG287" s="7" t="s">
        <v>51</v>
      </c>
      <c r="AH287" s="7" t="s">
        <v>52</v>
      </c>
    </row>
    <row r="288" spans="1:34" ht="9.75" customHeight="1" x14ac:dyDescent="0.2">
      <c r="A288" s="7" t="s">
        <v>37</v>
      </c>
      <c r="B288" s="7" t="s">
        <v>38</v>
      </c>
      <c r="C288" s="7"/>
      <c r="D288" s="7" t="s">
        <v>653</v>
      </c>
      <c r="E288" s="8">
        <v>1</v>
      </c>
      <c r="F288" s="7" t="s">
        <v>61</v>
      </c>
      <c r="G288" s="7"/>
      <c r="H288" s="9"/>
      <c r="I288" s="9"/>
      <c r="J288" s="9"/>
      <c r="K288" s="9"/>
      <c r="L288" s="10">
        <v>0</v>
      </c>
      <c r="M288" s="9"/>
      <c r="N288" s="10">
        <v>0</v>
      </c>
      <c r="O288" s="9"/>
      <c r="P288" s="10"/>
      <c r="Q288" s="10"/>
      <c r="R288" s="10"/>
      <c r="S288" s="7" t="s">
        <v>54</v>
      </c>
      <c r="T288" s="7" t="s">
        <v>607</v>
      </c>
      <c r="U288" s="7" t="s">
        <v>44</v>
      </c>
      <c r="V288" s="7" t="s">
        <v>45</v>
      </c>
      <c r="W288" s="7" t="s">
        <v>46</v>
      </c>
      <c r="X288" s="7" t="s">
        <v>47</v>
      </c>
      <c r="Y288" s="7" t="s">
        <v>654</v>
      </c>
      <c r="Z288" s="7" t="s">
        <v>855</v>
      </c>
      <c r="AA288" s="7"/>
      <c r="AB288" s="7"/>
      <c r="AC288" s="7" t="s">
        <v>39</v>
      </c>
      <c r="AD288" s="7"/>
      <c r="AE288" s="7"/>
      <c r="AF288" s="7" t="s">
        <v>50</v>
      </c>
      <c r="AG288" s="7" t="s">
        <v>51</v>
      </c>
      <c r="AH288" s="7" t="s">
        <v>52</v>
      </c>
    </row>
    <row r="289" spans="1:34" ht="9.75" customHeight="1" x14ac:dyDescent="0.2">
      <c r="A289" s="7" t="s">
        <v>37</v>
      </c>
      <c r="B289" s="7" t="s">
        <v>38</v>
      </c>
      <c r="C289" s="7"/>
      <c r="D289" s="7" t="s">
        <v>655</v>
      </c>
      <c r="E289" s="8">
        <v>1</v>
      </c>
      <c r="F289" s="7" t="s">
        <v>61</v>
      </c>
      <c r="G289" s="7"/>
      <c r="H289" s="9"/>
      <c r="I289" s="9"/>
      <c r="J289" s="9"/>
      <c r="K289" s="9"/>
      <c r="L289" s="10">
        <v>0</v>
      </c>
      <c r="M289" s="9"/>
      <c r="N289" s="10">
        <v>0</v>
      </c>
      <c r="O289" s="9"/>
      <c r="P289" s="10"/>
      <c r="Q289" s="10"/>
      <c r="R289" s="10"/>
      <c r="S289" s="7" t="s">
        <v>54</v>
      </c>
      <c r="T289" s="7" t="s">
        <v>607</v>
      </c>
      <c r="U289" s="7" t="s">
        <v>44</v>
      </c>
      <c r="V289" s="7" t="s">
        <v>45</v>
      </c>
      <c r="W289" s="7" t="s">
        <v>46</v>
      </c>
      <c r="X289" s="7" t="s">
        <v>47</v>
      </c>
      <c r="Y289" s="7" t="s">
        <v>656</v>
      </c>
      <c r="Z289" s="7" t="s">
        <v>855</v>
      </c>
      <c r="AA289" s="7"/>
      <c r="AB289" s="7"/>
      <c r="AC289" s="7" t="s">
        <v>39</v>
      </c>
      <c r="AD289" s="7"/>
      <c r="AE289" s="7"/>
      <c r="AF289" s="7" t="s">
        <v>50</v>
      </c>
      <c r="AG289" s="7" t="s">
        <v>51</v>
      </c>
      <c r="AH289" s="7" t="s">
        <v>52</v>
      </c>
    </row>
    <row r="290" spans="1:34" ht="9.75" customHeight="1" x14ac:dyDescent="0.2">
      <c r="A290" s="7" t="s">
        <v>37</v>
      </c>
      <c r="B290" s="7" t="s">
        <v>38</v>
      </c>
      <c r="C290" s="7"/>
      <c r="D290" s="7" t="s">
        <v>657</v>
      </c>
      <c r="E290" s="8">
        <v>1</v>
      </c>
      <c r="F290" s="7" t="s">
        <v>61</v>
      </c>
      <c r="G290" s="7"/>
      <c r="H290" s="9"/>
      <c r="I290" s="9"/>
      <c r="J290" s="9"/>
      <c r="K290" s="9"/>
      <c r="L290" s="10">
        <v>36374</v>
      </c>
      <c r="M290" s="9"/>
      <c r="N290" s="10">
        <v>36374</v>
      </c>
      <c r="O290" s="9"/>
      <c r="P290" s="10"/>
      <c r="Q290" s="10"/>
      <c r="R290" s="10"/>
      <c r="S290" s="7" t="s">
        <v>54</v>
      </c>
      <c r="T290" s="7" t="s">
        <v>607</v>
      </c>
      <c r="U290" s="7" t="s">
        <v>44</v>
      </c>
      <c r="V290" s="7" t="s">
        <v>45</v>
      </c>
      <c r="W290" s="7" t="s">
        <v>46</v>
      </c>
      <c r="X290" s="7" t="s">
        <v>47</v>
      </c>
      <c r="Y290" s="7" t="s">
        <v>658</v>
      </c>
      <c r="Z290" s="7" t="s">
        <v>855</v>
      </c>
      <c r="AA290" s="7"/>
      <c r="AB290" s="7"/>
      <c r="AC290" s="7" t="s">
        <v>39</v>
      </c>
      <c r="AD290" s="7"/>
      <c r="AE290" s="7"/>
      <c r="AF290" s="7" t="s">
        <v>50</v>
      </c>
      <c r="AG290" s="7" t="s">
        <v>51</v>
      </c>
      <c r="AH290" s="7" t="s">
        <v>52</v>
      </c>
    </row>
    <row r="291" spans="1:34" ht="9.75" customHeight="1" x14ac:dyDescent="0.2">
      <c r="A291" s="7" t="s">
        <v>37</v>
      </c>
      <c r="B291" s="7" t="s">
        <v>38</v>
      </c>
      <c r="C291" s="7"/>
      <c r="D291" s="7" t="s">
        <v>659</v>
      </c>
      <c r="E291" s="8">
        <v>1</v>
      </c>
      <c r="F291" s="7" t="s">
        <v>61</v>
      </c>
      <c r="G291" s="7"/>
      <c r="H291" s="9"/>
      <c r="I291" s="9"/>
      <c r="J291" s="9"/>
      <c r="K291" s="9"/>
      <c r="L291" s="10">
        <v>139961</v>
      </c>
      <c r="M291" s="9"/>
      <c r="N291" s="10">
        <v>139961</v>
      </c>
      <c r="O291" s="9"/>
      <c r="P291" s="10"/>
      <c r="Q291" s="10"/>
      <c r="R291" s="10"/>
      <c r="S291" s="7" t="s">
        <v>54</v>
      </c>
      <c r="T291" s="7" t="s">
        <v>607</v>
      </c>
      <c r="U291" s="7" t="s">
        <v>44</v>
      </c>
      <c r="V291" s="7" t="s">
        <v>45</v>
      </c>
      <c r="W291" s="7" t="s">
        <v>46</v>
      </c>
      <c r="X291" s="7" t="s">
        <v>47</v>
      </c>
      <c r="Y291" s="7" t="s">
        <v>660</v>
      </c>
      <c r="Z291" s="7" t="s">
        <v>855</v>
      </c>
      <c r="AA291" s="7"/>
      <c r="AB291" s="7"/>
      <c r="AC291" s="7" t="s">
        <v>39</v>
      </c>
      <c r="AD291" s="7"/>
      <c r="AE291" s="7"/>
      <c r="AF291" s="7" t="s">
        <v>50</v>
      </c>
      <c r="AG291" s="7" t="s">
        <v>51</v>
      </c>
      <c r="AH291" s="7" t="s">
        <v>52</v>
      </c>
    </row>
    <row r="292" spans="1:34" ht="9.75" customHeight="1" x14ac:dyDescent="0.2">
      <c r="A292" s="7" t="s">
        <v>37</v>
      </c>
      <c r="B292" s="7" t="s">
        <v>38</v>
      </c>
      <c r="C292" s="7"/>
      <c r="D292" s="7" t="s">
        <v>661</v>
      </c>
      <c r="E292" s="8">
        <v>1</v>
      </c>
      <c r="F292" s="7" t="s">
        <v>61</v>
      </c>
      <c r="G292" s="7"/>
      <c r="H292" s="9"/>
      <c r="I292" s="9"/>
      <c r="J292" s="9"/>
      <c r="K292" s="9"/>
      <c r="L292" s="10">
        <v>64025</v>
      </c>
      <c r="M292" s="9"/>
      <c r="N292" s="10">
        <v>64025</v>
      </c>
      <c r="O292" s="9"/>
      <c r="P292" s="10"/>
      <c r="Q292" s="10"/>
      <c r="R292" s="10"/>
      <c r="S292" s="7" t="s">
        <v>54</v>
      </c>
      <c r="T292" s="7" t="s">
        <v>607</v>
      </c>
      <c r="U292" s="7" t="s">
        <v>44</v>
      </c>
      <c r="V292" s="7" t="s">
        <v>45</v>
      </c>
      <c r="W292" s="7" t="s">
        <v>46</v>
      </c>
      <c r="X292" s="7" t="s">
        <v>47</v>
      </c>
      <c r="Y292" s="7" t="s">
        <v>662</v>
      </c>
      <c r="Z292" s="7" t="s">
        <v>855</v>
      </c>
      <c r="AA292" s="7"/>
      <c r="AB292" s="7"/>
      <c r="AC292" s="7" t="s">
        <v>39</v>
      </c>
      <c r="AD292" s="7"/>
      <c r="AE292" s="7"/>
      <c r="AF292" s="7" t="s">
        <v>50</v>
      </c>
      <c r="AG292" s="7" t="s">
        <v>51</v>
      </c>
      <c r="AH292" s="7" t="s">
        <v>52</v>
      </c>
    </row>
    <row r="293" spans="1:34" ht="9.75" customHeight="1" x14ac:dyDescent="0.2">
      <c r="A293" s="7" t="s">
        <v>37</v>
      </c>
      <c r="B293" s="7" t="s">
        <v>38</v>
      </c>
      <c r="C293" s="7"/>
      <c r="D293" s="7" t="s">
        <v>856</v>
      </c>
      <c r="E293" s="8">
        <v>1</v>
      </c>
      <c r="F293" s="7" t="s">
        <v>61</v>
      </c>
      <c r="G293" s="7"/>
      <c r="H293" s="9"/>
      <c r="I293" s="9"/>
      <c r="J293" s="9"/>
      <c r="K293" s="9"/>
      <c r="L293" s="10">
        <v>0</v>
      </c>
      <c r="M293" s="9"/>
      <c r="N293" s="10">
        <v>0</v>
      </c>
      <c r="O293" s="9"/>
      <c r="P293" s="10"/>
      <c r="Q293" s="10"/>
      <c r="R293" s="10"/>
      <c r="S293" s="7" t="s">
        <v>54</v>
      </c>
      <c r="T293" s="7" t="s">
        <v>607</v>
      </c>
      <c r="U293" s="7" t="s">
        <v>44</v>
      </c>
      <c r="V293" s="7" t="s">
        <v>45</v>
      </c>
      <c r="W293" s="7" t="s">
        <v>46</v>
      </c>
      <c r="X293" s="7" t="s">
        <v>47</v>
      </c>
      <c r="Y293" s="7" t="s">
        <v>857</v>
      </c>
      <c r="Z293" s="7" t="s">
        <v>855</v>
      </c>
      <c r="AA293" s="7"/>
      <c r="AB293" s="7"/>
      <c r="AC293" s="7" t="s">
        <v>39</v>
      </c>
      <c r="AD293" s="7"/>
      <c r="AE293" s="7"/>
      <c r="AF293" s="7" t="s">
        <v>50</v>
      </c>
      <c r="AG293" s="7" t="s">
        <v>51</v>
      </c>
      <c r="AH293" s="7" t="s">
        <v>52</v>
      </c>
    </row>
    <row r="294" spans="1:34" ht="9.75" customHeight="1" x14ac:dyDescent="0.2">
      <c r="A294" s="7" t="s">
        <v>37</v>
      </c>
      <c r="B294" s="7" t="s">
        <v>38</v>
      </c>
      <c r="C294" s="7"/>
      <c r="D294" s="7" t="s">
        <v>858</v>
      </c>
      <c r="E294" s="8">
        <v>1</v>
      </c>
      <c r="F294" s="7" t="s">
        <v>61</v>
      </c>
      <c r="G294" s="7"/>
      <c r="H294" s="9"/>
      <c r="I294" s="9"/>
      <c r="J294" s="9"/>
      <c r="K294" s="9"/>
      <c r="L294" s="10">
        <v>0</v>
      </c>
      <c r="M294" s="9"/>
      <c r="N294" s="10">
        <v>0</v>
      </c>
      <c r="O294" s="9"/>
      <c r="P294" s="10"/>
      <c r="Q294" s="10"/>
      <c r="R294" s="10"/>
      <c r="S294" s="7" t="s">
        <v>54</v>
      </c>
      <c r="T294" s="7" t="s">
        <v>607</v>
      </c>
      <c r="U294" s="7" t="s">
        <v>44</v>
      </c>
      <c r="V294" s="7" t="s">
        <v>45</v>
      </c>
      <c r="W294" s="7" t="s">
        <v>46</v>
      </c>
      <c r="X294" s="7" t="s">
        <v>47</v>
      </c>
      <c r="Y294" s="7" t="s">
        <v>859</v>
      </c>
      <c r="Z294" s="7" t="s">
        <v>855</v>
      </c>
      <c r="AA294" s="7"/>
      <c r="AB294" s="7"/>
      <c r="AC294" s="7" t="s">
        <v>39</v>
      </c>
      <c r="AD294" s="7"/>
      <c r="AE294" s="7"/>
      <c r="AF294" s="7" t="s">
        <v>50</v>
      </c>
      <c r="AG294" s="7" t="s">
        <v>51</v>
      </c>
      <c r="AH294" s="7" t="s">
        <v>52</v>
      </c>
    </row>
    <row r="295" spans="1:34" ht="9.75" customHeight="1" x14ac:dyDescent="0.2">
      <c r="A295" s="7" t="s">
        <v>37</v>
      </c>
      <c r="B295" s="7" t="s">
        <v>38</v>
      </c>
      <c r="C295" s="7"/>
      <c r="D295" s="7" t="s">
        <v>860</v>
      </c>
      <c r="E295" s="8">
        <v>1</v>
      </c>
      <c r="F295" s="7" t="s">
        <v>61</v>
      </c>
      <c r="G295" s="7"/>
      <c r="H295" s="9"/>
      <c r="I295" s="9"/>
      <c r="J295" s="9"/>
      <c r="K295" s="9"/>
      <c r="L295" s="10">
        <v>0</v>
      </c>
      <c r="M295" s="9"/>
      <c r="N295" s="10">
        <v>0</v>
      </c>
      <c r="O295" s="9"/>
      <c r="P295" s="10"/>
      <c r="Q295" s="10"/>
      <c r="R295" s="10"/>
      <c r="S295" s="7" t="s">
        <v>54</v>
      </c>
      <c r="T295" s="7" t="s">
        <v>607</v>
      </c>
      <c r="U295" s="7" t="s">
        <v>44</v>
      </c>
      <c r="V295" s="7" t="s">
        <v>45</v>
      </c>
      <c r="W295" s="7" t="s">
        <v>46</v>
      </c>
      <c r="X295" s="7" t="s">
        <v>47</v>
      </c>
      <c r="Y295" s="7" t="s">
        <v>861</v>
      </c>
      <c r="Z295" s="7" t="s">
        <v>855</v>
      </c>
      <c r="AA295" s="7"/>
      <c r="AB295" s="7"/>
      <c r="AC295" s="7" t="s">
        <v>39</v>
      </c>
      <c r="AD295" s="7"/>
      <c r="AE295" s="7"/>
      <c r="AF295" s="7" t="s">
        <v>50</v>
      </c>
      <c r="AG295" s="7" t="s">
        <v>51</v>
      </c>
      <c r="AH295" s="7" t="s">
        <v>52</v>
      </c>
    </row>
    <row r="296" spans="1:34" ht="9.75" customHeight="1" x14ac:dyDescent="0.2">
      <c r="A296" s="7" t="s">
        <v>37</v>
      </c>
      <c r="B296" s="7" t="s">
        <v>38</v>
      </c>
      <c r="C296" s="7"/>
      <c r="D296" s="7" t="s">
        <v>677</v>
      </c>
      <c r="E296" s="8">
        <v>1</v>
      </c>
      <c r="F296" s="7" t="s">
        <v>61</v>
      </c>
      <c r="G296" s="7"/>
      <c r="H296" s="9"/>
      <c r="I296" s="9"/>
      <c r="J296" s="9"/>
      <c r="K296" s="9"/>
      <c r="L296" s="10">
        <v>0</v>
      </c>
      <c r="M296" s="9"/>
      <c r="N296" s="10">
        <v>0</v>
      </c>
      <c r="O296" s="9"/>
      <c r="P296" s="10"/>
      <c r="Q296" s="10"/>
      <c r="R296" s="10"/>
      <c r="S296" s="7" t="s">
        <v>54</v>
      </c>
      <c r="T296" s="7" t="s">
        <v>607</v>
      </c>
      <c r="U296" s="7" t="s">
        <v>44</v>
      </c>
      <c r="V296" s="7" t="s">
        <v>45</v>
      </c>
      <c r="W296" s="7" t="s">
        <v>46</v>
      </c>
      <c r="X296" s="7" t="s">
        <v>47</v>
      </c>
      <c r="Y296" s="7" t="s">
        <v>678</v>
      </c>
      <c r="Z296" s="7" t="s">
        <v>862</v>
      </c>
      <c r="AA296" s="7"/>
      <c r="AB296" s="7"/>
      <c r="AC296" s="7" t="s">
        <v>39</v>
      </c>
      <c r="AD296" s="7"/>
      <c r="AE296" s="7"/>
      <c r="AF296" s="7" t="s">
        <v>50</v>
      </c>
      <c r="AG296" s="7" t="s">
        <v>51</v>
      </c>
      <c r="AH296" s="7" t="s">
        <v>52</v>
      </c>
    </row>
    <row r="297" spans="1:34" ht="9.75" customHeight="1" x14ac:dyDescent="0.2">
      <c r="A297" s="7" t="s">
        <v>37</v>
      </c>
      <c r="B297" s="7" t="s">
        <v>38</v>
      </c>
      <c r="C297" s="7"/>
      <c r="D297" s="7" t="s">
        <v>679</v>
      </c>
      <c r="E297" s="8">
        <v>1</v>
      </c>
      <c r="F297" s="7" t="s">
        <v>61</v>
      </c>
      <c r="G297" s="7"/>
      <c r="H297" s="9"/>
      <c r="I297" s="9"/>
      <c r="J297" s="9"/>
      <c r="K297" s="9"/>
      <c r="L297" s="10">
        <v>449046</v>
      </c>
      <c r="M297" s="9"/>
      <c r="N297" s="10">
        <v>449046</v>
      </c>
      <c r="O297" s="9"/>
      <c r="P297" s="10"/>
      <c r="Q297" s="10"/>
      <c r="R297" s="10"/>
      <c r="S297" s="7" t="s">
        <v>54</v>
      </c>
      <c r="T297" s="7" t="s">
        <v>607</v>
      </c>
      <c r="U297" s="7" t="s">
        <v>44</v>
      </c>
      <c r="V297" s="7" t="s">
        <v>45</v>
      </c>
      <c r="W297" s="7" t="s">
        <v>46</v>
      </c>
      <c r="X297" s="7" t="s">
        <v>47</v>
      </c>
      <c r="Y297" s="7" t="s">
        <v>680</v>
      </c>
      <c r="Z297" s="7" t="s">
        <v>862</v>
      </c>
      <c r="AA297" s="7"/>
      <c r="AB297" s="7"/>
      <c r="AC297" s="7" t="s">
        <v>39</v>
      </c>
      <c r="AD297" s="7"/>
      <c r="AE297" s="7"/>
      <c r="AF297" s="7" t="s">
        <v>50</v>
      </c>
      <c r="AG297" s="7" t="s">
        <v>51</v>
      </c>
      <c r="AH297" s="7" t="s">
        <v>52</v>
      </c>
    </row>
    <row r="298" spans="1:34" ht="9.75" customHeight="1" x14ac:dyDescent="0.2">
      <c r="A298" s="7" t="s">
        <v>37</v>
      </c>
      <c r="B298" s="7" t="s">
        <v>38</v>
      </c>
      <c r="C298" s="7"/>
      <c r="D298" s="7" t="s">
        <v>681</v>
      </c>
      <c r="E298" s="8">
        <v>1</v>
      </c>
      <c r="F298" s="7" t="s">
        <v>61</v>
      </c>
      <c r="G298" s="7"/>
      <c r="H298" s="9"/>
      <c r="I298" s="9"/>
      <c r="J298" s="9"/>
      <c r="K298" s="9"/>
      <c r="L298" s="10">
        <v>100394</v>
      </c>
      <c r="M298" s="9"/>
      <c r="N298" s="10">
        <v>100394</v>
      </c>
      <c r="O298" s="9"/>
      <c r="P298" s="10"/>
      <c r="Q298" s="10"/>
      <c r="R298" s="10"/>
      <c r="S298" s="7" t="s">
        <v>54</v>
      </c>
      <c r="T298" s="7" t="s">
        <v>607</v>
      </c>
      <c r="U298" s="7" t="s">
        <v>44</v>
      </c>
      <c r="V298" s="7" t="s">
        <v>45</v>
      </c>
      <c r="W298" s="7" t="s">
        <v>46</v>
      </c>
      <c r="X298" s="7" t="s">
        <v>47</v>
      </c>
      <c r="Y298" s="7" t="s">
        <v>682</v>
      </c>
      <c r="Z298" s="7" t="s">
        <v>862</v>
      </c>
      <c r="AA298" s="7"/>
      <c r="AB298" s="7"/>
      <c r="AC298" s="7" t="s">
        <v>39</v>
      </c>
      <c r="AD298" s="7"/>
      <c r="AE298" s="7"/>
      <c r="AF298" s="7" t="s">
        <v>50</v>
      </c>
      <c r="AG298" s="7" t="s">
        <v>51</v>
      </c>
      <c r="AH298" s="7" t="s">
        <v>52</v>
      </c>
    </row>
    <row r="299" spans="1:34" ht="9.75" customHeight="1" x14ac:dyDescent="0.2">
      <c r="A299" s="7" t="s">
        <v>37</v>
      </c>
      <c r="B299" s="7" t="s">
        <v>38</v>
      </c>
      <c r="C299" s="7"/>
      <c r="D299" s="7" t="s">
        <v>693</v>
      </c>
      <c r="E299" s="8">
        <v>1</v>
      </c>
      <c r="F299" s="7" t="s">
        <v>61</v>
      </c>
      <c r="G299" s="7"/>
      <c r="H299" s="9"/>
      <c r="I299" s="9"/>
      <c r="J299" s="9"/>
      <c r="K299" s="9"/>
      <c r="L299" s="10">
        <v>0</v>
      </c>
      <c r="M299" s="9"/>
      <c r="N299" s="10">
        <v>0</v>
      </c>
      <c r="O299" s="9"/>
      <c r="P299" s="10"/>
      <c r="Q299" s="10"/>
      <c r="R299" s="10"/>
      <c r="S299" s="7" t="s">
        <v>54</v>
      </c>
      <c r="T299" s="7" t="s">
        <v>607</v>
      </c>
      <c r="U299" s="7" t="s">
        <v>44</v>
      </c>
      <c r="V299" s="7" t="s">
        <v>45</v>
      </c>
      <c r="W299" s="7" t="s">
        <v>46</v>
      </c>
      <c r="X299" s="7" t="s">
        <v>47</v>
      </c>
      <c r="Y299" s="7" t="s">
        <v>694</v>
      </c>
      <c r="Z299" s="7" t="s">
        <v>862</v>
      </c>
      <c r="AA299" s="7"/>
      <c r="AB299" s="7"/>
      <c r="AC299" s="7" t="s">
        <v>39</v>
      </c>
      <c r="AD299" s="7"/>
      <c r="AE299" s="7"/>
      <c r="AF299" s="7" t="s">
        <v>50</v>
      </c>
      <c r="AG299" s="7" t="s">
        <v>51</v>
      </c>
      <c r="AH299" s="7" t="s">
        <v>52</v>
      </c>
    </row>
    <row r="300" spans="1:34" ht="9.75" customHeight="1" x14ac:dyDescent="0.2">
      <c r="A300" s="7" t="s">
        <v>37</v>
      </c>
      <c r="B300" s="7" t="s">
        <v>38</v>
      </c>
      <c r="C300" s="7"/>
      <c r="D300" s="7" t="s">
        <v>695</v>
      </c>
      <c r="E300" s="8">
        <v>1</v>
      </c>
      <c r="F300" s="7" t="s">
        <v>61</v>
      </c>
      <c r="G300" s="7"/>
      <c r="H300" s="9"/>
      <c r="I300" s="9"/>
      <c r="J300" s="9"/>
      <c r="K300" s="9"/>
      <c r="L300" s="10">
        <v>0</v>
      </c>
      <c r="M300" s="9"/>
      <c r="N300" s="10">
        <v>0</v>
      </c>
      <c r="O300" s="9"/>
      <c r="P300" s="10"/>
      <c r="Q300" s="10"/>
      <c r="R300" s="10"/>
      <c r="S300" s="7" t="s">
        <v>54</v>
      </c>
      <c r="T300" s="7" t="s">
        <v>607</v>
      </c>
      <c r="U300" s="7" t="s">
        <v>44</v>
      </c>
      <c r="V300" s="7" t="s">
        <v>45</v>
      </c>
      <c r="W300" s="7" t="s">
        <v>46</v>
      </c>
      <c r="X300" s="7" t="s">
        <v>47</v>
      </c>
      <c r="Y300" s="7" t="s">
        <v>696</v>
      </c>
      <c r="Z300" s="7" t="s">
        <v>862</v>
      </c>
      <c r="AA300" s="7"/>
      <c r="AB300" s="7"/>
      <c r="AC300" s="7" t="s">
        <v>39</v>
      </c>
      <c r="AD300" s="7"/>
      <c r="AE300" s="7"/>
      <c r="AF300" s="7" t="s">
        <v>50</v>
      </c>
      <c r="AG300" s="7" t="s">
        <v>51</v>
      </c>
      <c r="AH300" s="7" t="s">
        <v>52</v>
      </c>
    </row>
    <row r="301" spans="1:34" ht="9.75" customHeight="1" x14ac:dyDescent="0.2">
      <c r="A301" s="7" t="s">
        <v>37</v>
      </c>
      <c r="B301" s="7" t="s">
        <v>38</v>
      </c>
      <c r="C301" s="7"/>
      <c r="D301" s="7" t="s">
        <v>697</v>
      </c>
      <c r="E301" s="8">
        <v>1</v>
      </c>
      <c r="F301" s="7" t="s">
        <v>61</v>
      </c>
      <c r="G301" s="7"/>
      <c r="H301" s="9"/>
      <c r="I301" s="9"/>
      <c r="J301" s="9"/>
      <c r="K301" s="9"/>
      <c r="L301" s="10">
        <v>104926</v>
      </c>
      <c r="M301" s="9"/>
      <c r="N301" s="10">
        <v>104926</v>
      </c>
      <c r="O301" s="9"/>
      <c r="P301" s="10"/>
      <c r="Q301" s="10"/>
      <c r="R301" s="10"/>
      <c r="S301" s="7" t="s">
        <v>54</v>
      </c>
      <c r="T301" s="7" t="s">
        <v>607</v>
      </c>
      <c r="U301" s="7" t="s">
        <v>44</v>
      </c>
      <c r="V301" s="7" t="s">
        <v>45</v>
      </c>
      <c r="W301" s="7" t="s">
        <v>46</v>
      </c>
      <c r="X301" s="7" t="s">
        <v>47</v>
      </c>
      <c r="Y301" s="7" t="s">
        <v>698</v>
      </c>
      <c r="Z301" s="7" t="s">
        <v>862</v>
      </c>
      <c r="AA301" s="7"/>
      <c r="AB301" s="7"/>
      <c r="AC301" s="7" t="s">
        <v>39</v>
      </c>
      <c r="AD301" s="7"/>
      <c r="AE301" s="7"/>
      <c r="AF301" s="7" t="s">
        <v>50</v>
      </c>
      <c r="AG301" s="7" t="s">
        <v>51</v>
      </c>
      <c r="AH301" s="7" t="s">
        <v>52</v>
      </c>
    </row>
    <row r="302" spans="1:34" ht="9.75" customHeight="1" x14ac:dyDescent="0.2">
      <c r="A302" s="7" t="s">
        <v>37</v>
      </c>
      <c r="B302" s="7" t="s">
        <v>38</v>
      </c>
      <c r="C302" s="7"/>
      <c r="D302" s="7" t="s">
        <v>699</v>
      </c>
      <c r="E302" s="8">
        <v>1</v>
      </c>
      <c r="F302" s="7" t="s">
        <v>61</v>
      </c>
      <c r="G302" s="7"/>
      <c r="H302" s="9"/>
      <c r="I302" s="9"/>
      <c r="J302" s="9"/>
      <c r="K302" s="9"/>
      <c r="L302" s="10">
        <v>104927</v>
      </c>
      <c r="M302" s="9"/>
      <c r="N302" s="10">
        <v>104927</v>
      </c>
      <c r="O302" s="9"/>
      <c r="P302" s="10"/>
      <c r="Q302" s="10"/>
      <c r="R302" s="10"/>
      <c r="S302" s="7" t="s">
        <v>54</v>
      </c>
      <c r="T302" s="7" t="s">
        <v>607</v>
      </c>
      <c r="U302" s="7" t="s">
        <v>44</v>
      </c>
      <c r="V302" s="7" t="s">
        <v>45</v>
      </c>
      <c r="W302" s="7" t="s">
        <v>46</v>
      </c>
      <c r="X302" s="7" t="s">
        <v>47</v>
      </c>
      <c r="Y302" s="7" t="s">
        <v>700</v>
      </c>
      <c r="Z302" s="7" t="s">
        <v>862</v>
      </c>
      <c r="AA302" s="7"/>
      <c r="AB302" s="7"/>
      <c r="AC302" s="7" t="s">
        <v>39</v>
      </c>
      <c r="AD302" s="7"/>
      <c r="AE302" s="7"/>
      <c r="AF302" s="7" t="s">
        <v>50</v>
      </c>
      <c r="AG302" s="7" t="s">
        <v>51</v>
      </c>
      <c r="AH302" s="7" t="s">
        <v>52</v>
      </c>
    </row>
    <row r="303" spans="1:34" ht="9.75" customHeight="1" x14ac:dyDescent="0.2">
      <c r="A303" s="7" t="s">
        <v>37</v>
      </c>
      <c r="B303" s="7" t="s">
        <v>38</v>
      </c>
      <c r="C303" s="7"/>
      <c r="D303" s="7" t="s">
        <v>709</v>
      </c>
      <c r="E303" s="8">
        <v>1</v>
      </c>
      <c r="F303" s="7" t="s">
        <v>61</v>
      </c>
      <c r="G303" s="7"/>
      <c r="H303" s="9"/>
      <c r="I303" s="9"/>
      <c r="J303" s="9"/>
      <c r="K303" s="9"/>
      <c r="L303" s="10">
        <v>166792</v>
      </c>
      <c r="M303" s="9"/>
      <c r="N303" s="10">
        <v>166792</v>
      </c>
      <c r="O303" s="9"/>
      <c r="P303" s="10"/>
      <c r="Q303" s="10"/>
      <c r="R303" s="10"/>
      <c r="S303" s="7" t="s">
        <v>54</v>
      </c>
      <c r="T303" s="7" t="s">
        <v>607</v>
      </c>
      <c r="U303" s="7" t="s">
        <v>44</v>
      </c>
      <c r="V303" s="7" t="s">
        <v>45</v>
      </c>
      <c r="W303" s="7" t="s">
        <v>46</v>
      </c>
      <c r="X303" s="7" t="s">
        <v>47</v>
      </c>
      <c r="Y303" s="7" t="s">
        <v>710</v>
      </c>
      <c r="Z303" s="7" t="s">
        <v>862</v>
      </c>
      <c r="AA303" s="7"/>
      <c r="AB303" s="7"/>
      <c r="AC303" s="7" t="s">
        <v>39</v>
      </c>
      <c r="AD303" s="7"/>
      <c r="AE303" s="7"/>
      <c r="AF303" s="7" t="s">
        <v>50</v>
      </c>
      <c r="AG303" s="7" t="s">
        <v>51</v>
      </c>
      <c r="AH303" s="7" t="s">
        <v>52</v>
      </c>
    </row>
    <row r="304" spans="1:34" ht="9.75" customHeight="1" x14ac:dyDescent="0.2">
      <c r="A304" s="7" t="s">
        <v>37</v>
      </c>
      <c r="B304" s="7" t="s">
        <v>38</v>
      </c>
      <c r="C304" s="7"/>
      <c r="D304" s="7" t="s">
        <v>863</v>
      </c>
      <c r="E304" s="8">
        <v>1</v>
      </c>
      <c r="F304" s="7" t="s">
        <v>61</v>
      </c>
      <c r="G304" s="7"/>
      <c r="H304" s="9"/>
      <c r="I304" s="9"/>
      <c r="J304" s="9"/>
      <c r="K304" s="9"/>
      <c r="L304" s="10">
        <v>0</v>
      </c>
      <c r="M304" s="9"/>
      <c r="N304" s="10">
        <v>0</v>
      </c>
      <c r="O304" s="9"/>
      <c r="P304" s="10"/>
      <c r="Q304" s="10"/>
      <c r="R304" s="10"/>
      <c r="S304" s="7" t="s">
        <v>54</v>
      </c>
      <c r="T304" s="7" t="s">
        <v>607</v>
      </c>
      <c r="U304" s="7" t="s">
        <v>44</v>
      </c>
      <c r="V304" s="7" t="s">
        <v>45</v>
      </c>
      <c r="W304" s="7" t="s">
        <v>46</v>
      </c>
      <c r="X304" s="7" t="s">
        <v>47</v>
      </c>
      <c r="Y304" s="7" t="s">
        <v>864</v>
      </c>
      <c r="Z304" s="7" t="s">
        <v>862</v>
      </c>
      <c r="AA304" s="7"/>
      <c r="AB304" s="7"/>
      <c r="AC304" s="7" t="s">
        <v>39</v>
      </c>
      <c r="AD304" s="7"/>
      <c r="AE304" s="7"/>
      <c r="AF304" s="7" t="s">
        <v>50</v>
      </c>
      <c r="AG304" s="7" t="s">
        <v>51</v>
      </c>
      <c r="AH304" s="7" t="s">
        <v>52</v>
      </c>
    </row>
    <row r="305" spans="1:34" ht="9.75" customHeight="1" x14ac:dyDescent="0.2">
      <c r="A305" s="7" t="s">
        <v>37</v>
      </c>
      <c r="B305" s="7" t="s">
        <v>38</v>
      </c>
      <c r="C305" s="7"/>
      <c r="D305" s="7" t="s">
        <v>865</v>
      </c>
      <c r="E305" s="8">
        <v>1</v>
      </c>
      <c r="F305" s="7" t="s">
        <v>61</v>
      </c>
      <c r="G305" s="7"/>
      <c r="H305" s="9"/>
      <c r="I305" s="9"/>
      <c r="J305" s="9"/>
      <c r="K305" s="9"/>
      <c r="L305" s="10">
        <v>14476</v>
      </c>
      <c r="M305" s="9"/>
      <c r="N305" s="10">
        <v>14476</v>
      </c>
      <c r="O305" s="9"/>
      <c r="P305" s="10"/>
      <c r="Q305" s="10"/>
      <c r="R305" s="10"/>
      <c r="S305" s="7" t="s">
        <v>54</v>
      </c>
      <c r="T305" s="7" t="s">
        <v>607</v>
      </c>
      <c r="U305" s="7" t="s">
        <v>44</v>
      </c>
      <c r="V305" s="7" t="s">
        <v>45</v>
      </c>
      <c r="W305" s="7" t="s">
        <v>46</v>
      </c>
      <c r="X305" s="7" t="s">
        <v>47</v>
      </c>
      <c r="Y305" s="7" t="s">
        <v>866</v>
      </c>
      <c r="Z305" s="7" t="s">
        <v>862</v>
      </c>
      <c r="AA305" s="7"/>
      <c r="AB305" s="7"/>
      <c r="AC305" s="7" t="s">
        <v>39</v>
      </c>
      <c r="AD305" s="7"/>
      <c r="AE305" s="7"/>
      <c r="AF305" s="7" t="s">
        <v>50</v>
      </c>
      <c r="AG305" s="7" t="s">
        <v>51</v>
      </c>
      <c r="AH305" s="7" t="s">
        <v>52</v>
      </c>
    </row>
    <row r="306" spans="1:34" ht="9.75" customHeight="1" x14ac:dyDescent="0.2">
      <c r="A306" s="7" t="s">
        <v>37</v>
      </c>
      <c r="B306" s="7" t="s">
        <v>38</v>
      </c>
      <c r="C306" s="7"/>
      <c r="D306" s="7" t="s">
        <v>867</v>
      </c>
      <c r="E306" s="8">
        <v>1</v>
      </c>
      <c r="F306" s="7" t="s">
        <v>61</v>
      </c>
      <c r="G306" s="7"/>
      <c r="H306" s="9"/>
      <c r="I306" s="9"/>
      <c r="J306" s="9"/>
      <c r="K306" s="9"/>
      <c r="L306" s="10">
        <v>11057</v>
      </c>
      <c r="M306" s="9"/>
      <c r="N306" s="10">
        <v>11057</v>
      </c>
      <c r="O306" s="9"/>
      <c r="P306" s="10"/>
      <c r="Q306" s="10"/>
      <c r="R306" s="10"/>
      <c r="S306" s="7" t="s">
        <v>54</v>
      </c>
      <c r="T306" s="7" t="s">
        <v>607</v>
      </c>
      <c r="U306" s="7" t="s">
        <v>44</v>
      </c>
      <c r="V306" s="7" t="s">
        <v>45</v>
      </c>
      <c r="W306" s="7" t="s">
        <v>46</v>
      </c>
      <c r="X306" s="7" t="s">
        <v>47</v>
      </c>
      <c r="Y306" s="7" t="s">
        <v>868</v>
      </c>
      <c r="Z306" s="7" t="s">
        <v>862</v>
      </c>
      <c r="AA306" s="7"/>
      <c r="AB306" s="7"/>
      <c r="AC306" s="7" t="s">
        <v>39</v>
      </c>
      <c r="AD306" s="7"/>
      <c r="AE306" s="7"/>
      <c r="AF306" s="7" t="s">
        <v>50</v>
      </c>
      <c r="AG306" s="7" t="s">
        <v>51</v>
      </c>
      <c r="AH306" s="7" t="s">
        <v>52</v>
      </c>
    </row>
    <row r="307" spans="1:34" ht="9.75" customHeight="1" x14ac:dyDescent="0.2">
      <c r="A307" s="7" t="s">
        <v>37</v>
      </c>
      <c r="B307" s="7" t="s">
        <v>38</v>
      </c>
      <c r="C307" s="7"/>
      <c r="D307" s="7" t="s">
        <v>869</v>
      </c>
      <c r="E307" s="8">
        <v>1</v>
      </c>
      <c r="F307" s="7" t="s">
        <v>61</v>
      </c>
      <c r="G307" s="7"/>
      <c r="H307" s="9"/>
      <c r="I307" s="9"/>
      <c r="J307" s="9"/>
      <c r="K307" s="9"/>
      <c r="L307" s="10">
        <v>7968</v>
      </c>
      <c r="M307" s="9"/>
      <c r="N307" s="10">
        <v>7968</v>
      </c>
      <c r="O307" s="9"/>
      <c r="P307" s="10"/>
      <c r="Q307" s="10"/>
      <c r="R307" s="10"/>
      <c r="S307" s="7" t="s">
        <v>54</v>
      </c>
      <c r="T307" s="7" t="s">
        <v>607</v>
      </c>
      <c r="U307" s="7" t="s">
        <v>44</v>
      </c>
      <c r="V307" s="7" t="s">
        <v>45</v>
      </c>
      <c r="W307" s="7" t="s">
        <v>46</v>
      </c>
      <c r="X307" s="7" t="s">
        <v>47</v>
      </c>
      <c r="Y307" s="7" t="s">
        <v>870</v>
      </c>
      <c r="Z307" s="7" t="s">
        <v>862</v>
      </c>
      <c r="AA307" s="7"/>
      <c r="AB307" s="7"/>
      <c r="AC307" s="7" t="s">
        <v>39</v>
      </c>
      <c r="AD307" s="7"/>
      <c r="AE307" s="7"/>
      <c r="AF307" s="7" t="s">
        <v>50</v>
      </c>
      <c r="AG307" s="7" t="s">
        <v>51</v>
      </c>
      <c r="AH307" s="7" t="s">
        <v>52</v>
      </c>
    </row>
    <row r="308" spans="1:34" ht="9.75" customHeight="1" x14ac:dyDescent="0.2">
      <c r="A308" s="7" t="s">
        <v>37</v>
      </c>
      <c r="B308" s="7" t="s">
        <v>38</v>
      </c>
      <c r="C308" s="7"/>
      <c r="D308" s="7" t="s">
        <v>723</v>
      </c>
      <c r="E308" s="8">
        <v>1</v>
      </c>
      <c r="F308" s="7" t="s">
        <v>61</v>
      </c>
      <c r="G308" s="7"/>
      <c r="H308" s="9"/>
      <c r="I308" s="9"/>
      <c r="J308" s="9"/>
      <c r="K308" s="9"/>
      <c r="L308" s="10">
        <v>5737</v>
      </c>
      <c r="M308" s="9"/>
      <c r="N308" s="10">
        <v>5737</v>
      </c>
      <c r="O308" s="9"/>
      <c r="P308" s="10"/>
      <c r="Q308" s="10"/>
      <c r="R308" s="10"/>
      <c r="S308" s="7" t="s">
        <v>54</v>
      </c>
      <c r="T308" s="7" t="s">
        <v>607</v>
      </c>
      <c r="U308" s="7" t="s">
        <v>44</v>
      </c>
      <c r="V308" s="7" t="s">
        <v>45</v>
      </c>
      <c r="W308" s="7" t="s">
        <v>46</v>
      </c>
      <c r="X308" s="7" t="s">
        <v>47</v>
      </c>
      <c r="Y308" s="7" t="s">
        <v>724</v>
      </c>
      <c r="Z308" s="7" t="s">
        <v>871</v>
      </c>
      <c r="AA308" s="7"/>
      <c r="AB308" s="7"/>
      <c r="AC308" s="7" t="s">
        <v>39</v>
      </c>
      <c r="AD308" s="7"/>
      <c r="AE308" s="7"/>
      <c r="AF308" s="7" t="s">
        <v>50</v>
      </c>
      <c r="AG308" s="7" t="s">
        <v>51</v>
      </c>
      <c r="AH308" s="7" t="s">
        <v>52</v>
      </c>
    </row>
    <row r="309" spans="1:34" ht="9.75" customHeight="1" x14ac:dyDescent="0.2">
      <c r="A309" s="7" t="s">
        <v>37</v>
      </c>
      <c r="B309" s="7" t="s">
        <v>38</v>
      </c>
      <c r="C309" s="7"/>
      <c r="D309" s="7" t="s">
        <v>725</v>
      </c>
      <c r="E309" s="8">
        <v>1</v>
      </c>
      <c r="F309" s="7" t="s">
        <v>61</v>
      </c>
      <c r="G309" s="7"/>
      <c r="H309" s="9"/>
      <c r="I309" s="9"/>
      <c r="J309" s="9"/>
      <c r="K309" s="9"/>
      <c r="L309" s="10">
        <v>5752</v>
      </c>
      <c r="M309" s="9"/>
      <c r="N309" s="10">
        <v>5752</v>
      </c>
      <c r="O309" s="9"/>
      <c r="P309" s="10"/>
      <c r="Q309" s="10"/>
      <c r="R309" s="10"/>
      <c r="S309" s="7" t="s">
        <v>54</v>
      </c>
      <c r="T309" s="7" t="s">
        <v>607</v>
      </c>
      <c r="U309" s="7" t="s">
        <v>44</v>
      </c>
      <c r="V309" s="7" t="s">
        <v>45</v>
      </c>
      <c r="W309" s="7" t="s">
        <v>46</v>
      </c>
      <c r="X309" s="7" t="s">
        <v>47</v>
      </c>
      <c r="Y309" s="7" t="s">
        <v>726</v>
      </c>
      <c r="Z309" s="7" t="s">
        <v>871</v>
      </c>
      <c r="AA309" s="7"/>
      <c r="AB309" s="7"/>
      <c r="AC309" s="7" t="s">
        <v>39</v>
      </c>
      <c r="AD309" s="7"/>
      <c r="AE309" s="7"/>
      <c r="AF309" s="7" t="s">
        <v>50</v>
      </c>
      <c r="AG309" s="7" t="s">
        <v>51</v>
      </c>
      <c r="AH309" s="7" t="s">
        <v>52</v>
      </c>
    </row>
    <row r="310" spans="1:34" ht="9.75" customHeight="1" x14ac:dyDescent="0.2">
      <c r="A310" s="7" t="s">
        <v>37</v>
      </c>
      <c r="B310" s="7" t="s">
        <v>38</v>
      </c>
      <c r="C310" s="7"/>
      <c r="D310" s="7" t="s">
        <v>727</v>
      </c>
      <c r="E310" s="8">
        <v>1</v>
      </c>
      <c r="F310" s="7" t="s">
        <v>61</v>
      </c>
      <c r="G310" s="7"/>
      <c r="H310" s="9"/>
      <c r="I310" s="9"/>
      <c r="J310" s="9"/>
      <c r="K310" s="9"/>
      <c r="L310" s="10">
        <v>0</v>
      </c>
      <c r="M310" s="9"/>
      <c r="N310" s="10">
        <v>0</v>
      </c>
      <c r="O310" s="9"/>
      <c r="P310" s="10"/>
      <c r="Q310" s="10"/>
      <c r="R310" s="10"/>
      <c r="S310" s="7" t="s">
        <v>54</v>
      </c>
      <c r="T310" s="7" t="s">
        <v>607</v>
      </c>
      <c r="U310" s="7" t="s">
        <v>44</v>
      </c>
      <c r="V310" s="7" t="s">
        <v>45</v>
      </c>
      <c r="W310" s="7" t="s">
        <v>46</v>
      </c>
      <c r="X310" s="7" t="s">
        <v>47</v>
      </c>
      <c r="Y310" s="7" t="s">
        <v>728</v>
      </c>
      <c r="Z310" s="7" t="s">
        <v>871</v>
      </c>
      <c r="AA310" s="7"/>
      <c r="AB310" s="7"/>
      <c r="AC310" s="7" t="s">
        <v>39</v>
      </c>
      <c r="AD310" s="7"/>
      <c r="AE310" s="7"/>
      <c r="AF310" s="7" t="s">
        <v>50</v>
      </c>
      <c r="AG310" s="7" t="s">
        <v>51</v>
      </c>
      <c r="AH310" s="7" t="s">
        <v>52</v>
      </c>
    </row>
    <row r="311" spans="1:34" ht="9.75" customHeight="1" x14ac:dyDescent="0.2">
      <c r="A311" s="7" t="s">
        <v>37</v>
      </c>
      <c r="B311" s="7" t="s">
        <v>38</v>
      </c>
      <c r="C311" s="7"/>
      <c r="D311" s="7" t="s">
        <v>730</v>
      </c>
      <c r="E311" s="8">
        <v>1</v>
      </c>
      <c r="F311" s="7" t="s">
        <v>61</v>
      </c>
      <c r="G311" s="7"/>
      <c r="H311" s="9"/>
      <c r="I311" s="9"/>
      <c r="J311" s="9"/>
      <c r="K311" s="9"/>
      <c r="L311" s="10">
        <v>0</v>
      </c>
      <c r="M311" s="9"/>
      <c r="N311" s="10">
        <v>0</v>
      </c>
      <c r="O311" s="9"/>
      <c r="P311" s="10"/>
      <c r="Q311" s="10"/>
      <c r="R311" s="10"/>
      <c r="S311" s="7" t="s">
        <v>54</v>
      </c>
      <c r="T311" s="7" t="s">
        <v>607</v>
      </c>
      <c r="U311" s="7" t="s">
        <v>44</v>
      </c>
      <c r="V311" s="7" t="s">
        <v>45</v>
      </c>
      <c r="W311" s="7" t="s">
        <v>46</v>
      </c>
      <c r="X311" s="7" t="s">
        <v>47</v>
      </c>
      <c r="Y311" s="7" t="s">
        <v>731</v>
      </c>
      <c r="Z311" s="7" t="s">
        <v>871</v>
      </c>
      <c r="AA311" s="7"/>
      <c r="AB311" s="7"/>
      <c r="AC311" s="7" t="s">
        <v>39</v>
      </c>
      <c r="AD311" s="7"/>
      <c r="AE311" s="7"/>
      <c r="AF311" s="7" t="s">
        <v>50</v>
      </c>
      <c r="AG311" s="7" t="s">
        <v>51</v>
      </c>
      <c r="AH311" s="7" t="s">
        <v>52</v>
      </c>
    </row>
    <row r="312" spans="1:34" ht="9.75" customHeight="1" x14ac:dyDescent="0.2">
      <c r="A312" s="7" t="s">
        <v>37</v>
      </c>
      <c r="B312" s="7" t="s">
        <v>38</v>
      </c>
      <c r="C312" s="7"/>
      <c r="D312" s="7" t="s">
        <v>733</v>
      </c>
      <c r="E312" s="8">
        <v>1</v>
      </c>
      <c r="F312" s="7" t="s">
        <v>61</v>
      </c>
      <c r="G312" s="7"/>
      <c r="H312" s="9"/>
      <c r="I312" s="9"/>
      <c r="J312" s="9"/>
      <c r="K312" s="9"/>
      <c r="L312" s="10">
        <v>711053</v>
      </c>
      <c r="M312" s="9"/>
      <c r="N312" s="10">
        <v>711053</v>
      </c>
      <c r="O312" s="9"/>
      <c r="P312" s="10"/>
      <c r="Q312" s="10"/>
      <c r="R312" s="10"/>
      <c r="S312" s="7" t="s">
        <v>54</v>
      </c>
      <c r="T312" s="7" t="s">
        <v>607</v>
      </c>
      <c r="U312" s="7" t="s">
        <v>44</v>
      </c>
      <c r="V312" s="7" t="s">
        <v>45</v>
      </c>
      <c r="W312" s="7" t="s">
        <v>46</v>
      </c>
      <c r="X312" s="7" t="s">
        <v>47</v>
      </c>
      <c r="Y312" s="7" t="s">
        <v>734</v>
      </c>
      <c r="Z312" s="7" t="s">
        <v>871</v>
      </c>
      <c r="AA312" s="7"/>
      <c r="AB312" s="7"/>
      <c r="AC312" s="7" t="s">
        <v>39</v>
      </c>
      <c r="AD312" s="7"/>
      <c r="AE312" s="7"/>
      <c r="AF312" s="7" t="s">
        <v>50</v>
      </c>
      <c r="AG312" s="7" t="s">
        <v>51</v>
      </c>
      <c r="AH312" s="7" t="s">
        <v>52</v>
      </c>
    </row>
    <row r="313" spans="1:34" ht="9.75" customHeight="1" x14ac:dyDescent="0.2">
      <c r="A313" s="7" t="s">
        <v>37</v>
      </c>
      <c r="B313" s="7" t="s">
        <v>38</v>
      </c>
      <c r="C313" s="7"/>
      <c r="D313" s="7" t="s">
        <v>753</v>
      </c>
      <c r="E313" s="8">
        <v>1</v>
      </c>
      <c r="F313" s="7" t="s">
        <v>61</v>
      </c>
      <c r="G313" s="7"/>
      <c r="H313" s="9"/>
      <c r="I313" s="9"/>
      <c r="J313" s="9"/>
      <c r="K313" s="9"/>
      <c r="L313" s="10">
        <v>0</v>
      </c>
      <c r="M313" s="9"/>
      <c r="N313" s="10">
        <v>0</v>
      </c>
      <c r="O313" s="9"/>
      <c r="P313" s="10"/>
      <c r="Q313" s="10"/>
      <c r="R313" s="10"/>
      <c r="S313" s="7" t="s">
        <v>54</v>
      </c>
      <c r="T313" s="7" t="s">
        <v>607</v>
      </c>
      <c r="U313" s="7" t="s">
        <v>44</v>
      </c>
      <c r="V313" s="7" t="s">
        <v>45</v>
      </c>
      <c r="W313" s="7" t="s">
        <v>46</v>
      </c>
      <c r="X313" s="7" t="s">
        <v>47</v>
      </c>
      <c r="Y313" s="7" t="s">
        <v>754</v>
      </c>
      <c r="Z313" s="7" t="s">
        <v>871</v>
      </c>
      <c r="AA313" s="7"/>
      <c r="AB313" s="7"/>
      <c r="AC313" s="7" t="s">
        <v>39</v>
      </c>
      <c r="AD313" s="7"/>
      <c r="AE313" s="7"/>
      <c r="AF313" s="7" t="s">
        <v>50</v>
      </c>
      <c r="AG313" s="7" t="s">
        <v>51</v>
      </c>
      <c r="AH313" s="7" t="s">
        <v>52</v>
      </c>
    </row>
    <row r="314" spans="1:34" ht="9.75" customHeight="1" x14ac:dyDescent="0.2">
      <c r="A314" s="7" t="s">
        <v>37</v>
      </c>
      <c r="B314" s="7" t="s">
        <v>38</v>
      </c>
      <c r="C314" s="7"/>
      <c r="D314" s="7" t="s">
        <v>756</v>
      </c>
      <c r="E314" s="8">
        <v>1</v>
      </c>
      <c r="F314" s="7" t="s">
        <v>61</v>
      </c>
      <c r="G314" s="7"/>
      <c r="H314" s="9"/>
      <c r="I314" s="9"/>
      <c r="J314" s="9"/>
      <c r="K314" s="9"/>
      <c r="L314" s="10">
        <v>8415</v>
      </c>
      <c r="M314" s="9"/>
      <c r="N314" s="10">
        <v>8415</v>
      </c>
      <c r="O314" s="9"/>
      <c r="P314" s="10"/>
      <c r="Q314" s="10"/>
      <c r="R314" s="10"/>
      <c r="S314" s="7" t="s">
        <v>54</v>
      </c>
      <c r="T314" s="7" t="s">
        <v>607</v>
      </c>
      <c r="U314" s="7" t="s">
        <v>44</v>
      </c>
      <c r="V314" s="7" t="s">
        <v>45</v>
      </c>
      <c r="W314" s="7" t="s">
        <v>46</v>
      </c>
      <c r="X314" s="7" t="s">
        <v>47</v>
      </c>
      <c r="Y314" s="7" t="s">
        <v>757</v>
      </c>
      <c r="Z314" s="7" t="s">
        <v>871</v>
      </c>
      <c r="AA314" s="7"/>
      <c r="AB314" s="7"/>
      <c r="AC314" s="7" t="s">
        <v>39</v>
      </c>
      <c r="AD314" s="7"/>
      <c r="AE314" s="7"/>
      <c r="AF314" s="7" t="s">
        <v>50</v>
      </c>
      <c r="AG314" s="7" t="s">
        <v>51</v>
      </c>
      <c r="AH314" s="7" t="s">
        <v>52</v>
      </c>
    </row>
    <row r="315" spans="1:34" ht="9.75" customHeight="1" x14ac:dyDescent="0.2">
      <c r="A315" s="7" t="s">
        <v>37</v>
      </c>
      <c r="B315" s="7" t="s">
        <v>38</v>
      </c>
      <c r="C315" s="7"/>
      <c r="D315" s="7" t="s">
        <v>758</v>
      </c>
      <c r="E315" s="8">
        <v>1</v>
      </c>
      <c r="F315" s="7" t="s">
        <v>61</v>
      </c>
      <c r="G315" s="7"/>
      <c r="H315" s="9"/>
      <c r="I315" s="9"/>
      <c r="J315" s="9"/>
      <c r="K315" s="9"/>
      <c r="L315" s="10">
        <v>28330</v>
      </c>
      <c r="M315" s="9"/>
      <c r="N315" s="10">
        <v>28330</v>
      </c>
      <c r="O315" s="9"/>
      <c r="P315" s="10"/>
      <c r="Q315" s="10"/>
      <c r="R315" s="10"/>
      <c r="S315" s="7" t="s">
        <v>54</v>
      </c>
      <c r="T315" s="7" t="s">
        <v>607</v>
      </c>
      <c r="U315" s="7" t="s">
        <v>44</v>
      </c>
      <c r="V315" s="7" t="s">
        <v>45</v>
      </c>
      <c r="W315" s="7" t="s">
        <v>46</v>
      </c>
      <c r="X315" s="7" t="s">
        <v>47</v>
      </c>
      <c r="Y315" s="7" t="s">
        <v>759</v>
      </c>
      <c r="Z315" s="7" t="s">
        <v>871</v>
      </c>
      <c r="AA315" s="7"/>
      <c r="AB315" s="7"/>
      <c r="AC315" s="7" t="s">
        <v>39</v>
      </c>
      <c r="AD315" s="7"/>
      <c r="AE315" s="7"/>
      <c r="AF315" s="7" t="s">
        <v>50</v>
      </c>
      <c r="AG315" s="7" t="s">
        <v>51</v>
      </c>
      <c r="AH315" s="7" t="s">
        <v>52</v>
      </c>
    </row>
    <row r="316" spans="1:34" ht="9.75" customHeight="1" x14ac:dyDescent="0.2">
      <c r="A316" s="7" t="s">
        <v>37</v>
      </c>
      <c r="B316" s="7" t="s">
        <v>38</v>
      </c>
      <c r="C316" s="7"/>
      <c r="D316" s="7" t="s">
        <v>872</v>
      </c>
      <c r="E316" s="8">
        <v>1</v>
      </c>
      <c r="F316" s="7" t="s">
        <v>61</v>
      </c>
      <c r="G316" s="7"/>
      <c r="H316" s="9"/>
      <c r="I316" s="9"/>
      <c r="J316" s="9"/>
      <c r="K316" s="9"/>
      <c r="L316" s="10">
        <v>6049</v>
      </c>
      <c r="M316" s="9"/>
      <c r="N316" s="10">
        <v>6049</v>
      </c>
      <c r="O316" s="9"/>
      <c r="P316" s="10"/>
      <c r="Q316" s="10"/>
      <c r="R316" s="10"/>
      <c r="S316" s="7" t="s">
        <v>54</v>
      </c>
      <c r="T316" s="7" t="s">
        <v>607</v>
      </c>
      <c r="U316" s="7" t="s">
        <v>44</v>
      </c>
      <c r="V316" s="7" t="s">
        <v>45</v>
      </c>
      <c r="W316" s="7" t="s">
        <v>46</v>
      </c>
      <c r="X316" s="7" t="s">
        <v>47</v>
      </c>
      <c r="Y316" s="7" t="s">
        <v>873</v>
      </c>
      <c r="Z316" s="7" t="s">
        <v>871</v>
      </c>
      <c r="AA316" s="7"/>
      <c r="AB316" s="7"/>
      <c r="AC316" s="7" t="s">
        <v>39</v>
      </c>
      <c r="AD316" s="7"/>
      <c r="AE316" s="7"/>
      <c r="AF316" s="7" t="s">
        <v>50</v>
      </c>
      <c r="AG316" s="7" t="s">
        <v>51</v>
      </c>
      <c r="AH316" s="7" t="s">
        <v>52</v>
      </c>
    </row>
    <row r="317" spans="1:34" ht="9.75" customHeight="1" x14ac:dyDescent="0.2">
      <c r="A317" s="7" t="s">
        <v>37</v>
      </c>
      <c r="B317" s="7" t="s">
        <v>38</v>
      </c>
      <c r="C317" s="7"/>
      <c r="D317" s="7" t="s">
        <v>874</v>
      </c>
      <c r="E317" s="8">
        <v>1</v>
      </c>
      <c r="F317" s="7" t="s">
        <v>61</v>
      </c>
      <c r="G317" s="7"/>
      <c r="H317" s="9"/>
      <c r="I317" s="9"/>
      <c r="J317" s="9"/>
      <c r="K317" s="9"/>
      <c r="L317" s="10">
        <v>0</v>
      </c>
      <c r="M317" s="9"/>
      <c r="N317" s="10">
        <v>0</v>
      </c>
      <c r="O317" s="9"/>
      <c r="P317" s="10"/>
      <c r="Q317" s="10"/>
      <c r="R317" s="10"/>
      <c r="S317" s="7" t="s">
        <v>54</v>
      </c>
      <c r="T317" s="7" t="s">
        <v>607</v>
      </c>
      <c r="U317" s="7" t="s">
        <v>44</v>
      </c>
      <c r="V317" s="7" t="s">
        <v>45</v>
      </c>
      <c r="W317" s="7" t="s">
        <v>46</v>
      </c>
      <c r="X317" s="7" t="s">
        <v>47</v>
      </c>
      <c r="Y317" s="7" t="s">
        <v>875</v>
      </c>
      <c r="Z317" s="7" t="s">
        <v>871</v>
      </c>
      <c r="AA317" s="7"/>
      <c r="AB317" s="7"/>
      <c r="AC317" s="7" t="s">
        <v>39</v>
      </c>
      <c r="AD317" s="7"/>
      <c r="AE317" s="7"/>
      <c r="AF317" s="7" t="s">
        <v>50</v>
      </c>
      <c r="AG317" s="7" t="s">
        <v>51</v>
      </c>
      <c r="AH317" s="7" t="s">
        <v>52</v>
      </c>
    </row>
    <row r="318" spans="1:34" ht="9.75" customHeight="1" x14ac:dyDescent="0.2">
      <c r="A318" s="7" t="s">
        <v>37</v>
      </c>
      <c r="B318" s="7" t="s">
        <v>38</v>
      </c>
      <c r="C318" s="7"/>
      <c r="D318" s="7" t="s">
        <v>876</v>
      </c>
      <c r="E318" s="8">
        <v>1</v>
      </c>
      <c r="F318" s="7" t="s">
        <v>61</v>
      </c>
      <c r="G318" s="7"/>
      <c r="H318" s="9"/>
      <c r="I318" s="9"/>
      <c r="J318" s="9"/>
      <c r="K318" s="9"/>
      <c r="L318" s="10">
        <v>0</v>
      </c>
      <c r="M318" s="9"/>
      <c r="N318" s="10">
        <v>0</v>
      </c>
      <c r="O318" s="9"/>
      <c r="P318" s="10"/>
      <c r="Q318" s="10"/>
      <c r="R318" s="10"/>
      <c r="S318" s="7" t="s">
        <v>54</v>
      </c>
      <c r="T318" s="7" t="s">
        <v>607</v>
      </c>
      <c r="U318" s="7" t="s">
        <v>44</v>
      </c>
      <c r="V318" s="7" t="s">
        <v>45</v>
      </c>
      <c r="W318" s="7" t="s">
        <v>46</v>
      </c>
      <c r="X318" s="7" t="s">
        <v>47</v>
      </c>
      <c r="Y318" s="7" t="s">
        <v>877</v>
      </c>
      <c r="Z318" s="7" t="s">
        <v>871</v>
      </c>
      <c r="AA318" s="7"/>
      <c r="AB318" s="7"/>
      <c r="AC318" s="7" t="s">
        <v>39</v>
      </c>
      <c r="AD318" s="7"/>
      <c r="AE318" s="7"/>
      <c r="AF318" s="7" t="s">
        <v>50</v>
      </c>
      <c r="AG318" s="7" t="s">
        <v>51</v>
      </c>
      <c r="AH318" s="7" t="s">
        <v>52</v>
      </c>
    </row>
    <row r="319" spans="1:34" ht="9.75" customHeight="1" x14ac:dyDescent="0.2">
      <c r="A319" s="7" t="s">
        <v>37</v>
      </c>
      <c r="B319" s="7" t="s">
        <v>38</v>
      </c>
      <c r="C319" s="7"/>
      <c r="D319" s="7" t="s">
        <v>878</v>
      </c>
      <c r="E319" s="8">
        <v>1</v>
      </c>
      <c r="F319" s="7" t="s">
        <v>61</v>
      </c>
      <c r="G319" s="7"/>
      <c r="H319" s="9"/>
      <c r="I319" s="9"/>
      <c r="J319" s="9"/>
      <c r="K319" s="9"/>
      <c r="L319" s="10">
        <v>0</v>
      </c>
      <c r="M319" s="9"/>
      <c r="N319" s="10">
        <v>0</v>
      </c>
      <c r="O319" s="9"/>
      <c r="P319" s="10"/>
      <c r="Q319" s="10"/>
      <c r="R319" s="10"/>
      <c r="S319" s="7" t="s">
        <v>54</v>
      </c>
      <c r="T319" s="7" t="s">
        <v>607</v>
      </c>
      <c r="U319" s="7" t="s">
        <v>44</v>
      </c>
      <c r="V319" s="7" t="s">
        <v>45</v>
      </c>
      <c r="W319" s="7" t="s">
        <v>46</v>
      </c>
      <c r="X319" s="7" t="s">
        <v>47</v>
      </c>
      <c r="Y319" s="7" t="s">
        <v>879</v>
      </c>
      <c r="Z319" s="7" t="s">
        <v>871</v>
      </c>
      <c r="AA319" s="7"/>
      <c r="AB319" s="7"/>
      <c r="AC319" s="7" t="s">
        <v>39</v>
      </c>
      <c r="AD319" s="7"/>
      <c r="AE319" s="7"/>
      <c r="AF319" s="7" t="s">
        <v>50</v>
      </c>
      <c r="AG319" s="7" t="s">
        <v>51</v>
      </c>
      <c r="AH319" s="7" t="s">
        <v>52</v>
      </c>
    </row>
    <row r="320" spans="1:34" ht="9.75" customHeight="1" x14ac:dyDescent="0.2">
      <c r="A320" s="7" t="s">
        <v>37</v>
      </c>
      <c r="B320" s="7" t="s">
        <v>38</v>
      </c>
      <c r="C320" s="7"/>
      <c r="D320" s="7" t="s">
        <v>880</v>
      </c>
      <c r="E320" s="8">
        <v>1</v>
      </c>
      <c r="F320" s="7" t="s">
        <v>61</v>
      </c>
      <c r="G320" s="7"/>
      <c r="H320" s="9"/>
      <c r="I320" s="9"/>
      <c r="J320" s="9"/>
      <c r="K320" s="9"/>
      <c r="L320" s="10">
        <v>0</v>
      </c>
      <c r="M320" s="9"/>
      <c r="N320" s="10">
        <v>0</v>
      </c>
      <c r="O320" s="9"/>
      <c r="P320" s="10"/>
      <c r="Q320" s="10"/>
      <c r="R320" s="10"/>
      <c r="S320" s="7" t="s">
        <v>54</v>
      </c>
      <c r="T320" s="7" t="s">
        <v>607</v>
      </c>
      <c r="U320" s="7" t="s">
        <v>44</v>
      </c>
      <c r="V320" s="7" t="s">
        <v>45</v>
      </c>
      <c r="W320" s="7" t="s">
        <v>46</v>
      </c>
      <c r="X320" s="7" t="s">
        <v>47</v>
      </c>
      <c r="Y320" s="7" t="s">
        <v>881</v>
      </c>
      <c r="Z320" s="7" t="s">
        <v>871</v>
      </c>
      <c r="AA320" s="7"/>
      <c r="AB320" s="7"/>
      <c r="AC320" s="7" t="s">
        <v>39</v>
      </c>
      <c r="AD320" s="7"/>
      <c r="AE320" s="7"/>
      <c r="AF320" s="7" t="s">
        <v>50</v>
      </c>
      <c r="AG320" s="7" t="s">
        <v>51</v>
      </c>
      <c r="AH320" s="7" t="s">
        <v>52</v>
      </c>
    </row>
    <row r="321" spans="1:34" ht="9.75" customHeight="1" x14ac:dyDescent="0.2">
      <c r="A321" s="7" t="s">
        <v>37</v>
      </c>
      <c r="B321" s="7" t="s">
        <v>38</v>
      </c>
      <c r="C321" s="7"/>
      <c r="D321" s="7" t="s">
        <v>882</v>
      </c>
      <c r="E321" s="8">
        <v>1</v>
      </c>
      <c r="F321" s="7" t="s">
        <v>61</v>
      </c>
      <c r="G321" s="7"/>
      <c r="H321" s="9"/>
      <c r="I321" s="9"/>
      <c r="J321" s="9"/>
      <c r="K321" s="9"/>
      <c r="L321" s="10">
        <v>0</v>
      </c>
      <c r="M321" s="9"/>
      <c r="N321" s="10">
        <v>0</v>
      </c>
      <c r="O321" s="9"/>
      <c r="P321" s="10"/>
      <c r="Q321" s="10"/>
      <c r="R321" s="10"/>
      <c r="S321" s="7" t="s">
        <v>54</v>
      </c>
      <c r="T321" s="7" t="s">
        <v>607</v>
      </c>
      <c r="U321" s="7" t="s">
        <v>44</v>
      </c>
      <c r="V321" s="7" t="s">
        <v>45</v>
      </c>
      <c r="W321" s="7" t="s">
        <v>46</v>
      </c>
      <c r="X321" s="7" t="s">
        <v>47</v>
      </c>
      <c r="Y321" s="7" t="s">
        <v>883</v>
      </c>
      <c r="Z321" s="7" t="s">
        <v>871</v>
      </c>
      <c r="AA321" s="7"/>
      <c r="AB321" s="7"/>
      <c r="AC321" s="7" t="s">
        <v>39</v>
      </c>
      <c r="AD321" s="7"/>
      <c r="AE321" s="7"/>
      <c r="AF321" s="7" t="s">
        <v>50</v>
      </c>
      <c r="AG321" s="7" t="s">
        <v>51</v>
      </c>
      <c r="AH321" s="7" t="s">
        <v>52</v>
      </c>
    </row>
    <row r="322" spans="1:34" ht="9.75" customHeight="1" x14ac:dyDescent="0.2">
      <c r="A322" s="7" t="s">
        <v>37</v>
      </c>
      <c r="B322" s="7" t="s">
        <v>38</v>
      </c>
      <c r="C322" s="7"/>
      <c r="D322" s="7" t="s">
        <v>781</v>
      </c>
      <c r="E322" s="8">
        <v>1</v>
      </c>
      <c r="F322" s="7" t="s">
        <v>61</v>
      </c>
      <c r="G322" s="7"/>
      <c r="H322" s="9"/>
      <c r="I322" s="9"/>
      <c r="J322" s="9"/>
      <c r="K322" s="9"/>
      <c r="L322" s="10">
        <v>0</v>
      </c>
      <c r="M322" s="9"/>
      <c r="N322" s="10">
        <v>0</v>
      </c>
      <c r="O322" s="9"/>
      <c r="P322" s="10"/>
      <c r="Q322" s="10"/>
      <c r="R322" s="10"/>
      <c r="S322" s="7" t="s">
        <v>54</v>
      </c>
      <c r="T322" s="7" t="s">
        <v>607</v>
      </c>
      <c r="U322" s="7" t="s">
        <v>44</v>
      </c>
      <c r="V322" s="7" t="s">
        <v>45</v>
      </c>
      <c r="W322" s="7" t="s">
        <v>46</v>
      </c>
      <c r="X322" s="7" t="s">
        <v>47</v>
      </c>
      <c r="Y322" s="7" t="s">
        <v>782</v>
      </c>
      <c r="Z322" s="7" t="s">
        <v>884</v>
      </c>
      <c r="AA322" s="7"/>
      <c r="AB322" s="7"/>
      <c r="AC322" s="7" t="s">
        <v>39</v>
      </c>
      <c r="AD322" s="7"/>
      <c r="AE322" s="7"/>
      <c r="AF322" s="7" t="s">
        <v>50</v>
      </c>
      <c r="AG322" s="7" t="s">
        <v>51</v>
      </c>
      <c r="AH322" s="7" t="s">
        <v>52</v>
      </c>
    </row>
    <row r="323" spans="1:34" ht="9.75" customHeight="1" x14ac:dyDescent="0.2">
      <c r="A323" s="7" t="s">
        <v>37</v>
      </c>
      <c r="B323" s="7" t="s">
        <v>38</v>
      </c>
      <c r="C323" s="7"/>
      <c r="D323" s="7" t="s">
        <v>783</v>
      </c>
      <c r="E323" s="8">
        <v>1</v>
      </c>
      <c r="F323" s="7" t="s">
        <v>61</v>
      </c>
      <c r="G323" s="7"/>
      <c r="H323" s="9"/>
      <c r="I323" s="9"/>
      <c r="J323" s="9"/>
      <c r="K323" s="9"/>
      <c r="L323" s="10">
        <v>29510</v>
      </c>
      <c r="M323" s="9"/>
      <c r="N323" s="10">
        <v>29510</v>
      </c>
      <c r="O323" s="9"/>
      <c r="P323" s="10"/>
      <c r="Q323" s="10"/>
      <c r="R323" s="10"/>
      <c r="S323" s="7" t="s">
        <v>54</v>
      </c>
      <c r="T323" s="7" t="s">
        <v>607</v>
      </c>
      <c r="U323" s="7" t="s">
        <v>44</v>
      </c>
      <c r="V323" s="7" t="s">
        <v>45</v>
      </c>
      <c r="W323" s="7" t="s">
        <v>46</v>
      </c>
      <c r="X323" s="7" t="s">
        <v>47</v>
      </c>
      <c r="Y323" s="7" t="s">
        <v>784</v>
      </c>
      <c r="Z323" s="7" t="s">
        <v>884</v>
      </c>
      <c r="AA323" s="7"/>
      <c r="AB323" s="7"/>
      <c r="AC323" s="7" t="s">
        <v>39</v>
      </c>
      <c r="AD323" s="7"/>
      <c r="AE323" s="7"/>
      <c r="AF323" s="7" t="s">
        <v>50</v>
      </c>
      <c r="AG323" s="7" t="s">
        <v>51</v>
      </c>
      <c r="AH323" s="7" t="s">
        <v>52</v>
      </c>
    </row>
    <row r="324" spans="1:34" ht="9.75" customHeight="1" x14ac:dyDescent="0.2">
      <c r="A324" s="7" t="s">
        <v>37</v>
      </c>
      <c r="B324" s="7" t="s">
        <v>38</v>
      </c>
      <c r="C324" s="7"/>
      <c r="D324" s="7" t="s">
        <v>785</v>
      </c>
      <c r="E324" s="8">
        <v>1</v>
      </c>
      <c r="F324" s="7" t="s">
        <v>61</v>
      </c>
      <c r="G324" s="7"/>
      <c r="H324" s="9"/>
      <c r="I324" s="9"/>
      <c r="J324" s="9"/>
      <c r="K324" s="9"/>
      <c r="L324" s="10">
        <v>46009</v>
      </c>
      <c r="M324" s="9"/>
      <c r="N324" s="10">
        <v>46009</v>
      </c>
      <c r="O324" s="9"/>
      <c r="P324" s="10"/>
      <c r="Q324" s="10"/>
      <c r="R324" s="10"/>
      <c r="S324" s="7" t="s">
        <v>54</v>
      </c>
      <c r="T324" s="7" t="s">
        <v>607</v>
      </c>
      <c r="U324" s="7" t="s">
        <v>44</v>
      </c>
      <c r="V324" s="7" t="s">
        <v>45</v>
      </c>
      <c r="W324" s="7" t="s">
        <v>46</v>
      </c>
      <c r="X324" s="7" t="s">
        <v>47</v>
      </c>
      <c r="Y324" s="7" t="s">
        <v>786</v>
      </c>
      <c r="Z324" s="7" t="s">
        <v>884</v>
      </c>
      <c r="AA324" s="7"/>
      <c r="AB324" s="7"/>
      <c r="AC324" s="7" t="s">
        <v>39</v>
      </c>
      <c r="AD324" s="7"/>
      <c r="AE324" s="7"/>
      <c r="AF324" s="7" t="s">
        <v>50</v>
      </c>
      <c r="AG324" s="7" t="s">
        <v>51</v>
      </c>
      <c r="AH324" s="7" t="s">
        <v>52</v>
      </c>
    </row>
    <row r="325" spans="1:34" ht="9.75" customHeight="1" x14ac:dyDescent="0.2">
      <c r="A325" s="7" t="s">
        <v>37</v>
      </c>
      <c r="B325" s="7" t="s">
        <v>38</v>
      </c>
      <c r="C325" s="7"/>
      <c r="D325" s="7" t="s">
        <v>787</v>
      </c>
      <c r="E325" s="8">
        <v>1</v>
      </c>
      <c r="F325" s="7" t="s">
        <v>61</v>
      </c>
      <c r="G325" s="7"/>
      <c r="H325" s="9"/>
      <c r="I325" s="9"/>
      <c r="J325" s="9"/>
      <c r="K325" s="9"/>
      <c r="L325" s="10">
        <v>35875</v>
      </c>
      <c r="M325" s="9"/>
      <c r="N325" s="10">
        <v>35875</v>
      </c>
      <c r="O325" s="9"/>
      <c r="P325" s="10"/>
      <c r="Q325" s="10"/>
      <c r="R325" s="10"/>
      <c r="S325" s="7" t="s">
        <v>54</v>
      </c>
      <c r="T325" s="7" t="s">
        <v>607</v>
      </c>
      <c r="U325" s="7" t="s">
        <v>44</v>
      </c>
      <c r="V325" s="7" t="s">
        <v>45</v>
      </c>
      <c r="W325" s="7" t="s">
        <v>46</v>
      </c>
      <c r="X325" s="7" t="s">
        <v>47</v>
      </c>
      <c r="Y325" s="7" t="s">
        <v>788</v>
      </c>
      <c r="Z325" s="7" t="s">
        <v>884</v>
      </c>
      <c r="AA325" s="7"/>
      <c r="AB325" s="7"/>
      <c r="AC325" s="7" t="s">
        <v>39</v>
      </c>
      <c r="AD325" s="7"/>
      <c r="AE325" s="7"/>
      <c r="AF325" s="7" t="s">
        <v>50</v>
      </c>
      <c r="AG325" s="7" t="s">
        <v>51</v>
      </c>
      <c r="AH325" s="7" t="s">
        <v>52</v>
      </c>
    </row>
    <row r="326" spans="1:34" ht="9.75" customHeight="1" x14ac:dyDescent="0.2">
      <c r="A326" s="7" t="s">
        <v>37</v>
      </c>
      <c r="B326" s="7" t="s">
        <v>38</v>
      </c>
      <c r="C326" s="7"/>
      <c r="D326" s="7" t="s">
        <v>803</v>
      </c>
      <c r="E326" s="8">
        <v>1</v>
      </c>
      <c r="F326" s="7" t="s">
        <v>61</v>
      </c>
      <c r="G326" s="7"/>
      <c r="H326" s="9"/>
      <c r="I326" s="9"/>
      <c r="J326" s="9"/>
      <c r="K326" s="9"/>
      <c r="L326" s="10">
        <v>0</v>
      </c>
      <c r="M326" s="9"/>
      <c r="N326" s="10">
        <v>0</v>
      </c>
      <c r="O326" s="9"/>
      <c r="P326" s="10"/>
      <c r="Q326" s="10"/>
      <c r="R326" s="10"/>
      <c r="S326" s="7" t="s">
        <v>54</v>
      </c>
      <c r="T326" s="7" t="s">
        <v>607</v>
      </c>
      <c r="U326" s="7" t="s">
        <v>44</v>
      </c>
      <c r="V326" s="7" t="s">
        <v>45</v>
      </c>
      <c r="W326" s="7" t="s">
        <v>46</v>
      </c>
      <c r="X326" s="7" t="s">
        <v>47</v>
      </c>
      <c r="Y326" s="7" t="s">
        <v>804</v>
      </c>
      <c r="Z326" s="7" t="s">
        <v>884</v>
      </c>
      <c r="AA326" s="7"/>
      <c r="AB326" s="7"/>
      <c r="AC326" s="7" t="s">
        <v>39</v>
      </c>
      <c r="AD326" s="7"/>
      <c r="AE326" s="7"/>
      <c r="AF326" s="7" t="s">
        <v>50</v>
      </c>
      <c r="AG326" s="7" t="s">
        <v>51</v>
      </c>
      <c r="AH326" s="7" t="s">
        <v>52</v>
      </c>
    </row>
    <row r="327" spans="1:34" ht="9.75" customHeight="1" x14ac:dyDescent="0.2">
      <c r="A327" s="7" t="s">
        <v>37</v>
      </c>
      <c r="B327" s="7" t="s">
        <v>38</v>
      </c>
      <c r="C327" s="7"/>
      <c r="D327" s="7" t="s">
        <v>805</v>
      </c>
      <c r="E327" s="8">
        <v>1</v>
      </c>
      <c r="F327" s="7" t="s">
        <v>61</v>
      </c>
      <c r="G327" s="7"/>
      <c r="H327" s="9"/>
      <c r="I327" s="9"/>
      <c r="J327" s="9"/>
      <c r="K327" s="9"/>
      <c r="L327" s="10">
        <v>250</v>
      </c>
      <c r="M327" s="9"/>
      <c r="N327" s="10">
        <v>250</v>
      </c>
      <c r="O327" s="9"/>
      <c r="P327" s="10"/>
      <c r="Q327" s="10"/>
      <c r="R327" s="10"/>
      <c r="S327" s="7" t="s">
        <v>54</v>
      </c>
      <c r="T327" s="7" t="s">
        <v>607</v>
      </c>
      <c r="U327" s="7" t="s">
        <v>44</v>
      </c>
      <c r="V327" s="7" t="s">
        <v>45</v>
      </c>
      <c r="W327" s="7" t="s">
        <v>46</v>
      </c>
      <c r="X327" s="7" t="s">
        <v>47</v>
      </c>
      <c r="Y327" s="7" t="s">
        <v>806</v>
      </c>
      <c r="Z327" s="7" t="s">
        <v>884</v>
      </c>
      <c r="AA327" s="7"/>
      <c r="AB327" s="7"/>
      <c r="AC327" s="7" t="s">
        <v>39</v>
      </c>
      <c r="AD327" s="7"/>
      <c r="AE327" s="7"/>
      <c r="AF327" s="7" t="s">
        <v>50</v>
      </c>
      <c r="AG327" s="7" t="s">
        <v>51</v>
      </c>
      <c r="AH327" s="7" t="s">
        <v>52</v>
      </c>
    </row>
    <row r="328" spans="1:34" ht="9.75" customHeight="1" x14ac:dyDescent="0.2">
      <c r="A328" s="7" t="s">
        <v>37</v>
      </c>
      <c r="B328" s="7" t="s">
        <v>38</v>
      </c>
      <c r="C328" s="7"/>
      <c r="D328" s="7" t="s">
        <v>807</v>
      </c>
      <c r="E328" s="8">
        <v>1</v>
      </c>
      <c r="F328" s="7" t="s">
        <v>61</v>
      </c>
      <c r="G328" s="7"/>
      <c r="H328" s="9"/>
      <c r="I328" s="9"/>
      <c r="J328" s="9"/>
      <c r="K328" s="9"/>
      <c r="L328" s="10">
        <v>250</v>
      </c>
      <c r="M328" s="9"/>
      <c r="N328" s="10">
        <v>250</v>
      </c>
      <c r="O328" s="9"/>
      <c r="P328" s="10"/>
      <c r="Q328" s="10"/>
      <c r="R328" s="10"/>
      <c r="S328" s="7" t="s">
        <v>54</v>
      </c>
      <c r="T328" s="7" t="s">
        <v>607</v>
      </c>
      <c r="U328" s="7" t="s">
        <v>44</v>
      </c>
      <c r="V328" s="7" t="s">
        <v>45</v>
      </c>
      <c r="W328" s="7" t="s">
        <v>46</v>
      </c>
      <c r="X328" s="7" t="s">
        <v>47</v>
      </c>
      <c r="Y328" s="7" t="s">
        <v>808</v>
      </c>
      <c r="Z328" s="7" t="s">
        <v>884</v>
      </c>
      <c r="AA328" s="7"/>
      <c r="AB328" s="7"/>
      <c r="AC328" s="7" t="s">
        <v>39</v>
      </c>
      <c r="AD328" s="7"/>
      <c r="AE328" s="7"/>
      <c r="AF328" s="7" t="s">
        <v>50</v>
      </c>
      <c r="AG328" s="7" t="s">
        <v>51</v>
      </c>
      <c r="AH328" s="7" t="s">
        <v>52</v>
      </c>
    </row>
    <row r="329" spans="1:34" ht="9.75" customHeight="1" x14ac:dyDescent="0.2">
      <c r="A329" s="7" t="s">
        <v>37</v>
      </c>
      <c r="B329" s="7" t="s">
        <v>38</v>
      </c>
      <c r="C329" s="7"/>
      <c r="D329" s="7" t="s">
        <v>809</v>
      </c>
      <c r="E329" s="8">
        <v>1</v>
      </c>
      <c r="F329" s="7" t="s">
        <v>61</v>
      </c>
      <c r="G329" s="7"/>
      <c r="H329" s="9"/>
      <c r="I329" s="9"/>
      <c r="J329" s="9"/>
      <c r="K329" s="9"/>
      <c r="L329" s="10">
        <v>250</v>
      </c>
      <c r="M329" s="9"/>
      <c r="N329" s="10">
        <v>250</v>
      </c>
      <c r="O329" s="9"/>
      <c r="P329" s="10"/>
      <c r="Q329" s="10"/>
      <c r="R329" s="10"/>
      <c r="S329" s="7" t="s">
        <v>54</v>
      </c>
      <c r="T329" s="7" t="s">
        <v>607</v>
      </c>
      <c r="U329" s="7" t="s">
        <v>44</v>
      </c>
      <c r="V329" s="7" t="s">
        <v>45</v>
      </c>
      <c r="W329" s="7" t="s">
        <v>46</v>
      </c>
      <c r="X329" s="7" t="s">
        <v>47</v>
      </c>
      <c r="Y329" s="7" t="s">
        <v>810</v>
      </c>
      <c r="Z329" s="7" t="s">
        <v>884</v>
      </c>
      <c r="AA329" s="7"/>
      <c r="AB329" s="7"/>
      <c r="AC329" s="7" t="s">
        <v>39</v>
      </c>
      <c r="AD329" s="7"/>
      <c r="AE329" s="7"/>
      <c r="AF329" s="7" t="s">
        <v>50</v>
      </c>
      <c r="AG329" s="7" t="s">
        <v>51</v>
      </c>
      <c r="AH329" s="7" t="s">
        <v>52</v>
      </c>
    </row>
    <row r="330" spans="1:34" ht="9.75" customHeight="1" x14ac:dyDescent="0.2">
      <c r="A330" s="7" t="s">
        <v>37</v>
      </c>
      <c r="B330" s="7" t="s">
        <v>38</v>
      </c>
      <c r="C330" s="7"/>
      <c r="D330" s="7" t="s">
        <v>811</v>
      </c>
      <c r="E330" s="8">
        <v>1</v>
      </c>
      <c r="F330" s="7" t="s">
        <v>61</v>
      </c>
      <c r="G330" s="7"/>
      <c r="H330" s="9"/>
      <c r="I330" s="9"/>
      <c r="J330" s="9"/>
      <c r="K330" s="9"/>
      <c r="L330" s="10">
        <v>250</v>
      </c>
      <c r="M330" s="9"/>
      <c r="N330" s="10">
        <v>250</v>
      </c>
      <c r="O330" s="9"/>
      <c r="P330" s="10"/>
      <c r="Q330" s="10"/>
      <c r="R330" s="10"/>
      <c r="S330" s="7" t="s">
        <v>54</v>
      </c>
      <c r="T330" s="7" t="s">
        <v>607</v>
      </c>
      <c r="U330" s="7" t="s">
        <v>44</v>
      </c>
      <c r="V330" s="7" t="s">
        <v>45</v>
      </c>
      <c r="W330" s="7" t="s">
        <v>46</v>
      </c>
      <c r="X330" s="7" t="s">
        <v>47</v>
      </c>
      <c r="Y330" s="7" t="s">
        <v>812</v>
      </c>
      <c r="Z330" s="7" t="s">
        <v>884</v>
      </c>
      <c r="AA330" s="7"/>
      <c r="AB330" s="7"/>
      <c r="AC330" s="7" t="s">
        <v>39</v>
      </c>
      <c r="AD330" s="7"/>
      <c r="AE330" s="7"/>
      <c r="AF330" s="7" t="s">
        <v>50</v>
      </c>
      <c r="AG330" s="7" t="s">
        <v>51</v>
      </c>
      <c r="AH330" s="7" t="s">
        <v>52</v>
      </c>
    </row>
    <row r="331" spans="1:34" ht="9.75" customHeight="1" x14ac:dyDescent="0.2">
      <c r="A331" s="7" t="s">
        <v>37</v>
      </c>
      <c r="B331" s="7" t="s">
        <v>38</v>
      </c>
      <c r="C331" s="7"/>
      <c r="D331" s="7" t="s">
        <v>813</v>
      </c>
      <c r="E331" s="8">
        <v>1</v>
      </c>
      <c r="F331" s="7" t="s">
        <v>61</v>
      </c>
      <c r="G331" s="7"/>
      <c r="H331" s="9"/>
      <c r="I331" s="9"/>
      <c r="J331" s="9"/>
      <c r="K331" s="9"/>
      <c r="L331" s="10">
        <v>899</v>
      </c>
      <c r="M331" s="9"/>
      <c r="N331" s="10">
        <v>899</v>
      </c>
      <c r="O331" s="9"/>
      <c r="P331" s="10"/>
      <c r="Q331" s="10"/>
      <c r="R331" s="10"/>
      <c r="S331" s="7" t="s">
        <v>54</v>
      </c>
      <c r="T331" s="7" t="s">
        <v>607</v>
      </c>
      <c r="U331" s="7" t="s">
        <v>44</v>
      </c>
      <c r="V331" s="7" t="s">
        <v>45</v>
      </c>
      <c r="W331" s="7" t="s">
        <v>46</v>
      </c>
      <c r="X331" s="7" t="s">
        <v>47</v>
      </c>
      <c r="Y331" s="7" t="s">
        <v>814</v>
      </c>
      <c r="Z331" s="7" t="s">
        <v>884</v>
      </c>
      <c r="AA331" s="7"/>
      <c r="AB331" s="7"/>
      <c r="AC331" s="7" t="s">
        <v>39</v>
      </c>
      <c r="AD331" s="7"/>
      <c r="AE331" s="7"/>
      <c r="AF331" s="7" t="s">
        <v>50</v>
      </c>
      <c r="AG331" s="7" t="s">
        <v>51</v>
      </c>
      <c r="AH331" s="7" t="s">
        <v>52</v>
      </c>
    </row>
    <row r="332" spans="1:34" ht="9.75" customHeight="1" x14ac:dyDescent="0.2">
      <c r="A332" s="7" t="s">
        <v>37</v>
      </c>
      <c r="B332" s="7" t="s">
        <v>38</v>
      </c>
      <c r="C332" s="7"/>
      <c r="D332" s="7" t="s">
        <v>815</v>
      </c>
      <c r="E332" s="8">
        <v>1</v>
      </c>
      <c r="F332" s="7" t="s">
        <v>61</v>
      </c>
      <c r="G332" s="7"/>
      <c r="H332" s="9"/>
      <c r="I332" s="9"/>
      <c r="J332" s="9"/>
      <c r="K332" s="9"/>
      <c r="L332" s="10">
        <v>899</v>
      </c>
      <c r="M332" s="9"/>
      <c r="N332" s="10">
        <v>899</v>
      </c>
      <c r="O332" s="9"/>
      <c r="P332" s="10"/>
      <c r="Q332" s="10"/>
      <c r="R332" s="10"/>
      <c r="S332" s="7" t="s">
        <v>54</v>
      </c>
      <c r="T332" s="7" t="s">
        <v>607</v>
      </c>
      <c r="U332" s="7" t="s">
        <v>44</v>
      </c>
      <c r="V332" s="7" t="s">
        <v>45</v>
      </c>
      <c r="W332" s="7" t="s">
        <v>46</v>
      </c>
      <c r="X332" s="7" t="s">
        <v>47</v>
      </c>
      <c r="Y332" s="7" t="s">
        <v>816</v>
      </c>
      <c r="Z332" s="7" t="s">
        <v>884</v>
      </c>
      <c r="AA332" s="7"/>
      <c r="AB332" s="7"/>
      <c r="AC332" s="7" t="s">
        <v>39</v>
      </c>
      <c r="AD332" s="7"/>
      <c r="AE332" s="7"/>
      <c r="AF332" s="7" t="s">
        <v>50</v>
      </c>
      <c r="AG332" s="7" t="s">
        <v>51</v>
      </c>
      <c r="AH332" s="7" t="s">
        <v>52</v>
      </c>
    </row>
    <row r="333" spans="1:34" ht="9.75" customHeight="1" x14ac:dyDescent="0.2">
      <c r="A333" s="7" t="s">
        <v>37</v>
      </c>
      <c r="B333" s="7" t="s">
        <v>38</v>
      </c>
      <c r="C333" s="7"/>
      <c r="D333" s="7" t="s">
        <v>885</v>
      </c>
      <c r="E333" s="8">
        <v>1</v>
      </c>
      <c r="F333" s="7" t="s">
        <v>61</v>
      </c>
      <c r="G333" s="7"/>
      <c r="H333" s="9"/>
      <c r="I333" s="9"/>
      <c r="J333" s="9"/>
      <c r="K333" s="9"/>
      <c r="L333" s="10">
        <v>899</v>
      </c>
      <c r="M333" s="9"/>
      <c r="N333" s="10">
        <v>899</v>
      </c>
      <c r="O333" s="9"/>
      <c r="P333" s="10"/>
      <c r="Q333" s="10"/>
      <c r="R333" s="10"/>
      <c r="S333" s="7" t="s">
        <v>54</v>
      </c>
      <c r="T333" s="7" t="s">
        <v>607</v>
      </c>
      <c r="U333" s="7" t="s">
        <v>44</v>
      </c>
      <c r="V333" s="7" t="s">
        <v>45</v>
      </c>
      <c r="W333" s="7" t="s">
        <v>46</v>
      </c>
      <c r="X333" s="7" t="s">
        <v>47</v>
      </c>
      <c r="Y333" s="7" t="s">
        <v>886</v>
      </c>
      <c r="Z333" s="7" t="s">
        <v>884</v>
      </c>
      <c r="AA333" s="7"/>
      <c r="AB333" s="7"/>
      <c r="AC333" s="7" t="s">
        <v>39</v>
      </c>
      <c r="AD333" s="7"/>
      <c r="AE333" s="7"/>
      <c r="AF333" s="7" t="s">
        <v>50</v>
      </c>
      <c r="AG333" s="7" t="s">
        <v>51</v>
      </c>
      <c r="AH333" s="7" t="s">
        <v>52</v>
      </c>
    </row>
    <row r="334" spans="1:34" ht="9.75" customHeight="1" x14ac:dyDescent="0.2">
      <c r="A334" s="7" t="s">
        <v>37</v>
      </c>
      <c r="B334" s="7" t="s">
        <v>38</v>
      </c>
      <c r="C334" s="7"/>
      <c r="D334" s="7" t="s">
        <v>887</v>
      </c>
      <c r="E334" s="8">
        <v>1</v>
      </c>
      <c r="F334" s="7" t="s">
        <v>61</v>
      </c>
      <c r="G334" s="7"/>
      <c r="H334" s="9"/>
      <c r="I334" s="9"/>
      <c r="J334" s="9"/>
      <c r="K334" s="9"/>
      <c r="L334" s="10">
        <v>913</v>
      </c>
      <c r="M334" s="9"/>
      <c r="N334" s="10">
        <v>913</v>
      </c>
      <c r="O334" s="9"/>
      <c r="P334" s="10"/>
      <c r="Q334" s="10"/>
      <c r="R334" s="10"/>
      <c r="S334" s="7" t="s">
        <v>54</v>
      </c>
      <c r="T334" s="7" t="s">
        <v>607</v>
      </c>
      <c r="U334" s="7" t="s">
        <v>44</v>
      </c>
      <c r="V334" s="7" t="s">
        <v>45</v>
      </c>
      <c r="W334" s="7" t="s">
        <v>46</v>
      </c>
      <c r="X334" s="7" t="s">
        <v>47</v>
      </c>
      <c r="Y334" s="7" t="s">
        <v>888</v>
      </c>
      <c r="Z334" s="7" t="s">
        <v>884</v>
      </c>
      <c r="AA334" s="7"/>
      <c r="AB334" s="7"/>
      <c r="AC334" s="7" t="s">
        <v>39</v>
      </c>
      <c r="AD334" s="7"/>
      <c r="AE334" s="7"/>
      <c r="AF334" s="7" t="s">
        <v>50</v>
      </c>
      <c r="AG334" s="7" t="s">
        <v>51</v>
      </c>
      <c r="AH334" s="7" t="s">
        <v>52</v>
      </c>
    </row>
    <row r="335" spans="1:34" ht="9.75" customHeight="1" x14ac:dyDescent="0.2">
      <c r="A335" s="7" t="s">
        <v>37</v>
      </c>
      <c r="B335" s="7" t="s">
        <v>38</v>
      </c>
      <c r="C335" s="7"/>
      <c r="D335" s="7" t="s">
        <v>889</v>
      </c>
      <c r="E335" s="8">
        <v>1</v>
      </c>
      <c r="F335" s="7" t="s">
        <v>61</v>
      </c>
      <c r="G335" s="7"/>
      <c r="H335" s="9"/>
      <c r="I335" s="9"/>
      <c r="J335" s="9"/>
      <c r="K335" s="9"/>
      <c r="L335" s="10">
        <v>899</v>
      </c>
      <c r="M335" s="9"/>
      <c r="N335" s="10">
        <v>899</v>
      </c>
      <c r="O335" s="9"/>
      <c r="P335" s="10"/>
      <c r="Q335" s="10"/>
      <c r="R335" s="10"/>
      <c r="S335" s="7" t="s">
        <v>54</v>
      </c>
      <c r="T335" s="7" t="s">
        <v>607</v>
      </c>
      <c r="U335" s="7" t="s">
        <v>44</v>
      </c>
      <c r="V335" s="7" t="s">
        <v>45</v>
      </c>
      <c r="W335" s="7" t="s">
        <v>46</v>
      </c>
      <c r="X335" s="7" t="s">
        <v>47</v>
      </c>
      <c r="Y335" s="7" t="s">
        <v>890</v>
      </c>
      <c r="Z335" s="7" t="s">
        <v>884</v>
      </c>
      <c r="AA335" s="7"/>
      <c r="AB335" s="7"/>
      <c r="AC335" s="7" t="s">
        <v>39</v>
      </c>
      <c r="AD335" s="7"/>
      <c r="AE335" s="7"/>
      <c r="AF335" s="7" t="s">
        <v>50</v>
      </c>
      <c r="AG335" s="7" t="s">
        <v>51</v>
      </c>
      <c r="AH335" s="7" t="s">
        <v>52</v>
      </c>
    </row>
    <row r="336" spans="1:34" ht="9.75" customHeight="1" x14ac:dyDescent="0.2">
      <c r="A336" s="7" t="s">
        <v>37</v>
      </c>
      <c r="B336" s="7" t="s">
        <v>38</v>
      </c>
      <c r="C336" s="7"/>
      <c r="D336" s="7" t="s">
        <v>820</v>
      </c>
      <c r="E336" s="8">
        <v>1</v>
      </c>
      <c r="F336" s="7" t="s">
        <v>61</v>
      </c>
      <c r="G336" s="7"/>
      <c r="H336" s="9"/>
      <c r="I336" s="9"/>
      <c r="J336" s="9"/>
      <c r="K336" s="9"/>
      <c r="L336" s="10">
        <v>7376</v>
      </c>
      <c r="M336" s="9"/>
      <c r="N336" s="10">
        <v>7376</v>
      </c>
      <c r="O336" s="9"/>
      <c r="P336" s="10"/>
      <c r="Q336" s="10"/>
      <c r="R336" s="10"/>
      <c r="S336" s="7" t="s">
        <v>54</v>
      </c>
      <c r="T336" s="7" t="s">
        <v>607</v>
      </c>
      <c r="U336" s="7" t="s">
        <v>44</v>
      </c>
      <c r="V336" s="7" t="s">
        <v>45</v>
      </c>
      <c r="W336" s="7" t="s">
        <v>46</v>
      </c>
      <c r="X336" s="7" t="s">
        <v>47</v>
      </c>
      <c r="Y336" s="7" t="s">
        <v>821</v>
      </c>
      <c r="Z336" s="7" t="s">
        <v>884</v>
      </c>
      <c r="AA336" s="7"/>
      <c r="AB336" s="7"/>
      <c r="AC336" s="7" t="s">
        <v>39</v>
      </c>
      <c r="AD336" s="7"/>
      <c r="AE336" s="7"/>
      <c r="AF336" s="7" t="s">
        <v>50</v>
      </c>
      <c r="AG336" s="7" t="s">
        <v>51</v>
      </c>
      <c r="AH336" s="7" t="s">
        <v>52</v>
      </c>
    </row>
    <row r="337" spans="1:34" ht="9.75" customHeight="1" x14ac:dyDescent="0.2">
      <c r="A337" s="7" t="s">
        <v>37</v>
      </c>
      <c r="B337" s="7" t="s">
        <v>38</v>
      </c>
      <c r="C337" s="7"/>
      <c r="D337" s="7" t="s">
        <v>822</v>
      </c>
      <c r="E337" s="8">
        <v>1</v>
      </c>
      <c r="F337" s="7" t="s">
        <v>61</v>
      </c>
      <c r="G337" s="7"/>
      <c r="H337" s="9"/>
      <c r="I337" s="9"/>
      <c r="J337" s="9"/>
      <c r="K337" s="9"/>
      <c r="L337" s="10">
        <v>6000</v>
      </c>
      <c r="M337" s="9"/>
      <c r="N337" s="10">
        <v>6000</v>
      </c>
      <c r="O337" s="9"/>
      <c r="P337" s="10"/>
      <c r="Q337" s="10"/>
      <c r="R337" s="10"/>
      <c r="S337" s="7" t="s">
        <v>54</v>
      </c>
      <c r="T337" s="7" t="s">
        <v>607</v>
      </c>
      <c r="U337" s="7" t="s">
        <v>44</v>
      </c>
      <c r="V337" s="7" t="s">
        <v>45</v>
      </c>
      <c r="W337" s="7" t="s">
        <v>46</v>
      </c>
      <c r="X337" s="7" t="s">
        <v>47</v>
      </c>
      <c r="Y337" s="7" t="s">
        <v>823</v>
      </c>
      <c r="Z337" s="7" t="s">
        <v>884</v>
      </c>
      <c r="AA337" s="7"/>
      <c r="AB337" s="7"/>
      <c r="AC337" s="7" t="s">
        <v>39</v>
      </c>
      <c r="AD337" s="7"/>
      <c r="AE337" s="7"/>
      <c r="AF337" s="7" t="s">
        <v>50</v>
      </c>
      <c r="AG337" s="7" t="s">
        <v>51</v>
      </c>
      <c r="AH337" s="7" t="s">
        <v>52</v>
      </c>
    </row>
    <row r="338" spans="1:34" ht="9.75" customHeight="1" x14ac:dyDescent="0.2">
      <c r="A338" s="7" t="s">
        <v>37</v>
      </c>
      <c r="B338" s="7" t="s">
        <v>38</v>
      </c>
      <c r="C338" s="7"/>
      <c r="D338" s="7" t="s">
        <v>824</v>
      </c>
      <c r="E338" s="8">
        <v>1</v>
      </c>
      <c r="F338" s="7" t="s">
        <v>61</v>
      </c>
      <c r="G338" s="7"/>
      <c r="H338" s="9"/>
      <c r="I338" s="9"/>
      <c r="J338" s="9"/>
      <c r="K338" s="9"/>
      <c r="L338" s="10">
        <v>39441</v>
      </c>
      <c r="M338" s="9"/>
      <c r="N338" s="10">
        <v>39441</v>
      </c>
      <c r="O338" s="9"/>
      <c r="P338" s="10"/>
      <c r="Q338" s="10"/>
      <c r="R338" s="10"/>
      <c r="S338" s="7" t="s">
        <v>54</v>
      </c>
      <c r="T338" s="7" t="s">
        <v>607</v>
      </c>
      <c r="U338" s="7" t="s">
        <v>44</v>
      </c>
      <c r="V338" s="7" t="s">
        <v>45</v>
      </c>
      <c r="W338" s="7" t="s">
        <v>46</v>
      </c>
      <c r="X338" s="7" t="s">
        <v>47</v>
      </c>
      <c r="Y338" s="7" t="s">
        <v>825</v>
      </c>
      <c r="Z338" s="7" t="s">
        <v>884</v>
      </c>
      <c r="AA338" s="7"/>
      <c r="AB338" s="7"/>
      <c r="AC338" s="7" t="s">
        <v>39</v>
      </c>
      <c r="AD338" s="7"/>
      <c r="AE338" s="7"/>
      <c r="AF338" s="7" t="s">
        <v>50</v>
      </c>
      <c r="AG338" s="7" t="s">
        <v>51</v>
      </c>
      <c r="AH338" s="7" t="s">
        <v>52</v>
      </c>
    </row>
    <row r="339" spans="1:34" ht="9.75" customHeight="1" x14ac:dyDescent="0.2">
      <c r="A339" s="7" t="s">
        <v>37</v>
      </c>
      <c r="B339" s="7" t="s">
        <v>38</v>
      </c>
      <c r="C339" s="7"/>
      <c r="D339" s="7" t="s">
        <v>723</v>
      </c>
      <c r="E339" s="8">
        <v>1</v>
      </c>
      <c r="F339" s="7" t="s">
        <v>61</v>
      </c>
      <c r="G339" s="7"/>
      <c r="H339" s="9"/>
      <c r="I339" s="9"/>
      <c r="J339" s="9"/>
      <c r="K339" s="9"/>
      <c r="L339" s="10">
        <v>32778</v>
      </c>
      <c r="M339" s="9"/>
      <c r="N339" s="10">
        <v>32778</v>
      </c>
      <c r="O339" s="9"/>
      <c r="P339" s="10"/>
      <c r="Q339" s="10"/>
      <c r="R339" s="10"/>
      <c r="S339" s="7" t="s">
        <v>54</v>
      </c>
      <c r="T339" s="7" t="s">
        <v>607</v>
      </c>
      <c r="U339" s="7" t="s">
        <v>44</v>
      </c>
      <c r="V339" s="7" t="s">
        <v>45</v>
      </c>
      <c r="W339" s="7" t="s">
        <v>46</v>
      </c>
      <c r="X339" s="7" t="s">
        <v>47</v>
      </c>
      <c r="Y339" s="7" t="s">
        <v>724</v>
      </c>
      <c r="Z339" s="7" t="s">
        <v>891</v>
      </c>
      <c r="AA339" s="7"/>
      <c r="AB339" s="7"/>
      <c r="AC339" s="7" t="s">
        <v>39</v>
      </c>
      <c r="AD339" s="7"/>
      <c r="AE339" s="7"/>
      <c r="AF339" s="7" t="s">
        <v>50</v>
      </c>
      <c r="AG339" s="7" t="s">
        <v>51</v>
      </c>
      <c r="AH339" s="7" t="s">
        <v>52</v>
      </c>
    </row>
    <row r="340" spans="1:34" ht="9.75" customHeight="1" x14ac:dyDescent="0.2">
      <c r="A340" s="7" t="s">
        <v>37</v>
      </c>
      <c r="B340" s="7" t="s">
        <v>38</v>
      </c>
      <c r="C340" s="7"/>
      <c r="D340" s="7" t="s">
        <v>725</v>
      </c>
      <c r="E340" s="8">
        <v>1</v>
      </c>
      <c r="F340" s="7" t="s">
        <v>61</v>
      </c>
      <c r="G340" s="7"/>
      <c r="H340" s="9"/>
      <c r="I340" s="9"/>
      <c r="J340" s="9"/>
      <c r="K340" s="9"/>
      <c r="L340" s="10">
        <v>5998</v>
      </c>
      <c r="M340" s="9"/>
      <c r="N340" s="10">
        <v>5998</v>
      </c>
      <c r="O340" s="9"/>
      <c r="P340" s="10"/>
      <c r="Q340" s="10"/>
      <c r="R340" s="10"/>
      <c r="S340" s="7" t="s">
        <v>54</v>
      </c>
      <c r="T340" s="7" t="s">
        <v>607</v>
      </c>
      <c r="U340" s="7" t="s">
        <v>44</v>
      </c>
      <c r="V340" s="7" t="s">
        <v>45</v>
      </c>
      <c r="W340" s="7" t="s">
        <v>46</v>
      </c>
      <c r="X340" s="7" t="s">
        <v>47</v>
      </c>
      <c r="Y340" s="7" t="s">
        <v>726</v>
      </c>
      <c r="Z340" s="7" t="s">
        <v>891</v>
      </c>
      <c r="AA340" s="7"/>
      <c r="AB340" s="7"/>
      <c r="AC340" s="7" t="s">
        <v>39</v>
      </c>
      <c r="AD340" s="7"/>
      <c r="AE340" s="7"/>
      <c r="AF340" s="7" t="s">
        <v>50</v>
      </c>
      <c r="AG340" s="7" t="s">
        <v>51</v>
      </c>
      <c r="AH340" s="7" t="s">
        <v>52</v>
      </c>
    </row>
    <row r="341" spans="1:34" ht="9.75" customHeight="1" x14ac:dyDescent="0.2">
      <c r="A341" s="7" t="s">
        <v>37</v>
      </c>
      <c r="B341" s="7" t="s">
        <v>38</v>
      </c>
      <c r="C341" s="7"/>
      <c r="D341" s="7" t="s">
        <v>665</v>
      </c>
      <c r="E341" s="8">
        <v>1</v>
      </c>
      <c r="F341" s="7" t="s">
        <v>61</v>
      </c>
      <c r="G341" s="7"/>
      <c r="H341" s="9"/>
      <c r="I341" s="9"/>
      <c r="J341" s="9"/>
      <c r="K341" s="9"/>
      <c r="L341" s="10">
        <v>7721</v>
      </c>
      <c r="M341" s="9"/>
      <c r="N341" s="10">
        <v>7721</v>
      </c>
      <c r="O341" s="9"/>
      <c r="P341" s="10"/>
      <c r="Q341" s="10"/>
      <c r="R341" s="10"/>
      <c r="S341" s="7" t="s">
        <v>54</v>
      </c>
      <c r="T341" s="7" t="s">
        <v>607</v>
      </c>
      <c r="U341" s="7" t="s">
        <v>44</v>
      </c>
      <c r="V341" s="7" t="s">
        <v>45</v>
      </c>
      <c r="W341" s="7" t="s">
        <v>46</v>
      </c>
      <c r="X341" s="7" t="s">
        <v>47</v>
      </c>
      <c r="Y341" s="7" t="s">
        <v>666</v>
      </c>
      <c r="Z341" s="7" t="s">
        <v>891</v>
      </c>
      <c r="AA341" s="7"/>
      <c r="AB341" s="7"/>
      <c r="AC341" s="7" t="s">
        <v>39</v>
      </c>
      <c r="AD341" s="7"/>
      <c r="AE341" s="7"/>
      <c r="AF341" s="7" t="s">
        <v>50</v>
      </c>
      <c r="AG341" s="7" t="s">
        <v>51</v>
      </c>
      <c r="AH341" s="7" t="s">
        <v>52</v>
      </c>
    </row>
    <row r="342" spans="1:34" ht="9.75" customHeight="1" x14ac:dyDescent="0.2">
      <c r="A342" s="7" t="s">
        <v>37</v>
      </c>
      <c r="B342" s="7" t="s">
        <v>38</v>
      </c>
      <c r="C342" s="7"/>
      <c r="D342" s="7" t="s">
        <v>668</v>
      </c>
      <c r="E342" s="8">
        <v>1</v>
      </c>
      <c r="F342" s="7" t="s">
        <v>61</v>
      </c>
      <c r="G342" s="7"/>
      <c r="H342" s="9"/>
      <c r="I342" s="9"/>
      <c r="J342" s="9"/>
      <c r="K342" s="9"/>
      <c r="L342" s="10">
        <v>8891</v>
      </c>
      <c r="M342" s="9"/>
      <c r="N342" s="10">
        <v>8891</v>
      </c>
      <c r="O342" s="9"/>
      <c r="P342" s="10"/>
      <c r="Q342" s="10"/>
      <c r="R342" s="10"/>
      <c r="S342" s="7" t="s">
        <v>54</v>
      </c>
      <c r="T342" s="7" t="s">
        <v>607</v>
      </c>
      <c r="U342" s="7" t="s">
        <v>44</v>
      </c>
      <c r="V342" s="7" t="s">
        <v>45</v>
      </c>
      <c r="W342" s="7" t="s">
        <v>46</v>
      </c>
      <c r="X342" s="7" t="s">
        <v>47</v>
      </c>
      <c r="Y342" s="7" t="s">
        <v>669</v>
      </c>
      <c r="Z342" s="7" t="s">
        <v>891</v>
      </c>
      <c r="AA342" s="7"/>
      <c r="AB342" s="7"/>
      <c r="AC342" s="7" t="s">
        <v>39</v>
      </c>
      <c r="AD342" s="7"/>
      <c r="AE342" s="7"/>
      <c r="AF342" s="7" t="s">
        <v>50</v>
      </c>
      <c r="AG342" s="7" t="s">
        <v>51</v>
      </c>
      <c r="AH342" s="7" t="s">
        <v>52</v>
      </c>
    </row>
    <row r="343" spans="1:34" ht="9.75" customHeight="1" x14ac:dyDescent="0.2">
      <c r="A343" s="7" t="s">
        <v>37</v>
      </c>
      <c r="B343" s="7" t="s">
        <v>38</v>
      </c>
      <c r="C343" s="7"/>
      <c r="D343" s="7" t="s">
        <v>840</v>
      </c>
      <c r="E343" s="8">
        <v>1</v>
      </c>
      <c r="F343" s="7" t="s">
        <v>61</v>
      </c>
      <c r="G343" s="7"/>
      <c r="H343" s="9"/>
      <c r="I343" s="9"/>
      <c r="J343" s="9"/>
      <c r="K343" s="9"/>
      <c r="L343" s="10">
        <v>0</v>
      </c>
      <c r="M343" s="9"/>
      <c r="N343" s="10">
        <v>0</v>
      </c>
      <c r="O343" s="9"/>
      <c r="P343" s="10"/>
      <c r="Q343" s="10"/>
      <c r="R343" s="10"/>
      <c r="S343" s="7" t="s">
        <v>54</v>
      </c>
      <c r="T343" s="7" t="s">
        <v>607</v>
      </c>
      <c r="U343" s="7" t="s">
        <v>44</v>
      </c>
      <c r="V343" s="7" t="s">
        <v>45</v>
      </c>
      <c r="W343" s="7" t="s">
        <v>46</v>
      </c>
      <c r="X343" s="7" t="s">
        <v>47</v>
      </c>
      <c r="Y343" s="7" t="s">
        <v>841</v>
      </c>
      <c r="Z343" s="7" t="s">
        <v>891</v>
      </c>
      <c r="AA343" s="7"/>
      <c r="AB343" s="7"/>
      <c r="AC343" s="7" t="s">
        <v>39</v>
      </c>
      <c r="AD343" s="7"/>
      <c r="AE343" s="7"/>
      <c r="AF343" s="7" t="s">
        <v>50</v>
      </c>
      <c r="AG343" s="7" t="s">
        <v>51</v>
      </c>
      <c r="AH343" s="7" t="s">
        <v>52</v>
      </c>
    </row>
    <row r="344" spans="1:34" ht="9.75" customHeight="1" x14ac:dyDescent="0.2">
      <c r="A344" s="7" t="s">
        <v>37</v>
      </c>
      <c r="B344" s="7" t="s">
        <v>38</v>
      </c>
      <c r="C344" s="7"/>
      <c r="D344" s="7" t="s">
        <v>842</v>
      </c>
      <c r="E344" s="8">
        <v>1</v>
      </c>
      <c r="F344" s="7" t="s">
        <v>61</v>
      </c>
      <c r="G344" s="7"/>
      <c r="H344" s="9"/>
      <c r="I344" s="9"/>
      <c r="J344" s="9"/>
      <c r="K344" s="9"/>
      <c r="L344" s="10">
        <v>85951</v>
      </c>
      <c r="M344" s="9"/>
      <c r="N344" s="10">
        <v>85951</v>
      </c>
      <c r="O344" s="9"/>
      <c r="P344" s="10"/>
      <c r="Q344" s="10"/>
      <c r="R344" s="10"/>
      <c r="S344" s="7" t="s">
        <v>54</v>
      </c>
      <c r="T344" s="7" t="s">
        <v>607</v>
      </c>
      <c r="U344" s="7" t="s">
        <v>44</v>
      </c>
      <c r="V344" s="7" t="s">
        <v>45</v>
      </c>
      <c r="W344" s="7" t="s">
        <v>46</v>
      </c>
      <c r="X344" s="7" t="s">
        <v>47</v>
      </c>
      <c r="Y344" s="7" t="s">
        <v>843</v>
      </c>
      <c r="Z344" s="7" t="s">
        <v>891</v>
      </c>
      <c r="AA344" s="7"/>
      <c r="AB344" s="7"/>
      <c r="AC344" s="7" t="s">
        <v>39</v>
      </c>
      <c r="AD344" s="7"/>
      <c r="AE344" s="7"/>
      <c r="AF344" s="7" t="s">
        <v>50</v>
      </c>
      <c r="AG344" s="7" t="s">
        <v>51</v>
      </c>
      <c r="AH344" s="7" t="s">
        <v>52</v>
      </c>
    </row>
    <row r="345" spans="1:34" ht="9.75" customHeight="1" x14ac:dyDescent="0.2">
      <c r="A345" s="7" t="s">
        <v>37</v>
      </c>
      <c r="B345" s="7" t="s">
        <v>38</v>
      </c>
      <c r="C345" s="7"/>
      <c r="D345" s="7" t="s">
        <v>842</v>
      </c>
      <c r="E345" s="8">
        <v>1</v>
      </c>
      <c r="F345" s="7" t="s">
        <v>61</v>
      </c>
      <c r="G345" s="7"/>
      <c r="H345" s="9"/>
      <c r="I345" s="9"/>
      <c r="J345" s="9"/>
      <c r="K345" s="9"/>
      <c r="L345" s="10">
        <v>0</v>
      </c>
      <c r="M345" s="9"/>
      <c r="N345" s="10">
        <v>0</v>
      </c>
      <c r="O345" s="9"/>
      <c r="P345" s="10"/>
      <c r="Q345" s="10"/>
      <c r="R345" s="10"/>
      <c r="S345" s="7" t="s">
        <v>54</v>
      </c>
      <c r="T345" s="7" t="s">
        <v>607</v>
      </c>
      <c r="U345" s="7" t="s">
        <v>44</v>
      </c>
      <c r="V345" s="7" t="s">
        <v>45</v>
      </c>
      <c r="W345" s="7" t="s">
        <v>46</v>
      </c>
      <c r="X345" s="7" t="s">
        <v>47</v>
      </c>
      <c r="Y345" s="7" t="s">
        <v>843</v>
      </c>
      <c r="Z345" s="7" t="s">
        <v>891</v>
      </c>
      <c r="AA345" s="7"/>
      <c r="AB345" s="7"/>
      <c r="AC345" s="7" t="s">
        <v>39</v>
      </c>
      <c r="AD345" s="7"/>
      <c r="AE345" s="7"/>
      <c r="AF345" s="7" t="s">
        <v>50</v>
      </c>
      <c r="AG345" s="7" t="s">
        <v>51</v>
      </c>
      <c r="AH345" s="7" t="s">
        <v>52</v>
      </c>
    </row>
    <row r="346" spans="1:34" ht="9.75" customHeight="1" x14ac:dyDescent="0.2">
      <c r="A346" s="7" t="s">
        <v>37</v>
      </c>
      <c r="B346" s="7" t="s">
        <v>38</v>
      </c>
      <c r="C346" s="7"/>
      <c r="D346" s="7" t="s">
        <v>844</v>
      </c>
      <c r="E346" s="8">
        <v>1</v>
      </c>
      <c r="F346" s="7" t="s">
        <v>61</v>
      </c>
      <c r="G346" s="7"/>
      <c r="H346" s="9"/>
      <c r="I346" s="9"/>
      <c r="J346" s="9"/>
      <c r="K346" s="9"/>
      <c r="L346" s="10">
        <v>0</v>
      </c>
      <c r="M346" s="9"/>
      <c r="N346" s="10">
        <v>0</v>
      </c>
      <c r="O346" s="9"/>
      <c r="P346" s="10"/>
      <c r="Q346" s="10"/>
      <c r="R346" s="10"/>
      <c r="S346" s="7" t="s">
        <v>54</v>
      </c>
      <c r="T346" s="7" t="s">
        <v>607</v>
      </c>
      <c r="U346" s="7" t="s">
        <v>44</v>
      </c>
      <c r="V346" s="7" t="s">
        <v>45</v>
      </c>
      <c r="W346" s="7" t="s">
        <v>46</v>
      </c>
      <c r="X346" s="7" t="s">
        <v>47</v>
      </c>
      <c r="Y346" s="7" t="s">
        <v>845</v>
      </c>
      <c r="Z346" s="7" t="s">
        <v>891</v>
      </c>
      <c r="AA346" s="7"/>
      <c r="AB346" s="7"/>
      <c r="AC346" s="7" t="s">
        <v>39</v>
      </c>
      <c r="AD346" s="7"/>
      <c r="AE346" s="7"/>
      <c r="AF346" s="7" t="s">
        <v>50</v>
      </c>
      <c r="AG346" s="7" t="s">
        <v>51</v>
      </c>
      <c r="AH346" s="7" t="s">
        <v>52</v>
      </c>
    </row>
    <row r="347" spans="1:34" ht="9.75" customHeight="1" x14ac:dyDescent="0.2">
      <c r="A347" s="7" t="s">
        <v>37</v>
      </c>
      <c r="B347" s="7" t="s">
        <v>38</v>
      </c>
      <c r="C347" s="7"/>
      <c r="D347" s="7" t="s">
        <v>892</v>
      </c>
      <c r="E347" s="8">
        <v>1</v>
      </c>
      <c r="F347" s="7" t="s">
        <v>41</v>
      </c>
      <c r="G347" s="7"/>
      <c r="H347" s="9"/>
      <c r="I347" s="10">
        <v>898865</v>
      </c>
      <c r="J347" s="9"/>
      <c r="K347" s="9"/>
      <c r="L347" s="10">
        <v>433200</v>
      </c>
      <c r="M347" s="9"/>
      <c r="N347" s="10">
        <v>433200</v>
      </c>
      <c r="O347" s="9"/>
      <c r="P347" s="10"/>
      <c r="Q347" s="10"/>
      <c r="R347" s="10"/>
      <c r="S347" s="7" t="s">
        <v>407</v>
      </c>
      <c r="T347" s="7" t="s">
        <v>73</v>
      </c>
      <c r="U347" s="7" t="s">
        <v>44</v>
      </c>
      <c r="V347" s="7" t="s">
        <v>45</v>
      </c>
      <c r="W347" s="7" t="s">
        <v>67</v>
      </c>
      <c r="X347" s="7" t="s">
        <v>68</v>
      </c>
      <c r="Y347" s="7" t="s">
        <v>893</v>
      </c>
      <c r="Z347" s="7" t="s">
        <v>894</v>
      </c>
      <c r="AA347" s="7"/>
      <c r="AB347" s="7"/>
      <c r="AC347" s="7" t="s">
        <v>64</v>
      </c>
      <c r="AD347" s="7"/>
      <c r="AE347" s="7" t="s">
        <v>410</v>
      </c>
      <c r="AF347" s="7" t="s">
        <v>50</v>
      </c>
      <c r="AG347" s="7" t="s">
        <v>67</v>
      </c>
      <c r="AH347" s="7" t="s">
        <v>71</v>
      </c>
    </row>
    <row r="348" spans="1:34" ht="9.75" customHeight="1" x14ac:dyDescent="0.2">
      <c r="A348" s="7" t="s">
        <v>37</v>
      </c>
      <c r="B348" s="7" t="s">
        <v>38</v>
      </c>
      <c r="C348" s="7"/>
      <c r="D348" s="7" t="s">
        <v>895</v>
      </c>
      <c r="E348" s="8">
        <v>1</v>
      </c>
      <c r="F348" s="7" t="s">
        <v>41</v>
      </c>
      <c r="G348" s="7"/>
      <c r="H348" s="9"/>
      <c r="I348" s="10">
        <v>8275549</v>
      </c>
      <c r="J348" s="9"/>
      <c r="K348" s="9"/>
      <c r="L348" s="10">
        <v>9054331</v>
      </c>
      <c r="M348" s="9"/>
      <c r="N348" s="10">
        <v>9054331</v>
      </c>
      <c r="O348" s="9"/>
      <c r="P348" s="10"/>
      <c r="Q348" s="10"/>
      <c r="R348" s="10"/>
      <c r="S348" s="7" t="s">
        <v>407</v>
      </c>
      <c r="T348" s="7" t="s">
        <v>73</v>
      </c>
      <c r="U348" s="7" t="s">
        <v>44</v>
      </c>
      <c r="V348" s="7" t="s">
        <v>45</v>
      </c>
      <c r="W348" s="7" t="s">
        <v>67</v>
      </c>
      <c r="X348" s="7" t="s">
        <v>68</v>
      </c>
      <c r="Y348" s="7" t="s">
        <v>896</v>
      </c>
      <c r="Z348" s="7" t="s">
        <v>894</v>
      </c>
      <c r="AA348" s="7"/>
      <c r="AB348" s="7"/>
      <c r="AC348" s="7" t="s">
        <v>64</v>
      </c>
      <c r="AD348" s="7"/>
      <c r="AE348" s="7" t="s">
        <v>207</v>
      </c>
      <c r="AF348" s="7" t="s">
        <v>50</v>
      </c>
      <c r="AG348" s="7" t="s">
        <v>67</v>
      </c>
      <c r="AH348" s="7" t="s">
        <v>71</v>
      </c>
    </row>
    <row r="349" spans="1:34" ht="9.75" customHeight="1" x14ac:dyDescent="0.2">
      <c r="A349" s="7" t="s">
        <v>37</v>
      </c>
      <c r="B349" s="7" t="s">
        <v>38</v>
      </c>
      <c r="C349" s="7"/>
      <c r="D349" s="7" t="s">
        <v>897</v>
      </c>
      <c r="E349" s="8">
        <v>1</v>
      </c>
      <c r="F349" s="7" t="s">
        <v>41</v>
      </c>
      <c r="G349" s="7"/>
      <c r="H349" s="9"/>
      <c r="I349" s="10">
        <v>412753</v>
      </c>
      <c r="J349" s="9"/>
      <c r="K349" s="9"/>
      <c r="L349" s="10">
        <v>284992</v>
      </c>
      <c r="M349" s="9"/>
      <c r="N349" s="10">
        <v>284992</v>
      </c>
      <c r="O349" s="9"/>
      <c r="P349" s="10"/>
      <c r="Q349" s="10"/>
      <c r="R349" s="10"/>
      <c r="S349" s="7" t="s">
        <v>407</v>
      </c>
      <c r="T349" s="7" t="s">
        <v>73</v>
      </c>
      <c r="U349" s="7" t="s">
        <v>44</v>
      </c>
      <c r="V349" s="7" t="s">
        <v>45</v>
      </c>
      <c r="W349" s="7" t="s">
        <v>67</v>
      </c>
      <c r="X349" s="7" t="s">
        <v>68</v>
      </c>
      <c r="Y349" s="7" t="s">
        <v>898</v>
      </c>
      <c r="Z349" s="7" t="s">
        <v>894</v>
      </c>
      <c r="AA349" s="7"/>
      <c r="AB349" s="7"/>
      <c r="AC349" s="7" t="s">
        <v>64</v>
      </c>
      <c r="AD349" s="7"/>
      <c r="AE349" s="7" t="s">
        <v>415</v>
      </c>
      <c r="AF349" s="7" t="s">
        <v>50</v>
      </c>
      <c r="AG349" s="7" t="s">
        <v>67</v>
      </c>
      <c r="AH349" s="7" t="s">
        <v>71</v>
      </c>
    </row>
    <row r="350" spans="1:34" ht="9.75" customHeight="1" x14ac:dyDescent="0.2">
      <c r="A350" s="7" t="s">
        <v>37</v>
      </c>
      <c r="B350" s="7" t="s">
        <v>38</v>
      </c>
      <c r="C350" s="7"/>
      <c r="D350" s="7" t="s">
        <v>899</v>
      </c>
      <c r="E350" s="8">
        <v>1</v>
      </c>
      <c r="F350" s="7" t="s">
        <v>41</v>
      </c>
      <c r="G350" s="7"/>
      <c r="H350" s="9"/>
      <c r="I350" s="10">
        <v>266941</v>
      </c>
      <c r="J350" s="9"/>
      <c r="K350" s="9"/>
      <c r="L350" s="10">
        <v>396759</v>
      </c>
      <c r="M350" s="9"/>
      <c r="N350" s="10">
        <v>396759</v>
      </c>
      <c r="O350" s="9"/>
      <c r="P350" s="10"/>
      <c r="Q350" s="10"/>
      <c r="R350" s="10"/>
      <c r="S350" s="7" t="s">
        <v>407</v>
      </c>
      <c r="T350" s="7" t="s">
        <v>73</v>
      </c>
      <c r="U350" s="7" t="s">
        <v>44</v>
      </c>
      <c r="V350" s="7" t="s">
        <v>45</v>
      </c>
      <c r="W350" s="7" t="s">
        <v>67</v>
      </c>
      <c r="X350" s="7" t="s">
        <v>68</v>
      </c>
      <c r="Y350" s="7" t="s">
        <v>900</v>
      </c>
      <c r="Z350" s="7" t="s">
        <v>894</v>
      </c>
      <c r="AA350" s="7"/>
      <c r="AB350" s="7"/>
      <c r="AC350" s="7" t="s">
        <v>64</v>
      </c>
      <c r="AD350" s="7"/>
      <c r="AE350" s="7"/>
      <c r="AF350" s="7" t="s">
        <v>50</v>
      </c>
      <c r="AG350" s="7" t="s">
        <v>67</v>
      </c>
      <c r="AH350" s="7" t="s">
        <v>71</v>
      </c>
    </row>
    <row r="351" spans="1:34" ht="9.75" customHeight="1" x14ac:dyDescent="0.2">
      <c r="A351" s="7" t="s">
        <v>37</v>
      </c>
      <c r="B351" s="7" t="s">
        <v>38</v>
      </c>
      <c r="C351" s="7"/>
      <c r="D351" s="7" t="s">
        <v>901</v>
      </c>
      <c r="E351" s="8">
        <v>1</v>
      </c>
      <c r="F351" s="7" t="s">
        <v>41</v>
      </c>
      <c r="G351" s="7"/>
      <c r="H351" s="9"/>
      <c r="I351" s="10">
        <v>2034582</v>
      </c>
      <c r="J351" s="9"/>
      <c r="K351" s="9"/>
      <c r="L351" s="10">
        <v>2524461</v>
      </c>
      <c r="M351" s="9"/>
      <c r="N351" s="10">
        <v>2524461</v>
      </c>
      <c r="O351" s="9"/>
      <c r="P351" s="10"/>
      <c r="Q351" s="10"/>
      <c r="R351" s="10"/>
      <c r="S351" s="7" t="s">
        <v>407</v>
      </c>
      <c r="T351" s="7" t="s">
        <v>73</v>
      </c>
      <c r="U351" s="7" t="s">
        <v>44</v>
      </c>
      <c r="V351" s="7" t="s">
        <v>45</v>
      </c>
      <c r="W351" s="7" t="s">
        <v>67</v>
      </c>
      <c r="X351" s="7" t="s">
        <v>68</v>
      </c>
      <c r="Y351" s="7" t="s">
        <v>902</v>
      </c>
      <c r="Z351" s="7" t="s">
        <v>894</v>
      </c>
      <c r="AA351" s="7"/>
      <c r="AB351" s="7"/>
      <c r="AC351" s="7" t="s">
        <v>64</v>
      </c>
      <c r="AD351" s="7"/>
      <c r="AE351" s="7" t="s">
        <v>420</v>
      </c>
      <c r="AF351" s="7" t="s">
        <v>50</v>
      </c>
      <c r="AG351" s="7" t="s">
        <v>67</v>
      </c>
      <c r="AH351" s="7" t="s">
        <v>71</v>
      </c>
    </row>
    <row r="352" spans="1:34" ht="9.75" customHeight="1" x14ac:dyDescent="0.2">
      <c r="A352" s="7" t="s">
        <v>37</v>
      </c>
      <c r="B352" s="7" t="s">
        <v>38</v>
      </c>
      <c r="C352" s="7"/>
      <c r="D352" s="7" t="s">
        <v>903</v>
      </c>
      <c r="E352" s="8">
        <v>1</v>
      </c>
      <c r="F352" s="7" t="s">
        <v>41</v>
      </c>
      <c r="G352" s="7"/>
      <c r="H352" s="9"/>
      <c r="I352" s="10">
        <v>29985</v>
      </c>
      <c r="J352" s="9"/>
      <c r="K352" s="9"/>
      <c r="L352" s="10">
        <v>23121</v>
      </c>
      <c r="M352" s="9"/>
      <c r="N352" s="10">
        <v>23121</v>
      </c>
      <c r="O352" s="9"/>
      <c r="P352" s="10"/>
      <c r="Q352" s="10"/>
      <c r="R352" s="10"/>
      <c r="S352" s="7" t="s">
        <v>407</v>
      </c>
      <c r="T352" s="7" t="s">
        <v>73</v>
      </c>
      <c r="U352" s="7" t="s">
        <v>44</v>
      </c>
      <c r="V352" s="7" t="s">
        <v>45</v>
      </c>
      <c r="W352" s="7" t="s">
        <v>67</v>
      </c>
      <c r="X352" s="7" t="s">
        <v>68</v>
      </c>
      <c r="Y352" s="7" t="s">
        <v>904</v>
      </c>
      <c r="Z352" s="7" t="s">
        <v>894</v>
      </c>
      <c r="AA352" s="7"/>
      <c r="AB352" s="7"/>
      <c r="AC352" s="7" t="s">
        <v>64</v>
      </c>
      <c r="AD352" s="7"/>
      <c r="AE352" s="7"/>
      <c r="AF352" s="7" t="s">
        <v>50</v>
      </c>
      <c r="AG352" s="7" t="s">
        <v>67</v>
      </c>
      <c r="AH352" s="7" t="s">
        <v>71</v>
      </c>
    </row>
    <row r="353" spans="1:34" ht="9.75" customHeight="1" x14ac:dyDescent="0.2">
      <c r="A353" s="7" t="s">
        <v>37</v>
      </c>
      <c r="B353" s="7" t="s">
        <v>38</v>
      </c>
      <c r="C353" s="7"/>
      <c r="D353" s="7" t="s">
        <v>905</v>
      </c>
      <c r="E353" s="8">
        <v>1</v>
      </c>
      <c r="F353" s="7" t="s">
        <v>41</v>
      </c>
      <c r="G353" s="7"/>
      <c r="H353" s="9"/>
      <c r="I353" s="10">
        <v>1147050</v>
      </c>
      <c r="J353" s="9"/>
      <c r="K353" s="9"/>
      <c r="L353" s="10">
        <v>1404576</v>
      </c>
      <c r="M353" s="9"/>
      <c r="N353" s="10">
        <v>1404576</v>
      </c>
      <c r="O353" s="9"/>
      <c r="P353" s="10"/>
      <c r="Q353" s="10"/>
      <c r="R353" s="10"/>
      <c r="S353" s="7" t="s">
        <v>407</v>
      </c>
      <c r="T353" s="7" t="s">
        <v>73</v>
      </c>
      <c r="U353" s="7" t="s">
        <v>44</v>
      </c>
      <c r="V353" s="7" t="s">
        <v>45</v>
      </c>
      <c r="W353" s="7" t="s">
        <v>67</v>
      </c>
      <c r="X353" s="7" t="s">
        <v>68</v>
      </c>
      <c r="Y353" s="7" t="s">
        <v>906</v>
      </c>
      <c r="Z353" s="7" t="s">
        <v>894</v>
      </c>
      <c r="AA353" s="7"/>
      <c r="AB353" s="7"/>
      <c r="AC353" s="7" t="s">
        <v>64</v>
      </c>
      <c r="AD353" s="7"/>
      <c r="AE353" s="7" t="s">
        <v>907</v>
      </c>
      <c r="AF353" s="7" t="s">
        <v>50</v>
      </c>
      <c r="AG353" s="7" t="s">
        <v>67</v>
      </c>
      <c r="AH353" s="7" t="s">
        <v>71</v>
      </c>
    </row>
    <row r="354" spans="1:34" ht="9.75" customHeight="1" x14ac:dyDescent="0.2">
      <c r="A354" s="7" t="s">
        <v>37</v>
      </c>
      <c r="B354" s="7" t="s">
        <v>38</v>
      </c>
      <c r="C354" s="7"/>
      <c r="D354" s="7" t="s">
        <v>908</v>
      </c>
      <c r="E354" s="8">
        <v>1</v>
      </c>
      <c r="F354" s="7" t="s">
        <v>41</v>
      </c>
      <c r="G354" s="7"/>
      <c r="H354" s="9"/>
      <c r="I354" s="10">
        <v>130245</v>
      </c>
      <c r="J354" s="9"/>
      <c r="K354" s="9"/>
      <c r="L354" s="10">
        <v>126019</v>
      </c>
      <c r="M354" s="9"/>
      <c r="N354" s="10">
        <v>126019</v>
      </c>
      <c r="O354" s="9"/>
      <c r="P354" s="10"/>
      <c r="Q354" s="10"/>
      <c r="R354" s="10"/>
      <c r="S354" s="7" t="s">
        <v>407</v>
      </c>
      <c r="T354" s="7" t="s">
        <v>73</v>
      </c>
      <c r="U354" s="7" t="s">
        <v>44</v>
      </c>
      <c r="V354" s="7" t="s">
        <v>45</v>
      </c>
      <c r="W354" s="7" t="s">
        <v>67</v>
      </c>
      <c r="X354" s="7" t="s">
        <v>68</v>
      </c>
      <c r="Y354" s="7" t="s">
        <v>909</v>
      </c>
      <c r="Z354" s="7" t="s">
        <v>894</v>
      </c>
      <c r="AA354" s="7"/>
      <c r="AB354" s="7"/>
      <c r="AC354" s="7" t="s">
        <v>64</v>
      </c>
      <c r="AD354" s="7"/>
      <c r="AE354" s="7"/>
      <c r="AF354" s="7" t="s">
        <v>50</v>
      </c>
      <c r="AG354" s="7" t="s">
        <v>67</v>
      </c>
      <c r="AH354" s="7" t="s">
        <v>71</v>
      </c>
    </row>
    <row r="355" spans="1:34" ht="9.75" customHeight="1" x14ac:dyDescent="0.2">
      <c r="A355" s="7" t="s">
        <v>37</v>
      </c>
      <c r="B355" s="7" t="s">
        <v>38</v>
      </c>
      <c r="C355" s="7"/>
      <c r="D355" s="7" t="s">
        <v>910</v>
      </c>
      <c r="E355" s="8">
        <v>1</v>
      </c>
      <c r="F355" s="7" t="s">
        <v>41</v>
      </c>
      <c r="G355" s="7"/>
      <c r="H355" s="9"/>
      <c r="I355" s="10">
        <v>19356</v>
      </c>
      <c r="J355" s="9"/>
      <c r="K355" s="9"/>
      <c r="L355" s="10">
        <v>22709</v>
      </c>
      <c r="M355" s="9"/>
      <c r="N355" s="10">
        <v>22709</v>
      </c>
      <c r="O355" s="9"/>
      <c r="P355" s="10"/>
      <c r="Q355" s="10"/>
      <c r="R355" s="10"/>
      <c r="S355" s="7" t="s">
        <v>407</v>
      </c>
      <c r="T355" s="7" t="s">
        <v>73</v>
      </c>
      <c r="U355" s="7" t="s">
        <v>44</v>
      </c>
      <c r="V355" s="7" t="s">
        <v>45</v>
      </c>
      <c r="W355" s="7" t="s">
        <v>67</v>
      </c>
      <c r="X355" s="7" t="s">
        <v>68</v>
      </c>
      <c r="Y355" s="7" t="s">
        <v>911</v>
      </c>
      <c r="Z355" s="7" t="s">
        <v>912</v>
      </c>
      <c r="AA355" s="7"/>
      <c r="AB355" s="7"/>
      <c r="AC355" s="7" t="s">
        <v>64</v>
      </c>
      <c r="AD355" s="7"/>
      <c r="AE355" s="7" t="s">
        <v>913</v>
      </c>
      <c r="AF355" s="7" t="s">
        <v>50</v>
      </c>
      <c r="AG355" s="7" t="s">
        <v>67</v>
      </c>
      <c r="AH355" s="7" t="s">
        <v>71</v>
      </c>
    </row>
    <row r="356" spans="1:34" ht="9.75" customHeight="1" x14ac:dyDescent="0.2">
      <c r="A356" s="7" t="s">
        <v>37</v>
      </c>
      <c r="B356" s="7" t="s">
        <v>38</v>
      </c>
      <c r="C356" s="7"/>
      <c r="D356" s="7" t="s">
        <v>914</v>
      </c>
      <c r="E356" s="8">
        <v>1</v>
      </c>
      <c r="F356" s="7" t="s">
        <v>41</v>
      </c>
      <c r="G356" s="7"/>
      <c r="H356" s="9"/>
      <c r="I356" s="10">
        <v>7374</v>
      </c>
      <c r="J356" s="9"/>
      <c r="K356" s="9"/>
      <c r="L356" s="10">
        <v>8020</v>
      </c>
      <c r="M356" s="9"/>
      <c r="N356" s="10">
        <v>8020</v>
      </c>
      <c r="O356" s="9"/>
      <c r="P356" s="10"/>
      <c r="Q356" s="10"/>
      <c r="R356" s="10"/>
      <c r="S356" s="7" t="s">
        <v>407</v>
      </c>
      <c r="T356" s="7" t="s">
        <v>73</v>
      </c>
      <c r="U356" s="7" t="s">
        <v>44</v>
      </c>
      <c r="V356" s="7" t="s">
        <v>45</v>
      </c>
      <c r="W356" s="7" t="s">
        <v>67</v>
      </c>
      <c r="X356" s="7" t="s">
        <v>68</v>
      </c>
      <c r="Y356" s="7" t="s">
        <v>915</v>
      </c>
      <c r="Z356" s="7" t="s">
        <v>912</v>
      </c>
      <c r="AA356" s="7"/>
      <c r="AB356" s="7"/>
      <c r="AC356" s="7" t="s">
        <v>64</v>
      </c>
      <c r="AD356" s="7"/>
      <c r="AE356" s="7" t="s">
        <v>916</v>
      </c>
      <c r="AF356" s="7" t="s">
        <v>50</v>
      </c>
      <c r="AG356" s="7" t="s">
        <v>67</v>
      </c>
      <c r="AH356" s="7" t="s">
        <v>71</v>
      </c>
    </row>
    <row r="357" spans="1:34" ht="9.75" customHeight="1" x14ac:dyDescent="0.2">
      <c r="A357" s="7" t="s">
        <v>37</v>
      </c>
      <c r="B357" s="7" t="s">
        <v>38</v>
      </c>
      <c r="C357" s="7"/>
      <c r="D357" s="7" t="s">
        <v>917</v>
      </c>
      <c r="E357" s="8">
        <v>1</v>
      </c>
      <c r="F357" s="7" t="s">
        <v>41</v>
      </c>
      <c r="G357" s="7"/>
      <c r="H357" s="9"/>
      <c r="I357" s="10">
        <v>8776</v>
      </c>
      <c r="J357" s="9"/>
      <c r="K357" s="9"/>
      <c r="L357" s="10">
        <v>8023</v>
      </c>
      <c r="M357" s="9"/>
      <c r="N357" s="10">
        <v>8023</v>
      </c>
      <c r="O357" s="9"/>
      <c r="P357" s="10"/>
      <c r="Q357" s="10"/>
      <c r="R357" s="10"/>
      <c r="S357" s="7" t="s">
        <v>407</v>
      </c>
      <c r="T357" s="7" t="s">
        <v>73</v>
      </c>
      <c r="U357" s="7" t="s">
        <v>44</v>
      </c>
      <c r="V357" s="7" t="s">
        <v>45</v>
      </c>
      <c r="W357" s="7" t="s">
        <v>67</v>
      </c>
      <c r="X357" s="7" t="s">
        <v>68</v>
      </c>
      <c r="Y357" s="7" t="s">
        <v>918</v>
      </c>
      <c r="Z357" s="7" t="s">
        <v>912</v>
      </c>
      <c r="AA357" s="7"/>
      <c r="AB357" s="7"/>
      <c r="AC357" s="7" t="s">
        <v>64</v>
      </c>
      <c r="AD357" s="7"/>
      <c r="AE357" s="7"/>
      <c r="AF357" s="7" t="s">
        <v>50</v>
      </c>
      <c r="AG357" s="7" t="s">
        <v>67</v>
      </c>
      <c r="AH357" s="7" t="s">
        <v>71</v>
      </c>
    </row>
    <row r="358" spans="1:34" ht="9.75" customHeight="1" x14ac:dyDescent="0.2">
      <c r="A358" s="7" t="s">
        <v>37</v>
      </c>
      <c r="B358" s="7" t="s">
        <v>38</v>
      </c>
      <c r="C358" s="7"/>
      <c r="D358" s="7" t="s">
        <v>919</v>
      </c>
      <c r="E358" s="8">
        <v>1</v>
      </c>
      <c r="F358" s="7" t="s">
        <v>41</v>
      </c>
      <c r="G358" s="7"/>
      <c r="H358" s="9"/>
      <c r="I358" s="10">
        <v>7076</v>
      </c>
      <c r="J358" s="9"/>
      <c r="K358" s="9"/>
      <c r="L358" s="10">
        <v>8251</v>
      </c>
      <c r="M358" s="9"/>
      <c r="N358" s="10">
        <v>8251</v>
      </c>
      <c r="O358" s="9"/>
      <c r="P358" s="10"/>
      <c r="Q358" s="10"/>
      <c r="R358" s="10"/>
      <c r="S358" s="7" t="s">
        <v>407</v>
      </c>
      <c r="T358" s="7" t="s">
        <v>73</v>
      </c>
      <c r="U358" s="7" t="s">
        <v>44</v>
      </c>
      <c r="V358" s="7" t="s">
        <v>45</v>
      </c>
      <c r="W358" s="7" t="s">
        <v>67</v>
      </c>
      <c r="X358" s="7" t="s">
        <v>68</v>
      </c>
      <c r="Y358" s="7" t="s">
        <v>920</v>
      </c>
      <c r="Z358" s="7" t="s">
        <v>912</v>
      </c>
      <c r="AA358" s="7"/>
      <c r="AB358" s="7"/>
      <c r="AC358" s="7" t="s">
        <v>64</v>
      </c>
      <c r="AD358" s="7"/>
      <c r="AE358" s="7" t="s">
        <v>921</v>
      </c>
      <c r="AF358" s="7" t="s">
        <v>50</v>
      </c>
      <c r="AG358" s="7" t="s">
        <v>67</v>
      </c>
      <c r="AH358" s="7" t="s">
        <v>71</v>
      </c>
    </row>
    <row r="359" spans="1:34" ht="9.75" customHeight="1" x14ac:dyDescent="0.2">
      <c r="A359" s="7" t="s">
        <v>37</v>
      </c>
      <c r="B359" s="7" t="s">
        <v>38</v>
      </c>
      <c r="C359" s="7"/>
      <c r="D359" s="7" t="s">
        <v>922</v>
      </c>
      <c r="E359" s="8">
        <v>1</v>
      </c>
      <c r="F359" s="7" t="s">
        <v>41</v>
      </c>
      <c r="G359" s="7"/>
      <c r="H359" s="9"/>
      <c r="I359" s="10">
        <v>7878</v>
      </c>
      <c r="J359" s="9"/>
      <c r="K359" s="9"/>
      <c r="L359" s="10">
        <v>12762</v>
      </c>
      <c r="M359" s="9"/>
      <c r="N359" s="10">
        <v>12762</v>
      </c>
      <c r="O359" s="9"/>
      <c r="P359" s="10"/>
      <c r="Q359" s="10"/>
      <c r="R359" s="10"/>
      <c r="S359" s="7" t="s">
        <v>407</v>
      </c>
      <c r="T359" s="7" t="s">
        <v>73</v>
      </c>
      <c r="U359" s="7" t="s">
        <v>44</v>
      </c>
      <c r="V359" s="7" t="s">
        <v>45</v>
      </c>
      <c r="W359" s="7" t="s">
        <v>67</v>
      </c>
      <c r="X359" s="7" t="s">
        <v>68</v>
      </c>
      <c r="Y359" s="7" t="s">
        <v>923</v>
      </c>
      <c r="Z359" s="7" t="s">
        <v>912</v>
      </c>
      <c r="AA359" s="7"/>
      <c r="AB359" s="7"/>
      <c r="AC359" s="7" t="s">
        <v>64</v>
      </c>
      <c r="AD359" s="7"/>
      <c r="AE359" s="7" t="s">
        <v>924</v>
      </c>
      <c r="AF359" s="7" t="s">
        <v>50</v>
      </c>
      <c r="AG359" s="7" t="s">
        <v>67</v>
      </c>
      <c r="AH359" s="7" t="s">
        <v>71</v>
      </c>
    </row>
    <row r="360" spans="1:34" ht="9.75" customHeight="1" x14ac:dyDescent="0.2">
      <c r="A360" s="7" t="s">
        <v>37</v>
      </c>
      <c r="B360" s="7" t="s">
        <v>38</v>
      </c>
      <c r="C360" s="7"/>
      <c r="D360" s="7" t="s">
        <v>925</v>
      </c>
      <c r="E360" s="8">
        <v>1</v>
      </c>
      <c r="F360" s="7" t="s">
        <v>41</v>
      </c>
      <c r="G360" s="7"/>
      <c r="H360" s="9"/>
      <c r="I360" s="10">
        <v>24437</v>
      </c>
      <c r="J360" s="9"/>
      <c r="K360" s="9"/>
      <c r="L360" s="10">
        <v>43206</v>
      </c>
      <c r="M360" s="9"/>
      <c r="N360" s="10">
        <v>43206</v>
      </c>
      <c r="O360" s="9"/>
      <c r="P360" s="10"/>
      <c r="Q360" s="10"/>
      <c r="R360" s="10"/>
      <c r="S360" s="7" t="s">
        <v>407</v>
      </c>
      <c r="T360" s="7" t="s">
        <v>73</v>
      </c>
      <c r="U360" s="7" t="s">
        <v>44</v>
      </c>
      <c r="V360" s="7" t="s">
        <v>45</v>
      </c>
      <c r="W360" s="7" t="s">
        <v>67</v>
      </c>
      <c r="X360" s="7" t="s">
        <v>68</v>
      </c>
      <c r="Y360" s="7" t="s">
        <v>926</v>
      </c>
      <c r="Z360" s="7" t="s">
        <v>912</v>
      </c>
      <c r="AA360" s="7"/>
      <c r="AB360" s="7"/>
      <c r="AC360" s="7" t="s">
        <v>64</v>
      </c>
      <c r="AD360" s="7"/>
      <c r="AE360" s="7" t="s">
        <v>927</v>
      </c>
      <c r="AF360" s="7" t="s">
        <v>50</v>
      </c>
      <c r="AG360" s="7" t="s">
        <v>67</v>
      </c>
      <c r="AH360" s="7" t="s">
        <v>71</v>
      </c>
    </row>
    <row r="361" spans="1:34" ht="9.75" customHeight="1" x14ac:dyDescent="0.2">
      <c r="A361" s="7" t="s">
        <v>37</v>
      </c>
      <c r="B361" s="7" t="s">
        <v>38</v>
      </c>
      <c r="C361" s="7"/>
      <c r="D361" s="7" t="s">
        <v>928</v>
      </c>
      <c r="E361" s="8">
        <v>1</v>
      </c>
      <c r="F361" s="7" t="s">
        <v>41</v>
      </c>
      <c r="G361" s="7"/>
      <c r="H361" s="9"/>
      <c r="I361" s="10">
        <v>4284</v>
      </c>
      <c r="J361" s="9"/>
      <c r="K361" s="9"/>
      <c r="L361" s="10">
        <v>5169</v>
      </c>
      <c r="M361" s="9"/>
      <c r="N361" s="10">
        <v>5169</v>
      </c>
      <c r="O361" s="9"/>
      <c r="P361" s="10"/>
      <c r="Q361" s="10"/>
      <c r="R361" s="10"/>
      <c r="S361" s="7" t="s">
        <v>407</v>
      </c>
      <c r="T361" s="7" t="s">
        <v>73</v>
      </c>
      <c r="U361" s="7" t="s">
        <v>44</v>
      </c>
      <c r="V361" s="7" t="s">
        <v>45</v>
      </c>
      <c r="W361" s="7" t="s">
        <v>67</v>
      </c>
      <c r="X361" s="7" t="s">
        <v>68</v>
      </c>
      <c r="Y361" s="7" t="s">
        <v>929</v>
      </c>
      <c r="Z361" s="7" t="s">
        <v>912</v>
      </c>
      <c r="AA361" s="7"/>
      <c r="AB361" s="7"/>
      <c r="AC361" s="7" t="s">
        <v>64</v>
      </c>
      <c r="AD361" s="7"/>
      <c r="AE361" s="7" t="s">
        <v>930</v>
      </c>
      <c r="AF361" s="7" t="s">
        <v>50</v>
      </c>
      <c r="AG361" s="7" t="s">
        <v>67</v>
      </c>
      <c r="AH361" s="7" t="s">
        <v>71</v>
      </c>
    </row>
    <row r="362" spans="1:34" ht="9.75" customHeight="1" x14ac:dyDescent="0.2">
      <c r="A362" s="7" t="s">
        <v>37</v>
      </c>
      <c r="B362" s="7" t="s">
        <v>38</v>
      </c>
      <c r="C362" s="7"/>
      <c r="D362" s="7" t="s">
        <v>931</v>
      </c>
      <c r="E362" s="8">
        <v>1</v>
      </c>
      <c r="F362" s="7" t="s">
        <v>41</v>
      </c>
      <c r="G362" s="7"/>
      <c r="H362" s="9"/>
      <c r="I362" s="10">
        <v>5469</v>
      </c>
      <c r="J362" s="9"/>
      <c r="K362" s="9"/>
      <c r="L362" s="10">
        <v>8536</v>
      </c>
      <c r="M362" s="9"/>
      <c r="N362" s="10">
        <v>8536</v>
      </c>
      <c r="O362" s="9"/>
      <c r="P362" s="10"/>
      <c r="Q362" s="10"/>
      <c r="R362" s="10"/>
      <c r="S362" s="7" t="s">
        <v>407</v>
      </c>
      <c r="T362" s="7" t="s">
        <v>73</v>
      </c>
      <c r="U362" s="7" t="s">
        <v>44</v>
      </c>
      <c r="V362" s="7" t="s">
        <v>45</v>
      </c>
      <c r="W362" s="7" t="s">
        <v>67</v>
      </c>
      <c r="X362" s="7" t="s">
        <v>68</v>
      </c>
      <c r="Y362" s="7" t="s">
        <v>932</v>
      </c>
      <c r="Z362" s="7" t="s">
        <v>912</v>
      </c>
      <c r="AA362" s="7"/>
      <c r="AB362" s="7"/>
      <c r="AC362" s="7" t="s">
        <v>64</v>
      </c>
      <c r="AD362" s="7"/>
      <c r="AE362" s="7" t="s">
        <v>933</v>
      </c>
      <c r="AF362" s="7" t="s">
        <v>50</v>
      </c>
      <c r="AG362" s="7" t="s">
        <v>67</v>
      </c>
      <c r="AH362" s="7" t="s">
        <v>71</v>
      </c>
    </row>
    <row r="363" spans="1:34" ht="9.75" customHeight="1" x14ac:dyDescent="0.2">
      <c r="A363" s="7" t="s">
        <v>37</v>
      </c>
      <c r="B363" s="7" t="s">
        <v>38</v>
      </c>
      <c r="C363" s="7"/>
      <c r="D363" s="7" t="s">
        <v>934</v>
      </c>
      <c r="E363" s="8">
        <v>1</v>
      </c>
      <c r="F363" s="7" t="s">
        <v>41</v>
      </c>
      <c r="G363" s="7"/>
      <c r="H363" s="9"/>
      <c r="I363" s="10">
        <v>14130</v>
      </c>
      <c r="J363" s="9"/>
      <c r="K363" s="9"/>
      <c r="L363" s="10">
        <v>13904</v>
      </c>
      <c r="M363" s="9"/>
      <c r="N363" s="10">
        <v>13904</v>
      </c>
      <c r="O363" s="9"/>
      <c r="P363" s="10"/>
      <c r="Q363" s="10"/>
      <c r="R363" s="10"/>
      <c r="S363" s="7" t="s">
        <v>407</v>
      </c>
      <c r="T363" s="7" t="s">
        <v>73</v>
      </c>
      <c r="U363" s="7" t="s">
        <v>44</v>
      </c>
      <c r="V363" s="7" t="s">
        <v>45</v>
      </c>
      <c r="W363" s="7" t="s">
        <v>67</v>
      </c>
      <c r="X363" s="7" t="s">
        <v>68</v>
      </c>
      <c r="Y363" s="7" t="s">
        <v>935</v>
      </c>
      <c r="Z363" s="7" t="s">
        <v>912</v>
      </c>
      <c r="AA363" s="7"/>
      <c r="AB363" s="7"/>
      <c r="AC363" s="7" t="s">
        <v>64</v>
      </c>
      <c r="AD363" s="7"/>
      <c r="AE363" s="7"/>
      <c r="AF363" s="7" t="s">
        <v>50</v>
      </c>
      <c r="AG363" s="7" t="s">
        <v>67</v>
      </c>
      <c r="AH363" s="7" t="s">
        <v>71</v>
      </c>
    </row>
    <row r="364" spans="1:34" ht="9.75" customHeight="1" x14ac:dyDescent="0.2">
      <c r="A364" s="7" t="s">
        <v>37</v>
      </c>
      <c r="B364" s="7" t="s">
        <v>38</v>
      </c>
      <c r="C364" s="7"/>
      <c r="D364" s="7" t="s">
        <v>936</v>
      </c>
      <c r="E364" s="8">
        <v>1</v>
      </c>
      <c r="F364" s="7" t="s">
        <v>41</v>
      </c>
      <c r="G364" s="7"/>
      <c r="H364" s="9"/>
      <c r="I364" s="10">
        <v>5048</v>
      </c>
      <c r="J364" s="9"/>
      <c r="K364" s="9"/>
      <c r="L364" s="10">
        <v>12514</v>
      </c>
      <c r="M364" s="9"/>
      <c r="N364" s="10">
        <v>12514</v>
      </c>
      <c r="O364" s="9"/>
      <c r="P364" s="10"/>
      <c r="Q364" s="10"/>
      <c r="R364" s="10"/>
      <c r="S364" s="7" t="s">
        <v>407</v>
      </c>
      <c r="T364" s="7" t="s">
        <v>73</v>
      </c>
      <c r="U364" s="7" t="s">
        <v>44</v>
      </c>
      <c r="V364" s="7" t="s">
        <v>45</v>
      </c>
      <c r="W364" s="7" t="s">
        <v>67</v>
      </c>
      <c r="X364" s="7" t="s">
        <v>68</v>
      </c>
      <c r="Y364" s="7" t="s">
        <v>937</v>
      </c>
      <c r="Z364" s="7" t="s">
        <v>912</v>
      </c>
      <c r="AA364" s="7"/>
      <c r="AB364" s="7"/>
      <c r="AC364" s="7" t="s">
        <v>64</v>
      </c>
      <c r="AD364" s="7"/>
      <c r="AE364" s="7" t="s">
        <v>938</v>
      </c>
      <c r="AF364" s="7" t="s">
        <v>50</v>
      </c>
      <c r="AG364" s="7" t="s">
        <v>67</v>
      </c>
      <c r="AH364" s="7" t="s">
        <v>71</v>
      </c>
    </row>
    <row r="365" spans="1:34" ht="9.75" customHeight="1" x14ac:dyDescent="0.2">
      <c r="A365" s="7" t="s">
        <v>37</v>
      </c>
      <c r="B365" s="7" t="s">
        <v>38</v>
      </c>
      <c r="C365" s="7"/>
      <c r="D365" s="7" t="s">
        <v>939</v>
      </c>
      <c r="E365" s="8">
        <v>1</v>
      </c>
      <c r="F365" s="7" t="s">
        <v>41</v>
      </c>
      <c r="G365" s="7"/>
      <c r="H365" s="9"/>
      <c r="I365" s="10">
        <v>5210</v>
      </c>
      <c r="J365" s="9"/>
      <c r="K365" s="9"/>
      <c r="L365" s="10">
        <v>5344</v>
      </c>
      <c r="M365" s="9"/>
      <c r="N365" s="10">
        <v>5344</v>
      </c>
      <c r="O365" s="9"/>
      <c r="P365" s="10"/>
      <c r="Q365" s="10"/>
      <c r="R365" s="10"/>
      <c r="S365" s="7" t="s">
        <v>407</v>
      </c>
      <c r="T365" s="7" t="s">
        <v>73</v>
      </c>
      <c r="U365" s="7" t="s">
        <v>44</v>
      </c>
      <c r="V365" s="7" t="s">
        <v>45</v>
      </c>
      <c r="W365" s="7" t="s">
        <v>67</v>
      </c>
      <c r="X365" s="7" t="s">
        <v>68</v>
      </c>
      <c r="Y365" s="7" t="s">
        <v>940</v>
      </c>
      <c r="Z365" s="7" t="s">
        <v>912</v>
      </c>
      <c r="AA365" s="7"/>
      <c r="AB365" s="7"/>
      <c r="AC365" s="7" t="s">
        <v>64</v>
      </c>
      <c r="AD365" s="7"/>
      <c r="AE365" s="7" t="s">
        <v>941</v>
      </c>
      <c r="AF365" s="7" t="s">
        <v>50</v>
      </c>
      <c r="AG365" s="7" t="s">
        <v>67</v>
      </c>
      <c r="AH365" s="7" t="s">
        <v>71</v>
      </c>
    </row>
    <row r="366" spans="1:34" ht="9.75" customHeight="1" x14ac:dyDescent="0.2">
      <c r="A366" s="7" t="s">
        <v>37</v>
      </c>
      <c r="B366" s="7" t="s">
        <v>38</v>
      </c>
      <c r="C366" s="7"/>
      <c r="D366" s="7" t="s">
        <v>942</v>
      </c>
      <c r="E366" s="8">
        <v>1</v>
      </c>
      <c r="F366" s="7" t="s">
        <v>41</v>
      </c>
      <c r="G366" s="7"/>
      <c r="H366" s="9"/>
      <c r="I366" s="9"/>
      <c r="J366" s="9"/>
      <c r="K366" s="9"/>
      <c r="L366" s="10">
        <v>9866</v>
      </c>
      <c r="M366" s="9"/>
      <c r="N366" s="10">
        <v>9866</v>
      </c>
      <c r="O366" s="9"/>
      <c r="P366" s="10"/>
      <c r="Q366" s="10"/>
      <c r="R366" s="10"/>
      <c r="S366" s="7" t="s">
        <v>407</v>
      </c>
      <c r="T366" s="7" t="s">
        <v>73</v>
      </c>
      <c r="U366" s="7" t="s">
        <v>44</v>
      </c>
      <c r="V366" s="7" t="s">
        <v>45</v>
      </c>
      <c r="W366" s="7" t="s">
        <v>67</v>
      </c>
      <c r="X366" s="7" t="s">
        <v>68</v>
      </c>
      <c r="Y366" s="7" t="s">
        <v>943</v>
      </c>
      <c r="Z366" s="7" t="s">
        <v>912</v>
      </c>
      <c r="AA366" s="7"/>
      <c r="AB366" s="7"/>
      <c r="AC366" s="7" t="s">
        <v>64</v>
      </c>
      <c r="AD366" s="7"/>
      <c r="AE366" s="7" t="s">
        <v>944</v>
      </c>
      <c r="AF366" s="7" t="s">
        <v>50</v>
      </c>
      <c r="AG366" s="7" t="s">
        <v>67</v>
      </c>
      <c r="AH366" s="7" t="s">
        <v>71</v>
      </c>
    </row>
    <row r="367" spans="1:34" ht="9.75" customHeight="1" x14ac:dyDescent="0.2">
      <c r="A367" s="7" t="s">
        <v>37</v>
      </c>
      <c r="B367" s="7" t="s">
        <v>38</v>
      </c>
      <c r="C367" s="7"/>
      <c r="D367" s="7" t="s">
        <v>945</v>
      </c>
      <c r="E367" s="8">
        <v>1</v>
      </c>
      <c r="F367" s="7" t="s">
        <v>41</v>
      </c>
      <c r="G367" s="7"/>
      <c r="H367" s="9"/>
      <c r="I367" s="10">
        <v>39605</v>
      </c>
      <c r="J367" s="9"/>
      <c r="K367" s="9"/>
      <c r="L367" s="10">
        <v>39900</v>
      </c>
      <c r="M367" s="9"/>
      <c r="N367" s="10">
        <v>39900</v>
      </c>
      <c r="O367" s="9"/>
      <c r="P367" s="10"/>
      <c r="Q367" s="10"/>
      <c r="R367" s="10"/>
      <c r="S367" s="7" t="s">
        <v>407</v>
      </c>
      <c r="T367" s="7" t="s">
        <v>73</v>
      </c>
      <c r="U367" s="7" t="s">
        <v>44</v>
      </c>
      <c r="V367" s="7" t="s">
        <v>45</v>
      </c>
      <c r="W367" s="7" t="s">
        <v>67</v>
      </c>
      <c r="X367" s="7" t="s">
        <v>68</v>
      </c>
      <c r="Y367" s="7" t="s">
        <v>946</v>
      </c>
      <c r="Z367" s="7" t="s">
        <v>912</v>
      </c>
      <c r="AA367" s="7"/>
      <c r="AB367" s="7"/>
      <c r="AC367" s="7" t="s">
        <v>64</v>
      </c>
      <c r="AD367" s="7"/>
      <c r="AE367" s="7" t="s">
        <v>947</v>
      </c>
      <c r="AF367" s="7" t="s">
        <v>50</v>
      </c>
      <c r="AG367" s="7" t="s">
        <v>67</v>
      </c>
      <c r="AH367" s="7" t="s">
        <v>71</v>
      </c>
    </row>
    <row r="368" spans="1:34" ht="9.75" customHeight="1" x14ac:dyDescent="0.2">
      <c r="A368" s="7" t="s">
        <v>37</v>
      </c>
      <c r="B368" s="7" t="s">
        <v>38</v>
      </c>
      <c r="C368" s="7"/>
      <c r="D368" s="7" t="s">
        <v>948</v>
      </c>
      <c r="E368" s="8">
        <v>1</v>
      </c>
      <c r="F368" s="7" t="s">
        <v>41</v>
      </c>
      <c r="G368" s="7"/>
      <c r="H368" s="9"/>
      <c r="I368" s="9"/>
      <c r="J368" s="9"/>
      <c r="K368" s="9"/>
      <c r="L368" s="10">
        <v>6122</v>
      </c>
      <c r="M368" s="9"/>
      <c r="N368" s="10">
        <v>6122</v>
      </c>
      <c r="O368" s="9"/>
      <c r="P368" s="10"/>
      <c r="Q368" s="10"/>
      <c r="R368" s="10"/>
      <c r="S368" s="7" t="s">
        <v>407</v>
      </c>
      <c r="T368" s="7" t="s">
        <v>73</v>
      </c>
      <c r="U368" s="7" t="s">
        <v>44</v>
      </c>
      <c r="V368" s="7" t="s">
        <v>45</v>
      </c>
      <c r="W368" s="7" t="s">
        <v>67</v>
      </c>
      <c r="X368" s="7" t="s">
        <v>68</v>
      </c>
      <c r="Y368" s="7" t="s">
        <v>949</v>
      </c>
      <c r="Z368" s="7" t="s">
        <v>912</v>
      </c>
      <c r="AA368" s="7"/>
      <c r="AB368" s="7"/>
      <c r="AC368" s="7" t="s">
        <v>64</v>
      </c>
      <c r="AD368" s="7"/>
      <c r="AE368" s="7" t="s">
        <v>950</v>
      </c>
      <c r="AF368" s="7" t="s">
        <v>50</v>
      </c>
      <c r="AG368" s="7" t="s">
        <v>67</v>
      </c>
      <c r="AH368" s="7" t="s">
        <v>71</v>
      </c>
    </row>
    <row r="369" spans="1:34" ht="9.75" customHeight="1" x14ac:dyDescent="0.2">
      <c r="A369" s="7" t="s">
        <v>37</v>
      </c>
      <c r="B369" s="7" t="s">
        <v>38</v>
      </c>
      <c r="C369" s="7"/>
      <c r="D369" s="7" t="s">
        <v>951</v>
      </c>
      <c r="E369" s="8">
        <v>1</v>
      </c>
      <c r="F369" s="7" t="s">
        <v>41</v>
      </c>
      <c r="G369" s="7"/>
      <c r="H369" s="9"/>
      <c r="I369" s="9"/>
      <c r="J369" s="9"/>
      <c r="K369" s="9"/>
      <c r="L369" s="10">
        <v>8363</v>
      </c>
      <c r="M369" s="9"/>
      <c r="N369" s="10">
        <v>8363</v>
      </c>
      <c r="O369" s="9"/>
      <c r="P369" s="10"/>
      <c r="Q369" s="10"/>
      <c r="R369" s="10"/>
      <c r="S369" s="7" t="s">
        <v>407</v>
      </c>
      <c r="T369" s="7" t="s">
        <v>73</v>
      </c>
      <c r="U369" s="7" t="s">
        <v>44</v>
      </c>
      <c r="V369" s="7" t="s">
        <v>45</v>
      </c>
      <c r="W369" s="7" t="s">
        <v>67</v>
      </c>
      <c r="X369" s="7" t="s">
        <v>68</v>
      </c>
      <c r="Y369" s="7" t="s">
        <v>952</v>
      </c>
      <c r="Z369" s="7" t="s">
        <v>912</v>
      </c>
      <c r="AA369" s="7"/>
      <c r="AB369" s="7"/>
      <c r="AC369" s="7" t="s">
        <v>64</v>
      </c>
      <c r="AD369" s="7"/>
      <c r="AE369" s="7" t="s">
        <v>953</v>
      </c>
      <c r="AF369" s="7" t="s">
        <v>50</v>
      </c>
      <c r="AG369" s="7" t="s">
        <v>67</v>
      </c>
      <c r="AH369" s="7" t="s">
        <v>71</v>
      </c>
    </row>
    <row r="370" spans="1:34" ht="9.75" customHeight="1" x14ac:dyDescent="0.2">
      <c r="A370" s="7" t="s">
        <v>37</v>
      </c>
      <c r="B370" s="7" t="s">
        <v>38</v>
      </c>
      <c r="C370" s="7"/>
      <c r="D370" s="7" t="s">
        <v>954</v>
      </c>
      <c r="E370" s="8">
        <v>1</v>
      </c>
      <c r="F370" s="7" t="s">
        <v>41</v>
      </c>
      <c r="G370" s="7"/>
      <c r="H370" s="9"/>
      <c r="I370" s="9"/>
      <c r="J370" s="9"/>
      <c r="K370" s="9"/>
      <c r="L370" s="10">
        <v>9325</v>
      </c>
      <c r="M370" s="9"/>
      <c r="N370" s="10">
        <v>9325</v>
      </c>
      <c r="O370" s="9"/>
      <c r="P370" s="10"/>
      <c r="Q370" s="10"/>
      <c r="R370" s="10"/>
      <c r="S370" s="7" t="s">
        <v>407</v>
      </c>
      <c r="T370" s="7" t="s">
        <v>73</v>
      </c>
      <c r="U370" s="7" t="s">
        <v>44</v>
      </c>
      <c r="V370" s="7" t="s">
        <v>45</v>
      </c>
      <c r="W370" s="7" t="s">
        <v>67</v>
      </c>
      <c r="X370" s="7" t="s">
        <v>68</v>
      </c>
      <c r="Y370" s="7" t="s">
        <v>955</v>
      </c>
      <c r="Z370" s="7" t="s">
        <v>912</v>
      </c>
      <c r="AA370" s="7"/>
      <c r="AB370" s="7"/>
      <c r="AC370" s="7" t="s">
        <v>64</v>
      </c>
      <c r="AD370" s="7"/>
      <c r="AE370" s="7" t="s">
        <v>956</v>
      </c>
      <c r="AF370" s="7" t="s">
        <v>50</v>
      </c>
      <c r="AG370" s="7" t="s">
        <v>67</v>
      </c>
      <c r="AH370" s="7" t="s">
        <v>71</v>
      </c>
    </row>
    <row r="371" spans="1:34" ht="9.75" customHeight="1" x14ac:dyDescent="0.2">
      <c r="A371" s="7" t="s">
        <v>37</v>
      </c>
      <c r="B371" s="7" t="s">
        <v>38</v>
      </c>
      <c r="C371" s="7"/>
      <c r="D371" s="7" t="s">
        <v>957</v>
      </c>
      <c r="E371" s="8">
        <v>1</v>
      </c>
      <c r="F371" s="7" t="s">
        <v>41</v>
      </c>
      <c r="G371" s="7"/>
      <c r="H371" s="9"/>
      <c r="I371" s="9"/>
      <c r="J371" s="9"/>
      <c r="K371" s="9"/>
      <c r="L371" s="10">
        <v>33900</v>
      </c>
      <c r="M371" s="9"/>
      <c r="N371" s="10">
        <v>33900</v>
      </c>
      <c r="O371" s="9"/>
      <c r="P371" s="10"/>
      <c r="Q371" s="10"/>
      <c r="R371" s="10"/>
      <c r="S371" s="7" t="s">
        <v>407</v>
      </c>
      <c r="T371" s="7" t="s">
        <v>73</v>
      </c>
      <c r="U371" s="7" t="s">
        <v>44</v>
      </c>
      <c r="V371" s="7" t="s">
        <v>45</v>
      </c>
      <c r="W371" s="7" t="s">
        <v>67</v>
      </c>
      <c r="X371" s="7" t="s">
        <v>68</v>
      </c>
      <c r="Y371" s="7" t="s">
        <v>958</v>
      </c>
      <c r="Z371" s="7" t="s">
        <v>912</v>
      </c>
      <c r="AA371" s="7"/>
      <c r="AB371" s="7"/>
      <c r="AC371" s="7" t="s">
        <v>64</v>
      </c>
      <c r="AD371" s="7"/>
      <c r="AE371" s="7" t="s">
        <v>959</v>
      </c>
      <c r="AF371" s="7" t="s">
        <v>50</v>
      </c>
      <c r="AG371" s="7" t="s">
        <v>67</v>
      </c>
      <c r="AH371" s="7" t="s">
        <v>71</v>
      </c>
    </row>
    <row r="372" spans="1:34" ht="9.75" customHeight="1" x14ac:dyDescent="0.2">
      <c r="A372" s="7" t="s">
        <v>37</v>
      </c>
      <c r="B372" s="7" t="s">
        <v>38</v>
      </c>
      <c r="C372" s="7"/>
      <c r="D372" s="7" t="s">
        <v>960</v>
      </c>
      <c r="E372" s="8">
        <v>1</v>
      </c>
      <c r="F372" s="7" t="s">
        <v>41</v>
      </c>
      <c r="G372" s="7"/>
      <c r="H372" s="9"/>
      <c r="I372" s="9"/>
      <c r="J372" s="9"/>
      <c r="K372" s="9"/>
      <c r="L372" s="10">
        <v>7500</v>
      </c>
      <c r="M372" s="9"/>
      <c r="N372" s="10">
        <v>7500</v>
      </c>
      <c r="O372" s="9"/>
      <c r="P372" s="10"/>
      <c r="Q372" s="10"/>
      <c r="R372" s="10"/>
      <c r="S372" s="7" t="s">
        <v>407</v>
      </c>
      <c r="T372" s="7" t="s">
        <v>73</v>
      </c>
      <c r="U372" s="7" t="s">
        <v>44</v>
      </c>
      <c r="V372" s="7" t="s">
        <v>45</v>
      </c>
      <c r="W372" s="7" t="s">
        <v>67</v>
      </c>
      <c r="X372" s="7" t="s">
        <v>68</v>
      </c>
      <c r="Y372" s="7" t="s">
        <v>961</v>
      </c>
      <c r="Z372" s="7" t="s">
        <v>912</v>
      </c>
      <c r="AA372" s="7"/>
      <c r="AB372" s="7"/>
      <c r="AC372" s="7" t="s">
        <v>64</v>
      </c>
      <c r="AD372" s="7"/>
      <c r="AE372" s="7" t="s">
        <v>962</v>
      </c>
      <c r="AF372" s="7" t="s">
        <v>50</v>
      </c>
      <c r="AG372" s="7" t="s">
        <v>67</v>
      </c>
      <c r="AH372" s="7" t="s">
        <v>71</v>
      </c>
    </row>
    <row r="373" spans="1:34" ht="9.75" customHeight="1" x14ac:dyDescent="0.2">
      <c r="A373" s="7" t="s">
        <v>37</v>
      </c>
      <c r="B373" s="7" t="s">
        <v>38</v>
      </c>
      <c r="C373" s="7"/>
      <c r="D373" s="7" t="s">
        <v>963</v>
      </c>
      <c r="E373" s="8">
        <v>1</v>
      </c>
      <c r="F373" s="7" t="s">
        <v>41</v>
      </c>
      <c r="G373" s="7"/>
      <c r="H373" s="9"/>
      <c r="I373" s="10">
        <v>2255</v>
      </c>
      <c r="J373" s="9"/>
      <c r="K373" s="9"/>
      <c r="L373" s="10">
        <v>2950</v>
      </c>
      <c r="M373" s="9"/>
      <c r="N373" s="10">
        <v>2950</v>
      </c>
      <c r="O373" s="9"/>
      <c r="P373" s="10"/>
      <c r="Q373" s="10"/>
      <c r="R373" s="10"/>
      <c r="S373" s="7" t="s">
        <v>407</v>
      </c>
      <c r="T373" s="7" t="s">
        <v>73</v>
      </c>
      <c r="U373" s="7" t="s">
        <v>44</v>
      </c>
      <c r="V373" s="7" t="s">
        <v>45</v>
      </c>
      <c r="W373" s="7" t="s">
        <v>67</v>
      </c>
      <c r="X373" s="7" t="s">
        <v>68</v>
      </c>
      <c r="Y373" s="7" t="s">
        <v>964</v>
      </c>
      <c r="Z373" s="7" t="s">
        <v>912</v>
      </c>
      <c r="AA373" s="7"/>
      <c r="AB373" s="7"/>
      <c r="AC373" s="7" t="s">
        <v>64</v>
      </c>
      <c r="AD373" s="7"/>
      <c r="AE373" s="7" t="s">
        <v>965</v>
      </c>
      <c r="AF373" s="7" t="s">
        <v>50</v>
      </c>
      <c r="AG373" s="7" t="s">
        <v>67</v>
      </c>
      <c r="AH373" s="7" t="s">
        <v>71</v>
      </c>
    </row>
    <row r="374" spans="1:34" ht="9.75" customHeight="1" x14ac:dyDescent="0.2">
      <c r="A374" s="7" t="s">
        <v>37</v>
      </c>
      <c r="B374" s="7" t="s">
        <v>38</v>
      </c>
      <c r="C374" s="7"/>
      <c r="D374" s="7" t="s">
        <v>966</v>
      </c>
      <c r="E374" s="8">
        <v>1</v>
      </c>
      <c r="F374" s="7" t="s">
        <v>41</v>
      </c>
      <c r="G374" s="7"/>
      <c r="H374" s="9"/>
      <c r="I374" s="10">
        <v>2199</v>
      </c>
      <c r="J374" s="9"/>
      <c r="K374" s="9"/>
      <c r="L374" s="10">
        <v>2233</v>
      </c>
      <c r="M374" s="9"/>
      <c r="N374" s="10">
        <v>2233</v>
      </c>
      <c r="O374" s="9"/>
      <c r="P374" s="10"/>
      <c r="Q374" s="10"/>
      <c r="R374" s="10"/>
      <c r="S374" s="7" t="s">
        <v>407</v>
      </c>
      <c r="T374" s="7" t="s">
        <v>73</v>
      </c>
      <c r="U374" s="7" t="s">
        <v>44</v>
      </c>
      <c r="V374" s="7" t="s">
        <v>45</v>
      </c>
      <c r="W374" s="7" t="s">
        <v>67</v>
      </c>
      <c r="X374" s="7" t="s">
        <v>68</v>
      </c>
      <c r="Y374" s="7" t="s">
        <v>967</v>
      </c>
      <c r="Z374" s="7" t="s">
        <v>912</v>
      </c>
      <c r="AA374" s="7"/>
      <c r="AB374" s="7"/>
      <c r="AC374" s="7" t="s">
        <v>64</v>
      </c>
      <c r="AD374" s="7"/>
      <c r="AE374" s="7" t="s">
        <v>968</v>
      </c>
      <c r="AF374" s="7" t="s">
        <v>50</v>
      </c>
      <c r="AG374" s="7" t="s">
        <v>67</v>
      </c>
      <c r="AH374" s="7" t="s">
        <v>71</v>
      </c>
    </row>
    <row r="375" spans="1:34" ht="9.75" customHeight="1" x14ac:dyDescent="0.2">
      <c r="A375" s="7" t="s">
        <v>37</v>
      </c>
      <c r="B375" s="7" t="s">
        <v>38</v>
      </c>
      <c r="C375" s="7"/>
      <c r="D375" s="7" t="s">
        <v>969</v>
      </c>
      <c r="E375" s="8">
        <v>1</v>
      </c>
      <c r="F375" s="7" t="s">
        <v>41</v>
      </c>
      <c r="G375" s="7"/>
      <c r="H375" s="9"/>
      <c r="I375" s="10">
        <v>1226</v>
      </c>
      <c r="J375" s="9"/>
      <c r="K375" s="9"/>
      <c r="L375" s="10">
        <v>1244</v>
      </c>
      <c r="M375" s="9"/>
      <c r="N375" s="10">
        <v>1244</v>
      </c>
      <c r="O375" s="9"/>
      <c r="P375" s="10"/>
      <c r="Q375" s="10"/>
      <c r="R375" s="10"/>
      <c r="S375" s="7" t="s">
        <v>407</v>
      </c>
      <c r="T375" s="7" t="s">
        <v>73</v>
      </c>
      <c r="U375" s="7" t="s">
        <v>44</v>
      </c>
      <c r="V375" s="7" t="s">
        <v>45</v>
      </c>
      <c r="W375" s="7" t="s">
        <v>67</v>
      </c>
      <c r="X375" s="7" t="s">
        <v>68</v>
      </c>
      <c r="Y375" s="7" t="s">
        <v>970</v>
      </c>
      <c r="Z375" s="7" t="s">
        <v>912</v>
      </c>
      <c r="AA375" s="7"/>
      <c r="AB375" s="7"/>
      <c r="AC375" s="7" t="s">
        <v>64</v>
      </c>
      <c r="AD375" s="7"/>
      <c r="AE375" s="7"/>
      <c r="AF375" s="7" t="s">
        <v>50</v>
      </c>
      <c r="AG375" s="7" t="s">
        <v>67</v>
      </c>
      <c r="AH375" s="7" t="s">
        <v>71</v>
      </c>
    </row>
    <row r="376" spans="1:34" ht="9.75" customHeight="1" x14ac:dyDescent="0.2">
      <c r="A376" s="7" t="s">
        <v>37</v>
      </c>
      <c r="B376" s="7" t="s">
        <v>38</v>
      </c>
      <c r="C376" s="7"/>
      <c r="D376" s="7" t="s">
        <v>971</v>
      </c>
      <c r="E376" s="8">
        <v>1</v>
      </c>
      <c r="F376" s="7" t="s">
        <v>41</v>
      </c>
      <c r="G376" s="7"/>
      <c r="H376" s="9"/>
      <c r="I376" s="10">
        <v>8301</v>
      </c>
      <c r="J376" s="9"/>
      <c r="K376" s="9"/>
      <c r="L376" s="10">
        <v>7187</v>
      </c>
      <c r="M376" s="9"/>
      <c r="N376" s="10">
        <v>7187</v>
      </c>
      <c r="O376" s="9"/>
      <c r="P376" s="10"/>
      <c r="Q376" s="10"/>
      <c r="R376" s="10"/>
      <c r="S376" s="7" t="s">
        <v>407</v>
      </c>
      <c r="T376" s="7" t="s">
        <v>73</v>
      </c>
      <c r="U376" s="7" t="s">
        <v>44</v>
      </c>
      <c r="V376" s="7" t="s">
        <v>45</v>
      </c>
      <c r="W376" s="7" t="s">
        <v>67</v>
      </c>
      <c r="X376" s="7" t="s">
        <v>68</v>
      </c>
      <c r="Y376" s="7" t="s">
        <v>972</v>
      </c>
      <c r="Z376" s="7" t="s">
        <v>912</v>
      </c>
      <c r="AA376" s="7"/>
      <c r="AB376" s="7"/>
      <c r="AC376" s="7" t="s">
        <v>64</v>
      </c>
      <c r="AD376" s="7"/>
      <c r="AE376" s="7" t="s">
        <v>973</v>
      </c>
      <c r="AF376" s="7" t="s">
        <v>50</v>
      </c>
      <c r="AG376" s="7" t="s">
        <v>67</v>
      </c>
      <c r="AH376" s="7" t="s">
        <v>71</v>
      </c>
    </row>
    <row r="377" spans="1:34" ht="9.75" customHeight="1" x14ac:dyDescent="0.2">
      <c r="A377" s="7" t="s">
        <v>37</v>
      </c>
      <c r="B377" s="7" t="s">
        <v>38</v>
      </c>
      <c r="C377" s="7"/>
      <c r="D377" s="7" t="s">
        <v>974</v>
      </c>
      <c r="E377" s="8">
        <v>1</v>
      </c>
      <c r="F377" s="7" t="s">
        <v>41</v>
      </c>
      <c r="G377" s="7"/>
      <c r="H377" s="9"/>
      <c r="I377" s="10">
        <v>1980</v>
      </c>
      <c r="J377" s="9"/>
      <c r="K377" s="9"/>
      <c r="L377" s="10">
        <v>2888</v>
      </c>
      <c r="M377" s="9"/>
      <c r="N377" s="10">
        <v>2888</v>
      </c>
      <c r="O377" s="9"/>
      <c r="P377" s="10"/>
      <c r="Q377" s="10"/>
      <c r="R377" s="10"/>
      <c r="S377" s="7" t="s">
        <v>407</v>
      </c>
      <c r="T377" s="7" t="s">
        <v>73</v>
      </c>
      <c r="U377" s="7" t="s">
        <v>44</v>
      </c>
      <c r="V377" s="7" t="s">
        <v>45</v>
      </c>
      <c r="W377" s="7" t="s">
        <v>67</v>
      </c>
      <c r="X377" s="7" t="s">
        <v>68</v>
      </c>
      <c r="Y377" s="7" t="s">
        <v>975</v>
      </c>
      <c r="Z377" s="7" t="s">
        <v>912</v>
      </c>
      <c r="AA377" s="7"/>
      <c r="AB377" s="7"/>
      <c r="AC377" s="7" t="s">
        <v>64</v>
      </c>
      <c r="AD377" s="7"/>
      <c r="AE377" s="7" t="s">
        <v>976</v>
      </c>
      <c r="AF377" s="7" t="s">
        <v>50</v>
      </c>
      <c r="AG377" s="7" t="s">
        <v>67</v>
      </c>
      <c r="AH377" s="7" t="s">
        <v>71</v>
      </c>
    </row>
    <row r="378" spans="1:34" ht="9.75" customHeight="1" x14ac:dyDescent="0.2">
      <c r="A378" s="7" t="s">
        <v>37</v>
      </c>
      <c r="B378" s="7" t="s">
        <v>38</v>
      </c>
      <c r="C378" s="7"/>
      <c r="D378" s="7" t="s">
        <v>977</v>
      </c>
      <c r="E378" s="8">
        <v>1</v>
      </c>
      <c r="F378" s="7" t="s">
        <v>41</v>
      </c>
      <c r="G378" s="7"/>
      <c r="H378" s="9"/>
      <c r="I378" s="9"/>
      <c r="J378" s="9"/>
      <c r="K378" s="9"/>
      <c r="L378" s="10">
        <v>2624</v>
      </c>
      <c r="M378" s="9"/>
      <c r="N378" s="10">
        <v>2624</v>
      </c>
      <c r="O378" s="9"/>
      <c r="P378" s="10"/>
      <c r="Q378" s="10"/>
      <c r="R378" s="10"/>
      <c r="S378" s="7" t="s">
        <v>407</v>
      </c>
      <c r="T378" s="7" t="s">
        <v>73</v>
      </c>
      <c r="U378" s="7" t="s">
        <v>44</v>
      </c>
      <c r="V378" s="7" t="s">
        <v>45</v>
      </c>
      <c r="W378" s="7" t="s">
        <v>67</v>
      </c>
      <c r="X378" s="7" t="s">
        <v>68</v>
      </c>
      <c r="Y378" s="7" t="s">
        <v>978</v>
      </c>
      <c r="Z378" s="7" t="s">
        <v>912</v>
      </c>
      <c r="AA378" s="7"/>
      <c r="AB378" s="7"/>
      <c r="AC378" s="7" t="s">
        <v>64</v>
      </c>
      <c r="AD378" s="7"/>
      <c r="AE378" s="7" t="s">
        <v>979</v>
      </c>
      <c r="AF378" s="7" t="s">
        <v>50</v>
      </c>
      <c r="AG378" s="7" t="s">
        <v>67</v>
      </c>
      <c r="AH378" s="7" t="s">
        <v>71</v>
      </c>
    </row>
    <row r="379" spans="1:34" ht="9.75" customHeight="1" x14ac:dyDescent="0.2">
      <c r="A379" s="7" t="s">
        <v>37</v>
      </c>
      <c r="B379" s="7" t="s">
        <v>38</v>
      </c>
      <c r="C379" s="7"/>
      <c r="D379" s="7" t="s">
        <v>980</v>
      </c>
      <c r="E379" s="8">
        <v>1</v>
      </c>
      <c r="F379" s="7" t="s">
        <v>41</v>
      </c>
      <c r="G379" s="7"/>
      <c r="H379" s="9"/>
      <c r="I379" s="10">
        <v>7056</v>
      </c>
      <c r="J379" s="9"/>
      <c r="K379" s="9"/>
      <c r="L379" s="10">
        <v>19549</v>
      </c>
      <c r="M379" s="9"/>
      <c r="N379" s="10">
        <v>19549</v>
      </c>
      <c r="O379" s="9"/>
      <c r="P379" s="10"/>
      <c r="Q379" s="10"/>
      <c r="R379" s="10"/>
      <c r="S379" s="7" t="s">
        <v>407</v>
      </c>
      <c r="T379" s="7" t="s">
        <v>73</v>
      </c>
      <c r="U379" s="7" t="s">
        <v>44</v>
      </c>
      <c r="V379" s="7" t="s">
        <v>45</v>
      </c>
      <c r="W379" s="7" t="s">
        <v>67</v>
      </c>
      <c r="X379" s="7" t="s">
        <v>68</v>
      </c>
      <c r="Y379" s="7" t="s">
        <v>981</v>
      </c>
      <c r="Z379" s="7" t="s">
        <v>912</v>
      </c>
      <c r="AA379" s="7"/>
      <c r="AB379" s="7"/>
      <c r="AC379" s="7" t="s">
        <v>64</v>
      </c>
      <c r="AD379" s="7"/>
      <c r="AE379" s="7" t="s">
        <v>982</v>
      </c>
      <c r="AF379" s="7" t="s">
        <v>50</v>
      </c>
      <c r="AG379" s="7" t="s">
        <v>67</v>
      </c>
      <c r="AH379" s="7" t="s">
        <v>71</v>
      </c>
    </row>
    <row r="380" spans="1:34" ht="9.75" customHeight="1" x14ac:dyDescent="0.2">
      <c r="A380" s="7" t="s">
        <v>37</v>
      </c>
      <c r="B380" s="7" t="s">
        <v>38</v>
      </c>
      <c r="C380" s="7"/>
      <c r="D380" s="7" t="s">
        <v>983</v>
      </c>
      <c r="E380" s="8">
        <v>1</v>
      </c>
      <c r="F380" s="7" t="s">
        <v>41</v>
      </c>
      <c r="G380" s="7"/>
      <c r="H380" s="9"/>
      <c r="I380" s="10">
        <v>9271</v>
      </c>
      <c r="J380" s="9"/>
      <c r="K380" s="9"/>
      <c r="L380" s="10">
        <v>8272</v>
      </c>
      <c r="M380" s="9"/>
      <c r="N380" s="10">
        <v>8272</v>
      </c>
      <c r="O380" s="9"/>
      <c r="P380" s="10"/>
      <c r="Q380" s="10"/>
      <c r="R380" s="10"/>
      <c r="S380" s="7" t="s">
        <v>407</v>
      </c>
      <c r="T380" s="7" t="s">
        <v>73</v>
      </c>
      <c r="U380" s="7" t="s">
        <v>44</v>
      </c>
      <c r="V380" s="7" t="s">
        <v>45</v>
      </c>
      <c r="W380" s="7" t="s">
        <v>67</v>
      </c>
      <c r="X380" s="7" t="s">
        <v>68</v>
      </c>
      <c r="Y380" s="7" t="s">
        <v>984</v>
      </c>
      <c r="Z380" s="7" t="s">
        <v>912</v>
      </c>
      <c r="AA380" s="7"/>
      <c r="AB380" s="7"/>
      <c r="AC380" s="7" t="s">
        <v>64</v>
      </c>
      <c r="AD380" s="7"/>
      <c r="AE380" s="7" t="s">
        <v>985</v>
      </c>
      <c r="AF380" s="7" t="s">
        <v>50</v>
      </c>
      <c r="AG380" s="7" t="s">
        <v>67</v>
      </c>
      <c r="AH380" s="7" t="s">
        <v>71</v>
      </c>
    </row>
    <row r="381" spans="1:34" ht="9.75" customHeight="1" x14ac:dyDescent="0.2">
      <c r="A381" s="7" t="s">
        <v>37</v>
      </c>
      <c r="B381" s="7" t="s">
        <v>38</v>
      </c>
      <c r="C381" s="7"/>
      <c r="D381" s="7" t="s">
        <v>986</v>
      </c>
      <c r="E381" s="8">
        <v>1</v>
      </c>
      <c r="F381" s="7" t="s">
        <v>41</v>
      </c>
      <c r="G381" s="7"/>
      <c r="H381" s="9"/>
      <c r="I381" s="9"/>
      <c r="J381" s="9"/>
      <c r="K381" s="9"/>
      <c r="L381" s="10">
        <v>1318</v>
      </c>
      <c r="M381" s="9"/>
      <c r="N381" s="10">
        <v>1318</v>
      </c>
      <c r="O381" s="9"/>
      <c r="P381" s="10"/>
      <c r="Q381" s="10"/>
      <c r="R381" s="10"/>
      <c r="S381" s="7" t="s">
        <v>407</v>
      </c>
      <c r="T381" s="7" t="s">
        <v>73</v>
      </c>
      <c r="U381" s="7" t="s">
        <v>44</v>
      </c>
      <c r="V381" s="7" t="s">
        <v>45</v>
      </c>
      <c r="W381" s="7" t="s">
        <v>67</v>
      </c>
      <c r="X381" s="7" t="s">
        <v>68</v>
      </c>
      <c r="Y381" s="7" t="s">
        <v>987</v>
      </c>
      <c r="Z381" s="7" t="s">
        <v>912</v>
      </c>
      <c r="AA381" s="7"/>
      <c r="AB381" s="7"/>
      <c r="AC381" s="7" t="s">
        <v>64</v>
      </c>
      <c r="AD381" s="7"/>
      <c r="AE381" s="7" t="s">
        <v>988</v>
      </c>
      <c r="AF381" s="7" t="s">
        <v>50</v>
      </c>
      <c r="AG381" s="7" t="s">
        <v>67</v>
      </c>
      <c r="AH381" s="7" t="s">
        <v>71</v>
      </c>
    </row>
    <row r="382" spans="1:34" ht="9.75" customHeight="1" x14ac:dyDescent="0.2">
      <c r="A382" s="7" t="s">
        <v>37</v>
      </c>
      <c r="B382" s="7" t="s">
        <v>38</v>
      </c>
      <c r="C382" s="7"/>
      <c r="D382" s="7" t="s">
        <v>989</v>
      </c>
      <c r="E382" s="8">
        <v>1</v>
      </c>
      <c r="F382" s="7" t="s">
        <v>41</v>
      </c>
      <c r="G382" s="7"/>
      <c r="H382" s="9"/>
      <c r="I382" s="10">
        <v>1184</v>
      </c>
      <c r="J382" s="9"/>
      <c r="K382" s="9"/>
      <c r="L382" s="10">
        <v>1811</v>
      </c>
      <c r="M382" s="9"/>
      <c r="N382" s="10">
        <v>1811</v>
      </c>
      <c r="O382" s="9"/>
      <c r="P382" s="10"/>
      <c r="Q382" s="10"/>
      <c r="R382" s="10"/>
      <c r="S382" s="7" t="s">
        <v>407</v>
      </c>
      <c r="T382" s="7" t="s">
        <v>73</v>
      </c>
      <c r="U382" s="7" t="s">
        <v>44</v>
      </c>
      <c r="V382" s="7" t="s">
        <v>45</v>
      </c>
      <c r="W382" s="7" t="s">
        <v>67</v>
      </c>
      <c r="X382" s="7" t="s">
        <v>68</v>
      </c>
      <c r="Y382" s="7" t="s">
        <v>990</v>
      </c>
      <c r="Z382" s="7" t="s">
        <v>912</v>
      </c>
      <c r="AA382" s="7"/>
      <c r="AB382" s="7"/>
      <c r="AC382" s="7" t="s">
        <v>64</v>
      </c>
      <c r="AD382" s="7"/>
      <c r="AE382" s="7" t="s">
        <v>991</v>
      </c>
      <c r="AF382" s="7" t="s">
        <v>50</v>
      </c>
      <c r="AG382" s="7" t="s">
        <v>67</v>
      </c>
      <c r="AH382" s="7" t="s">
        <v>71</v>
      </c>
    </row>
    <row r="383" spans="1:34" ht="9.75" customHeight="1" x14ac:dyDescent="0.2">
      <c r="A383" s="7" t="s">
        <v>37</v>
      </c>
      <c r="B383" s="7" t="s">
        <v>38</v>
      </c>
      <c r="C383" s="7"/>
      <c r="D383" s="7" t="s">
        <v>992</v>
      </c>
      <c r="E383" s="8">
        <v>1</v>
      </c>
      <c r="F383" s="7" t="s">
        <v>41</v>
      </c>
      <c r="G383" s="7"/>
      <c r="H383" s="9"/>
      <c r="I383" s="10">
        <v>908</v>
      </c>
      <c r="J383" s="9"/>
      <c r="K383" s="9"/>
      <c r="L383" s="10">
        <v>1230</v>
      </c>
      <c r="M383" s="9"/>
      <c r="N383" s="10">
        <v>1230</v>
      </c>
      <c r="O383" s="9"/>
      <c r="P383" s="10"/>
      <c r="Q383" s="10"/>
      <c r="R383" s="10"/>
      <c r="S383" s="7" t="s">
        <v>407</v>
      </c>
      <c r="T383" s="7" t="s">
        <v>73</v>
      </c>
      <c r="U383" s="7" t="s">
        <v>44</v>
      </c>
      <c r="V383" s="7" t="s">
        <v>45</v>
      </c>
      <c r="W383" s="7" t="s">
        <v>67</v>
      </c>
      <c r="X383" s="7" t="s">
        <v>68</v>
      </c>
      <c r="Y383" s="7" t="s">
        <v>993</v>
      </c>
      <c r="Z383" s="7" t="s">
        <v>912</v>
      </c>
      <c r="AA383" s="7"/>
      <c r="AB383" s="7"/>
      <c r="AC383" s="7" t="s">
        <v>64</v>
      </c>
      <c r="AD383" s="7"/>
      <c r="AE383" s="7" t="s">
        <v>994</v>
      </c>
      <c r="AF383" s="7" t="s">
        <v>50</v>
      </c>
      <c r="AG383" s="7" t="s">
        <v>67</v>
      </c>
      <c r="AH383" s="7" t="s">
        <v>71</v>
      </c>
    </row>
    <row r="384" spans="1:34" ht="9.75" customHeight="1" x14ac:dyDescent="0.2">
      <c r="A384" s="7" t="s">
        <v>37</v>
      </c>
      <c r="B384" s="7" t="s">
        <v>38</v>
      </c>
      <c r="C384" s="7"/>
      <c r="D384" s="7" t="s">
        <v>995</v>
      </c>
      <c r="E384" s="8">
        <v>1</v>
      </c>
      <c r="F384" s="7" t="s">
        <v>41</v>
      </c>
      <c r="G384" s="7"/>
      <c r="H384" s="9"/>
      <c r="I384" s="9"/>
      <c r="J384" s="9"/>
      <c r="K384" s="9"/>
      <c r="L384" s="10">
        <v>1822</v>
      </c>
      <c r="M384" s="9"/>
      <c r="N384" s="10">
        <v>1822</v>
      </c>
      <c r="O384" s="9"/>
      <c r="P384" s="10"/>
      <c r="Q384" s="10"/>
      <c r="R384" s="10"/>
      <c r="S384" s="7" t="s">
        <v>407</v>
      </c>
      <c r="T384" s="7" t="s">
        <v>73</v>
      </c>
      <c r="U384" s="7" t="s">
        <v>44</v>
      </c>
      <c r="V384" s="7" t="s">
        <v>45</v>
      </c>
      <c r="W384" s="7" t="s">
        <v>67</v>
      </c>
      <c r="X384" s="7" t="s">
        <v>68</v>
      </c>
      <c r="Y384" s="7" t="s">
        <v>996</v>
      </c>
      <c r="Z384" s="7" t="s">
        <v>997</v>
      </c>
      <c r="AA384" s="7"/>
      <c r="AB384" s="7"/>
      <c r="AC384" s="7" t="s">
        <v>64</v>
      </c>
      <c r="AD384" s="7"/>
      <c r="AE384" s="7"/>
      <c r="AF384" s="7" t="s">
        <v>50</v>
      </c>
      <c r="AG384" s="7" t="s">
        <v>67</v>
      </c>
      <c r="AH384" s="7" t="s">
        <v>71</v>
      </c>
    </row>
    <row r="385" spans="1:34" ht="9.75" customHeight="1" x14ac:dyDescent="0.2">
      <c r="A385" s="7" t="s">
        <v>37</v>
      </c>
      <c r="B385" s="7" t="s">
        <v>38</v>
      </c>
      <c r="C385" s="7"/>
      <c r="D385" s="7" t="s">
        <v>998</v>
      </c>
      <c r="E385" s="8">
        <v>1</v>
      </c>
      <c r="F385" s="7" t="s">
        <v>41</v>
      </c>
      <c r="G385" s="7"/>
      <c r="H385" s="9"/>
      <c r="I385" s="10">
        <v>1412</v>
      </c>
      <c r="J385" s="9"/>
      <c r="K385" s="9"/>
      <c r="L385" s="10">
        <v>2001</v>
      </c>
      <c r="M385" s="9"/>
      <c r="N385" s="10">
        <v>2001</v>
      </c>
      <c r="O385" s="9"/>
      <c r="P385" s="10"/>
      <c r="Q385" s="10"/>
      <c r="R385" s="10"/>
      <c r="S385" s="7" t="s">
        <v>407</v>
      </c>
      <c r="T385" s="7" t="s">
        <v>73</v>
      </c>
      <c r="U385" s="7" t="s">
        <v>44</v>
      </c>
      <c r="V385" s="7" t="s">
        <v>45</v>
      </c>
      <c r="W385" s="7" t="s">
        <v>67</v>
      </c>
      <c r="X385" s="7" t="s">
        <v>68</v>
      </c>
      <c r="Y385" s="7" t="s">
        <v>999</v>
      </c>
      <c r="Z385" s="7" t="s">
        <v>997</v>
      </c>
      <c r="AA385" s="7"/>
      <c r="AB385" s="7"/>
      <c r="AC385" s="7" t="s">
        <v>64</v>
      </c>
      <c r="AD385" s="7"/>
      <c r="AE385" s="7"/>
      <c r="AF385" s="7" t="s">
        <v>50</v>
      </c>
      <c r="AG385" s="7" t="s">
        <v>67</v>
      </c>
      <c r="AH385" s="7" t="s">
        <v>71</v>
      </c>
    </row>
    <row r="386" spans="1:34" ht="9.75" customHeight="1" x14ac:dyDescent="0.2">
      <c r="A386" s="7" t="s">
        <v>37</v>
      </c>
      <c r="B386" s="7" t="s">
        <v>38</v>
      </c>
      <c r="C386" s="7"/>
      <c r="D386" s="7" t="s">
        <v>1000</v>
      </c>
      <c r="E386" s="8">
        <v>1</v>
      </c>
      <c r="F386" s="7" t="s">
        <v>41</v>
      </c>
      <c r="G386" s="7"/>
      <c r="H386" s="9"/>
      <c r="I386" s="10">
        <v>13992</v>
      </c>
      <c r="J386" s="9"/>
      <c r="K386" s="9"/>
      <c r="L386" s="10">
        <v>22462</v>
      </c>
      <c r="M386" s="9"/>
      <c r="N386" s="10">
        <v>22462</v>
      </c>
      <c r="O386" s="9"/>
      <c r="P386" s="10"/>
      <c r="Q386" s="10"/>
      <c r="R386" s="10"/>
      <c r="S386" s="7" t="s">
        <v>407</v>
      </c>
      <c r="T386" s="7" t="s">
        <v>73</v>
      </c>
      <c r="U386" s="7" t="s">
        <v>44</v>
      </c>
      <c r="V386" s="7" t="s">
        <v>45</v>
      </c>
      <c r="W386" s="7" t="s">
        <v>67</v>
      </c>
      <c r="X386" s="7" t="s">
        <v>68</v>
      </c>
      <c r="Y386" s="7" t="s">
        <v>1001</v>
      </c>
      <c r="Z386" s="7" t="s">
        <v>997</v>
      </c>
      <c r="AA386" s="7"/>
      <c r="AB386" s="7"/>
      <c r="AC386" s="7" t="s">
        <v>64</v>
      </c>
      <c r="AD386" s="7"/>
      <c r="AE386" s="7" t="s">
        <v>1002</v>
      </c>
      <c r="AF386" s="7" t="s">
        <v>50</v>
      </c>
      <c r="AG386" s="7" t="s">
        <v>67</v>
      </c>
      <c r="AH386" s="7" t="s">
        <v>71</v>
      </c>
    </row>
    <row r="387" spans="1:34" ht="9.75" customHeight="1" x14ac:dyDescent="0.2">
      <c r="A387" s="7" t="s">
        <v>37</v>
      </c>
      <c r="B387" s="7" t="s">
        <v>38</v>
      </c>
      <c r="C387" s="7"/>
      <c r="D387" s="7" t="s">
        <v>1003</v>
      </c>
      <c r="E387" s="8">
        <v>1</v>
      </c>
      <c r="F387" s="7" t="s">
        <v>41</v>
      </c>
      <c r="G387" s="7"/>
      <c r="H387" s="9"/>
      <c r="I387" s="10">
        <v>2240</v>
      </c>
      <c r="J387" s="9"/>
      <c r="K387" s="9"/>
      <c r="L387" s="10">
        <v>3430</v>
      </c>
      <c r="M387" s="9"/>
      <c r="N387" s="10">
        <v>3430</v>
      </c>
      <c r="O387" s="9"/>
      <c r="P387" s="10"/>
      <c r="Q387" s="10"/>
      <c r="R387" s="10"/>
      <c r="S387" s="7" t="s">
        <v>407</v>
      </c>
      <c r="T387" s="7" t="s">
        <v>73</v>
      </c>
      <c r="U387" s="7" t="s">
        <v>44</v>
      </c>
      <c r="V387" s="7" t="s">
        <v>45</v>
      </c>
      <c r="W387" s="7" t="s">
        <v>67</v>
      </c>
      <c r="X387" s="7" t="s">
        <v>68</v>
      </c>
      <c r="Y387" s="7" t="s">
        <v>1004</v>
      </c>
      <c r="Z387" s="7" t="s">
        <v>997</v>
      </c>
      <c r="AA387" s="7"/>
      <c r="AB387" s="7"/>
      <c r="AC387" s="7" t="s">
        <v>64</v>
      </c>
      <c r="AD387" s="7"/>
      <c r="AE387" s="7"/>
      <c r="AF387" s="7" t="s">
        <v>50</v>
      </c>
      <c r="AG387" s="7" t="s">
        <v>67</v>
      </c>
      <c r="AH387" s="7" t="s">
        <v>71</v>
      </c>
    </row>
    <row r="388" spans="1:34" ht="9.75" customHeight="1" x14ac:dyDescent="0.2">
      <c r="A388" s="7" t="s">
        <v>37</v>
      </c>
      <c r="B388" s="7" t="s">
        <v>38</v>
      </c>
      <c r="C388" s="7"/>
      <c r="D388" s="7" t="s">
        <v>1005</v>
      </c>
      <c r="E388" s="8">
        <v>1</v>
      </c>
      <c r="F388" s="7" t="s">
        <v>41</v>
      </c>
      <c r="G388" s="7"/>
      <c r="H388" s="9"/>
      <c r="I388" s="9"/>
      <c r="J388" s="9"/>
      <c r="K388" s="9"/>
      <c r="L388" s="10">
        <v>2308</v>
      </c>
      <c r="M388" s="9"/>
      <c r="N388" s="10">
        <v>2308</v>
      </c>
      <c r="O388" s="9"/>
      <c r="P388" s="10"/>
      <c r="Q388" s="10"/>
      <c r="R388" s="10"/>
      <c r="S388" s="7" t="s">
        <v>407</v>
      </c>
      <c r="T388" s="7" t="s">
        <v>73</v>
      </c>
      <c r="U388" s="7" t="s">
        <v>44</v>
      </c>
      <c r="V388" s="7" t="s">
        <v>45</v>
      </c>
      <c r="W388" s="7" t="s">
        <v>67</v>
      </c>
      <c r="X388" s="7" t="s">
        <v>68</v>
      </c>
      <c r="Y388" s="7" t="s">
        <v>1006</v>
      </c>
      <c r="Z388" s="7" t="s">
        <v>997</v>
      </c>
      <c r="AA388" s="7"/>
      <c r="AB388" s="7"/>
      <c r="AC388" s="7" t="s">
        <v>64</v>
      </c>
      <c r="AD388" s="7"/>
      <c r="AE388" s="7" t="s">
        <v>1007</v>
      </c>
      <c r="AF388" s="7" t="s">
        <v>50</v>
      </c>
      <c r="AG388" s="7" t="s">
        <v>67</v>
      </c>
      <c r="AH388" s="7" t="s">
        <v>71</v>
      </c>
    </row>
    <row r="389" spans="1:34" ht="9.75" customHeight="1" x14ac:dyDescent="0.2">
      <c r="A389" s="7" t="s">
        <v>37</v>
      </c>
      <c r="B389" s="7" t="s">
        <v>38</v>
      </c>
      <c r="C389" s="7"/>
      <c r="D389" s="7" t="s">
        <v>1008</v>
      </c>
      <c r="E389" s="8">
        <v>1</v>
      </c>
      <c r="F389" s="7" t="s">
        <v>41</v>
      </c>
      <c r="G389" s="7"/>
      <c r="H389" s="9"/>
      <c r="I389" s="9"/>
      <c r="J389" s="9"/>
      <c r="K389" s="9"/>
      <c r="L389" s="10">
        <v>2262</v>
      </c>
      <c r="M389" s="9"/>
      <c r="N389" s="10">
        <v>2262</v>
      </c>
      <c r="O389" s="9"/>
      <c r="P389" s="10"/>
      <c r="Q389" s="10"/>
      <c r="R389" s="10"/>
      <c r="S389" s="7" t="s">
        <v>407</v>
      </c>
      <c r="T389" s="7" t="s">
        <v>73</v>
      </c>
      <c r="U389" s="7" t="s">
        <v>44</v>
      </c>
      <c r="V389" s="7" t="s">
        <v>45</v>
      </c>
      <c r="W389" s="7" t="s">
        <v>67</v>
      </c>
      <c r="X389" s="7" t="s">
        <v>68</v>
      </c>
      <c r="Y389" s="7" t="s">
        <v>1009</v>
      </c>
      <c r="Z389" s="7" t="s">
        <v>997</v>
      </c>
      <c r="AA389" s="7"/>
      <c r="AB389" s="7"/>
      <c r="AC389" s="7" t="s">
        <v>64</v>
      </c>
      <c r="AD389" s="7"/>
      <c r="AE389" s="7" t="s">
        <v>1010</v>
      </c>
      <c r="AF389" s="7" t="s">
        <v>50</v>
      </c>
      <c r="AG389" s="7" t="s">
        <v>67</v>
      </c>
      <c r="AH389" s="7" t="s">
        <v>71</v>
      </c>
    </row>
    <row r="390" spans="1:34" ht="9.75" customHeight="1" x14ac:dyDescent="0.2">
      <c r="A390" s="7" t="s">
        <v>37</v>
      </c>
      <c r="B390" s="7" t="s">
        <v>38</v>
      </c>
      <c r="C390" s="7"/>
      <c r="D390" s="7" t="s">
        <v>1011</v>
      </c>
      <c r="E390" s="8">
        <v>1</v>
      </c>
      <c r="F390" s="7" t="s">
        <v>41</v>
      </c>
      <c r="G390" s="7"/>
      <c r="H390" s="9"/>
      <c r="I390" s="10">
        <v>2594</v>
      </c>
      <c r="J390" s="9"/>
      <c r="K390" s="9"/>
      <c r="L390" s="10">
        <v>3215</v>
      </c>
      <c r="M390" s="9"/>
      <c r="N390" s="10">
        <v>3215</v>
      </c>
      <c r="O390" s="9"/>
      <c r="P390" s="10"/>
      <c r="Q390" s="10"/>
      <c r="R390" s="10"/>
      <c r="S390" s="7" t="s">
        <v>407</v>
      </c>
      <c r="T390" s="7" t="s">
        <v>73</v>
      </c>
      <c r="U390" s="7" t="s">
        <v>44</v>
      </c>
      <c r="V390" s="7" t="s">
        <v>45</v>
      </c>
      <c r="W390" s="7" t="s">
        <v>67</v>
      </c>
      <c r="X390" s="7" t="s">
        <v>68</v>
      </c>
      <c r="Y390" s="7" t="s">
        <v>1012</v>
      </c>
      <c r="Z390" s="7" t="s">
        <v>997</v>
      </c>
      <c r="AA390" s="7"/>
      <c r="AB390" s="7"/>
      <c r="AC390" s="7" t="s">
        <v>64</v>
      </c>
      <c r="AD390" s="7"/>
      <c r="AE390" s="7" t="s">
        <v>1013</v>
      </c>
      <c r="AF390" s="7" t="s">
        <v>50</v>
      </c>
      <c r="AG390" s="7" t="s">
        <v>67</v>
      </c>
      <c r="AH390" s="7" t="s">
        <v>71</v>
      </c>
    </row>
    <row r="391" spans="1:34" ht="9.75" customHeight="1" x14ac:dyDescent="0.2">
      <c r="A391" s="7" t="s">
        <v>37</v>
      </c>
      <c r="B391" s="7" t="s">
        <v>38</v>
      </c>
      <c r="C391" s="7"/>
      <c r="D391" s="7" t="s">
        <v>1014</v>
      </c>
      <c r="E391" s="8">
        <v>1</v>
      </c>
      <c r="F391" s="7" t="s">
        <v>41</v>
      </c>
      <c r="G391" s="7"/>
      <c r="H391" s="9"/>
      <c r="I391" s="9"/>
      <c r="J391" s="9"/>
      <c r="K391" s="9"/>
      <c r="L391" s="10">
        <v>990</v>
      </c>
      <c r="M391" s="9"/>
      <c r="N391" s="10">
        <v>990</v>
      </c>
      <c r="O391" s="9"/>
      <c r="P391" s="10"/>
      <c r="Q391" s="10"/>
      <c r="R391" s="10"/>
      <c r="S391" s="7" t="s">
        <v>407</v>
      </c>
      <c r="T391" s="7" t="s">
        <v>73</v>
      </c>
      <c r="U391" s="7" t="s">
        <v>44</v>
      </c>
      <c r="V391" s="7" t="s">
        <v>45</v>
      </c>
      <c r="W391" s="7" t="s">
        <v>67</v>
      </c>
      <c r="X391" s="7" t="s">
        <v>68</v>
      </c>
      <c r="Y391" s="7" t="s">
        <v>1015</v>
      </c>
      <c r="Z391" s="7" t="s">
        <v>997</v>
      </c>
      <c r="AA391" s="7"/>
      <c r="AB391" s="7"/>
      <c r="AC391" s="7" t="s">
        <v>64</v>
      </c>
      <c r="AD391" s="7"/>
      <c r="AE391" s="7" t="s">
        <v>1016</v>
      </c>
      <c r="AF391" s="7" t="s">
        <v>50</v>
      </c>
      <c r="AG391" s="7" t="s">
        <v>67</v>
      </c>
      <c r="AH391" s="7" t="s">
        <v>71</v>
      </c>
    </row>
    <row r="392" spans="1:34" ht="9.75" customHeight="1" x14ac:dyDescent="0.2">
      <c r="A392" s="7" t="s">
        <v>37</v>
      </c>
      <c r="B392" s="7" t="s">
        <v>38</v>
      </c>
      <c r="C392" s="7"/>
      <c r="D392" s="7" t="s">
        <v>1017</v>
      </c>
      <c r="E392" s="8">
        <v>1</v>
      </c>
      <c r="F392" s="7" t="s">
        <v>41</v>
      </c>
      <c r="G392" s="7"/>
      <c r="H392" s="9"/>
      <c r="I392" s="10">
        <v>3524</v>
      </c>
      <c r="J392" s="9"/>
      <c r="K392" s="9"/>
      <c r="L392" s="10">
        <v>3928</v>
      </c>
      <c r="M392" s="9"/>
      <c r="N392" s="10">
        <v>3928</v>
      </c>
      <c r="O392" s="9"/>
      <c r="P392" s="10"/>
      <c r="Q392" s="10"/>
      <c r="R392" s="10"/>
      <c r="S392" s="7" t="s">
        <v>407</v>
      </c>
      <c r="T392" s="7" t="s">
        <v>73</v>
      </c>
      <c r="U392" s="7" t="s">
        <v>44</v>
      </c>
      <c r="V392" s="7" t="s">
        <v>45</v>
      </c>
      <c r="W392" s="7" t="s">
        <v>67</v>
      </c>
      <c r="X392" s="7" t="s">
        <v>68</v>
      </c>
      <c r="Y392" s="7" t="s">
        <v>1018</v>
      </c>
      <c r="Z392" s="7" t="s">
        <v>997</v>
      </c>
      <c r="AA392" s="7"/>
      <c r="AB392" s="7"/>
      <c r="AC392" s="7" t="s">
        <v>64</v>
      </c>
      <c r="AD392" s="7"/>
      <c r="AE392" s="7" t="s">
        <v>1019</v>
      </c>
      <c r="AF392" s="7" t="s">
        <v>50</v>
      </c>
      <c r="AG392" s="7" t="s">
        <v>67</v>
      </c>
      <c r="AH392" s="7" t="s">
        <v>71</v>
      </c>
    </row>
    <row r="393" spans="1:34" ht="9.75" customHeight="1" x14ac:dyDescent="0.2">
      <c r="A393" s="7" t="s">
        <v>37</v>
      </c>
      <c r="B393" s="7" t="s">
        <v>38</v>
      </c>
      <c r="C393" s="7"/>
      <c r="D393" s="7" t="s">
        <v>1020</v>
      </c>
      <c r="E393" s="8">
        <v>1</v>
      </c>
      <c r="F393" s="7" t="s">
        <v>41</v>
      </c>
      <c r="G393" s="7"/>
      <c r="H393" s="9"/>
      <c r="I393" s="10">
        <v>2898</v>
      </c>
      <c r="J393" s="9"/>
      <c r="K393" s="9"/>
      <c r="L393" s="10">
        <v>3887</v>
      </c>
      <c r="M393" s="9"/>
      <c r="N393" s="10">
        <v>3887</v>
      </c>
      <c r="O393" s="9"/>
      <c r="P393" s="10"/>
      <c r="Q393" s="10"/>
      <c r="R393" s="10"/>
      <c r="S393" s="7" t="s">
        <v>407</v>
      </c>
      <c r="T393" s="7" t="s">
        <v>73</v>
      </c>
      <c r="U393" s="7" t="s">
        <v>44</v>
      </c>
      <c r="V393" s="7" t="s">
        <v>45</v>
      </c>
      <c r="W393" s="7" t="s">
        <v>67</v>
      </c>
      <c r="X393" s="7" t="s">
        <v>68</v>
      </c>
      <c r="Y393" s="7" t="s">
        <v>1021</v>
      </c>
      <c r="Z393" s="7" t="s">
        <v>997</v>
      </c>
      <c r="AA393" s="7"/>
      <c r="AB393" s="7"/>
      <c r="AC393" s="7" t="s">
        <v>64</v>
      </c>
      <c r="AD393" s="7"/>
      <c r="AE393" s="7" t="s">
        <v>1022</v>
      </c>
      <c r="AF393" s="7" t="s">
        <v>50</v>
      </c>
      <c r="AG393" s="7" t="s">
        <v>67</v>
      </c>
      <c r="AH393" s="7" t="s">
        <v>71</v>
      </c>
    </row>
    <row r="394" spans="1:34" ht="9.75" customHeight="1" x14ac:dyDescent="0.2">
      <c r="A394" s="7" t="s">
        <v>37</v>
      </c>
      <c r="B394" s="7" t="s">
        <v>38</v>
      </c>
      <c r="C394" s="7"/>
      <c r="D394" s="7" t="s">
        <v>1023</v>
      </c>
      <c r="E394" s="8">
        <v>1</v>
      </c>
      <c r="F394" s="7" t="s">
        <v>41</v>
      </c>
      <c r="G394" s="7"/>
      <c r="H394" s="9"/>
      <c r="I394" s="10">
        <v>18058</v>
      </c>
      <c r="J394" s="9"/>
      <c r="K394" s="9"/>
      <c r="L394" s="10">
        <v>18809</v>
      </c>
      <c r="M394" s="9"/>
      <c r="N394" s="10">
        <v>18809</v>
      </c>
      <c r="O394" s="9"/>
      <c r="P394" s="10"/>
      <c r="Q394" s="10"/>
      <c r="R394" s="10"/>
      <c r="S394" s="7" t="s">
        <v>407</v>
      </c>
      <c r="T394" s="7" t="s">
        <v>73</v>
      </c>
      <c r="U394" s="7" t="s">
        <v>44</v>
      </c>
      <c r="V394" s="7" t="s">
        <v>45</v>
      </c>
      <c r="W394" s="7" t="s">
        <v>67</v>
      </c>
      <c r="X394" s="7" t="s">
        <v>68</v>
      </c>
      <c r="Y394" s="7" t="s">
        <v>1024</v>
      </c>
      <c r="Z394" s="7" t="s">
        <v>997</v>
      </c>
      <c r="AA394" s="7"/>
      <c r="AB394" s="7"/>
      <c r="AC394" s="7" t="s">
        <v>64</v>
      </c>
      <c r="AD394" s="7"/>
      <c r="AE394" s="7" t="s">
        <v>1025</v>
      </c>
      <c r="AF394" s="7" t="s">
        <v>50</v>
      </c>
      <c r="AG394" s="7" t="s">
        <v>67</v>
      </c>
      <c r="AH394" s="7" t="s">
        <v>71</v>
      </c>
    </row>
    <row r="395" spans="1:34" ht="9.75" customHeight="1" x14ac:dyDescent="0.2">
      <c r="A395" s="7" t="s">
        <v>37</v>
      </c>
      <c r="B395" s="7" t="s">
        <v>38</v>
      </c>
      <c r="C395" s="7"/>
      <c r="D395" s="7" t="s">
        <v>1026</v>
      </c>
      <c r="E395" s="8">
        <v>1</v>
      </c>
      <c r="F395" s="7" t="s">
        <v>41</v>
      </c>
      <c r="G395" s="7"/>
      <c r="H395" s="9"/>
      <c r="I395" s="10">
        <v>1239</v>
      </c>
      <c r="J395" s="9"/>
      <c r="K395" s="9"/>
      <c r="L395" s="10">
        <v>1831</v>
      </c>
      <c r="M395" s="9"/>
      <c r="N395" s="10">
        <v>1831</v>
      </c>
      <c r="O395" s="9"/>
      <c r="P395" s="10"/>
      <c r="Q395" s="10"/>
      <c r="R395" s="10"/>
      <c r="S395" s="7" t="s">
        <v>407</v>
      </c>
      <c r="T395" s="7" t="s">
        <v>73</v>
      </c>
      <c r="U395" s="7" t="s">
        <v>44</v>
      </c>
      <c r="V395" s="7" t="s">
        <v>45</v>
      </c>
      <c r="W395" s="7" t="s">
        <v>67</v>
      </c>
      <c r="X395" s="7" t="s">
        <v>68</v>
      </c>
      <c r="Y395" s="7" t="s">
        <v>1027</v>
      </c>
      <c r="Z395" s="7" t="s">
        <v>997</v>
      </c>
      <c r="AA395" s="7"/>
      <c r="AB395" s="7"/>
      <c r="AC395" s="7" t="s">
        <v>64</v>
      </c>
      <c r="AD395" s="7"/>
      <c r="AE395" s="7"/>
      <c r="AF395" s="7" t="s">
        <v>50</v>
      </c>
      <c r="AG395" s="7" t="s">
        <v>67</v>
      </c>
      <c r="AH395" s="7" t="s">
        <v>71</v>
      </c>
    </row>
    <row r="396" spans="1:34" ht="9.75" customHeight="1" x14ac:dyDescent="0.2">
      <c r="A396" s="7" t="s">
        <v>37</v>
      </c>
      <c r="B396" s="7" t="s">
        <v>38</v>
      </c>
      <c r="C396" s="7"/>
      <c r="D396" s="7" t="s">
        <v>1028</v>
      </c>
      <c r="E396" s="8">
        <v>1</v>
      </c>
      <c r="F396" s="7" t="s">
        <v>41</v>
      </c>
      <c r="G396" s="7"/>
      <c r="H396" s="9"/>
      <c r="I396" s="9"/>
      <c r="J396" s="9"/>
      <c r="K396" s="9"/>
      <c r="L396" s="10">
        <v>3424</v>
      </c>
      <c r="M396" s="9"/>
      <c r="N396" s="10">
        <v>3424</v>
      </c>
      <c r="O396" s="9"/>
      <c r="P396" s="10"/>
      <c r="Q396" s="10"/>
      <c r="R396" s="10"/>
      <c r="S396" s="7" t="s">
        <v>407</v>
      </c>
      <c r="T396" s="7" t="s">
        <v>73</v>
      </c>
      <c r="U396" s="7" t="s">
        <v>44</v>
      </c>
      <c r="V396" s="7" t="s">
        <v>45</v>
      </c>
      <c r="W396" s="7" t="s">
        <v>67</v>
      </c>
      <c r="X396" s="7" t="s">
        <v>68</v>
      </c>
      <c r="Y396" s="7" t="s">
        <v>1029</v>
      </c>
      <c r="Z396" s="7" t="s">
        <v>997</v>
      </c>
      <c r="AA396" s="7"/>
      <c r="AB396" s="7"/>
      <c r="AC396" s="7" t="s">
        <v>64</v>
      </c>
      <c r="AD396" s="7"/>
      <c r="AE396" s="7" t="s">
        <v>1030</v>
      </c>
      <c r="AF396" s="7" t="s">
        <v>50</v>
      </c>
      <c r="AG396" s="7" t="s">
        <v>67</v>
      </c>
      <c r="AH396" s="7" t="s">
        <v>71</v>
      </c>
    </row>
    <row r="397" spans="1:34" ht="9.75" customHeight="1" x14ac:dyDescent="0.2">
      <c r="A397" s="7" t="s">
        <v>37</v>
      </c>
      <c r="B397" s="7" t="s">
        <v>38</v>
      </c>
      <c r="C397" s="7"/>
      <c r="D397" s="7" t="s">
        <v>1031</v>
      </c>
      <c r="E397" s="8">
        <v>1</v>
      </c>
      <c r="F397" s="7" t="s">
        <v>41</v>
      </c>
      <c r="G397" s="7"/>
      <c r="H397" s="9"/>
      <c r="I397" s="10">
        <v>4544</v>
      </c>
      <c r="J397" s="9"/>
      <c r="K397" s="9"/>
      <c r="L397" s="10">
        <v>7900</v>
      </c>
      <c r="M397" s="9"/>
      <c r="N397" s="10">
        <v>7900</v>
      </c>
      <c r="O397" s="9"/>
      <c r="P397" s="10"/>
      <c r="Q397" s="10"/>
      <c r="R397" s="10"/>
      <c r="S397" s="7" t="s">
        <v>407</v>
      </c>
      <c r="T397" s="7" t="s">
        <v>73</v>
      </c>
      <c r="U397" s="7" t="s">
        <v>44</v>
      </c>
      <c r="V397" s="7" t="s">
        <v>45</v>
      </c>
      <c r="W397" s="7" t="s">
        <v>67</v>
      </c>
      <c r="X397" s="7" t="s">
        <v>68</v>
      </c>
      <c r="Y397" s="7" t="s">
        <v>1032</v>
      </c>
      <c r="Z397" s="7" t="s">
        <v>997</v>
      </c>
      <c r="AA397" s="7"/>
      <c r="AB397" s="7"/>
      <c r="AC397" s="7" t="s">
        <v>64</v>
      </c>
      <c r="AD397" s="7"/>
      <c r="AE397" s="7" t="s">
        <v>1033</v>
      </c>
      <c r="AF397" s="7" t="s">
        <v>50</v>
      </c>
      <c r="AG397" s="7" t="s">
        <v>67</v>
      </c>
      <c r="AH397" s="7" t="s">
        <v>71</v>
      </c>
    </row>
    <row r="398" spans="1:34" ht="9.75" customHeight="1" x14ac:dyDescent="0.2">
      <c r="A398" s="7" t="s">
        <v>37</v>
      </c>
      <c r="B398" s="7" t="s">
        <v>38</v>
      </c>
      <c r="C398" s="7"/>
      <c r="D398" s="7" t="s">
        <v>1034</v>
      </c>
      <c r="E398" s="8">
        <v>1</v>
      </c>
      <c r="F398" s="7" t="s">
        <v>41</v>
      </c>
      <c r="G398" s="7"/>
      <c r="H398" s="9"/>
      <c r="I398" s="10">
        <v>1397</v>
      </c>
      <c r="J398" s="9"/>
      <c r="K398" s="9"/>
      <c r="L398" s="10">
        <v>2300</v>
      </c>
      <c r="M398" s="9"/>
      <c r="N398" s="10">
        <v>2300</v>
      </c>
      <c r="O398" s="9"/>
      <c r="P398" s="10"/>
      <c r="Q398" s="10"/>
      <c r="R398" s="10"/>
      <c r="S398" s="7" t="s">
        <v>407</v>
      </c>
      <c r="T398" s="7" t="s">
        <v>73</v>
      </c>
      <c r="U398" s="7" t="s">
        <v>44</v>
      </c>
      <c r="V398" s="7" t="s">
        <v>45</v>
      </c>
      <c r="W398" s="7" t="s">
        <v>67</v>
      </c>
      <c r="X398" s="7" t="s">
        <v>68</v>
      </c>
      <c r="Y398" s="7" t="s">
        <v>1035</v>
      </c>
      <c r="Z398" s="7" t="s">
        <v>997</v>
      </c>
      <c r="AA398" s="7"/>
      <c r="AB398" s="7"/>
      <c r="AC398" s="7" t="s">
        <v>64</v>
      </c>
      <c r="AD398" s="7"/>
      <c r="AE398" s="7" t="s">
        <v>1036</v>
      </c>
      <c r="AF398" s="7" t="s">
        <v>50</v>
      </c>
      <c r="AG398" s="7" t="s">
        <v>67</v>
      </c>
      <c r="AH398" s="7" t="s">
        <v>71</v>
      </c>
    </row>
    <row r="399" spans="1:34" ht="9.75" customHeight="1" x14ac:dyDescent="0.2">
      <c r="A399" s="7" t="s">
        <v>37</v>
      </c>
      <c r="B399" s="7" t="s">
        <v>38</v>
      </c>
      <c r="C399" s="7"/>
      <c r="D399" s="7" t="s">
        <v>1037</v>
      </c>
      <c r="E399" s="8">
        <v>1</v>
      </c>
      <c r="F399" s="7" t="s">
        <v>41</v>
      </c>
      <c r="G399" s="7"/>
      <c r="H399" s="9"/>
      <c r="I399" s="9"/>
      <c r="J399" s="9"/>
      <c r="K399" s="9"/>
      <c r="L399" s="10">
        <v>1115</v>
      </c>
      <c r="M399" s="9"/>
      <c r="N399" s="10">
        <v>1115</v>
      </c>
      <c r="O399" s="9"/>
      <c r="P399" s="10"/>
      <c r="Q399" s="10"/>
      <c r="R399" s="10"/>
      <c r="S399" s="7" t="s">
        <v>407</v>
      </c>
      <c r="T399" s="7" t="s">
        <v>73</v>
      </c>
      <c r="U399" s="7" t="s">
        <v>44</v>
      </c>
      <c r="V399" s="7" t="s">
        <v>45</v>
      </c>
      <c r="W399" s="7" t="s">
        <v>67</v>
      </c>
      <c r="X399" s="7" t="s">
        <v>68</v>
      </c>
      <c r="Y399" s="7" t="s">
        <v>1038</v>
      </c>
      <c r="Z399" s="7" t="s">
        <v>997</v>
      </c>
      <c r="AA399" s="7"/>
      <c r="AB399" s="7"/>
      <c r="AC399" s="7" t="s">
        <v>64</v>
      </c>
      <c r="AD399" s="7"/>
      <c r="AE399" s="7" t="s">
        <v>1039</v>
      </c>
      <c r="AF399" s="7" t="s">
        <v>50</v>
      </c>
      <c r="AG399" s="7" t="s">
        <v>67</v>
      </c>
      <c r="AH399" s="7" t="s">
        <v>71</v>
      </c>
    </row>
    <row r="400" spans="1:34" ht="9.75" customHeight="1" x14ac:dyDescent="0.2">
      <c r="A400" s="7" t="s">
        <v>37</v>
      </c>
      <c r="B400" s="7" t="s">
        <v>38</v>
      </c>
      <c r="C400" s="7"/>
      <c r="D400" s="7" t="s">
        <v>1040</v>
      </c>
      <c r="E400" s="8">
        <v>1</v>
      </c>
      <c r="F400" s="7" t="s">
        <v>41</v>
      </c>
      <c r="G400" s="7"/>
      <c r="H400" s="9"/>
      <c r="I400" s="9"/>
      <c r="J400" s="9"/>
      <c r="K400" s="9"/>
      <c r="L400" s="10">
        <v>2283</v>
      </c>
      <c r="M400" s="9"/>
      <c r="N400" s="10">
        <v>2283</v>
      </c>
      <c r="O400" s="9"/>
      <c r="P400" s="10"/>
      <c r="Q400" s="10"/>
      <c r="R400" s="10"/>
      <c r="S400" s="7" t="s">
        <v>407</v>
      </c>
      <c r="T400" s="7" t="s">
        <v>73</v>
      </c>
      <c r="U400" s="7" t="s">
        <v>44</v>
      </c>
      <c r="V400" s="7" t="s">
        <v>45</v>
      </c>
      <c r="W400" s="7" t="s">
        <v>67</v>
      </c>
      <c r="X400" s="7" t="s">
        <v>68</v>
      </c>
      <c r="Y400" s="7" t="s">
        <v>1041</v>
      </c>
      <c r="Z400" s="7" t="s">
        <v>997</v>
      </c>
      <c r="AA400" s="7"/>
      <c r="AB400" s="7"/>
      <c r="AC400" s="7" t="s">
        <v>64</v>
      </c>
      <c r="AD400" s="7"/>
      <c r="AE400" s="7" t="s">
        <v>1042</v>
      </c>
      <c r="AF400" s="7" t="s">
        <v>50</v>
      </c>
      <c r="AG400" s="7" t="s">
        <v>67</v>
      </c>
      <c r="AH400" s="7" t="s">
        <v>71</v>
      </c>
    </row>
    <row r="401" spans="1:34" ht="9.75" customHeight="1" x14ac:dyDescent="0.2">
      <c r="A401" s="7" t="s">
        <v>37</v>
      </c>
      <c r="B401" s="7" t="s">
        <v>38</v>
      </c>
      <c r="C401" s="7"/>
      <c r="D401" s="7" t="s">
        <v>1043</v>
      </c>
      <c r="E401" s="8">
        <v>1</v>
      </c>
      <c r="F401" s="7" t="s">
        <v>41</v>
      </c>
      <c r="G401" s="7"/>
      <c r="H401" s="9"/>
      <c r="I401" s="9"/>
      <c r="J401" s="9"/>
      <c r="K401" s="9"/>
      <c r="L401" s="10">
        <v>1883</v>
      </c>
      <c r="M401" s="9"/>
      <c r="N401" s="10">
        <v>1883</v>
      </c>
      <c r="O401" s="9"/>
      <c r="P401" s="10"/>
      <c r="Q401" s="10"/>
      <c r="R401" s="10"/>
      <c r="S401" s="7" t="s">
        <v>407</v>
      </c>
      <c r="T401" s="7" t="s">
        <v>73</v>
      </c>
      <c r="U401" s="7" t="s">
        <v>44</v>
      </c>
      <c r="V401" s="7" t="s">
        <v>45</v>
      </c>
      <c r="W401" s="7" t="s">
        <v>67</v>
      </c>
      <c r="X401" s="7" t="s">
        <v>68</v>
      </c>
      <c r="Y401" s="7" t="s">
        <v>1044</v>
      </c>
      <c r="Z401" s="7" t="s">
        <v>997</v>
      </c>
      <c r="AA401" s="7"/>
      <c r="AB401" s="7"/>
      <c r="AC401" s="7" t="s">
        <v>64</v>
      </c>
      <c r="AD401" s="7"/>
      <c r="AE401" s="7"/>
      <c r="AF401" s="7" t="s">
        <v>50</v>
      </c>
      <c r="AG401" s="7" t="s">
        <v>67</v>
      </c>
      <c r="AH401" s="7" t="s">
        <v>71</v>
      </c>
    </row>
    <row r="402" spans="1:34" ht="9.75" customHeight="1" x14ac:dyDescent="0.2">
      <c r="A402" s="7" t="s">
        <v>37</v>
      </c>
      <c r="B402" s="7" t="s">
        <v>38</v>
      </c>
      <c r="C402" s="7"/>
      <c r="D402" s="7" t="s">
        <v>1045</v>
      </c>
      <c r="E402" s="8">
        <v>1</v>
      </c>
      <c r="F402" s="7" t="s">
        <v>41</v>
      </c>
      <c r="G402" s="7"/>
      <c r="H402" s="9"/>
      <c r="I402" s="9"/>
      <c r="J402" s="9"/>
      <c r="K402" s="9"/>
      <c r="L402" s="10">
        <v>4003</v>
      </c>
      <c r="M402" s="9"/>
      <c r="N402" s="10">
        <v>4003</v>
      </c>
      <c r="O402" s="9"/>
      <c r="P402" s="10"/>
      <c r="Q402" s="10"/>
      <c r="R402" s="10"/>
      <c r="S402" s="7" t="s">
        <v>407</v>
      </c>
      <c r="T402" s="7" t="s">
        <v>73</v>
      </c>
      <c r="U402" s="7" t="s">
        <v>44</v>
      </c>
      <c r="V402" s="7" t="s">
        <v>45</v>
      </c>
      <c r="W402" s="7" t="s">
        <v>67</v>
      </c>
      <c r="X402" s="7" t="s">
        <v>68</v>
      </c>
      <c r="Y402" s="7" t="s">
        <v>1046</v>
      </c>
      <c r="Z402" s="7" t="s">
        <v>997</v>
      </c>
      <c r="AA402" s="7"/>
      <c r="AB402" s="7"/>
      <c r="AC402" s="7" t="s">
        <v>64</v>
      </c>
      <c r="AD402" s="7"/>
      <c r="AE402" s="7" t="s">
        <v>1047</v>
      </c>
      <c r="AF402" s="7" t="s">
        <v>50</v>
      </c>
      <c r="AG402" s="7" t="s">
        <v>67</v>
      </c>
      <c r="AH402" s="7" t="s">
        <v>71</v>
      </c>
    </row>
    <row r="403" spans="1:34" ht="9.75" customHeight="1" x14ac:dyDescent="0.2">
      <c r="A403" s="7" t="s">
        <v>37</v>
      </c>
      <c r="B403" s="7" t="s">
        <v>38</v>
      </c>
      <c r="C403" s="7"/>
      <c r="D403" s="7" t="s">
        <v>1048</v>
      </c>
      <c r="E403" s="8">
        <v>1</v>
      </c>
      <c r="F403" s="7" t="s">
        <v>41</v>
      </c>
      <c r="G403" s="7"/>
      <c r="H403" s="9"/>
      <c r="I403" s="9"/>
      <c r="J403" s="9"/>
      <c r="K403" s="9"/>
      <c r="L403" s="10">
        <v>2351</v>
      </c>
      <c r="M403" s="9"/>
      <c r="N403" s="10">
        <v>2351</v>
      </c>
      <c r="O403" s="9"/>
      <c r="P403" s="10"/>
      <c r="Q403" s="10"/>
      <c r="R403" s="10"/>
      <c r="S403" s="7" t="s">
        <v>407</v>
      </c>
      <c r="T403" s="7" t="s">
        <v>73</v>
      </c>
      <c r="U403" s="7" t="s">
        <v>44</v>
      </c>
      <c r="V403" s="7" t="s">
        <v>45</v>
      </c>
      <c r="W403" s="7" t="s">
        <v>67</v>
      </c>
      <c r="X403" s="7" t="s">
        <v>68</v>
      </c>
      <c r="Y403" s="7" t="s">
        <v>1049</v>
      </c>
      <c r="Z403" s="7" t="s">
        <v>997</v>
      </c>
      <c r="AA403" s="7"/>
      <c r="AB403" s="7"/>
      <c r="AC403" s="7" t="s">
        <v>64</v>
      </c>
      <c r="AD403" s="7"/>
      <c r="AE403" s="7"/>
      <c r="AF403" s="7" t="s">
        <v>50</v>
      </c>
      <c r="AG403" s="7" t="s">
        <v>67</v>
      </c>
      <c r="AH403" s="7" t="s">
        <v>71</v>
      </c>
    </row>
    <row r="404" spans="1:34" ht="9.75" customHeight="1" x14ac:dyDescent="0.2">
      <c r="A404" s="7" t="s">
        <v>37</v>
      </c>
      <c r="B404" s="7" t="s">
        <v>38</v>
      </c>
      <c r="C404" s="7"/>
      <c r="D404" s="7" t="s">
        <v>1050</v>
      </c>
      <c r="E404" s="8">
        <v>1</v>
      </c>
      <c r="F404" s="7" t="s">
        <v>41</v>
      </c>
      <c r="G404" s="7"/>
      <c r="H404" s="9"/>
      <c r="I404" s="10">
        <v>11209</v>
      </c>
      <c r="J404" s="9"/>
      <c r="K404" s="9"/>
      <c r="L404" s="10">
        <v>10646</v>
      </c>
      <c r="M404" s="9"/>
      <c r="N404" s="10">
        <v>10646</v>
      </c>
      <c r="O404" s="9"/>
      <c r="P404" s="10"/>
      <c r="Q404" s="10"/>
      <c r="R404" s="10"/>
      <c r="S404" s="7" t="s">
        <v>407</v>
      </c>
      <c r="T404" s="7" t="s">
        <v>73</v>
      </c>
      <c r="U404" s="7" t="s">
        <v>44</v>
      </c>
      <c r="V404" s="7" t="s">
        <v>45</v>
      </c>
      <c r="W404" s="7" t="s">
        <v>67</v>
      </c>
      <c r="X404" s="7" t="s">
        <v>68</v>
      </c>
      <c r="Y404" s="7" t="s">
        <v>1051</v>
      </c>
      <c r="Z404" s="7" t="s">
        <v>997</v>
      </c>
      <c r="AA404" s="7"/>
      <c r="AB404" s="7"/>
      <c r="AC404" s="7" t="s">
        <v>64</v>
      </c>
      <c r="AD404" s="7"/>
      <c r="AE404" s="7" t="s">
        <v>1052</v>
      </c>
      <c r="AF404" s="7" t="s">
        <v>50</v>
      </c>
      <c r="AG404" s="7" t="s">
        <v>67</v>
      </c>
      <c r="AH404" s="7" t="s">
        <v>71</v>
      </c>
    </row>
    <row r="405" spans="1:34" ht="9.75" customHeight="1" x14ac:dyDescent="0.2">
      <c r="A405" s="7" t="s">
        <v>37</v>
      </c>
      <c r="B405" s="7" t="s">
        <v>38</v>
      </c>
      <c r="C405" s="7"/>
      <c r="D405" s="7" t="s">
        <v>1053</v>
      </c>
      <c r="E405" s="8">
        <v>1</v>
      </c>
      <c r="F405" s="7" t="s">
        <v>41</v>
      </c>
      <c r="G405" s="7"/>
      <c r="H405" s="9"/>
      <c r="I405" s="9"/>
      <c r="J405" s="9"/>
      <c r="K405" s="9"/>
      <c r="L405" s="10">
        <v>11503</v>
      </c>
      <c r="M405" s="9"/>
      <c r="N405" s="10">
        <v>11503</v>
      </c>
      <c r="O405" s="9"/>
      <c r="P405" s="10"/>
      <c r="Q405" s="10"/>
      <c r="R405" s="10"/>
      <c r="S405" s="7" t="s">
        <v>407</v>
      </c>
      <c r="T405" s="7" t="s">
        <v>73</v>
      </c>
      <c r="U405" s="7" t="s">
        <v>44</v>
      </c>
      <c r="V405" s="7" t="s">
        <v>45</v>
      </c>
      <c r="W405" s="7" t="s">
        <v>67</v>
      </c>
      <c r="X405" s="7" t="s">
        <v>68</v>
      </c>
      <c r="Y405" s="7" t="s">
        <v>1054</v>
      </c>
      <c r="Z405" s="7" t="s">
        <v>1055</v>
      </c>
      <c r="AA405" s="7"/>
      <c r="AB405" s="7"/>
      <c r="AC405" s="7" t="s">
        <v>64</v>
      </c>
      <c r="AD405" s="7"/>
      <c r="AE405" s="7"/>
      <c r="AF405" s="7" t="s">
        <v>50</v>
      </c>
      <c r="AG405" s="7" t="s">
        <v>67</v>
      </c>
      <c r="AH405" s="7" t="s">
        <v>71</v>
      </c>
    </row>
    <row r="406" spans="1:34" ht="9.75" customHeight="1" x14ac:dyDescent="0.2">
      <c r="A406" s="7" t="s">
        <v>37</v>
      </c>
      <c r="B406" s="7" t="s">
        <v>38</v>
      </c>
      <c r="C406" s="7"/>
      <c r="D406" s="7" t="s">
        <v>1056</v>
      </c>
      <c r="E406" s="8">
        <v>1</v>
      </c>
      <c r="F406" s="7" t="s">
        <v>41</v>
      </c>
      <c r="G406" s="7"/>
      <c r="H406" s="9"/>
      <c r="I406" s="9"/>
      <c r="J406" s="9"/>
      <c r="K406" s="9"/>
      <c r="L406" s="10">
        <v>10875</v>
      </c>
      <c r="M406" s="9"/>
      <c r="N406" s="10">
        <v>10875</v>
      </c>
      <c r="O406" s="9"/>
      <c r="P406" s="10"/>
      <c r="Q406" s="10"/>
      <c r="R406" s="10"/>
      <c r="S406" s="7" t="s">
        <v>407</v>
      </c>
      <c r="T406" s="7" t="s">
        <v>73</v>
      </c>
      <c r="U406" s="7" t="s">
        <v>44</v>
      </c>
      <c r="V406" s="7" t="s">
        <v>45</v>
      </c>
      <c r="W406" s="7" t="s">
        <v>67</v>
      </c>
      <c r="X406" s="7" t="s">
        <v>68</v>
      </c>
      <c r="Y406" s="7" t="s">
        <v>1057</v>
      </c>
      <c r="Z406" s="7" t="s">
        <v>1055</v>
      </c>
      <c r="AA406" s="7"/>
      <c r="AB406" s="7"/>
      <c r="AC406" s="7" t="s">
        <v>64</v>
      </c>
      <c r="AD406" s="7"/>
      <c r="AE406" s="7"/>
      <c r="AF406" s="7" t="s">
        <v>50</v>
      </c>
      <c r="AG406" s="7" t="s">
        <v>67</v>
      </c>
      <c r="AH406" s="7" t="s">
        <v>71</v>
      </c>
    </row>
    <row r="407" spans="1:34" ht="9.75" customHeight="1" x14ac:dyDescent="0.2">
      <c r="A407" s="7" t="s">
        <v>37</v>
      </c>
      <c r="B407" s="7" t="s">
        <v>38</v>
      </c>
      <c r="C407" s="7"/>
      <c r="D407" s="7" t="s">
        <v>1058</v>
      </c>
      <c r="E407" s="8">
        <v>1</v>
      </c>
      <c r="F407" s="7" t="s">
        <v>41</v>
      </c>
      <c r="G407" s="7"/>
      <c r="H407" s="9"/>
      <c r="I407" s="10">
        <v>23996</v>
      </c>
      <c r="J407" s="9"/>
      <c r="K407" s="9"/>
      <c r="L407" s="10">
        <v>16494</v>
      </c>
      <c r="M407" s="9"/>
      <c r="N407" s="10">
        <v>16494</v>
      </c>
      <c r="O407" s="9"/>
      <c r="P407" s="10"/>
      <c r="Q407" s="10"/>
      <c r="R407" s="10"/>
      <c r="S407" s="7" t="s">
        <v>407</v>
      </c>
      <c r="T407" s="7" t="s">
        <v>73</v>
      </c>
      <c r="U407" s="7" t="s">
        <v>44</v>
      </c>
      <c r="V407" s="7" t="s">
        <v>45</v>
      </c>
      <c r="W407" s="7" t="s">
        <v>67</v>
      </c>
      <c r="X407" s="7" t="s">
        <v>68</v>
      </c>
      <c r="Y407" s="7" t="s">
        <v>1059</v>
      </c>
      <c r="Z407" s="7" t="s">
        <v>1060</v>
      </c>
      <c r="AA407" s="7"/>
      <c r="AB407" s="7"/>
      <c r="AC407" s="7" t="s">
        <v>64</v>
      </c>
      <c r="AD407" s="7"/>
      <c r="AE407" s="7" t="s">
        <v>1061</v>
      </c>
      <c r="AF407" s="7" t="s">
        <v>50</v>
      </c>
      <c r="AG407" s="7" t="s">
        <v>67</v>
      </c>
      <c r="AH407" s="7" t="s">
        <v>71</v>
      </c>
    </row>
    <row r="408" spans="1:34" ht="9.75" customHeight="1" x14ac:dyDescent="0.2">
      <c r="A408" s="7" t="s">
        <v>37</v>
      </c>
      <c r="B408" s="7" t="s">
        <v>38</v>
      </c>
      <c r="C408" s="7"/>
      <c r="D408" s="7" t="s">
        <v>1062</v>
      </c>
      <c r="E408" s="8">
        <v>1</v>
      </c>
      <c r="F408" s="7" t="s">
        <v>41</v>
      </c>
      <c r="G408" s="7"/>
      <c r="H408" s="9"/>
      <c r="I408" s="10">
        <v>2008</v>
      </c>
      <c r="J408" s="9"/>
      <c r="K408" s="9"/>
      <c r="L408" s="10">
        <v>2068</v>
      </c>
      <c r="M408" s="9"/>
      <c r="N408" s="10">
        <v>2068</v>
      </c>
      <c r="O408" s="9"/>
      <c r="P408" s="10"/>
      <c r="Q408" s="10"/>
      <c r="R408" s="10"/>
      <c r="S408" s="7" t="s">
        <v>407</v>
      </c>
      <c r="T408" s="7" t="s">
        <v>73</v>
      </c>
      <c r="U408" s="7" t="s">
        <v>44</v>
      </c>
      <c r="V408" s="7" t="s">
        <v>45</v>
      </c>
      <c r="W408" s="7" t="s">
        <v>67</v>
      </c>
      <c r="X408" s="7" t="s">
        <v>68</v>
      </c>
      <c r="Y408" s="7" t="s">
        <v>1063</v>
      </c>
      <c r="Z408" s="7" t="s">
        <v>1060</v>
      </c>
      <c r="AA408" s="7"/>
      <c r="AB408" s="7"/>
      <c r="AC408" s="7" t="s">
        <v>64</v>
      </c>
      <c r="AD408" s="7"/>
      <c r="AE408" s="7" t="s">
        <v>1064</v>
      </c>
      <c r="AF408" s="7" t="s">
        <v>50</v>
      </c>
      <c r="AG408" s="7" t="s">
        <v>67</v>
      </c>
      <c r="AH408" s="7" t="s">
        <v>71</v>
      </c>
    </row>
    <row r="409" spans="1:34" ht="9.75" customHeight="1" x14ac:dyDescent="0.2">
      <c r="A409" s="7" t="s">
        <v>37</v>
      </c>
      <c r="B409" s="7" t="s">
        <v>38</v>
      </c>
      <c r="C409" s="7"/>
      <c r="D409" s="7" t="s">
        <v>1065</v>
      </c>
      <c r="E409" s="8">
        <v>1</v>
      </c>
      <c r="F409" s="7" t="s">
        <v>41</v>
      </c>
      <c r="G409" s="7"/>
      <c r="H409" s="9"/>
      <c r="I409" s="10">
        <v>810</v>
      </c>
      <c r="J409" s="9"/>
      <c r="K409" s="9"/>
      <c r="L409" s="10">
        <v>620</v>
      </c>
      <c r="M409" s="9"/>
      <c r="N409" s="10">
        <v>620</v>
      </c>
      <c r="O409" s="9"/>
      <c r="P409" s="10"/>
      <c r="Q409" s="10"/>
      <c r="R409" s="10"/>
      <c r="S409" s="7" t="s">
        <v>407</v>
      </c>
      <c r="T409" s="7" t="s">
        <v>73</v>
      </c>
      <c r="U409" s="7" t="s">
        <v>44</v>
      </c>
      <c r="V409" s="7" t="s">
        <v>45</v>
      </c>
      <c r="W409" s="7" t="s">
        <v>67</v>
      </c>
      <c r="X409" s="7" t="s">
        <v>68</v>
      </c>
      <c r="Y409" s="7" t="s">
        <v>1066</v>
      </c>
      <c r="Z409" s="7" t="s">
        <v>1060</v>
      </c>
      <c r="AA409" s="7"/>
      <c r="AB409" s="7"/>
      <c r="AC409" s="7" t="s">
        <v>64</v>
      </c>
      <c r="AD409" s="7"/>
      <c r="AE409" s="7" t="s">
        <v>1067</v>
      </c>
      <c r="AF409" s="7" t="s">
        <v>50</v>
      </c>
      <c r="AG409" s="7" t="s">
        <v>67</v>
      </c>
      <c r="AH409" s="7" t="s">
        <v>71</v>
      </c>
    </row>
    <row r="410" spans="1:34" ht="9.75" customHeight="1" x14ac:dyDescent="0.2">
      <c r="A410" s="7" t="s">
        <v>37</v>
      </c>
      <c r="B410" s="7" t="s">
        <v>38</v>
      </c>
      <c r="C410" s="7"/>
      <c r="D410" s="7" t="s">
        <v>1068</v>
      </c>
      <c r="E410" s="8">
        <v>1</v>
      </c>
      <c r="F410" s="7" t="s">
        <v>41</v>
      </c>
      <c r="G410" s="7"/>
      <c r="H410" s="9"/>
      <c r="I410" s="9"/>
      <c r="J410" s="9"/>
      <c r="K410" s="9"/>
      <c r="L410" s="10">
        <v>825</v>
      </c>
      <c r="M410" s="9"/>
      <c r="N410" s="10">
        <v>825</v>
      </c>
      <c r="O410" s="9"/>
      <c r="P410" s="10"/>
      <c r="Q410" s="10"/>
      <c r="R410" s="10"/>
      <c r="S410" s="7" t="s">
        <v>407</v>
      </c>
      <c r="T410" s="7" t="s">
        <v>73</v>
      </c>
      <c r="U410" s="7" t="s">
        <v>44</v>
      </c>
      <c r="V410" s="7" t="s">
        <v>45</v>
      </c>
      <c r="W410" s="7" t="s">
        <v>67</v>
      </c>
      <c r="X410" s="7" t="s">
        <v>68</v>
      </c>
      <c r="Y410" s="7" t="s">
        <v>1069</v>
      </c>
      <c r="Z410" s="7" t="s">
        <v>1060</v>
      </c>
      <c r="AA410" s="7"/>
      <c r="AB410" s="7"/>
      <c r="AC410" s="7" t="s">
        <v>64</v>
      </c>
      <c r="AD410" s="7"/>
      <c r="AE410" s="7" t="s">
        <v>1070</v>
      </c>
      <c r="AF410" s="7" t="s">
        <v>50</v>
      </c>
      <c r="AG410" s="7" t="s">
        <v>67</v>
      </c>
      <c r="AH410" s="7" t="s">
        <v>71</v>
      </c>
    </row>
    <row r="411" spans="1:34" ht="9.75" customHeight="1" x14ac:dyDescent="0.2">
      <c r="A411" s="7" t="s">
        <v>37</v>
      </c>
      <c r="B411" s="7" t="s">
        <v>38</v>
      </c>
      <c r="C411" s="7"/>
      <c r="D411" s="7" t="s">
        <v>1071</v>
      </c>
      <c r="E411" s="8">
        <v>1</v>
      </c>
      <c r="F411" s="7" t="s">
        <v>41</v>
      </c>
      <c r="G411" s="7"/>
      <c r="H411" s="9"/>
      <c r="I411" s="10">
        <v>3171</v>
      </c>
      <c r="J411" s="9"/>
      <c r="K411" s="9"/>
      <c r="L411" s="10">
        <v>3114</v>
      </c>
      <c r="M411" s="9"/>
      <c r="N411" s="10">
        <v>3114</v>
      </c>
      <c r="O411" s="9"/>
      <c r="P411" s="10"/>
      <c r="Q411" s="10"/>
      <c r="R411" s="10"/>
      <c r="S411" s="7" t="s">
        <v>407</v>
      </c>
      <c r="T411" s="7" t="s">
        <v>73</v>
      </c>
      <c r="U411" s="7" t="s">
        <v>44</v>
      </c>
      <c r="V411" s="7" t="s">
        <v>45</v>
      </c>
      <c r="W411" s="7" t="s">
        <v>67</v>
      </c>
      <c r="X411" s="7" t="s">
        <v>68</v>
      </c>
      <c r="Y411" s="7" t="s">
        <v>1072</v>
      </c>
      <c r="Z411" s="7" t="s">
        <v>1060</v>
      </c>
      <c r="AA411" s="7"/>
      <c r="AB411" s="7"/>
      <c r="AC411" s="7" t="s">
        <v>64</v>
      </c>
      <c r="AD411" s="7"/>
      <c r="AE411" s="7" t="s">
        <v>1073</v>
      </c>
      <c r="AF411" s="7" t="s">
        <v>50</v>
      </c>
      <c r="AG411" s="7" t="s">
        <v>67</v>
      </c>
      <c r="AH411" s="7" t="s">
        <v>71</v>
      </c>
    </row>
    <row r="412" spans="1:34" ht="9.75" customHeight="1" x14ac:dyDescent="0.2">
      <c r="A412" s="7" t="s">
        <v>37</v>
      </c>
      <c r="B412" s="7" t="s">
        <v>38</v>
      </c>
      <c r="C412" s="7"/>
      <c r="D412" s="7" t="s">
        <v>1074</v>
      </c>
      <c r="E412" s="8">
        <v>1</v>
      </c>
      <c r="F412" s="7" t="s">
        <v>41</v>
      </c>
      <c r="G412" s="7"/>
      <c r="H412" s="9"/>
      <c r="I412" s="10">
        <v>678430</v>
      </c>
      <c r="J412" s="9"/>
      <c r="K412" s="9"/>
      <c r="L412" s="10">
        <v>758239</v>
      </c>
      <c r="M412" s="9"/>
      <c r="N412" s="10">
        <v>758239</v>
      </c>
      <c r="O412" s="9"/>
      <c r="P412" s="10"/>
      <c r="Q412" s="10"/>
      <c r="R412" s="10"/>
      <c r="S412" s="7" t="s">
        <v>407</v>
      </c>
      <c r="T412" s="7" t="s">
        <v>73</v>
      </c>
      <c r="U412" s="7" t="s">
        <v>44</v>
      </c>
      <c r="V412" s="7" t="s">
        <v>45</v>
      </c>
      <c r="W412" s="7" t="s">
        <v>67</v>
      </c>
      <c r="X412" s="7" t="s">
        <v>68</v>
      </c>
      <c r="Y412" s="7" t="s">
        <v>1075</v>
      </c>
      <c r="Z412" s="7" t="s">
        <v>1076</v>
      </c>
      <c r="AA412" s="7"/>
      <c r="AB412" s="7"/>
      <c r="AC412" s="7" t="s">
        <v>64</v>
      </c>
      <c r="AD412" s="7"/>
      <c r="AE412" s="7" t="s">
        <v>1077</v>
      </c>
      <c r="AF412" s="7" t="s">
        <v>50</v>
      </c>
      <c r="AG412" s="7" t="s">
        <v>67</v>
      </c>
      <c r="AH412" s="7" t="s">
        <v>71</v>
      </c>
    </row>
    <row r="413" spans="1:34" ht="9.75" customHeight="1" x14ac:dyDescent="0.2">
      <c r="A413" s="7" t="s">
        <v>37</v>
      </c>
      <c r="B413" s="7" t="s">
        <v>38</v>
      </c>
      <c r="C413" s="7"/>
      <c r="D413" s="7" t="s">
        <v>1078</v>
      </c>
      <c r="E413" s="8">
        <v>1</v>
      </c>
      <c r="F413" s="7" t="s">
        <v>41</v>
      </c>
      <c r="G413" s="7"/>
      <c r="H413" s="9"/>
      <c r="I413" s="10">
        <v>77157</v>
      </c>
      <c r="J413" s="9"/>
      <c r="K413" s="9"/>
      <c r="L413" s="10">
        <v>60559</v>
      </c>
      <c r="M413" s="9"/>
      <c r="N413" s="10">
        <v>60559</v>
      </c>
      <c r="O413" s="9"/>
      <c r="P413" s="10"/>
      <c r="Q413" s="10"/>
      <c r="R413" s="10"/>
      <c r="S413" s="7" t="s">
        <v>407</v>
      </c>
      <c r="T413" s="7" t="s">
        <v>73</v>
      </c>
      <c r="U413" s="7" t="s">
        <v>44</v>
      </c>
      <c r="V413" s="7" t="s">
        <v>45</v>
      </c>
      <c r="W413" s="7" t="s">
        <v>67</v>
      </c>
      <c r="X413" s="7" t="s">
        <v>68</v>
      </c>
      <c r="Y413" s="7" t="s">
        <v>1079</v>
      </c>
      <c r="Z413" s="7" t="s">
        <v>1076</v>
      </c>
      <c r="AA413" s="7"/>
      <c r="AB413" s="7"/>
      <c r="AC413" s="7" t="s">
        <v>64</v>
      </c>
      <c r="AD413" s="7"/>
      <c r="AE413" s="7" t="s">
        <v>1080</v>
      </c>
      <c r="AF413" s="7" t="s">
        <v>50</v>
      </c>
      <c r="AG413" s="7" t="s">
        <v>67</v>
      </c>
      <c r="AH413" s="7" t="s">
        <v>71</v>
      </c>
    </row>
    <row r="414" spans="1:34" ht="9.75" customHeight="1" x14ac:dyDescent="0.2">
      <c r="A414" s="7" t="s">
        <v>37</v>
      </c>
      <c r="B414" s="7" t="s">
        <v>38</v>
      </c>
      <c r="C414" s="7"/>
      <c r="D414" s="7" t="s">
        <v>1081</v>
      </c>
      <c r="E414" s="8">
        <v>1</v>
      </c>
      <c r="F414" s="7" t="s">
        <v>41</v>
      </c>
      <c r="G414" s="7"/>
      <c r="H414" s="9"/>
      <c r="I414" s="10">
        <v>260082</v>
      </c>
      <c r="J414" s="9"/>
      <c r="K414" s="9"/>
      <c r="L414" s="10">
        <v>385090</v>
      </c>
      <c r="M414" s="9"/>
      <c r="N414" s="10">
        <v>385090</v>
      </c>
      <c r="O414" s="9"/>
      <c r="P414" s="10"/>
      <c r="Q414" s="10"/>
      <c r="R414" s="10"/>
      <c r="S414" s="7" t="s">
        <v>407</v>
      </c>
      <c r="T414" s="7" t="s">
        <v>73</v>
      </c>
      <c r="U414" s="7" t="s">
        <v>44</v>
      </c>
      <c r="V414" s="7" t="s">
        <v>45</v>
      </c>
      <c r="W414" s="7" t="s">
        <v>67</v>
      </c>
      <c r="X414" s="7" t="s">
        <v>68</v>
      </c>
      <c r="Y414" s="7" t="s">
        <v>1082</v>
      </c>
      <c r="Z414" s="7" t="s">
        <v>1076</v>
      </c>
      <c r="AA414" s="7"/>
      <c r="AB414" s="7"/>
      <c r="AC414" s="7" t="s">
        <v>64</v>
      </c>
      <c r="AD414" s="7"/>
      <c r="AE414" s="7" t="s">
        <v>1083</v>
      </c>
      <c r="AF414" s="7" t="s">
        <v>50</v>
      </c>
      <c r="AG414" s="7" t="s">
        <v>67</v>
      </c>
      <c r="AH414" s="7" t="s">
        <v>71</v>
      </c>
    </row>
    <row r="415" spans="1:34" ht="9.75" customHeight="1" x14ac:dyDescent="0.2">
      <c r="A415" s="7" t="s">
        <v>37</v>
      </c>
      <c r="B415" s="7" t="s">
        <v>38</v>
      </c>
      <c r="C415" s="7"/>
      <c r="D415" s="7" t="s">
        <v>1084</v>
      </c>
      <c r="E415" s="8">
        <v>1</v>
      </c>
      <c r="F415" s="7" t="s">
        <v>41</v>
      </c>
      <c r="G415" s="7"/>
      <c r="H415" s="9"/>
      <c r="I415" s="10">
        <v>19205</v>
      </c>
      <c r="J415" s="9"/>
      <c r="K415" s="9"/>
      <c r="L415" s="10">
        <v>23277</v>
      </c>
      <c r="M415" s="9"/>
      <c r="N415" s="10">
        <v>23277</v>
      </c>
      <c r="O415" s="9"/>
      <c r="P415" s="10"/>
      <c r="Q415" s="10"/>
      <c r="R415" s="10"/>
      <c r="S415" s="7" t="s">
        <v>407</v>
      </c>
      <c r="T415" s="7" t="s">
        <v>73</v>
      </c>
      <c r="U415" s="7" t="s">
        <v>44</v>
      </c>
      <c r="V415" s="7" t="s">
        <v>45</v>
      </c>
      <c r="W415" s="7" t="s">
        <v>67</v>
      </c>
      <c r="X415" s="7" t="s">
        <v>68</v>
      </c>
      <c r="Y415" s="7" t="s">
        <v>1085</v>
      </c>
      <c r="Z415" s="7" t="s">
        <v>1076</v>
      </c>
      <c r="AA415" s="7"/>
      <c r="AB415" s="7"/>
      <c r="AC415" s="7" t="s">
        <v>64</v>
      </c>
      <c r="AD415" s="7"/>
      <c r="AE415" s="7"/>
      <c r="AF415" s="7" t="s">
        <v>50</v>
      </c>
      <c r="AG415" s="7" t="s">
        <v>67</v>
      </c>
      <c r="AH415" s="7" t="s">
        <v>71</v>
      </c>
    </row>
    <row r="416" spans="1:34" ht="9.75" customHeight="1" x14ac:dyDescent="0.2">
      <c r="A416" s="7" t="s">
        <v>37</v>
      </c>
      <c r="B416" s="7" t="s">
        <v>38</v>
      </c>
      <c r="C416" s="7"/>
      <c r="D416" s="7" t="s">
        <v>1086</v>
      </c>
      <c r="E416" s="8">
        <v>1</v>
      </c>
      <c r="F416" s="7" t="s">
        <v>41</v>
      </c>
      <c r="G416" s="7"/>
      <c r="H416" s="9"/>
      <c r="I416" s="10">
        <v>3483</v>
      </c>
      <c r="J416" s="9"/>
      <c r="K416" s="9"/>
      <c r="L416" s="10">
        <v>4216</v>
      </c>
      <c r="M416" s="9"/>
      <c r="N416" s="10">
        <v>4216</v>
      </c>
      <c r="O416" s="9"/>
      <c r="P416" s="10"/>
      <c r="Q416" s="10"/>
      <c r="R416" s="10"/>
      <c r="S416" s="7" t="s">
        <v>407</v>
      </c>
      <c r="T416" s="7" t="s">
        <v>73</v>
      </c>
      <c r="U416" s="7" t="s">
        <v>44</v>
      </c>
      <c r="V416" s="7" t="s">
        <v>45</v>
      </c>
      <c r="W416" s="7" t="s">
        <v>67</v>
      </c>
      <c r="X416" s="7" t="s">
        <v>68</v>
      </c>
      <c r="Y416" s="7" t="s">
        <v>1087</v>
      </c>
      <c r="Z416" s="7" t="s">
        <v>1076</v>
      </c>
      <c r="AA416" s="7"/>
      <c r="AB416" s="7"/>
      <c r="AC416" s="7" t="s">
        <v>64</v>
      </c>
      <c r="AD416" s="7"/>
      <c r="AE416" s="7" t="s">
        <v>1088</v>
      </c>
      <c r="AF416" s="7" t="s">
        <v>50</v>
      </c>
      <c r="AG416" s="7" t="s">
        <v>67</v>
      </c>
      <c r="AH416" s="7" t="s">
        <v>71</v>
      </c>
    </row>
    <row r="417" spans="1:34" ht="9.75" customHeight="1" x14ac:dyDescent="0.2">
      <c r="A417" s="7" t="s">
        <v>37</v>
      </c>
      <c r="B417" s="7" t="s">
        <v>38</v>
      </c>
      <c r="C417" s="7"/>
      <c r="D417" s="7" t="s">
        <v>1089</v>
      </c>
      <c r="E417" s="8">
        <v>1</v>
      </c>
      <c r="F417" s="7" t="s">
        <v>41</v>
      </c>
      <c r="G417" s="7"/>
      <c r="H417" s="9"/>
      <c r="I417" s="10">
        <v>44337</v>
      </c>
      <c r="J417" s="9"/>
      <c r="K417" s="9"/>
      <c r="L417" s="10">
        <v>46523</v>
      </c>
      <c r="M417" s="9"/>
      <c r="N417" s="10">
        <v>46523</v>
      </c>
      <c r="O417" s="9"/>
      <c r="P417" s="10"/>
      <c r="Q417" s="10"/>
      <c r="R417" s="10"/>
      <c r="S417" s="7" t="s">
        <v>407</v>
      </c>
      <c r="T417" s="7" t="s">
        <v>73</v>
      </c>
      <c r="U417" s="7" t="s">
        <v>44</v>
      </c>
      <c r="V417" s="7" t="s">
        <v>45</v>
      </c>
      <c r="W417" s="7" t="s">
        <v>67</v>
      </c>
      <c r="X417" s="7" t="s">
        <v>68</v>
      </c>
      <c r="Y417" s="7" t="s">
        <v>1090</v>
      </c>
      <c r="Z417" s="7" t="s">
        <v>1076</v>
      </c>
      <c r="AA417" s="7"/>
      <c r="AB417" s="7"/>
      <c r="AC417" s="7" t="s">
        <v>64</v>
      </c>
      <c r="AD417" s="7"/>
      <c r="AE417" s="7" t="s">
        <v>1091</v>
      </c>
      <c r="AF417" s="7" t="s">
        <v>50</v>
      </c>
      <c r="AG417" s="7" t="s">
        <v>67</v>
      </c>
      <c r="AH417" s="7" t="s">
        <v>71</v>
      </c>
    </row>
    <row r="418" spans="1:34" ht="9.75" customHeight="1" x14ac:dyDescent="0.2">
      <c r="A418" s="7" t="s">
        <v>37</v>
      </c>
      <c r="B418" s="7" t="s">
        <v>38</v>
      </c>
      <c r="C418" s="7"/>
      <c r="D418" s="7" t="s">
        <v>1092</v>
      </c>
      <c r="E418" s="8">
        <v>1</v>
      </c>
      <c r="F418" s="7" t="s">
        <v>41</v>
      </c>
      <c r="G418" s="7"/>
      <c r="H418" s="9"/>
      <c r="I418" s="10">
        <v>5356</v>
      </c>
      <c r="J418" s="9"/>
      <c r="K418" s="9"/>
      <c r="L418" s="10">
        <v>8657</v>
      </c>
      <c r="M418" s="9"/>
      <c r="N418" s="10">
        <v>8657</v>
      </c>
      <c r="O418" s="9"/>
      <c r="P418" s="10"/>
      <c r="Q418" s="10"/>
      <c r="R418" s="10"/>
      <c r="S418" s="7" t="s">
        <v>407</v>
      </c>
      <c r="T418" s="7" t="s">
        <v>73</v>
      </c>
      <c r="U418" s="7" t="s">
        <v>44</v>
      </c>
      <c r="V418" s="7" t="s">
        <v>45</v>
      </c>
      <c r="W418" s="7" t="s">
        <v>67</v>
      </c>
      <c r="X418" s="7" t="s">
        <v>68</v>
      </c>
      <c r="Y418" s="7" t="s">
        <v>1093</v>
      </c>
      <c r="Z418" s="7" t="s">
        <v>1076</v>
      </c>
      <c r="AA418" s="7"/>
      <c r="AB418" s="7"/>
      <c r="AC418" s="7" t="s">
        <v>64</v>
      </c>
      <c r="AD418" s="7"/>
      <c r="AE418" s="7" t="s">
        <v>1094</v>
      </c>
      <c r="AF418" s="7" t="s">
        <v>50</v>
      </c>
      <c r="AG418" s="7" t="s">
        <v>67</v>
      </c>
      <c r="AH418" s="7" t="s">
        <v>71</v>
      </c>
    </row>
    <row r="419" spans="1:34" ht="9.75" customHeight="1" x14ac:dyDescent="0.2">
      <c r="A419" s="7" t="s">
        <v>37</v>
      </c>
      <c r="B419" s="7" t="s">
        <v>38</v>
      </c>
      <c r="C419" s="7"/>
      <c r="D419" s="7" t="s">
        <v>1095</v>
      </c>
      <c r="E419" s="8">
        <v>1</v>
      </c>
      <c r="F419" s="7" t="s">
        <v>41</v>
      </c>
      <c r="G419" s="7"/>
      <c r="H419" s="9"/>
      <c r="I419" s="10">
        <v>16102</v>
      </c>
      <c r="J419" s="9"/>
      <c r="K419" s="9"/>
      <c r="L419" s="10">
        <v>18584</v>
      </c>
      <c r="M419" s="9"/>
      <c r="N419" s="10">
        <v>18584</v>
      </c>
      <c r="O419" s="9"/>
      <c r="P419" s="10"/>
      <c r="Q419" s="10"/>
      <c r="R419" s="10"/>
      <c r="S419" s="7" t="s">
        <v>407</v>
      </c>
      <c r="T419" s="7" t="s">
        <v>73</v>
      </c>
      <c r="U419" s="7" t="s">
        <v>44</v>
      </c>
      <c r="V419" s="7" t="s">
        <v>45</v>
      </c>
      <c r="W419" s="7" t="s">
        <v>67</v>
      </c>
      <c r="X419" s="7" t="s">
        <v>68</v>
      </c>
      <c r="Y419" s="7" t="s">
        <v>1096</v>
      </c>
      <c r="Z419" s="7" t="s">
        <v>1076</v>
      </c>
      <c r="AA419" s="7"/>
      <c r="AB419" s="7"/>
      <c r="AC419" s="7" t="s">
        <v>64</v>
      </c>
      <c r="AD419" s="7"/>
      <c r="AE419" s="7" t="s">
        <v>1097</v>
      </c>
      <c r="AF419" s="7" t="s">
        <v>50</v>
      </c>
      <c r="AG419" s="7" t="s">
        <v>67</v>
      </c>
      <c r="AH419" s="7" t="s">
        <v>71</v>
      </c>
    </row>
    <row r="420" spans="1:34" ht="9.75" customHeight="1" x14ac:dyDescent="0.2">
      <c r="A420" s="7" t="s">
        <v>37</v>
      </c>
      <c r="B420" s="7" t="s">
        <v>38</v>
      </c>
      <c r="C420" s="7"/>
      <c r="D420" s="7" t="s">
        <v>1098</v>
      </c>
      <c r="E420" s="8">
        <v>1</v>
      </c>
      <c r="F420" s="7" t="s">
        <v>41</v>
      </c>
      <c r="G420" s="7"/>
      <c r="H420" s="9"/>
      <c r="I420" s="10">
        <v>7694</v>
      </c>
      <c r="J420" s="9"/>
      <c r="K420" s="9"/>
      <c r="L420" s="10">
        <v>8656</v>
      </c>
      <c r="M420" s="9"/>
      <c r="N420" s="10">
        <v>8656</v>
      </c>
      <c r="O420" s="9"/>
      <c r="P420" s="10"/>
      <c r="Q420" s="10"/>
      <c r="R420" s="10"/>
      <c r="S420" s="7" t="s">
        <v>407</v>
      </c>
      <c r="T420" s="7" t="s">
        <v>73</v>
      </c>
      <c r="U420" s="7" t="s">
        <v>44</v>
      </c>
      <c r="V420" s="7" t="s">
        <v>45</v>
      </c>
      <c r="W420" s="7" t="s">
        <v>67</v>
      </c>
      <c r="X420" s="7" t="s">
        <v>68</v>
      </c>
      <c r="Y420" s="7" t="s">
        <v>1099</v>
      </c>
      <c r="Z420" s="7" t="s">
        <v>1076</v>
      </c>
      <c r="AA420" s="7"/>
      <c r="AB420" s="7"/>
      <c r="AC420" s="7" t="s">
        <v>64</v>
      </c>
      <c r="AD420" s="7"/>
      <c r="AE420" s="7"/>
      <c r="AF420" s="7" t="s">
        <v>50</v>
      </c>
      <c r="AG420" s="7" t="s">
        <v>67</v>
      </c>
      <c r="AH420" s="7" t="s">
        <v>71</v>
      </c>
    </row>
    <row r="421" spans="1:34" ht="9.75" customHeight="1" x14ac:dyDescent="0.2">
      <c r="A421" s="7" t="s">
        <v>37</v>
      </c>
      <c r="B421" s="7" t="s">
        <v>38</v>
      </c>
      <c r="C421" s="7"/>
      <c r="D421" s="7" t="s">
        <v>1100</v>
      </c>
      <c r="E421" s="8">
        <v>1</v>
      </c>
      <c r="F421" s="7" t="s">
        <v>41</v>
      </c>
      <c r="G421" s="7"/>
      <c r="H421" s="9"/>
      <c r="I421" s="9"/>
      <c r="J421" s="9"/>
      <c r="K421" s="9"/>
      <c r="L421" s="10">
        <v>8837</v>
      </c>
      <c r="M421" s="9"/>
      <c r="N421" s="10">
        <v>8837</v>
      </c>
      <c r="O421" s="9"/>
      <c r="P421" s="10"/>
      <c r="Q421" s="10"/>
      <c r="R421" s="10"/>
      <c r="S421" s="7" t="s">
        <v>407</v>
      </c>
      <c r="T421" s="7" t="s">
        <v>73</v>
      </c>
      <c r="U421" s="7" t="s">
        <v>44</v>
      </c>
      <c r="V421" s="7" t="s">
        <v>45</v>
      </c>
      <c r="W421" s="7" t="s">
        <v>67</v>
      </c>
      <c r="X421" s="7" t="s">
        <v>68</v>
      </c>
      <c r="Y421" s="7" t="s">
        <v>1101</v>
      </c>
      <c r="Z421" s="7" t="s">
        <v>1076</v>
      </c>
      <c r="AA421" s="7"/>
      <c r="AB421" s="7"/>
      <c r="AC421" s="7" t="s">
        <v>64</v>
      </c>
      <c r="AD421" s="7"/>
      <c r="AE421" s="7" t="s">
        <v>1102</v>
      </c>
      <c r="AF421" s="7" t="s">
        <v>50</v>
      </c>
      <c r="AG421" s="7" t="s">
        <v>67</v>
      </c>
      <c r="AH421" s="7" t="s">
        <v>71</v>
      </c>
    </row>
    <row r="422" spans="1:34" ht="9.75" customHeight="1" x14ac:dyDescent="0.2">
      <c r="A422" s="7" t="s">
        <v>37</v>
      </c>
      <c r="B422" s="7" t="s">
        <v>38</v>
      </c>
      <c r="C422" s="7"/>
      <c r="D422" s="7" t="s">
        <v>1103</v>
      </c>
      <c r="E422" s="8">
        <v>1</v>
      </c>
      <c r="F422" s="7" t="s">
        <v>41</v>
      </c>
      <c r="G422" s="7"/>
      <c r="H422" s="9"/>
      <c r="I422" s="9"/>
      <c r="J422" s="9"/>
      <c r="K422" s="9"/>
      <c r="L422" s="10">
        <v>5523</v>
      </c>
      <c r="M422" s="9"/>
      <c r="N422" s="10">
        <v>5523</v>
      </c>
      <c r="O422" s="9"/>
      <c r="P422" s="10"/>
      <c r="Q422" s="10"/>
      <c r="R422" s="10"/>
      <c r="S422" s="7" t="s">
        <v>407</v>
      </c>
      <c r="T422" s="7" t="s">
        <v>73</v>
      </c>
      <c r="U422" s="7" t="s">
        <v>44</v>
      </c>
      <c r="V422" s="7" t="s">
        <v>45</v>
      </c>
      <c r="W422" s="7" t="s">
        <v>67</v>
      </c>
      <c r="X422" s="7" t="s">
        <v>68</v>
      </c>
      <c r="Y422" s="7" t="s">
        <v>1104</v>
      </c>
      <c r="Z422" s="7" t="s">
        <v>1076</v>
      </c>
      <c r="AA422" s="7"/>
      <c r="AB422" s="7"/>
      <c r="AC422" s="7" t="s">
        <v>64</v>
      </c>
      <c r="AD422" s="7"/>
      <c r="AE422" s="7" t="s">
        <v>1105</v>
      </c>
      <c r="AF422" s="7" t="s">
        <v>50</v>
      </c>
      <c r="AG422" s="7" t="s">
        <v>67</v>
      </c>
      <c r="AH422" s="7" t="s">
        <v>71</v>
      </c>
    </row>
    <row r="423" spans="1:34" ht="9.75" customHeight="1" x14ac:dyDescent="0.2">
      <c r="A423" s="7" t="s">
        <v>37</v>
      </c>
      <c r="B423" s="7" t="s">
        <v>38</v>
      </c>
      <c r="C423" s="7"/>
      <c r="D423" s="7" t="s">
        <v>1106</v>
      </c>
      <c r="E423" s="8">
        <v>1</v>
      </c>
      <c r="F423" s="7" t="s">
        <v>41</v>
      </c>
      <c r="G423" s="7"/>
      <c r="H423" s="9"/>
      <c r="I423" s="9"/>
      <c r="J423" s="9"/>
      <c r="K423" s="9"/>
      <c r="L423" s="10">
        <v>46100</v>
      </c>
      <c r="M423" s="9"/>
      <c r="N423" s="10">
        <v>46100</v>
      </c>
      <c r="O423" s="9"/>
      <c r="P423" s="10"/>
      <c r="Q423" s="10"/>
      <c r="R423" s="10"/>
      <c r="S423" s="7" t="s">
        <v>407</v>
      </c>
      <c r="T423" s="7" t="s">
        <v>73</v>
      </c>
      <c r="U423" s="7" t="s">
        <v>44</v>
      </c>
      <c r="V423" s="7" t="s">
        <v>45</v>
      </c>
      <c r="W423" s="7" t="s">
        <v>67</v>
      </c>
      <c r="X423" s="7" t="s">
        <v>68</v>
      </c>
      <c r="Y423" s="7" t="s">
        <v>1107</v>
      </c>
      <c r="Z423" s="7" t="s">
        <v>1076</v>
      </c>
      <c r="AA423" s="7"/>
      <c r="AB423" s="7"/>
      <c r="AC423" s="7" t="s">
        <v>64</v>
      </c>
      <c r="AD423" s="7"/>
      <c r="AE423" s="7" t="s">
        <v>1108</v>
      </c>
      <c r="AF423" s="7" t="s">
        <v>50</v>
      </c>
      <c r="AG423" s="7" t="s">
        <v>67</v>
      </c>
      <c r="AH423" s="7" t="s">
        <v>71</v>
      </c>
    </row>
    <row r="424" spans="1:34" ht="9.75" customHeight="1" x14ac:dyDescent="0.2">
      <c r="A424" s="7" t="s">
        <v>37</v>
      </c>
      <c r="B424" s="7" t="s">
        <v>38</v>
      </c>
      <c r="C424" s="7"/>
      <c r="D424" s="7" t="s">
        <v>1109</v>
      </c>
      <c r="E424" s="8">
        <v>1</v>
      </c>
      <c r="F424" s="7" t="s">
        <v>41</v>
      </c>
      <c r="G424" s="7"/>
      <c r="H424" s="9"/>
      <c r="I424" s="10">
        <v>2527</v>
      </c>
      <c r="J424" s="9"/>
      <c r="K424" s="9"/>
      <c r="L424" s="10">
        <v>2820</v>
      </c>
      <c r="M424" s="9"/>
      <c r="N424" s="10">
        <v>2820</v>
      </c>
      <c r="O424" s="9"/>
      <c r="P424" s="10"/>
      <c r="Q424" s="10"/>
      <c r="R424" s="10"/>
      <c r="S424" s="7" t="s">
        <v>407</v>
      </c>
      <c r="T424" s="7" t="s">
        <v>73</v>
      </c>
      <c r="U424" s="7" t="s">
        <v>44</v>
      </c>
      <c r="V424" s="7" t="s">
        <v>45</v>
      </c>
      <c r="W424" s="7" t="s">
        <v>67</v>
      </c>
      <c r="X424" s="7" t="s">
        <v>68</v>
      </c>
      <c r="Y424" s="7" t="s">
        <v>1110</v>
      </c>
      <c r="Z424" s="7" t="s">
        <v>1076</v>
      </c>
      <c r="AA424" s="7"/>
      <c r="AB424" s="7"/>
      <c r="AC424" s="7" t="s">
        <v>64</v>
      </c>
      <c r="AD424" s="7"/>
      <c r="AE424" s="7" t="s">
        <v>1111</v>
      </c>
      <c r="AF424" s="7" t="s">
        <v>50</v>
      </c>
      <c r="AG424" s="7" t="s">
        <v>67</v>
      </c>
      <c r="AH424" s="7" t="s">
        <v>71</v>
      </c>
    </row>
    <row r="425" spans="1:34" ht="9.75" customHeight="1" x14ac:dyDescent="0.2">
      <c r="A425" s="7" t="s">
        <v>37</v>
      </c>
      <c r="B425" s="7" t="s">
        <v>38</v>
      </c>
      <c r="C425" s="7"/>
      <c r="D425" s="7" t="s">
        <v>1112</v>
      </c>
      <c r="E425" s="8">
        <v>1</v>
      </c>
      <c r="F425" s="7" t="s">
        <v>41</v>
      </c>
      <c r="G425" s="7"/>
      <c r="H425" s="9"/>
      <c r="I425" s="10">
        <v>1089</v>
      </c>
      <c r="J425" s="9"/>
      <c r="K425" s="9"/>
      <c r="L425" s="10">
        <v>1972</v>
      </c>
      <c r="M425" s="9"/>
      <c r="N425" s="10">
        <v>1972</v>
      </c>
      <c r="O425" s="9"/>
      <c r="P425" s="10"/>
      <c r="Q425" s="10"/>
      <c r="R425" s="10"/>
      <c r="S425" s="7" t="s">
        <v>407</v>
      </c>
      <c r="T425" s="7" t="s">
        <v>73</v>
      </c>
      <c r="U425" s="7" t="s">
        <v>44</v>
      </c>
      <c r="V425" s="7" t="s">
        <v>45</v>
      </c>
      <c r="W425" s="7" t="s">
        <v>67</v>
      </c>
      <c r="X425" s="7" t="s">
        <v>68</v>
      </c>
      <c r="Y425" s="7" t="s">
        <v>1113</v>
      </c>
      <c r="Z425" s="7" t="s">
        <v>1076</v>
      </c>
      <c r="AA425" s="7"/>
      <c r="AB425" s="7"/>
      <c r="AC425" s="7" t="s">
        <v>64</v>
      </c>
      <c r="AD425" s="7"/>
      <c r="AE425" s="7" t="s">
        <v>1114</v>
      </c>
      <c r="AF425" s="7" t="s">
        <v>50</v>
      </c>
      <c r="AG425" s="7" t="s">
        <v>67</v>
      </c>
      <c r="AH425" s="7" t="s">
        <v>71</v>
      </c>
    </row>
    <row r="426" spans="1:34" ht="9.75" customHeight="1" x14ac:dyDescent="0.2">
      <c r="A426" s="7" t="s">
        <v>37</v>
      </c>
      <c r="B426" s="7" t="s">
        <v>38</v>
      </c>
      <c r="C426" s="7"/>
      <c r="D426" s="7" t="s">
        <v>1115</v>
      </c>
      <c r="E426" s="8">
        <v>1</v>
      </c>
      <c r="F426" s="7" t="s">
        <v>41</v>
      </c>
      <c r="G426" s="7"/>
      <c r="H426" s="9"/>
      <c r="I426" s="10">
        <v>889</v>
      </c>
      <c r="J426" s="9"/>
      <c r="K426" s="9"/>
      <c r="L426" s="10">
        <v>1096</v>
      </c>
      <c r="M426" s="9"/>
      <c r="N426" s="10">
        <v>1096</v>
      </c>
      <c r="O426" s="9"/>
      <c r="P426" s="10"/>
      <c r="Q426" s="10"/>
      <c r="R426" s="10"/>
      <c r="S426" s="7" t="s">
        <v>407</v>
      </c>
      <c r="T426" s="7" t="s">
        <v>73</v>
      </c>
      <c r="U426" s="7" t="s">
        <v>44</v>
      </c>
      <c r="V426" s="7" t="s">
        <v>45</v>
      </c>
      <c r="W426" s="7" t="s">
        <v>67</v>
      </c>
      <c r="X426" s="7" t="s">
        <v>68</v>
      </c>
      <c r="Y426" s="7" t="s">
        <v>1116</v>
      </c>
      <c r="Z426" s="7" t="s">
        <v>1076</v>
      </c>
      <c r="AA426" s="7"/>
      <c r="AB426" s="7"/>
      <c r="AC426" s="7" t="s">
        <v>64</v>
      </c>
      <c r="AD426" s="7"/>
      <c r="AE426" s="7" t="s">
        <v>1117</v>
      </c>
      <c r="AF426" s="7" t="s">
        <v>50</v>
      </c>
      <c r="AG426" s="7" t="s">
        <v>67</v>
      </c>
      <c r="AH426" s="7" t="s">
        <v>71</v>
      </c>
    </row>
    <row r="427" spans="1:34" ht="9.75" customHeight="1" x14ac:dyDescent="0.2">
      <c r="A427" s="7" t="s">
        <v>37</v>
      </c>
      <c r="B427" s="7" t="s">
        <v>38</v>
      </c>
      <c r="C427" s="7"/>
      <c r="D427" s="7" t="s">
        <v>1118</v>
      </c>
      <c r="E427" s="8">
        <v>1</v>
      </c>
      <c r="F427" s="7" t="s">
        <v>41</v>
      </c>
      <c r="G427" s="7"/>
      <c r="H427" s="9"/>
      <c r="I427" s="9"/>
      <c r="J427" s="9"/>
      <c r="K427" s="9"/>
      <c r="L427" s="10">
        <v>2090</v>
      </c>
      <c r="M427" s="9"/>
      <c r="N427" s="10">
        <v>2090</v>
      </c>
      <c r="O427" s="9"/>
      <c r="P427" s="10"/>
      <c r="Q427" s="10"/>
      <c r="R427" s="10"/>
      <c r="S427" s="7" t="s">
        <v>407</v>
      </c>
      <c r="T427" s="7" t="s">
        <v>73</v>
      </c>
      <c r="U427" s="7" t="s">
        <v>44</v>
      </c>
      <c r="V427" s="7" t="s">
        <v>45</v>
      </c>
      <c r="W427" s="7" t="s">
        <v>67</v>
      </c>
      <c r="X427" s="7" t="s">
        <v>68</v>
      </c>
      <c r="Y427" s="7" t="s">
        <v>1119</v>
      </c>
      <c r="Z427" s="7" t="s">
        <v>1076</v>
      </c>
      <c r="AA427" s="7"/>
      <c r="AB427" s="7"/>
      <c r="AC427" s="7" t="s">
        <v>64</v>
      </c>
      <c r="AD427" s="7"/>
      <c r="AE427" s="7"/>
      <c r="AF427" s="7" t="s">
        <v>50</v>
      </c>
      <c r="AG427" s="7" t="s">
        <v>67</v>
      </c>
      <c r="AH427" s="7" t="s">
        <v>71</v>
      </c>
    </row>
    <row r="428" spans="1:34" ht="9.75" customHeight="1" x14ac:dyDescent="0.2">
      <c r="A428" s="7" t="s">
        <v>37</v>
      </c>
      <c r="B428" s="7" t="s">
        <v>38</v>
      </c>
      <c r="C428" s="7"/>
      <c r="D428" s="7" t="s">
        <v>1120</v>
      </c>
      <c r="E428" s="8">
        <v>1</v>
      </c>
      <c r="F428" s="7" t="s">
        <v>41</v>
      </c>
      <c r="G428" s="7"/>
      <c r="H428" s="9"/>
      <c r="I428" s="9"/>
      <c r="J428" s="9"/>
      <c r="K428" s="9"/>
      <c r="L428" s="10">
        <v>5018</v>
      </c>
      <c r="M428" s="9"/>
      <c r="N428" s="10">
        <v>5018</v>
      </c>
      <c r="O428" s="9"/>
      <c r="P428" s="10"/>
      <c r="Q428" s="10"/>
      <c r="R428" s="10"/>
      <c r="S428" s="7" t="s">
        <v>407</v>
      </c>
      <c r="T428" s="7" t="s">
        <v>73</v>
      </c>
      <c r="U428" s="7" t="s">
        <v>44</v>
      </c>
      <c r="V428" s="7" t="s">
        <v>45</v>
      </c>
      <c r="W428" s="7" t="s">
        <v>67</v>
      </c>
      <c r="X428" s="7" t="s">
        <v>68</v>
      </c>
      <c r="Y428" s="7" t="s">
        <v>1121</v>
      </c>
      <c r="Z428" s="7" t="s">
        <v>1076</v>
      </c>
      <c r="AA428" s="7"/>
      <c r="AB428" s="7"/>
      <c r="AC428" s="7" t="s">
        <v>64</v>
      </c>
      <c r="AD428" s="7"/>
      <c r="AE428" s="7"/>
      <c r="AF428" s="7" t="s">
        <v>50</v>
      </c>
      <c r="AG428" s="7" t="s">
        <v>67</v>
      </c>
      <c r="AH428" s="7" t="s">
        <v>71</v>
      </c>
    </row>
    <row r="429" spans="1:34" ht="9.75" customHeight="1" x14ac:dyDescent="0.2">
      <c r="A429" s="7" t="s">
        <v>37</v>
      </c>
      <c r="B429" s="7" t="s">
        <v>38</v>
      </c>
      <c r="C429" s="7"/>
      <c r="D429" s="7" t="s">
        <v>1122</v>
      </c>
      <c r="E429" s="8">
        <v>1</v>
      </c>
      <c r="F429" s="7" t="s">
        <v>41</v>
      </c>
      <c r="G429" s="7"/>
      <c r="H429" s="9"/>
      <c r="I429" s="10">
        <v>2371</v>
      </c>
      <c r="J429" s="9"/>
      <c r="K429" s="9"/>
      <c r="L429" s="10">
        <v>2677</v>
      </c>
      <c r="M429" s="9"/>
      <c r="N429" s="10">
        <v>2677</v>
      </c>
      <c r="O429" s="9"/>
      <c r="P429" s="10"/>
      <c r="Q429" s="10"/>
      <c r="R429" s="10"/>
      <c r="S429" s="7" t="s">
        <v>407</v>
      </c>
      <c r="T429" s="7" t="s">
        <v>73</v>
      </c>
      <c r="U429" s="7" t="s">
        <v>44</v>
      </c>
      <c r="V429" s="7" t="s">
        <v>45</v>
      </c>
      <c r="W429" s="7" t="s">
        <v>67</v>
      </c>
      <c r="X429" s="7" t="s">
        <v>68</v>
      </c>
      <c r="Y429" s="7" t="s">
        <v>1123</v>
      </c>
      <c r="Z429" s="7" t="s">
        <v>1076</v>
      </c>
      <c r="AA429" s="7"/>
      <c r="AB429" s="7"/>
      <c r="AC429" s="7" t="s">
        <v>64</v>
      </c>
      <c r="AD429" s="7"/>
      <c r="AE429" s="7" t="s">
        <v>1124</v>
      </c>
      <c r="AF429" s="7" t="s">
        <v>50</v>
      </c>
      <c r="AG429" s="7" t="s">
        <v>67</v>
      </c>
      <c r="AH429" s="7" t="s">
        <v>71</v>
      </c>
    </row>
    <row r="430" spans="1:34" ht="9.75" customHeight="1" x14ac:dyDescent="0.2">
      <c r="A430" s="7" t="s">
        <v>37</v>
      </c>
      <c r="B430" s="7" t="s">
        <v>38</v>
      </c>
      <c r="C430" s="7"/>
      <c r="D430" s="7" t="s">
        <v>1125</v>
      </c>
      <c r="E430" s="8">
        <v>1</v>
      </c>
      <c r="F430" s="7" t="s">
        <v>41</v>
      </c>
      <c r="G430" s="7"/>
      <c r="H430" s="9"/>
      <c r="I430" s="10">
        <v>2338</v>
      </c>
      <c r="J430" s="9"/>
      <c r="K430" s="9"/>
      <c r="L430" s="10">
        <v>1995</v>
      </c>
      <c r="M430" s="9"/>
      <c r="N430" s="10">
        <v>1995</v>
      </c>
      <c r="O430" s="9"/>
      <c r="P430" s="10"/>
      <c r="Q430" s="10"/>
      <c r="R430" s="10"/>
      <c r="S430" s="7" t="s">
        <v>407</v>
      </c>
      <c r="T430" s="7" t="s">
        <v>73</v>
      </c>
      <c r="U430" s="7" t="s">
        <v>44</v>
      </c>
      <c r="V430" s="7" t="s">
        <v>45</v>
      </c>
      <c r="W430" s="7" t="s">
        <v>67</v>
      </c>
      <c r="X430" s="7" t="s">
        <v>68</v>
      </c>
      <c r="Y430" s="7" t="s">
        <v>1126</v>
      </c>
      <c r="Z430" s="7" t="s">
        <v>1076</v>
      </c>
      <c r="AA430" s="7"/>
      <c r="AB430" s="7"/>
      <c r="AC430" s="7" t="s">
        <v>64</v>
      </c>
      <c r="AD430" s="7"/>
      <c r="AE430" s="7" t="s">
        <v>1127</v>
      </c>
      <c r="AF430" s="7" t="s">
        <v>50</v>
      </c>
      <c r="AG430" s="7" t="s">
        <v>67</v>
      </c>
      <c r="AH430" s="7" t="s">
        <v>71</v>
      </c>
    </row>
    <row r="431" spans="1:34" ht="9.75" customHeight="1" x14ac:dyDescent="0.2">
      <c r="A431" s="7" t="s">
        <v>37</v>
      </c>
      <c r="B431" s="7" t="s">
        <v>38</v>
      </c>
      <c r="C431" s="7"/>
      <c r="D431" s="7" t="s">
        <v>1128</v>
      </c>
      <c r="E431" s="8">
        <v>1</v>
      </c>
      <c r="F431" s="7" t="s">
        <v>41</v>
      </c>
      <c r="G431" s="7"/>
      <c r="H431" s="9"/>
      <c r="I431" s="9"/>
      <c r="J431" s="9"/>
      <c r="K431" s="9"/>
      <c r="L431" s="10">
        <v>4175</v>
      </c>
      <c r="M431" s="9"/>
      <c r="N431" s="10">
        <v>4175</v>
      </c>
      <c r="O431" s="9"/>
      <c r="P431" s="10"/>
      <c r="Q431" s="10"/>
      <c r="R431" s="10"/>
      <c r="S431" s="7" t="s">
        <v>407</v>
      </c>
      <c r="T431" s="7" t="s">
        <v>73</v>
      </c>
      <c r="U431" s="7" t="s">
        <v>44</v>
      </c>
      <c r="V431" s="7" t="s">
        <v>45</v>
      </c>
      <c r="W431" s="7" t="s">
        <v>67</v>
      </c>
      <c r="X431" s="7" t="s">
        <v>68</v>
      </c>
      <c r="Y431" s="7" t="s">
        <v>1129</v>
      </c>
      <c r="Z431" s="7" t="s">
        <v>1076</v>
      </c>
      <c r="AA431" s="7"/>
      <c r="AB431" s="7"/>
      <c r="AC431" s="7" t="s">
        <v>64</v>
      </c>
      <c r="AD431" s="7"/>
      <c r="AE431" s="7" t="s">
        <v>1130</v>
      </c>
      <c r="AF431" s="7" t="s">
        <v>50</v>
      </c>
      <c r="AG431" s="7" t="s">
        <v>67</v>
      </c>
      <c r="AH431" s="7" t="s">
        <v>71</v>
      </c>
    </row>
    <row r="432" spans="1:34" ht="9.75" customHeight="1" x14ac:dyDescent="0.2">
      <c r="A432" s="7" t="s">
        <v>37</v>
      </c>
      <c r="B432" s="7" t="s">
        <v>38</v>
      </c>
      <c r="C432" s="7"/>
      <c r="D432" s="7" t="s">
        <v>1131</v>
      </c>
      <c r="E432" s="8">
        <v>1</v>
      </c>
      <c r="F432" s="7" t="s">
        <v>41</v>
      </c>
      <c r="G432" s="7"/>
      <c r="H432" s="9"/>
      <c r="I432" s="9"/>
      <c r="J432" s="9"/>
      <c r="K432" s="9"/>
      <c r="L432" s="10">
        <v>1693</v>
      </c>
      <c r="M432" s="9"/>
      <c r="N432" s="10">
        <v>1693</v>
      </c>
      <c r="O432" s="9"/>
      <c r="P432" s="10"/>
      <c r="Q432" s="10"/>
      <c r="R432" s="10"/>
      <c r="S432" s="7" t="s">
        <v>407</v>
      </c>
      <c r="T432" s="7" t="s">
        <v>73</v>
      </c>
      <c r="U432" s="7" t="s">
        <v>44</v>
      </c>
      <c r="V432" s="7" t="s">
        <v>45</v>
      </c>
      <c r="W432" s="7" t="s">
        <v>67</v>
      </c>
      <c r="X432" s="7" t="s">
        <v>68</v>
      </c>
      <c r="Y432" s="7" t="s">
        <v>1132</v>
      </c>
      <c r="Z432" s="7" t="s">
        <v>1076</v>
      </c>
      <c r="AA432" s="7"/>
      <c r="AB432" s="7"/>
      <c r="AC432" s="7" t="s">
        <v>64</v>
      </c>
      <c r="AD432" s="7"/>
      <c r="AE432" s="7" t="s">
        <v>1133</v>
      </c>
      <c r="AF432" s="7" t="s">
        <v>50</v>
      </c>
      <c r="AG432" s="7" t="s">
        <v>67</v>
      </c>
      <c r="AH432" s="7" t="s">
        <v>71</v>
      </c>
    </row>
    <row r="433" spans="1:34" ht="9.75" customHeight="1" x14ac:dyDescent="0.2">
      <c r="A433" s="7" t="s">
        <v>37</v>
      </c>
      <c r="B433" s="7" t="s">
        <v>38</v>
      </c>
      <c r="C433" s="7"/>
      <c r="D433" s="7" t="s">
        <v>1134</v>
      </c>
      <c r="E433" s="8">
        <v>1</v>
      </c>
      <c r="F433" s="7" t="s">
        <v>41</v>
      </c>
      <c r="G433" s="7"/>
      <c r="H433" s="9"/>
      <c r="I433" s="9"/>
      <c r="J433" s="9"/>
      <c r="K433" s="9"/>
      <c r="L433" s="10">
        <v>4214</v>
      </c>
      <c r="M433" s="9"/>
      <c r="N433" s="10">
        <v>4214</v>
      </c>
      <c r="O433" s="9"/>
      <c r="P433" s="10"/>
      <c r="Q433" s="10"/>
      <c r="R433" s="10"/>
      <c r="S433" s="7" t="s">
        <v>407</v>
      </c>
      <c r="T433" s="7" t="s">
        <v>73</v>
      </c>
      <c r="U433" s="7" t="s">
        <v>44</v>
      </c>
      <c r="V433" s="7" t="s">
        <v>45</v>
      </c>
      <c r="W433" s="7" t="s">
        <v>67</v>
      </c>
      <c r="X433" s="7" t="s">
        <v>68</v>
      </c>
      <c r="Y433" s="7" t="s">
        <v>1135</v>
      </c>
      <c r="Z433" s="7" t="s">
        <v>1076</v>
      </c>
      <c r="AA433" s="7"/>
      <c r="AB433" s="7"/>
      <c r="AC433" s="7" t="s">
        <v>64</v>
      </c>
      <c r="AD433" s="7"/>
      <c r="AE433" s="7"/>
      <c r="AF433" s="7" t="s">
        <v>50</v>
      </c>
      <c r="AG433" s="7" t="s">
        <v>67</v>
      </c>
      <c r="AH433" s="7" t="s">
        <v>71</v>
      </c>
    </row>
    <row r="434" spans="1:34" ht="9.75" customHeight="1" x14ac:dyDescent="0.2">
      <c r="A434" s="7" t="s">
        <v>37</v>
      </c>
      <c r="B434" s="7" t="s">
        <v>38</v>
      </c>
      <c r="C434" s="7"/>
      <c r="D434" s="7" t="s">
        <v>1136</v>
      </c>
      <c r="E434" s="8">
        <v>1</v>
      </c>
      <c r="F434" s="7" t="s">
        <v>41</v>
      </c>
      <c r="G434" s="7"/>
      <c r="H434" s="9"/>
      <c r="I434" s="9"/>
      <c r="J434" s="9"/>
      <c r="K434" s="9"/>
      <c r="L434" s="10">
        <v>10810</v>
      </c>
      <c r="M434" s="9"/>
      <c r="N434" s="10">
        <v>10810</v>
      </c>
      <c r="O434" s="9"/>
      <c r="P434" s="10"/>
      <c r="Q434" s="10"/>
      <c r="R434" s="10"/>
      <c r="S434" s="7" t="s">
        <v>407</v>
      </c>
      <c r="T434" s="7" t="s">
        <v>73</v>
      </c>
      <c r="U434" s="7" t="s">
        <v>44</v>
      </c>
      <c r="V434" s="7" t="s">
        <v>45</v>
      </c>
      <c r="W434" s="7" t="s">
        <v>67</v>
      </c>
      <c r="X434" s="7" t="s">
        <v>68</v>
      </c>
      <c r="Y434" s="7" t="s">
        <v>1137</v>
      </c>
      <c r="Z434" s="7" t="s">
        <v>1076</v>
      </c>
      <c r="AA434" s="7"/>
      <c r="AB434" s="7"/>
      <c r="AC434" s="7" t="s">
        <v>64</v>
      </c>
      <c r="AD434" s="7"/>
      <c r="AE434" s="7" t="s">
        <v>1138</v>
      </c>
      <c r="AF434" s="7" t="s">
        <v>50</v>
      </c>
      <c r="AG434" s="7" t="s">
        <v>67</v>
      </c>
      <c r="AH434" s="7" t="s">
        <v>71</v>
      </c>
    </row>
    <row r="435" spans="1:34" ht="9.75" customHeight="1" x14ac:dyDescent="0.2">
      <c r="A435" s="7" t="s">
        <v>37</v>
      </c>
      <c r="B435" s="7" t="s">
        <v>38</v>
      </c>
      <c r="C435" s="7"/>
      <c r="D435" s="7" t="s">
        <v>1139</v>
      </c>
      <c r="E435" s="8">
        <v>1</v>
      </c>
      <c r="F435" s="7" t="s">
        <v>41</v>
      </c>
      <c r="G435" s="7"/>
      <c r="H435" s="9"/>
      <c r="I435" s="10">
        <v>8072</v>
      </c>
      <c r="J435" s="9"/>
      <c r="K435" s="9"/>
      <c r="L435" s="10">
        <v>9673</v>
      </c>
      <c r="M435" s="9"/>
      <c r="N435" s="10">
        <v>9673</v>
      </c>
      <c r="O435" s="9"/>
      <c r="P435" s="10"/>
      <c r="Q435" s="10"/>
      <c r="R435" s="10"/>
      <c r="S435" s="7" t="s">
        <v>407</v>
      </c>
      <c r="T435" s="7" t="s">
        <v>73</v>
      </c>
      <c r="U435" s="7" t="s">
        <v>44</v>
      </c>
      <c r="V435" s="7" t="s">
        <v>45</v>
      </c>
      <c r="W435" s="7" t="s">
        <v>67</v>
      </c>
      <c r="X435" s="7" t="s">
        <v>68</v>
      </c>
      <c r="Y435" s="7" t="s">
        <v>1140</v>
      </c>
      <c r="Z435" s="7" t="s">
        <v>1076</v>
      </c>
      <c r="AA435" s="7"/>
      <c r="AB435" s="7"/>
      <c r="AC435" s="7" t="s">
        <v>64</v>
      </c>
      <c r="AD435" s="7"/>
      <c r="AE435" s="7" t="s">
        <v>1141</v>
      </c>
      <c r="AF435" s="7" t="s">
        <v>50</v>
      </c>
      <c r="AG435" s="7" t="s">
        <v>67</v>
      </c>
      <c r="AH435" s="7" t="s">
        <v>71</v>
      </c>
    </row>
    <row r="436" spans="1:34" ht="9.75" customHeight="1" x14ac:dyDescent="0.2">
      <c r="A436" s="7" t="s">
        <v>37</v>
      </c>
      <c r="B436" s="7" t="s">
        <v>38</v>
      </c>
      <c r="C436" s="7"/>
      <c r="D436" s="7" t="s">
        <v>1142</v>
      </c>
      <c r="E436" s="8">
        <v>1</v>
      </c>
      <c r="F436" s="7" t="s">
        <v>41</v>
      </c>
      <c r="G436" s="7"/>
      <c r="H436" s="9"/>
      <c r="I436" s="9"/>
      <c r="J436" s="9"/>
      <c r="K436" s="9"/>
      <c r="L436" s="10">
        <v>50314</v>
      </c>
      <c r="M436" s="9"/>
      <c r="N436" s="10">
        <v>50314</v>
      </c>
      <c r="O436" s="9"/>
      <c r="P436" s="10"/>
      <c r="Q436" s="10"/>
      <c r="R436" s="10"/>
      <c r="S436" s="7" t="s">
        <v>407</v>
      </c>
      <c r="T436" s="7" t="s">
        <v>73</v>
      </c>
      <c r="U436" s="7" t="s">
        <v>44</v>
      </c>
      <c r="V436" s="7" t="s">
        <v>45</v>
      </c>
      <c r="W436" s="7" t="s">
        <v>67</v>
      </c>
      <c r="X436" s="7" t="s">
        <v>68</v>
      </c>
      <c r="Y436" s="7" t="s">
        <v>1143</v>
      </c>
      <c r="Z436" s="7" t="s">
        <v>1144</v>
      </c>
      <c r="AA436" s="7"/>
      <c r="AB436" s="7"/>
      <c r="AC436" s="7" t="s">
        <v>64</v>
      </c>
      <c r="AD436" s="7"/>
      <c r="AE436" s="7"/>
      <c r="AF436" s="7" t="s">
        <v>50</v>
      </c>
      <c r="AG436" s="7" t="s">
        <v>67</v>
      </c>
      <c r="AH436" s="7" t="s">
        <v>71</v>
      </c>
    </row>
    <row r="437" spans="1:34" ht="9.75" customHeight="1" x14ac:dyDescent="0.2">
      <c r="A437" s="7" t="s">
        <v>37</v>
      </c>
      <c r="B437" s="7" t="s">
        <v>38</v>
      </c>
      <c r="C437" s="7"/>
      <c r="D437" s="7" t="s">
        <v>1145</v>
      </c>
      <c r="E437" s="8">
        <v>1</v>
      </c>
      <c r="F437" s="7" t="s">
        <v>41</v>
      </c>
      <c r="G437" s="7"/>
      <c r="H437" s="9"/>
      <c r="I437" s="10">
        <v>12305</v>
      </c>
      <c r="J437" s="9"/>
      <c r="K437" s="9"/>
      <c r="L437" s="10">
        <v>15121</v>
      </c>
      <c r="M437" s="9"/>
      <c r="N437" s="10">
        <v>15121</v>
      </c>
      <c r="O437" s="9"/>
      <c r="P437" s="10"/>
      <c r="Q437" s="10"/>
      <c r="R437" s="10"/>
      <c r="S437" s="7" t="s">
        <v>407</v>
      </c>
      <c r="T437" s="7" t="s">
        <v>73</v>
      </c>
      <c r="U437" s="7" t="s">
        <v>44</v>
      </c>
      <c r="V437" s="7" t="s">
        <v>45</v>
      </c>
      <c r="W437" s="7" t="s">
        <v>67</v>
      </c>
      <c r="X437" s="7" t="s">
        <v>68</v>
      </c>
      <c r="Y437" s="7" t="s">
        <v>1146</v>
      </c>
      <c r="Z437" s="7" t="s">
        <v>1147</v>
      </c>
      <c r="AA437" s="7"/>
      <c r="AB437" s="7"/>
      <c r="AC437" s="7" t="s">
        <v>64</v>
      </c>
      <c r="AD437" s="7"/>
      <c r="AE437" s="7"/>
      <c r="AF437" s="7" t="s">
        <v>50</v>
      </c>
      <c r="AG437" s="7" t="s">
        <v>67</v>
      </c>
      <c r="AH437" s="7" t="s">
        <v>71</v>
      </c>
    </row>
    <row r="438" spans="1:34" ht="9.75" customHeight="1" x14ac:dyDescent="0.2">
      <c r="A438" s="7" t="s">
        <v>37</v>
      </c>
      <c r="B438" s="7" t="s">
        <v>38</v>
      </c>
      <c r="C438" s="7"/>
      <c r="D438" s="7" t="s">
        <v>1148</v>
      </c>
      <c r="E438" s="8">
        <v>1</v>
      </c>
      <c r="F438" s="7" t="s">
        <v>41</v>
      </c>
      <c r="G438" s="7"/>
      <c r="H438" s="9"/>
      <c r="I438" s="10">
        <v>99</v>
      </c>
      <c r="J438" s="9"/>
      <c r="K438" s="9"/>
      <c r="L438" s="10">
        <v>200</v>
      </c>
      <c r="M438" s="9"/>
      <c r="N438" s="10">
        <v>200</v>
      </c>
      <c r="O438" s="9"/>
      <c r="P438" s="10"/>
      <c r="Q438" s="10"/>
      <c r="R438" s="10"/>
      <c r="S438" s="7" t="s">
        <v>407</v>
      </c>
      <c r="T438" s="7" t="s">
        <v>73</v>
      </c>
      <c r="U438" s="7" t="s">
        <v>44</v>
      </c>
      <c r="V438" s="7" t="s">
        <v>45</v>
      </c>
      <c r="W438" s="7" t="s">
        <v>67</v>
      </c>
      <c r="X438" s="7" t="s">
        <v>68</v>
      </c>
      <c r="Y438" s="7" t="s">
        <v>1149</v>
      </c>
      <c r="Z438" s="7" t="s">
        <v>1147</v>
      </c>
      <c r="AA438" s="7"/>
      <c r="AB438" s="7"/>
      <c r="AC438" s="7" t="s">
        <v>64</v>
      </c>
      <c r="AD438" s="7"/>
      <c r="AE438" s="7"/>
      <c r="AF438" s="7" t="s">
        <v>50</v>
      </c>
      <c r="AG438" s="7" t="s">
        <v>67</v>
      </c>
      <c r="AH438" s="7" t="s">
        <v>71</v>
      </c>
    </row>
    <row r="439" spans="1:34" ht="9.75" customHeight="1" x14ac:dyDescent="0.2">
      <c r="A439" s="7" t="s">
        <v>37</v>
      </c>
      <c r="B439" s="7" t="s">
        <v>38</v>
      </c>
      <c r="C439" s="7"/>
      <c r="D439" s="7" t="s">
        <v>1150</v>
      </c>
      <c r="E439" s="8">
        <v>1</v>
      </c>
      <c r="F439" s="7" t="s">
        <v>41</v>
      </c>
      <c r="G439" s="7"/>
      <c r="H439" s="9"/>
      <c r="I439" s="10">
        <v>627</v>
      </c>
      <c r="J439" s="9"/>
      <c r="K439" s="9"/>
      <c r="L439" s="10">
        <v>901</v>
      </c>
      <c r="M439" s="9"/>
      <c r="N439" s="10">
        <v>901</v>
      </c>
      <c r="O439" s="9"/>
      <c r="P439" s="10"/>
      <c r="Q439" s="10"/>
      <c r="R439" s="10"/>
      <c r="S439" s="7" t="s">
        <v>407</v>
      </c>
      <c r="T439" s="7" t="s">
        <v>73</v>
      </c>
      <c r="U439" s="7" t="s">
        <v>44</v>
      </c>
      <c r="V439" s="7" t="s">
        <v>45</v>
      </c>
      <c r="W439" s="7" t="s">
        <v>67</v>
      </c>
      <c r="X439" s="7" t="s">
        <v>68</v>
      </c>
      <c r="Y439" s="7" t="s">
        <v>1151</v>
      </c>
      <c r="Z439" s="7" t="s">
        <v>1147</v>
      </c>
      <c r="AA439" s="7"/>
      <c r="AB439" s="7"/>
      <c r="AC439" s="7" t="s">
        <v>64</v>
      </c>
      <c r="AD439" s="7"/>
      <c r="AE439" s="7"/>
      <c r="AF439" s="7" t="s">
        <v>50</v>
      </c>
      <c r="AG439" s="7" t="s">
        <v>67</v>
      </c>
      <c r="AH439" s="7" t="s">
        <v>71</v>
      </c>
    </row>
    <row r="440" spans="1:34" ht="9.75" customHeight="1" x14ac:dyDescent="0.2">
      <c r="A440" s="7" t="s">
        <v>37</v>
      </c>
      <c r="B440" s="7" t="s">
        <v>38</v>
      </c>
      <c r="C440" s="7"/>
      <c r="D440" s="7" t="s">
        <v>1152</v>
      </c>
      <c r="E440" s="8">
        <v>1</v>
      </c>
      <c r="F440" s="7" t="s">
        <v>41</v>
      </c>
      <c r="G440" s="7"/>
      <c r="H440" s="9"/>
      <c r="I440" s="10">
        <v>1448</v>
      </c>
      <c r="J440" s="9"/>
      <c r="K440" s="9"/>
      <c r="L440" s="10">
        <v>1070</v>
      </c>
      <c r="M440" s="9"/>
      <c r="N440" s="10">
        <v>1070</v>
      </c>
      <c r="O440" s="9"/>
      <c r="P440" s="10"/>
      <c r="Q440" s="10"/>
      <c r="R440" s="10"/>
      <c r="S440" s="7" t="s">
        <v>407</v>
      </c>
      <c r="T440" s="7" t="s">
        <v>73</v>
      </c>
      <c r="U440" s="7" t="s">
        <v>44</v>
      </c>
      <c r="V440" s="7" t="s">
        <v>45</v>
      </c>
      <c r="W440" s="7" t="s">
        <v>67</v>
      </c>
      <c r="X440" s="7" t="s">
        <v>68</v>
      </c>
      <c r="Y440" s="7" t="s">
        <v>1153</v>
      </c>
      <c r="Z440" s="7" t="s">
        <v>1147</v>
      </c>
      <c r="AA440" s="7"/>
      <c r="AB440" s="7"/>
      <c r="AC440" s="7" t="s">
        <v>64</v>
      </c>
      <c r="AD440" s="7"/>
      <c r="AE440" s="7"/>
      <c r="AF440" s="7" t="s">
        <v>50</v>
      </c>
      <c r="AG440" s="7" t="s">
        <v>67</v>
      </c>
      <c r="AH440" s="7" t="s">
        <v>71</v>
      </c>
    </row>
    <row r="441" spans="1:34" ht="9.75" customHeight="1" x14ac:dyDescent="0.2">
      <c r="A441" s="7" t="s">
        <v>37</v>
      </c>
      <c r="B441" s="7" t="s">
        <v>38</v>
      </c>
      <c r="C441" s="7"/>
      <c r="D441" s="7" t="s">
        <v>1154</v>
      </c>
      <c r="E441" s="8">
        <v>1</v>
      </c>
      <c r="F441" s="7" t="s">
        <v>41</v>
      </c>
      <c r="G441" s="7"/>
      <c r="H441" s="9"/>
      <c r="I441" s="10">
        <v>1061</v>
      </c>
      <c r="J441" s="9"/>
      <c r="K441" s="9"/>
      <c r="L441" s="10">
        <v>1294</v>
      </c>
      <c r="M441" s="9"/>
      <c r="N441" s="10">
        <v>1294</v>
      </c>
      <c r="O441" s="9"/>
      <c r="P441" s="10"/>
      <c r="Q441" s="10"/>
      <c r="R441" s="10"/>
      <c r="S441" s="7" t="s">
        <v>407</v>
      </c>
      <c r="T441" s="7" t="s">
        <v>73</v>
      </c>
      <c r="U441" s="7" t="s">
        <v>44</v>
      </c>
      <c r="V441" s="7" t="s">
        <v>45</v>
      </c>
      <c r="W441" s="7" t="s">
        <v>67</v>
      </c>
      <c r="X441" s="7" t="s">
        <v>68</v>
      </c>
      <c r="Y441" s="7" t="s">
        <v>1155</v>
      </c>
      <c r="Z441" s="7" t="s">
        <v>1147</v>
      </c>
      <c r="AA441" s="7"/>
      <c r="AB441" s="7"/>
      <c r="AC441" s="7" t="s">
        <v>64</v>
      </c>
      <c r="AD441" s="7"/>
      <c r="AE441" s="7"/>
      <c r="AF441" s="7" t="s">
        <v>50</v>
      </c>
      <c r="AG441" s="7" t="s">
        <v>67</v>
      </c>
      <c r="AH441" s="7" t="s">
        <v>71</v>
      </c>
    </row>
    <row r="442" spans="1:34" ht="9.75" customHeight="1" x14ac:dyDescent="0.2">
      <c r="A442" s="7" t="s">
        <v>37</v>
      </c>
      <c r="B442" s="7" t="s">
        <v>38</v>
      </c>
      <c r="C442" s="7"/>
      <c r="D442" s="7" t="s">
        <v>1156</v>
      </c>
      <c r="E442" s="8">
        <v>1</v>
      </c>
      <c r="F442" s="7" t="s">
        <v>41</v>
      </c>
      <c r="G442" s="7"/>
      <c r="H442" s="9"/>
      <c r="I442" s="10">
        <v>3816</v>
      </c>
      <c r="J442" s="9"/>
      <c r="K442" s="9"/>
      <c r="L442" s="10">
        <v>4123</v>
      </c>
      <c r="M442" s="9"/>
      <c r="N442" s="10">
        <v>4123</v>
      </c>
      <c r="O442" s="9"/>
      <c r="P442" s="10"/>
      <c r="Q442" s="10"/>
      <c r="R442" s="10"/>
      <c r="S442" s="7" t="s">
        <v>407</v>
      </c>
      <c r="T442" s="7" t="s">
        <v>73</v>
      </c>
      <c r="U442" s="7" t="s">
        <v>44</v>
      </c>
      <c r="V442" s="7" t="s">
        <v>45</v>
      </c>
      <c r="W442" s="7" t="s">
        <v>67</v>
      </c>
      <c r="X442" s="7" t="s">
        <v>68</v>
      </c>
      <c r="Y442" s="7" t="s">
        <v>1157</v>
      </c>
      <c r="Z442" s="7" t="s">
        <v>1147</v>
      </c>
      <c r="AA442" s="7"/>
      <c r="AB442" s="7"/>
      <c r="AC442" s="7" t="s">
        <v>64</v>
      </c>
      <c r="AD442" s="7"/>
      <c r="AE442" s="7" t="s">
        <v>427</v>
      </c>
      <c r="AF442" s="7" t="s">
        <v>50</v>
      </c>
      <c r="AG442" s="7" t="s">
        <v>67</v>
      </c>
      <c r="AH442" s="7" t="s">
        <v>71</v>
      </c>
    </row>
    <row r="443" spans="1:34" ht="9.75" customHeight="1" x14ac:dyDescent="0.2">
      <c r="A443" s="7" t="s">
        <v>37</v>
      </c>
      <c r="B443" s="7" t="s">
        <v>38</v>
      </c>
      <c r="C443" s="7"/>
      <c r="D443" s="7" t="s">
        <v>1158</v>
      </c>
      <c r="E443" s="8">
        <v>1</v>
      </c>
      <c r="F443" s="7" t="s">
        <v>41</v>
      </c>
      <c r="G443" s="7"/>
      <c r="H443" s="9"/>
      <c r="I443" s="10">
        <v>4024</v>
      </c>
      <c r="J443" s="9"/>
      <c r="K443" s="9"/>
      <c r="L443" s="10">
        <v>4944</v>
      </c>
      <c r="M443" s="9"/>
      <c r="N443" s="10">
        <v>4944</v>
      </c>
      <c r="O443" s="9"/>
      <c r="P443" s="10"/>
      <c r="Q443" s="10"/>
      <c r="R443" s="10"/>
      <c r="S443" s="7" t="s">
        <v>407</v>
      </c>
      <c r="T443" s="7" t="s">
        <v>73</v>
      </c>
      <c r="U443" s="7" t="s">
        <v>44</v>
      </c>
      <c r="V443" s="7" t="s">
        <v>45</v>
      </c>
      <c r="W443" s="7" t="s">
        <v>67</v>
      </c>
      <c r="X443" s="7" t="s">
        <v>68</v>
      </c>
      <c r="Y443" s="7" t="s">
        <v>1159</v>
      </c>
      <c r="Z443" s="7" t="s">
        <v>1160</v>
      </c>
      <c r="AA443" s="7"/>
      <c r="AB443" s="7"/>
      <c r="AC443" s="7" t="s">
        <v>64</v>
      </c>
      <c r="AD443" s="7"/>
      <c r="AE443" s="7"/>
      <c r="AF443" s="7" t="s">
        <v>50</v>
      </c>
      <c r="AG443" s="7" t="s">
        <v>67</v>
      </c>
      <c r="AH443" s="7" t="s">
        <v>71</v>
      </c>
    </row>
    <row r="444" spans="1:34" ht="9.75" customHeight="1" x14ac:dyDescent="0.2">
      <c r="A444" s="7" t="s">
        <v>37</v>
      </c>
      <c r="B444" s="7" t="s">
        <v>38</v>
      </c>
      <c r="C444" s="7"/>
      <c r="D444" s="7" t="s">
        <v>1161</v>
      </c>
      <c r="E444" s="8">
        <v>1</v>
      </c>
      <c r="F444" s="7" t="s">
        <v>41</v>
      </c>
      <c r="G444" s="7"/>
      <c r="H444" s="9"/>
      <c r="I444" s="10">
        <v>957</v>
      </c>
      <c r="J444" s="9"/>
      <c r="K444" s="9"/>
      <c r="L444" s="10">
        <v>910</v>
      </c>
      <c r="M444" s="9"/>
      <c r="N444" s="10">
        <v>910</v>
      </c>
      <c r="O444" s="9"/>
      <c r="P444" s="10"/>
      <c r="Q444" s="10"/>
      <c r="R444" s="10"/>
      <c r="S444" s="7" t="s">
        <v>407</v>
      </c>
      <c r="T444" s="7" t="s">
        <v>73</v>
      </c>
      <c r="U444" s="7" t="s">
        <v>44</v>
      </c>
      <c r="V444" s="7" t="s">
        <v>45</v>
      </c>
      <c r="W444" s="7" t="s">
        <v>67</v>
      </c>
      <c r="X444" s="7" t="s">
        <v>68</v>
      </c>
      <c r="Y444" s="7" t="s">
        <v>1162</v>
      </c>
      <c r="Z444" s="7" t="s">
        <v>1160</v>
      </c>
      <c r="AA444" s="7"/>
      <c r="AB444" s="7"/>
      <c r="AC444" s="7" t="s">
        <v>64</v>
      </c>
      <c r="AD444" s="7"/>
      <c r="AE444" s="7"/>
      <c r="AF444" s="7" t="s">
        <v>50</v>
      </c>
      <c r="AG444" s="7" t="s">
        <v>67</v>
      </c>
      <c r="AH444" s="7" t="s">
        <v>71</v>
      </c>
    </row>
    <row r="445" spans="1:34" ht="9.75" customHeight="1" x14ac:dyDescent="0.2">
      <c r="A445" s="7" t="s">
        <v>37</v>
      </c>
      <c r="B445" s="7" t="s">
        <v>38</v>
      </c>
      <c r="C445" s="7"/>
      <c r="D445" s="7" t="s">
        <v>1163</v>
      </c>
      <c r="E445" s="8">
        <v>1</v>
      </c>
      <c r="F445" s="7" t="s">
        <v>41</v>
      </c>
      <c r="G445" s="7"/>
      <c r="H445" s="9"/>
      <c r="I445" s="10">
        <v>933</v>
      </c>
      <c r="J445" s="9"/>
      <c r="K445" s="9"/>
      <c r="L445" s="10">
        <v>464</v>
      </c>
      <c r="M445" s="9"/>
      <c r="N445" s="10">
        <v>464</v>
      </c>
      <c r="O445" s="9"/>
      <c r="P445" s="10"/>
      <c r="Q445" s="10"/>
      <c r="R445" s="10"/>
      <c r="S445" s="7" t="s">
        <v>407</v>
      </c>
      <c r="T445" s="7" t="s">
        <v>73</v>
      </c>
      <c r="U445" s="7" t="s">
        <v>44</v>
      </c>
      <c r="V445" s="7" t="s">
        <v>45</v>
      </c>
      <c r="W445" s="7" t="s">
        <v>67</v>
      </c>
      <c r="X445" s="7" t="s">
        <v>68</v>
      </c>
      <c r="Y445" s="7" t="s">
        <v>1164</v>
      </c>
      <c r="Z445" s="7" t="s">
        <v>1160</v>
      </c>
      <c r="AA445" s="7"/>
      <c r="AB445" s="7"/>
      <c r="AC445" s="7" t="s">
        <v>64</v>
      </c>
      <c r="AD445" s="7"/>
      <c r="AE445" s="7"/>
      <c r="AF445" s="7" t="s">
        <v>50</v>
      </c>
      <c r="AG445" s="7" t="s">
        <v>67</v>
      </c>
      <c r="AH445" s="7" t="s">
        <v>71</v>
      </c>
    </row>
    <row r="446" spans="1:34" ht="9.75" customHeight="1" x14ac:dyDescent="0.2">
      <c r="A446" s="7" t="s">
        <v>37</v>
      </c>
      <c r="B446" s="7" t="s">
        <v>38</v>
      </c>
      <c r="C446" s="7"/>
      <c r="D446" s="7" t="s">
        <v>1165</v>
      </c>
      <c r="E446" s="8">
        <v>1</v>
      </c>
      <c r="F446" s="7" t="s">
        <v>41</v>
      </c>
      <c r="G446" s="7"/>
      <c r="H446" s="9"/>
      <c r="I446" s="10">
        <v>586</v>
      </c>
      <c r="J446" s="9"/>
      <c r="K446" s="9"/>
      <c r="L446" s="10">
        <v>716</v>
      </c>
      <c r="M446" s="9"/>
      <c r="N446" s="10">
        <v>716</v>
      </c>
      <c r="O446" s="9"/>
      <c r="P446" s="10"/>
      <c r="Q446" s="10"/>
      <c r="R446" s="10"/>
      <c r="S446" s="7" t="s">
        <v>407</v>
      </c>
      <c r="T446" s="7" t="s">
        <v>73</v>
      </c>
      <c r="U446" s="7" t="s">
        <v>44</v>
      </c>
      <c r="V446" s="7" t="s">
        <v>45</v>
      </c>
      <c r="W446" s="7" t="s">
        <v>67</v>
      </c>
      <c r="X446" s="7" t="s">
        <v>68</v>
      </c>
      <c r="Y446" s="7" t="s">
        <v>1166</v>
      </c>
      <c r="Z446" s="7" t="s">
        <v>1160</v>
      </c>
      <c r="AA446" s="7"/>
      <c r="AB446" s="7"/>
      <c r="AC446" s="7" t="s">
        <v>64</v>
      </c>
      <c r="AD446" s="7"/>
      <c r="AE446" s="7"/>
      <c r="AF446" s="7" t="s">
        <v>50</v>
      </c>
      <c r="AG446" s="7" t="s">
        <v>67</v>
      </c>
      <c r="AH446" s="7" t="s">
        <v>71</v>
      </c>
    </row>
    <row r="447" spans="1:34" ht="9.75" customHeight="1" x14ac:dyDescent="0.2">
      <c r="A447" s="7" t="s">
        <v>37</v>
      </c>
      <c r="B447" s="7" t="s">
        <v>38</v>
      </c>
      <c r="C447" s="7"/>
      <c r="D447" s="7" t="s">
        <v>1167</v>
      </c>
      <c r="E447" s="8">
        <v>1</v>
      </c>
      <c r="F447" s="7" t="s">
        <v>41</v>
      </c>
      <c r="G447" s="7"/>
      <c r="H447" s="9"/>
      <c r="I447" s="10">
        <v>874</v>
      </c>
      <c r="J447" s="9"/>
      <c r="K447" s="9"/>
      <c r="L447" s="10">
        <v>986</v>
      </c>
      <c r="M447" s="9"/>
      <c r="N447" s="10">
        <v>986</v>
      </c>
      <c r="O447" s="9"/>
      <c r="P447" s="10"/>
      <c r="Q447" s="10"/>
      <c r="R447" s="10"/>
      <c r="S447" s="7" t="s">
        <v>407</v>
      </c>
      <c r="T447" s="7" t="s">
        <v>73</v>
      </c>
      <c r="U447" s="7" t="s">
        <v>44</v>
      </c>
      <c r="V447" s="7" t="s">
        <v>45</v>
      </c>
      <c r="W447" s="7" t="s">
        <v>67</v>
      </c>
      <c r="X447" s="7" t="s">
        <v>68</v>
      </c>
      <c r="Y447" s="7" t="s">
        <v>1168</v>
      </c>
      <c r="Z447" s="7" t="s">
        <v>1160</v>
      </c>
      <c r="AA447" s="7"/>
      <c r="AB447" s="7"/>
      <c r="AC447" s="7" t="s">
        <v>64</v>
      </c>
      <c r="AD447" s="7"/>
      <c r="AE447" s="7"/>
      <c r="AF447" s="7" t="s">
        <v>50</v>
      </c>
      <c r="AG447" s="7" t="s">
        <v>67</v>
      </c>
      <c r="AH447" s="7" t="s">
        <v>71</v>
      </c>
    </row>
    <row r="448" spans="1:34" ht="9.75" customHeight="1" x14ac:dyDescent="0.2">
      <c r="A448" s="7" t="s">
        <v>37</v>
      </c>
      <c r="B448" s="7" t="s">
        <v>38</v>
      </c>
      <c r="C448" s="7"/>
      <c r="D448" s="7" t="s">
        <v>1169</v>
      </c>
      <c r="E448" s="8">
        <v>1</v>
      </c>
      <c r="F448" s="7" t="s">
        <v>41</v>
      </c>
      <c r="G448" s="7"/>
      <c r="H448" s="9"/>
      <c r="I448" s="10">
        <v>7730</v>
      </c>
      <c r="J448" s="9"/>
      <c r="K448" s="9"/>
      <c r="L448" s="10">
        <v>7100</v>
      </c>
      <c r="M448" s="9"/>
      <c r="N448" s="10">
        <v>7100</v>
      </c>
      <c r="O448" s="9"/>
      <c r="P448" s="10"/>
      <c r="Q448" s="10"/>
      <c r="R448" s="10"/>
      <c r="S448" s="7" t="s">
        <v>407</v>
      </c>
      <c r="T448" s="7" t="s">
        <v>73</v>
      </c>
      <c r="U448" s="7" t="s">
        <v>44</v>
      </c>
      <c r="V448" s="7" t="s">
        <v>45</v>
      </c>
      <c r="W448" s="7" t="s">
        <v>67</v>
      </c>
      <c r="X448" s="7" t="s">
        <v>68</v>
      </c>
      <c r="Y448" s="7" t="s">
        <v>1170</v>
      </c>
      <c r="Z448" s="7" t="s">
        <v>1171</v>
      </c>
      <c r="AA448" s="7"/>
      <c r="AB448" s="7"/>
      <c r="AC448" s="7" t="s">
        <v>64</v>
      </c>
      <c r="AD448" s="7"/>
      <c r="AE448" s="7"/>
      <c r="AF448" s="7" t="s">
        <v>50</v>
      </c>
      <c r="AG448" s="7" t="s">
        <v>67</v>
      </c>
      <c r="AH448" s="7" t="s">
        <v>71</v>
      </c>
    </row>
    <row r="449" spans="1:34" ht="9.75" customHeight="1" x14ac:dyDescent="0.2">
      <c r="A449" s="7" t="s">
        <v>37</v>
      </c>
      <c r="B449" s="7" t="s">
        <v>38</v>
      </c>
      <c r="C449" s="7"/>
      <c r="D449" s="7" t="s">
        <v>1172</v>
      </c>
      <c r="E449" s="8">
        <v>1</v>
      </c>
      <c r="F449" s="7" t="s">
        <v>41</v>
      </c>
      <c r="G449" s="7"/>
      <c r="H449" s="9"/>
      <c r="I449" s="9"/>
      <c r="J449" s="9"/>
      <c r="K449" s="9"/>
      <c r="L449" s="10">
        <v>58</v>
      </c>
      <c r="M449" s="9"/>
      <c r="N449" s="10">
        <v>58</v>
      </c>
      <c r="O449" s="9"/>
      <c r="P449" s="10"/>
      <c r="Q449" s="10"/>
      <c r="R449" s="10"/>
      <c r="S449" s="7" t="s">
        <v>407</v>
      </c>
      <c r="T449" s="7" t="s">
        <v>73</v>
      </c>
      <c r="U449" s="7" t="s">
        <v>44</v>
      </c>
      <c r="V449" s="7" t="s">
        <v>45</v>
      </c>
      <c r="W449" s="7" t="s">
        <v>67</v>
      </c>
      <c r="X449" s="7" t="s">
        <v>68</v>
      </c>
      <c r="Y449" s="7" t="s">
        <v>1173</v>
      </c>
      <c r="Z449" s="7" t="s">
        <v>1171</v>
      </c>
      <c r="AA449" s="7"/>
      <c r="AB449" s="7"/>
      <c r="AC449" s="7" t="s">
        <v>64</v>
      </c>
      <c r="AD449" s="7"/>
      <c r="AE449" s="7"/>
      <c r="AF449" s="7" t="s">
        <v>50</v>
      </c>
      <c r="AG449" s="7" t="s">
        <v>67</v>
      </c>
      <c r="AH449" s="7" t="s">
        <v>71</v>
      </c>
    </row>
    <row r="450" spans="1:34" ht="9.75" customHeight="1" x14ac:dyDescent="0.2">
      <c r="A450" s="7" t="s">
        <v>37</v>
      </c>
      <c r="B450" s="7" t="s">
        <v>38</v>
      </c>
      <c r="C450" s="7"/>
      <c r="D450" s="7" t="s">
        <v>1174</v>
      </c>
      <c r="E450" s="8">
        <v>1</v>
      </c>
      <c r="F450" s="7" t="s">
        <v>41</v>
      </c>
      <c r="G450" s="7"/>
      <c r="H450" s="9"/>
      <c r="I450" s="10">
        <v>50</v>
      </c>
      <c r="J450" s="9"/>
      <c r="K450" s="9"/>
      <c r="L450" s="10">
        <v>55</v>
      </c>
      <c r="M450" s="9"/>
      <c r="N450" s="10">
        <v>55</v>
      </c>
      <c r="O450" s="9"/>
      <c r="P450" s="10"/>
      <c r="Q450" s="10"/>
      <c r="R450" s="10"/>
      <c r="S450" s="7" t="s">
        <v>407</v>
      </c>
      <c r="T450" s="7" t="s">
        <v>73</v>
      </c>
      <c r="U450" s="7" t="s">
        <v>44</v>
      </c>
      <c r="V450" s="7" t="s">
        <v>45</v>
      </c>
      <c r="W450" s="7" t="s">
        <v>67</v>
      </c>
      <c r="X450" s="7" t="s">
        <v>68</v>
      </c>
      <c r="Y450" s="7" t="s">
        <v>1175</v>
      </c>
      <c r="Z450" s="7" t="s">
        <v>1171</v>
      </c>
      <c r="AA450" s="7"/>
      <c r="AB450" s="7"/>
      <c r="AC450" s="7" t="s">
        <v>64</v>
      </c>
      <c r="AD450" s="7"/>
      <c r="AE450" s="7"/>
      <c r="AF450" s="7" t="s">
        <v>50</v>
      </c>
      <c r="AG450" s="7" t="s">
        <v>67</v>
      </c>
      <c r="AH450" s="7" t="s">
        <v>71</v>
      </c>
    </row>
    <row r="451" spans="1:34" ht="9.75" customHeight="1" x14ac:dyDescent="0.2">
      <c r="A451" s="7" t="s">
        <v>37</v>
      </c>
      <c r="B451" s="7" t="s">
        <v>38</v>
      </c>
      <c r="C451" s="7"/>
      <c r="D451" s="7" t="s">
        <v>1176</v>
      </c>
      <c r="E451" s="8">
        <v>1</v>
      </c>
      <c r="F451" s="7" t="s">
        <v>41</v>
      </c>
      <c r="G451" s="7"/>
      <c r="H451" s="9"/>
      <c r="I451" s="10">
        <v>152</v>
      </c>
      <c r="J451" s="9"/>
      <c r="K451" s="9"/>
      <c r="L451" s="10">
        <v>259</v>
      </c>
      <c r="M451" s="9"/>
      <c r="N451" s="10">
        <v>259</v>
      </c>
      <c r="O451" s="9"/>
      <c r="P451" s="10"/>
      <c r="Q451" s="10"/>
      <c r="R451" s="10"/>
      <c r="S451" s="7" t="s">
        <v>407</v>
      </c>
      <c r="T451" s="7" t="s">
        <v>73</v>
      </c>
      <c r="U451" s="7" t="s">
        <v>44</v>
      </c>
      <c r="V451" s="7" t="s">
        <v>45</v>
      </c>
      <c r="W451" s="7" t="s">
        <v>67</v>
      </c>
      <c r="X451" s="7" t="s">
        <v>68</v>
      </c>
      <c r="Y451" s="7" t="s">
        <v>1177</v>
      </c>
      <c r="Z451" s="7" t="s">
        <v>1171</v>
      </c>
      <c r="AA451" s="7"/>
      <c r="AB451" s="7"/>
      <c r="AC451" s="7" t="s">
        <v>64</v>
      </c>
      <c r="AD451" s="7"/>
      <c r="AE451" s="7"/>
      <c r="AF451" s="7" t="s">
        <v>50</v>
      </c>
      <c r="AG451" s="7" t="s">
        <v>67</v>
      </c>
      <c r="AH451" s="7" t="s">
        <v>71</v>
      </c>
    </row>
    <row r="452" spans="1:34" ht="9.75" customHeight="1" x14ac:dyDescent="0.2">
      <c r="A452" s="7" t="s">
        <v>37</v>
      </c>
      <c r="B452" s="7" t="s">
        <v>38</v>
      </c>
      <c r="C452" s="7"/>
      <c r="D452" s="7" t="s">
        <v>1178</v>
      </c>
      <c r="E452" s="8">
        <v>1</v>
      </c>
      <c r="F452" s="7" t="s">
        <v>41</v>
      </c>
      <c r="G452" s="7"/>
      <c r="H452" s="9"/>
      <c r="I452" s="10">
        <v>269</v>
      </c>
      <c r="J452" s="9"/>
      <c r="K452" s="9"/>
      <c r="L452" s="10">
        <v>371</v>
      </c>
      <c r="M452" s="9"/>
      <c r="N452" s="10">
        <v>371</v>
      </c>
      <c r="O452" s="9"/>
      <c r="P452" s="10"/>
      <c r="Q452" s="10"/>
      <c r="R452" s="10"/>
      <c r="S452" s="7" t="s">
        <v>407</v>
      </c>
      <c r="T452" s="7" t="s">
        <v>73</v>
      </c>
      <c r="U452" s="7" t="s">
        <v>44</v>
      </c>
      <c r="V452" s="7" t="s">
        <v>45</v>
      </c>
      <c r="W452" s="7" t="s">
        <v>67</v>
      </c>
      <c r="X452" s="7" t="s">
        <v>68</v>
      </c>
      <c r="Y452" s="7" t="s">
        <v>1179</v>
      </c>
      <c r="Z452" s="7" t="s">
        <v>1171</v>
      </c>
      <c r="AA452" s="7"/>
      <c r="AB452" s="7"/>
      <c r="AC452" s="7" t="s">
        <v>64</v>
      </c>
      <c r="AD452" s="7"/>
      <c r="AE452" s="7"/>
      <c r="AF452" s="7" t="s">
        <v>50</v>
      </c>
      <c r="AG452" s="7" t="s">
        <v>67</v>
      </c>
      <c r="AH452" s="7" t="s">
        <v>71</v>
      </c>
    </row>
    <row r="453" spans="1:34" ht="9.75" customHeight="1" x14ac:dyDescent="0.2">
      <c r="A453" s="7" t="s">
        <v>37</v>
      </c>
      <c r="B453" s="7" t="s">
        <v>38</v>
      </c>
      <c r="C453" s="7"/>
      <c r="D453" s="7" t="s">
        <v>1180</v>
      </c>
      <c r="E453" s="8">
        <v>1</v>
      </c>
      <c r="F453" s="7" t="s">
        <v>41</v>
      </c>
      <c r="G453" s="7"/>
      <c r="H453" s="9"/>
      <c r="I453" s="10">
        <v>517</v>
      </c>
      <c r="J453" s="9"/>
      <c r="K453" s="9"/>
      <c r="L453" s="10">
        <v>238</v>
      </c>
      <c r="M453" s="9"/>
      <c r="N453" s="10">
        <v>238</v>
      </c>
      <c r="O453" s="9"/>
      <c r="P453" s="10"/>
      <c r="Q453" s="10"/>
      <c r="R453" s="10"/>
      <c r="S453" s="7" t="s">
        <v>407</v>
      </c>
      <c r="T453" s="7" t="s">
        <v>73</v>
      </c>
      <c r="U453" s="7" t="s">
        <v>44</v>
      </c>
      <c r="V453" s="7" t="s">
        <v>45</v>
      </c>
      <c r="W453" s="7" t="s">
        <v>67</v>
      </c>
      <c r="X453" s="7" t="s">
        <v>68</v>
      </c>
      <c r="Y453" s="7" t="s">
        <v>1181</v>
      </c>
      <c r="Z453" s="7" t="s">
        <v>1171</v>
      </c>
      <c r="AA453" s="7"/>
      <c r="AB453" s="7"/>
      <c r="AC453" s="7" t="s">
        <v>64</v>
      </c>
      <c r="AD453" s="7"/>
      <c r="AE453" s="7"/>
      <c r="AF453" s="7" t="s">
        <v>50</v>
      </c>
      <c r="AG453" s="7" t="s">
        <v>67</v>
      </c>
      <c r="AH453" s="7" t="s">
        <v>71</v>
      </c>
    </row>
    <row r="454" spans="1:34" ht="9.75" customHeight="1" x14ac:dyDescent="0.2">
      <c r="A454" s="7" t="s">
        <v>37</v>
      </c>
      <c r="B454" s="7" t="s">
        <v>38</v>
      </c>
      <c r="C454" s="7"/>
      <c r="D454" s="7" t="s">
        <v>1182</v>
      </c>
      <c r="E454" s="8">
        <v>1</v>
      </c>
      <c r="F454" s="7" t="s">
        <v>41</v>
      </c>
      <c r="G454" s="7"/>
      <c r="H454" s="9"/>
      <c r="I454" s="10">
        <v>5903</v>
      </c>
      <c r="J454" s="9"/>
      <c r="K454" s="9"/>
      <c r="L454" s="10">
        <v>6872</v>
      </c>
      <c r="M454" s="9"/>
      <c r="N454" s="10">
        <v>6872</v>
      </c>
      <c r="O454" s="9"/>
      <c r="P454" s="10"/>
      <c r="Q454" s="10"/>
      <c r="R454" s="10"/>
      <c r="S454" s="7" t="s">
        <v>407</v>
      </c>
      <c r="T454" s="7" t="s">
        <v>73</v>
      </c>
      <c r="U454" s="7" t="s">
        <v>44</v>
      </c>
      <c r="V454" s="7" t="s">
        <v>45</v>
      </c>
      <c r="W454" s="7" t="s">
        <v>67</v>
      </c>
      <c r="X454" s="7" t="s">
        <v>68</v>
      </c>
      <c r="Y454" s="7" t="s">
        <v>1183</v>
      </c>
      <c r="Z454" s="7" t="s">
        <v>1184</v>
      </c>
      <c r="AA454" s="7"/>
      <c r="AB454" s="7"/>
      <c r="AC454" s="7" t="s">
        <v>64</v>
      </c>
      <c r="AD454" s="7"/>
      <c r="AE454" s="7"/>
      <c r="AF454" s="7" t="s">
        <v>50</v>
      </c>
      <c r="AG454" s="7" t="s">
        <v>67</v>
      </c>
      <c r="AH454" s="7" t="s">
        <v>71</v>
      </c>
    </row>
    <row r="455" spans="1:34" ht="9.75" customHeight="1" x14ac:dyDescent="0.2">
      <c r="A455" s="7" t="s">
        <v>37</v>
      </c>
      <c r="B455" s="7" t="s">
        <v>38</v>
      </c>
      <c r="C455" s="7"/>
      <c r="D455" s="7" t="s">
        <v>1185</v>
      </c>
      <c r="E455" s="8">
        <v>1</v>
      </c>
      <c r="F455" s="7" t="s">
        <v>41</v>
      </c>
      <c r="G455" s="7"/>
      <c r="H455" s="9"/>
      <c r="I455" s="10">
        <v>11</v>
      </c>
      <c r="J455" s="9"/>
      <c r="K455" s="9"/>
      <c r="L455" s="10">
        <v>55</v>
      </c>
      <c r="M455" s="9"/>
      <c r="N455" s="10">
        <v>55</v>
      </c>
      <c r="O455" s="9"/>
      <c r="P455" s="10"/>
      <c r="Q455" s="10"/>
      <c r="R455" s="10"/>
      <c r="S455" s="7" t="s">
        <v>407</v>
      </c>
      <c r="T455" s="7" t="s">
        <v>73</v>
      </c>
      <c r="U455" s="7" t="s">
        <v>44</v>
      </c>
      <c r="V455" s="7" t="s">
        <v>45</v>
      </c>
      <c r="W455" s="7" t="s">
        <v>67</v>
      </c>
      <c r="X455" s="7" t="s">
        <v>68</v>
      </c>
      <c r="Y455" s="7" t="s">
        <v>1186</v>
      </c>
      <c r="Z455" s="7" t="s">
        <v>1184</v>
      </c>
      <c r="AA455" s="7"/>
      <c r="AB455" s="7"/>
      <c r="AC455" s="7" t="s">
        <v>64</v>
      </c>
      <c r="AD455" s="7"/>
      <c r="AE455" s="7"/>
      <c r="AF455" s="7" t="s">
        <v>50</v>
      </c>
      <c r="AG455" s="7" t="s">
        <v>67</v>
      </c>
      <c r="AH455" s="7" t="s">
        <v>71</v>
      </c>
    </row>
    <row r="456" spans="1:34" ht="9.75" customHeight="1" x14ac:dyDescent="0.2">
      <c r="A456" s="7" t="s">
        <v>37</v>
      </c>
      <c r="B456" s="7" t="s">
        <v>38</v>
      </c>
      <c r="C456" s="7"/>
      <c r="D456" s="7" t="s">
        <v>1187</v>
      </c>
      <c r="E456" s="8">
        <v>1</v>
      </c>
      <c r="F456" s="7" t="s">
        <v>41</v>
      </c>
      <c r="G456" s="7"/>
      <c r="H456" s="9"/>
      <c r="I456" s="10">
        <v>4</v>
      </c>
      <c r="J456" s="9"/>
      <c r="K456" s="9"/>
      <c r="L456" s="10">
        <v>19</v>
      </c>
      <c r="M456" s="9"/>
      <c r="N456" s="10">
        <v>19</v>
      </c>
      <c r="O456" s="9"/>
      <c r="P456" s="10"/>
      <c r="Q456" s="10"/>
      <c r="R456" s="10"/>
      <c r="S456" s="7" t="s">
        <v>407</v>
      </c>
      <c r="T456" s="7" t="s">
        <v>73</v>
      </c>
      <c r="U456" s="7" t="s">
        <v>44</v>
      </c>
      <c r="V456" s="7" t="s">
        <v>45</v>
      </c>
      <c r="W456" s="7" t="s">
        <v>67</v>
      </c>
      <c r="X456" s="7" t="s">
        <v>68</v>
      </c>
      <c r="Y456" s="7" t="s">
        <v>1188</v>
      </c>
      <c r="Z456" s="7" t="s">
        <v>1184</v>
      </c>
      <c r="AA456" s="7"/>
      <c r="AB456" s="7"/>
      <c r="AC456" s="7" t="s">
        <v>64</v>
      </c>
      <c r="AD456" s="7"/>
      <c r="AE456" s="7"/>
      <c r="AF456" s="7" t="s">
        <v>50</v>
      </c>
      <c r="AG456" s="7" t="s">
        <v>67</v>
      </c>
      <c r="AH456" s="7" t="s">
        <v>71</v>
      </c>
    </row>
    <row r="457" spans="1:34" ht="9.75" customHeight="1" x14ac:dyDescent="0.2">
      <c r="A457" s="7" t="s">
        <v>37</v>
      </c>
      <c r="B457" s="7" t="s">
        <v>38</v>
      </c>
      <c r="C457" s="7"/>
      <c r="D457" s="7" t="s">
        <v>1189</v>
      </c>
      <c r="E457" s="8">
        <v>1</v>
      </c>
      <c r="F457" s="7" t="s">
        <v>41</v>
      </c>
      <c r="G457" s="7"/>
      <c r="H457" s="9"/>
      <c r="I457" s="10">
        <v>127</v>
      </c>
      <c r="J457" s="9"/>
      <c r="K457" s="9"/>
      <c r="L457" s="10">
        <v>530</v>
      </c>
      <c r="M457" s="9"/>
      <c r="N457" s="10">
        <v>530</v>
      </c>
      <c r="O457" s="9"/>
      <c r="P457" s="10"/>
      <c r="Q457" s="10"/>
      <c r="R457" s="10"/>
      <c r="S457" s="7" t="s">
        <v>407</v>
      </c>
      <c r="T457" s="7" t="s">
        <v>73</v>
      </c>
      <c r="U457" s="7" t="s">
        <v>44</v>
      </c>
      <c r="V457" s="7" t="s">
        <v>45</v>
      </c>
      <c r="W457" s="7" t="s">
        <v>67</v>
      </c>
      <c r="X457" s="7" t="s">
        <v>68</v>
      </c>
      <c r="Y457" s="7" t="s">
        <v>1190</v>
      </c>
      <c r="Z457" s="7" t="s">
        <v>1184</v>
      </c>
      <c r="AA457" s="7"/>
      <c r="AB457" s="7"/>
      <c r="AC457" s="7" t="s">
        <v>64</v>
      </c>
      <c r="AD457" s="7"/>
      <c r="AE457" s="7"/>
      <c r="AF457" s="7" t="s">
        <v>50</v>
      </c>
      <c r="AG457" s="7" t="s">
        <v>67</v>
      </c>
      <c r="AH457" s="7" t="s">
        <v>71</v>
      </c>
    </row>
    <row r="458" spans="1:34" ht="9.75" customHeight="1" x14ac:dyDescent="0.2">
      <c r="A458" s="7" t="s">
        <v>37</v>
      </c>
      <c r="B458" s="7" t="s">
        <v>38</v>
      </c>
      <c r="C458" s="7"/>
      <c r="D458" s="7" t="s">
        <v>1191</v>
      </c>
      <c r="E458" s="8">
        <v>1</v>
      </c>
      <c r="F458" s="7" t="s">
        <v>41</v>
      </c>
      <c r="G458" s="7"/>
      <c r="H458" s="9"/>
      <c r="I458" s="10">
        <v>108</v>
      </c>
      <c r="J458" s="9"/>
      <c r="K458" s="9"/>
      <c r="L458" s="10">
        <v>51</v>
      </c>
      <c r="M458" s="9"/>
      <c r="N458" s="10">
        <v>51</v>
      </c>
      <c r="O458" s="9"/>
      <c r="P458" s="10"/>
      <c r="Q458" s="10"/>
      <c r="R458" s="10"/>
      <c r="S458" s="7" t="s">
        <v>407</v>
      </c>
      <c r="T458" s="7" t="s">
        <v>73</v>
      </c>
      <c r="U458" s="7" t="s">
        <v>44</v>
      </c>
      <c r="V458" s="7" t="s">
        <v>45</v>
      </c>
      <c r="W458" s="7" t="s">
        <v>67</v>
      </c>
      <c r="X458" s="7" t="s">
        <v>68</v>
      </c>
      <c r="Y458" s="7" t="s">
        <v>1192</v>
      </c>
      <c r="Z458" s="7" t="s">
        <v>1184</v>
      </c>
      <c r="AA458" s="7"/>
      <c r="AB458" s="7"/>
      <c r="AC458" s="7" t="s">
        <v>64</v>
      </c>
      <c r="AD458" s="7"/>
      <c r="AE458" s="7"/>
      <c r="AF458" s="7" t="s">
        <v>50</v>
      </c>
      <c r="AG458" s="7" t="s">
        <v>67</v>
      </c>
      <c r="AH458" s="7" t="s">
        <v>71</v>
      </c>
    </row>
    <row r="459" spans="1:34" ht="9.75" customHeight="1" x14ac:dyDescent="0.2">
      <c r="A459" s="7" t="s">
        <v>37</v>
      </c>
      <c r="B459" s="7" t="s">
        <v>38</v>
      </c>
      <c r="C459" s="7"/>
      <c r="D459" s="7" t="s">
        <v>1193</v>
      </c>
      <c r="E459" s="8">
        <v>1</v>
      </c>
      <c r="F459" s="7" t="s">
        <v>41</v>
      </c>
      <c r="G459" s="7"/>
      <c r="H459" s="9"/>
      <c r="I459" s="10">
        <v>644</v>
      </c>
      <c r="J459" s="9"/>
      <c r="K459" s="9"/>
      <c r="L459" s="10">
        <v>182</v>
      </c>
      <c r="M459" s="9"/>
      <c r="N459" s="10">
        <v>182</v>
      </c>
      <c r="O459" s="9"/>
      <c r="P459" s="10"/>
      <c r="Q459" s="10"/>
      <c r="R459" s="10"/>
      <c r="S459" s="7" t="s">
        <v>407</v>
      </c>
      <c r="T459" s="7" t="s">
        <v>73</v>
      </c>
      <c r="U459" s="7" t="s">
        <v>44</v>
      </c>
      <c r="V459" s="7" t="s">
        <v>45</v>
      </c>
      <c r="W459" s="7" t="s">
        <v>67</v>
      </c>
      <c r="X459" s="7" t="s">
        <v>68</v>
      </c>
      <c r="Y459" s="7" t="s">
        <v>1194</v>
      </c>
      <c r="Z459" s="7" t="s">
        <v>1184</v>
      </c>
      <c r="AA459" s="7"/>
      <c r="AB459" s="7"/>
      <c r="AC459" s="7" t="s">
        <v>64</v>
      </c>
      <c r="AD459" s="7"/>
      <c r="AE459" s="7"/>
      <c r="AF459" s="7" t="s">
        <v>50</v>
      </c>
      <c r="AG459" s="7" t="s">
        <v>67</v>
      </c>
      <c r="AH459" s="7" t="s">
        <v>71</v>
      </c>
    </row>
    <row r="460" spans="1:34" ht="9.75" customHeight="1" x14ac:dyDescent="0.2">
      <c r="A460" s="7" t="s">
        <v>37</v>
      </c>
      <c r="B460" s="7" t="s">
        <v>38</v>
      </c>
      <c r="C460" s="7"/>
      <c r="D460" s="7" t="s">
        <v>1195</v>
      </c>
      <c r="E460" s="8">
        <v>1</v>
      </c>
      <c r="F460" s="7" t="s">
        <v>41</v>
      </c>
      <c r="G460" s="7"/>
      <c r="H460" s="9"/>
      <c r="I460" s="10">
        <v>279</v>
      </c>
      <c r="J460" s="9"/>
      <c r="K460" s="9"/>
      <c r="L460" s="10">
        <v>542</v>
      </c>
      <c r="M460" s="9"/>
      <c r="N460" s="10">
        <v>542</v>
      </c>
      <c r="O460" s="9"/>
      <c r="P460" s="10"/>
      <c r="Q460" s="10"/>
      <c r="R460" s="10"/>
      <c r="S460" s="7" t="s">
        <v>407</v>
      </c>
      <c r="T460" s="7" t="s">
        <v>73</v>
      </c>
      <c r="U460" s="7" t="s">
        <v>44</v>
      </c>
      <c r="V460" s="7" t="s">
        <v>45</v>
      </c>
      <c r="W460" s="7" t="s">
        <v>67</v>
      </c>
      <c r="X460" s="7" t="s">
        <v>68</v>
      </c>
      <c r="Y460" s="7" t="s">
        <v>1196</v>
      </c>
      <c r="Z460" s="7" t="s">
        <v>1184</v>
      </c>
      <c r="AA460" s="7"/>
      <c r="AB460" s="7"/>
      <c r="AC460" s="7" t="s">
        <v>64</v>
      </c>
      <c r="AD460" s="7"/>
      <c r="AE460" s="7"/>
      <c r="AF460" s="7" t="s">
        <v>50</v>
      </c>
      <c r="AG460" s="7" t="s">
        <v>67</v>
      </c>
      <c r="AH460" s="7" t="s">
        <v>71</v>
      </c>
    </row>
    <row r="461" spans="1:34" ht="9.75" customHeight="1" x14ac:dyDescent="0.2">
      <c r="A461" s="7" t="s">
        <v>37</v>
      </c>
      <c r="B461" s="7" t="s">
        <v>38</v>
      </c>
      <c r="C461" s="7"/>
      <c r="D461" s="7" t="s">
        <v>1197</v>
      </c>
      <c r="E461" s="8">
        <v>1</v>
      </c>
      <c r="F461" s="7" t="s">
        <v>41</v>
      </c>
      <c r="G461" s="7"/>
      <c r="H461" s="9"/>
      <c r="I461" s="10">
        <v>7230</v>
      </c>
      <c r="J461" s="9"/>
      <c r="K461" s="9"/>
      <c r="L461" s="10">
        <v>11737</v>
      </c>
      <c r="M461" s="9"/>
      <c r="N461" s="10">
        <v>11737</v>
      </c>
      <c r="O461" s="9"/>
      <c r="P461" s="10"/>
      <c r="Q461" s="10"/>
      <c r="R461" s="10"/>
      <c r="S461" s="7" t="s">
        <v>407</v>
      </c>
      <c r="T461" s="7" t="s">
        <v>73</v>
      </c>
      <c r="U461" s="7" t="s">
        <v>44</v>
      </c>
      <c r="V461" s="7" t="s">
        <v>45</v>
      </c>
      <c r="W461" s="7" t="s">
        <v>67</v>
      </c>
      <c r="X461" s="7" t="s">
        <v>68</v>
      </c>
      <c r="Y461" s="7" t="s">
        <v>1198</v>
      </c>
      <c r="Z461" s="7" t="s">
        <v>1199</v>
      </c>
      <c r="AA461" s="7"/>
      <c r="AB461" s="7"/>
      <c r="AC461" s="7" t="s">
        <v>64</v>
      </c>
      <c r="AD461" s="7"/>
      <c r="AE461" s="7"/>
      <c r="AF461" s="7" t="s">
        <v>50</v>
      </c>
      <c r="AG461" s="7" t="s">
        <v>67</v>
      </c>
      <c r="AH461" s="7" t="s">
        <v>71</v>
      </c>
    </row>
    <row r="462" spans="1:34" ht="9.75" customHeight="1" x14ac:dyDescent="0.2">
      <c r="A462" s="7" t="s">
        <v>37</v>
      </c>
      <c r="B462" s="7" t="s">
        <v>38</v>
      </c>
      <c r="C462" s="7"/>
      <c r="D462" s="7" t="s">
        <v>1200</v>
      </c>
      <c r="E462" s="8">
        <v>1</v>
      </c>
      <c r="F462" s="7" t="s">
        <v>41</v>
      </c>
      <c r="G462" s="7"/>
      <c r="H462" s="9"/>
      <c r="I462" s="10">
        <v>279</v>
      </c>
      <c r="J462" s="9"/>
      <c r="K462" s="9"/>
      <c r="L462" s="10">
        <v>387</v>
      </c>
      <c r="M462" s="9"/>
      <c r="N462" s="10">
        <v>387</v>
      </c>
      <c r="O462" s="9"/>
      <c r="P462" s="10"/>
      <c r="Q462" s="10"/>
      <c r="R462" s="10"/>
      <c r="S462" s="7" t="s">
        <v>407</v>
      </c>
      <c r="T462" s="7" t="s">
        <v>73</v>
      </c>
      <c r="U462" s="7" t="s">
        <v>44</v>
      </c>
      <c r="V462" s="7" t="s">
        <v>45</v>
      </c>
      <c r="W462" s="7" t="s">
        <v>67</v>
      </c>
      <c r="X462" s="7" t="s">
        <v>68</v>
      </c>
      <c r="Y462" s="7" t="s">
        <v>1201</v>
      </c>
      <c r="Z462" s="7" t="s">
        <v>1199</v>
      </c>
      <c r="AA462" s="7"/>
      <c r="AB462" s="7"/>
      <c r="AC462" s="7" t="s">
        <v>64</v>
      </c>
      <c r="AD462" s="7"/>
      <c r="AE462" s="7"/>
      <c r="AF462" s="7" t="s">
        <v>50</v>
      </c>
      <c r="AG462" s="7" t="s">
        <v>67</v>
      </c>
      <c r="AH462" s="7" t="s">
        <v>71</v>
      </c>
    </row>
    <row r="463" spans="1:34" ht="9.75" customHeight="1" x14ac:dyDescent="0.2">
      <c r="A463" s="7" t="s">
        <v>37</v>
      </c>
      <c r="B463" s="7" t="s">
        <v>38</v>
      </c>
      <c r="C463" s="7"/>
      <c r="D463" s="7" t="s">
        <v>1202</v>
      </c>
      <c r="E463" s="8">
        <v>1</v>
      </c>
      <c r="F463" s="7" t="s">
        <v>41</v>
      </c>
      <c r="G463" s="7"/>
      <c r="H463" s="9"/>
      <c r="I463" s="10">
        <v>250</v>
      </c>
      <c r="J463" s="9"/>
      <c r="K463" s="9"/>
      <c r="L463" s="10">
        <v>430</v>
      </c>
      <c r="M463" s="9"/>
      <c r="N463" s="10">
        <v>430</v>
      </c>
      <c r="O463" s="9"/>
      <c r="P463" s="10"/>
      <c r="Q463" s="10"/>
      <c r="R463" s="10"/>
      <c r="S463" s="7" t="s">
        <v>407</v>
      </c>
      <c r="T463" s="7" t="s">
        <v>73</v>
      </c>
      <c r="U463" s="7" t="s">
        <v>44</v>
      </c>
      <c r="V463" s="7" t="s">
        <v>45</v>
      </c>
      <c r="W463" s="7" t="s">
        <v>67</v>
      </c>
      <c r="X463" s="7" t="s">
        <v>68</v>
      </c>
      <c r="Y463" s="7" t="s">
        <v>1203</v>
      </c>
      <c r="Z463" s="7" t="s">
        <v>1199</v>
      </c>
      <c r="AA463" s="7"/>
      <c r="AB463" s="7"/>
      <c r="AC463" s="7" t="s">
        <v>64</v>
      </c>
      <c r="AD463" s="7"/>
      <c r="AE463" s="7"/>
      <c r="AF463" s="7" t="s">
        <v>50</v>
      </c>
      <c r="AG463" s="7" t="s">
        <v>67</v>
      </c>
      <c r="AH463" s="7" t="s">
        <v>71</v>
      </c>
    </row>
    <row r="464" spans="1:34" ht="9.75" customHeight="1" x14ac:dyDescent="0.2">
      <c r="A464" s="7" t="s">
        <v>37</v>
      </c>
      <c r="B464" s="7" t="s">
        <v>38</v>
      </c>
      <c r="C464" s="7"/>
      <c r="D464" s="7" t="s">
        <v>1204</v>
      </c>
      <c r="E464" s="8">
        <v>1</v>
      </c>
      <c r="F464" s="7" t="s">
        <v>41</v>
      </c>
      <c r="G464" s="7"/>
      <c r="H464" s="9"/>
      <c r="I464" s="10">
        <v>119</v>
      </c>
      <c r="J464" s="9"/>
      <c r="K464" s="9"/>
      <c r="L464" s="10">
        <v>208</v>
      </c>
      <c r="M464" s="9"/>
      <c r="N464" s="10">
        <v>208</v>
      </c>
      <c r="O464" s="9"/>
      <c r="P464" s="10"/>
      <c r="Q464" s="10"/>
      <c r="R464" s="10"/>
      <c r="S464" s="7" t="s">
        <v>407</v>
      </c>
      <c r="T464" s="7" t="s">
        <v>73</v>
      </c>
      <c r="U464" s="7" t="s">
        <v>44</v>
      </c>
      <c r="V464" s="7" t="s">
        <v>45</v>
      </c>
      <c r="W464" s="7" t="s">
        <v>67</v>
      </c>
      <c r="X464" s="7" t="s">
        <v>68</v>
      </c>
      <c r="Y464" s="7" t="s">
        <v>1205</v>
      </c>
      <c r="Z464" s="7" t="s">
        <v>1199</v>
      </c>
      <c r="AA464" s="7"/>
      <c r="AB464" s="7"/>
      <c r="AC464" s="7" t="s">
        <v>64</v>
      </c>
      <c r="AD464" s="7"/>
      <c r="AE464" s="7"/>
      <c r="AF464" s="7" t="s">
        <v>50</v>
      </c>
      <c r="AG464" s="7" t="s">
        <v>67</v>
      </c>
      <c r="AH464" s="7" t="s">
        <v>71</v>
      </c>
    </row>
    <row r="465" spans="1:34" ht="9.75" customHeight="1" x14ac:dyDescent="0.2">
      <c r="A465" s="7" t="s">
        <v>37</v>
      </c>
      <c r="B465" s="7" t="s">
        <v>38</v>
      </c>
      <c r="C465" s="7"/>
      <c r="D465" s="7" t="s">
        <v>1206</v>
      </c>
      <c r="E465" s="8">
        <v>1</v>
      </c>
      <c r="F465" s="7" t="s">
        <v>41</v>
      </c>
      <c r="G465" s="7"/>
      <c r="H465" s="9"/>
      <c r="I465" s="10">
        <v>11135</v>
      </c>
      <c r="J465" s="9"/>
      <c r="K465" s="9"/>
      <c r="L465" s="10">
        <v>18900</v>
      </c>
      <c r="M465" s="9"/>
      <c r="N465" s="10">
        <v>18900</v>
      </c>
      <c r="O465" s="9"/>
      <c r="P465" s="10"/>
      <c r="Q465" s="10"/>
      <c r="R465" s="10"/>
      <c r="S465" s="7" t="s">
        <v>407</v>
      </c>
      <c r="T465" s="7" t="s">
        <v>73</v>
      </c>
      <c r="U465" s="7" t="s">
        <v>44</v>
      </c>
      <c r="V465" s="7" t="s">
        <v>45</v>
      </c>
      <c r="W465" s="7" t="s">
        <v>67</v>
      </c>
      <c r="X465" s="7" t="s">
        <v>68</v>
      </c>
      <c r="Y465" s="7" t="s">
        <v>1207</v>
      </c>
      <c r="Z465" s="7" t="s">
        <v>1208</v>
      </c>
      <c r="AA465" s="7"/>
      <c r="AB465" s="7"/>
      <c r="AC465" s="7" t="s">
        <v>64</v>
      </c>
      <c r="AD465" s="7"/>
      <c r="AE465" s="7"/>
      <c r="AF465" s="7" t="s">
        <v>50</v>
      </c>
      <c r="AG465" s="7" t="s">
        <v>67</v>
      </c>
      <c r="AH465" s="7" t="s">
        <v>71</v>
      </c>
    </row>
    <row r="466" spans="1:34" ht="9.75" customHeight="1" x14ac:dyDescent="0.2">
      <c r="A466" s="7" t="s">
        <v>37</v>
      </c>
      <c r="B466" s="7" t="s">
        <v>38</v>
      </c>
      <c r="C466" s="7"/>
      <c r="D466" s="7" t="s">
        <v>1209</v>
      </c>
      <c r="E466" s="8">
        <v>1</v>
      </c>
      <c r="F466" s="7" t="s">
        <v>41</v>
      </c>
      <c r="G466" s="7"/>
      <c r="H466" s="9"/>
      <c r="I466" s="10">
        <v>349</v>
      </c>
      <c r="J466" s="9"/>
      <c r="K466" s="9"/>
      <c r="L466" s="10">
        <v>1556</v>
      </c>
      <c r="M466" s="9"/>
      <c r="N466" s="10">
        <v>1556</v>
      </c>
      <c r="O466" s="9"/>
      <c r="P466" s="10"/>
      <c r="Q466" s="10"/>
      <c r="R466" s="10"/>
      <c r="S466" s="7" t="s">
        <v>407</v>
      </c>
      <c r="T466" s="7" t="s">
        <v>73</v>
      </c>
      <c r="U466" s="7" t="s">
        <v>44</v>
      </c>
      <c r="V466" s="7" t="s">
        <v>45</v>
      </c>
      <c r="W466" s="7" t="s">
        <v>67</v>
      </c>
      <c r="X466" s="7" t="s">
        <v>68</v>
      </c>
      <c r="Y466" s="7" t="s">
        <v>1210</v>
      </c>
      <c r="Z466" s="7" t="s">
        <v>1208</v>
      </c>
      <c r="AA466" s="7"/>
      <c r="AB466" s="7"/>
      <c r="AC466" s="7" t="s">
        <v>64</v>
      </c>
      <c r="AD466" s="7"/>
      <c r="AE466" s="7"/>
      <c r="AF466" s="7" t="s">
        <v>50</v>
      </c>
      <c r="AG466" s="7" t="s">
        <v>67</v>
      </c>
      <c r="AH466" s="7" t="s">
        <v>71</v>
      </c>
    </row>
    <row r="467" spans="1:34" ht="9.75" customHeight="1" x14ac:dyDescent="0.2">
      <c r="A467" s="7" t="s">
        <v>37</v>
      </c>
      <c r="B467" s="7" t="s">
        <v>38</v>
      </c>
      <c r="C467" s="7"/>
      <c r="D467" s="7" t="s">
        <v>1211</v>
      </c>
      <c r="E467" s="8">
        <v>1</v>
      </c>
      <c r="F467" s="7" t="s">
        <v>41</v>
      </c>
      <c r="G467" s="7"/>
      <c r="H467" s="9"/>
      <c r="I467" s="10">
        <v>889</v>
      </c>
      <c r="J467" s="9"/>
      <c r="K467" s="9"/>
      <c r="L467" s="10">
        <v>644</v>
      </c>
      <c r="M467" s="9"/>
      <c r="N467" s="10">
        <v>644</v>
      </c>
      <c r="O467" s="9"/>
      <c r="P467" s="10"/>
      <c r="Q467" s="10"/>
      <c r="R467" s="10"/>
      <c r="S467" s="7" t="s">
        <v>407</v>
      </c>
      <c r="T467" s="7" t="s">
        <v>73</v>
      </c>
      <c r="U467" s="7" t="s">
        <v>44</v>
      </c>
      <c r="V467" s="7" t="s">
        <v>45</v>
      </c>
      <c r="W467" s="7" t="s">
        <v>67</v>
      </c>
      <c r="X467" s="7" t="s">
        <v>68</v>
      </c>
      <c r="Y467" s="7" t="s">
        <v>1212</v>
      </c>
      <c r="Z467" s="7" t="s">
        <v>1208</v>
      </c>
      <c r="AA467" s="7"/>
      <c r="AB467" s="7"/>
      <c r="AC467" s="7" t="s">
        <v>64</v>
      </c>
      <c r="AD467" s="7"/>
      <c r="AE467" s="7"/>
      <c r="AF467" s="7" t="s">
        <v>50</v>
      </c>
      <c r="AG467" s="7" t="s">
        <v>67</v>
      </c>
      <c r="AH467" s="7" t="s">
        <v>71</v>
      </c>
    </row>
    <row r="468" spans="1:34" ht="9.75" customHeight="1" x14ac:dyDescent="0.2">
      <c r="A468" s="7" t="s">
        <v>37</v>
      </c>
      <c r="B468" s="7" t="s">
        <v>38</v>
      </c>
      <c r="C468" s="7"/>
      <c r="D468" s="7" t="s">
        <v>1213</v>
      </c>
      <c r="E468" s="8">
        <v>1</v>
      </c>
      <c r="F468" s="7" t="s">
        <v>41</v>
      </c>
      <c r="G468" s="7"/>
      <c r="H468" s="9"/>
      <c r="I468" s="10">
        <v>3053</v>
      </c>
      <c r="J468" s="9"/>
      <c r="K468" s="9"/>
      <c r="L468" s="10">
        <v>7467</v>
      </c>
      <c r="M468" s="9"/>
      <c r="N468" s="10">
        <v>7467</v>
      </c>
      <c r="O468" s="9"/>
      <c r="P468" s="10"/>
      <c r="Q468" s="10"/>
      <c r="R468" s="10"/>
      <c r="S468" s="7" t="s">
        <v>407</v>
      </c>
      <c r="T468" s="7" t="s">
        <v>73</v>
      </c>
      <c r="U468" s="7" t="s">
        <v>44</v>
      </c>
      <c r="V468" s="7" t="s">
        <v>45</v>
      </c>
      <c r="W468" s="7" t="s">
        <v>67</v>
      </c>
      <c r="X468" s="7" t="s">
        <v>68</v>
      </c>
      <c r="Y468" s="7" t="s">
        <v>1214</v>
      </c>
      <c r="Z468" s="7" t="s">
        <v>1208</v>
      </c>
      <c r="AA468" s="7"/>
      <c r="AB468" s="7"/>
      <c r="AC468" s="7" t="s">
        <v>64</v>
      </c>
      <c r="AD468" s="7"/>
      <c r="AE468" s="7"/>
      <c r="AF468" s="7" t="s">
        <v>50</v>
      </c>
      <c r="AG468" s="7" t="s">
        <v>67</v>
      </c>
      <c r="AH468" s="7" t="s">
        <v>71</v>
      </c>
    </row>
    <row r="469" spans="1:34" ht="9.75" customHeight="1" x14ac:dyDescent="0.2">
      <c r="A469" s="7" t="s">
        <v>37</v>
      </c>
      <c r="B469" s="7" t="s">
        <v>38</v>
      </c>
      <c r="C469" s="7"/>
      <c r="D469" s="7" t="s">
        <v>1215</v>
      </c>
      <c r="E469" s="8">
        <v>1</v>
      </c>
      <c r="F469" s="7" t="s">
        <v>41</v>
      </c>
      <c r="G469" s="7"/>
      <c r="H469" s="9"/>
      <c r="I469" s="10">
        <v>1168</v>
      </c>
      <c r="J469" s="9"/>
      <c r="K469" s="9"/>
      <c r="L469" s="10">
        <v>2792</v>
      </c>
      <c r="M469" s="9"/>
      <c r="N469" s="10">
        <v>2792</v>
      </c>
      <c r="O469" s="9"/>
      <c r="P469" s="10"/>
      <c r="Q469" s="10"/>
      <c r="R469" s="10"/>
      <c r="S469" s="7" t="s">
        <v>407</v>
      </c>
      <c r="T469" s="7" t="s">
        <v>73</v>
      </c>
      <c r="U469" s="7" t="s">
        <v>44</v>
      </c>
      <c r="V469" s="7" t="s">
        <v>45</v>
      </c>
      <c r="W469" s="7" t="s">
        <v>67</v>
      </c>
      <c r="X469" s="7" t="s">
        <v>68</v>
      </c>
      <c r="Y469" s="7" t="s">
        <v>1216</v>
      </c>
      <c r="Z469" s="7" t="s">
        <v>1208</v>
      </c>
      <c r="AA469" s="7"/>
      <c r="AB469" s="7"/>
      <c r="AC469" s="7" t="s">
        <v>64</v>
      </c>
      <c r="AD469" s="7"/>
      <c r="AE469" s="7"/>
      <c r="AF469" s="7" t="s">
        <v>50</v>
      </c>
      <c r="AG469" s="7" t="s">
        <v>67</v>
      </c>
      <c r="AH469" s="7" t="s">
        <v>71</v>
      </c>
    </row>
    <row r="470" spans="1:34" ht="9.75" customHeight="1" x14ac:dyDescent="0.2">
      <c r="A470" s="7" t="s">
        <v>37</v>
      </c>
      <c r="B470" s="7" t="s">
        <v>38</v>
      </c>
      <c r="C470" s="7"/>
      <c r="D470" s="7" t="s">
        <v>1217</v>
      </c>
      <c r="E470" s="8">
        <v>1</v>
      </c>
      <c r="F470" s="7" t="s">
        <v>41</v>
      </c>
      <c r="G470" s="7"/>
      <c r="H470" s="9"/>
      <c r="I470" s="10">
        <v>7843</v>
      </c>
      <c r="J470" s="9"/>
      <c r="K470" s="9"/>
      <c r="L470" s="10">
        <v>11847</v>
      </c>
      <c r="M470" s="9"/>
      <c r="N470" s="10">
        <v>11847</v>
      </c>
      <c r="O470" s="9"/>
      <c r="P470" s="10"/>
      <c r="Q470" s="10"/>
      <c r="R470" s="10"/>
      <c r="S470" s="7" t="s">
        <v>407</v>
      </c>
      <c r="T470" s="7" t="s">
        <v>73</v>
      </c>
      <c r="U470" s="7" t="s">
        <v>44</v>
      </c>
      <c r="V470" s="7" t="s">
        <v>45</v>
      </c>
      <c r="W470" s="7" t="s">
        <v>67</v>
      </c>
      <c r="X470" s="7" t="s">
        <v>68</v>
      </c>
      <c r="Y470" s="7" t="s">
        <v>1218</v>
      </c>
      <c r="Z470" s="7" t="s">
        <v>1208</v>
      </c>
      <c r="AA470" s="7"/>
      <c r="AB470" s="7"/>
      <c r="AC470" s="7" t="s">
        <v>64</v>
      </c>
      <c r="AD470" s="7"/>
      <c r="AE470" s="7"/>
      <c r="AF470" s="7" t="s">
        <v>50</v>
      </c>
      <c r="AG470" s="7" t="s">
        <v>67</v>
      </c>
      <c r="AH470" s="7" t="s">
        <v>71</v>
      </c>
    </row>
    <row r="471" spans="1:34" ht="9.75" customHeight="1" x14ac:dyDescent="0.2">
      <c r="A471" s="7" t="s">
        <v>37</v>
      </c>
      <c r="B471" s="7" t="s">
        <v>38</v>
      </c>
      <c r="C471" s="7"/>
      <c r="D471" s="7" t="s">
        <v>1219</v>
      </c>
      <c r="E471" s="8">
        <v>1</v>
      </c>
      <c r="F471" s="7" t="s">
        <v>41</v>
      </c>
      <c r="G471" s="7"/>
      <c r="H471" s="9"/>
      <c r="I471" s="10">
        <v>2863</v>
      </c>
      <c r="J471" s="9"/>
      <c r="K471" s="9"/>
      <c r="L471" s="10">
        <v>3057</v>
      </c>
      <c r="M471" s="9"/>
      <c r="N471" s="10">
        <v>3057</v>
      </c>
      <c r="O471" s="9"/>
      <c r="P471" s="10"/>
      <c r="Q471" s="10"/>
      <c r="R471" s="10"/>
      <c r="S471" s="7" t="s">
        <v>407</v>
      </c>
      <c r="T471" s="7" t="s">
        <v>73</v>
      </c>
      <c r="U471" s="7" t="s">
        <v>44</v>
      </c>
      <c r="V471" s="7" t="s">
        <v>45</v>
      </c>
      <c r="W471" s="7" t="s">
        <v>67</v>
      </c>
      <c r="X471" s="7" t="s">
        <v>68</v>
      </c>
      <c r="Y471" s="7" t="s">
        <v>1220</v>
      </c>
      <c r="Z471" s="7" t="s">
        <v>1221</v>
      </c>
      <c r="AA471" s="7"/>
      <c r="AB471" s="7"/>
      <c r="AC471" s="7" t="s">
        <v>64</v>
      </c>
      <c r="AD471" s="7"/>
      <c r="AE471" s="7"/>
      <c r="AF471" s="7" t="s">
        <v>50</v>
      </c>
      <c r="AG471" s="7" t="s">
        <v>67</v>
      </c>
      <c r="AH471" s="7" t="s">
        <v>71</v>
      </c>
    </row>
    <row r="472" spans="1:34" ht="9.75" customHeight="1" x14ac:dyDescent="0.2">
      <c r="A472" s="7" t="s">
        <v>37</v>
      </c>
      <c r="B472" s="7" t="s">
        <v>38</v>
      </c>
      <c r="C472" s="7"/>
      <c r="D472" s="7" t="s">
        <v>1222</v>
      </c>
      <c r="E472" s="8">
        <v>1</v>
      </c>
      <c r="F472" s="7" t="s">
        <v>41</v>
      </c>
      <c r="G472" s="7"/>
      <c r="H472" s="9"/>
      <c r="I472" s="10">
        <v>221</v>
      </c>
      <c r="J472" s="9"/>
      <c r="K472" s="9"/>
      <c r="L472" s="10">
        <v>68</v>
      </c>
      <c r="M472" s="9"/>
      <c r="N472" s="10">
        <v>68</v>
      </c>
      <c r="O472" s="9"/>
      <c r="P472" s="10"/>
      <c r="Q472" s="10"/>
      <c r="R472" s="10"/>
      <c r="S472" s="7" t="s">
        <v>407</v>
      </c>
      <c r="T472" s="7" t="s">
        <v>73</v>
      </c>
      <c r="U472" s="7" t="s">
        <v>44</v>
      </c>
      <c r="V472" s="7" t="s">
        <v>45</v>
      </c>
      <c r="W472" s="7" t="s">
        <v>67</v>
      </c>
      <c r="X472" s="7" t="s">
        <v>68</v>
      </c>
      <c r="Y472" s="7" t="s">
        <v>1223</v>
      </c>
      <c r="Z472" s="7" t="s">
        <v>1221</v>
      </c>
      <c r="AA472" s="7"/>
      <c r="AB472" s="7"/>
      <c r="AC472" s="7" t="s">
        <v>64</v>
      </c>
      <c r="AD472" s="7"/>
      <c r="AE472" s="7"/>
      <c r="AF472" s="7" t="s">
        <v>50</v>
      </c>
      <c r="AG472" s="7" t="s">
        <v>67</v>
      </c>
      <c r="AH472" s="7" t="s">
        <v>71</v>
      </c>
    </row>
    <row r="473" spans="1:34" ht="9.75" customHeight="1" x14ac:dyDescent="0.2">
      <c r="A473" s="7" t="s">
        <v>37</v>
      </c>
      <c r="B473" s="7" t="s">
        <v>38</v>
      </c>
      <c r="C473" s="7"/>
      <c r="D473" s="7" t="s">
        <v>1224</v>
      </c>
      <c r="E473" s="8">
        <v>1</v>
      </c>
      <c r="F473" s="7" t="s">
        <v>41</v>
      </c>
      <c r="G473" s="7"/>
      <c r="H473" s="9"/>
      <c r="I473" s="10">
        <v>612</v>
      </c>
      <c r="J473" s="9"/>
      <c r="K473" s="9"/>
      <c r="L473" s="10">
        <v>571</v>
      </c>
      <c r="M473" s="9"/>
      <c r="N473" s="10">
        <v>571</v>
      </c>
      <c r="O473" s="9"/>
      <c r="P473" s="10"/>
      <c r="Q473" s="10"/>
      <c r="R473" s="10"/>
      <c r="S473" s="7" t="s">
        <v>407</v>
      </c>
      <c r="T473" s="7" t="s">
        <v>73</v>
      </c>
      <c r="U473" s="7" t="s">
        <v>44</v>
      </c>
      <c r="V473" s="7" t="s">
        <v>45</v>
      </c>
      <c r="W473" s="7" t="s">
        <v>67</v>
      </c>
      <c r="X473" s="7" t="s">
        <v>68</v>
      </c>
      <c r="Y473" s="7" t="s">
        <v>1225</v>
      </c>
      <c r="Z473" s="7" t="s">
        <v>1221</v>
      </c>
      <c r="AA473" s="7"/>
      <c r="AB473" s="7"/>
      <c r="AC473" s="7" t="s">
        <v>64</v>
      </c>
      <c r="AD473" s="7"/>
      <c r="AE473" s="7"/>
      <c r="AF473" s="7" t="s">
        <v>50</v>
      </c>
      <c r="AG473" s="7" t="s">
        <v>67</v>
      </c>
      <c r="AH473" s="7" t="s">
        <v>71</v>
      </c>
    </row>
    <row r="474" spans="1:34" ht="9.75" customHeight="1" x14ac:dyDescent="0.2">
      <c r="A474" s="7" t="s">
        <v>37</v>
      </c>
      <c r="B474" s="7" t="s">
        <v>38</v>
      </c>
      <c r="C474" s="7"/>
      <c r="D474" s="7" t="s">
        <v>1226</v>
      </c>
      <c r="E474" s="8">
        <v>1</v>
      </c>
      <c r="F474" s="7" t="s">
        <v>41</v>
      </c>
      <c r="G474" s="7"/>
      <c r="H474" s="9"/>
      <c r="I474" s="10">
        <v>249</v>
      </c>
      <c r="J474" s="9"/>
      <c r="K474" s="9"/>
      <c r="L474" s="10">
        <v>730</v>
      </c>
      <c r="M474" s="9"/>
      <c r="N474" s="10">
        <v>730</v>
      </c>
      <c r="O474" s="9"/>
      <c r="P474" s="10"/>
      <c r="Q474" s="10"/>
      <c r="R474" s="10"/>
      <c r="S474" s="7" t="s">
        <v>407</v>
      </c>
      <c r="T474" s="7" t="s">
        <v>73</v>
      </c>
      <c r="U474" s="7" t="s">
        <v>44</v>
      </c>
      <c r="V474" s="7" t="s">
        <v>45</v>
      </c>
      <c r="W474" s="7" t="s">
        <v>67</v>
      </c>
      <c r="X474" s="7" t="s">
        <v>68</v>
      </c>
      <c r="Y474" s="7" t="s">
        <v>1227</v>
      </c>
      <c r="Z474" s="7" t="s">
        <v>1221</v>
      </c>
      <c r="AA474" s="7"/>
      <c r="AB474" s="7"/>
      <c r="AC474" s="7" t="s">
        <v>64</v>
      </c>
      <c r="AD474" s="7"/>
      <c r="AE474" s="7"/>
      <c r="AF474" s="7" t="s">
        <v>50</v>
      </c>
      <c r="AG474" s="7" t="s">
        <v>67</v>
      </c>
      <c r="AH474" s="7" t="s">
        <v>71</v>
      </c>
    </row>
    <row r="475" spans="1:34" ht="9.75" customHeight="1" x14ac:dyDescent="0.2">
      <c r="A475" s="7" t="s">
        <v>37</v>
      </c>
      <c r="B475" s="7" t="s">
        <v>38</v>
      </c>
      <c r="C475" s="7"/>
      <c r="D475" s="7" t="s">
        <v>1228</v>
      </c>
      <c r="E475" s="8">
        <v>1</v>
      </c>
      <c r="F475" s="7" t="s">
        <v>41</v>
      </c>
      <c r="G475" s="7"/>
      <c r="H475" s="9"/>
      <c r="I475" s="10">
        <v>339</v>
      </c>
      <c r="J475" s="9"/>
      <c r="K475" s="9"/>
      <c r="L475" s="10">
        <v>743</v>
      </c>
      <c r="M475" s="9"/>
      <c r="N475" s="10">
        <v>743</v>
      </c>
      <c r="O475" s="9"/>
      <c r="P475" s="10"/>
      <c r="Q475" s="10"/>
      <c r="R475" s="10"/>
      <c r="S475" s="7" t="s">
        <v>407</v>
      </c>
      <c r="T475" s="7" t="s">
        <v>73</v>
      </c>
      <c r="U475" s="7" t="s">
        <v>44</v>
      </c>
      <c r="V475" s="7" t="s">
        <v>45</v>
      </c>
      <c r="W475" s="7" t="s">
        <v>67</v>
      </c>
      <c r="X475" s="7" t="s">
        <v>68</v>
      </c>
      <c r="Y475" s="7" t="s">
        <v>1229</v>
      </c>
      <c r="Z475" s="7" t="s">
        <v>1221</v>
      </c>
      <c r="AA475" s="7"/>
      <c r="AB475" s="7"/>
      <c r="AC475" s="7" t="s">
        <v>64</v>
      </c>
      <c r="AD475" s="7"/>
      <c r="AE475" s="7"/>
      <c r="AF475" s="7" t="s">
        <v>50</v>
      </c>
      <c r="AG475" s="7" t="s">
        <v>67</v>
      </c>
      <c r="AH475" s="7" t="s">
        <v>71</v>
      </c>
    </row>
    <row r="476" spans="1:34" ht="9.75" customHeight="1" x14ac:dyDescent="0.2">
      <c r="A476" s="7" t="s">
        <v>37</v>
      </c>
      <c r="B476" s="7" t="s">
        <v>38</v>
      </c>
      <c r="C476" s="7"/>
      <c r="D476" s="7" t="s">
        <v>1230</v>
      </c>
      <c r="E476" s="8">
        <v>1</v>
      </c>
      <c r="F476" s="7" t="s">
        <v>41</v>
      </c>
      <c r="G476" s="7"/>
      <c r="H476" s="9"/>
      <c r="I476" s="10">
        <v>5091</v>
      </c>
      <c r="J476" s="9"/>
      <c r="K476" s="9"/>
      <c r="L476" s="10">
        <v>7822</v>
      </c>
      <c r="M476" s="9"/>
      <c r="N476" s="10">
        <v>7822</v>
      </c>
      <c r="O476" s="9"/>
      <c r="P476" s="10"/>
      <c r="Q476" s="10"/>
      <c r="R476" s="10"/>
      <c r="S476" s="7" t="s">
        <v>407</v>
      </c>
      <c r="T476" s="7" t="s">
        <v>73</v>
      </c>
      <c r="U476" s="7" t="s">
        <v>44</v>
      </c>
      <c r="V476" s="7" t="s">
        <v>45</v>
      </c>
      <c r="W476" s="7" t="s">
        <v>67</v>
      </c>
      <c r="X476" s="7" t="s">
        <v>68</v>
      </c>
      <c r="Y476" s="7" t="s">
        <v>1231</v>
      </c>
      <c r="Z476" s="7" t="s">
        <v>1232</v>
      </c>
      <c r="AA476" s="7"/>
      <c r="AB476" s="7"/>
      <c r="AC476" s="7" t="s">
        <v>64</v>
      </c>
      <c r="AD476" s="7"/>
      <c r="AE476" s="7"/>
      <c r="AF476" s="7" t="s">
        <v>50</v>
      </c>
      <c r="AG476" s="7" t="s">
        <v>67</v>
      </c>
      <c r="AH476" s="7" t="s">
        <v>71</v>
      </c>
    </row>
    <row r="477" spans="1:34" ht="9.75" customHeight="1" x14ac:dyDescent="0.2">
      <c r="A477" s="7" t="s">
        <v>37</v>
      </c>
      <c r="B477" s="7" t="s">
        <v>38</v>
      </c>
      <c r="C477" s="7"/>
      <c r="D477" s="7" t="s">
        <v>1233</v>
      </c>
      <c r="E477" s="8">
        <v>1</v>
      </c>
      <c r="F477" s="7" t="s">
        <v>41</v>
      </c>
      <c r="G477" s="7"/>
      <c r="H477" s="9"/>
      <c r="I477" s="9"/>
      <c r="J477" s="9"/>
      <c r="K477" s="9"/>
      <c r="L477" s="10">
        <v>5</v>
      </c>
      <c r="M477" s="9"/>
      <c r="N477" s="10">
        <v>5</v>
      </c>
      <c r="O477" s="9"/>
      <c r="P477" s="10"/>
      <c r="Q477" s="10"/>
      <c r="R477" s="10"/>
      <c r="S477" s="7" t="s">
        <v>407</v>
      </c>
      <c r="T477" s="7" t="s">
        <v>73</v>
      </c>
      <c r="U477" s="7" t="s">
        <v>44</v>
      </c>
      <c r="V477" s="7" t="s">
        <v>45</v>
      </c>
      <c r="W477" s="7" t="s">
        <v>67</v>
      </c>
      <c r="X477" s="7" t="s">
        <v>68</v>
      </c>
      <c r="Y477" s="7" t="s">
        <v>1234</v>
      </c>
      <c r="Z477" s="7" t="s">
        <v>1232</v>
      </c>
      <c r="AA477" s="7"/>
      <c r="AB477" s="7"/>
      <c r="AC477" s="7" t="s">
        <v>64</v>
      </c>
      <c r="AD477" s="7"/>
      <c r="AE477" s="7"/>
      <c r="AF477" s="7" t="s">
        <v>50</v>
      </c>
      <c r="AG477" s="7" t="s">
        <v>67</v>
      </c>
      <c r="AH477" s="7" t="s">
        <v>71</v>
      </c>
    </row>
    <row r="478" spans="1:34" ht="9.75" customHeight="1" x14ac:dyDescent="0.2">
      <c r="A478" s="7" t="s">
        <v>37</v>
      </c>
      <c r="B478" s="7" t="s">
        <v>38</v>
      </c>
      <c r="C478" s="7"/>
      <c r="D478" s="7" t="s">
        <v>1235</v>
      </c>
      <c r="E478" s="8">
        <v>1</v>
      </c>
      <c r="F478" s="7" t="s">
        <v>41</v>
      </c>
      <c r="G478" s="7"/>
      <c r="H478" s="9"/>
      <c r="I478" s="9"/>
      <c r="J478" s="9"/>
      <c r="K478" s="9"/>
      <c r="L478" s="10">
        <v>263</v>
      </c>
      <c r="M478" s="9"/>
      <c r="N478" s="10">
        <v>263</v>
      </c>
      <c r="O478" s="9"/>
      <c r="P478" s="10"/>
      <c r="Q478" s="10"/>
      <c r="R478" s="10"/>
      <c r="S478" s="7" t="s">
        <v>407</v>
      </c>
      <c r="T478" s="7" t="s">
        <v>73</v>
      </c>
      <c r="U478" s="7" t="s">
        <v>44</v>
      </c>
      <c r="V478" s="7" t="s">
        <v>45</v>
      </c>
      <c r="W478" s="7" t="s">
        <v>67</v>
      </c>
      <c r="X478" s="7" t="s">
        <v>68</v>
      </c>
      <c r="Y478" s="7" t="s">
        <v>1236</v>
      </c>
      <c r="Z478" s="7" t="s">
        <v>1232</v>
      </c>
      <c r="AA478" s="7"/>
      <c r="AB478" s="7"/>
      <c r="AC478" s="7" t="s">
        <v>64</v>
      </c>
      <c r="AD478" s="7"/>
      <c r="AE478" s="7"/>
      <c r="AF478" s="7" t="s">
        <v>50</v>
      </c>
      <c r="AG478" s="7" t="s">
        <v>67</v>
      </c>
      <c r="AH478" s="7" t="s">
        <v>71</v>
      </c>
    </row>
    <row r="479" spans="1:34" ht="9.75" customHeight="1" x14ac:dyDescent="0.2">
      <c r="A479" s="7" t="s">
        <v>37</v>
      </c>
      <c r="B479" s="7" t="s">
        <v>38</v>
      </c>
      <c r="C479" s="7"/>
      <c r="D479" s="7" t="s">
        <v>1237</v>
      </c>
      <c r="E479" s="8">
        <v>1</v>
      </c>
      <c r="F479" s="7" t="s">
        <v>41</v>
      </c>
      <c r="G479" s="7"/>
      <c r="H479" s="9"/>
      <c r="I479" s="10">
        <v>42</v>
      </c>
      <c r="J479" s="9"/>
      <c r="K479" s="9"/>
      <c r="L479" s="10">
        <v>60</v>
      </c>
      <c r="M479" s="9"/>
      <c r="N479" s="10">
        <v>60</v>
      </c>
      <c r="O479" s="9"/>
      <c r="P479" s="10"/>
      <c r="Q479" s="10"/>
      <c r="R479" s="10"/>
      <c r="S479" s="7" t="s">
        <v>407</v>
      </c>
      <c r="T479" s="7" t="s">
        <v>73</v>
      </c>
      <c r="U479" s="7" t="s">
        <v>44</v>
      </c>
      <c r="V479" s="7" t="s">
        <v>45</v>
      </c>
      <c r="W479" s="7" t="s">
        <v>67</v>
      </c>
      <c r="X479" s="7" t="s">
        <v>68</v>
      </c>
      <c r="Y479" s="7" t="s">
        <v>1238</v>
      </c>
      <c r="Z479" s="7" t="s">
        <v>1232</v>
      </c>
      <c r="AA479" s="7"/>
      <c r="AB479" s="7"/>
      <c r="AC479" s="7" t="s">
        <v>64</v>
      </c>
      <c r="AD479" s="7"/>
      <c r="AE479" s="7"/>
      <c r="AF479" s="7" t="s">
        <v>50</v>
      </c>
      <c r="AG479" s="7" t="s">
        <v>67</v>
      </c>
      <c r="AH479" s="7" t="s">
        <v>71</v>
      </c>
    </row>
    <row r="480" spans="1:34" ht="9.75" customHeight="1" x14ac:dyDescent="0.2">
      <c r="A480" s="7" t="s">
        <v>37</v>
      </c>
      <c r="B480" s="7" t="s">
        <v>38</v>
      </c>
      <c r="C480" s="7"/>
      <c r="D480" s="7" t="s">
        <v>1239</v>
      </c>
      <c r="E480" s="8">
        <v>1</v>
      </c>
      <c r="F480" s="7" t="s">
        <v>41</v>
      </c>
      <c r="G480" s="7"/>
      <c r="H480" s="9"/>
      <c r="I480" s="10">
        <v>29</v>
      </c>
      <c r="J480" s="9"/>
      <c r="K480" s="9"/>
      <c r="L480" s="10">
        <v>87</v>
      </c>
      <c r="M480" s="9"/>
      <c r="N480" s="10">
        <v>87</v>
      </c>
      <c r="O480" s="9"/>
      <c r="P480" s="10"/>
      <c r="Q480" s="10"/>
      <c r="R480" s="10"/>
      <c r="S480" s="7" t="s">
        <v>407</v>
      </c>
      <c r="T480" s="7" t="s">
        <v>73</v>
      </c>
      <c r="U480" s="7" t="s">
        <v>44</v>
      </c>
      <c r="V480" s="7" t="s">
        <v>45</v>
      </c>
      <c r="W480" s="7" t="s">
        <v>67</v>
      </c>
      <c r="X480" s="7" t="s">
        <v>68</v>
      </c>
      <c r="Y480" s="7" t="s">
        <v>1240</v>
      </c>
      <c r="Z480" s="7" t="s">
        <v>1232</v>
      </c>
      <c r="AA480" s="7"/>
      <c r="AB480" s="7"/>
      <c r="AC480" s="7" t="s">
        <v>64</v>
      </c>
      <c r="AD480" s="7"/>
      <c r="AE480" s="7"/>
      <c r="AF480" s="7" t="s">
        <v>50</v>
      </c>
      <c r="AG480" s="7" t="s">
        <v>67</v>
      </c>
      <c r="AH480" s="7" t="s">
        <v>71</v>
      </c>
    </row>
    <row r="481" spans="1:34" ht="9.75" customHeight="1" x14ac:dyDescent="0.2">
      <c r="A481" s="7" t="s">
        <v>37</v>
      </c>
      <c r="B481" s="7" t="s">
        <v>38</v>
      </c>
      <c r="C481" s="7"/>
      <c r="D481" s="7" t="s">
        <v>1241</v>
      </c>
      <c r="E481" s="8">
        <v>1</v>
      </c>
      <c r="F481" s="7" t="s">
        <v>41</v>
      </c>
      <c r="G481" s="7"/>
      <c r="H481" s="9"/>
      <c r="I481" s="10">
        <v>302</v>
      </c>
      <c r="J481" s="9"/>
      <c r="K481" s="9"/>
      <c r="L481" s="10">
        <v>304</v>
      </c>
      <c r="M481" s="9"/>
      <c r="N481" s="10">
        <v>304</v>
      </c>
      <c r="O481" s="9"/>
      <c r="P481" s="10"/>
      <c r="Q481" s="10"/>
      <c r="R481" s="10"/>
      <c r="S481" s="7" t="s">
        <v>407</v>
      </c>
      <c r="T481" s="7" t="s">
        <v>73</v>
      </c>
      <c r="U481" s="7" t="s">
        <v>44</v>
      </c>
      <c r="V481" s="7" t="s">
        <v>45</v>
      </c>
      <c r="W481" s="7" t="s">
        <v>67</v>
      </c>
      <c r="X481" s="7" t="s">
        <v>68</v>
      </c>
      <c r="Y481" s="7" t="s">
        <v>1242</v>
      </c>
      <c r="Z481" s="7" t="s">
        <v>1232</v>
      </c>
      <c r="AA481" s="7"/>
      <c r="AB481" s="7"/>
      <c r="AC481" s="7" t="s">
        <v>64</v>
      </c>
      <c r="AD481" s="7"/>
      <c r="AE481" s="7"/>
      <c r="AF481" s="7" t="s">
        <v>50</v>
      </c>
      <c r="AG481" s="7" t="s">
        <v>67</v>
      </c>
      <c r="AH481" s="7" t="s">
        <v>71</v>
      </c>
    </row>
    <row r="482" spans="1:34" ht="9.75" customHeight="1" x14ac:dyDescent="0.2">
      <c r="A482" s="7" t="s">
        <v>37</v>
      </c>
      <c r="B482" s="7" t="s">
        <v>38</v>
      </c>
      <c r="C482" s="7"/>
      <c r="D482" s="7" t="s">
        <v>1243</v>
      </c>
      <c r="E482" s="8">
        <v>1</v>
      </c>
      <c r="F482" s="7" t="s">
        <v>41</v>
      </c>
      <c r="G482" s="7"/>
      <c r="H482" s="9"/>
      <c r="I482" s="10">
        <v>10544</v>
      </c>
      <c r="J482" s="9"/>
      <c r="K482" s="9"/>
      <c r="L482" s="10">
        <v>11100</v>
      </c>
      <c r="M482" s="9"/>
      <c r="N482" s="10">
        <v>11100</v>
      </c>
      <c r="O482" s="9"/>
      <c r="P482" s="10"/>
      <c r="Q482" s="10"/>
      <c r="R482" s="10"/>
      <c r="S482" s="7" t="s">
        <v>407</v>
      </c>
      <c r="T482" s="7" t="s">
        <v>73</v>
      </c>
      <c r="U482" s="7" t="s">
        <v>44</v>
      </c>
      <c r="V482" s="7" t="s">
        <v>45</v>
      </c>
      <c r="W482" s="7" t="s">
        <v>67</v>
      </c>
      <c r="X482" s="7" t="s">
        <v>68</v>
      </c>
      <c r="Y482" s="7" t="s">
        <v>1244</v>
      </c>
      <c r="Z482" s="7" t="s">
        <v>1245</v>
      </c>
      <c r="AA482" s="7"/>
      <c r="AB482" s="7"/>
      <c r="AC482" s="7" t="s">
        <v>64</v>
      </c>
      <c r="AD482" s="7"/>
      <c r="AE482" s="7"/>
      <c r="AF482" s="7" t="s">
        <v>50</v>
      </c>
      <c r="AG482" s="7" t="s">
        <v>67</v>
      </c>
      <c r="AH482" s="7" t="s">
        <v>71</v>
      </c>
    </row>
    <row r="483" spans="1:34" ht="9.75" customHeight="1" x14ac:dyDescent="0.2">
      <c r="A483" s="7" t="s">
        <v>37</v>
      </c>
      <c r="B483" s="7" t="s">
        <v>38</v>
      </c>
      <c r="C483" s="7"/>
      <c r="D483" s="7" t="s">
        <v>1246</v>
      </c>
      <c r="E483" s="8">
        <v>1</v>
      </c>
      <c r="F483" s="7" t="s">
        <v>41</v>
      </c>
      <c r="G483" s="7"/>
      <c r="H483" s="9"/>
      <c r="I483" s="10">
        <v>195</v>
      </c>
      <c r="J483" s="9"/>
      <c r="K483" s="9"/>
      <c r="L483" s="10">
        <v>212</v>
      </c>
      <c r="M483" s="9"/>
      <c r="N483" s="10">
        <v>212</v>
      </c>
      <c r="O483" s="9"/>
      <c r="P483" s="10"/>
      <c r="Q483" s="10"/>
      <c r="R483" s="10"/>
      <c r="S483" s="7" t="s">
        <v>407</v>
      </c>
      <c r="T483" s="7" t="s">
        <v>73</v>
      </c>
      <c r="U483" s="7" t="s">
        <v>44</v>
      </c>
      <c r="V483" s="7" t="s">
        <v>45</v>
      </c>
      <c r="W483" s="7" t="s">
        <v>67</v>
      </c>
      <c r="X483" s="7" t="s">
        <v>68</v>
      </c>
      <c r="Y483" s="7" t="s">
        <v>1247</v>
      </c>
      <c r="Z483" s="7" t="s">
        <v>1245</v>
      </c>
      <c r="AA483" s="7"/>
      <c r="AB483" s="7"/>
      <c r="AC483" s="7" t="s">
        <v>64</v>
      </c>
      <c r="AD483" s="7"/>
      <c r="AE483" s="7"/>
      <c r="AF483" s="7" t="s">
        <v>50</v>
      </c>
      <c r="AG483" s="7" t="s">
        <v>67</v>
      </c>
      <c r="AH483" s="7" t="s">
        <v>71</v>
      </c>
    </row>
    <row r="484" spans="1:34" ht="9.75" customHeight="1" x14ac:dyDescent="0.2">
      <c r="A484" s="7" t="s">
        <v>37</v>
      </c>
      <c r="B484" s="7" t="s">
        <v>38</v>
      </c>
      <c r="C484" s="7"/>
      <c r="D484" s="7" t="s">
        <v>1248</v>
      </c>
      <c r="E484" s="8">
        <v>1</v>
      </c>
      <c r="F484" s="7" t="s">
        <v>41</v>
      </c>
      <c r="G484" s="7"/>
      <c r="H484" s="9"/>
      <c r="I484" s="10">
        <v>202</v>
      </c>
      <c r="J484" s="9"/>
      <c r="K484" s="9"/>
      <c r="L484" s="10">
        <v>267</v>
      </c>
      <c r="M484" s="9"/>
      <c r="N484" s="10">
        <v>267</v>
      </c>
      <c r="O484" s="9"/>
      <c r="P484" s="10"/>
      <c r="Q484" s="10"/>
      <c r="R484" s="10"/>
      <c r="S484" s="7" t="s">
        <v>407</v>
      </c>
      <c r="T484" s="7" t="s">
        <v>73</v>
      </c>
      <c r="U484" s="7" t="s">
        <v>44</v>
      </c>
      <c r="V484" s="7" t="s">
        <v>45</v>
      </c>
      <c r="W484" s="7" t="s">
        <v>67</v>
      </c>
      <c r="X484" s="7" t="s">
        <v>68</v>
      </c>
      <c r="Y484" s="7" t="s">
        <v>1249</v>
      </c>
      <c r="Z484" s="7" t="s">
        <v>1245</v>
      </c>
      <c r="AA484" s="7"/>
      <c r="AB484" s="7"/>
      <c r="AC484" s="7" t="s">
        <v>64</v>
      </c>
      <c r="AD484" s="7"/>
      <c r="AE484" s="7"/>
      <c r="AF484" s="7" t="s">
        <v>50</v>
      </c>
      <c r="AG484" s="7" t="s">
        <v>67</v>
      </c>
      <c r="AH484" s="7" t="s">
        <v>71</v>
      </c>
    </row>
    <row r="485" spans="1:34" ht="9.75" customHeight="1" x14ac:dyDescent="0.2">
      <c r="A485" s="7" t="s">
        <v>37</v>
      </c>
      <c r="B485" s="7" t="s">
        <v>38</v>
      </c>
      <c r="C485" s="7"/>
      <c r="D485" s="7" t="s">
        <v>1250</v>
      </c>
      <c r="E485" s="8">
        <v>1</v>
      </c>
      <c r="F485" s="7" t="s">
        <v>41</v>
      </c>
      <c r="G485" s="7"/>
      <c r="H485" s="9"/>
      <c r="I485" s="10">
        <v>1407</v>
      </c>
      <c r="J485" s="9"/>
      <c r="K485" s="9"/>
      <c r="L485" s="10">
        <v>980</v>
      </c>
      <c r="M485" s="9"/>
      <c r="N485" s="10">
        <v>980</v>
      </c>
      <c r="O485" s="9"/>
      <c r="P485" s="10"/>
      <c r="Q485" s="10"/>
      <c r="R485" s="10"/>
      <c r="S485" s="7" t="s">
        <v>407</v>
      </c>
      <c r="T485" s="7" t="s">
        <v>73</v>
      </c>
      <c r="U485" s="7" t="s">
        <v>44</v>
      </c>
      <c r="V485" s="7" t="s">
        <v>45</v>
      </c>
      <c r="W485" s="7" t="s">
        <v>67</v>
      </c>
      <c r="X485" s="7" t="s">
        <v>68</v>
      </c>
      <c r="Y485" s="7" t="s">
        <v>1251</v>
      </c>
      <c r="Z485" s="7" t="s">
        <v>1245</v>
      </c>
      <c r="AA485" s="7"/>
      <c r="AB485" s="7"/>
      <c r="AC485" s="7" t="s">
        <v>64</v>
      </c>
      <c r="AD485" s="7"/>
      <c r="AE485" s="7"/>
      <c r="AF485" s="7" t="s">
        <v>50</v>
      </c>
      <c r="AG485" s="7" t="s">
        <v>67</v>
      </c>
      <c r="AH485" s="7" t="s">
        <v>71</v>
      </c>
    </row>
    <row r="486" spans="1:34" ht="9.75" customHeight="1" x14ac:dyDescent="0.2">
      <c r="A486" s="7" t="s">
        <v>37</v>
      </c>
      <c r="B486" s="7" t="s">
        <v>38</v>
      </c>
      <c r="C486" s="7"/>
      <c r="D486" s="7" t="s">
        <v>1252</v>
      </c>
      <c r="E486" s="8">
        <v>1</v>
      </c>
      <c r="F486" s="7" t="s">
        <v>41</v>
      </c>
      <c r="G486" s="7"/>
      <c r="H486" s="9"/>
      <c r="I486" s="10">
        <v>986</v>
      </c>
      <c r="J486" s="9"/>
      <c r="K486" s="9"/>
      <c r="L486" s="10">
        <v>168</v>
      </c>
      <c r="M486" s="9"/>
      <c r="N486" s="10">
        <v>168</v>
      </c>
      <c r="O486" s="9"/>
      <c r="P486" s="10"/>
      <c r="Q486" s="10"/>
      <c r="R486" s="10"/>
      <c r="S486" s="7" t="s">
        <v>407</v>
      </c>
      <c r="T486" s="7" t="s">
        <v>73</v>
      </c>
      <c r="U486" s="7" t="s">
        <v>44</v>
      </c>
      <c r="V486" s="7" t="s">
        <v>45</v>
      </c>
      <c r="W486" s="7" t="s">
        <v>67</v>
      </c>
      <c r="X486" s="7" t="s">
        <v>68</v>
      </c>
      <c r="Y486" s="7" t="s">
        <v>1253</v>
      </c>
      <c r="Z486" s="7" t="s">
        <v>1245</v>
      </c>
      <c r="AA486" s="7"/>
      <c r="AB486" s="7"/>
      <c r="AC486" s="7" t="s">
        <v>64</v>
      </c>
      <c r="AD486" s="7"/>
      <c r="AE486" s="7"/>
      <c r="AF486" s="7" t="s">
        <v>50</v>
      </c>
      <c r="AG486" s="7" t="s">
        <v>67</v>
      </c>
      <c r="AH486" s="7" t="s">
        <v>71</v>
      </c>
    </row>
    <row r="487" spans="1:34" ht="9.75" customHeight="1" x14ac:dyDescent="0.2">
      <c r="A487" s="7" t="s">
        <v>37</v>
      </c>
      <c r="B487" s="7" t="s">
        <v>38</v>
      </c>
      <c r="C487" s="7"/>
      <c r="D487" s="7" t="s">
        <v>1254</v>
      </c>
      <c r="E487" s="8">
        <v>1</v>
      </c>
      <c r="F487" s="7" t="s">
        <v>41</v>
      </c>
      <c r="G487" s="7"/>
      <c r="H487" s="9"/>
      <c r="I487" s="10">
        <v>796</v>
      </c>
      <c r="J487" s="9"/>
      <c r="K487" s="9"/>
      <c r="L487" s="10">
        <v>1177</v>
      </c>
      <c r="M487" s="9"/>
      <c r="N487" s="10">
        <v>1177</v>
      </c>
      <c r="O487" s="9"/>
      <c r="P487" s="10"/>
      <c r="Q487" s="10"/>
      <c r="R487" s="10"/>
      <c r="S487" s="7" t="s">
        <v>407</v>
      </c>
      <c r="T487" s="7" t="s">
        <v>73</v>
      </c>
      <c r="U487" s="7" t="s">
        <v>44</v>
      </c>
      <c r="V487" s="7" t="s">
        <v>45</v>
      </c>
      <c r="W487" s="7" t="s">
        <v>67</v>
      </c>
      <c r="X487" s="7" t="s">
        <v>68</v>
      </c>
      <c r="Y487" s="7" t="s">
        <v>1255</v>
      </c>
      <c r="Z487" s="7" t="s">
        <v>1245</v>
      </c>
      <c r="AA487" s="7"/>
      <c r="AB487" s="7"/>
      <c r="AC487" s="7" t="s">
        <v>64</v>
      </c>
      <c r="AD487" s="7"/>
      <c r="AE487" s="7"/>
      <c r="AF487" s="7" t="s">
        <v>50</v>
      </c>
      <c r="AG487" s="7" t="s">
        <v>67</v>
      </c>
      <c r="AH487" s="7" t="s">
        <v>71</v>
      </c>
    </row>
    <row r="488" spans="1:34" ht="9.75" customHeight="1" x14ac:dyDescent="0.2">
      <c r="A488" s="7" t="s">
        <v>37</v>
      </c>
      <c r="B488" s="7" t="s">
        <v>38</v>
      </c>
      <c r="C488" s="7"/>
      <c r="D488" s="7" t="s">
        <v>1256</v>
      </c>
      <c r="E488" s="8">
        <v>1</v>
      </c>
      <c r="F488" s="7" t="s">
        <v>41</v>
      </c>
      <c r="G488" s="7"/>
      <c r="H488" s="9"/>
      <c r="I488" s="10">
        <v>3771</v>
      </c>
      <c r="J488" s="9"/>
      <c r="K488" s="9"/>
      <c r="L488" s="10">
        <v>9747</v>
      </c>
      <c r="M488" s="9"/>
      <c r="N488" s="10">
        <v>9747</v>
      </c>
      <c r="O488" s="9"/>
      <c r="P488" s="10"/>
      <c r="Q488" s="10"/>
      <c r="R488" s="10"/>
      <c r="S488" s="7" t="s">
        <v>407</v>
      </c>
      <c r="T488" s="7" t="s">
        <v>73</v>
      </c>
      <c r="U488" s="7" t="s">
        <v>44</v>
      </c>
      <c r="V488" s="7" t="s">
        <v>45</v>
      </c>
      <c r="W488" s="7" t="s">
        <v>67</v>
      </c>
      <c r="X488" s="7" t="s">
        <v>68</v>
      </c>
      <c r="Y488" s="7" t="s">
        <v>1257</v>
      </c>
      <c r="Z488" s="7" t="s">
        <v>1258</v>
      </c>
      <c r="AA488" s="7"/>
      <c r="AB488" s="7"/>
      <c r="AC488" s="7" t="s">
        <v>64</v>
      </c>
      <c r="AD488" s="7"/>
      <c r="AE488" s="7"/>
      <c r="AF488" s="7" t="s">
        <v>50</v>
      </c>
      <c r="AG488" s="7" t="s">
        <v>67</v>
      </c>
      <c r="AH488" s="7" t="s">
        <v>71</v>
      </c>
    </row>
    <row r="489" spans="1:34" ht="9.75" customHeight="1" x14ac:dyDescent="0.2">
      <c r="A489" s="7" t="s">
        <v>37</v>
      </c>
      <c r="B489" s="7" t="s">
        <v>38</v>
      </c>
      <c r="C489" s="7"/>
      <c r="D489" s="7" t="s">
        <v>1259</v>
      </c>
      <c r="E489" s="8">
        <v>1</v>
      </c>
      <c r="F489" s="7" t="s">
        <v>41</v>
      </c>
      <c r="G489" s="7"/>
      <c r="H489" s="9"/>
      <c r="I489" s="10">
        <v>70</v>
      </c>
      <c r="J489" s="9"/>
      <c r="K489" s="9"/>
      <c r="L489" s="10">
        <v>666</v>
      </c>
      <c r="M489" s="9"/>
      <c r="N489" s="10">
        <v>666</v>
      </c>
      <c r="O489" s="9"/>
      <c r="P489" s="10"/>
      <c r="Q489" s="10"/>
      <c r="R489" s="10"/>
      <c r="S489" s="7" t="s">
        <v>407</v>
      </c>
      <c r="T489" s="7" t="s">
        <v>73</v>
      </c>
      <c r="U489" s="7" t="s">
        <v>44</v>
      </c>
      <c r="V489" s="7" t="s">
        <v>45</v>
      </c>
      <c r="W489" s="7" t="s">
        <v>67</v>
      </c>
      <c r="X489" s="7" t="s">
        <v>68</v>
      </c>
      <c r="Y489" s="7" t="s">
        <v>1260</v>
      </c>
      <c r="Z489" s="7" t="s">
        <v>1258</v>
      </c>
      <c r="AA489" s="7"/>
      <c r="AB489" s="7"/>
      <c r="AC489" s="7" t="s">
        <v>64</v>
      </c>
      <c r="AD489" s="7"/>
      <c r="AE489" s="7"/>
      <c r="AF489" s="7" t="s">
        <v>50</v>
      </c>
      <c r="AG489" s="7" t="s">
        <v>67</v>
      </c>
      <c r="AH489" s="7" t="s">
        <v>71</v>
      </c>
    </row>
    <row r="490" spans="1:34" ht="9.75" customHeight="1" x14ac:dyDescent="0.2">
      <c r="A490" s="7" t="s">
        <v>37</v>
      </c>
      <c r="B490" s="7" t="s">
        <v>38</v>
      </c>
      <c r="C490" s="7"/>
      <c r="D490" s="7" t="s">
        <v>1261</v>
      </c>
      <c r="E490" s="8">
        <v>1</v>
      </c>
      <c r="F490" s="7" t="s">
        <v>41</v>
      </c>
      <c r="G490" s="7"/>
      <c r="H490" s="9"/>
      <c r="I490" s="10">
        <v>491</v>
      </c>
      <c r="J490" s="9"/>
      <c r="K490" s="9"/>
      <c r="L490" s="10">
        <v>764</v>
      </c>
      <c r="M490" s="9"/>
      <c r="N490" s="10">
        <v>764</v>
      </c>
      <c r="O490" s="9"/>
      <c r="P490" s="10"/>
      <c r="Q490" s="10"/>
      <c r="R490" s="10"/>
      <c r="S490" s="7" t="s">
        <v>407</v>
      </c>
      <c r="T490" s="7" t="s">
        <v>73</v>
      </c>
      <c r="U490" s="7" t="s">
        <v>44</v>
      </c>
      <c r="V490" s="7" t="s">
        <v>45</v>
      </c>
      <c r="W490" s="7" t="s">
        <v>67</v>
      </c>
      <c r="X490" s="7" t="s">
        <v>68</v>
      </c>
      <c r="Y490" s="7" t="s">
        <v>1262</v>
      </c>
      <c r="Z490" s="7" t="s">
        <v>1258</v>
      </c>
      <c r="AA490" s="7"/>
      <c r="AB490" s="7"/>
      <c r="AC490" s="7" t="s">
        <v>64</v>
      </c>
      <c r="AD490" s="7"/>
      <c r="AE490" s="7"/>
      <c r="AF490" s="7" t="s">
        <v>50</v>
      </c>
      <c r="AG490" s="7" t="s">
        <v>67</v>
      </c>
      <c r="AH490" s="7" t="s">
        <v>71</v>
      </c>
    </row>
    <row r="491" spans="1:34" ht="9.75" customHeight="1" x14ac:dyDescent="0.2">
      <c r="A491" s="7" t="s">
        <v>37</v>
      </c>
      <c r="B491" s="7" t="s">
        <v>38</v>
      </c>
      <c r="C491" s="7"/>
      <c r="D491" s="7" t="s">
        <v>1263</v>
      </c>
      <c r="E491" s="8">
        <v>1</v>
      </c>
      <c r="F491" s="7" t="s">
        <v>41</v>
      </c>
      <c r="G491" s="7"/>
      <c r="H491" s="9"/>
      <c r="I491" s="10">
        <v>100</v>
      </c>
      <c r="J491" s="9"/>
      <c r="K491" s="9"/>
      <c r="L491" s="10">
        <v>176</v>
      </c>
      <c r="M491" s="9"/>
      <c r="N491" s="10">
        <v>176</v>
      </c>
      <c r="O491" s="9"/>
      <c r="P491" s="10"/>
      <c r="Q491" s="10"/>
      <c r="R491" s="10"/>
      <c r="S491" s="7" t="s">
        <v>407</v>
      </c>
      <c r="T491" s="7" t="s">
        <v>73</v>
      </c>
      <c r="U491" s="7" t="s">
        <v>44</v>
      </c>
      <c r="V491" s="7" t="s">
        <v>45</v>
      </c>
      <c r="W491" s="7" t="s">
        <v>67</v>
      </c>
      <c r="X491" s="7" t="s">
        <v>68</v>
      </c>
      <c r="Y491" s="7" t="s">
        <v>1264</v>
      </c>
      <c r="Z491" s="7" t="s">
        <v>1258</v>
      </c>
      <c r="AA491" s="7"/>
      <c r="AB491" s="7"/>
      <c r="AC491" s="7" t="s">
        <v>64</v>
      </c>
      <c r="AD491" s="7"/>
      <c r="AE491" s="7"/>
      <c r="AF491" s="7" t="s">
        <v>50</v>
      </c>
      <c r="AG491" s="7" t="s">
        <v>67</v>
      </c>
      <c r="AH491" s="7" t="s">
        <v>71</v>
      </c>
    </row>
    <row r="492" spans="1:34" ht="9.75" customHeight="1" x14ac:dyDescent="0.2">
      <c r="A492" s="7" t="s">
        <v>37</v>
      </c>
      <c r="B492" s="7" t="s">
        <v>38</v>
      </c>
      <c r="C492" s="7"/>
      <c r="D492" s="7" t="s">
        <v>1265</v>
      </c>
      <c r="E492" s="8">
        <v>1</v>
      </c>
      <c r="F492" s="7" t="s">
        <v>41</v>
      </c>
      <c r="G492" s="7"/>
      <c r="H492" s="9"/>
      <c r="I492" s="10">
        <v>616</v>
      </c>
      <c r="J492" s="9"/>
      <c r="K492" s="9"/>
      <c r="L492" s="10">
        <v>1161</v>
      </c>
      <c r="M492" s="9"/>
      <c r="N492" s="10">
        <v>1161</v>
      </c>
      <c r="O492" s="9"/>
      <c r="P492" s="10"/>
      <c r="Q492" s="10"/>
      <c r="R492" s="10"/>
      <c r="S492" s="7" t="s">
        <v>407</v>
      </c>
      <c r="T492" s="7" t="s">
        <v>73</v>
      </c>
      <c r="U492" s="7" t="s">
        <v>44</v>
      </c>
      <c r="V492" s="7" t="s">
        <v>45</v>
      </c>
      <c r="W492" s="7" t="s">
        <v>67</v>
      </c>
      <c r="X492" s="7" t="s">
        <v>68</v>
      </c>
      <c r="Y492" s="7" t="s">
        <v>1266</v>
      </c>
      <c r="Z492" s="7" t="s">
        <v>1258</v>
      </c>
      <c r="AA492" s="7"/>
      <c r="AB492" s="7"/>
      <c r="AC492" s="7" t="s">
        <v>64</v>
      </c>
      <c r="AD492" s="7"/>
      <c r="AE492" s="7"/>
      <c r="AF492" s="7" t="s">
        <v>50</v>
      </c>
      <c r="AG492" s="7" t="s">
        <v>67</v>
      </c>
      <c r="AH492" s="7" t="s">
        <v>71</v>
      </c>
    </row>
    <row r="493" spans="1:34" ht="9.75" customHeight="1" x14ac:dyDescent="0.2">
      <c r="A493" s="7" t="s">
        <v>37</v>
      </c>
      <c r="B493" s="7" t="s">
        <v>38</v>
      </c>
      <c r="C493" s="7"/>
      <c r="D493" s="7" t="s">
        <v>1267</v>
      </c>
      <c r="E493" s="8">
        <v>1</v>
      </c>
      <c r="F493" s="7" t="s">
        <v>41</v>
      </c>
      <c r="G493" s="7"/>
      <c r="H493" s="9"/>
      <c r="I493" s="10">
        <v>4553</v>
      </c>
      <c r="J493" s="9"/>
      <c r="K493" s="9"/>
      <c r="L493" s="10">
        <v>4553</v>
      </c>
      <c r="M493" s="9"/>
      <c r="N493" s="10">
        <v>4553</v>
      </c>
      <c r="O493" s="9"/>
      <c r="P493" s="10"/>
      <c r="Q493" s="10"/>
      <c r="R493" s="10"/>
      <c r="S493" s="7" t="s">
        <v>407</v>
      </c>
      <c r="T493" s="7" t="s">
        <v>73</v>
      </c>
      <c r="U493" s="7" t="s">
        <v>44</v>
      </c>
      <c r="V493" s="7" t="s">
        <v>45</v>
      </c>
      <c r="W493" s="7" t="s">
        <v>67</v>
      </c>
      <c r="X493" s="7" t="s">
        <v>68</v>
      </c>
      <c r="Y493" s="7" t="s">
        <v>1268</v>
      </c>
      <c r="Z493" s="7" t="s">
        <v>1269</v>
      </c>
      <c r="AA493" s="7"/>
      <c r="AB493" s="7"/>
      <c r="AC493" s="7" t="s">
        <v>64</v>
      </c>
      <c r="AD493" s="7"/>
      <c r="AE493" s="7"/>
      <c r="AF493" s="7" t="s">
        <v>50</v>
      </c>
      <c r="AG493" s="7" t="s">
        <v>67</v>
      </c>
      <c r="AH493" s="7" t="s">
        <v>71</v>
      </c>
    </row>
    <row r="494" spans="1:34" ht="9.75" customHeight="1" x14ac:dyDescent="0.2">
      <c r="A494" s="7" t="s">
        <v>37</v>
      </c>
      <c r="B494" s="7" t="s">
        <v>38</v>
      </c>
      <c r="C494" s="7"/>
      <c r="D494" s="7" t="s">
        <v>1270</v>
      </c>
      <c r="E494" s="8">
        <v>1</v>
      </c>
      <c r="F494" s="7" t="s">
        <v>41</v>
      </c>
      <c r="G494" s="7"/>
      <c r="H494" s="9"/>
      <c r="I494" s="10">
        <v>81</v>
      </c>
      <c r="J494" s="9"/>
      <c r="K494" s="9"/>
      <c r="L494" s="10">
        <v>10</v>
      </c>
      <c r="M494" s="9"/>
      <c r="N494" s="10">
        <v>10</v>
      </c>
      <c r="O494" s="9"/>
      <c r="P494" s="10"/>
      <c r="Q494" s="10"/>
      <c r="R494" s="10"/>
      <c r="S494" s="7" t="s">
        <v>407</v>
      </c>
      <c r="T494" s="7" t="s">
        <v>73</v>
      </c>
      <c r="U494" s="7" t="s">
        <v>44</v>
      </c>
      <c r="V494" s="7" t="s">
        <v>45</v>
      </c>
      <c r="W494" s="7" t="s">
        <v>67</v>
      </c>
      <c r="X494" s="7" t="s">
        <v>68</v>
      </c>
      <c r="Y494" s="7" t="s">
        <v>1271</v>
      </c>
      <c r="Z494" s="7" t="s">
        <v>1269</v>
      </c>
      <c r="AA494" s="7"/>
      <c r="AB494" s="7"/>
      <c r="AC494" s="7" t="s">
        <v>64</v>
      </c>
      <c r="AD494" s="7"/>
      <c r="AE494" s="7"/>
      <c r="AF494" s="7" t="s">
        <v>50</v>
      </c>
      <c r="AG494" s="7" t="s">
        <v>67</v>
      </c>
      <c r="AH494" s="7" t="s">
        <v>71</v>
      </c>
    </row>
    <row r="495" spans="1:34" ht="9.75" customHeight="1" x14ac:dyDescent="0.2">
      <c r="A495" s="7" t="s">
        <v>37</v>
      </c>
      <c r="B495" s="7" t="s">
        <v>38</v>
      </c>
      <c r="C495" s="7"/>
      <c r="D495" s="7" t="s">
        <v>1272</v>
      </c>
      <c r="E495" s="8">
        <v>1</v>
      </c>
      <c r="F495" s="7" t="s">
        <v>41</v>
      </c>
      <c r="G495" s="7"/>
      <c r="H495" s="9"/>
      <c r="I495" s="10">
        <v>164</v>
      </c>
      <c r="J495" s="9"/>
      <c r="K495" s="9"/>
      <c r="L495" s="10">
        <v>207</v>
      </c>
      <c r="M495" s="9"/>
      <c r="N495" s="10">
        <v>207</v>
      </c>
      <c r="O495" s="9"/>
      <c r="P495" s="10"/>
      <c r="Q495" s="10"/>
      <c r="R495" s="10"/>
      <c r="S495" s="7" t="s">
        <v>407</v>
      </c>
      <c r="T495" s="7" t="s">
        <v>73</v>
      </c>
      <c r="U495" s="7" t="s">
        <v>44</v>
      </c>
      <c r="V495" s="7" t="s">
        <v>45</v>
      </c>
      <c r="W495" s="7" t="s">
        <v>67</v>
      </c>
      <c r="X495" s="7" t="s">
        <v>68</v>
      </c>
      <c r="Y495" s="7" t="s">
        <v>1273</v>
      </c>
      <c r="Z495" s="7" t="s">
        <v>1269</v>
      </c>
      <c r="AA495" s="7"/>
      <c r="AB495" s="7"/>
      <c r="AC495" s="7" t="s">
        <v>64</v>
      </c>
      <c r="AD495" s="7"/>
      <c r="AE495" s="7"/>
      <c r="AF495" s="7" t="s">
        <v>50</v>
      </c>
      <c r="AG495" s="7" t="s">
        <v>67</v>
      </c>
      <c r="AH495" s="7" t="s">
        <v>71</v>
      </c>
    </row>
    <row r="496" spans="1:34" ht="9.75" customHeight="1" x14ac:dyDescent="0.2">
      <c r="A496" s="7" t="s">
        <v>37</v>
      </c>
      <c r="B496" s="7" t="s">
        <v>38</v>
      </c>
      <c r="C496" s="7"/>
      <c r="D496" s="7" t="s">
        <v>1274</v>
      </c>
      <c r="E496" s="8">
        <v>1</v>
      </c>
      <c r="F496" s="7" t="s">
        <v>41</v>
      </c>
      <c r="G496" s="7"/>
      <c r="H496" s="9"/>
      <c r="I496" s="10">
        <v>181</v>
      </c>
      <c r="J496" s="9"/>
      <c r="K496" s="9"/>
      <c r="L496" s="10">
        <v>396</v>
      </c>
      <c r="M496" s="9"/>
      <c r="N496" s="10">
        <v>396</v>
      </c>
      <c r="O496" s="9"/>
      <c r="P496" s="10"/>
      <c r="Q496" s="10"/>
      <c r="R496" s="10"/>
      <c r="S496" s="7" t="s">
        <v>407</v>
      </c>
      <c r="T496" s="7" t="s">
        <v>73</v>
      </c>
      <c r="U496" s="7" t="s">
        <v>44</v>
      </c>
      <c r="V496" s="7" t="s">
        <v>45</v>
      </c>
      <c r="W496" s="7" t="s">
        <v>67</v>
      </c>
      <c r="X496" s="7" t="s">
        <v>68</v>
      </c>
      <c r="Y496" s="7" t="s">
        <v>1275</v>
      </c>
      <c r="Z496" s="7" t="s">
        <v>1269</v>
      </c>
      <c r="AA496" s="7"/>
      <c r="AB496" s="7"/>
      <c r="AC496" s="7" t="s">
        <v>64</v>
      </c>
      <c r="AD496" s="7"/>
      <c r="AE496" s="7"/>
      <c r="AF496" s="7" t="s">
        <v>50</v>
      </c>
      <c r="AG496" s="7" t="s">
        <v>67</v>
      </c>
      <c r="AH496" s="7" t="s">
        <v>71</v>
      </c>
    </row>
    <row r="497" spans="1:34" ht="9.75" customHeight="1" x14ac:dyDescent="0.2">
      <c r="A497" s="7" t="s">
        <v>37</v>
      </c>
      <c r="B497" s="7" t="s">
        <v>38</v>
      </c>
      <c r="C497" s="7"/>
      <c r="D497" s="7" t="s">
        <v>1276</v>
      </c>
      <c r="E497" s="8">
        <v>1</v>
      </c>
      <c r="F497" s="7" t="s">
        <v>41</v>
      </c>
      <c r="G497" s="7"/>
      <c r="H497" s="9"/>
      <c r="I497" s="10">
        <v>231</v>
      </c>
      <c r="J497" s="9"/>
      <c r="K497" s="9"/>
      <c r="L497" s="10">
        <v>178</v>
      </c>
      <c r="M497" s="9"/>
      <c r="N497" s="10">
        <v>178</v>
      </c>
      <c r="O497" s="9"/>
      <c r="P497" s="10"/>
      <c r="Q497" s="10"/>
      <c r="R497" s="10"/>
      <c r="S497" s="7" t="s">
        <v>407</v>
      </c>
      <c r="T497" s="7" t="s">
        <v>73</v>
      </c>
      <c r="U497" s="7" t="s">
        <v>44</v>
      </c>
      <c r="V497" s="7" t="s">
        <v>45</v>
      </c>
      <c r="W497" s="7" t="s">
        <v>67</v>
      </c>
      <c r="X497" s="7" t="s">
        <v>68</v>
      </c>
      <c r="Y497" s="7" t="s">
        <v>1277</v>
      </c>
      <c r="Z497" s="7" t="s">
        <v>1269</v>
      </c>
      <c r="AA497" s="7"/>
      <c r="AB497" s="7"/>
      <c r="AC497" s="7" t="s">
        <v>64</v>
      </c>
      <c r="AD497" s="7"/>
      <c r="AE497" s="7"/>
      <c r="AF497" s="7" t="s">
        <v>50</v>
      </c>
      <c r="AG497" s="7" t="s">
        <v>67</v>
      </c>
      <c r="AH497" s="7" t="s">
        <v>71</v>
      </c>
    </row>
    <row r="498" spans="1:34" ht="9.75" customHeight="1" x14ac:dyDescent="0.2">
      <c r="A498" s="7" t="s">
        <v>37</v>
      </c>
      <c r="B498" s="7" t="s">
        <v>38</v>
      </c>
      <c r="C498" s="7"/>
      <c r="D498" s="7" t="s">
        <v>1278</v>
      </c>
      <c r="E498" s="8">
        <v>1</v>
      </c>
      <c r="F498" s="7" t="s">
        <v>41</v>
      </c>
      <c r="G498" s="7"/>
      <c r="H498" s="9"/>
      <c r="I498" s="9"/>
      <c r="J498" s="9"/>
      <c r="K498" s="9"/>
      <c r="L498" s="10">
        <v>9466</v>
      </c>
      <c r="M498" s="9"/>
      <c r="N498" s="10">
        <v>9466</v>
      </c>
      <c r="O498" s="9"/>
      <c r="P498" s="10"/>
      <c r="Q498" s="10"/>
      <c r="R498" s="10"/>
      <c r="S498" s="7" t="s">
        <v>407</v>
      </c>
      <c r="T498" s="7" t="s">
        <v>73</v>
      </c>
      <c r="U498" s="7" t="s">
        <v>44</v>
      </c>
      <c r="V498" s="7" t="s">
        <v>45</v>
      </c>
      <c r="W498" s="7" t="s">
        <v>67</v>
      </c>
      <c r="X498" s="7" t="s">
        <v>68</v>
      </c>
      <c r="Y498" s="7" t="s">
        <v>1279</v>
      </c>
      <c r="Z498" s="7" t="s">
        <v>1280</v>
      </c>
      <c r="AA498" s="7"/>
      <c r="AB498" s="7"/>
      <c r="AC498" s="7" t="s">
        <v>64</v>
      </c>
      <c r="AD498" s="7"/>
      <c r="AE498" s="7"/>
      <c r="AF498" s="7" t="s">
        <v>50</v>
      </c>
      <c r="AG498" s="7" t="s">
        <v>67</v>
      </c>
      <c r="AH498" s="7" t="s">
        <v>71</v>
      </c>
    </row>
    <row r="499" spans="1:34" ht="9.75" customHeight="1" x14ac:dyDescent="0.2">
      <c r="A499" s="7" t="s">
        <v>37</v>
      </c>
      <c r="B499" s="7" t="s">
        <v>38</v>
      </c>
      <c r="C499" s="7"/>
      <c r="D499" s="7" t="s">
        <v>1281</v>
      </c>
      <c r="E499" s="8">
        <v>1</v>
      </c>
      <c r="F499" s="7" t="s">
        <v>41</v>
      </c>
      <c r="G499" s="7"/>
      <c r="H499" s="9"/>
      <c r="I499" s="9"/>
      <c r="J499" s="9"/>
      <c r="K499" s="9"/>
      <c r="L499" s="10">
        <v>284</v>
      </c>
      <c r="M499" s="9"/>
      <c r="N499" s="10">
        <v>284</v>
      </c>
      <c r="O499" s="9"/>
      <c r="P499" s="10"/>
      <c r="Q499" s="10"/>
      <c r="R499" s="10"/>
      <c r="S499" s="7" t="s">
        <v>407</v>
      </c>
      <c r="T499" s="7" t="s">
        <v>73</v>
      </c>
      <c r="U499" s="7" t="s">
        <v>44</v>
      </c>
      <c r="V499" s="7" t="s">
        <v>45</v>
      </c>
      <c r="W499" s="7" t="s">
        <v>67</v>
      </c>
      <c r="X499" s="7" t="s">
        <v>68</v>
      </c>
      <c r="Y499" s="7" t="s">
        <v>1282</v>
      </c>
      <c r="Z499" s="7" t="s">
        <v>1280</v>
      </c>
      <c r="AA499" s="7"/>
      <c r="AB499" s="7"/>
      <c r="AC499" s="7" t="s">
        <v>64</v>
      </c>
      <c r="AD499" s="7"/>
      <c r="AE499" s="7"/>
      <c r="AF499" s="7" t="s">
        <v>50</v>
      </c>
      <c r="AG499" s="7" t="s">
        <v>67</v>
      </c>
      <c r="AH499" s="7" t="s">
        <v>71</v>
      </c>
    </row>
    <row r="500" spans="1:34" ht="9.75" customHeight="1" x14ac:dyDescent="0.2">
      <c r="A500" s="7" t="s">
        <v>37</v>
      </c>
      <c r="B500" s="7" t="s">
        <v>38</v>
      </c>
      <c r="C500" s="7"/>
      <c r="D500" s="7" t="s">
        <v>1283</v>
      </c>
      <c r="E500" s="8">
        <v>1</v>
      </c>
      <c r="F500" s="7" t="s">
        <v>41</v>
      </c>
      <c r="G500" s="7"/>
      <c r="H500" s="9"/>
      <c r="I500" s="9"/>
      <c r="J500" s="9"/>
      <c r="K500" s="9"/>
      <c r="L500" s="10">
        <v>89</v>
      </c>
      <c r="M500" s="9"/>
      <c r="N500" s="10">
        <v>89</v>
      </c>
      <c r="O500" s="9"/>
      <c r="P500" s="10"/>
      <c r="Q500" s="10"/>
      <c r="R500" s="10"/>
      <c r="S500" s="7" t="s">
        <v>407</v>
      </c>
      <c r="T500" s="7" t="s">
        <v>73</v>
      </c>
      <c r="U500" s="7" t="s">
        <v>44</v>
      </c>
      <c r="V500" s="7" t="s">
        <v>45</v>
      </c>
      <c r="W500" s="7" t="s">
        <v>67</v>
      </c>
      <c r="X500" s="7" t="s">
        <v>68</v>
      </c>
      <c r="Y500" s="7" t="s">
        <v>1284</v>
      </c>
      <c r="Z500" s="7" t="s">
        <v>1280</v>
      </c>
      <c r="AA500" s="7"/>
      <c r="AB500" s="7"/>
      <c r="AC500" s="7" t="s">
        <v>64</v>
      </c>
      <c r="AD500" s="7"/>
      <c r="AE500" s="7"/>
      <c r="AF500" s="7" t="s">
        <v>50</v>
      </c>
      <c r="AG500" s="7" t="s">
        <v>67</v>
      </c>
      <c r="AH500" s="7" t="s">
        <v>71</v>
      </c>
    </row>
    <row r="501" spans="1:34" ht="9.75" customHeight="1" x14ac:dyDescent="0.2">
      <c r="A501" s="7" t="s">
        <v>37</v>
      </c>
      <c r="B501" s="7" t="s">
        <v>38</v>
      </c>
      <c r="C501" s="7"/>
      <c r="D501" s="7" t="s">
        <v>1285</v>
      </c>
      <c r="E501" s="8">
        <v>1</v>
      </c>
      <c r="F501" s="7" t="s">
        <v>41</v>
      </c>
      <c r="G501" s="7"/>
      <c r="H501" s="9"/>
      <c r="I501" s="9"/>
      <c r="J501" s="9"/>
      <c r="K501" s="9"/>
      <c r="L501" s="10">
        <v>27</v>
      </c>
      <c r="M501" s="9"/>
      <c r="N501" s="10">
        <v>27</v>
      </c>
      <c r="O501" s="9"/>
      <c r="P501" s="10"/>
      <c r="Q501" s="10"/>
      <c r="R501" s="10"/>
      <c r="S501" s="7" t="s">
        <v>407</v>
      </c>
      <c r="T501" s="7" t="s">
        <v>73</v>
      </c>
      <c r="U501" s="7" t="s">
        <v>44</v>
      </c>
      <c r="V501" s="7" t="s">
        <v>45</v>
      </c>
      <c r="W501" s="7" t="s">
        <v>67</v>
      </c>
      <c r="X501" s="7" t="s">
        <v>68</v>
      </c>
      <c r="Y501" s="7" t="s">
        <v>1286</v>
      </c>
      <c r="Z501" s="7" t="s">
        <v>1280</v>
      </c>
      <c r="AA501" s="7"/>
      <c r="AB501" s="7"/>
      <c r="AC501" s="7" t="s">
        <v>64</v>
      </c>
      <c r="AD501" s="7"/>
      <c r="AE501" s="7"/>
      <c r="AF501" s="7" t="s">
        <v>50</v>
      </c>
      <c r="AG501" s="7" t="s">
        <v>67</v>
      </c>
      <c r="AH501" s="7" t="s">
        <v>71</v>
      </c>
    </row>
    <row r="502" spans="1:34" ht="9.75" customHeight="1" x14ac:dyDescent="0.2">
      <c r="A502" s="7" t="s">
        <v>37</v>
      </c>
      <c r="B502" s="7" t="s">
        <v>38</v>
      </c>
      <c r="C502" s="7"/>
      <c r="D502" s="7" t="s">
        <v>1287</v>
      </c>
      <c r="E502" s="8">
        <v>1</v>
      </c>
      <c r="F502" s="7" t="s">
        <v>41</v>
      </c>
      <c r="G502" s="7"/>
      <c r="H502" s="9"/>
      <c r="I502" s="10">
        <v>39423</v>
      </c>
      <c r="J502" s="9"/>
      <c r="K502" s="9"/>
      <c r="L502" s="10">
        <v>39504</v>
      </c>
      <c r="M502" s="9"/>
      <c r="N502" s="10">
        <v>39504</v>
      </c>
      <c r="O502" s="9"/>
      <c r="P502" s="10"/>
      <c r="Q502" s="10"/>
      <c r="R502" s="10"/>
      <c r="S502" s="7" t="s">
        <v>407</v>
      </c>
      <c r="T502" s="7" t="s">
        <v>73</v>
      </c>
      <c r="U502" s="7" t="s">
        <v>44</v>
      </c>
      <c r="V502" s="7" t="s">
        <v>45</v>
      </c>
      <c r="W502" s="7" t="s">
        <v>67</v>
      </c>
      <c r="X502" s="7" t="s">
        <v>68</v>
      </c>
      <c r="Y502" s="7" t="s">
        <v>1288</v>
      </c>
      <c r="Z502" s="7" t="s">
        <v>1289</v>
      </c>
      <c r="AA502" s="7"/>
      <c r="AB502" s="7"/>
      <c r="AC502" s="7" t="s">
        <v>64</v>
      </c>
      <c r="AD502" s="7"/>
      <c r="AE502" s="7"/>
      <c r="AF502" s="7" t="s">
        <v>50</v>
      </c>
      <c r="AG502" s="7" t="s">
        <v>67</v>
      </c>
      <c r="AH502" s="7" t="s">
        <v>71</v>
      </c>
    </row>
    <row r="503" spans="1:34" ht="9.75" customHeight="1" x14ac:dyDescent="0.2">
      <c r="A503" s="7" t="s">
        <v>37</v>
      </c>
      <c r="B503" s="7" t="s">
        <v>38</v>
      </c>
      <c r="C503" s="7"/>
      <c r="D503" s="7" t="s">
        <v>1290</v>
      </c>
      <c r="E503" s="8">
        <v>1</v>
      </c>
      <c r="F503" s="7" t="s">
        <v>41</v>
      </c>
      <c r="G503" s="7"/>
      <c r="H503" s="9"/>
      <c r="I503" s="10">
        <v>182</v>
      </c>
      <c r="J503" s="9"/>
      <c r="K503" s="9"/>
      <c r="L503" s="10">
        <v>396</v>
      </c>
      <c r="M503" s="9"/>
      <c r="N503" s="10">
        <v>396</v>
      </c>
      <c r="O503" s="9"/>
      <c r="P503" s="10"/>
      <c r="Q503" s="10"/>
      <c r="R503" s="10"/>
      <c r="S503" s="7" t="s">
        <v>407</v>
      </c>
      <c r="T503" s="7" t="s">
        <v>73</v>
      </c>
      <c r="U503" s="7" t="s">
        <v>44</v>
      </c>
      <c r="V503" s="7" t="s">
        <v>45</v>
      </c>
      <c r="W503" s="7" t="s">
        <v>67</v>
      </c>
      <c r="X503" s="7" t="s">
        <v>68</v>
      </c>
      <c r="Y503" s="7" t="s">
        <v>1291</v>
      </c>
      <c r="Z503" s="7" t="s">
        <v>1289</v>
      </c>
      <c r="AA503" s="7"/>
      <c r="AB503" s="7"/>
      <c r="AC503" s="7" t="s">
        <v>64</v>
      </c>
      <c r="AD503" s="7"/>
      <c r="AE503" s="7"/>
      <c r="AF503" s="7" t="s">
        <v>50</v>
      </c>
      <c r="AG503" s="7" t="s">
        <v>67</v>
      </c>
      <c r="AH503" s="7" t="s">
        <v>71</v>
      </c>
    </row>
    <row r="504" spans="1:34" ht="9.75" customHeight="1" x14ac:dyDescent="0.2">
      <c r="A504" s="7" t="s">
        <v>37</v>
      </c>
      <c r="B504" s="7" t="s">
        <v>38</v>
      </c>
      <c r="C504" s="7"/>
      <c r="D504" s="7" t="s">
        <v>1292</v>
      </c>
      <c r="E504" s="8">
        <v>1</v>
      </c>
      <c r="F504" s="7" t="s">
        <v>41</v>
      </c>
      <c r="G504" s="7"/>
      <c r="H504" s="9"/>
      <c r="I504" s="9"/>
      <c r="J504" s="9"/>
      <c r="K504" s="9"/>
      <c r="L504" s="10">
        <v>5925</v>
      </c>
      <c r="M504" s="9"/>
      <c r="N504" s="10">
        <v>5925</v>
      </c>
      <c r="O504" s="9"/>
      <c r="P504" s="10"/>
      <c r="Q504" s="10"/>
      <c r="R504" s="10"/>
      <c r="S504" s="7" t="s">
        <v>407</v>
      </c>
      <c r="T504" s="7" t="s">
        <v>73</v>
      </c>
      <c r="U504" s="7" t="s">
        <v>44</v>
      </c>
      <c r="V504" s="7" t="s">
        <v>45</v>
      </c>
      <c r="W504" s="7" t="s">
        <v>67</v>
      </c>
      <c r="X504" s="7" t="s">
        <v>68</v>
      </c>
      <c r="Y504" s="7" t="s">
        <v>1293</v>
      </c>
      <c r="Z504" s="7" t="s">
        <v>1294</v>
      </c>
      <c r="AA504" s="7"/>
      <c r="AB504" s="7"/>
      <c r="AC504" s="7" t="s">
        <v>64</v>
      </c>
      <c r="AD504" s="7"/>
      <c r="AE504" s="7"/>
      <c r="AF504" s="7" t="s">
        <v>50</v>
      </c>
      <c r="AG504" s="7" t="s">
        <v>67</v>
      </c>
      <c r="AH504" s="7" t="s">
        <v>71</v>
      </c>
    </row>
    <row r="505" spans="1:34" ht="9.75" customHeight="1" x14ac:dyDescent="0.2">
      <c r="A505" s="7" t="s">
        <v>37</v>
      </c>
      <c r="B505" s="7" t="s">
        <v>38</v>
      </c>
      <c r="C505" s="7"/>
      <c r="D505" s="7" t="s">
        <v>1295</v>
      </c>
      <c r="E505" s="8">
        <v>1</v>
      </c>
      <c r="F505" s="7" t="s">
        <v>41</v>
      </c>
      <c r="G505" s="7"/>
      <c r="H505" s="9"/>
      <c r="I505" s="9"/>
      <c r="J505" s="9"/>
      <c r="K505" s="9"/>
      <c r="L505" s="10">
        <v>66</v>
      </c>
      <c r="M505" s="9"/>
      <c r="N505" s="10">
        <v>66</v>
      </c>
      <c r="O505" s="9"/>
      <c r="P505" s="10"/>
      <c r="Q505" s="10"/>
      <c r="R505" s="10"/>
      <c r="S505" s="7" t="s">
        <v>407</v>
      </c>
      <c r="T505" s="7" t="s">
        <v>73</v>
      </c>
      <c r="U505" s="7" t="s">
        <v>44</v>
      </c>
      <c r="V505" s="7" t="s">
        <v>45</v>
      </c>
      <c r="W505" s="7" t="s">
        <v>67</v>
      </c>
      <c r="X505" s="7" t="s">
        <v>68</v>
      </c>
      <c r="Y505" s="7" t="s">
        <v>1296</v>
      </c>
      <c r="Z505" s="7" t="s">
        <v>1294</v>
      </c>
      <c r="AA505" s="7"/>
      <c r="AB505" s="7"/>
      <c r="AC505" s="7" t="s">
        <v>64</v>
      </c>
      <c r="AD505" s="7"/>
      <c r="AE505" s="7"/>
      <c r="AF505" s="7" t="s">
        <v>50</v>
      </c>
      <c r="AG505" s="7" t="s">
        <v>67</v>
      </c>
      <c r="AH505" s="7" t="s">
        <v>71</v>
      </c>
    </row>
    <row r="506" spans="1:34" ht="9.75" customHeight="1" x14ac:dyDescent="0.2">
      <c r="A506" s="7" t="s">
        <v>37</v>
      </c>
      <c r="B506" s="7" t="s">
        <v>38</v>
      </c>
      <c r="C506" s="7"/>
      <c r="D506" s="7" t="s">
        <v>1297</v>
      </c>
      <c r="E506" s="8">
        <v>1</v>
      </c>
      <c r="F506" s="7" t="s">
        <v>41</v>
      </c>
      <c r="G506" s="7"/>
      <c r="H506" s="9"/>
      <c r="I506" s="9"/>
      <c r="J506" s="9"/>
      <c r="K506" s="9"/>
      <c r="L506" s="10">
        <v>54</v>
      </c>
      <c r="M506" s="9"/>
      <c r="N506" s="10">
        <v>54</v>
      </c>
      <c r="O506" s="9"/>
      <c r="P506" s="10"/>
      <c r="Q506" s="10"/>
      <c r="R506" s="10"/>
      <c r="S506" s="7" t="s">
        <v>407</v>
      </c>
      <c r="T506" s="7" t="s">
        <v>73</v>
      </c>
      <c r="U506" s="7" t="s">
        <v>44</v>
      </c>
      <c r="V506" s="7" t="s">
        <v>45</v>
      </c>
      <c r="W506" s="7" t="s">
        <v>67</v>
      </c>
      <c r="X506" s="7" t="s">
        <v>68</v>
      </c>
      <c r="Y506" s="7" t="s">
        <v>1298</v>
      </c>
      <c r="Z506" s="7" t="s">
        <v>1294</v>
      </c>
      <c r="AA506" s="7"/>
      <c r="AB506" s="7"/>
      <c r="AC506" s="7" t="s">
        <v>64</v>
      </c>
      <c r="AD506" s="7"/>
      <c r="AE506" s="7"/>
      <c r="AF506" s="7" t="s">
        <v>50</v>
      </c>
      <c r="AG506" s="7" t="s">
        <v>67</v>
      </c>
      <c r="AH506" s="7" t="s">
        <v>71</v>
      </c>
    </row>
    <row r="507" spans="1:34" ht="9.75" customHeight="1" x14ac:dyDescent="0.2">
      <c r="A507" s="7" t="s">
        <v>37</v>
      </c>
      <c r="B507" s="7" t="s">
        <v>38</v>
      </c>
      <c r="C507" s="7"/>
      <c r="D507" s="7" t="s">
        <v>1299</v>
      </c>
      <c r="E507" s="8">
        <v>1</v>
      </c>
      <c r="F507" s="7" t="s">
        <v>41</v>
      </c>
      <c r="G507" s="7"/>
      <c r="H507" s="9"/>
      <c r="I507" s="9"/>
      <c r="J507" s="9"/>
      <c r="K507" s="9"/>
      <c r="L507" s="10">
        <v>77</v>
      </c>
      <c r="M507" s="9"/>
      <c r="N507" s="10">
        <v>77</v>
      </c>
      <c r="O507" s="9"/>
      <c r="P507" s="10"/>
      <c r="Q507" s="10"/>
      <c r="R507" s="10"/>
      <c r="S507" s="7" t="s">
        <v>407</v>
      </c>
      <c r="T507" s="7" t="s">
        <v>73</v>
      </c>
      <c r="U507" s="7" t="s">
        <v>44</v>
      </c>
      <c r="V507" s="7" t="s">
        <v>45</v>
      </c>
      <c r="W507" s="7" t="s">
        <v>67</v>
      </c>
      <c r="X507" s="7" t="s">
        <v>68</v>
      </c>
      <c r="Y507" s="7" t="s">
        <v>1300</v>
      </c>
      <c r="Z507" s="7" t="s">
        <v>1294</v>
      </c>
      <c r="AA507" s="7"/>
      <c r="AB507" s="7"/>
      <c r="AC507" s="7" t="s">
        <v>64</v>
      </c>
      <c r="AD507" s="7"/>
      <c r="AE507" s="7"/>
      <c r="AF507" s="7" t="s">
        <v>50</v>
      </c>
      <c r="AG507" s="7" t="s">
        <v>67</v>
      </c>
      <c r="AH507" s="7" t="s">
        <v>71</v>
      </c>
    </row>
    <row r="508" spans="1:34" ht="9.75" customHeight="1" x14ac:dyDescent="0.2">
      <c r="A508" s="7" t="s">
        <v>37</v>
      </c>
      <c r="B508" s="7" t="s">
        <v>38</v>
      </c>
      <c r="C508" s="7"/>
      <c r="D508" s="7" t="s">
        <v>1301</v>
      </c>
      <c r="E508" s="8">
        <v>1</v>
      </c>
      <c r="F508" s="7" t="s">
        <v>41</v>
      </c>
      <c r="G508" s="7"/>
      <c r="H508" s="9"/>
      <c r="I508" s="9"/>
      <c r="J508" s="9"/>
      <c r="K508" s="9"/>
      <c r="L508" s="10">
        <v>6396</v>
      </c>
      <c r="M508" s="9"/>
      <c r="N508" s="10">
        <v>6396</v>
      </c>
      <c r="O508" s="9"/>
      <c r="P508" s="10"/>
      <c r="Q508" s="10"/>
      <c r="R508" s="10"/>
      <c r="S508" s="7" t="s">
        <v>407</v>
      </c>
      <c r="T508" s="7" t="s">
        <v>73</v>
      </c>
      <c r="U508" s="7" t="s">
        <v>44</v>
      </c>
      <c r="V508" s="7" t="s">
        <v>45</v>
      </c>
      <c r="W508" s="7" t="s">
        <v>67</v>
      </c>
      <c r="X508" s="7" t="s">
        <v>68</v>
      </c>
      <c r="Y508" s="7" t="s">
        <v>1302</v>
      </c>
      <c r="Z508" s="7" t="s">
        <v>1303</v>
      </c>
      <c r="AA508" s="7"/>
      <c r="AB508" s="7"/>
      <c r="AC508" s="7" t="s">
        <v>64</v>
      </c>
      <c r="AD508" s="7"/>
      <c r="AE508" s="7"/>
      <c r="AF508" s="7" t="s">
        <v>50</v>
      </c>
      <c r="AG508" s="7" t="s">
        <v>67</v>
      </c>
      <c r="AH508" s="7" t="s">
        <v>71</v>
      </c>
    </row>
    <row r="509" spans="1:34" ht="9.75" customHeight="1" x14ac:dyDescent="0.2">
      <c r="A509" s="7" t="s">
        <v>37</v>
      </c>
      <c r="B509" s="7" t="s">
        <v>38</v>
      </c>
      <c r="C509" s="7"/>
      <c r="D509" s="7" t="s">
        <v>1304</v>
      </c>
      <c r="E509" s="8">
        <v>1</v>
      </c>
      <c r="F509" s="7" t="s">
        <v>41</v>
      </c>
      <c r="G509" s="7"/>
      <c r="H509" s="9"/>
      <c r="I509" s="9"/>
      <c r="J509" s="9"/>
      <c r="K509" s="9"/>
      <c r="L509" s="10">
        <v>854</v>
      </c>
      <c r="M509" s="9"/>
      <c r="N509" s="10">
        <v>854</v>
      </c>
      <c r="O509" s="9"/>
      <c r="P509" s="10"/>
      <c r="Q509" s="10"/>
      <c r="R509" s="10"/>
      <c r="S509" s="7" t="s">
        <v>407</v>
      </c>
      <c r="T509" s="7" t="s">
        <v>73</v>
      </c>
      <c r="U509" s="7" t="s">
        <v>44</v>
      </c>
      <c r="V509" s="7" t="s">
        <v>45</v>
      </c>
      <c r="W509" s="7" t="s">
        <v>67</v>
      </c>
      <c r="X509" s="7" t="s">
        <v>68</v>
      </c>
      <c r="Y509" s="7" t="s">
        <v>1305</v>
      </c>
      <c r="Z509" s="7" t="s">
        <v>1303</v>
      </c>
      <c r="AA509" s="7"/>
      <c r="AB509" s="7"/>
      <c r="AC509" s="7" t="s">
        <v>64</v>
      </c>
      <c r="AD509" s="7"/>
      <c r="AE509" s="7"/>
      <c r="AF509" s="7" t="s">
        <v>50</v>
      </c>
      <c r="AG509" s="7" t="s">
        <v>67</v>
      </c>
      <c r="AH509" s="7" t="s">
        <v>71</v>
      </c>
    </row>
    <row r="510" spans="1:34" ht="9.75" customHeight="1" x14ac:dyDescent="0.2">
      <c r="A510" s="7" t="s">
        <v>37</v>
      </c>
      <c r="B510" s="7" t="s">
        <v>38</v>
      </c>
      <c r="C510" s="7"/>
      <c r="D510" s="7" t="s">
        <v>1306</v>
      </c>
      <c r="E510" s="8">
        <v>1</v>
      </c>
      <c r="F510" s="7" t="s">
        <v>41</v>
      </c>
      <c r="G510" s="7"/>
      <c r="H510" s="9"/>
      <c r="I510" s="9"/>
      <c r="J510" s="9"/>
      <c r="K510" s="9"/>
      <c r="L510" s="10">
        <v>250</v>
      </c>
      <c r="M510" s="9"/>
      <c r="N510" s="10">
        <v>250</v>
      </c>
      <c r="O510" s="9"/>
      <c r="P510" s="10"/>
      <c r="Q510" s="10"/>
      <c r="R510" s="10"/>
      <c r="S510" s="7" t="s">
        <v>407</v>
      </c>
      <c r="T510" s="7" t="s">
        <v>73</v>
      </c>
      <c r="U510" s="7" t="s">
        <v>44</v>
      </c>
      <c r="V510" s="7" t="s">
        <v>45</v>
      </c>
      <c r="W510" s="7" t="s">
        <v>67</v>
      </c>
      <c r="X510" s="7" t="s">
        <v>68</v>
      </c>
      <c r="Y510" s="7" t="s">
        <v>1307</v>
      </c>
      <c r="Z510" s="7" t="s">
        <v>1303</v>
      </c>
      <c r="AA510" s="7"/>
      <c r="AB510" s="7"/>
      <c r="AC510" s="7" t="s">
        <v>64</v>
      </c>
      <c r="AD510" s="7"/>
      <c r="AE510" s="7"/>
      <c r="AF510" s="7" t="s">
        <v>50</v>
      </c>
      <c r="AG510" s="7" t="s">
        <v>67</v>
      </c>
      <c r="AH510" s="7" t="s">
        <v>71</v>
      </c>
    </row>
    <row r="511" spans="1:34" ht="9.75" customHeight="1" x14ac:dyDescent="0.2">
      <c r="A511" s="7" t="s">
        <v>37</v>
      </c>
      <c r="B511" s="7" t="s">
        <v>38</v>
      </c>
      <c r="C511" s="7"/>
      <c r="D511" s="7" t="s">
        <v>1308</v>
      </c>
      <c r="E511" s="8">
        <v>1</v>
      </c>
      <c r="F511" s="7" t="s">
        <v>41</v>
      </c>
      <c r="G511" s="7"/>
      <c r="H511" s="9"/>
      <c r="I511" s="9"/>
      <c r="J511" s="9"/>
      <c r="K511" s="9"/>
      <c r="L511" s="10">
        <v>244</v>
      </c>
      <c r="M511" s="9"/>
      <c r="N511" s="10">
        <v>244</v>
      </c>
      <c r="O511" s="9"/>
      <c r="P511" s="10"/>
      <c r="Q511" s="10"/>
      <c r="R511" s="10"/>
      <c r="S511" s="7" t="s">
        <v>407</v>
      </c>
      <c r="T511" s="7" t="s">
        <v>73</v>
      </c>
      <c r="U511" s="7" t="s">
        <v>44</v>
      </c>
      <c r="V511" s="7" t="s">
        <v>45</v>
      </c>
      <c r="W511" s="7" t="s">
        <v>67</v>
      </c>
      <c r="X511" s="7" t="s">
        <v>68</v>
      </c>
      <c r="Y511" s="7" t="s">
        <v>1309</v>
      </c>
      <c r="Z511" s="7" t="s">
        <v>1303</v>
      </c>
      <c r="AA511" s="7"/>
      <c r="AB511" s="7"/>
      <c r="AC511" s="7" t="s">
        <v>64</v>
      </c>
      <c r="AD511" s="7"/>
      <c r="AE511" s="7"/>
      <c r="AF511" s="7" t="s">
        <v>50</v>
      </c>
      <c r="AG511" s="7" t="s">
        <v>67</v>
      </c>
      <c r="AH511" s="7" t="s">
        <v>71</v>
      </c>
    </row>
    <row r="512" spans="1:34" ht="9.75" customHeight="1" x14ac:dyDescent="0.2">
      <c r="A512" s="7" t="s">
        <v>37</v>
      </c>
      <c r="B512" s="7" t="s">
        <v>38</v>
      </c>
      <c r="C512" s="7"/>
      <c r="D512" s="7" t="s">
        <v>1310</v>
      </c>
      <c r="E512" s="8">
        <v>1</v>
      </c>
      <c r="F512" s="7" t="s">
        <v>41</v>
      </c>
      <c r="G512" s="7"/>
      <c r="H512" s="9"/>
      <c r="I512" s="9"/>
      <c r="J512" s="9"/>
      <c r="K512" s="9"/>
      <c r="L512" s="10">
        <v>619</v>
      </c>
      <c r="M512" s="9"/>
      <c r="N512" s="10">
        <v>619</v>
      </c>
      <c r="O512" s="9"/>
      <c r="P512" s="10"/>
      <c r="Q512" s="10"/>
      <c r="R512" s="10"/>
      <c r="S512" s="7" t="s">
        <v>407</v>
      </c>
      <c r="T512" s="7" t="s">
        <v>73</v>
      </c>
      <c r="U512" s="7" t="s">
        <v>44</v>
      </c>
      <c r="V512" s="7" t="s">
        <v>45</v>
      </c>
      <c r="W512" s="7" t="s">
        <v>67</v>
      </c>
      <c r="X512" s="7" t="s">
        <v>68</v>
      </c>
      <c r="Y512" s="7" t="s">
        <v>1311</v>
      </c>
      <c r="Z512" s="7" t="s">
        <v>1303</v>
      </c>
      <c r="AA512" s="7"/>
      <c r="AB512" s="7"/>
      <c r="AC512" s="7" t="s">
        <v>64</v>
      </c>
      <c r="AD512" s="7"/>
      <c r="AE512" s="7"/>
      <c r="AF512" s="7" t="s">
        <v>50</v>
      </c>
      <c r="AG512" s="7" t="s">
        <v>67</v>
      </c>
      <c r="AH512" s="7" t="s">
        <v>71</v>
      </c>
    </row>
    <row r="513" spans="1:34" ht="9.75" customHeight="1" x14ac:dyDescent="0.2">
      <c r="A513" s="7" t="s">
        <v>37</v>
      </c>
      <c r="B513" s="7" t="s">
        <v>38</v>
      </c>
      <c r="C513" s="7"/>
      <c r="D513" s="7" t="s">
        <v>1312</v>
      </c>
      <c r="E513" s="8">
        <v>1</v>
      </c>
      <c r="F513" s="7" t="s">
        <v>41</v>
      </c>
      <c r="G513" s="7"/>
      <c r="H513" s="9"/>
      <c r="I513" s="9"/>
      <c r="J513" s="9"/>
      <c r="K513" s="9"/>
      <c r="L513" s="10">
        <v>4864</v>
      </c>
      <c r="M513" s="9"/>
      <c r="N513" s="10">
        <v>4864</v>
      </c>
      <c r="O513" s="9"/>
      <c r="P513" s="10"/>
      <c r="Q513" s="10"/>
      <c r="R513" s="10"/>
      <c r="S513" s="7" t="s">
        <v>407</v>
      </c>
      <c r="T513" s="7" t="s">
        <v>73</v>
      </c>
      <c r="U513" s="7" t="s">
        <v>44</v>
      </c>
      <c r="V513" s="7" t="s">
        <v>45</v>
      </c>
      <c r="W513" s="7" t="s">
        <v>67</v>
      </c>
      <c r="X513" s="7" t="s">
        <v>68</v>
      </c>
      <c r="Y513" s="7" t="s">
        <v>1313</v>
      </c>
      <c r="Z513" s="7" t="s">
        <v>1314</v>
      </c>
      <c r="AA513" s="7"/>
      <c r="AB513" s="7"/>
      <c r="AC513" s="7" t="s">
        <v>1315</v>
      </c>
      <c r="AD513" s="7"/>
      <c r="AE513" s="7"/>
      <c r="AF513" s="7" t="s">
        <v>1316</v>
      </c>
      <c r="AG513" s="7" t="s">
        <v>1317</v>
      </c>
      <c r="AH513" s="7"/>
    </row>
    <row r="514" spans="1:34" ht="9.75" customHeight="1" x14ac:dyDescent="0.2">
      <c r="A514" s="7" t="s">
        <v>37</v>
      </c>
      <c r="B514" s="7" t="s">
        <v>38</v>
      </c>
      <c r="C514" s="7"/>
      <c r="D514" s="7" t="s">
        <v>1318</v>
      </c>
      <c r="E514" s="8">
        <v>1</v>
      </c>
      <c r="F514" s="7" t="s">
        <v>41</v>
      </c>
      <c r="G514" s="7"/>
      <c r="H514" s="9"/>
      <c r="I514" s="9"/>
      <c r="J514" s="9"/>
      <c r="K514" s="9"/>
      <c r="L514" s="10">
        <v>150</v>
      </c>
      <c r="M514" s="9"/>
      <c r="N514" s="10">
        <v>150</v>
      </c>
      <c r="O514" s="9"/>
      <c r="P514" s="10"/>
      <c r="Q514" s="10"/>
      <c r="R514" s="10"/>
      <c r="S514" s="7" t="s">
        <v>407</v>
      </c>
      <c r="T514" s="7" t="s">
        <v>73</v>
      </c>
      <c r="U514" s="7" t="s">
        <v>44</v>
      </c>
      <c r="V514" s="7" t="s">
        <v>45</v>
      </c>
      <c r="W514" s="7" t="s">
        <v>67</v>
      </c>
      <c r="X514" s="7" t="s">
        <v>68</v>
      </c>
      <c r="Y514" s="7" t="s">
        <v>1319</v>
      </c>
      <c r="Z514" s="7" t="s">
        <v>1314</v>
      </c>
      <c r="AA514" s="7"/>
      <c r="AB514" s="7"/>
      <c r="AC514" s="7" t="s">
        <v>64</v>
      </c>
      <c r="AD514" s="7"/>
      <c r="AE514" s="7"/>
      <c r="AF514" s="7" t="s">
        <v>50</v>
      </c>
      <c r="AG514" s="7" t="s">
        <v>67</v>
      </c>
      <c r="AH514" s="7" t="s">
        <v>71</v>
      </c>
    </row>
    <row r="515" spans="1:34" ht="9.75" customHeight="1" x14ac:dyDescent="0.2">
      <c r="A515" s="7" t="s">
        <v>37</v>
      </c>
      <c r="B515" s="7" t="s">
        <v>38</v>
      </c>
      <c r="C515" s="7"/>
      <c r="D515" s="7" t="s">
        <v>1320</v>
      </c>
      <c r="E515" s="8">
        <v>1</v>
      </c>
      <c r="F515" s="7" t="s">
        <v>41</v>
      </c>
      <c r="G515" s="7"/>
      <c r="H515" s="9"/>
      <c r="I515" s="9"/>
      <c r="J515" s="9"/>
      <c r="K515" s="9"/>
      <c r="L515" s="10">
        <v>600</v>
      </c>
      <c r="M515" s="9"/>
      <c r="N515" s="10">
        <v>600</v>
      </c>
      <c r="O515" s="9"/>
      <c r="P515" s="10"/>
      <c r="Q515" s="10"/>
      <c r="R515" s="10"/>
      <c r="S515" s="7" t="s">
        <v>407</v>
      </c>
      <c r="T515" s="7" t="s">
        <v>73</v>
      </c>
      <c r="U515" s="7" t="s">
        <v>44</v>
      </c>
      <c r="V515" s="7" t="s">
        <v>45</v>
      </c>
      <c r="W515" s="7" t="s">
        <v>67</v>
      </c>
      <c r="X515" s="7" t="s">
        <v>68</v>
      </c>
      <c r="Y515" s="7" t="s">
        <v>1321</v>
      </c>
      <c r="Z515" s="7" t="s">
        <v>1314</v>
      </c>
      <c r="AA515" s="7"/>
      <c r="AB515" s="7"/>
      <c r="AC515" s="7" t="s">
        <v>64</v>
      </c>
      <c r="AD515" s="7"/>
      <c r="AE515" s="7"/>
      <c r="AF515" s="7" t="s">
        <v>50</v>
      </c>
      <c r="AG515" s="7" t="s">
        <v>67</v>
      </c>
      <c r="AH515" s="7" t="s">
        <v>71</v>
      </c>
    </row>
    <row r="516" spans="1:34" ht="9.75" customHeight="1" x14ac:dyDescent="0.2">
      <c r="A516" s="7" t="s">
        <v>37</v>
      </c>
      <c r="B516" s="7" t="s">
        <v>38</v>
      </c>
      <c r="C516" s="7"/>
      <c r="D516" s="7" t="s">
        <v>1322</v>
      </c>
      <c r="E516" s="8">
        <v>1</v>
      </c>
      <c r="F516" s="7" t="s">
        <v>41</v>
      </c>
      <c r="G516" s="7"/>
      <c r="H516" s="9"/>
      <c r="I516" s="9"/>
      <c r="J516" s="9"/>
      <c r="K516" s="9"/>
      <c r="L516" s="10">
        <v>2701</v>
      </c>
      <c r="M516" s="9"/>
      <c r="N516" s="10">
        <v>2701</v>
      </c>
      <c r="O516" s="9"/>
      <c r="P516" s="10"/>
      <c r="Q516" s="10"/>
      <c r="R516" s="10"/>
      <c r="S516" s="7" t="s">
        <v>407</v>
      </c>
      <c r="T516" s="7" t="s">
        <v>73</v>
      </c>
      <c r="U516" s="7" t="s">
        <v>44</v>
      </c>
      <c r="V516" s="7" t="s">
        <v>45</v>
      </c>
      <c r="W516" s="7" t="s">
        <v>67</v>
      </c>
      <c r="X516" s="7" t="s">
        <v>68</v>
      </c>
      <c r="Y516" s="7" t="s">
        <v>1323</v>
      </c>
      <c r="Z516" s="7" t="s">
        <v>1314</v>
      </c>
      <c r="AA516" s="7"/>
      <c r="AB516" s="7"/>
      <c r="AC516" s="7" t="s">
        <v>64</v>
      </c>
      <c r="AD516" s="7"/>
      <c r="AE516" s="7"/>
      <c r="AF516" s="7" t="s">
        <v>50</v>
      </c>
      <c r="AG516" s="7" t="s">
        <v>67</v>
      </c>
      <c r="AH516" s="7" t="s">
        <v>71</v>
      </c>
    </row>
    <row r="517" spans="1:34" ht="9.75" customHeight="1" x14ac:dyDescent="0.2">
      <c r="A517" s="7" t="s">
        <v>37</v>
      </c>
      <c r="B517" s="7" t="s">
        <v>38</v>
      </c>
      <c r="C517" s="7"/>
      <c r="D517" s="7" t="s">
        <v>1324</v>
      </c>
      <c r="E517" s="8">
        <v>1</v>
      </c>
      <c r="F517" s="7" t="s">
        <v>41</v>
      </c>
      <c r="G517" s="7"/>
      <c r="H517" s="9"/>
      <c r="I517" s="9"/>
      <c r="J517" s="9"/>
      <c r="K517" s="9"/>
      <c r="L517" s="10">
        <v>233</v>
      </c>
      <c r="M517" s="9"/>
      <c r="N517" s="10">
        <v>233</v>
      </c>
      <c r="O517" s="9"/>
      <c r="P517" s="10"/>
      <c r="Q517" s="10"/>
      <c r="R517" s="10"/>
      <c r="S517" s="7" t="s">
        <v>407</v>
      </c>
      <c r="T517" s="7" t="s">
        <v>73</v>
      </c>
      <c r="U517" s="7" t="s">
        <v>44</v>
      </c>
      <c r="V517" s="7" t="s">
        <v>45</v>
      </c>
      <c r="W517" s="7" t="s">
        <v>67</v>
      </c>
      <c r="X517" s="7" t="s">
        <v>68</v>
      </c>
      <c r="Y517" s="7" t="s">
        <v>1325</v>
      </c>
      <c r="Z517" s="7" t="s">
        <v>1314</v>
      </c>
      <c r="AA517" s="7"/>
      <c r="AB517" s="7"/>
      <c r="AC517" s="7" t="s">
        <v>64</v>
      </c>
      <c r="AD517" s="7"/>
      <c r="AE517" s="7"/>
      <c r="AF517" s="7" t="s">
        <v>50</v>
      </c>
      <c r="AG517" s="7" t="s">
        <v>67</v>
      </c>
      <c r="AH517" s="7" t="s">
        <v>71</v>
      </c>
    </row>
    <row r="518" spans="1:34" ht="9.75" customHeight="1" x14ac:dyDescent="0.2">
      <c r="A518" s="7" t="s">
        <v>37</v>
      </c>
      <c r="B518" s="7" t="s">
        <v>38</v>
      </c>
      <c r="C518" s="7"/>
      <c r="D518" s="7" t="s">
        <v>1326</v>
      </c>
      <c r="E518" s="8">
        <v>1</v>
      </c>
      <c r="F518" s="7" t="s">
        <v>41</v>
      </c>
      <c r="G518" s="7"/>
      <c r="H518" s="9"/>
      <c r="I518" s="9"/>
      <c r="J518" s="9"/>
      <c r="K518" s="9"/>
      <c r="L518" s="10">
        <v>777</v>
      </c>
      <c r="M518" s="9"/>
      <c r="N518" s="10">
        <v>777</v>
      </c>
      <c r="O518" s="9"/>
      <c r="P518" s="10"/>
      <c r="Q518" s="10"/>
      <c r="R518" s="10"/>
      <c r="S518" s="7" t="s">
        <v>407</v>
      </c>
      <c r="T518" s="7" t="s">
        <v>73</v>
      </c>
      <c r="U518" s="7" t="s">
        <v>44</v>
      </c>
      <c r="V518" s="7" t="s">
        <v>45</v>
      </c>
      <c r="W518" s="7" t="s">
        <v>67</v>
      </c>
      <c r="X518" s="7" t="s">
        <v>68</v>
      </c>
      <c r="Y518" s="7" t="s">
        <v>1327</v>
      </c>
      <c r="Z518" s="7" t="s">
        <v>1314</v>
      </c>
      <c r="AA518" s="7"/>
      <c r="AB518" s="7"/>
      <c r="AC518" s="7" t="s">
        <v>64</v>
      </c>
      <c r="AD518" s="7"/>
      <c r="AE518" s="7"/>
      <c r="AF518" s="7" t="s">
        <v>50</v>
      </c>
      <c r="AG518" s="7" t="s">
        <v>67</v>
      </c>
      <c r="AH518" s="7" t="s">
        <v>71</v>
      </c>
    </row>
    <row r="519" spans="1:34" ht="9.75" customHeight="1" x14ac:dyDescent="0.2">
      <c r="A519" s="7" t="s">
        <v>37</v>
      </c>
      <c r="B519" s="7" t="s">
        <v>38</v>
      </c>
      <c r="C519" s="7"/>
      <c r="D519" s="7" t="s">
        <v>1328</v>
      </c>
      <c r="E519" s="8">
        <v>1</v>
      </c>
      <c r="F519" s="7" t="s">
        <v>41</v>
      </c>
      <c r="G519" s="7"/>
      <c r="H519" s="9"/>
      <c r="I519" s="9"/>
      <c r="J519" s="9"/>
      <c r="K519" s="9"/>
      <c r="L519" s="10">
        <v>12084</v>
      </c>
      <c r="M519" s="9"/>
      <c r="N519" s="10">
        <v>12084</v>
      </c>
      <c r="O519" s="9"/>
      <c r="P519" s="10"/>
      <c r="Q519" s="10"/>
      <c r="R519" s="10"/>
      <c r="S519" s="7" t="s">
        <v>407</v>
      </c>
      <c r="T519" s="7" t="s">
        <v>73</v>
      </c>
      <c r="U519" s="7" t="s">
        <v>44</v>
      </c>
      <c r="V519" s="7" t="s">
        <v>45</v>
      </c>
      <c r="W519" s="7" t="s">
        <v>67</v>
      </c>
      <c r="X519" s="7" t="s">
        <v>68</v>
      </c>
      <c r="Y519" s="7" t="s">
        <v>1329</v>
      </c>
      <c r="Z519" s="7" t="s">
        <v>1330</v>
      </c>
      <c r="AA519" s="7"/>
      <c r="AB519" s="7"/>
      <c r="AC519" s="7" t="s">
        <v>64</v>
      </c>
      <c r="AD519" s="7"/>
      <c r="AE519" s="7"/>
      <c r="AF519" s="7" t="s">
        <v>50</v>
      </c>
      <c r="AG519" s="7" t="s">
        <v>67</v>
      </c>
      <c r="AH519" s="7" t="s">
        <v>71</v>
      </c>
    </row>
    <row r="520" spans="1:34" ht="9.75" customHeight="1" x14ac:dyDescent="0.2">
      <c r="A520" s="7" t="s">
        <v>37</v>
      </c>
      <c r="B520" s="7" t="s">
        <v>38</v>
      </c>
      <c r="C520" s="7"/>
      <c r="D520" s="7" t="s">
        <v>1331</v>
      </c>
      <c r="E520" s="8">
        <v>1</v>
      </c>
      <c r="F520" s="7" t="s">
        <v>41</v>
      </c>
      <c r="G520" s="7"/>
      <c r="H520" s="9"/>
      <c r="I520" s="9"/>
      <c r="J520" s="9"/>
      <c r="K520" s="9"/>
      <c r="L520" s="10">
        <v>69</v>
      </c>
      <c r="M520" s="9"/>
      <c r="N520" s="10">
        <v>69</v>
      </c>
      <c r="O520" s="9"/>
      <c r="P520" s="10"/>
      <c r="Q520" s="10"/>
      <c r="R520" s="10"/>
      <c r="S520" s="7" t="s">
        <v>407</v>
      </c>
      <c r="T520" s="7" t="s">
        <v>73</v>
      </c>
      <c r="U520" s="7" t="s">
        <v>44</v>
      </c>
      <c r="V520" s="7" t="s">
        <v>45</v>
      </c>
      <c r="W520" s="7" t="s">
        <v>67</v>
      </c>
      <c r="X520" s="7" t="s">
        <v>68</v>
      </c>
      <c r="Y520" s="7" t="s">
        <v>1332</v>
      </c>
      <c r="Z520" s="7" t="s">
        <v>1330</v>
      </c>
      <c r="AA520" s="7"/>
      <c r="AB520" s="7"/>
      <c r="AC520" s="7" t="s">
        <v>64</v>
      </c>
      <c r="AD520" s="7"/>
      <c r="AE520" s="7"/>
      <c r="AF520" s="7" t="s">
        <v>50</v>
      </c>
      <c r="AG520" s="7" t="s">
        <v>67</v>
      </c>
      <c r="AH520" s="7" t="s">
        <v>71</v>
      </c>
    </row>
    <row r="521" spans="1:34" ht="9.75" customHeight="1" x14ac:dyDescent="0.2">
      <c r="A521" s="7" t="s">
        <v>37</v>
      </c>
      <c r="B521" s="7" t="s">
        <v>38</v>
      </c>
      <c r="C521" s="7"/>
      <c r="D521" s="7" t="s">
        <v>1333</v>
      </c>
      <c r="E521" s="8">
        <v>1</v>
      </c>
      <c r="F521" s="7" t="s">
        <v>41</v>
      </c>
      <c r="G521" s="7"/>
      <c r="H521" s="9"/>
      <c r="I521" s="9"/>
      <c r="J521" s="9"/>
      <c r="K521" s="9"/>
      <c r="L521" s="10">
        <v>86</v>
      </c>
      <c r="M521" s="9"/>
      <c r="N521" s="10">
        <v>86</v>
      </c>
      <c r="O521" s="9"/>
      <c r="P521" s="10"/>
      <c r="Q521" s="10"/>
      <c r="R521" s="10"/>
      <c r="S521" s="7" t="s">
        <v>407</v>
      </c>
      <c r="T521" s="7" t="s">
        <v>73</v>
      </c>
      <c r="U521" s="7" t="s">
        <v>44</v>
      </c>
      <c r="V521" s="7" t="s">
        <v>45</v>
      </c>
      <c r="W521" s="7" t="s">
        <v>67</v>
      </c>
      <c r="X521" s="7" t="s">
        <v>68</v>
      </c>
      <c r="Y521" s="7" t="s">
        <v>1334</v>
      </c>
      <c r="Z521" s="7" t="s">
        <v>1330</v>
      </c>
      <c r="AA521" s="7"/>
      <c r="AB521" s="7"/>
      <c r="AC521" s="7" t="s">
        <v>64</v>
      </c>
      <c r="AD521" s="7"/>
      <c r="AE521" s="7"/>
      <c r="AF521" s="7" t="s">
        <v>50</v>
      </c>
      <c r="AG521" s="7" t="s">
        <v>67</v>
      </c>
      <c r="AH521" s="7" t="s">
        <v>71</v>
      </c>
    </row>
    <row r="522" spans="1:34" ht="9.75" customHeight="1" x14ac:dyDescent="0.2">
      <c r="A522" s="7" t="s">
        <v>37</v>
      </c>
      <c r="B522" s="7" t="s">
        <v>38</v>
      </c>
      <c r="C522" s="7"/>
      <c r="D522" s="7" t="s">
        <v>1335</v>
      </c>
      <c r="E522" s="8">
        <v>1</v>
      </c>
      <c r="F522" s="7" t="s">
        <v>41</v>
      </c>
      <c r="G522" s="7"/>
      <c r="H522" s="9"/>
      <c r="I522" s="9"/>
      <c r="J522" s="9"/>
      <c r="K522" s="9"/>
      <c r="L522" s="10">
        <v>2042</v>
      </c>
      <c r="M522" s="9"/>
      <c r="N522" s="10">
        <v>2042</v>
      </c>
      <c r="O522" s="9"/>
      <c r="P522" s="10"/>
      <c r="Q522" s="10"/>
      <c r="R522" s="10"/>
      <c r="S522" s="7" t="s">
        <v>407</v>
      </c>
      <c r="T522" s="7" t="s">
        <v>73</v>
      </c>
      <c r="U522" s="7" t="s">
        <v>44</v>
      </c>
      <c r="V522" s="7" t="s">
        <v>45</v>
      </c>
      <c r="W522" s="7" t="s">
        <v>67</v>
      </c>
      <c r="X522" s="7" t="s">
        <v>68</v>
      </c>
      <c r="Y522" s="7" t="s">
        <v>1336</v>
      </c>
      <c r="Z522" s="7" t="s">
        <v>1330</v>
      </c>
      <c r="AA522" s="7"/>
      <c r="AB522" s="7"/>
      <c r="AC522" s="7" t="s">
        <v>64</v>
      </c>
      <c r="AD522" s="7"/>
      <c r="AE522" s="7"/>
      <c r="AF522" s="7" t="s">
        <v>50</v>
      </c>
      <c r="AG522" s="7" t="s">
        <v>67</v>
      </c>
      <c r="AH522" s="7" t="s">
        <v>71</v>
      </c>
    </row>
    <row r="523" spans="1:34" ht="9.75" customHeight="1" x14ac:dyDescent="0.2">
      <c r="A523" s="7" t="s">
        <v>37</v>
      </c>
      <c r="B523" s="7" t="s">
        <v>38</v>
      </c>
      <c r="C523" s="7"/>
      <c r="D523" s="7" t="s">
        <v>1337</v>
      </c>
      <c r="E523" s="8">
        <v>1</v>
      </c>
      <c r="F523" s="7" t="s">
        <v>41</v>
      </c>
      <c r="G523" s="7"/>
      <c r="H523" s="9"/>
      <c r="I523" s="9"/>
      <c r="J523" s="9"/>
      <c r="K523" s="9"/>
      <c r="L523" s="10">
        <v>3321</v>
      </c>
      <c r="M523" s="9"/>
      <c r="N523" s="10">
        <v>3321</v>
      </c>
      <c r="O523" s="9"/>
      <c r="P523" s="10"/>
      <c r="Q523" s="10"/>
      <c r="R523" s="10"/>
      <c r="S523" s="7" t="s">
        <v>407</v>
      </c>
      <c r="T523" s="7" t="s">
        <v>73</v>
      </c>
      <c r="U523" s="7" t="s">
        <v>44</v>
      </c>
      <c r="V523" s="7" t="s">
        <v>45</v>
      </c>
      <c r="W523" s="7" t="s">
        <v>67</v>
      </c>
      <c r="X523" s="7" t="s">
        <v>68</v>
      </c>
      <c r="Y523" s="7" t="s">
        <v>1338</v>
      </c>
      <c r="Z523" s="7" t="s">
        <v>1330</v>
      </c>
      <c r="AA523" s="7"/>
      <c r="AB523" s="7"/>
      <c r="AC523" s="7" t="s">
        <v>64</v>
      </c>
      <c r="AD523" s="7"/>
      <c r="AE523" s="7"/>
      <c r="AF523" s="7" t="s">
        <v>50</v>
      </c>
      <c r="AG523" s="7" t="s">
        <v>67</v>
      </c>
      <c r="AH523" s="7" t="s">
        <v>71</v>
      </c>
    </row>
    <row r="524" spans="1:34" ht="9.75" customHeight="1" x14ac:dyDescent="0.2">
      <c r="A524" s="7" t="s">
        <v>37</v>
      </c>
      <c r="B524" s="7" t="s">
        <v>38</v>
      </c>
      <c r="C524" s="7"/>
      <c r="D524" s="7" t="s">
        <v>1339</v>
      </c>
      <c r="E524" s="8">
        <v>1</v>
      </c>
      <c r="F524" s="7" t="s">
        <v>41</v>
      </c>
      <c r="G524" s="7"/>
      <c r="H524" s="9"/>
      <c r="I524" s="9"/>
      <c r="J524" s="9"/>
      <c r="K524" s="9"/>
      <c r="L524" s="10">
        <v>16298</v>
      </c>
      <c r="M524" s="9"/>
      <c r="N524" s="10">
        <v>16298</v>
      </c>
      <c r="O524" s="9"/>
      <c r="P524" s="10"/>
      <c r="Q524" s="10"/>
      <c r="R524" s="10"/>
      <c r="S524" s="7" t="s">
        <v>407</v>
      </c>
      <c r="T524" s="7" t="s">
        <v>73</v>
      </c>
      <c r="U524" s="7" t="s">
        <v>44</v>
      </c>
      <c r="V524" s="7" t="s">
        <v>45</v>
      </c>
      <c r="W524" s="7" t="s">
        <v>67</v>
      </c>
      <c r="X524" s="7" t="s">
        <v>68</v>
      </c>
      <c r="Y524" s="7" t="s">
        <v>1340</v>
      </c>
      <c r="Z524" s="7" t="s">
        <v>1330</v>
      </c>
      <c r="AA524" s="7"/>
      <c r="AB524" s="7"/>
      <c r="AC524" s="7" t="s">
        <v>64</v>
      </c>
      <c r="AD524" s="7"/>
      <c r="AE524" s="7"/>
      <c r="AF524" s="7" t="s">
        <v>50</v>
      </c>
      <c r="AG524" s="7" t="s">
        <v>67</v>
      </c>
      <c r="AH524" s="7" t="s">
        <v>71</v>
      </c>
    </row>
    <row r="525" spans="1:34" ht="9.75" customHeight="1" x14ac:dyDescent="0.2">
      <c r="A525" s="7" t="s">
        <v>37</v>
      </c>
      <c r="B525" s="7" t="s">
        <v>38</v>
      </c>
      <c r="C525" s="7"/>
      <c r="D525" s="7" t="s">
        <v>1341</v>
      </c>
      <c r="E525" s="8">
        <v>1</v>
      </c>
      <c r="F525" s="7" t="s">
        <v>41</v>
      </c>
      <c r="G525" s="7"/>
      <c r="H525" s="9"/>
      <c r="I525" s="9"/>
      <c r="J525" s="9"/>
      <c r="K525" s="9"/>
      <c r="L525" s="10">
        <v>4199</v>
      </c>
      <c r="M525" s="9"/>
      <c r="N525" s="10">
        <v>4199</v>
      </c>
      <c r="O525" s="9"/>
      <c r="P525" s="10"/>
      <c r="Q525" s="10"/>
      <c r="R525" s="10"/>
      <c r="S525" s="7" t="s">
        <v>407</v>
      </c>
      <c r="T525" s="7" t="s">
        <v>73</v>
      </c>
      <c r="U525" s="7" t="s">
        <v>44</v>
      </c>
      <c r="V525" s="7" t="s">
        <v>45</v>
      </c>
      <c r="W525" s="7" t="s">
        <v>67</v>
      </c>
      <c r="X525" s="7" t="s">
        <v>68</v>
      </c>
      <c r="Y525" s="7" t="s">
        <v>1342</v>
      </c>
      <c r="Z525" s="7" t="s">
        <v>1343</v>
      </c>
      <c r="AA525" s="7"/>
      <c r="AB525" s="7"/>
      <c r="AC525" s="7" t="s">
        <v>64</v>
      </c>
      <c r="AD525" s="7"/>
      <c r="AE525" s="7"/>
      <c r="AF525" s="7" t="s">
        <v>50</v>
      </c>
      <c r="AG525" s="7" t="s">
        <v>67</v>
      </c>
      <c r="AH525" s="7" t="s">
        <v>71</v>
      </c>
    </row>
    <row r="526" spans="1:34" ht="9.75" customHeight="1" x14ac:dyDescent="0.2">
      <c r="A526" s="7" t="s">
        <v>37</v>
      </c>
      <c r="B526" s="7" t="s">
        <v>38</v>
      </c>
      <c r="C526" s="7"/>
      <c r="D526" s="7" t="s">
        <v>1344</v>
      </c>
      <c r="E526" s="8">
        <v>1</v>
      </c>
      <c r="F526" s="7" t="s">
        <v>41</v>
      </c>
      <c r="G526" s="7"/>
      <c r="H526" s="9"/>
      <c r="I526" s="9"/>
      <c r="J526" s="9"/>
      <c r="K526" s="9"/>
      <c r="L526" s="10">
        <v>52</v>
      </c>
      <c r="M526" s="9"/>
      <c r="N526" s="10">
        <v>52</v>
      </c>
      <c r="O526" s="9"/>
      <c r="P526" s="10"/>
      <c r="Q526" s="10"/>
      <c r="R526" s="10"/>
      <c r="S526" s="7" t="s">
        <v>407</v>
      </c>
      <c r="T526" s="7" t="s">
        <v>73</v>
      </c>
      <c r="U526" s="7" t="s">
        <v>44</v>
      </c>
      <c r="V526" s="7" t="s">
        <v>45</v>
      </c>
      <c r="W526" s="7" t="s">
        <v>67</v>
      </c>
      <c r="X526" s="7" t="s">
        <v>68</v>
      </c>
      <c r="Y526" s="7" t="s">
        <v>1345</v>
      </c>
      <c r="Z526" s="7" t="s">
        <v>1343</v>
      </c>
      <c r="AA526" s="7"/>
      <c r="AB526" s="7"/>
      <c r="AC526" s="7" t="s">
        <v>64</v>
      </c>
      <c r="AD526" s="7"/>
      <c r="AE526" s="7"/>
      <c r="AF526" s="7" t="s">
        <v>50</v>
      </c>
      <c r="AG526" s="7" t="s">
        <v>67</v>
      </c>
      <c r="AH526" s="7" t="s">
        <v>71</v>
      </c>
    </row>
    <row r="527" spans="1:34" ht="9.75" customHeight="1" x14ac:dyDescent="0.2">
      <c r="A527" s="7" t="s">
        <v>37</v>
      </c>
      <c r="B527" s="7" t="s">
        <v>38</v>
      </c>
      <c r="C527" s="7"/>
      <c r="D527" s="7" t="s">
        <v>1346</v>
      </c>
      <c r="E527" s="8">
        <v>1</v>
      </c>
      <c r="F527" s="7" t="s">
        <v>41</v>
      </c>
      <c r="G527" s="7"/>
      <c r="H527" s="9"/>
      <c r="I527" s="9"/>
      <c r="J527" s="9"/>
      <c r="K527" s="9"/>
      <c r="L527" s="10">
        <v>149</v>
      </c>
      <c r="M527" s="9"/>
      <c r="N527" s="10">
        <v>149</v>
      </c>
      <c r="O527" s="9"/>
      <c r="P527" s="10"/>
      <c r="Q527" s="10"/>
      <c r="R527" s="10"/>
      <c r="S527" s="7" t="s">
        <v>407</v>
      </c>
      <c r="T527" s="7" t="s">
        <v>73</v>
      </c>
      <c r="U527" s="7" t="s">
        <v>44</v>
      </c>
      <c r="V527" s="7" t="s">
        <v>45</v>
      </c>
      <c r="W527" s="7" t="s">
        <v>67</v>
      </c>
      <c r="X527" s="7" t="s">
        <v>68</v>
      </c>
      <c r="Y527" s="7" t="s">
        <v>1347</v>
      </c>
      <c r="Z527" s="7" t="s">
        <v>1343</v>
      </c>
      <c r="AA527" s="7"/>
      <c r="AB527" s="7"/>
      <c r="AC527" s="7" t="s">
        <v>64</v>
      </c>
      <c r="AD527" s="7"/>
      <c r="AE527" s="7"/>
      <c r="AF527" s="7" t="s">
        <v>50</v>
      </c>
      <c r="AG527" s="7" t="s">
        <v>67</v>
      </c>
      <c r="AH527" s="7" t="s">
        <v>71</v>
      </c>
    </row>
    <row r="528" spans="1:34" ht="9.75" customHeight="1" x14ac:dyDescent="0.2">
      <c r="A528" s="7" t="s">
        <v>37</v>
      </c>
      <c r="B528" s="7" t="s">
        <v>38</v>
      </c>
      <c r="C528" s="7"/>
      <c r="D528" s="7" t="s">
        <v>1348</v>
      </c>
      <c r="E528" s="8">
        <v>1</v>
      </c>
      <c r="F528" s="7" t="s">
        <v>41</v>
      </c>
      <c r="G528" s="7"/>
      <c r="H528" s="9"/>
      <c r="I528" s="9"/>
      <c r="J528" s="9"/>
      <c r="K528" s="9"/>
      <c r="L528" s="10">
        <v>496</v>
      </c>
      <c r="M528" s="9"/>
      <c r="N528" s="10">
        <v>496</v>
      </c>
      <c r="O528" s="9"/>
      <c r="P528" s="10"/>
      <c r="Q528" s="10"/>
      <c r="R528" s="10"/>
      <c r="S528" s="7" t="s">
        <v>407</v>
      </c>
      <c r="T528" s="7" t="s">
        <v>73</v>
      </c>
      <c r="U528" s="7" t="s">
        <v>44</v>
      </c>
      <c r="V528" s="7" t="s">
        <v>45</v>
      </c>
      <c r="W528" s="7" t="s">
        <v>67</v>
      </c>
      <c r="X528" s="7" t="s">
        <v>68</v>
      </c>
      <c r="Y528" s="7" t="s">
        <v>1349</v>
      </c>
      <c r="Z528" s="7" t="s">
        <v>1343</v>
      </c>
      <c r="AA528" s="7"/>
      <c r="AB528" s="7"/>
      <c r="AC528" s="7" t="s">
        <v>64</v>
      </c>
      <c r="AD528" s="7"/>
      <c r="AE528" s="7"/>
      <c r="AF528" s="7" t="s">
        <v>50</v>
      </c>
      <c r="AG528" s="7" t="s">
        <v>67</v>
      </c>
      <c r="AH528" s="7" t="s">
        <v>71</v>
      </c>
    </row>
    <row r="529" spans="1:34" ht="9.75" customHeight="1" x14ac:dyDescent="0.2">
      <c r="A529" s="7" t="s">
        <v>37</v>
      </c>
      <c r="B529" s="7" t="s">
        <v>38</v>
      </c>
      <c r="C529" s="7"/>
      <c r="D529" s="7" t="s">
        <v>1350</v>
      </c>
      <c r="E529" s="8">
        <v>1</v>
      </c>
      <c r="F529" s="7" t="s">
        <v>41</v>
      </c>
      <c r="G529" s="7"/>
      <c r="H529" s="9"/>
      <c r="I529" s="9"/>
      <c r="J529" s="9"/>
      <c r="K529" s="9"/>
      <c r="L529" s="10">
        <v>1769</v>
      </c>
      <c r="M529" s="9"/>
      <c r="N529" s="10">
        <v>1769</v>
      </c>
      <c r="O529" s="9"/>
      <c r="P529" s="10"/>
      <c r="Q529" s="10"/>
      <c r="R529" s="10"/>
      <c r="S529" s="7" t="s">
        <v>407</v>
      </c>
      <c r="T529" s="7" t="s">
        <v>73</v>
      </c>
      <c r="U529" s="7" t="s">
        <v>44</v>
      </c>
      <c r="V529" s="7" t="s">
        <v>45</v>
      </c>
      <c r="W529" s="7" t="s">
        <v>67</v>
      </c>
      <c r="X529" s="7" t="s">
        <v>68</v>
      </c>
      <c r="Y529" s="7" t="s">
        <v>1351</v>
      </c>
      <c r="Z529" s="7" t="s">
        <v>1343</v>
      </c>
      <c r="AA529" s="7"/>
      <c r="AB529" s="7"/>
      <c r="AC529" s="7" t="s">
        <v>64</v>
      </c>
      <c r="AD529" s="7"/>
      <c r="AE529" s="7"/>
      <c r="AF529" s="7" t="s">
        <v>50</v>
      </c>
      <c r="AG529" s="7" t="s">
        <v>67</v>
      </c>
      <c r="AH529" s="7" t="s">
        <v>71</v>
      </c>
    </row>
    <row r="530" spans="1:34" ht="9.75" customHeight="1" x14ac:dyDescent="0.2">
      <c r="A530" s="7" t="s">
        <v>37</v>
      </c>
      <c r="B530" s="7" t="s">
        <v>38</v>
      </c>
      <c r="C530" s="7"/>
      <c r="D530" s="7" t="s">
        <v>1352</v>
      </c>
      <c r="E530" s="8">
        <v>1</v>
      </c>
      <c r="F530" s="7" t="s">
        <v>41</v>
      </c>
      <c r="G530" s="7"/>
      <c r="H530" s="9"/>
      <c r="I530" s="9"/>
      <c r="J530" s="9"/>
      <c r="K530" s="9"/>
      <c r="L530" s="10">
        <v>835</v>
      </c>
      <c r="M530" s="9"/>
      <c r="N530" s="10">
        <v>835</v>
      </c>
      <c r="O530" s="9"/>
      <c r="P530" s="10"/>
      <c r="Q530" s="10"/>
      <c r="R530" s="10"/>
      <c r="S530" s="7" t="s">
        <v>407</v>
      </c>
      <c r="T530" s="7" t="s">
        <v>73</v>
      </c>
      <c r="U530" s="7" t="s">
        <v>44</v>
      </c>
      <c r="V530" s="7" t="s">
        <v>45</v>
      </c>
      <c r="W530" s="7" t="s">
        <v>67</v>
      </c>
      <c r="X530" s="7" t="s">
        <v>68</v>
      </c>
      <c r="Y530" s="7" t="s">
        <v>1353</v>
      </c>
      <c r="Z530" s="7" t="s">
        <v>1343</v>
      </c>
      <c r="AA530" s="7"/>
      <c r="AB530" s="7"/>
      <c r="AC530" s="7" t="s">
        <v>64</v>
      </c>
      <c r="AD530" s="7"/>
      <c r="AE530" s="7"/>
      <c r="AF530" s="7" t="s">
        <v>50</v>
      </c>
      <c r="AG530" s="7" t="s">
        <v>67</v>
      </c>
      <c r="AH530" s="7" t="s">
        <v>71</v>
      </c>
    </row>
    <row r="531" spans="1:34" ht="9.75" customHeight="1" x14ac:dyDescent="0.2">
      <c r="A531" s="7" t="s">
        <v>37</v>
      </c>
      <c r="B531" s="7" t="s">
        <v>38</v>
      </c>
      <c r="C531" s="7"/>
      <c r="D531" s="7" t="s">
        <v>1354</v>
      </c>
      <c r="E531" s="8">
        <v>1</v>
      </c>
      <c r="F531" s="7" t="s">
        <v>41</v>
      </c>
      <c r="G531" s="7"/>
      <c r="H531" s="9"/>
      <c r="I531" s="10">
        <v>614701</v>
      </c>
      <c r="J531" s="9"/>
      <c r="K531" s="9"/>
      <c r="L531" s="10">
        <v>653837</v>
      </c>
      <c r="M531" s="9"/>
      <c r="N531" s="10">
        <v>653837</v>
      </c>
      <c r="O531" s="9"/>
      <c r="P531" s="10"/>
      <c r="Q531" s="10"/>
      <c r="R531" s="10"/>
      <c r="S531" s="7" t="s">
        <v>407</v>
      </c>
      <c r="T531" s="7" t="s">
        <v>73</v>
      </c>
      <c r="U531" s="7" t="s">
        <v>44</v>
      </c>
      <c r="V531" s="7" t="s">
        <v>45</v>
      </c>
      <c r="W531" s="7" t="s">
        <v>67</v>
      </c>
      <c r="X531" s="7" t="s">
        <v>68</v>
      </c>
      <c r="Y531" s="7" t="s">
        <v>1355</v>
      </c>
      <c r="Z531" s="7" t="s">
        <v>1356</v>
      </c>
      <c r="AA531" s="7"/>
      <c r="AB531" s="7"/>
      <c r="AC531" s="7" t="s">
        <v>64</v>
      </c>
      <c r="AD531" s="7"/>
      <c r="AE531" s="7"/>
      <c r="AF531" s="7" t="s">
        <v>50</v>
      </c>
      <c r="AG531" s="7" t="s">
        <v>67</v>
      </c>
      <c r="AH531" s="7" t="s">
        <v>71</v>
      </c>
    </row>
    <row r="532" spans="1:34" ht="9.75" customHeight="1" x14ac:dyDescent="0.2">
      <c r="A532" s="7" t="s">
        <v>37</v>
      </c>
      <c r="B532" s="7" t="s">
        <v>38</v>
      </c>
      <c r="C532" s="7"/>
      <c r="D532" s="7" t="s">
        <v>1357</v>
      </c>
      <c r="E532" s="8">
        <v>1</v>
      </c>
      <c r="F532" s="7" t="s">
        <v>41</v>
      </c>
      <c r="G532" s="7"/>
      <c r="H532" s="9"/>
      <c r="I532" s="10">
        <v>4872</v>
      </c>
      <c r="J532" s="9"/>
      <c r="K532" s="9"/>
      <c r="L532" s="10">
        <v>37930</v>
      </c>
      <c r="M532" s="9"/>
      <c r="N532" s="10">
        <v>37930</v>
      </c>
      <c r="O532" s="9"/>
      <c r="P532" s="10"/>
      <c r="Q532" s="10"/>
      <c r="R532" s="10"/>
      <c r="S532" s="7" t="s">
        <v>407</v>
      </c>
      <c r="T532" s="7" t="s">
        <v>73</v>
      </c>
      <c r="U532" s="7" t="s">
        <v>44</v>
      </c>
      <c r="V532" s="7" t="s">
        <v>45</v>
      </c>
      <c r="W532" s="7" t="s">
        <v>67</v>
      </c>
      <c r="X532" s="7" t="s">
        <v>68</v>
      </c>
      <c r="Y532" s="7" t="s">
        <v>1358</v>
      </c>
      <c r="Z532" s="7" t="s">
        <v>1356</v>
      </c>
      <c r="AA532" s="7"/>
      <c r="AB532" s="7"/>
      <c r="AC532" s="7" t="s">
        <v>64</v>
      </c>
      <c r="AD532" s="7"/>
      <c r="AE532" s="7"/>
      <c r="AF532" s="7" t="s">
        <v>50</v>
      </c>
      <c r="AG532" s="7" t="s">
        <v>67</v>
      </c>
      <c r="AH532" s="7" t="s">
        <v>71</v>
      </c>
    </row>
    <row r="533" spans="1:34" ht="9.75" customHeight="1" x14ac:dyDescent="0.2">
      <c r="A533" s="7" t="s">
        <v>37</v>
      </c>
      <c r="B533" s="7" t="s">
        <v>38</v>
      </c>
      <c r="C533" s="7"/>
      <c r="D533" s="7" t="s">
        <v>1359</v>
      </c>
      <c r="E533" s="8">
        <v>1</v>
      </c>
      <c r="F533" s="7" t="s">
        <v>41</v>
      </c>
      <c r="G533" s="7"/>
      <c r="H533" s="9"/>
      <c r="I533" s="10">
        <v>21543</v>
      </c>
      <c r="J533" s="9"/>
      <c r="K533" s="9"/>
      <c r="L533" s="10">
        <v>22835</v>
      </c>
      <c r="M533" s="9"/>
      <c r="N533" s="10">
        <v>22835</v>
      </c>
      <c r="O533" s="9"/>
      <c r="P533" s="10"/>
      <c r="Q533" s="10"/>
      <c r="R533" s="10"/>
      <c r="S533" s="7" t="s">
        <v>407</v>
      </c>
      <c r="T533" s="7" t="s">
        <v>73</v>
      </c>
      <c r="U533" s="7" t="s">
        <v>44</v>
      </c>
      <c r="V533" s="7" t="s">
        <v>45</v>
      </c>
      <c r="W533" s="7" t="s">
        <v>67</v>
      </c>
      <c r="X533" s="7" t="s">
        <v>68</v>
      </c>
      <c r="Y533" s="7" t="s">
        <v>1360</v>
      </c>
      <c r="Z533" s="7" t="s">
        <v>1356</v>
      </c>
      <c r="AA533" s="7"/>
      <c r="AB533" s="7"/>
      <c r="AC533" s="7" t="s">
        <v>64</v>
      </c>
      <c r="AD533" s="7"/>
      <c r="AE533" s="7"/>
      <c r="AF533" s="7" t="s">
        <v>50</v>
      </c>
      <c r="AG533" s="7" t="s">
        <v>67</v>
      </c>
      <c r="AH533" s="7" t="s">
        <v>71</v>
      </c>
    </row>
    <row r="534" spans="1:34" ht="9.75" customHeight="1" x14ac:dyDescent="0.2">
      <c r="A534" s="7" t="s">
        <v>37</v>
      </c>
      <c r="B534" s="7" t="s">
        <v>38</v>
      </c>
      <c r="C534" s="7"/>
      <c r="D534" s="7" t="s">
        <v>1361</v>
      </c>
      <c r="E534" s="8">
        <v>1</v>
      </c>
      <c r="F534" s="7" t="s">
        <v>41</v>
      </c>
      <c r="G534" s="7"/>
      <c r="H534" s="9"/>
      <c r="I534" s="10">
        <v>2467</v>
      </c>
      <c r="J534" s="9"/>
      <c r="K534" s="9"/>
      <c r="L534" s="10">
        <v>291</v>
      </c>
      <c r="M534" s="9"/>
      <c r="N534" s="10">
        <v>291</v>
      </c>
      <c r="O534" s="9"/>
      <c r="P534" s="10"/>
      <c r="Q534" s="10"/>
      <c r="R534" s="10"/>
      <c r="S534" s="7" t="s">
        <v>407</v>
      </c>
      <c r="T534" s="7" t="s">
        <v>73</v>
      </c>
      <c r="U534" s="7" t="s">
        <v>44</v>
      </c>
      <c r="V534" s="7" t="s">
        <v>45</v>
      </c>
      <c r="W534" s="7" t="s">
        <v>67</v>
      </c>
      <c r="X534" s="7" t="s">
        <v>68</v>
      </c>
      <c r="Y534" s="7" t="s">
        <v>1362</v>
      </c>
      <c r="Z534" s="7" t="s">
        <v>1356</v>
      </c>
      <c r="AA534" s="7"/>
      <c r="AB534" s="7"/>
      <c r="AC534" s="7" t="s">
        <v>64</v>
      </c>
      <c r="AD534" s="7"/>
      <c r="AE534" s="7"/>
      <c r="AF534" s="7" t="s">
        <v>50</v>
      </c>
      <c r="AG534" s="7" t="s">
        <v>67</v>
      </c>
      <c r="AH534" s="7" t="s">
        <v>71</v>
      </c>
    </row>
    <row r="535" spans="1:34" ht="9.75" customHeight="1" x14ac:dyDescent="0.2">
      <c r="A535" s="7" t="s">
        <v>37</v>
      </c>
      <c r="B535" s="7" t="s">
        <v>38</v>
      </c>
      <c r="C535" s="7"/>
      <c r="D535" s="7" t="s">
        <v>1363</v>
      </c>
      <c r="E535" s="8">
        <v>1</v>
      </c>
      <c r="F535" s="7" t="s">
        <v>41</v>
      </c>
      <c r="G535" s="7"/>
      <c r="H535" s="9"/>
      <c r="I535" s="10">
        <v>34847</v>
      </c>
      <c r="J535" s="9"/>
      <c r="K535" s="9"/>
      <c r="L535" s="10">
        <v>43346</v>
      </c>
      <c r="M535" s="9"/>
      <c r="N535" s="10">
        <v>43346</v>
      </c>
      <c r="O535" s="9"/>
      <c r="P535" s="10"/>
      <c r="Q535" s="10"/>
      <c r="R535" s="10"/>
      <c r="S535" s="7" t="s">
        <v>407</v>
      </c>
      <c r="T535" s="7" t="s">
        <v>73</v>
      </c>
      <c r="U535" s="7" t="s">
        <v>44</v>
      </c>
      <c r="V535" s="7" t="s">
        <v>45</v>
      </c>
      <c r="W535" s="7" t="s">
        <v>67</v>
      </c>
      <c r="X535" s="7" t="s">
        <v>68</v>
      </c>
      <c r="Y535" s="7" t="s">
        <v>1364</v>
      </c>
      <c r="Z535" s="7" t="s">
        <v>1356</v>
      </c>
      <c r="AA535" s="7"/>
      <c r="AB535" s="7"/>
      <c r="AC535" s="7" t="s">
        <v>64</v>
      </c>
      <c r="AD535" s="7"/>
      <c r="AE535" s="7"/>
      <c r="AF535" s="7" t="s">
        <v>50</v>
      </c>
      <c r="AG535" s="7" t="s">
        <v>67</v>
      </c>
      <c r="AH535" s="7" t="s">
        <v>71</v>
      </c>
    </row>
    <row r="536" spans="1:34" ht="9.75" customHeight="1" x14ac:dyDescent="0.2">
      <c r="A536" s="7" t="s">
        <v>37</v>
      </c>
      <c r="B536" s="7" t="s">
        <v>38</v>
      </c>
      <c r="C536" s="7"/>
      <c r="D536" s="7" t="s">
        <v>1365</v>
      </c>
      <c r="E536" s="8">
        <v>1</v>
      </c>
      <c r="F536" s="7" t="s">
        <v>41</v>
      </c>
      <c r="G536" s="7"/>
      <c r="H536" s="9"/>
      <c r="I536" s="10">
        <v>44937</v>
      </c>
      <c r="J536" s="9"/>
      <c r="K536" s="9"/>
      <c r="L536" s="10">
        <v>38804</v>
      </c>
      <c r="M536" s="9"/>
      <c r="N536" s="10">
        <v>38804</v>
      </c>
      <c r="O536" s="9"/>
      <c r="P536" s="10"/>
      <c r="Q536" s="10"/>
      <c r="R536" s="10"/>
      <c r="S536" s="7" t="s">
        <v>407</v>
      </c>
      <c r="T536" s="7" t="s">
        <v>73</v>
      </c>
      <c r="U536" s="7" t="s">
        <v>44</v>
      </c>
      <c r="V536" s="7" t="s">
        <v>45</v>
      </c>
      <c r="W536" s="7" t="s">
        <v>67</v>
      </c>
      <c r="X536" s="7" t="s">
        <v>68</v>
      </c>
      <c r="Y536" s="7" t="s">
        <v>1366</v>
      </c>
      <c r="Z536" s="7" t="s">
        <v>1367</v>
      </c>
      <c r="AA536" s="7"/>
      <c r="AB536" s="7"/>
      <c r="AC536" s="7" t="s">
        <v>64</v>
      </c>
      <c r="AD536" s="7"/>
      <c r="AE536" s="7"/>
      <c r="AF536" s="7" t="s">
        <v>50</v>
      </c>
      <c r="AG536" s="7" t="s">
        <v>67</v>
      </c>
      <c r="AH536" s="7" t="s">
        <v>71</v>
      </c>
    </row>
    <row r="537" spans="1:34" ht="9.75" customHeight="1" x14ac:dyDescent="0.2">
      <c r="A537" s="7" t="s">
        <v>37</v>
      </c>
      <c r="B537" s="7" t="s">
        <v>38</v>
      </c>
      <c r="C537" s="7"/>
      <c r="D537" s="7" t="s">
        <v>1368</v>
      </c>
      <c r="E537" s="8">
        <v>1</v>
      </c>
      <c r="F537" s="7" t="s">
        <v>41</v>
      </c>
      <c r="G537" s="7"/>
      <c r="H537" s="9"/>
      <c r="I537" s="10">
        <v>621</v>
      </c>
      <c r="J537" s="9"/>
      <c r="K537" s="9"/>
      <c r="L537" s="10">
        <v>138</v>
      </c>
      <c r="M537" s="9"/>
      <c r="N537" s="10">
        <v>138</v>
      </c>
      <c r="O537" s="9"/>
      <c r="P537" s="10"/>
      <c r="Q537" s="10"/>
      <c r="R537" s="10"/>
      <c r="S537" s="7" t="s">
        <v>407</v>
      </c>
      <c r="T537" s="7" t="s">
        <v>73</v>
      </c>
      <c r="U537" s="7" t="s">
        <v>44</v>
      </c>
      <c r="V537" s="7" t="s">
        <v>45</v>
      </c>
      <c r="W537" s="7" t="s">
        <v>67</v>
      </c>
      <c r="X537" s="7" t="s">
        <v>68</v>
      </c>
      <c r="Y537" s="7" t="s">
        <v>1369</v>
      </c>
      <c r="Z537" s="7" t="s">
        <v>1367</v>
      </c>
      <c r="AA537" s="7"/>
      <c r="AB537" s="7"/>
      <c r="AC537" s="7" t="s">
        <v>64</v>
      </c>
      <c r="AD537" s="7"/>
      <c r="AE537" s="7"/>
      <c r="AF537" s="7" t="s">
        <v>50</v>
      </c>
      <c r="AG537" s="7" t="s">
        <v>67</v>
      </c>
      <c r="AH537" s="7" t="s">
        <v>71</v>
      </c>
    </row>
    <row r="538" spans="1:34" ht="9.75" customHeight="1" x14ac:dyDescent="0.2">
      <c r="A538" s="7" t="s">
        <v>37</v>
      </c>
      <c r="B538" s="7" t="s">
        <v>38</v>
      </c>
      <c r="C538" s="7"/>
      <c r="D538" s="7" t="s">
        <v>1370</v>
      </c>
      <c r="E538" s="8">
        <v>1</v>
      </c>
      <c r="F538" s="7" t="s">
        <v>41</v>
      </c>
      <c r="G538" s="7"/>
      <c r="H538" s="9"/>
      <c r="I538" s="10">
        <v>4682</v>
      </c>
      <c r="J538" s="9"/>
      <c r="K538" s="9"/>
      <c r="L538" s="10">
        <v>2094</v>
      </c>
      <c r="M538" s="9"/>
      <c r="N538" s="10">
        <v>2094</v>
      </c>
      <c r="O538" s="9"/>
      <c r="P538" s="10"/>
      <c r="Q538" s="10"/>
      <c r="R538" s="10"/>
      <c r="S538" s="7" t="s">
        <v>407</v>
      </c>
      <c r="T538" s="7" t="s">
        <v>73</v>
      </c>
      <c r="U538" s="7" t="s">
        <v>44</v>
      </c>
      <c r="V538" s="7" t="s">
        <v>45</v>
      </c>
      <c r="W538" s="7" t="s">
        <v>67</v>
      </c>
      <c r="X538" s="7" t="s">
        <v>68</v>
      </c>
      <c r="Y538" s="7" t="s">
        <v>1371</v>
      </c>
      <c r="Z538" s="7" t="s">
        <v>1367</v>
      </c>
      <c r="AA538" s="7"/>
      <c r="AB538" s="7"/>
      <c r="AC538" s="7" t="s">
        <v>64</v>
      </c>
      <c r="AD538" s="7"/>
      <c r="AE538" s="7"/>
      <c r="AF538" s="7" t="s">
        <v>50</v>
      </c>
      <c r="AG538" s="7" t="s">
        <v>67</v>
      </c>
      <c r="AH538" s="7" t="s">
        <v>71</v>
      </c>
    </row>
    <row r="539" spans="1:34" ht="9.75" customHeight="1" x14ac:dyDescent="0.2">
      <c r="A539" s="7" t="s">
        <v>37</v>
      </c>
      <c r="B539" s="7" t="s">
        <v>38</v>
      </c>
      <c r="C539" s="7"/>
      <c r="D539" s="7" t="s">
        <v>1372</v>
      </c>
      <c r="E539" s="8">
        <v>1</v>
      </c>
      <c r="F539" s="7" t="s">
        <v>41</v>
      </c>
      <c r="G539" s="7"/>
      <c r="H539" s="9"/>
      <c r="I539" s="10">
        <v>7401</v>
      </c>
      <c r="J539" s="9"/>
      <c r="K539" s="9"/>
      <c r="L539" s="10">
        <v>7017</v>
      </c>
      <c r="M539" s="9"/>
      <c r="N539" s="10">
        <v>7017</v>
      </c>
      <c r="O539" s="9"/>
      <c r="P539" s="10"/>
      <c r="Q539" s="10"/>
      <c r="R539" s="10"/>
      <c r="S539" s="7" t="s">
        <v>407</v>
      </c>
      <c r="T539" s="7" t="s">
        <v>73</v>
      </c>
      <c r="U539" s="7" t="s">
        <v>44</v>
      </c>
      <c r="V539" s="7" t="s">
        <v>45</v>
      </c>
      <c r="W539" s="7" t="s">
        <v>67</v>
      </c>
      <c r="X539" s="7" t="s">
        <v>68</v>
      </c>
      <c r="Y539" s="7" t="s">
        <v>1373</v>
      </c>
      <c r="Z539" s="7" t="s">
        <v>1367</v>
      </c>
      <c r="AA539" s="7"/>
      <c r="AB539" s="7"/>
      <c r="AC539" s="7" t="s">
        <v>64</v>
      </c>
      <c r="AD539" s="7"/>
      <c r="AE539" s="7"/>
      <c r="AF539" s="7" t="s">
        <v>50</v>
      </c>
      <c r="AG539" s="7" t="s">
        <v>67</v>
      </c>
      <c r="AH539" s="7" t="s">
        <v>71</v>
      </c>
    </row>
    <row r="540" spans="1:34" ht="9.75" customHeight="1" x14ac:dyDescent="0.2">
      <c r="A540" s="7" t="s">
        <v>37</v>
      </c>
      <c r="B540" s="7" t="s">
        <v>38</v>
      </c>
      <c r="C540" s="7"/>
      <c r="D540" s="7" t="s">
        <v>1374</v>
      </c>
      <c r="E540" s="8">
        <v>1</v>
      </c>
      <c r="F540" s="7" t="s">
        <v>41</v>
      </c>
      <c r="G540" s="7"/>
      <c r="H540" s="9"/>
      <c r="I540" s="10">
        <v>9878</v>
      </c>
      <c r="J540" s="9"/>
      <c r="K540" s="9"/>
      <c r="L540" s="10">
        <v>4603</v>
      </c>
      <c r="M540" s="9"/>
      <c r="N540" s="10">
        <v>4603</v>
      </c>
      <c r="O540" s="9"/>
      <c r="P540" s="10"/>
      <c r="Q540" s="10"/>
      <c r="R540" s="10"/>
      <c r="S540" s="7" t="s">
        <v>407</v>
      </c>
      <c r="T540" s="7" t="s">
        <v>73</v>
      </c>
      <c r="U540" s="7" t="s">
        <v>44</v>
      </c>
      <c r="V540" s="7" t="s">
        <v>45</v>
      </c>
      <c r="W540" s="7" t="s">
        <v>67</v>
      </c>
      <c r="X540" s="7" t="s">
        <v>68</v>
      </c>
      <c r="Y540" s="7" t="s">
        <v>1375</v>
      </c>
      <c r="Z540" s="7" t="s">
        <v>1367</v>
      </c>
      <c r="AA540" s="7"/>
      <c r="AB540" s="7"/>
      <c r="AC540" s="7" t="s">
        <v>64</v>
      </c>
      <c r="AD540" s="7"/>
      <c r="AE540" s="7"/>
      <c r="AF540" s="7" t="s">
        <v>50</v>
      </c>
      <c r="AG540" s="7" t="s">
        <v>67</v>
      </c>
      <c r="AH540" s="7" t="s">
        <v>71</v>
      </c>
    </row>
    <row r="541" spans="1:34" ht="9.75" customHeight="1" x14ac:dyDescent="0.2">
      <c r="A541" s="7" t="s">
        <v>37</v>
      </c>
      <c r="B541" s="7" t="s">
        <v>38</v>
      </c>
      <c r="C541" s="7"/>
      <c r="D541" s="7" t="s">
        <v>1376</v>
      </c>
      <c r="E541" s="8">
        <v>1</v>
      </c>
      <c r="F541" s="7" t="s">
        <v>41</v>
      </c>
      <c r="G541" s="7"/>
      <c r="H541" s="9"/>
      <c r="I541" s="10">
        <v>9638</v>
      </c>
      <c r="J541" s="9"/>
      <c r="K541" s="9"/>
      <c r="L541" s="10">
        <v>7903</v>
      </c>
      <c r="M541" s="9"/>
      <c r="N541" s="10">
        <v>7903</v>
      </c>
      <c r="O541" s="9"/>
      <c r="P541" s="10"/>
      <c r="Q541" s="10"/>
      <c r="R541" s="10"/>
      <c r="S541" s="7" t="s">
        <v>407</v>
      </c>
      <c r="T541" s="7" t="s">
        <v>73</v>
      </c>
      <c r="U541" s="7" t="s">
        <v>44</v>
      </c>
      <c r="V541" s="7" t="s">
        <v>45</v>
      </c>
      <c r="W541" s="7" t="s">
        <v>67</v>
      </c>
      <c r="X541" s="7" t="s">
        <v>68</v>
      </c>
      <c r="Y541" s="7" t="s">
        <v>1377</v>
      </c>
      <c r="Z541" s="7" t="s">
        <v>1367</v>
      </c>
      <c r="AA541" s="7"/>
      <c r="AB541" s="7"/>
      <c r="AC541" s="7" t="s">
        <v>64</v>
      </c>
      <c r="AD541" s="7"/>
      <c r="AE541" s="7"/>
      <c r="AF541" s="7" t="s">
        <v>50</v>
      </c>
      <c r="AG541" s="7" t="s">
        <v>67</v>
      </c>
      <c r="AH541" s="7" t="s">
        <v>71</v>
      </c>
    </row>
    <row r="542" spans="1:34" ht="9.75" customHeight="1" x14ac:dyDescent="0.2">
      <c r="A542" s="7" t="s">
        <v>37</v>
      </c>
      <c r="B542" s="7" t="s">
        <v>38</v>
      </c>
      <c r="C542" s="7"/>
      <c r="D542" s="7" t="s">
        <v>1378</v>
      </c>
      <c r="E542" s="8">
        <v>1</v>
      </c>
      <c r="F542" s="7" t="s">
        <v>41</v>
      </c>
      <c r="G542" s="7"/>
      <c r="H542" s="9"/>
      <c r="I542" s="10">
        <v>219245</v>
      </c>
      <c r="J542" s="9"/>
      <c r="K542" s="9"/>
      <c r="L542" s="10">
        <v>309152</v>
      </c>
      <c r="M542" s="9"/>
      <c r="N542" s="10">
        <v>309152</v>
      </c>
      <c r="O542" s="9"/>
      <c r="P542" s="10"/>
      <c r="Q542" s="10"/>
      <c r="R542" s="10"/>
      <c r="S542" s="7" t="s">
        <v>407</v>
      </c>
      <c r="T542" s="7" t="s">
        <v>73</v>
      </c>
      <c r="U542" s="7" t="s">
        <v>44</v>
      </c>
      <c r="V542" s="7" t="s">
        <v>45</v>
      </c>
      <c r="W542" s="7" t="s">
        <v>67</v>
      </c>
      <c r="X542" s="7" t="s">
        <v>68</v>
      </c>
      <c r="Y542" s="7" t="s">
        <v>1379</v>
      </c>
      <c r="Z542" s="7" t="s">
        <v>1380</v>
      </c>
      <c r="AA542" s="7"/>
      <c r="AB542" s="7"/>
      <c r="AC542" s="7" t="s">
        <v>64</v>
      </c>
      <c r="AD542" s="7"/>
      <c r="AE542" s="7"/>
      <c r="AF542" s="7" t="s">
        <v>50</v>
      </c>
      <c r="AG542" s="7" t="s">
        <v>67</v>
      </c>
      <c r="AH542" s="7" t="s">
        <v>71</v>
      </c>
    </row>
    <row r="543" spans="1:34" ht="9.75" customHeight="1" x14ac:dyDescent="0.2">
      <c r="A543" s="7" t="s">
        <v>37</v>
      </c>
      <c r="B543" s="7" t="s">
        <v>38</v>
      </c>
      <c r="C543" s="7"/>
      <c r="D543" s="7" t="s">
        <v>1381</v>
      </c>
      <c r="E543" s="8">
        <v>1</v>
      </c>
      <c r="F543" s="7" t="s">
        <v>41</v>
      </c>
      <c r="G543" s="7"/>
      <c r="H543" s="9"/>
      <c r="I543" s="10">
        <v>4620</v>
      </c>
      <c r="J543" s="9"/>
      <c r="K543" s="9"/>
      <c r="L543" s="10">
        <v>31422</v>
      </c>
      <c r="M543" s="9"/>
      <c r="N543" s="10">
        <v>31422</v>
      </c>
      <c r="O543" s="9"/>
      <c r="P543" s="10"/>
      <c r="Q543" s="10"/>
      <c r="R543" s="10"/>
      <c r="S543" s="7" t="s">
        <v>407</v>
      </c>
      <c r="T543" s="7" t="s">
        <v>73</v>
      </c>
      <c r="U543" s="7" t="s">
        <v>44</v>
      </c>
      <c r="V543" s="7" t="s">
        <v>45</v>
      </c>
      <c r="W543" s="7" t="s">
        <v>67</v>
      </c>
      <c r="X543" s="7" t="s">
        <v>68</v>
      </c>
      <c r="Y543" s="7" t="s">
        <v>1382</v>
      </c>
      <c r="Z543" s="7" t="s">
        <v>1380</v>
      </c>
      <c r="AA543" s="7"/>
      <c r="AB543" s="7"/>
      <c r="AC543" s="7" t="s">
        <v>64</v>
      </c>
      <c r="AD543" s="7"/>
      <c r="AE543" s="7"/>
      <c r="AF543" s="7" t="s">
        <v>50</v>
      </c>
      <c r="AG543" s="7" t="s">
        <v>67</v>
      </c>
      <c r="AH543" s="7" t="s">
        <v>71</v>
      </c>
    </row>
    <row r="544" spans="1:34" ht="9.75" customHeight="1" x14ac:dyDescent="0.2">
      <c r="A544" s="7" t="s">
        <v>37</v>
      </c>
      <c r="B544" s="7" t="s">
        <v>38</v>
      </c>
      <c r="C544" s="7"/>
      <c r="D544" s="7" t="s">
        <v>1383</v>
      </c>
      <c r="E544" s="8">
        <v>1</v>
      </c>
      <c r="F544" s="7" t="s">
        <v>41</v>
      </c>
      <c r="G544" s="7"/>
      <c r="H544" s="9"/>
      <c r="I544" s="10">
        <v>10464</v>
      </c>
      <c r="J544" s="9"/>
      <c r="K544" s="9"/>
      <c r="L544" s="10">
        <v>14300</v>
      </c>
      <c r="M544" s="9"/>
      <c r="N544" s="10">
        <v>14300</v>
      </c>
      <c r="O544" s="9"/>
      <c r="P544" s="10"/>
      <c r="Q544" s="10"/>
      <c r="R544" s="10"/>
      <c r="S544" s="7" t="s">
        <v>407</v>
      </c>
      <c r="T544" s="7" t="s">
        <v>73</v>
      </c>
      <c r="U544" s="7" t="s">
        <v>44</v>
      </c>
      <c r="V544" s="7" t="s">
        <v>45</v>
      </c>
      <c r="W544" s="7" t="s">
        <v>67</v>
      </c>
      <c r="X544" s="7" t="s">
        <v>68</v>
      </c>
      <c r="Y544" s="7" t="s">
        <v>1384</v>
      </c>
      <c r="Z544" s="7" t="s">
        <v>1380</v>
      </c>
      <c r="AA544" s="7"/>
      <c r="AB544" s="7"/>
      <c r="AC544" s="7" t="s">
        <v>64</v>
      </c>
      <c r="AD544" s="7"/>
      <c r="AE544" s="7"/>
      <c r="AF544" s="7" t="s">
        <v>50</v>
      </c>
      <c r="AG544" s="7" t="s">
        <v>67</v>
      </c>
      <c r="AH544" s="7" t="s">
        <v>71</v>
      </c>
    </row>
    <row r="545" spans="1:34" ht="9.75" customHeight="1" x14ac:dyDescent="0.2">
      <c r="A545" s="7" t="s">
        <v>37</v>
      </c>
      <c r="B545" s="7" t="s">
        <v>38</v>
      </c>
      <c r="C545" s="7"/>
      <c r="D545" s="7" t="s">
        <v>1385</v>
      </c>
      <c r="E545" s="8">
        <v>1</v>
      </c>
      <c r="F545" s="7" t="s">
        <v>41</v>
      </c>
      <c r="G545" s="7"/>
      <c r="H545" s="9"/>
      <c r="I545" s="10">
        <v>5285</v>
      </c>
      <c r="J545" s="9"/>
      <c r="K545" s="9"/>
      <c r="L545" s="10">
        <v>1266</v>
      </c>
      <c r="M545" s="9"/>
      <c r="N545" s="10">
        <v>1266</v>
      </c>
      <c r="O545" s="9"/>
      <c r="P545" s="10"/>
      <c r="Q545" s="10"/>
      <c r="R545" s="10"/>
      <c r="S545" s="7" t="s">
        <v>407</v>
      </c>
      <c r="T545" s="7" t="s">
        <v>73</v>
      </c>
      <c r="U545" s="7" t="s">
        <v>44</v>
      </c>
      <c r="V545" s="7" t="s">
        <v>45</v>
      </c>
      <c r="W545" s="7" t="s">
        <v>67</v>
      </c>
      <c r="X545" s="7" t="s">
        <v>68</v>
      </c>
      <c r="Y545" s="7" t="s">
        <v>1386</v>
      </c>
      <c r="Z545" s="7" t="s">
        <v>1380</v>
      </c>
      <c r="AA545" s="7"/>
      <c r="AB545" s="7"/>
      <c r="AC545" s="7" t="s">
        <v>64</v>
      </c>
      <c r="AD545" s="7"/>
      <c r="AE545" s="7"/>
      <c r="AF545" s="7" t="s">
        <v>50</v>
      </c>
      <c r="AG545" s="7" t="s">
        <v>67</v>
      </c>
      <c r="AH545" s="7" t="s">
        <v>71</v>
      </c>
    </row>
    <row r="546" spans="1:34" ht="9.75" customHeight="1" x14ac:dyDescent="0.2">
      <c r="A546" s="7" t="s">
        <v>37</v>
      </c>
      <c r="B546" s="7" t="s">
        <v>38</v>
      </c>
      <c r="C546" s="7"/>
      <c r="D546" s="7" t="s">
        <v>1387</v>
      </c>
      <c r="E546" s="8">
        <v>1</v>
      </c>
      <c r="F546" s="7" t="s">
        <v>41</v>
      </c>
      <c r="G546" s="7"/>
      <c r="H546" s="9"/>
      <c r="I546" s="10">
        <v>20468</v>
      </c>
      <c r="J546" s="9"/>
      <c r="K546" s="9"/>
      <c r="L546" s="10">
        <v>28950</v>
      </c>
      <c r="M546" s="9"/>
      <c r="N546" s="10">
        <v>28950</v>
      </c>
      <c r="O546" s="9"/>
      <c r="P546" s="10"/>
      <c r="Q546" s="10"/>
      <c r="R546" s="10"/>
      <c r="S546" s="7" t="s">
        <v>407</v>
      </c>
      <c r="T546" s="7" t="s">
        <v>73</v>
      </c>
      <c r="U546" s="7" t="s">
        <v>44</v>
      </c>
      <c r="V546" s="7" t="s">
        <v>45</v>
      </c>
      <c r="W546" s="7" t="s">
        <v>67</v>
      </c>
      <c r="X546" s="7" t="s">
        <v>68</v>
      </c>
      <c r="Y546" s="7" t="s">
        <v>1388</v>
      </c>
      <c r="Z546" s="7" t="s">
        <v>1380</v>
      </c>
      <c r="AA546" s="7"/>
      <c r="AB546" s="7"/>
      <c r="AC546" s="7" t="s">
        <v>64</v>
      </c>
      <c r="AD546" s="7"/>
      <c r="AE546" s="7"/>
      <c r="AF546" s="7" t="s">
        <v>50</v>
      </c>
      <c r="AG546" s="7" t="s">
        <v>67</v>
      </c>
      <c r="AH546" s="7" t="s">
        <v>71</v>
      </c>
    </row>
    <row r="547" spans="1:34" ht="9.75" customHeight="1" x14ac:dyDescent="0.2">
      <c r="A547" s="7" t="s">
        <v>37</v>
      </c>
      <c r="B547" s="7" t="s">
        <v>38</v>
      </c>
      <c r="C547" s="7"/>
      <c r="D547" s="7" t="s">
        <v>1389</v>
      </c>
      <c r="E547" s="8">
        <v>1</v>
      </c>
      <c r="F547" s="7" t="s">
        <v>41</v>
      </c>
      <c r="G547" s="7"/>
      <c r="H547" s="9"/>
      <c r="I547" s="10">
        <v>15469</v>
      </c>
      <c r="J547" s="9"/>
      <c r="K547" s="9"/>
      <c r="L547" s="10">
        <v>18685</v>
      </c>
      <c r="M547" s="9"/>
      <c r="N547" s="10">
        <v>18685</v>
      </c>
      <c r="O547" s="9"/>
      <c r="P547" s="10"/>
      <c r="Q547" s="10"/>
      <c r="R547" s="10"/>
      <c r="S547" s="7" t="s">
        <v>407</v>
      </c>
      <c r="T547" s="7" t="s">
        <v>73</v>
      </c>
      <c r="U547" s="7" t="s">
        <v>44</v>
      </c>
      <c r="V547" s="7" t="s">
        <v>45</v>
      </c>
      <c r="W547" s="7" t="s">
        <v>67</v>
      </c>
      <c r="X547" s="7" t="s">
        <v>68</v>
      </c>
      <c r="Y547" s="7" t="s">
        <v>1390</v>
      </c>
      <c r="Z547" s="7" t="s">
        <v>1391</v>
      </c>
      <c r="AA547" s="7"/>
      <c r="AB547" s="7"/>
      <c r="AC547" s="7" t="s">
        <v>64</v>
      </c>
      <c r="AD547" s="7"/>
      <c r="AE547" s="7"/>
      <c r="AF547" s="7" t="s">
        <v>50</v>
      </c>
      <c r="AG547" s="7" t="s">
        <v>67</v>
      </c>
      <c r="AH547" s="7" t="s">
        <v>71</v>
      </c>
    </row>
    <row r="548" spans="1:34" ht="9.75" customHeight="1" x14ac:dyDescent="0.2">
      <c r="A548" s="7" t="s">
        <v>37</v>
      </c>
      <c r="B548" s="7" t="s">
        <v>38</v>
      </c>
      <c r="C548" s="7"/>
      <c r="D548" s="7" t="s">
        <v>1392</v>
      </c>
      <c r="E548" s="8">
        <v>1</v>
      </c>
      <c r="F548" s="7" t="s">
        <v>41</v>
      </c>
      <c r="G548" s="7"/>
      <c r="H548" s="9"/>
      <c r="I548" s="10">
        <v>91</v>
      </c>
      <c r="J548" s="9"/>
      <c r="K548" s="9"/>
      <c r="L548" s="10">
        <v>139</v>
      </c>
      <c r="M548" s="9"/>
      <c r="N548" s="10">
        <v>139</v>
      </c>
      <c r="O548" s="9"/>
      <c r="P548" s="10"/>
      <c r="Q548" s="10"/>
      <c r="R548" s="10"/>
      <c r="S548" s="7" t="s">
        <v>407</v>
      </c>
      <c r="T548" s="7" t="s">
        <v>73</v>
      </c>
      <c r="U548" s="7" t="s">
        <v>44</v>
      </c>
      <c r="V548" s="7" t="s">
        <v>45</v>
      </c>
      <c r="W548" s="7" t="s">
        <v>67</v>
      </c>
      <c r="X548" s="7" t="s">
        <v>68</v>
      </c>
      <c r="Y548" s="7" t="s">
        <v>1393</v>
      </c>
      <c r="Z548" s="7" t="s">
        <v>1391</v>
      </c>
      <c r="AA548" s="7"/>
      <c r="AB548" s="7"/>
      <c r="AC548" s="7" t="s">
        <v>64</v>
      </c>
      <c r="AD548" s="7"/>
      <c r="AE548" s="7"/>
      <c r="AF548" s="7" t="s">
        <v>50</v>
      </c>
      <c r="AG548" s="7" t="s">
        <v>67</v>
      </c>
      <c r="AH548" s="7" t="s">
        <v>71</v>
      </c>
    </row>
    <row r="549" spans="1:34" ht="9.75" customHeight="1" x14ac:dyDescent="0.2">
      <c r="A549" s="7" t="s">
        <v>37</v>
      </c>
      <c r="B549" s="7" t="s">
        <v>38</v>
      </c>
      <c r="C549" s="7"/>
      <c r="D549" s="7" t="s">
        <v>1394</v>
      </c>
      <c r="E549" s="8">
        <v>1</v>
      </c>
      <c r="F549" s="7" t="s">
        <v>41</v>
      </c>
      <c r="G549" s="7"/>
      <c r="H549" s="9"/>
      <c r="I549" s="10">
        <v>381</v>
      </c>
      <c r="J549" s="9"/>
      <c r="K549" s="9"/>
      <c r="L549" s="10">
        <v>408</v>
      </c>
      <c r="M549" s="9"/>
      <c r="N549" s="10">
        <v>408</v>
      </c>
      <c r="O549" s="9"/>
      <c r="P549" s="10"/>
      <c r="Q549" s="10"/>
      <c r="R549" s="10"/>
      <c r="S549" s="7" t="s">
        <v>407</v>
      </c>
      <c r="T549" s="7" t="s">
        <v>73</v>
      </c>
      <c r="U549" s="7" t="s">
        <v>44</v>
      </c>
      <c r="V549" s="7" t="s">
        <v>45</v>
      </c>
      <c r="W549" s="7" t="s">
        <v>67</v>
      </c>
      <c r="X549" s="7" t="s">
        <v>68</v>
      </c>
      <c r="Y549" s="7" t="s">
        <v>1395</v>
      </c>
      <c r="Z549" s="7" t="s">
        <v>1391</v>
      </c>
      <c r="AA549" s="7"/>
      <c r="AB549" s="7"/>
      <c r="AC549" s="7" t="s">
        <v>64</v>
      </c>
      <c r="AD549" s="7"/>
      <c r="AE549" s="7" t="s">
        <v>1396</v>
      </c>
      <c r="AF549" s="7" t="s">
        <v>50</v>
      </c>
      <c r="AG549" s="7" t="s">
        <v>67</v>
      </c>
      <c r="AH549" s="7" t="s">
        <v>71</v>
      </c>
    </row>
    <row r="550" spans="1:34" ht="9.75" customHeight="1" x14ac:dyDescent="0.2">
      <c r="A550" s="7" t="s">
        <v>37</v>
      </c>
      <c r="B550" s="7" t="s">
        <v>38</v>
      </c>
      <c r="C550" s="7"/>
      <c r="D550" s="7" t="s">
        <v>1397</v>
      </c>
      <c r="E550" s="8">
        <v>1</v>
      </c>
      <c r="F550" s="7" t="s">
        <v>41</v>
      </c>
      <c r="G550" s="7"/>
      <c r="H550" s="9"/>
      <c r="I550" s="10">
        <v>944</v>
      </c>
      <c r="J550" s="9"/>
      <c r="K550" s="9"/>
      <c r="L550" s="10">
        <v>1346</v>
      </c>
      <c r="M550" s="9"/>
      <c r="N550" s="10">
        <v>1346</v>
      </c>
      <c r="O550" s="9"/>
      <c r="P550" s="10"/>
      <c r="Q550" s="10"/>
      <c r="R550" s="10"/>
      <c r="S550" s="7" t="s">
        <v>407</v>
      </c>
      <c r="T550" s="7" t="s">
        <v>73</v>
      </c>
      <c r="U550" s="7" t="s">
        <v>44</v>
      </c>
      <c r="V550" s="7" t="s">
        <v>45</v>
      </c>
      <c r="W550" s="7" t="s">
        <v>67</v>
      </c>
      <c r="X550" s="7" t="s">
        <v>68</v>
      </c>
      <c r="Y550" s="7" t="s">
        <v>1398</v>
      </c>
      <c r="Z550" s="7" t="s">
        <v>1391</v>
      </c>
      <c r="AA550" s="7"/>
      <c r="AB550" s="7"/>
      <c r="AC550" s="7" t="s">
        <v>64</v>
      </c>
      <c r="AD550" s="7"/>
      <c r="AE550" s="7"/>
      <c r="AF550" s="7" t="s">
        <v>50</v>
      </c>
      <c r="AG550" s="7" t="s">
        <v>67</v>
      </c>
      <c r="AH550" s="7" t="s">
        <v>71</v>
      </c>
    </row>
    <row r="551" spans="1:34" ht="9.75" customHeight="1" x14ac:dyDescent="0.2">
      <c r="A551" s="7" t="s">
        <v>37</v>
      </c>
      <c r="B551" s="7" t="s">
        <v>38</v>
      </c>
      <c r="C551" s="7"/>
      <c r="D551" s="7" t="s">
        <v>1399</v>
      </c>
      <c r="E551" s="8">
        <v>1</v>
      </c>
      <c r="F551" s="7" t="s">
        <v>41</v>
      </c>
      <c r="G551" s="7"/>
      <c r="H551" s="9"/>
      <c r="I551" s="10">
        <v>739</v>
      </c>
      <c r="J551" s="9"/>
      <c r="K551" s="9"/>
      <c r="L551" s="10">
        <v>895</v>
      </c>
      <c r="M551" s="9"/>
      <c r="N551" s="10">
        <v>895</v>
      </c>
      <c r="O551" s="9"/>
      <c r="P551" s="10"/>
      <c r="Q551" s="10"/>
      <c r="R551" s="10"/>
      <c r="S551" s="7" t="s">
        <v>407</v>
      </c>
      <c r="T551" s="7" t="s">
        <v>73</v>
      </c>
      <c r="U551" s="7" t="s">
        <v>44</v>
      </c>
      <c r="V551" s="7" t="s">
        <v>45</v>
      </c>
      <c r="W551" s="7" t="s">
        <v>67</v>
      </c>
      <c r="X551" s="7" t="s">
        <v>68</v>
      </c>
      <c r="Y551" s="7" t="s">
        <v>1400</v>
      </c>
      <c r="Z551" s="7" t="s">
        <v>1391</v>
      </c>
      <c r="AA551" s="7"/>
      <c r="AB551" s="7"/>
      <c r="AC551" s="7" t="s">
        <v>64</v>
      </c>
      <c r="AD551" s="7"/>
      <c r="AE551" s="7"/>
      <c r="AF551" s="7" t="s">
        <v>50</v>
      </c>
      <c r="AG551" s="7" t="s">
        <v>67</v>
      </c>
      <c r="AH551" s="7" t="s">
        <v>71</v>
      </c>
    </row>
    <row r="552" spans="1:34" ht="9.75" customHeight="1" x14ac:dyDescent="0.2">
      <c r="A552" s="7" t="s">
        <v>37</v>
      </c>
      <c r="B552" s="7" t="s">
        <v>38</v>
      </c>
      <c r="C552" s="7"/>
      <c r="D552" s="7" t="s">
        <v>1401</v>
      </c>
      <c r="E552" s="8">
        <v>1</v>
      </c>
      <c r="F552" s="7" t="s">
        <v>41</v>
      </c>
      <c r="G552" s="7"/>
      <c r="H552" s="9"/>
      <c r="I552" s="10">
        <v>1581</v>
      </c>
      <c r="J552" s="9"/>
      <c r="K552" s="9"/>
      <c r="L552" s="10">
        <v>1804</v>
      </c>
      <c r="M552" s="9"/>
      <c r="N552" s="10">
        <v>1804</v>
      </c>
      <c r="O552" s="9"/>
      <c r="P552" s="10"/>
      <c r="Q552" s="10"/>
      <c r="R552" s="10"/>
      <c r="S552" s="7" t="s">
        <v>407</v>
      </c>
      <c r="T552" s="7" t="s">
        <v>73</v>
      </c>
      <c r="U552" s="7" t="s">
        <v>44</v>
      </c>
      <c r="V552" s="7" t="s">
        <v>45</v>
      </c>
      <c r="W552" s="7" t="s">
        <v>67</v>
      </c>
      <c r="X552" s="7" t="s">
        <v>68</v>
      </c>
      <c r="Y552" s="7" t="s">
        <v>1402</v>
      </c>
      <c r="Z552" s="7" t="s">
        <v>1391</v>
      </c>
      <c r="AA552" s="7"/>
      <c r="AB552" s="7"/>
      <c r="AC552" s="7" t="s">
        <v>64</v>
      </c>
      <c r="AD552" s="7"/>
      <c r="AE552" s="7"/>
      <c r="AF552" s="7" t="s">
        <v>50</v>
      </c>
      <c r="AG552" s="7" t="s">
        <v>67</v>
      </c>
      <c r="AH552" s="7" t="s">
        <v>71</v>
      </c>
    </row>
    <row r="553" spans="1:34" ht="9.75" customHeight="1" x14ac:dyDescent="0.2">
      <c r="A553" s="7" t="s">
        <v>37</v>
      </c>
      <c r="B553" s="7" t="s">
        <v>38</v>
      </c>
      <c r="C553" s="7"/>
      <c r="D553" s="7" t="s">
        <v>1403</v>
      </c>
      <c r="E553" s="8">
        <v>1</v>
      </c>
      <c r="F553" s="7" t="s">
        <v>41</v>
      </c>
      <c r="G553" s="7"/>
      <c r="H553" s="9"/>
      <c r="I553" s="10">
        <v>2558</v>
      </c>
      <c r="J553" s="9"/>
      <c r="K553" s="9"/>
      <c r="L553" s="10">
        <v>3278</v>
      </c>
      <c r="M553" s="9"/>
      <c r="N553" s="10">
        <v>3278</v>
      </c>
      <c r="O553" s="9"/>
      <c r="P553" s="10"/>
      <c r="Q553" s="10"/>
      <c r="R553" s="10"/>
      <c r="S553" s="7" t="s">
        <v>407</v>
      </c>
      <c r="T553" s="7" t="s">
        <v>73</v>
      </c>
      <c r="U553" s="7" t="s">
        <v>44</v>
      </c>
      <c r="V553" s="7" t="s">
        <v>45</v>
      </c>
      <c r="W553" s="7" t="s">
        <v>67</v>
      </c>
      <c r="X553" s="7" t="s">
        <v>68</v>
      </c>
      <c r="Y553" s="7" t="s">
        <v>1404</v>
      </c>
      <c r="Z553" s="7" t="s">
        <v>1405</v>
      </c>
      <c r="AA553" s="7"/>
      <c r="AB553" s="7"/>
      <c r="AC553" s="7" t="s">
        <v>64</v>
      </c>
      <c r="AD553" s="7"/>
      <c r="AE553" s="7"/>
      <c r="AF553" s="7" t="s">
        <v>50</v>
      </c>
      <c r="AG553" s="7" t="s">
        <v>67</v>
      </c>
      <c r="AH553" s="7" t="s">
        <v>71</v>
      </c>
    </row>
    <row r="554" spans="1:34" ht="9.75" customHeight="1" x14ac:dyDescent="0.2">
      <c r="A554" s="7" t="s">
        <v>37</v>
      </c>
      <c r="B554" s="7" t="s">
        <v>38</v>
      </c>
      <c r="C554" s="7"/>
      <c r="D554" s="7" t="s">
        <v>1406</v>
      </c>
      <c r="E554" s="8">
        <v>1</v>
      </c>
      <c r="F554" s="7" t="s">
        <v>41</v>
      </c>
      <c r="G554" s="7"/>
      <c r="H554" s="9"/>
      <c r="I554" s="10">
        <v>114</v>
      </c>
      <c r="J554" s="9"/>
      <c r="K554" s="9"/>
      <c r="L554" s="10">
        <v>260</v>
      </c>
      <c r="M554" s="9"/>
      <c r="N554" s="10">
        <v>260</v>
      </c>
      <c r="O554" s="9"/>
      <c r="P554" s="10"/>
      <c r="Q554" s="10"/>
      <c r="R554" s="10"/>
      <c r="S554" s="7" t="s">
        <v>407</v>
      </c>
      <c r="T554" s="7" t="s">
        <v>73</v>
      </c>
      <c r="U554" s="7" t="s">
        <v>44</v>
      </c>
      <c r="V554" s="7" t="s">
        <v>45</v>
      </c>
      <c r="W554" s="7" t="s">
        <v>67</v>
      </c>
      <c r="X554" s="7" t="s">
        <v>68</v>
      </c>
      <c r="Y554" s="7" t="s">
        <v>1407</v>
      </c>
      <c r="Z554" s="7" t="s">
        <v>1405</v>
      </c>
      <c r="AA554" s="7"/>
      <c r="AB554" s="7"/>
      <c r="AC554" s="7" t="s">
        <v>64</v>
      </c>
      <c r="AD554" s="7"/>
      <c r="AE554" s="7"/>
      <c r="AF554" s="7" t="s">
        <v>50</v>
      </c>
      <c r="AG554" s="7" t="s">
        <v>67</v>
      </c>
      <c r="AH554" s="7" t="s">
        <v>71</v>
      </c>
    </row>
    <row r="555" spans="1:34" ht="9.75" customHeight="1" x14ac:dyDescent="0.2">
      <c r="A555" s="7" t="s">
        <v>37</v>
      </c>
      <c r="B555" s="7" t="s">
        <v>38</v>
      </c>
      <c r="C555" s="7"/>
      <c r="D555" s="7" t="s">
        <v>1408</v>
      </c>
      <c r="E555" s="8">
        <v>1</v>
      </c>
      <c r="F555" s="7" t="s">
        <v>41</v>
      </c>
      <c r="G555" s="7"/>
      <c r="H555" s="9"/>
      <c r="I555" s="10">
        <v>231</v>
      </c>
      <c r="J555" s="9"/>
      <c r="K555" s="9"/>
      <c r="L555" s="10">
        <v>31</v>
      </c>
      <c r="M555" s="9"/>
      <c r="N555" s="10">
        <v>31</v>
      </c>
      <c r="O555" s="9"/>
      <c r="P555" s="10"/>
      <c r="Q555" s="10"/>
      <c r="R555" s="10"/>
      <c r="S555" s="7" t="s">
        <v>407</v>
      </c>
      <c r="T555" s="7" t="s">
        <v>73</v>
      </c>
      <c r="U555" s="7" t="s">
        <v>44</v>
      </c>
      <c r="V555" s="7" t="s">
        <v>45</v>
      </c>
      <c r="W555" s="7" t="s">
        <v>67</v>
      </c>
      <c r="X555" s="7" t="s">
        <v>68</v>
      </c>
      <c r="Y555" s="7" t="s">
        <v>1409</v>
      </c>
      <c r="Z555" s="7" t="s">
        <v>1405</v>
      </c>
      <c r="AA555" s="7"/>
      <c r="AB555" s="7"/>
      <c r="AC555" s="7" t="s">
        <v>64</v>
      </c>
      <c r="AD555" s="7"/>
      <c r="AE555" s="7"/>
      <c r="AF555" s="7" t="s">
        <v>50</v>
      </c>
      <c r="AG555" s="7" t="s">
        <v>67</v>
      </c>
      <c r="AH555" s="7" t="s">
        <v>71</v>
      </c>
    </row>
    <row r="556" spans="1:34" ht="9.75" customHeight="1" x14ac:dyDescent="0.2">
      <c r="A556" s="7" t="s">
        <v>37</v>
      </c>
      <c r="B556" s="7" t="s">
        <v>38</v>
      </c>
      <c r="C556" s="7"/>
      <c r="D556" s="7" t="s">
        <v>1410</v>
      </c>
      <c r="E556" s="8">
        <v>1</v>
      </c>
      <c r="F556" s="7" t="s">
        <v>41</v>
      </c>
      <c r="G556" s="7"/>
      <c r="H556" s="9"/>
      <c r="I556" s="9"/>
      <c r="J556" s="9"/>
      <c r="K556" s="9"/>
      <c r="L556" s="10">
        <v>106</v>
      </c>
      <c r="M556" s="9"/>
      <c r="N556" s="10">
        <v>106</v>
      </c>
      <c r="O556" s="9"/>
      <c r="P556" s="10"/>
      <c r="Q556" s="10"/>
      <c r="R556" s="10"/>
      <c r="S556" s="7" t="s">
        <v>407</v>
      </c>
      <c r="T556" s="7" t="s">
        <v>73</v>
      </c>
      <c r="U556" s="7" t="s">
        <v>44</v>
      </c>
      <c r="V556" s="7" t="s">
        <v>45</v>
      </c>
      <c r="W556" s="7" t="s">
        <v>67</v>
      </c>
      <c r="X556" s="7" t="s">
        <v>68</v>
      </c>
      <c r="Y556" s="7" t="s">
        <v>1411</v>
      </c>
      <c r="Z556" s="7" t="s">
        <v>1405</v>
      </c>
      <c r="AA556" s="7"/>
      <c r="AB556" s="7"/>
      <c r="AC556" s="7" t="s">
        <v>64</v>
      </c>
      <c r="AD556" s="7"/>
      <c r="AE556" s="7"/>
      <c r="AF556" s="7" t="s">
        <v>50</v>
      </c>
      <c r="AG556" s="7" t="s">
        <v>67</v>
      </c>
      <c r="AH556" s="7" t="s">
        <v>71</v>
      </c>
    </row>
    <row r="557" spans="1:34" ht="9.75" customHeight="1" x14ac:dyDescent="0.2">
      <c r="A557" s="7" t="s">
        <v>37</v>
      </c>
      <c r="B557" s="7" t="s">
        <v>38</v>
      </c>
      <c r="C557" s="7"/>
      <c r="D557" s="7" t="s">
        <v>1412</v>
      </c>
      <c r="E557" s="8">
        <v>1</v>
      </c>
      <c r="F557" s="7" t="s">
        <v>41</v>
      </c>
      <c r="G557" s="7"/>
      <c r="H557" s="9"/>
      <c r="I557" s="10">
        <v>474</v>
      </c>
      <c r="J557" s="9"/>
      <c r="K557" s="9"/>
      <c r="L557" s="10">
        <v>647</v>
      </c>
      <c r="M557" s="9"/>
      <c r="N557" s="10">
        <v>647</v>
      </c>
      <c r="O557" s="9"/>
      <c r="P557" s="10"/>
      <c r="Q557" s="10"/>
      <c r="R557" s="10"/>
      <c r="S557" s="7" t="s">
        <v>407</v>
      </c>
      <c r="T557" s="7" t="s">
        <v>73</v>
      </c>
      <c r="U557" s="7" t="s">
        <v>44</v>
      </c>
      <c r="V557" s="7" t="s">
        <v>45</v>
      </c>
      <c r="W557" s="7" t="s">
        <v>67</v>
      </c>
      <c r="X557" s="7" t="s">
        <v>68</v>
      </c>
      <c r="Y557" s="7" t="s">
        <v>1413</v>
      </c>
      <c r="Z557" s="7" t="s">
        <v>1405</v>
      </c>
      <c r="AA557" s="7"/>
      <c r="AB557" s="7"/>
      <c r="AC557" s="7" t="s">
        <v>64</v>
      </c>
      <c r="AD557" s="7"/>
      <c r="AE557" s="7"/>
      <c r="AF557" s="7" t="s">
        <v>50</v>
      </c>
      <c r="AG557" s="7" t="s">
        <v>67</v>
      </c>
      <c r="AH557" s="7" t="s">
        <v>71</v>
      </c>
    </row>
    <row r="558" spans="1:34" ht="9.75" customHeight="1" x14ac:dyDescent="0.2">
      <c r="A558" s="7" t="s">
        <v>37</v>
      </c>
      <c r="B558" s="7" t="s">
        <v>38</v>
      </c>
      <c r="C558" s="7"/>
      <c r="D558" s="7" t="s">
        <v>1414</v>
      </c>
      <c r="E558" s="8">
        <v>1</v>
      </c>
      <c r="F558" s="7" t="s">
        <v>41</v>
      </c>
      <c r="G558" s="7"/>
      <c r="H558" s="9"/>
      <c r="I558" s="10">
        <v>39800</v>
      </c>
      <c r="J558" s="9"/>
      <c r="K558" s="9"/>
      <c r="L558" s="10">
        <v>40644</v>
      </c>
      <c r="M558" s="9"/>
      <c r="N558" s="10">
        <v>40644</v>
      </c>
      <c r="O558" s="9"/>
      <c r="P558" s="10"/>
      <c r="Q558" s="10"/>
      <c r="R558" s="10"/>
      <c r="S558" s="7" t="s">
        <v>407</v>
      </c>
      <c r="T558" s="7" t="s">
        <v>73</v>
      </c>
      <c r="U558" s="7" t="s">
        <v>44</v>
      </c>
      <c r="V558" s="7" t="s">
        <v>45</v>
      </c>
      <c r="W558" s="7" t="s">
        <v>67</v>
      </c>
      <c r="X558" s="7" t="s">
        <v>68</v>
      </c>
      <c r="Y558" s="7" t="s">
        <v>1415</v>
      </c>
      <c r="Z558" s="7" t="s">
        <v>1416</v>
      </c>
      <c r="AA558" s="7"/>
      <c r="AB558" s="7"/>
      <c r="AC558" s="7" t="s">
        <v>64</v>
      </c>
      <c r="AD558" s="7"/>
      <c r="AE558" s="7"/>
      <c r="AF558" s="7" t="s">
        <v>50</v>
      </c>
      <c r="AG558" s="7" t="s">
        <v>67</v>
      </c>
      <c r="AH558" s="7" t="s">
        <v>71</v>
      </c>
    </row>
    <row r="559" spans="1:34" ht="9.75" customHeight="1" x14ac:dyDescent="0.2">
      <c r="A559" s="7" t="s">
        <v>37</v>
      </c>
      <c r="B559" s="7" t="s">
        <v>38</v>
      </c>
      <c r="C559" s="7"/>
      <c r="D559" s="7" t="s">
        <v>1417</v>
      </c>
      <c r="E559" s="8">
        <v>1</v>
      </c>
      <c r="F559" s="7" t="s">
        <v>41</v>
      </c>
      <c r="G559" s="7"/>
      <c r="H559" s="9"/>
      <c r="I559" s="10">
        <v>269</v>
      </c>
      <c r="J559" s="9"/>
      <c r="K559" s="9"/>
      <c r="L559" s="10">
        <v>435</v>
      </c>
      <c r="M559" s="9"/>
      <c r="N559" s="10">
        <v>435</v>
      </c>
      <c r="O559" s="9"/>
      <c r="P559" s="10"/>
      <c r="Q559" s="10"/>
      <c r="R559" s="10"/>
      <c r="S559" s="7" t="s">
        <v>407</v>
      </c>
      <c r="T559" s="7" t="s">
        <v>73</v>
      </c>
      <c r="U559" s="7" t="s">
        <v>44</v>
      </c>
      <c r="V559" s="7" t="s">
        <v>45</v>
      </c>
      <c r="W559" s="7" t="s">
        <v>67</v>
      </c>
      <c r="X559" s="7" t="s">
        <v>68</v>
      </c>
      <c r="Y559" s="7" t="s">
        <v>1418</v>
      </c>
      <c r="Z559" s="7" t="s">
        <v>1416</v>
      </c>
      <c r="AA559" s="7"/>
      <c r="AB559" s="7"/>
      <c r="AC559" s="7" t="s">
        <v>64</v>
      </c>
      <c r="AD559" s="7"/>
      <c r="AE559" s="7"/>
      <c r="AF559" s="7" t="s">
        <v>50</v>
      </c>
      <c r="AG559" s="7" t="s">
        <v>67</v>
      </c>
      <c r="AH559" s="7" t="s">
        <v>71</v>
      </c>
    </row>
    <row r="560" spans="1:34" ht="9.75" customHeight="1" x14ac:dyDescent="0.2">
      <c r="A560" s="7" t="s">
        <v>37</v>
      </c>
      <c r="B560" s="7" t="s">
        <v>38</v>
      </c>
      <c r="C560" s="7"/>
      <c r="D560" s="7" t="s">
        <v>1419</v>
      </c>
      <c r="E560" s="8">
        <v>1</v>
      </c>
      <c r="F560" s="7" t="s">
        <v>41</v>
      </c>
      <c r="G560" s="7"/>
      <c r="H560" s="9"/>
      <c r="I560" s="10">
        <v>1423</v>
      </c>
      <c r="J560" s="9"/>
      <c r="K560" s="9"/>
      <c r="L560" s="10">
        <v>1958</v>
      </c>
      <c r="M560" s="9"/>
      <c r="N560" s="10">
        <v>1958</v>
      </c>
      <c r="O560" s="9"/>
      <c r="P560" s="10"/>
      <c r="Q560" s="10"/>
      <c r="R560" s="10"/>
      <c r="S560" s="7" t="s">
        <v>407</v>
      </c>
      <c r="T560" s="7" t="s">
        <v>73</v>
      </c>
      <c r="U560" s="7" t="s">
        <v>44</v>
      </c>
      <c r="V560" s="7" t="s">
        <v>45</v>
      </c>
      <c r="W560" s="7" t="s">
        <v>67</v>
      </c>
      <c r="X560" s="7" t="s">
        <v>68</v>
      </c>
      <c r="Y560" s="7" t="s">
        <v>1420</v>
      </c>
      <c r="Z560" s="7" t="s">
        <v>1416</v>
      </c>
      <c r="AA560" s="7"/>
      <c r="AB560" s="7"/>
      <c r="AC560" s="7" t="s">
        <v>64</v>
      </c>
      <c r="AD560" s="7"/>
      <c r="AE560" s="7"/>
      <c r="AF560" s="7" t="s">
        <v>50</v>
      </c>
      <c r="AG560" s="7" t="s">
        <v>67</v>
      </c>
      <c r="AH560" s="7" t="s">
        <v>71</v>
      </c>
    </row>
    <row r="561" spans="1:34" ht="9.75" customHeight="1" x14ac:dyDescent="0.2">
      <c r="A561" s="7" t="s">
        <v>37</v>
      </c>
      <c r="B561" s="7" t="s">
        <v>38</v>
      </c>
      <c r="C561" s="7"/>
      <c r="D561" s="7" t="s">
        <v>1421</v>
      </c>
      <c r="E561" s="8">
        <v>1</v>
      </c>
      <c r="F561" s="7" t="s">
        <v>41</v>
      </c>
      <c r="G561" s="7"/>
      <c r="H561" s="9"/>
      <c r="I561" s="10">
        <v>736</v>
      </c>
      <c r="J561" s="9"/>
      <c r="K561" s="9"/>
      <c r="L561" s="10">
        <v>816</v>
      </c>
      <c r="M561" s="9"/>
      <c r="N561" s="10">
        <v>816</v>
      </c>
      <c r="O561" s="9"/>
      <c r="P561" s="10"/>
      <c r="Q561" s="10"/>
      <c r="R561" s="10"/>
      <c r="S561" s="7" t="s">
        <v>407</v>
      </c>
      <c r="T561" s="7" t="s">
        <v>73</v>
      </c>
      <c r="U561" s="7" t="s">
        <v>44</v>
      </c>
      <c r="V561" s="7" t="s">
        <v>45</v>
      </c>
      <c r="W561" s="7" t="s">
        <v>67</v>
      </c>
      <c r="X561" s="7" t="s">
        <v>68</v>
      </c>
      <c r="Y561" s="7" t="s">
        <v>1422</v>
      </c>
      <c r="Z561" s="7" t="s">
        <v>1416</v>
      </c>
      <c r="AA561" s="7"/>
      <c r="AB561" s="7"/>
      <c r="AC561" s="7" t="s">
        <v>64</v>
      </c>
      <c r="AD561" s="7"/>
      <c r="AE561" s="7"/>
      <c r="AF561" s="7" t="s">
        <v>50</v>
      </c>
      <c r="AG561" s="7" t="s">
        <v>67</v>
      </c>
      <c r="AH561" s="7" t="s">
        <v>71</v>
      </c>
    </row>
    <row r="562" spans="1:34" ht="9.75" customHeight="1" x14ac:dyDescent="0.2">
      <c r="A562" s="7" t="s">
        <v>37</v>
      </c>
      <c r="B562" s="7" t="s">
        <v>38</v>
      </c>
      <c r="C562" s="7"/>
      <c r="D562" s="7" t="s">
        <v>1423</v>
      </c>
      <c r="E562" s="8">
        <v>1</v>
      </c>
      <c r="F562" s="7" t="s">
        <v>41</v>
      </c>
      <c r="G562" s="7"/>
      <c r="H562" s="9"/>
      <c r="I562" s="10">
        <v>373</v>
      </c>
      <c r="J562" s="9"/>
      <c r="K562" s="9"/>
      <c r="L562" s="10">
        <v>773</v>
      </c>
      <c r="M562" s="9"/>
      <c r="N562" s="10">
        <v>773</v>
      </c>
      <c r="O562" s="9"/>
      <c r="P562" s="10"/>
      <c r="Q562" s="10"/>
      <c r="R562" s="10"/>
      <c r="S562" s="7" t="s">
        <v>407</v>
      </c>
      <c r="T562" s="7" t="s">
        <v>73</v>
      </c>
      <c r="U562" s="7" t="s">
        <v>44</v>
      </c>
      <c r="V562" s="7" t="s">
        <v>45</v>
      </c>
      <c r="W562" s="7" t="s">
        <v>67</v>
      </c>
      <c r="X562" s="7" t="s">
        <v>68</v>
      </c>
      <c r="Y562" s="7" t="s">
        <v>1424</v>
      </c>
      <c r="Z562" s="7" t="s">
        <v>1416</v>
      </c>
      <c r="AA562" s="7"/>
      <c r="AB562" s="7"/>
      <c r="AC562" s="7" t="s">
        <v>64</v>
      </c>
      <c r="AD562" s="7"/>
      <c r="AE562" s="7"/>
      <c r="AF562" s="7" t="s">
        <v>50</v>
      </c>
      <c r="AG562" s="7" t="s">
        <v>67</v>
      </c>
      <c r="AH562" s="7" t="s">
        <v>71</v>
      </c>
    </row>
    <row r="563" spans="1:34" ht="9.75" customHeight="1" x14ac:dyDescent="0.2">
      <c r="A563" s="7" t="s">
        <v>37</v>
      </c>
      <c r="B563" s="7" t="s">
        <v>38</v>
      </c>
      <c r="C563" s="7"/>
      <c r="D563" s="7" t="s">
        <v>1425</v>
      </c>
      <c r="E563" s="8">
        <v>1</v>
      </c>
      <c r="F563" s="7" t="s">
        <v>41</v>
      </c>
      <c r="G563" s="7"/>
      <c r="H563" s="9"/>
      <c r="I563" s="10">
        <v>1736</v>
      </c>
      <c r="J563" s="9"/>
      <c r="K563" s="9"/>
      <c r="L563" s="10">
        <v>1897</v>
      </c>
      <c r="M563" s="9"/>
      <c r="N563" s="10">
        <v>1897</v>
      </c>
      <c r="O563" s="9"/>
      <c r="P563" s="10"/>
      <c r="Q563" s="10"/>
      <c r="R563" s="10"/>
      <c r="S563" s="7" t="s">
        <v>407</v>
      </c>
      <c r="T563" s="7" t="s">
        <v>73</v>
      </c>
      <c r="U563" s="7" t="s">
        <v>44</v>
      </c>
      <c r="V563" s="7" t="s">
        <v>45</v>
      </c>
      <c r="W563" s="7" t="s">
        <v>67</v>
      </c>
      <c r="X563" s="7" t="s">
        <v>68</v>
      </c>
      <c r="Y563" s="7" t="s">
        <v>1426</v>
      </c>
      <c r="Z563" s="7" t="s">
        <v>1416</v>
      </c>
      <c r="AA563" s="7"/>
      <c r="AB563" s="7"/>
      <c r="AC563" s="7" t="s">
        <v>64</v>
      </c>
      <c r="AD563" s="7"/>
      <c r="AE563" s="7"/>
      <c r="AF563" s="7" t="s">
        <v>50</v>
      </c>
      <c r="AG563" s="7" t="s">
        <v>67</v>
      </c>
      <c r="AH563" s="7" t="s">
        <v>71</v>
      </c>
    </row>
    <row r="564" spans="1:34" ht="9.75" customHeight="1" x14ac:dyDescent="0.2">
      <c r="A564" s="7" t="s">
        <v>37</v>
      </c>
      <c r="B564" s="7" t="s">
        <v>38</v>
      </c>
      <c r="C564" s="7"/>
      <c r="D564" s="7" t="s">
        <v>1427</v>
      </c>
      <c r="E564" s="8">
        <v>1</v>
      </c>
      <c r="F564" s="7" t="s">
        <v>41</v>
      </c>
      <c r="G564" s="7"/>
      <c r="H564" s="9"/>
      <c r="I564" s="10">
        <v>2614</v>
      </c>
      <c r="J564" s="9"/>
      <c r="K564" s="9"/>
      <c r="L564" s="10">
        <v>2854</v>
      </c>
      <c r="M564" s="9"/>
      <c r="N564" s="10">
        <v>2854</v>
      </c>
      <c r="O564" s="9"/>
      <c r="P564" s="10"/>
      <c r="Q564" s="10"/>
      <c r="R564" s="10"/>
      <c r="S564" s="7" t="s">
        <v>407</v>
      </c>
      <c r="T564" s="7" t="s">
        <v>73</v>
      </c>
      <c r="U564" s="7" t="s">
        <v>44</v>
      </c>
      <c r="V564" s="7" t="s">
        <v>45</v>
      </c>
      <c r="W564" s="7" t="s">
        <v>67</v>
      </c>
      <c r="X564" s="7" t="s">
        <v>68</v>
      </c>
      <c r="Y564" s="7" t="s">
        <v>1428</v>
      </c>
      <c r="Z564" s="7" t="s">
        <v>1429</v>
      </c>
      <c r="AA564" s="7"/>
      <c r="AB564" s="7"/>
      <c r="AC564" s="7" t="s">
        <v>64</v>
      </c>
      <c r="AD564" s="7"/>
      <c r="AE564" s="7"/>
      <c r="AF564" s="7" t="s">
        <v>50</v>
      </c>
      <c r="AG564" s="7" t="s">
        <v>67</v>
      </c>
      <c r="AH564" s="7" t="s">
        <v>71</v>
      </c>
    </row>
    <row r="565" spans="1:34" ht="9.75" customHeight="1" x14ac:dyDescent="0.2">
      <c r="A565" s="7" t="s">
        <v>37</v>
      </c>
      <c r="B565" s="7" t="s">
        <v>38</v>
      </c>
      <c r="C565" s="7"/>
      <c r="D565" s="7" t="s">
        <v>1430</v>
      </c>
      <c r="E565" s="8">
        <v>1</v>
      </c>
      <c r="F565" s="7" t="s">
        <v>41</v>
      </c>
      <c r="G565" s="7"/>
      <c r="H565" s="9"/>
      <c r="I565" s="9"/>
      <c r="J565" s="9"/>
      <c r="K565" s="9"/>
      <c r="L565" s="10">
        <v>471</v>
      </c>
      <c r="M565" s="9"/>
      <c r="N565" s="10">
        <v>471</v>
      </c>
      <c r="O565" s="9"/>
      <c r="P565" s="10"/>
      <c r="Q565" s="10"/>
      <c r="R565" s="10"/>
      <c r="S565" s="7" t="s">
        <v>407</v>
      </c>
      <c r="T565" s="7" t="s">
        <v>73</v>
      </c>
      <c r="U565" s="7" t="s">
        <v>44</v>
      </c>
      <c r="V565" s="7" t="s">
        <v>45</v>
      </c>
      <c r="W565" s="7" t="s">
        <v>67</v>
      </c>
      <c r="X565" s="7" t="s">
        <v>68</v>
      </c>
      <c r="Y565" s="7" t="s">
        <v>1431</v>
      </c>
      <c r="Z565" s="7" t="s">
        <v>1429</v>
      </c>
      <c r="AA565" s="7"/>
      <c r="AB565" s="7"/>
      <c r="AC565" s="7" t="s">
        <v>64</v>
      </c>
      <c r="AD565" s="7"/>
      <c r="AE565" s="7"/>
      <c r="AF565" s="7" t="s">
        <v>50</v>
      </c>
      <c r="AG565" s="7" t="s">
        <v>67</v>
      </c>
      <c r="AH565" s="7" t="s">
        <v>71</v>
      </c>
    </row>
    <row r="566" spans="1:34" ht="9.75" customHeight="1" x14ac:dyDescent="0.2">
      <c r="A566" s="7" t="s">
        <v>37</v>
      </c>
      <c r="B566" s="7" t="s">
        <v>38</v>
      </c>
      <c r="C566" s="7"/>
      <c r="D566" s="7" t="s">
        <v>1432</v>
      </c>
      <c r="E566" s="8">
        <v>1</v>
      </c>
      <c r="F566" s="7" t="s">
        <v>41</v>
      </c>
      <c r="G566" s="7"/>
      <c r="H566" s="9"/>
      <c r="I566" s="10">
        <v>1053</v>
      </c>
      <c r="J566" s="9"/>
      <c r="K566" s="9"/>
      <c r="L566" s="10">
        <v>378</v>
      </c>
      <c r="M566" s="9"/>
      <c r="N566" s="10">
        <v>378</v>
      </c>
      <c r="O566" s="9"/>
      <c r="P566" s="10"/>
      <c r="Q566" s="10"/>
      <c r="R566" s="10"/>
      <c r="S566" s="7" t="s">
        <v>407</v>
      </c>
      <c r="T566" s="7" t="s">
        <v>73</v>
      </c>
      <c r="U566" s="7" t="s">
        <v>44</v>
      </c>
      <c r="V566" s="7" t="s">
        <v>45</v>
      </c>
      <c r="W566" s="7" t="s">
        <v>67</v>
      </c>
      <c r="X566" s="7" t="s">
        <v>68</v>
      </c>
      <c r="Y566" s="7" t="s">
        <v>1433</v>
      </c>
      <c r="Z566" s="7" t="s">
        <v>1429</v>
      </c>
      <c r="AA566" s="7"/>
      <c r="AB566" s="7"/>
      <c r="AC566" s="7" t="s">
        <v>64</v>
      </c>
      <c r="AD566" s="7"/>
      <c r="AE566" s="7"/>
      <c r="AF566" s="7" t="s">
        <v>50</v>
      </c>
      <c r="AG566" s="7" t="s">
        <v>67</v>
      </c>
      <c r="AH566" s="7" t="s">
        <v>71</v>
      </c>
    </row>
    <row r="567" spans="1:34" ht="9.75" customHeight="1" x14ac:dyDescent="0.2">
      <c r="A567" s="7" t="s">
        <v>37</v>
      </c>
      <c r="B567" s="7" t="s">
        <v>38</v>
      </c>
      <c r="C567" s="7"/>
      <c r="D567" s="7" t="s">
        <v>1434</v>
      </c>
      <c r="E567" s="8">
        <v>1</v>
      </c>
      <c r="F567" s="7" t="s">
        <v>41</v>
      </c>
      <c r="G567" s="7"/>
      <c r="H567" s="9"/>
      <c r="I567" s="10">
        <v>653</v>
      </c>
      <c r="J567" s="9"/>
      <c r="K567" s="9"/>
      <c r="L567" s="10">
        <v>825</v>
      </c>
      <c r="M567" s="9"/>
      <c r="N567" s="10">
        <v>825</v>
      </c>
      <c r="O567" s="9"/>
      <c r="P567" s="10"/>
      <c r="Q567" s="10"/>
      <c r="R567" s="10"/>
      <c r="S567" s="7" t="s">
        <v>407</v>
      </c>
      <c r="T567" s="7" t="s">
        <v>73</v>
      </c>
      <c r="U567" s="7" t="s">
        <v>44</v>
      </c>
      <c r="V567" s="7" t="s">
        <v>45</v>
      </c>
      <c r="W567" s="7" t="s">
        <v>67</v>
      </c>
      <c r="X567" s="7" t="s">
        <v>68</v>
      </c>
      <c r="Y567" s="7" t="s">
        <v>1435</v>
      </c>
      <c r="Z567" s="7" t="s">
        <v>1429</v>
      </c>
      <c r="AA567" s="7"/>
      <c r="AB567" s="7"/>
      <c r="AC567" s="7" t="s">
        <v>64</v>
      </c>
      <c r="AD567" s="7"/>
      <c r="AE567" s="7"/>
      <c r="AF567" s="7" t="s">
        <v>50</v>
      </c>
      <c r="AG567" s="7" t="s">
        <v>67</v>
      </c>
      <c r="AH567" s="7" t="s">
        <v>71</v>
      </c>
    </row>
    <row r="568" spans="1:34" ht="9.75" customHeight="1" x14ac:dyDescent="0.2">
      <c r="A568" s="7" t="s">
        <v>37</v>
      </c>
      <c r="B568" s="7" t="s">
        <v>38</v>
      </c>
      <c r="C568" s="7"/>
      <c r="D568" s="7" t="s">
        <v>1436</v>
      </c>
      <c r="E568" s="8">
        <v>1</v>
      </c>
      <c r="F568" s="7" t="s">
        <v>41</v>
      </c>
      <c r="G568" s="7"/>
      <c r="H568" s="9"/>
      <c r="I568" s="10">
        <v>1036</v>
      </c>
      <c r="J568" s="9"/>
      <c r="K568" s="9"/>
      <c r="L568" s="10">
        <v>4129</v>
      </c>
      <c r="M568" s="9"/>
      <c r="N568" s="10">
        <v>4129</v>
      </c>
      <c r="O568" s="9"/>
      <c r="P568" s="10"/>
      <c r="Q568" s="10"/>
      <c r="R568" s="10"/>
      <c r="S568" s="7" t="s">
        <v>407</v>
      </c>
      <c r="T568" s="7" t="s">
        <v>73</v>
      </c>
      <c r="U568" s="7" t="s">
        <v>44</v>
      </c>
      <c r="V568" s="7" t="s">
        <v>45</v>
      </c>
      <c r="W568" s="7" t="s">
        <v>67</v>
      </c>
      <c r="X568" s="7" t="s">
        <v>68</v>
      </c>
      <c r="Y568" s="7" t="s">
        <v>1437</v>
      </c>
      <c r="Z568" s="7" t="s">
        <v>1429</v>
      </c>
      <c r="AA568" s="7"/>
      <c r="AB568" s="7"/>
      <c r="AC568" s="7" t="s">
        <v>64</v>
      </c>
      <c r="AD568" s="7"/>
      <c r="AE568" s="7"/>
      <c r="AF568" s="7" t="s">
        <v>50</v>
      </c>
      <c r="AG568" s="7" t="s">
        <v>67</v>
      </c>
      <c r="AH568" s="7" t="s">
        <v>71</v>
      </c>
    </row>
    <row r="569" spans="1:34" ht="9.75" customHeight="1" x14ac:dyDescent="0.2">
      <c r="A569" s="7" t="s">
        <v>37</v>
      </c>
      <c r="B569" s="7" t="s">
        <v>38</v>
      </c>
      <c r="C569" s="7"/>
      <c r="D569" s="7" t="s">
        <v>1438</v>
      </c>
      <c r="E569" s="8">
        <v>1</v>
      </c>
      <c r="F569" s="7" t="s">
        <v>41</v>
      </c>
      <c r="G569" s="7"/>
      <c r="H569" s="9"/>
      <c r="I569" s="10">
        <v>12184</v>
      </c>
      <c r="J569" s="9"/>
      <c r="K569" s="9"/>
      <c r="L569" s="10">
        <v>15385</v>
      </c>
      <c r="M569" s="9"/>
      <c r="N569" s="10">
        <v>15385</v>
      </c>
      <c r="O569" s="9"/>
      <c r="P569" s="10"/>
      <c r="Q569" s="10"/>
      <c r="R569" s="10"/>
      <c r="S569" s="7" t="s">
        <v>407</v>
      </c>
      <c r="T569" s="7" t="s">
        <v>73</v>
      </c>
      <c r="U569" s="7" t="s">
        <v>44</v>
      </c>
      <c r="V569" s="7" t="s">
        <v>45</v>
      </c>
      <c r="W569" s="7" t="s">
        <v>67</v>
      </c>
      <c r="X569" s="7" t="s">
        <v>68</v>
      </c>
      <c r="Y569" s="7" t="s">
        <v>1439</v>
      </c>
      <c r="Z569" s="7" t="s">
        <v>1440</v>
      </c>
      <c r="AA569" s="7"/>
      <c r="AB569" s="7"/>
      <c r="AC569" s="7" t="s">
        <v>64</v>
      </c>
      <c r="AD569" s="7"/>
      <c r="AE569" s="7"/>
      <c r="AF569" s="7" t="s">
        <v>50</v>
      </c>
      <c r="AG569" s="7" t="s">
        <v>67</v>
      </c>
      <c r="AH569" s="7" t="s">
        <v>71</v>
      </c>
    </row>
    <row r="570" spans="1:34" ht="9.75" customHeight="1" x14ac:dyDescent="0.2">
      <c r="A570" s="7" t="s">
        <v>37</v>
      </c>
      <c r="B570" s="7" t="s">
        <v>38</v>
      </c>
      <c r="C570" s="7"/>
      <c r="D570" s="7" t="s">
        <v>1441</v>
      </c>
      <c r="E570" s="8">
        <v>1</v>
      </c>
      <c r="F570" s="7" t="s">
        <v>41</v>
      </c>
      <c r="G570" s="7"/>
      <c r="H570" s="9"/>
      <c r="I570" s="10">
        <v>13</v>
      </c>
      <c r="J570" s="9"/>
      <c r="K570" s="9"/>
      <c r="L570" s="10">
        <v>400</v>
      </c>
      <c r="M570" s="9"/>
      <c r="N570" s="10">
        <v>400</v>
      </c>
      <c r="O570" s="9"/>
      <c r="P570" s="10"/>
      <c r="Q570" s="10"/>
      <c r="R570" s="10"/>
      <c r="S570" s="7" t="s">
        <v>407</v>
      </c>
      <c r="T570" s="7" t="s">
        <v>73</v>
      </c>
      <c r="U570" s="7" t="s">
        <v>44</v>
      </c>
      <c r="V570" s="7" t="s">
        <v>45</v>
      </c>
      <c r="W570" s="7" t="s">
        <v>67</v>
      </c>
      <c r="X570" s="7" t="s">
        <v>68</v>
      </c>
      <c r="Y570" s="7" t="s">
        <v>1442</v>
      </c>
      <c r="Z570" s="7" t="s">
        <v>1440</v>
      </c>
      <c r="AA570" s="7"/>
      <c r="AB570" s="7"/>
      <c r="AC570" s="7" t="s">
        <v>64</v>
      </c>
      <c r="AD570" s="7"/>
      <c r="AE570" s="7"/>
      <c r="AF570" s="7" t="s">
        <v>50</v>
      </c>
      <c r="AG570" s="7" t="s">
        <v>67</v>
      </c>
      <c r="AH570" s="7" t="s">
        <v>71</v>
      </c>
    </row>
    <row r="571" spans="1:34" ht="9.75" customHeight="1" x14ac:dyDescent="0.2">
      <c r="A571" s="7" t="s">
        <v>37</v>
      </c>
      <c r="B571" s="7" t="s">
        <v>38</v>
      </c>
      <c r="C571" s="7"/>
      <c r="D571" s="7" t="s">
        <v>1443</v>
      </c>
      <c r="E571" s="8">
        <v>1</v>
      </c>
      <c r="F571" s="7" t="s">
        <v>41</v>
      </c>
      <c r="G571" s="7"/>
      <c r="H571" s="9"/>
      <c r="I571" s="9"/>
      <c r="J571" s="9"/>
      <c r="K571" s="9"/>
      <c r="L571" s="10">
        <v>134</v>
      </c>
      <c r="M571" s="9"/>
      <c r="N571" s="10">
        <v>134</v>
      </c>
      <c r="O571" s="9"/>
      <c r="P571" s="10"/>
      <c r="Q571" s="10"/>
      <c r="R571" s="10"/>
      <c r="S571" s="7" t="s">
        <v>407</v>
      </c>
      <c r="T571" s="7" t="s">
        <v>73</v>
      </c>
      <c r="U571" s="7" t="s">
        <v>44</v>
      </c>
      <c r="V571" s="7" t="s">
        <v>45</v>
      </c>
      <c r="W571" s="7" t="s">
        <v>67</v>
      </c>
      <c r="X571" s="7" t="s">
        <v>68</v>
      </c>
      <c r="Y571" s="7" t="s">
        <v>1444</v>
      </c>
      <c r="Z571" s="7" t="s">
        <v>1440</v>
      </c>
      <c r="AA571" s="7"/>
      <c r="AB571" s="7"/>
      <c r="AC571" s="7" t="s">
        <v>64</v>
      </c>
      <c r="AD571" s="7"/>
      <c r="AE571" s="7"/>
      <c r="AF571" s="7" t="s">
        <v>50</v>
      </c>
      <c r="AG571" s="7" t="s">
        <v>67</v>
      </c>
      <c r="AH571" s="7" t="s">
        <v>71</v>
      </c>
    </row>
    <row r="572" spans="1:34" ht="9.75" customHeight="1" x14ac:dyDescent="0.2">
      <c r="A572" s="7" t="s">
        <v>37</v>
      </c>
      <c r="B572" s="7" t="s">
        <v>38</v>
      </c>
      <c r="C572" s="7"/>
      <c r="D572" s="7" t="s">
        <v>1445</v>
      </c>
      <c r="E572" s="8">
        <v>1</v>
      </c>
      <c r="F572" s="7" t="s">
        <v>41</v>
      </c>
      <c r="G572" s="7"/>
      <c r="H572" s="9"/>
      <c r="I572" s="10">
        <v>2248</v>
      </c>
      <c r="J572" s="9"/>
      <c r="K572" s="9"/>
      <c r="L572" s="10">
        <v>1102</v>
      </c>
      <c r="M572" s="9"/>
      <c r="N572" s="10">
        <v>1102</v>
      </c>
      <c r="O572" s="9"/>
      <c r="P572" s="10"/>
      <c r="Q572" s="10"/>
      <c r="R572" s="10"/>
      <c r="S572" s="7" t="s">
        <v>407</v>
      </c>
      <c r="T572" s="7" t="s">
        <v>73</v>
      </c>
      <c r="U572" s="7" t="s">
        <v>44</v>
      </c>
      <c r="V572" s="7" t="s">
        <v>45</v>
      </c>
      <c r="W572" s="7" t="s">
        <v>67</v>
      </c>
      <c r="X572" s="7" t="s">
        <v>68</v>
      </c>
      <c r="Y572" s="7" t="s">
        <v>1446</v>
      </c>
      <c r="Z572" s="7" t="s">
        <v>1440</v>
      </c>
      <c r="AA572" s="7"/>
      <c r="AB572" s="7"/>
      <c r="AC572" s="7" t="s">
        <v>64</v>
      </c>
      <c r="AD572" s="7"/>
      <c r="AE572" s="7"/>
      <c r="AF572" s="7" t="s">
        <v>50</v>
      </c>
      <c r="AG572" s="7" t="s">
        <v>67</v>
      </c>
      <c r="AH572" s="7" t="s">
        <v>71</v>
      </c>
    </row>
    <row r="573" spans="1:34" ht="9.75" customHeight="1" x14ac:dyDescent="0.2">
      <c r="A573" s="7" t="s">
        <v>37</v>
      </c>
      <c r="B573" s="7" t="s">
        <v>38</v>
      </c>
      <c r="C573" s="7"/>
      <c r="D573" s="7" t="s">
        <v>1447</v>
      </c>
      <c r="E573" s="8">
        <v>1</v>
      </c>
      <c r="F573" s="7" t="s">
        <v>41</v>
      </c>
      <c r="G573" s="7"/>
      <c r="H573" s="9"/>
      <c r="I573" s="10">
        <v>429</v>
      </c>
      <c r="J573" s="9"/>
      <c r="K573" s="9"/>
      <c r="L573" s="10">
        <v>231</v>
      </c>
      <c r="M573" s="9"/>
      <c r="N573" s="10">
        <v>231</v>
      </c>
      <c r="O573" s="9"/>
      <c r="P573" s="10"/>
      <c r="Q573" s="10"/>
      <c r="R573" s="10"/>
      <c r="S573" s="7" t="s">
        <v>407</v>
      </c>
      <c r="T573" s="7" t="s">
        <v>73</v>
      </c>
      <c r="U573" s="7" t="s">
        <v>44</v>
      </c>
      <c r="V573" s="7" t="s">
        <v>45</v>
      </c>
      <c r="W573" s="7" t="s">
        <v>67</v>
      </c>
      <c r="X573" s="7" t="s">
        <v>68</v>
      </c>
      <c r="Y573" s="7" t="s">
        <v>1448</v>
      </c>
      <c r="Z573" s="7" t="s">
        <v>1440</v>
      </c>
      <c r="AA573" s="7"/>
      <c r="AB573" s="7"/>
      <c r="AC573" s="7" t="s">
        <v>64</v>
      </c>
      <c r="AD573" s="7"/>
      <c r="AE573" s="7"/>
      <c r="AF573" s="7" t="s">
        <v>50</v>
      </c>
      <c r="AG573" s="7" t="s">
        <v>67</v>
      </c>
      <c r="AH573" s="7" t="s">
        <v>71</v>
      </c>
    </row>
    <row r="574" spans="1:34" ht="9.75" customHeight="1" x14ac:dyDescent="0.2">
      <c r="A574" s="7" t="s">
        <v>37</v>
      </c>
      <c r="B574" s="7" t="s">
        <v>38</v>
      </c>
      <c r="C574" s="7"/>
      <c r="D574" s="7" t="s">
        <v>1449</v>
      </c>
      <c r="E574" s="8">
        <v>1</v>
      </c>
      <c r="F574" s="7" t="s">
        <v>41</v>
      </c>
      <c r="G574" s="7"/>
      <c r="H574" s="9"/>
      <c r="I574" s="10">
        <v>1228</v>
      </c>
      <c r="J574" s="9"/>
      <c r="K574" s="9"/>
      <c r="L574" s="10">
        <v>1332</v>
      </c>
      <c r="M574" s="9"/>
      <c r="N574" s="10">
        <v>1332</v>
      </c>
      <c r="O574" s="9"/>
      <c r="P574" s="10"/>
      <c r="Q574" s="10"/>
      <c r="R574" s="10"/>
      <c r="S574" s="7" t="s">
        <v>407</v>
      </c>
      <c r="T574" s="7" t="s">
        <v>73</v>
      </c>
      <c r="U574" s="7" t="s">
        <v>44</v>
      </c>
      <c r="V574" s="7" t="s">
        <v>45</v>
      </c>
      <c r="W574" s="7" t="s">
        <v>67</v>
      </c>
      <c r="X574" s="7" t="s">
        <v>68</v>
      </c>
      <c r="Y574" s="7" t="s">
        <v>1450</v>
      </c>
      <c r="Z574" s="7" t="s">
        <v>1440</v>
      </c>
      <c r="AA574" s="7"/>
      <c r="AB574" s="7"/>
      <c r="AC574" s="7" t="s">
        <v>64</v>
      </c>
      <c r="AD574" s="7"/>
      <c r="AE574" s="7"/>
      <c r="AF574" s="7" t="s">
        <v>50</v>
      </c>
      <c r="AG574" s="7" t="s">
        <v>67</v>
      </c>
      <c r="AH574" s="7" t="s">
        <v>71</v>
      </c>
    </row>
    <row r="575" spans="1:34" ht="9.75" customHeight="1" x14ac:dyDescent="0.2">
      <c r="A575" s="7" t="s">
        <v>37</v>
      </c>
      <c r="B575" s="7" t="s">
        <v>38</v>
      </c>
      <c r="C575" s="7"/>
      <c r="D575" s="7" t="s">
        <v>1451</v>
      </c>
      <c r="E575" s="8">
        <v>1</v>
      </c>
      <c r="F575" s="7" t="s">
        <v>41</v>
      </c>
      <c r="G575" s="7"/>
      <c r="H575" s="9"/>
      <c r="I575" s="10">
        <v>4505</v>
      </c>
      <c r="J575" s="9"/>
      <c r="K575" s="9"/>
      <c r="L575" s="10">
        <v>4883</v>
      </c>
      <c r="M575" s="9"/>
      <c r="N575" s="10">
        <v>4883</v>
      </c>
      <c r="O575" s="9"/>
      <c r="P575" s="10"/>
      <c r="Q575" s="10"/>
      <c r="R575" s="10"/>
      <c r="S575" s="7" t="s">
        <v>407</v>
      </c>
      <c r="T575" s="7" t="s">
        <v>73</v>
      </c>
      <c r="U575" s="7" t="s">
        <v>44</v>
      </c>
      <c r="V575" s="7" t="s">
        <v>45</v>
      </c>
      <c r="W575" s="7" t="s">
        <v>67</v>
      </c>
      <c r="X575" s="7" t="s">
        <v>68</v>
      </c>
      <c r="Y575" s="7" t="s">
        <v>1452</v>
      </c>
      <c r="Z575" s="7" t="s">
        <v>1453</v>
      </c>
      <c r="AA575" s="7"/>
      <c r="AB575" s="7"/>
      <c r="AC575" s="7" t="s">
        <v>64</v>
      </c>
      <c r="AD575" s="7"/>
      <c r="AE575" s="7"/>
      <c r="AF575" s="7" t="s">
        <v>50</v>
      </c>
      <c r="AG575" s="7" t="s">
        <v>67</v>
      </c>
      <c r="AH575" s="7" t="s">
        <v>71</v>
      </c>
    </row>
    <row r="576" spans="1:34" ht="9.75" customHeight="1" x14ac:dyDescent="0.2">
      <c r="A576" s="7" t="s">
        <v>37</v>
      </c>
      <c r="B576" s="7" t="s">
        <v>38</v>
      </c>
      <c r="C576" s="7"/>
      <c r="D576" s="7" t="s">
        <v>1454</v>
      </c>
      <c r="E576" s="8">
        <v>1</v>
      </c>
      <c r="F576" s="7" t="s">
        <v>41</v>
      </c>
      <c r="G576" s="7"/>
      <c r="H576" s="9"/>
      <c r="I576" s="10">
        <v>634</v>
      </c>
      <c r="J576" s="9"/>
      <c r="K576" s="9"/>
      <c r="L576" s="10">
        <v>221</v>
      </c>
      <c r="M576" s="9"/>
      <c r="N576" s="10">
        <v>221</v>
      </c>
      <c r="O576" s="9"/>
      <c r="P576" s="10"/>
      <c r="Q576" s="10"/>
      <c r="R576" s="10"/>
      <c r="S576" s="7" t="s">
        <v>407</v>
      </c>
      <c r="T576" s="7" t="s">
        <v>73</v>
      </c>
      <c r="U576" s="7" t="s">
        <v>44</v>
      </c>
      <c r="V576" s="7" t="s">
        <v>45</v>
      </c>
      <c r="W576" s="7" t="s">
        <v>67</v>
      </c>
      <c r="X576" s="7" t="s">
        <v>68</v>
      </c>
      <c r="Y576" s="7" t="s">
        <v>1455</v>
      </c>
      <c r="Z576" s="7" t="s">
        <v>1453</v>
      </c>
      <c r="AA576" s="7"/>
      <c r="AB576" s="7"/>
      <c r="AC576" s="7" t="s">
        <v>64</v>
      </c>
      <c r="AD576" s="7"/>
      <c r="AE576" s="7" t="s">
        <v>1456</v>
      </c>
      <c r="AF576" s="7" t="s">
        <v>50</v>
      </c>
      <c r="AG576" s="7" t="s">
        <v>67</v>
      </c>
      <c r="AH576" s="7" t="s">
        <v>71</v>
      </c>
    </row>
    <row r="577" spans="1:34" ht="9.75" customHeight="1" x14ac:dyDescent="0.2">
      <c r="A577" s="7" t="s">
        <v>37</v>
      </c>
      <c r="B577" s="7" t="s">
        <v>38</v>
      </c>
      <c r="C577" s="7"/>
      <c r="D577" s="7" t="s">
        <v>1457</v>
      </c>
      <c r="E577" s="8">
        <v>1</v>
      </c>
      <c r="F577" s="7" t="s">
        <v>41</v>
      </c>
      <c r="G577" s="7"/>
      <c r="H577" s="9"/>
      <c r="I577" s="10">
        <v>443</v>
      </c>
      <c r="J577" s="9"/>
      <c r="K577" s="9"/>
      <c r="L577" s="10">
        <v>1315</v>
      </c>
      <c r="M577" s="9"/>
      <c r="N577" s="10">
        <v>1315</v>
      </c>
      <c r="O577" s="9"/>
      <c r="P577" s="10"/>
      <c r="Q577" s="10"/>
      <c r="R577" s="10"/>
      <c r="S577" s="7" t="s">
        <v>407</v>
      </c>
      <c r="T577" s="7" t="s">
        <v>73</v>
      </c>
      <c r="U577" s="7" t="s">
        <v>44</v>
      </c>
      <c r="V577" s="7" t="s">
        <v>45</v>
      </c>
      <c r="W577" s="7" t="s">
        <v>67</v>
      </c>
      <c r="X577" s="7" t="s">
        <v>68</v>
      </c>
      <c r="Y577" s="7" t="s">
        <v>1458</v>
      </c>
      <c r="Z577" s="7" t="s">
        <v>1453</v>
      </c>
      <c r="AA577" s="7"/>
      <c r="AB577" s="7"/>
      <c r="AC577" s="7" t="s">
        <v>64</v>
      </c>
      <c r="AD577" s="7"/>
      <c r="AE577" s="7"/>
      <c r="AF577" s="7" t="s">
        <v>50</v>
      </c>
      <c r="AG577" s="7" t="s">
        <v>67</v>
      </c>
      <c r="AH577" s="7" t="s">
        <v>71</v>
      </c>
    </row>
    <row r="578" spans="1:34" ht="9.75" customHeight="1" x14ac:dyDescent="0.2">
      <c r="A578" s="7" t="s">
        <v>37</v>
      </c>
      <c r="B578" s="7" t="s">
        <v>38</v>
      </c>
      <c r="C578" s="7"/>
      <c r="D578" s="7" t="s">
        <v>1459</v>
      </c>
      <c r="E578" s="8">
        <v>1</v>
      </c>
      <c r="F578" s="7" t="s">
        <v>41</v>
      </c>
      <c r="G578" s="7"/>
      <c r="H578" s="9"/>
      <c r="I578" s="10">
        <v>573</v>
      </c>
      <c r="J578" s="9"/>
      <c r="K578" s="9"/>
      <c r="L578" s="10">
        <v>764</v>
      </c>
      <c r="M578" s="9"/>
      <c r="N578" s="10">
        <v>764</v>
      </c>
      <c r="O578" s="9"/>
      <c r="P578" s="10"/>
      <c r="Q578" s="10"/>
      <c r="R578" s="10"/>
      <c r="S578" s="7" t="s">
        <v>407</v>
      </c>
      <c r="T578" s="7" t="s">
        <v>73</v>
      </c>
      <c r="U578" s="7" t="s">
        <v>44</v>
      </c>
      <c r="V578" s="7" t="s">
        <v>45</v>
      </c>
      <c r="W578" s="7" t="s">
        <v>67</v>
      </c>
      <c r="X578" s="7" t="s">
        <v>68</v>
      </c>
      <c r="Y578" s="7" t="s">
        <v>1460</v>
      </c>
      <c r="Z578" s="7" t="s">
        <v>1453</v>
      </c>
      <c r="AA578" s="7"/>
      <c r="AB578" s="7"/>
      <c r="AC578" s="7" t="s">
        <v>64</v>
      </c>
      <c r="AD578" s="7"/>
      <c r="AE578" s="7"/>
      <c r="AF578" s="7" t="s">
        <v>50</v>
      </c>
      <c r="AG578" s="7" t="s">
        <v>67</v>
      </c>
      <c r="AH578" s="7" t="s">
        <v>71</v>
      </c>
    </row>
    <row r="579" spans="1:34" ht="9.75" customHeight="1" x14ac:dyDescent="0.2">
      <c r="A579" s="7" t="s">
        <v>37</v>
      </c>
      <c r="B579" s="7" t="s">
        <v>38</v>
      </c>
      <c r="C579" s="7"/>
      <c r="D579" s="7" t="s">
        <v>1461</v>
      </c>
      <c r="E579" s="8">
        <v>1</v>
      </c>
      <c r="F579" s="7" t="s">
        <v>41</v>
      </c>
      <c r="G579" s="7"/>
      <c r="H579" s="9"/>
      <c r="I579" s="10">
        <v>1539</v>
      </c>
      <c r="J579" s="9"/>
      <c r="K579" s="9"/>
      <c r="L579" s="10">
        <v>1473</v>
      </c>
      <c r="M579" s="9"/>
      <c r="N579" s="10">
        <v>1473</v>
      </c>
      <c r="O579" s="9"/>
      <c r="P579" s="10"/>
      <c r="Q579" s="10"/>
      <c r="R579" s="10"/>
      <c r="S579" s="7" t="s">
        <v>407</v>
      </c>
      <c r="T579" s="7" t="s">
        <v>73</v>
      </c>
      <c r="U579" s="7" t="s">
        <v>44</v>
      </c>
      <c r="V579" s="7" t="s">
        <v>45</v>
      </c>
      <c r="W579" s="7" t="s">
        <v>67</v>
      </c>
      <c r="X579" s="7" t="s">
        <v>68</v>
      </c>
      <c r="Y579" s="7" t="s">
        <v>1462</v>
      </c>
      <c r="Z579" s="7" t="s">
        <v>1453</v>
      </c>
      <c r="AA579" s="7"/>
      <c r="AB579" s="7"/>
      <c r="AC579" s="7" t="s">
        <v>64</v>
      </c>
      <c r="AD579" s="7"/>
      <c r="AE579" s="7"/>
      <c r="AF579" s="7" t="s">
        <v>50</v>
      </c>
      <c r="AG579" s="7" t="s">
        <v>67</v>
      </c>
      <c r="AH579" s="7" t="s">
        <v>71</v>
      </c>
    </row>
    <row r="580" spans="1:34" ht="9.75" customHeight="1" x14ac:dyDescent="0.2">
      <c r="A580" s="7" t="s">
        <v>37</v>
      </c>
      <c r="B580" s="7" t="s">
        <v>38</v>
      </c>
      <c r="C580" s="7"/>
      <c r="D580" s="7" t="s">
        <v>1463</v>
      </c>
      <c r="E580" s="8">
        <v>1</v>
      </c>
      <c r="F580" s="7" t="s">
        <v>41</v>
      </c>
      <c r="G580" s="7"/>
      <c r="H580" s="9"/>
      <c r="I580" s="9"/>
      <c r="J580" s="9"/>
      <c r="K580" s="9"/>
      <c r="L580" s="10">
        <v>8115</v>
      </c>
      <c r="M580" s="9"/>
      <c r="N580" s="10">
        <v>8115</v>
      </c>
      <c r="O580" s="9"/>
      <c r="P580" s="10"/>
      <c r="Q580" s="10"/>
      <c r="R580" s="10"/>
      <c r="S580" s="7" t="s">
        <v>407</v>
      </c>
      <c r="T580" s="7" t="s">
        <v>73</v>
      </c>
      <c r="U580" s="7" t="s">
        <v>44</v>
      </c>
      <c r="V580" s="7" t="s">
        <v>45</v>
      </c>
      <c r="W580" s="7" t="s">
        <v>67</v>
      </c>
      <c r="X580" s="7" t="s">
        <v>68</v>
      </c>
      <c r="Y580" s="7" t="s">
        <v>1464</v>
      </c>
      <c r="Z580" s="7" t="s">
        <v>1465</v>
      </c>
      <c r="AA580" s="7"/>
      <c r="AB580" s="7"/>
      <c r="AC580" s="7" t="s">
        <v>64</v>
      </c>
      <c r="AD580" s="7"/>
      <c r="AE580" s="7"/>
      <c r="AF580" s="7" t="s">
        <v>50</v>
      </c>
      <c r="AG580" s="7" t="s">
        <v>67</v>
      </c>
      <c r="AH580" s="7" t="s">
        <v>71</v>
      </c>
    </row>
    <row r="581" spans="1:34" ht="9.75" customHeight="1" x14ac:dyDescent="0.2">
      <c r="A581" s="7" t="s">
        <v>37</v>
      </c>
      <c r="B581" s="7" t="s">
        <v>38</v>
      </c>
      <c r="C581" s="7"/>
      <c r="D581" s="7" t="s">
        <v>1466</v>
      </c>
      <c r="E581" s="8">
        <v>1</v>
      </c>
      <c r="F581" s="7" t="s">
        <v>41</v>
      </c>
      <c r="G581" s="7"/>
      <c r="H581" s="9"/>
      <c r="I581" s="9"/>
      <c r="J581" s="9"/>
      <c r="K581" s="9"/>
      <c r="L581" s="10">
        <v>204</v>
      </c>
      <c r="M581" s="9"/>
      <c r="N581" s="10">
        <v>204</v>
      </c>
      <c r="O581" s="9"/>
      <c r="P581" s="10"/>
      <c r="Q581" s="10"/>
      <c r="R581" s="10"/>
      <c r="S581" s="7" t="s">
        <v>407</v>
      </c>
      <c r="T581" s="7" t="s">
        <v>73</v>
      </c>
      <c r="U581" s="7" t="s">
        <v>44</v>
      </c>
      <c r="V581" s="7" t="s">
        <v>45</v>
      </c>
      <c r="W581" s="7" t="s">
        <v>67</v>
      </c>
      <c r="X581" s="7" t="s">
        <v>68</v>
      </c>
      <c r="Y581" s="7" t="s">
        <v>1467</v>
      </c>
      <c r="Z581" s="7" t="s">
        <v>1465</v>
      </c>
      <c r="AA581" s="7"/>
      <c r="AB581" s="7"/>
      <c r="AC581" s="7" t="s">
        <v>64</v>
      </c>
      <c r="AD581" s="7"/>
      <c r="AE581" s="7"/>
      <c r="AF581" s="7" t="s">
        <v>50</v>
      </c>
      <c r="AG581" s="7" t="s">
        <v>67</v>
      </c>
      <c r="AH581" s="7" t="s">
        <v>71</v>
      </c>
    </row>
    <row r="582" spans="1:34" ht="9.75" customHeight="1" x14ac:dyDescent="0.2">
      <c r="A582" s="7" t="s">
        <v>37</v>
      </c>
      <c r="B582" s="7" t="s">
        <v>38</v>
      </c>
      <c r="C582" s="7"/>
      <c r="D582" s="7" t="s">
        <v>1468</v>
      </c>
      <c r="E582" s="8">
        <v>1</v>
      </c>
      <c r="F582" s="7" t="s">
        <v>41</v>
      </c>
      <c r="G582" s="7"/>
      <c r="H582" s="9"/>
      <c r="I582" s="9"/>
      <c r="J582" s="9"/>
      <c r="K582" s="9"/>
      <c r="L582" s="10">
        <v>45</v>
      </c>
      <c r="M582" s="9"/>
      <c r="N582" s="10">
        <v>45</v>
      </c>
      <c r="O582" s="9"/>
      <c r="P582" s="10"/>
      <c r="Q582" s="10"/>
      <c r="R582" s="10"/>
      <c r="S582" s="7" t="s">
        <v>407</v>
      </c>
      <c r="T582" s="7" t="s">
        <v>73</v>
      </c>
      <c r="U582" s="7" t="s">
        <v>44</v>
      </c>
      <c r="V582" s="7" t="s">
        <v>45</v>
      </c>
      <c r="W582" s="7" t="s">
        <v>67</v>
      </c>
      <c r="X582" s="7" t="s">
        <v>68</v>
      </c>
      <c r="Y582" s="7" t="s">
        <v>1469</v>
      </c>
      <c r="Z582" s="7" t="s">
        <v>1465</v>
      </c>
      <c r="AA582" s="7"/>
      <c r="AB582" s="7"/>
      <c r="AC582" s="7" t="s">
        <v>64</v>
      </c>
      <c r="AD582" s="7"/>
      <c r="AE582" s="7"/>
      <c r="AF582" s="7" t="s">
        <v>50</v>
      </c>
      <c r="AG582" s="7" t="s">
        <v>67</v>
      </c>
      <c r="AH582" s="7" t="s">
        <v>71</v>
      </c>
    </row>
    <row r="583" spans="1:34" ht="9.75" customHeight="1" x14ac:dyDescent="0.2">
      <c r="A583" s="7" t="s">
        <v>37</v>
      </c>
      <c r="B583" s="7" t="s">
        <v>38</v>
      </c>
      <c r="C583" s="7"/>
      <c r="D583" s="7" t="s">
        <v>1470</v>
      </c>
      <c r="E583" s="8">
        <v>1</v>
      </c>
      <c r="F583" s="7" t="s">
        <v>41</v>
      </c>
      <c r="G583" s="7"/>
      <c r="H583" s="9"/>
      <c r="I583" s="9"/>
      <c r="J583" s="9"/>
      <c r="K583" s="9"/>
      <c r="L583" s="10">
        <v>473</v>
      </c>
      <c r="M583" s="9"/>
      <c r="N583" s="10">
        <v>473</v>
      </c>
      <c r="O583" s="9"/>
      <c r="P583" s="10"/>
      <c r="Q583" s="10"/>
      <c r="R583" s="10"/>
      <c r="S583" s="7" t="s">
        <v>407</v>
      </c>
      <c r="T583" s="7" t="s">
        <v>73</v>
      </c>
      <c r="U583" s="7" t="s">
        <v>44</v>
      </c>
      <c r="V583" s="7" t="s">
        <v>45</v>
      </c>
      <c r="W583" s="7" t="s">
        <v>67</v>
      </c>
      <c r="X583" s="7" t="s">
        <v>68</v>
      </c>
      <c r="Y583" s="7" t="s">
        <v>1471</v>
      </c>
      <c r="Z583" s="7" t="s">
        <v>1465</v>
      </c>
      <c r="AA583" s="7"/>
      <c r="AB583" s="7"/>
      <c r="AC583" s="7" t="s">
        <v>64</v>
      </c>
      <c r="AD583" s="7"/>
      <c r="AE583" s="7"/>
      <c r="AF583" s="7" t="s">
        <v>50</v>
      </c>
      <c r="AG583" s="7" t="s">
        <v>67</v>
      </c>
      <c r="AH583" s="7" t="s">
        <v>71</v>
      </c>
    </row>
    <row r="584" spans="1:34" ht="9.75" customHeight="1" x14ac:dyDescent="0.2">
      <c r="A584" s="7" t="s">
        <v>37</v>
      </c>
      <c r="B584" s="7" t="s">
        <v>38</v>
      </c>
      <c r="C584" s="7"/>
      <c r="D584" s="7" t="s">
        <v>1472</v>
      </c>
      <c r="E584" s="8">
        <v>1</v>
      </c>
      <c r="F584" s="7" t="s">
        <v>41</v>
      </c>
      <c r="G584" s="7"/>
      <c r="H584" s="9"/>
      <c r="I584" s="9"/>
      <c r="J584" s="9"/>
      <c r="K584" s="9"/>
      <c r="L584" s="10">
        <v>3145</v>
      </c>
      <c r="M584" s="9"/>
      <c r="N584" s="10">
        <v>3145</v>
      </c>
      <c r="O584" s="9"/>
      <c r="P584" s="10"/>
      <c r="Q584" s="10"/>
      <c r="R584" s="10"/>
      <c r="S584" s="7" t="s">
        <v>407</v>
      </c>
      <c r="T584" s="7" t="s">
        <v>73</v>
      </c>
      <c r="U584" s="7" t="s">
        <v>44</v>
      </c>
      <c r="V584" s="7" t="s">
        <v>45</v>
      </c>
      <c r="W584" s="7" t="s">
        <v>67</v>
      </c>
      <c r="X584" s="7" t="s">
        <v>68</v>
      </c>
      <c r="Y584" s="7" t="s">
        <v>1473</v>
      </c>
      <c r="Z584" s="7" t="s">
        <v>1474</v>
      </c>
      <c r="AA584" s="7"/>
      <c r="AB584" s="7"/>
      <c r="AC584" s="7" t="s">
        <v>64</v>
      </c>
      <c r="AD584" s="7"/>
      <c r="AE584" s="7"/>
      <c r="AF584" s="7" t="s">
        <v>50</v>
      </c>
      <c r="AG584" s="7" t="s">
        <v>67</v>
      </c>
      <c r="AH584" s="7" t="s">
        <v>71</v>
      </c>
    </row>
    <row r="585" spans="1:34" ht="9.75" customHeight="1" x14ac:dyDescent="0.2">
      <c r="A585" s="7" t="s">
        <v>37</v>
      </c>
      <c r="B585" s="7" t="s">
        <v>38</v>
      </c>
      <c r="C585" s="7"/>
      <c r="D585" s="7" t="s">
        <v>1475</v>
      </c>
      <c r="E585" s="8">
        <v>1</v>
      </c>
      <c r="F585" s="7" t="s">
        <v>41</v>
      </c>
      <c r="G585" s="7"/>
      <c r="H585" s="9"/>
      <c r="I585" s="9"/>
      <c r="J585" s="9"/>
      <c r="K585" s="9"/>
      <c r="L585" s="10">
        <v>397</v>
      </c>
      <c r="M585" s="9"/>
      <c r="N585" s="10">
        <v>397</v>
      </c>
      <c r="O585" s="9"/>
      <c r="P585" s="10"/>
      <c r="Q585" s="10"/>
      <c r="R585" s="10"/>
      <c r="S585" s="7" t="s">
        <v>407</v>
      </c>
      <c r="T585" s="7" t="s">
        <v>73</v>
      </c>
      <c r="U585" s="7" t="s">
        <v>44</v>
      </c>
      <c r="V585" s="7" t="s">
        <v>45</v>
      </c>
      <c r="W585" s="7" t="s">
        <v>67</v>
      </c>
      <c r="X585" s="7" t="s">
        <v>68</v>
      </c>
      <c r="Y585" s="7" t="s">
        <v>1476</v>
      </c>
      <c r="Z585" s="7" t="s">
        <v>1474</v>
      </c>
      <c r="AA585" s="7"/>
      <c r="AB585" s="7"/>
      <c r="AC585" s="7" t="s">
        <v>64</v>
      </c>
      <c r="AD585" s="7"/>
      <c r="AE585" s="7"/>
      <c r="AF585" s="7" t="s">
        <v>50</v>
      </c>
      <c r="AG585" s="7" t="s">
        <v>67</v>
      </c>
      <c r="AH585" s="7" t="s">
        <v>71</v>
      </c>
    </row>
    <row r="586" spans="1:34" ht="9.75" customHeight="1" x14ac:dyDescent="0.2">
      <c r="A586" s="7" t="s">
        <v>37</v>
      </c>
      <c r="B586" s="7" t="s">
        <v>38</v>
      </c>
      <c r="C586" s="7"/>
      <c r="D586" s="7" t="s">
        <v>1477</v>
      </c>
      <c r="E586" s="8">
        <v>1</v>
      </c>
      <c r="F586" s="7" t="s">
        <v>41</v>
      </c>
      <c r="G586" s="7"/>
      <c r="H586" s="9"/>
      <c r="I586" s="9"/>
      <c r="J586" s="9"/>
      <c r="K586" s="9"/>
      <c r="L586" s="10">
        <v>291</v>
      </c>
      <c r="M586" s="9"/>
      <c r="N586" s="10">
        <v>291</v>
      </c>
      <c r="O586" s="9"/>
      <c r="P586" s="10"/>
      <c r="Q586" s="10"/>
      <c r="R586" s="10"/>
      <c r="S586" s="7" t="s">
        <v>407</v>
      </c>
      <c r="T586" s="7" t="s">
        <v>73</v>
      </c>
      <c r="U586" s="7" t="s">
        <v>44</v>
      </c>
      <c r="V586" s="7" t="s">
        <v>45</v>
      </c>
      <c r="W586" s="7" t="s">
        <v>67</v>
      </c>
      <c r="X586" s="7" t="s">
        <v>68</v>
      </c>
      <c r="Y586" s="7" t="s">
        <v>1478</v>
      </c>
      <c r="Z586" s="7" t="s">
        <v>1474</v>
      </c>
      <c r="AA586" s="7"/>
      <c r="AB586" s="7"/>
      <c r="AC586" s="7" t="s">
        <v>64</v>
      </c>
      <c r="AD586" s="7"/>
      <c r="AE586" s="7"/>
      <c r="AF586" s="7" t="s">
        <v>50</v>
      </c>
      <c r="AG586" s="7" t="s">
        <v>67</v>
      </c>
      <c r="AH586" s="7" t="s">
        <v>71</v>
      </c>
    </row>
    <row r="587" spans="1:34" ht="9.75" customHeight="1" x14ac:dyDescent="0.2">
      <c r="A587" s="7" t="s">
        <v>37</v>
      </c>
      <c r="B587" s="7" t="s">
        <v>38</v>
      </c>
      <c r="C587" s="7"/>
      <c r="D587" s="7" t="s">
        <v>1479</v>
      </c>
      <c r="E587" s="8">
        <v>1</v>
      </c>
      <c r="F587" s="7" t="s">
        <v>41</v>
      </c>
      <c r="G587" s="7"/>
      <c r="H587" s="9"/>
      <c r="I587" s="9"/>
      <c r="J587" s="9"/>
      <c r="K587" s="9"/>
      <c r="L587" s="10">
        <v>730</v>
      </c>
      <c r="M587" s="9"/>
      <c r="N587" s="10">
        <v>730</v>
      </c>
      <c r="O587" s="9"/>
      <c r="P587" s="10"/>
      <c r="Q587" s="10"/>
      <c r="R587" s="10"/>
      <c r="S587" s="7" t="s">
        <v>407</v>
      </c>
      <c r="T587" s="7" t="s">
        <v>73</v>
      </c>
      <c r="U587" s="7" t="s">
        <v>44</v>
      </c>
      <c r="V587" s="7" t="s">
        <v>45</v>
      </c>
      <c r="W587" s="7" t="s">
        <v>67</v>
      </c>
      <c r="X587" s="7" t="s">
        <v>68</v>
      </c>
      <c r="Y587" s="7" t="s">
        <v>1480</v>
      </c>
      <c r="Z587" s="7" t="s">
        <v>1474</v>
      </c>
      <c r="AA587" s="7"/>
      <c r="AB587" s="7"/>
      <c r="AC587" s="7" t="s">
        <v>64</v>
      </c>
      <c r="AD587" s="7"/>
      <c r="AE587" s="7"/>
      <c r="AF587" s="7" t="s">
        <v>50</v>
      </c>
      <c r="AG587" s="7" t="s">
        <v>67</v>
      </c>
      <c r="AH587" s="7" t="s">
        <v>71</v>
      </c>
    </row>
    <row r="588" spans="1:34" ht="9.75" customHeight="1" x14ac:dyDescent="0.2">
      <c r="A588" s="7" t="s">
        <v>37</v>
      </c>
      <c r="B588" s="7" t="s">
        <v>38</v>
      </c>
      <c r="C588" s="7"/>
      <c r="D588" s="7" t="s">
        <v>1481</v>
      </c>
      <c r="E588" s="8">
        <v>1</v>
      </c>
      <c r="F588" s="7" t="s">
        <v>41</v>
      </c>
      <c r="G588" s="7"/>
      <c r="H588" s="9"/>
      <c r="I588" s="9"/>
      <c r="J588" s="9"/>
      <c r="K588" s="9"/>
      <c r="L588" s="10">
        <v>960</v>
      </c>
      <c r="M588" s="9"/>
      <c r="N588" s="10">
        <v>960</v>
      </c>
      <c r="O588" s="9"/>
      <c r="P588" s="10"/>
      <c r="Q588" s="10"/>
      <c r="R588" s="10"/>
      <c r="S588" s="7" t="s">
        <v>407</v>
      </c>
      <c r="T588" s="7" t="s">
        <v>73</v>
      </c>
      <c r="U588" s="7" t="s">
        <v>44</v>
      </c>
      <c r="V588" s="7" t="s">
        <v>45</v>
      </c>
      <c r="W588" s="7" t="s">
        <v>67</v>
      </c>
      <c r="X588" s="7" t="s">
        <v>68</v>
      </c>
      <c r="Y588" s="7" t="s">
        <v>1482</v>
      </c>
      <c r="Z588" s="7" t="s">
        <v>1474</v>
      </c>
      <c r="AA588" s="7"/>
      <c r="AB588" s="7"/>
      <c r="AC588" s="7" t="s">
        <v>64</v>
      </c>
      <c r="AD588" s="7"/>
      <c r="AE588" s="7"/>
      <c r="AF588" s="7" t="s">
        <v>50</v>
      </c>
      <c r="AG588" s="7" t="s">
        <v>67</v>
      </c>
      <c r="AH588" s="7" t="s">
        <v>71</v>
      </c>
    </row>
    <row r="589" spans="1:34" ht="9.75" customHeight="1" x14ac:dyDescent="0.2">
      <c r="A589" s="7" t="s">
        <v>37</v>
      </c>
      <c r="B589" s="7" t="s">
        <v>38</v>
      </c>
      <c r="C589" s="7"/>
      <c r="D589" s="7" t="s">
        <v>1483</v>
      </c>
      <c r="E589" s="8">
        <v>1</v>
      </c>
      <c r="F589" s="7" t="s">
        <v>41</v>
      </c>
      <c r="G589" s="7"/>
      <c r="H589" s="9"/>
      <c r="I589" s="9"/>
      <c r="J589" s="9"/>
      <c r="K589" s="9"/>
      <c r="L589" s="10">
        <v>32500</v>
      </c>
      <c r="M589" s="9"/>
      <c r="N589" s="10">
        <v>32500</v>
      </c>
      <c r="O589" s="9"/>
      <c r="P589" s="10"/>
      <c r="Q589" s="10"/>
      <c r="R589" s="10"/>
      <c r="S589" s="7" t="s">
        <v>407</v>
      </c>
      <c r="T589" s="7" t="s">
        <v>73</v>
      </c>
      <c r="U589" s="7" t="s">
        <v>44</v>
      </c>
      <c r="V589" s="7" t="s">
        <v>45</v>
      </c>
      <c r="W589" s="7" t="s">
        <v>67</v>
      </c>
      <c r="X589" s="7" t="s">
        <v>68</v>
      </c>
      <c r="Y589" s="7" t="s">
        <v>1484</v>
      </c>
      <c r="Z589" s="7" t="s">
        <v>1485</v>
      </c>
      <c r="AA589" s="7"/>
      <c r="AB589" s="7"/>
      <c r="AC589" s="7" t="s">
        <v>64</v>
      </c>
      <c r="AD589" s="7"/>
      <c r="AE589" s="7"/>
      <c r="AF589" s="7" t="s">
        <v>50</v>
      </c>
      <c r="AG589" s="7" t="s">
        <v>67</v>
      </c>
      <c r="AH589" s="7" t="s">
        <v>71</v>
      </c>
    </row>
    <row r="590" spans="1:34" ht="9.75" customHeight="1" x14ac:dyDescent="0.2">
      <c r="A590" s="7" t="s">
        <v>37</v>
      </c>
      <c r="B590" s="7" t="s">
        <v>38</v>
      </c>
      <c r="C590" s="7"/>
      <c r="D590" s="7" t="s">
        <v>1486</v>
      </c>
      <c r="E590" s="8">
        <v>1</v>
      </c>
      <c r="F590" s="7" t="s">
        <v>41</v>
      </c>
      <c r="G590" s="7"/>
      <c r="H590" s="9"/>
      <c r="I590" s="9"/>
      <c r="J590" s="9"/>
      <c r="K590" s="9"/>
      <c r="L590" s="10">
        <v>13600</v>
      </c>
      <c r="M590" s="9"/>
      <c r="N590" s="10">
        <v>13600</v>
      </c>
      <c r="O590" s="9"/>
      <c r="P590" s="10"/>
      <c r="Q590" s="10"/>
      <c r="R590" s="10"/>
      <c r="S590" s="7" t="s">
        <v>407</v>
      </c>
      <c r="T590" s="7" t="s">
        <v>73</v>
      </c>
      <c r="U590" s="7" t="s">
        <v>44</v>
      </c>
      <c r="V590" s="7" t="s">
        <v>45</v>
      </c>
      <c r="W590" s="7" t="s">
        <v>67</v>
      </c>
      <c r="X590" s="7" t="s">
        <v>68</v>
      </c>
      <c r="Y590" s="7" t="s">
        <v>1487</v>
      </c>
      <c r="Z590" s="7" t="s">
        <v>1485</v>
      </c>
      <c r="AA590" s="7"/>
      <c r="AB590" s="7"/>
      <c r="AC590" s="7" t="s">
        <v>64</v>
      </c>
      <c r="AD590" s="7"/>
      <c r="AE590" s="7"/>
      <c r="AF590" s="7" t="s">
        <v>50</v>
      </c>
      <c r="AG590" s="7" t="s">
        <v>67</v>
      </c>
      <c r="AH590" s="7" t="s">
        <v>71</v>
      </c>
    </row>
    <row r="591" spans="1:34" ht="9.75" customHeight="1" x14ac:dyDescent="0.2">
      <c r="A591" s="7" t="s">
        <v>37</v>
      </c>
      <c r="B591" s="7" t="s">
        <v>38</v>
      </c>
      <c r="C591" s="7"/>
      <c r="D591" s="7" t="s">
        <v>1488</v>
      </c>
      <c r="E591" s="8">
        <v>1</v>
      </c>
      <c r="F591" s="7" t="s">
        <v>61</v>
      </c>
      <c r="G591" s="7"/>
      <c r="H591" s="9"/>
      <c r="I591" s="9"/>
      <c r="J591" s="9"/>
      <c r="K591" s="9"/>
      <c r="L591" s="10">
        <v>336112</v>
      </c>
      <c r="M591" s="9"/>
      <c r="N591" s="10">
        <v>336112</v>
      </c>
      <c r="O591" s="9"/>
      <c r="P591" s="10"/>
      <c r="Q591" s="10"/>
      <c r="R591" s="10"/>
      <c r="S591" s="7" t="s">
        <v>54</v>
      </c>
      <c r="T591" s="7" t="s">
        <v>1489</v>
      </c>
      <c r="U591" s="7" t="s">
        <v>44</v>
      </c>
      <c r="V591" s="7" t="s">
        <v>45</v>
      </c>
      <c r="W591" s="7" t="s">
        <v>67</v>
      </c>
      <c r="X591" s="7" t="s">
        <v>68</v>
      </c>
      <c r="Y591" s="7" t="s">
        <v>1490</v>
      </c>
      <c r="Z591" s="7" t="s">
        <v>81</v>
      </c>
      <c r="AA591" s="7"/>
      <c r="AB591" s="7"/>
      <c r="AC591" s="7" t="s">
        <v>64</v>
      </c>
      <c r="AD591" s="7"/>
      <c r="AE591" s="7" t="s">
        <v>1491</v>
      </c>
      <c r="AF591" s="7" t="s">
        <v>50</v>
      </c>
      <c r="AG591" s="7" t="s">
        <v>67</v>
      </c>
      <c r="AH591" s="7" t="s">
        <v>71</v>
      </c>
    </row>
    <row r="592" spans="1:34" ht="9.75" customHeight="1" x14ac:dyDescent="0.2">
      <c r="A592" s="7" t="s">
        <v>37</v>
      </c>
      <c r="B592" s="7" t="s">
        <v>38</v>
      </c>
      <c r="C592" s="7"/>
      <c r="D592" s="7" t="s">
        <v>1492</v>
      </c>
      <c r="E592" s="8">
        <v>1</v>
      </c>
      <c r="F592" s="7" t="s">
        <v>61</v>
      </c>
      <c r="G592" s="7"/>
      <c r="H592" s="9"/>
      <c r="I592" s="9"/>
      <c r="J592" s="9"/>
      <c r="K592" s="9"/>
      <c r="L592" s="10">
        <v>273500</v>
      </c>
      <c r="M592" s="9"/>
      <c r="N592" s="10">
        <v>273500</v>
      </c>
      <c r="O592" s="9"/>
      <c r="P592" s="10"/>
      <c r="Q592" s="10"/>
      <c r="R592" s="10"/>
      <c r="S592" s="7" t="s">
        <v>54</v>
      </c>
      <c r="T592" s="7" t="s">
        <v>1489</v>
      </c>
      <c r="U592" s="7" t="s">
        <v>44</v>
      </c>
      <c r="V592" s="7" t="s">
        <v>45</v>
      </c>
      <c r="W592" s="7" t="s">
        <v>67</v>
      </c>
      <c r="X592" s="7" t="s">
        <v>68</v>
      </c>
      <c r="Y592" s="7" t="s">
        <v>1493</v>
      </c>
      <c r="Z592" s="7" t="s">
        <v>81</v>
      </c>
      <c r="AA592" s="7"/>
      <c r="AB592" s="7"/>
      <c r="AC592" s="7" t="s">
        <v>64</v>
      </c>
      <c r="AD592" s="7"/>
      <c r="AE592" s="7" t="s">
        <v>420</v>
      </c>
      <c r="AF592" s="7" t="s">
        <v>50</v>
      </c>
      <c r="AG592" s="7" t="s">
        <v>67</v>
      </c>
      <c r="AH592" s="7" t="s">
        <v>71</v>
      </c>
    </row>
    <row r="593" spans="1:34" ht="9.75" customHeight="1" x14ac:dyDescent="0.2">
      <c r="A593" s="7" t="s">
        <v>37</v>
      </c>
      <c r="B593" s="7" t="s">
        <v>38</v>
      </c>
      <c r="C593" s="7"/>
      <c r="D593" s="7" t="s">
        <v>1494</v>
      </c>
      <c r="E593" s="8">
        <v>1</v>
      </c>
      <c r="F593" s="7" t="s">
        <v>61</v>
      </c>
      <c r="G593" s="7"/>
      <c r="H593" s="9"/>
      <c r="I593" s="9"/>
      <c r="J593" s="9"/>
      <c r="K593" s="9"/>
      <c r="L593" s="10">
        <v>2426</v>
      </c>
      <c r="M593" s="9"/>
      <c r="N593" s="10">
        <v>2426</v>
      </c>
      <c r="O593" s="9"/>
      <c r="P593" s="10"/>
      <c r="Q593" s="10"/>
      <c r="R593" s="10"/>
      <c r="S593" s="7" t="s">
        <v>54</v>
      </c>
      <c r="T593" s="7" t="s">
        <v>1489</v>
      </c>
      <c r="U593" s="7" t="s">
        <v>44</v>
      </c>
      <c r="V593" s="7" t="s">
        <v>45</v>
      </c>
      <c r="W593" s="7" t="s">
        <v>67</v>
      </c>
      <c r="X593" s="7" t="s">
        <v>68</v>
      </c>
      <c r="Y593" s="7" t="s">
        <v>1495</v>
      </c>
      <c r="Z593" s="7" t="s">
        <v>81</v>
      </c>
      <c r="AA593" s="7"/>
      <c r="AB593" s="7"/>
      <c r="AC593" s="7" t="s">
        <v>64</v>
      </c>
      <c r="AD593" s="7"/>
      <c r="AE593" s="7" t="s">
        <v>907</v>
      </c>
      <c r="AF593" s="7" t="s">
        <v>50</v>
      </c>
      <c r="AG593" s="7" t="s">
        <v>67</v>
      </c>
      <c r="AH593" s="7" t="s">
        <v>71</v>
      </c>
    </row>
    <row r="594" spans="1:34" ht="9.75" customHeight="1" x14ac:dyDescent="0.2">
      <c r="A594" s="7" t="s">
        <v>37</v>
      </c>
      <c r="B594" s="7" t="s">
        <v>38</v>
      </c>
      <c r="C594" s="7"/>
      <c r="D594" s="7" t="s">
        <v>1496</v>
      </c>
      <c r="E594" s="8">
        <v>1</v>
      </c>
      <c r="F594" s="7" t="s">
        <v>61</v>
      </c>
      <c r="G594" s="7"/>
      <c r="H594" s="9"/>
      <c r="I594" s="10">
        <v>0</v>
      </c>
      <c r="J594" s="9"/>
      <c r="K594" s="9"/>
      <c r="L594" s="9"/>
      <c r="M594" s="9"/>
      <c r="N594" s="9"/>
      <c r="O594" s="9"/>
      <c r="P594" s="9"/>
      <c r="Q594" s="9"/>
      <c r="R594" s="9"/>
      <c r="S594" s="7" t="s">
        <v>54</v>
      </c>
      <c r="T594" s="7" t="s">
        <v>1489</v>
      </c>
      <c r="U594" s="7" t="s">
        <v>44</v>
      </c>
      <c r="V594" s="7" t="s">
        <v>45</v>
      </c>
      <c r="W594" s="7" t="s">
        <v>67</v>
      </c>
      <c r="X594" s="7" t="s">
        <v>68</v>
      </c>
      <c r="Y594" s="7" t="s">
        <v>1497</v>
      </c>
      <c r="Z594" s="7" t="s">
        <v>81</v>
      </c>
      <c r="AA594" s="7"/>
      <c r="AB594" s="7"/>
      <c r="AC594" s="7" t="s">
        <v>64</v>
      </c>
      <c r="AD594" s="7"/>
      <c r="AE594" s="7"/>
      <c r="AF594" s="7" t="s">
        <v>50</v>
      </c>
      <c r="AG594" s="7" t="s">
        <v>67</v>
      </c>
      <c r="AH594" s="7" t="s">
        <v>71</v>
      </c>
    </row>
    <row r="595" spans="1:34" ht="9.75" customHeight="1" x14ac:dyDescent="0.2">
      <c r="A595" s="7" t="s">
        <v>37</v>
      </c>
      <c r="B595" s="7" t="s">
        <v>38</v>
      </c>
      <c r="C595" s="7"/>
      <c r="D595" s="7" t="s">
        <v>1498</v>
      </c>
      <c r="E595" s="8">
        <v>1</v>
      </c>
      <c r="F595" s="7" t="s">
        <v>61</v>
      </c>
      <c r="G595" s="7"/>
      <c r="H595" s="9"/>
      <c r="I595" s="10">
        <v>0</v>
      </c>
      <c r="J595" s="9"/>
      <c r="K595" s="9"/>
      <c r="L595" s="9"/>
      <c r="M595" s="9"/>
      <c r="N595" s="9"/>
      <c r="O595" s="9"/>
      <c r="P595" s="9"/>
      <c r="Q595" s="9"/>
      <c r="R595" s="9"/>
      <c r="S595" s="7" t="s">
        <v>54</v>
      </c>
      <c r="T595" s="7" t="s">
        <v>1489</v>
      </c>
      <c r="U595" s="7" t="s">
        <v>44</v>
      </c>
      <c r="V595" s="7" t="s">
        <v>45</v>
      </c>
      <c r="W595" s="7" t="s">
        <v>67</v>
      </c>
      <c r="X595" s="7" t="s">
        <v>68</v>
      </c>
      <c r="Y595" s="7" t="s">
        <v>1499</v>
      </c>
      <c r="Z595" s="7" t="s">
        <v>81</v>
      </c>
      <c r="AA595" s="7"/>
      <c r="AB595" s="7"/>
      <c r="AC595" s="7" t="s">
        <v>64</v>
      </c>
      <c r="AD595" s="7"/>
      <c r="AE595" s="7"/>
      <c r="AF595" s="7" t="s">
        <v>50</v>
      </c>
      <c r="AG595" s="7" t="s">
        <v>67</v>
      </c>
      <c r="AH595" s="7" t="s">
        <v>71</v>
      </c>
    </row>
    <row r="596" spans="1:34" ht="9.75" customHeight="1" x14ac:dyDescent="0.2">
      <c r="A596" s="7" t="s">
        <v>37</v>
      </c>
      <c r="B596" s="7" t="s">
        <v>38</v>
      </c>
      <c r="C596" s="7"/>
      <c r="D596" s="7" t="s">
        <v>1500</v>
      </c>
      <c r="E596" s="8">
        <v>1</v>
      </c>
      <c r="F596" s="7" t="s">
        <v>61</v>
      </c>
      <c r="G596" s="7"/>
      <c r="H596" s="9"/>
      <c r="I596" s="10">
        <v>0</v>
      </c>
      <c r="J596" s="9"/>
      <c r="K596" s="9"/>
      <c r="L596" s="9"/>
      <c r="M596" s="9"/>
      <c r="N596" s="9"/>
      <c r="O596" s="9"/>
      <c r="P596" s="9"/>
      <c r="Q596" s="9"/>
      <c r="R596" s="9"/>
      <c r="S596" s="7" t="s">
        <v>54</v>
      </c>
      <c r="T596" s="7" t="s">
        <v>1489</v>
      </c>
      <c r="U596" s="7" t="s">
        <v>44</v>
      </c>
      <c r="V596" s="7" t="s">
        <v>45</v>
      </c>
      <c r="W596" s="7" t="s">
        <v>67</v>
      </c>
      <c r="X596" s="7" t="s">
        <v>68</v>
      </c>
      <c r="Y596" s="7" t="s">
        <v>1501</v>
      </c>
      <c r="Z596" s="7" t="s">
        <v>1502</v>
      </c>
      <c r="AA596" s="7"/>
      <c r="AB596" s="7"/>
      <c r="AC596" s="7" t="s">
        <v>64</v>
      </c>
      <c r="AD596" s="7"/>
      <c r="AE596" s="7"/>
      <c r="AF596" s="7" t="s">
        <v>50</v>
      </c>
      <c r="AG596" s="7" t="s">
        <v>67</v>
      </c>
      <c r="AH596" s="7" t="s">
        <v>71</v>
      </c>
    </row>
    <row r="597" spans="1:34" ht="9.75" customHeight="1" x14ac:dyDescent="0.2">
      <c r="A597" s="7" t="s">
        <v>37</v>
      </c>
      <c r="B597" s="7" t="s">
        <v>38</v>
      </c>
      <c r="C597" s="7"/>
      <c r="D597" s="7" t="s">
        <v>1503</v>
      </c>
      <c r="E597" s="8">
        <v>1</v>
      </c>
      <c r="F597" s="7" t="s">
        <v>61</v>
      </c>
      <c r="G597" s="7"/>
      <c r="H597" s="9"/>
      <c r="I597" s="10">
        <v>0</v>
      </c>
      <c r="J597" s="9"/>
      <c r="K597" s="9"/>
      <c r="L597" s="9"/>
      <c r="M597" s="9"/>
      <c r="N597" s="9"/>
      <c r="O597" s="9"/>
      <c r="P597" s="9"/>
      <c r="Q597" s="9"/>
      <c r="R597" s="9"/>
      <c r="S597" s="7" t="s">
        <v>54</v>
      </c>
      <c r="T597" s="7" t="s">
        <v>1489</v>
      </c>
      <c r="U597" s="7" t="s">
        <v>44</v>
      </c>
      <c r="V597" s="7" t="s">
        <v>45</v>
      </c>
      <c r="W597" s="7" t="s">
        <v>67</v>
      </c>
      <c r="X597" s="7" t="s">
        <v>68</v>
      </c>
      <c r="Y597" s="7" t="s">
        <v>1504</v>
      </c>
      <c r="Z597" s="7" t="s">
        <v>1502</v>
      </c>
      <c r="AA597" s="7"/>
      <c r="AB597" s="7"/>
      <c r="AC597" s="7" t="s">
        <v>64</v>
      </c>
      <c r="AD597" s="7"/>
      <c r="AE597" s="7"/>
      <c r="AF597" s="7" t="s">
        <v>50</v>
      </c>
      <c r="AG597" s="7" t="s">
        <v>67</v>
      </c>
      <c r="AH597" s="7" t="s">
        <v>71</v>
      </c>
    </row>
    <row r="598" spans="1:34" ht="9.75" customHeight="1" x14ac:dyDescent="0.2">
      <c r="A598" s="7" t="s">
        <v>37</v>
      </c>
      <c r="B598" s="7" t="s">
        <v>38</v>
      </c>
      <c r="C598" s="7"/>
      <c r="D598" s="7" t="s">
        <v>1505</v>
      </c>
      <c r="E598" s="8">
        <v>1</v>
      </c>
      <c r="F598" s="7" t="s">
        <v>41</v>
      </c>
      <c r="G598" s="7"/>
      <c r="H598" s="9"/>
      <c r="I598" s="9"/>
      <c r="J598" s="9"/>
      <c r="K598" s="9"/>
      <c r="L598" s="9"/>
      <c r="M598" s="9"/>
      <c r="N598" s="9"/>
      <c r="O598" s="9"/>
      <c r="P598" s="9"/>
      <c r="Q598" s="9"/>
      <c r="R598" s="9"/>
      <c r="S598" s="7" t="s">
        <v>407</v>
      </c>
      <c r="T598" s="7" t="s">
        <v>1506</v>
      </c>
      <c r="U598" s="7" t="s">
        <v>44</v>
      </c>
      <c r="V598" s="7" t="s">
        <v>45</v>
      </c>
      <c r="W598" s="7" t="s">
        <v>67</v>
      </c>
      <c r="X598" s="7" t="s">
        <v>68</v>
      </c>
      <c r="Y598" s="7" t="s">
        <v>1507</v>
      </c>
      <c r="Z598" s="7" t="s">
        <v>1508</v>
      </c>
      <c r="AA598" s="7"/>
      <c r="AB598" s="7"/>
      <c r="AC598" s="7" t="s">
        <v>82</v>
      </c>
      <c r="AD598" s="7"/>
      <c r="AE598" s="7" t="s">
        <v>207</v>
      </c>
      <c r="AF598" s="7" t="s">
        <v>50</v>
      </c>
      <c r="AG598" s="7" t="s">
        <v>67</v>
      </c>
      <c r="AH598" s="7" t="s">
        <v>86</v>
      </c>
    </row>
    <row r="599" spans="1:34" ht="9.75" customHeight="1" x14ac:dyDescent="0.2">
      <c r="A599" s="7" t="s">
        <v>37</v>
      </c>
      <c r="B599" s="7" t="s">
        <v>38</v>
      </c>
      <c r="C599" s="7"/>
      <c r="D599" s="7" t="s">
        <v>1509</v>
      </c>
      <c r="E599" s="8">
        <v>1</v>
      </c>
      <c r="F599" s="7" t="s">
        <v>41</v>
      </c>
      <c r="G599" s="7"/>
      <c r="H599" s="9"/>
      <c r="I599" s="9"/>
      <c r="J599" s="9"/>
      <c r="K599" s="9"/>
      <c r="L599" s="9"/>
      <c r="M599" s="9"/>
      <c r="N599" s="9"/>
      <c r="O599" s="9"/>
      <c r="P599" s="9"/>
      <c r="Q599" s="9"/>
      <c r="R599" s="9"/>
      <c r="S599" s="7" t="s">
        <v>407</v>
      </c>
      <c r="T599" s="7" t="s">
        <v>1506</v>
      </c>
      <c r="U599" s="7" t="s">
        <v>44</v>
      </c>
      <c r="V599" s="7" t="s">
        <v>45</v>
      </c>
      <c r="W599" s="7" t="s">
        <v>67</v>
      </c>
      <c r="X599" s="7" t="s">
        <v>68</v>
      </c>
      <c r="Y599" s="7" t="s">
        <v>1510</v>
      </c>
      <c r="Z599" s="7" t="s">
        <v>1508</v>
      </c>
      <c r="AA599" s="7"/>
      <c r="AB599" s="7"/>
      <c r="AC599" s="7" t="s">
        <v>82</v>
      </c>
      <c r="AD599" s="7"/>
      <c r="AE599" s="7" t="s">
        <v>415</v>
      </c>
      <c r="AF599" s="7" t="s">
        <v>50</v>
      </c>
      <c r="AG599" s="7" t="s">
        <v>67</v>
      </c>
      <c r="AH599" s="7" t="s">
        <v>86</v>
      </c>
    </row>
    <row r="600" spans="1:34" ht="9.75" customHeight="1" x14ac:dyDescent="0.2">
      <c r="A600" s="7" t="s">
        <v>37</v>
      </c>
      <c r="B600" s="7" t="s">
        <v>38</v>
      </c>
      <c r="C600" s="7"/>
      <c r="D600" s="7" t="s">
        <v>1511</v>
      </c>
      <c r="E600" s="8">
        <v>1</v>
      </c>
      <c r="F600" s="7" t="s">
        <v>41</v>
      </c>
      <c r="G600" s="7"/>
      <c r="H600" s="9"/>
      <c r="I600" s="9"/>
      <c r="J600" s="9"/>
      <c r="K600" s="9"/>
      <c r="L600" s="9"/>
      <c r="M600" s="9"/>
      <c r="N600" s="9"/>
      <c r="O600" s="9"/>
      <c r="P600" s="9"/>
      <c r="Q600" s="9"/>
      <c r="R600" s="9"/>
      <c r="S600" s="7" t="s">
        <v>407</v>
      </c>
      <c r="T600" s="7" t="s">
        <v>1506</v>
      </c>
      <c r="U600" s="7" t="s">
        <v>44</v>
      </c>
      <c r="V600" s="7" t="s">
        <v>45</v>
      </c>
      <c r="W600" s="7" t="s">
        <v>67</v>
      </c>
      <c r="X600" s="7" t="s">
        <v>68</v>
      </c>
      <c r="Y600" s="7" t="s">
        <v>1512</v>
      </c>
      <c r="Z600" s="7" t="s">
        <v>1508</v>
      </c>
      <c r="AA600" s="7"/>
      <c r="AB600" s="7"/>
      <c r="AC600" s="7" t="s">
        <v>82</v>
      </c>
      <c r="AD600" s="7"/>
      <c r="AE600" s="7"/>
      <c r="AF600" s="7" t="s">
        <v>50</v>
      </c>
      <c r="AG600" s="7" t="s">
        <v>67</v>
      </c>
      <c r="AH600" s="7" t="s">
        <v>86</v>
      </c>
    </row>
    <row r="601" spans="1:34" ht="9.75" customHeight="1" x14ac:dyDescent="0.2">
      <c r="A601" s="7" t="s">
        <v>37</v>
      </c>
      <c r="B601" s="7" t="s">
        <v>38</v>
      </c>
      <c r="C601" s="7"/>
      <c r="D601" s="7" t="s">
        <v>1513</v>
      </c>
      <c r="E601" s="8">
        <v>1</v>
      </c>
      <c r="F601" s="7" t="s">
        <v>41</v>
      </c>
      <c r="G601" s="7"/>
      <c r="H601" s="9"/>
      <c r="I601" s="9"/>
      <c r="J601" s="9"/>
      <c r="K601" s="9"/>
      <c r="L601" s="9"/>
      <c r="M601" s="9"/>
      <c r="N601" s="9"/>
      <c r="O601" s="9"/>
      <c r="P601" s="9"/>
      <c r="Q601" s="9"/>
      <c r="R601" s="9"/>
      <c r="S601" s="7" t="s">
        <v>407</v>
      </c>
      <c r="T601" s="7" t="s">
        <v>1506</v>
      </c>
      <c r="U601" s="7" t="s">
        <v>44</v>
      </c>
      <c r="V601" s="7" t="s">
        <v>45</v>
      </c>
      <c r="W601" s="7" t="s">
        <v>67</v>
      </c>
      <c r="X601" s="7" t="s">
        <v>68</v>
      </c>
      <c r="Y601" s="7" t="s">
        <v>1514</v>
      </c>
      <c r="Z601" s="7" t="s">
        <v>1508</v>
      </c>
      <c r="AA601" s="7"/>
      <c r="AB601" s="7"/>
      <c r="AC601" s="7" t="s">
        <v>82</v>
      </c>
      <c r="AD601" s="7"/>
      <c r="AE601" s="7" t="s">
        <v>420</v>
      </c>
      <c r="AF601" s="7" t="s">
        <v>50</v>
      </c>
      <c r="AG601" s="7" t="s">
        <v>67</v>
      </c>
      <c r="AH601" s="7" t="s">
        <v>86</v>
      </c>
    </row>
    <row r="602" spans="1:34" ht="9.75" customHeight="1" x14ac:dyDescent="0.2">
      <c r="A602" s="7" t="s">
        <v>37</v>
      </c>
      <c r="B602" s="7" t="s">
        <v>38</v>
      </c>
      <c r="C602" s="7"/>
      <c r="D602" s="7" t="s">
        <v>1515</v>
      </c>
      <c r="E602" s="8">
        <v>1</v>
      </c>
      <c r="F602" s="7" t="s">
        <v>41</v>
      </c>
      <c r="G602" s="7"/>
      <c r="H602" s="9"/>
      <c r="I602" s="9"/>
      <c r="J602" s="9"/>
      <c r="K602" s="9"/>
      <c r="L602" s="9"/>
      <c r="M602" s="9"/>
      <c r="N602" s="9"/>
      <c r="O602" s="9"/>
      <c r="P602" s="9"/>
      <c r="Q602" s="9"/>
      <c r="R602" s="9"/>
      <c r="S602" s="7" t="s">
        <v>407</v>
      </c>
      <c r="T602" s="7" t="s">
        <v>1506</v>
      </c>
      <c r="U602" s="7" t="s">
        <v>44</v>
      </c>
      <c r="V602" s="7" t="s">
        <v>45</v>
      </c>
      <c r="W602" s="7" t="s">
        <v>67</v>
      </c>
      <c r="X602" s="7" t="s">
        <v>68</v>
      </c>
      <c r="Y602" s="7" t="s">
        <v>1516</v>
      </c>
      <c r="Z602" s="7" t="s">
        <v>1508</v>
      </c>
      <c r="AA602" s="7"/>
      <c r="AB602" s="7"/>
      <c r="AC602" s="7" t="s">
        <v>82</v>
      </c>
      <c r="AD602" s="7"/>
      <c r="AE602" s="7"/>
      <c r="AF602" s="7" t="s">
        <v>50</v>
      </c>
      <c r="AG602" s="7" t="s">
        <v>67</v>
      </c>
      <c r="AH602" s="7" t="s">
        <v>86</v>
      </c>
    </row>
    <row r="603" spans="1:34" ht="9.75" customHeight="1" x14ac:dyDescent="0.2">
      <c r="A603" s="7" t="s">
        <v>37</v>
      </c>
      <c r="B603" s="7" t="s">
        <v>38</v>
      </c>
      <c r="C603" s="7"/>
      <c r="D603" s="7" t="s">
        <v>1517</v>
      </c>
      <c r="E603" s="8">
        <v>1</v>
      </c>
      <c r="F603" s="7" t="s">
        <v>41</v>
      </c>
      <c r="G603" s="7"/>
      <c r="H603" s="9"/>
      <c r="I603" s="9"/>
      <c r="J603" s="9"/>
      <c r="K603" s="9"/>
      <c r="L603" s="9"/>
      <c r="M603" s="9"/>
      <c r="N603" s="9"/>
      <c r="O603" s="9"/>
      <c r="P603" s="9"/>
      <c r="Q603" s="9"/>
      <c r="R603" s="9"/>
      <c r="S603" s="7" t="s">
        <v>407</v>
      </c>
      <c r="T603" s="7" t="s">
        <v>1506</v>
      </c>
      <c r="U603" s="7" t="s">
        <v>44</v>
      </c>
      <c r="V603" s="7" t="s">
        <v>45</v>
      </c>
      <c r="W603" s="7" t="s">
        <v>67</v>
      </c>
      <c r="X603" s="7" t="s">
        <v>68</v>
      </c>
      <c r="Y603" s="7" t="s">
        <v>1518</v>
      </c>
      <c r="Z603" s="7" t="s">
        <v>1508</v>
      </c>
      <c r="AA603" s="7"/>
      <c r="AB603" s="7"/>
      <c r="AC603" s="7" t="s">
        <v>82</v>
      </c>
      <c r="AD603" s="7"/>
      <c r="AE603" s="7"/>
      <c r="AF603" s="7" t="s">
        <v>50</v>
      </c>
      <c r="AG603" s="7" t="s">
        <v>67</v>
      </c>
      <c r="AH603" s="7" t="s">
        <v>86</v>
      </c>
    </row>
    <row r="604" spans="1:34" ht="9.75" customHeight="1" x14ac:dyDescent="0.2">
      <c r="A604" s="7" t="s">
        <v>37</v>
      </c>
      <c r="B604" s="7" t="s">
        <v>38</v>
      </c>
      <c r="C604" s="7"/>
      <c r="D604" s="7" t="s">
        <v>1519</v>
      </c>
      <c r="E604" s="8">
        <v>1</v>
      </c>
      <c r="F604" s="7" t="s">
        <v>41</v>
      </c>
      <c r="G604" s="7"/>
      <c r="H604" s="9"/>
      <c r="I604" s="9"/>
      <c r="J604" s="9"/>
      <c r="K604" s="9"/>
      <c r="L604" s="9"/>
      <c r="M604" s="9"/>
      <c r="N604" s="9"/>
      <c r="O604" s="9"/>
      <c r="P604" s="9"/>
      <c r="Q604" s="9"/>
      <c r="R604" s="9"/>
      <c r="S604" s="7" t="s">
        <v>407</v>
      </c>
      <c r="T604" s="7" t="s">
        <v>1506</v>
      </c>
      <c r="U604" s="7" t="s">
        <v>44</v>
      </c>
      <c r="V604" s="7" t="s">
        <v>45</v>
      </c>
      <c r="W604" s="7" t="s">
        <v>67</v>
      </c>
      <c r="X604" s="7" t="s">
        <v>68</v>
      </c>
      <c r="Y604" s="7" t="s">
        <v>1520</v>
      </c>
      <c r="Z604" s="7" t="s">
        <v>1508</v>
      </c>
      <c r="AA604" s="7"/>
      <c r="AB604" s="7"/>
      <c r="AC604" s="7" t="s">
        <v>82</v>
      </c>
      <c r="AD604" s="7"/>
      <c r="AE604" s="7"/>
      <c r="AF604" s="7" t="s">
        <v>50</v>
      </c>
      <c r="AG604" s="7" t="s">
        <v>67</v>
      </c>
      <c r="AH604" s="7" t="s">
        <v>86</v>
      </c>
    </row>
    <row r="605" spans="1:34" ht="9.75" customHeight="1" x14ac:dyDescent="0.2">
      <c r="A605" s="7" t="s">
        <v>37</v>
      </c>
      <c r="B605" s="7" t="s">
        <v>38</v>
      </c>
      <c r="C605" s="7"/>
      <c r="D605" s="7" t="s">
        <v>1521</v>
      </c>
      <c r="E605" s="8">
        <v>1</v>
      </c>
      <c r="F605" s="7" t="s">
        <v>41</v>
      </c>
      <c r="G605" s="7"/>
      <c r="H605" s="9"/>
      <c r="I605" s="9"/>
      <c r="J605" s="9"/>
      <c r="K605" s="9"/>
      <c r="L605" s="10">
        <v>28122</v>
      </c>
      <c r="M605" s="9"/>
      <c r="N605" s="10">
        <v>28122</v>
      </c>
      <c r="O605" s="9"/>
      <c r="P605" s="10"/>
      <c r="Q605" s="10"/>
      <c r="R605" s="10"/>
      <c r="S605" s="7" t="s">
        <v>407</v>
      </c>
      <c r="T605" s="7" t="s">
        <v>1506</v>
      </c>
      <c r="U605" s="7" t="s">
        <v>44</v>
      </c>
      <c r="V605" s="7" t="s">
        <v>45</v>
      </c>
      <c r="W605" s="7" t="s">
        <v>67</v>
      </c>
      <c r="X605" s="7" t="s">
        <v>68</v>
      </c>
      <c r="Y605" s="7" t="s">
        <v>1522</v>
      </c>
      <c r="Z605" s="7" t="s">
        <v>1523</v>
      </c>
      <c r="AA605" s="7"/>
      <c r="AB605" s="7"/>
      <c r="AC605" s="7" t="s">
        <v>82</v>
      </c>
      <c r="AD605" s="7"/>
      <c r="AE605" s="7" t="s">
        <v>913</v>
      </c>
      <c r="AF605" s="7" t="s">
        <v>50</v>
      </c>
      <c r="AG605" s="7" t="s">
        <v>67</v>
      </c>
      <c r="AH605" s="7" t="s">
        <v>86</v>
      </c>
    </row>
    <row r="606" spans="1:34" ht="9.75" customHeight="1" x14ac:dyDescent="0.2">
      <c r="A606" s="7" t="s">
        <v>37</v>
      </c>
      <c r="B606" s="7" t="s">
        <v>38</v>
      </c>
      <c r="C606" s="7"/>
      <c r="D606" s="7" t="s">
        <v>1524</v>
      </c>
      <c r="E606" s="8">
        <v>1</v>
      </c>
      <c r="F606" s="7" t="s">
        <v>41</v>
      </c>
      <c r="G606" s="7"/>
      <c r="H606" s="9"/>
      <c r="I606" s="9"/>
      <c r="J606" s="9"/>
      <c r="K606" s="9"/>
      <c r="L606" s="10">
        <v>8695</v>
      </c>
      <c r="M606" s="9"/>
      <c r="N606" s="10">
        <v>8695</v>
      </c>
      <c r="O606" s="9"/>
      <c r="P606" s="10"/>
      <c r="Q606" s="10"/>
      <c r="R606" s="10"/>
      <c r="S606" s="7" t="s">
        <v>407</v>
      </c>
      <c r="T606" s="7" t="s">
        <v>1506</v>
      </c>
      <c r="U606" s="7" t="s">
        <v>44</v>
      </c>
      <c r="V606" s="7" t="s">
        <v>45</v>
      </c>
      <c r="W606" s="7" t="s">
        <v>67</v>
      </c>
      <c r="X606" s="7" t="s">
        <v>68</v>
      </c>
      <c r="Y606" s="7" t="s">
        <v>1525</v>
      </c>
      <c r="Z606" s="7" t="s">
        <v>1523</v>
      </c>
      <c r="AA606" s="7"/>
      <c r="AB606" s="7"/>
      <c r="AC606" s="7" t="s">
        <v>82</v>
      </c>
      <c r="AD606" s="7"/>
      <c r="AE606" s="7" t="s">
        <v>916</v>
      </c>
      <c r="AF606" s="7" t="s">
        <v>50</v>
      </c>
      <c r="AG606" s="7" t="s">
        <v>67</v>
      </c>
      <c r="AH606" s="7" t="s">
        <v>86</v>
      </c>
    </row>
    <row r="607" spans="1:34" ht="9.75" customHeight="1" x14ac:dyDescent="0.2">
      <c r="A607" s="7" t="s">
        <v>37</v>
      </c>
      <c r="B607" s="7" t="s">
        <v>38</v>
      </c>
      <c r="C607" s="7"/>
      <c r="D607" s="7" t="s">
        <v>1526</v>
      </c>
      <c r="E607" s="8">
        <v>1</v>
      </c>
      <c r="F607" s="7" t="s">
        <v>41</v>
      </c>
      <c r="G607" s="7"/>
      <c r="H607" s="9"/>
      <c r="I607" s="9"/>
      <c r="J607" s="9"/>
      <c r="K607" s="9"/>
      <c r="L607" s="10">
        <v>10146</v>
      </c>
      <c r="M607" s="9"/>
      <c r="N607" s="10">
        <v>10146</v>
      </c>
      <c r="O607" s="9"/>
      <c r="P607" s="10"/>
      <c r="Q607" s="10"/>
      <c r="R607" s="10"/>
      <c r="S607" s="7" t="s">
        <v>407</v>
      </c>
      <c r="T607" s="7" t="s">
        <v>1506</v>
      </c>
      <c r="U607" s="7" t="s">
        <v>44</v>
      </c>
      <c r="V607" s="7" t="s">
        <v>45</v>
      </c>
      <c r="W607" s="7" t="s">
        <v>67</v>
      </c>
      <c r="X607" s="7" t="s">
        <v>68</v>
      </c>
      <c r="Y607" s="7" t="s">
        <v>1527</v>
      </c>
      <c r="Z607" s="7" t="s">
        <v>1523</v>
      </c>
      <c r="AA607" s="7"/>
      <c r="AB607" s="7"/>
      <c r="AC607" s="7" t="s">
        <v>82</v>
      </c>
      <c r="AD607" s="7"/>
      <c r="AE607" s="7"/>
      <c r="AF607" s="7" t="s">
        <v>50</v>
      </c>
      <c r="AG607" s="7" t="s">
        <v>67</v>
      </c>
      <c r="AH607" s="7" t="s">
        <v>86</v>
      </c>
    </row>
    <row r="608" spans="1:34" ht="9.75" customHeight="1" x14ac:dyDescent="0.2">
      <c r="A608" s="7" t="s">
        <v>37</v>
      </c>
      <c r="B608" s="7" t="s">
        <v>38</v>
      </c>
      <c r="C608" s="7"/>
      <c r="D608" s="7" t="s">
        <v>1528</v>
      </c>
      <c r="E608" s="8">
        <v>1</v>
      </c>
      <c r="F608" s="7" t="s">
        <v>41</v>
      </c>
      <c r="G608" s="7"/>
      <c r="H608" s="9"/>
      <c r="I608" s="9"/>
      <c r="J608" s="9"/>
      <c r="K608" s="9"/>
      <c r="L608" s="10">
        <v>8912</v>
      </c>
      <c r="M608" s="9"/>
      <c r="N608" s="10">
        <v>8912</v>
      </c>
      <c r="O608" s="9"/>
      <c r="P608" s="10"/>
      <c r="Q608" s="10"/>
      <c r="R608" s="10"/>
      <c r="S608" s="7" t="s">
        <v>407</v>
      </c>
      <c r="T608" s="7" t="s">
        <v>1506</v>
      </c>
      <c r="U608" s="7" t="s">
        <v>44</v>
      </c>
      <c r="V608" s="7" t="s">
        <v>45</v>
      </c>
      <c r="W608" s="7" t="s">
        <v>67</v>
      </c>
      <c r="X608" s="7" t="s">
        <v>68</v>
      </c>
      <c r="Y608" s="7" t="s">
        <v>1529</v>
      </c>
      <c r="Z608" s="7" t="s">
        <v>1523</v>
      </c>
      <c r="AA608" s="7"/>
      <c r="AB608" s="7"/>
      <c r="AC608" s="7" t="s">
        <v>82</v>
      </c>
      <c r="AD608" s="7"/>
      <c r="AE608" s="7" t="s">
        <v>921</v>
      </c>
      <c r="AF608" s="7" t="s">
        <v>50</v>
      </c>
      <c r="AG608" s="7" t="s">
        <v>67</v>
      </c>
      <c r="AH608" s="7" t="s">
        <v>86</v>
      </c>
    </row>
    <row r="609" spans="1:34" ht="9.75" customHeight="1" x14ac:dyDescent="0.2">
      <c r="A609" s="7" t="s">
        <v>37</v>
      </c>
      <c r="B609" s="7" t="s">
        <v>38</v>
      </c>
      <c r="C609" s="7"/>
      <c r="D609" s="7" t="s">
        <v>1530</v>
      </c>
      <c r="E609" s="8">
        <v>1</v>
      </c>
      <c r="F609" s="7" t="s">
        <v>41</v>
      </c>
      <c r="G609" s="7"/>
      <c r="H609" s="9"/>
      <c r="I609" s="9"/>
      <c r="J609" s="9"/>
      <c r="K609" s="9"/>
      <c r="L609" s="10">
        <v>14549</v>
      </c>
      <c r="M609" s="9"/>
      <c r="N609" s="10">
        <v>14549</v>
      </c>
      <c r="O609" s="9"/>
      <c r="P609" s="10"/>
      <c r="Q609" s="10">
        <v>1622935</v>
      </c>
      <c r="R609" s="10">
        <v>1622935</v>
      </c>
      <c r="S609" s="7" t="s">
        <v>407</v>
      </c>
      <c r="T609" s="7" t="s">
        <v>1506</v>
      </c>
      <c r="U609" s="7" t="s">
        <v>44</v>
      </c>
      <c r="V609" s="7" t="s">
        <v>45</v>
      </c>
      <c r="W609" s="7" t="s">
        <v>67</v>
      </c>
      <c r="X609" s="7" t="s">
        <v>68</v>
      </c>
      <c r="Y609" s="7" t="s">
        <v>1531</v>
      </c>
      <c r="Z609" s="7" t="s">
        <v>1523</v>
      </c>
      <c r="AA609" s="7"/>
      <c r="AB609" s="7"/>
      <c r="AC609" s="7" t="s">
        <v>82</v>
      </c>
      <c r="AD609" s="7"/>
      <c r="AE609" s="7" t="s">
        <v>924</v>
      </c>
      <c r="AF609" s="7" t="s">
        <v>50</v>
      </c>
      <c r="AG609" s="7" t="s">
        <v>67</v>
      </c>
      <c r="AH609" s="7" t="s">
        <v>86</v>
      </c>
    </row>
    <row r="610" spans="1:34" ht="9.75" customHeight="1" x14ac:dyDescent="0.2">
      <c r="A610" s="7" t="s">
        <v>37</v>
      </c>
      <c r="B610" s="7" t="s">
        <v>38</v>
      </c>
      <c r="C610" s="7"/>
      <c r="D610" s="7" t="s">
        <v>1532</v>
      </c>
      <c r="E610" s="8">
        <v>1</v>
      </c>
      <c r="F610" s="7" t="s">
        <v>41</v>
      </c>
      <c r="G610" s="7"/>
      <c r="H610" s="9"/>
      <c r="I610" s="9"/>
      <c r="J610" s="9"/>
      <c r="K610" s="9"/>
      <c r="L610" s="10">
        <v>40499</v>
      </c>
      <c r="M610" s="9"/>
      <c r="N610" s="10">
        <v>40499</v>
      </c>
      <c r="O610" s="9"/>
      <c r="P610" s="10"/>
      <c r="Q610" s="10"/>
      <c r="R610" s="10"/>
      <c r="S610" s="7" t="s">
        <v>407</v>
      </c>
      <c r="T610" s="7" t="s">
        <v>1506</v>
      </c>
      <c r="U610" s="7" t="s">
        <v>44</v>
      </c>
      <c r="V610" s="7" t="s">
        <v>45</v>
      </c>
      <c r="W610" s="7" t="s">
        <v>67</v>
      </c>
      <c r="X610" s="7" t="s">
        <v>68</v>
      </c>
      <c r="Y610" s="7" t="s">
        <v>1533</v>
      </c>
      <c r="Z610" s="7" t="s">
        <v>1523</v>
      </c>
      <c r="AA610" s="7"/>
      <c r="AB610" s="7"/>
      <c r="AC610" s="7" t="s">
        <v>82</v>
      </c>
      <c r="AD610" s="7"/>
      <c r="AE610" s="7" t="s">
        <v>927</v>
      </c>
      <c r="AF610" s="7" t="s">
        <v>50</v>
      </c>
      <c r="AG610" s="7" t="s">
        <v>67</v>
      </c>
      <c r="AH610" s="7" t="s">
        <v>86</v>
      </c>
    </row>
    <row r="611" spans="1:34" ht="9.75" customHeight="1" x14ac:dyDescent="0.2">
      <c r="A611" s="7" t="s">
        <v>37</v>
      </c>
      <c r="B611" s="7" t="s">
        <v>38</v>
      </c>
      <c r="C611" s="7"/>
      <c r="D611" s="7" t="s">
        <v>1534</v>
      </c>
      <c r="E611" s="8">
        <v>1</v>
      </c>
      <c r="F611" s="7" t="s">
        <v>41</v>
      </c>
      <c r="G611" s="7"/>
      <c r="H611" s="9"/>
      <c r="I611" s="9"/>
      <c r="J611" s="9"/>
      <c r="K611" s="9"/>
      <c r="L611" s="10">
        <v>5521</v>
      </c>
      <c r="M611" s="9"/>
      <c r="N611" s="10">
        <v>5521</v>
      </c>
      <c r="O611" s="9"/>
      <c r="P611" s="10"/>
      <c r="Q611" s="10"/>
      <c r="R611" s="10"/>
      <c r="S611" s="7" t="s">
        <v>407</v>
      </c>
      <c r="T611" s="7" t="s">
        <v>1506</v>
      </c>
      <c r="U611" s="7" t="s">
        <v>44</v>
      </c>
      <c r="V611" s="7" t="s">
        <v>45</v>
      </c>
      <c r="W611" s="7" t="s">
        <v>67</v>
      </c>
      <c r="X611" s="7" t="s">
        <v>68</v>
      </c>
      <c r="Y611" s="7" t="s">
        <v>1535</v>
      </c>
      <c r="Z611" s="7" t="s">
        <v>1523</v>
      </c>
      <c r="AA611" s="7"/>
      <c r="AB611" s="7"/>
      <c r="AC611" s="7" t="s">
        <v>82</v>
      </c>
      <c r="AD611" s="7"/>
      <c r="AE611" s="7" t="s">
        <v>930</v>
      </c>
      <c r="AF611" s="7" t="s">
        <v>50</v>
      </c>
      <c r="AG611" s="7" t="s">
        <v>67</v>
      </c>
      <c r="AH611" s="7" t="s">
        <v>86</v>
      </c>
    </row>
    <row r="612" spans="1:34" ht="9.75" customHeight="1" x14ac:dyDescent="0.2">
      <c r="A612" s="7" t="s">
        <v>37</v>
      </c>
      <c r="B612" s="7" t="s">
        <v>38</v>
      </c>
      <c r="C612" s="7"/>
      <c r="D612" s="7" t="s">
        <v>1536</v>
      </c>
      <c r="E612" s="8">
        <v>1</v>
      </c>
      <c r="F612" s="7" t="s">
        <v>41</v>
      </c>
      <c r="G612" s="7"/>
      <c r="H612" s="9"/>
      <c r="I612" s="9"/>
      <c r="J612" s="9"/>
      <c r="K612" s="9"/>
      <c r="L612" s="10">
        <v>31556</v>
      </c>
      <c r="M612" s="9"/>
      <c r="N612" s="10">
        <v>31556</v>
      </c>
      <c r="O612" s="9"/>
      <c r="P612" s="10"/>
      <c r="Q612" s="10"/>
      <c r="R612" s="10"/>
      <c r="S612" s="7" t="s">
        <v>407</v>
      </c>
      <c r="T612" s="7" t="s">
        <v>1506</v>
      </c>
      <c r="U612" s="7" t="s">
        <v>44</v>
      </c>
      <c r="V612" s="7" t="s">
        <v>45</v>
      </c>
      <c r="W612" s="7" t="s">
        <v>67</v>
      </c>
      <c r="X612" s="7" t="s">
        <v>68</v>
      </c>
      <c r="Y612" s="7" t="s">
        <v>1537</v>
      </c>
      <c r="Z612" s="7" t="s">
        <v>1523</v>
      </c>
      <c r="AA612" s="7"/>
      <c r="AB612" s="7"/>
      <c r="AC612" s="7" t="s">
        <v>82</v>
      </c>
      <c r="AD612" s="7"/>
      <c r="AE612" s="7" t="s">
        <v>933</v>
      </c>
      <c r="AF612" s="7" t="s">
        <v>50</v>
      </c>
      <c r="AG612" s="7" t="s">
        <v>67</v>
      </c>
      <c r="AH612" s="7" t="s">
        <v>86</v>
      </c>
    </row>
    <row r="613" spans="1:34" ht="9.75" customHeight="1" x14ac:dyDescent="0.2">
      <c r="A613" s="7" t="s">
        <v>37</v>
      </c>
      <c r="B613" s="7" t="s">
        <v>38</v>
      </c>
      <c r="C613" s="7"/>
      <c r="D613" s="7" t="s">
        <v>1538</v>
      </c>
      <c r="E613" s="8">
        <v>1</v>
      </c>
      <c r="F613" s="7" t="s">
        <v>41</v>
      </c>
      <c r="G613" s="7"/>
      <c r="H613" s="9"/>
      <c r="I613" s="9"/>
      <c r="J613" s="9"/>
      <c r="K613" s="9"/>
      <c r="L613" s="10">
        <v>163100</v>
      </c>
      <c r="M613" s="9"/>
      <c r="N613" s="10">
        <v>163100</v>
      </c>
      <c r="O613" s="9"/>
      <c r="P613" s="10"/>
      <c r="Q613" s="10"/>
      <c r="R613" s="10"/>
      <c r="S613" s="7" t="s">
        <v>407</v>
      </c>
      <c r="T613" s="7" t="s">
        <v>1506</v>
      </c>
      <c r="U613" s="7" t="s">
        <v>44</v>
      </c>
      <c r="V613" s="7" t="s">
        <v>45</v>
      </c>
      <c r="W613" s="7" t="s">
        <v>67</v>
      </c>
      <c r="X613" s="7" t="s">
        <v>68</v>
      </c>
      <c r="Y613" s="7" t="s">
        <v>1539</v>
      </c>
      <c r="Z613" s="7" t="s">
        <v>1523</v>
      </c>
      <c r="AA613" s="7"/>
      <c r="AB613" s="7"/>
      <c r="AC613" s="7" t="s">
        <v>82</v>
      </c>
      <c r="AD613" s="7"/>
      <c r="AE613" s="7" t="s">
        <v>1540</v>
      </c>
      <c r="AF613" s="7" t="s">
        <v>50</v>
      </c>
      <c r="AG613" s="7" t="s">
        <v>67</v>
      </c>
      <c r="AH613" s="7" t="s">
        <v>86</v>
      </c>
    </row>
    <row r="614" spans="1:34" ht="9.75" customHeight="1" x14ac:dyDescent="0.2">
      <c r="A614" s="7" t="s">
        <v>37</v>
      </c>
      <c r="B614" s="7" t="s">
        <v>38</v>
      </c>
      <c r="C614" s="7"/>
      <c r="D614" s="7" t="s">
        <v>1541</v>
      </c>
      <c r="E614" s="8">
        <v>1</v>
      </c>
      <c r="F614" s="7" t="s">
        <v>41</v>
      </c>
      <c r="G614" s="7"/>
      <c r="H614" s="9"/>
      <c r="I614" s="9"/>
      <c r="J614" s="9"/>
      <c r="K614" s="9"/>
      <c r="L614" s="10">
        <v>19101</v>
      </c>
      <c r="M614" s="9"/>
      <c r="N614" s="10">
        <v>19101</v>
      </c>
      <c r="O614" s="9"/>
      <c r="P614" s="10"/>
      <c r="Q614" s="10"/>
      <c r="R614" s="10"/>
      <c r="S614" s="7" t="s">
        <v>407</v>
      </c>
      <c r="T614" s="7" t="s">
        <v>1506</v>
      </c>
      <c r="U614" s="7" t="s">
        <v>44</v>
      </c>
      <c r="V614" s="7" t="s">
        <v>45</v>
      </c>
      <c r="W614" s="7" t="s">
        <v>67</v>
      </c>
      <c r="X614" s="7" t="s">
        <v>68</v>
      </c>
      <c r="Y614" s="7" t="s">
        <v>1542</v>
      </c>
      <c r="Z614" s="7" t="s">
        <v>1523</v>
      </c>
      <c r="AA614" s="7"/>
      <c r="AB614" s="7"/>
      <c r="AC614" s="7" t="s">
        <v>82</v>
      </c>
      <c r="AD614" s="7"/>
      <c r="AE614" s="7" t="s">
        <v>1543</v>
      </c>
      <c r="AF614" s="7" t="s">
        <v>50</v>
      </c>
      <c r="AG614" s="7" t="s">
        <v>67</v>
      </c>
      <c r="AH614" s="7" t="s">
        <v>86</v>
      </c>
    </row>
    <row r="615" spans="1:34" ht="9.75" customHeight="1" x14ac:dyDescent="0.2">
      <c r="A615" s="7" t="s">
        <v>37</v>
      </c>
      <c r="B615" s="7" t="s">
        <v>38</v>
      </c>
      <c r="C615" s="7"/>
      <c r="D615" s="7" t="s">
        <v>1544</v>
      </c>
      <c r="E615" s="8">
        <v>1</v>
      </c>
      <c r="F615" s="7" t="s">
        <v>41</v>
      </c>
      <c r="G615" s="7"/>
      <c r="H615" s="9"/>
      <c r="I615" s="9"/>
      <c r="J615" s="9"/>
      <c r="K615" s="9"/>
      <c r="L615" s="10">
        <v>7067</v>
      </c>
      <c r="M615" s="9"/>
      <c r="N615" s="10">
        <v>7067</v>
      </c>
      <c r="O615" s="9"/>
      <c r="P615" s="10"/>
      <c r="Q615" s="10"/>
      <c r="R615" s="10"/>
      <c r="S615" s="7" t="s">
        <v>407</v>
      </c>
      <c r="T615" s="7" t="s">
        <v>1506</v>
      </c>
      <c r="U615" s="7" t="s">
        <v>44</v>
      </c>
      <c r="V615" s="7" t="s">
        <v>45</v>
      </c>
      <c r="W615" s="7" t="s">
        <v>67</v>
      </c>
      <c r="X615" s="7" t="s">
        <v>68</v>
      </c>
      <c r="Y615" s="7" t="s">
        <v>1545</v>
      </c>
      <c r="Z615" s="7" t="s">
        <v>1523</v>
      </c>
      <c r="AA615" s="7"/>
      <c r="AB615" s="7"/>
      <c r="AC615" s="7" t="s">
        <v>82</v>
      </c>
      <c r="AD615" s="7"/>
      <c r="AE615" s="7" t="s">
        <v>1546</v>
      </c>
      <c r="AF615" s="7" t="s">
        <v>50</v>
      </c>
      <c r="AG615" s="7" t="s">
        <v>67</v>
      </c>
      <c r="AH615" s="7" t="s">
        <v>86</v>
      </c>
    </row>
    <row r="616" spans="1:34" ht="9.75" customHeight="1" x14ac:dyDescent="0.2">
      <c r="A616" s="7" t="s">
        <v>37</v>
      </c>
      <c r="B616" s="7" t="s">
        <v>38</v>
      </c>
      <c r="C616" s="7"/>
      <c r="D616" s="7" t="s">
        <v>1547</v>
      </c>
      <c r="E616" s="8">
        <v>1</v>
      </c>
      <c r="F616" s="7" t="s">
        <v>41</v>
      </c>
      <c r="G616" s="7"/>
      <c r="H616" s="9"/>
      <c r="I616" s="9"/>
      <c r="J616" s="9"/>
      <c r="K616" s="9"/>
      <c r="L616" s="10">
        <v>13482</v>
      </c>
      <c r="M616" s="9"/>
      <c r="N616" s="10">
        <v>13482</v>
      </c>
      <c r="O616" s="9"/>
      <c r="P616" s="10"/>
      <c r="Q616" s="10"/>
      <c r="R616" s="10"/>
      <c r="S616" s="7" t="s">
        <v>407</v>
      </c>
      <c r="T616" s="7" t="s">
        <v>1506</v>
      </c>
      <c r="U616" s="7" t="s">
        <v>44</v>
      </c>
      <c r="V616" s="7" t="s">
        <v>45</v>
      </c>
      <c r="W616" s="7" t="s">
        <v>67</v>
      </c>
      <c r="X616" s="7" t="s">
        <v>68</v>
      </c>
      <c r="Y616" s="7" t="s">
        <v>1548</v>
      </c>
      <c r="Z616" s="7" t="s">
        <v>1523</v>
      </c>
      <c r="AA616" s="7"/>
      <c r="AB616" s="7"/>
      <c r="AC616" s="7" t="s">
        <v>82</v>
      </c>
      <c r="AD616" s="7"/>
      <c r="AE616" s="7" t="s">
        <v>944</v>
      </c>
      <c r="AF616" s="7" t="s">
        <v>50</v>
      </c>
      <c r="AG616" s="7" t="s">
        <v>67</v>
      </c>
      <c r="AH616" s="7" t="s">
        <v>86</v>
      </c>
    </row>
    <row r="617" spans="1:34" ht="9.75" customHeight="1" x14ac:dyDescent="0.2">
      <c r="A617" s="7" t="s">
        <v>37</v>
      </c>
      <c r="B617" s="7" t="s">
        <v>38</v>
      </c>
      <c r="C617" s="7"/>
      <c r="D617" s="7" t="s">
        <v>1549</v>
      </c>
      <c r="E617" s="8">
        <v>1</v>
      </c>
      <c r="F617" s="7" t="s">
        <v>41</v>
      </c>
      <c r="G617" s="7"/>
      <c r="H617" s="9"/>
      <c r="I617" s="9"/>
      <c r="J617" s="9"/>
      <c r="K617" s="9"/>
      <c r="L617" s="10">
        <v>8232</v>
      </c>
      <c r="M617" s="9"/>
      <c r="N617" s="10">
        <v>8232</v>
      </c>
      <c r="O617" s="9"/>
      <c r="P617" s="10"/>
      <c r="Q617" s="10"/>
      <c r="R617" s="10"/>
      <c r="S617" s="7" t="s">
        <v>407</v>
      </c>
      <c r="T617" s="7" t="s">
        <v>1506</v>
      </c>
      <c r="U617" s="7" t="s">
        <v>44</v>
      </c>
      <c r="V617" s="7" t="s">
        <v>45</v>
      </c>
      <c r="W617" s="7" t="s">
        <v>67</v>
      </c>
      <c r="X617" s="7" t="s">
        <v>68</v>
      </c>
      <c r="Y617" s="7" t="s">
        <v>1550</v>
      </c>
      <c r="Z617" s="7" t="s">
        <v>1523</v>
      </c>
      <c r="AA617" s="7"/>
      <c r="AB617" s="7"/>
      <c r="AC617" s="7" t="s">
        <v>82</v>
      </c>
      <c r="AD617" s="7"/>
      <c r="AE617" s="7" t="s">
        <v>950</v>
      </c>
      <c r="AF617" s="7" t="s">
        <v>50</v>
      </c>
      <c r="AG617" s="7" t="s">
        <v>67</v>
      </c>
      <c r="AH617" s="7" t="s">
        <v>86</v>
      </c>
    </row>
    <row r="618" spans="1:34" ht="9.75" customHeight="1" x14ac:dyDescent="0.2">
      <c r="A618" s="7" t="s">
        <v>37</v>
      </c>
      <c r="B618" s="7" t="s">
        <v>38</v>
      </c>
      <c r="C618" s="7"/>
      <c r="D618" s="7" t="s">
        <v>1551</v>
      </c>
      <c r="E618" s="8">
        <v>1</v>
      </c>
      <c r="F618" s="7" t="s">
        <v>41</v>
      </c>
      <c r="G618" s="7"/>
      <c r="H618" s="9"/>
      <c r="I618" s="9"/>
      <c r="J618" s="9"/>
      <c r="K618" s="9"/>
      <c r="L618" s="10">
        <v>8076</v>
      </c>
      <c r="M618" s="9"/>
      <c r="N618" s="10">
        <v>8076</v>
      </c>
      <c r="O618" s="9"/>
      <c r="P618" s="10"/>
      <c r="Q618" s="10"/>
      <c r="R618" s="10"/>
      <c r="S618" s="7" t="s">
        <v>407</v>
      </c>
      <c r="T618" s="7" t="s">
        <v>1506</v>
      </c>
      <c r="U618" s="7" t="s">
        <v>44</v>
      </c>
      <c r="V618" s="7" t="s">
        <v>45</v>
      </c>
      <c r="W618" s="7" t="s">
        <v>67</v>
      </c>
      <c r="X618" s="7" t="s">
        <v>68</v>
      </c>
      <c r="Y618" s="7" t="s">
        <v>1552</v>
      </c>
      <c r="Z618" s="7" t="s">
        <v>1523</v>
      </c>
      <c r="AA618" s="7"/>
      <c r="AB618" s="7"/>
      <c r="AC618" s="7" t="s">
        <v>82</v>
      </c>
      <c r="AD618" s="7"/>
      <c r="AE618" s="7" t="s">
        <v>1553</v>
      </c>
      <c r="AF618" s="7" t="s">
        <v>50</v>
      </c>
      <c r="AG618" s="7" t="s">
        <v>67</v>
      </c>
      <c r="AH618" s="7" t="s">
        <v>86</v>
      </c>
    </row>
    <row r="619" spans="1:34" ht="9.75" customHeight="1" x14ac:dyDescent="0.2">
      <c r="A619" s="7" t="s">
        <v>37</v>
      </c>
      <c r="B619" s="7" t="s">
        <v>38</v>
      </c>
      <c r="C619" s="7"/>
      <c r="D619" s="7" t="s">
        <v>1554</v>
      </c>
      <c r="E619" s="8">
        <v>1</v>
      </c>
      <c r="F619" s="7" t="s">
        <v>41</v>
      </c>
      <c r="G619" s="7"/>
      <c r="H619" s="9"/>
      <c r="I619" s="9"/>
      <c r="J619" s="9"/>
      <c r="K619" s="9"/>
      <c r="L619" s="10">
        <v>8426</v>
      </c>
      <c r="M619" s="9"/>
      <c r="N619" s="10">
        <v>8426</v>
      </c>
      <c r="O619" s="9"/>
      <c r="P619" s="10"/>
      <c r="Q619" s="10"/>
      <c r="R619" s="10"/>
      <c r="S619" s="7" t="s">
        <v>407</v>
      </c>
      <c r="T619" s="7" t="s">
        <v>1506</v>
      </c>
      <c r="U619" s="7" t="s">
        <v>44</v>
      </c>
      <c r="V619" s="7" t="s">
        <v>45</v>
      </c>
      <c r="W619" s="7" t="s">
        <v>67</v>
      </c>
      <c r="X619" s="7" t="s">
        <v>68</v>
      </c>
      <c r="Y619" s="7" t="s">
        <v>1555</v>
      </c>
      <c r="Z619" s="7" t="s">
        <v>1523</v>
      </c>
      <c r="AA619" s="7"/>
      <c r="AB619" s="7"/>
      <c r="AC619" s="7" t="s">
        <v>82</v>
      </c>
      <c r="AD619" s="7"/>
      <c r="AE619" s="7" t="s">
        <v>953</v>
      </c>
      <c r="AF619" s="7" t="s">
        <v>50</v>
      </c>
      <c r="AG619" s="7" t="s">
        <v>67</v>
      </c>
      <c r="AH619" s="7" t="s">
        <v>86</v>
      </c>
    </row>
    <row r="620" spans="1:34" ht="9.75" customHeight="1" x14ac:dyDescent="0.2">
      <c r="A620" s="7" t="s">
        <v>37</v>
      </c>
      <c r="B620" s="7" t="s">
        <v>38</v>
      </c>
      <c r="C620" s="7"/>
      <c r="D620" s="7" t="s">
        <v>1556</v>
      </c>
      <c r="E620" s="8">
        <v>1</v>
      </c>
      <c r="F620" s="7" t="s">
        <v>41</v>
      </c>
      <c r="G620" s="7"/>
      <c r="H620" s="9"/>
      <c r="I620" s="9"/>
      <c r="J620" s="9"/>
      <c r="K620" s="9"/>
      <c r="L620" s="10">
        <v>20000</v>
      </c>
      <c r="M620" s="9"/>
      <c r="N620" s="10">
        <v>20000</v>
      </c>
      <c r="O620" s="9"/>
      <c r="P620" s="10"/>
      <c r="Q620" s="10"/>
      <c r="R620" s="10"/>
      <c r="S620" s="7" t="s">
        <v>407</v>
      </c>
      <c r="T620" s="7" t="s">
        <v>1506</v>
      </c>
      <c r="U620" s="7" t="s">
        <v>44</v>
      </c>
      <c r="V620" s="7" t="s">
        <v>45</v>
      </c>
      <c r="W620" s="7" t="s">
        <v>67</v>
      </c>
      <c r="X620" s="7" t="s">
        <v>68</v>
      </c>
      <c r="Y620" s="7" t="s">
        <v>1557</v>
      </c>
      <c r="Z620" s="7" t="s">
        <v>1523</v>
      </c>
      <c r="AA620" s="7"/>
      <c r="AB620" s="7"/>
      <c r="AC620" s="7" t="s">
        <v>82</v>
      </c>
      <c r="AD620" s="7"/>
      <c r="AE620" s="7" t="s">
        <v>1558</v>
      </c>
      <c r="AF620" s="7" t="s">
        <v>50</v>
      </c>
      <c r="AG620" s="7" t="s">
        <v>67</v>
      </c>
      <c r="AH620" s="7" t="s">
        <v>86</v>
      </c>
    </row>
    <row r="621" spans="1:34" ht="9.75" customHeight="1" x14ac:dyDescent="0.2">
      <c r="A621" s="7" t="s">
        <v>37</v>
      </c>
      <c r="B621" s="7" t="s">
        <v>38</v>
      </c>
      <c r="C621" s="7"/>
      <c r="D621" s="7" t="s">
        <v>1559</v>
      </c>
      <c r="E621" s="8">
        <v>1</v>
      </c>
      <c r="F621" s="7" t="s">
        <v>41</v>
      </c>
      <c r="G621" s="7"/>
      <c r="H621" s="9"/>
      <c r="I621" s="9"/>
      <c r="J621" s="9"/>
      <c r="K621" s="9"/>
      <c r="L621" s="10">
        <v>7500</v>
      </c>
      <c r="M621" s="9"/>
      <c r="N621" s="10">
        <v>7500</v>
      </c>
      <c r="O621" s="9"/>
      <c r="P621" s="10"/>
      <c r="Q621" s="10"/>
      <c r="R621" s="10"/>
      <c r="S621" s="7" t="s">
        <v>407</v>
      </c>
      <c r="T621" s="7" t="s">
        <v>1506</v>
      </c>
      <c r="U621" s="7" t="s">
        <v>44</v>
      </c>
      <c r="V621" s="7" t="s">
        <v>45</v>
      </c>
      <c r="W621" s="7" t="s">
        <v>67</v>
      </c>
      <c r="X621" s="7" t="s">
        <v>68</v>
      </c>
      <c r="Y621" s="7" t="s">
        <v>1560</v>
      </c>
      <c r="Z621" s="7" t="s">
        <v>1523</v>
      </c>
      <c r="AA621" s="7"/>
      <c r="AB621" s="7"/>
      <c r="AC621" s="7" t="s">
        <v>82</v>
      </c>
      <c r="AD621" s="7"/>
      <c r="AE621" s="7" t="s">
        <v>962</v>
      </c>
      <c r="AF621" s="7" t="s">
        <v>50</v>
      </c>
      <c r="AG621" s="7" t="s">
        <v>67</v>
      </c>
      <c r="AH621" s="7" t="s">
        <v>86</v>
      </c>
    </row>
    <row r="622" spans="1:34" ht="9.75" customHeight="1" x14ac:dyDescent="0.2">
      <c r="A622" s="7" t="s">
        <v>37</v>
      </c>
      <c r="B622" s="7" t="s">
        <v>38</v>
      </c>
      <c r="C622" s="7"/>
      <c r="D622" s="7" t="s">
        <v>1561</v>
      </c>
      <c r="E622" s="8">
        <v>1</v>
      </c>
      <c r="F622" s="7" t="s">
        <v>41</v>
      </c>
      <c r="G622" s="7"/>
      <c r="H622" s="9"/>
      <c r="I622" s="9"/>
      <c r="J622" s="9"/>
      <c r="K622" s="9"/>
      <c r="L622" s="10">
        <v>3597</v>
      </c>
      <c r="M622" s="9"/>
      <c r="N622" s="10">
        <v>3597</v>
      </c>
      <c r="O622" s="9"/>
      <c r="P622" s="10"/>
      <c r="Q622" s="10"/>
      <c r="R622" s="10"/>
      <c r="S622" s="7" t="s">
        <v>407</v>
      </c>
      <c r="T622" s="7" t="s">
        <v>1506</v>
      </c>
      <c r="U622" s="7" t="s">
        <v>44</v>
      </c>
      <c r="V622" s="7" t="s">
        <v>45</v>
      </c>
      <c r="W622" s="7" t="s">
        <v>67</v>
      </c>
      <c r="X622" s="7" t="s">
        <v>68</v>
      </c>
      <c r="Y622" s="7" t="s">
        <v>1562</v>
      </c>
      <c r="Z622" s="7" t="s">
        <v>1523</v>
      </c>
      <c r="AA622" s="7"/>
      <c r="AB622" s="7"/>
      <c r="AC622" s="7" t="s">
        <v>82</v>
      </c>
      <c r="AD622" s="7"/>
      <c r="AE622" s="7" t="s">
        <v>965</v>
      </c>
      <c r="AF622" s="7" t="s">
        <v>50</v>
      </c>
      <c r="AG622" s="7" t="s">
        <v>67</v>
      </c>
      <c r="AH622" s="7" t="s">
        <v>86</v>
      </c>
    </row>
    <row r="623" spans="1:34" ht="9.75" customHeight="1" x14ac:dyDescent="0.2">
      <c r="A623" s="7" t="s">
        <v>37</v>
      </c>
      <c r="B623" s="7" t="s">
        <v>38</v>
      </c>
      <c r="C623" s="7"/>
      <c r="D623" s="7" t="s">
        <v>1563</v>
      </c>
      <c r="E623" s="8">
        <v>1</v>
      </c>
      <c r="F623" s="7" t="s">
        <v>41</v>
      </c>
      <c r="G623" s="7"/>
      <c r="H623" s="9"/>
      <c r="I623" s="9"/>
      <c r="J623" s="9"/>
      <c r="K623" s="9"/>
      <c r="L623" s="10">
        <v>2626</v>
      </c>
      <c r="M623" s="9"/>
      <c r="N623" s="10">
        <v>2626</v>
      </c>
      <c r="O623" s="9"/>
      <c r="P623" s="10"/>
      <c r="Q623" s="10"/>
      <c r="R623" s="10"/>
      <c r="S623" s="7" t="s">
        <v>407</v>
      </c>
      <c r="T623" s="7" t="s">
        <v>1506</v>
      </c>
      <c r="U623" s="7" t="s">
        <v>44</v>
      </c>
      <c r="V623" s="7" t="s">
        <v>45</v>
      </c>
      <c r="W623" s="7" t="s">
        <v>67</v>
      </c>
      <c r="X623" s="7" t="s">
        <v>68</v>
      </c>
      <c r="Y623" s="7" t="s">
        <v>1564</v>
      </c>
      <c r="Z623" s="7" t="s">
        <v>1523</v>
      </c>
      <c r="AA623" s="7"/>
      <c r="AB623" s="7"/>
      <c r="AC623" s="7" t="s">
        <v>82</v>
      </c>
      <c r="AD623" s="7"/>
      <c r="AE623" s="7" t="s">
        <v>968</v>
      </c>
      <c r="AF623" s="7" t="s">
        <v>50</v>
      </c>
      <c r="AG623" s="7" t="s">
        <v>67</v>
      </c>
      <c r="AH623" s="7" t="s">
        <v>86</v>
      </c>
    </row>
    <row r="624" spans="1:34" ht="9.75" customHeight="1" x14ac:dyDescent="0.2">
      <c r="A624" s="7" t="s">
        <v>37</v>
      </c>
      <c r="B624" s="7" t="s">
        <v>38</v>
      </c>
      <c r="C624" s="7"/>
      <c r="D624" s="7" t="s">
        <v>1565</v>
      </c>
      <c r="E624" s="8">
        <v>1</v>
      </c>
      <c r="F624" s="7" t="s">
        <v>41</v>
      </c>
      <c r="G624" s="7"/>
      <c r="H624" s="9"/>
      <c r="I624" s="9"/>
      <c r="J624" s="9"/>
      <c r="K624" s="9"/>
      <c r="L624" s="10">
        <v>1747</v>
      </c>
      <c r="M624" s="9"/>
      <c r="N624" s="10">
        <v>1747</v>
      </c>
      <c r="O624" s="9"/>
      <c r="P624" s="10"/>
      <c r="Q624" s="10"/>
      <c r="R624" s="10"/>
      <c r="S624" s="7" t="s">
        <v>407</v>
      </c>
      <c r="T624" s="7" t="s">
        <v>1506</v>
      </c>
      <c r="U624" s="7" t="s">
        <v>44</v>
      </c>
      <c r="V624" s="7" t="s">
        <v>45</v>
      </c>
      <c r="W624" s="7" t="s">
        <v>67</v>
      </c>
      <c r="X624" s="7" t="s">
        <v>68</v>
      </c>
      <c r="Y624" s="7" t="s">
        <v>1566</v>
      </c>
      <c r="Z624" s="7" t="s">
        <v>1523</v>
      </c>
      <c r="AA624" s="7"/>
      <c r="AB624" s="7"/>
      <c r="AC624" s="7" t="s">
        <v>82</v>
      </c>
      <c r="AD624" s="7"/>
      <c r="AE624" s="7" t="s">
        <v>1567</v>
      </c>
      <c r="AF624" s="7" t="s">
        <v>50</v>
      </c>
      <c r="AG624" s="7" t="s">
        <v>67</v>
      </c>
      <c r="AH624" s="7" t="s">
        <v>86</v>
      </c>
    </row>
    <row r="625" spans="1:34" ht="9.75" customHeight="1" x14ac:dyDescent="0.2">
      <c r="A625" s="7" t="s">
        <v>37</v>
      </c>
      <c r="B625" s="7" t="s">
        <v>38</v>
      </c>
      <c r="C625" s="7"/>
      <c r="D625" s="7" t="s">
        <v>1568</v>
      </c>
      <c r="E625" s="8">
        <v>1</v>
      </c>
      <c r="F625" s="7" t="s">
        <v>41</v>
      </c>
      <c r="G625" s="7"/>
      <c r="H625" s="9"/>
      <c r="I625" s="9"/>
      <c r="J625" s="9"/>
      <c r="K625" s="9"/>
      <c r="L625" s="10">
        <v>7779</v>
      </c>
      <c r="M625" s="9"/>
      <c r="N625" s="10">
        <v>7779</v>
      </c>
      <c r="O625" s="9"/>
      <c r="P625" s="10"/>
      <c r="Q625" s="10"/>
      <c r="R625" s="10"/>
      <c r="S625" s="7" t="s">
        <v>407</v>
      </c>
      <c r="T625" s="7" t="s">
        <v>1506</v>
      </c>
      <c r="U625" s="7" t="s">
        <v>44</v>
      </c>
      <c r="V625" s="7" t="s">
        <v>45</v>
      </c>
      <c r="W625" s="7" t="s">
        <v>67</v>
      </c>
      <c r="X625" s="7" t="s">
        <v>68</v>
      </c>
      <c r="Y625" s="7" t="s">
        <v>1569</v>
      </c>
      <c r="Z625" s="7" t="s">
        <v>1523</v>
      </c>
      <c r="AA625" s="7"/>
      <c r="AB625" s="7"/>
      <c r="AC625" s="7" t="s">
        <v>82</v>
      </c>
      <c r="AD625" s="7"/>
      <c r="AE625" s="7" t="s">
        <v>973</v>
      </c>
      <c r="AF625" s="7" t="s">
        <v>50</v>
      </c>
      <c r="AG625" s="7" t="s">
        <v>67</v>
      </c>
      <c r="AH625" s="7" t="s">
        <v>86</v>
      </c>
    </row>
    <row r="626" spans="1:34" ht="9.75" customHeight="1" x14ac:dyDescent="0.2">
      <c r="A626" s="7" t="s">
        <v>37</v>
      </c>
      <c r="B626" s="7" t="s">
        <v>38</v>
      </c>
      <c r="C626" s="7"/>
      <c r="D626" s="7" t="s">
        <v>1570</v>
      </c>
      <c r="E626" s="8">
        <v>1</v>
      </c>
      <c r="F626" s="7" t="s">
        <v>41</v>
      </c>
      <c r="G626" s="7"/>
      <c r="H626" s="9"/>
      <c r="I626" s="9"/>
      <c r="J626" s="9"/>
      <c r="K626" s="9"/>
      <c r="L626" s="10">
        <v>3469</v>
      </c>
      <c r="M626" s="9"/>
      <c r="N626" s="10">
        <v>3469</v>
      </c>
      <c r="O626" s="9"/>
      <c r="P626" s="10"/>
      <c r="Q626" s="10"/>
      <c r="R626" s="10"/>
      <c r="S626" s="7" t="s">
        <v>407</v>
      </c>
      <c r="T626" s="7" t="s">
        <v>1506</v>
      </c>
      <c r="U626" s="7" t="s">
        <v>44</v>
      </c>
      <c r="V626" s="7" t="s">
        <v>45</v>
      </c>
      <c r="W626" s="7" t="s">
        <v>67</v>
      </c>
      <c r="X626" s="7" t="s">
        <v>68</v>
      </c>
      <c r="Y626" s="7" t="s">
        <v>1571</v>
      </c>
      <c r="Z626" s="7" t="s">
        <v>1523</v>
      </c>
      <c r="AA626" s="7"/>
      <c r="AB626" s="7"/>
      <c r="AC626" s="7" t="s">
        <v>82</v>
      </c>
      <c r="AD626" s="7"/>
      <c r="AE626" s="7" t="s">
        <v>976</v>
      </c>
      <c r="AF626" s="7" t="s">
        <v>50</v>
      </c>
      <c r="AG626" s="7" t="s">
        <v>67</v>
      </c>
      <c r="AH626" s="7" t="s">
        <v>86</v>
      </c>
    </row>
    <row r="627" spans="1:34" ht="9.75" customHeight="1" x14ac:dyDescent="0.2">
      <c r="A627" s="7" t="s">
        <v>37</v>
      </c>
      <c r="B627" s="7" t="s">
        <v>38</v>
      </c>
      <c r="C627" s="7"/>
      <c r="D627" s="7" t="s">
        <v>1572</v>
      </c>
      <c r="E627" s="8">
        <v>1</v>
      </c>
      <c r="F627" s="7" t="s">
        <v>41</v>
      </c>
      <c r="G627" s="7"/>
      <c r="H627" s="9"/>
      <c r="I627" s="9"/>
      <c r="J627" s="9"/>
      <c r="K627" s="9"/>
      <c r="L627" s="10">
        <v>21186</v>
      </c>
      <c r="M627" s="9"/>
      <c r="N627" s="10">
        <v>21186</v>
      </c>
      <c r="O627" s="9"/>
      <c r="P627" s="10"/>
      <c r="Q627" s="10"/>
      <c r="R627" s="10"/>
      <c r="S627" s="7" t="s">
        <v>407</v>
      </c>
      <c r="T627" s="7" t="s">
        <v>1506</v>
      </c>
      <c r="U627" s="7" t="s">
        <v>44</v>
      </c>
      <c r="V627" s="7" t="s">
        <v>45</v>
      </c>
      <c r="W627" s="7" t="s">
        <v>67</v>
      </c>
      <c r="X627" s="7" t="s">
        <v>68</v>
      </c>
      <c r="Y627" s="7" t="s">
        <v>1573</v>
      </c>
      <c r="Z627" s="7" t="s">
        <v>1523</v>
      </c>
      <c r="AA627" s="7"/>
      <c r="AB627" s="7"/>
      <c r="AC627" s="7" t="s">
        <v>82</v>
      </c>
      <c r="AD627" s="7"/>
      <c r="AE627" s="7" t="s">
        <v>982</v>
      </c>
      <c r="AF627" s="7" t="s">
        <v>50</v>
      </c>
      <c r="AG627" s="7" t="s">
        <v>67</v>
      </c>
      <c r="AH627" s="7" t="s">
        <v>86</v>
      </c>
    </row>
    <row r="628" spans="1:34" ht="9.75" customHeight="1" x14ac:dyDescent="0.2">
      <c r="A628" s="7" t="s">
        <v>37</v>
      </c>
      <c r="B628" s="7" t="s">
        <v>38</v>
      </c>
      <c r="C628" s="7"/>
      <c r="D628" s="7" t="s">
        <v>1574</v>
      </c>
      <c r="E628" s="8">
        <v>1</v>
      </c>
      <c r="F628" s="7" t="s">
        <v>41</v>
      </c>
      <c r="G628" s="7"/>
      <c r="H628" s="9"/>
      <c r="I628" s="9"/>
      <c r="J628" s="9"/>
      <c r="K628" s="9"/>
      <c r="L628" s="10">
        <v>8657</v>
      </c>
      <c r="M628" s="9"/>
      <c r="N628" s="10">
        <v>8657</v>
      </c>
      <c r="O628" s="9"/>
      <c r="P628" s="10"/>
      <c r="Q628" s="10"/>
      <c r="R628" s="10"/>
      <c r="S628" s="7" t="s">
        <v>407</v>
      </c>
      <c r="T628" s="7" t="s">
        <v>1506</v>
      </c>
      <c r="U628" s="7" t="s">
        <v>44</v>
      </c>
      <c r="V628" s="7" t="s">
        <v>45</v>
      </c>
      <c r="W628" s="7" t="s">
        <v>67</v>
      </c>
      <c r="X628" s="7" t="s">
        <v>68</v>
      </c>
      <c r="Y628" s="7" t="s">
        <v>1575</v>
      </c>
      <c r="Z628" s="7" t="s">
        <v>1523</v>
      </c>
      <c r="AA628" s="7"/>
      <c r="AB628" s="7"/>
      <c r="AC628" s="7" t="s">
        <v>82</v>
      </c>
      <c r="AD628" s="7"/>
      <c r="AE628" s="7" t="s">
        <v>985</v>
      </c>
      <c r="AF628" s="7" t="s">
        <v>50</v>
      </c>
      <c r="AG628" s="7" t="s">
        <v>67</v>
      </c>
      <c r="AH628" s="7" t="s">
        <v>86</v>
      </c>
    </row>
    <row r="629" spans="1:34" ht="9.75" customHeight="1" x14ac:dyDescent="0.2">
      <c r="A629" s="7" t="s">
        <v>37</v>
      </c>
      <c r="B629" s="7" t="s">
        <v>38</v>
      </c>
      <c r="C629" s="7"/>
      <c r="D629" s="7" t="s">
        <v>1576</v>
      </c>
      <c r="E629" s="8">
        <v>1</v>
      </c>
      <c r="F629" s="7" t="s">
        <v>41</v>
      </c>
      <c r="G629" s="7"/>
      <c r="H629" s="9"/>
      <c r="I629" s="9"/>
      <c r="J629" s="9"/>
      <c r="K629" s="9"/>
      <c r="L629" s="10">
        <v>2634</v>
      </c>
      <c r="M629" s="9"/>
      <c r="N629" s="10">
        <v>2634</v>
      </c>
      <c r="O629" s="9"/>
      <c r="P629" s="10"/>
      <c r="Q629" s="10"/>
      <c r="R629" s="10"/>
      <c r="S629" s="7" t="s">
        <v>407</v>
      </c>
      <c r="T629" s="7" t="s">
        <v>1506</v>
      </c>
      <c r="U629" s="7" t="s">
        <v>44</v>
      </c>
      <c r="V629" s="7" t="s">
        <v>45</v>
      </c>
      <c r="W629" s="7" t="s">
        <v>67</v>
      </c>
      <c r="X629" s="7" t="s">
        <v>68</v>
      </c>
      <c r="Y629" s="7" t="s">
        <v>1577</v>
      </c>
      <c r="Z629" s="7" t="s">
        <v>1523</v>
      </c>
      <c r="AA629" s="7"/>
      <c r="AB629" s="7"/>
      <c r="AC629" s="7" t="s">
        <v>82</v>
      </c>
      <c r="AD629" s="7"/>
      <c r="AE629" s="7" t="s">
        <v>1578</v>
      </c>
      <c r="AF629" s="7" t="s">
        <v>50</v>
      </c>
      <c r="AG629" s="7" t="s">
        <v>67</v>
      </c>
      <c r="AH629" s="7" t="s">
        <v>86</v>
      </c>
    </row>
    <row r="630" spans="1:34" ht="9.75" customHeight="1" x14ac:dyDescent="0.2">
      <c r="A630" s="7" t="s">
        <v>37</v>
      </c>
      <c r="B630" s="7" t="s">
        <v>38</v>
      </c>
      <c r="C630" s="7"/>
      <c r="D630" s="7" t="s">
        <v>1579</v>
      </c>
      <c r="E630" s="8">
        <v>1</v>
      </c>
      <c r="F630" s="7" t="s">
        <v>41</v>
      </c>
      <c r="G630" s="7"/>
      <c r="H630" s="9"/>
      <c r="I630" s="9"/>
      <c r="J630" s="9"/>
      <c r="K630" s="9"/>
      <c r="L630" s="10">
        <v>2027</v>
      </c>
      <c r="M630" s="9"/>
      <c r="N630" s="10">
        <v>2027</v>
      </c>
      <c r="O630" s="9"/>
      <c r="P630" s="10"/>
      <c r="Q630" s="10"/>
      <c r="R630" s="10"/>
      <c r="S630" s="7" t="s">
        <v>407</v>
      </c>
      <c r="T630" s="7" t="s">
        <v>1506</v>
      </c>
      <c r="U630" s="7" t="s">
        <v>44</v>
      </c>
      <c r="V630" s="7" t="s">
        <v>45</v>
      </c>
      <c r="W630" s="7" t="s">
        <v>67</v>
      </c>
      <c r="X630" s="7" t="s">
        <v>68</v>
      </c>
      <c r="Y630" s="7" t="s">
        <v>1580</v>
      </c>
      <c r="Z630" s="7" t="s">
        <v>1523</v>
      </c>
      <c r="AA630" s="7"/>
      <c r="AB630" s="7"/>
      <c r="AC630" s="7" t="s">
        <v>82</v>
      </c>
      <c r="AD630" s="7"/>
      <c r="AE630" s="7" t="s">
        <v>1581</v>
      </c>
      <c r="AF630" s="7" t="s">
        <v>50</v>
      </c>
      <c r="AG630" s="7" t="s">
        <v>67</v>
      </c>
      <c r="AH630" s="7" t="s">
        <v>86</v>
      </c>
    </row>
    <row r="631" spans="1:34" ht="9.75" customHeight="1" x14ac:dyDescent="0.2">
      <c r="A631" s="7" t="s">
        <v>37</v>
      </c>
      <c r="B631" s="7" t="s">
        <v>38</v>
      </c>
      <c r="C631" s="7"/>
      <c r="D631" s="7" t="s">
        <v>1582</v>
      </c>
      <c r="E631" s="8">
        <v>1</v>
      </c>
      <c r="F631" s="7" t="s">
        <v>41</v>
      </c>
      <c r="G631" s="7"/>
      <c r="H631" s="9"/>
      <c r="I631" s="9"/>
      <c r="J631" s="9"/>
      <c r="K631" s="9"/>
      <c r="L631" s="10">
        <v>1536</v>
      </c>
      <c r="M631" s="9"/>
      <c r="N631" s="10">
        <v>1536</v>
      </c>
      <c r="O631" s="9"/>
      <c r="P631" s="10"/>
      <c r="Q631" s="10"/>
      <c r="R631" s="10"/>
      <c r="S631" s="7" t="s">
        <v>407</v>
      </c>
      <c r="T631" s="7" t="s">
        <v>1506</v>
      </c>
      <c r="U631" s="7" t="s">
        <v>44</v>
      </c>
      <c r="V631" s="7" t="s">
        <v>45</v>
      </c>
      <c r="W631" s="7" t="s">
        <v>67</v>
      </c>
      <c r="X631" s="7" t="s">
        <v>68</v>
      </c>
      <c r="Y631" s="7" t="s">
        <v>1583</v>
      </c>
      <c r="Z631" s="7" t="s">
        <v>1523</v>
      </c>
      <c r="AA631" s="7"/>
      <c r="AB631" s="7"/>
      <c r="AC631" s="7" t="s">
        <v>82</v>
      </c>
      <c r="AD631" s="7"/>
      <c r="AE631" s="7" t="s">
        <v>1584</v>
      </c>
      <c r="AF631" s="7" t="s">
        <v>50</v>
      </c>
      <c r="AG631" s="7" t="s">
        <v>67</v>
      </c>
      <c r="AH631" s="7" t="s">
        <v>86</v>
      </c>
    </row>
    <row r="632" spans="1:34" ht="9.75" customHeight="1" x14ac:dyDescent="0.2">
      <c r="A632" s="7" t="s">
        <v>37</v>
      </c>
      <c r="B632" s="7" t="s">
        <v>38</v>
      </c>
      <c r="C632" s="7"/>
      <c r="D632" s="7" t="s">
        <v>1585</v>
      </c>
      <c r="E632" s="8">
        <v>1</v>
      </c>
      <c r="F632" s="7" t="s">
        <v>41</v>
      </c>
      <c r="G632" s="7"/>
      <c r="H632" s="9"/>
      <c r="I632" s="9"/>
      <c r="J632" s="9"/>
      <c r="K632" s="9"/>
      <c r="L632" s="10">
        <v>2514</v>
      </c>
      <c r="M632" s="9"/>
      <c r="N632" s="10">
        <v>2514</v>
      </c>
      <c r="O632" s="9"/>
      <c r="P632" s="10"/>
      <c r="Q632" s="10"/>
      <c r="R632" s="10"/>
      <c r="S632" s="7" t="s">
        <v>407</v>
      </c>
      <c r="T632" s="7" t="s">
        <v>1506</v>
      </c>
      <c r="U632" s="7" t="s">
        <v>44</v>
      </c>
      <c r="V632" s="7" t="s">
        <v>45</v>
      </c>
      <c r="W632" s="7" t="s">
        <v>67</v>
      </c>
      <c r="X632" s="7" t="s">
        <v>68</v>
      </c>
      <c r="Y632" s="7" t="s">
        <v>1586</v>
      </c>
      <c r="Z632" s="7" t="s">
        <v>1523</v>
      </c>
      <c r="AA632" s="7"/>
      <c r="AB632" s="7"/>
      <c r="AC632" s="7" t="s">
        <v>82</v>
      </c>
      <c r="AD632" s="7"/>
      <c r="AE632" s="7" t="s">
        <v>1587</v>
      </c>
      <c r="AF632" s="7" t="s">
        <v>50</v>
      </c>
      <c r="AG632" s="7" t="s">
        <v>67</v>
      </c>
      <c r="AH632" s="7" t="s">
        <v>86</v>
      </c>
    </row>
    <row r="633" spans="1:34" ht="9.75" customHeight="1" x14ac:dyDescent="0.2">
      <c r="A633" s="7" t="s">
        <v>37</v>
      </c>
      <c r="B633" s="7" t="s">
        <v>38</v>
      </c>
      <c r="C633" s="7"/>
      <c r="D633" s="7" t="s">
        <v>1588</v>
      </c>
      <c r="E633" s="8">
        <v>1</v>
      </c>
      <c r="F633" s="7" t="s">
        <v>41</v>
      </c>
      <c r="G633" s="7"/>
      <c r="H633" s="9"/>
      <c r="I633" s="9"/>
      <c r="J633" s="9"/>
      <c r="K633" s="9"/>
      <c r="L633" s="10">
        <v>26795</v>
      </c>
      <c r="M633" s="9"/>
      <c r="N633" s="10">
        <v>26795</v>
      </c>
      <c r="O633" s="9"/>
      <c r="P633" s="10"/>
      <c r="Q633" s="10"/>
      <c r="R633" s="10"/>
      <c r="S633" s="7" t="s">
        <v>407</v>
      </c>
      <c r="T633" s="7" t="s">
        <v>1506</v>
      </c>
      <c r="U633" s="7" t="s">
        <v>44</v>
      </c>
      <c r="V633" s="7" t="s">
        <v>45</v>
      </c>
      <c r="W633" s="7" t="s">
        <v>67</v>
      </c>
      <c r="X633" s="7" t="s">
        <v>68</v>
      </c>
      <c r="Y633" s="7" t="s">
        <v>1589</v>
      </c>
      <c r="Z633" s="7" t="s">
        <v>1523</v>
      </c>
      <c r="AA633" s="7"/>
      <c r="AB633" s="7"/>
      <c r="AC633" s="7" t="s">
        <v>82</v>
      </c>
      <c r="AD633" s="7"/>
      <c r="AE633" s="7" t="s">
        <v>1002</v>
      </c>
      <c r="AF633" s="7" t="s">
        <v>50</v>
      </c>
      <c r="AG633" s="7" t="s">
        <v>67</v>
      </c>
      <c r="AH633" s="7" t="s">
        <v>86</v>
      </c>
    </row>
    <row r="634" spans="1:34" ht="9.75" customHeight="1" x14ac:dyDescent="0.2">
      <c r="A634" s="7" t="s">
        <v>37</v>
      </c>
      <c r="B634" s="7" t="s">
        <v>38</v>
      </c>
      <c r="C634" s="7"/>
      <c r="D634" s="7" t="s">
        <v>1590</v>
      </c>
      <c r="E634" s="8">
        <v>1</v>
      </c>
      <c r="F634" s="7" t="s">
        <v>41</v>
      </c>
      <c r="G634" s="7"/>
      <c r="H634" s="9"/>
      <c r="I634" s="9"/>
      <c r="J634" s="9"/>
      <c r="K634" s="9"/>
      <c r="L634" s="10">
        <v>4771</v>
      </c>
      <c r="M634" s="9"/>
      <c r="N634" s="10">
        <v>4771</v>
      </c>
      <c r="O634" s="9"/>
      <c r="P634" s="10"/>
      <c r="Q634" s="10"/>
      <c r="R634" s="10"/>
      <c r="S634" s="7" t="s">
        <v>407</v>
      </c>
      <c r="T634" s="7" t="s">
        <v>1506</v>
      </c>
      <c r="U634" s="7" t="s">
        <v>44</v>
      </c>
      <c r="V634" s="7" t="s">
        <v>45</v>
      </c>
      <c r="W634" s="7" t="s">
        <v>67</v>
      </c>
      <c r="X634" s="7" t="s">
        <v>68</v>
      </c>
      <c r="Y634" s="7" t="s">
        <v>1591</v>
      </c>
      <c r="Z634" s="7" t="s">
        <v>1523</v>
      </c>
      <c r="AA634" s="7"/>
      <c r="AB634" s="7"/>
      <c r="AC634" s="7" t="s">
        <v>82</v>
      </c>
      <c r="AD634" s="7"/>
      <c r="AE634" s="7" t="s">
        <v>1592</v>
      </c>
      <c r="AF634" s="7" t="s">
        <v>50</v>
      </c>
      <c r="AG634" s="7" t="s">
        <v>67</v>
      </c>
      <c r="AH634" s="7" t="s">
        <v>86</v>
      </c>
    </row>
    <row r="635" spans="1:34" ht="9.75" customHeight="1" x14ac:dyDescent="0.2">
      <c r="A635" s="7" t="s">
        <v>37</v>
      </c>
      <c r="B635" s="7" t="s">
        <v>38</v>
      </c>
      <c r="C635" s="7"/>
      <c r="D635" s="7" t="s">
        <v>1593</v>
      </c>
      <c r="E635" s="8">
        <v>1</v>
      </c>
      <c r="F635" s="7" t="s">
        <v>41</v>
      </c>
      <c r="G635" s="7"/>
      <c r="H635" s="9"/>
      <c r="I635" s="9"/>
      <c r="J635" s="9"/>
      <c r="K635" s="9"/>
      <c r="L635" s="10">
        <v>2727</v>
      </c>
      <c r="M635" s="9"/>
      <c r="N635" s="10">
        <v>2727</v>
      </c>
      <c r="O635" s="9"/>
      <c r="P635" s="10"/>
      <c r="Q635" s="10"/>
      <c r="R635" s="10"/>
      <c r="S635" s="7" t="s">
        <v>407</v>
      </c>
      <c r="T635" s="7" t="s">
        <v>1506</v>
      </c>
      <c r="U635" s="7" t="s">
        <v>44</v>
      </c>
      <c r="V635" s="7" t="s">
        <v>45</v>
      </c>
      <c r="W635" s="7" t="s">
        <v>67</v>
      </c>
      <c r="X635" s="7" t="s">
        <v>68</v>
      </c>
      <c r="Y635" s="7" t="s">
        <v>1594</v>
      </c>
      <c r="Z635" s="7" t="s">
        <v>1595</v>
      </c>
      <c r="AA635" s="7"/>
      <c r="AB635" s="7"/>
      <c r="AC635" s="7" t="s">
        <v>82</v>
      </c>
      <c r="AD635" s="7"/>
      <c r="AE635" s="7" t="s">
        <v>1010</v>
      </c>
      <c r="AF635" s="7" t="s">
        <v>50</v>
      </c>
      <c r="AG635" s="7" t="s">
        <v>67</v>
      </c>
      <c r="AH635" s="7" t="s">
        <v>86</v>
      </c>
    </row>
    <row r="636" spans="1:34" ht="9.75" customHeight="1" x14ac:dyDescent="0.2">
      <c r="A636" s="7" t="s">
        <v>37</v>
      </c>
      <c r="B636" s="7" t="s">
        <v>38</v>
      </c>
      <c r="C636" s="7"/>
      <c r="D636" s="7" t="s">
        <v>1596</v>
      </c>
      <c r="E636" s="8">
        <v>1</v>
      </c>
      <c r="F636" s="7" t="s">
        <v>41</v>
      </c>
      <c r="G636" s="7"/>
      <c r="H636" s="9"/>
      <c r="I636" s="9"/>
      <c r="J636" s="9"/>
      <c r="K636" s="9"/>
      <c r="L636" s="10">
        <v>3478</v>
      </c>
      <c r="M636" s="9"/>
      <c r="N636" s="10">
        <v>3478</v>
      </c>
      <c r="O636" s="9"/>
      <c r="P636" s="10"/>
      <c r="Q636" s="10"/>
      <c r="R636" s="10"/>
      <c r="S636" s="7" t="s">
        <v>407</v>
      </c>
      <c r="T636" s="7" t="s">
        <v>1506</v>
      </c>
      <c r="U636" s="7" t="s">
        <v>44</v>
      </c>
      <c r="V636" s="7" t="s">
        <v>45</v>
      </c>
      <c r="W636" s="7" t="s">
        <v>67</v>
      </c>
      <c r="X636" s="7" t="s">
        <v>68</v>
      </c>
      <c r="Y636" s="7" t="s">
        <v>1597</v>
      </c>
      <c r="Z636" s="7" t="s">
        <v>1595</v>
      </c>
      <c r="AA636" s="7"/>
      <c r="AB636" s="7"/>
      <c r="AC636" s="7" t="s">
        <v>82</v>
      </c>
      <c r="AD636" s="7"/>
      <c r="AE636" s="7" t="s">
        <v>1013</v>
      </c>
      <c r="AF636" s="7" t="s">
        <v>50</v>
      </c>
      <c r="AG636" s="7" t="s">
        <v>67</v>
      </c>
      <c r="AH636" s="7" t="s">
        <v>86</v>
      </c>
    </row>
    <row r="637" spans="1:34" ht="9.75" customHeight="1" x14ac:dyDescent="0.2">
      <c r="A637" s="7" t="s">
        <v>37</v>
      </c>
      <c r="B637" s="7" t="s">
        <v>38</v>
      </c>
      <c r="C637" s="7"/>
      <c r="D637" s="7" t="s">
        <v>1598</v>
      </c>
      <c r="E637" s="8">
        <v>1</v>
      </c>
      <c r="F637" s="7" t="s">
        <v>41</v>
      </c>
      <c r="G637" s="7"/>
      <c r="H637" s="9"/>
      <c r="I637" s="9"/>
      <c r="J637" s="9"/>
      <c r="K637" s="9"/>
      <c r="L637" s="10">
        <v>4689</v>
      </c>
      <c r="M637" s="9"/>
      <c r="N637" s="10">
        <v>4689</v>
      </c>
      <c r="O637" s="9"/>
      <c r="P637" s="10"/>
      <c r="Q637" s="10"/>
      <c r="R637" s="10"/>
      <c r="S637" s="7" t="s">
        <v>407</v>
      </c>
      <c r="T637" s="7" t="s">
        <v>1506</v>
      </c>
      <c r="U637" s="7" t="s">
        <v>44</v>
      </c>
      <c r="V637" s="7" t="s">
        <v>45</v>
      </c>
      <c r="W637" s="7" t="s">
        <v>67</v>
      </c>
      <c r="X637" s="7" t="s">
        <v>68</v>
      </c>
      <c r="Y637" s="7" t="s">
        <v>1599</v>
      </c>
      <c r="Z637" s="7" t="s">
        <v>1595</v>
      </c>
      <c r="AA637" s="7"/>
      <c r="AB637" s="7"/>
      <c r="AC637" s="7" t="s">
        <v>82</v>
      </c>
      <c r="AD637" s="7"/>
      <c r="AE637" s="7" t="s">
        <v>1019</v>
      </c>
      <c r="AF637" s="7" t="s">
        <v>50</v>
      </c>
      <c r="AG637" s="7" t="s">
        <v>67</v>
      </c>
      <c r="AH637" s="7" t="s">
        <v>86</v>
      </c>
    </row>
    <row r="638" spans="1:34" ht="9.75" customHeight="1" x14ac:dyDescent="0.2">
      <c r="A638" s="7" t="s">
        <v>37</v>
      </c>
      <c r="B638" s="7" t="s">
        <v>38</v>
      </c>
      <c r="C638" s="7"/>
      <c r="D638" s="7" t="s">
        <v>1600</v>
      </c>
      <c r="E638" s="8">
        <v>1</v>
      </c>
      <c r="F638" s="7" t="s">
        <v>41</v>
      </c>
      <c r="G638" s="7"/>
      <c r="H638" s="9"/>
      <c r="I638" s="9"/>
      <c r="J638" s="9"/>
      <c r="K638" s="9"/>
      <c r="L638" s="10">
        <v>4210</v>
      </c>
      <c r="M638" s="9"/>
      <c r="N638" s="10">
        <v>4210</v>
      </c>
      <c r="O638" s="9"/>
      <c r="P638" s="10"/>
      <c r="Q638" s="10"/>
      <c r="R638" s="10"/>
      <c r="S638" s="7" t="s">
        <v>407</v>
      </c>
      <c r="T638" s="7" t="s">
        <v>1506</v>
      </c>
      <c r="U638" s="7" t="s">
        <v>44</v>
      </c>
      <c r="V638" s="7" t="s">
        <v>45</v>
      </c>
      <c r="W638" s="7" t="s">
        <v>67</v>
      </c>
      <c r="X638" s="7" t="s">
        <v>68</v>
      </c>
      <c r="Y638" s="7" t="s">
        <v>1601</v>
      </c>
      <c r="Z638" s="7" t="s">
        <v>1595</v>
      </c>
      <c r="AA638" s="7"/>
      <c r="AB638" s="7"/>
      <c r="AC638" s="7" t="s">
        <v>82</v>
      </c>
      <c r="AD638" s="7"/>
      <c r="AE638" s="7" t="s">
        <v>1022</v>
      </c>
      <c r="AF638" s="7" t="s">
        <v>50</v>
      </c>
      <c r="AG638" s="7" t="s">
        <v>67</v>
      </c>
      <c r="AH638" s="7" t="s">
        <v>86</v>
      </c>
    </row>
    <row r="639" spans="1:34" ht="9.75" customHeight="1" x14ac:dyDescent="0.2">
      <c r="A639" s="7" t="s">
        <v>37</v>
      </c>
      <c r="B639" s="7" t="s">
        <v>38</v>
      </c>
      <c r="C639" s="7"/>
      <c r="D639" s="7" t="s">
        <v>1602</v>
      </c>
      <c r="E639" s="8">
        <v>1</v>
      </c>
      <c r="F639" s="7" t="s">
        <v>41</v>
      </c>
      <c r="G639" s="7"/>
      <c r="H639" s="9"/>
      <c r="I639" s="9"/>
      <c r="J639" s="9"/>
      <c r="K639" s="9"/>
      <c r="L639" s="10">
        <v>21081</v>
      </c>
      <c r="M639" s="9"/>
      <c r="N639" s="10">
        <v>21081</v>
      </c>
      <c r="O639" s="9"/>
      <c r="P639" s="10"/>
      <c r="Q639" s="10"/>
      <c r="R639" s="10"/>
      <c r="S639" s="7" t="s">
        <v>407</v>
      </c>
      <c r="T639" s="7" t="s">
        <v>1506</v>
      </c>
      <c r="U639" s="7" t="s">
        <v>44</v>
      </c>
      <c r="V639" s="7" t="s">
        <v>45</v>
      </c>
      <c r="W639" s="7" t="s">
        <v>67</v>
      </c>
      <c r="X639" s="7" t="s">
        <v>68</v>
      </c>
      <c r="Y639" s="7" t="s">
        <v>1603</v>
      </c>
      <c r="Z639" s="7" t="s">
        <v>1595</v>
      </c>
      <c r="AA639" s="7"/>
      <c r="AB639" s="7"/>
      <c r="AC639" s="7" t="s">
        <v>82</v>
      </c>
      <c r="AD639" s="7"/>
      <c r="AE639" s="7" t="s">
        <v>1025</v>
      </c>
      <c r="AF639" s="7" t="s">
        <v>50</v>
      </c>
      <c r="AG639" s="7" t="s">
        <v>67</v>
      </c>
      <c r="AH639" s="7" t="s">
        <v>86</v>
      </c>
    </row>
    <row r="640" spans="1:34" ht="9.75" customHeight="1" x14ac:dyDescent="0.2">
      <c r="A640" s="7" t="s">
        <v>37</v>
      </c>
      <c r="B640" s="7" t="s">
        <v>38</v>
      </c>
      <c r="C640" s="7"/>
      <c r="D640" s="7" t="s">
        <v>1604</v>
      </c>
      <c r="E640" s="8">
        <v>1</v>
      </c>
      <c r="F640" s="7" t="s">
        <v>41</v>
      </c>
      <c r="G640" s="7"/>
      <c r="H640" s="9"/>
      <c r="I640" s="9"/>
      <c r="J640" s="9"/>
      <c r="K640" s="9"/>
      <c r="L640" s="10">
        <v>1491</v>
      </c>
      <c r="M640" s="9"/>
      <c r="N640" s="10">
        <v>1491</v>
      </c>
      <c r="O640" s="9"/>
      <c r="P640" s="10"/>
      <c r="Q640" s="10"/>
      <c r="R640" s="10"/>
      <c r="S640" s="7" t="s">
        <v>407</v>
      </c>
      <c r="T640" s="7" t="s">
        <v>1506</v>
      </c>
      <c r="U640" s="7" t="s">
        <v>44</v>
      </c>
      <c r="V640" s="7" t="s">
        <v>45</v>
      </c>
      <c r="W640" s="7" t="s">
        <v>67</v>
      </c>
      <c r="X640" s="7" t="s">
        <v>68</v>
      </c>
      <c r="Y640" s="7" t="s">
        <v>1605</v>
      </c>
      <c r="Z640" s="7" t="s">
        <v>1595</v>
      </c>
      <c r="AA640" s="7"/>
      <c r="AB640" s="7"/>
      <c r="AC640" s="7" t="s">
        <v>82</v>
      </c>
      <c r="AD640" s="7"/>
      <c r="AE640" s="7" t="s">
        <v>1606</v>
      </c>
      <c r="AF640" s="7" t="s">
        <v>50</v>
      </c>
      <c r="AG640" s="7" t="s">
        <v>67</v>
      </c>
      <c r="AH640" s="7" t="s">
        <v>86</v>
      </c>
    </row>
    <row r="641" spans="1:34" ht="9.75" customHeight="1" x14ac:dyDescent="0.2">
      <c r="A641" s="7" t="s">
        <v>37</v>
      </c>
      <c r="B641" s="7" t="s">
        <v>38</v>
      </c>
      <c r="C641" s="7"/>
      <c r="D641" s="7" t="s">
        <v>1607</v>
      </c>
      <c r="E641" s="8">
        <v>1</v>
      </c>
      <c r="F641" s="7" t="s">
        <v>41</v>
      </c>
      <c r="G641" s="7"/>
      <c r="H641" s="9"/>
      <c r="I641" s="9"/>
      <c r="J641" s="9"/>
      <c r="K641" s="9"/>
      <c r="L641" s="10">
        <v>3516</v>
      </c>
      <c r="M641" s="9"/>
      <c r="N641" s="10">
        <v>3516</v>
      </c>
      <c r="O641" s="9"/>
      <c r="P641" s="10"/>
      <c r="Q641" s="10"/>
      <c r="R641" s="10"/>
      <c r="S641" s="7" t="s">
        <v>407</v>
      </c>
      <c r="T641" s="7" t="s">
        <v>1506</v>
      </c>
      <c r="U641" s="7" t="s">
        <v>44</v>
      </c>
      <c r="V641" s="7" t="s">
        <v>45</v>
      </c>
      <c r="W641" s="7" t="s">
        <v>67</v>
      </c>
      <c r="X641" s="7" t="s">
        <v>68</v>
      </c>
      <c r="Y641" s="7" t="s">
        <v>1608</v>
      </c>
      <c r="Z641" s="7" t="s">
        <v>1595</v>
      </c>
      <c r="AA641" s="7"/>
      <c r="AB641" s="7"/>
      <c r="AC641" s="7" t="s">
        <v>82</v>
      </c>
      <c r="AD641" s="7"/>
      <c r="AE641" s="7" t="s">
        <v>1030</v>
      </c>
      <c r="AF641" s="7" t="s">
        <v>50</v>
      </c>
      <c r="AG641" s="7" t="s">
        <v>67</v>
      </c>
      <c r="AH641" s="7" t="s">
        <v>86</v>
      </c>
    </row>
    <row r="642" spans="1:34" ht="9.75" customHeight="1" x14ac:dyDescent="0.2">
      <c r="A642" s="7" t="s">
        <v>37</v>
      </c>
      <c r="B642" s="7" t="s">
        <v>38</v>
      </c>
      <c r="C642" s="7"/>
      <c r="D642" s="7" t="s">
        <v>1609</v>
      </c>
      <c r="E642" s="8">
        <v>1</v>
      </c>
      <c r="F642" s="7" t="s">
        <v>41</v>
      </c>
      <c r="G642" s="7"/>
      <c r="H642" s="9"/>
      <c r="I642" s="9"/>
      <c r="J642" s="9"/>
      <c r="K642" s="9"/>
      <c r="L642" s="10">
        <v>7900</v>
      </c>
      <c r="M642" s="9"/>
      <c r="N642" s="10">
        <v>7900</v>
      </c>
      <c r="O642" s="9"/>
      <c r="P642" s="10"/>
      <c r="Q642" s="10"/>
      <c r="R642" s="10"/>
      <c r="S642" s="7" t="s">
        <v>407</v>
      </c>
      <c r="T642" s="7" t="s">
        <v>1506</v>
      </c>
      <c r="U642" s="7" t="s">
        <v>44</v>
      </c>
      <c r="V642" s="7" t="s">
        <v>45</v>
      </c>
      <c r="W642" s="7" t="s">
        <v>67</v>
      </c>
      <c r="X642" s="7" t="s">
        <v>68</v>
      </c>
      <c r="Y642" s="7" t="s">
        <v>1610</v>
      </c>
      <c r="Z642" s="7" t="s">
        <v>1595</v>
      </c>
      <c r="AA642" s="7"/>
      <c r="AB642" s="7"/>
      <c r="AC642" s="7" t="s">
        <v>82</v>
      </c>
      <c r="AD642" s="7"/>
      <c r="AE642" s="7" t="s">
        <v>1611</v>
      </c>
      <c r="AF642" s="7" t="s">
        <v>50</v>
      </c>
      <c r="AG642" s="7" t="s">
        <v>67</v>
      </c>
      <c r="AH642" s="7" t="s">
        <v>86</v>
      </c>
    </row>
    <row r="643" spans="1:34" ht="9.75" customHeight="1" x14ac:dyDescent="0.2">
      <c r="A643" s="7" t="s">
        <v>37</v>
      </c>
      <c r="B643" s="7" t="s">
        <v>38</v>
      </c>
      <c r="C643" s="7"/>
      <c r="D643" s="7" t="s">
        <v>1612</v>
      </c>
      <c r="E643" s="8">
        <v>1</v>
      </c>
      <c r="F643" s="7" t="s">
        <v>41</v>
      </c>
      <c r="G643" s="7"/>
      <c r="H643" s="9"/>
      <c r="I643" s="9"/>
      <c r="J643" s="9"/>
      <c r="K643" s="9"/>
      <c r="L643" s="10">
        <v>2400</v>
      </c>
      <c r="M643" s="9"/>
      <c r="N643" s="10">
        <v>2400</v>
      </c>
      <c r="O643" s="9"/>
      <c r="P643" s="10"/>
      <c r="Q643" s="10"/>
      <c r="R643" s="10"/>
      <c r="S643" s="7" t="s">
        <v>407</v>
      </c>
      <c r="T643" s="7" t="s">
        <v>1506</v>
      </c>
      <c r="U643" s="7" t="s">
        <v>44</v>
      </c>
      <c r="V643" s="7" t="s">
        <v>45</v>
      </c>
      <c r="W643" s="7" t="s">
        <v>67</v>
      </c>
      <c r="X643" s="7" t="s">
        <v>68</v>
      </c>
      <c r="Y643" s="7" t="s">
        <v>1613</v>
      </c>
      <c r="Z643" s="7" t="s">
        <v>1595</v>
      </c>
      <c r="AA643" s="7"/>
      <c r="AB643" s="7"/>
      <c r="AC643" s="7" t="s">
        <v>82</v>
      </c>
      <c r="AD643" s="7"/>
      <c r="AE643" s="7" t="s">
        <v>1036</v>
      </c>
      <c r="AF643" s="7" t="s">
        <v>50</v>
      </c>
      <c r="AG643" s="7" t="s">
        <v>67</v>
      </c>
      <c r="AH643" s="7" t="s">
        <v>86</v>
      </c>
    </row>
    <row r="644" spans="1:34" ht="9.75" customHeight="1" x14ac:dyDescent="0.2">
      <c r="A644" s="7" t="s">
        <v>37</v>
      </c>
      <c r="B644" s="7" t="s">
        <v>38</v>
      </c>
      <c r="C644" s="7"/>
      <c r="D644" s="7" t="s">
        <v>1614</v>
      </c>
      <c r="E644" s="8">
        <v>1</v>
      </c>
      <c r="F644" s="7" t="s">
        <v>41</v>
      </c>
      <c r="G644" s="7"/>
      <c r="H644" s="9"/>
      <c r="I644" s="9"/>
      <c r="J644" s="9"/>
      <c r="K644" s="9"/>
      <c r="L644" s="10">
        <v>1204</v>
      </c>
      <c r="M644" s="9"/>
      <c r="N644" s="10">
        <v>1204</v>
      </c>
      <c r="O644" s="9"/>
      <c r="P644" s="10"/>
      <c r="Q644" s="10"/>
      <c r="R644" s="10"/>
      <c r="S644" s="7" t="s">
        <v>407</v>
      </c>
      <c r="T644" s="7" t="s">
        <v>1506</v>
      </c>
      <c r="U644" s="7" t="s">
        <v>44</v>
      </c>
      <c r="V644" s="7" t="s">
        <v>45</v>
      </c>
      <c r="W644" s="7" t="s">
        <v>67</v>
      </c>
      <c r="X644" s="7" t="s">
        <v>68</v>
      </c>
      <c r="Y644" s="7" t="s">
        <v>1615</v>
      </c>
      <c r="Z644" s="7" t="s">
        <v>1595</v>
      </c>
      <c r="AA644" s="7"/>
      <c r="AB644" s="7"/>
      <c r="AC644" s="7" t="s">
        <v>82</v>
      </c>
      <c r="AD644" s="7"/>
      <c r="AE644" s="7" t="s">
        <v>1039</v>
      </c>
      <c r="AF644" s="7" t="s">
        <v>50</v>
      </c>
      <c r="AG644" s="7" t="s">
        <v>67</v>
      </c>
      <c r="AH644" s="7" t="s">
        <v>86</v>
      </c>
    </row>
    <row r="645" spans="1:34" ht="9.75" customHeight="1" x14ac:dyDescent="0.2">
      <c r="A645" s="7" t="s">
        <v>37</v>
      </c>
      <c r="B645" s="7" t="s">
        <v>38</v>
      </c>
      <c r="C645" s="7"/>
      <c r="D645" s="7" t="s">
        <v>1616</v>
      </c>
      <c r="E645" s="8">
        <v>1</v>
      </c>
      <c r="F645" s="7" t="s">
        <v>41</v>
      </c>
      <c r="G645" s="7"/>
      <c r="H645" s="9"/>
      <c r="I645" s="9"/>
      <c r="J645" s="9"/>
      <c r="K645" s="9"/>
      <c r="L645" s="10">
        <v>2077</v>
      </c>
      <c r="M645" s="9"/>
      <c r="N645" s="10">
        <v>2077</v>
      </c>
      <c r="O645" s="9"/>
      <c r="P645" s="10"/>
      <c r="Q645" s="10"/>
      <c r="R645" s="10"/>
      <c r="S645" s="7" t="s">
        <v>407</v>
      </c>
      <c r="T645" s="7" t="s">
        <v>1506</v>
      </c>
      <c r="U645" s="7" t="s">
        <v>44</v>
      </c>
      <c r="V645" s="7" t="s">
        <v>45</v>
      </c>
      <c r="W645" s="7" t="s">
        <v>67</v>
      </c>
      <c r="X645" s="7" t="s">
        <v>68</v>
      </c>
      <c r="Y645" s="7" t="s">
        <v>1617</v>
      </c>
      <c r="Z645" s="7" t="s">
        <v>1595</v>
      </c>
      <c r="AA645" s="7"/>
      <c r="AB645" s="7"/>
      <c r="AC645" s="7" t="s">
        <v>82</v>
      </c>
      <c r="AD645" s="7"/>
      <c r="AE645" s="7" t="s">
        <v>1042</v>
      </c>
      <c r="AF645" s="7" t="s">
        <v>50</v>
      </c>
      <c r="AG645" s="7" t="s">
        <v>67</v>
      </c>
      <c r="AH645" s="7" t="s">
        <v>86</v>
      </c>
    </row>
    <row r="646" spans="1:34" ht="9.75" customHeight="1" x14ac:dyDescent="0.2">
      <c r="A646" s="7" t="s">
        <v>37</v>
      </c>
      <c r="B646" s="7" t="s">
        <v>38</v>
      </c>
      <c r="C646" s="7"/>
      <c r="D646" s="7" t="s">
        <v>1618</v>
      </c>
      <c r="E646" s="8">
        <v>1</v>
      </c>
      <c r="F646" s="7" t="s">
        <v>41</v>
      </c>
      <c r="G646" s="7"/>
      <c r="H646" s="9"/>
      <c r="I646" s="9"/>
      <c r="J646" s="9"/>
      <c r="K646" s="9"/>
      <c r="L646" s="10">
        <v>4347</v>
      </c>
      <c r="M646" s="9"/>
      <c r="N646" s="10">
        <v>4347</v>
      </c>
      <c r="O646" s="9"/>
      <c r="P646" s="10"/>
      <c r="Q646" s="10"/>
      <c r="R646" s="10"/>
      <c r="S646" s="7" t="s">
        <v>407</v>
      </c>
      <c r="T646" s="7" t="s">
        <v>1506</v>
      </c>
      <c r="U646" s="7" t="s">
        <v>44</v>
      </c>
      <c r="V646" s="7" t="s">
        <v>45</v>
      </c>
      <c r="W646" s="7" t="s">
        <v>67</v>
      </c>
      <c r="X646" s="7" t="s">
        <v>68</v>
      </c>
      <c r="Y646" s="7" t="s">
        <v>1619</v>
      </c>
      <c r="Z646" s="7" t="s">
        <v>1595</v>
      </c>
      <c r="AA646" s="7"/>
      <c r="AB646" s="7"/>
      <c r="AC646" s="7" t="s">
        <v>82</v>
      </c>
      <c r="AD646" s="7"/>
      <c r="AE646" s="7" t="s">
        <v>1047</v>
      </c>
      <c r="AF646" s="7" t="s">
        <v>50</v>
      </c>
      <c r="AG646" s="7" t="s">
        <v>67</v>
      </c>
      <c r="AH646" s="7" t="s">
        <v>86</v>
      </c>
    </row>
    <row r="647" spans="1:34" ht="9.75" customHeight="1" x14ac:dyDescent="0.2">
      <c r="A647" s="7" t="s">
        <v>37</v>
      </c>
      <c r="B647" s="7" t="s">
        <v>38</v>
      </c>
      <c r="C647" s="7"/>
      <c r="D647" s="7" t="s">
        <v>1620</v>
      </c>
      <c r="E647" s="8">
        <v>1</v>
      </c>
      <c r="F647" s="7" t="s">
        <v>41</v>
      </c>
      <c r="G647" s="7"/>
      <c r="H647" s="9"/>
      <c r="I647" s="9"/>
      <c r="J647" s="9"/>
      <c r="K647" s="9"/>
      <c r="L647" s="10">
        <v>13115</v>
      </c>
      <c r="M647" s="9"/>
      <c r="N647" s="10">
        <v>13115</v>
      </c>
      <c r="O647" s="9"/>
      <c r="P647" s="10"/>
      <c r="Q647" s="10"/>
      <c r="R647" s="10"/>
      <c r="S647" s="7" t="s">
        <v>407</v>
      </c>
      <c r="T647" s="7" t="s">
        <v>1506</v>
      </c>
      <c r="U647" s="7" t="s">
        <v>44</v>
      </c>
      <c r="V647" s="7" t="s">
        <v>45</v>
      </c>
      <c r="W647" s="7" t="s">
        <v>67</v>
      </c>
      <c r="X647" s="7" t="s">
        <v>68</v>
      </c>
      <c r="Y647" s="7" t="s">
        <v>1621</v>
      </c>
      <c r="Z647" s="7" t="s">
        <v>1595</v>
      </c>
      <c r="AA647" s="7"/>
      <c r="AB647" s="7"/>
      <c r="AC647" s="7" t="s">
        <v>82</v>
      </c>
      <c r="AD647" s="7"/>
      <c r="AE647" s="7" t="s">
        <v>1052</v>
      </c>
      <c r="AF647" s="7" t="s">
        <v>50</v>
      </c>
      <c r="AG647" s="7" t="s">
        <v>67</v>
      </c>
      <c r="AH647" s="7" t="s">
        <v>86</v>
      </c>
    </row>
    <row r="648" spans="1:34" ht="9.75" customHeight="1" x14ac:dyDescent="0.2">
      <c r="A648" s="7" t="s">
        <v>37</v>
      </c>
      <c r="B648" s="7" t="s">
        <v>38</v>
      </c>
      <c r="C648" s="7"/>
      <c r="D648" s="7" t="s">
        <v>1622</v>
      </c>
      <c r="E648" s="8">
        <v>1</v>
      </c>
      <c r="F648" s="7" t="s">
        <v>41</v>
      </c>
      <c r="G648" s="7"/>
      <c r="H648" s="9"/>
      <c r="I648" s="9"/>
      <c r="J648" s="9"/>
      <c r="K648" s="9"/>
      <c r="L648" s="10">
        <v>8093</v>
      </c>
      <c r="M648" s="9"/>
      <c r="N648" s="10">
        <v>8093</v>
      </c>
      <c r="O648" s="9"/>
      <c r="P648" s="10"/>
      <c r="Q648" s="10"/>
      <c r="R648" s="10"/>
      <c r="S648" s="7" t="s">
        <v>407</v>
      </c>
      <c r="T648" s="7" t="s">
        <v>1506</v>
      </c>
      <c r="U648" s="7" t="s">
        <v>44</v>
      </c>
      <c r="V648" s="7" t="s">
        <v>45</v>
      </c>
      <c r="W648" s="7" t="s">
        <v>67</v>
      </c>
      <c r="X648" s="7" t="s">
        <v>68</v>
      </c>
      <c r="Y648" s="7" t="s">
        <v>1623</v>
      </c>
      <c r="Z648" s="7" t="s">
        <v>1624</v>
      </c>
      <c r="AA648" s="7"/>
      <c r="AB648" s="7"/>
      <c r="AC648" s="7" t="s">
        <v>82</v>
      </c>
      <c r="AD648" s="7"/>
      <c r="AE648" s="7" t="s">
        <v>1061</v>
      </c>
      <c r="AF648" s="7" t="s">
        <v>50</v>
      </c>
      <c r="AG648" s="7" t="s">
        <v>67</v>
      </c>
      <c r="AH648" s="7" t="s">
        <v>86</v>
      </c>
    </row>
    <row r="649" spans="1:34" ht="9.75" customHeight="1" x14ac:dyDescent="0.2">
      <c r="A649" s="7" t="s">
        <v>37</v>
      </c>
      <c r="B649" s="7" t="s">
        <v>38</v>
      </c>
      <c r="C649" s="7"/>
      <c r="D649" s="7" t="s">
        <v>1625</v>
      </c>
      <c r="E649" s="8">
        <v>1</v>
      </c>
      <c r="F649" s="7" t="s">
        <v>41</v>
      </c>
      <c r="G649" s="7"/>
      <c r="H649" s="9"/>
      <c r="I649" s="9"/>
      <c r="J649" s="9"/>
      <c r="K649" s="9"/>
      <c r="L649" s="10">
        <v>2130</v>
      </c>
      <c r="M649" s="9"/>
      <c r="N649" s="10">
        <v>2130</v>
      </c>
      <c r="O649" s="9"/>
      <c r="P649" s="10"/>
      <c r="Q649" s="10"/>
      <c r="R649" s="10"/>
      <c r="S649" s="7" t="s">
        <v>407</v>
      </c>
      <c r="T649" s="7" t="s">
        <v>1506</v>
      </c>
      <c r="U649" s="7" t="s">
        <v>44</v>
      </c>
      <c r="V649" s="7" t="s">
        <v>45</v>
      </c>
      <c r="W649" s="7" t="s">
        <v>67</v>
      </c>
      <c r="X649" s="7" t="s">
        <v>68</v>
      </c>
      <c r="Y649" s="7" t="s">
        <v>1626</v>
      </c>
      <c r="Z649" s="7" t="s">
        <v>1624</v>
      </c>
      <c r="AA649" s="7"/>
      <c r="AB649" s="7"/>
      <c r="AC649" s="7" t="s">
        <v>82</v>
      </c>
      <c r="AD649" s="7"/>
      <c r="AE649" s="7" t="s">
        <v>1064</v>
      </c>
      <c r="AF649" s="7" t="s">
        <v>50</v>
      </c>
      <c r="AG649" s="7" t="s">
        <v>67</v>
      </c>
      <c r="AH649" s="7" t="s">
        <v>86</v>
      </c>
    </row>
    <row r="650" spans="1:34" ht="9.75" customHeight="1" x14ac:dyDescent="0.2">
      <c r="A650" s="7" t="s">
        <v>37</v>
      </c>
      <c r="B650" s="7" t="s">
        <v>38</v>
      </c>
      <c r="C650" s="7"/>
      <c r="D650" s="7" t="s">
        <v>1627</v>
      </c>
      <c r="E650" s="8">
        <v>1</v>
      </c>
      <c r="F650" s="7" t="s">
        <v>41</v>
      </c>
      <c r="G650" s="7"/>
      <c r="H650" s="9"/>
      <c r="I650" s="9"/>
      <c r="J650" s="9"/>
      <c r="K650" s="9"/>
      <c r="L650" s="10">
        <v>616</v>
      </c>
      <c r="M650" s="9"/>
      <c r="N650" s="10">
        <v>616</v>
      </c>
      <c r="O650" s="9"/>
      <c r="P650" s="10"/>
      <c r="Q650" s="10"/>
      <c r="R650" s="10"/>
      <c r="S650" s="7" t="s">
        <v>407</v>
      </c>
      <c r="T650" s="7" t="s">
        <v>1506</v>
      </c>
      <c r="U650" s="7" t="s">
        <v>44</v>
      </c>
      <c r="V650" s="7" t="s">
        <v>45</v>
      </c>
      <c r="W650" s="7" t="s">
        <v>67</v>
      </c>
      <c r="X650" s="7" t="s">
        <v>68</v>
      </c>
      <c r="Y650" s="7" t="s">
        <v>1628</v>
      </c>
      <c r="Z650" s="7" t="s">
        <v>1624</v>
      </c>
      <c r="AA650" s="7"/>
      <c r="AB650" s="7"/>
      <c r="AC650" s="7" t="s">
        <v>82</v>
      </c>
      <c r="AD650" s="7"/>
      <c r="AE650" s="7" t="s">
        <v>1067</v>
      </c>
      <c r="AF650" s="7" t="s">
        <v>50</v>
      </c>
      <c r="AG650" s="7" t="s">
        <v>67</v>
      </c>
      <c r="AH650" s="7" t="s">
        <v>86</v>
      </c>
    </row>
    <row r="651" spans="1:34" ht="9.75" customHeight="1" x14ac:dyDescent="0.2">
      <c r="A651" s="7" t="s">
        <v>37</v>
      </c>
      <c r="B651" s="7" t="s">
        <v>38</v>
      </c>
      <c r="C651" s="7"/>
      <c r="D651" s="7" t="s">
        <v>1629</v>
      </c>
      <c r="E651" s="8">
        <v>1</v>
      </c>
      <c r="F651" s="7" t="s">
        <v>41</v>
      </c>
      <c r="G651" s="7"/>
      <c r="H651" s="9"/>
      <c r="I651" s="9"/>
      <c r="J651" s="9"/>
      <c r="K651" s="9"/>
      <c r="L651" s="10">
        <v>820</v>
      </c>
      <c r="M651" s="9"/>
      <c r="N651" s="10">
        <v>820</v>
      </c>
      <c r="O651" s="9"/>
      <c r="P651" s="10"/>
      <c r="Q651" s="10"/>
      <c r="R651" s="10"/>
      <c r="S651" s="7" t="s">
        <v>407</v>
      </c>
      <c r="T651" s="7" t="s">
        <v>1506</v>
      </c>
      <c r="U651" s="7" t="s">
        <v>44</v>
      </c>
      <c r="V651" s="7" t="s">
        <v>45</v>
      </c>
      <c r="W651" s="7" t="s">
        <v>67</v>
      </c>
      <c r="X651" s="7" t="s">
        <v>68</v>
      </c>
      <c r="Y651" s="7" t="s">
        <v>1630</v>
      </c>
      <c r="Z651" s="7" t="s">
        <v>1624</v>
      </c>
      <c r="AA651" s="7"/>
      <c r="AB651" s="7"/>
      <c r="AC651" s="7" t="s">
        <v>82</v>
      </c>
      <c r="AD651" s="7"/>
      <c r="AE651" s="7" t="s">
        <v>1070</v>
      </c>
      <c r="AF651" s="7" t="s">
        <v>50</v>
      </c>
      <c r="AG651" s="7" t="s">
        <v>67</v>
      </c>
      <c r="AH651" s="7" t="s">
        <v>86</v>
      </c>
    </row>
    <row r="652" spans="1:34" ht="9.75" customHeight="1" x14ac:dyDescent="0.2">
      <c r="A652" s="7" t="s">
        <v>37</v>
      </c>
      <c r="B652" s="7" t="s">
        <v>38</v>
      </c>
      <c r="C652" s="7"/>
      <c r="D652" s="7" t="s">
        <v>1631</v>
      </c>
      <c r="E652" s="8">
        <v>1</v>
      </c>
      <c r="F652" s="7" t="s">
        <v>41</v>
      </c>
      <c r="G652" s="7"/>
      <c r="H652" s="9"/>
      <c r="I652" s="9"/>
      <c r="J652" s="9"/>
      <c r="K652" s="9"/>
      <c r="L652" s="10">
        <v>3597</v>
      </c>
      <c r="M652" s="9"/>
      <c r="N652" s="10">
        <v>3597</v>
      </c>
      <c r="O652" s="9"/>
      <c r="P652" s="10"/>
      <c r="Q652" s="10"/>
      <c r="R652" s="10"/>
      <c r="S652" s="7" t="s">
        <v>407</v>
      </c>
      <c r="T652" s="7" t="s">
        <v>1506</v>
      </c>
      <c r="U652" s="7" t="s">
        <v>44</v>
      </c>
      <c r="V652" s="7" t="s">
        <v>45</v>
      </c>
      <c r="W652" s="7" t="s">
        <v>67</v>
      </c>
      <c r="X652" s="7" t="s">
        <v>68</v>
      </c>
      <c r="Y652" s="7" t="s">
        <v>1632</v>
      </c>
      <c r="Z652" s="7" t="s">
        <v>1624</v>
      </c>
      <c r="AA652" s="7"/>
      <c r="AB652" s="7"/>
      <c r="AC652" s="7" t="s">
        <v>82</v>
      </c>
      <c r="AD652" s="7"/>
      <c r="AE652" s="7" t="s">
        <v>1073</v>
      </c>
      <c r="AF652" s="7" t="s">
        <v>50</v>
      </c>
      <c r="AG652" s="7" t="s">
        <v>67</v>
      </c>
      <c r="AH652" s="7" t="s">
        <v>86</v>
      </c>
    </row>
    <row r="653" spans="1:34" ht="9.75" customHeight="1" x14ac:dyDescent="0.2">
      <c r="A653" s="7" t="s">
        <v>37</v>
      </c>
      <c r="B653" s="7" t="s">
        <v>38</v>
      </c>
      <c r="C653" s="7"/>
      <c r="D653" s="7" t="s">
        <v>1633</v>
      </c>
      <c r="E653" s="8">
        <v>1</v>
      </c>
      <c r="F653" s="7" t="s">
        <v>41</v>
      </c>
      <c r="G653" s="7"/>
      <c r="H653" s="9"/>
      <c r="I653" s="9"/>
      <c r="J653" s="9"/>
      <c r="K653" s="9"/>
      <c r="L653" s="10">
        <v>1191529</v>
      </c>
      <c r="M653" s="9"/>
      <c r="N653" s="10">
        <v>1191529</v>
      </c>
      <c r="O653" s="9"/>
      <c r="P653" s="10"/>
      <c r="Q653" s="10"/>
      <c r="R653" s="10"/>
      <c r="S653" s="7" t="s">
        <v>407</v>
      </c>
      <c r="T653" s="7" t="s">
        <v>1506</v>
      </c>
      <c r="U653" s="7" t="s">
        <v>44</v>
      </c>
      <c r="V653" s="7" t="s">
        <v>45</v>
      </c>
      <c r="W653" s="7" t="s">
        <v>67</v>
      </c>
      <c r="X653" s="7" t="s">
        <v>68</v>
      </c>
      <c r="Y653" s="7" t="s">
        <v>1634</v>
      </c>
      <c r="Z653" s="7" t="s">
        <v>1635</v>
      </c>
      <c r="AA653" s="7"/>
      <c r="AB653" s="7"/>
      <c r="AC653" s="7" t="s">
        <v>82</v>
      </c>
      <c r="AD653" s="7"/>
      <c r="AE653" s="7" t="s">
        <v>1077</v>
      </c>
      <c r="AF653" s="7" t="s">
        <v>50</v>
      </c>
      <c r="AG653" s="7" t="s">
        <v>67</v>
      </c>
      <c r="AH653" s="7" t="s">
        <v>86</v>
      </c>
    </row>
    <row r="654" spans="1:34" ht="9.75" customHeight="1" x14ac:dyDescent="0.2">
      <c r="A654" s="7" t="s">
        <v>37</v>
      </c>
      <c r="B654" s="7" t="s">
        <v>38</v>
      </c>
      <c r="C654" s="7"/>
      <c r="D654" s="7" t="s">
        <v>1636</v>
      </c>
      <c r="E654" s="8">
        <v>1</v>
      </c>
      <c r="F654" s="7" t="s">
        <v>41</v>
      </c>
      <c r="G654" s="7"/>
      <c r="H654" s="9"/>
      <c r="I654" s="9"/>
      <c r="J654" s="9"/>
      <c r="K654" s="9"/>
      <c r="L654" s="10">
        <v>75378</v>
      </c>
      <c r="M654" s="9"/>
      <c r="N654" s="10">
        <v>75378</v>
      </c>
      <c r="O654" s="9"/>
      <c r="P654" s="10"/>
      <c r="Q654" s="10"/>
      <c r="R654" s="10"/>
      <c r="S654" s="7" t="s">
        <v>407</v>
      </c>
      <c r="T654" s="7" t="s">
        <v>1506</v>
      </c>
      <c r="U654" s="7" t="s">
        <v>44</v>
      </c>
      <c r="V654" s="7" t="s">
        <v>45</v>
      </c>
      <c r="W654" s="7" t="s">
        <v>67</v>
      </c>
      <c r="X654" s="7" t="s">
        <v>68</v>
      </c>
      <c r="Y654" s="7" t="s">
        <v>1637</v>
      </c>
      <c r="Z654" s="7" t="s">
        <v>1635</v>
      </c>
      <c r="AA654" s="7"/>
      <c r="AB654" s="7"/>
      <c r="AC654" s="7" t="s">
        <v>82</v>
      </c>
      <c r="AD654" s="7"/>
      <c r="AE654" s="7" t="s">
        <v>1080</v>
      </c>
      <c r="AF654" s="7" t="s">
        <v>50</v>
      </c>
      <c r="AG654" s="7" t="s">
        <v>67</v>
      </c>
      <c r="AH654" s="7" t="s">
        <v>86</v>
      </c>
    </row>
    <row r="655" spans="1:34" ht="9.75" customHeight="1" x14ac:dyDescent="0.2">
      <c r="A655" s="7" t="s">
        <v>37</v>
      </c>
      <c r="B655" s="7" t="s">
        <v>38</v>
      </c>
      <c r="C655" s="7"/>
      <c r="D655" s="7" t="s">
        <v>1638</v>
      </c>
      <c r="E655" s="8">
        <v>1</v>
      </c>
      <c r="F655" s="7" t="s">
        <v>41</v>
      </c>
      <c r="G655" s="7"/>
      <c r="H655" s="9"/>
      <c r="I655" s="9"/>
      <c r="J655" s="9"/>
      <c r="K655" s="9"/>
      <c r="L655" s="10">
        <v>596110</v>
      </c>
      <c r="M655" s="9"/>
      <c r="N655" s="10">
        <v>596110</v>
      </c>
      <c r="O655" s="9"/>
      <c r="P655" s="10"/>
      <c r="Q655" s="10"/>
      <c r="R655" s="10"/>
      <c r="S655" s="7" t="s">
        <v>407</v>
      </c>
      <c r="T655" s="7" t="s">
        <v>1506</v>
      </c>
      <c r="U655" s="7" t="s">
        <v>44</v>
      </c>
      <c r="V655" s="7" t="s">
        <v>45</v>
      </c>
      <c r="W655" s="7" t="s">
        <v>67</v>
      </c>
      <c r="X655" s="7" t="s">
        <v>68</v>
      </c>
      <c r="Y655" s="7" t="s">
        <v>1639</v>
      </c>
      <c r="Z655" s="7" t="s">
        <v>1635</v>
      </c>
      <c r="AA655" s="7"/>
      <c r="AB655" s="7"/>
      <c r="AC655" s="7" t="s">
        <v>82</v>
      </c>
      <c r="AD655" s="7"/>
      <c r="AE655" s="7" t="s">
        <v>1083</v>
      </c>
      <c r="AF655" s="7" t="s">
        <v>50</v>
      </c>
      <c r="AG655" s="7" t="s">
        <v>67</v>
      </c>
      <c r="AH655" s="7" t="s">
        <v>86</v>
      </c>
    </row>
    <row r="656" spans="1:34" ht="9.75" customHeight="1" x14ac:dyDescent="0.2">
      <c r="A656" s="7" t="s">
        <v>37</v>
      </c>
      <c r="B656" s="7" t="s">
        <v>38</v>
      </c>
      <c r="C656" s="7"/>
      <c r="D656" s="7" t="s">
        <v>1640</v>
      </c>
      <c r="E656" s="8">
        <v>1</v>
      </c>
      <c r="F656" s="7" t="s">
        <v>41</v>
      </c>
      <c r="G656" s="7"/>
      <c r="H656" s="9"/>
      <c r="I656" s="9"/>
      <c r="J656" s="9"/>
      <c r="K656" s="9"/>
      <c r="L656" s="10">
        <v>28343</v>
      </c>
      <c r="M656" s="9"/>
      <c r="N656" s="10">
        <v>28343</v>
      </c>
      <c r="O656" s="9"/>
      <c r="P656" s="10"/>
      <c r="Q656" s="10"/>
      <c r="R656" s="10"/>
      <c r="S656" s="7" t="s">
        <v>407</v>
      </c>
      <c r="T656" s="7" t="s">
        <v>1506</v>
      </c>
      <c r="U656" s="7" t="s">
        <v>44</v>
      </c>
      <c r="V656" s="7" t="s">
        <v>45</v>
      </c>
      <c r="W656" s="7" t="s">
        <v>67</v>
      </c>
      <c r="X656" s="7" t="s">
        <v>68</v>
      </c>
      <c r="Y656" s="7" t="s">
        <v>1641</v>
      </c>
      <c r="Z656" s="7" t="s">
        <v>1635</v>
      </c>
      <c r="AA656" s="7"/>
      <c r="AB656" s="7"/>
      <c r="AC656" s="7" t="s">
        <v>82</v>
      </c>
      <c r="AD656" s="7"/>
      <c r="AE656" s="7"/>
      <c r="AF656" s="7" t="s">
        <v>50</v>
      </c>
      <c r="AG656" s="7" t="s">
        <v>67</v>
      </c>
      <c r="AH656" s="7" t="s">
        <v>86</v>
      </c>
    </row>
    <row r="657" spans="1:34" ht="9.75" customHeight="1" x14ac:dyDescent="0.2">
      <c r="A657" s="7" t="s">
        <v>37</v>
      </c>
      <c r="B657" s="7" t="s">
        <v>38</v>
      </c>
      <c r="C657" s="7"/>
      <c r="D657" s="7" t="s">
        <v>1642</v>
      </c>
      <c r="E657" s="8">
        <v>1</v>
      </c>
      <c r="F657" s="7" t="s">
        <v>41</v>
      </c>
      <c r="G657" s="7"/>
      <c r="H657" s="9"/>
      <c r="I657" s="9"/>
      <c r="J657" s="9"/>
      <c r="K657" s="9"/>
      <c r="L657" s="10">
        <v>3684</v>
      </c>
      <c r="M657" s="9"/>
      <c r="N657" s="10">
        <v>3684</v>
      </c>
      <c r="O657" s="9"/>
      <c r="P657" s="10"/>
      <c r="Q657" s="10"/>
      <c r="R657" s="10"/>
      <c r="S657" s="7" t="s">
        <v>407</v>
      </c>
      <c r="T657" s="7" t="s">
        <v>1506</v>
      </c>
      <c r="U657" s="7" t="s">
        <v>44</v>
      </c>
      <c r="V657" s="7" t="s">
        <v>45</v>
      </c>
      <c r="W657" s="7" t="s">
        <v>67</v>
      </c>
      <c r="X657" s="7" t="s">
        <v>68</v>
      </c>
      <c r="Y657" s="7" t="s">
        <v>1643</v>
      </c>
      <c r="Z657" s="7" t="s">
        <v>1635</v>
      </c>
      <c r="AA657" s="7"/>
      <c r="AB657" s="7"/>
      <c r="AC657" s="7" t="s">
        <v>82</v>
      </c>
      <c r="AD657" s="7"/>
      <c r="AE657" s="7" t="s">
        <v>1088</v>
      </c>
      <c r="AF657" s="7" t="s">
        <v>50</v>
      </c>
      <c r="AG657" s="7" t="s">
        <v>67</v>
      </c>
      <c r="AH657" s="7" t="s">
        <v>86</v>
      </c>
    </row>
    <row r="658" spans="1:34" ht="9.75" customHeight="1" x14ac:dyDescent="0.2">
      <c r="A658" s="7" t="s">
        <v>37</v>
      </c>
      <c r="B658" s="7" t="s">
        <v>38</v>
      </c>
      <c r="C658" s="7"/>
      <c r="D658" s="7" t="s">
        <v>1644</v>
      </c>
      <c r="E658" s="8">
        <v>1</v>
      </c>
      <c r="F658" s="7" t="s">
        <v>41</v>
      </c>
      <c r="G658" s="7"/>
      <c r="H658" s="9"/>
      <c r="I658" s="9"/>
      <c r="J658" s="9"/>
      <c r="K658" s="9"/>
      <c r="L658" s="10">
        <v>45849</v>
      </c>
      <c r="M658" s="9"/>
      <c r="N658" s="10">
        <v>45849</v>
      </c>
      <c r="O658" s="9"/>
      <c r="P658" s="10"/>
      <c r="Q658" s="10"/>
      <c r="R658" s="10"/>
      <c r="S658" s="7" t="s">
        <v>407</v>
      </c>
      <c r="T658" s="7" t="s">
        <v>1506</v>
      </c>
      <c r="U658" s="7" t="s">
        <v>44</v>
      </c>
      <c r="V658" s="7" t="s">
        <v>45</v>
      </c>
      <c r="W658" s="7" t="s">
        <v>67</v>
      </c>
      <c r="X658" s="7" t="s">
        <v>68</v>
      </c>
      <c r="Y658" s="7" t="s">
        <v>1645</v>
      </c>
      <c r="Z658" s="7" t="s">
        <v>1635</v>
      </c>
      <c r="AA658" s="7"/>
      <c r="AB658" s="7"/>
      <c r="AC658" s="7" t="s">
        <v>82</v>
      </c>
      <c r="AD658" s="7"/>
      <c r="AE658" s="7" t="s">
        <v>1091</v>
      </c>
      <c r="AF658" s="7" t="s">
        <v>50</v>
      </c>
      <c r="AG658" s="7" t="s">
        <v>67</v>
      </c>
      <c r="AH658" s="7" t="s">
        <v>86</v>
      </c>
    </row>
    <row r="659" spans="1:34" ht="9.75" customHeight="1" x14ac:dyDescent="0.2">
      <c r="A659" s="7" t="s">
        <v>37</v>
      </c>
      <c r="B659" s="7" t="s">
        <v>38</v>
      </c>
      <c r="C659" s="7"/>
      <c r="D659" s="7" t="s">
        <v>1646</v>
      </c>
      <c r="E659" s="8">
        <v>1</v>
      </c>
      <c r="F659" s="7" t="s">
        <v>41</v>
      </c>
      <c r="G659" s="7"/>
      <c r="H659" s="9"/>
      <c r="I659" s="9"/>
      <c r="J659" s="9"/>
      <c r="K659" s="9"/>
      <c r="L659" s="10">
        <v>8772</v>
      </c>
      <c r="M659" s="9"/>
      <c r="N659" s="10">
        <v>8772</v>
      </c>
      <c r="O659" s="9"/>
      <c r="P659" s="10"/>
      <c r="Q659" s="10"/>
      <c r="R659" s="10"/>
      <c r="S659" s="7" t="s">
        <v>407</v>
      </c>
      <c r="T659" s="7" t="s">
        <v>1506</v>
      </c>
      <c r="U659" s="7" t="s">
        <v>44</v>
      </c>
      <c r="V659" s="7" t="s">
        <v>45</v>
      </c>
      <c r="W659" s="7" t="s">
        <v>67</v>
      </c>
      <c r="X659" s="7" t="s">
        <v>68</v>
      </c>
      <c r="Y659" s="7" t="s">
        <v>1647</v>
      </c>
      <c r="Z659" s="7" t="s">
        <v>1635</v>
      </c>
      <c r="AA659" s="7"/>
      <c r="AB659" s="7"/>
      <c r="AC659" s="7" t="s">
        <v>82</v>
      </c>
      <c r="AD659" s="7"/>
      <c r="AE659" s="7" t="s">
        <v>1094</v>
      </c>
      <c r="AF659" s="7" t="s">
        <v>50</v>
      </c>
      <c r="AG659" s="7" t="s">
        <v>67</v>
      </c>
      <c r="AH659" s="7" t="s">
        <v>86</v>
      </c>
    </row>
    <row r="660" spans="1:34" ht="9.75" customHeight="1" x14ac:dyDescent="0.2">
      <c r="A660" s="7" t="s">
        <v>37</v>
      </c>
      <c r="B660" s="7" t="s">
        <v>38</v>
      </c>
      <c r="C660" s="7"/>
      <c r="D660" s="7" t="s">
        <v>1648</v>
      </c>
      <c r="E660" s="8">
        <v>1</v>
      </c>
      <c r="F660" s="7" t="s">
        <v>41</v>
      </c>
      <c r="G660" s="7"/>
      <c r="H660" s="9"/>
      <c r="I660" s="9"/>
      <c r="J660" s="9"/>
      <c r="K660" s="9"/>
      <c r="L660" s="10">
        <v>22490</v>
      </c>
      <c r="M660" s="9"/>
      <c r="N660" s="10">
        <v>22490</v>
      </c>
      <c r="O660" s="9"/>
      <c r="P660" s="10"/>
      <c r="Q660" s="10"/>
      <c r="R660" s="10"/>
      <c r="S660" s="7" t="s">
        <v>407</v>
      </c>
      <c r="T660" s="7" t="s">
        <v>1506</v>
      </c>
      <c r="U660" s="7" t="s">
        <v>44</v>
      </c>
      <c r="V660" s="7" t="s">
        <v>45</v>
      </c>
      <c r="W660" s="7" t="s">
        <v>67</v>
      </c>
      <c r="X660" s="7" t="s">
        <v>68</v>
      </c>
      <c r="Y660" s="7" t="s">
        <v>1649</v>
      </c>
      <c r="Z660" s="7" t="s">
        <v>1635</v>
      </c>
      <c r="AA660" s="7"/>
      <c r="AB660" s="7"/>
      <c r="AC660" s="7" t="s">
        <v>82</v>
      </c>
      <c r="AD660" s="7"/>
      <c r="AE660" s="7" t="s">
        <v>1650</v>
      </c>
      <c r="AF660" s="7" t="s">
        <v>50</v>
      </c>
      <c r="AG660" s="7" t="s">
        <v>67</v>
      </c>
      <c r="AH660" s="7" t="s">
        <v>86</v>
      </c>
    </row>
    <row r="661" spans="1:34" ht="9.75" customHeight="1" x14ac:dyDescent="0.2">
      <c r="A661" s="7" t="s">
        <v>37</v>
      </c>
      <c r="B661" s="7" t="s">
        <v>38</v>
      </c>
      <c r="C661" s="7"/>
      <c r="D661" s="7" t="s">
        <v>1651</v>
      </c>
      <c r="E661" s="8">
        <v>1</v>
      </c>
      <c r="F661" s="7" t="s">
        <v>41</v>
      </c>
      <c r="G661" s="7"/>
      <c r="H661" s="9"/>
      <c r="I661" s="9"/>
      <c r="J661" s="9"/>
      <c r="K661" s="9"/>
      <c r="L661" s="10">
        <v>8775</v>
      </c>
      <c r="M661" s="9"/>
      <c r="N661" s="10">
        <v>8775</v>
      </c>
      <c r="O661" s="9"/>
      <c r="P661" s="10"/>
      <c r="Q661" s="10"/>
      <c r="R661" s="10"/>
      <c r="S661" s="7" t="s">
        <v>407</v>
      </c>
      <c r="T661" s="7" t="s">
        <v>1506</v>
      </c>
      <c r="U661" s="7" t="s">
        <v>44</v>
      </c>
      <c r="V661" s="7" t="s">
        <v>45</v>
      </c>
      <c r="W661" s="7" t="s">
        <v>67</v>
      </c>
      <c r="X661" s="7" t="s">
        <v>68</v>
      </c>
      <c r="Y661" s="7" t="s">
        <v>1652</v>
      </c>
      <c r="Z661" s="7" t="s">
        <v>1635</v>
      </c>
      <c r="AA661" s="7"/>
      <c r="AB661" s="7"/>
      <c r="AC661" s="7" t="s">
        <v>82</v>
      </c>
      <c r="AD661" s="7"/>
      <c r="AE661" s="7" t="s">
        <v>1653</v>
      </c>
      <c r="AF661" s="7" t="s">
        <v>50</v>
      </c>
      <c r="AG661" s="7" t="s">
        <v>67</v>
      </c>
      <c r="AH661" s="7" t="s">
        <v>86</v>
      </c>
    </row>
    <row r="662" spans="1:34" ht="9.75" customHeight="1" x14ac:dyDescent="0.2">
      <c r="A662" s="7" t="s">
        <v>37</v>
      </c>
      <c r="B662" s="7" t="s">
        <v>38</v>
      </c>
      <c r="C662" s="7"/>
      <c r="D662" s="7" t="s">
        <v>1654</v>
      </c>
      <c r="E662" s="8">
        <v>1</v>
      </c>
      <c r="F662" s="7" t="s">
        <v>41</v>
      </c>
      <c r="G662" s="7"/>
      <c r="H662" s="9"/>
      <c r="I662" s="9"/>
      <c r="J662" s="9"/>
      <c r="K662" s="9"/>
      <c r="L662" s="10">
        <v>9954</v>
      </c>
      <c r="M662" s="9"/>
      <c r="N662" s="10">
        <v>9954</v>
      </c>
      <c r="O662" s="9"/>
      <c r="P662" s="10"/>
      <c r="Q662" s="10"/>
      <c r="R662" s="10"/>
      <c r="S662" s="7" t="s">
        <v>407</v>
      </c>
      <c r="T662" s="7" t="s">
        <v>1506</v>
      </c>
      <c r="U662" s="7" t="s">
        <v>44</v>
      </c>
      <c r="V662" s="7" t="s">
        <v>45</v>
      </c>
      <c r="W662" s="7" t="s">
        <v>67</v>
      </c>
      <c r="X662" s="7" t="s">
        <v>68</v>
      </c>
      <c r="Y662" s="7" t="s">
        <v>1655</v>
      </c>
      <c r="Z662" s="7" t="s">
        <v>1635</v>
      </c>
      <c r="AA662" s="7"/>
      <c r="AB662" s="7"/>
      <c r="AC662" s="7" t="s">
        <v>82</v>
      </c>
      <c r="AD662" s="7"/>
      <c r="AE662" s="7" t="s">
        <v>1102</v>
      </c>
      <c r="AF662" s="7" t="s">
        <v>50</v>
      </c>
      <c r="AG662" s="7" t="s">
        <v>67</v>
      </c>
      <c r="AH662" s="7" t="s">
        <v>86</v>
      </c>
    </row>
    <row r="663" spans="1:34" ht="9.75" customHeight="1" x14ac:dyDescent="0.2">
      <c r="A663" s="7" t="s">
        <v>37</v>
      </c>
      <c r="B663" s="7" t="s">
        <v>38</v>
      </c>
      <c r="C663" s="7"/>
      <c r="D663" s="7" t="s">
        <v>1656</v>
      </c>
      <c r="E663" s="8">
        <v>1</v>
      </c>
      <c r="F663" s="7" t="s">
        <v>41</v>
      </c>
      <c r="G663" s="7"/>
      <c r="H663" s="9"/>
      <c r="I663" s="9"/>
      <c r="J663" s="9"/>
      <c r="K663" s="9"/>
      <c r="L663" s="10">
        <v>6396</v>
      </c>
      <c r="M663" s="9"/>
      <c r="N663" s="10">
        <v>6396</v>
      </c>
      <c r="O663" s="9"/>
      <c r="P663" s="10"/>
      <c r="Q663" s="10"/>
      <c r="R663" s="10"/>
      <c r="S663" s="7" t="s">
        <v>407</v>
      </c>
      <c r="T663" s="7" t="s">
        <v>1506</v>
      </c>
      <c r="U663" s="7" t="s">
        <v>44</v>
      </c>
      <c r="V663" s="7" t="s">
        <v>45</v>
      </c>
      <c r="W663" s="7" t="s">
        <v>67</v>
      </c>
      <c r="X663" s="7" t="s">
        <v>68</v>
      </c>
      <c r="Y663" s="7" t="s">
        <v>1657</v>
      </c>
      <c r="Z663" s="7" t="s">
        <v>1635</v>
      </c>
      <c r="AA663" s="7"/>
      <c r="AB663" s="7"/>
      <c r="AC663" s="7" t="s">
        <v>82</v>
      </c>
      <c r="AD663" s="7"/>
      <c r="AE663" s="7" t="s">
        <v>1105</v>
      </c>
      <c r="AF663" s="7" t="s">
        <v>50</v>
      </c>
      <c r="AG663" s="7" t="s">
        <v>67</v>
      </c>
      <c r="AH663" s="7" t="s">
        <v>86</v>
      </c>
    </row>
    <row r="664" spans="1:34" ht="9.75" customHeight="1" x14ac:dyDescent="0.2">
      <c r="A664" s="7" t="s">
        <v>37</v>
      </c>
      <c r="B664" s="7" t="s">
        <v>38</v>
      </c>
      <c r="C664" s="7"/>
      <c r="D664" s="7" t="s">
        <v>1658</v>
      </c>
      <c r="E664" s="8">
        <v>1</v>
      </c>
      <c r="F664" s="7" t="s">
        <v>41</v>
      </c>
      <c r="G664" s="7"/>
      <c r="H664" s="9"/>
      <c r="I664" s="9"/>
      <c r="J664" s="9"/>
      <c r="K664" s="9"/>
      <c r="L664" s="10">
        <v>46115</v>
      </c>
      <c r="M664" s="9"/>
      <c r="N664" s="10">
        <v>46115</v>
      </c>
      <c r="O664" s="9"/>
      <c r="P664" s="10"/>
      <c r="Q664" s="10"/>
      <c r="R664" s="10"/>
      <c r="S664" s="7" t="s">
        <v>407</v>
      </c>
      <c r="T664" s="7" t="s">
        <v>1506</v>
      </c>
      <c r="U664" s="7" t="s">
        <v>44</v>
      </c>
      <c r="V664" s="7" t="s">
        <v>45</v>
      </c>
      <c r="W664" s="7" t="s">
        <v>67</v>
      </c>
      <c r="X664" s="7" t="s">
        <v>68</v>
      </c>
      <c r="Y664" s="7" t="s">
        <v>1659</v>
      </c>
      <c r="Z664" s="7" t="s">
        <v>1635</v>
      </c>
      <c r="AA664" s="7"/>
      <c r="AB664" s="7"/>
      <c r="AC664" s="7" t="s">
        <v>82</v>
      </c>
      <c r="AD664" s="7"/>
      <c r="AE664" s="7" t="s">
        <v>1108</v>
      </c>
      <c r="AF664" s="7" t="s">
        <v>50</v>
      </c>
      <c r="AG664" s="7" t="s">
        <v>67</v>
      </c>
      <c r="AH664" s="7" t="s">
        <v>86</v>
      </c>
    </row>
    <row r="665" spans="1:34" ht="9.75" customHeight="1" x14ac:dyDescent="0.2">
      <c r="A665" s="7" t="s">
        <v>37</v>
      </c>
      <c r="B665" s="7" t="s">
        <v>38</v>
      </c>
      <c r="C665" s="7"/>
      <c r="D665" s="7" t="s">
        <v>1660</v>
      </c>
      <c r="E665" s="8">
        <v>1</v>
      </c>
      <c r="F665" s="7" t="s">
        <v>41</v>
      </c>
      <c r="G665" s="7"/>
      <c r="H665" s="9"/>
      <c r="I665" s="9"/>
      <c r="J665" s="9"/>
      <c r="K665" s="9"/>
      <c r="L665" s="10">
        <v>3056</v>
      </c>
      <c r="M665" s="9"/>
      <c r="N665" s="10">
        <v>3056</v>
      </c>
      <c r="O665" s="9"/>
      <c r="P665" s="10"/>
      <c r="Q665" s="10"/>
      <c r="R665" s="10"/>
      <c r="S665" s="7" t="s">
        <v>407</v>
      </c>
      <c r="T665" s="7" t="s">
        <v>1506</v>
      </c>
      <c r="U665" s="7" t="s">
        <v>44</v>
      </c>
      <c r="V665" s="7" t="s">
        <v>45</v>
      </c>
      <c r="W665" s="7" t="s">
        <v>67</v>
      </c>
      <c r="X665" s="7" t="s">
        <v>68</v>
      </c>
      <c r="Y665" s="7" t="s">
        <v>1661</v>
      </c>
      <c r="Z665" s="7" t="s">
        <v>1635</v>
      </c>
      <c r="AA665" s="7"/>
      <c r="AB665" s="7"/>
      <c r="AC665" s="7" t="s">
        <v>82</v>
      </c>
      <c r="AD665" s="7"/>
      <c r="AE665" s="7" t="s">
        <v>1111</v>
      </c>
      <c r="AF665" s="7" t="s">
        <v>50</v>
      </c>
      <c r="AG665" s="7" t="s">
        <v>67</v>
      </c>
      <c r="AH665" s="7" t="s">
        <v>86</v>
      </c>
    </row>
    <row r="666" spans="1:34" ht="9.75" customHeight="1" x14ac:dyDescent="0.2">
      <c r="A666" s="7" t="s">
        <v>37</v>
      </c>
      <c r="B666" s="7" t="s">
        <v>38</v>
      </c>
      <c r="C666" s="7"/>
      <c r="D666" s="7" t="s">
        <v>1662</v>
      </c>
      <c r="E666" s="8">
        <v>1</v>
      </c>
      <c r="F666" s="7" t="s">
        <v>41</v>
      </c>
      <c r="G666" s="7"/>
      <c r="H666" s="9"/>
      <c r="I666" s="9"/>
      <c r="J666" s="9"/>
      <c r="K666" s="9"/>
      <c r="L666" s="10">
        <v>2013</v>
      </c>
      <c r="M666" s="9"/>
      <c r="N666" s="10">
        <v>2013</v>
      </c>
      <c r="O666" s="9"/>
      <c r="P666" s="10"/>
      <c r="Q666" s="10"/>
      <c r="R666" s="10"/>
      <c r="S666" s="7" t="s">
        <v>407</v>
      </c>
      <c r="T666" s="7" t="s">
        <v>1506</v>
      </c>
      <c r="U666" s="7" t="s">
        <v>44</v>
      </c>
      <c r="V666" s="7" t="s">
        <v>45</v>
      </c>
      <c r="W666" s="7" t="s">
        <v>67</v>
      </c>
      <c r="X666" s="7" t="s">
        <v>68</v>
      </c>
      <c r="Y666" s="7" t="s">
        <v>1663</v>
      </c>
      <c r="Z666" s="7" t="s">
        <v>1635</v>
      </c>
      <c r="AA666" s="7"/>
      <c r="AB666" s="7"/>
      <c r="AC666" s="7" t="s">
        <v>82</v>
      </c>
      <c r="AD666" s="7"/>
      <c r="AE666" s="7" t="s">
        <v>1114</v>
      </c>
      <c r="AF666" s="7" t="s">
        <v>50</v>
      </c>
      <c r="AG666" s="7" t="s">
        <v>67</v>
      </c>
      <c r="AH666" s="7" t="s">
        <v>86</v>
      </c>
    </row>
    <row r="667" spans="1:34" ht="9.75" customHeight="1" x14ac:dyDescent="0.2">
      <c r="A667" s="7" t="s">
        <v>37</v>
      </c>
      <c r="B667" s="7" t="s">
        <v>38</v>
      </c>
      <c r="C667" s="7"/>
      <c r="D667" s="7" t="s">
        <v>1664</v>
      </c>
      <c r="E667" s="8">
        <v>1</v>
      </c>
      <c r="F667" s="7" t="s">
        <v>41</v>
      </c>
      <c r="G667" s="7"/>
      <c r="H667" s="9"/>
      <c r="I667" s="9"/>
      <c r="J667" s="9"/>
      <c r="K667" s="9"/>
      <c r="L667" s="10">
        <v>1074</v>
      </c>
      <c r="M667" s="9"/>
      <c r="N667" s="10">
        <v>1074</v>
      </c>
      <c r="O667" s="9"/>
      <c r="P667" s="10"/>
      <c r="Q667" s="10"/>
      <c r="R667" s="10"/>
      <c r="S667" s="7" t="s">
        <v>407</v>
      </c>
      <c r="T667" s="7" t="s">
        <v>1506</v>
      </c>
      <c r="U667" s="7" t="s">
        <v>44</v>
      </c>
      <c r="V667" s="7" t="s">
        <v>45</v>
      </c>
      <c r="W667" s="7" t="s">
        <v>67</v>
      </c>
      <c r="X667" s="7" t="s">
        <v>68</v>
      </c>
      <c r="Y667" s="7" t="s">
        <v>1665</v>
      </c>
      <c r="Z667" s="7" t="s">
        <v>1635</v>
      </c>
      <c r="AA667" s="7"/>
      <c r="AB667" s="7"/>
      <c r="AC667" s="7" t="s">
        <v>82</v>
      </c>
      <c r="AD667" s="7"/>
      <c r="AE667" s="7" t="s">
        <v>1117</v>
      </c>
      <c r="AF667" s="7" t="s">
        <v>50</v>
      </c>
      <c r="AG667" s="7" t="s">
        <v>67</v>
      </c>
      <c r="AH667" s="7" t="s">
        <v>86</v>
      </c>
    </row>
    <row r="668" spans="1:34" ht="9.75" customHeight="1" x14ac:dyDescent="0.2">
      <c r="A668" s="7" t="s">
        <v>37</v>
      </c>
      <c r="B668" s="7" t="s">
        <v>38</v>
      </c>
      <c r="C668" s="7"/>
      <c r="D668" s="7" t="s">
        <v>1666</v>
      </c>
      <c r="E668" s="8">
        <v>1</v>
      </c>
      <c r="F668" s="7" t="s">
        <v>41</v>
      </c>
      <c r="G668" s="7"/>
      <c r="H668" s="9"/>
      <c r="I668" s="9"/>
      <c r="J668" s="9"/>
      <c r="K668" s="9"/>
      <c r="L668" s="10">
        <v>1635</v>
      </c>
      <c r="M668" s="9"/>
      <c r="N668" s="10">
        <v>1635</v>
      </c>
      <c r="O668" s="9"/>
      <c r="P668" s="10"/>
      <c r="Q668" s="10"/>
      <c r="R668" s="10"/>
      <c r="S668" s="7" t="s">
        <v>407</v>
      </c>
      <c r="T668" s="7" t="s">
        <v>1506</v>
      </c>
      <c r="U668" s="7" t="s">
        <v>44</v>
      </c>
      <c r="V668" s="7" t="s">
        <v>45</v>
      </c>
      <c r="W668" s="7" t="s">
        <v>67</v>
      </c>
      <c r="X668" s="7" t="s">
        <v>68</v>
      </c>
      <c r="Y668" s="7" t="s">
        <v>1667</v>
      </c>
      <c r="Z668" s="7" t="s">
        <v>1635</v>
      </c>
      <c r="AA668" s="7"/>
      <c r="AB668" s="7"/>
      <c r="AC668" s="7" t="s">
        <v>82</v>
      </c>
      <c r="AD668" s="7"/>
      <c r="AE668" s="7" t="s">
        <v>1124</v>
      </c>
      <c r="AF668" s="7" t="s">
        <v>50</v>
      </c>
      <c r="AG668" s="7" t="s">
        <v>67</v>
      </c>
      <c r="AH668" s="7" t="s">
        <v>86</v>
      </c>
    </row>
    <row r="669" spans="1:34" ht="9.75" customHeight="1" x14ac:dyDescent="0.2">
      <c r="A669" s="7" t="s">
        <v>37</v>
      </c>
      <c r="B669" s="7" t="s">
        <v>38</v>
      </c>
      <c r="C669" s="7"/>
      <c r="D669" s="7" t="s">
        <v>1668</v>
      </c>
      <c r="E669" s="8">
        <v>1</v>
      </c>
      <c r="F669" s="7" t="s">
        <v>41</v>
      </c>
      <c r="G669" s="7"/>
      <c r="H669" s="9"/>
      <c r="I669" s="9"/>
      <c r="J669" s="9"/>
      <c r="K669" s="9"/>
      <c r="L669" s="10">
        <v>1995</v>
      </c>
      <c r="M669" s="9"/>
      <c r="N669" s="10">
        <v>1995</v>
      </c>
      <c r="O669" s="9"/>
      <c r="P669" s="10"/>
      <c r="Q669" s="10"/>
      <c r="R669" s="10"/>
      <c r="S669" s="7" t="s">
        <v>407</v>
      </c>
      <c r="T669" s="7" t="s">
        <v>1506</v>
      </c>
      <c r="U669" s="7" t="s">
        <v>44</v>
      </c>
      <c r="V669" s="7" t="s">
        <v>45</v>
      </c>
      <c r="W669" s="7" t="s">
        <v>67</v>
      </c>
      <c r="X669" s="7" t="s">
        <v>68</v>
      </c>
      <c r="Y669" s="7" t="s">
        <v>1669</v>
      </c>
      <c r="Z669" s="7" t="s">
        <v>1635</v>
      </c>
      <c r="AA669" s="7"/>
      <c r="AB669" s="7"/>
      <c r="AC669" s="7" t="s">
        <v>82</v>
      </c>
      <c r="AD669" s="7"/>
      <c r="AE669" s="7" t="s">
        <v>1127</v>
      </c>
      <c r="AF669" s="7" t="s">
        <v>50</v>
      </c>
      <c r="AG669" s="7" t="s">
        <v>67</v>
      </c>
      <c r="AH669" s="7" t="s">
        <v>86</v>
      </c>
    </row>
    <row r="670" spans="1:34" ht="9.75" customHeight="1" x14ac:dyDescent="0.2">
      <c r="A670" s="7" t="s">
        <v>37</v>
      </c>
      <c r="B670" s="7" t="s">
        <v>38</v>
      </c>
      <c r="C670" s="7"/>
      <c r="D670" s="7" t="s">
        <v>1670</v>
      </c>
      <c r="E670" s="8">
        <v>1</v>
      </c>
      <c r="F670" s="7" t="s">
        <v>41</v>
      </c>
      <c r="G670" s="7"/>
      <c r="H670" s="9"/>
      <c r="I670" s="9"/>
      <c r="J670" s="9"/>
      <c r="K670" s="9"/>
      <c r="L670" s="10">
        <v>4417</v>
      </c>
      <c r="M670" s="9"/>
      <c r="N670" s="10">
        <v>4417</v>
      </c>
      <c r="O670" s="9"/>
      <c r="P670" s="10"/>
      <c r="Q670" s="10"/>
      <c r="R670" s="10"/>
      <c r="S670" s="7" t="s">
        <v>407</v>
      </c>
      <c r="T670" s="7" t="s">
        <v>1506</v>
      </c>
      <c r="U670" s="7" t="s">
        <v>44</v>
      </c>
      <c r="V670" s="7" t="s">
        <v>45</v>
      </c>
      <c r="W670" s="7" t="s">
        <v>67</v>
      </c>
      <c r="X670" s="7" t="s">
        <v>68</v>
      </c>
      <c r="Y670" s="7" t="s">
        <v>1671</v>
      </c>
      <c r="Z670" s="7" t="s">
        <v>1635</v>
      </c>
      <c r="AA670" s="7"/>
      <c r="AB670" s="7"/>
      <c r="AC670" s="7" t="s">
        <v>82</v>
      </c>
      <c r="AD670" s="7"/>
      <c r="AE670" s="7" t="s">
        <v>1130</v>
      </c>
      <c r="AF670" s="7" t="s">
        <v>50</v>
      </c>
      <c r="AG670" s="7" t="s">
        <v>67</v>
      </c>
      <c r="AH670" s="7" t="s">
        <v>86</v>
      </c>
    </row>
    <row r="671" spans="1:34" ht="9.75" customHeight="1" x14ac:dyDescent="0.2">
      <c r="A671" s="7" t="s">
        <v>37</v>
      </c>
      <c r="B671" s="7" t="s">
        <v>38</v>
      </c>
      <c r="C671" s="7"/>
      <c r="D671" s="7" t="s">
        <v>1672</v>
      </c>
      <c r="E671" s="8">
        <v>1</v>
      </c>
      <c r="F671" s="7" t="s">
        <v>41</v>
      </c>
      <c r="G671" s="7"/>
      <c r="H671" s="9"/>
      <c r="I671" s="9"/>
      <c r="J671" s="9"/>
      <c r="K671" s="9"/>
      <c r="L671" s="10">
        <v>1849</v>
      </c>
      <c r="M671" s="9"/>
      <c r="N671" s="10">
        <v>1849</v>
      </c>
      <c r="O671" s="9"/>
      <c r="P671" s="10"/>
      <c r="Q671" s="10"/>
      <c r="R671" s="10"/>
      <c r="S671" s="7" t="s">
        <v>407</v>
      </c>
      <c r="T671" s="7" t="s">
        <v>1506</v>
      </c>
      <c r="U671" s="7" t="s">
        <v>44</v>
      </c>
      <c r="V671" s="7" t="s">
        <v>45</v>
      </c>
      <c r="W671" s="7" t="s">
        <v>67</v>
      </c>
      <c r="X671" s="7" t="s">
        <v>68</v>
      </c>
      <c r="Y671" s="7" t="s">
        <v>1673</v>
      </c>
      <c r="Z671" s="7" t="s">
        <v>1635</v>
      </c>
      <c r="AA671" s="7"/>
      <c r="AB671" s="7"/>
      <c r="AC671" s="7" t="s">
        <v>82</v>
      </c>
      <c r="AD671" s="7"/>
      <c r="AE671" s="7" t="s">
        <v>1133</v>
      </c>
      <c r="AF671" s="7" t="s">
        <v>50</v>
      </c>
      <c r="AG671" s="7" t="s">
        <v>67</v>
      </c>
      <c r="AH671" s="7" t="s">
        <v>86</v>
      </c>
    </row>
    <row r="672" spans="1:34" ht="9.75" customHeight="1" x14ac:dyDescent="0.2">
      <c r="A672" s="7" t="s">
        <v>37</v>
      </c>
      <c r="B672" s="7" t="s">
        <v>38</v>
      </c>
      <c r="C672" s="7"/>
      <c r="D672" s="7" t="s">
        <v>1674</v>
      </c>
      <c r="E672" s="8">
        <v>1</v>
      </c>
      <c r="F672" s="7" t="s">
        <v>41</v>
      </c>
      <c r="G672" s="7"/>
      <c r="H672" s="9"/>
      <c r="I672" s="9"/>
      <c r="J672" s="9"/>
      <c r="K672" s="9"/>
      <c r="L672" s="10">
        <v>4600</v>
      </c>
      <c r="M672" s="9"/>
      <c r="N672" s="10">
        <v>4600</v>
      </c>
      <c r="O672" s="9"/>
      <c r="P672" s="10"/>
      <c r="Q672" s="10"/>
      <c r="R672" s="10"/>
      <c r="S672" s="7" t="s">
        <v>407</v>
      </c>
      <c r="T672" s="7" t="s">
        <v>1506</v>
      </c>
      <c r="U672" s="7" t="s">
        <v>44</v>
      </c>
      <c r="V672" s="7" t="s">
        <v>45</v>
      </c>
      <c r="W672" s="7" t="s">
        <v>67</v>
      </c>
      <c r="X672" s="7" t="s">
        <v>68</v>
      </c>
      <c r="Y672" s="7" t="s">
        <v>1675</v>
      </c>
      <c r="Z672" s="7" t="s">
        <v>1635</v>
      </c>
      <c r="AA672" s="7"/>
      <c r="AB672" s="7"/>
      <c r="AC672" s="7" t="s">
        <v>82</v>
      </c>
      <c r="AD672" s="7"/>
      <c r="AE672" s="7"/>
      <c r="AF672" s="7" t="s">
        <v>50</v>
      </c>
      <c r="AG672" s="7" t="s">
        <v>67</v>
      </c>
      <c r="AH672" s="7" t="s">
        <v>86</v>
      </c>
    </row>
    <row r="673" spans="1:34" ht="9.75" customHeight="1" x14ac:dyDescent="0.2">
      <c r="A673" s="7" t="s">
        <v>37</v>
      </c>
      <c r="B673" s="7" t="s">
        <v>38</v>
      </c>
      <c r="C673" s="7"/>
      <c r="D673" s="7" t="s">
        <v>1676</v>
      </c>
      <c r="E673" s="8">
        <v>1</v>
      </c>
      <c r="F673" s="7" t="s">
        <v>41</v>
      </c>
      <c r="G673" s="7"/>
      <c r="H673" s="9"/>
      <c r="I673" s="9"/>
      <c r="J673" s="9"/>
      <c r="K673" s="9"/>
      <c r="L673" s="10">
        <v>9166</v>
      </c>
      <c r="M673" s="9"/>
      <c r="N673" s="10">
        <v>9166</v>
      </c>
      <c r="O673" s="9"/>
      <c r="P673" s="10"/>
      <c r="Q673" s="10"/>
      <c r="R673" s="10"/>
      <c r="S673" s="7" t="s">
        <v>407</v>
      </c>
      <c r="T673" s="7" t="s">
        <v>1506</v>
      </c>
      <c r="U673" s="7" t="s">
        <v>44</v>
      </c>
      <c r="V673" s="7" t="s">
        <v>45</v>
      </c>
      <c r="W673" s="7" t="s">
        <v>67</v>
      </c>
      <c r="X673" s="7" t="s">
        <v>68</v>
      </c>
      <c r="Y673" s="7" t="s">
        <v>1677</v>
      </c>
      <c r="Z673" s="7" t="s">
        <v>1635</v>
      </c>
      <c r="AA673" s="7"/>
      <c r="AB673" s="7"/>
      <c r="AC673" s="7" t="s">
        <v>82</v>
      </c>
      <c r="AD673" s="7"/>
      <c r="AE673" s="7" t="s">
        <v>1141</v>
      </c>
      <c r="AF673" s="7" t="s">
        <v>50</v>
      </c>
      <c r="AG673" s="7" t="s">
        <v>67</v>
      </c>
      <c r="AH673" s="7" t="s">
        <v>86</v>
      </c>
    </row>
    <row r="674" spans="1:34" ht="9.75" customHeight="1" x14ac:dyDescent="0.2">
      <c r="A674" s="7" t="s">
        <v>37</v>
      </c>
      <c r="B674" s="7" t="s">
        <v>38</v>
      </c>
      <c r="C674" s="7"/>
      <c r="D674" s="7" t="s">
        <v>1678</v>
      </c>
      <c r="E674" s="8">
        <v>1</v>
      </c>
      <c r="F674" s="7" t="s">
        <v>41</v>
      </c>
      <c r="G674" s="7"/>
      <c r="H674" s="9"/>
      <c r="I674" s="9"/>
      <c r="J674" s="9"/>
      <c r="K674" s="9"/>
      <c r="L674" s="10">
        <v>17519</v>
      </c>
      <c r="M674" s="9"/>
      <c r="N674" s="10">
        <v>17519</v>
      </c>
      <c r="O674" s="9"/>
      <c r="P674" s="10"/>
      <c r="Q674" s="10"/>
      <c r="R674" s="10"/>
      <c r="S674" s="7" t="s">
        <v>407</v>
      </c>
      <c r="T674" s="7" t="s">
        <v>1506</v>
      </c>
      <c r="U674" s="7" t="s">
        <v>44</v>
      </c>
      <c r="V674" s="7" t="s">
        <v>45</v>
      </c>
      <c r="W674" s="7" t="s">
        <v>67</v>
      </c>
      <c r="X674" s="7" t="s">
        <v>68</v>
      </c>
      <c r="Y674" s="7" t="s">
        <v>1679</v>
      </c>
      <c r="Z674" s="7" t="s">
        <v>1680</v>
      </c>
      <c r="AA674" s="7"/>
      <c r="AB674" s="7"/>
      <c r="AC674" s="7" t="s">
        <v>82</v>
      </c>
      <c r="AD674" s="7"/>
      <c r="AE674" s="7"/>
      <c r="AF674" s="7" t="s">
        <v>50</v>
      </c>
      <c r="AG674" s="7" t="s">
        <v>67</v>
      </c>
      <c r="AH674" s="7" t="s">
        <v>86</v>
      </c>
    </row>
    <row r="675" spans="1:34" ht="9.75" customHeight="1" x14ac:dyDescent="0.2">
      <c r="A675" s="7" t="s">
        <v>37</v>
      </c>
      <c r="B675" s="7" t="s">
        <v>38</v>
      </c>
      <c r="C675" s="7"/>
      <c r="D675" s="7" t="s">
        <v>1681</v>
      </c>
      <c r="E675" s="8">
        <v>1</v>
      </c>
      <c r="F675" s="7" t="s">
        <v>41</v>
      </c>
      <c r="G675" s="7"/>
      <c r="H675" s="9"/>
      <c r="I675" s="9"/>
      <c r="J675" s="9"/>
      <c r="K675" s="9"/>
      <c r="L675" s="10">
        <v>451</v>
      </c>
      <c r="M675" s="9"/>
      <c r="N675" s="10">
        <v>451</v>
      </c>
      <c r="O675" s="9"/>
      <c r="P675" s="10"/>
      <c r="Q675" s="10"/>
      <c r="R675" s="10"/>
      <c r="S675" s="7" t="s">
        <v>407</v>
      </c>
      <c r="T675" s="7" t="s">
        <v>1506</v>
      </c>
      <c r="U675" s="7" t="s">
        <v>44</v>
      </c>
      <c r="V675" s="7" t="s">
        <v>45</v>
      </c>
      <c r="W675" s="7" t="s">
        <v>67</v>
      </c>
      <c r="X675" s="7" t="s">
        <v>68</v>
      </c>
      <c r="Y675" s="7" t="s">
        <v>1682</v>
      </c>
      <c r="Z675" s="7" t="s">
        <v>1680</v>
      </c>
      <c r="AA675" s="7"/>
      <c r="AB675" s="7"/>
      <c r="AC675" s="7" t="s">
        <v>82</v>
      </c>
      <c r="AD675" s="7"/>
      <c r="AE675" s="7"/>
      <c r="AF675" s="7" t="s">
        <v>50</v>
      </c>
      <c r="AG675" s="7" t="s">
        <v>67</v>
      </c>
      <c r="AH675" s="7" t="s">
        <v>86</v>
      </c>
    </row>
    <row r="676" spans="1:34" ht="9.75" customHeight="1" x14ac:dyDescent="0.2">
      <c r="A676" s="7" t="s">
        <v>37</v>
      </c>
      <c r="B676" s="7" t="s">
        <v>38</v>
      </c>
      <c r="C676" s="7"/>
      <c r="D676" s="7" t="s">
        <v>1683</v>
      </c>
      <c r="E676" s="8">
        <v>1</v>
      </c>
      <c r="F676" s="7" t="s">
        <v>41</v>
      </c>
      <c r="G676" s="7"/>
      <c r="H676" s="9"/>
      <c r="I676" s="9"/>
      <c r="J676" s="9"/>
      <c r="K676" s="9"/>
      <c r="L676" s="10">
        <v>976</v>
      </c>
      <c r="M676" s="9"/>
      <c r="N676" s="10">
        <v>976</v>
      </c>
      <c r="O676" s="9"/>
      <c r="P676" s="10"/>
      <c r="Q676" s="10"/>
      <c r="R676" s="10"/>
      <c r="S676" s="7" t="s">
        <v>407</v>
      </c>
      <c r="T676" s="7" t="s">
        <v>1506</v>
      </c>
      <c r="U676" s="7" t="s">
        <v>44</v>
      </c>
      <c r="V676" s="7" t="s">
        <v>45</v>
      </c>
      <c r="W676" s="7" t="s">
        <v>67</v>
      </c>
      <c r="X676" s="7" t="s">
        <v>68</v>
      </c>
      <c r="Y676" s="7" t="s">
        <v>1684</v>
      </c>
      <c r="Z676" s="7" t="s">
        <v>1680</v>
      </c>
      <c r="AA676" s="7"/>
      <c r="AB676" s="7"/>
      <c r="AC676" s="7" t="s">
        <v>82</v>
      </c>
      <c r="AD676" s="7"/>
      <c r="AE676" s="7" t="s">
        <v>1685</v>
      </c>
      <c r="AF676" s="7" t="s">
        <v>50</v>
      </c>
      <c r="AG676" s="7" t="s">
        <v>67</v>
      </c>
      <c r="AH676" s="7" t="s">
        <v>86</v>
      </c>
    </row>
    <row r="677" spans="1:34" ht="9.75" customHeight="1" x14ac:dyDescent="0.2">
      <c r="A677" s="7" t="s">
        <v>37</v>
      </c>
      <c r="B677" s="7" t="s">
        <v>38</v>
      </c>
      <c r="C677" s="7"/>
      <c r="D677" s="7" t="s">
        <v>1686</v>
      </c>
      <c r="E677" s="8">
        <v>1</v>
      </c>
      <c r="F677" s="7" t="s">
        <v>41</v>
      </c>
      <c r="G677" s="7"/>
      <c r="H677" s="9"/>
      <c r="I677" s="9"/>
      <c r="J677" s="9"/>
      <c r="K677" s="9"/>
      <c r="L677" s="10">
        <v>2103</v>
      </c>
      <c r="M677" s="9"/>
      <c r="N677" s="10">
        <v>2103</v>
      </c>
      <c r="O677" s="9"/>
      <c r="P677" s="10"/>
      <c r="Q677" s="10"/>
      <c r="R677" s="10"/>
      <c r="S677" s="7" t="s">
        <v>407</v>
      </c>
      <c r="T677" s="7" t="s">
        <v>1506</v>
      </c>
      <c r="U677" s="7" t="s">
        <v>44</v>
      </c>
      <c r="V677" s="7" t="s">
        <v>45</v>
      </c>
      <c r="W677" s="7" t="s">
        <v>67</v>
      </c>
      <c r="X677" s="7" t="s">
        <v>68</v>
      </c>
      <c r="Y677" s="7" t="s">
        <v>1687</v>
      </c>
      <c r="Z677" s="7" t="s">
        <v>1680</v>
      </c>
      <c r="AA677" s="7"/>
      <c r="AB677" s="7"/>
      <c r="AC677" s="7" t="s">
        <v>82</v>
      </c>
      <c r="AD677" s="7"/>
      <c r="AE677" s="7"/>
      <c r="AF677" s="7" t="s">
        <v>50</v>
      </c>
      <c r="AG677" s="7" t="s">
        <v>67</v>
      </c>
      <c r="AH677" s="7" t="s">
        <v>86</v>
      </c>
    </row>
    <row r="678" spans="1:34" ht="9.75" customHeight="1" x14ac:dyDescent="0.2">
      <c r="A678" s="7" t="s">
        <v>37</v>
      </c>
      <c r="B678" s="7" t="s">
        <v>38</v>
      </c>
      <c r="C678" s="7"/>
      <c r="D678" s="7" t="s">
        <v>1688</v>
      </c>
      <c r="E678" s="8">
        <v>1</v>
      </c>
      <c r="F678" s="7" t="s">
        <v>41</v>
      </c>
      <c r="G678" s="7"/>
      <c r="H678" s="9"/>
      <c r="I678" s="9"/>
      <c r="J678" s="9"/>
      <c r="K678" s="9"/>
      <c r="L678" s="10">
        <v>1468</v>
      </c>
      <c r="M678" s="9"/>
      <c r="N678" s="10">
        <v>1468</v>
      </c>
      <c r="O678" s="9"/>
      <c r="P678" s="10"/>
      <c r="Q678" s="10"/>
      <c r="R678" s="10"/>
      <c r="S678" s="7" t="s">
        <v>407</v>
      </c>
      <c r="T678" s="7" t="s">
        <v>1506</v>
      </c>
      <c r="U678" s="7" t="s">
        <v>44</v>
      </c>
      <c r="V678" s="7" t="s">
        <v>45</v>
      </c>
      <c r="W678" s="7" t="s">
        <v>67</v>
      </c>
      <c r="X678" s="7" t="s">
        <v>68</v>
      </c>
      <c r="Y678" s="7" t="s">
        <v>1689</v>
      </c>
      <c r="Z678" s="7" t="s">
        <v>1680</v>
      </c>
      <c r="AA678" s="7"/>
      <c r="AB678" s="7"/>
      <c r="AC678" s="7" t="s">
        <v>82</v>
      </c>
      <c r="AD678" s="7"/>
      <c r="AE678" s="7"/>
      <c r="AF678" s="7" t="s">
        <v>50</v>
      </c>
      <c r="AG678" s="7" t="s">
        <v>67</v>
      </c>
      <c r="AH678" s="7" t="s">
        <v>86</v>
      </c>
    </row>
    <row r="679" spans="1:34" ht="9.75" customHeight="1" x14ac:dyDescent="0.2">
      <c r="A679" s="7" t="s">
        <v>37</v>
      </c>
      <c r="B679" s="7" t="s">
        <v>38</v>
      </c>
      <c r="C679" s="7"/>
      <c r="D679" s="7" t="s">
        <v>1690</v>
      </c>
      <c r="E679" s="8">
        <v>1</v>
      </c>
      <c r="F679" s="7" t="s">
        <v>41</v>
      </c>
      <c r="G679" s="7"/>
      <c r="H679" s="9"/>
      <c r="I679" s="9"/>
      <c r="J679" s="9"/>
      <c r="K679" s="9"/>
      <c r="L679" s="10">
        <v>5605</v>
      </c>
      <c r="M679" s="9"/>
      <c r="N679" s="10">
        <v>5605</v>
      </c>
      <c r="O679" s="9"/>
      <c r="P679" s="10"/>
      <c r="Q679" s="10"/>
      <c r="R679" s="10"/>
      <c r="S679" s="7" t="s">
        <v>407</v>
      </c>
      <c r="T679" s="7" t="s">
        <v>1506</v>
      </c>
      <c r="U679" s="7" t="s">
        <v>44</v>
      </c>
      <c r="V679" s="7" t="s">
        <v>45</v>
      </c>
      <c r="W679" s="7" t="s">
        <v>67</v>
      </c>
      <c r="X679" s="7" t="s">
        <v>68</v>
      </c>
      <c r="Y679" s="7" t="s">
        <v>1691</v>
      </c>
      <c r="Z679" s="7" t="s">
        <v>1680</v>
      </c>
      <c r="AA679" s="7"/>
      <c r="AB679" s="7"/>
      <c r="AC679" s="7" t="s">
        <v>82</v>
      </c>
      <c r="AD679" s="7"/>
      <c r="AE679" s="7" t="s">
        <v>427</v>
      </c>
      <c r="AF679" s="7" t="s">
        <v>50</v>
      </c>
      <c r="AG679" s="7" t="s">
        <v>67</v>
      </c>
      <c r="AH679" s="7" t="s">
        <v>86</v>
      </c>
    </row>
    <row r="680" spans="1:34" ht="9.75" customHeight="1" x14ac:dyDescent="0.2">
      <c r="A680" s="7" t="s">
        <v>37</v>
      </c>
      <c r="B680" s="7" t="s">
        <v>38</v>
      </c>
      <c r="C680" s="7"/>
      <c r="D680" s="7" t="s">
        <v>1692</v>
      </c>
      <c r="E680" s="8">
        <v>1</v>
      </c>
      <c r="F680" s="7" t="s">
        <v>41</v>
      </c>
      <c r="G680" s="7"/>
      <c r="H680" s="9"/>
      <c r="I680" s="9"/>
      <c r="J680" s="9"/>
      <c r="K680" s="9"/>
      <c r="L680" s="10">
        <v>5847</v>
      </c>
      <c r="M680" s="9"/>
      <c r="N680" s="10">
        <v>5847</v>
      </c>
      <c r="O680" s="9"/>
      <c r="P680" s="10"/>
      <c r="Q680" s="10"/>
      <c r="R680" s="10"/>
      <c r="S680" s="7" t="s">
        <v>407</v>
      </c>
      <c r="T680" s="7" t="s">
        <v>1506</v>
      </c>
      <c r="U680" s="7" t="s">
        <v>44</v>
      </c>
      <c r="V680" s="7" t="s">
        <v>45</v>
      </c>
      <c r="W680" s="7" t="s">
        <v>67</v>
      </c>
      <c r="X680" s="7" t="s">
        <v>68</v>
      </c>
      <c r="Y680" s="7" t="s">
        <v>1693</v>
      </c>
      <c r="Z680" s="7" t="s">
        <v>1694</v>
      </c>
      <c r="AA680" s="7"/>
      <c r="AB680" s="7"/>
      <c r="AC680" s="7" t="s">
        <v>82</v>
      </c>
      <c r="AD680" s="7"/>
      <c r="AE680" s="7"/>
      <c r="AF680" s="7" t="s">
        <v>50</v>
      </c>
      <c r="AG680" s="7" t="s">
        <v>67</v>
      </c>
      <c r="AH680" s="7" t="s">
        <v>86</v>
      </c>
    </row>
    <row r="681" spans="1:34" ht="9.75" customHeight="1" x14ac:dyDescent="0.2">
      <c r="A681" s="7" t="s">
        <v>37</v>
      </c>
      <c r="B681" s="7" t="s">
        <v>38</v>
      </c>
      <c r="C681" s="7"/>
      <c r="D681" s="7" t="s">
        <v>1695</v>
      </c>
      <c r="E681" s="8">
        <v>1</v>
      </c>
      <c r="F681" s="7" t="s">
        <v>41</v>
      </c>
      <c r="G681" s="7"/>
      <c r="H681" s="9"/>
      <c r="I681" s="9"/>
      <c r="J681" s="9"/>
      <c r="K681" s="9"/>
      <c r="L681" s="10">
        <v>500</v>
      </c>
      <c r="M681" s="9"/>
      <c r="N681" s="10">
        <v>500</v>
      </c>
      <c r="O681" s="9"/>
      <c r="P681" s="10"/>
      <c r="Q681" s="10"/>
      <c r="R681" s="10"/>
      <c r="S681" s="7" t="s">
        <v>407</v>
      </c>
      <c r="T681" s="7" t="s">
        <v>1506</v>
      </c>
      <c r="U681" s="7" t="s">
        <v>44</v>
      </c>
      <c r="V681" s="7" t="s">
        <v>45</v>
      </c>
      <c r="W681" s="7" t="s">
        <v>67</v>
      </c>
      <c r="X681" s="7" t="s">
        <v>68</v>
      </c>
      <c r="Y681" s="7" t="s">
        <v>1696</v>
      </c>
      <c r="Z681" s="7" t="s">
        <v>1694</v>
      </c>
      <c r="AA681" s="7"/>
      <c r="AB681" s="7"/>
      <c r="AC681" s="7" t="s">
        <v>82</v>
      </c>
      <c r="AD681" s="7"/>
      <c r="AE681" s="7" t="s">
        <v>1697</v>
      </c>
      <c r="AF681" s="7" t="s">
        <v>50</v>
      </c>
      <c r="AG681" s="7" t="s">
        <v>67</v>
      </c>
      <c r="AH681" s="7" t="s">
        <v>86</v>
      </c>
    </row>
    <row r="682" spans="1:34" ht="9.75" customHeight="1" x14ac:dyDescent="0.2">
      <c r="A682" s="7" t="s">
        <v>37</v>
      </c>
      <c r="B682" s="7" t="s">
        <v>38</v>
      </c>
      <c r="C682" s="7"/>
      <c r="D682" s="7" t="s">
        <v>1698</v>
      </c>
      <c r="E682" s="8">
        <v>1</v>
      </c>
      <c r="F682" s="7" t="s">
        <v>41</v>
      </c>
      <c r="G682" s="7"/>
      <c r="H682" s="9"/>
      <c r="I682" s="9"/>
      <c r="J682" s="9"/>
      <c r="K682" s="9"/>
      <c r="L682" s="10">
        <v>520</v>
      </c>
      <c r="M682" s="9"/>
      <c r="N682" s="10">
        <v>520</v>
      </c>
      <c r="O682" s="9"/>
      <c r="P682" s="10"/>
      <c r="Q682" s="10"/>
      <c r="R682" s="10"/>
      <c r="S682" s="7" t="s">
        <v>407</v>
      </c>
      <c r="T682" s="7" t="s">
        <v>1506</v>
      </c>
      <c r="U682" s="7" t="s">
        <v>44</v>
      </c>
      <c r="V682" s="7" t="s">
        <v>45</v>
      </c>
      <c r="W682" s="7" t="s">
        <v>67</v>
      </c>
      <c r="X682" s="7" t="s">
        <v>68</v>
      </c>
      <c r="Y682" s="7" t="s">
        <v>1699</v>
      </c>
      <c r="Z682" s="7" t="s">
        <v>1694</v>
      </c>
      <c r="AA682" s="7"/>
      <c r="AB682" s="7"/>
      <c r="AC682" s="7" t="s">
        <v>82</v>
      </c>
      <c r="AD682" s="7"/>
      <c r="AE682" s="7"/>
      <c r="AF682" s="7" t="s">
        <v>50</v>
      </c>
      <c r="AG682" s="7" t="s">
        <v>67</v>
      </c>
      <c r="AH682" s="7" t="s">
        <v>86</v>
      </c>
    </row>
    <row r="683" spans="1:34" ht="9.75" customHeight="1" x14ac:dyDescent="0.2">
      <c r="A683" s="7" t="s">
        <v>37</v>
      </c>
      <c r="B683" s="7" t="s">
        <v>38</v>
      </c>
      <c r="C683" s="7"/>
      <c r="D683" s="7" t="s">
        <v>1700</v>
      </c>
      <c r="E683" s="8">
        <v>1</v>
      </c>
      <c r="F683" s="7" t="s">
        <v>41</v>
      </c>
      <c r="G683" s="7"/>
      <c r="H683" s="9"/>
      <c r="I683" s="9"/>
      <c r="J683" s="9"/>
      <c r="K683" s="9"/>
      <c r="L683" s="10">
        <v>734</v>
      </c>
      <c r="M683" s="9"/>
      <c r="N683" s="10">
        <v>734</v>
      </c>
      <c r="O683" s="9"/>
      <c r="P683" s="10"/>
      <c r="Q683" s="10"/>
      <c r="R683" s="10"/>
      <c r="S683" s="7" t="s">
        <v>407</v>
      </c>
      <c r="T683" s="7" t="s">
        <v>1506</v>
      </c>
      <c r="U683" s="7" t="s">
        <v>44</v>
      </c>
      <c r="V683" s="7" t="s">
        <v>45</v>
      </c>
      <c r="W683" s="7" t="s">
        <v>67</v>
      </c>
      <c r="X683" s="7" t="s">
        <v>68</v>
      </c>
      <c r="Y683" s="7" t="s">
        <v>1701</v>
      </c>
      <c r="Z683" s="7" t="s">
        <v>1694</v>
      </c>
      <c r="AA683" s="7"/>
      <c r="AB683" s="7"/>
      <c r="AC683" s="7" t="s">
        <v>82</v>
      </c>
      <c r="AD683" s="7"/>
      <c r="AE683" s="7"/>
      <c r="AF683" s="7" t="s">
        <v>50</v>
      </c>
      <c r="AG683" s="7" t="s">
        <v>67</v>
      </c>
      <c r="AH683" s="7" t="s">
        <v>86</v>
      </c>
    </row>
    <row r="684" spans="1:34" ht="9.75" customHeight="1" x14ac:dyDescent="0.2">
      <c r="A684" s="7" t="s">
        <v>37</v>
      </c>
      <c r="B684" s="7" t="s">
        <v>38</v>
      </c>
      <c r="C684" s="7"/>
      <c r="D684" s="7" t="s">
        <v>1702</v>
      </c>
      <c r="E684" s="8">
        <v>1</v>
      </c>
      <c r="F684" s="7" t="s">
        <v>41</v>
      </c>
      <c r="G684" s="7"/>
      <c r="H684" s="9"/>
      <c r="I684" s="9"/>
      <c r="J684" s="9"/>
      <c r="K684" s="9"/>
      <c r="L684" s="10">
        <v>1094</v>
      </c>
      <c r="M684" s="9"/>
      <c r="N684" s="10">
        <v>1094</v>
      </c>
      <c r="O684" s="9"/>
      <c r="P684" s="10"/>
      <c r="Q684" s="10"/>
      <c r="R684" s="10"/>
      <c r="S684" s="7" t="s">
        <v>407</v>
      </c>
      <c r="T684" s="7" t="s">
        <v>1506</v>
      </c>
      <c r="U684" s="7" t="s">
        <v>44</v>
      </c>
      <c r="V684" s="7" t="s">
        <v>45</v>
      </c>
      <c r="W684" s="7" t="s">
        <v>67</v>
      </c>
      <c r="X684" s="7" t="s">
        <v>68</v>
      </c>
      <c r="Y684" s="7" t="s">
        <v>1703</v>
      </c>
      <c r="Z684" s="7" t="s">
        <v>1694</v>
      </c>
      <c r="AA684" s="7"/>
      <c r="AB684" s="7"/>
      <c r="AC684" s="7" t="s">
        <v>82</v>
      </c>
      <c r="AD684" s="7"/>
      <c r="AE684" s="7"/>
      <c r="AF684" s="7" t="s">
        <v>50</v>
      </c>
      <c r="AG684" s="7" t="s">
        <v>67</v>
      </c>
      <c r="AH684" s="7" t="s">
        <v>86</v>
      </c>
    </row>
    <row r="685" spans="1:34" ht="9.75" customHeight="1" x14ac:dyDescent="0.2">
      <c r="A685" s="7" t="s">
        <v>37</v>
      </c>
      <c r="B685" s="7" t="s">
        <v>38</v>
      </c>
      <c r="C685" s="7"/>
      <c r="D685" s="7" t="s">
        <v>1704</v>
      </c>
      <c r="E685" s="8">
        <v>1</v>
      </c>
      <c r="F685" s="7" t="s">
        <v>41</v>
      </c>
      <c r="G685" s="7"/>
      <c r="H685" s="9"/>
      <c r="I685" s="9"/>
      <c r="J685" s="9"/>
      <c r="K685" s="9"/>
      <c r="L685" s="10">
        <v>8787</v>
      </c>
      <c r="M685" s="9"/>
      <c r="N685" s="10">
        <v>8787</v>
      </c>
      <c r="O685" s="9"/>
      <c r="P685" s="10"/>
      <c r="Q685" s="10"/>
      <c r="R685" s="10"/>
      <c r="S685" s="7" t="s">
        <v>407</v>
      </c>
      <c r="T685" s="7" t="s">
        <v>1506</v>
      </c>
      <c r="U685" s="7" t="s">
        <v>44</v>
      </c>
      <c r="V685" s="7" t="s">
        <v>45</v>
      </c>
      <c r="W685" s="7" t="s">
        <v>67</v>
      </c>
      <c r="X685" s="7" t="s">
        <v>68</v>
      </c>
      <c r="Y685" s="7" t="s">
        <v>1705</v>
      </c>
      <c r="Z685" s="7" t="s">
        <v>1706</v>
      </c>
      <c r="AA685" s="7"/>
      <c r="AB685" s="7"/>
      <c r="AC685" s="7" t="s">
        <v>82</v>
      </c>
      <c r="AD685" s="7"/>
      <c r="AE685" s="7"/>
      <c r="AF685" s="7" t="s">
        <v>50</v>
      </c>
      <c r="AG685" s="7" t="s">
        <v>67</v>
      </c>
      <c r="AH685" s="7" t="s">
        <v>86</v>
      </c>
    </row>
    <row r="686" spans="1:34" ht="9.75" customHeight="1" x14ac:dyDescent="0.2">
      <c r="A686" s="7" t="s">
        <v>37</v>
      </c>
      <c r="B686" s="7" t="s">
        <v>38</v>
      </c>
      <c r="C686" s="7"/>
      <c r="D686" s="7" t="s">
        <v>1707</v>
      </c>
      <c r="E686" s="8">
        <v>1</v>
      </c>
      <c r="F686" s="7" t="s">
        <v>41</v>
      </c>
      <c r="G686" s="7"/>
      <c r="H686" s="9"/>
      <c r="I686" s="9"/>
      <c r="J686" s="9"/>
      <c r="K686" s="9"/>
      <c r="L686" s="10">
        <v>60</v>
      </c>
      <c r="M686" s="9"/>
      <c r="N686" s="10">
        <v>60</v>
      </c>
      <c r="O686" s="9"/>
      <c r="P686" s="10"/>
      <c r="Q686" s="10"/>
      <c r="R686" s="10"/>
      <c r="S686" s="7" t="s">
        <v>407</v>
      </c>
      <c r="T686" s="7" t="s">
        <v>1506</v>
      </c>
      <c r="U686" s="7" t="s">
        <v>44</v>
      </c>
      <c r="V686" s="7" t="s">
        <v>45</v>
      </c>
      <c r="W686" s="7" t="s">
        <v>67</v>
      </c>
      <c r="X686" s="7" t="s">
        <v>68</v>
      </c>
      <c r="Y686" s="7" t="s">
        <v>1708</v>
      </c>
      <c r="Z686" s="7" t="s">
        <v>1706</v>
      </c>
      <c r="AA686" s="7"/>
      <c r="AB686" s="7"/>
      <c r="AC686" s="7" t="s">
        <v>82</v>
      </c>
      <c r="AD686" s="7"/>
      <c r="AE686" s="7" t="s">
        <v>1709</v>
      </c>
      <c r="AF686" s="7" t="s">
        <v>50</v>
      </c>
      <c r="AG686" s="7" t="s">
        <v>67</v>
      </c>
      <c r="AH686" s="7" t="s">
        <v>86</v>
      </c>
    </row>
    <row r="687" spans="1:34" ht="9.75" customHeight="1" x14ac:dyDescent="0.2">
      <c r="A687" s="7" t="s">
        <v>37</v>
      </c>
      <c r="B687" s="7" t="s">
        <v>38</v>
      </c>
      <c r="C687" s="7"/>
      <c r="D687" s="7" t="s">
        <v>1710</v>
      </c>
      <c r="E687" s="8">
        <v>1</v>
      </c>
      <c r="F687" s="7" t="s">
        <v>41</v>
      </c>
      <c r="G687" s="7"/>
      <c r="H687" s="9"/>
      <c r="I687" s="9"/>
      <c r="J687" s="9"/>
      <c r="K687" s="9"/>
      <c r="L687" s="10">
        <v>528</v>
      </c>
      <c r="M687" s="9"/>
      <c r="N687" s="10">
        <v>528</v>
      </c>
      <c r="O687" s="9"/>
      <c r="P687" s="10"/>
      <c r="Q687" s="10"/>
      <c r="R687" s="10"/>
      <c r="S687" s="7" t="s">
        <v>407</v>
      </c>
      <c r="T687" s="7" t="s">
        <v>1506</v>
      </c>
      <c r="U687" s="7" t="s">
        <v>44</v>
      </c>
      <c r="V687" s="7" t="s">
        <v>45</v>
      </c>
      <c r="W687" s="7" t="s">
        <v>67</v>
      </c>
      <c r="X687" s="7" t="s">
        <v>68</v>
      </c>
      <c r="Y687" s="7" t="s">
        <v>1711</v>
      </c>
      <c r="Z687" s="7" t="s">
        <v>1706</v>
      </c>
      <c r="AA687" s="7"/>
      <c r="AB687" s="7"/>
      <c r="AC687" s="7" t="s">
        <v>82</v>
      </c>
      <c r="AD687" s="7"/>
      <c r="AE687" s="7"/>
      <c r="AF687" s="7" t="s">
        <v>50</v>
      </c>
      <c r="AG687" s="7" t="s">
        <v>67</v>
      </c>
      <c r="AH687" s="7" t="s">
        <v>86</v>
      </c>
    </row>
    <row r="688" spans="1:34" ht="9.75" customHeight="1" x14ac:dyDescent="0.2">
      <c r="A688" s="7" t="s">
        <v>37</v>
      </c>
      <c r="B688" s="7" t="s">
        <v>38</v>
      </c>
      <c r="C688" s="7"/>
      <c r="D688" s="7" t="s">
        <v>1712</v>
      </c>
      <c r="E688" s="8">
        <v>1</v>
      </c>
      <c r="F688" s="7" t="s">
        <v>41</v>
      </c>
      <c r="G688" s="7"/>
      <c r="H688" s="9"/>
      <c r="I688" s="9"/>
      <c r="J688" s="9"/>
      <c r="K688" s="9"/>
      <c r="L688" s="10">
        <v>442</v>
      </c>
      <c r="M688" s="9"/>
      <c r="N688" s="10">
        <v>442</v>
      </c>
      <c r="O688" s="9"/>
      <c r="P688" s="10"/>
      <c r="Q688" s="10"/>
      <c r="R688" s="10"/>
      <c r="S688" s="7" t="s">
        <v>407</v>
      </c>
      <c r="T688" s="7" t="s">
        <v>1506</v>
      </c>
      <c r="U688" s="7" t="s">
        <v>44</v>
      </c>
      <c r="V688" s="7" t="s">
        <v>45</v>
      </c>
      <c r="W688" s="7" t="s">
        <v>67</v>
      </c>
      <c r="X688" s="7" t="s">
        <v>68</v>
      </c>
      <c r="Y688" s="7" t="s">
        <v>1713</v>
      </c>
      <c r="Z688" s="7" t="s">
        <v>1706</v>
      </c>
      <c r="AA688" s="7"/>
      <c r="AB688" s="7"/>
      <c r="AC688" s="7" t="s">
        <v>82</v>
      </c>
      <c r="AD688" s="7"/>
      <c r="AE688" s="7"/>
      <c r="AF688" s="7" t="s">
        <v>50</v>
      </c>
      <c r="AG688" s="7" t="s">
        <v>67</v>
      </c>
      <c r="AH688" s="7" t="s">
        <v>86</v>
      </c>
    </row>
    <row r="689" spans="1:34" ht="9.75" customHeight="1" x14ac:dyDescent="0.2">
      <c r="A689" s="7" t="s">
        <v>37</v>
      </c>
      <c r="B689" s="7" t="s">
        <v>38</v>
      </c>
      <c r="C689" s="7"/>
      <c r="D689" s="7" t="s">
        <v>1714</v>
      </c>
      <c r="E689" s="8">
        <v>1</v>
      </c>
      <c r="F689" s="7" t="s">
        <v>41</v>
      </c>
      <c r="G689" s="7"/>
      <c r="H689" s="9"/>
      <c r="I689" s="9"/>
      <c r="J689" s="9"/>
      <c r="K689" s="9"/>
      <c r="L689" s="10">
        <v>329</v>
      </c>
      <c r="M689" s="9"/>
      <c r="N689" s="10">
        <v>329</v>
      </c>
      <c r="O689" s="9"/>
      <c r="P689" s="10"/>
      <c r="Q689" s="10"/>
      <c r="R689" s="10"/>
      <c r="S689" s="7" t="s">
        <v>407</v>
      </c>
      <c r="T689" s="7" t="s">
        <v>1506</v>
      </c>
      <c r="U689" s="7" t="s">
        <v>44</v>
      </c>
      <c r="V689" s="7" t="s">
        <v>45</v>
      </c>
      <c r="W689" s="7" t="s">
        <v>67</v>
      </c>
      <c r="X689" s="7" t="s">
        <v>68</v>
      </c>
      <c r="Y689" s="7" t="s">
        <v>1715</v>
      </c>
      <c r="Z689" s="7" t="s">
        <v>1706</v>
      </c>
      <c r="AA689" s="7"/>
      <c r="AB689" s="7"/>
      <c r="AC689" s="7" t="s">
        <v>82</v>
      </c>
      <c r="AD689" s="7"/>
      <c r="AE689" s="7"/>
      <c r="AF689" s="7" t="s">
        <v>50</v>
      </c>
      <c r="AG689" s="7" t="s">
        <v>67</v>
      </c>
      <c r="AH689" s="7" t="s">
        <v>86</v>
      </c>
    </row>
    <row r="690" spans="1:34" ht="9.75" customHeight="1" x14ac:dyDescent="0.2">
      <c r="A690" s="7" t="s">
        <v>37</v>
      </c>
      <c r="B690" s="7" t="s">
        <v>38</v>
      </c>
      <c r="C690" s="7"/>
      <c r="D690" s="7" t="s">
        <v>1716</v>
      </c>
      <c r="E690" s="8">
        <v>1</v>
      </c>
      <c r="F690" s="7" t="s">
        <v>41</v>
      </c>
      <c r="G690" s="7"/>
      <c r="H690" s="9"/>
      <c r="I690" s="9"/>
      <c r="J690" s="9"/>
      <c r="K690" s="9"/>
      <c r="L690" s="10">
        <v>7382</v>
      </c>
      <c r="M690" s="9"/>
      <c r="N690" s="10">
        <v>7382</v>
      </c>
      <c r="O690" s="9"/>
      <c r="P690" s="10"/>
      <c r="Q690" s="10"/>
      <c r="R690" s="10"/>
      <c r="S690" s="7" t="s">
        <v>407</v>
      </c>
      <c r="T690" s="7" t="s">
        <v>1506</v>
      </c>
      <c r="U690" s="7" t="s">
        <v>44</v>
      </c>
      <c r="V690" s="7" t="s">
        <v>45</v>
      </c>
      <c r="W690" s="7" t="s">
        <v>67</v>
      </c>
      <c r="X690" s="7" t="s">
        <v>68</v>
      </c>
      <c r="Y690" s="7" t="s">
        <v>1717</v>
      </c>
      <c r="Z690" s="7" t="s">
        <v>1718</v>
      </c>
      <c r="AA690" s="7"/>
      <c r="AB690" s="7"/>
      <c r="AC690" s="7" t="s">
        <v>82</v>
      </c>
      <c r="AD690" s="7"/>
      <c r="AE690" s="7"/>
      <c r="AF690" s="7" t="s">
        <v>50</v>
      </c>
      <c r="AG690" s="7" t="s">
        <v>67</v>
      </c>
      <c r="AH690" s="7" t="s">
        <v>86</v>
      </c>
    </row>
    <row r="691" spans="1:34" ht="9.75" customHeight="1" x14ac:dyDescent="0.2">
      <c r="A691" s="7" t="s">
        <v>37</v>
      </c>
      <c r="B691" s="7" t="s">
        <v>38</v>
      </c>
      <c r="C691" s="7"/>
      <c r="D691" s="7" t="s">
        <v>1719</v>
      </c>
      <c r="E691" s="8">
        <v>1</v>
      </c>
      <c r="F691" s="7" t="s">
        <v>41</v>
      </c>
      <c r="G691" s="7"/>
      <c r="H691" s="9"/>
      <c r="I691" s="9"/>
      <c r="J691" s="9"/>
      <c r="K691" s="9"/>
      <c r="L691" s="10">
        <v>96</v>
      </c>
      <c r="M691" s="9"/>
      <c r="N691" s="10">
        <v>96</v>
      </c>
      <c r="O691" s="9"/>
      <c r="P691" s="10"/>
      <c r="Q691" s="10"/>
      <c r="R691" s="10"/>
      <c r="S691" s="7" t="s">
        <v>407</v>
      </c>
      <c r="T691" s="7" t="s">
        <v>1506</v>
      </c>
      <c r="U691" s="7" t="s">
        <v>44</v>
      </c>
      <c r="V691" s="7" t="s">
        <v>45</v>
      </c>
      <c r="W691" s="7" t="s">
        <v>67</v>
      </c>
      <c r="X691" s="7" t="s">
        <v>68</v>
      </c>
      <c r="Y691" s="7" t="s">
        <v>1720</v>
      </c>
      <c r="Z691" s="7" t="s">
        <v>1718</v>
      </c>
      <c r="AA691" s="7"/>
      <c r="AB691" s="7"/>
      <c r="AC691" s="7" t="s">
        <v>82</v>
      </c>
      <c r="AD691" s="7"/>
      <c r="AE691" s="7"/>
      <c r="AF691" s="7" t="s">
        <v>50</v>
      </c>
      <c r="AG691" s="7" t="s">
        <v>67</v>
      </c>
      <c r="AH691" s="7" t="s">
        <v>86</v>
      </c>
    </row>
    <row r="692" spans="1:34" ht="9.75" customHeight="1" x14ac:dyDescent="0.2">
      <c r="A692" s="7" t="s">
        <v>37</v>
      </c>
      <c r="B692" s="7" t="s">
        <v>38</v>
      </c>
      <c r="C692" s="7"/>
      <c r="D692" s="7" t="s">
        <v>1721</v>
      </c>
      <c r="E692" s="8">
        <v>1</v>
      </c>
      <c r="F692" s="7" t="s">
        <v>41</v>
      </c>
      <c r="G692" s="7"/>
      <c r="H692" s="9"/>
      <c r="I692" s="9"/>
      <c r="J692" s="9"/>
      <c r="K692" s="9"/>
      <c r="L692" s="10">
        <v>21</v>
      </c>
      <c r="M692" s="9"/>
      <c r="N692" s="10">
        <v>21</v>
      </c>
      <c r="O692" s="9"/>
      <c r="P692" s="10"/>
      <c r="Q692" s="10"/>
      <c r="R692" s="10"/>
      <c r="S692" s="7" t="s">
        <v>407</v>
      </c>
      <c r="T692" s="7" t="s">
        <v>1506</v>
      </c>
      <c r="U692" s="7" t="s">
        <v>44</v>
      </c>
      <c r="V692" s="7" t="s">
        <v>45</v>
      </c>
      <c r="W692" s="7" t="s">
        <v>67</v>
      </c>
      <c r="X692" s="7" t="s">
        <v>68</v>
      </c>
      <c r="Y692" s="7" t="s">
        <v>1722</v>
      </c>
      <c r="Z692" s="7" t="s">
        <v>1718</v>
      </c>
      <c r="AA692" s="7"/>
      <c r="AB692" s="7"/>
      <c r="AC692" s="7" t="s">
        <v>82</v>
      </c>
      <c r="AD692" s="7"/>
      <c r="AE692" s="7"/>
      <c r="AF692" s="7" t="s">
        <v>50</v>
      </c>
      <c r="AG692" s="7" t="s">
        <v>67</v>
      </c>
      <c r="AH692" s="7" t="s">
        <v>86</v>
      </c>
    </row>
    <row r="693" spans="1:34" ht="9.75" customHeight="1" x14ac:dyDescent="0.2">
      <c r="A693" s="7" t="s">
        <v>37</v>
      </c>
      <c r="B693" s="7" t="s">
        <v>38</v>
      </c>
      <c r="C693" s="7"/>
      <c r="D693" s="7" t="s">
        <v>1723</v>
      </c>
      <c r="E693" s="8">
        <v>1</v>
      </c>
      <c r="F693" s="7" t="s">
        <v>41</v>
      </c>
      <c r="G693" s="7"/>
      <c r="H693" s="9"/>
      <c r="I693" s="9"/>
      <c r="J693" s="9"/>
      <c r="K693" s="9"/>
      <c r="L693" s="10">
        <v>310</v>
      </c>
      <c r="M693" s="9"/>
      <c r="N693" s="10">
        <v>310</v>
      </c>
      <c r="O693" s="9"/>
      <c r="P693" s="10"/>
      <c r="Q693" s="10"/>
      <c r="R693" s="10"/>
      <c r="S693" s="7" t="s">
        <v>407</v>
      </c>
      <c r="T693" s="7" t="s">
        <v>1506</v>
      </c>
      <c r="U693" s="7" t="s">
        <v>44</v>
      </c>
      <c r="V693" s="7" t="s">
        <v>45</v>
      </c>
      <c r="W693" s="7" t="s">
        <v>67</v>
      </c>
      <c r="X693" s="7" t="s">
        <v>68</v>
      </c>
      <c r="Y693" s="7" t="s">
        <v>1724</v>
      </c>
      <c r="Z693" s="7" t="s">
        <v>1718</v>
      </c>
      <c r="AA693" s="7"/>
      <c r="AB693" s="7"/>
      <c r="AC693" s="7" t="s">
        <v>82</v>
      </c>
      <c r="AD693" s="7"/>
      <c r="AE693" s="7" t="s">
        <v>1725</v>
      </c>
      <c r="AF693" s="7" t="s">
        <v>50</v>
      </c>
      <c r="AG693" s="7" t="s">
        <v>67</v>
      </c>
      <c r="AH693" s="7" t="s">
        <v>86</v>
      </c>
    </row>
    <row r="694" spans="1:34" ht="9.75" customHeight="1" x14ac:dyDescent="0.2">
      <c r="A694" s="7" t="s">
        <v>37</v>
      </c>
      <c r="B694" s="7" t="s">
        <v>38</v>
      </c>
      <c r="C694" s="7"/>
      <c r="D694" s="7" t="s">
        <v>1726</v>
      </c>
      <c r="E694" s="8">
        <v>1</v>
      </c>
      <c r="F694" s="7" t="s">
        <v>41</v>
      </c>
      <c r="G694" s="7"/>
      <c r="H694" s="9"/>
      <c r="I694" s="9"/>
      <c r="J694" s="9"/>
      <c r="K694" s="9"/>
      <c r="L694" s="10">
        <v>241</v>
      </c>
      <c r="M694" s="9"/>
      <c r="N694" s="10">
        <v>241</v>
      </c>
      <c r="O694" s="9"/>
      <c r="P694" s="10"/>
      <c r="Q694" s="10"/>
      <c r="R694" s="10"/>
      <c r="S694" s="7" t="s">
        <v>407</v>
      </c>
      <c r="T694" s="7" t="s">
        <v>1506</v>
      </c>
      <c r="U694" s="7" t="s">
        <v>44</v>
      </c>
      <c r="V694" s="7" t="s">
        <v>45</v>
      </c>
      <c r="W694" s="7" t="s">
        <v>67</v>
      </c>
      <c r="X694" s="7" t="s">
        <v>68</v>
      </c>
      <c r="Y694" s="7" t="s">
        <v>1727</v>
      </c>
      <c r="Z694" s="7" t="s">
        <v>1718</v>
      </c>
      <c r="AA694" s="7"/>
      <c r="AB694" s="7"/>
      <c r="AC694" s="7" t="s">
        <v>82</v>
      </c>
      <c r="AD694" s="7"/>
      <c r="AE694" s="7"/>
      <c r="AF694" s="7" t="s">
        <v>50</v>
      </c>
      <c r="AG694" s="7" t="s">
        <v>67</v>
      </c>
      <c r="AH694" s="7" t="s">
        <v>86</v>
      </c>
    </row>
    <row r="695" spans="1:34" ht="9.75" customHeight="1" x14ac:dyDescent="0.2">
      <c r="A695" s="7" t="s">
        <v>37</v>
      </c>
      <c r="B695" s="7" t="s">
        <v>38</v>
      </c>
      <c r="C695" s="7"/>
      <c r="D695" s="7" t="s">
        <v>1728</v>
      </c>
      <c r="E695" s="8">
        <v>1</v>
      </c>
      <c r="F695" s="7" t="s">
        <v>41</v>
      </c>
      <c r="G695" s="7"/>
      <c r="H695" s="9"/>
      <c r="I695" s="9"/>
      <c r="J695" s="9"/>
      <c r="K695" s="9"/>
      <c r="L695" s="10">
        <v>203</v>
      </c>
      <c r="M695" s="9"/>
      <c r="N695" s="10">
        <v>203</v>
      </c>
      <c r="O695" s="9"/>
      <c r="P695" s="10"/>
      <c r="Q695" s="10"/>
      <c r="R695" s="10"/>
      <c r="S695" s="7" t="s">
        <v>407</v>
      </c>
      <c r="T695" s="7" t="s">
        <v>1506</v>
      </c>
      <c r="U695" s="7" t="s">
        <v>44</v>
      </c>
      <c r="V695" s="7" t="s">
        <v>45</v>
      </c>
      <c r="W695" s="7" t="s">
        <v>67</v>
      </c>
      <c r="X695" s="7" t="s">
        <v>68</v>
      </c>
      <c r="Y695" s="7" t="s">
        <v>1729</v>
      </c>
      <c r="Z695" s="7" t="s">
        <v>1718</v>
      </c>
      <c r="AA695" s="7"/>
      <c r="AB695" s="7"/>
      <c r="AC695" s="7" t="s">
        <v>82</v>
      </c>
      <c r="AD695" s="7"/>
      <c r="AE695" s="7"/>
      <c r="AF695" s="7" t="s">
        <v>50</v>
      </c>
      <c r="AG695" s="7" t="s">
        <v>67</v>
      </c>
      <c r="AH695" s="7" t="s">
        <v>86</v>
      </c>
    </row>
    <row r="696" spans="1:34" ht="9.75" customHeight="1" x14ac:dyDescent="0.2">
      <c r="A696" s="7" t="s">
        <v>37</v>
      </c>
      <c r="B696" s="7" t="s">
        <v>38</v>
      </c>
      <c r="C696" s="7"/>
      <c r="D696" s="7" t="s">
        <v>1730</v>
      </c>
      <c r="E696" s="8">
        <v>1</v>
      </c>
      <c r="F696" s="7" t="s">
        <v>41</v>
      </c>
      <c r="G696" s="7"/>
      <c r="H696" s="9"/>
      <c r="I696" s="9"/>
      <c r="J696" s="9"/>
      <c r="K696" s="9"/>
      <c r="L696" s="10">
        <v>659</v>
      </c>
      <c r="M696" s="9"/>
      <c r="N696" s="10">
        <v>659</v>
      </c>
      <c r="O696" s="9"/>
      <c r="P696" s="10"/>
      <c r="Q696" s="10"/>
      <c r="R696" s="10"/>
      <c r="S696" s="7" t="s">
        <v>407</v>
      </c>
      <c r="T696" s="7" t="s">
        <v>1506</v>
      </c>
      <c r="U696" s="7" t="s">
        <v>44</v>
      </c>
      <c r="V696" s="7" t="s">
        <v>45</v>
      </c>
      <c r="W696" s="7" t="s">
        <v>67</v>
      </c>
      <c r="X696" s="7" t="s">
        <v>68</v>
      </c>
      <c r="Y696" s="7" t="s">
        <v>1731</v>
      </c>
      <c r="Z696" s="7" t="s">
        <v>1718</v>
      </c>
      <c r="AA696" s="7"/>
      <c r="AB696" s="7"/>
      <c r="AC696" s="7" t="s">
        <v>82</v>
      </c>
      <c r="AD696" s="7"/>
      <c r="AE696" s="7"/>
      <c r="AF696" s="7" t="s">
        <v>50</v>
      </c>
      <c r="AG696" s="7" t="s">
        <v>67</v>
      </c>
      <c r="AH696" s="7" t="s">
        <v>86</v>
      </c>
    </row>
    <row r="697" spans="1:34" ht="9.75" customHeight="1" x14ac:dyDescent="0.2">
      <c r="A697" s="7" t="s">
        <v>37</v>
      </c>
      <c r="B697" s="7" t="s">
        <v>38</v>
      </c>
      <c r="C697" s="7"/>
      <c r="D697" s="7" t="s">
        <v>1732</v>
      </c>
      <c r="E697" s="8">
        <v>1</v>
      </c>
      <c r="F697" s="7" t="s">
        <v>41</v>
      </c>
      <c r="G697" s="7"/>
      <c r="H697" s="9"/>
      <c r="I697" s="9"/>
      <c r="J697" s="9"/>
      <c r="K697" s="9"/>
      <c r="L697" s="10">
        <v>12949</v>
      </c>
      <c r="M697" s="9"/>
      <c r="N697" s="10">
        <v>12949</v>
      </c>
      <c r="O697" s="9"/>
      <c r="P697" s="10"/>
      <c r="Q697" s="10"/>
      <c r="R697" s="10"/>
      <c r="S697" s="7" t="s">
        <v>407</v>
      </c>
      <c r="T697" s="7" t="s">
        <v>1506</v>
      </c>
      <c r="U697" s="7" t="s">
        <v>44</v>
      </c>
      <c r="V697" s="7" t="s">
        <v>45</v>
      </c>
      <c r="W697" s="7" t="s">
        <v>67</v>
      </c>
      <c r="X697" s="7" t="s">
        <v>68</v>
      </c>
      <c r="Y697" s="7" t="s">
        <v>1733</v>
      </c>
      <c r="Z697" s="7" t="s">
        <v>1734</v>
      </c>
      <c r="AA697" s="7"/>
      <c r="AB697" s="7"/>
      <c r="AC697" s="7" t="s">
        <v>82</v>
      </c>
      <c r="AD697" s="7"/>
      <c r="AE697" s="7"/>
      <c r="AF697" s="7" t="s">
        <v>50</v>
      </c>
      <c r="AG697" s="7" t="s">
        <v>67</v>
      </c>
      <c r="AH697" s="7" t="s">
        <v>86</v>
      </c>
    </row>
    <row r="698" spans="1:34" ht="9.75" customHeight="1" x14ac:dyDescent="0.2">
      <c r="A698" s="7" t="s">
        <v>37</v>
      </c>
      <c r="B698" s="7" t="s">
        <v>38</v>
      </c>
      <c r="C698" s="7"/>
      <c r="D698" s="7" t="s">
        <v>1735</v>
      </c>
      <c r="E698" s="8">
        <v>1</v>
      </c>
      <c r="F698" s="7" t="s">
        <v>41</v>
      </c>
      <c r="G698" s="7"/>
      <c r="H698" s="9"/>
      <c r="I698" s="9"/>
      <c r="J698" s="9"/>
      <c r="K698" s="9"/>
      <c r="L698" s="10">
        <v>520</v>
      </c>
      <c r="M698" s="9"/>
      <c r="N698" s="10">
        <v>520</v>
      </c>
      <c r="O698" s="9"/>
      <c r="P698" s="10"/>
      <c r="Q698" s="10"/>
      <c r="R698" s="10"/>
      <c r="S698" s="7" t="s">
        <v>407</v>
      </c>
      <c r="T698" s="7" t="s">
        <v>1506</v>
      </c>
      <c r="U698" s="7" t="s">
        <v>44</v>
      </c>
      <c r="V698" s="7" t="s">
        <v>45</v>
      </c>
      <c r="W698" s="7" t="s">
        <v>67</v>
      </c>
      <c r="X698" s="7" t="s">
        <v>68</v>
      </c>
      <c r="Y698" s="7" t="s">
        <v>1736</v>
      </c>
      <c r="Z698" s="7" t="s">
        <v>1734</v>
      </c>
      <c r="AA698" s="7"/>
      <c r="AB698" s="7"/>
      <c r="AC698" s="7" t="s">
        <v>82</v>
      </c>
      <c r="AD698" s="7"/>
      <c r="AE698" s="7"/>
      <c r="AF698" s="7" t="s">
        <v>50</v>
      </c>
      <c r="AG698" s="7" t="s">
        <v>67</v>
      </c>
      <c r="AH698" s="7" t="s">
        <v>86</v>
      </c>
    </row>
    <row r="699" spans="1:34" ht="9.75" customHeight="1" x14ac:dyDescent="0.2">
      <c r="A699" s="7" t="s">
        <v>37</v>
      </c>
      <c r="B699" s="7" t="s">
        <v>38</v>
      </c>
      <c r="C699" s="7"/>
      <c r="D699" s="7" t="s">
        <v>1737</v>
      </c>
      <c r="E699" s="8">
        <v>1</v>
      </c>
      <c r="F699" s="7" t="s">
        <v>41</v>
      </c>
      <c r="G699" s="7"/>
      <c r="H699" s="9"/>
      <c r="I699" s="9"/>
      <c r="J699" s="9"/>
      <c r="K699" s="9"/>
      <c r="L699" s="10">
        <v>640</v>
      </c>
      <c r="M699" s="9"/>
      <c r="N699" s="10">
        <v>640</v>
      </c>
      <c r="O699" s="9"/>
      <c r="P699" s="10"/>
      <c r="Q699" s="10"/>
      <c r="R699" s="10"/>
      <c r="S699" s="7" t="s">
        <v>407</v>
      </c>
      <c r="T699" s="7" t="s">
        <v>1506</v>
      </c>
      <c r="U699" s="7" t="s">
        <v>44</v>
      </c>
      <c r="V699" s="7" t="s">
        <v>45</v>
      </c>
      <c r="W699" s="7" t="s">
        <v>67</v>
      </c>
      <c r="X699" s="7" t="s">
        <v>68</v>
      </c>
      <c r="Y699" s="7" t="s">
        <v>1738</v>
      </c>
      <c r="Z699" s="7" t="s">
        <v>1734</v>
      </c>
      <c r="AA699" s="7"/>
      <c r="AB699" s="7"/>
      <c r="AC699" s="7" t="s">
        <v>82</v>
      </c>
      <c r="AD699" s="7"/>
      <c r="AE699" s="7"/>
      <c r="AF699" s="7" t="s">
        <v>50</v>
      </c>
      <c r="AG699" s="7" t="s">
        <v>67</v>
      </c>
      <c r="AH699" s="7" t="s">
        <v>86</v>
      </c>
    </row>
    <row r="700" spans="1:34" ht="9.75" customHeight="1" x14ac:dyDescent="0.2">
      <c r="A700" s="7" t="s">
        <v>37</v>
      </c>
      <c r="B700" s="7" t="s">
        <v>38</v>
      </c>
      <c r="C700" s="7"/>
      <c r="D700" s="7" t="s">
        <v>1739</v>
      </c>
      <c r="E700" s="8">
        <v>1</v>
      </c>
      <c r="F700" s="7" t="s">
        <v>41</v>
      </c>
      <c r="G700" s="7"/>
      <c r="H700" s="9"/>
      <c r="I700" s="9"/>
      <c r="J700" s="9"/>
      <c r="K700" s="9"/>
      <c r="L700" s="10">
        <v>440</v>
      </c>
      <c r="M700" s="9"/>
      <c r="N700" s="10">
        <v>440</v>
      </c>
      <c r="O700" s="9"/>
      <c r="P700" s="10"/>
      <c r="Q700" s="10"/>
      <c r="R700" s="10"/>
      <c r="S700" s="7" t="s">
        <v>407</v>
      </c>
      <c r="T700" s="7" t="s">
        <v>1506</v>
      </c>
      <c r="U700" s="7" t="s">
        <v>44</v>
      </c>
      <c r="V700" s="7" t="s">
        <v>45</v>
      </c>
      <c r="W700" s="7" t="s">
        <v>67</v>
      </c>
      <c r="X700" s="7" t="s">
        <v>68</v>
      </c>
      <c r="Y700" s="7" t="s">
        <v>1740</v>
      </c>
      <c r="Z700" s="7" t="s">
        <v>1734</v>
      </c>
      <c r="AA700" s="7"/>
      <c r="AB700" s="7"/>
      <c r="AC700" s="7" t="s">
        <v>82</v>
      </c>
      <c r="AD700" s="7"/>
      <c r="AE700" s="7"/>
      <c r="AF700" s="7" t="s">
        <v>50</v>
      </c>
      <c r="AG700" s="7" t="s">
        <v>67</v>
      </c>
      <c r="AH700" s="7" t="s">
        <v>86</v>
      </c>
    </row>
    <row r="701" spans="1:34" ht="9.75" customHeight="1" x14ac:dyDescent="0.2">
      <c r="A701" s="7" t="s">
        <v>37</v>
      </c>
      <c r="B701" s="7" t="s">
        <v>38</v>
      </c>
      <c r="C701" s="7"/>
      <c r="D701" s="7" t="s">
        <v>1741</v>
      </c>
      <c r="E701" s="8">
        <v>1</v>
      </c>
      <c r="F701" s="7" t="s">
        <v>41</v>
      </c>
      <c r="G701" s="7"/>
      <c r="H701" s="9"/>
      <c r="I701" s="9"/>
      <c r="J701" s="9"/>
      <c r="K701" s="9"/>
      <c r="L701" s="10">
        <v>15232</v>
      </c>
      <c r="M701" s="9"/>
      <c r="N701" s="10">
        <v>15232</v>
      </c>
      <c r="O701" s="9"/>
      <c r="P701" s="10"/>
      <c r="Q701" s="10"/>
      <c r="R701" s="10"/>
      <c r="S701" s="7" t="s">
        <v>407</v>
      </c>
      <c r="T701" s="7" t="s">
        <v>1506</v>
      </c>
      <c r="U701" s="7" t="s">
        <v>44</v>
      </c>
      <c r="V701" s="7" t="s">
        <v>45</v>
      </c>
      <c r="W701" s="7" t="s">
        <v>67</v>
      </c>
      <c r="X701" s="7" t="s">
        <v>68</v>
      </c>
      <c r="Y701" s="7" t="s">
        <v>1742</v>
      </c>
      <c r="Z701" s="7" t="s">
        <v>1743</v>
      </c>
      <c r="AA701" s="7"/>
      <c r="AB701" s="7"/>
      <c r="AC701" s="7" t="s">
        <v>82</v>
      </c>
      <c r="AD701" s="7"/>
      <c r="AE701" s="7"/>
      <c r="AF701" s="7" t="s">
        <v>50</v>
      </c>
      <c r="AG701" s="7" t="s">
        <v>67</v>
      </c>
      <c r="AH701" s="7" t="s">
        <v>86</v>
      </c>
    </row>
    <row r="702" spans="1:34" ht="9.75" customHeight="1" x14ac:dyDescent="0.2">
      <c r="A702" s="7" t="s">
        <v>37</v>
      </c>
      <c r="B702" s="7" t="s">
        <v>38</v>
      </c>
      <c r="C702" s="7"/>
      <c r="D702" s="7" t="s">
        <v>1744</v>
      </c>
      <c r="E702" s="8">
        <v>1</v>
      </c>
      <c r="F702" s="7" t="s">
        <v>41</v>
      </c>
      <c r="G702" s="7"/>
      <c r="H702" s="9"/>
      <c r="I702" s="9"/>
      <c r="J702" s="9"/>
      <c r="K702" s="9"/>
      <c r="L702" s="10">
        <v>685</v>
      </c>
      <c r="M702" s="9"/>
      <c r="N702" s="10">
        <v>685</v>
      </c>
      <c r="O702" s="9"/>
      <c r="P702" s="10"/>
      <c r="Q702" s="10"/>
      <c r="R702" s="10"/>
      <c r="S702" s="7" t="s">
        <v>407</v>
      </c>
      <c r="T702" s="7" t="s">
        <v>1506</v>
      </c>
      <c r="U702" s="7" t="s">
        <v>44</v>
      </c>
      <c r="V702" s="7" t="s">
        <v>45</v>
      </c>
      <c r="W702" s="7" t="s">
        <v>67</v>
      </c>
      <c r="X702" s="7" t="s">
        <v>68</v>
      </c>
      <c r="Y702" s="7" t="s">
        <v>1745</v>
      </c>
      <c r="Z702" s="7" t="s">
        <v>1743</v>
      </c>
      <c r="AA702" s="7"/>
      <c r="AB702" s="7"/>
      <c r="AC702" s="7" t="s">
        <v>82</v>
      </c>
      <c r="AD702" s="7"/>
      <c r="AE702" s="7"/>
      <c r="AF702" s="7" t="s">
        <v>50</v>
      </c>
      <c r="AG702" s="7" t="s">
        <v>67</v>
      </c>
      <c r="AH702" s="7" t="s">
        <v>86</v>
      </c>
    </row>
    <row r="703" spans="1:34" ht="9.75" customHeight="1" x14ac:dyDescent="0.2">
      <c r="A703" s="7" t="s">
        <v>37</v>
      </c>
      <c r="B703" s="7" t="s">
        <v>38</v>
      </c>
      <c r="C703" s="7"/>
      <c r="D703" s="7" t="s">
        <v>1746</v>
      </c>
      <c r="E703" s="8">
        <v>1</v>
      </c>
      <c r="F703" s="7" t="s">
        <v>41</v>
      </c>
      <c r="G703" s="7"/>
      <c r="H703" s="9"/>
      <c r="I703" s="9"/>
      <c r="J703" s="9"/>
      <c r="K703" s="9"/>
      <c r="L703" s="10">
        <v>523</v>
      </c>
      <c r="M703" s="9"/>
      <c r="N703" s="10">
        <v>523</v>
      </c>
      <c r="O703" s="9"/>
      <c r="P703" s="10"/>
      <c r="Q703" s="10"/>
      <c r="R703" s="10"/>
      <c r="S703" s="7" t="s">
        <v>407</v>
      </c>
      <c r="T703" s="7" t="s">
        <v>1506</v>
      </c>
      <c r="U703" s="7" t="s">
        <v>44</v>
      </c>
      <c r="V703" s="7" t="s">
        <v>45</v>
      </c>
      <c r="W703" s="7" t="s">
        <v>67</v>
      </c>
      <c r="X703" s="7" t="s">
        <v>68</v>
      </c>
      <c r="Y703" s="7" t="s">
        <v>1747</v>
      </c>
      <c r="Z703" s="7" t="s">
        <v>1743</v>
      </c>
      <c r="AA703" s="7"/>
      <c r="AB703" s="7"/>
      <c r="AC703" s="7" t="s">
        <v>82</v>
      </c>
      <c r="AD703" s="7"/>
      <c r="AE703" s="7"/>
      <c r="AF703" s="7" t="s">
        <v>50</v>
      </c>
      <c r="AG703" s="7" t="s">
        <v>67</v>
      </c>
      <c r="AH703" s="7" t="s">
        <v>86</v>
      </c>
    </row>
    <row r="704" spans="1:34" ht="9.75" customHeight="1" x14ac:dyDescent="0.2">
      <c r="A704" s="7" t="s">
        <v>37</v>
      </c>
      <c r="B704" s="7" t="s">
        <v>38</v>
      </c>
      <c r="C704" s="7"/>
      <c r="D704" s="7" t="s">
        <v>1748</v>
      </c>
      <c r="E704" s="8">
        <v>1</v>
      </c>
      <c r="F704" s="7" t="s">
        <v>41</v>
      </c>
      <c r="G704" s="7"/>
      <c r="H704" s="9"/>
      <c r="I704" s="9"/>
      <c r="J704" s="9"/>
      <c r="K704" s="9"/>
      <c r="L704" s="10">
        <v>4529</v>
      </c>
      <c r="M704" s="9"/>
      <c r="N704" s="10">
        <v>4529</v>
      </c>
      <c r="O704" s="9"/>
      <c r="P704" s="10"/>
      <c r="Q704" s="10"/>
      <c r="R704" s="10"/>
      <c r="S704" s="7" t="s">
        <v>407</v>
      </c>
      <c r="T704" s="7" t="s">
        <v>1506</v>
      </c>
      <c r="U704" s="7" t="s">
        <v>44</v>
      </c>
      <c r="V704" s="7" t="s">
        <v>45</v>
      </c>
      <c r="W704" s="7" t="s">
        <v>67</v>
      </c>
      <c r="X704" s="7" t="s">
        <v>68</v>
      </c>
      <c r="Y704" s="7" t="s">
        <v>1749</v>
      </c>
      <c r="Z704" s="7" t="s">
        <v>1743</v>
      </c>
      <c r="AA704" s="7"/>
      <c r="AB704" s="7"/>
      <c r="AC704" s="7" t="s">
        <v>82</v>
      </c>
      <c r="AD704" s="7"/>
      <c r="AE704" s="7"/>
      <c r="AF704" s="7" t="s">
        <v>50</v>
      </c>
      <c r="AG704" s="7" t="s">
        <v>67</v>
      </c>
      <c r="AH704" s="7" t="s">
        <v>86</v>
      </c>
    </row>
    <row r="705" spans="1:34" ht="9.75" customHeight="1" x14ac:dyDescent="0.2">
      <c r="A705" s="7" t="s">
        <v>37</v>
      </c>
      <c r="B705" s="7" t="s">
        <v>38</v>
      </c>
      <c r="C705" s="7"/>
      <c r="D705" s="7" t="s">
        <v>1750</v>
      </c>
      <c r="E705" s="8">
        <v>1</v>
      </c>
      <c r="F705" s="7" t="s">
        <v>41</v>
      </c>
      <c r="G705" s="7"/>
      <c r="H705" s="9"/>
      <c r="I705" s="9"/>
      <c r="J705" s="9"/>
      <c r="K705" s="9"/>
      <c r="L705" s="10">
        <v>1731</v>
      </c>
      <c r="M705" s="9"/>
      <c r="N705" s="10">
        <v>1731</v>
      </c>
      <c r="O705" s="9"/>
      <c r="P705" s="10"/>
      <c r="Q705" s="10"/>
      <c r="R705" s="10"/>
      <c r="S705" s="7" t="s">
        <v>407</v>
      </c>
      <c r="T705" s="7" t="s">
        <v>1506</v>
      </c>
      <c r="U705" s="7" t="s">
        <v>44</v>
      </c>
      <c r="V705" s="7" t="s">
        <v>45</v>
      </c>
      <c r="W705" s="7" t="s">
        <v>67</v>
      </c>
      <c r="X705" s="7" t="s">
        <v>68</v>
      </c>
      <c r="Y705" s="7" t="s">
        <v>1751</v>
      </c>
      <c r="Z705" s="7" t="s">
        <v>1743</v>
      </c>
      <c r="AA705" s="7"/>
      <c r="AB705" s="7"/>
      <c r="AC705" s="7" t="s">
        <v>82</v>
      </c>
      <c r="AD705" s="7"/>
      <c r="AE705" s="7"/>
      <c r="AF705" s="7" t="s">
        <v>50</v>
      </c>
      <c r="AG705" s="7" t="s">
        <v>67</v>
      </c>
      <c r="AH705" s="7" t="s">
        <v>86</v>
      </c>
    </row>
    <row r="706" spans="1:34" ht="9.75" customHeight="1" x14ac:dyDescent="0.2">
      <c r="A706" s="7" t="s">
        <v>37</v>
      </c>
      <c r="B706" s="7" t="s">
        <v>38</v>
      </c>
      <c r="C706" s="7"/>
      <c r="D706" s="7" t="s">
        <v>1752</v>
      </c>
      <c r="E706" s="8">
        <v>1</v>
      </c>
      <c r="F706" s="7" t="s">
        <v>41</v>
      </c>
      <c r="G706" s="7"/>
      <c r="H706" s="9"/>
      <c r="I706" s="9"/>
      <c r="J706" s="9"/>
      <c r="K706" s="9"/>
      <c r="L706" s="10">
        <v>17799</v>
      </c>
      <c r="M706" s="9"/>
      <c r="N706" s="10">
        <v>17799</v>
      </c>
      <c r="O706" s="9"/>
      <c r="P706" s="10"/>
      <c r="Q706" s="10"/>
      <c r="R706" s="10"/>
      <c r="S706" s="7" t="s">
        <v>407</v>
      </c>
      <c r="T706" s="7" t="s">
        <v>1506</v>
      </c>
      <c r="U706" s="7" t="s">
        <v>44</v>
      </c>
      <c r="V706" s="7" t="s">
        <v>45</v>
      </c>
      <c r="W706" s="7" t="s">
        <v>67</v>
      </c>
      <c r="X706" s="7" t="s">
        <v>68</v>
      </c>
      <c r="Y706" s="7" t="s">
        <v>1753</v>
      </c>
      <c r="Z706" s="7" t="s">
        <v>1743</v>
      </c>
      <c r="AA706" s="7"/>
      <c r="AB706" s="7"/>
      <c r="AC706" s="7" t="s">
        <v>82</v>
      </c>
      <c r="AD706" s="7"/>
      <c r="AE706" s="7"/>
      <c r="AF706" s="7" t="s">
        <v>50</v>
      </c>
      <c r="AG706" s="7" t="s">
        <v>67</v>
      </c>
      <c r="AH706" s="7" t="s">
        <v>86</v>
      </c>
    </row>
    <row r="707" spans="1:34" ht="9.75" customHeight="1" x14ac:dyDescent="0.2">
      <c r="A707" s="7" t="s">
        <v>37</v>
      </c>
      <c r="B707" s="7" t="s">
        <v>38</v>
      </c>
      <c r="C707" s="7"/>
      <c r="D707" s="7" t="s">
        <v>1754</v>
      </c>
      <c r="E707" s="8">
        <v>1</v>
      </c>
      <c r="F707" s="7" t="s">
        <v>41</v>
      </c>
      <c r="G707" s="7"/>
      <c r="H707" s="9"/>
      <c r="I707" s="9"/>
      <c r="J707" s="9"/>
      <c r="K707" s="9"/>
      <c r="L707" s="10">
        <v>3168</v>
      </c>
      <c r="M707" s="9"/>
      <c r="N707" s="10">
        <v>3168</v>
      </c>
      <c r="O707" s="9"/>
      <c r="P707" s="10"/>
      <c r="Q707" s="10"/>
      <c r="R707" s="10"/>
      <c r="S707" s="7" t="s">
        <v>407</v>
      </c>
      <c r="T707" s="7" t="s">
        <v>1506</v>
      </c>
      <c r="U707" s="7" t="s">
        <v>44</v>
      </c>
      <c r="V707" s="7" t="s">
        <v>45</v>
      </c>
      <c r="W707" s="7" t="s">
        <v>67</v>
      </c>
      <c r="X707" s="7" t="s">
        <v>68</v>
      </c>
      <c r="Y707" s="7" t="s">
        <v>1755</v>
      </c>
      <c r="Z707" s="7" t="s">
        <v>1756</v>
      </c>
      <c r="AA707" s="7"/>
      <c r="AB707" s="7"/>
      <c r="AC707" s="7" t="s">
        <v>82</v>
      </c>
      <c r="AD707" s="7"/>
      <c r="AE707" s="7"/>
      <c r="AF707" s="7" t="s">
        <v>50</v>
      </c>
      <c r="AG707" s="7" t="s">
        <v>67</v>
      </c>
      <c r="AH707" s="7" t="s">
        <v>86</v>
      </c>
    </row>
    <row r="708" spans="1:34" ht="9.75" customHeight="1" x14ac:dyDescent="0.2">
      <c r="A708" s="7" t="s">
        <v>37</v>
      </c>
      <c r="B708" s="7" t="s">
        <v>38</v>
      </c>
      <c r="C708" s="7"/>
      <c r="D708" s="7" t="s">
        <v>1757</v>
      </c>
      <c r="E708" s="8">
        <v>1</v>
      </c>
      <c r="F708" s="7" t="s">
        <v>41</v>
      </c>
      <c r="G708" s="7"/>
      <c r="H708" s="9"/>
      <c r="I708" s="9"/>
      <c r="J708" s="9"/>
      <c r="K708" s="9"/>
      <c r="L708" s="10">
        <v>72</v>
      </c>
      <c r="M708" s="9"/>
      <c r="N708" s="10">
        <v>72</v>
      </c>
      <c r="O708" s="9"/>
      <c r="P708" s="10"/>
      <c r="Q708" s="10"/>
      <c r="R708" s="10"/>
      <c r="S708" s="7" t="s">
        <v>407</v>
      </c>
      <c r="T708" s="7" t="s">
        <v>1506</v>
      </c>
      <c r="U708" s="7" t="s">
        <v>44</v>
      </c>
      <c r="V708" s="7" t="s">
        <v>45</v>
      </c>
      <c r="W708" s="7" t="s">
        <v>67</v>
      </c>
      <c r="X708" s="7" t="s">
        <v>68</v>
      </c>
      <c r="Y708" s="7" t="s">
        <v>1758</v>
      </c>
      <c r="Z708" s="7" t="s">
        <v>1756</v>
      </c>
      <c r="AA708" s="7"/>
      <c r="AB708" s="7"/>
      <c r="AC708" s="7" t="s">
        <v>82</v>
      </c>
      <c r="AD708" s="7"/>
      <c r="AE708" s="7" t="s">
        <v>1759</v>
      </c>
      <c r="AF708" s="7" t="s">
        <v>50</v>
      </c>
      <c r="AG708" s="7" t="s">
        <v>67</v>
      </c>
      <c r="AH708" s="7" t="s">
        <v>86</v>
      </c>
    </row>
    <row r="709" spans="1:34" ht="9.75" customHeight="1" x14ac:dyDescent="0.2">
      <c r="A709" s="7" t="s">
        <v>37</v>
      </c>
      <c r="B709" s="7" t="s">
        <v>38</v>
      </c>
      <c r="C709" s="7"/>
      <c r="D709" s="7" t="s">
        <v>1760</v>
      </c>
      <c r="E709" s="8">
        <v>1</v>
      </c>
      <c r="F709" s="7" t="s">
        <v>41</v>
      </c>
      <c r="G709" s="7"/>
      <c r="H709" s="9"/>
      <c r="I709" s="9"/>
      <c r="J709" s="9"/>
      <c r="K709" s="9"/>
      <c r="L709" s="10">
        <v>619</v>
      </c>
      <c r="M709" s="9"/>
      <c r="N709" s="10">
        <v>619</v>
      </c>
      <c r="O709" s="9"/>
      <c r="P709" s="10"/>
      <c r="Q709" s="10"/>
      <c r="R709" s="10"/>
      <c r="S709" s="7" t="s">
        <v>407</v>
      </c>
      <c r="T709" s="7" t="s">
        <v>1506</v>
      </c>
      <c r="U709" s="7" t="s">
        <v>44</v>
      </c>
      <c r="V709" s="7" t="s">
        <v>45</v>
      </c>
      <c r="W709" s="7" t="s">
        <v>67</v>
      </c>
      <c r="X709" s="7" t="s">
        <v>68</v>
      </c>
      <c r="Y709" s="7" t="s">
        <v>1761</v>
      </c>
      <c r="Z709" s="7" t="s">
        <v>1756</v>
      </c>
      <c r="AA709" s="7"/>
      <c r="AB709" s="7"/>
      <c r="AC709" s="7" t="s">
        <v>82</v>
      </c>
      <c r="AD709" s="7"/>
      <c r="AE709" s="7"/>
      <c r="AF709" s="7" t="s">
        <v>50</v>
      </c>
      <c r="AG709" s="7" t="s">
        <v>67</v>
      </c>
      <c r="AH709" s="7" t="s">
        <v>86</v>
      </c>
    </row>
    <row r="710" spans="1:34" ht="9.75" customHeight="1" x14ac:dyDescent="0.2">
      <c r="A710" s="7" t="s">
        <v>37</v>
      </c>
      <c r="B710" s="7" t="s">
        <v>38</v>
      </c>
      <c r="C710" s="7"/>
      <c r="D710" s="7" t="s">
        <v>1762</v>
      </c>
      <c r="E710" s="8">
        <v>1</v>
      </c>
      <c r="F710" s="7" t="s">
        <v>41</v>
      </c>
      <c r="G710" s="7"/>
      <c r="H710" s="9"/>
      <c r="I710" s="9"/>
      <c r="J710" s="9"/>
      <c r="K710" s="9"/>
      <c r="L710" s="10">
        <v>743</v>
      </c>
      <c r="M710" s="9"/>
      <c r="N710" s="10">
        <v>743</v>
      </c>
      <c r="O710" s="9"/>
      <c r="P710" s="10"/>
      <c r="Q710" s="10"/>
      <c r="R710" s="10"/>
      <c r="S710" s="7" t="s">
        <v>407</v>
      </c>
      <c r="T710" s="7" t="s">
        <v>1506</v>
      </c>
      <c r="U710" s="7" t="s">
        <v>44</v>
      </c>
      <c r="V710" s="7" t="s">
        <v>45</v>
      </c>
      <c r="W710" s="7" t="s">
        <v>67</v>
      </c>
      <c r="X710" s="7" t="s">
        <v>68</v>
      </c>
      <c r="Y710" s="7" t="s">
        <v>1763</v>
      </c>
      <c r="Z710" s="7" t="s">
        <v>1756</v>
      </c>
      <c r="AA710" s="7"/>
      <c r="AB710" s="7"/>
      <c r="AC710" s="7" t="s">
        <v>82</v>
      </c>
      <c r="AD710" s="7"/>
      <c r="AE710" s="7"/>
      <c r="AF710" s="7" t="s">
        <v>50</v>
      </c>
      <c r="AG710" s="7" t="s">
        <v>67</v>
      </c>
      <c r="AH710" s="7" t="s">
        <v>86</v>
      </c>
    </row>
    <row r="711" spans="1:34" ht="9.75" customHeight="1" x14ac:dyDescent="0.2">
      <c r="A711" s="7" t="s">
        <v>37</v>
      </c>
      <c r="B711" s="7" t="s">
        <v>38</v>
      </c>
      <c r="C711" s="7"/>
      <c r="D711" s="7" t="s">
        <v>1764</v>
      </c>
      <c r="E711" s="8">
        <v>1</v>
      </c>
      <c r="F711" s="7" t="s">
        <v>41</v>
      </c>
      <c r="G711" s="7"/>
      <c r="H711" s="9"/>
      <c r="I711" s="9"/>
      <c r="J711" s="9"/>
      <c r="K711" s="9"/>
      <c r="L711" s="10">
        <v>919</v>
      </c>
      <c r="M711" s="9"/>
      <c r="N711" s="10">
        <v>919</v>
      </c>
      <c r="O711" s="9"/>
      <c r="P711" s="10"/>
      <c r="Q711" s="10"/>
      <c r="R711" s="10"/>
      <c r="S711" s="7" t="s">
        <v>407</v>
      </c>
      <c r="T711" s="7" t="s">
        <v>1506</v>
      </c>
      <c r="U711" s="7" t="s">
        <v>44</v>
      </c>
      <c r="V711" s="7" t="s">
        <v>45</v>
      </c>
      <c r="W711" s="7" t="s">
        <v>67</v>
      </c>
      <c r="X711" s="7" t="s">
        <v>68</v>
      </c>
      <c r="Y711" s="7" t="s">
        <v>1765</v>
      </c>
      <c r="Z711" s="7" t="s">
        <v>1756</v>
      </c>
      <c r="AA711" s="7"/>
      <c r="AB711" s="7"/>
      <c r="AC711" s="7" t="s">
        <v>82</v>
      </c>
      <c r="AD711" s="7"/>
      <c r="AE711" s="7"/>
      <c r="AF711" s="7" t="s">
        <v>50</v>
      </c>
      <c r="AG711" s="7" t="s">
        <v>67</v>
      </c>
      <c r="AH711" s="7" t="s">
        <v>86</v>
      </c>
    </row>
    <row r="712" spans="1:34" ht="9.75" customHeight="1" x14ac:dyDescent="0.2">
      <c r="A712" s="7" t="s">
        <v>37</v>
      </c>
      <c r="B712" s="7" t="s">
        <v>38</v>
      </c>
      <c r="C712" s="7"/>
      <c r="D712" s="7" t="s">
        <v>1766</v>
      </c>
      <c r="E712" s="8">
        <v>1</v>
      </c>
      <c r="F712" s="7" t="s">
        <v>41</v>
      </c>
      <c r="G712" s="7"/>
      <c r="H712" s="9"/>
      <c r="I712" s="9"/>
      <c r="J712" s="9"/>
      <c r="K712" s="9"/>
      <c r="L712" s="10">
        <v>29786</v>
      </c>
      <c r="M712" s="9"/>
      <c r="N712" s="10">
        <v>29786</v>
      </c>
      <c r="O712" s="9"/>
      <c r="P712" s="10"/>
      <c r="Q712" s="10"/>
      <c r="R712" s="10"/>
      <c r="S712" s="7" t="s">
        <v>407</v>
      </c>
      <c r="T712" s="7" t="s">
        <v>1506</v>
      </c>
      <c r="U712" s="7" t="s">
        <v>44</v>
      </c>
      <c r="V712" s="7" t="s">
        <v>45</v>
      </c>
      <c r="W712" s="7" t="s">
        <v>67</v>
      </c>
      <c r="X712" s="7" t="s">
        <v>68</v>
      </c>
      <c r="Y712" s="7" t="s">
        <v>1767</v>
      </c>
      <c r="Z712" s="7" t="s">
        <v>1768</v>
      </c>
      <c r="AA712" s="7"/>
      <c r="AB712" s="7"/>
      <c r="AC712" s="7" t="s">
        <v>82</v>
      </c>
      <c r="AD712" s="7"/>
      <c r="AE712" s="7"/>
      <c r="AF712" s="7" t="s">
        <v>50</v>
      </c>
      <c r="AG712" s="7" t="s">
        <v>67</v>
      </c>
      <c r="AH712" s="7" t="s">
        <v>86</v>
      </c>
    </row>
    <row r="713" spans="1:34" ht="9.75" customHeight="1" x14ac:dyDescent="0.2">
      <c r="A713" s="7" t="s">
        <v>37</v>
      </c>
      <c r="B713" s="7" t="s">
        <v>38</v>
      </c>
      <c r="C713" s="7"/>
      <c r="D713" s="7" t="s">
        <v>1769</v>
      </c>
      <c r="E713" s="8">
        <v>1</v>
      </c>
      <c r="F713" s="7" t="s">
        <v>41</v>
      </c>
      <c r="G713" s="7"/>
      <c r="H713" s="9"/>
      <c r="I713" s="9"/>
      <c r="J713" s="9"/>
      <c r="K713" s="9"/>
      <c r="L713" s="10">
        <v>1027</v>
      </c>
      <c r="M713" s="9"/>
      <c r="N713" s="10">
        <v>1027</v>
      </c>
      <c r="O713" s="9"/>
      <c r="P713" s="10"/>
      <c r="Q713" s="10"/>
      <c r="R713" s="10"/>
      <c r="S713" s="7" t="s">
        <v>407</v>
      </c>
      <c r="T713" s="7" t="s">
        <v>1506</v>
      </c>
      <c r="U713" s="7" t="s">
        <v>44</v>
      </c>
      <c r="V713" s="7" t="s">
        <v>45</v>
      </c>
      <c r="W713" s="7" t="s">
        <v>67</v>
      </c>
      <c r="X713" s="7" t="s">
        <v>68</v>
      </c>
      <c r="Y713" s="7" t="s">
        <v>1770</v>
      </c>
      <c r="Z713" s="7" t="s">
        <v>1768</v>
      </c>
      <c r="AA713" s="7"/>
      <c r="AB713" s="7"/>
      <c r="AC713" s="7" t="s">
        <v>82</v>
      </c>
      <c r="AD713" s="7"/>
      <c r="AE713" s="7"/>
      <c r="AF713" s="7" t="s">
        <v>50</v>
      </c>
      <c r="AG713" s="7" t="s">
        <v>67</v>
      </c>
      <c r="AH713" s="7" t="s">
        <v>86</v>
      </c>
    </row>
    <row r="714" spans="1:34" ht="9.75" customHeight="1" x14ac:dyDescent="0.2">
      <c r="A714" s="7" t="s">
        <v>37</v>
      </c>
      <c r="B714" s="7" t="s">
        <v>38</v>
      </c>
      <c r="C714" s="7"/>
      <c r="D714" s="7" t="s">
        <v>1771</v>
      </c>
      <c r="E714" s="8">
        <v>1</v>
      </c>
      <c r="F714" s="7" t="s">
        <v>41</v>
      </c>
      <c r="G714" s="7"/>
      <c r="H714" s="9"/>
      <c r="I714" s="9"/>
      <c r="J714" s="9"/>
      <c r="K714" s="9"/>
      <c r="L714" s="10">
        <v>81</v>
      </c>
      <c r="M714" s="9"/>
      <c r="N714" s="10">
        <v>81</v>
      </c>
      <c r="O714" s="9"/>
      <c r="P714" s="10"/>
      <c r="Q714" s="10"/>
      <c r="R714" s="10"/>
      <c r="S714" s="7" t="s">
        <v>407</v>
      </c>
      <c r="T714" s="7" t="s">
        <v>1506</v>
      </c>
      <c r="U714" s="7" t="s">
        <v>44</v>
      </c>
      <c r="V714" s="7" t="s">
        <v>45</v>
      </c>
      <c r="W714" s="7" t="s">
        <v>67</v>
      </c>
      <c r="X714" s="7" t="s">
        <v>68</v>
      </c>
      <c r="Y714" s="7" t="s">
        <v>1772</v>
      </c>
      <c r="Z714" s="7" t="s">
        <v>1768</v>
      </c>
      <c r="AA714" s="7"/>
      <c r="AB714" s="7"/>
      <c r="AC714" s="7" t="s">
        <v>82</v>
      </c>
      <c r="AD714" s="7"/>
      <c r="AE714" s="7"/>
      <c r="AF714" s="7" t="s">
        <v>50</v>
      </c>
      <c r="AG714" s="7" t="s">
        <v>67</v>
      </c>
      <c r="AH714" s="7" t="s">
        <v>86</v>
      </c>
    </row>
    <row r="715" spans="1:34" ht="9.75" customHeight="1" x14ac:dyDescent="0.2">
      <c r="A715" s="7" t="s">
        <v>37</v>
      </c>
      <c r="B715" s="7" t="s">
        <v>38</v>
      </c>
      <c r="C715" s="7"/>
      <c r="D715" s="7" t="s">
        <v>1773</v>
      </c>
      <c r="E715" s="8">
        <v>1</v>
      </c>
      <c r="F715" s="7" t="s">
        <v>41</v>
      </c>
      <c r="G715" s="7"/>
      <c r="H715" s="9"/>
      <c r="I715" s="9"/>
      <c r="J715" s="9"/>
      <c r="K715" s="9"/>
      <c r="L715" s="10">
        <v>94</v>
      </c>
      <c r="M715" s="9"/>
      <c r="N715" s="10">
        <v>94</v>
      </c>
      <c r="O715" s="9"/>
      <c r="P715" s="10"/>
      <c r="Q715" s="10"/>
      <c r="R715" s="10"/>
      <c r="S715" s="7" t="s">
        <v>407</v>
      </c>
      <c r="T715" s="7" t="s">
        <v>1506</v>
      </c>
      <c r="U715" s="7" t="s">
        <v>44</v>
      </c>
      <c r="V715" s="7" t="s">
        <v>45</v>
      </c>
      <c r="W715" s="7" t="s">
        <v>67</v>
      </c>
      <c r="X715" s="7" t="s">
        <v>68</v>
      </c>
      <c r="Y715" s="7" t="s">
        <v>1774</v>
      </c>
      <c r="Z715" s="7" t="s">
        <v>1768</v>
      </c>
      <c r="AA715" s="7"/>
      <c r="AB715" s="7"/>
      <c r="AC715" s="7" t="s">
        <v>82</v>
      </c>
      <c r="AD715" s="7"/>
      <c r="AE715" s="7"/>
      <c r="AF715" s="7" t="s">
        <v>50</v>
      </c>
      <c r="AG715" s="7" t="s">
        <v>67</v>
      </c>
      <c r="AH715" s="7" t="s">
        <v>86</v>
      </c>
    </row>
    <row r="716" spans="1:34" ht="9.75" customHeight="1" x14ac:dyDescent="0.2">
      <c r="A716" s="7" t="s">
        <v>37</v>
      </c>
      <c r="B716" s="7" t="s">
        <v>38</v>
      </c>
      <c r="C716" s="7"/>
      <c r="D716" s="7" t="s">
        <v>1775</v>
      </c>
      <c r="E716" s="8">
        <v>1</v>
      </c>
      <c r="F716" s="7" t="s">
        <v>41</v>
      </c>
      <c r="G716" s="7"/>
      <c r="H716" s="9"/>
      <c r="I716" s="9"/>
      <c r="J716" s="9"/>
      <c r="K716" s="9"/>
      <c r="L716" s="10">
        <v>568</v>
      </c>
      <c r="M716" s="9"/>
      <c r="N716" s="10">
        <v>568</v>
      </c>
      <c r="O716" s="9"/>
      <c r="P716" s="10"/>
      <c r="Q716" s="10"/>
      <c r="R716" s="10"/>
      <c r="S716" s="7" t="s">
        <v>407</v>
      </c>
      <c r="T716" s="7" t="s">
        <v>1506</v>
      </c>
      <c r="U716" s="7" t="s">
        <v>44</v>
      </c>
      <c r="V716" s="7" t="s">
        <v>45</v>
      </c>
      <c r="W716" s="7" t="s">
        <v>67</v>
      </c>
      <c r="X716" s="7" t="s">
        <v>68</v>
      </c>
      <c r="Y716" s="7" t="s">
        <v>1776</v>
      </c>
      <c r="Z716" s="7" t="s">
        <v>1768</v>
      </c>
      <c r="AA716" s="7"/>
      <c r="AB716" s="7"/>
      <c r="AC716" s="7" t="s">
        <v>82</v>
      </c>
      <c r="AD716" s="7"/>
      <c r="AE716" s="7"/>
      <c r="AF716" s="7" t="s">
        <v>50</v>
      </c>
      <c r="AG716" s="7" t="s">
        <v>67</v>
      </c>
      <c r="AH716" s="7" t="s">
        <v>86</v>
      </c>
    </row>
    <row r="717" spans="1:34" ht="9.75" customHeight="1" x14ac:dyDescent="0.2">
      <c r="A717" s="7" t="s">
        <v>37</v>
      </c>
      <c r="B717" s="7" t="s">
        <v>38</v>
      </c>
      <c r="C717" s="7"/>
      <c r="D717" s="7" t="s">
        <v>1777</v>
      </c>
      <c r="E717" s="8">
        <v>1</v>
      </c>
      <c r="F717" s="7" t="s">
        <v>41</v>
      </c>
      <c r="G717" s="7"/>
      <c r="H717" s="9"/>
      <c r="I717" s="9"/>
      <c r="J717" s="9"/>
      <c r="K717" s="9"/>
      <c r="L717" s="10">
        <v>98616</v>
      </c>
      <c r="M717" s="9"/>
      <c r="N717" s="10">
        <v>98616</v>
      </c>
      <c r="O717" s="9"/>
      <c r="P717" s="10"/>
      <c r="Q717" s="10"/>
      <c r="R717" s="10"/>
      <c r="S717" s="7" t="s">
        <v>407</v>
      </c>
      <c r="T717" s="7" t="s">
        <v>1506</v>
      </c>
      <c r="U717" s="7" t="s">
        <v>44</v>
      </c>
      <c r="V717" s="7" t="s">
        <v>45</v>
      </c>
      <c r="W717" s="7" t="s">
        <v>67</v>
      </c>
      <c r="X717" s="7" t="s">
        <v>68</v>
      </c>
      <c r="Y717" s="7" t="s">
        <v>1778</v>
      </c>
      <c r="Z717" s="7" t="s">
        <v>1779</v>
      </c>
      <c r="AA717" s="7"/>
      <c r="AB717" s="7"/>
      <c r="AC717" s="7" t="s">
        <v>82</v>
      </c>
      <c r="AD717" s="7"/>
      <c r="AE717" s="7"/>
      <c r="AF717" s="7" t="s">
        <v>50</v>
      </c>
      <c r="AG717" s="7" t="s">
        <v>67</v>
      </c>
      <c r="AH717" s="7" t="s">
        <v>86</v>
      </c>
    </row>
    <row r="718" spans="1:34" ht="9.75" customHeight="1" x14ac:dyDescent="0.2">
      <c r="A718" s="7" t="s">
        <v>37</v>
      </c>
      <c r="B718" s="7" t="s">
        <v>38</v>
      </c>
      <c r="C718" s="7"/>
      <c r="D718" s="7" t="s">
        <v>1780</v>
      </c>
      <c r="E718" s="8">
        <v>1</v>
      </c>
      <c r="F718" s="7" t="s">
        <v>41</v>
      </c>
      <c r="G718" s="7"/>
      <c r="H718" s="9"/>
      <c r="I718" s="9"/>
      <c r="J718" s="9"/>
      <c r="K718" s="9"/>
      <c r="L718" s="10">
        <v>655</v>
      </c>
      <c r="M718" s="9"/>
      <c r="N718" s="10">
        <v>655</v>
      </c>
      <c r="O718" s="9"/>
      <c r="P718" s="10"/>
      <c r="Q718" s="10"/>
      <c r="R718" s="10"/>
      <c r="S718" s="7" t="s">
        <v>407</v>
      </c>
      <c r="T718" s="7" t="s">
        <v>1506</v>
      </c>
      <c r="U718" s="7" t="s">
        <v>44</v>
      </c>
      <c r="V718" s="7" t="s">
        <v>45</v>
      </c>
      <c r="W718" s="7" t="s">
        <v>67</v>
      </c>
      <c r="X718" s="7" t="s">
        <v>68</v>
      </c>
      <c r="Y718" s="7" t="s">
        <v>1781</v>
      </c>
      <c r="Z718" s="7" t="s">
        <v>1779</v>
      </c>
      <c r="AA718" s="7"/>
      <c r="AB718" s="7"/>
      <c r="AC718" s="7" t="s">
        <v>82</v>
      </c>
      <c r="AD718" s="7"/>
      <c r="AE718" s="7"/>
      <c r="AF718" s="7" t="s">
        <v>50</v>
      </c>
      <c r="AG718" s="7" t="s">
        <v>67</v>
      </c>
      <c r="AH718" s="7" t="s">
        <v>86</v>
      </c>
    </row>
    <row r="719" spans="1:34" ht="9.75" customHeight="1" x14ac:dyDescent="0.2">
      <c r="A719" s="7" t="s">
        <v>37</v>
      </c>
      <c r="B719" s="7" t="s">
        <v>38</v>
      </c>
      <c r="C719" s="7"/>
      <c r="D719" s="7" t="s">
        <v>1782</v>
      </c>
      <c r="E719" s="8">
        <v>1</v>
      </c>
      <c r="F719" s="7" t="s">
        <v>41</v>
      </c>
      <c r="G719" s="7"/>
      <c r="H719" s="9"/>
      <c r="I719" s="9"/>
      <c r="J719" s="9"/>
      <c r="K719" s="9"/>
      <c r="L719" s="10">
        <v>2688</v>
      </c>
      <c r="M719" s="9"/>
      <c r="N719" s="10">
        <v>2688</v>
      </c>
      <c r="O719" s="9"/>
      <c r="P719" s="10"/>
      <c r="Q719" s="10"/>
      <c r="R719" s="10"/>
      <c r="S719" s="7" t="s">
        <v>407</v>
      </c>
      <c r="T719" s="7" t="s">
        <v>1506</v>
      </c>
      <c r="U719" s="7" t="s">
        <v>44</v>
      </c>
      <c r="V719" s="7" t="s">
        <v>45</v>
      </c>
      <c r="W719" s="7" t="s">
        <v>67</v>
      </c>
      <c r="X719" s="7" t="s">
        <v>68</v>
      </c>
      <c r="Y719" s="7" t="s">
        <v>1783</v>
      </c>
      <c r="Z719" s="7" t="s">
        <v>1779</v>
      </c>
      <c r="AA719" s="7"/>
      <c r="AB719" s="7"/>
      <c r="AC719" s="7" t="s">
        <v>82</v>
      </c>
      <c r="AD719" s="7"/>
      <c r="AE719" s="7"/>
      <c r="AF719" s="7" t="s">
        <v>50</v>
      </c>
      <c r="AG719" s="7" t="s">
        <v>67</v>
      </c>
      <c r="AH719" s="7" t="s">
        <v>86</v>
      </c>
    </row>
    <row r="720" spans="1:34" ht="9.75" customHeight="1" x14ac:dyDescent="0.2">
      <c r="A720" s="7" t="s">
        <v>37</v>
      </c>
      <c r="B720" s="7" t="s">
        <v>38</v>
      </c>
      <c r="C720" s="7"/>
      <c r="D720" s="7" t="s">
        <v>1784</v>
      </c>
      <c r="E720" s="8">
        <v>1</v>
      </c>
      <c r="F720" s="7" t="s">
        <v>41</v>
      </c>
      <c r="G720" s="7"/>
      <c r="H720" s="9"/>
      <c r="I720" s="9"/>
      <c r="J720" s="9"/>
      <c r="K720" s="9"/>
      <c r="L720" s="10">
        <v>2022</v>
      </c>
      <c r="M720" s="9"/>
      <c r="N720" s="10">
        <v>2022</v>
      </c>
      <c r="O720" s="9"/>
      <c r="P720" s="10"/>
      <c r="Q720" s="10"/>
      <c r="R720" s="10"/>
      <c r="S720" s="7" t="s">
        <v>407</v>
      </c>
      <c r="T720" s="7" t="s">
        <v>1506</v>
      </c>
      <c r="U720" s="7" t="s">
        <v>44</v>
      </c>
      <c r="V720" s="7" t="s">
        <v>45</v>
      </c>
      <c r="W720" s="7" t="s">
        <v>67</v>
      </c>
      <c r="X720" s="7" t="s">
        <v>68</v>
      </c>
      <c r="Y720" s="7" t="s">
        <v>1785</v>
      </c>
      <c r="Z720" s="7" t="s">
        <v>1779</v>
      </c>
      <c r="AA720" s="7"/>
      <c r="AB720" s="7"/>
      <c r="AC720" s="7" t="s">
        <v>82</v>
      </c>
      <c r="AD720" s="7"/>
      <c r="AE720" s="7"/>
      <c r="AF720" s="7" t="s">
        <v>50</v>
      </c>
      <c r="AG720" s="7" t="s">
        <v>67</v>
      </c>
      <c r="AH720" s="7" t="s">
        <v>86</v>
      </c>
    </row>
    <row r="721" spans="1:34" ht="9.75" customHeight="1" x14ac:dyDescent="0.2">
      <c r="A721" s="7" t="s">
        <v>37</v>
      </c>
      <c r="B721" s="7" t="s">
        <v>38</v>
      </c>
      <c r="C721" s="7"/>
      <c r="D721" s="7" t="s">
        <v>1786</v>
      </c>
      <c r="E721" s="8">
        <v>1</v>
      </c>
      <c r="F721" s="7" t="s">
        <v>41</v>
      </c>
      <c r="G721" s="7"/>
      <c r="H721" s="9"/>
      <c r="I721" s="9"/>
      <c r="J721" s="9"/>
      <c r="K721" s="9"/>
      <c r="L721" s="10">
        <v>4089</v>
      </c>
      <c r="M721" s="9"/>
      <c r="N721" s="10">
        <v>4089</v>
      </c>
      <c r="O721" s="9"/>
      <c r="P721" s="10"/>
      <c r="Q721" s="10"/>
      <c r="R721" s="10"/>
      <c r="S721" s="7" t="s">
        <v>407</v>
      </c>
      <c r="T721" s="7" t="s">
        <v>1506</v>
      </c>
      <c r="U721" s="7" t="s">
        <v>44</v>
      </c>
      <c r="V721" s="7" t="s">
        <v>45</v>
      </c>
      <c r="W721" s="7" t="s">
        <v>67</v>
      </c>
      <c r="X721" s="7" t="s">
        <v>68</v>
      </c>
      <c r="Y721" s="7" t="s">
        <v>1787</v>
      </c>
      <c r="Z721" s="7" t="s">
        <v>1779</v>
      </c>
      <c r="AA721" s="7"/>
      <c r="AB721" s="7"/>
      <c r="AC721" s="7" t="s">
        <v>82</v>
      </c>
      <c r="AD721" s="7"/>
      <c r="AE721" s="7"/>
      <c r="AF721" s="7" t="s">
        <v>50</v>
      </c>
      <c r="AG721" s="7" t="s">
        <v>67</v>
      </c>
      <c r="AH721" s="7" t="s">
        <v>86</v>
      </c>
    </row>
    <row r="722" spans="1:34" ht="9.75" customHeight="1" x14ac:dyDescent="0.2">
      <c r="A722" s="7" t="s">
        <v>37</v>
      </c>
      <c r="B722" s="7" t="s">
        <v>38</v>
      </c>
      <c r="C722" s="7"/>
      <c r="D722" s="7" t="s">
        <v>1788</v>
      </c>
      <c r="E722" s="8">
        <v>1</v>
      </c>
      <c r="F722" s="7" t="s">
        <v>41</v>
      </c>
      <c r="G722" s="7"/>
      <c r="H722" s="9"/>
      <c r="I722" s="9"/>
      <c r="J722" s="9"/>
      <c r="K722" s="9"/>
      <c r="L722" s="10">
        <v>55030</v>
      </c>
      <c r="M722" s="9"/>
      <c r="N722" s="10">
        <v>55030</v>
      </c>
      <c r="O722" s="9"/>
      <c r="P722" s="10"/>
      <c r="Q722" s="10"/>
      <c r="R722" s="10"/>
      <c r="S722" s="7" t="s">
        <v>407</v>
      </c>
      <c r="T722" s="7" t="s">
        <v>1506</v>
      </c>
      <c r="U722" s="7" t="s">
        <v>44</v>
      </c>
      <c r="V722" s="7" t="s">
        <v>45</v>
      </c>
      <c r="W722" s="7" t="s">
        <v>67</v>
      </c>
      <c r="X722" s="7" t="s">
        <v>68</v>
      </c>
      <c r="Y722" s="7" t="s">
        <v>1789</v>
      </c>
      <c r="Z722" s="7" t="s">
        <v>1779</v>
      </c>
      <c r="AA722" s="7"/>
      <c r="AB722" s="7"/>
      <c r="AC722" s="7" t="s">
        <v>82</v>
      </c>
      <c r="AD722" s="7"/>
      <c r="AE722" s="7"/>
      <c r="AF722" s="7" t="s">
        <v>50</v>
      </c>
      <c r="AG722" s="7" t="s">
        <v>67</v>
      </c>
      <c r="AH722" s="7" t="s">
        <v>86</v>
      </c>
    </row>
    <row r="723" spans="1:34" ht="9.75" customHeight="1" x14ac:dyDescent="0.2">
      <c r="A723" s="7" t="s">
        <v>37</v>
      </c>
      <c r="B723" s="7" t="s">
        <v>38</v>
      </c>
      <c r="C723" s="7"/>
      <c r="D723" s="7" t="s">
        <v>1790</v>
      </c>
      <c r="E723" s="8">
        <v>1</v>
      </c>
      <c r="F723" s="7" t="s">
        <v>41</v>
      </c>
      <c r="G723" s="7"/>
      <c r="H723" s="9"/>
      <c r="I723" s="9"/>
      <c r="J723" s="9"/>
      <c r="K723" s="9"/>
      <c r="L723" s="10">
        <v>15998</v>
      </c>
      <c r="M723" s="9"/>
      <c r="N723" s="10">
        <v>15998</v>
      </c>
      <c r="O723" s="9"/>
      <c r="P723" s="10"/>
      <c r="Q723" s="10"/>
      <c r="R723" s="10"/>
      <c r="S723" s="7" t="s">
        <v>407</v>
      </c>
      <c r="T723" s="7" t="s">
        <v>1506</v>
      </c>
      <c r="U723" s="7" t="s">
        <v>44</v>
      </c>
      <c r="V723" s="7" t="s">
        <v>45</v>
      </c>
      <c r="W723" s="7" t="s">
        <v>67</v>
      </c>
      <c r="X723" s="7" t="s">
        <v>68</v>
      </c>
      <c r="Y723" s="7" t="s">
        <v>1791</v>
      </c>
      <c r="Z723" s="7" t="s">
        <v>1792</v>
      </c>
      <c r="AA723" s="7"/>
      <c r="AB723" s="7"/>
      <c r="AC723" s="7" t="s">
        <v>82</v>
      </c>
      <c r="AD723" s="7"/>
      <c r="AE723" s="7"/>
      <c r="AF723" s="7" t="s">
        <v>50</v>
      </c>
      <c r="AG723" s="7" t="s">
        <v>67</v>
      </c>
      <c r="AH723" s="7" t="s">
        <v>86</v>
      </c>
    </row>
    <row r="724" spans="1:34" ht="9.75" customHeight="1" x14ac:dyDescent="0.2">
      <c r="A724" s="7" t="s">
        <v>37</v>
      </c>
      <c r="B724" s="7" t="s">
        <v>38</v>
      </c>
      <c r="C724" s="7"/>
      <c r="D724" s="7" t="s">
        <v>1793</v>
      </c>
      <c r="E724" s="8">
        <v>1</v>
      </c>
      <c r="F724" s="7" t="s">
        <v>41</v>
      </c>
      <c r="G724" s="7"/>
      <c r="H724" s="9"/>
      <c r="I724" s="9"/>
      <c r="J724" s="9"/>
      <c r="K724" s="9"/>
      <c r="L724" s="10">
        <v>721</v>
      </c>
      <c r="M724" s="9"/>
      <c r="N724" s="10">
        <v>721</v>
      </c>
      <c r="O724" s="9"/>
      <c r="P724" s="10"/>
      <c r="Q724" s="10"/>
      <c r="R724" s="10"/>
      <c r="S724" s="7" t="s">
        <v>407</v>
      </c>
      <c r="T724" s="7" t="s">
        <v>1506</v>
      </c>
      <c r="U724" s="7" t="s">
        <v>44</v>
      </c>
      <c r="V724" s="7" t="s">
        <v>45</v>
      </c>
      <c r="W724" s="7" t="s">
        <v>67</v>
      </c>
      <c r="X724" s="7" t="s">
        <v>68</v>
      </c>
      <c r="Y724" s="7" t="s">
        <v>1794</v>
      </c>
      <c r="Z724" s="7" t="s">
        <v>1792</v>
      </c>
      <c r="AA724" s="7"/>
      <c r="AB724" s="7"/>
      <c r="AC724" s="7" t="s">
        <v>82</v>
      </c>
      <c r="AD724" s="7"/>
      <c r="AE724" s="7"/>
      <c r="AF724" s="7" t="s">
        <v>50</v>
      </c>
      <c r="AG724" s="7" t="s">
        <v>67</v>
      </c>
      <c r="AH724" s="7" t="s">
        <v>86</v>
      </c>
    </row>
    <row r="725" spans="1:34" ht="9.75" customHeight="1" x14ac:dyDescent="0.2">
      <c r="A725" s="7" t="s">
        <v>37</v>
      </c>
      <c r="B725" s="7" t="s">
        <v>38</v>
      </c>
      <c r="C725" s="7"/>
      <c r="D725" s="7" t="s">
        <v>1795</v>
      </c>
      <c r="E725" s="8">
        <v>1</v>
      </c>
      <c r="F725" s="7" t="s">
        <v>41</v>
      </c>
      <c r="G725" s="7"/>
      <c r="H725" s="9"/>
      <c r="I725" s="9"/>
      <c r="J725" s="9"/>
      <c r="K725" s="9"/>
      <c r="L725" s="10">
        <v>858</v>
      </c>
      <c r="M725" s="9"/>
      <c r="N725" s="10">
        <v>858</v>
      </c>
      <c r="O725" s="9"/>
      <c r="P725" s="10"/>
      <c r="Q725" s="10"/>
      <c r="R725" s="10"/>
      <c r="S725" s="7" t="s">
        <v>407</v>
      </c>
      <c r="T725" s="7" t="s">
        <v>1506</v>
      </c>
      <c r="U725" s="7" t="s">
        <v>44</v>
      </c>
      <c r="V725" s="7" t="s">
        <v>45</v>
      </c>
      <c r="W725" s="7" t="s">
        <v>67</v>
      </c>
      <c r="X725" s="7" t="s">
        <v>68</v>
      </c>
      <c r="Y725" s="7" t="s">
        <v>1796</v>
      </c>
      <c r="Z725" s="7" t="s">
        <v>1792</v>
      </c>
      <c r="AA725" s="7"/>
      <c r="AB725" s="7"/>
      <c r="AC725" s="7" t="s">
        <v>82</v>
      </c>
      <c r="AD725" s="7"/>
      <c r="AE725" s="7"/>
      <c r="AF725" s="7" t="s">
        <v>50</v>
      </c>
      <c r="AG725" s="7" t="s">
        <v>67</v>
      </c>
      <c r="AH725" s="7" t="s">
        <v>86</v>
      </c>
    </row>
    <row r="726" spans="1:34" ht="9.75" customHeight="1" x14ac:dyDescent="0.2">
      <c r="A726" s="7" t="s">
        <v>37</v>
      </c>
      <c r="B726" s="7" t="s">
        <v>38</v>
      </c>
      <c r="C726" s="7"/>
      <c r="D726" s="7" t="s">
        <v>1797</v>
      </c>
      <c r="E726" s="8">
        <v>1</v>
      </c>
      <c r="F726" s="7" t="s">
        <v>41</v>
      </c>
      <c r="G726" s="7"/>
      <c r="H726" s="9"/>
      <c r="I726" s="9"/>
      <c r="J726" s="9"/>
      <c r="K726" s="9"/>
      <c r="L726" s="10">
        <v>191</v>
      </c>
      <c r="M726" s="9"/>
      <c r="N726" s="10">
        <v>191</v>
      </c>
      <c r="O726" s="9"/>
      <c r="P726" s="10"/>
      <c r="Q726" s="10"/>
      <c r="R726" s="10"/>
      <c r="S726" s="7" t="s">
        <v>407</v>
      </c>
      <c r="T726" s="7" t="s">
        <v>1506</v>
      </c>
      <c r="U726" s="7" t="s">
        <v>44</v>
      </c>
      <c r="V726" s="7" t="s">
        <v>45</v>
      </c>
      <c r="W726" s="7" t="s">
        <v>67</v>
      </c>
      <c r="X726" s="7" t="s">
        <v>68</v>
      </c>
      <c r="Y726" s="7" t="s">
        <v>1798</v>
      </c>
      <c r="Z726" s="7" t="s">
        <v>1792</v>
      </c>
      <c r="AA726" s="7"/>
      <c r="AB726" s="7"/>
      <c r="AC726" s="7" t="s">
        <v>82</v>
      </c>
      <c r="AD726" s="7"/>
      <c r="AE726" s="7"/>
      <c r="AF726" s="7" t="s">
        <v>50</v>
      </c>
      <c r="AG726" s="7" t="s">
        <v>67</v>
      </c>
      <c r="AH726" s="7" t="s">
        <v>86</v>
      </c>
    </row>
    <row r="727" spans="1:34" ht="9.75" customHeight="1" x14ac:dyDescent="0.2">
      <c r="A727" s="7" t="s">
        <v>37</v>
      </c>
      <c r="B727" s="7" t="s">
        <v>38</v>
      </c>
      <c r="C727" s="7"/>
      <c r="D727" s="7" t="s">
        <v>1799</v>
      </c>
      <c r="E727" s="8">
        <v>1</v>
      </c>
      <c r="F727" s="7" t="s">
        <v>41</v>
      </c>
      <c r="G727" s="7"/>
      <c r="H727" s="9"/>
      <c r="I727" s="9"/>
      <c r="J727" s="9"/>
      <c r="K727" s="9"/>
      <c r="L727" s="10">
        <v>1333</v>
      </c>
      <c r="M727" s="9"/>
      <c r="N727" s="10">
        <v>1333</v>
      </c>
      <c r="O727" s="9"/>
      <c r="P727" s="10"/>
      <c r="Q727" s="10"/>
      <c r="R727" s="10"/>
      <c r="S727" s="7" t="s">
        <v>407</v>
      </c>
      <c r="T727" s="7" t="s">
        <v>1506</v>
      </c>
      <c r="U727" s="7" t="s">
        <v>44</v>
      </c>
      <c r="V727" s="7" t="s">
        <v>45</v>
      </c>
      <c r="W727" s="7" t="s">
        <v>67</v>
      </c>
      <c r="X727" s="7" t="s">
        <v>68</v>
      </c>
      <c r="Y727" s="7" t="s">
        <v>1800</v>
      </c>
      <c r="Z727" s="7" t="s">
        <v>1792</v>
      </c>
      <c r="AA727" s="7"/>
      <c r="AB727" s="7"/>
      <c r="AC727" s="7" t="s">
        <v>82</v>
      </c>
      <c r="AD727" s="7"/>
      <c r="AE727" s="7"/>
      <c r="AF727" s="7" t="s">
        <v>50</v>
      </c>
      <c r="AG727" s="7" t="s">
        <v>67</v>
      </c>
      <c r="AH727" s="7" t="s">
        <v>86</v>
      </c>
    </row>
    <row r="728" spans="1:34" ht="9.75" customHeight="1" x14ac:dyDescent="0.2">
      <c r="A728" s="7" t="s">
        <v>37</v>
      </c>
      <c r="B728" s="7" t="s">
        <v>38</v>
      </c>
      <c r="C728" s="7"/>
      <c r="D728" s="7" t="s">
        <v>1801</v>
      </c>
      <c r="E728" s="8">
        <v>1</v>
      </c>
      <c r="F728" s="7" t="s">
        <v>41</v>
      </c>
      <c r="G728" s="7"/>
      <c r="H728" s="9"/>
      <c r="I728" s="9"/>
      <c r="J728" s="9"/>
      <c r="K728" s="9"/>
      <c r="L728" s="10">
        <v>6014</v>
      </c>
      <c r="M728" s="9"/>
      <c r="N728" s="10">
        <v>6014</v>
      </c>
      <c r="O728" s="9"/>
      <c r="P728" s="10"/>
      <c r="Q728" s="10"/>
      <c r="R728" s="10"/>
      <c r="S728" s="7" t="s">
        <v>407</v>
      </c>
      <c r="T728" s="7" t="s">
        <v>1506</v>
      </c>
      <c r="U728" s="7" t="s">
        <v>44</v>
      </c>
      <c r="V728" s="7" t="s">
        <v>45</v>
      </c>
      <c r="W728" s="7" t="s">
        <v>67</v>
      </c>
      <c r="X728" s="7" t="s">
        <v>68</v>
      </c>
      <c r="Y728" s="7" t="s">
        <v>1802</v>
      </c>
      <c r="Z728" s="7" t="s">
        <v>1803</v>
      </c>
      <c r="AA728" s="7"/>
      <c r="AB728" s="7"/>
      <c r="AC728" s="7" t="s">
        <v>82</v>
      </c>
      <c r="AD728" s="7"/>
      <c r="AE728" s="7"/>
      <c r="AF728" s="7" t="s">
        <v>50</v>
      </c>
      <c r="AG728" s="7" t="s">
        <v>67</v>
      </c>
      <c r="AH728" s="7" t="s">
        <v>86</v>
      </c>
    </row>
    <row r="729" spans="1:34" ht="9.75" customHeight="1" x14ac:dyDescent="0.2">
      <c r="A729" s="7" t="s">
        <v>37</v>
      </c>
      <c r="B729" s="7" t="s">
        <v>38</v>
      </c>
      <c r="C729" s="7"/>
      <c r="D729" s="7" t="s">
        <v>1804</v>
      </c>
      <c r="E729" s="8">
        <v>1</v>
      </c>
      <c r="F729" s="7" t="s">
        <v>41</v>
      </c>
      <c r="G729" s="7"/>
      <c r="H729" s="9"/>
      <c r="I729" s="9"/>
      <c r="J729" s="9"/>
      <c r="K729" s="9"/>
      <c r="L729" s="10">
        <v>11</v>
      </c>
      <c r="M729" s="9"/>
      <c r="N729" s="10">
        <v>11</v>
      </c>
      <c r="O729" s="9"/>
      <c r="P729" s="10"/>
      <c r="Q729" s="10"/>
      <c r="R729" s="10"/>
      <c r="S729" s="7" t="s">
        <v>407</v>
      </c>
      <c r="T729" s="7" t="s">
        <v>1506</v>
      </c>
      <c r="U729" s="7" t="s">
        <v>44</v>
      </c>
      <c r="V729" s="7" t="s">
        <v>45</v>
      </c>
      <c r="W729" s="7" t="s">
        <v>67</v>
      </c>
      <c r="X729" s="7" t="s">
        <v>68</v>
      </c>
      <c r="Y729" s="7" t="s">
        <v>1805</v>
      </c>
      <c r="Z729" s="7" t="s">
        <v>1803</v>
      </c>
      <c r="AA729" s="7"/>
      <c r="AB729" s="7"/>
      <c r="AC729" s="7" t="s">
        <v>82</v>
      </c>
      <c r="AD729" s="7"/>
      <c r="AE729" s="7"/>
      <c r="AF729" s="7" t="s">
        <v>50</v>
      </c>
      <c r="AG729" s="7" t="s">
        <v>67</v>
      </c>
      <c r="AH729" s="7" t="s">
        <v>86</v>
      </c>
    </row>
    <row r="730" spans="1:34" ht="9.75" customHeight="1" x14ac:dyDescent="0.2">
      <c r="A730" s="7" t="s">
        <v>37</v>
      </c>
      <c r="B730" s="7" t="s">
        <v>38</v>
      </c>
      <c r="C730" s="7"/>
      <c r="D730" s="7" t="s">
        <v>1806</v>
      </c>
      <c r="E730" s="8">
        <v>1</v>
      </c>
      <c r="F730" s="7" t="s">
        <v>41</v>
      </c>
      <c r="G730" s="7"/>
      <c r="H730" s="9"/>
      <c r="I730" s="9"/>
      <c r="J730" s="9"/>
      <c r="K730" s="9"/>
      <c r="L730" s="10">
        <v>375</v>
      </c>
      <c r="M730" s="9"/>
      <c r="N730" s="10">
        <v>375</v>
      </c>
      <c r="O730" s="9"/>
      <c r="P730" s="10"/>
      <c r="Q730" s="10"/>
      <c r="R730" s="10"/>
      <c r="S730" s="7" t="s">
        <v>407</v>
      </c>
      <c r="T730" s="7" t="s">
        <v>1506</v>
      </c>
      <c r="U730" s="7" t="s">
        <v>44</v>
      </c>
      <c r="V730" s="7" t="s">
        <v>45</v>
      </c>
      <c r="W730" s="7" t="s">
        <v>67</v>
      </c>
      <c r="X730" s="7" t="s">
        <v>68</v>
      </c>
      <c r="Y730" s="7" t="s">
        <v>1807</v>
      </c>
      <c r="Z730" s="7" t="s">
        <v>1803</v>
      </c>
      <c r="AA730" s="7"/>
      <c r="AB730" s="7"/>
      <c r="AC730" s="7" t="s">
        <v>82</v>
      </c>
      <c r="AD730" s="7"/>
      <c r="AE730" s="7"/>
      <c r="AF730" s="7" t="s">
        <v>50</v>
      </c>
      <c r="AG730" s="7" t="s">
        <v>67</v>
      </c>
      <c r="AH730" s="7" t="s">
        <v>86</v>
      </c>
    </row>
    <row r="731" spans="1:34" ht="9.75" customHeight="1" x14ac:dyDescent="0.2">
      <c r="A731" s="7" t="s">
        <v>37</v>
      </c>
      <c r="B731" s="7" t="s">
        <v>38</v>
      </c>
      <c r="C731" s="7"/>
      <c r="D731" s="7" t="s">
        <v>1808</v>
      </c>
      <c r="E731" s="8">
        <v>1</v>
      </c>
      <c r="F731" s="7" t="s">
        <v>41</v>
      </c>
      <c r="G731" s="7"/>
      <c r="H731" s="9"/>
      <c r="I731" s="9"/>
      <c r="J731" s="9"/>
      <c r="K731" s="9"/>
      <c r="L731" s="10">
        <v>439</v>
      </c>
      <c r="M731" s="9"/>
      <c r="N731" s="10">
        <v>439</v>
      </c>
      <c r="O731" s="9"/>
      <c r="P731" s="10"/>
      <c r="Q731" s="10"/>
      <c r="R731" s="10"/>
      <c r="S731" s="7" t="s">
        <v>407</v>
      </c>
      <c r="T731" s="7" t="s">
        <v>1506</v>
      </c>
      <c r="U731" s="7" t="s">
        <v>44</v>
      </c>
      <c r="V731" s="7" t="s">
        <v>45</v>
      </c>
      <c r="W731" s="7" t="s">
        <v>67</v>
      </c>
      <c r="X731" s="7" t="s">
        <v>68</v>
      </c>
      <c r="Y731" s="7" t="s">
        <v>1809</v>
      </c>
      <c r="Z731" s="7" t="s">
        <v>1803</v>
      </c>
      <c r="AA731" s="7"/>
      <c r="AB731" s="7"/>
      <c r="AC731" s="7" t="s">
        <v>82</v>
      </c>
      <c r="AD731" s="7"/>
      <c r="AE731" s="7"/>
      <c r="AF731" s="7" t="s">
        <v>50</v>
      </c>
      <c r="AG731" s="7" t="s">
        <v>67</v>
      </c>
      <c r="AH731" s="7" t="s">
        <v>86</v>
      </c>
    </row>
    <row r="732" spans="1:34" ht="9.75" customHeight="1" x14ac:dyDescent="0.2">
      <c r="A732" s="7" t="s">
        <v>37</v>
      </c>
      <c r="B732" s="7" t="s">
        <v>38</v>
      </c>
      <c r="C732" s="7"/>
      <c r="D732" s="7" t="s">
        <v>1810</v>
      </c>
      <c r="E732" s="8">
        <v>1</v>
      </c>
      <c r="F732" s="7" t="s">
        <v>41</v>
      </c>
      <c r="G732" s="7"/>
      <c r="H732" s="9"/>
      <c r="I732" s="9"/>
      <c r="J732" s="9"/>
      <c r="K732" s="9"/>
      <c r="L732" s="10">
        <v>228</v>
      </c>
      <c r="M732" s="9"/>
      <c r="N732" s="10">
        <v>228</v>
      </c>
      <c r="O732" s="9"/>
      <c r="P732" s="10"/>
      <c r="Q732" s="10"/>
      <c r="R732" s="10"/>
      <c r="S732" s="7" t="s">
        <v>407</v>
      </c>
      <c r="T732" s="7" t="s">
        <v>1506</v>
      </c>
      <c r="U732" s="7" t="s">
        <v>44</v>
      </c>
      <c r="V732" s="7" t="s">
        <v>45</v>
      </c>
      <c r="W732" s="7" t="s">
        <v>67</v>
      </c>
      <c r="X732" s="7" t="s">
        <v>68</v>
      </c>
      <c r="Y732" s="7" t="s">
        <v>1811</v>
      </c>
      <c r="Z732" s="7" t="s">
        <v>1803</v>
      </c>
      <c r="AA732" s="7"/>
      <c r="AB732" s="7"/>
      <c r="AC732" s="7" t="s">
        <v>82</v>
      </c>
      <c r="AD732" s="7"/>
      <c r="AE732" s="7"/>
      <c r="AF732" s="7" t="s">
        <v>50</v>
      </c>
      <c r="AG732" s="7" t="s">
        <v>67</v>
      </c>
      <c r="AH732" s="7" t="s">
        <v>86</v>
      </c>
    </row>
    <row r="733" spans="1:34" ht="9.75" customHeight="1" x14ac:dyDescent="0.2">
      <c r="A733" s="7" t="s">
        <v>37</v>
      </c>
      <c r="B733" s="7" t="s">
        <v>38</v>
      </c>
      <c r="C733" s="7"/>
      <c r="D733" s="7" t="s">
        <v>1812</v>
      </c>
      <c r="E733" s="8">
        <v>1</v>
      </c>
      <c r="F733" s="7" t="s">
        <v>41</v>
      </c>
      <c r="G733" s="7"/>
      <c r="H733" s="9"/>
      <c r="I733" s="9"/>
      <c r="J733" s="9"/>
      <c r="K733" s="9"/>
      <c r="L733" s="10">
        <v>9661</v>
      </c>
      <c r="M733" s="9"/>
      <c r="N733" s="10">
        <v>9661</v>
      </c>
      <c r="O733" s="9"/>
      <c r="P733" s="10"/>
      <c r="Q733" s="10"/>
      <c r="R733" s="10"/>
      <c r="S733" s="7" t="s">
        <v>407</v>
      </c>
      <c r="T733" s="7" t="s">
        <v>1506</v>
      </c>
      <c r="U733" s="7" t="s">
        <v>44</v>
      </c>
      <c r="V733" s="7" t="s">
        <v>45</v>
      </c>
      <c r="W733" s="7" t="s">
        <v>67</v>
      </c>
      <c r="X733" s="7" t="s">
        <v>68</v>
      </c>
      <c r="Y733" s="7" t="s">
        <v>1813</v>
      </c>
      <c r="Z733" s="7" t="s">
        <v>1814</v>
      </c>
      <c r="AA733" s="7"/>
      <c r="AB733" s="7"/>
      <c r="AC733" s="7" t="s">
        <v>82</v>
      </c>
      <c r="AD733" s="7"/>
      <c r="AE733" s="7"/>
      <c r="AF733" s="7" t="s">
        <v>50</v>
      </c>
      <c r="AG733" s="7" t="s">
        <v>67</v>
      </c>
      <c r="AH733" s="7" t="s">
        <v>86</v>
      </c>
    </row>
    <row r="734" spans="1:34" ht="9.75" customHeight="1" x14ac:dyDescent="0.2">
      <c r="A734" s="7" t="s">
        <v>37</v>
      </c>
      <c r="B734" s="7" t="s">
        <v>38</v>
      </c>
      <c r="C734" s="7"/>
      <c r="D734" s="7" t="s">
        <v>1815</v>
      </c>
      <c r="E734" s="8">
        <v>1</v>
      </c>
      <c r="F734" s="7" t="s">
        <v>41</v>
      </c>
      <c r="G734" s="7"/>
      <c r="H734" s="9"/>
      <c r="I734" s="9"/>
      <c r="J734" s="9"/>
      <c r="K734" s="9"/>
      <c r="L734" s="10">
        <v>76</v>
      </c>
      <c r="M734" s="9"/>
      <c r="N734" s="10">
        <v>76</v>
      </c>
      <c r="O734" s="9"/>
      <c r="P734" s="10"/>
      <c r="Q734" s="10"/>
      <c r="R734" s="10"/>
      <c r="S734" s="7" t="s">
        <v>407</v>
      </c>
      <c r="T734" s="7" t="s">
        <v>1506</v>
      </c>
      <c r="U734" s="7" t="s">
        <v>44</v>
      </c>
      <c r="V734" s="7" t="s">
        <v>45</v>
      </c>
      <c r="W734" s="7" t="s">
        <v>67</v>
      </c>
      <c r="X734" s="7" t="s">
        <v>68</v>
      </c>
      <c r="Y734" s="7" t="s">
        <v>1816</v>
      </c>
      <c r="Z734" s="7" t="s">
        <v>1814</v>
      </c>
      <c r="AA734" s="7"/>
      <c r="AB734" s="7"/>
      <c r="AC734" s="7" t="s">
        <v>82</v>
      </c>
      <c r="AD734" s="7"/>
      <c r="AE734" s="7" t="s">
        <v>1817</v>
      </c>
      <c r="AF734" s="7" t="s">
        <v>50</v>
      </c>
      <c r="AG734" s="7" t="s">
        <v>67</v>
      </c>
      <c r="AH734" s="7" t="s">
        <v>86</v>
      </c>
    </row>
    <row r="735" spans="1:34" ht="9.75" customHeight="1" x14ac:dyDescent="0.2">
      <c r="A735" s="7" t="s">
        <v>37</v>
      </c>
      <c r="B735" s="7" t="s">
        <v>38</v>
      </c>
      <c r="C735" s="7"/>
      <c r="D735" s="7" t="s">
        <v>1818</v>
      </c>
      <c r="E735" s="8">
        <v>1</v>
      </c>
      <c r="F735" s="7" t="s">
        <v>41</v>
      </c>
      <c r="G735" s="7"/>
      <c r="H735" s="9"/>
      <c r="I735" s="9"/>
      <c r="J735" s="9"/>
      <c r="K735" s="9"/>
      <c r="L735" s="10">
        <v>802</v>
      </c>
      <c r="M735" s="9"/>
      <c r="N735" s="10">
        <v>802</v>
      </c>
      <c r="O735" s="9"/>
      <c r="P735" s="10"/>
      <c r="Q735" s="10"/>
      <c r="R735" s="10"/>
      <c r="S735" s="7" t="s">
        <v>407</v>
      </c>
      <c r="T735" s="7" t="s">
        <v>1506</v>
      </c>
      <c r="U735" s="7" t="s">
        <v>44</v>
      </c>
      <c r="V735" s="7" t="s">
        <v>45</v>
      </c>
      <c r="W735" s="7" t="s">
        <v>67</v>
      </c>
      <c r="X735" s="7" t="s">
        <v>68</v>
      </c>
      <c r="Y735" s="7" t="s">
        <v>1819</v>
      </c>
      <c r="Z735" s="7" t="s">
        <v>1814</v>
      </c>
      <c r="AA735" s="7"/>
      <c r="AB735" s="7"/>
      <c r="AC735" s="7" t="s">
        <v>82</v>
      </c>
      <c r="AD735" s="7"/>
      <c r="AE735" s="7"/>
      <c r="AF735" s="7" t="s">
        <v>50</v>
      </c>
      <c r="AG735" s="7" t="s">
        <v>67</v>
      </c>
      <c r="AH735" s="7" t="s">
        <v>86</v>
      </c>
    </row>
    <row r="736" spans="1:34" ht="9.75" customHeight="1" x14ac:dyDescent="0.2">
      <c r="A736" s="7" t="s">
        <v>37</v>
      </c>
      <c r="B736" s="7" t="s">
        <v>38</v>
      </c>
      <c r="C736" s="7"/>
      <c r="D736" s="7" t="s">
        <v>1820</v>
      </c>
      <c r="E736" s="8">
        <v>1</v>
      </c>
      <c r="F736" s="7" t="s">
        <v>41</v>
      </c>
      <c r="G736" s="7"/>
      <c r="H736" s="9"/>
      <c r="I736" s="9"/>
      <c r="J736" s="9"/>
      <c r="K736" s="9"/>
      <c r="L736" s="10">
        <v>529</v>
      </c>
      <c r="M736" s="9"/>
      <c r="N736" s="10">
        <v>529</v>
      </c>
      <c r="O736" s="9"/>
      <c r="P736" s="10"/>
      <c r="Q736" s="10"/>
      <c r="R736" s="10"/>
      <c r="S736" s="7" t="s">
        <v>407</v>
      </c>
      <c r="T736" s="7" t="s">
        <v>1506</v>
      </c>
      <c r="U736" s="7" t="s">
        <v>44</v>
      </c>
      <c r="V736" s="7" t="s">
        <v>45</v>
      </c>
      <c r="W736" s="7" t="s">
        <v>67</v>
      </c>
      <c r="X736" s="7" t="s">
        <v>68</v>
      </c>
      <c r="Y736" s="7" t="s">
        <v>1821</v>
      </c>
      <c r="Z736" s="7" t="s">
        <v>1814</v>
      </c>
      <c r="AA736" s="7"/>
      <c r="AB736" s="7"/>
      <c r="AC736" s="7" t="s">
        <v>82</v>
      </c>
      <c r="AD736" s="7"/>
      <c r="AE736" s="7"/>
      <c r="AF736" s="7" t="s">
        <v>50</v>
      </c>
      <c r="AG736" s="7" t="s">
        <v>67</v>
      </c>
      <c r="AH736" s="7" t="s">
        <v>86</v>
      </c>
    </row>
    <row r="737" spans="1:34" ht="9.75" customHeight="1" x14ac:dyDescent="0.2">
      <c r="A737" s="7" t="s">
        <v>37</v>
      </c>
      <c r="B737" s="7" t="s">
        <v>38</v>
      </c>
      <c r="C737" s="7"/>
      <c r="D737" s="7" t="s">
        <v>1822</v>
      </c>
      <c r="E737" s="8">
        <v>1</v>
      </c>
      <c r="F737" s="7" t="s">
        <v>41</v>
      </c>
      <c r="G737" s="7"/>
      <c r="H737" s="9"/>
      <c r="I737" s="9"/>
      <c r="J737" s="9"/>
      <c r="K737" s="9"/>
      <c r="L737" s="10">
        <v>2414</v>
      </c>
      <c r="M737" s="9"/>
      <c r="N737" s="10">
        <v>2414</v>
      </c>
      <c r="O737" s="9"/>
      <c r="P737" s="10"/>
      <c r="Q737" s="10"/>
      <c r="R737" s="10"/>
      <c r="S737" s="7" t="s">
        <v>407</v>
      </c>
      <c r="T737" s="7" t="s">
        <v>1506</v>
      </c>
      <c r="U737" s="7" t="s">
        <v>44</v>
      </c>
      <c r="V737" s="7" t="s">
        <v>45</v>
      </c>
      <c r="W737" s="7" t="s">
        <v>67</v>
      </c>
      <c r="X737" s="7" t="s">
        <v>68</v>
      </c>
      <c r="Y737" s="7" t="s">
        <v>1823</v>
      </c>
      <c r="Z737" s="7" t="s">
        <v>1814</v>
      </c>
      <c r="AA737" s="7"/>
      <c r="AB737" s="7"/>
      <c r="AC737" s="7" t="s">
        <v>82</v>
      </c>
      <c r="AD737" s="7"/>
      <c r="AE737" s="7"/>
      <c r="AF737" s="7" t="s">
        <v>50</v>
      </c>
      <c r="AG737" s="7" t="s">
        <v>67</v>
      </c>
      <c r="AH737" s="7" t="s">
        <v>86</v>
      </c>
    </row>
    <row r="738" spans="1:34" ht="9.75" customHeight="1" x14ac:dyDescent="0.2">
      <c r="A738" s="7" t="s">
        <v>37</v>
      </c>
      <c r="B738" s="7" t="s">
        <v>38</v>
      </c>
      <c r="C738" s="7"/>
      <c r="D738" s="7" t="s">
        <v>1824</v>
      </c>
      <c r="E738" s="8">
        <v>1</v>
      </c>
      <c r="F738" s="7" t="s">
        <v>41</v>
      </c>
      <c r="G738" s="7"/>
      <c r="H738" s="9"/>
      <c r="I738" s="9"/>
      <c r="J738" s="9"/>
      <c r="K738" s="9"/>
      <c r="L738" s="10">
        <v>7970</v>
      </c>
      <c r="M738" s="9"/>
      <c r="N738" s="10">
        <v>7970</v>
      </c>
      <c r="O738" s="9"/>
      <c r="P738" s="10"/>
      <c r="Q738" s="10"/>
      <c r="R738" s="10"/>
      <c r="S738" s="7" t="s">
        <v>407</v>
      </c>
      <c r="T738" s="7" t="s">
        <v>1506</v>
      </c>
      <c r="U738" s="7" t="s">
        <v>44</v>
      </c>
      <c r="V738" s="7" t="s">
        <v>45</v>
      </c>
      <c r="W738" s="7" t="s">
        <v>67</v>
      </c>
      <c r="X738" s="7" t="s">
        <v>68</v>
      </c>
      <c r="Y738" s="7" t="s">
        <v>1825</v>
      </c>
      <c r="Z738" s="7" t="s">
        <v>1826</v>
      </c>
      <c r="AA738" s="7"/>
      <c r="AB738" s="7"/>
      <c r="AC738" s="7" t="s">
        <v>82</v>
      </c>
      <c r="AD738" s="7"/>
      <c r="AE738" s="7"/>
      <c r="AF738" s="7" t="s">
        <v>50</v>
      </c>
      <c r="AG738" s="7" t="s">
        <v>67</v>
      </c>
      <c r="AH738" s="7" t="s">
        <v>86</v>
      </c>
    </row>
    <row r="739" spans="1:34" ht="9.75" customHeight="1" x14ac:dyDescent="0.2">
      <c r="A739" s="7" t="s">
        <v>37</v>
      </c>
      <c r="B739" s="7" t="s">
        <v>38</v>
      </c>
      <c r="C739" s="7"/>
      <c r="D739" s="7" t="s">
        <v>1827</v>
      </c>
      <c r="E739" s="8">
        <v>1</v>
      </c>
      <c r="F739" s="7" t="s">
        <v>41</v>
      </c>
      <c r="G739" s="7"/>
      <c r="H739" s="9"/>
      <c r="I739" s="9"/>
      <c r="J739" s="9"/>
      <c r="K739" s="9"/>
      <c r="L739" s="10">
        <v>68</v>
      </c>
      <c r="M739" s="9"/>
      <c r="N739" s="10">
        <v>68</v>
      </c>
      <c r="O739" s="9"/>
      <c r="P739" s="10"/>
      <c r="Q739" s="10"/>
      <c r="R739" s="10"/>
      <c r="S739" s="7" t="s">
        <v>407</v>
      </c>
      <c r="T739" s="7" t="s">
        <v>1506</v>
      </c>
      <c r="U739" s="7" t="s">
        <v>44</v>
      </c>
      <c r="V739" s="7" t="s">
        <v>45</v>
      </c>
      <c r="W739" s="7" t="s">
        <v>67</v>
      </c>
      <c r="X739" s="7" t="s">
        <v>68</v>
      </c>
      <c r="Y739" s="7" t="s">
        <v>1828</v>
      </c>
      <c r="Z739" s="7" t="s">
        <v>1826</v>
      </c>
      <c r="AA739" s="7"/>
      <c r="AB739" s="7"/>
      <c r="AC739" s="7" t="s">
        <v>82</v>
      </c>
      <c r="AD739" s="7"/>
      <c r="AE739" s="7"/>
      <c r="AF739" s="7" t="s">
        <v>50</v>
      </c>
      <c r="AG739" s="7" t="s">
        <v>67</v>
      </c>
      <c r="AH739" s="7" t="s">
        <v>86</v>
      </c>
    </row>
    <row r="740" spans="1:34" ht="9.75" customHeight="1" x14ac:dyDescent="0.2">
      <c r="A740" s="7" t="s">
        <v>37</v>
      </c>
      <c r="B740" s="7" t="s">
        <v>38</v>
      </c>
      <c r="C740" s="7"/>
      <c r="D740" s="7" t="s">
        <v>1829</v>
      </c>
      <c r="E740" s="8">
        <v>1</v>
      </c>
      <c r="F740" s="7" t="s">
        <v>41</v>
      </c>
      <c r="G740" s="7"/>
      <c r="H740" s="9"/>
      <c r="I740" s="9"/>
      <c r="J740" s="9"/>
      <c r="K740" s="9"/>
      <c r="L740" s="10">
        <v>69</v>
      </c>
      <c r="M740" s="9"/>
      <c r="N740" s="10">
        <v>69</v>
      </c>
      <c r="O740" s="9"/>
      <c r="P740" s="10"/>
      <c r="Q740" s="10"/>
      <c r="R740" s="10"/>
      <c r="S740" s="7" t="s">
        <v>407</v>
      </c>
      <c r="T740" s="7" t="s">
        <v>1506</v>
      </c>
      <c r="U740" s="7" t="s">
        <v>44</v>
      </c>
      <c r="V740" s="7" t="s">
        <v>45</v>
      </c>
      <c r="W740" s="7" t="s">
        <v>67</v>
      </c>
      <c r="X740" s="7" t="s">
        <v>68</v>
      </c>
      <c r="Y740" s="7" t="s">
        <v>1830</v>
      </c>
      <c r="Z740" s="7" t="s">
        <v>1826</v>
      </c>
      <c r="AA740" s="7"/>
      <c r="AB740" s="7"/>
      <c r="AC740" s="7" t="s">
        <v>82</v>
      </c>
      <c r="AD740" s="7"/>
      <c r="AE740" s="7"/>
      <c r="AF740" s="7" t="s">
        <v>50</v>
      </c>
      <c r="AG740" s="7" t="s">
        <v>67</v>
      </c>
      <c r="AH740" s="7" t="s">
        <v>86</v>
      </c>
    </row>
    <row r="741" spans="1:34" ht="9.75" customHeight="1" x14ac:dyDescent="0.2">
      <c r="A741" s="7" t="s">
        <v>37</v>
      </c>
      <c r="B741" s="7" t="s">
        <v>38</v>
      </c>
      <c r="C741" s="7"/>
      <c r="D741" s="7" t="s">
        <v>1831</v>
      </c>
      <c r="E741" s="8">
        <v>1</v>
      </c>
      <c r="F741" s="7" t="s">
        <v>41</v>
      </c>
      <c r="G741" s="7"/>
      <c r="H741" s="9"/>
      <c r="I741" s="9"/>
      <c r="J741" s="9"/>
      <c r="K741" s="9"/>
      <c r="L741" s="10">
        <v>125</v>
      </c>
      <c r="M741" s="9"/>
      <c r="N741" s="10">
        <v>125</v>
      </c>
      <c r="O741" s="9"/>
      <c r="P741" s="10"/>
      <c r="Q741" s="10"/>
      <c r="R741" s="10"/>
      <c r="S741" s="7" t="s">
        <v>407</v>
      </c>
      <c r="T741" s="7" t="s">
        <v>1506</v>
      </c>
      <c r="U741" s="7" t="s">
        <v>44</v>
      </c>
      <c r="V741" s="7" t="s">
        <v>45</v>
      </c>
      <c r="W741" s="7" t="s">
        <v>67</v>
      </c>
      <c r="X741" s="7" t="s">
        <v>68</v>
      </c>
      <c r="Y741" s="7" t="s">
        <v>1832</v>
      </c>
      <c r="Z741" s="7" t="s">
        <v>1826</v>
      </c>
      <c r="AA741" s="7"/>
      <c r="AB741" s="7"/>
      <c r="AC741" s="7" t="s">
        <v>82</v>
      </c>
      <c r="AD741" s="7"/>
      <c r="AE741" s="7"/>
      <c r="AF741" s="7" t="s">
        <v>50</v>
      </c>
      <c r="AG741" s="7" t="s">
        <v>67</v>
      </c>
      <c r="AH741" s="7" t="s">
        <v>86</v>
      </c>
    </row>
    <row r="742" spans="1:34" ht="9.75" customHeight="1" x14ac:dyDescent="0.2">
      <c r="A742" s="7" t="s">
        <v>37</v>
      </c>
      <c r="B742" s="7" t="s">
        <v>38</v>
      </c>
      <c r="C742" s="7"/>
      <c r="D742" s="7" t="s">
        <v>1833</v>
      </c>
      <c r="E742" s="8">
        <v>1</v>
      </c>
      <c r="F742" s="7" t="s">
        <v>41</v>
      </c>
      <c r="G742" s="7"/>
      <c r="H742" s="9"/>
      <c r="I742" s="9"/>
      <c r="J742" s="9"/>
      <c r="K742" s="9"/>
      <c r="L742" s="10">
        <v>5846</v>
      </c>
      <c r="M742" s="9"/>
      <c r="N742" s="10">
        <v>5846</v>
      </c>
      <c r="O742" s="9"/>
      <c r="P742" s="10"/>
      <c r="Q742" s="10"/>
      <c r="R742" s="10"/>
      <c r="S742" s="7" t="s">
        <v>407</v>
      </c>
      <c r="T742" s="7" t="s">
        <v>1506</v>
      </c>
      <c r="U742" s="7" t="s">
        <v>44</v>
      </c>
      <c r="V742" s="7" t="s">
        <v>45</v>
      </c>
      <c r="W742" s="7" t="s">
        <v>67</v>
      </c>
      <c r="X742" s="7" t="s">
        <v>68</v>
      </c>
      <c r="Y742" s="7" t="s">
        <v>1834</v>
      </c>
      <c r="Z742" s="7" t="s">
        <v>1835</v>
      </c>
      <c r="AA742" s="7"/>
      <c r="AB742" s="7"/>
      <c r="AC742" s="7" t="s">
        <v>82</v>
      </c>
      <c r="AD742" s="7"/>
      <c r="AE742" s="7"/>
      <c r="AF742" s="7" t="s">
        <v>50</v>
      </c>
      <c r="AG742" s="7" t="s">
        <v>67</v>
      </c>
      <c r="AH742" s="7" t="s">
        <v>86</v>
      </c>
    </row>
    <row r="743" spans="1:34" ht="9.75" customHeight="1" x14ac:dyDescent="0.2">
      <c r="A743" s="7" t="s">
        <v>37</v>
      </c>
      <c r="B743" s="7" t="s">
        <v>38</v>
      </c>
      <c r="C743" s="7"/>
      <c r="D743" s="7" t="s">
        <v>1836</v>
      </c>
      <c r="E743" s="8">
        <v>1</v>
      </c>
      <c r="F743" s="7" t="s">
        <v>41</v>
      </c>
      <c r="G743" s="7"/>
      <c r="H743" s="9"/>
      <c r="I743" s="9"/>
      <c r="J743" s="9"/>
      <c r="K743" s="9"/>
      <c r="L743" s="10">
        <v>364</v>
      </c>
      <c r="M743" s="9"/>
      <c r="N743" s="10">
        <v>364</v>
      </c>
      <c r="O743" s="9"/>
      <c r="P743" s="10"/>
      <c r="Q743" s="10"/>
      <c r="R743" s="10"/>
      <c r="S743" s="7" t="s">
        <v>407</v>
      </c>
      <c r="T743" s="7" t="s">
        <v>1506</v>
      </c>
      <c r="U743" s="7" t="s">
        <v>44</v>
      </c>
      <c r="V743" s="7" t="s">
        <v>45</v>
      </c>
      <c r="W743" s="7" t="s">
        <v>67</v>
      </c>
      <c r="X743" s="7" t="s">
        <v>68</v>
      </c>
      <c r="Y743" s="7" t="s">
        <v>1837</v>
      </c>
      <c r="Z743" s="7" t="s">
        <v>1835</v>
      </c>
      <c r="AA743" s="7"/>
      <c r="AB743" s="7"/>
      <c r="AC743" s="7" t="s">
        <v>82</v>
      </c>
      <c r="AD743" s="7"/>
      <c r="AE743" s="7" t="s">
        <v>1838</v>
      </c>
      <c r="AF743" s="7" t="s">
        <v>50</v>
      </c>
      <c r="AG743" s="7" t="s">
        <v>67</v>
      </c>
      <c r="AH743" s="7" t="s">
        <v>86</v>
      </c>
    </row>
    <row r="744" spans="1:34" ht="9.75" customHeight="1" x14ac:dyDescent="0.2">
      <c r="A744" s="7" t="s">
        <v>37</v>
      </c>
      <c r="B744" s="7" t="s">
        <v>38</v>
      </c>
      <c r="C744" s="7"/>
      <c r="D744" s="7" t="s">
        <v>1839</v>
      </c>
      <c r="E744" s="8">
        <v>1</v>
      </c>
      <c r="F744" s="7" t="s">
        <v>41</v>
      </c>
      <c r="G744" s="7"/>
      <c r="H744" s="9"/>
      <c r="I744" s="9"/>
      <c r="J744" s="9"/>
      <c r="K744" s="9"/>
      <c r="L744" s="10">
        <v>889</v>
      </c>
      <c r="M744" s="9"/>
      <c r="N744" s="10">
        <v>889</v>
      </c>
      <c r="O744" s="9"/>
      <c r="P744" s="10"/>
      <c r="Q744" s="10"/>
      <c r="R744" s="10"/>
      <c r="S744" s="7" t="s">
        <v>407</v>
      </c>
      <c r="T744" s="7" t="s">
        <v>1506</v>
      </c>
      <c r="U744" s="7" t="s">
        <v>44</v>
      </c>
      <c r="V744" s="7" t="s">
        <v>45</v>
      </c>
      <c r="W744" s="7" t="s">
        <v>67</v>
      </c>
      <c r="X744" s="7" t="s">
        <v>68</v>
      </c>
      <c r="Y744" s="7" t="s">
        <v>1840</v>
      </c>
      <c r="Z744" s="7" t="s">
        <v>1835</v>
      </c>
      <c r="AA744" s="7"/>
      <c r="AB744" s="7"/>
      <c r="AC744" s="7" t="s">
        <v>82</v>
      </c>
      <c r="AD744" s="7"/>
      <c r="AE744" s="7"/>
      <c r="AF744" s="7" t="s">
        <v>50</v>
      </c>
      <c r="AG744" s="7" t="s">
        <v>67</v>
      </c>
      <c r="AH744" s="7" t="s">
        <v>86</v>
      </c>
    </row>
    <row r="745" spans="1:34" ht="9.75" customHeight="1" x14ac:dyDescent="0.2">
      <c r="A745" s="7" t="s">
        <v>37</v>
      </c>
      <c r="B745" s="7" t="s">
        <v>38</v>
      </c>
      <c r="C745" s="7"/>
      <c r="D745" s="7" t="s">
        <v>1841</v>
      </c>
      <c r="E745" s="8">
        <v>1</v>
      </c>
      <c r="F745" s="7" t="s">
        <v>41</v>
      </c>
      <c r="G745" s="7"/>
      <c r="H745" s="9"/>
      <c r="I745" s="9"/>
      <c r="J745" s="9"/>
      <c r="K745" s="9"/>
      <c r="L745" s="10">
        <v>233</v>
      </c>
      <c r="M745" s="9"/>
      <c r="N745" s="10">
        <v>233</v>
      </c>
      <c r="O745" s="9"/>
      <c r="P745" s="10"/>
      <c r="Q745" s="10"/>
      <c r="R745" s="10"/>
      <c r="S745" s="7" t="s">
        <v>407</v>
      </c>
      <c r="T745" s="7" t="s">
        <v>1506</v>
      </c>
      <c r="U745" s="7" t="s">
        <v>44</v>
      </c>
      <c r="V745" s="7" t="s">
        <v>45</v>
      </c>
      <c r="W745" s="7" t="s">
        <v>67</v>
      </c>
      <c r="X745" s="7" t="s">
        <v>68</v>
      </c>
      <c r="Y745" s="7" t="s">
        <v>1842</v>
      </c>
      <c r="Z745" s="7" t="s">
        <v>1835</v>
      </c>
      <c r="AA745" s="7"/>
      <c r="AB745" s="7"/>
      <c r="AC745" s="7" t="s">
        <v>82</v>
      </c>
      <c r="AD745" s="7"/>
      <c r="AE745" s="7"/>
      <c r="AF745" s="7" t="s">
        <v>50</v>
      </c>
      <c r="AG745" s="7" t="s">
        <v>67</v>
      </c>
      <c r="AH745" s="7" t="s">
        <v>86</v>
      </c>
    </row>
    <row r="746" spans="1:34" ht="9.75" customHeight="1" x14ac:dyDescent="0.2">
      <c r="A746" s="7" t="s">
        <v>37</v>
      </c>
      <c r="B746" s="7" t="s">
        <v>38</v>
      </c>
      <c r="C746" s="7"/>
      <c r="D746" s="7" t="s">
        <v>1843</v>
      </c>
      <c r="E746" s="8">
        <v>1</v>
      </c>
      <c r="F746" s="7" t="s">
        <v>41</v>
      </c>
      <c r="G746" s="7"/>
      <c r="H746" s="9"/>
      <c r="I746" s="9"/>
      <c r="J746" s="9"/>
      <c r="K746" s="9"/>
      <c r="L746" s="10">
        <v>744</v>
      </c>
      <c r="M746" s="9"/>
      <c r="N746" s="10">
        <v>744</v>
      </c>
      <c r="O746" s="9"/>
      <c r="P746" s="10"/>
      <c r="Q746" s="10"/>
      <c r="R746" s="10"/>
      <c r="S746" s="7" t="s">
        <v>407</v>
      </c>
      <c r="T746" s="7" t="s">
        <v>1506</v>
      </c>
      <c r="U746" s="7" t="s">
        <v>44</v>
      </c>
      <c r="V746" s="7" t="s">
        <v>45</v>
      </c>
      <c r="W746" s="7" t="s">
        <v>67</v>
      </c>
      <c r="X746" s="7" t="s">
        <v>68</v>
      </c>
      <c r="Y746" s="7" t="s">
        <v>1844</v>
      </c>
      <c r="Z746" s="7" t="s">
        <v>1835</v>
      </c>
      <c r="AA746" s="7"/>
      <c r="AB746" s="7"/>
      <c r="AC746" s="7" t="s">
        <v>82</v>
      </c>
      <c r="AD746" s="7"/>
      <c r="AE746" s="7"/>
      <c r="AF746" s="7" t="s">
        <v>50</v>
      </c>
      <c r="AG746" s="7" t="s">
        <v>67</v>
      </c>
      <c r="AH746" s="7" t="s">
        <v>86</v>
      </c>
    </row>
    <row r="747" spans="1:34" ht="9.75" customHeight="1" x14ac:dyDescent="0.2">
      <c r="A747" s="7" t="s">
        <v>37</v>
      </c>
      <c r="B747" s="7" t="s">
        <v>38</v>
      </c>
      <c r="C747" s="7"/>
      <c r="D747" s="7" t="s">
        <v>1845</v>
      </c>
      <c r="E747" s="8">
        <v>1</v>
      </c>
      <c r="F747" s="7" t="s">
        <v>41</v>
      </c>
      <c r="G747" s="7"/>
      <c r="H747" s="9"/>
      <c r="I747" s="9"/>
      <c r="J747" s="9"/>
      <c r="K747" s="9"/>
      <c r="L747" s="10">
        <v>6416</v>
      </c>
      <c r="M747" s="9"/>
      <c r="N747" s="10">
        <v>6416</v>
      </c>
      <c r="O747" s="9"/>
      <c r="P747" s="10"/>
      <c r="Q747" s="10"/>
      <c r="R747" s="10"/>
      <c r="S747" s="7" t="s">
        <v>407</v>
      </c>
      <c r="T747" s="7" t="s">
        <v>1506</v>
      </c>
      <c r="U747" s="7" t="s">
        <v>44</v>
      </c>
      <c r="V747" s="7" t="s">
        <v>45</v>
      </c>
      <c r="W747" s="7" t="s">
        <v>67</v>
      </c>
      <c r="X747" s="7" t="s">
        <v>68</v>
      </c>
      <c r="Y747" s="7" t="s">
        <v>1846</v>
      </c>
      <c r="Z747" s="7" t="s">
        <v>1847</v>
      </c>
      <c r="AA747" s="7"/>
      <c r="AB747" s="7"/>
      <c r="AC747" s="7" t="s">
        <v>82</v>
      </c>
      <c r="AD747" s="7"/>
      <c r="AE747" s="7"/>
      <c r="AF747" s="7" t="s">
        <v>50</v>
      </c>
      <c r="AG747" s="7" t="s">
        <v>67</v>
      </c>
      <c r="AH747" s="7" t="s">
        <v>86</v>
      </c>
    </row>
    <row r="748" spans="1:34" ht="9.75" customHeight="1" x14ac:dyDescent="0.2">
      <c r="A748" s="7" t="s">
        <v>37</v>
      </c>
      <c r="B748" s="7" t="s">
        <v>38</v>
      </c>
      <c r="C748" s="7"/>
      <c r="D748" s="7" t="s">
        <v>1848</v>
      </c>
      <c r="E748" s="8">
        <v>1</v>
      </c>
      <c r="F748" s="7" t="s">
        <v>41</v>
      </c>
      <c r="G748" s="7"/>
      <c r="H748" s="9"/>
      <c r="I748" s="9"/>
      <c r="J748" s="9"/>
      <c r="K748" s="9"/>
      <c r="L748" s="10">
        <v>858</v>
      </c>
      <c r="M748" s="9"/>
      <c r="N748" s="10">
        <v>858</v>
      </c>
      <c r="O748" s="9"/>
      <c r="P748" s="10"/>
      <c r="Q748" s="10"/>
      <c r="R748" s="10"/>
      <c r="S748" s="7" t="s">
        <v>407</v>
      </c>
      <c r="T748" s="7" t="s">
        <v>1506</v>
      </c>
      <c r="U748" s="7" t="s">
        <v>44</v>
      </c>
      <c r="V748" s="7" t="s">
        <v>45</v>
      </c>
      <c r="W748" s="7" t="s">
        <v>67</v>
      </c>
      <c r="X748" s="7" t="s">
        <v>68</v>
      </c>
      <c r="Y748" s="7" t="s">
        <v>1849</v>
      </c>
      <c r="Z748" s="7" t="s">
        <v>1847</v>
      </c>
      <c r="AA748" s="7"/>
      <c r="AB748" s="7"/>
      <c r="AC748" s="7" t="s">
        <v>82</v>
      </c>
      <c r="AD748" s="7"/>
      <c r="AE748" s="7" t="s">
        <v>1850</v>
      </c>
      <c r="AF748" s="7" t="s">
        <v>50</v>
      </c>
      <c r="AG748" s="7" t="s">
        <v>67</v>
      </c>
      <c r="AH748" s="7" t="s">
        <v>86</v>
      </c>
    </row>
    <row r="749" spans="1:34" ht="9.75" customHeight="1" x14ac:dyDescent="0.2">
      <c r="A749" s="7" t="s">
        <v>37</v>
      </c>
      <c r="B749" s="7" t="s">
        <v>38</v>
      </c>
      <c r="C749" s="7"/>
      <c r="D749" s="7" t="s">
        <v>1851</v>
      </c>
      <c r="E749" s="8">
        <v>1</v>
      </c>
      <c r="F749" s="7" t="s">
        <v>41</v>
      </c>
      <c r="G749" s="7"/>
      <c r="H749" s="9"/>
      <c r="I749" s="9"/>
      <c r="J749" s="9"/>
      <c r="K749" s="9"/>
      <c r="L749" s="10">
        <v>250</v>
      </c>
      <c r="M749" s="9"/>
      <c r="N749" s="10">
        <v>250</v>
      </c>
      <c r="O749" s="9"/>
      <c r="P749" s="10"/>
      <c r="Q749" s="10"/>
      <c r="R749" s="10"/>
      <c r="S749" s="7" t="s">
        <v>407</v>
      </c>
      <c r="T749" s="7" t="s">
        <v>1506</v>
      </c>
      <c r="U749" s="7" t="s">
        <v>44</v>
      </c>
      <c r="V749" s="7" t="s">
        <v>45</v>
      </c>
      <c r="W749" s="7" t="s">
        <v>67</v>
      </c>
      <c r="X749" s="7" t="s">
        <v>68</v>
      </c>
      <c r="Y749" s="7" t="s">
        <v>1852</v>
      </c>
      <c r="Z749" s="7" t="s">
        <v>1847</v>
      </c>
      <c r="AA749" s="7"/>
      <c r="AB749" s="7"/>
      <c r="AC749" s="7" t="s">
        <v>82</v>
      </c>
      <c r="AD749" s="7"/>
      <c r="AE749" s="7"/>
      <c r="AF749" s="7" t="s">
        <v>50</v>
      </c>
      <c r="AG749" s="7" t="s">
        <v>67</v>
      </c>
      <c r="AH749" s="7" t="s">
        <v>86</v>
      </c>
    </row>
    <row r="750" spans="1:34" ht="9.75" customHeight="1" x14ac:dyDescent="0.2">
      <c r="A750" s="7" t="s">
        <v>37</v>
      </c>
      <c r="B750" s="7" t="s">
        <v>38</v>
      </c>
      <c r="C750" s="7"/>
      <c r="D750" s="7" t="s">
        <v>1853</v>
      </c>
      <c r="E750" s="8">
        <v>1</v>
      </c>
      <c r="F750" s="7" t="s">
        <v>41</v>
      </c>
      <c r="G750" s="7"/>
      <c r="H750" s="9"/>
      <c r="I750" s="9"/>
      <c r="J750" s="9"/>
      <c r="K750" s="9"/>
      <c r="L750" s="10">
        <v>259</v>
      </c>
      <c r="M750" s="9"/>
      <c r="N750" s="10">
        <v>259</v>
      </c>
      <c r="O750" s="9"/>
      <c r="P750" s="10"/>
      <c r="Q750" s="10"/>
      <c r="R750" s="10"/>
      <c r="S750" s="7" t="s">
        <v>407</v>
      </c>
      <c r="T750" s="7" t="s">
        <v>1506</v>
      </c>
      <c r="U750" s="7" t="s">
        <v>44</v>
      </c>
      <c r="V750" s="7" t="s">
        <v>45</v>
      </c>
      <c r="W750" s="7" t="s">
        <v>67</v>
      </c>
      <c r="X750" s="7" t="s">
        <v>68</v>
      </c>
      <c r="Y750" s="7" t="s">
        <v>1854</v>
      </c>
      <c r="Z750" s="7" t="s">
        <v>1847</v>
      </c>
      <c r="AA750" s="7"/>
      <c r="AB750" s="7"/>
      <c r="AC750" s="7" t="s">
        <v>82</v>
      </c>
      <c r="AD750" s="7"/>
      <c r="AE750" s="7"/>
      <c r="AF750" s="7" t="s">
        <v>50</v>
      </c>
      <c r="AG750" s="7" t="s">
        <v>67</v>
      </c>
      <c r="AH750" s="7" t="s">
        <v>86</v>
      </c>
    </row>
    <row r="751" spans="1:34" ht="9.75" customHeight="1" x14ac:dyDescent="0.2">
      <c r="A751" s="7" t="s">
        <v>37</v>
      </c>
      <c r="B751" s="7" t="s">
        <v>38</v>
      </c>
      <c r="C751" s="7"/>
      <c r="D751" s="7" t="s">
        <v>1855</v>
      </c>
      <c r="E751" s="8">
        <v>1</v>
      </c>
      <c r="F751" s="7" t="s">
        <v>41</v>
      </c>
      <c r="G751" s="7"/>
      <c r="H751" s="9"/>
      <c r="I751" s="9"/>
      <c r="J751" s="9"/>
      <c r="K751" s="9"/>
      <c r="L751" s="10">
        <v>643</v>
      </c>
      <c r="M751" s="9"/>
      <c r="N751" s="10">
        <v>643</v>
      </c>
      <c r="O751" s="9"/>
      <c r="P751" s="10"/>
      <c r="Q751" s="10"/>
      <c r="R751" s="10"/>
      <c r="S751" s="7" t="s">
        <v>407</v>
      </c>
      <c r="T751" s="7" t="s">
        <v>1506</v>
      </c>
      <c r="U751" s="7" t="s">
        <v>44</v>
      </c>
      <c r="V751" s="7" t="s">
        <v>45</v>
      </c>
      <c r="W751" s="7" t="s">
        <v>67</v>
      </c>
      <c r="X751" s="7" t="s">
        <v>68</v>
      </c>
      <c r="Y751" s="7" t="s">
        <v>1856</v>
      </c>
      <c r="Z751" s="7" t="s">
        <v>1847</v>
      </c>
      <c r="AA751" s="7"/>
      <c r="AB751" s="7"/>
      <c r="AC751" s="7" t="s">
        <v>82</v>
      </c>
      <c r="AD751" s="7"/>
      <c r="AE751" s="7"/>
      <c r="AF751" s="7" t="s">
        <v>50</v>
      </c>
      <c r="AG751" s="7" t="s">
        <v>67</v>
      </c>
      <c r="AH751" s="7" t="s">
        <v>86</v>
      </c>
    </row>
    <row r="752" spans="1:34" ht="9.75" customHeight="1" x14ac:dyDescent="0.2">
      <c r="A752" s="7" t="s">
        <v>37</v>
      </c>
      <c r="B752" s="7" t="s">
        <v>38</v>
      </c>
      <c r="C752" s="7"/>
      <c r="D752" s="7" t="s">
        <v>1857</v>
      </c>
      <c r="E752" s="8">
        <v>1</v>
      </c>
      <c r="F752" s="7" t="s">
        <v>41</v>
      </c>
      <c r="G752" s="7"/>
      <c r="H752" s="9"/>
      <c r="I752" s="9"/>
      <c r="J752" s="9"/>
      <c r="K752" s="9"/>
      <c r="L752" s="10">
        <v>3785</v>
      </c>
      <c r="M752" s="9"/>
      <c r="N752" s="10">
        <v>3785</v>
      </c>
      <c r="O752" s="9"/>
      <c r="P752" s="10"/>
      <c r="Q752" s="10"/>
      <c r="R752" s="10"/>
      <c r="S752" s="7" t="s">
        <v>407</v>
      </c>
      <c r="T752" s="7" t="s">
        <v>1506</v>
      </c>
      <c r="U752" s="7" t="s">
        <v>44</v>
      </c>
      <c r="V752" s="7" t="s">
        <v>45</v>
      </c>
      <c r="W752" s="7" t="s">
        <v>67</v>
      </c>
      <c r="X752" s="7" t="s">
        <v>68</v>
      </c>
      <c r="Y752" s="7" t="s">
        <v>1858</v>
      </c>
      <c r="Z752" s="7" t="s">
        <v>1859</v>
      </c>
      <c r="AA752" s="7"/>
      <c r="AB752" s="7"/>
      <c r="AC752" s="7" t="s">
        <v>82</v>
      </c>
      <c r="AD752" s="7"/>
      <c r="AE752" s="7"/>
      <c r="AF752" s="7" t="s">
        <v>50</v>
      </c>
      <c r="AG752" s="7" t="s">
        <v>67</v>
      </c>
      <c r="AH752" s="7" t="s">
        <v>86</v>
      </c>
    </row>
    <row r="753" spans="1:34" ht="9.75" customHeight="1" x14ac:dyDescent="0.2">
      <c r="A753" s="7" t="s">
        <v>37</v>
      </c>
      <c r="B753" s="7" t="s">
        <v>38</v>
      </c>
      <c r="C753" s="7"/>
      <c r="D753" s="7" t="s">
        <v>1860</v>
      </c>
      <c r="E753" s="8">
        <v>1</v>
      </c>
      <c r="F753" s="7" t="s">
        <v>41</v>
      </c>
      <c r="G753" s="7"/>
      <c r="H753" s="9"/>
      <c r="I753" s="9"/>
      <c r="J753" s="9"/>
      <c r="K753" s="9"/>
      <c r="L753" s="10">
        <v>79</v>
      </c>
      <c r="M753" s="9"/>
      <c r="N753" s="10">
        <v>79</v>
      </c>
      <c r="O753" s="9"/>
      <c r="P753" s="10"/>
      <c r="Q753" s="10"/>
      <c r="R753" s="10"/>
      <c r="S753" s="7" t="s">
        <v>407</v>
      </c>
      <c r="T753" s="7" t="s">
        <v>1506</v>
      </c>
      <c r="U753" s="7" t="s">
        <v>44</v>
      </c>
      <c r="V753" s="7" t="s">
        <v>45</v>
      </c>
      <c r="W753" s="7" t="s">
        <v>67</v>
      </c>
      <c r="X753" s="7" t="s">
        <v>68</v>
      </c>
      <c r="Y753" s="7" t="s">
        <v>1861</v>
      </c>
      <c r="Z753" s="7" t="s">
        <v>1859</v>
      </c>
      <c r="AA753" s="7"/>
      <c r="AB753" s="7"/>
      <c r="AC753" s="7" t="s">
        <v>82</v>
      </c>
      <c r="AD753" s="7"/>
      <c r="AE753" s="7"/>
      <c r="AF753" s="7" t="s">
        <v>50</v>
      </c>
      <c r="AG753" s="7" t="s">
        <v>67</v>
      </c>
      <c r="AH753" s="7" t="s">
        <v>86</v>
      </c>
    </row>
    <row r="754" spans="1:34" ht="9.75" customHeight="1" x14ac:dyDescent="0.2">
      <c r="A754" s="7" t="s">
        <v>37</v>
      </c>
      <c r="B754" s="7" t="s">
        <v>38</v>
      </c>
      <c r="C754" s="7"/>
      <c r="D754" s="7" t="s">
        <v>1862</v>
      </c>
      <c r="E754" s="8">
        <v>1</v>
      </c>
      <c r="F754" s="7" t="s">
        <v>41</v>
      </c>
      <c r="G754" s="7"/>
      <c r="H754" s="9"/>
      <c r="I754" s="9"/>
      <c r="J754" s="9"/>
      <c r="K754" s="9"/>
      <c r="L754" s="10">
        <v>82</v>
      </c>
      <c r="M754" s="9"/>
      <c r="N754" s="10">
        <v>82</v>
      </c>
      <c r="O754" s="9"/>
      <c r="P754" s="10"/>
      <c r="Q754" s="10"/>
      <c r="R754" s="10"/>
      <c r="S754" s="7" t="s">
        <v>407</v>
      </c>
      <c r="T754" s="7" t="s">
        <v>1506</v>
      </c>
      <c r="U754" s="7" t="s">
        <v>44</v>
      </c>
      <c r="V754" s="7" t="s">
        <v>45</v>
      </c>
      <c r="W754" s="7" t="s">
        <v>67</v>
      </c>
      <c r="X754" s="7" t="s">
        <v>68</v>
      </c>
      <c r="Y754" s="7" t="s">
        <v>1863</v>
      </c>
      <c r="Z754" s="7" t="s">
        <v>1859</v>
      </c>
      <c r="AA754" s="7"/>
      <c r="AB754" s="7"/>
      <c r="AC754" s="7" t="s">
        <v>82</v>
      </c>
      <c r="AD754" s="7"/>
      <c r="AE754" s="7" t="s">
        <v>1864</v>
      </c>
      <c r="AF754" s="7" t="s">
        <v>50</v>
      </c>
      <c r="AG754" s="7" t="s">
        <v>67</v>
      </c>
      <c r="AH754" s="7" t="s">
        <v>86</v>
      </c>
    </row>
    <row r="755" spans="1:34" ht="9.75" customHeight="1" x14ac:dyDescent="0.2">
      <c r="A755" s="7" t="s">
        <v>37</v>
      </c>
      <c r="B755" s="7" t="s">
        <v>38</v>
      </c>
      <c r="C755" s="7"/>
      <c r="D755" s="7" t="s">
        <v>1865</v>
      </c>
      <c r="E755" s="8">
        <v>1</v>
      </c>
      <c r="F755" s="7" t="s">
        <v>41</v>
      </c>
      <c r="G755" s="7"/>
      <c r="H755" s="9"/>
      <c r="I755" s="9"/>
      <c r="J755" s="9"/>
      <c r="K755" s="9"/>
      <c r="L755" s="10">
        <v>655</v>
      </c>
      <c r="M755" s="9"/>
      <c r="N755" s="10">
        <v>655</v>
      </c>
      <c r="O755" s="9"/>
      <c r="P755" s="10"/>
      <c r="Q755" s="10"/>
      <c r="R755" s="10"/>
      <c r="S755" s="7" t="s">
        <v>407</v>
      </c>
      <c r="T755" s="7" t="s">
        <v>1506</v>
      </c>
      <c r="U755" s="7" t="s">
        <v>44</v>
      </c>
      <c r="V755" s="7" t="s">
        <v>45</v>
      </c>
      <c r="W755" s="7" t="s">
        <v>67</v>
      </c>
      <c r="X755" s="7" t="s">
        <v>68</v>
      </c>
      <c r="Y755" s="7" t="s">
        <v>1866</v>
      </c>
      <c r="Z755" s="7" t="s">
        <v>1859</v>
      </c>
      <c r="AA755" s="7"/>
      <c r="AB755" s="7"/>
      <c r="AC755" s="7" t="s">
        <v>82</v>
      </c>
      <c r="AD755" s="7"/>
      <c r="AE755" s="7"/>
      <c r="AF755" s="7" t="s">
        <v>50</v>
      </c>
      <c r="AG755" s="7" t="s">
        <v>67</v>
      </c>
      <c r="AH755" s="7" t="s">
        <v>86</v>
      </c>
    </row>
    <row r="756" spans="1:34" ht="9.75" customHeight="1" x14ac:dyDescent="0.2">
      <c r="A756" s="7" t="s">
        <v>37</v>
      </c>
      <c r="B756" s="7" t="s">
        <v>38</v>
      </c>
      <c r="C756" s="7"/>
      <c r="D756" s="7" t="s">
        <v>1867</v>
      </c>
      <c r="E756" s="8">
        <v>1</v>
      </c>
      <c r="F756" s="7" t="s">
        <v>41</v>
      </c>
      <c r="G756" s="7"/>
      <c r="H756" s="9"/>
      <c r="I756" s="9"/>
      <c r="J756" s="9"/>
      <c r="K756" s="9"/>
      <c r="L756" s="10">
        <v>3491</v>
      </c>
      <c r="M756" s="9"/>
      <c r="N756" s="10">
        <v>3491</v>
      </c>
      <c r="O756" s="9"/>
      <c r="P756" s="10"/>
      <c r="Q756" s="10"/>
      <c r="R756" s="10"/>
      <c r="S756" s="7" t="s">
        <v>407</v>
      </c>
      <c r="T756" s="7" t="s">
        <v>1506</v>
      </c>
      <c r="U756" s="7" t="s">
        <v>44</v>
      </c>
      <c r="V756" s="7" t="s">
        <v>45</v>
      </c>
      <c r="W756" s="7" t="s">
        <v>67</v>
      </c>
      <c r="X756" s="7" t="s">
        <v>68</v>
      </c>
      <c r="Y756" s="7" t="s">
        <v>1868</v>
      </c>
      <c r="Z756" s="7" t="s">
        <v>1859</v>
      </c>
      <c r="AA756" s="7"/>
      <c r="AB756" s="7"/>
      <c r="AC756" s="7" t="s">
        <v>82</v>
      </c>
      <c r="AD756" s="7"/>
      <c r="AE756" s="7"/>
      <c r="AF756" s="7" t="s">
        <v>50</v>
      </c>
      <c r="AG756" s="7" t="s">
        <v>67</v>
      </c>
      <c r="AH756" s="7" t="s">
        <v>86</v>
      </c>
    </row>
    <row r="757" spans="1:34" ht="9.75" customHeight="1" x14ac:dyDescent="0.2">
      <c r="A757" s="7" t="s">
        <v>37</v>
      </c>
      <c r="B757" s="7" t="s">
        <v>38</v>
      </c>
      <c r="C757" s="7"/>
      <c r="D757" s="7" t="s">
        <v>1869</v>
      </c>
      <c r="E757" s="8">
        <v>1</v>
      </c>
      <c r="F757" s="7" t="s">
        <v>41</v>
      </c>
      <c r="G757" s="7"/>
      <c r="H757" s="9"/>
      <c r="I757" s="9"/>
      <c r="J757" s="9"/>
      <c r="K757" s="9"/>
      <c r="L757" s="10">
        <v>11908</v>
      </c>
      <c r="M757" s="9"/>
      <c r="N757" s="10">
        <v>11908</v>
      </c>
      <c r="O757" s="9"/>
      <c r="P757" s="10"/>
      <c r="Q757" s="10"/>
      <c r="R757" s="10"/>
      <c r="S757" s="7" t="s">
        <v>407</v>
      </c>
      <c r="T757" s="7" t="s">
        <v>1506</v>
      </c>
      <c r="U757" s="7" t="s">
        <v>44</v>
      </c>
      <c r="V757" s="7" t="s">
        <v>45</v>
      </c>
      <c r="W757" s="7" t="s">
        <v>67</v>
      </c>
      <c r="X757" s="7" t="s">
        <v>68</v>
      </c>
      <c r="Y757" s="7" t="s">
        <v>1870</v>
      </c>
      <c r="Z757" s="7" t="s">
        <v>1859</v>
      </c>
      <c r="AA757" s="7"/>
      <c r="AB757" s="7"/>
      <c r="AC757" s="7" t="s">
        <v>82</v>
      </c>
      <c r="AD757" s="7"/>
      <c r="AE757" s="7"/>
      <c r="AF757" s="7" t="s">
        <v>50</v>
      </c>
      <c r="AG757" s="7" t="s">
        <v>67</v>
      </c>
      <c r="AH757" s="7" t="s">
        <v>86</v>
      </c>
    </row>
    <row r="758" spans="1:34" ht="9.75" customHeight="1" x14ac:dyDescent="0.2">
      <c r="A758" s="7" t="s">
        <v>37</v>
      </c>
      <c r="B758" s="7" t="s">
        <v>38</v>
      </c>
      <c r="C758" s="7"/>
      <c r="D758" s="7" t="s">
        <v>1871</v>
      </c>
      <c r="E758" s="8">
        <v>1</v>
      </c>
      <c r="F758" s="7" t="s">
        <v>41</v>
      </c>
      <c r="G758" s="7"/>
      <c r="H758" s="9"/>
      <c r="I758" s="9"/>
      <c r="J758" s="9"/>
      <c r="K758" s="9"/>
      <c r="L758" s="10">
        <v>4199</v>
      </c>
      <c r="M758" s="9"/>
      <c r="N758" s="10">
        <v>4199</v>
      </c>
      <c r="O758" s="9"/>
      <c r="P758" s="10"/>
      <c r="Q758" s="10"/>
      <c r="R758" s="10"/>
      <c r="S758" s="7" t="s">
        <v>407</v>
      </c>
      <c r="T758" s="7" t="s">
        <v>1506</v>
      </c>
      <c r="U758" s="7" t="s">
        <v>44</v>
      </c>
      <c r="V758" s="7" t="s">
        <v>45</v>
      </c>
      <c r="W758" s="7" t="s">
        <v>67</v>
      </c>
      <c r="X758" s="7" t="s">
        <v>68</v>
      </c>
      <c r="Y758" s="7" t="s">
        <v>1872</v>
      </c>
      <c r="Z758" s="7" t="s">
        <v>1873</v>
      </c>
      <c r="AA758" s="7"/>
      <c r="AB758" s="7"/>
      <c r="AC758" s="7" t="s">
        <v>82</v>
      </c>
      <c r="AD758" s="7"/>
      <c r="AE758" s="7"/>
      <c r="AF758" s="7" t="s">
        <v>50</v>
      </c>
      <c r="AG758" s="7" t="s">
        <v>67</v>
      </c>
      <c r="AH758" s="7" t="s">
        <v>86</v>
      </c>
    </row>
    <row r="759" spans="1:34" ht="9.75" customHeight="1" x14ac:dyDescent="0.2">
      <c r="A759" s="7" t="s">
        <v>37</v>
      </c>
      <c r="B759" s="7" t="s">
        <v>38</v>
      </c>
      <c r="C759" s="7"/>
      <c r="D759" s="7" t="s">
        <v>1874</v>
      </c>
      <c r="E759" s="8">
        <v>1</v>
      </c>
      <c r="F759" s="7" t="s">
        <v>41</v>
      </c>
      <c r="G759" s="7"/>
      <c r="H759" s="9"/>
      <c r="I759" s="9"/>
      <c r="J759" s="9"/>
      <c r="K759" s="9"/>
      <c r="L759" s="10">
        <v>52</v>
      </c>
      <c r="M759" s="9"/>
      <c r="N759" s="10">
        <v>52</v>
      </c>
      <c r="O759" s="9"/>
      <c r="P759" s="10"/>
      <c r="Q759" s="10"/>
      <c r="R759" s="10"/>
      <c r="S759" s="7" t="s">
        <v>407</v>
      </c>
      <c r="T759" s="7" t="s">
        <v>1506</v>
      </c>
      <c r="U759" s="7" t="s">
        <v>44</v>
      </c>
      <c r="V759" s="7" t="s">
        <v>45</v>
      </c>
      <c r="W759" s="7" t="s">
        <v>67</v>
      </c>
      <c r="X759" s="7" t="s">
        <v>68</v>
      </c>
      <c r="Y759" s="7" t="s">
        <v>1875</v>
      </c>
      <c r="Z759" s="7" t="s">
        <v>1873</v>
      </c>
      <c r="AA759" s="7"/>
      <c r="AB759" s="7"/>
      <c r="AC759" s="7" t="s">
        <v>82</v>
      </c>
      <c r="AD759" s="7"/>
      <c r="AE759" s="7"/>
      <c r="AF759" s="7" t="s">
        <v>50</v>
      </c>
      <c r="AG759" s="7" t="s">
        <v>67</v>
      </c>
      <c r="AH759" s="7" t="s">
        <v>86</v>
      </c>
    </row>
    <row r="760" spans="1:34" ht="9.75" customHeight="1" x14ac:dyDescent="0.2">
      <c r="A760" s="7" t="s">
        <v>37</v>
      </c>
      <c r="B760" s="7" t="s">
        <v>38</v>
      </c>
      <c r="C760" s="7"/>
      <c r="D760" s="7" t="s">
        <v>1876</v>
      </c>
      <c r="E760" s="8">
        <v>1</v>
      </c>
      <c r="F760" s="7" t="s">
        <v>41</v>
      </c>
      <c r="G760" s="7"/>
      <c r="H760" s="9"/>
      <c r="I760" s="9"/>
      <c r="J760" s="9"/>
      <c r="K760" s="9"/>
      <c r="L760" s="10">
        <v>149</v>
      </c>
      <c r="M760" s="9"/>
      <c r="N760" s="10">
        <v>149</v>
      </c>
      <c r="O760" s="9"/>
      <c r="P760" s="10"/>
      <c r="Q760" s="10"/>
      <c r="R760" s="10"/>
      <c r="S760" s="7" t="s">
        <v>407</v>
      </c>
      <c r="T760" s="7" t="s">
        <v>1506</v>
      </c>
      <c r="U760" s="7" t="s">
        <v>44</v>
      </c>
      <c r="V760" s="7" t="s">
        <v>45</v>
      </c>
      <c r="W760" s="7" t="s">
        <v>67</v>
      </c>
      <c r="X760" s="7" t="s">
        <v>68</v>
      </c>
      <c r="Y760" s="7" t="s">
        <v>1877</v>
      </c>
      <c r="Z760" s="7" t="s">
        <v>1873</v>
      </c>
      <c r="AA760" s="7"/>
      <c r="AB760" s="7"/>
      <c r="AC760" s="7" t="s">
        <v>82</v>
      </c>
      <c r="AD760" s="7"/>
      <c r="AE760" s="7"/>
      <c r="AF760" s="7" t="s">
        <v>50</v>
      </c>
      <c r="AG760" s="7" t="s">
        <v>67</v>
      </c>
      <c r="AH760" s="7" t="s">
        <v>86</v>
      </c>
    </row>
    <row r="761" spans="1:34" ht="9.75" customHeight="1" x14ac:dyDescent="0.2">
      <c r="A761" s="7" t="s">
        <v>37</v>
      </c>
      <c r="B761" s="7" t="s">
        <v>38</v>
      </c>
      <c r="C761" s="7"/>
      <c r="D761" s="7" t="s">
        <v>1878</v>
      </c>
      <c r="E761" s="8">
        <v>1</v>
      </c>
      <c r="F761" s="7" t="s">
        <v>41</v>
      </c>
      <c r="G761" s="7"/>
      <c r="H761" s="9"/>
      <c r="I761" s="9"/>
      <c r="J761" s="9"/>
      <c r="K761" s="9"/>
      <c r="L761" s="10">
        <v>496</v>
      </c>
      <c r="M761" s="9"/>
      <c r="N761" s="10">
        <v>496</v>
      </c>
      <c r="O761" s="9"/>
      <c r="P761" s="10"/>
      <c r="Q761" s="10"/>
      <c r="R761" s="10"/>
      <c r="S761" s="7" t="s">
        <v>407</v>
      </c>
      <c r="T761" s="7" t="s">
        <v>1506</v>
      </c>
      <c r="U761" s="7" t="s">
        <v>44</v>
      </c>
      <c r="V761" s="7" t="s">
        <v>45</v>
      </c>
      <c r="W761" s="7" t="s">
        <v>67</v>
      </c>
      <c r="X761" s="7" t="s">
        <v>68</v>
      </c>
      <c r="Y761" s="7" t="s">
        <v>1879</v>
      </c>
      <c r="Z761" s="7" t="s">
        <v>1873</v>
      </c>
      <c r="AA761" s="7"/>
      <c r="AB761" s="7"/>
      <c r="AC761" s="7" t="s">
        <v>82</v>
      </c>
      <c r="AD761" s="7"/>
      <c r="AE761" s="7"/>
      <c r="AF761" s="7" t="s">
        <v>50</v>
      </c>
      <c r="AG761" s="7" t="s">
        <v>67</v>
      </c>
      <c r="AH761" s="7" t="s">
        <v>86</v>
      </c>
    </row>
    <row r="762" spans="1:34" ht="9.75" customHeight="1" x14ac:dyDescent="0.2">
      <c r="A762" s="7" t="s">
        <v>37</v>
      </c>
      <c r="B762" s="7" t="s">
        <v>38</v>
      </c>
      <c r="C762" s="7"/>
      <c r="D762" s="7" t="s">
        <v>1880</v>
      </c>
      <c r="E762" s="8">
        <v>1</v>
      </c>
      <c r="F762" s="7" t="s">
        <v>41</v>
      </c>
      <c r="G762" s="7"/>
      <c r="H762" s="9"/>
      <c r="I762" s="9"/>
      <c r="J762" s="9"/>
      <c r="K762" s="9"/>
      <c r="L762" s="10">
        <v>1769</v>
      </c>
      <c r="M762" s="9"/>
      <c r="N762" s="10">
        <v>1769</v>
      </c>
      <c r="O762" s="9"/>
      <c r="P762" s="10"/>
      <c r="Q762" s="10"/>
      <c r="R762" s="10"/>
      <c r="S762" s="7" t="s">
        <v>407</v>
      </c>
      <c r="T762" s="7" t="s">
        <v>1506</v>
      </c>
      <c r="U762" s="7" t="s">
        <v>44</v>
      </c>
      <c r="V762" s="7" t="s">
        <v>45</v>
      </c>
      <c r="W762" s="7" t="s">
        <v>67</v>
      </c>
      <c r="X762" s="7" t="s">
        <v>68</v>
      </c>
      <c r="Y762" s="7" t="s">
        <v>1881</v>
      </c>
      <c r="Z762" s="7" t="s">
        <v>1873</v>
      </c>
      <c r="AA762" s="7"/>
      <c r="AB762" s="7"/>
      <c r="AC762" s="7" t="s">
        <v>82</v>
      </c>
      <c r="AD762" s="7"/>
      <c r="AE762" s="7"/>
      <c r="AF762" s="7" t="s">
        <v>50</v>
      </c>
      <c r="AG762" s="7" t="s">
        <v>67</v>
      </c>
      <c r="AH762" s="7" t="s">
        <v>86</v>
      </c>
    </row>
    <row r="763" spans="1:34" ht="9.75" customHeight="1" x14ac:dyDescent="0.2">
      <c r="A763" s="7" t="s">
        <v>37</v>
      </c>
      <c r="B763" s="7" t="s">
        <v>38</v>
      </c>
      <c r="C763" s="7"/>
      <c r="D763" s="7" t="s">
        <v>1882</v>
      </c>
      <c r="E763" s="8">
        <v>1</v>
      </c>
      <c r="F763" s="7" t="s">
        <v>41</v>
      </c>
      <c r="G763" s="7"/>
      <c r="H763" s="9"/>
      <c r="I763" s="9"/>
      <c r="J763" s="9"/>
      <c r="K763" s="9"/>
      <c r="L763" s="10">
        <v>835</v>
      </c>
      <c r="M763" s="9"/>
      <c r="N763" s="10">
        <v>835</v>
      </c>
      <c r="O763" s="9"/>
      <c r="P763" s="10"/>
      <c r="Q763" s="10"/>
      <c r="R763" s="10"/>
      <c r="S763" s="7" t="s">
        <v>407</v>
      </c>
      <c r="T763" s="7" t="s">
        <v>1506</v>
      </c>
      <c r="U763" s="7" t="s">
        <v>44</v>
      </c>
      <c r="V763" s="7" t="s">
        <v>45</v>
      </c>
      <c r="W763" s="7" t="s">
        <v>67</v>
      </c>
      <c r="X763" s="7" t="s">
        <v>68</v>
      </c>
      <c r="Y763" s="7" t="s">
        <v>1883</v>
      </c>
      <c r="Z763" s="7" t="s">
        <v>1873</v>
      </c>
      <c r="AA763" s="7"/>
      <c r="AB763" s="7"/>
      <c r="AC763" s="7" t="s">
        <v>82</v>
      </c>
      <c r="AD763" s="7"/>
      <c r="AE763" s="7"/>
      <c r="AF763" s="7" t="s">
        <v>50</v>
      </c>
      <c r="AG763" s="7" t="s">
        <v>67</v>
      </c>
      <c r="AH763" s="7" t="s">
        <v>86</v>
      </c>
    </row>
    <row r="764" spans="1:34" ht="9.75" customHeight="1" x14ac:dyDescent="0.2">
      <c r="A764" s="7" t="s">
        <v>37</v>
      </c>
      <c r="B764" s="7" t="s">
        <v>38</v>
      </c>
      <c r="C764" s="7"/>
      <c r="D764" s="7" t="s">
        <v>1884</v>
      </c>
      <c r="E764" s="8">
        <v>1</v>
      </c>
      <c r="F764" s="7" t="s">
        <v>41</v>
      </c>
      <c r="G764" s="7"/>
      <c r="H764" s="9"/>
      <c r="I764" s="9"/>
      <c r="J764" s="9"/>
      <c r="K764" s="9"/>
      <c r="L764" s="10">
        <v>1130077</v>
      </c>
      <c r="M764" s="9"/>
      <c r="N764" s="10">
        <v>1130077</v>
      </c>
      <c r="O764" s="9"/>
      <c r="P764" s="10"/>
      <c r="Q764" s="10"/>
      <c r="R764" s="10"/>
      <c r="S764" s="7" t="s">
        <v>407</v>
      </c>
      <c r="T764" s="7" t="s">
        <v>1506</v>
      </c>
      <c r="U764" s="7" t="s">
        <v>44</v>
      </c>
      <c r="V764" s="7" t="s">
        <v>45</v>
      </c>
      <c r="W764" s="7" t="s">
        <v>67</v>
      </c>
      <c r="X764" s="7" t="s">
        <v>68</v>
      </c>
      <c r="Y764" s="7" t="s">
        <v>1885</v>
      </c>
      <c r="Z764" s="7" t="s">
        <v>1886</v>
      </c>
      <c r="AA764" s="7"/>
      <c r="AB764" s="7"/>
      <c r="AC764" s="7" t="s">
        <v>82</v>
      </c>
      <c r="AD764" s="7"/>
      <c r="AE764" s="7"/>
      <c r="AF764" s="7" t="s">
        <v>50</v>
      </c>
      <c r="AG764" s="7" t="s">
        <v>67</v>
      </c>
      <c r="AH764" s="7" t="s">
        <v>86</v>
      </c>
    </row>
    <row r="765" spans="1:34" ht="9.75" customHeight="1" x14ac:dyDescent="0.2">
      <c r="A765" s="7" t="s">
        <v>37</v>
      </c>
      <c r="B765" s="7" t="s">
        <v>38</v>
      </c>
      <c r="C765" s="7"/>
      <c r="D765" s="7" t="s">
        <v>1887</v>
      </c>
      <c r="E765" s="8">
        <v>1</v>
      </c>
      <c r="F765" s="7" t="s">
        <v>41</v>
      </c>
      <c r="G765" s="7"/>
      <c r="H765" s="9"/>
      <c r="I765" s="9"/>
      <c r="J765" s="9"/>
      <c r="K765" s="9"/>
      <c r="L765" s="10">
        <v>6437</v>
      </c>
      <c r="M765" s="9"/>
      <c r="N765" s="10">
        <v>6437</v>
      </c>
      <c r="O765" s="9"/>
      <c r="P765" s="10"/>
      <c r="Q765" s="10"/>
      <c r="R765" s="10"/>
      <c r="S765" s="7" t="s">
        <v>407</v>
      </c>
      <c r="T765" s="7" t="s">
        <v>1506</v>
      </c>
      <c r="U765" s="7" t="s">
        <v>44</v>
      </c>
      <c r="V765" s="7" t="s">
        <v>45</v>
      </c>
      <c r="W765" s="7" t="s">
        <v>67</v>
      </c>
      <c r="X765" s="7" t="s">
        <v>68</v>
      </c>
      <c r="Y765" s="7" t="s">
        <v>1888</v>
      </c>
      <c r="Z765" s="7" t="s">
        <v>1886</v>
      </c>
      <c r="AA765" s="7"/>
      <c r="AB765" s="7"/>
      <c r="AC765" s="7" t="s">
        <v>82</v>
      </c>
      <c r="AD765" s="7"/>
      <c r="AE765" s="7" t="s">
        <v>1889</v>
      </c>
      <c r="AF765" s="7" t="s">
        <v>50</v>
      </c>
      <c r="AG765" s="7" t="s">
        <v>67</v>
      </c>
      <c r="AH765" s="7" t="s">
        <v>86</v>
      </c>
    </row>
    <row r="766" spans="1:34" ht="9.75" customHeight="1" x14ac:dyDescent="0.2">
      <c r="A766" s="7" t="s">
        <v>37</v>
      </c>
      <c r="B766" s="7" t="s">
        <v>38</v>
      </c>
      <c r="C766" s="7"/>
      <c r="D766" s="7" t="s">
        <v>1890</v>
      </c>
      <c r="E766" s="8">
        <v>1</v>
      </c>
      <c r="F766" s="7" t="s">
        <v>41</v>
      </c>
      <c r="G766" s="7"/>
      <c r="H766" s="9"/>
      <c r="I766" s="9"/>
      <c r="J766" s="9"/>
      <c r="K766" s="9"/>
      <c r="L766" s="10">
        <v>17291</v>
      </c>
      <c r="M766" s="9"/>
      <c r="N766" s="10">
        <v>17291</v>
      </c>
      <c r="O766" s="9"/>
      <c r="P766" s="10"/>
      <c r="Q766" s="10"/>
      <c r="R766" s="10"/>
      <c r="S766" s="7" t="s">
        <v>407</v>
      </c>
      <c r="T766" s="7" t="s">
        <v>1506</v>
      </c>
      <c r="U766" s="7" t="s">
        <v>44</v>
      </c>
      <c r="V766" s="7" t="s">
        <v>45</v>
      </c>
      <c r="W766" s="7" t="s">
        <v>67</v>
      </c>
      <c r="X766" s="7" t="s">
        <v>68</v>
      </c>
      <c r="Y766" s="7" t="s">
        <v>1891</v>
      </c>
      <c r="Z766" s="7" t="s">
        <v>1886</v>
      </c>
      <c r="AA766" s="7"/>
      <c r="AB766" s="7"/>
      <c r="AC766" s="7" t="s">
        <v>82</v>
      </c>
      <c r="AD766" s="7"/>
      <c r="AE766" s="7"/>
      <c r="AF766" s="7" t="s">
        <v>50</v>
      </c>
      <c r="AG766" s="7" t="s">
        <v>67</v>
      </c>
      <c r="AH766" s="7" t="s">
        <v>86</v>
      </c>
    </row>
    <row r="767" spans="1:34" ht="9.75" customHeight="1" x14ac:dyDescent="0.2">
      <c r="A767" s="7" t="s">
        <v>37</v>
      </c>
      <c r="B767" s="7" t="s">
        <v>38</v>
      </c>
      <c r="C767" s="7"/>
      <c r="D767" s="7" t="s">
        <v>1892</v>
      </c>
      <c r="E767" s="8">
        <v>1</v>
      </c>
      <c r="F767" s="7" t="s">
        <v>41</v>
      </c>
      <c r="G767" s="7"/>
      <c r="H767" s="9"/>
      <c r="I767" s="9"/>
      <c r="J767" s="9"/>
      <c r="K767" s="9"/>
      <c r="L767" s="10">
        <v>532</v>
      </c>
      <c r="M767" s="9"/>
      <c r="N767" s="10">
        <v>532</v>
      </c>
      <c r="O767" s="9"/>
      <c r="P767" s="10"/>
      <c r="Q767" s="10"/>
      <c r="R767" s="10"/>
      <c r="S767" s="7" t="s">
        <v>407</v>
      </c>
      <c r="T767" s="7" t="s">
        <v>1506</v>
      </c>
      <c r="U767" s="7" t="s">
        <v>44</v>
      </c>
      <c r="V767" s="7" t="s">
        <v>45</v>
      </c>
      <c r="W767" s="7" t="s">
        <v>67</v>
      </c>
      <c r="X767" s="7" t="s">
        <v>68</v>
      </c>
      <c r="Y767" s="7" t="s">
        <v>1893</v>
      </c>
      <c r="Z767" s="7" t="s">
        <v>1886</v>
      </c>
      <c r="AA767" s="7"/>
      <c r="AB767" s="7"/>
      <c r="AC767" s="7" t="s">
        <v>82</v>
      </c>
      <c r="AD767" s="7"/>
      <c r="AE767" s="7"/>
      <c r="AF767" s="7" t="s">
        <v>50</v>
      </c>
      <c r="AG767" s="7" t="s">
        <v>67</v>
      </c>
      <c r="AH767" s="7" t="s">
        <v>86</v>
      </c>
    </row>
    <row r="768" spans="1:34" ht="9.75" customHeight="1" x14ac:dyDescent="0.2">
      <c r="A768" s="7" t="s">
        <v>37</v>
      </c>
      <c r="B768" s="7" t="s">
        <v>38</v>
      </c>
      <c r="C768" s="7"/>
      <c r="D768" s="7" t="s">
        <v>1894</v>
      </c>
      <c r="E768" s="8">
        <v>1</v>
      </c>
      <c r="F768" s="7" t="s">
        <v>41</v>
      </c>
      <c r="G768" s="7"/>
      <c r="H768" s="9"/>
      <c r="I768" s="9"/>
      <c r="J768" s="9"/>
      <c r="K768" s="9"/>
      <c r="L768" s="10">
        <v>37192</v>
      </c>
      <c r="M768" s="9"/>
      <c r="N768" s="10">
        <v>37192</v>
      </c>
      <c r="O768" s="9"/>
      <c r="P768" s="10"/>
      <c r="Q768" s="10"/>
      <c r="R768" s="10"/>
      <c r="S768" s="7" t="s">
        <v>407</v>
      </c>
      <c r="T768" s="7" t="s">
        <v>1506</v>
      </c>
      <c r="U768" s="7" t="s">
        <v>44</v>
      </c>
      <c r="V768" s="7" t="s">
        <v>45</v>
      </c>
      <c r="W768" s="7" t="s">
        <v>67</v>
      </c>
      <c r="X768" s="7" t="s">
        <v>68</v>
      </c>
      <c r="Y768" s="7" t="s">
        <v>1895</v>
      </c>
      <c r="Z768" s="7" t="s">
        <v>1886</v>
      </c>
      <c r="AA768" s="7"/>
      <c r="AB768" s="7"/>
      <c r="AC768" s="7" t="s">
        <v>82</v>
      </c>
      <c r="AD768" s="7"/>
      <c r="AE768" s="7"/>
      <c r="AF768" s="7" t="s">
        <v>50</v>
      </c>
      <c r="AG768" s="7" t="s">
        <v>67</v>
      </c>
      <c r="AH768" s="7" t="s">
        <v>86</v>
      </c>
    </row>
    <row r="769" spans="1:34" ht="9.75" customHeight="1" x14ac:dyDescent="0.2">
      <c r="A769" s="7" t="s">
        <v>37</v>
      </c>
      <c r="B769" s="7" t="s">
        <v>38</v>
      </c>
      <c r="C769" s="7"/>
      <c r="D769" s="7" t="s">
        <v>1896</v>
      </c>
      <c r="E769" s="8">
        <v>1</v>
      </c>
      <c r="F769" s="7" t="s">
        <v>41</v>
      </c>
      <c r="G769" s="7"/>
      <c r="H769" s="9"/>
      <c r="I769" s="9"/>
      <c r="J769" s="9"/>
      <c r="K769" s="9"/>
      <c r="L769" s="10">
        <v>53710</v>
      </c>
      <c r="M769" s="9"/>
      <c r="N769" s="10">
        <v>53710</v>
      </c>
      <c r="O769" s="9"/>
      <c r="P769" s="10"/>
      <c r="Q769" s="10"/>
      <c r="R769" s="10"/>
      <c r="S769" s="7" t="s">
        <v>407</v>
      </c>
      <c r="T769" s="7" t="s">
        <v>1506</v>
      </c>
      <c r="U769" s="7" t="s">
        <v>44</v>
      </c>
      <c r="V769" s="7" t="s">
        <v>45</v>
      </c>
      <c r="W769" s="7" t="s">
        <v>67</v>
      </c>
      <c r="X769" s="7" t="s">
        <v>68</v>
      </c>
      <c r="Y769" s="7" t="s">
        <v>1897</v>
      </c>
      <c r="Z769" s="7" t="s">
        <v>1898</v>
      </c>
      <c r="AA769" s="7"/>
      <c r="AB769" s="7"/>
      <c r="AC769" s="7" t="s">
        <v>82</v>
      </c>
      <c r="AD769" s="7"/>
      <c r="AE769" s="7"/>
      <c r="AF769" s="7" t="s">
        <v>50</v>
      </c>
      <c r="AG769" s="7" t="s">
        <v>67</v>
      </c>
      <c r="AH769" s="7" t="s">
        <v>86</v>
      </c>
    </row>
    <row r="770" spans="1:34" ht="9.75" customHeight="1" x14ac:dyDescent="0.2">
      <c r="A770" s="7" t="s">
        <v>37</v>
      </c>
      <c r="B770" s="7" t="s">
        <v>38</v>
      </c>
      <c r="C770" s="7"/>
      <c r="D770" s="7" t="s">
        <v>1899</v>
      </c>
      <c r="E770" s="8">
        <v>1</v>
      </c>
      <c r="F770" s="7" t="s">
        <v>41</v>
      </c>
      <c r="G770" s="7"/>
      <c r="H770" s="9"/>
      <c r="I770" s="9"/>
      <c r="J770" s="9"/>
      <c r="K770" s="9"/>
      <c r="L770" s="10">
        <v>193</v>
      </c>
      <c r="M770" s="9"/>
      <c r="N770" s="10">
        <v>193</v>
      </c>
      <c r="O770" s="9"/>
      <c r="P770" s="10"/>
      <c r="Q770" s="10"/>
      <c r="R770" s="10"/>
      <c r="S770" s="7" t="s">
        <v>407</v>
      </c>
      <c r="T770" s="7" t="s">
        <v>1506</v>
      </c>
      <c r="U770" s="7" t="s">
        <v>44</v>
      </c>
      <c r="V770" s="7" t="s">
        <v>45</v>
      </c>
      <c r="W770" s="7" t="s">
        <v>67</v>
      </c>
      <c r="X770" s="7" t="s">
        <v>68</v>
      </c>
      <c r="Y770" s="7" t="s">
        <v>1900</v>
      </c>
      <c r="Z770" s="7" t="s">
        <v>1898</v>
      </c>
      <c r="AA770" s="7"/>
      <c r="AB770" s="7"/>
      <c r="AC770" s="7" t="s">
        <v>82</v>
      </c>
      <c r="AD770" s="7"/>
      <c r="AE770" s="7"/>
      <c r="AF770" s="7" t="s">
        <v>50</v>
      </c>
      <c r="AG770" s="7" t="s">
        <v>67</v>
      </c>
      <c r="AH770" s="7" t="s">
        <v>86</v>
      </c>
    </row>
    <row r="771" spans="1:34" ht="9.75" customHeight="1" x14ac:dyDescent="0.2">
      <c r="A771" s="7" t="s">
        <v>37</v>
      </c>
      <c r="B771" s="7" t="s">
        <v>38</v>
      </c>
      <c r="C771" s="7"/>
      <c r="D771" s="7" t="s">
        <v>1901</v>
      </c>
      <c r="E771" s="8">
        <v>1</v>
      </c>
      <c r="F771" s="7" t="s">
        <v>41</v>
      </c>
      <c r="G771" s="7"/>
      <c r="H771" s="9"/>
      <c r="I771" s="9"/>
      <c r="J771" s="9"/>
      <c r="K771" s="9"/>
      <c r="L771" s="10">
        <v>1439</v>
      </c>
      <c r="M771" s="9"/>
      <c r="N771" s="10">
        <v>1439</v>
      </c>
      <c r="O771" s="9"/>
      <c r="P771" s="10"/>
      <c r="Q771" s="10"/>
      <c r="R771" s="10"/>
      <c r="S771" s="7" t="s">
        <v>407</v>
      </c>
      <c r="T771" s="7" t="s">
        <v>1506</v>
      </c>
      <c r="U771" s="7" t="s">
        <v>44</v>
      </c>
      <c r="V771" s="7" t="s">
        <v>45</v>
      </c>
      <c r="W771" s="7" t="s">
        <v>67</v>
      </c>
      <c r="X771" s="7" t="s">
        <v>68</v>
      </c>
      <c r="Y771" s="7" t="s">
        <v>1902</v>
      </c>
      <c r="Z771" s="7" t="s">
        <v>1898</v>
      </c>
      <c r="AA771" s="7"/>
      <c r="AB771" s="7"/>
      <c r="AC771" s="7" t="s">
        <v>82</v>
      </c>
      <c r="AD771" s="7"/>
      <c r="AE771" s="7" t="s">
        <v>1903</v>
      </c>
      <c r="AF771" s="7" t="s">
        <v>50</v>
      </c>
      <c r="AG771" s="7" t="s">
        <v>67</v>
      </c>
      <c r="AH771" s="7" t="s">
        <v>86</v>
      </c>
    </row>
    <row r="772" spans="1:34" ht="9.75" customHeight="1" x14ac:dyDescent="0.2">
      <c r="A772" s="7" t="s">
        <v>37</v>
      </c>
      <c r="B772" s="7" t="s">
        <v>38</v>
      </c>
      <c r="C772" s="7"/>
      <c r="D772" s="7" t="s">
        <v>1904</v>
      </c>
      <c r="E772" s="8">
        <v>1</v>
      </c>
      <c r="F772" s="7" t="s">
        <v>41</v>
      </c>
      <c r="G772" s="7"/>
      <c r="H772" s="9"/>
      <c r="I772" s="9"/>
      <c r="J772" s="9"/>
      <c r="K772" s="9"/>
      <c r="L772" s="10">
        <v>8745</v>
      </c>
      <c r="M772" s="9"/>
      <c r="N772" s="10">
        <v>8745</v>
      </c>
      <c r="O772" s="9"/>
      <c r="P772" s="10"/>
      <c r="Q772" s="10"/>
      <c r="R772" s="10"/>
      <c r="S772" s="7" t="s">
        <v>407</v>
      </c>
      <c r="T772" s="7" t="s">
        <v>1506</v>
      </c>
      <c r="U772" s="7" t="s">
        <v>44</v>
      </c>
      <c r="V772" s="7" t="s">
        <v>45</v>
      </c>
      <c r="W772" s="7" t="s">
        <v>67</v>
      </c>
      <c r="X772" s="7" t="s">
        <v>68</v>
      </c>
      <c r="Y772" s="7" t="s">
        <v>1905</v>
      </c>
      <c r="Z772" s="7" t="s">
        <v>1898</v>
      </c>
      <c r="AA772" s="7"/>
      <c r="AB772" s="7"/>
      <c r="AC772" s="7" t="s">
        <v>82</v>
      </c>
      <c r="AD772" s="7"/>
      <c r="AE772" s="7"/>
      <c r="AF772" s="7" t="s">
        <v>50</v>
      </c>
      <c r="AG772" s="7" t="s">
        <v>67</v>
      </c>
      <c r="AH772" s="7" t="s">
        <v>86</v>
      </c>
    </row>
    <row r="773" spans="1:34" ht="9.75" customHeight="1" x14ac:dyDescent="0.2">
      <c r="A773" s="7" t="s">
        <v>37</v>
      </c>
      <c r="B773" s="7" t="s">
        <v>38</v>
      </c>
      <c r="C773" s="7"/>
      <c r="D773" s="7" t="s">
        <v>1906</v>
      </c>
      <c r="E773" s="8">
        <v>1</v>
      </c>
      <c r="F773" s="7" t="s">
        <v>41</v>
      </c>
      <c r="G773" s="7"/>
      <c r="H773" s="9"/>
      <c r="I773" s="9"/>
      <c r="J773" s="9"/>
      <c r="K773" s="9"/>
      <c r="L773" s="10">
        <v>5114</v>
      </c>
      <c r="M773" s="9"/>
      <c r="N773" s="10">
        <v>5114</v>
      </c>
      <c r="O773" s="9"/>
      <c r="P773" s="10"/>
      <c r="Q773" s="10"/>
      <c r="R773" s="10"/>
      <c r="S773" s="7" t="s">
        <v>407</v>
      </c>
      <c r="T773" s="7" t="s">
        <v>1506</v>
      </c>
      <c r="U773" s="7" t="s">
        <v>44</v>
      </c>
      <c r="V773" s="7" t="s">
        <v>45</v>
      </c>
      <c r="W773" s="7" t="s">
        <v>67</v>
      </c>
      <c r="X773" s="7" t="s">
        <v>68</v>
      </c>
      <c r="Y773" s="7" t="s">
        <v>1907</v>
      </c>
      <c r="Z773" s="7" t="s">
        <v>1898</v>
      </c>
      <c r="AA773" s="7"/>
      <c r="AB773" s="7"/>
      <c r="AC773" s="7" t="s">
        <v>82</v>
      </c>
      <c r="AD773" s="7"/>
      <c r="AE773" s="7"/>
      <c r="AF773" s="7" t="s">
        <v>50</v>
      </c>
      <c r="AG773" s="7" t="s">
        <v>67</v>
      </c>
      <c r="AH773" s="7" t="s">
        <v>86</v>
      </c>
    </row>
    <row r="774" spans="1:34" ht="9.75" customHeight="1" x14ac:dyDescent="0.2">
      <c r="A774" s="7" t="s">
        <v>37</v>
      </c>
      <c r="B774" s="7" t="s">
        <v>38</v>
      </c>
      <c r="C774" s="7"/>
      <c r="D774" s="7" t="s">
        <v>1908</v>
      </c>
      <c r="E774" s="8">
        <v>1</v>
      </c>
      <c r="F774" s="7" t="s">
        <v>41</v>
      </c>
      <c r="G774" s="7"/>
      <c r="H774" s="9"/>
      <c r="I774" s="9"/>
      <c r="J774" s="9"/>
      <c r="K774" s="9"/>
      <c r="L774" s="10">
        <v>6177</v>
      </c>
      <c r="M774" s="9"/>
      <c r="N774" s="10">
        <v>6177</v>
      </c>
      <c r="O774" s="9"/>
      <c r="P774" s="10"/>
      <c r="Q774" s="10"/>
      <c r="R774" s="10"/>
      <c r="S774" s="7" t="s">
        <v>407</v>
      </c>
      <c r="T774" s="7" t="s">
        <v>1506</v>
      </c>
      <c r="U774" s="7" t="s">
        <v>44</v>
      </c>
      <c r="V774" s="7" t="s">
        <v>45</v>
      </c>
      <c r="W774" s="7" t="s">
        <v>67</v>
      </c>
      <c r="X774" s="7" t="s">
        <v>68</v>
      </c>
      <c r="Y774" s="7" t="s">
        <v>1909</v>
      </c>
      <c r="Z774" s="7" t="s">
        <v>1898</v>
      </c>
      <c r="AA774" s="7"/>
      <c r="AB774" s="7"/>
      <c r="AC774" s="7" t="s">
        <v>82</v>
      </c>
      <c r="AD774" s="7"/>
      <c r="AE774" s="7"/>
      <c r="AF774" s="7" t="s">
        <v>50</v>
      </c>
      <c r="AG774" s="7" t="s">
        <v>67</v>
      </c>
      <c r="AH774" s="7" t="s">
        <v>86</v>
      </c>
    </row>
    <row r="775" spans="1:34" ht="9.75" customHeight="1" x14ac:dyDescent="0.2">
      <c r="A775" s="7" t="s">
        <v>37</v>
      </c>
      <c r="B775" s="7" t="s">
        <v>38</v>
      </c>
      <c r="C775" s="7"/>
      <c r="D775" s="7" t="s">
        <v>1910</v>
      </c>
      <c r="E775" s="8">
        <v>1</v>
      </c>
      <c r="F775" s="7" t="s">
        <v>41</v>
      </c>
      <c r="G775" s="7"/>
      <c r="H775" s="9"/>
      <c r="I775" s="9"/>
      <c r="J775" s="9"/>
      <c r="K775" s="9"/>
      <c r="L775" s="10">
        <v>551603</v>
      </c>
      <c r="M775" s="9"/>
      <c r="N775" s="10">
        <v>551603</v>
      </c>
      <c r="O775" s="9"/>
      <c r="P775" s="10"/>
      <c r="Q775" s="10"/>
      <c r="R775" s="10"/>
      <c r="S775" s="7" t="s">
        <v>407</v>
      </c>
      <c r="T775" s="7" t="s">
        <v>1506</v>
      </c>
      <c r="U775" s="7" t="s">
        <v>44</v>
      </c>
      <c r="V775" s="7" t="s">
        <v>45</v>
      </c>
      <c r="W775" s="7" t="s">
        <v>67</v>
      </c>
      <c r="X775" s="7" t="s">
        <v>68</v>
      </c>
      <c r="Y775" s="7" t="s">
        <v>1911</v>
      </c>
      <c r="Z775" s="7" t="s">
        <v>1912</v>
      </c>
      <c r="AA775" s="7"/>
      <c r="AB775" s="7"/>
      <c r="AC775" s="7" t="s">
        <v>82</v>
      </c>
      <c r="AD775" s="7"/>
      <c r="AE775" s="7"/>
      <c r="AF775" s="7" t="s">
        <v>50</v>
      </c>
      <c r="AG775" s="7" t="s">
        <v>67</v>
      </c>
      <c r="AH775" s="7" t="s">
        <v>86</v>
      </c>
    </row>
    <row r="776" spans="1:34" ht="9.75" customHeight="1" x14ac:dyDescent="0.2">
      <c r="A776" s="7" t="s">
        <v>37</v>
      </c>
      <c r="B776" s="7" t="s">
        <v>38</v>
      </c>
      <c r="C776" s="7"/>
      <c r="D776" s="7" t="s">
        <v>1913</v>
      </c>
      <c r="E776" s="8">
        <v>1</v>
      </c>
      <c r="F776" s="7" t="s">
        <v>41</v>
      </c>
      <c r="G776" s="7"/>
      <c r="H776" s="9"/>
      <c r="I776" s="9"/>
      <c r="J776" s="9"/>
      <c r="K776" s="9"/>
      <c r="L776" s="10">
        <v>200</v>
      </c>
      <c r="M776" s="9"/>
      <c r="N776" s="10">
        <v>200</v>
      </c>
      <c r="O776" s="9"/>
      <c r="P776" s="10"/>
      <c r="Q776" s="10"/>
      <c r="R776" s="10"/>
      <c r="S776" s="7" t="s">
        <v>407</v>
      </c>
      <c r="T776" s="7" t="s">
        <v>1506</v>
      </c>
      <c r="U776" s="7" t="s">
        <v>44</v>
      </c>
      <c r="V776" s="7" t="s">
        <v>45</v>
      </c>
      <c r="W776" s="7" t="s">
        <v>67</v>
      </c>
      <c r="X776" s="7" t="s">
        <v>68</v>
      </c>
      <c r="Y776" s="7" t="s">
        <v>1914</v>
      </c>
      <c r="Z776" s="7" t="s">
        <v>1912</v>
      </c>
      <c r="AA776" s="7"/>
      <c r="AB776" s="7"/>
      <c r="AC776" s="7" t="s">
        <v>82</v>
      </c>
      <c r="AD776" s="7"/>
      <c r="AE776" s="7"/>
      <c r="AF776" s="7" t="s">
        <v>50</v>
      </c>
      <c r="AG776" s="7" t="s">
        <v>67</v>
      </c>
      <c r="AH776" s="7" t="s">
        <v>86</v>
      </c>
    </row>
    <row r="777" spans="1:34" ht="9.75" customHeight="1" x14ac:dyDescent="0.2">
      <c r="A777" s="7" t="s">
        <v>37</v>
      </c>
      <c r="B777" s="7" t="s">
        <v>38</v>
      </c>
      <c r="C777" s="7"/>
      <c r="D777" s="7" t="s">
        <v>1915</v>
      </c>
      <c r="E777" s="8">
        <v>1</v>
      </c>
      <c r="F777" s="7" t="s">
        <v>41</v>
      </c>
      <c r="G777" s="7"/>
      <c r="H777" s="9"/>
      <c r="I777" s="9"/>
      <c r="J777" s="9"/>
      <c r="K777" s="9"/>
      <c r="L777" s="10">
        <v>13108</v>
      </c>
      <c r="M777" s="9"/>
      <c r="N777" s="10">
        <v>13108</v>
      </c>
      <c r="O777" s="9"/>
      <c r="P777" s="10"/>
      <c r="Q777" s="10"/>
      <c r="R777" s="10"/>
      <c r="S777" s="7" t="s">
        <v>407</v>
      </c>
      <c r="T777" s="7" t="s">
        <v>1506</v>
      </c>
      <c r="U777" s="7" t="s">
        <v>44</v>
      </c>
      <c r="V777" s="7" t="s">
        <v>45</v>
      </c>
      <c r="W777" s="7" t="s">
        <v>67</v>
      </c>
      <c r="X777" s="7" t="s">
        <v>68</v>
      </c>
      <c r="Y777" s="7" t="s">
        <v>1916</v>
      </c>
      <c r="Z777" s="7" t="s">
        <v>1912</v>
      </c>
      <c r="AA777" s="7"/>
      <c r="AB777" s="7"/>
      <c r="AC777" s="7" t="s">
        <v>82</v>
      </c>
      <c r="AD777" s="7"/>
      <c r="AE777" s="7"/>
      <c r="AF777" s="7" t="s">
        <v>50</v>
      </c>
      <c r="AG777" s="7" t="s">
        <v>67</v>
      </c>
      <c r="AH777" s="7" t="s">
        <v>86</v>
      </c>
    </row>
    <row r="778" spans="1:34" ht="9.75" customHeight="1" x14ac:dyDescent="0.2">
      <c r="A778" s="7" t="s">
        <v>37</v>
      </c>
      <c r="B778" s="7" t="s">
        <v>38</v>
      </c>
      <c r="C778" s="7"/>
      <c r="D778" s="7" t="s">
        <v>1917</v>
      </c>
      <c r="E778" s="8">
        <v>1</v>
      </c>
      <c r="F778" s="7" t="s">
        <v>41</v>
      </c>
      <c r="G778" s="7"/>
      <c r="H778" s="9"/>
      <c r="I778" s="9"/>
      <c r="J778" s="9"/>
      <c r="K778" s="9"/>
      <c r="L778" s="10">
        <v>488</v>
      </c>
      <c r="M778" s="9"/>
      <c r="N778" s="10">
        <v>488</v>
      </c>
      <c r="O778" s="9"/>
      <c r="P778" s="10"/>
      <c r="Q778" s="10"/>
      <c r="R778" s="10"/>
      <c r="S778" s="7" t="s">
        <v>407</v>
      </c>
      <c r="T778" s="7" t="s">
        <v>1506</v>
      </c>
      <c r="U778" s="7" t="s">
        <v>44</v>
      </c>
      <c r="V778" s="7" t="s">
        <v>45</v>
      </c>
      <c r="W778" s="7" t="s">
        <v>67</v>
      </c>
      <c r="X778" s="7" t="s">
        <v>68</v>
      </c>
      <c r="Y778" s="7" t="s">
        <v>1918</v>
      </c>
      <c r="Z778" s="7" t="s">
        <v>1912</v>
      </c>
      <c r="AA778" s="7"/>
      <c r="AB778" s="7"/>
      <c r="AC778" s="7" t="s">
        <v>82</v>
      </c>
      <c r="AD778" s="7"/>
      <c r="AE778" s="7"/>
      <c r="AF778" s="7" t="s">
        <v>50</v>
      </c>
      <c r="AG778" s="7" t="s">
        <v>67</v>
      </c>
      <c r="AH778" s="7" t="s">
        <v>86</v>
      </c>
    </row>
    <row r="779" spans="1:34" ht="9.75" customHeight="1" x14ac:dyDescent="0.2">
      <c r="A779" s="7" t="s">
        <v>37</v>
      </c>
      <c r="B779" s="7" t="s">
        <v>38</v>
      </c>
      <c r="C779" s="7"/>
      <c r="D779" s="7" t="s">
        <v>1919</v>
      </c>
      <c r="E779" s="8">
        <v>1</v>
      </c>
      <c r="F779" s="7" t="s">
        <v>41</v>
      </c>
      <c r="G779" s="7"/>
      <c r="H779" s="9"/>
      <c r="I779" s="9"/>
      <c r="J779" s="9"/>
      <c r="K779" s="9"/>
      <c r="L779" s="10">
        <v>30711</v>
      </c>
      <c r="M779" s="9"/>
      <c r="N779" s="10">
        <v>30711</v>
      </c>
      <c r="O779" s="9"/>
      <c r="P779" s="10"/>
      <c r="Q779" s="10"/>
      <c r="R779" s="10"/>
      <c r="S779" s="7" t="s">
        <v>407</v>
      </c>
      <c r="T779" s="7" t="s">
        <v>1506</v>
      </c>
      <c r="U779" s="7" t="s">
        <v>44</v>
      </c>
      <c r="V779" s="7" t="s">
        <v>45</v>
      </c>
      <c r="W779" s="7" t="s">
        <v>67</v>
      </c>
      <c r="X779" s="7" t="s">
        <v>68</v>
      </c>
      <c r="Y779" s="7" t="s">
        <v>1920</v>
      </c>
      <c r="Z779" s="7" t="s">
        <v>1912</v>
      </c>
      <c r="AA779" s="7"/>
      <c r="AB779" s="7"/>
      <c r="AC779" s="7" t="s">
        <v>82</v>
      </c>
      <c r="AD779" s="7"/>
      <c r="AE779" s="7"/>
      <c r="AF779" s="7" t="s">
        <v>50</v>
      </c>
      <c r="AG779" s="7" t="s">
        <v>67</v>
      </c>
      <c r="AH779" s="7" t="s">
        <v>86</v>
      </c>
    </row>
    <row r="780" spans="1:34" ht="9.75" customHeight="1" x14ac:dyDescent="0.2">
      <c r="A780" s="7" t="s">
        <v>37</v>
      </c>
      <c r="B780" s="7" t="s">
        <v>38</v>
      </c>
      <c r="C780" s="7"/>
      <c r="D780" s="7" t="s">
        <v>1921</v>
      </c>
      <c r="E780" s="8">
        <v>1</v>
      </c>
      <c r="F780" s="7" t="s">
        <v>41</v>
      </c>
      <c r="G780" s="7"/>
      <c r="H780" s="9"/>
      <c r="I780" s="9"/>
      <c r="J780" s="9"/>
      <c r="K780" s="9"/>
      <c r="L780" s="10">
        <v>22657</v>
      </c>
      <c r="M780" s="9"/>
      <c r="N780" s="10">
        <v>22657</v>
      </c>
      <c r="O780" s="9"/>
      <c r="P780" s="10"/>
      <c r="Q780" s="10"/>
      <c r="R780" s="10"/>
      <c r="S780" s="7" t="s">
        <v>407</v>
      </c>
      <c r="T780" s="7" t="s">
        <v>1506</v>
      </c>
      <c r="U780" s="7" t="s">
        <v>44</v>
      </c>
      <c r="V780" s="7" t="s">
        <v>45</v>
      </c>
      <c r="W780" s="7" t="s">
        <v>67</v>
      </c>
      <c r="X780" s="7" t="s">
        <v>68</v>
      </c>
      <c r="Y780" s="7" t="s">
        <v>1922</v>
      </c>
      <c r="Z780" s="7" t="s">
        <v>1923</v>
      </c>
      <c r="AA780" s="7"/>
      <c r="AB780" s="7"/>
      <c r="AC780" s="7" t="s">
        <v>82</v>
      </c>
      <c r="AD780" s="7"/>
      <c r="AE780" s="7"/>
      <c r="AF780" s="7" t="s">
        <v>50</v>
      </c>
      <c r="AG780" s="7" t="s">
        <v>67</v>
      </c>
      <c r="AH780" s="7" t="s">
        <v>86</v>
      </c>
    </row>
    <row r="781" spans="1:34" ht="9.75" customHeight="1" x14ac:dyDescent="0.2">
      <c r="A781" s="7" t="s">
        <v>37</v>
      </c>
      <c r="B781" s="7" t="s">
        <v>38</v>
      </c>
      <c r="C781" s="7"/>
      <c r="D781" s="7" t="s">
        <v>1924</v>
      </c>
      <c r="E781" s="8">
        <v>1</v>
      </c>
      <c r="F781" s="7" t="s">
        <v>41</v>
      </c>
      <c r="G781" s="7"/>
      <c r="H781" s="9"/>
      <c r="I781" s="9"/>
      <c r="J781" s="9"/>
      <c r="K781" s="9"/>
      <c r="L781" s="10">
        <v>278</v>
      </c>
      <c r="M781" s="9"/>
      <c r="N781" s="10">
        <v>278</v>
      </c>
      <c r="O781" s="9"/>
      <c r="P781" s="10"/>
      <c r="Q781" s="10"/>
      <c r="R781" s="10"/>
      <c r="S781" s="7" t="s">
        <v>407</v>
      </c>
      <c r="T781" s="7" t="s">
        <v>1506</v>
      </c>
      <c r="U781" s="7" t="s">
        <v>44</v>
      </c>
      <c r="V781" s="7" t="s">
        <v>45</v>
      </c>
      <c r="W781" s="7" t="s">
        <v>67</v>
      </c>
      <c r="X781" s="7" t="s">
        <v>68</v>
      </c>
      <c r="Y781" s="7" t="s">
        <v>1925</v>
      </c>
      <c r="Z781" s="7" t="s">
        <v>1923</v>
      </c>
      <c r="AA781" s="7"/>
      <c r="AB781" s="7"/>
      <c r="AC781" s="7" t="s">
        <v>82</v>
      </c>
      <c r="AD781" s="7"/>
      <c r="AE781" s="7"/>
      <c r="AF781" s="7" t="s">
        <v>50</v>
      </c>
      <c r="AG781" s="7" t="s">
        <v>67</v>
      </c>
      <c r="AH781" s="7" t="s">
        <v>86</v>
      </c>
    </row>
    <row r="782" spans="1:34" ht="9.75" customHeight="1" x14ac:dyDescent="0.2">
      <c r="A782" s="7" t="s">
        <v>37</v>
      </c>
      <c r="B782" s="7" t="s">
        <v>38</v>
      </c>
      <c r="C782" s="7"/>
      <c r="D782" s="7" t="s">
        <v>1926</v>
      </c>
      <c r="E782" s="8">
        <v>1</v>
      </c>
      <c r="F782" s="7" t="s">
        <v>41</v>
      </c>
      <c r="G782" s="7"/>
      <c r="H782" s="9"/>
      <c r="I782" s="9"/>
      <c r="J782" s="9"/>
      <c r="K782" s="9"/>
      <c r="L782" s="10">
        <v>485</v>
      </c>
      <c r="M782" s="9"/>
      <c r="N782" s="10">
        <v>485</v>
      </c>
      <c r="O782" s="9"/>
      <c r="P782" s="10"/>
      <c r="Q782" s="10"/>
      <c r="R782" s="10"/>
      <c r="S782" s="7" t="s">
        <v>407</v>
      </c>
      <c r="T782" s="7" t="s">
        <v>1506</v>
      </c>
      <c r="U782" s="7" t="s">
        <v>44</v>
      </c>
      <c r="V782" s="7" t="s">
        <v>45</v>
      </c>
      <c r="W782" s="7" t="s">
        <v>67</v>
      </c>
      <c r="X782" s="7" t="s">
        <v>68</v>
      </c>
      <c r="Y782" s="7" t="s">
        <v>1927</v>
      </c>
      <c r="Z782" s="7" t="s">
        <v>1923</v>
      </c>
      <c r="AA782" s="7"/>
      <c r="AB782" s="7"/>
      <c r="AC782" s="7" t="s">
        <v>82</v>
      </c>
      <c r="AD782" s="7"/>
      <c r="AE782" s="7" t="s">
        <v>1396</v>
      </c>
      <c r="AF782" s="7" t="s">
        <v>50</v>
      </c>
      <c r="AG782" s="7" t="s">
        <v>67</v>
      </c>
      <c r="AH782" s="7" t="s">
        <v>86</v>
      </c>
    </row>
    <row r="783" spans="1:34" ht="9.75" customHeight="1" x14ac:dyDescent="0.2">
      <c r="A783" s="7" t="s">
        <v>37</v>
      </c>
      <c r="B783" s="7" t="s">
        <v>38</v>
      </c>
      <c r="C783" s="7"/>
      <c r="D783" s="7" t="s">
        <v>1928</v>
      </c>
      <c r="E783" s="8">
        <v>1</v>
      </c>
      <c r="F783" s="7" t="s">
        <v>41</v>
      </c>
      <c r="G783" s="7"/>
      <c r="H783" s="9"/>
      <c r="I783" s="9"/>
      <c r="J783" s="9"/>
      <c r="K783" s="9"/>
      <c r="L783" s="10">
        <v>1768</v>
      </c>
      <c r="M783" s="9"/>
      <c r="N783" s="10">
        <v>1768</v>
      </c>
      <c r="O783" s="9"/>
      <c r="P783" s="10"/>
      <c r="Q783" s="10"/>
      <c r="R783" s="10"/>
      <c r="S783" s="7" t="s">
        <v>407</v>
      </c>
      <c r="T783" s="7" t="s">
        <v>1506</v>
      </c>
      <c r="U783" s="7" t="s">
        <v>44</v>
      </c>
      <c r="V783" s="7" t="s">
        <v>45</v>
      </c>
      <c r="W783" s="7" t="s">
        <v>67</v>
      </c>
      <c r="X783" s="7" t="s">
        <v>68</v>
      </c>
      <c r="Y783" s="7" t="s">
        <v>1929</v>
      </c>
      <c r="Z783" s="7" t="s">
        <v>1923</v>
      </c>
      <c r="AA783" s="7"/>
      <c r="AB783" s="7"/>
      <c r="AC783" s="7" t="s">
        <v>82</v>
      </c>
      <c r="AD783" s="7"/>
      <c r="AE783" s="7"/>
      <c r="AF783" s="7" t="s">
        <v>50</v>
      </c>
      <c r="AG783" s="7" t="s">
        <v>67</v>
      </c>
      <c r="AH783" s="7" t="s">
        <v>86</v>
      </c>
    </row>
    <row r="784" spans="1:34" ht="9.75" customHeight="1" x14ac:dyDescent="0.2">
      <c r="A784" s="7" t="s">
        <v>37</v>
      </c>
      <c r="B784" s="7" t="s">
        <v>38</v>
      </c>
      <c r="C784" s="7"/>
      <c r="D784" s="7" t="s">
        <v>1930</v>
      </c>
      <c r="E784" s="8">
        <v>1</v>
      </c>
      <c r="F784" s="7" t="s">
        <v>41</v>
      </c>
      <c r="G784" s="7"/>
      <c r="H784" s="9"/>
      <c r="I784" s="9"/>
      <c r="J784" s="9"/>
      <c r="K784" s="9"/>
      <c r="L784" s="10">
        <v>988</v>
      </c>
      <c r="M784" s="9"/>
      <c r="N784" s="10">
        <v>988</v>
      </c>
      <c r="O784" s="9"/>
      <c r="P784" s="10"/>
      <c r="Q784" s="10"/>
      <c r="R784" s="10"/>
      <c r="S784" s="7" t="s">
        <v>407</v>
      </c>
      <c r="T784" s="7" t="s">
        <v>1506</v>
      </c>
      <c r="U784" s="7" t="s">
        <v>44</v>
      </c>
      <c r="V784" s="7" t="s">
        <v>45</v>
      </c>
      <c r="W784" s="7" t="s">
        <v>67</v>
      </c>
      <c r="X784" s="7" t="s">
        <v>68</v>
      </c>
      <c r="Y784" s="7" t="s">
        <v>1931</v>
      </c>
      <c r="Z784" s="7" t="s">
        <v>1923</v>
      </c>
      <c r="AA784" s="7"/>
      <c r="AB784" s="7"/>
      <c r="AC784" s="7" t="s">
        <v>82</v>
      </c>
      <c r="AD784" s="7"/>
      <c r="AE784" s="7"/>
      <c r="AF784" s="7" t="s">
        <v>50</v>
      </c>
      <c r="AG784" s="7" t="s">
        <v>67</v>
      </c>
      <c r="AH784" s="7" t="s">
        <v>86</v>
      </c>
    </row>
    <row r="785" spans="1:34" ht="9.75" customHeight="1" x14ac:dyDescent="0.2">
      <c r="A785" s="7" t="s">
        <v>37</v>
      </c>
      <c r="B785" s="7" t="s">
        <v>38</v>
      </c>
      <c r="C785" s="7"/>
      <c r="D785" s="7" t="s">
        <v>1932</v>
      </c>
      <c r="E785" s="8">
        <v>1</v>
      </c>
      <c r="F785" s="7" t="s">
        <v>41</v>
      </c>
      <c r="G785" s="7"/>
      <c r="H785" s="9"/>
      <c r="I785" s="9"/>
      <c r="J785" s="9"/>
      <c r="K785" s="9"/>
      <c r="L785" s="10">
        <v>2167</v>
      </c>
      <c r="M785" s="9"/>
      <c r="N785" s="10">
        <v>2167</v>
      </c>
      <c r="O785" s="9"/>
      <c r="P785" s="10"/>
      <c r="Q785" s="10"/>
      <c r="R785" s="10"/>
      <c r="S785" s="7" t="s">
        <v>407</v>
      </c>
      <c r="T785" s="7" t="s">
        <v>1506</v>
      </c>
      <c r="U785" s="7" t="s">
        <v>44</v>
      </c>
      <c r="V785" s="7" t="s">
        <v>45</v>
      </c>
      <c r="W785" s="7" t="s">
        <v>67</v>
      </c>
      <c r="X785" s="7" t="s">
        <v>68</v>
      </c>
      <c r="Y785" s="7" t="s">
        <v>1933</v>
      </c>
      <c r="Z785" s="7" t="s">
        <v>1923</v>
      </c>
      <c r="AA785" s="7"/>
      <c r="AB785" s="7"/>
      <c r="AC785" s="7" t="s">
        <v>82</v>
      </c>
      <c r="AD785" s="7"/>
      <c r="AE785" s="7"/>
      <c r="AF785" s="7" t="s">
        <v>50</v>
      </c>
      <c r="AG785" s="7" t="s">
        <v>67</v>
      </c>
      <c r="AH785" s="7" t="s">
        <v>86</v>
      </c>
    </row>
    <row r="786" spans="1:34" ht="9.75" customHeight="1" x14ac:dyDescent="0.2">
      <c r="A786" s="7" t="s">
        <v>37</v>
      </c>
      <c r="B786" s="7" t="s">
        <v>38</v>
      </c>
      <c r="C786" s="7"/>
      <c r="D786" s="7" t="s">
        <v>1934</v>
      </c>
      <c r="E786" s="8">
        <v>1</v>
      </c>
      <c r="F786" s="7" t="s">
        <v>41</v>
      </c>
      <c r="G786" s="7"/>
      <c r="H786" s="9"/>
      <c r="I786" s="9"/>
      <c r="J786" s="9"/>
      <c r="K786" s="9"/>
      <c r="L786" s="10">
        <v>3100</v>
      </c>
      <c r="M786" s="9"/>
      <c r="N786" s="10">
        <v>3100</v>
      </c>
      <c r="O786" s="9"/>
      <c r="P786" s="10"/>
      <c r="Q786" s="10"/>
      <c r="R786" s="10"/>
      <c r="S786" s="7" t="s">
        <v>407</v>
      </c>
      <c r="T786" s="7" t="s">
        <v>1506</v>
      </c>
      <c r="U786" s="7" t="s">
        <v>44</v>
      </c>
      <c r="V786" s="7" t="s">
        <v>45</v>
      </c>
      <c r="W786" s="7" t="s">
        <v>67</v>
      </c>
      <c r="X786" s="7" t="s">
        <v>68</v>
      </c>
      <c r="Y786" s="7" t="s">
        <v>1935</v>
      </c>
      <c r="Z786" s="7" t="s">
        <v>1936</v>
      </c>
      <c r="AA786" s="7"/>
      <c r="AB786" s="7"/>
      <c r="AC786" s="7" t="s">
        <v>82</v>
      </c>
      <c r="AD786" s="7"/>
      <c r="AE786" s="7"/>
      <c r="AF786" s="7" t="s">
        <v>50</v>
      </c>
      <c r="AG786" s="7" t="s">
        <v>67</v>
      </c>
      <c r="AH786" s="7" t="s">
        <v>86</v>
      </c>
    </row>
    <row r="787" spans="1:34" ht="9.75" customHeight="1" x14ac:dyDescent="0.2">
      <c r="A787" s="7" t="s">
        <v>37</v>
      </c>
      <c r="B787" s="7" t="s">
        <v>38</v>
      </c>
      <c r="C787" s="7"/>
      <c r="D787" s="7" t="s">
        <v>1937</v>
      </c>
      <c r="E787" s="8">
        <v>1</v>
      </c>
      <c r="F787" s="7" t="s">
        <v>41</v>
      </c>
      <c r="G787" s="7"/>
      <c r="H787" s="9"/>
      <c r="I787" s="9"/>
      <c r="J787" s="9"/>
      <c r="K787" s="9"/>
      <c r="L787" s="10">
        <v>220</v>
      </c>
      <c r="M787" s="9"/>
      <c r="N787" s="10">
        <v>220</v>
      </c>
      <c r="O787" s="9"/>
      <c r="P787" s="10"/>
      <c r="Q787" s="10"/>
      <c r="R787" s="10"/>
      <c r="S787" s="7" t="s">
        <v>407</v>
      </c>
      <c r="T787" s="7" t="s">
        <v>1506</v>
      </c>
      <c r="U787" s="7" t="s">
        <v>44</v>
      </c>
      <c r="V787" s="7" t="s">
        <v>45</v>
      </c>
      <c r="W787" s="7" t="s">
        <v>67</v>
      </c>
      <c r="X787" s="7" t="s">
        <v>68</v>
      </c>
      <c r="Y787" s="7" t="s">
        <v>1938</v>
      </c>
      <c r="Z787" s="7" t="s">
        <v>1936</v>
      </c>
      <c r="AA787" s="7"/>
      <c r="AB787" s="7"/>
      <c r="AC787" s="7" t="s">
        <v>82</v>
      </c>
      <c r="AD787" s="7"/>
      <c r="AE787" s="7" t="s">
        <v>1939</v>
      </c>
      <c r="AF787" s="7" t="s">
        <v>50</v>
      </c>
      <c r="AG787" s="7" t="s">
        <v>67</v>
      </c>
      <c r="AH787" s="7" t="s">
        <v>86</v>
      </c>
    </row>
    <row r="788" spans="1:34" ht="9.75" customHeight="1" x14ac:dyDescent="0.2">
      <c r="A788" s="7" t="s">
        <v>37</v>
      </c>
      <c r="B788" s="7" t="s">
        <v>38</v>
      </c>
      <c r="C788" s="7"/>
      <c r="D788" s="7" t="s">
        <v>1940</v>
      </c>
      <c r="E788" s="8">
        <v>1</v>
      </c>
      <c r="F788" s="7" t="s">
        <v>41</v>
      </c>
      <c r="G788" s="7"/>
      <c r="H788" s="9"/>
      <c r="I788" s="9"/>
      <c r="J788" s="9"/>
      <c r="K788" s="9"/>
      <c r="L788" s="10">
        <v>93</v>
      </c>
      <c r="M788" s="9"/>
      <c r="N788" s="10">
        <v>93</v>
      </c>
      <c r="O788" s="9"/>
      <c r="P788" s="10"/>
      <c r="Q788" s="10"/>
      <c r="R788" s="10"/>
      <c r="S788" s="7" t="s">
        <v>407</v>
      </c>
      <c r="T788" s="7" t="s">
        <v>1506</v>
      </c>
      <c r="U788" s="7" t="s">
        <v>44</v>
      </c>
      <c r="V788" s="7" t="s">
        <v>45</v>
      </c>
      <c r="W788" s="7" t="s">
        <v>67</v>
      </c>
      <c r="X788" s="7" t="s">
        <v>68</v>
      </c>
      <c r="Y788" s="7" t="s">
        <v>1941</v>
      </c>
      <c r="Z788" s="7" t="s">
        <v>1936</v>
      </c>
      <c r="AA788" s="7"/>
      <c r="AB788" s="7"/>
      <c r="AC788" s="7" t="s">
        <v>82</v>
      </c>
      <c r="AD788" s="7"/>
      <c r="AE788" s="7"/>
      <c r="AF788" s="7" t="s">
        <v>50</v>
      </c>
      <c r="AG788" s="7" t="s">
        <v>67</v>
      </c>
      <c r="AH788" s="7" t="s">
        <v>86</v>
      </c>
    </row>
    <row r="789" spans="1:34" ht="9.75" customHeight="1" x14ac:dyDescent="0.2">
      <c r="A789" s="7" t="s">
        <v>37</v>
      </c>
      <c r="B789" s="7" t="s">
        <v>38</v>
      </c>
      <c r="C789" s="7"/>
      <c r="D789" s="7" t="s">
        <v>1942</v>
      </c>
      <c r="E789" s="8">
        <v>1</v>
      </c>
      <c r="F789" s="7" t="s">
        <v>41</v>
      </c>
      <c r="G789" s="7"/>
      <c r="H789" s="9"/>
      <c r="I789" s="9"/>
      <c r="J789" s="9"/>
      <c r="K789" s="9"/>
      <c r="L789" s="10">
        <v>271</v>
      </c>
      <c r="M789" s="9"/>
      <c r="N789" s="10">
        <v>271</v>
      </c>
      <c r="O789" s="9"/>
      <c r="P789" s="10"/>
      <c r="Q789" s="10"/>
      <c r="R789" s="10"/>
      <c r="S789" s="7" t="s">
        <v>407</v>
      </c>
      <c r="T789" s="7" t="s">
        <v>1506</v>
      </c>
      <c r="U789" s="7" t="s">
        <v>44</v>
      </c>
      <c r="V789" s="7" t="s">
        <v>45</v>
      </c>
      <c r="W789" s="7" t="s">
        <v>67</v>
      </c>
      <c r="X789" s="7" t="s">
        <v>68</v>
      </c>
      <c r="Y789" s="7" t="s">
        <v>1943</v>
      </c>
      <c r="Z789" s="7" t="s">
        <v>1936</v>
      </c>
      <c r="AA789" s="7"/>
      <c r="AB789" s="7"/>
      <c r="AC789" s="7" t="s">
        <v>82</v>
      </c>
      <c r="AD789" s="7"/>
      <c r="AE789" s="7"/>
      <c r="AF789" s="7" t="s">
        <v>50</v>
      </c>
      <c r="AG789" s="7" t="s">
        <v>67</v>
      </c>
      <c r="AH789" s="7" t="s">
        <v>86</v>
      </c>
    </row>
    <row r="790" spans="1:34" ht="9.75" customHeight="1" x14ac:dyDescent="0.2">
      <c r="A790" s="7" t="s">
        <v>37</v>
      </c>
      <c r="B790" s="7" t="s">
        <v>38</v>
      </c>
      <c r="C790" s="7"/>
      <c r="D790" s="7" t="s">
        <v>1944</v>
      </c>
      <c r="E790" s="8">
        <v>1</v>
      </c>
      <c r="F790" s="7" t="s">
        <v>41</v>
      </c>
      <c r="G790" s="7"/>
      <c r="H790" s="9"/>
      <c r="I790" s="9"/>
      <c r="J790" s="9"/>
      <c r="K790" s="9"/>
      <c r="L790" s="10">
        <v>40165</v>
      </c>
      <c r="M790" s="9"/>
      <c r="N790" s="10">
        <v>40165</v>
      </c>
      <c r="O790" s="9"/>
      <c r="P790" s="10"/>
      <c r="Q790" s="10"/>
      <c r="R790" s="10"/>
      <c r="S790" s="7" t="s">
        <v>407</v>
      </c>
      <c r="T790" s="7" t="s">
        <v>1506</v>
      </c>
      <c r="U790" s="7" t="s">
        <v>44</v>
      </c>
      <c r="V790" s="7" t="s">
        <v>45</v>
      </c>
      <c r="W790" s="7" t="s">
        <v>67</v>
      </c>
      <c r="X790" s="7" t="s">
        <v>68</v>
      </c>
      <c r="Y790" s="7" t="s">
        <v>1945</v>
      </c>
      <c r="Z790" s="7" t="s">
        <v>1946</v>
      </c>
      <c r="AA790" s="7"/>
      <c r="AB790" s="7"/>
      <c r="AC790" s="7" t="s">
        <v>82</v>
      </c>
      <c r="AD790" s="7"/>
      <c r="AE790" s="7"/>
      <c r="AF790" s="7" t="s">
        <v>50</v>
      </c>
      <c r="AG790" s="7" t="s">
        <v>67</v>
      </c>
      <c r="AH790" s="7" t="s">
        <v>86</v>
      </c>
    </row>
    <row r="791" spans="1:34" ht="9.75" customHeight="1" x14ac:dyDescent="0.2">
      <c r="A791" s="7" t="s">
        <v>37</v>
      </c>
      <c r="B791" s="7" t="s">
        <v>38</v>
      </c>
      <c r="C791" s="7"/>
      <c r="D791" s="7" t="s">
        <v>1947</v>
      </c>
      <c r="E791" s="8">
        <v>1</v>
      </c>
      <c r="F791" s="7" t="s">
        <v>41</v>
      </c>
      <c r="G791" s="7"/>
      <c r="H791" s="9"/>
      <c r="I791" s="9"/>
      <c r="J791" s="9"/>
      <c r="K791" s="9"/>
      <c r="L791" s="10">
        <v>432</v>
      </c>
      <c r="M791" s="9"/>
      <c r="N791" s="10">
        <v>432</v>
      </c>
      <c r="O791" s="9"/>
      <c r="P791" s="10"/>
      <c r="Q791" s="10"/>
      <c r="R791" s="10"/>
      <c r="S791" s="7" t="s">
        <v>407</v>
      </c>
      <c r="T791" s="7" t="s">
        <v>1506</v>
      </c>
      <c r="U791" s="7" t="s">
        <v>44</v>
      </c>
      <c r="V791" s="7" t="s">
        <v>45</v>
      </c>
      <c r="W791" s="7" t="s">
        <v>67</v>
      </c>
      <c r="X791" s="7" t="s">
        <v>68</v>
      </c>
      <c r="Y791" s="7" t="s">
        <v>1948</v>
      </c>
      <c r="Z791" s="7" t="s">
        <v>1946</v>
      </c>
      <c r="AA791" s="7"/>
      <c r="AB791" s="7"/>
      <c r="AC791" s="7" t="s">
        <v>82</v>
      </c>
      <c r="AD791" s="7"/>
      <c r="AE791" s="7"/>
      <c r="AF791" s="7" t="s">
        <v>50</v>
      </c>
      <c r="AG791" s="7" t="s">
        <v>67</v>
      </c>
      <c r="AH791" s="7" t="s">
        <v>86</v>
      </c>
    </row>
    <row r="792" spans="1:34" ht="9.75" customHeight="1" x14ac:dyDescent="0.2">
      <c r="A792" s="7" t="s">
        <v>37</v>
      </c>
      <c r="B792" s="7" t="s">
        <v>38</v>
      </c>
      <c r="C792" s="7"/>
      <c r="D792" s="7" t="s">
        <v>1949</v>
      </c>
      <c r="E792" s="8">
        <v>1</v>
      </c>
      <c r="F792" s="7" t="s">
        <v>41</v>
      </c>
      <c r="G792" s="7"/>
      <c r="H792" s="9"/>
      <c r="I792" s="9"/>
      <c r="J792" s="9"/>
      <c r="K792" s="9"/>
      <c r="L792" s="10">
        <v>1788</v>
      </c>
      <c r="M792" s="9"/>
      <c r="N792" s="10">
        <v>1788</v>
      </c>
      <c r="O792" s="9"/>
      <c r="P792" s="10"/>
      <c r="Q792" s="10"/>
      <c r="R792" s="10"/>
      <c r="S792" s="7" t="s">
        <v>407</v>
      </c>
      <c r="T792" s="7" t="s">
        <v>1506</v>
      </c>
      <c r="U792" s="7" t="s">
        <v>44</v>
      </c>
      <c r="V792" s="7" t="s">
        <v>45</v>
      </c>
      <c r="W792" s="7" t="s">
        <v>67</v>
      </c>
      <c r="X792" s="7" t="s">
        <v>68</v>
      </c>
      <c r="Y792" s="7" t="s">
        <v>1950</v>
      </c>
      <c r="Z792" s="7" t="s">
        <v>1946</v>
      </c>
      <c r="AA792" s="7"/>
      <c r="AB792" s="7"/>
      <c r="AC792" s="7" t="s">
        <v>82</v>
      </c>
      <c r="AD792" s="7"/>
      <c r="AE792" s="7" t="s">
        <v>1951</v>
      </c>
      <c r="AF792" s="7" t="s">
        <v>50</v>
      </c>
      <c r="AG792" s="7" t="s">
        <v>67</v>
      </c>
      <c r="AH792" s="7" t="s">
        <v>86</v>
      </c>
    </row>
    <row r="793" spans="1:34" ht="9.75" customHeight="1" x14ac:dyDescent="0.2">
      <c r="A793" s="7" t="s">
        <v>37</v>
      </c>
      <c r="B793" s="7" t="s">
        <v>38</v>
      </c>
      <c r="C793" s="7"/>
      <c r="D793" s="7" t="s">
        <v>1952</v>
      </c>
      <c r="E793" s="8">
        <v>1</v>
      </c>
      <c r="F793" s="7" t="s">
        <v>41</v>
      </c>
      <c r="G793" s="7"/>
      <c r="H793" s="9"/>
      <c r="I793" s="9"/>
      <c r="J793" s="9"/>
      <c r="K793" s="9"/>
      <c r="L793" s="10">
        <v>811</v>
      </c>
      <c r="M793" s="9"/>
      <c r="N793" s="10">
        <v>811</v>
      </c>
      <c r="O793" s="9"/>
      <c r="P793" s="10"/>
      <c r="Q793" s="10"/>
      <c r="R793" s="10"/>
      <c r="S793" s="7" t="s">
        <v>407</v>
      </c>
      <c r="T793" s="7" t="s">
        <v>1506</v>
      </c>
      <c r="U793" s="7" t="s">
        <v>44</v>
      </c>
      <c r="V793" s="7" t="s">
        <v>45</v>
      </c>
      <c r="W793" s="7" t="s">
        <v>67</v>
      </c>
      <c r="X793" s="7" t="s">
        <v>68</v>
      </c>
      <c r="Y793" s="7" t="s">
        <v>1953</v>
      </c>
      <c r="Z793" s="7" t="s">
        <v>1946</v>
      </c>
      <c r="AA793" s="7"/>
      <c r="AB793" s="7"/>
      <c r="AC793" s="7" t="s">
        <v>82</v>
      </c>
      <c r="AD793" s="7"/>
      <c r="AE793" s="7"/>
      <c r="AF793" s="7" t="s">
        <v>50</v>
      </c>
      <c r="AG793" s="7" t="s">
        <v>67</v>
      </c>
      <c r="AH793" s="7" t="s">
        <v>86</v>
      </c>
    </row>
    <row r="794" spans="1:34" ht="9.75" customHeight="1" x14ac:dyDescent="0.2">
      <c r="A794" s="7" t="s">
        <v>37</v>
      </c>
      <c r="B794" s="7" t="s">
        <v>38</v>
      </c>
      <c r="C794" s="7"/>
      <c r="D794" s="7" t="s">
        <v>1954</v>
      </c>
      <c r="E794" s="8">
        <v>1</v>
      </c>
      <c r="F794" s="7" t="s">
        <v>41</v>
      </c>
      <c r="G794" s="7"/>
      <c r="H794" s="9"/>
      <c r="I794" s="9"/>
      <c r="J794" s="9"/>
      <c r="K794" s="9"/>
      <c r="L794" s="10">
        <v>768</v>
      </c>
      <c r="M794" s="9"/>
      <c r="N794" s="10">
        <v>768</v>
      </c>
      <c r="O794" s="9"/>
      <c r="P794" s="10"/>
      <c r="Q794" s="10"/>
      <c r="R794" s="10"/>
      <c r="S794" s="7" t="s">
        <v>407</v>
      </c>
      <c r="T794" s="7" t="s">
        <v>1506</v>
      </c>
      <c r="U794" s="7" t="s">
        <v>44</v>
      </c>
      <c r="V794" s="7" t="s">
        <v>45</v>
      </c>
      <c r="W794" s="7" t="s">
        <v>67</v>
      </c>
      <c r="X794" s="7" t="s">
        <v>68</v>
      </c>
      <c r="Y794" s="7" t="s">
        <v>1955</v>
      </c>
      <c r="Z794" s="7" t="s">
        <v>1946</v>
      </c>
      <c r="AA794" s="7"/>
      <c r="AB794" s="7"/>
      <c r="AC794" s="7" t="s">
        <v>82</v>
      </c>
      <c r="AD794" s="7"/>
      <c r="AE794" s="7"/>
      <c r="AF794" s="7" t="s">
        <v>50</v>
      </c>
      <c r="AG794" s="7" t="s">
        <v>67</v>
      </c>
      <c r="AH794" s="7" t="s">
        <v>86</v>
      </c>
    </row>
    <row r="795" spans="1:34" ht="9.75" customHeight="1" x14ac:dyDescent="0.2">
      <c r="A795" s="7" t="s">
        <v>37</v>
      </c>
      <c r="B795" s="7" t="s">
        <v>38</v>
      </c>
      <c r="C795" s="7"/>
      <c r="D795" s="7" t="s">
        <v>1956</v>
      </c>
      <c r="E795" s="8">
        <v>1</v>
      </c>
      <c r="F795" s="7" t="s">
        <v>41</v>
      </c>
      <c r="G795" s="7"/>
      <c r="H795" s="9"/>
      <c r="I795" s="9"/>
      <c r="J795" s="9"/>
      <c r="K795" s="9"/>
      <c r="L795" s="10">
        <v>1885</v>
      </c>
      <c r="M795" s="9"/>
      <c r="N795" s="10">
        <v>1885</v>
      </c>
      <c r="O795" s="9"/>
      <c r="P795" s="10"/>
      <c r="Q795" s="10"/>
      <c r="R795" s="10"/>
      <c r="S795" s="7" t="s">
        <v>407</v>
      </c>
      <c r="T795" s="7" t="s">
        <v>1506</v>
      </c>
      <c r="U795" s="7" t="s">
        <v>44</v>
      </c>
      <c r="V795" s="7" t="s">
        <v>45</v>
      </c>
      <c r="W795" s="7" t="s">
        <v>67</v>
      </c>
      <c r="X795" s="7" t="s">
        <v>68</v>
      </c>
      <c r="Y795" s="7" t="s">
        <v>1957</v>
      </c>
      <c r="Z795" s="7" t="s">
        <v>1946</v>
      </c>
      <c r="AA795" s="7"/>
      <c r="AB795" s="7"/>
      <c r="AC795" s="7" t="s">
        <v>82</v>
      </c>
      <c r="AD795" s="7"/>
      <c r="AE795" s="7"/>
      <c r="AF795" s="7" t="s">
        <v>50</v>
      </c>
      <c r="AG795" s="7" t="s">
        <v>67</v>
      </c>
      <c r="AH795" s="7" t="s">
        <v>86</v>
      </c>
    </row>
    <row r="796" spans="1:34" ht="9.75" customHeight="1" x14ac:dyDescent="0.2">
      <c r="A796" s="7" t="s">
        <v>37</v>
      </c>
      <c r="B796" s="7" t="s">
        <v>38</v>
      </c>
      <c r="C796" s="7"/>
      <c r="D796" s="7" t="s">
        <v>1958</v>
      </c>
      <c r="E796" s="8">
        <v>1</v>
      </c>
      <c r="F796" s="7" t="s">
        <v>41</v>
      </c>
      <c r="G796" s="7"/>
      <c r="H796" s="9"/>
      <c r="I796" s="9"/>
      <c r="J796" s="9"/>
      <c r="K796" s="9"/>
      <c r="L796" s="10">
        <v>5108</v>
      </c>
      <c r="M796" s="9"/>
      <c r="N796" s="10">
        <v>5108</v>
      </c>
      <c r="O796" s="9"/>
      <c r="P796" s="10"/>
      <c r="Q796" s="10"/>
      <c r="R796" s="10"/>
      <c r="S796" s="7" t="s">
        <v>407</v>
      </c>
      <c r="T796" s="7" t="s">
        <v>1506</v>
      </c>
      <c r="U796" s="7" t="s">
        <v>44</v>
      </c>
      <c r="V796" s="7" t="s">
        <v>45</v>
      </c>
      <c r="W796" s="7" t="s">
        <v>67</v>
      </c>
      <c r="X796" s="7" t="s">
        <v>68</v>
      </c>
      <c r="Y796" s="7" t="s">
        <v>1959</v>
      </c>
      <c r="Z796" s="7" t="s">
        <v>1960</v>
      </c>
      <c r="AA796" s="7"/>
      <c r="AB796" s="7"/>
      <c r="AC796" s="7" t="s">
        <v>82</v>
      </c>
      <c r="AD796" s="7"/>
      <c r="AE796" s="7"/>
      <c r="AF796" s="7" t="s">
        <v>50</v>
      </c>
      <c r="AG796" s="7" t="s">
        <v>67</v>
      </c>
      <c r="AH796" s="7" t="s">
        <v>86</v>
      </c>
    </row>
    <row r="797" spans="1:34" ht="9.75" customHeight="1" x14ac:dyDescent="0.2">
      <c r="A797" s="7" t="s">
        <v>37</v>
      </c>
      <c r="B797" s="7" t="s">
        <v>38</v>
      </c>
      <c r="C797" s="7"/>
      <c r="D797" s="7" t="s">
        <v>1961</v>
      </c>
      <c r="E797" s="8">
        <v>1</v>
      </c>
      <c r="F797" s="7" t="s">
        <v>41</v>
      </c>
      <c r="G797" s="7"/>
      <c r="H797" s="9"/>
      <c r="I797" s="9"/>
      <c r="J797" s="9"/>
      <c r="K797" s="9"/>
      <c r="L797" s="10">
        <v>944</v>
      </c>
      <c r="M797" s="9"/>
      <c r="N797" s="10">
        <v>944</v>
      </c>
      <c r="O797" s="9"/>
      <c r="P797" s="10"/>
      <c r="Q797" s="10"/>
      <c r="R797" s="10"/>
      <c r="S797" s="7" t="s">
        <v>407</v>
      </c>
      <c r="T797" s="7" t="s">
        <v>1506</v>
      </c>
      <c r="U797" s="7" t="s">
        <v>44</v>
      </c>
      <c r="V797" s="7" t="s">
        <v>45</v>
      </c>
      <c r="W797" s="7" t="s">
        <v>67</v>
      </c>
      <c r="X797" s="7" t="s">
        <v>68</v>
      </c>
      <c r="Y797" s="7" t="s">
        <v>1962</v>
      </c>
      <c r="Z797" s="7" t="s">
        <v>1960</v>
      </c>
      <c r="AA797" s="7"/>
      <c r="AB797" s="7"/>
      <c r="AC797" s="7" t="s">
        <v>82</v>
      </c>
      <c r="AD797" s="7"/>
      <c r="AE797" s="7"/>
      <c r="AF797" s="7" t="s">
        <v>50</v>
      </c>
      <c r="AG797" s="7" t="s">
        <v>67</v>
      </c>
      <c r="AH797" s="7" t="s">
        <v>86</v>
      </c>
    </row>
    <row r="798" spans="1:34" ht="9.75" customHeight="1" x14ac:dyDescent="0.2">
      <c r="A798" s="7" t="s">
        <v>37</v>
      </c>
      <c r="B798" s="7" t="s">
        <v>38</v>
      </c>
      <c r="C798" s="7"/>
      <c r="D798" s="7" t="s">
        <v>1963</v>
      </c>
      <c r="E798" s="8">
        <v>1</v>
      </c>
      <c r="F798" s="7" t="s">
        <v>41</v>
      </c>
      <c r="G798" s="7"/>
      <c r="H798" s="9"/>
      <c r="I798" s="9"/>
      <c r="J798" s="9"/>
      <c r="K798" s="9"/>
      <c r="L798" s="10">
        <v>588</v>
      </c>
      <c r="M798" s="9"/>
      <c r="N798" s="10">
        <v>588</v>
      </c>
      <c r="O798" s="9"/>
      <c r="P798" s="10"/>
      <c r="Q798" s="10"/>
      <c r="R798" s="10"/>
      <c r="S798" s="7" t="s">
        <v>407</v>
      </c>
      <c r="T798" s="7" t="s">
        <v>1506</v>
      </c>
      <c r="U798" s="7" t="s">
        <v>44</v>
      </c>
      <c r="V798" s="7" t="s">
        <v>45</v>
      </c>
      <c r="W798" s="7" t="s">
        <v>67</v>
      </c>
      <c r="X798" s="7" t="s">
        <v>68</v>
      </c>
      <c r="Y798" s="7" t="s">
        <v>1964</v>
      </c>
      <c r="Z798" s="7" t="s">
        <v>1960</v>
      </c>
      <c r="AA798" s="7"/>
      <c r="AB798" s="7"/>
      <c r="AC798" s="7" t="s">
        <v>82</v>
      </c>
      <c r="AD798" s="7"/>
      <c r="AE798" s="7"/>
      <c r="AF798" s="7" t="s">
        <v>50</v>
      </c>
      <c r="AG798" s="7" t="s">
        <v>67</v>
      </c>
      <c r="AH798" s="7" t="s">
        <v>86</v>
      </c>
    </row>
    <row r="799" spans="1:34" ht="9.75" customHeight="1" x14ac:dyDescent="0.2">
      <c r="A799" s="7" t="s">
        <v>37</v>
      </c>
      <c r="B799" s="7" t="s">
        <v>38</v>
      </c>
      <c r="C799" s="7"/>
      <c r="D799" s="7" t="s">
        <v>1965</v>
      </c>
      <c r="E799" s="8">
        <v>1</v>
      </c>
      <c r="F799" s="7" t="s">
        <v>41</v>
      </c>
      <c r="G799" s="7"/>
      <c r="H799" s="9"/>
      <c r="I799" s="9"/>
      <c r="J799" s="9"/>
      <c r="K799" s="9"/>
      <c r="L799" s="10">
        <v>2132</v>
      </c>
      <c r="M799" s="9"/>
      <c r="N799" s="10">
        <v>2132</v>
      </c>
      <c r="O799" s="9"/>
      <c r="P799" s="10"/>
      <c r="Q799" s="10"/>
      <c r="R799" s="10"/>
      <c r="S799" s="7" t="s">
        <v>407</v>
      </c>
      <c r="T799" s="7" t="s">
        <v>1506</v>
      </c>
      <c r="U799" s="7" t="s">
        <v>44</v>
      </c>
      <c r="V799" s="7" t="s">
        <v>45</v>
      </c>
      <c r="W799" s="7" t="s">
        <v>67</v>
      </c>
      <c r="X799" s="7" t="s">
        <v>68</v>
      </c>
      <c r="Y799" s="7" t="s">
        <v>1966</v>
      </c>
      <c r="Z799" s="7" t="s">
        <v>1960</v>
      </c>
      <c r="AA799" s="7"/>
      <c r="AB799" s="7"/>
      <c r="AC799" s="7" t="s">
        <v>82</v>
      </c>
      <c r="AD799" s="7"/>
      <c r="AE799" s="7"/>
      <c r="AF799" s="7" t="s">
        <v>50</v>
      </c>
      <c r="AG799" s="7" t="s">
        <v>67</v>
      </c>
      <c r="AH799" s="7" t="s">
        <v>86</v>
      </c>
    </row>
    <row r="800" spans="1:34" ht="9.75" customHeight="1" x14ac:dyDescent="0.2">
      <c r="A800" s="7" t="s">
        <v>37</v>
      </c>
      <c r="B800" s="7" t="s">
        <v>38</v>
      </c>
      <c r="C800" s="7"/>
      <c r="D800" s="7" t="s">
        <v>1967</v>
      </c>
      <c r="E800" s="8">
        <v>1</v>
      </c>
      <c r="F800" s="7" t="s">
        <v>41</v>
      </c>
      <c r="G800" s="7"/>
      <c r="H800" s="9"/>
      <c r="I800" s="9"/>
      <c r="J800" s="9"/>
      <c r="K800" s="9"/>
      <c r="L800" s="10">
        <v>18650</v>
      </c>
      <c r="M800" s="9"/>
      <c r="N800" s="10">
        <v>18650</v>
      </c>
      <c r="O800" s="9"/>
      <c r="P800" s="10"/>
      <c r="Q800" s="10"/>
      <c r="R800" s="10"/>
      <c r="S800" s="7" t="s">
        <v>407</v>
      </c>
      <c r="T800" s="7" t="s">
        <v>1506</v>
      </c>
      <c r="U800" s="7" t="s">
        <v>44</v>
      </c>
      <c r="V800" s="7" t="s">
        <v>45</v>
      </c>
      <c r="W800" s="7" t="s">
        <v>67</v>
      </c>
      <c r="X800" s="7" t="s">
        <v>68</v>
      </c>
      <c r="Y800" s="7" t="s">
        <v>1968</v>
      </c>
      <c r="Z800" s="7" t="s">
        <v>1969</v>
      </c>
      <c r="AA800" s="7"/>
      <c r="AB800" s="7"/>
      <c r="AC800" s="7" t="s">
        <v>82</v>
      </c>
      <c r="AD800" s="7"/>
      <c r="AE800" s="7"/>
      <c r="AF800" s="7" t="s">
        <v>50</v>
      </c>
      <c r="AG800" s="7" t="s">
        <v>67</v>
      </c>
      <c r="AH800" s="7" t="s">
        <v>86</v>
      </c>
    </row>
    <row r="801" spans="1:34" ht="9.75" customHeight="1" x14ac:dyDescent="0.2">
      <c r="A801" s="7" t="s">
        <v>37</v>
      </c>
      <c r="B801" s="7" t="s">
        <v>38</v>
      </c>
      <c r="C801" s="7"/>
      <c r="D801" s="7" t="s">
        <v>1970</v>
      </c>
      <c r="E801" s="8">
        <v>1</v>
      </c>
      <c r="F801" s="7" t="s">
        <v>41</v>
      </c>
      <c r="G801" s="7"/>
      <c r="H801" s="9"/>
      <c r="I801" s="9"/>
      <c r="J801" s="9"/>
      <c r="K801" s="9"/>
      <c r="L801" s="10">
        <v>293</v>
      </c>
      <c r="M801" s="9"/>
      <c r="N801" s="10">
        <v>293</v>
      </c>
      <c r="O801" s="9"/>
      <c r="P801" s="10"/>
      <c r="Q801" s="10"/>
      <c r="R801" s="10"/>
      <c r="S801" s="7" t="s">
        <v>407</v>
      </c>
      <c r="T801" s="7" t="s">
        <v>1506</v>
      </c>
      <c r="U801" s="7" t="s">
        <v>44</v>
      </c>
      <c r="V801" s="7" t="s">
        <v>45</v>
      </c>
      <c r="W801" s="7" t="s">
        <v>67</v>
      </c>
      <c r="X801" s="7" t="s">
        <v>68</v>
      </c>
      <c r="Y801" s="7" t="s">
        <v>1971</v>
      </c>
      <c r="Z801" s="7" t="s">
        <v>1969</v>
      </c>
      <c r="AA801" s="7"/>
      <c r="AB801" s="7"/>
      <c r="AC801" s="7" t="s">
        <v>82</v>
      </c>
      <c r="AD801" s="7"/>
      <c r="AE801" s="7"/>
      <c r="AF801" s="7" t="s">
        <v>50</v>
      </c>
      <c r="AG801" s="7" t="s">
        <v>67</v>
      </c>
      <c r="AH801" s="7" t="s">
        <v>86</v>
      </c>
    </row>
    <row r="802" spans="1:34" ht="9.75" customHeight="1" x14ac:dyDescent="0.2">
      <c r="A802" s="7" t="s">
        <v>37</v>
      </c>
      <c r="B802" s="7" t="s">
        <v>38</v>
      </c>
      <c r="C802" s="7"/>
      <c r="D802" s="7" t="s">
        <v>1972</v>
      </c>
      <c r="E802" s="8">
        <v>1</v>
      </c>
      <c r="F802" s="7" t="s">
        <v>41</v>
      </c>
      <c r="G802" s="7"/>
      <c r="H802" s="9"/>
      <c r="I802" s="9"/>
      <c r="J802" s="9"/>
      <c r="K802" s="9"/>
      <c r="L802" s="10">
        <v>160</v>
      </c>
      <c r="M802" s="9"/>
      <c r="N802" s="10">
        <v>160</v>
      </c>
      <c r="O802" s="9"/>
      <c r="P802" s="10"/>
      <c r="Q802" s="10"/>
      <c r="R802" s="10"/>
      <c r="S802" s="7" t="s">
        <v>407</v>
      </c>
      <c r="T802" s="7" t="s">
        <v>1506</v>
      </c>
      <c r="U802" s="7" t="s">
        <v>44</v>
      </c>
      <c r="V802" s="7" t="s">
        <v>45</v>
      </c>
      <c r="W802" s="7" t="s">
        <v>67</v>
      </c>
      <c r="X802" s="7" t="s">
        <v>68</v>
      </c>
      <c r="Y802" s="7" t="s">
        <v>1973</v>
      </c>
      <c r="Z802" s="7" t="s">
        <v>1969</v>
      </c>
      <c r="AA802" s="7"/>
      <c r="AB802" s="7"/>
      <c r="AC802" s="7" t="s">
        <v>82</v>
      </c>
      <c r="AD802" s="7"/>
      <c r="AE802" s="7" t="s">
        <v>1974</v>
      </c>
      <c r="AF802" s="7" t="s">
        <v>50</v>
      </c>
      <c r="AG802" s="7" t="s">
        <v>67</v>
      </c>
      <c r="AH802" s="7" t="s">
        <v>86</v>
      </c>
    </row>
    <row r="803" spans="1:34" ht="9.75" customHeight="1" x14ac:dyDescent="0.2">
      <c r="A803" s="7" t="s">
        <v>37</v>
      </c>
      <c r="B803" s="7" t="s">
        <v>38</v>
      </c>
      <c r="C803" s="7"/>
      <c r="D803" s="7" t="s">
        <v>1975</v>
      </c>
      <c r="E803" s="8">
        <v>1</v>
      </c>
      <c r="F803" s="7" t="s">
        <v>41</v>
      </c>
      <c r="G803" s="7"/>
      <c r="H803" s="9"/>
      <c r="I803" s="9"/>
      <c r="J803" s="9"/>
      <c r="K803" s="9"/>
      <c r="L803" s="10">
        <v>1306</v>
      </c>
      <c r="M803" s="9"/>
      <c r="N803" s="10">
        <v>1306</v>
      </c>
      <c r="O803" s="9"/>
      <c r="P803" s="10"/>
      <c r="Q803" s="10"/>
      <c r="R803" s="10"/>
      <c r="S803" s="7" t="s">
        <v>407</v>
      </c>
      <c r="T803" s="7" t="s">
        <v>1506</v>
      </c>
      <c r="U803" s="7" t="s">
        <v>44</v>
      </c>
      <c r="V803" s="7" t="s">
        <v>45</v>
      </c>
      <c r="W803" s="7" t="s">
        <v>67</v>
      </c>
      <c r="X803" s="7" t="s">
        <v>68</v>
      </c>
      <c r="Y803" s="7" t="s">
        <v>1976</v>
      </c>
      <c r="Z803" s="7" t="s">
        <v>1969</v>
      </c>
      <c r="AA803" s="7"/>
      <c r="AB803" s="7"/>
      <c r="AC803" s="7" t="s">
        <v>82</v>
      </c>
      <c r="AD803" s="7"/>
      <c r="AE803" s="7"/>
      <c r="AF803" s="7" t="s">
        <v>50</v>
      </c>
      <c r="AG803" s="7" t="s">
        <v>67</v>
      </c>
      <c r="AH803" s="7" t="s">
        <v>86</v>
      </c>
    </row>
    <row r="804" spans="1:34" ht="9.75" customHeight="1" x14ac:dyDescent="0.2">
      <c r="A804" s="7" t="s">
        <v>37</v>
      </c>
      <c r="B804" s="7" t="s">
        <v>38</v>
      </c>
      <c r="C804" s="7"/>
      <c r="D804" s="7" t="s">
        <v>1977</v>
      </c>
      <c r="E804" s="8">
        <v>1</v>
      </c>
      <c r="F804" s="7" t="s">
        <v>41</v>
      </c>
      <c r="G804" s="7"/>
      <c r="H804" s="9"/>
      <c r="I804" s="9"/>
      <c r="J804" s="9"/>
      <c r="K804" s="9"/>
      <c r="L804" s="10">
        <v>437</v>
      </c>
      <c r="M804" s="9"/>
      <c r="N804" s="10">
        <v>437</v>
      </c>
      <c r="O804" s="9"/>
      <c r="P804" s="10"/>
      <c r="Q804" s="10"/>
      <c r="R804" s="10"/>
      <c r="S804" s="7" t="s">
        <v>407</v>
      </c>
      <c r="T804" s="7" t="s">
        <v>1506</v>
      </c>
      <c r="U804" s="7" t="s">
        <v>44</v>
      </c>
      <c r="V804" s="7" t="s">
        <v>45</v>
      </c>
      <c r="W804" s="7" t="s">
        <v>67</v>
      </c>
      <c r="X804" s="7" t="s">
        <v>68</v>
      </c>
      <c r="Y804" s="7" t="s">
        <v>1978</v>
      </c>
      <c r="Z804" s="7" t="s">
        <v>1969</v>
      </c>
      <c r="AA804" s="7"/>
      <c r="AB804" s="7"/>
      <c r="AC804" s="7" t="s">
        <v>82</v>
      </c>
      <c r="AD804" s="7"/>
      <c r="AE804" s="7"/>
      <c r="AF804" s="7" t="s">
        <v>50</v>
      </c>
      <c r="AG804" s="7" t="s">
        <v>67</v>
      </c>
      <c r="AH804" s="7" t="s">
        <v>86</v>
      </c>
    </row>
    <row r="805" spans="1:34" ht="9.75" customHeight="1" x14ac:dyDescent="0.2">
      <c r="A805" s="7" t="s">
        <v>37</v>
      </c>
      <c r="B805" s="7" t="s">
        <v>38</v>
      </c>
      <c r="C805" s="7"/>
      <c r="D805" s="7" t="s">
        <v>1979</v>
      </c>
      <c r="E805" s="8">
        <v>1</v>
      </c>
      <c r="F805" s="7" t="s">
        <v>41</v>
      </c>
      <c r="G805" s="7"/>
      <c r="H805" s="9"/>
      <c r="I805" s="9"/>
      <c r="J805" s="9"/>
      <c r="K805" s="9"/>
      <c r="L805" s="10">
        <v>1644</v>
      </c>
      <c r="M805" s="9"/>
      <c r="N805" s="10">
        <v>1644</v>
      </c>
      <c r="O805" s="9"/>
      <c r="P805" s="10"/>
      <c r="Q805" s="10"/>
      <c r="R805" s="10"/>
      <c r="S805" s="7" t="s">
        <v>407</v>
      </c>
      <c r="T805" s="7" t="s">
        <v>1506</v>
      </c>
      <c r="U805" s="7" t="s">
        <v>44</v>
      </c>
      <c r="V805" s="7" t="s">
        <v>45</v>
      </c>
      <c r="W805" s="7" t="s">
        <v>67</v>
      </c>
      <c r="X805" s="7" t="s">
        <v>68</v>
      </c>
      <c r="Y805" s="7" t="s">
        <v>1980</v>
      </c>
      <c r="Z805" s="7" t="s">
        <v>1969</v>
      </c>
      <c r="AA805" s="7"/>
      <c r="AB805" s="7"/>
      <c r="AC805" s="7" t="s">
        <v>82</v>
      </c>
      <c r="AD805" s="7"/>
      <c r="AE805" s="7"/>
      <c r="AF805" s="7" t="s">
        <v>50</v>
      </c>
      <c r="AG805" s="7" t="s">
        <v>67</v>
      </c>
      <c r="AH805" s="7" t="s">
        <v>86</v>
      </c>
    </row>
    <row r="806" spans="1:34" ht="9.75" customHeight="1" x14ac:dyDescent="0.2">
      <c r="A806" s="7" t="s">
        <v>37</v>
      </c>
      <c r="B806" s="7" t="s">
        <v>38</v>
      </c>
      <c r="C806" s="7"/>
      <c r="D806" s="7" t="s">
        <v>1981</v>
      </c>
      <c r="E806" s="8">
        <v>1</v>
      </c>
      <c r="F806" s="7" t="s">
        <v>41</v>
      </c>
      <c r="G806" s="7"/>
      <c r="H806" s="9"/>
      <c r="I806" s="9"/>
      <c r="J806" s="9"/>
      <c r="K806" s="9"/>
      <c r="L806" s="10">
        <v>4884</v>
      </c>
      <c r="M806" s="9"/>
      <c r="N806" s="10">
        <v>4884</v>
      </c>
      <c r="O806" s="9"/>
      <c r="P806" s="10"/>
      <c r="Q806" s="10"/>
      <c r="R806" s="10"/>
      <c r="S806" s="7" t="s">
        <v>407</v>
      </c>
      <c r="T806" s="7" t="s">
        <v>1506</v>
      </c>
      <c r="U806" s="7" t="s">
        <v>44</v>
      </c>
      <c r="V806" s="7" t="s">
        <v>45</v>
      </c>
      <c r="W806" s="7" t="s">
        <v>67</v>
      </c>
      <c r="X806" s="7" t="s">
        <v>68</v>
      </c>
      <c r="Y806" s="7" t="s">
        <v>1982</v>
      </c>
      <c r="Z806" s="7" t="s">
        <v>1983</v>
      </c>
      <c r="AA806" s="7"/>
      <c r="AB806" s="7"/>
      <c r="AC806" s="7" t="s">
        <v>82</v>
      </c>
      <c r="AD806" s="7"/>
      <c r="AE806" s="7"/>
      <c r="AF806" s="7" t="s">
        <v>50</v>
      </c>
      <c r="AG806" s="7" t="s">
        <v>67</v>
      </c>
      <c r="AH806" s="7" t="s">
        <v>86</v>
      </c>
    </row>
    <row r="807" spans="1:34" ht="9.75" customHeight="1" x14ac:dyDescent="0.2">
      <c r="A807" s="7" t="s">
        <v>37</v>
      </c>
      <c r="B807" s="7" t="s">
        <v>38</v>
      </c>
      <c r="C807" s="7"/>
      <c r="D807" s="7" t="s">
        <v>1984</v>
      </c>
      <c r="E807" s="8">
        <v>1</v>
      </c>
      <c r="F807" s="7" t="s">
        <v>41</v>
      </c>
      <c r="G807" s="7"/>
      <c r="H807" s="9"/>
      <c r="I807" s="9"/>
      <c r="J807" s="9"/>
      <c r="K807" s="9"/>
      <c r="L807" s="10">
        <v>222</v>
      </c>
      <c r="M807" s="9"/>
      <c r="N807" s="10">
        <v>222</v>
      </c>
      <c r="O807" s="9"/>
      <c r="P807" s="10"/>
      <c r="Q807" s="10"/>
      <c r="R807" s="10"/>
      <c r="S807" s="7" t="s">
        <v>407</v>
      </c>
      <c r="T807" s="7" t="s">
        <v>1506</v>
      </c>
      <c r="U807" s="7" t="s">
        <v>44</v>
      </c>
      <c r="V807" s="7" t="s">
        <v>45</v>
      </c>
      <c r="W807" s="7" t="s">
        <v>67</v>
      </c>
      <c r="X807" s="7" t="s">
        <v>68</v>
      </c>
      <c r="Y807" s="7" t="s">
        <v>1985</v>
      </c>
      <c r="Z807" s="7" t="s">
        <v>1983</v>
      </c>
      <c r="AA807" s="7"/>
      <c r="AB807" s="7"/>
      <c r="AC807" s="7" t="s">
        <v>82</v>
      </c>
      <c r="AD807" s="7"/>
      <c r="AE807" s="7" t="s">
        <v>1986</v>
      </c>
      <c r="AF807" s="7" t="s">
        <v>50</v>
      </c>
      <c r="AG807" s="7" t="s">
        <v>67</v>
      </c>
      <c r="AH807" s="7" t="s">
        <v>86</v>
      </c>
    </row>
    <row r="808" spans="1:34" ht="9.75" customHeight="1" x14ac:dyDescent="0.2">
      <c r="A808" s="7" t="s">
        <v>37</v>
      </c>
      <c r="B808" s="7" t="s">
        <v>38</v>
      </c>
      <c r="C808" s="7"/>
      <c r="D808" s="7" t="s">
        <v>1987</v>
      </c>
      <c r="E808" s="8">
        <v>1</v>
      </c>
      <c r="F808" s="7" t="s">
        <v>41</v>
      </c>
      <c r="G808" s="7"/>
      <c r="H808" s="9"/>
      <c r="I808" s="9"/>
      <c r="J808" s="9"/>
      <c r="K808" s="9"/>
      <c r="L808" s="10">
        <v>1287</v>
      </c>
      <c r="M808" s="9"/>
      <c r="N808" s="10">
        <v>1287</v>
      </c>
      <c r="O808" s="9"/>
      <c r="P808" s="10"/>
      <c r="Q808" s="10"/>
      <c r="R808" s="10"/>
      <c r="S808" s="7" t="s">
        <v>407</v>
      </c>
      <c r="T808" s="7" t="s">
        <v>1506</v>
      </c>
      <c r="U808" s="7" t="s">
        <v>44</v>
      </c>
      <c r="V808" s="7" t="s">
        <v>45</v>
      </c>
      <c r="W808" s="7" t="s">
        <v>67</v>
      </c>
      <c r="X808" s="7" t="s">
        <v>68</v>
      </c>
      <c r="Y808" s="7" t="s">
        <v>1988</v>
      </c>
      <c r="Z808" s="7" t="s">
        <v>1983</v>
      </c>
      <c r="AA808" s="7"/>
      <c r="AB808" s="7"/>
      <c r="AC808" s="7" t="s">
        <v>82</v>
      </c>
      <c r="AD808" s="7"/>
      <c r="AE808" s="7"/>
      <c r="AF808" s="7" t="s">
        <v>50</v>
      </c>
      <c r="AG808" s="7" t="s">
        <v>67</v>
      </c>
      <c r="AH808" s="7" t="s">
        <v>86</v>
      </c>
    </row>
    <row r="809" spans="1:34" ht="9.75" customHeight="1" x14ac:dyDescent="0.2">
      <c r="A809" s="7" t="s">
        <v>37</v>
      </c>
      <c r="B809" s="7" t="s">
        <v>38</v>
      </c>
      <c r="C809" s="7"/>
      <c r="D809" s="7" t="s">
        <v>1989</v>
      </c>
      <c r="E809" s="8">
        <v>1</v>
      </c>
      <c r="F809" s="7" t="s">
        <v>41</v>
      </c>
      <c r="G809" s="7"/>
      <c r="H809" s="9"/>
      <c r="I809" s="9"/>
      <c r="J809" s="9"/>
      <c r="K809" s="9"/>
      <c r="L809" s="10">
        <v>825</v>
      </c>
      <c r="M809" s="9"/>
      <c r="N809" s="10">
        <v>825</v>
      </c>
      <c r="O809" s="9"/>
      <c r="P809" s="10"/>
      <c r="Q809" s="10"/>
      <c r="R809" s="10"/>
      <c r="S809" s="7" t="s">
        <v>407</v>
      </c>
      <c r="T809" s="7" t="s">
        <v>1506</v>
      </c>
      <c r="U809" s="7" t="s">
        <v>44</v>
      </c>
      <c r="V809" s="7" t="s">
        <v>45</v>
      </c>
      <c r="W809" s="7" t="s">
        <v>67</v>
      </c>
      <c r="X809" s="7" t="s">
        <v>68</v>
      </c>
      <c r="Y809" s="7" t="s">
        <v>1990</v>
      </c>
      <c r="Z809" s="7" t="s">
        <v>1983</v>
      </c>
      <c r="AA809" s="7"/>
      <c r="AB809" s="7"/>
      <c r="AC809" s="7" t="s">
        <v>82</v>
      </c>
      <c r="AD809" s="7"/>
      <c r="AE809" s="7"/>
      <c r="AF809" s="7" t="s">
        <v>50</v>
      </c>
      <c r="AG809" s="7" t="s">
        <v>67</v>
      </c>
      <c r="AH809" s="7" t="s">
        <v>86</v>
      </c>
    </row>
    <row r="810" spans="1:34" ht="9.75" customHeight="1" x14ac:dyDescent="0.2">
      <c r="A810" s="7" t="s">
        <v>37</v>
      </c>
      <c r="B810" s="7" t="s">
        <v>38</v>
      </c>
      <c r="C810" s="7"/>
      <c r="D810" s="7" t="s">
        <v>1991</v>
      </c>
      <c r="E810" s="8">
        <v>1</v>
      </c>
      <c r="F810" s="7" t="s">
        <v>41</v>
      </c>
      <c r="G810" s="7"/>
      <c r="H810" s="9"/>
      <c r="I810" s="9"/>
      <c r="J810" s="9"/>
      <c r="K810" s="9"/>
      <c r="L810" s="10">
        <v>1557</v>
      </c>
      <c r="M810" s="9"/>
      <c r="N810" s="10">
        <v>1557</v>
      </c>
      <c r="O810" s="9"/>
      <c r="P810" s="10"/>
      <c r="Q810" s="10"/>
      <c r="R810" s="10"/>
      <c r="S810" s="7" t="s">
        <v>407</v>
      </c>
      <c r="T810" s="7" t="s">
        <v>1506</v>
      </c>
      <c r="U810" s="7" t="s">
        <v>44</v>
      </c>
      <c r="V810" s="7" t="s">
        <v>45</v>
      </c>
      <c r="W810" s="7" t="s">
        <v>67</v>
      </c>
      <c r="X810" s="7" t="s">
        <v>68</v>
      </c>
      <c r="Y810" s="7" t="s">
        <v>1992</v>
      </c>
      <c r="Z810" s="7" t="s">
        <v>1983</v>
      </c>
      <c r="AA810" s="7"/>
      <c r="AB810" s="7"/>
      <c r="AC810" s="7" t="s">
        <v>82</v>
      </c>
      <c r="AD810" s="7"/>
      <c r="AE810" s="7"/>
      <c r="AF810" s="7" t="s">
        <v>50</v>
      </c>
      <c r="AG810" s="7" t="s">
        <v>67</v>
      </c>
      <c r="AH810" s="7" t="s">
        <v>86</v>
      </c>
    </row>
    <row r="811" spans="1:34" ht="9.75" customHeight="1" x14ac:dyDescent="0.2">
      <c r="A811" s="7" t="s">
        <v>37</v>
      </c>
      <c r="B811" s="7" t="s">
        <v>38</v>
      </c>
      <c r="C811" s="7"/>
      <c r="D811" s="7" t="s">
        <v>1993</v>
      </c>
      <c r="E811" s="8">
        <v>1</v>
      </c>
      <c r="F811" s="7" t="s">
        <v>41</v>
      </c>
      <c r="G811" s="7"/>
      <c r="H811" s="9"/>
      <c r="I811" s="9"/>
      <c r="J811" s="9"/>
      <c r="K811" s="9"/>
      <c r="L811" s="10">
        <v>9074</v>
      </c>
      <c r="M811" s="9"/>
      <c r="N811" s="10">
        <v>9074</v>
      </c>
      <c r="O811" s="9"/>
      <c r="P811" s="10"/>
      <c r="Q811" s="10"/>
      <c r="R811" s="10"/>
      <c r="S811" s="7" t="s">
        <v>407</v>
      </c>
      <c r="T811" s="7" t="s">
        <v>1506</v>
      </c>
      <c r="U811" s="7" t="s">
        <v>44</v>
      </c>
      <c r="V811" s="7" t="s">
        <v>45</v>
      </c>
      <c r="W811" s="7" t="s">
        <v>67</v>
      </c>
      <c r="X811" s="7" t="s">
        <v>68</v>
      </c>
      <c r="Y811" s="7" t="s">
        <v>1994</v>
      </c>
      <c r="Z811" s="7" t="s">
        <v>1995</v>
      </c>
      <c r="AA811" s="7"/>
      <c r="AB811" s="7"/>
      <c r="AC811" s="7" t="s">
        <v>82</v>
      </c>
      <c r="AD811" s="7"/>
      <c r="AE811" s="7"/>
      <c r="AF811" s="7" t="s">
        <v>50</v>
      </c>
      <c r="AG811" s="7" t="s">
        <v>67</v>
      </c>
      <c r="AH811" s="7" t="s">
        <v>86</v>
      </c>
    </row>
    <row r="812" spans="1:34" ht="9.75" customHeight="1" x14ac:dyDescent="0.2">
      <c r="A812" s="7" t="s">
        <v>37</v>
      </c>
      <c r="B812" s="7" t="s">
        <v>38</v>
      </c>
      <c r="C812" s="7"/>
      <c r="D812" s="7" t="s">
        <v>1996</v>
      </c>
      <c r="E812" s="8">
        <v>1</v>
      </c>
      <c r="F812" s="7" t="s">
        <v>41</v>
      </c>
      <c r="G812" s="7"/>
      <c r="H812" s="9"/>
      <c r="I812" s="9"/>
      <c r="J812" s="9"/>
      <c r="K812" s="9"/>
      <c r="L812" s="10">
        <v>261</v>
      </c>
      <c r="M812" s="9"/>
      <c r="N812" s="10">
        <v>261</v>
      </c>
      <c r="O812" s="9"/>
      <c r="P812" s="10"/>
      <c r="Q812" s="10"/>
      <c r="R812" s="10"/>
      <c r="S812" s="7" t="s">
        <v>407</v>
      </c>
      <c r="T812" s="7" t="s">
        <v>1506</v>
      </c>
      <c r="U812" s="7" t="s">
        <v>44</v>
      </c>
      <c r="V812" s="7" t="s">
        <v>45</v>
      </c>
      <c r="W812" s="7" t="s">
        <v>67</v>
      </c>
      <c r="X812" s="7" t="s">
        <v>68</v>
      </c>
      <c r="Y812" s="7" t="s">
        <v>1997</v>
      </c>
      <c r="Z812" s="7" t="s">
        <v>1995</v>
      </c>
      <c r="AA812" s="7"/>
      <c r="AB812" s="7"/>
      <c r="AC812" s="7" t="s">
        <v>82</v>
      </c>
      <c r="AD812" s="7"/>
      <c r="AE812" s="7"/>
      <c r="AF812" s="7" t="s">
        <v>50</v>
      </c>
      <c r="AG812" s="7" t="s">
        <v>67</v>
      </c>
      <c r="AH812" s="7" t="s">
        <v>86</v>
      </c>
    </row>
    <row r="813" spans="1:34" ht="9.75" customHeight="1" x14ac:dyDescent="0.2">
      <c r="A813" s="7" t="s">
        <v>37</v>
      </c>
      <c r="B813" s="7" t="s">
        <v>38</v>
      </c>
      <c r="C813" s="7"/>
      <c r="D813" s="7" t="s">
        <v>1998</v>
      </c>
      <c r="E813" s="8">
        <v>1</v>
      </c>
      <c r="F813" s="7" t="s">
        <v>41</v>
      </c>
      <c r="G813" s="7"/>
      <c r="H813" s="9"/>
      <c r="I813" s="9"/>
      <c r="J813" s="9"/>
      <c r="K813" s="9"/>
      <c r="L813" s="10">
        <v>55</v>
      </c>
      <c r="M813" s="9"/>
      <c r="N813" s="10">
        <v>55</v>
      </c>
      <c r="O813" s="9"/>
      <c r="P813" s="10"/>
      <c r="Q813" s="10"/>
      <c r="R813" s="10"/>
      <c r="S813" s="7" t="s">
        <v>407</v>
      </c>
      <c r="T813" s="7" t="s">
        <v>1506</v>
      </c>
      <c r="U813" s="7" t="s">
        <v>44</v>
      </c>
      <c r="V813" s="7" t="s">
        <v>45</v>
      </c>
      <c r="W813" s="7" t="s">
        <v>67</v>
      </c>
      <c r="X813" s="7" t="s">
        <v>68</v>
      </c>
      <c r="Y813" s="7" t="s">
        <v>1999</v>
      </c>
      <c r="Z813" s="7" t="s">
        <v>1995</v>
      </c>
      <c r="AA813" s="7"/>
      <c r="AB813" s="7"/>
      <c r="AC813" s="7" t="s">
        <v>82</v>
      </c>
      <c r="AD813" s="7"/>
      <c r="AE813" s="7"/>
      <c r="AF813" s="7" t="s">
        <v>50</v>
      </c>
      <c r="AG813" s="7" t="s">
        <v>67</v>
      </c>
      <c r="AH813" s="7" t="s">
        <v>86</v>
      </c>
    </row>
    <row r="814" spans="1:34" ht="9.75" customHeight="1" x14ac:dyDescent="0.2">
      <c r="A814" s="7" t="s">
        <v>37</v>
      </c>
      <c r="B814" s="7" t="s">
        <v>38</v>
      </c>
      <c r="C814" s="7"/>
      <c r="D814" s="7" t="s">
        <v>2000</v>
      </c>
      <c r="E814" s="8">
        <v>1</v>
      </c>
      <c r="F814" s="7" t="s">
        <v>41</v>
      </c>
      <c r="G814" s="7"/>
      <c r="H814" s="9"/>
      <c r="I814" s="9"/>
      <c r="J814" s="9"/>
      <c r="K814" s="9"/>
      <c r="L814" s="10">
        <v>564</v>
      </c>
      <c r="M814" s="9"/>
      <c r="N814" s="10">
        <v>564</v>
      </c>
      <c r="O814" s="9"/>
      <c r="P814" s="10"/>
      <c r="Q814" s="10"/>
      <c r="R814" s="10"/>
      <c r="S814" s="7" t="s">
        <v>407</v>
      </c>
      <c r="T814" s="7" t="s">
        <v>1506</v>
      </c>
      <c r="U814" s="7" t="s">
        <v>44</v>
      </c>
      <c r="V814" s="7" t="s">
        <v>45</v>
      </c>
      <c r="W814" s="7" t="s">
        <v>67</v>
      </c>
      <c r="X814" s="7" t="s">
        <v>68</v>
      </c>
      <c r="Y814" s="7" t="s">
        <v>2001</v>
      </c>
      <c r="Z814" s="7" t="s">
        <v>1995</v>
      </c>
      <c r="AA814" s="7"/>
      <c r="AB814" s="7"/>
      <c r="AC814" s="7" t="s">
        <v>82</v>
      </c>
      <c r="AD814" s="7"/>
      <c r="AE814" s="7"/>
      <c r="AF814" s="7" t="s">
        <v>50</v>
      </c>
      <c r="AG814" s="7" t="s">
        <v>67</v>
      </c>
      <c r="AH814" s="7" t="s">
        <v>86</v>
      </c>
    </row>
    <row r="815" spans="1:34" ht="9.75" customHeight="1" x14ac:dyDescent="0.2">
      <c r="A815" s="7" t="s">
        <v>37</v>
      </c>
      <c r="B815" s="7" t="s">
        <v>38</v>
      </c>
      <c r="C815" s="7"/>
      <c r="D815" s="7" t="s">
        <v>2002</v>
      </c>
      <c r="E815" s="8">
        <v>1</v>
      </c>
      <c r="F815" s="7" t="s">
        <v>41</v>
      </c>
      <c r="G815" s="7"/>
      <c r="H815" s="9"/>
      <c r="I815" s="9"/>
      <c r="J815" s="9"/>
      <c r="K815" s="9"/>
      <c r="L815" s="10">
        <v>3628</v>
      </c>
      <c r="M815" s="9"/>
      <c r="N815" s="10">
        <v>3628</v>
      </c>
      <c r="O815" s="9"/>
      <c r="P815" s="10"/>
      <c r="Q815" s="10"/>
      <c r="R815" s="10"/>
      <c r="S815" s="7" t="s">
        <v>407</v>
      </c>
      <c r="T815" s="7" t="s">
        <v>1506</v>
      </c>
      <c r="U815" s="7" t="s">
        <v>44</v>
      </c>
      <c r="V815" s="7" t="s">
        <v>45</v>
      </c>
      <c r="W815" s="7" t="s">
        <v>67</v>
      </c>
      <c r="X815" s="7" t="s">
        <v>68</v>
      </c>
      <c r="Y815" s="7" t="s">
        <v>2003</v>
      </c>
      <c r="Z815" s="7" t="s">
        <v>2004</v>
      </c>
      <c r="AA815" s="7"/>
      <c r="AB815" s="7"/>
      <c r="AC815" s="7" t="s">
        <v>82</v>
      </c>
      <c r="AD815" s="7"/>
      <c r="AE815" s="7"/>
      <c r="AF815" s="7" t="s">
        <v>50</v>
      </c>
      <c r="AG815" s="7" t="s">
        <v>67</v>
      </c>
      <c r="AH815" s="7" t="s">
        <v>86</v>
      </c>
    </row>
    <row r="816" spans="1:34" ht="9.75" customHeight="1" x14ac:dyDescent="0.2">
      <c r="A816" s="7" t="s">
        <v>37</v>
      </c>
      <c r="B816" s="7" t="s">
        <v>38</v>
      </c>
      <c r="C816" s="7"/>
      <c r="D816" s="7" t="s">
        <v>2005</v>
      </c>
      <c r="E816" s="8">
        <v>1</v>
      </c>
      <c r="F816" s="7" t="s">
        <v>41</v>
      </c>
      <c r="G816" s="7"/>
      <c r="H816" s="9"/>
      <c r="I816" s="9"/>
      <c r="J816" s="9"/>
      <c r="K816" s="9"/>
      <c r="L816" s="10">
        <v>378</v>
      </c>
      <c r="M816" s="9"/>
      <c r="N816" s="10">
        <v>378</v>
      </c>
      <c r="O816" s="9"/>
      <c r="P816" s="10"/>
      <c r="Q816" s="10"/>
      <c r="R816" s="10"/>
      <c r="S816" s="7" t="s">
        <v>407</v>
      </c>
      <c r="T816" s="7" t="s">
        <v>1506</v>
      </c>
      <c r="U816" s="7" t="s">
        <v>44</v>
      </c>
      <c r="V816" s="7" t="s">
        <v>45</v>
      </c>
      <c r="W816" s="7" t="s">
        <v>67</v>
      </c>
      <c r="X816" s="7" t="s">
        <v>68</v>
      </c>
      <c r="Y816" s="7" t="s">
        <v>2006</v>
      </c>
      <c r="Z816" s="7" t="s">
        <v>2004</v>
      </c>
      <c r="AA816" s="7"/>
      <c r="AB816" s="7"/>
      <c r="AC816" s="7" t="s">
        <v>82</v>
      </c>
      <c r="AD816" s="7"/>
      <c r="AE816" s="7"/>
      <c r="AF816" s="7" t="s">
        <v>50</v>
      </c>
      <c r="AG816" s="7" t="s">
        <v>67</v>
      </c>
      <c r="AH816" s="7" t="s">
        <v>86</v>
      </c>
    </row>
    <row r="817" spans="1:34" ht="9.75" customHeight="1" x14ac:dyDescent="0.2">
      <c r="A817" s="7" t="s">
        <v>37</v>
      </c>
      <c r="B817" s="7" t="s">
        <v>38</v>
      </c>
      <c r="C817" s="7"/>
      <c r="D817" s="7" t="s">
        <v>2007</v>
      </c>
      <c r="E817" s="8">
        <v>1</v>
      </c>
      <c r="F817" s="7" t="s">
        <v>41</v>
      </c>
      <c r="G817" s="7"/>
      <c r="H817" s="9"/>
      <c r="I817" s="9"/>
      <c r="J817" s="9"/>
      <c r="K817" s="9"/>
      <c r="L817" s="10">
        <v>966</v>
      </c>
      <c r="M817" s="9"/>
      <c r="N817" s="10">
        <v>966</v>
      </c>
      <c r="O817" s="9"/>
      <c r="P817" s="10"/>
      <c r="Q817" s="10"/>
      <c r="R817" s="10"/>
      <c r="S817" s="7" t="s">
        <v>407</v>
      </c>
      <c r="T817" s="7" t="s">
        <v>1506</v>
      </c>
      <c r="U817" s="7" t="s">
        <v>44</v>
      </c>
      <c r="V817" s="7" t="s">
        <v>45</v>
      </c>
      <c r="W817" s="7" t="s">
        <v>67</v>
      </c>
      <c r="X817" s="7" t="s">
        <v>68</v>
      </c>
      <c r="Y817" s="7" t="s">
        <v>2008</v>
      </c>
      <c r="Z817" s="7" t="s">
        <v>2004</v>
      </c>
      <c r="AA817" s="7"/>
      <c r="AB817" s="7"/>
      <c r="AC817" s="7" t="s">
        <v>82</v>
      </c>
      <c r="AD817" s="7"/>
      <c r="AE817" s="7"/>
      <c r="AF817" s="7" t="s">
        <v>50</v>
      </c>
      <c r="AG817" s="7" t="s">
        <v>67</v>
      </c>
      <c r="AH817" s="7" t="s">
        <v>86</v>
      </c>
    </row>
    <row r="818" spans="1:34" ht="9.75" customHeight="1" x14ac:dyDescent="0.2">
      <c r="A818" s="7" t="s">
        <v>37</v>
      </c>
      <c r="B818" s="7" t="s">
        <v>38</v>
      </c>
      <c r="C818" s="7"/>
      <c r="D818" s="7" t="s">
        <v>2009</v>
      </c>
      <c r="E818" s="8">
        <v>1</v>
      </c>
      <c r="F818" s="7" t="s">
        <v>41</v>
      </c>
      <c r="G818" s="7"/>
      <c r="H818" s="9"/>
      <c r="I818" s="9"/>
      <c r="J818" s="9"/>
      <c r="K818" s="9"/>
      <c r="L818" s="10">
        <v>1424</v>
      </c>
      <c r="M818" s="9"/>
      <c r="N818" s="10">
        <v>1424</v>
      </c>
      <c r="O818" s="9"/>
      <c r="P818" s="10"/>
      <c r="Q818" s="10"/>
      <c r="R818" s="10"/>
      <c r="S818" s="7" t="s">
        <v>407</v>
      </c>
      <c r="T818" s="7" t="s">
        <v>1506</v>
      </c>
      <c r="U818" s="7" t="s">
        <v>44</v>
      </c>
      <c r="V818" s="7" t="s">
        <v>45</v>
      </c>
      <c r="W818" s="7" t="s">
        <v>67</v>
      </c>
      <c r="X818" s="7" t="s">
        <v>68</v>
      </c>
      <c r="Y818" s="7" t="s">
        <v>2010</v>
      </c>
      <c r="Z818" s="7" t="s">
        <v>2004</v>
      </c>
      <c r="AA818" s="7"/>
      <c r="AB818" s="7"/>
      <c r="AC818" s="7" t="s">
        <v>82</v>
      </c>
      <c r="AD818" s="7"/>
      <c r="AE818" s="7"/>
      <c r="AF818" s="7" t="s">
        <v>50</v>
      </c>
      <c r="AG818" s="7" t="s">
        <v>67</v>
      </c>
      <c r="AH818" s="7" t="s">
        <v>86</v>
      </c>
    </row>
    <row r="819" spans="1:34" ht="9.75" customHeight="1" x14ac:dyDescent="0.2">
      <c r="A819" s="7" t="s">
        <v>37</v>
      </c>
      <c r="B819" s="7" t="s">
        <v>38</v>
      </c>
      <c r="C819" s="7"/>
      <c r="D819" s="7" t="s">
        <v>2011</v>
      </c>
      <c r="E819" s="8">
        <v>1</v>
      </c>
      <c r="F819" s="7" t="s">
        <v>41</v>
      </c>
      <c r="G819" s="7"/>
      <c r="H819" s="9"/>
      <c r="I819" s="9"/>
      <c r="J819" s="9"/>
      <c r="K819" s="9"/>
      <c r="L819" s="10">
        <v>32515</v>
      </c>
      <c r="M819" s="9"/>
      <c r="N819" s="10">
        <v>32515</v>
      </c>
      <c r="O819" s="9"/>
      <c r="P819" s="10"/>
      <c r="Q819" s="10"/>
      <c r="R819" s="10"/>
      <c r="S819" s="7" t="s">
        <v>407</v>
      </c>
      <c r="T819" s="7" t="s">
        <v>1506</v>
      </c>
      <c r="U819" s="7" t="s">
        <v>44</v>
      </c>
      <c r="V819" s="7" t="s">
        <v>45</v>
      </c>
      <c r="W819" s="7" t="s">
        <v>67</v>
      </c>
      <c r="X819" s="7" t="s">
        <v>68</v>
      </c>
      <c r="Y819" s="7" t="s">
        <v>2012</v>
      </c>
      <c r="Z819" s="7" t="s">
        <v>2013</v>
      </c>
      <c r="AA819" s="7"/>
      <c r="AB819" s="7"/>
      <c r="AC819" s="7" t="s">
        <v>82</v>
      </c>
      <c r="AD819" s="7"/>
      <c r="AE819" s="7"/>
      <c r="AF819" s="7" t="s">
        <v>50</v>
      </c>
      <c r="AG819" s="7" t="s">
        <v>67</v>
      </c>
      <c r="AH819" s="7" t="s">
        <v>86</v>
      </c>
    </row>
    <row r="820" spans="1:34" ht="9.75" customHeight="1" x14ac:dyDescent="0.2">
      <c r="A820" s="7" t="s">
        <v>37</v>
      </c>
      <c r="B820" s="7" t="s">
        <v>38</v>
      </c>
      <c r="C820" s="7"/>
      <c r="D820" s="7" t="s">
        <v>2014</v>
      </c>
      <c r="E820" s="8">
        <v>1</v>
      </c>
      <c r="F820" s="7" t="s">
        <v>41</v>
      </c>
      <c r="G820" s="7"/>
      <c r="H820" s="9"/>
      <c r="I820" s="9"/>
      <c r="J820" s="9"/>
      <c r="K820" s="9"/>
      <c r="L820" s="10">
        <v>13600</v>
      </c>
      <c r="M820" s="9"/>
      <c r="N820" s="10">
        <v>13600</v>
      </c>
      <c r="O820" s="9"/>
      <c r="P820" s="10"/>
      <c r="Q820" s="10"/>
      <c r="R820" s="10"/>
      <c r="S820" s="7" t="s">
        <v>407</v>
      </c>
      <c r="T820" s="7" t="s">
        <v>1506</v>
      </c>
      <c r="U820" s="7" t="s">
        <v>44</v>
      </c>
      <c r="V820" s="7" t="s">
        <v>45</v>
      </c>
      <c r="W820" s="7" t="s">
        <v>67</v>
      </c>
      <c r="X820" s="7" t="s">
        <v>68</v>
      </c>
      <c r="Y820" s="7" t="s">
        <v>2015</v>
      </c>
      <c r="Z820" s="7" t="s">
        <v>2013</v>
      </c>
      <c r="AA820" s="7"/>
      <c r="AB820" s="7"/>
      <c r="AC820" s="7" t="s">
        <v>82</v>
      </c>
      <c r="AD820" s="7"/>
      <c r="AE820" s="7"/>
      <c r="AF820" s="7" t="s">
        <v>50</v>
      </c>
      <c r="AG820" s="7" t="s">
        <v>67</v>
      </c>
      <c r="AH820" s="7" t="s">
        <v>86</v>
      </c>
    </row>
    <row r="821" spans="1:34" ht="9.75" customHeight="1" x14ac:dyDescent="0.2">
      <c r="A821" s="7" t="s">
        <v>37</v>
      </c>
      <c r="B821" s="7" t="s">
        <v>38</v>
      </c>
      <c r="C821" s="7"/>
      <c r="D821" s="7" t="s">
        <v>2016</v>
      </c>
      <c r="E821" s="8">
        <v>1</v>
      </c>
      <c r="F821" s="7" t="s">
        <v>41</v>
      </c>
      <c r="G821" s="7"/>
      <c r="H821" s="9"/>
      <c r="I821" s="10">
        <v>252399</v>
      </c>
      <c r="J821" s="9"/>
      <c r="K821" s="9"/>
      <c r="L821" s="10">
        <v>192169</v>
      </c>
      <c r="M821" s="9"/>
      <c r="N821" s="10">
        <v>192169</v>
      </c>
      <c r="O821" s="9"/>
      <c r="P821" s="10"/>
      <c r="Q821" s="10"/>
      <c r="R821" s="10"/>
      <c r="S821" s="7" t="s">
        <v>407</v>
      </c>
      <c r="T821" s="7" t="s">
        <v>96</v>
      </c>
      <c r="U821" s="7" t="s">
        <v>44</v>
      </c>
      <c r="V821" s="7" t="s">
        <v>45</v>
      </c>
      <c r="W821" s="7" t="s">
        <v>46</v>
      </c>
      <c r="X821" s="7" t="s">
        <v>90</v>
      </c>
      <c r="Y821" s="7" t="s">
        <v>2017</v>
      </c>
      <c r="Z821" s="7" t="s">
        <v>2018</v>
      </c>
      <c r="AA821" s="7"/>
      <c r="AB821" s="7"/>
      <c r="AC821" s="7" t="s">
        <v>87</v>
      </c>
      <c r="AD821" s="7"/>
      <c r="AE821" s="7"/>
      <c r="AF821" s="7" t="s">
        <v>50</v>
      </c>
      <c r="AG821" s="7" t="s">
        <v>93</v>
      </c>
      <c r="AH821" s="7" t="s">
        <v>94</v>
      </c>
    </row>
    <row r="822" spans="1:34" ht="9.75" customHeight="1" x14ac:dyDescent="0.2">
      <c r="A822" s="7" t="s">
        <v>37</v>
      </c>
      <c r="B822" s="7" t="s">
        <v>38</v>
      </c>
      <c r="C822" s="7"/>
      <c r="D822" s="7" t="s">
        <v>2019</v>
      </c>
      <c r="E822" s="8">
        <v>1</v>
      </c>
      <c r="F822" s="7" t="s">
        <v>41</v>
      </c>
      <c r="G822" s="7"/>
      <c r="H822" s="9"/>
      <c r="I822" s="10">
        <v>5001446</v>
      </c>
      <c r="J822" s="9"/>
      <c r="K822" s="9"/>
      <c r="L822" s="10">
        <v>5095448</v>
      </c>
      <c r="M822" s="9"/>
      <c r="N822" s="10">
        <v>5095448</v>
      </c>
      <c r="O822" s="9"/>
      <c r="P822" s="10"/>
      <c r="Q822" s="10"/>
      <c r="R822" s="10"/>
      <c r="S822" s="7" t="s">
        <v>407</v>
      </c>
      <c r="T822" s="7" t="s">
        <v>96</v>
      </c>
      <c r="U822" s="7" t="s">
        <v>44</v>
      </c>
      <c r="V822" s="7" t="s">
        <v>45</v>
      </c>
      <c r="W822" s="7" t="s">
        <v>46</v>
      </c>
      <c r="X822" s="7" t="s">
        <v>90</v>
      </c>
      <c r="Y822" s="7" t="s">
        <v>2020</v>
      </c>
      <c r="Z822" s="7" t="s">
        <v>2018</v>
      </c>
      <c r="AA822" s="7"/>
      <c r="AB822" s="7"/>
      <c r="AC822" s="7" t="s">
        <v>87</v>
      </c>
      <c r="AD822" s="7"/>
      <c r="AE822" s="7"/>
      <c r="AF822" s="7" t="s">
        <v>50</v>
      </c>
      <c r="AG822" s="7" t="s">
        <v>93</v>
      </c>
      <c r="AH822" s="7" t="s">
        <v>94</v>
      </c>
    </row>
    <row r="823" spans="1:34" ht="9.75" customHeight="1" x14ac:dyDescent="0.2">
      <c r="A823" s="7" t="s">
        <v>37</v>
      </c>
      <c r="B823" s="7" t="s">
        <v>38</v>
      </c>
      <c r="C823" s="7"/>
      <c r="D823" s="7" t="s">
        <v>2021</v>
      </c>
      <c r="E823" s="8">
        <v>1</v>
      </c>
      <c r="F823" s="7" t="s">
        <v>41</v>
      </c>
      <c r="G823" s="7"/>
      <c r="H823" s="9"/>
      <c r="I823" s="10">
        <v>94912</v>
      </c>
      <c r="J823" s="9"/>
      <c r="K823" s="9"/>
      <c r="L823" s="10">
        <v>102067</v>
      </c>
      <c r="M823" s="9"/>
      <c r="N823" s="10">
        <v>102067</v>
      </c>
      <c r="O823" s="9"/>
      <c r="P823" s="10"/>
      <c r="Q823" s="10"/>
      <c r="R823" s="10"/>
      <c r="S823" s="7" t="s">
        <v>407</v>
      </c>
      <c r="T823" s="7" t="s">
        <v>96</v>
      </c>
      <c r="U823" s="7" t="s">
        <v>44</v>
      </c>
      <c r="V823" s="7" t="s">
        <v>45</v>
      </c>
      <c r="W823" s="7" t="s">
        <v>46</v>
      </c>
      <c r="X823" s="7" t="s">
        <v>90</v>
      </c>
      <c r="Y823" s="7" t="s">
        <v>2022</v>
      </c>
      <c r="Z823" s="7" t="s">
        <v>2018</v>
      </c>
      <c r="AA823" s="7"/>
      <c r="AB823" s="7"/>
      <c r="AC823" s="7" t="s">
        <v>87</v>
      </c>
      <c r="AD823" s="7"/>
      <c r="AE823" s="7"/>
      <c r="AF823" s="7" t="s">
        <v>50</v>
      </c>
      <c r="AG823" s="7" t="s">
        <v>93</v>
      </c>
      <c r="AH823" s="7" t="s">
        <v>94</v>
      </c>
    </row>
    <row r="824" spans="1:34" ht="9.75" customHeight="1" x14ac:dyDescent="0.2">
      <c r="A824" s="7" t="s">
        <v>37</v>
      </c>
      <c r="B824" s="7" t="s">
        <v>38</v>
      </c>
      <c r="C824" s="7"/>
      <c r="D824" s="7" t="s">
        <v>2023</v>
      </c>
      <c r="E824" s="8">
        <v>1</v>
      </c>
      <c r="F824" s="7" t="s">
        <v>41</v>
      </c>
      <c r="G824" s="7"/>
      <c r="H824" s="9"/>
      <c r="I824" s="10">
        <v>540536</v>
      </c>
      <c r="J824" s="9"/>
      <c r="K824" s="9"/>
      <c r="L824" s="10">
        <v>551346</v>
      </c>
      <c r="M824" s="9"/>
      <c r="N824" s="10">
        <v>551346</v>
      </c>
      <c r="O824" s="9"/>
      <c r="P824" s="10"/>
      <c r="Q824" s="10"/>
      <c r="R824" s="10"/>
      <c r="S824" s="7" t="s">
        <v>407</v>
      </c>
      <c r="T824" s="7" t="s">
        <v>96</v>
      </c>
      <c r="U824" s="7" t="s">
        <v>44</v>
      </c>
      <c r="V824" s="7" t="s">
        <v>45</v>
      </c>
      <c r="W824" s="7" t="s">
        <v>46</v>
      </c>
      <c r="X824" s="7" t="s">
        <v>90</v>
      </c>
      <c r="Y824" s="7" t="s">
        <v>2024</v>
      </c>
      <c r="Z824" s="7" t="s">
        <v>2018</v>
      </c>
      <c r="AA824" s="7"/>
      <c r="AB824" s="7"/>
      <c r="AC824" s="7" t="s">
        <v>87</v>
      </c>
      <c r="AD824" s="7"/>
      <c r="AE824" s="7"/>
      <c r="AF824" s="7" t="s">
        <v>50</v>
      </c>
      <c r="AG824" s="7" t="s">
        <v>93</v>
      </c>
      <c r="AH824" s="7" t="s">
        <v>94</v>
      </c>
    </row>
    <row r="825" spans="1:34" ht="9.75" customHeight="1" x14ac:dyDescent="0.2">
      <c r="A825" s="7" t="s">
        <v>37</v>
      </c>
      <c r="B825" s="7" t="s">
        <v>38</v>
      </c>
      <c r="C825" s="7"/>
      <c r="D825" s="7" t="s">
        <v>2025</v>
      </c>
      <c r="E825" s="8">
        <v>1</v>
      </c>
      <c r="F825" s="7" t="s">
        <v>41</v>
      </c>
      <c r="G825" s="7"/>
      <c r="H825" s="9"/>
      <c r="I825" s="10">
        <v>15398</v>
      </c>
      <c r="J825" s="9"/>
      <c r="K825" s="9"/>
      <c r="L825" s="10">
        <v>15706</v>
      </c>
      <c r="M825" s="9"/>
      <c r="N825" s="10">
        <v>15706</v>
      </c>
      <c r="O825" s="9"/>
      <c r="P825" s="10"/>
      <c r="Q825" s="10"/>
      <c r="R825" s="10"/>
      <c r="S825" s="7" t="s">
        <v>407</v>
      </c>
      <c r="T825" s="7" t="s">
        <v>96</v>
      </c>
      <c r="U825" s="7" t="s">
        <v>44</v>
      </c>
      <c r="V825" s="7" t="s">
        <v>45</v>
      </c>
      <c r="W825" s="7" t="s">
        <v>46</v>
      </c>
      <c r="X825" s="7" t="s">
        <v>90</v>
      </c>
      <c r="Y825" s="7" t="s">
        <v>2026</v>
      </c>
      <c r="Z825" s="7" t="s">
        <v>2018</v>
      </c>
      <c r="AA825" s="7"/>
      <c r="AB825" s="7"/>
      <c r="AC825" s="7" t="s">
        <v>87</v>
      </c>
      <c r="AD825" s="7"/>
      <c r="AE825" s="7"/>
      <c r="AF825" s="7" t="s">
        <v>50</v>
      </c>
      <c r="AG825" s="7" t="s">
        <v>93</v>
      </c>
      <c r="AH825" s="7" t="s">
        <v>94</v>
      </c>
    </row>
    <row r="826" spans="1:34" ht="9.75" customHeight="1" x14ac:dyDescent="0.2">
      <c r="A826" s="7" t="s">
        <v>37</v>
      </c>
      <c r="B826" s="7" t="s">
        <v>38</v>
      </c>
      <c r="C826" s="7"/>
      <c r="D826" s="7" t="s">
        <v>2027</v>
      </c>
      <c r="E826" s="8">
        <v>1</v>
      </c>
      <c r="F826" s="7" t="s">
        <v>41</v>
      </c>
      <c r="G826" s="7"/>
      <c r="H826" s="9"/>
      <c r="I826" s="10">
        <v>1046830</v>
      </c>
      <c r="J826" s="9"/>
      <c r="K826" s="9"/>
      <c r="L826" s="10">
        <v>1083115</v>
      </c>
      <c r="M826" s="9"/>
      <c r="N826" s="10">
        <v>1083115</v>
      </c>
      <c r="O826" s="9"/>
      <c r="P826" s="10"/>
      <c r="Q826" s="10"/>
      <c r="R826" s="10"/>
      <c r="S826" s="7" t="s">
        <v>407</v>
      </c>
      <c r="T826" s="7" t="s">
        <v>96</v>
      </c>
      <c r="U826" s="7" t="s">
        <v>44</v>
      </c>
      <c r="V826" s="7" t="s">
        <v>45</v>
      </c>
      <c r="W826" s="7" t="s">
        <v>46</v>
      </c>
      <c r="X826" s="7" t="s">
        <v>90</v>
      </c>
      <c r="Y826" s="7" t="s">
        <v>2028</v>
      </c>
      <c r="Z826" s="7" t="s">
        <v>2018</v>
      </c>
      <c r="AA826" s="7"/>
      <c r="AB826" s="7"/>
      <c r="AC826" s="7" t="s">
        <v>87</v>
      </c>
      <c r="AD826" s="7"/>
      <c r="AE826" s="7"/>
      <c r="AF826" s="7" t="s">
        <v>50</v>
      </c>
      <c r="AG826" s="7" t="s">
        <v>93</v>
      </c>
      <c r="AH826" s="7" t="s">
        <v>94</v>
      </c>
    </row>
    <row r="827" spans="1:34" ht="9.75" customHeight="1" x14ac:dyDescent="0.2">
      <c r="A827" s="7" t="s">
        <v>37</v>
      </c>
      <c r="B827" s="7" t="s">
        <v>38</v>
      </c>
      <c r="C827" s="7"/>
      <c r="D827" s="7" t="s">
        <v>2029</v>
      </c>
      <c r="E827" s="8">
        <v>1</v>
      </c>
      <c r="F827" s="7" t="s">
        <v>41</v>
      </c>
      <c r="G827" s="7"/>
      <c r="H827" s="9"/>
      <c r="I827" s="10">
        <v>67806</v>
      </c>
      <c r="J827" s="9"/>
      <c r="K827" s="9"/>
      <c r="L827" s="10">
        <v>69162</v>
      </c>
      <c r="M827" s="9"/>
      <c r="N827" s="10">
        <v>69162</v>
      </c>
      <c r="O827" s="9"/>
      <c r="P827" s="10"/>
      <c r="Q827" s="10"/>
      <c r="R827" s="10"/>
      <c r="S827" s="7" t="s">
        <v>407</v>
      </c>
      <c r="T827" s="7" t="s">
        <v>96</v>
      </c>
      <c r="U827" s="7" t="s">
        <v>44</v>
      </c>
      <c r="V827" s="7" t="s">
        <v>45</v>
      </c>
      <c r="W827" s="7" t="s">
        <v>46</v>
      </c>
      <c r="X827" s="7" t="s">
        <v>90</v>
      </c>
      <c r="Y827" s="7" t="s">
        <v>2030</v>
      </c>
      <c r="Z827" s="7" t="s">
        <v>2018</v>
      </c>
      <c r="AA827" s="7"/>
      <c r="AB827" s="7"/>
      <c r="AC827" s="7" t="s">
        <v>87</v>
      </c>
      <c r="AD827" s="7"/>
      <c r="AE827" s="7"/>
      <c r="AF827" s="7" t="s">
        <v>50</v>
      </c>
      <c r="AG827" s="7" t="s">
        <v>93</v>
      </c>
      <c r="AH827" s="7" t="s">
        <v>94</v>
      </c>
    </row>
    <row r="828" spans="1:34" ht="9.75" customHeight="1" x14ac:dyDescent="0.2">
      <c r="A828" s="7" t="s">
        <v>37</v>
      </c>
      <c r="B828" s="7" t="s">
        <v>38</v>
      </c>
      <c r="C828" s="7"/>
      <c r="D828" s="7" t="s">
        <v>2031</v>
      </c>
      <c r="E828" s="8">
        <v>1</v>
      </c>
      <c r="F828" s="7" t="s">
        <v>41</v>
      </c>
      <c r="G828" s="7"/>
      <c r="H828" s="9"/>
      <c r="I828" s="9"/>
      <c r="J828" s="9"/>
      <c r="K828" s="9"/>
      <c r="L828" s="10">
        <v>1145000</v>
      </c>
      <c r="M828" s="9"/>
      <c r="N828" s="10">
        <v>1145000</v>
      </c>
      <c r="O828" s="9"/>
      <c r="P828" s="10"/>
      <c r="Q828" s="10"/>
      <c r="R828" s="10"/>
      <c r="S828" s="7" t="s">
        <v>407</v>
      </c>
      <c r="T828" s="7" t="s">
        <v>96</v>
      </c>
      <c r="U828" s="7" t="s">
        <v>44</v>
      </c>
      <c r="V828" s="7" t="s">
        <v>45</v>
      </c>
      <c r="W828" s="7" t="s">
        <v>46</v>
      </c>
      <c r="X828" s="7" t="s">
        <v>90</v>
      </c>
      <c r="Y828" s="7" t="s">
        <v>2032</v>
      </c>
      <c r="Z828" s="7" t="s">
        <v>2018</v>
      </c>
      <c r="AA828" s="7"/>
      <c r="AB828" s="7"/>
      <c r="AC828" s="7" t="s">
        <v>87</v>
      </c>
      <c r="AD828" s="7"/>
      <c r="AE828" s="7"/>
      <c r="AF828" s="7" t="s">
        <v>50</v>
      </c>
      <c r="AG828" s="7" t="s">
        <v>93</v>
      </c>
      <c r="AH828" s="7" t="s">
        <v>94</v>
      </c>
    </row>
    <row r="829" spans="1:34" ht="9.75" customHeight="1" x14ac:dyDescent="0.2">
      <c r="A829" s="7" t="s">
        <v>37</v>
      </c>
      <c r="B829" s="7" t="s">
        <v>38</v>
      </c>
      <c r="C829" s="7"/>
      <c r="D829" s="7" t="s">
        <v>2033</v>
      </c>
      <c r="E829" s="8">
        <v>1</v>
      </c>
      <c r="F829" s="7" t="s">
        <v>41</v>
      </c>
      <c r="G829" s="7"/>
      <c r="H829" s="9"/>
      <c r="I829" s="10">
        <v>468536</v>
      </c>
      <c r="J829" s="9"/>
      <c r="K829" s="9"/>
      <c r="L829" s="10">
        <v>1152500</v>
      </c>
      <c r="M829" s="9"/>
      <c r="N829" s="10">
        <v>1152500</v>
      </c>
      <c r="O829" s="9"/>
      <c r="P829" s="10"/>
      <c r="Q829" s="10"/>
      <c r="R829" s="10"/>
      <c r="S829" s="7" t="s">
        <v>407</v>
      </c>
      <c r="T829" s="7" t="s">
        <v>96</v>
      </c>
      <c r="U829" s="7" t="s">
        <v>44</v>
      </c>
      <c r="V829" s="7" t="s">
        <v>45</v>
      </c>
      <c r="W829" s="7" t="s">
        <v>46</v>
      </c>
      <c r="X829" s="7" t="s">
        <v>90</v>
      </c>
      <c r="Y829" s="7" t="s">
        <v>2034</v>
      </c>
      <c r="Z829" s="7" t="s">
        <v>2018</v>
      </c>
      <c r="AA829" s="7"/>
      <c r="AB829" s="7"/>
      <c r="AC829" s="7" t="s">
        <v>87</v>
      </c>
      <c r="AD829" s="7"/>
      <c r="AE829" s="7"/>
      <c r="AF829" s="7" t="s">
        <v>50</v>
      </c>
      <c r="AG829" s="7" t="s">
        <v>93</v>
      </c>
      <c r="AH829" s="7" t="s">
        <v>94</v>
      </c>
    </row>
    <row r="830" spans="1:34" ht="9.75" customHeight="1" x14ac:dyDescent="0.2">
      <c r="A830" s="7" t="s">
        <v>37</v>
      </c>
      <c r="B830" s="7" t="s">
        <v>38</v>
      </c>
      <c r="C830" s="7"/>
      <c r="D830" s="7" t="s">
        <v>2035</v>
      </c>
      <c r="E830" s="8">
        <v>1</v>
      </c>
      <c r="F830" s="7" t="s">
        <v>41</v>
      </c>
      <c r="G830" s="7"/>
      <c r="H830" s="9"/>
      <c r="I830" s="10">
        <v>470788</v>
      </c>
      <c r="J830" s="9"/>
      <c r="K830" s="9"/>
      <c r="L830" s="10">
        <v>1171100</v>
      </c>
      <c r="M830" s="9"/>
      <c r="N830" s="10">
        <v>1171100</v>
      </c>
      <c r="O830" s="9"/>
      <c r="P830" s="10"/>
      <c r="Q830" s="10"/>
      <c r="R830" s="10"/>
      <c r="S830" s="7" t="s">
        <v>407</v>
      </c>
      <c r="T830" s="7" t="s">
        <v>96</v>
      </c>
      <c r="U830" s="7" t="s">
        <v>44</v>
      </c>
      <c r="V830" s="7" t="s">
        <v>45</v>
      </c>
      <c r="W830" s="7" t="s">
        <v>46</v>
      </c>
      <c r="X830" s="7" t="s">
        <v>90</v>
      </c>
      <c r="Y830" s="7" t="s">
        <v>2036</v>
      </c>
      <c r="Z830" s="7" t="s">
        <v>2018</v>
      </c>
      <c r="AA830" s="7"/>
      <c r="AB830" s="7"/>
      <c r="AC830" s="7" t="s">
        <v>87</v>
      </c>
      <c r="AD830" s="7"/>
      <c r="AE830" s="7"/>
      <c r="AF830" s="7" t="s">
        <v>50</v>
      </c>
      <c r="AG830" s="7" t="s">
        <v>93</v>
      </c>
      <c r="AH830" s="7" t="s">
        <v>94</v>
      </c>
    </row>
    <row r="831" spans="1:34" ht="9.75" customHeight="1" x14ac:dyDescent="0.2">
      <c r="A831" s="7" t="s">
        <v>37</v>
      </c>
      <c r="B831" s="7" t="s">
        <v>38</v>
      </c>
      <c r="C831" s="7"/>
      <c r="D831" s="7" t="s">
        <v>2037</v>
      </c>
      <c r="E831" s="8">
        <v>1</v>
      </c>
      <c r="F831" s="7" t="s">
        <v>41</v>
      </c>
      <c r="G831" s="7"/>
      <c r="H831" s="9"/>
      <c r="I831" s="10">
        <v>475940</v>
      </c>
      <c r="J831" s="9"/>
      <c r="K831" s="9"/>
      <c r="L831" s="10">
        <v>1376294</v>
      </c>
      <c r="M831" s="9"/>
      <c r="N831" s="10">
        <v>1376294</v>
      </c>
      <c r="O831" s="9"/>
      <c r="P831" s="10"/>
      <c r="Q831" s="10"/>
      <c r="R831" s="10"/>
      <c r="S831" s="7" t="s">
        <v>407</v>
      </c>
      <c r="T831" s="7" t="s">
        <v>96</v>
      </c>
      <c r="U831" s="7" t="s">
        <v>44</v>
      </c>
      <c r="V831" s="7" t="s">
        <v>45</v>
      </c>
      <c r="W831" s="7" t="s">
        <v>46</v>
      </c>
      <c r="X831" s="7" t="s">
        <v>90</v>
      </c>
      <c r="Y831" s="7" t="s">
        <v>2038</v>
      </c>
      <c r="Z831" s="7" t="s">
        <v>2018</v>
      </c>
      <c r="AA831" s="7"/>
      <c r="AB831" s="7"/>
      <c r="AC831" s="7" t="s">
        <v>87</v>
      </c>
      <c r="AD831" s="7"/>
      <c r="AE831" s="7"/>
      <c r="AF831" s="7" t="s">
        <v>50</v>
      </c>
      <c r="AG831" s="7" t="s">
        <v>93</v>
      </c>
      <c r="AH831" s="7" t="s">
        <v>94</v>
      </c>
    </row>
    <row r="832" spans="1:34" ht="9.75" customHeight="1" x14ac:dyDescent="0.2">
      <c r="A832" s="7" t="s">
        <v>37</v>
      </c>
      <c r="B832" s="7" t="s">
        <v>38</v>
      </c>
      <c r="C832" s="7"/>
      <c r="D832" s="7" t="s">
        <v>2039</v>
      </c>
      <c r="E832" s="8">
        <v>1</v>
      </c>
      <c r="F832" s="7" t="s">
        <v>41</v>
      </c>
      <c r="G832" s="7"/>
      <c r="H832" s="9"/>
      <c r="I832" s="10">
        <v>752597</v>
      </c>
      <c r="J832" s="9"/>
      <c r="K832" s="9"/>
      <c r="L832" s="10">
        <v>1167999</v>
      </c>
      <c r="M832" s="9"/>
      <c r="N832" s="10">
        <v>1167999</v>
      </c>
      <c r="O832" s="9"/>
      <c r="P832" s="10"/>
      <c r="Q832" s="10"/>
      <c r="R832" s="10"/>
      <c r="S832" s="7" t="s">
        <v>407</v>
      </c>
      <c r="T832" s="7" t="s">
        <v>96</v>
      </c>
      <c r="U832" s="7" t="s">
        <v>44</v>
      </c>
      <c r="V832" s="7" t="s">
        <v>45</v>
      </c>
      <c r="W832" s="7" t="s">
        <v>46</v>
      </c>
      <c r="X832" s="7" t="s">
        <v>90</v>
      </c>
      <c r="Y832" s="7" t="s">
        <v>2040</v>
      </c>
      <c r="Z832" s="7" t="s">
        <v>2018</v>
      </c>
      <c r="AA832" s="7"/>
      <c r="AB832" s="7"/>
      <c r="AC832" s="7" t="s">
        <v>87</v>
      </c>
      <c r="AD832" s="7"/>
      <c r="AE832" s="7"/>
      <c r="AF832" s="7" t="s">
        <v>50</v>
      </c>
      <c r="AG832" s="7" t="s">
        <v>93</v>
      </c>
      <c r="AH832" s="7" t="s">
        <v>94</v>
      </c>
    </row>
    <row r="833" spans="1:34" ht="9.75" customHeight="1" x14ac:dyDescent="0.2">
      <c r="A833" s="7" t="s">
        <v>37</v>
      </c>
      <c r="B833" s="7" t="s">
        <v>38</v>
      </c>
      <c r="C833" s="7"/>
      <c r="D833" s="7" t="s">
        <v>2041</v>
      </c>
      <c r="E833" s="8">
        <v>1</v>
      </c>
      <c r="F833" s="7" t="s">
        <v>41</v>
      </c>
      <c r="G833" s="7"/>
      <c r="H833" s="9"/>
      <c r="I833" s="10">
        <v>588903</v>
      </c>
      <c r="J833" s="9"/>
      <c r="K833" s="9"/>
      <c r="L833" s="10">
        <v>1222038</v>
      </c>
      <c r="M833" s="9"/>
      <c r="N833" s="10">
        <v>1222038</v>
      </c>
      <c r="O833" s="9"/>
      <c r="P833" s="10"/>
      <c r="Q833" s="10"/>
      <c r="R833" s="10"/>
      <c r="S833" s="7" t="s">
        <v>407</v>
      </c>
      <c r="T833" s="7" t="s">
        <v>96</v>
      </c>
      <c r="U833" s="7" t="s">
        <v>44</v>
      </c>
      <c r="V833" s="7" t="s">
        <v>45</v>
      </c>
      <c r="W833" s="7" t="s">
        <v>46</v>
      </c>
      <c r="X833" s="7" t="s">
        <v>90</v>
      </c>
      <c r="Y833" s="7" t="s">
        <v>2042</v>
      </c>
      <c r="Z833" s="7" t="s">
        <v>2018</v>
      </c>
      <c r="AA833" s="7"/>
      <c r="AB833" s="7"/>
      <c r="AC833" s="7" t="s">
        <v>87</v>
      </c>
      <c r="AD833" s="7"/>
      <c r="AE833" s="7"/>
      <c r="AF833" s="7" t="s">
        <v>50</v>
      </c>
      <c r="AG833" s="7" t="s">
        <v>93</v>
      </c>
      <c r="AH833" s="7" t="s">
        <v>94</v>
      </c>
    </row>
    <row r="834" spans="1:34" ht="9.75" customHeight="1" x14ac:dyDescent="0.2">
      <c r="A834" s="7" t="s">
        <v>37</v>
      </c>
      <c r="B834" s="7" t="s">
        <v>38</v>
      </c>
      <c r="C834" s="7"/>
      <c r="D834" s="7" t="s">
        <v>2043</v>
      </c>
      <c r="E834" s="8">
        <v>1</v>
      </c>
      <c r="F834" s="7" t="s">
        <v>41</v>
      </c>
      <c r="G834" s="7"/>
      <c r="H834" s="9"/>
      <c r="I834" s="10">
        <v>1268947</v>
      </c>
      <c r="J834" s="9"/>
      <c r="K834" s="9"/>
      <c r="L834" s="10">
        <v>200000</v>
      </c>
      <c r="M834" s="9"/>
      <c r="N834" s="10">
        <v>200000</v>
      </c>
      <c r="O834" s="9"/>
      <c r="P834" s="10"/>
      <c r="Q834" s="10"/>
      <c r="R834" s="10"/>
      <c r="S834" s="7" t="s">
        <v>407</v>
      </c>
      <c r="T834" s="7" t="s">
        <v>96</v>
      </c>
      <c r="U834" s="7" t="s">
        <v>44</v>
      </c>
      <c r="V834" s="7" t="s">
        <v>45</v>
      </c>
      <c r="W834" s="7" t="s">
        <v>46</v>
      </c>
      <c r="X834" s="7" t="s">
        <v>90</v>
      </c>
      <c r="Y834" s="7" t="s">
        <v>2044</v>
      </c>
      <c r="Z834" s="7" t="s">
        <v>2018</v>
      </c>
      <c r="AA834" s="7"/>
      <c r="AB834" s="7"/>
      <c r="AC834" s="7" t="s">
        <v>87</v>
      </c>
      <c r="AD834" s="7"/>
      <c r="AE834" s="7"/>
      <c r="AF834" s="7" t="s">
        <v>50</v>
      </c>
      <c r="AG834" s="7" t="s">
        <v>93</v>
      </c>
      <c r="AH834" s="7" t="s">
        <v>94</v>
      </c>
    </row>
    <row r="835" spans="1:34" ht="9.75" customHeight="1" x14ac:dyDescent="0.2">
      <c r="A835" s="7" t="s">
        <v>37</v>
      </c>
      <c r="B835" s="7" t="s">
        <v>38</v>
      </c>
      <c r="C835" s="7"/>
      <c r="D835" s="7" t="s">
        <v>2045</v>
      </c>
      <c r="E835" s="8">
        <v>1</v>
      </c>
      <c r="F835" s="7" t="s">
        <v>41</v>
      </c>
      <c r="G835" s="7"/>
      <c r="H835" s="9"/>
      <c r="I835" s="10">
        <v>619381</v>
      </c>
      <c r="J835" s="9"/>
      <c r="K835" s="9"/>
      <c r="L835" s="10">
        <v>1126386</v>
      </c>
      <c r="M835" s="9"/>
      <c r="N835" s="10">
        <v>1126386</v>
      </c>
      <c r="O835" s="9"/>
      <c r="P835" s="10"/>
      <c r="Q835" s="10"/>
      <c r="R835" s="10"/>
      <c r="S835" s="7" t="s">
        <v>407</v>
      </c>
      <c r="T835" s="7" t="s">
        <v>96</v>
      </c>
      <c r="U835" s="7" t="s">
        <v>44</v>
      </c>
      <c r="V835" s="7" t="s">
        <v>45</v>
      </c>
      <c r="W835" s="7" t="s">
        <v>46</v>
      </c>
      <c r="X835" s="7" t="s">
        <v>90</v>
      </c>
      <c r="Y835" s="7" t="s">
        <v>2046</v>
      </c>
      <c r="Z835" s="7" t="s">
        <v>2018</v>
      </c>
      <c r="AA835" s="7"/>
      <c r="AB835" s="7"/>
      <c r="AC835" s="7" t="s">
        <v>87</v>
      </c>
      <c r="AD835" s="7"/>
      <c r="AE835" s="7"/>
      <c r="AF835" s="7" t="s">
        <v>50</v>
      </c>
      <c r="AG835" s="7" t="s">
        <v>93</v>
      </c>
      <c r="AH835" s="7" t="s">
        <v>94</v>
      </c>
    </row>
    <row r="836" spans="1:34" ht="9.75" customHeight="1" x14ac:dyDescent="0.2">
      <c r="A836" s="7" t="s">
        <v>37</v>
      </c>
      <c r="B836" s="7" t="s">
        <v>38</v>
      </c>
      <c r="C836" s="7"/>
      <c r="D836" s="7" t="s">
        <v>2047</v>
      </c>
      <c r="E836" s="8">
        <v>1</v>
      </c>
      <c r="F836" s="7" t="s">
        <v>41</v>
      </c>
      <c r="G836" s="7"/>
      <c r="H836" s="9"/>
      <c r="I836" s="9"/>
      <c r="J836" s="9"/>
      <c r="K836" s="9"/>
      <c r="L836" s="10">
        <v>611920</v>
      </c>
      <c r="M836" s="9"/>
      <c r="N836" s="10">
        <v>611920</v>
      </c>
      <c r="O836" s="9"/>
      <c r="P836" s="10"/>
      <c r="Q836" s="10"/>
      <c r="R836" s="10"/>
      <c r="S836" s="7" t="s">
        <v>407</v>
      </c>
      <c r="T836" s="7" t="s">
        <v>96</v>
      </c>
      <c r="U836" s="7" t="s">
        <v>44</v>
      </c>
      <c r="V836" s="7" t="s">
        <v>45</v>
      </c>
      <c r="W836" s="7" t="s">
        <v>46</v>
      </c>
      <c r="X836" s="7" t="s">
        <v>90</v>
      </c>
      <c r="Y836" s="7" t="s">
        <v>2048</v>
      </c>
      <c r="Z836" s="7" t="s">
        <v>2018</v>
      </c>
      <c r="AA836" s="7"/>
      <c r="AB836" s="7"/>
      <c r="AC836" s="7" t="s">
        <v>87</v>
      </c>
      <c r="AD836" s="7"/>
      <c r="AE836" s="7"/>
      <c r="AF836" s="7" t="s">
        <v>50</v>
      </c>
      <c r="AG836" s="7" t="s">
        <v>93</v>
      </c>
      <c r="AH836" s="7" t="s">
        <v>94</v>
      </c>
    </row>
    <row r="837" spans="1:34" ht="9.75" customHeight="1" x14ac:dyDescent="0.2">
      <c r="A837" s="7" t="s">
        <v>37</v>
      </c>
      <c r="B837" s="7" t="s">
        <v>38</v>
      </c>
      <c r="C837" s="7"/>
      <c r="D837" s="7" t="s">
        <v>2049</v>
      </c>
      <c r="E837" s="8">
        <v>1</v>
      </c>
      <c r="F837" s="7" t="s">
        <v>41</v>
      </c>
      <c r="G837" s="7"/>
      <c r="H837" s="9"/>
      <c r="I837" s="10">
        <v>58642</v>
      </c>
      <c r="J837" s="9"/>
      <c r="K837" s="9"/>
      <c r="L837" s="10">
        <v>200000</v>
      </c>
      <c r="M837" s="9"/>
      <c r="N837" s="10">
        <v>200000</v>
      </c>
      <c r="O837" s="9"/>
      <c r="P837" s="10"/>
      <c r="Q837" s="10"/>
      <c r="R837" s="10"/>
      <c r="S837" s="7" t="s">
        <v>407</v>
      </c>
      <c r="T837" s="7" t="s">
        <v>96</v>
      </c>
      <c r="U837" s="7" t="s">
        <v>44</v>
      </c>
      <c r="V837" s="7" t="s">
        <v>45</v>
      </c>
      <c r="W837" s="7" t="s">
        <v>46</v>
      </c>
      <c r="X837" s="7" t="s">
        <v>90</v>
      </c>
      <c r="Y837" s="7" t="s">
        <v>2050</v>
      </c>
      <c r="Z837" s="7" t="s">
        <v>2018</v>
      </c>
      <c r="AA837" s="7"/>
      <c r="AB837" s="7"/>
      <c r="AC837" s="7" t="s">
        <v>87</v>
      </c>
      <c r="AD837" s="7"/>
      <c r="AE837" s="7"/>
      <c r="AF837" s="7" t="s">
        <v>50</v>
      </c>
      <c r="AG837" s="7" t="s">
        <v>93</v>
      </c>
      <c r="AH837" s="7" t="s">
        <v>94</v>
      </c>
    </row>
    <row r="838" spans="1:34" ht="9.75" customHeight="1" x14ac:dyDescent="0.2">
      <c r="A838" s="7" t="s">
        <v>37</v>
      </c>
      <c r="B838" s="7" t="s">
        <v>38</v>
      </c>
      <c r="C838" s="7"/>
      <c r="D838" s="7" t="s">
        <v>2051</v>
      </c>
      <c r="E838" s="8">
        <v>1</v>
      </c>
      <c r="F838" s="7" t="s">
        <v>41</v>
      </c>
      <c r="G838" s="7"/>
      <c r="H838" s="9"/>
      <c r="I838" s="10">
        <v>100115</v>
      </c>
      <c r="J838" s="9"/>
      <c r="K838" s="9"/>
      <c r="L838" s="10">
        <v>24646</v>
      </c>
      <c r="M838" s="9"/>
      <c r="N838" s="10">
        <v>24646</v>
      </c>
      <c r="O838" s="9"/>
      <c r="P838" s="10"/>
      <c r="Q838" s="10"/>
      <c r="R838" s="10"/>
      <c r="S838" s="7" t="s">
        <v>407</v>
      </c>
      <c r="T838" s="7" t="s">
        <v>96</v>
      </c>
      <c r="U838" s="7" t="s">
        <v>44</v>
      </c>
      <c r="V838" s="7" t="s">
        <v>45</v>
      </c>
      <c r="W838" s="7" t="s">
        <v>46</v>
      </c>
      <c r="X838" s="7" t="s">
        <v>90</v>
      </c>
      <c r="Y838" s="7" t="s">
        <v>2052</v>
      </c>
      <c r="Z838" s="7" t="s">
        <v>2053</v>
      </c>
      <c r="AA838" s="7"/>
      <c r="AB838" s="7"/>
      <c r="AC838" s="7" t="s">
        <v>87</v>
      </c>
      <c r="AD838" s="7"/>
      <c r="AE838" s="7"/>
      <c r="AF838" s="7" t="s">
        <v>50</v>
      </c>
      <c r="AG838" s="7" t="s">
        <v>93</v>
      </c>
      <c r="AH838" s="7" t="s">
        <v>94</v>
      </c>
    </row>
    <row r="839" spans="1:34" ht="9.75" customHeight="1" x14ac:dyDescent="0.2">
      <c r="A839" s="7" t="s">
        <v>37</v>
      </c>
      <c r="B839" s="7" t="s">
        <v>38</v>
      </c>
      <c r="C839" s="7"/>
      <c r="D839" s="7" t="s">
        <v>2054</v>
      </c>
      <c r="E839" s="8">
        <v>1</v>
      </c>
      <c r="F839" s="7" t="s">
        <v>41</v>
      </c>
      <c r="G839" s="7"/>
      <c r="H839" s="9"/>
      <c r="I839" s="10">
        <v>219370</v>
      </c>
      <c r="J839" s="9"/>
      <c r="K839" s="9"/>
      <c r="L839" s="10">
        <v>73634</v>
      </c>
      <c r="M839" s="9"/>
      <c r="N839" s="10">
        <v>73634</v>
      </c>
      <c r="O839" s="9"/>
      <c r="P839" s="10"/>
      <c r="Q839" s="10"/>
      <c r="R839" s="10"/>
      <c r="S839" s="7" t="s">
        <v>407</v>
      </c>
      <c r="T839" s="7" t="s">
        <v>96</v>
      </c>
      <c r="U839" s="7" t="s">
        <v>44</v>
      </c>
      <c r="V839" s="7" t="s">
        <v>45</v>
      </c>
      <c r="W839" s="7" t="s">
        <v>46</v>
      </c>
      <c r="X839" s="7" t="s">
        <v>90</v>
      </c>
      <c r="Y839" s="7" t="s">
        <v>2055</v>
      </c>
      <c r="Z839" s="7" t="s">
        <v>2053</v>
      </c>
      <c r="AA839" s="7"/>
      <c r="AB839" s="7"/>
      <c r="AC839" s="7" t="s">
        <v>87</v>
      </c>
      <c r="AD839" s="7"/>
      <c r="AE839" s="7"/>
      <c r="AF839" s="7" t="s">
        <v>50</v>
      </c>
      <c r="AG839" s="7" t="s">
        <v>93</v>
      </c>
      <c r="AH839" s="7" t="s">
        <v>94</v>
      </c>
    </row>
    <row r="840" spans="1:34" ht="9.75" customHeight="1" x14ac:dyDescent="0.2">
      <c r="A840" s="7" t="s">
        <v>37</v>
      </c>
      <c r="B840" s="7" t="s">
        <v>38</v>
      </c>
      <c r="C840" s="7"/>
      <c r="D840" s="7" t="s">
        <v>2056</v>
      </c>
      <c r="E840" s="8">
        <v>1</v>
      </c>
      <c r="F840" s="7" t="s">
        <v>41</v>
      </c>
      <c r="G840" s="7"/>
      <c r="H840" s="9"/>
      <c r="I840" s="10">
        <v>99116</v>
      </c>
      <c r="J840" s="9"/>
      <c r="K840" s="9"/>
      <c r="L840" s="10">
        <v>289761</v>
      </c>
      <c r="M840" s="9"/>
      <c r="N840" s="10">
        <v>289761</v>
      </c>
      <c r="O840" s="9"/>
      <c r="P840" s="10"/>
      <c r="Q840" s="10"/>
      <c r="R840" s="10"/>
      <c r="S840" s="7" t="s">
        <v>407</v>
      </c>
      <c r="T840" s="7" t="s">
        <v>96</v>
      </c>
      <c r="U840" s="7" t="s">
        <v>44</v>
      </c>
      <c r="V840" s="7" t="s">
        <v>45</v>
      </c>
      <c r="W840" s="7" t="s">
        <v>46</v>
      </c>
      <c r="X840" s="7" t="s">
        <v>90</v>
      </c>
      <c r="Y840" s="7" t="s">
        <v>2057</v>
      </c>
      <c r="Z840" s="7" t="s">
        <v>2053</v>
      </c>
      <c r="AA840" s="7"/>
      <c r="AB840" s="7"/>
      <c r="AC840" s="7" t="s">
        <v>87</v>
      </c>
      <c r="AD840" s="7"/>
      <c r="AE840" s="7"/>
      <c r="AF840" s="7" t="s">
        <v>50</v>
      </c>
      <c r="AG840" s="7" t="s">
        <v>93</v>
      </c>
      <c r="AH840" s="7" t="s">
        <v>94</v>
      </c>
    </row>
    <row r="841" spans="1:34" ht="9.75" customHeight="1" x14ac:dyDescent="0.2">
      <c r="A841" s="7" t="s">
        <v>37</v>
      </c>
      <c r="B841" s="7" t="s">
        <v>38</v>
      </c>
      <c r="C841" s="7"/>
      <c r="D841" s="7" t="s">
        <v>2058</v>
      </c>
      <c r="E841" s="8">
        <v>1</v>
      </c>
      <c r="F841" s="7" t="s">
        <v>41</v>
      </c>
      <c r="G841" s="7"/>
      <c r="H841" s="9"/>
      <c r="I841" s="9"/>
      <c r="J841" s="9"/>
      <c r="K841" s="9"/>
      <c r="L841" s="10">
        <v>520236</v>
      </c>
      <c r="M841" s="9"/>
      <c r="N841" s="10">
        <v>520236</v>
      </c>
      <c r="O841" s="9"/>
      <c r="P841" s="10"/>
      <c r="Q841" s="10"/>
      <c r="R841" s="10"/>
      <c r="S841" s="7" t="s">
        <v>407</v>
      </c>
      <c r="T841" s="7" t="s">
        <v>96</v>
      </c>
      <c r="U841" s="7" t="s">
        <v>44</v>
      </c>
      <c r="V841" s="7" t="s">
        <v>45</v>
      </c>
      <c r="W841" s="7" t="s">
        <v>46</v>
      </c>
      <c r="X841" s="7" t="s">
        <v>90</v>
      </c>
      <c r="Y841" s="7" t="s">
        <v>2059</v>
      </c>
      <c r="Z841" s="7" t="s">
        <v>2053</v>
      </c>
      <c r="AA841" s="7"/>
      <c r="AB841" s="7"/>
      <c r="AC841" s="7" t="s">
        <v>87</v>
      </c>
      <c r="AD841" s="7"/>
      <c r="AE841" s="7"/>
      <c r="AF841" s="7" t="s">
        <v>50</v>
      </c>
      <c r="AG841" s="7" t="s">
        <v>93</v>
      </c>
      <c r="AH841" s="7" t="s">
        <v>94</v>
      </c>
    </row>
    <row r="842" spans="1:34" ht="9.75" customHeight="1" x14ac:dyDescent="0.2">
      <c r="A842" s="7" t="s">
        <v>37</v>
      </c>
      <c r="B842" s="7" t="s">
        <v>38</v>
      </c>
      <c r="C842" s="7"/>
      <c r="D842" s="7" t="s">
        <v>2060</v>
      </c>
      <c r="E842" s="8">
        <v>1</v>
      </c>
      <c r="F842" s="7" t="s">
        <v>41</v>
      </c>
      <c r="G842" s="7"/>
      <c r="H842" s="9"/>
      <c r="I842" s="9"/>
      <c r="J842" s="9"/>
      <c r="K842" s="9"/>
      <c r="L842" s="10">
        <v>167350</v>
      </c>
      <c r="M842" s="9"/>
      <c r="N842" s="10">
        <v>167350</v>
      </c>
      <c r="O842" s="9"/>
      <c r="P842" s="10"/>
      <c r="Q842" s="10"/>
      <c r="R842" s="10"/>
      <c r="S842" s="7" t="s">
        <v>407</v>
      </c>
      <c r="T842" s="7" t="s">
        <v>96</v>
      </c>
      <c r="U842" s="7" t="s">
        <v>44</v>
      </c>
      <c r="V842" s="7" t="s">
        <v>45</v>
      </c>
      <c r="W842" s="7" t="s">
        <v>46</v>
      </c>
      <c r="X842" s="7" t="s">
        <v>90</v>
      </c>
      <c r="Y842" s="7" t="s">
        <v>2061</v>
      </c>
      <c r="Z842" s="7" t="s">
        <v>2053</v>
      </c>
      <c r="AA842" s="7"/>
      <c r="AB842" s="7"/>
      <c r="AC842" s="7" t="s">
        <v>87</v>
      </c>
      <c r="AD842" s="7"/>
      <c r="AE842" s="7"/>
      <c r="AF842" s="7" t="s">
        <v>50</v>
      </c>
      <c r="AG842" s="7" t="s">
        <v>93</v>
      </c>
      <c r="AH842" s="7" t="s">
        <v>94</v>
      </c>
    </row>
    <row r="843" spans="1:34" ht="9.75" customHeight="1" x14ac:dyDescent="0.2">
      <c r="A843" s="7" t="s">
        <v>37</v>
      </c>
      <c r="B843" s="7" t="s">
        <v>38</v>
      </c>
      <c r="C843" s="7"/>
      <c r="D843" s="7" t="s">
        <v>2062</v>
      </c>
      <c r="E843" s="8">
        <v>1</v>
      </c>
      <c r="F843" s="7" t="s">
        <v>41</v>
      </c>
      <c r="G843" s="7"/>
      <c r="H843" s="9"/>
      <c r="I843" s="10">
        <v>853942</v>
      </c>
      <c r="J843" s="9"/>
      <c r="K843" s="9"/>
      <c r="L843" s="10">
        <v>239089</v>
      </c>
      <c r="M843" s="9"/>
      <c r="N843" s="10">
        <v>239089</v>
      </c>
      <c r="O843" s="9"/>
      <c r="P843" s="10"/>
      <c r="Q843" s="10"/>
      <c r="R843" s="10"/>
      <c r="S843" s="7" t="s">
        <v>407</v>
      </c>
      <c r="T843" s="7" t="s">
        <v>96</v>
      </c>
      <c r="U843" s="7" t="s">
        <v>44</v>
      </c>
      <c r="V843" s="7" t="s">
        <v>45</v>
      </c>
      <c r="W843" s="7" t="s">
        <v>46</v>
      </c>
      <c r="X843" s="7" t="s">
        <v>90</v>
      </c>
      <c r="Y843" s="7" t="s">
        <v>2063</v>
      </c>
      <c r="Z843" s="7" t="s">
        <v>2053</v>
      </c>
      <c r="AA843" s="7"/>
      <c r="AB843" s="7"/>
      <c r="AC843" s="7" t="s">
        <v>87</v>
      </c>
      <c r="AD843" s="7"/>
      <c r="AE843" s="7"/>
      <c r="AF843" s="7" t="s">
        <v>50</v>
      </c>
      <c r="AG843" s="7" t="s">
        <v>93</v>
      </c>
      <c r="AH843" s="7" t="s">
        <v>94</v>
      </c>
    </row>
    <row r="844" spans="1:34" ht="9.75" customHeight="1" x14ac:dyDescent="0.2">
      <c r="A844" s="7" t="s">
        <v>37</v>
      </c>
      <c r="B844" s="7" t="s">
        <v>38</v>
      </c>
      <c r="C844" s="7"/>
      <c r="D844" s="7" t="s">
        <v>2064</v>
      </c>
      <c r="E844" s="8">
        <v>1</v>
      </c>
      <c r="F844" s="7" t="s">
        <v>41</v>
      </c>
      <c r="G844" s="7"/>
      <c r="H844" s="9"/>
      <c r="I844" s="10">
        <v>402664</v>
      </c>
      <c r="J844" s="9"/>
      <c r="K844" s="9"/>
      <c r="L844" s="10">
        <v>257863</v>
      </c>
      <c r="M844" s="9"/>
      <c r="N844" s="10">
        <v>257863</v>
      </c>
      <c r="O844" s="9"/>
      <c r="P844" s="10"/>
      <c r="Q844" s="10"/>
      <c r="R844" s="10"/>
      <c r="S844" s="7" t="s">
        <v>407</v>
      </c>
      <c r="T844" s="7" t="s">
        <v>96</v>
      </c>
      <c r="U844" s="7" t="s">
        <v>44</v>
      </c>
      <c r="V844" s="7" t="s">
        <v>45</v>
      </c>
      <c r="W844" s="7" t="s">
        <v>46</v>
      </c>
      <c r="X844" s="7" t="s">
        <v>90</v>
      </c>
      <c r="Y844" s="7" t="s">
        <v>2065</v>
      </c>
      <c r="Z844" s="7" t="s">
        <v>2053</v>
      </c>
      <c r="AA844" s="7"/>
      <c r="AB844" s="7"/>
      <c r="AC844" s="7" t="s">
        <v>87</v>
      </c>
      <c r="AD844" s="7"/>
      <c r="AE844" s="7"/>
      <c r="AF844" s="7" t="s">
        <v>50</v>
      </c>
      <c r="AG844" s="7" t="s">
        <v>93</v>
      </c>
      <c r="AH844" s="7" t="s">
        <v>94</v>
      </c>
    </row>
    <row r="845" spans="1:34" ht="9.75" customHeight="1" x14ac:dyDescent="0.2">
      <c r="A845" s="7" t="s">
        <v>37</v>
      </c>
      <c r="B845" s="7" t="s">
        <v>38</v>
      </c>
      <c r="C845" s="7"/>
      <c r="D845" s="7" t="s">
        <v>2016</v>
      </c>
      <c r="E845" s="8">
        <v>1</v>
      </c>
      <c r="F845" s="7" t="s">
        <v>41</v>
      </c>
      <c r="G845" s="7"/>
      <c r="H845" s="9"/>
      <c r="I845" s="10">
        <v>207166</v>
      </c>
      <c r="J845" s="9"/>
      <c r="K845" s="9"/>
      <c r="L845" s="10">
        <v>2595816</v>
      </c>
      <c r="M845" s="9"/>
      <c r="N845" s="10">
        <v>2595816</v>
      </c>
      <c r="O845" s="9"/>
      <c r="P845" s="10"/>
      <c r="Q845" s="10"/>
      <c r="R845" s="10"/>
      <c r="S845" s="7" t="s">
        <v>407</v>
      </c>
      <c r="T845" s="7" t="s">
        <v>96</v>
      </c>
      <c r="U845" s="7" t="s">
        <v>44</v>
      </c>
      <c r="V845" s="7" t="s">
        <v>45</v>
      </c>
      <c r="W845" s="7" t="s">
        <v>46</v>
      </c>
      <c r="X845" s="7" t="s">
        <v>90</v>
      </c>
      <c r="Y845" s="7" t="s">
        <v>2017</v>
      </c>
      <c r="Z845" s="7" t="s">
        <v>2066</v>
      </c>
      <c r="AA845" s="7"/>
      <c r="AB845" s="7"/>
      <c r="AC845" s="7" t="s">
        <v>87</v>
      </c>
      <c r="AD845" s="7"/>
      <c r="AE845" s="7" t="s">
        <v>410</v>
      </c>
      <c r="AF845" s="7" t="s">
        <v>50</v>
      </c>
      <c r="AG845" s="7" t="s">
        <v>93</v>
      </c>
      <c r="AH845" s="7" t="s">
        <v>94</v>
      </c>
    </row>
    <row r="846" spans="1:34" ht="9.75" customHeight="1" x14ac:dyDescent="0.2">
      <c r="A846" s="7" t="s">
        <v>37</v>
      </c>
      <c r="B846" s="7" t="s">
        <v>38</v>
      </c>
      <c r="C846" s="7"/>
      <c r="D846" s="7" t="s">
        <v>2019</v>
      </c>
      <c r="E846" s="8">
        <v>1</v>
      </c>
      <c r="F846" s="7" t="s">
        <v>41</v>
      </c>
      <c r="G846" s="7"/>
      <c r="H846" s="9"/>
      <c r="I846" s="10">
        <v>5326544</v>
      </c>
      <c r="J846" s="9"/>
      <c r="K846" s="9"/>
      <c r="L846" s="10">
        <v>1681909</v>
      </c>
      <c r="M846" s="9"/>
      <c r="N846" s="10">
        <v>1681909</v>
      </c>
      <c r="O846" s="9"/>
      <c r="P846" s="10"/>
      <c r="Q846" s="10"/>
      <c r="R846" s="10"/>
      <c r="S846" s="7" t="s">
        <v>407</v>
      </c>
      <c r="T846" s="7" t="s">
        <v>96</v>
      </c>
      <c r="U846" s="7" t="s">
        <v>44</v>
      </c>
      <c r="V846" s="7" t="s">
        <v>45</v>
      </c>
      <c r="W846" s="7" t="s">
        <v>46</v>
      </c>
      <c r="X846" s="7" t="s">
        <v>90</v>
      </c>
      <c r="Y846" s="7" t="s">
        <v>2020</v>
      </c>
      <c r="Z846" s="7" t="s">
        <v>2066</v>
      </c>
      <c r="AA846" s="7"/>
      <c r="AB846" s="7"/>
      <c r="AC846" s="7" t="s">
        <v>87</v>
      </c>
      <c r="AD846" s="7"/>
      <c r="AE846" s="7" t="s">
        <v>207</v>
      </c>
      <c r="AF846" s="7" t="s">
        <v>50</v>
      </c>
      <c r="AG846" s="7" t="s">
        <v>93</v>
      </c>
      <c r="AH846" s="7" t="s">
        <v>94</v>
      </c>
    </row>
    <row r="847" spans="1:34" ht="9.75" customHeight="1" x14ac:dyDescent="0.2">
      <c r="A847" s="7" t="s">
        <v>37</v>
      </c>
      <c r="B847" s="7" t="s">
        <v>38</v>
      </c>
      <c r="C847" s="7"/>
      <c r="D847" s="7" t="s">
        <v>2021</v>
      </c>
      <c r="E847" s="8">
        <v>1</v>
      </c>
      <c r="F847" s="7" t="s">
        <v>41</v>
      </c>
      <c r="G847" s="7"/>
      <c r="H847" s="9"/>
      <c r="I847" s="10">
        <v>185118</v>
      </c>
      <c r="J847" s="9"/>
      <c r="K847" s="9"/>
      <c r="L847" s="10">
        <v>108705</v>
      </c>
      <c r="M847" s="9"/>
      <c r="N847" s="10">
        <v>108705</v>
      </c>
      <c r="O847" s="9"/>
      <c r="P847" s="10"/>
      <c r="Q847" s="10"/>
      <c r="R847" s="10"/>
      <c r="S847" s="7" t="s">
        <v>407</v>
      </c>
      <c r="T847" s="7" t="s">
        <v>96</v>
      </c>
      <c r="U847" s="7" t="s">
        <v>44</v>
      </c>
      <c r="V847" s="7" t="s">
        <v>45</v>
      </c>
      <c r="W847" s="7" t="s">
        <v>46</v>
      </c>
      <c r="X847" s="7" t="s">
        <v>90</v>
      </c>
      <c r="Y847" s="7" t="s">
        <v>2022</v>
      </c>
      <c r="Z847" s="7" t="s">
        <v>2066</v>
      </c>
      <c r="AA847" s="7"/>
      <c r="AB847" s="7"/>
      <c r="AC847" s="7" t="s">
        <v>87</v>
      </c>
      <c r="AD847" s="7"/>
      <c r="AE847" s="7" t="s">
        <v>415</v>
      </c>
      <c r="AF847" s="7" t="s">
        <v>50</v>
      </c>
      <c r="AG847" s="7" t="s">
        <v>93</v>
      </c>
      <c r="AH847" s="7" t="s">
        <v>94</v>
      </c>
    </row>
    <row r="848" spans="1:34" ht="9.75" customHeight="1" x14ac:dyDescent="0.2">
      <c r="A848" s="7" t="s">
        <v>37</v>
      </c>
      <c r="B848" s="7" t="s">
        <v>38</v>
      </c>
      <c r="C848" s="7"/>
      <c r="D848" s="7" t="s">
        <v>2023</v>
      </c>
      <c r="E848" s="8">
        <v>1</v>
      </c>
      <c r="F848" s="7" t="s">
        <v>41</v>
      </c>
      <c r="G848" s="7"/>
      <c r="H848" s="9"/>
      <c r="I848" s="10">
        <v>313264</v>
      </c>
      <c r="J848" s="9"/>
      <c r="K848" s="9"/>
      <c r="L848" s="10">
        <v>598515</v>
      </c>
      <c r="M848" s="9"/>
      <c r="N848" s="10">
        <v>598515</v>
      </c>
      <c r="O848" s="9"/>
      <c r="P848" s="10"/>
      <c r="Q848" s="10"/>
      <c r="R848" s="10"/>
      <c r="S848" s="7" t="s">
        <v>407</v>
      </c>
      <c r="T848" s="7" t="s">
        <v>96</v>
      </c>
      <c r="U848" s="7" t="s">
        <v>44</v>
      </c>
      <c r="V848" s="7" t="s">
        <v>45</v>
      </c>
      <c r="W848" s="7" t="s">
        <v>46</v>
      </c>
      <c r="X848" s="7" t="s">
        <v>90</v>
      </c>
      <c r="Y848" s="7" t="s">
        <v>2024</v>
      </c>
      <c r="Z848" s="7" t="s">
        <v>2066</v>
      </c>
      <c r="AA848" s="7"/>
      <c r="AB848" s="7"/>
      <c r="AC848" s="7" t="s">
        <v>87</v>
      </c>
      <c r="AD848" s="7"/>
      <c r="AE848" s="7"/>
      <c r="AF848" s="7" t="s">
        <v>50</v>
      </c>
      <c r="AG848" s="7" t="s">
        <v>93</v>
      </c>
      <c r="AH848" s="7" t="s">
        <v>94</v>
      </c>
    </row>
    <row r="849" spans="1:34" ht="9.75" customHeight="1" x14ac:dyDescent="0.2">
      <c r="A849" s="7" t="s">
        <v>37</v>
      </c>
      <c r="B849" s="7" t="s">
        <v>38</v>
      </c>
      <c r="C849" s="7"/>
      <c r="D849" s="7" t="s">
        <v>2025</v>
      </c>
      <c r="E849" s="8">
        <v>1</v>
      </c>
      <c r="F849" s="7" t="s">
        <v>41</v>
      </c>
      <c r="G849" s="7"/>
      <c r="H849" s="9"/>
      <c r="I849" s="10">
        <v>16020</v>
      </c>
      <c r="J849" s="9"/>
      <c r="K849" s="9"/>
      <c r="L849" s="10">
        <v>16340</v>
      </c>
      <c r="M849" s="9"/>
      <c r="N849" s="10">
        <v>16340</v>
      </c>
      <c r="O849" s="9"/>
      <c r="P849" s="10"/>
      <c r="Q849" s="10"/>
      <c r="R849" s="10"/>
      <c r="S849" s="7" t="s">
        <v>407</v>
      </c>
      <c r="T849" s="7" t="s">
        <v>96</v>
      </c>
      <c r="U849" s="7" t="s">
        <v>44</v>
      </c>
      <c r="V849" s="7" t="s">
        <v>45</v>
      </c>
      <c r="W849" s="7" t="s">
        <v>46</v>
      </c>
      <c r="X849" s="7" t="s">
        <v>90</v>
      </c>
      <c r="Y849" s="7" t="s">
        <v>2026</v>
      </c>
      <c r="Z849" s="7" t="s">
        <v>2066</v>
      </c>
      <c r="AA849" s="7"/>
      <c r="AB849" s="7"/>
      <c r="AC849" s="7" t="s">
        <v>87</v>
      </c>
      <c r="AD849" s="7"/>
      <c r="AE849" s="7" t="s">
        <v>2067</v>
      </c>
      <c r="AF849" s="7" t="s">
        <v>50</v>
      </c>
      <c r="AG849" s="7" t="s">
        <v>93</v>
      </c>
      <c r="AH849" s="7" t="s">
        <v>94</v>
      </c>
    </row>
    <row r="850" spans="1:34" ht="9.75" customHeight="1" x14ac:dyDescent="0.2">
      <c r="A850" s="7" t="s">
        <v>37</v>
      </c>
      <c r="B850" s="7" t="s">
        <v>38</v>
      </c>
      <c r="C850" s="7"/>
      <c r="D850" s="7" t="s">
        <v>2027</v>
      </c>
      <c r="E850" s="8">
        <v>1</v>
      </c>
      <c r="F850" s="7" t="s">
        <v>41</v>
      </c>
      <c r="G850" s="7"/>
      <c r="H850" s="9"/>
      <c r="I850" s="10">
        <v>1004950</v>
      </c>
      <c r="J850" s="9"/>
      <c r="K850" s="9"/>
      <c r="L850" s="10">
        <v>1035070</v>
      </c>
      <c r="M850" s="9"/>
      <c r="N850" s="10">
        <v>1035070</v>
      </c>
      <c r="O850" s="9"/>
      <c r="P850" s="10"/>
      <c r="Q850" s="10"/>
      <c r="R850" s="10"/>
      <c r="S850" s="7" t="s">
        <v>407</v>
      </c>
      <c r="T850" s="7" t="s">
        <v>96</v>
      </c>
      <c r="U850" s="7" t="s">
        <v>44</v>
      </c>
      <c r="V850" s="7" t="s">
        <v>45</v>
      </c>
      <c r="W850" s="7" t="s">
        <v>46</v>
      </c>
      <c r="X850" s="7" t="s">
        <v>90</v>
      </c>
      <c r="Y850" s="7" t="s">
        <v>2028</v>
      </c>
      <c r="Z850" s="7" t="s">
        <v>2066</v>
      </c>
      <c r="AA850" s="7"/>
      <c r="AB850" s="7"/>
      <c r="AC850" s="7" t="s">
        <v>87</v>
      </c>
      <c r="AD850" s="7"/>
      <c r="AE850" s="7" t="s">
        <v>420</v>
      </c>
      <c r="AF850" s="7" t="s">
        <v>50</v>
      </c>
      <c r="AG850" s="7" t="s">
        <v>93</v>
      </c>
      <c r="AH850" s="7" t="s">
        <v>94</v>
      </c>
    </row>
    <row r="851" spans="1:34" ht="9.75" customHeight="1" x14ac:dyDescent="0.2">
      <c r="A851" s="7" t="s">
        <v>37</v>
      </c>
      <c r="B851" s="7" t="s">
        <v>38</v>
      </c>
      <c r="C851" s="7"/>
      <c r="D851" s="7" t="s">
        <v>2068</v>
      </c>
      <c r="E851" s="8">
        <v>1</v>
      </c>
      <c r="F851" s="7" t="s">
        <v>41</v>
      </c>
      <c r="G851" s="7"/>
      <c r="H851" s="9"/>
      <c r="I851" s="10">
        <v>98937</v>
      </c>
      <c r="J851" s="9"/>
      <c r="K851" s="9"/>
      <c r="L851" s="10">
        <v>150015</v>
      </c>
      <c r="M851" s="9"/>
      <c r="N851" s="10">
        <v>150015</v>
      </c>
      <c r="O851" s="9"/>
      <c r="P851" s="10"/>
      <c r="Q851" s="10"/>
      <c r="R851" s="10"/>
      <c r="S851" s="7" t="s">
        <v>407</v>
      </c>
      <c r="T851" s="7" t="s">
        <v>96</v>
      </c>
      <c r="U851" s="7" t="s">
        <v>44</v>
      </c>
      <c r="V851" s="7" t="s">
        <v>45</v>
      </c>
      <c r="W851" s="7" t="s">
        <v>46</v>
      </c>
      <c r="X851" s="7" t="s">
        <v>90</v>
      </c>
      <c r="Y851" s="7" t="s">
        <v>2069</v>
      </c>
      <c r="Z851" s="7" t="s">
        <v>2066</v>
      </c>
      <c r="AA851" s="7"/>
      <c r="AB851" s="7"/>
      <c r="AC851" s="7" t="s">
        <v>87</v>
      </c>
      <c r="AD851" s="7"/>
      <c r="AE851" s="7"/>
      <c r="AF851" s="7" t="s">
        <v>50</v>
      </c>
      <c r="AG851" s="7" t="s">
        <v>93</v>
      </c>
      <c r="AH851" s="7" t="s">
        <v>94</v>
      </c>
    </row>
    <row r="852" spans="1:34" ht="9.75" customHeight="1" x14ac:dyDescent="0.2">
      <c r="A852" s="7" t="s">
        <v>37</v>
      </c>
      <c r="B852" s="7" t="s">
        <v>38</v>
      </c>
      <c r="C852" s="7"/>
      <c r="D852" s="7" t="s">
        <v>2029</v>
      </c>
      <c r="E852" s="8">
        <v>1</v>
      </c>
      <c r="F852" s="7" t="s">
        <v>41</v>
      </c>
      <c r="G852" s="7"/>
      <c r="H852" s="9"/>
      <c r="I852" s="10">
        <v>70546</v>
      </c>
      <c r="J852" s="9"/>
      <c r="K852" s="9"/>
      <c r="L852" s="10">
        <v>35978</v>
      </c>
      <c r="M852" s="9"/>
      <c r="N852" s="10">
        <v>35978</v>
      </c>
      <c r="O852" s="9"/>
      <c r="P852" s="10"/>
      <c r="Q852" s="10"/>
      <c r="R852" s="10"/>
      <c r="S852" s="7" t="s">
        <v>407</v>
      </c>
      <c r="T852" s="7" t="s">
        <v>96</v>
      </c>
      <c r="U852" s="7" t="s">
        <v>44</v>
      </c>
      <c r="V852" s="7" t="s">
        <v>45</v>
      </c>
      <c r="W852" s="7" t="s">
        <v>46</v>
      </c>
      <c r="X852" s="7" t="s">
        <v>90</v>
      </c>
      <c r="Y852" s="7" t="s">
        <v>2030</v>
      </c>
      <c r="Z852" s="7" t="s">
        <v>2066</v>
      </c>
      <c r="AA852" s="7"/>
      <c r="AB852" s="7"/>
      <c r="AC852" s="7" t="s">
        <v>87</v>
      </c>
      <c r="AD852" s="7"/>
      <c r="AE852" s="7" t="s">
        <v>427</v>
      </c>
      <c r="AF852" s="7" t="s">
        <v>50</v>
      </c>
      <c r="AG852" s="7" t="s">
        <v>93</v>
      </c>
      <c r="AH852" s="7" t="s">
        <v>94</v>
      </c>
    </row>
    <row r="853" spans="1:34" ht="9.75" customHeight="1" x14ac:dyDescent="0.2">
      <c r="A853" s="7" t="s">
        <v>37</v>
      </c>
      <c r="B853" s="7" t="s">
        <v>38</v>
      </c>
      <c r="C853" s="7"/>
      <c r="D853" s="7" t="s">
        <v>2070</v>
      </c>
      <c r="E853" s="8">
        <v>1</v>
      </c>
      <c r="F853" s="7" t="s">
        <v>41</v>
      </c>
      <c r="G853" s="7"/>
      <c r="H853" s="9"/>
      <c r="I853" s="10">
        <v>136908</v>
      </c>
      <c r="J853" s="9"/>
      <c r="K853" s="9"/>
      <c r="L853" s="10">
        <v>253640</v>
      </c>
      <c r="M853" s="9"/>
      <c r="N853" s="10">
        <v>253640</v>
      </c>
      <c r="O853" s="9"/>
      <c r="P853" s="10"/>
      <c r="Q853" s="10"/>
      <c r="R853" s="10"/>
      <c r="S853" s="7" t="s">
        <v>407</v>
      </c>
      <c r="T853" s="7" t="s">
        <v>96</v>
      </c>
      <c r="U853" s="7" t="s">
        <v>44</v>
      </c>
      <c r="V853" s="7" t="s">
        <v>45</v>
      </c>
      <c r="W853" s="7" t="s">
        <v>46</v>
      </c>
      <c r="X853" s="7" t="s">
        <v>90</v>
      </c>
      <c r="Y853" s="7" t="s">
        <v>2071</v>
      </c>
      <c r="Z853" s="7" t="s">
        <v>2072</v>
      </c>
      <c r="AA853" s="7"/>
      <c r="AB853" s="7"/>
      <c r="AC853" s="7" t="s">
        <v>87</v>
      </c>
      <c r="AD853" s="7"/>
      <c r="AE853" s="7" t="s">
        <v>2073</v>
      </c>
      <c r="AF853" s="7" t="s">
        <v>50</v>
      </c>
      <c r="AG853" s="7" t="s">
        <v>93</v>
      </c>
      <c r="AH853" s="7" t="s">
        <v>94</v>
      </c>
    </row>
    <row r="854" spans="1:34" ht="9.75" customHeight="1" x14ac:dyDescent="0.2">
      <c r="A854" s="7" t="s">
        <v>37</v>
      </c>
      <c r="B854" s="7" t="s">
        <v>38</v>
      </c>
      <c r="C854" s="7"/>
      <c r="D854" s="7" t="s">
        <v>2074</v>
      </c>
      <c r="E854" s="8">
        <v>1</v>
      </c>
      <c r="F854" s="7" t="s">
        <v>41</v>
      </c>
      <c r="G854" s="7"/>
      <c r="H854" s="9"/>
      <c r="I854" s="10">
        <v>33185</v>
      </c>
      <c r="J854" s="9"/>
      <c r="K854" s="9"/>
      <c r="L854" s="10">
        <v>65621</v>
      </c>
      <c r="M854" s="9"/>
      <c r="N854" s="10">
        <v>65621</v>
      </c>
      <c r="O854" s="9"/>
      <c r="P854" s="10"/>
      <c r="Q854" s="10"/>
      <c r="R854" s="10"/>
      <c r="S854" s="7" t="s">
        <v>407</v>
      </c>
      <c r="T854" s="7" t="s">
        <v>96</v>
      </c>
      <c r="U854" s="7" t="s">
        <v>44</v>
      </c>
      <c r="V854" s="7" t="s">
        <v>45</v>
      </c>
      <c r="W854" s="7" t="s">
        <v>46</v>
      </c>
      <c r="X854" s="7" t="s">
        <v>90</v>
      </c>
      <c r="Y854" s="7" t="s">
        <v>2075</v>
      </c>
      <c r="Z854" s="7" t="s">
        <v>2072</v>
      </c>
      <c r="AA854" s="7"/>
      <c r="AB854" s="7"/>
      <c r="AC854" s="7" t="s">
        <v>87</v>
      </c>
      <c r="AD854" s="7"/>
      <c r="AE854" s="7" t="s">
        <v>2076</v>
      </c>
      <c r="AF854" s="7" t="s">
        <v>50</v>
      </c>
      <c r="AG854" s="7" t="s">
        <v>93</v>
      </c>
      <c r="AH854" s="7" t="s">
        <v>94</v>
      </c>
    </row>
    <row r="855" spans="1:34" ht="9.75" customHeight="1" x14ac:dyDescent="0.2">
      <c r="A855" s="7" t="s">
        <v>37</v>
      </c>
      <c r="B855" s="7" t="s">
        <v>38</v>
      </c>
      <c r="C855" s="7"/>
      <c r="D855" s="7" t="s">
        <v>2077</v>
      </c>
      <c r="E855" s="8">
        <v>1</v>
      </c>
      <c r="F855" s="7" t="s">
        <v>41</v>
      </c>
      <c r="G855" s="7"/>
      <c r="H855" s="9"/>
      <c r="I855" s="10">
        <v>21633</v>
      </c>
      <c r="J855" s="9"/>
      <c r="K855" s="9"/>
      <c r="L855" s="10">
        <v>44133</v>
      </c>
      <c r="M855" s="9"/>
      <c r="N855" s="10">
        <v>44133</v>
      </c>
      <c r="O855" s="9"/>
      <c r="P855" s="10"/>
      <c r="Q855" s="10"/>
      <c r="R855" s="10"/>
      <c r="S855" s="7" t="s">
        <v>407</v>
      </c>
      <c r="T855" s="7" t="s">
        <v>96</v>
      </c>
      <c r="U855" s="7" t="s">
        <v>44</v>
      </c>
      <c r="V855" s="7" t="s">
        <v>45</v>
      </c>
      <c r="W855" s="7" t="s">
        <v>46</v>
      </c>
      <c r="X855" s="7" t="s">
        <v>90</v>
      </c>
      <c r="Y855" s="7" t="s">
        <v>2078</v>
      </c>
      <c r="Z855" s="7" t="s">
        <v>2072</v>
      </c>
      <c r="AA855" s="7"/>
      <c r="AB855" s="7"/>
      <c r="AC855" s="7" t="s">
        <v>87</v>
      </c>
      <c r="AD855" s="7"/>
      <c r="AE855" s="7" t="s">
        <v>2079</v>
      </c>
      <c r="AF855" s="7" t="s">
        <v>50</v>
      </c>
      <c r="AG855" s="7" t="s">
        <v>93</v>
      </c>
      <c r="AH855" s="7" t="s">
        <v>94</v>
      </c>
    </row>
    <row r="856" spans="1:34" ht="9.75" customHeight="1" x14ac:dyDescent="0.2">
      <c r="A856" s="7" t="s">
        <v>37</v>
      </c>
      <c r="B856" s="7" t="s">
        <v>38</v>
      </c>
      <c r="C856" s="7"/>
      <c r="D856" s="7" t="s">
        <v>2080</v>
      </c>
      <c r="E856" s="8">
        <v>1</v>
      </c>
      <c r="F856" s="7" t="s">
        <v>41</v>
      </c>
      <c r="G856" s="7"/>
      <c r="H856" s="9"/>
      <c r="I856" s="10">
        <v>18619</v>
      </c>
      <c r="J856" s="9"/>
      <c r="K856" s="9"/>
      <c r="L856" s="10">
        <v>25170</v>
      </c>
      <c r="M856" s="9"/>
      <c r="N856" s="10">
        <v>25170</v>
      </c>
      <c r="O856" s="9"/>
      <c r="P856" s="10"/>
      <c r="Q856" s="10"/>
      <c r="R856" s="10"/>
      <c r="S856" s="7" t="s">
        <v>407</v>
      </c>
      <c r="T856" s="7" t="s">
        <v>96</v>
      </c>
      <c r="U856" s="7" t="s">
        <v>44</v>
      </c>
      <c r="V856" s="7" t="s">
        <v>45</v>
      </c>
      <c r="W856" s="7" t="s">
        <v>46</v>
      </c>
      <c r="X856" s="7" t="s">
        <v>90</v>
      </c>
      <c r="Y856" s="7" t="s">
        <v>2081</v>
      </c>
      <c r="Z856" s="7" t="s">
        <v>2072</v>
      </c>
      <c r="AA856" s="7"/>
      <c r="AB856" s="7"/>
      <c r="AC856" s="7" t="s">
        <v>87</v>
      </c>
      <c r="AD856" s="7"/>
      <c r="AE856" s="7" t="s">
        <v>2082</v>
      </c>
      <c r="AF856" s="7" t="s">
        <v>50</v>
      </c>
      <c r="AG856" s="7" t="s">
        <v>93</v>
      </c>
      <c r="AH856" s="7" t="s">
        <v>94</v>
      </c>
    </row>
    <row r="857" spans="1:34" ht="9.75" customHeight="1" x14ac:dyDescent="0.2">
      <c r="A857" s="7" t="s">
        <v>37</v>
      </c>
      <c r="B857" s="7" t="s">
        <v>38</v>
      </c>
      <c r="C857" s="7"/>
      <c r="D857" s="7" t="s">
        <v>2083</v>
      </c>
      <c r="E857" s="8">
        <v>1</v>
      </c>
      <c r="F857" s="7" t="s">
        <v>41</v>
      </c>
      <c r="G857" s="7"/>
      <c r="H857" s="9"/>
      <c r="I857" s="10">
        <v>29184</v>
      </c>
      <c r="J857" s="9"/>
      <c r="K857" s="9"/>
      <c r="L857" s="10">
        <v>59535</v>
      </c>
      <c r="M857" s="9"/>
      <c r="N857" s="10">
        <v>59535</v>
      </c>
      <c r="O857" s="9"/>
      <c r="P857" s="10"/>
      <c r="Q857" s="10"/>
      <c r="R857" s="10"/>
      <c r="S857" s="7" t="s">
        <v>407</v>
      </c>
      <c r="T857" s="7" t="s">
        <v>96</v>
      </c>
      <c r="U857" s="7" t="s">
        <v>44</v>
      </c>
      <c r="V857" s="7" t="s">
        <v>45</v>
      </c>
      <c r="W857" s="7" t="s">
        <v>46</v>
      </c>
      <c r="X857" s="7" t="s">
        <v>90</v>
      </c>
      <c r="Y857" s="7" t="s">
        <v>2084</v>
      </c>
      <c r="Z857" s="7" t="s">
        <v>2072</v>
      </c>
      <c r="AA857" s="7"/>
      <c r="AB857" s="7"/>
      <c r="AC857" s="7" t="s">
        <v>87</v>
      </c>
      <c r="AD857" s="7"/>
      <c r="AE857" s="7" t="s">
        <v>2085</v>
      </c>
      <c r="AF857" s="7" t="s">
        <v>50</v>
      </c>
      <c r="AG857" s="7" t="s">
        <v>93</v>
      </c>
      <c r="AH857" s="7" t="s">
        <v>94</v>
      </c>
    </row>
    <row r="858" spans="1:34" ht="9.75" customHeight="1" x14ac:dyDescent="0.2">
      <c r="A858" s="7" t="s">
        <v>37</v>
      </c>
      <c r="B858" s="7" t="s">
        <v>38</v>
      </c>
      <c r="C858" s="7"/>
      <c r="D858" s="7" t="s">
        <v>2086</v>
      </c>
      <c r="E858" s="8">
        <v>1</v>
      </c>
      <c r="F858" s="7" t="s">
        <v>41</v>
      </c>
      <c r="G858" s="7"/>
      <c r="H858" s="9"/>
      <c r="I858" s="10">
        <v>21658</v>
      </c>
      <c r="J858" s="9"/>
      <c r="K858" s="9"/>
      <c r="L858" s="10">
        <v>44182</v>
      </c>
      <c r="M858" s="9"/>
      <c r="N858" s="10">
        <v>44182</v>
      </c>
      <c r="O858" s="9"/>
      <c r="P858" s="10"/>
      <c r="Q858" s="10"/>
      <c r="R858" s="10"/>
      <c r="S858" s="7" t="s">
        <v>407</v>
      </c>
      <c r="T858" s="7" t="s">
        <v>96</v>
      </c>
      <c r="U858" s="7" t="s">
        <v>44</v>
      </c>
      <c r="V858" s="7" t="s">
        <v>45</v>
      </c>
      <c r="W858" s="7" t="s">
        <v>46</v>
      </c>
      <c r="X858" s="7" t="s">
        <v>90</v>
      </c>
      <c r="Y858" s="7" t="s">
        <v>2087</v>
      </c>
      <c r="Z858" s="7" t="s">
        <v>2072</v>
      </c>
      <c r="AA858" s="7"/>
      <c r="AB858" s="7"/>
      <c r="AC858" s="7" t="s">
        <v>87</v>
      </c>
      <c r="AD858" s="7"/>
      <c r="AE858" s="7" t="s">
        <v>452</v>
      </c>
      <c r="AF858" s="7" t="s">
        <v>50</v>
      </c>
      <c r="AG858" s="7" t="s">
        <v>93</v>
      </c>
      <c r="AH858" s="7" t="s">
        <v>94</v>
      </c>
    </row>
    <row r="859" spans="1:34" ht="9.75" customHeight="1" x14ac:dyDescent="0.2">
      <c r="A859" s="7" t="s">
        <v>37</v>
      </c>
      <c r="B859" s="7" t="s">
        <v>38</v>
      </c>
      <c r="C859" s="7"/>
      <c r="D859" s="7" t="s">
        <v>2088</v>
      </c>
      <c r="E859" s="8">
        <v>1</v>
      </c>
      <c r="F859" s="7" t="s">
        <v>41</v>
      </c>
      <c r="G859" s="7"/>
      <c r="H859" s="9"/>
      <c r="I859" s="10">
        <v>3322</v>
      </c>
      <c r="J859" s="9"/>
      <c r="K859" s="9"/>
      <c r="L859" s="10">
        <v>6777</v>
      </c>
      <c r="M859" s="9"/>
      <c r="N859" s="10">
        <v>6777</v>
      </c>
      <c r="O859" s="9"/>
      <c r="P859" s="10"/>
      <c r="Q859" s="10"/>
      <c r="R859" s="10"/>
      <c r="S859" s="7" t="s">
        <v>407</v>
      </c>
      <c r="T859" s="7" t="s">
        <v>96</v>
      </c>
      <c r="U859" s="7" t="s">
        <v>44</v>
      </c>
      <c r="V859" s="7" t="s">
        <v>45</v>
      </c>
      <c r="W859" s="7" t="s">
        <v>46</v>
      </c>
      <c r="X859" s="7" t="s">
        <v>90</v>
      </c>
      <c r="Y859" s="7" t="s">
        <v>2089</v>
      </c>
      <c r="Z859" s="7" t="s">
        <v>2072</v>
      </c>
      <c r="AA859" s="7"/>
      <c r="AB859" s="7"/>
      <c r="AC859" s="7" t="s">
        <v>87</v>
      </c>
      <c r="AD859" s="7"/>
      <c r="AE859" s="7" t="s">
        <v>2090</v>
      </c>
      <c r="AF859" s="7" t="s">
        <v>50</v>
      </c>
      <c r="AG859" s="7" t="s">
        <v>93</v>
      </c>
      <c r="AH859" s="7" t="s">
        <v>94</v>
      </c>
    </row>
    <row r="860" spans="1:34" ht="9.75" customHeight="1" x14ac:dyDescent="0.2">
      <c r="A860" s="7" t="s">
        <v>37</v>
      </c>
      <c r="B860" s="7" t="s">
        <v>38</v>
      </c>
      <c r="C860" s="7"/>
      <c r="D860" s="7" t="s">
        <v>2091</v>
      </c>
      <c r="E860" s="8">
        <v>1</v>
      </c>
      <c r="F860" s="7" t="s">
        <v>41</v>
      </c>
      <c r="G860" s="7"/>
      <c r="H860" s="9"/>
      <c r="I860" s="10">
        <v>3766</v>
      </c>
      <c r="J860" s="9"/>
      <c r="K860" s="9"/>
      <c r="L860" s="10">
        <v>7682</v>
      </c>
      <c r="M860" s="9"/>
      <c r="N860" s="10">
        <v>7682</v>
      </c>
      <c r="O860" s="9"/>
      <c r="P860" s="10"/>
      <c r="Q860" s="10"/>
      <c r="R860" s="10"/>
      <c r="S860" s="7" t="s">
        <v>407</v>
      </c>
      <c r="T860" s="7" t="s">
        <v>96</v>
      </c>
      <c r="U860" s="7" t="s">
        <v>44</v>
      </c>
      <c r="V860" s="7" t="s">
        <v>45</v>
      </c>
      <c r="W860" s="7" t="s">
        <v>46</v>
      </c>
      <c r="X860" s="7" t="s">
        <v>90</v>
      </c>
      <c r="Y860" s="7" t="s">
        <v>2092</v>
      </c>
      <c r="Z860" s="7" t="s">
        <v>2072</v>
      </c>
      <c r="AA860" s="7"/>
      <c r="AB860" s="7"/>
      <c r="AC860" s="7" t="s">
        <v>87</v>
      </c>
      <c r="AD860" s="7"/>
      <c r="AE860" s="7" t="s">
        <v>458</v>
      </c>
      <c r="AF860" s="7" t="s">
        <v>50</v>
      </c>
      <c r="AG860" s="7" t="s">
        <v>93</v>
      </c>
      <c r="AH860" s="7" t="s">
        <v>94</v>
      </c>
    </row>
    <row r="861" spans="1:34" ht="9.75" customHeight="1" x14ac:dyDescent="0.2">
      <c r="A861" s="7" t="s">
        <v>37</v>
      </c>
      <c r="B861" s="7" t="s">
        <v>38</v>
      </c>
      <c r="C861" s="7"/>
      <c r="D861" s="7" t="s">
        <v>2093</v>
      </c>
      <c r="E861" s="8">
        <v>1</v>
      </c>
      <c r="F861" s="7" t="s">
        <v>41</v>
      </c>
      <c r="G861" s="7"/>
      <c r="H861" s="9"/>
      <c r="I861" s="10">
        <v>24492</v>
      </c>
      <c r="J861" s="9"/>
      <c r="K861" s="9"/>
      <c r="L861" s="10">
        <v>49963</v>
      </c>
      <c r="M861" s="9"/>
      <c r="N861" s="10">
        <v>49963</v>
      </c>
      <c r="O861" s="9"/>
      <c r="P861" s="10"/>
      <c r="Q861" s="10"/>
      <c r="R861" s="10"/>
      <c r="S861" s="7" t="s">
        <v>407</v>
      </c>
      <c r="T861" s="7" t="s">
        <v>96</v>
      </c>
      <c r="U861" s="7" t="s">
        <v>44</v>
      </c>
      <c r="V861" s="7" t="s">
        <v>45</v>
      </c>
      <c r="W861" s="7" t="s">
        <v>46</v>
      </c>
      <c r="X861" s="7" t="s">
        <v>90</v>
      </c>
      <c r="Y861" s="7" t="s">
        <v>2094</v>
      </c>
      <c r="Z861" s="7" t="s">
        <v>2072</v>
      </c>
      <c r="AA861" s="7"/>
      <c r="AB861" s="7"/>
      <c r="AC861" s="7" t="s">
        <v>87</v>
      </c>
      <c r="AD861" s="7"/>
      <c r="AE861" s="7" t="s">
        <v>461</v>
      </c>
      <c r="AF861" s="7" t="s">
        <v>50</v>
      </c>
      <c r="AG861" s="7" t="s">
        <v>93</v>
      </c>
      <c r="AH861" s="7" t="s">
        <v>94</v>
      </c>
    </row>
    <row r="862" spans="1:34" ht="9.75" customHeight="1" x14ac:dyDescent="0.2">
      <c r="A862" s="7" t="s">
        <v>37</v>
      </c>
      <c r="B862" s="7" t="s">
        <v>38</v>
      </c>
      <c r="C862" s="7"/>
      <c r="D862" s="7" t="s">
        <v>2095</v>
      </c>
      <c r="E862" s="8">
        <v>1</v>
      </c>
      <c r="F862" s="7" t="s">
        <v>41</v>
      </c>
      <c r="G862" s="7"/>
      <c r="H862" s="9"/>
      <c r="I862" s="10">
        <v>19168</v>
      </c>
      <c r="J862" s="9"/>
      <c r="K862" s="9"/>
      <c r="L862" s="10">
        <v>39101</v>
      </c>
      <c r="M862" s="9"/>
      <c r="N862" s="10">
        <v>39101</v>
      </c>
      <c r="O862" s="9"/>
      <c r="P862" s="10"/>
      <c r="Q862" s="10"/>
      <c r="R862" s="10"/>
      <c r="S862" s="7" t="s">
        <v>407</v>
      </c>
      <c r="T862" s="7" t="s">
        <v>96</v>
      </c>
      <c r="U862" s="7" t="s">
        <v>44</v>
      </c>
      <c r="V862" s="7" t="s">
        <v>45</v>
      </c>
      <c r="W862" s="7" t="s">
        <v>46</v>
      </c>
      <c r="X862" s="7" t="s">
        <v>90</v>
      </c>
      <c r="Y862" s="7" t="s">
        <v>2096</v>
      </c>
      <c r="Z862" s="7" t="s">
        <v>2072</v>
      </c>
      <c r="AA862" s="7"/>
      <c r="AB862" s="7"/>
      <c r="AC862" s="7" t="s">
        <v>87</v>
      </c>
      <c r="AD862" s="7"/>
      <c r="AE862" s="7" t="s">
        <v>464</v>
      </c>
      <c r="AF862" s="7" t="s">
        <v>50</v>
      </c>
      <c r="AG862" s="7" t="s">
        <v>93</v>
      </c>
      <c r="AH862" s="7" t="s">
        <v>94</v>
      </c>
    </row>
    <row r="863" spans="1:34" ht="9.75" customHeight="1" x14ac:dyDescent="0.2">
      <c r="A863" s="7" t="s">
        <v>37</v>
      </c>
      <c r="B863" s="7" t="s">
        <v>38</v>
      </c>
      <c r="C863" s="7"/>
      <c r="D863" s="7" t="s">
        <v>2097</v>
      </c>
      <c r="E863" s="8">
        <v>1</v>
      </c>
      <c r="F863" s="7" t="s">
        <v>41</v>
      </c>
      <c r="G863" s="7"/>
      <c r="H863" s="9"/>
      <c r="I863" s="10">
        <v>1329</v>
      </c>
      <c r="J863" s="9"/>
      <c r="K863" s="9"/>
      <c r="L863" s="10">
        <v>2711</v>
      </c>
      <c r="M863" s="9"/>
      <c r="N863" s="10">
        <v>2711</v>
      </c>
      <c r="O863" s="9"/>
      <c r="P863" s="10"/>
      <c r="Q863" s="10"/>
      <c r="R863" s="10"/>
      <c r="S863" s="7" t="s">
        <v>407</v>
      </c>
      <c r="T863" s="7" t="s">
        <v>96</v>
      </c>
      <c r="U863" s="7" t="s">
        <v>44</v>
      </c>
      <c r="V863" s="7" t="s">
        <v>45</v>
      </c>
      <c r="W863" s="7" t="s">
        <v>46</v>
      </c>
      <c r="X863" s="7" t="s">
        <v>90</v>
      </c>
      <c r="Y863" s="7" t="s">
        <v>2098</v>
      </c>
      <c r="Z863" s="7" t="s">
        <v>2072</v>
      </c>
      <c r="AA863" s="7"/>
      <c r="AB863" s="7"/>
      <c r="AC863" s="7" t="s">
        <v>87</v>
      </c>
      <c r="AD863" s="7"/>
      <c r="AE863" s="7" t="s">
        <v>2099</v>
      </c>
      <c r="AF863" s="7" t="s">
        <v>50</v>
      </c>
      <c r="AG863" s="7" t="s">
        <v>93</v>
      </c>
      <c r="AH863" s="7" t="s">
        <v>94</v>
      </c>
    </row>
    <row r="864" spans="1:34" ht="9.75" customHeight="1" x14ac:dyDescent="0.2">
      <c r="A864" s="7" t="s">
        <v>37</v>
      </c>
      <c r="B864" s="7" t="s">
        <v>38</v>
      </c>
      <c r="C864" s="7"/>
      <c r="D864" s="7" t="s">
        <v>2100</v>
      </c>
      <c r="E864" s="8">
        <v>1</v>
      </c>
      <c r="F864" s="7" t="s">
        <v>41</v>
      </c>
      <c r="G864" s="7"/>
      <c r="H864" s="9"/>
      <c r="I864" s="10">
        <v>74172</v>
      </c>
      <c r="J864" s="9"/>
      <c r="K864" s="9"/>
      <c r="L864" s="10">
        <v>99494</v>
      </c>
      <c r="M864" s="9"/>
      <c r="N864" s="10">
        <v>99494</v>
      </c>
      <c r="O864" s="9"/>
      <c r="P864" s="10"/>
      <c r="Q864" s="10"/>
      <c r="R864" s="10"/>
      <c r="S864" s="7" t="s">
        <v>407</v>
      </c>
      <c r="T864" s="7" t="s">
        <v>96</v>
      </c>
      <c r="U864" s="7" t="s">
        <v>44</v>
      </c>
      <c r="V864" s="7" t="s">
        <v>45</v>
      </c>
      <c r="W864" s="7" t="s">
        <v>46</v>
      </c>
      <c r="X864" s="7" t="s">
        <v>90</v>
      </c>
      <c r="Y864" s="7" t="s">
        <v>2101</v>
      </c>
      <c r="Z864" s="7" t="s">
        <v>2102</v>
      </c>
      <c r="AA864" s="7"/>
      <c r="AB864" s="7"/>
      <c r="AC864" s="7" t="s">
        <v>87</v>
      </c>
      <c r="AD864" s="7"/>
      <c r="AE864" s="7" t="s">
        <v>477</v>
      </c>
      <c r="AF864" s="7" t="s">
        <v>50</v>
      </c>
      <c r="AG864" s="7" t="s">
        <v>93</v>
      </c>
      <c r="AH864" s="7" t="s">
        <v>94</v>
      </c>
    </row>
    <row r="865" spans="1:34" ht="9.75" customHeight="1" x14ac:dyDescent="0.2">
      <c r="A865" s="7" t="s">
        <v>37</v>
      </c>
      <c r="B865" s="7" t="s">
        <v>38</v>
      </c>
      <c r="C865" s="7"/>
      <c r="D865" s="7" t="s">
        <v>2103</v>
      </c>
      <c r="E865" s="8">
        <v>1</v>
      </c>
      <c r="F865" s="7" t="s">
        <v>41</v>
      </c>
      <c r="G865" s="7"/>
      <c r="H865" s="9"/>
      <c r="I865" s="10">
        <v>1893</v>
      </c>
      <c r="J865" s="9"/>
      <c r="K865" s="9"/>
      <c r="L865" s="10">
        <v>3862</v>
      </c>
      <c r="M865" s="9"/>
      <c r="N865" s="10">
        <v>3862</v>
      </c>
      <c r="O865" s="9"/>
      <c r="P865" s="10"/>
      <c r="Q865" s="10"/>
      <c r="R865" s="10"/>
      <c r="S865" s="7" t="s">
        <v>407</v>
      </c>
      <c r="T865" s="7" t="s">
        <v>96</v>
      </c>
      <c r="U865" s="7" t="s">
        <v>44</v>
      </c>
      <c r="V865" s="7" t="s">
        <v>45</v>
      </c>
      <c r="W865" s="7" t="s">
        <v>46</v>
      </c>
      <c r="X865" s="7" t="s">
        <v>90</v>
      </c>
      <c r="Y865" s="7" t="s">
        <v>2104</v>
      </c>
      <c r="Z865" s="7" t="s">
        <v>2102</v>
      </c>
      <c r="AA865" s="7"/>
      <c r="AB865" s="7"/>
      <c r="AC865" s="7" t="s">
        <v>87</v>
      </c>
      <c r="AD865" s="7"/>
      <c r="AE865" s="7" t="s">
        <v>2105</v>
      </c>
      <c r="AF865" s="7" t="s">
        <v>50</v>
      </c>
      <c r="AG865" s="7" t="s">
        <v>93</v>
      </c>
      <c r="AH865" s="7" t="s">
        <v>94</v>
      </c>
    </row>
    <row r="866" spans="1:34" ht="9.75" customHeight="1" x14ac:dyDescent="0.2">
      <c r="A866" s="7" t="s">
        <v>37</v>
      </c>
      <c r="B866" s="7" t="s">
        <v>38</v>
      </c>
      <c r="C866" s="7"/>
      <c r="D866" s="7" t="s">
        <v>2106</v>
      </c>
      <c r="E866" s="8">
        <v>1</v>
      </c>
      <c r="F866" s="7" t="s">
        <v>41</v>
      </c>
      <c r="G866" s="7"/>
      <c r="H866" s="9"/>
      <c r="I866" s="10">
        <v>11168</v>
      </c>
      <c r="J866" s="9"/>
      <c r="K866" s="9"/>
      <c r="L866" s="10">
        <v>22783</v>
      </c>
      <c r="M866" s="9"/>
      <c r="N866" s="10">
        <v>22783</v>
      </c>
      <c r="O866" s="9"/>
      <c r="P866" s="10"/>
      <c r="Q866" s="10"/>
      <c r="R866" s="10"/>
      <c r="S866" s="7" t="s">
        <v>407</v>
      </c>
      <c r="T866" s="7" t="s">
        <v>96</v>
      </c>
      <c r="U866" s="7" t="s">
        <v>44</v>
      </c>
      <c r="V866" s="7" t="s">
        <v>45</v>
      </c>
      <c r="W866" s="7" t="s">
        <v>46</v>
      </c>
      <c r="X866" s="7" t="s">
        <v>90</v>
      </c>
      <c r="Y866" s="7" t="s">
        <v>2107</v>
      </c>
      <c r="Z866" s="7" t="s">
        <v>2102</v>
      </c>
      <c r="AA866" s="7"/>
      <c r="AB866" s="7"/>
      <c r="AC866" s="7" t="s">
        <v>87</v>
      </c>
      <c r="AD866" s="7"/>
      <c r="AE866" s="7" t="s">
        <v>483</v>
      </c>
      <c r="AF866" s="7" t="s">
        <v>50</v>
      </c>
      <c r="AG866" s="7" t="s">
        <v>93</v>
      </c>
      <c r="AH866" s="7" t="s">
        <v>94</v>
      </c>
    </row>
    <row r="867" spans="1:34" ht="9.75" customHeight="1" x14ac:dyDescent="0.2">
      <c r="A867" s="7" t="s">
        <v>37</v>
      </c>
      <c r="B867" s="7" t="s">
        <v>38</v>
      </c>
      <c r="C867" s="7"/>
      <c r="D867" s="7" t="s">
        <v>2108</v>
      </c>
      <c r="E867" s="8">
        <v>1</v>
      </c>
      <c r="F867" s="7" t="s">
        <v>41</v>
      </c>
      <c r="G867" s="7"/>
      <c r="H867" s="9"/>
      <c r="I867" s="10">
        <v>10435</v>
      </c>
      <c r="J867" s="9"/>
      <c r="K867" s="9"/>
      <c r="L867" s="10">
        <v>21287</v>
      </c>
      <c r="M867" s="9"/>
      <c r="N867" s="10">
        <v>21287</v>
      </c>
      <c r="O867" s="9"/>
      <c r="P867" s="10"/>
      <c r="Q867" s="10"/>
      <c r="R867" s="10"/>
      <c r="S867" s="7" t="s">
        <v>407</v>
      </c>
      <c r="T867" s="7" t="s">
        <v>96</v>
      </c>
      <c r="U867" s="7" t="s">
        <v>44</v>
      </c>
      <c r="V867" s="7" t="s">
        <v>45</v>
      </c>
      <c r="W867" s="7" t="s">
        <v>46</v>
      </c>
      <c r="X867" s="7" t="s">
        <v>90</v>
      </c>
      <c r="Y867" s="7" t="s">
        <v>2109</v>
      </c>
      <c r="Z867" s="7" t="s">
        <v>2102</v>
      </c>
      <c r="AA867" s="7"/>
      <c r="AB867" s="7"/>
      <c r="AC867" s="7" t="s">
        <v>87</v>
      </c>
      <c r="AD867" s="7"/>
      <c r="AE867" s="7" t="s">
        <v>486</v>
      </c>
      <c r="AF867" s="7" t="s">
        <v>50</v>
      </c>
      <c r="AG867" s="7" t="s">
        <v>93</v>
      </c>
      <c r="AH867" s="7" t="s">
        <v>94</v>
      </c>
    </row>
    <row r="868" spans="1:34" ht="9.75" customHeight="1" x14ac:dyDescent="0.2">
      <c r="A868" s="7" t="s">
        <v>37</v>
      </c>
      <c r="B868" s="7" t="s">
        <v>38</v>
      </c>
      <c r="C868" s="7"/>
      <c r="D868" s="7" t="s">
        <v>2110</v>
      </c>
      <c r="E868" s="8">
        <v>1</v>
      </c>
      <c r="F868" s="7" t="s">
        <v>41</v>
      </c>
      <c r="G868" s="7"/>
      <c r="H868" s="9"/>
      <c r="I868" s="10">
        <v>1269</v>
      </c>
      <c r="J868" s="9"/>
      <c r="K868" s="9"/>
      <c r="L868" s="10">
        <v>2589</v>
      </c>
      <c r="M868" s="9"/>
      <c r="N868" s="10">
        <v>2589</v>
      </c>
      <c r="O868" s="9"/>
      <c r="P868" s="10"/>
      <c r="Q868" s="10"/>
      <c r="R868" s="10"/>
      <c r="S868" s="7" t="s">
        <v>407</v>
      </c>
      <c r="T868" s="7" t="s">
        <v>96</v>
      </c>
      <c r="U868" s="7" t="s">
        <v>44</v>
      </c>
      <c r="V868" s="7" t="s">
        <v>45</v>
      </c>
      <c r="W868" s="7" t="s">
        <v>46</v>
      </c>
      <c r="X868" s="7" t="s">
        <v>90</v>
      </c>
      <c r="Y868" s="7" t="s">
        <v>2111</v>
      </c>
      <c r="Z868" s="7" t="s">
        <v>2102</v>
      </c>
      <c r="AA868" s="7"/>
      <c r="AB868" s="7"/>
      <c r="AC868" s="7" t="s">
        <v>87</v>
      </c>
      <c r="AD868" s="7"/>
      <c r="AE868" s="7" t="s">
        <v>489</v>
      </c>
      <c r="AF868" s="7" t="s">
        <v>50</v>
      </c>
      <c r="AG868" s="7" t="s">
        <v>93</v>
      </c>
      <c r="AH868" s="7" t="s">
        <v>94</v>
      </c>
    </row>
    <row r="869" spans="1:34" ht="9.75" customHeight="1" x14ac:dyDescent="0.2">
      <c r="A869" s="7" t="s">
        <v>37</v>
      </c>
      <c r="B869" s="7" t="s">
        <v>38</v>
      </c>
      <c r="C869" s="7"/>
      <c r="D869" s="7" t="s">
        <v>2112</v>
      </c>
      <c r="E869" s="8">
        <v>1</v>
      </c>
      <c r="F869" s="7" t="s">
        <v>41</v>
      </c>
      <c r="G869" s="7"/>
      <c r="H869" s="9"/>
      <c r="I869" s="10">
        <v>119403</v>
      </c>
      <c r="J869" s="9"/>
      <c r="K869" s="9"/>
      <c r="L869" s="10">
        <v>217931</v>
      </c>
      <c r="M869" s="9"/>
      <c r="N869" s="10">
        <v>217931</v>
      </c>
      <c r="O869" s="9"/>
      <c r="P869" s="10"/>
      <c r="Q869" s="10"/>
      <c r="R869" s="10"/>
      <c r="S869" s="7" t="s">
        <v>407</v>
      </c>
      <c r="T869" s="7" t="s">
        <v>96</v>
      </c>
      <c r="U869" s="7" t="s">
        <v>44</v>
      </c>
      <c r="V869" s="7" t="s">
        <v>45</v>
      </c>
      <c r="W869" s="7" t="s">
        <v>46</v>
      </c>
      <c r="X869" s="7" t="s">
        <v>90</v>
      </c>
      <c r="Y869" s="7" t="s">
        <v>2113</v>
      </c>
      <c r="Z869" s="7" t="s">
        <v>2114</v>
      </c>
      <c r="AA869" s="7"/>
      <c r="AB869" s="7"/>
      <c r="AC869" s="7" t="s">
        <v>87</v>
      </c>
      <c r="AD869" s="7"/>
      <c r="AE869" s="7" t="s">
        <v>2115</v>
      </c>
      <c r="AF869" s="7" t="s">
        <v>50</v>
      </c>
      <c r="AG869" s="7" t="s">
        <v>93</v>
      </c>
      <c r="AH869" s="7" t="s">
        <v>94</v>
      </c>
    </row>
    <row r="870" spans="1:34" ht="9.75" customHeight="1" x14ac:dyDescent="0.2">
      <c r="A870" s="7" t="s">
        <v>37</v>
      </c>
      <c r="B870" s="7" t="s">
        <v>38</v>
      </c>
      <c r="C870" s="7"/>
      <c r="D870" s="7" t="s">
        <v>2116</v>
      </c>
      <c r="E870" s="8">
        <v>1</v>
      </c>
      <c r="F870" s="7" t="s">
        <v>41</v>
      </c>
      <c r="G870" s="7"/>
      <c r="H870" s="9"/>
      <c r="I870" s="10">
        <v>1912</v>
      </c>
      <c r="J870" s="9"/>
      <c r="K870" s="9"/>
      <c r="L870" s="10">
        <v>3900</v>
      </c>
      <c r="M870" s="9"/>
      <c r="N870" s="10">
        <v>3900</v>
      </c>
      <c r="O870" s="9"/>
      <c r="P870" s="10"/>
      <c r="Q870" s="10"/>
      <c r="R870" s="10"/>
      <c r="S870" s="7" t="s">
        <v>407</v>
      </c>
      <c r="T870" s="7" t="s">
        <v>96</v>
      </c>
      <c r="U870" s="7" t="s">
        <v>44</v>
      </c>
      <c r="V870" s="7" t="s">
        <v>45</v>
      </c>
      <c r="W870" s="7" t="s">
        <v>46</v>
      </c>
      <c r="X870" s="7" t="s">
        <v>90</v>
      </c>
      <c r="Y870" s="7" t="s">
        <v>2117</v>
      </c>
      <c r="Z870" s="7" t="s">
        <v>2114</v>
      </c>
      <c r="AA870" s="7"/>
      <c r="AB870" s="7"/>
      <c r="AC870" s="7" t="s">
        <v>87</v>
      </c>
      <c r="AD870" s="7"/>
      <c r="AE870" s="7" t="s">
        <v>2073</v>
      </c>
      <c r="AF870" s="7" t="s">
        <v>50</v>
      </c>
      <c r="AG870" s="7" t="s">
        <v>93</v>
      </c>
      <c r="AH870" s="7" t="s">
        <v>94</v>
      </c>
    </row>
    <row r="871" spans="1:34" ht="9.75" customHeight="1" x14ac:dyDescent="0.2">
      <c r="A871" s="7" t="s">
        <v>37</v>
      </c>
      <c r="B871" s="7" t="s">
        <v>38</v>
      </c>
      <c r="C871" s="7"/>
      <c r="D871" s="7" t="s">
        <v>2118</v>
      </c>
      <c r="E871" s="8">
        <v>1</v>
      </c>
      <c r="F871" s="7" t="s">
        <v>41</v>
      </c>
      <c r="G871" s="7"/>
      <c r="H871" s="9"/>
      <c r="I871" s="10">
        <v>15593</v>
      </c>
      <c r="J871" s="9"/>
      <c r="K871" s="9"/>
      <c r="L871" s="10">
        <v>31809</v>
      </c>
      <c r="M871" s="9"/>
      <c r="N871" s="10">
        <v>31809</v>
      </c>
      <c r="O871" s="9"/>
      <c r="P871" s="10"/>
      <c r="Q871" s="10"/>
      <c r="R871" s="10"/>
      <c r="S871" s="7" t="s">
        <v>407</v>
      </c>
      <c r="T871" s="7" t="s">
        <v>96</v>
      </c>
      <c r="U871" s="7" t="s">
        <v>44</v>
      </c>
      <c r="V871" s="7" t="s">
        <v>45</v>
      </c>
      <c r="W871" s="7" t="s">
        <v>46</v>
      </c>
      <c r="X871" s="7" t="s">
        <v>90</v>
      </c>
      <c r="Y871" s="7" t="s">
        <v>2119</v>
      </c>
      <c r="Z871" s="7" t="s">
        <v>2114</v>
      </c>
      <c r="AA871" s="7"/>
      <c r="AB871" s="7"/>
      <c r="AC871" s="7" t="s">
        <v>87</v>
      </c>
      <c r="AD871" s="7"/>
      <c r="AE871" s="7" t="s">
        <v>2073</v>
      </c>
      <c r="AF871" s="7" t="s">
        <v>50</v>
      </c>
      <c r="AG871" s="7" t="s">
        <v>93</v>
      </c>
      <c r="AH871" s="7" t="s">
        <v>94</v>
      </c>
    </row>
    <row r="872" spans="1:34" ht="9.75" customHeight="1" x14ac:dyDescent="0.2">
      <c r="A872" s="7" t="s">
        <v>37</v>
      </c>
      <c r="B872" s="7" t="s">
        <v>38</v>
      </c>
      <c r="C872" s="7"/>
      <c r="D872" s="7" t="s">
        <v>2120</v>
      </c>
      <c r="E872" s="8">
        <v>1</v>
      </c>
      <c r="F872" s="7" t="s">
        <v>41</v>
      </c>
      <c r="G872" s="7"/>
      <c r="H872" s="9"/>
      <c r="I872" s="10">
        <v>26723</v>
      </c>
      <c r="J872" s="9"/>
      <c r="K872" s="9"/>
      <c r="L872" s="10">
        <v>52437</v>
      </c>
      <c r="M872" s="9"/>
      <c r="N872" s="10">
        <v>52437</v>
      </c>
      <c r="O872" s="9"/>
      <c r="P872" s="10"/>
      <c r="Q872" s="10"/>
      <c r="R872" s="10"/>
      <c r="S872" s="7" t="s">
        <v>407</v>
      </c>
      <c r="T872" s="7" t="s">
        <v>96</v>
      </c>
      <c r="U872" s="7" t="s">
        <v>44</v>
      </c>
      <c r="V872" s="7" t="s">
        <v>45</v>
      </c>
      <c r="W872" s="7" t="s">
        <v>46</v>
      </c>
      <c r="X872" s="7" t="s">
        <v>90</v>
      </c>
      <c r="Y872" s="7" t="s">
        <v>2121</v>
      </c>
      <c r="Z872" s="7" t="s">
        <v>2122</v>
      </c>
      <c r="AA872" s="7"/>
      <c r="AB872" s="7"/>
      <c r="AC872" s="7" t="s">
        <v>87</v>
      </c>
      <c r="AD872" s="7"/>
      <c r="AE872" s="7" t="s">
        <v>2123</v>
      </c>
      <c r="AF872" s="7" t="s">
        <v>50</v>
      </c>
      <c r="AG872" s="7" t="s">
        <v>93</v>
      </c>
      <c r="AH872" s="7" t="s">
        <v>94</v>
      </c>
    </row>
    <row r="873" spans="1:34" ht="9.75" customHeight="1" x14ac:dyDescent="0.2">
      <c r="A873" s="7" t="s">
        <v>37</v>
      </c>
      <c r="B873" s="7" t="s">
        <v>38</v>
      </c>
      <c r="C873" s="7"/>
      <c r="D873" s="7" t="s">
        <v>2124</v>
      </c>
      <c r="E873" s="8">
        <v>1</v>
      </c>
      <c r="F873" s="7" t="s">
        <v>41</v>
      </c>
      <c r="G873" s="7"/>
      <c r="H873" s="9"/>
      <c r="I873" s="10">
        <v>1439</v>
      </c>
      <c r="J873" s="9"/>
      <c r="K873" s="9"/>
      <c r="L873" s="10">
        <v>2937</v>
      </c>
      <c r="M873" s="9"/>
      <c r="N873" s="10">
        <v>2937</v>
      </c>
      <c r="O873" s="9"/>
      <c r="P873" s="10"/>
      <c r="Q873" s="10"/>
      <c r="R873" s="10"/>
      <c r="S873" s="7" t="s">
        <v>407</v>
      </c>
      <c r="T873" s="7" t="s">
        <v>96</v>
      </c>
      <c r="U873" s="7" t="s">
        <v>44</v>
      </c>
      <c r="V873" s="7" t="s">
        <v>45</v>
      </c>
      <c r="W873" s="7" t="s">
        <v>46</v>
      </c>
      <c r="X873" s="7" t="s">
        <v>90</v>
      </c>
      <c r="Y873" s="7" t="s">
        <v>2125</v>
      </c>
      <c r="Z873" s="7" t="s">
        <v>2122</v>
      </c>
      <c r="AA873" s="7"/>
      <c r="AB873" s="7"/>
      <c r="AC873" s="7" t="s">
        <v>87</v>
      </c>
      <c r="AD873" s="7"/>
      <c r="AE873" s="7" t="s">
        <v>2076</v>
      </c>
      <c r="AF873" s="7" t="s">
        <v>50</v>
      </c>
      <c r="AG873" s="7" t="s">
        <v>93</v>
      </c>
      <c r="AH873" s="7" t="s">
        <v>94</v>
      </c>
    </row>
    <row r="874" spans="1:34" ht="9.75" customHeight="1" x14ac:dyDescent="0.2">
      <c r="A874" s="7" t="s">
        <v>37</v>
      </c>
      <c r="B874" s="7" t="s">
        <v>38</v>
      </c>
      <c r="C874" s="7"/>
      <c r="D874" s="7" t="s">
        <v>2126</v>
      </c>
      <c r="E874" s="8">
        <v>1</v>
      </c>
      <c r="F874" s="7" t="s">
        <v>41</v>
      </c>
      <c r="G874" s="7"/>
      <c r="H874" s="9"/>
      <c r="I874" s="10">
        <v>5023</v>
      </c>
      <c r="J874" s="9"/>
      <c r="K874" s="9"/>
      <c r="L874" s="10">
        <v>10247</v>
      </c>
      <c r="M874" s="9"/>
      <c r="N874" s="10">
        <v>10247</v>
      </c>
      <c r="O874" s="9"/>
      <c r="P874" s="10"/>
      <c r="Q874" s="10"/>
      <c r="R874" s="10"/>
      <c r="S874" s="7" t="s">
        <v>407</v>
      </c>
      <c r="T874" s="7" t="s">
        <v>96</v>
      </c>
      <c r="U874" s="7" t="s">
        <v>44</v>
      </c>
      <c r="V874" s="7" t="s">
        <v>45</v>
      </c>
      <c r="W874" s="7" t="s">
        <v>46</v>
      </c>
      <c r="X874" s="7" t="s">
        <v>90</v>
      </c>
      <c r="Y874" s="7" t="s">
        <v>2127</v>
      </c>
      <c r="Z874" s="7" t="s">
        <v>2122</v>
      </c>
      <c r="AA874" s="7"/>
      <c r="AB874" s="7"/>
      <c r="AC874" s="7" t="s">
        <v>87</v>
      </c>
      <c r="AD874" s="7"/>
      <c r="AE874" s="7" t="s">
        <v>2076</v>
      </c>
      <c r="AF874" s="7" t="s">
        <v>50</v>
      </c>
      <c r="AG874" s="7" t="s">
        <v>93</v>
      </c>
      <c r="AH874" s="7" t="s">
        <v>94</v>
      </c>
    </row>
    <row r="875" spans="1:34" ht="9.75" customHeight="1" x14ac:dyDescent="0.2">
      <c r="A875" s="7" t="s">
        <v>37</v>
      </c>
      <c r="B875" s="7" t="s">
        <v>38</v>
      </c>
      <c r="C875" s="7"/>
      <c r="D875" s="7" t="s">
        <v>2128</v>
      </c>
      <c r="E875" s="8">
        <v>1</v>
      </c>
      <c r="F875" s="7" t="s">
        <v>41</v>
      </c>
      <c r="G875" s="7"/>
      <c r="H875" s="9"/>
      <c r="I875" s="10">
        <v>15758</v>
      </c>
      <c r="J875" s="9"/>
      <c r="K875" s="9"/>
      <c r="L875" s="10">
        <v>32146</v>
      </c>
      <c r="M875" s="9"/>
      <c r="N875" s="10">
        <v>32146</v>
      </c>
      <c r="O875" s="9"/>
      <c r="P875" s="10"/>
      <c r="Q875" s="10"/>
      <c r="R875" s="10"/>
      <c r="S875" s="7" t="s">
        <v>407</v>
      </c>
      <c r="T875" s="7" t="s">
        <v>96</v>
      </c>
      <c r="U875" s="7" t="s">
        <v>44</v>
      </c>
      <c r="V875" s="7" t="s">
        <v>45</v>
      </c>
      <c r="W875" s="7" t="s">
        <v>46</v>
      </c>
      <c r="X875" s="7" t="s">
        <v>90</v>
      </c>
      <c r="Y875" s="7" t="s">
        <v>2129</v>
      </c>
      <c r="Z875" s="7" t="s">
        <v>2130</v>
      </c>
      <c r="AA875" s="7"/>
      <c r="AB875" s="7"/>
      <c r="AC875" s="7" t="s">
        <v>87</v>
      </c>
      <c r="AD875" s="7"/>
      <c r="AE875" s="7" t="s">
        <v>2131</v>
      </c>
      <c r="AF875" s="7" t="s">
        <v>50</v>
      </c>
      <c r="AG875" s="7" t="s">
        <v>93</v>
      </c>
      <c r="AH875" s="7" t="s">
        <v>94</v>
      </c>
    </row>
    <row r="876" spans="1:34" ht="9.75" customHeight="1" x14ac:dyDescent="0.2">
      <c r="A876" s="7" t="s">
        <v>37</v>
      </c>
      <c r="B876" s="7" t="s">
        <v>38</v>
      </c>
      <c r="C876" s="7"/>
      <c r="D876" s="7" t="s">
        <v>2132</v>
      </c>
      <c r="E876" s="8">
        <v>1</v>
      </c>
      <c r="F876" s="7" t="s">
        <v>41</v>
      </c>
      <c r="G876" s="7"/>
      <c r="H876" s="9"/>
      <c r="I876" s="10">
        <v>708</v>
      </c>
      <c r="J876" s="9"/>
      <c r="K876" s="9"/>
      <c r="L876" s="10">
        <v>1444</v>
      </c>
      <c r="M876" s="9"/>
      <c r="N876" s="10">
        <v>1444</v>
      </c>
      <c r="O876" s="9"/>
      <c r="P876" s="10"/>
      <c r="Q876" s="10"/>
      <c r="R876" s="10"/>
      <c r="S876" s="7" t="s">
        <v>407</v>
      </c>
      <c r="T876" s="7" t="s">
        <v>96</v>
      </c>
      <c r="U876" s="7" t="s">
        <v>44</v>
      </c>
      <c r="V876" s="7" t="s">
        <v>45</v>
      </c>
      <c r="W876" s="7" t="s">
        <v>46</v>
      </c>
      <c r="X876" s="7" t="s">
        <v>90</v>
      </c>
      <c r="Y876" s="7" t="s">
        <v>2133</v>
      </c>
      <c r="Z876" s="7" t="s">
        <v>2130</v>
      </c>
      <c r="AA876" s="7"/>
      <c r="AB876" s="7"/>
      <c r="AC876" s="7" t="s">
        <v>87</v>
      </c>
      <c r="AD876" s="7"/>
      <c r="AE876" s="7" t="s">
        <v>2079</v>
      </c>
      <c r="AF876" s="7" t="s">
        <v>50</v>
      </c>
      <c r="AG876" s="7" t="s">
        <v>93</v>
      </c>
      <c r="AH876" s="7" t="s">
        <v>94</v>
      </c>
    </row>
    <row r="877" spans="1:34" ht="9.75" customHeight="1" x14ac:dyDescent="0.2">
      <c r="A877" s="7" t="s">
        <v>37</v>
      </c>
      <c r="B877" s="7" t="s">
        <v>38</v>
      </c>
      <c r="C877" s="7"/>
      <c r="D877" s="7" t="s">
        <v>2134</v>
      </c>
      <c r="E877" s="8">
        <v>1</v>
      </c>
      <c r="F877" s="7" t="s">
        <v>41</v>
      </c>
      <c r="G877" s="7"/>
      <c r="H877" s="9"/>
      <c r="I877" s="10">
        <v>5167</v>
      </c>
      <c r="J877" s="9"/>
      <c r="K877" s="9"/>
      <c r="L877" s="10">
        <v>10543</v>
      </c>
      <c r="M877" s="9"/>
      <c r="N877" s="10">
        <v>10543</v>
      </c>
      <c r="O877" s="9"/>
      <c r="P877" s="10"/>
      <c r="Q877" s="10"/>
      <c r="R877" s="10"/>
      <c r="S877" s="7" t="s">
        <v>407</v>
      </c>
      <c r="T877" s="7" t="s">
        <v>96</v>
      </c>
      <c r="U877" s="7" t="s">
        <v>44</v>
      </c>
      <c r="V877" s="7" t="s">
        <v>45</v>
      </c>
      <c r="W877" s="7" t="s">
        <v>46</v>
      </c>
      <c r="X877" s="7" t="s">
        <v>90</v>
      </c>
      <c r="Y877" s="7" t="s">
        <v>2135</v>
      </c>
      <c r="Z877" s="7" t="s">
        <v>2130</v>
      </c>
      <c r="AA877" s="7"/>
      <c r="AB877" s="7"/>
      <c r="AC877" s="7" t="s">
        <v>87</v>
      </c>
      <c r="AD877" s="7"/>
      <c r="AE877" s="7" t="s">
        <v>2079</v>
      </c>
      <c r="AF877" s="7" t="s">
        <v>50</v>
      </c>
      <c r="AG877" s="7" t="s">
        <v>93</v>
      </c>
      <c r="AH877" s="7" t="s">
        <v>94</v>
      </c>
    </row>
    <row r="878" spans="1:34" ht="9.75" customHeight="1" x14ac:dyDescent="0.2">
      <c r="A878" s="7" t="s">
        <v>37</v>
      </c>
      <c r="B878" s="7" t="s">
        <v>38</v>
      </c>
      <c r="C878" s="7"/>
      <c r="D878" s="7" t="s">
        <v>2136</v>
      </c>
      <c r="E878" s="8">
        <v>1</v>
      </c>
      <c r="F878" s="7" t="s">
        <v>41</v>
      </c>
      <c r="G878" s="7"/>
      <c r="H878" s="9"/>
      <c r="I878" s="10">
        <v>15969</v>
      </c>
      <c r="J878" s="9"/>
      <c r="K878" s="9"/>
      <c r="L878" s="10">
        <v>19767</v>
      </c>
      <c r="M878" s="9"/>
      <c r="N878" s="10">
        <v>19767</v>
      </c>
      <c r="O878" s="9"/>
      <c r="P878" s="10"/>
      <c r="Q878" s="10"/>
      <c r="R878" s="10"/>
      <c r="S878" s="7" t="s">
        <v>407</v>
      </c>
      <c r="T878" s="7" t="s">
        <v>96</v>
      </c>
      <c r="U878" s="7" t="s">
        <v>44</v>
      </c>
      <c r="V878" s="7" t="s">
        <v>45</v>
      </c>
      <c r="W878" s="7" t="s">
        <v>46</v>
      </c>
      <c r="X878" s="7" t="s">
        <v>90</v>
      </c>
      <c r="Y878" s="7" t="s">
        <v>2137</v>
      </c>
      <c r="Z878" s="7" t="s">
        <v>2138</v>
      </c>
      <c r="AA878" s="7"/>
      <c r="AB878" s="7"/>
      <c r="AC878" s="7" t="s">
        <v>87</v>
      </c>
      <c r="AD878" s="7"/>
      <c r="AE878" s="7" t="s">
        <v>2139</v>
      </c>
      <c r="AF878" s="7" t="s">
        <v>50</v>
      </c>
      <c r="AG878" s="7" t="s">
        <v>93</v>
      </c>
      <c r="AH878" s="7" t="s">
        <v>94</v>
      </c>
    </row>
    <row r="879" spans="1:34" ht="9.75" customHeight="1" x14ac:dyDescent="0.2">
      <c r="A879" s="7" t="s">
        <v>37</v>
      </c>
      <c r="B879" s="7" t="s">
        <v>38</v>
      </c>
      <c r="C879" s="7"/>
      <c r="D879" s="7" t="s">
        <v>2140</v>
      </c>
      <c r="E879" s="8">
        <v>1</v>
      </c>
      <c r="F879" s="7" t="s">
        <v>41</v>
      </c>
      <c r="G879" s="7"/>
      <c r="H879" s="9"/>
      <c r="I879" s="10">
        <v>1608</v>
      </c>
      <c r="J879" s="9"/>
      <c r="K879" s="9"/>
      <c r="L879" s="10">
        <v>3279</v>
      </c>
      <c r="M879" s="9"/>
      <c r="N879" s="10">
        <v>3279</v>
      </c>
      <c r="O879" s="9"/>
      <c r="P879" s="10"/>
      <c r="Q879" s="10"/>
      <c r="R879" s="10"/>
      <c r="S879" s="7" t="s">
        <v>407</v>
      </c>
      <c r="T879" s="7" t="s">
        <v>96</v>
      </c>
      <c r="U879" s="7" t="s">
        <v>44</v>
      </c>
      <c r="V879" s="7" t="s">
        <v>45</v>
      </c>
      <c r="W879" s="7" t="s">
        <v>46</v>
      </c>
      <c r="X879" s="7" t="s">
        <v>90</v>
      </c>
      <c r="Y879" s="7" t="s">
        <v>2141</v>
      </c>
      <c r="Z879" s="7" t="s">
        <v>2138</v>
      </c>
      <c r="AA879" s="7"/>
      <c r="AB879" s="7"/>
      <c r="AC879" s="7" t="s">
        <v>87</v>
      </c>
      <c r="AD879" s="7"/>
      <c r="AE879" s="7" t="s">
        <v>2082</v>
      </c>
      <c r="AF879" s="7" t="s">
        <v>50</v>
      </c>
      <c r="AG879" s="7" t="s">
        <v>93</v>
      </c>
      <c r="AH879" s="7" t="s">
        <v>94</v>
      </c>
    </row>
    <row r="880" spans="1:34" ht="9.75" customHeight="1" x14ac:dyDescent="0.2">
      <c r="A880" s="7" t="s">
        <v>37</v>
      </c>
      <c r="B880" s="7" t="s">
        <v>38</v>
      </c>
      <c r="C880" s="7"/>
      <c r="D880" s="7" t="s">
        <v>2142</v>
      </c>
      <c r="E880" s="8">
        <v>1</v>
      </c>
      <c r="F880" s="7" t="s">
        <v>41</v>
      </c>
      <c r="G880" s="7"/>
      <c r="H880" s="9"/>
      <c r="I880" s="10">
        <v>1042</v>
      </c>
      <c r="J880" s="9"/>
      <c r="K880" s="9"/>
      <c r="L880" s="10">
        <v>2124</v>
      </c>
      <c r="M880" s="9"/>
      <c r="N880" s="10">
        <v>2124</v>
      </c>
      <c r="O880" s="9"/>
      <c r="P880" s="10"/>
      <c r="Q880" s="10"/>
      <c r="R880" s="10"/>
      <c r="S880" s="7" t="s">
        <v>407</v>
      </c>
      <c r="T880" s="7" t="s">
        <v>96</v>
      </c>
      <c r="U880" s="7" t="s">
        <v>44</v>
      </c>
      <c r="V880" s="7" t="s">
        <v>45</v>
      </c>
      <c r="W880" s="7" t="s">
        <v>46</v>
      </c>
      <c r="X880" s="7" t="s">
        <v>90</v>
      </c>
      <c r="Y880" s="7" t="s">
        <v>2143</v>
      </c>
      <c r="Z880" s="7" t="s">
        <v>2138</v>
      </c>
      <c r="AA880" s="7"/>
      <c r="AB880" s="7"/>
      <c r="AC880" s="7" t="s">
        <v>87</v>
      </c>
      <c r="AD880" s="7"/>
      <c r="AE880" s="7" t="s">
        <v>2082</v>
      </c>
      <c r="AF880" s="7" t="s">
        <v>50</v>
      </c>
      <c r="AG880" s="7" t="s">
        <v>93</v>
      </c>
      <c r="AH880" s="7" t="s">
        <v>94</v>
      </c>
    </row>
    <row r="881" spans="1:34" ht="9.75" customHeight="1" x14ac:dyDescent="0.2">
      <c r="A881" s="7" t="s">
        <v>37</v>
      </c>
      <c r="B881" s="7" t="s">
        <v>38</v>
      </c>
      <c r="C881" s="7"/>
      <c r="D881" s="7" t="s">
        <v>2144</v>
      </c>
      <c r="E881" s="8">
        <v>1</v>
      </c>
      <c r="F881" s="7" t="s">
        <v>41</v>
      </c>
      <c r="G881" s="7"/>
      <c r="H881" s="9"/>
      <c r="I881" s="10">
        <v>20628</v>
      </c>
      <c r="J881" s="9"/>
      <c r="K881" s="9"/>
      <c r="L881" s="10">
        <v>42081</v>
      </c>
      <c r="M881" s="9"/>
      <c r="N881" s="10">
        <v>42081</v>
      </c>
      <c r="O881" s="9"/>
      <c r="P881" s="10"/>
      <c r="Q881" s="10"/>
      <c r="R881" s="10"/>
      <c r="S881" s="7" t="s">
        <v>407</v>
      </c>
      <c r="T881" s="7" t="s">
        <v>96</v>
      </c>
      <c r="U881" s="7" t="s">
        <v>44</v>
      </c>
      <c r="V881" s="7" t="s">
        <v>45</v>
      </c>
      <c r="W881" s="7" t="s">
        <v>46</v>
      </c>
      <c r="X881" s="7" t="s">
        <v>90</v>
      </c>
      <c r="Y881" s="7" t="s">
        <v>2145</v>
      </c>
      <c r="Z881" s="7" t="s">
        <v>2146</v>
      </c>
      <c r="AA881" s="7"/>
      <c r="AB881" s="7"/>
      <c r="AC881" s="7" t="s">
        <v>87</v>
      </c>
      <c r="AD881" s="7"/>
      <c r="AE881" s="7" t="s">
        <v>2147</v>
      </c>
      <c r="AF881" s="7" t="s">
        <v>50</v>
      </c>
      <c r="AG881" s="7" t="s">
        <v>93</v>
      </c>
      <c r="AH881" s="7" t="s">
        <v>94</v>
      </c>
    </row>
    <row r="882" spans="1:34" ht="9.75" customHeight="1" x14ac:dyDescent="0.2">
      <c r="A882" s="7" t="s">
        <v>37</v>
      </c>
      <c r="B882" s="7" t="s">
        <v>38</v>
      </c>
      <c r="C882" s="7"/>
      <c r="D882" s="7" t="s">
        <v>2148</v>
      </c>
      <c r="E882" s="8">
        <v>1</v>
      </c>
      <c r="F882" s="7" t="s">
        <v>41</v>
      </c>
      <c r="G882" s="7"/>
      <c r="H882" s="9"/>
      <c r="I882" s="10">
        <v>3496</v>
      </c>
      <c r="J882" s="9"/>
      <c r="K882" s="9"/>
      <c r="L882" s="10">
        <v>7132</v>
      </c>
      <c r="M882" s="9"/>
      <c r="N882" s="10">
        <v>7132</v>
      </c>
      <c r="O882" s="9"/>
      <c r="P882" s="10"/>
      <c r="Q882" s="10"/>
      <c r="R882" s="10"/>
      <c r="S882" s="7" t="s">
        <v>407</v>
      </c>
      <c r="T882" s="7" t="s">
        <v>96</v>
      </c>
      <c r="U882" s="7" t="s">
        <v>44</v>
      </c>
      <c r="V882" s="7" t="s">
        <v>45</v>
      </c>
      <c r="W882" s="7" t="s">
        <v>46</v>
      </c>
      <c r="X882" s="7" t="s">
        <v>90</v>
      </c>
      <c r="Y882" s="7" t="s">
        <v>2149</v>
      </c>
      <c r="Z882" s="7" t="s">
        <v>2146</v>
      </c>
      <c r="AA882" s="7"/>
      <c r="AB882" s="7"/>
      <c r="AC882" s="7" t="s">
        <v>87</v>
      </c>
      <c r="AD882" s="7"/>
      <c r="AE882" s="7" t="s">
        <v>2085</v>
      </c>
      <c r="AF882" s="7" t="s">
        <v>50</v>
      </c>
      <c r="AG882" s="7" t="s">
        <v>93</v>
      </c>
      <c r="AH882" s="7" t="s">
        <v>94</v>
      </c>
    </row>
    <row r="883" spans="1:34" ht="9.75" customHeight="1" x14ac:dyDescent="0.2">
      <c r="A883" s="7" t="s">
        <v>37</v>
      </c>
      <c r="B883" s="7" t="s">
        <v>38</v>
      </c>
      <c r="C883" s="7"/>
      <c r="D883" s="7" t="s">
        <v>2150</v>
      </c>
      <c r="E883" s="8">
        <v>1</v>
      </c>
      <c r="F883" s="7" t="s">
        <v>41</v>
      </c>
      <c r="G883" s="7"/>
      <c r="H883" s="9"/>
      <c r="I883" s="10">
        <v>5060</v>
      </c>
      <c r="J883" s="9"/>
      <c r="K883" s="9"/>
      <c r="L883" s="10">
        <v>10322</v>
      </c>
      <c r="M883" s="9"/>
      <c r="N883" s="10">
        <v>10322</v>
      </c>
      <c r="O883" s="9"/>
      <c r="P883" s="10"/>
      <c r="Q883" s="10"/>
      <c r="R883" s="10"/>
      <c r="S883" s="7" t="s">
        <v>407</v>
      </c>
      <c r="T883" s="7" t="s">
        <v>96</v>
      </c>
      <c r="U883" s="7" t="s">
        <v>44</v>
      </c>
      <c r="V883" s="7" t="s">
        <v>45</v>
      </c>
      <c r="W883" s="7" t="s">
        <v>46</v>
      </c>
      <c r="X883" s="7" t="s">
        <v>90</v>
      </c>
      <c r="Y883" s="7" t="s">
        <v>2151</v>
      </c>
      <c r="Z883" s="7" t="s">
        <v>2146</v>
      </c>
      <c r="AA883" s="7"/>
      <c r="AB883" s="7"/>
      <c r="AC883" s="7" t="s">
        <v>87</v>
      </c>
      <c r="AD883" s="7"/>
      <c r="AE883" s="7" t="s">
        <v>2085</v>
      </c>
      <c r="AF883" s="7" t="s">
        <v>50</v>
      </c>
      <c r="AG883" s="7" t="s">
        <v>93</v>
      </c>
      <c r="AH883" s="7" t="s">
        <v>94</v>
      </c>
    </row>
    <row r="884" spans="1:34" ht="9.75" customHeight="1" x14ac:dyDescent="0.2">
      <c r="A884" s="7" t="s">
        <v>37</v>
      </c>
      <c r="B884" s="7" t="s">
        <v>38</v>
      </c>
      <c r="C884" s="7"/>
      <c r="D884" s="7" t="s">
        <v>2152</v>
      </c>
      <c r="E884" s="8">
        <v>1</v>
      </c>
      <c r="F884" s="7" t="s">
        <v>41</v>
      </c>
      <c r="G884" s="7"/>
      <c r="H884" s="9"/>
      <c r="I884" s="10">
        <v>68130</v>
      </c>
      <c r="J884" s="9"/>
      <c r="K884" s="9"/>
      <c r="L884" s="10">
        <v>87169</v>
      </c>
      <c r="M884" s="9"/>
      <c r="N884" s="10">
        <v>87169</v>
      </c>
      <c r="O884" s="9"/>
      <c r="P884" s="10"/>
      <c r="Q884" s="10"/>
      <c r="R884" s="10"/>
      <c r="S884" s="7" t="s">
        <v>407</v>
      </c>
      <c r="T884" s="7" t="s">
        <v>96</v>
      </c>
      <c r="U884" s="7" t="s">
        <v>44</v>
      </c>
      <c r="V884" s="7" t="s">
        <v>45</v>
      </c>
      <c r="W884" s="7" t="s">
        <v>46</v>
      </c>
      <c r="X884" s="7" t="s">
        <v>90</v>
      </c>
      <c r="Y884" s="7" t="s">
        <v>2153</v>
      </c>
      <c r="Z884" s="7" t="s">
        <v>2154</v>
      </c>
      <c r="AA884" s="7"/>
      <c r="AB884" s="7"/>
      <c r="AC884" s="7" t="s">
        <v>87</v>
      </c>
      <c r="AD884" s="7"/>
      <c r="AE884" s="7" t="s">
        <v>2155</v>
      </c>
      <c r="AF884" s="7" t="s">
        <v>50</v>
      </c>
      <c r="AG884" s="7" t="s">
        <v>93</v>
      </c>
      <c r="AH884" s="7" t="s">
        <v>94</v>
      </c>
    </row>
    <row r="885" spans="1:34" ht="9.75" customHeight="1" x14ac:dyDescent="0.2">
      <c r="A885" s="7" t="s">
        <v>37</v>
      </c>
      <c r="B885" s="7" t="s">
        <v>38</v>
      </c>
      <c r="C885" s="7"/>
      <c r="D885" s="7" t="s">
        <v>2156</v>
      </c>
      <c r="E885" s="8">
        <v>1</v>
      </c>
      <c r="F885" s="7" t="s">
        <v>41</v>
      </c>
      <c r="G885" s="7"/>
      <c r="H885" s="9"/>
      <c r="I885" s="10">
        <v>6042</v>
      </c>
      <c r="J885" s="9"/>
      <c r="K885" s="9"/>
      <c r="L885" s="10">
        <v>12325</v>
      </c>
      <c r="M885" s="9"/>
      <c r="N885" s="10">
        <v>12325</v>
      </c>
      <c r="O885" s="9"/>
      <c r="P885" s="10"/>
      <c r="Q885" s="10"/>
      <c r="R885" s="10"/>
      <c r="S885" s="7" t="s">
        <v>407</v>
      </c>
      <c r="T885" s="7" t="s">
        <v>96</v>
      </c>
      <c r="U885" s="7" t="s">
        <v>44</v>
      </c>
      <c r="V885" s="7" t="s">
        <v>45</v>
      </c>
      <c r="W885" s="7" t="s">
        <v>46</v>
      </c>
      <c r="X885" s="7" t="s">
        <v>90</v>
      </c>
      <c r="Y885" s="7" t="s">
        <v>2157</v>
      </c>
      <c r="Z885" s="7" t="s">
        <v>2154</v>
      </c>
      <c r="AA885" s="7"/>
      <c r="AB885" s="7"/>
      <c r="AC885" s="7" t="s">
        <v>87</v>
      </c>
      <c r="AD885" s="7"/>
      <c r="AE885" s="7" t="s">
        <v>477</v>
      </c>
      <c r="AF885" s="7" t="s">
        <v>50</v>
      </c>
      <c r="AG885" s="7" t="s">
        <v>93</v>
      </c>
      <c r="AH885" s="7" t="s">
        <v>94</v>
      </c>
    </row>
    <row r="886" spans="1:34" ht="9.75" customHeight="1" x14ac:dyDescent="0.2">
      <c r="A886" s="7" t="s">
        <v>37</v>
      </c>
      <c r="B886" s="7" t="s">
        <v>38</v>
      </c>
      <c r="C886" s="7"/>
      <c r="D886" s="7" t="s">
        <v>2158</v>
      </c>
      <c r="E886" s="8">
        <v>1</v>
      </c>
      <c r="F886" s="7" t="s">
        <v>61</v>
      </c>
      <c r="G886" s="7"/>
      <c r="H886" s="9"/>
      <c r="I886" s="10">
        <v>1035070</v>
      </c>
      <c r="J886" s="10">
        <v>1273090</v>
      </c>
      <c r="K886" s="9"/>
      <c r="L886" s="10">
        <v>1336590</v>
      </c>
      <c r="M886" s="9"/>
      <c r="N886" s="10">
        <v>1336590</v>
      </c>
      <c r="O886" s="9"/>
      <c r="P886" s="10"/>
      <c r="Q886" s="10"/>
      <c r="R886" s="10"/>
      <c r="S886" s="7" t="s">
        <v>54</v>
      </c>
      <c r="T886" s="7" t="s">
        <v>2159</v>
      </c>
      <c r="U886" s="7" t="s">
        <v>44</v>
      </c>
      <c r="V886" s="7" t="s">
        <v>45</v>
      </c>
      <c r="W886" s="7" t="s">
        <v>46</v>
      </c>
      <c r="X886" s="7" t="s">
        <v>90</v>
      </c>
      <c r="Y886" s="7" t="s">
        <v>2160</v>
      </c>
      <c r="Z886" s="7" t="s">
        <v>106</v>
      </c>
      <c r="AA886" s="7"/>
      <c r="AB886" s="7"/>
      <c r="AC886" s="7" t="s">
        <v>87</v>
      </c>
      <c r="AD886" s="7"/>
      <c r="AE886" s="7" t="s">
        <v>2161</v>
      </c>
      <c r="AF886" s="7" t="s">
        <v>50</v>
      </c>
      <c r="AG886" s="7" t="s">
        <v>93</v>
      </c>
      <c r="AH886" s="7" t="s">
        <v>94</v>
      </c>
    </row>
    <row r="887" spans="1:34" ht="9.75" customHeight="1" x14ac:dyDescent="0.2">
      <c r="A887" s="7" t="s">
        <v>37</v>
      </c>
      <c r="B887" s="7" t="s">
        <v>38</v>
      </c>
      <c r="C887" s="7"/>
      <c r="D887" s="7" t="s">
        <v>2162</v>
      </c>
      <c r="E887" s="8">
        <v>1</v>
      </c>
      <c r="F887" s="7" t="s">
        <v>61</v>
      </c>
      <c r="G887" s="7"/>
      <c r="H887" s="9"/>
      <c r="I887" s="10">
        <v>32408</v>
      </c>
      <c r="J887" s="10">
        <v>33056</v>
      </c>
      <c r="K887" s="9"/>
      <c r="L887" s="10">
        <v>33718</v>
      </c>
      <c r="M887" s="9"/>
      <c r="N887" s="10">
        <v>33718</v>
      </c>
      <c r="O887" s="9"/>
      <c r="P887" s="10"/>
      <c r="Q887" s="10"/>
      <c r="R887" s="10"/>
      <c r="S887" s="7" t="s">
        <v>54</v>
      </c>
      <c r="T887" s="7" t="s">
        <v>2159</v>
      </c>
      <c r="U887" s="7" t="s">
        <v>44</v>
      </c>
      <c r="V887" s="7" t="s">
        <v>45</v>
      </c>
      <c r="W887" s="7" t="s">
        <v>46</v>
      </c>
      <c r="X887" s="7" t="s">
        <v>90</v>
      </c>
      <c r="Y887" s="7" t="s">
        <v>2163</v>
      </c>
      <c r="Z887" s="7" t="s">
        <v>106</v>
      </c>
      <c r="AA887" s="7"/>
      <c r="AB887" s="7"/>
      <c r="AC887" s="7" t="s">
        <v>87</v>
      </c>
      <c r="AD887" s="7"/>
      <c r="AE887" s="7" t="s">
        <v>2164</v>
      </c>
      <c r="AF887" s="7" t="s">
        <v>50</v>
      </c>
      <c r="AG887" s="7" t="s">
        <v>93</v>
      </c>
      <c r="AH887" s="7" t="s">
        <v>94</v>
      </c>
    </row>
    <row r="888" spans="1:34" ht="9.75" customHeight="1" x14ac:dyDescent="0.2">
      <c r="A888" s="7" t="s">
        <v>37</v>
      </c>
      <c r="B888" s="7" t="s">
        <v>38</v>
      </c>
      <c r="C888" s="7"/>
      <c r="D888" s="7" t="s">
        <v>2165</v>
      </c>
      <c r="E888" s="8">
        <v>1</v>
      </c>
      <c r="F888" s="7" t="s">
        <v>61</v>
      </c>
      <c r="G888" s="7"/>
      <c r="H888" s="9"/>
      <c r="I888" s="10">
        <v>49508</v>
      </c>
      <c r="J888" s="10">
        <v>50498</v>
      </c>
      <c r="K888" s="9"/>
      <c r="L888" s="10">
        <v>51508</v>
      </c>
      <c r="M888" s="9"/>
      <c r="N888" s="10">
        <v>51508</v>
      </c>
      <c r="O888" s="9"/>
      <c r="P888" s="10"/>
      <c r="Q888" s="10"/>
      <c r="R888" s="10"/>
      <c r="S888" s="7" t="s">
        <v>54</v>
      </c>
      <c r="T888" s="7" t="s">
        <v>2159</v>
      </c>
      <c r="U888" s="7" t="s">
        <v>44</v>
      </c>
      <c r="V888" s="7" t="s">
        <v>45</v>
      </c>
      <c r="W888" s="7" t="s">
        <v>46</v>
      </c>
      <c r="X888" s="7" t="s">
        <v>90</v>
      </c>
      <c r="Y888" s="7" t="s">
        <v>2166</v>
      </c>
      <c r="Z888" s="7" t="s">
        <v>106</v>
      </c>
      <c r="AA888" s="7"/>
      <c r="AB888" s="7"/>
      <c r="AC888" s="7" t="s">
        <v>87</v>
      </c>
      <c r="AD888" s="7"/>
      <c r="AE888" s="7" t="s">
        <v>2167</v>
      </c>
      <c r="AF888" s="7" t="s">
        <v>50</v>
      </c>
      <c r="AG888" s="7" t="s">
        <v>93</v>
      </c>
      <c r="AH888" s="7" t="s">
        <v>94</v>
      </c>
    </row>
    <row r="889" spans="1:34" ht="9.75" customHeight="1" x14ac:dyDescent="0.2">
      <c r="A889" s="7" t="s">
        <v>37</v>
      </c>
      <c r="B889" s="7" t="s">
        <v>38</v>
      </c>
      <c r="C889" s="7"/>
      <c r="D889" s="7" t="s">
        <v>2168</v>
      </c>
      <c r="E889" s="8">
        <v>1</v>
      </c>
      <c r="F889" s="7" t="s">
        <v>61</v>
      </c>
      <c r="G889" s="7"/>
      <c r="H889" s="9"/>
      <c r="I889" s="10">
        <v>568247</v>
      </c>
      <c r="J889" s="10">
        <v>820076</v>
      </c>
      <c r="K889" s="9"/>
      <c r="L889" s="10">
        <v>598620</v>
      </c>
      <c r="M889" s="9"/>
      <c r="N889" s="10">
        <v>598620</v>
      </c>
      <c r="O889" s="9"/>
      <c r="P889" s="10"/>
      <c r="Q889" s="10"/>
      <c r="R889" s="10"/>
      <c r="S889" s="7" t="s">
        <v>54</v>
      </c>
      <c r="T889" s="7" t="s">
        <v>2159</v>
      </c>
      <c r="U889" s="7" t="s">
        <v>44</v>
      </c>
      <c r="V889" s="7" t="s">
        <v>45</v>
      </c>
      <c r="W889" s="7" t="s">
        <v>46</v>
      </c>
      <c r="X889" s="7" t="s">
        <v>90</v>
      </c>
      <c r="Y889" s="7" t="s">
        <v>2169</v>
      </c>
      <c r="Z889" s="7" t="s">
        <v>106</v>
      </c>
      <c r="AA889" s="7"/>
      <c r="AB889" s="7"/>
      <c r="AC889" s="7" t="s">
        <v>87</v>
      </c>
      <c r="AD889" s="7"/>
      <c r="AE889" s="7" t="s">
        <v>2170</v>
      </c>
      <c r="AF889" s="7" t="s">
        <v>50</v>
      </c>
      <c r="AG889" s="7" t="s">
        <v>93</v>
      </c>
      <c r="AH889" s="7" t="s">
        <v>94</v>
      </c>
    </row>
    <row r="890" spans="1:34" ht="9.75" customHeight="1" x14ac:dyDescent="0.2">
      <c r="A890" s="7" t="s">
        <v>37</v>
      </c>
      <c r="B890" s="7" t="s">
        <v>38</v>
      </c>
      <c r="C890" s="7"/>
      <c r="D890" s="7" t="s">
        <v>2171</v>
      </c>
      <c r="E890" s="8">
        <v>1</v>
      </c>
      <c r="F890" s="7" t="s">
        <v>61</v>
      </c>
      <c r="G890" s="7"/>
      <c r="H890" s="9"/>
      <c r="I890" s="10">
        <v>113512</v>
      </c>
      <c r="J890" s="10">
        <v>245234</v>
      </c>
      <c r="K890" s="9"/>
      <c r="L890" s="10">
        <v>268518</v>
      </c>
      <c r="M890" s="9"/>
      <c r="N890" s="10">
        <v>268518</v>
      </c>
      <c r="O890" s="9"/>
      <c r="P890" s="10"/>
      <c r="Q890" s="10"/>
      <c r="R890" s="10"/>
      <c r="S890" s="7" t="s">
        <v>54</v>
      </c>
      <c r="T890" s="7" t="s">
        <v>2159</v>
      </c>
      <c r="U890" s="7" t="s">
        <v>44</v>
      </c>
      <c r="V890" s="7" t="s">
        <v>45</v>
      </c>
      <c r="W890" s="7" t="s">
        <v>46</v>
      </c>
      <c r="X890" s="7" t="s">
        <v>90</v>
      </c>
      <c r="Y890" s="7" t="s">
        <v>2172</v>
      </c>
      <c r="Z890" s="7" t="s">
        <v>106</v>
      </c>
      <c r="AA890" s="7"/>
      <c r="AB890" s="7"/>
      <c r="AC890" s="7" t="s">
        <v>87</v>
      </c>
      <c r="AD890" s="7"/>
      <c r="AE890" s="7" t="s">
        <v>2173</v>
      </c>
      <c r="AF890" s="7" t="s">
        <v>50</v>
      </c>
      <c r="AG890" s="7" t="s">
        <v>93</v>
      </c>
      <c r="AH890" s="7" t="s">
        <v>94</v>
      </c>
    </row>
    <row r="891" spans="1:34" ht="9.75" customHeight="1" x14ac:dyDescent="0.2">
      <c r="A891" s="7" t="s">
        <v>37</v>
      </c>
      <c r="B891" s="7" t="s">
        <v>38</v>
      </c>
      <c r="C891" s="7"/>
      <c r="D891" s="7" t="s">
        <v>2174</v>
      </c>
      <c r="E891" s="8">
        <v>1</v>
      </c>
      <c r="F891" s="7" t="s">
        <v>61</v>
      </c>
      <c r="G891" s="7"/>
      <c r="H891" s="9"/>
      <c r="I891" s="10">
        <v>272007</v>
      </c>
      <c r="J891" s="9"/>
      <c r="K891" s="9"/>
      <c r="L891" s="10">
        <v>0</v>
      </c>
      <c r="M891" s="9"/>
      <c r="N891" s="10">
        <v>0</v>
      </c>
      <c r="O891" s="9"/>
      <c r="P891" s="10"/>
      <c r="Q891" s="10"/>
      <c r="R891" s="10"/>
      <c r="S891" s="7" t="s">
        <v>54</v>
      </c>
      <c r="T891" s="7" t="s">
        <v>2159</v>
      </c>
      <c r="U891" s="7" t="s">
        <v>44</v>
      </c>
      <c r="V891" s="7" t="s">
        <v>45</v>
      </c>
      <c r="W891" s="7" t="s">
        <v>46</v>
      </c>
      <c r="X891" s="7" t="s">
        <v>90</v>
      </c>
      <c r="Y891" s="7" t="s">
        <v>2175</v>
      </c>
      <c r="Z891" s="7" t="s">
        <v>106</v>
      </c>
      <c r="AA891" s="7"/>
      <c r="AB891" s="7"/>
      <c r="AC891" s="7" t="s">
        <v>87</v>
      </c>
      <c r="AD891" s="7"/>
      <c r="AE891" s="7" t="s">
        <v>2176</v>
      </c>
      <c r="AF891" s="7" t="s">
        <v>50</v>
      </c>
      <c r="AG891" s="7" t="s">
        <v>93</v>
      </c>
      <c r="AH891" s="7" t="s">
        <v>94</v>
      </c>
    </row>
    <row r="892" spans="1:34" ht="9.75" customHeight="1" x14ac:dyDescent="0.2">
      <c r="A892" s="7" t="s">
        <v>37</v>
      </c>
      <c r="B892" s="7" t="s">
        <v>38</v>
      </c>
      <c r="C892" s="7"/>
      <c r="D892" s="7" t="s">
        <v>2177</v>
      </c>
      <c r="E892" s="8">
        <v>1</v>
      </c>
      <c r="F892" s="7" t="s">
        <v>61</v>
      </c>
      <c r="G892" s="7"/>
      <c r="H892" s="9"/>
      <c r="I892" s="10">
        <v>272006</v>
      </c>
      <c r="J892" s="10">
        <v>324586</v>
      </c>
      <c r="K892" s="9"/>
      <c r="L892" s="10">
        <v>0</v>
      </c>
      <c r="M892" s="9"/>
      <c r="N892" s="10">
        <v>0</v>
      </c>
      <c r="O892" s="9"/>
      <c r="P892" s="10"/>
      <c r="Q892" s="10"/>
      <c r="R892" s="10"/>
      <c r="S892" s="7" t="s">
        <v>54</v>
      </c>
      <c r="T892" s="7" t="s">
        <v>2159</v>
      </c>
      <c r="U892" s="7" t="s">
        <v>44</v>
      </c>
      <c r="V892" s="7" t="s">
        <v>45</v>
      </c>
      <c r="W892" s="7" t="s">
        <v>46</v>
      </c>
      <c r="X892" s="7" t="s">
        <v>90</v>
      </c>
      <c r="Y892" s="7" t="s">
        <v>2178</v>
      </c>
      <c r="Z892" s="7" t="s">
        <v>106</v>
      </c>
      <c r="AA892" s="7"/>
      <c r="AB892" s="7"/>
      <c r="AC892" s="7" t="s">
        <v>87</v>
      </c>
      <c r="AD892" s="7"/>
      <c r="AE892" s="7" t="s">
        <v>2179</v>
      </c>
      <c r="AF892" s="7" t="s">
        <v>50</v>
      </c>
      <c r="AG892" s="7" t="s">
        <v>93</v>
      </c>
      <c r="AH892" s="7" t="s">
        <v>94</v>
      </c>
    </row>
    <row r="893" spans="1:34" ht="9.75" customHeight="1" x14ac:dyDescent="0.2">
      <c r="A893" s="7" t="s">
        <v>37</v>
      </c>
      <c r="B893" s="7" t="s">
        <v>38</v>
      </c>
      <c r="C893" s="7"/>
      <c r="D893" s="7" t="s">
        <v>2180</v>
      </c>
      <c r="E893" s="8">
        <v>1</v>
      </c>
      <c r="F893" s="7" t="s">
        <v>61</v>
      </c>
      <c r="G893" s="7"/>
      <c r="H893" s="9"/>
      <c r="I893" s="10">
        <v>272008</v>
      </c>
      <c r="J893" s="10">
        <v>324588</v>
      </c>
      <c r="K893" s="9"/>
      <c r="L893" s="10">
        <v>235954</v>
      </c>
      <c r="M893" s="9"/>
      <c r="N893" s="10">
        <v>235954</v>
      </c>
      <c r="O893" s="9"/>
      <c r="P893" s="10"/>
      <c r="Q893" s="10"/>
      <c r="R893" s="10"/>
      <c r="S893" s="7" t="s">
        <v>54</v>
      </c>
      <c r="T893" s="7" t="s">
        <v>2159</v>
      </c>
      <c r="U893" s="7" t="s">
        <v>44</v>
      </c>
      <c r="V893" s="7" t="s">
        <v>45</v>
      </c>
      <c r="W893" s="7" t="s">
        <v>46</v>
      </c>
      <c r="X893" s="7" t="s">
        <v>90</v>
      </c>
      <c r="Y893" s="7" t="s">
        <v>2181</v>
      </c>
      <c r="Z893" s="7" t="s">
        <v>106</v>
      </c>
      <c r="AA893" s="7"/>
      <c r="AB893" s="7"/>
      <c r="AC893" s="7" t="s">
        <v>87</v>
      </c>
      <c r="AD893" s="7"/>
      <c r="AE893" s="7" t="s">
        <v>2182</v>
      </c>
      <c r="AF893" s="7" t="s">
        <v>50</v>
      </c>
      <c r="AG893" s="7" t="s">
        <v>93</v>
      </c>
      <c r="AH893" s="7" t="s">
        <v>94</v>
      </c>
    </row>
    <row r="894" spans="1:34" ht="9.75" customHeight="1" x14ac:dyDescent="0.2">
      <c r="A894" s="7" t="s">
        <v>37</v>
      </c>
      <c r="B894" s="7" t="s">
        <v>38</v>
      </c>
      <c r="C894" s="7"/>
      <c r="D894" s="7" t="s">
        <v>2183</v>
      </c>
      <c r="E894" s="8">
        <v>1</v>
      </c>
      <c r="F894" s="7" t="s">
        <v>61</v>
      </c>
      <c r="G894" s="7"/>
      <c r="H894" s="9"/>
      <c r="I894" s="10">
        <v>272008</v>
      </c>
      <c r="J894" s="10">
        <v>324587</v>
      </c>
      <c r="K894" s="9"/>
      <c r="L894" s="10">
        <v>235954</v>
      </c>
      <c r="M894" s="9"/>
      <c r="N894" s="10">
        <v>235954</v>
      </c>
      <c r="O894" s="9"/>
      <c r="P894" s="10"/>
      <c r="Q894" s="10"/>
      <c r="R894" s="10"/>
      <c r="S894" s="7" t="s">
        <v>54</v>
      </c>
      <c r="T894" s="7" t="s">
        <v>2159</v>
      </c>
      <c r="U894" s="7" t="s">
        <v>44</v>
      </c>
      <c r="V894" s="7" t="s">
        <v>45</v>
      </c>
      <c r="W894" s="7" t="s">
        <v>46</v>
      </c>
      <c r="X894" s="7" t="s">
        <v>90</v>
      </c>
      <c r="Y894" s="7" t="s">
        <v>2184</v>
      </c>
      <c r="Z894" s="7" t="s">
        <v>106</v>
      </c>
      <c r="AA894" s="7"/>
      <c r="AB894" s="7"/>
      <c r="AC894" s="7" t="s">
        <v>87</v>
      </c>
      <c r="AD894" s="7"/>
      <c r="AE894" s="7" t="s">
        <v>2185</v>
      </c>
      <c r="AF894" s="7" t="s">
        <v>50</v>
      </c>
      <c r="AG894" s="7" t="s">
        <v>93</v>
      </c>
      <c r="AH894" s="7" t="s">
        <v>94</v>
      </c>
    </row>
    <row r="895" spans="1:34" ht="9.75" customHeight="1" x14ac:dyDescent="0.2">
      <c r="A895" s="7" t="s">
        <v>37</v>
      </c>
      <c r="B895" s="7" t="s">
        <v>38</v>
      </c>
      <c r="C895" s="7"/>
      <c r="D895" s="7" t="s">
        <v>2186</v>
      </c>
      <c r="E895" s="8">
        <v>1</v>
      </c>
      <c r="F895" s="7" t="s">
        <v>61</v>
      </c>
      <c r="G895" s="7"/>
      <c r="H895" s="9"/>
      <c r="I895" s="10">
        <v>272008</v>
      </c>
      <c r="J895" s="10">
        <v>324588</v>
      </c>
      <c r="K895" s="9"/>
      <c r="L895" s="10">
        <v>235954</v>
      </c>
      <c r="M895" s="9"/>
      <c r="N895" s="10">
        <v>235954</v>
      </c>
      <c r="O895" s="9"/>
      <c r="P895" s="10"/>
      <c r="Q895" s="10"/>
      <c r="R895" s="10"/>
      <c r="S895" s="7" t="s">
        <v>54</v>
      </c>
      <c r="T895" s="7" t="s">
        <v>2159</v>
      </c>
      <c r="U895" s="7" t="s">
        <v>44</v>
      </c>
      <c r="V895" s="7" t="s">
        <v>45</v>
      </c>
      <c r="W895" s="7" t="s">
        <v>46</v>
      </c>
      <c r="X895" s="7" t="s">
        <v>90</v>
      </c>
      <c r="Y895" s="7" t="s">
        <v>2187</v>
      </c>
      <c r="Z895" s="7" t="s">
        <v>106</v>
      </c>
      <c r="AA895" s="7"/>
      <c r="AB895" s="7"/>
      <c r="AC895" s="7" t="s">
        <v>87</v>
      </c>
      <c r="AD895" s="7"/>
      <c r="AE895" s="7" t="s">
        <v>2188</v>
      </c>
      <c r="AF895" s="7" t="s">
        <v>50</v>
      </c>
      <c r="AG895" s="7" t="s">
        <v>93</v>
      </c>
      <c r="AH895" s="7" t="s">
        <v>94</v>
      </c>
    </row>
    <row r="896" spans="1:34" ht="9.75" customHeight="1" x14ac:dyDescent="0.2">
      <c r="A896" s="7" t="s">
        <v>37</v>
      </c>
      <c r="B896" s="7" t="s">
        <v>38</v>
      </c>
      <c r="C896" s="7"/>
      <c r="D896" s="7" t="s">
        <v>2189</v>
      </c>
      <c r="E896" s="8">
        <v>1</v>
      </c>
      <c r="F896" s="7" t="s">
        <v>61</v>
      </c>
      <c r="G896" s="7"/>
      <c r="H896" s="9"/>
      <c r="I896" s="10">
        <v>200000</v>
      </c>
      <c r="J896" s="9"/>
      <c r="K896" s="9"/>
      <c r="L896" s="10">
        <v>130000</v>
      </c>
      <c r="M896" s="9"/>
      <c r="N896" s="10">
        <v>130000</v>
      </c>
      <c r="O896" s="9"/>
      <c r="P896" s="10"/>
      <c r="Q896" s="10"/>
      <c r="R896" s="10"/>
      <c r="S896" s="7" t="s">
        <v>54</v>
      </c>
      <c r="T896" s="7" t="s">
        <v>2159</v>
      </c>
      <c r="U896" s="7" t="s">
        <v>44</v>
      </c>
      <c r="V896" s="7" t="s">
        <v>45</v>
      </c>
      <c r="W896" s="7" t="s">
        <v>46</v>
      </c>
      <c r="X896" s="7" t="s">
        <v>90</v>
      </c>
      <c r="Y896" s="7" t="s">
        <v>2190</v>
      </c>
      <c r="Z896" s="7" t="s">
        <v>106</v>
      </c>
      <c r="AA896" s="7"/>
      <c r="AB896" s="7"/>
      <c r="AC896" s="7" t="s">
        <v>87</v>
      </c>
      <c r="AD896" s="7"/>
      <c r="AE896" s="7" t="s">
        <v>2191</v>
      </c>
      <c r="AF896" s="7" t="s">
        <v>50</v>
      </c>
      <c r="AG896" s="7" t="s">
        <v>93</v>
      </c>
      <c r="AH896" s="7" t="s">
        <v>94</v>
      </c>
    </row>
    <row r="897" spans="1:34" ht="9.75" customHeight="1" x14ac:dyDescent="0.2">
      <c r="A897" s="7" t="s">
        <v>37</v>
      </c>
      <c r="B897" s="7" t="s">
        <v>38</v>
      </c>
      <c r="C897" s="7"/>
      <c r="D897" s="7" t="s">
        <v>2158</v>
      </c>
      <c r="E897" s="8">
        <v>1</v>
      </c>
      <c r="F897" s="7" t="s">
        <v>61</v>
      </c>
      <c r="G897" s="7"/>
      <c r="H897" s="9"/>
      <c r="I897" s="10">
        <v>1336590</v>
      </c>
      <c r="J897" s="9"/>
      <c r="K897" s="9"/>
      <c r="L897" s="9"/>
      <c r="M897" s="9"/>
      <c r="N897" s="9"/>
      <c r="O897" s="9"/>
      <c r="P897" s="9"/>
      <c r="Q897" s="9"/>
      <c r="R897" s="9"/>
      <c r="S897" s="7" t="s">
        <v>54</v>
      </c>
      <c r="T897" s="7" t="s">
        <v>2159</v>
      </c>
      <c r="U897" s="7" t="s">
        <v>44</v>
      </c>
      <c r="V897" s="7" t="s">
        <v>45</v>
      </c>
      <c r="W897" s="7" t="s">
        <v>46</v>
      </c>
      <c r="X897" s="7" t="s">
        <v>90</v>
      </c>
      <c r="Y897" s="7" t="s">
        <v>2160</v>
      </c>
      <c r="Z897" s="7" t="s">
        <v>2192</v>
      </c>
      <c r="AA897" s="7"/>
      <c r="AB897" s="7"/>
      <c r="AC897" s="7" t="s">
        <v>87</v>
      </c>
      <c r="AD897" s="7"/>
      <c r="AE897" s="7"/>
      <c r="AF897" s="7" t="s">
        <v>50</v>
      </c>
      <c r="AG897" s="7" t="s">
        <v>93</v>
      </c>
      <c r="AH897" s="7" t="s">
        <v>94</v>
      </c>
    </row>
    <row r="898" spans="1:34" ht="9.75" customHeight="1" x14ac:dyDescent="0.2">
      <c r="A898" s="7" t="s">
        <v>37</v>
      </c>
      <c r="B898" s="7" t="s">
        <v>38</v>
      </c>
      <c r="C898" s="7"/>
      <c r="D898" s="7" t="s">
        <v>2162</v>
      </c>
      <c r="E898" s="8">
        <v>1</v>
      </c>
      <c r="F898" s="7" t="s">
        <v>61</v>
      </c>
      <c r="G898" s="7"/>
      <c r="H898" s="9"/>
      <c r="I898" s="10">
        <v>33718</v>
      </c>
      <c r="J898" s="9"/>
      <c r="K898" s="9"/>
      <c r="L898" s="9"/>
      <c r="M898" s="9"/>
      <c r="N898" s="9"/>
      <c r="O898" s="9"/>
      <c r="P898" s="9"/>
      <c r="Q898" s="9"/>
      <c r="R898" s="9"/>
      <c r="S898" s="7" t="s">
        <v>54</v>
      </c>
      <c r="T898" s="7" t="s">
        <v>2159</v>
      </c>
      <c r="U898" s="7" t="s">
        <v>44</v>
      </c>
      <c r="V898" s="7" t="s">
        <v>45</v>
      </c>
      <c r="W898" s="7" t="s">
        <v>46</v>
      </c>
      <c r="X898" s="7" t="s">
        <v>90</v>
      </c>
      <c r="Y898" s="7" t="s">
        <v>2163</v>
      </c>
      <c r="Z898" s="7" t="s">
        <v>2192</v>
      </c>
      <c r="AA898" s="7"/>
      <c r="AB898" s="7"/>
      <c r="AC898" s="7" t="s">
        <v>87</v>
      </c>
      <c r="AD898" s="7"/>
      <c r="AE898" s="7"/>
      <c r="AF898" s="7" t="s">
        <v>50</v>
      </c>
      <c r="AG898" s="7" t="s">
        <v>93</v>
      </c>
      <c r="AH898" s="7" t="s">
        <v>94</v>
      </c>
    </row>
    <row r="899" spans="1:34" ht="9.75" customHeight="1" x14ac:dyDescent="0.2">
      <c r="A899" s="7" t="s">
        <v>37</v>
      </c>
      <c r="B899" s="7" t="s">
        <v>38</v>
      </c>
      <c r="C899" s="7"/>
      <c r="D899" s="7" t="s">
        <v>2165</v>
      </c>
      <c r="E899" s="8">
        <v>1</v>
      </c>
      <c r="F899" s="7" t="s">
        <v>61</v>
      </c>
      <c r="G899" s="7"/>
      <c r="H899" s="9"/>
      <c r="I899" s="10">
        <v>51508</v>
      </c>
      <c r="J899" s="9"/>
      <c r="K899" s="9"/>
      <c r="L899" s="9"/>
      <c r="M899" s="9"/>
      <c r="N899" s="9"/>
      <c r="O899" s="9"/>
      <c r="P899" s="9"/>
      <c r="Q899" s="9"/>
      <c r="R899" s="9"/>
      <c r="S899" s="7" t="s">
        <v>54</v>
      </c>
      <c r="T899" s="7" t="s">
        <v>2159</v>
      </c>
      <c r="U899" s="7" t="s">
        <v>44</v>
      </c>
      <c r="V899" s="7" t="s">
        <v>45</v>
      </c>
      <c r="W899" s="7" t="s">
        <v>46</v>
      </c>
      <c r="X899" s="7" t="s">
        <v>90</v>
      </c>
      <c r="Y899" s="7" t="s">
        <v>2166</v>
      </c>
      <c r="Z899" s="7" t="s">
        <v>2192</v>
      </c>
      <c r="AA899" s="7"/>
      <c r="AB899" s="7"/>
      <c r="AC899" s="7" t="s">
        <v>87</v>
      </c>
      <c r="AD899" s="7"/>
      <c r="AE899" s="7"/>
      <c r="AF899" s="7" t="s">
        <v>50</v>
      </c>
      <c r="AG899" s="7" t="s">
        <v>93</v>
      </c>
      <c r="AH899" s="7" t="s">
        <v>94</v>
      </c>
    </row>
    <row r="900" spans="1:34" ht="9.75" customHeight="1" x14ac:dyDescent="0.2">
      <c r="A900" s="7" t="s">
        <v>37</v>
      </c>
      <c r="B900" s="7" t="s">
        <v>38</v>
      </c>
      <c r="C900" s="7"/>
      <c r="D900" s="7" t="s">
        <v>2168</v>
      </c>
      <c r="E900" s="8">
        <v>1</v>
      </c>
      <c r="F900" s="7" t="s">
        <v>61</v>
      </c>
      <c r="G900" s="7"/>
      <c r="H900" s="9"/>
      <c r="I900" s="10">
        <v>598620</v>
      </c>
      <c r="J900" s="9"/>
      <c r="K900" s="9"/>
      <c r="L900" s="9"/>
      <c r="M900" s="9"/>
      <c r="N900" s="9"/>
      <c r="O900" s="9"/>
      <c r="P900" s="9"/>
      <c r="Q900" s="9"/>
      <c r="R900" s="9"/>
      <c r="S900" s="7" t="s">
        <v>54</v>
      </c>
      <c r="T900" s="7" t="s">
        <v>2159</v>
      </c>
      <c r="U900" s="7" t="s">
        <v>44</v>
      </c>
      <c r="V900" s="7" t="s">
        <v>45</v>
      </c>
      <c r="W900" s="7" t="s">
        <v>46</v>
      </c>
      <c r="X900" s="7" t="s">
        <v>90</v>
      </c>
      <c r="Y900" s="7" t="s">
        <v>2169</v>
      </c>
      <c r="Z900" s="7" t="s">
        <v>2192</v>
      </c>
      <c r="AA900" s="7"/>
      <c r="AB900" s="7"/>
      <c r="AC900" s="7" t="s">
        <v>87</v>
      </c>
      <c r="AD900" s="7"/>
      <c r="AE900" s="7"/>
      <c r="AF900" s="7" t="s">
        <v>50</v>
      </c>
      <c r="AG900" s="7" t="s">
        <v>93</v>
      </c>
      <c r="AH900" s="7" t="s">
        <v>94</v>
      </c>
    </row>
    <row r="901" spans="1:34" ht="9.75" customHeight="1" x14ac:dyDescent="0.2">
      <c r="A901" s="7" t="s">
        <v>37</v>
      </c>
      <c r="B901" s="7" t="s">
        <v>38</v>
      </c>
      <c r="C901" s="7"/>
      <c r="D901" s="7" t="s">
        <v>2171</v>
      </c>
      <c r="E901" s="8">
        <v>1</v>
      </c>
      <c r="F901" s="7" t="s">
        <v>61</v>
      </c>
      <c r="G901" s="7"/>
      <c r="H901" s="9"/>
      <c r="I901" s="10">
        <v>268518</v>
      </c>
      <c r="J901" s="9"/>
      <c r="K901" s="9"/>
      <c r="L901" s="9"/>
      <c r="M901" s="9"/>
      <c r="N901" s="9"/>
      <c r="O901" s="9"/>
      <c r="P901" s="9"/>
      <c r="Q901" s="9"/>
      <c r="R901" s="9"/>
      <c r="S901" s="7" t="s">
        <v>54</v>
      </c>
      <c r="T901" s="7" t="s">
        <v>2159</v>
      </c>
      <c r="U901" s="7" t="s">
        <v>44</v>
      </c>
      <c r="V901" s="7" t="s">
        <v>45</v>
      </c>
      <c r="W901" s="7" t="s">
        <v>46</v>
      </c>
      <c r="X901" s="7" t="s">
        <v>90</v>
      </c>
      <c r="Y901" s="7" t="s">
        <v>2172</v>
      </c>
      <c r="Z901" s="7" t="s">
        <v>2192</v>
      </c>
      <c r="AA901" s="7"/>
      <c r="AB901" s="7"/>
      <c r="AC901" s="7" t="s">
        <v>87</v>
      </c>
      <c r="AD901" s="7"/>
      <c r="AE901" s="7"/>
      <c r="AF901" s="7" t="s">
        <v>50</v>
      </c>
      <c r="AG901" s="7" t="s">
        <v>93</v>
      </c>
      <c r="AH901" s="7" t="s">
        <v>94</v>
      </c>
    </row>
    <row r="902" spans="1:34" ht="9.75" customHeight="1" x14ac:dyDescent="0.2">
      <c r="A902" s="7" t="s">
        <v>37</v>
      </c>
      <c r="B902" s="7" t="s">
        <v>38</v>
      </c>
      <c r="C902" s="7"/>
      <c r="D902" s="7" t="s">
        <v>2193</v>
      </c>
      <c r="E902" s="8">
        <v>1</v>
      </c>
      <c r="F902" s="7" t="s">
        <v>61</v>
      </c>
      <c r="G902" s="7"/>
      <c r="H902" s="9"/>
      <c r="I902" s="10">
        <v>0</v>
      </c>
      <c r="J902" s="9"/>
      <c r="K902" s="9"/>
      <c r="L902" s="9"/>
      <c r="M902" s="9"/>
      <c r="N902" s="9"/>
      <c r="O902" s="9"/>
      <c r="P902" s="9"/>
      <c r="Q902" s="9"/>
      <c r="R902" s="9"/>
      <c r="S902" s="7" t="s">
        <v>54</v>
      </c>
      <c r="T902" s="7" t="s">
        <v>2159</v>
      </c>
      <c r="U902" s="7" t="s">
        <v>44</v>
      </c>
      <c r="V902" s="7" t="s">
        <v>45</v>
      </c>
      <c r="W902" s="7" t="s">
        <v>46</v>
      </c>
      <c r="X902" s="7" t="s">
        <v>90</v>
      </c>
      <c r="Y902" s="7" t="s">
        <v>2194</v>
      </c>
      <c r="Z902" s="7" t="s">
        <v>2192</v>
      </c>
      <c r="AA902" s="7"/>
      <c r="AB902" s="7"/>
      <c r="AC902" s="7" t="s">
        <v>87</v>
      </c>
      <c r="AD902" s="7"/>
      <c r="AE902" s="7"/>
      <c r="AF902" s="7" t="s">
        <v>50</v>
      </c>
      <c r="AG902" s="7" t="s">
        <v>93</v>
      </c>
      <c r="AH902" s="7" t="s">
        <v>94</v>
      </c>
    </row>
    <row r="903" spans="1:34" ht="9.75" customHeight="1" x14ac:dyDescent="0.2">
      <c r="A903" s="7" t="s">
        <v>37</v>
      </c>
      <c r="B903" s="7" t="s">
        <v>38</v>
      </c>
      <c r="C903" s="7"/>
      <c r="D903" s="7" t="s">
        <v>2195</v>
      </c>
      <c r="E903" s="8">
        <v>1</v>
      </c>
      <c r="F903" s="7" t="s">
        <v>61</v>
      </c>
      <c r="G903" s="7"/>
      <c r="H903" s="9"/>
      <c r="I903" s="10">
        <v>0</v>
      </c>
      <c r="J903" s="9"/>
      <c r="K903" s="9"/>
      <c r="L903" s="9"/>
      <c r="M903" s="9"/>
      <c r="N903" s="9"/>
      <c r="O903" s="9"/>
      <c r="P903" s="9"/>
      <c r="Q903" s="9"/>
      <c r="R903" s="9"/>
      <c r="S903" s="7" t="s">
        <v>54</v>
      </c>
      <c r="T903" s="7" t="s">
        <v>2159</v>
      </c>
      <c r="U903" s="7" t="s">
        <v>44</v>
      </c>
      <c r="V903" s="7" t="s">
        <v>45</v>
      </c>
      <c r="W903" s="7" t="s">
        <v>46</v>
      </c>
      <c r="X903" s="7" t="s">
        <v>90</v>
      </c>
      <c r="Y903" s="7" t="s">
        <v>2196</v>
      </c>
      <c r="Z903" s="7" t="s">
        <v>2192</v>
      </c>
      <c r="AA903" s="7"/>
      <c r="AB903" s="7"/>
      <c r="AC903" s="7" t="s">
        <v>87</v>
      </c>
      <c r="AD903" s="7"/>
      <c r="AE903" s="7"/>
      <c r="AF903" s="7" t="s">
        <v>50</v>
      </c>
      <c r="AG903" s="7" t="s">
        <v>93</v>
      </c>
      <c r="AH903" s="7" t="s">
        <v>94</v>
      </c>
    </row>
    <row r="904" spans="1:34" ht="9.75" customHeight="1" x14ac:dyDescent="0.2">
      <c r="A904" s="7" t="s">
        <v>37</v>
      </c>
      <c r="B904" s="7" t="s">
        <v>38</v>
      </c>
      <c r="C904" s="7"/>
      <c r="D904" s="7" t="s">
        <v>2197</v>
      </c>
      <c r="E904" s="8">
        <v>1</v>
      </c>
      <c r="F904" s="7" t="s">
        <v>61</v>
      </c>
      <c r="G904" s="7"/>
      <c r="H904" s="9"/>
      <c r="I904" s="10">
        <v>235954</v>
      </c>
      <c r="J904" s="9"/>
      <c r="K904" s="9"/>
      <c r="L904" s="9"/>
      <c r="M904" s="9"/>
      <c r="N904" s="9"/>
      <c r="O904" s="9"/>
      <c r="P904" s="9"/>
      <c r="Q904" s="9"/>
      <c r="R904" s="9"/>
      <c r="S904" s="7" t="s">
        <v>54</v>
      </c>
      <c r="T904" s="7" t="s">
        <v>2159</v>
      </c>
      <c r="U904" s="7" t="s">
        <v>44</v>
      </c>
      <c r="V904" s="7" t="s">
        <v>45</v>
      </c>
      <c r="W904" s="7" t="s">
        <v>46</v>
      </c>
      <c r="X904" s="7" t="s">
        <v>90</v>
      </c>
      <c r="Y904" s="7" t="s">
        <v>2198</v>
      </c>
      <c r="Z904" s="7" t="s">
        <v>2192</v>
      </c>
      <c r="AA904" s="7"/>
      <c r="AB904" s="7"/>
      <c r="AC904" s="7" t="s">
        <v>87</v>
      </c>
      <c r="AD904" s="7"/>
      <c r="AE904" s="7"/>
      <c r="AF904" s="7" t="s">
        <v>50</v>
      </c>
      <c r="AG904" s="7" t="s">
        <v>93</v>
      </c>
      <c r="AH904" s="7" t="s">
        <v>94</v>
      </c>
    </row>
    <row r="905" spans="1:34" ht="9.75" customHeight="1" x14ac:dyDescent="0.2">
      <c r="A905" s="7" t="s">
        <v>37</v>
      </c>
      <c r="B905" s="7" t="s">
        <v>38</v>
      </c>
      <c r="C905" s="7"/>
      <c r="D905" s="7" t="s">
        <v>2199</v>
      </c>
      <c r="E905" s="8">
        <v>1</v>
      </c>
      <c r="F905" s="7" t="s">
        <v>61</v>
      </c>
      <c r="G905" s="7"/>
      <c r="H905" s="9"/>
      <c r="I905" s="10">
        <v>235954</v>
      </c>
      <c r="J905" s="9"/>
      <c r="K905" s="9"/>
      <c r="L905" s="9"/>
      <c r="M905" s="9"/>
      <c r="N905" s="9"/>
      <c r="O905" s="9"/>
      <c r="P905" s="9"/>
      <c r="Q905" s="9"/>
      <c r="R905" s="9"/>
      <c r="S905" s="7" t="s">
        <v>54</v>
      </c>
      <c r="T905" s="7" t="s">
        <v>2159</v>
      </c>
      <c r="U905" s="7" t="s">
        <v>44</v>
      </c>
      <c r="V905" s="7" t="s">
        <v>45</v>
      </c>
      <c r="W905" s="7" t="s">
        <v>46</v>
      </c>
      <c r="X905" s="7" t="s">
        <v>90</v>
      </c>
      <c r="Y905" s="7" t="s">
        <v>2200</v>
      </c>
      <c r="Z905" s="7" t="s">
        <v>2192</v>
      </c>
      <c r="AA905" s="7"/>
      <c r="AB905" s="7"/>
      <c r="AC905" s="7" t="s">
        <v>87</v>
      </c>
      <c r="AD905" s="7"/>
      <c r="AE905" s="7"/>
      <c r="AF905" s="7" t="s">
        <v>50</v>
      </c>
      <c r="AG905" s="7" t="s">
        <v>93</v>
      </c>
      <c r="AH905" s="7" t="s">
        <v>94</v>
      </c>
    </row>
    <row r="906" spans="1:34" ht="9.75" customHeight="1" x14ac:dyDescent="0.2">
      <c r="A906" s="7" t="s">
        <v>37</v>
      </c>
      <c r="B906" s="7" t="s">
        <v>38</v>
      </c>
      <c r="C906" s="7"/>
      <c r="D906" s="7" t="s">
        <v>2201</v>
      </c>
      <c r="E906" s="8">
        <v>1</v>
      </c>
      <c r="F906" s="7" t="s">
        <v>61</v>
      </c>
      <c r="G906" s="7"/>
      <c r="H906" s="9"/>
      <c r="I906" s="10">
        <v>235954</v>
      </c>
      <c r="J906" s="9"/>
      <c r="K906" s="9"/>
      <c r="L906" s="9"/>
      <c r="M906" s="9"/>
      <c r="N906" s="9"/>
      <c r="O906" s="9"/>
      <c r="P906" s="9"/>
      <c r="Q906" s="9"/>
      <c r="R906" s="9"/>
      <c r="S906" s="7" t="s">
        <v>54</v>
      </c>
      <c r="T906" s="7" t="s">
        <v>2159</v>
      </c>
      <c r="U906" s="7" t="s">
        <v>44</v>
      </c>
      <c r="V906" s="7" t="s">
        <v>45</v>
      </c>
      <c r="W906" s="7" t="s">
        <v>46</v>
      </c>
      <c r="X906" s="7" t="s">
        <v>90</v>
      </c>
      <c r="Y906" s="7" t="s">
        <v>2202</v>
      </c>
      <c r="Z906" s="7" t="s">
        <v>2192</v>
      </c>
      <c r="AA906" s="7"/>
      <c r="AB906" s="7"/>
      <c r="AC906" s="7" t="s">
        <v>87</v>
      </c>
      <c r="AD906" s="7"/>
      <c r="AE906" s="7"/>
      <c r="AF906" s="7" t="s">
        <v>50</v>
      </c>
      <c r="AG906" s="7" t="s">
        <v>93</v>
      </c>
      <c r="AH906" s="7" t="s">
        <v>94</v>
      </c>
    </row>
    <row r="907" spans="1:34" ht="9.75" customHeight="1" x14ac:dyDescent="0.2">
      <c r="A907" s="7" t="s">
        <v>37</v>
      </c>
      <c r="B907" s="7" t="s">
        <v>38</v>
      </c>
      <c r="C907" s="7"/>
      <c r="D907" s="7" t="s">
        <v>2189</v>
      </c>
      <c r="E907" s="8">
        <v>1</v>
      </c>
      <c r="F907" s="7" t="s">
        <v>61</v>
      </c>
      <c r="G907" s="7"/>
      <c r="H907" s="9"/>
      <c r="I907" s="10">
        <v>130000</v>
      </c>
      <c r="J907" s="9"/>
      <c r="K907" s="9"/>
      <c r="L907" s="9"/>
      <c r="M907" s="9"/>
      <c r="N907" s="9"/>
      <c r="O907" s="9"/>
      <c r="P907" s="9"/>
      <c r="Q907" s="9"/>
      <c r="R907" s="9"/>
      <c r="S907" s="7" t="s">
        <v>54</v>
      </c>
      <c r="T907" s="7" t="s">
        <v>2159</v>
      </c>
      <c r="U907" s="7" t="s">
        <v>44</v>
      </c>
      <c r="V907" s="7" t="s">
        <v>45</v>
      </c>
      <c r="W907" s="7" t="s">
        <v>46</v>
      </c>
      <c r="X907" s="7" t="s">
        <v>90</v>
      </c>
      <c r="Y907" s="7" t="s">
        <v>2190</v>
      </c>
      <c r="Z907" s="7" t="s">
        <v>2192</v>
      </c>
      <c r="AA907" s="7"/>
      <c r="AB907" s="7"/>
      <c r="AC907" s="7" t="s">
        <v>87</v>
      </c>
      <c r="AD907" s="7"/>
      <c r="AE907" s="7"/>
      <c r="AF907" s="7" t="s">
        <v>50</v>
      </c>
      <c r="AG907" s="7" t="s">
        <v>93</v>
      </c>
      <c r="AH907" s="7" t="s">
        <v>94</v>
      </c>
    </row>
    <row r="908" spans="1:34" ht="9.75" customHeight="1" x14ac:dyDescent="0.2">
      <c r="A908" s="7" t="s">
        <v>37</v>
      </c>
      <c r="B908" s="7" t="s">
        <v>38</v>
      </c>
      <c r="C908" s="7"/>
      <c r="D908" s="7" t="s">
        <v>2203</v>
      </c>
      <c r="E908" s="8">
        <v>5</v>
      </c>
      <c r="F908" s="7" t="s">
        <v>109</v>
      </c>
      <c r="G908" s="7"/>
      <c r="H908" s="9"/>
      <c r="I908" s="10">
        <v>66101</v>
      </c>
      <c r="J908" s="9"/>
      <c r="K908" s="9"/>
      <c r="L908" s="10">
        <v>76961</v>
      </c>
      <c r="M908" s="9"/>
      <c r="N908" s="10">
        <v>76961</v>
      </c>
      <c r="O908" s="9"/>
      <c r="P908" s="10"/>
      <c r="Q908" s="10"/>
      <c r="R908" s="10"/>
      <c r="S908" s="7" t="s">
        <v>407</v>
      </c>
      <c r="T908" s="7" t="s">
        <v>117</v>
      </c>
      <c r="U908" s="7" t="s">
        <v>44</v>
      </c>
      <c r="V908" s="7" t="s">
        <v>45</v>
      </c>
      <c r="W908" s="7" t="s">
        <v>67</v>
      </c>
      <c r="X908" s="7" t="s">
        <v>68</v>
      </c>
      <c r="Y908" s="7" t="s">
        <v>2204</v>
      </c>
      <c r="Z908" s="7" t="s">
        <v>2205</v>
      </c>
      <c r="AA908" s="7"/>
      <c r="AB908" s="7"/>
      <c r="AC908" s="7" t="s">
        <v>107</v>
      </c>
      <c r="AD908" s="7"/>
      <c r="AE908" s="7" t="s">
        <v>410</v>
      </c>
      <c r="AF908" s="7" t="s">
        <v>113</v>
      </c>
      <c r="AG908" s="7" t="s">
        <v>114</v>
      </c>
      <c r="AH908" s="7" t="s">
        <v>115</v>
      </c>
    </row>
    <row r="909" spans="1:34" ht="9.75" customHeight="1" x14ac:dyDescent="0.2">
      <c r="A909" s="7" t="s">
        <v>37</v>
      </c>
      <c r="B909" s="7" t="s">
        <v>38</v>
      </c>
      <c r="C909" s="7"/>
      <c r="D909" s="7" t="s">
        <v>2206</v>
      </c>
      <c r="E909" s="8">
        <v>5</v>
      </c>
      <c r="F909" s="7" t="s">
        <v>109</v>
      </c>
      <c r="G909" s="7"/>
      <c r="H909" s="9"/>
      <c r="I909" s="10">
        <v>5479857</v>
      </c>
      <c r="J909" s="9"/>
      <c r="K909" s="9"/>
      <c r="L909" s="10">
        <v>4736107</v>
      </c>
      <c r="M909" s="9"/>
      <c r="N909" s="10">
        <v>4736107</v>
      </c>
      <c r="O909" s="9"/>
      <c r="P909" s="10"/>
      <c r="Q909" s="10"/>
      <c r="R909" s="10"/>
      <c r="S909" s="7" t="s">
        <v>407</v>
      </c>
      <c r="T909" s="7" t="s">
        <v>117</v>
      </c>
      <c r="U909" s="7" t="s">
        <v>44</v>
      </c>
      <c r="V909" s="7" t="s">
        <v>45</v>
      </c>
      <c r="W909" s="7" t="s">
        <v>67</v>
      </c>
      <c r="X909" s="7" t="s">
        <v>68</v>
      </c>
      <c r="Y909" s="7" t="s">
        <v>2207</v>
      </c>
      <c r="Z909" s="7" t="s">
        <v>2205</v>
      </c>
      <c r="AA909" s="7"/>
      <c r="AB909" s="7"/>
      <c r="AC909" s="7" t="s">
        <v>107</v>
      </c>
      <c r="AD909" s="7"/>
      <c r="AE909" s="7" t="s">
        <v>207</v>
      </c>
      <c r="AF909" s="7" t="s">
        <v>113</v>
      </c>
      <c r="AG909" s="7" t="s">
        <v>114</v>
      </c>
      <c r="AH909" s="7" t="s">
        <v>115</v>
      </c>
    </row>
    <row r="910" spans="1:34" ht="9.75" customHeight="1" x14ac:dyDescent="0.2">
      <c r="A910" s="7" t="s">
        <v>37</v>
      </c>
      <c r="B910" s="7" t="s">
        <v>38</v>
      </c>
      <c r="C910" s="7"/>
      <c r="D910" s="7" t="s">
        <v>2208</v>
      </c>
      <c r="E910" s="8">
        <v>5</v>
      </c>
      <c r="F910" s="7" t="s">
        <v>109</v>
      </c>
      <c r="G910" s="7"/>
      <c r="H910" s="9"/>
      <c r="I910" s="10">
        <v>402826</v>
      </c>
      <c r="J910" s="9"/>
      <c r="K910" s="9"/>
      <c r="L910" s="10">
        <v>476912</v>
      </c>
      <c r="M910" s="9"/>
      <c r="N910" s="10">
        <v>476912</v>
      </c>
      <c r="O910" s="9"/>
      <c r="P910" s="10"/>
      <c r="Q910" s="10"/>
      <c r="R910" s="10"/>
      <c r="S910" s="7" t="s">
        <v>407</v>
      </c>
      <c r="T910" s="7" t="s">
        <v>117</v>
      </c>
      <c r="U910" s="7" t="s">
        <v>44</v>
      </c>
      <c r="V910" s="7" t="s">
        <v>45</v>
      </c>
      <c r="W910" s="7" t="s">
        <v>67</v>
      </c>
      <c r="X910" s="7" t="s">
        <v>68</v>
      </c>
      <c r="Y910" s="7" t="s">
        <v>2209</v>
      </c>
      <c r="Z910" s="7" t="s">
        <v>2205</v>
      </c>
      <c r="AA910" s="7"/>
      <c r="AB910" s="7"/>
      <c r="AC910" s="7" t="s">
        <v>107</v>
      </c>
      <c r="AD910" s="7"/>
      <c r="AE910" s="7"/>
      <c r="AF910" s="7" t="s">
        <v>113</v>
      </c>
      <c r="AG910" s="7" t="s">
        <v>114</v>
      </c>
      <c r="AH910" s="7" t="s">
        <v>115</v>
      </c>
    </row>
    <row r="911" spans="1:34" ht="9.75" customHeight="1" x14ac:dyDescent="0.2">
      <c r="A911" s="7" t="s">
        <v>37</v>
      </c>
      <c r="B911" s="7" t="s">
        <v>38</v>
      </c>
      <c r="C911" s="7"/>
      <c r="D911" s="7" t="s">
        <v>2210</v>
      </c>
      <c r="E911" s="8">
        <v>5</v>
      </c>
      <c r="F911" s="7" t="s">
        <v>109</v>
      </c>
      <c r="G911" s="7"/>
      <c r="H911" s="9"/>
      <c r="I911" s="10">
        <v>615177</v>
      </c>
      <c r="J911" s="9"/>
      <c r="K911" s="9"/>
      <c r="L911" s="10">
        <v>691864</v>
      </c>
      <c r="M911" s="9"/>
      <c r="N911" s="10">
        <v>691864</v>
      </c>
      <c r="O911" s="9"/>
      <c r="P911" s="10"/>
      <c r="Q911" s="10"/>
      <c r="R911" s="10"/>
      <c r="S911" s="7" t="s">
        <v>407</v>
      </c>
      <c r="T911" s="7" t="s">
        <v>117</v>
      </c>
      <c r="U911" s="7" t="s">
        <v>44</v>
      </c>
      <c r="V911" s="7" t="s">
        <v>45</v>
      </c>
      <c r="W911" s="7" t="s">
        <v>67</v>
      </c>
      <c r="X911" s="7" t="s">
        <v>68</v>
      </c>
      <c r="Y911" s="7" t="s">
        <v>2211</v>
      </c>
      <c r="Z911" s="7" t="s">
        <v>2205</v>
      </c>
      <c r="AA911" s="7"/>
      <c r="AB911" s="7"/>
      <c r="AC911" s="7" t="s">
        <v>107</v>
      </c>
      <c r="AD911" s="7"/>
      <c r="AE911" s="7" t="s">
        <v>420</v>
      </c>
      <c r="AF911" s="7" t="s">
        <v>113</v>
      </c>
      <c r="AG911" s="7" t="s">
        <v>114</v>
      </c>
      <c r="AH911" s="7" t="s">
        <v>115</v>
      </c>
    </row>
    <row r="912" spans="1:34" ht="9.75" customHeight="1" x14ac:dyDescent="0.2">
      <c r="A912" s="7" t="s">
        <v>37</v>
      </c>
      <c r="B912" s="7" t="s">
        <v>38</v>
      </c>
      <c r="C912" s="7"/>
      <c r="D912" s="7" t="s">
        <v>2212</v>
      </c>
      <c r="E912" s="8">
        <v>5</v>
      </c>
      <c r="F912" s="7" t="s">
        <v>109</v>
      </c>
      <c r="G912" s="7"/>
      <c r="H912" s="9"/>
      <c r="I912" s="10">
        <v>218115</v>
      </c>
      <c r="J912" s="9"/>
      <c r="K912" s="9"/>
      <c r="L912" s="10">
        <v>198576</v>
      </c>
      <c r="M912" s="9"/>
      <c r="N912" s="10">
        <v>198576</v>
      </c>
      <c r="O912" s="9"/>
      <c r="P912" s="10"/>
      <c r="Q912" s="10"/>
      <c r="R912" s="10"/>
      <c r="S912" s="7" t="s">
        <v>407</v>
      </c>
      <c r="T912" s="7" t="s">
        <v>117</v>
      </c>
      <c r="U912" s="7" t="s">
        <v>44</v>
      </c>
      <c r="V912" s="7" t="s">
        <v>45</v>
      </c>
      <c r="W912" s="7" t="s">
        <v>67</v>
      </c>
      <c r="X912" s="7" t="s">
        <v>68</v>
      </c>
      <c r="Y912" s="7" t="s">
        <v>2213</v>
      </c>
      <c r="Z912" s="7" t="s">
        <v>2205</v>
      </c>
      <c r="AA912" s="7"/>
      <c r="AB912" s="7"/>
      <c r="AC912" s="7" t="s">
        <v>107</v>
      </c>
      <c r="AD912" s="7"/>
      <c r="AE912" s="7"/>
      <c r="AF912" s="7" t="s">
        <v>113</v>
      </c>
      <c r="AG912" s="7" t="s">
        <v>114</v>
      </c>
      <c r="AH912" s="7" t="s">
        <v>115</v>
      </c>
    </row>
    <row r="913" spans="1:34" ht="9.75" customHeight="1" x14ac:dyDescent="0.2">
      <c r="A913" s="7" t="s">
        <v>37</v>
      </c>
      <c r="B913" s="7" t="s">
        <v>38</v>
      </c>
      <c r="C913" s="7"/>
      <c r="D913" s="7" t="s">
        <v>2214</v>
      </c>
      <c r="E913" s="8">
        <v>5</v>
      </c>
      <c r="F913" s="7" t="s">
        <v>109</v>
      </c>
      <c r="G913" s="7"/>
      <c r="H913" s="9"/>
      <c r="I913" s="10">
        <v>264599</v>
      </c>
      <c r="J913" s="9"/>
      <c r="K913" s="9"/>
      <c r="L913" s="10">
        <v>456751</v>
      </c>
      <c r="M913" s="9"/>
      <c r="N913" s="10">
        <v>456751</v>
      </c>
      <c r="O913" s="9"/>
      <c r="P913" s="10"/>
      <c r="Q913" s="10"/>
      <c r="R913" s="10"/>
      <c r="S913" s="7" t="s">
        <v>407</v>
      </c>
      <c r="T913" s="7" t="s">
        <v>117</v>
      </c>
      <c r="U913" s="7" t="s">
        <v>44</v>
      </c>
      <c r="V913" s="7" t="s">
        <v>45</v>
      </c>
      <c r="W913" s="7" t="s">
        <v>67</v>
      </c>
      <c r="X913" s="7" t="s">
        <v>68</v>
      </c>
      <c r="Y913" s="7" t="s">
        <v>2215</v>
      </c>
      <c r="Z913" s="7" t="s">
        <v>2205</v>
      </c>
      <c r="AA913" s="7"/>
      <c r="AB913" s="7"/>
      <c r="AC913" s="7" t="s">
        <v>107</v>
      </c>
      <c r="AD913" s="7"/>
      <c r="AE913" s="7"/>
      <c r="AF913" s="7" t="s">
        <v>113</v>
      </c>
      <c r="AG913" s="7" t="s">
        <v>114</v>
      </c>
      <c r="AH913" s="7" t="s">
        <v>115</v>
      </c>
    </row>
    <row r="914" spans="1:34" ht="9.75" customHeight="1" x14ac:dyDescent="0.2">
      <c r="A914" s="7" t="s">
        <v>37</v>
      </c>
      <c r="B914" s="7" t="s">
        <v>38</v>
      </c>
      <c r="C914" s="7"/>
      <c r="D914" s="7" t="s">
        <v>2216</v>
      </c>
      <c r="E914" s="8">
        <v>5</v>
      </c>
      <c r="F914" s="7" t="s">
        <v>109</v>
      </c>
      <c r="G914" s="7"/>
      <c r="H914" s="9"/>
      <c r="I914" s="10">
        <v>144774</v>
      </c>
      <c r="J914" s="9"/>
      <c r="K914" s="9"/>
      <c r="L914" s="10">
        <v>172461</v>
      </c>
      <c r="M914" s="9"/>
      <c r="N914" s="10">
        <v>172461</v>
      </c>
      <c r="O914" s="9"/>
      <c r="P914" s="10"/>
      <c r="Q914" s="10"/>
      <c r="R914" s="10"/>
      <c r="S914" s="7" t="s">
        <v>407</v>
      </c>
      <c r="T914" s="7" t="s">
        <v>117</v>
      </c>
      <c r="U914" s="7" t="s">
        <v>44</v>
      </c>
      <c r="V914" s="7" t="s">
        <v>45</v>
      </c>
      <c r="W914" s="7" t="s">
        <v>67</v>
      </c>
      <c r="X914" s="7" t="s">
        <v>68</v>
      </c>
      <c r="Y914" s="7" t="s">
        <v>2217</v>
      </c>
      <c r="Z914" s="7" t="s">
        <v>2205</v>
      </c>
      <c r="AA914" s="7"/>
      <c r="AB914" s="7"/>
      <c r="AC914" s="7" t="s">
        <v>107</v>
      </c>
      <c r="AD914" s="7"/>
      <c r="AE914" s="7"/>
      <c r="AF914" s="7" t="s">
        <v>113</v>
      </c>
      <c r="AG914" s="7" t="s">
        <v>114</v>
      </c>
      <c r="AH914" s="7" t="s">
        <v>115</v>
      </c>
    </row>
    <row r="915" spans="1:34" ht="9.75" customHeight="1" x14ac:dyDescent="0.2">
      <c r="A915" s="7" t="s">
        <v>37</v>
      </c>
      <c r="B915" s="7" t="s">
        <v>38</v>
      </c>
      <c r="C915" s="7"/>
      <c r="D915" s="7" t="s">
        <v>2218</v>
      </c>
      <c r="E915" s="8">
        <v>5</v>
      </c>
      <c r="F915" s="7" t="s">
        <v>109</v>
      </c>
      <c r="G915" s="7"/>
      <c r="H915" s="9"/>
      <c r="I915" s="10">
        <v>169315</v>
      </c>
      <c r="J915" s="9"/>
      <c r="K915" s="9"/>
      <c r="L915" s="10">
        <v>205598</v>
      </c>
      <c r="M915" s="9"/>
      <c r="N915" s="10">
        <v>205598</v>
      </c>
      <c r="O915" s="9"/>
      <c r="P915" s="10"/>
      <c r="Q915" s="10"/>
      <c r="R915" s="10"/>
      <c r="S915" s="7" t="s">
        <v>407</v>
      </c>
      <c r="T915" s="7" t="s">
        <v>117</v>
      </c>
      <c r="U915" s="7" t="s">
        <v>44</v>
      </c>
      <c r="V915" s="7" t="s">
        <v>45</v>
      </c>
      <c r="W915" s="7" t="s">
        <v>67</v>
      </c>
      <c r="X915" s="7" t="s">
        <v>68</v>
      </c>
      <c r="Y915" s="7" t="s">
        <v>2219</v>
      </c>
      <c r="Z915" s="7" t="s">
        <v>2220</v>
      </c>
      <c r="AA915" s="7"/>
      <c r="AB915" s="7"/>
      <c r="AC915" s="7" t="s">
        <v>107</v>
      </c>
      <c r="AD915" s="7"/>
      <c r="AE915" s="7" t="s">
        <v>2221</v>
      </c>
      <c r="AF915" s="7" t="s">
        <v>113</v>
      </c>
      <c r="AG915" s="7" t="s">
        <v>114</v>
      </c>
      <c r="AH915" s="7" t="s">
        <v>115</v>
      </c>
    </row>
    <row r="916" spans="1:34" ht="9.75" customHeight="1" x14ac:dyDescent="0.2">
      <c r="A916" s="7" t="s">
        <v>37</v>
      </c>
      <c r="B916" s="7" t="s">
        <v>38</v>
      </c>
      <c r="C916" s="7"/>
      <c r="D916" s="7" t="s">
        <v>2222</v>
      </c>
      <c r="E916" s="8">
        <v>5</v>
      </c>
      <c r="F916" s="7" t="s">
        <v>109</v>
      </c>
      <c r="G916" s="7"/>
      <c r="H916" s="9"/>
      <c r="I916" s="10">
        <v>84926</v>
      </c>
      <c r="J916" s="9"/>
      <c r="K916" s="9"/>
      <c r="L916" s="10">
        <v>85260</v>
      </c>
      <c r="M916" s="9"/>
      <c r="N916" s="10">
        <v>85260</v>
      </c>
      <c r="O916" s="9"/>
      <c r="P916" s="10"/>
      <c r="Q916" s="10"/>
      <c r="R916" s="10"/>
      <c r="S916" s="7" t="s">
        <v>407</v>
      </c>
      <c r="T916" s="7" t="s">
        <v>117</v>
      </c>
      <c r="U916" s="7" t="s">
        <v>44</v>
      </c>
      <c r="V916" s="7" t="s">
        <v>45</v>
      </c>
      <c r="W916" s="7" t="s">
        <v>67</v>
      </c>
      <c r="X916" s="7" t="s">
        <v>68</v>
      </c>
      <c r="Y916" s="7" t="s">
        <v>2223</v>
      </c>
      <c r="Z916" s="7" t="s">
        <v>2220</v>
      </c>
      <c r="AA916" s="7"/>
      <c r="AB916" s="7"/>
      <c r="AC916" s="7" t="s">
        <v>107</v>
      </c>
      <c r="AD916" s="7"/>
      <c r="AE916" s="7" t="s">
        <v>2224</v>
      </c>
      <c r="AF916" s="7" t="s">
        <v>113</v>
      </c>
      <c r="AG916" s="7" t="s">
        <v>114</v>
      </c>
      <c r="AH916" s="7" t="s">
        <v>115</v>
      </c>
    </row>
    <row r="917" spans="1:34" ht="9.75" customHeight="1" x14ac:dyDescent="0.2">
      <c r="A917" s="7" t="s">
        <v>37</v>
      </c>
      <c r="B917" s="7" t="s">
        <v>38</v>
      </c>
      <c r="C917" s="7"/>
      <c r="D917" s="7" t="s">
        <v>2225</v>
      </c>
      <c r="E917" s="8">
        <v>5</v>
      </c>
      <c r="F917" s="7" t="s">
        <v>109</v>
      </c>
      <c r="G917" s="7"/>
      <c r="H917" s="9"/>
      <c r="I917" s="9"/>
      <c r="J917" s="9"/>
      <c r="K917" s="9"/>
      <c r="L917" s="10">
        <v>38900</v>
      </c>
      <c r="M917" s="9"/>
      <c r="N917" s="10">
        <v>38900</v>
      </c>
      <c r="O917" s="9"/>
      <c r="P917" s="10"/>
      <c r="Q917" s="10"/>
      <c r="R917" s="10"/>
      <c r="S917" s="7" t="s">
        <v>407</v>
      </c>
      <c r="T917" s="7" t="s">
        <v>117</v>
      </c>
      <c r="U917" s="7" t="s">
        <v>44</v>
      </c>
      <c r="V917" s="7" t="s">
        <v>45</v>
      </c>
      <c r="W917" s="7" t="s">
        <v>67</v>
      </c>
      <c r="X917" s="7" t="s">
        <v>68</v>
      </c>
      <c r="Y917" s="7" t="s">
        <v>2226</v>
      </c>
      <c r="Z917" s="7" t="s">
        <v>2220</v>
      </c>
      <c r="AA917" s="7"/>
      <c r="AB917" s="7"/>
      <c r="AC917" s="7" t="s">
        <v>107</v>
      </c>
      <c r="AD917" s="7"/>
      <c r="AE917" s="7" t="s">
        <v>2227</v>
      </c>
      <c r="AF917" s="7" t="s">
        <v>113</v>
      </c>
      <c r="AG917" s="7" t="s">
        <v>114</v>
      </c>
      <c r="AH917" s="7" t="s">
        <v>115</v>
      </c>
    </row>
    <row r="918" spans="1:34" ht="9.75" customHeight="1" x14ac:dyDescent="0.2">
      <c r="A918" s="7" t="s">
        <v>37</v>
      </c>
      <c r="B918" s="7" t="s">
        <v>38</v>
      </c>
      <c r="C918" s="7"/>
      <c r="D918" s="7" t="s">
        <v>2228</v>
      </c>
      <c r="E918" s="8">
        <v>5</v>
      </c>
      <c r="F918" s="7" t="s">
        <v>109</v>
      </c>
      <c r="G918" s="7"/>
      <c r="H918" s="9"/>
      <c r="I918" s="10">
        <v>27273</v>
      </c>
      <c r="J918" s="9"/>
      <c r="K918" s="9"/>
      <c r="L918" s="10">
        <v>46755</v>
      </c>
      <c r="M918" s="9"/>
      <c r="N918" s="10">
        <v>46755</v>
      </c>
      <c r="O918" s="9"/>
      <c r="P918" s="10"/>
      <c r="Q918" s="10"/>
      <c r="R918" s="10"/>
      <c r="S918" s="7" t="s">
        <v>407</v>
      </c>
      <c r="T918" s="7" t="s">
        <v>117</v>
      </c>
      <c r="U918" s="7" t="s">
        <v>44</v>
      </c>
      <c r="V918" s="7" t="s">
        <v>45</v>
      </c>
      <c r="W918" s="7" t="s">
        <v>67</v>
      </c>
      <c r="X918" s="7" t="s">
        <v>68</v>
      </c>
      <c r="Y918" s="7" t="s">
        <v>2229</v>
      </c>
      <c r="Z918" s="7" t="s">
        <v>2220</v>
      </c>
      <c r="AA918" s="7"/>
      <c r="AB918" s="7"/>
      <c r="AC918" s="7" t="s">
        <v>107</v>
      </c>
      <c r="AD918" s="7"/>
      <c r="AE918" s="7" t="s">
        <v>2230</v>
      </c>
      <c r="AF918" s="7" t="s">
        <v>113</v>
      </c>
      <c r="AG918" s="7" t="s">
        <v>114</v>
      </c>
      <c r="AH918" s="7" t="s">
        <v>115</v>
      </c>
    </row>
    <row r="919" spans="1:34" ht="9.75" customHeight="1" x14ac:dyDescent="0.2">
      <c r="A919" s="7" t="s">
        <v>37</v>
      </c>
      <c r="B919" s="7" t="s">
        <v>38</v>
      </c>
      <c r="C919" s="7"/>
      <c r="D919" s="7" t="s">
        <v>2231</v>
      </c>
      <c r="E919" s="8">
        <v>5</v>
      </c>
      <c r="F919" s="7" t="s">
        <v>109</v>
      </c>
      <c r="G919" s="7"/>
      <c r="H919" s="9"/>
      <c r="I919" s="10">
        <v>14654</v>
      </c>
      <c r="J919" s="9"/>
      <c r="K919" s="9"/>
      <c r="L919" s="10">
        <v>16459</v>
      </c>
      <c r="M919" s="9"/>
      <c r="N919" s="10">
        <v>16459</v>
      </c>
      <c r="O919" s="9"/>
      <c r="P919" s="10"/>
      <c r="Q919" s="10"/>
      <c r="R919" s="10"/>
      <c r="S919" s="7" t="s">
        <v>407</v>
      </c>
      <c r="T919" s="7" t="s">
        <v>117</v>
      </c>
      <c r="U919" s="7" t="s">
        <v>44</v>
      </c>
      <c r="V919" s="7" t="s">
        <v>45</v>
      </c>
      <c r="W919" s="7" t="s">
        <v>67</v>
      </c>
      <c r="X919" s="7" t="s">
        <v>68</v>
      </c>
      <c r="Y919" s="7" t="s">
        <v>2232</v>
      </c>
      <c r="Z919" s="7" t="s">
        <v>2220</v>
      </c>
      <c r="AA919" s="7"/>
      <c r="AB919" s="7"/>
      <c r="AC919" s="7" t="s">
        <v>107</v>
      </c>
      <c r="AD919" s="7"/>
      <c r="AE919" s="7" t="s">
        <v>2233</v>
      </c>
      <c r="AF919" s="7" t="s">
        <v>113</v>
      </c>
      <c r="AG919" s="7" t="s">
        <v>114</v>
      </c>
      <c r="AH919" s="7" t="s">
        <v>115</v>
      </c>
    </row>
    <row r="920" spans="1:34" ht="9.75" customHeight="1" x14ac:dyDescent="0.2">
      <c r="A920" s="7" t="s">
        <v>37</v>
      </c>
      <c r="B920" s="7" t="s">
        <v>38</v>
      </c>
      <c r="C920" s="7"/>
      <c r="D920" s="7" t="s">
        <v>2234</v>
      </c>
      <c r="E920" s="8">
        <v>5</v>
      </c>
      <c r="F920" s="7" t="s">
        <v>109</v>
      </c>
      <c r="G920" s="7"/>
      <c r="H920" s="9"/>
      <c r="I920" s="10">
        <v>9077</v>
      </c>
      <c r="J920" s="9"/>
      <c r="K920" s="9"/>
      <c r="L920" s="10">
        <v>11551</v>
      </c>
      <c r="M920" s="9"/>
      <c r="N920" s="10">
        <v>11551</v>
      </c>
      <c r="O920" s="9"/>
      <c r="P920" s="10"/>
      <c r="Q920" s="10"/>
      <c r="R920" s="10"/>
      <c r="S920" s="7" t="s">
        <v>407</v>
      </c>
      <c r="T920" s="7" t="s">
        <v>117</v>
      </c>
      <c r="U920" s="7" t="s">
        <v>44</v>
      </c>
      <c r="V920" s="7" t="s">
        <v>45</v>
      </c>
      <c r="W920" s="7" t="s">
        <v>67</v>
      </c>
      <c r="X920" s="7" t="s">
        <v>68</v>
      </c>
      <c r="Y920" s="7" t="s">
        <v>2235</v>
      </c>
      <c r="Z920" s="7" t="s">
        <v>2220</v>
      </c>
      <c r="AA920" s="7"/>
      <c r="AB920" s="7"/>
      <c r="AC920" s="7" t="s">
        <v>107</v>
      </c>
      <c r="AD920" s="7"/>
      <c r="AE920" s="7" t="s">
        <v>2236</v>
      </c>
      <c r="AF920" s="7" t="s">
        <v>113</v>
      </c>
      <c r="AG920" s="7" t="s">
        <v>114</v>
      </c>
      <c r="AH920" s="7" t="s">
        <v>115</v>
      </c>
    </row>
    <row r="921" spans="1:34" ht="9.75" customHeight="1" x14ac:dyDescent="0.2">
      <c r="A921" s="7" t="s">
        <v>37</v>
      </c>
      <c r="B921" s="7" t="s">
        <v>38</v>
      </c>
      <c r="C921" s="7"/>
      <c r="D921" s="7" t="s">
        <v>2237</v>
      </c>
      <c r="E921" s="8">
        <v>5</v>
      </c>
      <c r="F921" s="7" t="s">
        <v>109</v>
      </c>
      <c r="G921" s="7"/>
      <c r="H921" s="9"/>
      <c r="I921" s="10">
        <v>11880</v>
      </c>
      <c r="J921" s="9"/>
      <c r="K921" s="9"/>
      <c r="L921" s="10">
        <v>4558</v>
      </c>
      <c r="M921" s="9"/>
      <c r="N921" s="10">
        <v>4558</v>
      </c>
      <c r="O921" s="9"/>
      <c r="P921" s="10"/>
      <c r="Q921" s="10"/>
      <c r="R921" s="10"/>
      <c r="S921" s="7" t="s">
        <v>407</v>
      </c>
      <c r="T921" s="7" t="s">
        <v>117</v>
      </c>
      <c r="U921" s="7" t="s">
        <v>44</v>
      </c>
      <c r="V921" s="7" t="s">
        <v>45</v>
      </c>
      <c r="W921" s="7" t="s">
        <v>67</v>
      </c>
      <c r="X921" s="7" t="s">
        <v>68</v>
      </c>
      <c r="Y921" s="7" t="s">
        <v>2238</v>
      </c>
      <c r="Z921" s="7" t="s">
        <v>2220</v>
      </c>
      <c r="AA921" s="7"/>
      <c r="AB921" s="7"/>
      <c r="AC921" s="7" t="s">
        <v>107</v>
      </c>
      <c r="AD921" s="7"/>
      <c r="AE921" s="7" t="s">
        <v>2239</v>
      </c>
      <c r="AF921" s="7" t="s">
        <v>113</v>
      </c>
      <c r="AG921" s="7" t="s">
        <v>114</v>
      </c>
      <c r="AH921" s="7" t="s">
        <v>115</v>
      </c>
    </row>
    <row r="922" spans="1:34" ht="9.75" customHeight="1" x14ac:dyDescent="0.2">
      <c r="A922" s="7" t="s">
        <v>37</v>
      </c>
      <c r="B922" s="7" t="s">
        <v>38</v>
      </c>
      <c r="C922" s="7"/>
      <c r="D922" s="7" t="s">
        <v>2240</v>
      </c>
      <c r="E922" s="8">
        <v>5</v>
      </c>
      <c r="F922" s="7" t="s">
        <v>109</v>
      </c>
      <c r="G922" s="7"/>
      <c r="H922" s="9"/>
      <c r="I922" s="10">
        <v>9693</v>
      </c>
      <c r="J922" s="9"/>
      <c r="K922" s="9"/>
      <c r="L922" s="10">
        <v>12507</v>
      </c>
      <c r="M922" s="9"/>
      <c r="N922" s="10">
        <v>12507</v>
      </c>
      <c r="O922" s="9"/>
      <c r="P922" s="10"/>
      <c r="Q922" s="10"/>
      <c r="R922" s="10"/>
      <c r="S922" s="7" t="s">
        <v>407</v>
      </c>
      <c r="T922" s="7" t="s">
        <v>117</v>
      </c>
      <c r="U922" s="7" t="s">
        <v>44</v>
      </c>
      <c r="V922" s="7" t="s">
        <v>45</v>
      </c>
      <c r="W922" s="7" t="s">
        <v>67</v>
      </c>
      <c r="X922" s="7" t="s">
        <v>68</v>
      </c>
      <c r="Y922" s="7" t="s">
        <v>2241</v>
      </c>
      <c r="Z922" s="7" t="s">
        <v>2220</v>
      </c>
      <c r="AA922" s="7"/>
      <c r="AB922" s="7"/>
      <c r="AC922" s="7" t="s">
        <v>107</v>
      </c>
      <c r="AD922" s="7"/>
      <c r="AE922" s="7" t="s">
        <v>2242</v>
      </c>
      <c r="AF922" s="7" t="s">
        <v>113</v>
      </c>
      <c r="AG922" s="7" t="s">
        <v>114</v>
      </c>
      <c r="AH922" s="7" t="s">
        <v>115</v>
      </c>
    </row>
    <row r="923" spans="1:34" ht="9.75" customHeight="1" x14ac:dyDescent="0.2">
      <c r="A923" s="7" t="s">
        <v>37</v>
      </c>
      <c r="B923" s="7" t="s">
        <v>38</v>
      </c>
      <c r="C923" s="7"/>
      <c r="D923" s="7" t="s">
        <v>2243</v>
      </c>
      <c r="E923" s="8">
        <v>5</v>
      </c>
      <c r="F923" s="7" t="s">
        <v>109</v>
      </c>
      <c r="G923" s="7"/>
      <c r="H923" s="9"/>
      <c r="I923" s="10">
        <v>5553</v>
      </c>
      <c r="J923" s="9"/>
      <c r="K923" s="9"/>
      <c r="L923" s="10">
        <v>4092</v>
      </c>
      <c r="M923" s="9"/>
      <c r="N923" s="10">
        <v>4092</v>
      </c>
      <c r="O923" s="9"/>
      <c r="P923" s="10"/>
      <c r="Q923" s="10"/>
      <c r="R923" s="10"/>
      <c r="S923" s="7" t="s">
        <v>407</v>
      </c>
      <c r="T923" s="7" t="s">
        <v>117</v>
      </c>
      <c r="U923" s="7" t="s">
        <v>44</v>
      </c>
      <c r="V923" s="7" t="s">
        <v>45</v>
      </c>
      <c r="W923" s="7" t="s">
        <v>67</v>
      </c>
      <c r="X923" s="7" t="s">
        <v>68</v>
      </c>
      <c r="Y923" s="7" t="s">
        <v>2244</v>
      </c>
      <c r="Z923" s="7" t="s">
        <v>2220</v>
      </c>
      <c r="AA923" s="7"/>
      <c r="AB923" s="7"/>
      <c r="AC923" s="7" t="s">
        <v>107</v>
      </c>
      <c r="AD923" s="7"/>
      <c r="AE923" s="7" t="s">
        <v>2245</v>
      </c>
      <c r="AF923" s="7" t="s">
        <v>113</v>
      </c>
      <c r="AG923" s="7" t="s">
        <v>114</v>
      </c>
      <c r="AH923" s="7" t="s">
        <v>115</v>
      </c>
    </row>
    <row r="924" spans="1:34" ht="9.75" customHeight="1" x14ac:dyDescent="0.2">
      <c r="A924" s="7" t="s">
        <v>37</v>
      </c>
      <c r="B924" s="7" t="s">
        <v>38</v>
      </c>
      <c r="C924" s="7"/>
      <c r="D924" s="7" t="s">
        <v>2246</v>
      </c>
      <c r="E924" s="8">
        <v>5</v>
      </c>
      <c r="F924" s="7" t="s">
        <v>109</v>
      </c>
      <c r="G924" s="7"/>
      <c r="H924" s="9"/>
      <c r="I924" s="9"/>
      <c r="J924" s="9"/>
      <c r="K924" s="9"/>
      <c r="L924" s="10">
        <v>58830</v>
      </c>
      <c r="M924" s="9"/>
      <c r="N924" s="10">
        <v>58830</v>
      </c>
      <c r="O924" s="9"/>
      <c r="P924" s="10"/>
      <c r="Q924" s="10"/>
      <c r="R924" s="10"/>
      <c r="S924" s="7" t="s">
        <v>407</v>
      </c>
      <c r="T924" s="7" t="s">
        <v>117</v>
      </c>
      <c r="U924" s="7" t="s">
        <v>44</v>
      </c>
      <c r="V924" s="7" t="s">
        <v>45</v>
      </c>
      <c r="W924" s="7" t="s">
        <v>67</v>
      </c>
      <c r="X924" s="7" t="s">
        <v>68</v>
      </c>
      <c r="Y924" s="7" t="s">
        <v>2247</v>
      </c>
      <c r="Z924" s="7" t="s">
        <v>2220</v>
      </c>
      <c r="AA924" s="7"/>
      <c r="AB924" s="7"/>
      <c r="AC924" s="7" t="s">
        <v>107</v>
      </c>
      <c r="AD924" s="7"/>
      <c r="AE924" s="7" t="s">
        <v>1108</v>
      </c>
      <c r="AF924" s="7" t="s">
        <v>113</v>
      </c>
      <c r="AG924" s="7" t="s">
        <v>114</v>
      </c>
      <c r="AH924" s="7" t="s">
        <v>115</v>
      </c>
    </row>
    <row r="925" spans="1:34" ht="9.75" customHeight="1" x14ac:dyDescent="0.2">
      <c r="A925" s="7" t="s">
        <v>37</v>
      </c>
      <c r="B925" s="7" t="s">
        <v>38</v>
      </c>
      <c r="C925" s="7"/>
      <c r="D925" s="7" t="s">
        <v>2248</v>
      </c>
      <c r="E925" s="8">
        <v>5</v>
      </c>
      <c r="F925" s="7" t="s">
        <v>109</v>
      </c>
      <c r="G925" s="7"/>
      <c r="H925" s="9"/>
      <c r="I925" s="10">
        <v>5645</v>
      </c>
      <c r="J925" s="9"/>
      <c r="K925" s="9"/>
      <c r="L925" s="10">
        <v>5270</v>
      </c>
      <c r="M925" s="9"/>
      <c r="N925" s="10">
        <v>5270</v>
      </c>
      <c r="O925" s="9"/>
      <c r="P925" s="10"/>
      <c r="Q925" s="10"/>
      <c r="R925" s="10"/>
      <c r="S925" s="7" t="s">
        <v>407</v>
      </c>
      <c r="T925" s="7" t="s">
        <v>117</v>
      </c>
      <c r="U925" s="7" t="s">
        <v>44</v>
      </c>
      <c r="V925" s="7" t="s">
        <v>45</v>
      </c>
      <c r="W925" s="7" t="s">
        <v>67</v>
      </c>
      <c r="X925" s="7" t="s">
        <v>68</v>
      </c>
      <c r="Y925" s="7" t="s">
        <v>2249</v>
      </c>
      <c r="Z925" s="7" t="s">
        <v>2220</v>
      </c>
      <c r="AA925" s="7"/>
      <c r="AB925" s="7"/>
      <c r="AC925" s="7" t="s">
        <v>107</v>
      </c>
      <c r="AD925" s="7"/>
      <c r="AE925" s="7" t="s">
        <v>2250</v>
      </c>
      <c r="AF925" s="7" t="s">
        <v>113</v>
      </c>
      <c r="AG925" s="7" t="s">
        <v>114</v>
      </c>
      <c r="AH925" s="7" t="s">
        <v>115</v>
      </c>
    </row>
    <row r="926" spans="1:34" ht="9.75" customHeight="1" x14ac:dyDescent="0.2">
      <c r="A926" s="7" t="s">
        <v>37</v>
      </c>
      <c r="B926" s="7" t="s">
        <v>38</v>
      </c>
      <c r="C926" s="7"/>
      <c r="D926" s="7" t="s">
        <v>2251</v>
      </c>
      <c r="E926" s="8">
        <v>5</v>
      </c>
      <c r="F926" s="7" t="s">
        <v>109</v>
      </c>
      <c r="G926" s="7"/>
      <c r="H926" s="9"/>
      <c r="I926" s="10">
        <v>5194</v>
      </c>
      <c r="J926" s="9"/>
      <c r="K926" s="9"/>
      <c r="L926" s="10">
        <v>8691</v>
      </c>
      <c r="M926" s="9"/>
      <c r="N926" s="10">
        <v>8691</v>
      </c>
      <c r="O926" s="9"/>
      <c r="P926" s="10"/>
      <c r="Q926" s="10"/>
      <c r="R926" s="10"/>
      <c r="S926" s="7" t="s">
        <v>407</v>
      </c>
      <c r="T926" s="7" t="s">
        <v>117</v>
      </c>
      <c r="U926" s="7" t="s">
        <v>44</v>
      </c>
      <c r="V926" s="7" t="s">
        <v>45</v>
      </c>
      <c r="W926" s="7" t="s">
        <v>67</v>
      </c>
      <c r="X926" s="7" t="s">
        <v>68</v>
      </c>
      <c r="Y926" s="7" t="s">
        <v>2252</v>
      </c>
      <c r="Z926" s="7" t="s">
        <v>2220</v>
      </c>
      <c r="AA926" s="7"/>
      <c r="AB926" s="7"/>
      <c r="AC926" s="7" t="s">
        <v>107</v>
      </c>
      <c r="AD926" s="7"/>
      <c r="AE926" s="7" t="s">
        <v>2253</v>
      </c>
      <c r="AF926" s="7" t="s">
        <v>113</v>
      </c>
      <c r="AG926" s="7" t="s">
        <v>114</v>
      </c>
      <c r="AH926" s="7" t="s">
        <v>115</v>
      </c>
    </row>
    <row r="927" spans="1:34" ht="9.75" customHeight="1" x14ac:dyDescent="0.2">
      <c r="A927" s="7" t="s">
        <v>37</v>
      </c>
      <c r="B927" s="7" t="s">
        <v>38</v>
      </c>
      <c r="C927" s="7"/>
      <c r="D927" s="7" t="s">
        <v>2254</v>
      </c>
      <c r="E927" s="8">
        <v>5</v>
      </c>
      <c r="F927" s="7" t="s">
        <v>109</v>
      </c>
      <c r="G927" s="7"/>
      <c r="H927" s="9"/>
      <c r="I927" s="10">
        <v>5743</v>
      </c>
      <c r="J927" s="9"/>
      <c r="K927" s="9"/>
      <c r="L927" s="10">
        <v>4688</v>
      </c>
      <c r="M927" s="9"/>
      <c r="N927" s="10">
        <v>4688</v>
      </c>
      <c r="O927" s="9"/>
      <c r="P927" s="10"/>
      <c r="Q927" s="10"/>
      <c r="R927" s="10"/>
      <c r="S927" s="7" t="s">
        <v>407</v>
      </c>
      <c r="T927" s="7" t="s">
        <v>117</v>
      </c>
      <c r="U927" s="7" t="s">
        <v>44</v>
      </c>
      <c r="V927" s="7" t="s">
        <v>45</v>
      </c>
      <c r="W927" s="7" t="s">
        <v>67</v>
      </c>
      <c r="X927" s="7" t="s">
        <v>68</v>
      </c>
      <c r="Y927" s="7" t="s">
        <v>2255</v>
      </c>
      <c r="Z927" s="7" t="s">
        <v>2220</v>
      </c>
      <c r="AA927" s="7"/>
      <c r="AB927" s="7"/>
      <c r="AC927" s="7" t="s">
        <v>107</v>
      </c>
      <c r="AD927" s="7"/>
      <c r="AE927" s="7"/>
      <c r="AF927" s="7" t="s">
        <v>113</v>
      </c>
      <c r="AG927" s="7" t="s">
        <v>114</v>
      </c>
      <c r="AH927" s="7" t="s">
        <v>115</v>
      </c>
    </row>
    <row r="928" spans="1:34" ht="9.75" customHeight="1" x14ac:dyDescent="0.2">
      <c r="A928" s="7" t="s">
        <v>37</v>
      </c>
      <c r="B928" s="7" t="s">
        <v>38</v>
      </c>
      <c r="C928" s="7"/>
      <c r="D928" s="7" t="s">
        <v>2256</v>
      </c>
      <c r="E928" s="8">
        <v>5</v>
      </c>
      <c r="F928" s="7" t="s">
        <v>109</v>
      </c>
      <c r="G928" s="7"/>
      <c r="H928" s="9"/>
      <c r="I928" s="10">
        <v>3805</v>
      </c>
      <c r="J928" s="9"/>
      <c r="K928" s="9"/>
      <c r="L928" s="10">
        <v>1943</v>
      </c>
      <c r="M928" s="9"/>
      <c r="N928" s="10">
        <v>1943</v>
      </c>
      <c r="O928" s="9"/>
      <c r="P928" s="10"/>
      <c r="Q928" s="10"/>
      <c r="R928" s="10"/>
      <c r="S928" s="7" t="s">
        <v>407</v>
      </c>
      <c r="T928" s="7" t="s">
        <v>117</v>
      </c>
      <c r="U928" s="7" t="s">
        <v>44</v>
      </c>
      <c r="V928" s="7" t="s">
        <v>45</v>
      </c>
      <c r="W928" s="7" t="s">
        <v>67</v>
      </c>
      <c r="X928" s="7" t="s">
        <v>68</v>
      </c>
      <c r="Y928" s="7" t="s">
        <v>2257</v>
      </c>
      <c r="Z928" s="7" t="s">
        <v>2220</v>
      </c>
      <c r="AA928" s="7"/>
      <c r="AB928" s="7"/>
      <c r="AC928" s="7" t="s">
        <v>107</v>
      </c>
      <c r="AD928" s="7"/>
      <c r="AE928" s="7" t="s">
        <v>2258</v>
      </c>
      <c r="AF928" s="7" t="s">
        <v>113</v>
      </c>
      <c r="AG928" s="7" t="s">
        <v>114</v>
      </c>
      <c r="AH928" s="7" t="s">
        <v>115</v>
      </c>
    </row>
    <row r="929" spans="1:34" ht="9.75" customHeight="1" x14ac:dyDescent="0.2">
      <c r="A929" s="7" t="s">
        <v>37</v>
      </c>
      <c r="B929" s="7" t="s">
        <v>38</v>
      </c>
      <c r="C929" s="7"/>
      <c r="D929" s="7" t="s">
        <v>2259</v>
      </c>
      <c r="E929" s="8">
        <v>5</v>
      </c>
      <c r="F929" s="7" t="s">
        <v>109</v>
      </c>
      <c r="G929" s="7"/>
      <c r="H929" s="9"/>
      <c r="I929" s="10">
        <v>11168</v>
      </c>
      <c r="J929" s="9"/>
      <c r="K929" s="9"/>
      <c r="L929" s="10">
        <v>10710</v>
      </c>
      <c r="M929" s="9"/>
      <c r="N929" s="10">
        <v>10710</v>
      </c>
      <c r="O929" s="9"/>
      <c r="P929" s="10"/>
      <c r="Q929" s="10"/>
      <c r="R929" s="10"/>
      <c r="S929" s="7" t="s">
        <v>407</v>
      </c>
      <c r="T929" s="7" t="s">
        <v>117</v>
      </c>
      <c r="U929" s="7" t="s">
        <v>44</v>
      </c>
      <c r="V929" s="7" t="s">
        <v>45</v>
      </c>
      <c r="W929" s="7" t="s">
        <v>67</v>
      </c>
      <c r="X929" s="7" t="s">
        <v>68</v>
      </c>
      <c r="Y929" s="7" t="s">
        <v>2260</v>
      </c>
      <c r="Z929" s="7" t="s">
        <v>2220</v>
      </c>
      <c r="AA929" s="7"/>
      <c r="AB929" s="7"/>
      <c r="AC929" s="7" t="s">
        <v>107</v>
      </c>
      <c r="AD929" s="7"/>
      <c r="AE929" s="7" t="s">
        <v>2261</v>
      </c>
      <c r="AF929" s="7" t="s">
        <v>113</v>
      </c>
      <c r="AG929" s="7" t="s">
        <v>114</v>
      </c>
      <c r="AH929" s="7" t="s">
        <v>115</v>
      </c>
    </row>
    <row r="930" spans="1:34" ht="9.75" customHeight="1" x14ac:dyDescent="0.2">
      <c r="A930" s="7" t="s">
        <v>37</v>
      </c>
      <c r="B930" s="7" t="s">
        <v>38</v>
      </c>
      <c r="C930" s="7"/>
      <c r="D930" s="7" t="s">
        <v>2262</v>
      </c>
      <c r="E930" s="8">
        <v>5</v>
      </c>
      <c r="F930" s="7" t="s">
        <v>109</v>
      </c>
      <c r="G930" s="7"/>
      <c r="H930" s="9"/>
      <c r="I930" s="10">
        <v>6323</v>
      </c>
      <c r="J930" s="9"/>
      <c r="K930" s="9"/>
      <c r="L930" s="10">
        <v>100</v>
      </c>
      <c r="M930" s="9"/>
      <c r="N930" s="10">
        <v>100</v>
      </c>
      <c r="O930" s="9"/>
      <c r="P930" s="10"/>
      <c r="Q930" s="10"/>
      <c r="R930" s="10"/>
      <c r="S930" s="7" t="s">
        <v>407</v>
      </c>
      <c r="T930" s="7" t="s">
        <v>117</v>
      </c>
      <c r="U930" s="7" t="s">
        <v>44</v>
      </c>
      <c r="V930" s="7" t="s">
        <v>45</v>
      </c>
      <c r="W930" s="7" t="s">
        <v>67</v>
      </c>
      <c r="X930" s="7" t="s">
        <v>68</v>
      </c>
      <c r="Y930" s="7" t="s">
        <v>2263</v>
      </c>
      <c r="Z930" s="7" t="s">
        <v>2264</v>
      </c>
      <c r="AA930" s="7"/>
      <c r="AB930" s="7"/>
      <c r="AC930" s="7" t="s">
        <v>107</v>
      </c>
      <c r="AD930" s="7"/>
      <c r="AE930" s="7" t="s">
        <v>2265</v>
      </c>
      <c r="AF930" s="7" t="s">
        <v>113</v>
      </c>
      <c r="AG930" s="7" t="s">
        <v>114</v>
      </c>
      <c r="AH930" s="7" t="s">
        <v>115</v>
      </c>
    </row>
    <row r="931" spans="1:34" ht="9.75" customHeight="1" x14ac:dyDescent="0.2">
      <c r="A931" s="7" t="s">
        <v>37</v>
      </c>
      <c r="B931" s="7" t="s">
        <v>38</v>
      </c>
      <c r="C931" s="7"/>
      <c r="D931" s="7" t="s">
        <v>2266</v>
      </c>
      <c r="E931" s="8">
        <v>5</v>
      </c>
      <c r="F931" s="7" t="s">
        <v>109</v>
      </c>
      <c r="G931" s="7"/>
      <c r="H931" s="9"/>
      <c r="I931" s="10">
        <v>4776</v>
      </c>
      <c r="J931" s="9"/>
      <c r="K931" s="9"/>
      <c r="L931" s="10">
        <v>560</v>
      </c>
      <c r="M931" s="9"/>
      <c r="N931" s="10">
        <v>560</v>
      </c>
      <c r="O931" s="9"/>
      <c r="P931" s="10"/>
      <c r="Q931" s="10"/>
      <c r="R931" s="10"/>
      <c r="S931" s="7" t="s">
        <v>407</v>
      </c>
      <c r="T931" s="7" t="s">
        <v>117</v>
      </c>
      <c r="U931" s="7" t="s">
        <v>44</v>
      </c>
      <c r="V931" s="7" t="s">
        <v>45</v>
      </c>
      <c r="W931" s="7" t="s">
        <v>67</v>
      </c>
      <c r="X931" s="7" t="s">
        <v>68</v>
      </c>
      <c r="Y931" s="7" t="s">
        <v>2267</v>
      </c>
      <c r="Z931" s="7" t="s">
        <v>2264</v>
      </c>
      <c r="AA931" s="7"/>
      <c r="AB931" s="7"/>
      <c r="AC931" s="7" t="s">
        <v>107</v>
      </c>
      <c r="AD931" s="7"/>
      <c r="AE931" s="7" t="s">
        <v>2268</v>
      </c>
      <c r="AF931" s="7" t="s">
        <v>113</v>
      </c>
      <c r="AG931" s="7" t="s">
        <v>114</v>
      </c>
      <c r="AH931" s="7" t="s">
        <v>115</v>
      </c>
    </row>
    <row r="932" spans="1:34" ht="9.75" customHeight="1" x14ac:dyDescent="0.2">
      <c r="A932" s="7" t="s">
        <v>37</v>
      </c>
      <c r="B932" s="7" t="s">
        <v>38</v>
      </c>
      <c r="C932" s="7"/>
      <c r="D932" s="7" t="s">
        <v>2269</v>
      </c>
      <c r="E932" s="8">
        <v>5</v>
      </c>
      <c r="F932" s="7" t="s">
        <v>109</v>
      </c>
      <c r="G932" s="7"/>
      <c r="H932" s="9"/>
      <c r="I932" s="10">
        <v>25077</v>
      </c>
      <c r="J932" s="9"/>
      <c r="K932" s="9"/>
      <c r="L932" s="10">
        <v>31433</v>
      </c>
      <c r="M932" s="9"/>
      <c r="N932" s="10">
        <v>31433</v>
      </c>
      <c r="O932" s="9"/>
      <c r="P932" s="10"/>
      <c r="Q932" s="10"/>
      <c r="R932" s="10"/>
      <c r="S932" s="7" t="s">
        <v>407</v>
      </c>
      <c r="T932" s="7" t="s">
        <v>117</v>
      </c>
      <c r="U932" s="7" t="s">
        <v>44</v>
      </c>
      <c r="V932" s="7" t="s">
        <v>45</v>
      </c>
      <c r="W932" s="7" t="s">
        <v>67</v>
      </c>
      <c r="X932" s="7" t="s">
        <v>68</v>
      </c>
      <c r="Y932" s="7" t="s">
        <v>2270</v>
      </c>
      <c r="Z932" s="7" t="s">
        <v>2264</v>
      </c>
      <c r="AA932" s="7"/>
      <c r="AB932" s="7"/>
      <c r="AC932" s="7" t="s">
        <v>107</v>
      </c>
      <c r="AD932" s="7"/>
      <c r="AE932" s="7" t="s">
        <v>2271</v>
      </c>
      <c r="AF932" s="7" t="s">
        <v>113</v>
      </c>
      <c r="AG932" s="7" t="s">
        <v>114</v>
      </c>
      <c r="AH932" s="7" t="s">
        <v>115</v>
      </c>
    </row>
    <row r="933" spans="1:34" ht="9.75" customHeight="1" x14ac:dyDescent="0.2">
      <c r="A933" s="7" t="s">
        <v>37</v>
      </c>
      <c r="B933" s="7" t="s">
        <v>38</v>
      </c>
      <c r="C933" s="7"/>
      <c r="D933" s="7" t="s">
        <v>2272</v>
      </c>
      <c r="E933" s="8">
        <v>5</v>
      </c>
      <c r="F933" s="7" t="s">
        <v>109</v>
      </c>
      <c r="G933" s="7"/>
      <c r="H933" s="9"/>
      <c r="I933" s="10">
        <v>9891</v>
      </c>
      <c r="J933" s="9"/>
      <c r="K933" s="9"/>
      <c r="L933" s="10">
        <v>13000</v>
      </c>
      <c r="M933" s="9"/>
      <c r="N933" s="10">
        <v>13000</v>
      </c>
      <c r="O933" s="9"/>
      <c r="P933" s="10"/>
      <c r="Q933" s="10"/>
      <c r="R933" s="10"/>
      <c r="S933" s="7" t="s">
        <v>407</v>
      </c>
      <c r="T933" s="7" t="s">
        <v>117</v>
      </c>
      <c r="U933" s="7" t="s">
        <v>44</v>
      </c>
      <c r="V933" s="7" t="s">
        <v>45</v>
      </c>
      <c r="W933" s="7" t="s">
        <v>67</v>
      </c>
      <c r="X933" s="7" t="s">
        <v>68</v>
      </c>
      <c r="Y933" s="7" t="s">
        <v>2273</v>
      </c>
      <c r="Z933" s="7" t="s">
        <v>2264</v>
      </c>
      <c r="AA933" s="7"/>
      <c r="AB933" s="7"/>
      <c r="AC933" s="7" t="s">
        <v>107</v>
      </c>
      <c r="AD933" s="7"/>
      <c r="AE933" s="7" t="s">
        <v>2274</v>
      </c>
      <c r="AF933" s="7" t="s">
        <v>113</v>
      </c>
      <c r="AG933" s="7" t="s">
        <v>114</v>
      </c>
      <c r="AH933" s="7" t="s">
        <v>115</v>
      </c>
    </row>
    <row r="934" spans="1:34" ht="9.75" customHeight="1" x14ac:dyDescent="0.2">
      <c r="A934" s="7" t="s">
        <v>37</v>
      </c>
      <c r="B934" s="7" t="s">
        <v>38</v>
      </c>
      <c r="C934" s="7"/>
      <c r="D934" s="7" t="s">
        <v>2275</v>
      </c>
      <c r="E934" s="8">
        <v>5</v>
      </c>
      <c r="F934" s="7" t="s">
        <v>109</v>
      </c>
      <c r="G934" s="7"/>
      <c r="H934" s="9"/>
      <c r="I934" s="10">
        <v>9061</v>
      </c>
      <c r="J934" s="9"/>
      <c r="K934" s="9"/>
      <c r="L934" s="10">
        <v>8488</v>
      </c>
      <c r="M934" s="9"/>
      <c r="N934" s="10">
        <v>8488</v>
      </c>
      <c r="O934" s="9"/>
      <c r="P934" s="10"/>
      <c r="Q934" s="10"/>
      <c r="R934" s="10"/>
      <c r="S934" s="7" t="s">
        <v>407</v>
      </c>
      <c r="T934" s="7" t="s">
        <v>117</v>
      </c>
      <c r="U934" s="7" t="s">
        <v>44</v>
      </c>
      <c r="V934" s="7" t="s">
        <v>45</v>
      </c>
      <c r="W934" s="7" t="s">
        <v>67</v>
      </c>
      <c r="X934" s="7" t="s">
        <v>68</v>
      </c>
      <c r="Y934" s="7" t="s">
        <v>2276</v>
      </c>
      <c r="Z934" s="7" t="s">
        <v>2264</v>
      </c>
      <c r="AA934" s="7"/>
      <c r="AB934" s="7"/>
      <c r="AC934" s="7" t="s">
        <v>107</v>
      </c>
      <c r="AD934" s="7"/>
      <c r="AE934" s="7" t="s">
        <v>2277</v>
      </c>
      <c r="AF934" s="7" t="s">
        <v>113</v>
      </c>
      <c r="AG934" s="7" t="s">
        <v>114</v>
      </c>
      <c r="AH934" s="7" t="s">
        <v>115</v>
      </c>
    </row>
    <row r="935" spans="1:34" ht="9.75" customHeight="1" x14ac:dyDescent="0.2">
      <c r="A935" s="7" t="s">
        <v>37</v>
      </c>
      <c r="B935" s="7" t="s">
        <v>38</v>
      </c>
      <c r="C935" s="7"/>
      <c r="D935" s="7" t="s">
        <v>2278</v>
      </c>
      <c r="E935" s="8">
        <v>5</v>
      </c>
      <c r="F935" s="7" t="s">
        <v>109</v>
      </c>
      <c r="G935" s="7"/>
      <c r="H935" s="9"/>
      <c r="I935" s="9"/>
      <c r="J935" s="9"/>
      <c r="K935" s="9"/>
      <c r="L935" s="10">
        <v>7660</v>
      </c>
      <c r="M935" s="9"/>
      <c r="N935" s="10">
        <v>7660</v>
      </c>
      <c r="O935" s="9"/>
      <c r="P935" s="10"/>
      <c r="Q935" s="10"/>
      <c r="R935" s="10"/>
      <c r="S935" s="7" t="s">
        <v>407</v>
      </c>
      <c r="T935" s="7" t="s">
        <v>117</v>
      </c>
      <c r="U935" s="7" t="s">
        <v>44</v>
      </c>
      <c r="V935" s="7" t="s">
        <v>45</v>
      </c>
      <c r="W935" s="7" t="s">
        <v>67</v>
      </c>
      <c r="X935" s="7" t="s">
        <v>68</v>
      </c>
      <c r="Y935" s="7" t="s">
        <v>2279</v>
      </c>
      <c r="Z935" s="7" t="s">
        <v>2264</v>
      </c>
      <c r="AA935" s="7"/>
      <c r="AB935" s="7"/>
      <c r="AC935" s="7" t="s">
        <v>107</v>
      </c>
      <c r="AD935" s="7"/>
      <c r="AE935" s="7" t="s">
        <v>2280</v>
      </c>
      <c r="AF935" s="7" t="s">
        <v>113</v>
      </c>
      <c r="AG935" s="7" t="s">
        <v>114</v>
      </c>
      <c r="AH935" s="7" t="s">
        <v>115</v>
      </c>
    </row>
    <row r="936" spans="1:34" ht="9.75" customHeight="1" x14ac:dyDescent="0.2">
      <c r="A936" s="7" t="s">
        <v>37</v>
      </c>
      <c r="B936" s="7" t="s">
        <v>38</v>
      </c>
      <c r="C936" s="7"/>
      <c r="D936" s="7" t="s">
        <v>2281</v>
      </c>
      <c r="E936" s="8">
        <v>5</v>
      </c>
      <c r="F936" s="7" t="s">
        <v>109</v>
      </c>
      <c r="G936" s="7"/>
      <c r="H936" s="9"/>
      <c r="I936" s="10">
        <v>14776</v>
      </c>
      <c r="J936" s="9"/>
      <c r="K936" s="9"/>
      <c r="L936" s="10">
        <v>13888</v>
      </c>
      <c r="M936" s="9"/>
      <c r="N936" s="10">
        <v>13888</v>
      </c>
      <c r="O936" s="9"/>
      <c r="P936" s="10"/>
      <c r="Q936" s="10"/>
      <c r="R936" s="10"/>
      <c r="S936" s="7" t="s">
        <v>407</v>
      </c>
      <c r="T936" s="7" t="s">
        <v>117</v>
      </c>
      <c r="U936" s="7" t="s">
        <v>44</v>
      </c>
      <c r="V936" s="7" t="s">
        <v>45</v>
      </c>
      <c r="W936" s="7" t="s">
        <v>67</v>
      </c>
      <c r="X936" s="7" t="s">
        <v>68</v>
      </c>
      <c r="Y936" s="7" t="s">
        <v>2282</v>
      </c>
      <c r="Z936" s="7" t="s">
        <v>2264</v>
      </c>
      <c r="AA936" s="7"/>
      <c r="AB936" s="7"/>
      <c r="AC936" s="7" t="s">
        <v>107</v>
      </c>
      <c r="AD936" s="7"/>
      <c r="AE936" s="7" t="s">
        <v>2283</v>
      </c>
      <c r="AF936" s="7" t="s">
        <v>113</v>
      </c>
      <c r="AG936" s="7" t="s">
        <v>114</v>
      </c>
      <c r="AH936" s="7" t="s">
        <v>115</v>
      </c>
    </row>
    <row r="937" spans="1:34" ht="9.75" customHeight="1" x14ac:dyDescent="0.2">
      <c r="A937" s="7" t="s">
        <v>37</v>
      </c>
      <c r="B937" s="7" t="s">
        <v>38</v>
      </c>
      <c r="C937" s="7"/>
      <c r="D937" s="7" t="s">
        <v>2284</v>
      </c>
      <c r="E937" s="8">
        <v>5</v>
      </c>
      <c r="F937" s="7" t="s">
        <v>109</v>
      </c>
      <c r="G937" s="7"/>
      <c r="H937" s="9"/>
      <c r="I937" s="10">
        <v>5990</v>
      </c>
      <c r="J937" s="9"/>
      <c r="K937" s="9"/>
      <c r="L937" s="10">
        <v>5668</v>
      </c>
      <c r="M937" s="9"/>
      <c r="N937" s="10">
        <v>5668</v>
      </c>
      <c r="O937" s="9"/>
      <c r="P937" s="10"/>
      <c r="Q937" s="10"/>
      <c r="R937" s="10"/>
      <c r="S937" s="7" t="s">
        <v>407</v>
      </c>
      <c r="T937" s="7" t="s">
        <v>117</v>
      </c>
      <c r="U937" s="7" t="s">
        <v>44</v>
      </c>
      <c r="V937" s="7" t="s">
        <v>45</v>
      </c>
      <c r="W937" s="7" t="s">
        <v>67</v>
      </c>
      <c r="X937" s="7" t="s">
        <v>68</v>
      </c>
      <c r="Y937" s="7" t="s">
        <v>2285</v>
      </c>
      <c r="Z937" s="7" t="s">
        <v>2264</v>
      </c>
      <c r="AA937" s="7"/>
      <c r="AB937" s="7"/>
      <c r="AC937" s="7" t="s">
        <v>107</v>
      </c>
      <c r="AD937" s="7"/>
      <c r="AE937" s="7" t="s">
        <v>2286</v>
      </c>
      <c r="AF937" s="7" t="s">
        <v>113</v>
      </c>
      <c r="AG937" s="7" t="s">
        <v>114</v>
      </c>
      <c r="AH937" s="7" t="s">
        <v>115</v>
      </c>
    </row>
    <row r="938" spans="1:34" ht="9.75" customHeight="1" x14ac:dyDescent="0.2">
      <c r="A938" s="7" t="s">
        <v>37</v>
      </c>
      <c r="B938" s="7" t="s">
        <v>38</v>
      </c>
      <c r="C938" s="7"/>
      <c r="D938" s="7" t="s">
        <v>2287</v>
      </c>
      <c r="E938" s="8">
        <v>5</v>
      </c>
      <c r="F938" s="7" t="s">
        <v>109</v>
      </c>
      <c r="G938" s="7"/>
      <c r="H938" s="9"/>
      <c r="I938" s="10">
        <v>2607</v>
      </c>
      <c r="J938" s="9"/>
      <c r="K938" s="9"/>
      <c r="L938" s="10">
        <v>1904</v>
      </c>
      <c r="M938" s="9"/>
      <c r="N938" s="10">
        <v>1904</v>
      </c>
      <c r="O938" s="9"/>
      <c r="P938" s="10"/>
      <c r="Q938" s="10"/>
      <c r="R938" s="10"/>
      <c r="S938" s="7" t="s">
        <v>407</v>
      </c>
      <c r="T938" s="7" t="s">
        <v>117</v>
      </c>
      <c r="U938" s="7" t="s">
        <v>44</v>
      </c>
      <c r="V938" s="7" t="s">
        <v>45</v>
      </c>
      <c r="W938" s="7" t="s">
        <v>67</v>
      </c>
      <c r="X938" s="7" t="s">
        <v>68</v>
      </c>
      <c r="Y938" s="7" t="s">
        <v>2288</v>
      </c>
      <c r="Z938" s="7" t="s">
        <v>2264</v>
      </c>
      <c r="AA938" s="7"/>
      <c r="AB938" s="7"/>
      <c r="AC938" s="7" t="s">
        <v>107</v>
      </c>
      <c r="AD938" s="7"/>
      <c r="AE938" s="7" t="s">
        <v>2289</v>
      </c>
      <c r="AF938" s="7" t="s">
        <v>113</v>
      </c>
      <c r="AG938" s="7" t="s">
        <v>114</v>
      </c>
      <c r="AH938" s="7" t="s">
        <v>115</v>
      </c>
    </row>
    <row r="939" spans="1:34" ht="9.75" customHeight="1" x14ac:dyDescent="0.2">
      <c r="A939" s="7" t="s">
        <v>37</v>
      </c>
      <c r="B939" s="7" t="s">
        <v>38</v>
      </c>
      <c r="C939" s="7"/>
      <c r="D939" s="7" t="s">
        <v>2290</v>
      </c>
      <c r="E939" s="8">
        <v>5</v>
      </c>
      <c r="F939" s="7" t="s">
        <v>109</v>
      </c>
      <c r="G939" s="7"/>
      <c r="H939" s="9"/>
      <c r="I939" s="10">
        <v>2351</v>
      </c>
      <c r="J939" s="9"/>
      <c r="K939" s="9"/>
      <c r="L939" s="10">
        <v>2485</v>
      </c>
      <c r="M939" s="9"/>
      <c r="N939" s="10">
        <v>2485</v>
      </c>
      <c r="O939" s="9"/>
      <c r="P939" s="10"/>
      <c r="Q939" s="10"/>
      <c r="R939" s="10"/>
      <c r="S939" s="7" t="s">
        <v>407</v>
      </c>
      <c r="T939" s="7" t="s">
        <v>117</v>
      </c>
      <c r="U939" s="7" t="s">
        <v>44</v>
      </c>
      <c r="V939" s="7" t="s">
        <v>45</v>
      </c>
      <c r="W939" s="7" t="s">
        <v>67</v>
      </c>
      <c r="X939" s="7" t="s">
        <v>68</v>
      </c>
      <c r="Y939" s="7" t="s">
        <v>2291</v>
      </c>
      <c r="Z939" s="7" t="s">
        <v>2264</v>
      </c>
      <c r="AA939" s="7"/>
      <c r="AB939" s="7"/>
      <c r="AC939" s="7" t="s">
        <v>107</v>
      </c>
      <c r="AD939" s="7"/>
      <c r="AE939" s="7" t="s">
        <v>2292</v>
      </c>
      <c r="AF939" s="7" t="s">
        <v>113</v>
      </c>
      <c r="AG939" s="7" t="s">
        <v>114</v>
      </c>
      <c r="AH939" s="7" t="s">
        <v>115</v>
      </c>
    </row>
    <row r="940" spans="1:34" ht="9.75" customHeight="1" x14ac:dyDescent="0.2">
      <c r="A940" s="7" t="s">
        <v>37</v>
      </c>
      <c r="B940" s="7" t="s">
        <v>38</v>
      </c>
      <c r="C940" s="7"/>
      <c r="D940" s="7" t="s">
        <v>2293</v>
      </c>
      <c r="E940" s="8">
        <v>5</v>
      </c>
      <c r="F940" s="7" t="s">
        <v>109</v>
      </c>
      <c r="G940" s="7"/>
      <c r="H940" s="9"/>
      <c r="I940" s="10">
        <v>1779</v>
      </c>
      <c r="J940" s="9"/>
      <c r="K940" s="9"/>
      <c r="L940" s="10">
        <v>2413</v>
      </c>
      <c r="M940" s="9"/>
      <c r="N940" s="10">
        <v>2413</v>
      </c>
      <c r="O940" s="9"/>
      <c r="P940" s="10"/>
      <c r="Q940" s="10"/>
      <c r="R940" s="10"/>
      <c r="S940" s="7" t="s">
        <v>407</v>
      </c>
      <c r="T940" s="7" t="s">
        <v>117</v>
      </c>
      <c r="U940" s="7" t="s">
        <v>44</v>
      </c>
      <c r="V940" s="7" t="s">
        <v>45</v>
      </c>
      <c r="W940" s="7" t="s">
        <v>67</v>
      </c>
      <c r="X940" s="7" t="s">
        <v>68</v>
      </c>
      <c r="Y940" s="7" t="s">
        <v>2294</v>
      </c>
      <c r="Z940" s="7" t="s">
        <v>2264</v>
      </c>
      <c r="AA940" s="7"/>
      <c r="AB940" s="7"/>
      <c r="AC940" s="7" t="s">
        <v>107</v>
      </c>
      <c r="AD940" s="7"/>
      <c r="AE940" s="7" t="s">
        <v>2295</v>
      </c>
      <c r="AF940" s="7" t="s">
        <v>113</v>
      </c>
      <c r="AG940" s="7" t="s">
        <v>114</v>
      </c>
      <c r="AH940" s="7" t="s">
        <v>115</v>
      </c>
    </row>
    <row r="941" spans="1:34" ht="9.75" customHeight="1" x14ac:dyDescent="0.2">
      <c r="A941" s="7" t="s">
        <v>37</v>
      </c>
      <c r="B941" s="7" t="s">
        <v>38</v>
      </c>
      <c r="C941" s="7"/>
      <c r="D941" s="7" t="s">
        <v>2296</v>
      </c>
      <c r="E941" s="8">
        <v>5</v>
      </c>
      <c r="F941" s="7" t="s">
        <v>109</v>
      </c>
      <c r="G941" s="7"/>
      <c r="H941" s="9"/>
      <c r="I941" s="10">
        <v>1246</v>
      </c>
      <c r="J941" s="9"/>
      <c r="K941" s="9"/>
      <c r="L941" s="10">
        <v>1385</v>
      </c>
      <c r="M941" s="9"/>
      <c r="N941" s="10">
        <v>1385</v>
      </c>
      <c r="O941" s="9"/>
      <c r="P941" s="10"/>
      <c r="Q941" s="10"/>
      <c r="R941" s="10"/>
      <c r="S941" s="7" t="s">
        <v>407</v>
      </c>
      <c r="T941" s="7" t="s">
        <v>117</v>
      </c>
      <c r="U941" s="7" t="s">
        <v>44</v>
      </c>
      <c r="V941" s="7" t="s">
        <v>45</v>
      </c>
      <c r="W941" s="7" t="s">
        <v>67</v>
      </c>
      <c r="X941" s="7" t="s">
        <v>68</v>
      </c>
      <c r="Y941" s="7" t="s">
        <v>2297</v>
      </c>
      <c r="Z941" s="7" t="s">
        <v>2264</v>
      </c>
      <c r="AA941" s="7"/>
      <c r="AB941" s="7"/>
      <c r="AC941" s="7" t="s">
        <v>107</v>
      </c>
      <c r="AD941" s="7"/>
      <c r="AE941" s="7" t="s">
        <v>2298</v>
      </c>
      <c r="AF941" s="7" t="s">
        <v>113</v>
      </c>
      <c r="AG941" s="7" t="s">
        <v>114</v>
      </c>
      <c r="AH941" s="7" t="s">
        <v>115</v>
      </c>
    </row>
    <row r="942" spans="1:34" ht="9.75" customHeight="1" x14ac:dyDescent="0.2">
      <c r="A942" s="7" t="s">
        <v>37</v>
      </c>
      <c r="B942" s="7" t="s">
        <v>38</v>
      </c>
      <c r="C942" s="7"/>
      <c r="D942" s="7" t="s">
        <v>2299</v>
      </c>
      <c r="E942" s="8">
        <v>5</v>
      </c>
      <c r="F942" s="7" t="s">
        <v>109</v>
      </c>
      <c r="G942" s="7"/>
      <c r="H942" s="9"/>
      <c r="I942" s="10">
        <v>1006</v>
      </c>
      <c r="J942" s="9"/>
      <c r="K942" s="9"/>
      <c r="L942" s="10">
        <v>2018</v>
      </c>
      <c r="M942" s="9"/>
      <c r="N942" s="10">
        <v>2018</v>
      </c>
      <c r="O942" s="9"/>
      <c r="P942" s="10"/>
      <c r="Q942" s="10"/>
      <c r="R942" s="10"/>
      <c r="S942" s="7" t="s">
        <v>407</v>
      </c>
      <c r="T942" s="7" t="s">
        <v>117</v>
      </c>
      <c r="U942" s="7" t="s">
        <v>44</v>
      </c>
      <c r="V942" s="7" t="s">
        <v>45</v>
      </c>
      <c r="W942" s="7" t="s">
        <v>67</v>
      </c>
      <c r="X942" s="7" t="s">
        <v>68</v>
      </c>
      <c r="Y942" s="7" t="s">
        <v>2300</v>
      </c>
      <c r="Z942" s="7" t="s">
        <v>2264</v>
      </c>
      <c r="AA942" s="7"/>
      <c r="AB942" s="7"/>
      <c r="AC942" s="7" t="s">
        <v>107</v>
      </c>
      <c r="AD942" s="7"/>
      <c r="AE942" s="7" t="s">
        <v>2301</v>
      </c>
      <c r="AF942" s="7" t="s">
        <v>113</v>
      </c>
      <c r="AG942" s="7" t="s">
        <v>114</v>
      </c>
      <c r="AH942" s="7" t="s">
        <v>115</v>
      </c>
    </row>
    <row r="943" spans="1:34" ht="9.75" customHeight="1" x14ac:dyDescent="0.2">
      <c r="A943" s="7" t="s">
        <v>37</v>
      </c>
      <c r="B943" s="7" t="s">
        <v>38</v>
      </c>
      <c r="C943" s="7"/>
      <c r="D943" s="7" t="s">
        <v>2302</v>
      </c>
      <c r="E943" s="8">
        <v>5</v>
      </c>
      <c r="F943" s="7" t="s">
        <v>109</v>
      </c>
      <c r="G943" s="7"/>
      <c r="H943" s="9"/>
      <c r="I943" s="10">
        <v>98276</v>
      </c>
      <c r="J943" s="9"/>
      <c r="K943" s="9"/>
      <c r="L943" s="10">
        <v>76392</v>
      </c>
      <c r="M943" s="9"/>
      <c r="N943" s="10">
        <v>76392</v>
      </c>
      <c r="O943" s="9"/>
      <c r="P943" s="10"/>
      <c r="Q943" s="10"/>
      <c r="R943" s="10"/>
      <c r="S943" s="7" t="s">
        <v>407</v>
      </c>
      <c r="T943" s="7" t="s">
        <v>117</v>
      </c>
      <c r="U943" s="7" t="s">
        <v>44</v>
      </c>
      <c r="V943" s="7" t="s">
        <v>45</v>
      </c>
      <c r="W943" s="7" t="s">
        <v>67</v>
      </c>
      <c r="X943" s="7" t="s">
        <v>68</v>
      </c>
      <c r="Y943" s="7" t="s">
        <v>2303</v>
      </c>
      <c r="Z943" s="7" t="s">
        <v>2264</v>
      </c>
      <c r="AA943" s="7"/>
      <c r="AB943" s="7"/>
      <c r="AC943" s="7" t="s">
        <v>107</v>
      </c>
      <c r="AD943" s="7"/>
      <c r="AE943" s="7" t="s">
        <v>2304</v>
      </c>
      <c r="AF943" s="7" t="s">
        <v>113</v>
      </c>
      <c r="AG943" s="7" t="s">
        <v>114</v>
      </c>
      <c r="AH943" s="7" t="s">
        <v>115</v>
      </c>
    </row>
    <row r="944" spans="1:34" ht="9.75" customHeight="1" x14ac:dyDescent="0.2">
      <c r="A944" s="7" t="s">
        <v>37</v>
      </c>
      <c r="B944" s="7" t="s">
        <v>38</v>
      </c>
      <c r="C944" s="7"/>
      <c r="D944" s="7" t="s">
        <v>2305</v>
      </c>
      <c r="E944" s="8">
        <v>5</v>
      </c>
      <c r="F944" s="7" t="s">
        <v>109</v>
      </c>
      <c r="G944" s="7"/>
      <c r="H944" s="9"/>
      <c r="I944" s="10">
        <v>27296</v>
      </c>
      <c r="J944" s="9"/>
      <c r="K944" s="9"/>
      <c r="L944" s="10">
        <v>38842</v>
      </c>
      <c r="M944" s="9"/>
      <c r="N944" s="10">
        <v>38842</v>
      </c>
      <c r="O944" s="9"/>
      <c r="P944" s="10"/>
      <c r="Q944" s="10"/>
      <c r="R944" s="10"/>
      <c r="S944" s="7" t="s">
        <v>407</v>
      </c>
      <c r="T944" s="7" t="s">
        <v>117</v>
      </c>
      <c r="U944" s="7" t="s">
        <v>44</v>
      </c>
      <c r="V944" s="7" t="s">
        <v>45</v>
      </c>
      <c r="W944" s="7" t="s">
        <v>67</v>
      </c>
      <c r="X944" s="7" t="s">
        <v>68</v>
      </c>
      <c r="Y944" s="7" t="s">
        <v>2306</v>
      </c>
      <c r="Z944" s="7" t="s">
        <v>2264</v>
      </c>
      <c r="AA944" s="7"/>
      <c r="AB944" s="7"/>
      <c r="AC944" s="7" t="s">
        <v>107</v>
      </c>
      <c r="AD944" s="7"/>
      <c r="AE944" s="7" t="s">
        <v>2307</v>
      </c>
      <c r="AF944" s="7" t="s">
        <v>113</v>
      </c>
      <c r="AG944" s="7" t="s">
        <v>114</v>
      </c>
      <c r="AH944" s="7" t="s">
        <v>115</v>
      </c>
    </row>
    <row r="945" spans="1:34" ht="9.75" customHeight="1" x14ac:dyDescent="0.2">
      <c r="A945" s="7" t="s">
        <v>37</v>
      </c>
      <c r="B945" s="7" t="s">
        <v>38</v>
      </c>
      <c r="C945" s="7"/>
      <c r="D945" s="7" t="s">
        <v>2308</v>
      </c>
      <c r="E945" s="8">
        <v>5</v>
      </c>
      <c r="F945" s="7" t="s">
        <v>109</v>
      </c>
      <c r="G945" s="7"/>
      <c r="H945" s="9"/>
      <c r="I945" s="9"/>
      <c r="J945" s="9"/>
      <c r="K945" s="9"/>
      <c r="L945" s="10">
        <v>11939</v>
      </c>
      <c r="M945" s="9"/>
      <c r="N945" s="10">
        <v>11939</v>
      </c>
      <c r="O945" s="9"/>
      <c r="P945" s="10"/>
      <c r="Q945" s="10"/>
      <c r="R945" s="10"/>
      <c r="S945" s="7" t="s">
        <v>407</v>
      </c>
      <c r="T945" s="7" t="s">
        <v>117</v>
      </c>
      <c r="U945" s="7" t="s">
        <v>44</v>
      </c>
      <c r="V945" s="7" t="s">
        <v>45</v>
      </c>
      <c r="W945" s="7" t="s">
        <v>67</v>
      </c>
      <c r="X945" s="7" t="s">
        <v>68</v>
      </c>
      <c r="Y945" s="7" t="s">
        <v>2309</v>
      </c>
      <c r="Z945" s="7" t="s">
        <v>2310</v>
      </c>
      <c r="AA945" s="7"/>
      <c r="AB945" s="7"/>
      <c r="AC945" s="7" t="s">
        <v>107</v>
      </c>
      <c r="AD945" s="7"/>
      <c r="AE945" s="7"/>
      <c r="AF945" s="7" t="s">
        <v>113</v>
      </c>
      <c r="AG945" s="7" t="s">
        <v>114</v>
      </c>
      <c r="AH945" s="7" t="s">
        <v>115</v>
      </c>
    </row>
    <row r="946" spans="1:34" ht="9.75" customHeight="1" x14ac:dyDescent="0.2">
      <c r="A946" s="7" t="s">
        <v>37</v>
      </c>
      <c r="B946" s="7" t="s">
        <v>38</v>
      </c>
      <c r="C946" s="7"/>
      <c r="D946" s="7" t="s">
        <v>2311</v>
      </c>
      <c r="E946" s="8">
        <v>5</v>
      </c>
      <c r="F946" s="7" t="s">
        <v>109</v>
      </c>
      <c r="G946" s="7"/>
      <c r="H946" s="9"/>
      <c r="I946" s="9"/>
      <c r="J946" s="9"/>
      <c r="K946" s="9"/>
      <c r="L946" s="10">
        <v>14056</v>
      </c>
      <c r="M946" s="9"/>
      <c r="N946" s="10">
        <v>14056</v>
      </c>
      <c r="O946" s="9"/>
      <c r="P946" s="10"/>
      <c r="Q946" s="10"/>
      <c r="R946" s="10"/>
      <c r="S946" s="7" t="s">
        <v>407</v>
      </c>
      <c r="T946" s="7" t="s">
        <v>117</v>
      </c>
      <c r="U946" s="7" t="s">
        <v>44</v>
      </c>
      <c r="V946" s="7" t="s">
        <v>45</v>
      </c>
      <c r="W946" s="7" t="s">
        <v>67</v>
      </c>
      <c r="X946" s="7" t="s">
        <v>68</v>
      </c>
      <c r="Y946" s="7" t="s">
        <v>2312</v>
      </c>
      <c r="Z946" s="7" t="s">
        <v>2310</v>
      </c>
      <c r="AA946" s="7"/>
      <c r="AB946" s="7"/>
      <c r="AC946" s="7" t="s">
        <v>107</v>
      </c>
      <c r="AD946" s="7"/>
      <c r="AE946" s="7"/>
      <c r="AF946" s="7" t="s">
        <v>113</v>
      </c>
      <c r="AG946" s="7" t="s">
        <v>114</v>
      </c>
      <c r="AH946" s="7" t="s">
        <v>115</v>
      </c>
    </row>
    <row r="947" spans="1:34" ht="9.75" customHeight="1" x14ac:dyDescent="0.2">
      <c r="A947" s="7" t="s">
        <v>37</v>
      </c>
      <c r="B947" s="7" t="s">
        <v>38</v>
      </c>
      <c r="C947" s="7"/>
      <c r="D947" s="7" t="s">
        <v>2313</v>
      </c>
      <c r="E947" s="8">
        <v>5</v>
      </c>
      <c r="F947" s="7" t="s">
        <v>109</v>
      </c>
      <c r="G947" s="7"/>
      <c r="H947" s="9"/>
      <c r="I947" s="9"/>
      <c r="J947" s="9"/>
      <c r="K947" s="9"/>
      <c r="L947" s="10">
        <v>12998</v>
      </c>
      <c r="M947" s="9"/>
      <c r="N947" s="10">
        <v>12998</v>
      </c>
      <c r="O947" s="9"/>
      <c r="P947" s="10"/>
      <c r="Q947" s="10"/>
      <c r="R947" s="10"/>
      <c r="S947" s="7" t="s">
        <v>407</v>
      </c>
      <c r="T947" s="7" t="s">
        <v>117</v>
      </c>
      <c r="U947" s="7" t="s">
        <v>44</v>
      </c>
      <c r="V947" s="7" t="s">
        <v>45</v>
      </c>
      <c r="W947" s="7" t="s">
        <v>67</v>
      </c>
      <c r="X947" s="7" t="s">
        <v>68</v>
      </c>
      <c r="Y947" s="7" t="s">
        <v>2314</v>
      </c>
      <c r="Z947" s="7" t="s">
        <v>2310</v>
      </c>
      <c r="AA947" s="7"/>
      <c r="AB947" s="7"/>
      <c r="AC947" s="7" t="s">
        <v>107</v>
      </c>
      <c r="AD947" s="7"/>
      <c r="AE947" s="7"/>
      <c r="AF947" s="7" t="s">
        <v>113</v>
      </c>
      <c r="AG947" s="7" t="s">
        <v>114</v>
      </c>
      <c r="AH947" s="7" t="s">
        <v>115</v>
      </c>
    </row>
    <row r="948" spans="1:34" ht="9.75" customHeight="1" x14ac:dyDescent="0.2">
      <c r="A948" s="7" t="s">
        <v>37</v>
      </c>
      <c r="B948" s="7" t="s">
        <v>38</v>
      </c>
      <c r="C948" s="7"/>
      <c r="D948" s="7" t="s">
        <v>2315</v>
      </c>
      <c r="E948" s="8">
        <v>5</v>
      </c>
      <c r="F948" s="7" t="s">
        <v>109</v>
      </c>
      <c r="G948" s="7"/>
      <c r="H948" s="9"/>
      <c r="I948" s="10">
        <v>56957</v>
      </c>
      <c r="J948" s="9"/>
      <c r="K948" s="9"/>
      <c r="L948" s="10">
        <v>48582</v>
      </c>
      <c r="M948" s="9"/>
      <c r="N948" s="10">
        <v>48582</v>
      </c>
      <c r="O948" s="9"/>
      <c r="P948" s="10"/>
      <c r="Q948" s="10"/>
      <c r="R948" s="10"/>
      <c r="S948" s="7" t="s">
        <v>407</v>
      </c>
      <c r="T948" s="7" t="s">
        <v>117</v>
      </c>
      <c r="U948" s="7" t="s">
        <v>44</v>
      </c>
      <c r="V948" s="7" t="s">
        <v>45</v>
      </c>
      <c r="W948" s="7" t="s">
        <v>67</v>
      </c>
      <c r="X948" s="7" t="s">
        <v>68</v>
      </c>
      <c r="Y948" s="7" t="s">
        <v>2316</v>
      </c>
      <c r="Z948" s="7" t="s">
        <v>2317</v>
      </c>
      <c r="AA948" s="7"/>
      <c r="AB948" s="7"/>
      <c r="AC948" s="7" t="s">
        <v>107</v>
      </c>
      <c r="AD948" s="7"/>
      <c r="AE948" s="7" t="s">
        <v>2318</v>
      </c>
      <c r="AF948" s="7" t="s">
        <v>113</v>
      </c>
      <c r="AG948" s="7" t="s">
        <v>114</v>
      </c>
      <c r="AH948" s="7" t="s">
        <v>115</v>
      </c>
    </row>
    <row r="949" spans="1:34" ht="9.75" customHeight="1" x14ac:dyDescent="0.2">
      <c r="A949" s="7" t="s">
        <v>37</v>
      </c>
      <c r="B949" s="7" t="s">
        <v>38</v>
      </c>
      <c r="C949" s="7"/>
      <c r="D949" s="7" t="s">
        <v>2319</v>
      </c>
      <c r="E949" s="8">
        <v>5</v>
      </c>
      <c r="F949" s="7" t="s">
        <v>109</v>
      </c>
      <c r="G949" s="7"/>
      <c r="H949" s="9"/>
      <c r="I949" s="10">
        <v>57670</v>
      </c>
      <c r="J949" s="9"/>
      <c r="K949" s="9"/>
      <c r="L949" s="10">
        <v>90971</v>
      </c>
      <c r="M949" s="9"/>
      <c r="N949" s="10">
        <v>90971</v>
      </c>
      <c r="O949" s="9"/>
      <c r="P949" s="10"/>
      <c r="Q949" s="10"/>
      <c r="R949" s="10"/>
      <c r="S949" s="7" t="s">
        <v>407</v>
      </c>
      <c r="T949" s="7" t="s">
        <v>117</v>
      </c>
      <c r="U949" s="7" t="s">
        <v>44</v>
      </c>
      <c r="V949" s="7" t="s">
        <v>45</v>
      </c>
      <c r="W949" s="7" t="s">
        <v>67</v>
      </c>
      <c r="X949" s="7" t="s">
        <v>68</v>
      </c>
      <c r="Y949" s="7" t="s">
        <v>2320</v>
      </c>
      <c r="Z949" s="7" t="s">
        <v>2317</v>
      </c>
      <c r="AA949" s="7"/>
      <c r="AB949" s="7"/>
      <c r="AC949" s="7" t="s">
        <v>107</v>
      </c>
      <c r="AD949" s="7"/>
      <c r="AE949" s="7" t="s">
        <v>2321</v>
      </c>
      <c r="AF949" s="7" t="s">
        <v>113</v>
      </c>
      <c r="AG949" s="7" t="s">
        <v>114</v>
      </c>
      <c r="AH949" s="7" t="s">
        <v>115</v>
      </c>
    </row>
    <row r="950" spans="1:34" ht="9.75" customHeight="1" x14ac:dyDescent="0.2">
      <c r="A950" s="7" t="s">
        <v>37</v>
      </c>
      <c r="B950" s="7" t="s">
        <v>38</v>
      </c>
      <c r="C950" s="7"/>
      <c r="D950" s="7" t="s">
        <v>2322</v>
      </c>
      <c r="E950" s="8">
        <v>5</v>
      </c>
      <c r="F950" s="7" t="s">
        <v>109</v>
      </c>
      <c r="G950" s="7"/>
      <c r="H950" s="9"/>
      <c r="I950" s="10">
        <v>27651</v>
      </c>
      <c r="J950" s="9"/>
      <c r="K950" s="9"/>
      <c r="L950" s="10">
        <v>35124</v>
      </c>
      <c r="M950" s="9"/>
      <c r="N950" s="10">
        <v>35124</v>
      </c>
      <c r="O950" s="9"/>
      <c r="P950" s="10"/>
      <c r="Q950" s="10"/>
      <c r="R950" s="10"/>
      <c r="S950" s="7" t="s">
        <v>407</v>
      </c>
      <c r="T950" s="7" t="s">
        <v>117</v>
      </c>
      <c r="U950" s="7" t="s">
        <v>44</v>
      </c>
      <c r="V950" s="7" t="s">
        <v>45</v>
      </c>
      <c r="W950" s="7" t="s">
        <v>67</v>
      </c>
      <c r="X950" s="7" t="s">
        <v>68</v>
      </c>
      <c r="Y950" s="7" t="s">
        <v>2323</v>
      </c>
      <c r="Z950" s="7" t="s">
        <v>2317</v>
      </c>
      <c r="AA950" s="7"/>
      <c r="AB950" s="7"/>
      <c r="AC950" s="7" t="s">
        <v>107</v>
      </c>
      <c r="AD950" s="7"/>
      <c r="AE950" s="7" t="s">
        <v>2324</v>
      </c>
      <c r="AF950" s="7" t="s">
        <v>113</v>
      </c>
      <c r="AG950" s="7" t="s">
        <v>114</v>
      </c>
      <c r="AH950" s="7" t="s">
        <v>115</v>
      </c>
    </row>
    <row r="951" spans="1:34" ht="9.75" customHeight="1" x14ac:dyDescent="0.2">
      <c r="A951" s="7" t="s">
        <v>37</v>
      </c>
      <c r="B951" s="7" t="s">
        <v>38</v>
      </c>
      <c r="C951" s="7"/>
      <c r="D951" s="7" t="s">
        <v>2325</v>
      </c>
      <c r="E951" s="8">
        <v>5</v>
      </c>
      <c r="F951" s="7" t="s">
        <v>109</v>
      </c>
      <c r="G951" s="7"/>
      <c r="H951" s="9"/>
      <c r="I951" s="10">
        <v>25950</v>
      </c>
      <c r="J951" s="9"/>
      <c r="K951" s="9"/>
      <c r="L951" s="10">
        <v>36655</v>
      </c>
      <c r="M951" s="9"/>
      <c r="N951" s="10">
        <v>36655</v>
      </c>
      <c r="O951" s="9"/>
      <c r="P951" s="10"/>
      <c r="Q951" s="10"/>
      <c r="R951" s="10"/>
      <c r="S951" s="7" t="s">
        <v>407</v>
      </c>
      <c r="T951" s="7" t="s">
        <v>117</v>
      </c>
      <c r="U951" s="7" t="s">
        <v>44</v>
      </c>
      <c r="V951" s="7" t="s">
        <v>45</v>
      </c>
      <c r="W951" s="7" t="s">
        <v>67</v>
      </c>
      <c r="X951" s="7" t="s">
        <v>68</v>
      </c>
      <c r="Y951" s="7" t="s">
        <v>2326</v>
      </c>
      <c r="Z951" s="7" t="s">
        <v>2317</v>
      </c>
      <c r="AA951" s="7"/>
      <c r="AB951" s="7"/>
      <c r="AC951" s="7" t="s">
        <v>107</v>
      </c>
      <c r="AD951" s="7"/>
      <c r="AE951" s="7" t="s">
        <v>2327</v>
      </c>
      <c r="AF951" s="7" t="s">
        <v>113</v>
      </c>
      <c r="AG951" s="7" t="s">
        <v>114</v>
      </c>
      <c r="AH951" s="7" t="s">
        <v>115</v>
      </c>
    </row>
    <row r="952" spans="1:34" ht="9.75" customHeight="1" x14ac:dyDescent="0.2">
      <c r="A952" s="7" t="s">
        <v>37</v>
      </c>
      <c r="B952" s="7" t="s">
        <v>38</v>
      </c>
      <c r="C952" s="7"/>
      <c r="D952" s="7" t="s">
        <v>2328</v>
      </c>
      <c r="E952" s="8">
        <v>5</v>
      </c>
      <c r="F952" s="7" t="s">
        <v>109</v>
      </c>
      <c r="G952" s="7"/>
      <c r="H952" s="9"/>
      <c r="I952" s="9"/>
      <c r="J952" s="9"/>
      <c r="K952" s="9"/>
      <c r="L952" s="10">
        <v>17379</v>
      </c>
      <c r="M952" s="9"/>
      <c r="N952" s="10">
        <v>17379</v>
      </c>
      <c r="O952" s="9"/>
      <c r="P952" s="10"/>
      <c r="Q952" s="10"/>
      <c r="R952" s="10"/>
      <c r="S952" s="7" t="s">
        <v>407</v>
      </c>
      <c r="T952" s="7" t="s">
        <v>117</v>
      </c>
      <c r="U952" s="7" t="s">
        <v>44</v>
      </c>
      <c r="V952" s="7" t="s">
        <v>45</v>
      </c>
      <c r="W952" s="7" t="s">
        <v>67</v>
      </c>
      <c r="X952" s="7" t="s">
        <v>68</v>
      </c>
      <c r="Y952" s="7" t="s">
        <v>2329</v>
      </c>
      <c r="Z952" s="7" t="s">
        <v>2317</v>
      </c>
      <c r="AA952" s="7"/>
      <c r="AB952" s="7"/>
      <c r="AC952" s="7" t="s">
        <v>107</v>
      </c>
      <c r="AD952" s="7"/>
      <c r="AE952" s="7" t="s">
        <v>2330</v>
      </c>
      <c r="AF952" s="7" t="s">
        <v>113</v>
      </c>
      <c r="AG952" s="7" t="s">
        <v>114</v>
      </c>
      <c r="AH952" s="7" t="s">
        <v>115</v>
      </c>
    </row>
    <row r="953" spans="1:34" ht="9.75" customHeight="1" x14ac:dyDescent="0.2">
      <c r="A953" s="7" t="s">
        <v>37</v>
      </c>
      <c r="B953" s="7" t="s">
        <v>38</v>
      </c>
      <c r="C953" s="7"/>
      <c r="D953" s="7" t="s">
        <v>2331</v>
      </c>
      <c r="E953" s="8">
        <v>5</v>
      </c>
      <c r="F953" s="7" t="s">
        <v>109</v>
      </c>
      <c r="G953" s="7"/>
      <c r="H953" s="9"/>
      <c r="I953" s="10">
        <v>9998</v>
      </c>
      <c r="J953" s="9"/>
      <c r="K953" s="9"/>
      <c r="L953" s="10">
        <v>6185</v>
      </c>
      <c r="M953" s="9"/>
      <c r="N953" s="10">
        <v>6185</v>
      </c>
      <c r="O953" s="9"/>
      <c r="P953" s="10"/>
      <c r="Q953" s="10"/>
      <c r="R953" s="10"/>
      <c r="S953" s="7" t="s">
        <v>407</v>
      </c>
      <c r="T953" s="7" t="s">
        <v>117</v>
      </c>
      <c r="U953" s="7" t="s">
        <v>44</v>
      </c>
      <c r="V953" s="7" t="s">
        <v>45</v>
      </c>
      <c r="W953" s="7" t="s">
        <v>67</v>
      </c>
      <c r="X953" s="7" t="s">
        <v>68</v>
      </c>
      <c r="Y953" s="7" t="s">
        <v>2332</v>
      </c>
      <c r="Z953" s="7" t="s">
        <v>2317</v>
      </c>
      <c r="AA953" s="7"/>
      <c r="AB953" s="7"/>
      <c r="AC953" s="7" t="s">
        <v>107</v>
      </c>
      <c r="AD953" s="7"/>
      <c r="AE953" s="7" t="s">
        <v>2333</v>
      </c>
      <c r="AF953" s="7" t="s">
        <v>113</v>
      </c>
      <c r="AG953" s="7" t="s">
        <v>114</v>
      </c>
      <c r="AH953" s="7" t="s">
        <v>115</v>
      </c>
    </row>
    <row r="954" spans="1:34" ht="9.75" customHeight="1" x14ac:dyDescent="0.2">
      <c r="A954" s="7" t="s">
        <v>37</v>
      </c>
      <c r="B954" s="7" t="s">
        <v>38</v>
      </c>
      <c r="C954" s="7"/>
      <c r="D954" s="7" t="s">
        <v>2334</v>
      </c>
      <c r="E954" s="8">
        <v>5</v>
      </c>
      <c r="F954" s="7" t="s">
        <v>109</v>
      </c>
      <c r="G954" s="7"/>
      <c r="H954" s="9"/>
      <c r="I954" s="9"/>
      <c r="J954" s="9"/>
      <c r="K954" s="9"/>
      <c r="L954" s="10">
        <v>133892</v>
      </c>
      <c r="M954" s="9"/>
      <c r="N954" s="10">
        <v>133892</v>
      </c>
      <c r="O954" s="9"/>
      <c r="P954" s="10"/>
      <c r="Q954" s="10"/>
      <c r="R954" s="10"/>
      <c r="S954" s="7" t="s">
        <v>407</v>
      </c>
      <c r="T954" s="7" t="s">
        <v>117</v>
      </c>
      <c r="U954" s="7" t="s">
        <v>44</v>
      </c>
      <c r="V954" s="7" t="s">
        <v>45</v>
      </c>
      <c r="W954" s="7" t="s">
        <v>67</v>
      </c>
      <c r="X954" s="7" t="s">
        <v>68</v>
      </c>
      <c r="Y954" s="7" t="s">
        <v>2335</v>
      </c>
      <c r="Z954" s="7" t="s">
        <v>2317</v>
      </c>
      <c r="AA954" s="7"/>
      <c r="AB954" s="7"/>
      <c r="AC954" s="7" t="s">
        <v>107</v>
      </c>
      <c r="AD954" s="7"/>
      <c r="AE954" s="7" t="s">
        <v>2336</v>
      </c>
      <c r="AF954" s="7" t="s">
        <v>113</v>
      </c>
      <c r="AG954" s="7" t="s">
        <v>114</v>
      </c>
      <c r="AH954" s="7" t="s">
        <v>115</v>
      </c>
    </row>
    <row r="955" spans="1:34" ht="9.75" customHeight="1" x14ac:dyDescent="0.2">
      <c r="A955" s="7" t="s">
        <v>37</v>
      </c>
      <c r="B955" s="7" t="s">
        <v>38</v>
      </c>
      <c r="C955" s="7"/>
      <c r="D955" s="7" t="s">
        <v>2337</v>
      </c>
      <c r="E955" s="8">
        <v>5</v>
      </c>
      <c r="F955" s="7" t="s">
        <v>109</v>
      </c>
      <c r="G955" s="7"/>
      <c r="H955" s="9"/>
      <c r="I955" s="10">
        <v>1404</v>
      </c>
      <c r="J955" s="9"/>
      <c r="K955" s="9"/>
      <c r="L955" s="10">
        <v>18824</v>
      </c>
      <c r="M955" s="9"/>
      <c r="N955" s="10">
        <v>18824</v>
      </c>
      <c r="O955" s="9"/>
      <c r="P955" s="10"/>
      <c r="Q955" s="10"/>
      <c r="R955" s="10"/>
      <c r="S955" s="7" t="s">
        <v>407</v>
      </c>
      <c r="T955" s="7" t="s">
        <v>117</v>
      </c>
      <c r="U955" s="7" t="s">
        <v>44</v>
      </c>
      <c r="V955" s="7" t="s">
        <v>45</v>
      </c>
      <c r="W955" s="7" t="s">
        <v>67</v>
      </c>
      <c r="X955" s="7" t="s">
        <v>68</v>
      </c>
      <c r="Y955" s="7" t="s">
        <v>2338</v>
      </c>
      <c r="Z955" s="7" t="s">
        <v>2317</v>
      </c>
      <c r="AA955" s="7"/>
      <c r="AB955" s="7"/>
      <c r="AC955" s="7" t="s">
        <v>107</v>
      </c>
      <c r="AD955" s="7"/>
      <c r="AE955" s="7" t="s">
        <v>2339</v>
      </c>
      <c r="AF955" s="7" t="s">
        <v>113</v>
      </c>
      <c r="AG955" s="7" t="s">
        <v>114</v>
      </c>
      <c r="AH955" s="7" t="s">
        <v>115</v>
      </c>
    </row>
    <row r="956" spans="1:34" ht="9.75" customHeight="1" x14ac:dyDescent="0.2">
      <c r="A956" s="7" t="s">
        <v>37</v>
      </c>
      <c r="B956" s="7" t="s">
        <v>38</v>
      </c>
      <c r="C956" s="7"/>
      <c r="D956" s="7" t="s">
        <v>2340</v>
      </c>
      <c r="E956" s="8">
        <v>5</v>
      </c>
      <c r="F956" s="7" t="s">
        <v>109</v>
      </c>
      <c r="G956" s="7"/>
      <c r="H956" s="9"/>
      <c r="I956" s="10">
        <v>31134</v>
      </c>
      <c r="J956" s="9"/>
      <c r="K956" s="9"/>
      <c r="L956" s="10">
        <v>37975</v>
      </c>
      <c r="M956" s="9"/>
      <c r="N956" s="10">
        <v>37975</v>
      </c>
      <c r="O956" s="9"/>
      <c r="P956" s="10"/>
      <c r="Q956" s="10"/>
      <c r="R956" s="10"/>
      <c r="S956" s="7" t="s">
        <v>407</v>
      </c>
      <c r="T956" s="7" t="s">
        <v>117</v>
      </c>
      <c r="U956" s="7" t="s">
        <v>44</v>
      </c>
      <c r="V956" s="7" t="s">
        <v>45</v>
      </c>
      <c r="W956" s="7" t="s">
        <v>67</v>
      </c>
      <c r="X956" s="7" t="s">
        <v>68</v>
      </c>
      <c r="Y956" s="7" t="s">
        <v>2341</v>
      </c>
      <c r="Z956" s="7" t="s">
        <v>2317</v>
      </c>
      <c r="AA956" s="7"/>
      <c r="AB956" s="7"/>
      <c r="AC956" s="7" t="s">
        <v>107</v>
      </c>
      <c r="AD956" s="7"/>
      <c r="AE956" s="7" t="s">
        <v>2342</v>
      </c>
      <c r="AF956" s="7" t="s">
        <v>113</v>
      </c>
      <c r="AG956" s="7" t="s">
        <v>114</v>
      </c>
      <c r="AH956" s="7" t="s">
        <v>115</v>
      </c>
    </row>
    <row r="957" spans="1:34" ht="9.75" customHeight="1" x14ac:dyDescent="0.2">
      <c r="A957" s="7" t="s">
        <v>37</v>
      </c>
      <c r="B957" s="7" t="s">
        <v>38</v>
      </c>
      <c r="C957" s="7"/>
      <c r="D957" s="7" t="s">
        <v>2343</v>
      </c>
      <c r="E957" s="8">
        <v>5</v>
      </c>
      <c r="F957" s="7" t="s">
        <v>109</v>
      </c>
      <c r="G957" s="7"/>
      <c r="H957" s="9"/>
      <c r="I957" s="10">
        <v>4176</v>
      </c>
      <c r="J957" s="9"/>
      <c r="K957" s="9"/>
      <c r="L957" s="10">
        <v>6643</v>
      </c>
      <c r="M957" s="9"/>
      <c r="N957" s="10">
        <v>6643</v>
      </c>
      <c r="O957" s="9"/>
      <c r="P957" s="10"/>
      <c r="Q957" s="10"/>
      <c r="R957" s="10"/>
      <c r="S957" s="7" t="s">
        <v>407</v>
      </c>
      <c r="T957" s="7" t="s">
        <v>117</v>
      </c>
      <c r="U957" s="7" t="s">
        <v>44</v>
      </c>
      <c r="V957" s="7" t="s">
        <v>45</v>
      </c>
      <c r="W957" s="7" t="s">
        <v>67</v>
      </c>
      <c r="X957" s="7" t="s">
        <v>68</v>
      </c>
      <c r="Y957" s="7" t="s">
        <v>2344</v>
      </c>
      <c r="Z957" s="7" t="s">
        <v>2317</v>
      </c>
      <c r="AA957" s="7"/>
      <c r="AB957" s="7"/>
      <c r="AC957" s="7" t="s">
        <v>107</v>
      </c>
      <c r="AD957" s="7"/>
      <c r="AE957" s="7" t="s">
        <v>2345</v>
      </c>
      <c r="AF957" s="7" t="s">
        <v>113</v>
      </c>
      <c r="AG957" s="7" t="s">
        <v>114</v>
      </c>
      <c r="AH957" s="7" t="s">
        <v>115</v>
      </c>
    </row>
    <row r="958" spans="1:34" ht="9.75" customHeight="1" x14ac:dyDescent="0.2">
      <c r="A958" s="7" t="s">
        <v>37</v>
      </c>
      <c r="B958" s="7" t="s">
        <v>38</v>
      </c>
      <c r="C958" s="7"/>
      <c r="D958" s="7" t="s">
        <v>2346</v>
      </c>
      <c r="E958" s="8">
        <v>5</v>
      </c>
      <c r="F958" s="7" t="s">
        <v>109</v>
      </c>
      <c r="G958" s="7"/>
      <c r="H958" s="9"/>
      <c r="I958" s="10">
        <v>3329</v>
      </c>
      <c r="J958" s="9"/>
      <c r="K958" s="9"/>
      <c r="L958" s="10">
        <v>3619</v>
      </c>
      <c r="M958" s="9"/>
      <c r="N958" s="10">
        <v>3619</v>
      </c>
      <c r="O958" s="9"/>
      <c r="P958" s="10"/>
      <c r="Q958" s="10"/>
      <c r="R958" s="10"/>
      <c r="S958" s="7" t="s">
        <v>407</v>
      </c>
      <c r="T958" s="7" t="s">
        <v>117</v>
      </c>
      <c r="U958" s="7" t="s">
        <v>44</v>
      </c>
      <c r="V958" s="7" t="s">
        <v>45</v>
      </c>
      <c r="W958" s="7" t="s">
        <v>67</v>
      </c>
      <c r="X958" s="7" t="s">
        <v>68</v>
      </c>
      <c r="Y958" s="7" t="s">
        <v>2347</v>
      </c>
      <c r="Z958" s="7" t="s">
        <v>2317</v>
      </c>
      <c r="AA958" s="7"/>
      <c r="AB958" s="7"/>
      <c r="AC958" s="7" t="s">
        <v>107</v>
      </c>
      <c r="AD958" s="7"/>
      <c r="AE958" s="7" t="s">
        <v>2348</v>
      </c>
      <c r="AF958" s="7" t="s">
        <v>113</v>
      </c>
      <c r="AG958" s="7" t="s">
        <v>114</v>
      </c>
      <c r="AH958" s="7" t="s">
        <v>115</v>
      </c>
    </row>
    <row r="959" spans="1:34" ht="9.75" customHeight="1" x14ac:dyDescent="0.2">
      <c r="A959" s="7" t="s">
        <v>37</v>
      </c>
      <c r="B959" s="7" t="s">
        <v>38</v>
      </c>
      <c r="C959" s="7"/>
      <c r="D959" s="7" t="s">
        <v>2349</v>
      </c>
      <c r="E959" s="8">
        <v>5</v>
      </c>
      <c r="F959" s="7" t="s">
        <v>109</v>
      </c>
      <c r="G959" s="7"/>
      <c r="H959" s="9"/>
      <c r="I959" s="10">
        <v>2679</v>
      </c>
      <c r="J959" s="9"/>
      <c r="K959" s="9"/>
      <c r="L959" s="10">
        <v>3847</v>
      </c>
      <c r="M959" s="9"/>
      <c r="N959" s="10">
        <v>3847</v>
      </c>
      <c r="O959" s="9"/>
      <c r="P959" s="10"/>
      <c r="Q959" s="10"/>
      <c r="R959" s="10"/>
      <c r="S959" s="7" t="s">
        <v>407</v>
      </c>
      <c r="T959" s="7" t="s">
        <v>117</v>
      </c>
      <c r="U959" s="7" t="s">
        <v>44</v>
      </c>
      <c r="V959" s="7" t="s">
        <v>45</v>
      </c>
      <c r="W959" s="7" t="s">
        <v>67</v>
      </c>
      <c r="X959" s="7" t="s">
        <v>68</v>
      </c>
      <c r="Y959" s="7" t="s">
        <v>2350</v>
      </c>
      <c r="Z959" s="7" t="s">
        <v>2317</v>
      </c>
      <c r="AA959" s="7"/>
      <c r="AB959" s="7"/>
      <c r="AC959" s="7" t="s">
        <v>107</v>
      </c>
      <c r="AD959" s="7"/>
      <c r="AE959" s="7" t="s">
        <v>2351</v>
      </c>
      <c r="AF959" s="7" t="s">
        <v>113</v>
      </c>
      <c r="AG959" s="7" t="s">
        <v>114</v>
      </c>
      <c r="AH959" s="7" t="s">
        <v>115</v>
      </c>
    </row>
    <row r="960" spans="1:34" ht="9.75" customHeight="1" x14ac:dyDescent="0.2">
      <c r="A960" s="7" t="s">
        <v>37</v>
      </c>
      <c r="B960" s="7" t="s">
        <v>38</v>
      </c>
      <c r="C960" s="7"/>
      <c r="D960" s="7" t="s">
        <v>2352</v>
      </c>
      <c r="E960" s="8">
        <v>5</v>
      </c>
      <c r="F960" s="7" t="s">
        <v>109</v>
      </c>
      <c r="G960" s="7"/>
      <c r="H960" s="9"/>
      <c r="I960" s="9"/>
      <c r="J960" s="9"/>
      <c r="K960" s="9"/>
      <c r="L960" s="10">
        <v>4486</v>
      </c>
      <c r="M960" s="9"/>
      <c r="N960" s="10">
        <v>4486</v>
      </c>
      <c r="O960" s="9"/>
      <c r="P960" s="10"/>
      <c r="Q960" s="10"/>
      <c r="R960" s="10"/>
      <c r="S960" s="7" t="s">
        <v>407</v>
      </c>
      <c r="T960" s="7" t="s">
        <v>117</v>
      </c>
      <c r="U960" s="7" t="s">
        <v>44</v>
      </c>
      <c r="V960" s="7" t="s">
        <v>45</v>
      </c>
      <c r="W960" s="7" t="s">
        <v>67</v>
      </c>
      <c r="X960" s="7" t="s">
        <v>68</v>
      </c>
      <c r="Y960" s="7" t="s">
        <v>2353</v>
      </c>
      <c r="Z960" s="7" t="s">
        <v>2317</v>
      </c>
      <c r="AA960" s="7"/>
      <c r="AB960" s="7"/>
      <c r="AC960" s="7" t="s">
        <v>107</v>
      </c>
      <c r="AD960" s="7"/>
      <c r="AE960" s="7" t="s">
        <v>2354</v>
      </c>
      <c r="AF960" s="7" t="s">
        <v>113</v>
      </c>
      <c r="AG960" s="7" t="s">
        <v>114</v>
      </c>
      <c r="AH960" s="7" t="s">
        <v>115</v>
      </c>
    </row>
    <row r="961" spans="1:34" ht="9.75" customHeight="1" x14ac:dyDescent="0.2">
      <c r="A961" s="7" t="s">
        <v>37</v>
      </c>
      <c r="B961" s="7" t="s">
        <v>38</v>
      </c>
      <c r="C961" s="7"/>
      <c r="D961" s="7" t="s">
        <v>2355</v>
      </c>
      <c r="E961" s="8">
        <v>5</v>
      </c>
      <c r="F961" s="7" t="s">
        <v>109</v>
      </c>
      <c r="G961" s="7"/>
      <c r="H961" s="9"/>
      <c r="I961" s="10">
        <v>26272</v>
      </c>
      <c r="J961" s="9"/>
      <c r="K961" s="9"/>
      <c r="L961" s="10">
        <v>29948</v>
      </c>
      <c r="M961" s="9"/>
      <c r="N961" s="10">
        <v>29948</v>
      </c>
      <c r="O961" s="9"/>
      <c r="P961" s="10"/>
      <c r="Q961" s="10"/>
      <c r="R961" s="10"/>
      <c r="S961" s="7" t="s">
        <v>407</v>
      </c>
      <c r="T961" s="7" t="s">
        <v>117</v>
      </c>
      <c r="U961" s="7" t="s">
        <v>44</v>
      </c>
      <c r="V961" s="7" t="s">
        <v>45</v>
      </c>
      <c r="W961" s="7" t="s">
        <v>67</v>
      </c>
      <c r="X961" s="7" t="s">
        <v>68</v>
      </c>
      <c r="Y961" s="7" t="s">
        <v>2356</v>
      </c>
      <c r="Z961" s="7" t="s">
        <v>2317</v>
      </c>
      <c r="AA961" s="7"/>
      <c r="AB961" s="7"/>
      <c r="AC961" s="7" t="s">
        <v>107</v>
      </c>
      <c r="AD961" s="7"/>
      <c r="AE961" s="7"/>
      <c r="AF961" s="7" t="s">
        <v>113</v>
      </c>
      <c r="AG961" s="7" t="s">
        <v>114</v>
      </c>
      <c r="AH961" s="7" t="s">
        <v>115</v>
      </c>
    </row>
    <row r="962" spans="1:34" ht="9.75" customHeight="1" x14ac:dyDescent="0.2">
      <c r="A962" s="7" t="s">
        <v>37</v>
      </c>
      <c r="B962" s="7" t="s">
        <v>38</v>
      </c>
      <c r="C962" s="7"/>
      <c r="D962" s="7" t="s">
        <v>2357</v>
      </c>
      <c r="E962" s="8">
        <v>5</v>
      </c>
      <c r="F962" s="7" t="s">
        <v>109</v>
      </c>
      <c r="G962" s="7"/>
      <c r="H962" s="9"/>
      <c r="I962" s="10">
        <v>64271</v>
      </c>
      <c r="J962" s="9"/>
      <c r="K962" s="9"/>
      <c r="L962" s="10">
        <v>81298</v>
      </c>
      <c r="M962" s="9"/>
      <c r="N962" s="10">
        <v>81298</v>
      </c>
      <c r="O962" s="9"/>
      <c r="P962" s="10"/>
      <c r="Q962" s="10"/>
      <c r="R962" s="10"/>
      <c r="S962" s="7" t="s">
        <v>407</v>
      </c>
      <c r="T962" s="7" t="s">
        <v>117</v>
      </c>
      <c r="U962" s="7" t="s">
        <v>44</v>
      </c>
      <c r="V962" s="7" t="s">
        <v>45</v>
      </c>
      <c r="W962" s="7" t="s">
        <v>67</v>
      </c>
      <c r="X962" s="7" t="s">
        <v>68</v>
      </c>
      <c r="Y962" s="7" t="s">
        <v>2358</v>
      </c>
      <c r="Z962" s="7" t="s">
        <v>2359</v>
      </c>
      <c r="AA962" s="7"/>
      <c r="AB962" s="7"/>
      <c r="AC962" s="7" t="s">
        <v>107</v>
      </c>
      <c r="AD962" s="7"/>
      <c r="AE962" s="7"/>
      <c r="AF962" s="7" t="s">
        <v>113</v>
      </c>
      <c r="AG962" s="7" t="s">
        <v>114</v>
      </c>
      <c r="AH962" s="7" t="s">
        <v>115</v>
      </c>
    </row>
    <row r="963" spans="1:34" ht="9.75" customHeight="1" x14ac:dyDescent="0.2">
      <c r="A963" s="7" t="s">
        <v>37</v>
      </c>
      <c r="B963" s="7" t="s">
        <v>38</v>
      </c>
      <c r="C963" s="7"/>
      <c r="D963" s="7" t="s">
        <v>2360</v>
      </c>
      <c r="E963" s="8">
        <v>5</v>
      </c>
      <c r="F963" s="7" t="s">
        <v>109</v>
      </c>
      <c r="G963" s="7"/>
      <c r="H963" s="9"/>
      <c r="I963" s="10">
        <v>2</v>
      </c>
      <c r="J963" s="9"/>
      <c r="K963" s="9"/>
      <c r="L963" s="10">
        <v>1797</v>
      </c>
      <c r="M963" s="9"/>
      <c r="N963" s="10">
        <v>1797</v>
      </c>
      <c r="O963" s="9"/>
      <c r="P963" s="10"/>
      <c r="Q963" s="10"/>
      <c r="R963" s="10"/>
      <c r="S963" s="7" t="s">
        <v>407</v>
      </c>
      <c r="T963" s="7" t="s">
        <v>117</v>
      </c>
      <c r="U963" s="7" t="s">
        <v>44</v>
      </c>
      <c r="V963" s="7" t="s">
        <v>45</v>
      </c>
      <c r="W963" s="7" t="s">
        <v>67</v>
      </c>
      <c r="X963" s="7" t="s">
        <v>68</v>
      </c>
      <c r="Y963" s="7" t="s">
        <v>2361</v>
      </c>
      <c r="Z963" s="7" t="s">
        <v>2359</v>
      </c>
      <c r="AA963" s="7"/>
      <c r="AB963" s="7"/>
      <c r="AC963" s="7" t="s">
        <v>107</v>
      </c>
      <c r="AD963" s="7"/>
      <c r="AE963" s="7"/>
      <c r="AF963" s="7" t="s">
        <v>113</v>
      </c>
      <c r="AG963" s="7" t="s">
        <v>114</v>
      </c>
      <c r="AH963" s="7" t="s">
        <v>115</v>
      </c>
    </row>
    <row r="964" spans="1:34" ht="9.75" customHeight="1" x14ac:dyDescent="0.2">
      <c r="A964" s="7" t="s">
        <v>37</v>
      </c>
      <c r="B964" s="7" t="s">
        <v>38</v>
      </c>
      <c r="C964" s="7"/>
      <c r="D964" s="7" t="s">
        <v>2362</v>
      </c>
      <c r="E964" s="8">
        <v>5</v>
      </c>
      <c r="F964" s="7" t="s">
        <v>109</v>
      </c>
      <c r="G964" s="7"/>
      <c r="H964" s="9"/>
      <c r="I964" s="10">
        <v>536</v>
      </c>
      <c r="J964" s="9"/>
      <c r="K964" s="9"/>
      <c r="L964" s="10">
        <v>766</v>
      </c>
      <c r="M964" s="9"/>
      <c r="N964" s="10">
        <v>766</v>
      </c>
      <c r="O964" s="9"/>
      <c r="P964" s="10"/>
      <c r="Q964" s="10"/>
      <c r="R964" s="10"/>
      <c r="S964" s="7" t="s">
        <v>407</v>
      </c>
      <c r="T964" s="7" t="s">
        <v>117</v>
      </c>
      <c r="U964" s="7" t="s">
        <v>44</v>
      </c>
      <c r="V964" s="7" t="s">
        <v>45</v>
      </c>
      <c r="W964" s="7" t="s">
        <v>67</v>
      </c>
      <c r="X964" s="7" t="s">
        <v>68</v>
      </c>
      <c r="Y964" s="7" t="s">
        <v>2363</v>
      </c>
      <c r="Z964" s="7" t="s">
        <v>2359</v>
      </c>
      <c r="AA964" s="7"/>
      <c r="AB964" s="7"/>
      <c r="AC964" s="7" t="s">
        <v>107</v>
      </c>
      <c r="AD964" s="7"/>
      <c r="AE964" s="7"/>
      <c r="AF964" s="7" t="s">
        <v>113</v>
      </c>
      <c r="AG964" s="7" t="s">
        <v>114</v>
      </c>
      <c r="AH964" s="7" t="s">
        <v>115</v>
      </c>
    </row>
    <row r="965" spans="1:34" ht="9.75" customHeight="1" x14ac:dyDescent="0.2">
      <c r="A965" s="7" t="s">
        <v>37</v>
      </c>
      <c r="B965" s="7" t="s">
        <v>38</v>
      </c>
      <c r="C965" s="7"/>
      <c r="D965" s="7" t="s">
        <v>2364</v>
      </c>
      <c r="E965" s="8">
        <v>5</v>
      </c>
      <c r="F965" s="7" t="s">
        <v>109</v>
      </c>
      <c r="G965" s="7"/>
      <c r="H965" s="9"/>
      <c r="I965" s="10">
        <v>2666</v>
      </c>
      <c r="J965" s="9"/>
      <c r="K965" s="9"/>
      <c r="L965" s="10">
        <v>3363</v>
      </c>
      <c r="M965" s="9"/>
      <c r="N965" s="10">
        <v>3363</v>
      </c>
      <c r="O965" s="9"/>
      <c r="P965" s="10"/>
      <c r="Q965" s="10"/>
      <c r="R965" s="10"/>
      <c r="S965" s="7" t="s">
        <v>407</v>
      </c>
      <c r="T965" s="7" t="s">
        <v>117</v>
      </c>
      <c r="U965" s="7" t="s">
        <v>44</v>
      </c>
      <c r="V965" s="7" t="s">
        <v>45</v>
      </c>
      <c r="W965" s="7" t="s">
        <v>67</v>
      </c>
      <c r="X965" s="7" t="s">
        <v>68</v>
      </c>
      <c r="Y965" s="7" t="s">
        <v>2365</v>
      </c>
      <c r="Z965" s="7" t="s">
        <v>2359</v>
      </c>
      <c r="AA965" s="7"/>
      <c r="AB965" s="7"/>
      <c r="AC965" s="7" t="s">
        <v>107</v>
      </c>
      <c r="AD965" s="7"/>
      <c r="AE965" s="7"/>
      <c r="AF965" s="7" t="s">
        <v>113</v>
      </c>
      <c r="AG965" s="7" t="s">
        <v>114</v>
      </c>
      <c r="AH965" s="7" t="s">
        <v>115</v>
      </c>
    </row>
    <row r="966" spans="1:34" ht="9.75" customHeight="1" x14ac:dyDescent="0.2">
      <c r="A966" s="7" t="s">
        <v>37</v>
      </c>
      <c r="B966" s="7" t="s">
        <v>38</v>
      </c>
      <c r="C966" s="7"/>
      <c r="D966" s="7" t="s">
        <v>2366</v>
      </c>
      <c r="E966" s="8">
        <v>5</v>
      </c>
      <c r="F966" s="7" t="s">
        <v>109</v>
      </c>
      <c r="G966" s="7"/>
      <c r="H966" s="9"/>
      <c r="I966" s="10">
        <v>4465</v>
      </c>
      <c r="J966" s="9"/>
      <c r="K966" s="9"/>
      <c r="L966" s="10">
        <v>4023</v>
      </c>
      <c r="M966" s="9"/>
      <c r="N966" s="10">
        <v>4023</v>
      </c>
      <c r="O966" s="9"/>
      <c r="P966" s="10"/>
      <c r="Q966" s="10"/>
      <c r="R966" s="10"/>
      <c r="S966" s="7" t="s">
        <v>407</v>
      </c>
      <c r="T966" s="7" t="s">
        <v>117</v>
      </c>
      <c r="U966" s="7" t="s">
        <v>44</v>
      </c>
      <c r="V966" s="7" t="s">
        <v>45</v>
      </c>
      <c r="W966" s="7" t="s">
        <v>67</v>
      </c>
      <c r="X966" s="7" t="s">
        <v>68</v>
      </c>
      <c r="Y966" s="7" t="s">
        <v>2367</v>
      </c>
      <c r="Z966" s="7" t="s">
        <v>2359</v>
      </c>
      <c r="AA966" s="7"/>
      <c r="AB966" s="7"/>
      <c r="AC966" s="7" t="s">
        <v>107</v>
      </c>
      <c r="AD966" s="7"/>
      <c r="AE966" s="7"/>
      <c r="AF966" s="7" t="s">
        <v>113</v>
      </c>
      <c r="AG966" s="7" t="s">
        <v>114</v>
      </c>
      <c r="AH966" s="7" t="s">
        <v>115</v>
      </c>
    </row>
    <row r="967" spans="1:34" ht="9.75" customHeight="1" x14ac:dyDescent="0.2">
      <c r="A967" s="7" t="s">
        <v>37</v>
      </c>
      <c r="B967" s="7" t="s">
        <v>38</v>
      </c>
      <c r="C967" s="7"/>
      <c r="D967" s="7" t="s">
        <v>2368</v>
      </c>
      <c r="E967" s="8">
        <v>5</v>
      </c>
      <c r="F967" s="7" t="s">
        <v>109</v>
      </c>
      <c r="G967" s="7"/>
      <c r="H967" s="9"/>
      <c r="I967" s="10">
        <v>83040</v>
      </c>
      <c r="J967" s="9"/>
      <c r="K967" s="9"/>
      <c r="L967" s="10">
        <v>94326</v>
      </c>
      <c r="M967" s="9"/>
      <c r="N967" s="10">
        <v>94326</v>
      </c>
      <c r="O967" s="9"/>
      <c r="P967" s="10"/>
      <c r="Q967" s="10"/>
      <c r="R967" s="10"/>
      <c r="S967" s="7" t="s">
        <v>407</v>
      </c>
      <c r="T967" s="7" t="s">
        <v>117</v>
      </c>
      <c r="U967" s="7" t="s">
        <v>44</v>
      </c>
      <c r="V967" s="7" t="s">
        <v>45</v>
      </c>
      <c r="W967" s="7" t="s">
        <v>67</v>
      </c>
      <c r="X967" s="7" t="s">
        <v>68</v>
      </c>
      <c r="Y967" s="7" t="s">
        <v>2369</v>
      </c>
      <c r="Z967" s="7" t="s">
        <v>2359</v>
      </c>
      <c r="AA967" s="7"/>
      <c r="AB967" s="7"/>
      <c r="AC967" s="7" t="s">
        <v>107</v>
      </c>
      <c r="AD967" s="7"/>
      <c r="AE967" s="7"/>
      <c r="AF967" s="7" t="s">
        <v>113</v>
      </c>
      <c r="AG967" s="7" t="s">
        <v>114</v>
      </c>
      <c r="AH967" s="7" t="s">
        <v>115</v>
      </c>
    </row>
    <row r="968" spans="1:34" ht="9.75" customHeight="1" x14ac:dyDescent="0.2">
      <c r="A968" s="7" t="s">
        <v>37</v>
      </c>
      <c r="B968" s="7" t="s">
        <v>38</v>
      </c>
      <c r="C968" s="7"/>
      <c r="D968" s="7" t="s">
        <v>2370</v>
      </c>
      <c r="E968" s="8">
        <v>5</v>
      </c>
      <c r="F968" s="7" t="s">
        <v>109</v>
      </c>
      <c r="G968" s="7"/>
      <c r="H968" s="9"/>
      <c r="I968" s="10">
        <v>14335</v>
      </c>
      <c r="J968" s="9"/>
      <c r="K968" s="9"/>
      <c r="L968" s="10">
        <v>20025</v>
      </c>
      <c r="M968" s="9"/>
      <c r="N968" s="10">
        <v>20025</v>
      </c>
      <c r="O968" s="9"/>
      <c r="P968" s="10"/>
      <c r="Q968" s="10"/>
      <c r="R968" s="10"/>
      <c r="S968" s="7" t="s">
        <v>407</v>
      </c>
      <c r="T968" s="7" t="s">
        <v>117</v>
      </c>
      <c r="U968" s="7" t="s">
        <v>44</v>
      </c>
      <c r="V968" s="7" t="s">
        <v>45</v>
      </c>
      <c r="W968" s="7" t="s">
        <v>67</v>
      </c>
      <c r="X968" s="7" t="s">
        <v>68</v>
      </c>
      <c r="Y968" s="7" t="s">
        <v>2371</v>
      </c>
      <c r="Z968" s="7" t="s">
        <v>2359</v>
      </c>
      <c r="AA968" s="7"/>
      <c r="AB968" s="7"/>
      <c r="AC968" s="7" t="s">
        <v>107</v>
      </c>
      <c r="AD968" s="7"/>
      <c r="AE968" s="7" t="s">
        <v>427</v>
      </c>
      <c r="AF968" s="7" t="s">
        <v>113</v>
      </c>
      <c r="AG968" s="7" t="s">
        <v>114</v>
      </c>
      <c r="AH968" s="7" t="s">
        <v>115</v>
      </c>
    </row>
    <row r="969" spans="1:34" ht="9.75" customHeight="1" x14ac:dyDescent="0.2">
      <c r="A969" s="7" t="s">
        <v>37</v>
      </c>
      <c r="B969" s="7" t="s">
        <v>38</v>
      </c>
      <c r="C969" s="7"/>
      <c r="D969" s="7" t="s">
        <v>2372</v>
      </c>
      <c r="E969" s="8">
        <v>5</v>
      </c>
      <c r="F969" s="7" t="s">
        <v>109</v>
      </c>
      <c r="G969" s="7"/>
      <c r="H969" s="9"/>
      <c r="I969" s="10">
        <v>25725</v>
      </c>
      <c r="J969" s="9"/>
      <c r="K969" s="9"/>
      <c r="L969" s="10">
        <v>30682</v>
      </c>
      <c r="M969" s="9"/>
      <c r="N969" s="10">
        <v>30682</v>
      </c>
      <c r="O969" s="9"/>
      <c r="P969" s="10"/>
      <c r="Q969" s="10"/>
      <c r="R969" s="10"/>
      <c r="S969" s="7" t="s">
        <v>407</v>
      </c>
      <c r="T969" s="7" t="s">
        <v>117</v>
      </c>
      <c r="U969" s="7" t="s">
        <v>44</v>
      </c>
      <c r="V969" s="7" t="s">
        <v>45</v>
      </c>
      <c r="W969" s="7" t="s">
        <v>67</v>
      </c>
      <c r="X969" s="7" t="s">
        <v>68</v>
      </c>
      <c r="Y969" s="7" t="s">
        <v>2373</v>
      </c>
      <c r="Z969" s="7" t="s">
        <v>2374</v>
      </c>
      <c r="AA969" s="7"/>
      <c r="AB969" s="7"/>
      <c r="AC969" s="7" t="s">
        <v>107</v>
      </c>
      <c r="AD969" s="7"/>
      <c r="AE969" s="7"/>
      <c r="AF969" s="7" t="s">
        <v>113</v>
      </c>
      <c r="AG969" s="7" t="s">
        <v>114</v>
      </c>
      <c r="AH969" s="7" t="s">
        <v>115</v>
      </c>
    </row>
    <row r="970" spans="1:34" ht="9.75" customHeight="1" x14ac:dyDescent="0.2">
      <c r="A970" s="7" t="s">
        <v>37</v>
      </c>
      <c r="B970" s="7" t="s">
        <v>38</v>
      </c>
      <c r="C970" s="7"/>
      <c r="D970" s="7" t="s">
        <v>2375</v>
      </c>
      <c r="E970" s="8">
        <v>5</v>
      </c>
      <c r="F970" s="7" t="s">
        <v>109</v>
      </c>
      <c r="G970" s="7"/>
      <c r="H970" s="9"/>
      <c r="I970" s="10">
        <v>788</v>
      </c>
      <c r="J970" s="9"/>
      <c r="K970" s="9"/>
      <c r="L970" s="10">
        <v>580</v>
      </c>
      <c r="M970" s="9"/>
      <c r="N970" s="10">
        <v>580</v>
      </c>
      <c r="O970" s="9"/>
      <c r="P970" s="10"/>
      <c r="Q970" s="10"/>
      <c r="R970" s="10"/>
      <c r="S970" s="7" t="s">
        <v>407</v>
      </c>
      <c r="T970" s="7" t="s">
        <v>117</v>
      </c>
      <c r="U970" s="7" t="s">
        <v>44</v>
      </c>
      <c r="V970" s="7" t="s">
        <v>45</v>
      </c>
      <c r="W970" s="7" t="s">
        <v>67</v>
      </c>
      <c r="X970" s="7" t="s">
        <v>68</v>
      </c>
      <c r="Y970" s="7" t="s">
        <v>2376</v>
      </c>
      <c r="Z970" s="7" t="s">
        <v>2374</v>
      </c>
      <c r="AA970" s="7"/>
      <c r="AB970" s="7"/>
      <c r="AC970" s="7" t="s">
        <v>107</v>
      </c>
      <c r="AD970" s="7"/>
      <c r="AE970" s="7"/>
      <c r="AF970" s="7" t="s">
        <v>113</v>
      </c>
      <c r="AG970" s="7" t="s">
        <v>114</v>
      </c>
      <c r="AH970" s="7" t="s">
        <v>115</v>
      </c>
    </row>
    <row r="971" spans="1:34" ht="9.75" customHeight="1" x14ac:dyDescent="0.2">
      <c r="A971" s="7" t="s">
        <v>37</v>
      </c>
      <c r="B971" s="7" t="s">
        <v>38</v>
      </c>
      <c r="C971" s="7"/>
      <c r="D971" s="7" t="s">
        <v>2377</v>
      </c>
      <c r="E971" s="8">
        <v>5</v>
      </c>
      <c r="F971" s="7" t="s">
        <v>109</v>
      </c>
      <c r="G971" s="7"/>
      <c r="H971" s="9"/>
      <c r="I971" s="10">
        <v>560</v>
      </c>
      <c r="J971" s="9"/>
      <c r="K971" s="9"/>
      <c r="L971" s="10">
        <v>774</v>
      </c>
      <c r="M971" s="9"/>
      <c r="N971" s="10">
        <v>774</v>
      </c>
      <c r="O971" s="9"/>
      <c r="P971" s="10"/>
      <c r="Q971" s="10"/>
      <c r="R971" s="10"/>
      <c r="S971" s="7" t="s">
        <v>407</v>
      </c>
      <c r="T971" s="7" t="s">
        <v>117</v>
      </c>
      <c r="U971" s="7" t="s">
        <v>44</v>
      </c>
      <c r="V971" s="7" t="s">
        <v>45</v>
      </c>
      <c r="W971" s="7" t="s">
        <v>67</v>
      </c>
      <c r="X971" s="7" t="s">
        <v>68</v>
      </c>
      <c r="Y971" s="7" t="s">
        <v>2378</v>
      </c>
      <c r="Z971" s="7" t="s">
        <v>2374</v>
      </c>
      <c r="AA971" s="7"/>
      <c r="AB971" s="7"/>
      <c r="AC971" s="7" t="s">
        <v>107</v>
      </c>
      <c r="AD971" s="7"/>
      <c r="AE971" s="7"/>
      <c r="AF971" s="7" t="s">
        <v>113</v>
      </c>
      <c r="AG971" s="7" t="s">
        <v>114</v>
      </c>
      <c r="AH971" s="7" t="s">
        <v>115</v>
      </c>
    </row>
    <row r="972" spans="1:34" ht="9.75" customHeight="1" x14ac:dyDescent="0.2">
      <c r="A972" s="7" t="s">
        <v>37</v>
      </c>
      <c r="B972" s="7" t="s">
        <v>38</v>
      </c>
      <c r="C972" s="7"/>
      <c r="D972" s="7" t="s">
        <v>2379</v>
      </c>
      <c r="E972" s="8">
        <v>5</v>
      </c>
      <c r="F972" s="7" t="s">
        <v>109</v>
      </c>
      <c r="G972" s="7"/>
      <c r="H972" s="9"/>
      <c r="I972" s="10">
        <v>122</v>
      </c>
      <c r="J972" s="9"/>
      <c r="K972" s="9"/>
      <c r="L972" s="10">
        <v>345</v>
      </c>
      <c r="M972" s="9"/>
      <c r="N972" s="10">
        <v>345</v>
      </c>
      <c r="O972" s="9"/>
      <c r="P972" s="10"/>
      <c r="Q972" s="10"/>
      <c r="R972" s="10"/>
      <c r="S972" s="7" t="s">
        <v>407</v>
      </c>
      <c r="T972" s="7" t="s">
        <v>117</v>
      </c>
      <c r="U972" s="7" t="s">
        <v>44</v>
      </c>
      <c r="V972" s="7" t="s">
        <v>45</v>
      </c>
      <c r="W972" s="7" t="s">
        <v>67</v>
      </c>
      <c r="X972" s="7" t="s">
        <v>68</v>
      </c>
      <c r="Y972" s="7" t="s">
        <v>2380</v>
      </c>
      <c r="Z972" s="7" t="s">
        <v>2374</v>
      </c>
      <c r="AA972" s="7"/>
      <c r="AB972" s="7"/>
      <c r="AC972" s="7" t="s">
        <v>107</v>
      </c>
      <c r="AD972" s="7"/>
      <c r="AE972" s="7"/>
      <c r="AF972" s="7" t="s">
        <v>113</v>
      </c>
      <c r="AG972" s="7" t="s">
        <v>114</v>
      </c>
      <c r="AH972" s="7" t="s">
        <v>115</v>
      </c>
    </row>
    <row r="973" spans="1:34" ht="9.75" customHeight="1" x14ac:dyDescent="0.2">
      <c r="A973" s="7" t="s">
        <v>37</v>
      </c>
      <c r="B973" s="7" t="s">
        <v>38</v>
      </c>
      <c r="C973" s="7"/>
      <c r="D973" s="7" t="s">
        <v>2381</v>
      </c>
      <c r="E973" s="8">
        <v>5</v>
      </c>
      <c r="F973" s="7" t="s">
        <v>109</v>
      </c>
      <c r="G973" s="7"/>
      <c r="H973" s="9"/>
      <c r="I973" s="10">
        <v>8792</v>
      </c>
      <c r="J973" s="9"/>
      <c r="K973" s="9"/>
      <c r="L973" s="10">
        <v>9405</v>
      </c>
      <c r="M973" s="9"/>
      <c r="N973" s="10">
        <v>9405</v>
      </c>
      <c r="O973" s="9"/>
      <c r="P973" s="10"/>
      <c r="Q973" s="10"/>
      <c r="R973" s="10"/>
      <c r="S973" s="7" t="s">
        <v>407</v>
      </c>
      <c r="T973" s="7" t="s">
        <v>117</v>
      </c>
      <c r="U973" s="7" t="s">
        <v>44</v>
      </c>
      <c r="V973" s="7" t="s">
        <v>45</v>
      </c>
      <c r="W973" s="7" t="s">
        <v>67</v>
      </c>
      <c r="X973" s="7" t="s">
        <v>68</v>
      </c>
      <c r="Y973" s="7" t="s">
        <v>2382</v>
      </c>
      <c r="Z973" s="7" t="s">
        <v>2374</v>
      </c>
      <c r="AA973" s="7"/>
      <c r="AB973" s="7"/>
      <c r="AC973" s="7" t="s">
        <v>107</v>
      </c>
      <c r="AD973" s="7"/>
      <c r="AE973" s="7"/>
      <c r="AF973" s="7" t="s">
        <v>113</v>
      </c>
      <c r="AG973" s="7" t="s">
        <v>114</v>
      </c>
      <c r="AH973" s="7" t="s">
        <v>115</v>
      </c>
    </row>
    <row r="974" spans="1:34" ht="9.75" customHeight="1" x14ac:dyDescent="0.2">
      <c r="A974" s="7" t="s">
        <v>37</v>
      </c>
      <c r="B974" s="7" t="s">
        <v>38</v>
      </c>
      <c r="C974" s="7"/>
      <c r="D974" s="7" t="s">
        <v>2383</v>
      </c>
      <c r="E974" s="8">
        <v>5</v>
      </c>
      <c r="F974" s="7" t="s">
        <v>109</v>
      </c>
      <c r="G974" s="7"/>
      <c r="H974" s="9"/>
      <c r="I974" s="10">
        <v>43379</v>
      </c>
      <c r="J974" s="9"/>
      <c r="K974" s="9"/>
      <c r="L974" s="10">
        <v>33043</v>
      </c>
      <c r="M974" s="9"/>
      <c r="N974" s="10">
        <v>33043</v>
      </c>
      <c r="O974" s="9"/>
      <c r="P974" s="10"/>
      <c r="Q974" s="10"/>
      <c r="R974" s="10"/>
      <c r="S974" s="7" t="s">
        <v>407</v>
      </c>
      <c r="T974" s="7" t="s">
        <v>117</v>
      </c>
      <c r="U974" s="7" t="s">
        <v>44</v>
      </c>
      <c r="V974" s="7" t="s">
        <v>45</v>
      </c>
      <c r="W974" s="7" t="s">
        <v>67</v>
      </c>
      <c r="X974" s="7" t="s">
        <v>68</v>
      </c>
      <c r="Y974" s="7" t="s">
        <v>2384</v>
      </c>
      <c r="Z974" s="7" t="s">
        <v>2374</v>
      </c>
      <c r="AA974" s="7"/>
      <c r="AB974" s="7"/>
      <c r="AC974" s="7" t="s">
        <v>107</v>
      </c>
      <c r="AD974" s="7"/>
      <c r="AE974" s="7"/>
      <c r="AF974" s="7" t="s">
        <v>113</v>
      </c>
      <c r="AG974" s="7" t="s">
        <v>114</v>
      </c>
      <c r="AH974" s="7" t="s">
        <v>115</v>
      </c>
    </row>
    <row r="975" spans="1:34" ht="9.75" customHeight="1" x14ac:dyDescent="0.2">
      <c r="A975" s="7" t="s">
        <v>37</v>
      </c>
      <c r="B975" s="7" t="s">
        <v>38</v>
      </c>
      <c r="C975" s="7"/>
      <c r="D975" s="7" t="s">
        <v>2385</v>
      </c>
      <c r="E975" s="8">
        <v>5</v>
      </c>
      <c r="F975" s="7" t="s">
        <v>109</v>
      </c>
      <c r="G975" s="7"/>
      <c r="H975" s="9"/>
      <c r="I975" s="10">
        <v>5560</v>
      </c>
      <c r="J975" s="9"/>
      <c r="K975" s="9"/>
      <c r="L975" s="10">
        <v>10431</v>
      </c>
      <c r="M975" s="9"/>
      <c r="N975" s="10">
        <v>10431</v>
      </c>
      <c r="O975" s="9"/>
      <c r="P975" s="10"/>
      <c r="Q975" s="10"/>
      <c r="R975" s="10"/>
      <c r="S975" s="7" t="s">
        <v>407</v>
      </c>
      <c r="T975" s="7" t="s">
        <v>117</v>
      </c>
      <c r="U975" s="7" t="s">
        <v>44</v>
      </c>
      <c r="V975" s="7" t="s">
        <v>45</v>
      </c>
      <c r="W975" s="7" t="s">
        <v>67</v>
      </c>
      <c r="X975" s="7" t="s">
        <v>68</v>
      </c>
      <c r="Y975" s="7" t="s">
        <v>2386</v>
      </c>
      <c r="Z975" s="7" t="s">
        <v>2374</v>
      </c>
      <c r="AA975" s="7"/>
      <c r="AB975" s="7"/>
      <c r="AC975" s="7" t="s">
        <v>107</v>
      </c>
      <c r="AD975" s="7"/>
      <c r="AE975" s="7"/>
      <c r="AF975" s="7" t="s">
        <v>113</v>
      </c>
      <c r="AG975" s="7" t="s">
        <v>114</v>
      </c>
      <c r="AH975" s="7" t="s">
        <v>115</v>
      </c>
    </row>
    <row r="976" spans="1:34" ht="9.75" customHeight="1" x14ac:dyDescent="0.2">
      <c r="A976" s="7" t="s">
        <v>37</v>
      </c>
      <c r="B976" s="7" t="s">
        <v>38</v>
      </c>
      <c r="C976" s="7"/>
      <c r="D976" s="7" t="s">
        <v>2387</v>
      </c>
      <c r="E976" s="8">
        <v>5</v>
      </c>
      <c r="F976" s="7" t="s">
        <v>109</v>
      </c>
      <c r="G976" s="7"/>
      <c r="H976" s="9"/>
      <c r="I976" s="9"/>
      <c r="J976" s="9"/>
      <c r="K976" s="9"/>
      <c r="L976" s="10">
        <v>2823</v>
      </c>
      <c r="M976" s="9"/>
      <c r="N976" s="10">
        <v>2823</v>
      </c>
      <c r="O976" s="9"/>
      <c r="P976" s="10"/>
      <c r="Q976" s="10"/>
      <c r="R976" s="10"/>
      <c r="S976" s="7" t="s">
        <v>407</v>
      </c>
      <c r="T976" s="7" t="s">
        <v>117</v>
      </c>
      <c r="U976" s="7" t="s">
        <v>44</v>
      </c>
      <c r="V976" s="7" t="s">
        <v>45</v>
      </c>
      <c r="W976" s="7" t="s">
        <v>67</v>
      </c>
      <c r="X976" s="7" t="s">
        <v>68</v>
      </c>
      <c r="Y976" s="7" t="s">
        <v>2388</v>
      </c>
      <c r="Z976" s="7" t="s">
        <v>2389</v>
      </c>
      <c r="AA976" s="7"/>
      <c r="AB976" s="7"/>
      <c r="AC976" s="7" t="s">
        <v>107</v>
      </c>
      <c r="AD976" s="7"/>
      <c r="AE976" s="7"/>
      <c r="AF976" s="7" t="s">
        <v>113</v>
      </c>
      <c r="AG976" s="7" t="s">
        <v>114</v>
      </c>
      <c r="AH976" s="7" t="s">
        <v>115</v>
      </c>
    </row>
    <row r="977" spans="1:34" ht="9.75" customHeight="1" x14ac:dyDescent="0.2">
      <c r="A977" s="7" t="s">
        <v>37</v>
      </c>
      <c r="B977" s="7" t="s">
        <v>38</v>
      </c>
      <c r="C977" s="7"/>
      <c r="D977" s="7" t="s">
        <v>2390</v>
      </c>
      <c r="E977" s="8">
        <v>5</v>
      </c>
      <c r="F977" s="7" t="s">
        <v>109</v>
      </c>
      <c r="G977" s="7"/>
      <c r="H977" s="9"/>
      <c r="I977" s="9"/>
      <c r="J977" s="9"/>
      <c r="K977" s="9"/>
      <c r="L977" s="10">
        <v>14517</v>
      </c>
      <c r="M977" s="9"/>
      <c r="N977" s="10">
        <v>14517</v>
      </c>
      <c r="O977" s="9"/>
      <c r="P977" s="10"/>
      <c r="Q977" s="10"/>
      <c r="R977" s="10"/>
      <c r="S977" s="7" t="s">
        <v>407</v>
      </c>
      <c r="T977" s="7" t="s">
        <v>117</v>
      </c>
      <c r="U977" s="7" t="s">
        <v>44</v>
      </c>
      <c r="V977" s="7" t="s">
        <v>45</v>
      </c>
      <c r="W977" s="7" t="s">
        <v>67</v>
      </c>
      <c r="X977" s="7" t="s">
        <v>68</v>
      </c>
      <c r="Y977" s="7" t="s">
        <v>2391</v>
      </c>
      <c r="Z977" s="7" t="s">
        <v>2389</v>
      </c>
      <c r="AA977" s="7"/>
      <c r="AB977" s="7"/>
      <c r="AC977" s="7" t="s">
        <v>107</v>
      </c>
      <c r="AD977" s="7"/>
      <c r="AE977" s="7"/>
      <c r="AF977" s="7" t="s">
        <v>113</v>
      </c>
      <c r="AG977" s="7" t="s">
        <v>114</v>
      </c>
      <c r="AH977" s="7" t="s">
        <v>115</v>
      </c>
    </row>
    <row r="978" spans="1:34" ht="9.75" customHeight="1" x14ac:dyDescent="0.2">
      <c r="A978" s="7" t="s">
        <v>37</v>
      </c>
      <c r="B978" s="7" t="s">
        <v>38</v>
      </c>
      <c r="C978" s="7"/>
      <c r="D978" s="7" t="s">
        <v>2392</v>
      </c>
      <c r="E978" s="8">
        <v>5</v>
      </c>
      <c r="F978" s="7" t="s">
        <v>109</v>
      </c>
      <c r="G978" s="7"/>
      <c r="H978" s="9"/>
      <c r="I978" s="9"/>
      <c r="J978" s="9"/>
      <c r="K978" s="9"/>
      <c r="L978" s="10">
        <v>99777</v>
      </c>
      <c r="M978" s="9"/>
      <c r="N978" s="10">
        <v>99777</v>
      </c>
      <c r="O978" s="9"/>
      <c r="P978" s="10"/>
      <c r="Q978" s="10"/>
      <c r="R978" s="10"/>
      <c r="S978" s="7" t="s">
        <v>407</v>
      </c>
      <c r="T978" s="7" t="s">
        <v>117</v>
      </c>
      <c r="U978" s="7" t="s">
        <v>44</v>
      </c>
      <c r="V978" s="7" t="s">
        <v>45</v>
      </c>
      <c r="W978" s="7" t="s">
        <v>67</v>
      </c>
      <c r="X978" s="7" t="s">
        <v>68</v>
      </c>
      <c r="Y978" s="7" t="s">
        <v>2393</v>
      </c>
      <c r="Z978" s="7" t="s">
        <v>2389</v>
      </c>
      <c r="AA978" s="7"/>
      <c r="AB978" s="7"/>
      <c r="AC978" s="7" t="s">
        <v>107</v>
      </c>
      <c r="AD978" s="7"/>
      <c r="AE978" s="7"/>
      <c r="AF978" s="7" t="s">
        <v>113</v>
      </c>
      <c r="AG978" s="7" t="s">
        <v>114</v>
      </c>
      <c r="AH978" s="7" t="s">
        <v>115</v>
      </c>
    </row>
    <row r="979" spans="1:34" ht="9.75" customHeight="1" x14ac:dyDescent="0.2">
      <c r="A979" s="7" t="s">
        <v>37</v>
      </c>
      <c r="B979" s="7" t="s">
        <v>38</v>
      </c>
      <c r="C979" s="7"/>
      <c r="D979" s="7" t="s">
        <v>2394</v>
      </c>
      <c r="E979" s="8">
        <v>5</v>
      </c>
      <c r="F979" s="7" t="s">
        <v>109</v>
      </c>
      <c r="G979" s="7"/>
      <c r="H979" s="9"/>
      <c r="I979" s="9"/>
      <c r="J979" s="9"/>
      <c r="K979" s="9"/>
      <c r="L979" s="10">
        <v>36024</v>
      </c>
      <c r="M979" s="9"/>
      <c r="N979" s="10">
        <v>36024</v>
      </c>
      <c r="O979" s="9"/>
      <c r="P979" s="10"/>
      <c r="Q979" s="10"/>
      <c r="R979" s="10"/>
      <c r="S979" s="7" t="s">
        <v>407</v>
      </c>
      <c r="T979" s="7" t="s">
        <v>117</v>
      </c>
      <c r="U979" s="7" t="s">
        <v>44</v>
      </c>
      <c r="V979" s="7" t="s">
        <v>45</v>
      </c>
      <c r="W979" s="7" t="s">
        <v>67</v>
      </c>
      <c r="X979" s="7" t="s">
        <v>68</v>
      </c>
      <c r="Y979" s="7" t="s">
        <v>2395</v>
      </c>
      <c r="Z979" s="7" t="s">
        <v>2396</v>
      </c>
      <c r="AA979" s="7"/>
      <c r="AB979" s="7"/>
      <c r="AC979" s="7" t="s">
        <v>107</v>
      </c>
      <c r="AD979" s="7"/>
      <c r="AE979" s="7"/>
      <c r="AF979" s="7" t="s">
        <v>113</v>
      </c>
      <c r="AG979" s="7" t="s">
        <v>114</v>
      </c>
      <c r="AH979" s="7" t="s">
        <v>115</v>
      </c>
    </row>
    <row r="980" spans="1:34" ht="9.75" customHeight="1" x14ac:dyDescent="0.2">
      <c r="A980" s="7" t="s">
        <v>37</v>
      </c>
      <c r="B980" s="7" t="s">
        <v>38</v>
      </c>
      <c r="C980" s="7"/>
      <c r="D980" s="7" t="s">
        <v>2397</v>
      </c>
      <c r="E980" s="8">
        <v>5</v>
      </c>
      <c r="F980" s="7" t="s">
        <v>109</v>
      </c>
      <c r="G980" s="7"/>
      <c r="H980" s="9"/>
      <c r="I980" s="9"/>
      <c r="J980" s="9"/>
      <c r="K980" s="9"/>
      <c r="L980" s="10">
        <v>2587</v>
      </c>
      <c r="M980" s="9"/>
      <c r="N980" s="10">
        <v>2587</v>
      </c>
      <c r="O980" s="9"/>
      <c r="P980" s="10"/>
      <c r="Q980" s="10"/>
      <c r="R980" s="10"/>
      <c r="S980" s="7" t="s">
        <v>407</v>
      </c>
      <c r="T980" s="7" t="s">
        <v>117</v>
      </c>
      <c r="U980" s="7" t="s">
        <v>44</v>
      </c>
      <c r="V980" s="7" t="s">
        <v>45</v>
      </c>
      <c r="W980" s="7" t="s">
        <v>67</v>
      </c>
      <c r="X980" s="7" t="s">
        <v>68</v>
      </c>
      <c r="Y980" s="7" t="s">
        <v>2398</v>
      </c>
      <c r="Z980" s="7" t="s">
        <v>2396</v>
      </c>
      <c r="AA980" s="7"/>
      <c r="AB980" s="7"/>
      <c r="AC980" s="7" t="s">
        <v>107</v>
      </c>
      <c r="AD980" s="7"/>
      <c r="AE980" s="7"/>
      <c r="AF980" s="7" t="s">
        <v>113</v>
      </c>
      <c r="AG980" s="7" t="s">
        <v>114</v>
      </c>
      <c r="AH980" s="7" t="s">
        <v>115</v>
      </c>
    </row>
    <row r="981" spans="1:34" ht="9.75" customHeight="1" x14ac:dyDescent="0.2">
      <c r="A981" s="7" t="s">
        <v>37</v>
      </c>
      <c r="B981" s="7" t="s">
        <v>38</v>
      </c>
      <c r="C981" s="7"/>
      <c r="D981" s="7" t="s">
        <v>2399</v>
      </c>
      <c r="E981" s="8">
        <v>5</v>
      </c>
      <c r="F981" s="7" t="s">
        <v>109</v>
      </c>
      <c r="G981" s="7"/>
      <c r="H981" s="9"/>
      <c r="I981" s="9"/>
      <c r="J981" s="9"/>
      <c r="K981" s="9"/>
      <c r="L981" s="10">
        <v>289</v>
      </c>
      <c r="M981" s="9"/>
      <c r="N981" s="10">
        <v>289</v>
      </c>
      <c r="O981" s="9"/>
      <c r="P981" s="10"/>
      <c r="Q981" s="10"/>
      <c r="R981" s="10"/>
      <c r="S981" s="7" t="s">
        <v>407</v>
      </c>
      <c r="T981" s="7" t="s">
        <v>117</v>
      </c>
      <c r="U981" s="7" t="s">
        <v>44</v>
      </c>
      <c r="V981" s="7" t="s">
        <v>45</v>
      </c>
      <c r="W981" s="7" t="s">
        <v>67</v>
      </c>
      <c r="X981" s="7" t="s">
        <v>68</v>
      </c>
      <c r="Y981" s="7" t="s">
        <v>2400</v>
      </c>
      <c r="Z981" s="7" t="s">
        <v>2396</v>
      </c>
      <c r="AA981" s="7"/>
      <c r="AB981" s="7"/>
      <c r="AC981" s="7" t="s">
        <v>107</v>
      </c>
      <c r="AD981" s="7"/>
      <c r="AE981" s="7"/>
      <c r="AF981" s="7" t="s">
        <v>113</v>
      </c>
      <c r="AG981" s="7" t="s">
        <v>114</v>
      </c>
      <c r="AH981" s="7" t="s">
        <v>115</v>
      </c>
    </row>
    <row r="982" spans="1:34" ht="9.75" customHeight="1" x14ac:dyDescent="0.2">
      <c r="A982" s="7" t="s">
        <v>37</v>
      </c>
      <c r="B982" s="7" t="s">
        <v>38</v>
      </c>
      <c r="C982" s="7"/>
      <c r="D982" s="7" t="s">
        <v>2401</v>
      </c>
      <c r="E982" s="8">
        <v>5</v>
      </c>
      <c r="F982" s="7" t="s">
        <v>109</v>
      </c>
      <c r="G982" s="7"/>
      <c r="H982" s="9"/>
      <c r="I982" s="10">
        <v>10475</v>
      </c>
      <c r="J982" s="9"/>
      <c r="K982" s="9"/>
      <c r="L982" s="10">
        <v>12606</v>
      </c>
      <c r="M982" s="9"/>
      <c r="N982" s="10">
        <v>12606</v>
      </c>
      <c r="O982" s="9"/>
      <c r="P982" s="10"/>
      <c r="Q982" s="10"/>
      <c r="R982" s="10"/>
      <c r="S982" s="7" t="s">
        <v>407</v>
      </c>
      <c r="T982" s="7" t="s">
        <v>117</v>
      </c>
      <c r="U982" s="7" t="s">
        <v>44</v>
      </c>
      <c r="V982" s="7" t="s">
        <v>45</v>
      </c>
      <c r="W982" s="7" t="s">
        <v>67</v>
      </c>
      <c r="X982" s="7" t="s">
        <v>68</v>
      </c>
      <c r="Y982" s="7" t="s">
        <v>2402</v>
      </c>
      <c r="Z982" s="7" t="s">
        <v>2403</v>
      </c>
      <c r="AA982" s="7"/>
      <c r="AB982" s="7"/>
      <c r="AC982" s="7" t="s">
        <v>107</v>
      </c>
      <c r="AD982" s="7"/>
      <c r="AE982" s="7"/>
      <c r="AF982" s="7" t="s">
        <v>113</v>
      </c>
      <c r="AG982" s="7" t="s">
        <v>114</v>
      </c>
      <c r="AH982" s="7" t="s">
        <v>115</v>
      </c>
    </row>
    <row r="983" spans="1:34" ht="9.75" customHeight="1" x14ac:dyDescent="0.2">
      <c r="A983" s="7" t="s">
        <v>37</v>
      </c>
      <c r="B983" s="7" t="s">
        <v>38</v>
      </c>
      <c r="C983" s="7"/>
      <c r="D983" s="7" t="s">
        <v>2404</v>
      </c>
      <c r="E983" s="8">
        <v>5</v>
      </c>
      <c r="F983" s="7" t="s">
        <v>109</v>
      </c>
      <c r="G983" s="7"/>
      <c r="H983" s="9"/>
      <c r="I983" s="10">
        <v>466</v>
      </c>
      <c r="J983" s="9"/>
      <c r="K983" s="9"/>
      <c r="L983" s="10">
        <v>548</v>
      </c>
      <c r="M983" s="9"/>
      <c r="N983" s="10">
        <v>548</v>
      </c>
      <c r="O983" s="9"/>
      <c r="P983" s="10"/>
      <c r="Q983" s="10"/>
      <c r="R983" s="10"/>
      <c r="S983" s="7" t="s">
        <v>407</v>
      </c>
      <c r="T983" s="7" t="s">
        <v>117</v>
      </c>
      <c r="U983" s="7" t="s">
        <v>44</v>
      </c>
      <c r="V983" s="7" t="s">
        <v>45</v>
      </c>
      <c r="W983" s="7" t="s">
        <v>67</v>
      </c>
      <c r="X983" s="7" t="s">
        <v>68</v>
      </c>
      <c r="Y983" s="7" t="s">
        <v>2405</v>
      </c>
      <c r="Z983" s="7" t="s">
        <v>2403</v>
      </c>
      <c r="AA983" s="7"/>
      <c r="AB983" s="7"/>
      <c r="AC983" s="7" t="s">
        <v>107</v>
      </c>
      <c r="AD983" s="7"/>
      <c r="AE983" s="7"/>
      <c r="AF983" s="7" t="s">
        <v>113</v>
      </c>
      <c r="AG983" s="7" t="s">
        <v>114</v>
      </c>
      <c r="AH983" s="7" t="s">
        <v>115</v>
      </c>
    </row>
    <row r="984" spans="1:34" ht="9.75" customHeight="1" x14ac:dyDescent="0.2">
      <c r="A984" s="7" t="s">
        <v>37</v>
      </c>
      <c r="B984" s="7" t="s">
        <v>38</v>
      </c>
      <c r="C984" s="7"/>
      <c r="D984" s="7" t="s">
        <v>2406</v>
      </c>
      <c r="E984" s="8">
        <v>5</v>
      </c>
      <c r="F984" s="7" t="s">
        <v>109</v>
      </c>
      <c r="G984" s="7"/>
      <c r="H984" s="9"/>
      <c r="I984" s="10">
        <v>518</v>
      </c>
      <c r="J984" s="9"/>
      <c r="K984" s="9"/>
      <c r="L984" s="10">
        <v>405</v>
      </c>
      <c r="M984" s="9"/>
      <c r="N984" s="10">
        <v>405</v>
      </c>
      <c r="O984" s="9"/>
      <c r="P984" s="10"/>
      <c r="Q984" s="10"/>
      <c r="R984" s="10"/>
      <c r="S984" s="7" t="s">
        <v>407</v>
      </c>
      <c r="T984" s="7" t="s">
        <v>117</v>
      </c>
      <c r="U984" s="7" t="s">
        <v>44</v>
      </c>
      <c r="V984" s="7" t="s">
        <v>45</v>
      </c>
      <c r="W984" s="7" t="s">
        <v>67</v>
      </c>
      <c r="X984" s="7" t="s">
        <v>68</v>
      </c>
      <c r="Y984" s="7" t="s">
        <v>2407</v>
      </c>
      <c r="Z984" s="7" t="s">
        <v>2403</v>
      </c>
      <c r="AA984" s="7"/>
      <c r="AB984" s="7"/>
      <c r="AC984" s="7" t="s">
        <v>107</v>
      </c>
      <c r="AD984" s="7"/>
      <c r="AE984" s="7"/>
      <c r="AF984" s="7" t="s">
        <v>113</v>
      </c>
      <c r="AG984" s="7" t="s">
        <v>114</v>
      </c>
      <c r="AH984" s="7" t="s">
        <v>115</v>
      </c>
    </row>
    <row r="985" spans="1:34" ht="9.75" customHeight="1" x14ac:dyDescent="0.2">
      <c r="A985" s="7" t="s">
        <v>37</v>
      </c>
      <c r="B985" s="7" t="s">
        <v>38</v>
      </c>
      <c r="C985" s="7"/>
      <c r="D985" s="7" t="s">
        <v>2408</v>
      </c>
      <c r="E985" s="8">
        <v>5</v>
      </c>
      <c r="F985" s="7" t="s">
        <v>109</v>
      </c>
      <c r="G985" s="7"/>
      <c r="H985" s="9"/>
      <c r="I985" s="10">
        <v>4320</v>
      </c>
      <c r="J985" s="9"/>
      <c r="K985" s="9"/>
      <c r="L985" s="10">
        <v>5870</v>
      </c>
      <c r="M985" s="9"/>
      <c r="N985" s="10">
        <v>5870</v>
      </c>
      <c r="O985" s="9"/>
      <c r="P985" s="10"/>
      <c r="Q985" s="10"/>
      <c r="R985" s="10"/>
      <c r="S985" s="7" t="s">
        <v>407</v>
      </c>
      <c r="T985" s="7" t="s">
        <v>117</v>
      </c>
      <c r="U985" s="7" t="s">
        <v>44</v>
      </c>
      <c r="V985" s="7" t="s">
        <v>45</v>
      </c>
      <c r="W985" s="7" t="s">
        <v>67</v>
      </c>
      <c r="X985" s="7" t="s">
        <v>68</v>
      </c>
      <c r="Y985" s="7" t="s">
        <v>2409</v>
      </c>
      <c r="Z985" s="7" t="s">
        <v>2403</v>
      </c>
      <c r="AA985" s="7"/>
      <c r="AB985" s="7"/>
      <c r="AC985" s="7" t="s">
        <v>107</v>
      </c>
      <c r="AD985" s="7"/>
      <c r="AE985" s="7"/>
      <c r="AF985" s="7" t="s">
        <v>113</v>
      </c>
      <c r="AG985" s="7" t="s">
        <v>114</v>
      </c>
      <c r="AH985" s="7" t="s">
        <v>115</v>
      </c>
    </row>
    <row r="986" spans="1:34" ht="9.75" customHeight="1" x14ac:dyDescent="0.2">
      <c r="A986" s="7" t="s">
        <v>37</v>
      </c>
      <c r="B986" s="7" t="s">
        <v>38</v>
      </c>
      <c r="C986" s="7"/>
      <c r="D986" s="7" t="s">
        <v>2410</v>
      </c>
      <c r="E986" s="8">
        <v>5</v>
      </c>
      <c r="F986" s="7" t="s">
        <v>109</v>
      </c>
      <c r="G986" s="7"/>
      <c r="H986" s="9"/>
      <c r="I986" s="10">
        <v>7391</v>
      </c>
      <c r="J986" s="9"/>
      <c r="K986" s="9"/>
      <c r="L986" s="10">
        <v>10503</v>
      </c>
      <c r="M986" s="9"/>
      <c r="N986" s="10">
        <v>10503</v>
      </c>
      <c r="O986" s="9"/>
      <c r="P986" s="10"/>
      <c r="Q986" s="10"/>
      <c r="R986" s="10"/>
      <c r="S986" s="7" t="s">
        <v>407</v>
      </c>
      <c r="T986" s="7" t="s">
        <v>117</v>
      </c>
      <c r="U986" s="7" t="s">
        <v>44</v>
      </c>
      <c r="V986" s="7" t="s">
        <v>45</v>
      </c>
      <c r="W986" s="7" t="s">
        <v>67</v>
      </c>
      <c r="X986" s="7" t="s">
        <v>68</v>
      </c>
      <c r="Y986" s="7" t="s">
        <v>2411</v>
      </c>
      <c r="Z986" s="7" t="s">
        <v>2403</v>
      </c>
      <c r="AA986" s="7"/>
      <c r="AB986" s="7"/>
      <c r="AC986" s="7" t="s">
        <v>107</v>
      </c>
      <c r="AD986" s="7"/>
      <c r="AE986" s="7"/>
      <c r="AF986" s="7" t="s">
        <v>113</v>
      </c>
      <c r="AG986" s="7" t="s">
        <v>114</v>
      </c>
      <c r="AH986" s="7" t="s">
        <v>115</v>
      </c>
    </row>
    <row r="987" spans="1:34" ht="9.75" customHeight="1" x14ac:dyDescent="0.2">
      <c r="A987" s="7" t="s">
        <v>37</v>
      </c>
      <c r="B987" s="7" t="s">
        <v>38</v>
      </c>
      <c r="C987" s="7"/>
      <c r="D987" s="7" t="s">
        <v>2412</v>
      </c>
      <c r="E987" s="8">
        <v>5</v>
      </c>
      <c r="F987" s="7" t="s">
        <v>109</v>
      </c>
      <c r="G987" s="7"/>
      <c r="H987" s="9"/>
      <c r="I987" s="10">
        <v>4103</v>
      </c>
      <c r="J987" s="9"/>
      <c r="K987" s="9"/>
      <c r="L987" s="10">
        <v>16823</v>
      </c>
      <c r="M987" s="9"/>
      <c r="N987" s="10">
        <v>16823</v>
      </c>
      <c r="O987" s="9"/>
      <c r="P987" s="10"/>
      <c r="Q987" s="10"/>
      <c r="R987" s="10"/>
      <c r="S987" s="7" t="s">
        <v>407</v>
      </c>
      <c r="T987" s="7" t="s">
        <v>117</v>
      </c>
      <c r="U987" s="7" t="s">
        <v>44</v>
      </c>
      <c r="V987" s="7" t="s">
        <v>45</v>
      </c>
      <c r="W987" s="7" t="s">
        <v>67</v>
      </c>
      <c r="X987" s="7" t="s">
        <v>68</v>
      </c>
      <c r="Y987" s="7" t="s">
        <v>2413</v>
      </c>
      <c r="Z987" s="7" t="s">
        <v>2403</v>
      </c>
      <c r="AA987" s="7"/>
      <c r="AB987" s="7"/>
      <c r="AC987" s="7" t="s">
        <v>107</v>
      </c>
      <c r="AD987" s="7"/>
      <c r="AE987" s="7"/>
      <c r="AF987" s="7" t="s">
        <v>113</v>
      </c>
      <c r="AG987" s="7" t="s">
        <v>114</v>
      </c>
      <c r="AH987" s="7" t="s">
        <v>115</v>
      </c>
    </row>
    <row r="988" spans="1:34" ht="9.75" customHeight="1" x14ac:dyDescent="0.2">
      <c r="A988" s="7" t="s">
        <v>37</v>
      </c>
      <c r="B988" s="7" t="s">
        <v>38</v>
      </c>
      <c r="C988" s="7"/>
      <c r="D988" s="7" t="s">
        <v>2414</v>
      </c>
      <c r="E988" s="8">
        <v>5</v>
      </c>
      <c r="F988" s="7" t="s">
        <v>109</v>
      </c>
      <c r="G988" s="7"/>
      <c r="H988" s="9"/>
      <c r="I988" s="10">
        <v>10706</v>
      </c>
      <c r="J988" s="9"/>
      <c r="K988" s="9"/>
      <c r="L988" s="10">
        <v>12216</v>
      </c>
      <c r="M988" s="9"/>
      <c r="N988" s="10">
        <v>12216</v>
      </c>
      <c r="O988" s="9"/>
      <c r="P988" s="10"/>
      <c r="Q988" s="10"/>
      <c r="R988" s="10"/>
      <c r="S988" s="7" t="s">
        <v>407</v>
      </c>
      <c r="T988" s="7" t="s">
        <v>117</v>
      </c>
      <c r="U988" s="7" t="s">
        <v>44</v>
      </c>
      <c r="V988" s="7" t="s">
        <v>45</v>
      </c>
      <c r="W988" s="7" t="s">
        <v>67</v>
      </c>
      <c r="X988" s="7" t="s">
        <v>68</v>
      </c>
      <c r="Y988" s="7" t="s">
        <v>2415</v>
      </c>
      <c r="Z988" s="7" t="s">
        <v>2416</v>
      </c>
      <c r="AA988" s="7"/>
      <c r="AB988" s="7"/>
      <c r="AC988" s="7" t="s">
        <v>107</v>
      </c>
      <c r="AD988" s="7"/>
      <c r="AE988" s="7"/>
      <c r="AF988" s="7" t="s">
        <v>113</v>
      </c>
      <c r="AG988" s="7" t="s">
        <v>114</v>
      </c>
      <c r="AH988" s="7" t="s">
        <v>115</v>
      </c>
    </row>
    <row r="989" spans="1:34" ht="9.75" customHeight="1" x14ac:dyDescent="0.2">
      <c r="A989" s="7" t="s">
        <v>37</v>
      </c>
      <c r="B989" s="7" t="s">
        <v>38</v>
      </c>
      <c r="C989" s="7"/>
      <c r="D989" s="7" t="s">
        <v>2417</v>
      </c>
      <c r="E989" s="8">
        <v>5</v>
      </c>
      <c r="F989" s="7" t="s">
        <v>109</v>
      </c>
      <c r="G989" s="7"/>
      <c r="H989" s="9"/>
      <c r="I989" s="10">
        <v>113</v>
      </c>
      <c r="J989" s="9"/>
      <c r="K989" s="9"/>
      <c r="L989" s="10">
        <v>142</v>
      </c>
      <c r="M989" s="9"/>
      <c r="N989" s="10">
        <v>142</v>
      </c>
      <c r="O989" s="9"/>
      <c r="P989" s="10"/>
      <c r="Q989" s="10"/>
      <c r="R989" s="10"/>
      <c r="S989" s="7" t="s">
        <v>407</v>
      </c>
      <c r="T989" s="7" t="s">
        <v>117</v>
      </c>
      <c r="U989" s="7" t="s">
        <v>44</v>
      </c>
      <c r="V989" s="7" t="s">
        <v>45</v>
      </c>
      <c r="W989" s="7" t="s">
        <v>67</v>
      </c>
      <c r="X989" s="7" t="s">
        <v>68</v>
      </c>
      <c r="Y989" s="7" t="s">
        <v>2418</v>
      </c>
      <c r="Z989" s="7" t="s">
        <v>2416</v>
      </c>
      <c r="AA989" s="7"/>
      <c r="AB989" s="7"/>
      <c r="AC989" s="7" t="s">
        <v>107</v>
      </c>
      <c r="AD989" s="7"/>
      <c r="AE989" s="7"/>
      <c r="AF989" s="7" t="s">
        <v>113</v>
      </c>
      <c r="AG989" s="7" t="s">
        <v>114</v>
      </c>
      <c r="AH989" s="7" t="s">
        <v>115</v>
      </c>
    </row>
    <row r="990" spans="1:34" ht="9.75" customHeight="1" x14ac:dyDescent="0.2">
      <c r="A990" s="7" t="s">
        <v>37</v>
      </c>
      <c r="B990" s="7" t="s">
        <v>38</v>
      </c>
      <c r="C990" s="7"/>
      <c r="D990" s="7" t="s">
        <v>2419</v>
      </c>
      <c r="E990" s="8">
        <v>5</v>
      </c>
      <c r="F990" s="7" t="s">
        <v>109</v>
      </c>
      <c r="G990" s="7"/>
      <c r="H990" s="9"/>
      <c r="I990" s="10">
        <v>843</v>
      </c>
      <c r="J990" s="9"/>
      <c r="K990" s="9"/>
      <c r="L990" s="10">
        <v>138</v>
      </c>
      <c r="M990" s="9"/>
      <c r="N990" s="10">
        <v>138</v>
      </c>
      <c r="O990" s="9"/>
      <c r="P990" s="10"/>
      <c r="Q990" s="10"/>
      <c r="R990" s="10"/>
      <c r="S990" s="7" t="s">
        <v>407</v>
      </c>
      <c r="T990" s="7" t="s">
        <v>117</v>
      </c>
      <c r="U990" s="7" t="s">
        <v>44</v>
      </c>
      <c r="V990" s="7" t="s">
        <v>45</v>
      </c>
      <c r="W990" s="7" t="s">
        <v>67</v>
      </c>
      <c r="X990" s="7" t="s">
        <v>68</v>
      </c>
      <c r="Y990" s="7" t="s">
        <v>2420</v>
      </c>
      <c r="Z990" s="7" t="s">
        <v>2416</v>
      </c>
      <c r="AA990" s="7"/>
      <c r="AB990" s="7"/>
      <c r="AC990" s="7" t="s">
        <v>107</v>
      </c>
      <c r="AD990" s="7"/>
      <c r="AE990" s="7"/>
      <c r="AF990" s="7" t="s">
        <v>113</v>
      </c>
      <c r="AG990" s="7" t="s">
        <v>114</v>
      </c>
      <c r="AH990" s="7" t="s">
        <v>115</v>
      </c>
    </row>
    <row r="991" spans="1:34" ht="9.75" customHeight="1" x14ac:dyDescent="0.2">
      <c r="A991" s="7" t="s">
        <v>37</v>
      </c>
      <c r="B991" s="7" t="s">
        <v>38</v>
      </c>
      <c r="C991" s="7"/>
      <c r="D991" s="7" t="s">
        <v>2421</v>
      </c>
      <c r="E991" s="8">
        <v>5</v>
      </c>
      <c r="F991" s="7" t="s">
        <v>109</v>
      </c>
      <c r="G991" s="7"/>
      <c r="H991" s="9"/>
      <c r="I991" s="10">
        <v>490</v>
      </c>
      <c r="J991" s="9"/>
      <c r="K991" s="9"/>
      <c r="L991" s="10">
        <v>675</v>
      </c>
      <c r="M991" s="9"/>
      <c r="N991" s="10">
        <v>675</v>
      </c>
      <c r="O991" s="9"/>
      <c r="P991" s="10"/>
      <c r="Q991" s="10"/>
      <c r="R991" s="10"/>
      <c r="S991" s="7" t="s">
        <v>407</v>
      </c>
      <c r="T991" s="7" t="s">
        <v>117</v>
      </c>
      <c r="U991" s="7" t="s">
        <v>44</v>
      </c>
      <c r="V991" s="7" t="s">
        <v>45</v>
      </c>
      <c r="W991" s="7" t="s">
        <v>67</v>
      </c>
      <c r="X991" s="7" t="s">
        <v>68</v>
      </c>
      <c r="Y991" s="7" t="s">
        <v>2422</v>
      </c>
      <c r="Z991" s="7" t="s">
        <v>2416</v>
      </c>
      <c r="AA991" s="7"/>
      <c r="AB991" s="7"/>
      <c r="AC991" s="7" t="s">
        <v>107</v>
      </c>
      <c r="AD991" s="7"/>
      <c r="AE991" s="7"/>
      <c r="AF991" s="7" t="s">
        <v>113</v>
      </c>
      <c r="AG991" s="7" t="s">
        <v>114</v>
      </c>
      <c r="AH991" s="7" t="s">
        <v>115</v>
      </c>
    </row>
    <row r="992" spans="1:34" ht="9.75" customHeight="1" x14ac:dyDescent="0.2">
      <c r="A992" s="7" t="s">
        <v>37</v>
      </c>
      <c r="B992" s="7" t="s">
        <v>38</v>
      </c>
      <c r="C992" s="7"/>
      <c r="D992" s="7" t="s">
        <v>2423</v>
      </c>
      <c r="E992" s="8">
        <v>5</v>
      </c>
      <c r="F992" s="7" t="s">
        <v>109</v>
      </c>
      <c r="G992" s="7"/>
      <c r="H992" s="9"/>
      <c r="I992" s="10">
        <v>2327</v>
      </c>
      <c r="J992" s="9"/>
      <c r="K992" s="9"/>
      <c r="L992" s="10">
        <v>2723</v>
      </c>
      <c r="M992" s="9"/>
      <c r="N992" s="10">
        <v>2723</v>
      </c>
      <c r="O992" s="9"/>
      <c r="P992" s="10"/>
      <c r="Q992" s="10"/>
      <c r="R992" s="10"/>
      <c r="S992" s="7" t="s">
        <v>407</v>
      </c>
      <c r="T992" s="7" t="s">
        <v>117</v>
      </c>
      <c r="U992" s="7" t="s">
        <v>44</v>
      </c>
      <c r="V992" s="7" t="s">
        <v>45</v>
      </c>
      <c r="W992" s="7" t="s">
        <v>67</v>
      </c>
      <c r="X992" s="7" t="s">
        <v>68</v>
      </c>
      <c r="Y992" s="7" t="s">
        <v>2424</v>
      </c>
      <c r="Z992" s="7" t="s">
        <v>2416</v>
      </c>
      <c r="AA992" s="7"/>
      <c r="AB992" s="7"/>
      <c r="AC992" s="7" t="s">
        <v>107</v>
      </c>
      <c r="AD992" s="7"/>
      <c r="AE992" s="7"/>
      <c r="AF992" s="7" t="s">
        <v>113</v>
      </c>
      <c r="AG992" s="7" t="s">
        <v>114</v>
      </c>
      <c r="AH992" s="7" t="s">
        <v>115</v>
      </c>
    </row>
    <row r="993" spans="1:34" ht="9.75" customHeight="1" x14ac:dyDescent="0.2">
      <c r="A993" s="7" t="s">
        <v>37</v>
      </c>
      <c r="B993" s="7" t="s">
        <v>38</v>
      </c>
      <c r="C993" s="7"/>
      <c r="D993" s="7" t="s">
        <v>2425</v>
      </c>
      <c r="E993" s="8">
        <v>5</v>
      </c>
      <c r="F993" s="7" t="s">
        <v>109</v>
      </c>
      <c r="G993" s="7"/>
      <c r="H993" s="9"/>
      <c r="I993" s="10">
        <v>175</v>
      </c>
      <c r="J993" s="9"/>
      <c r="K993" s="9"/>
      <c r="L993" s="10">
        <v>565</v>
      </c>
      <c r="M993" s="9"/>
      <c r="N993" s="10">
        <v>565</v>
      </c>
      <c r="O993" s="9"/>
      <c r="P993" s="10"/>
      <c r="Q993" s="10"/>
      <c r="R993" s="10"/>
      <c r="S993" s="7" t="s">
        <v>407</v>
      </c>
      <c r="T993" s="7" t="s">
        <v>117</v>
      </c>
      <c r="U993" s="7" t="s">
        <v>44</v>
      </c>
      <c r="V993" s="7" t="s">
        <v>45</v>
      </c>
      <c r="W993" s="7" t="s">
        <v>67</v>
      </c>
      <c r="X993" s="7" t="s">
        <v>68</v>
      </c>
      <c r="Y993" s="7" t="s">
        <v>2426</v>
      </c>
      <c r="Z993" s="7" t="s">
        <v>2416</v>
      </c>
      <c r="AA993" s="7"/>
      <c r="AB993" s="7"/>
      <c r="AC993" s="7" t="s">
        <v>107</v>
      </c>
      <c r="AD993" s="7"/>
      <c r="AE993" s="7"/>
      <c r="AF993" s="7" t="s">
        <v>113</v>
      </c>
      <c r="AG993" s="7" t="s">
        <v>114</v>
      </c>
      <c r="AH993" s="7" t="s">
        <v>115</v>
      </c>
    </row>
    <row r="994" spans="1:34" ht="9.75" customHeight="1" x14ac:dyDescent="0.2">
      <c r="A994" s="7" t="s">
        <v>37</v>
      </c>
      <c r="B994" s="7" t="s">
        <v>38</v>
      </c>
      <c r="C994" s="7"/>
      <c r="D994" s="7" t="s">
        <v>2427</v>
      </c>
      <c r="E994" s="8">
        <v>5</v>
      </c>
      <c r="F994" s="7" t="s">
        <v>109</v>
      </c>
      <c r="G994" s="7"/>
      <c r="H994" s="9"/>
      <c r="I994" s="10">
        <v>4863</v>
      </c>
      <c r="J994" s="9"/>
      <c r="K994" s="9"/>
      <c r="L994" s="10">
        <v>10323</v>
      </c>
      <c r="M994" s="9"/>
      <c r="N994" s="10">
        <v>10323</v>
      </c>
      <c r="O994" s="9"/>
      <c r="P994" s="10"/>
      <c r="Q994" s="10"/>
      <c r="R994" s="10"/>
      <c r="S994" s="7" t="s">
        <v>407</v>
      </c>
      <c r="T994" s="7" t="s">
        <v>117</v>
      </c>
      <c r="U994" s="7" t="s">
        <v>44</v>
      </c>
      <c r="V994" s="7" t="s">
        <v>45</v>
      </c>
      <c r="W994" s="7" t="s">
        <v>67</v>
      </c>
      <c r="X994" s="7" t="s">
        <v>68</v>
      </c>
      <c r="Y994" s="7" t="s">
        <v>2428</v>
      </c>
      <c r="Z994" s="7" t="s">
        <v>2429</v>
      </c>
      <c r="AA994" s="7"/>
      <c r="AB994" s="7"/>
      <c r="AC994" s="7" t="s">
        <v>107</v>
      </c>
      <c r="AD994" s="7"/>
      <c r="AE994" s="7"/>
      <c r="AF994" s="7" t="s">
        <v>113</v>
      </c>
      <c r="AG994" s="7" t="s">
        <v>114</v>
      </c>
      <c r="AH994" s="7" t="s">
        <v>115</v>
      </c>
    </row>
    <row r="995" spans="1:34" ht="9.75" customHeight="1" x14ac:dyDescent="0.2">
      <c r="A995" s="7" t="s">
        <v>37</v>
      </c>
      <c r="B995" s="7" t="s">
        <v>38</v>
      </c>
      <c r="C995" s="7"/>
      <c r="D995" s="7" t="s">
        <v>2430</v>
      </c>
      <c r="E995" s="8">
        <v>5</v>
      </c>
      <c r="F995" s="7" t="s">
        <v>109</v>
      </c>
      <c r="G995" s="7"/>
      <c r="H995" s="9"/>
      <c r="I995" s="10">
        <v>617</v>
      </c>
      <c r="J995" s="9"/>
      <c r="K995" s="9"/>
      <c r="L995" s="10">
        <v>330</v>
      </c>
      <c r="M995" s="9"/>
      <c r="N995" s="10">
        <v>330</v>
      </c>
      <c r="O995" s="9"/>
      <c r="P995" s="10"/>
      <c r="Q995" s="10"/>
      <c r="R995" s="10"/>
      <c r="S995" s="7" t="s">
        <v>407</v>
      </c>
      <c r="T995" s="7" t="s">
        <v>117</v>
      </c>
      <c r="U995" s="7" t="s">
        <v>44</v>
      </c>
      <c r="V995" s="7" t="s">
        <v>45</v>
      </c>
      <c r="W995" s="7" t="s">
        <v>67</v>
      </c>
      <c r="X995" s="7" t="s">
        <v>68</v>
      </c>
      <c r="Y995" s="7" t="s">
        <v>2431</v>
      </c>
      <c r="Z995" s="7" t="s">
        <v>2429</v>
      </c>
      <c r="AA995" s="7"/>
      <c r="AB995" s="7"/>
      <c r="AC995" s="7" t="s">
        <v>107</v>
      </c>
      <c r="AD995" s="7"/>
      <c r="AE995" s="7"/>
      <c r="AF995" s="7" t="s">
        <v>113</v>
      </c>
      <c r="AG995" s="7" t="s">
        <v>114</v>
      </c>
      <c r="AH995" s="7" t="s">
        <v>115</v>
      </c>
    </row>
    <row r="996" spans="1:34" ht="9.75" customHeight="1" x14ac:dyDescent="0.2">
      <c r="A996" s="7" t="s">
        <v>37</v>
      </c>
      <c r="B996" s="7" t="s">
        <v>38</v>
      </c>
      <c r="C996" s="7"/>
      <c r="D996" s="7" t="s">
        <v>2432</v>
      </c>
      <c r="E996" s="8">
        <v>5</v>
      </c>
      <c r="F996" s="7" t="s">
        <v>109</v>
      </c>
      <c r="G996" s="7"/>
      <c r="H996" s="9"/>
      <c r="I996" s="10">
        <v>3335</v>
      </c>
      <c r="J996" s="9"/>
      <c r="K996" s="9"/>
      <c r="L996" s="10">
        <v>710</v>
      </c>
      <c r="M996" s="9"/>
      <c r="N996" s="10">
        <v>710</v>
      </c>
      <c r="O996" s="9"/>
      <c r="P996" s="10"/>
      <c r="Q996" s="10"/>
      <c r="R996" s="10"/>
      <c r="S996" s="7" t="s">
        <v>407</v>
      </c>
      <c r="T996" s="7" t="s">
        <v>117</v>
      </c>
      <c r="U996" s="7" t="s">
        <v>44</v>
      </c>
      <c r="V996" s="7" t="s">
        <v>45</v>
      </c>
      <c r="W996" s="7" t="s">
        <v>67</v>
      </c>
      <c r="X996" s="7" t="s">
        <v>68</v>
      </c>
      <c r="Y996" s="7" t="s">
        <v>2433</v>
      </c>
      <c r="Z996" s="7" t="s">
        <v>2429</v>
      </c>
      <c r="AA996" s="7"/>
      <c r="AB996" s="7"/>
      <c r="AC996" s="7" t="s">
        <v>107</v>
      </c>
      <c r="AD996" s="7"/>
      <c r="AE996" s="7"/>
      <c r="AF996" s="7" t="s">
        <v>113</v>
      </c>
      <c r="AG996" s="7" t="s">
        <v>114</v>
      </c>
      <c r="AH996" s="7" t="s">
        <v>115</v>
      </c>
    </row>
    <row r="997" spans="1:34" ht="9.75" customHeight="1" x14ac:dyDescent="0.2">
      <c r="A997" s="7" t="s">
        <v>37</v>
      </c>
      <c r="B997" s="7" t="s">
        <v>38</v>
      </c>
      <c r="C997" s="7"/>
      <c r="D997" s="7" t="s">
        <v>2434</v>
      </c>
      <c r="E997" s="8">
        <v>5</v>
      </c>
      <c r="F997" s="7" t="s">
        <v>109</v>
      </c>
      <c r="G997" s="7"/>
      <c r="H997" s="9"/>
      <c r="I997" s="10">
        <v>262</v>
      </c>
      <c r="J997" s="9"/>
      <c r="K997" s="9"/>
      <c r="L997" s="10">
        <v>188</v>
      </c>
      <c r="M997" s="9"/>
      <c r="N997" s="10">
        <v>188</v>
      </c>
      <c r="O997" s="9"/>
      <c r="P997" s="10"/>
      <c r="Q997" s="10"/>
      <c r="R997" s="10"/>
      <c r="S997" s="7" t="s">
        <v>407</v>
      </c>
      <c r="T997" s="7" t="s">
        <v>117</v>
      </c>
      <c r="U997" s="7" t="s">
        <v>44</v>
      </c>
      <c r="V997" s="7" t="s">
        <v>45</v>
      </c>
      <c r="W997" s="7" t="s">
        <v>67</v>
      </c>
      <c r="X997" s="7" t="s">
        <v>68</v>
      </c>
      <c r="Y997" s="7" t="s">
        <v>2435</v>
      </c>
      <c r="Z997" s="7" t="s">
        <v>2429</v>
      </c>
      <c r="AA997" s="7"/>
      <c r="AB997" s="7"/>
      <c r="AC997" s="7" t="s">
        <v>107</v>
      </c>
      <c r="AD997" s="7"/>
      <c r="AE997" s="7"/>
      <c r="AF997" s="7" t="s">
        <v>113</v>
      </c>
      <c r="AG997" s="7" t="s">
        <v>114</v>
      </c>
      <c r="AH997" s="7" t="s">
        <v>115</v>
      </c>
    </row>
    <row r="998" spans="1:34" ht="9.75" customHeight="1" x14ac:dyDescent="0.2">
      <c r="A998" s="7" t="s">
        <v>37</v>
      </c>
      <c r="B998" s="7" t="s">
        <v>38</v>
      </c>
      <c r="C998" s="7"/>
      <c r="D998" s="7" t="s">
        <v>2436</v>
      </c>
      <c r="E998" s="8">
        <v>5</v>
      </c>
      <c r="F998" s="7" t="s">
        <v>109</v>
      </c>
      <c r="G998" s="7"/>
      <c r="H998" s="9"/>
      <c r="I998" s="9"/>
      <c r="J998" s="9"/>
      <c r="K998" s="9"/>
      <c r="L998" s="10">
        <v>7797</v>
      </c>
      <c r="M998" s="9"/>
      <c r="N998" s="10">
        <v>7797</v>
      </c>
      <c r="O998" s="9"/>
      <c r="P998" s="10"/>
      <c r="Q998" s="10"/>
      <c r="R998" s="10"/>
      <c r="S998" s="7" t="s">
        <v>407</v>
      </c>
      <c r="T998" s="7" t="s">
        <v>117</v>
      </c>
      <c r="U998" s="7" t="s">
        <v>44</v>
      </c>
      <c r="V998" s="7" t="s">
        <v>45</v>
      </c>
      <c r="W998" s="7" t="s">
        <v>67</v>
      </c>
      <c r="X998" s="7" t="s">
        <v>68</v>
      </c>
      <c r="Y998" s="7" t="s">
        <v>2437</v>
      </c>
      <c r="Z998" s="7" t="s">
        <v>2438</v>
      </c>
      <c r="AA998" s="7"/>
      <c r="AB998" s="7"/>
      <c r="AC998" s="7" t="s">
        <v>107</v>
      </c>
      <c r="AD998" s="7"/>
      <c r="AE998" s="7"/>
      <c r="AF998" s="7" t="s">
        <v>113</v>
      </c>
      <c r="AG998" s="7" t="s">
        <v>114</v>
      </c>
      <c r="AH998" s="7" t="s">
        <v>115</v>
      </c>
    </row>
    <row r="999" spans="1:34" ht="9.75" customHeight="1" x14ac:dyDescent="0.2">
      <c r="A999" s="7" t="s">
        <v>37</v>
      </c>
      <c r="B999" s="7" t="s">
        <v>38</v>
      </c>
      <c r="C999" s="7"/>
      <c r="D999" s="7" t="s">
        <v>2439</v>
      </c>
      <c r="E999" s="8">
        <v>5</v>
      </c>
      <c r="F999" s="7" t="s">
        <v>109</v>
      </c>
      <c r="G999" s="7"/>
      <c r="H999" s="9"/>
      <c r="I999" s="9"/>
      <c r="J999" s="9"/>
      <c r="K999" s="9"/>
      <c r="L999" s="10">
        <v>1288</v>
      </c>
      <c r="M999" s="9"/>
      <c r="N999" s="10">
        <v>1288</v>
      </c>
      <c r="O999" s="9"/>
      <c r="P999" s="10"/>
      <c r="Q999" s="10"/>
      <c r="R999" s="10"/>
      <c r="S999" s="7" t="s">
        <v>407</v>
      </c>
      <c r="T999" s="7" t="s">
        <v>117</v>
      </c>
      <c r="U999" s="7" t="s">
        <v>44</v>
      </c>
      <c r="V999" s="7" t="s">
        <v>45</v>
      </c>
      <c r="W999" s="7" t="s">
        <v>67</v>
      </c>
      <c r="X999" s="7" t="s">
        <v>68</v>
      </c>
      <c r="Y999" s="7" t="s">
        <v>2440</v>
      </c>
      <c r="Z999" s="7" t="s">
        <v>2438</v>
      </c>
      <c r="AA999" s="7"/>
      <c r="AB999" s="7"/>
      <c r="AC999" s="7" t="s">
        <v>107</v>
      </c>
      <c r="AD999" s="7"/>
      <c r="AE999" s="7"/>
      <c r="AF999" s="7" t="s">
        <v>113</v>
      </c>
      <c r="AG999" s="7" t="s">
        <v>114</v>
      </c>
      <c r="AH999" s="7" t="s">
        <v>115</v>
      </c>
    </row>
    <row r="1000" spans="1:34" ht="9.75" customHeight="1" x14ac:dyDescent="0.2">
      <c r="A1000" s="7" t="s">
        <v>37</v>
      </c>
      <c r="B1000" s="7" t="s">
        <v>38</v>
      </c>
      <c r="C1000" s="7"/>
      <c r="D1000" s="7" t="s">
        <v>2441</v>
      </c>
      <c r="E1000" s="8">
        <v>5</v>
      </c>
      <c r="F1000" s="7" t="s">
        <v>109</v>
      </c>
      <c r="G1000" s="7"/>
      <c r="H1000" s="9"/>
      <c r="I1000" s="10">
        <v>569</v>
      </c>
      <c r="J1000" s="9"/>
      <c r="K1000" s="9"/>
      <c r="L1000" s="10">
        <v>636</v>
      </c>
      <c r="M1000" s="9"/>
      <c r="N1000" s="10">
        <v>636</v>
      </c>
      <c r="O1000" s="9"/>
      <c r="P1000" s="10"/>
      <c r="Q1000" s="10"/>
      <c r="R1000" s="10"/>
      <c r="S1000" s="7" t="s">
        <v>407</v>
      </c>
      <c r="T1000" s="7" t="s">
        <v>117</v>
      </c>
      <c r="U1000" s="7" t="s">
        <v>44</v>
      </c>
      <c r="V1000" s="7" t="s">
        <v>45</v>
      </c>
      <c r="W1000" s="7" t="s">
        <v>67</v>
      </c>
      <c r="X1000" s="7" t="s">
        <v>68</v>
      </c>
      <c r="Y1000" s="7" t="s">
        <v>2442</v>
      </c>
      <c r="Z1000" s="7" t="s">
        <v>2438</v>
      </c>
      <c r="AA1000" s="7"/>
      <c r="AB1000" s="7"/>
      <c r="AC1000" s="7" t="s">
        <v>107</v>
      </c>
      <c r="AD1000" s="7"/>
      <c r="AE1000" s="7"/>
      <c r="AF1000" s="7" t="s">
        <v>113</v>
      </c>
      <c r="AG1000" s="7" t="s">
        <v>114</v>
      </c>
      <c r="AH1000" s="7" t="s">
        <v>115</v>
      </c>
    </row>
    <row r="1001" spans="1:34" ht="9.75" customHeight="1" x14ac:dyDescent="0.2">
      <c r="A1001" s="7" t="s">
        <v>37</v>
      </c>
      <c r="B1001" s="7" t="s">
        <v>38</v>
      </c>
      <c r="C1001" s="7"/>
      <c r="D1001" s="7" t="s">
        <v>2443</v>
      </c>
      <c r="E1001" s="8">
        <v>5</v>
      </c>
      <c r="F1001" s="7" t="s">
        <v>109</v>
      </c>
      <c r="G1001" s="7"/>
      <c r="H1001" s="9"/>
      <c r="I1001" s="10">
        <v>1034</v>
      </c>
      <c r="J1001" s="9"/>
      <c r="K1001" s="9"/>
      <c r="L1001" s="10">
        <v>1405</v>
      </c>
      <c r="M1001" s="9"/>
      <c r="N1001" s="10">
        <v>1405</v>
      </c>
      <c r="O1001" s="9"/>
      <c r="P1001" s="10"/>
      <c r="Q1001" s="10"/>
      <c r="R1001" s="10"/>
      <c r="S1001" s="7" t="s">
        <v>407</v>
      </c>
      <c r="T1001" s="7" t="s">
        <v>117</v>
      </c>
      <c r="U1001" s="7" t="s">
        <v>44</v>
      </c>
      <c r="V1001" s="7" t="s">
        <v>45</v>
      </c>
      <c r="W1001" s="7" t="s">
        <v>67</v>
      </c>
      <c r="X1001" s="7" t="s">
        <v>68</v>
      </c>
      <c r="Y1001" s="7" t="s">
        <v>2444</v>
      </c>
      <c r="Z1001" s="7" t="s">
        <v>2438</v>
      </c>
      <c r="AA1001" s="7"/>
      <c r="AB1001" s="7"/>
      <c r="AC1001" s="7" t="s">
        <v>107</v>
      </c>
      <c r="AD1001" s="7"/>
      <c r="AE1001" s="7"/>
      <c r="AF1001" s="7" t="s">
        <v>113</v>
      </c>
      <c r="AG1001" s="7" t="s">
        <v>114</v>
      </c>
      <c r="AH1001" s="7" t="s">
        <v>115</v>
      </c>
    </row>
    <row r="1002" spans="1:34" ht="9.75" customHeight="1" x14ac:dyDescent="0.2">
      <c r="A1002" s="7" t="s">
        <v>37</v>
      </c>
      <c r="B1002" s="7" t="s">
        <v>38</v>
      </c>
      <c r="C1002" s="7"/>
      <c r="D1002" s="7" t="s">
        <v>2445</v>
      </c>
      <c r="E1002" s="8">
        <v>5</v>
      </c>
      <c r="F1002" s="7" t="s">
        <v>109</v>
      </c>
      <c r="G1002" s="7"/>
      <c r="H1002" s="9"/>
      <c r="I1002" s="10">
        <v>1192</v>
      </c>
      <c r="J1002" s="9"/>
      <c r="K1002" s="9"/>
      <c r="L1002" s="10">
        <v>2517</v>
      </c>
      <c r="M1002" s="9"/>
      <c r="N1002" s="10">
        <v>2517</v>
      </c>
      <c r="O1002" s="9"/>
      <c r="P1002" s="10"/>
      <c r="Q1002" s="10"/>
      <c r="R1002" s="10"/>
      <c r="S1002" s="7" t="s">
        <v>407</v>
      </c>
      <c r="T1002" s="7" t="s">
        <v>117</v>
      </c>
      <c r="U1002" s="7" t="s">
        <v>44</v>
      </c>
      <c r="V1002" s="7" t="s">
        <v>45</v>
      </c>
      <c r="W1002" s="7" t="s">
        <v>67</v>
      </c>
      <c r="X1002" s="7" t="s">
        <v>68</v>
      </c>
      <c r="Y1002" s="7" t="s">
        <v>2446</v>
      </c>
      <c r="Z1002" s="7" t="s">
        <v>2438</v>
      </c>
      <c r="AA1002" s="7"/>
      <c r="AB1002" s="7"/>
      <c r="AC1002" s="7" t="s">
        <v>107</v>
      </c>
      <c r="AD1002" s="7"/>
      <c r="AE1002" s="7"/>
      <c r="AF1002" s="7" t="s">
        <v>113</v>
      </c>
      <c r="AG1002" s="7" t="s">
        <v>114</v>
      </c>
      <c r="AH1002" s="7" t="s">
        <v>115</v>
      </c>
    </row>
    <row r="1003" spans="1:34" ht="9.75" customHeight="1" x14ac:dyDescent="0.2">
      <c r="A1003" s="7" t="s">
        <v>37</v>
      </c>
      <c r="B1003" s="7" t="s">
        <v>38</v>
      </c>
      <c r="C1003" s="7"/>
      <c r="D1003" s="7" t="s">
        <v>2447</v>
      </c>
      <c r="E1003" s="8">
        <v>5</v>
      </c>
      <c r="F1003" s="7" t="s">
        <v>109</v>
      </c>
      <c r="G1003" s="7"/>
      <c r="H1003" s="9"/>
      <c r="I1003" s="10">
        <v>3463</v>
      </c>
      <c r="J1003" s="9"/>
      <c r="K1003" s="9"/>
      <c r="L1003" s="10">
        <v>5420</v>
      </c>
      <c r="M1003" s="9"/>
      <c r="N1003" s="10">
        <v>5420</v>
      </c>
      <c r="O1003" s="9"/>
      <c r="P1003" s="10"/>
      <c r="Q1003" s="10"/>
      <c r="R1003" s="10"/>
      <c r="S1003" s="7" t="s">
        <v>407</v>
      </c>
      <c r="T1003" s="7" t="s">
        <v>117</v>
      </c>
      <c r="U1003" s="7" t="s">
        <v>44</v>
      </c>
      <c r="V1003" s="7" t="s">
        <v>45</v>
      </c>
      <c r="W1003" s="7" t="s">
        <v>67</v>
      </c>
      <c r="X1003" s="7" t="s">
        <v>68</v>
      </c>
      <c r="Y1003" s="7" t="s">
        <v>2448</v>
      </c>
      <c r="Z1003" s="7" t="s">
        <v>2449</v>
      </c>
      <c r="AA1003" s="7"/>
      <c r="AB1003" s="7"/>
      <c r="AC1003" s="7" t="s">
        <v>107</v>
      </c>
      <c r="AD1003" s="7"/>
      <c r="AE1003" s="7"/>
      <c r="AF1003" s="7" t="s">
        <v>113</v>
      </c>
      <c r="AG1003" s="7" t="s">
        <v>114</v>
      </c>
      <c r="AH1003" s="7" t="s">
        <v>115</v>
      </c>
    </row>
    <row r="1004" spans="1:34" ht="9.75" customHeight="1" x14ac:dyDescent="0.2">
      <c r="A1004" s="7" t="s">
        <v>37</v>
      </c>
      <c r="B1004" s="7" t="s">
        <v>38</v>
      </c>
      <c r="C1004" s="7"/>
      <c r="D1004" s="7" t="s">
        <v>2450</v>
      </c>
      <c r="E1004" s="8">
        <v>5</v>
      </c>
      <c r="F1004" s="7" t="s">
        <v>109</v>
      </c>
      <c r="G1004" s="7"/>
      <c r="H1004" s="9"/>
      <c r="I1004" s="9"/>
      <c r="J1004" s="9"/>
      <c r="K1004" s="9"/>
      <c r="L1004" s="10">
        <v>139</v>
      </c>
      <c r="M1004" s="9"/>
      <c r="N1004" s="10">
        <v>139</v>
      </c>
      <c r="O1004" s="9"/>
      <c r="P1004" s="10"/>
      <c r="Q1004" s="10"/>
      <c r="R1004" s="10"/>
      <c r="S1004" s="7" t="s">
        <v>407</v>
      </c>
      <c r="T1004" s="7" t="s">
        <v>117</v>
      </c>
      <c r="U1004" s="7" t="s">
        <v>44</v>
      </c>
      <c r="V1004" s="7" t="s">
        <v>45</v>
      </c>
      <c r="W1004" s="7" t="s">
        <v>67</v>
      </c>
      <c r="X1004" s="7" t="s">
        <v>68</v>
      </c>
      <c r="Y1004" s="7" t="s">
        <v>2451</v>
      </c>
      <c r="Z1004" s="7" t="s">
        <v>2449</v>
      </c>
      <c r="AA1004" s="7"/>
      <c r="AB1004" s="7"/>
      <c r="AC1004" s="7" t="s">
        <v>107</v>
      </c>
      <c r="AD1004" s="7"/>
      <c r="AE1004" s="7"/>
      <c r="AF1004" s="7" t="s">
        <v>113</v>
      </c>
      <c r="AG1004" s="7" t="s">
        <v>114</v>
      </c>
      <c r="AH1004" s="7" t="s">
        <v>115</v>
      </c>
    </row>
    <row r="1005" spans="1:34" ht="9.75" customHeight="1" x14ac:dyDescent="0.2">
      <c r="A1005" s="7" t="s">
        <v>37</v>
      </c>
      <c r="B1005" s="7" t="s">
        <v>38</v>
      </c>
      <c r="C1005" s="7"/>
      <c r="D1005" s="7" t="s">
        <v>2452</v>
      </c>
      <c r="E1005" s="8">
        <v>5</v>
      </c>
      <c r="F1005" s="7" t="s">
        <v>109</v>
      </c>
      <c r="G1005" s="7"/>
      <c r="H1005" s="9"/>
      <c r="I1005" s="10">
        <v>453</v>
      </c>
      <c r="J1005" s="9"/>
      <c r="K1005" s="9"/>
      <c r="L1005" s="10">
        <v>821</v>
      </c>
      <c r="M1005" s="9"/>
      <c r="N1005" s="10">
        <v>821</v>
      </c>
      <c r="O1005" s="9"/>
      <c r="P1005" s="10"/>
      <c r="Q1005" s="10"/>
      <c r="R1005" s="10"/>
      <c r="S1005" s="7" t="s">
        <v>407</v>
      </c>
      <c r="T1005" s="7" t="s">
        <v>117</v>
      </c>
      <c r="U1005" s="7" t="s">
        <v>44</v>
      </c>
      <c r="V1005" s="7" t="s">
        <v>45</v>
      </c>
      <c r="W1005" s="7" t="s">
        <v>67</v>
      </c>
      <c r="X1005" s="7" t="s">
        <v>68</v>
      </c>
      <c r="Y1005" s="7" t="s">
        <v>2453</v>
      </c>
      <c r="Z1005" s="7" t="s">
        <v>2449</v>
      </c>
      <c r="AA1005" s="7"/>
      <c r="AB1005" s="7"/>
      <c r="AC1005" s="7" t="s">
        <v>107</v>
      </c>
      <c r="AD1005" s="7"/>
      <c r="AE1005" s="7"/>
      <c r="AF1005" s="7" t="s">
        <v>113</v>
      </c>
      <c r="AG1005" s="7" t="s">
        <v>114</v>
      </c>
      <c r="AH1005" s="7" t="s">
        <v>115</v>
      </c>
    </row>
    <row r="1006" spans="1:34" ht="9.75" customHeight="1" x14ac:dyDescent="0.2">
      <c r="A1006" s="7" t="s">
        <v>37</v>
      </c>
      <c r="B1006" s="7" t="s">
        <v>38</v>
      </c>
      <c r="C1006" s="7"/>
      <c r="D1006" s="7" t="s">
        <v>2454</v>
      </c>
      <c r="E1006" s="8">
        <v>5</v>
      </c>
      <c r="F1006" s="7" t="s">
        <v>109</v>
      </c>
      <c r="G1006" s="7"/>
      <c r="H1006" s="9"/>
      <c r="I1006" s="10">
        <v>546</v>
      </c>
      <c r="J1006" s="9"/>
      <c r="K1006" s="9"/>
      <c r="L1006" s="10">
        <v>592</v>
      </c>
      <c r="M1006" s="9"/>
      <c r="N1006" s="10">
        <v>592</v>
      </c>
      <c r="O1006" s="9"/>
      <c r="P1006" s="10"/>
      <c r="Q1006" s="10"/>
      <c r="R1006" s="10"/>
      <c r="S1006" s="7" t="s">
        <v>407</v>
      </c>
      <c r="T1006" s="7" t="s">
        <v>117</v>
      </c>
      <c r="U1006" s="7" t="s">
        <v>44</v>
      </c>
      <c r="V1006" s="7" t="s">
        <v>45</v>
      </c>
      <c r="W1006" s="7" t="s">
        <v>67</v>
      </c>
      <c r="X1006" s="7" t="s">
        <v>68</v>
      </c>
      <c r="Y1006" s="7" t="s">
        <v>2455</v>
      </c>
      <c r="Z1006" s="7" t="s">
        <v>2449</v>
      </c>
      <c r="AA1006" s="7"/>
      <c r="AB1006" s="7"/>
      <c r="AC1006" s="7" t="s">
        <v>107</v>
      </c>
      <c r="AD1006" s="7"/>
      <c r="AE1006" s="7"/>
      <c r="AF1006" s="7" t="s">
        <v>113</v>
      </c>
      <c r="AG1006" s="7" t="s">
        <v>114</v>
      </c>
      <c r="AH1006" s="7" t="s">
        <v>115</v>
      </c>
    </row>
    <row r="1007" spans="1:34" ht="9.75" customHeight="1" x14ac:dyDescent="0.2">
      <c r="A1007" s="7" t="s">
        <v>37</v>
      </c>
      <c r="B1007" s="7" t="s">
        <v>38</v>
      </c>
      <c r="C1007" s="7"/>
      <c r="D1007" s="7" t="s">
        <v>2456</v>
      </c>
      <c r="E1007" s="8">
        <v>5</v>
      </c>
      <c r="F1007" s="7" t="s">
        <v>109</v>
      </c>
      <c r="G1007" s="7"/>
      <c r="H1007" s="9"/>
      <c r="I1007" s="10">
        <v>3670</v>
      </c>
      <c r="J1007" s="9"/>
      <c r="K1007" s="9"/>
      <c r="L1007" s="10">
        <v>4015</v>
      </c>
      <c r="M1007" s="9"/>
      <c r="N1007" s="10">
        <v>4015</v>
      </c>
      <c r="O1007" s="9"/>
      <c r="P1007" s="10"/>
      <c r="Q1007" s="10"/>
      <c r="R1007" s="10"/>
      <c r="S1007" s="7" t="s">
        <v>407</v>
      </c>
      <c r="T1007" s="7" t="s">
        <v>117</v>
      </c>
      <c r="U1007" s="7" t="s">
        <v>44</v>
      </c>
      <c r="V1007" s="7" t="s">
        <v>45</v>
      </c>
      <c r="W1007" s="7" t="s">
        <v>67</v>
      </c>
      <c r="X1007" s="7" t="s">
        <v>68</v>
      </c>
      <c r="Y1007" s="7" t="s">
        <v>2457</v>
      </c>
      <c r="Z1007" s="7" t="s">
        <v>2449</v>
      </c>
      <c r="AA1007" s="7"/>
      <c r="AB1007" s="7"/>
      <c r="AC1007" s="7" t="s">
        <v>107</v>
      </c>
      <c r="AD1007" s="7"/>
      <c r="AE1007" s="7"/>
      <c r="AF1007" s="7" t="s">
        <v>113</v>
      </c>
      <c r="AG1007" s="7" t="s">
        <v>114</v>
      </c>
      <c r="AH1007" s="7" t="s">
        <v>115</v>
      </c>
    </row>
    <row r="1008" spans="1:34" ht="9.75" customHeight="1" x14ac:dyDescent="0.2">
      <c r="A1008" s="7" t="s">
        <v>37</v>
      </c>
      <c r="B1008" s="7" t="s">
        <v>38</v>
      </c>
      <c r="C1008" s="7"/>
      <c r="D1008" s="7" t="s">
        <v>2458</v>
      </c>
      <c r="E1008" s="8">
        <v>5</v>
      </c>
      <c r="F1008" s="7" t="s">
        <v>109</v>
      </c>
      <c r="G1008" s="7"/>
      <c r="H1008" s="9"/>
      <c r="I1008" s="10">
        <v>1422</v>
      </c>
      <c r="J1008" s="9"/>
      <c r="K1008" s="9"/>
      <c r="L1008" s="10">
        <v>1659</v>
      </c>
      <c r="M1008" s="9"/>
      <c r="N1008" s="10">
        <v>1659</v>
      </c>
      <c r="O1008" s="9"/>
      <c r="P1008" s="10"/>
      <c r="Q1008" s="10"/>
      <c r="R1008" s="10"/>
      <c r="S1008" s="7" t="s">
        <v>407</v>
      </c>
      <c r="T1008" s="7" t="s">
        <v>117</v>
      </c>
      <c r="U1008" s="7" t="s">
        <v>44</v>
      </c>
      <c r="V1008" s="7" t="s">
        <v>45</v>
      </c>
      <c r="W1008" s="7" t="s">
        <v>67</v>
      </c>
      <c r="X1008" s="7" t="s">
        <v>68</v>
      </c>
      <c r="Y1008" s="7" t="s">
        <v>2459</v>
      </c>
      <c r="Z1008" s="7" t="s">
        <v>2449</v>
      </c>
      <c r="AA1008" s="7"/>
      <c r="AB1008" s="7"/>
      <c r="AC1008" s="7" t="s">
        <v>107</v>
      </c>
      <c r="AD1008" s="7"/>
      <c r="AE1008" s="7"/>
      <c r="AF1008" s="7" t="s">
        <v>113</v>
      </c>
      <c r="AG1008" s="7" t="s">
        <v>114</v>
      </c>
      <c r="AH1008" s="7" t="s">
        <v>115</v>
      </c>
    </row>
    <row r="1009" spans="1:34" ht="9.75" customHeight="1" x14ac:dyDescent="0.2">
      <c r="A1009" s="7" t="s">
        <v>37</v>
      </c>
      <c r="B1009" s="7" t="s">
        <v>38</v>
      </c>
      <c r="C1009" s="7"/>
      <c r="D1009" s="7" t="s">
        <v>2460</v>
      </c>
      <c r="E1009" s="8">
        <v>5</v>
      </c>
      <c r="F1009" s="7" t="s">
        <v>109</v>
      </c>
      <c r="G1009" s="7"/>
      <c r="H1009" s="9"/>
      <c r="I1009" s="10">
        <v>3427</v>
      </c>
      <c r="J1009" s="9"/>
      <c r="K1009" s="9"/>
      <c r="L1009" s="10">
        <v>1801</v>
      </c>
      <c r="M1009" s="9"/>
      <c r="N1009" s="10">
        <v>1801</v>
      </c>
      <c r="O1009" s="9"/>
      <c r="P1009" s="10"/>
      <c r="Q1009" s="10"/>
      <c r="R1009" s="10"/>
      <c r="S1009" s="7" t="s">
        <v>407</v>
      </c>
      <c r="T1009" s="7" t="s">
        <v>117</v>
      </c>
      <c r="U1009" s="7" t="s">
        <v>44</v>
      </c>
      <c r="V1009" s="7" t="s">
        <v>45</v>
      </c>
      <c r="W1009" s="7" t="s">
        <v>67</v>
      </c>
      <c r="X1009" s="7" t="s">
        <v>68</v>
      </c>
      <c r="Y1009" s="7" t="s">
        <v>2461</v>
      </c>
      <c r="Z1009" s="7" t="s">
        <v>2462</v>
      </c>
      <c r="AA1009" s="7"/>
      <c r="AB1009" s="7"/>
      <c r="AC1009" s="7" t="s">
        <v>107</v>
      </c>
      <c r="AD1009" s="7"/>
      <c r="AE1009" s="7"/>
      <c r="AF1009" s="7" t="s">
        <v>113</v>
      </c>
      <c r="AG1009" s="7" t="s">
        <v>114</v>
      </c>
      <c r="AH1009" s="7" t="s">
        <v>115</v>
      </c>
    </row>
    <row r="1010" spans="1:34" ht="9.75" customHeight="1" x14ac:dyDescent="0.2">
      <c r="A1010" s="7" t="s">
        <v>37</v>
      </c>
      <c r="B1010" s="7" t="s">
        <v>38</v>
      </c>
      <c r="C1010" s="7"/>
      <c r="D1010" s="7" t="s">
        <v>2463</v>
      </c>
      <c r="E1010" s="8">
        <v>5</v>
      </c>
      <c r="F1010" s="7" t="s">
        <v>109</v>
      </c>
      <c r="G1010" s="7"/>
      <c r="H1010" s="9"/>
      <c r="I1010" s="10">
        <v>356</v>
      </c>
      <c r="J1010" s="9"/>
      <c r="K1010" s="9"/>
      <c r="L1010" s="10">
        <v>348</v>
      </c>
      <c r="M1010" s="9"/>
      <c r="N1010" s="10">
        <v>348</v>
      </c>
      <c r="O1010" s="9"/>
      <c r="P1010" s="10"/>
      <c r="Q1010" s="10"/>
      <c r="R1010" s="10"/>
      <c r="S1010" s="7" t="s">
        <v>407</v>
      </c>
      <c r="T1010" s="7" t="s">
        <v>117</v>
      </c>
      <c r="U1010" s="7" t="s">
        <v>44</v>
      </c>
      <c r="V1010" s="7" t="s">
        <v>45</v>
      </c>
      <c r="W1010" s="7" t="s">
        <v>67</v>
      </c>
      <c r="X1010" s="7" t="s">
        <v>68</v>
      </c>
      <c r="Y1010" s="7" t="s">
        <v>2464</v>
      </c>
      <c r="Z1010" s="7" t="s">
        <v>2462</v>
      </c>
      <c r="AA1010" s="7"/>
      <c r="AB1010" s="7"/>
      <c r="AC1010" s="7" t="s">
        <v>107</v>
      </c>
      <c r="AD1010" s="7"/>
      <c r="AE1010" s="7"/>
      <c r="AF1010" s="7" t="s">
        <v>113</v>
      </c>
      <c r="AG1010" s="7" t="s">
        <v>114</v>
      </c>
      <c r="AH1010" s="7" t="s">
        <v>115</v>
      </c>
    </row>
    <row r="1011" spans="1:34" ht="9.75" customHeight="1" x14ac:dyDescent="0.2">
      <c r="A1011" s="7" t="s">
        <v>37</v>
      </c>
      <c r="B1011" s="7" t="s">
        <v>38</v>
      </c>
      <c r="C1011" s="7"/>
      <c r="D1011" s="7" t="s">
        <v>2465</v>
      </c>
      <c r="E1011" s="8">
        <v>5</v>
      </c>
      <c r="F1011" s="7" t="s">
        <v>109</v>
      </c>
      <c r="G1011" s="7"/>
      <c r="H1011" s="9"/>
      <c r="I1011" s="10">
        <v>1514</v>
      </c>
      <c r="J1011" s="9"/>
      <c r="K1011" s="9"/>
      <c r="L1011" s="10">
        <v>1711</v>
      </c>
      <c r="M1011" s="9"/>
      <c r="N1011" s="10">
        <v>1711</v>
      </c>
      <c r="O1011" s="9"/>
      <c r="P1011" s="10"/>
      <c r="Q1011" s="10"/>
      <c r="R1011" s="10"/>
      <c r="S1011" s="7" t="s">
        <v>407</v>
      </c>
      <c r="T1011" s="7" t="s">
        <v>117</v>
      </c>
      <c r="U1011" s="7" t="s">
        <v>44</v>
      </c>
      <c r="V1011" s="7" t="s">
        <v>45</v>
      </c>
      <c r="W1011" s="7" t="s">
        <v>67</v>
      </c>
      <c r="X1011" s="7" t="s">
        <v>68</v>
      </c>
      <c r="Y1011" s="7" t="s">
        <v>2466</v>
      </c>
      <c r="Z1011" s="7" t="s">
        <v>2462</v>
      </c>
      <c r="AA1011" s="7"/>
      <c r="AB1011" s="7"/>
      <c r="AC1011" s="7" t="s">
        <v>107</v>
      </c>
      <c r="AD1011" s="7"/>
      <c r="AE1011" s="7"/>
      <c r="AF1011" s="7" t="s">
        <v>113</v>
      </c>
      <c r="AG1011" s="7" t="s">
        <v>114</v>
      </c>
      <c r="AH1011" s="7" t="s">
        <v>115</v>
      </c>
    </row>
    <row r="1012" spans="1:34" ht="9.75" customHeight="1" x14ac:dyDescent="0.2">
      <c r="A1012" s="7" t="s">
        <v>37</v>
      </c>
      <c r="B1012" s="7" t="s">
        <v>38</v>
      </c>
      <c r="C1012" s="7"/>
      <c r="D1012" s="7" t="s">
        <v>2467</v>
      </c>
      <c r="E1012" s="8">
        <v>5</v>
      </c>
      <c r="F1012" s="7" t="s">
        <v>109</v>
      </c>
      <c r="G1012" s="7"/>
      <c r="H1012" s="9"/>
      <c r="I1012" s="10">
        <v>256</v>
      </c>
      <c r="J1012" s="9"/>
      <c r="K1012" s="9"/>
      <c r="L1012" s="10">
        <v>232</v>
      </c>
      <c r="M1012" s="9"/>
      <c r="N1012" s="10">
        <v>232</v>
      </c>
      <c r="O1012" s="9"/>
      <c r="P1012" s="10"/>
      <c r="Q1012" s="10"/>
      <c r="R1012" s="10"/>
      <c r="S1012" s="7" t="s">
        <v>407</v>
      </c>
      <c r="T1012" s="7" t="s">
        <v>117</v>
      </c>
      <c r="U1012" s="7" t="s">
        <v>44</v>
      </c>
      <c r="V1012" s="7" t="s">
        <v>45</v>
      </c>
      <c r="W1012" s="7" t="s">
        <v>67</v>
      </c>
      <c r="X1012" s="7" t="s">
        <v>68</v>
      </c>
      <c r="Y1012" s="7" t="s">
        <v>2468</v>
      </c>
      <c r="Z1012" s="7" t="s">
        <v>2462</v>
      </c>
      <c r="AA1012" s="7"/>
      <c r="AB1012" s="7"/>
      <c r="AC1012" s="7" t="s">
        <v>107</v>
      </c>
      <c r="AD1012" s="7"/>
      <c r="AE1012" s="7"/>
      <c r="AF1012" s="7" t="s">
        <v>113</v>
      </c>
      <c r="AG1012" s="7" t="s">
        <v>114</v>
      </c>
      <c r="AH1012" s="7" t="s">
        <v>115</v>
      </c>
    </row>
    <row r="1013" spans="1:34" ht="9.75" customHeight="1" x14ac:dyDescent="0.2">
      <c r="A1013" s="7" t="s">
        <v>37</v>
      </c>
      <c r="B1013" s="7" t="s">
        <v>38</v>
      </c>
      <c r="C1013" s="7"/>
      <c r="D1013" s="7" t="s">
        <v>2469</v>
      </c>
      <c r="E1013" s="8">
        <v>5</v>
      </c>
      <c r="F1013" s="7" t="s">
        <v>109</v>
      </c>
      <c r="G1013" s="7"/>
      <c r="H1013" s="9"/>
      <c r="I1013" s="9"/>
      <c r="J1013" s="9"/>
      <c r="K1013" s="9"/>
      <c r="L1013" s="10">
        <v>31424</v>
      </c>
      <c r="M1013" s="9"/>
      <c r="N1013" s="10">
        <v>31424</v>
      </c>
      <c r="O1013" s="9"/>
      <c r="P1013" s="10"/>
      <c r="Q1013" s="10"/>
      <c r="R1013" s="10"/>
      <c r="S1013" s="7" t="s">
        <v>407</v>
      </c>
      <c r="T1013" s="7" t="s">
        <v>117</v>
      </c>
      <c r="U1013" s="7" t="s">
        <v>44</v>
      </c>
      <c r="V1013" s="7" t="s">
        <v>45</v>
      </c>
      <c r="W1013" s="7" t="s">
        <v>67</v>
      </c>
      <c r="X1013" s="7" t="s">
        <v>68</v>
      </c>
      <c r="Y1013" s="7" t="s">
        <v>2470</v>
      </c>
      <c r="Z1013" s="7" t="s">
        <v>2471</v>
      </c>
      <c r="AA1013" s="7"/>
      <c r="AB1013" s="7"/>
      <c r="AC1013" s="7" t="s">
        <v>107</v>
      </c>
      <c r="AD1013" s="7"/>
      <c r="AE1013" s="7"/>
      <c r="AF1013" s="7" t="s">
        <v>113</v>
      </c>
      <c r="AG1013" s="7" t="s">
        <v>114</v>
      </c>
      <c r="AH1013" s="7" t="s">
        <v>115</v>
      </c>
    </row>
    <row r="1014" spans="1:34" ht="9.75" customHeight="1" x14ac:dyDescent="0.2">
      <c r="A1014" s="7" t="s">
        <v>37</v>
      </c>
      <c r="B1014" s="7" t="s">
        <v>38</v>
      </c>
      <c r="C1014" s="7"/>
      <c r="D1014" s="7" t="s">
        <v>2472</v>
      </c>
      <c r="E1014" s="8">
        <v>5</v>
      </c>
      <c r="F1014" s="7" t="s">
        <v>109</v>
      </c>
      <c r="G1014" s="7"/>
      <c r="H1014" s="9"/>
      <c r="I1014" s="9"/>
      <c r="J1014" s="9"/>
      <c r="K1014" s="9"/>
      <c r="L1014" s="10">
        <v>116</v>
      </c>
      <c r="M1014" s="9"/>
      <c r="N1014" s="10">
        <v>116</v>
      </c>
      <c r="O1014" s="9"/>
      <c r="P1014" s="10"/>
      <c r="Q1014" s="10"/>
      <c r="R1014" s="10"/>
      <c r="S1014" s="7" t="s">
        <v>407</v>
      </c>
      <c r="T1014" s="7" t="s">
        <v>117</v>
      </c>
      <c r="U1014" s="7" t="s">
        <v>44</v>
      </c>
      <c r="V1014" s="7" t="s">
        <v>45</v>
      </c>
      <c r="W1014" s="7" t="s">
        <v>67</v>
      </c>
      <c r="X1014" s="7" t="s">
        <v>68</v>
      </c>
      <c r="Y1014" s="7" t="s">
        <v>2473</v>
      </c>
      <c r="Z1014" s="7" t="s">
        <v>2471</v>
      </c>
      <c r="AA1014" s="7"/>
      <c r="AB1014" s="7"/>
      <c r="AC1014" s="7" t="s">
        <v>107</v>
      </c>
      <c r="AD1014" s="7"/>
      <c r="AE1014" s="7"/>
      <c r="AF1014" s="7" t="s">
        <v>113</v>
      </c>
      <c r="AG1014" s="7" t="s">
        <v>114</v>
      </c>
      <c r="AH1014" s="7" t="s">
        <v>115</v>
      </c>
    </row>
    <row r="1015" spans="1:34" ht="9.75" customHeight="1" x14ac:dyDescent="0.2">
      <c r="A1015" s="7" t="s">
        <v>37</v>
      </c>
      <c r="B1015" s="7" t="s">
        <v>38</v>
      </c>
      <c r="C1015" s="7"/>
      <c r="D1015" s="7" t="s">
        <v>2474</v>
      </c>
      <c r="E1015" s="8">
        <v>5</v>
      </c>
      <c r="F1015" s="7" t="s">
        <v>109</v>
      </c>
      <c r="G1015" s="7"/>
      <c r="H1015" s="9"/>
      <c r="I1015" s="9"/>
      <c r="J1015" s="9"/>
      <c r="K1015" s="9"/>
      <c r="L1015" s="10">
        <v>26407</v>
      </c>
      <c r="M1015" s="9"/>
      <c r="N1015" s="10">
        <v>26407</v>
      </c>
      <c r="O1015" s="9"/>
      <c r="P1015" s="10"/>
      <c r="Q1015" s="10"/>
      <c r="R1015" s="10"/>
      <c r="S1015" s="7" t="s">
        <v>407</v>
      </c>
      <c r="T1015" s="7" t="s">
        <v>117</v>
      </c>
      <c r="U1015" s="7" t="s">
        <v>44</v>
      </c>
      <c r="V1015" s="7" t="s">
        <v>45</v>
      </c>
      <c r="W1015" s="7" t="s">
        <v>67</v>
      </c>
      <c r="X1015" s="7" t="s">
        <v>68</v>
      </c>
      <c r="Y1015" s="7" t="s">
        <v>2475</v>
      </c>
      <c r="Z1015" s="7" t="s">
        <v>2471</v>
      </c>
      <c r="AA1015" s="7"/>
      <c r="AB1015" s="7"/>
      <c r="AC1015" s="7" t="s">
        <v>107</v>
      </c>
      <c r="AD1015" s="7"/>
      <c r="AE1015" s="7"/>
      <c r="AF1015" s="7" t="s">
        <v>113</v>
      </c>
      <c r="AG1015" s="7" t="s">
        <v>114</v>
      </c>
      <c r="AH1015" s="7" t="s">
        <v>115</v>
      </c>
    </row>
    <row r="1016" spans="1:34" ht="9.75" customHeight="1" x14ac:dyDescent="0.2">
      <c r="A1016" s="7" t="s">
        <v>37</v>
      </c>
      <c r="B1016" s="7" t="s">
        <v>38</v>
      </c>
      <c r="C1016" s="7"/>
      <c r="D1016" s="7" t="s">
        <v>2476</v>
      </c>
      <c r="E1016" s="8">
        <v>5</v>
      </c>
      <c r="F1016" s="7" t="s">
        <v>109</v>
      </c>
      <c r="G1016" s="7"/>
      <c r="H1016" s="9"/>
      <c r="I1016" s="9"/>
      <c r="J1016" s="9"/>
      <c r="K1016" s="9"/>
      <c r="L1016" s="10">
        <v>883</v>
      </c>
      <c r="M1016" s="9"/>
      <c r="N1016" s="10">
        <v>883</v>
      </c>
      <c r="O1016" s="9"/>
      <c r="P1016" s="10"/>
      <c r="Q1016" s="10"/>
      <c r="R1016" s="10"/>
      <c r="S1016" s="7" t="s">
        <v>407</v>
      </c>
      <c r="T1016" s="7" t="s">
        <v>117</v>
      </c>
      <c r="U1016" s="7" t="s">
        <v>44</v>
      </c>
      <c r="V1016" s="7" t="s">
        <v>45</v>
      </c>
      <c r="W1016" s="7" t="s">
        <v>67</v>
      </c>
      <c r="X1016" s="7" t="s">
        <v>68</v>
      </c>
      <c r="Y1016" s="7" t="s">
        <v>2477</v>
      </c>
      <c r="Z1016" s="7" t="s">
        <v>2471</v>
      </c>
      <c r="AA1016" s="7"/>
      <c r="AB1016" s="7"/>
      <c r="AC1016" s="7" t="s">
        <v>107</v>
      </c>
      <c r="AD1016" s="7"/>
      <c r="AE1016" s="7"/>
      <c r="AF1016" s="7" t="s">
        <v>113</v>
      </c>
      <c r="AG1016" s="7" t="s">
        <v>114</v>
      </c>
      <c r="AH1016" s="7" t="s">
        <v>115</v>
      </c>
    </row>
    <row r="1017" spans="1:34" ht="9.75" customHeight="1" x14ac:dyDescent="0.2">
      <c r="A1017" s="7" t="s">
        <v>37</v>
      </c>
      <c r="B1017" s="7" t="s">
        <v>38</v>
      </c>
      <c r="C1017" s="7"/>
      <c r="D1017" s="7" t="s">
        <v>2478</v>
      </c>
      <c r="E1017" s="8">
        <v>5</v>
      </c>
      <c r="F1017" s="7" t="s">
        <v>109</v>
      </c>
      <c r="G1017" s="7"/>
      <c r="H1017" s="9"/>
      <c r="I1017" s="9"/>
      <c r="J1017" s="9"/>
      <c r="K1017" s="9"/>
      <c r="L1017" s="10">
        <v>5726</v>
      </c>
      <c r="M1017" s="9"/>
      <c r="N1017" s="10">
        <v>5726</v>
      </c>
      <c r="O1017" s="9"/>
      <c r="P1017" s="10"/>
      <c r="Q1017" s="10"/>
      <c r="R1017" s="10"/>
      <c r="S1017" s="7" t="s">
        <v>407</v>
      </c>
      <c r="T1017" s="7" t="s">
        <v>117</v>
      </c>
      <c r="U1017" s="7" t="s">
        <v>44</v>
      </c>
      <c r="V1017" s="7" t="s">
        <v>45</v>
      </c>
      <c r="W1017" s="7" t="s">
        <v>67</v>
      </c>
      <c r="X1017" s="7" t="s">
        <v>68</v>
      </c>
      <c r="Y1017" s="7" t="s">
        <v>2479</v>
      </c>
      <c r="Z1017" s="7" t="s">
        <v>2480</v>
      </c>
      <c r="AA1017" s="7"/>
      <c r="AB1017" s="7"/>
      <c r="AC1017" s="7" t="s">
        <v>107</v>
      </c>
      <c r="AD1017" s="7"/>
      <c r="AE1017" s="7"/>
      <c r="AF1017" s="7" t="s">
        <v>113</v>
      </c>
      <c r="AG1017" s="7" t="s">
        <v>114</v>
      </c>
      <c r="AH1017" s="7" t="s">
        <v>115</v>
      </c>
    </row>
    <row r="1018" spans="1:34" ht="9.75" customHeight="1" x14ac:dyDescent="0.2">
      <c r="A1018" s="7" t="s">
        <v>37</v>
      </c>
      <c r="B1018" s="7" t="s">
        <v>38</v>
      </c>
      <c r="C1018" s="7"/>
      <c r="D1018" s="7" t="s">
        <v>2481</v>
      </c>
      <c r="E1018" s="8">
        <v>5</v>
      </c>
      <c r="F1018" s="7" t="s">
        <v>109</v>
      </c>
      <c r="G1018" s="7"/>
      <c r="H1018" s="9"/>
      <c r="I1018" s="9"/>
      <c r="J1018" s="9"/>
      <c r="K1018" s="9"/>
      <c r="L1018" s="10">
        <v>194</v>
      </c>
      <c r="M1018" s="9"/>
      <c r="N1018" s="10">
        <v>194</v>
      </c>
      <c r="O1018" s="9"/>
      <c r="P1018" s="10"/>
      <c r="Q1018" s="10"/>
      <c r="R1018" s="10"/>
      <c r="S1018" s="7" t="s">
        <v>407</v>
      </c>
      <c r="T1018" s="7" t="s">
        <v>117</v>
      </c>
      <c r="U1018" s="7" t="s">
        <v>44</v>
      </c>
      <c r="V1018" s="7" t="s">
        <v>45</v>
      </c>
      <c r="W1018" s="7" t="s">
        <v>67</v>
      </c>
      <c r="X1018" s="7" t="s">
        <v>68</v>
      </c>
      <c r="Y1018" s="7" t="s">
        <v>2482</v>
      </c>
      <c r="Z1018" s="7" t="s">
        <v>2480</v>
      </c>
      <c r="AA1018" s="7"/>
      <c r="AB1018" s="7"/>
      <c r="AC1018" s="7" t="s">
        <v>107</v>
      </c>
      <c r="AD1018" s="7"/>
      <c r="AE1018" s="7"/>
      <c r="AF1018" s="7" t="s">
        <v>113</v>
      </c>
      <c r="AG1018" s="7" t="s">
        <v>114</v>
      </c>
      <c r="AH1018" s="7" t="s">
        <v>115</v>
      </c>
    </row>
    <row r="1019" spans="1:34" ht="9.75" customHeight="1" x14ac:dyDescent="0.2">
      <c r="A1019" s="7" t="s">
        <v>37</v>
      </c>
      <c r="B1019" s="7" t="s">
        <v>38</v>
      </c>
      <c r="C1019" s="7"/>
      <c r="D1019" s="7" t="s">
        <v>2483</v>
      </c>
      <c r="E1019" s="8">
        <v>5</v>
      </c>
      <c r="F1019" s="7" t="s">
        <v>109</v>
      </c>
      <c r="G1019" s="7"/>
      <c r="H1019" s="9"/>
      <c r="I1019" s="9"/>
      <c r="J1019" s="9"/>
      <c r="K1019" s="9"/>
      <c r="L1019" s="10">
        <v>18</v>
      </c>
      <c r="M1019" s="9"/>
      <c r="N1019" s="10">
        <v>18</v>
      </c>
      <c r="O1019" s="9"/>
      <c r="P1019" s="10"/>
      <c r="Q1019" s="10"/>
      <c r="R1019" s="10"/>
      <c r="S1019" s="7" t="s">
        <v>407</v>
      </c>
      <c r="T1019" s="7" t="s">
        <v>117</v>
      </c>
      <c r="U1019" s="7" t="s">
        <v>44</v>
      </c>
      <c r="V1019" s="7" t="s">
        <v>45</v>
      </c>
      <c r="W1019" s="7" t="s">
        <v>67</v>
      </c>
      <c r="X1019" s="7" t="s">
        <v>68</v>
      </c>
      <c r="Y1019" s="7" t="s">
        <v>2484</v>
      </c>
      <c r="Z1019" s="7" t="s">
        <v>2480</v>
      </c>
      <c r="AA1019" s="7"/>
      <c r="AB1019" s="7"/>
      <c r="AC1019" s="7" t="s">
        <v>107</v>
      </c>
      <c r="AD1019" s="7"/>
      <c r="AE1019" s="7"/>
      <c r="AF1019" s="7" t="s">
        <v>113</v>
      </c>
      <c r="AG1019" s="7" t="s">
        <v>114</v>
      </c>
      <c r="AH1019" s="7" t="s">
        <v>115</v>
      </c>
    </row>
    <row r="1020" spans="1:34" ht="9.75" customHeight="1" x14ac:dyDescent="0.2">
      <c r="A1020" s="7" t="s">
        <v>37</v>
      </c>
      <c r="B1020" s="7" t="s">
        <v>38</v>
      </c>
      <c r="C1020" s="7"/>
      <c r="D1020" s="7" t="s">
        <v>2485</v>
      </c>
      <c r="E1020" s="8">
        <v>5</v>
      </c>
      <c r="F1020" s="7" t="s">
        <v>109</v>
      </c>
      <c r="G1020" s="7"/>
      <c r="H1020" s="9"/>
      <c r="I1020" s="10">
        <v>101</v>
      </c>
      <c r="J1020" s="9"/>
      <c r="K1020" s="9"/>
      <c r="L1020" s="10">
        <v>60</v>
      </c>
      <c r="M1020" s="9"/>
      <c r="N1020" s="10">
        <v>60</v>
      </c>
      <c r="O1020" s="9"/>
      <c r="P1020" s="10"/>
      <c r="Q1020" s="10"/>
      <c r="R1020" s="10"/>
      <c r="S1020" s="7" t="s">
        <v>407</v>
      </c>
      <c r="T1020" s="7" t="s">
        <v>117</v>
      </c>
      <c r="U1020" s="7" t="s">
        <v>44</v>
      </c>
      <c r="V1020" s="7" t="s">
        <v>45</v>
      </c>
      <c r="W1020" s="7" t="s">
        <v>67</v>
      </c>
      <c r="X1020" s="7" t="s">
        <v>68</v>
      </c>
      <c r="Y1020" s="7" t="s">
        <v>2486</v>
      </c>
      <c r="Z1020" s="7" t="s">
        <v>2480</v>
      </c>
      <c r="AA1020" s="7"/>
      <c r="AB1020" s="7"/>
      <c r="AC1020" s="7" t="s">
        <v>107</v>
      </c>
      <c r="AD1020" s="7"/>
      <c r="AE1020" s="7"/>
      <c r="AF1020" s="7" t="s">
        <v>113</v>
      </c>
      <c r="AG1020" s="7" t="s">
        <v>114</v>
      </c>
      <c r="AH1020" s="7" t="s">
        <v>115</v>
      </c>
    </row>
    <row r="1021" spans="1:34" ht="9.75" customHeight="1" x14ac:dyDescent="0.2">
      <c r="A1021" s="7" t="s">
        <v>37</v>
      </c>
      <c r="B1021" s="7" t="s">
        <v>38</v>
      </c>
      <c r="C1021" s="7"/>
      <c r="D1021" s="7" t="s">
        <v>2487</v>
      </c>
      <c r="E1021" s="8">
        <v>5</v>
      </c>
      <c r="F1021" s="7" t="s">
        <v>109</v>
      </c>
      <c r="G1021" s="7"/>
      <c r="H1021" s="9"/>
      <c r="I1021" s="9"/>
      <c r="J1021" s="9"/>
      <c r="K1021" s="9"/>
      <c r="L1021" s="10">
        <v>175</v>
      </c>
      <c r="M1021" s="9"/>
      <c r="N1021" s="10">
        <v>175</v>
      </c>
      <c r="O1021" s="9"/>
      <c r="P1021" s="10"/>
      <c r="Q1021" s="10"/>
      <c r="R1021" s="10"/>
      <c r="S1021" s="7" t="s">
        <v>407</v>
      </c>
      <c r="T1021" s="7" t="s">
        <v>117</v>
      </c>
      <c r="U1021" s="7" t="s">
        <v>44</v>
      </c>
      <c r="V1021" s="7" t="s">
        <v>45</v>
      </c>
      <c r="W1021" s="7" t="s">
        <v>67</v>
      </c>
      <c r="X1021" s="7" t="s">
        <v>68</v>
      </c>
      <c r="Y1021" s="7" t="s">
        <v>2488</v>
      </c>
      <c r="Z1021" s="7" t="s">
        <v>2480</v>
      </c>
      <c r="AA1021" s="7"/>
      <c r="AB1021" s="7"/>
      <c r="AC1021" s="7" t="s">
        <v>107</v>
      </c>
      <c r="AD1021" s="7"/>
      <c r="AE1021" s="7"/>
      <c r="AF1021" s="7" t="s">
        <v>113</v>
      </c>
      <c r="AG1021" s="7" t="s">
        <v>114</v>
      </c>
      <c r="AH1021" s="7" t="s">
        <v>115</v>
      </c>
    </row>
    <row r="1022" spans="1:34" ht="9.75" customHeight="1" x14ac:dyDescent="0.2">
      <c r="A1022" s="7" t="s">
        <v>37</v>
      </c>
      <c r="B1022" s="7" t="s">
        <v>38</v>
      </c>
      <c r="C1022" s="7"/>
      <c r="D1022" s="7" t="s">
        <v>2489</v>
      </c>
      <c r="E1022" s="8">
        <v>5</v>
      </c>
      <c r="F1022" s="7" t="s">
        <v>109</v>
      </c>
      <c r="G1022" s="7"/>
      <c r="H1022" s="9"/>
      <c r="I1022" s="10">
        <v>109</v>
      </c>
      <c r="J1022" s="9"/>
      <c r="K1022" s="9"/>
      <c r="L1022" s="10">
        <v>40</v>
      </c>
      <c r="M1022" s="9"/>
      <c r="N1022" s="10">
        <v>40</v>
      </c>
      <c r="O1022" s="9"/>
      <c r="P1022" s="10"/>
      <c r="Q1022" s="10"/>
      <c r="R1022" s="10"/>
      <c r="S1022" s="7" t="s">
        <v>407</v>
      </c>
      <c r="T1022" s="7" t="s">
        <v>117</v>
      </c>
      <c r="U1022" s="7" t="s">
        <v>44</v>
      </c>
      <c r="V1022" s="7" t="s">
        <v>45</v>
      </c>
      <c r="W1022" s="7" t="s">
        <v>67</v>
      </c>
      <c r="X1022" s="7" t="s">
        <v>68</v>
      </c>
      <c r="Y1022" s="7" t="s">
        <v>2490</v>
      </c>
      <c r="Z1022" s="7" t="s">
        <v>2480</v>
      </c>
      <c r="AA1022" s="7"/>
      <c r="AB1022" s="7"/>
      <c r="AC1022" s="7" t="s">
        <v>107</v>
      </c>
      <c r="AD1022" s="7"/>
      <c r="AE1022" s="7"/>
      <c r="AF1022" s="7" t="s">
        <v>113</v>
      </c>
      <c r="AG1022" s="7" t="s">
        <v>114</v>
      </c>
      <c r="AH1022" s="7" t="s">
        <v>115</v>
      </c>
    </row>
    <row r="1023" spans="1:34" ht="9.75" customHeight="1" x14ac:dyDescent="0.2">
      <c r="A1023" s="7" t="s">
        <v>37</v>
      </c>
      <c r="B1023" s="7" t="s">
        <v>38</v>
      </c>
      <c r="C1023" s="7"/>
      <c r="D1023" s="7" t="s">
        <v>2491</v>
      </c>
      <c r="E1023" s="8">
        <v>5</v>
      </c>
      <c r="F1023" s="7" t="s">
        <v>109</v>
      </c>
      <c r="G1023" s="7"/>
      <c r="H1023" s="9"/>
      <c r="I1023" s="9"/>
      <c r="J1023" s="9"/>
      <c r="K1023" s="9"/>
      <c r="L1023" s="10">
        <v>3549</v>
      </c>
      <c r="M1023" s="9"/>
      <c r="N1023" s="10">
        <v>3549</v>
      </c>
      <c r="O1023" s="9"/>
      <c r="P1023" s="10"/>
      <c r="Q1023" s="10"/>
      <c r="R1023" s="10"/>
      <c r="S1023" s="7" t="s">
        <v>407</v>
      </c>
      <c r="T1023" s="7" t="s">
        <v>117</v>
      </c>
      <c r="U1023" s="7" t="s">
        <v>44</v>
      </c>
      <c r="V1023" s="7" t="s">
        <v>45</v>
      </c>
      <c r="W1023" s="7" t="s">
        <v>67</v>
      </c>
      <c r="X1023" s="7" t="s">
        <v>68</v>
      </c>
      <c r="Y1023" s="7" t="s">
        <v>2492</v>
      </c>
      <c r="Z1023" s="7" t="s">
        <v>2493</v>
      </c>
      <c r="AA1023" s="7"/>
      <c r="AB1023" s="7"/>
      <c r="AC1023" s="7" t="s">
        <v>107</v>
      </c>
      <c r="AD1023" s="7"/>
      <c r="AE1023" s="7"/>
      <c r="AF1023" s="7" t="s">
        <v>113</v>
      </c>
      <c r="AG1023" s="7" t="s">
        <v>114</v>
      </c>
      <c r="AH1023" s="7" t="s">
        <v>115</v>
      </c>
    </row>
    <row r="1024" spans="1:34" ht="9.75" customHeight="1" x14ac:dyDescent="0.2">
      <c r="A1024" s="7" t="s">
        <v>37</v>
      </c>
      <c r="B1024" s="7" t="s">
        <v>38</v>
      </c>
      <c r="C1024" s="7"/>
      <c r="D1024" s="7" t="s">
        <v>2494</v>
      </c>
      <c r="E1024" s="8">
        <v>5</v>
      </c>
      <c r="F1024" s="7" t="s">
        <v>109</v>
      </c>
      <c r="G1024" s="7"/>
      <c r="H1024" s="9"/>
      <c r="I1024" s="9"/>
      <c r="J1024" s="9"/>
      <c r="K1024" s="9"/>
      <c r="L1024" s="10">
        <v>194</v>
      </c>
      <c r="M1024" s="9"/>
      <c r="N1024" s="10">
        <v>194</v>
      </c>
      <c r="O1024" s="9"/>
      <c r="P1024" s="10"/>
      <c r="Q1024" s="10"/>
      <c r="R1024" s="10"/>
      <c r="S1024" s="7" t="s">
        <v>407</v>
      </c>
      <c r="T1024" s="7" t="s">
        <v>117</v>
      </c>
      <c r="U1024" s="7" t="s">
        <v>44</v>
      </c>
      <c r="V1024" s="7" t="s">
        <v>45</v>
      </c>
      <c r="W1024" s="7" t="s">
        <v>67</v>
      </c>
      <c r="X1024" s="7" t="s">
        <v>68</v>
      </c>
      <c r="Y1024" s="7" t="s">
        <v>2495</v>
      </c>
      <c r="Z1024" s="7" t="s">
        <v>2493</v>
      </c>
      <c r="AA1024" s="7"/>
      <c r="AB1024" s="7"/>
      <c r="AC1024" s="7" t="s">
        <v>107</v>
      </c>
      <c r="AD1024" s="7"/>
      <c r="AE1024" s="7"/>
      <c r="AF1024" s="7" t="s">
        <v>113</v>
      </c>
      <c r="AG1024" s="7" t="s">
        <v>114</v>
      </c>
      <c r="AH1024" s="7" t="s">
        <v>115</v>
      </c>
    </row>
    <row r="1025" spans="1:34" ht="9.75" customHeight="1" x14ac:dyDescent="0.2">
      <c r="A1025" s="7" t="s">
        <v>37</v>
      </c>
      <c r="B1025" s="7" t="s">
        <v>38</v>
      </c>
      <c r="C1025" s="7"/>
      <c r="D1025" s="7" t="s">
        <v>2496</v>
      </c>
      <c r="E1025" s="8">
        <v>5</v>
      </c>
      <c r="F1025" s="7" t="s">
        <v>109</v>
      </c>
      <c r="G1025" s="7"/>
      <c r="H1025" s="9"/>
      <c r="I1025" s="9"/>
      <c r="J1025" s="9"/>
      <c r="K1025" s="9"/>
      <c r="L1025" s="10">
        <v>50</v>
      </c>
      <c r="M1025" s="9"/>
      <c r="N1025" s="10">
        <v>50</v>
      </c>
      <c r="O1025" s="9"/>
      <c r="P1025" s="10"/>
      <c r="Q1025" s="10"/>
      <c r="R1025" s="10"/>
      <c r="S1025" s="7" t="s">
        <v>407</v>
      </c>
      <c r="T1025" s="7" t="s">
        <v>117</v>
      </c>
      <c r="U1025" s="7" t="s">
        <v>44</v>
      </c>
      <c r="V1025" s="7" t="s">
        <v>45</v>
      </c>
      <c r="W1025" s="7" t="s">
        <v>67</v>
      </c>
      <c r="X1025" s="7" t="s">
        <v>68</v>
      </c>
      <c r="Y1025" s="7" t="s">
        <v>2497</v>
      </c>
      <c r="Z1025" s="7" t="s">
        <v>2493</v>
      </c>
      <c r="AA1025" s="7"/>
      <c r="AB1025" s="7"/>
      <c r="AC1025" s="7" t="s">
        <v>107</v>
      </c>
      <c r="AD1025" s="7"/>
      <c r="AE1025" s="7"/>
      <c r="AF1025" s="7" t="s">
        <v>113</v>
      </c>
      <c r="AG1025" s="7" t="s">
        <v>114</v>
      </c>
      <c r="AH1025" s="7" t="s">
        <v>115</v>
      </c>
    </row>
    <row r="1026" spans="1:34" ht="9.75" customHeight="1" x14ac:dyDescent="0.2">
      <c r="A1026" s="7" t="s">
        <v>37</v>
      </c>
      <c r="B1026" s="7" t="s">
        <v>38</v>
      </c>
      <c r="C1026" s="7"/>
      <c r="D1026" s="7" t="s">
        <v>2498</v>
      </c>
      <c r="E1026" s="8">
        <v>5</v>
      </c>
      <c r="F1026" s="7" t="s">
        <v>109</v>
      </c>
      <c r="G1026" s="7"/>
      <c r="H1026" s="9"/>
      <c r="I1026" s="10">
        <v>576</v>
      </c>
      <c r="J1026" s="9"/>
      <c r="K1026" s="9"/>
      <c r="L1026" s="10">
        <v>395</v>
      </c>
      <c r="M1026" s="9"/>
      <c r="N1026" s="10">
        <v>395</v>
      </c>
      <c r="O1026" s="9"/>
      <c r="P1026" s="10"/>
      <c r="Q1026" s="10"/>
      <c r="R1026" s="10"/>
      <c r="S1026" s="7" t="s">
        <v>407</v>
      </c>
      <c r="T1026" s="7" t="s">
        <v>117</v>
      </c>
      <c r="U1026" s="7" t="s">
        <v>44</v>
      </c>
      <c r="V1026" s="7" t="s">
        <v>45</v>
      </c>
      <c r="W1026" s="7" t="s">
        <v>67</v>
      </c>
      <c r="X1026" s="7" t="s">
        <v>68</v>
      </c>
      <c r="Y1026" s="7" t="s">
        <v>2499</v>
      </c>
      <c r="Z1026" s="7" t="s">
        <v>2493</v>
      </c>
      <c r="AA1026" s="7"/>
      <c r="AB1026" s="7"/>
      <c r="AC1026" s="7" t="s">
        <v>107</v>
      </c>
      <c r="AD1026" s="7"/>
      <c r="AE1026" s="7"/>
      <c r="AF1026" s="7" t="s">
        <v>113</v>
      </c>
      <c r="AG1026" s="7" t="s">
        <v>114</v>
      </c>
      <c r="AH1026" s="7" t="s">
        <v>115</v>
      </c>
    </row>
    <row r="1027" spans="1:34" ht="9.75" customHeight="1" x14ac:dyDescent="0.2">
      <c r="A1027" s="7" t="s">
        <v>37</v>
      </c>
      <c r="B1027" s="7" t="s">
        <v>38</v>
      </c>
      <c r="C1027" s="7"/>
      <c r="D1027" s="7" t="s">
        <v>2500</v>
      </c>
      <c r="E1027" s="8">
        <v>5</v>
      </c>
      <c r="F1027" s="7" t="s">
        <v>109</v>
      </c>
      <c r="G1027" s="7"/>
      <c r="H1027" s="9"/>
      <c r="I1027" s="10">
        <v>123</v>
      </c>
      <c r="J1027" s="9"/>
      <c r="K1027" s="9"/>
      <c r="L1027" s="10">
        <v>115</v>
      </c>
      <c r="M1027" s="9"/>
      <c r="N1027" s="10">
        <v>115</v>
      </c>
      <c r="O1027" s="9"/>
      <c r="P1027" s="10"/>
      <c r="Q1027" s="10"/>
      <c r="R1027" s="10"/>
      <c r="S1027" s="7" t="s">
        <v>407</v>
      </c>
      <c r="T1027" s="7" t="s">
        <v>117</v>
      </c>
      <c r="U1027" s="7" t="s">
        <v>44</v>
      </c>
      <c r="V1027" s="7" t="s">
        <v>45</v>
      </c>
      <c r="W1027" s="7" t="s">
        <v>67</v>
      </c>
      <c r="X1027" s="7" t="s">
        <v>68</v>
      </c>
      <c r="Y1027" s="7" t="s">
        <v>2501</v>
      </c>
      <c r="Z1027" s="7" t="s">
        <v>2493</v>
      </c>
      <c r="AA1027" s="7"/>
      <c r="AB1027" s="7"/>
      <c r="AC1027" s="7" t="s">
        <v>107</v>
      </c>
      <c r="AD1027" s="7"/>
      <c r="AE1027" s="7"/>
      <c r="AF1027" s="7" t="s">
        <v>113</v>
      </c>
      <c r="AG1027" s="7" t="s">
        <v>114</v>
      </c>
      <c r="AH1027" s="7" t="s">
        <v>115</v>
      </c>
    </row>
    <row r="1028" spans="1:34" ht="9.75" customHeight="1" x14ac:dyDescent="0.2">
      <c r="A1028" s="7" t="s">
        <v>37</v>
      </c>
      <c r="B1028" s="7" t="s">
        <v>38</v>
      </c>
      <c r="C1028" s="7"/>
      <c r="D1028" s="7" t="s">
        <v>2502</v>
      </c>
      <c r="E1028" s="8">
        <v>5</v>
      </c>
      <c r="F1028" s="7" t="s">
        <v>109</v>
      </c>
      <c r="G1028" s="7"/>
      <c r="H1028" s="9"/>
      <c r="I1028" s="10">
        <v>284</v>
      </c>
      <c r="J1028" s="9"/>
      <c r="K1028" s="9"/>
      <c r="L1028" s="10">
        <v>50</v>
      </c>
      <c r="M1028" s="9"/>
      <c r="N1028" s="10">
        <v>50</v>
      </c>
      <c r="O1028" s="9"/>
      <c r="P1028" s="10"/>
      <c r="Q1028" s="10"/>
      <c r="R1028" s="10"/>
      <c r="S1028" s="7" t="s">
        <v>407</v>
      </c>
      <c r="T1028" s="7" t="s">
        <v>117</v>
      </c>
      <c r="U1028" s="7" t="s">
        <v>44</v>
      </c>
      <c r="V1028" s="7" t="s">
        <v>45</v>
      </c>
      <c r="W1028" s="7" t="s">
        <v>67</v>
      </c>
      <c r="X1028" s="7" t="s">
        <v>68</v>
      </c>
      <c r="Y1028" s="7" t="s">
        <v>2503</v>
      </c>
      <c r="Z1028" s="7" t="s">
        <v>2493</v>
      </c>
      <c r="AA1028" s="7"/>
      <c r="AB1028" s="7"/>
      <c r="AC1028" s="7" t="s">
        <v>107</v>
      </c>
      <c r="AD1028" s="7"/>
      <c r="AE1028" s="7"/>
      <c r="AF1028" s="7" t="s">
        <v>113</v>
      </c>
      <c r="AG1028" s="7" t="s">
        <v>114</v>
      </c>
      <c r="AH1028" s="7" t="s">
        <v>115</v>
      </c>
    </row>
    <row r="1029" spans="1:34" ht="9.75" customHeight="1" x14ac:dyDescent="0.2">
      <c r="A1029" s="7" t="s">
        <v>37</v>
      </c>
      <c r="B1029" s="7" t="s">
        <v>38</v>
      </c>
      <c r="C1029" s="7"/>
      <c r="D1029" s="7" t="s">
        <v>2504</v>
      </c>
      <c r="E1029" s="8">
        <v>5</v>
      </c>
      <c r="F1029" s="7" t="s">
        <v>109</v>
      </c>
      <c r="G1029" s="7"/>
      <c r="H1029" s="9"/>
      <c r="I1029" s="10">
        <v>27331</v>
      </c>
      <c r="J1029" s="9"/>
      <c r="K1029" s="9"/>
      <c r="L1029" s="10">
        <v>19283</v>
      </c>
      <c r="M1029" s="9"/>
      <c r="N1029" s="10">
        <v>19283</v>
      </c>
      <c r="O1029" s="9"/>
      <c r="P1029" s="10"/>
      <c r="Q1029" s="10"/>
      <c r="R1029" s="10"/>
      <c r="S1029" s="7" t="s">
        <v>407</v>
      </c>
      <c r="T1029" s="7" t="s">
        <v>117</v>
      </c>
      <c r="U1029" s="7" t="s">
        <v>44</v>
      </c>
      <c r="V1029" s="7" t="s">
        <v>45</v>
      </c>
      <c r="W1029" s="7" t="s">
        <v>67</v>
      </c>
      <c r="X1029" s="7" t="s">
        <v>68</v>
      </c>
      <c r="Y1029" s="7" t="s">
        <v>2505</v>
      </c>
      <c r="Z1029" s="7" t="s">
        <v>2506</v>
      </c>
      <c r="AA1029" s="7"/>
      <c r="AB1029" s="7"/>
      <c r="AC1029" s="7" t="s">
        <v>107</v>
      </c>
      <c r="AD1029" s="7"/>
      <c r="AE1029" s="7"/>
      <c r="AF1029" s="7" t="s">
        <v>113</v>
      </c>
      <c r="AG1029" s="7" t="s">
        <v>114</v>
      </c>
      <c r="AH1029" s="7" t="s">
        <v>115</v>
      </c>
    </row>
    <row r="1030" spans="1:34" ht="9.75" customHeight="1" x14ac:dyDescent="0.2">
      <c r="A1030" s="7" t="s">
        <v>37</v>
      </c>
      <c r="B1030" s="7" t="s">
        <v>38</v>
      </c>
      <c r="C1030" s="7"/>
      <c r="D1030" s="7" t="s">
        <v>2507</v>
      </c>
      <c r="E1030" s="8">
        <v>5</v>
      </c>
      <c r="F1030" s="7" t="s">
        <v>109</v>
      </c>
      <c r="G1030" s="7"/>
      <c r="H1030" s="9"/>
      <c r="I1030" s="10">
        <v>233</v>
      </c>
      <c r="J1030" s="9"/>
      <c r="K1030" s="9"/>
      <c r="L1030" s="10">
        <v>80</v>
      </c>
      <c r="M1030" s="9"/>
      <c r="N1030" s="10">
        <v>80</v>
      </c>
      <c r="O1030" s="9"/>
      <c r="P1030" s="10"/>
      <c r="Q1030" s="10"/>
      <c r="R1030" s="10"/>
      <c r="S1030" s="7" t="s">
        <v>407</v>
      </c>
      <c r="T1030" s="7" t="s">
        <v>117</v>
      </c>
      <c r="U1030" s="7" t="s">
        <v>44</v>
      </c>
      <c r="V1030" s="7" t="s">
        <v>45</v>
      </c>
      <c r="W1030" s="7" t="s">
        <v>67</v>
      </c>
      <c r="X1030" s="7" t="s">
        <v>68</v>
      </c>
      <c r="Y1030" s="7" t="s">
        <v>2508</v>
      </c>
      <c r="Z1030" s="7" t="s">
        <v>2506</v>
      </c>
      <c r="AA1030" s="7"/>
      <c r="AB1030" s="7"/>
      <c r="AC1030" s="7" t="s">
        <v>107</v>
      </c>
      <c r="AD1030" s="7"/>
      <c r="AE1030" s="7"/>
      <c r="AF1030" s="7" t="s">
        <v>113</v>
      </c>
      <c r="AG1030" s="7" t="s">
        <v>114</v>
      </c>
      <c r="AH1030" s="7" t="s">
        <v>115</v>
      </c>
    </row>
    <row r="1031" spans="1:34" ht="9.75" customHeight="1" x14ac:dyDescent="0.2">
      <c r="A1031" s="7" t="s">
        <v>37</v>
      </c>
      <c r="B1031" s="7" t="s">
        <v>38</v>
      </c>
      <c r="C1031" s="7"/>
      <c r="D1031" s="7" t="s">
        <v>2509</v>
      </c>
      <c r="E1031" s="8">
        <v>5</v>
      </c>
      <c r="F1031" s="7" t="s">
        <v>109</v>
      </c>
      <c r="G1031" s="7"/>
      <c r="H1031" s="9"/>
      <c r="I1031" s="10">
        <v>2024</v>
      </c>
      <c r="J1031" s="9"/>
      <c r="K1031" s="9"/>
      <c r="L1031" s="10">
        <v>2229</v>
      </c>
      <c r="M1031" s="9"/>
      <c r="N1031" s="10">
        <v>2229</v>
      </c>
      <c r="O1031" s="9"/>
      <c r="P1031" s="10"/>
      <c r="Q1031" s="10"/>
      <c r="R1031" s="10"/>
      <c r="S1031" s="7" t="s">
        <v>407</v>
      </c>
      <c r="T1031" s="7" t="s">
        <v>117</v>
      </c>
      <c r="U1031" s="7" t="s">
        <v>44</v>
      </c>
      <c r="V1031" s="7" t="s">
        <v>45</v>
      </c>
      <c r="W1031" s="7" t="s">
        <v>67</v>
      </c>
      <c r="X1031" s="7" t="s">
        <v>68</v>
      </c>
      <c r="Y1031" s="7" t="s">
        <v>2510</v>
      </c>
      <c r="Z1031" s="7" t="s">
        <v>2506</v>
      </c>
      <c r="AA1031" s="7"/>
      <c r="AB1031" s="7"/>
      <c r="AC1031" s="7" t="s">
        <v>107</v>
      </c>
      <c r="AD1031" s="7"/>
      <c r="AE1031" s="7"/>
      <c r="AF1031" s="7" t="s">
        <v>113</v>
      </c>
      <c r="AG1031" s="7" t="s">
        <v>114</v>
      </c>
      <c r="AH1031" s="7" t="s">
        <v>115</v>
      </c>
    </row>
    <row r="1032" spans="1:34" ht="9.75" customHeight="1" x14ac:dyDescent="0.2">
      <c r="A1032" s="7" t="s">
        <v>37</v>
      </c>
      <c r="B1032" s="7" t="s">
        <v>38</v>
      </c>
      <c r="C1032" s="7"/>
      <c r="D1032" s="7" t="s">
        <v>2511</v>
      </c>
      <c r="E1032" s="8">
        <v>5</v>
      </c>
      <c r="F1032" s="7" t="s">
        <v>109</v>
      </c>
      <c r="G1032" s="7"/>
      <c r="H1032" s="9"/>
      <c r="I1032" s="10">
        <v>5330</v>
      </c>
      <c r="J1032" s="9"/>
      <c r="K1032" s="9"/>
      <c r="L1032" s="10">
        <v>6228</v>
      </c>
      <c r="M1032" s="9"/>
      <c r="N1032" s="10">
        <v>6228</v>
      </c>
      <c r="O1032" s="9"/>
      <c r="P1032" s="10"/>
      <c r="Q1032" s="10"/>
      <c r="R1032" s="10"/>
      <c r="S1032" s="7" t="s">
        <v>407</v>
      </c>
      <c r="T1032" s="7" t="s">
        <v>117</v>
      </c>
      <c r="U1032" s="7" t="s">
        <v>44</v>
      </c>
      <c r="V1032" s="7" t="s">
        <v>45</v>
      </c>
      <c r="W1032" s="7" t="s">
        <v>67</v>
      </c>
      <c r="X1032" s="7" t="s">
        <v>68</v>
      </c>
      <c r="Y1032" s="7" t="s">
        <v>2512</v>
      </c>
      <c r="Z1032" s="7" t="s">
        <v>2506</v>
      </c>
      <c r="AA1032" s="7"/>
      <c r="AB1032" s="7"/>
      <c r="AC1032" s="7" t="s">
        <v>107</v>
      </c>
      <c r="AD1032" s="7"/>
      <c r="AE1032" s="7"/>
      <c r="AF1032" s="7" t="s">
        <v>113</v>
      </c>
      <c r="AG1032" s="7" t="s">
        <v>114</v>
      </c>
      <c r="AH1032" s="7" t="s">
        <v>115</v>
      </c>
    </row>
    <row r="1033" spans="1:34" ht="9.75" customHeight="1" x14ac:dyDescent="0.2">
      <c r="A1033" s="7" t="s">
        <v>37</v>
      </c>
      <c r="B1033" s="7" t="s">
        <v>38</v>
      </c>
      <c r="C1033" s="7"/>
      <c r="D1033" s="7" t="s">
        <v>2513</v>
      </c>
      <c r="E1033" s="8">
        <v>5</v>
      </c>
      <c r="F1033" s="7" t="s">
        <v>109</v>
      </c>
      <c r="G1033" s="7"/>
      <c r="H1033" s="9"/>
      <c r="I1033" s="10">
        <v>17557</v>
      </c>
      <c r="J1033" s="9"/>
      <c r="K1033" s="9"/>
      <c r="L1033" s="10">
        <v>13907</v>
      </c>
      <c r="M1033" s="9"/>
      <c r="N1033" s="10">
        <v>13907</v>
      </c>
      <c r="O1033" s="9"/>
      <c r="P1033" s="10"/>
      <c r="Q1033" s="10"/>
      <c r="R1033" s="10"/>
      <c r="S1033" s="7" t="s">
        <v>407</v>
      </c>
      <c r="T1033" s="7" t="s">
        <v>117</v>
      </c>
      <c r="U1033" s="7" t="s">
        <v>44</v>
      </c>
      <c r="V1033" s="7" t="s">
        <v>45</v>
      </c>
      <c r="W1033" s="7" t="s">
        <v>67</v>
      </c>
      <c r="X1033" s="7" t="s">
        <v>68</v>
      </c>
      <c r="Y1033" s="7" t="s">
        <v>2514</v>
      </c>
      <c r="Z1033" s="7" t="s">
        <v>2506</v>
      </c>
      <c r="AA1033" s="7"/>
      <c r="AB1033" s="7"/>
      <c r="AC1033" s="7" t="s">
        <v>107</v>
      </c>
      <c r="AD1033" s="7"/>
      <c r="AE1033" s="7"/>
      <c r="AF1033" s="7" t="s">
        <v>113</v>
      </c>
      <c r="AG1033" s="7" t="s">
        <v>114</v>
      </c>
      <c r="AH1033" s="7" t="s">
        <v>115</v>
      </c>
    </row>
    <row r="1034" spans="1:34" ht="9.75" customHeight="1" x14ac:dyDescent="0.2">
      <c r="A1034" s="7" t="s">
        <v>37</v>
      </c>
      <c r="B1034" s="7" t="s">
        <v>38</v>
      </c>
      <c r="C1034" s="7"/>
      <c r="D1034" s="7" t="s">
        <v>2515</v>
      </c>
      <c r="E1034" s="8">
        <v>5</v>
      </c>
      <c r="F1034" s="7" t="s">
        <v>109</v>
      </c>
      <c r="G1034" s="7"/>
      <c r="H1034" s="9"/>
      <c r="I1034" s="10">
        <v>4482</v>
      </c>
      <c r="J1034" s="9"/>
      <c r="K1034" s="9"/>
      <c r="L1034" s="10">
        <v>6855</v>
      </c>
      <c r="M1034" s="9"/>
      <c r="N1034" s="10">
        <v>6855</v>
      </c>
      <c r="O1034" s="9"/>
      <c r="P1034" s="10"/>
      <c r="Q1034" s="10"/>
      <c r="R1034" s="10"/>
      <c r="S1034" s="7" t="s">
        <v>407</v>
      </c>
      <c r="T1034" s="7" t="s">
        <v>117</v>
      </c>
      <c r="U1034" s="7" t="s">
        <v>44</v>
      </c>
      <c r="V1034" s="7" t="s">
        <v>45</v>
      </c>
      <c r="W1034" s="7" t="s">
        <v>67</v>
      </c>
      <c r="X1034" s="7" t="s">
        <v>68</v>
      </c>
      <c r="Y1034" s="7" t="s">
        <v>2516</v>
      </c>
      <c r="Z1034" s="7" t="s">
        <v>2506</v>
      </c>
      <c r="AA1034" s="7"/>
      <c r="AB1034" s="7"/>
      <c r="AC1034" s="7" t="s">
        <v>107</v>
      </c>
      <c r="AD1034" s="7"/>
      <c r="AE1034" s="7"/>
      <c r="AF1034" s="7" t="s">
        <v>113</v>
      </c>
      <c r="AG1034" s="7" t="s">
        <v>114</v>
      </c>
      <c r="AH1034" s="7" t="s">
        <v>115</v>
      </c>
    </row>
    <row r="1035" spans="1:34" ht="9.75" customHeight="1" x14ac:dyDescent="0.2">
      <c r="A1035" s="7" t="s">
        <v>37</v>
      </c>
      <c r="B1035" s="7" t="s">
        <v>38</v>
      </c>
      <c r="C1035" s="7"/>
      <c r="D1035" s="7" t="s">
        <v>2517</v>
      </c>
      <c r="E1035" s="8">
        <v>5</v>
      </c>
      <c r="F1035" s="7" t="s">
        <v>109</v>
      </c>
      <c r="G1035" s="7"/>
      <c r="H1035" s="9"/>
      <c r="I1035" s="10">
        <v>36023</v>
      </c>
      <c r="J1035" s="9"/>
      <c r="K1035" s="9"/>
      <c r="L1035" s="10">
        <v>58114</v>
      </c>
      <c r="M1035" s="9"/>
      <c r="N1035" s="10">
        <v>58114</v>
      </c>
      <c r="O1035" s="9"/>
      <c r="P1035" s="10"/>
      <c r="Q1035" s="10"/>
      <c r="R1035" s="10"/>
      <c r="S1035" s="7" t="s">
        <v>407</v>
      </c>
      <c r="T1035" s="7" t="s">
        <v>117</v>
      </c>
      <c r="U1035" s="7" t="s">
        <v>44</v>
      </c>
      <c r="V1035" s="7" t="s">
        <v>45</v>
      </c>
      <c r="W1035" s="7" t="s">
        <v>67</v>
      </c>
      <c r="X1035" s="7" t="s">
        <v>68</v>
      </c>
      <c r="Y1035" s="7" t="s">
        <v>2518</v>
      </c>
      <c r="Z1035" s="7" t="s">
        <v>2519</v>
      </c>
      <c r="AA1035" s="7"/>
      <c r="AB1035" s="7"/>
      <c r="AC1035" s="7" t="s">
        <v>107</v>
      </c>
      <c r="AD1035" s="7"/>
      <c r="AE1035" s="7"/>
      <c r="AF1035" s="7" t="s">
        <v>113</v>
      </c>
      <c r="AG1035" s="7" t="s">
        <v>114</v>
      </c>
      <c r="AH1035" s="7" t="s">
        <v>115</v>
      </c>
    </row>
    <row r="1036" spans="1:34" ht="9.75" customHeight="1" x14ac:dyDescent="0.2">
      <c r="A1036" s="7" t="s">
        <v>37</v>
      </c>
      <c r="B1036" s="7" t="s">
        <v>38</v>
      </c>
      <c r="C1036" s="7"/>
      <c r="D1036" s="7" t="s">
        <v>2520</v>
      </c>
      <c r="E1036" s="8">
        <v>5</v>
      </c>
      <c r="F1036" s="7" t="s">
        <v>109</v>
      </c>
      <c r="G1036" s="7"/>
      <c r="H1036" s="9"/>
      <c r="I1036" s="10">
        <v>61</v>
      </c>
      <c r="J1036" s="9"/>
      <c r="K1036" s="9"/>
      <c r="L1036" s="10">
        <v>390</v>
      </c>
      <c r="M1036" s="9"/>
      <c r="N1036" s="10">
        <v>390</v>
      </c>
      <c r="O1036" s="9"/>
      <c r="P1036" s="10"/>
      <c r="Q1036" s="10"/>
      <c r="R1036" s="10"/>
      <c r="S1036" s="7" t="s">
        <v>407</v>
      </c>
      <c r="T1036" s="7" t="s">
        <v>117</v>
      </c>
      <c r="U1036" s="7" t="s">
        <v>44</v>
      </c>
      <c r="V1036" s="7" t="s">
        <v>45</v>
      </c>
      <c r="W1036" s="7" t="s">
        <v>67</v>
      </c>
      <c r="X1036" s="7" t="s">
        <v>68</v>
      </c>
      <c r="Y1036" s="7" t="s">
        <v>2521</v>
      </c>
      <c r="Z1036" s="7" t="s">
        <v>2519</v>
      </c>
      <c r="AA1036" s="7"/>
      <c r="AB1036" s="7"/>
      <c r="AC1036" s="7" t="s">
        <v>107</v>
      </c>
      <c r="AD1036" s="7"/>
      <c r="AE1036" s="7"/>
      <c r="AF1036" s="7" t="s">
        <v>113</v>
      </c>
      <c r="AG1036" s="7" t="s">
        <v>114</v>
      </c>
      <c r="AH1036" s="7" t="s">
        <v>115</v>
      </c>
    </row>
    <row r="1037" spans="1:34" ht="9.75" customHeight="1" x14ac:dyDescent="0.2">
      <c r="A1037" s="7" t="s">
        <v>37</v>
      </c>
      <c r="B1037" s="7" t="s">
        <v>38</v>
      </c>
      <c r="C1037" s="7"/>
      <c r="D1037" s="7" t="s">
        <v>2522</v>
      </c>
      <c r="E1037" s="8">
        <v>5</v>
      </c>
      <c r="F1037" s="7" t="s">
        <v>109</v>
      </c>
      <c r="G1037" s="7"/>
      <c r="H1037" s="9"/>
      <c r="I1037" s="10">
        <v>95</v>
      </c>
      <c r="J1037" s="9"/>
      <c r="K1037" s="9"/>
      <c r="L1037" s="10">
        <v>59</v>
      </c>
      <c r="M1037" s="9"/>
      <c r="N1037" s="10">
        <v>59</v>
      </c>
      <c r="O1037" s="9"/>
      <c r="P1037" s="10"/>
      <c r="Q1037" s="10"/>
      <c r="R1037" s="10"/>
      <c r="S1037" s="7" t="s">
        <v>407</v>
      </c>
      <c r="T1037" s="7" t="s">
        <v>117</v>
      </c>
      <c r="U1037" s="7" t="s">
        <v>44</v>
      </c>
      <c r="V1037" s="7" t="s">
        <v>45</v>
      </c>
      <c r="W1037" s="7" t="s">
        <v>67</v>
      </c>
      <c r="X1037" s="7" t="s">
        <v>68</v>
      </c>
      <c r="Y1037" s="7" t="s">
        <v>2523</v>
      </c>
      <c r="Z1037" s="7" t="s">
        <v>2519</v>
      </c>
      <c r="AA1037" s="7"/>
      <c r="AB1037" s="7"/>
      <c r="AC1037" s="7" t="s">
        <v>107</v>
      </c>
      <c r="AD1037" s="7"/>
      <c r="AE1037" s="7"/>
      <c r="AF1037" s="7" t="s">
        <v>113</v>
      </c>
      <c r="AG1037" s="7" t="s">
        <v>114</v>
      </c>
      <c r="AH1037" s="7" t="s">
        <v>115</v>
      </c>
    </row>
    <row r="1038" spans="1:34" ht="9.75" customHeight="1" x14ac:dyDescent="0.2">
      <c r="A1038" s="7" t="s">
        <v>37</v>
      </c>
      <c r="B1038" s="7" t="s">
        <v>38</v>
      </c>
      <c r="C1038" s="7"/>
      <c r="D1038" s="7" t="s">
        <v>2524</v>
      </c>
      <c r="E1038" s="8">
        <v>5</v>
      </c>
      <c r="F1038" s="7" t="s">
        <v>109</v>
      </c>
      <c r="G1038" s="7"/>
      <c r="H1038" s="9"/>
      <c r="I1038" s="10">
        <v>198</v>
      </c>
      <c r="J1038" s="9"/>
      <c r="K1038" s="9"/>
      <c r="L1038" s="10">
        <v>594</v>
      </c>
      <c r="M1038" s="9"/>
      <c r="N1038" s="10">
        <v>594</v>
      </c>
      <c r="O1038" s="9"/>
      <c r="P1038" s="10"/>
      <c r="Q1038" s="10"/>
      <c r="R1038" s="10"/>
      <c r="S1038" s="7" t="s">
        <v>407</v>
      </c>
      <c r="T1038" s="7" t="s">
        <v>117</v>
      </c>
      <c r="U1038" s="7" t="s">
        <v>44</v>
      </c>
      <c r="V1038" s="7" t="s">
        <v>45</v>
      </c>
      <c r="W1038" s="7" t="s">
        <v>67</v>
      </c>
      <c r="X1038" s="7" t="s">
        <v>68</v>
      </c>
      <c r="Y1038" s="7" t="s">
        <v>2525</v>
      </c>
      <c r="Z1038" s="7" t="s">
        <v>2519</v>
      </c>
      <c r="AA1038" s="7"/>
      <c r="AB1038" s="7"/>
      <c r="AC1038" s="7" t="s">
        <v>107</v>
      </c>
      <c r="AD1038" s="7"/>
      <c r="AE1038" s="7"/>
      <c r="AF1038" s="7" t="s">
        <v>113</v>
      </c>
      <c r="AG1038" s="7" t="s">
        <v>114</v>
      </c>
      <c r="AH1038" s="7" t="s">
        <v>115</v>
      </c>
    </row>
    <row r="1039" spans="1:34" ht="9.75" customHeight="1" x14ac:dyDescent="0.2">
      <c r="A1039" s="7" t="s">
        <v>37</v>
      </c>
      <c r="B1039" s="7" t="s">
        <v>38</v>
      </c>
      <c r="C1039" s="7"/>
      <c r="D1039" s="7" t="s">
        <v>2526</v>
      </c>
      <c r="E1039" s="8">
        <v>5</v>
      </c>
      <c r="F1039" s="7" t="s">
        <v>109</v>
      </c>
      <c r="G1039" s="7"/>
      <c r="H1039" s="9"/>
      <c r="I1039" s="10">
        <v>5314</v>
      </c>
      <c r="J1039" s="9"/>
      <c r="K1039" s="9"/>
      <c r="L1039" s="10">
        <v>5867</v>
      </c>
      <c r="M1039" s="9"/>
      <c r="N1039" s="10">
        <v>5867</v>
      </c>
      <c r="O1039" s="9"/>
      <c r="P1039" s="10"/>
      <c r="Q1039" s="10"/>
      <c r="R1039" s="10"/>
      <c r="S1039" s="7" t="s">
        <v>407</v>
      </c>
      <c r="T1039" s="7" t="s">
        <v>117</v>
      </c>
      <c r="U1039" s="7" t="s">
        <v>44</v>
      </c>
      <c r="V1039" s="7" t="s">
        <v>45</v>
      </c>
      <c r="W1039" s="7" t="s">
        <v>67</v>
      </c>
      <c r="X1039" s="7" t="s">
        <v>68</v>
      </c>
      <c r="Y1039" s="7" t="s">
        <v>2527</v>
      </c>
      <c r="Z1039" s="7" t="s">
        <v>2519</v>
      </c>
      <c r="AA1039" s="7"/>
      <c r="AB1039" s="7"/>
      <c r="AC1039" s="7" t="s">
        <v>107</v>
      </c>
      <c r="AD1039" s="7"/>
      <c r="AE1039" s="7"/>
      <c r="AF1039" s="7" t="s">
        <v>113</v>
      </c>
      <c r="AG1039" s="7" t="s">
        <v>114</v>
      </c>
      <c r="AH1039" s="7" t="s">
        <v>115</v>
      </c>
    </row>
    <row r="1040" spans="1:34" ht="9.75" customHeight="1" x14ac:dyDescent="0.2">
      <c r="A1040" s="7" t="s">
        <v>37</v>
      </c>
      <c r="B1040" s="7" t="s">
        <v>38</v>
      </c>
      <c r="C1040" s="7"/>
      <c r="D1040" s="7" t="s">
        <v>2528</v>
      </c>
      <c r="E1040" s="8">
        <v>5</v>
      </c>
      <c r="F1040" s="7" t="s">
        <v>109</v>
      </c>
      <c r="G1040" s="7"/>
      <c r="H1040" s="9"/>
      <c r="I1040" s="10">
        <v>8777</v>
      </c>
      <c r="J1040" s="9"/>
      <c r="K1040" s="9"/>
      <c r="L1040" s="10">
        <v>14431</v>
      </c>
      <c r="M1040" s="9"/>
      <c r="N1040" s="10">
        <v>14431</v>
      </c>
      <c r="O1040" s="9"/>
      <c r="P1040" s="10"/>
      <c r="Q1040" s="10"/>
      <c r="R1040" s="10"/>
      <c r="S1040" s="7" t="s">
        <v>407</v>
      </c>
      <c r="T1040" s="7" t="s">
        <v>117</v>
      </c>
      <c r="U1040" s="7" t="s">
        <v>44</v>
      </c>
      <c r="V1040" s="7" t="s">
        <v>45</v>
      </c>
      <c r="W1040" s="7" t="s">
        <v>67</v>
      </c>
      <c r="X1040" s="7" t="s">
        <v>68</v>
      </c>
      <c r="Y1040" s="7" t="s">
        <v>2529</v>
      </c>
      <c r="Z1040" s="7" t="s">
        <v>2519</v>
      </c>
      <c r="AA1040" s="7"/>
      <c r="AB1040" s="7"/>
      <c r="AC1040" s="7" t="s">
        <v>107</v>
      </c>
      <c r="AD1040" s="7"/>
      <c r="AE1040" s="7"/>
      <c r="AF1040" s="7" t="s">
        <v>113</v>
      </c>
      <c r="AG1040" s="7" t="s">
        <v>114</v>
      </c>
      <c r="AH1040" s="7" t="s">
        <v>115</v>
      </c>
    </row>
    <row r="1041" spans="1:34" ht="9.75" customHeight="1" x14ac:dyDescent="0.2">
      <c r="A1041" s="7" t="s">
        <v>37</v>
      </c>
      <c r="B1041" s="7" t="s">
        <v>38</v>
      </c>
      <c r="C1041" s="7"/>
      <c r="D1041" s="7" t="s">
        <v>2530</v>
      </c>
      <c r="E1041" s="8">
        <v>5</v>
      </c>
      <c r="F1041" s="7" t="s">
        <v>109</v>
      </c>
      <c r="G1041" s="7"/>
      <c r="H1041" s="9"/>
      <c r="I1041" s="10">
        <v>7202</v>
      </c>
      <c r="J1041" s="9"/>
      <c r="K1041" s="9"/>
      <c r="L1041" s="10">
        <v>11516</v>
      </c>
      <c r="M1041" s="9"/>
      <c r="N1041" s="10">
        <v>11516</v>
      </c>
      <c r="O1041" s="9"/>
      <c r="P1041" s="10"/>
      <c r="Q1041" s="10"/>
      <c r="R1041" s="10"/>
      <c r="S1041" s="7" t="s">
        <v>407</v>
      </c>
      <c r="T1041" s="7" t="s">
        <v>117</v>
      </c>
      <c r="U1041" s="7" t="s">
        <v>44</v>
      </c>
      <c r="V1041" s="7" t="s">
        <v>45</v>
      </c>
      <c r="W1041" s="7" t="s">
        <v>67</v>
      </c>
      <c r="X1041" s="7" t="s">
        <v>68</v>
      </c>
      <c r="Y1041" s="7" t="s">
        <v>2531</v>
      </c>
      <c r="Z1041" s="7" t="s">
        <v>2519</v>
      </c>
      <c r="AA1041" s="7"/>
      <c r="AB1041" s="7"/>
      <c r="AC1041" s="7" t="s">
        <v>107</v>
      </c>
      <c r="AD1041" s="7"/>
      <c r="AE1041" s="7"/>
      <c r="AF1041" s="7" t="s">
        <v>113</v>
      </c>
      <c r="AG1041" s="7" t="s">
        <v>114</v>
      </c>
      <c r="AH1041" s="7" t="s">
        <v>115</v>
      </c>
    </row>
    <row r="1042" spans="1:34" ht="9.75" customHeight="1" x14ac:dyDescent="0.2">
      <c r="A1042" s="7" t="s">
        <v>37</v>
      </c>
      <c r="B1042" s="7" t="s">
        <v>38</v>
      </c>
      <c r="C1042" s="7"/>
      <c r="D1042" s="7" t="s">
        <v>2532</v>
      </c>
      <c r="E1042" s="8">
        <v>5</v>
      </c>
      <c r="F1042" s="7" t="s">
        <v>109</v>
      </c>
      <c r="G1042" s="7"/>
      <c r="H1042" s="9"/>
      <c r="I1042" s="10">
        <v>20147</v>
      </c>
      <c r="J1042" s="9"/>
      <c r="K1042" s="9"/>
      <c r="L1042" s="10">
        <v>21585</v>
      </c>
      <c r="M1042" s="9"/>
      <c r="N1042" s="10">
        <v>21585</v>
      </c>
      <c r="O1042" s="9"/>
      <c r="P1042" s="10"/>
      <c r="Q1042" s="10"/>
      <c r="R1042" s="10"/>
      <c r="S1042" s="7" t="s">
        <v>407</v>
      </c>
      <c r="T1042" s="7" t="s">
        <v>117</v>
      </c>
      <c r="U1042" s="7" t="s">
        <v>44</v>
      </c>
      <c r="V1042" s="7" t="s">
        <v>45</v>
      </c>
      <c r="W1042" s="7" t="s">
        <v>67</v>
      </c>
      <c r="X1042" s="7" t="s">
        <v>68</v>
      </c>
      <c r="Y1042" s="7" t="s">
        <v>2533</v>
      </c>
      <c r="Z1042" s="7" t="s">
        <v>2534</v>
      </c>
      <c r="AA1042" s="7"/>
      <c r="AB1042" s="7"/>
      <c r="AC1042" s="7" t="s">
        <v>107</v>
      </c>
      <c r="AD1042" s="7"/>
      <c r="AE1042" s="7"/>
      <c r="AF1042" s="7" t="s">
        <v>113</v>
      </c>
      <c r="AG1042" s="7" t="s">
        <v>114</v>
      </c>
      <c r="AH1042" s="7" t="s">
        <v>115</v>
      </c>
    </row>
    <row r="1043" spans="1:34" ht="9.75" customHeight="1" x14ac:dyDescent="0.2">
      <c r="A1043" s="7" t="s">
        <v>37</v>
      </c>
      <c r="B1043" s="7" t="s">
        <v>38</v>
      </c>
      <c r="C1043" s="7"/>
      <c r="D1043" s="7" t="s">
        <v>2535</v>
      </c>
      <c r="E1043" s="8">
        <v>5</v>
      </c>
      <c r="F1043" s="7" t="s">
        <v>109</v>
      </c>
      <c r="G1043" s="7"/>
      <c r="H1043" s="9"/>
      <c r="I1043" s="9"/>
      <c r="J1043" s="9"/>
      <c r="K1043" s="9"/>
      <c r="L1043" s="10">
        <v>613</v>
      </c>
      <c r="M1043" s="9"/>
      <c r="N1043" s="10">
        <v>613</v>
      </c>
      <c r="O1043" s="9"/>
      <c r="P1043" s="10"/>
      <c r="Q1043" s="10"/>
      <c r="R1043" s="10"/>
      <c r="S1043" s="7" t="s">
        <v>407</v>
      </c>
      <c r="T1043" s="7" t="s">
        <v>117</v>
      </c>
      <c r="U1043" s="7" t="s">
        <v>44</v>
      </c>
      <c r="V1043" s="7" t="s">
        <v>45</v>
      </c>
      <c r="W1043" s="7" t="s">
        <v>67</v>
      </c>
      <c r="X1043" s="7" t="s">
        <v>68</v>
      </c>
      <c r="Y1043" s="7" t="s">
        <v>2536</v>
      </c>
      <c r="Z1043" s="7" t="s">
        <v>2534</v>
      </c>
      <c r="AA1043" s="7"/>
      <c r="AB1043" s="7"/>
      <c r="AC1043" s="7" t="s">
        <v>107</v>
      </c>
      <c r="AD1043" s="7"/>
      <c r="AE1043" s="7"/>
      <c r="AF1043" s="7" t="s">
        <v>113</v>
      </c>
      <c r="AG1043" s="7" t="s">
        <v>114</v>
      </c>
      <c r="AH1043" s="7" t="s">
        <v>115</v>
      </c>
    </row>
    <row r="1044" spans="1:34" ht="9.75" customHeight="1" x14ac:dyDescent="0.2">
      <c r="A1044" s="7" t="s">
        <v>37</v>
      </c>
      <c r="B1044" s="7" t="s">
        <v>38</v>
      </c>
      <c r="C1044" s="7"/>
      <c r="D1044" s="7" t="s">
        <v>2537</v>
      </c>
      <c r="E1044" s="8">
        <v>5</v>
      </c>
      <c r="F1044" s="7" t="s">
        <v>109</v>
      </c>
      <c r="G1044" s="7"/>
      <c r="H1044" s="9"/>
      <c r="I1044" s="9"/>
      <c r="J1044" s="9"/>
      <c r="K1044" s="9"/>
      <c r="L1044" s="10">
        <v>81</v>
      </c>
      <c r="M1044" s="9"/>
      <c r="N1044" s="10">
        <v>81</v>
      </c>
      <c r="O1044" s="9"/>
      <c r="P1044" s="10"/>
      <c r="Q1044" s="10"/>
      <c r="R1044" s="10"/>
      <c r="S1044" s="7" t="s">
        <v>407</v>
      </c>
      <c r="T1044" s="7" t="s">
        <v>117</v>
      </c>
      <c r="U1044" s="7" t="s">
        <v>44</v>
      </c>
      <c r="V1044" s="7" t="s">
        <v>45</v>
      </c>
      <c r="W1044" s="7" t="s">
        <v>67</v>
      </c>
      <c r="X1044" s="7" t="s">
        <v>68</v>
      </c>
      <c r="Y1044" s="7" t="s">
        <v>2538</v>
      </c>
      <c r="Z1044" s="7" t="s">
        <v>2534</v>
      </c>
      <c r="AA1044" s="7"/>
      <c r="AB1044" s="7"/>
      <c r="AC1044" s="7" t="s">
        <v>107</v>
      </c>
      <c r="AD1044" s="7"/>
      <c r="AE1044" s="7"/>
      <c r="AF1044" s="7" t="s">
        <v>113</v>
      </c>
      <c r="AG1044" s="7" t="s">
        <v>114</v>
      </c>
      <c r="AH1044" s="7" t="s">
        <v>115</v>
      </c>
    </row>
    <row r="1045" spans="1:34" ht="9.75" customHeight="1" x14ac:dyDescent="0.2">
      <c r="A1045" s="7" t="s">
        <v>37</v>
      </c>
      <c r="B1045" s="7" t="s">
        <v>38</v>
      </c>
      <c r="C1045" s="7"/>
      <c r="D1045" s="7" t="s">
        <v>2539</v>
      </c>
      <c r="E1045" s="8">
        <v>5</v>
      </c>
      <c r="F1045" s="7" t="s">
        <v>109</v>
      </c>
      <c r="G1045" s="7"/>
      <c r="H1045" s="9"/>
      <c r="I1045" s="9"/>
      <c r="J1045" s="9"/>
      <c r="K1045" s="9"/>
      <c r="L1045" s="10">
        <v>1360</v>
      </c>
      <c r="M1045" s="9"/>
      <c r="N1045" s="10">
        <v>1360</v>
      </c>
      <c r="O1045" s="9"/>
      <c r="P1045" s="10"/>
      <c r="Q1045" s="10"/>
      <c r="R1045" s="10"/>
      <c r="S1045" s="7" t="s">
        <v>407</v>
      </c>
      <c r="T1045" s="7" t="s">
        <v>117</v>
      </c>
      <c r="U1045" s="7" t="s">
        <v>44</v>
      </c>
      <c r="V1045" s="7" t="s">
        <v>45</v>
      </c>
      <c r="W1045" s="7" t="s">
        <v>67</v>
      </c>
      <c r="X1045" s="7" t="s">
        <v>68</v>
      </c>
      <c r="Y1045" s="7" t="s">
        <v>2540</v>
      </c>
      <c r="Z1045" s="7" t="s">
        <v>2534</v>
      </c>
      <c r="AA1045" s="7"/>
      <c r="AB1045" s="7"/>
      <c r="AC1045" s="7" t="s">
        <v>107</v>
      </c>
      <c r="AD1045" s="7"/>
      <c r="AE1045" s="7"/>
      <c r="AF1045" s="7" t="s">
        <v>113</v>
      </c>
      <c r="AG1045" s="7" t="s">
        <v>114</v>
      </c>
      <c r="AH1045" s="7" t="s">
        <v>115</v>
      </c>
    </row>
    <row r="1046" spans="1:34" ht="9.75" customHeight="1" x14ac:dyDescent="0.2">
      <c r="A1046" s="7" t="s">
        <v>37</v>
      </c>
      <c r="B1046" s="7" t="s">
        <v>38</v>
      </c>
      <c r="C1046" s="7"/>
      <c r="D1046" s="7" t="s">
        <v>2541</v>
      </c>
      <c r="E1046" s="8">
        <v>5</v>
      </c>
      <c r="F1046" s="7" t="s">
        <v>109</v>
      </c>
      <c r="G1046" s="7"/>
      <c r="H1046" s="9"/>
      <c r="I1046" s="10">
        <v>595</v>
      </c>
      <c r="J1046" s="9"/>
      <c r="K1046" s="9"/>
      <c r="L1046" s="10">
        <v>1301</v>
      </c>
      <c r="M1046" s="9"/>
      <c r="N1046" s="10">
        <v>1301</v>
      </c>
      <c r="O1046" s="9"/>
      <c r="P1046" s="10"/>
      <c r="Q1046" s="10"/>
      <c r="R1046" s="10"/>
      <c r="S1046" s="7" t="s">
        <v>407</v>
      </c>
      <c r="T1046" s="7" t="s">
        <v>117</v>
      </c>
      <c r="U1046" s="7" t="s">
        <v>44</v>
      </c>
      <c r="V1046" s="7" t="s">
        <v>45</v>
      </c>
      <c r="W1046" s="7" t="s">
        <v>67</v>
      </c>
      <c r="X1046" s="7" t="s">
        <v>68</v>
      </c>
      <c r="Y1046" s="7" t="s">
        <v>2542</v>
      </c>
      <c r="Z1046" s="7" t="s">
        <v>2534</v>
      </c>
      <c r="AA1046" s="7"/>
      <c r="AB1046" s="7"/>
      <c r="AC1046" s="7" t="s">
        <v>107</v>
      </c>
      <c r="AD1046" s="7"/>
      <c r="AE1046" s="7"/>
      <c r="AF1046" s="7" t="s">
        <v>113</v>
      </c>
      <c r="AG1046" s="7" t="s">
        <v>114</v>
      </c>
      <c r="AH1046" s="7" t="s">
        <v>115</v>
      </c>
    </row>
    <row r="1047" spans="1:34" ht="9.75" customHeight="1" x14ac:dyDescent="0.2">
      <c r="A1047" s="7" t="s">
        <v>37</v>
      </c>
      <c r="B1047" s="7" t="s">
        <v>38</v>
      </c>
      <c r="C1047" s="7"/>
      <c r="D1047" s="7" t="s">
        <v>2543</v>
      </c>
      <c r="E1047" s="8">
        <v>5</v>
      </c>
      <c r="F1047" s="7" t="s">
        <v>109</v>
      </c>
      <c r="G1047" s="7"/>
      <c r="H1047" s="9"/>
      <c r="I1047" s="10">
        <v>6722</v>
      </c>
      <c r="J1047" s="9"/>
      <c r="K1047" s="9"/>
      <c r="L1047" s="10">
        <v>7986</v>
      </c>
      <c r="M1047" s="9"/>
      <c r="N1047" s="10">
        <v>7986</v>
      </c>
      <c r="O1047" s="9"/>
      <c r="P1047" s="10"/>
      <c r="Q1047" s="10"/>
      <c r="R1047" s="10"/>
      <c r="S1047" s="7" t="s">
        <v>407</v>
      </c>
      <c r="T1047" s="7" t="s">
        <v>117</v>
      </c>
      <c r="U1047" s="7" t="s">
        <v>44</v>
      </c>
      <c r="V1047" s="7" t="s">
        <v>45</v>
      </c>
      <c r="W1047" s="7" t="s">
        <v>67</v>
      </c>
      <c r="X1047" s="7" t="s">
        <v>68</v>
      </c>
      <c r="Y1047" s="7" t="s">
        <v>2544</v>
      </c>
      <c r="Z1047" s="7" t="s">
        <v>2534</v>
      </c>
      <c r="AA1047" s="7"/>
      <c r="AB1047" s="7"/>
      <c r="AC1047" s="7" t="s">
        <v>107</v>
      </c>
      <c r="AD1047" s="7"/>
      <c r="AE1047" s="7"/>
      <c r="AF1047" s="7" t="s">
        <v>113</v>
      </c>
      <c r="AG1047" s="7" t="s">
        <v>114</v>
      </c>
      <c r="AH1047" s="7" t="s">
        <v>115</v>
      </c>
    </row>
    <row r="1048" spans="1:34" ht="9.75" customHeight="1" x14ac:dyDescent="0.2">
      <c r="A1048" s="7" t="s">
        <v>37</v>
      </c>
      <c r="B1048" s="7" t="s">
        <v>38</v>
      </c>
      <c r="C1048" s="7"/>
      <c r="D1048" s="7" t="s">
        <v>2545</v>
      </c>
      <c r="E1048" s="8">
        <v>5</v>
      </c>
      <c r="F1048" s="7" t="s">
        <v>109</v>
      </c>
      <c r="G1048" s="7"/>
      <c r="H1048" s="9"/>
      <c r="I1048" s="10">
        <v>187</v>
      </c>
      <c r="J1048" s="9"/>
      <c r="K1048" s="9"/>
      <c r="L1048" s="10">
        <v>2198</v>
      </c>
      <c r="M1048" s="9"/>
      <c r="N1048" s="10">
        <v>2198</v>
      </c>
      <c r="O1048" s="9"/>
      <c r="P1048" s="10"/>
      <c r="Q1048" s="10"/>
      <c r="R1048" s="10"/>
      <c r="S1048" s="7" t="s">
        <v>407</v>
      </c>
      <c r="T1048" s="7" t="s">
        <v>117</v>
      </c>
      <c r="U1048" s="7" t="s">
        <v>44</v>
      </c>
      <c r="V1048" s="7" t="s">
        <v>45</v>
      </c>
      <c r="W1048" s="7" t="s">
        <v>67</v>
      </c>
      <c r="X1048" s="7" t="s">
        <v>68</v>
      </c>
      <c r="Y1048" s="7" t="s">
        <v>2546</v>
      </c>
      <c r="Z1048" s="7" t="s">
        <v>2534</v>
      </c>
      <c r="AA1048" s="7"/>
      <c r="AB1048" s="7"/>
      <c r="AC1048" s="7" t="s">
        <v>107</v>
      </c>
      <c r="AD1048" s="7"/>
      <c r="AE1048" s="7"/>
      <c r="AF1048" s="7" t="s">
        <v>113</v>
      </c>
      <c r="AG1048" s="7" t="s">
        <v>114</v>
      </c>
      <c r="AH1048" s="7" t="s">
        <v>115</v>
      </c>
    </row>
    <row r="1049" spans="1:34" ht="9.75" customHeight="1" x14ac:dyDescent="0.2">
      <c r="A1049" s="7" t="s">
        <v>37</v>
      </c>
      <c r="B1049" s="7" t="s">
        <v>38</v>
      </c>
      <c r="C1049" s="7"/>
      <c r="D1049" s="7" t="s">
        <v>2547</v>
      </c>
      <c r="E1049" s="8">
        <v>5</v>
      </c>
      <c r="F1049" s="7" t="s">
        <v>109</v>
      </c>
      <c r="G1049" s="7"/>
      <c r="H1049" s="9"/>
      <c r="I1049" s="10">
        <v>13225</v>
      </c>
      <c r="J1049" s="9"/>
      <c r="K1049" s="9"/>
      <c r="L1049" s="10">
        <v>22330</v>
      </c>
      <c r="M1049" s="9"/>
      <c r="N1049" s="10">
        <v>22330</v>
      </c>
      <c r="O1049" s="9"/>
      <c r="P1049" s="10"/>
      <c r="Q1049" s="10"/>
      <c r="R1049" s="10"/>
      <c r="S1049" s="7" t="s">
        <v>407</v>
      </c>
      <c r="T1049" s="7" t="s">
        <v>117</v>
      </c>
      <c r="U1049" s="7" t="s">
        <v>44</v>
      </c>
      <c r="V1049" s="7" t="s">
        <v>45</v>
      </c>
      <c r="W1049" s="7" t="s">
        <v>67</v>
      </c>
      <c r="X1049" s="7" t="s">
        <v>68</v>
      </c>
      <c r="Y1049" s="7" t="s">
        <v>2548</v>
      </c>
      <c r="Z1049" s="7" t="s">
        <v>2549</v>
      </c>
      <c r="AA1049" s="7"/>
      <c r="AB1049" s="7"/>
      <c r="AC1049" s="7" t="s">
        <v>107</v>
      </c>
      <c r="AD1049" s="7"/>
      <c r="AE1049" s="7"/>
      <c r="AF1049" s="7" t="s">
        <v>113</v>
      </c>
      <c r="AG1049" s="7" t="s">
        <v>114</v>
      </c>
      <c r="AH1049" s="7" t="s">
        <v>115</v>
      </c>
    </row>
    <row r="1050" spans="1:34" ht="9.75" customHeight="1" x14ac:dyDescent="0.2">
      <c r="A1050" s="7" t="s">
        <v>37</v>
      </c>
      <c r="B1050" s="7" t="s">
        <v>38</v>
      </c>
      <c r="C1050" s="7"/>
      <c r="D1050" s="7" t="s">
        <v>2550</v>
      </c>
      <c r="E1050" s="8">
        <v>5</v>
      </c>
      <c r="F1050" s="7" t="s">
        <v>109</v>
      </c>
      <c r="G1050" s="7"/>
      <c r="H1050" s="9"/>
      <c r="I1050" s="10">
        <v>198</v>
      </c>
      <c r="J1050" s="9"/>
      <c r="K1050" s="9"/>
      <c r="L1050" s="10">
        <v>217</v>
      </c>
      <c r="M1050" s="9"/>
      <c r="N1050" s="10">
        <v>217</v>
      </c>
      <c r="O1050" s="9"/>
      <c r="P1050" s="10"/>
      <c r="Q1050" s="10"/>
      <c r="R1050" s="10"/>
      <c r="S1050" s="7" t="s">
        <v>407</v>
      </c>
      <c r="T1050" s="7" t="s">
        <v>117</v>
      </c>
      <c r="U1050" s="7" t="s">
        <v>44</v>
      </c>
      <c r="V1050" s="7" t="s">
        <v>45</v>
      </c>
      <c r="W1050" s="7" t="s">
        <v>67</v>
      </c>
      <c r="X1050" s="7" t="s">
        <v>68</v>
      </c>
      <c r="Y1050" s="7" t="s">
        <v>2551</v>
      </c>
      <c r="Z1050" s="7" t="s">
        <v>2549</v>
      </c>
      <c r="AA1050" s="7"/>
      <c r="AB1050" s="7"/>
      <c r="AC1050" s="7" t="s">
        <v>107</v>
      </c>
      <c r="AD1050" s="7"/>
      <c r="AE1050" s="7"/>
      <c r="AF1050" s="7" t="s">
        <v>113</v>
      </c>
      <c r="AG1050" s="7" t="s">
        <v>114</v>
      </c>
      <c r="AH1050" s="7" t="s">
        <v>115</v>
      </c>
    </row>
    <row r="1051" spans="1:34" ht="9.75" customHeight="1" x14ac:dyDescent="0.2">
      <c r="A1051" s="7" t="s">
        <v>37</v>
      </c>
      <c r="B1051" s="7" t="s">
        <v>38</v>
      </c>
      <c r="C1051" s="7"/>
      <c r="D1051" s="7" t="s">
        <v>2552</v>
      </c>
      <c r="E1051" s="8">
        <v>5</v>
      </c>
      <c r="F1051" s="7" t="s">
        <v>109</v>
      </c>
      <c r="G1051" s="7"/>
      <c r="H1051" s="9"/>
      <c r="I1051" s="10">
        <v>1260</v>
      </c>
      <c r="J1051" s="9"/>
      <c r="K1051" s="9"/>
      <c r="L1051" s="10">
        <v>1819</v>
      </c>
      <c r="M1051" s="9"/>
      <c r="N1051" s="10">
        <v>1819</v>
      </c>
      <c r="O1051" s="9"/>
      <c r="P1051" s="10"/>
      <c r="Q1051" s="10"/>
      <c r="R1051" s="10"/>
      <c r="S1051" s="7" t="s">
        <v>407</v>
      </c>
      <c r="T1051" s="7" t="s">
        <v>117</v>
      </c>
      <c r="U1051" s="7" t="s">
        <v>44</v>
      </c>
      <c r="V1051" s="7" t="s">
        <v>45</v>
      </c>
      <c r="W1051" s="7" t="s">
        <v>67</v>
      </c>
      <c r="X1051" s="7" t="s">
        <v>68</v>
      </c>
      <c r="Y1051" s="7" t="s">
        <v>2553</v>
      </c>
      <c r="Z1051" s="7" t="s">
        <v>2549</v>
      </c>
      <c r="AA1051" s="7"/>
      <c r="AB1051" s="7"/>
      <c r="AC1051" s="7" t="s">
        <v>107</v>
      </c>
      <c r="AD1051" s="7"/>
      <c r="AE1051" s="7"/>
      <c r="AF1051" s="7" t="s">
        <v>113</v>
      </c>
      <c r="AG1051" s="7" t="s">
        <v>114</v>
      </c>
      <c r="AH1051" s="7" t="s">
        <v>115</v>
      </c>
    </row>
    <row r="1052" spans="1:34" ht="9.75" customHeight="1" x14ac:dyDescent="0.2">
      <c r="A1052" s="7" t="s">
        <v>37</v>
      </c>
      <c r="B1052" s="7" t="s">
        <v>38</v>
      </c>
      <c r="C1052" s="7"/>
      <c r="D1052" s="7" t="s">
        <v>2554</v>
      </c>
      <c r="E1052" s="8">
        <v>5</v>
      </c>
      <c r="F1052" s="7" t="s">
        <v>109</v>
      </c>
      <c r="G1052" s="7"/>
      <c r="H1052" s="9"/>
      <c r="I1052" s="10">
        <v>809</v>
      </c>
      <c r="J1052" s="9"/>
      <c r="K1052" s="9"/>
      <c r="L1052" s="10">
        <v>1176</v>
      </c>
      <c r="M1052" s="9"/>
      <c r="N1052" s="10">
        <v>1176</v>
      </c>
      <c r="O1052" s="9"/>
      <c r="P1052" s="10"/>
      <c r="Q1052" s="10"/>
      <c r="R1052" s="10"/>
      <c r="S1052" s="7" t="s">
        <v>407</v>
      </c>
      <c r="T1052" s="7" t="s">
        <v>117</v>
      </c>
      <c r="U1052" s="7" t="s">
        <v>44</v>
      </c>
      <c r="V1052" s="7" t="s">
        <v>45</v>
      </c>
      <c r="W1052" s="7" t="s">
        <v>67</v>
      </c>
      <c r="X1052" s="7" t="s">
        <v>68</v>
      </c>
      <c r="Y1052" s="7" t="s">
        <v>2555</v>
      </c>
      <c r="Z1052" s="7" t="s">
        <v>2549</v>
      </c>
      <c r="AA1052" s="7"/>
      <c r="AB1052" s="7"/>
      <c r="AC1052" s="7" t="s">
        <v>107</v>
      </c>
      <c r="AD1052" s="7"/>
      <c r="AE1052" s="7"/>
      <c r="AF1052" s="7" t="s">
        <v>113</v>
      </c>
      <c r="AG1052" s="7" t="s">
        <v>114</v>
      </c>
      <c r="AH1052" s="7" t="s">
        <v>115</v>
      </c>
    </row>
    <row r="1053" spans="1:34" ht="9.75" customHeight="1" x14ac:dyDescent="0.2">
      <c r="A1053" s="7" t="s">
        <v>37</v>
      </c>
      <c r="B1053" s="7" t="s">
        <v>38</v>
      </c>
      <c r="C1053" s="7"/>
      <c r="D1053" s="7" t="s">
        <v>2556</v>
      </c>
      <c r="E1053" s="8">
        <v>5</v>
      </c>
      <c r="F1053" s="7" t="s">
        <v>109</v>
      </c>
      <c r="G1053" s="7"/>
      <c r="H1053" s="9"/>
      <c r="I1053" s="10">
        <v>8941</v>
      </c>
      <c r="J1053" s="9"/>
      <c r="K1053" s="9"/>
      <c r="L1053" s="10">
        <v>10705</v>
      </c>
      <c r="M1053" s="9"/>
      <c r="N1053" s="10">
        <v>10705</v>
      </c>
      <c r="O1053" s="9"/>
      <c r="P1053" s="10"/>
      <c r="Q1053" s="10"/>
      <c r="R1053" s="10"/>
      <c r="S1053" s="7" t="s">
        <v>407</v>
      </c>
      <c r="T1053" s="7" t="s">
        <v>117</v>
      </c>
      <c r="U1053" s="7" t="s">
        <v>44</v>
      </c>
      <c r="V1053" s="7" t="s">
        <v>45</v>
      </c>
      <c r="W1053" s="7" t="s">
        <v>67</v>
      </c>
      <c r="X1053" s="7" t="s">
        <v>68</v>
      </c>
      <c r="Y1053" s="7" t="s">
        <v>2557</v>
      </c>
      <c r="Z1053" s="7" t="s">
        <v>2549</v>
      </c>
      <c r="AA1053" s="7"/>
      <c r="AB1053" s="7"/>
      <c r="AC1053" s="7" t="s">
        <v>107</v>
      </c>
      <c r="AD1053" s="7"/>
      <c r="AE1053" s="7"/>
      <c r="AF1053" s="7" t="s">
        <v>113</v>
      </c>
      <c r="AG1053" s="7" t="s">
        <v>114</v>
      </c>
      <c r="AH1053" s="7" t="s">
        <v>115</v>
      </c>
    </row>
    <row r="1054" spans="1:34" ht="9.75" customHeight="1" x14ac:dyDescent="0.2">
      <c r="A1054" s="7" t="s">
        <v>37</v>
      </c>
      <c r="B1054" s="7" t="s">
        <v>38</v>
      </c>
      <c r="C1054" s="7"/>
      <c r="D1054" s="7" t="s">
        <v>2558</v>
      </c>
      <c r="E1054" s="8">
        <v>5</v>
      </c>
      <c r="F1054" s="7" t="s">
        <v>109</v>
      </c>
      <c r="G1054" s="7"/>
      <c r="H1054" s="9"/>
      <c r="I1054" s="10">
        <v>1517</v>
      </c>
      <c r="J1054" s="9"/>
      <c r="K1054" s="9"/>
      <c r="L1054" s="10">
        <v>408</v>
      </c>
      <c r="M1054" s="9"/>
      <c r="N1054" s="10">
        <v>408</v>
      </c>
      <c r="O1054" s="9"/>
      <c r="P1054" s="10"/>
      <c r="Q1054" s="10"/>
      <c r="R1054" s="10"/>
      <c r="S1054" s="7" t="s">
        <v>407</v>
      </c>
      <c r="T1054" s="7" t="s">
        <v>117</v>
      </c>
      <c r="U1054" s="7" t="s">
        <v>44</v>
      </c>
      <c r="V1054" s="7" t="s">
        <v>45</v>
      </c>
      <c r="W1054" s="7" t="s">
        <v>67</v>
      </c>
      <c r="X1054" s="7" t="s">
        <v>68</v>
      </c>
      <c r="Y1054" s="7" t="s">
        <v>2559</v>
      </c>
      <c r="Z1054" s="7" t="s">
        <v>2549</v>
      </c>
      <c r="AA1054" s="7"/>
      <c r="AB1054" s="7"/>
      <c r="AC1054" s="7" t="s">
        <v>107</v>
      </c>
      <c r="AD1054" s="7"/>
      <c r="AE1054" s="7"/>
      <c r="AF1054" s="7" t="s">
        <v>113</v>
      </c>
      <c r="AG1054" s="7" t="s">
        <v>114</v>
      </c>
      <c r="AH1054" s="7" t="s">
        <v>115</v>
      </c>
    </row>
    <row r="1055" spans="1:34" ht="9.75" customHeight="1" x14ac:dyDescent="0.2">
      <c r="A1055" s="7" t="s">
        <v>37</v>
      </c>
      <c r="B1055" s="7" t="s">
        <v>38</v>
      </c>
      <c r="C1055" s="7"/>
      <c r="D1055" s="7" t="s">
        <v>2560</v>
      </c>
      <c r="E1055" s="8">
        <v>5</v>
      </c>
      <c r="F1055" s="7" t="s">
        <v>109</v>
      </c>
      <c r="G1055" s="7"/>
      <c r="H1055" s="9"/>
      <c r="I1055" s="9"/>
      <c r="J1055" s="9"/>
      <c r="K1055" s="9"/>
      <c r="L1055" s="10">
        <v>10182</v>
      </c>
      <c r="M1055" s="9"/>
      <c r="N1055" s="10">
        <v>10182</v>
      </c>
      <c r="O1055" s="9"/>
      <c r="P1055" s="10"/>
      <c r="Q1055" s="10"/>
      <c r="R1055" s="10"/>
      <c r="S1055" s="7" t="s">
        <v>407</v>
      </c>
      <c r="T1055" s="7" t="s">
        <v>117</v>
      </c>
      <c r="U1055" s="7" t="s">
        <v>44</v>
      </c>
      <c r="V1055" s="7" t="s">
        <v>45</v>
      </c>
      <c r="W1055" s="7" t="s">
        <v>67</v>
      </c>
      <c r="X1055" s="7" t="s">
        <v>68</v>
      </c>
      <c r="Y1055" s="7" t="s">
        <v>2561</v>
      </c>
      <c r="Z1055" s="7" t="s">
        <v>2562</v>
      </c>
      <c r="AA1055" s="7"/>
      <c r="AB1055" s="7"/>
      <c r="AC1055" s="7" t="s">
        <v>107</v>
      </c>
      <c r="AD1055" s="7"/>
      <c r="AE1055" s="7"/>
      <c r="AF1055" s="7" t="s">
        <v>113</v>
      </c>
      <c r="AG1055" s="7" t="s">
        <v>114</v>
      </c>
      <c r="AH1055" s="7" t="s">
        <v>115</v>
      </c>
    </row>
    <row r="1056" spans="1:34" ht="9.75" customHeight="1" x14ac:dyDescent="0.2">
      <c r="A1056" s="7" t="s">
        <v>37</v>
      </c>
      <c r="B1056" s="7" t="s">
        <v>38</v>
      </c>
      <c r="C1056" s="7"/>
      <c r="D1056" s="7" t="s">
        <v>2563</v>
      </c>
      <c r="E1056" s="8">
        <v>5</v>
      </c>
      <c r="F1056" s="7" t="s">
        <v>109</v>
      </c>
      <c r="G1056" s="7"/>
      <c r="H1056" s="9"/>
      <c r="I1056" s="9"/>
      <c r="J1056" s="9"/>
      <c r="K1056" s="9"/>
      <c r="L1056" s="10">
        <v>198</v>
      </c>
      <c r="M1056" s="9"/>
      <c r="N1056" s="10">
        <v>198</v>
      </c>
      <c r="O1056" s="9"/>
      <c r="P1056" s="10"/>
      <c r="Q1056" s="10"/>
      <c r="R1056" s="10"/>
      <c r="S1056" s="7" t="s">
        <v>407</v>
      </c>
      <c r="T1056" s="7" t="s">
        <v>117</v>
      </c>
      <c r="U1056" s="7" t="s">
        <v>44</v>
      </c>
      <c r="V1056" s="7" t="s">
        <v>45</v>
      </c>
      <c r="W1056" s="7" t="s">
        <v>67</v>
      </c>
      <c r="X1056" s="7" t="s">
        <v>68</v>
      </c>
      <c r="Y1056" s="7" t="s">
        <v>2564</v>
      </c>
      <c r="Z1056" s="7" t="s">
        <v>2562</v>
      </c>
      <c r="AA1056" s="7"/>
      <c r="AB1056" s="7"/>
      <c r="AC1056" s="7" t="s">
        <v>107</v>
      </c>
      <c r="AD1056" s="7"/>
      <c r="AE1056" s="7"/>
      <c r="AF1056" s="7" t="s">
        <v>113</v>
      </c>
      <c r="AG1056" s="7" t="s">
        <v>114</v>
      </c>
      <c r="AH1056" s="7" t="s">
        <v>115</v>
      </c>
    </row>
    <row r="1057" spans="1:34" ht="9.75" customHeight="1" x14ac:dyDescent="0.2">
      <c r="A1057" s="7" t="s">
        <v>37</v>
      </c>
      <c r="B1057" s="7" t="s">
        <v>38</v>
      </c>
      <c r="C1057" s="7"/>
      <c r="D1057" s="7" t="s">
        <v>2565</v>
      </c>
      <c r="E1057" s="8">
        <v>5</v>
      </c>
      <c r="F1057" s="7" t="s">
        <v>109</v>
      </c>
      <c r="G1057" s="7"/>
      <c r="H1057" s="9"/>
      <c r="I1057" s="9"/>
      <c r="J1057" s="9"/>
      <c r="K1057" s="9"/>
      <c r="L1057" s="10">
        <v>391</v>
      </c>
      <c r="M1057" s="9"/>
      <c r="N1057" s="10">
        <v>391</v>
      </c>
      <c r="O1057" s="9"/>
      <c r="P1057" s="10"/>
      <c r="Q1057" s="10"/>
      <c r="R1057" s="10"/>
      <c r="S1057" s="7" t="s">
        <v>407</v>
      </c>
      <c r="T1057" s="7" t="s">
        <v>117</v>
      </c>
      <c r="U1057" s="7" t="s">
        <v>44</v>
      </c>
      <c r="V1057" s="7" t="s">
        <v>45</v>
      </c>
      <c r="W1057" s="7" t="s">
        <v>67</v>
      </c>
      <c r="X1057" s="7" t="s">
        <v>68</v>
      </c>
      <c r="Y1057" s="7" t="s">
        <v>2566</v>
      </c>
      <c r="Z1057" s="7" t="s">
        <v>2562</v>
      </c>
      <c r="AA1057" s="7"/>
      <c r="AB1057" s="7"/>
      <c r="AC1057" s="7" t="s">
        <v>107</v>
      </c>
      <c r="AD1057" s="7"/>
      <c r="AE1057" s="7"/>
      <c r="AF1057" s="7" t="s">
        <v>113</v>
      </c>
      <c r="AG1057" s="7" t="s">
        <v>114</v>
      </c>
      <c r="AH1057" s="7" t="s">
        <v>115</v>
      </c>
    </row>
    <row r="1058" spans="1:34" ht="9.75" customHeight="1" x14ac:dyDescent="0.2">
      <c r="A1058" s="7" t="s">
        <v>37</v>
      </c>
      <c r="B1058" s="7" t="s">
        <v>38</v>
      </c>
      <c r="C1058" s="7"/>
      <c r="D1058" s="7" t="s">
        <v>2567</v>
      </c>
      <c r="E1058" s="8">
        <v>5</v>
      </c>
      <c r="F1058" s="7" t="s">
        <v>109</v>
      </c>
      <c r="G1058" s="7"/>
      <c r="H1058" s="9"/>
      <c r="I1058" s="9"/>
      <c r="J1058" s="9"/>
      <c r="K1058" s="9"/>
      <c r="L1058" s="10">
        <v>731</v>
      </c>
      <c r="M1058" s="9"/>
      <c r="N1058" s="10">
        <v>731</v>
      </c>
      <c r="O1058" s="9"/>
      <c r="P1058" s="10"/>
      <c r="Q1058" s="10"/>
      <c r="R1058" s="10"/>
      <c r="S1058" s="7" t="s">
        <v>407</v>
      </c>
      <c r="T1058" s="7" t="s">
        <v>117</v>
      </c>
      <c r="U1058" s="7" t="s">
        <v>44</v>
      </c>
      <c r="V1058" s="7" t="s">
        <v>45</v>
      </c>
      <c r="W1058" s="7" t="s">
        <v>67</v>
      </c>
      <c r="X1058" s="7" t="s">
        <v>68</v>
      </c>
      <c r="Y1058" s="7" t="s">
        <v>2568</v>
      </c>
      <c r="Z1058" s="7" t="s">
        <v>2562</v>
      </c>
      <c r="AA1058" s="7"/>
      <c r="AB1058" s="7"/>
      <c r="AC1058" s="7" t="s">
        <v>107</v>
      </c>
      <c r="AD1058" s="7"/>
      <c r="AE1058" s="7"/>
      <c r="AF1058" s="7" t="s">
        <v>113</v>
      </c>
      <c r="AG1058" s="7" t="s">
        <v>114</v>
      </c>
      <c r="AH1058" s="7" t="s">
        <v>115</v>
      </c>
    </row>
    <row r="1059" spans="1:34" ht="9.75" customHeight="1" x14ac:dyDescent="0.2">
      <c r="A1059" s="7" t="s">
        <v>37</v>
      </c>
      <c r="B1059" s="7" t="s">
        <v>38</v>
      </c>
      <c r="C1059" s="7"/>
      <c r="D1059" s="7" t="s">
        <v>2569</v>
      </c>
      <c r="E1059" s="8">
        <v>5</v>
      </c>
      <c r="F1059" s="7" t="s">
        <v>109</v>
      </c>
      <c r="G1059" s="7"/>
      <c r="H1059" s="9"/>
      <c r="I1059" s="9"/>
      <c r="J1059" s="9"/>
      <c r="K1059" s="9"/>
      <c r="L1059" s="10">
        <v>4814</v>
      </c>
      <c r="M1059" s="9"/>
      <c r="N1059" s="10">
        <v>4814</v>
      </c>
      <c r="O1059" s="9"/>
      <c r="P1059" s="10"/>
      <c r="Q1059" s="10"/>
      <c r="R1059" s="10"/>
      <c r="S1059" s="7" t="s">
        <v>407</v>
      </c>
      <c r="T1059" s="7" t="s">
        <v>117</v>
      </c>
      <c r="U1059" s="7" t="s">
        <v>44</v>
      </c>
      <c r="V1059" s="7" t="s">
        <v>45</v>
      </c>
      <c r="W1059" s="7" t="s">
        <v>67</v>
      </c>
      <c r="X1059" s="7" t="s">
        <v>68</v>
      </c>
      <c r="Y1059" s="7" t="s">
        <v>2570</v>
      </c>
      <c r="Z1059" s="7" t="s">
        <v>2562</v>
      </c>
      <c r="AA1059" s="7"/>
      <c r="AB1059" s="7"/>
      <c r="AC1059" s="7" t="s">
        <v>107</v>
      </c>
      <c r="AD1059" s="7"/>
      <c r="AE1059" s="7"/>
      <c r="AF1059" s="7" t="s">
        <v>113</v>
      </c>
      <c r="AG1059" s="7" t="s">
        <v>114</v>
      </c>
      <c r="AH1059" s="7" t="s">
        <v>115</v>
      </c>
    </row>
    <row r="1060" spans="1:34" ht="9.75" customHeight="1" x14ac:dyDescent="0.2">
      <c r="A1060" s="7" t="s">
        <v>37</v>
      </c>
      <c r="B1060" s="7" t="s">
        <v>38</v>
      </c>
      <c r="C1060" s="7"/>
      <c r="D1060" s="7" t="s">
        <v>2571</v>
      </c>
      <c r="E1060" s="8">
        <v>5</v>
      </c>
      <c r="F1060" s="7" t="s">
        <v>109</v>
      </c>
      <c r="G1060" s="7"/>
      <c r="H1060" s="9"/>
      <c r="I1060" s="9"/>
      <c r="J1060" s="9"/>
      <c r="K1060" s="9"/>
      <c r="L1060" s="10">
        <v>1063</v>
      </c>
      <c r="M1060" s="9"/>
      <c r="N1060" s="10">
        <v>1063</v>
      </c>
      <c r="O1060" s="9"/>
      <c r="P1060" s="10"/>
      <c r="Q1060" s="10"/>
      <c r="R1060" s="10"/>
      <c r="S1060" s="7" t="s">
        <v>407</v>
      </c>
      <c r="T1060" s="7" t="s">
        <v>117</v>
      </c>
      <c r="U1060" s="7" t="s">
        <v>44</v>
      </c>
      <c r="V1060" s="7" t="s">
        <v>45</v>
      </c>
      <c r="W1060" s="7" t="s">
        <v>67</v>
      </c>
      <c r="X1060" s="7" t="s">
        <v>68</v>
      </c>
      <c r="Y1060" s="7" t="s">
        <v>2572</v>
      </c>
      <c r="Z1060" s="7" t="s">
        <v>2562</v>
      </c>
      <c r="AA1060" s="7"/>
      <c r="AB1060" s="7"/>
      <c r="AC1060" s="7" t="s">
        <v>107</v>
      </c>
      <c r="AD1060" s="7"/>
      <c r="AE1060" s="7"/>
      <c r="AF1060" s="7" t="s">
        <v>113</v>
      </c>
      <c r="AG1060" s="7" t="s">
        <v>114</v>
      </c>
      <c r="AH1060" s="7" t="s">
        <v>115</v>
      </c>
    </row>
    <row r="1061" spans="1:34" ht="9.75" customHeight="1" x14ac:dyDescent="0.2">
      <c r="A1061" s="7" t="s">
        <v>37</v>
      </c>
      <c r="B1061" s="7" t="s">
        <v>38</v>
      </c>
      <c r="C1061" s="7"/>
      <c r="D1061" s="7" t="s">
        <v>2573</v>
      </c>
      <c r="E1061" s="8">
        <v>5</v>
      </c>
      <c r="F1061" s="7" t="s">
        <v>109</v>
      </c>
      <c r="G1061" s="7"/>
      <c r="H1061" s="9"/>
      <c r="I1061" s="9"/>
      <c r="J1061" s="9"/>
      <c r="K1061" s="9"/>
      <c r="L1061" s="10">
        <v>5002</v>
      </c>
      <c r="M1061" s="9"/>
      <c r="N1061" s="10">
        <v>5002</v>
      </c>
      <c r="O1061" s="9"/>
      <c r="P1061" s="10"/>
      <c r="Q1061" s="10"/>
      <c r="R1061" s="10"/>
      <c r="S1061" s="7" t="s">
        <v>407</v>
      </c>
      <c r="T1061" s="7" t="s">
        <v>117</v>
      </c>
      <c r="U1061" s="7" t="s">
        <v>44</v>
      </c>
      <c r="V1061" s="7" t="s">
        <v>45</v>
      </c>
      <c r="W1061" s="7" t="s">
        <v>67</v>
      </c>
      <c r="X1061" s="7" t="s">
        <v>68</v>
      </c>
      <c r="Y1061" s="7" t="s">
        <v>2574</v>
      </c>
      <c r="Z1061" s="7" t="s">
        <v>2575</v>
      </c>
      <c r="AA1061" s="7"/>
      <c r="AB1061" s="7"/>
      <c r="AC1061" s="7" t="s">
        <v>107</v>
      </c>
      <c r="AD1061" s="7"/>
      <c r="AE1061" s="7"/>
      <c r="AF1061" s="7" t="s">
        <v>113</v>
      </c>
      <c r="AG1061" s="7" t="s">
        <v>114</v>
      </c>
      <c r="AH1061" s="7" t="s">
        <v>115</v>
      </c>
    </row>
    <row r="1062" spans="1:34" ht="9.75" customHeight="1" x14ac:dyDescent="0.2">
      <c r="A1062" s="7" t="s">
        <v>37</v>
      </c>
      <c r="B1062" s="7" t="s">
        <v>38</v>
      </c>
      <c r="C1062" s="7"/>
      <c r="D1062" s="7" t="s">
        <v>2576</v>
      </c>
      <c r="E1062" s="8">
        <v>5</v>
      </c>
      <c r="F1062" s="7" t="s">
        <v>109</v>
      </c>
      <c r="G1062" s="7"/>
      <c r="H1062" s="9"/>
      <c r="I1062" s="10">
        <v>20</v>
      </c>
      <c r="J1062" s="9"/>
      <c r="K1062" s="9"/>
      <c r="L1062" s="10">
        <v>25</v>
      </c>
      <c r="M1062" s="9"/>
      <c r="N1062" s="10">
        <v>25</v>
      </c>
      <c r="O1062" s="9"/>
      <c r="P1062" s="10"/>
      <c r="Q1062" s="10"/>
      <c r="R1062" s="10"/>
      <c r="S1062" s="7" t="s">
        <v>407</v>
      </c>
      <c r="T1062" s="7" t="s">
        <v>117</v>
      </c>
      <c r="U1062" s="7" t="s">
        <v>44</v>
      </c>
      <c r="V1062" s="7" t="s">
        <v>45</v>
      </c>
      <c r="W1062" s="7" t="s">
        <v>67</v>
      </c>
      <c r="X1062" s="7" t="s">
        <v>68</v>
      </c>
      <c r="Y1062" s="7" t="s">
        <v>2577</v>
      </c>
      <c r="Z1062" s="7" t="s">
        <v>2575</v>
      </c>
      <c r="AA1062" s="7"/>
      <c r="AB1062" s="7"/>
      <c r="AC1062" s="7" t="s">
        <v>107</v>
      </c>
      <c r="AD1062" s="7"/>
      <c r="AE1062" s="7"/>
      <c r="AF1062" s="7" t="s">
        <v>113</v>
      </c>
      <c r="AG1062" s="7" t="s">
        <v>114</v>
      </c>
      <c r="AH1062" s="7" t="s">
        <v>115</v>
      </c>
    </row>
    <row r="1063" spans="1:34" ht="9.75" customHeight="1" x14ac:dyDescent="0.2">
      <c r="A1063" s="7" t="s">
        <v>37</v>
      </c>
      <c r="B1063" s="7" t="s">
        <v>38</v>
      </c>
      <c r="C1063" s="7"/>
      <c r="D1063" s="7" t="s">
        <v>2578</v>
      </c>
      <c r="E1063" s="8">
        <v>5</v>
      </c>
      <c r="F1063" s="7" t="s">
        <v>109</v>
      </c>
      <c r="G1063" s="7"/>
      <c r="H1063" s="9"/>
      <c r="I1063" s="9"/>
      <c r="J1063" s="9"/>
      <c r="K1063" s="9"/>
      <c r="L1063" s="10">
        <v>97</v>
      </c>
      <c r="M1063" s="9"/>
      <c r="N1063" s="10">
        <v>97</v>
      </c>
      <c r="O1063" s="9"/>
      <c r="P1063" s="10"/>
      <c r="Q1063" s="10"/>
      <c r="R1063" s="10"/>
      <c r="S1063" s="7" t="s">
        <v>407</v>
      </c>
      <c r="T1063" s="7" t="s">
        <v>117</v>
      </c>
      <c r="U1063" s="7" t="s">
        <v>44</v>
      </c>
      <c r="V1063" s="7" t="s">
        <v>45</v>
      </c>
      <c r="W1063" s="7" t="s">
        <v>67</v>
      </c>
      <c r="X1063" s="7" t="s">
        <v>68</v>
      </c>
      <c r="Y1063" s="7" t="s">
        <v>2579</v>
      </c>
      <c r="Z1063" s="7" t="s">
        <v>2575</v>
      </c>
      <c r="AA1063" s="7"/>
      <c r="AB1063" s="7"/>
      <c r="AC1063" s="7" t="s">
        <v>107</v>
      </c>
      <c r="AD1063" s="7"/>
      <c r="AE1063" s="7"/>
      <c r="AF1063" s="7" t="s">
        <v>113</v>
      </c>
      <c r="AG1063" s="7" t="s">
        <v>114</v>
      </c>
      <c r="AH1063" s="7" t="s">
        <v>115</v>
      </c>
    </row>
    <row r="1064" spans="1:34" ht="9.75" customHeight="1" x14ac:dyDescent="0.2">
      <c r="A1064" s="7" t="s">
        <v>37</v>
      </c>
      <c r="B1064" s="7" t="s">
        <v>38</v>
      </c>
      <c r="C1064" s="7"/>
      <c r="D1064" s="7" t="s">
        <v>2580</v>
      </c>
      <c r="E1064" s="8">
        <v>5</v>
      </c>
      <c r="F1064" s="7" t="s">
        <v>109</v>
      </c>
      <c r="G1064" s="7"/>
      <c r="H1064" s="9"/>
      <c r="I1064" s="9"/>
      <c r="J1064" s="9"/>
      <c r="K1064" s="9"/>
      <c r="L1064" s="10">
        <v>60</v>
      </c>
      <c r="M1064" s="9"/>
      <c r="N1064" s="10">
        <v>60</v>
      </c>
      <c r="O1064" s="9"/>
      <c r="P1064" s="10"/>
      <c r="Q1064" s="10"/>
      <c r="R1064" s="10"/>
      <c r="S1064" s="7" t="s">
        <v>407</v>
      </c>
      <c r="T1064" s="7" t="s">
        <v>117</v>
      </c>
      <c r="U1064" s="7" t="s">
        <v>44</v>
      </c>
      <c r="V1064" s="7" t="s">
        <v>45</v>
      </c>
      <c r="W1064" s="7" t="s">
        <v>67</v>
      </c>
      <c r="X1064" s="7" t="s">
        <v>68</v>
      </c>
      <c r="Y1064" s="7" t="s">
        <v>2581</v>
      </c>
      <c r="Z1064" s="7" t="s">
        <v>2575</v>
      </c>
      <c r="AA1064" s="7"/>
      <c r="AB1064" s="7"/>
      <c r="AC1064" s="7" t="s">
        <v>107</v>
      </c>
      <c r="AD1064" s="7"/>
      <c r="AE1064" s="7"/>
      <c r="AF1064" s="7" t="s">
        <v>113</v>
      </c>
      <c r="AG1064" s="7" t="s">
        <v>114</v>
      </c>
      <c r="AH1064" s="7" t="s">
        <v>115</v>
      </c>
    </row>
    <row r="1065" spans="1:34" ht="9.75" customHeight="1" x14ac:dyDescent="0.2">
      <c r="A1065" s="7" t="s">
        <v>37</v>
      </c>
      <c r="B1065" s="7" t="s">
        <v>38</v>
      </c>
      <c r="C1065" s="7"/>
      <c r="D1065" s="7" t="s">
        <v>2582</v>
      </c>
      <c r="E1065" s="8">
        <v>5</v>
      </c>
      <c r="F1065" s="7" t="s">
        <v>109</v>
      </c>
      <c r="G1065" s="7"/>
      <c r="H1065" s="9"/>
      <c r="I1065" s="10">
        <v>4829</v>
      </c>
      <c r="J1065" s="9"/>
      <c r="K1065" s="9"/>
      <c r="L1065" s="10">
        <v>6060</v>
      </c>
      <c r="M1065" s="9"/>
      <c r="N1065" s="10">
        <v>6060</v>
      </c>
      <c r="O1065" s="9"/>
      <c r="P1065" s="10"/>
      <c r="Q1065" s="10"/>
      <c r="R1065" s="10"/>
      <c r="S1065" s="7" t="s">
        <v>407</v>
      </c>
      <c r="T1065" s="7" t="s">
        <v>117</v>
      </c>
      <c r="U1065" s="7" t="s">
        <v>44</v>
      </c>
      <c r="V1065" s="7" t="s">
        <v>45</v>
      </c>
      <c r="W1065" s="7" t="s">
        <v>67</v>
      </c>
      <c r="X1065" s="7" t="s">
        <v>68</v>
      </c>
      <c r="Y1065" s="7" t="s">
        <v>2583</v>
      </c>
      <c r="Z1065" s="7" t="s">
        <v>2575</v>
      </c>
      <c r="AA1065" s="7"/>
      <c r="AB1065" s="7"/>
      <c r="AC1065" s="7" t="s">
        <v>107</v>
      </c>
      <c r="AD1065" s="7"/>
      <c r="AE1065" s="7"/>
      <c r="AF1065" s="7" t="s">
        <v>113</v>
      </c>
      <c r="AG1065" s="7" t="s">
        <v>114</v>
      </c>
      <c r="AH1065" s="7" t="s">
        <v>115</v>
      </c>
    </row>
    <row r="1066" spans="1:34" ht="9.75" customHeight="1" x14ac:dyDescent="0.2">
      <c r="A1066" s="7" t="s">
        <v>37</v>
      </c>
      <c r="B1066" s="7" t="s">
        <v>38</v>
      </c>
      <c r="C1066" s="7"/>
      <c r="D1066" s="7" t="s">
        <v>2584</v>
      </c>
      <c r="E1066" s="8">
        <v>5</v>
      </c>
      <c r="F1066" s="7" t="s">
        <v>109</v>
      </c>
      <c r="G1066" s="7"/>
      <c r="H1066" s="9"/>
      <c r="I1066" s="10">
        <v>50</v>
      </c>
      <c r="J1066" s="9"/>
      <c r="K1066" s="9"/>
      <c r="L1066" s="10">
        <v>40</v>
      </c>
      <c r="M1066" s="9"/>
      <c r="N1066" s="10">
        <v>40</v>
      </c>
      <c r="O1066" s="9"/>
      <c r="P1066" s="10"/>
      <c r="Q1066" s="10"/>
      <c r="R1066" s="10"/>
      <c r="S1066" s="7" t="s">
        <v>407</v>
      </c>
      <c r="T1066" s="7" t="s">
        <v>117</v>
      </c>
      <c r="U1066" s="7" t="s">
        <v>44</v>
      </c>
      <c r="V1066" s="7" t="s">
        <v>45</v>
      </c>
      <c r="W1066" s="7" t="s">
        <v>67</v>
      </c>
      <c r="X1066" s="7" t="s">
        <v>68</v>
      </c>
      <c r="Y1066" s="7" t="s">
        <v>2585</v>
      </c>
      <c r="Z1066" s="7" t="s">
        <v>2575</v>
      </c>
      <c r="AA1066" s="7"/>
      <c r="AB1066" s="7"/>
      <c r="AC1066" s="7" t="s">
        <v>107</v>
      </c>
      <c r="AD1066" s="7"/>
      <c r="AE1066" s="7"/>
      <c r="AF1066" s="7" t="s">
        <v>113</v>
      </c>
      <c r="AG1066" s="7" t="s">
        <v>114</v>
      </c>
      <c r="AH1066" s="7" t="s">
        <v>115</v>
      </c>
    </row>
    <row r="1067" spans="1:34" ht="9.75" customHeight="1" x14ac:dyDescent="0.2">
      <c r="A1067" s="7" t="s">
        <v>37</v>
      </c>
      <c r="B1067" s="7" t="s">
        <v>38</v>
      </c>
      <c r="C1067" s="7"/>
      <c r="D1067" s="7" t="s">
        <v>2586</v>
      </c>
      <c r="E1067" s="8">
        <v>5</v>
      </c>
      <c r="F1067" s="7" t="s">
        <v>109</v>
      </c>
      <c r="G1067" s="7"/>
      <c r="H1067" s="9"/>
      <c r="I1067" s="9"/>
      <c r="J1067" s="9"/>
      <c r="K1067" s="9"/>
      <c r="L1067" s="10">
        <v>95060</v>
      </c>
      <c r="M1067" s="9"/>
      <c r="N1067" s="10">
        <v>95060</v>
      </c>
      <c r="O1067" s="9"/>
      <c r="P1067" s="10"/>
      <c r="Q1067" s="10"/>
      <c r="R1067" s="10"/>
      <c r="S1067" s="7" t="s">
        <v>407</v>
      </c>
      <c r="T1067" s="7" t="s">
        <v>117</v>
      </c>
      <c r="U1067" s="7" t="s">
        <v>44</v>
      </c>
      <c r="V1067" s="7" t="s">
        <v>45</v>
      </c>
      <c r="W1067" s="7" t="s">
        <v>67</v>
      </c>
      <c r="X1067" s="7" t="s">
        <v>68</v>
      </c>
      <c r="Y1067" s="7" t="s">
        <v>2587</v>
      </c>
      <c r="Z1067" s="7" t="s">
        <v>2588</v>
      </c>
      <c r="AA1067" s="7"/>
      <c r="AB1067" s="7"/>
      <c r="AC1067" s="7" t="s">
        <v>107</v>
      </c>
      <c r="AD1067" s="7"/>
      <c r="AE1067" s="7"/>
      <c r="AF1067" s="7" t="s">
        <v>113</v>
      </c>
      <c r="AG1067" s="7" t="s">
        <v>114</v>
      </c>
      <c r="AH1067" s="7" t="s">
        <v>115</v>
      </c>
    </row>
    <row r="1068" spans="1:34" ht="9.75" customHeight="1" x14ac:dyDescent="0.2">
      <c r="A1068" s="7" t="s">
        <v>37</v>
      </c>
      <c r="B1068" s="7" t="s">
        <v>38</v>
      </c>
      <c r="C1068" s="7"/>
      <c r="D1068" s="7" t="s">
        <v>2589</v>
      </c>
      <c r="E1068" s="8">
        <v>5</v>
      </c>
      <c r="F1068" s="7" t="s">
        <v>109</v>
      </c>
      <c r="G1068" s="7"/>
      <c r="H1068" s="9"/>
      <c r="I1068" s="9"/>
      <c r="J1068" s="9"/>
      <c r="K1068" s="9"/>
      <c r="L1068" s="10">
        <v>667</v>
      </c>
      <c r="M1068" s="9"/>
      <c r="N1068" s="10">
        <v>667</v>
      </c>
      <c r="O1068" s="9"/>
      <c r="P1068" s="10"/>
      <c r="Q1068" s="10"/>
      <c r="R1068" s="10"/>
      <c r="S1068" s="7" t="s">
        <v>407</v>
      </c>
      <c r="T1068" s="7" t="s">
        <v>117</v>
      </c>
      <c r="U1068" s="7" t="s">
        <v>44</v>
      </c>
      <c r="V1068" s="7" t="s">
        <v>45</v>
      </c>
      <c r="W1068" s="7" t="s">
        <v>67</v>
      </c>
      <c r="X1068" s="7" t="s">
        <v>68</v>
      </c>
      <c r="Y1068" s="7" t="s">
        <v>2590</v>
      </c>
      <c r="Z1068" s="7" t="s">
        <v>2588</v>
      </c>
      <c r="AA1068" s="7"/>
      <c r="AB1068" s="7"/>
      <c r="AC1068" s="7" t="s">
        <v>107</v>
      </c>
      <c r="AD1068" s="7"/>
      <c r="AE1068" s="7"/>
      <c r="AF1068" s="7" t="s">
        <v>113</v>
      </c>
      <c r="AG1068" s="7" t="s">
        <v>114</v>
      </c>
      <c r="AH1068" s="7" t="s">
        <v>115</v>
      </c>
    </row>
    <row r="1069" spans="1:34" ht="9.75" customHeight="1" x14ac:dyDescent="0.2">
      <c r="A1069" s="7" t="s">
        <v>37</v>
      </c>
      <c r="B1069" s="7" t="s">
        <v>38</v>
      </c>
      <c r="C1069" s="7"/>
      <c r="D1069" s="7" t="s">
        <v>2591</v>
      </c>
      <c r="E1069" s="8">
        <v>5</v>
      </c>
      <c r="F1069" s="7" t="s">
        <v>109</v>
      </c>
      <c r="G1069" s="7"/>
      <c r="H1069" s="9"/>
      <c r="I1069" s="9"/>
      <c r="J1069" s="9"/>
      <c r="K1069" s="9"/>
      <c r="L1069" s="10">
        <v>2847</v>
      </c>
      <c r="M1069" s="9"/>
      <c r="N1069" s="10">
        <v>2847</v>
      </c>
      <c r="O1069" s="9"/>
      <c r="P1069" s="10"/>
      <c r="Q1069" s="10"/>
      <c r="R1069" s="10"/>
      <c r="S1069" s="7" t="s">
        <v>407</v>
      </c>
      <c r="T1069" s="7" t="s">
        <v>117</v>
      </c>
      <c r="U1069" s="7" t="s">
        <v>44</v>
      </c>
      <c r="V1069" s="7" t="s">
        <v>45</v>
      </c>
      <c r="W1069" s="7" t="s">
        <v>67</v>
      </c>
      <c r="X1069" s="7" t="s">
        <v>68</v>
      </c>
      <c r="Y1069" s="7" t="s">
        <v>2592</v>
      </c>
      <c r="Z1069" s="7" t="s">
        <v>2588</v>
      </c>
      <c r="AA1069" s="7"/>
      <c r="AB1069" s="7"/>
      <c r="AC1069" s="7" t="s">
        <v>107</v>
      </c>
      <c r="AD1069" s="7"/>
      <c r="AE1069" s="7"/>
      <c r="AF1069" s="7" t="s">
        <v>113</v>
      </c>
      <c r="AG1069" s="7" t="s">
        <v>114</v>
      </c>
      <c r="AH1069" s="7" t="s">
        <v>115</v>
      </c>
    </row>
    <row r="1070" spans="1:34" ht="9.75" customHeight="1" x14ac:dyDescent="0.2">
      <c r="A1070" s="7" t="s">
        <v>37</v>
      </c>
      <c r="B1070" s="7" t="s">
        <v>38</v>
      </c>
      <c r="C1070" s="7"/>
      <c r="D1070" s="7" t="s">
        <v>2593</v>
      </c>
      <c r="E1070" s="8">
        <v>5</v>
      </c>
      <c r="F1070" s="7" t="s">
        <v>109</v>
      </c>
      <c r="G1070" s="7"/>
      <c r="H1070" s="9"/>
      <c r="I1070" s="9"/>
      <c r="J1070" s="9"/>
      <c r="K1070" s="9"/>
      <c r="L1070" s="10">
        <v>1866</v>
      </c>
      <c r="M1070" s="9"/>
      <c r="N1070" s="10">
        <v>1866</v>
      </c>
      <c r="O1070" s="9"/>
      <c r="P1070" s="10"/>
      <c r="Q1070" s="10"/>
      <c r="R1070" s="10"/>
      <c r="S1070" s="7" t="s">
        <v>407</v>
      </c>
      <c r="T1070" s="7" t="s">
        <v>117</v>
      </c>
      <c r="U1070" s="7" t="s">
        <v>44</v>
      </c>
      <c r="V1070" s="7" t="s">
        <v>45</v>
      </c>
      <c r="W1070" s="7" t="s">
        <v>67</v>
      </c>
      <c r="X1070" s="7" t="s">
        <v>68</v>
      </c>
      <c r="Y1070" s="7" t="s">
        <v>2594</v>
      </c>
      <c r="Z1070" s="7" t="s">
        <v>2588</v>
      </c>
      <c r="AA1070" s="7"/>
      <c r="AB1070" s="7"/>
      <c r="AC1070" s="7" t="s">
        <v>107</v>
      </c>
      <c r="AD1070" s="7"/>
      <c r="AE1070" s="7"/>
      <c r="AF1070" s="7" t="s">
        <v>113</v>
      </c>
      <c r="AG1070" s="7" t="s">
        <v>114</v>
      </c>
      <c r="AH1070" s="7" t="s">
        <v>115</v>
      </c>
    </row>
    <row r="1071" spans="1:34" ht="9.75" customHeight="1" x14ac:dyDescent="0.2">
      <c r="A1071" s="7" t="s">
        <v>37</v>
      </c>
      <c r="B1071" s="7" t="s">
        <v>38</v>
      </c>
      <c r="C1071" s="7"/>
      <c r="D1071" s="7" t="s">
        <v>2595</v>
      </c>
      <c r="E1071" s="8">
        <v>5</v>
      </c>
      <c r="F1071" s="7" t="s">
        <v>109</v>
      </c>
      <c r="G1071" s="7"/>
      <c r="H1071" s="9"/>
      <c r="I1071" s="9"/>
      <c r="J1071" s="9"/>
      <c r="K1071" s="9"/>
      <c r="L1071" s="10">
        <v>7944</v>
      </c>
      <c r="M1071" s="9"/>
      <c r="N1071" s="10">
        <v>7944</v>
      </c>
      <c r="O1071" s="9"/>
      <c r="P1071" s="10"/>
      <c r="Q1071" s="10"/>
      <c r="R1071" s="10"/>
      <c r="S1071" s="7" t="s">
        <v>407</v>
      </c>
      <c r="T1071" s="7" t="s">
        <v>117</v>
      </c>
      <c r="U1071" s="7" t="s">
        <v>44</v>
      </c>
      <c r="V1071" s="7" t="s">
        <v>45</v>
      </c>
      <c r="W1071" s="7" t="s">
        <v>67</v>
      </c>
      <c r="X1071" s="7" t="s">
        <v>68</v>
      </c>
      <c r="Y1071" s="7" t="s">
        <v>2596</v>
      </c>
      <c r="Z1071" s="7" t="s">
        <v>2588</v>
      </c>
      <c r="AA1071" s="7"/>
      <c r="AB1071" s="7"/>
      <c r="AC1071" s="7" t="s">
        <v>107</v>
      </c>
      <c r="AD1071" s="7"/>
      <c r="AE1071" s="7"/>
      <c r="AF1071" s="7" t="s">
        <v>113</v>
      </c>
      <c r="AG1071" s="7" t="s">
        <v>114</v>
      </c>
      <c r="AH1071" s="7" t="s">
        <v>115</v>
      </c>
    </row>
    <row r="1072" spans="1:34" ht="9.75" customHeight="1" x14ac:dyDescent="0.2">
      <c r="A1072" s="7" t="s">
        <v>37</v>
      </c>
      <c r="B1072" s="7" t="s">
        <v>38</v>
      </c>
      <c r="C1072" s="7"/>
      <c r="D1072" s="7" t="s">
        <v>2597</v>
      </c>
      <c r="E1072" s="8">
        <v>5</v>
      </c>
      <c r="F1072" s="7" t="s">
        <v>109</v>
      </c>
      <c r="G1072" s="7"/>
      <c r="H1072" s="9"/>
      <c r="I1072" s="9"/>
      <c r="J1072" s="9"/>
      <c r="K1072" s="9"/>
      <c r="L1072" s="10">
        <v>25508</v>
      </c>
      <c r="M1072" s="9"/>
      <c r="N1072" s="10">
        <v>25508</v>
      </c>
      <c r="O1072" s="9"/>
      <c r="P1072" s="10"/>
      <c r="Q1072" s="10"/>
      <c r="R1072" s="10"/>
      <c r="S1072" s="7" t="s">
        <v>407</v>
      </c>
      <c r="T1072" s="7" t="s">
        <v>117</v>
      </c>
      <c r="U1072" s="7" t="s">
        <v>44</v>
      </c>
      <c r="V1072" s="7" t="s">
        <v>45</v>
      </c>
      <c r="W1072" s="7" t="s">
        <v>67</v>
      </c>
      <c r="X1072" s="7" t="s">
        <v>68</v>
      </c>
      <c r="Y1072" s="7" t="s">
        <v>2598</v>
      </c>
      <c r="Z1072" s="7" t="s">
        <v>2588</v>
      </c>
      <c r="AA1072" s="7"/>
      <c r="AB1072" s="7"/>
      <c r="AC1072" s="7" t="s">
        <v>107</v>
      </c>
      <c r="AD1072" s="7"/>
      <c r="AE1072" s="7"/>
      <c r="AF1072" s="7" t="s">
        <v>113</v>
      </c>
      <c r="AG1072" s="7" t="s">
        <v>114</v>
      </c>
      <c r="AH1072" s="7" t="s">
        <v>115</v>
      </c>
    </row>
    <row r="1073" spans="1:34" ht="9.75" customHeight="1" x14ac:dyDescent="0.2">
      <c r="A1073" s="7" t="s">
        <v>37</v>
      </c>
      <c r="B1073" s="7" t="s">
        <v>38</v>
      </c>
      <c r="C1073" s="7"/>
      <c r="D1073" s="7" t="s">
        <v>2599</v>
      </c>
      <c r="E1073" s="8">
        <v>5</v>
      </c>
      <c r="F1073" s="7" t="s">
        <v>109</v>
      </c>
      <c r="G1073" s="7"/>
      <c r="H1073" s="9"/>
      <c r="I1073" s="9"/>
      <c r="J1073" s="9"/>
      <c r="K1073" s="9"/>
      <c r="L1073" s="10">
        <v>15208</v>
      </c>
      <c r="M1073" s="9"/>
      <c r="N1073" s="10">
        <v>15208</v>
      </c>
      <c r="O1073" s="9"/>
      <c r="P1073" s="10"/>
      <c r="Q1073" s="10"/>
      <c r="R1073" s="10"/>
      <c r="S1073" s="7" t="s">
        <v>407</v>
      </c>
      <c r="T1073" s="7" t="s">
        <v>117</v>
      </c>
      <c r="U1073" s="7" t="s">
        <v>44</v>
      </c>
      <c r="V1073" s="7" t="s">
        <v>45</v>
      </c>
      <c r="W1073" s="7" t="s">
        <v>67</v>
      </c>
      <c r="X1073" s="7" t="s">
        <v>68</v>
      </c>
      <c r="Y1073" s="7" t="s">
        <v>2600</v>
      </c>
      <c r="Z1073" s="7" t="s">
        <v>2601</v>
      </c>
      <c r="AA1073" s="7"/>
      <c r="AB1073" s="7"/>
      <c r="AC1073" s="7" t="s">
        <v>107</v>
      </c>
      <c r="AD1073" s="7"/>
      <c r="AE1073" s="7"/>
      <c r="AF1073" s="7" t="s">
        <v>113</v>
      </c>
      <c r="AG1073" s="7" t="s">
        <v>114</v>
      </c>
      <c r="AH1073" s="7" t="s">
        <v>115</v>
      </c>
    </row>
    <row r="1074" spans="1:34" ht="9.75" customHeight="1" x14ac:dyDescent="0.2">
      <c r="A1074" s="7" t="s">
        <v>37</v>
      </c>
      <c r="B1074" s="7" t="s">
        <v>38</v>
      </c>
      <c r="C1074" s="7"/>
      <c r="D1074" s="7" t="s">
        <v>2602</v>
      </c>
      <c r="E1074" s="8">
        <v>5</v>
      </c>
      <c r="F1074" s="7" t="s">
        <v>109</v>
      </c>
      <c r="G1074" s="7"/>
      <c r="H1074" s="9"/>
      <c r="I1074" s="9"/>
      <c r="J1074" s="9"/>
      <c r="K1074" s="9"/>
      <c r="L1074" s="10">
        <v>56</v>
      </c>
      <c r="M1074" s="9"/>
      <c r="N1074" s="10">
        <v>56</v>
      </c>
      <c r="O1074" s="9"/>
      <c r="P1074" s="10"/>
      <c r="Q1074" s="10"/>
      <c r="R1074" s="10"/>
      <c r="S1074" s="7" t="s">
        <v>407</v>
      </c>
      <c r="T1074" s="7" t="s">
        <v>117</v>
      </c>
      <c r="U1074" s="7" t="s">
        <v>44</v>
      </c>
      <c r="V1074" s="7" t="s">
        <v>45</v>
      </c>
      <c r="W1074" s="7" t="s">
        <v>67</v>
      </c>
      <c r="X1074" s="7" t="s">
        <v>68</v>
      </c>
      <c r="Y1074" s="7" t="s">
        <v>2603</v>
      </c>
      <c r="Z1074" s="7" t="s">
        <v>2601</v>
      </c>
      <c r="AA1074" s="7"/>
      <c r="AB1074" s="7"/>
      <c r="AC1074" s="7" t="s">
        <v>107</v>
      </c>
      <c r="AD1074" s="7"/>
      <c r="AE1074" s="7"/>
      <c r="AF1074" s="7" t="s">
        <v>113</v>
      </c>
      <c r="AG1074" s="7" t="s">
        <v>114</v>
      </c>
      <c r="AH1074" s="7" t="s">
        <v>115</v>
      </c>
    </row>
    <row r="1075" spans="1:34" ht="9.75" customHeight="1" x14ac:dyDescent="0.2">
      <c r="A1075" s="7" t="s">
        <v>37</v>
      </c>
      <c r="B1075" s="7" t="s">
        <v>38</v>
      </c>
      <c r="C1075" s="7"/>
      <c r="D1075" s="7" t="s">
        <v>2604</v>
      </c>
      <c r="E1075" s="8">
        <v>5</v>
      </c>
      <c r="F1075" s="7" t="s">
        <v>109</v>
      </c>
      <c r="G1075" s="7"/>
      <c r="H1075" s="9"/>
      <c r="I1075" s="9"/>
      <c r="J1075" s="9"/>
      <c r="K1075" s="9"/>
      <c r="L1075" s="10">
        <v>175</v>
      </c>
      <c r="M1075" s="9"/>
      <c r="N1075" s="10">
        <v>175</v>
      </c>
      <c r="O1075" s="9"/>
      <c r="P1075" s="10"/>
      <c r="Q1075" s="10"/>
      <c r="R1075" s="10"/>
      <c r="S1075" s="7" t="s">
        <v>407</v>
      </c>
      <c r="T1075" s="7" t="s">
        <v>117</v>
      </c>
      <c r="U1075" s="7" t="s">
        <v>44</v>
      </c>
      <c r="V1075" s="7" t="s">
        <v>45</v>
      </c>
      <c r="W1075" s="7" t="s">
        <v>67</v>
      </c>
      <c r="X1075" s="7" t="s">
        <v>68</v>
      </c>
      <c r="Y1075" s="7" t="s">
        <v>2605</v>
      </c>
      <c r="Z1075" s="7" t="s">
        <v>2601</v>
      </c>
      <c r="AA1075" s="7"/>
      <c r="AB1075" s="7"/>
      <c r="AC1075" s="7" t="s">
        <v>107</v>
      </c>
      <c r="AD1075" s="7"/>
      <c r="AE1075" s="7"/>
      <c r="AF1075" s="7" t="s">
        <v>113</v>
      </c>
      <c r="AG1075" s="7" t="s">
        <v>114</v>
      </c>
      <c r="AH1075" s="7" t="s">
        <v>115</v>
      </c>
    </row>
    <row r="1076" spans="1:34" ht="9.75" customHeight="1" x14ac:dyDescent="0.2">
      <c r="A1076" s="7" t="s">
        <v>37</v>
      </c>
      <c r="B1076" s="7" t="s">
        <v>38</v>
      </c>
      <c r="C1076" s="7"/>
      <c r="D1076" s="7" t="s">
        <v>2606</v>
      </c>
      <c r="E1076" s="8">
        <v>5</v>
      </c>
      <c r="F1076" s="7" t="s">
        <v>109</v>
      </c>
      <c r="G1076" s="7"/>
      <c r="H1076" s="9"/>
      <c r="I1076" s="10">
        <v>15</v>
      </c>
      <c r="J1076" s="9"/>
      <c r="K1076" s="9"/>
      <c r="L1076" s="10">
        <v>681</v>
      </c>
      <c r="M1076" s="9"/>
      <c r="N1076" s="10">
        <v>681</v>
      </c>
      <c r="O1076" s="9"/>
      <c r="P1076" s="10"/>
      <c r="Q1076" s="10"/>
      <c r="R1076" s="10"/>
      <c r="S1076" s="7" t="s">
        <v>407</v>
      </c>
      <c r="T1076" s="7" t="s">
        <v>117</v>
      </c>
      <c r="U1076" s="7" t="s">
        <v>44</v>
      </c>
      <c r="V1076" s="7" t="s">
        <v>45</v>
      </c>
      <c r="W1076" s="7" t="s">
        <v>67</v>
      </c>
      <c r="X1076" s="7" t="s">
        <v>68</v>
      </c>
      <c r="Y1076" s="7" t="s">
        <v>2607</v>
      </c>
      <c r="Z1076" s="7" t="s">
        <v>2601</v>
      </c>
      <c r="AA1076" s="7"/>
      <c r="AB1076" s="7"/>
      <c r="AC1076" s="7" t="s">
        <v>107</v>
      </c>
      <c r="AD1076" s="7"/>
      <c r="AE1076" s="7"/>
      <c r="AF1076" s="7" t="s">
        <v>113</v>
      </c>
      <c r="AG1076" s="7" t="s">
        <v>114</v>
      </c>
      <c r="AH1076" s="7" t="s">
        <v>115</v>
      </c>
    </row>
    <row r="1077" spans="1:34" ht="9.75" customHeight="1" x14ac:dyDescent="0.2">
      <c r="A1077" s="7" t="s">
        <v>37</v>
      </c>
      <c r="B1077" s="7" t="s">
        <v>38</v>
      </c>
      <c r="C1077" s="7"/>
      <c r="D1077" s="7" t="s">
        <v>2608</v>
      </c>
      <c r="E1077" s="8">
        <v>5</v>
      </c>
      <c r="F1077" s="7" t="s">
        <v>109</v>
      </c>
      <c r="G1077" s="7"/>
      <c r="H1077" s="9"/>
      <c r="I1077" s="10">
        <v>1192</v>
      </c>
      <c r="J1077" s="9"/>
      <c r="K1077" s="9"/>
      <c r="L1077" s="10">
        <v>968</v>
      </c>
      <c r="M1077" s="9"/>
      <c r="N1077" s="10">
        <v>968</v>
      </c>
      <c r="O1077" s="9"/>
      <c r="P1077" s="10"/>
      <c r="Q1077" s="10"/>
      <c r="R1077" s="10"/>
      <c r="S1077" s="7" t="s">
        <v>407</v>
      </c>
      <c r="T1077" s="7" t="s">
        <v>117</v>
      </c>
      <c r="U1077" s="7" t="s">
        <v>44</v>
      </c>
      <c r="V1077" s="7" t="s">
        <v>45</v>
      </c>
      <c r="W1077" s="7" t="s">
        <v>67</v>
      </c>
      <c r="X1077" s="7" t="s">
        <v>68</v>
      </c>
      <c r="Y1077" s="7" t="s">
        <v>2609</v>
      </c>
      <c r="Z1077" s="7" t="s">
        <v>2601</v>
      </c>
      <c r="AA1077" s="7"/>
      <c r="AB1077" s="7"/>
      <c r="AC1077" s="7" t="s">
        <v>107</v>
      </c>
      <c r="AD1077" s="7"/>
      <c r="AE1077" s="7"/>
      <c r="AF1077" s="7" t="s">
        <v>113</v>
      </c>
      <c r="AG1077" s="7" t="s">
        <v>114</v>
      </c>
      <c r="AH1077" s="7" t="s">
        <v>115</v>
      </c>
    </row>
    <row r="1078" spans="1:34" ht="9.75" customHeight="1" x14ac:dyDescent="0.2">
      <c r="A1078" s="7" t="s">
        <v>37</v>
      </c>
      <c r="B1078" s="7" t="s">
        <v>38</v>
      </c>
      <c r="C1078" s="7"/>
      <c r="D1078" s="7" t="s">
        <v>2610</v>
      </c>
      <c r="E1078" s="8">
        <v>5</v>
      </c>
      <c r="F1078" s="7" t="s">
        <v>109</v>
      </c>
      <c r="G1078" s="7"/>
      <c r="H1078" s="9"/>
      <c r="I1078" s="10">
        <v>197</v>
      </c>
      <c r="J1078" s="9"/>
      <c r="K1078" s="9"/>
      <c r="L1078" s="10">
        <v>1736</v>
      </c>
      <c r="M1078" s="9"/>
      <c r="N1078" s="10">
        <v>1736</v>
      </c>
      <c r="O1078" s="9"/>
      <c r="P1078" s="10"/>
      <c r="Q1078" s="10"/>
      <c r="R1078" s="10"/>
      <c r="S1078" s="7" t="s">
        <v>407</v>
      </c>
      <c r="T1078" s="7" t="s">
        <v>117</v>
      </c>
      <c r="U1078" s="7" t="s">
        <v>44</v>
      </c>
      <c r="V1078" s="7" t="s">
        <v>45</v>
      </c>
      <c r="W1078" s="7" t="s">
        <v>67</v>
      </c>
      <c r="X1078" s="7" t="s">
        <v>68</v>
      </c>
      <c r="Y1078" s="7" t="s">
        <v>2611</v>
      </c>
      <c r="Z1078" s="7" t="s">
        <v>2601</v>
      </c>
      <c r="AA1078" s="7"/>
      <c r="AB1078" s="7"/>
      <c r="AC1078" s="7" t="s">
        <v>107</v>
      </c>
      <c r="AD1078" s="7"/>
      <c r="AE1078" s="7"/>
      <c r="AF1078" s="7" t="s">
        <v>113</v>
      </c>
      <c r="AG1078" s="7" t="s">
        <v>114</v>
      </c>
      <c r="AH1078" s="7" t="s">
        <v>115</v>
      </c>
    </row>
    <row r="1079" spans="1:34" ht="9.75" customHeight="1" x14ac:dyDescent="0.2">
      <c r="A1079" s="7" t="s">
        <v>37</v>
      </c>
      <c r="B1079" s="7" t="s">
        <v>38</v>
      </c>
      <c r="C1079" s="7"/>
      <c r="D1079" s="7" t="s">
        <v>2612</v>
      </c>
      <c r="E1079" s="8">
        <v>5</v>
      </c>
      <c r="F1079" s="7" t="s">
        <v>109</v>
      </c>
      <c r="G1079" s="7"/>
      <c r="H1079" s="9"/>
      <c r="I1079" s="10">
        <v>7246</v>
      </c>
      <c r="J1079" s="9"/>
      <c r="K1079" s="9"/>
      <c r="L1079" s="10">
        <v>0</v>
      </c>
      <c r="M1079" s="9"/>
      <c r="N1079" s="10">
        <v>0</v>
      </c>
      <c r="O1079" s="9"/>
      <c r="P1079" s="10"/>
      <c r="Q1079" s="10"/>
      <c r="R1079" s="10"/>
      <c r="S1079" s="7" t="s">
        <v>54</v>
      </c>
      <c r="T1079" s="7" t="s">
        <v>2613</v>
      </c>
      <c r="U1079" s="7" t="s">
        <v>44</v>
      </c>
      <c r="V1079" s="7" t="s">
        <v>45</v>
      </c>
      <c r="W1079" s="7" t="s">
        <v>67</v>
      </c>
      <c r="X1079" s="7" t="s">
        <v>68</v>
      </c>
      <c r="Y1079" s="7" t="s">
        <v>2614</v>
      </c>
      <c r="Z1079" s="7" t="s">
        <v>126</v>
      </c>
      <c r="AA1079" s="7"/>
      <c r="AB1079" s="7"/>
      <c r="AC1079" s="7" t="s">
        <v>107</v>
      </c>
      <c r="AD1079" s="7"/>
      <c r="AE1079" s="7" t="s">
        <v>2615</v>
      </c>
      <c r="AF1079" s="7" t="s">
        <v>113</v>
      </c>
      <c r="AG1079" s="7" t="s">
        <v>114</v>
      </c>
      <c r="AH1079" s="7" t="s">
        <v>115</v>
      </c>
    </row>
    <row r="1080" spans="1:34" ht="9.75" customHeight="1" x14ac:dyDescent="0.2">
      <c r="A1080" s="7" t="s">
        <v>37</v>
      </c>
      <c r="B1080" s="7" t="s">
        <v>38</v>
      </c>
      <c r="C1080" s="7"/>
      <c r="D1080" s="7" t="s">
        <v>2616</v>
      </c>
      <c r="E1080" s="8">
        <v>5</v>
      </c>
      <c r="F1080" s="7" t="s">
        <v>109</v>
      </c>
      <c r="G1080" s="7"/>
      <c r="H1080" s="9"/>
      <c r="I1080" s="10">
        <v>198653</v>
      </c>
      <c r="J1080" s="9"/>
      <c r="K1080" s="9"/>
      <c r="L1080" s="10">
        <v>0</v>
      </c>
      <c r="M1080" s="9"/>
      <c r="N1080" s="10">
        <v>0</v>
      </c>
      <c r="O1080" s="9"/>
      <c r="P1080" s="10"/>
      <c r="Q1080" s="10"/>
      <c r="R1080" s="10"/>
      <c r="S1080" s="7" t="s">
        <v>54</v>
      </c>
      <c r="T1080" s="7" t="s">
        <v>2613</v>
      </c>
      <c r="U1080" s="7" t="s">
        <v>44</v>
      </c>
      <c r="V1080" s="7" t="s">
        <v>45</v>
      </c>
      <c r="W1080" s="7" t="s">
        <v>67</v>
      </c>
      <c r="X1080" s="7" t="s">
        <v>68</v>
      </c>
      <c r="Y1080" s="7" t="s">
        <v>2617</v>
      </c>
      <c r="Z1080" s="7" t="s">
        <v>126</v>
      </c>
      <c r="AA1080" s="7"/>
      <c r="AB1080" s="7"/>
      <c r="AC1080" s="7" t="s">
        <v>107</v>
      </c>
      <c r="AD1080" s="7"/>
      <c r="AE1080" s="7" t="s">
        <v>2618</v>
      </c>
      <c r="AF1080" s="7" t="s">
        <v>113</v>
      </c>
      <c r="AG1080" s="7" t="s">
        <v>114</v>
      </c>
      <c r="AH1080" s="7" t="s">
        <v>115</v>
      </c>
    </row>
    <row r="1081" spans="1:34" ht="9.75" customHeight="1" x14ac:dyDescent="0.2">
      <c r="A1081" s="7" t="s">
        <v>37</v>
      </c>
      <c r="B1081" s="7" t="s">
        <v>38</v>
      </c>
      <c r="C1081" s="7"/>
      <c r="D1081" s="7" t="s">
        <v>2619</v>
      </c>
      <c r="E1081" s="8">
        <v>5</v>
      </c>
      <c r="F1081" s="7" t="s">
        <v>109</v>
      </c>
      <c r="G1081" s="7"/>
      <c r="H1081" s="9"/>
      <c r="I1081" s="10">
        <v>40000</v>
      </c>
      <c r="J1081" s="9"/>
      <c r="K1081" s="9"/>
      <c r="L1081" s="10">
        <v>0</v>
      </c>
      <c r="M1081" s="9"/>
      <c r="N1081" s="10">
        <v>0</v>
      </c>
      <c r="O1081" s="9"/>
      <c r="P1081" s="10"/>
      <c r="Q1081" s="10"/>
      <c r="R1081" s="10"/>
      <c r="S1081" s="7" t="s">
        <v>54</v>
      </c>
      <c r="T1081" s="7" t="s">
        <v>2613</v>
      </c>
      <c r="U1081" s="7" t="s">
        <v>44</v>
      </c>
      <c r="V1081" s="7" t="s">
        <v>45</v>
      </c>
      <c r="W1081" s="7" t="s">
        <v>67</v>
      </c>
      <c r="X1081" s="7" t="s">
        <v>68</v>
      </c>
      <c r="Y1081" s="7" t="s">
        <v>2620</v>
      </c>
      <c r="Z1081" s="7" t="s">
        <v>126</v>
      </c>
      <c r="AA1081" s="7"/>
      <c r="AB1081" s="7"/>
      <c r="AC1081" s="7" t="s">
        <v>107</v>
      </c>
      <c r="AD1081" s="7"/>
      <c r="AE1081" s="7" t="s">
        <v>2621</v>
      </c>
      <c r="AF1081" s="7" t="s">
        <v>113</v>
      </c>
      <c r="AG1081" s="7" t="s">
        <v>114</v>
      </c>
      <c r="AH1081" s="7" t="s">
        <v>115</v>
      </c>
    </row>
    <row r="1082" spans="1:34" ht="9.75" customHeight="1" x14ac:dyDescent="0.2">
      <c r="A1082" s="7" t="s">
        <v>37</v>
      </c>
      <c r="B1082" s="7" t="s">
        <v>38</v>
      </c>
      <c r="C1082" s="7"/>
      <c r="D1082" s="7" t="s">
        <v>2622</v>
      </c>
      <c r="E1082" s="8">
        <v>5</v>
      </c>
      <c r="F1082" s="7" t="s">
        <v>109</v>
      </c>
      <c r="G1082" s="7"/>
      <c r="H1082" s="9"/>
      <c r="I1082" s="10">
        <v>55000</v>
      </c>
      <c r="J1082" s="9"/>
      <c r="K1082" s="9"/>
      <c r="L1082" s="10">
        <v>0</v>
      </c>
      <c r="M1082" s="9"/>
      <c r="N1082" s="10">
        <v>0</v>
      </c>
      <c r="O1082" s="9"/>
      <c r="P1082" s="10"/>
      <c r="Q1082" s="10"/>
      <c r="R1082" s="10"/>
      <c r="S1082" s="7" t="s">
        <v>54</v>
      </c>
      <c r="T1082" s="7" t="s">
        <v>2613</v>
      </c>
      <c r="U1082" s="7" t="s">
        <v>44</v>
      </c>
      <c r="V1082" s="7" t="s">
        <v>45</v>
      </c>
      <c r="W1082" s="7" t="s">
        <v>67</v>
      </c>
      <c r="X1082" s="7" t="s">
        <v>68</v>
      </c>
      <c r="Y1082" s="7" t="s">
        <v>2623</v>
      </c>
      <c r="Z1082" s="7" t="s">
        <v>126</v>
      </c>
      <c r="AA1082" s="7"/>
      <c r="AB1082" s="7"/>
      <c r="AC1082" s="7" t="s">
        <v>107</v>
      </c>
      <c r="AD1082" s="7"/>
      <c r="AE1082" s="7" t="s">
        <v>2624</v>
      </c>
      <c r="AF1082" s="7" t="s">
        <v>113</v>
      </c>
      <c r="AG1082" s="7" t="s">
        <v>114</v>
      </c>
      <c r="AH1082" s="7" t="s">
        <v>115</v>
      </c>
    </row>
    <row r="1083" spans="1:34" ht="9.75" customHeight="1" x14ac:dyDescent="0.2">
      <c r="A1083" s="7" t="s">
        <v>37</v>
      </c>
      <c r="B1083" s="7" t="s">
        <v>38</v>
      </c>
      <c r="C1083" s="7"/>
      <c r="D1083" s="7" t="s">
        <v>2625</v>
      </c>
      <c r="E1083" s="8">
        <v>5</v>
      </c>
      <c r="F1083" s="7" t="s">
        <v>109</v>
      </c>
      <c r="G1083" s="7"/>
      <c r="H1083" s="9"/>
      <c r="I1083" s="10">
        <v>1445</v>
      </c>
      <c r="J1083" s="9"/>
      <c r="K1083" s="9"/>
      <c r="L1083" s="10">
        <v>0</v>
      </c>
      <c r="M1083" s="9"/>
      <c r="N1083" s="10">
        <v>0</v>
      </c>
      <c r="O1083" s="9"/>
      <c r="P1083" s="10"/>
      <c r="Q1083" s="10"/>
      <c r="R1083" s="10"/>
      <c r="S1083" s="7" t="s">
        <v>54</v>
      </c>
      <c r="T1083" s="7" t="s">
        <v>2613</v>
      </c>
      <c r="U1083" s="7" t="s">
        <v>44</v>
      </c>
      <c r="V1083" s="7" t="s">
        <v>45</v>
      </c>
      <c r="W1083" s="7" t="s">
        <v>67</v>
      </c>
      <c r="X1083" s="7" t="s">
        <v>68</v>
      </c>
      <c r="Y1083" s="7" t="s">
        <v>2626</v>
      </c>
      <c r="Z1083" s="7" t="s">
        <v>126</v>
      </c>
      <c r="AA1083" s="7"/>
      <c r="AB1083" s="7"/>
      <c r="AC1083" s="7" t="s">
        <v>107</v>
      </c>
      <c r="AD1083" s="7"/>
      <c r="AE1083" s="7" t="s">
        <v>2627</v>
      </c>
      <c r="AF1083" s="7" t="s">
        <v>113</v>
      </c>
      <c r="AG1083" s="7" t="s">
        <v>114</v>
      </c>
      <c r="AH1083" s="7" t="s">
        <v>115</v>
      </c>
    </row>
    <row r="1084" spans="1:34" ht="9.75" customHeight="1" x14ac:dyDescent="0.2">
      <c r="A1084" s="7" t="s">
        <v>37</v>
      </c>
      <c r="B1084" s="7" t="s">
        <v>38</v>
      </c>
      <c r="C1084" s="7"/>
      <c r="D1084" s="7" t="s">
        <v>2628</v>
      </c>
      <c r="E1084" s="8">
        <v>5</v>
      </c>
      <c r="F1084" s="7" t="s">
        <v>109</v>
      </c>
      <c r="G1084" s="7"/>
      <c r="H1084" s="9"/>
      <c r="I1084" s="10">
        <v>21800</v>
      </c>
      <c r="J1084" s="9"/>
      <c r="K1084" s="9"/>
      <c r="L1084" s="10">
        <v>0</v>
      </c>
      <c r="M1084" s="9"/>
      <c r="N1084" s="10">
        <v>0</v>
      </c>
      <c r="O1084" s="9"/>
      <c r="P1084" s="10"/>
      <c r="Q1084" s="10"/>
      <c r="R1084" s="10"/>
      <c r="S1084" s="7" t="s">
        <v>54</v>
      </c>
      <c r="T1084" s="7" t="s">
        <v>2613</v>
      </c>
      <c r="U1084" s="7" t="s">
        <v>44</v>
      </c>
      <c r="V1084" s="7" t="s">
        <v>45</v>
      </c>
      <c r="W1084" s="7" t="s">
        <v>67</v>
      </c>
      <c r="X1084" s="7" t="s">
        <v>68</v>
      </c>
      <c r="Y1084" s="7" t="s">
        <v>2629</v>
      </c>
      <c r="Z1084" s="7" t="s">
        <v>126</v>
      </c>
      <c r="AA1084" s="7"/>
      <c r="AB1084" s="7"/>
      <c r="AC1084" s="7" t="s">
        <v>107</v>
      </c>
      <c r="AD1084" s="7"/>
      <c r="AE1084" s="7" t="s">
        <v>420</v>
      </c>
      <c r="AF1084" s="7" t="s">
        <v>113</v>
      </c>
      <c r="AG1084" s="7" t="s">
        <v>114</v>
      </c>
      <c r="AH1084" s="7" t="s">
        <v>115</v>
      </c>
    </row>
    <row r="1085" spans="1:34" ht="9.75" customHeight="1" x14ac:dyDescent="0.2">
      <c r="A1085" s="7" t="s">
        <v>37</v>
      </c>
      <c r="B1085" s="7" t="s">
        <v>38</v>
      </c>
      <c r="C1085" s="7"/>
      <c r="D1085" s="7" t="s">
        <v>2630</v>
      </c>
      <c r="E1085" s="8">
        <v>5</v>
      </c>
      <c r="F1085" s="7" t="s">
        <v>109</v>
      </c>
      <c r="G1085" s="7"/>
      <c r="H1085" s="9"/>
      <c r="I1085" s="10">
        <v>29622</v>
      </c>
      <c r="J1085" s="9"/>
      <c r="K1085" s="9"/>
      <c r="L1085" s="10">
        <v>0</v>
      </c>
      <c r="M1085" s="9"/>
      <c r="N1085" s="10">
        <v>0</v>
      </c>
      <c r="O1085" s="9"/>
      <c r="P1085" s="10"/>
      <c r="Q1085" s="10"/>
      <c r="R1085" s="10"/>
      <c r="S1085" s="7" t="s">
        <v>54</v>
      </c>
      <c r="T1085" s="7" t="s">
        <v>2613</v>
      </c>
      <c r="U1085" s="7" t="s">
        <v>44</v>
      </c>
      <c r="V1085" s="7" t="s">
        <v>45</v>
      </c>
      <c r="W1085" s="7" t="s">
        <v>67</v>
      </c>
      <c r="X1085" s="7" t="s">
        <v>68</v>
      </c>
      <c r="Y1085" s="7" t="s">
        <v>2631</v>
      </c>
      <c r="Z1085" s="7" t="s">
        <v>126</v>
      </c>
      <c r="AA1085" s="7"/>
      <c r="AB1085" s="7"/>
      <c r="AC1085" s="7" t="s">
        <v>107</v>
      </c>
      <c r="AD1085" s="7"/>
      <c r="AE1085" s="7" t="s">
        <v>2632</v>
      </c>
      <c r="AF1085" s="7" t="s">
        <v>113</v>
      </c>
      <c r="AG1085" s="7" t="s">
        <v>114</v>
      </c>
      <c r="AH1085" s="7" t="s">
        <v>115</v>
      </c>
    </row>
    <row r="1086" spans="1:34" ht="9.75" customHeight="1" x14ac:dyDescent="0.2">
      <c r="A1086" s="7" t="s">
        <v>37</v>
      </c>
      <c r="B1086" s="7" t="s">
        <v>38</v>
      </c>
      <c r="C1086" s="7"/>
      <c r="D1086" s="7" t="s">
        <v>2633</v>
      </c>
      <c r="E1086" s="8">
        <v>5</v>
      </c>
      <c r="F1086" s="7" t="s">
        <v>109</v>
      </c>
      <c r="G1086" s="7"/>
      <c r="H1086" s="9"/>
      <c r="I1086" s="10">
        <v>84236</v>
      </c>
      <c r="J1086" s="9"/>
      <c r="K1086" s="9"/>
      <c r="L1086" s="10">
        <v>0</v>
      </c>
      <c r="M1086" s="9"/>
      <c r="N1086" s="10">
        <v>0</v>
      </c>
      <c r="O1086" s="9"/>
      <c r="P1086" s="10"/>
      <c r="Q1086" s="10"/>
      <c r="R1086" s="10"/>
      <c r="S1086" s="7" t="s">
        <v>54</v>
      </c>
      <c r="T1086" s="7" t="s">
        <v>2613</v>
      </c>
      <c r="U1086" s="7" t="s">
        <v>44</v>
      </c>
      <c r="V1086" s="7" t="s">
        <v>45</v>
      </c>
      <c r="W1086" s="7" t="s">
        <v>67</v>
      </c>
      <c r="X1086" s="7" t="s">
        <v>68</v>
      </c>
      <c r="Y1086" s="7" t="s">
        <v>2634</v>
      </c>
      <c r="Z1086" s="7" t="s">
        <v>126</v>
      </c>
      <c r="AA1086" s="7"/>
      <c r="AB1086" s="7"/>
      <c r="AC1086" s="7" t="s">
        <v>107</v>
      </c>
      <c r="AD1086" s="7"/>
      <c r="AE1086" s="7"/>
      <c r="AF1086" s="7" t="s">
        <v>113</v>
      </c>
      <c r="AG1086" s="7" t="s">
        <v>114</v>
      </c>
      <c r="AH1086" s="7" t="s">
        <v>115</v>
      </c>
    </row>
    <row r="1087" spans="1:34" ht="9.75" customHeight="1" x14ac:dyDescent="0.2">
      <c r="A1087" s="7" t="s">
        <v>37</v>
      </c>
      <c r="B1087" s="7" t="s">
        <v>38</v>
      </c>
      <c r="C1087" s="7"/>
      <c r="D1087" s="7" t="s">
        <v>2635</v>
      </c>
      <c r="E1087" s="8">
        <v>5</v>
      </c>
      <c r="F1087" s="7" t="s">
        <v>109</v>
      </c>
      <c r="G1087" s="7"/>
      <c r="H1087" s="9"/>
      <c r="I1087" s="10">
        <v>50444</v>
      </c>
      <c r="J1087" s="9"/>
      <c r="K1087" s="9"/>
      <c r="L1087" s="10">
        <v>0</v>
      </c>
      <c r="M1087" s="9"/>
      <c r="N1087" s="10">
        <v>0</v>
      </c>
      <c r="O1087" s="9"/>
      <c r="P1087" s="10"/>
      <c r="Q1087" s="10"/>
      <c r="R1087" s="10"/>
      <c r="S1087" s="7" t="s">
        <v>54</v>
      </c>
      <c r="T1087" s="7" t="s">
        <v>2613</v>
      </c>
      <c r="U1087" s="7" t="s">
        <v>44</v>
      </c>
      <c r="V1087" s="7" t="s">
        <v>45</v>
      </c>
      <c r="W1087" s="7" t="s">
        <v>67</v>
      </c>
      <c r="X1087" s="7" t="s">
        <v>68</v>
      </c>
      <c r="Y1087" s="7" t="s">
        <v>2636</v>
      </c>
      <c r="Z1087" s="7" t="s">
        <v>126</v>
      </c>
      <c r="AA1087" s="7"/>
      <c r="AB1087" s="7"/>
      <c r="AC1087" s="7" t="s">
        <v>107</v>
      </c>
      <c r="AD1087" s="7"/>
      <c r="AE1087" s="7" t="s">
        <v>907</v>
      </c>
      <c r="AF1087" s="7" t="s">
        <v>113</v>
      </c>
      <c r="AG1087" s="7" t="s">
        <v>114</v>
      </c>
      <c r="AH1087" s="7" t="s">
        <v>115</v>
      </c>
    </row>
    <row r="1088" spans="1:34" ht="9.75" customHeight="1" x14ac:dyDescent="0.2">
      <c r="A1088" s="7" t="s">
        <v>37</v>
      </c>
      <c r="B1088" s="7" t="s">
        <v>38</v>
      </c>
      <c r="C1088" s="7"/>
      <c r="D1088" s="7" t="s">
        <v>2637</v>
      </c>
      <c r="E1088" s="8">
        <v>1</v>
      </c>
      <c r="F1088" s="7" t="s">
        <v>41</v>
      </c>
      <c r="G1088" s="7"/>
      <c r="H1088" s="9"/>
      <c r="I1088" s="9"/>
      <c r="J1088" s="9"/>
      <c r="K1088" s="9"/>
      <c r="L1088" s="9"/>
      <c r="M1088" s="9"/>
      <c r="N1088" s="9"/>
      <c r="O1088" s="9"/>
      <c r="P1088" s="9"/>
      <c r="Q1088" s="9"/>
      <c r="R1088" s="9"/>
      <c r="S1088" s="7" t="s">
        <v>407</v>
      </c>
      <c r="T1088" s="7" t="s">
        <v>2638</v>
      </c>
      <c r="U1088" s="7" t="s">
        <v>44</v>
      </c>
      <c r="V1088" s="7" t="s">
        <v>45</v>
      </c>
      <c r="W1088" s="7" t="s">
        <v>130</v>
      </c>
      <c r="X1088" s="7" t="s">
        <v>131</v>
      </c>
      <c r="Y1088" s="7" t="s">
        <v>2639</v>
      </c>
      <c r="Z1088" s="7" t="s">
        <v>2640</v>
      </c>
      <c r="AA1088" s="7"/>
      <c r="AB1088" s="7"/>
      <c r="AC1088" s="7" t="s">
        <v>127</v>
      </c>
      <c r="AD1088" s="7"/>
      <c r="AE1088" s="7" t="s">
        <v>410</v>
      </c>
      <c r="AF1088" s="7" t="s">
        <v>50</v>
      </c>
      <c r="AG1088" s="7" t="s">
        <v>134</v>
      </c>
      <c r="AH1088" s="7" t="s">
        <v>135</v>
      </c>
    </row>
    <row r="1089" spans="1:34" ht="9.75" customHeight="1" x14ac:dyDescent="0.2">
      <c r="A1089" s="7" t="s">
        <v>37</v>
      </c>
      <c r="B1089" s="7" t="s">
        <v>38</v>
      </c>
      <c r="C1089" s="7"/>
      <c r="D1089" s="7" t="s">
        <v>2641</v>
      </c>
      <c r="E1089" s="8">
        <v>1</v>
      </c>
      <c r="F1089" s="7" t="s">
        <v>41</v>
      </c>
      <c r="G1089" s="7"/>
      <c r="H1089" s="9"/>
      <c r="I1089" s="9"/>
      <c r="J1089" s="9"/>
      <c r="K1089" s="9"/>
      <c r="L1089" s="9"/>
      <c r="M1089" s="9"/>
      <c r="N1089" s="9"/>
      <c r="O1089" s="9"/>
      <c r="P1089" s="9"/>
      <c r="Q1089" s="9"/>
      <c r="R1089" s="9"/>
      <c r="S1089" s="7" t="s">
        <v>407</v>
      </c>
      <c r="T1089" s="7" t="s">
        <v>2638</v>
      </c>
      <c r="U1089" s="7" t="s">
        <v>44</v>
      </c>
      <c r="V1089" s="7" t="s">
        <v>45</v>
      </c>
      <c r="W1089" s="7" t="s">
        <v>130</v>
      </c>
      <c r="X1089" s="7" t="s">
        <v>131</v>
      </c>
      <c r="Y1089" s="7" t="s">
        <v>2642</v>
      </c>
      <c r="Z1089" s="7" t="s">
        <v>2640</v>
      </c>
      <c r="AA1089" s="7"/>
      <c r="AB1089" s="7"/>
      <c r="AC1089" s="7" t="s">
        <v>127</v>
      </c>
      <c r="AD1089" s="7"/>
      <c r="AE1089" s="7" t="s">
        <v>207</v>
      </c>
      <c r="AF1089" s="7" t="s">
        <v>50</v>
      </c>
      <c r="AG1089" s="7" t="s">
        <v>134</v>
      </c>
      <c r="AH1089" s="7" t="s">
        <v>135</v>
      </c>
    </row>
    <row r="1090" spans="1:34" ht="9.75" customHeight="1" x14ac:dyDescent="0.2">
      <c r="A1090" s="7" t="s">
        <v>37</v>
      </c>
      <c r="B1090" s="7" t="s">
        <v>38</v>
      </c>
      <c r="C1090" s="7"/>
      <c r="D1090" s="7" t="s">
        <v>2643</v>
      </c>
      <c r="E1090" s="8">
        <v>1</v>
      </c>
      <c r="F1090" s="7" t="s">
        <v>41</v>
      </c>
      <c r="G1090" s="7"/>
      <c r="H1090" s="9"/>
      <c r="I1090" s="9"/>
      <c r="J1090" s="9"/>
      <c r="K1090" s="9"/>
      <c r="L1090" s="9"/>
      <c r="M1090" s="9"/>
      <c r="N1090" s="9"/>
      <c r="O1090" s="9"/>
      <c r="P1090" s="9"/>
      <c r="Q1090" s="9"/>
      <c r="R1090" s="9"/>
      <c r="S1090" s="7" t="s">
        <v>407</v>
      </c>
      <c r="T1090" s="7" t="s">
        <v>2638</v>
      </c>
      <c r="U1090" s="7" t="s">
        <v>44</v>
      </c>
      <c r="V1090" s="7" t="s">
        <v>45</v>
      </c>
      <c r="W1090" s="7" t="s">
        <v>130</v>
      </c>
      <c r="X1090" s="7" t="s">
        <v>131</v>
      </c>
      <c r="Y1090" s="7" t="s">
        <v>2644</v>
      </c>
      <c r="Z1090" s="7" t="s">
        <v>2640</v>
      </c>
      <c r="AA1090" s="7"/>
      <c r="AB1090" s="7"/>
      <c r="AC1090" s="7" t="s">
        <v>127</v>
      </c>
      <c r="AD1090" s="7"/>
      <c r="AE1090" s="7" t="s">
        <v>415</v>
      </c>
      <c r="AF1090" s="7" t="s">
        <v>50</v>
      </c>
      <c r="AG1090" s="7" t="s">
        <v>134</v>
      </c>
      <c r="AH1090" s="7" t="s">
        <v>135</v>
      </c>
    </row>
    <row r="1091" spans="1:34" ht="9.75" customHeight="1" x14ac:dyDescent="0.2">
      <c r="A1091" s="7" t="s">
        <v>37</v>
      </c>
      <c r="B1091" s="7" t="s">
        <v>38</v>
      </c>
      <c r="C1091" s="7"/>
      <c r="D1091" s="7" t="s">
        <v>2645</v>
      </c>
      <c r="E1091" s="8">
        <v>1</v>
      </c>
      <c r="F1091" s="7" t="s">
        <v>41</v>
      </c>
      <c r="G1091" s="7"/>
      <c r="H1091" s="9"/>
      <c r="I1091" s="9"/>
      <c r="J1091" s="9"/>
      <c r="K1091" s="9"/>
      <c r="L1091" s="9"/>
      <c r="M1091" s="9"/>
      <c r="N1091" s="9"/>
      <c r="O1091" s="9"/>
      <c r="P1091" s="9"/>
      <c r="Q1091" s="9"/>
      <c r="R1091" s="9"/>
      <c r="S1091" s="7" t="s">
        <v>407</v>
      </c>
      <c r="T1091" s="7" t="s">
        <v>2638</v>
      </c>
      <c r="U1091" s="7" t="s">
        <v>44</v>
      </c>
      <c r="V1091" s="7" t="s">
        <v>45</v>
      </c>
      <c r="W1091" s="7" t="s">
        <v>130</v>
      </c>
      <c r="X1091" s="7" t="s">
        <v>131</v>
      </c>
      <c r="Y1091" s="7" t="s">
        <v>2646</v>
      </c>
      <c r="Z1091" s="7" t="s">
        <v>2640</v>
      </c>
      <c r="AA1091" s="7"/>
      <c r="AB1091" s="7"/>
      <c r="AC1091" s="7" t="s">
        <v>127</v>
      </c>
      <c r="AD1091" s="7"/>
      <c r="AE1091" s="7"/>
      <c r="AF1091" s="7" t="s">
        <v>50</v>
      </c>
      <c r="AG1091" s="7" t="s">
        <v>134</v>
      </c>
      <c r="AH1091" s="7" t="s">
        <v>135</v>
      </c>
    </row>
    <row r="1092" spans="1:34" ht="9.75" customHeight="1" x14ac:dyDescent="0.2">
      <c r="A1092" s="7" t="s">
        <v>37</v>
      </c>
      <c r="B1092" s="7" t="s">
        <v>38</v>
      </c>
      <c r="C1092" s="7"/>
      <c r="D1092" s="7" t="s">
        <v>2647</v>
      </c>
      <c r="E1092" s="8">
        <v>1</v>
      </c>
      <c r="F1092" s="7" t="s">
        <v>41</v>
      </c>
      <c r="G1092" s="7"/>
      <c r="H1092" s="9"/>
      <c r="I1092" s="9"/>
      <c r="J1092" s="9"/>
      <c r="K1092" s="9"/>
      <c r="L1092" s="9"/>
      <c r="M1092" s="9"/>
      <c r="N1092" s="9"/>
      <c r="O1092" s="9"/>
      <c r="P1092" s="9"/>
      <c r="Q1092" s="9"/>
      <c r="R1092" s="9"/>
      <c r="S1092" s="7" t="s">
        <v>407</v>
      </c>
      <c r="T1092" s="7" t="s">
        <v>2638</v>
      </c>
      <c r="U1092" s="7" t="s">
        <v>44</v>
      </c>
      <c r="V1092" s="7" t="s">
        <v>45</v>
      </c>
      <c r="W1092" s="7" t="s">
        <v>130</v>
      </c>
      <c r="X1092" s="7" t="s">
        <v>131</v>
      </c>
      <c r="Y1092" s="7" t="s">
        <v>2648</v>
      </c>
      <c r="Z1092" s="7" t="s">
        <v>2640</v>
      </c>
      <c r="AA1092" s="7"/>
      <c r="AB1092" s="7"/>
      <c r="AC1092" s="7" t="s">
        <v>127</v>
      </c>
      <c r="AD1092" s="7"/>
      <c r="AE1092" s="7"/>
      <c r="AF1092" s="7" t="s">
        <v>50</v>
      </c>
      <c r="AG1092" s="7" t="s">
        <v>134</v>
      </c>
      <c r="AH1092" s="7" t="s">
        <v>135</v>
      </c>
    </row>
    <row r="1093" spans="1:34" ht="9.75" customHeight="1" x14ac:dyDescent="0.2">
      <c r="A1093" s="7" t="s">
        <v>37</v>
      </c>
      <c r="B1093" s="7" t="s">
        <v>38</v>
      </c>
      <c r="C1093" s="7"/>
      <c r="D1093" s="7" t="s">
        <v>2649</v>
      </c>
      <c r="E1093" s="8">
        <v>1</v>
      </c>
      <c r="F1093" s="7" t="s">
        <v>41</v>
      </c>
      <c r="G1093" s="7"/>
      <c r="H1093" s="9"/>
      <c r="I1093" s="9"/>
      <c r="J1093" s="9"/>
      <c r="K1093" s="9"/>
      <c r="L1093" s="9"/>
      <c r="M1093" s="9"/>
      <c r="N1093" s="9"/>
      <c r="O1093" s="9"/>
      <c r="P1093" s="9"/>
      <c r="Q1093" s="9"/>
      <c r="R1093" s="9"/>
      <c r="S1093" s="7" t="s">
        <v>407</v>
      </c>
      <c r="T1093" s="7" t="s">
        <v>2638</v>
      </c>
      <c r="U1093" s="7" t="s">
        <v>44</v>
      </c>
      <c r="V1093" s="7" t="s">
        <v>45</v>
      </c>
      <c r="W1093" s="7" t="s">
        <v>130</v>
      </c>
      <c r="X1093" s="7" t="s">
        <v>131</v>
      </c>
      <c r="Y1093" s="7" t="s">
        <v>2650</v>
      </c>
      <c r="Z1093" s="7" t="s">
        <v>2640</v>
      </c>
      <c r="AA1093" s="7"/>
      <c r="AB1093" s="7"/>
      <c r="AC1093" s="7" t="s">
        <v>127</v>
      </c>
      <c r="AD1093" s="7"/>
      <c r="AE1093" s="7"/>
      <c r="AF1093" s="7" t="s">
        <v>50</v>
      </c>
      <c r="AG1093" s="7" t="s">
        <v>134</v>
      </c>
      <c r="AH1093" s="7" t="s">
        <v>135</v>
      </c>
    </row>
    <row r="1094" spans="1:34" ht="9.75" customHeight="1" x14ac:dyDescent="0.2">
      <c r="A1094" s="7" t="s">
        <v>37</v>
      </c>
      <c r="B1094" s="7" t="s">
        <v>38</v>
      </c>
      <c r="C1094" s="7"/>
      <c r="D1094" s="7" t="s">
        <v>2651</v>
      </c>
      <c r="E1094" s="8">
        <v>1</v>
      </c>
      <c r="F1094" s="7" t="s">
        <v>41</v>
      </c>
      <c r="G1094" s="7"/>
      <c r="H1094" s="9"/>
      <c r="I1094" s="9"/>
      <c r="J1094" s="9"/>
      <c r="K1094" s="9"/>
      <c r="L1094" s="9"/>
      <c r="M1094" s="9"/>
      <c r="N1094" s="9"/>
      <c r="O1094" s="9"/>
      <c r="P1094" s="9"/>
      <c r="Q1094" s="9"/>
      <c r="R1094" s="9"/>
      <c r="S1094" s="7" t="s">
        <v>407</v>
      </c>
      <c r="T1094" s="7" t="s">
        <v>2638</v>
      </c>
      <c r="U1094" s="7" t="s">
        <v>44</v>
      </c>
      <c r="V1094" s="7" t="s">
        <v>45</v>
      </c>
      <c r="W1094" s="7" t="s">
        <v>130</v>
      </c>
      <c r="X1094" s="7" t="s">
        <v>131</v>
      </c>
      <c r="Y1094" s="7" t="s">
        <v>2652</v>
      </c>
      <c r="Z1094" s="7" t="s">
        <v>2640</v>
      </c>
      <c r="AA1094" s="7"/>
      <c r="AB1094" s="7"/>
      <c r="AC1094" s="7" t="s">
        <v>127</v>
      </c>
      <c r="AD1094" s="7"/>
      <c r="AE1094" s="7"/>
      <c r="AF1094" s="7" t="s">
        <v>50</v>
      </c>
      <c r="AG1094" s="7" t="s">
        <v>134</v>
      </c>
      <c r="AH1094" s="7" t="s">
        <v>135</v>
      </c>
    </row>
    <row r="1095" spans="1:34" ht="9.75" customHeight="1" x14ac:dyDescent="0.2">
      <c r="A1095" s="7" t="s">
        <v>37</v>
      </c>
      <c r="B1095" s="7" t="s">
        <v>38</v>
      </c>
      <c r="C1095" s="7"/>
      <c r="D1095" s="7" t="s">
        <v>2653</v>
      </c>
      <c r="E1095" s="8">
        <v>1</v>
      </c>
      <c r="F1095" s="7" t="s">
        <v>41</v>
      </c>
      <c r="G1095" s="7"/>
      <c r="H1095" s="9"/>
      <c r="I1095" s="9"/>
      <c r="J1095" s="9"/>
      <c r="K1095" s="9"/>
      <c r="L1095" s="10">
        <v>79962</v>
      </c>
      <c r="M1095" s="9"/>
      <c r="N1095" s="10">
        <v>79962</v>
      </c>
      <c r="O1095" s="9"/>
      <c r="P1095" s="10"/>
      <c r="Q1095" s="10"/>
      <c r="R1095" s="10"/>
      <c r="S1095" s="7" t="s">
        <v>407</v>
      </c>
      <c r="T1095" s="7" t="s">
        <v>2638</v>
      </c>
      <c r="U1095" s="7" t="s">
        <v>44</v>
      </c>
      <c r="V1095" s="7" t="s">
        <v>45</v>
      </c>
      <c r="W1095" s="7" t="s">
        <v>130</v>
      </c>
      <c r="X1095" s="7" t="s">
        <v>131</v>
      </c>
      <c r="Y1095" s="7" t="s">
        <v>2654</v>
      </c>
      <c r="Z1095" s="7" t="s">
        <v>2655</v>
      </c>
      <c r="AA1095" s="7"/>
      <c r="AB1095" s="7"/>
      <c r="AC1095" s="7" t="s">
        <v>127</v>
      </c>
      <c r="AD1095" s="7"/>
      <c r="AE1095" s="7" t="s">
        <v>2656</v>
      </c>
      <c r="AF1095" s="7" t="s">
        <v>50</v>
      </c>
      <c r="AG1095" s="7" t="s">
        <v>134</v>
      </c>
      <c r="AH1095" s="7" t="s">
        <v>135</v>
      </c>
    </row>
    <row r="1096" spans="1:34" ht="9.75" customHeight="1" x14ac:dyDescent="0.2">
      <c r="A1096" s="7" t="s">
        <v>37</v>
      </c>
      <c r="B1096" s="7" t="s">
        <v>38</v>
      </c>
      <c r="C1096" s="7"/>
      <c r="D1096" s="7" t="s">
        <v>2657</v>
      </c>
      <c r="E1096" s="8">
        <v>1</v>
      </c>
      <c r="F1096" s="7" t="s">
        <v>41</v>
      </c>
      <c r="G1096" s="7"/>
      <c r="H1096" s="9"/>
      <c r="I1096" s="9"/>
      <c r="J1096" s="9"/>
      <c r="K1096" s="9"/>
      <c r="L1096" s="10">
        <v>105136</v>
      </c>
      <c r="M1096" s="9"/>
      <c r="N1096" s="10">
        <v>105136</v>
      </c>
      <c r="O1096" s="9"/>
      <c r="P1096" s="10"/>
      <c r="Q1096" s="10"/>
      <c r="R1096" s="10"/>
      <c r="S1096" s="7" t="s">
        <v>407</v>
      </c>
      <c r="T1096" s="7" t="s">
        <v>2638</v>
      </c>
      <c r="U1096" s="7" t="s">
        <v>44</v>
      </c>
      <c r="V1096" s="7" t="s">
        <v>45</v>
      </c>
      <c r="W1096" s="7" t="s">
        <v>130</v>
      </c>
      <c r="X1096" s="7" t="s">
        <v>131</v>
      </c>
      <c r="Y1096" s="7" t="s">
        <v>2658</v>
      </c>
      <c r="Z1096" s="7" t="s">
        <v>2655</v>
      </c>
      <c r="AA1096" s="7"/>
      <c r="AB1096" s="7"/>
      <c r="AC1096" s="7" t="s">
        <v>127</v>
      </c>
      <c r="AD1096" s="7"/>
      <c r="AE1096" s="7" t="s">
        <v>2659</v>
      </c>
      <c r="AF1096" s="7" t="s">
        <v>50</v>
      </c>
      <c r="AG1096" s="7" t="s">
        <v>134</v>
      </c>
      <c r="AH1096" s="7" t="s">
        <v>135</v>
      </c>
    </row>
    <row r="1097" spans="1:34" ht="9.75" customHeight="1" x14ac:dyDescent="0.2">
      <c r="A1097" s="7" t="s">
        <v>37</v>
      </c>
      <c r="B1097" s="7" t="s">
        <v>38</v>
      </c>
      <c r="C1097" s="7"/>
      <c r="D1097" s="7" t="s">
        <v>2660</v>
      </c>
      <c r="E1097" s="8">
        <v>1</v>
      </c>
      <c r="F1097" s="7" t="s">
        <v>41</v>
      </c>
      <c r="G1097" s="7"/>
      <c r="H1097" s="9"/>
      <c r="I1097" s="9"/>
      <c r="J1097" s="9"/>
      <c r="K1097" s="9"/>
      <c r="L1097" s="10">
        <v>297999</v>
      </c>
      <c r="M1097" s="9"/>
      <c r="N1097" s="10">
        <v>297999</v>
      </c>
      <c r="O1097" s="9"/>
      <c r="P1097" s="10"/>
      <c r="Q1097" s="10"/>
      <c r="R1097" s="10"/>
      <c r="S1097" s="7" t="s">
        <v>407</v>
      </c>
      <c r="T1097" s="7" t="s">
        <v>2638</v>
      </c>
      <c r="U1097" s="7" t="s">
        <v>44</v>
      </c>
      <c r="V1097" s="7" t="s">
        <v>45</v>
      </c>
      <c r="W1097" s="7" t="s">
        <v>130</v>
      </c>
      <c r="X1097" s="7" t="s">
        <v>131</v>
      </c>
      <c r="Y1097" s="7" t="s">
        <v>2661</v>
      </c>
      <c r="Z1097" s="7" t="s">
        <v>2655</v>
      </c>
      <c r="AA1097" s="7"/>
      <c r="AB1097" s="7"/>
      <c r="AC1097" s="7" t="s">
        <v>127</v>
      </c>
      <c r="AD1097" s="7"/>
      <c r="AE1097" s="7" t="s">
        <v>2662</v>
      </c>
      <c r="AF1097" s="7" t="s">
        <v>50</v>
      </c>
      <c r="AG1097" s="7" t="s">
        <v>134</v>
      </c>
      <c r="AH1097" s="7" t="s">
        <v>135</v>
      </c>
    </row>
    <row r="1098" spans="1:34" ht="9.75" customHeight="1" x14ac:dyDescent="0.2">
      <c r="A1098" s="7" t="s">
        <v>37</v>
      </c>
      <c r="B1098" s="7" t="s">
        <v>38</v>
      </c>
      <c r="C1098" s="7"/>
      <c r="D1098" s="7" t="s">
        <v>2663</v>
      </c>
      <c r="E1098" s="8">
        <v>1</v>
      </c>
      <c r="F1098" s="7" t="s">
        <v>41</v>
      </c>
      <c r="G1098" s="7"/>
      <c r="H1098" s="9"/>
      <c r="I1098" s="9"/>
      <c r="J1098" s="9"/>
      <c r="K1098" s="9"/>
      <c r="L1098" s="10">
        <v>16409</v>
      </c>
      <c r="M1098" s="9"/>
      <c r="N1098" s="10">
        <v>16409</v>
      </c>
      <c r="O1098" s="9"/>
      <c r="P1098" s="10"/>
      <c r="Q1098" s="10"/>
      <c r="R1098" s="10"/>
      <c r="S1098" s="7" t="s">
        <v>407</v>
      </c>
      <c r="T1098" s="7" t="s">
        <v>2638</v>
      </c>
      <c r="U1098" s="7" t="s">
        <v>44</v>
      </c>
      <c r="V1098" s="7" t="s">
        <v>45</v>
      </c>
      <c r="W1098" s="7" t="s">
        <v>130</v>
      </c>
      <c r="X1098" s="7" t="s">
        <v>131</v>
      </c>
      <c r="Y1098" s="7" t="s">
        <v>2664</v>
      </c>
      <c r="Z1098" s="7" t="s">
        <v>2655</v>
      </c>
      <c r="AA1098" s="7"/>
      <c r="AB1098" s="7"/>
      <c r="AC1098" s="7" t="s">
        <v>127</v>
      </c>
      <c r="AD1098" s="7"/>
      <c r="AE1098" s="7" t="s">
        <v>2665</v>
      </c>
      <c r="AF1098" s="7" t="s">
        <v>50</v>
      </c>
      <c r="AG1098" s="7" t="s">
        <v>134</v>
      </c>
      <c r="AH1098" s="7" t="s">
        <v>135</v>
      </c>
    </row>
    <row r="1099" spans="1:34" ht="9.75" customHeight="1" x14ac:dyDescent="0.2">
      <c r="A1099" s="7" t="s">
        <v>37</v>
      </c>
      <c r="B1099" s="7" t="s">
        <v>38</v>
      </c>
      <c r="C1099" s="7"/>
      <c r="D1099" s="7" t="s">
        <v>2666</v>
      </c>
      <c r="E1099" s="8">
        <v>1</v>
      </c>
      <c r="F1099" s="7" t="s">
        <v>41</v>
      </c>
      <c r="G1099" s="7"/>
      <c r="H1099" s="9"/>
      <c r="I1099" s="9"/>
      <c r="J1099" s="9"/>
      <c r="K1099" s="9"/>
      <c r="L1099" s="10">
        <v>259191</v>
      </c>
      <c r="M1099" s="9"/>
      <c r="N1099" s="10">
        <v>259191</v>
      </c>
      <c r="O1099" s="9"/>
      <c r="P1099" s="10"/>
      <c r="Q1099" s="10"/>
      <c r="R1099" s="10"/>
      <c r="S1099" s="7" t="s">
        <v>407</v>
      </c>
      <c r="T1099" s="7" t="s">
        <v>2638</v>
      </c>
      <c r="U1099" s="7" t="s">
        <v>44</v>
      </c>
      <c r="V1099" s="7" t="s">
        <v>45</v>
      </c>
      <c r="W1099" s="7" t="s">
        <v>130</v>
      </c>
      <c r="X1099" s="7" t="s">
        <v>131</v>
      </c>
      <c r="Y1099" s="7" t="s">
        <v>2667</v>
      </c>
      <c r="Z1099" s="7" t="s">
        <v>2655</v>
      </c>
      <c r="AA1099" s="7"/>
      <c r="AB1099" s="7"/>
      <c r="AC1099" s="7" t="s">
        <v>127</v>
      </c>
      <c r="AD1099" s="7"/>
      <c r="AE1099" s="7" t="s">
        <v>2668</v>
      </c>
      <c r="AF1099" s="7" t="s">
        <v>50</v>
      </c>
      <c r="AG1099" s="7" t="s">
        <v>134</v>
      </c>
      <c r="AH1099" s="7" t="s">
        <v>135</v>
      </c>
    </row>
    <row r="1100" spans="1:34" ht="9.75" customHeight="1" x14ac:dyDescent="0.2">
      <c r="A1100" s="7" t="s">
        <v>37</v>
      </c>
      <c r="B1100" s="7" t="s">
        <v>38</v>
      </c>
      <c r="C1100" s="7"/>
      <c r="D1100" s="7" t="s">
        <v>2669</v>
      </c>
      <c r="E1100" s="8">
        <v>1</v>
      </c>
      <c r="F1100" s="7" t="s">
        <v>41</v>
      </c>
      <c r="G1100" s="7"/>
      <c r="H1100" s="9"/>
      <c r="I1100" s="9"/>
      <c r="J1100" s="9"/>
      <c r="K1100" s="9"/>
      <c r="L1100" s="10">
        <v>31452</v>
      </c>
      <c r="M1100" s="9"/>
      <c r="N1100" s="10">
        <v>31452</v>
      </c>
      <c r="O1100" s="9"/>
      <c r="P1100" s="10"/>
      <c r="Q1100" s="10"/>
      <c r="R1100" s="10"/>
      <c r="S1100" s="7" t="s">
        <v>407</v>
      </c>
      <c r="T1100" s="7" t="s">
        <v>2638</v>
      </c>
      <c r="U1100" s="7" t="s">
        <v>44</v>
      </c>
      <c r="V1100" s="7" t="s">
        <v>45</v>
      </c>
      <c r="W1100" s="7" t="s">
        <v>130</v>
      </c>
      <c r="X1100" s="7" t="s">
        <v>131</v>
      </c>
      <c r="Y1100" s="7" t="s">
        <v>2670</v>
      </c>
      <c r="Z1100" s="7" t="s">
        <v>2655</v>
      </c>
      <c r="AA1100" s="7"/>
      <c r="AB1100" s="7"/>
      <c r="AC1100" s="7" t="s">
        <v>127</v>
      </c>
      <c r="AD1100" s="7"/>
      <c r="AE1100" s="7" t="s">
        <v>2671</v>
      </c>
      <c r="AF1100" s="7" t="s">
        <v>50</v>
      </c>
      <c r="AG1100" s="7" t="s">
        <v>134</v>
      </c>
      <c r="AH1100" s="7" t="s">
        <v>135</v>
      </c>
    </row>
    <row r="1101" spans="1:34" ht="9.75" customHeight="1" x14ac:dyDescent="0.2">
      <c r="A1101" s="7" t="s">
        <v>37</v>
      </c>
      <c r="B1101" s="7" t="s">
        <v>38</v>
      </c>
      <c r="C1101" s="7"/>
      <c r="D1101" s="7" t="s">
        <v>2672</v>
      </c>
      <c r="E1101" s="8">
        <v>1</v>
      </c>
      <c r="F1101" s="7" t="s">
        <v>41</v>
      </c>
      <c r="G1101" s="7"/>
      <c r="H1101" s="9"/>
      <c r="I1101" s="9"/>
      <c r="J1101" s="9"/>
      <c r="K1101" s="9"/>
      <c r="L1101" s="10">
        <v>28138</v>
      </c>
      <c r="M1101" s="9"/>
      <c r="N1101" s="10">
        <v>28138</v>
      </c>
      <c r="O1101" s="9"/>
      <c r="P1101" s="10"/>
      <c r="Q1101" s="10"/>
      <c r="R1101" s="10"/>
      <c r="S1101" s="7" t="s">
        <v>407</v>
      </c>
      <c r="T1101" s="7" t="s">
        <v>2638</v>
      </c>
      <c r="U1101" s="7" t="s">
        <v>44</v>
      </c>
      <c r="V1101" s="7" t="s">
        <v>45</v>
      </c>
      <c r="W1101" s="7" t="s">
        <v>130</v>
      </c>
      <c r="X1101" s="7" t="s">
        <v>131</v>
      </c>
      <c r="Y1101" s="7" t="s">
        <v>2673</v>
      </c>
      <c r="Z1101" s="7" t="s">
        <v>2655</v>
      </c>
      <c r="AA1101" s="7"/>
      <c r="AB1101" s="7"/>
      <c r="AC1101" s="7" t="s">
        <v>127</v>
      </c>
      <c r="AD1101" s="7"/>
      <c r="AE1101" s="7" t="s">
        <v>2674</v>
      </c>
      <c r="AF1101" s="7" t="s">
        <v>50</v>
      </c>
      <c r="AG1101" s="7" t="s">
        <v>134</v>
      </c>
      <c r="AH1101" s="7" t="s">
        <v>135</v>
      </c>
    </row>
    <row r="1102" spans="1:34" ht="9.75" customHeight="1" x14ac:dyDescent="0.2">
      <c r="A1102" s="7" t="s">
        <v>37</v>
      </c>
      <c r="B1102" s="7" t="s">
        <v>38</v>
      </c>
      <c r="C1102" s="7"/>
      <c r="D1102" s="7" t="s">
        <v>2675</v>
      </c>
      <c r="E1102" s="8">
        <v>1</v>
      </c>
      <c r="F1102" s="7" t="s">
        <v>41</v>
      </c>
      <c r="G1102" s="7"/>
      <c r="H1102" s="9"/>
      <c r="I1102" s="9"/>
      <c r="J1102" s="9"/>
      <c r="K1102" s="9"/>
      <c r="L1102" s="10">
        <v>965</v>
      </c>
      <c r="M1102" s="9"/>
      <c r="N1102" s="10">
        <v>965</v>
      </c>
      <c r="O1102" s="9"/>
      <c r="P1102" s="10"/>
      <c r="Q1102" s="10"/>
      <c r="R1102" s="10"/>
      <c r="S1102" s="7" t="s">
        <v>407</v>
      </c>
      <c r="T1102" s="7" t="s">
        <v>2638</v>
      </c>
      <c r="U1102" s="7" t="s">
        <v>44</v>
      </c>
      <c r="V1102" s="7" t="s">
        <v>45</v>
      </c>
      <c r="W1102" s="7" t="s">
        <v>130</v>
      </c>
      <c r="X1102" s="7" t="s">
        <v>131</v>
      </c>
      <c r="Y1102" s="7" t="s">
        <v>2676</v>
      </c>
      <c r="Z1102" s="7" t="s">
        <v>2655</v>
      </c>
      <c r="AA1102" s="7"/>
      <c r="AB1102" s="7"/>
      <c r="AC1102" s="7" t="s">
        <v>127</v>
      </c>
      <c r="AD1102" s="7"/>
      <c r="AE1102" s="7" t="s">
        <v>2677</v>
      </c>
      <c r="AF1102" s="7" t="s">
        <v>50</v>
      </c>
      <c r="AG1102" s="7" t="s">
        <v>134</v>
      </c>
      <c r="AH1102" s="7" t="s">
        <v>135</v>
      </c>
    </row>
    <row r="1103" spans="1:34" ht="9.75" customHeight="1" x14ac:dyDescent="0.2">
      <c r="A1103" s="7" t="s">
        <v>37</v>
      </c>
      <c r="B1103" s="7" t="s">
        <v>38</v>
      </c>
      <c r="C1103" s="7"/>
      <c r="D1103" s="7" t="s">
        <v>2678</v>
      </c>
      <c r="E1103" s="8">
        <v>1</v>
      </c>
      <c r="F1103" s="7" t="s">
        <v>41</v>
      </c>
      <c r="G1103" s="7"/>
      <c r="H1103" s="9"/>
      <c r="I1103" s="9"/>
      <c r="J1103" s="9"/>
      <c r="K1103" s="9"/>
      <c r="L1103" s="10">
        <v>117229</v>
      </c>
      <c r="M1103" s="9"/>
      <c r="N1103" s="10">
        <v>117229</v>
      </c>
      <c r="O1103" s="9"/>
      <c r="P1103" s="10"/>
      <c r="Q1103" s="10"/>
      <c r="R1103" s="10"/>
      <c r="S1103" s="7" t="s">
        <v>407</v>
      </c>
      <c r="T1103" s="7" t="s">
        <v>2638</v>
      </c>
      <c r="U1103" s="7" t="s">
        <v>44</v>
      </c>
      <c r="V1103" s="7" t="s">
        <v>45</v>
      </c>
      <c r="W1103" s="7" t="s">
        <v>130</v>
      </c>
      <c r="X1103" s="7" t="s">
        <v>131</v>
      </c>
      <c r="Y1103" s="7" t="s">
        <v>2679</v>
      </c>
      <c r="Z1103" s="7" t="s">
        <v>2655</v>
      </c>
      <c r="AA1103" s="7"/>
      <c r="AB1103" s="7"/>
      <c r="AC1103" s="7" t="s">
        <v>127</v>
      </c>
      <c r="AD1103" s="7"/>
      <c r="AE1103" s="7" t="s">
        <v>2680</v>
      </c>
      <c r="AF1103" s="7" t="s">
        <v>50</v>
      </c>
      <c r="AG1103" s="7" t="s">
        <v>134</v>
      </c>
      <c r="AH1103" s="7" t="s">
        <v>135</v>
      </c>
    </row>
    <row r="1104" spans="1:34" ht="9.75" customHeight="1" x14ac:dyDescent="0.2">
      <c r="A1104" s="7" t="s">
        <v>37</v>
      </c>
      <c r="B1104" s="7" t="s">
        <v>38</v>
      </c>
      <c r="C1104" s="7"/>
      <c r="D1104" s="7" t="s">
        <v>2681</v>
      </c>
      <c r="E1104" s="8">
        <v>1</v>
      </c>
      <c r="F1104" s="7" t="s">
        <v>41</v>
      </c>
      <c r="G1104" s="7"/>
      <c r="H1104" s="9"/>
      <c r="I1104" s="9"/>
      <c r="J1104" s="9"/>
      <c r="K1104" s="9"/>
      <c r="L1104" s="10">
        <v>7800</v>
      </c>
      <c r="M1104" s="9"/>
      <c r="N1104" s="10">
        <v>7800</v>
      </c>
      <c r="O1104" s="9"/>
      <c r="P1104" s="10"/>
      <c r="Q1104" s="10"/>
      <c r="R1104" s="10"/>
      <c r="S1104" s="7" t="s">
        <v>407</v>
      </c>
      <c r="T1104" s="7" t="s">
        <v>2638</v>
      </c>
      <c r="U1104" s="7" t="s">
        <v>44</v>
      </c>
      <c r="V1104" s="7" t="s">
        <v>45</v>
      </c>
      <c r="W1104" s="7" t="s">
        <v>130</v>
      </c>
      <c r="X1104" s="7" t="s">
        <v>131</v>
      </c>
      <c r="Y1104" s="7" t="s">
        <v>2682</v>
      </c>
      <c r="Z1104" s="7" t="s">
        <v>2655</v>
      </c>
      <c r="AA1104" s="7"/>
      <c r="AB1104" s="7"/>
      <c r="AC1104" s="7" t="s">
        <v>127</v>
      </c>
      <c r="AD1104" s="7"/>
      <c r="AE1104" s="7" t="s">
        <v>2683</v>
      </c>
      <c r="AF1104" s="7" t="s">
        <v>50</v>
      </c>
      <c r="AG1104" s="7" t="s">
        <v>134</v>
      </c>
      <c r="AH1104" s="7" t="s">
        <v>135</v>
      </c>
    </row>
    <row r="1105" spans="1:34" ht="9.75" customHeight="1" x14ac:dyDescent="0.2">
      <c r="A1105" s="7" t="s">
        <v>37</v>
      </c>
      <c r="B1105" s="7" t="s">
        <v>38</v>
      </c>
      <c r="C1105" s="7"/>
      <c r="D1105" s="7" t="s">
        <v>2684</v>
      </c>
      <c r="E1105" s="8">
        <v>1</v>
      </c>
      <c r="F1105" s="7" t="s">
        <v>41</v>
      </c>
      <c r="G1105" s="7"/>
      <c r="H1105" s="9"/>
      <c r="I1105" s="9"/>
      <c r="J1105" s="9"/>
      <c r="K1105" s="9"/>
      <c r="L1105" s="10">
        <v>17682</v>
      </c>
      <c r="M1105" s="9"/>
      <c r="N1105" s="10">
        <v>17682</v>
      </c>
      <c r="O1105" s="9"/>
      <c r="P1105" s="10"/>
      <c r="Q1105" s="10"/>
      <c r="R1105" s="10"/>
      <c r="S1105" s="7" t="s">
        <v>407</v>
      </c>
      <c r="T1105" s="7" t="s">
        <v>2638</v>
      </c>
      <c r="U1105" s="7" t="s">
        <v>44</v>
      </c>
      <c r="V1105" s="7" t="s">
        <v>45</v>
      </c>
      <c r="W1105" s="7" t="s">
        <v>130</v>
      </c>
      <c r="X1105" s="7" t="s">
        <v>131</v>
      </c>
      <c r="Y1105" s="7" t="s">
        <v>2685</v>
      </c>
      <c r="Z1105" s="7" t="s">
        <v>2655</v>
      </c>
      <c r="AA1105" s="7"/>
      <c r="AB1105" s="7"/>
      <c r="AC1105" s="7" t="s">
        <v>127</v>
      </c>
      <c r="AD1105" s="7"/>
      <c r="AE1105" s="7" t="s">
        <v>2686</v>
      </c>
      <c r="AF1105" s="7" t="s">
        <v>50</v>
      </c>
      <c r="AG1105" s="7" t="s">
        <v>134</v>
      </c>
      <c r="AH1105" s="7" t="s">
        <v>135</v>
      </c>
    </row>
    <row r="1106" spans="1:34" ht="9.75" customHeight="1" x14ac:dyDescent="0.2">
      <c r="A1106" s="7" t="s">
        <v>37</v>
      </c>
      <c r="B1106" s="7" t="s">
        <v>38</v>
      </c>
      <c r="C1106" s="7"/>
      <c r="D1106" s="7" t="s">
        <v>2687</v>
      </c>
      <c r="E1106" s="8">
        <v>1</v>
      </c>
      <c r="F1106" s="7" t="s">
        <v>41</v>
      </c>
      <c r="G1106" s="7"/>
      <c r="H1106" s="9"/>
      <c r="I1106" s="9"/>
      <c r="J1106" s="9"/>
      <c r="K1106" s="9"/>
      <c r="L1106" s="10">
        <v>302815</v>
      </c>
      <c r="M1106" s="9"/>
      <c r="N1106" s="10">
        <v>302815</v>
      </c>
      <c r="O1106" s="9"/>
      <c r="P1106" s="10"/>
      <c r="Q1106" s="10"/>
      <c r="R1106" s="10"/>
      <c r="S1106" s="7" t="s">
        <v>407</v>
      </c>
      <c r="T1106" s="7" t="s">
        <v>2638</v>
      </c>
      <c r="U1106" s="7" t="s">
        <v>44</v>
      </c>
      <c r="V1106" s="7" t="s">
        <v>45</v>
      </c>
      <c r="W1106" s="7" t="s">
        <v>130</v>
      </c>
      <c r="X1106" s="7" t="s">
        <v>131</v>
      </c>
      <c r="Y1106" s="7" t="s">
        <v>2688</v>
      </c>
      <c r="Z1106" s="7" t="s">
        <v>2655</v>
      </c>
      <c r="AA1106" s="7"/>
      <c r="AB1106" s="7"/>
      <c r="AC1106" s="7" t="s">
        <v>127</v>
      </c>
      <c r="AD1106" s="7"/>
      <c r="AE1106" s="7" t="s">
        <v>2689</v>
      </c>
      <c r="AF1106" s="7" t="s">
        <v>50</v>
      </c>
      <c r="AG1106" s="7" t="s">
        <v>134</v>
      </c>
      <c r="AH1106" s="7" t="s">
        <v>135</v>
      </c>
    </row>
    <row r="1107" spans="1:34" ht="9.75" customHeight="1" x14ac:dyDescent="0.2">
      <c r="A1107" s="7" t="s">
        <v>37</v>
      </c>
      <c r="B1107" s="7" t="s">
        <v>38</v>
      </c>
      <c r="C1107" s="7"/>
      <c r="D1107" s="7" t="s">
        <v>2690</v>
      </c>
      <c r="E1107" s="8">
        <v>1</v>
      </c>
      <c r="F1107" s="7" t="s">
        <v>41</v>
      </c>
      <c r="G1107" s="7"/>
      <c r="H1107" s="9"/>
      <c r="I1107" s="9"/>
      <c r="J1107" s="9"/>
      <c r="K1107" s="9"/>
      <c r="L1107" s="10">
        <v>56730</v>
      </c>
      <c r="M1107" s="9"/>
      <c r="N1107" s="10">
        <v>56730</v>
      </c>
      <c r="O1107" s="9"/>
      <c r="P1107" s="10"/>
      <c r="Q1107" s="10"/>
      <c r="R1107" s="10"/>
      <c r="S1107" s="7" t="s">
        <v>407</v>
      </c>
      <c r="T1107" s="7" t="s">
        <v>2638</v>
      </c>
      <c r="U1107" s="7" t="s">
        <v>44</v>
      </c>
      <c r="V1107" s="7" t="s">
        <v>45</v>
      </c>
      <c r="W1107" s="7" t="s">
        <v>130</v>
      </c>
      <c r="X1107" s="7" t="s">
        <v>131</v>
      </c>
      <c r="Y1107" s="7" t="s">
        <v>2691</v>
      </c>
      <c r="Z1107" s="7" t="s">
        <v>2655</v>
      </c>
      <c r="AA1107" s="7"/>
      <c r="AB1107" s="7"/>
      <c r="AC1107" s="7" t="s">
        <v>127</v>
      </c>
      <c r="AD1107" s="7"/>
      <c r="AE1107" s="7" t="s">
        <v>2692</v>
      </c>
      <c r="AF1107" s="7" t="s">
        <v>50</v>
      </c>
      <c r="AG1107" s="7" t="s">
        <v>134</v>
      </c>
      <c r="AH1107" s="7" t="s">
        <v>135</v>
      </c>
    </row>
    <row r="1108" spans="1:34" ht="9.75" customHeight="1" x14ac:dyDescent="0.2">
      <c r="A1108" s="7" t="s">
        <v>37</v>
      </c>
      <c r="B1108" s="7" t="s">
        <v>38</v>
      </c>
      <c r="C1108" s="7"/>
      <c r="D1108" s="7" t="s">
        <v>2693</v>
      </c>
      <c r="E1108" s="8">
        <v>1</v>
      </c>
      <c r="F1108" s="7" t="s">
        <v>41</v>
      </c>
      <c r="G1108" s="7"/>
      <c r="H1108" s="9"/>
      <c r="I1108" s="9"/>
      <c r="J1108" s="9"/>
      <c r="K1108" s="9"/>
      <c r="L1108" s="10">
        <v>25600</v>
      </c>
      <c r="M1108" s="9"/>
      <c r="N1108" s="10">
        <v>25600</v>
      </c>
      <c r="O1108" s="9"/>
      <c r="P1108" s="10"/>
      <c r="Q1108" s="10"/>
      <c r="R1108" s="10"/>
      <c r="S1108" s="7" t="s">
        <v>407</v>
      </c>
      <c r="T1108" s="7" t="s">
        <v>2638</v>
      </c>
      <c r="U1108" s="7" t="s">
        <v>44</v>
      </c>
      <c r="V1108" s="7" t="s">
        <v>45</v>
      </c>
      <c r="W1108" s="7" t="s">
        <v>130</v>
      </c>
      <c r="X1108" s="7" t="s">
        <v>131</v>
      </c>
      <c r="Y1108" s="7" t="s">
        <v>2694</v>
      </c>
      <c r="Z1108" s="7" t="s">
        <v>2655</v>
      </c>
      <c r="AA1108" s="7"/>
      <c r="AB1108" s="7"/>
      <c r="AC1108" s="7" t="s">
        <v>127</v>
      </c>
      <c r="AD1108" s="7"/>
      <c r="AE1108" s="7" t="s">
        <v>2695</v>
      </c>
      <c r="AF1108" s="7" t="s">
        <v>50</v>
      </c>
      <c r="AG1108" s="7" t="s">
        <v>134</v>
      </c>
      <c r="AH1108" s="7" t="s">
        <v>135</v>
      </c>
    </row>
    <row r="1109" spans="1:34" ht="9.75" customHeight="1" x14ac:dyDescent="0.2">
      <c r="A1109" s="7" t="s">
        <v>37</v>
      </c>
      <c r="B1109" s="7" t="s">
        <v>38</v>
      </c>
      <c r="C1109" s="7"/>
      <c r="D1109" s="7" t="s">
        <v>2696</v>
      </c>
      <c r="E1109" s="8">
        <v>1</v>
      </c>
      <c r="F1109" s="7" t="s">
        <v>41</v>
      </c>
      <c r="G1109" s="7"/>
      <c r="H1109" s="9"/>
      <c r="I1109" s="9"/>
      <c r="J1109" s="9"/>
      <c r="K1109" s="9"/>
      <c r="L1109" s="10">
        <v>132510</v>
      </c>
      <c r="M1109" s="9"/>
      <c r="N1109" s="10">
        <v>132510</v>
      </c>
      <c r="O1109" s="9"/>
      <c r="P1109" s="10"/>
      <c r="Q1109" s="10"/>
      <c r="R1109" s="10"/>
      <c r="S1109" s="7" t="s">
        <v>407</v>
      </c>
      <c r="T1109" s="7" t="s">
        <v>2638</v>
      </c>
      <c r="U1109" s="7" t="s">
        <v>44</v>
      </c>
      <c r="V1109" s="7" t="s">
        <v>45</v>
      </c>
      <c r="W1109" s="7" t="s">
        <v>130</v>
      </c>
      <c r="X1109" s="7" t="s">
        <v>131</v>
      </c>
      <c r="Y1109" s="7" t="s">
        <v>2697</v>
      </c>
      <c r="Z1109" s="7" t="s">
        <v>2655</v>
      </c>
      <c r="AA1109" s="7"/>
      <c r="AB1109" s="7"/>
      <c r="AC1109" s="7" t="s">
        <v>127</v>
      </c>
      <c r="AD1109" s="7"/>
      <c r="AE1109" s="7" t="s">
        <v>2698</v>
      </c>
      <c r="AF1109" s="7" t="s">
        <v>50</v>
      </c>
      <c r="AG1109" s="7" t="s">
        <v>134</v>
      </c>
      <c r="AH1109" s="7" t="s">
        <v>135</v>
      </c>
    </row>
    <row r="1110" spans="1:34" ht="9.75" customHeight="1" x14ac:dyDescent="0.2">
      <c r="A1110" s="7" t="s">
        <v>37</v>
      </c>
      <c r="B1110" s="7" t="s">
        <v>38</v>
      </c>
      <c r="C1110" s="7"/>
      <c r="D1110" s="7" t="s">
        <v>2699</v>
      </c>
      <c r="E1110" s="8">
        <v>1</v>
      </c>
      <c r="F1110" s="7" t="s">
        <v>41</v>
      </c>
      <c r="G1110" s="7"/>
      <c r="H1110" s="9"/>
      <c r="I1110" s="9"/>
      <c r="J1110" s="9"/>
      <c r="K1110" s="9"/>
      <c r="L1110" s="10">
        <v>130838</v>
      </c>
      <c r="M1110" s="9"/>
      <c r="N1110" s="10">
        <v>130838</v>
      </c>
      <c r="O1110" s="9"/>
      <c r="P1110" s="10"/>
      <c r="Q1110" s="10"/>
      <c r="R1110" s="10"/>
      <c r="S1110" s="7" t="s">
        <v>407</v>
      </c>
      <c r="T1110" s="7" t="s">
        <v>2638</v>
      </c>
      <c r="U1110" s="7" t="s">
        <v>44</v>
      </c>
      <c r="V1110" s="7" t="s">
        <v>45</v>
      </c>
      <c r="W1110" s="7" t="s">
        <v>130</v>
      </c>
      <c r="X1110" s="7" t="s">
        <v>131</v>
      </c>
      <c r="Y1110" s="7" t="s">
        <v>2700</v>
      </c>
      <c r="Z1110" s="7" t="s">
        <v>2655</v>
      </c>
      <c r="AA1110" s="7"/>
      <c r="AB1110" s="7"/>
      <c r="AC1110" s="7" t="s">
        <v>127</v>
      </c>
      <c r="AD1110" s="7"/>
      <c r="AE1110" s="7" t="s">
        <v>2701</v>
      </c>
      <c r="AF1110" s="7" t="s">
        <v>50</v>
      </c>
      <c r="AG1110" s="7" t="s">
        <v>134</v>
      </c>
      <c r="AH1110" s="7" t="s">
        <v>135</v>
      </c>
    </row>
    <row r="1111" spans="1:34" ht="9.75" customHeight="1" x14ac:dyDescent="0.2">
      <c r="A1111" s="7" t="s">
        <v>37</v>
      </c>
      <c r="B1111" s="7" t="s">
        <v>38</v>
      </c>
      <c r="C1111" s="7"/>
      <c r="D1111" s="7" t="s">
        <v>2702</v>
      </c>
      <c r="E1111" s="8">
        <v>1</v>
      </c>
      <c r="F1111" s="7" t="s">
        <v>41</v>
      </c>
      <c r="G1111" s="7"/>
      <c r="H1111" s="9"/>
      <c r="I1111" s="9"/>
      <c r="J1111" s="9"/>
      <c r="K1111" s="9"/>
      <c r="L1111" s="10">
        <v>5500</v>
      </c>
      <c r="M1111" s="9"/>
      <c r="N1111" s="10">
        <v>5500</v>
      </c>
      <c r="O1111" s="9"/>
      <c r="P1111" s="10"/>
      <c r="Q1111" s="10"/>
      <c r="R1111" s="10"/>
      <c r="S1111" s="7" t="s">
        <v>407</v>
      </c>
      <c r="T1111" s="7" t="s">
        <v>2638</v>
      </c>
      <c r="U1111" s="7" t="s">
        <v>44</v>
      </c>
      <c r="V1111" s="7" t="s">
        <v>45</v>
      </c>
      <c r="W1111" s="7" t="s">
        <v>130</v>
      </c>
      <c r="X1111" s="7" t="s">
        <v>131</v>
      </c>
      <c r="Y1111" s="7" t="s">
        <v>2703</v>
      </c>
      <c r="Z1111" s="7" t="s">
        <v>2655</v>
      </c>
      <c r="AA1111" s="7"/>
      <c r="AB1111" s="7"/>
      <c r="AC1111" s="7" t="s">
        <v>127</v>
      </c>
      <c r="AD1111" s="7"/>
      <c r="AE1111" s="7" t="s">
        <v>2704</v>
      </c>
      <c r="AF1111" s="7" t="s">
        <v>50</v>
      </c>
      <c r="AG1111" s="7" t="s">
        <v>134</v>
      </c>
      <c r="AH1111" s="7" t="s">
        <v>135</v>
      </c>
    </row>
    <row r="1112" spans="1:34" ht="9.75" customHeight="1" x14ac:dyDescent="0.2">
      <c r="A1112" s="7" t="s">
        <v>37</v>
      </c>
      <c r="B1112" s="7" t="s">
        <v>38</v>
      </c>
      <c r="C1112" s="7"/>
      <c r="D1112" s="7" t="s">
        <v>2705</v>
      </c>
      <c r="E1112" s="8">
        <v>1</v>
      </c>
      <c r="F1112" s="7" t="s">
        <v>41</v>
      </c>
      <c r="G1112" s="7"/>
      <c r="H1112" s="9"/>
      <c r="I1112" s="9"/>
      <c r="J1112" s="9"/>
      <c r="K1112" s="9"/>
      <c r="L1112" s="10">
        <v>39412</v>
      </c>
      <c r="M1112" s="9"/>
      <c r="N1112" s="10">
        <v>39412</v>
      </c>
      <c r="O1112" s="9"/>
      <c r="P1112" s="10"/>
      <c r="Q1112" s="10"/>
      <c r="R1112" s="10"/>
      <c r="S1112" s="7" t="s">
        <v>407</v>
      </c>
      <c r="T1112" s="7" t="s">
        <v>2638</v>
      </c>
      <c r="U1112" s="7" t="s">
        <v>44</v>
      </c>
      <c r="V1112" s="7" t="s">
        <v>45</v>
      </c>
      <c r="W1112" s="7" t="s">
        <v>130</v>
      </c>
      <c r="X1112" s="7" t="s">
        <v>131</v>
      </c>
      <c r="Y1112" s="7" t="s">
        <v>2706</v>
      </c>
      <c r="Z1112" s="7" t="s">
        <v>2707</v>
      </c>
      <c r="AA1112" s="7"/>
      <c r="AB1112" s="7"/>
      <c r="AC1112" s="7" t="s">
        <v>127</v>
      </c>
      <c r="AD1112" s="7"/>
      <c r="AE1112" s="7" t="s">
        <v>2708</v>
      </c>
      <c r="AF1112" s="7" t="s">
        <v>50</v>
      </c>
      <c r="AG1112" s="7" t="s">
        <v>134</v>
      </c>
      <c r="AH1112" s="7" t="s">
        <v>135</v>
      </c>
    </row>
    <row r="1113" spans="1:34" ht="9.75" customHeight="1" x14ac:dyDescent="0.2">
      <c r="A1113" s="7" t="s">
        <v>37</v>
      </c>
      <c r="B1113" s="7" t="s">
        <v>38</v>
      </c>
      <c r="C1113" s="7"/>
      <c r="D1113" s="7" t="s">
        <v>2709</v>
      </c>
      <c r="E1113" s="8">
        <v>1</v>
      </c>
      <c r="F1113" s="7" t="s">
        <v>41</v>
      </c>
      <c r="G1113" s="7"/>
      <c r="H1113" s="9"/>
      <c r="I1113" s="9"/>
      <c r="J1113" s="9"/>
      <c r="K1113" s="9"/>
      <c r="L1113" s="10">
        <v>1100</v>
      </c>
      <c r="M1113" s="9"/>
      <c r="N1113" s="10">
        <v>1100</v>
      </c>
      <c r="O1113" s="9"/>
      <c r="P1113" s="10"/>
      <c r="Q1113" s="10"/>
      <c r="R1113" s="10"/>
      <c r="S1113" s="7" t="s">
        <v>407</v>
      </c>
      <c r="T1113" s="7" t="s">
        <v>2638</v>
      </c>
      <c r="U1113" s="7" t="s">
        <v>44</v>
      </c>
      <c r="V1113" s="7" t="s">
        <v>45</v>
      </c>
      <c r="W1113" s="7" t="s">
        <v>130</v>
      </c>
      <c r="X1113" s="7" t="s">
        <v>131</v>
      </c>
      <c r="Y1113" s="7" t="s">
        <v>2710</v>
      </c>
      <c r="Z1113" s="7" t="s">
        <v>2707</v>
      </c>
      <c r="AA1113" s="7"/>
      <c r="AB1113" s="7"/>
      <c r="AC1113" s="7" t="s">
        <v>127</v>
      </c>
      <c r="AD1113" s="7"/>
      <c r="AE1113" s="7" t="s">
        <v>2711</v>
      </c>
      <c r="AF1113" s="7" t="s">
        <v>50</v>
      </c>
      <c r="AG1113" s="7" t="s">
        <v>134</v>
      </c>
      <c r="AH1113" s="7" t="s">
        <v>135</v>
      </c>
    </row>
    <row r="1114" spans="1:34" ht="9.75" customHeight="1" x14ac:dyDescent="0.2">
      <c r="A1114" s="7" t="s">
        <v>37</v>
      </c>
      <c r="B1114" s="7" t="s">
        <v>38</v>
      </c>
      <c r="C1114" s="7"/>
      <c r="D1114" s="7" t="s">
        <v>2712</v>
      </c>
      <c r="E1114" s="8">
        <v>1</v>
      </c>
      <c r="F1114" s="7" t="s">
        <v>41</v>
      </c>
      <c r="G1114" s="7"/>
      <c r="H1114" s="9"/>
      <c r="I1114" s="9"/>
      <c r="J1114" s="9"/>
      <c r="K1114" s="9"/>
      <c r="L1114" s="10">
        <v>12446</v>
      </c>
      <c r="M1114" s="9"/>
      <c r="N1114" s="10">
        <v>12446</v>
      </c>
      <c r="O1114" s="9"/>
      <c r="P1114" s="10"/>
      <c r="Q1114" s="10"/>
      <c r="R1114" s="10"/>
      <c r="S1114" s="7" t="s">
        <v>407</v>
      </c>
      <c r="T1114" s="7" t="s">
        <v>2638</v>
      </c>
      <c r="U1114" s="7" t="s">
        <v>44</v>
      </c>
      <c r="V1114" s="7" t="s">
        <v>45</v>
      </c>
      <c r="W1114" s="7" t="s">
        <v>130</v>
      </c>
      <c r="X1114" s="7" t="s">
        <v>131</v>
      </c>
      <c r="Y1114" s="7" t="s">
        <v>2713</v>
      </c>
      <c r="Z1114" s="7" t="s">
        <v>2707</v>
      </c>
      <c r="AA1114" s="7"/>
      <c r="AB1114" s="7"/>
      <c r="AC1114" s="7" t="s">
        <v>127</v>
      </c>
      <c r="AD1114" s="7"/>
      <c r="AE1114" s="7" t="s">
        <v>2714</v>
      </c>
      <c r="AF1114" s="7" t="s">
        <v>50</v>
      </c>
      <c r="AG1114" s="7" t="s">
        <v>134</v>
      </c>
      <c r="AH1114" s="7" t="s">
        <v>135</v>
      </c>
    </row>
    <row r="1115" spans="1:34" ht="9.75" customHeight="1" x14ac:dyDescent="0.2">
      <c r="A1115" s="7" t="s">
        <v>37</v>
      </c>
      <c r="B1115" s="7" t="s">
        <v>38</v>
      </c>
      <c r="C1115" s="7"/>
      <c r="D1115" s="7" t="s">
        <v>2715</v>
      </c>
      <c r="E1115" s="8">
        <v>1</v>
      </c>
      <c r="F1115" s="7" t="s">
        <v>41</v>
      </c>
      <c r="G1115" s="7"/>
      <c r="H1115" s="9"/>
      <c r="I1115" s="9"/>
      <c r="J1115" s="9"/>
      <c r="K1115" s="9"/>
      <c r="L1115" s="10">
        <v>16390</v>
      </c>
      <c r="M1115" s="9"/>
      <c r="N1115" s="10">
        <v>16390</v>
      </c>
      <c r="O1115" s="9"/>
      <c r="P1115" s="10"/>
      <c r="Q1115" s="10"/>
      <c r="R1115" s="10"/>
      <c r="S1115" s="7" t="s">
        <v>407</v>
      </c>
      <c r="T1115" s="7" t="s">
        <v>2638</v>
      </c>
      <c r="U1115" s="7" t="s">
        <v>44</v>
      </c>
      <c r="V1115" s="7" t="s">
        <v>45</v>
      </c>
      <c r="W1115" s="7" t="s">
        <v>130</v>
      </c>
      <c r="X1115" s="7" t="s">
        <v>131</v>
      </c>
      <c r="Y1115" s="7" t="s">
        <v>2716</v>
      </c>
      <c r="Z1115" s="7" t="s">
        <v>2707</v>
      </c>
      <c r="AA1115" s="7"/>
      <c r="AB1115" s="7"/>
      <c r="AC1115" s="7" t="s">
        <v>127</v>
      </c>
      <c r="AD1115" s="7"/>
      <c r="AE1115" s="7"/>
      <c r="AF1115" s="7" t="s">
        <v>50</v>
      </c>
      <c r="AG1115" s="7" t="s">
        <v>134</v>
      </c>
      <c r="AH1115" s="7" t="s">
        <v>135</v>
      </c>
    </row>
    <row r="1116" spans="1:34" ht="9.75" customHeight="1" x14ac:dyDescent="0.2">
      <c r="A1116" s="7" t="s">
        <v>37</v>
      </c>
      <c r="B1116" s="7" t="s">
        <v>38</v>
      </c>
      <c r="C1116" s="7"/>
      <c r="D1116" s="7" t="s">
        <v>2717</v>
      </c>
      <c r="E1116" s="8">
        <v>1</v>
      </c>
      <c r="F1116" s="7" t="s">
        <v>41</v>
      </c>
      <c r="G1116" s="7"/>
      <c r="H1116" s="9"/>
      <c r="I1116" s="9"/>
      <c r="J1116" s="9"/>
      <c r="K1116" s="9"/>
      <c r="L1116" s="10">
        <v>7500</v>
      </c>
      <c r="M1116" s="9"/>
      <c r="N1116" s="10">
        <v>7500</v>
      </c>
      <c r="O1116" s="9"/>
      <c r="P1116" s="10"/>
      <c r="Q1116" s="10"/>
      <c r="R1116" s="10"/>
      <c r="S1116" s="7" t="s">
        <v>407</v>
      </c>
      <c r="T1116" s="7" t="s">
        <v>2638</v>
      </c>
      <c r="U1116" s="7" t="s">
        <v>44</v>
      </c>
      <c r="V1116" s="7" t="s">
        <v>45</v>
      </c>
      <c r="W1116" s="7" t="s">
        <v>130</v>
      </c>
      <c r="X1116" s="7" t="s">
        <v>131</v>
      </c>
      <c r="Y1116" s="7" t="s">
        <v>2718</v>
      </c>
      <c r="Z1116" s="7" t="s">
        <v>2707</v>
      </c>
      <c r="AA1116" s="7"/>
      <c r="AB1116" s="7"/>
      <c r="AC1116" s="7" t="s">
        <v>127</v>
      </c>
      <c r="AD1116" s="7"/>
      <c r="AE1116" s="7" t="s">
        <v>2719</v>
      </c>
      <c r="AF1116" s="7" t="s">
        <v>50</v>
      </c>
      <c r="AG1116" s="7" t="s">
        <v>134</v>
      </c>
      <c r="AH1116" s="7" t="s">
        <v>135</v>
      </c>
    </row>
    <row r="1117" spans="1:34" ht="9.75" customHeight="1" x14ac:dyDescent="0.2">
      <c r="A1117" s="7" t="s">
        <v>37</v>
      </c>
      <c r="B1117" s="7" t="s">
        <v>38</v>
      </c>
      <c r="C1117" s="7"/>
      <c r="D1117" s="7" t="s">
        <v>2720</v>
      </c>
      <c r="E1117" s="8">
        <v>1</v>
      </c>
      <c r="F1117" s="7" t="s">
        <v>41</v>
      </c>
      <c r="G1117" s="7"/>
      <c r="H1117" s="9"/>
      <c r="I1117" s="9"/>
      <c r="J1117" s="9"/>
      <c r="K1117" s="9"/>
      <c r="L1117" s="10">
        <v>248596</v>
      </c>
      <c r="M1117" s="9"/>
      <c r="N1117" s="10">
        <v>248596</v>
      </c>
      <c r="O1117" s="9"/>
      <c r="P1117" s="10"/>
      <c r="Q1117" s="10"/>
      <c r="R1117" s="10"/>
      <c r="S1117" s="7" t="s">
        <v>407</v>
      </c>
      <c r="T1117" s="7" t="s">
        <v>2638</v>
      </c>
      <c r="U1117" s="7" t="s">
        <v>44</v>
      </c>
      <c r="V1117" s="7" t="s">
        <v>45</v>
      </c>
      <c r="W1117" s="7" t="s">
        <v>130</v>
      </c>
      <c r="X1117" s="7" t="s">
        <v>131</v>
      </c>
      <c r="Y1117" s="7" t="s">
        <v>2721</v>
      </c>
      <c r="Z1117" s="7" t="s">
        <v>2722</v>
      </c>
      <c r="AA1117" s="7"/>
      <c r="AB1117" s="7"/>
      <c r="AC1117" s="7" t="s">
        <v>127</v>
      </c>
      <c r="AD1117" s="7"/>
      <c r="AE1117" s="7" t="s">
        <v>2723</v>
      </c>
      <c r="AF1117" s="7" t="s">
        <v>50</v>
      </c>
      <c r="AG1117" s="7" t="s">
        <v>134</v>
      </c>
      <c r="AH1117" s="7" t="s">
        <v>135</v>
      </c>
    </row>
    <row r="1118" spans="1:34" ht="9.75" customHeight="1" x14ac:dyDescent="0.2">
      <c r="A1118" s="7" t="s">
        <v>37</v>
      </c>
      <c r="B1118" s="7" t="s">
        <v>38</v>
      </c>
      <c r="C1118" s="7"/>
      <c r="D1118" s="7" t="s">
        <v>2724</v>
      </c>
      <c r="E1118" s="8">
        <v>1</v>
      </c>
      <c r="F1118" s="7" t="s">
        <v>41</v>
      </c>
      <c r="G1118" s="7"/>
      <c r="H1118" s="9"/>
      <c r="I1118" s="9"/>
      <c r="J1118" s="9"/>
      <c r="K1118" s="9"/>
      <c r="L1118" s="10">
        <v>13795</v>
      </c>
      <c r="M1118" s="9"/>
      <c r="N1118" s="10">
        <v>13795</v>
      </c>
      <c r="O1118" s="9"/>
      <c r="P1118" s="10"/>
      <c r="Q1118" s="10"/>
      <c r="R1118" s="10"/>
      <c r="S1118" s="7" t="s">
        <v>407</v>
      </c>
      <c r="T1118" s="7" t="s">
        <v>2638</v>
      </c>
      <c r="U1118" s="7" t="s">
        <v>44</v>
      </c>
      <c r="V1118" s="7" t="s">
        <v>45</v>
      </c>
      <c r="W1118" s="7" t="s">
        <v>130</v>
      </c>
      <c r="X1118" s="7" t="s">
        <v>131</v>
      </c>
      <c r="Y1118" s="7" t="s">
        <v>2725</v>
      </c>
      <c r="Z1118" s="7" t="s">
        <v>2722</v>
      </c>
      <c r="AA1118" s="7"/>
      <c r="AB1118" s="7"/>
      <c r="AC1118" s="7" t="s">
        <v>127</v>
      </c>
      <c r="AD1118" s="7"/>
      <c r="AE1118" s="7" t="s">
        <v>2726</v>
      </c>
      <c r="AF1118" s="7" t="s">
        <v>50</v>
      </c>
      <c r="AG1118" s="7" t="s">
        <v>134</v>
      </c>
      <c r="AH1118" s="7" t="s">
        <v>135</v>
      </c>
    </row>
    <row r="1119" spans="1:34" ht="9.75" customHeight="1" x14ac:dyDescent="0.2">
      <c r="A1119" s="7" t="s">
        <v>37</v>
      </c>
      <c r="B1119" s="7" t="s">
        <v>38</v>
      </c>
      <c r="C1119" s="7"/>
      <c r="D1119" s="7" t="s">
        <v>2727</v>
      </c>
      <c r="E1119" s="8">
        <v>1</v>
      </c>
      <c r="F1119" s="7" t="s">
        <v>41</v>
      </c>
      <c r="G1119" s="7"/>
      <c r="H1119" s="9"/>
      <c r="I1119" s="9"/>
      <c r="J1119" s="9"/>
      <c r="K1119" s="9"/>
      <c r="L1119" s="10">
        <v>26000</v>
      </c>
      <c r="M1119" s="9"/>
      <c r="N1119" s="10">
        <v>26000</v>
      </c>
      <c r="O1119" s="9"/>
      <c r="P1119" s="10"/>
      <c r="Q1119" s="10"/>
      <c r="R1119" s="10"/>
      <c r="S1119" s="7" t="s">
        <v>407</v>
      </c>
      <c r="T1119" s="7" t="s">
        <v>2638</v>
      </c>
      <c r="U1119" s="7" t="s">
        <v>44</v>
      </c>
      <c r="V1119" s="7" t="s">
        <v>45</v>
      </c>
      <c r="W1119" s="7" t="s">
        <v>130</v>
      </c>
      <c r="X1119" s="7" t="s">
        <v>131</v>
      </c>
      <c r="Y1119" s="7" t="s">
        <v>2728</v>
      </c>
      <c r="Z1119" s="7" t="s">
        <v>2722</v>
      </c>
      <c r="AA1119" s="7"/>
      <c r="AB1119" s="7"/>
      <c r="AC1119" s="7" t="s">
        <v>127</v>
      </c>
      <c r="AD1119" s="7"/>
      <c r="AE1119" s="7" t="s">
        <v>2729</v>
      </c>
      <c r="AF1119" s="7" t="s">
        <v>50</v>
      </c>
      <c r="AG1119" s="7" t="s">
        <v>134</v>
      </c>
      <c r="AH1119" s="7" t="s">
        <v>135</v>
      </c>
    </row>
    <row r="1120" spans="1:34" ht="9.75" customHeight="1" x14ac:dyDescent="0.2">
      <c r="A1120" s="7" t="s">
        <v>37</v>
      </c>
      <c r="B1120" s="7" t="s">
        <v>38</v>
      </c>
      <c r="C1120" s="7"/>
      <c r="D1120" s="7" t="s">
        <v>2730</v>
      </c>
      <c r="E1120" s="8">
        <v>1</v>
      </c>
      <c r="F1120" s="7" t="s">
        <v>41</v>
      </c>
      <c r="G1120" s="7"/>
      <c r="H1120" s="9"/>
      <c r="I1120" s="9"/>
      <c r="J1120" s="9"/>
      <c r="K1120" s="9"/>
      <c r="L1120" s="10">
        <v>14420</v>
      </c>
      <c r="M1120" s="9"/>
      <c r="N1120" s="10">
        <v>14420</v>
      </c>
      <c r="O1120" s="9"/>
      <c r="P1120" s="10"/>
      <c r="Q1120" s="10"/>
      <c r="R1120" s="10"/>
      <c r="S1120" s="7" t="s">
        <v>407</v>
      </c>
      <c r="T1120" s="7" t="s">
        <v>2638</v>
      </c>
      <c r="U1120" s="7" t="s">
        <v>44</v>
      </c>
      <c r="V1120" s="7" t="s">
        <v>45</v>
      </c>
      <c r="W1120" s="7" t="s">
        <v>130</v>
      </c>
      <c r="X1120" s="7" t="s">
        <v>131</v>
      </c>
      <c r="Y1120" s="7" t="s">
        <v>2731</v>
      </c>
      <c r="Z1120" s="7" t="s">
        <v>2722</v>
      </c>
      <c r="AA1120" s="7"/>
      <c r="AB1120" s="7"/>
      <c r="AC1120" s="7" t="s">
        <v>127</v>
      </c>
      <c r="AD1120" s="7"/>
      <c r="AE1120" s="7" t="s">
        <v>2732</v>
      </c>
      <c r="AF1120" s="7" t="s">
        <v>50</v>
      </c>
      <c r="AG1120" s="7" t="s">
        <v>134</v>
      </c>
      <c r="AH1120" s="7" t="s">
        <v>135</v>
      </c>
    </row>
    <row r="1121" spans="1:34" ht="9.75" customHeight="1" x14ac:dyDescent="0.2">
      <c r="A1121" s="7" t="s">
        <v>37</v>
      </c>
      <c r="B1121" s="7" t="s">
        <v>38</v>
      </c>
      <c r="C1121" s="7"/>
      <c r="D1121" s="7" t="s">
        <v>2733</v>
      </c>
      <c r="E1121" s="8">
        <v>1</v>
      </c>
      <c r="F1121" s="7" t="s">
        <v>41</v>
      </c>
      <c r="G1121" s="7"/>
      <c r="H1121" s="9"/>
      <c r="I1121" s="9"/>
      <c r="J1121" s="9"/>
      <c r="K1121" s="9"/>
      <c r="L1121" s="10">
        <v>2500</v>
      </c>
      <c r="M1121" s="9"/>
      <c r="N1121" s="10">
        <v>2500</v>
      </c>
      <c r="O1121" s="9"/>
      <c r="P1121" s="10"/>
      <c r="Q1121" s="10"/>
      <c r="R1121" s="10"/>
      <c r="S1121" s="7" t="s">
        <v>407</v>
      </c>
      <c r="T1121" s="7" t="s">
        <v>2638</v>
      </c>
      <c r="U1121" s="7" t="s">
        <v>44</v>
      </c>
      <c r="V1121" s="7" t="s">
        <v>45</v>
      </c>
      <c r="W1121" s="7" t="s">
        <v>130</v>
      </c>
      <c r="X1121" s="7" t="s">
        <v>131</v>
      </c>
      <c r="Y1121" s="7" t="s">
        <v>2734</v>
      </c>
      <c r="Z1121" s="7" t="s">
        <v>2722</v>
      </c>
      <c r="AA1121" s="7"/>
      <c r="AB1121" s="7"/>
      <c r="AC1121" s="7" t="s">
        <v>127</v>
      </c>
      <c r="AD1121" s="7"/>
      <c r="AE1121" s="7"/>
      <c r="AF1121" s="7" t="s">
        <v>50</v>
      </c>
      <c r="AG1121" s="7" t="s">
        <v>134</v>
      </c>
      <c r="AH1121" s="7" t="s">
        <v>135</v>
      </c>
    </row>
    <row r="1122" spans="1:34" ht="9.75" customHeight="1" x14ac:dyDescent="0.2">
      <c r="A1122" s="7" t="s">
        <v>37</v>
      </c>
      <c r="B1122" s="7" t="s">
        <v>38</v>
      </c>
      <c r="C1122" s="7"/>
      <c r="D1122" s="7" t="s">
        <v>2735</v>
      </c>
      <c r="E1122" s="8">
        <v>1</v>
      </c>
      <c r="F1122" s="7" t="s">
        <v>41</v>
      </c>
      <c r="G1122" s="7"/>
      <c r="H1122" s="9"/>
      <c r="I1122" s="9"/>
      <c r="J1122" s="9"/>
      <c r="K1122" s="9"/>
      <c r="L1122" s="10">
        <v>20600</v>
      </c>
      <c r="M1122" s="9"/>
      <c r="N1122" s="10">
        <v>20600</v>
      </c>
      <c r="O1122" s="9"/>
      <c r="P1122" s="10"/>
      <c r="Q1122" s="10"/>
      <c r="R1122" s="10"/>
      <c r="S1122" s="7" t="s">
        <v>407</v>
      </c>
      <c r="T1122" s="7" t="s">
        <v>2638</v>
      </c>
      <c r="U1122" s="7" t="s">
        <v>44</v>
      </c>
      <c r="V1122" s="7" t="s">
        <v>45</v>
      </c>
      <c r="W1122" s="7" t="s">
        <v>130</v>
      </c>
      <c r="X1122" s="7" t="s">
        <v>131</v>
      </c>
      <c r="Y1122" s="7" t="s">
        <v>2736</v>
      </c>
      <c r="Z1122" s="7" t="s">
        <v>2737</v>
      </c>
      <c r="AA1122" s="7"/>
      <c r="AB1122" s="7"/>
      <c r="AC1122" s="7" t="s">
        <v>127</v>
      </c>
      <c r="AD1122" s="7"/>
      <c r="AE1122" s="7"/>
      <c r="AF1122" s="7" t="s">
        <v>50</v>
      </c>
      <c r="AG1122" s="7" t="s">
        <v>134</v>
      </c>
      <c r="AH1122" s="7" t="s">
        <v>135</v>
      </c>
    </row>
    <row r="1123" spans="1:34" ht="9.75" customHeight="1" x14ac:dyDescent="0.2">
      <c r="A1123" s="7" t="s">
        <v>37</v>
      </c>
      <c r="B1123" s="7" t="s">
        <v>38</v>
      </c>
      <c r="C1123" s="7"/>
      <c r="D1123" s="7" t="s">
        <v>2738</v>
      </c>
      <c r="E1123" s="8">
        <v>1</v>
      </c>
      <c r="F1123" s="7" t="s">
        <v>41</v>
      </c>
      <c r="G1123" s="7"/>
      <c r="H1123" s="9"/>
      <c r="I1123" s="9"/>
      <c r="J1123" s="9"/>
      <c r="K1123" s="9"/>
      <c r="L1123" s="10">
        <v>6585</v>
      </c>
      <c r="M1123" s="9"/>
      <c r="N1123" s="10">
        <v>6585</v>
      </c>
      <c r="O1123" s="9"/>
      <c r="P1123" s="10"/>
      <c r="Q1123" s="10"/>
      <c r="R1123" s="10"/>
      <c r="S1123" s="7" t="s">
        <v>407</v>
      </c>
      <c r="T1123" s="7" t="s">
        <v>2638</v>
      </c>
      <c r="U1123" s="7" t="s">
        <v>44</v>
      </c>
      <c r="V1123" s="7" t="s">
        <v>45</v>
      </c>
      <c r="W1123" s="7" t="s">
        <v>130</v>
      </c>
      <c r="X1123" s="7" t="s">
        <v>131</v>
      </c>
      <c r="Y1123" s="7" t="s">
        <v>2739</v>
      </c>
      <c r="Z1123" s="7" t="s">
        <v>2737</v>
      </c>
      <c r="AA1123" s="7"/>
      <c r="AB1123" s="7"/>
      <c r="AC1123" s="7" t="s">
        <v>127</v>
      </c>
      <c r="AD1123" s="7"/>
      <c r="AE1123" s="7"/>
      <c r="AF1123" s="7" t="s">
        <v>50</v>
      </c>
      <c r="AG1123" s="7" t="s">
        <v>134</v>
      </c>
      <c r="AH1123" s="7" t="s">
        <v>135</v>
      </c>
    </row>
    <row r="1124" spans="1:34" ht="9.75" customHeight="1" x14ac:dyDescent="0.2">
      <c r="A1124" s="7" t="s">
        <v>37</v>
      </c>
      <c r="B1124" s="7" t="s">
        <v>38</v>
      </c>
      <c r="C1124" s="7"/>
      <c r="D1124" s="7" t="s">
        <v>2740</v>
      </c>
      <c r="E1124" s="8">
        <v>1</v>
      </c>
      <c r="F1124" s="7" t="s">
        <v>41</v>
      </c>
      <c r="G1124" s="7"/>
      <c r="H1124" s="9"/>
      <c r="I1124" s="9"/>
      <c r="J1124" s="9"/>
      <c r="K1124" s="9"/>
      <c r="L1124" s="10">
        <v>52777</v>
      </c>
      <c r="M1124" s="9"/>
      <c r="N1124" s="10">
        <v>52777</v>
      </c>
      <c r="O1124" s="9"/>
      <c r="P1124" s="10"/>
      <c r="Q1124" s="10"/>
      <c r="R1124" s="10"/>
      <c r="S1124" s="7" t="s">
        <v>407</v>
      </c>
      <c r="T1124" s="7" t="s">
        <v>2638</v>
      </c>
      <c r="U1124" s="7" t="s">
        <v>44</v>
      </c>
      <c r="V1124" s="7" t="s">
        <v>45</v>
      </c>
      <c r="W1124" s="7" t="s">
        <v>130</v>
      </c>
      <c r="X1124" s="7" t="s">
        <v>131</v>
      </c>
      <c r="Y1124" s="7" t="s">
        <v>2741</v>
      </c>
      <c r="Z1124" s="7" t="s">
        <v>2737</v>
      </c>
      <c r="AA1124" s="7"/>
      <c r="AB1124" s="7"/>
      <c r="AC1124" s="7" t="s">
        <v>127</v>
      </c>
      <c r="AD1124" s="7"/>
      <c r="AE1124" s="7"/>
      <c r="AF1124" s="7" t="s">
        <v>50</v>
      </c>
      <c r="AG1124" s="7" t="s">
        <v>134</v>
      </c>
      <c r="AH1124" s="7" t="s">
        <v>135</v>
      </c>
    </row>
    <row r="1125" spans="1:34" ht="9.75" customHeight="1" x14ac:dyDescent="0.2">
      <c r="A1125" s="7" t="s">
        <v>37</v>
      </c>
      <c r="B1125" s="7" t="s">
        <v>38</v>
      </c>
      <c r="C1125" s="7"/>
      <c r="D1125" s="7" t="s">
        <v>2742</v>
      </c>
      <c r="E1125" s="8">
        <v>1</v>
      </c>
      <c r="F1125" s="7" t="s">
        <v>41</v>
      </c>
      <c r="G1125" s="7"/>
      <c r="H1125" s="9"/>
      <c r="I1125" s="9"/>
      <c r="J1125" s="9"/>
      <c r="K1125" s="9"/>
      <c r="L1125" s="10">
        <v>54300</v>
      </c>
      <c r="M1125" s="9"/>
      <c r="N1125" s="10">
        <v>54300</v>
      </c>
      <c r="O1125" s="9"/>
      <c r="P1125" s="10"/>
      <c r="Q1125" s="10"/>
      <c r="R1125" s="10"/>
      <c r="S1125" s="7" t="s">
        <v>407</v>
      </c>
      <c r="T1125" s="7" t="s">
        <v>2638</v>
      </c>
      <c r="U1125" s="7" t="s">
        <v>44</v>
      </c>
      <c r="V1125" s="7" t="s">
        <v>45</v>
      </c>
      <c r="W1125" s="7" t="s">
        <v>130</v>
      </c>
      <c r="X1125" s="7" t="s">
        <v>131</v>
      </c>
      <c r="Y1125" s="7" t="s">
        <v>2743</v>
      </c>
      <c r="Z1125" s="7" t="s">
        <v>2744</v>
      </c>
      <c r="AA1125" s="7"/>
      <c r="AB1125" s="7"/>
      <c r="AC1125" s="7" t="s">
        <v>127</v>
      </c>
      <c r="AD1125" s="7"/>
      <c r="AE1125" s="7"/>
      <c r="AF1125" s="7" t="s">
        <v>50</v>
      </c>
      <c r="AG1125" s="7" t="s">
        <v>134</v>
      </c>
      <c r="AH1125" s="7" t="s">
        <v>135</v>
      </c>
    </row>
    <row r="1126" spans="1:34" ht="9.75" customHeight="1" x14ac:dyDescent="0.2">
      <c r="A1126" s="7" t="s">
        <v>37</v>
      </c>
      <c r="B1126" s="7" t="s">
        <v>38</v>
      </c>
      <c r="C1126" s="7"/>
      <c r="D1126" s="7" t="s">
        <v>2745</v>
      </c>
      <c r="E1126" s="8">
        <v>1</v>
      </c>
      <c r="F1126" s="7" t="s">
        <v>41</v>
      </c>
      <c r="G1126" s="7"/>
      <c r="H1126" s="9"/>
      <c r="I1126" s="9"/>
      <c r="J1126" s="9"/>
      <c r="K1126" s="9"/>
      <c r="L1126" s="10">
        <v>5639</v>
      </c>
      <c r="M1126" s="9"/>
      <c r="N1126" s="10">
        <v>5639</v>
      </c>
      <c r="O1126" s="9"/>
      <c r="P1126" s="10"/>
      <c r="Q1126" s="10"/>
      <c r="R1126" s="10"/>
      <c r="S1126" s="7" t="s">
        <v>407</v>
      </c>
      <c r="T1126" s="7" t="s">
        <v>2638</v>
      </c>
      <c r="U1126" s="7" t="s">
        <v>44</v>
      </c>
      <c r="V1126" s="7" t="s">
        <v>45</v>
      </c>
      <c r="W1126" s="7" t="s">
        <v>130</v>
      </c>
      <c r="X1126" s="7" t="s">
        <v>131</v>
      </c>
      <c r="Y1126" s="7" t="s">
        <v>2746</v>
      </c>
      <c r="Z1126" s="7" t="s">
        <v>2744</v>
      </c>
      <c r="AA1126" s="7"/>
      <c r="AB1126" s="7"/>
      <c r="AC1126" s="7" t="s">
        <v>127</v>
      </c>
      <c r="AD1126" s="7"/>
      <c r="AE1126" s="7"/>
      <c r="AF1126" s="7" t="s">
        <v>50</v>
      </c>
      <c r="AG1126" s="7" t="s">
        <v>134</v>
      </c>
      <c r="AH1126" s="7" t="s">
        <v>135</v>
      </c>
    </row>
    <row r="1127" spans="1:34" ht="9.75" customHeight="1" x14ac:dyDescent="0.2">
      <c r="A1127" s="7" t="s">
        <v>37</v>
      </c>
      <c r="B1127" s="7" t="s">
        <v>38</v>
      </c>
      <c r="C1127" s="7"/>
      <c r="D1127" s="7" t="s">
        <v>2747</v>
      </c>
      <c r="E1127" s="8">
        <v>1</v>
      </c>
      <c r="F1127" s="7" t="s">
        <v>41</v>
      </c>
      <c r="G1127" s="7"/>
      <c r="H1127" s="9"/>
      <c r="I1127" s="9"/>
      <c r="J1127" s="9"/>
      <c r="K1127" s="9"/>
      <c r="L1127" s="10">
        <v>45197</v>
      </c>
      <c r="M1127" s="9"/>
      <c r="N1127" s="10">
        <v>45197</v>
      </c>
      <c r="O1127" s="9"/>
      <c r="P1127" s="10"/>
      <c r="Q1127" s="10"/>
      <c r="R1127" s="10"/>
      <c r="S1127" s="7" t="s">
        <v>407</v>
      </c>
      <c r="T1127" s="7" t="s">
        <v>2638</v>
      </c>
      <c r="U1127" s="7" t="s">
        <v>44</v>
      </c>
      <c r="V1127" s="7" t="s">
        <v>45</v>
      </c>
      <c r="W1127" s="7" t="s">
        <v>130</v>
      </c>
      <c r="X1127" s="7" t="s">
        <v>131</v>
      </c>
      <c r="Y1127" s="7" t="s">
        <v>2748</v>
      </c>
      <c r="Z1127" s="7" t="s">
        <v>2744</v>
      </c>
      <c r="AA1127" s="7"/>
      <c r="AB1127" s="7"/>
      <c r="AC1127" s="7" t="s">
        <v>127</v>
      </c>
      <c r="AD1127" s="7"/>
      <c r="AE1127" s="7"/>
      <c r="AF1127" s="7" t="s">
        <v>50</v>
      </c>
      <c r="AG1127" s="7" t="s">
        <v>134</v>
      </c>
      <c r="AH1127" s="7" t="s">
        <v>135</v>
      </c>
    </row>
    <row r="1128" spans="1:34" ht="9.75" customHeight="1" x14ac:dyDescent="0.2">
      <c r="A1128" s="7" t="s">
        <v>37</v>
      </c>
      <c r="B1128" s="7" t="s">
        <v>38</v>
      </c>
      <c r="C1128" s="7"/>
      <c r="D1128" s="7" t="s">
        <v>2749</v>
      </c>
      <c r="E1128" s="8">
        <v>1</v>
      </c>
      <c r="F1128" s="7" t="s">
        <v>41</v>
      </c>
      <c r="G1128" s="7"/>
      <c r="H1128" s="9"/>
      <c r="I1128" s="9"/>
      <c r="J1128" s="9"/>
      <c r="K1128" s="9"/>
      <c r="L1128" s="10">
        <v>189573</v>
      </c>
      <c r="M1128" s="9"/>
      <c r="N1128" s="10">
        <v>189573</v>
      </c>
      <c r="O1128" s="9"/>
      <c r="P1128" s="10"/>
      <c r="Q1128" s="10"/>
      <c r="R1128" s="10"/>
      <c r="S1128" s="7" t="s">
        <v>407</v>
      </c>
      <c r="T1128" s="7" t="s">
        <v>2638</v>
      </c>
      <c r="U1128" s="7" t="s">
        <v>44</v>
      </c>
      <c r="V1128" s="7" t="s">
        <v>45</v>
      </c>
      <c r="W1128" s="7" t="s">
        <v>130</v>
      </c>
      <c r="X1128" s="7" t="s">
        <v>131</v>
      </c>
      <c r="Y1128" s="7" t="s">
        <v>2750</v>
      </c>
      <c r="Z1128" s="7" t="s">
        <v>2751</v>
      </c>
      <c r="AA1128" s="7"/>
      <c r="AB1128" s="7"/>
      <c r="AC1128" s="7" t="s">
        <v>127</v>
      </c>
      <c r="AD1128" s="7"/>
      <c r="AE1128" s="7"/>
      <c r="AF1128" s="7" t="s">
        <v>50</v>
      </c>
      <c r="AG1128" s="7" t="s">
        <v>134</v>
      </c>
      <c r="AH1128" s="7" t="s">
        <v>135</v>
      </c>
    </row>
    <row r="1129" spans="1:34" ht="9.75" customHeight="1" x14ac:dyDescent="0.2">
      <c r="A1129" s="7" t="s">
        <v>37</v>
      </c>
      <c r="B1129" s="7" t="s">
        <v>38</v>
      </c>
      <c r="C1129" s="7"/>
      <c r="D1129" s="7" t="s">
        <v>2752</v>
      </c>
      <c r="E1129" s="8">
        <v>1</v>
      </c>
      <c r="F1129" s="7" t="s">
        <v>41</v>
      </c>
      <c r="G1129" s="7"/>
      <c r="H1129" s="9"/>
      <c r="I1129" s="9"/>
      <c r="J1129" s="9"/>
      <c r="K1129" s="9"/>
      <c r="L1129" s="10">
        <v>11145</v>
      </c>
      <c r="M1129" s="9"/>
      <c r="N1129" s="10">
        <v>11145</v>
      </c>
      <c r="O1129" s="9"/>
      <c r="P1129" s="10"/>
      <c r="Q1129" s="10"/>
      <c r="R1129" s="10"/>
      <c r="S1129" s="7" t="s">
        <v>407</v>
      </c>
      <c r="T1129" s="7" t="s">
        <v>2638</v>
      </c>
      <c r="U1129" s="7" t="s">
        <v>44</v>
      </c>
      <c r="V1129" s="7" t="s">
        <v>45</v>
      </c>
      <c r="W1129" s="7" t="s">
        <v>130</v>
      </c>
      <c r="X1129" s="7" t="s">
        <v>131</v>
      </c>
      <c r="Y1129" s="7" t="s">
        <v>2753</v>
      </c>
      <c r="Z1129" s="7" t="s">
        <v>2751</v>
      </c>
      <c r="AA1129" s="7"/>
      <c r="AB1129" s="7"/>
      <c r="AC1129" s="7" t="s">
        <v>127</v>
      </c>
      <c r="AD1129" s="7"/>
      <c r="AE1129" s="7"/>
      <c r="AF1129" s="7" t="s">
        <v>50</v>
      </c>
      <c r="AG1129" s="7" t="s">
        <v>134</v>
      </c>
      <c r="AH1129" s="7" t="s">
        <v>135</v>
      </c>
    </row>
    <row r="1130" spans="1:34" ht="9.75" customHeight="1" x14ac:dyDescent="0.2">
      <c r="A1130" s="7" t="s">
        <v>37</v>
      </c>
      <c r="B1130" s="7" t="s">
        <v>38</v>
      </c>
      <c r="C1130" s="7"/>
      <c r="D1130" s="7" t="s">
        <v>2754</v>
      </c>
      <c r="E1130" s="8">
        <v>1</v>
      </c>
      <c r="F1130" s="7" t="s">
        <v>41</v>
      </c>
      <c r="G1130" s="7"/>
      <c r="H1130" s="9"/>
      <c r="I1130" s="9"/>
      <c r="J1130" s="9"/>
      <c r="K1130" s="9"/>
      <c r="L1130" s="10">
        <v>97281</v>
      </c>
      <c r="M1130" s="9"/>
      <c r="N1130" s="10">
        <v>97281</v>
      </c>
      <c r="O1130" s="9"/>
      <c r="P1130" s="10"/>
      <c r="Q1130" s="10"/>
      <c r="R1130" s="10"/>
      <c r="S1130" s="7" t="s">
        <v>407</v>
      </c>
      <c r="T1130" s="7" t="s">
        <v>2638</v>
      </c>
      <c r="U1130" s="7" t="s">
        <v>44</v>
      </c>
      <c r="V1130" s="7" t="s">
        <v>45</v>
      </c>
      <c r="W1130" s="7" t="s">
        <v>130</v>
      </c>
      <c r="X1130" s="7" t="s">
        <v>131</v>
      </c>
      <c r="Y1130" s="7" t="s">
        <v>2755</v>
      </c>
      <c r="Z1130" s="7" t="s">
        <v>2751</v>
      </c>
      <c r="AA1130" s="7"/>
      <c r="AB1130" s="7"/>
      <c r="AC1130" s="7" t="s">
        <v>127</v>
      </c>
      <c r="AD1130" s="7"/>
      <c r="AE1130" s="7"/>
      <c r="AF1130" s="7" t="s">
        <v>50</v>
      </c>
      <c r="AG1130" s="7" t="s">
        <v>134</v>
      </c>
      <c r="AH1130" s="7" t="s">
        <v>135</v>
      </c>
    </row>
    <row r="1131" spans="1:34" ht="9.75" customHeight="1" x14ac:dyDescent="0.2">
      <c r="A1131" s="7" t="s">
        <v>37</v>
      </c>
      <c r="B1131" s="7" t="s">
        <v>38</v>
      </c>
      <c r="C1131" s="7"/>
      <c r="D1131" s="7" t="s">
        <v>2756</v>
      </c>
      <c r="E1131" s="8">
        <v>1</v>
      </c>
      <c r="F1131" s="7" t="s">
        <v>41</v>
      </c>
      <c r="G1131" s="7"/>
      <c r="H1131" s="9"/>
      <c r="I1131" s="9"/>
      <c r="J1131" s="9"/>
      <c r="K1131" s="9"/>
      <c r="L1131" s="10">
        <v>12624</v>
      </c>
      <c r="M1131" s="9"/>
      <c r="N1131" s="10">
        <v>12624</v>
      </c>
      <c r="O1131" s="9"/>
      <c r="P1131" s="10"/>
      <c r="Q1131" s="10"/>
      <c r="R1131" s="10"/>
      <c r="S1131" s="7" t="s">
        <v>407</v>
      </c>
      <c r="T1131" s="7" t="s">
        <v>2638</v>
      </c>
      <c r="U1131" s="7" t="s">
        <v>44</v>
      </c>
      <c r="V1131" s="7" t="s">
        <v>45</v>
      </c>
      <c r="W1131" s="7" t="s">
        <v>130</v>
      </c>
      <c r="X1131" s="7" t="s">
        <v>131</v>
      </c>
      <c r="Y1131" s="7" t="s">
        <v>2757</v>
      </c>
      <c r="Z1131" s="7" t="s">
        <v>2758</v>
      </c>
      <c r="AA1131" s="7"/>
      <c r="AB1131" s="7"/>
      <c r="AC1131" s="7" t="s">
        <v>127</v>
      </c>
      <c r="AD1131" s="7"/>
      <c r="AE1131" s="7"/>
      <c r="AF1131" s="7" t="s">
        <v>50</v>
      </c>
      <c r="AG1131" s="7" t="s">
        <v>134</v>
      </c>
      <c r="AH1131" s="7" t="s">
        <v>135</v>
      </c>
    </row>
    <row r="1132" spans="1:34" ht="9.75" customHeight="1" x14ac:dyDescent="0.2">
      <c r="A1132" s="7" t="s">
        <v>37</v>
      </c>
      <c r="B1132" s="7" t="s">
        <v>38</v>
      </c>
      <c r="C1132" s="7"/>
      <c r="D1132" s="7" t="s">
        <v>2759</v>
      </c>
      <c r="E1132" s="8">
        <v>1</v>
      </c>
      <c r="F1132" s="7" t="s">
        <v>41</v>
      </c>
      <c r="G1132" s="7"/>
      <c r="H1132" s="9"/>
      <c r="I1132" s="9"/>
      <c r="J1132" s="9"/>
      <c r="K1132" s="9"/>
      <c r="L1132" s="10">
        <v>420</v>
      </c>
      <c r="M1132" s="9"/>
      <c r="N1132" s="10">
        <v>420</v>
      </c>
      <c r="O1132" s="9"/>
      <c r="P1132" s="10"/>
      <c r="Q1132" s="10"/>
      <c r="R1132" s="10"/>
      <c r="S1132" s="7" t="s">
        <v>407</v>
      </c>
      <c r="T1132" s="7" t="s">
        <v>2638</v>
      </c>
      <c r="U1132" s="7" t="s">
        <v>44</v>
      </c>
      <c r="V1132" s="7" t="s">
        <v>45</v>
      </c>
      <c r="W1132" s="7" t="s">
        <v>130</v>
      </c>
      <c r="X1132" s="7" t="s">
        <v>131</v>
      </c>
      <c r="Y1132" s="7" t="s">
        <v>2760</v>
      </c>
      <c r="Z1132" s="7" t="s">
        <v>2758</v>
      </c>
      <c r="AA1132" s="7"/>
      <c r="AB1132" s="7"/>
      <c r="AC1132" s="7" t="s">
        <v>127</v>
      </c>
      <c r="AD1132" s="7"/>
      <c r="AE1132" s="7"/>
      <c r="AF1132" s="7" t="s">
        <v>50</v>
      </c>
      <c r="AG1132" s="7" t="s">
        <v>134</v>
      </c>
      <c r="AH1132" s="7" t="s">
        <v>135</v>
      </c>
    </row>
    <row r="1133" spans="1:34" ht="9.75" customHeight="1" x14ac:dyDescent="0.2">
      <c r="A1133" s="7" t="s">
        <v>37</v>
      </c>
      <c r="B1133" s="7" t="s">
        <v>38</v>
      </c>
      <c r="C1133" s="7"/>
      <c r="D1133" s="7" t="s">
        <v>2761</v>
      </c>
      <c r="E1133" s="8">
        <v>1</v>
      </c>
      <c r="F1133" s="7" t="s">
        <v>41</v>
      </c>
      <c r="G1133" s="7"/>
      <c r="H1133" s="9"/>
      <c r="I1133" s="9"/>
      <c r="J1133" s="9"/>
      <c r="K1133" s="9"/>
      <c r="L1133" s="10">
        <v>3365</v>
      </c>
      <c r="M1133" s="9"/>
      <c r="N1133" s="10">
        <v>3365</v>
      </c>
      <c r="O1133" s="9"/>
      <c r="P1133" s="10"/>
      <c r="Q1133" s="10"/>
      <c r="R1133" s="10"/>
      <c r="S1133" s="7" t="s">
        <v>407</v>
      </c>
      <c r="T1133" s="7" t="s">
        <v>2638</v>
      </c>
      <c r="U1133" s="7" t="s">
        <v>44</v>
      </c>
      <c r="V1133" s="7" t="s">
        <v>45</v>
      </c>
      <c r="W1133" s="7" t="s">
        <v>130</v>
      </c>
      <c r="X1133" s="7" t="s">
        <v>131</v>
      </c>
      <c r="Y1133" s="7" t="s">
        <v>2762</v>
      </c>
      <c r="Z1133" s="7" t="s">
        <v>2758</v>
      </c>
      <c r="AA1133" s="7"/>
      <c r="AB1133" s="7"/>
      <c r="AC1133" s="7" t="s">
        <v>127</v>
      </c>
      <c r="AD1133" s="7"/>
      <c r="AE1133" s="7"/>
      <c r="AF1133" s="7" t="s">
        <v>50</v>
      </c>
      <c r="AG1133" s="7" t="s">
        <v>134</v>
      </c>
      <c r="AH1133" s="7" t="s">
        <v>135</v>
      </c>
    </row>
    <row r="1134" spans="1:34" ht="9.75" customHeight="1" x14ac:dyDescent="0.2">
      <c r="A1134" s="7" t="s">
        <v>37</v>
      </c>
      <c r="B1134" s="7" t="s">
        <v>38</v>
      </c>
      <c r="C1134" s="7"/>
      <c r="D1134" s="7" t="s">
        <v>2763</v>
      </c>
      <c r="E1134" s="8">
        <v>1</v>
      </c>
      <c r="F1134" s="7" t="s">
        <v>41</v>
      </c>
      <c r="G1134" s="7"/>
      <c r="H1134" s="9"/>
      <c r="I1134" s="9"/>
      <c r="J1134" s="9"/>
      <c r="K1134" s="9"/>
      <c r="L1134" s="10">
        <v>147453</v>
      </c>
      <c r="M1134" s="9"/>
      <c r="N1134" s="10">
        <v>147453</v>
      </c>
      <c r="O1134" s="9"/>
      <c r="P1134" s="10"/>
      <c r="Q1134" s="10"/>
      <c r="R1134" s="10"/>
      <c r="S1134" s="7" t="s">
        <v>407</v>
      </c>
      <c r="T1134" s="7" t="s">
        <v>2638</v>
      </c>
      <c r="U1134" s="7" t="s">
        <v>44</v>
      </c>
      <c r="V1134" s="7" t="s">
        <v>45</v>
      </c>
      <c r="W1134" s="7" t="s">
        <v>130</v>
      </c>
      <c r="X1134" s="7" t="s">
        <v>131</v>
      </c>
      <c r="Y1134" s="7" t="s">
        <v>2764</v>
      </c>
      <c r="Z1134" s="7" t="s">
        <v>2765</v>
      </c>
      <c r="AA1134" s="7"/>
      <c r="AB1134" s="7"/>
      <c r="AC1134" s="7" t="s">
        <v>127</v>
      </c>
      <c r="AD1134" s="7"/>
      <c r="AE1134" s="7"/>
      <c r="AF1134" s="7" t="s">
        <v>50</v>
      </c>
      <c r="AG1134" s="7" t="s">
        <v>134</v>
      </c>
      <c r="AH1134" s="7" t="s">
        <v>135</v>
      </c>
    </row>
    <row r="1135" spans="1:34" ht="9.75" customHeight="1" x14ac:dyDescent="0.2">
      <c r="A1135" s="7" t="s">
        <v>37</v>
      </c>
      <c r="B1135" s="7" t="s">
        <v>38</v>
      </c>
      <c r="C1135" s="7"/>
      <c r="D1135" s="7" t="s">
        <v>2766</v>
      </c>
      <c r="E1135" s="8">
        <v>1</v>
      </c>
      <c r="F1135" s="7" t="s">
        <v>41</v>
      </c>
      <c r="G1135" s="7"/>
      <c r="H1135" s="9"/>
      <c r="I1135" s="9"/>
      <c r="J1135" s="9"/>
      <c r="K1135" s="9"/>
      <c r="L1135" s="10">
        <v>10499</v>
      </c>
      <c r="M1135" s="9"/>
      <c r="N1135" s="10">
        <v>10499</v>
      </c>
      <c r="O1135" s="9"/>
      <c r="P1135" s="10"/>
      <c r="Q1135" s="10"/>
      <c r="R1135" s="10"/>
      <c r="S1135" s="7" t="s">
        <v>407</v>
      </c>
      <c r="T1135" s="7" t="s">
        <v>2638</v>
      </c>
      <c r="U1135" s="7" t="s">
        <v>44</v>
      </c>
      <c r="V1135" s="7" t="s">
        <v>45</v>
      </c>
      <c r="W1135" s="7" t="s">
        <v>130</v>
      </c>
      <c r="X1135" s="7" t="s">
        <v>131</v>
      </c>
      <c r="Y1135" s="7" t="s">
        <v>2767</v>
      </c>
      <c r="Z1135" s="7" t="s">
        <v>2765</v>
      </c>
      <c r="AA1135" s="7"/>
      <c r="AB1135" s="7"/>
      <c r="AC1135" s="7" t="s">
        <v>127</v>
      </c>
      <c r="AD1135" s="7"/>
      <c r="AE1135" s="7"/>
      <c r="AF1135" s="7" t="s">
        <v>50</v>
      </c>
      <c r="AG1135" s="7" t="s">
        <v>134</v>
      </c>
      <c r="AH1135" s="7" t="s">
        <v>135</v>
      </c>
    </row>
    <row r="1136" spans="1:34" ht="9.75" customHeight="1" x14ac:dyDescent="0.2">
      <c r="A1136" s="7" t="s">
        <v>37</v>
      </c>
      <c r="B1136" s="7" t="s">
        <v>38</v>
      </c>
      <c r="C1136" s="7"/>
      <c r="D1136" s="7" t="s">
        <v>2768</v>
      </c>
      <c r="E1136" s="8">
        <v>1</v>
      </c>
      <c r="F1136" s="7" t="s">
        <v>41</v>
      </c>
      <c r="G1136" s="7"/>
      <c r="H1136" s="9"/>
      <c r="I1136" s="9"/>
      <c r="J1136" s="9"/>
      <c r="K1136" s="9"/>
      <c r="L1136" s="10">
        <v>101239</v>
      </c>
      <c r="M1136" s="9"/>
      <c r="N1136" s="10">
        <v>101239</v>
      </c>
      <c r="O1136" s="9"/>
      <c r="P1136" s="10"/>
      <c r="Q1136" s="10"/>
      <c r="R1136" s="10"/>
      <c r="S1136" s="7" t="s">
        <v>407</v>
      </c>
      <c r="T1136" s="7" t="s">
        <v>2638</v>
      </c>
      <c r="U1136" s="7" t="s">
        <v>44</v>
      </c>
      <c r="V1136" s="7" t="s">
        <v>45</v>
      </c>
      <c r="W1136" s="7" t="s">
        <v>130</v>
      </c>
      <c r="X1136" s="7" t="s">
        <v>131</v>
      </c>
      <c r="Y1136" s="7" t="s">
        <v>2769</v>
      </c>
      <c r="Z1136" s="7" t="s">
        <v>2765</v>
      </c>
      <c r="AA1136" s="7"/>
      <c r="AB1136" s="7"/>
      <c r="AC1136" s="7" t="s">
        <v>127</v>
      </c>
      <c r="AD1136" s="7"/>
      <c r="AE1136" s="7"/>
      <c r="AF1136" s="7" t="s">
        <v>50</v>
      </c>
      <c r="AG1136" s="7" t="s">
        <v>134</v>
      </c>
      <c r="AH1136" s="7" t="s">
        <v>135</v>
      </c>
    </row>
    <row r="1137" spans="1:34" ht="9.75" customHeight="1" x14ac:dyDescent="0.2">
      <c r="A1137" s="7" t="s">
        <v>37</v>
      </c>
      <c r="B1137" s="7" t="s">
        <v>38</v>
      </c>
      <c r="C1137" s="7"/>
      <c r="D1137" s="7" t="s">
        <v>2770</v>
      </c>
      <c r="E1137" s="8">
        <v>1</v>
      </c>
      <c r="F1137" s="7" t="s">
        <v>41</v>
      </c>
      <c r="G1137" s="7"/>
      <c r="H1137" s="9"/>
      <c r="I1137" s="9"/>
      <c r="J1137" s="9"/>
      <c r="K1137" s="9"/>
      <c r="L1137" s="10">
        <v>259191</v>
      </c>
      <c r="M1137" s="9"/>
      <c r="N1137" s="10">
        <v>259191</v>
      </c>
      <c r="O1137" s="9"/>
      <c r="P1137" s="10"/>
      <c r="Q1137" s="10"/>
      <c r="R1137" s="10"/>
      <c r="S1137" s="7" t="s">
        <v>407</v>
      </c>
      <c r="T1137" s="7" t="s">
        <v>2638</v>
      </c>
      <c r="U1137" s="7" t="s">
        <v>44</v>
      </c>
      <c r="V1137" s="7" t="s">
        <v>45</v>
      </c>
      <c r="W1137" s="7" t="s">
        <v>130</v>
      </c>
      <c r="X1137" s="7" t="s">
        <v>131</v>
      </c>
      <c r="Y1137" s="7" t="s">
        <v>2771</v>
      </c>
      <c r="Z1137" s="7" t="s">
        <v>2765</v>
      </c>
      <c r="AA1137" s="7"/>
      <c r="AB1137" s="7"/>
      <c r="AC1137" s="7" t="s">
        <v>127</v>
      </c>
      <c r="AD1137" s="7"/>
      <c r="AE1137" s="7"/>
      <c r="AF1137" s="7" t="s">
        <v>50</v>
      </c>
      <c r="AG1137" s="7" t="s">
        <v>134</v>
      </c>
      <c r="AH1137" s="7" t="s">
        <v>135</v>
      </c>
    </row>
    <row r="1138" spans="1:34" ht="9.75" customHeight="1" x14ac:dyDescent="0.2">
      <c r="A1138" s="7" t="s">
        <v>37</v>
      </c>
      <c r="B1138" s="7" t="s">
        <v>38</v>
      </c>
      <c r="C1138" s="7"/>
      <c r="D1138" s="7" t="s">
        <v>2772</v>
      </c>
      <c r="E1138" s="8">
        <v>1</v>
      </c>
      <c r="F1138" s="7" t="s">
        <v>41</v>
      </c>
      <c r="G1138" s="7"/>
      <c r="H1138" s="9"/>
      <c r="I1138" s="9"/>
      <c r="J1138" s="9"/>
      <c r="K1138" s="9"/>
      <c r="L1138" s="10">
        <v>12973</v>
      </c>
      <c r="M1138" s="9"/>
      <c r="N1138" s="10">
        <v>12973</v>
      </c>
      <c r="O1138" s="9"/>
      <c r="P1138" s="10"/>
      <c r="Q1138" s="10"/>
      <c r="R1138" s="10"/>
      <c r="S1138" s="7" t="s">
        <v>407</v>
      </c>
      <c r="T1138" s="7" t="s">
        <v>2638</v>
      </c>
      <c r="U1138" s="7" t="s">
        <v>44</v>
      </c>
      <c r="V1138" s="7" t="s">
        <v>45</v>
      </c>
      <c r="W1138" s="7" t="s">
        <v>130</v>
      </c>
      <c r="X1138" s="7" t="s">
        <v>131</v>
      </c>
      <c r="Y1138" s="7" t="s">
        <v>2773</v>
      </c>
      <c r="Z1138" s="7" t="s">
        <v>2774</v>
      </c>
      <c r="AA1138" s="7"/>
      <c r="AB1138" s="7"/>
      <c r="AC1138" s="7" t="s">
        <v>127</v>
      </c>
      <c r="AD1138" s="7"/>
      <c r="AE1138" s="7"/>
      <c r="AF1138" s="7" t="s">
        <v>50</v>
      </c>
      <c r="AG1138" s="7" t="s">
        <v>134</v>
      </c>
      <c r="AH1138" s="7" t="s">
        <v>135</v>
      </c>
    </row>
    <row r="1139" spans="1:34" ht="9.75" customHeight="1" x14ac:dyDescent="0.2">
      <c r="A1139" s="7" t="s">
        <v>37</v>
      </c>
      <c r="B1139" s="7" t="s">
        <v>38</v>
      </c>
      <c r="C1139" s="7"/>
      <c r="D1139" s="7" t="s">
        <v>2775</v>
      </c>
      <c r="E1139" s="8">
        <v>1</v>
      </c>
      <c r="F1139" s="7" t="s">
        <v>41</v>
      </c>
      <c r="G1139" s="7"/>
      <c r="H1139" s="9"/>
      <c r="I1139" s="9"/>
      <c r="J1139" s="9"/>
      <c r="K1139" s="9"/>
      <c r="L1139" s="10">
        <v>1551</v>
      </c>
      <c r="M1139" s="9"/>
      <c r="N1139" s="10">
        <v>1551</v>
      </c>
      <c r="O1139" s="9"/>
      <c r="P1139" s="10"/>
      <c r="Q1139" s="10"/>
      <c r="R1139" s="10"/>
      <c r="S1139" s="7" t="s">
        <v>407</v>
      </c>
      <c r="T1139" s="7" t="s">
        <v>2638</v>
      </c>
      <c r="U1139" s="7" t="s">
        <v>44</v>
      </c>
      <c r="V1139" s="7" t="s">
        <v>45</v>
      </c>
      <c r="W1139" s="7" t="s">
        <v>130</v>
      </c>
      <c r="X1139" s="7" t="s">
        <v>131</v>
      </c>
      <c r="Y1139" s="7" t="s">
        <v>2776</v>
      </c>
      <c r="Z1139" s="7" t="s">
        <v>2774</v>
      </c>
      <c r="AA1139" s="7"/>
      <c r="AB1139" s="7"/>
      <c r="AC1139" s="7" t="s">
        <v>127</v>
      </c>
      <c r="AD1139" s="7"/>
      <c r="AE1139" s="7"/>
      <c r="AF1139" s="7" t="s">
        <v>50</v>
      </c>
      <c r="AG1139" s="7" t="s">
        <v>134</v>
      </c>
      <c r="AH1139" s="7" t="s">
        <v>135</v>
      </c>
    </row>
    <row r="1140" spans="1:34" ht="9.75" customHeight="1" x14ac:dyDescent="0.2">
      <c r="A1140" s="7" t="s">
        <v>37</v>
      </c>
      <c r="B1140" s="7" t="s">
        <v>38</v>
      </c>
      <c r="C1140" s="7"/>
      <c r="D1140" s="7" t="s">
        <v>2777</v>
      </c>
      <c r="E1140" s="8">
        <v>1</v>
      </c>
      <c r="F1140" s="7" t="s">
        <v>41</v>
      </c>
      <c r="G1140" s="7"/>
      <c r="H1140" s="9"/>
      <c r="I1140" s="9"/>
      <c r="J1140" s="9"/>
      <c r="K1140" s="9"/>
      <c r="L1140" s="10">
        <v>16928</v>
      </c>
      <c r="M1140" s="9"/>
      <c r="N1140" s="10">
        <v>16928</v>
      </c>
      <c r="O1140" s="9"/>
      <c r="P1140" s="10"/>
      <c r="Q1140" s="10"/>
      <c r="R1140" s="10"/>
      <c r="S1140" s="7" t="s">
        <v>407</v>
      </c>
      <c r="T1140" s="7" t="s">
        <v>2638</v>
      </c>
      <c r="U1140" s="7" t="s">
        <v>44</v>
      </c>
      <c r="V1140" s="7" t="s">
        <v>45</v>
      </c>
      <c r="W1140" s="7" t="s">
        <v>130</v>
      </c>
      <c r="X1140" s="7" t="s">
        <v>131</v>
      </c>
      <c r="Y1140" s="7" t="s">
        <v>2778</v>
      </c>
      <c r="Z1140" s="7" t="s">
        <v>2774</v>
      </c>
      <c r="AA1140" s="7"/>
      <c r="AB1140" s="7"/>
      <c r="AC1140" s="7" t="s">
        <v>127</v>
      </c>
      <c r="AD1140" s="7"/>
      <c r="AE1140" s="7"/>
      <c r="AF1140" s="7" t="s">
        <v>50</v>
      </c>
      <c r="AG1140" s="7" t="s">
        <v>134</v>
      </c>
      <c r="AH1140" s="7" t="s">
        <v>135</v>
      </c>
    </row>
    <row r="1141" spans="1:34" ht="9.75" customHeight="1" x14ac:dyDescent="0.2">
      <c r="A1141" s="7" t="s">
        <v>37</v>
      </c>
      <c r="B1141" s="7" t="s">
        <v>38</v>
      </c>
      <c r="C1141" s="7"/>
      <c r="D1141" s="7" t="s">
        <v>2779</v>
      </c>
      <c r="E1141" s="8">
        <v>1</v>
      </c>
      <c r="F1141" s="7" t="s">
        <v>41</v>
      </c>
      <c r="G1141" s="7"/>
      <c r="H1141" s="9"/>
      <c r="I1141" s="9"/>
      <c r="J1141" s="9"/>
      <c r="K1141" s="9"/>
      <c r="L1141" s="10">
        <v>8640</v>
      </c>
      <c r="M1141" s="9"/>
      <c r="N1141" s="10">
        <v>8640</v>
      </c>
      <c r="O1141" s="9"/>
      <c r="P1141" s="10"/>
      <c r="Q1141" s="10"/>
      <c r="R1141" s="10"/>
      <c r="S1141" s="7" t="s">
        <v>407</v>
      </c>
      <c r="T1141" s="7" t="s">
        <v>2638</v>
      </c>
      <c r="U1141" s="7" t="s">
        <v>44</v>
      </c>
      <c r="V1141" s="7" t="s">
        <v>45</v>
      </c>
      <c r="W1141" s="7" t="s">
        <v>130</v>
      </c>
      <c r="X1141" s="7" t="s">
        <v>131</v>
      </c>
      <c r="Y1141" s="7" t="s">
        <v>2780</v>
      </c>
      <c r="Z1141" s="7" t="s">
        <v>2781</v>
      </c>
      <c r="AA1141" s="7"/>
      <c r="AB1141" s="7"/>
      <c r="AC1141" s="7" t="s">
        <v>127</v>
      </c>
      <c r="AD1141" s="7"/>
      <c r="AE1141" s="7"/>
      <c r="AF1141" s="7" t="s">
        <v>50</v>
      </c>
      <c r="AG1141" s="7" t="s">
        <v>134</v>
      </c>
      <c r="AH1141" s="7" t="s">
        <v>135</v>
      </c>
    </row>
    <row r="1142" spans="1:34" ht="9.75" customHeight="1" x14ac:dyDescent="0.2">
      <c r="A1142" s="7" t="s">
        <v>37</v>
      </c>
      <c r="B1142" s="7" t="s">
        <v>38</v>
      </c>
      <c r="C1142" s="7"/>
      <c r="D1142" s="7" t="s">
        <v>2782</v>
      </c>
      <c r="E1142" s="8">
        <v>1</v>
      </c>
      <c r="F1142" s="7" t="s">
        <v>41</v>
      </c>
      <c r="G1142" s="7"/>
      <c r="H1142" s="9"/>
      <c r="I1142" s="9"/>
      <c r="J1142" s="9"/>
      <c r="K1142" s="9"/>
      <c r="L1142" s="10">
        <v>2163</v>
      </c>
      <c r="M1142" s="9"/>
      <c r="N1142" s="10">
        <v>2163</v>
      </c>
      <c r="O1142" s="9"/>
      <c r="P1142" s="10"/>
      <c r="Q1142" s="10"/>
      <c r="R1142" s="10"/>
      <c r="S1142" s="7" t="s">
        <v>407</v>
      </c>
      <c r="T1142" s="7" t="s">
        <v>2638</v>
      </c>
      <c r="U1142" s="7" t="s">
        <v>44</v>
      </c>
      <c r="V1142" s="7" t="s">
        <v>45</v>
      </c>
      <c r="W1142" s="7" t="s">
        <v>130</v>
      </c>
      <c r="X1142" s="7" t="s">
        <v>131</v>
      </c>
      <c r="Y1142" s="7" t="s">
        <v>2783</v>
      </c>
      <c r="Z1142" s="7" t="s">
        <v>2781</v>
      </c>
      <c r="AA1142" s="7"/>
      <c r="AB1142" s="7"/>
      <c r="AC1142" s="7" t="s">
        <v>127</v>
      </c>
      <c r="AD1142" s="7"/>
      <c r="AE1142" s="7"/>
      <c r="AF1142" s="7" t="s">
        <v>50</v>
      </c>
      <c r="AG1142" s="7" t="s">
        <v>134</v>
      </c>
      <c r="AH1142" s="7" t="s">
        <v>135</v>
      </c>
    </row>
    <row r="1143" spans="1:34" ht="9.75" customHeight="1" x14ac:dyDescent="0.2">
      <c r="A1143" s="7" t="s">
        <v>37</v>
      </c>
      <c r="B1143" s="7" t="s">
        <v>38</v>
      </c>
      <c r="C1143" s="7"/>
      <c r="D1143" s="7" t="s">
        <v>2784</v>
      </c>
      <c r="E1143" s="8">
        <v>1</v>
      </c>
      <c r="F1143" s="7" t="s">
        <v>41</v>
      </c>
      <c r="G1143" s="7"/>
      <c r="H1143" s="9"/>
      <c r="I1143" s="9"/>
      <c r="J1143" s="9"/>
      <c r="K1143" s="9"/>
      <c r="L1143" s="10">
        <v>17335</v>
      </c>
      <c r="M1143" s="9"/>
      <c r="N1143" s="10">
        <v>17335</v>
      </c>
      <c r="O1143" s="9"/>
      <c r="P1143" s="10"/>
      <c r="Q1143" s="10"/>
      <c r="R1143" s="10"/>
      <c r="S1143" s="7" t="s">
        <v>407</v>
      </c>
      <c r="T1143" s="7" t="s">
        <v>2638</v>
      </c>
      <c r="U1143" s="7" t="s">
        <v>44</v>
      </c>
      <c r="V1143" s="7" t="s">
        <v>45</v>
      </c>
      <c r="W1143" s="7" t="s">
        <v>130</v>
      </c>
      <c r="X1143" s="7" t="s">
        <v>131</v>
      </c>
      <c r="Y1143" s="7" t="s">
        <v>2785</v>
      </c>
      <c r="Z1143" s="7" t="s">
        <v>2781</v>
      </c>
      <c r="AA1143" s="7"/>
      <c r="AB1143" s="7"/>
      <c r="AC1143" s="7" t="s">
        <v>127</v>
      </c>
      <c r="AD1143" s="7"/>
      <c r="AE1143" s="7"/>
      <c r="AF1143" s="7" t="s">
        <v>50</v>
      </c>
      <c r="AG1143" s="7" t="s">
        <v>134</v>
      </c>
      <c r="AH1143" s="7" t="s">
        <v>135</v>
      </c>
    </row>
    <row r="1144" spans="1:34" ht="9.75" customHeight="1" x14ac:dyDescent="0.2">
      <c r="A1144" s="7" t="s">
        <v>37</v>
      </c>
      <c r="B1144" s="7" t="s">
        <v>38</v>
      </c>
      <c r="C1144" s="7"/>
      <c r="D1144" s="7" t="s">
        <v>2786</v>
      </c>
      <c r="E1144" s="8">
        <v>1</v>
      </c>
      <c r="F1144" s="7" t="s">
        <v>41</v>
      </c>
      <c r="G1144" s="7"/>
      <c r="H1144" s="9"/>
      <c r="I1144" s="9"/>
      <c r="J1144" s="9"/>
      <c r="K1144" s="9"/>
      <c r="L1144" s="10">
        <v>107</v>
      </c>
      <c r="M1144" s="9"/>
      <c r="N1144" s="10">
        <v>107</v>
      </c>
      <c r="O1144" s="9"/>
      <c r="P1144" s="10"/>
      <c r="Q1144" s="10"/>
      <c r="R1144" s="10"/>
      <c r="S1144" s="7" t="s">
        <v>407</v>
      </c>
      <c r="T1144" s="7" t="s">
        <v>2638</v>
      </c>
      <c r="U1144" s="7" t="s">
        <v>44</v>
      </c>
      <c r="V1144" s="7" t="s">
        <v>45</v>
      </c>
      <c r="W1144" s="7" t="s">
        <v>130</v>
      </c>
      <c r="X1144" s="7" t="s">
        <v>131</v>
      </c>
      <c r="Y1144" s="7" t="s">
        <v>2787</v>
      </c>
      <c r="Z1144" s="7" t="s">
        <v>2788</v>
      </c>
      <c r="AA1144" s="7"/>
      <c r="AB1144" s="7"/>
      <c r="AC1144" s="7" t="s">
        <v>127</v>
      </c>
      <c r="AD1144" s="7"/>
      <c r="AE1144" s="7"/>
      <c r="AF1144" s="7" t="s">
        <v>50</v>
      </c>
      <c r="AG1144" s="7" t="s">
        <v>134</v>
      </c>
      <c r="AH1144" s="7" t="s">
        <v>135</v>
      </c>
    </row>
    <row r="1145" spans="1:34" ht="9.75" customHeight="1" x14ac:dyDescent="0.2">
      <c r="A1145" s="7" t="s">
        <v>37</v>
      </c>
      <c r="B1145" s="7" t="s">
        <v>38</v>
      </c>
      <c r="C1145" s="7"/>
      <c r="D1145" s="7" t="s">
        <v>2789</v>
      </c>
      <c r="E1145" s="8">
        <v>1</v>
      </c>
      <c r="F1145" s="7" t="s">
        <v>41</v>
      </c>
      <c r="G1145" s="7"/>
      <c r="H1145" s="9"/>
      <c r="I1145" s="9"/>
      <c r="J1145" s="9"/>
      <c r="K1145" s="9"/>
      <c r="L1145" s="10">
        <v>858</v>
      </c>
      <c r="M1145" s="9"/>
      <c r="N1145" s="10">
        <v>858</v>
      </c>
      <c r="O1145" s="9"/>
      <c r="P1145" s="10"/>
      <c r="Q1145" s="10"/>
      <c r="R1145" s="10"/>
      <c r="S1145" s="7" t="s">
        <v>407</v>
      </c>
      <c r="T1145" s="7" t="s">
        <v>2638</v>
      </c>
      <c r="U1145" s="7" t="s">
        <v>44</v>
      </c>
      <c r="V1145" s="7" t="s">
        <v>45</v>
      </c>
      <c r="W1145" s="7" t="s">
        <v>130</v>
      </c>
      <c r="X1145" s="7" t="s">
        <v>131</v>
      </c>
      <c r="Y1145" s="7" t="s">
        <v>2790</v>
      </c>
      <c r="Z1145" s="7" t="s">
        <v>2788</v>
      </c>
      <c r="AA1145" s="7"/>
      <c r="AB1145" s="7"/>
      <c r="AC1145" s="7" t="s">
        <v>127</v>
      </c>
      <c r="AD1145" s="7"/>
      <c r="AE1145" s="7"/>
      <c r="AF1145" s="7" t="s">
        <v>50</v>
      </c>
      <c r="AG1145" s="7" t="s">
        <v>134</v>
      </c>
      <c r="AH1145" s="7" t="s">
        <v>135</v>
      </c>
    </row>
    <row r="1146" spans="1:34" ht="9.75" customHeight="1" x14ac:dyDescent="0.2">
      <c r="A1146" s="7" t="s">
        <v>37</v>
      </c>
      <c r="B1146" s="7" t="s">
        <v>38</v>
      </c>
      <c r="C1146" s="7"/>
      <c r="D1146" s="7" t="s">
        <v>2791</v>
      </c>
      <c r="E1146" s="8">
        <v>1</v>
      </c>
      <c r="F1146" s="7" t="s">
        <v>41</v>
      </c>
      <c r="G1146" s="7"/>
      <c r="H1146" s="9"/>
      <c r="I1146" s="9"/>
      <c r="J1146" s="9"/>
      <c r="K1146" s="9"/>
      <c r="L1146" s="10">
        <v>42801</v>
      </c>
      <c r="M1146" s="9"/>
      <c r="N1146" s="10">
        <v>42801</v>
      </c>
      <c r="O1146" s="9"/>
      <c r="P1146" s="10"/>
      <c r="Q1146" s="10"/>
      <c r="R1146" s="10"/>
      <c r="S1146" s="7" t="s">
        <v>407</v>
      </c>
      <c r="T1146" s="7" t="s">
        <v>2638</v>
      </c>
      <c r="U1146" s="7" t="s">
        <v>44</v>
      </c>
      <c r="V1146" s="7" t="s">
        <v>45</v>
      </c>
      <c r="W1146" s="7" t="s">
        <v>130</v>
      </c>
      <c r="X1146" s="7" t="s">
        <v>131</v>
      </c>
      <c r="Y1146" s="7" t="s">
        <v>2792</v>
      </c>
      <c r="Z1146" s="7" t="s">
        <v>2793</v>
      </c>
      <c r="AA1146" s="7"/>
      <c r="AB1146" s="7"/>
      <c r="AC1146" s="7" t="s">
        <v>127</v>
      </c>
      <c r="AD1146" s="7"/>
      <c r="AE1146" s="7"/>
      <c r="AF1146" s="7" t="s">
        <v>50</v>
      </c>
      <c r="AG1146" s="7" t="s">
        <v>134</v>
      </c>
      <c r="AH1146" s="7" t="s">
        <v>135</v>
      </c>
    </row>
    <row r="1147" spans="1:34" ht="9.75" customHeight="1" x14ac:dyDescent="0.2">
      <c r="A1147" s="7" t="s">
        <v>37</v>
      </c>
      <c r="B1147" s="7" t="s">
        <v>38</v>
      </c>
      <c r="C1147" s="7"/>
      <c r="D1147" s="7" t="s">
        <v>2794</v>
      </c>
      <c r="E1147" s="8">
        <v>1</v>
      </c>
      <c r="F1147" s="7" t="s">
        <v>41</v>
      </c>
      <c r="G1147" s="7"/>
      <c r="H1147" s="9"/>
      <c r="I1147" s="9"/>
      <c r="J1147" s="9"/>
      <c r="K1147" s="9"/>
      <c r="L1147" s="10">
        <v>8256</v>
      </c>
      <c r="M1147" s="9"/>
      <c r="N1147" s="10">
        <v>8256</v>
      </c>
      <c r="O1147" s="9"/>
      <c r="P1147" s="10"/>
      <c r="Q1147" s="10"/>
      <c r="R1147" s="10"/>
      <c r="S1147" s="7" t="s">
        <v>407</v>
      </c>
      <c r="T1147" s="7" t="s">
        <v>2638</v>
      </c>
      <c r="U1147" s="7" t="s">
        <v>44</v>
      </c>
      <c r="V1147" s="7" t="s">
        <v>45</v>
      </c>
      <c r="W1147" s="7" t="s">
        <v>130</v>
      </c>
      <c r="X1147" s="7" t="s">
        <v>131</v>
      </c>
      <c r="Y1147" s="7" t="s">
        <v>2795</v>
      </c>
      <c r="Z1147" s="7" t="s">
        <v>2793</v>
      </c>
      <c r="AA1147" s="7"/>
      <c r="AB1147" s="7"/>
      <c r="AC1147" s="7" t="s">
        <v>127</v>
      </c>
      <c r="AD1147" s="7"/>
      <c r="AE1147" s="7"/>
      <c r="AF1147" s="7" t="s">
        <v>50</v>
      </c>
      <c r="AG1147" s="7" t="s">
        <v>134</v>
      </c>
      <c r="AH1147" s="7" t="s">
        <v>135</v>
      </c>
    </row>
    <row r="1148" spans="1:34" ht="9.75" customHeight="1" x14ac:dyDescent="0.2">
      <c r="A1148" s="7" t="s">
        <v>37</v>
      </c>
      <c r="B1148" s="7" t="s">
        <v>38</v>
      </c>
      <c r="C1148" s="7"/>
      <c r="D1148" s="7" t="s">
        <v>2796</v>
      </c>
      <c r="E1148" s="8">
        <v>1</v>
      </c>
      <c r="F1148" s="7" t="s">
        <v>41</v>
      </c>
      <c r="G1148" s="7"/>
      <c r="H1148" s="9"/>
      <c r="I1148" s="9"/>
      <c r="J1148" s="9"/>
      <c r="K1148" s="9"/>
      <c r="L1148" s="10">
        <v>66172</v>
      </c>
      <c r="M1148" s="9"/>
      <c r="N1148" s="10">
        <v>66172</v>
      </c>
      <c r="O1148" s="9"/>
      <c r="P1148" s="10"/>
      <c r="Q1148" s="10"/>
      <c r="R1148" s="10"/>
      <c r="S1148" s="7" t="s">
        <v>407</v>
      </c>
      <c r="T1148" s="7" t="s">
        <v>2638</v>
      </c>
      <c r="U1148" s="7" t="s">
        <v>44</v>
      </c>
      <c r="V1148" s="7" t="s">
        <v>45</v>
      </c>
      <c r="W1148" s="7" t="s">
        <v>130</v>
      </c>
      <c r="X1148" s="7" t="s">
        <v>131</v>
      </c>
      <c r="Y1148" s="7" t="s">
        <v>2797</v>
      </c>
      <c r="Z1148" s="7" t="s">
        <v>2793</v>
      </c>
      <c r="AA1148" s="7"/>
      <c r="AB1148" s="7"/>
      <c r="AC1148" s="7" t="s">
        <v>2798</v>
      </c>
      <c r="AD1148" s="7"/>
      <c r="AE1148" s="7"/>
      <c r="AF1148" s="7" t="s">
        <v>113</v>
      </c>
      <c r="AG1148" s="7" t="s">
        <v>366</v>
      </c>
      <c r="AH1148" s="7"/>
    </row>
    <row r="1149" spans="1:34" ht="9.75" customHeight="1" x14ac:dyDescent="0.2">
      <c r="A1149" s="7" t="s">
        <v>37</v>
      </c>
      <c r="B1149" s="7" t="s">
        <v>38</v>
      </c>
      <c r="C1149" s="7"/>
      <c r="D1149" s="7" t="s">
        <v>2799</v>
      </c>
      <c r="E1149" s="8">
        <v>1</v>
      </c>
      <c r="F1149" s="7" t="s">
        <v>41</v>
      </c>
      <c r="G1149" s="7"/>
      <c r="H1149" s="9"/>
      <c r="I1149" s="9"/>
      <c r="J1149" s="9"/>
      <c r="K1149" s="9"/>
      <c r="L1149" s="10">
        <v>6800</v>
      </c>
      <c r="M1149" s="9"/>
      <c r="N1149" s="10">
        <v>6800</v>
      </c>
      <c r="O1149" s="9"/>
      <c r="P1149" s="10"/>
      <c r="Q1149" s="10"/>
      <c r="R1149" s="10"/>
      <c r="S1149" s="7" t="s">
        <v>407</v>
      </c>
      <c r="T1149" s="7" t="s">
        <v>2638</v>
      </c>
      <c r="U1149" s="7" t="s">
        <v>44</v>
      </c>
      <c r="V1149" s="7" t="s">
        <v>45</v>
      </c>
      <c r="W1149" s="7" t="s">
        <v>130</v>
      </c>
      <c r="X1149" s="7" t="s">
        <v>131</v>
      </c>
      <c r="Y1149" s="7" t="s">
        <v>2800</v>
      </c>
      <c r="Z1149" s="7" t="s">
        <v>2801</v>
      </c>
      <c r="AA1149" s="7"/>
      <c r="AB1149" s="7"/>
      <c r="AC1149" s="7" t="s">
        <v>127</v>
      </c>
      <c r="AD1149" s="7"/>
      <c r="AE1149" s="7"/>
      <c r="AF1149" s="7" t="s">
        <v>50</v>
      </c>
      <c r="AG1149" s="7" t="s">
        <v>134</v>
      </c>
      <c r="AH1149" s="7" t="s">
        <v>135</v>
      </c>
    </row>
    <row r="1150" spans="1:34" ht="9.75" customHeight="1" x14ac:dyDescent="0.2">
      <c r="A1150" s="7" t="s">
        <v>37</v>
      </c>
      <c r="B1150" s="7" t="s">
        <v>38</v>
      </c>
      <c r="C1150" s="7"/>
      <c r="D1150" s="7" t="s">
        <v>2802</v>
      </c>
      <c r="E1150" s="8">
        <v>1</v>
      </c>
      <c r="F1150" s="7" t="s">
        <v>41</v>
      </c>
      <c r="G1150" s="7"/>
      <c r="H1150" s="9"/>
      <c r="I1150" s="9"/>
      <c r="J1150" s="9"/>
      <c r="K1150" s="9"/>
      <c r="L1150" s="10">
        <v>1000</v>
      </c>
      <c r="M1150" s="9"/>
      <c r="N1150" s="10">
        <v>1000</v>
      </c>
      <c r="O1150" s="9"/>
      <c r="P1150" s="10"/>
      <c r="Q1150" s="10"/>
      <c r="R1150" s="10"/>
      <c r="S1150" s="7" t="s">
        <v>407</v>
      </c>
      <c r="T1150" s="7" t="s">
        <v>2638</v>
      </c>
      <c r="U1150" s="7" t="s">
        <v>44</v>
      </c>
      <c r="V1150" s="7" t="s">
        <v>45</v>
      </c>
      <c r="W1150" s="7" t="s">
        <v>130</v>
      </c>
      <c r="X1150" s="7" t="s">
        <v>131</v>
      </c>
      <c r="Y1150" s="7" t="s">
        <v>2803</v>
      </c>
      <c r="Z1150" s="7" t="s">
        <v>2801</v>
      </c>
      <c r="AA1150" s="7"/>
      <c r="AB1150" s="7"/>
      <c r="AC1150" s="7" t="s">
        <v>127</v>
      </c>
      <c r="AD1150" s="7"/>
      <c r="AE1150" s="7"/>
      <c r="AF1150" s="7" t="s">
        <v>50</v>
      </c>
      <c r="AG1150" s="7" t="s">
        <v>134</v>
      </c>
      <c r="AH1150" s="7" t="s">
        <v>135</v>
      </c>
    </row>
    <row r="1151" spans="1:34" ht="9.75" customHeight="1" x14ac:dyDescent="0.2">
      <c r="A1151" s="7" t="s">
        <v>37</v>
      </c>
      <c r="B1151" s="7" t="s">
        <v>38</v>
      </c>
      <c r="C1151" s="7"/>
      <c r="D1151" s="7" t="s">
        <v>2804</v>
      </c>
      <c r="E1151" s="8">
        <v>1</v>
      </c>
      <c r="F1151" s="7" t="s">
        <v>41</v>
      </c>
      <c r="G1151" s="7"/>
      <c r="H1151" s="9"/>
      <c r="I1151" s="9"/>
      <c r="J1151" s="9"/>
      <c r="K1151" s="9"/>
      <c r="L1151" s="10">
        <v>15906</v>
      </c>
      <c r="M1151" s="9"/>
      <c r="N1151" s="10">
        <v>15906</v>
      </c>
      <c r="O1151" s="9"/>
      <c r="P1151" s="10"/>
      <c r="Q1151" s="10"/>
      <c r="R1151" s="10"/>
      <c r="S1151" s="7" t="s">
        <v>407</v>
      </c>
      <c r="T1151" s="7" t="s">
        <v>2638</v>
      </c>
      <c r="U1151" s="7" t="s">
        <v>44</v>
      </c>
      <c r="V1151" s="7" t="s">
        <v>45</v>
      </c>
      <c r="W1151" s="7" t="s">
        <v>130</v>
      </c>
      <c r="X1151" s="7" t="s">
        <v>131</v>
      </c>
      <c r="Y1151" s="7" t="s">
        <v>2805</v>
      </c>
      <c r="Z1151" s="7" t="s">
        <v>2806</v>
      </c>
      <c r="AA1151" s="7"/>
      <c r="AB1151" s="7"/>
      <c r="AC1151" s="7" t="s">
        <v>127</v>
      </c>
      <c r="AD1151" s="7"/>
      <c r="AE1151" s="7"/>
      <c r="AF1151" s="7" t="s">
        <v>50</v>
      </c>
      <c r="AG1151" s="7" t="s">
        <v>134</v>
      </c>
      <c r="AH1151" s="7" t="s">
        <v>135</v>
      </c>
    </row>
    <row r="1152" spans="1:34" ht="9.75" customHeight="1" x14ac:dyDescent="0.2">
      <c r="A1152" s="7" t="s">
        <v>37</v>
      </c>
      <c r="B1152" s="7" t="s">
        <v>38</v>
      </c>
      <c r="C1152" s="7"/>
      <c r="D1152" s="7" t="s">
        <v>2807</v>
      </c>
      <c r="E1152" s="8">
        <v>1</v>
      </c>
      <c r="F1152" s="7" t="s">
        <v>41</v>
      </c>
      <c r="G1152" s="7"/>
      <c r="H1152" s="9"/>
      <c r="I1152" s="9"/>
      <c r="J1152" s="9"/>
      <c r="K1152" s="9"/>
      <c r="L1152" s="10">
        <v>935</v>
      </c>
      <c r="M1152" s="9"/>
      <c r="N1152" s="10">
        <v>935</v>
      </c>
      <c r="O1152" s="9"/>
      <c r="P1152" s="10"/>
      <c r="Q1152" s="10"/>
      <c r="R1152" s="10"/>
      <c r="S1152" s="7" t="s">
        <v>407</v>
      </c>
      <c r="T1152" s="7" t="s">
        <v>2638</v>
      </c>
      <c r="U1152" s="7" t="s">
        <v>44</v>
      </c>
      <c r="V1152" s="7" t="s">
        <v>45</v>
      </c>
      <c r="W1152" s="7" t="s">
        <v>130</v>
      </c>
      <c r="X1152" s="7" t="s">
        <v>131</v>
      </c>
      <c r="Y1152" s="7" t="s">
        <v>2808</v>
      </c>
      <c r="Z1152" s="7" t="s">
        <v>2806</v>
      </c>
      <c r="AA1152" s="7"/>
      <c r="AB1152" s="7"/>
      <c r="AC1152" s="7" t="s">
        <v>127</v>
      </c>
      <c r="AD1152" s="7"/>
      <c r="AE1152" s="7"/>
      <c r="AF1152" s="7" t="s">
        <v>50</v>
      </c>
      <c r="AG1152" s="7" t="s">
        <v>134</v>
      </c>
      <c r="AH1152" s="7" t="s">
        <v>135</v>
      </c>
    </row>
    <row r="1153" spans="1:34" ht="9.75" customHeight="1" x14ac:dyDescent="0.2">
      <c r="A1153" s="7" t="s">
        <v>37</v>
      </c>
      <c r="B1153" s="7" t="s">
        <v>38</v>
      </c>
      <c r="C1153" s="7"/>
      <c r="D1153" s="7" t="s">
        <v>2809</v>
      </c>
      <c r="E1153" s="8">
        <v>1</v>
      </c>
      <c r="F1153" s="7" t="s">
        <v>41</v>
      </c>
      <c r="G1153" s="7"/>
      <c r="H1153" s="9"/>
      <c r="I1153" s="9"/>
      <c r="J1153" s="9"/>
      <c r="K1153" s="9"/>
      <c r="L1153" s="10">
        <v>841</v>
      </c>
      <c r="M1153" s="9"/>
      <c r="N1153" s="10">
        <v>841</v>
      </c>
      <c r="O1153" s="9"/>
      <c r="P1153" s="10"/>
      <c r="Q1153" s="10"/>
      <c r="R1153" s="10"/>
      <c r="S1153" s="7" t="s">
        <v>407</v>
      </c>
      <c r="T1153" s="7" t="s">
        <v>2638</v>
      </c>
      <c r="U1153" s="7" t="s">
        <v>44</v>
      </c>
      <c r="V1153" s="7" t="s">
        <v>45</v>
      </c>
      <c r="W1153" s="7" t="s">
        <v>130</v>
      </c>
      <c r="X1153" s="7" t="s">
        <v>131</v>
      </c>
      <c r="Y1153" s="7" t="s">
        <v>2810</v>
      </c>
      <c r="Z1153" s="7" t="s">
        <v>2806</v>
      </c>
      <c r="AA1153" s="7"/>
      <c r="AB1153" s="7"/>
      <c r="AC1153" s="7" t="s">
        <v>127</v>
      </c>
      <c r="AD1153" s="7"/>
      <c r="AE1153" s="7" t="s">
        <v>2811</v>
      </c>
      <c r="AF1153" s="7" t="s">
        <v>50</v>
      </c>
      <c r="AG1153" s="7" t="s">
        <v>134</v>
      </c>
      <c r="AH1153" s="7" t="s">
        <v>135</v>
      </c>
    </row>
    <row r="1154" spans="1:34" ht="9.75" customHeight="1" x14ac:dyDescent="0.2">
      <c r="A1154" s="7" t="s">
        <v>37</v>
      </c>
      <c r="B1154" s="7" t="s">
        <v>38</v>
      </c>
      <c r="C1154" s="7"/>
      <c r="D1154" s="7" t="s">
        <v>2812</v>
      </c>
      <c r="E1154" s="8">
        <v>1</v>
      </c>
      <c r="F1154" s="7" t="s">
        <v>41</v>
      </c>
      <c r="G1154" s="7"/>
      <c r="H1154" s="9"/>
      <c r="I1154" s="9"/>
      <c r="J1154" s="9"/>
      <c r="K1154" s="9"/>
      <c r="L1154" s="10">
        <v>234670</v>
      </c>
      <c r="M1154" s="9"/>
      <c r="N1154" s="10">
        <v>234670</v>
      </c>
      <c r="O1154" s="9"/>
      <c r="P1154" s="10"/>
      <c r="Q1154" s="10"/>
      <c r="R1154" s="10"/>
      <c r="S1154" s="7" t="s">
        <v>407</v>
      </c>
      <c r="T1154" s="7" t="s">
        <v>2638</v>
      </c>
      <c r="U1154" s="7" t="s">
        <v>44</v>
      </c>
      <c r="V1154" s="7" t="s">
        <v>45</v>
      </c>
      <c r="W1154" s="7" t="s">
        <v>130</v>
      </c>
      <c r="X1154" s="7" t="s">
        <v>131</v>
      </c>
      <c r="Y1154" s="7" t="s">
        <v>2813</v>
      </c>
      <c r="Z1154" s="7" t="s">
        <v>2814</v>
      </c>
      <c r="AA1154" s="7"/>
      <c r="AB1154" s="7"/>
      <c r="AC1154" s="7" t="s">
        <v>127</v>
      </c>
      <c r="AD1154" s="7"/>
      <c r="AE1154" s="7"/>
      <c r="AF1154" s="7" t="s">
        <v>50</v>
      </c>
      <c r="AG1154" s="7" t="s">
        <v>134</v>
      </c>
      <c r="AH1154" s="7" t="s">
        <v>135</v>
      </c>
    </row>
    <row r="1155" spans="1:34" ht="9.75" customHeight="1" x14ac:dyDescent="0.2">
      <c r="A1155" s="7" t="s">
        <v>37</v>
      </c>
      <c r="B1155" s="7" t="s">
        <v>38</v>
      </c>
      <c r="C1155" s="7"/>
      <c r="D1155" s="7" t="s">
        <v>2815</v>
      </c>
      <c r="E1155" s="8">
        <v>1</v>
      </c>
      <c r="F1155" s="7" t="s">
        <v>41</v>
      </c>
      <c r="G1155" s="7"/>
      <c r="H1155" s="9"/>
      <c r="I1155" s="9"/>
      <c r="J1155" s="9"/>
      <c r="K1155" s="9"/>
      <c r="L1155" s="10">
        <v>4231</v>
      </c>
      <c r="M1155" s="9"/>
      <c r="N1155" s="10">
        <v>4231</v>
      </c>
      <c r="O1155" s="9"/>
      <c r="P1155" s="10"/>
      <c r="Q1155" s="10"/>
      <c r="R1155" s="10"/>
      <c r="S1155" s="7" t="s">
        <v>407</v>
      </c>
      <c r="T1155" s="7" t="s">
        <v>2638</v>
      </c>
      <c r="U1155" s="7" t="s">
        <v>44</v>
      </c>
      <c r="V1155" s="7" t="s">
        <v>45</v>
      </c>
      <c r="W1155" s="7" t="s">
        <v>130</v>
      </c>
      <c r="X1155" s="7" t="s">
        <v>131</v>
      </c>
      <c r="Y1155" s="7" t="s">
        <v>2816</v>
      </c>
      <c r="Z1155" s="7" t="s">
        <v>2814</v>
      </c>
      <c r="AA1155" s="7"/>
      <c r="AB1155" s="7"/>
      <c r="AC1155" s="7" t="s">
        <v>127</v>
      </c>
      <c r="AD1155" s="7"/>
      <c r="AE1155" s="7"/>
      <c r="AF1155" s="7" t="s">
        <v>50</v>
      </c>
      <c r="AG1155" s="7" t="s">
        <v>134</v>
      </c>
      <c r="AH1155" s="7" t="s">
        <v>135</v>
      </c>
    </row>
    <row r="1156" spans="1:34" ht="9.75" customHeight="1" x14ac:dyDescent="0.2">
      <c r="A1156" s="7" t="s">
        <v>37</v>
      </c>
      <c r="B1156" s="7" t="s">
        <v>38</v>
      </c>
      <c r="C1156" s="7"/>
      <c r="D1156" s="7" t="s">
        <v>2817</v>
      </c>
      <c r="E1156" s="8">
        <v>1</v>
      </c>
      <c r="F1156" s="7" t="s">
        <v>41</v>
      </c>
      <c r="G1156" s="7"/>
      <c r="H1156" s="9"/>
      <c r="I1156" s="9"/>
      <c r="J1156" s="9"/>
      <c r="K1156" s="9"/>
      <c r="L1156" s="10">
        <v>63914</v>
      </c>
      <c r="M1156" s="9"/>
      <c r="N1156" s="10">
        <v>63914</v>
      </c>
      <c r="O1156" s="9"/>
      <c r="P1156" s="10"/>
      <c r="Q1156" s="10"/>
      <c r="R1156" s="10"/>
      <c r="S1156" s="7" t="s">
        <v>407</v>
      </c>
      <c r="T1156" s="7" t="s">
        <v>2638</v>
      </c>
      <c r="U1156" s="7" t="s">
        <v>44</v>
      </c>
      <c r="V1156" s="7" t="s">
        <v>45</v>
      </c>
      <c r="W1156" s="7" t="s">
        <v>130</v>
      </c>
      <c r="X1156" s="7" t="s">
        <v>131</v>
      </c>
      <c r="Y1156" s="7" t="s">
        <v>2818</v>
      </c>
      <c r="Z1156" s="7" t="s">
        <v>2814</v>
      </c>
      <c r="AA1156" s="7"/>
      <c r="AB1156" s="7"/>
      <c r="AC1156" s="7" t="s">
        <v>127</v>
      </c>
      <c r="AD1156" s="7"/>
      <c r="AE1156" s="7"/>
      <c r="AF1156" s="7" t="s">
        <v>50</v>
      </c>
      <c r="AG1156" s="7" t="s">
        <v>134</v>
      </c>
      <c r="AH1156" s="7" t="s">
        <v>135</v>
      </c>
    </row>
    <row r="1157" spans="1:34" ht="9.75" customHeight="1" x14ac:dyDescent="0.2">
      <c r="A1157" s="7" t="s">
        <v>37</v>
      </c>
      <c r="B1157" s="7" t="s">
        <v>38</v>
      </c>
      <c r="C1157" s="7"/>
      <c r="D1157" s="7" t="s">
        <v>2819</v>
      </c>
      <c r="E1157" s="8">
        <v>1</v>
      </c>
      <c r="F1157" s="7" t="s">
        <v>41</v>
      </c>
      <c r="G1157" s="7"/>
      <c r="H1157" s="9"/>
      <c r="I1157" s="9"/>
      <c r="J1157" s="9"/>
      <c r="K1157" s="9"/>
      <c r="L1157" s="10">
        <v>56730</v>
      </c>
      <c r="M1157" s="9"/>
      <c r="N1157" s="10">
        <v>56730</v>
      </c>
      <c r="O1157" s="9"/>
      <c r="P1157" s="10"/>
      <c r="Q1157" s="10"/>
      <c r="R1157" s="10"/>
      <c r="S1157" s="7" t="s">
        <v>407</v>
      </c>
      <c r="T1157" s="7" t="s">
        <v>2638</v>
      </c>
      <c r="U1157" s="7" t="s">
        <v>44</v>
      </c>
      <c r="V1157" s="7" t="s">
        <v>45</v>
      </c>
      <c r="W1157" s="7" t="s">
        <v>130</v>
      </c>
      <c r="X1157" s="7" t="s">
        <v>131</v>
      </c>
      <c r="Y1157" s="7" t="s">
        <v>2820</v>
      </c>
      <c r="Z1157" s="7" t="s">
        <v>2821</v>
      </c>
      <c r="AA1157" s="7"/>
      <c r="AB1157" s="7"/>
      <c r="AC1157" s="7" t="s">
        <v>127</v>
      </c>
      <c r="AD1157" s="7"/>
      <c r="AE1157" s="7"/>
      <c r="AF1157" s="7" t="s">
        <v>50</v>
      </c>
      <c r="AG1157" s="7" t="s">
        <v>134</v>
      </c>
      <c r="AH1157" s="7" t="s">
        <v>135</v>
      </c>
    </row>
    <row r="1158" spans="1:34" ht="9.75" customHeight="1" x14ac:dyDescent="0.2">
      <c r="A1158" s="7" t="s">
        <v>37</v>
      </c>
      <c r="B1158" s="7" t="s">
        <v>38</v>
      </c>
      <c r="C1158" s="7"/>
      <c r="D1158" s="7" t="s">
        <v>2822</v>
      </c>
      <c r="E1158" s="8">
        <v>1</v>
      </c>
      <c r="F1158" s="7" t="s">
        <v>41</v>
      </c>
      <c r="G1158" s="7"/>
      <c r="H1158" s="9"/>
      <c r="I1158" s="9"/>
      <c r="J1158" s="9"/>
      <c r="K1158" s="9"/>
      <c r="L1158" s="10">
        <v>25600</v>
      </c>
      <c r="M1158" s="9"/>
      <c r="N1158" s="10">
        <v>25600</v>
      </c>
      <c r="O1158" s="9"/>
      <c r="P1158" s="10"/>
      <c r="Q1158" s="10"/>
      <c r="R1158" s="10"/>
      <c r="S1158" s="7" t="s">
        <v>407</v>
      </c>
      <c r="T1158" s="7" t="s">
        <v>2638</v>
      </c>
      <c r="U1158" s="7" t="s">
        <v>44</v>
      </c>
      <c r="V1158" s="7" t="s">
        <v>45</v>
      </c>
      <c r="W1158" s="7" t="s">
        <v>130</v>
      </c>
      <c r="X1158" s="7" t="s">
        <v>131</v>
      </c>
      <c r="Y1158" s="7" t="s">
        <v>2823</v>
      </c>
      <c r="Z1158" s="7" t="s">
        <v>2824</v>
      </c>
      <c r="AA1158" s="7"/>
      <c r="AB1158" s="7"/>
      <c r="AC1158" s="7" t="s">
        <v>127</v>
      </c>
      <c r="AD1158" s="7"/>
      <c r="AE1158" s="7"/>
      <c r="AF1158" s="7" t="s">
        <v>50</v>
      </c>
      <c r="AG1158" s="7" t="s">
        <v>134</v>
      </c>
      <c r="AH1158" s="7" t="s">
        <v>135</v>
      </c>
    </row>
    <row r="1159" spans="1:34" ht="9.75" customHeight="1" x14ac:dyDescent="0.2">
      <c r="A1159" s="7" t="s">
        <v>37</v>
      </c>
      <c r="B1159" s="7" t="s">
        <v>38</v>
      </c>
      <c r="C1159" s="7"/>
      <c r="D1159" s="7" t="s">
        <v>2825</v>
      </c>
      <c r="E1159" s="8">
        <v>1</v>
      </c>
      <c r="F1159" s="7" t="s">
        <v>41</v>
      </c>
      <c r="G1159" s="7"/>
      <c r="H1159" s="9"/>
      <c r="I1159" s="9"/>
      <c r="J1159" s="9"/>
      <c r="K1159" s="9"/>
      <c r="L1159" s="10">
        <v>39412</v>
      </c>
      <c r="M1159" s="9"/>
      <c r="N1159" s="10">
        <v>39412</v>
      </c>
      <c r="O1159" s="9"/>
      <c r="P1159" s="10"/>
      <c r="Q1159" s="10"/>
      <c r="R1159" s="10"/>
      <c r="S1159" s="7" t="s">
        <v>407</v>
      </c>
      <c r="T1159" s="7" t="s">
        <v>2638</v>
      </c>
      <c r="U1159" s="7" t="s">
        <v>44</v>
      </c>
      <c r="V1159" s="7" t="s">
        <v>45</v>
      </c>
      <c r="W1159" s="7" t="s">
        <v>130</v>
      </c>
      <c r="X1159" s="7" t="s">
        <v>131</v>
      </c>
      <c r="Y1159" s="7" t="s">
        <v>2826</v>
      </c>
      <c r="Z1159" s="7" t="s">
        <v>2827</v>
      </c>
      <c r="AA1159" s="7"/>
      <c r="AB1159" s="7"/>
      <c r="AC1159" s="7" t="s">
        <v>127</v>
      </c>
      <c r="AD1159" s="7"/>
      <c r="AE1159" s="7"/>
      <c r="AF1159" s="7" t="s">
        <v>50</v>
      </c>
      <c r="AG1159" s="7" t="s">
        <v>134</v>
      </c>
      <c r="AH1159" s="7" t="s">
        <v>135</v>
      </c>
    </row>
    <row r="1160" spans="1:34" ht="9.75" customHeight="1" x14ac:dyDescent="0.2">
      <c r="A1160" s="7" t="s">
        <v>37</v>
      </c>
      <c r="B1160" s="7" t="s">
        <v>38</v>
      </c>
      <c r="C1160" s="7"/>
      <c r="D1160" s="7" t="s">
        <v>2828</v>
      </c>
      <c r="E1160" s="8">
        <v>1</v>
      </c>
      <c r="F1160" s="7" t="s">
        <v>41</v>
      </c>
      <c r="G1160" s="7"/>
      <c r="H1160" s="9"/>
      <c r="I1160" s="9"/>
      <c r="J1160" s="9"/>
      <c r="K1160" s="9"/>
      <c r="L1160" s="10">
        <v>206747</v>
      </c>
      <c r="M1160" s="9"/>
      <c r="N1160" s="10">
        <v>206747</v>
      </c>
      <c r="O1160" s="9"/>
      <c r="P1160" s="10"/>
      <c r="Q1160" s="10"/>
      <c r="R1160" s="10"/>
      <c r="S1160" s="7" t="s">
        <v>407</v>
      </c>
      <c r="T1160" s="7" t="s">
        <v>2638</v>
      </c>
      <c r="U1160" s="7" t="s">
        <v>44</v>
      </c>
      <c r="V1160" s="7" t="s">
        <v>45</v>
      </c>
      <c r="W1160" s="7" t="s">
        <v>130</v>
      </c>
      <c r="X1160" s="7" t="s">
        <v>131</v>
      </c>
      <c r="Y1160" s="7" t="s">
        <v>2829</v>
      </c>
      <c r="Z1160" s="7" t="s">
        <v>2830</v>
      </c>
      <c r="AA1160" s="7"/>
      <c r="AB1160" s="7"/>
      <c r="AC1160" s="7" t="s">
        <v>127</v>
      </c>
      <c r="AD1160" s="7"/>
      <c r="AE1160" s="7"/>
      <c r="AF1160" s="7" t="s">
        <v>50</v>
      </c>
      <c r="AG1160" s="7" t="s">
        <v>134</v>
      </c>
      <c r="AH1160" s="7" t="s">
        <v>135</v>
      </c>
    </row>
    <row r="1161" spans="1:34" ht="9.75" customHeight="1" x14ac:dyDescent="0.2">
      <c r="A1161" s="7" t="s">
        <v>37</v>
      </c>
      <c r="B1161" s="7" t="s">
        <v>38</v>
      </c>
      <c r="C1161" s="7"/>
      <c r="D1161" s="7" t="s">
        <v>2831</v>
      </c>
      <c r="E1161" s="8">
        <v>1</v>
      </c>
      <c r="F1161" s="7" t="s">
        <v>41</v>
      </c>
      <c r="G1161" s="7"/>
      <c r="H1161" s="9"/>
      <c r="I1161" s="9"/>
      <c r="J1161" s="9"/>
      <c r="K1161" s="9"/>
      <c r="L1161" s="10">
        <v>3860</v>
      </c>
      <c r="M1161" s="9"/>
      <c r="N1161" s="10">
        <v>3860</v>
      </c>
      <c r="O1161" s="9"/>
      <c r="P1161" s="10"/>
      <c r="Q1161" s="10"/>
      <c r="R1161" s="10"/>
      <c r="S1161" s="7" t="s">
        <v>407</v>
      </c>
      <c r="T1161" s="7" t="s">
        <v>2638</v>
      </c>
      <c r="U1161" s="7" t="s">
        <v>44</v>
      </c>
      <c r="V1161" s="7" t="s">
        <v>45</v>
      </c>
      <c r="W1161" s="7" t="s">
        <v>130</v>
      </c>
      <c r="X1161" s="7" t="s">
        <v>131</v>
      </c>
      <c r="Y1161" s="7" t="s">
        <v>2832</v>
      </c>
      <c r="Z1161" s="7" t="s">
        <v>2830</v>
      </c>
      <c r="AA1161" s="7"/>
      <c r="AB1161" s="7"/>
      <c r="AC1161" s="7" t="s">
        <v>127</v>
      </c>
      <c r="AD1161" s="7"/>
      <c r="AE1161" s="7"/>
      <c r="AF1161" s="7" t="s">
        <v>50</v>
      </c>
      <c r="AG1161" s="7" t="s">
        <v>134</v>
      </c>
      <c r="AH1161" s="7" t="s">
        <v>135</v>
      </c>
    </row>
    <row r="1162" spans="1:34" ht="9.75" customHeight="1" x14ac:dyDescent="0.2">
      <c r="A1162" s="7" t="s">
        <v>37</v>
      </c>
      <c r="B1162" s="7" t="s">
        <v>38</v>
      </c>
      <c r="C1162" s="7"/>
      <c r="D1162" s="7" t="s">
        <v>2833</v>
      </c>
      <c r="E1162" s="8">
        <v>1</v>
      </c>
      <c r="F1162" s="7" t="s">
        <v>41</v>
      </c>
      <c r="G1162" s="7"/>
      <c r="H1162" s="9"/>
      <c r="I1162" s="9"/>
      <c r="J1162" s="9"/>
      <c r="K1162" s="9"/>
      <c r="L1162" s="10">
        <v>37989</v>
      </c>
      <c r="M1162" s="9"/>
      <c r="N1162" s="10">
        <v>37989</v>
      </c>
      <c r="O1162" s="9"/>
      <c r="P1162" s="10"/>
      <c r="Q1162" s="10"/>
      <c r="R1162" s="10"/>
      <c r="S1162" s="7" t="s">
        <v>407</v>
      </c>
      <c r="T1162" s="7" t="s">
        <v>2638</v>
      </c>
      <c r="U1162" s="7" t="s">
        <v>44</v>
      </c>
      <c r="V1162" s="7" t="s">
        <v>45</v>
      </c>
      <c r="W1162" s="7" t="s">
        <v>130</v>
      </c>
      <c r="X1162" s="7" t="s">
        <v>131</v>
      </c>
      <c r="Y1162" s="7" t="s">
        <v>2834</v>
      </c>
      <c r="Z1162" s="7" t="s">
        <v>2830</v>
      </c>
      <c r="AA1162" s="7"/>
      <c r="AB1162" s="7"/>
      <c r="AC1162" s="7" t="s">
        <v>127</v>
      </c>
      <c r="AD1162" s="7"/>
      <c r="AE1162" s="7"/>
      <c r="AF1162" s="7" t="s">
        <v>50</v>
      </c>
      <c r="AG1162" s="7" t="s">
        <v>134</v>
      </c>
      <c r="AH1162" s="7" t="s">
        <v>135</v>
      </c>
    </row>
    <row r="1163" spans="1:34" ht="9.75" customHeight="1" x14ac:dyDescent="0.2">
      <c r="A1163" s="7" t="s">
        <v>37</v>
      </c>
      <c r="B1163" s="7" t="s">
        <v>38</v>
      </c>
      <c r="C1163" s="7"/>
      <c r="D1163" s="7" t="s">
        <v>2835</v>
      </c>
      <c r="E1163" s="8">
        <v>1</v>
      </c>
      <c r="F1163" s="7" t="s">
        <v>41</v>
      </c>
      <c r="G1163" s="7"/>
      <c r="H1163" s="9"/>
      <c r="I1163" s="9"/>
      <c r="J1163" s="9"/>
      <c r="K1163" s="9"/>
      <c r="L1163" s="10">
        <v>7534</v>
      </c>
      <c r="M1163" s="9"/>
      <c r="N1163" s="10">
        <v>7534</v>
      </c>
      <c r="O1163" s="9"/>
      <c r="P1163" s="10"/>
      <c r="Q1163" s="10"/>
      <c r="R1163" s="10"/>
      <c r="S1163" s="7" t="s">
        <v>407</v>
      </c>
      <c r="T1163" s="7" t="s">
        <v>2638</v>
      </c>
      <c r="U1163" s="7" t="s">
        <v>44</v>
      </c>
      <c r="V1163" s="7" t="s">
        <v>45</v>
      </c>
      <c r="W1163" s="7" t="s">
        <v>130</v>
      </c>
      <c r="X1163" s="7" t="s">
        <v>131</v>
      </c>
      <c r="Y1163" s="7" t="s">
        <v>2836</v>
      </c>
      <c r="Z1163" s="7" t="s">
        <v>2837</v>
      </c>
      <c r="AA1163" s="7"/>
      <c r="AB1163" s="7"/>
      <c r="AC1163" s="7" t="s">
        <v>127</v>
      </c>
      <c r="AD1163" s="7"/>
      <c r="AE1163" s="7"/>
      <c r="AF1163" s="7" t="s">
        <v>50</v>
      </c>
      <c r="AG1163" s="7" t="s">
        <v>134</v>
      </c>
      <c r="AH1163" s="7" t="s">
        <v>135</v>
      </c>
    </row>
    <row r="1164" spans="1:34" ht="9.75" customHeight="1" x14ac:dyDescent="0.2">
      <c r="A1164" s="7" t="s">
        <v>37</v>
      </c>
      <c r="B1164" s="7" t="s">
        <v>38</v>
      </c>
      <c r="C1164" s="7"/>
      <c r="D1164" s="7" t="s">
        <v>2838</v>
      </c>
      <c r="E1164" s="8">
        <v>1</v>
      </c>
      <c r="F1164" s="7" t="s">
        <v>41</v>
      </c>
      <c r="G1164" s="7"/>
      <c r="H1164" s="9"/>
      <c r="I1164" s="9"/>
      <c r="J1164" s="9"/>
      <c r="K1164" s="9"/>
      <c r="L1164" s="10">
        <v>3381</v>
      </c>
      <c r="M1164" s="9"/>
      <c r="N1164" s="10">
        <v>3381</v>
      </c>
      <c r="O1164" s="9"/>
      <c r="P1164" s="10"/>
      <c r="Q1164" s="10"/>
      <c r="R1164" s="10"/>
      <c r="S1164" s="7" t="s">
        <v>407</v>
      </c>
      <c r="T1164" s="7" t="s">
        <v>2638</v>
      </c>
      <c r="U1164" s="7" t="s">
        <v>44</v>
      </c>
      <c r="V1164" s="7" t="s">
        <v>45</v>
      </c>
      <c r="W1164" s="7" t="s">
        <v>130</v>
      </c>
      <c r="X1164" s="7" t="s">
        <v>131</v>
      </c>
      <c r="Y1164" s="7" t="s">
        <v>2839</v>
      </c>
      <c r="Z1164" s="7" t="s">
        <v>2837</v>
      </c>
      <c r="AA1164" s="7"/>
      <c r="AB1164" s="7"/>
      <c r="AC1164" s="7" t="s">
        <v>127</v>
      </c>
      <c r="AD1164" s="7"/>
      <c r="AE1164" s="7"/>
      <c r="AF1164" s="7" t="s">
        <v>50</v>
      </c>
      <c r="AG1164" s="7" t="s">
        <v>134</v>
      </c>
      <c r="AH1164" s="7" t="s">
        <v>135</v>
      </c>
    </row>
    <row r="1165" spans="1:34" ht="9.75" customHeight="1" x14ac:dyDescent="0.2">
      <c r="A1165" s="7" t="s">
        <v>37</v>
      </c>
      <c r="B1165" s="7" t="s">
        <v>38</v>
      </c>
      <c r="C1165" s="7"/>
      <c r="D1165" s="7" t="s">
        <v>2840</v>
      </c>
      <c r="E1165" s="8">
        <v>1</v>
      </c>
      <c r="F1165" s="7" t="s">
        <v>41</v>
      </c>
      <c r="G1165" s="7"/>
      <c r="H1165" s="9"/>
      <c r="I1165" s="9"/>
      <c r="J1165" s="9"/>
      <c r="K1165" s="9"/>
      <c r="L1165" s="10">
        <v>2880</v>
      </c>
      <c r="M1165" s="9"/>
      <c r="N1165" s="10">
        <v>2880</v>
      </c>
      <c r="O1165" s="9"/>
      <c r="P1165" s="10"/>
      <c r="Q1165" s="10"/>
      <c r="R1165" s="10"/>
      <c r="S1165" s="7" t="s">
        <v>407</v>
      </c>
      <c r="T1165" s="7" t="s">
        <v>2638</v>
      </c>
      <c r="U1165" s="7" t="s">
        <v>44</v>
      </c>
      <c r="V1165" s="7" t="s">
        <v>45</v>
      </c>
      <c r="W1165" s="7" t="s">
        <v>130</v>
      </c>
      <c r="X1165" s="7" t="s">
        <v>131</v>
      </c>
      <c r="Y1165" s="7" t="s">
        <v>2841</v>
      </c>
      <c r="Z1165" s="7" t="s">
        <v>2837</v>
      </c>
      <c r="AA1165" s="7"/>
      <c r="AB1165" s="7"/>
      <c r="AC1165" s="7" t="s">
        <v>127</v>
      </c>
      <c r="AD1165" s="7"/>
      <c r="AE1165" s="7"/>
      <c r="AF1165" s="7" t="s">
        <v>50</v>
      </c>
      <c r="AG1165" s="7" t="s">
        <v>134</v>
      </c>
      <c r="AH1165" s="7" t="s">
        <v>135</v>
      </c>
    </row>
    <row r="1166" spans="1:34" ht="9.75" customHeight="1" x14ac:dyDescent="0.2">
      <c r="A1166" s="7" t="s">
        <v>37</v>
      </c>
      <c r="B1166" s="7" t="s">
        <v>38</v>
      </c>
      <c r="C1166" s="7"/>
      <c r="D1166" s="7" t="s">
        <v>2842</v>
      </c>
      <c r="E1166" s="8">
        <v>1</v>
      </c>
      <c r="F1166" s="7" t="s">
        <v>41</v>
      </c>
      <c r="G1166" s="7"/>
      <c r="H1166" s="9"/>
      <c r="I1166" s="10">
        <v>86682</v>
      </c>
      <c r="J1166" s="9"/>
      <c r="K1166" s="9"/>
      <c r="L1166" s="10">
        <v>92152</v>
      </c>
      <c r="M1166" s="9"/>
      <c r="N1166" s="10">
        <v>92152</v>
      </c>
      <c r="O1166" s="9"/>
      <c r="P1166" s="10"/>
      <c r="Q1166" s="10"/>
      <c r="R1166" s="10"/>
      <c r="S1166" s="7" t="s">
        <v>407</v>
      </c>
      <c r="T1166" s="7" t="s">
        <v>143</v>
      </c>
      <c r="U1166" s="7" t="s">
        <v>44</v>
      </c>
      <c r="V1166" s="7" t="s">
        <v>45</v>
      </c>
      <c r="W1166" s="7" t="s">
        <v>130</v>
      </c>
      <c r="X1166" s="7" t="s">
        <v>131</v>
      </c>
      <c r="Y1166" s="7" t="s">
        <v>2843</v>
      </c>
      <c r="Z1166" s="7" t="s">
        <v>2844</v>
      </c>
      <c r="AA1166" s="7"/>
      <c r="AB1166" s="7"/>
      <c r="AC1166" s="7" t="s">
        <v>136</v>
      </c>
      <c r="AD1166" s="7"/>
      <c r="AE1166" s="7"/>
      <c r="AF1166" s="7" t="s">
        <v>50</v>
      </c>
      <c r="AG1166" s="7" t="s">
        <v>134</v>
      </c>
      <c r="AH1166" s="7" t="s">
        <v>141</v>
      </c>
    </row>
    <row r="1167" spans="1:34" ht="9.75" customHeight="1" x14ac:dyDescent="0.2">
      <c r="A1167" s="7" t="s">
        <v>37</v>
      </c>
      <c r="B1167" s="7" t="s">
        <v>38</v>
      </c>
      <c r="C1167" s="7"/>
      <c r="D1167" s="7" t="s">
        <v>2845</v>
      </c>
      <c r="E1167" s="8">
        <v>1</v>
      </c>
      <c r="F1167" s="7" t="s">
        <v>41</v>
      </c>
      <c r="G1167" s="7"/>
      <c r="H1167" s="9"/>
      <c r="I1167" s="10">
        <v>1959990</v>
      </c>
      <c r="J1167" s="9"/>
      <c r="K1167" s="9"/>
      <c r="L1167" s="10">
        <v>4558163</v>
      </c>
      <c r="M1167" s="9"/>
      <c r="N1167" s="10">
        <v>4558163</v>
      </c>
      <c r="O1167" s="9"/>
      <c r="P1167" s="10"/>
      <c r="Q1167" s="10"/>
      <c r="R1167" s="10"/>
      <c r="S1167" s="7" t="s">
        <v>407</v>
      </c>
      <c r="T1167" s="7" t="s">
        <v>143</v>
      </c>
      <c r="U1167" s="7" t="s">
        <v>44</v>
      </c>
      <c r="V1167" s="7" t="s">
        <v>45</v>
      </c>
      <c r="W1167" s="7" t="s">
        <v>130</v>
      </c>
      <c r="X1167" s="7" t="s">
        <v>131</v>
      </c>
      <c r="Y1167" s="7" t="s">
        <v>2846</v>
      </c>
      <c r="Z1167" s="7" t="s">
        <v>2844</v>
      </c>
      <c r="AA1167" s="7"/>
      <c r="AB1167" s="7"/>
      <c r="AC1167" s="7" t="s">
        <v>136</v>
      </c>
      <c r="AD1167" s="7"/>
      <c r="AE1167" s="7"/>
      <c r="AF1167" s="7" t="s">
        <v>50</v>
      </c>
      <c r="AG1167" s="7" t="s">
        <v>134</v>
      </c>
      <c r="AH1167" s="7" t="s">
        <v>141</v>
      </c>
    </row>
    <row r="1168" spans="1:34" ht="9.75" customHeight="1" x14ac:dyDescent="0.2">
      <c r="A1168" s="7" t="s">
        <v>37</v>
      </c>
      <c r="B1168" s="7" t="s">
        <v>38</v>
      </c>
      <c r="C1168" s="7"/>
      <c r="D1168" s="7" t="s">
        <v>2847</v>
      </c>
      <c r="E1168" s="8">
        <v>1</v>
      </c>
      <c r="F1168" s="7" t="s">
        <v>41</v>
      </c>
      <c r="G1168" s="7"/>
      <c r="H1168" s="9"/>
      <c r="I1168" s="10">
        <v>77417</v>
      </c>
      <c r="J1168" s="9"/>
      <c r="K1168" s="9"/>
      <c r="L1168" s="10">
        <v>136692</v>
      </c>
      <c r="M1168" s="9"/>
      <c r="N1168" s="10">
        <v>136692</v>
      </c>
      <c r="O1168" s="9"/>
      <c r="P1168" s="10"/>
      <c r="Q1168" s="10"/>
      <c r="R1168" s="10"/>
      <c r="S1168" s="7" t="s">
        <v>407</v>
      </c>
      <c r="T1168" s="7" t="s">
        <v>143</v>
      </c>
      <c r="U1168" s="7" t="s">
        <v>44</v>
      </c>
      <c r="V1168" s="7" t="s">
        <v>45</v>
      </c>
      <c r="W1168" s="7" t="s">
        <v>130</v>
      </c>
      <c r="X1168" s="7" t="s">
        <v>131</v>
      </c>
      <c r="Y1168" s="7" t="s">
        <v>2848</v>
      </c>
      <c r="Z1168" s="7" t="s">
        <v>2844</v>
      </c>
      <c r="AA1168" s="7"/>
      <c r="AB1168" s="7"/>
      <c r="AC1168" s="7" t="s">
        <v>136</v>
      </c>
      <c r="AD1168" s="7"/>
      <c r="AE1168" s="7"/>
      <c r="AF1168" s="7" t="s">
        <v>50</v>
      </c>
      <c r="AG1168" s="7" t="s">
        <v>134</v>
      </c>
      <c r="AH1168" s="7" t="s">
        <v>141</v>
      </c>
    </row>
    <row r="1169" spans="1:34" ht="9.75" customHeight="1" x14ac:dyDescent="0.2">
      <c r="A1169" s="7" t="s">
        <v>37</v>
      </c>
      <c r="B1169" s="7" t="s">
        <v>38</v>
      </c>
      <c r="C1169" s="7"/>
      <c r="D1169" s="7" t="s">
        <v>2849</v>
      </c>
      <c r="E1169" s="8">
        <v>1</v>
      </c>
      <c r="F1169" s="7" t="s">
        <v>41</v>
      </c>
      <c r="G1169" s="7"/>
      <c r="H1169" s="9"/>
      <c r="I1169" s="10">
        <v>535327</v>
      </c>
      <c r="J1169" s="9"/>
      <c r="K1169" s="9"/>
      <c r="L1169" s="10">
        <v>911969</v>
      </c>
      <c r="M1169" s="9"/>
      <c r="N1169" s="10">
        <v>911969</v>
      </c>
      <c r="O1169" s="9"/>
      <c r="P1169" s="10"/>
      <c r="Q1169" s="10"/>
      <c r="R1169" s="10"/>
      <c r="S1169" s="7" t="s">
        <v>407</v>
      </c>
      <c r="T1169" s="7" t="s">
        <v>143</v>
      </c>
      <c r="U1169" s="7" t="s">
        <v>44</v>
      </c>
      <c r="V1169" s="7" t="s">
        <v>45</v>
      </c>
      <c r="W1169" s="7" t="s">
        <v>130</v>
      </c>
      <c r="X1169" s="7" t="s">
        <v>131</v>
      </c>
      <c r="Y1169" s="7" t="s">
        <v>2850</v>
      </c>
      <c r="Z1169" s="7" t="s">
        <v>2844</v>
      </c>
      <c r="AA1169" s="7"/>
      <c r="AB1169" s="7"/>
      <c r="AC1169" s="7" t="s">
        <v>136</v>
      </c>
      <c r="AD1169" s="7"/>
      <c r="AE1169" s="7"/>
      <c r="AF1169" s="7" t="s">
        <v>50</v>
      </c>
      <c r="AG1169" s="7" t="s">
        <v>134</v>
      </c>
      <c r="AH1169" s="7" t="s">
        <v>141</v>
      </c>
    </row>
    <row r="1170" spans="1:34" ht="9.75" customHeight="1" x14ac:dyDescent="0.2">
      <c r="A1170" s="7" t="s">
        <v>37</v>
      </c>
      <c r="B1170" s="7" t="s">
        <v>38</v>
      </c>
      <c r="C1170" s="7"/>
      <c r="D1170" s="7" t="s">
        <v>2851</v>
      </c>
      <c r="E1170" s="8">
        <v>1</v>
      </c>
      <c r="F1170" s="7" t="s">
        <v>41</v>
      </c>
      <c r="G1170" s="7"/>
      <c r="H1170" s="9"/>
      <c r="I1170" s="10">
        <v>1106810</v>
      </c>
      <c r="J1170" s="9"/>
      <c r="K1170" s="9"/>
      <c r="L1170" s="10">
        <v>1834441</v>
      </c>
      <c r="M1170" s="9"/>
      <c r="N1170" s="10">
        <v>1834441</v>
      </c>
      <c r="O1170" s="9"/>
      <c r="P1170" s="10"/>
      <c r="Q1170" s="10"/>
      <c r="R1170" s="10"/>
      <c r="S1170" s="7" t="s">
        <v>407</v>
      </c>
      <c r="T1170" s="7" t="s">
        <v>143</v>
      </c>
      <c r="U1170" s="7" t="s">
        <v>44</v>
      </c>
      <c r="V1170" s="7" t="s">
        <v>45</v>
      </c>
      <c r="W1170" s="7" t="s">
        <v>130</v>
      </c>
      <c r="X1170" s="7" t="s">
        <v>131</v>
      </c>
      <c r="Y1170" s="7" t="s">
        <v>2852</v>
      </c>
      <c r="Z1170" s="7" t="s">
        <v>2844</v>
      </c>
      <c r="AA1170" s="7"/>
      <c r="AB1170" s="7"/>
      <c r="AC1170" s="7" t="s">
        <v>136</v>
      </c>
      <c r="AD1170" s="7"/>
      <c r="AE1170" s="7"/>
      <c r="AF1170" s="7" t="s">
        <v>50</v>
      </c>
      <c r="AG1170" s="7" t="s">
        <v>134</v>
      </c>
      <c r="AH1170" s="7" t="s">
        <v>141</v>
      </c>
    </row>
    <row r="1171" spans="1:34" ht="9.75" customHeight="1" x14ac:dyDescent="0.2">
      <c r="A1171" s="7" t="s">
        <v>37</v>
      </c>
      <c r="B1171" s="7" t="s">
        <v>38</v>
      </c>
      <c r="C1171" s="7"/>
      <c r="D1171" s="7" t="s">
        <v>2853</v>
      </c>
      <c r="E1171" s="8">
        <v>1</v>
      </c>
      <c r="F1171" s="7" t="s">
        <v>41</v>
      </c>
      <c r="G1171" s="7"/>
      <c r="H1171" s="9"/>
      <c r="I1171" s="10">
        <v>76985</v>
      </c>
      <c r="J1171" s="9"/>
      <c r="K1171" s="9"/>
      <c r="L1171" s="10">
        <v>82196</v>
      </c>
      <c r="M1171" s="9"/>
      <c r="N1171" s="10">
        <v>82196</v>
      </c>
      <c r="O1171" s="9"/>
      <c r="P1171" s="10"/>
      <c r="Q1171" s="10"/>
      <c r="R1171" s="10"/>
      <c r="S1171" s="7" t="s">
        <v>407</v>
      </c>
      <c r="T1171" s="7" t="s">
        <v>143</v>
      </c>
      <c r="U1171" s="7" t="s">
        <v>44</v>
      </c>
      <c r="V1171" s="7" t="s">
        <v>45</v>
      </c>
      <c r="W1171" s="7" t="s">
        <v>130</v>
      </c>
      <c r="X1171" s="7" t="s">
        <v>131</v>
      </c>
      <c r="Y1171" s="7" t="s">
        <v>2854</v>
      </c>
      <c r="Z1171" s="7" t="s">
        <v>2844</v>
      </c>
      <c r="AA1171" s="7"/>
      <c r="AB1171" s="7"/>
      <c r="AC1171" s="7" t="s">
        <v>136</v>
      </c>
      <c r="AD1171" s="7"/>
      <c r="AE1171" s="7"/>
      <c r="AF1171" s="7" t="s">
        <v>50</v>
      </c>
      <c r="AG1171" s="7" t="s">
        <v>134</v>
      </c>
      <c r="AH1171" s="7" t="s">
        <v>141</v>
      </c>
    </row>
    <row r="1172" spans="1:34" ht="9.75" customHeight="1" x14ac:dyDescent="0.2">
      <c r="A1172" s="7" t="s">
        <v>37</v>
      </c>
      <c r="B1172" s="7" t="s">
        <v>38</v>
      </c>
      <c r="C1172" s="7"/>
      <c r="D1172" s="7" t="s">
        <v>2855</v>
      </c>
      <c r="E1172" s="8">
        <v>1</v>
      </c>
      <c r="F1172" s="7" t="s">
        <v>41</v>
      </c>
      <c r="G1172" s="7"/>
      <c r="H1172" s="9"/>
      <c r="I1172" s="9"/>
      <c r="J1172" s="9"/>
      <c r="K1172" s="9"/>
      <c r="L1172" s="10">
        <v>134039</v>
      </c>
      <c r="M1172" s="9"/>
      <c r="N1172" s="10">
        <v>134039</v>
      </c>
      <c r="O1172" s="9"/>
      <c r="P1172" s="10"/>
      <c r="Q1172" s="10"/>
      <c r="R1172" s="10"/>
      <c r="S1172" s="7" t="s">
        <v>407</v>
      </c>
      <c r="T1172" s="7" t="s">
        <v>143</v>
      </c>
      <c r="U1172" s="7" t="s">
        <v>44</v>
      </c>
      <c r="V1172" s="7" t="s">
        <v>45</v>
      </c>
      <c r="W1172" s="7" t="s">
        <v>130</v>
      </c>
      <c r="X1172" s="7" t="s">
        <v>131</v>
      </c>
      <c r="Y1172" s="7" t="s">
        <v>2856</v>
      </c>
      <c r="Z1172" s="7" t="s">
        <v>2844</v>
      </c>
      <c r="AA1172" s="7"/>
      <c r="AB1172" s="7"/>
      <c r="AC1172" s="7" t="s">
        <v>136</v>
      </c>
      <c r="AD1172" s="7"/>
      <c r="AE1172" s="7"/>
      <c r="AF1172" s="7" t="s">
        <v>50</v>
      </c>
      <c r="AG1172" s="7" t="s">
        <v>134</v>
      </c>
      <c r="AH1172" s="7" t="s">
        <v>141</v>
      </c>
    </row>
    <row r="1173" spans="1:34" ht="9.75" customHeight="1" x14ac:dyDescent="0.2">
      <c r="A1173" s="7" t="s">
        <v>37</v>
      </c>
      <c r="B1173" s="7" t="s">
        <v>38</v>
      </c>
      <c r="C1173" s="7"/>
      <c r="D1173" s="7" t="s">
        <v>2857</v>
      </c>
      <c r="E1173" s="8">
        <v>1</v>
      </c>
      <c r="F1173" s="7" t="s">
        <v>41</v>
      </c>
      <c r="G1173" s="7"/>
      <c r="H1173" s="9"/>
      <c r="I1173" s="9"/>
      <c r="J1173" s="9"/>
      <c r="K1173" s="9"/>
      <c r="L1173" s="10">
        <v>1176</v>
      </c>
      <c r="M1173" s="9"/>
      <c r="N1173" s="10">
        <v>1176</v>
      </c>
      <c r="O1173" s="9"/>
      <c r="P1173" s="10"/>
      <c r="Q1173" s="10"/>
      <c r="R1173" s="10"/>
      <c r="S1173" s="7" t="s">
        <v>407</v>
      </c>
      <c r="T1173" s="7" t="s">
        <v>143</v>
      </c>
      <c r="U1173" s="7" t="s">
        <v>44</v>
      </c>
      <c r="V1173" s="7" t="s">
        <v>45</v>
      </c>
      <c r="W1173" s="7" t="s">
        <v>130</v>
      </c>
      <c r="X1173" s="7" t="s">
        <v>131</v>
      </c>
      <c r="Y1173" s="7" t="s">
        <v>2858</v>
      </c>
      <c r="Z1173" s="7" t="s">
        <v>2844</v>
      </c>
      <c r="AA1173" s="7"/>
      <c r="AB1173" s="7"/>
      <c r="AC1173" s="7" t="s">
        <v>136</v>
      </c>
      <c r="AD1173" s="7"/>
      <c r="AE1173" s="7"/>
      <c r="AF1173" s="7" t="s">
        <v>50</v>
      </c>
      <c r="AG1173" s="7" t="s">
        <v>134</v>
      </c>
      <c r="AH1173" s="7" t="s">
        <v>141</v>
      </c>
    </row>
    <row r="1174" spans="1:34" ht="9.75" customHeight="1" x14ac:dyDescent="0.2">
      <c r="A1174" s="7" t="s">
        <v>37</v>
      </c>
      <c r="B1174" s="7" t="s">
        <v>38</v>
      </c>
      <c r="C1174" s="7"/>
      <c r="D1174" s="7" t="s">
        <v>2859</v>
      </c>
      <c r="E1174" s="8">
        <v>1</v>
      </c>
      <c r="F1174" s="7" t="s">
        <v>41</v>
      </c>
      <c r="G1174" s="7"/>
      <c r="H1174" s="9"/>
      <c r="I1174" s="10">
        <v>168178</v>
      </c>
      <c r="J1174" s="9"/>
      <c r="K1174" s="9"/>
      <c r="L1174" s="10">
        <v>5930</v>
      </c>
      <c r="M1174" s="9"/>
      <c r="N1174" s="10">
        <v>5930</v>
      </c>
      <c r="O1174" s="9"/>
      <c r="P1174" s="10"/>
      <c r="Q1174" s="10"/>
      <c r="R1174" s="10"/>
      <c r="S1174" s="7" t="s">
        <v>407</v>
      </c>
      <c r="T1174" s="7" t="s">
        <v>143</v>
      </c>
      <c r="U1174" s="7" t="s">
        <v>44</v>
      </c>
      <c r="V1174" s="7" t="s">
        <v>45</v>
      </c>
      <c r="W1174" s="7" t="s">
        <v>130</v>
      </c>
      <c r="X1174" s="7" t="s">
        <v>131</v>
      </c>
      <c r="Y1174" s="7" t="s">
        <v>2860</v>
      </c>
      <c r="Z1174" s="7" t="s">
        <v>2844</v>
      </c>
      <c r="AA1174" s="7"/>
      <c r="AB1174" s="7"/>
      <c r="AC1174" s="7" t="s">
        <v>136</v>
      </c>
      <c r="AD1174" s="7"/>
      <c r="AE1174" s="7"/>
      <c r="AF1174" s="7" t="s">
        <v>50</v>
      </c>
      <c r="AG1174" s="7" t="s">
        <v>134</v>
      </c>
      <c r="AH1174" s="7" t="s">
        <v>141</v>
      </c>
    </row>
    <row r="1175" spans="1:34" ht="9.75" customHeight="1" x14ac:dyDescent="0.2">
      <c r="A1175" s="7" t="s">
        <v>37</v>
      </c>
      <c r="B1175" s="7" t="s">
        <v>38</v>
      </c>
      <c r="C1175" s="7"/>
      <c r="D1175" s="7" t="s">
        <v>2861</v>
      </c>
      <c r="E1175" s="8">
        <v>1</v>
      </c>
      <c r="F1175" s="7" t="s">
        <v>41</v>
      </c>
      <c r="G1175" s="7"/>
      <c r="H1175" s="9"/>
      <c r="I1175" s="10">
        <v>104090</v>
      </c>
      <c r="J1175" s="9"/>
      <c r="K1175" s="9"/>
      <c r="L1175" s="10">
        <v>121827</v>
      </c>
      <c r="M1175" s="9"/>
      <c r="N1175" s="10">
        <v>121827</v>
      </c>
      <c r="O1175" s="9"/>
      <c r="P1175" s="10"/>
      <c r="Q1175" s="10"/>
      <c r="R1175" s="10"/>
      <c r="S1175" s="7" t="s">
        <v>407</v>
      </c>
      <c r="T1175" s="7" t="s">
        <v>143</v>
      </c>
      <c r="U1175" s="7" t="s">
        <v>44</v>
      </c>
      <c r="V1175" s="7" t="s">
        <v>45</v>
      </c>
      <c r="W1175" s="7" t="s">
        <v>130</v>
      </c>
      <c r="X1175" s="7" t="s">
        <v>131</v>
      </c>
      <c r="Y1175" s="7" t="s">
        <v>2862</v>
      </c>
      <c r="Z1175" s="7" t="s">
        <v>2844</v>
      </c>
      <c r="AA1175" s="7"/>
      <c r="AB1175" s="7"/>
      <c r="AC1175" s="7" t="s">
        <v>136</v>
      </c>
      <c r="AD1175" s="7"/>
      <c r="AE1175" s="7"/>
      <c r="AF1175" s="7" t="s">
        <v>50</v>
      </c>
      <c r="AG1175" s="7" t="s">
        <v>134</v>
      </c>
      <c r="AH1175" s="7" t="s">
        <v>141</v>
      </c>
    </row>
    <row r="1176" spans="1:34" ht="9.75" customHeight="1" x14ac:dyDescent="0.2">
      <c r="A1176" s="7" t="s">
        <v>37</v>
      </c>
      <c r="B1176" s="7" t="s">
        <v>38</v>
      </c>
      <c r="C1176" s="7"/>
      <c r="D1176" s="7" t="s">
        <v>2863</v>
      </c>
      <c r="E1176" s="8">
        <v>1</v>
      </c>
      <c r="F1176" s="7" t="s">
        <v>41</v>
      </c>
      <c r="G1176" s="7"/>
      <c r="H1176" s="9"/>
      <c r="I1176" s="10">
        <v>115600</v>
      </c>
      <c r="J1176" s="9"/>
      <c r="K1176" s="9"/>
      <c r="L1176" s="10">
        <v>107405</v>
      </c>
      <c r="M1176" s="9"/>
      <c r="N1176" s="10">
        <v>107405</v>
      </c>
      <c r="O1176" s="9"/>
      <c r="P1176" s="10"/>
      <c r="Q1176" s="10"/>
      <c r="R1176" s="10"/>
      <c r="S1176" s="7" t="s">
        <v>407</v>
      </c>
      <c r="T1176" s="7" t="s">
        <v>143</v>
      </c>
      <c r="U1176" s="7" t="s">
        <v>44</v>
      </c>
      <c r="V1176" s="7" t="s">
        <v>45</v>
      </c>
      <c r="W1176" s="7" t="s">
        <v>130</v>
      </c>
      <c r="X1176" s="7" t="s">
        <v>131</v>
      </c>
      <c r="Y1176" s="7" t="s">
        <v>2864</v>
      </c>
      <c r="Z1176" s="7" t="s">
        <v>2844</v>
      </c>
      <c r="AA1176" s="7"/>
      <c r="AB1176" s="7"/>
      <c r="AC1176" s="7" t="s">
        <v>136</v>
      </c>
      <c r="AD1176" s="7"/>
      <c r="AE1176" s="7"/>
      <c r="AF1176" s="7" t="s">
        <v>50</v>
      </c>
      <c r="AG1176" s="7" t="s">
        <v>134</v>
      </c>
      <c r="AH1176" s="7" t="s">
        <v>141</v>
      </c>
    </row>
    <row r="1177" spans="1:34" ht="9.75" customHeight="1" x14ac:dyDescent="0.2">
      <c r="A1177" s="7" t="s">
        <v>37</v>
      </c>
      <c r="B1177" s="7" t="s">
        <v>38</v>
      </c>
      <c r="C1177" s="7"/>
      <c r="D1177" s="7" t="s">
        <v>2865</v>
      </c>
      <c r="E1177" s="8">
        <v>1</v>
      </c>
      <c r="F1177" s="7" t="s">
        <v>41</v>
      </c>
      <c r="G1177" s="7"/>
      <c r="H1177" s="9"/>
      <c r="I1177" s="10">
        <v>14339</v>
      </c>
      <c r="J1177" s="9"/>
      <c r="K1177" s="9"/>
      <c r="L1177" s="10">
        <v>32000</v>
      </c>
      <c r="M1177" s="9"/>
      <c r="N1177" s="10">
        <v>32000</v>
      </c>
      <c r="O1177" s="9"/>
      <c r="P1177" s="10"/>
      <c r="Q1177" s="10"/>
      <c r="R1177" s="10"/>
      <c r="S1177" s="7" t="s">
        <v>407</v>
      </c>
      <c r="T1177" s="7" t="s">
        <v>143</v>
      </c>
      <c r="U1177" s="7" t="s">
        <v>44</v>
      </c>
      <c r="V1177" s="7" t="s">
        <v>45</v>
      </c>
      <c r="W1177" s="7" t="s">
        <v>130</v>
      </c>
      <c r="X1177" s="7" t="s">
        <v>131</v>
      </c>
      <c r="Y1177" s="7" t="s">
        <v>2866</v>
      </c>
      <c r="Z1177" s="7" t="s">
        <v>2844</v>
      </c>
      <c r="AA1177" s="7"/>
      <c r="AB1177" s="7"/>
      <c r="AC1177" s="7" t="s">
        <v>136</v>
      </c>
      <c r="AD1177" s="7"/>
      <c r="AE1177" s="7"/>
      <c r="AF1177" s="7" t="s">
        <v>50</v>
      </c>
      <c r="AG1177" s="7" t="s">
        <v>134</v>
      </c>
      <c r="AH1177" s="7" t="s">
        <v>141</v>
      </c>
    </row>
    <row r="1178" spans="1:34" ht="9.75" customHeight="1" x14ac:dyDescent="0.2">
      <c r="A1178" s="7" t="s">
        <v>37</v>
      </c>
      <c r="B1178" s="7" t="s">
        <v>38</v>
      </c>
      <c r="C1178" s="7"/>
      <c r="D1178" s="7" t="s">
        <v>2867</v>
      </c>
      <c r="E1178" s="8">
        <v>1</v>
      </c>
      <c r="F1178" s="7" t="s">
        <v>41</v>
      </c>
      <c r="G1178" s="7"/>
      <c r="H1178" s="9"/>
      <c r="I1178" s="10">
        <v>100245</v>
      </c>
      <c r="J1178" s="9"/>
      <c r="K1178" s="9"/>
      <c r="L1178" s="10">
        <v>48460</v>
      </c>
      <c r="M1178" s="9"/>
      <c r="N1178" s="10">
        <v>48460</v>
      </c>
      <c r="O1178" s="9"/>
      <c r="P1178" s="10"/>
      <c r="Q1178" s="10"/>
      <c r="R1178" s="10"/>
      <c r="S1178" s="7" t="s">
        <v>407</v>
      </c>
      <c r="T1178" s="7" t="s">
        <v>143</v>
      </c>
      <c r="U1178" s="7" t="s">
        <v>44</v>
      </c>
      <c r="V1178" s="7" t="s">
        <v>45</v>
      </c>
      <c r="W1178" s="7" t="s">
        <v>130</v>
      </c>
      <c r="X1178" s="7" t="s">
        <v>131</v>
      </c>
      <c r="Y1178" s="7" t="s">
        <v>2868</v>
      </c>
      <c r="Z1178" s="7" t="s">
        <v>2844</v>
      </c>
      <c r="AA1178" s="7"/>
      <c r="AB1178" s="7"/>
      <c r="AC1178" s="7" t="s">
        <v>136</v>
      </c>
      <c r="AD1178" s="7"/>
      <c r="AE1178" s="7"/>
      <c r="AF1178" s="7" t="s">
        <v>50</v>
      </c>
      <c r="AG1178" s="7" t="s">
        <v>134</v>
      </c>
      <c r="AH1178" s="7" t="s">
        <v>141</v>
      </c>
    </row>
    <row r="1179" spans="1:34" ht="9.75" customHeight="1" x14ac:dyDescent="0.2">
      <c r="A1179" s="7" t="s">
        <v>37</v>
      </c>
      <c r="B1179" s="7" t="s">
        <v>38</v>
      </c>
      <c r="C1179" s="7"/>
      <c r="D1179" s="7" t="s">
        <v>2869</v>
      </c>
      <c r="E1179" s="8">
        <v>1</v>
      </c>
      <c r="F1179" s="7" t="s">
        <v>41</v>
      </c>
      <c r="G1179" s="7"/>
      <c r="H1179" s="9"/>
      <c r="I1179" s="10">
        <v>120992</v>
      </c>
      <c r="J1179" s="9"/>
      <c r="K1179" s="9"/>
      <c r="L1179" s="10">
        <v>54946</v>
      </c>
      <c r="M1179" s="9"/>
      <c r="N1179" s="10">
        <v>54946</v>
      </c>
      <c r="O1179" s="9"/>
      <c r="P1179" s="10"/>
      <c r="Q1179" s="10"/>
      <c r="R1179" s="10"/>
      <c r="S1179" s="7" t="s">
        <v>407</v>
      </c>
      <c r="T1179" s="7" t="s">
        <v>143</v>
      </c>
      <c r="U1179" s="7" t="s">
        <v>44</v>
      </c>
      <c r="V1179" s="7" t="s">
        <v>45</v>
      </c>
      <c r="W1179" s="7" t="s">
        <v>130</v>
      </c>
      <c r="X1179" s="7" t="s">
        <v>131</v>
      </c>
      <c r="Y1179" s="7" t="s">
        <v>2870</v>
      </c>
      <c r="Z1179" s="7" t="s">
        <v>2844</v>
      </c>
      <c r="AA1179" s="7"/>
      <c r="AB1179" s="7"/>
      <c r="AC1179" s="7" t="s">
        <v>136</v>
      </c>
      <c r="AD1179" s="7"/>
      <c r="AE1179" s="7"/>
      <c r="AF1179" s="7" t="s">
        <v>50</v>
      </c>
      <c r="AG1179" s="7" t="s">
        <v>134</v>
      </c>
      <c r="AH1179" s="7" t="s">
        <v>141</v>
      </c>
    </row>
    <row r="1180" spans="1:34" ht="9.75" customHeight="1" x14ac:dyDescent="0.2">
      <c r="A1180" s="7" t="s">
        <v>37</v>
      </c>
      <c r="B1180" s="7" t="s">
        <v>38</v>
      </c>
      <c r="C1180" s="7"/>
      <c r="D1180" s="7" t="s">
        <v>2871</v>
      </c>
      <c r="E1180" s="8">
        <v>1</v>
      </c>
      <c r="F1180" s="7" t="s">
        <v>41</v>
      </c>
      <c r="G1180" s="7"/>
      <c r="H1180" s="9"/>
      <c r="I1180" s="10">
        <v>134216</v>
      </c>
      <c r="J1180" s="9"/>
      <c r="K1180" s="9"/>
      <c r="L1180" s="10">
        <v>76322</v>
      </c>
      <c r="M1180" s="9"/>
      <c r="N1180" s="10">
        <v>76322</v>
      </c>
      <c r="O1180" s="9"/>
      <c r="P1180" s="10"/>
      <c r="Q1180" s="10"/>
      <c r="R1180" s="10"/>
      <c r="S1180" s="7" t="s">
        <v>407</v>
      </c>
      <c r="T1180" s="7" t="s">
        <v>143</v>
      </c>
      <c r="U1180" s="7" t="s">
        <v>44</v>
      </c>
      <c r="V1180" s="7" t="s">
        <v>45</v>
      </c>
      <c r="W1180" s="7" t="s">
        <v>130</v>
      </c>
      <c r="X1180" s="7" t="s">
        <v>131</v>
      </c>
      <c r="Y1180" s="7" t="s">
        <v>2872</v>
      </c>
      <c r="Z1180" s="7" t="s">
        <v>2844</v>
      </c>
      <c r="AA1180" s="7"/>
      <c r="AB1180" s="7"/>
      <c r="AC1180" s="7" t="s">
        <v>136</v>
      </c>
      <c r="AD1180" s="7"/>
      <c r="AE1180" s="7"/>
      <c r="AF1180" s="7" t="s">
        <v>50</v>
      </c>
      <c r="AG1180" s="7" t="s">
        <v>134</v>
      </c>
      <c r="AH1180" s="7" t="s">
        <v>141</v>
      </c>
    </row>
    <row r="1181" spans="1:34" ht="9.75" customHeight="1" x14ac:dyDescent="0.2">
      <c r="A1181" s="7" t="s">
        <v>37</v>
      </c>
      <c r="B1181" s="7" t="s">
        <v>38</v>
      </c>
      <c r="C1181" s="7"/>
      <c r="D1181" s="7" t="s">
        <v>2842</v>
      </c>
      <c r="E1181" s="8">
        <v>1</v>
      </c>
      <c r="F1181" s="7" t="s">
        <v>41</v>
      </c>
      <c r="G1181" s="7"/>
      <c r="H1181" s="9"/>
      <c r="I1181" s="10">
        <v>82697</v>
      </c>
      <c r="J1181" s="9"/>
      <c r="K1181" s="9"/>
      <c r="L1181" s="10">
        <v>83596</v>
      </c>
      <c r="M1181" s="9"/>
      <c r="N1181" s="10">
        <v>83596</v>
      </c>
      <c r="O1181" s="9"/>
      <c r="P1181" s="10"/>
      <c r="Q1181" s="10"/>
      <c r="R1181" s="10"/>
      <c r="S1181" s="7" t="s">
        <v>407</v>
      </c>
      <c r="T1181" s="7" t="s">
        <v>143</v>
      </c>
      <c r="U1181" s="7" t="s">
        <v>44</v>
      </c>
      <c r="V1181" s="7" t="s">
        <v>45</v>
      </c>
      <c r="W1181" s="7" t="s">
        <v>130</v>
      </c>
      <c r="X1181" s="7" t="s">
        <v>131</v>
      </c>
      <c r="Y1181" s="7" t="s">
        <v>2843</v>
      </c>
      <c r="Z1181" s="7" t="s">
        <v>2873</v>
      </c>
      <c r="AA1181" s="7"/>
      <c r="AB1181" s="7"/>
      <c r="AC1181" s="7" t="s">
        <v>136</v>
      </c>
      <c r="AD1181" s="7"/>
      <c r="AE1181" s="7" t="s">
        <v>410</v>
      </c>
      <c r="AF1181" s="7" t="s">
        <v>50</v>
      </c>
      <c r="AG1181" s="7" t="s">
        <v>134</v>
      </c>
      <c r="AH1181" s="7" t="s">
        <v>141</v>
      </c>
    </row>
    <row r="1182" spans="1:34" ht="9.75" customHeight="1" x14ac:dyDescent="0.2">
      <c r="A1182" s="7" t="s">
        <v>37</v>
      </c>
      <c r="B1182" s="7" t="s">
        <v>38</v>
      </c>
      <c r="C1182" s="7"/>
      <c r="D1182" s="7" t="s">
        <v>2845</v>
      </c>
      <c r="E1182" s="8">
        <v>1</v>
      </c>
      <c r="F1182" s="7" t="s">
        <v>41</v>
      </c>
      <c r="G1182" s="7"/>
      <c r="H1182" s="9"/>
      <c r="I1182" s="10">
        <v>4628213</v>
      </c>
      <c r="J1182" s="9"/>
      <c r="K1182" s="9"/>
      <c r="L1182" s="10">
        <v>282604</v>
      </c>
      <c r="M1182" s="9"/>
      <c r="N1182" s="10">
        <v>282604</v>
      </c>
      <c r="O1182" s="9"/>
      <c r="P1182" s="10"/>
      <c r="Q1182" s="10"/>
      <c r="R1182" s="10"/>
      <c r="S1182" s="7" t="s">
        <v>407</v>
      </c>
      <c r="T1182" s="7" t="s">
        <v>143</v>
      </c>
      <c r="U1182" s="7" t="s">
        <v>44</v>
      </c>
      <c r="V1182" s="7" t="s">
        <v>45</v>
      </c>
      <c r="W1182" s="7" t="s">
        <v>130</v>
      </c>
      <c r="X1182" s="7" t="s">
        <v>131</v>
      </c>
      <c r="Y1182" s="7" t="s">
        <v>2846</v>
      </c>
      <c r="Z1182" s="7" t="s">
        <v>2873</v>
      </c>
      <c r="AA1182" s="7"/>
      <c r="AB1182" s="7"/>
      <c r="AC1182" s="7" t="s">
        <v>136</v>
      </c>
      <c r="AD1182" s="7"/>
      <c r="AE1182" s="7" t="s">
        <v>207</v>
      </c>
      <c r="AF1182" s="7" t="s">
        <v>50</v>
      </c>
      <c r="AG1182" s="7" t="s">
        <v>134</v>
      </c>
      <c r="AH1182" s="7" t="s">
        <v>141</v>
      </c>
    </row>
    <row r="1183" spans="1:34" ht="9.75" customHeight="1" x14ac:dyDescent="0.2">
      <c r="A1183" s="7" t="s">
        <v>37</v>
      </c>
      <c r="B1183" s="7" t="s">
        <v>38</v>
      </c>
      <c r="C1183" s="7"/>
      <c r="D1183" s="7" t="s">
        <v>2847</v>
      </c>
      <c r="E1183" s="8">
        <v>1</v>
      </c>
      <c r="F1183" s="7" t="s">
        <v>41</v>
      </c>
      <c r="G1183" s="7"/>
      <c r="H1183" s="9"/>
      <c r="I1183" s="10">
        <v>91627</v>
      </c>
      <c r="J1183" s="9"/>
      <c r="K1183" s="9"/>
      <c r="L1183" s="10">
        <v>136872</v>
      </c>
      <c r="M1183" s="9"/>
      <c r="N1183" s="10">
        <v>136872</v>
      </c>
      <c r="O1183" s="9"/>
      <c r="P1183" s="10"/>
      <c r="Q1183" s="10"/>
      <c r="R1183" s="10"/>
      <c r="S1183" s="7" t="s">
        <v>407</v>
      </c>
      <c r="T1183" s="7" t="s">
        <v>143</v>
      </c>
      <c r="U1183" s="7" t="s">
        <v>44</v>
      </c>
      <c r="V1183" s="7" t="s">
        <v>45</v>
      </c>
      <c r="W1183" s="7" t="s">
        <v>130</v>
      </c>
      <c r="X1183" s="7" t="s">
        <v>131</v>
      </c>
      <c r="Y1183" s="7" t="s">
        <v>2848</v>
      </c>
      <c r="Z1183" s="7" t="s">
        <v>2873</v>
      </c>
      <c r="AA1183" s="7"/>
      <c r="AB1183" s="7"/>
      <c r="AC1183" s="7" t="s">
        <v>136</v>
      </c>
      <c r="AD1183" s="7"/>
      <c r="AE1183" s="7" t="s">
        <v>415</v>
      </c>
      <c r="AF1183" s="7" t="s">
        <v>50</v>
      </c>
      <c r="AG1183" s="7" t="s">
        <v>134</v>
      </c>
      <c r="AH1183" s="7" t="s">
        <v>141</v>
      </c>
    </row>
    <row r="1184" spans="1:34" ht="9.75" customHeight="1" x14ac:dyDescent="0.2">
      <c r="A1184" s="7" t="s">
        <v>37</v>
      </c>
      <c r="B1184" s="7" t="s">
        <v>38</v>
      </c>
      <c r="C1184" s="7"/>
      <c r="D1184" s="7" t="s">
        <v>2849</v>
      </c>
      <c r="E1184" s="8">
        <v>1</v>
      </c>
      <c r="F1184" s="7" t="s">
        <v>41</v>
      </c>
      <c r="G1184" s="7"/>
      <c r="H1184" s="9"/>
      <c r="I1184" s="10">
        <v>950971</v>
      </c>
      <c r="J1184" s="9"/>
      <c r="K1184" s="9"/>
      <c r="L1184" s="10">
        <v>23521</v>
      </c>
      <c r="M1184" s="9"/>
      <c r="N1184" s="10">
        <v>23521</v>
      </c>
      <c r="O1184" s="9"/>
      <c r="P1184" s="10"/>
      <c r="Q1184" s="10"/>
      <c r="R1184" s="10"/>
      <c r="S1184" s="7" t="s">
        <v>407</v>
      </c>
      <c r="T1184" s="7" t="s">
        <v>143</v>
      </c>
      <c r="U1184" s="7" t="s">
        <v>44</v>
      </c>
      <c r="V1184" s="7" t="s">
        <v>45</v>
      </c>
      <c r="W1184" s="7" t="s">
        <v>130</v>
      </c>
      <c r="X1184" s="7" t="s">
        <v>131</v>
      </c>
      <c r="Y1184" s="7" t="s">
        <v>2850</v>
      </c>
      <c r="Z1184" s="7" t="s">
        <v>2873</v>
      </c>
      <c r="AA1184" s="7"/>
      <c r="AB1184" s="7"/>
      <c r="AC1184" s="7" t="s">
        <v>136</v>
      </c>
      <c r="AD1184" s="7"/>
      <c r="AE1184" s="7" t="s">
        <v>2874</v>
      </c>
      <c r="AF1184" s="7" t="s">
        <v>50</v>
      </c>
      <c r="AG1184" s="7" t="s">
        <v>134</v>
      </c>
      <c r="AH1184" s="7" t="s">
        <v>141</v>
      </c>
    </row>
    <row r="1185" spans="1:34" ht="9.75" customHeight="1" x14ac:dyDescent="0.2">
      <c r="A1185" s="7" t="s">
        <v>37</v>
      </c>
      <c r="B1185" s="7" t="s">
        <v>38</v>
      </c>
      <c r="C1185" s="7"/>
      <c r="D1185" s="7" t="s">
        <v>2875</v>
      </c>
      <c r="E1185" s="8">
        <v>1</v>
      </c>
      <c r="F1185" s="7" t="s">
        <v>41</v>
      </c>
      <c r="G1185" s="7"/>
      <c r="H1185" s="9"/>
      <c r="I1185" s="10">
        <v>100673</v>
      </c>
      <c r="J1185" s="9"/>
      <c r="K1185" s="9"/>
      <c r="L1185" s="10">
        <v>154029</v>
      </c>
      <c r="M1185" s="9"/>
      <c r="N1185" s="10">
        <v>154029</v>
      </c>
      <c r="O1185" s="9"/>
      <c r="P1185" s="10"/>
      <c r="Q1185" s="10"/>
      <c r="R1185" s="10"/>
      <c r="S1185" s="7" t="s">
        <v>407</v>
      </c>
      <c r="T1185" s="7" t="s">
        <v>143</v>
      </c>
      <c r="U1185" s="7" t="s">
        <v>44</v>
      </c>
      <c r="V1185" s="7" t="s">
        <v>45</v>
      </c>
      <c r="W1185" s="7" t="s">
        <v>130</v>
      </c>
      <c r="X1185" s="7" t="s">
        <v>131</v>
      </c>
      <c r="Y1185" s="7" t="s">
        <v>2876</v>
      </c>
      <c r="Z1185" s="7" t="s">
        <v>2873</v>
      </c>
      <c r="AA1185" s="7"/>
      <c r="AB1185" s="7"/>
      <c r="AC1185" s="7" t="s">
        <v>136</v>
      </c>
      <c r="AD1185" s="7"/>
      <c r="AE1185" s="7"/>
      <c r="AF1185" s="7" t="s">
        <v>50</v>
      </c>
      <c r="AG1185" s="7" t="s">
        <v>134</v>
      </c>
      <c r="AH1185" s="7" t="s">
        <v>141</v>
      </c>
    </row>
    <row r="1186" spans="1:34" ht="9.75" customHeight="1" x14ac:dyDescent="0.2">
      <c r="A1186" s="7" t="s">
        <v>37</v>
      </c>
      <c r="B1186" s="7" t="s">
        <v>38</v>
      </c>
      <c r="C1186" s="7"/>
      <c r="D1186" s="7" t="s">
        <v>2851</v>
      </c>
      <c r="E1186" s="8">
        <v>1</v>
      </c>
      <c r="F1186" s="7" t="s">
        <v>41</v>
      </c>
      <c r="G1186" s="7"/>
      <c r="H1186" s="9"/>
      <c r="I1186" s="10">
        <v>1187380</v>
      </c>
      <c r="J1186" s="9"/>
      <c r="K1186" s="9"/>
      <c r="L1186" s="10">
        <v>1816641</v>
      </c>
      <c r="M1186" s="9"/>
      <c r="N1186" s="10">
        <v>1816641</v>
      </c>
      <c r="O1186" s="9"/>
      <c r="P1186" s="10"/>
      <c r="Q1186" s="10"/>
      <c r="R1186" s="10"/>
      <c r="S1186" s="7" t="s">
        <v>407</v>
      </c>
      <c r="T1186" s="7" t="s">
        <v>143</v>
      </c>
      <c r="U1186" s="7" t="s">
        <v>44</v>
      </c>
      <c r="V1186" s="7" t="s">
        <v>45</v>
      </c>
      <c r="W1186" s="7" t="s">
        <v>130</v>
      </c>
      <c r="X1186" s="7" t="s">
        <v>131</v>
      </c>
      <c r="Y1186" s="7" t="s">
        <v>2852</v>
      </c>
      <c r="Z1186" s="7" t="s">
        <v>2873</v>
      </c>
      <c r="AA1186" s="7"/>
      <c r="AB1186" s="7"/>
      <c r="AC1186" s="7" t="s">
        <v>136</v>
      </c>
      <c r="AD1186" s="7"/>
      <c r="AE1186" s="7"/>
      <c r="AF1186" s="7" t="s">
        <v>50</v>
      </c>
      <c r="AG1186" s="7" t="s">
        <v>134</v>
      </c>
      <c r="AH1186" s="7" t="s">
        <v>141</v>
      </c>
    </row>
    <row r="1187" spans="1:34" ht="9.75" customHeight="1" x14ac:dyDescent="0.2">
      <c r="A1187" s="7" t="s">
        <v>37</v>
      </c>
      <c r="B1187" s="7" t="s">
        <v>38</v>
      </c>
      <c r="C1187" s="7"/>
      <c r="D1187" s="7" t="s">
        <v>2853</v>
      </c>
      <c r="E1187" s="8">
        <v>1</v>
      </c>
      <c r="F1187" s="7" t="s">
        <v>41</v>
      </c>
      <c r="G1187" s="7"/>
      <c r="H1187" s="9"/>
      <c r="I1187" s="10">
        <v>87684</v>
      </c>
      <c r="J1187" s="9"/>
      <c r="K1187" s="9"/>
      <c r="L1187" s="10">
        <v>88492</v>
      </c>
      <c r="M1187" s="9"/>
      <c r="N1187" s="10">
        <v>88492</v>
      </c>
      <c r="O1187" s="9"/>
      <c r="P1187" s="10"/>
      <c r="Q1187" s="10"/>
      <c r="R1187" s="10"/>
      <c r="S1187" s="7" t="s">
        <v>407</v>
      </c>
      <c r="T1187" s="7" t="s">
        <v>143</v>
      </c>
      <c r="U1187" s="7" t="s">
        <v>44</v>
      </c>
      <c r="V1187" s="7" t="s">
        <v>45</v>
      </c>
      <c r="W1187" s="7" t="s">
        <v>130</v>
      </c>
      <c r="X1187" s="7" t="s">
        <v>131</v>
      </c>
      <c r="Y1187" s="7" t="s">
        <v>2854</v>
      </c>
      <c r="Z1187" s="7" t="s">
        <v>2873</v>
      </c>
      <c r="AA1187" s="7"/>
      <c r="AB1187" s="7"/>
      <c r="AC1187" s="7" t="s">
        <v>136</v>
      </c>
      <c r="AD1187" s="7"/>
      <c r="AE1187" s="7" t="s">
        <v>427</v>
      </c>
      <c r="AF1187" s="7" t="s">
        <v>50</v>
      </c>
      <c r="AG1187" s="7" t="s">
        <v>134</v>
      </c>
      <c r="AH1187" s="7" t="s">
        <v>141</v>
      </c>
    </row>
    <row r="1188" spans="1:34" ht="9.75" customHeight="1" x14ac:dyDescent="0.2">
      <c r="A1188" s="7" t="s">
        <v>37</v>
      </c>
      <c r="B1188" s="7" t="s">
        <v>38</v>
      </c>
      <c r="C1188" s="7"/>
      <c r="D1188" s="7" t="s">
        <v>2877</v>
      </c>
      <c r="E1188" s="8">
        <v>1</v>
      </c>
      <c r="F1188" s="7" t="s">
        <v>41</v>
      </c>
      <c r="G1188" s="7"/>
      <c r="H1188" s="9"/>
      <c r="I1188" s="10">
        <v>115958</v>
      </c>
      <c r="J1188" s="9"/>
      <c r="K1188" s="9"/>
      <c r="L1188" s="10">
        <v>177416</v>
      </c>
      <c r="M1188" s="9"/>
      <c r="N1188" s="10">
        <v>177416</v>
      </c>
      <c r="O1188" s="9"/>
      <c r="P1188" s="10"/>
      <c r="Q1188" s="10"/>
      <c r="R1188" s="10"/>
      <c r="S1188" s="7" t="s">
        <v>407</v>
      </c>
      <c r="T1188" s="7" t="s">
        <v>143</v>
      </c>
      <c r="U1188" s="7" t="s">
        <v>44</v>
      </c>
      <c r="V1188" s="7" t="s">
        <v>45</v>
      </c>
      <c r="W1188" s="7" t="s">
        <v>130</v>
      </c>
      <c r="X1188" s="7" t="s">
        <v>131</v>
      </c>
      <c r="Y1188" s="7" t="s">
        <v>2878</v>
      </c>
      <c r="Z1188" s="7" t="s">
        <v>2879</v>
      </c>
      <c r="AA1188" s="7"/>
      <c r="AB1188" s="7"/>
      <c r="AC1188" s="7" t="s">
        <v>136</v>
      </c>
      <c r="AD1188" s="7"/>
      <c r="AE1188" s="7" t="s">
        <v>2880</v>
      </c>
      <c r="AF1188" s="7" t="s">
        <v>50</v>
      </c>
      <c r="AG1188" s="7" t="s">
        <v>134</v>
      </c>
      <c r="AH1188" s="7" t="s">
        <v>141</v>
      </c>
    </row>
    <row r="1189" spans="1:34" ht="9.75" customHeight="1" x14ac:dyDescent="0.2">
      <c r="A1189" s="7" t="s">
        <v>37</v>
      </c>
      <c r="B1189" s="7" t="s">
        <v>38</v>
      </c>
      <c r="C1189" s="7"/>
      <c r="D1189" s="7" t="s">
        <v>2881</v>
      </c>
      <c r="E1189" s="8">
        <v>1</v>
      </c>
      <c r="F1189" s="7" t="s">
        <v>41</v>
      </c>
      <c r="G1189" s="7"/>
      <c r="H1189" s="9"/>
      <c r="I1189" s="10">
        <v>161619</v>
      </c>
      <c r="J1189" s="9"/>
      <c r="K1189" s="9"/>
      <c r="L1189" s="10">
        <v>247277</v>
      </c>
      <c r="M1189" s="9"/>
      <c r="N1189" s="10">
        <v>247277</v>
      </c>
      <c r="O1189" s="9"/>
      <c r="P1189" s="10"/>
      <c r="Q1189" s="10"/>
      <c r="R1189" s="10"/>
      <c r="S1189" s="7" t="s">
        <v>407</v>
      </c>
      <c r="T1189" s="7" t="s">
        <v>143</v>
      </c>
      <c r="U1189" s="7" t="s">
        <v>44</v>
      </c>
      <c r="V1189" s="7" t="s">
        <v>45</v>
      </c>
      <c r="W1189" s="7" t="s">
        <v>130</v>
      </c>
      <c r="X1189" s="7" t="s">
        <v>131</v>
      </c>
      <c r="Y1189" s="7" t="s">
        <v>2882</v>
      </c>
      <c r="Z1189" s="7" t="s">
        <v>2879</v>
      </c>
      <c r="AA1189" s="7"/>
      <c r="AB1189" s="7"/>
      <c r="AC1189" s="7" t="s">
        <v>136</v>
      </c>
      <c r="AD1189" s="7"/>
      <c r="AE1189" s="7" t="s">
        <v>2883</v>
      </c>
      <c r="AF1189" s="7" t="s">
        <v>50</v>
      </c>
      <c r="AG1189" s="7" t="s">
        <v>134</v>
      </c>
      <c r="AH1189" s="7" t="s">
        <v>141</v>
      </c>
    </row>
    <row r="1190" spans="1:34" ht="9.75" customHeight="1" x14ac:dyDescent="0.2">
      <c r="A1190" s="7" t="s">
        <v>37</v>
      </c>
      <c r="B1190" s="7" t="s">
        <v>38</v>
      </c>
      <c r="C1190" s="7"/>
      <c r="D1190" s="7" t="s">
        <v>2884</v>
      </c>
      <c r="E1190" s="8">
        <v>1</v>
      </c>
      <c r="F1190" s="7" t="s">
        <v>41</v>
      </c>
      <c r="G1190" s="7"/>
      <c r="H1190" s="9"/>
      <c r="I1190" s="10">
        <v>31794</v>
      </c>
      <c r="J1190" s="9"/>
      <c r="K1190" s="9"/>
      <c r="L1190" s="10">
        <v>48645</v>
      </c>
      <c r="M1190" s="9"/>
      <c r="N1190" s="10">
        <v>48645</v>
      </c>
      <c r="O1190" s="9"/>
      <c r="P1190" s="10"/>
      <c r="Q1190" s="10"/>
      <c r="R1190" s="10"/>
      <c r="S1190" s="7" t="s">
        <v>407</v>
      </c>
      <c r="T1190" s="7" t="s">
        <v>143</v>
      </c>
      <c r="U1190" s="7" t="s">
        <v>44</v>
      </c>
      <c r="V1190" s="7" t="s">
        <v>45</v>
      </c>
      <c r="W1190" s="7" t="s">
        <v>130</v>
      </c>
      <c r="X1190" s="7" t="s">
        <v>131</v>
      </c>
      <c r="Y1190" s="7" t="s">
        <v>2885</v>
      </c>
      <c r="Z1190" s="7" t="s">
        <v>2879</v>
      </c>
      <c r="AA1190" s="7"/>
      <c r="AB1190" s="7"/>
      <c r="AC1190" s="7" t="s">
        <v>136</v>
      </c>
      <c r="AD1190" s="7"/>
      <c r="AE1190" s="7" t="s">
        <v>2886</v>
      </c>
      <c r="AF1190" s="7" t="s">
        <v>50</v>
      </c>
      <c r="AG1190" s="7" t="s">
        <v>134</v>
      </c>
      <c r="AH1190" s="7" t="s">
        <v>141</v>
      </c>
    </row>
    <row r="1191" spans="1:34" ht="9.75" customHeight="1" x14ac:dyDescent="0.2">
      <c r="A1191" s="7" t="s">
        <v>37</v>
      </c>
      <c r="B1191" s="7" t="s">
        <v>38</v>
      </c>
      <c r="C1191" s="7"/>
      <c r="D1191" s="7" t="s">
        <v>2887</v>
      </c>
      <c r="E1191" s="8">
        <v>1</v>
      </c>
      <c r="F1191" s="7" t="s">
        <v>41</v>
      </c>
      <c r="G1191" s="7"/>
      <c r="H1191" s="9"/>
      <c r="I1191" s="10">
        <v>126902</v>
      </c>
      <c r="J1191" s="9"/>
      <c r="K1191" s="9"/>
      <c r="L1191" s="10">
        <v>194160</v>
      </c>
      <c r="M1191" s="9"/>
      <c r="N1191" s="10">
        <v>194160</v>
      </c>
      <c r="O1191" s="9"/>
      <c r="P1191" s="10"/>
      <c r="Q1191" s="10"/>
      <c r="R1191" s="10"/>
      <c r="S1191" s="7" t="s">
        <v>407</v>
      </c>
      <c r="T1191" s="7" t="s">
        <v>143</v>
      </c>
      <c r="U1191" s="7" t="s">
        <v>44</v>
      </c>
      <c r="V1191" s="7" t="s">
        <v>45</v>
      </c>
      <c r="W1191" s="7" t="s">
        <v>130</v>
      </c>
      <c r="X1191" s="7" t="s">
        <v>131</v>
      </c>
      <c r="Y1191" s="7" t="s">
        <v>2888</v>
      </c>
      <c r="Z1191" s="7" t="s">
        <v>2879</v>
      </c>
      <c r="AA1191" s="7"/>
      <c r="AB1191" s="7"/>
      <c r="AC1191" s="7" t="s">
        <v>136</v>
      </c>
      <c r="AD1191" s="7"/>
      <c r="AE1191" s="7" t="s">
        <v>2889</v>
      </c>
      <c r="AF1191" s="7" t="s">
        <v>50</v>
      </c>
      <c r="AG1191" s="7" t="s">
        <v>134</v>
      </c>
      <c r="AH1191" s="7" t="s">
        <v>141</v>
      </c>
    </row>
    <row r="1192" spans="1:34" ht="9.75" customHeight="1" x14ac:dyDescent="0.2">
      <c r="A1192" s="7" t="s">
        <v>37</v>
      </c>
      <c r="B1192" s="7" t="s">
        <v>38</v>
      </c>
      <c r="C1192" s="7"/>
      <c r="D1192" s="7" t="s">
        <v>2890</v>
      </c>
      <c r="E1192" s="8">
        <v>1</v>
      </c>
      <c r="F1192" s="7" t="s">
        <v>41</v>
      </c>
      <c r="G1192" s="7"/>
      <c r="H1192" s="9"/>
      <c r="I1192" s="10">
        <v>16022</v>
      </c>
      <c r="J1192" s="9"/>
      <c r="K1192" s="9"/>
      <c r="L1192" s="10">
        <v>24514</v>
      </c>
      <c r="M1192" s="9"/>
      <c r="N1192" s="10">
        <v>24514</v>
      </c>
      <c r="O1192" s="9"/>
      <c r="P1192" s="10"/>
      <c r="Q1192" s="10"/>
      <c r="R1192" s="10"/>
      <c r="S1192" s="7" t="s">
        <v>407</v>
      </c>
      <c r="T1192" s="7" t="s">
        <v>143</v>
      </c>
      <c r="U1192" s="7" t="s">
        <v>44</v>
      </c>
      <c r="V1192" s="7" t="s">
        <v>45</v>
      </c>
      <c r="W1192" s="7" t="s">
        <v>130</v>
      </c>
      <c r="X1192" s="7" t="s">
        <v>131</v>
      </c>
      <c r="Y1192" s="7" t="s">
        <v>2891</v>
      </c>
      <c r="Z1192" s="7" t="s">
        <v>2879</v>
      </c>
      <c r="AA1192" s="7"/>
      <c r="AB1192" s="7"/>
      <c r="AC1192" s="7" t="s">
        <v>136</v>
      </c>
      <c r="AD1192" s="7"/>
      <c r="AE1192" s="7" t="s">
        <v>2892</v>
      </c>
      <c r="AF1192" s="7" t="s">
        <v>50</v>
      </c>
      <c r="AG1192" s="7" t="s">
        <v>134</v>
      </c>
      <c r="AH1192" s="7" t="s">
        <v>141</v>
      </c>
    </row>
    <row r="1193" spans="1:34" ht="9.75" customHeight="1" x14ac:dyDescent="0.2">
      <c r="A1193" s="7" t="s">
        <v>37</v>
      </c>
      <c r="B1193" s="7" t="s">
        <v>38</v>
      </c>
      <c r="C1193" s="7"/>
      <c r="D1193" s="7" t="s">
        <v>2893</v>
      </c>
      <c r="E1193" s="8">
        <v>1</v>
      </c>
      <c r="F1193" s="7" t="s">
        <v>41</v>
      </c>
      <c r="G1193" s="7"/>
      <c r="H1193" s="9"/>
      <c r="I1193" s="10">
        <v>13119</v>
      </c>
      <c r="J1193" s="9"/>
      <c r="K1193" s="9"/>
      <c r="L1193" s="10">
        <v>20072</v>
      </c>
      <c r="M1193" s="9"/>
      <c r="N1193" s="10">
        <v>20072</v>
      </c>
      <c r="O1193" s="9"/>
      <c r="P1193" s="10"/>
      <c r="Q1193" s="10"/>
      <c r="R1193" s="10"/>
      <c r="S1193" s="7" t="s">
        <v>407</v>
      </c>
      <c r="T1193" s="7" t="s">
        <v>143</v>
      </c>
      <c r="U1193" s="7" t="s">
        <v>44</v>
      </c>
      <c r="V1193" s="7" t="s">
        <v>45</v>
      </c>
      <c r="W1193" s="7" t="s">
        <v>130</v>
      </c>
      <c r="X1193" s="7" t="s">
        <v>131</v>
      </c>
      <c r="Y1193" s="7" t="s">
        <v>2894</v>
      </c>
      <c r="Z1193" s="7" t="s">
        <v>2879</v>
      </c>
      <c r="AA1193" s="7"/>
      <c r="AB1193" s="7"/>
      <c r="AC1193" s="7" t="s">
        <v>136</v>
      </c>
      <c r="AD1193" s="7"/>
      <c r="AE1193" s="7" t="s">
        <v>2895</v>
      </c>
      <c r="AF1193" s="7" t="s">
        <v>50</v>
      </c>
      <c r="AG1193" s="7" t="s">
        <v>134</v>
      </c>
      <c r="AH1193" s="7" t="s">
        <v>141</v>
      </c>
    </row>
    <row r="1194" spans="1:34" ht="9.75" customHeight="1" x14ac:dyDescent="0.2">
      <c r="A1194" s="7" t="s">
        <v>37</v>
      </c>
      <c r="B1194" s="7" t="s">
        <v>38</v>
      </c>
      <c r="C1194" s="7"/>
      <c r="D1194" s="7" t="s">
        <v>2896</v>
      </c>
      <c r="E1194" s="8">
        <v>1</v>
      </c>
      <c r="F1194" s="7" t="s">
        <v>41</v>
      </c>
      <c r="G1194" s="7"/>
      <c r="H1194" s="9"/>
      <c r="I1194" s="10">
        <v>5273</v>
      </c>
      <c r="J1194" s="9"/>
      <c r="K1194" s="9"/>
      <c r="L1194" s="10">
        <v>8068</v>
      </c>
      <c r="M1194" s="9"/>
      <c r="N1194" s="10">
        <v>8068</v>
      </c>
      <c r="O1194" s="9"/>
      <c r="P1194" s="10"/>
      <c r="Q1194" s="10"/>
      <c r="R1194" s="10"/>
      <c r="S1194" s="7" t="s">
        <v>407</v>
      </c>
      <c r="T1194" s="7" t="s">
        <v>143</v>
      </c>
      <c r="U1194" s="7" t="s">
        <v>44</v>
      </c>
      <c r="V1194" s="7" t="s">
        <v>45</v>
      </c>
      <c r="W1194" s="7" t="s">
        <v>130</v>
      </c>
      <c r="X1194" s="7" t="s">
        <v>131</v>
      </c>
      <c r="Y1194" s="7" t="s">
        <v>2897</v>
      </c>
      <c r="Z1194" s="7" t="s">
        <v>2879</v>
      </c>
      <c r="AA1194" s="7"/>
      <c r="AB1194" s="7"/>
      <c r="AC1194" s="7" t="s">
        <v>136</v>
      </c>
      <c r="AD1194" s="7"/>
      <c r="AE1194" s="7" t="s">
        <v>2898</v>
      </c>
      <c r="AF1194" s="7" t="s">
        <v>50</v>
      </c>
      <c r="AG1194" s="7" t="s">
        <v>134</v>
      </c>
      <c r="AH1194" s="7" t="s">
        <v>141</v>
      </c>
    </row>
    <row r="1195" spans="1:34" ht="9.75" customHeight="1" x14ac:dyDescent="0.2">
      <c r="A1195" s="7" t="s">
        <v>37</v>
      </c>
      <c r="B1195" s="7" t="s">
        <v>38</v>
      </c>
      <c r="C1195" s="7"/>
      <c r="D1195" s="7" t="s">
        <v>2899</v>
      </c>
      <c r="E1195" s="8">
        <v>1</v>
      </c>
      <c r="F1195" s="7" t="s">
        <v>41</v>
      </c>
      <c r="G1195" s="7"/>
      <c r="H1195" s="9"/>
      <c r="I1195" s="10">
        <v>8829</v>
      </c>
      <c r="J1195" s="9"/>
      <c r="K1195" s="9"/>
      <c r="L1195" s="10">
        <v>13508</v>
      </c>
      <c r="M1195" s="9"/>
      <c r="N1195" s="10">
        <v>13508</v>
      </c>
      <c r="O1195" s="9"/>
      <c r="P1195" s="10"/>
      <c r="Q1195" s="10"/>
      <c r="R1195" s="10"/>
      <c r="S1195" s="7" t="s">
        <v>407</v>
      </c>
      <c r="T1195" s="7" t="s">
        <v>143</v>
      </c>
      <c r="U1195" s="7" t="s">
        <v>44</v>
      </c>
      <c r="V1195" s="7" t="s">
        <v>45</v>
      </c>
      <c r="W1195" s="7" t="s">
        <v>130</v>
      </c>
      <c r="X1195" s="7" t="s">
        <v>131</v>
      </c>
      <c r="Y1195" s="7" t="s">
        <v>2900</v>
      </c>
      <c r="Z1195" s="7" t="s">
        <v>2879</v>
      </c>
      <c r="AA1195" s="7"/>
      <c r="AB1195" s="7"/>
      <c r="AC1195" s="7" t="s">
        <v>136</v>
      </c>
      <c r="AD1195" s="7"/>
      <c r="AE1195" s="7" t="s">
        <v>2901</v>
      </c>
      <c r="AF1195" s="7" t="s">
        <v>50</v>
      </c>
      <c r="AG1195" s="7" t="s">
        <v>134</v>
      </c>
      <c r="AH1195" s="7" t="s">
        <v>141</v>
      </c>
    </row>
    <row r="1196" spans="1:34" ht="9.75" customHeight="1" x14ac:dyDescent="0.2">
      <c r="A1196" s="7" t="s">
        <v>37</v>
      </c>
      <c r="B1196" s="7" t="s">
        <v>38</v>
      </c>
      <c r="C1196" s="7"/>
      <c r="D1196" s="7" t="s">
        <v>2902</v>
      </c>
      <c r="E1196" s="8">
        <v>1</v>
      </c>
      <c r="F1196" s="7" t="s">
        <v>41</v>
      </c>
      <c r="G1196" s="7"/>
      <c r="H1196" s="9"/>
      <c r="I1196" s="10">
        <v>6233</v>
      </c>
      <c r="J1196" s="9"/>
      <c r="K1196" s="9"/>
      <c r="L1196" s="10">
        <v>9536</v>
      </c>
      <c r="M1196" s="9"/>
      <c r="N1196" s="10">
        <v>9536</v>
      </c>
      <c r="O1196" s="9"/>
      <c r="P1196" s="10"/>
      <c r="Q1196" s="10"/>
      <c r="R1196" s="10"/>
      <c r="S1196" s="7" t="s">
        <v>407</v>
      </c>
      <c r="T1196" s="7" t="s">
        <v>143</v>
      </c>
      <c r="U1196" s="7" t="s">
        <v>44</v>
      </c>
      <c r="V1196" s="7" t="s">
        <v>45</v>
      </c>
      <c r="W1196" s="7" t="s">
        <v>130</v>
      </c>
      <c r="X1196" s="7" t="s">
        <v>131</v>
      </c>
      <c r="Y1196" s="7" t="s">
        <v>2903</v>
      </c>
      <c r="Z1196" s="7" t="s">
        <v>2879</v>
      </c>
      <c r="AA1196" s="7"/>
      <c r="AB1196" s="7"/>
      <c r="AC1196" s="7" t="s">
        <v>136</v>
      </c>
      <c r="AD1196" s="7"/>
      <c r="AE1196" s="7" t="s">
        <v>2904</v>
      </c>
      <c r="AF1196" s="7" t="s">
        <v>50</v>
      </c>
      <c r="AG1196" s="7" t="s">
        <v>134</v>
      </c>
      <c r="AH1196" s="7" t="s">
        <v>141</v>
      </c>
    </row>
    <row r="1197" spans="1:34" ht="9.75" customHeight="1" x14ac:dyDescent="0.2">
      <c r="A1197" s="7" t="s">
        <v>37</v>
      </c>
      <c r="B1197" s="7" t="s">
        <v>38</v>
      </c>
      <c r="C1197" s="7"/>
      <c r="D1197" s="7" t="s">
        <v>2905</v>
      </c>
      <c r="E1197" s="8">
        <v>1</v>
      </c>
      <c r="F1197" s="7" t="s">
        <v>41</v>
      </c>
      <c r="G1197" s="7"/>
      <c r="H1197" s="9"/>
      <c r="I1197" s="10">
        <v>13283</v>
      </c>
      <c r="J1197" s="9"/>
      <c r="K1197" s="9"/>
      <c r="L1197" s="10">
        <v>20323</v>
      </c>
      <c r="M1197" s="9"/>
      <c r="N1197" s="10">
        <v>20323</v>
      </c>
      <c r="O1197" s="9"/>
      <c r="P1197" s="10"/>
      <c r="Q1197" s="10"/>
      <c r="R1197" s="10"/>
      <c r="S1197" s="7" t="s">
        <v>407</v>
      </c>
      <c r="T1197" s="7" t="s">
        <v>143</v>
      </c>
      <c r="U1197" s="7" t="s">
        <v>44</v>
      </c>
      <c r="V1197" s="7" t="s">
        <v>45</v>
      </c>
      <c r="W1197" s="7" t="s">
        <v>130</v>
      </c>
      <c r="X1197" s="7" t="s">
        <v>131</v>
      </c>
      <c r="Y1197" s="7" t="s">
        <v>2906</v>
      </c>
      <c r="Z1197" s="7" t="s">
        <v>2879</v>
      </c>
      <c r="AA1197" s="7"/>
      <c r="AB1197" s="7"/>
      <c r="AC1197" s="7" t="s">
        <v>136</v>
      </c>
      <c r="AD1197" s="7"/>
      <c r="AE1197" s="7" t="s">
        <v>2907</v>
      </c>
      <c r="AF1197" s="7" t="s">
        <v>50</v>
      </c>
      <c r="AG1197" s="7" t="s">
        <v>134</v>
      </c>
      <c r="AH1197" s="7" t="s">
        <v>141</v>
      </c>
    </row>
    <row r="1198" spans="1:34" ht="9.75" customHeight="1" x14ac:dyDescent="0.2">
      <c r="A1198" s="7" t="s">
        <v>37</v>
      </c>
      <c r="B1198" s="7" t="s">
        <v>38</v>
      </c>
      <c r="C1198" s="7"/>
      <c r="D1198" s="7" t="s">
        <v>2908</v>
      </c>
      <c r="E1198" s="8">
        <v>1</v>
      </c>
      <c r="F1198" s="7" t="s">
        <v>41</v>
      </c>
      <c r="G1198" s="7"/>
      <c r="H1198" s="9"/>
      <c r="I1198" s="10">
        <v>43954</v>
      </c>
      <c r="J1198" s="9"/>
      <c r="K1198" s="9"/>
      <c r="L1198" s="10">
        <v>67250</v>
      </c>
      <c r="M1198" s="9"/>
      <c r="N1198" s="10">
        <v>67250</v>
      </c>
      <c r="O1198" s="9"/>
      <c r="P1198" s="10"/>
      <c r="Q1198" s="10"/>
      <c r="R1198" s="10"/>
      <c r="S1198" s="7" t="s">
        <v>407</v>
      </c>
      <c r="T1198" s="7" t="s">
        <v>143</v>
      </c>
      <c r="U1198" s="7" t="s">
        <v>44</v>
      </c>
      <c r="V1198" s="7" t="s">
        <v>45</v>
      </c>
      <c r="W1198" s="7" t="s">
        <v>130</v>
      </c>
      <c r="X1198" s="7" t="s">
        <v>131</v>
      </c>
      <c r="Y1198" s="7" t="s">
        <v>2909</v>
      </c>
      <c r="Z1198" s="7" t="s">
        <v>2879</v>
      </c>
      <c r="AA1198" s="7"/>
      <c r="AB1198" s="7"/>
      <c r="AC1198" s="7" t="s">
        <v>136</v>
      </c>
      <c r="AD1198" s="7"/>
      <c r="AE1198" s="7" t="s">
        <v>1543</v>
      </c>
      <c r="AF1198" s="7" t="s">
        <v>50</v>
      </c>
      <c r="AG1198" s="7" t="s">
        <v>134</v>
      </c>
      <c r="AH1198" s="7" t="s">
        <v>141</v>
      </c>
    </row>
    <row r="1199" spans="1:34" ht="9.75" customHeight="1" x14ac:dyDescent="0.2">
      <c r="A1199" s="7" t="s">
        <v>37</v>
      </c>
      <c r="B1199" s="7" t="s">
        <v>38</v>
      </c>
      <c r="C1199" s="7"/>
      <c r="D1199" s="7" t="s">
        <v>2910</v>
      </c>
      <c r="E1199" s="8">
        <v>1</v>
      </c>
      <c r="F1199" s="7" t="s">
        <v>41</v>
      </c>
      <c r="G1199" s="7"/>
      <c r="H1199" s="9"/>
      <c r="I1199" s="10">
        <v>7622</v>
      </c>
      <c r="J1199" s="9"/>
      <c r="K1199" s="9"/>
      <c r="L1199" s="10">
        <v>11662</v>
      </c>
      <c r="M1199" s="9"/>
      <c r="N1199" s="10">
        <v>11662</v>
      </c>
      <c r="O1199" s="9"/>
      <c r="P1199" s="10"/>
      <c r="Q1199" s="10"/>
      <c r="R1199" s="10"/>
      <c r="S1199" s="7" t="s">
        <v>407</v>
      </c>
      <c r="T1199" s="7" t="s">
        <v>143</v>
      </c>
      <c r="U1199" s="7" t="s">
        <v>44</v>
      </c>
      <c r="V1199" s="7" t="s">
        <v>45</v>
      </c>
      <c r="W1199" s="7" t="s">
        <v>130</v>
      </c>
      <c r="X1199" s="7" t="s">
        <v>131</v>
      </c>
      <c r="Y1199" s="7" t="s">
        <v>2911</v>
      </c>
      <c r="Z1199" s="7" t="s">
        <v>2879</v>
      </c>
      <c r="AA1199" s="7"/>
      <c r="AB1199" s="7"/>
      <c r="AC1199" s="7" t="s">
        <v>136</v>
      </c>
      <c r="AD1199" s="7"/>
      <c r="AE1199" s="7" t="s">
        <v>2912</v>
      </c>
      <c r="AF1199" s="7" t="s">
        <v>50</v>
      </c>
      <c r="AG1199" s="7" t="s">
        <v>134</v>
      </c>
      <c r="AH1199" s="7" t="s">
        <v>141</v>
      </c>
    </row>
    <row r="1200" spans="1:34" ht="9.75" customHeight="1" x14ac:dyDescent="0.2">
      <c r="A1200" s="7" t="s">
        <v>37</v>
      </c>
      <c r="B1200" s="7" t="s">
        <v>38</v>
      </c>
      <c r="C1200" s="7"/>
      <c r="D1200" s="7" t="s">
        <v>2913</v>
      </c>
      <c r="E1200" s="8">
        <v>1</v>
      </c>
      <c r="F1200" s="7" t="s">
        <v>41</v>
      </c>
      <c r="G1200" s="7"/>
      <c r="H1200" s="9"/>
      <c r="I1200" s="10">
        <v>4994</v>
      </c>
      <c r="J1200" s="9"/>
      <c r="K1200" s="9"/>
      <c r="L1200" s="10">
        <v>7641</v>
      </c>
      <c r="M1200" s="9"/>
      <c r="N1200" s="10">
        <v>7641</v>
      </c>
      <c r="O1200" s="9"/>
      <c r="P1200" s="10"/>
      <c r="Q1200" s="10"/>
      <c r="R1200" s="10"/>
      <c r="S1200" s="7" t="s">
        <v>407</v>
      </c>
      <c r="T1200" s="7" t="s">
        <v>143</v>
      </c>
      <c r="U1200" s="7" t="s">
        <v>44</v>
      </c>
      <c r="V1200" s="7" t="s">
        <v>45</v>
      </c>
      <c r="W1200" s="7" t="s">
        <v>130</v>
      </c>
      <c r="X1200" s="7" t="s">
        <v>131</v>
      </c>
      <c r="Y1200" s="7" t="s">
        <v>2914</v>
      </c>
      <c r="Z1200" s="7" t="s">
        <v>2879</v>
      </c>
      <c r="AA1200" s="7"/>
      <c r="AB1200" s="7"/>
      <c r="AC1200" s="7" t="s">
        <v>136</v>
      </c>
      <c r="AD1200" s="7"/>
      <c r="AE1200" s="7" t="s">
        <v>2915</v>
      </c>
      <c r="AF1200" s="7" t="s">
        <v>50</v>
      </c>
      <c r="AG1200" s="7" t="s">
        <v>134</v>
      </c>
      <c r="AH1200" s="7" t="s">
        <v>141</v>
      </c>
    </row>
    <row r="1201" spans="1:34" ht="9.75" customHeight="1" x14ac:dyDescent="0.2">
      <c r="A1201" s="7" t="s">
        <v>37</v>
      </c>
      <c r="B1201" s="7" t="s">
        <v>38</v>
      </c>
      <c r="C1201" s="7"/>
      <c r="D1201" s="7" t="s">
        <v>2916</v>
      </c>
      <c r="E1201" s="8">
        <v>1</v>
      </c>
      <c r="F1201" s="7" t="s">
        <v>41</v>
      </c>
      <c r="G1201" s="7"/>
      <c r="H1201" s="9"/>
      <c r="I1201" s="10">
        <v>4302</v>
      </c>
      <c r="J1201" s="9"/>
      <c r="K1201" s="9"/>
      <c r="L1201" s="10">
        <v>6582</v>
      </c>
      <c r="M1201" s="9"/>
      <c r="N1201" s="10">
        <v>6582</v>
      </c>
      <c r="O1201" s="9"/>
      <c r="P1201" s="10"/>
      <c r="Q1201" s="10"/>
      <c r="R1201" s="10"/>
      <c r="S1201" s="7" t="s">
        <v>407</v>
      </c>
      <c r="T1201" s="7" t="s">
        <v>143</v>
      </c>
      <c r="U1201" s="7" t="s">
        <v>44</v>
      </c>
      <c r="V1201" s="7" t="s">
        <v>45</v>
      </c>
      <c r="W1201" s="7" t="s">
        <v>130</v>
      </c>
      <c r="X1201" s="7" t="s">
        <v>131</v>
      </c>
      <c r="Y1201" s="7" t="s">
        <v>2917</v>
      </c>
      <c r="Z1201" s="7" t="s">
        <v>2879</v>
      </c>
      <c r="AA1201" s="7"/>
      <c r="AB1201" s="7"/>
      <c r="AC1201" s="7" t="s">
        <v>136</v>
      </c>
      <c r="AD1201" s="7"/>
      <c r="AE1201" s="7" t="s">
        <v>2918</v>
      </c>
      <c r="AF1201" s="7" t="s">
        <v>50</v>
      </c>
      <c r="AG1201" s="7" t="s">
        <v>134</v>
      </c>
      <c r="AH1201" s="7" t="s">
        <v>141</v>
      </c>
    </row>
    <row r="1202" spans="1:34" ht="9.75" customHeight="1" x14ac:dyDescent="0.2">
      <c r="A1202" s="7" t="s">
        <v>37</v>
      </c>
      <c r="B1202" s="7" t="s">
        <v>38</v>
      </c>
      <c r="C1202" s="7"/>
      <c r="D1202" s="7" t="s">
        <v>2919</v>
      </c>
      <c r="E1202" s="8">
        <v>1</v>
      </c>
      <c r="F1202" s="7" t="s">
        <v>41</v>
      </c>
      <c r="G1202" s="7"/>
      <c r="H1202" s="9"/>
      <c r="I1202" s="10">
        <v>59907</v>
      </c>
      <c r="J1202" s="9"/>
      <c r="K1202" s="9"/>
      <c r="L1202" s="10">
        <v>94317</v>
      </c>
      <c r="M1202" s="9"/>
      <c r="N1202" s="10">
        <v>94317</v>
      </c>
      <c r="O1202" s="9"/>
      <c r="P1202" s="10"/>
      <c r="Q1202" s="10"/>
      <c r="R1202" s="10"/>
      <c r="S1202" s="7" t="s">
        <v>407</v>
      </c>
      <c r="T1202" s="7" t="s">
        <v>143</v>
      </c>
      <c r="U1202" s="7" t="s">
        <v>44</v>
      </c>
      <c r="V1202" s="7" t="s">
        <v>45</v>
      </c>
      <c r="W1202" s="7" t="s">
        <v>130</v>
      </c>
      <c r="X1202" s="7" t="s">
        <v>131</v>
      </c>
      <c r="Y1202" s="7" t="s">
        <v>2920</v>
      </c>
      <c r="Z1202" s="7" t="s">
        <v>2879</v>
      </c>
      <c r="AA1202" s="7"/>
      <c r="AB1202" s="7"/>
      <c r="AC1202" s="7" t="s">
        <v>136</v>
      </c>
      <c r="AD1202" s="7"/>
      <c r="AE1202" s="7" t="s">
        <v>2921</v>
      </c>
      <c r="AF1202" s="7" t="s">
        <v>50</v>
      </c>
      <c r="AG1202" s="7" t="s">
        <v>134</v>
      </c>
      <c r="AH1202" s="7" t="s">
        <v>141</v>
      </c>
    </row>
    <row r="1203" spans="1:34" ht="9.75" customHeight="1" x14ac:dyDescent="0.2">
      <c r="A1203" s="7" t="s">
        <v>37</v>
      </c>
      <c r="B1203" s="7" t="s">
        <v>38</v>
      </c>
      <c r="C1203" s="7"/>
      <c r="D1203" s="7" t="s">
        <v>2922</v>
      </c>
      <c r="E1203" s="8">
        <v>1</v>
      </c>
      <c r="F1203" s="7" t="s">
        <v>41</v>
      </c>
      <c r="G1203" s="7"/>
      <c r="H1203" s="9"/>
      <c r="I1203" s="10">
        <v>17150</v>
      </c>
      <c r="J1203" s="9"/>
      <c r="K1203" s="9"/>
      <c r="L1203" s="10">
        <v>26240</v>
      </c>
      <c r="M1203" s="9"/>
      <c r="N1203" s="10">
        <v>26240</v>
      </c>
      <c r="O1203" s="9"/>
      <c r="P1203" s="10"/>
      <c r="Q1203" s="10"/>
      <c r="R1203" s="10"/>
      <c r="S1203" s="7" t="s">
        <v>407</v>
      </c>
      <c r="T1203" s="7" t="s">
        <v>143</v>
      </c>
      <c r="U1203" s="7" t="s">
        <v>44</v>
      </c>
      <c r="V1203" s="7" t="s">
        <v>45</v>
      </c>
      <c r="W1203" s="7" t="s">
        <v>130</v>
      </c>
      <c r="X1203" s="7" t="s">
        <v>131</v>
      </c>
      <c r="Y1203" s="7" t="s">
        <v>2923</v>
      </c>
      <c r="Z1203" s="7" t="s">
        <v>2924</v>
      </c>
      <c r="AA1203" s="7"/>
      <c r="AB1203" s="7"/>
      <c r="AC1203" s="7" t="s">
        <v>136</v>
      </c>
      <c r="AD1203" s="7"/>
      <c r="AE1203" s="7" t="s">
        <v>2925</v>
      </c>
      <c r="AF1203" s="7" t="s">
        <v>50</v>
      </c>
      <c r="AG1203" s="7" t="s">
        <v>134</v>
      </c>
      <c r="AH1203" s="7" t="s">
        <v>141</v>
      </c>
    </row>
    <row r="1204" spans="1:34" ht="9.75" customHeight="1" x14ac:dyDescent="0.2">
      <c r="A1204" s="7" t="s">
        <v>37</v>
      </c>
      <c r="B1204" s="7" t="s">
        <v>38</v>
      </c>
      <c r="C1204" s="7"/>
      <c r="D1204" s="7" t="s">
        <v>2926</v>
      </c>
      <c r="E1204" s="8">
        <v>1</v>
      </c>
      <c r="F1204" s="7" t="s">
        <v>41</v>
      </c>
      <c r="G1204" s="7"/>
      <c r="H1204" s="9"/>
      <c r="I1204" s="10">
        <v>13566</v>
      </c>
      <c r="J1204" s="9"/>
      <c r="K1204" s="9"/>
      <c r="L1204" s="10">
        <v>20756</v>
      </c>
      <c r="M1204" s="9"/>
      <c r="N1204" s="10">
        <v>20756</v>
      </c>
      <c r="O1204" s="9"/>
      <c r="P1204" s="10"/>
      <c r="Q1204" s="10"/>
      <c r="R1204" s="10"/>
      <c r="S1204" s="7" t="s">
        <v>407</v>
      </c>
      <c r="T1204" s="7" t="s">
        <v>143</v>
      </c>
      <c r="U1204" s="7" t="s">
        <v>44</v>
      </c>
      <c r="V1204" s="7" t="s">
        <v>45</v>
      </c>
      <c r="W1204" s="7" t="s">
        <v>130</v>
      </c>
      <c r="X1204" s="7" t="s">
        <v>131</v>
      </c>
      <c r="Y1204" s="7" t="s">
        <v>2927</v>
      </c>
      <c r="Z1204" s="7" t="s">
        <v>2924</v>
      </c>
      <c r="AA1204" s="7"/>
      <c r="AB1204" s="7"/>
      <c r="AC1204" s="7" t="s">
        <v>136</v>
      </c>
      <c r="AD1204" s="7"/>
      <c r="AE1204" s="7" t="s">
        <v>2928</v>
      </c>
      <c r="AF1204" s="7" t="s">
        <v>50</v>
      </c>
      <c r="AG1204" s="7" t="s">
        <v>134</v>
      </c>
      <c r="AH1204" s="7" t="s">
        <v>141</v>
      </c>
    </row>
    <row r="1205" spans="1:34" ht="9.75" customHeight="1" x14ac:dyDescent="0.2">
      <c r="A1205" s="7" t="s">
        <v>37</v>
      </c>
      <c r="B1205" s="7" t="s">
        <v>38</v>
      </c>
      <c r="C1205" s="7"/>
      <c r="D1205" s="7" t="s">
        <v>2929</v>
      </c>
      <c r="E1205" s="8">
        <v>1</v>
      </c>
      <c r="F1205" s="7" t="s">
        <v>41</v>
      </c>
      <c r="G1205" s="7"/>
      <c r="H1205" s="9"/>
      <c r="I1205" s="10">
        <v>14375</v>
      </c>
      <c r="J1205" s="9"/>
      <c r="K1205" s="9"/>
      <c r="L1205" s="10">
        <v>26975</v>
      </c>
      <c r="M1205" s="9"/>
      <c r="N1205" s="10">
        <v>26975</v>
      </c>
      <c r="O1205" s="9"/>
      <c r="P1205" s="10"/>
      <c r="Q1205" s="10"/>
      <c r="R1205" s="10"/>
      <c r="S1205" s="7" t="s">
        <v>407</v>
      </c>
      <c r="T1205" s="7" t="s">
        <v>143</v>
      </c>
      <c r="U1205" s="7" t="s">
        <v>44</v>
      </c>
      <c r="V1205" s="7" t="s">
        <v>45</v>
      </c>
      <c r="W1205" s="7" t="s">
        <v>130</v>
      </c>
      <c r="X1205" s="7" t="s">
        <v>131</v>
      </c>
      <c r="Y1205" s="7" t="s">
        <v>2930</v>
      </c>
      <c r="Z1205" s="7" t="s">
        <v>2924</v>
      </c>
      <c r="AA1205" s="7"/>
      <c r="AB1205" s="7"/>
      <c r="AC1205" s="7" t="s">
        <v>136</v>
      </c>
      <c r="AD1205" s="7"/>
      <c r="AE1205" s="7" t="s">
        <v>2931</v>
      </c>
      <c r="AF1205" s="7" t="s">
        <v>50</v>
      </c>
      <c r="AG1205" s="7" t="s">
        <v>134</v>
      </c>
      <c r="AH1205" s="7" t="s">
        <v>141</v>
      </c>
    </row>
    <row r="1206" spans="1:34" ht="9.75" customHeight="1" x14ac:dyDescent="0.2">
      <c r="A1206" s="7" t="s">
        <v>37</v>
      </c>
      <c r="B1206" s="7" t="s">
        <v>38</v>
      </c>
      <c r="C1206" s="7"/>
      <c r="D1206" s="7" t="s">
        <v>2932</v>
      </c>
      <c r="E1206" s="8">
        <v>1</v>
      </c>
      <c r="F1206" s="7" t="s">
        <v>41</v>
      </c>
      <c r="G1206" s="7"/>
      <c r="H1206" s="9"/>
      <c r="I1206" s="10">
        <v>9419</v>
      </c>
      <c r="J1206" s="9"/>
      <c r="K1206" s="9"/>
      <c r="L1206" s="10">
        <v>14411</v>
      </c>
      <c r="M1206" s="9"/>
      <c r="N1206" s="10">
        <v>14411</v>
      </c>
      <c r="O1206" s="9"/>
      <c r="P1206" s="10"/>
      <c r="Q1206" s="10"/>
      <c r="R1206" s="10"/>
      <c r="S1206" s="7" t="s">
        <v>407</v>
      </c>
      <c r="T1206" s="7" t="s">
        <v>143</v>
      </c>
      <c r="U1206" s="7" t="s">
        <v>44</v>
      </c>
      <c r="V1206" s="7" t="s">
        <v>45</v>
      </c>
      <c r="W1206" s="7" t="s">
        <v>130</v>
      </c>
      <c r="X1206" s="7" t="s">
        <v>131</v>
      </c>
      <c r="Y1206" s="7" t="s">
        <v>2933</v>
      </c>
      <c r="Z1206" s="7" t="s">
        <v>2924</v>
      </c>
      <c r="AA1206" s="7"/>
      <c r="AB1206" s="7"/>
      <c r="AC1206" s="7" t="s">
        <v>136</v>
      </c>
      <c r="AD1206" s="7"/>
      <c r="AE1206" s="7" t="s">
        <v>2934</v>
      </c>
      <c r="AF1206" s="7" t="s">
        <v>50</v>
      </c>
      <c r="AG1206" s="7" t="s">
        <v>134</v>
      </c>
      <c r="AH1206" s="7" t="s">
        <v>141</v>
      </c>
    </row>
    <row r="1207" spans="1:34" ht="9.75" customHeight="1" x14ac:dyDescent="0.2">
      <c r="A1207" s="7" t="s">
        <v>37</v>
      </c>
      <c r="B1207" s="7" t="s">
        <v>38</v>
      </c>
      <c r="C1207" s="7"/>
      <c r="D1207" s="7" t="s">
        <v>2935</v>
      </c>
      <c r="E1207" s="8">
        <v>1</v>
      </c>
      <c r="F1207" s="7" t="s">
        <v>41</v>
      </c>
      <c r="G1207" s="7"/>
      <c r="H1207" s="9"/>
      <c r="I1207" s="10">
        <v>8520</v>
      </c>
      <c r="J1207" s="9"/>
      <c r="K1207" s="9"/>
      <c r="L1207" s="10">
        <v>13036</v>
      </c>
      <c r="M1207" s="9"/>
      <c r="N1207" s="10">
        <v>13036</v>
      </c>
      <c r="O1207" s="9"/>
      <c r="P1207" s="10"/>
      <c r="Q1207" s="10"/>
      <c r="R1207" s="10"/>
      <c r="S1207" s="7" t="s">
        <v>407</v>
      </c>
      <c r="T1207" s="7" t="s">
        <v>143</v>
      </c>
      <c r="U1207" s="7" t="s">
        <v>44</v>
      </c>
      <c r="V1207" s="7" t="s">
        <v>45</v>
      </c>
      <c r="W1207" s="7" t="s">
        <v>130</v>
      </c>
      <c r="X1207" s="7" t="s">
        <v>131</v>
      </c>
      <c r="Y1207" s="7" t="s">
        <v>2936</v>
      </c>
      <c r="Z1207" s="7" t="s">
        <v>2924</v>
      </c>
      <c r="AA1207" s="7"/>
      <c r="AB1207" s="7"/>
      <c r="AC1207" s="7" t="s">
        <v>136</v>
      </c>
      <c r="AD1207" s="7"/>
      <c r="AE1207" s="7" t="s">
        <v>2937</v>
      </c>
      <c r="AF1207" s="7" t="s">
        <v>50</v>
      </c>
      <c r="AG1207" s="7" t="s">
        <v>134</v>
      </c>
      <c r="AH1207" s="7" t="s">
        <v>141</v>
      </c>
    </row>
    <row r="1208" spans="1:34" ht="9.75" customHeight="1" x14ac:dyDescent="0.2">
      <c r="A1208" s="7" t="s">
        <v>37</v>
      </c>
      <c r="B1208" s="7" t="s">
        <v>38</v>
      </c>
      <c r="C1208" s="7"/>
      <c r="D1208" s="7" t="s">
        <v>2938</v>
      </c>
      <c r="E1208" s="8">
        <v>1</v>
      </c>
      <c r="F1208" s="7" t="s">
        <v>41</v>
      </c>
      <c r="G1208" s="7"/>
      <c r="H1208" s="9"/>
      <c r="I1208" s="10">
        <v>37643</v>
      </c>
      <c r="J1208" s="9"/>
      <c r="K1208" s="9"/>
      <c r="L1208" s="10">
        <v>52611</v>
      </c>
      <c r="M1208" s="9"/>
      <c r="N1208" s="10">
        <v>52611</v>
      </c>
      <c r="O1208" s="9"/>
      <c r="P1208" s="10"/>
      <c r="Q1208" s="10"/>
      <c r="R1208" s="10"/>
      <c r="S1208" s="7" t="s">
        <v>407</v>
      </c>
      <c r="T1208" s="7" t="s">
        <v>143</v>
      </c>
      <c r="U1208" s="7" t="s">
        <v>44</v>
      </c>
      <c r="V1208" s="7" t="s">
        <v>45</v>
      </c>
      <c r="W1208" s="7" t="s">
        <v>130</v>
      </c>
      <c r="X1208" s="7" t="s">
        <v>131</v>
      </c>
      <c r="Y1208" s="7" t="s">
        <v>2939</v>
      </c>
      <c r="Z1208" s="7" t="s">
        <v>2924</v>
      </c>
      <c r="AA1208" s="7"/>
      <c r="AB1208" s="7"/>
      <c r="AC1208" s="7" t="s">
        <v>136</v>
      </c>
      <c r="AD1208" s="7"/>
      <c r="AE1208" s="7" t="s">
        <v>2940</v>
      </c>
      <c r="AF1208" s="7" t="s">
        <v>50</v>
      </c>
      <c r="AG1208" s="7" t="s">
        <v>134</v>
      </c>
      <c r="AH1208" s="7" t="s">
        <v>141</v>
      </c>
    </row>
    <row r="1209" spans="1:34" ht="9.75" customHeight="1" x14ac:dyDescent="0.2">
      <c r="A1209" s="7" t="s">
        <v>37</v>
      </c>
      <c r="B1209" s="7" t="s">
        <v>38</v>
      </c>
      <c r="C1209" s="7"/>
      <c r="D1209" s="7" t="s">
        <v>2941</v>
      </c>
      <c r="E1209" s="8">
        <v>1</v>
      </c>
      <c r="F1209" s="7" t="s">
        <v>41</v>
      </c>
      <c r="G1209" s="7"/>
      <c r="H1209" s="9"/>
      <c r="I1209" s="10">
        <v>304390</v>
      </c>
      <c r="J1209" s="9"/>
      <c r="K1209" s="9"/>
      <c r="L1209" s="10">
        <v>465717</v>
      </c>
      <c r="M1209" s="9"/>
      <c r="N1209" s="10">
        <v>465717</v>
      </c>
      <c r="O1209" s="9"/>
      <c r="P1209" s="10"/>
      <c r="Q1209" s="10"/>
      <c r="R1209" s="10"/>
      <c r="S1209" s="7" t="s">
        <v>407</v>
      </c>
      <c r="T1209" s="7" t="s">
        <v>143</v>
      </c>
      <c r="U1209" s="7" t="s">
        <v>44</v>
      </c>
      <c r="V1209" s="7" t="s">
        <v>45</v>
      </c>
      <c r="W1209" s="7" t="s">
        <v>130</v>
      </c>
      <c r="X1209" s="7" t="s">
        <v>131</v>
      </c>
      <c r="Y1209" s="7" t="s">
        <v>2942</v>
      </c>
      <c r="Z1209" s="7" t="s">
        <v>2943</v>
      </c>
      <c r="AA1209" s="7"/>
      <c r="AB1209" s="7"/>
      <c r="AC1209" s="7" t="s">
        <v>136</v>
      </c>
      <c r="AD1209" s="7"/>
      <c r="AE1209" s="7" t="s">
        <v>2944</v>
      </c>
      <c r="AF1209" s="7" t="s">
        <v>50</v>
      </c>
      <c r="AG1209" s="7" t="s">
        <v>134</v>
      </c>
      <c r="AH1209" s="7" t="s">
        <v>141</v>
      </c>
    </row>
    <row r="1210" spans="1:34" ht="9.75" customHeight="1" x14ac:dyDescent="0.2">
      <c r="A1210" s="7" t="s">
        <v>37</v>
      </c>
      <c r="B1210" s="7" t="s">
        <v>38</v>
      </c>
      <c r="C1210" s="7"/>
      <c r="D1210" s="7" t="s">
        <v>2945</v>
      </c>
      <c r="E1210" s="8">
        <v>1</v>
      </c>
      <c r="F1210" s="7" t="s">
        <v>41</v>
      </c>
      <c r="G1210" s="7"/>
      <c r="H1210" s="9"/>
      <c r="I1210" s="10">
        <v>452860</v>
      </c>
      <c r="J1210" s="9"/>
      <c r="K1210" s="9"/>
      <c r="L1210" s="10">
        <v>692876</v>
      </c>
      <c r="M1210" s="9"/>
      <c r="N1210" s="10">
        <v>692876</v>
      </c>
      <c r="O1210" s="9"/>
      <c r="P1210" s="10"/>
      <c r="Q1210" s="10"/>
      <c r="R1210" s="10"/>
      <c r="S1210" s="7" t="s">
        <v>407</v>
      </c>
      <c r="T1210" s="7" t="s">
        <v>143</v>
      </c>
      <c r="U1210" s="7" t="s">
        <v>44</v>
      </c>
      <c r="V1210" s="7" t="s">
        <v>45</v>
      </c>
      <c r="W1210" s="7" t="s">
        <v>130</v>
      </c>
      <c r="X1210" s="7" t="s">
        <v>131</v>
      </c>
      <c r="Y1210" s="7" t="s">
        <v>2946</v>
      </c>
      <c r="Z1210" s="7" t="s">
        <v>2943</v>
      </c>
      <c r="AA1210" s="7"/>
      <c r="AB1210" s="7"/>
      <c r="AC1210" s="7" t="s">
        <v>136</v>
      </c>
      <c r="AD1210" s="7"/>
      <c r="AE1210" s="7" t="s">
        <v>2947</v>
      </c>
      <c r="AF1210" s="7" t="s">
        <v>50</v>
      </c>
      <c r="AG1210" s="7" t="s">
        <v>134</v>
      </c>
      <c r="AH1210" s="7" t="s">
        <v>141</v>
      </c>
    </row>
    <row r="1211" spans="1:34" ht="9.75" customHeight="1" x14ac:dyDescent="0.2">
      <c r="A1211" s="7" t="s">
        <v>37</v>
      </c>
      <c r="B1211" s="7" t="s">
        <v>38</v>
      </c>
      <c r="C1211" s="7"/>
      <c r="D1211" s="7" t="s">
        <v>2948</v>
      </c>
      <c r="E1211" s="8">
        <v>1</v>
      </c>
      <c r="F1211" s="7" t="s">
        <v>41</v>
      </c>
      <c r="G1211" s="7"/>
      <c r="H1211" s="9"/>
      <c r="I1211" s="10">
        <v>143782</v>
      </c>
      <c r="J1211" s="9"/>
      <c r="K1211" s="9"/>
      <c r="L1211" s="10">
        <v>219986</v>
      </c>
      <c r="M1211" s="9"/>
      <c r="N1211" s="10">
        <v>219986</v>
      </c>
      <c r="O1211" s="9"/>
      <c r="P1211" s="10"/>
      <c r="Q1211" s="10"/>
      <c r="R1211" s="10"/>
      <c r="S1211" s="7" t="s">
        <v>407</v>
      </c>
      <c r="T1211" s="7" t="s">
        <v>143</v>
      </c>
      <c r="U1211" s="7" t="s">
        <v>44</v>
      </c>
      <c r="V1211" s="7" t="s">
        <v>45</v>
      </c>
      <c r="W1211" s="7" t="s">
        <v>130</v>
      </c>
      <c r="X1211" s="7" t="s">
        <v>131</v>
      </c>
      <c r="Y1211" s="7" t="s">
        <v>2949</v>
      </c>
      <c r="Z1211" s="7" t="s">
        <v>2943</v>
      </c>
      <c r="AA1211" s="7"/>
      <c r="AB1211" s="7"/>
      <c r="AC1211" s="7" t="s">
        <v>136</v>
      </c>
      <c r="AD1211" s="7"/>
      <c r="AE1211" s="7" t="s">
        <v>2950</v>
      </c>
      <c r="AF1211" s="7" t="s">
        <v>50</v>
      </c>
      <c r="AG1211" s="7" t="s">
        <v>134</v>
      </c>
      <c r="AH1211" s="7" t="s">
        <v>141</v>
      </c>
    </row>
    <row r="1212" spans="1:34" ht="9.75" customHeight="1" x14ac:dyDescent="0.2">
      <c r="A1212" s="7" t="s">
        <v>37</v>
      </c>
      <c r="B1212" s="7" t="s">
        <v>38</v>
      </c>
      <c r="C1212" s="7"/>
      <c r="D1212" s="7" t="s">
        <v>2951</v>
      </c>
      <c r="E1212" s="8">
        <v>1</v>
      </c>
      <c r="F1212" s="7" t="s">
        <v>41</v>
      </c>
      <c r="G1212" s="7"/>
      <c r="H1212" s="9"/>
      <c r="I1212" s="10">
        <v>59315</v>
      </c>
      <c r="J1212" s="9"/>
      <c r="K1212" s="9"/>
      <c r="L1212" s="10">
        <v>90752</v>
      </c>
      <c r="M1212" s="9"/>
      <c r="N1212" s="10">
        <v>90752</v>
      </c>
      <c r="O1212" s="9"/>
      <c r="P1212" s="10"/>
      <c r="Q1212" s="10"/>
      <c r="R1212" s="10"/>
      <c r="S1212" s="7" t="s">
        <v>407</v>
      </c>
      <c r="T1212" s="7" t="s">
        <v>143</v>
      </c>
      <c r="U1212" s="7" t="s">
        <v>44</v>
      </c>
      <c r="V1212" s="7" t="s">
        <v>45</v>
      </c>
      <c r="W1212" s="7" t="s">
        <v>130</v>
      </c>
      <c r="X1212" s="7" t="s">
        <v>131</v>
      </c>
      <c r="Y1212" s="7" t="s">
        <v>2952</v>
      </c>
      <c r="Z1212" s="7" t="s">
        <v>2943</v>
      </c>
      <c r="AA1212" s="7"/>
      <c r="AB1212" s="7"/>
      <c r="AC1212" s="7" t="s">
        <v>136</v>
      </c>
      <c r="AD1212" s="7"/>
      <c r="AE1212" s="7" t="s">
        <v>2953</v>
      </c>
      <c r="AF1212" s="7" t="s">
        <v>50</v>
      </c>
      <c r="AG1212" s="7" t="s">
        <v>134</v>
      </c>
      <c r="AH1212" s="7" t="s">
        <v>141</v>
      </c>
    </row>
    <row r="1213" spans="1:34" ht="9.75" customHeight="1" x14ac:dyDescent="0.2">
      <c r="A1213" s="7" t="s">
        <v>37</v>
      </c>
      <c r="B1213" s="7" t="s">
        <v>38</v>
      </c>
      <c r="C1213" s="7"/>
      <c r="D1213" s="7" t="s">
        <v>2954</v>
      </c>
      <c r="E1213" s="8">
        <v>1</v>
      </c>
      <c r="F1213" s="7" t="s">
        <v>41</v>
      </c>
      <c r="G1213" s="7"/>
      <c r="H1213" s="9"/>
      <c r="I1213" s="10">
        <v>33335</v>
      </c>
      <c r="J1213" s="9"/>
      <c r="K1213" s="9"/>
      <c r="L1213" s="10">
        <v>51003</v>
      </c>
      <c r="M1213" s="9"/>
      <c r="N1213" s="10">
        <v>51003</v>
      </c>
      <c r="O1213" s="9"/>
      <c r="P1213" s="10"/>
      <c r="Q1213" s="10"/>
      <c r="R1213" s="10"/>
      <c r="S1213" s="7" t="s">
        <v>407</v>
      </c>
      <c r="T1213" s="7" t="s">
        <v>143</v>
      </c>
      <c r="U1213" s="7" t="s">
        <v>44</v>
      </c>
      <c r="V1213" s="7" t="s">
        <v>45</v>
      </c>
      <c r="W1213" s="7" t="s">
        <v>130</v>
      </c>
      <c r="X1213" s="7" t="s">
        <v>131</v>
      </c>
      <c r="Y1213" s="7" t="s">
        <v>2955</v>
      </c>
      <c r="Z1213" s="7" t="s">
        <v>2943</v>
      </c>
      <c r="AA1213" s="7"/>
      <c r="AB1213" s="7"/>
      <c r="AC1213" s="7" t="s">
        <v>136</v>
      </c>
      <c r="AD1213" s="7"/>
      <c r="AE1213" s="7" t="s">
        <v>2956</v>
      </c>
      <c r="AF1213" s="7" t="s">
        <v>50</v>
      </c>
      <c r="AG1213" s="7" t="s">
        <v>134</v>
      </c>
      <c r="AH1213" s="7" t="s">
        <v>141</v>
      </c>
    </row>
    <row r="1214" spans="1:34" ht="9.75" customHeight="1" x14ac:dyDescent="0.2">
      <c r="A1214" s="7" t="s">
        <v>37</v>
      </c>
      <c r="B1214" s="7" t="s">
        <v>38</v>
      </c>
      <c r="C1214" s="7"/>
      <c r="D1214" s="7" t="s">
        <v>2957</v>
      </c>
      <c r="E1214" s="8">
        <v>1</v>
      </c>
      <c r="F1214" s="7" t="s">
        <v>41</v>
      </c>
      <c r="G1214" s="7"/>
      <c r="H1214" s="9"/>
      <c r="I1214" s="10">
        <v>19037</v>
      </c>
      <c r="J1214" s="9"/>
      <c r="K1214" s="9"/>
      <c r="L1214" s="10">
        <v>29127</v>
      </c>
      <c r="M1214" s="9"/>
      <c r="N1214" s="10">
        <v>29127</v>
      </c>
      <c r="O1214" s="9"/>
      <c r="P1214" s="10"/>
      <c r="Q1214" s="10"/>
      <c r="R1214" s="10"/>
      <c r="S1214" s="7" t="s">
        <v>407</v>
      </c>
      <c r="T1214" s="7" t="s">
        <v>143</v>
      </c>
      <c r="U1214" s="7" t="s">
        <v>44</v>
      </c>
      <c r="V1214" s="7" t="s">
        <v>45</v>
      </c>
      <c r="W1214" s="7" t="s">
        <v>130</v>
      </c>
      <c r="X1214" s="7" t="s">
        <v>131</v>
      </c>
      <c r="Y1214" s="7" t="s">
        <v>2958</v>
      </c>
      <c r="Z1214" s="7" t="s">
        <v>2943</v>
      </c>
      <c r="AA1214" s="7"/>
      <c r="AB1214" s="7"/>
      <c r="AC1214" s="7" t="s">
        <v>136</v>
      </c>
      <c r="AD1214" s="7"/>
      <c r="AE1214" s="7" t="s">
        <v>2959</v>
      </c>
      <c r="AF1214" s="7" t="s">
        <v>50</v>
      </c>
      <c r="AG1214" s="7" t="s">
        <v>134</v>
      </c>
      <c r="AH1214" s="7" t="s">
        <v>141</v>
      </c>
    </row>
    <row r="1215" spans="1:34" ht="9.75" customHeight="1" x14ac:dyDescent="0.2">
      <c r="A1215" s="7" t="s">
        <v>37</v>
      </c>
      <c r="B1215" s="7" t="s">
        <v>38</v>
      </c>
      <c r="C1215" s="7"/>
      <c r="D1215" s="7" t="s">
        <v>2960</v>
      </c>
      <c r="E1215" s="8">
        <v>1</v>
      </c>
      <c r="F1215" s="7" t="s">
        <v>41</v>
      </c>
      <c r="G1215" s="7"/>
      <c r="H1215" s="9"/>
      <c r="I1215" s="10">
        <v>21518</v>
      </c>
      <c r="J1215" s="9"/>
      <c r="K1215" s="9"/>
      <c r="L1215" s="10">
        <v>32923</v>
      </c>
      <c r="M1215" s="9"/>
      <c r="N1215" s="10">
        <v>32923</v>
      </c>
      <c r="O1215" s="9"/>
      <c r="P1215" s="10"/>
      <c r="Q1215" s="10"/>
      <c r="R1215" s="10"/>
      <c r="S1215" s="7" t="s">
        <v>407</v>
      </c>
      <c r="T1215" s="7" t="s">
        <v>143</v>
      </c>
      <c r="U1215" s="7" t="s">
        <v>44</v>
      </c>
      <c r="V1215" s="7" t="s">
        <v>45</v>
      </c>
      <c r="W1215" s="7" t="s">
        <v>130</v>
      </c>
      <c r="X1215" s="7" t="s">
        <v>131</v>
      </c>
      <c r="Y1215" s="7" t="s">
        <v>2961</v>
      </c>
      <c r="Z1215" s="7" t="s">
        <v>2943</v>
      </c>
      <c r="AA1215" s="7"/>
      <c r="AB1215" s="7"/>
      <c r="AC1215" s="7" t="s">
        <v>136</v>
      </c>
      <c r="AD1215" s="7"/>
      <c r="AE1215" s="7" t="s">
        <v>2962</v>
      </c>
      <c r="AF1215" s="7" t="s">
        <v>50</v>
      </c>
      <c r="AG1215" s="7" t="s">
        <v>134</v>
      </c>
      <c r="AH1215" s="7" t="s">
        <v>141</v>
      </c>
    </row>
    <row r="1216" spans="1:34" ht="9.75" customHeight="1" x14ac:dyDescent="0.2">
      <c r="A1216" s="7" t="s">
        <v>37</v>
      </c>
      <c r="B1216" s="7" t="s">
        <v>38</v>
      </c>
      <c r="C1216" s="7"/>
      <c r="D1216" s="7" t="s">
        <v>2963</v>
      </c>
      <c r="E1216" s="8">
        <v>1</v>
      </c>
      <c r="F1216" s="7" t="s">
        <v>41</v>
      </c>
      <c r="G1216" s="7"/>
      <c r="H1216" s="9"/>
      <c r="I1216" s="10">
        <v>15053</v>
      </c>
      <c r="J1216" s="9"/>
      <c r="K1216" s="9"/>
      <c r="L1216" s="10">
        <v>23031</v>
      </c>
      <c r="M1216" s="9"/>
      <c r="N1216" s="10">
        <v>23031</v>
      </c>
      <c r="O1216" s="9"/>
      <c r="P1216" s="10"/>
      <c r="Q1216" s="10"/>
      <c r="R1216" s="10"/>
      <c r="S1216" s="7" t="s">
        <v>407</v>
      </c>
      <c r="T1216" s="7" t="s">
        <v>143</v>
      </c>
      <c r="U1216" s="7" t="s">
        <v>44</v>
      </c>
      <c r="V1216" s="7" t="s">
        <v>45</v>
      </c>
      <c r="W1216" s="7" t="s">
        <v>130</v>
      </c>
      <c r="X1216" s="7" t="s">
        <v>131</v>
      </c>
      <c r="Y1216" s="7" t="s">
        <v>2964</v>
      </c>
      <c r="Z1216" s="7" t="s">
        <v>2943</v>
      </c>
      <c r="AA1216" s="7"/>
      <c r="AB1216" s="7"/>
      <c r="AC1216" s="7" t="s">
        <v>136</v>
      </c>
      <c r="AD1216" s="7"/>
      <c r="AE1216" s="7" t="s">
        <v>2965</v>
      </c>
      <c r="AF1216" s="7" t="s">
        <v>50</v>
      </c>
      <c r="AG1216" s="7" t="s">
        <v>134</v>
      </c>
      <c r="AH1216" s="7" t="s">
        <v>141</v>
      </c>
    </row>
    <row r="1217" spans="1:34" ht="9.75" customHeight="1" x14ac:dyDescent="0.2">
      <c r="A1217" s="7" t="s">
        <v>37</v>
      </c>
      <c r="B1217" s="7" t="s">
        <v>38</v>
      </c>
      <c r="C1217" s="7"/>
      <c r="D1217" s="7" t="s">
        <v>2966</v>
      </c>
      <c r="E1217" s="8">
        <v>1</v>
      </c>
      <c r="F1217" s="7" t="s">
        <v>41</v>
      </c>
      <c r="G1217" s="7"/>
      <c r="H1217" s="9"/>
      <c r="I1217" s="10">
        <v>6871</v>
      </c>
      <c r="J1217" s="9"/>
      <c r="K1217" s="9"/>
      <c r="L1217" s="10">
        <v>10513</v>
      </c>
      <c r="M1217" s="9"/>
      <c r="N1217" s="10">
        <v>10513</v>
      </c>
      <c r="O1217" s="9"/>
      <c r="P1217" s="10"/>
      <c r="Q1217" s="10"/>
      <c r="R1217" s="10"/>
      <c r="S1217" s="7" t="s">
        <v>407</v>
      </c>
      <c r="T1217" s="7" t="s">
        <v>143</v>
      </c>
      <c r="U1217" s="7" t="s">
        <v>44</v>
      </c>
      <c r="V1217" s="7" t="s">
        <v>45</v>
      </c>
      <c r="W1217" s="7" t="s">
        <v>130</v>
      </c>
      <c r="X1217" s="7" t="s">
        <v>131</v>
      </c>
      <c r="Y1217" s="7" t="s">
        <v>2967</v>
      </c>
      <c r="Z1217" s="7" t="s">
        <v>2943</v>
      </c>
      <c r="AA1217" s="7"/>
      <c r="AB1217" s="7"/>
      <c r="AC1217" s="7" t="s">
        <v>136</v>
      </c>
      <c r="AD1217" s="7"/>
      <c r="AE1217" s="7" t="s">
        <v>2968</v>
      </c>
      <c r="AF1217" s="7" t="s">
        <v>50</v>
      </c>
      <c r="AG1217" s="7" t="s">
        <v>134</v>
      </c>
      <c r="AH1217" s="7" t="s">
        <v>141</v>
      </c>
    </row>
    <row r="1218" spans="1:34" ht="9.75" customHeight="1" x14ac:dyDescent="0.2">
      <c r="A1218" s="7" t="s">
        <v>37</v>
      </c>
      <c r="B1218" s="7" t="s">
        <v>38</v>
      </c>
      <c r="C1218" s="7"/>
      <c r="D1218" s="7" t="s">
        <v>2969</v>
      </c>
      <c r="E1218" s="8">
        <v>1</v>
      </c>
      <c r="F1218" s="7" t="s">
        <v>41</v>
      </c>
      <c r="G1218" s="7"/>
      <c r="H1218" s="9"/>
      <c r="I1218" s="10">
        <v>7271</v>
      </c>
      <c r="J1218" s="9"/>
      <c r="K1218" s="9"/>
      <c r="L1218" s="10">
        <v>11125</v>
      </c>
      <c r="M1218" s="9"/>
      <c r="N1218" s="10">
        <v>11125</v>
      </c>
      <c r="O1218" s="9"/>
      <c r="P1218" s="10"/>
      <c r="Q1218" s="10"/>
      <c r="R1218" s="10"/>
      <c r="S1218" s="7" t="s">
        <v>407</v>
      </c>
      <c r="T1218" s="7" t="s">
        <v>143</v>
      </c>
      <c r="U1218" s="7" t="s">
        <v>44</v>
      </c>
      <c r="V1218" s="7" t="s">
        <v>45</v>
      </c>
      <c r="W1218" s="7" t="s">
        <v>130</v>
      </c>
      <c r="X1218" s="7" t="s">
        <v>131</v>
      </c>
      <c r="Y1218" s="7" t="s">
        <v>2970</v>
      </c>
      <c r="Z1218" s="7" t="s">
        <v>2943</v>
      </c>
      <c r="AA1218" s="7"/>
      <c r="AB1218" s="7"/>
      <c r="AC1218" s="7" t="s">
        <v>136</v>
      </c>
      <c r="AD1218" s="7"/>
      <c r="AE1218" s="7" t="s">
        <v>2971</v>
      </c>
      <c r="AF1218" s="7" t="s">
        <v>50</v>
      </c>
      <c r="AG1218" s="7" t="s">
        <v>134</v>
      </c>
      <c r="AH1218" s="7" t="s">
        <v>141</v>
      </c>
    </row>
    <row r="1219" spans="1:34" ht="9.75" customHeight="1" x14ac:dyDescent="0.2">
      <c r="A1219" s="7" t="s">
        <v>37</v>
      </c>
      <c r="B1219" s="7" t="s">
        <v>38</v>
      </c>
      <c r="C1219" s="7"/>
      <c r="D1219" s="7" t="s">
        <v>2972</v>
      </c>
      <c r="E1219" s="8">
        <v>1</v>
      </c>
      <c r="F1219" s="7" t="s">
        <v>41</v>
      </c>
      <c r="G1219" s="7"/>
      <c r="H1219" s="9"/>
      <c r="I1219" s="10">
        <v>7561</v>
      </c>
      <c r="J1219" s="9"/>
      <c r="K1219" s="9"/>
      <c r="L1219" s="10">
        <v>11568</v>
      </c>
      <c r="M1219" s="9"/>
      <c r="N1219" s="10">
        <v>11568</v>
      </c>
      <c r="O1219" s="9"/>
      <c r="P1219" s="10"/>
      <c r="Q1219" s="10"/>
      <c r="R1219" s="10"/>
      <c r="S1219" s="7" t="s">
        <v>407</v>
      </c>
      <c r="T1219" s="7" t="s">
        <v>143</v>
      </c>
      <c r="U1219" s="7" t="s">
        <v>44</v>
      </c>
      <c r="V1219" s="7" t="s">
        <v>45</v>
      </c>
      <c r="W1219" s="7" t="s">
        <v>130</v>
      </c>
      <c r="X1219" s="7" t="s">
        <v>131</v>
      </c>
      <c r="Y1219" s="7" t="s">
        <v>2973</v>
      </c>
      <c r="Z1219" s="7" t="s">
        <v>2943</v>
      </c>
      <c r="AA1219" s="7"/>
      <c r="AB1219" s="7"/>
      <c r="AC1219" s="7" t="s">
        <v>136</v>
      </c>
      <c r="AD1219" s="7"/>
      <c r="AE1219" s="7" t="s">
        <v>2974</v>
      </c>
      <c r="AF1219" s="7" t="s">
        <v>50</v>
      </c>
      <c r="AG1219" s="7" t="s">
        <v>134</v>
      </c>
      <c r="AH1219" s="7" t="s">
        <v>141</v>
      </c>
    </row>
    <row r="1220" spans="1:34" ht="9.75" customHeight="1" x14ac:dyDescent="0.2">
      <c r="A1220" s="7" t="s">
        <v>37</v>
      </c>
      <c r="B1220" s="7" t="s">
        <v>38</v>
      </c>
      <c r="C1220" s="7"/>
      <c r="D1220" s="7" t="s">
        <v>2975</v>
      </c>
      <c r="E1220" s="8">
        <v>1</v>
      </c>
      <c r="F1220" s="7" t="s">
        <v>41</v>
      </c>
      <c r="G1220" s="7"/>
      <c r="H1220" s="9"/>
      <c r="I1220" s="10">
        <v>116387</v>
      </c>
      <c r="J1220" s="9"/>
      <c r="K1220" s="9"/>
      <c r="L1220" s="10">
        <v>178020</v>
      </c>
      <c r="M1220" s="9"/>
      <c r="N1220" s="10">
        <v>178020</v>
      </c>
      <c r="O1220" s="9"/>
      <c r="P1220" s="10"/>
      <c r="Q1220" s="10"/>
      <c r="R1220" s="10"/>
      <c r="S1220" s="7" t="s">
        <v>407</v>
      </c>
      <c r="T1220" s="7" t="s">
        <v>143</v>
      </c>
      <c r="U1220" s="7" t="s">
        <v>44</v>
      </c>
      <c r="V1220" s="7" t="s">
        <v>45</v>
      </c>
      <c r="W1220" s="7" t="s">
        <v>130</v>
      </c>
      <c r="X1220" s="7" t="s">
        <v>131</v>
      </c>
      <c r="Y1220" s="7" t="s">
        <v>2976</v>
      </c>
      <c r="Z1220" s="7" t="s">
        <v>2943</v>
      </c>
      <c r="AA1220" s="7"/>
      <c r="AB1220" s="7"/>
      <c r="AC1220" s="7" t="s">
        <v>136</v>
      </c>
      <c r="AD1220" s="7"/>
      <c r="AE1220" s="7" t="s">
        <v>2977</v>
      </c>
      <c r="AF1220" s="7" t="s">
        <v>50</v>
      </c>
      <c r="AG1220" s="7" t="s">
        <v>134</v>
      </c>
      <c r="AH1220" s="7" t="s">
        <v>141</v>
      </c>
    </row>
    <row r="1221" spans="1:34" ht="9.75" customHeight="1" x14ac:dyDescent="0.2">
      <c r="A1221" s="7" t="s">
        <v>37</v>
      </c>
      <c r="B1221" s="7" t="s">
        <v>38</v>
      </c>
      <c r="C1221" s="7"/>
      <c r="D1221" s="7" t="s">
        <v>2978</v>
      </c>
      <c r="E1221" s="8">
        <v>1</v>
      </c>
      <c r="F1221" s="7" t="s">
        <v>41</v>
      </c>
      <c r="G1221" s="7"/>
      <c r="H1221" s="9"/>
      <c r="I1221" s="10">
        <v>74395</v>
      </c>
      <c r="J1221" s="9"/>
      <c r="K1221" s="9"/>
      <c r="L1221" s="10">
        <v>113824</v>
      </c>
      <c r="M1221" s="9"/>
      <c r="N1221" s="10">
        <v>113824</v>
      </c>
      <c r="O1221" s="9"/>
      <c r="P1221" s="10"/>
      <c r="Q1221" s="10"/>
      <c r="R1221" s="10"/>
      <c r="S1221" s="7" t="s">
        <v>407</v>
      </c>
      <c r="T1221" s="7" t="s">
        <v>143</v>
      </c>
      <c r="U1221" s="7" t="s">
        <v>44</v>
      </c>
      <c r="V1221" s="7" t="s">
        <v>45</v>
      </c>
      <c r="W1221" s="7" t="s">
        <v>130</v>
      </c>
      <c r="X1221" s="7" t="s">
        <v>131</v>
      </c>
      <c r="Y1221" s="7" t="s">
        <v>2979</v>
      </c>
      <c r="Z1221" s="7" t="s">
        <v>2980</v>
      </c>
      <c r="AA1221" s="7"/>
      <c r="AB1221" s="7"/>
      <c r="AC1221" s="7" t="s">
        <v>136</v>
      </c>
      <c r="AD1221" s="7"/>
      <c r="AE1221" s="7" t="s">
        <v>2981</v>
      </c>
      <c r="AF1221" s="7" t="s">
        <v>50</v>
      </c>
      <c r="AG1221" s="7" t="s">
        <v>134</v>
      </c>
      <c r="AH1221" s="7" t="s">
        <v>141</v>
      </c>
    </row>
    <row r="1222" spans="1:34" ht="9.75" customHeight="1" x14ac:dyDescent="0.2">
      <c r="A1222" s="7" t="s">
        <v>37</v>
      </c>
      <c r="B1222" s="7" t="s">
        <v>38</v>
      </c>
      <c r="C1222" s="7"/>
      <c r="D1222" s="7" t="s">
        <v>2982</v>
      </c>
      <c r="E1222" s="8">
        <v>1</v>
      </c>
      <c r="F1222" s="7" t="s">
        <v>41</v>
      </c>
      <c r="G1222" s="7"/>
      <c r="H1222" s="9"/>
      <c r="I1222" s="10">
        <v>1236</v>
      </c>
      <c r="J1222" s="9"/>
      <c r="K1222" s="9"/>
      <c r="L1222" s="10">
        <v>1891</v>
      </c>
      <c r="M1222" s="9"/>
      <c r="N1222" s="10">
        <v>1891</v>
      </c>
      <c r="O1222" s="9"/>
      <c r="P1222" s="10"/>
      <c r="Q1222" s="10"/>
      <c r="R1222" s="10"/>
      <c r="S1222" s="7" t="s">
        <v>407</v>
      </c>
      <c r="T1222" s="7" t="s">
        <v>143</v>
      </c>
      <c r="U1222" s="7" t="s">
        <v>44</v>
      </c>
      <c r="V1222" s="7" t="s">
        <v>45</v>
      </c>
      <c r="W1222" s="7" t="s">
        <v>130</v>
      </c>
      <c r="X1222" s="7" t="s">
        <v>131</v>
      </c>
      <c r="Y1222" s="7" t="s">
        <v>2983</v>
      </c>
      <c r="Z1222" s="7" t="s">
        <v>2980</v>
      </c>
      <c r="AA1222" s="7"/>
      <c r="AB1222" s="7"/>
      <c r="AC1222" s="7" t="s">
        <v>136</v>
      </c>
      <c r="AD1222" s="7"/>
      <c r="AE1222" s="7" t="s">
        <v>2880</v>
      </c>
      <c r="AF1222" s="7" t="s">
        <v>50</v>
      </c>
      <c r="AG1222" s="7" t="s">
        <v>134</v>
      </c>
      <c r="AH1222" s="7" t="s">
        <v>141</v>
      </c>
    </row>
    <row r="1223" spans="1:34" ht="9.75" customHeight="1" x14ac:dyDescent="0.2">
      <c r="A1223" s="7" t="s">
        <v>37</v>
      </c>
      <c r="B1223" s="7" t="s">
        <v>38</v>
      </c>
      <c r="C1223" s="7"/>
      <c r="D1223" s="7" t="s">
        <v>2984</v>
      </c>
      <c r="E1223" s="8">
        <v>1</v>
      </c>
      <c r="F1223" s="7" t="s">
        <v>41</v>
      </c>
      <c r="G1223" s="7"/>
      <c r="H1223" s="9"/>
      <c r="I1223" s="10">
        <v>12361</v>
      </c>
      <c r="J1223" s="9"/>
      <c r="K1223" s="9"/>
      <c r="L1223" s="10">
        <v>18912</v>
      </c>
      <c r="M1223" s="9"/>
      <c r="N1223" s="10">
        <v>18912</v>
      </c>
      <c r="O1223" s="9"/>
      <c r="P1223" s="10"/>
      <c r="Q1223" s="10"/>
      <c r="R1223" s="10"/>
      <c r="S1223" s="7" t="s">
        <v>407</v>
      </c>
      <c r="T1223" s="7" t="s">
        <v>143</v>
      </c>
      <c r="U1223" s="7" t="s">
        <v>44</v>
      </c>
      <c r="V1223" s="7" t="s">
        <v>45</v>
      </c>
      <c r="W1223" s="7" t="s">
        <v>130</v>
      </c>
      <c r="X1223" s="7" t="s">
        <v>131</v>
      </c>
      <c r="Y1223" s="7" t="s">
        <v>2985</v>
      </c>
      <c r="Z1223" s="7" t="s">
        <v>2980</v>
      </c>
      <c r="AA1223" s="7"/>
      <c r="AB1223" s="7"/>
      <c r="AC1223" s="7" t="s">
        <v>136</v>
      </c>
      <c r="AD1223" s="7"/>
      <c r="AE1223" s="7" t="s">
        <v>2986</v>
      </c>
      <c r="AF1223" s="7" t="s">
        <v>50</v>
      </c>
      <c r="AG1223" s="7" t="s">
        <v>134</v>
      </c>
      <c r="AH1223" s="7" t="s">
        <v>141</v>
      </c>
    </row>
    <row r="1224" spans="1:34" ht="9.75" customHeight="1" x14ac:dyDescent="0.2">
      <c r="A1224" s="7" t="s">
        <v>37</v>
      </c>
      <c r="B1224" s="7" t="s">
        <v>38</v>
      </c>
      <c r="C1224" s="7"/>
      <c r="D1224" s="7" t="s">
        <v>2987</v>
      </c>
      <c r="E1224" s="8">
        <v>1</v>
      </c>
      <c r="F1224" s="7" t="s">
        <v>41</v>
      </c>
      <c r="G1224" s="7"/>
      <c r="H1224" s="9"/>
      <c r="I1224" s="10">
        <v>6027</v>
      </c>
      <c r="J1224" s="9"/>
      <c r="K1224" s="9"/>
      <c r="L1224" s="10">
        <v>9221</v>
      </c>
      <c r="M1224" s="9"/>
      <c r="N1224" s="10">
        <v>9221</v>
      </c>
      <c r="O1224" s="9"/>
      <c r="P1224" s="10"/>
      <c r="Q1224" s="10"/>
      <c r="R1224" s="10"/>
      <c r="S1224" s="7" t="s">
        <v>407</v>
      </c>
      <c r="T1224" s="7" t="s">
        <v>143</v>
      </c>
      <c r="U1224" s="7" t="s">
        <v>44</v>
      </c>
      <c r="V1224" s="7" t="s">
        <v>45</v>
      </c>
      <c r="W1224" s="7" t="s">
        <v>130</v>
      </c>
      <c r="X1224" s="7" t="s">
        <v>131</v>
      </c>
      <c r="Y1224" s="7" t="s">
        <v>2988</v>
      </c>
      <c r="Z1224" s="7" t="s">
        <v>2980</v>
      </c>
      <c r="AA1224" s="7"/>
      <c r="AB1224" s="7"/>
      <c r="AC1224" s="7" t="s">
        <v>136</v>
      </c>
      <c r="AD1224" s="7"/>
      <c r="AE1224" s="7" t="s">
        <v>2880</v>
      </c>
      <c r="AF1224" s="7" t="s">
        <v>50</v>
      </c>
      <c r="AG1224" s="7" t="s">
        <v>134</v>
      </c>
      <c r="AH1224" s="7" t="s">
        <v>141</v>
      </c>
    </row>
    <row r="1225" spans="1:34" ht="9.75" customHeight="1" x14ac:dyDescent="0.2">
      <c r="A1225" s="7" t="s">
        <v>37</v>
      </c>
      <c r="B1225" s="7" t="s">
        <v>38</v>
      </c>
      <c r="C1225" s="7"/>
      <c r="D1225" s="7" t="s">
        <v>2989</v>
      </c>
      <c r="E1225" s="8">
        <v>1</v>
      </c>
      <c r="F1225" s="7" t="s">
        <v>41</v>
      </c>
      <c r="G1225" s="7"/>
      <c r="H1225" s="9"/>
      <c r="I1225" s="10">
        <v>21939</v>
      </c>
      <c r="J1225" s="9"/>
      <c r="K1225" s="9"/>
      <c r="L1225" s="10">
        <v>33568</v>
      </c>
      <c r="M1225" s="9"/>
      <c r="N1225" s="10">
        <v>33568</v>
      </c>
      <c r="O1225" s="9"/>
      <c r="P1225" s="10"/>
      <c r="Q1225" s="10"/>
      <c r="R1225" s="10"/>
      <c r="S1225" s="7" t="s">
        <v>407</v>
      </c>
      <c r="T1225" s="7" t="s">
        <v>143</v>
      </c>
      <c r="U1225" s="7" t="s">
        <v>44</v>
      </c>
      <c r="V1225" s="7" t="s">
        <v>45</v>
      </c>
      <c r="W1225" s="7" t="s">
        <v>130</v>
      </c>
      <c r="X1225" s="7" t="s">
        <v>131</v>
      </c>
      <c r="Y1225" s="7" t="s">
        <v>2990</v>
      </c>
      <c r="Z1225" s="7" t="s">
        <v>2980</v>
      </c>
      <c r="AA1225" s="7"/>
      <c r="AB1225" s="7"/>
      <c r="AC1225" s="7" t="s">
        <v>136</v>
      </c>
      <c r="AD1225" s="7"/>
      <c r="AE1225" s="7" t="s">
        <v>2880</v>
      </c>
      <c r="AF1225" s="7" t="s">
        <v>50</v>
      </c>
      <c r="AG1225" s="7" t="s">
        <v>134</v>
      </c>
      <c r="AH1225" s="7" t="s">
        <v>141</v>
      </c>
    </row>
    <row r="1226" spans="1:34" ht="9.75" customHeight="1" x14ac:dyDescent="0.2">
      <c r="A1226" s="7" t="s">
        <v>37</v>
      </c>
      <c r="B1226" s="7" t="s">
        <v>38</v>
      </c>
      <c r="C1226" s="7"/>
      <c r="D1226" s="7" t="s">
        <v>2991</v>
      </c>
      <c r="E1226" s="8">
        <v>1</v>
      </c>
      <c r="F1226" s="7" t="s">
        <v>41</v>
      </c>
      <c r="G1226" s="7"/>
      <c r="H1226" s="9"/>
      <c r="I1226" s="10">
        <v>145770</v>
      </c>
      <c r="J1226" s="9"/>
      <c r="K1226" s="9"/>
      <c r="L1226" s="10">
        <v>223028</v>
      </c>
      <c r="M1226" s="9"/>
      <c r="N1226" s="10">
        <v>223028</v>
      </c>
      <c r="O1226" s="9"/>
      <c r="P1226" s="10"/>
      <c r="Q1226" s="10"/>
      <c r="R1226" s="10"/>
      <c r="S1226" s="7" t="s">
        <v>407</v>
      </c>
      <c r="T1226" s="7" t="s">
        <v>143</v>
      </c>
      <c r="U1226" s="7" t="s">
        <v>44</v>
      </c>
      <c r="V1226" s="7" t="s">
        <v>45</v>
      </c>
      <c r="W1226" s="7" t="s">
        <v>130</v>
      </c>
      <c r="X1226" s="7" t="s">
        <v>131</v>
      </c>
      <c r="Y1226" s="7" t="s">
        <v>2992</v>
      </c>
      <c r="Z1226" s="7" t="s">
        <v>2993</v>
      </c>
      <c r="AA1226" s="7"/>
      <c r="AB1226" s="7"/>
      <c r="AC1226" s="7" t="s">
        <v>136</v>
      </c>
      <c r="AD1226" s="7"/>
      <c r="AE1226" s="7" t="s">
        <v>2994</v>
      </c>
      <c r="AF1226" s="7" t="s">
        <v>50</v>
      </c>
      <c r="AG1226" s="7" t="s">
        <v>134</v>
      </c>
      <c r="AH1226" s="7" t="s">
        <v>141</v>
      </c>
    </row>
    <row r="1227" spans="1:34" ht="9.75" customHeight="1" x14ac:dyDescent="0.2">
      <c r="A1227" s="7" t="s">
        <v>37</v>
      </c>
      <c r="B1227" s="7" t="s">
        <v>38</v>
      </c>
      <c r="C1227" s="7"/>
      <c r="D1227" s="7" t="s">
        <v>2995</v>
      </c>
      <c r="E1227" s="8">
        <v>1</v>
      </c>
      <c r="F1227" s="7" t="s">
        <v>41</v>
      </c>
      <c r="G1227" s="7"/>
      <c r="H1227" s="9"/>
      <c r="I1227" s="10">
        <v>4861</v>
      </c>
      <c r="J1227" s="9"/>
      <c r="K1227" s="9"/>
      <c r="L1227" s="10">
        <v>7437</v>
      </c>
      <c r="M1227" s="9"/>
      <c r="N1227" s="10">
        <v>7437</v>
      </c>
      <c r="O1227" s="9"/>
      <c r="P1227" s="10"/>
      <c r="Q1227" s="10"/>
      <c r="R1227" s="10"/>
      <c r="S1227" s="7" t="s">
        <v>407</v>
      </c>
      <c r="T1227" s="7" t="s">
        <v>143</v>
      </c>
      <c r="U1227" s="7" t="s">
        <v>44</v>
      </c>
      <c r="V1227" s="7" t="s">
        <v>45</v>
      </c>
      <c r="W1227" s="7" t="s">
        <v>130</v>
      </c>
      <c r="X1227" s="7" t="s">
        <v>131</v>
      </c>
      <c r="Y1227" s="7" t="s">
        <v>2996</v>
      </c>
      <c r="Z1227" s="7" t="s">
        <v>2993</v>
      </c>
      <c r="AA1227" s="7"/>
      <c r="AB1227" s="7"/>
      <c r="AC1227" s="7" t="s">
        <v>136</v>
      </c>
      <c r="AD1227" s="7"/>
      <c r="AE1227" s="7" t="s">
        <v>2883</v>
      </c>
      <c r="AF1227" s="7" t="s">
        <v>50</v>
      </c>
      <c r="AG1227" s="7" t="s">
        <v>134</v>
      </c>
      <c r="AH1227" s="7" t="s">
        <v>141</v>
      </c>
    </row>
    <row r="1228" spans="1:34" ht="9.75" customHeight="1" x14ac:dyDescent="0.2">
      <c r="A1228" s="7" t="s">
        <v>37</v>
      </c>
      <c r="B1228" s="7" t="s">
        <v>38</v>
      </c>
      <c r="C1228" s="7"/>
      <c r="D1228" s="7" t="s">
        <v>2997</v>
      </c>
      <c r="E1228" s="8">
        <v>1</v>
      </c>
      <c r="F1228" s="7" t="s">
        <v>41</v>
      </c>
      <c r="G1228" s="7"/>
      <c r="H1228" s="9"/>
      <c r="I1228" s="10">
        <v>6646</v>
      </c>
      <c r="J1228" s="9"/>
      <c r="K1228" s="9"/>
      <c r="L1228" s="10">
        <v>10168</v>
      </c>
      <c r="M1228" s="9"/>
      <c r="N1228" s="10">
        <v>10168</v>
      </c>
      <c r="O1228" s="9"/>
      <c r="P1228" s="10"/>
      <c r="Q1228" s="10"/>
      <c r="R1228" s="10"/>
      <c r="S1228" s="7" t="s">
        <v>407</v>
      </c>
      <c r="T1228" s="7" t="s">
        <v>143</v>
      </c>
      <c r="U1228" s="7" t="s">
        <v>44</v>
      </c>
      <c r="V1228" s="7" t="s">
        <v>45</v>
      </c>
      <c r="W1228" s="7" t="s">
        <v>130</v>
      </c>
      <c r="X1228" s="7" t="s">
        <v>131</v>
      </c>
      <c r="Y1228" s="7" t="s">
        <v>2998</v>
      </c>
      <c r="Z1228" s="7" t="s">
        <v>2993</v>
      </c>
      <c r="AA1228" s="7"/>
      <c r="AB1228" s="7"/>
      <c r="AC1228" s="7" t="s">
        <v>136</v>
      </c>
      <c r="AD1228" s="7"/>
      <c r="AE1228" s="7" t="s">
        <v>2883</v>
      </c>
      <c r="AF1228" s="7" t="s">
        <v>50</v>
      </c>
      <c r="AG1228" s="7" t="s">
        <v>134</v>
      </c>
      <c r="AH1228" s="7" t="s">
        <v>141</v>
      </c>
    </row>
    <row r="1229" spans="1:34" ht="9.75" customHeight="1" x14ac:dyDescent="0.2">
      <c r="A1229" s="7" t="s">
        <v>37</v>
      </c>
      <c r="B1229" s="7" t="s">
        <v>38</v>
      </c>
      <c r="C1229" s="7"/>
      <c r="D1229" s="7" t="s">
        <v>2999</v>
      </c>
      <c r="E1229" s="8">
        <v>1</v>
      </c>
      <c r="F1229" s="7" t="s">
        <v>41</v>
      </c>
      <c r="G1229" s="7"/>
      <c r="H1229" s="9"/>
      <c r="I1229" s="10">
        <v>448</v>
      </c>
      <c r="J1229" s="9"/>
      <c r="K1229" s="9"/>
      <c r="L1229" s="10">
        <v>685</v>
      </c>
      <c r="M1229" s="9"/>
      <c r="N1229" s="10">
        <v>685</v>
      </c>
      <c r="O1229" s="9"/>
      <c r="P1229" s="10"/>
      <c r="Q1229" s="10"/>
      <c r="R1229" s="10"/>
      <c r="S1229" s="7" t="s">
        <v>407</v>
      </c>
      <c r="T1229" s="7" t="s">
        <v>143</v>
      </c>
      <c r="U1229" s="7" t="s">
        <v>44</v>
      </c>
      <c r="V1229" s="7" t="s">
        <v>45</v>
      </c>
      <c r="W1229" s="7" t="s">
        <v>130</v>
      </c>
      <c r="X1229" s="7" t="s">
        <v>131</v>
      </c>
      <c r="Y1229" s="7" t="s">
        <v>3000</v>
      </c>
      <c r="Z1229" s="7" t="s">
        <v>2993</v>
      </c>
      <c r="AA1229" s="7"/>
      <c r="AB1229" s="7"/>
      <c r="AC1229" s="7" t="s">
        <v>136</v>
      </c>
      <c r="AD1229" s="7"/>
      <c r="AE1229" s="7" t="s">
        <v>2883</v>
      </c>
      <c r="AF1229" s="7" t="s">
        <v>50</v>
      </c>
      <c r="AG1229" s="7" t="s">
        <v>134</v>
      </c>
      <c r="AH1229" s="7" t="s">
        <v>141</v>
      </c>
    </row>
    <row r="1230" spans="1:34" ht="9.75" customHeight="1" x14ac:dyDescent="0.2">
      <c r="A1230" s="7" t="s">
        <v>37</v>
      </c>
      <c r="B1230" s="7" t="s">
        <v>38</v>
      </c>
      <c r="C1230" s="7"/>
      <c r="D1230" s="7" t="s">
        <v>3001</v>
      </c>
      <c r="E1230" s="8">
        <v>1</v>
      </c>
      <c r="F1230" s="7" t="s">
        <v>41</v>
      </c>
      <c r="G1230" s="7"/>
      <c r="H1230" s="9"/>
      <c r="I1230" s="10">
        <v>3894</v>
      </c>
      <c r="J1230" s="9"/>
      <c r="K1230" s="9"/>
      <c r="L1230" s="10">
        <v>5959</v>
      </c>
      <c r="M1230" s="9"/>
      <c r="N1230" s="10">
        <v>5959</v>
      </c>
      <c r="O1230" s="9"/>
      <c r="P1230" s="10"/>
      <c r="Q1230" s="10"/>
      <c r="R1230" s="10"/>
      <c r="S1230" s="7" t="s">
        <v>407</v>
      </c>
      <c r="T1230" s="7" t="s">
        <v>143</v>
      </c>
      <c r="U1230" s="7" t="s">
        <v>44</v>
      </c>
      <c r="V1230" s="7" t="s">
        <v>45</v>
      </c>
      <c r="W1230" s="7" t="s">
        <v>130</v>
      </c>
      <c r="X1230" s="7" t="s">
        <v>131</v>
      </c>
      <c r="Y1230" s="7" t="s">
        <v>3002</v>
      </c>
      <c r="Z1230" s="7" t="s">
        <v>2993</v>
      </c>
      <c r="AA1230" s="7"/>
      <c r="AB1230" s="7"/>
      <c r="AC1230" s="7" t="s">
        <v>136</v>
      </c>
      <c r="AD1230" s="7"/>
      <c r="AE1230" s="7" t="s">
        <v>2883</v>
      </c>
      <c r="AF1230" s="7" t="s">
        <v>50</v>
      </c>
      <c r="AG1230" s="7" t="s">
        <v>134</v>
      </c>
      <c r="AH1230" s="7" t="s">
        <v>141</v>
      </c>
    </row>
    <row r="1231" spans="1:34" ht="9.75" customHeight="1" x14ac:dyDescent="0.2">
      <c r="A1231" s="7" t="s">
        <v>37</v>
      </c>
      <c r="B1231" s="7" t="s">
        <v>38</v>
      </c>
      <c r="C1231" s="7"/>
      <c r="D1231" s="7" t="s">
        <v>3003</v>
      </c>
      <c r="E1231" s="8">
        <v>1</v>
      </c>
      <c r="F1231" s="7" t="s">
        <v>41</v>
      </c>
      <c r="G1231" s="7"/>
      <c r="H1231" s="9"/>
      <c r="I1231" s="10">
        <v>15134</v>
      </c>
      <c r="J1231" s="9"/>
      <c r="K1231" s="9"/>
      <c r="L1231" s="10">
        <v>23155</v>
      </c>
      <c r="M1231" s="9"/>
      <c r="N1231" s="10">
        <v>23155</v>
      </c>
      <c r="O1231" s="9"/>
      <c r="P1231" s="10"/>
      <c r="Q1231" s="10"/>
      <c r="R1231" s="10"/>
      <c r="S1231" s="7" t="s">
        <v>407</v>
      </c>
      <c r="T1231" s="7" t="s">
        <v>143</v>
      </c>
      <c r="U1231" s="7" t="s">
        <v>44</v>
      </c>
      <c r="V1231" s="7" t="s">
        <v>45</v>
      </c>
      <c r="W1231" s="7" t="s">
        <v>130</v>
      </c>
      <c r="X1231" s="7" t="s">
        <v>131</v>
      </c>
      <c r="Y1231" s="7" t="s">
        <v>3004</v>
      </c>
      <c r="Z1231" s="7" t="s">
        <v>3005</v>
      </c>
      <c r="AA1231" s="7"/>
      <c r="AB1231" s="7"/>
      <c r="AC1231" s="7" t="s">
        <v>136</v>
      </c>
      <c r="AD1231" s="7"/>
      <c r="AE1231" s="7" t="s">
        <v>3006</v>
      </c>
      <c r="AF1231" s="7" t="s">
        <v>50</v>
      </c>
      <c r="AG1231" s="7" t="s">
        <v>134</v>
      </c>
      <c r="AH1231" s="7" t="s">
        <v>141</v>
      </c>
    </row>
    <row r="1232" spans="1:34" ht="9.75" customHeight="1" x14ac:dyDescent="0.2">
      <c r="A1232" s="7" t="s">
        <v>37</v>
      </c>
      <c r="B1232" s="7" t="s">
        <v>38</v>
      </c>
      <c r="C1232" s="7"/>
      <c r="D1232" s="7" t="s">
        <v>3007</v>
      </c>
      <c r="E1232" s="8">
        <v>1</v>
      </c>
      <c r="F1232" s="7" t="s">
        <v>41</v>
      </c>
      <c r="G1232" s="7"/>
      <c r="H1232" s="9"/>
      <c r="I1232" s="10">
        <v>1515</v>
      </c>
      <c r="J1232" s="9"/>
      <c r="K1232" s="9"/>
      <c r="L1232" s="10">
        <v>2318</v>
      </c>
      <c r="M1232" s="9"/>
      <c r="N1232" s="10">
        <v>2318</v>
      </c>
      <c r="O1232" s="9"/>
      <c r="P1232" s="10"/>
      <c r="Q1232" s="10"/>
      <c r="R1232" s="10"/>
      <c r="S1232" s="7" t="s">
        <v>407</v>
      </c>
      <c r="T1232" s="7" t="s">
        <v>143</v>
      </c>
      <c r="U1232" s="7" t="s">
        <v>44</v>
      </c>
      <c r="V1232" s="7" t="s">
        <v>45</v>
      </c>
      <c r="W1232" s="7" t="s">
        <v>130</v>
      </c>
      <c r="X1232" s="7" t="s">
        <v>131</v>
      </c>
      <c r="Y1232" s="7" t="s">
        <v>3008</v>
      </c>
      <c r="Z1232" s="7" t="s">
        <v>3005</v>
      </c>
      <c r="AA1232" s="7"/>
      <c r="AB1232" s="7"/>
      <c r="AC1232" s="7" t="s">
        <v>136</v>
      </c>
      <c r="AD1232" s="7"/>
      <c r="AE1232" s="7" t="s">
        <v>2886</v>
      </c>
      <c r="AF1232" s="7" t="s">
        <v>50</v>
      </c>
      <c r="AG1232" s="7" t="s">
        <v>134</v>
      </c>
      <c r="AH1232" s="7" t="s">
        <v>141</v>
      </c>
    </row>
    <row r="1233" spans="1:34" ht="9.75" customHeight="1" x14ac:dyDescent="0.2">
      <c r="A1233" s="7" t="s">
        <v>37</v>
      </c>
      <c r="B1233" s="7" t="s">
        <v>38</v>
      </c>
      <c r="C1233" s="7"/>
      <c r="D1233" s="7" t="s">
        <v>3009</v>
      </c>
      <c r="E1233" s="8">
        <v>1</v>
      </c>
      <c r="F1233" s="7" t="s">
        <v>41</v>
      </c>
      <c r="G1233" s="7"/>
      <c r="H1233" s="9"/>
      <c r="I1233" s="10">
        <v>3713</v>
      </c>
      <c r="J1233" s="9"/>
      <c r="K1233" s="9"/>
      <c r="L1233" s="10">
        <v>5681</v>
      </c>
      <c r="M1233" s="9"/>
      <c r="N1233" s="10">
        <v>5681</v>
      </c>
      <c r="O1233" s="9"/>
      <c r="P1233" s="10"/>
      <c r="Q1233" s="10"/>
      <c r="R1233" s="10"/>
      <c r="S1233" s="7" t="s">
        <v>407</v>
      </c>
      <c r="T1233" s="7" t="s">
        <v>143</v>
      </c>
      <c r="U1233" s="7" t="s">
        <v>44</v>
      </c>
      <c r="V1233" s="7" t="s">
        <v>45</v>
      </c>
      <c r="W1233" s="7" t="s">
        <v>130</v>
      </c>
      <c r="X1233" s="7" t="s">
        <v>131</v>
      </c>
      <c r="Y1233" s="7" t="s">
        <v>3010</v>
      </c>
      <c r="Z1233" s="7" t="s">
        <v>3005</v>
      </c>
      <c r="AA1233" s="7"/>
      <c r="AB1233" s="7"/>
      <c r="AC1233" s="7" t="s">
        <v>136</v>
      </c>
      <c r="AD1233" s="7"/>
      <c r="AE1233" s="7" t="s">
        <v>2886</v>
      </c>
      <c r="AF1233" s="7" t="s">
        <v>50</v>
      </c>
      <c r="AG1233" s="7" t="s">
        <v>134</v>
      </c>
      <c r="AH1233" s="7" t="s">
        <v>141</v>
      </c>
    </row>
    <row r="1234" spans="1:34" ht="9.75" customHeight="1" x14ac:dyDescent="0.2">
      <c r="A1234" s="7" t="s">
        <v>37</v>
      </c>
      <c r="B1234" s="7" t="s">
        <v>38</v>
      </c>
      <c r="C1234" s="7"/>
      <c r="D1234" s="7" t="s">
        <v>3011</v>
      </c>
      <c r="E1234" s="8">
        <v>1</v>
      </c>
      <c r="F1234" s="7" t="s">
        <v>41</v>
      </c>
      <c r="G1234" s="7"/>
      <c r="H1234" s="9"/>
      <c r="I1234" s="10">
        <v>1862</v>
      </c>
      <c r="J1234" s="9"/>
      <c r="K1234" s="9"/>
      <c r="L1234" s="10">
        <v>2849</v>
      </c>
      <c r="M1234" s="9"/>
      <c r="N1234" s="10">
        <v>2849</v>
      </c>
      <c r="O1234" s="9"/>
      <c r="P1234" s="10"/>
      <c r="Q1234" s="10"/>
      <c r="R1234" s="10"/>
      <c r="S1234" s="7" t="s">
        <v>407</v>
      </c>
      <c r="T1234" s="7" t="s">
        <v>143</v>
      </c>
      <c r="U1234" s="7" t="s">
        <v>44</v>
      </c>
      <c r="V1234" s="7" t="s">
        <v>45</v>
      </c>
      <c r="W1234" s="7" t="s">
        <v>130</v>
      </c>
      <c r="X1234" s="7" t="s">
        <v>131</v>
      </c>
      <c r="Y1234" s="7" t="s">
        <v>3012</v>
      </c>
      <c r="Z1234" s="7" t="s">
        <v>3005</v>
      </c>
      <c r="AA1234" s="7"/>
      <c r="AB1234" s="7"/>
      <c r="AC1234" s="7" t="s">
        <v>136</v>
      </c>
      <c r="AD1234" s="7"/>
      <c r="AE1234" s="7" t="s">
        <v>2886</v>
      </c>
      <c r="AF1234" s="7" t="s">
        <v>50</v>
      </c>
      <c r="AG1234" s="7" t="s">
        <v>134</v>
      </c>
      <c r="AH1234" s="7" t="s">
        <v>141</v>
      </c>
    </row>
    <row r="1235" spans="1:34" ht="9.75" customHeight="1" x14ac:dyDescent="0.2">
      <c r="A1235" s="7" t="s">
        <v>37</v>
      </c>
      <c r="B1235" s="7" t="s">
        <v>38</v>
      </c>
      <c r="C1235" s="7"/>
      <c r="D1235" s="7" t="s">
        <v>3013</v>
      </c>
      <c r="E1235" s="8">
        <v>1</v>
      </c>
      <c r="F1235" s="7" t="s">
        <v>41</v>
      </c>
      <c r="G1235" s="7"/>
      <c r="H1235" s="9"/>
      <c r="I1235" s="10">
        <v>9570</v>
      </c>
      <c r="J1235" s="9"/>
      <c r="K1235" s="9"/>
      <c r="L1235" s="10">
        <v>14642</v>
      </c>
      <c r="M1235" s="9"/>
      <c r="N1235" s="10">
        <v>14642</v>
      </c>
      <c r="O1235" s="9"/>
      <c r="P1235" s="10"/>
      <c r="Q1235" s="10"/>
      <c r="R1235" s="10"/>
      <c r="S1235" s="7" t="s">
        <v>407</v>
      </c>
      <c r="T1235" s="7" t="s">
        <v>143</v>
      </c>
      <c r="U1235" s="7" t="s">
        <v>44</v>
      </c>
      <c r="V1235" s="7" t="s">
        <v>45</v>
      </c>
      <c r="W1235" s="7" t="s">
        <v>130</v>
      </c>
      <c r="X1235" s="7" t="s">
        <v>131</v>
      </c>
      <c r="Y1235" s="7" t="s">
        <v>3014</v>
      </c>
      <c r="Z1235" s="7" t="s">
        <v>3005</v>
      </c>
      <c r="AA1235" s="7"/>
      <c r="AB1235" s="7"/>
      <c r="AC1235" s="7" t="s">
        <v>136</v>
      </c>
      <c r="AD1235" s="7"/>
      <c r="AE1235" s="7" t="s">
        <v>2886</v>
      </c>
      <c r="AF1235" s="7" t="s">
        <v>50</v>
      </c>
      <c r="AG1235" s="7" t="s">
        <v>134</v>
      </c>
      <c r="AH1235" s="7" t="s">
        <v>141</v>
      </c>
    </row>
    <row r="1236" spans="1:34" ht="9.75" customHeight="1" x14ac:dyDescent="0.2">
      <c r="A1236" s="7" t="s">
        <v>37</v>
      </c>
      <c r="B1236" s="7" t="s">
        <v>38</v>
      </c>
      <c r="C1236" s="7"/>
      <c r="D1236" s="7" t="s">
        <v>3015</v>
      </c>
      <c r="E1236" s="8">
        <v>1</v>
      </c>
      <c r="F1236" s="7" t="s">
        <v>41</v>
      </c>
      <c r="G1236" s="7"/>
      <c r="H1236" s="9"/>
      <c r="I1236" s="10">
        <v>76017</v>
      </c>
      <c r="J1236" s="9"/>
      <c r="K1236" s="9"/>
      <c r="L1236" s="10">
        <v>116306</v>
      </c>
      <c r="M1236" s="9"/>
      <c r="N1236" s="10">
        <v>116306</v>
      </c>
      <c r="O1236" s="9"/>
      <c r="P1236" s="10"/>
      <c r="Q1236" s="10"/>
      <c r="R1236" s="10"/>
      <c r="S1236" s="7" t="s">
        <v>407</v>
      </c>
      <c r="T1236" s="7" t="s">
        <v>143</v>
      </c>
      <c r="U1236" s="7" t="s">
        <v>44</v>
      </c>
      <c r="V1236" s="7" t="s">
        <v>45</v>
      </c>
      <c r="W1236" s="7" t="s">
        <v>130</v>
      </c>
      <c r="X1236" s="7" t="s">
        <v>131</v>
      </c>
      <c r="Y1236" s="7" t="s">
        <v>3016</v>
      </c>
      <c r="Z1236" s="7" t="s">
        <v>3017</v>
      </c>
      <c r="AA1236" s="7"/>
      <c r="AB1236" s="7"/>
      <c r="AC1236" s="7" t="s">
        <v>136</v>
      </c>
      <c r="AD1236" s="7"/>
      <c r="AE1236" s="7"/>
      <c r="AF1236" s="7" t="s">
        <v>50</v>
      </c>
      <c r="AG1236" s="7" t="s">
        <v>134</v>
      </c>
      <c r="AH1236" s="7" t="s">
        <v>141</v>
      </c>
    </row>
    <row r="1237" spans="1:34" ht="9.75" customHeight="1" x14ac:dyDescent="0.2">
      <c r="A1237" s="7" t="s">
        <v>37</v>
      </c>
      <c r="B1237" s="7" t="s">
        <v>38</v>
      </c>
      <c r="C1237" s="7"/>
      <c r="D1237" s="7" t="s">
        <v>3018</v>
      </c>
      <c r="E1237" s="8">
        <v>1</v>
      </c>
      <c r="F1237" s="7" t="s">
        <v>41</v>
      </c>
      <c r="G1237" s="7"/>
      <c r="H1237" s="9"/>
      <c r="I1237" s="10">
        <v>306</v>
      </c>
      <c r="J1237" s="9"/>
      <c r="K1237" s="9"/>
      <c r="L1237" s="10">
        <v>468</v>
      </c>
      <c r="M1237" s="9"/>
      <c r="N1237" s="10">
        <v>468</v>
      </c>
      <c r="O1237" s="9"/>
      <c r="P1237" s="10"/>
      <c r="Q1237" s="10"/>
      <c r="R1237" s="10"/>
      <c r="S1237" s="7" t="s">
        <v>407</v>
      </c>
      <c r="T1237" s="7" t="s">
        <v>143</v>
      </c>
      <c r="U1237" s="7" t="s">
        <v>44</v>
      </c>
      <c r="V1237" s="7" t="s">
        <v>45</v>
      </c>
      <c r="W1237" s="7" t="s">
        <v>130</v>
      </c>
      <c r="X1237" s="7" t="s">
        <v>131</v>
      </c>
      <c r="Y1237" s="7" t="s">
        <v>3019</v>
      </c>
      <c r="Z1237" s="7" t="s">
        <v>3017</v>
      </c>
      <c r="AA1237" s="7"/>
      <c r="AB1237" s="7"/>
      <c r="AC1237" s="7" t="s">
        <v>136</v>
      </c>
      <c r="AD1237" s="7"/>
      <c r="AE1237" s="7" t="s">
        <v>2889</v>
      </c>
      <c r="AF1237" s="7" t="s">
        <v>50</v>
      </c>
      <c r="AG1237" s="7" t="s">
        <v>134</v>
      </c>
      <c r="AH1237" s="7" t="s">
        <v>141</v>
      </c>
    </row>
    <row r="1238" spans="1:34" ht="9.75" customHeight="1" x14ac:dyDescent="0.2">
      <c r="A1238" s="7" t="s">
        <v>37</v>
      </c>
      <c r="B1238" s="7" t="s">
        <v>38</v>
      </c>
      <c r="C1238" s="7"/>
      <c r="D1238" s="7" t="s">
        <v>3020</v>
      </c>
      <c r="E1238" s="8">
        <v>1</v>
      </c>
      <c r="F1238" s="7" t="s">
        <v>41</v>
      </c>
      <c r="G1238" s="7"/>
      <c r="H1238" s="9"/>
      <c r="I1238" s="10">
        <v>703</v>
      </c>
      <c r="J1238" s="9"/>
      <c r="K1238" s="9"/>
      <c r="L1238" s="10">
        <v>1076</v>
      </c>
      <c r="M1238" s="9"/>
      <c r="N1238" s="10">
        <v>1076</v>
      </c>
      <c r="O1238" s="9"/>
      <c r="P1238" s="10"/>
      <c r="Q1238" s="10"/>
      <c r="R1238" s="10"/>
      <c r="S1238" s="7" t="s">
        <v>407</v>
      </c>
      <c r="T1238" s="7" t="s">
        <v>143</v>
      </c>
      <c r="U1238" s="7" t="s">
        <v>44</v>
      </c>
      <c r="V1238" s="7" t="s">
        <v>45</v>
      </c>
      <c r="W1238" s="7" t="s">
        <v>130</v>
      </c>
      <c r="X1238" s="7" t="s">
        <v>131</v>
      </c>
      <c r="Y1238" s="7" t="s">
        <v>3021</v>
      </c>
      <c r="Z1238" s="7" t="s">
        <v>3017</v>
      </c>
      <c r="AA1238" s="7"/>
      <c r="AB1238" s="7"/>
      <c r="AC1238" s="7" t="s">
        <v>136</v>
      </c>
      <c r="AD1238" s="7"/>
      <c r="AE1238" s="7" t="s">
        <v>2889</v>
      </c>
      <c r="AF1238" s="7" t="s">
        <v>50</v>
      </c>
      <c r="AG1238" s="7" t="s">
        <v>134</v>
      </c>
      <c r="AH1238" s="7" t="s">
        <v>141</v>
      </c>
    </row>
    <row r="1239" spans="1:34" ht="9.75" customHeight="1" x14ac:dyDescent="0.2">
      <c r="A1239" s="7" t="s">
        <v>37</v>
      </c>
      <c r="B1239" s="7" t="s">
        <v>38</v>
      </c>
      <c r="C1239" s="7"/>
      <c r="D1239" s="7" t="s">
        <v>3022</v>
      </c>
      <c r="E1239" s="8">
        <v>1</v>
      </c>
      <c r="F1239" s="7" t="s">
        <v>41</v>
      </c>
      <c r="G1239" s="7"/>
      <c r="H1239" s="9"/>
      <c r="I1239" s="10">
        <v>7912</v>
      </c>
      <c r="J1239" s="9"/>
      <c r="K1239" s="9"/>
      <c r="L1239" s="10">
        <v>12105</v>
      </c>
      <c r="M1239" s="9"/>
      <c r="N1239" s="10">
        <v>12105</v>
      </c>
      <c r="O1239" s="9"/>
      <c r="P1239" s="10"/>
      <c r="Q1239" s="10"/>
      <c r="R1239" s="10"/>
      <c r="S1239" s="7" t="s">
        <v>407</v>
      </c>
      <c r="T1239" s="7" t="s">
        <v>143</v>
      </c>
      <c r="U1239" s="7" t="s">
        <v>44</v>
      </c>
      <c r="V1239" s="7" t="s">
        <v>45</v>
      </c>
      <c r="W1239" s="7" t="s">
        <v>130</v>
      </c>
      <c r="X1239" s="7" t="s">
        <v>131</v>
      </c>
      <c r="Y1239" s="7" t="s">
        <v>3023</v>
      </c>
      <c r="Z1239" s="7" t="s">
        <v>3017</v>
      </c>
      <c r="AA1239" s="7"/>
      <c r="AB1239" s="7"/>
      <c r="AC1239" s="7" t="s">
        <v>136</v>
      </c>
      <c r="AD1239" s="7"/>
      <c r="AE1239" s="7" t="s">
        <v>2889</v>
      </c>
      <c r="AF1239" s="7" t="s">
        <v>50</v>
      </c>
      <c r="AG1239" s="7" t="s">
        <v>134</v>
      </c>
      <c r="AH1239" s="7" t="s">
        <v>141</v>
      </c>
    </row>
    <row r="1240" spans="1:34" ht="9.75" customHeight="1" x14ac:dyDescent="0.2">
      <c r="A1240" s="7" t="s">
        <v>37</v>
      </c>
      <c r="B1240" s="7" t="s">
        <v>38</v>
      </c>
      <c r="C1240" s="7"/>
      <c r="D1240" s="7" t="s">
        <v>3024</v>
      </c>
      <c r="E1240" s="8">
        <v>1</v>
      </c>
      <c r="F1240" s="7" t="s">
        <v>41</v>
      </c>
      <c r="G1240" s="7"/>
      <c r="H1240" s="9"/>
      <c r="I1240" s="10">
        <v>4618</v>
      </c>
      <c r="J1240" s="9"/>
      <c r="K1240" s="9"/>
      <c r="L1240" s="10">
        <v>7066</v>
      </c>
      <c r="M1240" s="9"/>
      <c r="N1240" s="10">
        <v>7066</v>
      </c>
      <c r="O1240" s="9"/>
      <c r="P1240" s="10"/>
      <c r="Q1240" s="10"/>
      <c r="R1240" s="10"/>
      <c r="S1240" s="7" t="s">
        <v>407</v>
      </c>
      <c r="T1240" s="7" t="s">
        <v>143</v>
      </c>
      <c r="U1240" s="7" t="s">
        <v>44</v>
      </c>
      <c r="V1240" s="7" t="s">
        <v>45</v>
      </c>
      <c r="W1240" s="7" t="s">
        <v>130</v>
      </c>
      <c r="X1240" s="7" t="s">
        <v>131</v>
      </c>
      <c r="Y1240" s="7" t="s">
        <v>3025</v>
      </c>
      <c r="Z1240" s="7" t="s">
        <v>3017</v>
      </c>
      <c r="AA1240" s="7"/>
      <c r="AB1240" s="7"/>
      <c r="AC1240" s="7" t="s">
        <v>136</v>
      </c>
      <c r="AD1240" s="7"/>
      <c r="AE1240" s="7" t="s">
        <v>2889</v>
      </c>
      <c r="AF1240" s="7" t="s">
        <v>50</v>
      </c>
      <c r="AG1240" s="7" t="s">
        <v>134</v>
      </c>
      <c r="AH1240" s="7" t="s">
        <v>141</v>
      </c>
    </row>
    <row r="1241" spans="1:34" ht="9.75" customHeight="1" x14ac:dyDescent="0.2">
      <c r="A1241" s="7" t="s">
        <v>37</v>
      </c>
      <c r="B1241" s="7" t="s">
        <v>38</v>
      </c>
      <c r="C1241" s="7"/>
      <c r="D1241" s="7" t="s">
        <v>3026</v>
      </c>
      <c r="E1241" s="8">
        <v>1</v>
      </c>
      <c r="F1241" s="7" t="s">
        <v>41</v>
      </c>
      <c r="G1241" s="7"/>
      <c r="H1241" s="9"/>
      <c r="I1241" s="10">
        <v>14691</v>
      </c>
      <c r="J1241" s="9"/>
      <c r="K1241" s="9"/>
      <c r="L1241" s="10">
        <v>22477</v>
      </c>
      <c r="M1241" s="9"/>
      <c r="N1241" s="10">
        <v>22477</v>
      </c>
      <c r="O1241" s="9"/>
      <c r="P1241" s="10"/>
      <c r="Q1241" s="10"/>
      <c r="R1241" s="10"/>
      <c r="S1241" s="7" t="s">
        <v>407</v>
      </c>
      <c r="T1241" s="7" t="s">
        <v>143</v>
      </c>
      <c r="U1241" s="7" t="s">
        <v>44</v>
      </c>
      <c r="V1241" s="7" t="s">
        <v>45</v>
      </c>
      <c r="W1241" s="7" t="s">
        <v>130</v>
      </c>
      <c r="X1241" s="7" t="s">
        <v>131</v>
      </c>
      <c r="Y1241" s="7" t="s">
        <v>3027</v>
      </c>
      <c r="Z1241" s="7" t="s">
        <v>3017</v>
      </c>
      <c r="AA1241" s="7"/>
      <c r="AB1241" s="7"/>
      <c r="AC1241" s="7" t="s">
        <v>136</v>
      </c>
      <c r="AD1241" s="7"/>
      <c r="AE1241" s="7" t="s">
        <v>2889</v>
      </c>
      <c r="AF1241" s="7" t="s">
        <v>50</v>
      </c>
      <c r="AG1241" s="7" t="s">
        <v>134</v>
      </c>
      <c r="AH1241" s="7" t="s">
        <v>141</v>
      </c>
    </row>
    <row r="1242" spans="1:34" ht="9.75" customHeight="1" x14ac:dyDescent="0.2">
      <c r="A1242" s="7" t="s">
        <v>37</v>
      </c>
      <c r="B1242" s="7" t="s">
        <v>38</v>
      </c>
      <c r="C1242" s="7"/>
      <c r="D1242" s="7" t="s">
        <v>3028</v>
      </c>
      <c r="E1242" s="8">
        <v>1</v>
      </c>
      <c r="F1242" s="7" t="s">
        <v>41</v>
      </c>
      <c r="G1242" s="7"/>
      <c r="H1242" s="9"/>
      <c r="I1242" s="10">
        <v>22655</v>
      </c>
      <c r="J1242" s="9"/>
      <c r="K1242" s="9"/>
      <c r="L1242" s="10">
        <v>34662</v>
      </c>
      <c r="M1242" s="9"/>
      <c r="N1242" s="10">
        <v>34662</v>
      </c>
      <c r="O1242" s="9"/>
      <c r="P1242" s="10"/>
      <c r="Q1242" s="10"/>
      <c r="R1242" s="10"/>
      <c r="S1242" s="7" t="s">
        <v>407</v>
      </c>
      <c r="T1242" s="7" t="s">
        <v>143</v>
      </c>
      <c r="U1242" s="7" t="s">
        <v>44</v>
      </c>
      <c r="V1242" s="7" t="s">
        <v>45</v>
      </c>
      <c r="W1242" s="7" t="s">
        <v>130</v>
      </c>
      <c r="X1242" s="7" t="s">
        <v>131</v>
      </c>
      <c r="Y1242" s="7" t="s">
        <v>3029</v>
      </c>
      <c r="Z1242" s="7" t="s">
        <v>3017</v>
      </c>
      <c r="AA1242" s="7"/>
      <c r="AB1242" s="7"/>
      <c r="AC1242" s="7" t="s">
        <v>136</v>
      </c>
      <c r="AD1242" s="7"/>
      <c r="AE1242" s="7" t="s">
        <v>2889</v>
      </c>
      <c r="AF1242" s="7" t="s">
        <v>50</v>
      </c>
      <c r="AG1242" s="7" t="s">
        <v>134</v>
      </c>
      <c r="AH1242" s="7" t="s">
        <v>141</v>
      </c>
    </row>
    <row r="1243" spans="1:34" ht="9.75" customHeight="1" x14ac:dyDescent="0.2">
      <c r="A1243" s="7" t="s">
        <v>37</v>
      </c>
      <c r="B1243" s="7" t="s">
        <v>38</v>
      </c>
      <c r="C1243" s="7"/>
      <c r="D1243" s="7" t="s">
        <v>3030</v>
      </c>
      <c r="E1243" s="8">
        <v>1</v>
      </c>
      <c r="F1243" s="7" t="s">
        <v>41</v>
      </c>
      <c r="G1243" s="7"/>
      <c r="H1243" s="9"/>
      <c r="I1243" s="10">
        <v>13565</v>
      </c>
      <c r="J1243" s="9"/>
      <c r="K1243" s="9"/>
      <c r="L1243" s="10">
        <v>20754</v>
      </c>
      <c r="M1243" s="9"/>
      <c r="N1243" s="10">
        <v>20754</v>
      </c>
      <c r="O1243" s="9"/>
      <c r="P1243" s="10"/>
      <c r="Q1243" s="10"/>
      <c r="R1243" s="10"/>
      <c r="S1243" s="7" t="s">
        <v>407</v>
      </c>
      <c r="T1243" s="7" t="s">
        <v>143</v>
      </c>
      <c r="U1243" s="7" t="s">
        <v>44</v>
      </c>
      <c r="V1243" s="7" t="s">
        <v>45</v>
      </c>
      <c r="W1243" s="7" t="s">
        <v>130</v>
      </c>
      <c r="X1243" s="7" t="s">
        <v>131</v>
      </c>
      <c r="Y1243" s="7" t="s">
        <v>3031</v>
      </c>
      <c r="Z1243" s="7" t="s">
        <v>3032</v>
      </c>
      <c r="AA1243" s="7"/>
      <c r="AB1243" s="7"/>
      <c r="AC1243" s="7" t="s">
        <v>136</v>
      </c>
      <c r="AD1243" s="7"/>
      <c r="AE1243" s="7" t="s">
        <v>3033</v>
      </c>
      <c r="AF1243" s="7" t="s">
        <v>50</v>
      </c>
      <c r="AG1243" s="7" t="s">
        <v>134</v>
      </c>
      <c r="AH1243" s="7" t="s">
        <v>141</v>
      </c>
    </row>
    <row r="1244" spans="1:34" ht="9.75" customHeight="1" x14ac:dyDescent="0.2">
      <c r="A1244" s="7" t="s">
        <v>37</v>
      </c>
      <c r="B1244" s="7" t="s">
        <v>38</v>
      </c>
      <c r="C1244" s="7"/>
      <c r="D1244" s="7" t="s">
        <v>3034</v>
      </c>
      <c r="E1244" s="8">
        <v>1</v>
      </c>
      <c r="F1244" s="7" t="s">
        <v>41</v>
      </c>
      <c r="G1244" s="7"/>
      <c r="H1244" s="9"/>
      <c r="I1244" s="10">
        <v>558</v>
      </c>
      <c r="J1244" s="9"/>
      <c r="K1244" s="9"/>
      <c r="L1244" s="10">
        <v>854</v>
      </c>
      <c r="M1244" s="9"/>
      <c r="N1244" s="10">
        <v>854</v>
      </c>
      <c r="O1244" s="9"/>
      <c r="P1244" s="10"/>
      <c r="Q1244" s="10"/>
      <c r="R1244" s="10"/>
      <c r="S1244" s="7" t="s">
        <v>407</v>
      </c>
      <c r="T1244" s="7" t="s">
        <v>143</v>
      </c>
      <c r="U1244" s="7" t="s">
        <v>44</v>
      </c>
      <c r="V1244" s="7" t="s">
        <v>45</v>
      </c>
      <c r="W1244" s="7" t="s">
        <v>130</v>
      </c>
      <c r="X1244" s="7" t="s">
        <v>131</v>
      </c>
      <c r="Y1244" s="7" t="s">
        <v>3035</v>
      </c>
      <c r="Z1244" s="7" t="s">
        <v>3032</v>
      </c>
      <c r="AA1244" s="7"/>
      <c r="AB1244" s="7"/>
      <c r="AC1244" s="7" t="s">
        <v>136</v>
      </c>
      <c r="AD1244" s="7"/>
      <c r="AE1244" s="7" t="s">
        <v>2892</v>
      </c>
      <c r="AF1244" s="7" t="s">
        <v>50</v>
      </c>
      <c r="AG1244" s="7" t="s">
        <v>134</v>
      </c>
      <c r="AH1244" s="7" t="s">
        <v>141</v>
      </c>
    </row>
    <row r="1245" spans="1:34" ht="9.75" customHeight="1" x14ac:dyDescent="0.2">
      <c r="A1245" s="7" t="s">
        <v>37</v>
      </c>
      <c r="B1245" s="7" t="s">
        <v>38</v>
      </c>
      <c r="C1245" s="7"/>
      <c r="D1245" s="7" t="s">
        <v>3036</v>
      </c>
      <c r="E1245" s="8">
        <v>1</v>
      </c>
      <c r="F1245" s="7" t="s">
        <v>41</v>
      </c>
      <c r="G1245" s="7"/>
      <c r="H1245" s="9"/>
      <c r="I1245" s="10">
        <v>132</v>
      </c>
      <c r="J1245" s="9"/>
      <c r="K1245" s="9"/>
      <c r="L1245" s="10">
        <v>202</v>
      </c>
      <c r="M1245" s="9"/>
      <c r="N1245" s="10">
        <v>202</v>
      </c>
      <c r="O1245" s="9"/>
      <c r="P1245" s="10"/>
      <c r="Q1245" s="10"/>
      <c r="R1245" s="10"/>
      <c r="S1245" s="7" t="s">
        <v>407</v>
      </c>
      <c r="T1245" s="7" t="s">
        <v>143</v>
      </c>
      <c r="U1245" s="7" t="s">
        <v>44</v>
      </c>
      <c r="V1245" s="7" t="s">
        <v>45</v>
      </c>
      <c r="W1245" s="7" t="s">
        <v>130</v>
      </c>
      <c r="X1245" s="7" t="s">
        <v>131</v>
      </c>
      <c r="Y1245" s="7" t="s">
        <v>3037</v>
      </c>
      <c r="Z1245" s="7" t="s">
        <v>3032</v>
      </c>
      <c r="AA1245" s="7"/>
      <c r="AB1245" s="7"/>
      <c r="AC1245" s="7" t="s">
        <v>136</v>
      </c>
      <c r="AD1245" s="7"/>
      <c r="AE1245" s="7" t="s">
        <v>2892</v>
      </c>
      <c r="AF1245" s="7" t="s">
        <v>50</v>
      </c>
      <c r="AG1245" s="7" t="s">
        <v>134</v>
      </c>
      <c r="AH1245" s="7" t="s">
        <v>141</v>
      </c>
    </row>
    <row r="1246" spans="1:34" ht="9.75" customHeight="1" x14ac:dyDescent="0.2">
      <c r="A1246" s="7" t="s">
        <v>37</v>
      </c>
      <c r="B1246" s="7" t="s">
        <v>38</v>
      </c>
      <c r="C1246" s="7"/>
      <c r="D1246" s="7" t="s">
        <v>3038</v>
      </c>
      <c r="E1246" s="8">
        <v>1</v>
      </c>
      <c r="F1246" s="7" t="s">
        <v>41</v>
      </c>
      <c r="G1246" s="7"/>
      <c r="H1246" s="9"/>
      <c r="I1246" s="10">
        <v>647</v>
      </c>
      <c r="J1246" s="9"/>
      <c r="K1246" s="9"/>
      <c r="L1246" s="10">
        <v>990</v>
      </c>
      <c r="M1246" s="9"/>
      <c r="N1246" s="10">
        <v>990</v>
      </c>
      <c r="O1246" s="9"/>
      <c r="P1246" s="10"/>
      <c r="Q1246" s="10"/>
      <c r="R1246" s="10"/>
      <c r="S1246" s="7" t="s">
        <v>407</v>
      </c>
      <c r="T1246" s="7" t="s">
        <v>143</v>
      </c>
      <c r="U1246" s="7" t="s">
        <v>44</v>
      </c>
      <c r="V1246" s="7" t="s">
        <v>45</v>
      </c>
      <c r="W1246" s="7" t="s">
        <v>130</v>
      </c>
      <c r="X1246" s="7" t="s">
        <v>131</v>
      </c>
      <c r="Y1246" s="7" t="s">
        <v>3039</v>
      </c>
      <c r="Z1246" s="7" t="s">
        <v>3032</v>
      </c>
      <c r="AA1246" s="7"/>
      <c r="AB1246" s="7"/>
      <c r="AC1246" s="7" t="s">
        <v>136</v>
      </c>
      <c r="AD1246" s="7"/>
      <c r="AE1246" s="7" t="s">
        <v>2892</v>
      </c>
      <c r="AF1246" s="7" t="s">
        <v>50</v>
      </c>
      <c r="AG1246" s="7" t="s">
        <v>134</v>
      </c>
      <c r="AH1246" s="7" t="s">
        <v>141</v>
      </c>
    </row>
    <row r="1247" spans="1:34" ht="9.75" customHeight="1" x14ac:dyDescent="0.2">
      <c r="A1247" s="7" t="s">
        <v>37</v>
      </c>
      <c r="B1247" s="7" t="s">
        <v>38</v>
      </c>
      <c r="C1247" s="7"/>
      <c r="D1247" s="7" t="s">
        <v>3040</v>
      </c>
      <c r="E1247" s="8">
        <v>1</v>
      </c>
      <c r="F1247" s="7" t="s">
        <v>41</v>
      </c>
      <c r="G1247" s="7"/>
      <c r="H1247" s="9"/>
      <c r="I1247" s="10">
        <v>1120</v>
      </c>
      <c r="J1247" s="9"/>
      <c r="K1247" s="9"/>
      <c r="L1247" s="10">
        <v>1714</v>
      </c>
      <c r="M1247" s="9"/>
      <c r="N1247" s="10">
        <v>1714</v>
      </c>
      <c r="O1247" s="9"/>
      <c r="P1247" s="10"/>
      <c r="Q1247" s="10"/>
      <c r="R1247" s="10"/>
      <c r="S1247" s="7" t="s">
        <v>407</v>
      </c>
      <c r="T1247" s="7" t="s">
        <v>143</v>
      </c>
      <c r="U1247" s="7" t="s">
        <v>44</v>
      </c>
      <c r="V1247" s="7" t="s">
        <v>45</v>
      </c>
      <c r="W1247" s="7" t="s">
        <v>130</v>
      </c>
      <c r="X1247" s="7" t="s">
        <v>131</v>
      </c>
      <c r="Y1247" s="7" t="s">
        <v>3041</v>
      </c>
      <c r="Z1247" s="7" t="s">
        <v>3032</v>
      </c>
      <c r="AA1247" s="7"/>
      <c r="AB1247" s="7"/>
      <c r="AC1247" s="7" t="s">
        <v>136</v>
      </c>
      <c r="AD1247" s="7"/>
      <c r="AE1247" s="7" t="s">
        <v>2892</v>
      </c>
      <c r="AF1247" s="7" t="s">
        <v>50</v>
      </c>
      <c r="AG1247" s="7" t="s">
        <v>134</v>
      </c>
      <c r="AH1247" s="7" t="s">
        <v>141</v>
      </c>
    </row>
    <row r="1248" spans="1:34" ht="9.75" customHeight="1" x14ac:dyDescent="0.2">
      <c r="A1248" s="7" t="s">
        <v>37</v>
      </c>
      <c r="B1248" s="7" t="s">
        <v>38</v>
      </c>
      <c r="C1248" s="7"/>
      <c r="D1248" s="7" t="s">
        <v>3042</v>
      </c>
      <c r="E1248" s="8">
        <v>1</v>
      </c>
      <c r="F1248" s="7" t="s">
        <v>41</v>
      </c>
      <c r="G1248" s="7"/>
      <c r="H1248" s="9"/>
      <c r="I1248" s="10">
        <v>10851</v>
      </c>
      <c r="J1248" s="9"/>
      <c r="K1248" s="9"/>
      <c r="L1248" s="10">
        <v>16602</v>
      </c>
      <c r="M1248" s="9"/>
      <c r="N1248" s="10">
        <v>16602</v>
      </c>
      <c r="O1248" s="9"/>
      <c r="P1248" s="10"/>
      <c r="Q1248" s="10"/>
      <c r="R1248" s="10"/>
      <c r="S1248" s="7" t="s">
        <v>407</v>
      </c>
      <c r="T1248" s="7" t="s">
        <v>143</v>
      </c>
      <c r="U1248" s="7" t="s">
        <v>44</v>
      </c>
      <c r="V1248" s="7" t="s">
        <v>45</v>
      </c>
      <c r="W1248" s="7" t="s">
        <v>130</v>
      </c>
      <c r="X1248" s="7" t="s">
        <v>131</v>
      </c>
      <c r="Y1248" s="7" t="s">
        <v>3043</v>
      </c>
      <c r="Z1248" s="7" t="s">
        <v>3044</v>
      </c>
      <c r="AA1248" s="7"/>
      <c r="AB1248" s="7"/>
      <c r="AC1248" s="7" t="s">
        <v>136</v>
      </c>
      <c r="AD1248" s="7"/>
      <c r="AE1248" s="7" t="s">
        <v>3045</v>
      </c>
      <c r="AF1248" s="7" t="s">
        <v>50</v>
      </c>
      <c r="AG1248" s="7" t="s">
        <v>134</v>
      </c>
      <c r="AH1248" s="7" t="s">
        <v>141</v>
      </c>
    </row>
    <row r="1249" spans="1:34" ht="9.75" customHeight="1" x14ac:dyDescent="0.2">
      <c r="A1249" s="7" t="s">
        <v>37</v>
      </c>
      <c r="B1249" s="7" t="s">
        <v>38</v>
      </c>
      <c r="C1249" s="7"/>
      <c r="D1249" s="7" t="s">
        <v>3046</v>
      </c>
      <c r="E1249" s="8">
        <v>1</v>
      </c>
      <c r="F1249" s="7" t="s">
        <v>41</v>
      </c>
      <c r="G1249" s="7"/>
      <c r="H1249" s="9"/>
      <c r="I1249" s="10">
        <v>945</v>
      </c>
      <c r="J1249" s="9"/>
      <c r="K1249" s="9"/>
      <c r="L1249" s="10">
        <v>1446</v>
      </c>
      <c r="M1249" s="9"/>
      <c r="N1249" s="10">
        <v>1446</v>
      </c>
      <c r="O1249" s="9"/>
      <c r="P1249" s="10"/>
      <c r="Q1249" s="10"/>
      <c r="R1249" s="10"/>
      <c r="S1249" s="7" t="s">
        <v>407</v>
      </c>
      <c r="T1249" s="7" t="s">
        <v>143</v>
      </c>
      <c r="U1249" s="7" t="s">
        <v>44</v>
      </c>
      <c r="V1249" s="7" t="s">
        <v>45</v>
      </c>
      <c r="W1249" s="7" t="s">
        <v>130</v>
      </c>
      <c r="X1249" s="7" t="s">
        <v>131</v>
      </c>
      <c r="Y1249" s="7" t="s">
        <v>3047</v>
      </c>
      <c r="Z1249" s="7" t="s">
        <v>3044</v>
      </c>
      <c r="AA1249" s="7"/>
      <c r="AB1249" s="7"/>
      <c r="AC1249" s="7" t="s">
        <v>136</v>
      </c>
      <c r="AD1249" s="7"/>
      <c r="AE1249" s="7" t="s">
        <v>2895</v>
      </c>
      <c r="AF1249" s="7" t="s">
        <v>50</v>
      </c>
      <c r="AG1249" s="7" t="s">
        <v>134</v>
      </c>
      <c r="AH1249" s="7" t="s">
        <v>141</v>
      </c>
    </row>
    <row r="1250" spans="1:34" ht="9.75" customHeight="1" x14ac:dyDescent="0.2">
      <c r="A1250" s="7" t="s">
        <v>37</v>
      </c>
      <c r="B1250" s="7" t="s">
        <v>38</v>
      </c>
      <c r="C1250" s="7"/>
      <c r="D1250" s="7" t="s">
        <v>3048</v>
      </c>
      <c r="E1250" s="8">
        <v>1</v>
      </c>
      <c r="F1250" s="7" t="s">
        <v>41</v>
      </c>
      <c r="G1250" s="7"/>
      <c r="H1250" s="9"/>
      <c r="I1250" s="10">
        <v>603</v>
      </c>
      <c r="J1250" s="9"/>
      <c r="K1250" s="9"/>
      <c r="L1250" s="10">
        <v>923</v>
      </c>
      <c r="M1250" s="9"/>
      <c r="N1250" s="10">
        <v>923</v>
      </c>
      <c r="O1250" s="9"/>
      <c r="P1250" s="10"/>
      <c r="Q1250" s="10"/>
      <c r="R1250" s="10"/>
      <c r="S1250" s="7" t="s">
        <v>407</v>
      </c>
      <c r="T1250" s="7" t="s">
        <v>143</v>
      </c>
      <c r="U1250" s="7" t="s">
        <v>44</v>
      </c>
      <c r="V1250" s="7" t="s">
        <v>45</v>
      </c>
      <c r="W1250" s="7" t="s">
        <v>130</v>
      </c>
      <c r="X1250" s="7" t="s">
        <v>131</v>
      </c>
      <c r="Y1250" s="7" t="s">
        <v>3049</v>
      </c>
      <c r="Z1250" s="7" t="s">
        <v>3044</v>
      </c>
      <c r="AA1250" s="7"/>
      <c r="AB1250" s="7"/>
      <c r="AC1250" s="7" t="s">
        <v>136</v>
      </c>
      <c r="AD1250" s="7"/>
      <c r="AE1250" s="7" t="s">
        <v>2895</v>
      </c>
      <c r="AF1250" s="7" t="s">
        <v>50</v>
      </c>
      <c r="AG1250" s="7" t="s">
        <v>134</v>
      </c>
      <c r="AH1250" s="7" t="s">
        <v>141</v>
      </c>
    </row>
    <row r="1251" spans="1:34" ht="9.75" customHeight="1" x14ac:dyDescent="0.2">
      <c r="A1251" s="7" t="s">
        <v>37</v>
      </c>
      <c r="B1251" s="7" t="s">
        <v>38</v>
      </c>
      <c r="C1251" s="7"/>
      <c r="D1251" s="7" t="s">
        <v>3050</v>
      </c>
      <c r="E1251" s="8">
        <v>1</v>
      </c>
      <c r="F1251" s="7" t="s">
        <v>41</v>
      </c>
      <c r="G1251" s="7"/>
      <c r="H1251" s="9"/>
      <c r="I1251" s="10">
        <v>720</v>
      </c>
      <c r="J1251" s="9"/>
      <c r="K1251" s="9"/>
      <c r="L1251" s="10">
        <v>1101</v>
      </c>
      <c r="M1251" s="9"/>
      <c r="N1251" s="10">
        <v>1101</v>
      </c>
      <c r="O1251" s="9"/>
      <c r="P1251" s="10"/>
      <c r="Q1251" s="10"/>
      <c r="R1251" s="10"/>
      <c r="S1251" s="7" t="s">
        <v>407</v>
      </c>
      <c r="T1251" s="7" t="s">
        <v>143</v>
      </c>
      <c r="U1251" s="7" t="s">
        <v>44</v>
      </c>
      <c r="V1251" s="7" t="s">
        <v>45</v>
      </c>
      <c r="W1251" s="7" t="s">
        <v>130</v>
      </c>
      <c r="X1251" s="7" t="s">
        <v>131</v>
      </c>
      <c r="Y1251" s="7" t="s">
        <v>3051</v>
      </c>
      <c r="Z1251" s="7" t="s">
        <v>3044</v>
      </c>
      <c r="AA1251" s="7"/>
      <c r="AB1251" s="7"/>
      <c r="AC1251" s="7" t="s">
        <v>136</v>
      </c>
      <c r="AD1251" s="7"/>
      <c r="AE1251" s="7" t="s">
        <v>2895</v>
      </c>
      <c r="AF1251" s="7" t="s">
        <v>50</v>
      </c>
      <c r="AG1251" s="7" t="s">
        <v>134</v>
      </c>
      <c r="AH1251" s="7" t="s">
        <v>141</v>
      </c>
    </row>
    <row r="1252" spans="1:34" ht="9.75" customHeight="1" x14ac:dyDescent="0.2">
      <c r="A1252" s="7" t="s">
        <v>37</v>
      </c>
      <c r="B1252" s="7" t="s">
        <v>38</v>
      </c>
      <c r="C1252" s="7"/>
      <c r="D1252" s="7" t="s">
        <v>3052</v>
      </c>
      <c r="E1252" s="8">
        <v>1</v>
      </c>
      <c r="F1252" s="7" t="s">
        <v>41</v>
      </c>
      <c r="G1252" s="7"/>
      <c r="H1252" s="9"/>
      <c r="I1252" s="10">
        <v>11091</v>
      </c>
      <c r="J1252" s="9"/>
      <c r="K1252" s="9"/>
      <c r="L1252" s="10">
        <v>16969</v>
      </c>
      <c r="M1252" s="9"/>
      <c r="N1252" s="10">
        <v>16969</v>
      </c>
      <c r="O1252" s="9"/>
      <c r="P1252" s="10"/>
      <c r="Q1252" s="10"/>
      <c r="R1252" s="10"/>
      <c r="S1252" s="7" t="s">
        <v>407</v>
      </c>
      <c r="T1252" s="7" t="s">
        <v>143</v>
      </c>
      <c r="U1252" s="7" t="s">
        <v>44</v>
      </c>
      <c r="V1252" s="7" t="s">
        <v>45</v>
      </c>
      <c r="W1252" s="7" t="s">
        <v>130</v>
      </c>
      <c r="X1252" s="7" t="s">
        <v>131</v>
      </c>
      <c r="Y1252" s="7" t="s">
        <v>3053</v>
      </c>
      <c r="Z1252" s="7" t="s">
        <v>3054</v>
      </c>
      <c r="AA1252" s="7"/>
      <c r="AB1252" s="7"/>
      <c r="AC1252" s="7" t="s">
        <v>136</v>
      </c>
      <c r="AD1252" s="7"/>
      <c r="AE1252" s="7" t="s">
        <v>3055</v>
      </c>
      <c r="AF1252" s="7" t="s">
        <v>50</v>
      </c>
      <c r="AG1252" s="7" t="s">
        <v>134</v>
      </c>
      <c r="AH1252" s="7" t="s">
        <v>141</v>
      </c>
    </row>
    <row r="1253" spans="1:34" ht="9.75" customHeight="1" x14ac:dyDescent="0.2">
      <c r="A1253" s="7" t="s">
        <v>37</v>
      </c>
      <c r="B1253" s="7" t="s">
        <v>38</v>
      </c>
      <c r="C1253" s="7"/>
      <c r="D1253" s="7" t="s">
        <v>3056</v>
      </c>
      <c r="E1253" s="8">
        <v>1</v>
      </c>
      <c r="F1253" s="7" t="s">
        <v>41</v>
      </c>
      <c r="G1253" s="7"/>
      <c r="H1253" s="9"/>
      <c r="I1253" s="10">
        <v>597</v>
      </c>
      <c r="J1253" s="9"/>
      <c r="K1253" s="9"/>
      <c r="L1253" s="10">
        <v>913</v>
      </c>
      <c r="M1253" s="9"/>
      <c r="N1253" s="10">
        <v>913</v>
      </c>
      <c r="O1253" s="9"/>
      <c r="P1253" s="10"/>
      <c r="Q1253" s="10"/>
      <c r="R1253" s="10"/>
      <c r="S1253" s="7" t="s">
        <v>407</v>
      </c>
      <c r="T1253" s="7" t="s">
        <v>143</v>
      </c>
      <c r="U1253" s="7" t="s">
        <v>44</v>
      </c>
      <c r="V1253" s="7" t="s">
        <v>45</v>
      </c>
      <c r="W1253" s="7" t="s">
        <v>130</v>
      </c>
      <c r="X1253" s="7" t="s">
        <v>131</v>
      </c>
      <c r="Y1253" s="7" t="s">
        <v>3057</v>
      </c>
      <c r="Z1253" s="7" t="s">
        <v>3054</v>
      </c>
      <c r="AA1253" s="7"/>
      <c r="AB1253" s="7"/>
      <c r="AC1253" s="7" t="s">
        <v>136</v>
      </c>
      <c r="AD1253" s="7"/>
      <c r="AE1253" s="7" t="s">
        <v>2925</v>
      </c>
      <c r="AF1253" s="7" t="s">
        <v>50</v>
      </c>
      <c r="AG1253" s="7" t="s">
        <v>134</v>
      </c>
      <c r="AH1253" s="7" t="s">
        <v>141</v>
      </c>
    </row>
    <row r="1254" spans="1:34" ht="9.75" customHeight="1" x14ac:dyDescent="0.2">
      <c r="A1254" s="7" t="s">
        <v>37</v>
      </c>
      <c r="B1254" s="7" t="s">
        <v>38</v>
      </c>
      <c r="C1254" s="7"/>
      <c r="D1254" s="7" t="s">
        <v>3058</v>
      </c>
      <c r="E1254" s="8">
        <v>1</v>
      </c>
      <c r="F1254" s="7" t="s">
        <v>41</v>
      </c>
      <c r="G1254" s="7"/>
      <c r="H1254" s="9"/>
      <c r="I1254" s="10">
        <v>2019</v>
      </c>
      <c r="J1254" s="9"/>
      <c r="K1254" s="9"/>
      <c r="L1254" s="10">
        <v>3089</v>
      </c>
      <c r="M1254" s="9"/>
      <c r="N1254" s="10">
        <v>3089</v>
      </c>
      <c r="O1254" s="9"/>
      <c r="P1254" s="10"/>
      <c r="Q1254" s="10"/>
      <c r="R1254" s="10"/>
      <c r="S1254" s="7" t="s">
        <v>407</v>
      </c>
      <c r="T1254" s="7" t="s">
        <v>143</v>
      </c>
      <c r="U1254" s="7" t="s">
        <v>44</v>
      </c>
      <c r="V1254" s="7" t="s">
        <v>45</v>
      </c>
      <c r="W1254" s="7" t="s">
        <v>130</v>
      </c>
      <c r="X1254" s="7" t="s">
        <v>131</v>
      </c>
      <c r="Y1254" s="7" t="s">
        <v>3059</v>
      </c>
      <c r="Z1254" s="7" t="s">
        <v>3054</v>
      </c>
      <c r="AA1254" s="7"/>
      <c r="AB1254" s="7"/>
      <c r="AC1254" s="7" t="s">
        <v>136</v>
      </c>
      <c r="AD1254" s="7"/>
      <c r="AE1254" s="7" t="s">
        <v>2925</v>
      </c>
      <c r="AF1254" s="7" t="s">
        <v>50</v>
      </c>
      <c r="AG1254" s="7" t="s">
        <v>134</v>
      </c>
      <c r="AH1254" s="7" t="s">
        <v>141</v>
      </c>
    </row>
    <row r="1255" spans="1:34" ht="9.75" customHeight="1" x14ac:dyDescent="0.2">
      <c r="A1255" s="7" t="s">
        <v>37</v>
      </c>
      <c r="B1255" s="7" t="s">
        <v>38</v>
      </c>
      <c r="C1255" s="7"/>
      <c r="D1255" s="7" t="s">
        <v>3060</v>
      </c>
      <c r="E1255" s="8">
        <v>1</v>
      </c>
      <c r="F1255" s="7" t="s">
        <v>41</v>
      </c>
      <c r="G1255" s="7"/>
      <c r="H1255" s="9"/>
      <c r="I1255" s="10">
        <v>530</v>
      </c>
      <c r="J1255" s="9"/>
      <c r="K1255" s="9"/>
      <c r="L1255" s="10">
        <v>811</v>
      </c>
      <c r="M1255" s="9"/>
      <c r="N1255" s="10">
        <v>811</v>
      </c>
      <c r="O1255" s="9"/>
      <c r="P1255" s="10"/>
      <c r="Q1255" s="10"/>
      <c r="R1255" s="10"/>
      <c r="S1255" s="7" t="s">
        <v>407</v>
      </c>
      <c r="T1255" s="7" t="s">
        <v>143</v>
      </c>
      <c r="U1255" s="7" t="s">
        <v>44</v>
      </c>
      <c r="V1255" s="7" t="s">
        <v>45</v>
      </c>
      <c r="W1255" s="7" t="s">
        <v>130</v>
      </c>
      <c r="X1255" s="7" t="s">
        <v>131</v>
      </c>
      <c r="Y1255" s="7" t="s">
        <v>3061</v>
      </c>
      <c r="Z1255" s="7" t="s">
        <v>3054</v>
      </c>
      <c r="AA1255" s="7"/>
      <c r="AB1255" s="7"/>
      <c r="AC1255" s="7" t="s">
        <v>136</v>
      </c>
      <c r="AD1255" s="7"/>
      <c r="AE1255" s="7" t="s">
        <v>2925</v>
      </c>
      <c r="AF1255" s="7" t="s">
        <v>50</v>
      </c>
      <c r="AG1255" s="7" t="s">
        <v>134</v>
      </c>
      <c r="AH1255" s="7" t="s">
        <v>141</v>
      </c>
    </row>
    <row r="1256" spans="1:34" ht="9.75" customHeight="1" x14ac:dyDescent="0.2">
      <c r="A1256" s="7" t="s">
        <v>37</v>
      </c>
      <c r="B1256" s="7" t="s">
        <v>38</v>
      </c>
      <c r="C1256" s="7"/>
      <c r="D1256" s="7" t="s">
        <v>3062</v>
      </c>
      <c r="E1256" s="8">
        <v>1</v>
      </c>
      <c r="F1256" s="7" t="s">
        <v>41</v>
      </c>
      <c r="G1256" s="7"/>
      <c r="H1256" s="9"/>
      <c r="I1256" s="10">
        <v>2913</v>
      </c>
      <c r="J1256" s="9"/>
      <c r="K1256" s="9"/>
      <c r="L1256" s="10">
        <v>4458</v>
      </c>
      <c r="M1256" s="9"/>
      <c r="N1256" s="10">
        <v>4458</v>
      </c>
      <c r="O1256" s="9"/>
      <c r="P1256" s="10"/>
      <c r="Q1256" s="10"/>
      <c r="R1256" s="10"/>
      <c r="S1256" s="7" t="s">
        <v>407</v>
      </c>
      <c r="T1256" s="7" t="s">
        <v>143</v>
      </c>
      <c r="U1256" s="7" t="s">
        <v>44</v>
      </c>
      <c r="V1256" s="7" t="s">
        <v>45</v>
      </c>
      <c r="W1256" s="7" t="s">
        <v>130</v>
      </c>
      <c r="X1256" s="7" t="s">
        <v>131</v>
      </c>
      <c r="Y1256" s="7" t="s">
        <v>3063</v>
      </c>
      <c r="Z1256" s="7" t="s">
        <v>3054</v>
      </c>
      <c r="AA1256" s="7"/>
      <c r="AB1256" s="7"/>
      <c r="AC1256" s="7" t="s">
        <v>136</v>
      </c>
      <c r="AD1256" s="7"/>
      <c r="AE1256" s="7" t="s">
        <v>2925</v>
      </c>
      <c r="AF1256" s="7" t="s">
        <v>50</v>
      </c>
      <c r="AG1256" s="7" t="s">
        <v>134</v>
      </c>
      <c r="AH1256" s="7" t="s">
        <v>141</v>
      </c>
    </row>
    <row r="1257" spans="1:34" ht="9.75" customHeight="1" x14ac:dyDescent="0.2">
      <c r="A1257" s="7" t="s">
        <v>37</v>
      </c>
      <c r="B1257" s="7" t="s">
        <v>38</v>
      </c>
      <c r="C1257" s="7"/>
      <c r="D1257" s="7" t="s">
        <v>3064</v>
      </c>
      <c r="E1257" s="8">
        <v>1</v>
      </c>
      <c r="F1257" s="7" t="s">
        <v>41</v>
      </c>
      <c r="G1257" s="7"/>
      <c r="H1257" s="9"/>
      <c r="I1257" s="10">
        <v>165433</v>
      </c>
      <c r="J1257" s="9"/>
      <c r="K1257" s="9"/>
      <c r="L1257" s="10">
        <v>253112</v>
      </c>
      <c r="M1257" s="9"/>
      <c r="N1257" s="10">
        <v>253112</v>
      </c>
      <c r="O1257" s="9"/>
      <c r="P1257" s="10"/>
      <c r="Q1257" s="10"/>
      <c r="R1257" s="10"/>
      <c r="S1257" s="7" t="s">
        <v>407</v>
      </c>
      <c r="T1257" s="7" t="s">
        <v>143</v>
      </c>
      <c r="U1257" s="7" t="s">
        <v>44</v>
      </c>
      <c r="V1257" s="7" t="s">
        <v>45</v>
      </c>
      <c r="W1257" s="7" t="s">
        <v>130</v>
      </c>
      <c r="X1257" s="7" t="s">
        <v>131</v>
      </c>
      <c r="Y1257" s="7" t="s">
        <v>3065</v>
      </c>
      <c r="Z1257" s="7" t="s">
        <v>3066</v>
      </c>
      <c r="AA1257" s="7"/>
      <c r="AB1257" s="7"/>
      <c r="AC1257" s="7" t="s">
        <v>136</v>
      </c>
      <c r="AD1257" s="7"/>
      <c r="AE1257" s="7" t="s">
        <v>3067</v>
      </c>
      <c r="AF1257" s="7" t="s">
        <v>50</v>
      </c>
      <c r="AG1257" s="7" t="s">
        <v>134</v>
      </c>
      <c r="AH1257" s="7" t="s">
        <v>141</v>
      </c>
    </row>
    <row r="1258" spans="1:34" ht="9.75" customHeight="1" x14ac:dyDescent="0.2">
      <c r="A1258" s="7" t="s">
        <v>37</v>
      </c>
      <c r="B1258" s="7" t="s">
        <v>38</v>
      </c>
      <c r="C1258" s="7"/>
      <c r="D1258" s="7" t="s">
        <v>3068</v>
      </c>
      <c r="E1258" s="8">
        <v>1</v>
      </c>
      <c r="F1258" s="7" t="s">
        <v>41</v>
      </c>
      <c r="G1258" s="7"/>
      <c r="H1258" s="9"/>
      <c r="I1258" s="10">
        <v>1991</v>
      </c>
      <c r="J1258" s="9"/>
      <c r="K1258" s="9"/>
      <c r="L1258" s="10">
        <v>3046</v>
      </c>
      <c r="M1258" s="9"/>
      <c r="N1258" s="10">
        <v>3046</v>
      </c>
      <c r="O1258" s="9"/>
      <c r="P1258" s="10"/>
      <c r="Q1258" s="10"/>
      <c r="R1258" s="10"/>
      <c r="S1258" s="7" t="s">
        <v>407</v>
      </c>
      <c r="T1258" s="7" t="s">
        <v>143</v>
      </c>
      <c r="U1258" s="7" t="s">
        <v>44</v>
      </c>
      <c r="V1258" s="7" t="s">
        <v>45</v>
      </c>
      <c r="W1258" s="7" t="s">
        <v>130</v>
      </c>
      <c r="X1258" s="7" t="s">
        <v>131</v>
      </c>
      <c r="Y1258" s="7" t="s">
        <v>3069</v>
      </c>
      <c r="Z1258" s="7" t="s">
        <v>3066</v>
      </c>
      <c r="AA1258" s="7"/>
      <c r="AB1258" s="7"/>
      <c r="AC1258" s="7" t="s">
        <v>136</v>
      </c>
      <c r="AD1258" s="7"/>
      <c r="AE1258" s="7" t="s">
        <v>2944</v>
      </c>
      <c r="AF1258" s="7" t="s">
        <v>50</v>
      </c>
      <c r="AG1258" s="7" t="s">
        <v>134</v>
      </c>
      <c r="AH1258" s="7" t="s">
        <v>141</v>
      </c>
    </row>
    <row r="1259" spans="1:34" ht="9.75" customHeight="1" x14ac:dyDescent="0.2">
      <c r="A1259" s="7" t="s">
        <v>37</v>
      </c>
      <c r="B1259" s="7" t="s">
        <v>38</v>
      </c>
      <c r="C1259" s="7"/>
      <c r="D1259" s="7" t="s">
        <v>3070</v>
      </c>
      <c r="E1259" s="8">
        <v>1</v>
      </c>
      <c r="F1259" s="7" t="s">
        <v>41</v>
      </c>
      <c r="G1259" s="7"/>
      <c r="H1259" s="9"/>
      <c r="I1259" s="10">
        <v>1873</v>
      </c>
      <c r="J1259" s="9"/>
      <c r="K1259" s="9"/>
      <c r="L1259" s="10">
        <v>2866</v>
      </c>
      <c r="M1259" s="9"/>
      <c r="N1259" s="10">
        <v>2866</v>
      </c>
      <c r="O1259" s="9"/>
      <c r="P1259" s="10"/>
      <c r="Q1259" s="10"/>
      <c r="R1259" s="10"/>
      <c r="S1259" s="7" t="s">
        <v>407</v>
      </c>
      <c r="T1259" s="7" t="s">
        <v>143</v>
      </c>
      <c r="U1259" s="7" t="s">
        <v>44</v>
      </c>
      <c r="V1259" s="7" t="s">
        <v>45</v>
      </c>
      <c r="W1259" s="7" t="s">
        <v>130</v>
      </c>
      <c r="X1259" s="7" t="s">
        <v>131</v>
      </c>
      <c r="Y1259" s="7" t="s">
        <v>3071</v>
      </c>
      <c r="Z1259" s="7" t="s">
        <v>3066</v>
      </c>
      <c r="AA1259" s="7"/>
      <c r="AB1259" s="7"/>
      <c r="AC1259" s="7" t="s">
        <v>136</v>
      </c>
      <c r="AD1259" s="7"/>
      <c r="AE1259" s="7" t="s">
        <v>2944</v>
      </c>
      <c r="AF1259" s="7" t="s">
        <v>50</v>
      </c>
      <c r="AG1259" s="7" t="s">
        <v>134</v>
      </c>
      <c r="AH1259" s="7" t="s">
        <v>141</v>
      </c>
    </row>
    <row r="1260" spans="1:34" ht="9.75" customHeight="1" x14ac:dyDescent="0.2">
      <c r="A1260" s="7" t="s">
        <v>37</v>
      </c>
      <c r="B1260" s="7" t="s">
        <v>38</v>
      </c>
      <c r="C1260" s="7"/>
      <c r="D1260" s="7" t="s">
        <v>3072</v>
      </c>
      <c r="E1260" s="8">
        <v>1</v>
      </c>
      <c r="F1260" s="7" t="s">
        <v>41</v>
      </c>
      <c r="G1260" s="7"/>
      <c r="H1260" s="9"/>
      <c r="I1260" s="10">
        <v>29015</v>
      </c>
      <c r="J1260" s="9"/>
      <c r="K1260" s="9"/>
      <c r="L1260" s="10">
        <v>44393</v>
      </c>
      <c r="M1260" s="9"/>
      <c r="N1260" s="10">
        <v>44393</v>
      </c>
      <c r="O1260" s="9"/>
      <c r="P1260" s="10"/>
      <c r="Q1260" s="10"/>
      <c r="R1260" s="10"/>
      <c r="S1260" s="7" t="s">
        <v>407</v>
      </c>
      <c r="T1260" s="7" t="s">
        <v>143</v>
      </c>
      <c r="U1260" s="7" t="s">
        <v>44</v>
      </c>
      <c r="V1260" s="7" t="s">
        <v>45</v>
      </c>
      <c r="W1260" s="7" t="s">
        <v>130</v>
      </c>
      <c r="X1260" s="7" t="s">
        <v>131</v>
      </c>
      <c r="Y1260" s="7" t="s">
        <v>3073</v>
      </c>
      <c r="Z1260" s="7" t="s">
        <v>3066</v>
      </c>
      <c r="AA1260" s="7"/>
      <c r="AB1260" s="7"/>
      <c r="AC1260" s="7" t="s">
        <v>136</v>
      </c>
      <c r="AD1260" s="7"/>
      <c r="AE1260" s="7" t="s">
        <v>2944</v>
      </c>
      <c r="AF1260" s="7" t="s">
        <v>50</v>
      </c>
      <c r="AG1260" s="7" t="s">
        <v>134</v>
      </c>
      <c r="AH1260" s="7" t="s">
        <v>141</v>
      </c>
    </row>
    <row r="1261" spans="1:34" ht="9.75" customHeight="1" x14ac:dyDescent="0.2">
      <c r="A1261" s="7" t="s">
        <v>37</v>
      </c>
      <c r="B1261" s="7" t="s">
        <v>38</v>
      </c>
      <c r="C1261" s="7"/>
      <c r="D1261" s="7" t="s">
        <v>3074</v>
      </c>
      <c r="E1261" s="8">
        <v>1</v>
      </c>
      <c r="F1261" s="7" t="s">
        <v>41</v>
      </c>
      <c r="G1261" s="7"/>
      <c r="H1261" s="9"/>
      <c r="I1261" s="10">
        <v>22770</v>
      </c>
      <c r="J1261" s="9"/>
      <c r="K1261" s="9"/>
      <c r="L1261" s="10">
        <v>34838</v>
      </c>
      <c r="M1261" s="9"/>
      <c r="N1261" s="10">
        <v>34838</v>
      </c>
      <c r="O1261" s="9"/>
      <c r="P1261" s="10"/>
      <c r="Q1261" s="10"/>
      <c r="R1261" s="10"/>
      <c r="S1261" s="7" t="s">
        <v>407</v>
      </c>
      <c r="T1261" s="7" t="s">
        <v>143</v>
      </c>
      <c r="U1261" s="7" t="s">
        <v>44</v>
      </c>
      <c r="V1261" s="7" t="s">
        <v>45</v>
      </c>
      <c r="W1261" s="7" t="s">
        <v>130</v>
      </c>
      <c r="X1261" s="7" t="s">
        <v>131</v>
      </c>
      <c r="Y1261" s="7" t="s">
        <v>3075</v>
      </c>
      <c r="Z1261" s="7" t="s">
        <v>3066</v>
      </c>
      <c r="AA1261" s="7"/>
      <c r="AB1261" s="7"/>
      <c r="AC1261" s="7" t="s">
        <v>136</v>
      </c>
      <c r="AD1261" s="7"/>
      <c r="AE1261" s="7" t="s">
        <v>2944</v>
      </c>
      <c r="AF1261" s="7" t="s">
        <v>50</v>
      </c>
      <c r="AG1261" s="7" t="s">
        <v>134</v>
      </c>
      <c r="AH1261" s="7" t="s">
        <v>141</v>
      </c>
    </row>
    <row r="1262" spans="1:34" ht="9.75" customHeight="1" x14ac:dyDescent="0.2">
      <c r="A1262" s="7" t="s">
        <v>37</v>
      </c>
      <c r="B1262" s="7" t="s">
        <v>38</v>
      </c>
      <c r="C1262" s="7"/>
      <c r="D1262" s="7" t="s">
        <v>3076</v>
      </c>
      <c r="E1262" s="8">
        <v>1</v>
      </c>
      <c r="F1262" s="7" t="s">
        <v>41</v>
      </c>
      <c r="G1262" s="7"/>
      <c r="H1262" s="9"/>
      <c r="I1262" s="10">
        <v>83308</v>
      </c>
      <c r="J1262" s="9"/>
      <c r="K1262" s="9"/>
      <c r="L1262" s="10">
        <v>127462</v>
      </c>
      <c r="M1262" s="9"/>
      <c r="N1262" s="10">
        <v>127462</v>
      </c>
      <c r="O1262" s="9"/>
      <c r="P1262" s="10"/>
      <c r="Q1262" s="10"/>
      <c r="R1262" s="10"/>
      <c r="S1262" s="7" t="s">
        <v>407</v>
      </c>
      <c r="T1262" s="7" t="s">
        <v>143</v>
      </c>
      <c r="U1262" s="7" t="s">
        <v>44</v>
      </c>
      <c r="V1262" s="7" t="s">
        <v>45</v>
      </c>
      <c r="W1262" s="7" t="s">
        <v>130</v>
      </c>
      <c r="X1262" s="7" t="s">
        <v>131</v>
      </c>
      <c r="Y1262" s="7" t="s">
        <v>3077</v>
      </c>
      <c r="Z1262" s="7" t="s">
        <v>3066</v>
      </c>
      <c r="AA1262" s="7"/>
      <c r="AB1262" s="7"/>
      <c r="AC1262" s="7" t="s">
        <v>136</v>
      </c>
      <c r="AD1262" s="7"/>
      <c r="AE1262" s="7"/>
      <c r="AF1262" s="7" t="s">
        <v>50</v>
      </c>
      <c r="AG1262" s="7" t="s">
        <v>134</v>
      </c>
      <c r="AH1262" s="7" t="s">
        <v>141</v>
      </c>
    </row>
    <row r="1263" spans="1:34" ht="9.75" customHeight="1" x14ac:dyDescent="0.2">
      <c r="A1263" s="7" t="s">
        <v>37</v>
      </c>
      <c r="B1263" s="7" t="s">
        <v>38</v>
      </c>
      <c r="C1263" s="7"/>
      <c r="D1263" s="7" t="s">
        <v>3078</v>
      </c>
      <c r="E1263" s="8">
        <v>1</v>
      </c>
      <c r="F1263" s="7" t="s">
        <v>41</v>
      </c>
      <c r="G1263" s="7"/>
      <c r="H1263" s="9"/>
      <c r="I1263" s="10">
        <v>386878</v>
      </c>
      <c r="J1263" s="9"/>
      <c r="K1263" s="9"/>
      <c r="L1263" s="10">
        <v>591923</v>
      </c>
      <c r="M1263" s="9"/>
      <c r="N1263" s="10">
        <v>591923</v>
      </c>
      <c r="O1263" s="9"/>
      <c r="P1263" s="10"/>
      <c r="Q1263" s="10"/>
      <c r="R1263" s="10"/>
      <c r="S1263" s="7" t="s">
        <v>407</v>
      </c>
      <c r="T1263" s="7" t="s">
        <v>143</v>
      </c>
      <c r="U1263" s="7" t="s">
        <v>44</v>
      </c>
      <c r="V1263" s="7" t="s">
        <v>45</v>
      </c>
      <c r="W1263" s="7" t="s">
        <v>130</v>
      </c>
      <c r="X1263" s="7" t="s">
        <v>131</v>
      </c>
      <c r="Y1263" s="7" t="s">
        <v>3079</v>
      </c>
      <c r="Z1263" s="7" t="s">
        <v>3080</v>
      </c>
      <c r="AA1263" s="7"/>
      <c r="AB1263" s="7"/>
      <c r="AC1263" s="7" t="s">
        <v>136</v>
      </c>
      <c r="AD1263" s="7"/>
      <c r="AE1263" s="7" t="s">
        <v>3081</v>
      </c>
      <c r="AF1263" s="7" t="s">
        <v>50</v>
      </c>
      <c r="AG1263" s="7" t="s">
        <v>134</v>
      </c>
      <c r="AH1263" s="7" t="s">
        <v>141</v>
      </c>
    </row>
    <row r="1264" spans="1:34" ht="9.75" customHeight="1" x14ac:dyDescent="0.2">
      <c r="A1264" s="7" t="s">
        <v>37</v>
      </c>
      <c r="B1264" s="7" t="s">
        <v>38</v>
      </c>
      <c r="C1264" s="7"/>
      <c r="D1264" s="7" t="s">
        <v>3082</v>
      </c>
      <c r="E1264" s="8">
        <v>1</v>
      </c>
      <c r="F1264" s="7" t="s">
        <v>41</v>
      </c>
      <c r="G1264" s="7"/>
      <c r="H1264" s="9"/>
      <c r="I1264" s="10">
        <v>21082</v>
      </c>
      <c r="J1264" s="9"/>
      <c r="K1264" s="9"/>
      <c r="L1264" s="10">
        <v>32255</v>
      </c>
      <c r="M1264" s="9"/>
      <c r="N1264" s="10">
        <v>32255</v>
      </c>
      <c r="O1264" s="9"/>
      <c r="P1264" s="10"/>
      <c r="Q1264" s="10"/>
      <c r="R1264" s="10"/>
      <c r="S1264" s="7" t="s">
        <v>407</v>
      </c>
      <c r="T1264" s="7" t="s">
        <v>143</v>
      </c>
      <c r="U1264" s="7" t="s">
        <v>44</v>
      </c>
      <c r="V1264" s="7" t="s">
        <v>45</v>
      </c>
      <c r="W1264" s="7" t="s">
        <v>130</v>
      </c>
      <c r="X1264" s="7" t="s">
        <v>131</v>
      </c>
      <c r="Y1264" s="7" t="s">
        <v>3083</v>
      </c>
      <c r="Z1264" s="7" t="s">
        <v>3080</v>
      </c>
      <c r="AA1264" s="7"/>
      <c r="AB1264" s="7"/>
      <c r="AC1264" s="7" t="s">
        <v>136</v>
      </c>
      <c r="AD1264" s="7"/>
      <c r="AE1264" s="7" t="s">
        <v>2947</v>
      </c>
      <c r="AF1264" s="7" t="s">
        <v>50</v>
      </c>
      <c r="AG1264" s="7" t="s">
        <v>134</v>
      </c>
      <c r="AH1264" s="7" t="s">
        <v>141</v>
      </c>
    </row>
    <row r="1265" spans="1:34" ht="9.75" customHeight="1" x14ac:dyDescent="0.2">
      <c r="A1265" s="7" t="s">
        <v>37</v>
      </c>
      <c r="B1265" s="7" t="s">
        <v>38</v>
      </c>
      <c r="C1265" s="7"/>
      <c r="D1265" s="7" t="s">
        <v>3084</v>
      </c>
      <c r="E1265" s="8">
        <v>1</v>
      </c>
      <c r="F1265" s="7" t="s">
        <v>41</v>
      </c>
      <c r="G1265" s="7"/>
      <c r="H1265" s="9"/>
      <c r="I1265" s="10">
        <v>16556</v>
      </c>
      <c r="J1265" s="9"/>
      <c r="K1265" s="9"/>
      <c r="L1265" s="10">
        <v>25331</v>
      </c>
      <c r="M1265" s="9"/>
      <c r="N1265" s="10">
        <v>25331</v>
      </c>
      <c r="O1265" s="9"/>
      <c r="P1265" s="10"/>
      <c r="Q1265" s="10"/>
      <c r="R1265" s="10"/>
      <c r="S1265" s="7" t="s">
        <v>407</v>
      </c>
      <c r="T1265" s="7" t="s">
        <v>143</v>
      </c>
      <c r="U1265" s="7" t="s">
        <v>44</v>
      </c>
      <c r="V1265" s="7" t="s">
        <v>45</v>
      </c>
      <c r="W1265" s="7" t="s">
        <v>130</v>
      </c>
      <c r="X1265" s="7" t="s">
        <v>131</v>
      </c>
      <c r="Y1265" s="7" t="s">
        <v>3085</v>
      </c>
      <c r="Z1265" s="7" t="s">
        <v>3080</v>
      </c>
      <c r="AA1265" s="7"/>
      <c r="AB1265" s="7"/>
      <c r="AC1265" s="7" t="s">
        <v>136</v>
      </c>
      <c r="AD1265" s="7"/>
      <c r="AE1265" s="7" t="s">
        <v>2947</v>
      </c>
      <c r="AF1265" s="7" t="s">
        <v>50</v>
      </c>
      <c r="AG1265" s="7" t="s">
        <v>134</v>
      </c>
      <c r="AH1265" s="7" t="s">
        <v>141</v>
      </c>
    </row>
    <row r="1266" spans="1:34" ht="9.75" customHeight="1" x14ac:dyDescent="0.2">
      <c r="A1266" s="7" t="s">
        <v>37</v>
      </c>
      <c r="B1266" s="7" t="s">
        <v>38</v>
      </c>
      <c r="C1266" s="7"/>
      <c r="D1266" s="7" t="s">
        <v>3086</v>
      </c>
      <c r="E1266" s="8">
        <v>1</v>
      </c>
      <c r="F1266" s="7" t="s">
        <v>41</v>
      </c>
      <c r="G1266" s="7"/>
      <c r="H1266" s="9"/>
      <c r="I1266" s="10">
        <v>10341</v>
      </c>
      <c r="J1266" s="9"/>
      <c r="K1266" s="9"/>
      <c r="L1266" s="10">
        <v>15822</v>
      </c>
      <c r="M1266" s="9"/>
      <c r="N1266" s="10">
        <v>15822</v>
      </c>
      <c r="O1266" s="9"/>
      <c r="P1266" s="10"/>
      <c r="Q1266" s="10"/>
      <c r="R1266" s="10"/>
      <c r="S1266" s="7" t="s">
        <v>407</v>
      </c>
      <c r="T1266" s="7" t="s">
        <v>143</v>
      </c>
      <c r="U1266" s="7" t="s">
        <v>44</v>
      </c>
      <c r="V1266" s="7" t="s">
        <v>45</v>
      </c>
      <c r="W1266" s="7" t="s">
        <v>130</v>
      </c>
      <c r="X1266" s="7" t="s">
        <v>131</v>
      </c>
      <c r="Y1266" s="7" t="s">
        <v>3087</v>
      </c>
      <c r="Z1266" s="7" t="s">
        <v>3080</v>
      </c>
      <c r="AA1266" s="7"/>
      <c r="AB1266" s="7"/>
      <c r="AC1266" s="7" t="s">
        <v>136</v>
      </c>
      <c r="AD1266" s="7"/>
      <c r="AE1266" s="7" t="s">
        <v>2947</v>
      </c>
      <c r="AF1266" s="7" t="s">
        <v>50</v>
      </c>
      <c r="AG1266" s="7" t="s">
        <v>134</v>
      </c>
      <c r="AH1266" s="7" t="s">
        <v>141</v>
      </c>
    </row>
    <row r="1267" spans="1:34" ht="9.75" customHeight="1" x14ac:dyDescent="0.2">
      <c r="A1267" s="7" t="s">
        <v>37</v>
      </c>
      <c r="B1267" s="7" t="s">
        <v>38</v>
      </c>
      <c r="C1267" s="7"/>
      <c r="D1267" s="7" t="s">
        <v>3088</v>
      </c>
      <c r="E1267" s="8">
        <v>1</v>
      </c>
      <c r="F1267" s="7" t="s">
        <v>41</v>
      </c>
      <c r="G1267" s="7"/>
      <c r="H1267" s="9"/>
      <c r="I1267" s="10">
        <v>18003</v>
      </c>
      <c r="J1267" s="9"/>
      <c r="K1267" s="9"/>
      <c r="L1267" s="10">
        <v>27545</v>
      </c>
      <c r="M1267" s="9"/>
      <c r="N1267" s="10">
        <v>27545</v>
      </c>
      <c r="O1267" s="9"/>
      <c r="P1267" s="10"/>
      <c r="Q1267" s="10"/>
      <c r="R1267" s="10"/>
      <c r="S1267" s="7" t="s">
        <v>407</v>
      </c>
      <c r="T1267" s="7" t="s">
        <v>143</v>
      </c>
      <c r="U1267" s="7" t="s">
        <v>44</v>
      </c>
      <c r="V1267" s="7" t="s">
        <v>45</v>
      </c>
      <c r="W1267" s="7" t="s">
        <v>130</v>
      </c>
      <c r="X1267" s="7" t="s">
        <v>131</v>
      </c>
      <c r="Y1267" s="7" t="s">
        <v>3089</v>
      </c>
      <c r="Z1267" s="7" t="s">
        <v>3080</v>
      </c>
      <c r="AA1267" s="7"/>
      <c r="AB1267" s="7"/>
      <c r="AC1267" s="7" t="s">
        <v>136</v>
      </c>
      <c r="AD1267" s="7"/>
      <c r="AE1267" s="7" t="s">
        <v>2947</v>
      </c>
      <c r="AF1267" s="7" t="s">
        <v>50</v>
      </c>
      <c r="AG1267" s="7" t="s">
        <v>134</v>
      </c>
      <c r="AH1267" s="7" t="s">
        <v>141</v>
      </c>
    </row>
    <row r="1268" spans="1:34" ht="9.75" customHeight="1" x14ac:dyDescent="0.2">
      <c r="A1268" s="7" t="s">
        <v>37</v>
      </c>
      <c r="B1268" s="7" t="s">
        <v>38</v>
      </c>
      <c r="C1268" s="7"/>
      <c r="D1268" s="7" t="s">
        <v>3090</v>
      </c>
      <c r="E1268" s="8">
        <v>1</v>
      </c>
      <c r="F1268" s="7" t="s">
        <v>41</v>
      </c>
      <c r="G1268" s="7"/>
      <c r="H1268" s="9"/>
      <c r="I1268" s="10">
        <v>111389</v>
      </c>
      <c r="J1268" s="9"/>
      <c r="K1268" s="9"/>
      <c r="L1268" s="10">
        <v>170425</v>
      </c>
      <c r="M1268" s="9"/>
      <c r="N1268" s="10">
        <v>170425</v>
      </c>
      <c r="O1268" s="9"/>
      <c r="P1268" s="10"/>
      <c r="Q1268" s="10"/>
      <c r="R1268" s="10"/>
      <c r="S1268" s="7" t="s">
        <v>407</v>
      </c>
      <c r="T1268" s="7" t="s">
        <v>143</v>
      </c>
      <c r="U1268" s="7" t="s">
        <v>44</v>
      </c>
      <c r="V1268" s="7" t="s">
        <v>45</v>
      </c>
      <c r="W1268" s="7" t="s">
        <v>130</v>
      </c>
      <c r="X1268" s="7" t="s">
        <v>131</v>
      </c>
      <c r="Y1268" s="7" t="s">
        <v>3091</v>
      </c>
      <c r="Z1268" s="7" t="s">
        <v>3092</v>
      </c>
      <c r="AA1268" s="7"/>
      <c r="AB1268" s="7"/>
      <c r="AC1268" s="7" t="s">
        <v>136</v>
      </c>
      <c r="AD1268" s="7"/>
      <c r="AE1268" s="7" t="s">
        <v>3093</v>
      </c>
      <c r="AF1268" s="7" t="s">
        <v>50</v>
      </c>
      <c r="AG1268" s="7" t="s">
        <v>134</v>
      </c>
      <c r="AH1268" s="7" t="s">
        <v>141</v>
      </c>
    </row>
    <row r="1269" spans="1:34" ht="9.75" customHeight="1" x14ac:dyDescent="0.2">
      <c r="A1269" s="7" t="s">
        <v>37</v>
      </c>
      <c r="B1269" s="7" t="s">
        <v>38</v>
      </c>
      <c r="C1269" s="7"/>
      <c r="D1269" s="7" t="s">
        <v>3094</v>
      </c>
      <c r="E1269" s="8">
        <v>1</v>
      </c>
      <c r="F1269" s="7" t="s">
        <v>41</v>
      </c>
      <c r="G1269" s="7"/>
      <c r="H1269" s="9"/>
      <c r="I1269" s="10">
        <v>3591</v>
      </c>
      <c r="J1269" s="9"/>
      <c r="K1269" s="9"/>
      <c r="L1269" s="10">
        <v>5494</v>
      </c>
      <c r="M1269" s="9"/>
      <c r="N1269" s="10">
        <v>5494</v>
      </c>
      <c r="O1269" s="9"/>
      <c r="P1269" s="10"/>
      <c r="Q1269" s="10"/>
      <c r="R1269" s="10"/>
      <c r="S1269" s="7" t="s">
        <v>407</v>
      </c>
      <c r="T1269" s="7" t="s">
        <v>143</v>
      </c>
      <c r="U1269" s="7" t="s">
        <v>44</v>
      </c>
      <c r="V1269" s="7" t="s">
        <v>45</v>
      </c>
      <c r="W1269" s="7" t="s">
        <v>130</v>
      </c>
      <c r="X1269" s="7" t="s">
        <v>131</v>
      </c>
      <c r="Y1269" s="7" t="s">
        <v>3095</v>
      </c>
      <c r="Z1269" s="7" t="s">
        <v>3092</v>
      </c>
      <c r="AA1269" s="7"/>
      <c r="AB1269" s="7"/>
      <c r="AC1269" s="7" t="s">
        <v>136</v>
      </c>
      <c r="AD1269" s="7"/>
      <c r="AE1269" s="7" t="s">
        <v>2950</v>
      </c>
      <c r="AF1269" s="7" t="s">
        <v>50</v>
      </c>
      <c r="AG1269" s="7" t="s">
        <v>134</v>
      </c>
      <c r="AH1269" s="7" t="s">
        <v>141</v>
      </c>
    </row>
    <row r="1270" spans="1:34" ht="9.75" customHeight="1" x14ac:dyDescent="0.2">
      <c r="A1270" s="7" t="s">
        <v>37</v>
      </c>
      <c r="B1270" s="7" t="s">
        <v>38</v>
      </c>
      <c r="C1270" s="7"/>
      <c r="D1270" s="7" t="s">
        <v>3096</v>
      </c>
      <c r="E1270" s="8">
        <v>1</v>
      </c>
      <c r="F1270" s="7" t="s">
        <v>41</v>
      </c>
      <c r="G1270" s="7"/>
      <c r="H1270" s="9"/>
      <c r="I1270" s="10">
        <v>651</v>
      </c>
      <c r="J1270" s="9"/>
      <c r="K1270" s="9"/>
      <c r="L1270" s="10">
        <v>996</v>
      </c>
      <c r="M1270" s="9"/>
      <c r="N1270" s="10">
        <v>996</v>
      </c>
      <c r="O1270" s="9"/>
      <c r="P1270" s="10"/>
      <c r="Q1270" s="10"/>
      <c r="R1270" s="10"/>
      <c r="S1270" s="7" t="s">
        <v>407</v>
      </c>
      <c r="T1270" s="7" t="s">
        <v>143</v>
      </c>
      <c r="U1270" s="7" t="s">
        <v>44</v>
      </c>
      <c r="V1270" s="7" t="s">
        <v>45</v>
      </c>
      <c r="W1270" s="7" t="s">
        <v>130</v>
      </c>
      <c r="X1270" s="7" t="s">
        <v>131</v>
      </c>
      <c r="Y1270" s="7" t="s">
        <v>3097</v>
      </c>
      <c r="Z1270" s="7" t="s">
        <v>3092</v>
      </c>
      <c r="AA1270" s="7"/>
      <c r="AB1270" s="7"/>
      <c r="AC1270" s="7" t="s">
        <v>136</v>
      </c>
      <c r="AD1270" s="7"/>
      <c r="AE1270" s="7" t="s">
        <v>2950</v>
      </c>
      <c r="AF1270" s="7" t="s">
        <v>50</v>
      </c>
      <c r="AG1270" s="7" t="s">
        <v>134</v>
      </c>
      <c r="AH1270" s="7" t="s">
        <v>141</v>
      </c>
    </row>
    <row r="1271" spans="1:34" ht="9.75" customHeight="1" x14ac:dyDescent="0.2">
      <c r="A1271" s="7" t="s">
        <v>37</v>
      </c>
      <c r="B1271" s="7" t="s">
        <v>38</v>
      </c>
      <c r="C1271" s="7"/>
      <c r="D1271" s="7" t="s">
        <v>3098</v>
      </c>
      <c r="E1271" s="8">
        <v>1</v>
      </c>
      <c r="F1271" s="7" t="s">
        <v>41</v>
      </c>
      <c r="G1271" s="7"/>
      <c r="H1271" s="9"/>
      <c r="I1271" s="10">
        <v>13689</v>
      </c>
      <c r="J1271" s="9"/>
      <c r="K1271" s="9"/>
      <c r="L1271" s="10">
        <v>20944</v>
      </c>
      <c r="M1271" s="9"/>
      <c r="N1271" s="10">
        <v>20944</v>
      </c>
      <c r="O1271" s="9"/>
      <c r="P1271" s="10"/>
      <c r="Q1271" s="10"/>
      <c r="R1271" s="10"/>
      <c r="S1271" s="7" t="s">
        <v>407</v>
      </c>
      <c r="T1271" s="7" t="s">
        <v>143</v>
      </c>
      <c r="U1271" s="7" t="s">
        <v>44</v>
      </c>
      <c r="V1271" s="7" t="s">
        <v>45</v>
      </c>
      <c r="W1271" s="7" t="s">
        <v>130</v>
      </c>
      <c r="X1271" s="7" t="s">
        <v>131</v>
      </c>
      <c r="Y1271" s="7" t="s">
        <v>3099</v>
      </c>
      <c r="Z1271" s="7" t="s">
        <v>3092</v>
      </c>
      <c r="AA1271" s="7"/>
      <c r="AB1271" s="7"/>
      <c r="AC1271" s="7" t="s">
        <v>136</v>
      </c>
      <c r="AD1271" s="7"/>
      <c r="AE1271" s="7" t="s">
        <v>2950</v>
      </c>
      <c r="AF1271" s="7" t="s">
        <v>50</v>
      </c>
      <c r="AG1271" s="7" t="s">
        <v>134</v>
      </c>
      <c r="AH1271" s="7" t="s">
        <v>141</v>
      </c>
    </row>
    <row r="1272" spans="1:34" ht="9.75" customHeight="1" x14ac:dyDescent="0.2">
      <c r="A1272" s="7" t="s">
        <v>37</v>
      </c>
      <c r="B1272" s="7" t="s">
        <v>38</v>
      </c>
      <c r="C1272" s="7"/>
      <c r="D1272" s="7" t="s">
        <v>3100</v>
      </c>
      <c r="E1272" s="8">
        <v>1</v>
      </c>
      <c r="F1272" s="7" t="s">
        <v>41</v>
      </c>
      <c r="G1272" s="7"/>
      <c r="H1272" s="9"/>
      <c r="I1272" s="10">
        <v>13649</v>
      </c>
      <c r="J1272" s="9"/>
      <c r="K1272" s="9"/>
      <c r="L1272" s="10">
        <v>20883</v>
      </c>
      <c r="M1272" s="9"/>
      <c r="N1272" s="10">
        <v>20883</v>
      </c>
      <c r="O1272" s="9"/>
      <c r="P1272" s="10"/>
      <c r="Q1272" s="10"/>
      <c r="R1272" s="10"/>
      <c r="S1272" s="7" t="s">
        <v>407</v>
      </c>
      <c r="T1272" s="7" t="s">
        <v>143</v>
      </c>
      <c r="U1272" s="7" t="s">
        <v>44</v>
      </c>
      <c r="V1272" s="7" t="s">
        <v>45</v>
      </c>
      <c r="W1272" s="7" t="s">
        <v>130</v>
      </c>
      <c r="X1272" s="7" t="s">
        <v>131</v>
      </c>
      <c r="Y1272" s="7" t="s">
        <v>3101</v>
      </c>
      <c r="Z1272" s="7" t="s">
        <v>3092</v>
      </c>
      <c r="AA1272" s="7"/>
      <c r="AB1272" s="7"/>
      <c r="AC1272" s="7" t="s">
        <v>136</v>
      </c>
      <c r="AD1272" s="7"/>
      <c r="AE1272" s="7"/>
      <c r="AF1272" s="7" t="s">
        <v>50</v>
      </c>
      <c r="AG1272" s="7" t="s">
        <v>134</v>
      </c>
      <c r="AH1272" s="7" t="s">
        <v>141</v>
      </c>
    </row>
    <row r="1273" spans="1:34" ht="9.75" customHeight="1" x14ac:dyDescent="0.2">
      <c r="A1273" s="7" t="s">
        <v>37</v>
      </c>
      <c r="B1273" s="7" t="s">
        <v>38</v>
      </c>
      <c r="C1273" s="7"/>
      <c r="D1273" s="7" t="s">
        <v>3102</v>
      </c>
      <c r="E1273" s="8">
        <v>1</v>
      </c>
      <c r="F1273" s="7" t="s">
        <v>41</v>
      </c>
      <c r="G1273" s="7"/>
      <c r="H1273" s="9"/>
      <c r="I1273" s="10">
        <v>813</v>
      </c>
      <c r="J1273" s="9"/>
      <c r="K1273" s="9"/>
      <c r="L1273" s="10">
        <v>1244</v>
      </c>
      <c r="M1273" s="9"/>
      <c r="N1273" s="10">
        <v>1244</v>
      </c>
      <c r="O1273" s="9"/>
      <c r="P1273" s="10"/>
      <c r="Q1273" s="10"/>
      <c r="R1273" s="10"/>
      <c r="S1273" s="7" t="s">
        <v>407</v>
      </c>
      <c r="T1273" s="7" t="s">
        <v>143</v>
      </c>
      <c r="U1273" s="7" t="s">
        <v>44</v>
      </c>
      <c r="V1273" s="7" t="s">
        <v>45</v>
      </c>
      <c r="W1273" s="7" t="s">
        <v>130</v>
      </c>
      <c r="X1273" s="7" t="s">
        <v>131</v>
      </c>
      <c r="Y1273" s="7" t="s">
        <v>3103</v>
      </c>
      <c r="Z1273" s="7" t="s">
        <v>3092</v>
      </c>
      <c r="AA1273" s="7"/>
      <c r="AB1273" s="7"/>
      <c r="AC1273" s="7" t="s">
        <v>136</v>
      </c>
      <c r="AD1273" s="7"/>
      <c r="AE1273" s="7" t="s">
        <v>2950</v>
      </c>
      <c r="AF1273" s="7" t="s">
        <v>50</v>
      </c>
      <c r="AG1273" s="7" t="s">
        <v>134</v>
      </c>
      <c r="AH1273" s="7" t="s">
        <v>141</v>
      </c>
    </row>
    <row r="1274" spans="1:34" ht="9.75" customHeight="1" x14ac:dyDescent="0.2">
      <c r="A1274" s="7" t="s">
        <v>37</v>
      </c>
      <c r="B1274" s="7" t="s">
        <v>38</v>
      </c>
      <c r="C1274" s="7"/>
      <c r="D1274" s="7" t="s">
        <v>3104</v>
      </c>
      <c r="E1274" s="8">
        <v>1</v>
      </c>
      <c r="F1274" s="7" t="s">
        <v>41</v>
      </c>
      <c r="G1274" s="7"/>
      <c r="H1274" s="9"/>
      <c r="I1274" s="10">
        <v>43910</v>
      </c>
      <c r="J1274" s="9"/>
      <c r="K1274" s="9"/>
      <c r="L1274" s="10">
        <v>67182</v>
      </c>
      <c r="M1274" s="9"/>
      <c r="N1274" s="10">
        <v>67182</v>
      </c>
      <c r="O1274" s="9"/>
      <c r="P1274" s="10"/>
      <c r="Q1274" s="10"/>
      <c r="R1274" s="10"/>
      <c r="S1274" s="7" t="s">
        <v>407</v>
      </c>
      <c r="T1274" s="7" t="s">
        <v>143</v>
      </c>
      <c r="U1274" s="7" t="s">
        <v>44</v>
      </c>
      <c r="V1274" s="7" t="s">
        <v>45</v>
      </c>
      <c r="W1274" s="7" t="s">
        <v>130</v>
      </c>
      <c r="X1274" s="7" t="s">
        <v>131</v>
      </c>
      <c r="Y1274" s="7" t="s">
        <v>3105</v>
      </c>
      <c r="Z1274" s="7" t="s">
        <v>3106</v>
      </c>
      <c r="AA1274" s="7"/>
      <c r="AB1274" s="7"/>
      <c r="AC1274" s="7" t="s">
        <v>136</v>
      </c>
      <c r="AD1274" s="7"/>
      <c r="AE1274" s="7" t="s">
        <v>3107</v>
      </c>
      <c r="AF1274" s="7" t="s">
        <v>50</v>
      </c>
      <c r="AG1274" s="7" t="s">
        <v>134</v>
      </c>
      <c r="AH1274" s="7" t="s">
        <v>141</v>
      </c>
    </row>
    <row r="1275" spans="1:34" ht="9.75" customHeight="1" x14ac:dyDescent="0.2">
      <c r="A1275" s="7" t="s">
        <v>37</v>
      </c>
      <c r="B1275" s="7" t="s">
        <v>38</v>
      </c>
      <c r="C1275" s="7"/>
      <c r="D1275" s="7" t="s">
        <v>3108</v>
      </c>
      <c r="E1275" s="8">
        <v>1</v>
      </c>
      <c r="F1275" s="7" t="s">
        <v>41</v>
      </c>
      <c r="G1275" s="7"/>
      <c r="H1275" s="9"/>
      <c r="I1275" s="10">
        <v>375</v>
      </c>
      <c r="J1275" s="9"/>
      <c r="K1275" s="9"/>
      <c r="L1275" s="10">
        <v>574</v>
      </c>
      <c r="M1275" s="9"/>
      <c r="N1275" s="10">
        <v>574</v>
      </c>
      <c r="O1275" s="9"/>
      <c r="P1275" s="10"/>
      <c r="Q1275" s="10"/>
      <c r="R1275" s="10"/>
      <c r="S1275" s="7" t="s">
        <v>407</v>
      </c>
      <c r="T1275" s="7" t="s">
        <v>143</v>
      </c>
      <c r="U1275" s="7" t="s">
        <v>44</v>
      </c>
      <c r="V1275" s="7" t="s">
        <v>45</v>
      </c>
      <c r="W1275" s="7" t="s">
        <v>130</v>
      </c>
      <c r="X1275" s="7" t="s">
        <v>131</v>
      </c>
      <c r="Y1275" s="7" t="s">
        <v>3109</v>
      </c>
      <c r="Z1275" s="7" t="s">
        <v>3106</v>
      </c>
      <c r="AA1275" s="7"/>
      <c r="AB1275" s="7"/>
      <c r="AC1275" s="7" t="s">
        <v>136</v>
      </c>
      <c r="AD1275" s="7"/>
      <c r="AE1275" s="7" t="s">
        <v>2953</v>
      </c>
      <c r="AF1275" s="7" t="s">
        <v>50</v>
      </c>
      <c r="AG1275" s="7" t="s">
        <v>134</v>
      </c>
      <c r="AH1275" s="7" t="s">
        <v>141</v>
      </c>
    </row>
    <row r="1276" spans="1:34" ht="9.75" customHeight="1" x14ac:dyDescent="0.2">
      <c r="A1276" s="7" t="s">
        <v>37</v>
      </c>
      <c r="B1276" s="7" t="s">
        <v>38</v>
      </c>
      <c r="C1276" s="7"/>
      <c r="D1276" s="7" t="s">
        <v>3110</v>
      </c>
      <c r="E1276" s="8">
        <v>1</v>
      </c>
      <c r="F1276" s="7" t="s">
        <v>41</v>
      </c>
      <c r="G1276" s="7"/>
      <c r="H1276" s="9"/>
      <c r="I1276" s="10">
        <v>5306</v>
      </c>
      <c r="J1276" s="9"/>
      <c r="K1276" s="9"/>
      <c r="L1276" s="10">
        <v>8118</v>
      </c>
      <c r="M1276" s="9"/>
      <c r="N1276" s="10">
        <v>8118</v>
      </c>
      <c r="O1276" s="9"/>
      <c r="P1276" s="10"/>
      <c r="Q1276" s="10"/>
      <c r="R1276" s="10"/>
      <c r="S1276" s="7" t="s">
        <v>407</v>
      </c>
      <c r="T1276" s="7" t="s">
        <v>143</v>
      </c>
      <c r="U1276" s="7" t="s">
        <v>44</v>
      </c>
      <c r="V1276" s="7" t="s">
        <v>45</v>
      </c>
      <c r="W1276" s="7" t="s">
        <v>130</v>
      </c>
      <c r="X1276" s="7" t="s">
        <v>131</v>
      </c>
      <c r="Y1276" s="7" t="s">
        <v>3111</v>
      </c>
      <c r="Z1276" s="7" t="s">
        <v>3106</v>
      </c>
      <c r="AA1276" s="7"/>
      <c r="AB1276" s="7"/>
      <c r="AC1276" s="7" t="s">
        <v>136</v>
      </c>
      <c r="AD1276" s="7"/>
      <c r="AE1276" s="7" t="s">
        <v>2953</v>
      </c>
      <c r="AF1276" s="7" t="s">
        <v>50</v>
      </c>
      <c r="AG1276" s="7" t="s">
        <v>134</v>
      </c>
      <c r="AH1276" s="7" t="s">
        <v>141</v>
      </c>
    </row>
    <row r="1277" spans="1:34" ht="9.75" customHeight="1" x14ac:dyDescent="0.2">
      <c r="A1277" s="7" t="s">
        <v>37</v>
      </c>
      <c r="B1277" s="7" t="s">
        <v>38</v>
      </c>
      <c r="C1277" s="7"/>
      <c r="D1277" s="7" t="s">
        <v>3112</v>
      </c>
      <c r="E1277" s="8">
        <v>1</v>
      </c>
      <c r="F1277" s="7" t="s">
        <v>41</v>
      </c>
      <c r="G1277" s="7"/>
      <c r="H1277" s="9"/>
      <c r="I1277" s="10">
        <v>2850</v>
      </c>
      <c r="J1277" s="9"/>
      <c r="K1277" s="9"/>
      <c r="L1277" s="10">
        <v>4361</v>
      </c>
      <c r="M1277" s="9"/>
      <c r="N1277" s="10">
        <v>4361</v>
      </c>
      <c r="O1277" s="9"/>
      <c r="P1277" s="10"/>
      <c r="Q1277" s="10"/>
      <c r="R1277" s="10"/>
      <c r="S1277" s="7" t="s">
        <v>407</v>
      </c>
      <c r="T1277" s="7" t="s">
        <v>143</v>
      </c>
      <c r="U1277" s="7" t="s">
        <v>44</v>
      </c>
      <c r="V1277" s="7" t="s">
        <v>45</v>
      </c>
      <c r="W1277" s="7" t="s">
        <v>130</v>
      </c>
      <c r="X1277" s="7" t="s">
        <v>131</v>
      </c>
      <c r="Y1277" s="7" t="s">
        <v>3113</v>
      </c>
      <c r="Z1277" s="7" t="s">
        <v>3106</v>
      </c>
      <c r="AA1277" s="7"/>
      <c r="AB1277" s="7"/>
      <c r="AC1277" s="7" t="s">
        <v>136</v>
      </c>
      <c r="AD1277" s="7"/>
      <c r="AE1277" s="7" t="s">
        <v>2953</v>
      </c>
      <c r="AF1277" s="7" t="s">
        <v>50</v>
      </c>
      <c r="AG1277" s="7" t="s">
        <v>134</v>
      </c>
      <c r="AH1277" s="7" t="s">
        <v>141</v>
      </c>
    </row>
    <row r="1278" spans="1:34" ht="9.75" customHeight="1" x14ac:dyDescent="0.2">
      <c r="A1278" s="7" t="s">
        <v>37</v>
      </c>
      <c r="B1278" s="7" t="s">
        <v>38</v>
      </c>
      <c r="C1278" s="7"/>
      <c r="D1278" s="7" t="s">
        <v>3114</v>
      </c>
      <c r="E1278" s="8">
        <v>1</v>
      </c>
      <c r="F1278" s="7" t="s">
        <v>41</v>
      </c>
      <c r="G1278" s="7"/>
      <c r="H1278" s="9"/>
      <c r="I1278" s="10">
        <v>6874</v>
      </c>
      <c r="J1278" s="9"/>
      <c r="K1278" s="9"/>
      <c r="L1278" s="10">
        <v>10517</v>
      </c>
      <c r="M1278" s="9"/>
      <c r="N1278" s="10">
        <v>10517</v>
      </c>
      <c r="O1278" s="9"/>
      <c r="P1278" s="10"/>
      <c r="Q1278" s="10"/>
      <c r="R1278" s="10"/>
      <c r="S1278" s="7" t="s">
        <v>407</v>
      </c>
      <c r="T1278" s="7" t="s">
        <v>143</v>
      </c>
      <c r="U1278" s="7" t="s">
        <v>44</v>
      </c>
      <c r="V1278" s="7" t="s">
        <v>45</v>
      </c>
      <c r="W1278" s="7" t="s">
        <v>130</v>
      </c>
      <c r="X1278" s="7" t="s">
        <v>131</v>
      </c>
      <c r="Y1278" s="7" t="s">
        <v>3115</v>
      </c>
      <c r="Z1278" s="7" t="s">
        <v>3106</v>
      </c>
      <c r="AA1278" s="7"/>
      <c r="AB1278" s="7"/>
      <c r="AC1278" s="7" t="s">
        <v>136</v>
      </c>
      <c r="AD1278" s="7"/>
      <c r="AE1278" s="7" t="s">
        <v>2953</v>
      </c>
      <c r="AF1278" s="7" t="s">
        <v>50</v>
      </c>
      <c r="AG1278" s="7" t="s">
        <v>134</v>
      </c>
      <c r="AH1278" s="7" t="s">
        <v>141</v>
      </c>
    </row>
    <row r="1279" spans="1:34" ht="9.75" customHeight="1" x14ac:dyDescent="0.2">
      <c r="A1279" s="7" t="s">
        <v>37</v>
      </c>
      <c r="B1279" s="7" t="s">
        <v>38</v>
      </c>
      <c r="C1279" s="7"/>
      <c r="D1279" s="7" t="s">
        <v>3116</v>
      </c>
      <c r="E1279" s="8">
        <v>1</v>
      </c>
      <c r="F1279" s="7" t="s">
        <v>41</v>
      </c>
      <c r="G1279" s="7"/>
      <c r="H1279" s="9"/>
      <c r="I1279" s="10">
        <v>10478</v>
      </c>
      <c r="J1279" s="9"/>
      <c r="K1279" s="9"/>
      <c r="L1279" s="10">
        <v>16031</v>
      </c>
      <c r="M1279" s="9"/>
      <c r="N1279" s="10">
        <v>16031</v>
      </c>
      <c r="O1279" s="9"/>
      <c r="P1279" s="10"/>
      <c r="Q1279" s="10"/>
      <c r="R1279" s="10"/>
      <c r="S1279" s="7" t="s">
        <v>407</v>
      </c>
      <c r="T1279" s="7" t="s">
        <v>143</v>
      </c>
      <c r="U1279" s="7" t="s">
        <v>44</v>
      </c>
      <c r="V1279" s="7" t="s">
        <v>45</v>
      </c>
      <c r="W1279" s="7" t="s">
        <v>130</v>
      </c>
      <c r="X1279" s="7" t="s">
        <v>131</v>
      </c>
      <c r="Y1279" s="7" t="s">
        <v>3117</v>
      </c>
      <c r="Z1279" s="7" t="s">
        <v>3118</v>
      </c>
      <c r="AA1279" s="7"/>
      <c r="AB1279" s="7"/>
      <c r="AC1279" s="7" t="s">
        <v>136</v>
      </c>
      <c r="AD1279" s="7"/>
      <c r="AE1279" s="7" t="s">
        <v>3119</v>
      </c>
      <c r="AF1279" s="7" t="s">
        <v>50</v>
      </c>
      <c r="AG1279" s="7" t="s">
        <v>134</v>
      </c>
      <c r="AH1279" s="7" t="s">
        <v>141</v>
      </c>
    </row>
    <row r="1280" spans="1:34" ht="9.75" customHeight="1" x14ac:dyDescent="0.2">
      <c r="A1280" s="7" t="s">
        <v>37</v>
      </c>
      <c r="B1280" s="7" t="s">
        <v>38</v>
      </c>
      <c r="C1280" s="7"/>
      <c r="D1280" s="7" t="s">
        <v>3120</v>
      </c>
      <c r="E1280" s="8">
        <v>1</v>
      </c>
      <c r="F1280" s="7" t="s">
        <v>41</v>
      </c>
      <c r="G1280" s="7"/>
      <c r="H1280" s="9"/>
      <c r="I1280" s="10">
        <v>2214</v>
      </c>
      <c r="J1280" s="9"/>
      <c r="K1280" s="9"/>
      <c r="L1280" s="10">
        <v>3387</v>
      </c>
      <c r="M1280" s="9"/>
      <c r="N1280" s="10">
        <v>3387</v>
      </c>
      <c r="O1280" s="9"/>
      <c r="P1280" s="10"/>
      <c r="Q1280" s="10"/>
      <c r="R1280" s="10"/>
      <c r="S1280" s="7" t="s">
        <v>407</v>
      </c>
      <c r="T1280" s="7" t="s">
        <v>143</v>
      </c>
      <c r="U1280" s="7" t="s">
        <v>44</v>
      </c>
      <c r="V1280" s="7" t="s">
        <v>45</v>
      </c>
      <c r="W1280" s="7" t="s">
        <v>130</v>
      </c>
      <c r="X1280" s="7" t="s">
        <v>131</v>
      </c>
      <c r="Y1280" s="7" t="s">
        <v>3121</v>
      </c>
      <c r="Z1280" s="7" t="s">
        <v>3118</v>
      </c>
      <c r="AA1280" s="7"/>
      <c r="AB1280" s="7"/>
      <c r="AC1280" s="7" t="s">
        <v>136</v>
      </c>
      <c r="AD1280" s="7"/>
      <c r="AE1280" s="7" t="s">
        <v>2956</v>
      </c>
      <c r="AF1280" s="7" t="s">
        <v>50</v>
      </c>
      <c r="AG1280" s="7" t="s">
        <v>134</v>
      </c>
      <c r="AH1280" s="7" t="s">
        <v>141</v>
      </c>
    </row>
    <row r="1281" spans="1:34" ht="9.75" customHeight="1" x14ac:dyDescent="0.2">
      <c r="A1281" s="7" t="s">
        <v>37</v>
      </c>
      <c r="B1281" s="7" t="s">
        <v>38</v>
      </c>
      <c r="C1281" s="7"/>
      <c r="D1281" s="7" t="s">
        <v>3122</v>
      </c>
      <c r="E1281" s="8">
        <v>1</v>
      </c>
      <c r="F1281" s="7" t="s">
        <v>41</v>
      </c>
      <c r="G1281" s="7"/>
      <c r="H1281" s="9"/>
      <c r="I1281" s="10">
        <v>6322</v>
      </c>
      <c r="J1281" s="9"/>
      <c r="K1281" s="9"/>
      <c r="L1281" s="10">
        <v>9673</v>
      </c>
      <c r="M1281" s="9"/>
      <c r="N1281" s="10">
        <v>9673</v>
      </c>
      <c r="O1281" s="9"/>
      <c r="P1281" s="10"/>
      <c r="Q1281" s="10"/>
      <c r="R1281" s="10"/>
      <c r="S1281" s="7" t="s">
        <v>407</v>
      </c>
      <c r="T1281" s="7" t="s">
        <v>143</v>
      </c>
      <c r="U1281" s="7" t="s">
        <v>44</v>
      </c>
      <c r="V1281" s="7" t="s">
        <v>45</v>
      </c>
      <c r="W1281" s="7" t="s">
        <v>130</v>
      </c>
      <c r="X1281" s="7" t="s">
        <v>131</v>
      </c>
      <c r="Y1281" s="7" t="s">
        <v>3123</v>
      </c>
      <c r="Z1281" s="7" t="s">
        <v>3118</v>
      </c>
      <c r="AA1281" s="7"/>
      <c r="AB1281" s="7"/>
      <c r="AC1281" s="7" t="s">
        <v>136</v>
      </c>
      <c r="AD1281" s="7"/>
      <c r="AE1281" s="7" t="s">
        <v>2956</v>
      </c>
      <c r="AF1281" s="7" t="s">
        <v>50</v>
      </c>
      <c r="AG1281" s="7" t="s">
        <v>134</v>
      </c>
      <c r="AH1281" s="7" t="s">
        <v>141</v>
      </c>
    </row>
    <row r="1282" spans="1:34" ht="9.75" customHeight="1" x14ac:dyDescent="0.2">
      <c r="A1282" s="7" t="s">
        <v>37</v>
      </c>
      <c r="B1282" s="7" t="s">
        <v>38</v>
      </c>
      <c r="C1282" s="7"/>
      <c r="D1282" s="7" t="s">
        <v>3124</v>
      </c>
      <c r="E1282" s="8">
        <v>1</v>
      </c>
      <c r="F1282" s="7" t="s">
        <v>41</v>
      </c>
      <c r="G1282" s="7"/>
      <c r="H1282" s="9"/>
      <c r="I1282" s="10">
        <v>5650</v>
      </c>
      <c r="J1282" s="9"/>
      <c r="K1282" s="9"/>
      <c r="L1282" s="10">
        <v>8645</v>
      </c>
      <c r="M1282" s="9"/>
      <c r="N1282" s="10">
        <v>8645</v>
      </c>
      <c r="O1282" s="9"/>
      <c r="P1282" s="10"/>
      <c r="Q1282" s="10"/>
      <c r="R1282" s="10"/>
      <c r="S1282" s="7" t="s">
        <v>407</v>
      </c>
      <c r="T1282" s="7" t="s">
        <v>143</v>
      </c>
      <c r="U1282" s="7" t="s">
        <v>44</v>
      </c>
      <c r="V1282" s="7" t="s">
        <v>45</v>
      </c>
      <c r="W1282" s="7" t="s">
        <v>130</v>
      </c>
      <c r="X1282" s="7" t="s">
        <v>131</v>
      </c>
      <c r="Y1282" s="7" t="s">
        <v>3125</v>
      </c>
      <c r="Z1282" s="7" t="s">
        <v>3118</v>
      </c>
      <c r="AA1282" s="7"/>
      <c r="AB1282" s="7"/>
      <c r="AC1282" s="7" t="s">
        <v>136</v>
      </c>
      <c r="AD1282" s="7"/>
      <c r="AE1282" s="7" t="s">
        <v>2956</v>
      </c>
      <c r="AF1282" s="7" t="s">
        <v>50</v>
      </c>
      <c r="AG1282" s="7" t="s">
        <v>134</v>
      </c>
      <c r="AH1282" s="7" t="s">
        <v>141</v>
      </c>
    </row>
    <row r="1283" spans="1:34" ht="9.75" customHeight="1" x14ac:dyDescent="0.2">
      <c r="A1283" s="7" t="s">
        <v>37</v>
      </c>
      <c r="B1283" s="7" t="s">
        <v>38</v>
      </c>
      <c r="C1283" s="7"/>
      <c r="D1283" s="7" t="s">
        <v>3126</v>
      </c>
      <c r="E1283" s="8">
        <v>1</v>
      </c>
      <c r="F1283" s="7" t="s">
        <v>41</v>
      </c>
      <c r="G1283" s="7"/>
      <c r="H1283" s="9"/>
      <c r="I1283" s="10">
        <v>8671</v>
      </c>
      <c r="J1283" s="9"/>
      <c r="K1283" s="9"/>
      <c r="L1283" s="10">
        <v>13267</v>
      </c>
      <c r="M1283" s="9"/>
      <c r="N1283" s="10">
        <v>13267</v>
      </c>
      <c r="O1283" s="9"/>
      <c r="P1283" s="10"/>
      <c r="Q1283" s="10"/>
      <c r="R1283" s="10"/>
      <c r="S1283" s="7" t="s">
        <v>407</v>
      </c>
      <c r="T1283" s="7" t="s">
        <v>143</v>
      </c>
      <c r="U1283" s="7" t="s">
        <v>44</v>
      </c>
      <c r="V1283" s="7" t="s">
        <v>45</v>
      </c>
      <c r="W1283" s="7" t="s">
        <v>130</v>
      </c>
      <c r="X1283" s="7" t="s">
        <v>131</v>
      </c>
      <c r="Y1283" s="7" t="s">
        <v>3127</v>
      </c>
      <c r="Z1283" s="7" t="s">
        <v>3118</v>
      </c>
      <c r="AA1283" s="7"/>
      <c r="AB1283" s="7"/>
      <c r="AC1283" s="7" t="s">
        <v>136</v>
      </c>
      <c r="AD1283" s="7"/>
      <c r="AE1283" s="7" t="s">
        <v>2956</v>
      </c>
      <c r="AF1283" s="7" t="s">
        <v>50</v>
      </c>
      <c r="AG1283" s="7" t="s">
        <v>134</v>
      </c>
      <c r="AH1283" s="7" t="s">
        <v>141</v>
      </c>
    </row>
    <row r="1284" spans="1:34" ht="9.75" customHeight="1" x14ac:dyDescent="0.2">
      <c r="A1284" s="7" t="s">
        <v>37</v>
      </c>
      <c r="B1284" s="7" t="s">
        <v>38</v>
      </c>
      <c r="C1284" s="7"/>
      <c r="D1284" s="7" t="s">
        <v>3128</v>
      </c>
      <c r="E1284" s="8">
        <v>1</v>
      </c>
      <c r="F1284" s="7" t="s">
        <v>41</v>
      </c>
      <c r="G1284" s="7"/>
      <c r="H1284" s="9"/>
      <c r="I1284" s="10">
        <v>15050</v>
      </c>
      <c r="J1284" s="9"/>
      <c r="K1284" s="9"/>
      <c r="L1284" s="10">
        <v>23027</v>
      </c>
      <c r="M1284" s="9"/>
      <c r="N1284" s="10">
        <v>23027</v>
      </c>
      <c r="O1284" s="9"/>
      <c r="P1284" s="10"/>
      <c r="Q1284" s="10"/>
      <c r="R1284" s="10"/>
      <c r="S1284" s="7" t="s">
        <v>407</v>
      </c>
      <c r="T1284" s="7" t="s">
        <v>143</v>
      </c>
      <c r="U1284" s="7" t="s">
        <v>44</v>
      </c>
      <c r="V1284" s="7" t="s">
        <v>45</v>
      </c>
      <c r="W1284" s="7" t="s">
        <v>130</v>
      </c>
      <c r="X1284" s="7" t="s">
        <v>131</v>
      </c>
      <c r="Y1284" s="7" t="s">
        <v>3129</v>
      </c>
      <c r="Z1284" s="7" t="s">
        <v>3130</v>
      </c>
      <c r="AA1284" s="7"/>
      <c r="AB1284" s="7"/>
      <c r="AC1284" s="7" t="s">
        <v>136</v>
      </c>
      <c r="AD1284" s="7"/>
      <c r="AE1284" s="7"/>
      <c r="AF1284" s="7" t="s">
        <v>50</v>
      </c>
      <c r="AG1284" s="7" t="s">
        <v>134</v>
      </c>
      <c r="AH1284" s="7" t="s">
        <v>141</v>
      </c>
    </row>
    <row r="1285" spans="1:34" ht="9.75" customHeight="1" x14ac:dyDescent="0.2">
      <c r="A1285" s="7" t="s">
        <v>37</v>
      </c>
      <c r="B1285" s="7" t="s">
        <v>38</v>
      </c>
      <c r="C1285" s="7"/>
      <c r="D1285" s="7" t="s">
        <v>3131</v>
      </c>
      <c r="E1285" s="8">
        <v>1</v>
      </c>
      <c r="F1285" s="7" t="s">
        <v>41</v>
      </c>
      <c r="G1285" s="7"/>
      <c r="H1285" s="9"/>
      <c r="I1285" s="10">
        <v>966</v>
      </c>
      <c r="J1285" s="9"/>
      <c r="K1285" s="9"/>
      <c r="L1285" s="10">
        <v>1478</v>
      </c>
      <c r="M1285" s="9"/>
      <c r="N1285" s="10">
        <v>1478</v>
      </c>
      <c r="O1285" s="9"/>
      <c r="P1285" s="10"/>
      <c r="Q1285" s="10"/>
      <c r="R1285" s="10"/>
      <c r="S1285" s="7" t="s">
        <v>407</v>
      </c>
      <c r="T1285" s="7" t="s">
        <v>143</v>
      </c>
      <c r="U1285" s="7" t="s">
        <v>44</v>
      </c>
      <c r="V1285" s="7" t="s">
        <v>45</v>
      </c>
      <c r="W1285" s="7" t="s">
        <v>130</v>
      </c>
      <c r="X1285" s="7" t="s">
        <v>131</v>
      </c>
      <c r="Y1285" s="7" t="s">
        <v>3132</v>
      </c>
      <c r="Z1285" s="7" t="s">
        <v>3130</v>
      </c>
      <c r="AA1285" s="7"/>
      <c r="AB1285" s="7"/>
      <c r="AC1285" s="7" t="s">
        <v>136</v>
      </c>
      <c r="AD1285" s="7"/>
      <c r="AE1285" s="7" t="s">
        <v>2959</v>
      </c>
      <c r="AF1285" s="7" t="s">
        <v>50</v>
      </c>
      <c r="AG1285" s="7" t="s">
        <v>134</v>
      </c>
      <c r="AH1285" s="7" t="s">
        <v>141</v>
      </c>
    </row>
    <row r="1286" spans="1:34" ht="9.75" customHeight="1" x14ac:dyDescent="0.2">
      <c r="A1286" s="7" t="s">
        <v>37</v>
      </c>
      <c r="B1286" s="7" t="s">
        <v>38</v>
      </c>
      <c r="C1286" s="7"/>
      <c r="D1286" s="7" t="s">
        <v>3133</v>
      </c>
      <c r="E1286" s="8">
        <v>1</v>
      </c>
      <c r="F1286" s="7" t="s">
        <v>41</v>
      </c>
      <c r="G1286" s="7"/>
      <c r="H1286" s="9"/>
      <c r="I1286" s="10">
        <v>1160</v>
      </c>
      <c r="J1286" s="9"/>
      <c r="K1286" s="9"/>
      <c r="L1286" s="10">
        <v>1775</v>
      </c>
      <c r="M1286" s="9"/>
      <c r="N1286" s="10">
        <v>1775</v>
      </c>
      <c r="O1286" s="9"/>
      <c r="P1286" s="10"/>
      <c r="Q1286" s="10"/>
      <c r="R1286" s="10"/>
      <c r="S1286" s="7" t="s">
        <v>407</v>
      </c>
      <c r="T1286" s="7" t="s">
        <v>143</v>
      </c>
      <c r="U1286" s="7" t="s">
        <v>44</v>
      </c>
      <c r="V1286" s="7" t="s">
        <v>45</v>
      </c>
      <c r="W1286" s="7" t="s">
        <v>130</v>
      </c>
      <c r="X1286" s="7" t="s">
        <v>131</v>
      </c>
      <c r="Y1286" s="7" t="s">
        <v>3134</v>
      </c>
      <c r="Z1286" s="7" t="s">
        <v>3130</v>
      </c>
      <c r="AA1286" s="7"/>
      <c r="AB1286" s="7"/>
      <c r="AC1286" s="7" t="s">
        <v>136</v>
      </c>
      <c r="AD1286" s="7"/>
      <c r="AE1286" s="7" t="s">
        <v>2959</v>
      </c>
      <c r="AF1286" s="7" t="s">
        <v>50</v>
      </c>
      <c r="AG1286" s="7" t="s">
        <v>134</v>
      </c>
      <c r="AH1286" s="7" t="s">
        <v>141</v>
      </c>
    </row>
    <row r="1287" spans="1:34" ht="9.75" customHeight="1" x14ac:dyDescent="0.2">
      <c r="A1287" s="7" t="s">
        <v>37</v>
      </c>
      <c r="B1287" s="7" t="s">
        <v>38</v>
      </c>
      <c r="C1287" s="7"/>
      <c r="D1287" s="7" t="s">
        <v>3135</v>
      </c>
      <c r="E1287" s="8">
        <v>1</v>
      </c>
      <c r="F1287" s="7" t="s">
        <v>41</v>
      </c>
      <c r="G1287" s="7"/>
      <c r="H1287" s="9"/>
      <c r="I1287" s="10">
        <v>1861</v>
      </c>
      <c r="J1287" s="9"/>
      <c r="K1287" s="9"/>
      <c r="L1287" s="10">
        <v>2847</v>
      </c>
      <c r="M1287" s="9"/>
      <c r="N1287" s="10">
        <v>2847</v>
      </c>
      <c r="O1287" s="9"/>
      <c r="P1287" s="10"/>
      <c r="Q1287" s="10"/>
      <c r="R1287" s="10"/>
      <c r="S1287" s="7" t="s">
        <v>407</v>
      </c>
      <c r="T1287" s="7" t="s">
        <v>143</v>
      </c>
      <c r="U1287" s="7" t="s">
        <v>44</v>
      </c>
      <c r="V1287" s="7" t="s">
        <v>45</v>
      </c>
      <c r="W1287" s="7" t="s">
        <v>130</v>
      </c>
      <c r="X1287" s="7" t="s">
        <v>131</v>
      </c>
      <c r="Y1287" s="7" t="s">
        <v>3136</v>
      </c>
      <c r="Z1287" s="7" t="s">
        <v>3130</v>
      </c>
      <c r="AA1287" s="7"/>
      <c r="AB1287" s="7"/>
      <c r="AC1287" s="7" t="s">
        <v>136</v>
      </c>
      <c r="AD1287" s="7"/>
      <c r="AE1287" s="7" t="s">
        <v>2959</v>
      </c>
      <c r="AF1287" s="7" t="s">
        <v>50</v>
      </c>
      <c r="AG1287" s="7" t="s">
        <v>134</v>
      </c>
      <c r="AH1287" s="7" t="s">
        <v>141</v>
      </c>
    </row>
    <row r="1288" spans="1:34" ht="9.75" customHeight="1" x14ac:dyDescent="0.2">
      <c r="A1288" s="7" t="s">
        <v>37</v>
      </c>
      <c r="B1288" s="7" t="s">
        <v>38</v>
      </c>
      <c r="C1288" s="7"/>
      <c r="D1288" s="7" t="s">
        <v>3137</v>
      </c>
      <c r="E1288" s="8">
        <v>1</v>
      </c>
      <c r="F1288" s="7" t="s">
        <v>41</v>
      </c>
      <c r="G1288" s="7"/>
      <c r="H1288" s="9"/>
      <c r="I1288" s="10">
        <v>18203</v>
      </c>
      <c r="J1288" s="9"/>
      <c r="K1288" s="9"/>
      <c r="L1288" s="10">
        <v>27851</v>
      </c>
      <c r="M1288" s="9"/>
      <c r="N1288" s="10">
        <v>27851</v>
      </c>
      <c r="O1288" s="9"/>
      <c r="P1288" s="10"/>
      <c r="Q1288" s="10"/>
      <c r="R1288" s="10"/>
      <c r="S1288" s="7" t="s">
        <v>407</v>
      </c>
      <c r="T1288" s="7" t="s">
        <v>143</v>
      </c>
      <c r="U1288" s="7" t="s">
        <v>44</v>
      </c>
      <c r="V1288" s="7" t="s">
        <v>45</v>
      </c>
      <c r="W1288" s="7" t="s">
        <v>130</v>
      </c>
      <c r="X1288" s="7" t="s">
        <v>131</v>
      </c>
      <c r="Y1288" s="7" t="s">
        <v>3138</v>
      </c>
      <c r="Z1288" s="7" t="s">
        <v>3139</v>
      </c>
      <c r="AA1288" s="7"/>
      <c r="AB1288" s="7"/>
      <c r="AC1288" s="7" t="s">
        <v>136</v>
      </c>
      <c r="AD1288" s="7"/>
      <c r="AE1288" s="7" t="s">
        <v>3140</v>
      </c>
      <c r="AF1288" s="7" t="s">
        <v>50</v>
      </c>
      <c r="AG1288" s="7" t="s">
        <v>134</v>
      </c>
      <c r="AH1288" s="7" t="s">
        <v>141</v>
      </c>
    </row>
    <row r="1289" spans="1:34" ht="9.75" customHeight="1" x14ac:dyDescent="0.2">
      <c r="A1289" s="7" t="s">
        <v>37</v>
      </c>
      <c r="B1289" s="7" t="s">
        <v>38</v>
      </c>
      <c r="C1289" s="7"/>
      <c r="D1289" s="7" t="s">
        <v>3141</v>
      </c>
      <c r="E1289" s="8">
        <v>1</v>
      </c>
      <c r="F1289" s="7" t="s">
        <v>41</v>
      </c>
      <c r="G1289" s="7"/>
      <c r="H1289" s="9"/>
      <c r="I1289" s="10">
        <v>240</v>
      </c>
      <c r="J1289" s="9"/>
      <c r="K1289" s="9"/>
      <c r="L1289" s="10">
        <v>367</v>
      </c>
      <c r="M1289" s="9"/>
      <c r="N1289" s="10">
        <v>367</v>
      </c>
      <c r="O1289" s="9"/>
      <c r="P1289" s="10"/>
      <c r="Q1289" s="10"/>
      <c r="R1289" s="10"/>
      <c r="S1289" s="7" t="s">
        <v>407</v>
      </c>
      <c r="T1289" s="7" t="s">
        <v>143</v>
      </c>
      <c r="U1289" s="7" t="s">
        <v>44</v>
      </c>
      <c r="V1289" s="7" t="s">
        <v>45</v>
      </c>
      <c r="W1289" s="7" t="s">
        <v>130</v>
      </c>
      <c r="X1289" s="7" t="s">
        <v>131</v>
      </c>
      <c r="Y1289" s="7" t="s">
        <v>3142</v>
      </c>
      <c r="Z1289" s="7" t="s">
        <v>3139</v>
      </c>
      <c r="AA1289" s="7"/>
      <c r="AB1289" s="7"/>
      <c r="AC1289" s="7" t="s">
        <v>136</v>
      </c>
      <c r="AD1289" s="7"/>
      <c r="AE1289" s="7" t="s">
        <v>2962</v>
      </c>
      <c r="AF1289" s="7" t="s">
        <v>50</v>
      </c>
      <c r="AG1289" s="7" t="s">
        <v>134</v>
      </c>
      <c r="AH1289" s="7" t="s">
        <v>141</v>
      </c>
    </row>
    <row r="1290" spans="1:34" ht="9.75" customHeight="1" x14ac:dyDescent="0.2">
      <c r="A1290" s="7" t="s">
        <v>37</v>
      </c>
      <c r="B1290" s="7" t="s">
        <v>38</v>
      </c>
      <c r="C1290" s="7"/>
      <c r="D1290" s="7" t="s">
        <v>3143</v>
      </c>
      <c r="E1290" s="8">
        <v>1</v>
      </c>
      <c r="F1290" s="7" t="s">
        <v>41</v>
      </c>
      <c r="G1290" s="7"/>
      <c r="H1290" s="9"/>
      <c r="I1290" s="10">
        <v>949</v>
      </c>
      <c r="J1290" s="9"/>
      <c r="K1290" s="9"/>
      <c r="L1290" s="10">
        <v>1452</v>
      </c>
      <c r="M1290" s="9"/>
      <c r="N1290" s="10">
        <v>1452</v>
      </c>
      <c r="O1290" s="9"/>
      <c r="P1290" s="10"/>
      <c r="Q1290" s="10"/>
      <c r="R1290" s="10"/>
      <c r="S1290" s="7" t="s">
        <v>407</v>
      </c>
      <c r="T1290" s="7" t="s">
        <v>143</v>
      </c>
      <c r="U1290" s="7" t="s">
        <v>44</v>
      </c>
      <c r="V1290" s="7" t="s">
        <v>45</v>
      </c>
      <c r="W1290" s="7" t="s">
        <v>130</v>
      </c>
      <c r="X1290" s="7" t="s">
        <v>131</v>
      </c>
      <c r="Y1290" s="7" t="s">
        <v>3144</v>
      </c>
      <c r="Z1290" s="7" t="s">
        <v>3139</v>
      </c>
      <c r="AA1290" s="7"/>
      <c r="AB1290" s="7"/>
      <c r="AC1290" s="7" t="s">
        <v>136</v>
      </c>
      <c r="AD1290" s="7"/>
      <c r="AE1290" s="7" t="s">
        <v>2962</v>
      </c>
      <c r="AF1290" s="7" t="s">
        <v>50</v>
      </c>
      <c r="AG1290" s="7" t="s">
        <v>134</v>
      </c>
      <c r="AH1290" s="7" t="s">
        <v>141</v>
      </c>
    </row>
    <row r="1291" spans="1:34" ht="9.75" customHeight="1" x14ac:dyDescent="0.2">
      <c r="A1291" s="7" t="s">
        <v>37</v>
      </c>
      <c r="B1291" s="7" t="s">
        <v>38</v>
      </c>
      <c r="C1291" s="7"/>
      <c r="D1291" s="7" t="s">
        <v>3145</v>
      </c>
      <c r="E1291" s="8">
        <v>1</v>
      </c>
      <c r="F1291" s="7" t="s">
        <v>41</v>
      </c>
      <c r="G1291" s="7"/>
      <c r="H1291" s="9"/>
      <c r="I1291" s="10">
        <v>1009</v>
      </c>
      <c r="J1291" s="9"/>
      <c r="K1291" s="9"/>
      <c r="L1291" s="10">
        <v>1544</v>
      </c>
      <c r="M1291" s="9"/>
      <c r="N1291" s="10">
        <v>1544</v>
      </c>
      <c r="O1291" s="9"/>
      <c r="P1291" s="10"/>
      <c r="Q1291" s="10"/>
      <c r="R1291" s="10"/>
      <c r="S1291" s="7" t="s">
        <v>407</v>
      </c>
      <c r="T1291" s="7" t="s">
        <v>143</v>
      </c>
      <c r="U1291" s="7" t="s">
        <v>44</v>
      </c>
      <c r="V1291" s="7" t="s">
        <v>45</v>
      </c>
      <c r="W1291" s="7" t="s">
        <v>130</v>
      </c>
      <c r="X1291" s="7" t="s">
        <v>131</v>
      </c>
      <c r="Y1291" s="7" t="s">
        <v>3146</v>
      </c>
      <c r="Z1291" s="7" t="s">
        <v>3139</v>
      </c>
      <c r="AA1291" s="7"/>
      <c r="AB1291" s="7"/>
      <c r="AC1291" s="7" t="s">
        <v>136</v>
      </c>
      <c r="AD1291" s="7"/>
      <c r="AE1291" s="7" t="s">
        <v>2962</v>
      </c>
      <c r="AF1291" s="7" t="s">
        <v>50</v>
      </c>
      <c r="AG1291" s="7" t="s">
        <v>134</v>
      </c>
      <c r="AH1291" s="7" t="s">
        <v>141</v>
      </c>
    </row>
    <row r="1292" spans="1:34" ht="9.75" customHeight="1" x14ac:dyDescent="0.2">
      <c r="A1292" s="7" t="s">
        <v>37</v>
      </c>
      <c r="B1292" s="7" t="s">
        <v>38</v>
      </c>
      <c r="C1292" s="7"/>
      <c r="D1292" s="7" t="s">
        <v>3147</v>
      </c>
      <c r="E1292" s="8">
        <v>1</v>
      </c>
      <c r="F1292" s="7" t="s">
        <v>41</v>
      </c>
      <c r="G1292" s="7"/>
      <c r="H1292" s="9"/>
      <c r="I1292" s="10">
        <v>1117</v>
      </c>
      <c r="J1292" s="9"/>
      <c r="K1292" s="9"/>
      <c r="L1292" s="10">
        <v>1709</v>
      </c>
      <c r="M1292" s="9"/>
      <c r="N1292" s="10">
        <v>1709</v>
      </c>
      <c r="O1292" s="9"/>
      <c r="P1292" s="10"/>
      <c r="Q1292" s="10"/>
      <c r="R1292" s="10"/>
      <c r="S1292" s="7" t="s">
        <v>407</v>
      </c>
      <c r="T1292" s="7" t="s">
        <v>143</v>
      </c>
      <c r="U1292" s="7" t="s">
        <v>44</v>
      </c>
      <c r="V1292" s="7" t="s">
        <v>45</v>
      </c>
      <c r="W1292" s="7" t="s">
        <v>130</v>
      </c>
      <c r="X1292" s="7" t="s">
        <v>131</v>
      </c>
      <c r="Y1292" s="7" t="s">
        <v>3148</v>
      </c>
      <c r="Z1292" s="7" t="s">
        <v>3139</v>
      </c>
      <c r="AA1292" s="7"/>
      <c r="AB1292" s="7"/>
      <c r="AC1292" s="7" t="s">
        <v>136</v>
      </c>
      <c r="AD1292" s="7"/>
      <c r="AE1292" s="7" t="s">
        <v>2962</v>
      </c>
      <c r="AF1292" s="7" t="s">
        <v>50</v>
      </c>
      <c r="AG1292" s="7" t="s">
        <v>134</v>
      </c>
      <c r="AH1292" s="7" t="s">
        <v>141</v>
      </c>
    </row>
    <row r="1293" spans="1:34" ht="9.75" customHeight="1" x14ac:dyDescent="0.2">
      <c r="A1293" s="7" t="s">
        <v>37</v>
      </c>
      <c r="B1293" s="7" t="s">
        <v>38</v>
      </c>
      <c r="C1293" s="7"/>
      <c r="D1293" s="7" t="s">
        <v>3149</v>
      </c>
      <c r="E1293" s="8">
        <v>1</v>
      </c>
      <c r="F1293" s="7" t="s">
        <v>41</v>
      </c>
      <c r="G1293" s="7"/>
      <c r="H1293" s="9"/>
      <c r="I1293" s="10">
        <v>12454</v>
      </c>
      <c r="J1293" s="9"/>
      <c r="K1293" s="9"/>
      <c r="L1293" s="10">
        <v>19055</v>
      </c>
      <c r="M1293" s="9"/>
      <c r="N1293" s="10">
        <v>19055</v>
      </c>
      <c r="O1293" s="9"/>
      <c r="P1293" s="10"/>
      <c r="Q1293" s="10"/>
      <c r="R1293" s="10"/>
      <c r="S1293" s="7" t="s">
        <v>407</v>
      </c>
      <c r="T1293" s="7" t="s">
        <v>143</v>
      </c>
      <c r="U1293" s="7" t="s">
        <v>44</v>
      </c>
      <c r="V1293" s="7" t="s">
        <v>45</v>
      </c>
      <c r="W1293" s="7" t="s">
        <v>130</v>
      </c>
      <c r="X1293" s="7" t="s">
        <v>131</v>
      </c>
      <c r="Y1293" s="7" t="s">
        <v>3150</v>
      </c>
      <c r="Z1293" s="7" t="s">
        <v>3151</v>
      </c>
      <c r="AA1293" s="7"/>
      <c r="AB1293" s="7"/>
      <c r="AC1293" s="7" t="s">
        <v>136</v>
      </c>
      <c r="AD1293" s="7"/>
      <c r="AE1293" s="7"/>
      <c r="AF1293" s="7" t="s">
        <v>50</v>
      </c>
      <c r="AG1293" s="7" t="s">
        <v>134</v>
      </c>
      <c r="AH1293" s="7" t="s">
        <v>141</v>
      </c>
    </row>
    <row r="1294" spans="1:34" ht="9.75" customHeight="1" x14ac:dyDescent="0.2">
      <c r="A1294" s="7" t="s">
        <v>37</v>
      </c>
      <c r="B1294" s="7" t="s">
        <v>38</v>
      </c>
      <c r="C1294" s="7"/>
      <c r="D1294" s="7" t="s">
        <v>3152</v>
      </c>
      <c r="E1294" s="8">
        <v>1</v>
      </c>
      <c r="F1294" s="7" t="s">
        <v>41</v>
      </c>
      <c r="G1294" s="7"/>
      <c r="H1294" s="9"/>
      <c r="I1294" s="10">
        <v>202</v>
      </c>
      <c r="J1294" s="9"/>
      <c r="K1294" s="9"/>
      <c r="L1294" s="10">
        <v>309</v>
      </c>
      <c r="M1294" s="9"/>
      <c r="N1294" s="10">
        <v>309</v>
      </c>
      <c r="O1294" s="9"/>
      <c r="P1294" s="10"/>
      <c r="Q1294" s="10"/>
      <c r="R1294" s="10"/>
      <c r="S1294" s="7" t="s">
        <v>407</v>
      </c>
      <c r="T1294" s="7" t="s">
        <v>143</v>
      </c>
      <c r="U1294" s="7" t="s">
        <v>44</v>
      </c>
      <c r="V1294" s="7" t="s">
        <v>45</v>
      </c>
      <c r="W1294" s="7" t="s">
        <v>130</v>
      </c>
      <c r="X1294" s="7" t="s">
        <v>131</v>
      </c>
      <c r="Y1294" s="7" t="s">
        <v>3153</v>
      </c>
      <c r="Z1294" s="7" t="s">
        <v>3151</v>
      </c>
      <c r="AA1294" s="7"/>
      <c r="AB1294" s="7"/>
      <c r="AC1294" s="7" t="s">
        <v>136</v>
      </c>
      <c r="AD1294" s="7"/>
      <c r="AE1294" s="7" t="s">
        <v>2965</v>
      </c>
      <c r="AF1294" s="7" t="s">
        <v>50</v>
      </c>
      <c r="AG1294" s="7" t="s">
        <v>134</v>
      </c>
      <c r="AH1294" s="7" t="s">
        <v>141</v>
      </c>
    </row>
    <row r="1295" spans="1:34" ht="9.75" customHeight="1" x14ac:dyDescent="0.2">
      <c r="A1295" s="7" t="s">
        <v>37</v>
      </c>
      <c r="B1295" s="7" t="s">
        <v>38</v>
      </c>
      <c r="C1295" s="7"/>
      <c r="D1295" s="7" t="s">
        <v>3154</v>
      </c>
      <c r="E1295" s="8">
        <v>1</v>
      </c>
      <c r="F1295" s="7" t="s">
        <v>41</v>
      </c>
      <c r="G1295" s="7"/>
      <c r="H1295" s="9"/>
      <c r="I1295" s="10">
        <v>1244</v>
      </c>
      <c r="J1295" s="9"/>
      <c r="K1295" s="9"/>
      <c r="L1295" s="10">
        <v>1903</v>
      </c>
      <c r="M1295" s="9"/>
      <c r="N1295" s="10">
        <v>1903</v>
      </c>
      <c r="O1295" s="9"/>
      <c r="P1295" s="10"/>
      <c r="Q1295" s="10"/>
      <c r="R1295" s="10"/>
      <c r="S1295" s="7" t="s">
        <v>407</v>
      </c>
      <c r="T1295" s="7" t="s">
        <v>143</v>
      </c>
      <c r="U1295" s="7" t="s">
        <v>44</v>
      </c>
      <c r="V1295" s="7" t="s">
        <v>45</v>
      </c>
      <c r="W1295" s="7" t="s">
        <v>130</v>
      </c>
      <c r="X1295" s="7" t="s">
        <v>131</v>
      </c>
      <c r="Y1295" s="7" t="s">
        <v>3155</v>
      </c>
      <c r="Z1295" s="7" t="s">
        <v>3151</v>
      </c>
      <c r="AA1295" s="7"/>
      <c r="AB1295" s="7"/>
      <c r="AC1295" s="7" t="s">
        <v>136</v>
      </c>
      <c r="AD1295" s="7"/>
      <c r="AE1295" s="7" t="s">
        <v>2965</v>
      </c>
      <c r="AF1295" s="7" t="s">
        <v>50</v>
      </c>
      <c r="AG1295" s="7" t="s">
        <v>134</v>
      </c>
      <c r="AH1295" s="7" t="s">
        <v>141</v>
      </c>
    </row>
    <row r="1296" spans="1:34" ht="9.75" customHeight="1" x14ac:dyDescent="0.2">
      <c r="A1296" s="7" t="s">
        <v>37</v>
      </c>
      <c r="B1296" s="7" t="s">
        <v>38</v>
      </c>
      <c r="C1296" s="7"/>
      <c r="D1296" s="7" t="s">
        <v>3156</v>
      </c>
      <c r="E1296" s="8">
        <v>1</v>
      </c>
      <c r="F1296" s="7" t="s">
        <v>41</v>
      </c>
      <c r="G1296" s="7"/>
      <c r="H1296" s="9"/>
      <c r="I1296" s="10">
        <v>143</v>
      </c>
      <c r="J1296" s="9"/>
      <c r="K1296" s="9"/>
      <c r="L1296" s="10">
        <v>219</v>
      </c>
      <c r="M1296" s="9"/>
      <c r="N1296" s="10">
        <v>219</v>
      </c>
      <c r="O1296" s="9"/>
      <c r="P1296" s="10"/>
      <c r="Q1296" s="10"/>
      <c r="R1296" s="10"/>
      <c r="S1296" s="7" t="s">
        <v>407</v>
      </c>
      <c r="T1296" s="7" t="s">
        <v>143</v>
      </c>
      <c r="U1296" s="7" t="s">
        <v>44</v>
      </c>
      <c r="V1296" s="7" t="s">
        <v>45</v>
      </c>
      <c r="W1296" s="7" t="s">
        <v>130</v>
      </c>
      <c r="X1296" s="7" t="s">
        <v>131</v>
      </c>
      <c r="Y1296" s="7" t="s">
        <v>3157</v>
      </c>
      <c r="Z1296" s="7" t="s">
        <v>3151</v>
      </c>
      <c r="AA1296" s="7"/>
      <c r="AB1296" s="7"/>
      <c r="AC1296" s="7" t="s">
        <v>136</v>
      </c>
      <c r="AD1296" s="7"/>
      <c r="AE1296" s="7" t="s">
        <v>2965</v>
      </c>
      <c r="AF1296" s="7" t="s">
        <v>50</v>
      </c>
      <c r="AG1296" s="7" t="s">
        <v>134</v>
      </c>
      <c r="AH1296" s="7" t="s">
        <v>141</v>
      </c>
    </row>
    <row r="1297" spans="1:34" ht="9.75" customHeight="1" x14ac:dyDescent="0.2">
      <c r="A1297" s="7" t="s">
        <v>37</v>
      </c>
      <c r="B1297" s="7" t="s">
        <v>38</v>
      </c>
      <c r="C1297" s="7"/>
      <c r="D1297" s="7" t="s">
        <v>3158</v>
      </c>
      <c r="E1297" s="8">
        <v>1</v>
      </c>
      <c r="F1297" s="7" t="s">
        <v>41</v>
      </c>
      <c r="G1297" s="7"/>
      <c r="H1297" s="9"/>
      <c r="I1297" s="10">
        <v>1010</v>
      </c>
      <c r="J1297" s="9"/>
      <c r="K1297" s="9"/>
      <c r="L1297" s="10">
        <v>1545</v>
      </c>
      <c r="M1297" s="9"/>
      <c r="N1297" s="10">
        <v>1545</v>
      </c>
      <c r="O1297" s="9"/>
      <c r="P1297" s="10"/>
      <c r="Q1297" s="10"/>
      <c r="R1297" s="10"/>
      <c r="S1297" s="7" t="s">
        <v>407</v>
      </c>
      <c r="T1297" s="7" t="s">
        <v>143</v>
      </c>
      <c r="U1297" s="7" t="s">
        <v>44</v>
      </c>
      <c r="V1297" s="7" t="s">
        <v>45</v>
      </c>
      <c r="W1297" s="7" t="s">
        <v>130</v>
      </c>
      <c r="X1297" s="7" t="s">
        <v>131</v>
      </c>
      <c r="Y1297" s="7" t="s">
        <v>3159</v>
      </c>
      <c r="Z1297" s="7" t="s">
        <v>3151</v>
      </c>
      <c r="AA1297" s="7"/>
      <c r="AB1297" s="7"/>
      <c r="AC1297" s="7" t="s">
        <v>136</v>
      </c>
      <c r="AD1297" s="7"/>
      <c r="AE1297" s="7" t="s">
        <v>2965</v>
      </c>
      <c r="AF1297" s="7" t="s">
        <v>50</v>
      </c>
      <c r="AG1297" s="7" t="s">
        <v>134</v>
      </c>
      <c r="AH1297" s="7" t="s">
        <v>141</v>
      </c>
    </row>
    <row r="1298" spans="1:34" ht="9.75" customHeight="1" x14ac:dyDescent="0.2">
      <c r="A1298" s="7" t="s">
        <v>37</v>
      </c>
      <c r="B1298" s="7" t="s">
        <v>38</v>
      </c>
      <c r="C1298" s="7"/>
      <c r="D1298" s="7" t="s">
        <v>3160</v>
      </c>
      <c r="E1298" s="8">
        <v>1</v>
      </c>
      <c r="F1298" s="7" t="s">
        <v>61</v>
      </c>
      <c r="G1298" s="7"/>
      <c r="H1298" s="9"/>
      <c r="I1298" s="10">
        <v>0</v>
      </c>
      <c r="J1298" s="9"/>
      <c r="K1298" s="9"/>
      <c r="L1298" s="9"/>
      <c r="M1298" s="9"/>
      <c r="N1298" s="9"/>
      <c r="O1298" s="9"/>
      <c r="P1298" s="9"/>
      <c r="Q1298" s="9"/>
      <c r="R1298" s="9"/>
      <c r="S1298" s="7" t="s">
        <v>54</v>
      </c>
      <c r="T1298" s="7" t="s">
        <v>3161</v>
      </c>
      <c r="U1298" s="7" t="s">
        <v>44</v>
      </c>
      <c r="V1298" s="7" t="s">
        <v>45</v>
      </c>
      <c r="W1298" s="7" t="s">
        <v>130</v>
      </c>
      <c r="X1298" s="7" t="s">
        <v>131</v>
      </c>
      <c r="Y1298" s="7" t="s">
        <v>3162</v>
      </c>
      <c r="Z1298" s="7" t="s">
        <v>152</v>
      </c>
      <c r="AA1298" s="7"/>
      <c r="AB1298" s="7"/>
      <c r="AC1298" s="7" t="s">
        <v>136</v>
      </c>
      <c r="AD1298" s="7"/>
      <c r="AE1298" s="7" t="s">
        <v>3163</v>
      </c>
      <c r="AF1298" s="7" t="s">
        <v>50</v>
      </c>
      <c r="AG1298" s="7" t="s">
        <v>134</v>
      </c>
      <c r="AH1298" s="7" t="s">
        <v>141</v>
      </c>
    </row>
    <row r="1299" spans="1:34" ht="9.75" customHeight="1" x14ac:dyDescent="0.2">
      <c r="A1299" s="7" t="s">
        <v>37</v>
      </c>
      <c r="B1299" s="7" t="s">
        <v>38</v>
      </c>
      <c r="C1299" s="7"/>
      <c r="D1299" s="7" t="s">
        <v>3164</v>
      </c>
      <c r="E1299" s="8">
        <v>1</v>
      </c>
      <c r="F1299" s="7" t="s">
        <v>61</v>
      </c>
      <c r="G1299" s="7"/>
      <c r="H1299" s="9"/>
      <c r="I1299" s="10">
        <v>0</v>
      </c>
      <c r="J1299" s="9"/>
      <c r="K1299" s="9"/>
      <c r="L1299" s="9"/>
      <c r="M1299" s="9"/>
      <c r="N1299" s="9"/>
      <c r="O1299" s="9"/>
      <c r="P1299" s="9"/>
      <c r="Q1299" s="9"/>
      <c r="R1299" s="9"/>
      <c r="S1299" s="7" t="s">
        <v>54</v>
      </c>
      <c r="T1299" s="7" t="s">
        <v>3161</v>
      </c>
      <c r="U1299" s="7" t="s">
        <v>44</v>
      </c>
      <c r="V1299" s="7" t="s">
        <v>45</v>
      </c>
      <c r="W1299" s="7" t="s">
        <v>130</v>
      </c>
      <c r="X1299" s="7" t="s">
        <v>131</v>
      </c>
      <c r="Y1299" s="7" t="s">
        <v>3165</v>
      </c>
      <c r="Z1299" s="7" t="s">
        <v>152</v>
      </c>
      <c r="AA1299" s="7"/>
      <c r="AB1299" s="7"/>
      <c r="AC1299" s="7" t="s">
        <v>136</v>
      </c>
      <c r="AD1299" s="7"/>
      <c r="AE1299" s="7" t="s">
        <v>3166</v>
      </c>
      <c r="AF1299" s="7" t="s">
        <v>50</v>
      </c>
      <c r="AG1299" s="7" t="s">
        <v>134</v>
      </c>
      <c r="AH1299" s="7" t="s">
        <v>141</v>
      </c>
    </row>
    <row r="1300" spans="1:34" ht="9.75" customHeight="1" x14ac:dyDescent="0.2">
      <c r="A1300" s="7" t="s">
        <v>37</v>
      </c>
      <c r="B1300" s="7" t="s">
        <v>38</v>
      </c>
      <c r="C1300" s="7"/>
      <c r="D1300" s="7" t="s">
        <v>3167</v>
      </c>
      <c r="E1300" s="8">
        <v>1</v>
      </c>
      <c r="F1300" s="7" t="s">
        <v>61</v>
      </c>
      <c r="G1300" s="7"/>
      <c r="H1300" s="9"/>
      <c r="I1300" s="10">
        <v>1433048</v>
      </c>
      <c r="J1300" s="9"/>
      <c r="K1300" s="9"/>
      <c r="L1300" s="10">
        <v>0</v>
      </c>
      <c r="M1300" s="9"/>
      <c r="N1300" s="10">
        <v>0</v>
      </c>
      <c r="O1300" s="9"/>
      <c r="P1300" s="10"/>
      <c r="Q1300" s="10"/>
      <c r="R1300" s="10"/>
      <c r="S1300" s="7" t="s">
        <v>54</v>
      </c>
      <c r="T1300" s="7" t="s">
        <v>3161</v>
      </c>
      <c r="U1300" s="7" t="s">
        <v>44</v>
      </c>
      <c r="V1300" s="7" t="s">
        <v>45</v>
      </c>
      <c r="W1300" s="7" t="s">
        <v>130</v>
      </c>
      <c r="X1300" s="7" t="s">
        <v>131</v>
      </c>
      <c r="Y1300" s="7" t="s">
        <v>3168</v>
      </c>
      <c r="Z1300" s="7" t="s">
        <v>152</v>
      </c>
      <c r="AA1300" s="7"/>
      <c r="AB1300" s="7"/>
      <c r="AC1300" s="7" t="s">
        <v>136</v>
      </c>
      <c r="AD1300" s="7"/>
      <c r="AE1300" s="7" t="s">
        <v>3169</v>
      </c>
      <c r="AF1300" s="7" t="s">
        <v>50</v>
      </c>
      <c r="AG1300" s="7" t="s">
        <v>134</v>
      </c>
      <c r="AH1300" s="7" t="s">
        <v>141</v>
      </c>
    </row>
    <row r="1301" spans="1:34" ht="9.75" customHeight="1" x14ac:dyDescent="0.2">
      <c r="A1301" s="7" t="s">
        <v>37</v>
      </c>
      <c r="B1301" s="7" t="s">
        <v>38</v>
      </c>
      <c r="C1301" s="7"/>
      <c r="D1301" s="7" t="s">
        <v>3170</v>
      </c>
      <c r="E1301" s="8">
        <v>1</v>
      </c>
      <c r="F1301" s="7" t="s">
        <v>61</v>
      </c>
      <c r="G1301" s="7"/>
      <c r="H1301" s="9"/>
      <c r="I1301" s="10">
        <v>75743</v>
      </c>
      <c r="J1301" s="10">
        <v>41500</v>
      </c>
      <c r="K1301" s="9"/>
      <c r="L1301" s="10">
        <v>0</v>
      </c>
      <c r="M1301" s="9"/>
      <c r="N1301" s="10">
        <v>0</v>
      </c>
      <c r="O1301" s="9"/>
      <c r="P1301" s="10"/>
      <c r="Q1301" s="10"/>
      <c r="R1301" s="10"/>
      <c r="S1301" s="7" t="s">
        <v>54</v>
      </c>
      <c r="T1301" s="7" t="s">
        <v>3161</v>
      </c>
      <c r="U1301" s="7" t="s">
        <v>44</v>
      </c>
      <c r="V1301" s="7" t="s">
        <v>45</v>
      </c>
      <c r="W1301" s="7" t="s">
        <v>130</v>
      </c>
      <c r="X1301" s="7" t="s">
        <v>131</v>
      </c>
      <c r="Y1301" s="7" t="s">
        <v>3171</v>
      </c>
      <c r="Z1301" s="7" t="s">
        <v>152</v>
      </c>
      <c r="AA1301" s="7"/>
      <c r="AB1301" s="7"/>
      <c r="AC1301" s="7" t="s">
        <v>136</v>
      </c>
      <c r="AD1301" s="7"/>
      <c r="AE1301" s="7" t="s">
        <v>3172</v>
      </c>
      <c r="AF1301" s="7" t="s">
        <v>50</v>
      </c>
      <c r="AG1301" s="7" t="s">
        <v>134</v>
      </c>
      <c r="AH1301" s="7" t="s">
        <v>141</v>
      </c>
    </row>
    <row r="1302" spans="1:34" ht="9.75" customHeight="1" x14ac:dyDescent="0.2">
      <c r="A1302" s="7" t="s">
        <v>37</v>
      </c>
      <c r="B1302" s="7" t="s">
        <v>38</v>
      </c>
      <c r="C1302" s="7"/>
      <c r="D1302" s="7" t="s">
        <v>3173</v>
      </c>
      <c r="E1302" s="8">
        <v>1</v>
      </c>
      <c r="F1302" s="7" t="s">
        <v>61</v>
      </c>
      <c r="G1302" s="7"/>
      <c r="H1302" s="9"/>
      <c r="I1302" s="10">
        <v>124567</v>
      </c>
      <c r="J1302" s="9"/>
      <c r="K1302" s="9"/>
      <c r="L1302" s="10">
        <v>0</v>
      </c>
      <c r="M1302" s="9"/>
      <c r="N1302" s="10">
        <v>0</v>
      </c>
      <c r="O1302" s="9"/>
      <c r="P1302" s="10"/>
      <c r="Q1302" s="10"/>
      <c r="R1302" s="10"/>
      <c r="S1302" s="7" t="s">
        <v>54</v>
      </c>
      <c r="T1302" s="7" t="s">
        <v>3161</v>
      </c>
      <c r="U1302" s="7" t="s">
        <v>44</v>
      </c>
      <c r="V1302" s="7" t="s">
        <v>45</v>
      </c>
      <c r="W1302" s="7" t="s">
        <v>130</v>
      </c>
      <c r="X1302" s="7" t="s">
        <v>131</v>
      </c>
      <c r="Y1302" s="7" t="s">
        <v>3174</v>
      </c>
      <c r="Z1302" s="7" t="s">
        <v>152</v>
      </c>
      <c r="AA1302" s="7"/>
      <c r="AB1302" s="7"/>
      <c r="AC1302" s="7" t="s">
        <v>136</v>
      </c>
      <c r="AD1302" s="7"/>
      <c r="AE1302" s="7" t="s">
        <v>3175</v>
      </c>
      <c r="AF1302" s="7" t="s">
        <v>50</v>
      </c>
      <c r="AG1302" s="7" t="s">
        <v>134</v>
      </c>
      <c r="AH1302" s="7" t="s">
        <v>141</v>
      </c>
    </row>
    <row r="1303" spans="1:34" ht="9.75" customHeight="1" x14ac:dyDescent="0.2">
      <c r="A1303" s="7" t="s">
        <v>37</v>
      </c>
      <c r="B1303" s="7" t="s">
        <v>38</v>
      </c>
      <c r="C1303" s="7"/>
      <c r="D1303" s="7" t="s">
        <v>3176</v>
      </c>
      <c r="E1303" s="8">
        <v>1</v>
      </c>
      <c r="F1303" s="7" t="s">
        <v>61</v>
      </c>
      <c r="G1303" s="7"/>
      <c r="H1303" s="9"/>
      <c r="I1303" s="10">
        <v>0</v>
      </c>
      <c r="J1303" s="9"/>
      <c r="K1303" s="9"/>
      <c r="L1303" s="9"/>
      <c r="M1303" s="9"/>
      <c r="N1303" s="9"/>
      <c r="O1303" s="9"/>
      <c r="P1303" s="9"/>
      <c r="Q1303" s="9"/>
      <c r="R1303" s="9"/>
      <c r="S1303" s="7" t="s">
        <v>54</v>
      </c>
      <c r="T1303" s="7" t="s">
        <v>3161</v>
      </c>
      <c r="U1303" s="7" t="s">
        <v>44</v>
      </c>
      <c r="V1303" s="7" t="s">
        <v>45</v>
      </c>
      <c r="W1303" s="7" t="s">
        <v>130</v>
      </c>
      <c r="X1303" s="7" t="s">
        <v>131</v>
      </c>
      <c r="Y1303" s="7" t="s">
        <v>3177</v>
      </c>
      <c r="Z1303" s="7" t="s">
        <v>152</v>
      </c>
      <c r="AA1303" s="7"/>
      <c r="AB1303" s="7"/>
      <c r="AC1303" s="7" t="s">
        <v>136</v>
      </c>
      <c r="AD1303" s="7"/>
      <c r="AE1303" s="7" t="s">
        <v>3178</v>
      </c>
      <c r="AF1303" s="7" t="s">
        <v>50</v>
      </c>
      <c r="AG1303" s="7" t="s">
        <v>134</v>
      </c>
      <c r="AH1303" s="7" t="s">
        <v>141</v>
      </c>
    </row>
    <row r="1304" spans="1:34" ht="9.75" customHeight="1" x14ac:dyDescent="0.2">
      <c r="A1304" s="7" t="s">
        <v>37</v>
      </c>
      <c r="B1304" s="7" t="s">
        <v>38</v>
      </c>
      <c r="C1304" s="7"/>
      <c r="D1304" s="7" t="s">
        <v>3179</v>
      </c>
      <c r="E1304" s="8">
        <v>1</v>
      </c>
      <c r="F1304" s="7" t="s">
        <v>61</v>
      </c>
      <c r="G1304" s="7"/>
      <c r="H1304" s="9"/>
      <c r="I1304" s="10">
        <v>0</v>
      </c>
      <c r="J1304" s="9"/>
      <c r="K1304" s="9"/>
      <c r="L1304" s="9"/>
      <c r="M1304" s="9"/>
      <c r="N1304" s="9"/>
      <c r="O1304" s="9"/>
      <c r="P1304" s="9"/>
      <c r="Q1304" s="9"/>
      <c r="R1304" s="9"/>
      <c r="S1304" s="7" t="s">
        <v>54</v>
      </c>
      <c r="T1304" s="7" t="s">
        <v>3161</v>
      </c>
      <c r="U1304" s="7" t="s">
        <v>44</v>
      </c>
      <c r="V1304" s="7" t="s">
        <v>45</v>
      </c>
      <c r="W1304" s="7" t="s">
        <v>130</v>
      </c>
      <c r="X1304" s="7" t="s">
        <v>131</v>
      </c>
      <c r="Y1304" s="7" t="s">
        <v>3180</v>
      </c>
      <c r="Z1304" s="7" t="s">
        <v>152</v>
      </c>
      <c r="AA1304" s="7"/>
      <c r="AB1304" s="7"/>
      <c r="AC1304" s="7" t="s">
        <v>136</v>
      </c>
      <c r="AD1304" s="7"/>
      <c r="AE1304" s="7" t="s">
        <v>3181</v>
      </c>
      <c r="AF1304" s="7" t="s">
        <v>50</v>
      </c>
      <c r="AG1304" s="7" t="s">
        <v>134</v>
      </c>
      <c r="AH1304" s="7" t="s">
        <v>141</v>
      </c>
    </row>
    <row r="1305" spans="1:34" ht="9.75" customHeight="1" x14ac:dyDescent="0.2">
      <c r="A1305" s="7" t="s">
        <v>37</v>
      </c>
      <c r="B1305" s="7" t="s">
        <v>38</v>
      </c>
      <c r="C1305" s="7"/>
      <c r="D1305" s="7" t="s">
        <v>3182</v>
      </c>
      <c r="E1305" s="8">
        <v>1</v>
      </c>
      <c r="F1305" s="7" t="s">
        <v>61</v>
      </c>
      <c r="G1305" s="7"/>
      <c r="H1305" s="9"/>
      <c r="I1305" s="10">
        <v>0</v>
      </c>
      <c r="J1305" s="9"/>
      <c r="K1305" s="9"/>
      <c r="L1305" s="9"/>
      <c r="M1305" s="9"/>
      <c r="N1305" s="9"/>
      <c r="O1305" s="9"/>
      <c r="P1305" s="9"/>
      <c r="Q1305" s="9"/>
      <c r="R1305" s="9"/>
      <c r="S1305" s="7" t="s">
        <v>54</v>
      </c>
      <c r="T1305" s="7" t="s">
        <v>3161</v>
      </c>
      <c r="U1305" s="7" t="s">
        <v>44</v>
      </c>
      <c r="V1305" s="7" t="s">
        <v>45</v>
      </c>
      <c r="W1305" s="7" t="s">
        <v>130</v>
      </c>
      <c r="X1305" s="7" t="s">
        <v>131</v>
      </c>
      <c r="Y1305" s="7" t="s">
        <v>3183</v>
      </c>
      <c r="Z1305" s="7" t="s">
        <v>152</v>
      </c>
      <c r="AA1305" s="7"/>
      <c r="AB1305" s="7"/>
      <c r="AC1305" s="7" t="s">
        <v>136</v>
      </c>
      <c r="AD1305" s="7"/>
      <c r="AE1305" s="7" t="s">
        <v>3184</v>
      </c>
      <c r="AF1305" s="7" t="s">
        <v>50</v>
      </c>
      <c r="AG1305" s="7" t="s">
        <v>134</v>
      </c>
      <c r="AH1305" s="7" t="s">
        <v>141</v>
      </c>
    </row>
    <row r="1306" spans="1:34" ht="9.75" customHeight="1" x14ac:dyDescent="0.2">
      <c r="A1306" s="7" t="s">
        <v>37</v>
      </c>
      <c r="B1306" s="7" t="s">
        <v>38</v>
      </c>
      <c r="C1306" s="7"/>
      <c r="D1306" s="7" t="s">
        <v>3185</v>
      </c>
      <c r="E1306" s="8">
        <v>1</v>
      </c>
      <c r="F1306" s="7" t="s">
        <v>61</v>
      </c>
      <c r="G1306" s="7"/>
      <c r="H1306" s="9"/>
      <c r="I1306" s="10">
        <v>0</v>
      </c>
      <c r="J1306" s="9"/>
      <c r="K1306" s="9"/>
      <c r="L1306" s="9"/>
      <c r="M1306" s="9"/>
      <c r="N1306" s="9"/>
      <c r="O1306" s="9"/>
      <c r="P1306" s="9"/>
      <c r="Q1306" s="9"/>
      <c r="R1306" s="9"/>
      <c r="S1306" s="7" t="s">
        <v>54</v>
      </c>
      <c r="T1306" s="7" t="s">
        <v>3161</v>
      </c>
      <c r="U1306" s="7" t="s">
        <v>44</v>
      </c>
      <c r="V1306" s="7" t="s">
        <v>45</v>
      </c>
      <c r="W1306" s="7" t="s">
        <v>130</v>
      </c>
      <c r="X1306" s="7" t="s">
        <v>131</v>
      </c>
      <c r="Y1306" s="7" t="s">
        <v>3186</v>
      </c>
      <c r="Z1306" s="7" t="s">
        <v>152</v>
      </c>
      <c r="AA1306" s="7"/>
      <c r="AB1306" s="7"/>
      <c r="AC1306" s="7" t="s">
        <v>136</v>
      </c>
      <c r="AD1306" s="7"/>
      <c r="AE1306" s="7" t="s">
        <v>3187</v>
      </c>
      <c r="AF1306" s="7" t="s">
        <v>50</v>
      </c>
      <c r="AG1306" s="7" t="s">
        <v>134</v>
      </c>
      <c r="AH1306" s="7" t="s">
        <v>141</v>
      </c>
    </row>
    <row r="1307" spans="1:34" ht="9.75" customHeight="1" x14ac:dyDescent="0.2">
      <c r="A1307" s="7" t="s">
        <v>37</v>
      </c>
      <c r="B1307" s="7" t="s">
        <v>38</v>
      </c>
      <c r="C1307" s="7"/>
      <c r="D1307" s="7" t="s">
        <v>3188</v>
      </c>
      <c r="E1307" s="8">
        <v>1</v>
      </c>
      <c r="F1307" s="7" t="s">
        <v>61</v>
      </c>
      <c r="G1307" s="7"/>
      <c r="H1307" s="9"/>
      <c r="I1307" s="10">
        <v>0</v>
      </c>
      <c r="J1307" s="9"/>
      <c r="K1307" s="9"/>
      <c r="L1307" s="9"/>
      <c r="M1307" s="9"/>
      <c r="N1307" s="9"/>
      <c r="O1307" s="9"/>
      <c r="P1307" s="9"/>
      <c r="Q1307" s="9"/>
      <c r="R1307" s="9"/>
      <c r="S1307" s="7" t="s">
        <v>54</v>
      </c>
      <c r="T1307" s="7" t="s">
        <v>3161</v>
      </c>
      <c r="U1307" s="7" t="s">
        <v>44</v>
      </c>
      <c r="V1307" s="7" t="s">
        <v>45</v>
      </c>
      <c r="W1307" s="7" t="s">
        <v>130</v>
      </c>
      <c r="X1307" s="7" t="s">
        <v>131</v>
      </c>
      <c r="Y1307" s="7" t="s">
        <v>3189</v>
      </c>
      <c r="Z1307" s="7" t="s">
        <v>152</v>
      </c>
      <c r="AA1307" s="7"/>
      <c r="AB1307" s="7"/>
      <c r="AC1307" s="7" t="s">
        <v>136</v>
      </c>
      <c r="AD1307" s="7"/>
      <c r="AE1307" s="7" t="s">
        <v>3190</v>
      </c>
      <c r="AF1307" s="7" t="s">
        <v>50</v>
      </c>
      <c r="AG1307" s="7" t="s">
        <v>134</v>
      </c>
      <c r="AH1307" s="7" t="s">
        <v>141</v>
      </c>
    </row>
    <row r="1308" spans="1:34" ht="9.75" customHeight="1" x14ac:dyDescent="0.2">
      <c r="A1308" s="7" t="s">
        <v>37</v>
      </c>
      <c r="B1308" s="7" t="s">
        <v>38</v>
      </c>
      <c r="C1308" s="7"/>
      <c r="D1308" s="7" t="s">
        <v>3191</v>
      </c>
      <c r="E1308" s="8">
        <v>1</v>
      </c>
      <c r="F1308" s="7" t="s">
        <v>61</v>
      </c>
      <c r="G1308" s="7"/>
      <c r="H1308" s="9"/>
      <c r="I1308" s="10">
        <v>0</v>
      </c>
      <c r="J1308" s="9"/>
      <c r="K1308" s="9"/>
      <c r="L1308" s="9"/>
      <c r="M1308" s="9"/>
      <c r="N1308" s="9"/>
      <c r="O1308" s="9"/>
      <c r="P1308" s="9"/>
      <c r="Q1308" s="9"/>
      <c r="R1308" s="9"/>
      <c r="S1308" s="7" t="s">
        <v>54</v>
      </c>
      <c r="T1308" s="7" t="s">
        <v>3161</v>
      </c>
      <c r="U1308" s="7" t="s">
        <v>44</v>
      </c>
      <c r="V1308" s="7" t="s">
        <v>45</v>
      </c>
      <c r="W1308" s="7" t="s">
        <v>130</v>
      </c>
      <c r="X1308" s="7" t="s">
        <v>131</v>
      </c>
      <c r="Y1308" s="7" t="s">
        <v>3192</v>
      </c>
      <c r="Z1308" s="7" t="s">
        <v>152</v>
      </c>
      <c r="AA1308" s="7"/>
      <c r="AB1308" s="7"/>
      <c r="AC1308" s="7" t="s">
        <v>136</v>
      </c>
      <c r="AD1308" s="7"/>
      <c r="AE1308" s="7" t="s">
        <v>3193</v>
      </c>
      <c r="AF1308" s="7" t="s">
        <v>50</v>
      </c>
      <c r="AG1308" s="7" t="s">
        <v>134</v>
      </c>
      <c r="AH1308" s="7" t="s">
        <v>141</v>
      </c>
    </row>
    <row r="1309" spans="1:34" ht="9.75" customHeight="1" x14ac:dyDescent="0.2">
      <c r="A1309" s="7" t="s">
        <v>37</v>
      </c>
      <c r="B1309" s="7" t="s">
        <v>38</v>
      </c>
      <c r="C1309" s="7"/>
      <c r="D1309" s="7" t="s">
        <v>3194</v>
      </c>
      <c r="E1309" s="8">
        <v>1</v>
      </c>
      <c r="F1309" s="7" t="s">
        <v>61</v>
      </c>
      <c r="G1309" s="7"/>
      <c r="H1309" s="9"/>
      <c r="I1309" s="10">
        <v>0</v>
      </c>
      <c r="J1309" s="9"/>
      <c r="K1309" s="9"/>
      <c r="L1309" s="9"/>
      <c r="M1309" s="9"/>
      <c r="N1309" s="9"/>
      <c r="O1309" s="9"/>
      <c r="P1309" s="9"/>
      <c r="Q1309" s="9"/>
      <c r="R1309" s="9"/>
      <c r="S1309" s="7" t="s">
        <v>54</v>
      </c>
      <c r="T1309" s="7" t="s">
        <v>3161</v>
      </c>
      <c r="U1309" s="7" t="s">
        <v>44</v>
      </c>
      <c r="V1309" s="7" t="s">
        <v>45</v>
      </c>
      <c r="W1309" s="7" t="s">
        <v>130</v>
      </c>
      <c r="X1309" s="7" t="s">
        <v>131</v>
      </c>
      <c r="Y1309" s="7" t="s">
        <v>3195</v>
      </c>
      <c r="Z1309" s="7" t="s">
        <v>152</v>
      </c>
      <c r="AA1309" s="7"/>
      <c r="AB1309" s="7"/>
      <c r="AC1309" s="7" t="s">
        <v>136</v>
      </c>
      <c r="AD1309" s="7"/>
      <c r="AE1309" s="7" t="s">
        <v>3196</v>
      </c>
      <c r="AF1309" s="7" t="s">
        <v>50</v>
      </c>
      <c r="AG1309" s="7" t="s">
        <v>134</v>
      </c>
      <c r="AH1309" s="7" t="s">
        <v>141</v>
      </c>
    </row>
    <row r="1310" spans="1:34" ht="9.75" customHeight="1" x14ac:dyDescent="0.2">
      <c r="A1310" s="7" t="s">
        <v>37</v>
      </c>
      <c r="B1310" s="7" t="s">
        <v>38</v>
      </c>
      <c r="C1310" s="7"/>
      <c r="D1310" s="7" t="s">
        <v>3197</v>
      </c>
      <c r="E1310" s="8">
        <v>1</v>
      </c>
      <c r="F1310" s="7" t="s">
        <v>61</v>
      </c>
      <c r="G1310" s="7"/>
      <c r="H1310" s="9"/>
      <c r="I1310" s="10">
        <v>0</v>
      </c>
      <c r="J1310" s="9"/>
      <c r="K1310" s="9"/>
      <c r="L1310" s="9"/>
      <c r="M1310" s="9"/>
      <c r="N1310" s="9"/>
      <c r="O1310" s="9"/>
      <c r="P1310" s="9"/>
      <c r="Q1310" s="9"/>
      <c r="R1310" s="9"/>
      <c r="S1310" s="7" t="s">
        <v>54</v>
      </c>
      <c r="T1310" s="7" t="s">
        <v>3161</v>
      </c>
      <c r="U1310" s="7" t="s">
        <v>44</v>
      </c>
      <c r="V1310" s="7" t="s">
        <v>45</v>
      </c>
      <c r="W1310" s="7" t="s">
        <v>130</v>
      </c>
      <c r="X1310" s="7" t="s">
        <v>131</v>
      </c>
      <c r="Y1310" s="7" t="s">
        <v>3198</v>
      </c>
      <c r="Z1310" s="7" t="s">
        <v>152</v>
      </c>
      <c r="AA1310" s="7"/>
      <c r="AB1310" s="7"/>
      <c r="AC1310" s="7" t="s">
        <v>136</v>
      </c>
      <c r="AD1310" s="7"/>
      <c r="AE1310" s="7" t="s">
        <v>3199</v>
      </c>
      <c r="AF1310" s="7" t="s">
        <v>50</v>
      </c>
      <c r="AG1310" s="7" t="s">
        <v>134</v>
      </c>
      <c r="AH1310" s="7" t="s">
        <v>141</v>
      </c>
    </row>
    <row r="1311" spans="1:34" ht="9.75" customHeight="1" x14ac:dyDescent="0.2">
      <c r="A1311" s="7" t="s">
        <v>37</v>
      </c>
      <c r="B1311" s="7" t="s">
        <v>38</v>
      </c>
      <c r="C1311" s="7"/>
      <c r="D1311" s="7" t="s">
        <v>3200</v>
      </c>
      <c r="E1311" s="8">
        <v>1</v>
      </c>
      <c r="F1311" s="7" t="s">
        <v>61</v>
      </c>
      <c r="G1311" s="7"/>
      <c r="H1311" s="9"/>
      <c r="I1311" s="10">
        <v>2659</v>
      </c>
      <c r="J1311" s="9"/>
      <c r="K1311" s="9"/>
      <c r="L1311" s="10">
        <v>0</v>
      </c>
      <c r="M1311" s="9"/>
      <c r="N1311" s="10">
        <v>0</v>
      </c>
      <c r="O1311" s="9"/>
      <c r="P1311" s="10"/>
      <c r="Q1311" s="10"/>
      <c r="R1311" s="10"/>
      <c r="S1311" s="7" t="s">
        <v>54</v>
      </c>
      <c r="T1311" s="7" t="s">
        <v>3161</v>
      </c>
      <c r="U1311" s="7" t="s">
        <v>44</v>
      </c>
      <c r="V1311" s="7" t="s">
        <v>45</v>
      </c>
      <c r="W1311" s="7" t="s">
        <v>130</v>
      </c>
      <c r="X1311" s="7" t="s">
        <v>131</v>
      </c>
      <c r="Y1311" s="7" t="s">
        <v>3201</v>
      </c>
      <c r="Z1311" s="7" t="s">
        <v>152</v>
      </c>
      <c r="AA1311" s="7"/>
      <c r="AB1311" s="7"/>
      <c r="AC1311" s="7" t="s">
        <v>136</v>
      </c>
      <c r="AD1311" s="7"/>
      <c r="AE1311" s="7" t="s">
        <v>3202</v>
      </c>
      <c r="AF1311" s="7" t="s">
        <v>50</v>
      </c>
      <c r="AG1311" s="7" t="s">
        <v>134</v>
      </c>
      <c r="AH1311" s="7" t="s">
        <v>141</v>
      </c>
    </row>
    <row r="1312" spans="1:34" ht="9.75" customHeight="1" x14ac:dyDescent="0.2">
      <c r="A1312" s="7" t="s">
        <v>37</v>
      </c>
      <c r="B1312" s="7" t="s">
        <v>38</v>
      </c>
      <c r="C1312" s="7"/>
      <c r="D1312" s="7" t="s">
        <v>3203</v>
      </c>
      <c r="E1312" s="8">
        <v>1</v>
      </c>
      <c r="F1312" s="7" t="s">
        <v>61</v>
      </c>
      <c r="G1312" s="7"/>
      <c r="H1312" s="9"/>
      <c r="I1312" s="10">
        <v>2659</v>
      </c>
      <c r="J1312" s="9"/>
      <c r="K1312" s="9"/>
      <c r="L1312" s="10">
        <v>0</v>
      </c>
      <c r="M1312" s="9"/>
      <c r="N1312" s="10">
        <v>0</v>
      </c>
      <c r="O1312" s="9"/>
      <c r="P1312" s="10"/>
      <c r="Q1312" s="10"/>
      <c r="R1312" s="10"/>
      <c r="S1312" s="7" t="s">
        <v>54</v>
      </c>
      <c r="T1312" s="7" t="s">
        <v>3161</v>
      </c>
      <c r="U1312" s="7" t="s">
        <v>44</v>
      </c>
      <c r="V1312" s="7" t="s">
        <v>45</v>
      </c>
      <c r="W1312" s="7" t="s">
        <v>130</v>
      </c>
      <c r="X1312" s="7" t="s">
        <v>131</v>
      </c>
      <c r="Y1312" s="7" t="s">
        <v>3204</v>
      </c>
      <c r="Z1312" s="7" t="s">
        <v>152</v>
      </c>
      <c r="AA1312" s="7"/>
      <c r="AB1312" s="7"/>
      <c r="AC1312" s="7" t="s">
        <v>136</v>
      </c>
      <c r="AD1312" s="7"/>
      <c r="AE1312" s="7" t="s">
        <v>3205</v>
      </c>
      <c r="AF1312" s="7" t="s">
        <v>50</v>
      </c>
      <c r="AG1312" s="7" t="s">
        <v>134</v>
      </c>
      <c r="AH1312" s="7" t="s">
        <v>141</v>
      </c>
    </row>
    <row r="1313" spans="1:34" ht="9.75" customHeight="1" x14ac:dyDescent="0.2">
      <c r="A1313" s="7" t="s">
        <v>37</v>
      </c>
      <c r="B1313" s="7" t="s">
        <v>38</v>
      </c>
      <c r="C1313" s="7"/>
      <c r="D1313" s="7" t="s">
        <v>3206</v>
      </c>
      <c r="E1313" s="8">
        <v>1</v>
      </c>
      <c r="F1313" s="7" t="s">
        <v>61</v>
      </c>
      <c r="G1313" s="7"/>
      <c r="H1313" s="9"/>
      <c r="I1313" s="10">
        <v>2659</v>
      </c>
      <c r="J1313" s="9"/>
      <c r="K1313" s="9"/>
      <c r="L1313" s="10">
        <v>0</v>
      </c>
      <c r="M1313" s="9"/>
      <c r="N1313" s="10">
        <v>0</v>
      </c>
      <c r="O1313" s="9"/>
      <c r="P1313" s="10"/>
      <c r="Q1313" s="10"/>
      <c r="R1313" s="10"/>
      <c r="S1313" s="7" t="s">
        <v>54</v>
      </c>
      <c r="T1313" s="7" t="s">
        <v>3161</v>
      </c>
      <c r="U1313" s="7" t="s">
        <v>44</v>
      </c>
      <c r="V1313" s="7" t="s">
        <v>45</v>
      </c>
      <c r="W1313" s="7" t="s">
        <v>130</v>
      </c>
      <c r="X1313" s="7" t="s">
        <v>131</v>
      </c>
      <c r="Y1313" s="7" t="s">
        <v>3207</v>
      </c>
      <c r="Z1313" s="7" t="s">
        <v>152</v>
      </c>
      <c r="AA1313" s="7"/>
      <c r="AB1313" s="7"/>
      <c r="AC1313" s="7" t="s">
        <v>136</v>
      </c>
      <c r="AD1313" s="7"/>
      <c r="AE1313" s="7" t="s">
        <v>3208</v>
      </c>
      <c r="AF1313" s="7" t="s">
        <v>50</v>
      </c>
      <c r="AG1313" s="7" t="s">
        <v>134</v>
      </c>
      <c r="AH1313" s="7" t="s">
        <v>141</v>
      </c>
    </row>
    <row r="1314" spans="1:34" ht="9.75" customHeight="1" x14ac:dyDescent="0.2">
      <c r="A1314" s="7" t="s">
        <v>37</v>
      </c>
      <c r="B1314" s="7" t="s">
        <v>38</v>
      </c>
      <c r="C1314" s="7"/>
      <c r="D1314" s="7" t="s">
        <v>3209</v>
      </c>
      <c r="E1314" s="8">
        <v>1</v>
      </c>
      <c r="F1314" s="7" t="s">
        <v>61</v>
      </c>
      <c r="G1314" s="7"/>
      <c r="H1314" s="9"/>
      <c r="I1314" s="10">
        <v>20862</v>
      </c>
      <c r="J1314" s="10">
        <v>0</v>
      </c>
      <c r="K1314" s="9"/>
      <c r="L1314" s="9"/>
      <c r="M1314" s="9"/>
      <c r="N1314" s="9"/>
      <c r="O1314" s="9"/>
      <c r="P1314" s="9"/>
      <c r="Q1314" s="9"/>
      <c r="R1314" s="9"/>
      <c r="S1314" s="7" t="s">
        <v>54</v>
      </c>
      <c r="T1314" s="7" t="s">
        <v>3161</v>
      </c>
      <c r="U1314" s="7" t="s">
        <v>44</v>
      </c>
      <c r="V1314" s="7" t="s">
        <v>45</v>
      </c>
      <c r="W1314" s="7" t="s">
        <v>130</v>
      </c>
      <c r="X1314" s="7" t="s">
        <v>131</v>
      </c>
      <c r="Y1314" s="7" t="s">
        <v>3210</v>
      </c>
      <c r="Z1314" s="7" t="s">
        <v>152</v>
      </c>
      <c r="AA1314" s="7"/>
      <c r="AB1314" s="7"/>
      <c r="AC1314" s="7" t="s">
        <v>136</v>
      </c>
      <c r="AD1314" s="7"/>
      <c r="AE1314" s="7"/>
      <c r="AF1314" s="7" t="s">
        <v>50</v>
      </c>
      <c r="AG1314" s="7" t="s">
        <v>134</v>
      </c>
      <c r="AH1314" s="7" t="s">
        <v>141</v>
      </c>
    </row>
    <row r="1315" spans="1:34" ht="9.75" customHeight="1" x14ac:dyDescent="0.2">
      <c r="A1315" s="7" t="s">
        <v>37</v>
      </c>
      <c r="B1315" s="7" t="s">
        <v>38</v>
      </c>
      <c r="C1315" s="7"/>
      <c r="D1315" s="7" t="s">
        <v>3211</v>
      </c>
      <c r="E1315" s="8">
        <v>1</v>
      </c>
      <c r="F1315" s="7" t="s">
        <v>61</v>
      </c>
      <c r="G1315" s="7"/>
      <c r="H1315" s="9"/>
      <c r="I1315" s="10">
        <v>20862</v>
      </c>
      <c r="J1315" s="10">
        <v>0</v>
      </c>
      <c r="K1315" s="9"/>
      <c r="L1315" s="9"/>
      <c r="M1315" s="9"/>
      <c r="N1315" s="9"/>
      <c r="O1315" s="9"/>
      <c r="P1315" s="9"/>
      <c r="Q1315" s="9"/>
      <c r="R1315" s="9"/>
      <c r="S1315" s="7" t="s">
        <v>54</v>
      </c>
      <c r="T1315" s="7" t="s">
        <v>3161</v>
      </c>
      <c r="U1315" s="7" t="s">
        <v>44</v>
      </c>
      <c r="V1315" s="7" t="s">
        <v>45</v>
      </c>
      <c r="W1315" s="7" t="s">
        <v>130</v>
      </c>
      <c r="X1315" s="7" t="s">
        <v>131</v>
      </c>
      <c r="Y1315" s="7" t="s">
        <v>3212</v>
      </c>
      <c r="Z1315" s="7" t="s">
        <v>152</v>
      </c>
      <c r="AA1315" s="7"/>
      <c r="AB1315" s="7"/>
      <c r="AC1315" s="7" t="s">
        <v>136</v>
      </c>
      <c r="AD1315" s="7"/>
      <c r="AE1315" s="7" t="s">
        <v>3213</v>
      </c>
      <c r="AF1315" s="7" t="s">
        <v>50</v>
      </c>
      <c r="AG1315" s="7" t="s">
        <v>134</v>
      </c>
      <c r="AH1315" s="7" t="s">
        <v>141</v>
      </c>
    </row>
    <row r="1316" spans="1:34" ht="9.75" customHeight="1" x14ac:dyDescent="0.2">
      <c r="A1316" s="7" t="s">
        <v>37</v>
      </c>
      <c r="B1316" s="7" t="s">
        <v>38</v>
      </c>
      <c r="C1316" s="7"/>
      <c r="D1316" s="7" t="s">
        <v>3214</v>
      </c>
      <c r="E1316" s="8">
        <v>1</v>
      </c>
      <c r="F1316" s="7" t="s">
        <v>61</v>
      </c>
      <c r="G1316" s="7"/>
      <c r="H1316" s="9"/>
      <c r="I1316" s="10">
        <v>0</v>
      </c>
      <c r="J1316" s="9"/>
      <c r="K1316" s="9"/>
      <c r="L1316" s="9"/>
      <c r="M1316" s="9"/>
      <c r="N1316" s="9"/>
      <c r="O1316" s="9"/>
      <c r="P1316" s="9"/>
      <c r="Q1316" s="9"/>
      <c r="R1316" s="9"/>
      <c r="S1316" s="7" t="s">
        <v>54</v>
      </c>
      <c r="T1316" s="7" t="s">
        <v>3161</v>
      </c>
      <c r="U1316" s="7" t="s">
        <v>44</v>
      </c>
      <c r="V1316" s="7" t="s">
        <v>45</v>
      </c>
      <c r="W1316" s="7" t="s">
        <v>130</v>
      </c>
      <c r="X1316" s="7" t="s">
        <v>131</v>
      </c>
      <c r="Y1316" s="7" t="s">
        <v>3215</v>
      </c>
      <c r="Z1316" s="7" t="s">
        <v>3216</v>
      </c>
      <c r="AA1316" s="7"/>
      <c r="AB1316" s="7"/>
      <c r="AC1316" s="7" t="s">
        <v>136</v>
      </c>
      <c r="AD1316" s="7"/>
      <c r="AE1316" s="7"/>
      <c r="AF1316" s="7" t="s">
        <v>50</v>
      </c>
      <c r="AG1316" s="7" t="s">
        <v>134</v>
      </c>
      <c r="AH1316" s="7" t="s">
        <v>141</v>
      </c>
    </row>
    <row r="1317" spans="1:34" ht="9.75" customHeight="1" x14ac:dyDescent="0.2">
      <c r="A1317" s="7" t="s">
        <v>37</v>
      </c>
      <c r="B1317" s="7" t="s">
        <v>38</v>
      </c>
      <c r="C1317" s="7"/>
      <c r="D1317" s="7" t="s">
        <v>3217</v>
      </c>
      <c r="E1317" s="8">
        <v>1</v>
      </c>
      <c r="F1317" s="7" t="s">
        <v>61</v>
      </c>
      <c r="G1317" s="7"/>
      <c r="H1317" s="9"/>
      <c r="I1317" s="10">
        <v>0</v>
      </c>
      <c r="J1317" s="9"/>
      <c r="K1317" s="9"/>
      <c r="L1317" s="9"/>
      <c r="M1317" s="9"/>
      <c r="N1317" s="9"/>
      <c r="O1317" s="9"/>
      <c r="P1317" s="9"/>
      <c r="Q1317" s="9"/>
      <c r="R1317" s="9"/>
      <c r="S1317" s="7" t="s">
        <v>54</v>
      </c>
      <c r="T1317" s="7" t="s">
        <v>3161</v>
      </c>
      <c r="U1317" s="7" t="s">
        <v>44</v>
      </c>
      <c r="V1317" s="7" t="s">
        <v>45</v>
      </c>
      <c r="W1317" s="7" t="s">
        <v>130</v>
      </c>
      <c r="X1317" s="7" t="s">
        <v>131</v>
      </c>
      <c r="Y1317" s="7" t="s">
        <v>3218</v>
      </c>
      <c r="Z1317" s="7" t="s">
        <v>3216</v>
      </c>
      <c r="AA1317" s="7"/>
      <c r="AB1317" s="7"/>
      <c r="AC1317" s="7" t="s">
        <v>136</v>
      </c>
      <c r="AD1317" s="7"/>
      <c r="AE1317" s="7"/>
      <c r="AF1317" s="7" t="s">
        <v>50</v>
      </c>
      <c r="AG1317" s="7" t="s">
        <v>134</v>
      </c>
      <c r="AH1317" s="7" t="s">
        <v>141</v>
      </c>
    </row>
    <row r="1318" spans="1:34" ht="9.75" customHeight="1" x14ac:dyDescent="0.2">
      <c r="A1318" s="7" t="s">
        <v>37</v>
      </c>
      <c r="B1318" s="7" t="s">
        <v>38</v>
      </c>
      <c r="C1318" s="7"/>
      <c r="D1318" s="7" t="s">
        <v>3219</v>
      </c>
      <c r="E1318" s="8">
        <v>1</v>
      </c>
      <c r="F1318" s="7" t="s">
        <v>61</v>
      </c>
      <c r="G1318" s="7"/>
      <c r="H1318" s="9"/>
      <c r="I1318" s="10">
        <v>0</v>
      </c>
      <c r="J1318" s="9"/>
      <c r="K1318" s="9"/>
      <c r="L1318" s="9"/>
      <c r="M1318" s="9"/>
      <c r="N1318" s="9"/>
      <c r="O1318" s="9"/>
      <c r="P1318" s="9"/>
      <c r="Q1318" s="9"/>
      <c r="R1318" s="9"/>
      <c r="S1318" s="7" t="s">
        <v>54</v>
      </c>
      <c r="T1318" s="7" t="s">
        <v>3161</v>
      </c>
      <c r="U1318" s="7" t="s">
        <v>44</v>
      </c>
      <c r="V1318" s="7" t="s">
        <v>45</v>
      </c>
      <c r="W1318" s="7" t="s">
        <v>130</v>
      </c>
      <c r="X1318" s="7" t="s">
        <v>131</v>
      </c>
      <c r="Y1318" s="7" t="s">
        <v>3220</v>
      </c>
      <c r="Z1318" s="7" t="s">
        <v>3216</v>
      </c>
      <c r="AA1318" s="7"/>
      <c r="AB1318" s="7"/>
      <c r="AC1318" s="7" t="s">
        <v>136</v>
      </c>
      <c r="AD1318" s="7"/>
      <c r="AE1318" s="7"/>
      <c r="AF1318" s="7" t="s">
        <v>50</v>
      </c>
      <c r="AG1318" s="7" t="s">
        <v>134</v>
      </c>
      <c r="AH1318" s="7" t="s">
        <v>141</v>
      </c>
    </row>
    <row r="1319" spans="1:34" ht="9.75" customHeight="1" x14ac:dyDescent="0.2">
      <c r="A1319" s="7" t="s">
        <v>37</v>
      </c>
      <c r="B1319" s="7" t="s">
        <v>38</v>
      </c>
      <c r="C1319" s="7"/>
      <c r="D1319" s="7" t="s">
        <v>3221</v>
      </c>
      <c r="E1319" s="8">
        <v>1</v>
      </c>
      <c r="F1319" s="7" t="s">
        <v>61</v>
      </c>
      <c r="G1319" s="7"/>
      <c r="H1319" s="9"/>
      <c r="I1319" s="10">
        <v>0</v>
      </c>
      <c r="J1319" s="9"/>
      <c r="K1319" s="9"/>
      <c r="L1319" s="9"/>
      <c r="M1319" s="9"/>
      <c r="N1319" s="9"/>
      <c r="O1319" s="9"/>
      <c r="P1319" s="9"/>
      <c r="Q1319" s="9"/>
      <c r="R1319" s="9"/>
      <c r="S1319" s="7" t="s">
        <v>54</v>
      </c>
      <c r="T1319" s="7" t="s">
        <v>3161</v>
      </c>
      <c r="U1319" s="7" t="s">
        <v>44</v>
      </c>
      <c r="V1319" s="7" t="s">
        <v>45</v>
      </c>
      <c r="W1319" s="7" t="s">
        <v>130</v>
      </c>
      <c r="X1319" s="7" t="s">
        <v>131</v>
      </c>
      <c r="Y1319" s="7" t="s">
        <v>3222</v>
      </c>
      <c r="Z1319" s="7" t="s">
        <v>3216</v>
      </c>
      <c r="AA1319" s="7"/>
      <c r="AB1319" s="7"/>
      <c r="AC1319" s="7" t="s">
        <v>136</v>
      </c>
      <c r="AD1319" s="7"/>
      <c r="AE1319" s="7"/>
      <c r="AF1319" s="7" t="s">
        <v>50</v>
      </c>
      <c r="AG1319" s="7" t="s">
        <v>134</v>
      </c>
      <c r="AH1319" s="7" t="s">
        <v>141</v>
      </c>
    </row>
    <row r="1320" spans="1:34" ht="9.75" customHeight="1" x14ac:dyDescent="0.2">
      <c r="A1320" s="7" t="s">
        <v>37</v>
      </c>
      <c r="B1320" s="7" t="s">
        <v>38</v>
      </c>
      <c r="C1320" s="7"/>
      <c r="D1320" s="7" t="s">
        <v>3223</v>
      </c>
      <c r="E1320" s="8">
        <v>1</v>
      </c>
      <c r="F1320" s="7" t="s">
        <v>61</v>
      </c>
      <c r="G1320" s="7"/>
      <c r="H1320" s="9"/>
      <c r="I1320" s="10">
        <v>0</v>
      </c>
      <c r="J1320" s="9"/>
      <c r="K1320" s="9"/>
      <c r="L1320" s="9"/>
      <c r="M1320" s="9"/>
      <c r="N1320" s="9"/>
      <c r="O1320" s="9"/>
      <c r="P1320" s="9"/>
      <c r="Q1320" s="9"/>
      <c r="R1320" s="9"/>
      <c r="S1320" s="7" t="s">
        <v>54</v>
      </c>
      <c r="T1320" s="7" t="s">
        <v>3161</v>
      </c>
      <c r="U1320" s="7" t="s">
        <v>44</v>
      </c>
      <c r="V1320" s="7" t="s">
        <v>45</v>
      </c>
      <c r="W1320" s="7" t="s">
        <v>130</v>
      </c>
      <c r="X1320" s="7" t="s">
        <v>131</v>
      </c>
      <c r="Y1320" s="7" t="s">
        <v>3224</v>
      </c>
      <c r="Z1320" s="7" t="s">
        <v>3216</v>
      </c>
      <c r="AA1320" s="7"/>
      <c r="AB1320" s="7"/>
      <c r="AC1320" s="7" t="s">
        <v>136</v>
      </c>
      <c r="AD1320" s="7"/>
      <c r="AE1320" s="7"/>
      <c r="AF1320" s="7" t="s">
        <v>50</v>
      </c>
      <c r="AG1320" s="7" t="s">
        <v>134</v>
      </c>
      <c r="AH1320" s="7" t="s">
        <v>141</v>
      </c>
    </row>
    <row r="1321" spans="1:34" ht="9.75" customHeight="1" x14ac:dyDescent="0.2">
      <c r="A1321" s="7" t="s">
        <v>37</v>
      </c>
      <c r="B1321" s="7" t="s">
        <v>38</v>
      </c>
      <c r="C1321" s="7"/>
      <c r="D1321" s="7" t="s">
        <v>3225</v>
      </c>
      <c r="E1321" s="8">
        <v>1</v>
      </c>
      <c r="F1321" s="7" t="s">
        <v>61</v>
      </c>
      <c r="G1321" s="7"/>
      <c r="H1321" s="9"/>
      <c r="I1321" s="10">
        <v>0</v>
      </c>
      <c r="J1321" s="9"/>
      <c r="K1321" s="9"/>
      <c r="L1321" s="9"/>
      <c r="M1321" s="9"/>
      <c r="N1321" s="9"/>
      <c r="O1321" s="9"/>
      <c r="P1321" s="9"/>
      <c r="Q1321" s="9"/>
      <c r="R1321" s="9"/>
      <c r="S1321" s="7" t="s">
        <v>54</v>
      </c>
      <c r="T1321" s="7" t="s">
        <v>3161</v>
      </c>
      <c r="U1321" s="7" t="s">
        <v>44</v>
      </c>
      <c r="V1321" s="7" t="s">
        <v>45</v>
      </c>
      <c r="W1321" s="7" t="s">
        <v>130</v>
      </c>
      <c r="X1321" s="7" t="s">
        <v>131</v>
      </c>
      <c r="Y1321" s="7" t="s">
        <v>3226</v>
      </c>
      <c r="Z1321" s="7" t="s">
        <v>3216</v>
      </c>
      <c r="AA1321" s="7"/>
      <c r="AB1321" s="7"/>
      <c r="AC1321" s="7" t="s">
        <v>136</v>
      </c>
      <c r="AD1321" s="7"/>
      <c r="AE1321" s="7"/>
      <c r="AF1321" s="7" t="s">
        <v>50</v>
      </c>
      <c r="AG1321" s="7" t="s">
        <v>134</v>
      </c>
      <c r="AH1321" s="7" t="s">
        <v>141</v>
      </c>
    </row>
    <row r="1322" spans="1:34" ht="9.75" customHeight="1" x14ac:dyDescent="0.2">
      <c r="A1322" s="7" t="s">
        <v>37</v>
      </c>
      <c r="B1322" s="7" t="s">
        <v>38</v>
      </c>
      <c r="C1322" s="7"/>
      <c r="D1322" s="7" t="s">
        <v>3227</v>
      </c>
      <c r="E1322" s="8">
        <v>1</v>
      </c>
      <c r="F1322" s="7" t="s">
        <v>61</v>
      </c>
      <c r="G1322" s="7"/>
      <c r="H1322" s="9"/>
      <c r="I1322" s="10">
        <v>0</v>
      </c>
      <c r="J1322" s="9"/>
      <c r="K1322" s="9"/>
      <c r="L1322" s="9"/>
      <c r="M1322" s="9"/>
      <c r="N1322" s="9"/>
      <c r="O1322" s="9"/>
      <c r="P1322" s="9"/>
      <c r="Q1322" s="9"/>
      <c r="R1322" s="9"/>
      <c r="S1322" s="7" t="s">
        <v>54</v>
      </c>
      <c r="T1322" s="7" t="s">
        <v>3161</v>
      </c>
      <c r="U1322" s="7" t="s">
        <v>44</v>
      </c>
      <c r="V1322" s="7" t="s">
        <v>45</v>
      </c>
      <c r="W1322" s="7" t="s">
        <v>130</v>
      </c>
      <c r="X1322" s="7" t="s">
        <v>131</v>
      </c>
      <c r="Y1322" s="7" t="s">
        <v>3228</v>
      </c>
      <c r="Z1322" s="7" t="s">
        <v>3216</v>
      </c>
      <c r="AA1322" s="7"/>
      <c r="AB1322" s="7"/>
      <c r="AC1322" s="7" t="s">
        <v>136</v>
      </c>
      <c r="AD1322" s="7"/>
      <c r="AE1322" s="7"/>
      <c r="AF1322" s="7" t="s">
        <v>50</v>
      </c>
      <c r="AG1322" s="7" t="s">
        <v>134</v>
      </c>
      <c r="AH1322" s="7" t="s">
        <v>141</v>
      </c>
    </row>
    <row r="1323" spans="1:34" ht="9.75" customHeight="1" x14ac:dyDescent="0.2">
      <c r="A1323" s="7" t="s">
        <v>37</v>
      </c>
      <c r="B1323" s="7" t="s">
        <v>38</v>
      </c>
      <c r="C1323" s="7"/>
      <c r="D1323" s="7" t="s">
        <v>3229</v>
      </c>
      <c r="E1323" s="8">
        <v>1</v>
      </c>
      <c r="F1323" s="7" t="s">
        <v>61</v>
      </c>
      <c r="G1323" s="7"/>
      <c r="H1323" s="9"/>
      <c r="I1323" s="10">
        <v>0</v>
      </c>
      <c r="J1323" s="9"/>
      <c r="K1323" s="9"/>
      <c r="L1323" s="9"/>
      <c r="M1323" s="9"/>
      <c r="N1323" s="9"/>
      <c r="O1323" s="9"/>
      <c r="P1323" s="9"/>
      <c r="Q1323" s="9"/>
      <c r="R1323" s="9"/>
      <c r="S1323" s="7" t="s">
        <v>54</v>
      </c>
      <c r="T1323" s="7" t="s">
        <v>3161</v>
      </c>
      <c r="U1323" s="7" t="s">
        <v>44</v>
      </c>
      <c r="V1323" s="7" t="s">
        <v>45</v>
      </c>
      <c r="W1323" s="7" t="s">
        <v>130</v>
      </c>
      <c r="X1323" s="7" t="s">
        <v>131</v>
      </c>
      <c r="Y1323" s="7" t="s">
        <v>3230</v>
      </c>
      <c r="Z1323" s="7" t="s">
        <v>3216</v>
      </c>
      <c r="AA1323" s="7"/>
      <c r="AB1323" s="7"/>
      <c r="AC1323" s="7" t="s">
        <v>136</v>
      </c>
      <c r="AD1323" s="7"/>
      <c r="AE1323" s="7"/>
      <c r="AF1323" s="7" t="s">
        <v>50</v>
      </c>
      <c r="AG1323" s="7" t="s">
        <v>134</v>
      </c>
      <c r="AH1323" s="7" t="s">
        <v>141</v>
      </c>
    </row>
    <row r="1324" spans="1:34" ht="9.75" customHeight="1" x14ac:dyDescent="0.2">
      <c r="A1324" s="7" t="s">
        <v>37</v>
      </c>
      <c r="B1324" s="7" t="s">
        <v>38</v>
      </c>
      <c r="C1324" s="7"/>
      <c r="D1324" s="7" t="s">
        <v>3231</v>
      </c>
      <c r="E1324" s="8">
        <v>1</v>
      </c>
      <c r="F1324" s="7" t="s">
        <v>61</v>
      </c>
      <c r="G1324" s="7"/>
      <c r="H1324" s="9"/>
      <c r="I1324" s="10">
        <v>0</v>
      </c>
      <c r="J1324" s="9"/>
      <c r="K1324" s="9"/>
      <c r="L1324" s="9"/>
      <c r="M1324" s="9"/>
      <c r="N1324" s="9"/>
      <c r="O1324" s="9"/>
      <c r="P1324" s="9"/>
      <c r="Q1324" s="9"/>
      <c r="R1324" s="9"/>
      <c r="S1324" s="7" t="s">
        <v>54</v>
      </c>
      <c r="T1324" s="7" t="s">
        <v>3161</v>
      </c>
      <c r="U1324" s="7" t="s">
        <v>44</v>
      </c>
      <c r="V1324" s="7" t="s">
        <v>45</v>
      </c>
      <c r="W1324" s="7" t="s">
        <v>130</v>
      </c>
      <c r="X1324" s="7" t="s">
        <v>131</v>
      </c>
      <c r="Y1324" s="7" t="s">
        <v>3232</v>
      </c>
      <c r="Z1324" s="7" t="s">
        <v>3216</v>
      </c>
      <c r="AA1324" s="7"/>
      <c r="AB1324" s="7"/>
      <c r="AC1324" s="7" t="s">
        <v>136</v>
      </c>
      <c r="AD1324" s="7"/>
      <c r="AE1324" s="7"/>
      <c r="AF1324" s="7" t="s">
        <v>50</v>
      </c>
      <c r="AG1324" s="7" t="s">
        <v>134</v>
      </c>
      <c r="AH1324" s="7" t="s">
        <v>141</v>
      </c>
    </row>
    <row r="1325" spans="1:34" ht="9.75" customHeight="1" x14ac:dyDescent="0.2">
      <c r="A1325" s="7" t="s">
        <v>37</v>
      </c>
      <c r="B1325" s="7" t="s">
        <v>38</v>
      </c>
      <c r="C1325" s="7"/>
      <c r="D1325" s="7" t="s">
        <v>3233</v>
      </c>
      <c r="E1325" s="8">
        <v>1</v>
      </c>
      <c r="F1325" s="7" t="s">
        <v>61</v>
      </c>
      <c r="G1325" s="7"/>
      <c r="H1325" s="9"/>
      <c r="I1325" s="10">
        <v>0</v>
      </c>
      <c r="J1325" s="9"/>
      <c r="K1325" s="9"/>
      <c r="L1325" s="9"/>
      <c r="M1325" s="9"/>
      <c r="N1325" s="9"/>
      <c r="O1325" s="9"/>
      <c r="P1325" s="9"/>
      <c r="Q1325" s="9"/>
      <c r="R1325" s="9"/>
      <c r="S1325" s="7" t="s">
        <v>54</v>
      </c>
      <c r="T1325" s="7" t="s">
        <v>3161</v>
      </c>
      <c r="U1325" s="7" t="s">
        <v>44</v>
      </c>
      <c r="V1325" s="7" t="s">
        <v>45</v>
      </c>
      <c r="W1325" s="7" t="s">
        <v>130</v>
      </c>
      <c r="X1325" s="7" t="s">
        <v>131</v>
      </c>
      <c r="Y1325" s="7" t="s">
        <v>3234</v>
      </c>
      <c r="Z1325" s="7" t="s">
        <v>3216</v>
      </c>
      <c r="AA1325" s="7"/>
      <c r="AB1325" s="7"/>
      <c r="AC1325" s="7" t="s">
        <v>136</v>
      </c>
      <c r="AD1325" s="7"/>
      <c r="AE1325" s="7"/>
      <c r="AF1325" s="7" t="s">
        <v>50</v>
      </c>
      <c r="AG1325" s="7" t="s">
        <v>134</v>
      </c>
      <c r="AH1325" s="7" t="s">
        <v>141</v>
      </c>
    </row>
    <row r="1326" spans="1:34" ht="9.75" customHeight="1" x14ac:dyDescent="0.2">
      <c r="A1326" s="7" t="s">
        <v>37</v>
      </c>
      <c r="B1326" s="7" t="s">
        <v>38</v>
      </c>
      <c r="C1326" s="7"/>
      <c r="D1326" s="7" t="s">
        <v>3235</v>
      </c>
      <c r="E1326" s="8">
        <v>1</v>
      </c>
      <c r="F1326" s="7" t="s">
        <v>61</v>
      </c>
      <c r="G1326" s="7"/>
      <c r="H1326" s="9"/>
      <c r="I1326" s="10">
        <v>0</v>
      </c>
      <c r="J1326" s="9"/>
      <c r="K1326" s="9"/>
      <c r="L1326" s="9"/>
      <c r="M1326" s="9"/>
      <c r="N1326" s="9"/>
      <c r="O1326" s="9"/>
      <c r="P1326" s="9"/>
      <c r="Q1326" s="9"/>
      <c r="R1326" s="9"/>
      <c r="S1326" s="7" t="s">
        <v>54</v>
      </c>
      <c r="T1326" s="7" t="s">
        <v>3161</v>
      </c>
      <c r="U1326" s="7" t="s">
        <v>44</v>
      </c>
      <c r="V1326" s="7" t="s">
        <v>45</v>
      </c>
      <c r="W1326" s="7" t="s">
        <v>130</v>
      </c>
      <c r="X1326" s="7" t="s">
        <v>131</v>
      </c>
      <c r="Y1326" s="7" t="s">
        <v>3236</v>
      </c>
      <c r="Z1326" s="7" t="s">
        <v>3216</v>
      </c>
      <c r="AA1326" s="7"/>
      <c r="AB1326" s="7"/>
      <c r="AC1326" s="7" t="s">
        <v>136</v>
      </c>
      <c r="AD1326" s="7"/>
      <c r="AE1326" s="7"/>
      <c r="AF1326" s="7" t="s">
        <v>50</v>
      </c>
      <c r="AG1326" s="7" t="s">
        <v>134</v>
      </c>
      <c r="AH1326" s="7" t="s">
        <v>141</v>
      </c>
    </row>
    <row r="1327" spans="1:34" ht="9.75" customHeight="1" x14ac:dyDescent="0.2">
      <c r="A1327" s="7" t="s">
        <v>37</v>
      </c>
      <c r="B1327" s="7" t="s">
        <v>38</v>
      </c>
      <c r="C1327" s="7"/>
      <c r="D1327" s="7" t="s">
        <v>3200</v>
      </c>
      <c r="E1327" s="8">
        <v>1</v>
      </c>
      <c r="F1327" s="7" t="s">
        <v>61</v>
      </c>
      <c r="G1327" s="7"/>
      <c r="H1327" s="9"/>
      <c r="I1327" s="10">
        <v>0</v>
      </c>
      <c r="J1327" s="9"/>
      <c r="K1327" s="9"/>
      <c r="L1327" s="9"/>
      <c r="M1327" s="9"/>
      <c r="N1327" s="9"/>
      <c r="O1327" s="9"/>
      <c r="P1327" s="9"/>
      <c r="Q1327" s="9"/>
      <c r="R1327" s="9"/>
      <c r="S1327" s="7" t="s">
        <v>54</v>
      </c>
      <c r="T1327" s="7" t="s">
        <v>3161</v>
      </c>
      <c r="U1327" s="7" t="s">
        <v>44</v>
      </c>
      <c r="V1327" s="7" t="s">
        <v>45</v>
      </c>
      <c r="W1327" s="7" t="s">
        <v>130</v>
      </c>
      <c r="X1327" s="7" t="s">
        <v>131</v>
      </c>
      <c r="Y1327" s="7" t="s">
        <v>3201</v>
      </c>
      <c r="Z1327" s="7" t="s">
        <v>3216</v>
      </c>
      <c r="AA1327" s="7"/>
      <c r="AB1327" s="7"/>
      <c r="AC1327" s="7" t="s">
        <v>136</v>
      </c>
      <c r="AD1327" s="7"/>
      <c r="AE1327" s="7"/>
      <c r="AF1327" s="7" t="s">
        <v>50</v>
      </c>
      <c r="AG1327" s="7" t="s">
        <v>134</v>
      </c>
      <c r="AH1327" s="7" t="s">
        <v>141</v>
      </c>
    </row>
    <row r="1328" spans="1:34" ht="9.75" customHeight="1" x14ac:dyDescent="0.2">
      <c r="A1328" s="7" t="s">
        <v>37</v>
      </c>
      <c r="B1328" s="7" t="s">
        <v>38</v>
      </c>
      <c r="C1328" s="7"/>
      <c r="D1328" s="7" t="s">
        <v>3237</v>
      </c>
      <c r="E1328" s="8">
        <v>1</v>
      </c>
      <c r="F1328" s="7" t="s">
        <v>61</v>
      </c>
      <c r="G1328" s="7"/>
      <c r="H1328" s="9"/>
      <c r="I1328" s="10">
        <v>0</v>
      </c>
      <c r="J1328" s="9"/>
      <c r="K1328" s="9"/>
      <c r="L1328" s="9"/>
      <c r="M1328" s="9"/>
      <c r="N1328" s="9"/>
      <c r="O1328" s="9"/>
      <c r="P1328" s="9"/>
      <c r="Q1328" s="9"/>
      <c r="R1328" s="9"/>
      <c r="S1328" s="7" t="s">
        <v>54</v>
      </c>
      <c r="T1328" s="7" t="s">
        <v>3161</v>
      </c>
      <c r="U1328" s="7" t="s">
        <v>44</v>
      </c>
      <c r="V1328" s="7" t="s">
        <v>45</v>
      </c>
      <c r="W1328" s="7" t="s">
        <v>130</v>
      </c>
      <c r="X1328" s="7" t="s">
        <v>131</v>
      </c>
      <c r="Y1328" s="7" t="s">
        <v>3238</v>
      </c>
      <c r="Z1328" s="7" t="s">
        <v>3216</v>
      </c>
      <c r="AA1328" s="7"/>
      <c r="AB1328" s="7"/>
      <c r="AC1328" s="7" t="s">
        <v>136</v>
      </c>
      <c r="AD1328" s="7"/>
      <c r="AE1328" s="7"/>
      <c r="AF1328" s="7" t="s">
        <v>50</v>
      </c>
      <c r="AG1328" s="7" t="s">
        <v>134</v>
      </c>
      <c r="AH1328" s="7" t="s">
        <v>141</v>
      </c>
    </row>
    <row r="1329" spans="1:34" ht="9.75" customHeight="1" x14ac:dyDescent="0.2">
      <c r="A1329" s="7" t="s">
        <v>37</v>
      </c>
      <c r="B1329" s="7" t="s">
        <v>38</v>
      </c>
      <c r="C1329" s="7"/>
      <c r="D1329" s="7" t="s">
        <v>3239</v>
      </c>
      <c r="E1329" s="8">
        <v>1</v>
      </c>
      <c r="F1329" s="7" t="s">
        <v>61</v>
      </c>
      <c r="G1329" s="7"/>
      <c r="H1329" s="9"/>
      <c r="I1329" s="10">
        <v>0</v>
      </c>
      <c r="J1329" s="9"/>
      <c r="K1329" s="9"/>
      <c r="L1329" s="9"/>
      <c r="M1329" s="9"/>
      <c r="N1329" s="9"/>
      <c r="O1329" s="9"/>
      <c r="P1329" s="9"/>
      <c r="Q1329" s="9"/>
      <c r="R1329" s="9"/>
      <c r="S1329" s="7" t="s">
        <v>54</v>
      </c>
      <c r="T1329" s="7" t="s">
        <v>3161</v>
      </c>
      <c r="U1329" s="7" t="s">
        <v>44</v>
      </c>
      <c r="V1329" s="7" t="s">
        <v>45</v>
      </c>
      <c r="W1329" s="7" t="s">
        <v>130</v>
      </c>
      <c r="X1329" s="7" t="s">
        <v>131</v>
      </c>
      <c r="Y1329" s="7" t="s">
        <v>3240</v>
      </c>
      <c r="Z1329" s="7" t="s">
        <v>3216</v>
      </c>
      <c r="AA1329" s="7"/>
      <c r="AB1329" s="7"/>
      <c r="AC1329" s="7" t="s">
        <v>136</v>
      </c>
      <c r="AD1329" s="7"/>
      <c r="AE1329" s="7"/>
      <c r="AF1329" s="7" t="s">
        <v>50</v>
      </c>
      <c r="AG1329" s="7" t="s">
        <v>134</v>
      </c>
      <c r="AH1329" s="7" t="s">
        <v>141</v>
      </c>
    </row>
    <row r="1330" spans="1:34" ht="9.75" customHeight="1" x14ac:dyDescent="0.2">
      <c r="A1330" s="7" t="s">
        <v>37</v>
      </c>
      <c r="B1330" s="7" t="s">
        <v>38</v>
      </c>
      <c r="C1330" s="7"/>
      <c r="D1330" s="7" t="s">
        <v>3241</v>
      </c>
      <c r="E1330" s="8">
        <v>1</v>
      </c>
      <c r="F1330" s="7" t="s">
        <v>61</v>
      </c>
      <c r="G1330" s="7"/>
      <c r="H1330" s="9"/>
      <c r="I1330" s="10">
        <v>0</v>
      </c>
      <c r="J1330" s="9"/>
      <c r="K1330" s="9"/>
      <c r="L1330" s="9"/>
      <c r="M1330" s="9"/>
      <c r="N1330" s="9"/>
      <c r="O1330" s="9"/>
      <c r="P1330" s="9"/>
      <c r="Q1330" s="9"/>
      <c r="R1330" s="9"/>
      <c r="S1330" s="7" t="s">
        <v>54</v>
      </c>
      <c r="T1330" s="7" t="s">
        <v>3161</v>
      </c>
      <c r="U1330" s="7" t="s">
        <v>44</v>
      </c>
      <c r="V1330" s="7" t="s">
        <v>45</v>
      </c>
      <c r="W1330" s="7" t="s">
        <v>130</v>
      </c>
      <c r="X1330" s="7" t="s">
        <v>131</v>
      </c>
      <c r="Y1330" s="7" t="s">
        <v>3242</v>
      </c>
      <c r="Z1330" s="7" t="s">
        <v>3216</v>
      </c>
      <c r="AA1330" s="7"/>
      <c r="AB1330" s="7"/>
      <c r="AC1330" s="7" t="s">
        <v>136</v>
      </c>
      <c r="AD1330" s="7"/>
      <c r="AE1330" s="7"/>
      <c r="AF1330" s="7" t="s">
        <v>50</v>
      </c>
      <c r="AG1330" s="7" t="s">
        <v>134</v>
      </c>
      <c r="AH1330" s="7" t="s">
        <v>141</v>
      </c>
    </row>
    <row r="1331" spans="1:34" ht="9.75" customHeight="1" x14ac:dyDescent="0.2">
      <c r="A1331" s="7" t="s">
        <v>37</v>
      </c>
      <c r="B1331" s="7" t="s">
        <v>38</v>
      </c>
      <c r="C1331" s="7"/>
      <c r="D1331" s="7" t="s">
        <v>3243</v>
      </c>
      <c r="E1331" s="8">
        <v>1</v>
      </c>
      <c r="F1331" s="7" t="s">
        <v>61</v>
      </c>
      <c r="G1331" s="7"/>
      <c r="H1331" s="9"/>
      <c r="I1331" s="10">
        <v>0</v>
      </c>
      <c r="J1331" s="9"/>
      <c r="K1331" s="9"/>
      <c r="L1331" s="9"/>
      <c r="M1331" s="9"/>
      <c r="N1331" s="9"/>
      <c r="O1331" s="9"/>
      <c r="P1331" s="9"/>
      <c r="Q1331" s="9"/>
      <c r="R1331" s="9"/>
      <c r="S1331" s="7" t="s">
        <v>54</v>
      </c>
      <c r="T1331" s="7" t="s">
        <v>3161</v>
      </c>
      <c r="U1331" s="7" t="s">
        <v>44</v>
      </c>
      <c r="V1331" s="7" t="s">
        <v>45</v>
      </c>
      <c r="W1331" s="7" t="s">
        <v>130</v>
      </c>
      <c r="X1331" s="7" t="s">
        <v>131</v>
      </c>
      <c r="Y1331" s="7" t="s">
        <v>3244</v>
      </c>
      <c r="Z1331" s="7" t="s">
        <v>3216</v>
      </c>
      <c r="AA1331" s="7"/>
      <c r="AB1331" s="7"/>
      <c r="AC1331" s="7" t="s">
        <v>136</v>
      </c>
      <c r="AD1331" s="7"/>
      <c r="AE1331" s="7"/>
      <c r="AF1331" s="7" t="s">
        <v>50</v>
      </c>
      <c r="AG1331" s="7" t="s">
        <v>134</v>
      </c>
      <c r="AH1331" s="7" t="s">
        <v>141</v>
      </c>
    </row>
    <row r="1332" spans="1:34" ht="9.75" customHeight="1" x14ac:dyDescent="0.2">
      <c r="A1332" s="7" t="s">
        <v>37</v>
      </c>
      <c r="B1332" s="7" t="s">
        <v>38</v>
      </c>
      <c r="C1332" s="7"/>
      <c r="D1332" s="7" t="s">
        <v>3245</v>
      </c>
      <c r="E1332" s="8">
        <v>1</v>
      </c>
      <c r="F1332" s="7" t="s">
        <v>41</v>
      </c>
      <c r="G1332" s="7"/>
      <c r="H1332" s="9"/>
      <c r="I1332" s="9"/>
      <c r="J1332" s="9"/>
      <c r="K1332" s="9"/>
      <c r="L1332" s="9"/>
      <c r="M1332" s="9"/>
      <c r="N1332" s="9"/>
      <c r="O1332" s="9"/>
      <c r="P1332" s="9"/>
      <c r="Q1332" s="9"/>
      <c r="R1332" s="9"/>
      <c r="S1332" s="7" t="s">
        <v>407</v>
      </c>
      <c r="T1332" s="7" t="s">
        <v>3246</v>
      </c>
      <c r="U1332" s="7" t="s">
        <v>44</v>
      </c>
      <c r="V1332" s="7" t="s">
        <v>45</v>
      </c>
      <c r="W1332" s="7" t="s">
        <v>130</v>
      </c>
      <c r="X1332" s="7" t="s">
        <v>156</v>
      </c>
      <c r="Y1332" s="7" t="s">
        <v>3247</v>
      </c>
      <c r="Z1332" s="7" t="s">
        <v>3248</v>
      </c>
      <c r="AA1332" s="7"/>
      <c r="AB1332" s="7"/>
      <c r="AC1332" s="7" t="s">
        <v>153</v>
      </c>
      <c r="AD1332" s="7"/>
      <c r="AE1332" s="7" t="s">
        <v>410</v>
      </c>
      <c r="AF1332" s="7" t="s">
        <v>50</v>
      </c>
      <c r="AG1332" s="7" t="s">
        <v>159</v>
      </c>
      <c r="AH1332" s="7" t="s">
        <v>160</v>
      </c>
    </row>
    <row r="1333" spans="1:34" ht="9.75" customHeight="1" x14ac:dyDescent="0.2">
      <c r="A1333" s="7" t="s">
        <v>37</v>
      </c>
      <c r="B1333" s="7" t="s">
        <v>38</v>
      </c>
      <c r="C1333" s="7"/>
      <c r="D1333" s="7" t="s">
        <v>3249</v>
      </c>
      <c r="E1333" s="8">
        <v>1</v>
      </c>
      <c r="F1333" s="7" t="s">
        <v>41</v>
      </c>
      <c r="G1333" s="7"/>
      <c r="H1333" s="9"/>
      <c r="I1333" s="9"/>
      <c r="J1333" s="9"/>
      <c r="K1333" s="9"/>
      <c r="L1333" s="9"/>
      <c r="M1333" s="9"/>
      <c r="N1333" s="9"/>
      <c r="O1333" s="9"/>
      <c r="P1333" s="9"/>
      <c r="Q1333" s="9"/>
      <c r="R1333" s="9"/>
      <c r="S1333" s="7" t="s">
        <v>407</v>
      </c>
      <c r="T1333" s="7" t="s">
        <v>3246</v>
      </c>
      <c r="U1333" s="7" t="s">
        <v>44</v>
      </c>
      <c r="V1333" s="7" t="s">
        <v>45</v>
      </c>
      <c r="W1333" s="7" t="s">
        <v>130</v>
      </c>
      <c r="X1333" s="7" t="s">
        <v>156</v>
      </c>
      <c r="Y1333" s="7" t="s">
        <v>3250</v>
      </c>
      <c r="Z1333" s="7" t="s">
        <v>3248</v>
      </c>
      <c r="AA1333" s="7"/>
      <c r="AB1333" s="7"/>
      <c r="AC1333" s="7" t="s">
        <v>153</v>
      </c>
      <c r="AD1333" s="7"/>
      <c r="AE1333" s="7" t="s">
        <v>207</v>
      </c>
      <c r="AF1333" s="7" t="s">
        <v>50</v>
      </c>
      <c r="AG1333" s="7" t="s">
        <v>159</v>
      </c>
      <c r="AH1333" s="7" t="s">
        <v>160</v>
      </c>
    </row>
    <row r="1334" spans="1:34" ht="9.75" customHeight="1" x14ac:dyDescent="0.2">
      <c r="A1334" s="7" t="s">
        <v>37</v>
      </c>
      <c r="B1334" s="7" t="s">
        <v>38</v>
      </c>
      <c r="C1334" s="7"/>
      <c r="D1334" s="7" t="s">
        <v>3251</v>
      </c>
      <c r="E1334" s="8">
        <v>1</v>
      </c>
      <c r="F1334" s="7" t="s">
        <v>41</v>
      </c>
      <c r="G1334" s="7"/>
      <c r="H1334" s="9"/>
      <c r="I1334" s="9"/>
      <c r="J1334" s="9"/>
      <c r="K1334" s="9"/>
      <c r="L1334" s="9"/>
      <c r="M1334" s="9"/>
      <c r="N1334" s="9"/>
      <c r="O1334" s="9"/>
      <c r="P1334" s="9"/>
      <c r="Q1334" s="9"/>
      <c r="R1334" s="9"/>
      <c r="S1334" s="7" t="s">
        <v>407</v>
      </c>
      <c r="T1334" s="7" t="s">
        <v>3246</v>
      </c>
      <c r="U1334" s="7" t="s">
        <v>44</v>
      </c>
      <c r="V1334" s="7" t="s">
        <v>45</v>
      </c>
      <c r="W1334" s="7" t="s">
        <v>130</v>
      </c>
      <c r="X1334" s="7" t="s">
        <v>156</v>
      </c>
      <c r="Y1334" s="7" t="s">
        <v>3252</v>
      </c>
      <c r="Z1334" s="7" t="s">
        <v>3248</v>
      </c>
      <c r="AA1334" s="7"/>
      <c r="AB1334" s="7"/>
      <c r="AC1334" s="7" t="s">
        <v>153</v>
      </c>
      <c r="AD1334" s="7"/>
      <c r="AE1334" s="7" t="s">
        <v>415</v>
      </c>
      <c r="AF1334" s="7" t="s">
        <v>50</v>
      </c>
      <c r="AG1334" s="7" t="s">
        <v>159</v>
      </c>
      <c r="AH1334" s="7" t="s">
        <v>160</v>
      </c>
    </row>
    <row r="1335" spans="1:34" ht="9.75" customHeight="1" x14ac:dyDescent="0.2">
      <c r="A1335" s="7" t="s">
        <v>37</v>
      </c>
      <c r="B1335" s="7" t="s">
        <v>38</v>
      </c>
      <c r="C1335" s="7"/>
      <c r="D1335" s="7" t="s">
        <v>3253</v>
      </c>
      <c r="E1335" s="8">
        <v>1</v>
      </c>
      <c r="F1335" s="7" t="s">
        <v>41</v>
      </c>
      <c r="G1335" s="7"/>
      <c r="H1335" s="9"/>
      <c r="I1335" s="9"/>
      <c r="J1335" s="9"/>
      <c r="K1335" s="9"/>
      <c r="L1335" s="9"/>
      <c r="M1335" s="9"/>
      <c r="N1335" s="9"/>
      <c r="O1335" s="9"/>
      <c r="P1335" s="9"/>
      <c r="Q1335" s="9"/>
      <c r="R1335" s="9"/>
      <c r="S1335" s="7" t="s">
        <v>407</v>
      </c>
      <c r="T1335" s="7" t="s">
        <v>3246</v>
      </c>
      <c r="U1335" s="7" t="s">
        <v>44</v>
      </c>
      <c r="V1335" s="7" t="s">
        <v>45</v>
      </c>
      <c r="W1335" s="7" t="s">
        <v>130</v>
      </c>
      <c r="X1335" s="7" t="s">
        <v>156</v>
      </c>
      <c r="Y1335" s="7" t="s">
        <v>3254</v>
      </c>
      <c r="Z1335" s="7" t="s">
        <v>3248</v>
      </c>
      <c r="AA1335" s="7"/>
      <c r="AB1335" s="7"/>
      <c r="AC1335" s="7" t="s">
        <v>153</v>
      </c>
      <c r="AD1335" s="7"/>
      <c r="AE1335" s="7" t="s">
        <v>3255</v>
      </c>
      <c r="AF1335" s="7" t="s">
        <v>50</v>
      </c>
      <c r="AG1335" s="7" t="s">
        <v>159</v>
      </c>
      <c r="AH1335" s="7" t="s">
        <v>160</v>
      </c>
    </row>
    <row r="1336" spans="1:34" ht="9.75" customHeight="1" x14ac:dyDescent="0.2">
      <c r="A1336" s="7" t="s">
        <v>37</v>
      </c>
      <c r="B1336" s="7" t="s">
        <v>38</v>
      </c>
      <c r="C1336" s="7"/>
      <c r="D1336" s="7" t="s">
        <v>3256</v>
      </c>
      <c r="E1336" s="8">
        <v>1</v>
      </c>
      <c r="F1336" s="7" t="s">
        <v>41</v>
      </c>
      <c r="G1336" s="7"/>
      <c r="H1336" s="9"/>
      <c r="I1336" s="9"/>
      <c r="J1336" s="9"/>
      <c r="K1336" s="9"/>
      <c r="L1336" s="9"/>
      <c r="M1336" s="9"/>
      <c r="N1336" s="9"/>
      <c r="O1336" s="9"/>
      <c r="P1336" s="9"/>
      <c r="Q1336" s="9"/>
      <c r="R1336" s="9"/>
      <c r="S1336" s="7" t="s">
        <v>407</v>
      </c>
      <c r="T1336" s="7" t="s">
        <v>3246</v>
      </c>
      <c r="U1336" s="7" t="s">
        <v>44</v>
      </c>
      <c r="V1336" s="7" t="s">
        <v>45</v>
      </c>
      <c r="W1336" s="7" t="s">
        <v>130</v>
      </c>
      <c r="X1336" s="7" t="s">
        <v>156</v>
      </c>
      <c r="Y1336" s="7" t="s">
        <v>3257</v>
      </c>
      <c r="Z1336" s="7" t="s">
        <v>3248</v>
      </c>
      <c r="AA1336" s="7"/>
      <c r="AB1336" s="7"/>
      <c r="AC1336" s="7" t="s">
        <v>153</v>
      </c>
      <c r="AD1336" s="7"/>
      <c r="AE1336" s="7"/>
      <c r="AF1336" s="7" t="s">
        <v>50</v>
      </c>
      <c r="AG1336" s="7" t="s">
        <v>159</v>
      </c>
      <c r="AH1336" s="7" t="s">
        <v>160</v>
      </c>
    </row>
    <row r="1337" spans="1:34" ht="9.75" customHeight="1" x14ac:dyDescent="0.2">
      <c r="A1337" s="7" t="s">
        <v>37</v>
      </c>
      <c r="B1337" s="7" t="s">
        <v>38</v>
      </c>
      <c r="C1337" s="7"/>
      <c r="D1337" s="7" t="s">
        <v>3258</v>
      </c>
      <c r="E1337" s="8">
        <v>1</v>
      </c>
      <c r="F1337" s="7" t="s">
        <v>41</v>
      </c>
      <c r="G1337" s="7"/>
      <c r="H1337" s="9"/>
      <c r="I1337" s="9"/>
      <c r="J1337" s="9"/>
      <c r="K1337" s="9"/>
      <c r="L1337" s="9"/>
      <c r="M1337" s="9"/>
      <c r="N1337" s="9"/>
      <c r="O1337" s="9"/>
      <c r="P1337" s="9"/>
      <c r="Q1337" s="9"/>
      <c r="R1337" s="9"/>
      <c r="S1337" s="7" t="s">
        <v>407</v>
      </c>
      <c r="T1337" s="7" t="s">
        <v>3246</v>
      </c>
      <c r="U1337" s="7" t="s">
        <v>44</v>
      </c>
      <c r="V1337" s="7" t="s">
        <v>45</v>
      </c>
      <c r="W1337" s="7" t="s">
        <v>130</v>
      </c>
      <c r="X1337" s="7" t="s">
        <v>156</v>
      </c>
      <c r="Y1337" s="7" t="s">
        <v>3259</v>
      </c>
      <c r="Z1337" s="7" t="s">
        <v>3248</v>
      </c>
      <c r="AA1337" s="7"/>
      <c r="AB1337" s="7"/>
      <c r="AC1337" s="7" t="s">
        <v>153</v>
      </c>
      <c r="AD1337" s="7"/>
      <c r="AE1337" s="7" t="s">
        <v>907</v>
      </c>
      <c r="AF1337" s="7" t="s">
        <v>50</v>
      </c>
      <c r="AG1337" s="7" t="s">
        <v>159</v>
      </c>
      <c r="AH1337" s="7" t="s">
        <v>160</v>
      </c>
    </row>
    <row r="1338" spans="1:34" ht="9.75" customHeight="1" x14ac:dyDescent="0.2">
      <c r="A1338" s="7" t="s">
        <v>37</v>
      </c>
      <c r="B1338" s="7" t="s">
        <v>38</v>
      </c>
      <c r="C1338" s="7"/>
      <c r="D1338" s="7" t="s">
        <v>3260</v>
      </c>
      <c r="E1338" s="8">
        <v>1</v>
      </c>
      <c r="F1338" s="7" t="s">
        <v>41</v>
      </c>
      <c r="G1338" s="7"/>
      <c r="H1338" s="9"/>
      <c r="I1338" s="9"/>
      <c r="J1338" s="9"/>
      <c r="K1338" s="9"/>
      <c r="L1338" s="9"/>
      <c r="M1338" s="9"/>
      <c r="N1338" s="9"/>
      <c r="O1338" s="9"/>
      <c r="P1338" s="9"/>
      <c r="Q1338" s="9"/>
      <c r="R1338" s="9"/>
      <c r="S1338" s="7" t="s">
        <v>407</v>
      </c>
      <c r="T1338" s="7" t="s">
        <v>3246</v>
      </c>
      <c r="U1338" s="7" t="s">
        <v>44</v>
      </c>
      <c r="V1338" s="7" t="s">
        <v>45</v>
      </c>
      <c r="W1338" s="7" t="s">
        <v>130</v>
      </c>
      <c r="X1338" s="7" t="s">
        <v>156</v>
      </c>
      <c r="Y1338" s="7" t="s">
        <v>3261</v>
      </c>
      <c r="Z1338" s="7" t="s">
        <v>3248</v>
      </c>
      <c r="AA1338" s="7"/>
      <c r="AB1338" s="7"/>
      <c r="AC1338" s="7" t="s">
        <v>153</v>
      </c>
      <c r="AD1338" s="7"/>
      <c r="AE1338" s="7"/>
      <c r="AF1338" s="7" t="s">
        <v>50</v>
      </c>
      <c r="AG1338" s="7" t="s">
        <v>159</v>
      </c>
      <c r="AH1338" s="7" t="s">
        <v>160</v>
      </c>
    </row>
    <row r="1339" spans="1:34" ht="9.75" customHeight="1" x14ac:dyDescent="0.2">
      <c r="A1339" s="7" t="s">
        <v>37</v>
      </c>
      <c r="B1339" s="7" t="s">
        <v>38</v>
      </c>
      <c r="C1339" s="7"/>
      <c r="D1339" s="7" t="s">
        <v>3262</v>
      </c>
      <c r="E1339" s="8">
        <v>1</v>
      </c>
      <c r="F1339" s="7" t="s">
        <v>41</v>
      </c>
      <c r="G1339" s="7"/>
      <c r="H1339" s="9"/>
      <c r="I1339" s="10">
        <v>145257</v>
      </c>
      <c r="J1339" s="9"/>
      <c r="K1339" s="9"/>
      <c r="L1339" s="10">
        <v>227249</v>
      </c>
      <c r="M1339" s="9"/>
      <c r="N1339" s="10">
        <v>227249</v>
      </c>
      <c r="O1339" s="9"/>
      <c r="P1339" s="10"/>
      <c r="Q1339" s="10"/>
      <c r="R1339" s="10"/>
      <c r="S1339" s="7" t="s">
        <v>407</v>
      </c>
      <c r="T1339" s="7" t="s">
        <v>3263</v>
      </c>
      <c r="U1339" s="7" t="s">
        <v>44</v>
      </c>
      <c r="V1339" s="7" t="s">
        <v>45</v>
      </c>
      <c r="W1339" s="7" t="s">
        <v>130</v>
      </c>
      <c r="X1339" s="7" t="s">
        <v>164</v>
      </c>
      <c r="Y1339" s="7" t="s">
        <v>3264</v>
      </c>
      <c r="Z1339" s="7" t="s">
        <v>3265</v>
      </c>
      <c r="AA1339" s="7"/>
      <c r="AB1339" s="7"/>
      <c r="AC1339" s="7" t="s">
        <v>161</v>
      </c>
      <c r="AD1339" s="7"/>
      <c r="AE1339" s="7" t="s">
        <v>410</v>
      </c>
      <c r="AF1339" s="7" t="s">
        <v>50</v>
      </c>
      <c r="AG1339" s="7" t="s">
        <v>159</v>
      </c>
      <c r="AH1339" s="7" t="s">
        <v>167</v>
      </c>
    </row>
    <row r="1340" spans="1:34" ht="9.75" customHeight="1" x14ac:dyDescent="0.2">
      <c r="A1340" s="7" t="s">
        <v>37</v>
      </c>
      <c r="B1340" s="7" t="s">
        <v>38</v>
      </c>
      <c r="C1340" s="7"/>
      <c r="D1340" s="7" t="s">
        <v>3266</v>
      </c>
      <c r="E1340" s="8">
        <v>1</v>
      </c>
      <c r="F1340" s="7" t="s">
        <v>41</v>
      </c>
      <c r="G1340" s="7"/>
      <c r="H1340" s="9"/>
      <c r="I1340" s="10">
        <v>683205</v>
      </c>
      <c r="J1340" s="9"/>
      <c r="K1340" s="9"/>
      <c r="L1340" s="10">
        <v>1362749</v>
      </c>
      <c r="M1340" s="9"/>
      <c r="N1340" s="10">
        <v>1362749</v>
      </c>
      <c r="O1340" s="9"/>
      <c r="P1340" s="10"/>
      <c r="Q1340" s="10"/>
      <c r="R1340" s="10"/>
      <c r="S1340" s="7" t="s">
        <v>407</v>
      </c>
      <c r="T1340" s="7" t="s">
        <v>3263</v>
      </c>
      <c r="U1340" s="7" t="s">
        <v>44</v>
      </c>
      <c r="V1340" s="7" t="s">
        <v>45</v>
      </c>
      <c r="W1340" s="7" t="s">
        <v>130</v>
      </c>
      <c r="X1340" s="7" t="s">
        <v>164</v>
      </c>
      <c r="Y1340" s="7" t="s">
        <v>3267</v>
      </c>
      <c r="Z1340" s="7" t="s">
        <v>3265</v>
      </c>
      <c r="AA1340" s="7"/>
      <c r="AB1340" s="7"/>
      <c r="AC1340" s="7" t="s">
        <v>161</v>
      </c>
      <c r="AD1340" s="7"/>
      <c r="AE1340" s="7" t="s">
        <v>207</v>
      </c>
      <c r="AF1340" s="7" t="s">
        <v>50</v>
      </c>
      <c r="AG1340" s="7" t="s">
        <v>159</v>
      </c>
      <c r="AH1340" s="7" t="s">
        <v>167</v>
      </c>
    </row>
    <row r="1341" spans="1:34" ht="9.75" customHeight="1" x14ac:dyDescent="0.2">
      <c r="A1341" s="7" t="s">
        <v>37</v>
      </c>
      <c r="B1341" s="7" t="s">
        <v>38</v>
      </c>
      <c r="C1341" s="7"/>
      <c r="D1341" s="7" t="s">
        <v>3268</v>
      </c>
      <c r="E1341" s="8">
        <v>1</v>
      </c>
      <c r="F1341" s="7" t="s">
        <v>41</v>
      </c>
      <c r="G1341" s="7"/>
      <c r="H1341" s="9"/>
      <c r="I1341" s="10">
        <v>21617</v>
      </c>
      <c r="J1341" s="9"/>
      <c r="K1341" s="9"/>
      <c r="L1341" s="10">
        <v>31119</v>
      </c>
      <c r="M1341" s="9"/>
      <c r="N1341" s="10">
        <v>31119</v>
      </c>
      <c r="O1341" s="9"/>
      <c r="P1341" s="10"/>
      <c r="Q1341" s="10"/>
      <c r="R1341" s="10"/>
      <c r="S1341" s="7" t="s">
        <v>407</v>
      </c>
      <c r="T1341" s="7" t="s">
        <v>3263</v>
      </c>
      <c r="U1341" s="7" t="s">
        <v>44</v>
      </c>
      <c r="V1341" s="7" t="s">
        <v>45</v>
      </c>
      <c r="W1341" s="7" t="s">
        <v>130</v>
      </c>
      <c r="X1341" s="7" t="s">
        <v>164</v>
      </c>
      <c r="Y1341" s="7" t="s">
        <v>3269</v>
      </c>
      <c r="Z1341" s="7" t="s">
        <v>3265</v>
      </c>
      <c r="AA1341" s="7"/>
      <c r="AB1341" s="7"/>
      <c r="AC1341" s="7" t="s">
        <v>161</v>
      </c>
      <c r="AD1341" s="7"/>
      <c r="AE1341" s="7" t="s">
        <v>415</v>
      </c>
      <c r="AF1341" s="7" t="s">
        <v>50</v>
      </c>
      <c r="AG1341" s="7" t="s">
        <v>159</v>
      </c>
      <c r="AH1341" s="7" t="s">
        <v>167</v>
      </c>
    </row>
    <row r="1342" spans="1:34" ht="9.75" customHeight="1" x14ac:dyDescent="0.2">
      <c r="A1342" s="7" t="s">
        <v>37</v>
      </c>
      <c r="B1342" s="7" t="s">
        <v>38</v>
      </c>
      <c r="C1342" s="7"/>
      <c r="D1342" s="7" t="s">
        <v>3270</v>
      </c>
      <c r="E1342" s="8">
        <v>1</v>
      </c>
      <c r="F1342" s="7" t="s">
        <v>41</v>
      </c>
      <c r="G1342" s="7"/>
      <c r="H1342" s="9"/>
      <c r="I1342" s="10">
        <v>338546</v>
      </c>
      <c r="J1342" s="9"/>
      <c r="K1342" s="9"/>
      <c r="L1342" s="10">
        <v>614217</v>
      </c>
      <c r="M1342" s="9"/>
      <c r="N1342" s="10">
        <v>614217</v>
      </c>
      <c r="O1342" s="9"/>
      <c r="P1342" s="10"/>
      <c r="Q1342" s="10"/>
      <c r="R1342" s="10"/>
      <c r="S1342" s="7" t="s">
        <v>407</v>
      </c>
      <c r="T1342" s="7" t="s">
        <v>3263</v>
      </c>
      <c r="U1342" s="7" t="s">
        <v>44</v>
      </c>
      <c r="V1342" s="7" t="s">
        <v>45</v>
      </c>
      <c r="W1342" s="7" t="s">
        <v>130</v>
      </c>
      <c r="X1342" s="7" t="s">
        <v>164</v>
      </c>
      <c r="Y1342" s="7" t="s">
        <v>3271</v>
      </c>
      <c r="Z1342" s="7" t="s">
        <v>3265</v>
      </c>
      <c r="AA1342" s="7"/>
      <c r="AB1342" s="7"/>
      <c r="AC1342" s="7" t="s">
        <v>161</v>
      </c>
      <c r="AD1342" s="7"/>
      <c r="AE1342" s="7"/>
      <c r="AF1342" s="7" t="s">
        <v>50</v>
      </c>
      <c r="AG1342" s="7" t="s">
        <v>159</v>
      </c>
      <c r="AH1342" s="7" t="s">
        <v>167</v>
      </c>
    </row>
    <row r="1343" spans="1:34" ht="9.75" customHeight="1" x14ac:dyDescent="0.2">
      <c r="A1343" s="7" t="s">
        <v>37</v>
      </c>
      <c r="B1343" s="7" t="s">
        <v>38</v>
      </c>
      <c r="C1343" s="7"/>
      <c r="D1343" s="7" t="s">
        <v>3272</v>
      </c>
      <c r="E1343" s="8">
        <v>1</v>
      </c>
      <c r="F1343" s="7" t="s">
        <v>41</v>
      </c>
      <c r="G1343" s="7"/>
      <c r="H1343" s="9"/>
      <c r="I1343" s="10">
        <v>58298</v>
      </c>
      <c r="J1343" s="9"/>
      <c r="K1343" s="9"/>
      <c r="L1343" s="10">
        <v>121197</v>
      </c>
      <c r="M1343" s="9"/>
      <c r="N1343" s="10">
        <v>121197</v>
      </c>
      <c r="O1343" s="9"/>
      <c r="P1343" s="10"/>
      <c r="Q1343" s="10"/>
      <c r="R1343" s="10"/>
      <c r="S1343" s="7" t="s">
        <v>407</v>
      </c>
      <c r="T1343" s="7" t="s">
        <v>3263</v>
      </c>
      <c r="U1343" s="7" t="s">
        <v>44</v>
      </c>
      <c r="V1343" s="7" t="s">
        <v>45</v>
      </c>
      <c r="W1343" s="7" t="s">
        <v>130</v>
      </c>
      <c r="X1343" s="7" t="s">
        <v>164</v>
      </c>
      <c r="Y1343" s="7" t="s">
        <v>3273</v>
      </c>
      <c r="Z1343" s="7" t="s">
        <v>3265</v>
      </c>
      <c r="AA1343" s="7"/>
      <c r="AB1343" s="7"/>
      <c r="AC1343" s="7" t="s">
        <v>161</v>
      </c>
      <c r="AD1343" s="7"/>
      <c r="AE1343" s="7"/>
      <c r="AF1343" s="7" t="s">
        <v>50</v>
      </c>
      <c r="AG1343" s="7" t="s">
        <v>159</v>
      </c>
      <c r="AH1343" s="7" t="s">
        <v>167</v>
      </c>
    </row>
    <row r="1344" spans="1:34" ht="9.75" customHeight="1" x14ac:dyDescent="0.2">
      <c r="A1344" s="7" t="s">
        <v>37</v>
      </c>
      <c r="B1344" s="7" t="s">
        <v>38</v>
      </c>
      <c r="C1344" s="7"/>
      <c r="D1344" s="7" t="s">
        <v>3274</v>
      </c>
      <c r="E1344" s="8">
        <v>1</v>
      </c>
      <c r="F1344" s="7" t="s">
        <v>41</v>
      </c>
      <c r="G1344" s="7"/>
      <c r="H1344" s="9"/>
      <c r="I1344" s="10">
        <v>54102</v>
      </c>
      <c r="J1344" s="9"/>
      <c r="K1344" s="9"/>
      <c r="L1344" s="10">
        <v>99993</v>
      </c>
      <c r="M1344" s="9"/>
      <c r="N1344" s="10">
        <v>99993</v>
      </c>
      <c r="O1344" s="9"/>
      <c r="P1344" s="10"/>
      <c r="Q1344" s="10"/>
      <c r="R1344" s="10"/>
      <c r="S1344" s="7" t="s">
        <v>407</v>
      </c>
      <c r="T1344" s="7" t="s">
        <v>3263</v>
      </c>
      <c r="U1344" s="7" t="s">
        <v>44</v>
      </c>
      <c r="V1344" s="7" t="s">
        <v>45</v>
      </c>
      <c r="W1344" s="7" t="s">
        <v>130</v>
      </c>
      <c r="X1344" s="7" t="s">
        <v>164</v>
      </c>
      <c r="Y1344" s="7" t="s">
        <v>3275</v>
      </c>
      <c r="Z1344" s="7" t="s">
        <v>3265</v>
      </c>
      <c r="AA1344" s="7"/>
      <c r="AB1344" s="7"/>
      <c r="AC1344" s="7" t="s">
        <v>161</v>
      </c>
      <c r="AD1344" s="7"/>
      <c r="AE1344" s="7" t="s">
        <v>2627</v>
      </c>
      <c r="AF1344" s="7" t="s">
        <v>50</v>
      </c>
      <c r="AG1344" s="7" t="s">
        <v>159</v>
      </c>
      <c r="AH1344" s="7" t="s">
        <v>167</v>
      </c>
    </row>
    <row r="1345" spans="1:34" ht="9.75" customHeight="1" x14ac:dyDescent="0.2">
      <c r="A1345" s="7" t="s">
        <v>37</v>
      </c>
      <c r="B1345" s="7" t="s">
        <v>38</v>
      </c>
      <c r="C1345" s="7"/>
      <c r="D1345" s="7" t="s">
        <v>3276</v>
      </c>
      <c r="E1345" s="8">
        <v>1</v>
      </c>
      <c r="F1345" s="7" t="s">
        <v>41</v>
      </c>
      <c r="G1345" s="7"/>
      <c r="H1345" s="9"/>
      <c r="I1345" s="9"/>
      <c r="J1345" s="9"/>
      <c r="K1345" s="9"/>
      <c r="L1345" s="10">
        <v>6000</v>
      </c>
      <c r="M1345" s="9"/>
      <c r="N1345" s="10">
        <v>6000</v>
      </c>
      <c r="O1345" s="9"/>
      <c r="P1345" s="10"/>
      <c r="Q1345" s="10"/>
      <c r="R1345" s="10"/>
      <c r="S1345" s="7" t="s">
        <v>407</v>
      </c>
      <c r="T1345" s="7" t="s">
        <v>3263</v>
      </c>
      <c r="U1345" s="7" t="s">
        <v>44</v>
      </c>
      <c r="V1345" s="7" t="s">
        <v>45</v>
      </c>
      <c r="W1345" s="7" t="s">
        <v>130</v>
      </c>
      <c r="X1345" s="7" t="s">
        <v>164</v>
      </c>
      <c r="Y1345" s="7" t="s">
        <v>3277</v>
      </c>
      <c r="Z1345" s="7" t="s">
        <v>3265</v>
      </c>
      <c r="AA1345" s="7"/>
      <c r="AB1345" s="7"/>
      <c r="AC1345" s="7" t="s">
        <v>161</v>
      </c>
      <c r="AD1345" s="7"/>
      <c r="AE1345" s="7"/>
      <c r="AF1345" s="7" t="s">
        <v>50</v>
      </c>
      <c r="AG1345" s="7" t="s">
        <v>159</v>
      </c>
      <c r="AH1345" s="7" t="s">
        <v>167</v>
      </c>
    </row>
    <row r="1346" spans="1:34" ht="9.75" customHeight="1" x14ac:dyDescent="0.2">
      <c r="A1346" s="7" t="s">
        <v>37</v>
      </c>
      <c r="B1346" s="7" t="s">
        <v>38</v>
      </c>
      <c r="C1346" s="7"/>
      <c r="D1346" s="7" t="s">
        <v>3278</v>
      </c>
      <c r="E1346" s="8">
        <v>1</v>
      </c>
      <c r="F1346" s="7" t="s">
        <v>41</v>
      </c>
      <c r="G1346" s="7"/>
      <c r="H1346" s="9"/>
      <c r="I1346" s="9"/>
      <c r="J1346" s="9"/>
      <c r="K1346" s="9"/>
      <c r="L1346" s="10">
        <v>233200</v>
      </c>
      <c r="M1346" s="9"/>
      <c r="N1346" s="10">
        <v>233200</v>
      </c>
      <c r="O1346" s="9"/>
      <c r="P1346" s="10"/>
      <c r="Q1346" s="10"/>
      <c r="R1346" s="10"/>
      <c r="S1346" s="7" t="s">
        <v>407</v>
      </c>
      <c r="T1346" s="7" t="s">
        <v>3263</v>
      </c>
      <c r="U1346" s="7" t="s">
        <v>44</v>
      </c>
      <c r="V1346" s="7" t="s">
        <v>45</v>
      </c>
      <c r="W1346" s="7" t="s">
        <v>130</v>
      </c>
      <c r="X1346" s="7" t="s">
        <v>164</v>
      </c>
      <c r="Y1346" s="7" t="s">
        <v>3279</v>
      </c>
      <c r="Z1346" s="7" t="s">
        <v>3265</v>
      </c>
      <c r="AA1346" s="7"/>
      <c r="AB1346" s="7"/>
      <c r="AC1346" s="7" t="s">
        <v>161</v>
      </c>
      <c r="AD1346" s="7"/>
      <c r="AE1346" s="7"/>
      <c r="AF1346" s="7" t="s">
        <v>50</v>
      </c>
      <c r="AG1346" s="7" t="s">
        <v>159</v>
      </c>
      <c r="AH1346" s="7" t="s">
        <v>167</v>
      </c>
    </row>
    <row r="1347" spans="1:34" ht="9.75" customHeight="1" x14ac:dyDescent="0.2">
      <c r="A1347" s="7" t="s">
        <v>37</v>
      </c>
      <c r="B1347" s="7" t="s">
        <v>38</v>
      </c>
      <c r="C1347" s="7"/>
      <c r="D1347" s="7" t="s">
        <v>3280</v>
      </c>
      <c r="E1347" s="8">
        <v>1</v>
      </c>
      <c r="F1347" s="7" t="s">
        <v>41</v>
      </c>
      <c r="G1347" s="7"/>
      <c r="H1347" s="9"/>
      <c r="I1347" s="9"/>
      <c r="J1347" s="9"/>
      <c r="K1347" s="9"/>
      <c r="L1347" s="10">
        <v>122605</v>
      </c>
      <c r="M1347" s="9"/>
      <c r="N1347" s="10">
        <v>122605</v>
      </c>
      <c r="O1347" s="9"/>
      <c r="P1347" s="10"/>
      <c r="Q1347" s="10"/>
      <c r="R1347" s="10"/>
      <c r="S1347" s="7" t="s">
        <v>407</v>
      </c>
      <c r="T1347" s="7" t="s">
        <v>3263</v>
      </c>
      <c r="U1347" s="7" t="s">
        <v>44</v>
      </c>
      <c r="V1347" s="7" t="s">
        <v>45</v>
      </c>
      <c r="W1347" s="7" t="s">
        <v>130</v>
      </c>
      <c r="X1347" s="7" t="s">
        <v>164</v>
      </c>
      <c r="Y1347" s="7" t="s">
        <v>3281</v>
      </c>
      <c r="Z1347" s="7" t="s">
        <v>3282</v>
      </c>
      <c r="AA1347" s="7"/>
      <c r="AB1347" s="7"/>
      <c r="AC1347" s="7" t="s">
        <v>161</v>
      </c>
      <c r="AD1347" s="7"/>
      <c r="AE1347" s="7" t="s">
        <v>3283</v>
      </c>
      <c r="AF1347" s="7" t="s">
        <v>50</v>
      </c>
      <c r="AG1347" s="7" t="s">
        <v>159</v>
      </c>
      <c r="AH1347" s="7" t="s">
        <v>167</v>
      </c>
    </row>
    <row r="1348" spans="1:34" ht="9.75" customHeight="1" x14ac:dyDescent="0.2">
      <c r="A1348" s="7" t="s">
        <v>37</v>
      </c>
      <c r="B1348" s="7" t="s">
        <v>38</v>
      </c>
      <c r="C1348" s="7"/>
      <c r="D1348" s="7" t="s">
        <v>3284</v>
      </c>
      <c r="E1348" s="8">
        <v>1</v>
      </c>
      <c r="F1348" s="7" t="s">
        <v>41</v>
      </c>
      <c r="G1348" s="7"/>
      <c r="H1348" s="9"/>
      <c r="I1348" s="9"/>
      <c r="J1348" s="9"/>
      <c r="K1348" s="9"/>
      <c r="L1348" s="10">
        <v>92392</v>
      </c>
      <c r="M1348" s="9"/>
      <c r="N1348" s="10">
        <v>92392</v>
      </c>
      <c r="O1348" s="9"/>
      <c r="P1348" s="10"/>
      <c r="Q1348" s="10"/>
      <c r="R1348" s="10"/>
      <c r="S1348" s="7" t="s">
        <v>407</v>
      </c>
      <c r="T1348" s="7" t="s">
        <v>3263</v>
      </c>
      <c r="U1348" s="7" t="s">
        <v>44</v>
      </c>
      <c r="V1348" s="7" t="s">
        <v>45</v>
      </c>
      <c r="W1348" s="7" t="s">
        <v>130</v>
      </c>
      <c r="X1348" s="7" t="s">
        <v>164</v>
      </c>
      <c r="Y1348" s="7" t="s">
        <v>3285</v>
      </c>
      <c r="Z1348" s="7" t="s">
        <v>3282</v>
      </c>
      <c r="AA1348" s="7"/>
      <c r="AB1348" s="7"/>
      <c r="AC1348" s="7" t="s">
        <v>161</v>
      </c>
      <c r="AD1348" s="7"/>
      <c r="AE1348" s="7" t="s">
        <v>3286</v>
      </c>
      <c r="AF1348" s="7" t="s">
        <v>50</v>
      </c>
      <c r="AG1348" s="7" t="s">
        <v>159</v>
      </c>
      <c r="AH1348" s="7" t="s">
        <v>167</v>
      </c>
    </row>
    <row r="1349" spans="1:34" ht="9.75" customHeight="1" x14ac:dyDescent="0.2">
      <c r="A1349" s="7" t="s">
        <v>37</v>
      </c>
      <c r="B1349" s="7" t="s">
        <v>38</v>
      </c>
      <c r="C1349" s="7"/>
      <c r="D1349" s="7" t="s">
        <v>3287</v>
      </c>
      <c r="E1349" s="8">
        <v>1</v>
      </c>
      <c r="F1349" s="7" t="s">
        <v>41</v>
      </c>
      <c r="G1349" s="7"/>
      <c r="H1349" s="9"/>
      <c r="I1349" s="9"/>
      <c r="J1349" s="9"/>
      <c r="K1349" s="9"/>
      <c r="L1349" s="10">
        <v>62571</v>
      </c>
      <c r="M1349" s="9"/>
      <c r="N1349" s="10">
        <v>62571</v>
      </c>
      <c r="O1349" s="9"/>
      <c r="P1349" s="10"/>
      <c r="Q1349" s="10"/>
      <c r="R1349" s="10"/>
      <c r="S1349" s="7" t="s">
        <v>407</v>
      </c>
      <c r="T1349" s="7" t="s">
        <v>3263</v>
      </c>
      <c r="U1349" s="7" t="s">
        <v>44</v>
      </c>
      <c r="V1349" s="7" t="s">
        <v>45</v>
      </c>
      <c r="W1349" s="7" t="s">
        <v>130</v>
      </c>
      <c r="X1349" s="7" t="s">
        <v>164</v>
      </c>
      <c r="Y1349" s="7" t="s">
        <v>3288</v>
      </c>
      <c r="Z1349" s="7" t="s">
        <v>3282</v>
      </c>
      <c r="AA1349" s="7"/>
      <c r="AB1349" s="7"/>
      <c r="AC1349" s="7" t="s">
        <v>161</v>
      </c>
      <c r="AD1349" s="7"/>
      <c r="AE1349" s="7" t="s">
        <v>3289</v>
      </c>
      <c r="AF1349" s="7" t="s">
        <v>50</v>
      </c>
      <c r="AG1349" s="7" t="s">
        <v>159</v>
      </c>
      <c r="AH1349" s="7" t="s">
        <v>167</v>
      </c>
    </row>
    <row r="1350" spans="1:34" ht="9.75" customHeight="1" x14ac:dyDescent="0.2">
      <c r="A1350" s="7" t="s">
        <v>37</v>
      </c>
      <c r="B1350" s="7" t="s">
        <v>38</v>
      </c>
      <c r="C1350" s="7"/>
      <c r="D1350" s="7" t="s">
        <v>3290</v>
      </c>
      <c r="E1350" s="8">
        <v>1</v>
      </c>
      <c r="F1350" s="7" t="s">
        <v>41</v>
      </c>
      <c r="G1350" s="7"/>
      <c r="H1350" s="9"/>
      <c r="I1350" s="9"/>
      <c r="J1350" s="9"/>
      <c r="K1350" s="9"/>
      <c r="L1350" s="10">
        <v>25102</v>
      </c>
      <c r="M1350" s="9"/>
      <c r="N1350" s="10">
        <v>25102</v>
      </c>
      <c r="O1350" s="9"/>
      <c r="P1350" s="10"/>
      <c r="Q1350" s="10"/>
      <c r="R1350" s="10"/>
      <c r="S1350" s="7" t="s">
        <v>407</v>
      </c>
      <c r="T1350" s="7" t="s">
        <v>3263</v>
      </c>
      <c r="U1350" s="7" t="s">
        <v>44</v>
      </c>
      <c r="V1350" s="7" t="s">
        <v>45</v>
      </c>
      <c r="W1350" s="7" t="s">
        <v>130</v>
      </c>
      <c r="X1350" s="7" t="s">
        <v>164</v>
      </c>
      <c r="Y1350" s="7" t="s">
        <v>3291</v>
      </c>
      <c r="Z1350" s="7" t="s">
        <v>3282</v>
      </c>
      <c r="AA1350" s="7"/>
      <c r="AB1350" s="7"/>
      <c r="AC1350" s="7" t="s">
        <v>161</v>
      </c>
      <c r="AD1350" s="7"/>
      <c r="AE1350" s="7"/>
      <c r="AF1350" s="7" t="s">
        <v>50</v>
      </c>
      <c r="AG1350" s="7" t="s">
        <v>159</v>
      </c>
      <c r="AH1350" s="7" t="s">
        <v>167</v>
      </c>
    </row>
    <row r="1351" spans="1:34" ht="9.75" customHeight="1" x14ac:dyDescent="0.2">
      <c r="A1351" s="7" t="s">
        <v>37</v>
      </c>
      <c r="B1351" s="7" t="s">
        <v>38</v>
      </c>
      <c r="C1351" s="7"/>
      <c r="D1351" s="7" t="s">
        <v>3292</v>
      </c>
      <c r="E1351" s="8">
        <v>1</v>
      </c>
      <c r="F1351" s="7" t="s">
        <v>41</v>
      </c>
      <c r="G1351" s="7"/>
      <c r="H1351" s="9"/>
      <c r="I1351" s="9"/>
      <c r="J1351" s="9"/>
      <c r="K1351" s="9"/>
      <c r="L1351" s="10">
        <v>39622</v>
      </c>
      <c r="M1351" s="9"/>
      <c r="N1351" s="10">
        <v>39622</v>
      </c>
      <c r="O1351" s="9"/>
      <c r="P1351" s="10"/>
      <c r="Q1351" s="10"/>
      <c r="R1351" s="10"/>
      <c r="S1351" s="7" t="s">
        <v>407</v>
      </c>
      <c r="T1351" s="7" t="s">
        <v>3263</v>
      </c>
      <c r="U1351" s="7" t="s">
        <v>44</v>
      </c>
      <c r="V1351" s="7" t="s">
        <v>45</v>
      </c>
      <c r="W1351" s="7" t="s">
        <v>130</v>
      </c>
      <c r="X1351" s="7" t="s">
        <v>164</v>
      </c>
      <c r="Y1351" s="7" t="s">
        <v>3293</v>
      </c>
      <c r="Z1351" s="7" t="s">
        <v>3282</v>
      </c>
      <c r="AA1351" s="7"/>
      <c r="AB1351" s="7"/>
      <c r="AC1351" s="7" t="s">
        <v>161</v>
      </c>
      <c r="AD1351" s="7"/>
      <c r="AE1351" s="7" t="s">
        <v>3294</v>
      </c>
      <c r="AF1351" s="7" t="s">
        <v>50</v>
      </c>
      <c r="AG1351" s="7" t="s">
        <v>159</v>
      </c>
      <c r="AH1351" s="7" t="s">
        <v>167</v>
      </c>
    </row>
    <row r="1352" spans="1:34" ht="9.75" customHeight="1" x14ac:dyDescent="0.2">
      <c r="A1352" s="7" t="s">
        <v>37</v>
      </c>
      <c r="B1352" s="7" t="s">
        <v>38</v>
      </c>
      <c r="C1352" s="7"/>
      <c r="D1352" s="7" t="s">
        <v>3295</v>
      </c>
      <c r="E1352" s="8">
        <v>1</v>
      </c>
      <c r="F1352" s="7" t="s">
        <v>41</v>
      </c>
      <c r="G1352" s="7"/>
      <c r="H1352" s="9"/>
      <c r="I1352" s="9"/>
      <c r="J1352" s="9"/>
      <c r="K1352" s="9"/>
      <c r="L1352" s="10">
        <v>14764</v>
      </c>
      <c r="M1352" s="9"/>
      <c r="N1352" s="10">
        <v>14764</v>
      </c>
      <c r="O1352" s="9"/>
      <c r="P1352" s="10"/>
      <c r="Q1352" s="10"/>
      <c r="R1352" s="10"/>
      <c r="S1352" s="7" t="s">
        <v>407</v>
      </c>
      <c r="T1352" s="7" t="s">
        <v>3263</v>
      </c>
      <c r="U1352" s="7" t="s">
        <v>44</v>
      </c>
      <c r="V1352" s="7" t="s">
        <v>45</v>
      </c>
      <c r="W1352" s="7" t="s">
        <v>130</v>
      </c>
      <c r="X1352" s="7" t="s">
        <v>164</v>
      </c>
      <c r="Y1352" s="7" t="s">
        <v>3296</v>
      </c>
      <c r="Z1352" s="7" t="s">
        <v>3282</v>
      </c>
      <c r="AA1352" s="7"/>
      <c r="AB1352" s="7"/>
      <c r="AC1352" s="7" t="s">
        <v>161</v>
      </c>
      <c r="AD1352" s="7"/>
      <c r="AE1352" s="7" t="s">
        <v>3297</v>
      </c>
      <c r="AF1352" s="7" t="s">
        <v>50</v>
      </c>
      <c r="AG1352" s="7" t="s">
        <v>159</v>
      </c>
      <c r="AH1352" s="7" t="s">
        <v>167</v>
      </c>
    </row>
    <row r="1353" spans="1:34" ht="9.75" customHeight="1" x14ac:dyDescent="0.2">
      <c r="A1353" s="7" t="s">
        <v>37</v>
      </c>
      <c r="B1353" s="7" t="s">
        <v>38</v>
      </c>
      <c r="C1353" s="7"/>
      <c r="D1353" s="7" t="s">
        <v>3298</v>
      </c>
      <c r="E1353" s="8">
        <v>1</v>
      </c>
      <c r="F1353" s="7" t="s">
        <v>41</v>
      </c>
      <c r="G1353" s="7"/>
      <c r="H1353" s="9"/>
      <c r="I1353" s="9"/>
      <c r="J1353" s="9"/>
      <c r="K1353" s="9"/>
      <c r="L1353" s="10">
        <v>11447</v>
      </c>
      <c r="M1353" s="9"/>
      <c r="N1353" s="10">
        <v>11447</v>
      </c>
      <c r="O1353" s="9"/>
      <c r="P1353" s="10"/>
      <c r="Q1353" s="10"/>
      <c r="R1353" s="10"/>
      <c r="S1353" s="7" t="s">
        <v>407</v>
      </c>
      <c r="T1353" s="7" t="s">
        <v>3263</v>
      </c>
      <c r="U1353" s="7" t="s">
        <v>44</v>
      </c>
      <c r="V1353" s="7" t="s">
        <v>45</v>
      </c>
      <c r="W1353" s="7" t="s">
        <v>130</v>
      </c>
      <c r="X1353" s="7" t="s">
        <v>164</v>
      </c>
      <c r="Y1353" s="7" t="s">
        <v>3299</v>
      </c>
      <c r="Z1353" s="7" t="s">
        <v>3282</v>
      </c>
      <c r="AA1353" s="7"/>
      <c r="AB1353" s="7"/>
      <c r="AC1353" s="7" t="s">
        <v>161</v>
      </c>
      <c r="AD1353" s="7"/>
      <c r="AE1353" s="7" t="s">
        <v>3300</v>
      </c>
      <c r="AF1353" s="7" t="s">
        <v>50</v>
      </c>
      <c r="AG1353" s="7" t="s">
        <v>159</v>
      </c>
      <c r="AH1353" s="7" t="s">
        <v>167</v>
      </c>
    </row>
    <row r="1354" spans="1:34" ht="9.75" customHeight="1" x14ac:dyDescent="0.2">
      <c r="A1354" s="7" t="s">
        <v>37</v>
      </c>
      <c r="B1354" s="7" t="s">
        <v>38</v>
      </c>
      <c r="C1354" s="7"/>
      <c r="D1354" s="7" t="s">
        <v>3301</v>
      </c>
      <c r="E1354" s="8">
        <v>1</v>
      </c>
      <c r="F1354" s="7" t="s">
        <v>41</v>
      </c>
      <c r="G1354" s="7"/>
      <c r="H1354" s="9"/>
      <c r="I1354" s="9"/>
      <c r="J1354" s="9"/>
      <c r="K1354" s="9"/>
      <c r="L1354" s="10">
        <v>17197</v>
      </c>
      <c r="M1354" s="9"/>
      <c r="N1354" s="10">
        <v>17197</v>
      </c>
      <c r="O1354" s="9"/>
      <c r="P1354" s="10"/>
      <c r="Q1354" s="10"/>
      <c r="R1354" s="10"/>
      <c r="S1354" s="7" t="s">
        <v>407</v>
      </c>
      <c r="T1354" s="7" t="s">
        <v>3263</v>
      </c>
      <c r="U1354" s="7" t="s">
        <v>44</v>
      </c>
      <c r="V1354" s="7" t="s">
        <v>45</v>
      </c>
      <c r="W1354" s="7" t="s">
        <v>130</v>
      </c>
      <c r="X1354" s="7" t="s">
        <v>164</v>
      </c>
      <c r="Y1354" s="7" t="s">
        <v>3302</v>
      </c>
      <c r="Z1354" s="7" t="s">
        <v>3282</v>
      </c>
      <c r="AA1354" s="7"/>
      <c r="AB1354" s="7"/>
      <c r="AC1354" s="7" t="s">
        <v>161</v>
      </c>
      <c r="AD1354" s="7"/>
      <c r="AE1354" s="7" t="s">
        <v>3303</v>
      </c>
      <c r="AF1354" s="7" t="s">
        <v>50</v>
      </c>
      <c r="AG1354" s="7" t="s">
        <v>159</v>
      </c>
      <c r="AH1354" s="7" t="s">
        <v>167</v>
      </c>
    </row>
    <row r="1355" spans="1:34" ht="9.75" customHeight="1" x14ac:dyDescent="0.2">
      <c r="A1355" s="7" t="s">
        <v>37</v>
      </c>
      <c r="B1355" s="7" t="s">
        <v>38</v>
      </c>
      <c r="C1355" s="7"/>
      <c r="D1355" s="7" t="s">
        <v>3304</v>
      </c>
      <c r="E1355" s="8">
        <v>1</v>
      </c>
      <c r="F1355" s="7" t="s">
        <v>41</v>
      </c>
      <c r="G1355" s="7"/>
      <c r="H1355" s="9"/>
      <c r="I1355" s="9"/>
      <c r="J1355" s="9"/>
      <c r="K1355" s="9"/>
      <c r="L1355" s="10">
        <v>17349</v>
      </c>
      <c r="M1355" s="9"/>
      <c r="N1355" s="10">
        <v>17349</v>
      </c>
      <c r="O1355" s="9"/>
      <c r="P1355" s="10"/>
      <c r="Q1355" s="10"/>
      <c r="R1355" s="10"/>
      <c r="S1355" s="7" t="s">
        <v>407</v>
      </c>
      <c r="T1355" s="7" t="s">
        <v>3263</v>
      </c>
      <c r="U1355" s="7" t="s">
        <v>44</v>
      </c>
      <c r="V1355" s="7" t="s">
        <v>45</v>
      </c>
      <c r="W1355" s="7" t="s">
        <v>130</v>
      </c>
      <c r="X1355" s="7" t="s">
        <v>164</v>
      </c>
      <c r="Y1355" s="7" t="s">
        <v>3305</v>
      </c>
      <c r="Z1355" s="7" t="s">
        <v>3306</v>
      </c>
      <c r="AA1355" s="7"/>
      <c r="AB1355" s="7"/>
      <c r="AC1355" s="7" t="s">
        <v>161</v>
      </c>
      <c r="AD1355" s="7"/>
      <c r="AE1355" s="7" t="s">
        <v>3307</v>
      </c>
      <c r="AF1355" s="7" t="s">
        <v>50</v>
      </c>
      <c r="AG1355" s="7" t="s">
        <v>159</v>
      </c>
      <c r="AH1355" s="7" t="s">
        <v>167</v>
      </c>
    </row>
    <row r="1356" spans="1:34" ht="9.75" customHeight="1" x14ac:dyDescent="0.2">
      <c r="A1356" s="7" t="s">
        <v>37</v>
      </c>
      <c r="B1356" s="7" t="s">
        <v>38</v>
      </c>
      <c r="C1356" s="7"/>
      <c r="D1356" s="7" t="s">
        <v>3308</v>
      </c>
      <c r="E1356" s="8">
        <v>1</v>
      </c>
      <c r="F1356" s="7" t="s">
        <v>41</v>
      </c>
      <c r="G1356" s="7"/>
      <c r="H1356" s="9"/>
      <c r="I1356" s="9"/>
      <c r="J1356" s="9"/>
      <c r="K1356" s="9"/>
      <c r="L1356" s="10">
        <v>7168</v>
      </c>
      <c r="M1356" s="9"/>
      <c r="N1356" s="10">
        <v>7168</v>
      </c>
      <c r="O1356" s="9"/>
      <c r="P1356" s="10"/>
      <c r="Q1356" s="10"/>
      <c r="R1356" s="10"/>
      <c r="S1356" s="7" t="s">
        <v>407</v>
      </c>
      <c r="T1356" s="7" t="s">
        <v>3263</v>
      </c>
      <c r="U1356" s="7" t="s">
        <v>44</v>
      </c>
      <c r="V1356" s="7" t="s">
        <v>45</v>
      </c>
      <c r="W1356" s="7" t="s">
        <v>130</v>
      </c>
      <c r="X1356" s="7" t="s">
        <v>164</v>
      </c>
      <c r="Y1356" s="7" t="s">
        <v>3309</v>
      </c>
      <c r="Z1356" s="7" t="s">
        <v>3306</v>
      </c>
      <c r="AA1356" s="7"/>
      <c r="AB1356" s="7"/>
      <c r="AC1356" s="7" t="s">
        <v>161</v>
      </c>
      <c r="AD1356" s="7"/>
      <c r="AE1356" s="7" t="s">
        <v>3310</v>
      </c>
      <c r="AF1356" s="7" t="s">
        <v>50</v>
      </c>
      <c r="AG1356" s="7" t="s">
        <v>159</v>
      </c>
      <c r="AH1356" s="7" t="s">
        <v>167</v>
      </c>
    </row>
    <row r="1357" spans="1:34" ht="9.75" customHeight="1" x14ac:dyDescent="0.2">
      <c r="A1357" s="7" t="s">
        <v>37</v>
      </c>
      <c r="B1357" s="7" t="s">
        <v>38</v>
      </c>
      <c r="C1357" s="7"/>
      <c r="D1357" s="7" t="s">
        <v>3311</v>
      </c>
      <c r="E1357" s="8">
        <v>1</v>
      </c>
      <c r="F1357" s="7" t="s">
        <v>41</v>
      </c>
      <c r="G1357" s="7"/>
      <c r="H1357" s="9"/>
      <c r="I1357" s="9"/>
      <c r="J1357" s="9"/>
      <c r="K1357" s="9"/>
      <c r="L1357" s="10">
        <v>4423</v>
      </c>
      <c r="M1357" s="9"/>
      <c r="N1357" s="10">
        <v>4423</v>
      </c>
      <c r="O1357" s="9"/>
      <c r="P1357" s="10"/>
      <c r="Q1357" s="10"/>
      <c r="R1357" s="10"/>
      <c r="S1357" s="7" t="s">
        <v>407</v>
      </c>
      <c r="T1357" s="7" t="s">
        <v>3263</v>
      </c>
      <c r="U1357" s="7" t="s">
        <v>44</v>
      </c>
      <c r="V1357" s="7" t="s">
        <v>45</v>
      </c>
      <c r="W1357" s="7" t="s">
        <v>130</v>
      </c>
      <c r="X1357" s="7" t="s">
        <v>164</v>
      </c>
      <c r="Y1357" s="7" t="s">
        <v>3312</v>
      </c>
      <c r="Z1357" s="7" t="s">
        <v>3306</v>
      </c>
      <c r="AA1357" s="7"/>
      <c r="AB1357" s="7"/>
      <c r="AC1357" s="7" t="s">
        <v>161</v>
      </c>
      <c r="AD1357" s="7"/>
      <c r="AE1357" s="7" t="s">
        <v>3313</v>
      </c>
      <c r="AF1357" s="7" t="s">
        <v>50</v>
      </c>
      <c r="AG1357" s="7" t="s">
        <v>159</v>
      </c>
      <c r="AH1357" s="7" t="s">
        <v>167</v>
      </c>
    </row>
    <row r="1358" spans="1:34" ht="9.75" customHeight="1" x14ac:dyDescent="0.2">
      <c r="A1358" s="7" t="s">
        <v>37</v>
      </c>
      <c r="B1358" s="7" t="s">
        <v>38</v>
      </c>
      <c r="C1358" s="7"/>
      <c r="D1358" s="7" t="s">
        <v>3314</v>
      </c>
      <c r="E1358" s="8">
        <v>1</v>
      </c>
      <c r="F1358" s="7" t="s">
        <v>41</v>
      </c>
      <c r="G1358" s="7"/>
      <c r="H1358" s="9"/>
      <c r="I1358" s="9"/>
      <c r="J1358" s="9"/>
      <c r="K1358" s="9"/>
      <c r="L1358" s="10">
        <v>4853</v>
      </c>
      <c r="M1358" s="9"/>
      <c r="N1358" s="10">
        <v>4853</v>
      </c>
      <c r="O1358" s="9"/>
      <c r="P1358" s="10"/>
      <c r="Q1358" s="10"/>
      <c r="R1358" s="10"/>
      <c r="S1358" s="7" t="s">
        <v>407</v>
      </c>
      <c r="T1358" s="7" t="s">
        <v>3263</v>
      </c>
      <c r="U1358" s="7" t="s">
        <v>44</v>
      </c>
      <c r="V1358" s="7" t="s">
        <v>45</v>
      </c>
      <c r="W1358" s="7" t="s">
        <v>130</v>
      </c>
      <c r="X1358" s="7" t="s">
        <v>164</v>
      </c>
      <c r="Y1358" s="7" t="s">
        <v>3315</v>
      </c>
      <c r="Z1358" s="7" t="s">
        <v>3306</v>
      </c>
      <c r="AA1358" s="7"/>
      <c r="AB1358" s="7"/>
      <c r="AC1358" s="7" t="s">
        <v>161</v>
      </c>
      <c r="AD1358" s="7"/>
      <c r="AE1358" s="7" t="s">
        <v>3316</v>
      </c>
      <c r="AF1358" s="7" t="s">
        <v>50</v>
      </c>
      <c r="AG1358" s="7" t="s">
        <v>159</v>
      </c>
      <c r="AH1358" s="7" t="s">
        <v>167</v>
      </c>
    </row>
    <row r="1359" spans="1:34" ht="9.75" customHeight="1" x14ac:dyDescent="0.2">
      <c r="A1359" s="7" t="s">
        <v>37</v>
      </c>
      <c r="B1359" s="7" t="s">
        <v>38</v>
      </c>
      <c r="C1359" s="7"/>
      <c r="D1359" s="7" t="s">
        <v>3317</v>
      </c>
      <c r="E1359" s="8">
        <v>1</v>
      </c>
      <c r="F1359" s="7" t="s">
        <v>41</v>
      </c>
      <c r="G1359" s="7"/>
      <c r="H1359" s="9"/>
      <c r="I1359" s="9"/>
      <c r="J1359" s="9"/>
      <c r="K1359" s="9"/>
      <c r="L1359" s="10">
        <v>5761</v>
      </c>
      <c r="M1359" s="9"/>
      <c r="N1359" s="10">
        <v>5761</v>
      </c>
      <c r="O1359" s="9"/>
      <c r="P1359" s="10"/>
      <c r="Q1359" s="10"/>
      <c r="R1359" s="10"/>
      <c r="S1359" s="7" t="s">
        <v>407</v>
      </c>
      <c r="T1359" s="7" t="s">
        <v>3263</v>
      </c>
      <c r="U1359" s="7" t="s">
        <v>44</v>
      </c>
      <c r="V1359" s="7" t="s">
        <v>45</v>
      </c>
      <c r="W1359" s="7" t="s">
        <v>130</v>
      </c>
      <c r="X1359" s="7" t="s">
        <v>164</v>
      </c>
      <c r="Y1359" s="7" t="s">
        <v>3318</v>
      </c>
      <c r="Z1359" s="7" t="s">
        <v>3306</v>
      </c>
      <c r="AA1359" s="7"/>
      <c r="AB1359" s="7"/>
      <c r="AC1359" s="7" t="s">
        <v>161</v>
      </c>
      <c r="AD1359" s="7"/>
      <c r="AE1359" s="7" t="s">
        <v>3319</v>
      </c>
      <c r="AF1359" s="7" t="s">
        <v>50</v>
      </c>
      <c r="AG1359" s="7" t="s">
        <v>159</v>
      </c>
      <c r="AH1359" s="7" t="s">
        <v>167</v>
      </c>
    </row>
    <row r="1360" spans="1:34" ht="9.75" customHeight="1" x14ac:dyDescent="0.2">
      <c r="A1360" s="7" t="s">
        <v>37</v>
      </c>
      <c r="B1360" s="7" t="s">
        <v>38</v>
      </c>
      <c r="C1360" s="7"/>
      <c r="D1360" s="7" t="s">
        <v>3320</v>
      </c>
      <c r="E1360" s="8">
        <v>1</v>
      </c>
      <c r="F1360" s="7" t="s">
        <v>41</v>
      </c>
      <c r="G1360" s="7"/>
      <c r="H1360" s="9"/>
      <c r="I1360" s="9"/>
      <c r="J1360" s="9"/>
      <c r="K1360" s="9"/>
      <c r="L1360" s="10">
        <v>3545</v>
      </c>
      <c r="M1360" s="9"/>
      <c r="N1360" s="10">
        <v>3545</v>
      </c>
      <c r="O1360" s="9"/>
      <c r="P1360" s="10"/>
      <c r="Q1360" s="10"/>
      <c r="R1360" s="10"/>
      <c r="S1360" s="7" t="s">
        <v>407</v>
      </c>
      <c r="T1360" s="7" t="s">
        <v>3263</v>
      </c>
      <c r="U1360" s="7" t="s">
        <v>44</v>
      </c>
      <c r="V1360" s="7" t="s">
        <v>45</v>
      </c>
      <c r="W1360" s="7" t="s">
        <v>130</v>
      </c>
      <c r="X1360" s="7" t="s">
        <v>164</v>
      </c>
      <c r="Y1360" s="7" t="s">
        <v>3321</v>
      </c>
      <c r="Z1360" s="7" t="s">
        <v>3306</v>
      </c>
      <c r="AA1360" s="7"/>
      <c r="AB1360" s="7"/>
      <c r="AC1360" s="7" t="s">
        <v>161</v>
      </c>
      <c r="AD1360" s="7"/>
      <c r="AE1360" s="7"/>
      <c r="AF1360" s="7" t="s">
        <v>50</v>
      </c>
      <c r="AG1360" s="7" t="s">
        <v>159</v>
      </c>
      <c r="AH1360" s="7" t="s">
        <v>167</v>
      </c>
    </row>
    <row r="1361" spans="1:34" ht="9.75" customHeight="1" x14ac:dyDescent="0.2">
      <c r="A1361" s="7" t="s">
        <v>37</v>
      </c>
      <c r="B1361" s="7" t="s">
        <v>38</v>
      </c>
      <c r="C1361" s="7"/>
      <c r="D1361" s="7" t="s">
        <v>3322</v>
      </c>
      <c r="E1361" s="8">
        <v>1</v>
      </c>
      <c r="F1361" s="7" t="s">
        <v>41</v>
      </c>
      <c r="G1361" s="7"/>
      <c r="H1361" s="9"/>
      <c r="I1361" s="9"/>
      <c r="J1361" s="9"/>
      <c r="K1361" s="9"/>
      <c r="L1361" s="10">
        <v>4425</v>
      </c>
      <c r="M1361" s="9"/>
      <c r="N1361" s="10">
        <v>4425</v>
      </c>
      <c r="O1361" s="9"/>
      <c r="P1361" s="10"/>
      <c r="Q1361" s="10"/>
      <c r="R1361" s="10"/>
      <c r="S1361" s="7" t="s">
        <v>407</v>
      </c>
      <c r="T1361" s="7" t="s">
        <v>3263</v>
      </c>
      <c r="U1361" s="7" t="s">
        <v>44</v>
      </c>
      <c r="V1361" s="7" t="s">
        <v>45</v>
      </c>
      <c r="W1361" s="7" t="s">
        <v>130</v>
      </c>
      <c r="X1361" s="7" t="s">
        <v>164</v>
      </c>
      <c r="Y1361" s="7" t="s">
        <v>3323</v>
      </c>
      <c r="Z1361" s="7" t="s">
        <v>3306</v>
      </c>
      <c r="AA1361" s="7"/>
      <c r="AB1361" s="7"/>
      <c r="AC1361" s="7" t="s">
        <v>161</v>
      </c>
      <c r="AD1361" s="7"/>
      <c r="AE1361" s="7" t="s">
        <v>3324</v>
      </c>
      <c r="AF1361" s="7" t="s">
        <v>50</v>
      </c>
      <c r="AG1361" s="7" t="s">
        <v>159</v>
      </c>
      <c r="AH1361" s="7" t="s">
        <v>167</v>
      </c>
    </row>
    <row r="1362" spans="1:34" ht="9.75" customHeight="1" x14ac:dyDescent="0.2">
      <c r="A1362" s="7" t="s">
        <v>37</v>
      </c>
      <c r="B1362" s="7" t="s">
        <v>38</v>
      </c>
      <c r="C1362" s="7"/>
      <c r="D1362" s="7" t="s">
        <v>3325</v>
      </c>
      <c r="E1362" s="8">
        <v>1</v>
      </c>
      <c r="F1362" s="7" t="s">
        <v>41</v>
      </c>
      <c r="G1362" s="7"/>
      <c r="H1362" s="9"/>
      <c r="I1362" s="9"/>
      <c r="J1362" s="9"/>
      <c r="K1362" s="9"/>
      <c r="L1362" s="10">
        <v>11772</v>
      </c>
      <c r="M1362" s="9"/>
      <c r="N1362" s="10">
        <v>11772</v>
      </c>
      <c r="O1362" s="9"/>
      <c r="P1362" s="10"/>
      <c r="Q1362" s="10"/>
      <c r="R1362" s="10"/>
      <c r="S1362" s="7" t="s">
        <v>407</v>
      </c>
      <c r="T1362" s="7" t="s">
        <v>3263</v>
      </c>
      <c r="U1362" s="7" t="s">
        <v>44</v>
      </c>
      <c r="V1362" s="7" t="s">
        <v>45</v>
      </c>
      <c r="W1362" s="7" t="s">
        <v>130</v>
      </c>
      <c r="X1362" s="7" t="s">
        <v>164</v>
      </c>
      <c r="Y1362" s="7" t="s">
        <v>3326</v>
      </c>
      <c r="Z1362" s="7" t="s">
        <v>3306</v>
      </c>
      <c r="AA1362" s="7"/>
      <c r="AB1362" s="7"/>
      <c r="AC1362" s="7" t="s">
        <v>161</v>
      </c>
      <c r="AD1362" s="7"/>
      <c r="AE1362" s="7" t="s">
        <v>1073</v>
      </c>
      <c r="AF1362" s="7" t="s">
        <v>50</v>
      </c>
      <c r="AG1362" s="7" t="s">
        <v>159</v>
      </c>
      <c r="AH1362" s="7" t="s">
        <v>167</v>
      </c>
    </row>
    <row r="1363" spans="1:34" ht="9.75" customHeight="1" x14ac:dyDescent="0.2">
      <c r="A1363" s="7" t="s">
        <v>37</v>
      </c>
      <c r="B1363" s="7" t="s">
        <v>38</v>
      </c>
      <c r="C1363" s="7"/>
      <c r="D1363" s="7" t="s">
        <v>3327</v>
      </c>
      <c r="E1363" s="8">
        <v>1</v>
      </c>
      <c r="F1363" s="7" t="s">
        <v>41</v>
      </c>
      <c r="G1363" s="7"/>
      <c r="H1363" s="9"/>
      <c r="I1363" s="9"/>
      <c r="J1363" s="9"/>
      <c r="K1363" s="9"/>
      <c r="L1363" s="10">
        <v>53315</v>
      </c>
      <c r="M1363" s="9"/>
      <c r="N1363" s="10">
        <v>53315</v>
      </c>
      <c r="O1363" s="9"/>
      <c r="P1363" s="10"/>
      <c r="Q1363" s="10"/>
      <c r="R1363" s="10"/>
      <c r="S1363" s="7" t="s">
        <v>407</v>
      </c>
      <c r="T1363" s="7" t="s">
        <v>3263</v>
      </c>
      <c r="U1363" s="7" t="s">
        <v>44</v>
      </c>
      <c r="V1363" s="7" t="s">
        <v>45</v>
      </c>
      <c r="W1363" s="7" t="s">
        <v>130</v>
      </c>
      <c r="X1363" s="7" t="s">
        <v>164</v>
      </c>
      <c r="Y1363" s="7" t="s">
        <v>3328</v>
      </c>
      <c r="Z1363" s="7" t="s">
        <v>3329</v>
      </c>
      <c r="AA1363" s="7"/>
      <c r="AB1363" s="7"/>
      <c r="AC1363" s="7" t="s">
        <v>161</v>
      </c>
      <c r="AD1363" s="7"/>
      <c r="AE1363" s="7" t="s">
        <v>3330</v>
      </c>
      <c r="AF1363" s="7" t="s">
        <v>50</v>
      </c>
      <c r="AG1363" s="7" t="s">
        <v>159</v>
      </c>
      <c r="AH1363" s="7" t="s">
        <v>167</v>
      </c>
    </row>
    <row r="1364" spans="1:34" ht="9.75" customHeight="1" x14ac:dyDescent="0.2">
      <c r="A1364" s="7" t="s">
        <v>37</v>
      </c>
      <c r="B1364" s="7" t="s">
        <v>38</v>
      </c>
      <c r="C1364" s="7"/>
      <c r="D1364" s="7" t="s">
        <v>3331</v>
      </c>
      <c r="E1364" s="8">
        <v>1</v>
      </c>
      <c r="F1364" s="7" t="s">
        <v>41</v>
      </c>
      <c r="G1364" s="7"/>
      <c r="H1364" s="9"/>
      <c r="I1364" s="9"/>
      <c r="J1364" s="9"/>
      <c r="K1364" s="9"/>
      <c r="L1364" s="10">
        <v>30918</v>
      </c>
      <c r="M1364" s="9"/>
      <c r="N1364" s="10">
        <v>30918</v>
      </c>
      <c r="O1364" s="9"/>
      <c r="P1364" s="10"/>
      <c r="Q1364" s="10"/>
      <c r="R1364" s="10"/>
      <c r="S1364" s="7" t="s">
        <v>407</v>
      </c>
      <c r="T1364" s="7" t="s">
        <v>3263</v>
      </c>
      <c r="U1364" s="7" t="s">
        <v>44</v>
      </c>
      <c r="V1364" s="7" t="s">
        <v>45</v>
      </c>
      <c r="W1364" s="7" t="s">
        <v>130</v>
      </c>
      <c r="X1364" s="7" t="s">
        <v>164</v>
      </c>
      <c r="Y1364" s="7" t="s">
        <v>3332</v>
      </c>
      <c r="Z1364" s="7" t="s">
        <v>3329</v>
      </c>
      <c r="AA1364" s="7"/>
      <c r="AB1364" s="7"/>
      <c r="AC1364" s="7" t="s">
        <v>161</v>
      </c>
      <c r="AD1364" s="7"/>
      <c r="AE1364" s="7" t="s">
        <v>3333</v>
      </c>
      <c r="AF1364" s="7" t="s">
        <v>50</v>
      </c>
      <c r="AG1364" s="7" t="s">
        <v>159</v>
      </c>
      <c r="AH1364" s="7" t="s">
        <v>167</v>
      </c>
    </row>
    <row r="1365" spans="1:34" ht="9.75" customHeight="1" x14ac:dyDescent="0.2">
      <c r="A1365" s="7" t="s">
        <v>37</v>
      </c>
      <c r="B1365" s="7" t="s">
        <v>38</v>
      </c>
      <c r="C1365" s="7"/>
      <c r="D1365" s="7" t="s">
        <v>3334</v>
      </c>
      <c r="E1365" s="8">
        <v>1</v>
      </c>
      <c r="F1365" s="7" t="s">
        <v>41</v>
      </c>
      <c r="G1365" s="7"/>
      <c r="H1365" s="9"/>
      <c r="I1365" s="9"/>
      <c r="J1365" s="9"/>
      <c r="K1365" s="9"/>
      <c r="L1365" s="10">
        <v>27115</v>
      </c>
      <c r="M1365" s="9"/>
      <c r="N1365" s="10">
        <v>27115</v>
      </c>
      <c r="O1365" s="9"/>
      <c r="P1365" s="10"/>
      <c r="Q1365" s="10"/>
      <c r="R1365" s="10"/>
      <c r="S1365" s="7" t="s">
        <v>407</v>
      </c>
      <c r="T1365" s="7" t="s">
        <v>3263</v>
      </c>
      <c r="U1365" s="7" t="s">
        <v>44</v>
      </c>
      <c r="V1365" s="7" t="s">
        <v>45</v>
      </c>
      <c r="W1365" s="7" t="s">
        <v>130</v>
      </c>
      <c r="X1365" s="7" t="s">
        <v>164</v>
      </c>
      <c r="Y1365" s="7" t="s">
        <v>3335</v>
      </c>
      <c r="Z1365" s="7" t="s">
        <v>3329</v>
      </c>
      <c r="AA1365" s="7"/>
      <c r="AB1365" s="7"/>
      <c r="AC1365" s="7" t="s">
        <v>161</v>
      </c>
      <c r="AD1365" s="7"/>
      <c r="AE1365" s="7"/>
      <c r="AF1365" s="7" t="s">
        <v>50</v>
      </c>
      <c r="AG1365" s="7" t="s">
        <v>159</v>
      </c>
      <c r="AH1365" s="7" t="s">
        <v>167</v>
      </c>
    </row>
    <row r="1366" spans="1:34" ht="9.75" customHeight="1" x14ac:dyDescent="0.2">
      <c r="A1366" s="7" t="s">
        <v>37</v>
      </c>
      <c r="B1366" s="7" t="s">
        <v>38</v>
      </c>
      <c r="C1366" s="7"/>
      <c r="D1366" s="7" t="s">
        <v>3336</v>
      </c>
      <c r="E1366" s="8">
        <v>1</v>
      </c>
      <c r="F1366" s="7" t="s">
        <v>41</v>
      </c>
      <c r="G1366" s="7"/>
      <c r="H1366" s="9"/>
      <c r="I1366" s="9"/>
      <c r="J1366" s="9"/>
      <c r="K1366" s="9"/>
      <c r="L1366" s="10">
        <v>3098</v>
      </c>
      <c r="M1366" s="9"/>
      <c r="N1366" s="10">
        <v>3098</v>
      </c>
      <c r="O1366" s="9"/>
      <c r="P1366" s="10"/>
      <c r="Q1366" s="10"/>
      <c r="R1366" s="10"/>
      <c r="S1366" s="7" t="s">
        <v>407</v>
      </c>
      <c r="T1366" s="7" t="s">
        <v>3263</v>
      </c>
      <c r="U1366" s="7" t="s">
        <v>44</v>
      </c>
      <c r="V1366" s="7" t="s">
        <v>45</v>
      </c>
      <c r="W1366" s="7" t="s">
        <v>130</v>
      </c>
      <c r="X1366" s="7" t="s">
        <v>164</v>
      </c>
      <c r="Y1366" s="7" t="s">
        <v>3337</v>
      </c>
      <c r="Z1366" s="7" t="s">
        <v>3329</v>
      </c>
      <c r="AA1366" s="7"/>
      <c r="AB1366" s="7"/>
      <c r="AC1366" s="7" t="s">
        <v>161</v>
      </c>
      <c r="AD1366" s="7"/>
      <c r="AE1366" s="7" t="s">
        <v>3338</v>
      </c>
      <c r="AF1366" s="7" t="s">
        <v>50</v>
      </c>
      <c r="AG1366" s="7" t="s">
        <v>159</v>
      </c>
      <c r="AH1366" s="7" t="s">
        <v>167</v>
      </c>
    </row>
    <row r="1367" spans="1:34" ht="9.75" customHeight="1" x14ac:dyDescent="0.2">
      <c r="A1367" s="7" t="s">
        <v>37</v>
      </c>
      <c r="B1367" s="7" t="s">
        <v>38</v>
      </c>
      <c r="C1367" s="7"/>
      <c r="D1367" s="7" t="s">
        <v>3339</v>
      </c>
      <c r="E1367" s="8">
        <v>1</v>
      </c>
      <c r="F1367" s="7" t="s">
        <v>41</v>
      </c>
      <c r="G1367" s="7"/>
      <c r="H1367" s="9"/>
      <c r="I1367" s="9"/>
      <c r="J1367" s="9"/>
      <c r="K1367" s="9"/>
      <c r="L1367" s="10">
        <v>6751</v>
      </c>
      <c r="M1367" s="9"/>
      <c r="N1367" s="10">
        <v>6751</v>
      </c>
      <c r="O1367" s="9"/>
      <c r="P1367" s="10"/>
      <c r="Q1367" s="10"/>
      <c r="R1367" s="10"/>
      <c r="S1367" s="7" t="s">
        <v>407</v>
      </c>
      <c r="T1367" s="7" t="s">
        <v>3263</v>
      </c>
      <c r="U1367" s="7" t="s">
        <v>44</v>
      </c>
      <c r="V1367" s="7" t="s">
        <v>45</v>
      </c>
      <c r="W1367" s="7" t="s">
        <v>130</v>
      </c>
      <c r="X1367" s="7" t="s">
        <v>164</v>
      </c>
      <c r="Y1367" s="7" t="s">
        <v>3340</v>
      </c>
      <c r="Z1367" s="7" t="s">
        <v>3329</v>
      </c>
      <c r="AA1367" s="7"/>
      <c r="AB1367" s="7"/>
      <c r="AC1367" s="7" t="s">
        <v>161</v>
      </c>
      <c r="AD1367" s="7"/>
      <c r="AE1367" s="7" t="s">
        <v>3341</v>
      </c>
      <c r="AF1367" s="7" t="s">
        <v>50</v>
      </c>
      <c r="AG1367" s="7" t="s">
        <v>159</v>
      </c>
      <c r="AH1367" s="7" t="s">
        <v>167</v>
      </c>
    </row>
    <row r="1368" spans="1:34" ht="9.75" customHeight="1" x14ac:dyDescent="0.2">
      <c r="A1368" s="7" t="s">
        <v>37</v>
      </c>
      <c r="B1368" s="7" t="s">
        <v>38</v>
      </c>
      <c r="C1368" s="7"/>
      <c r="D1368" s="7" t="s">
        <v>3342</v>
      </c>
      <c r="E1368" s="8">
        <v>1</v>
      </c>
      <c r="F1368" s="7" t="s">
        <v>41</v>
      </c>
      <c r="G1368" s="7"/>
      <c r="H1368" s="9"/>
      <c r="I1368" s="9"/>
      <c r="J1368" s="9"/>
      <c r="K1368" s="9"/>
      <c r="L1368" s="10">
        <v>98758</v>
      </c>
      <c r="M1368" s="9"/>
      <c r="N1368" s="10">
        <v>98758</v>
      </c>
      <c r="O1368" s="9"/>
      <c r="P1368" s="10"/>
      <c r="Q1368" s="10"/>
      <c r="R1368" s="10"/>
      <c r="S1368" s="7" t="s">
        <v>407</v>
      </c>
      <c r="T1368" s="7" t="s">
        <v>3263</v>
      </c>
      <c r="U1368" s="7" t="s">
        <v>44</v>
      </c>
      <c r="V1368" s="7" t="s">
        <v>45</v>
      </c>
      <c r="W1368" s="7" t="s">
        <v>130</v>
      </c>
      <c r="X1368" s="7" t="s">
        <v>164</v>
      </c>
      <c r="Y1368" s="7" t="s">
        <v>3343</v>
      </c>
      <c r="Z1368" s="7" t="s">
        <v>3344</v>
      </c>
      <c r="AA1368" s="7"/>
      <c r="AB1368" s="7"/>
      <c r="AC1368" s="7" t="s">
        <v>161</v>
      </c>
      <c r="AD1368" s="7"/>
      <c r="AE1368" s="7"/>
      <c r="AF1368" s="7" t="s">
        <v>50</v>
      </c>
      <c r="AG1368" s="7" t="s">
        <v>159</v>
      </c>
      <c r="AH1368" s="7" t="s">
        <v>167</v>
      </c>
    </row>
    <row r="1369" spans="1:34" ht="9.75" customHeight="1" x14ac:dyDescent="0.2">
      <c r="A1369" s="7" t="s">
        <v>37</v>
      </c>
      <c r="B1369" s="7" t="s">
        <v>38</v>
      </c>
      <c r="C1369" s="7"/>
      <c r="D1369" s="7" t="s">
        <v>3345</v>
      </c>
      <c r="E1369" s="8">
        <v>1</v>
      </c>
      <c r="F1369" s="7" t="s">
        <v>41</v>
      </c>
      <c r="G1369" s="7"/>
      <c r="H1369" s="9"/>
      <c r="I1369" s="9"/>
      <c r="J1369" s="9"/>
      <c r="K1369" s="9"/>
      <c r="L1369" s="10">
        <v>4305</v>
      </c>
      <c r="M1369" s="9"/>
      <c r="N1369" s="10">
        <v>4305</v>
      </c>
      <c r="O1369" s="9"/>
      <c r="P1369" s="10"/>
      <c r="Q1369" s="10"/>
      <c r="R1369" s="10"/>
      <c r="S1369" s="7" t="s">
        <v>407</v>
      </c>
      <c r="T1369" s="7" t="s">
        <v>3263</v>
      </c>
      <c r="U1369" s="7" t="s">
        <v>44</v>
      </c>
      <c r="V1369" s="7" t="s">
        <v>45</v>
      </c>
      <c r="W1369" s="7" t="s">
        <v>130</v>
      </c>
      <c r="X1369" s="7" t="s">
        <v>164</v>
      </c>
      <c r="Y1369" s="7" t="s">
        <v>3346</v>
      </c>
      <c r="Z1369" s="7" t="s">
        <v>3344</v>
      </c>
      <c r="AA1369" s="7"/>
      <c r="AB1369" s="7"/>
      <c r="AC1369" s="7" t="s">
        <v>161</v>
      </c>
      <c r="AD1369" s="7"/>
      <c r="AE1369" s="7"/>
      <c r="AF1369" s="7" t="s">
        <v>50</v>
      </c>
      <c r="AG1369" s="7" t="s">
        <v>159</v>
      </c>
      <c r="AH1369" s="7" t="s">
        <v>167</v>
      </c>
    </row>
    <row r="1370" spans="1:34" ht="9.75" customHeight="1" x14ac:dyDescent="0.2">
      <c r="A1370" s="7" t="s">
        <v>37</v>
      </c>
      <c r="B1370" s="7" t="s">
        <v>38</v>
      </c>
      <c r="C1370" s="7"/>
      <c r="D1370" s="7" t="s">
        <v>3347</v>
      </c>
      <c r="E1370" s="8">
        <v>1</v>
      </c>
      <c r="F1370" s="7" t="s">
        <v>41</v>
      </c>
      <c r="G1370" s="7"/>
      <c r="H1370" s="9"/>
      <c r="I1370" s="9"/>
      <c r="J1370" s="9"/>
      <c r="K1370" s="9"/>
      <c r="L1370" s="10">
        <v>3928</v>
      </c>
      <c r="M1370" s="9"/>
      <c r="N1370" s="10">
        <v>3928</v>
      </c>
      <c r="O1370" s="9"/>
      <c r="P1370" s="10"/>
      <c r="Q1370" s="10"/>
      <c r="R1370" s="10"/>
      <c r="S1370" s="7" t="s">
        <v>407</v>
      </c>
      <c r="T1370" s="7" t="s">
        <v>3263</v>
      </c>
      <c r="U1370" s="7" t="s">
        <v>44</v>
      </c>
      <c r="V1370" s="7" t="s">
        <v>45</v>
      </c>
      <c r="W1370" s="7" t="s">
        <v>130</v>
      </c>
      <c r="X1370" s="7" t="s">
        <v>164</v>
      </c>
      <c r="Y1370" s="7" t="s">
        <v>3348</v>
      </c>
      <c r="Z1370" s="7" t="s">
        <v>3344</v>
      </c>
      <c r="AA1370" s="7"/>
      <c r="AB1370" s="7"/>
      <c r="AC1370" s="7" t="s">
        <v>161</v>
      </c>
      <c r="AD1370" s="7"/>
      <c r="AE1370" s="7"/>
      <c r="AF1370" s="7" t="s">
        <v>50</v>
      </c>
      <c r="AG1370" s="7" t="s">
        <v>159</v>
      </c>
      <c r="AH1370" s="7" t="s">
        <v>167</v>
      </c>
    </row>
    <row r="1371" spans="1:34" ht="9.75" customHeight="1" x14ac:dyDescent="0.2">
      <c r="A1371" s="7" t="s">
        <v>37</v>
      </c>
      <c r="B1371" s="7" t="s">
        <v>38</v>
      </c>
      <c r="C1371" s="7"/>
      <c r="D1371" s="7" t="s">
        <v>3349</v>
      </c>
      <c r="E1371" s="8">
        <v>1</v>
      </c>
      <c r="F1371" s="7" t="s">
        <v>41</v>
      </c>
      <c r="G1371" s="7"/>
      <c r="H1371" s="9"/>
      <c r="I1371" s="9"/>
      <c r="J1371" s="9"/>
      <c r="K1371" s="9"/>
      <c r="L1371" s="10">
        <v>15614</v>
      </c>
      <c r="M1371" s="9"/>
      <c r="N1371" s="10">
        <v>15614</v>
      </c>
      <c r="O1371" s="9"/>
      <c r="P1371" s="10"/>
      <c r="Q1371" s="10"/>
      <c r="R1371" s="10"/>
      <c r="S1371" s="7" t="s">
        <v>407</v>
      </c>
      <c r="T1371" s="7" t="s">
        <v>3263</v>
      </c>
      <c r="U1371" s="7" t="s">
        <v>44</v>
      </c>
      <c r="V1371" s="7" t="s">
        <v>45</v>
      </c>
      <c r="W1371" s="7" t="s">
        <v>130</v>
      </c>
      <c r="X1371" s="7" t="s">
        <v>164</v>
      </c>
      <c r="Y1371" s="7" t="s">
        <v>3350</v>
      </c>
      <c r="Z1371" s="7" t="s">
        <v>3344</v>
      </c>
      <c r="AA1371" s="7"/>
      <c r="AB1371" s="7"/>
      <c r="AC1371" s="7" t="s">
        <v>161</v>
      </c>
      <c r="AD1371" s="7"/>
      <c r="AE1371" s="7" t="s">
        <v>427</v>
      </c>
      <c r="AF1371" s="7" t="s">
        <v>50</v>
      </c>
      <c r="AG1371" s="7" t="s">
        <v>159</v>
      </c>
      <c r="AH1371" s="7" t="s">
        <v>167</v>
      </c>
    </row>
    <row r="1372" spans="1:34" ht="9.75" customHeight="1" x14ac:dyDescent="0.2">
      <c r="A1372" s="7" t="s">
        <v>37</v>
      </c>
      <c r="B1372" s="7" t="s">
        <v>38</v>
      </c>
      <c r="C1372" s="7"/>
      <c r="D1372" s="7" t="s">
        <v>3351</v>
      </c>
      <c r="E1372" s="8">
        <v>1</v>
      </c>
      <c r="F1372" s="7" t="s">
        <v>41</v>
      </c>
      <c r="G1372" s="7"/>
      <c r="H1372" s="9"/>
      <c r="I1372" s="9"/>
      <c r="J1372" s="9"/>
      <c r="K1372" s="9"/>
      <c r="L1372" s="10">
        <v>36194</v>
      </c>
      <c r="M1372" s="9"/>
      <c r="N1372" s="10">
        <v>36194</v>
      </c>
      <c r="O1372" s="9"/>
      <c r="P1372" s="10"/>
      <c r="Q1372" s="10"/>
      <c r="R1372" s="10"/>
      <c r="S1372" s="7" t="s">
        <v>407</v>
      </c>
      <c r="T1372" s="7" t="s">
        <v>3263</v>
      </c>
      <c r="U1372" s="7" t="s">
        <v>44</v>
      </c>
      <c r="V1372" s="7" t="s">
        <v>45</v>
      </c>
      <c r="W1372" s="7" t="s">
        <v>130</v>
      </c>
      <c r="X1372" s="7" t="s">
        <v>164</v>
      </c>
      <c r="Y1372" s="7" t="s">
        <v>3352</v>
      </c>
      <c r="Z1372" s="7" t="s">
        <v>3353</v>
      </c>
      <c r="AA1372" s="7"/>
      <c r="AB1372" s="7"/>
      <c r="AC1372" s="7" t="s">
        <v>161</v>
      </c>
      <c r="AD1372" s="7"/>
      <c r="AE1372" s="7"/>
      <c r="AF1372" s="7" t="s">
        <v>50</v>
      </c>
      <c r="AG1372" s="7" t="s">
        <v>159</v>
      </c>
      <c r="AH1372" s="7" t="s">
        <v>167</v>
      </c>
    </row>
    <row r="1373" spans="1:34" ht="9.75" customHeight="1" x14ac:dyDescent="0.2">
      <c r="A1373" s="7" t="s">
        <v>37</v>
      </c>
      <c r="B1373" s="7" t="s">
        <v>38</v>
      </c>
      <c r="C1373" s="7"/>
      <c r="D1373" s="7" t="s">
        <v>3354</v>
      </c>
      <c r="E1373" s="8">
        <v>1</v>
      </c>
      <c r="F1373" s="7" t="s">
        <v>41</v>
      </c>
      <c r="G1373" s="7"/>
      <c r="H1373" s="9"/>
      <c r="I1373" s="9"/>
      <c r="J1373" s="9"/>
      <c r="K1373" s="9"/>
      <c r="L1373" s="10">
        <v>1725</v>
      </c>
      <c r="M1373" s="9"/>
      <c r="N1373" s="10">
        <v>1725</v>
      </c>
      <c r="O1373" s="9"/>
      <c r="P1373" s="10"/>
      <c r="Q1373" s="10"/>
      <c r="R1373" s="10"/>
      <c r="S1373" s="7" t="s">
        <v>407</v>
      </c>
      <c r="T1373" s="7" t="s">
        <v>3263</v>
      </c>
      <c r="U1373" s="7" t="s">
        <v>44</v>
      </c>
      <c r="V1373" s="7" t="s">
        <v>45</v>
      </c>
      <c r="W1373" s="7" t="s">
        <v>130</v>
      </c>
      <c r="X1373" s="7" t="s">
        <v>164</v>
      </c>
      <c r="Y1373" s="7" t="s">
        <v>3355</v>
      </c>
      <c r="Z1373" s="7" t="s">
        <v>3353</v>
      </c>
      <c r="AA1373" s="7"/>
      <c r="AB1373" s="7"/>
      <c r="AC1373" s="7" t="s">
        <v>161</v>
      </c>
      <c r="AD1373" s="7"/>
      <c r="AE1373" s="7"/>
      <c r="AF1373" s="7" t="s">
        <v>50</v>
      </c>
      <c r="AG1373" s="7" t="s">
        <v>159</v>
      </c>
      <c r="AH1373" s="7" t="s">
        <v>167</v>
      </c>
    </row>
    <row r="1374" spans="1:34" ht="9.75" customHeight="1" x14ac:dyDescent="0.2">
      <c r="A1374" s="7" t="s">
        <v>37</v>
      </c>
      <c r="B1374" s="7" t="s">
        <v>38</v>
      </c>
      <c r="C1374" s="7"/>
      <c r="D1374" s="7" t="s">
        <v>3356</v>
      </c>
      <c r="E1374" s="8">
        <v>1</v>
      </c>
      <c r="F1374" s="7" t="s">
        <v>41</v>
      </c>
      <c r="G1374" s="7"/>
      <c r="H1374" s="9"/>
      <c r="I1374" s="9"/>
      <c r="J1374" s="9"/>
      <c r="K1374" s="9"/>
      <c r="L1374" s="10">
        <v>2857</v>
      </c>
      <c r="M1374" s="9"/>
      <c r="N1374" s="10">
        <v>2857</v>
      </c>
      <c r="O1374" s="9"/>
      <c r="P1374" s="10"/>
      <c r="Q1374" s="10"/>
      <c r="R1374" s="10"/>
      <c r="S1374" s="7" t="s">
        <v>407</v>
      </c>
      <c r="T1374" s="7" t="s">
        <v>3263</v>
      </c>
      <c r="U1374" s="7" t="s">
        <v>44</v>
      </c>
      <c r="V1374" s="7" t="s">
        <v>45</v>
      </c>
      <c r="W1374" s="7" t="s">
        <v>130</v>
      </c>
      <c r="X1374" s="7" t="s">
        <v>164</v>
      </c>
      <c r="Y1374" s="7" t="s">
        <v>3357</v>
      </c>
      <c r="Z1374" s="7" t="s">
        <v>3353</v>
      </c>
      <c r="AA1374" s="7"/>
      <c r="AB1374" s="7"/>
      <c r="AC1374" s="7" t="s">
        <v>161</v>
      </c>
      <c r="AD1374" s="7"/>
      <c r="AE1374" s="7"/>
      <c r="AF1374" s="7" t="s">
        <v>50</v>
      </c>
      <c r="AG1374" s="7" t="s">
        <v>159</v>
      </c>
      <c r="AH1374" s="7" t="s">
        <v>167</v>
      </c>
    </row>
    <row r="1375" spans="1:34" ht="9.75" customHeight="1" x14ac:dyDescent="0.2">
      <c r="A1375" s="7" t="s">
        <v>37</v>
      </c>
      <c r="B1375" s="7" t="s">
        <v>38</v>
      </c>
      <c r="C1375" s="7"/>
      <c r="D1375" s="7" t="s">
        <v>3358</v>
      </c>
      <c r="E1375" s="8">
        <v>1</v>
      </c>
      <c r="F1375" s="7" t="s">
        <v>41</v>
      </c>
      <c r="G1375" s="7"/>
      <c r="H1375" s="9"/>
      <c r="I1375" s="9"/>
      <c r="J1375" s="9"/>
      <c r="K1375" s="9"/>
      <c r="L1375" s="10">
        <v>51616</v>
      </c>
      <c r="M1375" s="9"/>
      <c r="N1375" s="10">
        <v>51616</v>
      </c>
      <c r="O1375" s="9"/>
      <c r="P1375" s="10"/>
      <c r="Q1375" s="10"/>
      <c r="R1375" s="10"/>
      <c r="S1375" s="7" t="s">
        <v>407</v>
      </c>
      <c r="T1375" s="7" t="s">
        <v>3263</v>
      </c>
      <c r="U1375" s="7" t="s">
        <v>44</v>
      </c>
      <c r="V1375" s="7" t="s">
        <v>45</v>
      </c>
      <c r="W1375" s="7" t="s">
        <v>130</v>
      </c>
      <c r="X1375" s="7" t="s">
        <v>164</v>
      </c>
      <c r="Y1375" s="7" t="s">
        <v>3359</v>
      </c>
      <c r="Z1375" s="7" t="s">
        <v>3353</v>
      </c>
      <c r="AA1375" s="7"/>
      <c r="AB1375" s="7"/>
      <c r="AC1375" s="7" t="s">
        <v>161</v>
      </c>
      <c r="AD1375" s="7"/>
      <c r="AE1375" s="7"/>
      <c r="AF1375" s="7" t="s">
        <v>50</v>
      </c>
      <c r="AG1375" s="7" t="s">
        <v>159</v>
      </c>
      <c r="AH1375" s="7" t="s">
        <v>167</v>
      </c>
    </row>
    <row r="1376" spans="1:34" ht="9.75" customHeight="1" x14ac:dyDescent="0.2">
      <c r="A1376" s="7" t="s">
        <v>37</v>
      </c>
      <c r="B1376" s="7" t="s">
        <v>38</v>
      </c>
      <c r="C1376" s="7"/>
      <c r="D1376" s="7" t="s">
        <v>3360</v>
      </c>
      <c r="E1376" s="8">
        <v>1</v>
      </c>
      <c r="F1376" s="7" t="s">
        <v>41</v>
      </c>
      <c r="G1376" s="7"/>
      <c r="H1376" s="9"/>
      <c r="I1376" s="9"/>
      <c r="J1376" s="9"/>
      <c r="K1376" s="9"/>
      <c r="L1376" s="10">
        <v>42500</v>
      </c>
      <c r="M1376" s="9"/>
      <c r="N1376" s="10">
        <v>42500</v>
      </c>
      <c r="O1376" s="9"/>
      <c r="P1376" s="10"/>
      <c r="Q1376" s="10"/>
      <c r="R1376" s="10"/>
      <c r="S1376" s="7" t="s">
        <v>407</v>
      </c>
      <c r="T1376" s="7" t="s">
        <v>3263</v>
      </c>
      <c r="U1376" s="7" t="s">
        <v>44</v>
      </c>
      <c r="V1376" s="7" t="s">
        <v>45</v>
      </c>
      <c r="W1376" s="7" t="s">
        <v>130</v>
      </c>
      <c r="X1376" s="7" t="s">
        <v>164</v>
      </c>
      <c r="Y1376" s="7" t="s">
        <v>3361</v>
      </c>
      <c r="Z1376" s="7" t="s">
        <v>3362</v>
      </c>
      <c r="AA1376" s="7"/>
      <c r="AB1376" s="7"/>
      <c r="AC1376" s="7" t="s">
        <v>161</v>
      </c>
      <c r="AD1376" s="7"/>
      <c r="AE1376" s="7"/>
      <c r="AF1376" s="7" t="s">
        <v>50</v>
      </c>
      <c r="AG1376" s="7" t="s">
        <v>159</v>
      </c>
      <c r="AH1376" s="7" t="s">
        <v>167</v>
      </c>
    </row>
    <row r="1377" spans="1:34" ht="9.75" customHeight="1" x14ac:dyDescent="0.2">
      <c r="A1377" s="7" t="s">
        <v>37</v>
      </c>
      <c r="B1377" s="7" t="s">
        <v>38</v>
      </c>
      <c r="C1377" s="7"/>
      <c r="D1377" s="7" t="s">
        <v>3363</v>
      </c>
      <c r="E1377" s="8">
        <v>1</v>
      </c>
      <c r="F1377" s="7" t="s">
        <v>41</v>
      </c>
      <c r="G1377" s="7"/>
      <c r="H1377" s="9"/>
      <c r="I1377" s="9"/>
      <c r="J1377" s="9"/>
      <c r="K1377" s="9"/>
      <c r="L1377" s="10">
        <v>7026</v>
      </c>
      <c r="M1377" s="9"/>
      <c r="N1377" s="10">
        <v>7026</v>
      </c>
      <c r="O1377" s="9"/>
      <c r="P1377" s="10"/>
      <c r="Q1377" s="10"/>
      <c r="R1377" s="10"/>
      <c r="S1377" s="7" t="s">
        <v>407</v>
      </c>
      <c r="T1377" s="7" t="s">
        <v>3263</v>
      </c>
      <c r="U1377" s="7" t="s">
        <v>44</v>
      </c>
      <c r="V1377" s="7" t="s">
        <v>45</v>
      </c>
      <c r="W1377" s="7" t="s">
        <v>130</v>
      </c>
      <c r="X1377" s="7" t="s">
        <v>164</v>
      </c>
      <c r="Y1377" s="7" t="s">
        <v>3364</v>
      </c>
      <c r="Z1377" s="7" t="s">
        <v>3362</v>
      </c>
      <c r="AA1377" s="7"/>
      <c r="AB1377" s="7"/>
      <c r="AC1377" s="7" t="s">
        <v>161</v>
      </c>
      <c r="AD1377" s="7"/>
      <c r="AE1377" s="7"/>
      <c r="AF1377" s="7" t="s">
        <v>50</v>
      </c>
      <c r="AG1377" s="7" t="s">
        <v>159</v>
      </c>
      <c r="AH1377" s="7" t="s">
        <v>167</v>
      </c>
    </row>
    <row r="1378" spans="1:34" ht="9.75" customHeight="1" x14ac:dyDescent="0.2">
      <c r="A1378" s="7" t="s">
        <v>37</v>
      </c>
      <c r="B1378" s="7" t="s">
        <v>38</v>
      </c>
      <c r="C1378" s="7"/>
      <c r="D1378" s="7" t="s">
        <v>3365</v>
      </c>
      <c r="E1378" s="8">
        <v>1</v>
      </c>
      <c r="F1378" s="7" t="s">
        <v>41</v>
      </c>
      <c r="G1378" s="7"/>
      <c r="H1378" s="9"/>
      <c r="I1378" s="9"/>
      <c r="J1378" s="9"/>
      <c r="K1378" s="9"/>
      <c r="L1378" s="10">
        <v>4481</v>
      </c>
      <c r="M1378" s="9"/>
      <c r="N1378" s="10">
        <v>4481</v>
      </c>
      <c r="O1378" s="9"/>
      <c r="P1378" s="10"/>
      <c r="Q1378" s="10"/>
      <c r="R1378" s="10"/>
      <c r="S1378" s="7" t="s">
        <v>407</v>
      </c>
      <c r="T1378" s="7" t="s">
        <v>3263</v>
      </c>
      <c r="U1378" s="7" t="s">
        <v>44</v>
      </c>
      <c r="V1378" s="7" t="s">
        <v>45</v>
      </c>
      <c r="W1378" s="7" t="s">
        <v>130</v>
      </c>
      <c r="X1378" s="7" t="s">
        <v>164</v>
      </c>
      <c r="Y1378" s="7" t="s">
        <v>3366</v>
      </c>
      <c r="Z1378" s="7" t="s">
        <v>3362</v>
      </c>
      <c r="AA1378" s="7"/>
      <c r="AB1378" s="7"/>
      <c r="AC1378" s="7" t="s">
        <v>161</v>
      </c>
      <c r="AD1378" s="7"/>
      <c r="AE1378" s="7"/>
      <c r="AF1378" s="7" t="s">
        <v>50</v>
      </c>
      <c r="AG1378" s="7" t="s">
        <v>159</v>
      </c>
      <c r="AH1378" s="7" t="s">
        <v>167</v>
      </c>
    </row>
    <row r="1379" spans="1:34" ht="9.75" customHeight="1" x14ac:dyDescent="0.2">
      <c r="A1379" s="7" t="s">
        <v>37</v>
      </c>
      <c r="B1379" s="7" t="s">
        <v>38</v>
      </c>
      <c r="C1379" s="7"/>
      <c r="D1379" s="7" t="s">
        <v>3367</v>
      </c>
      <c r="E1379" s="8">
        <v>1</v>
      </c>
      <c r="F1379" s="7" t="s">
        <v>41</v>
      </c>
      <c r="G1379" s="7"/>
      <c r="H1379" s="9"/>
      <c r="I1379" s="9"/>
      <c r="J1379" s="9"/>
      <c r="K1379" s="9"/>
      <c r="L1379" s="10">
        <v>8564</v>
      </c>
      <c r="M1379" s="9"/>
      <c r="N1379" s="10">
        <v>8564</v>
      </c>
      <c r="O1379" s="9"/>
      <c r="P1379" s="10"/>
      <c r="Q1379" s="10"/>
      <c r="R1379" s="10"/>
      <c r="S1379" s="7" t="s">
        <v>407</v>
      </c>
      <c r="T1379" s="7" t="s">
        <v>3263</v>
      </c>
      <c r="U1379" s="7" t="s">
        <v>44</v>
      </c>
      <c r="V1379" s="7" t="s">
        <v>45</v>
      </c>
      <c r="W1379" s="7" t="s">
        <v>130</v>
      </c>
      <c r="X1379" s="7" t="s">
        <v>164</v>
      </c>
      <c r="Y1379" s="7" t="s">
        <v>3368</v>
      </c>
      <c r="Z1379" s="7" t="s">
        <v>3362</v>
      </c>
      <c r="AA1379" s="7"/>
      <c r="AB1379" s="7"/>
      <c r="AC1379" s="7" t="s">
        <v>161</v>
      </c>
      <c r="AD1379" s="7"/>
      <c r="AE1379" s="7"/>
      <c r="AF1379" s="7" t="s">
        <v>50</v>
      </c>
      <c r="AG1379" s="7" t="s">
        <v>159</v>
      </c>
      <c r="AH1379" s="7" t="s">
        <v>167</v>
      </c>
    </row>
    <row r="1380" spans="1:34" ht="9.75" customHeight="1" x14ac:dyDescent="0.2">
      <c r="A1380" s="7" t="s">
        <v>37</v>
      </c>
      <c r="B1380" s="7" t="s">
        <v>38</v>
      </c>
      <c r="C1380" s="7"/>
      <c r="D1380" s="7" t="s">
        <v>3369</v>
      </c>
      <c r="E1380" s="8">
        <v>1</v>
      </c>
      <c r="F1380" s="7" t="s">
        <v>41</v>
      </c>
      <c r="G1380" s="7"/>
      <c r="H1380" s="9"/>
      <c r="I1380" s="9"/>
      <c r="J1380" s="9"/>
      <c r="K1380" s="9"/>
      <c r="L1380" s="10">
        <v>22014</v>
      </c>
      <c r="M1380" s="9"/>
      <c r="N1380" s="10">
        <v>22014</v>
      </c>
      <c r="O1380" s="9"/>
      <c r="P1380" s="10"/>
      <c r="Q1380" s="10"/>
      <c r="R1380" s="10"/>
      <c r="S1380" s="7" t="s">
        <v>407</v>
      </c>
      <c r="T1380" s="7" t="s">
        <v>3263</v>
      </c>
      <c r="U1380" s="7" t="s">
        <v>44</v>
      </c>
      <c r="V1380" s="7" t="s">
        <v>45</v>
      </c>
      <c r="W1380" s="7" t="s">
        <v>130</v>
      </c>
      <c r="X1380" s="7" t="s">
        <v>164</v>
      </c>
      <c r="Y1380" s="7" t="s">
        <v>3370</v>
      </c>
      <c r="Z1380" s="7" t="s">
        <v>3371</v>
      </c>
      <c r="AA1380" s="7"/>
      <c r="AB1380" s="7"/>
      <c r="AC1380" s="7" t="s">
        <v>161</v>
      </c>
      <c r="AD1380" s="7"/>
      <c r="AE1380" s="7" t="s">
        <v>3372</v>
      </c>
      <c r="AF1380" s="7" t="s">
        <v>50</v>
      </c>
      <c r="AG1380" s="7" t="s">
        <v>159</v>
      </c>
      <c r="AH1380" s="7" t="s">
        <v>167</v>
      </c>
    </row>
    <row r="1381" spans="1:34" ht="9.75" customHeight="1" x14ac:dyDescent="0.2">
      <c r="A1381" s="7" t="s">
        <v>37</v>
      </c>
      <c r="B1381" s="7" t="s">
        <v>38</v>
      </c>
      <c r="C1381" s="7"/>
      <c r="D1381" s="7" t="s">
        <v>3373</v>
      </c>
      <c r="E1381" s="8">
        <v>1</v>
      </c>
      <c r="F1381" s="7" t="s">
        <v>41</v>
      </c>
      <c r="G1381" s="7"/>
      <c r="H1381" s="9"/>
      <c r="I1381" s="9"/>
      <c r="J1381" s="9"/>
      <c r="K1381" s="9"/>
      <c r="L1381" s="10">
        <v>778</v>
      </c>
      <c r="M1381" s="9"/>
      <c r="N1381" s="10">
        <v>778</v>
      </c>
      <c r="O1381" s="9"/>
      <c r="P1381" s="10"/>
      <c r="Q1381" s="10"/>
      <c r="R1381" s="10"/>
      <c r="S1381" s="7" t="s">
        <v>407</v>
      </c>
      <c r="T1381" s="7" t="s">
        <v>3263</v>
      </c>
      <c r="U1381" s="7" t="s">
        <v>44</v>
      </c>
      <c r="V1381" s="7" t="s">
        <v>45</v>
      </c>
      <c r="W1381" s="7" t="s">
        <v>130</v>
      </c>
      <c r="X1381" s="7" t="s">
        <v>164</v>
      </c>
      <c r="Y1381" s="7" t="s">
        <v>3374</v>
      </c>
      <c r="Z1381" s="7" t="s">
        <v>3371</v>
      </c>
      <c r="AA1381" s="7"/>
      <c r="AB1381" s="7"/>
      <c r="AC1381" s="7" t="s">
        <v>161</v>
      </c>
      <c r="AD1381" s="7"/>
      <c r="AE1381" s="7"/>
      <c r="AF1381" s="7" t="s">
        <v>50</v>
      </c>
      <c r="AG1381" s="7" t="s">
        <v>159</v>
      </c>
      <c r="AH1381" s="7" t="s">
        <v>167</v>
      </c>
    </row>
    <row r="1382" spans="1:34" ht="9.75" customHeight="1" x14ac:dyDescent="0.2">
      <c r="A1382" s="7" t="s">
        <v>37</v>
      </c>
      <c r="B1382" s="7" t="s">
        <v>38</v>
      </c>
      <c r="C1382" s="7"/>
      <c r="D1382" s="7" t="s">
        <v>3375</v>
      </c>
      <c r="E1382" s="8">
        <v>1</v>
      </c>
      <c r="F1382" s="7" t="s">
        <v>41</v>
      </c>
      <c r="G1382" s="7"/>
      <c r="H1382" s="9"/>
      <c r="I1382" s="9"/>
      <c r="J1382" s="9"/>
      <c r="K1382" s="9"/>
      <c r="L1382" s="10">
        <v>227</v>
      </c>
      <c r="M1382" s="9"/>
      <c r="N1382" s="10">
        <v>227</v>
      </c>
      <c r="O1382" s="9"/>
      <c r="P1382" s="10"/>
      <c r="Q1382" s="10"/>
      <c r="R1382" s="10"/>
      <c r="S1382" s="7" t="s">
        <v>407</v>
      </c>
      <c r="T1382" s="7" t="s">
        <v>3263</v>
      </c>
      <c r="U1382" s="7" t="s">
        <v>44</v>
      </c>
      <c r="V1382" s="7" t="s">
        <v>45</v>
      </c>
      <c r="W1382" s="7" t="s">
        <v>130</v>
      </c>
      <c r="X1382" s="7" t="s">
        <v>164</v>
      </c>
      <c r="Y1382" s="7" t="s">
        <v>3376</v>
      </c>
      <c r="Z1382" s="7" t="s">
        <v>3371</v>
      </c>
      <c r="AA1382" s="7"/>
      <c r="AB1382" s="7"/>
      <c r="AC1382" s="7" t="s">
        <v>161</v>
      </c>
      <c r="AD1382" s="7"/>
      <c r="AE1382" s="7"/>
      <c r="AF1382" s="7" t="s">
        <v>50</v>
      </c>
      <c r="AG1382" s="7" t="s">
        <v>159</v>
      </c>
      <c r="AH1382" s="7" t="s">
        <v>167</v>
      </c>
    </row>
    <row r="1383" spans="1:34" ht="9.75" customHeight="1" x14ac:dyDescent="0.2">
      <c r="A1383" s="7" t="s">
        <v>37</v>
      </c>
      <c r="B1383" s="7" t="s">
        <v>38</v>
      </c>
      <c r="C1383" s="7"/>
      <c r="D1383" s="7" t="s">
        <v>3377</v>
      </c>
      <c r="E1383" s="8">
        <v>1</v>
      </c>
      <c r="F1383" s="7" t="s">
        <v>41</v>
      </c>
      <c r="G1383" s="7"/>
      <c r="H1383" s="9"/>
      <c r="I1383" s="9"/>
      <c r="J1383" s="9"/>
      <c r="K1383" s="9"/>
      <c r="L1383" s="10">
        <v>2083</v>
      </c>
      <c r="M1383" s="9"/>
      <c r="N1383" s="10">
        <v>2083</v>
      </c>
      <c r="O1383" s="9"/>
      <c r="P1383" s="10"/>
      <c r="Q1383" s="10"/>
      <c r="R1383" s="10"/>
      <c r="S1383" s="7" t="s">
        <v>407</v>
      </c>
      <c r="T1383" s="7" t="s">
        <v>3263</v>
      </c>
      <c r="U1383" s="7" t="s">
        <v>44</v>
      </c>
      <c r="V1383" s="7" t="s">
        <v>45</v>
      </c>
      <c r="W1383" s="7" t="s">
        <v>130</v>
      </c>
      <c r="X1383" s="7" t="s">
        <v>164</v>
      </c>
      <c r="Y1383" s="7" t="s">
        <v>3378</v>
      </c>
      <c r="Z1383" s="7" t="s">
        <v>3371</v>
      </c>
      <c r="AA1383" s="7"/>
      <c r="AB1383" s="7"/>
      <c r="AC1383" s="7" t="s">
        <v>161</v>
      </c>
      <c r="AD1383" s="7"/>
      <c r="AE1383" s="7" t="s">
        <v>3379</v>
      </c>
      <c r="AF1383" s="7" t="s">
        <v>50</v>
      </c>
      <c r="AG1383" s="7" t="s">
        <v>159</v>
      </c>
      <c r="AH1383" s="7" t="s">
        <v>167</v>
      </c>
    </row>
    <row r="1384" spans="1:34" ht="9.75" customHeight="1" x14ac:dyDescent="0.2">
      <c r="A1384" s="7" t="s">
        <v>37</v>
      </c>
      <c r="B1384" s="7" t="s">
        <v>38</v>
      </c>
      <c r="C1384" s="7"/>
      <c r="D1384" s="7" t="s">
        <v>3380</v>
      </c>
      <c r="E1384" s="8">
        <v>1</v>
      </c>
      <c r="F1384" s="7" t="s">
        <v>41</v>
      </c>
      <c r="G1384" s="7"/>
      <c r="H1384" s="9"/>
      <c r="I1384" s="9"/>
      <c r="J1384" s="9"/>
      <c r="K1384" s="9"/>
      <c r="L1384" s="10">
        <v>36333</v>
      </c>
      <c r="M1384" s="9"/>
      <c r="N1384" s="10">
        <v>36333</v>
      </c>
      <c r="O1384" s="9"/>
      <c r="P1384" s="10"/>
      <c r="Q1384" s="10"/>
      <c r="R1384" s="10"/>
      <c r="S1384" s="7" t="s">
        <v>407</v>
      </c>
      <c r="T1384" s="7" t="s">
        <v>3263</v>
      </c>
      <c r="U1384" s="7" t="s">
        <v>44</v>
      </c>
      <c r="V1384" s="7" t="s">
        <v>45</v>
      </c>
      <c r="W1384" s="7" t="s">
        <v>130</v>
      </c>
      <c r="X1384" s="7" t="s">
        <v>164</v>
      </c>
      <c r="Y1384" s="7" t="s">
        <v>3381</v>
      </c>
      <c r="Z1384" s="7" t="s">
        <v>3382</v>
      </c>
      <c r="AA1384" s="7"/>
      <c r="AB1384" s="7"/>
      <c r="AC1384" s="7" t="s">
        <v>161</v>
      </c>
      <c r="AD1384" s="7"/>
      <c r="AE1384" s="7"/>
      <c r="AF1384" s="7" t="s">
        <v>50</v>
      </c>
      <c r="AG1384" s="7" t="s">
        <v>159</v>
      </c>
      <c r="AH1384" s="7" t="s">
        <v>167</v>
      </c>
    </row>
    <row r="1385" spans="1:34" ht="9.75" customHeight="1" x14ac:dyDescent="0.2">
      <c r="A1385" s="7" t="s">
        <v>37</v>
      </c>
      <c r="B1385" s="7" t="s">
        <v>38</v>
      </c>
      <c r="C1385" s="7"/>
      <c r="D1385" s="7" t="s">
        <v>3383</v>
      </c>
      <c r="E1385" s="8">
        <v>1</v>
      </c>
      <c r="F1385" s="7" t="s">
        <v>41</v>
      </c>
      <c r="G1385" s="7"/>
      <c r="H1385" s="9"/>
      <c r="I1385" s="9"/>
      <c r="J1385" s="9"/>
      <c r="K1385" s="9"/>
      <c r="L1385" s="10">
        <v>753</v>
      </c>
      <c r="M1385" s="9"/>
      <c r="N1385" s="10">
        <v>753</v>
      </c>
      <c r="O1385" s="9"/>
      <c r="P1385" s="10"/>
      <c r="Q1385" s="10"/>
      <c r="R1385" s="10"/>
      <c r="S1385" s="7" t="s">
        <v>407</v>
      </c>
      <c r="T1385" s="7" t="s">
        <v>3263</v>
      </c>
      <c r="U1385" s="7" t="s">
        <v>44</v>
      </c>
      <c r="V1385" s="7" t="s">
        <v>45</v>
      </c>
      <c r="W1385" s="7" t="s">
        <v>130</v>
      </c>
      <c r="X1385" s="7" t="s">
        <v>164</v>
      </c>
      <c r="Y1385" s="7" t="s">
        <v>3384</v>
      </c>
      <c r="Z1385" s="7" t="s">
        <v>3382</v>
      </c>
      <c r="AA1385" s="7"/>
      <c r="AB1385" s="7"/>
      <c r="AC1385" s="7" t="s">
        <v>161</v>
      </c>
      <c r="AD1385" s="7"/>
      <c r="AE1385" s="7"/>
      <c r="AF1385" s="7" t="s">
        <v>50</v>
      </c>
      <c r="AG1385" s="7" t="s">
        <v>159</v>
      </c>
      <c r="AH1385" s="7" t="s">
        <v>167</v>
      </c>
    </row>
    <row r="1386" spans="1:34" ht="9.75" customHeight="1" x14ac:dyDescent="0.2">
      <c r="A1386" s="7" t="s">
        <v>37</v>
      </c>
      <c r="B1386" s="7" t="s">
        <v>38</v>
      </c>
      <c r="C1386" s="7"/>
      <c r="D1386" s="7" t="s">
        <v>3385</v>
      </c>
      <c r="E1386" s="8">
        <v>1</v>
      </c>
      <c r="F1386" s="7" t="s">
        <v>41</v>
      </c>
      <c r="G1386" s="7"/>
      <c r="H1386" s="9"/>
      <c r="I1386" s="9"/>
      <c r="J1386" s="9"/>
      <c r="K1386" s="9"/>
      <c r="L1386" s="10">
        <v>1466</v>
      </c>
      <c r="M1386" s="9"/>
      <c r="N1386" s="10">
        <v>1466</v>
      </c>
      <c r="O1386" s="9"/>
      <c r="P1386" s="10"/>
      <c r="Q1386" s="10"/>
      <c r="R1386" s="10"/>
      <c r="S1386" s="7" t="s">
        <v>407</v>
      </c>
      <c r="T1386" s="7" t="s">
        <v>3263</v>
      </c>
      <c r="U1386" s="7" t="s">
        <v>44</v>
      </c>
      <c r="V1386" s="7" t="s">
        <v>45</v>
      </c>
      <c r="W1386" s="7" t="s">
        <v>130</v>
      </c>
      <c r="X1386" s="7" t="s">
        <v>164</v>
      </c>
      <c r="Y1386" s="7" t="s">
        <v>3386</v>
      </c>
      <c r="Z1386" s="7" t="s">
        <v>3382</v>
      </c>
      <c r="AA1386" s="7"/>
      <c r="AB1386" s="7"/>
      <c r="AC1386" s="7" t="s">
        <v>161</v>
      </c>
      <c r="AD1386" s="7"/>
      <c r="AE1386" s="7"/>
      <c r="AF1386" s="7" t="s">
        <v>50</v>
      </c>
      <c r="AG1386" s="7" t="s">
        <v>159</v>
      </c>
      <c r="AH1386" s="7" t="s">
        <v>167</v>
      </c>
    </row>
    <row r="1387" spans="1:34" ht="9.75" customHeight="1" x14ac:dyDescent="0.2">
      <c r="A1387" s="7" t="s">
        <v>37</v>
      </c>
      <c r="B1387" s="7" t="s">
        <v>38</v>
      </c>
      <c r="C1387" s="7"/>
      <c r="D1387" s="7" t="s">
        <v>3387</v>
      </c>
      <c r="E1387" s="8">
        <v>1</v>
      </c>
      <c r="F1387" s="7" t="s">
        <v>41</v>
      </c>
      <c r="G1387" s="7"/>
      <c r="H1387" s="9"/>
      <c r="I1387" s="9"/>
      <c r="J1387" s="9"/>
      <c r="K1387" s="9"/>
      <c r="L1387" s="10">
        <v>1070</v>
      </c>
      <c r="M1387" s="9"/>
      <c r="N1387" s="10">
        <v>1070</v>
      </c>
      <c r="O1387" s="9"/>
      <c r="P1387" s="10"/>
      <c r="Q1387" s="10"/>
      <c r="R1387" s="10"/>
      <c r="S1387" s="7" t="s">
        <v>407</v>
      </c>
      <c r="T1387" s="7" t="s">
        <v>3263</v>
      </c>
      <c r="U1387" s="7" t="s">
        <v>44</v>
      </c>
      <c r="V1387" s="7" t="s">
        <v>45</v>
      </c>
      <c r="W1387" s="7" t="s">
        <v>130</v>
      </c>
      <c r="X1387" s="7" t="s">
        <v>164</v>
      </c>
      <c r="Y1387" s="7" t="s">
        <v>3388</v>
      </c>
      <c r="Z1387" s="7" t="s">
        <v>3382</v>
      </c>
      <c r="AA1387" s="7"/>
      <c r="AB1387" s="7"/>
      <c r="AC1387" s="7" t="s">
        <v>161</v>
      </c>
      <c r="AD1387" s="7"/>
      <c r="AE1387" s="7"/>
      <c r="AF1387" s="7" t="s">
        <v>50</v>
      </c>
      <c r="AG1387" s="7" t="s">
        <v>159</v>
      </c>
      <c r="AH1387" s="7" t="s">
        <v>167</v>
      </c>
    </row>
    <row r="1388" spans="1:34" ht="9.75" customHeight="1" x14ac:dyDescent="0.2">
      <c r="A1388" s="7" t="s">
        <v>37</v>
      </c>
      <c r="B1388" s="7" t="s">
        <v>38</v>
      </c>
      <c r="C1388" s="7"/>
      <c r="D1388" s="7" t="s">
        <v>3389</v>
      </c>
      <c r="E1388" s="8">
        <v>1</v>
      </c>
      <c r="F1388" s="7" t="s">
        <v>41</v>
      </c>
      <c r="G1388" s="7"/>
      <c r="H1388" s="9"/>
      <c r="I1388" s="9"/>
      <c r="J1388" s="9"/>
      <c r="K1388" s="9"/>
      <c r="L1388" s="10">
        <v>10615</v>
      </c>
      <c r="M1388" s="9"/>
      <c r="N1388" s="10">
        <v>10615</v>
      </c>
      <c r="O1388" s="9"/>
      <c r="P1388" s="10"/>
      <c r="Q1388" s="10"/>
      <c r="R1388" s="10"/>
      <c r="S1388" s="7" t="s">
        <v>407</v>
      </c>
      <c r="T1388" s="7" t="s">
        <v>3263</v>
      </c>
      <c r="U1388" s="7" t="s">
        <v>44</v>
      </c>
      <c r="V1388" s="7" t="s">
        <v>45</v>
      </c>
      <c r="W1388" s="7" t="s">
        <v>130</v>
      </c>
      <c r="X1388" s="7" t="s">
        <v>164</v>
      </c>
      <c r="Y1388" s="7" t="s">
        <v>3390</v>
      </c>
      <c r="Z1388" s="7" t="s">
        <v>3391</v>
      </c>
      <c r="AA1388" s="7"/>
      <c r="AB1388" s="7"/>
      <c r="AC1388" s="7" t="s">
        <v>161</v>
      </c>
      <c r="AD1388" s="7"/>
      <c r="AE1388" s="7"/>
      <c r="AF1388" s="7" t="s">
        <v>50</v>
      </c>
      <c r="AG1388" s="7" t="s">
        <v>159</v>
      </c>
      <c r="AH1388" s="7" t="s">
        <v>167</v>
      </c>
    </row>
    <row r="1389" spans="1:34" ht="9.75" customHeight="1" x14ac:dyDescent="0.2">
      <c r="A1389" s="7" t="s">
        <v>37</v>
      </c>
      <c r="B1389" s="7" t="s">
        <v>38</v>
      </c>
      <c r="C1389" s="7"/>
      <c r="D1389" s="7" t="s">
        <v>3392</v>
      </c>
      <c r="E1389" s="8">
        <v>1</v>
      </c>
      <c r="F1389" s="7" t="s">
        <v>41</v>
      </c>
      <c r="G1389" s="7"/>
      <c r="H1389" s="9"/>
      <c r="I1389" s="9"/>
      <c r="J1389" s="9"/>
      <c r="K1389" s="9"/>
      <c r="L1389" s="10">
        <v>915</v>
      </c>
      <c r="M1389" s="9"/>
      <c r="N1389" s="10">
        <v>915</v>
      </c>
      <c r="O1389" s="9"/>
      <c r="P1389" s="10"/>
      <c r="Q1389" s="10"/>
      <c r="R1389" s="10"/>
      <c r="S1389" s="7" t="s">
        <v>407</v>
      </c>
      <c r="T1389" s="7" t="s">
        <v>3263</v>
      </c>
      <c r="U1389" s="7" t="s">
        <v>44</v>
      </c>
      <c r="V1389" s="7" t="s">
        <v>45</v>
      </c>
      <c r="W1389" s="7" t="s">
        <v>130</v>
      </c>
      <c r="X1389" s="7" t="s">
        <v>164</v>
      </c>
      <c r="Y1389" s="7" t="s">
        <v>3393</v>
      </c>
      <c r="Z1389" s="7" t="s">
        <v>3391</v>
      </c>
      <c r="AA1389" s="7"/>
      <c r="AB1389" s="7"/>
      <c r="AC1389" s="7" t="s">
        <v>161</v>
      </c>
      <c r="AD1389" s="7"/>
      <c r="AE1389" s="7"/>
      <c r="AF1389" s="7" t="s">
        <v>50</v>
      </c>
      <c r="AG1389" s="7" t="s">
        <v>159</v>
      </c>
      <c r="AH1389" s="7" t="s">
        <v>167</v>
      </c>
    </row>
    <row r="1390" spans="1:34" ht="9.75" customHeight="1" x14ac:dyDescent="0.2">
      <c r="A1390" s="7" t="s">
        <v>37</v>
      </c>
      <c r="B1390" s="7" t="s">
        <v>38</v>
      </c>
      <c r="C1390" s="7"/>
      <c r="D1390" s="7" t="s">
        <v>3394</v>
      </c>
      <c r="E1390" s="8">
        <v>1</v>
      </c>
      <c r="F1390" s="7" t="s">
        <v>41</v>
      </c>
      <c r="G1390" s="7"/>
      <c r="H1390" s="9"/>
      <c r="I1390" s="9"/>
      <c r="J1390" s="9"/>
      <c r="K1390" s="9"/>
      <c r="L1390" s="10">
        <v>1211</v>
      </c>
      <c r="M1390" s="9"/>
      <c r="N1390" s="10">
        <v>1211</v>
      </c>
      <c r="O1390" s="9"/>
      <c r="P1390" s="10"/>
      <c r="Q1390" s="10"/>
      <c r="R1390" s="10"/>
      <c r="S1390" s="7" t="s">
        <v>407</v>
      </c>
      <c r="T1390" s="7" t="s">
        <v>3263</v>
      </c>
      <c r="U1390" s="7" t="s">
        <v>44</v>
      </c>
      <c r="V1390" s="7" t="s">
        <v>45</v>
      </c>
      <c r="W1390" s="7" t="s">
        <v>130</v>
      </c>
      <c r="X1390" s="7" t="s">
        <v>164</v>
      </c>
      <c r="Y1390" s="7" t="s">
        <v>3395</v>
      </c>
      <c r="Z1390" s="7" t="s">
        <v>3391</v>
      </c>
      <c r="AA1390" s="7"/>
      <c r="AB1390" s="7"/>
      <c r="AC1390" s="7" t="s">
        <v>161</v>
      </c>
      <c r="AD1390" s="7"/>
      <c r="AE1390" s="7"/>
      <c r="AF1390" s="7" t="s">
        <v>50</v>
      </c>
      <c r="AG1390" s="7" t="s">
        <v>159</v>
      </c>
      <c r="AH1390" s="7" t="s">
        <v>167</v>
      </c>
    </row>
    <row r="1391" spans="1:34" ht="9.75" customHeight="1" x14ac:dyDescent="0.2">
      <c r="A1391" s="7" t="s">
        <v>37</v>
      </c>
      <c r="B1391" s="7" t="s">
        <v>38</v>
      </c>
      <c r="C1391" s="7"/>
      <c r="D1391" s="7" t="s">
        <v>3396</v>
      </c>
      <c r="E1391" s="8">
        <v>1</v>
      </c>
      <c r="F1391" s="7" t="s">
        <v>41</v>
      </c>
      <c r="G1391" s="7"/>
      <c r="H1391" s="9"/>
      <c r="I1391" s="9"/>
      <c r="J1391" s="9"/>
      <c r="K1391" s="9"/>
      <c r="L1391" s="10">
        <v>2023</v>
      </c>
      <c r="M1391" s="9"/>
      <c r="N1391" s="10">
        <v>2023</v>
      </c>
      <c r="O1391" s="9"/>
      <c r="P1391" s="10"/>
      <c r="Q1391" s="10"/>
      <c r="R1391" s="10"/>
      <c r="S1391" s="7" t="s">
        <v>407</v>
      </c>
      <c r="T1391" s="7" t="s">
        <v>3263</v>
      </c>
      <c r="U1391" s="7" t="s">
        <v>44</v>
      </c>
      <c r="V1391" s="7" t="s">
        <v>45</v>
      </c>
      <c r="W1391" s="7" t="s">
        <v>130</v>
      </c>
      <c r="X1391" s="7" t="s">
        <v>164</v>
      </c>
      <c r="Y1391" s="7" t="s">
        <v>3397</v>
      </c>
      <c r="Z1391" s="7" t="s">
        <v>3391</v>
      </c>
      <c r="AA1391" s="7"/>
      <c r="AB1391" s="7"/>
      <c r="AC1391" s="7" t="s">
        <v>161</v>
      </c>
      <c r="AD1391" s="7"/>
      <c r="AE1391" s="7"/>
      <c r="AF1391" s="7" t="s">
        <v>50</v>
      </c>
      <c r="AG1391" s="7" t="s">
        <v>159</v>
      </c>
      <c r="AH1391" s="7" t="s">
        <v>167</v>
      </c>
    </row>
    <row r="1392" spans="1:34" ht="9.75" customHeight="1" x14ac:dyDescent="0.2">
      <c r="A1392" s="7" t="s">
        <v>37</v>
      </c>
      <c r="B1392" s="7" t="s">
        <v>38</v>
      </c>
      <c r="C1392" s="7"/>
      <c r="D1392" s="7" t="s">
        <v>3398</v>
      </c>
      <c r="E1392" s="8">
        <v>1</v>
      </c>
      <c r="F1392" s="7" t="s">
        <v>41</v>
      </c>
      <c r="G1392" s="7"/>
      <c r="H1392" s="9"/>
      <c r="I1392" s="9"/>
      <c r="J1392" s="9"/>
      <c r="K1392" s="9"/>
      <c r="L1392" s="10">
        <v>10577</v>
      </c>
      <c r="M1392" s="9"/>
      <c r="N1392" s="10">
        <v>10577</v>
      </c>
      <c r="O1392" s="9"/>
      <c r="P1392" s="10"/>
      <c r="Q1392" s="10"/>
      <c r="R1392" s="10"/>
      <c r="S1392" s="7" t="s">
        <v>407</v>
      </c>
      <c r="T1392" s="7" t="s">
        <v>3263</v>
      </c>
      <c r="U1392" s="7" t="s">
        <v>44</v>
      </c>
      <c r="V1392" s="7" t="s">
        <v>45</v>
      </c>
      <c r="W1392" s="7" t="s">
        <v>130</v>
      </c>
      <c r="X1392" s="7" t="s">
        <v>164</v>
      </c>
      <c r="Y1392" s="7" t="s">
        <v>3399</v>
      </c>
      <c r="Z1392" s="7" t="s">
        <v>3400</v>
      </c>
      <c r="AA1392" s="7"/>
      <c r="AB1392" s="7"/>
      <c r="AC1392" s="7" t="s">
        <v>161</v>
      </c>
      <c r="AD1392" s="7"/>
      <c r="AE1392" s="7"/>
      <c r="AF1392" s="7" t="s">
        <v>50</v>
      </c>
      <c r="AG1392" s="7" t="s">
        <v>159</v>
      </c>
      <c r="AH1392" s="7" t="s">
        <v>167</v>
      </c>
    </row>
    <row r="1393" spans="1:34" ht="9.75" customHeight="1" x14ac:dyDescent="0.2">
      <c r="A1393" s="7" t="s">
        <v>37</v>
      </c>
      <c r="B1393" s="7" t="s">
        <v>38</v>
      </c>
      <c r="C1393" s="7"/>
      <c r="D1393" s="7" t="s">
        <v>3401</v>
      </c>
      <c r="E1393" s="8">
        <v>1</v>
      </c>
      <c r="F1393" s="7" t="s">
        <v>41</v>
      </c>
      <c r="G1393" s="7"/>
      <c r="H1393" s="9"/>
      <c r="I1393" s="9"/>
      <c r="J1393" s="9"/>
      <c r="K1393" s="9"/>
      <c r="L1393" s="10">
        <v>435</v>
      </c>
      <c r="M1393" s="9"/>
      <c r="N1393" s="10">
        <v>435</v>
      </c>
      <c r="O1393" s="9"/>
      <c r="P1393" s="10"/>
      <c r="Q1393" s="10"/>
      <c r="R1393" s="10"/>
      <c r="S1393" s="7" t="s">
        <v>407</v>
      </c>
      <c r="T1393" s="7" t="s">
        <v>3263</v>
      </c>
      <c r="U1393" s="7" t="s">
        <v>44</v>
      </c>
      <c r="V1393" s="7" t="s">
        <v>45</v>
      </c>
      <c r="W1393" s="7" t="s">
        <v>130</v>
      </c>
      <c r="X1393" s="7" t="s">
        <v>164</v>
      </c>
      <c r="Y1393" s="7" t="s">
        <v>3402</v>
      </c>
      <c r="Z1393" s="7" t="s">
        <v>3400</v>
      </c>
      <c r="AA1393" s="7"/>
      <c r="AB1393" s="7"/>
      <c r="AC1393" s="7" t="s">
        <v>161</v>
      </c>
      <c r="AD1393" s="7"/>
      <c r="AE1393" s="7"/>
      <c r="AF1393" s="7" t="s">
        <v>50</v>
      </c>
      <c r="AG1393" s="7" t="s">
        <v>159</v>
      </c>
      <c r="AH1393" s="7" t="s">
        <v>167</v>
      </c>
    </row>
    <row r="1394" spans="1:34" ht="9.75" customHeight="1" x14ac:dyDescent="0.2">
      <c r="A1394" s="7" t="s">
        <v>37</v>
      </c>
      <c r="B1394" s="7" t="s">
        <v>38</v>
      </c>
      <c r="C1394" s="7"/>
      <c r="D1394" s="7" t="s">
        <v>3403</v>
      </c>
      <c r="E1394" s="8">
        <v>1</v>
      </c>
      <c r="F1394" s="7" t="s">
        <v>41</v>
      </c>
      <c r="G1394" s="7"/>
      <c r="H1394" s="9"/>
      <c r="I1394" s="9"/>
      <c r="J1394" s="9"/>
      <c r="K1394" s="9"/>
      <c r="L1394" s="10">
        <v>332</v>
      </c>
      <c r="M1394" s="9"/>
      <c r="N1394" s="10">
        <v>332</v>
      </c>
      <c r="O1394" s="9"/>
      <c r="P1394" s="10"/>
      <c r="Q1394" s="10"/>
      <c r="R1394" s="10"/>
      <c r="S1394" s="7" t="s">
        <v>407</v>
      </c>
      <c r="T1394" s="7" t="s">
        <v>3263</v>
      </c>
      <c r="U1394" s="7" t="s">
        <v>44</v>
      </c>
      <c r="V1394" s="7" t="s">
        <v>45</v>
      </c>
      <c r="W1394" s="7" t="s">
        <v>130</v>
      </c>
      <c r="X1394" s="7" t="s">
        <v>164</v>
      </c>
      <c r="Y1394" s="7" t="s">
        <v>3404</v>
      </c>
      <c r="Z1394" s="7" t="s">
        <v>3400</v>
      </c>
      <c r="AA1394" s="7"/>
      <c r="AB1394" s="7"/>
      <c r="AC1394" s="7" t="s">
        <v>161</v>
      </c>
      <c r="AD1394" s="7"/>
      <c r="AE1394" s="7"/>
      <c r="AF1394" s="7" t="s">
        <v>50</v>
      </c>
      <c r="AG1394" s="7" t="s">
        <v>159</v>
      </c>
      <c r="AH1394" s="7" t="s">
        <v>167</v>
      </c>
    </row>
    <row r="1395" spans="1:34" ht="9.75" customHeight="1" x14ac:dyDescent="0.2">
      <c r="A1395" s="7" t="s">
        <v>37</v>
      </c>
      <c r="B1395" s="7" t="s">
        <v>38</v>
      </c>
      <c r="C1395" s="7"/>
      <c r="D1395" s="7" t="s">
        <v>3405</v>
      </c>
      <c r="E1395" s="8">
        <v>1</v>
      </c>
      <c r="F1395" s="7" t="s">
        <v>41</v>
      </c>
      <c r="G1395" s="7"/>
      <c r="H1395" s="9"/>
      <c r="I1395" s="9"/>
      <c r="J1395" s="9"/>
      <c r="K1395" s="9"/>
      <c r="L1395" s="10">
        <v>103</v>
      </c>
      <c r="M1395" s="9"/>
      <c r="N1395" s="10">
        <v>103</v>
      </c>
      <c r="O1395" s="9"/>
      <c r="P1395" s="10"/>
      <c r="Q1395" s="10"/>
      <c r="R1395" s="10"/>
      <c r="S1395" s="7" t="s">
        <v>407</v>
      </c>
      <c r="T1395" s="7" t="s">
        <v>3263</v>
      </c>
      <c r="U1395" s="7" t="s">
        <v>44</v>
      </c>
      <c r="V1395" s="7" t="s">
        <v>45</v>
      </c>
      <c r="W1395" s="7" t="s">
        <v>130</v>
      </c>
      <c r="X1395" s="7" t="s">
        <v>164</v>
      </c>
      <c r="Y1395" s="7" t="s">
        <v>3406</v>
      </c>
      <c r="Z1395" s="7" t="s">
        <v>3400</v>
      </c>
      <c r="AA1395" s="7"/>
      <c r="AB1395" s="7"/>
      <c r="AC1395" s="7" t="s">
        <v>161</v>
      </c>
      <c r="AD1395" s="7"/>
      <c r="AE1395" s="7"/>
      <c r="AF1395" s="7" t="s">
        <v>50</v>
      </c>
      <c r="AG1395" s="7" t="s">
        <v>159</v>
      </c>
      <c r="AH1395" s="7" t="s">
        <v>167</v>
      </c>
    </row>
    <row r="1396" spans="1:34" ht="9.75" customHeight="1" x14ac:dyDescent="0.2">
      <c r="A1396" s="7" t="s">
        <v>37</v>
      </c>
      <c r="B1396" s="7" t="s">
        <v>38</v>
      </c>
      <c r="C1396" s="7"/>
      <c r="D1396" s="7" t="s">
        <v>3407</v>
      </c>
      <c r="E1396" s="8">
        <v>1</v>
      </c>
      <c r="F1396" s="7" t="s">
        <v>41</v>
      </c>
      <c r="G1396" s="7"/>
      <c r="H1396" s="9"/>
      <c r="I1396" s="9"/>
      <c r="J1396" s="9"/>
      <c r="K1396" s="9"/>
      <c r="L1396" s="10">
        <v>15666</v>
      </c>
      <c r="M1396" s="9"/>
      <c r="N1396" s="10">
        <v>15666</v>
      </c>
      <c r="O1396" s="9"/>
      <c r="P1396" s="10"/>
      <c r="Q1396" s="10"/>
      <c r="R1396" s="10"/>
      <c r="S1396" s="7" t="s">
        <v>407</v>
      </c>
      <c r="T1396" s="7" t="s">
        <v>3263</v>
      </c>
      <c r="U1396" s="7" t="s">
        <v>44</v>
      </c>
      <c r="V1396" s="7" t="s">
        <v>45</v>
      </c>
      <c r="W1396" s="7" t="s">
        <v>130</v>
      </c>
      <c r="X1396" s="7" t="s">
        <v>164</v>
      </c>
      <c r="Y1396" s="7" t="s">
        <v>3408</v>
      </c>
      <c r="Z1396" s="7" t="s">
        <v>3409</v>
      </c>
      <c r="AA1396" s="7"/>
      <c r="AB1396" s="7"/>
      <c r="AC1396" s="7" t="s">
        <v>161</v>
      </c>
      <c r="AD1396" s="7"/>
      <c r="AE1396" s="7"/>
      <c r="AF1396" s="7" t="s">
        <v>50</v>
      </c>
      <c r="AG1396" s="7" t="s">
        <v>159</v>
      </c>
      <c r="AH1396" s="7" t="s">
        <v>167</v>
      </c>
    </row>
    <row r="1397" spans="1:34" ht="9.75" customHeight="1" x14ac:dyDescent="0.2">
      <c r="A1397" s="7" t="s">
        <v>37</v>
      </c>
      <c r="B1397" s="7" t="s">
        <v>38</v>
      </c>
      <c r="C1397" s="7"/>
      <c r="D1397" s="7" t="s">
        <v>3410</v>
      </c>
      <c r="E1397" s="8">
        <v>1</v>
      </c>
      <c r="F1397" s="7" t="s">
        <v>41</v>
      </c>
      <c r="G1397" s="7"/>
      <c r="H1397" s="9"/>
      <c r="I1397" s="9"/>
      <c r="J1397" s="9"/>
      <c r="K1397" s="9"/>
      <c r="L1397" s="10">
        <v>327</v>
      </c>
      <c r="M1397" s="9"/>
      <c r="N1397" s="10">
        <v>327</v>
      </c>
      <c r="O1397" s="9"/>
      <c r="P1397" s="10"/>
      <c r="Q1397" s="10"/>
      <c r="R1397" s="10"/>
      <c r="S1397" s="7" t="s">
        <v>407</v>
      </c>
      <c r="T1397" s="7" t="s">
        <v>3263</v>
      </c>
      <c r="U1397" s="7" t="s">
        <v>44</v>
      </c>
      <c r="V1397" s="7" t="s">
        <v>45</v>
      </c>
      <c r="W1397" s="7" t="s">
        <v>130</v>
      </c>
      <c r="X1397" s="7" t="s">
        <v>164</v>
      </c>
      <c r="Y1397" s="7" t="s">
        <v>3411</v>
      </c>
      <c r="Z1397" s="7" t="s">
        <v>3409</v>
      </c>
      <c r="AA1397" s="7"/>
      <c r="AB1397" s="7"/>
      <c r="AC1397" s="7" t="s">
        <v>161</v>
      </c>
      <c r="AD1397" s="7"/>
      <c r="AE1397" s="7"/>
      <c r="AF1397" s="7" t="s">
        <v>50</v>
      </c>
      <c r="AG1397" s="7" t="s">
        <v>159</v>
      </c>
      <c r="AH1397" s="7" t="s">
        <v>167</v>
      </c>
    </row>
    <row r="1398" spans="1:34" ht="9.75" customHeight="1" x14ac:dyDescent="0.2">
      <c r="A1398" s="7" t="s">
        <v>37</v>
      </c>
      <c r="B1398" s="7" t="s">
        <v>38</v>
      </c>
      <c r="C1398" s="7"/>
      <c r="D1398" s="7" t="s">
        <v>3412</v>
      </c>
      <c r="E1398" s="8">
        <v>1</v>
      </c>
      <c r="F1398" s="7" t="s">
        <v>41</v>
      </c>
      <c r="G1398" s="7"/>
      <c r="H1398" s="9"/>
      <c r="I1398" s="9"/>
      <c r="J1398" s="9"/>
      <c r="K1398" s="9"/>
      <c r="L1398" s="10">
        <v>722</v>
      </c>
      <c r="M1398" s="9"/>
      <c r="N1398" s="10">
        <v>722</v>
      </c>
      <c r="O1398" s="9"/>
      <c r="P1398" s="10"/>
      <c r="Q1398" s="10"/>
      <c r="R1398" s="10"/>
      <c r="S1398" s="7" t="s">
        <v>407</v>
      </c>
      <c r="T1398" s="7" t="s">
        <v>3263</v>
      </c>
      <c r="U1398" s="7" t="s">
        <v>44</v>
      </c>
      <c r="V1398" s="7" t="s">
        <v>45</v>
      </c>
      <c r="W1398" s="7" t="s">
        <v>130</v>
      </c>
      <c r="X1398" s="7" t="s">
        <v>164</v>
      </c>
      <c r="Y1398" s="7" t="s">
        <v>3413</v>
      </c>
      <c r="Z1398" s="7" t="s">
        <v>3409</v>
      </c>
      <c r="AA1398" s="7"/>
      <c r="AB1398" s="7"/>
      <c r="AC1398" s="7" t="s">
        <v>161</v>
      </c>
      <c r="AD1398" s="7"/>
      <c r="AE1398" s="7"/>
      <c r="AF1398" s="7" t="s">
        <v>50</v>
      </c>
      <c r="AG1398" s="7" t="s">
        <v>159</v>
      </c>
      <c r="AH1398" s="7" t="s">
        <v>167</v>
      </c>
    </row>
    <row r="1399" spans="1:34" ht="9.75" customHeight="1" x14ac:dyDescent="0.2">
      <c r="A1399" s="7" t="s">
        <v>37</v>
      </c>
      <c r="B1399" s="7" t="s">
        <v>38</v>
      </c>
      <c r="C1399" s="7"/>
      <c r="D1399" s="7" t="s">
        <v>3414</v>
      </c>
      <c r="E1399" s="8">
        <v>1</v>
      </c>
      <c r="F1399" s="7" t="s">
        <v>41</v>
      </c>
      <c r="G1399" s="7"/>
      <c r="H1399" s="9"/>
      <c r="I1399" s="9"/>
      <c r="J1399" s="9"/>
      <c r="K1399" s="9"/>
      <c r="L1399" s="10">
        <v>482</v>
      </c>
      <c r="M1399" s="9"/>
      <c r="N1399" s="10">
        <v>482</v>
      </c>
      <c r="O1399" s="9"/>
      <c r="P1399" s="10"/>
      <c r="Q1399" s="10"/>
      <c r="R1399" s="10"/>
      <c r="S1399" s="7" t="s">
        <v>407</v>
      </c>
      <c r="T1399" s="7" t="s">
        <v>3263</v>
      </c>
      <c r="U1399" s="7" t="s">
        <v>44</v>
      </c>
      <c r="V1399" s="7" t="s">
        <v>45</v>
      </c>
      <c r="W1399" s="7" t="s">
        <v>130</v>
      </c>
      <c r="X1399" s="7" t="s">
        <v>164</v>
      </c>
      <c r="Y1399" s="7" t="s">
        <v>3415</v>
      </c>
      <c r="Z1399" s="7" t="s">
        <v>3409</v>
      </c>
      <c r="AA1399" s="7"/>
      <c r="AB1399" s="7"/>
      <c r="AC1399" s="7" t="s">
        <v>161</v>
      </c>
      <c r="AD1399" s="7"/>
      <c r="AE1399" s="7"/>
      <c r="AF1399" s="7" t="s">
        <v>50</v>
      </c>
      <c r="AG1399" s="7" t="s">
        <v>159</v>
      </c>
      <c r="AH1399" s="7" t="s">
        <v>167</v>
      </c>
    </row>
    <row r="1400" spans="1:34" ht="9.75" customHeight="1" x14ac:dyDescent="0.2">
      <c r="A1400" s="7" t="s">
        <v>37</v>
      </c>
      <c r="B1400" s="7" t="s">
        <v>38</v>
      </c>
      <c r="C1400" s="7"/>
      <c r="D1400" s="7" t="s">
        <v>3416</v>
      </c>
      <c r="E1400" s="8">
        <v>1</v>
      </c>
      <c r="F1400" s="7" t="s">
        <v>41</v>
      </c>
      <c r="G1400" s="7"/>
      <c r="H1400" s="9"/>
      <c r="I1400" s="9"/>
      <c r="J1400" s="9"/>
      <c r="K1400" s="9"/>
      <c r="L1400" s="10">
        <v>27829</v>
      </c>
      <c r="M1400" s="9"/>
      <c r="N1400" s="10">
        <v>27829</v>
      </c>
      <c r="O1400" s="9"/>
      <c r="P1400" s="10"/>
      <c r="Q1400" s="10"/>
      <c r="R1400" s="10"/>
      <c r="S1400" s="7" t="s">
        <v>407</v>
      </c>
      <c r="T1400" s="7" t="s">
        <v>3263</v>
      </c>
      <c r="U1400" s="7" t="s">
        <v>44</v>
      </c>
      <c r="V1400" s="7" t="s">
        <v>45</v>
      </c>
      <c r="W1400" s="7" t="s">
        <v>130</v>
      </c>
      <c r="X1400" s="7" t="s">
        <v>164</v>
      </c>
      <c r="Y1400" s="7" t="s">
        <v>3417</v>
      </c>
      <c r="Z1400" s="7" t="s">
        <v>3418</v>
      </c>
      <c r="AA1400" s="7"/>
      <c r="AB1400" s="7"/>
      <c r="AC1400" s="7" t="s">
        <v>161</v>
      </c>
      <c r="AD1400" s="7"/>
      <c r="AE1400" s="7" t="s">
        <v>3419</v>
      </c>
      <c r="AF1400" s="7" t="s">
        <v>50</v>
      </c>
      <c r="AG1400" s="7" t="s">
        <v>159</v>
      </c>
      <c r="AH1400" s="7" t="s">
        <v>167</v>
      </c>
    </row>
    <row r="1401" spans="1:34" ht="9.75" customHeight="1" x14ac:dyDescent="0.2">
      <c r="A1401" s="7" t="s">
        <v>37</v>
      </c>
      <c r="B1401" s="7" t="s">
        <v>38</v>
      </c>
      <c r="C1401" s="7"/>
      <c r="D1401" s="7" t="s">
        <v>3420</v>
      </c>
      <c r="E1401" s="8">
        <v>1</v>
      </c>
      <c r="F1401" s="7" t="s">
        <v>41</v>
      </c>
      <c r="G1401" s="7"/>
      <c r="H1401" s="9"/>
      <c r="I1401" s="9"/>
      <c r="J1401" s="9"/>
      <c r="K1401" s="9"/>
      <c r="L1401" s="10">
        <v>182</v>
      </c>
      <c r="M1401" s="9"/>
      <c r="N1401" s="10">
        <v>182</v>
      </c>
      <c r="O1401" s="9"/>
      <c r="P1401" s="10"/>
      <c r="Q1401" s="10"/>
      <c r="R1401" s="10"/>
      <c r="S1401" s="7" t="s">
        <v>407</v>
      </c>
      <c r="T1401" s="7" t="s">
        <v>3263</v>
      </c>
      <c r="U1401" s="7" t="s">
        <v>44</v>
      </c>
      <c r="V1401" s="7" t="s">
        <v>45</v>
      </c>
      <c r="W1401" s="7" t="s">
        <v>130</v>
      </c>
      <c r="X1401" s="7" t="s">
        <v>164</v>
      </c>
      <c r="Y1401" s="7" t="s">
        <v>3421</v>
      </c>
      <c r="Z1401" s="7" t="s">
        <v>3418</v>
      </c>
      <c r="AA1401" s="7"/>
      <c r="AB1401" s="7"/>
      <c r="AC1401" s="7" t="s">
        <v>161</v>
      </c>
      <c r="AD1401" s="7"/>
      <c r="AE1401" s="7"/>
      <c r="AF1401" s="7" t="s">
        <v>50</v>
      </c>
      <c r="AG1401" s="7" t="s">
        <v>159</v>
      </c>
      <c r="AH1401" s="7" t="s">
        <v>167</v>
      </c>
    </row>
    <row r="1402" spans="1:34" ht="9.75" customHeight="1" x14ac:dyDescent="0.2">
      <c r="A1402" s="7" t="s">
        <v>37</v>
      </c>
      <c r="B1402" s="7" t="s">
        <v>38</v>
      </c>
      <c r="C1402" s="7"/>
      <c r="D1402" s="7" t="s">
        <v>3422</v>
      </c>
      <c r="E1402" s="8">
        <v>1</v>
      </c>
      <c r="F1402" s="7" t="s">
        <v>41</v>
      </c>
      <c r="G1402" s="7"/>
      <c r="H1402" s="9"/>
      <c r="I1402" s="9"/>
      <c r="J1402" s="9"/>
      <c r="K1402" s="9"/>
      <c r="L1402" s="10">
        <v>880</v>
      </c>
      <c r="M1402" s="9"/>
      <c r="N1402" s="10">
        <v>880</v>
      </c>
      <c r="O1402" s="9"/>
      <c r="P1402" s="10"/>
      <c r="Q1402" s="10"/>
      <c r="R1402" s="10"/>
      <c r="S1402" s="7" t="s">
        <v>407</v>
      </c>
      <c r="T1402" s="7" t="s">
        <v>3263</v>
      </c>
      <c r="U1402" s="7" t="s">
        <v>44</v>
      </c>
      <c r="V1402" s="7" t="s">
        <v>45</v>
      </c>
      <c r="W1402" s="7" t="s">
        <v>130</v>
      </c>
      <c r="X1402" s="7" t="s">
        <v>164</v>
      </c>
      <c r="Y1402" s="7" t="s">
        <v>3423</v>
      </c>
      <c r="Z1402" s="7" t="s">
        <v>3418</v>
      </c>
      <c r="AA1402" s="7"/>
      <c r="AB1402" s="7"/>
      <c r="AC1402" s="7" t="s">
        <v>161</v>
      </c>
      <c r="AD1402" s="7"/>
      <c r="AE1402" s="7"/>
      <c r="AF1402" s="7" t="s">
        <v>50</v>
      </c>
      <c r="AG1402" s="7" t="s">
        <v>159</v>
      </c>
      <c r="AH1402" s="7" t="s">
        <v>167</v>
      </c>
    </row>
    <row r="1403" spans="1:34" ht="9.75" customHeight="1" x14ac:dyDescent="0.2">
      <c r="A1403" s="7" t="s">
        <v>37</v>
      </c>
      <c r="B1403" s="7" t="s">
        <v>38</v>
      </c>
      <c r="C1403" s="7"/>
      <c r="D1403" s="7" t="s">
        <v>3424</v>
      </c>
      <c r="E1403" s="8">
        <v>1</v>
      </c>
      <c r="F1403" s="7" t="s">
        <v>41</v>
      </c>
      <c r="G1403" s="7"/>
      <c r="H1403" s="9"/>
      <c r="I1403" s="9"/>
      <c r="J1403" s="9"/>
      <c r="K1403" s="9"/>
      <c r="L1403" s="10">
        <v>1457</v>
      </c>
      <c r="M1403" s="9"/>
      <c r="N1403" s="10">
        <v>1457</v>
      </c>
      <c r="O1403" s="9"/>
      <c r="P1403" s="10"/>
      <c r="Q1403" s="10"/>
      <c r="R1403" s="10"/>
      <c r="S1403" s="7" t="s">
        <v>407</v>
      </c>
      <c r="T1403" s="7" t="s">
        <v>3263</v>
      </c>
      <c r="U1403" s="7" t="s">
        <v>44</v>
      </c>
      <c r="V1403" s="7" t="s">
        <v>45</v>
      </c>
      <c r="W1403" s="7" t="s">
        <v>130</v>
      </c>
      <c r="X1403" s="7" t="s">
        <v>164</v>
      </c>
      <c r="Y1403" s="7" t="s">
        <v>3425</v>
      </c>
      <c r="Z1403" s="7" t="s">
        <v>3418</v>
      </c>
      <c r="AA1403" s="7"/>
      <c r="AB1403" s="7"/>
      <c r="AC1403" s="7" t="s">
        <v>161</v>
      </c>
      <c r="AD1403" s="7"/>
      <c r="AE1403" s="7" t="s">
        <v>3426</v>
      </c>
      <c r="AF1403" s="7" t="s">
        <v>50</v>
      </c>
      <c r="AG1403" s="7" t="s">
        <v>159</v>
      </c>
      <c r="AH1403" s="7" t="s">
        <v>167</v>
      </c>
    </row>
    <row r="1404" spans="1:34" ht="9.75" customHeight="1" x14ac:dyDescent="0.2">
      <c r="A1404" s="7" t="s">
        <v>37</v>
      </c>
      <c r="B1404" s="7" t="s">
        <v>38</v>
      </c>
      <c r="C1404" s="7"/>
      <c r="D1404" s="7" t="s">
        <v>3427</v>
      </c>
      <c r="E1404" s="8">
        <v>1</v>
      </c>
      <c r="F1404" s="7" t="s">
        <v>41</v>
      </c>
      <c r="G1404" s="7"/>
      <c r="H1404" s="9"/>
      <c r="I1404" s="9"/>
      <c r="J1404" s="9"/>
      <c r="K1404" s="9"/>
      <c r="L1404" s="10">
        <v>13438</v>
      </c>
      <c r="M1404" s="9"/>
      <c r="N1404" s="10">
        <v>13438</v>
      </c>
      <c r="O1404" s="9"/>
      <c r="P1404" s="10"/>
      <c r="Q1404" s="10"/>
      <c r="R1404" s="10"/>
      <c r="S1404" s="7" t="s">
        <v>407</v>
      </c>
      <c r="T1404" s="7" t="s">
        <v>3263</v>
      </c>
      <c r="U1404" s="7" t="s">
        <v>44</v>
      </c>
      <c r="V1404" s="7" t="s">
        <v>45</v>
      </c>
      <c r="W1404" s="7" t="s">
        <v>130</v>
      </c>
      <c r="X1404" s="7" t="s">
        <v>164</v>
      </c>
      <c r="Y1404" s="7" t="s">
        <v>3428</v>
      </c>
      <c r="Z1404" s="7" t="s">
        <v>3429</v>
      </c>
      <c r="AA1404" s="7"/>
      <c r="AB1404" s="7"/>
      <c r="AC1404" s="7" t="s">
        <v>161</v>
      </c>
      <c r="AD1404" s="7"/>
      <c r="AE1404" s="7" t="s">
        <v>3430</v>
      </c>
      <c r="AF1404" s="7" t="s">
        <v>50</v>
      </c>
      <c r="AG1404" s="7" t="s">
        <v>159</v>
      </c>
      <c r="AH1404" s="7" t="s">
        <v>167</v>
      </c>
    </row>
    <row r="1405" spans="1:34" ht="9.75" customHeight="1" x14ac:dyDescent="0.2">
      <c r="A1405" s="7" t="s">
        <v>37</v>
      </c>
      <c r="B1405" s="7" t="s">
        <v>38</v>
      </c>
      <c r="C1405" s="7"/>
      <c r="D1405" s="7" t="s">
        <v>3431</v>
      </c>
      <c r="E1405" s="8">
        <v>1</v>
      </c>
      <c r="F1405" s="7" t="s">
        <v>41</v>
      </c>
      <c r="G1405" s="7"/>
      <c r="H1405" s="9"/>
      <c r="I1405" s="9"/>
      <c r="J1405" s="9"/>
      <c r="K1405" s="9"/>
      <c r="L1405" s="10">
        <v>4510</v>
      </c>
      <c r="M1405" s="9"/>
      <c r="N1405" s="10">
        <v>4510</v>
      </c>
      <c r="O1405" s="9"/>
      <c r="P1405" s="10"/>
      <c r="Q1405" s="10"/>
      <c r="R1405" s="10"/>
      <c r="S1405" s="7" t="s">
        <v>407</v>
      </c>
      <c r="T1405" s="7" t="s">
        <v>3263</v>
      </c>
      <c r="U1405" s="7" t="s">
        <v>44</v>
      </c>
      <c r="V1405" s="7" t="s">
        <v>45</v>
      </c>
      <c r="W1405" s="7" t="s">
        <v>130</v>
      </c>
      <c r="X1405" s="7" t="s">
        <v>164</v>
      </c>
      <c r="Y1405" s="7" t="s">
        <v>3432</v>
      </c>
      <c r="Z1405" s="7" t="s">
        <v>3429</v>
      </c>
      <c r="AA1405" s="7"/>
      <c r="AB1405" s="7"/>
      <c r="AC1405" s="7" t="s">
        <v>161</v>
      </c>
      <c r="AD1405" s="7"/>
      <c r="AE1405" s="7"/>
      <c r="AF1405" s="7" t="s">
        <v>50</v>
      </c>
      <c r="AG1405" s="7" t="s">
        <v>159</v>
      </c>
      <c r="AH1405" s="7" t="s">
        <v>167</v>
      </c>
    </row>
    <row r="1406" spans="1:34" ht="9.75" customHeight="1" x14ac:dyDescent="0.2">
      <c r="A1406" s="7" t="s">
        <v>37</v>
      </c>
      <c r="B1406" s="7" t="s">
        <v>38</v>
      </c>
      <c r="C1406" s="7"/>
      <c r="D1406" s="7" t="s">
        <v>3433</v>
      </c>
      <c r="E1406" s="8">
        <v>1</v>
      </c>
      <c r="F1406" s="7" t="s">
        <v>41</v>
      </c>
      <c r="G1406" s="7"/>
      <c r="H1406" s="9"/>
      <c r="I1406" s="9"/>
      <c r="J1406" s="9"/>
      <c r="K1406" s="9"/>
      <c r="L1406" s="10">
        <v>582</v>
      </c>
      <c r="M1406" s="9"/>
      <c r="N1406" s="10">
        <v>582</v>
      </c>
      <c r="O1406" s="9"/>
      <c r="P1406" s="10"/>
      <c r="Q1406" s="10"/>
      <c r="R1406" s="10"/>
      <c r="S1406" s="7" t="s">
        <v>407</v>
      </c>
      <c r="T1406" s="7" t="s">
        <v>3263</v>
      </c>
      <c r="U1406" s="7" t="s">
        <v>44</v>
      </c>
      <c r="V1406" s="7" t="s">
        <v>45</v>
      </c>
      <c r="W1406" s="7" t="s">
        <v>130</v>
      </c>
      <c r="X1406" s="7" t="s">
        <v>164</v>
      </c>
      <c r="Y1406" s="7" t="s">
        <v>3434</v>
      </c>
      <c r="Z1406" s="7" t="s">
        <v>3429</v>
      </c>
      <c r="AA1406" s="7"/>
      <c r="AB1406" s="7"/>
      <c r="AC1406" s="7" t="s">
        <v>161</v>
      </c>
      <c r="AD1406" s="7"/>
      <c r="AE1406" s="7"/>
      <c r="AF1406" s="7" t="s">
        <v>50</v>
      </c>
      <c r="AG1406" s="7" t="s">
        <v>159</v>
      </c>
      <c r="AH1406" s="7" t="s">
        <v>167</v>
      </c>
    </row>
    <row r="1407" spans="1:34" ht="9.75" customHeight="1" x14ac:dyDescent="0.2">
      <c r="A1407" s="7" t="s">
        <v>37</v>
      </c>
      <c r="B1407" s="7" t="s">
        <v>38</v>
      </c>
      <c r="C1407" s="7"/>
      <c r="D1407" s="7" t="s">
        <v>3435</v>
      </c>
      <c r="E1407" s="8">
        <v>1</v>
      </c>
      <c r="F1407" s="7" t="s">
        <v>41</v>
      </c>
      <c r="G1407" s="7"/>
      <c r="H1407" s="9"/>
      <c r="I1407" s="9"/>
      <c r="J1407" s="9"/>
      <c r="K1407" s="9"/>
      <c r="L1407" s="10">
        <v>263</v>
      </c>
      <c r="M1407" s="9"/>
      <c r="N1407" s="10">
        <v>263</v>
      </c>
      <c r="O1407" s="9"/>
      <c r="P1407" s="10"/>
      <c r="Q1407" s="10"/>
      <c r="R1407" s="10"/>
      <c r="S1407" s="7" t="s">
        <v>407</v>
      </c>
      <c r="T1407" s="7" t="s">
        <v>3263</v>
      </c>
      <c r="U1407" s="7" t="s">
        <v>44</v>
      </c>
      <c r="V1407" s="7" t="s">
        <v>45</v>
      </c>
      <c r="W1407" s="7" t="s">
        <v>130</v>
      </c>
      <c r="X1407" s="7" t="s">
        <v>164</v>
      </c>
      <c r="Y1407" s="7" t="s">
        <v>3436</v>
      </c>
      <c r="Z1407" s="7" t="s">
        <v>3429</v>
      </c>
      <c r="AA1407" s="7"/>
      <c r="AB1407" s="7"/>
      <c r="AC1407" s="7" t="s">
        <v>161</v>
      </c>
      <c r="AD1407" s="7"/>
      <c r="AE1407" s="7"/>
      <c r="AF1407" s="7" t="s">
        <v>50</v>
      </c>
      <c r="AG1407" s="7" t="s">
        <v>159</v>
      </c>
      <c r="AH1407" s="7" t="s">
        <v>167</v>
      </c>
    </row>
    <row r="1408" spans="1:34" ht="9.75" customHeight="1" x14ac:dyDescent="0.2">
      <c r="A1408" s="7" t="s">
        <v>37</v>
      </c>
      <c r="B1408" s="7" t="s">
        <v>38</v>
      </c>
      <c r="C1408" s="7"/>
      <c r="D1408" s="7" t="s">
        <v>3437</v>
      </c>
      <c r="E1408" s="8">
        <v>1</v>
      </c>
      <c r="F1408" s="7" t="s">
        <v>41</v>
      </c>
      <c r="G1408" s="7"/>
      <c r="H1408" s="9"/>
      <c r="I1408" s="9"/>
      <c r="J1408" s="9"/>
      <c r="K1408" s="9"/>
      <c r="L1408" s="10">
        <v>22252</v>
      </c>
      <c r="M1408" s="9"/>
      <c r="N1408" s="10">
        <v>22252</v>
      </c>
      <c r="O1408" s="9"/>
      <c r="P1408" s="10"/>
      <c r="Q1408" s="10"/>
      <c r="R1408" s="10"/>
      <c r="S1408" s="7" t="s">
        <v>407</v>
      </c>
      <c r="T1408" s="7" t="s">
        <v>3263</v>
      </c>
      <c r="U1408" s="7" t="s">
        <v>44</v>
      </c>
      <c r="V1408" s="7" t="s">
        <v>45</v>
      </c>
      <c r="W1408" s="7" t="s">
        <v>130</v>
      </c>
      <c r="X1408" s="7" t="s">
        <v>164</v>
      </c>
      <c r="Y1408" s="7" t="s">
        <v>3438</v>
      </c>
      <c r="Z1408" s="7" t="s">
        <v>3439</v>
      </c>
      <c r="AA1408" s="7"/>
      <c r="AB1408" s="7"/>
      <c r="AC1408" s="7" t="s">
        <v>161</v>
      </c>
      <c r="AD1408" s="7"/>
      <c r="AE1408" s="7" t="s">
        <v>3440</v>
      </c>
      <c r="AF1408" s="7" t="s">
        <v>50</v>
      </c>
      <c r="AG1408" s="7" t="s">
        <v>159</v>
      </c>
      <c r="AH1408" s="7" t="s">
        <v>167</v>
      </c>
    </row>
    <row r="1409" spans="1:34" ht="9.75" customHeight="1" x14ac:dyDescent="0.2">
      <c r="A1409" s="7" t="s">
        <v>37</v>
      </c>
      <c r="B1409" s="7" t="s">
        <v>38</v>
      </c>
      <c r="C1409" s="7"/>
      <c r="D1409" s="7" t="s">
        <v>3441</v>
      </c>
      <c r="E1409" s="8">
        <v>1</v>
      </c>
      <c r="F1409" s="7" t="s">
        <v>41</v>
      </c>
      <c r="G1409" s="7"/>
      <c r="H1409" s="9"/>
      <c r="I1409" s="9"/>
      <c r="J1409" s="9"/>
      <c r="K1409" s="9"/>
      <c r="L1409" s="10">
        <v>575</v>
      </c>
      <c r="M1409" s="9"/>
      <c r="N1409" s="10">
        <v>575</v>
      </c>
      <c r="O1409" s="9"/>
      <c r="P1409" s="10"/>
      <c r="Q1409" s="10"/>
      <c r="R1409" s="10"/>
      <c r="S1409" s="7" t="s">
        <v>407</v>
      </c>
      <c r="T1409" s="7" t="s">
        <v>3263</v>
      </c>
      <c r="U1409" s="7" t="s">
        <v>44</v>
      </c>
      <c r="V1409" s="7" t="s">
        <v>45</v>
      </c>
      <c r="W1409" s="7" t="s">
        <v>130</v>
      </c>
      <c r="X1409" s="7" t="s">
        <v>164</v>
      </c>
      <c r="Y1409" s="7" t="s">
        <v>3442</v>
      </c>
      <c r="Z1409" s="7" t="s">
        <v>3439</v>
      </c>
      <c r="AA1409" s="7"/>
      <c r="AB1409" s="7"/>
      <c r="AC1409" s="7" t="s">
        <v>161</v>
      </c>
      <c r="AD1409" s="7"/>
      <c r="AE1409" s="7"/>
      <c r="AF1409" s="7" t="s">
        <v>50</v>
      </c>
      <c r="AG1409" s="7" t="s">
        <v>159</v>
      </c>
      <c r="AH1409" s="7" t="s">
        <v>167</v>
      </c>
    </row>
    <row r="1410" spans="1:34" ht="9.75" customHeight="1" x14ac:dyDescent="0.2">
      <c r="A1410" s="7" t="s">
        <v>37</v>
      </c>
      <c r="B1410" s="7" t="s">
        <v>38</v>
      </c>
      <c r="C1410" s="7"/>
      <c r="D1410" s="7" t="s">
        <v>3443</v>
      </c>
      <c r="E1410" s="8">
        <v>1</v>
      </c>
      <c r="F1410" s="7" t="s">
        <v>41</v>
      </c>
      <c r="G1410" s="7"/>
      <c r="H1410" s="9"/>
      <c r="I1410" s="9"/>
      <c r="J1410" s="9"/>
      <c r="K1410" s="9"/>
      <c r="L1410" s="10">
        <v>431</v>
      </c>
      <c r="M1410" s="9"/>
      <c r="N1410" s="10">
        <v>431</v>
      </c>
      <c r="O1410" s="9"/>
      <c r="P1410" s="10"/>
      <c r="Q1410" s="10"/>
      <c r="R1410" s="10"/>
      <c r="S1410" s="7" t="s">
        <v>407</v>
      </c>
      <c r="T1410" s="7" t="s">
        <v>3263</v>
      </c>
      <c r="U1410" s="7" t="s">
        <v>44</v>
      </c>
      <c r="V1410" s="7" t="s">
        <v>45</v>
      </c>
      <c r="W1410" s="7" t="s">
        <v>130</v>
      </c>
      <c r="X1410" s="7" t="s">
        <v>164</v>
      </c>
      <c r="Y1410" s="7" t="s">
        <v>3444</v>
      </c>
      <c r="Z1410" s="7" t="s">
        <v>3439</v>
      </c>
      <c r="AA1410" s="7"/>
      <c r="AB1410" s="7"/>
      <c r="AC1410" s="7" t="s">
        <v>161</v>
      </c>
      <c r="AD1410" s="7"/>
      <c r="AE1410" s="7"/>
      <c r="AF1410" s="7" t="s">
        <v>50</v>
      </c>
      <c r="AG1410" s="7" t="s">
        <v>159</v>
      </c>
      <c r="AH1410" s="7" t="s">
        <v>167</v>
      </c>
    </row>
    <row r="1411" spans="1:34" ht="9.75" customHeight="1" x14ac:dyDescent="0.2">
      <c r="A1411" s="7" t="s">
        <v>37</v>
      </c>
      <c r="B1411" s="7" t="s">
        <v>38</v>
      </c>
      <c r="C1411" s="7"/>
      <c r="D1411" s="7" t="s">
        <v>3445</v>
      </c>
      <c r="E1411" s="8">
        <v>1</v>
      </c>
      <c r="F1411" s="7" t="s">
        <v>41</v>
      </c>
      <c r="G1411" s="7"/>
      <c r="H1411" s="9"/>
      <c r="I1411" s="9"/>
      <c r="J1411" s="9"/>
      <c r="K1411" s="9"/>
      <c r="L1411" s="10">
        <v>695</v>
      </c>
      <c r="M1411" s="9"/>
      <c r="N1411" s="10">
        <v>695</v>
      </c>
      <c r="O1411" s="9"/>
      <c r="P1411" s="10"/>
      <c r="Q1411" s="10"/>
      <c r="R1411" s="10"/>
      <c r="S1411" s="7" t="s">
        <v>407</v>
      </c>
      <c r="T1411" s="7" t="s">
        <v>3263</v>
      </c>
      <c r="U1411" s="7" t="s">
        <v>44</v>
      </c>
      <c r="V1411" s="7" t="s">
        <v>45</v>
      </c>
      <c r="W1411" s="7" t="s">
        <v>130</v>
      </c>
      <c r="X1411" s="7" t="s">
        <v>164</v>
      </c>
      <c r="Y1411" s="7" t="s">
        <v>3446</v>
      </c>
      <c r="Z1411" s="7" t="s">
        <v>3439</v>
      </c>
      <c r="AA1411" s="7"/>
      <c r="AB1411" s="7"/>
      <c r="AC1411" s="7" t="s">
        <v>161</v>
      </c>
      <c r="AD1411" s="7"/>
      <c r="AE1411" s="7"/>
      <c r="AF1411" s="7" t="s">
        <v>50</v>
      </c>
      <c r="AG1411" s="7" t="s">
        <v>159</v>
      </c>
      <c r="AH1411" s="7" t="s">
        <v>167</v>
      </c>
    </row>
    <row r="1412" spans="1:34" ht="9.75" customHeight="1" x14ac:dyDescent="0.2">
      <c r="A1412" s="7" t="s">
        <v>37</v>
      </c>
      <c r="B1412" s="7" t="s">
        <v>38</v>
      </c>
      <c r="C1412" s="7"/>
      <c r="D1412" s="7" t="s">
        <v>3447</v>
      </c>
      <c r="E1412" s="8">
        <v>1</v>
      </c>
      <c r="F1412" s="7" t="s">
        <v>41</v>
      </c>
      <c r="G1412" s="7"/>
      <c r="H1412" s="9"/>
      <c r="I1412" s="9"/>
      <c r="J1412" s="9"/>
      <c r="K1412" s="9"/>
      <c r="L1412" s="10">
        <v>9531</v>
      </c>
      <c r="M1412" s="9"/>
      <c r="N1412" s="10">
        <v>9531</v>
      </c>
      <c r="O1412" s="9"/>
      <c r="P1412" s="10"/>
      <c r="Q1412" s="10"/>
      <c r="R1412" s="10"/>
      <c r="S1412" s="7" t="s">
        <v>407</v>
      </c>
      <c r="T1412" s="7" t="s">
        <v>3263</v>
      </c>
      <c r="U1412" s="7" t="s">
        <v>44</v>
      </c>
      <c r="V1412" s="7" t="s">
        <v>45</v>
      </c>
      <c r="W1412" s="7" t="s">
        <v>130</v>
      </c>
      <c r="X1412" s="7" t="s">
        <v>164</v>
      </c>
      <c r="Y1412" s="7" t="s">
        <v>3448</v>
      </c>
      <c r="Z1412" s="7" t="s">
        <v>3449</v>
      </c>
      <c r="AA1412" s="7"/>
      <c r="AB1412" s="7"/>
      <c r="AC1412" s="7" t="s">
        <v>161</v>
      </c>
      <c r="AD1412" s="7"/>
      <c r="AE1412" s="7" t="s">
        <v>3450</v>
      </c>
      <c r="AF1412" s="7" t="s">
        <v>50</v>
      </c>
      <c r="AG1412" s="7" t="s">
        <v>159</v>
      </c>
      <c r="AH1412" s="7" t="s">
        <v>167</v>
      </c>
    </row>
    <row r="1413" spans="1:34" ht="9.75" customHeight="1" x14ac:dyDescent="0.2">
      <c r="A1413" s="7" t="s">
        <v>37</v>
      </c>
      <c r="B1413" s="7" t="s">
        <v>38</v>
      </c>
      <c r="C1413" s="7"/>
      <c r="D1413" s="7" t="s">
        <v>3451</v>
      </c>
      <c r="E1413" s="8">
        <v>1</v>
      </c>
      <c r="F1413" s="7" t="s">
        <v>41</v>
      </c>
      <c r="G1413" s="7"/>
      <c r="H1413" s="9"/>
      <c r="I1413" s="9"/>
      <c r="J1413" s="9"/>
      <c r="K1413" s="9"/>
      <c r="L1413" s="10">
        <v>232</v>
      </c>
      <c r="M1413" s="9"/>
      <c r="N1413" s="10">
        <v>232</v>
      </c>
      <c r="O1413" s="9"/>
      <c r="P1413" s="10"/>
      <c r="Q1413" s="10"/>
      <c r="R1413" s="10"/>
      <c r="S1413" s="7" t="s">
        <v>407</v>
      </c>
      <c r="T1413" s="7" t="s">
        <v>3263</v>
      </c>
      <c r="U1413" s="7" t="s">
        <v>44</v>
      </c>
      <c r="V1413" s="7" t="s">
        <v>45</v>
      </c>
      <c r="W1413" s="7" t="s">
        <v>130</v>
      </c>
      <c r="X1413" s="7" t="s">
        <v>164</v>
      </c>
      <c r="Y1413" s="7" t="s">
        <v>3452</v>
      </c>
      <c r="Z1413" s="7" t="s">
        <v>3449</v>
      </c>
      <c r="AA1413" s="7"/>
      <c r="AB1413" s="7"/>
      <c r="AC1413" s="7" t="s">
        <v>161</v>
      </c>
      <c r="AD1413" s="7"/>
      <c r="AE1413" s="7"/>
      <c r="AF1413" s="7" t="s">
        <v>50</v>
      </c>
      <c r="AG1413" s="7" t="s">
        <v>159</v>
      </c>
      <c r="AH1413" s="7" t="s">
        <v>167</v>
      </c>
    </row>
    <row r="1414" spans="1:34" ht="9.75" customHeight="1" x14ac:dyDescent="0.2">
      <c r="A1414" s="7" t="s">
        <v>37</v>
      </c>
      <c r="B1414" s="7" t="s">
        <v>38</v>
      </c>
      <c r="C1414" s="7"/>
      <c r="D1414" s="7" t="s">
        <v>3453</v>
      </c>
      <c r="E1414" s="8">
        <v>1</v>
      </c>
      <c r="F1414" s="7" t="s">
        <v>41</v>
      </c>
      <c r="G1414" s="7"/>
      <c r="H1414" s="9"/>
      <c r="I1414" s="9"/>
      <c r="J1414" s="9"/>
      <c r="K1414" s="9"/>
      <c r="L1414" s="10">
        <v>816</v>
      </c>
      <c r="M1414" s="9"/>
      <c r="N1414" s="10">
        <v>816</v>
      </c>
      <c r="O1414" s="9"/>
      <c r="P1414" s="10"/>
      <c r="Q1414" s="10"/>
      <c r="R1414" s="10"/>
      <c r="S1414" s="7" t="s">
        <v>407</v>
      </c>
      <c r="T1414" s="7" t="s">
        <v>3263</v>
      </c>
      <c r="U1414" s="7" t="s">
        <v>44</v>
      </c>
      <c r="V1414" s="7" t="s">
        <v>45</v>
      </c>
      <c r="W1414" s="7" t="s">
        <v>130</v>
      </c>
      <c r="X1414" s="7" t="s">
        <v>164</v>
      </c>
      <c r="Y1414" s="7" t="s">
        <v>3454</v>
      </c>
      <c r="Z1414" s="7" t="s">
        <v>3449</v>
      </c>
      <c r="AA1414" s="7"/>
      <c r="AB1414" s="7"/>
      <c r="AC1414" s="7" t="s">
        <v>161</v>
      </c>
      <c r="AD1414" s="7"/>
      <c r="AE1414" s="7"/>
      <c r="AF1414" s="7" t="s">
        <v>50</v>
      </c>
      <c r="AG1414" s="7" t="s">
        <v>159</v>
      </c>
      <c r="AH1414" s="7" t="s">
        <v>167</v>
      </c>
    </row>
    <row r="1415" spans="1:34" ht="9.75" customHeight="1" x14ac:dyDescent="0.2">
      <c r="A1415" s="7" t="s">
        <v>37</v>
      </c>
      <c r="B1415" s="7" t="s">
        <v>38</v>
      </c>
      <c r="C1415" s="7"/>
      <c r="D1415" s="7" t="s">
        <v>3455</v>
      </c>
      <c r="E1415" s="8">
        <v>1</v>
      </c>
      <c r="F1415" s="7" t="s">
        <v>41</v>
      </c>
      <c r="G1415" s="7"/>
      <c r="H1415" s="9"/>
      <c r="I1415" s="9"/>
      <c r="J1415" s="9"/>
      <c r="K1415" s="9"/>
      <c r="L1415" s="10">
        <v>452</v>
      </c>
      <c r="M1415" s="9"/>
      <c r="N1415" s="10">
        <v>452</v>
      </c>
      <c r="O1415" s="9"/>
      <c r="P1415" s="10"/>
      <c r="Q1415" s="10"/>
      <c r="R1415" s="10"/>
      <c r="S1415" s="7" t="s">
        <v>407</v>
      </c>
      <c r="T1415" s="7" t="s">
        <v>3263</v>
      </c>
      <c r="U1415" s="7" t="s">
        <v>44</v>
      </c>
      <c r="V1415" s="7" t="s">
        <v>45</v>
      </c>
      <c r="W1415" s="7" t="s">
        <v>130</v>
      </c>
      <c r="X1415" s="7" t="s">
        <v>164</v>
      </c>
      <c r="Y1415" s="7" t="s">
        <v>3456</v>
      </c>
      <c r="Z1415" s="7" t="s">
        <v>3449</v>
      </c>
      <c r="AA1415" s="7"/>
      <c r="AB1415" s="7"/>
      <c r="AC1415" s="7" t="s">
        <v>161</v>
      </c>
      <c r="AD1415" s="7"/>
      <c r="AE1415" s="7"/>
      <c r="AF1415" s="7" t="s">
        <v>50</v>
      </c>
      <c r="AG1415" s="7" t="s">
        <v>159</v>
      </c>
      <c r="AH1415" s="7" t="s">
        <v>167</v>
      </c>
    </row>
    <row r="1416" spans="1:34" ht="9.75" customHeight="1" x14ac:dyDescent="0.2">
      <c r="A1416" s="7" t="s">
        <v>37</v>
      </c>
      <c r="B1416" s="7" t="s">
        <v>38</v>
      </c>
      <c r="C1416" s="7"/>
      <c r="D1416" s="7" t="s">
        <v>3457</v>
      </c>
      <c r="E1416" s="8">
        <v>1</v>
      </c>
      <c r="F1416" s="7" t="s">
        <v>41</v>
      </c>
      <c r="G1416" s="7"/>
      <c r="H1416" s="9"/>
      <c r="I1416" s="9"/>
      <c r="J1416" s="9"/>
      <c r="K1416" s="9"/>
      <c r="L1416" s="10">
        <v>7058</v>
      </c>
      <c r="M1416" s="9"/>
      <c r="N1416" s="10">
        <v>7058</v>
      </c>
      <c r="O1416" s="9"/>
      <c r="P1416" s="10"/>
      <c r="Q1416" s="10"/>
      <c r="R1416" s="10"/>
      <c r="S1416" s="7" t="s">
        <v>407</v>
      </c>
      <c r="T1416" s="7" t="s">
        <v>3263</v>
      </c>
      <c r="U1416" s="7" t="s">
        <v>44</v>
      </c>
      <c r="V1416" s="7" t="s">
        <v>45</v>
      </c>
      <c r="W1416" s="7" t="s">
        <v>130</v>
      </c>
      <c r="X1416" s="7" t="s">
        <v>164</v>
      </c>
      <c r="Y1416" s="7" t="s">
        <v>3458</v>
      </c>
      <c r="Z1416" s="7" t="s">
        <v>3459</v>
      </c>
      <c r="AA1416" s="7"/>
      <c r="AB1416" s="7"/>
      <c r="AC1416" s="7" t="s">
        <v>161</v>
      </c>
      <c r="AD1416" s="7"/>
      <c r="AE1416" s="7" t="s">
        <v>3460</v>
      </c>
      <c r="AF1416" s="7" t="s">
        <v>50</v>
      </c>
      <c r="AG1416" s="7" t="s">
        <v>159</v>
      </c>
      <c r="AH1416" s="7" t="s">
        <v>167</v>
      </c>
    </row>
    <row r="1417" spans="1:34" ht="9.75" customHeight="1" x14ac:dyDescent="0.2">
      <c r="A1417" s="7" t="s">
        <v>37</v>
      </c>
      <c r="B1417" s="7" t="s">
        <v>38</v>
      </c>
      <c r="C1417" s="7"/>
      <c r="D1417" s="7" t="s">
        <v>3461</v>
      </c>
      <c r="E1417" s="8">
        <v>1</v>
      </c>
      <c r="F1417" s="7" t="s">
        <v>41</v>
      </c>
      <c r="G1417" s="7"/>
      <c r="H1417" s="9"/>
      <c r="I1417" s="9"/>
      <c r="J1417" s="9"/>
      <c r="K1417" s="9"/>
      <c r="L1417" s="10">
        <v>945</v>
      </c>
      <c r="M1417" s="9"/>
      <c r="N1417" s="10">
        <v>945</v>
      </c>
      <c r="O1417" s="9"/>
      <c r="P1417" s="10"/>
      <c r="Q1417" s="10"/>
      <c r="R1417" s="10"/>
      <c r="S1417" s="7" t="s">
        <v>407</v>
      </c>
      <c r="T1417" s="7" t="s">
        <v>3263</v>
      </c>
      <c r="U1417" s="7" t="s">
        <v>44</v>
      </c>
      <c r="V1417" s="7" t="s">
        <v>45</v>
      </c>
      <c r="W1417" s="7" t="s">
        <v>130</v>
      </c>
      <c r="X1417" s="7" t="s">
        <v>164</v>
      </c>
      <c r="Y1417" s="7" t="s">
        <v>3462</v>
      </c>
      <c r="Z1417" s="7" t="s">
        <v>3459</v>
      </c>
      <c r="AA1417" s="7"/>
      <c r="AB1417" s="7"/>
      <c r="AC1417" s="7" t="s">
        <v>161</v>
      </c>
      <c r="AD1417" s="7"/>
      <c r="AE1417" s="7"/>
      <c r="AF1417" s="7" t="s">
        <v>50</v>
      </c>
      <c r="AG1417" s="7" t="s">
        <v>159</v>
      </c>
      <c r="AH1417" s="7" t="s">
        <v>167</v>
      </c>
    </row>
    <row r="1418" spans="1:34" ht="9.75" customHeight="1" x14ac:dyDescent="0.2">
      <c r="A1418" s="7" t="s">
        <v>37</v>
      </c>
      <c r="B1418" s="7" t="s">
        <v>38</v>
      </c>
      <c r="C1418" s="7"/>
      <c r="D1418" s="7" t="s">
        <v>3463</v>
      </c>
      <c r="E1418" s="8">
        <v>1</v>
      </c>
      <c r="F1418" s="7" t="s">
        <v>41</v>
      </c>
      <c r="G1418" s="7"/>
      <c r="H1418" s="9"/>
      <c r="I1418" s="9"/>
      <c r="J1418" s="9"/>
      <c r="K1418" s="9"/>
      <c r="L1418" s="10">
        <v>204</v>
      </c>
      <c r="M1418" s="9"/>
      <c r="N1418" s="10">
        <v>204</v>
      </c>
      <c r="O1418" s="9"/>
      <c r="P1418" s="10"/>
      <c r="Q1418" s="10"/>
      <c r="R1418" s="10"/>
      <c r="S1418" s="7" t="s">
        <v>407</v>
      </c>
      <c r="T1418" s="7" t="s">
        <v>3263</v>
      </c>
      <c r="U1418" s="7" t="s">
        <v>44</v>
      </c>
      <c r="V1418" s="7" t="s">
        <v>45</v>
      </c>
      <c r="W1418" s="7" t="s">
        <v>130</v>
      </c>
      <c r="X1418" s="7" t="s">
        <v>164</v>
      </c>
      <c r="Y1418" s="7" t="s">
        <v>3464</v>
      </c>
      <c r="Z1418" s="7" t="s">
        <v>3459</v>
      </c>
      <c r="AA1418" s="7"/>
      <c r="AB1418" s="7"/>
      <c r="AC1418" s="7" t="s">
        <v>161</v>
      </c>
      <c r="AD1418" s="7"/>
      <c r="AE1418" s="7"/>
      <c r="AF1418" s="7" t="s">
        <v>50</v>
      </c>
      <c r="AG1418" s="7" t="s">
        <v>159</v>
      </c>
      <c r="AH1418" s="7" t="s">
        <v>167</v>
      </c>
    </row>
    <row r="1419" spans="1:34" ht="9.75" customHeight="1" x14ac:dyDescent="0.2">
      <c r="A1419" s="7" t="s">
        <v>37</v>
      </c>
      <c r="B1419" s="7" t="s">
        <v>38</v>
      </c>
      <c r="C1419" s="7"/>
      <c r="D1419" s="7" t="s">
        <v>3465</v>
      </c>
      <c r="E1419" s="8">
        <v>1</v>
      </c>
      <c r="F1419" s="7" t="s">
        <v>41</v>
      </c>
      <c r="G1419" s="7"/>
      <c r="H1419" s="9"/>
      <c r="I1419" s="9"/>
      <c r="J1419" s="9"/>
      <c r="K1419" s="9"/>
      <c r="L1419" s="10">
        <v>1056</v>
      </c>
      <c r="M1419" s="9"/>
      <c r="N1419" s="10">
        <v>1056</v>
      </c>
      <c r="O1419" s="9"/>
      <c r="P1419" s="10"/>
      <c r="Q1419" s="10"/>
      <c r="R1419" s="10"/>
      <c r="S1419" s="7" t="s">
        <v>407</v>
      </c>
      <c r="T1419" s="7" t="s">
        <v>3263</v>
      </c>
      <c r="U1419" s="7" t="s">
        <v>44</v>
      </c>
      <c r="V1419" s="7" t="s">
        <v>45</v>
      </c>
      <c r="W1419" s="7" t="s">
        <v>130</v>
      </c>
      <c r="X1419" s="7" t="s">
        <v>164</v>
      </c>
      <c r="Y1419" s="7" t="s">
        <v>3466</v>
      </c>
      <c r="Z1419" s="7" t="s">
        <v>3459</v>
      </c>
      <c r="AA1419" s="7"/>
      <c r="AB1419" s="7"/>
      <c r="AC1419" s="7" t="s">
        <v>161</v>
      </c>
      <c r="AD1419" s="7"/>
      <c r="AE1419" s="7"/>
      <c r="AF1419" s="7" t="s">
        <v>50</v>
      </c>
      <c r="AG1419" s="7" t="s">
        <v>159</v>
      </c>
      <c r="AH1419" s="7" t="s">
        <v>167</v>
      </c>
    </row>
    <row r="1420" spans="1:34" ht="9.75" customHeight="1" x14ac:dyDescent="0.2">
      <c r="A1420" s="7" t="s">
        <v>37</v>
      </c>
      <c r="B1420" s="7" t="s">
        <v>38</v>
      </c>
      <c r="C1420" s="7"/>
      <c r="D1420" s="7" t="s">
        <v>3467</v>
      </c>
      <c r="E1420" s="8">
        <v>1</v>
      </c>
      <c r="F1420" s="7" t="s">
        <v>41</v>
      </c>
      <c r="G1420" s="7"/>
      <c r="H1420" s="9"/>
      <c r="I1420" s="9"/>
      <c r="J1420" s="9"/>
      <c r="K1420" s="9"/>
      <c r="L1420" s="10">
        <v>6558</v>
      </c>
      <c r="M1420" s="9"/>
      <c r="N1420" s="10">
        <v>6558</v>
      </c>
      <c r="O1420" s="9"/>
      <c r="P1420" s="10"/>
      <c r="Q1420" s="10"/>
      <c r="R1420" s="10"/>
      <c r="S1420" s="7" t="s">
        <v>407</v>
      </c>
      <c r="T1420" s="7" t="s">
        <v>3263</v>
      </c>
      <c r="U1420" s="7" t="s">
        <v>44</v>
      </c>
      <c r="V1420" s="7" t="s">
        <v>45</v>
      </c>
      <c r="W1420" s="7" t="s">
        <v>130</v>
      </c>
      <c r="X1420" s="7" t="s">
        <v>164</v>
      </c>
      <c r="Y1420" s="7" t="s">
        <v>3468</v>
      </c>
      <c r="Z1420" s="7" t="s">
        <v>3469</v>
      </c>
      <c r="AA1420" s="7"/>
      <c r="AB1420" s="7"/>
      <c r="AC1420" s="7" t="s">
        <v>161</v>
      </c>
      <c r="AD1420" s="7"/>
      <c r="AE1420" s="7" t="s">
        <v>3470</v>
      </c>
      <c r="AF1420" s="7" t="s">
        <v>50</v>
      </c>
      <c r="AG1420" s="7" t="s">
        <v>159</v>
      </c>
      <c r="AH1420" s="7" t="s">
        <v>167</v>
      </c>
    </row>
    <row r="1421" spans="1:34" ht="9.75" customHeight="1" x14ac:dyDescent="0.2">
      <c r="A1421" s="7" t="s">
        <v>37</v>
      </c>
      <c r="B1421" s="7" t="s">
        <v>38</v>
      </c>
      <c r="C1421" s="7"/>
      <c r="D1421" s="7" t="s">
        <v>3471</v>
      </c>
      <c r="E1421" s="8">
        <v>1</v>
      </c>
      <c r="F1421" s="7" t="s">
        <v>41</v>
      </c>
      <c r="G1421" s="7"/>
      <c r="H1421" s="9"/>
      <c r="I1421" s="9"/>
      <c r="J1421" s="9"/>
      <c r="K1421" s="9"/>
      <c r="L1421" s="10">
        <v>191</v>
      </c>
      <c r="M1421" s="9"/>
      <c r="N1421" s="10">
        <v>191</v>
      </c>
      <c r="O1421" s="9"/>
      <c r="P1421" s="10"/>
      <c r="Q1421" s="10"/>
      <c r="R1421" s="10"/>
      <c r="S1421" s="7" t="s">
        <v>407</v>
      </c>
      <c r="T1421" s="7" t="s">
        <v>3263</v>
      </c>
      <c r="U1421" s="7" t="s">
        <v>44</v>
      </c>
      <c r="V1421" s="7" t="s">
        <v>45</v>
      </c>
      <c r="W1421" s="7" t="s">
        <v>130</v>
      </c>
      <c r="X1421" s="7" t="s">
        <v>164</v>
      </c>
      <c r="Y1421" s="7" t="s">
        <v>3472</v>
      </c>
      <c r="Z1421" s="7" t="s">
        <v>3469</v>
      </c>
      <c r="AA1421" s="7"/>
      <c r="AB1421" s="7"/>
      <c r="AC1421" s="7" t="s">
        <v>161</v>
      </c>
      <c r="AD1421" s="7"/>
      <c r="AE1421" s="7"/>
      <c r="AF1421" s="7" t="s">
        <v>50</v>
      </c>
      <c r="AG1421" s="7" t="s">
        <v>159</v>
      </c>
      <c r="AH1421" s="7" t="s">
        <v>167</v>
      </c>
    </row>
    <row r="1422" spans="1:34" ht="9.75" customHeight="1" x14ac:dyDescent="0.2">
      <c r="A1422" s="7" t="s">
        <v>37</v>
      </c>
      <c r="B1422" s="7" t="s">
        <v>38</v>
      </c>
      <c r="C1422" s="7"/>
      <c r="D1422" s="7" t="s">
        <v>3473</v>
      </c>
      <c r="E1422" s="8">
        <v>1</v>
      </c>
      <c r="F1422" s="7" t="s">
        <v>41</v>
      </c>
      <c r="G1422" s="7"/>
      <c r="H1422" s="9"/>
      <c r="I1422" s="9"/>
      <c r="J1422" s="9"/>
      <c r="K1422" s="9"/>
      <c r="L1422" s="10">
        <v>781</v>
      </c>
      <c r="M1422" s="9"/>
      <c r="N1422" s="10">
        <v>781</v>
      </c>
      <c r="O1422" s="9"/>
      <c r="P1422" s="10"/>
      <c r="Q1422" s="10"/>
      <c r="R1422" s="10"/>
      <c r="S1422" s="7" t="s">
        <v>407</v>
      </c>
      <c r="T1422" s="7" t="s">
        <v>3263</v>
      </c>
      <c r="U1422" s="7" t="s">
        <v>44</v>
      </c>
      <c r="V1422" s="7" t="s">
        <v>45</v>
      </c>
      <c r="W1422" s="7" t="s">
        <v>130</v>
      </c>
      <c r="X1422" s="7" t="s">
        <v>164</v>
      </c>
      <c r="Y1422" s="7" t="s">
        <v>3474</v>
      </c>
      <c r="Z1422" s="7" t="s">
        <v>3469</v>
      </c>
      <c r="AA1422" s="7"/>
      <c r="AB1422" s="7"/>
      <c r="AC1422" s="7" t="s">
        <v>161</v>
      </c>
      <c r="AD1422" s="7"/>
      <c r="AE1422" s="7"/>
      <c r="AF1422" s="7" t="s">
        <v>50</v>
      </c>
      <c r="AG1422" s="7" t="s">
        <v>159</v>
      </c>
      <c r="AH1422" s="7" t="s">
        <v>167</v>
      </c>
    </row>
    <row r="1423" spans="1:34" ht="9.75" customHeight="1" x14ac:dyDescent="0.2">
      <c r="A1423" s="7" t="s">
        <v>37</v>
      </c>
      <c r="B1423" s="7" t="s">
        <v>38</v>
      </c>
      <c r="C1423" s="7"/>
      <c r="D1423" s="7" t="s">
        <v>3475</v>
      </c>
      <c r="E1423" s="8">
        <v>1</v>
      </c>
      <c r="F1423" s="7" t="s">
        <v>41</v>
      </c>
      <c r="G1423" s="7"/>
      <c r="H1423" s="9"/>
      <c r="I1423" s="9"/>
      <c r="J1423" s="9"/>
      <c r="K1423" s="9"/>
      <c r="L1423" s="10">
        <v>781</v>
      </c>
      <c r="M1423" s="9"/>
      <c r="N1423" s="10">
        <v>781</v>
      </c>
      <c r="O1423" s="9"/>
      <c r="P1423" s="10"/>
      <c r="Q1423" s="10"/>
      <c r="R1423" s="10"/>
      <c r="S1423" s="7" t="s">
        <v>407</v>
      </c>
      <c r="T1423" s="7" t="s">
        <v>3263</v>
      </c>
      <c r="U1423" s="7" t="s">
        <v>44</v>
      </c>
      <c r="V1423" s="7" t="s">
        <v>45</v>
      </c>
      <c r="W1423" s="7" t="s">
        <v>130</v>
      </c>
      <c r="X1423" s="7" t="s">
        <v>164</v>
      </c>
      <c r="Y1423" s="7" t="s">
        <v>3476</v>
      </c>
      <c r="Z1423" s="7" t="s">
        <v>3469</v>
      </c>
      <c r="AA1423" s="7"/>
      <c r="AB1423" s="7"/>
      <c r="AC1423" s="7" t="s">
        <v>161</v>
      </c>
      <c r="AD1423" s="7"/>
      <c r="AE1423" s="7"/>
      <c r="AF1423" s="7" t="s">
        <v>50</v>
      </c>
      <c r="AG1423" s="7" t="s">
        <v>159</v>
      </c>
      <c r="AH1423" s="7" t="s">
        <v>167</v>
      </c>
    </row>
    <row r="1424" spans="1:34" ht="9.75" customHeight="1" x14ac:dyDescent="0.2">
      <c r="A1424" s="7" t="s">
        <v>37</v>
      </c>
      <c r="B1424" s="7" t="s">
        <v>38</v>
      </c>
      <c r="C1424" s="7"/>
      <c r="D1424" s="7" t="s">
        <v>3477</v>
      </c>
      <c r="E1424" s="8">
        <v>1</v>
      </c>
      <c r="F1424" s="7" t="s">
        <v>41</v>
      </c>
      <c r="G1424" s="7"/>
      <c r="H1424" s="9"/>
      <c r="I1424" s="9"/>
      <c r="J1424" s="9"/>
      <c r="K1424" s="9"/>
      <c r="L1424" s="10">
        <v>9240</v>
      </c>
      <c r="M1424" s="9"/>
      <c r="N1424" s="10">
        <v>9240</v>
      </c>
      <c r="O1424" s="9"/>
      <c r="P1424" s="10"/>
      <c r="Q1424" s="10"/>
      <c r="R1424" s="10"/>
      <c r="S1424" s="7" t="s">
        <v>407</v>
      </c>
      <c r="T1424" s="7" t="s">
        <v>3263</v>
      </c>
      <c r="U1424" s="7" t="s">
        <v>44</v>
      </c>
      <c r="V1424" s="7" t="s">
        <v>45</v>
      </c>
      <c r="W1424" s="7" t="s">
        <v>130</v>
      </c>
      <c r="X1424" s="7" t="s">
        <v>164</v>
      </c>
      <c r="Y1424" s="7" t="s">
        <v>3478</v>
      </c>
      <c r="Z1424" s="7" t="s">
        <v>3479</v>
      </c>
      <c r="AA1424" s="7"/>
      <c r="AB1424" s="7"/>
      <c r="AC1424" s="7" t="s">
        <v>161</v>
      </c>
      <c r="AD1424" s="7"/>
      <c r="AE1424" s="7" t="s">
        <v>3480</v>
      </c>
      <c r="AF1424" s="7" t="s">
        <v>50</v>
      </c>
      <c r="AG1424" s="7" t="s">
        <v>159</v>
      </c>
      <c r="AH1424" s="7" t="s">
        <v>167</v>
      </c>
    </row>
    <row r="1425" spans="1:34" ht="9.75" customHeight="1" x14ac:dyDescent="0.2">
      <c r="A1425" s="7" t="s">
        <v>37</v>
      </c>
      <c r="B1425" s="7" t="s">
        <v>38</v>
      </c>
      <c r="C1425" s="7"/>
      <c r="D1425" s="7" t="s">
        <v>3481</v>
      </c>
      <c r="E1425" s="8">
        <v>1</v>
      </c>
      <c r="F1425" s="7" t="s">
        <v>41</v>
      </c>
      <c r="G1425" s="7"/>
      <c r="H1425" s="9"/>
      <c r="I1425" s="9"/>
      <c r="J1425" s="9"/>
      <c r="K1425" s="9"/>
      <c r="L1425" s="10">
        <v>642</v>
      </c>
      <c r="M1425" s="9"/>
      <c r="N1425" s="10">
        <v>642</v>
      </c>
      <c r="O1425" s="9"/>
      <c r="P1425" s="10"/>
      <c r="Q1425" s="10"/>
      <c r="R1425" s="10"/>
      <c r="S1425" s="7" t="s">
        <v>407</v>
      </c>
      <c r="T1425" s="7" t="s">
        <v>3263</v>
      </c>
      <c r="U1425" s="7" t="s">
        <v>44</v>
      </c>
      <c r="V1425" s="7" t="s">
        <v>45</v>
      </c>
      <c r="W1425" s="7" t="s">
        <v>130</v>
      </c>
      <c r="X1425" s="7" t="s">
        <v>164</v>
      </c>
      <c r="Y1425" s="7" t="s">
        <v>3482</v>
      </c>
      <c r="Z1425" s="7" t="s">
        <v>3479</v>
      </c>
      <c r="AA1425" s="7"/>
      <c r="AB1425" s="7"/>
      <c r="AC1425" s="7" t="s">
        <v>161</v>
      </c>
      <c r="AD1425" s="7"/>
      <c r="AE1425" s="7"/>
      <c r="AF1425" s="7" t="s">
        <v>50</v>
      </c>
      <c r="AG1425" s="7" t="s">
        <v>159</v>
      </c>
      <c r="AH1425" s="7" t="s">
        <v>167</v>
      </c>
    </row>
    <row r="1426" spans="1:34" ht="9.75" customHeight="1" x14ac:dyDescent="0.2">
      <c r="A1426" s="7" t="s">
        <v>37</v>
      </c>
      <c r="B1426" s="7" t="s">
        <v>38</v>
      </c>
      <c r="C1426" s="7"/>
      <c r="D1426" s="7" t="s">
        <v>3483</v>
      </c>
      <c r="E1426" s="8">
        <v>1</v>
      </c>
      <c r="F1426" s="7" t="s">
        <v>41</v>
      </c>
      <c r="G1426" s="7"/>
      <c r="H1426" s="9"/>
      <c r="I1426" s="9"/>
      <c r="J1426" s="9"/>
      <c r="K1426" s="9"/>
      <c r="L1426" s="10">
        <v>83</v>
      </c>
      <c r="M1426" s="9"/>
      <c r="N1426" s="10">
        <v>83</v>
      </c>
      <c r="O1426" s="9"/>
      <c r="P1426" s="10"/>
      <c r="Q1426" s="10"/>
      <c r="R1426" s="10"/>
      <c r="S1426" s="7" t="s">
        <v>407</v>
      </c>
      <c r="T1426" s="7" t="s">
        <v>3263</v>
      </c>
      <c r="U1426" s="7" t="s">
        <v>44</v>
      </c>
      <c r="V1426" s="7" t="s">
        <v>45</v>
      </c>
      <c r="W1426" s="7" t="s">
        <v>130</v>
      </c>
      <c r="X1426" s="7" t="s">
        <v>164</v>
      </c>
      <c r="Y1426" s="7" t="s">
        <v>3484</v>
      </c>
      <c r="Z1426" s="7" t="s">
        <v>3479</v>
      </c>
      <c r="AA1426" s="7"/>
      <c r="AB1426" s="7"/>
      <c r="AC1426" s="7" t="s">
        <v>161</v>
      </c>
      <c r="AD1426" s="7"/>
      <c r="AE1426" s="7"/>
      <c r="AF1426" s="7" t="s">
        <v>50</v>
      </c>
      <c r="AG1426" s="7" t="s">
        <v>159</v>
      </c>
      <c r="AH1426" s="7" t="s">
        <v>167</v>
      </c>
    </row>
    <row r="1427" spans="1:34" ht="9.75" customHeight="1" x14ac:dyDescent="0.2">
      <c r="A1427" s="7" t="s">
        <v>37</v>
      </c>
      <c r="B1427" s="7" t="s">
        <v>38</v>
      </c>
      <c r="C1427" s="7"/>
      <c r="D1427" s="7" t="s">
        <v>3485</v>
      </c>
      <c r="E1427" s="8">
        <v>1</v>
      </c>
      <c r="F1427" s="7" t="s">
        <v>41</v>
      </c>
      <c r="G1427" s="7"/>
      <c r="H1427" s="9"/>
      <c r="I1427" s="9"/>
      <c r="J1427" s="9"/>
      <c r="K1427" s="9"/>
      <c r="L1427" s="10">
        <v>1926</v>
      </c>
      <c r="M1427" s="9"/>
      <c r="N1427" s="10">
        <v>1926</v>
      </c>
      <c r="O1427" s="9"/>
      <c r="P1427" s="10"/>
      <c r="Q1427" s="10"/>
      <c r="R1427" s="10"/>
      <c r="S1427" s="7" t="s">
        <v>407</v>
      </c>
      <c r="T1427" s="7" t="s">
        <v>3263</v>
      </c>
      <c r="U1427" s="7" t="s">
        <v>44</v>
      </c>
      <c r="V1427" s="7" t="s">
        <v>45</v>
      </c>
      <c r="W1427" s="7" t="s">
        <v>130</v>
      </c>
      <c r="X1427" s="7" t="s">
        <v>164</v>
      </c>
      <c r="Y1427" s="7" t="s">
        <v>3486</v>
      </c>
      <c r="Z1427" s="7" t="s">
        <v>3479</v>
      </c>
      <c r="AA1427" s="7"/>
      <c r="AB1427" s="7"/>
      <c r="AC1427" s="7" t="s">
        <v>161</v>
      </c>
      <c r="AD1427" s="7"/>
      <c r="AE1427" s="7" t="s">
        <v>3487</v>
      </c>
      <c r="AF1427" s="7" t="s">
        <v>50</v>
      </c>
      <c r="AG1427" s="7" t="s">
        <v>159</v>
      </c>
      <c r="AH1427" s="7" t="s">
        <v>167</v>
      </c>
    </row>
    <row r="1428" spans="1:34" ht="9.75" customHeight="1" x14ac:dyDescent="0.2">
      <c r="A1428" s="7" t="s">
        <v>37</v>
      </c>
      <c r="B1428" s="7" t="s">
        <v>38</v>
      </c>
      <c r="C1428" s="7"/>
      <c r="D1428" s="7" t="s">
        <v>3488</v>
      </c>
      <c r="E1428" s="8">
        <v>1</v>
      </c>
      <c r="F1428" s="7" t="s">
        <v>41</v>
      </c>
      <c r="G1428" s="7"/>
      <c r="H1428" s="9"/>
      <c r="I1428" s="9"/>
      <c r="J1428" s="9"/>
      <c r="K1428" s="9"/>
      <c r="L1428" s="10">
        <v>3112</v>
      </c>
      <c r="M1428" s="9"/>
      <c r="N1428" s="10">
        <v>3112</v>
      </c>
      <c r="O1428" s="9"/>
      <c r="P1428" s="10"/>
      <c r="Q1428" s="10"/>
      <c r="R1428" s="10"/>
      <c r="S1428" s="7" t="s">
        <v>407</v>
      </c>
      <c r="T1428" s="7" t="s">
        <v>3263</v>
      </c>
      <c r="U1428" s="7" t="s">
        <v>44</v>
      </c>
      <c r="V1428" s="7" t="s">
        <v>45</v>
      </c>
      <c r="W1428" s="7" t="s">
        <v>130</v>
      </c>
      <c r="X1428" s="7" t="s">
        <v>164</v>
      </c>
      <c r="Y1428" s="7" t="s">
        <v>3489</v>
      </c>
      <c r="Z1428" s="7" t="s">
        <v>3490</v>
      </c>
      <c r="AA1428" s="7"/>
      <c r="AB1428" s="7"/>
      <c r="AC1428" s="7" t="s">
        <v>161</v>
      </c>
      <c r="AD1428" s="7"/>
      <c r="AE1428" s="7" t="s">
        <v>3491</v>
      </c>
      <c r="AF1428" s="7" t="s">
        <v>50</v>
      </c>
      <c r="AG1428" s="7" t="s">
        <v>159</v>
      </c>
      <c r="AH1428" s="7" t="s">
        <v>167</v>
      </c>
    </row>
    <row r="1429" spans="1:34" ht="9.75" customHeight="1" x14ac:dyDescent="0.2">
      <c r="A1429" s="7" t="s">
        <v>37</v>
      </c>
      <c r="B1429" s="7" t="s">
        <v>38</v>
      </c>
      <c r="C1429" s="7"/>
      <c r="D1429" s="7" t="s">
        <v>3492</v>
      </c>
      <c r="E1429" s="8">
        <v>1</v>
      </c>
      <c r="F1429" s="7" t="s">
        <v>41</v>
      </c>
      <c r="G1429" s="7"/>
      <c r="H1429" s="9"/>
      <c r="I1429" s="9"/>
      <c r="J1429" s="9"/>
      <c r="K1429" s="9"/>
      <c r="L1429" s="10">
        <v>14641</v>
      </c>
      <c r="M1429" s="9"/>
      <c r="N1429" s="10">
        <v>14641</v>
      </c>
      <c r="O1429" s="9"/>
      <c r="P1429" s="10"/>
      <c r="Q1429" s="10"/>
      <c r="R1429" s="10"/>
      <c r="S1429" s="7" t="s">
        <v>407</v>
      </c>
      <c r="T1429" s="7" t="s">
        <v>3263</v>
      </c>
      <c r="U1429" s="7" t="s">
        <v>44</v>
      </c>
      <c r="V1429" s="7" t="s">
        <v>45</v>
      </c>
      <c r="W1429" s="7" t="s">
        <v>130</v>
      </c>
      <c r="X1429" s="7" t="s">
        <v>164</v>
      </c>
      <c r="Y1429" s="7" t="s">
        <v>3493</v>
      </c>
      <c r="Z1429" s="7" t="s">
        <v>3490</v>
      </c>
      <c r="AA1429" s="7"/>
      <c r="AB1429" s="7"/>
      <c r="AC1429" s="7" t="s">
        <v>161</v>
      </c>
      <c r="AD1429" s="7"/>
      <c r="AE1429" s="7"/>
      <c r="AF1429" s="7" t="s">
        <v>50</v>
      </c>
      <c r="AG1429" s="7" t="s">
        <v>159</v>
      </c>
      <c r="AH1429" s="7" t="s">
        <v>167</v>
      </c>
    </row>
    <row r="1430" spans="1:34" ht="9.75" customHeight="1" x14ac:dyDescent="0.2">
      <c r="A1430" s="7" t="s">
        <v>37</v>
      </c>
      <c r="B1430" s="7" t="s">
        <v>38</v>
      </c>
      <c r="C1430" s="7"/>
      <c r="D1430" s="7" t="s">
        <v>3494</v>
      </c>
      <c r="E1430" s="8">
        <v>1</v>
      </c>
      <c r="F1430" s="7" t="s">
        <v>41</v>
      </c>
      <c r="G1430" s="7"/>
      <c r="H1430" s="9"/>
      <c r="I1430" s="9"/>
      <c r="J1430" s="9"/>
      <c r="K1430" s="9"/>
      <c r="L1430" s="10">
        <v>3020</v>
      </c>
      <c r="M1430" s="9"/>
      <c r="N1430" s="10">
        <v>3020</v>
      </c>
      <c r="O1430" s="9"/>
      <c r="P1430" s="10"/>
      <c r="Q1430" s="10"/>
      <c r="R1430" s="10"/>
      <c r="S1430" s="7" t="s">
        <v>407</v>
      </c>
      <c r="T1430" s="7" t="s">
        <v>3263</v>
      </c>
      <c r="U1430" s="7" t="s">
        <v>44</v>
      </c>
      <c r="V1430" s="7" t="s">
        <v>45</v>
      </c>
      <c r="W1430" s="7" t="s">
        <v>130</v>
      </c>
      <c r="X1430" s="7" t="s">
        <v>164</v>
      </c>
      <c r="Y1430" s="7" t="s">
        <v>3495</v>
      </c>
      <c r="Z1430" s="7" t="s">
        <v>3490</v>
      </c>
      <c r="AA1430" s="7"/>
      <c r="AB1430" s="7"/>
      <c r="AC1430" s="7" t="s">
        <v>161</v>
      </c>
      <c r="AD1430" s="7"/>
      <c r="AE1430" s="7"/>
      <c r="AF1430" s="7" t="s">
        <v>50</v>
      </c>
      <c r="AG1430" s="7" t="s">
        <v>159</v>
      </c>
      <c r="AH1430" s="7" t="s">
        <v>167</v>
      </c>
    </row>
    <row r="1431" spans="1:34" ht="9.75" customHeight="1" x14ac:dyDescent="0.2">
      <c r="A1431" s="7" t="s">
        <v>37</v>
      </c>
      <c r="B1431" s="7" t="s">
        <v>38</v>
      </c>
      <c r="C1431" s="7"/>
      <c r="D1431" s="7" t="s">
        <v>3496</v>
      </c>
      <c r="E1431" s="8">
        <v>1</v>
      </c>
      <c r="F1431" s="7" t="s">
        <v>41</v>
      </c>
      <c r="G1431" s="7"/>
      <c r="H1431" s="9"/>
      <c r="I1431" s="9"/>
      <c r="J1431" s="9"/>
      <c r="K1431" s="9"/>
      <c r="L1431" s="10">
        <v>2283</v>
      </c>
      <c r="M1431" s="9"/>
      <c r="N1431" s="10">
        <v>2283</v>
      </c>
      <c r="O1431" s="9"/>
      <c r="P1431" s="10"/>
      <c r="Q1431" s="10"/>
      <c r="R1431" s="10"/>
      <c r="S1431" s="7" t="s">
        <v>407</v>
      </c>
      <c r="T1431" s="7" t="s">
        <v>3263</v>
      </c>
      <c r="U1431" s="7" t="s">
        <v>44</v>
      </c>
      <c r="V1431" s="7" t="s">
        <v>45</v>
      </c>
      <c r="W1431" s="7" t="s">
        <v>130</v>
      </c>
      <c r="X1431" s="7" t="s">
        <v>164</v>
      </c>
      <c r="Y1431" s="7" t="s">
        <v>3497</v>
      </c>
      <c r="Z1431" s="7" t="s">
        <v>3490</v>
      </c>
      <c r="AA1431" s="7"/>
      <c r="AB1431" s="7"/>
      <c r="AC1431" s="7" t="s">
        <v>161</v>
      </c>
      <c r="AD1431" s="7"/>
      <c r="AE1431" s="7"/>
      <c r="AF1431" s="7" t="s">
        <v>50</v>
      </c>
      <c r="AG1431" s="7" t="s">
        <v>159</v>
      </c>
      <c r="AH1431" s="7" t="s">
        <v>167</v>
      </c>
    </row>
    <row r="1432" spans="1:34" ht="9.75" customHeight="1" x14ac:dyDescent="0.2">
      <c r="A1432" s="7" t="s">
        <v>37</v>
      </c>
      <c r="B1432" s="7" t="s">
        <v>38</v>
      </c>
      <c r="C1432" s="7"/>
      <c r="D1432" s="7" t="s">
        <v>3498</v>
      </c>
      <c r="E1432" s="8">
        <v>1</v>
      </c>
      <c r="F1432" s="7" t="s">
        <v>41</v>
      </c>
      <c r="G1432" s="7"/>
      <c r="H1432" s="9"/>
      <c r="I1432" s="9"/>
      <c r="J1432" s="9"/>
      <c r="K1432" s="9"/>
      <c r="L1432" s="10">
        <v>15399</v>
      </c>
      <c r="M1432" s="9"/>
      <c r="N1432" s="10">
        <v>15399</v>
      </c>
      <c r="O1432" s="9"/>
      <c r="P1432" s="10"/>
      <c r="Q1432" s="10"/>
      <c r="R1432" s="10"/>
      <c r="S1432" s="7" t="s">
        <v>407</v>
      </c>
      <c r="T1432" s="7" t="s">
        <v>3263</v>
      </c>
      <c r="U1432" s="7" t="s">
        <v>44</v>
      </c>
      <c r="V1432" s="7" t="s">
        <v>45</v>
      </c>
      <c r="W1432" s="7" t="s">
        <v>130</v>
      </c>
      <c r="X1432" s="7" t="s">
        <v>164</v>
      </c>
      <c r="Y1432" s="7" t="s">
        <v>3499</v>
      </c>
      <c r="Z1432" s="7" t="s">
        <v>3500</v>
      </c>
      <c r="AA1432" s="7"/>
      <c r="AB1432" s="7"/>
      <c r="AC1432" s="7" t="s">
        <v>161</v>
      </c>
      <c r="AD1432" s="7"/>
      <c r="AE1432" s="7"/>
      <c r="AF1432" s="7" t="s">
        <v>50</v>
      </c>
      <c r="AG1432" s="7" t="s">
        <v>159</v>
      </c>
      <c r="AH1432" s="7" t="s">
        <v>167</v>
      </c>
    </row>
    <row r="1433" spans="1:34" ht="9.75" customHeight="1" x14ac:dyDescent="0.2">
      <c r="A1433" s="7" t="s">
        <v>37</v>
      </c>
      <c r="B1433" s="7" t="s">
        <v>38</v>
      </c>
      <c r="C1433" s="7"/>
      <c r="D1433" s="7" t="s">
        <v>3501</v>
      </c>
      <c r="E1433" s="8">
        <v>1</v>
      </c>
      <c r="F1433" s="7" t="s">
        <v>41</v>
      </c>
      <c r="G1433" s="7"/>
      <c r="H1433" s="9"/>
      <c r="I1433" s="9"/>
      <c r="J1433" s="9"/>
      <c r="K1433" s="9"/>
      <c r="L1433" s="10">
        <v>1093</v>
      </c>
      <c r="M1433" s="9"/>
      <c r="N1433" s="10">
        <v>1093</v>
      </c>
      <c r="O1433" s="9"/>
      <c r="P1433" s="10"/>
      <c r="Q1433" s="10"/>
      <c r="R1433" s="10"/>
      <c r="S1433" s="7" t="s">
        <v>407</v>
      </c>
      <c r="T1433" s="7" t="s">
        <v>3263</v>
      </c>
      <c r="U1433" s="7" t="s">
        <v>44</v>
      </c>
      <c r="V1433" s="7" t="s">
        <v>45</v>
      </c>
      <c r="W1433" s="7" t="s">
        <v>130</v>
      </c>
      <c r="X1433" s="7" t="s">
        <v>164</v>
      </c>
      <c r="Y1433" s="7" t="s">
        <v>3502</v>
      </c>
      <c r="Z1433" s="7" t="s">
        <v>3500</v>
      </c>
      <c r="AA1433" s="7"/>
      <c r="AB1433" s="7"/>
      <c r="AC1433" s="7" t="s">
        <v>161</v>
      </c>
      <c r="AD1433" s="7"/>
      <c r="AE1433" s="7"/>
      <c r="AF1433" s="7" t="s">
        <v>50</v>
      </c>
      <c r="AG1433" s="7" t="s">
        <v>159</v>
      </c>
      <c r="AH1433" s="7" t="s">
        <v>167</v>
      </c>
    </row>
    <row r="1434" spans="1:34" ht="9.75" customHeight="1" x14ac:dyDescent="0.2">
      <c r="A1434" s="7" t="s">
        <v>37</v>
      </c>
      <c r="B1434" s="7" t="s">
        <v>38</v>
      </c>
      <c r="C1434" s="7"/>
      <c r="D1434" s="7" t="s">
        <v>3503</v>
      </c>
      <c r="E1434" s="8">
        <v>1</v>
      </c>
      <c r="F1434" s="7" t="s">
        <v>41</v>
      </c>
      <c r="G1434" s="7"/>
      <c r="H1434" s="9"/>
      <c r="I1434" s="9"/>
      <c r="J1434" s="9"/>
      <c r="K1434" s="9"/>
      <c r="L1434" s="10">
        <v>720</v>
      </c>
      <c r="M1434" s="9"/>
      <c r="N1434" s="10">
        <v>720</v>
      </c>
      <c r="O1434" s="9"/>
      <c r="P1434" s="10"/>
      <c r="Q1434" s="10"/>
      <c r="R1434" s="10"/>
      <c r="S1434" s="7" t="s">
        <v>407</v>
      </c>
      <c r="T1434" s="7" t="s">
        <v>3263</v>
      </c>
      <c r="U1434" s="7" t="s">
        <v>44</v>
      </c>
      <c r="V1434" s="7" t="s">
        <v>45</v>
      </c>
      <c r="W1434" s="7" t="s">
        <v>130</v>
      </c>
      <c r="X1434" s="7" t="s">
        <v>164</v>
      </c>
      <c r="Y1434" s="7" t="s">
        <v>3504</v>
      </c>
      <c r="Z1434" s="7" t="s">
        <v>3500</v>
      </c>
      <c r="AA1434" s="7"/>
      <c r="AB1434" s="7"/>
      <c r="AC1434" s="7" t="s">
        <v>161</v>
      </c>
      <c r="AD1434" s="7"/>
      <c r="AE1434" s="7"/>
      <c r="AF1434" s="7" t="s">
        <v>50</v>
      </c>
      <c r="AG1434" s="7" t="s">
        <v>159</v>
      </c>
      <c r="AH1434" s="7" t="s">
        <v>167</v>
      </c>
    </row>
    <row r="1435" spans="1:34" ht="9.75" customHeight="1" x14ac:dyDescent="0.2">
      <c r="A1435" s="7" t="s">
        <v>37</v>
      </c>
      <c r="B1435" s="7" t="s">
        <v>38</v>
      </c>
      <c r="C1435" s="7"/>
      <c r="D1435" s="7" t="s">
        <v>3505</v>
      </c>
      <c r="E1435" s="8">
        <v>1</v>
      </c>
      <c r="F1435" s="7" t="s">
        <v>41</v>
      </c>
      <c r="G1435" s="7"/>
      <c r="H1435" s="9"/>
      <c r="I1435" s="9"/>
      <c r="J1435" s="9"/>
      <c r="K1435" s="9"/>
      <c r="L1435" s="10">
        <v>137</v>
      </c>
      <c r="M1435" s="9"/>
      <c r="N1435" s="10">
        <v>137</v>
      </c>
      <c r="O1435" s="9"/>
      <c r="P1435" s="10"/>
      <c r="Q1435" s="10"/>
      <c r="R1435" s="10"/>
      <c r="S1435" s="7" t="s">
        <v>407</v>
      </c>
      <c r="T1435" s="7" t="s">
        <v>3263</v>
      </c>
      <c r="U1435" s="7" t="s">
        <v>44</v>
      </c>
      <c r="V1435" s="7" t="s">
        <v>45</v>
      </c>
      <c r="W1435" s="7" t="s">
        <v>130</v>
      </c>
      <c r="X1435" s="7" t="s">
        <v>164</v>
      </c>
      <c r="Y1435" s="7" t="s">
        <v>3506</v>
      </c>
      <c r="Z1435" s="7" t="s">
        <v>3500</v>
      </c>
      <c r="AA1435" s="7"/>
      <c r="AB1435" s="7"/>
      <c r="AC1435" s="7" t="s">
        <v>161</v>
      </c>
      <c r="AD1435" s="7"/>
      <c r="AE1435" s="7" t="s">
        <v>3507</v>
      </c>
      <c r="AF1435" s="7" t="s">
        <v>50</v>
      </c>
      <c r="AG1435" s="7" t="s">
        <v>159</v>
      </c>
      <c r="AH1435" s="7" t="s">
        <v>167</v>
      </c>
    </row>
    <row r="1436" spans="1:34" ht="9.75" customHeight="1" x14ac:dyDescent="0.2">
      <c r="A1436" s="7" t="s">
        <v>37</v>
      </c>
      <c r="B1436" s="7" t="s">
        <v>38</v>
      </c>
      <c r="C1436" s="7"/>
      <c r="D1436" s="7" t="s">
        <v>3508</v>
      </c>
      <c r="E1436" s="8">
        <v>1</v>
      </c>
      <c r="F1436" s="7" t="s">
        <v>41</v>
      </c>
      <c r="G1436" s="7"/>
      <c r="H1436" s="9"/>
      <c r="I1436" s="9"/>
      <c r="J1436" s="9"/>
      <c r="K1436" s="9"/>
      <c r="L1436" s="10">
        <v>4175</v>
      </c>
      <c r="M1436" s="9"/>
      <c r="N1436" s="10">
        <v>4175</v>
      </c>
      <c r="O1436" s="9"/>
      <c r="P1436" s="10"/>
      <c r="Q1436" s="10"/>
      <c r="R1436" s="10"/>
      <c r="S1436" s="7" t="s">
        <v>407</v>
      </c>
      <c r="T1436" s="7" t="s">
        <v>3263</v>
      </c>
      <c r="U1436" s="7" t="s">
        <v>44</v>
      </c>
      <c r="V1436" s="7" t="s">
        <v>45</v>
      </c>
      <c r="W1436" s="7" t="s">
        <v>130</v>
      </c>
      <c r="X1436" s="7" t="s">
        <v>164</v>
      </c>
      <c r="Y1436" s="7" t="s">
        <v>3509</v>
      </c>
      <c r="Z1436" s="7" t="s">
        <v>3510</v>
      </c>
      <c r="AA1436" s="7"/>
      <c r="AB1436" s="7"/>
      <c r="AC1436" s="7" t="s">
        <v>161</v>
      </c>
      <c r="AD1436" s="7"/>
      <c r="AE1436" s="7"/>
      <c r="AF1436" s="7" t="s">
        <v>50</v>
      </c>
      <c r="AG1436" s="7" t="s">
        <v>159</v>
      </c>
      <c r="AH1436" s="7" t="s">
        <v>167</v>
      </c>
    </row>
    <row r="1437" spans="1:34" ht="9.75" customHeight="1" x14ac:dyDescent="0.2">
      <c r="A1437" s="7" t="s">
        <v>37</v>
      </c>
      <c r="B1437" s="7" t="s">
        <v>38</v>
      </c>
      <c r="C1437" s="7"/>
      <c r="D1437" s="7" t="s">
        <v>3511</v>
      </c>
      <c r="E1437" s="8">
        <v>1</v>
      </c>
      <c r="F1437" s="7" t="s">
        <v>41</v>
      </c>
      <c r="G1437" s="7"/>
      <c r="H1437" s="9"/>
      <c r="I1437" s="9"/>
      <c r="J1437" s="9"/>
      <c r="K1437" s="9"/>
      <c r="L1437" s="10">
        <v>404</v>
      </c>
      <c r="M1437" s="9"/>
      <c r="N1437" s="10">
        <v>404</v>
      </c>
      <c r="O1437" s="9"/>
      <c r="P1437" s="10"/>
      <c r="Q1437" s="10"/>
      <c r="R1437" s="10"/>
      <c r="S1437" s="7" t="s">
        <v>407</v>
      </c>
      <c r="T1437" s="7" t="s">
        <v>3263</v>
      </c>
      <c r="U1437" s="7" t="s">
        <v>44</v>
      </c>
      <c r="V1437" s="7" t="s">
        <v>45</v>
      </c>
      <c r="W1437" s="7" t="s">
        <v>130</v>
      </c>
      <c r="X1437" s="7" t="s">
        <v>164</v>
      </c>
      <c r="Y1437" s="7" t="s">
        <v>3512</v>
      </c>
      <c r="Z1437" s="7" t="s">
        <v>3510</v>
      </c>
      <c r="AA1437" s="7"/>
      <c r="AB1437" s="7"/>
      <c r="AC1437" s="7" t="s">
        <v>161</v>
      </c>
      <c r="AD1437" s="7"/>
      <c r="AE1437" s="7"/>
      <c r="AF1437" s="7" t="s">
        <v>50</v>
      </c>
      <c r="AG1437" s="7" t="s">
        <v>159</v>
      </c>
      <c r="AH1437" s="7" t="s">
        <v>167</v>
      </c>
    </row>
    <row r="1438" spans="1:34" ht="9.75" customHeight="1" x14ac:dyDescent="0.2">
      <c r="A1438" s="7" t="s">
        <v>37</v>
      </c>
      <c r="B1438" s="7" t="s">
        <v>38</v>
      </c>
      <c r="C1438" s="7"/>
      <c r="D1438" s="7" t="s">
        <v>3513</v>
      </c>
      <c r="E1438" s="8">
        <v>1</v>
      </c>
      <c r="F1438" s="7" t="s">
        <v>41</v>
      </c>
      <c r="G1438" s="7"/>
      <c r="H1438" s="9"/>
      <c r="I1438" s="9"/>
      <c r="J1438" s="9"/>
      <c r="K1438" s="9"/>
      <c r="L1438" s="10">
        <v>1450</v>
      </c>
      <c r="M1438" s="9"/>
      <c r="N1438" s="10">
        <v>1450</v>
      </c>
      <c r="O1438" s="9"/>
      <c r="P1438" s="10"/>
      <c r="Q1438" s="10"/>
      <c r="R1438" s="10"/>
      <c r="S1438" s="7" t="s">
        <v>407</v>
      </c>
      <c r="T1438" s="7" t="s">
        <v>3263</v>
      </c>
      <c r="U1438" s="7" t="s">
        <v>44</v>
      </c>
      <c r="V1438" s="7" t="s">
        <v>45</v>
      </c>
      <c r="W1438" s="7" t="s">
        <v>130</v>
      </c>
      <c r="X1438" s="7" t="s">
        <v>164</v>
      </c>
      <c r="Y1438" s="7" t="s">
        <v>3514</v>
      </c>
      <c r="Z1438" s="7" t="s">
        <v>3510</v>
      </c>
      <c r="AA1438" s="7"/>
      <c r="AB1438" s="7"/>
      <c r="AC1438" s="7" t="s">
        <v>161</v>
      </c>
      <c r="AD1438" s="7"/>
      <c r="AE1438" s="7"/>
      <c r="AF1438" s="7" t="s">
        <v>50</v>
      </c>
      <c r="AG1438" s="7" t="s">
        <v>159</v>
      </c>
      <c r="AH1438" s="7" t="s">
        <v>167</v>
      </c>
    </row>
    <row r="1439" spans="1:34" ht="9.75" customHeight="1" x14ac:dyDescent="0.2">
      <c r="A1439" s="7" t="s">
        <v>37</v>
      </c>
      <c r="B1439" s="7" t="s">
        <v>38</v>
      </c>
      <c r="C1439" s="7"/>
      <c r="D1439" s="7" t="s">
        <v>3515</v>
      </c>
      <c r="E1439" s="8">
        <v>1</v>
      </c>
      <c r="F1439" s="7" t="s">
        <v>41</v>
      </c>
      <c r="G1439" s="7"/>
      <c r="H1439" s="9"/>
      <c r="I1439" s="9"/>
      <c r="J1439" s="9"/>
      <c r="K1439" s="9"/>
      <c r="L1439" s="10">
        <v>1139</v>
      </c>
      <c r="M1439" s="9"/>
      <c r="N1439" s="10">
        <v>1139</v>
      </c>
      <c r="O1439" s="9"/>
      <c r="P1439" s="10"/>
      <c r="Q1439" s="10"/>
      <c r="R1439" s="10"/>
      <c r="S1439" s="7" t="s">
        <v>407</v>
      </c>
      <c r="T1439" s="7" t="s">
        <v>3263</v>
      </c>
      <c r="U1439" s="7" t="s">
        <v>44</v>
      </c>
      <c r="V1439" s="7" t="s">
        <v>45</v>
      </c>
      <c r="W1439" s="7" t="s">
        <v>130</v>
      </c>
      <c r="X1439" s="7" t="s">
        <v>164</v>
      </c>
      <c r="Y1439" s="7" t="s">
        <v>3516</v>
      </c>
      <c r="Z1439" s="7" t="s">
        <v>3510</v>
      </c>
      <c r="AA1439" s="7"/>
      <c r="AB1439" s="7"/>
      <c r="AC1439" s="7" t="s">
        <v>161</v>
      </c>
      <c r="AD1439" s="7"/>
      <c r="AE1439" s="7"/>
      <c r="AF1439" s="7" t="s">
        <v>50</v>
      </c>
      <c r="AG1439" s="7" t="s">
        <v>159</v>
      </c>
      <c r="AH1439" s="7" t="s">
        <v>167</v>
      </c>
    </row>
    <row r="1440" spans="1:34" ht="9.75" customHeight="1" x14ac:dyDescent="0.2">
      <c r="A1440" s="7" t="s">
        <v>37</v>
      </c>
      <c r="B1440" s="7" t="s">
        <v>38</v>
      </c>
      <c r="C1440" s="7"/>
      <c r="D1440" s="7" t="s">
        <v>3517</v>
      </c>
      <c r="E1440" s="8">
        <v>1</v>
      </c>
      <c r="F1440" s="7" t="s">
        <v>41</v>
      </c>
      <c r="G1440" s="7"/>
      <c r="H1440" s="9"/>
      <c r="I1440" s="9"/>
      <c r="J1440" s="9"/>
      <c r="K1440" s="9"/>
      <c r="L1440" s="10">
        <v>51295</v>
      </c>
      <c r="M1440" s="9"/>
      <c r="N1440" s="10">
        <v>51295</v>
      </c>
      <c r="O1440" s="9"/>
      <c r="P1440" s="10"/>
      <c r="Q1440" s="10"/>
      <c r="R1440" s="10"/>
      <c r="S1440" s="7" t="s">
        <v>407</v>
      </c>
      <c r="T1440" s="7" t="s">
        <v>3263</v>
      </c>
      <c r="U1440" s="7" t="s">
        <v>44</v>
      </c>
      <c r="V1440" s="7" t="s">
        <v>45</v>
      </c>
      <c r="W1440" s="7" t="s">
        <v>130</v>
      </c>
      <c r="X1440" s="7" t="s">
        <v>164</v>
      </c>
      <c r="Y1440" s="7" t="s">
        <v>3518</v>
      </c>
      <c r="Z1440" s="7" t="s">
        <v>3519</v>
      </c>
      <c r="AA1440" s="7"/>
      <c r="AB1440" s="7"/>
      <c r="AC1440" s="7" t="s">
        <v>161</v>
      </c>
      <c r="AD1440" s="7"/>
      <c r="AE1440" s="7"/>
      <c r="AF1440" s="7" t="s">
        <v>50</v>
      </c>
      <c r="AG1440" s="7" t="s">
        <v>159</v>
      </c>
      <c r="AH1440" s="7" t="s">
        <v>167</v>
      </c>
    </row>
    <row r="1441" spans="1:34" ht="9.75" customHeight="1" x14ac:dyDescent="0.2">
      <c r="A1441" s="7" t="s">
        <v>37</v>
      </c>
      <c r="B1441" s="7" t="s">
        <v>38</v>
      </c>
      <c r="C1441" s="7"/>
      <c r="D1441" s="7" t="s">
        <v>3520</v>
      </c>
      <c r="E1441" s="8">
        <v>1</v>
      </c>
      <c r="F1441" s="7" t="s">
        <v>41</v>
      </c>
      <c r="G1441" s="7"/>
      <c r="H1441" s="9"/>
      <c r="I1441" s="9"/>
      <c r="J1441" s="9"/>
      <c r="K1441" s="9"/>
      <c r="L1441" s="10">
        <v>1253</v>
      </c>
      <c r="M1441" s="9"/>
      <c r="N1441" s="10">
        <v>1253</v>
      </c>
      <c r="O1441" s="9"/>
      <c r="P1441" s="10"/>
      <c r="Q1441" s="10"/>
      <c r="R1441" s="10"/>
      <c r="S1441" s="7" t="s">
        <v>407</v>
      </c>
      <c r="T1441" s="7" t="s">
        <v>3263</v>
      </c>
      <c r="U1441" s="7" t="s">
        <v>44</v>
      </c>
      <c r="V1441" s="7" t="s">
        <v>45</v>
      </c>
      <c r="W1441" s="7" t="s">
        <v>130</v>
      </c>
      <c r="X1441" s="7" t="s">
        <v>164</v>
      </c>
      <c r="Y1441" s="7" t="s">
        <v>3521</v>
      </c>
      <c r="Z1441" s="7" t="s">
        <v>3519</v>
      </c>
      <c r="AA1441" s="7"/>
      <c r="AB1441" s="7"/>
      <c r="AC1441" s="7" t="s">
        <v>161</v>
      </c>
      <c r="AD1441" s="7"/>
      <c r="AE1441" s="7"/>
      <c r="AF1441" s="7" t="s">
        <v>50</v>
      </c>
      <c r="AG1441" s="7" t="s">
        <v>159</v>
      </c>
      <c r="AH1441" s="7" t="s">
        <v>167</v>
      </c>
    </row>
    <row r="1442" spans="1:34" ht="9.75" customHeight="1" x14ac:dyDescent="0.2">
      <c r="A1442" s="7" t="s">
        <v>37</v>
      </c>
      <c r="B1442" s="7" t="s">
        <v>38</v>
      </c>
      <c r="C1442" s="7"/>
      <c r="D1442" s="7" t="s">
        <v>3522</v>
      </c>
      <c r="E1442" s="8">
        <v>1</v>
      </c>
      <c r="F1442" s="7" t="s">
        <v>41</v>
      </c>
      <c r="G1442" s="7"/>
      <c r="H1442" s="9"/>
      <c r="I1442" s="9"/>
      <c r="J1442" s="9"/>
      <c r="K1442" s="9"/>
      <c r="L1442" s="10">
        <v>767</v>
      </c>
      <c r="M1442" s="9"/>
      <c r="N1442" s="10">
        <v>767</v>
      </c>
      <c r="O1442" s="9"/>
      <c r="P1442" s="10"/>
      <c r="Q1442" s="10"/>
      <c r="R1442" s="10"/>
      <c r="S1442" s="7" t="s">
        <v>407</v>
      </c>
      <c r="T1442" s="7" t="s">
        <v>3263</v>
      </c>
      <c r="U1442" s="7" t="s">
        <v>44</v>
      </c>
      <c r="V1442" s="7" t="s">
        <v>45</v>
      </c>
      <c r="W1442" s="7" t="s">
        <v>130</v>
      </c>
      <c r="X1442" s="7" t="s">
        <v>164</v>
      </c>
      <c r="Y1442" s="7" t="s">
        <v>3523</v>
      </c>
      <c r="Z1442" s="7" t="s">
        <v>3519</v>
      </c>
      <c r="AA1442" s="7"/>
      <c r="AB1442" s="7"/>
      <c r="AC1442" s="7" t="s">
        <v>161</v>
      </c>
      <c r="AD1442" s="7"/>
      <c r="AE1442" s="7"/>
      <c r="AF1442" s="7" t="s">
        <v>50</v>
      </c>
      <c r="AG1442" s="7" t="s">
        <v>159</v>
      </c>
      <c r="AH1442" s="7" t="s">
        <v>167</v>
      </c>
    </row>
    <row r="1443" spans="1:34" ht="9.75" customHeight="1" x14ac:dyDescent="0.2">
      <c r="A1443" s="7" t="s">
        <v>37</v>
      </c>
      <c r="B1443" s="7" t="s">
        <v>38</v>
      </c>
      <c r="C1443" s="7"/>
      <c r="D1443" s="7" t="s">
        <v>3524</v>
      </c>
      <c r="E1443" s="8">
        <v>1</v>
      </c>
      <c r="F1443" s="7" t="s">
        <v>41</v>
      </c>
      <c r="G1443" s="7"/>
      <c r="H1443" s="9"/>
      <c r="I1443" s="9"/>
      <c r="J1443" s="9"/>
      <c r="K1443" s="9"/>
      <c r="L1443" s="10">
        <v>26501</v>
      </c>
      <c r="M1443" s="9"/>
      <c r="N1443" s="10">
        <v>26501</v>
      </c>
      <c r="O1443" s="9"/>
      <c r="P1443" s="10"/>
      <c r="Q1443" s="10"/>
      <c r="R1443" s="10"/>
      <c r="S1443" s="7" t="s">
        <v>407</v>
      </c>
      <c r="T1443" s="7" t="s">
        <v>3263</v>
      </c>
      <c r="U1443" s="7" t="s">
        <v>44</v>
      </c>
      <c r="V1443" s="7" t="s">
        <v>45</v>
      </c>
      <c r="W1443" s="7" t="s">
        <v>130</v>
      </c>
      <c r="X1443" s="7" t="s">
        <v>164</v>
      </c>
      <c r="Y1443" s="7" t="s">
        <v>3525</v>
      </c>
      <c r="Z1443" s="7" t="s">
        <v>3526</v>
      </c>
      <c r="AA1443" s="7"/>
      <c r="AB1443" s="7"/>
      <c r="AC1443" s="7" t="s">
        <v>161</v>
      </c>
      <c r="AD1443" s="7"/>
      <c r="AE1443" s="7"/>
      <c r="AF1443" s="7" t="s">
        <v>50</v>
      </c>
      <c r="AG1443" s="7" t="s">
        <v>159</v>
      </c>
      <c r="AH1443" s="7" t="s">
        <v>167</v>
      </c>
    </row>
    <row r="1444" spans="1:34" ht="9.75" customHeight="1" x14ac:dyDescent="0.2">
      <c r="A1444" s="7" t="s">
        <v>37</v>
      </c>
      <c r="B1444" s="7" t="s">
        <v>38</v>
      </c>
      <c r="C1444" s="7"/>
      <c r="D1444" s="7" t="s">
        <v>3527</v>
      </c>
      <c r="E1444" s="8">
        <v>1</v>
      </c>
      <c r="F1444" s="7" t="s">
        <v>41</v>
      </c>
      <c r="G1444" s="7"/>
      <c r="H1444" s="9"/>
      <c r="I1444" s="9"/>
      <c r="J1444" s="9"/>
      <c r="K1444" s="9"/>
      <c r="L1444" s="10">
        <v>1835</v>
      </c>
      <c r="M1444" s="9"/>
      <c r="N1444" s="10">
        <v>1835</v>
      </c>
      <c r="O1444" s="9"/>
      <c r="P1444" s="10"/>
      <c r="Q1444" s="10"/>
      <c r="R1444" s="10"/>
      <c r="S1444" s="7" t="s">
        <v>407</v>
      </c>
      <c r="T1444" s="7" t="s">
        <v>3263</v>
      </c>
      <c r="U1444" s="7" t="s">
        <v>44</v>
      </c>
      <c r="V1444" s="7" t="s">
        <v>45</v>
      </c>
      <c r="W1444" s="7" t="s">
        <v>130</v>
      </c>
      <c r="X1444" s="7" t="s">
        <v>164</v>
      </c>
      <c r="Y1444" s="7" t="s">
        <v>3528</v>
      </c>
      <c r="Z1444" s="7" t="s">
        <v>3526</v>
      </c>
      <c r="AA1444" s="7"/>
      <c r="AB1444" s="7"/>
      <c r="AC1444" s="7" t="s">
        <v>161</v>
      </c>
      <c r="AD1444" s="7"/>
      <c r="AE1444" s="7"/>
      <c r="AF1444" s="7" t="s">
        <v>50</v>
      </c>
      <c r="AG1444" s="7" t="s">
        <v>159</v>
      </c>
      <c r="AH1444" s="7" t="s">
        <v>167</v>
      </c>
    </row>
    <row r="1445" spans="1:34" ht="9.75" customHeight="1" x14ac:dyDescent="0.2">
      <c r="A1445" s="7" t="s">
        <v>37</v>
      </c>
      <c r="B1445" s="7" t="s">
        <v>38</v>
      </c>
      <c r="C1445" s="7"/>
      <c r="D1445" s="7" t="s">
        <v>3529</v>
      </c>
      <c r="E1445" s="8">
        <v>1</v>
      </c>
      <c r="F1445" s="7" t="s">
        <v>41</v>
      </c>
      <c r="G1445" s="7"/>
      <c r="H1445" s="9"/>
      <c r="I1445" s="9"/>
      <c r="J1445" s="9"/>
      <c r="K1445" s="9"/>
      <c r="L1445" s="10">
        <v>617</v>
      </c>
      <c r="M1445" s="9"/>
      <c r="N1445" s="10">
        <v>617</v>
      </c>
      <c r="O1445" s="9"/>
      <c r="P1445" s="10"/>
      <c r="Q1445" s="10"/>
      <c r="R1445" s="10"/>
      <c r="S1445" s="7" t="s">
        <v>407</v>
      </c>
      <c r="T1445" s="7" t="s">
        <v>3263</v>
      </c>
      <c r="U1445" s="7" t="s">
        <v>44</v>
      </c>
      <c r="V1445" s="7" t="s">
        <v>45</v>
      </c>
      <c r="W1445" s="7" t="s">
        <v>130</v>
      </c>
      <c r="X1445" s="7" t="s">
        <v>164</v>
      </c>
      <c r="Y1445" s="7" t="s">
        <v>3530</v>
      </c>
      <c r="Z1445" s="7" t="s">
        <v>3526</v>
      </c>
      <c r="AA1445" s="7"/>
      <c r="AB1445" s="7"/>
      <c r="AC1445" s="7" t="s">
        <v>161</v>
      </c>
      <c r="AD1445" s="7"/>
      <c r="AE1445" s="7"/>
      <c r="AF1445" s="7" t="s">
        <v>50</v>
      </c>
      <c r="AG1445" s="7" t="s">
        <v>159</v>
      </c>
      <c r="AH1445" s="7" t="s">
        <v>167</v>
      </c>
    </row>
    <row r="1446" spans="1:34" ht="9.75" customHeight="1" x14ac:dyDescent="0.2">
      <c r="A1446" s="7" t="s">
        <v>37</v>
      </c>
      <c r="B1446" s="7" t="s">
        <v>38</v>
      </c>
      <c r="C1446" s="7"/>
      <c r="D1446" s="7" t="s">
        <v>3531</v>
      </c>
      <c r="E1446" s="8">
        <v>1</v>
      </c>
      <c r="F1446" s="7" t="s">
        <v>41</v>
      </c>
      <c r="G1446" s="7"/>
      <c r="H1446" s="9"/>
      <c r="I1446" s="9"/>
      <c r="J1446" s="9"/>
      <c r="K1446" s="9"/>
      <c r="L1446" s="10">
        <v>1965</v>
      </c>
      <c r="M1446" s="9"/>
      <c r="N1446" s="10">
        <v>1965</v>
      </c>
      <c r="O1446" s="9"/>
      <c r="P1446" s="10"/>
      <c r="Q1446" s="10"/>
      <c r="R1446" s="10"/>
      <c r="S1446" s="7" t="s">
        <v>407</v>
      </c>
      <c r="T1446" s="7" t="s">
        <v>3263</v>
      </c>
      <c r="U1446" s="7" t="s">
        <v>44</v>
      </c>
      <c r="V1446" s="7" t="s">
        <v>45</v>
      </c>
      <c r="W1446" s="7" t="s">
        <v>130</v>
      </c>
      <c r="X1446" s="7" t="s">
        <v>164</v>
      </c>
      <c r="Y1446" s="7" t="s">
        <v>3532</v>
      </c>
      <c r="Z1446" s="7" t="s">
        <v>3526</v>
      </c>
      <c r="AA1446" s="7"/>
      <c r="AB1446" s="7"/>
      <c r="AC1446" s="7" t="s">
        <v>161</v>
      </c>
      <c r="AD1446" s="7"/>
      <c r="AE1446" s="7"/>
      <c r="AF1446" s="7" t="s">
        <v>50</v>
      </c>
      <c r="AG1446" s="7" t="s">
        <v>159</v>
      </c>
      <c r="AH1446" s="7" t="s">
        <v>167</v>
      </c>
    </row>
    <row r="1447" spans="1:34" ht="9.75" customHeight="1" x14ac:dyDescent="0.2">
      <c r="A1447" s="7" t="s">
        <v>37</v>
      </c>
      <c r="B1447" s="7" t="s">
        <v>38</v>
      </c>
      <c r="C1447" s="7"/>
      <c r="D1447" s="7" t="s">
        <v>3533</v>
      </c>
      <c r="E1447" s="8">
        <v>1</v>
      </c>
      <c r="F1447" s="7" t="s">
        <v>41</v>
      </c>
      <c r="G1447" s="7"/>
      <c r="H1447" s="9"/>
      <c r="I1447" s="9"/>
      <c r="J1447" s="9"/>
      <c r="K1447" s="9"/>
      <c r="L1447" s="10">
        <v>22772</v>
      </c>
      <c r="M1447" s="9"/>
      <c r="N1447" s="10">
        <v>22772</v>
      </c>
      <c r="O1447" s="9"/>
      <c r="P1447" s="10"/>
      <c r="Q1447" s="10"/>
      <c r="R1447" s="10"/>
      <c r="S1447" s="7" t="s">
        <v>407</v>
      </c>
      <c r="T1447" s="7" t="s">
        <v>3263</v>
      </c>
      <c r="U1447" s="7" t="s">
        <v>44</v>
      </c>
      <c r="V1447" s="7" t="s">
        <v>45</v>
      </c>
      <c r="W1447" s="7" t="s">
        <v>130</v>
      </c>
      <c r="X1447" s="7" t="s">
        <v>164</v>
      </c>
      <c r="Y1447" s="7" t="s">
        <v>3534</v>
      </c>
      <c r="Z1447" s="7" t="s">
        <v>3535</v>
      </c>
      <c r="AA1447" s="7"/>
      <c r="AB1447" s="7"/>
      <c r="AC1447" s="7" t="s">
        <v>161</v>
      </c>
      <c r="AD1447" s="7"/>
      <c r="AE1447" s="7" t="s">
        <v>3536</v>
      </c>
      <c r="AF1447" s="7" t="s">
        <v>50</v>
      </c>
      <c r="AG1447" s="7" t="s">
        <v>159</v>
      </c>
      <c r="AH1447" s="7" t="s">
        <v>167</v>
      </c>
    </row>
    <row r="1448" spans="1:34" ht="9.75" customHeight="1" x14ac:dyDescent="0.2">
      <c r="A1448" s="7" t="s">
        <v>37</v>
      </c>
      <c r="B1448" s="7" t="s">
        <v>38</v>
      </c>
      <c r="C1448" s="7"/>
      <c r="D1448" s="7" t="s">
        <v>3537</v>
      </c>
      <c r="E1448" s="8">
        <v>1</v>
      </c>
      <c r="F1448" s="7" t="s">
        <v>41</v>
      </c>
      <c r="G1448" s="7"/>
      <c r="H1448" s="9"/>
      <c r="I1448" s="9"/>
      <c r="J1448" s="9"/>
      <c r="K1448" s="9"/>
      <c r="L1448" s="10">
        <v>1689</v>
      </c>
      <c r="M1448" s="9"/>
      <c r="N1448" s="10">
        <v>1689</v>
      </c>
      <c r="O1448" s="9"/>
      <c r="P1448" s="10"/>
      <c r="Q1448" s="10"/>
      <c r="R1448" s="10"/>
      <c r="S1448" s="7" t="s">
        <v>407</v>
      </c>
      <c r="T1448" s="7" t="s">
        <v>3263</v>
      </c>
      <c r="U1448" s="7" t="s">
        <v>44</v>
      </c>
      <c r="V1448" s="7" t="s">
        <v>45</v>
      </c>
      <c r="W1448" s="7" t="s">
        <v>130</v>
      </c>
      <c r="X1448" s="7" t="s">
        <v>164</v>
      </c>
      <c r="Y1448" s="7" t="s">
        <v>3538</v>
      </c>
      <c r="Z1448" s="7" t="s">
        <v>3535</v>
      </c>
      <c r="AA1448" s="7"/>
      <c r="AB1448" s="7"/>
      <c r="AC1448" s="7" t="s">
        <v>161</v>
      </c>
      <c r="AD1448" s="7"/>
      <c r="AE1448" s="7"/>
      <c r="AF1448" s="7" t="s">
        <v>50</v>
      </c>
      <c r="AG1448" s="7" t="s">
        <v>159</v>
      </c>
      <c r="AH1448" s="7" t="s">
        <v>167</v>
      </c>
    </row>
    <row r="1449" spans="1:34" ht="9.75" customHeight="1" x14ac:dyDescent="0.2">
      <c r="A1449" s="7" t="s">
        <v>37</v>
      </c>
      <c r="B1449" s="7" t="s">
        <v>38</v>
      </c>
      <c r="C1449" s="7"/>
      <c r="D1449" s="7" t="s">
        <v>3539</v>
      </c>
      <c r="E1449" s="8">
        <v>1</v>
      </c>
      <c r="F1449" s="7" t="s">
        <v>41</v>
      </c>
      <c r="G1449" s="7"/>
      <c r="H1449" s="9"/>
      <c r="I1449" s="9"/>
      <c r="J1449" s="9"/>
      <c r="K1449" s="9"/>
      <c r="L1449" s="10">
        <v>638</v>
      </c>
      <c r="M1449" s="9"/>
      <c r="N1449" s="10">
        <v>638</v>
      </c>
      <c r="O1449" s="9"/>
      <c r="P1449" s="10"/>
      <c r="Q1449" s="10"/>
      <c r="R1449" s="10"/>
      <c r="S1449" s="7" t="s">
        <v>407</v>
      </c>
      <c r="T1449" s="7" t="s">
        <v>3263</v>
      </c>
      <c r="U1449" s="7" t="s">
        <v>44</v>
      </c>
      <c r="V1449" s="7" t="s">
        <v>45</v>
      </c>
      <c r="W1449" s="7" t="s">
        <v>130</v>
      </c>
      <c r="X1449" s="7" t="s">
        <v>164</v>
      </c>
      <c r="Y1449" s="7" t="s">
        <v>3540</v>
      </c>
      <c r="Z1449" s="7" t="s">
        <v>3535</v>
      </c>
      <c r="AA1449" s="7"/>
      <c r="AB1449" s="7"/>
      <c r="AC1449" s="7" t="s">
        <v>161</v>
      </c>
      <c r="AD1449" s="7"/>
      <c r="AE1449" s="7"/>
      <c r="AF1449" s="7" t="s">
        <v>50</v>
      </c>
      <c r="AG1449" s="7" t="s">
        <v>159</v>
      </c>
      <c r="AH1449" s="7" t="s">
        <v>167</v>
      </c>
    </row>
    <row r="1450" spans="1:34" ht="9.75" customHeight="1" x14ac:dyDescent="0.2">
      <c r="A1450" s="7" t="s">
        <v>37</v>
      </c>
      <c r="B1450" s="7" t="s">
        <v>38</v>
      </c>
      <c r="C1450" s="7"/>
      <c r="D1450" s="7" t="s">
        <v>3541</v>
      </c>
      <c r="E1450" s="8">
        <v>1</v>
      </c>
      <c r="F1450" s="7" t="s">
        <v>41</v>
      </c>
      <c r="G1450" s="7"/>
      <c r="H1450" s="9"/>
      <c r="I1450" s="9"/>
      <c r="J1450" s="9"/>
      <c r="K1450" s="9"/>
      <c r="L1450" s="10">
        <v>2016</v>
      </c>
      <c r="M1450" s="9"/>
      <c r="N1450" s="10">
        <v>2016</v>
      </c>
      <c r="O1450" s="9"/>
      <c r="P1450" s="10"/>
      <c r="Q1450" s="10"/>
      <c r="R1450" s="10"/>
      <c r="S1450" s="7" t="s">
        <v>407</v>
      </c>
      <c r="T1450" s="7" t="s">
        <v>3263</v>
      </c>
      <c r="U1450" s="7" t="s">
        <v>44</v>
      </c>
      <c r="V1450" s="7" t="s">
        <v>45</v>
      </c>
      <c r="W1450" s="7" t="s">
        <v>130</v>
      </c>
      <c r="X1450" s="7" t="s">
        <v>164</v>
      </c>
      <c r="Y1450" s="7" t="s">
        <v>3542</v>
      </c>
      <c r="Z1450" s="7" t="s">
        <v>3535</v>
      </c>
      <c r="AA1450" s="7"/>
      <c r="AB1450" s="7"/>
      <c r="AC1450" s="7" t="s">
        <v>161</v>
      </c>
      <c r="AD1450" s="7"/>
      <c r="AE1450" s="7" t="s">
        <v>3543</v>
      </c>
      <c r="AF1450" s="7" t="s">
        <v>50</v>
      </c>
      <c r="AG1450" s="7" t="s">
        <v>159</v>
      </c>
      <c r="AH1450" s="7" t="s">
        <v>167</v>
      </c>
    </row>
    <row r="1451" spans="1:34" ht="9.75" customHeight="1" x14ac:dyDescent="0.2">
      <c r="A1451" s="7" t="s">
        <v>37</v>
      </c>
      <c r="B1451" s="7" t="s">
        <v>38</v>
      </c>
      <c r="C1451" s="7"/>
      <c r="D1451" s="7" t="s">
        <v>3544</v>
      </c>
      <c r="E1451" s="8">
        <v>1</v>
      </c>
      <c r="F1451" s="7" t="s">
        <v>41</v>
      </c>
      <c r="G1451" s="7"/>
      <c r="H1451" s="9"/>
      <c r="I1451" s="10">
        <v>1560000</v>
      </c>
      <c r="J1451" s="9"/>
      <c r="K1451" s="9"/>
      <c r="L1451" s="10">
        <v>1661620</v>
      </c>
      <c r="M1451" s="9"/>
      <c r="N1451" s="10">
        <v>1661620</v>
      </c>
      <c r="O1451" s="9"/>
      <c r="P1451" s="10"/>
      <c r="Q1451" s="10"/>
      <c r="R1451" s="10"/>
      <c r="S1451" s="7" t="s">
        <v>407</v>
      </c>
      <c r="T1451" s="7" t="s">
        <v>178</v>
      </c>
      <c r="U1451" s="7" t="s">
        <v>44</v>
      </c>
      <c r="V1451" s="7" t="s">
        <v>45</v>
      </c>
      <c r="W1451" s="7" t="s">
        <v>171</v>
      </c>
      <c r="X1451" s="7" t="s">
        <v>172</v>
      </c>
      <c r="Y1451" s="7" t="s">
        <v>3545</v>
      </c>
      <c r="Z1451" s="7" t="s">
        <v>3546</v>
      </c>
      <c r="AA1451" s="7"/>
      <c r="AB1451" s="7"/>
      <c r="AC1451" s="7" t="s">
        <v>168</v>
      </c>
      <c r="AD1451" s="7"/>
      <c r="AE1451" s="7" t="s">
        <v>207</v>
      </c>
      <c r="AF1451" s="7" t="s">
        <v>50</v>
      </c>
      <c r="AG1451" s="7" t="s">
        <v>175</v>
      </c>
      <c r="AH1451" s="7" t="s">
        <v>176</v>
      </c>
    </row>
    <row r="1452" spans="1:34" ht="9.75" customHeight="1" x14ac:dyDescent="0.2">
      <c r="A1452" s="7" t="s">
        <v>37</v>
      </c>
      <c r="B1452" s="7" t="s">
        <v>38</v>
      </c>
      <c r="C1452" s="7"/>
      <c r="D1452" s="7" t="s">
        <v>3547</v>
      </c>
      <c r="E1452" s="8">
        <v>1</v>
      </c>
      <c r="F1452" s="7" t="s">
        <v>41</v>
      </c>
      <c r="G1452" s="7"/>
      <c r="H1452" s="9"/>
      <c r="I1452" s="10">
        <v>30000</v>
      </c>
      <c r="J1452" s="9"/>
      <c r="K1452" s="9"/>
      <c r="L1452" s="10">
        <v>35000</v>
      </c>
      <c r="M1452" s="9"/>
      <c r="N1452" s="10">
        <v>35000</v>
      </c>
      <c r="O1452" s="9"/>
      <c r="P1452" s="10"/>
      <c r="Q1452" s="10"/>
      <c r="R1452" s="10"/>
      <c r="S1452" s="7" t="s">
        <v>407</v>
      </c>
      <c r="T1452" s="7" t="s">
        <v>178</v>
      </c>
      <c r="U1452" s="7" t="s">
        <v>44</v>
      </c>
      <c r="V1452" s="7" t="s">
        <v>45</v>
      </c>
      <c r="W1452" s="7" t="s">
        <v>171</v>
      </c>
      <c r="X1452" s="7" t="s">
        <v>172</v>
      </c>
      <c r="Y1452" s="7" t="s">
        <v>3548</v>
      </c>
      <c r="Z1452" s="7" t="s">
        <v>3546</v>
      </c>
      <c r="AA1452" s="7"/>
      <c r="AB1452" s="7"/>
      <c r="AC1452" s="7" t="s">
        <v>168</v>
      </c>
      <c r="AD1452" s="7"/>
      <c r="AE1452" s="7" t="s">
        <v>415</v>
      </c>
      <c r="AF1452" s="7" t="s">
        <v>50</v>
      </c>
      <c r="AG1452" s="7" t="s">
        <v>175</v>
      </c>
      <c r="AH1452" s="7" t="s">
        <v>176</v>
      </c>
    </row>
    <row r="1453" spans="1:34" ht="9.75" customHeight="1" x14ac:dyDescent="0.2">
      <c r="A1453" s="7" t="s">
        <v>37</v>
      </c>
      <c r="B1453" s="7" t="s">
        <v>38</v>
      </c>
      <c r="C1453" s="7"/>
      <c r="D1453" s="7" t="s">
        <v>3549</v>
      </c>
      <c r="E1453" s="8">
        <v>1</v>
      </c>
      <c r="F1453" s="7" t="s">
        <v>41</v>
      </c>
      <c r="G1453" s="7"/>
      <c r="H1453" s="9"/>
      <c r="I1453" s="10">
        <v>252539</v>
      </c>
      <c r="J1453" s="9"/>
      <c r="K1453" s="9"/>
      <c r="L1453" s="10">
        <v>244582</v>
      </c>
      <c r="M1453" s="9"/>
      <c r="N1453" s="10">
        <v>244582</v>
      </c>
      <c r="O1453" s="9"/>
      <c r="P1453" s="10"/>
      <c r="Q1453" s="10"/>
      <c r="R1453" s="10"/>
      <c r="S1453" s="7" t="s">
        <v>407</v>
      </c>
      <c r="T1453" s="7" t="s">
        <v>178</v>
      </c>
      <c r="U1453" s="7" t="s">
        <v>44</v>
      </c>
      <c r="V1453" s="7" t="s">
        <v>45</v>
      </c>
      <c r="W1453" s="7" t="s">
        <v>171</v>
      </c>
      <c r="X1453" s="7" t="s">
        <v>172</v>
      </c>
      <c r="Y1453" s="7" t="s">
        <v>3550</v>
      </c>
      <c r="Z1453" s="7" t="s">
        <v>3546</v>
      </c>
      <c r="AA1453" s="7"/>
      <c r="AB1453" s="7"/>
      <c r="AC1453" s="7" t="s">
        <v>168</v>
      </c>
      <c r="AD1453" s="7"/>
      <c r="AE1453" s="7"/>
      <c r="AF1453" s="7" t="s">
        <v>50</v>
      </c>
      <c r="AG1453" s="7" t="s">
        <v>175</v>
      </c>
      <c r="AH1453" s="7" t="s">
        <v>176</v>
      </c>
    </row>
    <row r="1454" spans="1:34" ht="9.75" customHeight="1" x14ac:dyDescent="0.2">
      <c r="A1454" s="7" t="s">
        <v>37</v>
      </c>
      <c r="B1454" s="7" t="s">
        <v>38</v>
      </c>
      <c r="C1454" s="7"/>
      <c r="D1454" s="7" t="s">
        <v>3551</v>
      </c>
      <c r="E1454" s="8">
        <v>1</v>
      </c>
      <c r="F1454" s="7" t="s">
        <v>41</v>
      </c>
      <c r="G1454" s="7"/>
      <c r="H1454" s="9"/>
      <c r="I1454" s="10">
        <v>18655</v>
      </c>
      <c r="J1454" s="9"/>
      <c r="K1454" s="9"/>
      <c r="L1454" s="10">
        <v>20289</v>
      </c>
      <c r="M1454" s="9"/>
      <c r="N1454" s="10">
        <v>20289</v>
      </c>
      <c r="O1454" s="9"/>
      <c r="P1454" s="10"/>
      <c r="Q1454" s="10"/>
      <c r="R1454" s="10"/>
      <c r="S1454" s="7" t="s">
        <v>407</v>
      </c>
      <c r="T1454" s="7" t="s">
        <v>178</v>
      </c>
      <c r="U1454" s="7" t="s">
        <v>44</v>
      </c>
      <c r="V1454" s="7" t="s">
        <v>45</v>
      </c>
      <c r="W1454" s="7" t="s">
        <v>171</v>
      </c>
      <c r="X1454" s="7" t="s">
        <v>172</v>
      </c>
      <c r="Y1454" s="7" t="s">
        <v>3552</v>
      </c>
      <c r="Z1454" s="7" t="s">
        <v>3546</v>
      </c>
      <c r="AA1454" s="7"/>
      <c r="AB1454" s="7"/>
      <c r="AC1454" s="7" t="s">
        <v>168</v>
      </c>
      <c r="AD1454" s="7"/>
      <c r="AE1454" s="7"/>
      <c r="AF1454" s="7" t="s">
        <v>50</v>
      </c>
      <c r="AG1454" s="7" t="s">
        <v>175</v>
      </c>
      <c r="AH1454" s="7" t="s">
        <v>176</v>
      </c>
    </row>
    <row r="1455" spans="1:34" ht="9.75" customHeight="1" x14ac:dyDescent="0.2">
      <c r="A1455" s="7" t="s">
        <v>37</v>
      </c>
      <c r="B1455" s="7" t="s">
        <v>38</v>
      </c>
      <c r="C1455" s="7"/>
      <c r="D1455" s="7" t="s">
        <v>3553</v>
      </c>
      <c r="E1455" s="8">
        <v>1</v>
      </c>
      <c r="F1455" s="7" t="s">
        <v>41</v>
      </c>
      <c r="G1455" s="7"/>
      <c r="H1455" s="9"/>
      <c r="I1455" s="10">
        <v>117032</v>
      </c>
      <c r="J1455" s="9"/>
      <c r="K1455" s="9"/>
      <c r="L1455" s="10">
        <v>101472</v>
      </c>
      <c r="M1455" s="9"/>
      <c r="N1455" s="10">
        <v>101472</v>
      </c>
      <c r="O1455" s="9"/>
      <c r="P1455" s="10"/>
      <c r="Q1455" s="10"/>
      <c r="R1455" s="10"/>
      <c r="S1455" s="7" t="s">
        <v>407</v>
      </c>
      <c r="T1455" s="7" t="s">
        <v>178</v>
      </c>
      <c r="U1455" s="7" t="s">
        <v>44</v>
      </c>
      <c r="V1455" s="7" t="s">
        <v>45</v>
      </c>
      <c r="W1455" s="7" t="s">
        <v>171</v>
      </c>
      <c r="X1455" s="7" t="s">
        <v>172</v>
      </c>
      <c r="Y1455" s="7" t="s">
        <v>3554</v>
      </c>
      <c r="Z1455" s="7" t="s">
        <v>3546</v>
      </c>
      <c r="AA1455" s="7"/>
      <c r="AB1455" s="7"/>
      <c r="AC1455" s="7" t="s">
        <v>168</v>
      </c>
      <c r="AD1455" s="7"/>
      <c r="AE1455" s="7"/>
      <c r="AF1455" s="7" t="s">
        <v>50</v>
      </c>
      <c r="AG1455" s="7" t="s">
        <v>175</v>
      </c>
      <c r="AH1455" s="7" t="s">
        <v>176</v>
      </c>
    </row>
    <row r="1456" spans="1:34" ht="9.75" customHeight="1" x14ac:dyDescent="0.2">
      <c r="A1456" s="7" t="s">
        <v>37</v>
      </c>
      <c r="B1456" s="7" t="s">
        <v>38</v>
      </c>
      <c r="C1456" s="7"/>
      <c r="D1456" s="7" t="s">
        <v>3555</v>
      </c>
      <c r="E1456" s="8">
        <v>1</v>
      </c>
      <c r="F1456" s="7" t="s">
        <v>41</v>
      </c>
      <c r="G1456" s="7"/>
      <c r="H1456" s="9"/>
      <c r="I1456" s="10">
        <v>10801</v>
      </c>
      <c r="J1456" s="9"/>
      <c r="K1456" s="9"/>
      <c r="L1456" s="10">
        <v>7674</v>
      </c>
      <c r="M1456" s="9"/>
      <c r="N1456" s="10">
        <v>7674</v>
      </c>
      <c r="O1456" s="9"/>
      <c r="P1456" s="10"/>
      <c r="Q1456" s="10"/>
      <c r="R1456" s="10"/>
      <c r="S1456" s="7" t="s">
        <v>407</v>
      </c>
      <c r="T1456" s="7" t="s">
        <v>178</v>
      </c>
      <c r="U1456" s="7" t="s">
        <v>44</v>
      </c>
      <c r="V1456" s="7" t="s">
        <v>45</v>
      </c>
      <c r="W1456" s="7" t="s">
        <v>171</v>
      </c>
      <c r="X1456" s="7" t="s">
        <v>172</v>
      </c>
      <c r="Y1456" s="7" t="s">
        <v>3556</v>
      </c>
      <c r="Z1456" s="7" t="s">
        <v>3546</v>
      </c>
      <c r="AA1456" s="7"/>
      <c r="AB1456" s="7"/>
      <c r="AC1456" s="7" t="s">
        <v>168</v>
      </c>
      <c r="AD1456" s="7"/>
      <c r="AE1456" s="7"/>
      <c r="AF1456" s="7" t="s">
        <v>50</v>
      </c>
      <c r="AG1456" s="7" t="s">
        <v>175</v>
      </c>
      <c r="AH1456" s="7" t="s">
        <v>176</v>
      </c>
    </row>
    <row r="1457" spans="1:34" ht="9.75" customHeight="1" x14ac:dyDescent="0.2">
      <c r="A1457" s="7" t="s">
        <v>37</v>
      </c>
      <c r="B1457" s="7" t="s">
        <v>38</v>
      </c>
      <c r="C1457" s="7"/>
      <c r="D1457" s="7" t="s">
        <v>3557</v>
      </c>
      <c r="E1457" s="8">
        <v>1</v>
      </c>
      <c r="F1457" s="7" t="s">
        <v>41</v>
      </c>
      <c r="G1457" s="7"/>
      <c r="H1457" s="9"/>
      <c r="I1457" s="9"/>
      <c r="J1457" s="9"/>
      <c r="K1457" s="9"/>
      <c r="L1457" s="10">
        <v>48271</v>
      </c>
      <c r="M1457" s="9"/>
      <c r="N1457" s="10">
        <v>48271</v>
      </c>
      <c r="O1457" s="9"/>
      <c r="P1457" s="10"/>
      <c r="Q1457" s="10"/>
      <c r="R1457" s="10"/>
      <c r="S1457" s="7" t="s">
        <v>407</v>
      </c>
      <c r="T1457" s="7" t="s">
        <v>178</v>
      </c>
      <c r="U1457" s="7" t="s">
        <v>44</v>
      </c>
      <c r="V1457" s="7" t="s">
        <v>45</v>
      </c>
      <c r="W1457" s="7" t="s">
        <v>171</v>
      </c>
      <c r="X1457" s="7" t="s">
        <v>172</v>
      </c>
      <c r="Y1457" s="7" t="s">
        <v>3558</v>
      </c>
      <c r="Z1457" s="7" t="s">
        <v>3559</v>
      </c>
      <c r="AA1457" s="7"/>
      <c r="AB1457" s="7"/>
      <c r="AC1457" s="7" t="s">
        <v>168</v>
      </c>
      <c r="AD1457" s="7"/>
      <c r="AE1457" s="7" t="s">
        <v>3560</v>
      </c>
      <c r="AF1457" s="7" t="s">
        <v>50</v>
      </c>
      <c r="AG1457" s="7" t="s">
        <v>175</v>
      </c>
      <c r="AH1457" s="7" t="s">
        <v>176</v>
      </c>
    </row>
    <row r="1458" spans="1:34" ht="9.75" customHeight="1" x14ac:dyDescent="0.2">
      <c r="A1458" s="7" t="s">
        <v>37</v>
      </c>
      <c r="B1458" s="7" t="s">
        <v>38</v>
      </c>
      <c r="C1458" s="7"/>
      <c r="D1458" s="7" t="s">
        <v>3561</v>
      </c>
      <c r="E1458" s="8">
        <v>1</v>
      </c>
      <c r="F1458" s="7" t="s">
        <v>41</v>
      </c>
      <c r="G1458" s="7"/>
      <c r="H1458" s="9"/>
      <c r="I1458" s="9"/>
      <c r="J1458" s="9"/>
      <c r="K1458" s="9"/>
      <c r="L1458" s="10">
        <v>83497</v>
      </c>
      <c r="M1458" s="9"/>
      <c r="N1458" s="10">
        <v>83497</v>
      </c>
      <c r="O1458" s="9"/>
      <c r="P1458" s="10"/>
      <c r="Q1458" s="10"/>
      <c r="R1458" s="10"/>
      <c r="S1458" s="7" t="s">
        <v>407</v>
      </c>
      <c r="T1458" s="7" t="s">
        <v>178</v>
      </c>
      <c r="U1458" s="7" t="s">
        <v>44</v>
      </c>
      <c r="V1458" s="7" t="s">
        <v>45</v>
      </c>
      <c r="W1458" s="7" t="s">
        <v>171</v>
      </c>
      <c r="X1458" s="7" t="s">
        <v>172</v>
      </c>
      <c r="Y1458" s="7" t="s">
        <v>3562</v>
      </c>
      <c r="Z1458" s="7" t="s">
        <v>3559</v>
      </c>
      <c r="AA1458" s="7"/>
      <c r="AB1458" s="7"/>
      <c r="AC1458" s="7" t="s">
        <v>168</v>
      </c>
      <c r="AD1458" s="7"/>
      <c r="AE1458" s="7" t="s">
        <v>2221</v>
      </c>
      <c r="AF1458" s="7" t="s">
        <v>50</v>
      </c>
      <c r="AG1458" s="7" t="s">
        <v>175</v>
      </c>
      <c r="AH1458" s="7" t="s">
        <v>176</v>
      </c>
    </row>
    <row r="1459" spans="1:34" ht="9.75" customHeight="1" x14ac:dyDescent="0.2">
      <c r="A1459" s="7" t="s">
        <v>37</v>
      </c>
      <c r="B1459" s="7" t="s">
        <v>38</v>
      </c>
      <c r="C1459" s="7"/>
      <c r="D1459" s="7" t="s">
        <v>3563</v>
      </c>
      <c r="E1459" s="8">
        <v>1</v>
      </c>
      <c r="F1459" s="7" t="s">
        <v>41</v>
      </c>
      <c r="G1459" s="7"/>
      <c r="H1459" s="9"/>
      <c r="I1459" s="9"/>
      <c r="J1459" s="9"/>
      <c r="K1459" s="9"/>
      <c r="L1459" s="10">
        <v>25090</v>
      </c>
      <c r="M1459" s="9"/>
      <c r="N1459" s="10">
        <v>25090</v>
      </c>
      <c r="O1459" s="9"/>
      <c r="P1459" s="10"/>
      <c r="Q1459" s="10"/>
      <c r="R1459" s="10"/>
      <c r="S1459" s="7" t="s">
        <v>407</v>
      </c>
      <c r="T1459" s="7" t="s">
        <v>178</v>
      </c>
      <c r="U1459" s="7" t="s">
        <v>44</v>
      </c>
      <c r="V1459" s="7" t="s">
        <v>45</v>
      </c>
      <c r="W1459" s="7" t="s">
        <v>171</v>
      </c>
      <c r="X1459" s="7" t="s">
        <v>172</v>
      </c>
      <c r="Y1459" s="7" t="s">
        <v>3564</v>
      </c>
      <c r="Z1459" s="7" t="s">
        <v>3559</v>
      </c>
      <c r="AA1459" s="7"/>
      <c r="AB1459" s="7"/>
      <c r="AC1459" s="7" t="s">
        <v>168</v>
      </c>
      <c r="AD1459" s="7"/>
      <c r="AE1459" s="7" t="s">
        <v>3565</v>
      </c>
      <c r="AF1459" s="7" t="s">
        <v>50</v>
      </c>
      <c r="AG1459" s="7" t="s">
        <v>175</v>
      </c>
      <c r="AH1459" s="7" t="s">
        <v>176</v>
      </c>
    </row>
    <row r="1460" spans="1:34" ht="9.75" customHeight="1" x14ac:dyDescent="0.2">
      <c r="A1460" s="7" t="s">
        <v>37</v>
      </c>
      <c r="B1460" s="7" t="s">
        <v>38</v>
      </c>
      <c r="C1460" s="7"/>
      <c r="D1460" s="7" t="s">
        <v>3566</v>
      </c>
      <c r="E1460" s="8">
        <v>1</v>
      </c>
      <c r="F1460" s="7" t="s">
        <v>41</v>
      </c>
      <c r="G1460" s="7"/>
      <c r="H1460" s="9"/>
      <c r="I1460" s="9"/>
      <c r="J1460" s="9"/>
      <c r="K1460" s="9"/>
      <c r="L1460" s="10">
        <v>12200</v>
      </c>
      <c r="M1460" s="9"/>
      <c r="N1460" s="10">
        <v>12200</v>
      </c>
      <c r="O1460" s="9"/>
      <c r="P1460" s="10"/>
      <c r="Q1460" s="10"/>
      <c r="R1460" s="10"/>
      <c r="S1460" s="7" t="s">
        <v>407</v>
      </c>
      <c r="T1460" s="7" t="s">
        <v>178</v>
      </c>
      <c r="U1460" s="7" t="s">
        <v>44</v>
      </c>
      <c r="V1460" s="7" t="s">
        <v>45</v>
      </c>
      <c r="W1460" s="7" t="s">
        <v>171</v>
      </c>
      <c r="X1460" s="7" t="s">
        <v>172</v>
      </c>
      <c r="Y1460" s="7" t="s">
        <v>3567</v>
      </c>
      <c r="Z1460" s="7" t="s">
        <v>3559</v>
      </c>
      <c r="AA1460" s="7"/>
      <c r="AB1460" s="7"/>
      <c r="AC1460" s="7" t="s">
        <v>168</v>
      </c>
      <c r="AD1460" s="7"/>
      <c r="AE1460" s="7" t="s">
        <v>3297</v>
      </c>
      <c r="AF1460" s="7" t="s">
        <v>50</v>
      </c>
      <c r="AG1460" s="7" t="s">
        <v>175</v>
      </c>
      <c r="AH1460" s="7" t="s">
        <v>176</v>
      </c>
    </row>
    <row r="1461" spans="1:34" ht="9.75" customHeight="1" x14ac:dyDescent="0.2">
      <c r="A1461" s="7" t="s">
        <v>37</v>
      </c>
      <c r="B1461" s="7" t="s">
        <v>38</v>
      </c>
      <c r="C1461" s="7"/>
      <c r="D1461" s="7" t="s">
        <v>3568</v>
      </c>
      <c r="E1461" s="8">
        <v>1</v>
      </c>
      <c r="F1461" s="7" t="s">
        <v>41</v>
      </c>
      <c r="G1461" s="7"/>
      <c r="H1461" s="9"/>
      <c r="I1461" s="9"/>
      <c r="J1461" s="9"/>
      <c r="K1461" s="9"/>
      <c r="L1461" s="10">
        <v>6649</v>
      </c>
      <c r="M1461" s="9"/>
      <c r="N1461" s="10">
        <v>6649</v>
      </c>
      <c r="O1461" s="9"/>
      <c r="P1461" s="10"/>
      <c r="Q1461" s="10"/>
      <c r="R1461" s="10"/>
      <c r="S1461" s="7" t="s">
        <v>407</v>
      </c>
      <c r="T1461" s="7" t="s">
        <v>178</v>
      </c>
      <c r="U1461" s="7" t="s">
        <v>44</v>
      </c>
      <c r="V1461" s="7" t="s">
        <v>45</v>
      </c>
      <c r="W1461" s="7" t="s">
        <v>171</v>
      </c>
      <c r="X1461" s="7" t="s">
        <v>172</v>
      </c>
      <c r="Y1461" s="7" t="s">
        <v>3569</v>
      </c>
      <c r="Z1461" s="7" t="s">
        <v>3559</v>
      </c>
      <c r="AA1461" s="7"/>
      <c r="AB1461" s="7"/>
      <c r="AC1461" s="7" t="s">
        <v>168</v>
      </c>
      <c r="AD1461" s="7"/>
      <c r="AE1461" s="7" t="s">
        <v>3570</v>
      </c>
      <c r="AF1461" s="7" t="s">
        <v>50</v>
      </c>
      <c r="AG1461" s="7" t="s">
        <v>175</v>
      </c>
      <c r="AH1461" s="7" t="s">
        <v>176</v>
      </c>
    </row>
    <row r="1462" spans="1:34" ht="9.75" customHeight="1" x14ac:dyDescent="0.2">
      <c r="A1462" s="7" t="s">
        <v>37</v>
      </c>
      <c r="B1462" s="7" t="s">
        <v>38</v>
      </c>
      <c r="C1462" s="7"/>
      <c r="D1462" s="7" t="s">
        <v>3571</v>
      </c>
      <c r="E1462" s="8">
        <v>1</v>
      </c>
      <c r="F1462" s="7" t="s">
        <v>41</v>
      </c>
      <c r="G1462" s="7"/>
      <c r="H1462" s="9"/>
      <c r="I1462" s="9"/>
      <c r="J1462" s="9"/>
      <c r="K1462" s="9"/>
      <c r="L1462" s="10">
        <v>14358</v>
      </c>
      <c r="M1462" s="9"/>
      <c r="N1462" s="10">
        <v>14358</v>
      </c>
      <c r="O1462" s="9"/>
      <c r="P1462" s="10"/>
      <c r="Q1462" s="10"/>
      <c r="R1462" s="10"/>
      <c r="S1462" s="7" t="s">
        <v>407</v>
      </c>
      <c r="T1462" s="7" t="s">
        <v>178</v>
      </c>
      <c r="U1462" s="7" t="s">
        <v>44</v>
      </c>
      <c r="V1462" s="7" t="s">
        <v>45</v>
      </c>
      <c r="W1462" s="7" t="s">
        <v>171</v>
      </c>
      <c r="X1462" s="7" t="s">
        <v>172</v>
      </c>
      <c r="Y1462" s="7" t="s">
        <v>3572</v>
      </c>
      <c r="Z1462" s="7" t="s">
        <v>3559</v>
      </c>
      <c r="AA1462" s="7"/>
      <c r="AB1462" s="7"/>
      <c r="AC1462" s="7" t="s">
        <v>168</v>
      </c>
      <c r="AD1462" s="7"/>
      <c r="AE1462" s="7" t="s">
        <v>3573</v>
      </c>
      <c r="AF1462" s="7" t="s">
        <v>50</v>
      </c>
      <c r="AG1462" s="7" t="s">
        <v>175</v>
      </c>
      <c r="AH1462" s="7" t="s">
        <v>176</v>
      </c>
    </row>
    <row r="1463" spans="1:34" ht="9.75" customHeight="1" x14ac:dyDescent="0.2">
      <c r="A1463" s="7" t="s">
        <v>37</v>
      </c>
      <c r="B1463" s="7" t="s">
        <v>38</v>
      </c>
      <c r="C1463" s="7"/>
      <c r="D1463" s="7" t="s">
        <v>3574</v>
      </c>
      <c r="E1463" s="8">
        <v>1</v>
      </c>
      <c r="F1463" s="7" t="s">
        <v>41</v>
      </c>
      <c r="G1463" s="7"/>
      <c r="H1463" s="9"/>
      <c r="I1463" s="9"/>
      <c r="J1463" s="9"/>
      <c r="K1463" s="9"/>
      <c r="L1463" s="10">
        <v>3900</v>
      </c>
      <c r="M1463" s="9"/>
      <c r="N1463" s="10">
        <v>3900</v>
      </c>
      <c r="O1463" s="9"/>
      <c r="P1463" s="10"/>
      <c r="Q1463" s="10"/>
      <c r="R1463" s="10"/>
      <c r="S1463" s="7" t="s">
        <v>407</v>
      </c>
      <c r="T1463" s="7" t="s">
        <v>178</v>
      </c>
      <c r="U1463" s="7" t="s">
        <v>44</v>
      </c>
      <c r="V1463" s="7" t="s">
        <v>45</v>
      </c>
      <c r="W1463" s="7" t="s">
        <v>171</v>
      </c>
      <c r="X1463" s="7" t="s">
        <v>172</v>
      </c>
      <c r="Y1463" s="7" t="s">
        <v>3575</v>
      </c>
      <c r="Z1463" s="7" t="s">
        <v>3559</v>
      </c>
      <c r="AA1463" s="7"/>
      <c r="AB1463" s="7"/>
      <c r="AC1463" s="7" t="s">
        <v>168</v>
      </c>
      <c r="AD1463" s="7"/>
      <c r="AE1463" s="7" t="s">
        <v>3576</v>
      </c>
      <c r="AF1463" s="7" t="s">
        <v>50</v>
      </c>
      <c r="AG1463" s="7" t="s">
        <v>175</v>
      </c>
      <c r="AH1463" s="7" t="s">
        <v>176</v>
      </c>
    </row>
    <row r="1464" spans="1:34" ht="9.75" customHeight="1" x14ac:dyDescent="0.2">
      <c r="A1464" s="7" t="s">
        <v>37</v>
      </c>
      <c r="B1464" s="7" t="s">
        <v>38</v>
      </c>
      <c r="C1464" s="7"/>
      <c r="D1464" s="7" t="s">
        <v>3577</v>
      </c>
      <c r="E1464" s="8">
        <v>1</v>
      </c>
      <c r="F1464" s="7" t="s">
        <v>41</v>
      </c>
      <c r="G1464" s="7"/>
      <c r="H1464" s="9"/>
      <c r="I1464" s="9"/>
      <c r="J1464" s="9"/>
      <c r="K1464" s="9"/>
      <c r="L1464" s="10">
        <v>1407</v>
      </c>
      <c r="M1464" s="9"/>
      <c r="N1464" s="10">
        <v>1407</v>
      </c>
      <c r="O1464" s="9"/>
      <c r="P1464" s="10"/>
      <c r="Q1464" s="10"/>
      <c r="R1464" s="10"/>
      <c r="S1464" s="7" t="s">
        <v>407</v>
      </c>
      <c r="T1464" s="7" t="s">
        <v>178</v>
      </c>
      <c r="U1464" s="7" t="s">
        <v>44</v>
      </c>
      <c r="V1464" s="7" t="s">
        <v>45</v>
      </c>
      <c r="W1464" s="7" t="s">
        <v>171</v>
      </c>
      <c r="X1464" s="7" t="s">
        <v>172</v>
      </c>
      <c r="Y1464" s="7" t="s">
        <v>3578</v>
      </c>
      <c r="Z1464" s="7" t="s">
        <v>3559</v>
      </c>
      <c r="AA1464" s="7"/>
      <c r="AB1464" s="7"/>
      <c r="AC1464" s="7" t="s">
        <v>168</v>
      </c>
      <c r="AD1464" s="7"/>
      <c r="AE1464" s="7" t="s">
        <v>3579</v>
      </c>
      <c r="AF1464" s="7" t="s">
        <v>50</v>
      </c>
      <c r="AG1464" s="7" t="s">
        <v>175</v>
      </c>
      <c r="AH1464" s="7" t="s">
        <v>176</v>
      </c>
    </row>
    <row r="1465" spans="1:34" ht="9.75" customHeight="1" x14ac:dyDescent="0.2">
      <c r="A1465" s="7" t="s">
        <v>37</v>
      </c>
      <c r="B1465" s="7" t="s">
        <v>38</v>
      </c>
      <c r="C1465" s="7"/>
      <c r="D1465" s="7" t="s">
        <v>3580</v>
      </c>
      <c r="E1465" s="8">
        <v>1</v>
      </c>
      <c r="F1465" s="7" t="s">
        <v>41</v>
      </c>
      <c r="G1465" s="7"/>
      <c r="H1465" s="9"/>
      <c r="I1465" s="9"/>
      <c r="J1465" s="9"/>
      <c r="K1465" s="9"/>
      <c r="L1465" s="10">
        <v>4365</v>
      </c>
      <c r="M1465" s="9"/>
      <c r="N1465" s="10">
        <v>4365</v>
      </c>
      <c r="O1465" s="9"/>
      <c r="P1465" s="10"/>
      <c r="Q1465" s="10"/>
      <c r="R1465" s="10"/>
      <c r="S1465" s="7" t="s">
        <v>407</v>
      </c>
      <c r="T1465" s="7" t="s">
        <v>178</v>
      </c>
      <c r="U1465" s="7" t="s">
        <v>44</v>
      </c>
      <c r="V1465" s="7" t="s">
        <v>45</v>
      </c>
      <c r="W1465" s="7" t="s">
        <v>171</v>
      </c>
      <c r="X1465" s="7" t="s">
        <v>172</v>
      </c>
      <c r="Y1465" s="7" t="s">
        <v>3581</v>
      </c>
      <c r="Z1465" s="7" t="s">
        <v>3559</v>
      </c>
      <c r="AA1465" s="7"/>
      <c r="AB1465" s="7"/>
      <c r="AC1465" s="7" t="s">
        <v>168</v>
      </c>
      <c r="AD1465" s="7"/>
      <c r="AE1465" s="7" t="s">
        <v>3582</v>
      </c>
      <c r="AF1465" s="7" t="s">
        <v>50</v>
      </c>
      <c r="AG1465" s="7" t="s">
        <v>175</v>
      </c>
      <c r="AH1465" s="7" t="s">
        <v>176</v>
      </c>
    </row>
    <row r="1466" spans="1:34" ht="9.75" customHeight="1" x14ac:dyDescent="0.2">
      <c r="A1466" s="7" t="s">
        <v>37</v>
      </c>
      <c r="B1466" s="7" t="s">
        <v>38</v>
      </c>
      <c r="C1466" s="7"/>
      <c r="D1466" s="7" t="s">
        <v>3583</v>
      </c>
      <c r="E1466" s="8">
        <v>1</v>
      </c>
      <c r="F1466" s="7" t="s">
        <v>41</v>
      </c>
      <c r="G1466" s="7"/>
      <c r="H1466" s="9"/>
      <c r="I1466" s="9"/>
      <c r="J1466" s="9"/>
      <c r="K1466" s="9"/>
      <c r="L1466" s="10">
        <v>1596</v>
      </c>
      <c r="M1466" s="9"/>
      <c r="N1466" s="10">
        <v>1596</v>
      </c>
      <c r="O1466" s="9"/>
      <c r="P1466" s="10"/>
      <c r="Q1466" s="10"/>
      <c r="R1466" s="10"/>
      <c r="S1466" s="7" t="s">
        <v>407</v>
      </c>
      <c r="T1466" s="7" t="s">
        <v>178</v>
      </c>
      <c r="U1466" s="7" t="s">
        <v>44</v>
      </c>
      <c r="V1466" s="7" t="s">
        <v>45</v>
      </c>
      <c r="W1466" s="7" t="s">
        <v>171</v>
      </c>
      <c r="X1466" s="7" t="s">
        <v>172</v>
      </c>
      <c r="Y1466" s="7" t="s">
        <v>3584</v>
      </c>
      <c r="Z1466" s="7" t="s">
        <v>3559</v>
      </c>
      <c r="AA1466" s="7"/>
      <c r="AB1466" s="7"/>
      <c r="AC1466" s="7" t="s">
        <v>168</v>
      </c>
      <c r="AD1466" s="7"/>
      <c r="AE1466" s="7" t="s">
        <v>3585</v>
      </c>
      <c r="AF1466" s="7" t="s">
        <v>50</v>
      </c>
      <c r="AG1466" s="7" t="s">
        <v>175</v>
      </c>
      <c r="AH1466" s="7" t="s">
        <v>176</v>
      </c>
    </row>
    <row r="1467" spans="1:34" ht="9.75" customHeight="1" x14ac:dyDescent="0.2">
      <c r="A1467" s="7" t="s">
        <v>37</v>
      </c>
      <c r="B1467" s="7" t="s">
        <v>38</v>
      </c>
      <c r="C1467" s="7"/>
      <c r="D1467" s="7" t="s">
        <v>3586</v>
      </c>
      <c r="E1467" s="8">
        <v>1</v>
      </c>
      <c r="F1467" s="7" t="s">
        <v>41</v>
      </c>
      <c r="G1467" s="7"/>
      <c r="H1467" s="9"/>
      <c r="I1467" s="9"/>
      <c r="J1467" s="9"/>
      <c r="K1467" s="9"/>
      <c r="L1467" s="10">
        <v>1168</v>
      </c>
      <c r="M1467" s="9"/>
      <c r="N1467" s="10">
        <v>1168</v>
      </c>
      <c r="O1467" s="9"/>
      <c r="P1467" s="10"/>
      <c r="Q1467" s="10"/>
      <c r="R1467" s="10"/>
      <c r="S1467" s="7" t="s">
        <v>407</v>
      </c>
      <c r="T1467" s="7" t="s">
        <v>178</v>
      </c>
      <c r="U1467" s="7" t="s">
        <v>44</v>
      </c>
      <c r="V1467" s="7" t="s">
        <v>45</v>
      </c>
      <c r="W1467" s="7" t="s">
        <v>171</v>
      </c>
      <c r="X1467" s="7" t="s">
        <v>172</v>
      </c>
      <c r="Y1467" s="7" t="s">
        <v>3587</v>
      </c>
      <c r="Z1467" s="7" t="s">
        <v>3559</v>
      </c>
      <c r="AA1467" s="7"/>
      <c r="AB1467" s="7"/>
      <c r="AC1467" s="7" t="s">
        <v>168</v>
      </c>
      <c r="AD1467" s="7"/>
      <c r="AE1467" s="7" t="s">
        <v>3588</v>
      </c>
      <c r="AF1467" s="7" t="s">
        <v>50</v>
      </c>
      <c r="AG1467" s="7" t="s">
        <v>175</v>
      </c>
      <c r="AH1467" s="7" t="s">
        <v>176</v>
      </c>
    </row>
    <row r="1468" spans="1:34" ht="9.75" customHeight="1" x14ac:dyDescent="0.2">
      <c r="A1468" s="7" t="s">
        <v>37</v>
      </c>
      <c r="B1468" s="7" t="s">
        <v>38</v>
      </c>
      <c r="C1468" s="7"/>
      <c r="D1468" s="7" t="s">
        <v>3589</v>
      </c>
      <c r="E1468" s="8">
        <v>1</v>
      </c>
      <c r="F1468" s="7" t="s">
        <v>41</v>
      </c>
      <c r="G1468" s="7"/>
      <c r="H1468" s="9"/>
      <c r="I1468" s="9"/>
      <c r="J1468" s="9"/>
      <c r="K1468" s="9"/>
      <c r="L1468" s="10">
        <v>115</v>
      </c>
      <c r="M1468" s="9"/>
      <c r="N1468" s="10">
        <v>115</v>
      </c>
      <c r="O1468" s="9"/>
      <c r="P1468" s="10"/>
      <c r="Q1468" s="10"/>
      <c r="R1468" s="10"/>
      <c r="S1468" s="7" t="s">
        <v>407</v>
      </c>
      <c r="T1468" s="7" t="s">
        <v>178</v>
      </c>
      <c r="U1468" s="7" t="s">
        <v>44</v>
      </c>
      <c r="V1468" s="7" t="s">
        <v>45</v>
      </c>
      <c r="W1468" s="7" t="s">
        <v>171</v>
      </c>
      <c r="X1468" s="7" t="s">
        <v>172</v>
      </c>
      <c r="Y1468" s="7" t="s">
        <v>3590</v>
      </c>
      <c r="Z1468" s="7" t="s">
        <v>3559</v>
      </c>
      <c r="AA1468" s="7"/>
      <c r="AB1468" s="7"/>
      <c r="AC1468" s="7" t="s">
        <v>168</v>
      </c>
      <c r="AD1468" s="7"/>
      <c r="AE1468" s="7" t="s">
        <v>3591</v>
      </c>
      <c r="AF1468" s="7" t="s">
        <v>50</v>
      </c>
      <c r="AG1468" s="7" t="s">
        <v>175</v>
      </c>
      <c r="AH1468" s="7" t="s">
        <v>176</v>
      </c>
    </row>
    <row r="1469" spans="1:34" ht="9.75" customHeight="1" x14ac:dyDescent="0.2">
      <c r="A1469" s="7" t="s">
        <v>37</v>
      </c>
      <c r="B1469" s="7" t="s">
        <v>38</v>
      </c>
      <c r="C1469" s="7"/>
      <c r="D1469" s="7" t="s">
        <v>3592</v>
      </c>
      <c r="E1469" s="8">
        <v>1</v>
      </c>
      <c r="F1469" s="7" t="s">
        <v>41</v>
      </c>
      <c r="G1469" s="7"/>
      <c r="H1469" s="9"/>
      <c r="I1469" s="9"/>
      <c r="J1469" s="9"/>
      <c r="K1469" s="9"/>
      <c r="L1469" s="10">
        <v>229</v>
      </c>
      <c r="M1469" s="9"/>
      <c r="N1469" s="10">
        <v>229</v>
      </c>
      <c r="O1469" s="9"/>
      <c r="P1469" s="10"/>
      <c r="Q1469" s="10"/>
      <c r="R1469" s="10"/>
      <c r="S1469" s="7" t="s">
        <v>407</v>
      </c>
      <c r="T1469" s="7" t="s">
        <v>178</v>
      </c>
      <c r="U1469" s="7" t="s">
        <v>44</v>
      </c>
      <c r="V1469" s="7" t="s">
        <v>45</v>
      </c>
      <c r="W1469" s="7" t="s">
        <v>171</v>
      </c>
      <c r="X1469" s="7" t="s">
        <v>172</v>
      </c>
      <c r="Y1469" s="7" t="s">
        <v>3593</v>
      </c>
      <c r="Z1469" s="7" t="s">
        <v>3559</v>
      </c>
      <c r="AA1469" s="7"/>
      <c r="AB1469" s="7"/>
      <c r="AC1469" s="7" t="s">
        <v>168</v>
      </c>
      <c r="AD1469" s="7"/>
      <c r="AE1469" s="7" t="s">
        <v>3594</v>
      </c>
      <c r="AF1469" s="7" t="s">
        <v>50</v>
      </c>
      <c r="AG1469" s="7" t="s">
        <v>175</v>
      </c>
      <c r="AH1469" s="7" t="s">
        <v>176</v>
      </c>
    </row>
    <row r="1470" spans="1:34" ht="9.75" customHeight="1" x14ac:dyDescent="0.2">
      <c r="A1470" s="7" t="s">
        <v>37</v>
      </c>
      <c r="B1470" s="7" t="s">
        <v>38</v>
      </c>
      <c r="C1470" s="7"/>
      <c r="D1470" s="7" t="s">
        <v>3595</v>
      </c>
      <c r="E1470" s="8">
        <v>1</v>
      </c>
      <c r="F1470" s="7" t="s">
        <v>41</v>
      </c>
      <c r="G1470" s="7"/>
      <c r="H1470" s="9"/>
      <c r="I1470" s="9"/>
      <c r="J1470" s="9"/>
      <c r="K1470" s="9"/>
      <c r="L1470" s="10">
        <v>420</v>
      </c>
      <c r="M1470" s="9"/>
      <c r="N1470" s="10">
        <v>420</v>
      </c>
      <c r="O1470" s="9"/>
      <c r="P1470" s="10"/>
      <c r="Q1470" s="10"/>
      <c r="R1470" s="10"/>
      <c r="S1470" s="7" t="s">
        <v>407</v>
      </c>
      <c r="T1470" s="7" t="s">
        <v>178</v>
      </c>
      <c r="U1470" s="7" t="s">
        <v>44</v>
      </c>
      <c r="V1470" s="7" t="s">
        <v>45</v>
      </c>
      <c r="W1470" s="7" t="s">
        <v>171</v>
      </c>
      <c r="X1470" s="7" t="s">
        <v>172</v>
      </c>
      <c r="Y1470" s="7" t="s">
        <v>3596</v>
      </c>
      <c r="Z1470" s="7" t="s">
        <v>3559</v>
      </c>
      <c r="AA1470" s="7"/>
      <c r="AB1470" s="7"/>
      <c r="AC1470" s="7" t="s">
        <v>168</v>
      </c>
      <c r="AD1470" s="7"/>
      <c r="AE1470" s="7" t="s">
        <v>3597</v>
      </c>
      <c r="AF1470" s="7" t="s">
        <v>50</v>
      </c>
      <c r="AG1470" s="7" t="s">
        <v>175</v>
      </c>
      <c r="AH1470" s="7" t="s">
        <v>176</v>
      </c>
    </row>
    <row r="1471" spans="1:34" ht="9.75" customHeight="1" x14ac:dyDescent="0.2">
      <c r="A1471" s="7" t="s">
        <v>37</v>
      </c>
      <c r="B1471" s="7" t="s">
        <v>38</v>
      </c>
      <c r="C1471" s="7"/>
      <c r="D1471" s="7" t="s">
        <v>3598</v>
      </c>
      <c r="E1471" s="8">
        <v>1</v>
      </c>
      <c r="F1471" s="7" t="s">
        <v>41</v>
      </c>
      <c r="G1471" s="7"/>
      <c r="H1471" s="9"/>
      <c r="I1471" s="9"/>
      <c r="J1471" s="9"/>
      <c r="K1471" s="9"/>
      <c r="L1471" s="10">
        <v>1970</v>
      </c>
      <c r="M1471" s="9"/>
      <c r="N1471" s="10">
        <v>1970</v>
      </c>
      <c r="O1471" s="9"/>
      <c r="P1471" s="10"/>
      <c r="Q1471" s="10"/>
      <c r="R1471" s="10"/>
      <c r="S1471" s="7" t="s">
        <v>407</v>
      </c>
      <c r="T1471" s="7" t="s">
        <v>178</v>
      </c>
      <c r="U1471" s="7" t="s">
        <v>44</v>
      </c>
      <c r="V1471" s="7" t="s">
        <v>45</v>
      </c>
      <c r="W1471" s="7" t="s">
        <v>171</v>
      </c>
      <c r="X1471" s="7" t="s">
        <v>172</v>
      </c>
      <c r="Y1471" s="7" t="s">
        <v>3599</v>
      </c>
      <c r="Z1471" s="7" t="s">
        <v>3559</v>
      </c>
      <c r="AA1471" s="7"/>
      <c r="AB1471" s="7"/>
      <c r="AC1471" s="7" t="s">
        <v>168</v>
      </c>
      <c r="AD1471" s="7"/>
      <c r="AE1471" s="7" t="s">
        <v>3600</v>
      </c>
      <c r="AF1471" s="7" t="s">
        <v>50</v>
      </c>
      <c r="AG1471" s="7" t="s">
        <v>175</v>
      </c>
      <c r="AH1471" s="7" t="s">
        <v>176</v>
      </c>
    </row>
    <row r="1472" spans="1:34" ht="9.75" customHeight="1" x14ac:dyDescent="0.2">
      <c r="A1472" s="7" t="s">
        <v>37</v>
      </c>
      <c r="B1472" s="7" t="s">
        <v>38</v>
      </c>
      <c r="C1472" s="7"/>
      <c r="D1472" s="7" t="s">
        <v>3601</v>
      </c>
      <c r="E1472" s="8">
        <v>1</v>
      </c>
      <c r="F1472" s="7" t="s">
        <v>41</v>
      </c>
      <c r="G1472" s="7"/>
      <c r="H1472" s="9"/>
      <c r="I1472" s="9"/>
      <c r="J1472" s="9"/>
      <c r="K1472" s="9"/>
      <c r="L1472" s="10">
        <v>34698</v>
      </c>
      <c r="M1472" s="9"/>
      <c r="N1472" s="10">
        <v>34698</v>
      </c>
      <c r="O1472" s="9"/>
      <c r="P1472" s="10"/>
      <c r="Q1472" s="10"/>
      <c r="R1472" s="10"/>
      <c r="S1472" s="7" t="s">
        <v>407</v>
      </c>
      <c r="T1472" s="7" t="s">
        <v>178</v>
      </c>
      <c r="U1472" s="7" t="s">
        <v>44</v>
      </c>
      <c r="V1472" s="7" t="s">
        <v>45</v>
      </c>
      <c r="W1472" s="7" t="s">
        <v>171</v>
      </c>
      <c r="X1472" s="7" t="s">
        <v>172</v>
      </c>
      <c r="Y1472" s="7" t="s">
        <v>3602</v>
      </c>
      <c r="Z1472" s="7" t="s">
        <v>3559</v>
      </c>
      <c r="AA1472" s="7"/>
      <c r="AB1472" s="7"/>
      <c r="AC1472" s="7" t="s">
        <v>168</v>
      </c>
      <c r="AD1472" s="7"/>
      <c r="AE1472" s="7" t="s">
        <v>3603</v>
      </c>
      <c r="AF1472" s="7" t="s">
        <v>50</v>
      </c>
      <c r="AG1472" s="7" t="s">
        <v>175</v>
      </c>
      <c r="AH1472" s="7" t="s">
        <v>176</v>
      </c>
    </row>
    <row r="1473" spans="1:34" ht="9.75" customHeight="1" x14ac:dyDescent="0.2">
      <c r="A1473" s="7" t="s">
        <v>37</v>
      </c>
      <c r="B1473" s="7" t="s">
        <v>38</v>
      </c>
      <c r="C1473" s="7"/>
      <c r="D1473" s="7" t="s">
        <v>3604</v>
      </c>
      <c r="E1473" s="8">
        <v>1</v>
      </c>
      <c r="F1473" s="7" t="s">
        <v>41</v>
      </c>
      <c r="G1473" s="7"/>
      <c r="H1473" s="9"/>
      <c r="I1473" s="9"/>
      <c r="J1473" s="9"/>
      <c r="K1473" s="9"/>
      <c r="L1473" s="10">
        <v>4649</v>
      </c>
      <c r="M1473" s="9"/>
      <c r="N1473" s="10">
        <v>4649</v>
      </c>
      <c r="O1473" s="9"/>
      <c r="P1473" s="10"/>
      <c r="Q1473" s="10"/>
      <c r="R1473" s="10"/>
      <c r="S1473" s="7" t="s">
        <v>407</v>
      </c>
      <c r="T1473" s="7" t="s">
        <v>178</v>
      </c>
      <c r="U1473" s="7" t="s">
        <v>44</v>
      </c>
      <c r="V1473" s="7" t="s">
        <v>45</v>
      </c>
      <c r="W1473" s="7" t="s">
        <v>171</v>
      </c>
      <c r="X1473" s="7" t="s">
        <v>172</v>
      </c>
      <c r="Y1473" s="7" t="s">
        <v>3605</v>
      </c>
      <c r="Z1473" s="7" t="s">
        <v>3559</v>
      </c>
      <c r="AA1473" s="7"/>
      <c r="AB1473" s="7"/>
      <c r="AC1473" s="7" t="s">
        <v>168</v>
      </c>
      <c r="AD1473" s="7"/>
      <c r="AE1473" s="7" t="s">
        <v>3606</v>
      </c>
      <c r="AF1473" s="7" t="s">
        <v>50</v>
      </c>
      <c r="AG1473" s="7" t="s">
        <v>175</v>
      </c>
      <c r="AH1473" s="7" t="s">
        <v>176</v>
      </c>
    </row>
    <row r="1474" spans="1:34" ht="9.75" customHeight="1" x14ac:dyDescent="0.2">
      <c r="A1474" s="7" t="s">
        <v>37</v>
      </c>
      <c r="B1474" s="7" t="s">
        <v>38</v>
      </c>
      <c r="C1474" s="7"/>
      <c r="D1474" s="7" t="s">
        <v>3607</v>
      </c>
      <c r="E1474" s="8">
        <v>1</v>
      </c>
      <c r="F1474" s="7" t="s">
        <v>41</v>
      </c>
      <c r="G1474" s="7"/>
      <c r="H1474" s="9"/>
      <c r="I1474" s="9"/>
      <c r="J1474" s="9"/>
      <c r="K1474" s="9"/>
      <c r="L1474" s="10">
        <v>722</v>
      </c>
      <c r="M1474" s="9"/>
      <c r="N1474" s="10">
        <v>722</v>
      </c>
      <c r="O1474" s="9"/>
      <c r="P1474" s="10"/>
      <c r="Q1474" s="10"/>
      <c r="R1474" s="10"/>
      <c r="S1474" s="7" t="s">
        <v>407</v>
      </c>
      <c r="T1474" s="7" t="s">
        <v>178</v>
      </c>
      <c r="U1474" s="7" t="s">
        <v>44</v>
      </c>
      <c r="V1474" s="7" t="s">
        <v>45</v>
      </c>
      <c r="W1474" s="7" t="s">
        <v>171</v>
      </c>
      <c r="X1474" s="7" t="s">
        <v>172</v>
      </c>
      <c r="Y1474" s="7" t="s">
        <v>3608</v>
      </c>
      <c r="Z1474" s="7" t="s">
        <v>3609</v>
      </c>
      <c r="AA1474" s="7"/>
      <c r="AB1474" s="7"/>
      <c r="AC1474" s="7" t="s">
        <v>168</v>
      </c>
      <c r="AD1474" s="7"/>
      <c r="AE1474" s="7" t="s">
        <v>3610</v>
      </c>
      <c r="AF1474" s="7" t="s">
        <v>50</v>
      </c>
      <c r="AG1474" s="7" t="s">
        <v>175</v>
      </c>
      <c r="AH1474" s="7" t="s">
        <v>176</v>
      </c>
    </row>
    <row r="1475" spans="1:34" ht="9.75" customHeight="1" x14ac:dyDescent="0.2">
      <c r="A1475" s="7" t="s">
        <v>37</v>
      </c>
      <c r="B1475" s="7" t="s">
        <v>38</v>
      </c>
      <c r="C1475" s="7"/>
      <c r="D1475" s="7" t="s">
        <v>3611</v>
      </c>
      <c r="E1475" s="8">
        <v>1</v>
      </c>
      <c r="F1475" s="7" t="s">
        <v>41</v>
      </c>
      <c r="G1475" s="7"/>
      <c r="H1475" s="9"/>
      <c r="I1475" s="9"/>
      <c r="J1475" s="9"/>
      <c r="K1475" s="9"/>
      <c r="L1475" s="10">
        <v>2424</v>
      </c>
      <c r="M1475" s="9"/>
      <c r="N1475" s="10">
        <v>2424</v>
      </c>
      <c r="O1475" s="9"/>
      <c r="P1475" s="10"/>
      <c r="Q1475" s="10"/>
      <c r="R1475" s="10"/>
      <c r="S1475" s="7" t="s">
        <v>407</v>
      </c>
      <c r="T1475" s="7" t="s">
        <v>178</v>
      </c>
      <c r="U1475" s="7" t="s">
        <v>44</v>
      </c>
      <c r="V1475" s="7" t="s">
        <v>45</v>
      </c>
      <c r="W1475" s="7" t="s">
        <v>171</v>
      </c>
      <c r="X1475" s="7" t="s">
        <v>172</v>
      </c>
      <c r="Y1475" s="7" t="s">
        <v>3612</v>
      </c>
      <c r="Z1475" s="7" t="s">
        <v>3609</v>
      </c>
      <c r="AA1475" s="7"/>
      <c r="AB1475" s="7"/>
      <c r="AC1475" s="7" t="s">
        <v>168</v>
      </c>
      <c r="AD1475" s="7"/>
      <c r="AE1475" s="7" t="s">
        <v>3613</v>
      </c>
      <c r="AF1475" s="7" t="s">
        <v>50</v>
      </c>
      <c r="AG1475" s="7" t="s">
        <v>175</v>
      </c>
      <c r="AH1475" s="7" t="s">
        <v>176</v>
      </c>
    </row>
    <row r="1476" spans="1:34" ht="9.75" customHeight="1" x14ac:dyDescent="0.2">
      <c r="A1476" s="7" t="s">
        <v>37</v>
      </c>
      <c r="B1476" s="7" t="s">
        <v>38</v>
      </c>
      <c r="C1476" s="7"/>
      <c r="D1476" s="7" t="s">
        <v>3614</v>
      </c>
      <c r="E1476" s="8">
        <v>1</v>
      </c>
      <c r="F1476" s="7" t="s">
        <v>41</v>
      </c>
      <c r="G1476" s="7"/>
      <c r="H1476" s="9"/>
      <c r="I1476" s="9"/>
      <c r="J1476" s="9"/>
      <c r="K1476" s="9"/>
      <c r="L1476" s="10">
        <v>1016</v>
      </c>
      <c r="M1476" s="9"/>
      <c r="N1476" s="10">
        <v>1016</v>
      </c>
      <c r="O1476" s="9"/>
      <c r="P1476" s="10"/>
      <c r="Q1476" s="10"/>
      <c r="R1476" s="10"/>
      <c r="S1476" s="7" t="s">
        <v>407</v>
      </c>
      <c r="T1476" s="7" t="s">
        <v>178</v>
      </c>
      <c r="U1476" s="7" t="s">
        <v>44</v>
      </c>
      <c r="V1476" s="7" t="s">
        <v>45</v>
      </c>
      <c r="W1476" s="7" t="s">
        <v>171</v>
      </c>
      <c r="X1476" s="7" t="s">
        <v>172</v>
      </c>
      <c r="Y1476" s="7" t="s">
        <v>3615</v>
      </c>
      <c r="Z1476" s="7" t="s">
        <v>3609</v>
      </c>
      <c r="AA1476" s="7"/>
      <c r="AB1476" s="7"/>
      <c r="AC1476" s="7" t="s">
        <v>168</v>
      </c>
      <c r="AD1476" s="7"/>
      <c r="AE1476" s="7" t="s">
        <v>3616</v>
      </c>
      <c r="AF1476" s="7" t="s">
        <v>50</v>
      </c>
      <c r="AG1476" s="7" t="s">
        <v>175</v>
      </c>
      <c r="AH1476" s="7" t="s">
        <v>176</v>
      </c>
    </row>
    <row r="1477" spans="1:34" ht="9.75" customHeight="1" x14ac:dyDescent="0.2">
      <c r="A1477" s="7" t="s">
        <v>37</v>
      </c>
      <c r="B1477" s="7" t="s">
        <v>38</v>
      </c>
      <c r="C1477" s="7"/>
      <c r="D1477" s="7" t="s">
        <v>3617</v>
      </c>
      <c r="E1477" s="8">
        <v>1</v>
      </c>
      <c r="F1477" s="7" t="s">
        <v>41</v>
      </c>
      <c r="G1477" s="7"/>
      <c r="H1477" s="9"/>
      <c r="I1477" s="9"/>
      <c r="J1477" s="9"/>
      <c r="K1477" s="9"/>
      <c r="L1477" s="10">
        <v>686</v>
      </c>
      <c r="M1477" s="9"/>
      <c r="N1477" s="10">
        <v>686</v>
      </c>
      <c r="O1477" s="9"/>
      <c r="P1477" s="10"/>
      <c r="Q1477" s="10"/>
      <c r="R1477" s="10"/>
      <c r="S1477" s="7" t="s">
        <v>407</v>
      </c>
      <c r="T1477" s="7" t="s">
        <v>178</v>
      </c>
      <c r="U1477" s="7" t="s">
        <v>44</v>
      </c>
      <c r="V1477" s="7" t="s">
        <v>45</v>
      </c>
      <c r="W1477" s="7" t="s">
        <v>171</v>
      </c>
      <c r="X1477" s="7" t="s">
        <v>172</v>
      </c>
      <c r="Y1477" s="7" t="s">
        <v>3618</v>
      </c>
      <c r="Z1477" s="7" t="s">
        <v>3609</v>
      </c>
      <c r="AA1477" s="7"/>
      <c r="AB1477" s="7"/>
      <c r="AC1477" s="7" t="s">
        <v>168</v>
      </c>
      <c r="AD1477" s="7"/>
      <c r="AE1477" s="7" t="s">
        <v>3619</v>
      </c>
      <c r="AF1477" s="7" t="s">
        <v>50</v>
      </c>
      <c r="AG1477" s="7" t="s">
        <v>175</v>
      </c>
      <c r="AH1477" s="7" t="s">
        <v>176</v>
      </c>
    </row>
    <row r="1478" spans="1:34" ht="9.75" customHeight="1" x14ac:dyDescent="0.2">
      <c r="A1478" s="7" t="s">
        <v>37</v>
      </c>
      <c r="B1478" s="7" t="s">
        <v>38</v>
      </c>
      <c r="C1478" s="7"/>
      <c r="D1478" s="7" t="s">
        <v>3620</v>
      </c>
      <c r="E1478" s="8">
        <v>1</v>
      </c>
      <c r="F1478" s="7" t="s">
        <v>41</v>
      </c>
      <c r="G1478" s="7"/>
      <c r="H1478" s="9"/>
      <c r="I1478" s="9"/>
      <c r="J1478" s="9"/>
      <c r="K1478" s="9"/>
      <c r="L1478" s="10">
        <v>839</v>
      </c>
      <c r="M1478" s="9"/>
      <c r="N1478" s="10">
        <v>839</v>
      </c>
      <c r="O1478" s="9"/>
      <c r="P1478" s="10"/>
      <c r="Q1478" s="10"/>
      <c r="R1478" s="10"/>
      <c r="S1478" s="7" t="s">
        <v>407</v>
      </c>
      <c r="T1478" s="7" t="s">
        <v>178</v>
      </c>
      <c r="U1478" s="7" t="s">
        <v>44</v>
      </c>
      <c r="V1478" s="7" t="s">
        <v>45</v>
      </c>
      <c r="W1478" s="7" t="s">
        <v>171</v>
      </c>
      <c r="X1478" s="7" t="s">
        <v>172</v>
      </c>
      <c r="Y1478" s="7" t="s">
        <v>3621</v>
      </c>
      <c r="Z1478" s="7" t="s">
        <v>3609</v>
      </c>
      <c r="AA1478" s="7"/>
      <c r="AB1478" s="7"/>
      <c r="AC1478" s="7" t="s">
        <v>168</v>
      </c>
      <c r="AD1478" s="7"/>
      <c r="AE1478" s="7" t="s">
        <v>3622</v>
      </c>
      <c r="AF1478" s="7" t="s">
        <v>50</v>
      </c>
      <c r="AG1478" s="7" t="s">
        <v>175</v>
      </c>
      <c r="AH1478" s="7" t="s">
        <v>176</v>
      </c>
    </row>
    <row r="1479" spans="1:34" ht="9.75" customHeight="1" x14ac:dyDescent="0.2">
      <c r="A1479" s="7" t="s">
        <v>37</v>
      </c>
      <c r="B1479" s="7" t="s">
        <v>38</v>
      </c>
      <c r="C1479" s="7"/>
      <c r="D1479" s="7" t="s">
        <v>3623</v>
      </c>
      <c r="E1479" s="8">
        <v>1</v>
      </c>
      <c r="F1479" s="7" t="s">
        <v>41</v>
      </c>
      <c r="G1479" s="7"/>
      <c r="H1479" s="9"/>
      <c r="I1479" s="9"/>
      <c r="J1479" s="9"/>
      <c r="K1479" s="9"/>
      <c r="L1479" s="10">
        <v>345</v>
      </c>
      <c r="M1479" s="9"/>
      <c r="N1479" s="10">
        <v>345</v>
      </c>
      <c r="O1479" s="9"/>
      <c r="P1479" s="10"/>
      <c r="Q1479" s="10"/>
      <c r="R1479" s="10"/>
      <c r="S1479" s="7" t="s">
        <v>407</v>
      </c>
      <c r="T1479" s="7" t="s">
        <v>178</v>
      </c>
      <c r="U1479" s="7" t="s">
        <v>44</v>
      </c>
      <c r="V1479" s="7" t="s">
        <v>45</v>
      </c>
      <c r="W1479" s="7" t="s">
        <v>171</v>
      </c>
      <c r="X1479" s="7" t="s">
        <v>172</v>
      </c>
      <c r="Y1479" s="7" t="s">
        <v>3624</v>
      </c>
      <c r="Z1479" s="7" t="s">
        <v>3609</v>
      </c>
      <c r="AA1479" s="7"/>
      <c r="AB1479" s="7"/>
      <c r="AC1479" s="7" t="s">
        <v>168</v>
      </c>
      <c r="AD1479" s="7"/>
      <c r="AE1479" s="7" t="s">
        <v>3625</v>
      </c>
      <c r="AF1479" s="7" t="s">
        <v>50</v>
      </c>
      <c r="AG1479" s="7" t="s">
        <v>175</v>
      </c>
      <c r="AH1479" s="7" t="s">
        <v>176</v>
      </c>
    </row>
    <row r="1480" spans="1:34" ht="9.75" customHeight="1" x14ac:dyDescent="0.2">
      <c r="A1480" s="7" t="s">
        <v>37</v>
      </c>
      <c r="B1480" s="7" t="s">
        <v>38</v>
      </c>
      <c r="C1480" s="7"/>
      <c r="D1480" s="7" t="s">
        <v>3626</v>
      </c>
      <c r="E1480" s="8">
        <v>1</v>
      </c>
      <c r="F1480" s="7" t="s">
        <v>41</v>
      </c>
      <c r="G1480" s="7"/>
      <c r="H1480" s="9"/>
      <c r="I1480" s="9"/>
      <c r="J1480" s="9"/>
      <c r="K1480" s="9"/>
      <c r="L1480" s="10">
        <v>836</v>
      </c>
      <c r="M1480" s="9"/>
      <c r="N1480" s="10">
        <v>836</v>
      </c>
      <c r="O1480" s="9"/>
      <c r="P1480" s="10"/>
      <c r="Q1480" s="10"/>
      <c r="R1480" s="10"/>
      <c r="S1480" s="7" t="s">
        <v>407</v>
      </c>
      <c r="T1480" s="7" t="s">
        <v>178</v>
      </c>
      <c r="U1480" s="7" t="s">
        <v>44</v>
      </c>
      <c r="V1480" s="7" t="s">
        <v>45</v>
      </c>
      <c r="W1480" s="7" t="s">
        <v>171</v>
      </c>
      <c r="X1480" s="7" t="s">
        <v>172</v>
      </c>
      <c r="Y1480" s="7" t="s">
        <v>3627</v>
      </c>
      <c r="Z1480" s="7" t="s">
        <v>3609</v>
      </c>
      <c r="AA1480" s="7"/>
      <c r="AB1480" s="7"/>
      <c r="AC1480" s="7" t="s">
        <v>168</v>
      </c>
      <c r="AD1480" s="7"/>
      <c r="AE1480" s="7" t="s">
        <v>3628</v>
      </c>
      <c r="AF1480" s="7" t="s">
        <v>50</v>
      </c>
      <c r="AG1480" s="7" t="s">
        <v>175</v>
      </c>
      <c r="AH1480" s="7" t="s">
        <v>176</v>
      </c>
    </row>
    <row r="1481" spans="1:34" ht="9.75" customHeight="1" x14ac:dyDescent="0.2">
      <c r="A1481" s="7" t="s">
        <v>37</v>
      </c>
      <c r="B1481" s="7" t="s">
        <v>38</v>
      </c>
      <c r="C1481" s="7"/>
      <c r="D1481" s="7" t="s">
        <v>3629</v>
      </c>
      <c r="E1481" s="8">
        <v>1</v>
      </c>
      <c r="F1481" s="7" t="s">
        <v>41</v>
      </c>
      <c r="G1481" s="7"/>
      <c r="H1481" s="9"/>
      <c r="I1481" s="9"/>
      <c r="J1481" s="9"/>
      <c r="K1481" s="9"/>
      <c r="L1481" s="10">
        <v>2801</v>
      </c>
      <c r="M1481" s="9"/>
      <c r="N1481" s="10">
        <v>2801</v>
      </c>
      <c r="O1481" s="9"/>
      <c r="P1481" s="10"/>
      <c r="Q1481" s="10"/>
      <c r="R1481" s="10"/>
      <c r="S1481" s="7" t="s">
        <v>407</v>
      </c>
      <c r="T1481" s="7" t="s">
        <v>178</v>
      </c>
      <c r="U1481" s="7" t="s">
        <v>44</v>
      </c>
      <c r="V1481" s="7" t="s">
        <v>45</v>
      </c>
      <c r="W1481" s="7" t="s">
        <v>171</v>
      </c>
      <c r="X1481" s="7" t="s">
        <v>172</v>
      </c>
      <c r="Y1481" s="7" t="s">
        <v>3630</v>
      </c>
      <c r="Z1481" s="7" t="s">
        <v>3609</v>
      </c>
      <c r="AA1481" s="7"/>
      <c r="AB1481" s="7"/>
      <c r="AC1481" s="7" t="s">
        <v>168</v>
      </c>
      <c r="AD1481" s="7"/>
      <c r="AE1481" s="7" t="s">
        <v>3316</v>
      </c>
      <c r="AF1481" s="7" t="s">
        <v>50</v>
      </c>
      <c r="AG1481" s="7" t="s">
        <v>175</v>
      </c>
      <c r="AH1481" s="7" t="s">
        <v>176</v>
      </c>
    </row>
    <row r="1482" spans="1:34" ht="9.75" customHeight="1" x14ac:dyDescent="0.2">
      <c r="A1482" s="7" t="s">
        <v>37</v>
      </c>
      <c r="B1482" s="7" t="s">
        <v>38</v>
      </c>
      <c r="C1482" s="7"/>
      <c r="D1482" s="7" t="s">
        <v>3631</v>
      </c>
      <c r="E1482" s="8">
        <v>1</v>
      </c>
      <c r="F1482" s="7" t="s">
        <v>41</v>
      </c>
      <c r="G1482" s="7"/>
      <c r="H1482" s="9"/>
      <c r="I1482" s="9"/>
      <c r="J1482" s="9"/>
      <c r="K1482" s="9"/>
      <c r="L1482" s="10">
        <v>19956</v>
      </c>
      <c r="M1482" s="9"/>
      <c r="N1482" s="10">
        <v>19956</v>
      </c>
      <c r="O1482" s="9"/>
      <c r="P1482" s="10"/>
      <c r="Q1482" s="10"/>
      <c r="R1482" s="10"/>
      <c r="S1482" s="7" t="s">
        <v>407</v>
      </c>
      <c r="T1482" s="7" t="s">
        <v>178</v>
      </c>
      <c r="U1482" s="7" t="s">
        <v>44</v>
      </c>
      <c r="V1482" s="7" t="s">
        <v>45</v>
      </c>
      <c r="W1482" s="7" t="s">
        <v>171</v>
      </c>
      <c r="X1482" s="7" t="s">
        <v>172</v>
      </c>
      <c r="Y1482" s="7" t="s">
        <v>3632</v>
      </c>
      <c r="Z1482" s="7" t="s">
        <v>3633</v>
      </c>
      <c r="AA1482" s="7"/>
      <c r="AB1482" s="7"/>
      <c r="AC1482" s="7" t="s">
        <v>168</v>
      </c>
      <c r="AD1482" s="7"/>
      <c r="AE1482" s="7" t="s">
        <v>3634</v>
      </c>
      <c r="AF1482" s="7" t="s">
        <v>50</v>
      </c>
      <c r="AG1482" s="7" t="s">
        <v>175</v>
      </c>
      <c r="AH1482" s="7" t="s">
        <v>176</v>
      </c>
    </row>
    <row r="1483" spans="1:34" ht="9.75" customHeight="1" x14ac:dyDescent="0.2">
      <c r="A1483" s="7" t="s">
        <v>37</v>
      </c>
      <c r="B1483" s="7" t="s">
        <v>38</v>
      </c>
      <c r="C1483" s="7"/>
      <c r="D1483" s="7" t="s">
        <v>3635</v>
      </c>
      <c r="E1483" s="8">
        <v>1</v>
      </c>
      <c r="F1483" s="7" t="s">
        <v>41</v>
      </c>
      <c r="G1483" s="7"/>
      <c r="H1483" s="9"/>
      <c r="I1483" s="9"/>
      <c r="J1483" s="9"/>
      <c r="K1483" s="9"/>
      <c r="L1483" s="10">
        <v>9778</v>
      </c>
      <c r="M1483" s="9"/>
      <c r="N1483" s="10">
        <v>9778</v>
      </c>
      <c r="O1483" s="9"/>
      <c r="P1483" s="10"/>
      <c r="Q1483" s="10"/>
      <c r="R1483" s="10"/>
      <c r="S1483" s="7" t="s">
        <v>407</v>
      </c>
      <c r="T1483" s="7" t="s">
        <v>178</v>
      </c>
      <c r="U1483" s="7" t="s">
        <v>44</v>
      </c>
      <c r="V1483" s="7" t="s">
        <v>45</v>
      </c>
      <c r="W1483" s="7" t="s">
        <v>171</v>
      </c>
      <c r="X1483" s="7" t="s">
        <v>172</v>
      </c>
      <c r="Y1483" s="7" t="s">
        <v>3636</v>
      </c>
      <c r="Z1483" s="7" t="s">
        <v>3633</v>
      </c>
      <c r="AA1483" s="7"/>
      <c r="AB1483" s="7"/>
      <c r="AC1483" s="7" t="s">
        <v>168</v>
      </c>
      <c r="AD1483" s="7"/>
      <c r="AE1483" s="7" t="s">
        <v>3637</v>
      </c>
      <c r="AF1483" s="7" t="s">
        <v>50</v>
      </c>
      <c r="AG1483" s="7" t="s">
        <v>175</v>
      </c>
      <c r="AH1483" s="7" t="s">
        <v>176</v>
      </c>
    </row>
    <row r="1484" spans="1:34" ht="9.75" customHeight="1" x14ac:dyDescent="0.2">
      <c r="A1484" s="7" t="s">
        <v>37</v>
      </c>
      <c r="B1484" s="7" t="s">
        <v>38</v>
      </c>
      <c r="C1484" s="7"/>
      <c r="D1484" s="7" t="s">
        <v>3638</v>
      </c>
      <c r="E1484" s="8">
        <v>1</v>
      </c>
      <c r="F1484" s="7" t="s">
        <v>41</v>
      </c>
      <c r="G1484" s="7"/>
      <c r="H1484" s="9"/>
      <c r="I1484" s="9"/>
      <c r="J1484" s="9"/>
      <c r="K1484" s="9"/>
      <c r="L1484" s="10">
        <v>7693</v>
      </c>
      <c r="M1484" s="9"/>
      <c r="N1484" s="10">
        <v>7693</v>
      </c>
      <c r="O1484" s="9"/>
      <c r="P1484" s="10"/>
      <c r="Q1484" s="10"/>
      <c r="R1484" s="10"/>
      <c r="S1484" s="7" t="s">
        <v>407</v>
      </c>
      <c r="T1484" s="7" t="s">
        <v>178</v>
      </c>
      <c r="U1484" s="7" t="s">
        <v>44</v>
      </c>
      <c r="V1484" s="7" t="s">
        <v>45</v>
      </c>
      <c r="W1484" s="7" t="s">
        <v>171</v>
      </c>
      <c r="X1484" s="7" t="s">
        <v>172</v>
      </c>
      <c r="Y1484" s="7" t="s">
        <v>3639</v>
      </c>
      <c r="Z1484" s="7" t="s">
        <v>3633</v>
      </c>
      <c r="AA1484" s="7"/>
      <c r="AB1484" s="7"/>
      <c r="AC1484" s="7" t="s">
        <v>168</v>
      </c>
      <c r="AD1484" s="7"/>
      <c r="AE1484" s="7" t="s">
        <v>3640</v>
      </c>
      <c r="AF1484" s="7" t="s">
        <v>50</v>
      </c>
      <c r="AG1484" s="7" t="s">
        <v>175</v>
      </c>
      <c r="AH1484" s="7" t="s">
        <v>176</v>
      </c>
    </row>
    <row r="1485" spans="1:34" ht="9.75" customHeight="1" x14ac:dyDescent="0.2">
      <c r="A1485" s="7" t="s">
        <v>37</v>
      </c>
      <c r="B1485" s="7" t="s">
        <v>38</v>
      </c>
      <c r="C1485" s="7"/>
      <c r="D1485" s="7" t="s">
        <v>3641</v>
      </c>
      <c r="E1485" s="8">
        <v>1</v>
      </c>
      <c r="F1485" s="7" t="s">
        <v>41</v>
      </c>
      <c r="G1485" s="7"/>
      <c r="H1485" s="9"/>
      <c r="I1485" s="9"/>
      <c r="J1485" s="9"/>
      <c r="K1485" s="9"/>
      <c r="L1485" s="10">
        <v>41004</v>
      </c>
      <c r="M1485" s="9"/>
      <c r="N1485" s="10">
        <v>41004</v>
      </c>
      <c r="O1485" s="9"/>
      <c r="P1485" s="10"/>
      <c r="Q1485" s="10"/>
      <c r="R1485" s="10"/>
      <c r="S1485" s="7" t="s">
        <v>407</v>
      </c>
      <c r="T1485" s="7" t="s">
        <v>178</v>
      </c>
      <c r="U1485" s="7" t="s">
        <v>44</v>
      </c>
      <c r="V1485" s="7" t="s">
        <v>45</v>
      </c>
      <c r="W1485" s="7" t="s">
        <v>171</v>
      </c>
      <c r="X1485" s="7" t="s">
        <v>172</v>
      </c>
      <c r="Y1485" s="7" t="s">
        <v>3642</v>
      </c>
      <c r="Z1485" s="7" t="s">
        <v>3633</v>
      </c>
      <c r="AA1485" s="7"/>
      <c r="AB1485" s="7"/>
      <c r="AC1485" s="7" t="s">
        <v>168</v>
      </c>
      <c r="AD1485" s="7"/>
      <c r="AE1485" s="7" t="s">
        <v>3643</v>
      </c>
      <c r="AF1485" s="7" t="s">
        <v>50</v>
      </c>
      <c r="AG1485" s="7" t="s">
        <v>175</v>
      </c>
      <c r="AH1485" s="7" t="s">
        <v>176</v>
      </c>
    </row>
    <row r="1486" spans="1:34" ht="9.75" customHeight="1" x14ac:dyDescent="0.2">
      <c r="A1486" s="7" t="s">
        <v>37</v>
      </c>
      <c r="B1486" s="7" t="s">
        <v>38</v>
      </c>
      <c r="C1486" s="7"/>
      <c r="D1486" s="7" t="s">
        <v>3644</v>
      </c>
      <c r="E1486" s="8">
        <v>1</v>
      </c>
      <c r="F1486" s="7" t="s">
        <v>41</v>
      </c>
      <c r="G1486" s="7"/>
      <c r="H1486" s="9"/>
      <c r="I1486" s="9"/>
      <c r="J1486" s="9"/>
      <c r="K1486" s="9"/>
      <c r="L1486" s="10">
        <v>3808</v>
      </c>
      <c r="M1486" s="9"/>
      <c r="N1486" s="10">
        <v>3808</v>
      </c>
      <c r="O1486" s="9"/>
      <c r="P1486" s="10"/>
      <c r="Q1486" s="10"/>
      <c r="R1486" s="10"/>
      <c r="S1486" s="7" t="s">
        <v>407</v>
      </c>
      <c r="T1486" s="7" t="s">
        <v>178</v>
      </c>
      <c r="U1486" s="7" t="s">
        <v>44</v>
      </c>
      <c r="V1486" s="7" t="s">
        <v>45</v>
      </c>
      <c r="W1486" s="7" t="s">
        <v>171</v>
      </c>
      <c r="X1486" s="7" t="s">
        <v>172</v>
      </c>
      <c r="Y1486" s="7" t="s">
        <v>3645</v>
      </c>
      <c r="Z1486" s="7" t="s">
        <v>3633</v>
      </c>
      <c r="AA1486" s="7"/>
      <c r="AB1486" s="7"/>
      <c r="AC1486" s="7" t="s">
        <v>168</v>
      </c>
      <c r="AD1486" s="7"/>
      <c r="AE1486" s="7" t="s">
        <v>3646</v>
      </c>
      <c r="AF1486" s="7" t="s">
        <v>50</v>
      </c>
      <c r="AG1486" s="7" t="s">
        <v>175</v>
      </c>
      <c r="AH1486" s="7" t="s">
        <v>176</v>
      </c>
    </row>
    <row r="1487" spans="1:34" ht="9.75" customHeight="1" x14ac:dyDescent="0.2">
      <c r="A1487" s="7" t="s">
        <v>37</v>
      </c>
      <c r="B1487" s="7" t="s">
        <v>38</v>
      </c>
      <c r="C1487" s="7"/>
      <c r="D1487" s="7" t="s">
        <v>3647</v>
      </c>
      <c r="E1487" s="8">
        <v>1</v>
      </c>
      <c r="F1487" s="7" t="s">
        <v>41</v>
      </c>
      <c r="G1487" s="7"/>
      <c r="H1487" s="9"/>
      <c r="I1487" s="9"/>
      <c r="J1487" s="9"/>
      <c r="K1487" s="9"/>
      <c r="L1487" s="10">
        <v>496</v>
      </c>
      <c r="M1487" s="9"/>
      <c r="N1487" s="10">
        <v>496</v>
      </c>
      <c r="O1487" s="9"/>
      <c r="P1487" s="10"/>
      <c r="Q1487" s="10"/>
      <c r="R1487" s="10"/>
      <c r="S1487" s="7" t="s">
        <v>407</v>
      </c>
      <c r="T1487" s="7" t="s">
        <v>178</v>
      </c>
      <c r="U1487" s="7" t="s">
        <v>44</v>
      </c>
      <c r="V1487" s="7" t="s">
        <v>45</v>
      </c>
      <c r="W1487" s="7" t="s">
        <v>171</v>
      </c>
      <c r="X1487" s="7" t="s">
        <v>172</v>
      </c>
      <c r="Y1487" s="7" t="s">
        <v>3648</v>
      </c>
      <c r="Z1487" s="7" t="s">
        <v>3633</v>
      </c>
      <c r="AA1487" s="7"/>
      <c r="AB1487" s="7"/>
      <c r="AC1487" s="7" t="s">
        <v>168</v>
      </c>
      <c r="AD1487" s="7"/>
      <c r="AE1487" s="7" t="s">
        <v>3649</v>
      </c>
      <c r="AF1487" s="7" t="s">
        <v>50</v>
      </c>
      <c r="AG1487" s="7" t="s">
        <v>175</v>
      </c>
      <c r="AH1487" s="7" t="s">
        <v>176</v>
      </c>
    </row>
    <row r="1488" spans="1:34" ht="9.75" customHeight="1" x14ac:dyDescent="0.2">
      <c r="A1488" s="7" t="s">
        <v>37</v>
      </c>
      <c r="B1488" s="7" t="s">
        <v>38</v>
      </c>
      <c r="C1488" s="7"/>
      <c r="D1488" s="7" t="s">
        <v>3650</v>
      </c>
      <c r="E1488" s="8">
        <v>1</v>
      </c>
      <c r="F1488" s="7" t="s">
        <v>41</v>
      </c>
      <c r="G1488" s="7"/>
      <c r="H1488" s="9"/>
      <c r="I1488" s="9"/>
      <c r="J1488" s="9"/>
      <c r="K1488" s="9"/>
      <c r="L1488" s="10">
        <v>3228</v>
      </c>
      <c r="M1488" s="9"/>
      <c r="N1488" s="10">
        <v>3228</v>
      </c>
      <c r="O1488" s="9"/>
      <c r="P1488" s="10"/>
      <c r="Q1488" s="10"/>
      <c r="R1488" s="10"/>
      <c r="S1488" s="7" t="s">
        <v>407</v>
      </c>
      <c r="T1488" s="7" t="s">
        <v>178</v>
      </c>
      <c r="U1488" s="7" t="s">
        <v>44</v>
      </c>
      <c r="V1488" s="7" t="s">
        <v>45</v>
      </c>
      <c r="W1488" s="7" t="s">
        <v>171</v>
      </c>
      <c r="X1488" s="7" t="s">
        <v>172</v>
      </c>
      <c r="Y1488" s="7" t="s">
        <v>3651</v>
      </c>
      <c r="Z1488" s="7" t="s">
        <v>3633</v>
      </c>
      <c r="AA1488" s="7"/>
      <c r="AB1488" s="7"/>
      <c r="AC1488" s="7" t="s">
        <v>168</v>
      </c>
      <c r="AD1488" s="7"/>
      <c r="AE1488" s="7" t="s">
        <v>3652</v>
      </c>
      <c r="AF1488" s="7" t="s">
        <v>50</v>
      </c>
      <c r="AG1488" s="7" t="s">
        <v>175</v>
      </c>
      <c r="AH1488" s="7" t="s">
        <v>176</v>
      </c>
    </row>
    <row r="1489" spans="1:34" ht="9.75" customHeight="1" x14ac:dyDescent="0.2">
      <c r="A1489" s="7" t="s">
        <v>37</v>
      </c>
      <c r="B1489" s="7" t="s">
        <v>38</v>
      </c>
      <c r="C1489" s="7"/>
      <c r="D1489" s="7" t="s">
        <v>3653</v>
      </c>
      <c r="E1489" s="8">
        <v>1</v>
      </c>
      <c r="F1489" s="7" t="s">
        <v>41</v>
      </c>
      <c r="G1489" s="7"/>
      <c r="H1489" s="9"/>
      <c r="I1489" s="9"/>
      <c r="J1489" s="9"/>
      <c r="K1489" s="9"/>
      <c r="L1489" s="10">
        <v>15509</v>
      </c>
      <c r="M1489" s="9"/>
      <c r="N1489" s="10">
        <v>15509</v>
      </c>
      <c r="O1489" s="9"/>
      <c r="P1489" s="10"/>
      <c r="Q1489" s="10"/>
      <c r="R1489" s="10"/>
      <c r="S1489" s="7" t="s">
        <v>407</v>
      </c>
      <c r="T1489" s="7" t="s">
        <v>178</v>
      </c>
      <c r="U1489" s="7" t="s">
        <v>44</v>
      </c>
      <c r="V1489" s="7" t="s">
        <v>45</v>
      </c>
      <c r="W1489" s="7" t="s">
        <v>171</v>
      </c>
      <c r="X1489" s="7" t="s">
        <v>172</v>
      </c>
      <c r="Y1489" s="7" t="s">
        <v>3654</v>
      </c>
      <c r="Z1489" s="7" t="s">
        <v>3633</v>
      </c>
      <c r="AA1489" s="7"/>
      <c r="AB1489" s="7"/>
      <c r="AC1489" s="7" t="s">
        <v>168</v>
      </c>
      <c r="AD1489" s="7"/>
      <c r="AE1489" s="7" t="s">
        <v>3655</v>
      </c>
      <c r="AF1489" s="7" t="s">
        <v>50</v>
      </c>
      <c r="AG1489" s="7" t="s">
        <v>175</v>
      </c>
      <c r="AH1489" s="7" t="s">
        <v>176</v>
      </c>
    </row>
    <row r="1490" spans="1:34" ht="9.75" customHeight="1" x14ac:dyDescent="0.2">
      <c r="A1490" s="7" t="s">
        <v>37</v>
      </c>
      <c r="B1490" s="7" t="s">
        <v>38</v>
      </c>
      <c r="C1490" s="7"/>
      <c r="D1490" s="7" t="s">
        <v>3656</v>
      </c>
      <c r="E1490" s="8">
        <v>1</v>
      </c>
      <c r="F1490" s="7" t="s">
        <v>41</v>
      </c>
      <c r="G1490" s="7"/>
      <c r="H1490" s="9"/>
      <c r="I1490" s="9"/>
      <c r="J1490" s="9"/>
      <c r="K1490" s="9"/>
      <c r="L1490" s="10">
        <v>45983</v>
      </c>
      <c r="M1490" s="9"/>
      <c r="N1490" s="10">
        <v>45983</v>
      </c>
      <c r="O1490" s="9"/>
      <c r="P1490" s="10"/>
      <c r="Q1490" s="10"/>
      <c r="R1490" s="10"/>
      <c r="S1490" s="7" t="s">
        <v>407</v>
      </c>
      <c r="T1490" s="7" t="s">
        <v>178</v>
      </c>
      <c r="U1490" s="7" t="s">
        <v>44</v>
      </c>
      <c r="V1490" s="7" t="s">
        <v>45</v>
      </c>
      <c r="W1490" s="7" t="s">
        <v>171</v>
      </c>
      <c r="X1490" s="7" t="s">
        <v>172</v>
      </c>
      <c r="Y1490" s="7" t="s">
        <v>3657</v>
      </c>
      <c r="Z1490" s="7" t="s">
        <v>3658</v>
      </c>
      <c r="AA1490" s="7"/>
      <c r="AB1490" s="7"/>
      <c r="AC1490" s="7" t="s">
        <v>168</v>
      </c>
      <c r="AD1490" s="7"/>
      <c r="AE1490" s="7"/>
      <c r="AF1490" s="7" t="s">
        <v>50</v>
      </c>
      <c r="AG1490" s="7" t="s">
        <v>175</v>
      </c>
      <c r="AH1490" s="7" t="s">
        <v>176</v>
      </c>
    </row>
    <row r="1491" spans="1:34" ht="9.75" customHeight="1" x14ac:dyDescent="0.2">
      <c r="A1491" s="7" t="s">
        <v>37</v>
      </c>
      <c r="B1491" s="7" t="s">
        <v>38</v>
      </c>
      <c r="C1491" s="7"/>
      <c r="D1491" s="7" t="s">
        <v>3659</v>
      </c>
      <c r="E1491" s="8">
        <v>1</v>
      </c>
      <c r="F1491" s="7" t="s">
        <v>41</v>
      </c>
      <c r="G1491" s="7"/>
      <c r="H1491" s="9"/>
      <c r="I1491" s="9"/>
      <c r="J1491" s="9"/>
      <c r="K1491" s="9"/>
      <c r="L1491" s="10">
        <v>2288</v>
      </c>
      <c r="M1491" s="9"/>
      <c r="N1491" s="10">
        <v>2288</v>
      </c>
      <c r="O1491" s="9"/>
      <c r="P1491" s="10"/>
      <c r="Q1491" s="10"/>
      <c r="R1491" s="10"/>
      <c r="S1491" s="7" t="s">
        <v>407</v>
      </c>
      <c r="T1491" s="7" t="s">
        <v>178</v>
      </c>
      <c r="U1491" s="7" t="s">
        <v>44</v>
      </c>
      <c r="V1491" s="7" t="s">
        <v>45</v>
      </c>
      <c r="W1491" s="7" t="s">
        <v>171</v>
      </c>
      <c r="X1491" s="7" t="s">
        <v>172</v>
      </c>
      <c r="Y1491" s="7" t="s">
        <v>3660</v>
      </c>
      <c r="Z1491" s="7" t="s">
        <v>3658</v>
      </c>
      <c r="AA1491" s="7"/>
      <c r="AB1491" s="7"/>
      <c r="AC1491" s="7" t="s">
        <v>168</v>
      </c>
      <c r="AD1491" s="7"/>
      <c r="AE1491" s="7" t="s">
        <v>427</v>
      </c>
      <c r="AF1491" s="7" t="s">
        <v>50</v>
      </c>
      <c r="AG1491" s="7" t="s">
        <v>175</v>
      </c>
      <c r="AH1491" s="7" t="s">
        <v>176</v>
      </c>
    </row>
    <row r="1492" spans="1:34" ht="9.75" customHeight="1" x14ac:dyDescent="0.2">
      <c r="A1492" s="7" t="s">
        <v>37</v>
      </c>
      <c r="B1492" s="7" t="s">
        <v>38</v>
      </c>
      <c r="C1492" s="7"/>
      <c r="D1492" s="7" t="s">
        <v>3661</v>
      </c>
      <c r="E1492" s="8">
        <v>1</v>
      </c>
      <c r="F1492" s="7" t="s">
        <v>41</v>
      </c>
      <c r="G1492" s="7"/>
      <c r="H1492" s="9"/>
      <c r="I1492" s="9"/>
      <c r="J1492" s="9"/>
      <c r="K1492" s="9"/>
      <c r="L1492" s="10">
        <v>40291</v>
      </c>
      <c r="M1492" s="9"/>
      <c r="N1492" s="10">
        <v>40291</v>
      </c>
      <c r="O1492" s="9"/>
      <c r="P1492" s="10"/>
      <c r="Q1492" s="10"/>
      <c r="R1492" s="10"/>
      <c r="S1492" s="7" t="s">
        <v>407</v>
      </c>
      <c r="T1492" s="7" t="s">
        <v>178</v>
      </c>
      <c r="U1492" s="7" t="s">
        <v>44</v>
      </c>
      <c r="V1492" s="7" t="s">
        <v>45</v>
      </c>
      <c r="W1492" s="7" t="s">
        <v>171</v>
      </c>
      <c r="X1492" s="7" t="s">
        <v>172</v>
      </c>
      <c r="Y1492" s="7" t="s">
        <v>3662</v>
      </c>
      <c r="Z1492" s="7" t="s">
        <v>3663</v>
      </c>
      <c r="AA1492" s="7"/>
      <c r="AB1492" s="7"/>
      <c r="AC1492" s="7" t="s">
        <v>168</v>
      </c>
      <c r="AD1492" s="7"/>
      <c r="AE1492" s="7"/>
      <c r="AF1492" s="7" t="s">
        <v>50</v>
      </c>
      <c r="AG1492" s="7" t="s">
        <v>175</v>
      </c>
      <c r="AH1492" s="7" t="s">
        <v>176</v>
      </c>
    </row>
    <row r="1493" spans="1:34" ht="9.75" customHeight="1" x14ac:dyDescent="0.2">
      <c r="A1493" s="7" t="s">
        <v>37</v>
      </c>
      <c r="B1493" s="7" t="s">
        <v>38</v>
      </c>
      <c r="C1493" s="7"/>
      <c r="D1493" s="7" t="s">
        <v>3664</v>
      </c>
      <c r="E1493" s="8">
        <v>1</v>
      </c>
      <c r="F1493" s="7" t="s">
        <v>41</v>
      </c>
      <c r="G1493" s="7"/>
      <c r="H1493" s="9"/>
      <c r="I1493" s="9"/>
      <c r="J1493" s="9"/>
      <c r="K1493" s="9"/>
      <c r="L1493" s="10">
        <v>2118</v>
      </c>
      <c r="M1493" s="9"/>
      <c r="N1493" s="10">
        <v>2118</v>
      </c>
      <c r="O1493" s="9"/>
      <c r="P1493" s="10"/>
      <c r="Q1493" s="10"/>
      <c r="R1493" s="10"/>
      <c r="S1493" s="7" t="s">
        <v>407</v>
      </c>
      <c r="T1493" s="7" t="s">
        <v>178</v>
      </c>
      <c r="U1493" s="7" t="s">
        <v>44</v>
      </c>
      <c r="V1493" s="7" t="s">
        <v>45</v>
      </c>
      <c r="W1493" s="7" t="s">
        <v>171</v>
      </c>
      <c r="X1493" s="7" t="s">
        <v>172</v>
      </c>
      <c r="Y1493" s="7" t="s">
        <v>3665</v>
      </c>
      <c r="Z1493" s="7" t="s">
        <v>3663</v>
      </c>
      <c r="AA1493" s="7"/>
      <c r="AB1493" s="7"/>
      <c r="AC1493" s="7" t="s">
        <v>168</v>
      </c>
      <c r="AD1493" s="7"/>
      <c r="AE1493" s="7"/>
      <c r="AF1493" s="7" t="s">
        <v>50</v>
      </c>
      <c r="AG1493" s="7" t="s">
        <v>175</v>
      </c>
      <c r="AH1493" s="7" t="s">
        <v>176</v>
      </c>
    </row>
    <row r="1494" spans="1:34" ht="9.75" customHeight="1" x14ac:dyDescent="0.2">
      <c r="A1494" s="7" t="s">
        <v>37</v>
      </c>
      <c r="B1494" s="7" t="s">
        <v>38</v>
      </c>
      <c r="C1494" s="7"/>
      <c r="D1494" s="7" t="s">
        <v>3666</v>
      </c>
      <c r="E1494" s="8">
        <v>1</v>
      </c>
      <c r="F1494" s="7" t="s">
        <v>41</v>
      </c>
      <c r="G1494" s="7"/>
      <c r="H1494" s="9"/>
      <c r="I1494" s="9"/>
      <c r="J1494" s="9"/>
      <c r="K1494" s="9"/>
      <c r="L1494" s="10">
        <v>7592</v>
      </c>
      <c r="M1494" s="9"/>
      <c r="N1494" s="10">
        <v>7592</v>
      </c>
      <c r="O1494" s="9"/>
      <c r="P1494" s="10"/>
      <c r="Q1494" s="10"/>
      <c r="R1494" s="10"/>
      <c r="S1494" s="7" t="s">
        <v>407</v>
      </c>
      <c r="T1494" s="7" t="s">
        <v>178</v>
      </c>
      <c r="U1494" s="7" t="s">
        <v>44</v>
      </c>
      <c r="V1494" s="7" t="s">
        <v>45</v>
      </c>
      <c r="W1494" s="7" t="s">
        <v>171</v>
      </c>
      <c r="X1494" s="7" t="s">
        <v>172</v>
      </c>
      <c r="Y1494" s="7" t="s">
        <v>3667</v>
      </c>
      <c r="Z1494" s="7" t="s">
        <v>3663</v>
      </c>
      <c r="AA1494" s="7"/>
      <c r="AB1494" s="7"/>
      <c r="AC1494" s="7" t="s">
        <v>168</v>
      </c>
      <c r="AD1494" s="7"/>
      <c r="AE1494" s="7"/>
      <c r="AF1494" s="7" t="s">
        <v>50</v>
      </c>
      <c r="AG1494" s="7" t="s">
        <v>175</v>
      </c>
      <c r="AH1494" s="7" t="s">
        <v>176</v>
      </c>
    </row>
    <row r="1495" spans="1:34" ht="9.75" customHeight="1" x14ac:dyDescent="0.2">
      <c r="A1495" s="7" t="s">
        <v>37</v>
      </c>
      <c r="B1495" s="7" t="s">
        <v>38</v>
      </c>
      <c r="C1495" s="7"/>
      <c r="D1495" s="7" t="s">
        <v>3668</v>
      </c>
      <c r="E1495" s="8">
        <v>1</v>
      </c>
      <c r="F1495" s="7" t="s">
        <v>41</v>
      </c>
      <c r="G1495" s="7"/>
      <c r="H1495" s="9"/>
      <c r="I1495" s="9"/>
      <c r="J1495" s="9"/>
      <c r="K1495" s="9"/>
      <c r="L1495" s="10">
        <v>276</v>
      </c>
      <c r="M1495" s="9"/>
      <c r="N1495" s="10">
        <v>276</v>
      </c>
      <c r="O1495" s="9"/>
      <c r="P1495" s="10"/>
      <c r="Q1495" s="10"/>
      <c r="R1495" s="10"/>
      <c r="S1495" s="7" t="s">
        <v>407</v>
      </c>
      <c r="T1495" s="7" t="s">
        <v>178</v>
      </c>
      <c r="U1495" s="7" t="s">
        <v>44</v>
      </c>
      <c r="V1495" s="7" t="s">
        <v>45</v>
      </c>
      <c r="W1495" s="7" t="s">
        <v>171</v>
      </c>
      <c r="X1495" s="7" t="s">
        <v>172</v>
      </c>
      <c r="Y1495" s="7" t="s">
        <v>3669</v>
      </c>
      <c r="Z1495" s="7" t="s">
        <v>3663</v>
      </c>
      <c r="AA1495" s="7"/>
      <c r="AB1495" s="7"/>
      <c r="AC1495" s="7" t="s">
        <v>168</v>
      </c>
      <c r="AD1495" s="7"/>
      <c r="AE1495" s="7"/>
      <c r="AF1495" s="7" t="s">
        <v>50</v>
      </c>
      <c r="AG1495" s="7" t="s">
        <v>175</v>
      </c>
      <c r="AH1495" s="7" t="s">
        <v>176</v>
      </c>
    </row>
    <row r="1496" spans="1:34" ht="9.75" customHeight="1" x14ac:dyDescent="0.2">
      <c r="A1496" s="7" t="s">
        <v>37</v>
      </c>
      <c r="B1496" s="7" t="s">
        <v>38</v>
      </c>
      <c r="C1496" s="7"/>
      <c r="D1496" s="7" t="s">
        <v>3670</v>
      </c>
      <c r="E1496" s="8">
        <v>1</v>
      </c>
      <c r="F1496" s="7" t="s">
        <v>41</v>
      </c>
      <c r="G1496" s="7"/>
      <c r="H1496" s="9"/>
      <c r="I1496" s="9"/>
      <c r="J1496" s="9"/>
      <c r="K1496" s="9"/>
      <c r="L1496" s="10">
        <v>5649</v>
      </c>
      <c r="M1496" s="9"/>
      <c r="N1496" s="10">
        <v>5649</v>
      </c>
      <c r="O1496" s="9"/>
      <c r="P1496" s="10"/>
      <c r="Q1496" s="10"/>
      <c r="R1496" s="10"/>
      <c r="S1496" s="7" t="s">
        <v>407</v>
      </c>
      <c r="T1496" s="7" t="s">
        <v>178</v>
      </c>
      <c r="U1496" s="7" t="s">
        <v>44</v>
      </c>
      <c r="V1496" s="7" t="s">
        <v>45</v>
      </c>
      <c r="W1496" s="7" t="s">
        <v>171</v>
      </c>
      <c r="X1496" s="7" t="s">
        <v>172</v>
      </c>
      <c r="Y1496" s="7" t="s">
        <v>3671</v>
      </c>
      <c r="Z1496" s="7" t="s">
        <v>3663</v>
      </c>
      <c r="AA1496" s="7"/>
      <c r="AB1496" s="7"/>
      <c r="AC1496" s="7" t="s">
        <v>168</v>
      </c>
      <c r="AD1496" s="7"/>
      <c r="AE1496" s="7"/>
      <c r="AF1496" s="7" t="s">
        <v>50</v>
      </c>
      <c r="AG1496" s="7" t="s">
        <v>175</v>
      </c>
      <c r="AH1496" s="7" t="s">
        <v>176</v>
      </c>
    </row>
    <row r="1497" spans="1:34" ht="9.75" customHeight="1" x14ac:dyDescent="0.2">
      <c r="A1497" s="7" t="s">
        <v>37</v>
      </c>
      <c r="B1497" s="7" t="s">
        <v>38</v>
      </c>
      <c r="C1497" s="7"/>
      <c r="D1497" s="7" t="s">
        <v>3672</v>
      </c>
      <c r="E1497" s="8">
        <v>1</v>
      </c>
      <c r="F1497" s="7" t="s">
        <v>41</v>
      </c>
      <c r="G1497" s="7"/>
      <c r="H1497" s="9"/>
      <c r="I1497" s="9"/>
      <c r="J1497" s="9"/>
      <c r="K1497" s="9"/>
      <c r="L1497" s="10">
        <v>10706</v>
      </c>
      <c r="M1497" s="9"/>
      <c r="N1497" s="10">
        <v>10706</v>
      </c>
      <c r="O1497" s="9"/>
      <c r="P1497" s="10"/>
      <c r="Q1497" s="10"/>
      <c r="R1497" s="10"/>
      <c r="S1497" s="7" t="s">
        <v>407</v>
      </c>
      <c r="T1497" s="7" t="s">
        <v>178</v>
      </c>
      <c r="U1497" s="7" t="s">
        <v>44</v>
      </c>
      <c r="V1497" s="7" t="s">
        <v>45</v>
      </c>
      <c r="W1497" s="7" t="s">
        <v>171</v>
      </c>
      <c r="X1497" s="7" t="s">
        <v>172</v>
      </c>
      <c r="Y1497" s="7" t="s">
        <v>3673</v>
      </c>
      <c r="Z1497" s="7" t="s">
        <v>3663</v>
      </c>
      <c r="AA1497" s="7"/>
      <c r="AB1497" s="7"/>
      <c r="AC1497" s="7" t="s">
        <v>168</v>
      </c>
      <c r="AD1497" s="7"/>
      <c r="AE1497" s="7"/>
      <c r="AF1497" s="7" t="s">
        <v>50</v>
      </c>
      <c r="AG1497" s="7" t="s">
        <v>175</v>
      </c>
      <c r="AH1497" s="7" t="s">
        <v>176</v>
      </c>
    </row>
    <row r="1498" spans="1:34" ht="9.75" customHeight="1" x14ac:dyDescent="0.2">
      <c r="A1498" s="7" t="s">
        <v>37</v>
      </c>
      <c r="B1498" s="7" t="s">
        <v>38</v>
      </c>
      <c r="C1498" s="7"/>
      <c r="D1498" s="7" t="s">
        <v>3674</v>
      </c>
      <c r="E1498" s="8">
        <v>1</v>
      </c>
      <c r="F1498" s="7" t="s">
        <v>41</v>
      </c>
      <c r="G1498" s="7"/>
      <c r="H1498" s="9"/>
      <c r="I1498" s="9"/>
      <c r="J1498" s="9"/>
      <c r="K1498" s="9"/>
      <c r="L1498" s="10">
        <v>16865</v>
      </c>
      <c r="M1498" s="9"/>
      <c r="N1498" s="10">
        <v>16865</v>
      </c>
      <c r="O1498" s="9"/>
      <c r="P1498" s="10"/>
      <c r="Q1498" s="10"/>
      <c r="R1498" s="10"/>
      <c r="S1498" s="7" t="s">
        <v>407</v>
      </c>
      <c r="T1498" s="7" t="s">
        <v>178</v>
      </c>
      <c r="U1498" s="7" t="s">
        <v>44</v>
      </c>
      <c r="V1498" s="7" t="s">
        <v>45</v>
      </c>
      <c r="W1498" s="7" t="s">
        <v>171</v>
      </c>
      <c r="X1498" s="7" t="s">
        <v>172</v>
      </c>
      <c r="Y1498" s="7" t="s">
        <v>3675</v>
      </c>
      <c r="Z1498" s="7" t="s">
        <v>3663</v>
      </c>
      <c r="AA1498" s="7"/>
      <c r="AB1498" s="7"/>
      <c r="AC1498" s="7" t="s">
        <v>168</v>
      </c>
      <c r="AD1498" s="7"/>
      <c r="AE1498" s="7"/>
      <c r="AF1498" s="7" t="s">
        <v>50</v>
      </c>
      <c r="AG1498" s="7" t="s">
        <v>175</v>
      </c>
      <c r="AH1498" s="7" t="s">
        <v>176</v>
      </c>
    </row>
    <row r="1499" spans="1:34" ht="9.75" customHeight="1" x14ac:dyDescent="0.2">
      <c r="A1499" s="7" t="s">
        <v>37</v>
      </c>
      <c r="B1499" s="7" t="s">
        <v>38</v>
      </c>
      <c r="C1499" s="7"/>
      <c r="D1499" s="7" t="s">
        <v>3676</v>
      </c>
      <c r="E1499" s="8">
        <v>1</v>
      </c>
      <c r="F1499" s="7" t="s">
        <v>41</v>
      </c>
      <c r="G1499" s="7"/>
      <c r="H1499" s="9"/>
      <c r="I1499" s="9"/>
      <c r="J1499" s="9"/>
      <c r="K1499" s="9"/>
      <c r="L1499" s="10">
        <v>16849</v>
      </c>
      <c r="M1499" s="9"/>
      <c r="N1499" s="10">
        <v>16849</v>
      </c>
      <c r="O1499" s="9"/>
      <c r="P1499" s="10"/>
      <c r="Q1499" s="10"/>
      <c r="R1499" s="10"/>
      <c r="S1499" s="7" t="s">
        <v>407</v>
      </c>
      <c r="T1499" s="7" t="s">
        <v>178</v>
      </c>
      <c r="U1499" s="7" t="s">
        <v>44</v>
      </c>
      <c r="V1499" s="7" t="s">
        <v>45</v>
      </c>
      <c r="W1499" s="7" t="s">
        <v>171</v>
      </c>
      <c r="X1499" s="7" t="s">
        <v>172</v>
      </c>
      <c r="Y1499" s="7" t="s">
        <v>3677</v>
      </c>
      <c r="Z1499" s="7" t="s">
        <v>3678</v>
      </c>
      <c r="AA1499" s="7"/>
      <c r="AB1499" s="7"/>
      <c r="AC1499" s="7" t="s">
        <v>168</v>
      </c>
      <c r="AD1499" s="7"/>
      <c r="AE1499" s="7"/>
      <c r="AF1499" s="7" t="s">
        <v>50</v>
      </c>
      <c r="AG1499" s="7" t="s">
        <v>175</v>
      </c>
      <c r="AH1499" s="7" t="s">
        <v>176</v>
      </c>
    </row>
    <row r="1500" spans="1:34" ht="9.75" customHeight="1" x14ac:dyDescent="0.2">
      <c r="A1500" s="7" t="s">
        <v>37</v>
      </c>
      <c r="B1500" s="7" t="s">
        <v>38</v>
      </c>
      <c r="C1500" s="7"/>
      <c r="D1500" s="7" t="s">
        <v>3679</v>
      </c>
      <c r="E1500" s="8">
        <v>1</v>
      </c>
      <c r="F1500" s="7" t="s">
        <v>41</v>
      </c>
      <c r="G1500" s="7"/>
      <c r="H1500" s="9"/>
      <c r="I1500" s="9"/>
      <c r="J1500" s="9"/>
      <c r="K1500" s="9"/>
      <c r="L1500" s="10">
        <v>1552</v>
      </c>
      <c r="M1500" s="9"/>
      <c r="N1500" s="10">
        <v>1552</v>
      </c>
      <c r="O1500" s="9"/>
      <c r="P1500" s="10"/>
      <c r="Q1500" s="10"/>
      <c r="R1500" s="10"/>
      <c r="S1500" s="7" t="s">
        <v>407</v>
      </c>
      <c r="T1500" s="7" t="s">
        <v>178</v>
      </c>
      <c r="U1500" s="7" t="s">
        <v>44</v>
      </c>
      <c r="V1500" s="7" t="s">
        <v>45</v>
      </c>
      <c r="W1500" s="7" t="s">
        <v>171</v>
      </c>
      <c r="X1500" s="7" t="s">
        <v>172</v>
      </c>
      <c r="Y1500" s="7" t="s">
        <v>3680</v>
      </c>
      <c r="Z1500" s="7" t="s">
        <v>3678</v>
      </c>
      <c r="AA1500" s="7"/>
      <c r="AB1500" s="7"/>
      <c r="AC1500" s="7" t="s">
        <v>168</v>
      </c>
      <c r="AD1500" s="7"/>
      <c r="AE1500" s="7"/>
      <c r="AF1500" s="7" t="s">
        <v>50</v>
      </c>
      <c r="AG1500" s="7" t="s">
        <v>175</v>
      </c>
      <c r="AH1500" s="7" t="s">
        <v>176</v>
      </c>
    </row>
    <row r="1501" spans="1:34" ht="9.75" customHeight="1" x14ac:dyDescent="0.2">
      <c r="A1501" s="7" t="s">
        <v>37</v>
      </c>
      <c r="B1501" s="7" t="s">
        <v>38</v>
      </c>
      <c r="C1501" s="7"/>
      <c r="D1501" s="7" t="s">
        <v>3681</v>
      </c>
      <c r="E1501" s="8">
        <v>1</v>
      </c>
      <c r="F1501" s="7" t="s">
        <v>41</v>
      </c>
      <c r="G1501" s="7"/>
      <c r="H1501" s="9"/>
      <c r="I1501" s="9"/>
      <c r="J1501" s="9"/>
      <c r="K1501" s="9"/>
      <c r="L1501" s="10">
        <v>634</v>
      </c>
      <c r="M1501" s="9"/>
      <c r="N1501" s="10">
        <v>634</v>
      </c>
      <c r="O1501" s="9"/>
      <c r="P1501" s="10"/>
      <c r="Q1501" s="10"/>
      <c r="R1501" s="10"/>
      <c r="S1501" s="7" t="s">
        <v>407</v>
      </c>
      <c r="T1501" s="7" t="s">
        <v>178</v>
      </c>
      <c r="U1501" s="7" t="s">
        <v>44</v>
      </c>
      <c r="V1501" s="7" t="s">
        <v>45</v>
      </c>
      <c r="W1501" s="7" t="s">
        <v>171</v>
      </c>
      <c r="X1501" s="7" t="s">
        <v>172</v>
      </c>
      <c r="Y1501" s="7" t="s">
        <v>3682</v>
      </c>
      <c r="Z1501" s="7" t="s">
        <v>3678</v>
      </c>
      <c r="AA1501" s="7"/>
      <c r="AB1501" s="7"/>
      <c r="AC1501" s="7" t="s">
        <v>168</v>
      </c>
      <c r="AD1501" s="7"/>
      <c r="AE1501" s="7"/>
      <c r="AF1501" s="7" t="s">
        <v>50</v>
      </c>
      <c r="AG1501" s="7" t="s">
        <v>175</v>
      </c>
      <c r="AH1501" s="7" t="s">
        <v>176</v>
      </c>
    </row>
    <row r="1502" spans="1:34" ht="9.75" customHeight="1" x14ac:dyDescent="0.2">
      <c r="A1502" s="7" t="s">
        <v>37</v>
      </c>
      <c r="B1502" s="7" t="s">
        <v>38</v>
      </c>
      <c r="C1502" s="7"/>
      <c r="D1502" s="7" t="s">
        <v>3683</v>
      </c>
      <c r="E1502" s="8">
        <v>1</v>
      </c>
      <c r="F1502" s="7" t="s">
        <v>41</v>
      </c>
      <c r="G1502" s="7"/>
      <c r="H1502" s="9"/>
      <c r="I1502" s="9"/>
      <c r="J1502" s="9"/>
      <c r="K1502" s="9"/>
      <c r="L1502" s="10">
        <v>3105</v>
      </c>
      <c r="M1502" s="9"/>
      <c r="N1502" s="10">
        <v>3105</v>
      </c>
      <c r="O1502" s="9"/>
      <c r="P1502" s="10"/>
      <c r="Q1502" s="10"/>
      <c r="R1502" s="10"/>
      <c r="S1502" s="7" t="s">
        <v>407</v>
      </c>
      <c r="T1502" s="7" t="s">
        <v>178</v>
      </c>
      <c r="U1502" s="7" t="s">
        <v>44</v>
      </c>
      <c r="V1502" s="7" t="s">
        <v>45</v>
      </c>
      <c r="W1502" s="7" t="s">
        <v>171</v>
      </c>
      <c r="X1502" s="7" t="s">
        <v>172</v>
      </c>
      <c r="Y1502" s="7" t="s">
        <v>3684</v>
      </c>
      <c r="Z1502" s="7" t="s">
        <v>3678</v>
      </c>
      <c r="AA1502" s="7"/>
      <c r="AB1502" s="7"/>
      <c r="AC1502" s="7" t="s">
        <v>168</v>
      </c>
      <c r="AD1502" s="7"/>
      <c r="AE1502" s="7"/>
      <c r="AF1502" s="7" t="s">
        <v>50</v>
      </c>
      <c r="AG1502" s="7" t="s">
        <v>175</v>
      </c>
      <c r="AH1502" s="7" t="s">
        <v>176</v>
      </c>
    </row>
    <row r="1503" spans="1:34" ht="9.75" customHeight="1" x14ac:dyDescent="0.2">
      <c r="A1503" s="7" t="s">
        <v>37</v>
      </c>
      <c r="B1503" s="7" t="s">
        <v>38</v>
      </c>
      <c r="C1503" s="7"/>
      <c r="D1503" s="7" t="s">
        <v>3685</v>
      </c>
      <c r="E1503" s="8">
        <v>1</v>
      </c>
      <c r="F1503" s="7" t="s">
        <v>41</v>
      </c>
      <c r="G1503" s="7"/>
      <c r="H1503" s="9"/>
      <c r="I1503" s="9"/>
      <c r="J1503" s="9"/>
      <c r="K1503" s="9"/>
      <c r="L1503" s="10">
        <v>2950</v>
      </c>
      <c r="M1503" s="9"/>
      <c r="N1503" s="10">
        <v>2950</v>
      </c>
      <c r="O1503" s="9"/>
      <c r="P1503" s="10"/>
      <c r="Q1503" s="10"/>
      <c r="R1503" s="10"/>
      <c r="S1503" s="7" t="s">
        <v>407</v>
      </c>
      <c r="T1503" s="7" t="s">
        <v>178</v>
      </c>
      <c r="U1503" s="7" t="s">
        <v>44</v>
      </c>
      <c r="V1503" s="7" t="s">
        <v>45</v>
      </c>
      <c r="W1503" s="7" t="s">
        <v>171</v>
      </c>
      <c r="X1503" s="7" t="s">
        <v>172</v>
      </c>
      <c r="Y1503" s="7" t="s">
        <v>3686</v>
      </c>
      <c r="Z1503" s="7" t="s">
        <v>3678</v>
      </c>
      <c r="AA1503" s="7"/>
      <c r="AB1503" s="7"/>
      <c r="AC1503" s="7" t="s">
        <v>168</v>
      </c>
      <c r="AD1503" s="7"/>
      <c r="AE1503" s="7"/>
      <c r="AF1503" s="7" t="s">
        <v>50</v>
      </c>
      <c r="AG1503" s="7" t="s">
        <v>175</v>
      </c>
      <c r="AH1503" s="7" t="s">
        <v>176</v>
      </c>
    </row>
    <row r="1504" spans="1:34" ht="9.75" customHeight="1" x14ac:dyDescent="0.2">
      <c r="A1504" s="7" t="s">
        <v>37</v>
      </c>
      <c r="B1504" s="7" t="s">
        <v>38</v>
      </c>
      <c r="C1504" s="7"/>
      <c r="D1504" s="7" t="s">
        <v>3687</v>
      </c>
      <c r="E1504" s="8">
        <v>1</v>
      </c>
      <c r="F1504" s="7" t="s">
        <v>41</v>
      </c>
      <c r="G1504" s="7"/>
      <c r="H1504" s="9"/>
      <c r="I1504" s="9"/>
      <c r="J1504" s="9"/>
      <c r="K1504" s="9"/>
      <c r="L1504" s="10">
        <v>9192</v>
      </c>
      <c r="M1504" s="9"/>
      <c r="N1504" s="10">
        <v>9192</v>
      </c>
      <c r="O1504" s="9"/>
      <c r="P1504" s="10"/>
      <c r="Q1504" s="10"/>
      <c r="R1504" s="10"/>
      <c r="S1504" s="7" t="s">
        <v>407</v>
      </c>
      <c r="T1504" s="7" t="s">
        <v>178</v>
      </c>
      <c r="U1504" s="7" t="s">
        <v>44</v>
      </c>
      <c r="V1504" s="7" t="s">
        <v>45</v>
      </c>
      <c r="W1504" s="7" t="s">
        <v>171</v>
      </c>
      <c r="X1504" s="7" t="s">
        <v>172</v>
      </c>
      <c r="Y1504" s="7" t="s">
        <v>3688</v>
      </c>
      <c r="Z1504" s="7" t="s">
        <v>3689</v>
      </c>
      <c r="AA1504" s="7"/>
      <c r="AB1504" s="7"/>
      <c r="AC1504" s="7" t="s">
        <v>168</v>
      </c>
      <c r="AD1504" s="7"/>
      <c r="AE1504" s="7"/>
      <c r="AF1504" s="7" t="s">
        <v>50</v>
      </c>
      <c r="AG1504" s="7" t="s">
        <v>175</v>
      </c>
      <c r="AH1504" s="7" t="s">
        <v>176</v>
      </c>
    </row>
    <row r="1505" spans="1:34" ht="9.75" customHeight="1" x14ac:dyDescent="0.2">
      <c r="A1505" s="7" t="s">
        <v>37</v>
      </c>
      <c r="B1505" s="7" t="s">
        <v>38</v>
      </c>
      <c r="C1505" s="7"/>
      <c r="D1505" s="7" t="s">
        <v>3690</v>
      </c>
      <c r="E1505" s="8">
        <v>1</v>
      </c>
      <c r="F1505" s="7" t="s">
        <v>41</v>
      </c>
      <c r="G1505" s="7"/>
      <c r="H1505" s="9"/>
      <c r="I1505" s="9"/>
      <c r="J1505" s="9"/>
      <c r="K1505" s="9"/>
      <c r="L1505" s="10">
        <v>489</v>
      </c>
      <c r="M1505" s="9"/>
      <c r="N1505" s="10">
        <v>489</v>
      </c>
      <c r="O1505" s="9"/>
      <c r="P1505" s="10"/>
      <c r="Q1505" s="10"/>
      <c r="R1505" s="10"/>
      <c r="S1505" s="7" t="s">
        <v>407</v>
      </c>
      <c r="T1505" s="7" t="s">
        <v>178</v>
      </c>
      <c r="U1505" s="7" t="s">
        <v>44</v>
      </c>
      <c r="V1505" s="7" t="s">
        <v>45</v>
      </c>
      <c r="W1505" s="7" t="s">
        <v>171</v>
      </c>
      <c r="X1505" s="7" t="s">
        <v>172</v>
      </c>
      <c r="Y1505" s="7" t="s">
        <v>3691</v>
      </c>
      <c r="Z1505" s="7" t="s">
        <v>3689</v>
      </c>
      <c r="AA1505" s="7"/>
      <c r="AB1505" s="7"/>
      <c r="AC1505" s="7" t="s">
        <v>168</v>
      </c>
      <c r="AD1505" s="7"/>
      <c r="AE1505" s="7"/>
      <c r="AF1505" s="7" t="s">
        <v>50</v>
      </c>
      <c r="AG1505" s="7" t="s">
        <v>175</v>
      </c>
      <c r="AH1505" s="7" t="s">
        <v>176</v>
      </c>
    </row>
    <row r="1506" spans="1:34" ht="9.75" customHeight="1" x14ac:dyDescent="0.2">
      <c r="A1506" s="7" t="s">
        <v>37</v>
      </c>
      <c r="B1506" s="7" t="s">
        <v>38</v>
      </c>
      <c r="C1506" s="7"/>
      <c r="D1506" s="7" t="s">
        <v>3692</v>
      </c>
      <c r="E1506" s="8">
        <v>1</v>
      </c>
      <c r="F1506" s="7" t="s">
        <v>41</v>
      </c>
      <c r="G1506" s="7"/>
      <c r="H1506" s="9"/>
      <c r="I1506" s="9"/>
      <c r="J1506" s="9"/>
      <c r="K1506" s="9"/>
      <c r="L1506" s="10">
        <v>560</v>
      </c>
      <c r="M1506" s="9"/>
      <c r="N1506" s="10">
        <v>560</v>
      </c>
      <c r="O1506" s="9"/>
      <c r="P1506" s="10"/>
      <c r="Q1506" s="10"/>
      <c r="R1506" s="10"/>
      <c r="S1506" s="7" t="s">
        <v>407</v>
      </c>
      <c r="T1506" s="7" t="s">
        <v>178</v>
      </c>
      <c r="U1506" s="7" t="s">
        <v>44</v>
      </c>
      <c r="V1506" s="7" t="s">
        <v>45</v>
      </c>
      <c r="W1506" s="7" t="s">
        <v>171</v>
      </c>
      <c r="X1506" s="7" t="s">
        <v>172</v>
      </c>
      <c r="Y1506" s="7" t="s">
        <v>3693</v>
      </c>
      <c r="Z1506" s="7" t="s">
        <v>3689</v>
      </c>
      <c r="AA1506" s="7"/>
      <c r="AB1506" s="7"/>
      <c r="AC1506" s="7" t="s">
        <v>168</v>
      </c>
      <c r="AD1506" s="7"/>
      <c r="AE1506" s="7"/>
      <c r="AF1506" s="7" t="s">
        <v>50</v>
      </c>
      <c r="AG1506" s="7" t="s">
        <v>175</v>
      </c>
      <c r="AH1506" s="7" t="s">
        <v>176</v>
      </c>
    </row>
    <row r="1507" spans="1:34" ht="9.75" customHeight="1" x14ac:dyDescent="0.2">
      <c r="A1507" s="7" t="s">
        <v>37</v>
      </c>
      <c r="B1507" s="7" t="s">
        <v>38</v>
      </c>
      <c r="C1507" s="7"/>
      <c r="D1507" s="7" t="s">
        <v>3694</v>
      </c>
      <c r="E1507" s="8">
        <v>1</v>
      </c>
      <c r="F1507" s="7" t="s">
        <v>41</v>
      </c>
      <c r="G1507" s="7"/>
      <c r="H1507" s="9"/>
      <c r="I1507" s="9"/>
      <c r="J1507" s="9"/>
      <c r="K1507" s="9"/>
      <c r="L1507" s="10">
        <v>1959</v>
      </c>
      <c r="M1507" s="9"/>
      <c r="N1507" s="10">
        <v>1959</v>
      </c>
      <c r="O1507" s="9"/>
      <c r="P1507" s="10"/>
      <c r="Q1507" s="10"/>
      <c r="R1507" s="10"/>
      <c r="S1507" s="7" t="s">
        <v>407</v>
      </c>
      <c r="T1507" s="7" t="s">
        <v>178</v>
      </c>
      <c r="U1507" s="7" t="s">
        <v>44</v>
      </c>
      <c r="V1507" s="7" t="s">
        <v>45</v>
      </c>
      <c r="W1507" s="7" t="s">
        <v>171</v>
      </c>
      <c r="X1507" s="7" t="s">
        <v>172</v>
      </c>
      <c r="Y1507" s="7" t="s">
        <v>3695</v>
      </c>
      <c r="Z1507" s="7" t="s">
        <v>3689</v>
      </c>
      <c r="AA1507" s="7"/>
      <c r="AB1507" s="7"/>
      <c r="AC1507" s="7" t="s">
        <v>168</v>
      </c>
      <c r="AD1507" s="7"/>
      <c r="AE1507" s="7"/>
      <c r="AF1507" s="7" t="s">
        <v>50</v>
      </c>
      <c r="AG1507" s="7" t="s">
        <v>175</v>
      </c>
      <c r="AH1507" s="7" t="s">
        <v>176</v>
      </c>
    </row>
    <row r="1508" spans="1:34" ht="9.75" customHeight="1" x14ac:dyDescent="0.2">
      <c r="A1508" s="7" t="s">
        <v>37</v>
      </c>
      <c r="B1508" s="7" t="s">
        <v>38</v>
      </c>
      <c r="C1508" s="7"/>
      <c r="D1508" s="7" t="s">
        <v>3696</v>
      </c>
      <c r="E1508" s="8">
        <v>1</v>
      </c>
      <c r="F1508" s="7" t="s">
        <v>41</v>
      </c>
      <c r="G1508" s="7"/>
      <c r="H1508" s="9"/>
      <c r="I1508" s="9"/>
      <c r="J1508" s="9"/>
      <c r="K1508" s="9"/>
      <c r="L1508" s="10">
        <v>5881</v>
      </c>
      <c r="M1508" s="9"/>
      <c r="N1508" s="10">
        <v>5881</v>
      </c>
      <c r="O1508" s="9"/>
      <c r="P1508" s="10"/>
      <c r="Q1508" s="10"/>
      <c r="R1508" s="10"/>
      <c r="S1508" s="7" t="s">
        <v>407</v>
      </c>
      <c r="T1508" s="7" t="s">
        <v>178</v>
      </c>
      <c r="U1508" s="7" t="s">
        <v>44</v>
      </c>
      <c r="V1508" s="7" t="s">
        <v>45</v>
      </c>
      <c r="W1508" s="7" t="s">
        <v>171</v>
      </c>
      <c r="X1508" s="7" t="s">
        <v>172</v>
      </c>
      <c r="Y1508" s="7" t="s">
        <v>3697</v>
      </c>
      <c r="Z1508" s="7" t="s">
        <v>3698</v>
      </c>
      <c r="AA1508" s="7"/>
      <c r="AB1508" s="7"/>
      <c r="AC1508" s="7" t="s">
        <v>168</v>
      </c>
      <c r="AD1508" s="7"/>
      <c r="AE1508" s="7"/>
      <c r="AF1508" s="7" t="s">
        <v>50</v>
      </c>
      <c r="AG1508" s="7" t="s">
        <v>175</v>
      </c>
      <c r="AH1508" s="7" t="s">
        <v>176</v>
      </c>
    </row>
    <row r="1509" spans="1:34" ht="9.75" customHeight="1" x14ac:dyDescent="0.2">
      <c r="A1509" s="7" t="s">
        <v>37</v>
      </c>
      <c r="B1509" s="7" t="s">
        <v>38</v>
      </c>
      <c r="C1509" s="7"/>
      <c r="D1509" s="7" t="s">
        <v>3699</v>
      </c>
      <c r="E1509" s="8">
        <v>1</v>
      </c>
      <c r="F1509" s="7" t="s">
        <v>41</v>
      </c>
      <c r="G1509" s="7"/>
      <c r="H1509" s="9"/>
      <c r="I1509" s="9"/>
      <c r="J1509" s="9"/>
      <c r="K1509" s="9"/>
      <c r="L1509" s="10">
        <v>164</v>
      </c>
      <c r="M1509" s="9"/>
      <c r="N1509" s="10">
        <v>164</v>
      </c>
      <c r="O1509" s="9"/>
      <c r="P1509" s="10"/>
      <c r="Q1509" s="10"/>
      <c r="R1509" s="10"/>
      <c r="S1509" s="7" t="s">
        <v>407</v>
      </c>
      <c r="T1509" s="7" t="s">
        <v>178</v>
      </c>
      <c r="U1509" s="7" t="s">
        <v>44</v>
      </c>
      <c r="V1509" s="7" t="s">
        <v>45</v>
      </c>
      <c r="W1509" s="7" t="s">
        <v>171</v>
      </c>
      <c r="X1509" s="7" t="s">
        <v>172</v>
      </c>
      <c r="Y1509" s="7" t="s">
        <v>3700</v>
      </c>
      <c r="Z1509" s="7" t="s">
        <v>3698</v>
      </c>
      <c r="AA1509" s="7"/>
      <c r="AB1509" s="7"/>
      <c r="AC1509" s="7" t="s">
        <v>168</v>
      </c>
      <c r="AD1509" s="7"/>
      <c r="AE1509" s="7"/>
      <c r="AF1509" s="7" t="s">
        <v>50</v>
      </c>
      <c r="AG1509" s="7" t="s">
        <v>175</v>
      </c>
      <c r="AH1509" s="7" t="s">
        <v>176</v>
      </c>
    </row>
    <row r="1510" spans="1:34" ht="9.75" customHeight="1" x14ac:dyDescent="0.2">
      <c r="A1510" s="7" t="s">
        <v>37</v>
      </c>
      <c r="B1510" s="7" t="s">
        <v>38</v>
      </c>
      <c r="C1510" s="7"/>
      <c r="D1510" s="7" t="s">
        <v>3701</v>
      </c>
      <c r="E1510" s="8">
        <v>1</v>
      </c>
      <c r="F1510" s="7" t="s">
        <v>41</v>
      </c>
      <c r="G1510" s="7"/>
      <c r="H1510" s="9"/>
      <c r="I1510" s="9"/>
      <c r="J1510" s="9"/>
      <c r="K1510" s="9"/>
      <c r="L1510" s="10">
        <v>131</v>
      </c>
      <c r="M1510" s="9"/>
      <c r="N1510" s="10">
        <v>131</v>
      </c>
      <c r="O1510" s="9"/>
      <c r="P1510" s="10"/>
      <c r="Q1510" s="10"/>
      <c r="R1510" s="10"/>
      <c r="S1510" s="7" t="s">
        <v>407</v>
      </c>
      <c r="T1510" s="7" t="s">
        <v>178</v>
      </c>
      <c r="U1510" s="7" t="s">
        <v>44</v>
      </c>
      <c r="V1510" s="7" t="s">
        <v>45</v>
      </c>
      <c r="W1510" s="7" t="s">
        <v>171</v>
      </c>
      <c r="X1510" s="7" t="s">
        <v>172</v>
      </c>
      <c r="Y1510" s="7" t="s">
        <v>3702</v>
      </c>
      <c r="Z1510" s="7" t="s">
        <v>3698</v>
      </c>
      <c r="AA1510" s="7"/>
      <c r="AB1510" s="7"/>
      <c r="AC1510" s="7" t="s">
        <v>168</v>
      </c>
      <c r="AD1510" s="7"/>
      <c r="AE1510" s="7"/>
      <c r="AF1510" s="7" t="s">
        <v>50</v>
      </c>
      <c r="AG1510" s="7" t="s">
        <v>175</v>
      </c>
      <c r="AH1510" s="7" t="s">
        <v>176</v>
      </c>
    </row>
    <row r="1511" spans="1:34" ht="9.75" customHeight="1" x14ac:dyDescent="0.2">
      <c r="A1511" s="7" t="s">
        <v>37</v>
      </c>
      <c r="B1511" s="7" t="s">
        <v>38</v>
      </c>
      <c r="C1511" s="7"/>
      <c r="D1511" s="7" t="s">
        <v>3703</v>
      </c>
      <c r="E1511" s="8">
        <v>1</v>
      </c>
      <c r="F1511" s="7" t="s">
        <v>41</v>
      </c>
      <c r="G1511" s="7"/>
      <c r="H1511" s="9"/>
      <c r="I1511" s="9"/>
      <c r="J1511" s="9"/>
      <c r="K1511" s="9"/>
      <c r="L1511" s="10">
        <v>306</v>
      </c>
      <c r="M1511" s="9"/>
      <c r="N1511" s="10">
        <v>306</v>
      </c>
      <c r="O1511" s="9"/>
      <c r="P1511" s="10"/>
      <c r="Q1511" s="10"/>
      <c r="R1511" s="10"/>
      <c r="S1511" s="7" t="s">
        <v>407</v>
      </c>
      <c r="T1511" s="7" t="s">
        <v>178</v>
      </c>
      <c r="U1511" s="7" t="s">
        <v>44</v>
      </c>
      <c r="V1511" s="7" t="s">
        <v>45</v>
      </c>
      <c r="W1511" s="7" t="s">
        <v>171</v>
      </c>
      <c r="X1511" s="7" t="s">
        <v>172</v>
      </c>
      <c r="Y1511" s="7" t="s">
        <v>3704</v>
      </c>
      <c r="Z1511" s="7" t="s">
        <v>3698</v>
      </c>
      <c r="AA1511" s="7"/>
      <c r="AB1511" s="7"/>
      <c r="AC1511" s="7" t="s">
        <v>168</v>
      </c>
      <c r="AD1511" s="7"/>
      <c r="AE1511" s="7"/>
      <c r="AF1511" s="7" t="s">
        <v>50</v>
      </c>
      <c r="AG1511" s="7" t="s">
        <v>175</v>
      </c>
      <c r="AH1511" s="7" t="s">
        <v>176</v>
      </c>
    </row>
    <row r="1512" spans="1:34" ht="9.75" customHeight="1" x14ac:dyDescent="0.2">
      <c r="A1512" s="7" t="s">
        <v>37</v>
      </c>
      <c r="B1512" s="7" t="s">
        <v>38</v>
      </c>
      <c r="C1512" s="7"/>
      <c r="D1512" s="7" t="s">
        <v>3705</v>
      </c>
      <c r="E1512" s="8">
        <v>1</v>
      </c>
      <c r="F1512" s="7" t="s">
        <v>41</v>
      </c>
      <c r="G1512" s="7"/>
      <c r="H1512" s="9"/>
      <c r="I1512" s="9"/>
      <c r="J1512" s="9"/>
      <c r="K1512" s="9"/>
      <c r="L1512" s="10">
        <v>167</v>
      </c>
      <c r="M1512" s="9"/>
      <c r="N1512" s="10">
        <v>167</v>
      </c>
      <c r="O1512" s="9"/>
      <c r="P1512" s="10"/>
      <c r="Q1512" s="10"/>
      <c r="R1512" s="10"/>
      <c r="S1512" s="7" t="s">
        <v>407</v>
      </c>
      <c r="T1512" s="7" t="s">
        <v>178</v>
      </c>
      <c r="U1512" s="7" t="s">
        <v>44</v>
      </c>
      <c r="V1512" s="7" t="s">
        <v>45</v>
      </c>
      <c r="W1512" s="7" t="s">
        <v>171</v>
      </c>
      <c r="X1512" s="7" t="s">
        <v>172</v>
      </c>
      <c r="Y1512" s="7" t="s">
        <v>3706</v>
      </c>
      <c r="Z1512" s="7" t="s">
        <v>3698</v>
      </c>
      <c r="AA1512" s="7"/>
      <c r="AB1512" s="7"/>
      <c r="AC1512" s="7" t="s">
        <v>168</v>
      </c>
      <c r="AD1512" s="7"/>
      <c r="AE1512" s="7"/>
      <c r="AF1512" s="7" t="s">
        <v>50</v>
      </c>
      <c r="AG1512" s="7" t="s">
        <v>175</v>
      </c>
      <c r="AH1512" s="7" t="s">
        <v>176</v>
      </c>
    </row>
    <row r="1513" spans="1:34" ht="9.75" customHeight="1" x14ac:dyDescent="0.2">
      <c r="A1513" s="7" t="s">
        <v>37</v>
      </c>
      <c r="B1513" s="7" t="s">
        <v>38</v>
      </c>
      <c r="C1513" s="7"/>
      <c r="D1513" s="7" t="s">
        <v>3707</v>
      </c>
      <c r="E1513" s="8">
        <v>1</v>
      </c>
      <c r="F1513" s="7" t="s">
        <v>41</v>
      </c>
      <c r="G1513" s="7"/>
      <c r="H1513" s="9"/>
      <c r="I1513" s="9"/>
      <c r="J1513" s="9"/>
      <c r="K1513" s="9"/>
      <c r="L1513" s="10">
        <v>12105</v>
      </c>
      <c r="M1513" s="9"/>
      <c r="N1513" s="10">
        <v>12105</v>
      </c>
      <c r="O1513" s="9"/>
      <c r="P1513" s="10"/>
      <c r="Q1513" s="10"/>
      <c r="R1513" s="10"/>
      <c r="S1513" s="7" t="s">
        <v>407</v>
      </c>
      <c r="T1513" s="7" t="s">
        <v>178</v>
      </c>
      <c r="U1513" s="7" t="s">
        <v>44</v>
      </c>
      <c r="V1513" s="7" t="s">
        <v>45</v>
      </c>
      <c r="W1513" s="7" t="s">
        <v>171</v>
      </c>
      <c r="X1513" s="7" t="s">
        <v>172</v>
      </c>
      <c r="Y1513" s="7" t="s">
        <v>3708</v>
      </c>
      <c r="Z1513" s="7" t="s">
        <v>3709</v>
      </c>
      <c r="AA1513" s="7"/>
      <c r="AB1513" s="7"/>
      <c r="AC1513" s="7" t="s">
        <v>168</v>
      </c>
      <c r="AD1513" s="7"/>
      <c r="AE1513" s="7"/>
      <c r="AF1513" s="7" t="s">
        <v>50</v>
      </c>
      <c r="AG1513" s="7" t="s">
        <v>175</v>
      </c>
      <c r="AH1513" s="7" t="s">
        <v>176</v>
      </c>
    </row>
    <row r="1514" spans="1:34" ht="9.75" customHeight="1" x14ac:dyDescent="0.2">
      <c r="A1514" s="7" t="s">
        <v>37</v>
      </c>
      <c r="B1514" s="7" t="s">
        <v>38</v>
      </c>
      <c r="C1514" s="7"/>
      <c r="D1514" s="7" t="s">
        <v>3710</v>
      </c>
      <c r="E1514" s="8">
        <v>1</v>
      </c>
      <c r="F1514" s="7" t="s">
        <v>41</v>
      </c>
      <c r="G1514" s="7"/>
      <c r="H1514" s="9"/>
      <c r="I1514" s="9"/>
      <c r="J1514" s="9"/>
      <c r="K1514" s="9"/>
      <c r="L1514" s="10">
        <v>429</v>
      </c>
      <c r="M1514" s="9"/>
      <c r="N1514" s="10">
        <v>429</v>
      </c>
      <c r="O1514" s="9"/>
      <c r="P1514" s="10"/>
      <c r="Q1514" s="10"/>
      <c r="R1514" s="10"/>
      <c r="S1514" s="7" t="s">
        <v>407</v>
      </c>
      <c r="T1514" s="7" t="s">
        <v>178</v>
      </c>
      <c r="U1514" s="7" t="s">
        <v>44</v>
      </c>
      <c r="V1514" s="7" t="s">
        <v>45</v>
      </c>
      <c r="W1514" s="7" t="s">
        <v>171</v>
      </c>
      <c r="X1514" s="7" t="s">
        <v>172</v>
      </c>
      <c r="Y1514" s="7" t="s">
        <v>3711</v>
      </c>
      <c r="Z1514" s="7" t="s">
        <v>3709</v>
      </c>
      <c r="AA1514" s="7"/>
      <c r="AB1514" s="7"/>
      <c r="AC1514" s="7" t="s">
        <v>168</v>
      </c>
      <c r="AD1514" s="7"/>
      <c r="AE1514" s="7"/>
      <c r="AF1514" s="7" t="s">
        <v>50</v>
      </c>
      <c r="AG1514" s="7" t="s">
        <v>175</v>
      </c>
      <c r="AH1514" s="7" t="s">
        <v>176</v>
      </c>
    </row>
    <row r="1515" spans="1:34" ht="9.75" customHeight="1" x14ac:dyDescent="0.2">
      <c r="A1515" s="7" t="s">
        <v>37</v>
      </c>
      <c r="B1515" s="7" t="s">
        <v>38</v>
      </c>
      <c r="C1515" s="7"/>
      <c r="D1515" s="7" t="s">
        <v>3712</v>
      </c>
      <c r="E1515" s="8">
        <v>1</v>
      </c>
      <c r="F1515" s="7" t="s">
        <v>41</v>
      </c>
      <c r="G1515" s="7"/>
      <c r="H1515" s="9"/>
      <c r="I1515" s="9"/>
      <c r="J1515" s="9"/>
      <c r="K1515" s="9"/>
      <c r="L1515" s="10">
        <v>160</v>
      </c>
      <c r="M1515" s="9"/>
      <c r="N1515" s="10">
        <v>160</v>
      </c>
      <c r="O1515" s="9"/>
      <c r="P1515" s="10"/>
      <c r="Q1515" s="10"/>
      <c r="R1515" s="10"/>
      <c r="S1515" s="7" t="s">
        <v>407</v>
      </c>
      <c r="T1515" s="7" t="s">
        <v>178</v>
      </c>
      <c r="U1515" s="7" t="s">
        <v>44</v>
      </c>
      <c r="V1515" s="7" t="s">
        <v>45</v>
      </c>
      <c r="W1515" s="7" t="s">
        <v>171</v>
      </c>
      <c r="X1515" s="7" t="s">
        <v>172</v>
      </c>
      <c r="Y1515" s="7" t="s">
        <v>3713</v>
      </c>
      <c r="Z1515" s="7" t="s">
        <v>3709</v>
      </c>
      <c r="AA1515" s="7"/>
      <c r="AB1515" s="7"/>
      <c r="AC1515" s="7" t="s">
        <v>168</v>
      </c>
      <c r="AD1515" s="7"/>
      <c r="AE1515" s="7"/>
      <c r="AF1515" s="7" t="s">
        <v>50</v>
      </c>
      <c r="AG1515" s="7" t="s">
        <v>175</v>
      </c>
      <c r="AH1515" s="7" t="s">
        <v>176</v>
      </c>
    </row>
    <row r="1516" spans="1:34" ht="9.75" customHeight="1" x14ac:dyDescent="0.2">
      <c r="A1516" s="7" t="s">
        <v>37</v>
      </c>
      <c r="B1516" s="7" t="s">
        <v>38</v>
      </c>
      <c r="C1516" s="7"/>
      <c r="D1516" s="7" t="s">
        <v>3714</v>
      </c>
      <c r="E1516" s="8">
        <v>1</v>
      </c>
      <c r="F1516" s="7" t="s">
        <v>41</v>
      </c>
      <c r="G1516" s="7"/>
      <c r="H1516" s="9"/>
      <c r="I1516" s="9"/>
      <c r="J1516" s="9"/>
      <c r="K1516" s="9"/>
      <c r="L1516" s="10">
        <v>720</v>
      </c>
      <c r="M1516" s="9"/>
      <c r="N1516" s="10">
        <v>720</v>
      </c>
      <c r="O1516" s="9"/>
      <c r="P1516" s="10"/>
      <c r="Q1516" s="10"/>
      <c r="R1516" s="10"/>
      <c r="S1516" s="7" t="s">
        <v>407</v>
      </c>
      <c r="T1516" s="7" t="s">
        <v>178</v>
      </c>
      <c r="U1516" s="7" t="s">
        <v>44</v>
      </c>
      <c r="V1516" s="7" t="s">
        <v>45</v>
      </c>
      <c r="W1516" s="7" t="s">
        <v>171</v>
      </c>
      <c r="X1516" s="7" t="s">
        <v>172</v>
      </c>
      <c r="Y1516" s="7" t="s">
        <v>3715</v>
      </c>
      <c r="Z1516" s="7" t="s">
        <v>3709</v>
      </c>
      <c r="AA1516" s="7"/>
      <c r="AB1516" s="7"/>
      <c r="AC1516" s="7" t="s">
        <v>168</v>
      </c>
      <c r="AD1516" s="7"/>
      <c r="AE1516" s="7" t="s">
        <v>3716</v>
      </c>
      <c r="AF1516" s="7" t="s">
        <v>50</v>
      </c>
      <c r="AG1516" s="7" t="s">
        <v>175</v>
      </c>
      <c r="AH1516" s="7" t="s">
        <v>176</v>
      </c>
    </row>
    <row r="1517" spans="1:34" ht="9.75" customHeight="1" x14ac:dyDescent="0.2">
      <c r="A1517" s="7" t="s">
        <v>37</v>
      </c>
      <c r="B1517" s="7" t="s">
        <v>38</v>
      </c>
      <c r="C1517" s="7"/>
      <c r="D1517" s="7" t="s">
        <v>3717</v>
      </c>
      <c r="E1517" s="8">
        <v>1</v>
      </c>
      <c r="F1517" s="7" t="s">
        <v>41</v>
      </c>
      <c r="G1517" s="7"/>
      <c r="H1517" s="9"/>
      <c r="I1517" s="9"/>
      <c r="J1517" s="9"/>
      <c r="K1517" s="9"/>
      <c r="L1517" s="10">
        <v>944</v>
      </c>
      <c r="M1517" s="9"/>
      <c r="N1517" s="10">
        <v>944</v>
      </c>
      <c r="O1517" s="9"/>
      <c r="P1517" s="10"/>
      <c r="Q1517" s="10"/>
      <c r="R1517" s="10"/>
      <c r="S1517" s="7" t="s">
        <v>407</v>
      </c>
      <c r="T1517" s="7" t="s">
        <v>178</v>
      </c>
      <c r="U1517" s="7" t="s">
        <v>44</v>
      </c>
      <c r="V1517" s="7" t="s">
        <v>45</v>
      </c>
      <c r="W1517" s="7" t="s">
        <v>171</v>
      </c>
      <c r="X1517" s="7" t="s">
        <v>172</v>
      </c>
      <c r="Y1517" s="7" t="s">
        <v>3718</v>
      </c>
      <c r="Z1517" s="7" t="s">
        <v>3709</v>
      </c>
      <c r="AA1517" s="7"/>
      <c r="AB1517" s="7"/>
      <c r="AC1517" s="7" t="s">
        <v>168</v>
      </c>
      <c r="AD1517" s="7"/>
      <c r="AE1517" s="7"/>
      <c r="AF1517" s="7" t="s">
        <v>50</v>
      </c>
      <c r="AG1517" s="7" t="s">
        <v>175</v>
      </c>
      <c r="AH1517" s="7" t="s">
        <v>176</v>
      </c>
    </row>
    <row r="1518" spans="1:34" ht="9.75" customHeight="1" x14ac:dyDescent="0.2">
      <c r="A1518" s="7" t="s">
        <v>37</v>
      </c>
      <c r="B1518" s="7" t="s">
        <v>38</v>
      </c>
      <c r="C1518" s="7"/>
      <c r="D1518" s="7" t="s">
        <v>3719</v>
      </c>
      <c r="E1518" s="8">
        <v>1</v>
      </c>
      <c r="F1518" s="7" t="s">
        <v>41</v>
      </c>
      <c r="G1518" s="7"/>
      <c r="H1518" s="9"/>
      <c r="I1518" s="9"/>
      <c r="J1518" s="9"/>
      <c r="K1518" s="9"/>
      <c r="L1518" s="10">
        <v>16940</v>
      </c>
      <c r="M1518" s="9"/>
      <c r="N1518" s="10">
        <v>16940</v>
      </c>
      <c r="O1518" s="9"/>
      <c r="P1518" s="10"/>
      <c r="Q1518" s="10"/>
      <c r="R1518" s="10"/>
      <c r="S1518" s="7" t="s">
        <v>407</v>
      </c>
      <c r="T1518" s="7" t="s">
        <v>178</v>
      </c>
      <c r="U1518" s="7" t="s">
        <v>44</v>
      </c>
      <c r="V1518" s="7" t="s">
        <v>45</v>
      </c>
      <c r="W1518" s="7" t="s">
        <v>171</v>
      </c>
      <c r="X1518" s="7" t="s">
        <v>172</v>
      </c>
      <c r="Y1518" s="7" t="s">
        <v>3720</v>
      </c>
      <c r="Z1518" s="7" t="s">
        <v>3721</v>
      </c>
      <c r="AA1518" s="7"/>
      <c r="AB1518" s="7"/>
      <c r="AC1518" s="7" t="s">
        <v>168</v>
      </c>
      <c r="AD1518" s="7"/>
      <c r="AE1518" s="7"/>
      <c r="AF1518" s="7" t="s">
        <v>50</v>
      </c>
      <c r="AG1518" s="7" t="s">
        <v>175</v>
      </c>
      <c r="AH1518" s="7" t="s">
        <v>176</v>
      </c>
    </row>
    <row r="1519" spans="1:34" ht="9.75" customHeight="1" x14ac:dyDescent="0.2">
      <c r="A1519" s="7" t="s">
        <v>37</v>
      </c>
      <c r="B1519" s="7" t="s">
        <v>38</v>
      </c>
      <c r="C1519" s="7"/>
      <c r="D1519" s="7" t="s">
        <v>3722</v>
      </c>
      <c r="E1519" s="8">
        <v>1</v>
      </c>
      <c r="F1519" s="7" t="s">
        <v>41</v>
      </c>
      <c r="G1519" s="7"/>
      <c r="H1519" s="9"/>
      <c r="I1519" s="9"/>
      <c r="J1519" s="9"/>
      <c r="K1519" s="9"/>
      <c r="L1519" s="10">
        <v>151</v>
      </c>
      <c r="M1519" s="9"/>
      <c r="N1519" s="10">
        <v>151</v>
      </c>
      <c r="O1519" s="9"/>
      <c r="P1519" s="10"/>
      <c r="Q1519" s="10"/>
      <c r="R1519" s="10"/>
      <c r="S1519" s="7" t="s">
        <v>407</v>
      </c>
      <c r="T1519" s="7" t="s">
        <v>178</v>
      </c>
      <c r="U1519" s="7" t="s">
        <v>44</v>
      </c>
      <c r="V1519" s="7" t="s">
        <v>45</v>
      </c>
      <c r="W1519" s="7" t="s">
        <v>171</v>
      </c>
      <c r="X1519" s="7" t="s">
        <v>172</v>
      </c>
      <c r="Y1519" s="7" t="s">
        <v>3723</v>
      </c>
      <c r="Z1519" s="7" t="s">
        <v>3721</v>
      </c>
      <c r="AA1519" s="7"/>
      <c r="AB1519" s="7"/>
      <c r="AC1519" s="7" t="s">
        <v>168</v>
      </c>
      <c r="AD1519" s="7"/>
      <c r="AE1519" s="7"/>
      <c r="AF1519" s="7" t="s">
        <v>50</v>
      </c>
      <c r="AG1519" s="7" t="s">
        <v>175</v>
      </c>
      <c r="AH1519" s="7" t="s">
        <v>176</v>
      </c>
    </row>
    <row r="1520" spans="1:34" ht="9.75" customHeight="1" x14ac:dyDescent="0.2">
      <c r="A1520" s="7" t="s">
        <v>37</v>
      </c>
      <c r="B1520" s="7" t="s">
        <v>38</v>
      </c>
      <c r="C1520" s="7"/>
      <c r="D1520" s="7" t="s">
        <v>3724</v>
      </c>
      <c r="E1520" s="8">
        <v>1</v>
      </c>
      <c r="F1520" s="7" t="s">
        <v>41</v>
      </c>
      <c r="G1520" s="7"/>
      <c r="H1520" s="9"/>
      <c r="I1520" s="9"/>
      <c r="J1520" s="9"/>
      <c r="K1520" s="9"/>
      <c r="L1520" s="10">
        <v>353</v>
      </c>
      <c r="M1520" s="9"/>
      <c r="N1520" s="10">
        <v>353</v>
      </c>
      <c r="O1520" s="9"/>
      <c r="P1520" s="10"/>
      <c r="Q1520" s="10"/>
      <c r="R1520" s="10"/>
      <c r="S1520" s="7" t="s">
        <v>407</v>
      </c>
      <c r="T1520" s="7" t="s">
        <v>178</v>
      </c>
      <c r="U1520" s="7" t="s">
        <v>44</v>
      </c>
      <c r="V1520" s="7" t="s">
        <v>45</v>
      </c>
      <c r="W1520" s="7" t="s">
        <v>171</v>
      </c>
      <c r="X1520" s="7" t="s">
        <v>172</v>
      </c>
      <c r="Y1520" s="7" t="s">
        <v>3725</v>
      </c>
      <c r="Z1520" s="7" t="s">
        <v>3721</v>
      </c>
      <c r="AA1520" s="7"/>
      <c r="AB1520" s="7"/>
      <c r="AC1520" s="7" t="s">
        <v>168</v>
      </c>
      <c r="AD1520" s="7"/>
      <c r="AE1520" s="7"/>
      <c r="AF1520" s="7" t="s">
        <v>50</v>
      </c>
      <c r="AG1520" s="7" t="s">
        <v>175</v>
      </c>
      <c r="AH1520" s="7" t="s">
        <v>176</v>
      </c>
    </row>
    <row r="1521" spans="1:34" ht="9.75" customHeight="1" x14ac:dyDescent="0.2">
      <c r="A1521" s="7" t="s">
        <v>37</v>
      </c>
      <c r="B1521" s="7" t="s">
        <v>38</v>
      </c>
      <c r="C1521" s="7"/>
      <c r="D1521" s="7" t="s">
        <v>3726</v>
      </c>
      <c r="E1521" s="8">
        <v>1</v>
      </c>
      <c r="F1521" s="7" t="s">
        <v>41</v>
      </c>
      <c r="G1521" s="7"/>
      <c r="H1521" s="9"/>
      <c r="I1521" s="9"/>
      <c r="J1521" s="9"/>
      <c r="K1521" s="9"/>
      <c r="L1521" s="10">
        <v>1195</v>
      </c>
      <c r="M1521" s="9"/>
      <c r="N1521" s="10">
        <v>1195</v>
      </c>
      <c r="O1521" s="9"/>
      <c r="P1521" s="10"/>
      <c r="Q1521" s="10"/>
      <c r="R1521" s="10"/>
      <c r="S1521" s="7" t="s">
        <v>407</v>
      </c>
      <c r="T1521" s="7" t="s">
        <v>178</v>
      </c>
      <c r="U1521" s="7" t="s">
        <v>44</v>
      </c>
      <c r="V1521" s="7" t="s">
        <v>45</v>
      </c>
      <c r="W1521" s="7" t="s">
        <v>171</v>
      </c>
      <c r="X1521" s="7" t="s">
        <v>172</v>
      </c>
      <c r="Y1521" s="7" t="s">
        <v>3727</v>
      </c>
      <c r="Z1521" s="7" t="s">
        <v>3721</v>
      </c>
      <c r="AA1521" s="7"/>
      <c r="AB1521" s="7"/>
      <c r="AC1521" s="7" t="s">
        <v>168</v>
      </c>
      <c r="AD1521" s="7"/>
      <c r="AE1521" s="7"/>
      <c r="AF1521" s="7" t="s">
        <v>50</v>
      </c>
      <c r="AG1521" s="7" t="s">
        <v>175</v>
      </c>
      <c r="AH1521" s="7" t="s">
        <v>176</v>
      </c>
    </row>
    <row r="1522" spans="1:34" ht="9.75" customHeight="1" x14ac:dyDescent="0.2">
      <c r="A1522" s="7" t="s">
        <v>37</v>
      </c>
      <c r="B1522" s="7" t="s">
        <v>38</v>
      </c>
      <c r="C1522" s="7"/>
      <c r="D1522" s="7" t="s">
        <v>3728</v>
      </c>
      <c r="E1522" s="8">
        <v>1</v>
      </c>
      <c r="F1522" s="7" t="s">
        <v>41</v>
      </c>
      <c r="G1522" s="7"/>
      <c r="H1522" s="9"/>
      <c r="I1522" s="9"/>
      <c r="J1522" s="9"/>
      <c r="K1522" s="9"/>
      <c r="L1522" s="10">
        <v>1317</v>
      </c>
      <c r="M1522" s="9"/>
      <c r="N1522" s="10">
        <v>1317</v>
      </c>
      <c r="O1522" s="9"/>
      <c r="P1522" s="10"/>
      <c r="Q1522" s="10"/>
      <c r="R1522" s="10"/>
      <c r="S1522" s="7" t="s">
        <v>407</v>
      </c>
      <c r="T1522" s="7" t="s">
        <v>178</v>
      </c>
      <c r="U1522" s="7" t="s">
        <v>44</v>
      </c>
      <c r="V1522" s="7" t="s">
        <v>45</v>
      </c>
      <c r="W1522" s="7" t="s">
        <v>171</v>
      </c>
      <c r="X1522" s="7" t="s">
        <v>172</v>
      </c>
      <c r="Y1522" s="7" t="s">
        <v>3729</v>
      </c>
      <c r="Z1522" s="7" t="s">
        <v>3721</v>
      </c>
      <c r="AA1522" s="7"/>
      <c r="AB1522" s="7"/>
      <c r="AC1522" s="7" t="s">
        <v>168</v>
      </c>
      <c r="AD1522" s="7"/>
      <c r="AE1522" s="7"/>
      <c r="AF1522" s="7" t="s">
        <v>50</v>
      </c>
      <c r="AG1522" s="7" t="s">
        <v>175</v>
      </c>
      <c r="AH1522" s="7" t="s">
        <v>176</v>
      </c>
    </row>
    <row r="1523" spans="1:34" ht="9.75" customHeight="1" x14ac:dyDescent="0.2">
      <c r="A1523" s="7" t="s">
        <v>37</v>
      </c>
      <c r="B1523" s="7" t="s">
        <v>38</v>
      </c>
      <c r="C1523" s="7"/>
      <c r="D1523" s="7" t="s">
        <v>3730</v>
      </c>
      <c r="E1523" s="8">
        <v>1</v>
      </c>
      <c r="F1523" s="7" t="s">
        <v>41</v>
      </c>
      <c r="G1523" s="7"/>
      <c r="H1523" s="9"/>
      <c r="I1523" s="9"/>
      <c r="J1523" s="9"/>
      <c r="K1523" s="9"/>
      <c r="L1523" s="10">
        <v>9520</v>
      </c>
      <c r="M1523" s="9"/>
      <c r="N1523" s="10">
        <v>9520</v>
      </c>
      <c r="O1523" s="9"/>
      <c r="P1523" s="10"/>
      <c r="Q1523" s="10"/>
      <c r="R1523" s="10"/>
      <c r="S1523" s="7" t="s">
        <v>407</v>
      </c>
      <c r="T1523" s="7" t="s">
        <v>178</v>
      </c>
      <c r="U1523" s="7" t="s">
        <v>44</v>
      </c>
      <c r="V1523" s="7" t="s">
        <v>45</v>
      </c>
      <c r="W1523" s="7" t="s">
        <v>171</v>
      </c>
      <c r="X1523" s="7" t="s">
        <v>172</v>
      </c>
      <c r="Y1523" s="7" t="s">
        <v>3731</v>
      </c>
      <c r="Z1523" s="7" t="s">
        <v>3732</v>
      </c>
      <c r="AA1523" s="7"/>
      <c r="AB1523" s="7"/>
      <c r="AC1523" s="7" t="s">
        <v>168</v>
      </c>
      <c r="AD1523" s="7"/>
      <c r="AE1523" s="7"/>
      <c r="AF1523" s="7" t="s">
        <v>50</v>
      </c>
      <c r="AG1523" s="7" t="s">
        <v>175</v>
      </c>
      <c r="AH1523" s="7" t="s">
        <v>176</v>
      </c>
    </row>
    <row r="1524" spans="1:34" ht="9.75" customHeight="1" x14ac:dyDescent="0.2">
      <c r="A1524" s="7" t="s">
        <v>37</v>
      </c>
      <c r="B1524" s="7" t="s">
        <v>38</v>
      </c>
      <c r="C1524" s="7"/>
      <c r="D1524" s="7" t="s">
        <v>3733</v>
      </c>
      <c r="E1524" s="8">
        <v>1</v>
      </c>
      <c r="F1524" s="7" t="s">
        <v>41</v>
      </c>
      <c r="G1524" s="7"/>
      <c r="H1524" s="9"/>
      <c r="I1524" s="9"/>
      <c r="J1524" s="9"/>
      <c r="K1524" s="9"/>
      <c r="L1524" s="10">
        <v>258</v>
      </c>
      <c r="M1524" s="9"/>
      <c r="N1524" s="10">
        <v>258</v>
      </c>
      <c r="O1524" s="9"/>
      <c r="P1524" s="10"/>
      <c r="Q1524" s="10"/>
      <c r="R1524" s="10"/>
      <c r="S1524" s="7" t="s">
        <v>407</v>
      </c>
      <c r="T1524" s="7" t="s">
        <v>178</v>
      </c>
      <c r="U1524" s="7" t="s">
        <v>44</v>
      </c>
      <c r="V1524" s="7" t="s">
        <v>45</v>
      </c>
      <c r="W1524" s="7" t="s">
        <v>171</v>
      </c>
      <c r="X1524" s="7" t="s">
        <v>172</v>
      </c>
      <c r="Y1524" s="7" t="s">
        <v>3734</v>
      </c>
      <c r="Z1524" s="7" t="s">
        <v>3732</v>
      </c>
      <c r="AA1524" s="7"/>
      <c r="AB1524" s="7"/>
      <c r="AC1524" s="7" t="s">
        <v>168</v>
      </c>
      <c r="AD1524" s="7"/>
      <c r="AE1524" s="7"/>
      <c r="AF1524" s="7" t="s">
        <v>50</v>
      </c>
      <c r="AG1524" s="7" t="s">
        <v>175</v>
      </c>
      <c r="AH1524" s="7" t="s">
        <v>176</v>
      </c>
    </row>
    <row r="1525" spans="1:34" ht="9.75" customHeight="1" x14ac:dyDescent="0.2">
      <c r="A1525" s="7" t="s">
        <v>37</v>
      </c>
      <c r="B1525" s="7" t="s">
        <v>38</v>
      </c>
      <c r="C1525" s="7"/>
      <c r="D1525" s="7" t="s">
        <v>3735</v>
      </c>
      <c r="E1525" s="8">
        <v>1</v>
      </c>
      <c r="F1525" s="7" t="s">
        <v>41</v>
      </c>
      <c r="G1525" s="7"/>
      <c r="H1525" s="9"/>
      <c r="I1525" s="9"/>
      <c r="J1525" s="9"/>
      <c r="K1525" s="9"/>
      <c r="L1525" s="10">
        <v>4916</v>
      </c>
      <c r="M1525" s="9"/>
      <c r="N1525" s="10">
        <v>4916</v>
      </c>
      <c r="O1525" s="9"/>
      <c r="P1525" s="10"/>
      <c r="Q1525" s="10"/>
      <c r="R1525" s="10"/>
      <c r="S1525" s="7" t="s">
        <v>407</v>
      </c>
      <c r="T1525" s="7" t="s">
        <v>178</v>
      </c>
      <c r="U1525" s="7" t="s">
        <v>44</v>
      </c>
      <c r="V1525" s="7" t="s">
        <v>45</v>
      </c>
      <c r="W1525" s="7" t="s">
        <v>171</v>
      </c>
      <c r="X1525" s="7" t="s">
        <v>172</v>
      </c>
      <c r="Y1525" s="7" t="s">
        <v>3736</v>
      </c>
      <c r="Z1525" s="7" t="s">
        <v>3737</v>
      </c>
      <c r="AA1525" s="7"/>
      <c r="AB1525" s="7"/>
      <c r="AC1525" s="7" t="s">
        <v>168</v>
      </c>
      <c r="AD1525" s="7"/>
      <c r="AE1525" s="7"/>
      <c r="AF1525" s="7" t="s">
        <v>50</v>
      </c>
      <c r="AG1525" s="7" t="s">
        <v>175</v>
      </c>
      <c r="AH1525" s="7" t="s">
        <v>176</v>
      </c>
    </row>
    <row r="1526" spans="1:34" ht="9.75" customHeight="1" x14ac:dyDescent="0.2">
      <c r="A1526" s="7" t="s">
        <v>37</v>
      </c>
      <c r="B1526" s="7" t="s">
        <v>38</v>
      </c>
      <c r="C1526" s="7"/>
      <c r="D1526" s="7" t="s">
        <v>3738</v>
      </c>
      <c r="E1526" s="8">
        <v>1</v>
      </c>
      <c r="F1526" s="7" t="s">
        <v>41</v>
      </c>
      <c r="G1526" s="7"/>
      <c r="H1526" s="9"/>
      <c r="I1526" s="9"/>
      <c r="J1526" s="9"/>
      <c r="K1526" s="9"/>
      <c r="L1526" s="10">
        <v>455</v>
      </c>
      <c r="M1526" s="9"/>
      <c r="N1526" s="10">
        <v>455</v>
      </c>
      <c r="O1526" s="9"/>
      <c r="P1526" s="10"/>
      <c r="Q1526" s="10"/>
      <c r="R1526" s="10"/>
      <c r="S1526" s="7" t="s">
        <v>407</v>
      </c>
      <c r="T1526" s="7" t="s">
        <v>178</v>
      </c>
      <c r="U1526" s="7" t="s">
        <v>44</v>
      </c>
      <c r="V1526" s="7" t="s">
        <v>45</v>
      </c>
      <c r="W1526" s="7" t="s">
        <v>171</v>
      </c>
      <c r="X1526" s="7" t="s">
        <v>172</v>
      </c>
      <c r="Y1526" s="7" t="s">
        <v>3739</v>
      </c>
      <c r="Z1526" s="7" t="s">
        <v>3737</v>
      </c>
      <c r="AA1526" s="7"/>
      <c r="AB1526" s="7"/>
      <c r="AC1526" s="7" t="s">
        <v>168</v>
      </c>
      <c r="AD1526" s="7"/>
      <c r="AE1526" s="7"/>
      <c r="AF1526" s="7" t="s">
        <v>50</v>
      </c>
      <c r="AG1526" s="7" t="s">
        <v>175</v>
      </c>
      <c r="AH1526" s="7" t="s">
        <v>176</v>
      </c>
    </row>
    <row r="1527" spans="1:34" ht="9.75" customHeight="1" x14ac:dyDescent="0.2">
      <c r="A1527" s="7" t="s">
        <v>37</v>
      </c>
      <c r="B1527" s="7" t="s">
        <v>38</v>
      </c>
      <c r="C1527" s="7"/>
      <c r="D1527" s="7" t="s">
        <v>3740</v>
      </c>
      <c r="E1527" s="8">
        <v>1</v>
      </c>
      <c r="F1527" s="7" t="s">
        <v>41</v>
      </c>
      <c r="G1527" s="7"/>
      <c r="H1527" s="9"/>
      <c r="I1527" s="9"/>
      <c r="J1527" s="9"/>
      <c r="K1527" s="9"/>
      <c r="L1527" s="10">
        <v>829</v>
      </c>
      <c r="M1527" s="9"/>
      <c r="N1527" s="10">
        <v>829</v>
      </c>
      <c r="O1527" s="9"/>
      <c r="P1527" s="10"/>
      <c r="Q1527" s="10"/>
      <c r="R1527" s="10"/>
      <c r="S1527" s="7" t="s">
        <v>407</v>
      </c>
      <c r="T1527" s="7" t="s">
        <v>178</v>
      </c>
      <c r="U1527" s="7" t="s">
        <v>44</v>
      </c>
      <c r="V1527" s="7" t="s">
        <v>45</v>
      </c>
      <c r="W1527" s="7" t="s">
        <v>171</v>
      </c>
      <c r="X1527" s="7" t="s">
        <v>172</v>
      </c>
      <c r="Y1527" s="7" t="s">
        <v>3741</v>
      </c>
      <c r="Z1527" s="7" t="s">
        <v>3737</v>
      </c>
      <c r="AA1527" s="7"/>
      <c r="AB1527" s="7"/>
      <c r="AC1527" s="7" t="s">
        <v>168</v>
      </c>
      <c r="AD1527" s="7"/>
      <c r="AE1527" s="7"/>
      <c r="AF1527" s="7" t="s">
        <v>50</v>
      </c>
      <c r="AG1527" s="7" t="s">
        <v>175</v>
      </c>
      <c r="AH1527" s="7" t="s">
        <v>176</v>
      </c>
    </row>
    <row r="1528" spans="1:34" ht="9.75" customHeight="1" x14ac:dyDescent="0.2">
      <c r="A1528" s="7" t="s">
        <v>37</v>
      </c>
      <c r="B1528" s="7" t="s">
        <v>38</v>
      </c>
      <c r="C1528" s="7"/>
      <c r="D1528" s="7" t="s">
        <v>3742</v>
      </c>
      <c r="E1528" s="8">
        <v>1</v>
      </c>
      <c r="F1528" s="7" t="s">
        <v>41</v>
      </c>
      <c r="G1528" s="7"/>
      <c r="H1528" s="9"/>
      <c r="I1528" s="9"/>
      <c r="J1528" s="9"/>
      <c r="K1528" s="9"/>
      <c r="L1528" s="10">
        <v>907</v>
      </c>
      <c r="M1528" s="9"/>
      <c r="N1528" s="10">
        <v>907</v>
      </c>
      <c r="O1528" s="9"/>
      <c r="P1528" s="10"/>
      <c r="Q1528" s="10"/>
      <c r="R1528" s="10"/>
      <c r="S1528" s="7" t="s">
        <v>407</v>
      </c>
      <c r="T1528" s="7" t="s">
        <v>178</v>
      </c>
      <c r="U1528" s="7" t="s">
        <v>44</v>
      </c>
      <c r="V1528" s="7" t="s">
        <v>45</v>
      </c>
      <c r="W1528" s="7" t="s">
        <v>171</v>
      </c>
      <c r="X1528" s="7" t="s">
        <v>172</v>
      </c>
      <c r="Y1528" s="7" t="s">
        <v>3743</v>
      </c>
      <c r="Z1528" s="7" t="s">
        <v>3737</v>
      </c>
      <c r="AA1528" s="7"/>
      <c r="AB1528" s="7"/>
      <c r="AC1528" s="7" t="s">
        <v>168</v>
      </c>
      <c r="AD1528" s="7"/>
      <c r="AE1528" s="7"/>
      <c r="AF1528" s="7" t="s">
        <v>50</v>
      </c>
      <c r="AG1528" s="7" t="s">
        <v>175</v>
      </c>
      <c r="AH1528" s="7" t="s">
        <v>176</v>
      </c>
    </row>
    <row r="1529" spans="1:34" ht="9.75" customHeight="1" x14ac:dyDescent="0.2">
      <c r="A1529" s="7" t="s">
        <v>37</v>
      </c>
      <c r="B1529" s="7" t="s">
        <v>38</v>
      </c>
      <c r="C1529" s="7"/>
      <c r="D1529" s="7" t="s">
        <v>3744</v>
      </c>
      <c r="E1529" s="8">
        <v>1</v>
      </c>
      <c r="F1529" s="7" t="s">
        <v>41</v>
      </c>
      <c r="G1529" s="7"/>
      <c r="H1529" s="9"/>
      <c r="I1529" s="9"/>
      <c r="J1529" s="9"/>
      <c r="K1529" s="9"/>
      <c r="L1529" s="10">
        <v>586</v>
      </c>
      <c r="M1529" s="9"/>
      <c r="N1529" s="10">
        <v>586</v>
      </c>
      <c r="O1529" s="9"/>
      <c r="P1529" s="10"/>
      <c r="Q1529" s="10"/>
      <c r="R1529" s="10"/>
      <c r="S1529" s="7" t="s">
        <v>407</v>
      </c>
      <c r="T1529" s="7" t="s">
        <v>178</v>
      </c>
      <c r="U1529" s="7" t="s">
        <v>44</v>
      </c>
      <c r="V1529" s="7" t="s">
        <v>45</v>
      </c>
      <c r="W1529" s="7" t="s">
        <v>171</v>
      </c>
      <c r="X1529" s="7" t="s">
        <v>172</v>
      </c>
      <c r="Y1529" s="7" t="s">
        <v>3745</v>
      </c>
      <c r="Z1529" s="7" t="s">
        <v>3737</v>
      </c>
      <c r="AA1529" s="7"/>
      <c r="AB1529" s="7"/>
      <c r="AC1529" s="7" t="s">
        <v>168</v>
      </c>
      <c r="AD1529" s="7"/>
      <c r="AE1529" s="7"/>
      <c r="AF1529" s="7" t="s">
        <v>50</v>
      </c>
      <c r="AG1529" s="7" t="s">
        <v>175</v>
      </c>
      <c r="AH1529" s="7" t="s">
        <v>176</v>
      </c>
    </row>
    <row r="1530" spans="1:34" ht="9.75" customHeight="1" x14ac:dyDescent="0.2">
      <c r="A1530" s="7" t="s">
        <v>37</v>
      </c>
      <c r="B1530" s="7" t="s">
        <v>38</v>
      </c>
      <c r="C1530" s="7"/>
      <c r="D1530" s="7" t="s">
        <v>3746</v>
      </c>
      <c r="E1530" s="8">
        <v>1</v>
      </c>
      <c r="F1530" s="7" t="s">
        <v>41</v>
      </c>
      <c r="G1530" s="7"/>
      <c r="H1530" s="9"/>
      <c r="I1530" s="9"/>
      <c r="J1530" s="9"/>
      <c r="K1530" s="9"/>
      <c r="L1530" s="10">
        <v>26879</v>
      </c>
      <c r="M1530" s="9"/>
      <c r="N1530" s="10">
        <v>26879</v>
      </c>
      <c r="O1530" s="9"/>
      <c r="P1530" s="10"/>
      <c r="Q1530" s="10"/>
      <c r="R1530" s="10"/>
      <c r="S1530" s="7" t="s">
        <v>407</v>
      </c>
      <c r="T1530" s="7" t="s">
        <v>178</v>
      </c>
      <c r="U1530" s="7" t="s">
        <v>44</v>
      </c>
      <c r="V1530" s="7" t="s">
        <v>45</v>
      </c>
      <c r="W1530" s="7" t="s">
        <v>171</v>
      </c>
      <c r="X1530" s="7" t="s">
        <v>172</v>
      </c>
      <c r="Y1530" s="7" t="s">
        <v>3747</v>
      </c>
      <c r="Z1530" s="7" t="s">
        <v>3748</v>
      </c>
      <c r="AA1530" s="7"/>
      <c r="AB1530" s="7"/>
      <c r="AC1530" s="7" t="s">
        <v>168</v>
      </c>
      <c r="AD1530" s="7"/>
      <c r="AE1530" s="7"/>
      <c r="AF1530" s="7" t="s">
        <v>50</v>
      </c>
      <c r="AG1530" s="7" t="s">
        <v>175</v>
      </c>
      <c r="AH1530" s="7" t="s">
        <v>176</v>
      </c>
    </row>
    <row r="1531" spans="1:34" ht="9.75" customHeight="1" x14ac:dyDescent="0.2">
      <c r="A1531" s="7" t="s">
        <v>37</v>
      </c>
      <c r="B1531" s="7" t="s">
        <v>38</v>
      </c>
      <c r="C1531" s="7"/>
      <c r="D1531" s="7" t="s">
        <v>3749</v>
      </c>
      <c r="E1531" s="8">
        <v>1</v>
      </c>
      <c r="F1531" s="7" t="s">
        <v>41</v>
      </c>
      <c r="G1531" s="7"/>
      <c r="H1531" s="9"/>
      <c r="I1531" s="9"/>
      <c r="J1531" s="9"/>
      <c r="K1531" s="9"/>
      <c r="L1531" s="10">
        <v>1279</v>
      </c>
      <c r="M1531" s="9"/>
      <c r="N1531" s="10">
        <v>1279</v>
      </c>
      <c r="O1531" s="9"/>
      <c r="P1531" s="10"/>
      <c r="Q1531" s="10"/>
      <c r="R1531" s="10"/>
      <c r="S1531" s="7" t="s">
        <v>407</v>
      </c>
      <c r="T1531" s="7" t="s">
        <v>178</v>
      </c>
      <c r="U1531" s="7" t="s">
        <v>44</v>
      </c>
      <c r="V1531" s="7" t="s">
        <v>45</v>
      </c>
      <c r="W1531" s="7" t="s">
        <v>171</v>
      </c>
      <c r="X1531" s="7" t="s">
        <v>172</v>
      </c>
      <c r="Y1531" s="7" t="s">
        <v>3750</v>
      </c>
      <c r="Z1531" s="7" t="s">
        <v>3748</v>
      </c>
      <c r="AA1531" s="7"/>
      <c r="AB1531" s="7"/>
      <c r="AC1531" s="7" t="s">
        <v>168</v>
      </c>
      <c r="AD1531" s="7"/>
      <c r="AE1531" s="7"/>
      <c r="AF1531" s="7" t="s">
        <v>50</v>
      </c>
      <c r="AG1531" s="7" t="s">
        <v>175</v>
      </c>
      <c r="AH1531" s="7" t="s">
        <v>176</v>
      </c>
    </row>
    <row r="1532" spans="1:34" ht="9.75" customHeight="1" x14ac:dyDescent="0.2">
      <c r="A1532" s="7" t="s">
        <v>37</v>
      </c>
      <c r="B1532" s="7" t="s">
        <v>38</v>
      </c>
      <c r="C1532" s="7"/>
      <c r="D1532" s="7" t="s">
        <v>3751</v>
      </c>
      <c r="E1532" s="8">
        <v>1</v>
      </c>
      <c r="F1532" s="7" t="s">
        <v>41</v>
      </c>
      <c r="G1532" s="7"/>
      <c r="H1532" s="9"/>
      <c r="I1532" s="9"/>
      <c r="J1532" s="9"/>
      <c r="K1532" s="9"/>
      <c r="L1532" s="10">
        <v>3815</v>
      </c>
      <c r="M1532" s="9"/>
      <c r="N1532" s="10">
        <v>3815</v>
      </c>
      <c r="O1532" s="9"/>
      <c r="P1532" s="10"/>
      <c r="Q1532" s="10"/>
      <c r="R1532" s="10"/>
      <c r="S1532" s="7" t="s">
        <v>407</v>
      </c>
      <c r="T1532" s="7" t="s">
        <v>178</v>
      </c>
      <c r="U1532" s="7" t="s">
        <v>44</v>
      </c>
      <c r="V1532" s="7" t="s">
        <v>45</v>
      </c>
      <c r="W1532" s="7" t="s">
        <v>171</v>
      </c>
      <c r="X1532" s="7" t="s">
        <v>172</v>
      </c>
      <c r="Y1532" s="7" t="s">
        <v>3752</v>
      </c>
      <c r="Z1532" s="7" t="s">
        <v>3748</v>
      </c>
      <c r="AA1532" s="7"/>
      <c r="AB1532" s="7"/>
      <c r="AC1532" s="7" t="s">
        <v>168</v>
      </c>
      <c r="AD1532" s="7"/>
      <c r="AE1532" s="7"/>
      <c r="AF1532" s="7" t="s">
        <v>50</v>
      </c>
      <c r="AG1532" s="7" t="s">
        <v>175</v>
      </c>
      <c r="AH1532" s="7" t="s">
        <v>176</v>
      </c>
    </row>
    <row r="1533" spans="1:34" ht="9.75" customHeight="1" x14ac:dyDescent="0.2">
      <c r="A1533" s="7" t="s">
        <v>37</v>
      </c>
      <c r="B1533" s="7" t="s">
        <v>38</v>
      </c>
      <c r="C1533" s="7"/>
      <c r="D1533" s="7" t="s">
        <v>3753</v>
      </c>
      <c r="E1533" s="8">
        <v>1</v>
      </c>
      <c r="F1533" s="7" t="s">
        <v>41</v>
      </c>
      <c r="G1533" s="7"/>
      <c r="H1533" s="9"/>
      <c r="I1533" s="9"/>
      <c r="J1533" s="9"/>
      <c r="K1533" s="9"/>
      <c r="L1533" s="10">
        <v>7533</v>
      </c>
      <c r="M1533" s="9"/>
      <c r="N1533" s="10">
        <v>7533</v>
      </c>
      <c r="O1533" s="9"/>
      <c r="P1533" s="10"/>
      <c r="Q1533" s="10"/>
      <c r="R1533" s="10"/>
      <c r="S1533" s="7" t="s">
        <v>407</v>
      </c>
      <c r="T1533" s="7" t="s">
        <v>178</v>
      </c>
      <c r="U1533" s="7" t="s">
        <v>44</v>
      </c>
      <c r="V1533" s="7" t="s">
        <v>45</v>
      </c>
      <c r="W1533" s="7" t="s">
        <v>171</v>
      </c>
      <c r="X1533" s="7" t="s">
        <v>172</v>
      </c>
      <c r="Y1533" s="7" t="s">
        <v>3754</v>
      </c>
      <c r="Z1533" s="7" t="s">
        <v>3748</v>
      </c>
      <c r="AA1533" s="7"/>
      <c r="AB1533" s="7"/>
      <c r="AC1533" s="7" t="s">
        <v>168</v>
      </c>
      <c r="AD1533" s="7"/>
      <c r="AE1533" s="7"/>
      <c r="AF1533" s="7" t="s">
        <v>50</v>
      </c>
      <c r="AG1533" s="7" t="s">
        <v>175</v>
      </c>
      <c r="AH1533" s="7" t="s">
        <v>176</v>
      </c>
    </row>
    <row r="1534" spans="1:34" ht="9.75" customHeight="1" x14ac:dyDescent="0.2">
      <c r="A1534" s="7" t="s">
        <v>37</v>
      </c>
      <c r="B1534" s="7" t="s">
        <v>38</v>
      </c>
      <c r="C1534" s="7"/>
      <c r="D1534" s="7" t="s">
        <v>3755</v>
      </c>
      <c r="E1534" s="8">
        <v>1</v>
      </c>
      <c r="F1534" s="7" t="s">
        <v>41</v>
      </c>
      <c r="G1534" s="7"/>
      <c r="H1534" s="9"/>
      <c r="I1534" s="9"/>
      <c r="J1534" s="9"/>
      <c r="K1534" s="9"/>
      <c r="L1534" s="10">
        <v>1498</v>
      </c>
      <c r="M1534" s="9"/>
      <c r="N1534" s="10">
        <v>1498</v>
      </c>
      <c r="O1534" s="9"/>
      <c r="P1534" s="10"/>
      <c r="Q1534" s="10"/>
      <c r="R1534" s="10"/>
      <c r="S1534" s="7" t="s">
        <v>407</v>
      </c>
      <c r="T1534" s="7" t="s">
        <v>178</v>
      </c>
      <c r="U1534" s="7" t="s">
        <v>44</v>
      </c>
      <c r="V1534" s="7" t="s">
        <v>45</v>
      </c>
      <c r="W1534" s="7" t="s">
        <v>171</v>
      </c>
      <c r="X1534" s="7" t="s">
        <v>172</v>
      </c>
      <c r="Y1534" s="7" t="s">
        <v>3756</v>
      </c>
      <c r="Z1534" s="7" t="s">
        <v>3748</v>
      </c>
      <c r="AA1534" s="7"/>
      <c r="AB1534" s="7"/>
      <c r="AC1534" s="7" t="s">
        <v>168</v>
      </c>
      <c r="AD1534" s="7"/>
      <c r="AE1534" s="7"/>
      <c r="AF1534" s="7" t="s">
        <v>50</v>
      </c>
      <c r="AG1534" s="7" t="s">
        <v>175</v>
      </c>
      <c r="AH1534" s="7" t="s">
        <v>176</v>
      </c>
    </row>
    <row r="1535" spans="1:34" ht="9.75" customHeight="1" x14ac:dyDescent="0.2">
      <c r="A1535" s="7" t="s">
        <v>37</v>
      </c>
      <c r="B1535" s="7" t="s">
        <v>38</v>
      </c>
      <c r="C1535" s="7"/>
      <c r="D1535" s="7" t="s">
        <v>3757</v>
      </c>
      <c r="E1535" s="8">
        <v>1</v>
      </c>
      <c r="F1535" s="7" t="s">
        <v>61</v>
      </c>
      <c r="G1535" s="7"/>
      <c r="H1535" s="9"/>
      <c r="I1535" s="10">
        <v>34000</v>
      </c>
      <c r="J1535" s="9"/>
      <c r="K1535" s="9"/>
      <c r="L1535" s="10">
        <v>0</v>
      </c>
      <c r="M1535" s="9"/>
      <c r="N1535" s="10">
        <v>0</v>
      </c>
      <c r="O1535" s="9"/>
      <c r="P1535" s="10"/>
      <c r="Q1535" s="10"/>
      <c r="R1535" s="10"/>
      <c r="S1535" s="7" t="s">
        <v>54</v>
      </c>
      <c r="T1535" s="7" t="s">
        <v>3758</v>
      </c>
      <c r="U1535" s="7" t="s">
        <v>44</v>
      </c>
      <c r="V1535" s="7" t="s">
        <v>45</v>
      </c>
      <c r="W1535" s="7" t="s">
        <v>171</v>
      </c>
      <c r="X1535" s="7" t="s">
        <v>172</v>
      </c>
      <c r="Y1535" s="7" t="s">
        <v>3759</v>
      </c>
      <c r="Z1535" s="7" t="s">
        <v>188</v>
      </c>
      <c r="AA1535" s="7"/>
      <c r="AB1535" s="7"/>
      <c r="AC1535" s="7" t="s">
        <v>168</v>
      </c>
      <c r="AD1535" s="7"/>
      <c r="AE1535" s="7" t="s">
        <v>907</v>
      </c>
      <c r="AF1535" s="7" t="s">
        <v>50</v>
      </c>
      <c r="AG1535" s="7" t="s">
        <v>175</v>
      </c>
      <c r="AH1535" s="7" t="s">
        <v>176</v>
      </c>
    </row>
    <row r="1536" spans="1:34" ht="9.75" customHeight="1" x14ac:dyDescent="0.2">
      <c r="A1536" s="7" t="s">
        <v>37</v>
      </c>
      <c r="B1536" s="7" t="s">
        <v>38</v>
      </c>
      <c r="C1536" s="7"/>
      <c r="D1536" s="7" t="s">
        <v>3760</v>
      </c>
      <c r="E1536" s="8">
        <v>1</v>
      </c>
      <c r="F1536" s="7" t="s">
        <v>61</v>
      </c>
      <c r="G1536" s="7"/>
      <c r="H1536" s="9"/>
      <c r="I1536" s="10">
        <v>473</v>
      </c>
      <c r="J1536" s="9"/>
      <c r="K1536" s="9"/>
      <c r="L1536" s="10">
        <v>0</v>
      </c>
      <c r="M1536" s="9"/>
      <c r="N1536" s="10">
        <v>0</v>
      </c>
      <c r="O1536" s="9"/>
      <c r="P1536" s="10"/>
      <c r="Q1536" s="10"/>
      <c r="R1536" s="10"/>
      <c r="S1536" s="7" t="s">
        <v>54</v>
      </c>
      <c r="T1536" s="7" t="s">
        <v>3758</v>
      </c>
      <c r="U1536" s="7" t="s">
        <v>44</v>
      </c>
      <c r="V1536" s="7" t="s">
        <v>45</v>
      </c>
      <c r="W1536" s="7" t="s">
        <v>171</v>
      </c>
      <c r="X1536" s="7" t="s">
        <v>172</v>
      </c>
      <c r="Y1536" s="7" t="s">
        <v>3761</v>
      </c>
      <c r="Z1536" s="7" t="s">
        <v>188</v>
      </c>
      <c r="AA1536" s="7"/>
      <c r="AB1536" s="7"/>
      <c r="AC1536" s="7" t="s">
        <v>168</v>
      </c>
      <c r="AD1536" s="7"/>
      <c r="AE1536" s="7" t="s">
        <v>2632</v>
      </c>
      <c r="AF1536" s="7" t="s">
        <v>50</v>
      </c>
      <c r="AG1536" s="7" t="s">
        <v>175</v>
      </c>
      <c r="AH1536" s="7" t="s">
        <v>176</v>
      </c>
    </row>
    <row r="1537" spans="1:34" ht="9.75" customHeight="1" x14ac:dyDescent="0.2">
      <c r="A1537" s="7" t="s">
        <v>37</v>
      </c>
      <c r="B1537" s="7" t="s">
        <v>38</v>
      </c>
      <c r="C1537" s="7"/>
      <c r="D1537" s="7" t="s">
        <v>3762</v>
      </c>
      <c r="E1537" s="8">
        <v>1</v>
      </c>
      <c r="F1537" s="7" t="s">
        <v>61</v>
      </c>
      <c r="G1537" s="7"/>
      <c r="H1537" s="9"/>
      <c r="I1537" s="10">
        <v>15527</v>
      </c>
      <c r="J1537" s="9"/>
      <c r="K1537" s="9"/>
      <c r="L1537" s="10">
        <v>0</v>
      </c>
      <c r="M1537" s="9"/>
      <c r="N1537" s="10">
        <v>0</v>
      </c>
      <c r="O1537" s="9"/>
      <c r="P1537" s="10"/>
      <c r="Q1537" s="10"/>
      <c r="R1537" s="10"/>
      <c r="S1537" s="7" t="s">
        <v>54</v>
      </c>
      <c r="T1537" s="7" t="s">
        <v>3758</v>
      </c>
      <c r="U1537" s="7" t="s">
        <v>44</v>
      </c>
      <c r="V1537" s="7" t="s">
        <v>45</v>
      </c>
      <c r="W1537" s="7" t="s">
        <v>171</v>
      </c>
      <c r="X1537" s="7" t="s">
        <v>172</v>
      </c>
      <c r="Y1537" s="7" t="s">
        <v>3763</v>
      </c>
      <c r="Z1537" s="7" t="s">
        <v>188</v>
      </c>
      <c r="AA1537" s="7"/>
      <c r="AB1537" s="7"/>
      <c r="AC1537" s="7" t="s">
        <v>168</v>
      </c>
      <c r="AD1537" s="7"/>
      <c r="AE1537" s="7" t="s">
        <v>3255</v>
      </c>
      <c r="AF1537" s="7" t="s">
        <v>50</v>
      </c>
      <c r="AG1537" s="7" t="s">
        <v>175</v>
      </c>
      <c r="AH1537" s="7" t="s">
        <v>176</v>
      </c>
    </row>
    <row r="1538" spans="1:34" ht="9.75" customHeight="1" x14ac:dyDescent="0.2">
      <c r="A1538" s="7" t="s">
        <v>37</v>
      </c>
      <c r="B1538" s="7" t="s">
        <v>38</v>
      </c>
      <c r="C1538" s="7"/>
      <c r="D1538" s="7" t="s">
        <v>3764</v>
      </c>
      <c r="E1538" s="8">
        <v>1</v>
      </c>
      <c r="F1538" s="7" t="s">
        <v>61</v>
      </c>
      <c r="G1538" s="7"/>
      <c r="H1538" s="9"/>
      <c r="I1538" s="10">
        <v>450000</v>
      </c>
      <c r="J1538" s="9"/>
      <c r="K1538" s="9"/>
      <c r="L1538" s="10">
        <v>0</v>
      </c>
      <c r="M1538" s="9"/>
      <c r="N1538" s="10">
        <v>0</v>
      </c>
      <c r="O1538" s="9"/>
      <c r="P1538" s="10"/>
      <c r="Q1538" s="10"/>
      <c r="R1538" s="10"/>
      <c r="S1538" s="7" t="s">
        <v>54</v>
      </c>
      <c r="T1538" s="7" t="s">
        <v>3758</v>
      </c>
      <c r="U1538" s="7" t="s">
        <v>44</v>
      </c>
      <c r="V1538" s="7" t="s">
        <v>45</v>
      </c>
      <c r="W1538" s="7" t="s">
        <v>171</v>
      </c>
      <c r="X1538" s="7" t="s">
        <v>172</v>
      </c>
      <c r="Y1538" s="7" t="s">
        <v>3765</v>
      </c>
      <c r="Z1538" s="7" t="s">
        <v>188</v>
      </c>
      <c r="AA1538" s="7"/>
      <c r="AB1538" s="7"/>
      <c r="AC1538" s="7" t="s">
        <v>168</v>
      </c>
      <c r="AD1538" s="7"/>
      <c r="AE1538" s="7" t="s">
        <v>207</v>
      </c>
      <c r="AF1538" s="7" t="s">
        <v>50</v>
      </c>
      <c r="AG1538" s="7" t="s">
        <v>175</v>
      </c>
      <c r="AH1538" s="7" t="s">
        <v>176</v>
      </c>
    </row>
    <row r="1539" spans="1:34" ht="9.75" customHeight="1" x14ac:dyDescent="0.2">
      <c r="A1539" s="7" t="s">
        <v>37</v>
      </c>
      <c r="B1539" s="7" t="s">
        <v>38</v>
      </c>
      <c r="C1539" s="7"/>
      <c r="D1539" s="7" t="s">
        <v>3766</v>
      </c>
      <c r="E1539" s="8">
        <v>1</v>
      </c>
      <c r="F1539" s="7" t="s">
        <v>61</v>
      </c>
      <c r="G1539" s="7"/>
      <c r="H1539" s="9"/>
      <c r="I1539" s="10">
        <v>0</v>
      </c>
      <c r="J1539" s="9"/>
      <c r="K1539" s="9"/>
      <c r="L1539" s="9"/>
      <c r="M1539" s="9"/>
      <c r="N1539" s="9"/>
      <c r="O1539" s="9"/>
      <c r="P1539" s="9"/>
      <c r="Q1539" s="9"/>
      <c r="R1539" s="9"/>
      <c r="S1539" s="7" t="s">
        <v>54</v>
      </c>
      <c r="T1539" s="7" t="s">
        <v>3758</v>
      </c>
      <c r="U1539" s="7" t="s">
        <v>44</v>
      </c>
      <c r="V1539" s="7" t="s">
        <v>45</v>
      </c>
      <c r="W1539" s="7" t="s">
        <v>171</v>
      </c>
      <c r="X1539" s="7" t="s">
        <v>172</v>
      </c>
      <c r="Y1539" s="7" t="s">
        <v>3767</v>
      </c>
      <c r="Z1539" s="7" t="s">
        <v>3768</v>
      </c>
      <c r="AA1539" s="7"/>
      <c r="AB1539" s="7"/>
      <c r="AC1539" s="7" t="s">
        <v>168</v>
      </c>
      <c r="AD1539" s="7"/>
      <c r="AE1539" s="7"/>
      <c r="AF1539" s="7" t="s">
        <v>50</v>
      </c>
      <c r="AG1539" s="7" t="s">
        <v>175</v>
      </c>
      <c r="AH1539" s="7" t="s">
        <v>176</v>
      </c>
    </row>
    <row r="1540" spans="1:34" ht="9.75" customHeight="1" x14ac:dyDescent="0.2">
      <c r="A1540" s="7" t="s">
        <v>37</v>
      </c>
      <c r="B1540" s="7" t="s">
        <v>38</v>
      </c>
      <c r="C1540" s="7"/>
      <c r="D1540" s="7" t="s">
        <v>3769</v>
      </c>
      <c r="E1540" s="8">
        <v>1</v>
      </c>
      <c r="F1540" s="7" t="s">
        <v>61</v>
      </c>
      <c r="G1540" s="7"/>
      <c r="H1540" s="9"/>
      <c r="I1540" s="10">
        <v>0</v>
      </c>
      <c r="J1540" s="9"/>
      <c r="K1540" s="9"/>
      <c r="L1540" s="9"/>
      <c r="M1540" s="9"/>
      <c r="N1540" s="9"/>
      <c r="O1540" s="9"/>
      <c r="P1540" s="9"/>
      <c r="Q1540" s="9"/>
      <c r="R1540" s="9"/>
      <c r="S1540" s="7" t="s">
        <v>54</v>
      </c>
      <c r="T1540" s="7" t="s">
        <v>3758</v>
      </c>
      <c r="U1540" s="7" t="s">
        <v>44</v>
      </c>
      <c r="V1540" s="7" t="s">
        <v>45</v>
      </c>
      <c r="W1540" s="7" t="s">
        <v>171</v>
      </c>
      <c r="X1540" s="7" t="s">
        <v>172</v>
      </c>
      <c r="Y1540" s="7" t="s">
        <v>3770</v>
      </c>
      <c r="Z1540" s="7" t="s">
        <v>3768</v>
      </c>
      <c r="AA1540" s="7"/>
      <c r="AB1540" s="7"/>
      <c r="AC1540" s="7" t="s">
        <v>168</v>
      </c>
      <c r="AD1540" s="7"/>
      <c r="AE1540" s="7"/>
      <c r="AF1540" s="7" t="s">
        <v>50</v>
      </c>
      <c r="AG1540" s="7" t="s">
        <v>175</v>
      </c>
      <c r="AH1540" s="7" t="s">
        <v>176</v>
      </c>
    </row>
    <row r="1541" spans="1:34" ht="9.75" customHeight="1" x14ac:dyDescent="0.2">
      <c r="A1541" s="7" t="s">
        <v>37</v>
      </c>
      <c r="B1541" s="7" t="s">
        <v>38</v>
      </c>
      <c r="C1541" s="7"/>
      <c r="D1541" s="7" t="s">
        <v>3771</v>
      </c>
      <c r="E1541" s="8">
        <v>1</v>
      </c>
      <c r="F1541" s="7" t="s">
        <v>61</v>
      </c>
      <c r="G1541" s="7"/>
      <c r="H1541" s="9"/>
      <c r="I1541" s="10">
        <v>0</v>
      </c>
      <c r="J1541" s="9"/>
      <c r="K1541" s="9"/>
      <c r="L1541" s="9"/>
      <c r="M1541" s="9"/>
      <c r="N1541" s="9"/>
      <c r="O1541" s="9"/>
      <c r="P1541" s="9"/>
      <c r="Q1541" s="9"/>
      <c r="R1541" s="9"/>
      <c r="S1541" s="7" t="s">
        <v>54</v>
      </c>
      <c r="T1541" s="7" t="s">
        <v>3758</v>
      </c>
      <c r="U1541" s="7" t="s">
        <v>44</v>
      </c>
      <c r="V1541" s="7" t="s">
        <v>45</v>
      </c>
      <c r="W1541" s="7" t="s">
        <v>171</v>
      </c>
      <c r="X1541" s="7" t="s">
        <v>172</v>
      </c>
      <c r="Y1541" s="7" t="s">
        <v>3772</v>
      </c>
      <c r="Z1541" s="7" t="s">
        <v>3768</v>
      </c>
      <c r="AA1541" s="7"/>
      <c r="AB1541" s="7"/>
      <c r="AC1541" s="7" t="s">
        <v>168</v>
      </c>
      <c r="AD1541" s="7"/>
      <c r="AE1541" s="7"/>
      <c r="AF1541" s="7" t="s">
        <v>50</v>
      </c>
      <c r="AG1541" s="7" t="s">
        <v>175</v>
      </c>
      <c r="AH1541" s="7" t="s">
        <v>176</v>
      </c>
    </row>
    <row r="1542" spans="1:34" ht="9.75" customHeight="1" x14ac:dyDescent="0.2">
      <c r="A1542" s="7" t="s">
        <v>37</v>
      </c>
      <c r="B1542" s="7" t="s">
        <v>38</v>
      </c>
      <c r="C1542" s="7"/>
      <c r="D1542" s="7" t="s">
        <v>3773</v>
      </c>
      <c r="E1542" s="8">
        <v>1</v>
      </c>
      <c r="F1542" s="7" t="s">
        <v>61</v>
      </c>
      <c r="G1542" s="7"/>
      <c r="H1542" s="9"/>
      <c r="I1542" s="10">
        <v>0</v>
      </c>
      <c r="J1542" s="9"/>
      <c r="K1542" s="9"/>
      <c r="L1542" s="9"/>
      <c r="M1542" s="9"/>
      <c r="N1542" s="9"/>
      <c r="O1542" s="9"/>
      <c r="P1542" s="9"/>
      <c r="Q1542" s="9"/>
      <c r="R1542" s="9"/>
      <c r="S1542" s="7" t="s">
        <v>54</v>
      </c>
      <c r="T1542" s="7" t="s">
        <v>3758</v>
      </c>
      <c r="U1542" s="7" t="s">
        <v>44</v>
      </c>
      <c r="V1542" s="7" t="s">
        <v>45</v>
      </c>
      <c r="W1542" s="7" t="s">
        <v>171</v>
      </c>
      <c r="X1542" s="7" t="s">
        <v>172</v>
      </c>
      <c r="Y1542" s="7" t="s">
        <v>3774</v>
      </c>
      <c r="Z1542" s="7" t="s">
        <v>3768</v>
      </c>
      <c r="AA1542" s="7"/>
      <c r="AB1542" s="7"/>
      <c r="AC1542" s="7" t="s">
        <v>168</v>
      </c>
      <c r="AD1542" s="7"/>
      <c r="AE1542" s="7"/>
      <c r="AF1542" s="7" t="s">
        <v>50</v>
      </c>
      <c r="AG1542" s="7" t="s">
        <v>175</v>
      </c>
      <c r="AH1542" s="7" t="s">
        <v>176</v>
      </c>
    </row>
    <row r="1543" spans="1:34" ht="9.75" customHeight="1" x14ac:dyDescent="0.2">
      <c r="A1543" s="7" t="s">
        <v>37</v>
      </c>
      <c r="B1543" s="7" t="s">
        <v>38</v>
      </c>
      <c r="C1543" s="7"/>
      <c r="D1543" s="7" t="s">
        <v>3775</v>
      </c>
      <c r="E1543" s="8">
        <v>1</v>
      </c>
      <c r="F1543" s="7" t="s">
        <v>61</v>
      </c>
      <c r="G1543" s="7"/>
      <c r="H1543" s="9"/>
      <c r="I1543" s="10">
        <v>329093</v>
      </c>
      <c r="J1543" s="9"/>
      <c r="K1543" s="9"/>
      <c r="L1543" s="10">
        <v>125000</v>
      </c>
      <c r="M1543" s="9"/>
      <c r="N1543" s="10">
        <v>125000</v>
      </c>
      <c r="O1543" s="9"/>
      <c r="P1543" s="10"/>
      <c r="Q1543" s="10"/>
      <c r="R1543" s="10"/>
      <c r="S1543" s="7" t="s">
        <v>407</v>
      </c>
      <c r="T1543" s="7" t="s">
        <v>3776</v>
      </c>
      <c r="U1543" s="7" t="s">
        <v>44</v>
      </c>
      <c r="V1543" s="7" t="s">
        <v>45</v>
      </c>
      <c r="W1543" s="7" t="s">
        <v>171</v>
      </c>
      <c r="X1543" s="7" t="s">
        <v>194</v>
      </c>
      <c r="Y1543" s="7" t="s">
        <v>3777</v>
      </c>
      <c r="Z1543" s="7" t="s">
        <v>3778</v>
      </c>
      <c r="AA1543" s="7"/>
      <c r="AB1543" s="7"/>
      <c r="AC1543" s="7" t="s">
        <v>191</v>
      </c>
      <c r="AD1543" s="7"/>
      <c r="AE1543" s="7" t="s">
        <v>410</v>
      </c>
      <c r="AF1543" s="7" t="s">
        <v>50</v>
      </c>
      <c r="AG1543" s="7" t="s">
        <v>175</v>
      </c>
      <c r="AH1543" s="7" t="s">
        <v>197</v>
      </c>
    </row>
    <row r="1544" spans="1:34" ht="9.75" customHeight="1" x14ac:dyDescent="0.2">
      <c r="A1544" s="7" t="s">
        <v>37</v>
      </c>
      <c r="B1544" s="7" t="s">
        <v>38</v>
      </c>
      <c r="C1544" s="7"/>
      <c r="D1544" s="7" t="s">
        <v>3779</v>
      </c>
      <c r="E1544" s="8">
        <v>1</v>
      </c>
      <c r="F1544" s="7" t="s">
        <v>61</v>
      </c>
      <c r="G1544" s="7"/>
      <c r="H1544" s="9"/>
      <c r="I1544" s="10">
        <v>3050900</v>
      </c>
      <c r="J1544" s="9"/>
      <c r="K1544" s="9"/>
      <c r="L1544" s="10">
        <v>350118</v>
      </c>
      <c r="M1544" s="9"/>
      <c r="N1544" s="10">
        <v>350118</v>
      </c>
      <c r="O1544" s="9"/>
      <c r="P1544" s="10"/>
      <c r="Q1544" s="10"/>
      <c r="R1544" s="10"/>
      <c r="S1544" s="7" t="s">
        <v>407</v>
      </c>
      <c r="T1544" s="7" t="s">
        <v>3776</v>
      </c>
      <c r="U1544" s="7" t="s">
        <v>44</v>
      </c>
      <c r="V1544" s="7" t="s">
        <v>45</v>
      </c>
      <c r="W1544" s="7" t="s">
        <v>171</v>
      </c>
      <c r="X1544" s="7" t="s">
        <v>194</v>
      </c>
      <c r="Y1544" s="7" t="s">
        <v>3780</v>
      </c>
      <c r="Z1544" s="7" t="s">
        <v>3778</v>
      </c>
      <c r="AA1544" s="7"/>
      <c r="AB1544" s="7"/>
      <c r="AC1544" s="7" t="s">
        <v>191</v>
      </c>
      <c r="AD1544" s="7"/>
      <c r="AE1544" s="7" t="s">
        <v>207</v>
      </c>
      <c r="AF1544" s="7" t="s">
        <v>50</v>
      </c>
      <c r="AG1544" s="7" t="s">
        <v>175</v>
      </c>
      <c r="AH1544" s="7" t="s">
        <v>197</v>
      </c>
    </row>
    <row r="1545" spans="1:34" ht="9.75" customHeight="1" x14ac:dyDescent="0.2">
      <c r="A1545" s="7" t="s">
        <v>37</v>
      </c>
      <c r="B1545" s="7" t="s">
        <v>38</v>
      </c>
      <c r="C1545" s="7"/>
      <c r="D1545" s="7" t="s">
        <v>3781</v>
      </c>
      <c r="E1545" s="8">
        <v>1</v>
      </c>
      <c r="F1545" s="7" t="s">
        <v>61</v>
      </c>
      <c r="G1545" s="7"/>
      <c r="H1545" s="9"/>
      <c r="I1545" s="10">
        <v>108490</v>
      </c>
      <c r="J1545" s="9"/>
      <c r="K1545" s="9"/>
      <c r="L1545" s="10">
        <v>70183</v>
      </c>
      <c r="M1545" s="9"/>
      <c r="N1545" s="10">
        <v>70183</v>
      </c>
      <c r="O1545" s="9"/>
      <c r="P1545" s="10"/>
      <c r="Q1545" s="10"/>
      <c r="R1545" s="10"/>
      <c r="S1545" s="7" t="s">
        <v>407</v>
      </c>
      <c r="T1545" s="7" t="s">
        <v>3776</v>
      </c>
      <c r="U1545" s="7" t="s">
        <v>44</v>
      </c>
      <c r="V1545" s="7" t="s">
        <v>45</v>
      </c>
      <c r="W1545" s="7" t="s">
        <v>171</v>
      </c>
      <c r="X1545" s="7" t="s">
        <v>194</v>
      </c>
      <c r="Y1545" s="7" t="s">
        <v>3782</v>
      </c>
      <c r="Z1545" s="7" t="s">
        <v>3778</v>
      </c>
      <c r="AA1545" s="7"/>
      <c r="AB1545" s="7"/>
      <c r="AC1545" s="7" t="s">
        <v>191</v>
      </c>
      <c r="AD1545" s="7"/>
      <c r="AE1545" s="7" t="s">
        <v>415</v>
      </c>
      <c r="AF1545" s="7" t="s">
        <v>50</v>
      </c>
      <c r="AG1545" s="7" t="s">
        <v>175</v>
      </c>
      <c r="AH1545" s="7" t="s">
        <v>197</v>
      </c>
    </row>
    <row r="1546" spans="1:34" ht="9.75" customHeight="1" x14ac:dyDescent="0.2">
      <c r="A1546" s="7" t="s">
        <v>37</v>
      </c>
      <c r="B1546" s="7" t="s">
        <v>38</v>
      </c>
      <c r="C1546" s="7"/>
      <c r="D1546" s="7" t="s">
        <v>3783</v>
      </c>
      <c r="E1546" s="8">
        <v>1</v>
      </c>
      <c r="F1546" s="7" t="s">
        <v>61</v>
      </c>
      <c r="G1546" s="7"/>
      <c r="H1546" s="9"/>
      <c r="I1546" s="10">
        <v>323554</v>
      </c>
      <c r="J1546" s="9"/>
      <c r="K1546" s="9"/>
      <c r="L1546" s="10">
        <v>335010</v>
      </c>
      <c r="M1546" s="9"/>
      <c r="N1546" s="10">
        <v>335010</v>
      </c>
      <c r="O1546" s="9"/>
      <c r="P1546" s="10"/>
      <c r="Q1546" s="10"/>
      <c r="R1546" s="10"/>
      <c r="S1546" s="7" t="s">
        <v>407</v>
      </c>
      <c r="T1546" s="7" t="s">
        <v>3776</v>
      </c>
      <c r="U1546" s="7" t="s">
        <v>44</v>
      </c>
      <c r="V1546" s="7" t="s">
        <v>45</v>
      </c>
      <c r="W1546" s="7" t="s">
        <v>171</v>
      </c>
      <c r="X1546" s="7" t="s">
        <v>194</v>
      </c>
      <c r="Y1546" s="7" t="s">
        <v>3784</v>
      </c>
      <c r="Z1546" s="7" t="s">
        <v>3778</v>
      </c>
      <c r="AA1546" s="7"/>
      <c r="AB1546" s="7"/>
      <c r="AC1546" s="7" t="s">
        <v>191</v>
      </c>
      <c r="AD1546" s="7"/>
      <c r="AE1546" s="7"/>
      <c r="AF1546" s="7" t="s">
        <v>50</v>
      </c>
      <c r="AG1546" s="7" t="s">
        <v>175</v>
      </c>
      <c r="AH1546" s="7" t="s">
        <v>197</v>
      </c>
    </row>
    <row r="1547" spans="1:34" ht="9.75" customHeight="1" x14ac:dyDescent="0.2">
      <c r="A1547" s="7" t="s">
        <v>37</v>
      </c>
      <c r="B1547" s="7" t="s">
        <v>38</v>
      </c>
      <c r="C1547" s="7"/>
      <c r="D1547" s="7" t="s">
        <v>3785</v>
      </c>
      <c r="E1547" s="8">
        <v>1</v>
      </c>
      <c r="F1547" s="7" t="s">
        <v>61</v>
      </c>
      <c r="G1547" s="7"/>
      <c r="H1547" s="9"/>
      <c r="I1547" s="10">
        <v>63183</v>
      </c>
      <c r="J1547" s="9"/>
      <c r="K1547" s="9"/>
      <c r="L1547" s="10">
        <v>61882</v>
      </c>
      <c r="M1547" s="9"/>
      <c r="N1547" s="10">
        <v>61882</v>
      </c>
      <c r="O1547" s="9"/>
      <c r="P1547" s="10"/>
      <c r="Q1547" s="10"/>
      <c r="R1547" s="10"/>
      <c r="S1547" s="7" t="s">
        <v>407</v>
      </c>
      <c r="T1547" s="7" t="s">
        <v>3776</v>
      </c>
      <c r="U1547" s="7" t="s">
        <v>44</v>
      </c>
      <c r="V1547" s="7" t="s">
        <v>45</v>
      </c>
      <c r="W1547" s="7" t="s">
        <v>171</v>
      </c>
      <c r="X1547" s="7" t="s">
        <v>194</v>
      </c>
      <c r="Y1547" s="7" t="s">
        <v>3786</v>
      </c>
      <c r="Z1547" s="7" t="s">
        <v>3778</v>
      </c>
      <c r="AA1547" s="7"/>
      <c r="AB1547" s="7"/>
      <c r="AC1547" s="7" t="s">
        <v>191</v>
      </c>
      <c r="AD1547" s="7"/>
      <c r="AE1547" s="7"/>
      <c r="AF1547" s="7" t="s">
        <v>50</v>
      </c>
      <c r="AG1547" s="7" t="s">
        <v>175</v>
      </c>
      <c r="AH1547" s="7" t="s">
        <v>197</v>
      </c>
    </row>
    <row r="1548" spans="1:34" ht="9.75" customHeight="1" x14ac:dyDescent="0.2">
      <c r="A1548" s="7" t="s">
        <v>37</v>
      </c>
      <c r="B1548" s="7" t="s">
        <v>38</v>
      </c>
      <c r="C1548" s="7"/>
      <c r="D1548" s="7" t="s">
        <v>3787</v>
      </c>
      <c r="E1548" s="8">
        <v>1</v>
      </c>
      <c r="F1548" s="7" t="s">
        <v>61</v>
      </c>
      <c r="G1548" s="7"/>
      <c r="H1548" s="9"/>
      <c r="I1548" s="10">
        <v>158708</v>
      </c>
      <c r="J1548" s="9"/>
      <c r="K1548" s="9"/>
      <c r="L1548" s="10">
        <v>168742</v>
      </c>
      <c r="M1548" s="9"/>
      <c r="N1548" s="10">
        <v>168742</v>
      </c>
      <c r="O1548" s="9"/>
      <c r="P1548" s="10"/>
      <c r="Q1548" s="10"/>
      <c r="R1548" s="10"/>
      <c r="S1548" s="7" t="s">
        <v>407</v>
      </c>
      <c r="T1548" s="7" t="s">
        <v>3776</v>
      </c>
      <c r="U1548" s="7" t="s">
        <v>44</v>
      </c>
      <c r="V1548" s="7" t="s">
        <v>45</v>
      </c>
      <c r="W1548" s="7" t="s">
        <v>171</v>
      </c>
      <c r="X1548" s="7" t="s">
        <v>194</v>
      </c>
      <c r="Y1548" s="7" t="s">
        <v>3788</v>
      </c>
      <c r="Z1548" s="7" t="s">
        <v>3778</v>
      </c>
      <c r="AA1548" s="7"/>
      <c r="AB1548" s="7"/>
      <c r="AC1548" s="7" t="s">
        <v>191</v>
      </c>
      <c r="AD1548" s="7"/>
      <c r="AE1548" s="7"/>
      <c r="AF1548" s="7" t="s">
        <v>50</v>
      </c>
      <c r="AG1548" s="7" t="s">
        <v>175</v>
      </c>
      <c r="AH1548" s="7" t="s">
        <v>197</v>
      </c>
    </row>
    <row r="1549" spans="1:34" ht="9.75" customHeight="1" x14ac:dyDescent="0.2">
      <c r="A1549" s="7" t="s">
        <v>37</v>
      </c>
      <c r="B1549" s="7" t="s">
        <v>38</v>
      </c>
      <c r="C1549" s="7"/>
      <c r="D1549" s="7" t="s">
        <v>3789</v>
      </c>
      <c r="E1549" s="8">
        <v>1</v>
      </c>
      <c r="F1549" s="7" t="s">
        <v>61</v>
      </c>
      <c r="G1549" s="7"/>
      <c r="H1549" s="9"/>
      <c r="I1549" s="10">
        <v>95178</v>
      </c>
      <c r="J1549" s="9"/>
      <c r="K1549" s="9"/>
      <c r="L1549" s="10">
        <v>69439</v>
      </c>
      <c r="M1549" s="9"/>
      <c r="N1549" s="10">
        <v>69439</v>
      </c>
      <c r="O1549" s="9"/>
      <c r="P1549" s="10"/>
      <c r="Q1549" s="10"/>
      <c r="R1549" s="10"/>
      <c r="S1549" s="7" t="s">
        <v>407</v>
      </c>
      <c r="T1549" s="7" t="s">
        <v>3776</v>
      </c>
      <c r="U1549" s="7" t="s">
        <v>44</v>
      </c>
      <c r="V1549" s="7" t="s">
        <v>45</v>
      </c>
      <c r="W1549" s="7" t="s">
        <v>171</v>
      </c>
      <c r="X1549" s="7" t="s">
        <v>194</v>
      </c>
      <c r="Y1549" s="7" t="s">
        <v>3790</v>
      </c>
      <c r="Z1549" s="7" t="s">
        <v>3778</v>
      </c>
      <c r="AA1549" s="7"/>
      <c r="AB1549" s="7"/>
      <c r="AC1549" s="7" t="s">
        <v>191</v>
      </c>
      <c r="AD1549" s="7"/>
      <c r="AE1549" s="7"/>
      <c r="AF1549" s="7" t="s">
        <v>50</v>
      </c>
      <c r="AG1549" s="7" t="s">
        <v>175</v>
      </c>
      <c r="AH1549" s="7" t="s">
        <v>197</v>
      </c>
    </row>
    <row r="1550" spans="1:34" ht="9.75" customHeight="1" x14ac:dyDescent="0.2">
      <c r="A1550" s="7" t="s">
        <v>37</v>
      </c>
      <c r="B1550" s="7" t="s">
        <v>38</v>
      </c>
      <c r="C1550" s="7"/>
      <c r="D1550" s="7" t="s">
        <v>3791</v>
      </c>
      <c r="E1550" s="8">
        <v>1</v>
      </c>
      <c r="F1550" s="7" t="s">
        <v>61</v>
      </c>
      <c r="G1550" s="7"/>
      <c r="H1550" s="9"/>
      <c r="I1550" s="9"/>
      <c r="J1550" s="9"/>
      <c r="K1550" s="9"/>
      <c r="L1550" s="10">
        <v>169701</v>
      </c>
      <c r="M1550" s="9"/>
      <c r="N1550" s="10">
        <v>169701</v>
      </c>
      <c r="O1550" s="9"/>
      <c r="P1550" s="10"/>
      <c r="Q1550" s="10"/>
      <c r="R1550" s="10"/>
      <c r="S1550" s="7" t="s">
        <v>407</v>
      </c>
      <c r="T1550" s="7" t="s">
        <v>3776</v>
      </c>
      <c r="U1550" s="7" t="s">
        <v>44</v>
      </c>
      <c r="V1550" s="7" t="s">
        <v>45</v>
      </c>
      <c r="W1550" s="7" t="s">
        <v>171</v>
      </c>
      <c r="X1550" s="7" t="s">
        <v>194</v>
      </c>
      <c r="Y1550" s="7" t="s">
        <v>3792</v>
      </c>
      <c r="Z1550" s="7" t="s">
        <v>3793</v>
      </c>
      <c r="AA1550" s="7"/>
      <c r="AB1550" s="7"/>
      <c r="AC1550" s="7" t="s">
        <v>191</v>
      </c>
      <c r="AD1550" s="7"/>
      <c r="AE1550" s="7" t="s">
        <v>3794</v>
      </c>
      <c r="AF1550" s="7" t="s">
        <v>50</v>
      </c>
      <c r="AG1550" s="7" t="s">
        <v>175</v>
      </c>
      <c r="AH1550" s="7" t="s">
        <v>197</v>
      </c>
    </row>
    <row r="1551" spans="1:34" ht="9.75" customHeight="1" x14ac:dyDescent="0.2">
      <c r="A1551" s="7" t="s">
        <v>37</v>
      </c>
      <c r="B1551" s="7" t="s">
        <v>38</v>
      </c>
      <c r="C1551" s="7"/>
      <c r="D1551" s="7" t="s">
        <v>3795</v>
      </c>
      <c r="E1551" s="8">
        <v>1</v>
      </c>
      <c r="F1551" s="7" t="s">
        <v>61</v>
      </c>
      <c r="G1551" s="7"/>
      <c r="H1551" s="9"/>
      <c r="I1551" s="9"/>
      <c r="J1551" s="9"/>
      <c r="K1551" s="9"/>
      <c r="L1551" s="10">
        <v>35308</v>
      </c>
      <c r="M1551" s="9"/>
      <c r="N1551" s="10">
        <v>35308</v>
      </c>
      <c r="O1551" s="9"/>
      <c r="P1551" s="10"/>
      <c r="Q1551" s="10"/>
      <c r="R1551" s="10"/>
      <c r="S1551" s="7" t="s">
        <v>407</v>
      </c>
      <c r="T1551" s="7" t="s">
        <v>3776</v>
      </c>
      <c r="U1551" s="7" t="s">
        <v>44</v>
      </c>
      <c r="V1551" s="7" t="s">
        <v>45</v>
      </c>
      <c r="W1551" s="7" t="s">
        <v>171</v>
      </c>
      <c r="X1551" s="7" t="s">
        <v>194</v>
      </c>
      <c r="Y1551" s="7" t="s">
        <v>3796</v>
      </c>
      <c r="Z1551" s="7" t="s">
        <v>3793</v>
      </c>
      <c r="AA1551" s="7"/>
      <c r="AB1551" s="7"/>
      <c r="AC1551" s="7" t="s">
        <v>191</v>
      </c>
      <c r="AD1551" s="7"/>
      <c r="AE1551" s="7" t="s">
        <v>3797</v>
      </c>
      <c r="AF1551" s="7" t="s">
        <v>50</v>
      </c>
      <c r="AG1551" s="7" t="s">
        <v>175</v>
      </c>
      <c r="AH1551" s="7" t="s">
        <v>197</v>
      </c>
    </row>
    <row r="1552" spans="1:34" ht="9.75" customHeight="1" x14ac:dyDescent="0.2">
      <c r="A1552" s="7" t="s">
        <v>37</v>
      </c>
      <c r="B1552" s="7" t="s">
        <v>38</v>
      </c>
      <c r="C1552" s="7"/>
      <c r="D1552" s="7" t="s">
        <v>3798</v>
      </c>
      <c r="E1552" s="8">
        <v>1</v>
      </c>
      <c r="F1552" s="7" t="s">
        <v>61</v>
      </c>
      <c r="G1552" s="7"/>
      <c r="H1552" s="9"/>
      <c r="I1552" s="9"/>
      <c r="J1552" s="9"/>
      <c r="K1552" s="9"/>
      <c r="L1552" s="10">
        <v>10218</v>
      </c>
      <c r="M1552" s="9"/>
      <c r="N1552" s="10">
        <v>10218</v>
      </c>
      <c r="O1552" s="9"/>
      <c r="P1552" s="10"/>
      <c r="Q1552" s="10"/>
      <c r="R1552" s="10"/>
      <c r="S1552" s="7" t="s">
        <v>407</v>
      </c>
      <c r="T1552" s="7" t="s">
        <v>3776</v>
      </c>
      <c r="U1552" s="7" t="s">
        <v>44</v>
      </c>
      <c r="V1552" s="7" t="s">
        <v>45</v>
      </c>
      <c r="W1552" s="7" t="s">
        <v>171</v>
      </c>
      <c r="X1552" s="7" t="s">
        <v>194</v>
      </c>
      <c r="Y1552" s="7" t="s">
        <v>3799</v>
      </c>
      <c r="Z1552" s="7" t="s">
        <v>3793</v>
      </c>
      <c r="AA1552" s="7"/>
      <c r="AB1552" s="7"/>
      <c r="AC1552" s="7" t="s">
        <v>191</v>
      </c>
      <c r="AD1552" s="7"/>
      <c r="AE1552" s="7" t="s">
        <v>3800</v>
      </c>
      <c r="AF1552" s="7" t="s">
        <v>50</v>
      </c>
      <c r="AG1552" s="7" t="s">
        <v>175</v>
      </c>
      <c r="AH1552" s="7" t="s">
        <v>197</v>
      </c>
    </row>
    <row r="1553" spans="1:34" ht="9.75" customHeight="1" x14ac:dyDescent="0.2">
      <c r="A1553" s="7" t="s">
        <v>37</v>
      </c>
      <c r="B1553" s="7" t="s">
        <v>38</v>
      </c>
      <c r="C1553" s="7"/>
      <c r="D1553" s="7" t="s">
        <v>3801</v>
      </c>
      <c r="E1553" s="8">
        <v>1</v>
      </c>
      <c r="F1553" s="7" t="s">
        <v>61</v>
      </c>
      <c r="G1553" s="7"/>
      <c r="H1553" s="9"/>
      <c r="I1553" s="9"/>
      <c r="J1553" s="9"/>
      <c r="K1553" s="9"/>
      <c r="L1553" s="10">
        <v>14904</v>
      </c>
      <c r="M1553" s="9"/>
      <c r="N1553" s="10">
        <v>14904</v>
      </c>
      <c r="O1553" s="9"/>
      <c r="P1553" s="10"/>
      <c r="Q1553" s="10"/>
      <c r="R1553" s="10"/>
      <c r="S1553" s="7" t="s">
        <v>407</v>
      </c>
      <c r="T1553" s="7" t="s">
        <v>3776</v>
      </c>
      <c r="U1553" s="7" t="s">
        <v>44</v>
      </c>
      <c r="V1553" s="7" t="s">
        <v>45</v>
      </c>
      <c r="W1553" s="7" t="s">
        <v>171</v>
      </c>
      <c r="X1553" s="7" t="s">
        <v>194</v>
      </c>
      <c r="Y1553" s="7" t="s">
        <v>3802</v>
      </c>
      <c r="Z1553" s="7" t="s">
        <v>3793</v>
      </c>
      <c r="AA1553" s="7"/>
      <c r="AB1553" s="7"/>
      <c r="AC1553" s="7" t="s">
        <v>191</v>
      </c>
      <c r="AD1553" s="7"/>
      <c r="AE1553" s="7" t="s">
        <v>3803</v>
      </c>
      <c r="AF1553" s="7" t="s">
        <v>50</v>
      </c>
      <c r="AG1553" s="7" t="s">
        <v>175</v>
      </c>
      <c r="AH1553" s="7" t="s">
        <v>197</v>
      </c>
    </row>
    <row r="1554" spans="1:34" ht="9.75" customHeight="1" x14ac:dyDescent="0.2">
      <c r="A1554" s="7" t="s">
        <v>37</v>
      </c>
      <c r="B1554" s="7" t="s">
        <v>38</v>
      </c>
      <c r="C1554" s="7"/>
      <c r="D1554" s="7" t="s">
        <v>3804</v>
      </c>
      <c r="E1554" s="8">
        <v>1</v>
      </c>
      <c r="F1554" s="7" t="s">
        <v>61</v>
      </c>
      <c r="G1554" s="7"/>
      <c r="H1554" s="9"/>
      <c r="I1554" s="9"/>
      <c r="J1554" s="9"/>
      <c r="K1554" s="9"/>
      <c r="L1554" s="10">
        <v>16643</v>
      </c>
      <c r="M1554" s="9"/>
      <c r="N1554" s="10">
        <v>16643</v>
      </c>
      <c r="O1554" s="9"/>
      <c r="P1554" s="10"/>
      <c r="Q1554" s="10"/>
      <c r="R1554" s="10"/>
      <c r="S1554" s="7" t="s">
        <v>407</v>
      </c>
      <c r="T1554" s="7" t="s">
        <v>3776</v>
      </c>
      <c r="U1554" s="7" t="s">
        <v>44</v>
      </c>
      <c r="V1554" s="7" t="s">
        <v>45</v>
      </c>
      <c r="W1554" s="7" t="s">
        <v>171</v>
      </c>
      <c r="X1554" s="7" t="s">
        <v>194</v>
      </c>
      <c r="Y1554" s="7" t="s">
        <v>3805</v>
      </c>
      <c r="Z1554" s="7" t="s">
        <v>3793</v>
      </c>
      <c r="AA1554" s="7"/>
      <c r="AB1554" s="7"/>
      <c r="AC1554" s="7" t="s">
        <v>191</v>
      </c>
      <c r="AD1554" s="7"/>
      <c r="AE1554" s="7" t="s">
        <v>3806</v>
      </c>
      <c r="AF1554" s="7" t="s">
        <v>50</v>
      </c>
      <c r="AG1554" s="7" t="s">
        <v>175</v>
      </c>
      <c r="AH1554" s="7" t="s">
        <v>197</v>
      </c>
    </row>
    <row r="1555" spans="1:34" ht="9.75" customHeight="1" x14ac:dyDescent="0.2">
      <c r="A1555" s="7" t="s">
        <v>37</v>
      </c>
      <c r="B1555" s="7" t="s">
        <v>38</v>
      </c>
      <c r="C1555" s="7"/>
      <c r="D1555" s="7" t="s">
        <v>3807</v>
      </c>
      <c r="E1555" s="8">
        <v>1</v>
      </c>
      <c r="F1555" s="7" t="s">
        <v>61</v>
      </c>
      <c r="G1555" s="7"/>
      <c r="H1555" s="9"/>
      <c r="I1555" s="9"/>
      <c r="J1555" s="9"/>
      <c r="K1555" s="9"/>
      <c r="L1555" s="10">
        <v>6885</v>
      </c>
      <c r="M1555" s="9"/>
      <c r="N1555" s="10">
        <v>6885</v>
      </c>
      <c r="O1555" s="9"/>
      <c r="P1555" s="10"/>
      <c r="Q1555" s="10"/>
      <c r="R1555" s="10"/>
      <c r="S1555" s="7" t="s">
        <v>407</v>
      </c>
      <c r="T1555" s="7" t="s">
        <v>3776</v>
      </c>
      <c r="U1555" s="7" t="s">
        <v>44</v>
      </c>
      <c r="V1555" s="7" t="s">
        <v>45</v>
      </c>
      <c r="W1555" s="7" t="s">
        <v>171</v>
      </c>
      <c r="X1555" s="7" t="s">
        <v>194</v>
      </c>
      <c r="Y1555" s="7" t="s">
        <v>3808</v>
      </c>
      <c r="Z1555" s="7" t="s">
        <v>3793</v>
      </c>
      <c r="AA1555" s="7"/>
      <c r="AB1555" s="7"/>
      <c r="AC1555" s="7" t="s">
        <v>191</v>
      </c>
      <c r="AD1555" s="7"/>
      <c r="AE1555" s="7" t="s">
        <v>3809</v>
      </c>
      <c r="AF1555" s="7" t="s">
        <v>50</v>
      </c>
      <c r="AG1555" s="7" t="s">
        <v>175</v>
      </c>
      <c r="AH1555" s="7" t="s">
        <v>197</v>
      </c>
    </row>
    <row r="1556" spans="1:34" ht="9.75" customHeight="1" x14ac:dyDescent="0.2">
      <c r="A1556" s="7" t="s">
        <v>37</v>
      </c>
      <c r="B1556" s="7" t="s">
        <v>38</v>
      </c>
      <c r="C1556" s="7"/>
      <c r="D1556" s="7" t="s">
        <v>3810</v>
      </c>
      <c r="E1556" s="8">
        <v>1</v>
      </c>
      <c r="F1556" s="7" t="s">
        <v>61</v>
      </c>
      <c r="G1556" s="7"/>
      <c r="H1556" s="9"/>
      <c r="I1556" s="9"/>
      <c r="J1556" s="9"/>
      <c r="K1556" s="9"/>
      <c r="L1556" s="10">
        <v>6025</v>
      </c>
      <c r="M1556" s="9"/>
      <c r="N1556" s="10">
        <v>6025</v>
      </c>
      <c r="O1556" s="9"/>
      <c r="P1556" s="10"/>
      <c r="Q1556" s="10"/>
      <c r="R1556" s="10"/>
      <c r="S1556" s="7" t="s">
        <v>407</v>
      </c>
      <c r="T1556" s="7" t="s">
        <v>3776</v>
      </c>
      <c r="U1556" s="7" t="s">
        <v>44</v>
      </c>
      <c r="V1556" s="7" t="s">
        <v>45</v>
      </c>
      <c r="W1556" s="7" t="s">
        <v>171</v>
      </c>
      <c r="X1556" s="7" t="s">
        <v>194</v>
      </c>
      <c r="Y1556" s="7" t="s">
        <v>3811</v>
      </c>
      <c r="Z1556" s="7" t="s">
        <v>3793</v>
      </c>
      <c r="AA1556" s="7"/>
      <c r="AB1556" s="7"/>
      <c r="AC1556" s="7" t="s">
        <v>191</v>
      </c>
      <c r="AD1556" s="7"/>
      <c r="AE1556" s="7" t="s">
        <v>3812</v>
      </c>
      <c r="AF1556" s="7" t="s">
        <v>50</v>
      </c>
      <c r="AG1556" s="7" t="s">
        <v>175</v>
      </c>
      <c r="AH1556" s="7" t="s">
        <v>197</v>
      </c>
    </row>
    <row r="1557" spans="1:34" ht="9.75" customHeight="1" x14ac:dyDescent="0.2">
      <c r="A1557" s="7" t="s">
        <v>37</v>
      </c>
      <c r="B1557" s="7" t="s">
        <v>38</v>
      </c>
      <c r="C1557" s="7"/>
      <c r="D1557" s="7" t="s">
        <v>3813</v>
      </c>
      <c r="E1557" s="8">
        <v>1</v>
      </c>
      <c r="F1557" s="7" t="s">
        <v>61</v>
      </c>
      <c r="G1557" s="7"/>
      <c r="H1557" s="9"/>
      <c r="I1557" s="9"/>
      <c r="J1557" s="9"/>
      <c r="K1557" s="9"/>
      <c r="L1557" s="10">
        <v>7802</v>
      </c>
      <c r="M1557" s="9"/>
      <c r="N1557" s="10">
        <v>7802</v>
      </c>
      <c r="O1557" s="9"/>
      <c r="P1557" s="10"/>
      <c r="Q1557" s="10"/>
      <c r="R1557" s="10"/>
      <c r="S1557" s="7" t="s">
        <v>407</v>
      </c>
      <c r="T1557" s="7" t="s">
        <v>3776</v>
      </c>
      <c r="U1557" s="7" t="s">
        <v>44</v>
      </c>
      <c r="V1557" s="7" t="s">
        <v>45</v>
      </c>
      <c r="W1557" s="7" t="s">
        <v>171</v>
      </c>
      <c r="X1557" s="7" t="s">
        <v>194</v>
      </c>
      <c r="Y1557" s="7" t="s">
        <v>3814</v>
      </c>
      <c r="Z1557" s="7" t="s">
        <v>3793</v>
      </c>
      <c r="AA1557" s="7"/>
      <c r="AB1557" s="7"/>
      <c r="AC1557" s="7" t="s">
        <v>191</v>
      </c>
      <c r="AD1557" s="7"/>
      <c r="AE1557" s="7" t="s">
        <v>3815</v>
      </c>
      <c r="AF1557" s="7" t="s">
        <v>50</v>
      </c>
      <c r="AG1557" s="7" t="s">
        <v>175</v>
      </c>
      <c r="AH1557" s="7" t="s">
        <v>197</v>
      </c>
    </row>
    <row r="1558" spans="1:34" ht="9.75" customHeight="1" x14ac:dyDescent="0.2">
      <c r="A1558" s="7" t="s">
        <v>37</v>
      </c>
      <c r="B1558" s="7" t="s">
        <v>38</v>
      </c>
      <c r="C1558" s="7"/>
      <c r="D1558" s="7" t="s">
        <v>3816</v>
      </c>
      <c r="E1558" s="8">
        <v>1</v>
      </c>
      <c r="F1558" s="7" t="s">
        <v>61</v>
      </c>
      <c r="G1558" s="7"/>
      <c r="H1558" s="9"/>
      <c r="I1558" s="9"/>
      <c r="J1558" s="9"/>
      <c r="K1558" s="9"/>
      <c r="L1558" s="10">
        <v>5516</v>
      </c>
      <c r="M1558" s="9"/>
      <c r="N1558" s="10">
        <v>5516</v>
      </c>
      <c r="O1558" s="9"/>
      <c r="P1558" s="10"/>
      <c r="Q1558" s="10"/>
      <c r="R1558" s="10"/>
      <c r="S1558" s="7" t="s">
        <v>407</v>
      </c>
      <c r="T1558" s="7" t="s">
        <v>3776</v>
      </c>
      <c r="U1558" s="7" t="s">
        <v>44</v>
      </c>
      <c r="V1558" s="7" t="s">
        <v>45</v>
      </c>
      <c r="W1558" s="7" t="s">
        <v>171</v>
      </c>
      <c r="X1558" s="7" t="s">
        <v>194</v>
      </c>
      <c r="Y1558" s="7" t="s">
        <v>3817</v>
      </c>
      <c r="Z1558" s="7" t="s">
        <v>3793</v>
      </c>
      <c r="AA1558" s="7"/>
      <c r="AB1558" s="7"/>
      <c r="AC1558" s="7" t="s">
        <v>191</v>
      </c>
      <c r="AD1558" s="7"/>
      <c r="AE1558" s="7" t="s">
        <v>3818</v>
      </c>
      <c r="AF1558" s="7" t="s">
        <v>50</v>
      </c>
      <c r="AG1558" s="7" t="s">
        <v>175</v>
      </c>
      <c r="AH1558" s="7" t="s">
        <v>197</v>
      </c>
    </row>
    <row r="1559" spans="1:34" ht="9.75" customHeight="1" x14ac:dyDescent="0.2">
      <c r="A1559" s="7" t="s">
        <v>37</v>
      </c>
      <c r="B1559" s="7" t="s">
        <v>38</v>
      </c>
      <c r="C1559" s="7"/>
      <c r="D1559" s="7" t="s">
        <v>3819</v>
      </c>
      <c r="E1559" s="8">
        <v>1</v>
      </c>
      <c r="F1559" s="7" t="s">
        <v>61</v>
      </c>
      <c r="G1559" s="7"/>
      <c r="H1559" s="9"/>
      <c r="I1559" s="9"/>
      <c r="J1559" s="9"/>
      <c r="K1559" s="9"/>
      <c r="L1559" s="10">
        <v>5333</v>
      </c>
      <c r="M1559" s="9"/>
      <c r="N1559" s="10">
        <v>5333</v>
      </c>
      <c r="O1559" s="9"/>
      <c r="P1559" s="10"/>
      <c r="Q1559" s="10"/>
      <c r="R1559" s="10"/>
      <c r="S1559" s="7" t="s">
        <v>407</v>
      </c>
      <c r="T1559" s="7" t="s">
        <v>3776</v>
      </c>
      <c r="U1559" s="7" t="s">
        <v>44</v>
      </c>
      <c r="V1559" s="7" t="s">
        <v>45</v>
      </c>
      <c r="W1559" s="7" t="s">
        <v>171</v>
      </c>
      <c r="X1559" s="7" t="s">
        <v>194</v>
      </c>
      <c r="Y1559" s="7" t="s">
        <v>3820</v>
      </c>
      <c r="Z1559" s="7" t="s">
        <v>3793</v>
      </c>
      <c r="AA1559" s="7"/>
      <c r="AB1559" s="7"/>
      <c r="AC1559" s="7" t="s">
        <v>191</v>
      </c>
      <c r="AD1559" s="7"/>
      <c r="AE1559" s="7" t="s">
        <v>3821</v>
      </c>
      <c r="AF1559" s="7" t="s">
        <v>50</v>
      </c>
      <c r="AG1559" s="7" t="s">
        <v>175</v>
      </c>
      <c r="AH1559" s="7" t="s">
        <v>197</v>
      </c>
    </row>
    <row r="1560" spans="1:34" ht="9.75" customHeight="1" x14ac:dyDescent="0.2">
      <c r="A1560" s="7" t="s">
        <v>37</v>
      </c>
      <c r="B1560" s="7" t="s">
        <v>38</v>
      </c>
      <c r="C1560" s="7"/>
      <c r="D1560" s="7" t="s">
        <v>3822</v>
      </c>
      <c r="E1560" s="8">
        <v>1</v>
      </c>
      <c r="F1560" s="7" t="s">
        <v>61</v>
      </c>
      <c r="G1560" s="7"/>
      <c r="H1560" s="9"/>
      <c r="I1560" s="9"/>
      <c r="J1560" s="9"/>
      <c r="K1560" s="9"/>
      <c r="L1560" s="10">
        <v>6273</v>
      </c>
      <c r="M1560" s="9"/>
      <c r="N1560" s="10">
        <v>6273</v>
      </c>
      <c r="O1560" s="9"/>
      <c r="P1560" s="10"/>
      <c r="Q1560" s="10"/>
      <c r="R1560" s="10"/>
      <c r="S1560" s="7" t="s">
        <v>407</v>
      </c>
      <c r="T1560" s="7" t="s">
        <v>3776</v>
      </c>
      <c r="U1560" s="7" t="s">
        <v>44</v>
      </c>
      <c r="V1560" s="7" t="s">
        <v>45</v>
      </c>
      <c r="W1560" s="7" t="s">
        <v>171</v>
      </c>
      <c r="X1560" s="7" t="s">
        <v>194</v>
      </c>
      <c r="Y1560" s="7" t="s">
        <v>3823</v>
      </c>
      <c r="Z1560" s="7" t="s">
        <v>3793</v>
      </c>
      <c r="AA1560" s="7"/>
      <c r="AB1560" s="7"/>
      <c r="AC1560" s="7" t="s">
        <v>191</v>
      </c>
      <c r="AD1560" s="7"/>
      <c r="AE1560" s="7" t="s">
        <v>3824</v>
      </c>
      <c r="AF1560" s="7" t="s">
        <v>50</v>
      </c>
      <c r="AG1560" s="7" t="s">
        <v>175</v>
      </c>
      <c r="AH1560" s="7" t="s">
        <v>197</v>
      </c>
    </row>
    <row r="1561" spans="1:34" ht="9.75" customHeight="1" x14ac:dyDescent="0.2">
      <c r="A1561" s="7" t="s">
        <v>37</v>
      </c>
      <c r="B1561" s="7" t="s">
        <v>38</v>
      </c>
      <c r="C1561" s="7"/>
      <c r="D1561" s="7" t="s">
        <v>3825</v>
      </c>
      <c r="E1561" s="8">
        <v>1</v>
      </c>
      <c r="F1561" s="7" t="s">
        <v>61</v>
      </c>
      <c r="G1561" s="7"/>
      <c r="H1561" s="9"/>
      <c r="I1561" s="9"/>
      <c r="J1561" s="9"/>
      <c r="K1561" s="9"/>
      <c r="L1561" s="10">
        <v>4617</v>
      </c>
      <c r="M1561" s="9"/>
      <c r="N1561" s="10">
        <v>4617</v>
      </c>
      <c r="O1561" s="9"/>
      <c r="P1561" s="10"/>
      <c r="Q1561" s="10"/>
      <c r="R1561" s="10"/>
      <c r="S1561" s="7" t="s">
        <v>407</v>
      </c>
      <c r="T1561" s="7" t="s">
        <v>3776</v>
      </c>
      <c r="U1561" s="7" t="s">
        <v>44</v>
      </c>
      <c r="V1561" s="7" t="s">
        <v>45</v>
      </c>
      <c r="W1561" s="7" t="s">
        <v>171</v>
      </c>
      <c r="X1561" s="7" t="s">
        <v>194</v>
      </c>
      <c r="Y1561" s="7" t="s">
        <v>3826</v>
      </c>
      <c r="Z1561" s="7" t="s">
        <v>3793</v>
      </c>
      <c r="AA1561" s="7"/>
      <c r="AB1561" s="7"/>
      <c r="AC1561" s="7" t="s">
        <v>191</v>
      </c>
      <c r="AD1561" s="7"/>
      <c r="AE1561" s="7" t="s">
        <v>3827</v>
      </c>
      <c r="AF1561" s="7" t="s">
        <v>50</v>
      </c>
      <c r="AG1561" s="7" t="s">
        <v>175</v>
      </c>
      <c r="AH1561" s="7" t="s">
        <v>197</v>
      </c>
    </row>
    <row r="1562" spans="1:34" ht="9.75" customHeight="1" x14ac:dyDescent="0.2">
      <c r="A1562" s="7" t="s">
        <v>37</v>
      </c>
      <c r="B1562" s="7" t="s">
        <v>38</v>
      </c>
      <c r="C1562" s="7"/>
      <c r="D1562" s="7" t="s">
        <v>3828</v>
      </c>
      <c r="E1562" s="8">
        <v>1</v>
      </c>
      <c r="F1562" s="7" t="s">
        <v>61</v>
      </c>
      <c r="G1562" s="7"/>
      <c r="H1562" s="9"/>
      <c r="I1562" s="9"/>
      <c r="J1562" s="9"/>
      <c r="K1562" s="9"/>
      <c r="L1562" s="10">
        <v>7380</v>
      </c>
      <c r="M1562" s="9"/>
      <c r="N1562" s="10">
        <v>7380</v>
      </c>
      <c r="O1562" s="9"/>
      <c r="P1562" s="10"/>
      <c r="Q1562" s="10"/>
      <c r="R1562" s="10"/>
      <c r="S1562" s="7" t="s">
        <v>407</v>
      </c>
      <c r="T1562" s="7" t="s">
        <v>3776</v>
      </c>
      <c r="U1562" s="7" t="s">
        <v>44</v>
      </c>
      <c r="V1562" s="7" t="s">
        <v>45</v>
      </c>
      <c r="W1562" s="7" t="s">
        <v>171</v>
      </c>
      <c r="X1562" s="7" t="s">
        <v>194</v>
      </c>
      <c r="Y1562" s="7" t="s">
        <v>3829</v>
      </c>
      <c r="Z1562" s="7" t="s">
        <v>3793</v>
      </c>
      <c r="AA1562" s="7"/>
      <c r="AB1562" s="7"/>
      <c r="AC1562" s="7" t="s">
        <v>191</v>
      </c>
      <c r="AD1562" s="7"/>
      <c r="AE1562" s="7" t="s">
        <v>3830</v>
      </c>
      <c r="AF1562" s="7" t="s">
        <v>50</v>
      </c>
      <c r="AG1562" s="7" t="s">
        <v>175</v>
      </c>
      <c r="AH1562" s="7" t="s">
        <v>197</v>
      </c>
    </row>
    <row r="1563" spans="1:34" ht="9.75" customHeight="1" x14ac:dyDescent="0.2">
      <c r="A1563" s="7" t="s">
        <v>37</v>
      </c>
      <c r="B1563" s="7" t="s">
        <v>38</v>
      </c>
      <c r="C1563" s="7"/>
      <c r="D1563" s="7" t="s">
        <v>3831</v>
      </c>
      <c r="E1563" s="8">
        <v>1</v>
      </c>
      <c r="F1563" s="7" t="s">
        <v>61</v>
      </c>
      <c r="G1563" s="7"/>
      <c r="H1563" s="9"/>
      <c r="I1563" s="9"/>
      <c r="J1563" s="9"/>
      <c r="K1563" s="9"/>
      <c r="L1563" s="10">
        <v>6851</v>
      </c>
      <c r="M1563" s="9"/>
      <c r="N1563" s="10">
        <v>6851</v>
      </c>
      <c r="O1563" s="9"/>
      <c r="P1563" s="10"/>
      <c r="Q1563" s="10"/>
      <c r="R1563" s="10"/>
      <c r="S1563" s="7" t="s">
        <v>407</v>
      </c>
      <c r="T1563" s="7" t="s">
        <v>3776</v>
      </c>
      <c r="U1563" s="7" t="s">
        <v>44</v>
      </c>
      <c r="V1563" s="7" t="s">
        <v>45</v>
      </c>
      <c r="W1563" s="7" t="s">
        <v>171</v>
      </c>
      <c r="X1563" s="7" t="s">
        <v>194</v>
      </c>
      <c r="Y1563" s="7" t="s">
        <v>3832</v>
      </c>
      <c r="Z1563" s="7" t="s">
        <v>3793</v>
      </c>
      <c r="AA1563" s="7"/>
      <c r="AB1563" s="7"/>
      <c r="AC1563" s="7" t="s">
        <v>191</v>
      </c>
      <c r="AD1563" s="7"/>
      <c r="AE1563" s="7" t="s">
        <v>3833</v>
      </c>
      <c r="AF1563" s="7" t="s">
        <v>50</v>
      </c>
      <c r="AG1563" s="7" t="s">
        <v>175</v>
      </c>
      <c r="AH1563" s="7" t="s">
        <v>197</v>
      </c>
    </row>
    <row r="1564" spans="1:34" ht="9.75" customHeight="1" x14ac:dyDescent="0.2">
      <c r="A1564" s="7" t="s">
        <v>37</v>
      </c>
      <c r="B1564" s="7" t="s">
        <v>38</v>
      </c>
      <c r="C1564" s="7"/>
      <c r="D1564" s="7" t="s">
        <v>3834</v>
      </c>
      <c r="E1564" s="8">
        <v>1</v>
      </c>
      <c r="F1564" s="7" t="s">
        <v>61</v>
      </c>
      <c r="G1564" s="7"/>
      <c r="H1564" s="9"/>
      <c r="I1564" s="9"/>
      <c r="J1564" s="9"/>
      <c r="K1564" s="9"/>
      <c r="L1564" s="10">
        <v>5993</v>
      </c>
      <c r="M1564" s="9"/>
      <c r="N1564" s="10">
        <v>5993</v>
      </c>
      <c r="O1564" s="9"/>
      <c r="P1564" s="10"/>
      <c r="Q1564" s="10"/>
      <c r="R1564" s="10"/>
      <c r="S1564" s="7" t="s">
        <v>407</v>
      </c>
      <c r="T1564" s="7" t="s">
        <v>3776</v>
      </c>
      <c r="U1564" s="7" t="s">
        <v>44</v>
      </c>
      <c r="V1564" s="7" t="s">
        <v>45</v>
      </c>
      <c r="W1564" s="7" t="s">
        <v>171</v>
      </c>
      <c r="X1564" s="7" t="s">
        <v>194</v>
      </c>
      <c r="Y1564" s="7" t="s">
        <v>3835</v>
      </c>
      <c r="Z1564" s="7" t="s">
        <v>3793</v>
      </c>
      <c r="AA1564" s="7"/>
      <c r="AB1564" s="7"/>
      <c r="AC1564" s="7" t="s">
        <v>191</v>
      </c>
      <c r="AD1564" s="7"/>
      <c r="AE1564" s="7" t="s">
        <v>3836</v>
      </c>
      <c r="AF1564" s="7" t="s">
        <v>50</v>
      </c>
      <c r="AG1564" s="7" t="s">
        <v>175</v>
      </c>
      <c r="AH1564" s="7" t="s">
        <v>197</v>
      </c>
    </row>
    <row r="1565" spans="1:34" ht="9.75" customHeight="1" x14ac:dyDescent="0.2">
      <c r="A1565" s="7" t="s">
        <v>37</v>
      </c>
      <c r="B1565" s="7" t="s">
        <v>38</v>
      </c>
      <c r="C1565" s="7"/>
      <c r="D1565" s="7" t="s">
        <v>3837</v>
      </c>
      <c r="E1565" s="8">
        <v>1</v>
      </c>
      <c r="F1565" s="7" t="s">
        <v>61</v>
      </c>
      <c r="G1565" s="7"/>
      <c r="H1565" s="9"/>
      <c r="I1565" s="9"/>
      <c r="J1565" s="9"/>
      <c r="K1565" s="9"/>
      <c r="L1565" s="10">
        <v>1103</v>
      </c>
      <c r="M1565" s="9"/>
      <c r="N1565" s="10">
        <v>1103</v>
      </c>
      <c r="O1565" s="9"/>
      <c r="P1565" s="10"/>
      <c r="Q1565" s="10"/>
      <c r="R1565" s="10"/>
      <c r="S1565" s="7" t="s">
        <v>407</v>
      </c>
      <c r="T1565" s="7" t="s">
        <v>3776</v>
      </c>
      <c r="U1565" s="7" t="s">
        <v>44</v>
      </c>
      <c r="V1565" s="7" t="s">
        <v>45</v>
      </c>
      <c r="W1565" s="7" t="s">
        <v>171</v>
      </c>
      <c r="X1565" s="7" t="s">
        <v>194</v>
      </c>
      <c r="Y1565" s="7" t="s">
        <v>3838</v>
      </c>
      <c r="Z1565" s="7" t="s">
        <v>3793</v>
      </c>
      <c r="AA1565" s="7"/>
      <c r="AB1565" s="7"/>
      <c r="AC1565" s="7" t="s">
        <v>191</v>
      </c>
      <c r="AD1565" s="7"/>
      <c r="AE1565" s="7" t="s">
        <v>3839</v>
      </c>
      <c r="AF1565" s="7" t="s">
        <v>50</v>
      </c>
      <c r="AG1565" s="7" t="s">
        <v>175</v>
      </c>
      <c r="AH1565" s="7" t="s">
        <v>197</v>
      </c>
    </row>
    <row r="1566" spans="1:34" ht="9.75" customHeight="1" x14ac:dyDescent="0.2">
      <c r="A1566" s="7" t="s">
        <v>37</v>
      </c>
      <c r="B1566" s="7" t="s">
        <v>38</v>
      </c>
      <c r="C1566" s="7"/>
      <c r="D1566" s="7" t="s">
        <v>3840</v>
      </c>
      <c r="E1566" s="8">
        <v>1</v>
      </c>
      <c r="F1566" s="7" t="s">
        <v>61</v>
      </c>
      <c r="G1566" s="7"/>
      <c r="H1566" s="9"/>
      <c r="I1566" s="9"/>
      <c r="J1566" s="9"/>
      <c r="K1566" s="9"/>
      <c r="L1566" s="10">
        <v>2656</v>
      </c>
      <c r="M1566" s="9"/>
      <c r="N1566" s="10">
        <v>2656</v>
      </c>
      <c r="O1566" s="9"/>
      <c r="P1566" s="10"/>
      <c r="Q1566" s="10"/>
      <c r="R1566" s="10"/>
      <c r="S1566" s="7" t="s">
        <v>407</v>
      </c>
      <c r="T1566" s="7" t="s">
        <v>3776</v>
      </c>
      <c r="U1566" s="7" t="s">
        <v>44</v>
      </c>
      <c r="V1566" s="7" t="s">
        <v>45</v>
      </c>
      <c r="W1566" s="7" t="s">
        <v>171</v>
      </c>
      <c r="X1566" s="7" t="s">
        <v>194</v>
      </c>
      <c r="Y1566" s="7" t="s">
        <v>3841</v>
      </c>
      <c r="Z1566" s="7" t="s">
        <v>3793</v>
      </c>
      <c r="AA1566" s="7"/>
      <c r="AB1566" s="7"/>
      <c r="AC1566" s="7" t="s">
        <v>191</v>
      </c>
      <c r="AD1566" s="7"/>
      <c r="AE1566" s="7" t="s">
        <v>3842</v>
      </c>
      <c r="AF1566" s="7" t="s">
        <v>50</v>
      </c>
      <c r="AG1566" s="7" t="s">
        <v>175</v>
      </c>
      <c r="AH1566" s="7" t="s">
        <v>197</v>
      </c>
    </row>
    <row r="1567" spans="1:34" ht="9.75" customHeight="1" x14ac:dyDescent="0.2">
      <c r="A1567" s="7" t="s">
        <v>37</v>
      </c>
      <c r="B1567" s="7" t="s">
        <v>38</v>
      </c>
      <c r="C1567" s="7"/>
      <c r="D1567" s="7" t="s">
        <v>3843</v>
      </c>
      <c r="E1567" s="8">
        <v>1</v>
      </c>
      <c r="F1567" s="7" t="s">
        <v>61</v>
      </c>
      <c r="G1567" s="7"/>
      <c r="H1567" s="9"/>
      <c r="I1567" s="9"/>
      <c r="J1567" s="9"/>
      <c r="K1567" s="9"/>
      <c r="L1567" s="10">
        <v>2106</v>
      </c>
      <c r="M1567" s="9"/>
      <c r="N1567" s="10">
        <v>2106</v>
      </c>
      <c r="O1567" s="9"/>
      <c r="P1567" s="10"/>
      <c r="Q1567" s="10"/>
      <c r="R1567" s="10"/>
      <c r="S1567" s="7" t="s">
        <v>407</v>
      </c>
      <c r="T1567" s="7" t="s">
        <v>3776</v>
      </c>
      <c r="U1567" s="7" t="s">
        <v>44</v>
      </c>
      <c r="V1567" s="7" t="s">
        <v>45</v>
      </c>
      <c r="W1567" s="7" t="s">
        <v>171</v>
      </c>
      <c r="X1567" s="7" t="s">
        <v>194</v>
      </c>
      <c r="Y1567" s="7" t="s">
        <v>3844</v>
      </c>
      <c r="Z1567" s="7" t="s">
        <v>3793</v>
      </c>
      <c r="AA1567" s="7"/>
      <c r="AB1567" s="7"/>
      <c r="AC1567" s="7" t="s">
        <v>191</v>
      </c>
      <c r="AD1567" s="7"/>
      <c r="AE1567" s="7" t="s">
        <v>3845</v>
      </c>
      <c r="AF1567" s="7" t="s">
        <v>50</v>
      </c>
      <c r="AG1567" s="7" t="s">
        <v>175</v>
      </c>
      <c r="AH1567" s="7" t="s">
        <v>197</v>
      </c>
    </row>
    <row r="1568" spans="1:34" ht="9.75" customHeight="1" x14ac:dyDescent="0.2">
      <c r="A1568" s="7" t="s">
        <v>37</v>
      </c>
      <c r="B1568" s="7" t="s">
        <v>38</v>
      </c>
      <c r="C1568" s="7"/>
      <c r="D1568" s="7" t="s">
        <v>3846</v>
      </c>
      <c r="E1568" s="8">
        <v>1</v>
      </c>
      <c r="F1568" s="7" t="s">
        <v>61</v>
      </c>
      <c r="G1568" s="7"/>
      <c r="H1568" s="9"/>
      <c r="I1568" s="9"/>
      <c r="J1568" s="9"/>
      <c r="K1568" s="9"/>
      <c r="L1568" s="10">
        <v>1448</v>
      </c>
      <c r="M1568" s="9"/>
      <c r="N1568" s="10">
        <v>1448</v>
      </c>
      <c r="O1568" s="9"/>
      <c r="P1568" s="10"/>
      <c r="Q1568" s="10"/>
      <c r="R1568" s="10"/>
      <c r="S1568" s="7" t="s">
        <v>407</v>
      </c>
      <c r="T1568" s="7" t="s">
        <v>3776</v>
      </c>
      <c r="U1568" s="7" t="s">
        <v>44</v>
      </c>
      <c r="V1568" s="7" t="s">
        <v>45</v>
      </c>
      <c r="W1568" s="7" t="s">
        <v>171</v>
      </c>
      <c r="X1568" s="7" t="s">
        <v>194</v>
      </c>
      <c r="Y1568" s="7" t="s">
        <v>3847</v>
      </c>
      <c r="Z1568" s="7" t="s">
        <v>3793</v>
      </c>
      <c r="AA1568" s="7"/>
      <c r="AB1568" s="7"/>
      <c r="AC1568" s="7" t="s">
        <v>191</v>
      </c>
      <c r="AD1568" s="7"/>
      <c r="AE1568" s="7" t="s">
        <v>3588</v>
      </c>
      <c r="AF1568" s="7" t="s">
        <v>50</v>
      </c>
      <c r="AG1568" s="7" t="s">
        <v>175</v>
      </c>
      <c r="AH1568" s="7" t="s">
        <v>197</v>
      </c>
    </row>
    <row r="1569" spans="1:34" ht="9.75" customHeight="1" x14ac:dyDescent="0.2">
      <c r="A1569" s="7" t="s">
        <v>37</v>
      </c>
      <c r="B1569" s="7" t="s">
        <v>38</v>
      </c>
      <c r="C1569" s="7"/>
      <c r="D1569" s="7" t="s">
        <v>3848</v>
      </c>
      <c r="E1569" s="8">
        <v>1</v>
      </c>
      <c r="F1569" s="7" t="s">
        <v>61</v>
      </c>
      <c r="G1569" s="7"/>
      <c r="H1569" s="9"/>
      <c r="I1569" s="9"/>
      <c r="J1569" s="9"/>
      <c r="K1569" s="9"/>
      <c r="L1569" s="10">
        <v>623</v>
      </c>
      <c r="M1569" s="9"/>
      <c r="N1569" s="10">
        <v>623</v>
      </c>
      <c r="O1569" s="9"/>
      <c r="P1569" s="10"/>
      <c r="Q1569" s="10"/>
      <c r="R1569" s="10"/>
      <c r="S1569" s="7" t="s">
        <v>407</v>
      </c>
      <c r="T1569" s="7" t="s">
        <v>3776</v>
      </c>
      <c r="U1569" s="7" t="s">
        <v>44</v>
      </c>
      <c r="V1569" s="7" t="s">
        <v>45</v>
      </c>
      <c r="W1569" s="7" t="s">
        <v>171</v>
      </c>
      <c r="X1569" s="7" t="s">
        <v>194</v>
      </c>
      <c r="Y1569" s="7" t="s">
        <v>3849</v>
      </c>
      <c r="Z1569" s="7" t="s">
        <v>3793</v>
      </c>
      <c r="AA1569" s="7"/>
      <c r="AB1569" s="7"/>
      <c r="AC1569" s="7" t="s">
        <v>191</v>
      </c>
      <c r="AD1569" s="7"/>
      <c r="AE1569" s="7" t="s">
        <v>3850</v>
      </c>
      <c r="AF1569" s="7" t="s">
        <v>50</v>
      </c>
      <c r="AG1569" s="7" t="s">
        <v>175</v>
      </c>
      <c r="AH1569" s="7" t="s">
        <v>197</v>
      </c>
    </row>
    <row r="1570" spans="1:34" ht="9.75" customHeight="1" x14ac:dyDescent="0.2">
      <c r="A1570" s="7" t="s">
        <v>37</v>
      </c>
      <c r="B1570" s="7" t="s">
        <v>38</v>
      </c>
      <c r="C1570" s="7"/>
      <c r="D1570" s="7" t="s">
        <v>3851</v>
      </c>
      <c r="E1570" s="8">
        <v>1</v>
      </c>
      <c r="F1570" s="7" t="s">
        <v>61</v>
      </c>
      <c r="G1570" s="7"/>
      <c r="H1570" s="9"/>
      <c r="I1570" s="9"/>
      <c r="J1570" s="9"/>
      <c r="K1570" s="9"/>
      <c r="L1570" s="10">
        <v>1264</v>
      </c>
      <c r="M1570" s="9"/>
      <c r="N1570" s="10">
        <v>1264</v>
      </c>
      <c r="O1570" s="9"/>
      <c r="P1570" s="10"/>
      <c r="Q1570" s="10"/>
      <c r="R1570" s="10"/>
      <c r="S1570" s="7" t="s">
        <v>407</v>
      </c>
      <c r="T1570" s="7" t="s">
        <v>3776</v>
      </c>
      <c r="U1570" s="7" t="s">
        <v>44</v>
      </c>
      <c r="V1570" s="7" t="s">
        <v>45</v>
      </c>
      <c r="W1570" s="7" t="s">
        <v>171</v>
      </c>
      <c r="X1570" s="7" t="s">
        <v>194</v>
      </c>
      <c r="Y1570" s="7" t="s">
        <v>3852</v>
      </c>
      <c r="Z1570" s="7" t="s">
        <v>3793</v>
      </c>
      <c r="AA1570" s="7"/>
      <c r="AB1570" s="7"/>
      <c r="AC1570" s="7" t="s">
        <v>191</v>
      </c>
      <c r="AD1570" s="7"/>
      <c r="AE1570" s="7" t="s">
        <v>3853</v>
      </c>
      <c r="AF1570" s="7" t="s">
        <v>50</v>
      </c>
      <c r="AG1570" s="7" t="s">
        <v>175</v>
      </c>
      <c r="AH1570" s="7" t="s">
        <v>197</v>
      </c>
    </row>
    <row r="1571" spans="1:34" ht="9.75" customHeight="1" x14ac:dyDescent="0.2">
      <c r="A1571" s="7" t="s">
        <v>37</v>
      </c>
      <c r="B1571" s="7" t="s">
        <v>38</v>
      </c>
      <c r="C1571" s="7"/>
      <c r="D1571" s="7" t="s">
        <v>3854</v>
      </c>
      <c r="E1571" s="8">
        <v>1</v>
      </c>
      <c r="F1571" s="7" t="s">
        <v>61</v>
      </c>
      <c r="G1571" s="7"/>
      <c r="H1571" s="9"/>
      <c r="I1571" s="9"/>
      <c r="J1571" s="9"/>
      <c r="K1571" s="9"/>
      <c r="L1571" s="10">
        <v>566</v>
      </c>
      <c r="M1571" s="9"/>
      <c r="N1571" s="10">
        <v>566</v>
      </c>
      <c r="O1571" s="9"/>
      <c r="P1571" s="10"/>
      <c r="Q1571" s="10"/>
      <c r="R1571" s="10"/>
      <c r="S1571" s="7" t="s">
        <v>407</v>
      </c>
      <c r="T1571" s="7" t="s">
        <v>3776</v>
      </c>
      <c r="U1571" s="7" t="s">
        <v>44</v>
      </c>
      <c r="V1571" s="7" t="s">
        <v>45</v>
      </c>
      <c r="W1571" s="7" t="s">
        <v>171</v>
      </c>
      <c r="X1571" s="7" t="s">
        <v>194</v>
      </c>
      <c r="Y1571" s="7" t="s">
        <v>3855</v>
      </c>
      <c r="Z1571" s="7" t="s">
        <v>3793</v>
      </c>
      <c r="AA1571" s="7"/>
      <c r="AB1571" s="7"/>
      <c r="AC1571" s="7" t="s">
        <v>191</v>
      </c>
      <c r="AD1571" s="7"/>
      <c r="AE1571" s="7" t="s">
        <v>3856</v>
      </c>
      <c r="AF1571" s="7" t="s">
        <v>50</v>
      </c>
      <c r="AG1571" s="7" t="s">
        <v>175</v>
      </c>
      <c r="AH1571" s="7" t="s">
        <v>197</v>
      </c>
    </row>
    <row r="1572" spans="1:34" ht="9.75" customHeight="1" x14ac:dyDescent="0.2">
      <c r="A1572" s="7" t="s">
        <v>37</v>
      </c>
      <c r="B1572" s="7" t="s">
        <v>38</v>
      </c>
      <c r="C1572" s="7"/>
      <c r="D1572" s="7" t="s">
        <v>3857</v>
      </c>
      <c r="E1572" s="8">
        <v>1</v>
      </c>
      <c r="F1572" s="7" t="s">
        <v>61</v>
      </c>
      <c r="G1572" s="7"/>
      <c r="H1572" s="9"/>
      <c r="I1572" s="9"/>
      <c r="J1572" s="9"/>
      <c r="K1572" s="9"/>
      <c r="L1572" s="10">
        <v>1326</v>
      </c>
      <c r="M1572" s="9"/>
      <c r="N1572" s="10">
        <v>1326</v>
      </c>
      <c r="O1572" s="9"/>
      <c r="P1572" s="10"/>
      <c r="Q1572" s="10"/>
      <c r="R1572" s="10"/>
      <c r="S1572" s="7" t="s">
        <v>407</v>
      </c>
      <c r="T1572" s="7" t="s">
        <v>3776</v>
      </c>
      <c r="U1572" s="7" t="s">
        <v>44</v>
      </c>
      <c r="V1572" s="7" t="s">
        <v>45</v>
      </c>
      <c r="W1572" s="7" t="s">
        <v>171</v>
      </c>
      <c r="X1572" s="7" t="s">
        <v>194</v>
      </c>
      <c r="Y1572" s="7" t="s">
        <v>3858</v>
      </c>
      <c r="Z1572" s="7" t="s">
        <v>3793</v>
      </c>
      <c r="AA1572" s="7"/>
      <c r="AB1572" s="7"/>
      <c r="AC1572" s="7" t="s">
        <v>191</v>
      </c>
      <c r="AD1572" s="7"/>
      <c r="AE1572" s="7" t="s">
        <v>3859</v>
      </c>
      <c r="AF1572" s="7" t="s">
        <v>50</v>
      </c>
      <c r="AG1572" s="7" t="s">
        <v>175</v>
      </c>
      <c r="AH1572" s="7" t="s">
        <v>197</v>
      </c>
    </row>
    <row r="1573" spans="1:34" ht="9.75" customHeight="1" x14ac:dyDescent="0.2">
      <c r="A1573" s="7" t="s">
        <v>37</v>
      </c>
      <c r="B1573" s="7" t="s">
        <v>38</v>
      </c>
      <c r="C1573" s="7"/>
      <c r="D1573" s="7" t="s">
        <v>3860</v>
      </c>
      <c r="E1573" s="8">
        <v>1</v>
      </c>
      <c r="F1573" s="7" t="s">
        <v>61</v>
      </c>
      <c r="G1573" s="7"/>
      <c r="H1573" s="9"/>
      <c r="I1573" s="9"/>
      <c r="J1573" s="9"/>
      <c r="K1573" s="9"/>
      <c r="L1573" s="10">
        <v>1232</v>
      </c>
      <c r="M1573" s="9"/>
      <c r="N1573" s="10">
        <v>1232</v>
      </c>
      <c r="O1573" s="9"/>
      <c r="P1573" s="10"/>
      <c r="Q1573" s="10"/>
      <c r="R1573" s="10"/>
      <c r="S1573" s="7" t="s">
        <v>407</v>
      </c>
      <c r="T1573" s="7" t="s">
        <v>3776</v>
      </c>
      <c r="U1573" s="7" t="s">
        <v>44</v>
      </c>
      <c r="V1573" s="7" t="s">
        <v>45</v>
      </c>
      <c r="W1573" s="7" t="s">
        <v>171</v>
      </c>
      <c r="X1573" s="7" t="s">
        <v>194</v>
      </c>
      <c r="Y1573" s="7" t="s">
        <v>3861</v>
      </c>
      <c r="Z1573" s="7" t="s">
        <v>3793</v>
      </c>
      <c r="AA1573" s="7"/>
      <c r="AB1573" s="7"/>
      <c r="AC1573" s="7" t="s">
        <v>191</v>
      </c>
      <c r="AD1573" s="7"/>
      <c r="AE1573" s="7" t="s">
        <v>3862</v>
      </c>
      <c r="AF1573" s="7" t="s">
        <v>50</v>
      </c>
      <c r="AG1573" s="7" t="s">
        <v>175</v>
      </c>
      <c r="AH1573" s="7" t="s">
        <v>197</v>
      </c>
    </row>
    <row r="1574" spans="1:34" ht="9.75" customHeight="1" x14ac:dyDescent="0.2">
      <c r="A1574" s="7" t="s">
        <v>37</v>
      </c>
      <c r="B1574" s="7" t="s">
        <v>38</v>
      </c>
      <c r="C1574" s="7"/>
      <c r="D1574" s="7" t="s">
        <v>3863</v>
      </c>
      <c r="E1574" s="8">
        <v>1</v>
      </c>
      <c r="F1574" s="7" t="s">
        <v>61</v>
      </c>
      <c r="G1574" s="7"/>
      <c r="H1574" s="9"/>
      <c r="I1574" s="9"/>
      <c r="J1574" s="9"/>
      <c r="K1574" s="9"/>
      <c r="L1574" s="10">
        <v>13237</v>
      </c>
      <c r="M1574" s="9"/>
      <c r="N1574" s="10">
        <v>13237</v>
      </c>
      <c r="O1574" s="9"/>
      <c r="P1574" s="10"/>
      <c r="Q1574" s="10"/>
      <c r="R1574" s="10"/>
      <c r="S1574" s="7" t="s">
        <v>407</v>
      </c>
      <c r="T1574" s="7" t="s">
        <v>3776</v>
      </c>
      <c r="U1574" s="7" t="s">
        <v>44</v>
      </c>
      <c r="V1574" s="7" t="s">
        <v>45</v>
      </c>
      <c r="W1574" s="7" t="s">
        <v>171</v>
      </c>
      <c r="X1574" s="7" t="s">
        <v>194</v>
      </c>
      <c r="Y1574" s="7" t="s">
        <v>3864</v>
      </c>
      <c r="Z1574" s="7" t="s">
        <v>3793</v>
      </c>
      <c r="AA1574" s="7"/>
      <c r="AB1574" s="7"/>
      <c r="AC1574" s="7" t="s">
        <v>191</v>
      </c>
      <c r="AD1574" s="7"/>
      <c r="AE1574" s="7" t="s">
        <v>3603</v>
      </c>
      <c r="AF1574" s="7" t="s">
        <v>50</v>
      </c>
      <c r="AG1574" s="7" t="s">
        <v>175</v>
      </c>
      <c r="AH1574" s="7" t="s">
        <v>197</v>
      </c>
    </row>
    <row r="1575" spans="1:34" ht="9.75" customHeight="1" x14ac:dyDescent="0.2">
      <c r="A1575" s="7" t="s">
        <v>37</v>
      </c>
      <c r="B1575" s="7" t="s">
        <v>38</v>
      </c>
      <c r="C1575" s="7"/>
      <c r="D1575" s="7" t="s">
        <v>3865</v>
      </c>
      <c r="E1575" s="8">
        <v>1</v>
      </c>
      <c r="F1575" s="7" t="s">
        <v>61</v>
      </c>
      <c r="G1575" s="7"/>
      <c r="H1575" s="9"/>
      <c r="I1575" s="9"/>
      <c r="J1575" s="9"/>
      <c r="K1575" s="9"/>
      <c r="L1575" s="10">
        <v>47605</v>
      </c>
      <c r="M1575" s="9"/>
      <c r="N1575" s="10">
        <v>47605</v>
      </c>
      <c r="O1575" s="9"/>
      <c r="P1575" s="10"/>
      <c r="Q1575" s="10"/>
      <c r="R1575" s="10"/>
      <c r="S1575" s="7" t="s">
        <v>407</v>
      </c>
      <c r="T1575" s="7" t="s">
        <v>3776</v>
      </c>
      <c r="U1575" s="7" t="s">
        <v>44</v>
      </c>
      <c r="V1575" s="7" t="s">
        <v>45</v>
      </c>
      <c r="W1575" s="7" t="s">
        <v>171</v>
      </c>
      <c r="X1575" s="7" t="s">
        <v>194</v>
      </c>
      <c r="Y1575" s="7" t="s">
        <v>3866</v>
      </c>
      <c r="Z1575" s="7" t="s">
        <v>3867</v>
      </c>
      <c r="AA1575" s="7"/>
      <c r="AB1575" s="7"/>
      <c r="AC1575" s="7" t="s">
        <v>191</v>
      </c>
      <c r="AD1575" s="7"/>
      <c r="AE1575" s="7" t="s">
        <v>3868</v>
      </c>
      <c r="AF1575" s="7" t="s">
        <v>50</v>
      </c>
      <c r="AG1575" s="7" t="s">
        <v>175</v>
      </c>
      <c r="AH1575" s="7" t="s">
        <v>197</v>
      </c>
    </row>
    <row r="1576" spans="1:34" ht="9.75" customHeight="1" x14ac:dyDescent="0.2">
      <c r="A1576" s="7" t="s">
        <v>37</v>
      </c>
      <c r="B1576" s="7" t="s">
        <v>38</v>
      </c>
      <c r="C1576" s="7"/>
      <c r="D1576" s="7" t="s">
        <v>3869</v>
      </c>
      <c r="E1576" s="8">
        <v>1</v>
      </c>
      <c r="F1576" s="7" t="s">
        <v>61</v>
      </c>
      <c r="G1576" s="7"/>
      <c r="H1576" s="9"/>
      <c r="I1576" s="9"/>
      <c r="J1576" s="9"/>
      <c r="K1576" s="9"/>
      <c r="L1576" s="10">
        <v>4813</v>
      </c>
      <c r="M1576" s="9"/>
      <c r="N1576" s="10">
        <v>4813</v>
      </c>
      <c r="O1576" s="9"/>
      <c r="P1576" s="10"/>
      <c r="Q1576" s="10"/>
      <c r="R1576" s="10"/>
      <c r="S1576" s="7" t="s">
        <v>407</v>
      </c>
      <c r="T1576" s="7" t="s">
        <v>3776</v>
      </c>
      <c r="U1576" s="7" t="s">
        <v>44</v>
      </c>
      <c r="V1576" s="7" t="s">
        <v>45</v>
      </c>
      <c r="W1576" s="7" t="s">
        <v>171</v>
      </c>
      <c r="X1576" s="7" t="s">
        <v>194</v>
      </c>
      <c r="Y1576" s="7" t="s">
        <v>3870</v>
      </c>
      <c r="Z1576" s="7" t="s">
        <v>3867</v>
      </c>
      <c r="AA1576" s="7"/>
      <c r="AB1576" s="7"/>
      <c r="AC1576" s="7" t="s">
        <v>191</v>
      </c>
      <c r="AD1576" s="7"/>
      <c r="AE1576" s="7" t="s">
        <v>3871</v>
      </c>
      <c r="AF1576" s="7" t="s">
        <v>50</v>
      </c>
      <c r="AG1576" s="7" t="s">
        <v>175</v>
      </c>
      <c r="AH1576" s="7" t="s">
        <v>197</v>
      </c>
    </row>
    <row r="1577" spans="1:34" ht="9.75" customHeight="1" x14ac:dyDescent="0.2">
      <c r="A1577" s="7" t="s">
        <v>37</v>
      </c>
      <c r="B1577" s="7" t="s">
        <v>38</v>
      </c>
      <c r="C1577" s="7"/>
      <c r="D1577" s="7" t="s">
        <v>3872</v>
      </c>
      <c r="E1577" s="8">
        <v>1</v>
      </c>
      <c r="F1577" s="7" t="s">
        <v>61</v>
      </c>
      <c r="G1577" s="7"/>
      <c r="H1577" s="9"/>
      <c r="I1577" s="9"/>
      <c r="J1577" s="9"/>
      <c r="K1577" s="9"/>
      <c r="L1577" s="10">
        <v>9464</v>
      </c>
      <c r="M1577" s="9"/>
      <c r="N1577" s="10">
        <v>9464</v>
      </c>
      <c r="O1577" s="9"/>
      <c r="P1577" s="10"/>
      <c r="Q1577" s="10"/>
      <c r="R1577" s="10"/>
      <c r="S1577" s="7" t="s">
        <v>407</v>
      </c>
      <c r="T1577" s="7" t="s">
        <v>3776</v>
      </c>
      <c r="U1577" s="7" t="s">
        <v>44</v>
      </c>
      <c r="V1577" s="7" t="s">
        <v>45</v>
      </c>
      <c r="W1577" s="7" t="s">
        <v>171</v>
      </c>
      <c r="X1577" s="7" t="s">
        <v>194</v>
      </c>
      <c r="Y1577" s="7" t="s">
        <v>3873</v>
      </c>
      <c r="Z1577" s="7" t="s">
        <v>3867</v>
      </c>
      <c r="AA1577" s="7"/>
      <c r="AB1577" s="7"/>
      <c r="AC1577" s="7" t="s">
        <v>191</v>
      </c>
      <c r="AD1577" s="7"/>
      <c r="AE1577" s="7" t="s">
        <v>3874</v>
      </c>
      <c r="AF1577" s="7" t="s">
        <v>50</v>
      </c>
      <c r="AG1577" s="7" t="s">
        <v>175</v>
      </c>
      <c r="AH1577" s="7" t="s">
        <v>197</v>
      </c>
    </row>
    <row r="1578" spans="1:34" ht="9.75" customHeight="1" x14ac:dyDescent="0.2">
      <c r="A1578" s="7" t="s">
        <v>37</v>
      </c>
      <c r="B1578" s="7" t="s">
        <v>38</v>
      </c>
      <c r="C1578" s="7"/>
      <c r="D1578" s="7" t="s">
        <v>3875</v>
      </c>
      <c r="E1578" s="8">
        <v>1</v>
      </c>
      <c r="F1578" s="7" t="s">
        <v>61</v>
      </c>
      <c r="G1578" s="7"/>
      <c r="H1578" s="9"/>
      <c r="I1578" s="9"/>
      <c r="J1578" s="9"/>
      <c r="K1578" s="9"/>
      <c r="L1578" s="10">
        <v>38262</v>
      </c>
      <c r="M1578" s="9"/>
      <c r="N1578" s="10">
        <v>38262</v>
      </c>
      <c r="O1578" s="9"/>
      <c r="P1578" s="10"/>
      <c r="Q1578" s="10"/>
      <c r="R1578" s="10"/>
      <c r="S1578" s="7" t="s">
        <v>407</v>
      </c>
      <c r="T1578" s="7" t="s">
        <v>3776</v>
      </c>
      <c r="U1578" s="7" t="s">
        <v>44</v>
      </c>
      <c r="V1578" s="7" t="s">
        <v>45</v>
      </c>
      <c r="W1578" s="7" t="s">
        <v>171</v>
      </c>
      <c r="X1578" s="7" t="s">
        <v>194</v>
      </c>
      <c r="Y1578" s="7" t="s">
        <v>3876</v>
      </c>
      <c r="Z1578" s="7" t="s">
        <v>3877</v>
      </c>
      <c r="AA1578" s="7"/>
      <c r="AB1578" s="7"/>
      <c r="AC1578" s="7" t="s">
        <v>191</v>
      </c>
      <c r="AD1578" s="7"/>
      <c r="AE1578" s="7" t="s">
        <v>3283</v>
      </c>
      <c r="AF1578" s="7" t="s">
        <v>50</v>
      </c>
      <c r="AG1578" s="7" t="s">
        <v>175</v>
      </c>
      <c r="AH1578" s="7" t="s">
        <v>197</v>
      </c>
    </row>
    <row r="1579" spans="1:34" ht="9.75" customHeight="1" x14ac:dyDescent="0.2">
      <c r="A1579" s="7" t="s">
        <v>37</v>
      </c>
      <c r="B1579" s="7" t="s">
        <v>38</v>
      </c>
      <c r="C1579" s="7"/>
      <c r="D1579" s="7" t="s">
        <v>3878</v>
      </c>
      <c r="E1579" s="8">
        <v>1</v>
      </c>
      <c r="F1579" s="7" t="s">
        <v>61</v>
      </c>
      <c r="G1579" s="7"/>
      <c r="H1579" s="9"/>
      <c r="I1579" s="9"/>
      <c r="J1579" s="9"/>
      <c r="K1579" s="9"/>
      <c r="L1579" s="10">
        <v>34125</v>
      </c>
      <c r="M1579" s="9"/>
      <c r="N1579" s="10">
        <v>34125</v>
      </c>
      <c r="O1579" s="9"/>
      <c r="P1579" s="10"/>
      <c r="Q1579" s="10"/>
      <c r="R1579" s="10"/>
      <c r="S1579" s="7" t="s">
        <v>407</v>
      </c>
      <c r="T1579" s="7" t="s">
        <v>3776</v>
      </c>
      <c r="U1579" s="7" t="s">
        <v>44</v>
      </c>
      <c r="V1579" s="7" t="s">
        <v>45</v>
      </c>
      <c r="W1579" s="7" t="s">
        <v>171</v>
      </c>
      <c r="X1579" s="7" t="s">
        <v>194</v>
      </c>
      <c r="Y1579" s="7" t="s">
        <v>3879</v>
      </c>
      <c r="Z1579" s="7" t="s">
        <v>3877</v>
      </c>
      <c r="AA1579" s="7"/>
      <c r="AB1579" s="7"/>
      <c r="AC1579" s="7" t="s">
        <v>191</v>
      </c>
      <c r="AD1579" s="7"/>
      <c r="AE1579" s="7" t="s">
        <v>3880</v>
      </c>
      <c r="AF1579" s="7" t="s">
        <v>50</v>
      </c>
      <c r="AG1579" s="7" t="s">
        <v>175</v>
      </c>
      <c r="AH1579" s="7" t="s">
        <v>197</v>
      </c>
    </row>
    <row r="1580" spans="1:34" ht="9.75" customHeight="1" x14ac:dyDescent="0.2">
      <c r="A1580" s="7" t="s">
        <v>37</v>
      </c>
      <c r="B1580" s="7" t="s">
        <v>38</v>
      </c>
      <c r="C1580" s="7"/>
      <c r="D1580" s="7" t="s">
        <v>3881</v>
      </c>
      <c r="E1580" s="8">
        <v>1</v>
      </c>
      <c r="F1580" s="7" t="s">
        <v>61</v>
      </c>
      <c r="G1580" s="7"/>
      <c r="H1580" s="9"/>
      <c r="I1580" s="9"/>
      <c r="J1580" s="9"/>
      <c r="K1580" s="9"/>
      <c r="L1580" s="10">
        <v>22290</v>
      </c>
      <c r="M1580" s="9"/>
      <c r="N1580" s="10">
        <v>22290</v>
      </c>
      <c r="O1580" s="9"/>
      <c r="P1580" s="10"/>
      <c r="Q1580" s="10"/>
      <c r="R1580" s="10"/>
      <c r="S1580" s="7" t="s">
        <v>407</v>
      </c>
      <c r="T1580" s="7" t="s">
        <v>3776</v>
      </c>
      <c r="U1580" s="7" t="s">
        <v>44</v>
      </c>
      <c r="V1580" s="7" t="s">
        <v>45</v>
      </c>
      <c r="W1580" s="7" t="s">
        <v>171</v>
      </c>
      <c r="X1580" s="7" t="s">
        <v>194</v>
      </c>
      <c r="Y1580" s="7" t="s">
        <v>3882</v>
      </c>
      <c r="Z1580" s="7" t="s">
        <v>3877</v>
      </c>
      <c r="AA1580" s="7"/>
      <c r="AB1580" s="7"/>
      <c r="AC1580" s="7" t="s">
        <v>191</v>
      </c>
      <c r="AD1580" s="7"/>
      <c r="AE1580" s="7" t="s">
        <v>3883</v>
      </c>
      <c r="AF1580" s="7" t="s">
        <v>50</v>
      </c>
      <c r="AG1580" s="7" t="s">
        <v>175</v>
      </c>
      <c r="AH1580" s="7" t="s">
        <v>197</v>
      </c>
    </row>
    <row r="1581" spans="1:34" ht="9.75" customHeight="1" x14ac:dyDescent="0.2">
      <c r="A1581" s="7" t="s">
        <v>37</v>
      </c>
      <c r="B1581" s="7" t="s">
        <v>38</v>
      </c>
      <c r="C1581" s="7"/>
      <c r="D1581" s="7" t="s">
        <v>3884</v>
      </c>
      <c r="E1581" s="8">
        <v>1</v>
      </c>
      <c r="F1581" s="7" t="s">
        <v>61</v>
      </c>
      <c r="G1581" s="7"/>
      <c r="H1581" s="9"/>
      <c r="I1581" s="9"/>
      <c r="J1581" s="9"/>
      <c r="K1581" s="9"/>
      <c r="L1581" s="10">
        <v>18458</v>
      </c>
      <c r="M1581" s="9"/>
      <c r="N1581" s="10">
        <v>18458</v>
      </c>
      <c r="O1581" s="9"/>
      <c r="P1581" s="10"/>
      <c r="Q1581" s="10"/>
      <c r="R1581" s="10"/>
      <c r="S1581" s="7" t="s">
        <v>407</v>
      </c>
      <c r="T1581" s="7" t="s">
        <v>3776</v>
      </c>
      <c r="U1581" s="7" t="s">
        <v>44</v>
      </c>
      <c r="V1581" s="7" t="s">
        <v>45</v>
      </c>
      <c r="W1581" s="7" t="s">
        <v>171</v>
      </c>
      <c r="X1581" s="7" t="s">
        <v>194</v>
      </c>
      <c r="Y1581" s="7" t="s">
        <v>3885</v>
      </c>
      <c r="Z1581" s="7" t="s">
        <v>3877</v>
      </c>
      <c r="AA1581" s="7"/>
      <c r="AB1581" s="7"/>
      <c r="AC1581" s="7" t="s">
        <v>191</v>
      </c>
      <c r="AD1581" s="7"/>
      <c r="AE1581" s="7" t="s">
        <v>3886</v>
      </c>
      <c r="AF1581" s="7" t="s">
        <v>50</v>
      </c>
      <c r="AG1581" s="7" t="s">
        <v>175</v>
      </c>
      <c r="AH1581" s="7" t="s">
        <v>197</v>
      </c>
    </row>
    <row r="1582" spans="1:34" ht="9.75" customHeight="1" x14ac:dyDescent="0.2">
      <c r="A1582" s="7" t="s">
        <v>37</v>
      </c>
      <c r="B1582" s="7" t="s">
        <v>38</v>
      </c>
      <c r="C1582" s="7"/>
      <c r="D1582" s="7" t="s">
        <v>3887</v>
      </c>
      <c r="E1582" s="8">
        <v>1</v>
      </c>
      <c r="F1582" s="7" t="s">
        <v>61</v>
      </c>
      <c r="G1582" s="7"/>
      <c r="H1582" s="9"/>
      <c r="I1582" s="9"/>
      <c r="J1582" s="9"/>
      <c r="K1582" s="9"/>
      <c r="L1582" s="10">
        <v>15265</v>
      </c>
      <c r="M1582" s="9"/>
      <c r="N1582" s="10">
        <v>15265</v>
      </c>
      <c r="O1582" s="9"/>
      <c r="P1582" s="10"/>
      <c r="Q1582" s="10"/>
      <c r="R1582" s="10"/>
      <c r="S1582" s="7" t="s">
        <v>407</v>
      </c>
      <c r="T1582" s="7" t="s">
        <v>3776</v>
      </c>
      <c r="U1582" s="7" t="s">
        <v>44</v>
      </c>
      <c r="V1582" s="7" t="s">
        <v>45</v>
      </c>
      <c r="W1582" s="7" t="s">
        <v>171</v>
      </c>
      <c r="X1582" s="7" t="s">
        <v>194</v>
      </c>
      <c r="Y1582" s="7" t="s">
        <v>3888</v>
      </c>
      <c r="Z1582" s="7" t="s">
        <v>3877</v>
      </c>
      <c r="AA1582" s="7"/>
      <c r="AB1582" s="7"/>
      <c r="AC1582" s="7" t="s">
        <v>191</v>
      </c>
      <c r="AD1582" s="7"/>
      <c r="AE1582" s="7" t="s">
        <v>3889</v>
      </c>
      <c r="AF1582" s="7" t="s">
        <v>50</v>
      </c>
      <c r="AG1582" s="7" t="s">
        <v>175</v>
      </c>
      <c r="AH1582" s="7" t="s">
        <v>197</v>
      </c>
    </row>
    <row r="1583" spans="1:34" ht="9.75" customHeight="1" x14ac:dyDescent="0.2">
      <c r="A1583" s="7" t="s">
        <v>37</v>
      </c>
      <c r="B1583" s="7" t="s">
        <v>38</v>
      </c>
      <c r="C1583" s="7"/>
      <c r="D1583" s="7" t="s">
        <v>3890</v>
      </c>
      <c r="E1583" s="8">
        <v>1</v>
      </c>
      <c r="F1583" s="7" t="s">
        <v>61</v>
      </c>
      <c r="G1583" s="7"/>
      <c r="H1583" s="9"/>
      <c r="I1583" s="9"/>
      <c r="J1583" s="9"/>
      <c r="K1583" s="9"/>
      <c r="L1583" s="10">
        <v>7628</v>
      </c>
      <c r="M1583" s="9"/>
      <c r="N1583" s="10">
        <v>7628</v>
      </c>
      <c r="O1583" s="9"/>
      <c r="P1583" s="10"/>
      <c r="Q1583" s="10"/>
      <c r="R1583" s="10"/>
      <c r="S1583" s="7" t="s">
        <v>407</v>
      </c>
      <c r="T1583" s="7" t="s">
        <v>3776</v>
      </c>
      <c r="U1583" s="7" t="s">
        <v>44</v>
      </c>
      <c r="V1583" s="7" t="s">
        <v>45</v>
      </c>
      <c r="W1583" s="7" t="s">
        <v>171</v>
      </c>
      <c r="X1583" s="7" t="s">
        <v>194</v>
      </c>
      <c r="Y1583" s="7" t="s">
        <v>3891</v>
      </c>
      <c r="Z1583" s="7" t="s">
        <v>3877</v>
      </c>
      <c r="AA1583" s="7"/>
      <c r="AB1583" s="7"/>
      <c r="AC1583" s="7" t="s">
        <v>191</v>
      </c>
      <c r="AD1583" s="7"/>
      <c r="AE1583" s="7" t="s">
        <v>3640</v>
      </c>
      <c r="AF1583" s="7" t="s">
        <v>50</v>
      </c>
      <c r="AG1583" s="7" t="s">
        <v>175</v>
      </c>
      <c r="AH1583" s="7" t="s">
        <v>197</v>
      </c>
    </row>
    <row r="1584" spans="1:34" ht="9.75" customHeight="1" x14ac:dyDescent="0.2">
      <c r="A1584" s="7" t="s">
        <v>37</v>
      </c>
      <c r="B1584" s="7" t="s">
        <v>38</v>
      </c>
      <c r="C1584" s="7"/>
      <c r="D1584" s="7" t="s">
        <v>3892</v>
      </c>
      <c r="E1584" s="8">
        <v>1</v>
      </c>
      <c r="F1584" s="7" t="s">
        <v>61</v>
      </c>
      <c r="G1584" s="7"/>
      <c r="H1584" s="9"/>
      <c r="I1584" s="9"/>
      <c r="J1584" s="9"/>
      <c r="K1584" s="9"/>
      <c r="L1584" s="10">
        <v>7143</v>
      </c>
      <c r="M1584" s="9"/>
      <c r="N1584" s="10">
        <v>7143</v>
      </c>
      <c r="O1584" s="9"/>
      <c r="P1584" s="10"/>
      <c r="Q1584" s="10"/>
      <c r="R1584" s="10"/>
      <c r="S1584" s="7" t="s">
        <v>407</v>
      </c>
      <c r="T1584" s="7" t="s">
        <v>3776</v>
      </c>
      <c r="U1584" s="7" t="s">
        <v>44</v>
      </c>
      <c r="V1584" s="7" t="s">
        <v>45</v>
      </c>
      <c r="W1584" s="7" t="s">
        <v>171</v>
      </c>
      <c r="X1584" s="7" t="s">
        <v>194</v>
      </c>
      <c r="Y1584" s="7" t="s">
        <v>3893</v>
      </c>
      <c r="Z1584" s="7" t="s">
        <v>3877</v>
      </c>
      <c r="AA1584" s="7"/>
      <c r="AB1584" s="7"/>
      <c r="AC1584" s="7" t="s">
        <v>191</v>
      </c>
      <c r="AD1584" s="7"/>
      <c r="AE1584" s="7" t="s">
        <v>3894</v>
      </c>
      <c r="AF1584" s="7" t="s">
        <v>50</v>
      </c>
      <c r="AG1584" s="7" t="s">
        <v>175</v>
      </c>
      <c r="AH1584" s="7" t="s">
        <v>197</v>
      </c>
    </row>
    <row r="1585" spans="1:34" ht="9.75" customHeight="1" x14ac:dyDescent="0.2">
      <c r="A1585" s="7" t="s">
        <v>37</v>
      </c>
      <c r="B1585" s="7" t="s">
        <v>38</v>
      </c>
      <c r="C1585" s="7"/>
      <c r="D1585" s="7" t="s">
        <v>3895</v>
      </c>
      <c r="E1585" s="8">
        <v>1</v>
      </c>
      <c r="F1585" s="7" t="s">
        <v>61</v>
      </c>
      <c r="G1585" s="7"/>
      <c r="H1585" s="9"/>
      <c r="I1585" s="9"/>
      <c r="J1585" s="9"/>
      <c r="K1585" s="9"/>
      <c r="L1585" s="10">
        <v>947</v>
      </c>
      <c r="M1585" s="9"/>
      <c r="N1585" s="10">
        <v>947</v>
      </c>
      <c r="O1585" s="9"/>
      <c r="P1585" s="10"/>
      <c r="Q1585" s="10"/>
      <c r="R1585" s="10"/>
      <c r="S1585" s="7" t="s">
        <v>407</v>
      </c>
      <c r="T1585" s="7" t="s">
        <v>3776</v>
      </c>
      <c r="U1585" s="7" t="s">
        <v>44</v>
      </c>
      <c r="V1585" s="7" t="s">
        <v>45</v>
      </c>
      <c r="W1585" s="7" t="s">
        <v>171</v>
      </c>
      <c r="X1585" s="7" t="s">
        <v>194</v>
      </c>
      <c r="Y1585" s="7" t="s">
        <v>3896</v>
      </c>
      <c r="Z1585" s="7" t="s">
        <v>3877</v>
      </c>
      <c r="AA1585" s="7"/>
      <c r="AB1585" s="7"/>
      <c r="AC1585" s="7" t="s">
        <v>191</v>
      </c>
      <c r="AD1585" s="7"/>
      <c r="AE1585" s="7" t="s">
        <v>3897</v>
      </c>
      <c r="AF1585" s="7" t="s">
        <v>50</v>
      </c>
      <c r="AG1585" s="7" t="s">
        <v>175</v>
      </c>
      <c r="AH1585" s="7" t="s">
        <v>197</v>
      </c>
    </row>
    <row r="1586" spans="1:34" ht="9.75" customHeight="1" x14ac:dyDescent="0.2">
      <c r="A1586" s="7" t="s">
        <v>37</v>
      </c>
      <c r="B1586" s="7" t="s">
        <v>38</v>
      </c>
      <c r="C1586" s="7"/>
      <c r="D1586" s="7" t="s">
        <v>3898</v>
      </c>
      <c r="E1586" s="8">
        <v>1</v>
      </c>
      <c r="F1586" s="7" t="s">
        <v>61</v>
      </c>
      <c r="G1586" s="7"/>
      <c r="H1586" s="9"/>
      <c r="I1586" s="9"/>
      <c r="J1586" s="9"/>
      <c r="K1586" s="9"/>
      <c r="L1586" s="10">
        <v>2395</v>
      </c>
      <c r="M1586" s="9"/>
      <c r="N1586" s="10">
        <v>2395</v>
      </c>
      <c r="O1586" s="9"/>
      <c r="P1586" s="10"/>
      <c r="Q1586" s="10"/>
      <c r="R1586" s="10"/>
      <c r="S1586" s="7" t="s">
        <v>407</v>
      </c>
      <c r="T1586" s="7" t="s">
        <v>3776</v>
      </c>
      <c r="U1586" s="7" t="s">
        <v>44</v>
      </c>
      <c r="V1586" s="7" t="s">
        <v>45</v>
      </c>
      <c r="W1586" s="7" t="s">
        <v>171</v>
      </c>
      <c r="X1586" s="7" t="s">
        <v>194</v>
      </c>
      <c r="Y1586" s="7" t="s">
        <v>3899</v>
      </c>
      <c r="Z1586" s="7" t="s">
        <v>3877</v>
      </c>
      <c r="AA1586" s="7"/>
      <c r="AB1586" s="7"/>
      <c r="AC1586" s="7" t="s">
        <v>191</v>
      </c>
      <c r="AD1586" s="7"/>
      <c r="AE1586" s="7" t="s">
        <v>3900</v>
      </c>
      <c r="AF1586" s="7" t="s">
        <v>50</v>
      </c>
      <c r="AG1586" s="7" t="s">
        <v>175</v>
      </c>
      <c r="AH1586" s="7" t="s">
        <v>197</v>
      </c>
    </row>
    <row r="1587" spans="1:34" ht="9.75" customHeight="1" x14ac:dyDescent="0.2">
      <c r="A1587" s="7" t="s">
        <v>37</v>
      </c>
      <c r="B1587" s="7" t="s">
        <v>38</v>
      </c>
      <c r="C1587" s="7"/>
      <c r="D1587" s="7" t="s">
        <v>3901</v>
      </c>
      <c r="E1587" s="8">
        <v>1</v>
      </c>
      <c r="F1587" s="7" t="s">
        <v>61</v>
      </c>
      <c r="G1587" s="7"/>
      <c r="H1587" s="9"/>
      <c r="I1587" s="9"/>
      <c r="J1587" s="9"/>
      <c r="K1587" s="9"/>
      <c r="L1587" s="10">
        <v>8202</v>
      </c>
      <c r="M1587" s="9"/>
      <c r="N1587" s="10">
        <v>8202</v>
      </c>
      <c r="O1587" s="9"/>
      <c r="P1587" s="10"/>
      <c r="Q1587" s="10"/>
      <c r="R1587" s="10"/>
      <c r="S1587" s="7" t="s">
        <v>407</v>
      </c>
      <c r="T1587" s="7" t="s">
        <v>3776</v>
      </c>
      <c r="U1587" s="7" t="s">
        <v>44</v>
      </c>
      <c r="V1587" s="7" t="s">
        <v>45</v>
      </c>
      <c r="W1587" s="7" t="s">
        <v>171</v>
      </c>
      <c r="X1587" s="7" t="s">
        <v>194</v>
      </c>
      <c r="Y1587" s="7" t="s">
        <v>3902</v>
      </c>
      <c r="Z1587" s="7" t="s">
        <v>3877</v>
      </c>
      <c r="AA1587" s="7"/>
      <c r="AB1587" s="7"/>
      <c r="AC1587" s="7" t="s">
        <v>191</v>
      </c>
      <c r="AD1587" s="7"/>
      <c r="AE1587" s="7" t="s">
        <v>3903</v>
      </c>
      <c r="AF1587" s="7" t="s">
        <v>50</v>
      </c>
      <c r="AG1587" s="7" t="s">
        <v>175</v>
      </c>
      <c r="AH1587" s="7" t="s">
        <v>197</v>
      </c>
    </row>
    <row r="1588" spans="1:34" ht="9.75" customHeight="1" x14ac:dyDescent="0.2">
      <c r="A1588" s="7" t="s">
        <v>37</v>
      </c>
      <c r="B1588" s="7" t="s">
        <v>38</v>
      </c>
      <c r="C1588" s="7"/>
      <c r="D1588" s="7" t="s">
        <v>3904</v>
      </c>
      <c r="E1588" s="8">
        <v>1</v>
      </c>
      <c r="F1588" s="7" t="s">
        <v>61</v>
      </c>
      <c r="G1588" s="7"/>
      <c r="H1588" s="9"/>
      <c r="I1588" s="9"/>
      <c r="J1588" s="9"/>
      <c r="K1588" s="9"/>
      <c r="L1588" s="10">
        <v>2964</v>
      </c>
      <c r="M1588" s="9"/>
      <c r="N1588" s="10">
        <v>2964</v>
      </c>
      <c r="O1588" s="9"/>
      <c r="P1588" s="10"/>
      <c r="Q1588" s="10"/>
      <c r="R1588" s="10"/>
      <c r="S1588" s="7" t="s">
        <v>407</v>
      </c>
      <c r="T1588" s="7" t="s">
        <v>3776</v>
      </c>
      <c r="U1588" s="7" t="s">
        <v>44</v>
      </c>
      <c r="V1588" s="7" t="s">
        <v>45</v>
      </c>
      <c r="W1588" s="7" t="s">
        <v>171</v>
      </c>
      <c r="X1588" s="7" t="s">
        <v>194</v>
      </c>
      <c r="Y1588" s="7" t="s">
        <v>3905</v>
      </c>
      <c r="Z1588" s="7" t="s">
        <v>3877</v>
      </c>
      <c r="AA1588" s="7"/>
      <c r="AB1588" s="7"/>
      <c r="AC1588" s="7" t="s">
        <v>191</v>
      </c>
      <c r="AD1588" s="7"/>
      <c r="AE1588" s="7" t="s">
        <v>3906</v>
      </c>
      <c r="AF1588" s="7" t="s">
        <v>50</v>
      </c>
      <c r="AG1588" s="7" t="s">
        <v>175</v>
      </c>
      <c r="AH1588" s="7" t="s">
        <v>197</v>
      </c>
    </row>
    <row r="1589" spans="1:34" ht="9.75" customHeight="1" x14ac:dyDescent="0.2">
      <c r="A1589" s="7" t="s">
        <v>37</v>
      </c>
      <c r="B1589" s="7" t="s">
        <v>38</v>
      </c>
      <c r="C1589" s="7"/>
      <c r="D1589" s="7" t="s">
        <v>3907</v>
      </c>
      <c r="E1589" s="8">
        <v>1</v>
      </c>
      <c r="F1589" s="7" t="s">
        <v>61</v>
      </c>
      <c r="G1589" s="7"/>
      <c r="H1589" s="9"/>
      <c r="I1589" s="9"/>
      <c r="J1589" s="9"/>
      <c r="K1589" s="9"/>
      <c r="L1589" s="10">
        <v>93910</v>
      </c>
      <c r="M1589" s="9"/>
      <c r="N1589" s="10">
        <v>93910</v>
      </c>
      <c r="O1589" s="9"/>
      <c r="P1589" s="10"/>
      <c r="Q1589" s="10"/>
      <c r="R1589" s="10"/>
      <c r="S1589" s="7" t="s">
        <v>407</v>
      </c>
      <c r="T1589" s="7" t="s">
        <v>3776</v>
      </c>
      <c r="U1589" s="7" t="s">
        <v>44</v>
      </c>
      <c r="V1589" s="7" t="s">
        <v>45</v>
      </c>
      <c r="W1589" s="7" t="s">
        <v>171</v>
      </c>
      <c r="X1589" s="7" t="s">
        <v>194</v>
      </c>
      <c r="Y1589" s="7" t="s">
        <v>3908</v>
      </c>
      <c r="Z1589" s="7" t="s">
        <v>3909</v>
      </c>
      <c r="AA1589" s="7"/>
      <c r="AB1589" s="7"/>
      <c r="AC1589" s="7" t="s">
        <v>191</v>
      </c>
      <c r="AD1589" s="7"/>
      <c r="AE1589" s="7"/>
      <c r="AF1589" s="7" t="s">
        <v>50</v>
      </c>
      <c r="AG1589" s="7" t="s">
        <v>175</v>
      </c>
      <c r="AH1589" s="7" t="s">
        <v>197</v>
      </c>
    </row>
    <row r="1590" spans="1:34" ht="9.75" customHeight="1" x14ac:dyDescent="0.2">
      <c r="A1590" s="7" t="s">
        <v>37</v>
      </c>
      <c r="B1590" s="7" t="s">
        <v>38</v>
      </c>
      <c r="C1590" s="7"/>
      <c r="D1590" s="7" t="s">
        <v>3910</v>
      </c>
      <c r="E1590" s="8">
        <v>1</v>
      </c>
      <c r="F1590" s="7" t="s">
        <v>61</v>
      </c>
      <c r="G1590" s="7"/>
      <c r="H1590" s="9"/>
      <c r="I1590" s="9"/>
      <c r="J1590" s="9"/>
      <c r="K1590" s="9"/>
      <c r="L1590" s="10">
        <v>1607</v>
      </c>
      <c r="M1590" s="9"/>
      <c r="N1590" s="10">
        <v>1607</v>
      </c>
      <c r="O1590" s="9"/>
      <c r="P1590" s="10"/>
      <c r="Q1590" s="10"/>
      <c r="R1590" s="10"/>
      <c r="S1590" s="7" t="s">
        <v>407</v>
      </c>
      <c r="T1590" s="7" t="s">
        <v>3776</v>
      </c>
      <c r="U1590" s="7" t="s">
        <v>44</v>
      </c>
      <c r="V1590" s="7" t="s">
        <v>45</v>
      </c>
      <c r="W1590" s="7" t="s">
        <v>171</v>
      </c>
      <c r="X1590" s="7" t="s">
        <v>194</v>
      </c>
      <c r="Y1590" s="7" t="s">
        <v>3911</v>
      </c>
      <c r="Z1590" s="7" t="s">
        <v>3909</v>
      </c>
      <c r="AA1590" s="7"/>
      <c r="AB1590" s="7"/>
      <c r="AC1590" s="7" t="s">
        <v>191</v>
      </c>
      <c r="AD1590" s="7"/>
      <c r="AE1590" s="7"/>
      <c r="AF1590" s="7" t="s">
        <v>50</v>
      </c>
      <c r="AG1590" s="7" t="s">
        <v>175</v>
      </c>
      <c r="AH1590" s="7" t="s">
        <v>197</v>
      </c>
    </row>
    <row r="1591" spans="1:34" ht="9.75" customHeight="1" x14ac:dyDescent="0.2">
      <c r="A1591" s="7" t="s">
        <v>37</v>
      </c>
      <c r="B1591" s="7" t="s">
        <v>38</v>
      </c>
      <c r="C1591" s="7"/>
      <c r="D1591" s="7" t="s">
        <v>3912</v>
      </c>
      <c r="E1591" s="8">
        <v>1</v>
      </c>
      <c r="F1591" s="7" t="s">
        <v>61</v>
      </c>
      <c r="G1591" s="7"/>
      <c r="H1591" s="9"/>
      <c r="I1591" s="9"/>
      <c r="J1591" s="9"/>
      <c r="K1591" s="9"/>
      <c r="L1591" s="10">
        <v>5070</v>
      </c>
      <c r="M1591" s="9"/>
      <c r="N1591" s="10">
        <v>5070</v>
      </c>
      <c r="O1591" s="9"/>
      <c r="P1591" s="10"/>
      <c r="Q1591" s="10"/>
      <c r="R1591" s="10"/>
      <c r="S1591" s="7" t="s">
        <v>407</v>
      </c>
      <c r="T1591" s="7" t="s">
        <v>3776</v>
      </c>
      <c r="U1591" s="7" t="s">
        <v>44</v>
      </c>
      <c r="V1591" s="7" t="s">
        <v>45</v>
      </c>
      <c r="W1591" s="7" t="s">
        <v>171</v>
      </c>
      <c r="X1591" s="7" t="s">
        <v>194</v>
      </c>
      <c r="Y1591" s="7" t="s">
        <v>3913</v>
      </c>
      <c r="Z1591" s="7" t="s">
        <v>3909</v>
      </c>
      <c r="AA1591" s="7"/>
      <c r="AB1591" s="7"/>
      <c r="AC1591" s="7" t="s">
        <v>191</v>
      </c>
      <c r="AD1591" s="7"/>
      <c r="AE1591" s="7"/>
      <c r="AF1591" s="7" t="s">
        <v>50</v>
      </c>
      <c r="AG1591" s="7" t="s">
        <v>175</v>
      </c>
      <c r="AH1591" s="7" t="s">
        <v>197</v>
      </c>
    </row>
    <row r="1592" spans="1:34" ht="9.75" customHeight="1" x14ac:dyDescent="0.2">
      <c r="A1592" s="7" t="s">
        <v>37</v>
      </c>
      <c r="B1592" s="7" t="s">
        <v>38</v>
      </c>
      <c r="C1592" s="7"/>
      <c r="D1592" s="7" t="s">
        <v>3914</v>
      </c>
      <c r="E1592" s="8">
        <v>1</v>
      </c>
      <c r="F1592" s="7" t="s">
        <v>61</v>
      </c>
      <c r="G1592" s="7"/>
      <c r="H1592" s="9"/>
      <c r="I1592" s="9"/>
      <c r="J1592" s="9"/>
      <c r="K1592" s="9"/>
      <c r="L1592" s="10">
        <v>15493</v>
      </c>
      <c r="M1592" s="9"/>
      <c r="N1592" s="10">
        <v>15493</v>
      </c>
      <c r="O1592" s="9"/>
      <c r="P1592" s="10"/>
      <c r="Q1592" s="10"/>
      <c r="R1592" s="10"/>
      <c r="S1592" s="7" t="s">
        <v>407</v>
      </c>
      <c r="T1592" s="7" t="s">
        <v>3776</v>
      </c>
      <c r="U1592" s="7" t="s">
        <v>44</v>
      </c>
      <c r="V1592" s="7" t="s">
        <v>45</v>
      </c>
      <c r="W1592" s="7" t="s">
        <v>171</v>
      </c>
      <c r="X1592" s="7" t="s">
        <v>194</v>
      </c>
      <c r="Y1592" s="7" t="s">
        <v>3915</v>
      </c>
      <c r="Z1592" s="7" t="s">
        <v>3909</v>
      </c>
      <c r="AA1592" s="7"/>
      <c r="AB1592" s="7"/>
      <c r="AC1592" s="7" t="s">
        <v>191</v>
      </c>
      <c r="AD1592" s="7"/>
      <c r="AE1592" s="7"/>
      <c r="AF1592" s="7" t="s">
        <v>50</v>
      </c>
      <c r="AG1592" s="7" t="s">
        <v>175</v>
      </c>
      <c r="AH1592" s="7" t="s">
        <v>197</v>
      </c>
    </row>
    <row r="1593" spans="1:34" ht="9.75" customHeight="1" x14ac:dyDescent="0.2">
      <c r="A1593" s="7" t="s">
        <v>37</v>
      </c>
      <c r="B1593" s="7" t="s">
        <v>38</v>
      </c>
      <c r="C1593" s="7"/>
      <c r="D1593" s="7" t="s">
        <v>3916</v>
      </c>
      <c r="E1593" s="8">
        <v>1</v>
      </c>
      <c r="F1593" s="7" t="s">
        <v>61</v>
      </c>
      <c r="G1593" s="7"/>
      <c r="H1593" s="9"/>
      <c r="I1593" s="9"/>
      <c r="J1593" s="9"/>
      <c r="K1593" s="9"/>
      <c r="L1593" s="10">
        <v>28925</v>
      </c>
      <c r="M1593" s="9"/>
      <c r="N1593" s="10">
        <v>28925</v>
      </c>
      <c r="O1593" s="9"/>
      <c r="P1593" s="10"/>
      <c r="Q1593" s="10"/>
      <c r="R1593" s="10"/>
      <c r="S1593" s="7" t="s">
        <v>407</v>
      </c>
      <c r="T1593" s="7" t="s">
        <v>3776</v>
      </c>
      <c r="U1593" s="7" t="s">
        <v>44</v>
      </c>
      <c r="V1593" s="7" t="s">
        <v>45</v>
      </c>
      <c r="W1593" s="7" t="s">
        <v>171</v>
      </c>
      <c r="X1593" s="7" t="s">
        <v>194</v>
      </c>
      <c r="Y1593" s="7" t="s">
        <v>3917</v>
      </c>
      <c r="Z1593" s="7" t="s">
        <v>3909</v>
      </c>
      <c r="AA1593" s="7"/>
      <c r="AB1593" s="7"/>
      <c r="AC1593" s="7" t="s">
        <v>191</v>
      </c>
      <c r="AD1593" s="7"/>
      <c r="AE1593" s="7"/>
      <c r="AF1593" s="7" t="s">
        <v>50</v>
      </c>
      <c r="AG1593" s="7" t="s">
        <v>175</v>
      </c>
      <c r="AH1593" s="7" t="s">
        <v>197</v>
      </c>
    </row>
    <row r="1594" spans="1:34" ht="9.75" customHeight="1" x14ac:dyDescent="0.2">
      <c r="A1594" s="7" t="s">
        <v>37</v>
      </c>
      <c r="B1594" s="7" t="s">
        <v>38</v>
      </c>
      <c r="C1594" s="7"/>
      <c r="D1594" s="7" t="s">
        <v>3918</v>
      </c>
      <c r="E1594" s="8">
        <v>1</v>
      </c>
      <c r="F1594" s="7" t="s">
        <v>61</v>
      </c>
      <c r="G1594" s="7"/>
      <c r="H1594" s="9"/>
      <c r="I1594" s="9"/>
      <c r="J1594" s="9"/>
      <c r="K1594" s="9"/>
      <c r="L1594" s="10">
        <v>24696</v>
      </c>
      <c r="M1594" s="9"/>
      <c r="N1594" s="10">
        <v>24696</v>
      </c>
      <c r="O1594" s="9"/>
      <c r="P1594" s="10"/>
      <c r="Q1594" s="10"/>
      <c r="R1594" s="10"/>
      <c r="S1594" s="7" t="s">
        <v>407</v>
      </c>
      <c r="T1594" s="7" t="s">
        <v>3776</v>
      </c>
      <c r="U1594" s="7" t="s">
        <v>44</v>
      </c>
      <c r="V1594" s="7" t="s">
        <v>45</v>
      </c>
      <c r="W1594" s="7" t="s">
        <v>171</v>
      </c>
      <c r="X1594" s="7" t="s">
        <v>194</v>
      </c>
      <c r="Y1594" s="7" t="s">
        <v>3919</v>
      </c>
      <c r="Z1594" s="7" t="s">
        <v>3909</v>
      </c>
      <c r="AA1594" s="7"/>
      <c r="AB1594" s="7"/>
      <c r="AC1594" s="7" t="s">
        <v>191</v>
      </c>
      <c r="AD1594" s="7"/>
      <c r="AE1594" s="7" t="s">
        <v>427</v>
      </c>
      <c r="AF1594" s="7" t="s">
        <v>50</v>
      </c>
      <c r="AG1594" s="7" t="s">
        <v>175</v>
      </c>
      <c r="AH1594" s="7" t="s">
        <v>197</v>
      </c>
    </row>
    <row r="1595" spans="1:34" ht="9.75" customHeight="1" x14ac:dyDescent="0.2">
      <c r="A1595" s="7" t="s">
        <v>37</v>
      </c>
      <c r="B1595" s="7" t="s">
        <v>38</v>
      </c>
      <c r="C1595" s="7"/>
      <c r="D1595" s="7" t="s">
        <v>3920</v>
      </c>
      <c r="E1595" s="8">
        <v>1</v>
      </c>
      <c r="F1595" s="7" t="s">
        <v>61</v>
      </c>
      <c r="G1595" s="7"/>
      <c r="H1595" s="9"/>
      <c r="I1595" s="9"/>
      <c r="J1595" s="9"/>
      <c r="K1595" s="9"/>
      <c r="L1595" s="10">
        <v>21824</v>
      </c>
      <c r="M1595" s="9"/>
      <c r="N1595" s="10">
        <v>21824</v>
      </c>
      <c r="O1595" s="9"/>
      <c r="P1595" s="10"/>
      <c r="Q1595" s="10"/>
      <c r="R1595" s="10"/>
      <c r="S1595" s="7" t="s">
        <v>407</v>
      </c>
      <c r="T1595" s="7" t="s">
        <v>3776</v>
      </c>
      <c r="U1595" s="7" t="s">
        <v>44</v>
      </c>
      <c r="V1595" s="7" t="s">
        <v>45</v>
      </c>
      <c r="W1595" s="7" t="s">
        <v>171</v>
      </c>
      <c r="X1595" s="7" t="s">
        <v>194</v>
      </c>
      <c r="Y1595" s="7" t="s">
        <v>3921</v>
      </c>
      <c r="Z1595" s="7" t="s">
        <v>3922</v>
      </c>
      <c r="AA1595" s="7"/>
      <c r="AB1595" s="7"/>
      <c r="AC1595" s="7" t="s">
        <v>191</v>
      </c>
      <c r="AD1595" s="7"/>
      <c r="AE1595" s="7"/>
      <c r="AF1595" s="7" t="s">
        <v>50</v>
      </c>
      <c r="AG1595" s="7" t="s">
        <v>175</v>
      </c>
      <c r="AH1595" s="7" t="s">
        <v>197</v>
      </c>
    </row>
    <row r="1596" spans="1:34" ht="9.75" customHeight="1" x14ac:dyDescent="0.2">
      <c r="A1596" s="7" t="s">
        <v>37</v>
      </c>
      <c r="B1596" s="7" t="s">
        <v>38</v>
      </c>
      <c r="C1596" s="7"/>
      <c r="D1596" s="7" t="s">
        <v>3923</v>
      </c>
      <c r="E1596" s="8">
        <v>1</v>
      </c>
      <c r="F1596" s="7" t="s">
        <v>61</v>
      </c>
      <c r="G1596" s="7"/>
      <c r="H1596" s="9"/>
      <c r="I1596" s="9"/>
      <c r="J1596" s="9"/>
      <c r="K1596" s="9"/>
      <c r="L1596" s="10">
        <v>689</v>
      </c>
      <c r="M1596" s="9"/>
      <c r="N1596" s="10">
        <v>689</v>
      </c>
      <c r="O1596" s="9"/>
      <c r="P1596" s="10"/>
      <c r="Q1596" s="10"/>
      <c r="R1596" s="10"/>
      <c r="S1596" s="7" t="s">
        <v>407</v>
      </c>
      <c r="T1596" s="7" t="s">
        <v>3776</v>
      </c>
      <c r="U1596" s="7" t="s">
        <v>44</v>
      </c>
      <c r="V1596" s="7" t="s">
        <v>45</v>
      </c>
      <c r="W1596" s="7" t="s">
        <v>171</v>
      </c>
      <c r="X1596" s="7" t="s">
        <v>194</v>
      </c>
      <c r="Y1596" s="7" t="s">
        <v>3924</v>
      </c>
      <c r="Z1596" s="7" t="s">
        <v>3922</v>
      </c>
      <c r="AA1596" s="7"/>
      <c r="AB1596" s="7"/>
      <c r="AC1596" s="7" t="s">
        <v>191</v>
      </c>
      <c r="AD1596" s="7"/>
      <c r="AE1596" s="7"/>
      <c r="AF1596" s="7" t="s">
        <v>50</v>
      </c>
      <c r="AG1596" s="7" t="s">
        <v>175</v>
      </c>
      <c r="AH1596" s="7" t="s">
        <v>197</v>
      </c>
    </row>
    <row r="1597" spans="1:34" ht="9.75" customHeight="1" x14ac:dyDescent="0.2">
      <c r="A1597" s="7" t="s">
        <v>37</v>
      </c>
      <c r="B1597" s="7" t="s">
        <v>38</v>
      </c>
      <c r="C1597" s="7"/>
      <c r="D1597" s="7" t="s">
        <v>3925</v>
      </c>
      <c r="E1597" s="8">
        <v>1</v>
      </c>
      <c r="F1597" s="7" t="s">
        <v>61</v>
      </c>
      <c r="G1597" s="7"/>
      <c r="H1597" s="9"/>
      <c r="I1597" s="9"/>
      <c r="J1597" s="9"/>
      <c r="K1597" s="9"/>
      <c r="L1597" s="10">
        <v>1434</v>
      </c>
      <c r="M1597" s="9"/>
      <c r="N1597" s="10">
        <v>1434</v>
      </c>
      <c r="O1597" s="9"/>
      <c r="P1597" s="10"/>
      <c r="Q1597" s="10"/>
      <c r="R1597" s="10"/>
      <c r="S1597" s="7" t="s">
        <v>407</v>
      </c>
      <c r="T1597" s="7" t="s">
        <v>3776</v>
      </c>
      <c r="U1597" s="7" t="s">
        <v>44</v>
      </c>
      <c r="V1597" s="7" t="s">
        <v>45</v>
      </c>
      <c r="W1597" s="7" t="s">
        <v>171</v>
      </c>
      <c r="X1597" s="7" t="s">
        <v>194</v>
      </c>
      <c r="Y1597" s="7" t="s">
        <v>3926</v>
      </c>
      <c r="Z1597" s="7" t="s">
        <v>3922</v>
      </c>
      <c r="AA1597" s="7"/>
      <c r="AB1597" s="7"/>
      <c r="AC1597" s="7" t="s">
        <v>191</v>
      </c>
      <c r="AD1597" s="7"/>
      <c r="AE1597" s="7"/>
      <c r="AF1597" s="7" t="s">
        <v>50</v>
      </c>
      <c r="AG1597" s="7" t="s">
        <v>175</v>
      </c>
      <c r="AH1597" s="7" t="s">
        <v>197</v>
      </c>
    </row>
    <row r="1598" spans="1:34" ht="9.75" customHeight="1" x14ac:dyDescent="0.2">
      <c r="A1598" s="7" t="s">
        <v>37</v>
      </c>
      <c r="B1598" s="7" t="s">
        <v>38</v>
      </c>
      <c r="C1598" s="7"/>
      <c r="D1598" s="7" t="s">
        <v>3927</v>
      </c>
      <c r="E1598" s="8">
        <v>1</v>
      </c>
      <c r="F1598" s="7" t="s">
        <v>61</v>
      </c>
      <c r="G1598" s="7"/>
      <c r="H1598" s="9"/>
      <c r="I1598" s="9"/>
      <c r="J1598" s="9"/>
      <c r="K1598" s="9"/>
      <c r="L1598" s="10">
        <v>2026</v>
      </c>
      <c r="M1598" s="9"/>
      <c r="N1598" s="10">
        <v>2026</v>
      </c>
      <c r="O1598" s="9"/>
      <c r="P1598" s="10"/>
      <c r="Q1598" s="10"/>
      <c r="R1598" s="10"/>
      <c r="S1598" s="7" t="s">
        <v>407</v>
      </c>
      <c r="T1598" s="7" t="s">
        <v>3776</v>
      </c>
      <c r="U1598" s="7" t="s">
        <v>44</v>
      </c>
      <c r="V1598" s="7" t="s">
        <v>45</v>
      </c>
      <c r="W1598" s="7" t="s">
        <v>171</v>
      </c>
      <c r="X1598" s="7" t="s">
        <v>194</v>
      </c>
      <c r="Y1598" s="7" t="s">
        <v>3928</v>
      </c>
      <c r="Z1598" s="7" t="s">
        <v>3922</v>
      </c>
      <c r="AA1598" s="7"/>
      <c r="AB1598" s="7"/>
      <c r="AC1598" s="7" t="s">
        <v>191</v>
      </c>
      <c r="AD1598" s="7"/>
      <c r="AE1598" s="7"/>
      <c r="AF1598" s="7" t="s">
        <v>50</v>
      </c>
      <c r="AG1598" s="7" t="s">
        <v>175</v>
      </c>
      <c r="AH1598" s="7" t="s">
        <v>197</v>
      </c>
    </row>
    <row r="1599" spans="1:34" ht="9.75" customHeight="1" x14ac:dyDescent="0.2">
      <c r="A1599" s="7" t="s">
        <v>37</v>
      </c>
      <c r="B1599" s="7" t="s">
        <v>38</v>
      </c>
      <c r="C1599" s="7"/>
      <c r="D1599" s="7" t="s">
        <v>3929</v>
      </c>
      <c r="E1599" s="8">
        <v>1</v>
      </c>
      <c r="F1599" s="7" t="s">
        <v>61</v>
      </c>
      <c r="G1599" s="7"/>
      <c r="H1599" s="9"/>
      <c r="I1599" s="9"/>
      <c r="J1599" s="9"/>
      <c r="K1599" s="9"/>
      <c r="L1599" s="10">
        <v>1229</v>
      </c>
      <c r="M1599" s="9"/>
      <c r="N1599" s="10">
        <v>1229</v>
      </c>
      <c r="O1599" s="9"/>
      <c r="P1599" s="10"/>
      <c r="Q1599" s="10"/>
      <c r="R1599" s="10"/>
      <c r="S1599" s="7" t="s">
        <v>407</v>
      </c>
      <c r="T1599" s="7" t="s">
        <v>3776</v>
      </c>
      <c r="U1599" s="7" t="s">
        <v>44</v>
      </c>
      <c r="V1599" s="7" t="s">
        <v>45</v>
      </c>
      <c r="W1599" s="7" t="s">
        <v>171</v>
      </c>
      <c r="X1599" s="7" t="s">
        <v>194</v>
      </c>
      <c r="Y1599" s="7" t="s">
        <v>3930</v>
      </c>
      <c r="Z1599" s="7" t="s">
        <v>3922</v>
      </c>
      <c r="AA1599" s="7"/>
      <c r="AB1599" s="7"/>
      <c r="AC1599" s="7" t="s">
        <v>191</v>
      </c>
      <c r="AD1599" s="7"/>
      <c r="AE1599" s="7"/>
      <c r="AF1599" s="7" t="s">
        <v>50</v>
      </c>
      <c r="AG1599" s="7" t="s">
        <v>175</v>
      </c>
      <c r="AH1599" s="7" t="s">
        <v>197</v>
      </c>
    </row>
    <row r="1600" spans="1:34" ht="9.75" customHeight="1" x14ac:dyDescent="0.2">
      <c r="A1600" s="7" t="s">
        <v>37</v>
      </c>
      <c r="B1600" s="7" t="s">
        <v>38</v>
      </c>
      <c r="C1600" s="7"/>
      <c r="D1600" s="7" t="s">
        <v>3931</v>
      </c>
      <c r="E1600" s="8">
        <v>1</v>
      </c>
      <c r="F1600" s="7" t="s">
        <v>61</v>
      </c>
      <c r="G1600" s="7"/>
      <c r="H1600" s="9"/>
      <c r="I1600" s="9"/>
      <c r="J1600" s="9"/>
      <c r="K1600" s="9"/>
      <c r="L1600" s="10">
        <v>8106</v>
      </c>
      <c r="M1600" s="9"/>
      <c r="N1600" s="10">
        <v>8106</v>
      </c>
      <c r="O1600" s="9"/>
      <c r="P1600" s="10"/>
      <c r="Q1600" s="10"/>
      <c r="R1600" s="10"/>
      <c r="S1600" s="7" t="s">
        <v>407</v>
      </c>
      <c r="T1600" s="7" t="s">
        <v>3776</v>
      </c>
      <c r="U1600" s="7" t="s">
        <v>44</v>
      </c>
      <c r="V1600" s="7" t="s">
        <v>45</v>
      </c>
      <c r="W1600" s="7" t="s">
        <v>171</v>
      </c>
      <c r="X1600" s="7" t="s">
        <v>194</v>
      </c>
      <c r="Y1600" s="7" t="s">
        <v>3932</v>
      </c>
      <c r="Z1600" s="7" t="s">
        <v>3922</v>
      </c>
      <c r="AA1600" s="7"/>
      <c r="AB1600" s="7"/>
      <c r="AC1600" s="7" t="s">
        <v>191</v>
      </c>
      <c r="AD1600" s="7"/>
      <c r="AE1600" s="7"/>
      <c r="AF1600" s="7" t="s">
        <v>50</v>
      </c>
      <c r="AG1600" s="7" t="s">
        <v>175</v>
      </c>
      <c r="AH1600" s="7" t="s">
        <v>197</v>
      </c>
    </row>
    <row r="1601" spans="1:34" ht="9.75" customHeight="1" x14ac:dyDescent="0.2">
      <c r="A1601" s="7" t="s">
        <v>37</v>
      </c>
      <c r="B1601" s="7" t="s">
        <v>38</v>
      </c>
      <c r="C1601" s="7"/>
      <c r="D1601" s="7" t="s">
        <v>3933</v>
      </c>
      <c r="E1601" s="8">
        <v>1</v>
      </c>
      <c r="F1601" s="7" t="s">
        <v>61</v>
      </c>
      <c r="G1601" s="7"/>
      <c r="H1601" s="9"/>
      <c r="I1601" s="9"/>
      <c r="J1601" s="9"/>
      <c r="K1601" s="9"/>
      <c r="L1601" s="10">
        <v>6772</v>
      </c>
      <c r="M1601" s="9"/>
      <c r="N1601" s="10">
        <v>6772</v>
      </c>
      <c r="O1601" s="9"/>
      <c r="P1601" s="10"/>
      <c r="Q1601" s="10"/>
      <c r="R1601" s="10"/>
      <c r="S1601" s="7" t="s">
        <v>407</v>
      </c>
      <c r="T1601" s="7" t="s">
        <v>3776</v>
      </c>
      <c r="U1601" s="7" t="s">
        <v>44</v>
      </c>
      <c r="V1601" s="7" t="s">
        <v>45</v>
      </c>
      <c r="W1601" s="7" t="s">
        <v>171</v>
      </c>
      <c r="X1601" s="7" t="s">
        <v>194</v>
      </c>
      <c r="Y1601" s="7" t="s">
        <v>3934</v>
      </c>
      <c r="Z1601" s="7" t="s">
        <v>3935</v>
      </c>
      <c r="AA1601" s="7"/>
      <c r="AB1601" s="7"/>
      <c r="AC1601" s="7" t="s">
        <v>191</v>
      </c>
      <c r="AD1601" s="7"/>
      <c r="AE1601" s="7"/>
      <c r="AF1601" s="7" t="s">
        <v>50</v>
      </c>
      <c r="AG1601" s="7" t="s">
        <v>175</v>
      </c>
      <c r="AH1601" s="7" t="s">
        <v>197</v>
      </c>
    </row>
    <row r="1602" spans="1:34" ht="9.75" customHeight="1" x14ac:dyDescent="0.2">
      <c r="A1602" s="7" t="s">
        <v>37</v>
      </c>
      <c r="B1602" s="7" t="s">
        <v>38</v>
      </c>
      <c r="C1602" s="7"/>
      <c r="D1602" s="7" t="s">
        <v>3936</v>
      </c>
      <c r="E1602" s="8">
        <v>1</v>
      </c>
      <c r="F1602" s="7" t="s">
        <v>61</v>
      </c>
      <c r="G1602" s="7"/>
      <c r="H1602" s="9"/>
      <c r="I1602" s="9"/>
      <c r="J1602" s="9"/>
      <c r="K1602" s="9"/>
      <c r="L1602" s="10">
        <v>125</v>
      </c>
      <c r="M1602" s="9"/>
      <c r="N1602" s="10">
        <v>125</v>
      </c>
      <c r="O1602" s="9"/>
      <c r="P1602" s="10"/>
      <c r="Q1602" s="10"/>
      <c r="R1602" s="10"/>
      <c r="S1602" s="7" t="s">
        <v>407</v>
      </c>
      <c r="T1602" s="7" t="s">
        <v>3776</v>
      </c>
      <c r="U1602" s="7" t="s">
        <v>44</v>
      </c>
      <c r="V1602" s="7" t="s">
        <v>45</v>
      </c>
      <c r="W1602" s="7" t="s">
        <v>171</v>
      </c>
      <c r="X1602" s="7" t="s">
        <v>194</v>
      </c>
      <c r="Y1602" s="7" t="s">
        <v>3937</v>
      </c>
      <c r="Z1602" s="7" t="s">
        <v>3935</v>
      </c>
      <c r="AA1602" s="7"/>
      <c r="AB1602" s="7"/>
      <c r="AC1602" s="7" t="s">
        <v>191</v>
      </c>
      <c r="AD1602" s="7"/>
      <c r="AE1602" s="7"/>
      <c r="AF1602" s="7" t="s">
        <v>50</v>
      </c>
      <c r="AG1602" s="7" t="s">
        <v>175</v>
      </c>
      <c r="AH1602" s="7" t="s">
        <v>197</v>
      </c>
    </row>
    <row r="1603" spans="1:34" ht="9.75" customHeight="1" x14ac:dyDescent="0.2">
      <c r="A1603" s="7" t="s">
        <v>37</v>
      </c>
      <c r="B1603" s="7" t="s">
        <v>38</v>
      </c>
      <c r="C1603" s="7"/>
      <c r="D1603" s="7" t="s">
        <v>3938</v>
      </c>
      <c r="E1603" s="8">
        <v>1</v>
      </c>
      <c r="F1603" s="7" t="s">
        <v>61</v>
      </c>
      <c r="G1603" s="7"/>
      <c r="H1603" s="9"/>
      <c r="I1603" s="9"/>
      <c r="J1603" s="9"/>
      <c r="K1603" s="9"/>
      <c r="L1603" s="10">
        <v>876</v>
      </c>
      <c r="M1603" s="9"/>
      <c r="N1603" s="10">
        <v>876</v>
      </c>
      <c r="O1603" s="9"/>
      <c r="P1603" s="10"/>
      <c r="Q1603" s="10"/>
      <c r="R1603" s="10"/>
      <c r="S1603" s="7" t="s">
        <v>407</v>
      </c>
      <c r="T1603" s="7" t="s">
        <v>3776</v>
      </c>
      <c r="U1603" s="7" t="s">
        <v>44</v>
      </c>
      <c r="V1603" s="7" t="s">
        <v>45</v>
      </c>
      <c r="W1603" s="7" t="s">
        <v>171</v>
      </c>
      <c r="X1603" s="7" t="s">
        <v>194</v>
      </c>
      <c r="Y1603" s="7" t="s">
        <v>3939</v>
      </c>
      <c r="Z1603" s="7" t="s">
        <v>3935</v>
      </c>
      <c r="AA1603" s="7"/>
      <c r="AB1603" s="7"/>
      <c r="AC1603" s="7" t="s">
        <v>191</v>
      </c>
      <c r="AD1603" s="7"/>
      <c r="AE1603" s="7"/>
      <c r="AF1603" s="7" t="s">
        <v>50</v>
      </c>
      <c r="AG1603" s="7" t="s">
        <v>175</v>
      </c>
      <c r="AH1603" s="7" t="s">
        <v>197</v>
      </c>
    </row>
    <row r="1604" spans="1:34" ht="9.75" customHeight="1" x14ac:dyDescent="0.2">
      <c r="A1604" s="7" t="s">
        <v>37</v>
      </c>
      <c r="B1604" s="7" t="s">
        <v>38</v>
      </c>
      <c r="C1604" s="7"/>
      <c r="D1604" s="7" t="s">
        <v>3940</v>
      </c>
      <c r="E1604" s="8">
        <v>1</v>
      </c>
      <c r="F1604" s="7" t="s">
        <v>61</v>
      </c>
      <c r="G1604" s="7"/>
      <c r="H1604" s="9"/>
      <c r="I1604" s="9"/>
      <c r="J1604" s="9"/>
      <c r="K1604" s="9"/>
      <c r="L1604" s="10">
        <v>1571</v>
      </c>
      <c r="M1604" s="9"/>
      <c r="N1604" s="10">
        <v>1571</v>
      </c>
      <c r="O1604" s="9"/>
      <c r="P1604" s="10"/>
      <c r="Q1604" s="10"/>
      <c r="R1604" s="10"/>
      <c r="S1604" s="7" t="s">
        <v>407</v>
      </c>
      <c r="T1604" s="7" t="s">
        <v>3776</v>
      </c>
      <c r="U1604" s="7" t="s">
        <v>44</v>
      </c>
      <c r="V1604" s="7" t="s">
        <v>45</v>
      </c>
      <c r="W1604" s="7" t="s">
        <v>171</v>
      </c>
      <c r="X1604" s="7" t="s">
        <v>194</v>
      </c>
      <c r="Y1604" s="7" t="s">
        <v>3941</v>
      </c>
      <c r="Z1604" s="7" t="s">
        <v>3935</v>
      </c>
      <c r="AA1604" s="7"/>
      <c r="AB1604" s="7"/>
      <c r="AC1604" s="7" t="s">
        <v>191</v>
      </c>
      <c r="AD1604" s="7"/>
      <c r="AE1604" s="7"/>
      <c r="AF1604" s="7" t="s">
        <v>50</v>
      </c>
      <c r="AG1604" s="7" t="s">
        <v>175</v>
      </c>
      <c r="AH1604" s="7" t="s">
        <v>197</v>
      </c>
    </row>
    <row r="1605" spans="1:34" ht="9.75" customHeight="1" x14ac:dyDescent="0.2">
      <c r="A1605" s="7" t="s">
        <v>37</v>
      </c>
      <c r="B1605" s="7" t="s">
        <v>38</v>
      </c>
      <c r="C1605" s="7"/>
      <c r="D1605" s="7" t="s">
        <v>3942</v>
      </c>
      <c r="E1605" s="8">
        <v>1</v>
      </c>
      <c r="F1605" s="7" t="s">
        <v>61</v>
      </c>
      <c r="G1605" s="7"/>
      <c r="H1605" s="9"/>
      <c r="I1605" s="9"/>
      <c r="J1605" s="9"/>
      <c r="K1605" s="9"/>
      <c r="L1605" s="10">
        <v>874</v>
      </c>
      <c r="M1605" s="9"/>
      <c r="N1605" s="10">
        <v>874</v>
      </c>
      <c r="O1605" s="9"/>
      <c r="P1605" s="10"/>
      <c r="Q1605" s="10"/>
      <c r="R1605" s="10"/>
      <c r="S1605" s="7" t="s">
        <v>407</v>
      </c>
      <c r="T1605" s="7" t="s">
        <v>3776</v>
      </c>
      <c r="U1605" s="7" t="s">
        <v>44</v>
      </c>
      <c r="V1605" s="7" t="s">
        <v>45</v>
      </c>
      <c r="W1605" s="7" t="s">
        <v>171</v>
      </c>
      <c r="X1605" s="7" t="s">
        <v>194</v>
      </c>
      <c r="Y1605" s="7" t="s">
        <v>3943</v>
      </c>
      <c r="Z1605" s="7" t="s">
        <v>3935</v>
      </c>
      <c r="AA1605" s="7"/>
      <c r="AB1605" s="7"/>
      <c r="AC1605" s="7" t="s">
        <v>191</v>
      </c>
      <c r="AD1605" s="7"/>
      <c r="AE1605" s="7"/>
      <c r="AF1605" s="7" t="s">
        <v>50</v>
      </c>
      <c r="AG1605" s="7" t="s">
        <v>175</v>
      </c>
      <c r="AH1605" s="7" t="s">
        <v>197</v>
      </c>
    </row>
    <row r="1606" spans="1:34" ht="9.75" customHeight="1" x14ac:dyDescent="0.2">
      <c r="A1606" s="7" t="s">
        <v>37</v>
      </c>
      <c r="B1606" s="7" t="s">
        <v>38</v>
      </c>
      <c r="C1606" s="7"/>
      <c r="D1606" s="7" t="s">
        <v>3944</v>
      </c>
      <c r="E1606" s="8">
        <v>1</v>
      </c>
      <c r="F1606" s="7" t="s">
        <v>61</v>
      </c>
      <c r="G1606" s="7"/>
      <c r="H1606" s="9"/>
      <c r="I1606" s="9"/>
      <c r="J1606" s="9"/>
      <c r="K1606" s="9"/>
      <c r="L1606" s="10">
        <v>12607</v>
      </c>
      <c r="M1606" s="9"/>
      <c r="N1606" s="10">
        <v>12607</v>
      </c>
      <c r="O1606" s="9"/>
      <c r="P1606" s="10"/>
      <c r="Q1606" s="10"/>
      <c r="R1606" s="10"/>
      <c r="S1606" s="7" t="s">
        <v>407</v>
      </c>
      <c r="T1606" s="7" t="s">
        <v>3776</v>
      </c>
      <c r="U1606" s="7" t="s">
        <v>44</v>
      </c>
      <c r="V1606" s="7" t="s">
        <v>45</v>
      </c>
      <c r="W1606" s="7" t="s">
        <v>171</v>
      </c>
      <c r="X1606" s="7" t="s">
        <v>194</v>
      </c>
      <c r="Y1606" s="7" t="s">
        <v>3945</v>
      </c>
      <c r="Z1606" s="7" t="s">
        <v>3946</v>
      </c>
      <c r="AA1606" s="7"/>
      <c r="AB1606" s="7"/>
      <c r="AC1606" s="7" t="s">
        <v>191</v>
      </c>
      <c r="AD1606" s="7"/>
      <c r="AE1606" s="7"/>
      <c r="AF1606" s="7" t="s">
        <v>50</v>
      </c>
      <c r="AG1606" s="7" t="s">
        <v>175</v>
      </c>
      <c r="AH1606" s="7" t="s">
        <v>197</v>
      </c>
    </row>
    <row r="1607" spans="1:34" ht="9.75" customHeight="1" x14ac:dyDescent="0.2">
      <c r="A1607" s="7" t="s">
        <v>37</v>
      </c>
      <c r="B1607" s="7" t="s">
        <v>38</v>
      </c>
      <c r="C1607" s="7"/>
      <c r="D1607" s="7" t="s">
        <v>3947</v>
      </c>
      <c r="E1607" s="8">
        <v>1</v>
      </c>
      <c r="F1607" s="7" t="s">
        <v>61</v>
      </c>
      <c r="G1607" s="7"/>
      <c r="H1607" s="9"/>
      <c r="I1607" s="9"/>
      <c r="J1607" s="9"/>
      <c r="K1607" s="9"/>
      <c r="L1607" s="10">
        <v>56</v>
      </c>
      <c r="M1607" s="9"/>
      <c r="N1607" s="10">
        <v>56</v>
      </c>
      <c r="O1607" s="9"/>
      <c r="P1607" s="10"/>
      <c r="Q1607" s="10"/>
      <c r="R1607" s="10"/>
      <c r="S1607" s="7" t="s">
        <v>407</v>
      </c>
      <c r="T1607" s="7" t="s">
        <v>3776</v>
      </c>
      <c r="U1607" s="7" t="s">
        <v>44</v>
      </c>
      <c r="V1607" s="7" t="s">
        <v>45</v>
      </c>
      <c r="W1607" s="7" t="s">
        <v>171</v>
      </c>
      <c r="X1607" s="7" t="s">
        <v>194</v>
      </c>
      <c r="Y1607" s="7" t="s">
        <v>3948</v>
      </c>
      <c r="Z1607" s="7" t="s">
        <v>3946</v>
      </c>
      <c r="AA1607" s="7"/>
      <c r="AB1607" s="7"/>
      <c r="AC1607" s="7" t="s">
        <v>191</v>
      </c>
      <c r="AD1607" s="7"/>
      <c r="AE1607" s="7"/>
      <c r="AF1607" s="7" t="s">
        <v>50</v>
      </c>
      <c r="AG1607" s="7" t="s">
        <v>175</v>
      </c>
      <c r="AH1607" s="7" t="s">
        <v>197</v>
      </c>
    </row>
    <row r="1608" spans="1:34" ht="9.75" customHeight="1" x14ac:dyDescent="0.2">
      <c r="A1608" s="7" t="s">
        <v>37</v>
      </c>
      <c r="B1608" s="7" t="s">
        <v>38</v>
      </c>
      <c r="C1608" s="7"/>
      <c r="D1608" s="7" t="s">
        <v>3949</v>
      </c>
      <c r="E1608" s="8">
        <v>1</v>
      </c>
      <c r="F1608" s="7" t="s">
        <v>61</v>
      </c>
      <c r="G1608" s="7"/>
      <c r="H1608" s="9"/>
      <c r="I1608" s="9"/>
      <c r="J1608" s="9"/>
      <c r="K1608" s="9"/>
      <c r="L1608" s="10">
        <v>286</v>
      </c>
      <c r="M1608" s="9"/>
      <c r="N1608" s="10">
        <v>286</v>
      </c>
      <c r="O1608" s="9"/>
      <c r="P1608" s="10"/>
      <c r="Q1608" s="10"/>
      <c r="R1608" s="10"/>
      <c r="S1608" s="7" t="s">
        <v>407</v>
      </c>
      <c r="T1608" s="7" t="s">
        <v>3776</v>
      </c>
      <c r="U1608" s="7" t="s">
        <v>44</v>
      </c>
      <c r="V1608" s="7" t="s">
        <v>45</v>
      </c>
      <c r="W1608" s="7" t="s">
        <v>171</v>
      </c>
      <c r="X1608" s="7" t="s">
        <v>194</v>
      </c>
      <c r="Y1608" s="7" t="s">
        <v>3950</v>
      </c>
      <c r="Z1608" s="7" t="s">
        <v>3946</v>
      </c>
      <c r="AA1608" s="7"/>
      <c r="AB1608" s="7"/>
      <c r="AC1608" s="7" t="s">
        <v>191</v>
      </c>
      <c r="AD1608" s="7"/>
      <c r="AE1608" s="7" t="s">
        <v>3951</v>
      </c>
      <c r="AF1608" s="7" t="s">
        <v>50</v>
      </c>
      <c r="AG1608" s="7" t="s">
        <v>175</v>
      </c>
      <c r="AH1608" s="7" t="s">
        <v>197</v>
      </c>
    </row>
    <row r="1609" spans="1:34" ht="9.75" customHeight="1" x14ac:dyDescent="0.2">
      <c r="A1609" s="7" t="s">
        <v>37</v>
      </c>
      <c r="B1609" s="7" t="s">
        <v>38</v>
      </c>
      <c r="C1609" s="7"/>
      <c r="D1609" s="7" t="s">
        <v>3952</v>
      </c>
      <c r="E1609" s="8">
        <v>1</v>
      </c>
      <c r="F1609" s="7" t="s">
        <v>61</v>
      </c>
      <c r="G1609" s="7"/>
      <c r="H1609" s="9"/>
      <c r="I1609" s="9"/>
      <c r="J1609" s="9"/>
      <c r="K1609" s="9"/>
      <c r="L1609" s="10">
        <v>1087</v>
      </c>
      <c r="M1609" s="9"/>
      <c r="N1609" s="10">
        <v>1087</v>
      </c>
      <c r="O1609" s="9"/>
      <c r="P1609" s="10"/>
      <c r="Q1609" s="10"/>
      <c r="R1609" s="10"/>
      <c r="S1609" s="7" t="s">
        <v>407</v>
      </c>
      <c r="T1609" s="7" t="s">
        <v>3776</v>
      </c>
      <c r="U1609" s="7" t="s">
        <v>44</v>
      </c>
      <c r="V1609" s="7" t="s">
        <v>45</v>
      </c>
      <c r="W1609" s="7" t="s">
        <v>171</v>
      </c>
      <c r="X1609" s="7" t="s">
        <v>194</v>
      </c>
      <c r="Y1609" s="7" t="s">
        <v>3953</v>
      </c>
      <c r="Z1609" s="7" t="s">
        <v>3946</v>
      </c>
      <c r="AA1609" s="7"/>
      <c r="AB1609" s="7"/>
      <c r="AC1609" s="7" t="s">
        <v>191</v>
      </c>
      <c r="AD1609" s="7"/>
      <c r="AE1609" s="7"/>
      <c r="AF1609" s="7" t="s">
        <v>50</v>
      </c>
      <c r="AG1609" s="7" t="s">
        <v>175</v>
      </c>
      <c r="AH1609" s="7" t="s">
        <v>197</v>
      </c>
    </row>
    <row r="1610" spans="1:34" ht="9.75" customHeight="1" x14ac:dyDescent="0.2">
      <c r="A1610" s="7" t="s">
        <v>37</v>
      </c>
      <c r="B1610" s="7" t="s">
        <v>38</v>
      </c>
      <c r="C1610" s="7"/>
      <c r="D1610" s="7" t="s">
        <v>3954</v>
      </c>
      <c r="E1610" s="8">
        <v>1</v>
      </c>
      <c r="F1610" s="7" t="s">
        <v>61</v>
      </c>
      <c r="G1610" s="7"/>
      <c r="H1610" s="9"/>
      <c r="I1610" s="9"/>
      <c r="J1610" s="9"/>
      <c r="K1610" s="9"/>
      <c r="L1610" s="10">
        <v>170</v>
      </c>
      <c r="M1610" s="9"/>
      <c r="N1610" s="10">
        <v>170</v>
      </c>
      <c r="O1610" s="9"/>
      <c r="P1610" s="10"/>
      <c r="Q1610" s="10"/>
      <c r="R1610" s="10"/>
      <c r="S1610" s="7" t="s">
        <v>407</v>
      </c>
      <c r="T1610" s="7" t="s">
        <v>3776</v>
      </c>
      <c r="U1610" s="7" t="s">
        <v>44</v>
      </c>
      <c r="V1610" s="7" t="s">
        <v>45</v>
      </c>
      <c r="W1610" s="7" t="s">
        <v>171</v>
      </c>
      <c r="X1610" s="7" t="s">
        <v>194</v>
      </c>
      <c r="Y1610" s="7" t="s">
        <v>3955</v>
      </c>
      <c r="Z1610" s="7" t="s">
        <v>3946</v>
      </c>
      <c r="AA1610" s="7"/>
      <c r="AB1610" s="7"/>
      <c r="AC1610" s="7" t="s">
        <v>191</v>
      </c>
      <c r="AD1610" s="7"/>
      <c r="AE1610" s="7"/>
      <c r="AF1610" s="7" t="s">
        <v>50</v>
      </c>
      <c r="AG1610" s="7" t="s">
        <v>175</v>
      </c>
      <c r="AH1610" s="7" t="s">
        <v>197</v>
      </c>
    </row>
    <row r="1611" spans="1:34" ht="9.75" customHeight="1" x14ac:dyDescent="0.2">
      <c r="A1611" s="7" t="s">
        <v>37</v>
      </c>
      <c r="B1611" s="7" t="s">
        <v>38</v>
      </c>
      <c r="C1611" s="7"/>
      <c r="D1611" s="7" t="s">
        <v>3956</v>
      </c>
      <c r="E1611" s="8">
        <v>1</v>
      </c>
      <c r="F1611" s="7" t="s">
        <v>61</v>
      </c>
      <c r="G1611" s="7"/>
      <c r="H1611" s="9"/>
      <c r="I1611" s="9"/>
      <c r="J1611" s="9"/>
      <c r="K1611" s="9"/>
      <c r="L1611" s="10">
        <v>698</v>
      </c>
      <c r="M1611" s="9"/>
      <c r="N1611" s="10">
        <v>698</v>
      </c>
      <c r="O1611" s="9"/>
      <c r="P1611" s="10"/>
      <c r="Q1611" s="10"/>
      <c r="R1611" s="10"/>
      <c r="S1611" s="7" t="s">
        <v>407</v>
      </c>
      <c r="T1611" s="7" t="s">
        <v>3776</v>
      </c>
      <c r="U1611" s="7" t="s">
        <v>44</v>
      </c>
      <c r="V1611" s="7" t="s">
        <v>45</v>
      </c>
      <c r="W1611" s="7" t="s">
        <v>171</v>
      </c>
      <c r="X1611" s="7" t="s">
        <v>194</v>
      </c>
      <c r="Y1611" s="7" t="s">
        <v>3957</v>
      </c>
      <c r="Z1611" s="7" t="s">
        <v>3946</v>
      </c>
      <c r="AA1611" s="7"/>
      <c r="AB1611" s="7"/>
      <c r="AC1611" s="7" t="s">
        <v>191</v>
      </c>
      <c r="AD1611" s="7"/>
      <c r="AE1611" s="7"/>
      <c r="AF1611" s="7" t="s">
        <v>50</v>
      </c>
      <c r="AG1611" s="7" t="s">
        <v>175</v>
      </c>
      <c r="AH1611" s="7" t="s">
        <v>197</v>
      </c>
    </row>
    <row r="1612" spans="1:34" ht="9.75" customHeight="1" x14ac:dyDescent="0.2">
      <c r="A1612" s="7" t="s">
        <v>37</v>
      </c>
      <c r="B1612" s="7" t="s">
        <v>38</v>
      </c>
      <c r="C1612" s="7"/>
      <c r="D1612" s="7" t="s">
        <v>3958</v>
      </c>
      <c r="E1612" s="8">
        <v>1</v>
      </c>
      <c r="F1612" s="7" t="s">
        <v>61</v>
      </c>
      <c r="G1612" s="7"/>
      <c r="H1612" s="9"/>
      <c r="I1612" s="9"/>
      <c r="J1612" s="9"/>
      <c r="K1612" s="9"/>
      <c r="L1612" s="10">
        <v>13528</v>
      </c>
      <c r="M1612" s="9"/>
      <c r="N1612" s="10">
        <v>13528</v>
      </c>
      <c r="O1612" s="9"/>
      <c r="P1612" s="10"/>
      <c r="Q1612" s="10"/>
      <c r="R1612" s="10"/>
      <c r="S1612" s="7" t="s">
        <v>407</v>
      </c>
      <c r="T1612" s="7" t="s">
        <v>3776</v>
      </c>
      <c r="U1612" s="7" t="s">
        <v>44</v>
      </c>
      <c r="V1612" s="7" t="s">
        <v>45</v>
      </c>
      <c r="W1612" s="7" t="s">
        <v>171</v>
      </c>
      <c r="X1612" s="7" t="s">
        <v>194</v>
      </c>
      <c r="Y1612" s="7" t="s">
        <v>3959</v>
      </c>
      <c r="Z1612" s="7" t="s">
        <v>3960</v>
      </c>
      <c r="AA1612" s="7"/>
      <c r="AB1612" s="7"/>
      <c r="AC1612" s="7" t="s">
        <v>191</v>
      </c>
      <c r="AD1612" s="7"/>
      <c r="AE1612" s="7"/>
      <c r="AF1612" s="7" t="s">
        <v>50</v>
      </c>
      <c r="AG1612" s="7" t="s">
        <v>175</v>
      </c>
      <c r="AH1612" s="7" t="s">
        <v>197</v>
      </c>
    </row>
    <row r="1613" spans="1:34" ht="9.75" customHeight="1" x14ac:dyDescent="0.2">
      <c r="A1613" s="7" t="s">
        <v>37</v>
      </c>
      <c r="B1613" s="7" t="s">
        <v>38</v>
      </c>
      <c r="C1613" s="7"/>
      <c r="D1613" s="7" t="s">
        <v>3961</v>
      </c>
      <c r="E1613" s="8">
        <v>1</v>
      </c>
      <c r="F1613" s="7" t="s">
        <v>61</v>
      </c>
      <c r="G1613" s="7"/>
      <c r="H1613" s="9"/>
      <c r="I1613" s="9"/>
      <c r="J1613" s="9"/>
      <c r="K1613" s="9"/>
      <c r="L1613" s="10">
        <v>53</v>
      </c>
      <c r="M1613" s="9"/>
      <c r="N1613" s="10">
        <v>53</v>
      </c>
      <c r="O1613" s="9"/>
      <c r="P1613" s="10"/>
      <c r="Q1613" s="10"/>
      <c r="R1613" s="10"/>
      <c r="S1613" s="7" t="s">
        <v>407</v>
      </c>
      <c r="T1613" s="7" t="s">
        <v>3776</v>
      </c>
      <c r="U1613" s="7" t="s">
        <v>44</v>
      </c>
      <c r="V1613" s="7" t="s">
        <v>45</v>
      </c>
      <c r="W1613" s="7" t="s">
        <v>171</v>
      </c>
      <c r="X1613" s="7" t="s">
        <v>194</v>
      </c>
      <c r="Y1613" s="7" t="s">
        <v>3962</v>
      </c>
      <c r="Z1613" s="7" t="s">
        <v>3960</v>
      </c>
      <c r="AA1613" s="7"/>
      <c r="AB1613" s="7"/>
      <c r="AC1613" s="7" t="s">
        <v>191</v>
      </c>
      <c r="AD1613" s="7"/>
      <c r="AE1613" s="7"/>
      <c r="AF1613" s="7" t="s">
        <v>50</v>
      </c>
      <c r="AG1613" s="7" t="s">
        <v>175</v>
      </c>
      <c r="AH1613" s="7" t="s">
        <v>197</v>
      </c>
    </row>
    <row r="1614" spans="1:34" ht="9.75" customHeight="1" x14ac:dyDescent="0.2">
      <c r="A1614" s="7" t="s">
        <v>37</v>
      </c>
      <c r="B1614" s="7" t="s">
        <v>38</v>
      </c>
      <c r="C1614" s="7"/>
      <c r="D1614" s="7" t="s">
        <v>3963</v>
      </c>
      <c r="E1614" s="8">
        <v>1</v>
      </c>
      <c r="F1614" s="7" t="s">
        <v>61</v>
      </c>
      <c r="G1614" s="7"/>
      <c r="H1614" s="9"/>
      <c r="I1614" s="9"/>
      <c r="J1614" s="9"/>
      <c r="K1614" s="9"/>
      <c r="L1614" s="10">
        <v>1119</v>
      </c>
      <c r="M1614" s="9"/>
      <c r="N1614" s="10">
        <v>1119</v>
      </c>
      <c r="O1614" s="9"/>
      <c r="P1614" s="10"/>
      <c r="Q1614" s="10"/>
      <c r="R1614" s="10"/>
      <c r="S1614" s="7" t="s">
        <v>407</v>
      </c>
      <c r="T1614" s="7" t="s">
        <v>3776</v>
      </c>
      <c r="U1614" s="7" t="s">
        <v>44</v>
      </c>
      <c r="V1614" s="7" t="s">
        <v>45</v>
      </c>
      <c r="W1614" s="7" t="s">
        <v>171</v>
      </c>
      <c r="X1614" s="7" t="s">
        <v>194</v>
      </c>
      <c r="Y1614" s="7" t="s">
        <v>3964</v>
      </c>
      <c r="Z1614" s="7" t="s">
        <v>3960</v>
      </c>
      <c r="AA1614" s="7"/>
      <c r="AB1614" s="7"/>
      <c r="AC1614" s="7" t="s">
        <v>191</v>
      </c>
      <c r="AD1614" s="7"/>
      <c r="AE1614" s="7"/>
      <c r="AF1614" s="7" t="s">
        <v>50</v>
      </c>
      <c r="AG1614" s="7" t="s">
        <v>175</v>
      </c>
      <c r="AH1614" s="7" t="s">
        <v>197</v>
      </c>
    </row>
    <row r="1615" spans="1:34" ht="9.75" customHeight="1" x14ac:dyDescent="0.2">
      <c r="A1615" s="7" t="s">
        <v>37</v>
      </c>
      <c r="B1615" s="7" t="s">
        <v>38</v>
      </c>
      <c r="C1615" s="7"/>
      <c r="D1615" s="7" t="s">
        <v>3965</v>
      </c>
      <c r="E1615" s="8">
        <v>1</v>
      </c>
      <c r="F1615" s="7" t="s">
        <v>61</v>
      </c>
      <c r="G1615" s="7"/>
      <c r="H1615" s="9"/>
      <c r="I1615" s="9"/>
      <c r="J1615" s="9"/>
      <c r="K1615" s="9"/>
      <c r="L1615" s="10">
        <v>781</v>
      </c>
      <c r="M1615" s="9"/>
      <c r="N1615" s="10">
        <v>781</v>
      </c>
      <c r="O1615" s="9"/>
      <c r="P1615" s="10"/>
      <c r="Q1615" s="10"/>
      <c r="R1615" s="10"/>
      <c r="S1615" s="7" t="s">
        <v>407</v>
      </c>
      <c r="T1615" s="7" t="s">
        <v>3776</v>
      </c>
      <c r="U1615" s="7" t="s">
        <v>44</v>
      </c>
      <c r="V1615" s="7" t="s">
        <v>45</v>
      </c>
      <c r="W1615" s="7" t="s">
        <v>171</v>
      </c>
      <c r="X1615" s="7" t="s">
        <v>194</v>
      </c>
      <c r="Y1615" s="7" t="s">
        <v>3966</v>
      </c>
      <c r="Z1615" s="7" t="s">
        <v>3960</v>
      </c>
      <c r="AA1615" s="7"/>
      <c r="AB1615" s="7"/>
      <c r="AC1615" s="7" t="s">
        <v>191</v>
      </c>
      <c r="AD1615" s="7"/>
      <c r="AE1615" s="7"/>
      <c r="AF1615" s="7" t="s">
        <v>50</v>
      </c>
      <c r="AG1615" s="7" t="s">
        <v>175</v>
      </c>
      <c r="AH1615" s="7" t="s">
        <v>197</v>
      </c>
    </row>
    <row r="1616" spans="1:34" ht="9.75" customHeight="1" x14ac:dyDescent="0.2">
      <c r="A1616" s="7" t="s">
        <v>37</v>
      </c>
      <c r="B1616" s="7" t="s">
        <v>38</v>
      </c>
      <c r="C1616" s="7"/>
      <c r="D1616" s="7" t="s">
        <v>3967</v>
      </c>
      <c r="E1616" s="8">
        <v>1</v>
      </c>
      <c r="F1616" s="7" t="s">
        <v>61</v>
      </c>
      <c r="G1616" s="7"/>
      <c r="H1616" s="9"/>
      <c r="I1616" s="9"/>
      <c r="J1616" s="9"/>
      <c r="K1616" s="9"/>
      <c r="L1616" s="10">
        <v>564</v>
      </c>
      <c r="M1616" s="9"/>
      <c r="N1616" s="10">
        <v>564</v>
      </c>
      <c r="O1616" s="9"/>
      <c r="P1616" s="10"/>
      <c r="Q1616" s="10"/>
      <c r="R1616" s="10"/>
      <c r="S1616" s="7" t="s">
        <v>407</v>
      </c>
      <c r="T1616" s="7" t="s">
        <v>3776</v>
      </c>
      <c r="U1616" s="7" t="s">
        <v>44</v>
      </c>
      <c r="V1616" s="7" t="s">
        <v>45</v>
      </c>
      <c r="W1616" s="7" t="s">
        <v>171</v>
      </c>
      <c r="X1616" s="7" t="s">
        <v>194</v>
      </c>
      <c r="Y1616" s="7" t="s">
        <v>3968</v>
      </c>
      <c r="Z1616" s="7" t="s">
        <v>3960</v>
      </c>
      <c r="AA1616" s="7"/>
      <c r="AB1616" s="7"/>
      <c r="AC1616" s="7" t="s">
        <v>191</v>
      </c>
      <c r="AD1616" s="7"/>
      <c r="AE1616" s="7"/>
      <c r="AF1616" s="7" t="s">
        <v>50</v>
      </c>
      <c r="AG1616" s="7" t="s">
        <v>175</v>
      </c>
      <c r="AH1616" s="7" t="s">
        <v>197</v>
      </c>
    </row>
    <row r="1617" spans="1:34" ht="9.75" customHeight="1" x14ac:dyDescent="0.2">
      <c r="A1617" s="7" t="s">
        <v>37</v>
      </c>
      <c r="B1617" s="7" t="s">
        <v>38</v>
      </c>
      <c r="C1617" s="7"/>
      <c r="D1617" s="7" t="s">
        <v>3969</v>
      </c>
      <c r="E1617" s="8">
        <v>1</v>
      </c>
      <c r="F1617" s="7" t="s">
        <v>61</v>
      </c>
      <c r="G1617" s="7"/>
      <c r="H1617" s="9"/>
      <c r="I1617" s="9"/>
      <c r="J1617" s="9"/>
      <c r="K1617" s="9"/>
      <c r="L1617" s="10">
        <v>598</v>
      </c>
      <c r="M1617" s="9"/>
      <c r="N1617" s="10">
        <v>598</v>
      </c>
      <c r="O1617" s="9"/>
      <c r="P1617" s="10"/>
      <c r="Q1617" s="10"/>
      <c r="R1617" s="10"/>
      <c r="S1617" s="7" t="s">
        <v>407</v>
      </c>
      <c r="T1617" s="7" t="s">
        <v>3776</v>
      </c>
      <c r="U1617" s="7" t="s">
        <v>44</v>
      </c>
      <c r="V1617" s="7" t="s">
        <v>45</v>
      </c>
      <c r="W1617" s="7" t="s">
        <v>171</v>
      </c>
      <c r="X1617" s="7" t="s">
        <v>194</v>
      </c>
      <c r="Y1617" s="7" t="s">
        <v>3970</v>
      </c>
      <c r="Z1617" s="7" t="s">
        <v>3960</v>
      </c>
      <c r="AA1617" s="7"/>
      <c r="AB1617" s="7"/>
      <c r="AC1617" s="7" t="s">
        <v>191</v>
      </c>
      <c r="AD1617" s="7"/>
      <c r="AE1617" s="7"/>
      <c r="AF1617" s="7" t="s">
        <v>50</v>
      </c>
      <c r="AG1617" s="7" t="s">
        <v>175</v>
      </c>
      <c r="AH1617" s="7" t="s">
        <v>197</v>
      </c>
    </row>
    <row r="1618" spans="1:34" ht="9.75" customHeight="1" x14ac:dyDescent="0.2">
      <c r="A1618" s="7" t="s">
        <v>37</v>
      </c>
      <c r="B1618" s="7" t="s">
        <v>38</v>
      </c>
      <c r="C1618" s="7"/>
      <c r="D1618" s="7" t="s">
        <v>3971</v>
      </c>
      <c r="E1618" s="8">
        <v>1</v>
      </c>
      <c r="F1618" s="7" t="s">
        <v>61</v>
      </c>
      <c r="G1618" s="7"/>
      <c r="H1618" s="9"/>
      <c r="I1618" s="9"/>
      <c r="J1618" s="9"/>
      <c r="K1618" s="9"/>
      <c r="L1618" s="10">
        <v>3728</v>
      </c>
      <c r="M1618" s="9"/>
      <c r="N1618" s="10">
        <v>3728</v>
      </c>
      <c r="O1618" s="9"/>
      <c r="P1618" s="10"/>
      <c r="Q1618" s="10"/>
      <c r="R1618" s="10"/>
      <c r="S1618" s="7" t="s">
        <v>407</v>
      </c>
      <c r="T1618" s="7" t="s">
        <v>3776</v>
      </c>
      <c r="U1618" s="7" t="s">
        <v>44</v>
      </c>
      <c r="V1618" s="7" t="s">
        <v>45</v>
      </c>
      <c r="W1618" s="7" t="s">
        <v>171</v>
      </c>
      <c r="X1618" s="7" t="s">
        <v>194</v>
      </c>
      <c r="Y1618" s="7" t="s">
        <v>3972</v>
      </c>
      <c r="Z1618" s="7" t="s">
        <v>3973</v>
      </c>
      <c r="AA1618" s="7"/>
      <c r="AB1618" s="7"/>
      <c r="AC1618" s="7" t="s">
        <v>191</v>
      </c>
      <c r="AD1618" s="7"/>
      <c r="AE1618" s="7"/>
      <c r="AF1618" s="7" t="s">
        <v>50</v>
      </c>
      <c r="AG1618" s="7" t="s">
        <v>175</v>
      </c>
      <c r="AH1618" s="7" t="s">
        <v>197</v>
      </c>
    </row>
    <row r="1619" spans="1:34" ht="9.75" customHeight="1" x14ac:dyDescent="0.2">
      <c r="A1619" s="7" t="s">
        <v>37</v>
      </c>
      <c r="B1619" s="7" t="s">
        <v>38</v>
      </c>
      <c r="C1619" s="7"/>
      <c r="D1619" s="7" t="s">
        <v>3974</v>
      </c>
      <c r="E1619" s="8">
        <v>1</v>
      </c>
      <c r="F1619" s="7" t="s">
        <v>61</v>
      </c>
      <c r="G1619" s="7"/>
      <c r="H1619" s="9"/>
      <c r="I1619" s="9"/>
      <c r="J1619" s="9"/>
      <c r="K1619" s="9"/>
      <c r="L1619" s="10">
        <v>480</v>
      </c>
      <c r="M1619" s="9"/>
      <c r="N1619" s="10">
        <v>480</v>
      </c>
      <c r="O1619" s="9"/>
      <c r="P1619" s="10"/>
      <c r="Q1619" s="10"/>
      <c r="R1619" s="10"/>
      <c r="S1619" s="7" t="s">
        <v>407</v>
      </c>
      <c r="T1619" s="7" t="s">
        <v>3776</v>
      </c>
      <c r="U1619" s="7" t="s">
        <v>44</v>
      </c>
      <c r="V1619" s="7" t="s">
        <v>45</v>
      </c>
      <c r="W1619" s="7" t="s">
        <v>171</v>
      </c>
      <c r="X1619" s="7" t="s">
        <v>194</v>
      </c>
      <c r="Y1619" s="7" t="s">
        <v>3975</v>
      </c>
      <c r="Z1619" s="7" t="s">
        <v>3973</v>
      </c>
      <c r="AA1619" s="7"/>
      <c r="AB1619" s="7"/>
      <c r="AC1619" s="7" t="s">
        <v>191</v>
      </c>
      <c r="AD1619" s="7"/>
      <c r="AE1619" s="7" t="s">
        <v>3976</v>
      </c>
      <c r="AF1619" s="7" t="s">
        <v>50</v>
      </c>
      <c r="AG1619" s="7" t="s">
        <v>175</v>
      </c>
      <c r="AH1619" s="7" t="s">
        <v>197</v>
      </c>
    </row>
    <row r="1620" spans="1:34" ht="9.75" customHeight="1" x14ac:dyDescent="0.2">
      <c r="A1620" s="7" t="s">
        <v>37</v>
      </c>
      <c r="B1620" s="7" t="s">
        <v>38</v>
      </c>
      <c r="C1620" s="7"/>
      <c r="D1620" s="7" t="s">
        <v>3977</v>
      </c>
      <c r="E1620" s="8">
        <v>1</v>
      </c>
      <c r="F1620" s="7" t="s">
        <v>61</v>
      </c>
      <c r="G1620" s="7"/>
      <c r="H1620" s="9"/>
      <c r="I1620" s="9"/>
      <c r="J1620" s="9"/>
      <c r="K1620" s="9"/>
      <c r="L1620" s="10">
        <v>821</v>
      </c>
      <c r="M1620" s="9"/>
      <c r="N1620" s="10">
        <v>821</v>
      </c>
      <c r="O1620" s="9"/>
      <c r="P1620" s="10"/>
      <c r="Q1620" s="10"/>
      <c r="R1620" s="10"/>
      <c r="S1620" s="7" t="s">
        <v>407</v>
      </c>
      <c r="T1620" s="7" t="s">
        <v>3776</v>
      </c>
      <c r="U1620" s="7" t="s">
        <v>44</v>
      </c>
      <c r="V1620" s="7" t="s">
        <v>45</v>
      </c>
      <c r="W1620" s="7" t="s">
        <v>171</v>
      </c>
      <c r="X1620" s="7" t="s">
        <v>194</v>
      </c>
      <c r="Y1620" s="7" t="s">
        <v>3978</v>
      </c>
      <c r="Z1620" s="7" t="s">
        <v>3973</v>
      </c>
      <c r="AA1620" s="7"/>
      <c r="AB1620" s="7"/>
      <c r="AC1620" s="7" t="s">
        <v>191</v>
      </c>
      <c r="AD1620" s="7"/>
      <c r="AE1620" s="7"/>
      <c r="AF1620" s="7" t="s">
        <v>50</v>
      </c>
      <c r="AG1620" s="7" t="s">
        <v>175</v>
      </c>
      <c r="AH1620" s="7" t="s">
        <v>197</v>
      </c>
    </row>
    <row r="1621" spans="1:34" ht="9.75" customHeight="1" x14ac:dyDescent="0.2">
      <c r="A1621" s="7" t="s">
        <v>37</v>
      </c>
      <c r="B1621" s="7" t="s">
        <v>38</v>
      </c>
      <c r="C1621" s="7"/>
      <c r="D1621" s="7" t="s">
        <v>3979</v>
      </c>
      <c r="E1621" s="8">
        <v>1</v>
      </c>
      <c r="F1621" s="7" t="s">
        <v>61</v>
      </c>
      <c r="G1621" s="7"/>
      <c r="H1621" s="9"/>
      <c r="I1621" s="9"/>
      <c r="J1621" s="9"/>
      <c r="K1621" s="9"/>
      <c r="L1621" s="10">
        <v>1251</v>
      </c>
      <c r="M1621" s="9"/>
      <c r="N1621" s="10">
        <v>1251</v>
      </c>
      <c r="O1621" s="9"/>
      <c r="P1621" s="10"/>
      <c r="Q1621" s="10"/>
      <c r="R1621" s="10"/>
      <c r="S1621" s="7" t="s">
        <v>407</v>
      </c>
      <c r="T1621" s="7" t="s">
        <v>3776</v>
      </c>
      <c r="U1621" s="7" t="s">
        <v>44</v>
      </c>
      <c r="V1621" s="7" t="s">
        <v>45</v>
      </c>
      <c r="W1621" s="7" t="s">
        <v>171</v>
      </c>
      <c r="X1621" s="7" t="s">
        <v>194</v>
      </c>
      <c r="Y1621" s="7" t="s">
        <v>3980</v>
      </c>
      <c r="Z1621" s="7" t="s">
        <v>3973</v>
      </c>
      <c r="AA1621" s="7"/>
      <c r="AB1621" s="7"/>
      <c r="AC1621" s="7" t="s">
        <v>191</v>
      </c>
      <c r="AD1621" s="7"/>
      <c r="AE1621" s="7"/>
      <c r="AF1621" s="7" t="s">
        <v>50</v>
      </c>
      <c r="AG1621" s="7" t="s">
        <v>175</v>
      </c>
      <c r="AH1621" s="7" t="s">
        <v>197</v>
      </c>
    </row>
    <row r="1622" spans="1:34" ht="9.75" customHeight="1" x14ac:dyDescent="0.2">
      <c r="A1622" s="7" t="s">
        <v>37</v>
      </c>
      <c r="B1622" s="7" t="s">
        <v>38</v>
      </c>
      <c r="C1622" s="7"/>
      <c r="D1622" s="7" t="s">
        <v>3981</v>
      </c>
      <c r="E1622" s="8">
        <v>1</v>
      </c>
      <c r="F1622" s="7" t="s">
        <v>61</v>
      </c>
      <c r="G1622" s="7"/>
      <c r="H1622" s="9"/>
      <c r="I1622" s="9"/>
      <c r="J1622" s="9"/>
      <c r="K1622" s="9"/>
      <c r="L1622" s="10">
        <v>605</v>
      </c>
      <c r="M1622" s="9"/>
      <c r="N1622" s="10">
        <v>605</v>
      </c>
      <c r="O1622" s="9"/>
      <c r="P1622" s="10"/>
      <c r="Q1622" s="10"/>
      <c r="R1622" s="10"/>
      <c r="S1622" s="7" t="s">
        <v>407</v>
      </c>
      <c r="T1622" s="7" t="s">
        <v>3776</v>
      </c>
      <c r="U1622" s="7" t="s">
        <v>44</v>
      </c>
      <c r="V1622" s="7" t="s">
        <v>45</v>
      </c>
      <c r="W1622" s="7" t="s">
        <v>171</v>
      </c>
      <c r="X1622" s="7" t="s">
        <v>194</v>
      </c>
      <c r="Y1622" s="7" t="s">
        <v>3982</v>
      </c>
      <c r="Z1622" s="7" t="s">
        <v>3973</v>
      </c>
      <c r="AA1622" s="7"/>
      <c r="AB1622" s="7"/>
      <c r="AC1622" s="7" t="s">
        <v>191</v>
      </c>
      <c r="AD1622" s="7"/>
      <c r="AE1622" s="7"/>
      <c r="AF1622" s="7" t="s">
        <v>50</v>
      </c>
      <c r="AG1622" s="7" t="s">
        <v>175</v>
      </c>
      <c r="AH1622" s="7" t="s">
        <v>197</v>
      </c>
    </row>
    <row r="1623" spans="1:34" ht="9.75" customHeight="1" x14ac:dyDescent="0.2">
      <c r="A1623" s="7" t="s">
        <v>37</v>
      </c>
      <c r="B1623" s="7" t="s">
        <v>38</v>
      </c>
      <c r="C1623" s="7"/>
      <c r="D1623" s="7" t="s">
        <v>3983</v>
      </c>
      <c r="E1623" s="8">
        <v>1</v>
      </c>
      <c r="F1623" s="7" t="s">
        <v>61</v>
      </c>
      <c r="G1623" s="7"/>
      <c r="H1623" s="9"/>
      <c r="I1623" s="9"/>
      <c r="J1623" s="9"/>
      <c r="K1623" s="9"/>
      <c r="L1623" s="10">
        <v>2924</v>
      </c>
      <c r="M1623" s="9"/>
      <c r="N1623" s="10">
        <v>2924</v>
      </c>
      <c r="O1623" s="9"/>
      <c r="P1623" s="10"/>
      <c r="Q1623" s="10"/>
      <c r="R1623" s="10"/>
      <c r="S1623" s="7" t="s">
        <v>407</v>
      </c>
      <c r="T1623" s="7" t="s">
        <v>3776</v>
      </c>
      <c r="U1623" s="7" t="s">
        <v>44</v>
      </c>
      <c r="V1623" s="7" t="s">
        <v>45</v>
      </c>
      <c r="W1623" s="7" t="s">
        <v>171</v>
      </c>
      <c r="X1623" s="7" t="s">
        <v>194</v>
      </c>
      <c r="Y1623" s="7" t="s">
        <v>3984</v>
      </c>
      <c r="Z1623" s="7" t="s">
        <v>3985</v>
      </c>
      <c r="AA1623" s="7"/>
      <c r="AB1623" s="7"/>
      <c r="AC1623" s="7" t="s">
        <v>191</v>
      </c>
      <c r="AD1623" s="7"/>
      <c r="AE1623" s="7"/>
      <c r="AF1623" s="7" t="s">
        <v>50</v>
      </c>
      <c r="AG1623" s="7" t="s">
        <v>175</v>
      </c>
      <c r="AH1623" s="7" t="s">
        <v>197</v>
      </c>
    </row>
    <row r="1624" spans="1:34" ht="9.75" customHeight="1" x14ac:dyDescent="0.2">
      <c r="A1624" s="7" t="s">
        <v>37</v>
      </c>
      <c r="B1624" s="7" t="s">
        <v>38</v>
      </c>
      <c r="C1624" s="7"/>
      <c r="D1624" s="7" t="s">
        <v>3986</v>
      </c>
      <c r="E1624" s="8">
        <v>1</v>
      </c>
      <c r="F1624" s="7" t="s">
        <v>61</v>
      </c>
      <c r="G1624" s="7"/>
      <c r="H1624" s="9"/>
      <c r="I1624" s="9"/>
      <c r="J1624" s="9"/>
      <c r="K1624" s="9"/>
      <c r="L1624" s="10">
        <v>179</v>
      </c>
      <c r="M1624" s="9"/>
      <c r="N1624" s="10">
        <v>179</v>
      </c>
      <c r="O1624" s="9"/>
      <c r="P1624" s="10"/>
      <c r="Q1624" s="10"/>
      <c r="R1624" s="10"/>
      <c r="S1624" s="7" t="s">
        <v>407</v>
      </c>
      <c r="T1624" s="7" t="s">
        <v>3776</v>
      </c>
      <c r="U1624" s="7" t="s">
        <v>44</v>
      </c>
      <c r="V1624" s="7" t="s">
        <v>45</v>
      </c>
      <c r="W1624" s="7" t="s">
        <v>171</v>
      </c>
      <c r="X1624" s="7" t="s">
        <v>194</v>
      </c>
      <c r="Y1624" s="7" t="s">
        <v>3987</v>
      </c>
      <c r="Z1624" s="7" t="s">
        <v>3985</v>
      </c>
      <c r="AA1624" s="7"/>
      <c r="AB1624" s="7"/>
      <c r="AC1624" s="7" t="s">
        <v>191</v>
      </c>
      <c r="AD1624" s="7"/>
      <c r="AE1624" s="7"/>
      <c r="AF1624" s="7" t="s">
        <v>50</v>
      </c>
      <c r="AG1624" s="7" t="s">
        <v>175</v>
      </c>
      <c r="AH1624" s="7" t="s">
        <v>197</v>
      </c>
    </row>
    <row r="1625" spans="1:34" ht="9.75" customHeight="1" x14ac:dyDescent="0.2">
      <c r="A1625" s="7" t="s">
        <v>37</v>
      </c>
      <c r="B1625" s="7" t="s">
        <v>38</v>
      </c>
      <c r="C1625" s="7"/>
      <c r="D1625" s="7" t="s">
        <v>3988</v>
      </c>
      <c r="E1625" s="8">
        <v>1</v>
      </c>
      <c r="F1625" s="7" t="s">
        <v>61</v>
      </c>
      <c r="G1625" s="7"/>
      <c r="H1625" s="9"/>
      <c r="I1625" s="9"/>
      <c r="J1625" s="9"/>
      <c r="K1625" s="9"/>
      <c r="L1625" s="10">
        <v>64</v>
      </c>
      <c r="M1625" s="9"/>
      <c r="N1625" s="10">
        <v>64</v>
      </c>
      <c r="O1625" s="9"/>
      <c r="P1625" s="10"/>
      <c r="Q1625" s="10"/>
      <c r="R1625" s="10"/>
      <c r="S1625" s="7" t="s">
        <v>407</v>
      </c>
      <c r="T1625" s="7" t="s">
        <v>3776</v>
      </c>
      <c r="U1625" s="7" t="s">
        <v>44</v>
      </c>
      <c r="V1625" s="7" t="s">
        <v>45</v>
      </c>
      <c r="W1625" s="7" t="s">
        <v>171</v>
      </c>
      <c r="X1625" s="7" t="s">
        <v>194</v>
      </c>
      <c r="Y1625" s="7" t="s">
        <v>3989</v>
      </c>
      <c r="Z1625" s="7" t="s">
        <v>3985</v>
      </c>
      <c r="AA1625" s="7"/>
      <c r="AB1625" s="7"/>
      <c r="AC1625" s="7" t="s">
        <v>191</v>
      </c>
      <c r="AD1625" s="7"/>
      <c r="AE1625" s="7" t="s">
        <v>3990</v>
      </c>
      <c r="AF1625" s="7" t="s">
        <v>50</v>
      </c>
      <c r="AG1625" s="7" t="s">
        <v>175</v>
      </c>
      <c r="AH1625" s="7" t="s">
        <v>197</v>
      </c>
    </row>
    <row r="1626" spans="1:34" ht="9.75" customHeight="1" x14ac:dyDescent="0.2">
      <c r="A1626" s="7" t="s">
        <v>37</v>
      </c>
      <c r="B1626" s="7" t="s">
        <v>38</v>
      </c>
      <c r="C1626" s="7"/>
      <c r="D1626" s="7" t="s">
        <v>3991</v>
      </c>
      <c r="E1626" s="8">
        <v>1</v>
      </c>
      <c r="F1626" s="7" t="s">
        <v>61</v>
      </c>
      <c r="G1626" s="7"/>
      <c r="H1626" s="9"/>
      <c r="I1626" s="9"/>
      <c r="J1626" s="9"/>
      <c r="K1626" s="9"/>
      <c r="L1626" s="10">
        <v>952</v>
      </c>
      <c r="M1626" s="9"/>
      <c r="N1626" s="10">
        <v>952</v>
      </c>
      <c r="O1626" s="9"/>
      <c r="P1626" s="10"/>
      <c r="Q1626" s="10"/>
      <c r="R1626" s="10"/>
      <c r="S1626" s="7" t="s">
        <v>407</v>
      </c>
      <c r="T1626" s="7" t="s">
        <v>3776</v>
      </c>
      <c r="U1626" s="7" t="s">
        <v>44</v>
      </c>
      <c r="V1626" s="7" t="s">
        <v>45</v>
      </c>
      <c r="W1626" s="7" t="s">
        <v>171</v>
      </c>
      <c r="X1626" s="7" t="s">
        <v>194</v>
      </c>
      <c r="Y1626" s="7" t="s">
        <v>3992</v>
      </c>
      <c r="Z1626" s="7" t="s">
        <v>3985</v>
      </c>
      <c r="AA1626" s="7"/>
      <c r="AB1626" s="7"/>
      <c r="AC1626" s="7" t="s">
        <v>191</v>
      </c>
      <c r="AD1626" s="7"/>
      <c r="AE1626" s="7"/>
      <c r="AF1626" s="7" t="s">
        <v>50</v>
      </c>
      <c r="AG1626" s="7" t="s">
        <v>175</v>
      </c>
      <c r="AH1626" s="7" t="s">
        <v>197</v>
      </c>
    </row>
    <row r="1627" spans="1:34" ht="9.75" customHeight="1" x14ac:dyDescent="0.2">
      <c r="A1627" s="7" t="s">
        <v>37</v>
      </c>
      <c r="B1627" s="7" t="s">
        <v>38</v>
      </c>
      <c r="C1627" s="7"/>
      <c r="D1627" s="7" t="s">
        <v>3993</v>
      </c>
      <c r="E1627" s="8">
        <v>1</v>
      </c>
      <c r="F1627" s="7" t="s">
        <v>61</v>
      </c>
      <c r="G1627" s="7"/>
      <c r="H1627" s="9"/>
      <c r="I1627" s="9"/>
      <c r="J1627" s="9"/>
      <c r="K1627" s="9"/>
      <c r="L1627" s="10">
        <v>672</v>
      </c>
      <c r="M1627" s="9"/>
      <c r="N1627" s="10">
        <v>672</v>
      </c>
      <c r="O1627" s="9"/>
      <c r="P1627" s="10"/>
      <c r="Q1627" s="10"/>
      <c r="R1627" s="10"/>
      <c r="S1627" s="7" t="s">
        <v>407</v>
      </c>
      <c r="T1627" s="7" t="s">
        <v>3776</v>
      </c>
      <c r="U1627" s="7" t="s">
        <v>44</v>
      </c>
      <c r="V1627" s="7" t="s">
        <v>45</v>
      </c>
      <c r="W1627" s="7" t="s">
        <v>171</v>
      </c>
      <c r="X1627" s="7" t="s">
        <v>194</v>
      </c>
      <c r="Y1627" s="7" t="s">
        <v>3994</v>
      </c>
      <c r="Z1627" s="7" t="s">
        <v>3985</v>
      </c>
      <c r="AA1627" s="7"/>
      <c r="AB1627" s="7"/>
      <c r="AC1627" s="7" t="s">
        <v>191</v>
      </c>
      <c r="AD1627" s="7"/>
      <c r="AE1627" s="7"/>
      <c r="AF1627" s="7" t="s">
        <v>50</v>
      </c>
      <c r="AG1627" s="7" t="s">
        <v>175</v>
      </c>
      <c r="AH1627" s="7" t="s">
        <v>197</v>
      </c>
    </row>
    <row r="1628" spans="1:34" ht="9.75" customHeight="1" x14ac:dyDescent="0.2">
      <c r="A1628" s="7" t="s">
        <v>37</v>
      </c>
      <c r="B1628" s="7" t="s">
        <v>38</v>
      </c>
      <c r="C1628" s="7"/>
      <c r="D1628" s="7" t="s">
        <v>3995</v>
      </c>
      <c r="E1628" s="8">
        <v>1</v>
      </c>
      <c r="F1628" s="7" t="s">
        <v>61</v>
      </c>
      <c r="G1628" s="7"/>
      <c r="H1628" s="9"/>
      <c r="I1628" s="9"/>
      <c r="J1628" s="9"/>
      <c r="K1628" s="9"/>
      <c r="L1628" s="10">
        <v>1234</v>
      </c>
      <c r="M1628" s="9"/>
      <c r="N1628" s="10">
        <v>1234</v>
      </c>
      <c r="O1628" s="9"/>
      <c r="P1628" s="10"/>
      <c r="Q1628" s="10"/>
      <c r="R1628" s="10"/>
      <c r="S1628" s="7" t="s">
        <v>407</v>
      </c>
      <c r="T1628" s="7" t="s">
        <v>3776</v>
      </c>
      <c r="U1628" s="7" t="s">
        <v>44</v>
      </c>
      <c r="V1628" s="7" t="s">
        <v>45</v>
      </c>
      <c r="W1628" s="7" t="s">
        <v>171</v>
      </c>
      <c r="X1628" s="7" t="s">
        <v>194</v>
      </c>
      <c r="Y1628" s="7" t="s">
        <v>3996</v>
      </c>
      <c r="Z1628" s="7" t="s">
        <v>3985</v>
      </c>
      <c r="AA1628" s="7"/>
      <c r="AB1628" s="7"/>
      <c r="AC1628" s="7" t="s">
        <v>191</v>
      </c>
      <c r="AD1628" s="7"/>
      <c r="AE1628" s="7"/>
      <c r="AF1628" s="7" t="s">
        <v>50</v>
      </c>
      <c r="AG1628" s="7" t="s">
        <v>175</v>
      </c>
      <c r="AH1628" s="7" t="s">
        <v>197</v>
      </c>
    </row>
    <row r="1629" spans="1:34" ht="9.75" customHeight="1" x14ac:dyDescent="0.2">
      <c r="A1629" s="7" t="s">
        <v>37</v>
      </c>
      <c r="B1629" s="7" t="s">
        <v>38</v>
      </c>
      <c r="C1629" s="7"/>
      <c r="D1629" s="7" t="s">
        <v>3997</v>
      </c>
      <c r="E1629" s="8">
        <v>1</v>
      </c>
      <c r="F1629" s="7" t="s">
        <v>61</v>
      </c>
      <c r="G1629" s="7"/>
      <c r="H1629" s="9"/>
      <c r="I1629" s="9"/>
      <c r="J1629" s="9"/>
      <c r="K1629" s="9"/>
      <c r="L1629" s="10">
        <v>6143</v>
      </c>
      <c r="M1629" s="9"/>
      <c r="N1629" s="10">
        <v>6143</v>
      </c>
      <c r="O1629" s="9"/>
      <c r="P1629" s="10"/>
      <c r="Q1629" s="10"/>
      <c r="R1629" s="10"/>
      <c r="S1629" s="7" t="s">
        <v>407</v>
      </c>
      <c r="T1629" s="7" t="s">
        <v>3776</v>
      </c>
      <c r="U1629" s="7" t="s">
        <v>44</v>
      </c>
      <c r="V1629" s="7" t="s">
        <v>45</v>
      </c>
      <c r="W1629" s="7" t="s">
        <v>171</v>
      </c>
      <c r="X1629" s="7" t="s">
        <v>194</v>
      </c>
      <c r="Y1629" s="7" t="s">
        <v>3998</v>
      </c>
      <c r="Z1629" s="7" t="s">
        <v>3999</v>
      </c>
      <c r="AA1629" s="7"/>
      <c r="AB1629" s="7"/>
      <c r="AC1629" s="7" t="s">
        <v>191</v>
      </c>
      <c r="AD1629" s="7"/>
      <c r="AE1629" s="7"/>
      <c r="AF1629" s="7" t="s">
        <v>50</v>
      </c>
      <c r="AG1629" s="7" t="s">
        <v>175</v>
      </c>
      <c r="AH1629" s="7" t="s">
        <v>197</v>
      </c>
    </row>
    <row r="1630" spans="1:34" ht="9.75" customHeight="1" x14ac:dyDescent="0.2">
      <c r="A1630" s="7" t="s">
        <v>37</v>
      </c>
      <c r="B1630" s="7" t="s">
        <v>38</v>
      </c>
      <c r="C1630" s="7"/>
      <c r="D1630" s="7" t="s">
        <v>4000</v>
      </c>
      <c r="E1630" s="8">
        <v>1</v>
      </c>
      <c r="F1630" s="7" t="s">
        <v>61</v>
      </c>
      <c r="G1630" s="7"/>
      <c r="H1630" s="9"/>
      <c r="I1630" s="9"/>
      <c r="J1630" s="9"/>
      <c r="K1630" s="9"/>
      <c r="L1630" s="10">
        <v>747</v>
      </c>
      <c r="M1630" s="9"/>
      <c r="N1630" s="10">
        <v>747</v>
      </c>
      <c r="O1630" s="9"/>
      <c r="P1630" s="10"/>
      <c r="Q1630" s="10"/>
      <c r="R1630" s="10"/>
      <c r="S1630" s="7" t="s">
        <v>407</v>
      </c>
      <c r="T1630" s="7" t="s">
        <v>3776</v>
      </c>
      <c r="U1630" s="7" t="s">
        <v>44</v>
      </c>
      <c r="V1630" s="7" t="s">
        <v>45</v>
      </c>
      <c r="W1630" s="7" t="s">
        <v>171</v>
      </c>
      <c r="X1630" s="7" t="s">
        <v>194</v>
      </c>
      <c r="Y1630" s="7" t="s">
        <v>4001</v>
      </c>
      <c r="Z1630" s="7" t="s">
        <v>3999</v>
      </c>
      <c r="AA1630" s="7"/>
      <c r="AB1630" s="7"/>
      <c r="AC1630" s="7" t="s">
        <v>191</v>
      </c>
      <c r="AD1630" s="7"/>
      <c r="AE1630" s="7" t="s">
        <v>4002</v>
      </c>
      <c r="AF1630" s="7" t="s">
        <v>50</v>
      </c>
      <c r="AG1630" s="7" t="s">
        <v>175</v>
      </c>
      <c r="AH1630" s="7" t="s">
        <v>197</v>
      </c>
    </row>
    <row r="1631" spans="1:34" ht="9.75" customHeight="1" x14ac:dyDescent="0.2">
      <c r="A1631" s="7" t="s">
        <v>37</v>
      </c>
      <c r="B1631" s="7" t="s">
        <v>38</v>
      </c>
      <c r="C1631" s="7"/>
      <c r="D1631" s="7" t="s">
        <v>4003</v>
      </c>
      <c r="E1631" s="8">
        <v>1</v>
      </c>
      <c r="F1631" s="7" t="s">
        <v>61</v>
      </c>
      <c r="G1631" s="7"/>
      <c r="H1631" s="9"/>
      <c r="I1631" s="9"/>
      <c r="J1631" s="9"/>
      <c r="K1631" s="9"/>
      <c r="L1631" s="10">
        <v>74</v>
      </c>
      <c r="M1631" s="9"/>
      <c r="N1631" s="10">
        <v>74</v>
      </c>
      <c r="O1631" s="9"/>
      <c r="P1631" s="10"/>
      <c r="Q1631" s="10"/>
      <c r="R1631" s="10"/>
      <c r="S1631" s="7" t="s">
        <v>407</v>
      </c>
      <c r="T1631" s="7" t="s">
        <v>3776</v>
      </c>
      <c r="U1631" s="7" t="s">
        <v>44</v>
      </c>
      <c r="V1631" s="7" t="s">
        <v>45</v>
      </c>
      <c r="W1631" s="7" t="s">
        <v>171</v>
      </c>
      <c r="X1631" s="7" t="s">
        <v>194</v>
      </c>
      <c r="Y1631" s="7" t="s">
        <v>4004</v>
      </c>
      <c r="Z1631" s="7" t="s">
        <v>3999</v>
      </c>
      <c r="AA1631" s="7"/>
      <c r="AB1631" s="7"/>
      <c r="AC1631" s="7" t="s">
        <v>191</v>
      </c>
      <c r="AD1631" s="7"/>
      <c r="AE1631" s="7"/>
      <c r="AF1631" s="7" t="s">
        <v>50</v>
      </c>
      <c r="AG1631" s="7" t="s">
        <v>175</v>
      </c>
      <c r="AH1631" s="7" t="s">
        <v>197</v>
      </c>
    </row>
    <row r="1632" spans="1:34" ht="9.75" customHeight="1" x14ac:dyDescent="0.2">
      <c r="A1632" s="7" t="s">
        <v>37</v>
      </c>
      <c r="B1632" s="7" t="s">
        <v>38</v>
      </c>
      <c r="C1632" s="7"/>
      <c r="D1632" s="7" t="s">
        <v>4005</v>
      </c>
      <c r="E1632" s="8">
        <v>1</v>
      </c>
      <c r="F1632" s="7" t="s">
        <v>61</v>
      </c>
      <c r="G1632" s="7"/>
      <c r="H1632" s="9"/>
      <c r="I1632" s="9"/>
      <c r="J1632" s="9"/>
      <c r="K1632" s="9"/>
      <c r="L1632" s="10">
        <v>252</v>
      </c>
      <c r="M1632" s="9"/>
      <c r="N1632" s="10">
        <v>252</v>
      </c>
      <c r="O1632" s="9"/>
      <c r="P1632" s="10"/>
      <c r="Q1632" s="10"/>
      <c r="R1632" s="10"/>
      <c r="S1632" s="7" t="s">
        <v>407</v>
      </c>
      <c r="T1632" s="7" t="s">
        <v>3776</v>
      </c>
      <c r="U1632" s="7" t="s">
        <v>44</v>
      </c>
      <c r="V1632" s="7" t="s">
        <v>45</v>
      </c>
      <c r="W1632" s="7" t="s">
        <v>171</v>
      </c>
      <c r="X1632" s="7" t="s">
        <v>194</v>
      </c>
      <c r="Y1632" s="7" t="s">
        <v>4006</v>
      </c>
      <c r="Z1632" s="7" t="s">
        <v>3999</v>
      </c>
      <c r="AA1632" s="7"/>
      <c r="AB1632" s="7"/>
      <c r="AC1632" s="7" t="s">
        <v>191</v>
      </c>
      <c r="AD1632" s="7"/>
      <c r="AE1632" s="7"/>
      <c r="AF1632" s="7" t="s">
        <v>50</v>
      </c>
      <c r="AG1632" s="7" t="s">
        <v>175</v>
      </c>
      <c r="AH1632" s="7" t="s">
        <v>197</v>
      </c>
    </row>
    <row r="1633" spans="1:34" ht="9.75" customHeight="1" x14ac:dyDescent="0.2">
      <c r="A1633" s="7" t="s">
        <v>37</v>
      </c>
      <c r="B1633" s="7" t="s">
        <v>38</v>
      </c>
      <c r="C1633" s="7"/>
      <c r="D1633" s="7" t="s">
        <v>4007</v>
      </c>
      <c r="E1633" s="8">
        <v>1</v>
      </c>
      <c r="F1633" s="7" t="s">
        <v>61</v>
      </c>
      <c r="G1633" s="7"/>
      <c r="H1633" s="9"/>
      <c r="I1633" s="9"/>
      <c r="J1633" s="9"/>
      <c r="K1633" s="9"/>
      <c r="L1633" s="10">
        <v>586</v>
      </c>
      <c r="M1633" s="9"/>
      <c r="N1633" s="10">
        <v>586</v>
      </c>
      <c r="O1633" s="9"/>
      <c r="P1633" s="10"/>
      <c r="Q1633" s="10"/>
      <c r="R1633" s="10"/>
      <c r="S1633" s="7" t="s">
        <v>407</v>
      </c>
      <c r="T1633" s="7" t="s">
        <v>3776</v>
      </c>
      <c r="U1633" s="7" t="s">
        <v>44</v>
      </c>
      <c r="V1633" s="7" t="s">
        <v>45</v>
      </c>
      <c r="W1633" s="7" t="s">
        <v>171</v>
      </c>
      <c r="X1633" s="7" t="s">
        <v>194</v>
      </c>
      <c r="Y1633" s="7" t="s">
        <v>4008</v>
      </c>
      <c r="Z1633" s="7" t="s">
        <v>3999</v>
      </c>
      <c r="AA1633" s="7"/>
      <c r="AB1633" s="7"/>
      <c r="AC1633" s="7" t="s">
        <v>191</v>
      </c>
      <c r="AD1633" s="7"/>
      <c r="AE1633" s="7"/>
      <c r="AF1633" s="7" t="s">
        <v>50</v>
      </c>
      <c r="AG1633" s="7" t="s">
        <v>175</v>
      </c>
      <c r="AH1633" s="7" t="s">
        <v>197</v>
      </c>
    </row>
    <row r="1634" spans="1:34" ht="9.75" customHeight="1" x14ac:dyDescent="0.2">
      <c r="A1634" s="7" t="s">
        <v>37</v>
      </c>
      <c r="B1634" s="7" t="s">
        <v>38</v>
      </c>
      <c r="C1634" s="7"/>
      <c r="D1634" s="7" t="s">
        <v>4009</v>
      </c>
      <c r="E1634" s="8">
        <v>1</v>
      </c>
      <c r="F1634" s="7" t="s">
        <v>61</v>
      </c>
      <c r="G1634" s="7"/>
      <c r="H1634" s="9"/>
      <c r="I1634" s="9"/>
      <c r="J1634" s="9"/>
      <c r="K1634" s="9"/>
      <c r="L1634" s="10">
        <v>4038</v>
      </c>
      <c r="M1634" s="9"/>
      <c r="N1634" s="10">
        <v>4038</v>
      </c>
      <c r="O1634" s="9"/>
      <c r="P1634" s="10"/>
      <c r="Q1634" s="10"/>
      <c r="R1634" s="10"/>
      <c r="S1634" s="7" t="s">
        <v>407</v>
      </c>
      <c r="T1634" s="7" t="s">
        <v>3776</v>
      </c>
      <c r="U1634" s="7" t="s">
        <v>44</v>
      </c>
      <c r="V1634" s="7" t="s">
        <v>45</v>
      </c>
      <c r="W1634" s="7" t="s">
        <v>171</v>
      </c>
      <c r="X1634" s="7" t="s">
        <v>194</v>
      </c>
      <c r="Y1634" s="7" t="s">
        <v>4010</v>
      </c>
      <c r="Z1634" s="7" t="s">
        <v>4011</v>
      </c>
      <c r="AA1634" s="7"/>
      <c r="AB1634" s="7"/>
      <c r="AC1634" s="7" t="s">
        <v>191</v>
      </c>
      <c r="AD1634" s="7"/>
      <c r="AE1634" s="7"/>
      <c r="AF1634" s="7" t="s">
        <v>50</v>
      </c>
      <c r="AG1634" s="7" t="s">
        <v>175</v>
      </c>
      <c r="AH1634" s="7" t="s">
        <v>197</v>
      </c>
    </row>
    <row r="1635" spans="1:34" ht="9.75" customHeight="1" x14ac:dyDescent="0.2">
      <c r="A1635" s="7" t="s">
        <v>37</v>
      </c>
      <c r="B1635" s="7" t="s">
        <v>38</v>
      </c>
      <c r="C1635" s="7"/>
      <c r="D1635" s="7" t="s">
        <v>4012</v>
      </c>
      <c r="E1635" s="8">
        <v>1</v>
      </c>
      <c r="F1635" s="7" t="s">
        <v>61</v>
      </c>
      <c r="G1635" s="7"/>
      <c r="H1635" s="9"/>
      <c r="I1635" s="9"/>
      <c r="J1635" s="9"/>
      <c r="K1635" s="9"/>
      <c r="L1635" s="10">
        <v>255</v>
      </c>
      <c r="M1635" s="9"/>
      <c r="N1635" s="10">
        <v>255</v>
      </c>
      <c r="O1635" s="9"/>
      <c r="P1635" s="10"/>
      <c r="Q1635" s="10"/>
      <c r="R1635" s="10"/>
      <c r="S1635" s="7" t="s">
        <v>407</v>
      </c>
      <c r="T1635" s="7" t="s">
        <v>3776</v>
      </c>
      <c r="U1635" s="7" t="s">
        <v>44</v>
      </c>
      <c r="V1635" s="7" t="s">
        <v>45</v>
      </c>
      <c r="W1635" s="7" t="s">
        <v>171</v>
      </c>
      <c r="X1635" s="7" t="s">
        <v>194</v>
      </c>
      <c r="Y1635" s="7" t="s">
        <v>4013</v>
      </c>
      <c r="Z1635" s="7" t="s">
        <v>4011</v>
      </c>
      <c r="AA1635" s="7"/>
      <c r="AB1635" s="7"/>
      <c r="AC1635" s="7" t="s">
        <v>191</v>
      </c>
      <c r="AD1635" s="7"/>
      <c r="AE1635" s="7"/>
      <c r="AF1635" s="7" t="s">
        <v>50</v>
      </c>
      <c r="AG1635" s="7" t="s">
        <v>175</v>
      </c>
      <c r="AH1635" s="7" t="s">
        <v>197</v>
      </c>
    </row>
    <row r="1636" spans="1:34" ht="9.75" customHeight="1" x14ac:dyDescent="0.2">
      <c r="A1636" s="7" t="s">
        <v>37</v>
      </c>
      <c r="B1636" s="7" t="s">
        <v>38</v>
      </c>
      <c r="C1636" s="7"/>
      <c r="D1636" s="7" t="s">
        <v>4014</v>
      </c>
      <c r="E1636" s="8">
        <v>1</v>
      </c>
      <c r="F1636" s="7" t="s">
        <v>61</v>
      </c>
      <c r="G1636" s="7"/>
      <c r="H1636" s="9"/>
      <c r="I1636" s="9"/>
      <c r="J1636" s="9"/>
      <c r="K1636" s="9"/>
      <c r="L1636" s="10">
        <v>356</v>
      </c>
      <c r="M1636" s="9"/>
      <c r="N1636" s="10">
        <v>356</v>
      </c>
      <c r="O1636" s="9"/>
      <c r="P1636" s="10"/>
      <c r="Q1636" s="10"/>
      <c r="R1636" s="10"/>
      <c r="S1636" s="7" t="s">
        <v>407</v>
      </c>
      <c r="T1636" s="7" t="s">
        <v>3776</v>
      </c>
      <c r="U1636" s="7" t="s">
        <v>44</v>
      </c>
      <c r="V1636" s="7" t="s">
        <v>45</v>
      </c>
      <c r="W1636" s="7" t="s">
        <v>171</v>
      </c>
      <c r="X1636" s="7" t="s">
        <v>194</v>
      </c>
      <c r="Y1636" s="7" t="s">
        <v>4015</v>
      </c>
      <c r="Z1636" s="7" t="s">
        <v>4011</v>
      </c>
      <c r="AA1636" s="7"/>
      <c r="AB1636" s="7"/>
      <c r="AC1636" s="7" t="s">
        <v>191</v>
      </c>
      <c r="AD1636" s="7"/>
      <c r="AE1636" s="7"/>
      <c r="AF1636" s="7" t="s">
        <v>50</v>
      </c>
      <c r="AG1636" s="7" t="s">
        <v>175</v>
      </c>
      <c r="AH1636" s="7" t="s">
        <v>197</v>
      </c>
    </row>
    <row r="1637" spans="1:34" ht="9.75" customHeight="1" x14ac:dyDescent="0.2">
      <c r="A1637" s="7" t="s">
        <v>37</v>
      </c>
      <c r="B1637" s="7" t="s">
        <v>38</v>
      </c>
      <c r="C1637" s="7"/>
      <c r="D1637" s="7" t="s">
        <v>4016</v>
      </c>
      <c r="E1637" s="8">
        <v>1</v>
      </c>
      <c r="F1637" s="7" t="s">
        <v>61</v>
      </c>
      <c r="G1637" s="7"/>
      <c r="H1637" s="9"/>
      <c r="I1637" s="9"/>
      <c r="J1637" s="9"/>
      <c r="K1637" s="9"/>
      <c r="L1637" s="10">
        <v>867</v>
      </c>
      <c r="M1637" s="9"/>
      <c r="N1637" s="10">
        <v>867</v>
      </c>
      <c r="O1637" s="9"/>
      <c r="P1637" s="10"/>
      <c r="Q1637" s="10"/>
      <c r="R1637" s="10"/>
      <c r="S1637" s="7" t="s">
        <v>407</v>
      </c>
      <c r="T1637" s="7" t="s">
        <v>3776</v>
      </c>
      <c r="U1637" s="7" t="s">
        <v>44</v>
      </c>
      <c r="V1637" s="7" t="s">
        <v>45</v>
      </c>
      <c r="W1637" s="7" t="s">
        <v>171</v>
      </c>
      <c r="X1637" s="7" t="s">
        <v>194</v>
      </c>
      <c r="Y1637" s="7" t="s">
        <v>4017</v>
      </c>
      <c r="Z1637" s="7" t="s">
        <v>4011</v>
      </c>
      <c r="AA1637" s="7"/>
      <c r="AB1637" s="7"/>
      <c r="AC1637" s="7" t="s">
        <v>191</v>
      </c>
      <c r="AD1637" s="7"/>
      <c r="AE1637" s="7"/>
      <c r="AF1637" s="7" t="s">
        <v>50</v>
      </c>
      <c r="AG1637" s="7" t="s">
        <v>175</v>
      </c>
      <c r="AH1637" s="7" t="s">
        <v>197</v>
      </c>
    </row>
    <row r="1638" spans="1:34" ht="9.75" customHeight="1" x14ac:dyDescent="0.2">
      <c r="A1638" s="7" t="s">
        <v>37</v>
      </c>
      <c r="B1638" s="7" t="s">
        <v>38</v>
      </c>
      <c r="C1638" s="7"/>
      <c r="D1638" s="7" t="s">
        <v>4018</v>
      </c>
      <c r="E1638" s="8">
        <v>1</v>
      </c>
      <c r="F1638" s="7" t="s">
        <v>61</v>
      </c>
      <c r="G1638" s="7"/>
      <c r="H1638" s="9"/>
      <c r="I1638" s="9"/>
      <c r="J1638" s="9"/>
      <c r="K1638" s="9"/>
      <c r="L1638" s="10">
        <v>3834</v>
      </c>
      <c r="M1638" s="9"/>
      <c r="N1638" s="10">
        <v>3834</v>
      </c>
      <c r="O1638" s="9"/>
      <c r="P1638" s="10"/>
      <c r="Q1638" s="10"/>
      <c r="R1638" s="10"/>
      <c r="S1638" s="7" t="s">
        <v>407</v>
      </c>
      <c r="T1638" s="7" t="s">
        <v>3776</v>
      </c>
      <c r="U1638" s="7" t="s">
        <v>44</v>
      </c>
      <c r="V1638" s="7" t="s">
        <v>45</v>
      </c>
      <c r="W1638" s="7" t="s">
        <v>171</v>
      </c>
      <c r="X1638" s="7" t="s">
        <v>194</v>
      </c>
      <c r="Y1638" s="7" t="s">
        <v>4019</v>
      </c>
      <c r="Z1638" s="7" t="s">
        <v>4020</v>
      </c>
      <c r="AA1638" s="7"/>
      <c r="AB1638" s="7"/>
      <c r="AC1638" s="7" t="s">
        <v>191</v>
      </c>
      <c r="AD1638" s="7"/>
      <c r="AE1638" s="7"/>
      <c r="AF1638" s="7" t="s">
        <v>50</v>
      </c>
      <c r="AG1638" s="7" t="s">
        <v>175</v>
      </c>
      <c r="AH1638" s="7" t="s">
        <v>197</v>
      </c>
    </row>
    <row r="1639" spans="1:34" ht="9.75" customHeight="1" x14ac:dyDescent="0.2">
      <c r="A1639" s="7" t="s">
        <v>37</v>
      </c>
      <c r="B1639" s="7" t="s">
        <v>38</v>
      </c>
      <c r="C1639" s="7"/>
      <c r="D1639" s="7" t="s">
        <v>4021</v>
      </c>
      <c r="E1639" s="8">
        <v>1</v>
      </c>
      <c r="F1639" s="7" t="s">
        <v>61</v>
      </c>
      <c r="G1639" s="7"/>
      <c r="H1639" s="9"/>
      <c r="I1639" s="9"/>
      <c r="J1639" s="9"/>
      <c r="K1639" s="9"/>
      <c r="L1639" s="10">
        <v>73</v>
      </c>
      <c r="M1639" s="9"/>
      <c r="N1639" s="10">
        <v>73</v>
      </c>
      <c r="O1639" s="9"/>
      <c r="P1639" s="10"/>
      <c r="Q1639" s="10"/>
      <c r="R1639" s="10"/>
      <c r="S1639" s="7" t="s">
        <v>407</v>
      </c>
      <c r="T1639" s="7" t="s">
        <v>3776</v>
      </c>
      <c r="U1639" s="7" t="s">
        <v>44</v>
      </c>
      <c r="V1639" s="7" t="s">
        <v>45</v>
      </c>
      <c r="W1639" s="7" t="s">
        <v>171</v>
      </c>
      <c r="X1639" s="7" t="s">
        <v>194</v>
      </c>
      <c r="Y1639" s="7" t="s">
        <v>4022</v>
      </c>
      <c r="Z1639" s="7" t="s">
        <v>4020</v>
      </c>
      <c r="AA1639" s="7"/>
      <c r="AB1639" s="7"/>
      <c r="AC1639" s="7" t="s">
        <v>191</v>
      </c>
      <c r="AD1639" s="7"/>
      <c r="AE1639" s="7" t="s">
        <v>4023</v>
      </c>
      <c r="AF1639" s="7" t="s">
        <v>50</v>
      </c>
      <c r="AG1639" s="7" t="s">
        <v>175</v>
      </c>
      <c r="AH1639" s="7" t="s">
        <v>197</v>
      </c>
    </row>
    <row r="1640" spans="1:34" ht="9.75" customHeight="1" x14ac:dyDescent="0.2">
      <c r="A1640" s="7" t="s">
        <v>37</v>
      </c>
      <c r="B1640" s="7" t="s">
        <v>38</v>
      </c>
      <c r="C1640" s="7"/>
      <c r="D1640" s="7" t="s">
        <v>4024</v>
      </c>
      <c r="E1640" s="8">
        <v>1</v>
      </c>
      <c r="F1640" s="7" t="s">
        <v>61</v>
      </c>
      <c r="G1640" s="7"/>
      <c r="H1640" s="9"/>
      <c r="I1640" s="9"/>
      <c r="J1640" s="9"/>
      <c r="K1640" s="9"/>
      <c r="L1640" s="10">
        <v>288</v>
      </c>
      <c r="M1640" s="9"/>
      <c r="N1640" s="10">
        <v>288</v>
      </c>
      <c r="O1640" s="9"/>
      <c r="P1640" s="10"/>
      <c r="Q1640" s="10"/>
      <c r="R1640" s="10"/>
      <c r="S1640" s="7" t="s">
        <v>407</v>
      </c>
      <c r="T1640" s="7" t="s">
        <v>3776</v>
      </c>
      <c r="U1640" s="7" t="s">
        <v>44</v>
      </c>
      <c r="V1640" s="7" t="s">
        <v>45</v>
      </c>
      <c r="W1640" s="7" t="s">
        <v>171</v>
      </c>
      <c r="X1640" s="7" t="s">
        <v>194</v>
      </c>
      <c r="Y1640" s="7" t="s">
        <v>4025</v>
      </c>
      <c r="Z1640" s="7" t="s">
        <v>4020</v>
      </c>
      <c r="AA1640" s="7"/>
      <c r="AB1640" s="7"/>
      <c r="AC1640" s="7" t="s">
        <v>191</v>
      </c>
      <c r="AD1640" s="7"/>
      <c r="AE1640" s="7"/>
      <c r="AF1640" s="7" t="s">
        <v>50</v>
      </c>
      <c r="AG1640" s="7" t="s">
        <v>175</v>
      </c>
      <c r="AH1640" s="7" t="s">
        <v>197</v>
      </c>
    </row>
    <row r="1641" spans="1:34" ht="9.75" customHeight="1" x14ac:dyDescent="0.2">
      <c r="A1641" s="7" t="s">
        <v>37</v>
      </c>
      <c r="B1641" s="7" t="s">
        <v>38</v>
      </c>
      <c r="C1641" s="7"/>
      <c r="D1641" s="7" t="s">
        <v>4026</v>
      </c>
      <c r="E1641" s="8">
        <v>1</v>
      </c>
      <c r="F1641" s="7" t="s">
        <v>61</v>
      </c>
      <c r="G1641" s="7"/>
      <c r="H1641" s="9"/>
      <c r="I1641" s="9"/>
      <c r="J1641" s="9"/>
      <c r="K1641" s="9"/>
      <c r="L1641" s="10">
        <v>197</v>
      </c>
      <c r="M1641" s="9"/>
      <c r="N1641" s="10">
        <v>197</v>
      </c>
      <c r="O1641" s="9"/>
      <c r="P1641" s="10"/>
      <c r="Q1641" s="10"/>
      <c r="R1641" s="10"/>
      <c r="S1641" s="7" t="s">
        <v>407</v>
      </c>
      <c r="T1641" s="7" t="s">
        <v>3776</v>
      </c>
      <c r="U1641" s="7" t="s">
        <v>44</v>
      </c>
      <c r="V1641" s="7" t="s">
        <v>45</v>
      </c>
      <c r="W1641" s="7" t="s">
        <v>171</v>
      </c>
      <c r="X1641" s="7" t="s">
        <v>194</v>
      </c>
      <c r="Y1641" s="7" t="s">
        <v>4027</v>
      </c>
      <c r="Z1641" s="7" t="s">
        <v>4020</v>
      </c>
      <c r="AA1641" s="7"/>
      <c r="AB1641" s="7"/>
      <c r="AC1641" s="7" t="s">
        <v>191</v>
      </c>
      <c r="AD1641" s="7"/>
      <c r="AE1641" s="7"/>
      <c r="AF1641" s="7" t="s">
        <v>50</v>
      </c>
      <c r="AG1641" s="7" t="s">
        <v>175</v>
      </c>
      <c r="AH1641" s="7" t="s">
        <v>197</v>
      </c>
    </row>
    <row r="1642" spans="1:34" ht="9.75" customHeight="1" x14ac:dyDescent="0.2">
      <c r="A1642" s="7" t="s">
        <v>37</v>
      </c>
      <c r="B1642" s="7" t="s">
        <v>38</v>
      </c>
      <c r="C1642" s="7"/>
      <c r="D1642" s="7" t="s">
        <v>4028</v>
      </c>
      <c r="E1642" s="8">
        <v>1</v>
      </c>
      <c r="F1642" s="7" t="s">
        <v>61</v>
      </c>
      <c r="G1642" s="7"/>
      <c r="H1642" s="9"/>
      <c r="I1642" s="9"/>
      <c r="J1642" s="9"/>
      <c r="K1642" s="9"/>
      <c r="L1642" s="10">
        <v>941</v>
      </c>
      <c r="M1642" s="9"/>
      <c r="N1642" s="10">
        <v>941</v>
      </c>
      <c r="O1642" s="9"/>
      <c r="P1642" s="10"/>
      <c r="Q1642" s="10"/>
      <c r="R1642" s="10"/>
      <c r="S1642" s="7" t="s">
        <v>407</v>
      </c>
      <c r="T1642" s="7" t="s">
        <v>3776</v>
      </c>
      <c r="U1642" s="7" t="s">
        <v>44</v>
      </c>
      <c r="V1642" s="7" t="s">
        <v>45</v>
      </c>
      <c r="W1642" s="7" t="s">
        <v>171</v>
      </c>
      <c r="X1642" s="7" t="s">
        <v>194</v>
      </c>
      <c r="Y1642" s="7" t="s">
        <v>4029</v>
      </c>
      <c r="Z1642" s="7" t="s">
        <v>4020</v>
      </c>
      <c r="AA1642" s="7"/>
      <c r="AB1642" s="7"/>
      <c r="AC1642" s="7" t="s">
        <v>191</v>
      </c>
      <c r="AD1642" s="7"/>
      <c r="AE1642" s="7"/>
      <c r="AF1642" s="7" t="s">
        <v>50</v>
      </c>
      <c r="AG1642" s="7" t="s">
        <v>175</v>
      </c>
      <c r="AH1642" s="7" t="s">
        <v>197</v>
      </c>
    </row>
    <row r="1643" spans="1:34" ht="9.75" customHeight="1" x14ac:dyDescent="0.2">
      <c r="A1643" s="7" t="s">
        <v>37</v>
      </c>
      <c r="B1643" s="7" t="s">
        <v>38</v>
      </c>
      <c r="C1643" s="7"/>
      <c r="D1643" s="7" t="s">
        <v>4030</v>
      </c>
      <c r="E1643" s="8">
        <v>1</v>
      </c>
      <c r="F1643" s="7" t="s">
        <v>61</v>
      </c>
      <c r="G1643" s="7"/>
      <c r="H1643" s="9"/>
      <c r="I1643" s="9"/>
      <c r="J1643" s="9"/>
      <c r="K1643" s="9"/>
      <c r="L1643" s="10">
        <v>5295</v>
      </c>
      <c r="M1643" s="9"/>
      <c r="N1643" s="10">
        <v>5295</v>
      </c>
      <c r="O1643" s="9"/>
      <c r="P1643" s="10"/>
      <c r="Q1643" s="10"/>
      <c r="R1643" s="10"/>
      <c r="S1643" s="7" t="s">
        <v>407</v>
      </c>
      <c r="T1643" s="7" t="s">
        <v>3776</v>
      </c>
      <c r="U1643" s="7" t="s">
        <v>44</v>
      </c>
      <c r="V1643" s="7" t="s">
        <v>45</v>
      </c>
      <c r="W1643" s="7" t="s">
        <v>171</v>
      </c>
      <c r="X1643" s="7" t="s">
        <v>194</v>
      </c>
      <c r="Y1643" s="7" t="s">
        <v>4031</v>
      </c>
      <c r="Z1643" s="7" t="s">
        <v>4032</v>
      </c>
      <c r="AA1643" s="7"/>
      <c r="AB1643" s="7"/>
      <c r="AC1643" s="7" t="s">
        <v>191</v>
      </c>
      <c r="AD1643" s="7"/>
      <c r="AE1643" s="7"/>
      <c r="AF1643" s="7" t="s">
        <v>50</v>
      </c>
      <c r="AG1643" s="7" t="s">
        <v>175</v>
      </c>
      <c r="AH1643" s="7" t="s">
        <v>197</v>
      </c>
    </row>
    <row r="1644" spans="1:34" ht="9.75" customHeight="1" x14ac:dyDescent="0.2">
      <c r="A1644" s="7" t="s">
        <v>37</v>
      </c>
      <c r="B1644" s="7" t="s">
        <v>38</v>
      </c>
      <c r="C1644" s="7"/>
      <c r="D1644" s="7" t="s">
        <v>4033</v>
      </c>
      <c r="E1644" s="8">
        <v>1</v>
      </c>
      <c r="F1644" s="7" t="s">
        <v>61</v>
      </c>
      <c r="G1644" s="7"/>
      <c r="H1644" s="9"/>
      <c r="I1644" s="9"/>
      <c r="J1644" s="9"/>
      <c r="K1644" s="9"/>
      <c r="L1644" s="10">
        <v>581</v>
      </c>
      <c r="M1644" s="9"/>
      <c r="N1644" s="10">
        <v>581</v>
      </c>
      <c r="O1644" s="9"/>
      <c r="P1644" s="10"/>
      <c r="Q1644" s="10"/>
      <c r="R1644" s="10"/>
      <c r="S1644" s="7" t="s">
        <v>407</v>
      </c>
      <c r="T1644" s="7" t="s">
        <v>3776</v>
      </c>
      <c r="U1644" s="7" t="s">
        <v>44</v>
      </c>
      <c r="V1644" s="7" t="s">
        <v>45</v>
      </c>
      <c r="W1644" s="7" t="s">
        <v>171</v>
      </c>
      <c r="X1644" s="7" t="s">
        <v>194</v>
      </c>
      <c r="Y1644" s="7" t="s">
        <v>4034</v>
      </c>
      <c r="Z1644" s="7" t="s">
        <v>4032</v>
      </c>
      <c r="AA1644" s="7"/>
      <c r="AB1644" s="7"/>
      <c r="AC1644" s="7" t="s">
        <v>191</v>
      </c>
      <c r="AD1644" s="7"/>
      <c r="AE1644" s="7"/>
      <c r="AF1644" s="7" t="s">
        <v>50</v>
      </c>
      <c r="AG1644" s="7" t="s">
        <v>175</v>
      </c>
      <c r="AH1644" s="7" t="s">
        <v>197</v>
      </c>
    </row>
    <row r="1645" spans="1:34" ht="9.75" customHeight="1" x14ac:dyDescent="0.2">
      <c r="A1645" s="7" t="s">
        <v>37</v>
      </c>
      <c r="B1645" s="7" t="s">
        <v>38</v>
      </c>
      <c r="C1645" s="7"/>
      <c r="D1645" s="7" t="s">
        <v>4035</v>
      </c>
      <c r="E1645" s="8">
        <v>1</v>
      </c>
      <c r="F1645" s="7" t="s">
        <v>61</v>
      </c>
      <c r="G1645" s="7"/>
      <c r="H1645" s="9"/>
      <c r="I1645" s="9"/>
      <c r="J1645" s="9"/>
      <c r="K1645" s="9"/>
      <c r="L1645" s="10">
        <v>70</v>
      </c>
      <c r="M1645" s="9"/>
      <c r="N1645" s="10">
        <v>70</v>
      </c>
      <c r="O1645" s="9"/>
      <c r="P1645" s="10"/>
      <c r="Q1645" s="10"/>
      <c r="R1645" s="10"/>
      <c r="S1645" s="7" t="s">
        <v>407</v>
      </c>
      <c r="T1645" s="7" t="s">
        <v>3776</v>
      </c>
      <c r="U1645" s="7" t="s">
        <v>44</v>
      </c>
      <c r="V1645" s="7" t="s">
        <v>45</v>
      </c>
      <c r="W1645" s="7" t="s">
        <v>171</v>
      </c>
      <c r="X1645" s="7" t="s">
        <v>194</v>
      </c>
      <c r="Y1645" s="7" t="s">
        <v>4036</v>
      </c>
      <c r="Z1645" s="7" t="s">
        <v>4032</v>
      </c>
      <c r="AA1645" s="7"/>
      <c r="AB1645" s="7"/>
      <c r="AC1645" s="7" t="s">
        <v>191</v>
      </c>
      <c r="AD1645" s="7"/>
      <c r="AE1645" s="7"/>
      <c r="AF1645" s="7" t="s">
        <v>50</v>
      </c>
      <c r="AG1645" s="7" t="s">
        <v>175</v>
      </c>
      <c r="AH1645" s="7" t="s">
        <v>197</v>
      </c>
    </row>
    <row r="1646" spans="1:34" ht="9.75" customHeight="1" x14ac:dyDescent="0.2">
      <c r="A1646" s="7" t="s">
        <v>37</v>
      </c>
      <c r="B1646" s="7" t="s">
        <v>38</v>
      </c>
      <c r="C1646" s="7"/>
      <c r="D1646" s="7" t="s">
        <v>4037</v>
      </c>
      <c r="E1646" s="8">
        <v>1</v>
      </c>
      <c r="F1646" s="7" t="s">
        <v>61</v>
      </c>
      <c r="G1646" s="7"/>
      <c r="H1646" s="9"/>
      <c r="I1646" s="9"/>
      <c r="J1646" s="9"/>
      <c r="K1646" s="9"/>
      <c r="L1646" s="10">
        <v>327</v>
      </c>
      <c r="M1646" s="9"/>
      <c r="N1646" s="10">
        <v>327</v>
      </c>
      <c r="O1646" s="9"/>
      <c r="P1646" s="10"/>
      <c r="Q1646" s="10"/>
      <c r="R1646" s="10"/>
      <c r="S1646" s="7" t="s">
        <v>407</v>
      </c>
      <c r="T1646" s="7" t="s">
        <v>3776</v>
      </c>
      <c r="U1646" s="7" t="s">
        <v>44</v>
      </c>
      <c r="V1646" s="7" t="s">
        <v>45</v>
      </c>
      <c r="W1646" s="7" t="s">
        <v>171</v>
      </c>
      <c r="X1646" s="7" t="s">
        <v>194</v>
      </c>
      <c r="Y1646" s="7" t="s">
        <v>4038</v>
      </c>
      <c r="Z1646" s="7" t="s">
        <v>4032</v>
      </c>
      <c r="AA1646" s="7"/>
      <c r="AB1646" s="7"/>
      <c r="AC1646" s="7" t="s">
        <v>191</v>
      </c>
      <c r="AD1646" s="7"/>
      <c r="AE1646" s="7"/>
      <c r="AF1646" s="7" t="s">
        <v>50</v>
      </c>
      <c r="AG1646" s="7" t="s">
        <v>175</v>
      </c>
      <c r="AH1646" s="7" t="s">
        <v>197</v>
      </c>
    </row>
    <row r="1647" spans="1:34" ht="9.75" customHeight="1" x14ac:dyDescent="0.2">
      <c r="A1647" s="7" t="s">
        <v>37</v>
      </c>
      <c r="B1647" s="7" t="s">
        <v>38</v>
      </c>
      <c r="C1647" s="7"/>
      <c r="D1647" s="7" t="s">
        <v>4039</v>
      </c>
      <c r="E1647" s="8">
        <v>1</v>
      </c>
      <c r="F1647" s="7" t="s">
        <v>61</v>
      </c>
      <c r="G1647" s="7"/>
      <c r="H1647" s="9"/>
      <c r="I1647" s="9"/>
      <c r="J1647" s="9"/>
      <c r="K1647" s="9"/>
      <c r="L1647" s="10">
        <v>3618</v>
      </c>
      <c r="M1647" s="9"/>
      <c r="N1647" s="10">
        <v>3618</v>
      </c>
      <c r="O1647" s="9"/>
      <c r="P1647" s="10"/>
      <c r="Q1647" s="10"/>
      <c r="R1647" s="10"/>
      <c r="S1647" s="7" t="s">
        <v>407</v>
      </c>
      <c r="T1647" s="7" t="s">
        <v>3776</v>
      </c>
      <c r="U1647" s="7" t="s">
        <v>44</v>
      </c>
      <c r="V1647" s="7" t="s">
        <v>45</v>
      </c>
      <c r="W1647" s="7" t="s">
        <v>171</v>
      </c>
      <c r="X1647" s="7" t="s">
        <v>194</v>
      </c>
      <c r="Y1647" s="7" t="s">
        <v>4040</v>
      </c>
      <c r="Z1647" s="7" t="s">
        <v>4041</v>
      </c>
      <c r="AA1647" s="7"/>
      <c r="AB1647" s="7"/>
      <c r="AC1647" s="7" t="s">
        <v>191</v>
      </c>
      <c r="AD1647" s="7"/>
      <c r="AE1647" s="7"/>
      <c r="AF1647" s="7" t="s">
        <v>50</v>
      </c>
      <c r="AG1647" s="7" t="s">
        <v>175</v>
      </c>
      <c r="AH1647" s="7" t="s">
        <v>197</v>
      </c>
    </row>
    <row r="1648" spans="1:34" ht="9.75" customHeight="1" x14ac:dyDescent="0.2">
      <c r="A1648" s="7" t="s">
        <v>37</v>
      </c>
      <c r="B1648" s="7" t="s">
        <v>38</v>
      </c>
      <c r="C1648" s="7"/>
      <c r="D1648" s="7" t="s">
        <v>4042</v>
      </c>
      <c r="E1648" s="8">
        <v>1</v>
      </c>
      <c r="F1648" s="7" t="s">
        <v>61</v>
      </c>
      <c r="G1648" s="7"/>
      <c r="H1648" s="9"/>
      <c r="I1648" s="9"/>
      <c r="J1648" s="9"/>
      <c r="K1648" s="9"/>
      <c r="L1648" s="10">
        <v>616</v>
      </c>
      <c r="M1648" s="9"/>
      <c r="N1648" s="10">
        <v>616</v>
      </c>
      <c r="O1648" s="9"/>
      <c r="P1648" s="10"/>
      <c r="Q1648" s="10"/>
      <c r="R1648" s="10"/>
      <c r="S1648" s="7" t="s">
        <v>407</v>
      </c>
      <c r="T1648" s="7" t="s">
        <v>3776</v>
      </c>
      <c r="U1648" s="7" t="s">
        <v>44</v>
      </c>
      <c r="V1648" s="7" t="s">
        <v>45</v>
      </c>
      <c r="W1648" s="7" t="s">
        <v>171</v>
      </c>
      <c r="X1648" s="7" t="s">
        <v>194</v>
      </c>
      <c r="Y1648" s="7" t="s">
        <v>4043</v>
      </c>
      <c r="Z1648" s="7" t="s">
        <v>4041</v>
      </c>
      <c r="AA1648" s="7"/>
      <c r="AB1648" s="7"/>
      <c r="AC1648" s="7" t="s">
        <v>191</v>
      </c>
      <c r="AD1648" s="7"/>
      <c r="AE1648" s="7"/>
      <c r="AF1648" s="7" t="s">
        <v>50</v>
      </c>
      <c r="AG1648" s="7" t="s">
        <v>175</v>
      </c>
      <c r="AH1648" s="7" t="s">
        <v>197</v>
      </c>
    </row>
    <row r="1649" spans="1:34" ht="9.75" customHeight="1" x14ac:dyDescent="0.2">
      <c r="A1649" s="7" t="s">
        <v>37</v>
      </c>
      <c r="B1649" s="7" t="s">
        <v>38</v>
      </c>
      <c r="C1649" s="7"/>
      <c r="D1649" s="7" t="s">
        <v>4044</v>
      </c>
      <c r="E1649" s="8">
        <v>1</v>
      </c>
      <c r="F1649" s="7" t="s">
        <v>61</v>
      </c>
      <c r="G1649" s="7"/>
      <c r="H1649" s="9"/>
      <c r="I1649" s="9"/>
      <c r="J1649" s="9"/>
      <c r="K1649" s="9"/>
      <c r="L1649" s="10">
        <v>65</v>
      </c>
      <c r="M1649" s="9"/>
      <c r="N1649" s="10">
        <v>65</v>
      </c>
      <c r="O1649" s="9"/>
      <c r="P1649" s="10"/>
      <c r="Q1649" s="10"/>
      <c r="R1649" s="10"/>
      <c r="S1649" s="7" t="s">
        <v>407</v>
      </c>
      <c r="T1649" s="7" t="s">
        <v>3776</v>
      </c>
      <c r="U1649" s="7" t="s">
        <v>44</v>
      </c>
      <c r="V1649" s="7" t="s">
        <v>45</v>
      </c>
      <c r="W1649" s="7" t="s">
        <v>171</v>
      </c>
      <c r="X1649" s="7" t="s">
        <v>194</v>
      </c>
      <c r="Y1649" s="7" t="s">
        <v>4045</v>
      </c>
      <c r="Z1649" s="7" t="s">
        <v>4041</v>
      </c>
      <c r="AA1649" s="7"/>
      <c r="AB1649" s="7"/>
      <c r="AC1649" s="7" t="s">
        <v>191</v>
      </c>
      <c r="AD1649" s="7"/>
      <c r="AE1649" s="7"/>
      <c r="AF1649" s="7" t="s">
        <v>50</v>
      </c>
      <c r="AG1649" s="7" t="s">
        <v>175</v>
      </c>
      <c r="AH1649" s="7" t="s">
        <v>197</v>
      </c>
    </row>
    <row r="1650" spans="1:34" ht="9.75" customHeight="1" x14ac:dyDescent="0.2">
      <c r="A1650" s="7" t="s">
        <v>37</v>
      </c>
      <c r="B1650" s="7" t="s">
        <v>38</v>
      </c>
      <c r="C1650" s="7"/>
      <c r="D1650" s="7" t="s">
        <v>4046</v>
      </c>
      <c r="E1650" s="8">
        <v>1</v>
      </c>
      <c r="F1650" s="7" t="s">
        <v>61</v>
      </c>
      <c r="G1650" s="7"/>
      <c r="H1650" s="9"/>
      <c r="I1650" s="9"/>
      <c r="J1650" s="9"/>
      <c r="K1650" s="9"/>
      <c r="L1650" s="10">
        <v>318</v>
      </c>
      <c r="M1650" s="9"/>
      <c r="N1650" s="10">
        <v>318</v>
      </c>
      <c r="O1650" s="9"/>
      <c r="P1650" s="10"/>
      <c r="Q1650" s="10"/>
      <c r="R1650" s="10"/>
      <c r="S1650" s="7" t="s">
        <v>407</v>
      </c>
      <c r="T1650" s="7" t="s">
        <v>3776</v>
      </c>
      <c r="U1650" s="7" t="s">
        <v>44</v>
      </c>
      <c r="V1650" s="7" t="s">
        <v>45</v>
      </c>
      <c r="W1650" s="7" t="s">
        <v>171</v>
      </c>
      <c r="X1650" s="7" t="s">
        <v>194</v>
      </c>
      <c r="Y1650" s="7" t="s">
        <v>4047</v>
      </c>
      <c r="Z1650" s="7" t="s">
        <v>4041</v>
      </c>
      <c r="AA1650" s="7"/>
      <c r="AB1650" s="7"/>
      <c r="AC1650" s="7" t="s">
        <v>191</v>
      </c>
      <c r="AD1650" s="7"/>
      <c r="AE1650" s="7" t="s">
        <v>4048</v>
      </c>
      <c r="AF1650" s="7" t="s">
        <v>50</v>
      </c>
      <c r="AG1650" s="7" t="s">
        <v>175</v>
      </c>
      <c r="AH1650" s="7" t="s">
        <v>197</v>
      </c>
    </row>
    <row r="1651" spans="1:34" ht="9.75" customHeight="1" x14ac:dyDescent="0.2">
      <c r="A1651" s="7" t="s">
        <v>37</v>
      </c>
      <c r="B1651" s="7" t="s">
        <v>38</v>
      </c>
      <c r="C1651" s="7"/>
      <c r="D1651" s="7" t="s">
        <v>4049</v>
      </c>
      <c r="E1651" s="8">
        <v>1</v>
      </c>
      <c r="F1651" s="7" t="s">
        <v>61</v>
      </c>
      <c r="G1651" s="7"/>
      <c r="H1651" s="9"/>
      <c r="I1651" s="9"/>
      <c r="J1651" s="9"/>
      <c r="K1651" s="9"/>
      <c r="L1651" s="10">
        <v>23735</v>
      </c>
      <c r="M1651" s="9"/>
      <c r="N1651" s="10">
        <v>23735</v>
      </c>
      <c r="O1651" s="9"/>
      <c r="P1651" s="10"/>
      <c r="Q1651" s="10"/>
      <c r="R1651" s="10"/>
      <c r="S1651" s="7" t="s">
        <v>407</v>
      </c>
      <c r="T1651" s="7" t="s">
        <v>3776</v>
      </c>
      <c r="U1651" s="7" t="s">
        <v>44</v>
      </c>
      <c r="V1651" s="7" t="s">
        <v>45</v>
      </c>
      <c r="W1651" s="7" t="s">
        <v>171</v>
      </c>
      <c r="X1651" s="7" t="s">
        <v>194</v>
      </c>
      <c r="Y1651" s="7" t="s">
        <v>4050</v>
      </c>
      <c r="Z1651" s="7" t="s">
        <v>4051</v>
      </c>
      <c r="AA1651" s="7"/>
      <c r="AB1651" s="7"/>
      <c r="AC1651" s="7" t="s">
        <v>191</v>
      </c>
      <c r="AD1651" s="7"/>
      <c r="AE1651" s="7"/>
      <c r="AF1651" s="7" t="s">
        <v>50</v>
      </c>
      <c r="AG1651" s="7" t="s">
        <v>175</v>
      </c>
      <c r="AH1651" s="7" t="s">
        <v>197</v>
      </c>
    </row>
    <row r="1652" spans="1:34" ht="9.75" customHeight="1" x14ac:dyDescent="0.2">
      <c r="A1652" s="7" t="s">
        <v>37</v>
      </c>
      <c r="B1652" s="7" t="s">
        <v>38</v>
      </c>
      <c r="C1652" s="7"/>
      <c r="D1652" s="7" t="s">
        <v>4052</v>
      </c>
      <c r="E1652" s="8">
        <v>1</v>
      </c>
      <c r="F1652" s="7" t="s">
        <v>61</v>
      </c>
      <c r="G1652" s="7"/>
      <c r="H1652" s="9"/>
      <c r="I1652" s="9"/>
      <c r="J1652" s="9"/>
      <c r="K1652" s="9"/>
      <c r="L1652" s="10">
        <v>34</v>
      </c>
      <c r="M1652" s="9"/>
      <c r="N1652" s="10">
        <v>34</v>
      </c>
      <c r="O1652" s="9"/>
      <c r="P1652" s="10"/>
      <c r="Q1652" s="10"/>
      <c r="R1652" s="10"/>
      <c r="S1652" s="7" t="s">
        <v>407</v>
      </c>
      <c r="T1652" s="7" t="s">
        <v>3776</v>
      </c>
      <c r="U1652" s="7" t="s">
        <v>44</v>
      </c>
      <c r="V1652" s="7" t="s">
        <v>45</v>
      </c>
      <c r="W1652" s="7" t="s">
        <v>171</v>
      </c>
      <c r="X1652" s="7" t="s">
        <v>194</v>
      </c>
      <c r="Y1652" s="7" t="s">
        <v>4053</v>
      </c>
      <c r="Z1652" s="7" t="s">
        <v>4051</v>
      </c>
      <c r="AA1652" s="7"/>
      <c r="AB1652" s="7"/>
      <c r="AC1652" s="7" t="s">
        <v>191</v>
      </c>
      <c r="AD1652" s="7"/>
      <c r="AE1652" s="7"/>
      <c r="AF1652" s="7" t="s">
        <v>50</v>
      </c>
      <c r="AG1652" s="7" t="s">
        <v>175</v>
      </c>
      <c r="AH1652" s="7" t="s">
        <v>197</v>
      </c>
    </row>
    <row r="1653" spans="1:34" ht="9.75" customHeight="1" x14ac:dyDescent="0.2">
      <c r="A1653" s="7" t="s">
        <v>37</v>
      </c>
      <c r="B1653" s="7" t="s">
        <v>38</v>
      </c>
      <c r="C1653" s="7"/>
      <c r="D1653" s="7" t="s">
        <v>4054</v>
      </c>
      <c r="E1653" s="8">
        <v>1</v>
      </c>
      <c r="F1653" s="7" t="s">
        <v>61</v>
      </c>
      <c r="G1653" s="7"/>
      <c r="H1653" s="9"/>
      <c r="I1653" s="9"/>
      <c r="J1653" s="9"/>
      <c r="K1653" s="9"/>
      <c r="L1653" s="10">
        <v>833</v>
      </c>
      <c r="M1653" s="9"/>
      <c r="N1653" s="10">
        <v>833</v>
      </c>
      <c r="O1653" s="9"/>
      <c r="P1653" s="10"/>
      <c r="Q1653" s="10"/>
      <c r="R1653" s="10"/>
      <c r="S1653" s="7" t="s">
        <v>407</v>
      </c>
      <c r="T1653" s="7" t="s">
        <v>3776</v>
      </c>
      <c r="U1653" s="7" t="s">
        <v>44</v>
      </c>
      <c r="V1653" s="7" t="s">
        <v>45</v>
      </c>
      <c r="W1653" s="7" t="s">
        <v>171</v>
      </c>
      <c r="X1653" s="7" t="s">
        <v>194</v>
      </c>
      <c r="Y1653" s="7" t="s">
        <v>4055</v>
      </c>
      <c r="Z1653" s="7" t="s">
        <v>4051</v>
      </c>
      <c r="AA1653" s="7"/>
      <c r="AB1653" s="7"/>
      <c r="AC1653" s="7" t="s">
        <v>191</v>
      </c>
      <c r="AD1653" s="7"/>
      <c r="AE1653" s="7"/>
      <c r="AF1653" s="7" t="s">
        <v>50</v>
      </c>
      <c r="AG1653" s="7" t="s">
        <v>175</v>
      </c>
      <c r="AH1653" s="7" t="s">
        <v>197</v>
      </c>
    </row>
    <row r="1654" spans="1:34" ht="9.75" customHeight="1" x14ac:dyDescent="0.2">
      <c r="A1654" s="7" t="s">
        <v>37</v>
      </c>
      <c r="B1654" s="7" t="s">
        <v>38</v>
      </c>
      <c r="C1654" s="7"/>
      <c r="D1654" s="7" t="s">
        <v>4056</v>
      </c>
      <c r="E1654" s="8">
        <v>1</v>
      </c>
      <c r="F1654" s="7" t="s">
        <v>61</v>
      </c>
      <c r="G1654" s="7"/>
      <c r="H1654" s="9"/>
      <c r="I1654" s="9"/>
      <c r="J1654" s="9"/>
      <c r="K1654" s="9"/>
      <c r="L1654" s="10">
        <v>1663</v>
      </c>
      <c r="M1654" s="9"/>
      <c r="N1654" s="10">
        <v>1663</v>
      </c>
      <c r="O1654" s="9"/>
      <c r="P1654" s="10"/>
      <c r="Q1654" s="10"/>
      <c r="R1654" s="10"/>
      <c r="S1654" s="7" t="s">
        <v>407</v>
      </c>
      <c r="T1654" s="7" t="s">
        <v>3776</v>
      </c>
      <c r="U1654" s="7" t="s">
        <v>44</v>
      </c>
      <c r="V1654" s="7" t="s">
        <v>45</v>
      </c>
      <c r="W1654" s="7" t="s">
        <v>171</v>
      </c>
      <c r="X1654" s="7" t="s">
        <v>194</v>
      </c>
      <c r="Y1654" s="7" t="s">
        <v>4057</v>
      </c>
      <c r="Z1654" s="7" t="s">
        <v>4051</v>
      </c>
      <c r="AA1654" s="7"/>
      <c r="AB1654" s="7"/>
      <c r="AC1654" s="7" t="s">
        <v>191</v>
      </c>
      <c r="AD1654" s="7"/>
      <c r="AE1654" s="7"/>
      <c r="AF1654" s="7" t="s">
        <v>50</v>
      </c>
      <c r="AG1654" s="7" t="s">
        <v>175</v>
      </c>
      <c r="AH1654" s="7" t="s">
        <v>197</v>
      </c>
    </row>
    <row r="1655" spans="1:34" ht="9.75" customHeight="1" x14ac:dyDescent="0.2">
      <c r="A1655" s="7" t="s">
        <v>37</v>
      </c>
      <c r="B1655" s="7" t="s">
        <v>38</v>
      </c>
      <c r="C1655" s="7"/>
      <c r="D1655" s="7" t="s">
        <v>4058</v>
      </c>
      <c r="E1655" s="8">
        <v>1</v>
      </c>
      <c r="F1655" s="7" t="s">
        <v>61</v>
      </c>
      <c r="G1655" s="7"/>
      <c r="H1655" s="9"/>
      <c r="I1655" s="9"/>
      <c r="J1655" s="9"/>
      <c r="K1655" s="9"/>
      <c r="L1655" s="10">
        <v>2233</v>
      </c>
      <c r="M1655" s="9"/>
      <c r="N1655" s="10">
        <v>2233</v>
      </c>
      <c r="O1655" s="9"/>
      <c r="P1655" s="10"/>
      <c r="Q1655" s="10"/>
      <c r="R1655" s="10"/>
      <c r="S1655" s="7" t="s">
        <v>407</v>
      </c>
      <c r="T1655" s="7" t="s">
        <v>3776</v>
      </c>
      <c r="U1655" s="7" t="s">
        <v>44</v>
      </c>
      <c r="V1655" s="7" t="s">
        <v>45</v>
      </c>
      <c r="W1655" s="7" t="s">
        <v>171</v>
      </c>
      <c r="X1655" s="7" t="s">
        <v>194</v>
      </c>
      <c r="Y1655" s="7" t="s">
        <v>4059</v>
      </c>
      <c r="Z1655" s="7" t="s">
        <v>4051</v>
      </c>
      <c r="AA1655" s="7"/>
      <c r="AB1655" s="7"/>
      <c r="AC1655" s="7" t="s">
        <v>191</v>
      </c>
      <c r="AD1655" s="7"/>
      <c r="AE1655" s="7"/>
      <c r="AF1655" s="7" t="s">
        <v>50</v>
      </c>
      <c r="AG1655" s="7" t="s">
        <v>175</v>
      </c>
      <c r="AH1655" s="7" t="s">
        <v>197</v>
      </c>
    </row>
    <row r="1656" spans="1:34" ht="9.75" customHeight="1" x14ac:dyDescent="0.2">
      <c r="A1656" s="7" t="s">
        <v>37</v>
      </c>
      <c r="B1656" s="7" t="s">
        <v>38</v>
      </c>
      <c r="C1656" s="7"/>
      <c r="D1656" s="7" t="s">
        <v>4060</v>
      </c>
      <c r="E1656" s="8">
        <v>1</v>
      </c>
      <c r="F1656" s="7" t="s">
        <v>61</v>
      </c>
      <c r="G1656" s="7"/>
      <c r="H1656" s="9"/>
      <c r="I1656" s="9"/>
      <c r="J1656" s="9"/>
      <c r="K1656" s="9"/>
      <c r="L1656" s="10">
        <v>9764</v>
      </c>
      <c r="M1656" s="9"/>
      <c r="N1656" s="10">
        <v>9764</v>
      </c>
      <c r="O1656" s="9"/>
      <c r="P1656" s="10"/>
      <c r="Q1656" s="10"/>
      <c r="R1656" s="10"/>
      <c r="S1656" s="7" t="s">
        <v>407</v>
      </c>
      <c r="T1656" s="7" t="s">
        <v>3776</v>
      </c>
      <c r="U1656" s="7" t="s">
        <v>44</v>
      </c>
      <c r="V1656" s="7" t="s">
        <v>45</v>
      </c>
      <c r="W1656" s="7" t="s">
        <v>171</v>
      </c>
      <c r="X1656" s="7" t="s">
        <v>194</v>
      </c>
      <c r="Y1656" s="7" t="s">
        <v>4061</v>
      </c>
      <c r="Z1656" s="7" t="s">
        <v>4051</v>
      </c>
      <c r="AA1656" s="7"/>
      <c r="AB1656" s="7"/>
      <c r="AC1656" s="7" t="s">
        <v>191</v>
      </c>
      <c r="AD1656" s="7"/>
      <c r="AE1656" s="7"/>
      <c r="AF1656" s="7" t="s">
        <v>50</v>
      </c>
      <c r="AG1656" s="7" t="s">
        <v>175</v>
      </c>
      <c r="AH1656" s="7" t="s">
        <v>197</v>
      </c>
    </row>
    <row r="1657" spans="1:34" ht="9.75" customHeight="1" x14ac:dyDescent="0.2">
      <c r="A1657" s="7" t="s">
        <v>37</v>
      </c>
      <c r="B1657" s="7" t="s">
        <v>38</v>
      </c>
      <c r="C1657" s="7"/>
      <c r="D1657" s="7" t="s">
        <v>4062</v>
      </c>
      <c r="E1657" s="8">
        <v>1</v>
      </c>
      <c r="F1657" s="7" t="s">
        <v>61</v>
      </c>
      <c r="G1657" s="7"/>
      <c r="H1657" s="9"/>
      <c r="I1657" s="9"/>
      <c r="J1657" s="9"/>
      <c r="K1657" s="9"/>
      <c r="L1657" s="10">
        <v>26442</v>
      </c>
      <c r="M1657" s="9"/>
      <c r="N1657" s="10">
        <v>26442</v>
      </c>
      <c r="O1657" s="9"/>
      <c r="P1657" s="10"/>
      <c r="Q1657" s="10"/>
      <c r="R1657" s="10"/>
      <c r="S1657" s="7" t="s">
        <v>407</v>
      </c>
      <c r="T1657" s="7" t="s">
        <v>3776</v>
      </c>
      <c r="U1657" s="7" t="s">
        <v>44</v>
      </c>
      <c r="V1657" s="7" t="s">
        <v>45</v>
      </c>
      <c r="W1657" s="7" t="s">
        <v>171</v>
      </c>
      <c r="X1657" s="7" t="s">
        <v>194</v>
      </c>
      <c r="Y1657" s="7" t="s">
        <v>4063</v>
      </c>
      <c r="Z1657" s="7" t="s">
        <v>4064</v>
      </c>
      <c r="AA1657" s="7"/>
      <c r="AB1657" s="7"/>
      <c r="AC1657" s="7" t="s">
        <v>191</v>
      </c>
      <c r="AD1657" s="7"/>
      <c r="AE1657" s="7"/>
      <c r="AF1657" s="7" t="s">
        <v>50</v>
      </c>
      <c r="AG1657" s="7" t="s">
        <v>175</v>
      </c>
      <c r="AH1657" s="7" t="s">
        <v>197</v>
      </c>
    </row>
    <row r="1658" spans="1:34" ht="9.75" customHeight="1" x14ac:dyDescent="0.2">
      <c r="A1658" s="7" t="s">
        <v>37</v>
      </c>
      <c r="B1658" s="7" t="s">
        <v>38</v>
      </c>
      <c r="C1658" s="7"/>
      <c r="D1658" s="7" t="s">
        <v>4065</v>
      </c>
      <c r="E1658" s="8">
        <v>1</v>
      </c>
      <c r="F1658" s="7" t="s">
        <v>61</v>
      </c>
      <c r="G1658" s="7"/>
      <c r="H1658" s="9"/>
      <c r="I1658" s="9"/>
      <c r="J1658" s="9"/>
      <c r="K1658" s="9"/>
      <c r="L1658" s="10">
        <v>1444</v>
      </c>
      <c r="M1658" s="9"/>
      <c r="N1658" s="10">
        <v>1444</v>
      </c>
      <c r="O1658" s="9"/>
      <c r="P1658" s="10"/>
      <c r="Q1658" s="10"/>
      <c r="R1658" s="10"/>
      <c r="S1658" s="7" t="s">
        <v>407</v>
      </c>
      <c r="T1658" s="7" t="s">
        <v>3776</v>
      </c>
      <c r="U1658" s="7" t="s">
        <v>44</v>
      </c>
      <c r="V1658" s="7" t="s">
        <v>45</v>
      </c>
      <c r="W1658" s="7" t="s">
        <v>171</v>
      </c>
      <c r="X1658" s="7" t="s">
        <v>194</v>
      </c>
      <c r="Y1658" s="7" t="s">
        <v>4066</v>
      </c>
      <c r="Z1658" s="7" t="s">
        <v>4064</v>
      </c>
      <c r="AA1658" s="7"/>
      <c r="AB1658" s="7"/>
      <c r="AC1658" s="7" t="s">
        <v>191</v>
      </c>
      <c r="AD1658" s="7"/>
      <c r="AE1658" s="7" t="s">
        <v>4067</v>
      </c>
      <c r="AF1658" s="7" t="s">
        <v>50</v>
      </c>
      <c r="AG1658" s="7" t="s">
        <v>175</v>
      </c>
      <c r="AH1658" s="7" t="s">
        <v>197</v>
      </c>
    </row>
    <row r="1659" spans="1:34" ht="9.75" customHeight="1" x14ac:dyDescent="0.2">
      <c r="A1659" s="7" t="s">
        <v>37</v>
      </c>
      <c r="B1659" s="7" t="s">
        <v>38</v>
      </c>
      <c r="C1659" s="7"/>
      <c r="D1659" s="7" t="s">
        <v>4068</v>
      </c>
      <c r="E1659" s="8">
        <v>1</v>
      </c>
      <c r="F1659" s="7" t="s">
        <v>61</v>
      </c>
      <c r="G1659" s="7"/>
      <c r="H1659" s="9"/>
      <c r="I1659" s="9"/>
      <c r="J1659" s="9"/>
      <c r="K1659" s="9"/>
      <c r="L1659" s="10">
        <v>1464</v>
      </c>
      <c r="M1659" s="9"/>
      <c r="N1659" s="10">
        <v>1464</v>
      </c>
      <c r="O1659" s="9"/>
      <c r="P1659" s="10"/>
      <c r="Q1659" s="10"/>
      <c r="R1659" s="10"/>
      <c r="S1659" s="7" t="s">
        <v>407</v>
      </c>
      <c r="T1659" s="7" t="s">
        <v>3776</v>
      </c>
      <c r="U1659" s="7" t="s">
        <v>44</v>
      </c>
      <c r="V1659" s="7" t="s">
        <v>45</v>
      </c>
      <c r="W1659" s="7" t="s">
        <v>171</v>
      </c>
      <c r="X1659" s="7" t="s">
        <v>194</v>
      </c>
      <c r="Y1659" s="7" t="s">
        <v>4069</v>
      </c>
      <c r="Z1659" s="7" t="s">
        <v>4064</v>
      </c>
      <c r="AA1659" s="7"/>
      <c r="AB1659" s="7"/>
      <c r="AC1659" s="7" t="s">
        <v>191</v>
      </c>
      <c r="AD1659" s="7"/>
      <c r="AE1659" s="7"/>
      <c r="AF1659" s="7" t="s">
        <v>50</v>
      </c>
      <c r="AG1659" s="7" t="s">
        <v>175</v>
      </c>
      <c r="AH1659" s="7" t="s">
        <v>197</v>
      </c>
    </row>
    <row r="1660" spans="1:34" ht="9.75" customHeight="1" x14ac:dyDescent="0.2">
      <c r="A1660" s="7" t="s">
        <v>37</v>
      </c>
      <c r="B1660" s="7" t="s">
        <v>38</v>
      </c>
      <c r="C1660" s="7"/>
      <c r="D1660" s="7" t="s">
        <v>4070</v>
      </c>
      <c r="E1660" s="8">
        <v>1</v>
      </c>
      <c r="F1660" s="7" t="s">
        <v>61</v>
      </c>
      <c r="G1660" s="7"/>
      <c r="H1660" s="9"/>
      <c r="I1660" s="9"/>
      <c r="J1660" s="9"/>
      <c r="K1660" s="9"/>
      <c r="L1660" s="10">
        <v>2387</v>
      </c>
      <c r="M1660" s="9"/>
      <c r="N1660" s="10">
        <v>2387</v>
      </c>
      <c r="O1660" s="9"/>
      <c r="P1660" s="10"/>
      <c r="Q1660" s="10"/>
      <c r="R1660" s="10"/>
      <c r="S1660" s="7" t="s">
        <v>407</v>
      </c>
      <c r="T1660" s="7" t="s">
        <v>3776</v>
      </c>
      <c r="U1660" s="7" t="s">
        <v>44</v>
      </c>
      <c r="V1660" s="7" t="s">
        <v>45</v>
      </c>
      <c r="W1660" s="7" t="s">
        <v>171</v>
      </c>
      <c r="X1660" s="7" t="s">
        <v>194</v>
      </c>
      <c r="Y1660" s="7" t="s">
        <v>4071</v>
      </c>
      <c r="Z1660" s="7" t="s">
        <v>4064</v>
      </c>
      <c r="AA1660" s="7"/>
      <c r="AB1660" s="7"/>
      <c r="AC1660" s="7" t="s">
        <v>191</v>
      </c>
      <c r="AD1660" s="7"/>
      <c r="AE1660" s="7"/>
      <c r="AF1660" s="7" t="s">
        <v>50</v>
      </c>
      <c r="AG1660" s="7" t="s">
        <v>175</v>
      </c>
      <c r="AH1660" s="7" t="s">
        <v>197</v>
      </c>
    </row>
    <row r="1661" spans="1:34" ht="9.75" customHeight="1" x14ac:dyDescent="0.2">
      <c r="A1661" s="7" t="s">
        <v>37</v>
      </c>
      <c r="B1661" s="7" t="s">
        <v>38</v>
      </c>
      <c r="C1661" s="7"/>
      <c r="D1661" s="7" t="s">
        <v>4072</v>
      </c>
      <c r="E1661" s="8">
        <v>1</v>
      </c>
      <c r="F1661" s="7" t="s">
        <v>61</v>
      </c>
      <c r="G1661" s="7"/>
      <c r="H1661" s="9"/>
      <c r="I1661" s="9"/>
      <c r="J1661" s="9"/>
      <c r="K1661" s="9"/>
      <c r="L1661" s="10">
        <v>2388</v>
      </c>
      <c r="M1661" s="9"/>
      <c r="N1661" s="10">
        <v>2388</v>
      </c>
      <c r="O1661" s="9"/>
      <c r="P1661" s="10"/>
      <c r="Q1661" s="10"/>
      <c r="R1661" s="10"/>
      <c r="S1661" s="7" t="s">
        <v>407</v>
      </c>
      <c r="T1661" s="7" t="s">
        <v>3776</v>
      </c>
      <c r="U1661" s="7" t="s">
        <v>44</v>
      </c>
      <c r="V1661" s="7" t="s">
        <v>45</v>
      </c>
      <c r="W1661" s="7" t="s">
        <v>171</v>
      </c>
      <c r="X1661" s="7" t="s">
        <v>194</v>
      </c>
      <c r="Y1661" s="7" t="s">
        <v>4073</v>
      </c>
      <c r="Z1661" s="7" t="s">
        <v>4064</v>
      </c>
      <c r="AA1661" s="7"/>
      <c r="AB1661" s="7"/>
      <c r="AC1661" s="7" t="s">
        <v>191</v>
      </c>
      <c r="AD1661" s="7"/>
      <c r="AE1661" s="7"/>
      <c r="AF1661" s="7" t="s">
        <v>50</v>
      </c>
      <c r="AG1661" s="7" t="s">
        <v>175</v>
      </c>
      <c r="AH1661" s="7" t="s">
        <v>197</v>
      </c>
    </row>
    <row r="1662" spans="1:34" ht="9.75" customHeight="1" x14ac:dyDescent="0.2">
      <c r="A1662" s="7" t="s">
        <v>37</v>
      </c>
      <c r="B1662" s="7" t="s">
        <v>38</v>
      </c>
      <c r="C1662" s="7"/>
      <c r="D1662" s="7" t="s">
        <v>4074</v>
      </c>
      <c r="E1662" s="8">
        <v>1</v>
      </c>
      <c r="F1662" s="7" t="s">
        <v>61</v>
      </c>
      <c r="G1662" s="7"/>
      <c r="H1662" s="9"/>
      <c r="I1662" s="9"/>
      <c r="J1662" s="9"/>
      <c r="K1662" s="9"/>
      <c r="L1662" s="10">
        <v>17974</v>
      </c>
      <c r="M1662" s="9"/>
      <c r="N1662" s="10">
        <v>17974</v>
      </c>
      <c r="O1662" s="9"/>
      <c r="P1662" s="10"/>
      <c r="Q1662" s="10"/>
      <c r="R1662" s="10"/>
      <c r="S1662" s="7" t="s">
        <v>407</v>
      </c>
      <c r="T1662" s="7" t="s">
        <v>3776</v>
      </c>
      <c r="U1662" s="7" t="s">
        <v>44</v>
      </c>
      <c r="V1662" s="7" t="s">
        <v>45</v>
      </c>
      <c r="W1662" s="7" t="s">
        <v>171</v>
      </c>
      <c r="X1662" s="7" t="s">
        <v>194</v>
      </c>
      <c r="Y1662" s="7" t="s">
        <v>4075</v>
      </c>
      <c r="Z1662" s="7" t="s">
        <v>4076</v>
      </c>
      <c r="AA1662" s="7"/>
      <c r="AB1662" s="7"/>
      <c r="AC1662" s="7" t="s">
        <v>191</v>
      </c>
      <c r="AD1662" s="7"/>
      <c r="AE1662" s="7"/>
      <c r="AF1662" s="7" t="s">
        <v>50</v>
      </c>
      <c r="AG1662" s="7" t="s">
        <v>175</v>
      </c>
      <c r="AH1662" s="7" t="s">
        <v>197</v>
      </c>
    </row>
    <row r="1663" spans="1:34" ht="9.75" customHeight="1" x14ac:dyDescent="0.2">
      <c r="A1663" s="7" t="s">
        <v>37</v>
      </c>
      <c r="B1663" s="7" t="s">
        <v>38</v>
      </c>
      <c r="C1663" s="7"/>
      <c r="D1663" s="7" t="s">
        <v>4077</v>
      </c>
      <c r="E1663" s="8">
        <v>1</v>
      </c>
      <c r="F1663" s="7" t="s">
        <v>61</v>
      </c>
      <c r="G1663" s="7"/>
      <c r="H1663" s="9"/>
      <c r="I1663" s="9"/>
      <c r="J1663" s="9"/>
      <c r="K1663" s="9"/>
      <c r="L1663" s="10">
        <v>473</v>
      </c>
      <c r="M1663" s="9"/>
      <c r="N1663" s="10">
        <v>473</v>
      </c>
      <c r="O1663" s="9"/>
      <c r="P1663" s="10"/>
      <c r="Q1663" s="10"/>
      <c r="R1663" s="10"/>
      <c r="S1663" s="7" t="s">
        <v>407</v>
      </c>
      <c r="T1663" s="7" t="s">
        <v>3776</v>
      </c>
      <c r="U1663" s="7" t="s">
        <v>44</v>
      </c>
      <c r="V1663" s="7" t="s">
        <v>45</v>
      </c>
      <c r="W1663" s="7" t="s">
        <v>171</v>
      </c>
      <c r="X1663" s="7" t="s">
        <v>194</v>
      </c>
      <c r="Y1663" s="7" t="s">
        <v>4078</v>
      </c>
      <c r="Z1663" s="7" t="s">
        <v>4076</v>
      </c>
      <c r="AA1663" s="7"/>
      <c r="AB1663" s="7"/>
      <c r="AC1663" s="7" t="s">
        <v>191</v>
      </c>
      <c r="AD1663" s="7"/>
      <c r="AE1663" s="7"/>
      <c r="AF1663" s="7" t="s">
        <v>50</v>
      </c>
      <c r="AG1663" s="7" t="s">
        <v>175</v>
      </c>
      <c r="AH1663" s="7" t="s">
        <v>197</v>
      </c>
    </row>
    <row r="1664" spans="1:34" ht="9.75" customHeight="1" x14ac:dyDescent="0.2">
      <c r="A1664" s="7" t="s">
        <v>37</v>
      </c>
      <c r="B1664" s="7" t="s">
        <v>38</v>
      </c>
      <c r="C1664" s="7"/>
      <c r="D1664" s="7" t="s">
        <v>4079</v>
      </c>
      <c r="E1664" s="8">
        <v>1</v>
      </c>
      <c r="F1664" s="7" t="s">
        <v>61</v>
      </c>
      <c r="G1664" s="7"/>
      <c r="H1664" s="9"/>
      <c r="I1664" s="9"/>
      <c r="J1664" s="9"/>
      <c r="K1664" s="9"/>
      <c r="L1664" s="10">
        <v>103</v>
      </c>
      <c r="M1664" s="9"/>
      <c r="N1664" s="10">
        <v>103</v>
      </c>
      <c r="O1664" s="9"/>
      <c r="P1664" s="10"/>
      <c r="Q1664" s="10"/>
      <c r="R1664" s="10"/>
      <c r="S1664" s="7" t="s">
        <v>407</v>
      </c>
      <c r="T1664" s="7" t="s">
        <v>3776</v>
      </c>
      <c r="U1664" s="7" t="s">
        <v>44</v>
      </c>
      <c r="V1664" s="7" t="s">
        <v>45</v>
      </c>
      <c r="W1664" s="7" t="s">
        <v>171</v>
      </c>
      <c r="X1664" s="7" t="s">
        <v>194</v>
      </c>
      <c r="Y1664" s="7" t="s">
        <v>4080</v>
      </c>
      <c r="Z1664" s="7" t="s">
        <v>4076</v>
      </c>
      <c r="AA1664" s="7"/>
      <c r="AB1664" s="7"/>
      <c r="AC1664" s="7" t="s">
        <v>191</v>
      </c>
      <c r="AD1664" s="7"/>
      <c r="AE1664" s="7" t="s">
        <v>4081</v>
      </c>
      <c r="AF1664" s="7" t="s">
        <v>50</v>
      </c>
      <c r="AG1664" s="7" t="s">
        <v>175</v>
      </c>
      <c r="AH1664" s="7" t="s">
        <v>197</v>
      </c>
    </row>
    <row r="1665" spans="1:34" ht="9.75" customHeight="1" x14ac:dyDescent="0.2">
      <c r="A1665" s="7" t="s">
        <v>37</v>
      </c>
      <c r="B1665" s="7" t="s">
        <v>38</v>
      </c>
      <c r="C1665" s="7"/>
      <c r="D1665" s="7" t="s">
        <v>4082</v>
      </c>
      <c r="E1665" s="8">
        <v>1</v>
      </c>
      <c r="F1665" s="7" t="s">
        <v>61</v>
      </c>
      <c r="G1665" s="7"/>
      <c r="H1665" s="9"/>
      <c r="I1665" s="9"/>
      <c r="J1665" s="9"/>
      <c r="K1665" s="9"/>
      <c r="L1665" s="10">
        <v>2093</v>
      </c>
      <c r="M1665" s="9"/>
      <c r="N1665" s="10">
        <v>2093</v>
      </c>
      <c r="O1665" s="9"/>
      <c r="P1665" s="10"/>
      <c r="Q1665" s="10"/>
      <c r="R1665" s="10"/>
      <c r="S1665" s="7" t="s">
        <v>407</v>
      </c>
      <c r="T1665" s="7" t="s">
        <v>3776</v>
      </c>
      <c r="U1665" s="7" t="s">
        <v>44</v>
      </c>
      <c r="V1665" s="7" t="s">
        <v>45</v>
      </c>
      <c r="W1665" s="7" t="s">
        <v>171</v>
      </c>
      <c r="X1665" s="7" t="s">
        <v>194</v>
      </c>
      <c r="Y1665" s="7" t="s">
        <v>4083</v>
      </c>
      <c r="Z1665" s="7" t="s">
        <v>4076</v>
      </c>
      <c r="AA1665" s="7"/>
      <c r="AB1665" s="7"/>
      <c r="AC1665" s="7" t="s">
        <v>191</v>
      </c>
      <c r="AD1665" s="7"/>
      <c r="AE1665" s="7"/>
      <c r="AF1665" s="7" t="s">
        <v>50</v>
      </c>
      <c r="AG1665" s="7" t="s">
        <v>175</v>
      </c>
      <c r="AH1665" s="7" t="s">
        <v>197</v>
      </c>
    </row>
    <row r="1666" spans="1:34" ht="9.75" customHeight="1" x14ac:dyDescent="0.2">
      <c r="A1666" s="7" t="s">
        <v>37</v>
      </c>
      <c r="B1666" s="7" t="s">
        <v>38</v>
      </c>
      <c r="C1666" s="7"/>
      <c r="D1666" s="7" t="s">
        <v>4084</v>
      </c>
      <c r="E1666" s="8">
        <v>1</v>
      </c>
      <c r="F1666" s="7" t="s">
        <v>61</v>
      </c>
      <c r="G1666" s="7"/>
      <c r="H1666" s="9"/>
      <c r="I1666" s="9"/>
      <c r="J1666" s="9"/>
      <c r="K1666" s="9"/>
      <c r="L1666" s="10">
        <v>279</v>
      </c>
      <c r="M1666" s="9"/>
      <c r="N1666" s="10">
        <v>279</v>
      </c>
      <c r="O1666" s="9"/>
      <c r="P1666" s="10"/>
      <c r="Q1666" s="10"/>
      <c r="R1666" s="10"/>
      <c r="S1666" s="7" t="s">
        <v>407</v>
      </c>
      <c r="T1666" s="7" t="s">
        <v>3776</v>
      </c>
      <c r="U1666" s="7" t="s">
        <v>44</v>
      </c>
      <c r="V1666" s="7" t="s">
        <v>45</v>
      </c>
      <c r="W1666" s="7" t="s">
        <v>171</v>
      </c>
      <c r="X1666" s="7" t="s">
        <v>194</v>
      </c>
      <c r="Y1666" s="7" t="s">
        <v>4085</v>
      </c>
      <c r="Z1666" s="7" t="s">
        <v>4076</v>
      </c>
      <c r="AA1666" s="7"/>
      <c r="AB1666" s="7"/>
      <c r="AC1666" s="7" t="s">
        <v>191</v>
      </c>
      <c r="AD1666" s="7"/>
      <c r="AE1666" s="7"/>
      <c r="AF1666" s="7" t="s">
        <v>50</v>
      </c>
      <c r="AG1666" s="7" t="s">
        <v>175</v>
      </c>
      <c r="AH1666" s="7" t="s">
        <v>197</v>
      </c>
    </row>
    <row r="1667" spans="1:34" ht="9.75" customHeight="1" x14ac:dyDescent="0.2">
      <c r="A1667" s="7" t="s">
        <v>37</v>
      </c>
      <c r="B1667" s="7" t="s">
        <v>38</v>
      </c>
      <c r="C1667" s="7"/>
      <c r="D1667" s="7" t="s">
        <v>4086</v>
      </c>
      <c r="E1667" s="8">
        <v>1</v>
      </c>
      <c r="F1667" s="7" t="s">
        <v>61</v>
      </c>
      <c r="G1667" s="7"/>
      <c r="H1667" s="9"/>
      <c r="I1667" s="9"/>
      <c r="J1667" s="9"/>
      <c r="K1667" s="9"/>
      <c r="L1667" s="10">
        <v>1368</v>
      </c>
      <c r="M1667" s="9"/>
      <c r="N1667" s="10">
        <v>1368</v>
      </c>
      <c r="O1667" s="9"/>
      <c r="P1667" s="10"/>
      <c r="Q1667" s="10"/>
      <c r="R1667" s="10"/>
      <c r="S1667" s="7" t="s">
        <v>407</v>
      </c>
      <c r="T1667" s="7" t="s">
        <v>3776</v>
      </c>
      <c r="U1667" s="7" t="s">
        <v>44</v>
      </c>
      <c r="V1667" s="7" t="s">
        <v>45</v>
      </c>
      <c r="W1667" s="7" t="s">
        <v>171</v>
      </c>
      <c r="X1667" s="7" t="s">
        <v>194</v>
      </c>
      <c r="Y1667" s="7" t="s">
        <v>4087</v>
      </c>
      <c r="Z1667" s="7" t="s">
        <v>4076</v>
      </c>
      <c r="AA1667" s="7"/>
      <c r="AB1667" s="7"/>
      <c r="AC1667" s="7" t="s">
        <v>191</v>
      </c>
      <c r="AD1667" s="7"/>
      <c r="AE1667" s="7"/>
      <c r="AF1667" s="7" t="s">
        <v>50</v>
      </c>
      <c r="AG1667" s="7" t="s">
        <v>175</v>
      </c>
      <c r="AH1667" s="7" t="s">
        <v>197</v>
      </c>
    </row>
    <row r="1668" spans="1:34" ht="9.75" customHeight="1" x14ac:dyDescent="0.2">
      <c r="A1668" s="7" t="s">
        <v>37</v>
      </c>
      <c r="B1668" s="7" t="s">
        <v>38</v>
      </c>
      <c r="C1668" s="7"/>
      <c r="D1668" s="7" t="s">
        <v>4088</v>
      </c>
      <c r="E1668" s="8">
        <v>1</v>
      </c>
      <c r="F1668" s="7" t="s">
        <v>61</v>
      </c>
      <c r="G1668" s="7"/>
      <c r="H1668" s="9"/>
      <c r="I1668" s="9"/>
      <c r="J1668" s="9"/>
      <c r="K1668" s="9"/>
      <c r="L1668" s="10">
        <v>15378</v>
      </c>
      <c r="M1668" s="9"/>
      <c r="N1668" s="10">
        <v>15378</v>
      </c>
      <c r="O1668" s="9"/>
      <c r="P1668" s="10"/>
      <c r="Q1668" s="10"/>
      <c r="R1668" s="10"/>
      <c r="S1668" s="7" t="s">
        <v>407</v>
      </c>
      <c r="T1668" s="7" t="s">
        <v>3776</v>
      </c>
      <c r="U1668" s="7" t="s">
        <v>44</v>
      </c>
      <c r="V1668" s="7" t="s">
        <v>45</v>
      </c>
      <c r="W1668" s="7" t="s">
        <v>171</v>
      </c>
      <c r="X1668" s="7" t="s">
        <v>194</v>
      </c>
      <c r="Y1668" s="7" t="s">
        <v>4089</v>
      </c>
      <c r="Z1668" s="7" t="s">
        <v>4090</v>
      </c>
      <c r="AA1668" s="7"/>
      <c r="AB1668" s="7"/>
      <c r="AC1668" s="7" t="s">
        <v>191</v>
      </c>
      <c r="AD1668" s="7"/>
      <c r="AE1668" s="7"/>
      <c r="AF1668" s="7" t="s">
        <v>50</v>
      </c>
      <c r="AG1668" s="7" t="s">
        <v>175</v>
      </c>
      <c r="AH1668" s="7" t="s">
        <v>197</v>
      </c>
    </row>
    <row r="1669" spans="1:34" ht="9.75" customHeight="1" x14ac:dyDescent="0.2">
      <c r="A1669" s="7" t="s">
        <v>37</v>
      </c>
      <c r="B1669" s="7" t="s">
        <v>38</v>
      </c>
      <c r="C1669" s="7"/>
      <c r="D1669" s="7" t="s">
        <v>4091</v>
      </c>
      <c r="E1669" s="8">
        <v>1</v>
      </c>
      <c r="F1669" s="7" t="s">
        <v>61</v>
      </c>
      <c r="G1669" s="7"/>
      <c r="H1669" s="9"/>
      <c r="I1669" s="9"/>
      <c r="J1669" s="9"/>
      <c r="K1669" s="9"/>
      <c r="L1669" s="10">
        <v>55</v>
      </c>
      <c r="M1669" s="9"/>
      <c r="N1669" s="10">
        <v>55</v>
      </c>
      <c r="O1669" s="9"/>
      <c r="P1669" s="10"/>
      <c r="Q1669" s="10"/>
      <c r="R1669" s="10"/>
      <c r="S1669" s="7" t="s">
        <v>407</v>
      </c>
      <c r="T1669" s="7" t="s">
        <v>3776</v>
      </c>
      <c r="U1669" s="7" t="s">
        <v>44</v>
      </c>
      <c r="V1669" s="7" t="s">
        <v>45</v>
      </c>
      <c r="W1669" s="7" t="s">
        <v>171</v>
      </c>
      <c r="X1669" s="7" t="s">
        <v>194</v>
      </c>
      <c r="Y1669" s="7" t="s">
        <v>4092</v>
      </c>
      <c r="Z1669" s="7" t="s">
        <v>4090</v>
      </c>
      <c r="AA1669" s="7"/>
      <c r="AB1669" s="7"/>
      <c r="AC1669" s="7" t="s">
        <v>191</v>
      </c>
      <c r="AD1669" s="7"/>
      <c r="AE1669" s="7"/>
      <c r="AF1669" s="7" t="s">
        <v>50</v>
      </c>
      <c r="AG1669" s="7" t="s">
        <v>175</v>
      </c>
      <c r="AH1669" s="7" t="s">
        <v>197</v>
      </c>
    </row>
    <row r="1670" spans="1:34" ht="9.75" customHeight="1" x14ac:dyDescent="0.2">
      <c r="A1670" s="7" t="s">
        <v>37</v>
      </c>
      <c r="B1670" s="7" t="s">
        <v>38</v>
      </c>
      <c r="C1670" s="7"/>
      <c r="D1670" s="7" t="s">
        <v>4093</v>
      </c>
      <c r="E1670" s="8">
        <v>1</v>
      </c>
      <c r="F1670" s="7" t="s">
        <v>61</v>
      </c>
      <c r="G1670" s="7"/>
      <c r="H1670" s="9"/>
      <c r="I1670" s="9"/>
      <c r="J1670" s="9"/>
      <c r="K1670" s="9"/>
      <c r="L1670" s="10">
        <v>177</v>
      </c>
      <c r="M1670" s="9"/>
      <c r="N1670" s="10">
        <v>177</v>
      </c>
      <c r="O1670" s="9"/>
      <c r="P1670" s="10"/>
      <c r="Q1670" s="10"/>
      <c r="R1670" s="10"/>
      <c r="S1670" s="7" t="s">
        <v>407</v>
      </c>
      <c r="T1670" s="7" t="s">
        <v>3776</v>
      </c>
      <c r="U1670" s="7" t="s">
        <v>44</v>
      </c>
      <c r="V1670" s="7" t="s">
        <v>45</v>
      </c>
      <c r="W1670" s="7" t="s">
        <v>171</v>
      </c>
      <c r="X1670" s="7" t="s">
        <v>194</v>
      </c>
      <c r="Y1670" s="7" t="s">
        <v>4094</v>
      </c>
      <c r="Z1670" s="7" t="s">
        <v>4090</v>
      </c>
      <c r="AA1670" s="7"/>
      <c r="AB1670" s="7"/>
      <c r="AC1670" s="7" t="s">
        <v>191</v>
      </c>
      <c r="AD1670" s="7"/>
      <c r="AE1670" s="7" t="s">
        <v>4095</v>
      </c>
      <c r="AF1670" s="7" t="s">
        <v>50</v>
      </c>
      <c r="AG1670" s="7" t="s">
        <v>175</v>
      </c>
      <c r="AH1670" s="7" t="s">
        <v>197</v>
      </c>
    </row>
    <row r="1671" spans="1:34" ht="9.75" customHeight="1" x14ac:dyDescent="0.2">
      <c r="A1671" s="7" t="s">
        <v>37</v>
      </c>
      <c r="B1671" s="7" t="s">
        <v>38</v>
      </c>
      <c r="C1671" s="7"/>
      <c r="D1671" s="7" t="s">
        <v>4096</v>
      </c>
      <c r="E1671" s="8">
        <v>1</v>
      </c>
      <c r="F1671" s="7" t="s">
        <v>61</v>
      </c>
      <c r="G1671" s="7"/>
      <c r="H1671" s="9"/>
      <c r="I1671" s="9"/>
      <c r="J1671" s="9"/>
      <c r="K1671" s="9"/>
      <c r="L1671" s="10">
        <v>705</v>
      </c>
      <c r="M1671" s="9"/>
      <c r="N1671" s="10">
        <v>705</v>
      </c>
      <c r="O1671" s="9"/>
      <c r="P1671" s="10"/>
      <c r="Q1671" s="10"/>
      <c r="R1671" s="10"/>
      <c r="S1671" s="7" t="s">
        <v>407</v>
      </c>
      <c r="T1671" s="7" t="s">
        <v>3776</v>
      </c>
      <c r="U1671" s="7" t="s">
        <v>44</v>
      </c>
      <c r="V1671" s="7" t="s">
        <v>45</v>
      </c>
      <c r="W1671" s="7" t="s">
        <v>171</v>
      </c>
      <c r="X1671" s="7" t="s">
        <v>194</v>
      </c>
      <c r="Y1671" s="7" t="s">
        <v>4097</v>
      </c>
      <c r="Z1671" s="7" t="s">
        <v>4090</v>
      </c>
      <c r="AA1671" s="7"/>
      <c r="AB1671" s="7"/>
      <c r="AC1671" s="7" t="s">
        <v>191</v>
      </c>
      <c r="AD1671" s="7"/>
      <c r="AE1671" s="7"/>
      <c r="AF1671" s="7" t="s">
        <v>50</v>
      </c>
      <c r="AG1671" s="7" t="s">
        <v>175</v>
      </c>
      <c r="AH1671" s="7" t="s">
        <v>197</v>
      </c>
    </row>
    <row r="1672" spans="1:34" ht="9.75" customHeight="1" x14ac:dyDescent="0.2">
      <c r="A1672" s="7" t="s">
        <v>37</v>
      </c>
      <c r="B1672" s="7" t="s">
        <v>38</v>
      </c>
      <c r="C1672" s="7"/>
      <c r="D1672" s="7" t="s">
        <v>4098</v>
      </c>
      <c r="E1672" s="8">
        <v>1</v>
      </c>
      <c r="F1672" s="7" t="s">
        <v>61</v>
      </c>
      <c r="G1672" s="7"/>
      <c r="H1672" s="9"/>
      <c r="I1672" s="9"/>
      <c r="J1672" s="9"/>
      <c r="K1672" s="9"/>
      <c r="L1672" s="10">
        <v>545</v>
      </c>
      <c r="M1672" s="9"/>
      <c r="N1672" s="10">
        <v>545</v>
      </c>
      <c r="O1672" s="9"/>
      <c r="P1672" s="10"/>
      <c r="Q1672" s="10"/>
      <c r="R1672" s="10"/>
      <c r="S1672" s="7" t="s">
        <v>407</v>
      </c>
      <c r="T1672" s="7" t="s">
        <v>3776</v>
      </c>
      <c r="U1672" s="7" t="s">
        <v>44</v>
      </c>
      <c r="V1672" s="7" t="s">
        <v>45</v>
      </c>
      <c r="W1672" s="7" t="s">
        <v>171</v>
      </c>
      <c r="X1672" s="7" t="s">
        <v>194</v>
      </c>
      <c r="Y1672" s="7" t="s">
        <v>4099</v>
      </c>
      <c r="Z1672" s="7" t="s">
        <v>4090</v>
      </c>
      <c r="AA1672" s="7"/>
      <c r="AB1672" s="7"/>
      <c r="AC1672" s="7" t="s">
        <v>191</v>
      </c>
      <c r="AD1672" s="7"/>
      <c r="AE1672" s="7"/>
      <c r="AF1672" s="7" t="s">
        <v>50</v>
      </c>
      <c r="AG1672" s="7" t="s">
        <v>175</v>
      </c>
      <c r="AH1672" s="7" t="s">
        <v>197</v>
      </c>
    </row>
    <row r="1673" spans="1:34" ht="9.75" customHeight="1" x14ac:dyDescent="0.2">
      <c r="A1673" s="7" t="s">
        <v>37</v>
      </c>
      <c r="B1673" s="7" t="s">
        <v>38</v>
      </c>
      <c r="C1673" s="7"/>
      <c r="D1673" s="7" t="s">
        <v>4100</v>
      </c>
      <c r="E1673" s="8">
        <v>1</v>
      </c>
      <c r="F1673" s="7" t="s">
        <v>61</v>
      </c>
      <c r="G1673" s="7"/>
      <c r="H1673" s="9"/>
      <c r="I1673" s="9"/>
      <c r="J1673" s="9"/>
      <c r="K1673" s="9"/>
      <c r="L1673" s="10">
        <v>1598</v>
      </c>
      <c r="M1673" s="9"/>
      <c r="N1673" s="10">
        <v>1598</v>
      </c>
      <c r="O1673" s="9"/>
      <c r="P1673" s="10"/>
      <c r="Q1673" s="10"/>
      <c r="R1673" s="10"/>
      <c r="S1673" s="7" t="s">
        <v>407</v>
      </c>
      <c r="T1673" s="7" t="s">
        <v>3776</v>
      </c>
      <c r="U1673" s="7" t="s">
        <v>44</v>
      </c>
      <c r="V1673" s="7" t="s">
        <v>45</v>
      </c>
      <c r="W1673" s="7" t="s">
        <v>171</v>
      </c>
      <c r="X1673" s="7" t="s">
        <v>194</v>
      </c>
      <c r="Y1673" s="7" t="s">
        <v>4101</v>
      </c>
      <c r="Z1673" s="7" t="s">
        <v>4090</v>
      </c>
      <c r="AA1673" s="7"/>
      <c r="AB1673" s="7"/>
      <c r="AC1673" s="7" t="s">
        <v>191</v>
      </c>
      <c r="AD1673" s="7"/>
      <c r="AE1673" s="7"/>
      <c r="AF1673" s="7" t="s">
        <v>50</v>
      </c>
      <c r="AG1673" s="7" t="s">
        <v>175</v>
      </c>
      <c r="AH1673" s="7" t="s">
        <v>197</v>
      </c>
    </row>
    <row r="1674" spans="1:34" ht="9.75" customHeight="1" x14ac:dyDescent="0.2">
      <c r="A1674" s="7" t="s">
        <v>37</v>
      </c>
      <c r="B1674" s="7" t="s">
        <v>38</v>
      </c>
      <c r="C1674" s="7"/>
      <c r="D1674" s="7" t="s">
        <v>4102</v>
      </c>
      <c r="E1674" s="8">
        <v>1</v>
      </c>
      <c r="F1674" s="7" t="s">
        <v>61</v>
      </c>
      <c r="G1674" s="7"/>
      <c r="H1674" s="9"/>
      <c r="I1674" s="9"/>
      <c r="J1674" s="9"/>
      <c r="K1674" s="9"/>
      <c r="L1674" s="10">
        <v>13323</v>
      </c>
      <c r="M1674" s="9"/>
      <c r="N1674" s="10">
        <v>13323</v>
      </c>
      <c r="O1674" s="9"/>
      <c r="P1674" s="10"/>
      <c r="Q1674" s="10"/>
      <c r="R1674" s="10"/>
      <c r="S1674" s="7" t="s">
        <v>407</v>
      </c>
      <c r="T1674" s="7" t="s">
        <v>3776</v>
      </c>
      <c r="U1674" s="7" t="s">
        <v>44</v>
      </c>
      <c r="V1674" s="7" t="s">
        <v>45</v>
      </c>
      <c r="W1674" s="7" t="s">
        <v>171</v>
      </c>
      <c r="X1674" s="7" t="s">
        <v>194</v>
      </c>
      <c r="Y1674" s="7" t="s">
        <v>4103</v>
      </c>
      <c r="Z1674" s="7" t="s">
        <v>4104</v>
      </c>
      <c r="AA1674" s="7"/>
      <c r="AB1674" s="7"/>
      <c r="AC1674" s="7" t="s">
        <v>191</v>
      </c>
      <c r="AD1674" s="7"/>
      <c r="AE1674" s="7"/>
      <c r="AF1674" s="7" t="s">
        <v>50</v>
      </c>
      <c r="AG1674" s="7" t="s">
        <v>175</v>
      </c>
      <c r="AH1674" s="7" t="s">
        <v>197</v>
      </c>
    </row>
    <row r="1675" spans="1:34" ht="9.75" customHeight="1" x14ac:dyDescent="0.2">
      <c r="A1675" s="7" t="s">
        <v>37</v>
      </c>
      <c r="B1675" s="7" t="s">
        <v>38</v>
      </c>
      <c r="C1675" s="7"/>
      <c r="D1675" s="7" t="s">
        <v>4105</v>
      </c>
      <c r="E1675" s="8">
        <v>1</v>
      </c>
      <c r="F1675" s="7" t="s">
        <v>61</v>
      </c>
      <c r="G1675" s="7"/>
      <c r="H1675" s="9"/>
      <c r="I1675" s="9"/>
      <c r="J1675" s="9"/>
      <c r="K1675" s="9"/>
      <c r="L1675" s="10">
        <v>379</v>
      </c>
      <c r="M1675" s="9"/>
      <c r="N1675" s="10">
        <v>379</v>
      </c>
      <c r="O1675" s="9"/>
      <c r="P1675" s="10"/>
      <c r="Q1675" s="10"/>
      <c r="R1675" s="10"/>
      <c r="S1675" s="7" t="s">
        <v>407</v>
      </c>
      <c r="T1675" s="7" t="s">
        <v>3776</v>
      </c>
      <c r="U1675" s="7" t="s">
        <v>44</v>
      </c>
      <c r="V1675" s="7" t="s">
        <v>45</v>
      </c>
      <c r="W1675" s="7" t="s">
        <v>171</v>
      </c>
      <c r="X1675" s="7" t="s">
        <v>194</v>
      </c>
      <c r="Y1675" s="7" t="s">
        <v>4106</v>
      </c>
      <c r="Z1675" s="7" t="s">
        <v>4104</v>
      </c>
      <c r="AA1675" s="7"/>
      <c r="AB1675" s="7"/>
      <c r="AC1675" s="7" t="s">
        <v>191</v>
      </c>
      <c r="AD1675" s="7"/>
      <c r="AE1675" s="7"/>
      <c r="AF1675" s="7" t="s">
        <v>50</v>
      </c>
      <c r="AG1675" s="7" t="s">
        <v>175</v>
      </c>
      <c r="AH1675" s="7" t="s">
        <v>197</v>
      </c>
    </row>
    <row r="1676" spans="1:34" ht="9.75" customHeight="1" x14ac:dyDescent="0.2">
      <c r="A1676" s="7" t="s">
        <v>37</v>
      </c>
      <c r="B1676" s="7" t="s">
        <v>38</v>
      </c>
      <c r="C1676" s="7"/>
      <c r="D1676" s="7" t="s">
        <v>4107</v>
      </c>
      <c r="E1676" s="8">
        <v>1</v>
      </c>
      <c r="F1676" s="7" t="s">
        <v>61</v>
      </c>
      <c r="G1676" s="7"/>
      <c r="H1676" s="9"/>
      <c r="I1676" s="9"/>
      <c r="J1676" s="9"/>
      <c r="K1676" s="9"/>
      <c r="L1676" s="10">
        <v>608</v>
      </c>
      <c r="M1676" s="9"/>
      <c r="N1676" s="10">
        <v>608</v>
      </c>
      <c r="O1676" s="9"/>
      <c r="P1676" s="10"/>
      <c r="Q1676" s="10"/>
      <c r="R1676" s="10"/>
      <c r="S1676" s="7" t="s">
        <v>407</v>
      </c>
      <c r="T1676" s="7" t="s">
        <v>3776</v>
      </c>
      <c r="U1676" s="7" t="s">
        <v>44</v>
      </c>
      <c r="V1676" s="7" t="s">
        <v>45</v>
      </c>
      <c r="W1676" s="7" t="s">
        <v>171</v>
      </c>
      <c r="X1676" s="7" t="s">
        <v>194</v>
      </c>
      <c r="Y1676" s="7" t="s">
        <v>4108</v>
      </c>
      <c r="Z1676" s="7" t="s">
        <v>4104</v>
      </c>
      <c r="AA1676" s="7"/>
      <c r="AB1676" s="7"/>
      <c r="AC1676" s="7" t="s">
        <v>191</v>
      </c>
      <c r="AD1676" s="7"/>
      <c r="AE1676" s="7"/>
      <c r="AF1676" s="7" t="s">
        <v>50</v>
      </c>
      <c r="AG1676" s="7" t="s">
        <v>175</v>
      </c>
      <c r="AH1676" s="7" t="s">
        <v>197</v>
      </c>
    </row>
    <row r="1677" spans="1:34" ht="9.75" customHeight="1" x14ac:dyDescent="0.2">
      <c r="A1677" s="7" t="s">
        <v>37</v>
      </c>
      <c r="B1677" s="7" t="s">
        <v>38</v>
      </c>
      <c r="C1677" s="7"/>
      <c r="D1677" s="7" t="s">
        <v>4109</v>
      </c>
      <c r="E1677" s="8">
        <v>1</v>
      </c>
      <c r="F1677" s="7" t="s">
        <v>61</v>
      </c>
      <c r="G1677" s="7"/>
      <c r="H1677" s="9"/>
      <c r="I1677" s="9"/>
      <c r="J1677" s="9"/>
      <c r="K1677" s="9"/>
      <c r="L1677" s="10">
        <v>955</v>
      </c>
      <c r="M1677" s="9"/>
      <c r="N1677" s="10">
        <v>955</v>
      </c>
      <c r="O1677" s="9"/>
      <c r="P1677" s="10"/>
      <c r="Q1677" s="10"/>
      <c r="R1677" s="10"/>
      <c r="S1677" s="7" t="s">
        <v>407</v>
      </c>
      <c r="T1677" s="7" t="s">
        <v>3776</v>
      </c>
      <c r="U1677" s="7" t="s">
        <v>44</v>
      </c>
      <c r="V1677" s="7" t="s">
        <v>45</v>
      </c>
      <c r="W1677" s="7" t="s">
        <v>171</v>
      </c>
      <c r="X1677" s="7" t="s">
        <v>194</v>
      </c>
      <c r="Y1677" s="7" t="s">
        <v>4110</v>
      </c>
      <c r="Z1677" s="7" t="s">
        <v>4104</v>
      </c>
      <c r="AA1677" s="7"/>
      <c r="AB1677" s="7"/>
      <c r="AC1677" s="7" t="s">
        <v>191</v>
      </c>
      <c r="AD1677" s="7"/>
      <c r="AE1677" s="7" t="s">
        <v>4111</v>
      </c>
      <c r="AF1677" s="7" t="s">
        <v>50</v>
      </c>
      <c r="AG1677" s="7" t="s">
        <v>175</v>
      </c>
      <c r="AH1677" s="7" t="s">
        <v>197</v>
      </c>
    </row>
    <row r="1678" spans="1:34" ht="9.75" customHeight="1" x14ac:dyDescent="0.2">
      <c r="A1678" s="7" t="s">
        <v>37</v>
      </c>
      <c r="B1678" s="7" t="s">
        <v>38</v>
      </c>
      <c r="C1678" s="7"/>
      <c r="D1678" s="7" t="s">
        <v>4112</v>
      </c>
      <c r="E1678" s="8">
        <v>1</v>
      </c>
      <c r="F1678" s="7" t="s">
        <v>61</v>
      </c>
      <c r="G1678" s="7"/>
      <c r="H1678" s="9"/>
      <c r="I1678" s="9"/>
      <c r="J1678" s="9"/>
      <c r="K1678" s="9"/>
      <c r="L1678" s="10">
        <v>5144</v>
      </c>
      <c r="M1678" s="9"/>
      <c r="N1678" s="10">
        <v>5144</v>
      </c>
      <c r="O1678" s="9"/>
      <c r="P1678" s="10"/>
      <c r="Q1678" s="10"/>
      <c r="R1678" s="10"/>
      <c r="S1678" s="7" t="s">
        <v>407</v>
      </c>
      <c r="T1678" s="7" t="s">
        <v>3776</v>
      </c>
      <c r="U1678" s="7" t="s">
        <v>44</v>
      </c>
      <c r="V1678" s="7" t="s">
        <v>45</v>
      </c>
      <c r="W1678" s="7" t="s">
        <v>171</v>
      </c>
      <c r="X1678" s="7" t="s">
        <v>194</v>
      </c>
      <c r="Y1678" s="7" t="s">
        <v>4113</v>
      </c>
      <c r="Z1678" s="7" t="s">
        <v>4114</v>
      </c>
      <c r="AA1678" s="7"/>
      <c r="AB1678" s="7"/>
      <c r="AC1678" s="7" t="s">
        <v>191</v>
      </c>
      <c r="AD1678" s="7"/>
      <c r="AE1678" s="7"/>
      <c r="AF1678" s="7" t="s">
        <v>50</v>
      </c>
      <c r="AG1678" s="7" t="s">
        <v>175</v>
      </c>
      <c r="AH1678" s="7" t="s">
        <v>197</v>
      </c>
    </row>
    <row r="1679" spans="1:34" ht="9.75" customHeight="1" x14ac:dyDescent="0.2">
      <c r="A1679" s="7" t="s">
        <v>37</v>
      </c>
      <c r="B1679" s="7" t="s">
        <v>38</v>
      </c>
      <c r="C1679" s="7"/>
      <c r="D1679" s="7" t="s">
        <v>4115</v>
      </c>
      <c r="E1679" s="8">
        <v>1</v>
      </c>
      <c r="F1679" s="7" t="s">
        <v>61</v>
      </c>
      <c r="G1679" s="7"/>
      <c r="H1679" s="9"/>
      <c r="I1679" s="9"/>
      <c r="J1679" s="9"/>
      <c r="K1679" s="9"/>
      <c r="L1679" s="10">
        <v>134</v>
      </c>
      <c r="M1679" s="9"/>
      <c r="N1679" s="10">
        <v>134</v>
      </c>
      <c r="O1679" s="9"/>
      <c r="P1679" s="10"/>
      <c r="Q1679" s="10"/>
      <c r="R1679" s="10"/>
      <c r="S1679" s="7" t="s">
        <v>407</v>
      </c>
      <c r="T1679" s="7" t="s">
        <v>3776</v>
      </c>
      <c r="U1679" s="7" t="s">
        <v>44</v>
      </c>
      <c r="V1679" s="7" t="s">
        <v>45</v>
      </c>
      <c r="W1679" s="7" t="s">
        <v>171</v>
      </c>
      <c r="X1679" s="7" t="s">
        <v>194</v>
      </c>
      <c r="Y1679" s="7" t="s">
        <v>4116</v>
      </c>
      <c r="Z1679" s="7" t="s">
        <v>4114</v>
      </c>
      <c r="AA1679" s="7"/>
      <c r="AB1679" s="7"/>
      <c r="AC1679" s="7" t="s">
        <v>191</v>
      </c>
      <c r="AD1679" s="7"/>
      <c r="AE1679" s="7"/>
      <c r="AF1679" s="7" t="s">
        <v>50</v>
      </c>
      <c r="AG1679" s="7" t="s">
        <v>175</v>
      </c>
      <c r="AH1679" s="7" t="s">
        <v>197</v>
      </c>
    </row>
    <row r="1680" spans="1:34" ht="9.75" customHeight="1" x14ac:dyDescent="0.2">
      <c r="A1680" s="7" t="s">
        <v>37</v>
      </c>
      <c r="B1680" s="7" t="s">
        <v>38</v>
      </c>
      <c r="C1680" s="7"/>
      <c r="D1680" s="7" t="s">
        <v>4117</v>
      </c>
      <c r="E1680" s="8">
        <v>1</v>
      </c>
      <c r="F1680" s="7" t="s">
        <v>61</v>
      </c>
      <c r="G1680" s="7"/>
      <c r="H1680" s="9"/>
      <c r="I1680" s="9"/>
      <c r="J1680" s="9"/>
      <c r="K1680" s="9"/>
      <c r="L1680" s="10">
        <v>247</v>
      </c>
      <c r="M1680" s="9"/>
      <c r="N1680" s="10">
        <v>247</v>
      </c>
      <c r="O1680" s="9"/>
      <c r="P1680" s="10"/>
      <c r="Q1680" s="10"/>
      <c r="R1680" s="10"/>
      <c r="S1680" s="7" t="s">
        <v>407</v>
      </c>
      <c r="T1680" s="7" t="s">
        <v>3776</v>
      </c>
      <c r="U1680" s="7" t="s">
        <v>44</v>
      </c>
      <c r="V1680" s="7" t="s">
        <v>45</v>
      </c>
      <c r="W1680" s="7" t="s">
        <v>171</v>
      </c>
      <c r="X1680" s="7" t="s">
        <v>194</v>
      </c>
      <c r="Y1680" s="7" t="s">
        <v>4118</v>
      </c>
      <c r="Z1680" s="7" t="s">
        <v>4114</v>
      </c>
      <c r="AA1680" s="7"/>
      <c r="AB1680" s="7"/>
      <c r="AC1680" s="7" t="s">
        <v>191</v>
      </c>
      <c r="AD1680" s="7"/>
      <c r="AE1680" s="7"/>
      <c r="AF1680" s="7" t="s">
        <v>50</v>
      </c>
      <c r="AG1680" s="7" t="s">
        <v>175</v>
      </c>
      <c r="AH1680" s="7" t="s">
        <v>197</v>
      </c>
    </row>
    <row r="1681" spans="1:34" ht="9.75" customHeight="1" x14ac:dyDescent="0.2">
      <c r="A1681" s="7" t="s">
        <v>37</v>
      </c>
      <c r="B1681" s="7" t="s">
        <v>38</v>
      </c>
      <c r="C1681" s="7"/>
      <c r="D1681" s="7" t="s">
        <v>4119</v>
      </c>
      <c r="E1681" s="8">
        <v>1</v>
      </c>
      <c r="F1681" s="7" t="s">
        <v>61</v>
      </c>
      <c r="G1681" s="7"/>
      <c r="H1681" s="9"/>
      <c r="I1681" s="9"/>
      <c r="J1681" s="9"/>
      <c r="K1681" s="9"/>
      <c r="L1681" s="10">
        <v>418</v>
      </c>
      <c r="M1681" s="9"/>
      <c r="N1681" s="10">
        <v>418</v>
      </c>
      <c r="O1681" s="9"/>
      <c r="P1681" s="10"/>
      <c r="Q1681" s="10"/>
      <c r="R1681" s="10"/>
      <c r="S1681" s="7" t="s">
        <v>407</v>
      </c>
      <c r="T1681" s="7" t="s">
        <v>3776</v>
      </c>
      <c r="U1681" s="7" t="s">
        <v>44</v>
      </c>
      <c r="V1681" s="7" t="s">
        <v>45</v>
      </c>
      <c r="W1681" s="7" t="s">
        <v>171</v>
      </c>
      <c r="X1681" s="7" t="s">
        <v>194</v>
      </c>
      <c r="Y1681" s="7" t="s">
        <v>4120</v>
      </c>
      <c r="Z1681" s="7" t="s">
        <v>4114</v>
      </c>
      <c r="AA1681" s="7"/>
      <c r="AB1681" s="7"/>
      <c r="AC1681" s="7" t="s">
        <v>191</v>
      </c>
      <c r="AD1681" s="7"/>
      <c r="AE1681" s="7"/>
      <c r="AF1681" s="7" t="s">
        <v>50</v>
      </c>
      <c r="AG1681" s="7" t="s">
        <v>175</v>
      </c>
      <c r="AH1681" s="7" t="s">
        <v>197</v>
      </c>
    </row>
    <row r="1682" spans="1:34" ht="9.75" customHeight="1" x14ac:dyDescent="0.2">
      <c r="A1682" s="7" t="s">
        <v>37</v>
      </c>
      <c r="B1682" s="7" t="s">
        <v>38</v>
      </c>
      <c r="C1682" s="7"/>
      <c r="D1682" s="7" t="s">
        <v>4121</v>
      </c>
      <c r="E1682" s="8">
        <v>1</v>
      </c>
      <c r="F1682" s="7" t="s">
        <v>61</v>
      </c>
      <c r="G1682" s="7"/>
      <c r="H1682" s="9"/>
      <c r="I1682" s="9"/>
      <c r="J1682" s="9"/>
      <c r="K1682" s="9"/>
      <c r="L1682" s="10">
        <v>790</v>
      </c>
      <c r="M1682" s="9"/>
      <c r="N1682" s="10">
        <v>790</v>
      </c>
      <c r="O1682" s="9"/>
      <c r="P1682" s="10"/>
      <c r="Q1682" s="10"/>
      <c r="R1682" s="10"/>
      <c r="S1682" s="7" t="s">
        <v>407</v>
      </c>
      <c r="T1682" s="7" t="s">
        <v>3776</v>
      </c>
      <c r="U1682" s="7" t="s">
        <v>44</v>
      </c>
      <c r="V1682" s="7" t="s">
        <v>45</v>
      </c>
      <c r="W1682" s="7" t="s">
        <v>171</v>
      </c>
      <c r="X1682" s="7" t="s">
        <v>194</v>
      </c>
      <c r="Y1682" s="7" t="s">
        <v>4122</v>
      </c>
      <c r="Z1682" s="7" t="s">
        <v>4114</v>
      </c>
      <c r="AA1682" s="7"/>
      <c r="AB1682" s="7"/>
      <c r="AC1682" s="7" t="s">
        <v>191</v>
      </c>
      <c r="AD1682" s="7"/>
      <c r="AE1682" s="7"/>
      <c r="AF1682" s="7" t="s">
        <v>50</v>
      </c>
      <c r="AG1682" s="7" t="s">
        <v>175</v>
      </c>
      <c r="AH1682" s="7" t="s">
        <v>197</v>
      </c>
    </row>
    <row r="1683" spans="1:34" ht="9.75" customHeight="1" x14ac:dyDescent="0.2">
      <c r="A1683" s="7" t="s">
        <v>37</v>
      </c>
      <c r="B1683" s="7" t="s">
        <v>38</v>
      </c>
      <c r="C1683" s="7"/>
      <c r="D1683" s="7" t="s">
        <v>4123</v>
      </c>
      <c r="E1683" s="8">
        <v>1</v>
      </c>
      <c r="F1683" s="7" t="s">
        <v>61</v>
      </c>
      <c r="G1683" s="7"/>
      <c r="H1683" s="9"/>
      <c r="I1683" s="9"/>
      <c r="J1683" s="9"/>
      <c r="K1683" s="9"/>
      <c r="L1683" s="10">
        <v>895</v>
      </c>
      <c r="M1683" s="9"/>
      <c r="N1683" s="10">
        <v>895</v>
      </c>
      <c r="O1683" s="9"/>
      <c r="P1683" s="10"/>
      <c r="Q1683" s="10"/>
      <c r="R1683" s="10"/>
      <c r="S1683" s="7" t="s">
        <v>407</v>
      </c>
      <c r="T1683" s="7" t="s">
        <v>3776</v>
      </c>
      <c r="U1683" s="7" t="s">
        <v>44</v>
      </c>
      <c r="V1683" s="7" t="s">
        <v>45</v>
      </c>
      <c r="W1683" s="7" t="s">
        <v>171</v>
      </c>
      <c r="X1683" s="7" t="s">
        <v>194</v>
      </c>
      <c r="Y1683" s="7" t="s">
        <v>4124</v>
      </c>
      <c r="Z1683" s="7" t="s">
        <v>4114</v>
      </c>
      <c r="AA1683" s="7"/>
      <c r="AB1683" s="7"/>
      <c r="AC1683" s="7" t="s">
        <v>191</v>
      </c>
      <c r="AD1683" s="7"/>
      <c r="AE1683" s="7"/>
      <c r="AF1683" s="7" t="s">
        <v>50</v>
      </c>
      <c r="AG1683" s="7" t="s">
        <v>175</v>
      </c>
      <c r="AH1683" s="7" t="s">
        <v>197</v>
      </c>
    </row>
    <row r="1684" spans="1:34" ht="9.75" customHeight="1" x14ac:dyDescent="0.2">
      <c r="A1684" s="7" t="s">
        <v>37</v>
      </c>
      <c r="B1684" s="7" t="s">
        <v>38</v>
      </c>
      <c r="C1684" s="7"/>
      <c r="D1684" s="7" t="s">
        <v>4125</v>
      </c>
      <c r="E1684" s="8">
        <v>1</v>
      </c>
      <c r="F1684" s="7" t="s">
        <v>61</v>
      </c>
      <c r="G1684" s="7"/>
      <c r="H1684" s="9"/>
      <c r="I1684" s="10">
        <v>61118</v>
      </c>
      <c r="J1684" s="10">
        <v>0</v>
      </c>
      <c r="K1684" s="9"/>
      <c r="L1684" s="9"/>
      <c r="M1684" s="9"/>
      <c r="N1684" s="9"/>
      <c r="O1684" s="9"/>
      <c r="P1684" s="9"/>
      <c r="Q1684" s="9"/>
      <c r="R1684" s="9"/>
      <c r="S1684" s="7" t="s">
        <v>54</v>
      </c>
      <c r="T1684" s="7" t="s">
        <v>3776</v>
      </c>
      <c r="U1684" s="7" t="s">
        <v>44</v>
      </c>
      <c r="V1684" s="7" t="s">
        <v>45</v>
      </c>
      <c r="W1684" s="7" t="s">
        <v>171</v>
      </c>
      <c r="X1684" s="7" t="s">
        <v>194</v>
      </c>
      <c r="Y1684" s="7" t="s">
        <v>4126</v>
      </c>
      <c r="Z1684" s="7" t="s">
        <v>206</v>
      </c>
      <c r="AA1684" s="7"/>
      <c r="AB1684" s="7"/>
      <c r="AC1684" s="7" t="s">
        <v>191</v>
      </c>
      <c r="AD1684" s="7"/>
      <c r="AE1684" s="7"/>
      <c r="AF1684" s="7" t="s">
        <v>50</v>
      </c>
      <c r="AG1684" s="7" t="s">
        <v>175</v>
      </c>
      <c r="AH1684" s="7" t="s">
        <v>197</v>
      </c>
    </row>
    <row r="1685" spans="1:34" ht="9.75" customHeight="1" x14ac:dyDescent="0.2">
      <c r="A1685" s="7" t="s">
        <v>37</v>
      </c>
      <c r="B1685" s="7" t="s">
        <v>38</v>
      </c>
      <c r="C1685" s="7"/>
      <c r="D1685" s="7" t="s">
        <v>4127</v>
      </c>
      <c r="E1685" s="8">
        <v>1</v>
      </c>
      <c r="F1685" s="7" t="s">
        <v>61</v>
      </c>
      <c r="G1685" s="7"/>
      <c r="H1685" s="9"/>
      <c r="I1685" s="10">
        <v>0</v>
      </c>
      <c r="J1685" s="9"/>
      <c r="K1685" s="9"/>
      <c r="L1685" s="9"/>
      <c r="M1685" s="9"/>
      <c r="N1685" s="9"/>
      <c r="O1685" s="9"/>
      <c r="P1685" s="9"/>
      <c r="Q1685" s="9"/>
      <c r="R1685" s="9"/>
      <c r="S1685" s="7" t="s">
        <v>54</v>
      </c>
      <c r="T1685" s="7" t="s">
        <v>3776</v>
      </c>
      <c r="U1685" s="7" t="s">
        <v>44</v>
      </c>
      <c r="V1685" s="7" t="s">
        <v>45</v>
      </c>
      <c r="W1685" s="7" t="s">
        <v>171</v>
      </c>
      <c r="X1685" s="7" t="s">
        <v>194</v>
      </c>
      <c r="Y1685" s="7" t="s">
        <v>4128</v>
      </c>
      <c r="Z1685" s="7" t="s">
        <v>4129</v>
      </c>
      <c r="AA1685" s="7"/>
      <c r="AB1685" s="7"/>
      <c r="AC1685" s="7" t="s">
        <v>191</v>
      </c>
      <c r="AD1685" s="7"/>
      <c r="AE1685" s="7"/>
      <c r="AF1685" s="7" t="s">
        <v>50</v>
      </c>
      <c r="AG1685" s="7" t="s">
        <v>175</v>
      </c>
      <c r="AH1685" s="7" t="s">
        <v>197</v>
      </c>
    </row>
    <row r="1686" spans="1:34" ht="9.75" customHeight="1" x14ac:dyDescent="0.2">
      <c r="A1686" s="7" t="s">
        <v>37</v>
      </c>
      <c r="B1686" s="7" t="s">
        <v>38</v>
      </c>
      <c r="C1686" s="7"/>
      <c r="D1686" s="7" t="s">
        <v>4130</v>
      </c>
      <c r="E1686" s="8">
        <v>1</v>
      </c>
      <c r="F1686" s="7" t="s">
        <v>61</v>
      </c>
      <c r="G1686" s="7"/>
      <c r="H1686" s="9"/>
      <c r="I1686" s="9"/>
      <c r="J1686" s="9"/>
      <c r="K1686" s="9"/>
      <c r="L1686" s="9"/>
      <c r="M1686" s="9"/>
      <c r="N1686" s="9"/>
      <c r="O1686" s="9"/>
      <c r="P1686" s="9"/>
      <c r="Q1686" s="9"/>
      <c r="R1686" s="9"/>
      <c r="S1686" s="7" t="s">
        <v>407</v>
      </c>
      <c r="T1686" s="7"/>
      <c r="U1686" s="7" t="s">
        <v>44</v>
      </c>
      <c r="V1686" s="7" t="s">
        <v>45</v>
      </c>
      <c r="W1686" s="7" t="s">
        <v>211</v>
      </c>
      <c r="X1686" s="7" t="s">
        <v>212</v>
      </c>
      <c r="Y1686" s="7" t="s">
        <v>4131</v>
      </c>
      <c r="Z1686" s="7" t="s">
        <v>4132</v>
      </c>
      <c r="AA1686" s="7"/>
      <c r="AB1686" s="7"/>
      <c r="AC1686" s="7" t="s">
        <v>208</v>
      </c>
      <c r="AD1686" s="7"/>
      <c r="AE1686" s="7" t="s">
        <v>410</v>
      </c>
      <c r="AF1686" s="7" t="s">
        <v>50</v>
      </c>
      <c r="AG1686" s="7" t="s">
        <v>175</v>
      </c>
      <c r="AH1686" s="7" t="s">
        <v>215</v>
      </c>
    </row>
    <row r="1687" spans="1:34" ht="9.75" customHeight="1" x14ac:dyDescent="0.2">
      <c r="A1687" s="7" t="s">
        <v>37</v>
      </c>
      <c r="B1687" s="7" t="s">
        <v>38</v>
      </c>
      <c r="C1687" s="7"/>
      <c r="D1687" s="7" t="s">
        <v>4133</v>
      </c>
      <c r="E1687" s="8">
        <v>1</v>
      </c>
      <c r="F1687" s="7" t="s">
        <v>61</v>
      </c>
      <c r="G1687" s="7"/>
      <c r="H1687" s="9"/>
      <c r="I1687" s="9"/>
      <c r="J1687" s="9"/>
      <c r="K1687" s="9"/>
      <c r="L1687" s="9"/>
      <c r="M1687" s="9"/>
      <c r="N1687" s="9"/>
      <c r="O1687" s="9"/>
      <c r="P1687" s="9"/>
      <c r="Q1687" s="9"/>
      <c r="R1687" s="9"/>
      <c r="S1687" s="7" t="s">
        <v>407</v>
      </c>
      <c r="T1687" s="7"/>
      <c r="U1687" s="7" t="s">
        <v>44</v>
      </c>
      <c r="V1687" s="7" t="s">
        <v>45</v>
      </c>
      <c r="W1687" s="7" t="s">
        <v>211</v>
      </c>
      <c r="X1687" s="7" t="s">
        <v>212</v>
      </c>
      <c r="Y1687" s="7" t="s">
        <v>4134</v>
      </c>
      <c r="Z1687" s="7" t="s">
        <v>4132</v>
      </c>
      <c r="AA1687" s="7"/>
      <c r="AB1687" s="7"/>
      <c r="AC1687" s="7" t="s">
        <v>208</v>
      </c>
      <c r="AD1687" s="7"/>
      <c r="AE1687" s="7" t="s">
        <v>3255</v>
      </c>
      <c r="AF1687" s="7" t="s">
        <v>50</v>
      </c>
      <c r="AG1687" s="7" t="s">
        <v>175</v>
      </c>
      <c r="AH1687" s="7" t="s">
        <v>215</v>
      </c>
    </row>
    <row r="1688" spans="1:34" ht="9.75" customHeight="1" x14ac:dyDescent="0.2">
      <c r="A1688" s="7" t="s">
        <v>37</v>
      </c>
      <c r="B1688" s="7" t="s">
        <v>38</v>
      </c>
      <c r="C1688" s="7"/>
      <c r="D1688" s="7" t="s">
        <v>4135</v>
      </c>
      <c r="E1688" s="8">
        <v>1</v>
      </c>
      <c r="F1688" s="7" t="s">
        <v>61</v>
      </c>
      <c r="G1688" s="7"/>
      <c r="H1688" s="9"/>
      <c r="I1688" s="9"/>
      <c r="J1688" s="9"/>
      <c r="K1688" s="9"/>
      <c r="L1688" s="9"/>
      <c r="M1688" s="9"/>
      <c r="N1688" s="9"/>
      <c r="O1688" s="9"/>
      <c r="P1688" s="9"/>
      <c r="Q1688" s="9"/>
      <c r="R1688" s="9"/>
      <c r="S1688" s="7" t="s">
        <v>407</v>
      </c>
      <c r="T1688" s="7"/>
      <c r="U1688" s="7" t="s">
        <v>44</v>
      </c>
      <c r="V1688" s="7" t="s">
        <v>45</v>
      </c>
      <c r="W1688" s="7" t="s">
        <v>211</v>
      </c>
      <c r="X1688" s="7" t="s">
        <v>212</v>
      </c>
      <c r="Y1688" s="7" t="s">
        <v>4136</v>
      </c>
      <c r="Z1688" s="7" t="s">
        <v>4132</v>
      </c>
      <c r="AA1688" s="7"/>
      <c r="AB1688" s="7"/>
      <c r="AC1688" s="7" t="s">
        <v>208</v>
      </c>
      <c r="AD1688" s="7"/>
      <c r="AE1688" s="7"/>
      <c r="AF1688" s="7" t="s">
        <v>50</v>
      </c>
      <c r="AG1688" s="7" t="s">
        <v>175</v>
      </c>
      <c r="AH1688" s="7" t="s">
        <v>215</v>
      </c>
    </row>
    <row r="1689" spans="1:34" ht="9.75" customHeight="1" x14ac:dyDescent="0.2">
      <c r="A1689" s="7" t="s">
        <v>37</v>
      </c>
      <c r="B1689" s="7" t="s">
        <v>38</v>
      </c>
      <c r="C1689" s="7"/>
      <c r="D1689" s="7" t="s">
        <v>4137</v>
      </c>
      <c r="E1689" s="8">
        <v>1</v>
      </c>
      <c r="F1689" s="7" t="s">
        <v>41</v>
      </c>
      <c r="G1689" s="7"/>
      <c r="H1689" s="9"/>
      <c r="I1689" s="9"/>
      <c r="J1689" s="9"/>
      <c r="K1689" s="9"/>
      <c r="L1689" s="9"/>
      <c r="M1689" s="9"/>
      <c r="N1689" s="9"/>
      <c r="O1689" s="9"/>
      <c r="P1689" s="9"/>
      <c r="Q1689" s="9"/>
      <c r="R1689" s="9"/>
      <c r="S1689" s="7" t="s">
        <v>407</v>
      </c>
      <c r="T1689" s="7" t="s">
        <v>4138</v>
      </c>
      <c r="U1689" s="7" t="s">
        <v>221</v>
      </c>
      <c r="V1689" s="7" t="s">
        <v>45</v>
      </c>
      <c r="W1689" s="7" t="s">
        <v>211</v>
      </c>
      <c r="X1689" s="7" t="s">
        <v>222</v>
      </c>
      <c r="Y1689" s="7" t="s">
        <v>4139</v>
      </c>
      <c r="Z1689" s="7" t="s">
        <v>4140</v>
      </c>
      <c r="AA1689" s="7"/>
      <c r="AB1689" s="7"/>
      <c r="AC1689" s="7"/>
      <c r="AD1689" s="7"/>
      <c r="AE1689" s="7"/>
      <c r="AF1689" s="7"/>
      <c r="AG1689" s="7"/>
      <c r="AH1689" s="7"/>
    </row>
    <row r="1690" spans="1:34" ht="9.75" customHeight="1" x14ac:dyDescent="0.2">
      <c r="A1690" s="7" t="s">
        <v>37</v>
      </c>
      <c r="B1690" s="7" t="s">
        <v>38</v>
      </c>
      <c r="C1690" s="7"/>
      <c r="D1690" s="7" t="s">
        <v>4141</v>
      </c>
      <c r="E1690" s="8">
        <v>1</v>
      </c>
      <c r="F1690" s="7" t="s">
        <v>41</v>
      </c>
      <c r="G1690" s="7"/>
      <c r="H1690" s="9"/>
      <c r="I1690" s="9"/>
      <c r="J1690" s="9"/>
      <c r="K1690" s="9"/>
      <c r="L1690" s="9"/>
      <c r="M1690" s="9"/>
      <c r="N1690" s="9"/>
      <c r="O1690" s="9"/>
      <c r="P1690" s="9"/>
      <c r="Q1690" s="9"/>
      <c r="R1690" s="9"/>
      <c r="S1690" s="7" t="s">
        <v>407</v>
      </c>
      <c r="T1690" s="7" t="s">
        <v>4138</v>
      </c>
      <c r="U1690" s="7" t="s">
        <v>221</v>
      </c>
      <c r="V1690" s="7" t="s">
        <v>45</v>
      </c>
      <c r="W1690" s="7" t="s">
        <v>211</v>
      </c>
      <c r="X1690" s="7" t="s">
        <v>222</v>
      </c>
      <c r="Y1690" s="7" t="s">
        <v>4142</v>
      </c>
      <c r="Z1690" s="7" t="s">
        <v>4140</v>
      </c>
      <c r="AA1690" s="7"/>
      <c r="AB1690" s="7"/>
      <c r="AC1690" s="7"/>
      <c r="AD1690" s="7"/>
      <c r="AE1690" s="7"/>
      <c r="AF1690" s="7"/>
      <c r="AG1690" s="7"/>
      <c r="AH1690" s="7"/>
    </row>
    <row r="1691" spans="1:34" ht="9.75" customHeight="1" x14ac:dyDescent="0.2">
      <c r="A1691" s="7" t="s">
        <v>37</v>
      </c>
      <c r="B1691" s="7" t="s">
        <v>38</v>
      </c>
      <c r="C1691" s="7"/>
      <c r="D1691" s="7" t="s">
        <v>4143</v>
      </c>
      <c r="E1691" s="8">
        <v>1</v>
      </c>
      <c r="F1691" s="7" t="s">
        <v>41</v>
      </c>
      <c r="G1691" s="7"/>
      <c r="H1691" s="9"/>
      <c r="I1691" s="9"/>
      <c r="J1691" s="9"/>
      <c r="K1691" s="9"/>
      <c r="L1691" s="9"/>
      <c r="M1691" s="9"/>
      <c r="N1691" s="9"/>
      <c r="O1691" s="9"/>
      <c r="P1691" s="9"/>
      <c r="Q1691" s="9"/>
      <c r="R1691" s="9"/>
      <c r="S1691" s="7" t="s">
        <v>407</v>
      </c>
      <c r="T1691" s="7" t="s">
        <v>4138</v>
      </c>
      <c r="U1691" s="7" t="s">
        <v>221</v>
      </c>
      <c r="V1691" s="7" t="s">
        <v>45</v>
      </c>
      <c r="W1691" s="7" t="s">
        <v>211</v>
      </c>
      <c r="X1691" s="7" t="s">
        <v>222</v>
      </c>
      <c r="Y1691" s="7" t="s">
        <v>4144</v>
      </c>
      <c r="Z1691" s="7" t="s">
        <v>4140</v>
      </c>
      <c r="AA1691" s="7"/>
      <c r="AB1691" s="7"/>
      <c r="AC1691" s="7"/>
      <c r="AD1691" s="7"/>
      <c r="AE1691" s="7"/>
      <c r="AF1691" s="7"/>
      <c r="AG1691" s="7"/>
      <c r="AH1691" s="7"/>
    </row>
    <row r="1692" spans="1:34" ht="9.75" customHeight="1" x14ac:dyDescent="0.2">
      <c r="A1692" s="7" t="s">
        <v>37</v>
      </c>
      <c r="B1692" s="7" t="s">
        <v>38</v>
      </c>
      <c r="C1692" s="7"/>
      <c r="D1692" s="7" t="s">
        <v>4145</v>
      </c>
      <c r="E1692" s="8">
        <v>1</v>
      </c>
      <c r="F1692" s="7" t="s">
        <v>41</v>
      </c>
      <c r="G1692" s="7"/>
      <c r="H1692" s="9"/>
      <c r="I1692" s="9"/>
      <c r="J1692" s="9"/>
      <c r="K1692" s="9"/>
      <c r="L1692" s="9"/>
      <c r="M1692" s="9"/>
      <c r="N1692" s="9"/>
      <c r="O1692" s="9"/>
      <c r="P1692" s="9"/>
      <c r="Q1692" s="9"/>
      <c r="R1692" s="9"/>
      <c r="S1692" s="7" t="s">
        <v>407</v>
      </c>
      <c r="T1692" s="7" t="s">
        <v>4138</v>
      </c>
      <c r="U1692" s="7" t="s">
        <v>221</v>
      </c>
      <c r="V1692" s="7" t="s">
        <v>45</v>
      </c>
      <c r="W1692" s="7" t="s">
        <v>211</v>
      </c>
      <c r="X1692" s="7" t="s">
        <v>222</v>
      </c>
      <c r="Y1692" s="7" t="s">
        <v>4146</v>
      </c>
      <c r="Z1692" s="7" t="s">
        <v>4140</v>
      </c>
      <c r="AA1692" s="7"/>
      <c r="AB1692" s="7"/>
      <c r="AC1692" s="7"/>
      <c r="AD1692" s="7"/>
      <c r="AE1692" s="7"/>
      <c r="AF1692" s="7"/>
      <c r="AG1692" s="7"/>
      <c r="AH1692" s="7"/>
    </row>
    <row r="1693" spans="1:34" ht="9.75" customHeight="1" x14ac:dyDescent="0.2">
      <c r="A1693" s="7" t="s">
        <v>37</v>
      </c>
      <c r="B1693" s="7" t="s">
        <v>38</v>
      </c>
      <c r="C1693" s="7"/>
      <c r="D1693" s="7" t="s">
        <v>4147</v>
      </c>
      <c r="E1693" s="8">
        <v>1</v>
      </c>
      <c r="F1693" s="7" t="s">
        <v>41</v>
      </c>
      <c r="G1693" s="7"/>
      <c r="H1693" s="9"/>
      <c r="I1693" s="9"/>
      <c r="J1693" s="9"/>
      <c r="K1693" s="9"/>
      <c r="L1693" s="9"/>
      <c r="M1693" s="9"/>
      <c r="N1693" s="9"/>
      <c r="O1693" s="9"/>
      <c r="P1693" s="9"/>
      <c r="Q1693" s="9"/>
      <c r="R1693" s="9"/>
      <c r="S1693" s="7" t="s">
        <v>407</v>
      </c>
      <c r="T1693" s="7" t="s">
        <v>4138</v>
      </c>
      <c r="U1693" s="7" t="s">
        <v>221</v>
      </c>
      <c r="V1693" s="7" t="s">
        <v>45</v>
      </c>
      <c r="W1693" s="7" t="s">
        <v>211</v>
      </c>
      <c r="X1693" s="7" t="s">
        <v>222</v>
      </c>
      <c r="Y1693" s="7" t="s">
        <v>4148</v>
      </c>
      <c r="Z1693" s="7" t="s">
        <v>4140</v>
      </c>
      <c r="AA1693" s="7"/>
      <c r="AB1693" s="7"/>
      <c r="AC1693" s="7"/>
      <c r="AD1693" s="7"/>
      <c r="AE1693" s="7"/>
      <c r="AF1693" s="7"/>
      <c r="AG1693" s="7"/>
      <c r="AH1693" s="7"/>
    </row>
    <row r="1694" spans="1:34" ht="9.75" customHeight="1" x14ac:dyDescent="0.2">
      <c r="A1694" s="7" t="s">
        <v>37</v>
      </c>
      <c r="B1694" s="7" t="s">
        <v>38</v>
      </c>
      <c r="C1694" s="7"/>
      <c r="D1694" s="7" t="s">
        <v>4149</v>
      </c>
      <c r="E1694" s="8">
        <v>1</v>
      </c>
      <c r="F1694" s="7" t="s">
        <v>41</v>
      </c>
      <c r="G1694" s="7"/>
      <c r="H1694" s="9"/>
      <c r="I1694" s="9"/>
      <c r="J1694" s="9"/>
      <c r="K1694" s="9"/>
      <c r="L1694" s="10">
        <v>27000</v>
      </c>
      <c r="M1694" s="9"/>
      <c r="N1694" s="10">
        <v>27000</v>
      </c>
      <c r="O1694" s="9"/>
      <c r="P1694" s="10"/>
      <c r="Q1694" s="10"/>
      <c r="R1694" s="10"/>
      <c r="S1694" s="7" t="s">
        <v>407</v>
      </c>
      <c r="T1694" s="7" t="s">
        <v>4150</v>
      </c>
      <c r="U1694" s="7" t="s">
        <v>221</v>
      </c>
      <c r="V1694" s="7" t="s">
        <v>45</v>
      </c>
      <c r="W1694" s="7" t="s">
        <v>211</v>
      </c>
      <c r="X1694" s="7" t="s">
        <v>229</v>
      </c>
      <c r="Y1694" s="7" t="s">
        <v>4151</v>
      </c>
      <c r="Z1694" s="7" t="s">
        <v>4152</v>
      </c>
      <c r="AA1694" s="7"/>
      <c r="AB1694" s="7"/>
      <c r="AC1694" s="7"/>
      <c r="AD1694" s="7"/>
      <c r="AE1694" s="7"/>
      <c r="AF1694" s="7"/>
      <c r="AG1694" s="7"/>
      <c r="AH1694" s="7"/>
    </row>
    <row r="1695" spans="1:34" ht="9.75" customHeight="1" x14ac:dyDescent="0.2">
      <c r="A1695" s="7" t="s">
        <v>37</v>
      </c>
      <c r="B1695" s="7" t="s">
        <v>38</v>
      </c>
      <c r="C1695" s="7"/>
      <c r="D1695" s="7" t="s">
        <v>4153</v>
      </c>
      <c r="E1695" s="8">
        <v>1</v>
      </c>
      <c r="F1695" s="7" t="s">
        <v>41</v>
      </c>
      <c r="G1695" s="7"/>
      <c r="H1695" s="9"/>
      <c r="I1695" s="10">
        <v>493000</v>
      </c>
      <c r="J1695" s="9"/>
      <c r="K1695" s="9"/>
      <c r="L1695" s="10">
        <v>537663</v>
      </c>
      <c r="M1695" s="9"/>
      <c r="N1695" s="10">
        <v>537663</v>
      </c>
      <c r="O1695" s="9"/>
      <c r="P1695" s="10"/>
      <c r="Q1695" s="10"/>
      <c r="R1695" s="10"/>
      <c r="S1695" s="7" t="s">
        <v>407</v>
      </c>
      <c r="T1695" s="7" t="s">
        <v>4150</v>
      </c>
      <c r="U1695" s="7" t="s">
        <v>221</v>
      </c>
      <c r="V1695" s="7" t="s">
        <v>45</v>
      </c>
      <c r="W1695" s="7" t="s">
        <v>211</v>
      </c>
      <c r="X1695" s="7" t="s">
        <v>229</v>
      </c>
      <c r="Y1695" s="7" t="s">
        <v>4154</v>
      </c>
      <c r="Z1695" s="7" t="s">
        <v>4152</v>
      </c>
      <c r="AA1695" s="7"/>
      <c r="AB1695" s="7"/>
      <c r="AC1695" s="7"/>
      <c r="AD1695" s="7"/>
      <c r="AE1695" s="7"/>
      <c r="AF1695" s="7"/>
      <c r="AG1695" s="7"/>
      <c r="AH1695" s="7"/>
    </row>
    <row r="1696" spans="1:34" ht="9.75" customHeight="1" x14ac:dyDescent="0.2">
      <c r="A1696" s="7" t="s">
        <v>37</v>
      </c>
      <c r="B1696" s="7" t="s">
        <v>38</v>
      </c>
      <c r="C1696" s="7"/>
      <c r="D1696" s="7" t="s">
        <v>4155</v>
      </c>
      <c r="E1696" s="8">
        <v>1</v>
      </c>
      <c r="F1696" s="7" t="s">
        <v>41</v>
      </c>
      <c r="G1696" s="7"/>
      <c r="H1696" s="9"/>
      <c r="I1696" s="10">
        <v>10231</v>
      </c>
      <c r="J1696" s="9"/>
      <c r="K1696" s="9"/>
      <c r="L1696" s="10">
        <v>10753</v>
      </c>
      <c r="M1696" s="9"/>
      <c r="N1696" s="10">
        <v>10753</v>
      </c>
      <c r="O1696" s="9"/>
      <c r="P1696" s="10"/>
      <c r="Q1696" s="10"/>
      <c r="R1696" s="10"/>
      <c r="S1696" s="7" t="s">
        <v>407</v>
      </c>
      <c r="T1696" s="7" t="s">
        <v>4150</v>
      </c>
      <c r="U1696" s="7" t="s">
        <v>221</v>
      </c>
      <c r="V1696" s="7" t="s">
        <v>45</v>
      </c>
      <c r="W1696" s="7" t="s">
        <v>211</v>
      </c>
      <c r="X1696" s="7" t="s">
        <v>229</v>
      </c>
      <c r="Y1696" s="7" t="s">
        <v>4156</v>
      </c>
      <c r="Z1696" s="7" t="s">
        <v>4152</v>
      </c>
      <c r="AA1696" s="7"/>
      <c r="AB1696" s="7"/>
      <c r="AC1696" s="7"/>
      <c r="AD1696" s="7"/>
      <c r="AE1696" s="7"/>
      <c r="AF1696" s="7"/>
      <c r="AG1696" s="7"/>
      <c r="AH1696" s="7"/>
    </row>
    <row r="1697" spans="1:34" ht="9.75" customHeight="1" x14ac:dyDescent="0.2">
      <c r="A1697" s="7" t="s">
        <v>37</v>
      </c>
      <c r="B1697" s="7" t="s">
        <v>38</v>
      </c>
      <c r="C1697" s="7"/>
      <c r="D1697" s="7" t="s">
        <v>4157</v>
      </c>
      <c r="E1697" s="8">
        <v>1</v>
      </c>
      <c r="F1697" s="7" t="s">
        <v>41</v>
      </c>
      <c r="G1697" s="7"/>
      <c r="H1697" s="9"/>
      <c r="I1697" s="10">
        <v>46000</v>
      </c>
      <c r="J1697" s="9"/>
      <c r="K1697" s="9"/>
      <c r="L1697" s="10">
        <v>56504</v>
      </c>
      <c r="M1697" s="9"/>
      <c r="N1697" s="10">
        <v>56504</v>
      </c>
      <c r="O1697" s="9"/>
      <c r="P1697" s="10"/>
      <c r="Q1697" s="10"/>
      <c r="R1697" s="10"/>
      <c r="S1697" s="7" t="s">
        <v>407</v>
      </c>
      <c r="T1697" s="7" t="s">
        <v>4150</v>
      </c>
      <c r="U1697" s="7" t="s">
        <v>221</v>
      </c>
      <c r="V1697" s="7" t="s">
        <v>45</v>
      </c>
      <c r="W1697" s="7" t="s">
        <v>211</v>
      </c>
      <c r="X1697" s="7" t="s">
        <v>229</v>
      </c>
      <c r="Y1697" s="7" t="s">
        <v>4158</v>
      </c>
      <c r="Z1697" s="7" t="s">
        <v>4152</v>
      </c>
      <c r="AA1697" s="7"/>
      <c r="AB1697" s="7"/>
      <c r="AC1697" s="7"/>
      <c r="AD1697" s="7"/>
      <c r="AE1697" s="7"/>
      <c r="AF1697" s="7"/>
      <c r="AG1697" s="7"/>
      <c r="AH1697" s="7"/>
    </row>
    <row r="1698" spans="1:34" ht="9.75" customHeight="1" x14ac:dyDescent="0.2">
      <c r="A1698" s="7" t="s">
        <v>37</v>
      </c>
      <c r="B1698" s="7" t="s">
        <v>38</v>
      </c>
      <c r="C1698" s="7"/>
      <c r="D1698" s="7" t="s">
        <v>4159</v>
      </c>
      <c r="E1698" s="8">
        <v>1</v>
      </c>
      <c r="F1698" s="7" t="s">
        <v>41</v>
      </c>
      <c r="G1698" s="7"/>
      <c r="H1698" s="9"/>
      <c r="I1698" s="10">
        <v>43823</v>
      </c>
      <c r="J1698" s="9"/>
      <c r="K1698" s="9"/>
      <c r="L1698" s="10">
        <v>26720</v>
      </c>
      <c r="M1698" s="9"/>
      <c r="N1698" s="10">
        <v>26720</v>
      </c>
      <c r="O1698" s="9"/>
      <c r="P1698" s="10"/>
      <c r="Q1698" s="10"/>
      <c r="R1698" s="10"/>
      <c r="S1698" s="7" t="s">
        <v>407</v>
      </c>
      <c r="T1698" s="7" t="s">
        <v>4150</v>
      </c>
      <c r="U1698" s="7" t="s">
        <v>221</v>
      </c>
      <c r="V1698" s="7" t="s">
        <v>45</v>
      </c>
      <c r="W1698" s="7" t="s">
        <v>211</v>
      </c>
      <c r="X1698" s="7" t="s">
        <v>229</v>
      </c>
      <c r="Y1698" s="7" t="s">
        <v>4160</v>
      </c>
      <c r="Z1698" s="7" t="s">
        <v>4152</v>
      </c>
      <c r="AA1698" s="7"/>
      <c r="AB1698" s="7"/>
      <c r="AC1698" s="7"/>
      <c r="AD1698" s="7"/>
      <c r="AE1698" s="7"/>
      <c r="AF1698" s="7"/>
      <c r="AG1698" s="7"/>
      <c r="AH1698" s="7"/>
    </row>
    <row r="1699" spans="1:34" ht="9.75" customHeight="1" x14ac:dyDescent="0.2">
      <c r="A1699" s="7" t="s">
        <v>37</v>
      </c>
      <c r="B1699" s="7" t="s">
        <v>38</v>
      </c>
      <c r="C1699" s="7"/>
      <c r="D1699" s="7" t="s">
        <v>4161</v>
      </c>
      <c r="E1699" s="8">
        <v>1</v>
      </c>
      <c r="F1699" s="7" t="s">
        <v>41</v>
      </c>
      <c r="G1699" s="7"/>
      <c r="H1699" s="9"/>
      <c r="I1699" s="10">
        <v>10000</v>
      </c>
      <c r="J1699" s="9"/>
      <c r="K1699" s="9"/>
      <c r="L1699" s="10">
        <v>13360</v>
      </c>
      <c r="M1699" s="9"/>
      <c r="N1699" s="10">
        <v>13360</v>
      </c>
      <c r="O1699" s="9"/>
      <c r="P1699" s="10"/>
      <c r="Q1699" s="10"/>
      <c r="R1699" s="10"/>
      <c r="S1699" s="7" t="s">
        <v>407</v>
      </c>
      <c r="T1699" s="7" t="s">
        <v>4150</v>
      </c>
      <c r="U1699" s="7" t="s">
        <v>221</v>
      </c>
      <c r="V1699" s="7" t="s">
        <v>45</v>
      </c>
      <c r="W1699" s="7" t="s">
        <v>211</v>
      </c>
      <c r="X1699" s="7" t="s">
        <v>229</v>
      </c>
      <c r="Y1699" s="7" t="s">
        <v>4162</v>
      </c>
      <c r="Z1699" s="7" t="s">
        <v>4152</v>
      </c>
      <c r="AA1699" s="7"/>
      <c r="AB1699" s="7"/>
      <c r="AC1699" s="7"/>
      <c r="AD1699" s="7"/>
      <c r="AE1699" s="7"/>
      <c r="AF1699" s="7"/>
      <c r="AG1699" s="7"/>
      <c r="AH1699" s="7"/>
    </row>
    <row r="1700" spans="1:34" ht="9.75" customHeight="1" x14ac:dyDescent="0.2">
      <c r="A1700" s="7" t="s">
        <v>37</v>
      </c>
      <c r="B1700" s="7" t="s">
        <v>38</v>
      </c>
      <c r="C1700" s="7"/>
      <c r="D1700" s="7" t="s">
        <v>4163</v>
      </c>
      <c r="E1700" s="8">
        <v>1</v>
      </c>
      <c r="F1700" s="7" t="s">
        <v>41</v>
      </c>
      <c r="G1700" s="7"/>
      <c r="H1700" s="9"/>
      <c r="I1700" s="10">
        <v>740403</v>
      </c>
      <c r="J1700" s="9"/>
      <c r="K1700" s="9"/>
      <c r="L1700" s="10">
        <v>8346</v>
      </c>
      <c r="M1700" s="9"/>
      <c r="N1700" s="10">
        <v>8346</v>
      </c>
      <c r="O1700" s="9"/>
      <c r="P1700" s="10"/>
      <c r="Q1700" s="10"/>
      <c r="R1700" s="10"/>
      <c r="S1700" s="7" t="s">
        <v>407</v>
      </c>
      <c r="T1700" s="7" t="s">
        <v>241</v>
      </c>
      <c r="U1700" s="7" t="s">
        <v>221</v>
      </c>
      <c r="V1700" s="7" t="s">
        <v>45</v>
      </c>
      <c r="W1700" s="7" t="s">
        <v>235</v>
      </c>
      <c r="X1700" s="7" t="s">
        <v>236</v>
      </c>
      <c r="Y1700" s="7" t="s">
        <v>4164</v>
      </c>
      <c r="Z1700" s="7" t="s">
        <v>4165</v>
      </c>
      <c r="AA1700" s="7"/>
      <c r="AB1700" s="7"/>
      <c r="AC1700" s="7" t="s">
        <v>232</v>
      </c>
      <c r="AD1700" s="7"/>
      <c r="AE1700" s="7" t="s">
        <v>207</v>
      </c>
      <c r="AF1700" s="7" t="s">
        <v>50</v>
      </c>
      <c r="AG1700" s="7" t="s">
        <v>235</v>
      </c>
      <c r="AH1700" s="7" t="s">
        <v>239</v>
      </c>
    </row>
    <row r="1701" spans="1:34" ht="9.75" customHeight="1" x14ac:dyDescent="0.2">
      <c r="A1701" s="7" t="s">
        <v>37</v>
      </c>
      <c r="B1701" s="7" t="s">
        <v>38</v>
      </c>
      <c r="C1701" s="7"/>
      <c r="D1701" s="7" t="s">
        <v>4166</v>
      </c>
      <c r="E1701" s="8">
        <v>1</v>
      </c>
      <c r="F1701" s="7" t="s">
        <v>41</v>
      </c>
      <c r="G1701" s="7"/>
      <c r="H1701" s="9"/>
      <c r="I1701" s="10">
        <v>7350</v>
      </c>
      <c r="J1701" s="9"/>
      <c r="K1701" s="9"/>
      <c r="L1701" s="10">
        <v>7900</v>
      </c>
      <c r="M1701" s="9"/>
      <c r="N1701" s="10">
        <v>7900</v>
      </c>
      <c r="O1701" s="9"/>
      <c r="P1701" s="10"/>
      <c r="Q1701" s="10"/>
      <c r="R1701" s="10"/>
      <c r="S1701" s="7" t="s">
        <v>407</v>
      </c>
      <c r="T1701" s="7" t="s">
        <v>241</v>
      </c>
      <c r="U1701" s="7" t="s">
        <v>221</v>
      </c>
      <c r="V1701" s="7" t="s">
        <v>45</v>
      </c>
      <c r="W1701" s="7" t="s">
        <v>235</v>
      </c>
      <c r="X1701" s="7" t="s">
        <v>236</v>
      </c>
      <c r="Y1701" s="7" t="s">
        <v>4167</v>
      </c>
      <c r="Z1701" s="7" t="s">
        <v>4165</v>
      </c>
      <c r="AA1701" s="7"/>
      <c r="AB1701" s="7"/>
      <c r="AC1701" s="7" t="s">
        <v>232</v>
      </c>
      <c r="AD1701" s="7"/>
      <c r="AE1701" s="7" t="s">
        <v>415</v>
      </c>
      <c r="AF1701" s="7" t="s">
        <v>50</v>
      </c>
      <c r="AG1701" s="7" t="s">
        <v>235</v>
      </c>
      <c r="AH1701" s="7" t="s">
        <v>239</v>
      </c>
    </row>
    <row r="1702" spans="1:34" ht="9.75" customHeight="1" x14ac:dyDescent="0.2">
      <c r="A1702" s="7" t="s">
        <v>37</v>
      </c>
      <c r="B1702" s="7" t="s">
        <v>38</v>
      </c>
      <c r="C1702" s="7"/>
      <c r="D1702" s="7" t="s">
        <v>4168</v>
      </c>
      <c r="E1702" s="8">
        <v>1</v>
      </c>
      <c r="F1702" s="7" t="s">
        <v>41</v>
      </c>
      <c r="G1702" s="7"/>
      <c r="H1702" s="9"/>
      <c r="I1702" s="10">
        <v>39779</v>
      </c>
      <c r="J1702" s="9"/>
      <c r="K1702" s="9"/>
      <c r="L1702" s="10">
        <v>51586</v>
      </c>
      <c r="M1702" s="9"/>
      <c r="N1702" s="10">
        <v>51586</v>
      </c>
      <c r="O1702" s="9"/>
      <c r="P1702" s="10"/>
      <c r="Q1702" s="10"/>
      <c r="R1702" s="10"/>
      <c r="S1702" s="7" t="s">
        <v>407</v>
      </c>
      <c r="T1702" s="7" t="s">
        <v>241</v>
      </c>
      <c r="U1702" s="7" t="s">
        <v>221</v>
      </c>
      <c r="V1702" s="7" t="s">
        <v>45</v>
      </c>
      <c r="W1702" s="7" t="s">
        <v>235</v>
      </c>
      <c r="X1702" s="7" t="s">
        <v>236</v>
      </c>
      <c r="Y1702" s="7" t="s">
        <v>4169</v>
      </c>
      <c r="Z1702" s="7" t="s">
        <v>4165</v>
      </c>
      <c r="AA1702" s="7"/>
      <c r="AB1702" s="7"/>
      <c r="AC1702" s="7" t="s">
        <v>232</v>
      </c>
      <c r="AD1702" s="7"/>
      <c r="AE1702" s="7"/>
      <c r="AF1702" s="7" t="s">
        <v>50</v>
      </c>
      <c r="AG1702" s="7" t="s">
        <v>235</v>
      </c>
      <c r="AH1702" s="7" t="s">
        <v>239</v>
      </c>
    </row>
    <row r="1703" spans="1:34" ht="9.75" customHeight="1" x14ac:dyDescent="0.2">
      <c r="A1703" s="7" t="s">
        <v>37</v>
      </c>
      <c r="B1703" s="7" t="s">
        <v>38</v>
      </c>
      <c r="C1703" s="7"/>
      <c r="D1703" s="7" t="s">
        <v>4170</v>
      </c>
      <c r="E1703" s="8">
        <v>1</v>
      </c>
      <c r="F1703" s="7" t="s">
        <v>41</v>
      </c>
      <c r="G1703" s="7"/>
      <c r="H1703" s="9"/>
      <c r="I1703" s="10">
        <v>15122</v>
      </c>
      <c r="J1703" s="9"/>
      <c r="K1703" s="9"/>
      <c r="L1703" s="10">
        <v>15531</v>
      </c>
      <c r="M1703" s="9"/>
      <c r="N1703" s="10">
        <v>15531</v>
      </c>
      <c r="O1703" s="9"/>
      <c r="P1703" s="10"/>
      <c r="Q1703" s="10"/>
      <c r="R1703" s="10"/>
      <c r="S1703" s="7" t="s">
        <v>407</v>
      </c>
      <c r="T1703" s="7" t="s">
        <v>241</v>
      </c>
      <c r="U1703" s="7" t="s">
        <v>221</v>
      </c>
      <c r="V1703" s="7" t="s">
        <v>45</v>
      </c>
      <c r="W1703" s="7" t="s">
        <v>235</v>
      </c>
      <c r="X1703" s="7" t="s">
        <v>236</v>
      </c>
      <c r="Y1703" s="7" t="s">
        <v>4171</v>
      </c>
      <c r="Z1703" s="7" t="s">
        <v>4165</v>
      </c>
      <c r="AA1703" s="7"/>
      <c r="AB1703" s="7"/>
      <c r="AC1703" s="7" t="s">
        <v>232</v>
      </c>
      <c r="AD1703" s="7"/>
      <c r="AE1703" s="7"/>
      <c r="AF1703" s="7" t="s">
        <v>50</v>
      </c>
      <c r="AG1703" s="7" t="s">
        <v>235</v>
      </c>
      <c r="AH1703" s="7" t="s">
        <v>239</v>
      </c>
    </row>
    <row r="1704" spans="1:34" ht="9.75" customHeight="1" x14ac:dyDescent="0.2">
      <c r="A1704" s="7" t="s">
        <v>37</v>
      </c>
      <c r="B1704" s="7" t="s">
        <v>38</v>
      </c>
      <c r="C1704" s="7"/>
      <c r="D1704" s="7" t="s">
        <v>4172</v>
      </c>
      <c r="E1704" s="8">
        <v>1</v>
      </c>
      <c r="F1704" s="7" t="s">
        <v>41</v>
      </c>
      <c r="G1704" s="7"/>
      <c r="H1704" s="9"/>
      <c r="I1704" s="10">
        <v>20000</v>
      </c>
      <c r="J1704" s="9"/>
      <c r="K1704" s="9"/>
      <c r="L1704" s="10">
        <v>20000</v>
      </c>
      <c r="M1704" s="9"/>
      <c r="N1704" s="10">
        <v>20000</v>
      </c>
      <c r="O1704" s="9"/>
      <c r="P1704" s="10"/>
      <c r="Q1704" s="10"/>
      <c r="R1704" s="10"/>
      <c r="S1704" s="7" t="s">
        <v>407</v>
      </c>
      <c r="T1704" s="7" t="s">
        <v>241</v>
      </c>
      <c r="U1704" s="7" t="s">
        <v>221</v>
      </c>
      <c r="V1704" s="7" t="s">
        <v>45</v>
      </c>
      <c r="W1704" s="7" t="s">
        <v>235</v>
      </c>
      <c r="X1704" s="7" t="s">
        <v>236</v>
      </c>
      <c r="Y1704" s="7" t="s">
        <v>4173</v>
      </c>
      <c r="Z1704" s="7" t="s">
        <v>4165</v>
      </c>
      <c r="AA1704" s="7"/>
      <c r="AB1704" s="7"/>
      <c r="AC1704" s="7" t="s">
        <v>232</v>
      </c>
      <c r="AD1704" s="7"/>
      <c r="AE1704" s="7"/>
      <c r="AF1704" s="7" t="s">
        <v>50</v>
      </c>
      <c r="AG1704" s="7" t="s">
        <v>235</v>
      </c>
      <c r="AH1704" s="7" t="s">
        <v>239</v>
      </c>
    </row>
    <row r="1705" spans="1:34" ht="9.75" customHeight="1" x14ac:dyDescent="0.2">
      <c r="A1705" s="7" t="s">
        <v>37</v>
      </c>
      <c r="B1705" s="7" t="s">
        <v>38</v>
      </c>
      <c r="C1705" s="7"/>
      <c r="D1705" s="7" t="s">
        <v>4174</v>
      </c>
      <c r="E1705" s="8">
        <v>1</v>
      </c>
      <c r="F1705" s="7" t="s">
        <v>41</v>
      </c>
      <c r="G1705" s="7"/>
      <c r="H1705" s="9"/>
      <c r="I1705" s="10">
        <v>36750</v>
      </c>
      <c r="J1705" s="9"/>
      <c r="K1705" s="9"/>
      <c r="L1705" s="10">
        <v>9837</v>
      </c>
      <c r="M1705" s="9"/>
      <c r="N1705" s="10">
        <v>9837</v>
      </c>
      <c r="O1705" s="9"/>
      <c r="P1705" s="10"/>
      <c r="Q1705" s="10"/>
      <c r="R1705" s="10"/>
      <c r="S1705" s="7" t="s">
        <v>407</v>
      </c>
      <c r="T1705" s="7" t="s">
        <v>241</v>
      </c>
      <c r="U1705" s="7" t="s">
        <v>221</v>
      </c>
      <c r="V1705" s="7" t="s">
        <v>45</v>
      </c>
      <c r="W1705" s="7" t="s">
        <v>235</v>
      </c>
      <c r="X1705" s="7" t="s">
        <v>236</v>
      </c>
      <c r="Y1705" s="7" t="s">
        <v>4175</v>
      </c>
      <c r="Z1705" s="7" t="s">
        <v>4165</v>
      </c>
      <c r="AA1705" s="7"/>
      <c r="AB1705" s="7"/>
      <c r="AC1705" s="7" t="s">
        <v>232</v>
      </c>
      <c r="AD1705" s="7"/>
      <c r="AE1705" s="7"/>
      <c r="AF1705" s="7" t="s">
        <v>50</v>
      </c>
      <c r="AG1705" s="7" t="s">
        <v>235</v>
      </c>
      <c r="AH1705" s="7" t="s">
        <v>239</v>
      </c>
    </row>
    <row r="1706" spans="1:34" ht="9.75" customHeight="1" x14ac:dyDescent="0.2">
      <c r="A1706" s="7" t="s">
        <v>37</v>
      </c>
      <c r="B1706" s="7" t="s">
        <v>38</v>
      </c>
      <c r="C1706" s="7"/>
      <c r="D1706" s="7" t="s">
        <v>4176</v>
      </c>
      <c r="E1706" s="8">
        <v>1</v>
      </c>
      <c r="F1706" s="7" t="s">
        <v>41</v>
      </c>
      <c r="G1706" s="7"/>
      <c r="H1706" s="9"/>
      <c r="I1706" s="9"/>
      <c r="J1706" s="9"/>
      <c r="K1706" s="9"/>
      <c r="L1706" s="10">
        <v>6574</v>
      </c>
      <c r="M1706" s="9"/>
      <c r="N1706" s="10">
        <v>6574</v>
      </c>
      <c r="O1706" s="9"/>
      <c r="P1706" s="10"/>
      <c r="Q1706" s="10"/>
      <c r="R1706" s="10"/>
      <c r="S1706" s="7" t="s">
        <v>407</v>
      </c>
      <c r="T1706" s="7" t="s">
        <v>241</v>
      </c>
      <c r="U1706" s="7" t="s">
        <v>221</v>
      </c>
      <c r="V1706" s="7" t="s">
        <v>45</v>
      </c>
      <c r="W1706" s="7" t="s">
        <v>235</v>
      </c>
      <c r="X1706" s="7" t="s">
        <v>236</v>
      </c>
      <c r="Y1706" s="7" t="s">
        <v>4177</v>
      </c>
      <c r="Z1706" s="7" t="s">
        <v>4178</v>
      </c>
      <c r="AA1706" s="7"/>
      <c r="AB1706" s="7"/>
      <c r="AC1706" s="7" t="s">
        <v>232</v>
      </c>
      <c r="AD1706" s="7"/>
      <c r="AE1706" s="7" t="s">
        <v>4179</v>
      </c>
      <c r="AF1706" s="7" t="s">
        <v>50</v>
      </c>
      <c r="AG1706" s="7" t="s">
        <v>235</v>
      </c>
      <c r="AH1706" s="7" t="s">
        <v>239</v>
      </c>
    </row>
    <row r="1707" spans="1:34" ht="9.75" customHeight="1" x14ac:dyDescent="0.2">
      <c r="A1707" s="7" t="s">
        <v>37</v>
      </c>
      <c r="B1707" s="7" t="s">
        <v>38</v>
      </c>
      <c r="C1707" s="7"/>
      <c r="D1707" s="7" t="s">
        <v>4180</v>
      </c>
      <c r="E1707" s="8">
        <v>1</v>
      </c>
      <c r="F1707" s="7" t="s">
        <v>41</v>
      </c>
      <c r="G1707" s="7"/>
      <c r="H1707" s="9"/>
      <c r="I1707" s="9"/>
      <c r="J1707" s="9"/>
      <c r="K1707" s="9"/>
      <c r="L1707" s="10">
        <v>17829</v>
      </c>
      <c r="M1707" s="9"/>
      <c r="N1707" s="10">
        <v>17829</v>
      </c>
      <c r="O1707" s="9"/>
      <c r="P1707" s="10"/>
      <c r="Q1707" s="10"/>
      <c r="R1707" s="10"/>
      <c r="S1707" s="7" t="s">
        <v>407</v>
      </c>
      <c r="T1707" s="7" t="s">
        <v>241</v>
      </c>
      <c r="U1707" s="7" t="s">
        <v>221</v>
      </c>
      <c r="V1707" s="7" t="s">
        <v>45</v>
      </c>
      <c r="W1707" s="7" t="s">
        <v>235</v>
      </c>
      <c r="X1707" s="7" t="s">
        <v>236</v>
      </c>
      <c r="Y1707" s="7" t="s">
        <v>4181</v>
      </c>
      <c r="Z1707" s="7" t="s">
        <v>4178</v>
      </c>
      <c r="AA1707" s="7"/>
      <c r="AB1707" s="7"/>
      <c r="AC1707" s="7" t="s">
        <v>232</v>
      </c>
      <c r="AD1707" s="7"/>
      <c r="AE1707" s="7" t="s">
        <v>4182</v>
      </c>
      <c r="AF1707" s="7" t="s">
        <v>50</v>
      </c>
      <c r="AG1707" s="7" t="s">
        <v>235</v>
      </c>
      <c r="AH1707" s="7" t="s">
        <v>239</v>
      </c>
    </row>
    <row r="1708" spans="1:34" ht="9.75" customHeight="1" x14ac:dyDescent="0.2">
      <c r="A1708" s="7" t="s">
        <v>37</v>
      </c>
      <c r="B1708" s="7" t="s">
        <v>38</v>
      </c>
      <c r="C1708" s="7"/>
      <c r="D1708" s="7" t="s">
        <v>4183</v>
      </c>
      <c r="E1708" s="8">
        <v>1</v>
      </c>
      <c r="F1708" s="7" t="s">
        <v>41</v>
      </c>
      <c r="G1708" s="7"/>
      <c r="H1708" s="9"/>
      <c r="I1708" s="9"/>
      <c r="J1708" s="9"/>
      <c r="K1708" s="9"/>
      <c r="L1708" s="10">
        <v>4624</v>
      </c>
      <c r="M1708" s="9"/>
      <c r="N1708" s="10">
        <v>4624</v>
      </c>
      <c r="O1708" s="9"/>
      <c r="P1708" s="10"/>
      <c r="Q1708" s="10"/>
      <c r="R1708" s="10"/>
      <c r="S1708" s="7" t="s">
        <v>407</v>
      </c>
      <c r="T1708" s="7" t="s">
        <v>241</v>
      </c>
      <c r="U1708" s="7" t="s">
        <v>221</v>
      </c>
      <c r="V1708" s="7" t="s">
        <v>45</v>
      </c>
      <c r="W1708" s="7" t="s">
        <v>235</v>
      </c>
      <c r="X1708" s="7" t="s">
        <v>236</v>
      </c>
      <c r="Y1708" s="7" t="s">
        <v>4184</v>
      </c>
      <c r="Z1708" s="7" t="s">
        <v>4178</v>
      </c>
      <c r="AA1708" s="7"/>
      <c r="AB1708" s="7"/>
      <c r="AC1708" s="7" t="s">
        <v>232</v>
      </c>
      <c r="AD1708" s="7"/>
      <c r="AE1708" s="7" t="s">
        <v>4185</v>
      </c>
      <c r="AF1708" s="7" t="s">
        <v>50</v>
      </c>
      <c r="AG1708" s="7" t="s">
        <v>235</v>
      </c>
      <c r="AH1708" s="7" t="s">
        <v>239</v>
      </c>
    </row>
    <row r="1709" spans="1:34" ht="9.75" customHeight="1" x14ac:dyDescent="0.2">
      <c r="A1709" s="7" t="s">
        <v>37</v>
      </c>
      <c r="B1709" s="7" t="s">
        <v>38</v>
      </c>
      <c r="C1709" s="7"/>
      <c r="D1709" s="7" t="s">
        <v>4186</v>
      </c>
      <c r="E1709" s="8">
        <v>1</v>
      </c>
      <c r="F1709" s="7" t="s">
        <v>41</v>
      </c>
      <c r="G1709" s="7"/>
      <c r="H1709" s="9"/>
      <c r="I1709" s="9"/>
      <c r="J1709" s="9"/>
      <c r="K1709" s="9"/>
      <c r="L1709" s="10">
        <v>4184</v>
      </c>
      <c r="M1709" s="9"/>
      <c r="N1709" s="10">
        <v>4184</v>
      </c>
      <c r="O1709" s="9"/>
      <c r="P1709" s="10"/>
      <c r="Q1709" s="10"/>
      <c r="R1709" s="10"/>
      <c r="S1709" s="7" t="s">
        <v>407</v>
      </c>
      <c r="T1709" s="7" t="s">
        <v>241</v>
      </c>
      <c r="U1709" s="7" t="s">
        <v>221</v>
      </c>
      <c r="V1709" s="7" t="s">
        <v>45</v>
      </c>
      <c r="W1709" s="7" t="s">
        <v>235</v>
      </c>
      <c r="X1709" s="7" t="s">
        <v>236</v>
      </c>
      <c r="Y1709" s="7" t="s">
        <v>4187</v>
      </c>
      <c r="Z1709" s="7" t="s">
        <v>4178</v>
      </c>
      <c r="AA1709" s="7"/>
      <c r="AB1709" s="7"/>
      <c r="AC1709" s="7" t="s">
        <v>232</v>
      </c>
      <c r="AD1709" s="7"/>
      <c r="AE1709" s="7" t="s">
        <v>4188</v>
      </c>
      <c r="AF1709" s="7" t="s">
        <v>50</v>
      </c>
      <c r="AG1709" s="7" t="s">
        <v>235</v>
      </c>
      <c r="AH1709" s="7" t="s">
        <v>239</v>
      </c>
    </row>
    <row r="1710" spans="1:34" ht="9.75" customHeight="1" x14ac:dyDescent="0.2">
      <c r="A1710" s="7" t="s">
        <v>37</v>
      </c>
      <c r="B1710" s="7" t="s">
        <v>38</v>
      </c>
      <c r="C1710" s="7"/>
      <c r="D1710" s="7" t="s">
        <v>4189</v>
      </c>
      <c r="E1710" s="8">
        <v>1</v>
      </c>
      <c r="F1710" s="7" t="s">
        <v>41</v>
      </c>
      <c r="G1710" s="7"/>
      <c r="H1710" s="9"/>
      <c r="I1710" s="9"/>
      <c r="J1710" s="9"/>
      <c r="K1710" s="9"/>
      <c r="L1710" s="10">
        <v>6213</v>
      </c>
      <c r="M1710" s="9"/>
      <c r="N1710" s="10">
        <v>6213</v>
      </c>
      <c r="O1710" s="9"/>
      <c r="P1710" s="10"/>
      <c r="Q1710" s="10"/>
      <c r="R1710" s="10"/>
      <c r="S1710" s="7" t="s">
        <v>407</v>
      </c>
      <c r="T1710" s="7" t="s">
        <v>241</v>
      </c>
      <c r="U1710" s="7" t="s">
        <v>221</v>
      </c>
      <c r="V1710" s="7" t="s">
        <v>45</v>
      </c>
      <c r="W1710" s="7" t="s">
        <v>235</v>
      </c>
      <c r="X1710" s="7" t="s">
        <v>236</v>
      </c>
      <c r="Y1710" s="7" t="s">
        <v>4190</v>
      </c>
      <c r="Z1710" s="7" t="s">
        <v>4178</v>
      </c>
      <c r="AA1710" s="7"/>
      <c r="AB1710" s="7"/>
      <c r="AC1710" s="7" t="s">
        <v>232</v>
      </c>
      <c r="AD1710" s="7"/>
      <c r="AE1710" s="7" t="s">
        <v>4191</v>
      </c>
      <c r="AF1710" s="7" t="s">
        <v>50</v>
      </c>
      <c r="AG1710" s="7" t="s">
        <v>235</v>
      </c>
      <c r="AH1710" s="7" t="s">
        <v>239</v>
      </c>
    </row>
    <row r="1711" spans="1:34" ht="9.75" customHeight="1" x14ac:dyDescent="0.2">
      <c r="A1711" s="7" t="s">
        <v>37</v>
      </c>
      <c r="B1711" s="7" t="s">
        <v>38</v>
      </c>
      <c r="C1711" s="7"/>
      <c r="D1711" s="7" t="s">
        <v>4192</v>
      </c>
      <c r="E1711" s="8">
        <v>1</v>
      </c>
      <c r="F1711" s="7" t="s">
        <v>41</v>
      </c>
      <c r="G1711" s="7"/>
      <c r="H1711" s="9"/>
      <c r="I1711" s="9"/>
      <c r="J1711" s="9"/>
      <c r="K1711" s="9"/>
      <c r="L1711" s="10">
        <v>1449</v>
      </c>
      <c r="M1711" s="9"/>
      <c r="N1711" s="10">
        <v>1449</v>
      </c>
      <c r="O1711" s="9"/>
      <c r="P1711" s="10"/>
      <c r="Q1711" s="10"/>
      <c r="R1711" s="10"/>
      <c r="S1711" s="7" t="s">
        <v>407</v>
      </c>
      <c r="T1711" s="7" t="s">
        <v>241</v>
      </c>
      <c r="U1711" s="7" t="s">
        <v>221</v>
      </c>
      <c r="V1711" s="7" t="s">
        <v>45</v>
      </c>
      <c r="W1711" s="7" t="s">
        <v>235</v>
      </c>
      <c r="X1711" s="7" t="s">
        <v>236</v>
      </c>
      <c r="Y1711" s="7" t="s">
        <v>4193</v>
      </c>
      <c r="Z1711" s="7" t="s">
        <v>4178</v>
      </c>
      <c r="AA1711" s="7"/>
      <c r="AB1711" s="7"/>
      <c r="AC1711" s="7" t="s">
        <v>232</v>
      </c>
      <c r="AD1711" s="7"/>
      <c r="AE1711" s="7" t="s">
        <v>4194</v>
      </c>
      <c r="AF1711" s="7" t="s">
        <v>50</v>
      </c>
      <c r="AG1711" s="7" t="s">
        <v>235</v>
      </c>
      <c r="AH1711" s="7" t="s">
        <v>239</v>
      </c>
    </row>
    <row r="1712" spans="1:34" ht="9.75" customHeight="1" x14ac:dyDescent="0.2">
      <c r="A1712" s="7" t="s">
        <v>37</v>
      </c>
      <c r="B1712" s="7" t="s">
        <v>38</v>
      </c>
      <c r="C1712" s="7"/>
      <c r="D1712" s="7" t="s">
        <v>4195</v>
      </c>
      <c r="E1712" s="8">
        <v>1</v>
      </c>
      <c r="F1712" s="7" t="s">
        <v>41</v>
      </c>
      <c r="G1712" s="7"/>
      <c r="H1712" s="9"/>
      <c r="I1712" s="9"/>
      <c r="J1712" s="9"/>
      <c r="K1712" s="9"/>
      <c r="L1712" s="10">
        <v>1915</v>
      </c>
      <c r="M1712" s="9"/>
      <c r="N1712" s="10">
        <v>1915</v>
      </c>
      <c r="O1712" s="9"/>
      <c r="P1712" s="10"/>
      <c r="Q1712" s="10"/>
      <c r="R1712" s="10"/>
      <c r="S1712" s="7" t="s">
        <v>407</v>
      </c>
      <c r="T1712" s="7" t="s">
        <v>241</v>
      </c>
      <c r="U1712" s="7" t="s">
        <v>221</v>
      </c>
      <c r="V1712" s="7" t="s">
        <v>45</v>
      </c>
      <c r="W1712" s="7" t="s">
        <v>235</v>
      </c>
      <c r="X1712" s="7" t="s">
        <v>236</v>
      </c>
      <c r="Y1712" s="7" t="s">
        <v>4196</v>
      </c>
      <c r="Z1712" s="7" t="s">
        <v>4178</v>
      </c>
      <c r="AA1712" s="7"/>
      <c r="AB1712" s="7"/>
      <c r="AC1712" s="7" t="s">
        <v>232</v>
      </c>
      <c r="AD1712" s="7"/>
      <c r="AE1712" s="7" t="s">
        <v>4197</v>
      </c>
      <c r="AF1712" s="7" t="s">
        <v>50</v>
      </c>
      <c r="AG1712" s="7" t="s">
        <v>235</v>
      </c>
      <c r="AH1712" s="7" t="s">
        <v>239</v>
      </c>
    </row>
    <row r="1713" spans="1:34" ht="9.75" customHeight="1" x14ac:dyDescent="0.2">
      <c r="A1713" s="7" t="s">
        <v>37</v>
      </c>
      <c r="B1713" s="7" t="s">
        <v>38</v>
      </c>
      <c r="C1713" s="7"/>
      <c r="D1713" s="7" t="s">
        <v>4198</v>
      </c>
      <c r="E1713" s="8">
        <v>1</v>
      </c>
      <c r="F1713" s="7" t="s">
        <v>41</v>
      </c>
      <c r="G1713" s="7"/>
      <c r="H1713" s="9"/>
      <c r="I1713" s="9"/>
      <c r="J1713" s="9"/>
      <c r="K1713" s="9"/>
      <c r="L1713" s="10">
        <v>1533</v>
      </c>
      <c r="M1713" s="9"/>
      <c r="N1713" s="10">
        <v>1533</v>
      </c>
      <c r="O1713" s="9"/>
      <c r="P1713" s="10"/>
      <c r="Q1713" s="10"/>
      <c r="R1713" s="10"/>
      <c r="S1713" s="7" t="s">
        <v>407</v>
      </c>
      <c r="T1713" s="7" t="s">
        <v>241</v>
      </c>
      <c r="U1713" s="7" t="s">
        <v>221</v>
      </c>
      <c r="V1713" s="7" t="s">
        <v>45</v>
      </c>
      <c r="W1713" s="7" t="s">
        <v>235</v>
      </c>
      <c r="X1713" s="7" t="s">
        <v>236</v>
      </c>
      <c r="Y1713" s="7" t="s">
        <v>4199</v>
      </c>
      <c r="Z1713" s="7" t="s">
        <v>4178</v>
      </c>
      <c r="AA1713" s="7"/>
      <c r="AB1713" s="7"/>
      <c r="AC1713" s="7" t="s">
        <v>232</v>
      </c>
      <c r="AD1713" s="7"/>
      <c r="AE1713" s="7" t="s">
        <v>4200</v>
      </c>
      <c r="AF1713" s="7" t="s">
        <v>50</v>
      </c>
      <c r="AG1713" s="7" t="s">
        <v>235</v>
      </c>
      <c r="AH1713" s="7" t="s">
        <v>239</v>
      </c>
    </row>
    <row r="1714" spans="1:34" ht="9.75" customHeight="1" x14ac:dyDescent="0.2">
      <c r="A1714" s="7" t="s">
        <v>37</v>
      </c>
      <c r="B1714" s="7" t="s">
        <v>38</v>
      </c>
      <c r="C1714" s="7"/>
      <c r="D1714" s="7" t="s">
        <v>4201</v>
      </c>
      <c r="E1714" s="8">
        <v>1</v>
      </c>
      <c r="F1714" s="7" t="s">
        <v>41</v>
      </c>
      <c r="G1714" s="7"/>
      <c r="H1714" s="9"/>
      <c r="I1714" s="9"/>
      <c r="J1714" s="9"/>
      <c r="K1714" s="9"/>
      <c r="L1714" s="10">
        <v>7265</v>
      </c>
      <c r="M1714" s="9"/>
      <c r="N1714" s="10">
        <v>7265</v>
      </c>
      <c r="O1714" s="9"/>
      <c r="P1714" s="10"/>
      <c r="Q1714" s="10"/>
      <c r="R1714" s="10"/>
      <c r="S1714" s="7" t="s">
        <v>407</v>
      </c>
      <c r="T1714" s="7" t="s">
        <v>241</v>
      </c>
      <c r="U1714" s="7" t="s">
        <v>221</v>
      </c>
      <c r="V1714" s="7" t="s">
        <v>45</v>
      </c>
      <c r="W1714" s="7" t="s">
        <v>235</v>
      </c>
      <c r="X1714" s="7" t="s">
        <v>236</v>
      </c>
      <c r="Y1714" s="7" t="s">
        <v>4202</v>
      </c>
      <c r="Z1714" s="7" t="s">
        <v>4178</v>
      </c>
      <c r="AA1714" s="7"/>
      <c r="AB1714" s="7"/>
      <c r="AC1714" s="7" t="s">
        <v>232</v>
      </c>
      <c r="AD1714" s="7"/>
      <c r="AE1714" s="7" t="s">
        <v>4203</v>
      </c>
      <c r="AF1714" s="7" t="s">
        <v>50</v>
      </c>
      <c r="AG1714" s="7" t="s">
        <v>235</v>
      </c>
      <c r="AH1714" s="7" t="s">
        <v>239</v>
      </c>
    </row>
    <row r="1715" spans="1:34" ht="9.75" customHeight="1" x14ac:dyDescent="0.2">
      <c r="A1715" s="7" t="s">
        <v>37</v>
      </c>
      <c r="B1715" s="7" t="s">
        <v>38</v>
      </c>
      <c r="C1715" s="7"/>
      <c r="D1715" s="7" t="s">
        <v>4204</v>
      </c>
      <c r="E1715" s="8">
        <v>1</v>
      </c>
      <c r="F1715" s="7" t="s">
        <v>41</v>
      </c>
      <c r="G1715" s="7"/>
      <c r="H1715" s="9"/>
      <c r="I1715" s="9"/>
      <c r="J1715" s="9"/>
      <c r="K1715" s="9"/>
      <c r="L1715" s="10">
        <v>10355</v>
      </c>
      <c r="M1715" s="9"/>
      <c r="N1715" s="10">
        <v>10355</v>
      </c>
      <c r="O1715" s="9"/>
      <c r="P1715" s="10"/>
      <c r="Q1715" s="10"/>
      <c r="R1715" s="10"/>
      <c r="S1715" s="7" t="s">
        <v>407</v>
      </c>
      <c r="T1715" s="7" t="s">
        <v>241</v>
      </c>
      <c r="U1715" s="7" t="s">
        <v>221</v>
      </c>
      <c r="V1715" s="7" t="s">
        <v>45</v>
      </c>
      <c r="W1715" s="7" t="s">
        <v>235</v>
      </c>
      <c r="X1715" s="7" t="s">
        <v>236</v>
      </c>
      <c r="Y1715" s="7" t="s">
        <v>4205</v>
      </c>
      <c r="Z1715" s="7" t="s">
        <v>4206</v>
      </c>
      <c r="AA1715" s="7"/>
      <c r="AB1715" s="7"/>
      <c r="AC1715" s="7" t="s">
        <v>232</v>
      </c>
      <c r="AD1715" s="7"/>
      <c r="AE1715" s="7" t="s">
        <v>4207</v>
      </c>
      <c r="AF1715" s="7" t="s">
        <v>50</v>
      </c>
      <c r="AG1715" s="7" t="s">
        <v>235</v>
      </c>
      <c r="AH1715" s="7" t="s">
        <v>239</v>
      </c>
    </row>
    <row r="1716" spans="1:34" ht="9.75" customHeight="1" x14ac:dyDescent="0.2">
      <c r="A1716" s="7" t="s">
        <v>37</v>
      </c>
      <c r="B1716" s="7" t="s">
        <v>38</v>
      </c>
      <c r="C1716" s="7"/>
      <c r="D1716" s="7" t="s">
        <v>4208</v>
      </c>
      <c r="E1716" s="8">
        <v>1</v>
      </c>
      <c r="F1716" s="7" t="s">
        <v>41</v>
      </c>
      <c r="G1716" s="7"/>
      <c r="H1716" s="9"/>
      <c r="I1716" s="9"/>
      <c r="J1716" s="9"/>
      <c r="K1716" s="9"/>
      <c r="L1716" s="10">
        <v>1729</v>
      </c>
      <c r="M1716" s="9"/>
      <c r="N1716" s="10">
        <v>1729</v>
      </c>
      <c r="O1716" s="9"/>
      <c r="P1716" s="10"/>
      <c r="Q1716" s="10"/>
      <c r="R1716" s="10"/>
      <c r="S1716" s="7" t="s">
        <v>407</v>
      </c>
      <c r="T1716" s="7" t="s">
        <v>241</v>
      </c>
      <c r="U1716" s="7" t="s">
        <v>221</v>
      </c>
      <c r="V1716" s="7" t="s">
        <v>45</v>
      </c>
      <c r="W1716" s="7" t="s">
        <v>235</v>
      </c>
      <c r="X1716" s="7" t="s">
        <v>236</v>
      </c>
      <c r="Y1716" s="7" t="s">
        <v>4209</v>
      </c>
      <c r="Z1716" s="7" t="s">
        <v>4206</v>
      </c>
      <c r="AA1716" s="7"/>
      <c r="AB1716" s="7"/>
      <c r="AC1716" s="7" t="s">
        <v>232</v>
      </c>
      <c r="AD1716" s="7"/>
      <c r="AE1716" s="7" t="s">
        <v>4210</v>
      </c>
      <c r="AF1716" s="7" t="s">
        <v>50</v>
      </c>
      <c r="AG1716" s="7" t="s">
        <v>235</v>
      </c>
      <c r="AH1716" s="7" t="s">
        <v>239</v>
      </c>
    </row>
    <row r="1717" spans="1:34" ht="9.75" customHeight="1" x14ac:dyDescent="0.2">
      <c r="A1717" s="7" t="s">
        <v>37</v>
      </c>
      <c r="B1717" s="7" t="s">
        <v>38</v>
      </c>
      <c r="C1717" s="7"/>
      <c r="D1717" s="7" t="s">
        <v>4211</v>
      </c>
      <c r="E1717" s="8">
        <v>1</v>
      </c>
      <c r="F1717" s="7" t="s">
        <v>41</v>
      </c>
      <c r="G1717" s="7"/>
      <c r="H1717" s="9"/>
      <c r="I1717" s="9"/>
      <c r="J1717" s="9"/>
      <c r="K1717" s="9"/>
      <c r="L1717" s="10">
        <v>1157</v>
      </c>
      <c r="M1717" s="9"/>
      <c r="N1717" s="10">
        <v>1157</v>
      </c>
      <c r="O1717" s="9"/>
      <c r="P1717" s="10"/>
      <c r="Q1717" s="10"/>
      <c r="R1717" s="10"/>
      <c r="S1717" s="7" t="s">
        <v>407</v>
      </c>
      <c r="T1717" s="7" t="s">
        <v>241</v>
      </c>
      <c r="U1717" s="7" t="s">
        <v>221</v>
      </c>
      <c r="V1717" s="7" t="s">
        <v>45</v>
      </c>
      <c r="W1717" s="7" t="s">
        <v>235</v>
      </c>
      <c r="X1717" s="7" t="s">
        <v>236</v>
      </c>
      <c r="Y1717" s="7" t="s">
        <v>4212</v>
      </c>
      <c r="Z1717" s="7" t="s">
        <v>4206</v>
      </c>
      <c r="AA1717" s="7"/>
      <c r="AB1717" s="7"/>
      <c r="AC1717" s="7" t="s">
        <v>232</v>
      </c>
      <c r="AD1717" s="7"/>
      <c r="AE1717" s="7" t="s">
        <v>4213</v>
      </c>
      <c r="AF1717" s="7" t="s">
        <v>50</v>
      </c>
      <c r="AG1717" s="7" t="s">
        <v>235</v>
      </c>
      <c r="AH1717" s="7" t="s">
        <v>239</v>
      </c>
    </row>
    <row r="1718" spans="1:34" ht="9.75" customHeight="1" x14ac:dyDescent="0.2">
      <c r="A1718" s="7" t="s">
        <v>37</v>
      </c>
      <c r="B1718" s="7" t="s">
        <v>38</v>
      </c>
      <c r="C1718" s="7"/>
      <c r="D1718" s="7" t="s">
        <v>4214</v>
      </c>
      <c r="E1718" s="8">
        <v>1</v>
      </c>
      <c r="F1718" s="7" t="s">
        <v>41</v>
      </c>
      <c r="G1718" s="7"/>
      <c r="H1718" s="9"/>
      <c r="I1718" s="9"/>
      <c r="J1718" s="9"/>
      <c r="K1718" s="9"/>
      <c r="L1718" s="10">
        <v>475</v>
      </c>
      <c r="M1718" s="9"/>
      <c r="N1718" s="10">
        <v>475</v>
      </c>
      <c r="O1718" s="9"/>
      <c r="P1718" s="10"/>
      <c r="Q1718" s="10"/>
      <c r="R1718" s="10"/>
      <c r="S1718" s="7" t="s">
        <v>407</v>
      </c>
      <c r="T1718" s="7" t="s">
        <v>241</v>
      </c>
      <c r="U1718" s="7" t="s">
        <v>221</v>
      </c>
      <c r="V1718" s="7" t="s">
        <v>45</v>
      </c>
      <c r="W1718" s="7" t="s">
        <v>235</v>
      </c>
      <c r="X1718" s="7" t="s">
        <v>236</v>
      </c>
      <c r="Y1718" s="7" t="s">
        <v>4215</v>
      </c>
      <c r="Z1718" s="7" t="s">
        <v>4206</v>
      </c>
      <c r="AA1718" s="7"/>
      <c r="AB1718" s="7"/>
      <c r="AC1718" s="7" t="s">
        <v>232</v>
      </c>
      <c r="AD1718" s="7"/>
      <c r="AE1718" s="7" t="s">
        <v>4216</v>
      </c>
      <c r="AF1718" s="7" t="s">
        <v>50</v>
      </c>
      <c r="AG1718" s="7" t="s">
        <v>235</v>
      </c>
      <c r="AH1718" s="7" t="s">
        <v>239</v>
      </c>
    </row>
    <row r="1719" spans="1:34" ht="9.75" customHeight="1" x14ac:dyDescent="0.2">
      <c r="A1719" s="7" t="s">
        <v>37</v>
      </c>
      <c r="B1719" s="7" t="s">
        <v>38</v>
      </c>
      <c r="C1719" s="7"/>
      <c r="D1719" s="7" t="s">
        <v>4217</v>
      </c>
      <c r="E1719" s="8">
        <v>1</v>
      </c>
      <c r="F1719" s="7" t="s">
        <v>41</v>
      </c>
      <c r="G1719" s="7"/>
      <c r="H1719" s="9"/>
      <c r="I1719" s="9"/>
      <c r="J1719" s="9"/>
      <c r="K1719" s="9"/>
      <c r="L1719" s="10">
        <v>660</v>
      </c>
      <c r="M1719" s="9"/>
      <c r="N1719" s="10">
        <v>660</v>
      </c>
      <c r="O1719" s="9"/>
      <c r="P1719" s="10"/>
      <c r="Q1719" s="10"/>
      <c r="R1719" s="10"/>
      <c r="S1719" s="7" t="s">
        <v>407</v>
      </c>
      <c r="T1719" s="7" t="s">
        <v>241</v>
      </c>
      <c r="U1719" s="7" t="s">
        <v>221</v>
      </c>
      <c r="V1719" s="7" t="s">
        <v>45</v>
      </c>
      <c r="W1719" s="7" t="s">
        <v>235</v>
      </c>
      <c r="X1719" s="7" t="s">
        <v>236</v>
      </c>
      <c r="Y1719" s="7" t="s">
        <v>4218</v>
      </c>
      <c r="Z1719" s="7" t="s">
        <v>4206</v>
      </c>
      <c r="AA1719" s="7"/>
      <c r="AB1719" s="7"/>
      <c r="AC1719" s="7" t="s">
        <v>232</v>
      </c>
      <c r="AD1719" s="7"/>
      <c r="AE1719" s="7" t="s">
        <v>4219</v>
      </c>
      <c r="AF1719" s="7" t="s">
        <v>50</v>
      </c>
      <c r="AG1719" s="7" t="s">
        <v>235</v>
      </c>
      <c r="AH1719" s="7" t="s">
        <v>239</v>
      </c>
    </row>
    <row r="1720" spans="1:34" ht="9.75" customHeight="1" x14ac:dyDescent="0.2">
      <c r="A1720" s="7" t="s">
        <v>37</v>
      </c>
      <c r="B1720" s="7" t="s">
        <v>38</v>
      </c>
      <c r="C1720" s="7"/>
      <c r="D1720" s="7" t="s">
        <v>4220</v>
      </c>
      <c r="E1720" s="8">
        <v>1</v>
      </c>
      <c r="F1720" s="7" t="s">
        <v>41</v>
      </c>
      <c r="G1720" s="7"/>
      <c r="H1720" s="9"/>
      <c r="I1720" s="9"/>
      <c r="J1720" s="9"/>
      <c r="K1720" s="9"/>
      <c r="L1720" s="10">
        <v>1347</v>
      </c>
      <c r="M1720" s="9"/>
      <c r="N1720" s="10">
        <v>1347</v>
      </c>
      <c r="O1720" s="9"/>
      <c r="P1720" s="10"/>
      <c r="Q1720" s="10"/>
      <c r="R1720" s="10"/>
      <c r="S1720" s="7" t="s">
        <v>407</v>
      </c>
      <c r="T1720" s="7" t="s">
        <v>241</v>
      </c>
      <c r="U1720" s="7" t="s">
        <v>221</v>
      </c>
      <c r="V1720" s="7" t="s">
        <v>45</v>
      </c>
      <c r="W1720" s="7" t="s">
        <v>235</v>
      </c>
      <c r="X1720" s="7" t="s">
        <v>236</v>
      </c>
      <c r="Y1720" s="7" t="s">
        <v>4221</v>
      </c>
      <c r="Z1720" s="7" t="s">
        <v>4222</v>
      </c>
      <c r="AA1720" s="7"/>
      <c r="AB1720" s="7"/>
      <c r="AC1720" s="7" t="s">
        <v>232</v>
      </c>
      <c r="AD1720" s="7"/>
      <c r="AE1720" s="7"/>
      <c r="AF1720" s="7" t="s">
        <v>50</v>
      </c>
      <c r="AG1720" s="7" t="s">
        <v>235</v>
      </c>
      <c r="AH1720" s="7" t="s">
        <v>239</v>
      </c>
    </row>
    <row r="1721" spans="1:34" ht="9.75" customHeight="1" x14ac:dyDescent="0.2">
      <c r="A1721" s="7" t="s">
        <v>37</v>
      </c>
      <c r="B1721" s="7" t="s">
        <v>38</v>
      </c>
      <c r="C1721" s="7"/>
      <c r="D1721" s="7" t="s">
        <v>4223</v>
      </c>
      <c r="E1721" s="8">
        <v>1</v>
      </c>
      <c r="F1721" s="7" t="s">
        <v>41</v>
      </c>
      <c r="G1721" s="7"/>
      <c r="H1721" s="9"/>
      <c r="I1721" s="9"/>
      <c r="J1721" s="9"/>
      <c r="K1721" s="9"/>
      <c r="L1721" s="10">
        <v>102</v>
      </c>
      <c r="M1721" s="9"/>
      <c r="N1721" s="10">
        <v>102</v>
      </c>
      <c r="O1721" s="9"/>
      <c r="P1721" s="10"/>
      <c r="Q1721" s="10"/>
      <c r="R1721" s="10"/>
      <c r="S1721" s="7" t="s">
        <v>407</v>
      </c>
      <c r="T1721" s="7" t="s">
        <v>241</v>
      </c>
      <c r="U1721" s="7" t="s">
        <v>221</v>
      </c>
      <c r="V1721" s="7" t="s">
        <v>45</v>
      </c>
      <c r="W1721" s="7" t="s">
        <v>235</v>
      </c>
      <c r="X1721" s="7" t="s">
        <v>236</v>
      </c>
      <c r="Y1721" s="7" t="s">
        <v>4224</v>
      </c>
      <c r="Z1721" s="7" t="s">
        <v>4222</v>
      </c>
      <c r="AA1721" s="7"/>
      <c r="AB1721" s="7"/>
      <c r="AC1721" s="7" t="s">
        <v>232</v>
      </c>
      <c r="AD1721" s="7"/>
      <c r="AE1721" s="7"/>
      <c r="AF1721" s="7" t="s">
        <v>50</v>
      </c>
      <c r="AG1721" s="7" t="s">
        <v>235</v>
      </c>
      <c r="AH1721" s="7" t="s">
        <v>239</v>
      </c>
    </row>
    <row r="1722" spans="1:34" ht="9.75" customHeight="1" x14ac:dyDescent="0.2">
      <c r="A1722" s="7" t="s">
        <v>37</v>
      </c>
      <c r="B1722" s="7" t="s">
        <v>38</v>
      </c>
      <c r="C1722" s="7"/>
      <c r="D1722" s="7" t="s">
        <v>4225</v>
      </c>
      <c r="E1722" s="8">
        <v>1</v>
      </c>
      <c r="F1722" s="7" t="s">
        <v>41</v>
      </c>
      <c r="G1722" s="7"/>
      <c r="H1722" s="9"/>
      <c r="I1722" s="9"/>
      <c r="J1722" s="9"/>
      <c r="K1722" s="9"/>
      <c r="L1722" s="10">
        <v>2035</v>
      </c>
      <c r="M1722" s="9"/>
      <c r="N1722" s="10">
        <v>2035</v>
      </c>
      <c r="O1722" s="9"/>
      <c r="P1722" s="10"/>
      <c r="Q1722" s="10"/>
      <c r="R1722" s="10"/>
      <c r="S1722" s="7" t="s">
        <v>407</v>
      </c>
      <c r="T1722" s="7" t="s">
        <v>241</v>
      </c>
      <c r="U1722" s="7" t="s">
        <v>221</v>
      </c>
      <c r="V1722" s="7" t="s">
        <v>45</v>
      </c>
      <c r="W1722" s="7" t="s">
        <v>235</v>
      </c>
      <c r="X1722" s="7" t="s">
        <v>236</v>
      </c>
      <c r="Y1722" s="7" t="s">
        <v>4226</v>
      </c>
      <c r="Z1722" s="7" t="s">
        <v>4222</v>
      </c>
      <c r="AA1722" s="7"/>
      <c r="AB1722" s="7"/>
      <c r="AC1722" s="7" t="s">
        <v>232</v>
      </c>
      <c r="AD1722" s="7"/>
      <c r="AE1722" s="7"/>
      <c r="AF1722" s="7" t="s">
        <v>50</v>
      </c>
      <c r="AG1722" s="7" t="s">
        <v>235</v>
      </c>
      <c r="AH1722" s="7" t="s">
        <v>239</v>
      </c>
    </row>
    <row r="1723" spans="1:34" ht="9.75" customHeight="1" x14ac:dyDescent="0.2">
      <c r="A1723" s="7" t="s">
        <v>37</v>
      </c>
      <c r="B1723" s="7" t="s">
        <v>38</v>
      </c>
      <c r="C1723" s="7"/>
      <c r="D1723" s="7" t="s">
        <v>4227</v>
      </c>
      <c r="E1723" s="8">
        <v>1</v>
      </c>
      <c r="F1723" s="7" t="s">
        <v>41</v>
      </c>
      <c r="G1723" s="7"/>
      <c r="H1723" s="9"/>
      <c r="I1723" s="9"/>
      <c r="J1723" s="9"/>
      <c r="K1723" s="9"/>
      <c r="L1723" s="10">
        <v>2715</v>
      </c>
      <c r="M1723" s="9"/>
      <c r="N1723" s="10">
        <v>2715</v>
      </c>
      <c r="O1723" s="9"/>
      <c r="P1723" s="10"/>
      <c r="Q1723" s="10"/>
      <c r="R1723" s="10"/>
      <c r="S1723" s="7" t="s">
        <v>407</v>
      </c>
      <c r="T1723" s="7" t="s">
        <v>241</v>
      </c>
      <c r="U1723" s="7" t="s">
        <v>221</v>
      </c>
      <c r="V1723" s="7" t="s">
        <v>45</v>
      </c>
      <c r="W1723" s="7" t="s">
        <v>235</v>
      </c>
      <c r="X1723" s="7" t="s">
        <v>236</v>
      </c>
      <c r="Y1723" s="7" t="s">
        <v>4228</v>
      </c>
      <c r="Z1723" s="7" t="s">
        <v>4222</v>
      </c>
      <c r="AA1723" s="7"/>
      <c r="AB1723" s="7"/>
      <c r="AC1723" s="7" t="s">
        <v>232</v>
      </c>
      <c r="AD1723" s="7"/>
      <c r="AE1723" s="7"/>
      <c r="AF1723" s="7" t="s">
        <v>50</v>
      </c>
      <c r="AG1723" s="7" t="s">
        <v>235</v>
      </c>
      <c r="AH1723" s="7" t="s">
        <v>239</v>
      </c>
    </row>
    <row r="1724" spans="1:34" ht="9.75" customHeight="1" x14ac:dyDescent="0.2">
      <c r="A1724" s="7" t="s">
        <v>37</v>
      </c>
      <c r="B1724" s="7" t="s">
        <v>38</v>
      </c>
      <c r="C1724" s="7"/>
      <c r="D1724" s="7" t="s">
        <v>4229</v>
      </c>
      <c r="E1724" s="8">
        <v>1</v>
      </c>
      <c r="F1724" s="7" t="s">
        <v>41</v>
      </c>
      <c r="G1724" s="7"/>
      <c r="H1724" s="9"/>
      <c r="I1724" s="9"/>
      <c r="J1724" s="9"/>
      <c r="K1724" s="9"/>
      <c r="L1724" s="10">
        <v>375</v>
      </c>
      <c r="M1724" s="9"/>
      <c r="N1724" s="10">
        <v>375</v>
      </c>
      <c r="O1724" s="9"/>
      <c r="P1724" s="10"/>
      <c r="Q1724" s="10"/>
      <c r="R1724" s="10"/>
      <c r="S1724" s="7" t="s">
        <v>407</v>
      </c>
      <c r="T1724" s="7" t="s">
        <v>241</v>
      </c>
      <c r="U1724" s="7" t="s">
        <v>221</v>
      </c>
      <c r="V1724" s="7" t="s">
        <v>45</v>
      </c>
      <c r="W1724" s="7" t="s">
        <v>235</v>
      </c>
      <c r="X1724" s="7" t="s">
        <v>236</v>
      </c>
      <c r="Y1724" s="7" t="s">
        <v>4230</v>
      </c>
      <c r="Z1724" s="7" t="s">
        <v>4222</v>
      </c>
      <c r="AA1724" s="7"/>
      <c r="AB1724" s="7"/>
      <c r="AC1724" s="7" t="s">
        <v>232</v>
      </c>
      <c r="AD1724" s="7"/>
      <c r="AE1724" s="7"/>
      <c r="AF1724" s="7" t="s">
        <v>50</v>
      </c>
      <c r="AG1724" s="7" t="s">
        <v>235</v>
      </c>
      <c r="AH1724" s="7" t="s">
        <v>239</v>
      </c>
    </row>
    <row r="1725" spans="1:34" ht="9.75" customHeight="1" x14ac:dyDescent="0.2">
      <c r="A1725" s="7" t="s">
        <v>37</v>
      </c>
      <c r="B1725" s="7" t="s">
        <v>38</v>
      </c>
      <c r="C1725" s="7"/>
      <c r="D1725" s="7" t="s">
        <v>4231</v>
      </c>
      <c r="E1725" s="8">
        <v>1</v>
      </c>
      <c r="F1725" s="7" t="s">
        <v>41</v>
      </c>
      <c r="G1725" s="7"/>
      <c r="H1725" s="9"/>
      <c r="I1725" s="9"/>
      <c r="J1725" s="9"/>
      <c r="K1725" s="9"/>
      <c r="L1725" s="10">
        <v>3766</v>
      </c>
      <c r="M1725" s="9"/>
      <c r="N1725" s="10">
        <v>3766</v>
      </c>
      <c r="O1725" s="9"/>
      <c r="P1725" s="10"/>
      <c r="Q1725" s="10"/>
      <c r="R1725" s="10"/>
      <c r="S1725" s="7" t="s">
        <v>407</v>
      </c>
      <c r="T1725" s="7" t="s">
        <v>241</v>
      </c>
      <c r="U1725" s="7" t="s">
        <v>221</v>
      </c>
      <c r="V1725" s="7" t="s">
        <v>45</v>
      </c>
      <c r="W1725" s="7" t="s">
        <v>235</v>
      </c>
      <c r="X1725" s="7" t="s">
        <v>236</v>
      </c>
      <c r="Y1725" s="7" t="s">
        <v>4232</v>
      </c>
      <c r="Z1725" s="7" t="s">
        <v>4233</v>
      </c>
      <c r="AA1725" s="7"/>
      <c r="AB1725" s="7"/>
      <c r="AC1725" s="7" t="s">
        <v>232</v>
      </c>
      <c r="AD1725" s="7"/>
      <c r="AE1725" s="7"/>
      <c r="AF1725" s="7" t="s">
        <v>50</v>
      </c>
      <c r="AG1725" s="7" t="s">
        <v>235</v>
      </c>
      <c r="AH1725" s="7" t="s">
        <v>239</v>
      </c>
    </row>
    <row r="1726" spans="1:34" ht="9.75" customHeight="1" x14ac:dyDescent="0.2">
      <c r="A1726" s="7" t="s">
        <v>37</v>
      </c>
      <c r="B1726" s="7" t="s">
        <v>38</v>
      </c>
      <c r="C1726" s="7"/>
      <c r="D1726" s="7" t="s">
        <v>4234</v>
      </c>
      <c r="E1726" s="8">
        <v>1</v>
      </c>
      <c r="F1726" s="7" t="s">
        <v>41</v>
      </c>
      <c r="G1726" s="7"/>
      <c r="H1726" s="9"/>
      <c r="I1726" s="9"/>
      <c r="J1726" s="9"/>
      <c r="K1726" s="9"/>
      <c r="L1726" s="10">
        <v>6000</v>
      </c>
      <c r="M1726" s="9"/>
      <c r="N1726" s="10">
        <v>6000</v>
      </c>
      <c r="O1726" s="9"/>
      <c r="P1726" s="10"/>
      <c r="Q1726" s="10"/>
      <c r="R1726" s="10"/>
      <c r="S1726" s="7" t="s">
        <v>407</v>
      </c>
      <c r="T1726" s="7" t="s">
        <v>241</v>
      </c>
      <c r="U1726" s="7" t="s">
        <v>221</v>
      </c>
      <c r="V1726" s="7" t="s">
        <v>45</v>
      </c>
      <c r="W1726" s="7" t="s">
        <v>235</v>
      </c>
      <c r="X1726" s="7" t="s">
        <v>236</v>
      </c>
      <c r="Y1726" s="7" t="s">
        <v>4235</v>
      </c>
      <c r="Z1726" s="7" t="s">
        <v>4233</v>
      </c>
      <c r="AA1726" s="7"/>
      <c r="AB1726" s="7"/>
      <c r="AC1726" s="7" t="s">
        <v>232</v>
      </c>
      <c r="AD1726" s="7"/>
      <c r="AE1726" s="7"/>
      <c r="AF1726" s="7" t="s">
        <v>50</v>
      </c>
      <c r="AG1726" s="7" t="s">
        <v>235</v>
      </c>
      <c r="AH1726" s="7" t="s">
        <v>239</v>
      </c>
    </row>
    <row r="1727" spans="1:34" ht="9.75" customHeight="1" x14ac:dyDescent="0.2">
      <c r="A1727" s="7" t="s">
        <v>37</v>
      </c>
      <c r="B1727" s="7" t="s">
        <v>38</v>
      </c>
      <c r="C1727" s="7"/>
      <c r="D1727" s="7" t="s">
        <v>4236</v>
      </c>
      <c r="E1727" s="8">
        <v>1</v>
      </c>
      <c r="F1727" s="7" t="s">
        <v>41</v>
      </c>
      <c r="G1727" s="7"/>
      <c r="H1727" s="9"/>
      <c r="I1727" s="9"/>
      <c r="J1727" s="9"/>
      <c r="K1727" s="9"/>
      <c r="L1727" s="10">
        <v>3039</v>
      </c>
      <c r="M1727" s="9"/>
      <c r="N1727" s="10">
        <v>3039</v>
      </c>
      <c r="O1727" s="9"/>
      <c r="P1727" s="10"/>
      <c r="Q1727" s="10"/>
      <c r="R1727" s="10"/>
      <c r="S1727" s="7" t="s">
        <v>407</v>
      </c>
      <c r="T1727" s="7" t="s">
        <v>241</v>
      </c>
      <c r="U1727" s="7" t="s">
        <v>221</v>
      </c>
      <c r="V1727" s="7" t="s">
        <v>45</v>
      </c>
      <c r="W1727" s="7" t="s">
        <v>235</v>
      </c>
      <c r="X1727" s="7" t="s">
        <v>236</v>
      </c>
      <c r="Y1727" s="7" t="s">
        <v>4237</v>
      </c>
      <c r="Z1727" s="7" t="s">
        <v>4233</v>
      </c>
      <c r="AA1727" s="7"/>
      <c r="AB1727" s="7"/>
      <c r="AC1727" s="7" t="s">
        <v>232</v>
      </c>
      <c r="AD1727" s="7"/>
      <c r="AE1727" s="7"/>
      <c r="AF1727" s="7" t="s">
        <v>50</v>
      </c>
      <c r="AG1727" s="7" t="s">
        <v>235</v>
      </c>
      <c r="AH1727" s="7" t="s">
        <v>239</v>
      </c>
    </row>
    <row r="1728" spans="1:34" ht="9.75" customHeight="1" x14ac:dyDescent="0.2">
      <c r="A1728" s="7" t="s">
        <v>37</v>
      </c>
      <c r="B1728" s="7" t="s">
        <v>38</v>
      </c>
      <c r="C1728" s="7"/>
      <c r="D1728" s="7" t="s">
        <v>4238</v>
      </c>
      <c r="E1728" s="8">
        <v>1</v>
      </c>
      <c r="F1728" s="7" t="s">
        <v>41</v>
      </c>
      <c r="G1728" s="7"/>
      <c r="H1728" s="9"/>
      <c r="I1728" s="9"/>
      <c r="J1728" s="9"/>
      <c r="K1728" s="9"/>
      <c r="L1728" s="10">
        <v>2432</v>
      </c>
      <c r="M1728" s="9"/>
      <c r="N1728" s="10">
        <v>2432</v>
      </c>
      <c r="O1728" s="9"/>
      <c r="P1728" s="10"/>
      <c r="Q1728" s="10"/>
      <c r="R1728" s="10"/>
      <c r="S1728" s="7" t="s">
        <v>407</v>
      </c>
      <c r="T1728" s="7" t="s">
        <v>241</v>
      </c>
      <c r="U1728" s="7" t="s">
        <v>221</v>
      </c>
      <c r="V1728" s="7" t="s">
        <v>45</v>
      </c>
      <c r="W1728" s="7" t="s">
        <v>235</v>
      </c>
      <c r="X1728" s="7" t="s">
        <v>236</v>
      </c>
      <c r="Y1728" s="7" t="s">
        <v>4239</v>
      </c>
      <c r="Z1728" s="7" t="s">
        <v>4233</v>
      </c>
      <c r="AA1728" s="7"/>
      <c r="AB1728" s="7"/>
      <c r="AC1728" s="7" t="s">
        <v>232</v>
      </c>
      <c r="AD1728" s="7"/>
      <c r="AE1728" s="7"/>
      <c r="AF1728" s="7" t="s">
        <v>50</v>
      </c>
      <c r="AG1728" s="7" t="s">
        <v>235</v>
      </c>
      <c r="AH1728" s="7" t="s">
        <v>239</v>
      </c>
    </row>
    <row r="1729" spans="1:34" ht="9.75" customHeight="1" x14ac:dyDescent="0.2">
      <c r="A1729" s="7" t="s">
        <v>37</v>
      </c>
      <c r="B1729" s="7" t="s">
        <v>38</v>
      </c>
      <c r="C1729" s="7"/>
      <c r="D1729" s="7" t="s">
        <v>4240</v>
      </c>
      <c r="E1729" s="8">
        <v>1</v>
      </c>
      <c r="F1729" s="7" t="s">
        <v>41</v>
      </c>
      <c r="G1729" s="7"/>
      <c r="H1729" s="9"/>
      <c r="I1729" s="9"/>
      <c r="J1729" s="9"/>
      <c r="K1729" s="9"/>
      <c r="L1729" s="10">
        <v>661</v>
      </c>
      <c r="M1729" s="9"/>
      <c r="N1729" s="10">
        <v>661</v>
      </c>
      <c r="O1729" s="9"/>
      <c r="P1729" s="10"/>
      <c r="Q1729" s="10"/>
      <c r="R1729" s="10"/>
      <c r="S1729" s="7" t="s">
        <v>407</v>
      </c>
      <c r="T1729" s="7" t="s">
        <v>241</v>
      </c>
      <c r="U1729" s="7" t="s">
        <v>221</v>
      </c>
      <c r="V1729" s="7" t="s">
        <v>45</v>
      </c>
      <c r="W1729" s="7" t="s">
        <v>235</v>
      </c>
      <c r="X1729" s="7" t="s">
        <v>236</v>
      </c>
      <c r="Y1729" s="7" t="s">
        <v>4241</v>
      </c>
      <c r="Z1729" s="7" t="s">
        <v>4233</v>
      </c>
      <c r="AA1729" s="7"/>
      <c r="AB1729" s="7"/>
      <c r="AC1729" s="7" t="s">
        <v>232</v>
      </c>
      <c r="AD1729" s="7"/>
      <c r="AE1729" s="7"/>
      <c r="AF1729" s="7" t="s">
        <v>50</v>
      </c>
      <c r="AG1729" s="7" t="s">
        <v>235</v>
      </c>
      <c r="AH1729" s="7" t="s">
        <v>239</v>
      </c>
    </row>
    <row r="1730" spans="1:34" ht="9.75" customHeight="1" x14ac:dyDescent="0.2">
      <c r="A1730" s="7" t="s">
        <v>37</v>
      </c>
      <c r="B1730" s="7" t="s">
        <v>38</v>
      </c>
      <c r="C1730" s="7"/>
      <c r="D1730" s="7" t="s">
        <v>4242</v>
      </c>
      <c r="E1730" s="8">
        <v>1</v>
      </c>
      <c r="F1730" s="7" t="s">
        <v>41</v>
      </c>
      <c r="G1730" s="7"/>
      <c r="H1730" s="9"/>
      <c r="I1730" s="9"/>
      <c r="J1730" s="9"/>
      <c r="K1730" s="9"/>
      <c r="L1730" s="10">
        <v>854</v>
      </c>
      <c r="M1730" s="9"/>
      <c r="N1730" s="10">
        <v>854</v>
      </c>
      <c r="O1730" s="9"/>
      <c r="P1730" s="10"/>
      <c r="Q1730" s="10"/>
      <c r="R1730" s="10"/>
      <c r="S1730" s="7" t="s">
        <v>407</v>
      </c>
      <c r="T1730" s="7" t="s">
        <v>241</v>
      </c>
      <c r="U1730" s="7" t="s">
        <v>221</v>
      </c>
      <c r="V1730" s="7" t="s">
        <v>45</v>
      </c>
      <c r="W1730" s="7" t="s">
        <v>235</v>
      </c>
      <c r="X1730" s="7" t="s">
        <v>236</v>
      </c>
      <c r="Y1730" s="7" t="s">
        <v>4243</v>
      </c>
      <c r="Z1730" s="7" t="s">
        <v>4233</v>
      </c>
      <c r="AA1730" s="7"/>
      <c r="AB1730" s="7"/>
      <c r="AC1730" s="7" t="s">
        <v>232</v>
      </c>
      <c r="AD1730" s="7"/>
      <c r="AE1730" s="7"/>
      <c r="AF1730" s="7" t="s">
        <v>50</v>
      </c>
      <c r="AG1730" s="7" t="s">
        <v>235</v>
      </c>
      <c r="AH1730" s="7" t="s">
        <v>239</v>
      </c>
    </row>
    <row r="1731" spans="1:34" ht="9.75" customHeight="1" x14ac:dyDescent="0.2">
      <c r="A1731" s="7" t="s">
        <v>37</v>
      </c>
      <c r="B1731" s="7" t="s">
        <v>38</v>
      </c>
      <c r="C1731" s="7"/>
      <c r="D1731" s="7" t="s">
        <v>4244</v>
      </c>
      <c r="E1731" s="8">
        <v>1</v>
      </c>
      <c r="F1731" s="7" t="s">
        <v>41</v>
      </c>
      <c r="G1731" s="7"/>
      <c r="H1731" s="9"/>
      <c r="I1731" s="9"/>
      <c r="J1731" s="9"/>
      <c r="K1731" s="9"/>
      <c r="L1731" s="10">
        <v>1077</v>
      </c>
      <c r="M1731" s="9"/>
      <c r="N1731" s="10">
        <v>1077</v>
      </c>
      <c r="O1731" s="9"/>
      <c r="P1731" s="10"/>
      <c r="Q1731" s="10"/>
      <c r="R1731" s="10"/>
      <c r="S1731" s="7" t="s">
        <v>407</v>
      </c>
      <c r="T1731" s="7" t="s">
        <v>241</v>
      </c>
      <c r="U1731" s="7" t="s">
        <v>221</v>
      </c>
      <c r="V1731" s="7" t="s">
        <v>45</v>
      </c>
      <c r="W1731" s="7" t="s">
        <v>235</v>
      </c>
      <c r="X1731" s="7" t="s">
        <v>236</v>
      </c>
      <c r="Y1731" s="7" t="s">
        <v>4245</v>
      </c>
      <c r="Z1731" s="7" t="s">
        <v>4233</v>
      </c>
      <c r="AA1731" s="7"/>
      <c r="AB1731" s="7"/>
      <c r="AC1731" s="7" t="s">
        <v>232</v>
      </c>
      <c r="AD1731" s="7"/>
      <c r="AE1731" s="7"/>
      <c r="AF1731" s="7" t="s">
        <v>50</v>
      </c>
      <c r="AG1731" s="7" t="s">
        <v>235</v>
      </c>
      <c r="AH1731" s="7" t="s">
        <v>239</v>
      </c>
    </row>
    <row r="1732" spans="1:34" ht="9.75" customHeight="1" x14ac:dyDescent="0.2">
      <c r="A1732" s="7" t="s">
        <v>37</v>
      </c>
      <c r="B1732" s="7" t="s">
        <v>38</v>
      </c>
      <c r="C1732" s="7"/>
      <c r="D1732" s="7" t="s">
        <v>4246</v>
      </c>
      <c r="E1732" s="8">
        <v>1</v>
      </c>
      <c r="F1732" s="7" t="s">
        <v>41</v>
      </c>
      <c r="G1732" s="7"/>
      <c r="H1732" s="9"/>
      <c r="I1732" s="9"/>
      <c r="J1732" s="9"/>
      <c r="K1732" s="9"/>
      <c r="L1732" s="10">
        <v>113906</v>
      </c>
      <c r="M1732" s="9"/>
      <c r="N1732" s="10">
        <v>113906</v>
      </c>
      <c r="O1732" s="9"/>
      <c r="P1732" s="10"/>
      <c r="Q1732" s="10"/>
      <c r="R1732" s="10"/>
      <c r="S1732" s="7" t="s">
        <v>407</v>
      </c>
      <c r="T1732" s="7" t="s">
        <v>256</v>
      </c>
      <c r="U1732" s="7" t="s">
        <v>221</v>
      </c>
      <c r="V1732" s="7" t="s">
        <v>45</v>
      </c>
      <c r="W1732" s="7" t="s">
        <v>249</v>
      </c>
      <c r="X1732" s="7" t="s">
        <v>250</v>
      </c>
      <c r="Y1732" s="7" t="s">
        <v>4247</v>
      </c>
      <c r="Z1732" s="7" t="s">
        <v>4248</v>
      </c>
      <c r="AA1732" s="7"/>
      <c r="AB1732" s="7"/>
      <c r="AC1732" s="7" t="s">
        <v>246</v>
      </c>
      <c r="AD1732" s="7"/>
      <c r="AE1732" s="7" t="s">
        <v>410</v>
      </c>
      <c r="AF1732" s="7" t="s">
        <v>50</v>
      </c>
      <c r="AG1732" s="7" t="s">
        <v>253</v>
      </c>
      <c r="AH1732" s="7" t="s">
        <v>254</v>
      </c>
    </row>
    <row r="1733" spans="1:34" ht="9.75" customHeight="1" x14ac:dyDescent="0.2">
      <c r="A1733" s="7" t="s">
        <v>37</v>
      </c>
      <c r="B1733" s="7" t="s">
        <v>38</v>
      </c>
      <c r="C1733" s="7"/>
      <c r="D1733" s="7" t="s">
        <v>4249</v>
      </c>
      <c r="E1733" s="8">
        <v>1</v>
      </c>
      <c r="F1733" s="7" t="s">
        <v>41</v>
      </c>
      <c r="G1733" s="7"/>
      <c r="H1733" s="9"/>
      <c r="I1733" s="10">
        <v>528974</v>
      </c>
      <c r="J1733" s="9"/>
      <c r="K1733" s="9"/>
      <c r="L1733" s="10">
        <v>460560</v>
      </c>
      <c r="M1733" s="9"/>
      <c r="N1733" s="10">
        <v>460560</v>
      </c>
      <c r="O1733" s="9"/>
      <c r="P1733" s="10"/>
      <c r="Q1733" s="10"/>
      <c r="R1733" s="10"/>
      <c r="S1733" s="7" t="s">
        <v>407</v>
      </c>
      <c r="T1733" s="7" t="s">
        <v>256</v>
      </c>
      <c r="U1733" s="7" t="s">
        <v>221</v>
      </c>
      <c r="V1733" s="7" t="s">
        <v>45</v>
      </c>
      <c r="W1733" s="7" t="s">
        <v>249</v>
      </c>
      <c r="X1733" s="7" t="s">
        <v>250</v>
      </c>
      <c r="Y1733" s="7" t="s">
        <v>4250</v>
      </c>
      <c r="Z1733" s="7" t="s">
        <v>4248</v>
      </c>
      <c r="AA1733" s="7"/>
      <c r="AB1733" s="7"/>
      <c r="AC1733" s="7" t="s">
        <v>246</v>
      </c>
      <c r="AD1733" s="7"/>
      <c r="AE1733" s="7" t="s">
        <v>207</v>
      </c>
      <c r="AF1733" s="7" t="s">
        <v>50</v>
      </c>
      <c r="AG1733" s="7" t="s">
        <v>253</v>
      </c>
      <c r="AH1733" s="7" t="s">
        <v>254</v>
      </c>
    </row>
    <row r="1734" spans="1:34" ht="9.75" customHeight="1" x14ac:dyDescent="0.2">
      <c r="A1734" s="7" t="s">
        <v>37</v>
      </c>
      <c r="B1734" s="7" t="s">
        <v>38</v>
      </c>
      <c r="C1734" s="7"/>
      <c r="D1734" s="7" t="s">
        <v>4251</v>
      </c>
      <c r="E1734" s="8">
        <v>1</v>
      </c>
      <c r="F1734" s="7" t="s">
        <v>41</v>
      </c>
      <c r="G1734" s="7"/>
      <c r="H1734" s="9"/>
      <c r="I1734" s="10">
        <v>11470</v>
      </c>
      <c r="J1734" s="9"/>
      <c r="K1734" s="9"/>
      <c r="L1734" s="10">
        <v>13662</v>
      </c>
      <c r="M1734" s="9"/>
      <c r="N1734" s="10">
        <v>13662</v>
      </c>
      <c r="O1734" s="9"/>
      <c r="P1734" s="10"/>
      <c r="Q1734" s="10"/>
      <c r="R1734" s="10"/>
      <c r="S1734" s="7" t="s">
        <v>407</v>
      </c>
      <c r="T1734" s="7" t="s">
        <v>256</v>
      </c>
      <c r="U1734" s="7" t="s">
        <v>221</v>
      </c>
      <c r="V1734" s="7" t="s">
        <v>45</v>
      </c>
      <c r="W1734" s="7" t="s">
        <v>249</v>
      </c>
      <c r="X1734" s="7" t="s">
        <v>250</v>
      </c>
      <c r="Y1734" s="7" t="s">
        <v>4252</v>
      </c>
      <c r="Z1734" s="7" t="s">
        <v>4248</v>
      </c>
      <c r="AA1734" s="7"/>
      <c r="AB1734" s="7"/>
      <c r="AC1734" s="7" t="s">
        <v>246</v>
      </c>
      <c r="AD1734" s="7"/>
      <c r="AE1734" s="7" t="s">
        <v>415</v>
      </c>
      <c r="AF1734" s="7" t="s">
        <v>50</v>
      </c>
      <c r="AG1734" s="7" t="s">
        <v>253</v>
      </c>
      <c r="AH1734" s="7" t="s">
        <v>254</v>
      </c>
    </row>
    <row r="1735" spans="1:34" ht="9.75" customHeight="1" x14ac:dyDescent="0.2">
      <c r="A1735" s="7" t="s">
        <v>37</v>
      </c>
      <c r="B1735" s="7" t="s">
        <v>38</v>
      </c>
      <c r="C1735" s="7"/>
      <c r="D1735" s="7" t="s">
        <v>4253</v>
      </c>
      <c r="E1735" s="8">
        <v>1</v>
      </c>
      <c r="F1735" s="7" t="s">
        <v>41</v>
      </c>
      <c r="G1735" s="7"/>
      <c r="H1735" s="9"/>
      <c r="I1735" s="10">
        <v>105000</v>
      </c>
      <c r="J1735" s="9"/>
      <c r="K1735" s="9"/>
      <c r="L1735" s="10">
        <v>115983</v>
      </c>
      <c r="M1735" s="9"/>
      <c r="N1735" s="10">
        <v>115983</v>
      </c>
      <c r="O1735" s="9"/>
      <c r="P1735" s="10"/>
      <c r="Q1735" s="10"/>
      <c r="R1735" s="10"/>
      <c r="S1735" s="7" t="s">
        <v>407</v>
      </c>
      <c r="T1735" s="7" t="s">
        <v>256</v>
      </c>
      <c r="U1735" s="7" t="s">
        <v>221</v>
      </c>
      <c r="V1735" s="7" t="s">
        <v>45</v>
      </c>
      <c r="W1735" s="7" t="s">
        <v>249</v>
      </c>
      <c r="X1735" s="7" t="s">
        <v>250</v>
      </c>
      <c r="Y1735" s="7" t="s">
        <v>4254</v>
      </c>
      <c r="Z1735" s="7" t="s">
        <v>4248</v>
      </c>
      <c r="AA1735" s="7"/>
      <c r="AB1735" s="7"/>
      <c r="AC1735" s="7" t="s">
        <v>246</v>
      </c>
      <c r="AD1735" s="7"/>
      <c r="AE1735" s="7"/>
      <c r="AF1735" s="7" t="s">
        <v>50</v>
      </c>
      <c r="AG1735" s="7" t="s">
        <v>253</v>
      </c>
      <c r="AH1735" s="7" t="s">
        <v>254</v>
      </c>
    </row>
    <row r="1736" spans="1:34" ht="9.75" customHeight="1" x14ac:dyDescent="0.2">
      <c r="A1736" s="7" t="s">
        <v>37</v>
      </c>
      <c r="B1736" s="7" t="s">
        <v>38</v>
      </c>
      <c r="C1736" s="7"/>
      <c r="D1736" s="7" t="s">
        <v>4255</v>
      </c>
      <c r="E1736" s="8">
        <v>1</v>
      </c>
      <c r="F1736" s="7" t="s">
        <v>41</v>
      </c>
      <c r="G1736" s="7"/>
      <c r="H1736" s="9"/>
      <c r="I1736" s="10">
        <v>30200</v>
      </c>
      <c r="J1736" s="9"/>
      <c r="K1736" s="9"/>
      <c r="L1736" s="10">
        <v>22000</v>
      </c>
      <c r="M1736" s="9"/>
      <c r="N1736" s="10">
        <v>22000</v>
      </c>
      <c r="O1736" s="9"/>
      <c r="P1736" s="10"/>
      <c r="Q1736" s="10"/>
      <c r="R1736" s="10"/>
      <c r="S1736" s="7" t="s">
        <v>407</v>
      </c>
      <c r="T1736" s="7" t="s">
        <v>256</v>
      </c>
      <c r="U1736" s="7" t="s">
        <v>221</v>
      </c>
      <c r="V1736" s="7" t="s">
        <v>45</v>
      </c>
      <c r="W1736" s="7" t="s">
        <v>249</v>
      </c>
      <c r="X1736" s="7" t="s">
        <v>250</v>
      </c>
      <c r="Y1736" s="7" t="s">
        <v>4256</v>
      </c>
      <c r="Z1736" s="7" t="s">
        <v>4248</v>
      </c>
      <c r="AA1736" s="7"/>
      <c r="AB1736" s="7"/>
      <c r="AC1736" s="7" t="s">
        <v>246</v>
      </c>
      <c r="AD1736" s="7"/>
      <c r="AE1736" s="7" t="s">
        <v>4257</v>
      </c>
      <c r="AF1736" s="7" t="s">
        <v>50</v>
      </c>
      <c r="AG1736" s="7" t="s">
        <v>253</v>
      </c>
      <c r="AH1736" s="7" t="s">
        <v>254</v>
      </c>
    </row>
    <row r="1737" spans="1:34" ht="9.75" customHeight="1" x14ac:dyDescent="0.2">
      <c r="A1737" s="7" t="s">
        <v>37</v>
      </c>
      <c r="B1737" s="7" t="s">
        <v>38</v>
      </c>
      <c r="C1737" s="7"/>
      <c r="D1737" s="7" t="s">
        <v>4258</v>
      </c>
      <c r="E1737" s="8">
        <v>1</v>
      </c>
      <c r="F1737" s="7" t="s">
        <v>41</v>
      </c>
      <c r="G1737" s="7"/>
      <c r="H1737" s="9"/>
      <c r="I1737" s="10">
        <v>33747</v>
      </c>
      <c r="J1737" s="9"/>
      <c r="K1737" s="9"/>
      <c r="L1737" s="10">
        <v>26468</v>
      </c>
      <c r="M1737" s="9"/>
      <c r="N1737" s="10">
        <v>26468</v>
      </c>
      <c r="O1737" s="9"/>
      <c r="P1737" s="10"/>
      <c r="Q1737" s="10"/>
      <c r="R1737" s="10"/>
      <c r="S1737" s="7" t="s">
        <v>407</v>
      </c>
      <c r="T1737" s="7" t="s">
        <v>256</v>
      </c>
      <c r="U1737" s="7" t="s">
        <v>221</v>
      </c>
      <c r="V1737" s="7" t="s">
        <v>45</v>
      </c>
      <c r="W1737" s="7" t="s">
        <v>249</v>
      </c>
      <c r="X1737" s="7" t="s">
        <v>250</v>
      </c>
      <c r="Y1737" s="7" t="s">
        <v>4259</v>
      </c>
      <c r="Z1737" s="7" t="s">
        <v>4260</v>
      </c>
      <c r="AA1737" s="7"/>
      <c r="AB1737" s="7"/>
      <c r="AC1737" s="7" t="s">
        <v>246</v>
      </c>
      <c r="AD1737" s="7"/>
      <c r="AE1737" s="7" t="s">
        <v>4261</v>
      </c>
      <c r="AF1737" s="7" t="s">
        <v>50</v>
      </c>
      <c r="AG1737" s="7" t="s">
        <v>253</v>
      </c>
      <c r="AH1737" s="7" t="s">
        <v>254</v>
      </c>
    </row>
    <row r="1738" spans="1:34" ht="9.75" customHeight="1" x14ac:dyDescent="0.2">
      <c r="A1738" s="7" t="s">
        <v>37</v>
      </c>
      <c r="B1738" s="7" t="s">
        <v>38</v>
      </c>
      <c r="C1738" s="7"/>
      <c r="D1738" s="7" t="s">
        <v>4262</v>
      </c>
      <c r="E1738" s="8">
        <v>1</v>
      </c>
      <c r="F1738" s="7" t="s">
        <v>41</v>
      </c>
      <c r="G1738" s="7"/>
      <c r="H1738" s="9"/>
      <c r="I1738" s="10">
        <v>71253</v>
      </c>
      <c r="J1738" s="9"/>
      <c r="K1738" s="9"/>
      <c r="L1738" s="10">
        <v>89515</v>
      </c>
      <c r="M1738" s="9"/>
      <c r="N1738" s="10">
        <v>89515</v>
      </c>
      <c r="O1738" s="9"/>
      <c r="P1738" s="10"/>
      <c r="Q1738" s="10"/>
      <c r="R1738" s="10"/>
      <c r="S1738" s="7" t="s">
        <v>407</v>
      </c>
      <c r="T1738" s="7" t="s">
        <v>256</v>
      </c>
      <c r="U1738" s="7" t="s">
        <v>221</v>
      </c>
      <c r="V1738" s="7" t="s">
        <v>45</v>
      </c>
      <c r="W1738" s="7" t="s">
        <v>249</v>
      </c>
      <c r="X1738" s="7" t="s">
        <v>250</v>
      </c>
      <c r="Y1738" s="7" t="s">
        <v>4263</v>
      </c>
      <c r="Z1738" s="7" t="s">
        <v>4260</v>
      </c>
      <c r="AA1738" s="7"/>
      <c r="AB1738" s="7"/>
      <c r="AC1738" s="7" t="s">
        <v>246</v>
      </c>
      <c r="AD1738" s="7"/>
      <c r="AE1738" s="7" t="s">
        <v>4264</v>
      </c>
      <c r="AF1738" s="7" t="s">
        <v>50</v>
      </c>
      <c r="AG1738" s="7" t="s">
        <v>253</v>
      </c>
      <c r="AH1738" s="7" t="s">
        <v>254</v>
      </c>
    </row>
    <row r="1739" spans="1:34" ht="9.75" customHeight="1" x14ac:dyDescent="0.2">
      <c r="A1739" s="7" t="s">
        <v>37</v>
      </c>
      <c r="B1739" s="7" t="s">
        <v>38</v>
      </c>
      <c r="C1739" s="7"/>
      <c r="D1739" s="7" t="s">
        <v>4265</v>
      </c>
      <c r="E1739" s="8">
        <v>1</v>
      </c>
      <c r="F1739" s="7" t="s">
        <v>41</v>
      </c>
      <c r="G1739" s="7"/>
      <c r="H1739" s="9"/>
      <c r="I1739" s="10">
        <v>14274</v>
      </c>
      <c r="J1739" s="9"/>
      <c r="K1739" s="9"/>
      <c r="L1739" s="10">
        <v>14022</v>
      </c>
      <c r="M1739" s="9"/>
      <c r="N1739" s="10">
        <v>14022</v>
      </c>
      <c r="O1739" s="9"/>
      <c r="P1739" s="10"/>
      <c r="Q1739" s="10"/>
      <c r="R1739" s="10"/>
      <c r="S1739" s="7" t="s">
        <v>407</v>
      </c>
      <c r="T1739" s="7" t="s">
        <v>256</v>
      </c>
      <c r="U1739" s="7" t="s">
        <v>221</v>
      </c>
      <c r="V1739" s="7" t="s">
        <v>45</v>
      </c>
      <c r="W1739" s="7" t="s">
        <v>249</v>
      </c>
      <c r="X1739" s="7" t="s">
        <v>250</v>
      </c>
      <c r="Y1739" s="7" t="s">
        <v>4266</v>
      </c>
      <c r="Z1739" s="7" t="s">
        <v>4267</v>
      </c>
      <c r="AA1739" s="7"/>
      <c r="AB1739" s="7"/>
      <c r="AC1739" s="7" t="s">
        <v>246</v>
      </c>
      <c r="AD1739" s="7"/>
      <c r="AE1739" s="7" t="s">
        <v>4268</v>
      </c>
      <c r="AF1739" s="7" t="s">
        <v>50</v>
      </c>
      <c r="AG1739" s="7" t="s">
        <v>253</v>
      </c>
      <c r="AH1739" s="7" t="s">
        <v>254</v>
      </c>
    </row>
    <row r="1740" spans="1:34" ht="9.75" customHeight="1" x14ac:dyDescent="0.2">
      <c r="A1740" s="7" t="s">
        <v>37</v>
      </c>
      <c r="B1740" s="7" t="s">
        <v>38</v>
      </c>
      <c r="C1740" s="7"/>
      <c r="D1740" s="7" t="s">
        <v>4269</v>
      </c>
      <c r="E1740" s="8">
        <v>1</v>
      </c>
      <c r="F1740" s="7" t="s">
        <v>41</v>
      </c>
      <c r="G1740" s="7"/>
      <c r="H1740" s="9"/>
      <c r="I1740" s="10">
        <v>13743</v>
      </c>
      <c r="J1740" s="9"/>
      <c r="K1740" s="9"/>
      <c r="L1740" s="10">
        <v>7792</v>
      </c>
      <c r="M1740" s="9"/>
      <c r="N1740" s="10">
        <v>7792</v>
      </c>
      <c r="O1740" s="9"/>
      <c r="P1740" s="10"/>
      <c r="Q1740" s="10"/>
      <c r="R1740" s="10"/>
      <c r="S1740" s="7" t="s">
        <v>407</v>
      </c>
      <c r="T1740" s="7" t="s">
        <v>256</v>
      </c>
      <c r="U1740" s="7" t="s">
        <v>221</v>
      </c>
      <c r="V1740" s="7" t="s">
        <v>45</v>
      </c>
      <c r="W1740" s="7" t="s">
        <v>249</v>
      </c>
      <c r="X1740" s="7" t="s">
        <v>250</v>
      </c>
      <c r="Y1740" s="7" t="s">
        <v>4270</v>
      </c>
      <c r="Z1740" s="7" t="s">
        <v>4267</v>
      </c>
      <c r="AA1740" s="7"/>
      <c r="AB1740" s="7"/>
      <c r="AC1740" s="7" t="s">
        <v>246</v>
      </c>
      <c r="AD1740" s="7"/>
      <c r="AE1740" s="7" t="s">
        <v>4261</v>
      </c>
      <c r="AF1740" s="7" t="s">
        <v>50</v>
      </c>
      <c r="AG1740" s="7" t="s">
        <v>253</v>
      </c>
      <c r="AH1740" s="7" t="s">
        <v>254</v>
      </c>
    </row>
    <row r="1741" spans="1:34" ht="9.75" customHeight="1" x14ac:dyDescent="0.2">
      <c r="A1741" s="7" t="s">
        <v>37</v>
      </c>
      <c r="B1741" s="7" t="s">
        <v>38</v>
      </c>
      <c r="C1741" s="7"/>
      <c r="D1741" s="7" t="s">
        <v>4271</v>
      </c>
      <c r="E1741" s="8">
        <v>1</v>
      </c>
      <c r="F1741" s="7" t="s">
        <v>41</v>
      </c>
      <c r="G1741" s="7"/>
      <c r="H1741" s="9"/>
      <c r="I1741" s="10">
        <v>3252</v>
      </c>
      <c r="J1741" s="9"/>
      <c r="K1741" s="9"/>
      <c r="L1741" s="10">
        <v>1774</v>
      </c>
      <c r="M1741" s="9"/>
      <c r="N1741" s="10">
        <v>1774</v>
      </c>
      <c r="O1741" s="9"/>
      <c r="P1741" s="10"/>
      <c r="Q1741" s="10"/>
      <c r="R1741" s="10"/>
      <c r="S1741" s="7" t="s">
        <v>407</v>
      </c>
      <c r="T1741" s="7" t="s">
        <v>256</v>
      </c>
      <c r="U1741" s="7" t="s">
        <v>221</v>
      </c>
      <c r="V1741" s="7" t="s">
        <v>45</v>
      </c>
      <c r="W1741" s="7" t="s">
        <v>249</v>
      </c>
      <c r="X1741" s="7" t="s">
        <v>250</v>
      </c>
      <c r="Y1741" s="7" t="s">
        <v>4272</v>
      </c>
      <c r="Z1741" s="7" t="s">
        <v>4267</v>
      </c>
      <c r="AA1741" s="7"/>
      <c r="AB1741" s="7"/>
      <c r="AC1741" s="7" t="s">
        <v>246</v>
      </c>
      <c r="AD1741" s="7"/>
      <c r="AE1741" s="7" t="s">
        <v>4261</v>
      </c>
      <c r="AF1741" s="7" t="s">
        <v>50</v>
      </c>
      <c r="AG1741" s="7" t="s">
        <v>253</v>
      </c>
      <c r="AH1741" s="7" t="s">
        <v>254</v>
      </c>
    </row>
    <row r="1742" spans="1:34" ht="9.75" customHeight="1" x14ac:dyDescent="0.2">
      <c r="A1742" s="7" t="s">
        <v>37</v>
      </c>
      <c r="B1742" s="7" t="s">
        <v>38</v>
      </c>
      <c r="C1742" s="7"/>
      <c r="D1742" s="7" t="s">
        <v>4273</v>
      </c>
      <c r="E1742" s="8">
        <v>1</v>
      </c>
      <c r="F1742" s="7" t="s">
        <v>41</v>
      </c>
      <c r="G1742" s="7"/>
      <c r="H1742" s="9"/>
      <c r="I1742" s="10">
        <v>2478</v>
      </c>
      <c r="J1742" s="9"/>
      <c r="K1742" s="9"/>
      <c r="L1742" s="10">
        <v>2880</v>
      </c>
      <c r="M1742" s="9"/>
      <c r="N1742" s="10">
        <v>2880</v>
      </c>
      <c r="O1742" s="9"/>
      <c r="P1742" s="10"/>
      <c r="Q1742" s="10"/>
      <c r="R1742" s="10"/>
      <c r="S1742" s="7" t="s">
        <v>407</v>
      </c>
      <c r="T1742" s="7" t="s">
        <v>256</v>
      </c>
      <c r="U1742" s="7" t="s">
        <v>221</v>
      </c>
      <c r="V1742" s="7" t="s">
        <v>45</v>
      </c>
      <c r="W1742" s="7" t="s">
        <v>249</v>
      </c>
      <c r="X1742" s="7" t="s">
        <v>250</v>
      </c>
      <c r="Y1742" s="7" t="s">
        <v>4274</v>
      </c>
      <c r="Z1742" s="7" t="s">
        <v>4267</v>
      </c>
      <c r="AA1742" s="7"/>
      <c r="AB1742" s="7"/>
      <c r="AC1742" s="7" t="s">
        <v>246</v>
      </c>
      <c r="AD1742" s="7"/>
      <c r="AE1742" s="7" t="s">
        <v>4261</v>
      </c>
      <c r="AF1742" s="7" t="s">
        <v>50</v>
      </c>
      <c r="AG1742" s="7" t="s">
        <v>253</v>
      </c>
      <c r="AH1742" s="7" t="s">
        <v>254</v>
      </c>
    </row>
    <row r="1743" spans="1:34" ht="9.75" customHeight="1" x14ac:dyDescent="0.2">
      <c r="A1743" s="7" t="s">
        <v>37</v>
      </c>
      <c r="B1743" s="7" t="s">
        <v>38</v>
      </c>
      <c r="C1743" s="7"/>
      <c r="D1743" s="7" t="s">
        <v>4275</v>
      </c>
      <c r="E1743" s="8">
        <v>1</v>
      </c>
      <c r="F1743" s="7" t="s">
        <v>41</v>
      </c>
      <c r="G1743" s="7"/>
      <c r="H1743" s="9"/>
      <c r="I1743" s="10">
        <v>30363</v>
      </c>
      <c r="J1743" s="9"/>
      <c r="K1743" s="9"/>
      <c r="L1743" s="10">
        <v>38145</v>
      </c>
      <c r="M1743" s="9"/>
      <c r="N1743" s="10">
        <v>38145</v>
      </c>
      <c r="O1743" s="9"/>
      <c r="P1743" s="10"/>
      <c r="Q1743" s="10"/>
      <c r="R1743" s="10"/>
      <c r="S1743" s="7" t="s">
        <v>407</v>
      </c>
      <c r="T1743" s="7" t="s">
        <v>256</v>
      </c>
      <c r="U1743" s="7" t="s">
        <v>221</v>
      </c>
      <c r="V1743" s="7" t="s">
        <v>45</v>
      </c>
      <c r="W1743" s="7" t="s">
        <v>249</v>
      </c>
      <c r="X1743" s="7" t="s">
        <v>250</v>
      </c>
      <c r="Y1743" s="7" t="s">
        <v>4276</v>
      </c>
      <c r="Z1743" s="7" t="s">
        <v>4277</v>
      </c>
      <c r="AA1743" s="7"/>
      <c r="AB1743" s="7"/>
      <c r="AC1743" s="7" t="s">
        <v>246</v>
      </c>
      <c r="AD1743" s="7"/>
      <c r="AE1743" s="7" t="s">
        <v>4278</v>
      </c>
      <c r="AF1743" s="7" t="s">
        <v>50</v>
      </c>
      <c r="AG1743" s="7" t="s">
        <v>253</v>
      </c>
      <c r="AH1743" s="7" t="s">
        <v>254</v>
      </c>
    </row>
    <row r="1744" spans="1:34" ht="9.75" customHeight="1" x14ac:dyDescent="0.2">
      <c r="A1744" s="7" t="s">
        <v>37</v>
      </c>
      <c r="B1744" s="7" t="s">
        <v>38</v>
      </c>
      <c r="C1744" s="7"/>
      <c r="D1744" s="7" t="s">
        <v>4279</v>
      </c>
      <c r="E1744" s="8">
        <v>1</v>
      </c>
      <c r="F1744" s="7" t="s">
        <v>41</v>
      </c>
      <c r="G1744" s="7"/>
      <c r="H1744" s="9"/>
      <c r="I1744" s="10">
        <v>3176</v>
      </c>
      <c r="J1744" s="9"/>
      <c r="K1744" s="9"/>
      <c r="L1744" s="10">
        <v>3990</v>
      </c>
      <c r="M1744" s="9"/>
      <c r="N1744" s="10">
        <v>3990</v>
      </c>
      <c r="O1744" s="9"/>
      <c r="P1744" s="10"/>
      <c r="Q1744" s="10"/>
      <c r="R1744" s="10"/>
      <c r="S1744" s="7" t="s">
        <v>407</v>
      </c>
      <c r="T1744" s="7" t="s">
        <v>256</v>
      </c>
      <c r="U1744" s="7" t="s">
        <v>221</v>
      </c>
      <c r="V1744" s="7" t="s">
        <v>45</v>
      </c>
      <c r="W1744" s="7" t="s">
        <v>249</v>
      </c>
      <c r="X1744" s="7" t="s">
        <v>250</v>
      </c>
      <c r="Y1744" s="7" t="s">
        <v>4280</v>
      </c>
      <c r="Z1744" s="7" t="s">
        <v>4277</v>
      </c>
      <c r="AA1744" s="7"/>
      <c r="AB1744" s="7"/>
      <c r="AC1744" s="7" t="s">
        <v>246</v>
      </c>
      <c r="AD1744" s="7"/>
      <c r="AE1744" s="7" t="s">
        <v>4264</v>
      </c>
      <c r="AF1744" s="7" t="s">
        <v>50</v>
      </c>
      <c r="AG1744" s="7" t="s">
        <v>253</v>
      </c>
      <c r="AH1744" s="7" t="s">
        <v>254</v>
      </c>
    </row>
    <row r="1745" spans="1:34" ht="9.75" customHeight="1" x14ac:dyDescent="0.2">
      <c r="A1745" s="7" t="s">
        <v>37</v>
      </c>
      <c r="B1745" s="7" t="s">
        <v>38</v>
      </c>
      <c r="C1745" s="7"/>
      <c r="D1745" s="7" t="s">
        <v>4281</v>
      </c>
      <c r="E1745" s="8">
        <v>1</v>
      </c>
      <c r="F1745" s="7" t="s">
        <v>41</v>
      </c>
      <c r="G1745" s="7"/>
      <c r="H1745" s="9"/>
      <c r="I1745" s="10">
        <v>4196</v>
      </c>
      <c r="J1745" s="9"/>
      <c r="K1745" s="9"/>
      <c r="L1745" s="10">
        <v>5271</v>
      </c>
      <c r="M1745" s="9"/>
      <c r="N1745" s="10">
        <v>5271</v>
      </c>
      <c r="O1745" s="9"/>
      <c r="P1745" s="10"/>
      <c r="Q1745" s="10"/>
      <c r="R1745" s="10"/>
      <c r="S1745" s="7" t="s">
        <v>407</v>
      </c>
      <c r="T1745" s="7" t="s">
        <v>256</v>
      </c>
      <c r="U1745" s="7" t="s">
        <v>221</v>
      </c>
      <c r="V1745" s="7" t="s">
        <v>45</v>
      </c>
      <c r="W1745" s="7" t="s">
        <v>249</v>
      </c>
      <c r="X1745" s="7" t="s">
        <v>250</v>
      </c>
      <c r="Y1745" s="7" t="s">
        <v>4282</v>
      </c>
      <c r="Z1745" s="7" t="s">
        <v>4277</v>
      </c>
      <c r="AA1745" s="7"/>
      <c r="AB1745" s="7"/>
      <c r="AC1745" s="7" t="s">
        <v>246</v>
      </c>
      <c r="AD1745" s="7"/>
      <c r="AE1745" s="7" t="s">
        <v>4264</v>
      </c>
      <c r="AF1745" s="7" t="s">
        <v>50</v>
      </c>
      <c r="AG1745" s="7" t="s">
        <v>253</v>
      </c>
      <c r="AH1745" s="7" t="s">
        <v>254</v>
      </c>
    </row>
    <row r="1746" spans="1:34" ht="9.75" customHeight="1" x14ac:dyDescent="0.2">
      <c r="A1746" s="7" t="s">
        <v>37</v>
      </c>
      <c r="B1746" s="7" t="s">
        <v>38</v>
      </c>
      <c r="C1746" s="7"/>
      <c r="D1746" s="7" t="s">
        <v>4283</v>
      </c>
      <c r="E1746" s="8">
        <v>1</v>
      </c>
      <c r="F1746" s="7" t="s">
        <v>41</v>
      </c>
      <c r="G1746" s="7"/>
      <c r="H1746" s="9"/>
      <c r="I1746" s="10">
        <v>19604</v>
      </c>
      <c r="J1746" s="9"/>
      <c r="K1746" s="9"/>
      <c r="L1746" s="10">
        <v>24628</v>
      </c>
      <c r="M1746" s="9"/>
      <c r="N1746" s="10">
        <v>24628</v>
      </c>
      <c r="O1746" s="9"/>
      <c r="P1746" s="10"/>
      <c r="Q1746" s="10"/>
      <c r="R1746" s="10"/>
      <c r="S1746" s="7" t="s">
        <v>407</v>
      </c>
      <c r="T1746" s="7" t="s">
        <v>256</v>
      </c>
      <c r="U1746" s="7" t="s">
        <v>221</v>
      </c>
      <c r="V1746" s="7" t="s">
        <v>45</v>
      </c>
      <c r="W1746" s="7" t="s">
        <v>249</v>
      </c>
      <c r="X1746" s="7" t="s">
        <v>250</v>
      </c>
      <c r="Y1746" s="7" t="s">
        <v>4284</v>
      </c>
      <c r="Z1746" s="7" t="s">
        <v>4277</v>
      </c>
      <c r="AA1746" s="7"/>
      <c r="AB1746" s="7"/>
      <c r="AC1746" s="7" t="s">
        <v>246</v>
      </c>
      <c r="AD1746" s="7"/>
      <c r="AE1746" s="7" t="s">
        <v>4264</v>
      </c>
      <c r="AF1746" s="7" t="s">
        <v>50</v>
      </c>
      <c r="AG1746" s="7" t="s">
        <v>253</v>
      </c>
      <c r="AH1746" s="7" t="s">
        <v>254</v>
      </c>
    </row>
    <row r="1747" spans="1:34" ht="9.75" customHeight="1" x14ac:dyDescent="0.2">
      <c r="A1747" s="7" t="s">
        <v>37</v>
      </c>
      <c r="B1747" s="7" t="s">
        <v>38</v>
      </c>
      <c r="C1747" s="7"/>
      <c r="D1747" s="7" t="s">
        <v>4285</v>
      </c>
      <c r="E1747" s="8">
        <v>1</v>
      </c>
      <c r="F1747" s="7" t="s">
        <v>41</v>
      </c>
      <c r="G1747" s="7"/>
      <c r="H1747" s="9"/>
      <c r="I1747" s="10">
        <v>9278</v>
      </c>
      <c r="J1747" s="9"/>
      <c r="K1747" s="9"/>
      <c r="L1747" s="10">
        <v>11656</v>
      </c>
      <c r="M1747" s="9"/>
      <c r="N1747" s="10">
        <v>11656</v>
      </c>
      <c r="O1747" s="9"/>
      <c r="P1747" s="10"/>
      <c r="Q1747" s="10"/>
      <c r="R1747" s="10"/>
      <c r="S1747" s="7" t="s">
        <v>407</v>
      </c>
      <c r="T1747" s="7" t="s">
        <v>256</v>
      </c>
      <c r="U1747" s="7" t="s">
        <v>221</v>
      </c>
      <c r="V1747" s="7" t="s">
        <v>45</v>
      </c>
      <c r="W1747" s="7" t="s">
        <v>249</v>
      </c>
      <c r="X1747" s="7" t="s">
        <v>250</v>
      </c>
      <c r="Y1747" s="7" t="s">
        <v>4286</v>
      </c>
      <c r="Z1747" s="7" t="s">
        <v>4277</v>
      </c>
      <c r="AA1747" s="7"/>
      <c r="AB1747" s="7"/>
      <c r="AC1747" s="7" t="s">
        <v>246</v>
      </c>
      <c r="AD1747" s="7"/>
      <c r="AE1747" s="7"/>
      <c r="AF1747" s="7" t="s">
        <v>50</v>
      </c>
      <c r="AG1747" s="7" t="s">
        <v>253</v>
      </c>
      <c r="AH1747" s="7" t="s">
        <v>254</v>
      </c>
    </row>
    <row r="1748" spans="1:34" ht="9.75" customHeight="1" x14ac:dyDescent="0.2">
      <c r="A1748" s="7" t="s">
        <v>37</v>
      </c>
      <c r="B1748" s="7" t="s">
        <v>38</v>
      </c>
      <c r="C1748" s="7"/>
      <c r="D1748" s="7" t="s">
        <v>4287</v>
      </c>
      <c r="E1748" s="8">
        <v>1</v>
      </c>
      <c r="F1748" s="7" t="s">
        <v>41</v>
      </c>
      <c r="G1748" s="7"/>
      <c r="H1748" s="9"/>
      <c r="I1748" s="10">
        <v>4636</v>
      </c>
      <c r="J1748" s="9"/>
      <c r="K1748" s="9"/>
      <c r="L1748" s="10">
        <v>5825</v>
      </c>
      <c r="M1748" s="9"/>
      <c r="N1748" s="10">
        <v>5825</v>
      </c>
      <c r="O1748" s="9"/>
      <c r="P1748" s="10"/>
      <c r="Q1748" s="10"/>
      <c r="R1748" s="10"/>
      <c r="S1748" s="7" t="s">
        <v>407</v>
      </c>
      <c r="T1748" s="7" t="s">
        <v>256</v>
      </c>
      <c r="U1748" s="7" t="s">
        <v>221</v>
      </c>
      <c r="V1748" s="7" t="s">
        <v>45</v>
      </c>
      <c r="W1748" s="7" t="s">
        <v>249</v>
      </c>
      <c r="X1748" s="7" t="s">
        <v>250</v>
      </c>
      <c r="Y1748" s="7" t="s">
        <v>4288</v>
      </c>
      <c r="Z1748" s="7" t="s">
        <v>4277</v>
      </c>
      <c r="AA1748" s="7"/>
      <c r="AB1748" s="7"/>
      <c r="AC1748" s="7" t="s">
        <v>246</v>
      </c>
      <c r="AD1748" s="7"/>
      <c r="AE1748" s="7"/>
      <c r="AF1748" s="7" t="s">
        <v>50</v>
      </c>
      <c r="AG1748" s="7" t="s">
        <v>253</v>
      </c>
      <c r="AH1748" s="7" t="s">
        <v>254</v>
      </c>
    </row>
    <row r="1749" spans="1:34" ht="9.75" customHeight="1" x14ac:dyDescent="0.2">
      <c r="A1749" s="7" t="s">
        <v>37</v>
      </c>
      <c r="B1749" s="7" t="s">
        <v>38</v>
      </c>
      <c r="C1749" s="7"/>
      <c r="D1749" s="7" t="s">
        <v>4289</v>
      </c>
      <c r="E1749" s="8">
        <v>1</v>
      </c>
      <c r="F1749" s="7" t="s">
        <v>41</v>
      </c>
      <c r="G1749" s="7"/>
      <c r="H1749" s="9"/>
      <c r="I1749" s="10">
        <v>170643</v>
      </c>
      <c r="J1749" s="9"/>
      <c r="K1749" s="9"/>
      <c r="L1749" s="10">
        <v>82816</v>
      </c>
      <c r="M1749" s="9"/>
      <c r="N1749" s="10">
        <v>82816</v>
      </c>
      <c r="O1749" s="9"/>
      <c r="P1749" s="10"/>
      <c r="Q1749" s="10"/>
      <c r="R1749" s="10"/>
      <c r="S1749" s="7" t="s">
        <v>407</v>
      </c>
      <c r="T1749" s="7" t="s">
        <v>4290</v>
      </c>
      <c r="U1749" s="7" t="s">
        <v>221</v>
      </c>
      <c r="V1749" s="7" t="s">
        <v>45</v>
      </c>
      <c r="W1749" s="7" t="s">
        <v>264</v>
      </c>
      <c r="X1749" s="7" t="s">
        <v>265</v>
      </c>
      <c r="Y1749" s="7" t="s">
        <v>4291</v>
      </c>
      <c r="Z1749" s="7" t="s">
        <v>4292</v>
      </c>
      <c r="AA1749" s="7"/>
      <c r="AB1749" s="7"/>
      <c r="AC1749" s="7" t="s">
        <v>261</v>
      </c>
      <c r="AD1749" s="7"/>
      <c r="AE1749" s="7" t="s">
        <v>207</v>
      </c>
      <c r="AF1749" s="7" t="s">
        <v>50</v>
      </c>
      <c r="AG1749" s="7" t="s">
        <v>253</v>
      </c>
      <c r="AH1749" s="7" t="s">
        <v>268</v>
      </c>
    </row>
    <row r="1750" spans="1:34" ht="9.75" customHeight="1" x14ac:dyDescent="0.2">
      <c r="A1750" s="7" t="s">
        <v>37</v>
      </c>
      <c r="B1750" s="7" t="s">
        <v>38</v>
      </c>
      <c r="C1750" s="7"/>
      <c r="D1750" s="7" t="s">
        <v>4293</v>
      </c>
      <c r="E1750" s="8">
        <v>1</v>
      </c>
      <c r="F1750" s="7" t="s">
        <v>41</v>
      </c>
      <c r="G1750" s="7"/>
      <c r="H1750" s="9"/>
      <c r="I1750" s="10">
        <v>4366</v>
      </c>
      <c r="J1750" s="9"/>
      <c r="K1750" s="9"/>
      <c r="L1750" s="10">
        <v>2493</v>
      </c>
      <c r="M1750" s="9"/>
      <c r="N1750" s="10">
        <v>2493</v>
      </c>
      <c r="O1750" s="9"/>
      <c r="P1750" s="10"/>
      <c r="Q1750" s="10"/>
      <c r="R1750" s="10"/>
      <c r="S1750" s="7" t="s">
        <v>407</v>
      </c>
      <c r="T1750" s="7" t="s">
        <v>4290</v>
      </c>
      <c r="U1750" s="7" t="s">
        <v>221</v>
      </c>
      <c r="V1750" s="7" t="s">
        <v>45</v>
      </c>
      <c r="W1750" s="7" t="s">
        <v>264</v>
      </c>
      <c r="X1750" s="7" t="s">
        <v>265</v>
      </c>
      <c r="Y1750" s="7" t="s">
        <v>4294</v>
      </c>
      <c r="Z1750" s="7" t="s">
        <v>4292</v>
      </c>
      <c r="AA1750" s="7"/>
      <c r="AB1750" s="7"/>
      <c r="AC1750" s="7" t="s">
        <v>261</v>
      </c>
      <c r="AD1750" s="7"/>
      <c r="AE1750" s="7" t="s">
        <v>415</v>
      </c>
      <c r="AF1750" s="7" t="s">
        <v>50</v>
      </c>
      <c r="AG1750" s="7" t="s">
        <v>253</v>
      </c>
      <c r="AH1750" s="7" t="s">
        <v>268</v>
      </c>
    </row>
    <row r="1751" spans="1:34" ht="9.75" customHeight="1" x14ac:dyDescent="0.2">
      <c r="A1751" s="7" t="s">
        <v>37</v>
      </c>
      <c r="B1751" s="7" t="s">
        <v>38</v>
      </c>
      <c r="C1751" s="7"/>
      <c r="D1751" s="7" t="s">
        <v>4295</v>
      </c>
      <c r="E1751" s="8">
        <v>1</v>
      </c>
      <c r="F1751" s="7" t="s">
        <v>41</v>
      </c>
      <c r="G1751" s="7"/>
      <c r="H1751" s="9"/>
      <c r="I1751" s="10">
        <v>11756</v>
      </c>
      <c r="J1751" s="9"/>
      <c r="K1751" s="9"/>
      <c r="L1751" s="10">
        <v>5696</v>
      </c>
      <c r="M1751" s="9"/>
      <c r="N1751" s="10">
        <v>5696</v>
      </c>
      <c r="O1751" s="9"/>
      <c r="P1751" s="10"/>
      <c r="Q1751" s="10"/>
      <c r="R1751" s="10"/>
      <c r="S1751" s="7" t="s">
        <v>407</v>
      </c>
      <c r="T1751" s="7" t="s">
        <v>4290</v>
      </c>
      <c r="U1751" s="7" t="s">
        <v>221</v>
      </c>
      <c r="V1751" s="7" t="s">
        <v>45</v>
      </c>
      <c r="W1751" s="7" t="s">
        <v>264</v>
      </c>
      <c r="X1751" s="7" t="s">
        <v>265</v>
      </c>
      <c r="Y1751" s="7" t="s">
        <v>4296</v>
      </c>
      <c r="Z1751" s="7" t="s">
        <v>4292</v>
      </c>
      <c r="AA1751" s="7"/>
      <c r="AB1751" s="7"/>
      <c r="AC1751" s="7" t="s">
        <v>261</v>
      </c>
      <c r="AD1751" s="7"/>
      <c r="AE1751" s="7" t="s">
        <v>3255</v>
      </c>
      <c r="AF1751" s="7" t="s">
        <v>50</v>
      </c>
      <c r="AG1751" s="7" t="s">
        <v>253</v>
      </c>
      <c r="AH1751" s="7" t="s">
        <v>268</v>
      </c>
    </row>
    <row r="1752" spans="1:34" ht="9.75" customHeight="1" x14ac:dyDescent="0.2">
      <c r="A1752" s="7" t="s">
        <v>37</v>
      </c>
      <c r="B1752" s="7" t="s">
        <v>38</v>
      </c>
      <c r="C1752" s="7"/>
      <c r="D1752" s="7" t="s">
        <v>4297</v>
      </c>
      <c r="E1752" s="8">
        <v>1</v>
      </c>
      <c r="F1752" s="7" t="s">
        <v>41</v>
      </c>
      <c r="G1752" s="7"/>
      <c r="H1752" s="9"/>
      <c r="I1752" s="9"/>
      <c r="J1752" s="9"/>
      <c r="K1752" s="9"/>
      <c r="L1752" s="9"/>
      <c r="M1752" s="9"/>
      <c r="N1752" s="9"/>
      <c r="O1752" s="9"/>
      <c r="P1752" s="9"/>
      <c r="Q1752" s="9"/>
      <c r="R1752" s="9"/>
      <c r="S1752" s="7" t="s">
        <v>407</v>
      </c>
      <c r="T1752" s="7" t="s">
        <v>4298</v>
      </c>
      <c r="U1752" s="7" t="s">
        <v>221</v>
      </c>
      <c r="V1752" s="7" t="s">
        <v>272</v>
      </c>
      <c r="W1752" s="7" t="s">
        <v>273</v>
      </c>
      <c r="X1752" s="7" t="s">
        <v>274</v>
      </c>
      <c r="Y1752" s="7" t="s">
        <v>4299</v>
      </c>
      <c r="Z1752" s="7" t="s">
        <v>4300</v>
      </c>
      <c r="AA1752" s="7"/>
      <c r="AB1752" s="7"/>
      <c r="AC1752" s="7" t="s">
        <v>269</v>
      </c>
      <c r="AD1752" s="7"/>
      <c r="AE1752" s="7" t="s">
        <v>207</v>
      </c>
      <c r="AF1752" s="7" t="s">
        <v>50</v>
      </c>
      <c r="AG1752" s="7" t="s">
        <v>253</v>
      </c>
      <c r="AH1752" s="7" t="s">
        <v>277</v>
      </c>
    </row>
    <row r="1753" spans="1:34" ht="9.75" customHeight="1" x14ac:dyDescent="0.2">
      <c r="A1753" s="7" t="s">
        <v>37</v>
      </c>
      <c r="B1753" s="7" t="s">
        <v>38</v>
      </c>
      <c r="C1753" s="7"/>
      <c r="D1753" s="7" t="s">
        <v>4301</v>
      </c>
      <c r="E1753" s="8">
        <v>1</v>
      </c>
      <c r="F1753" s="7" t="s">
        <v>41</v>
      </c>
      <c r="G1753" s="7"/>
      <c r="H1753" s="9"/>
      <c r="I1753" s="9"/>
      <c r="J1753" s="9"/>
      <c r="K1753" s="9"/>
      <c r="L1753" s="9"/>
      <c r="M1753" s="9"/>
      <c r="N1753" s="9"/>
      <c r="O1753" s="9"/>
      <c r="P1753" s="9"/>
      <c r="Q1753" s="9"/>
      <c r="R1753" s="9"/>
      <c r="S1753" s="7" t="s">
        <v>407</v>
      </c>
      <c r="T1753" s="7" t="s">
        <v>4298</v>
      </c>
      <c r="U1753" s="7" t="s">
        <v>221</v>
      </c>
      <c r="V1753" s="7" t="s">
        <v>272</v>
      </c>
      <c r="W1753" s="7" t="s">
        <v>273</v>
      </c>
      <c r="X1753" s="7" t="s">
        <v>274</v>
      </c>
      <c r="Y1753" s="7" t="s">
        <v>4302</v>
      </c>
      <c r="Z1753" s="7" t="s">
        <v>4300</v>
      </c>
      <c r="AA1753" s="7"/>
      <c r="AB1753" s="7"/>
      <c r="AC1753" s="7" t="s">
        <v>269</v>
      </c>
      <c r="AD1753" s="7"/>
      <c r="AE1753" s="7" t="s">
        <v>415</v>
      </c>
      <c r="AF1753" s="7" t="s">
        <v>50</v>
      </c>
      <c r="AG1753" s="7" t="s">
        <v>253</v>
      </c>
      <c r="AH1753" s="7" t="s">
        <v>277</v>
      </c>
    </row>
    <row r="1754" spans="1:34" ht="9.75" customHeight="1" x14ac:dyDescent="0.2">
      <c r="A1754" s="7" t="s">
        <v>37</v>
      </c>
      <c r="B1754" s="7" t="s">
        <v>38</v>
      </c>
      <c r="C1754" s="7"/>
      <c r="D1754" s="7" t="s">
        <v>4303</v>
      </c>
      <c r="E1754" s="8">
        <v>1</v>
      </c>
      <c r="F1754" s="7" t="s">
        <v>41</v>
      </c>
      <c r="G1754" s="7"/>
      <c r="H1754" s="9"/>
      <c r="I1754" s="9"/>
      <c r="J1754" s="9"/>
      <c r="K1754" s="9"/>
      <c r="L1754" s="9"/>
      <c r="M1754" s="9"/>
      <c r="N1754" s="9"/>
      <c r="O1754" s="9"/>
      <c r="P1754" s="9"/>
      <c r="Q1754" s="9"/>
      <c r="R1754" s="9"/>
      <c r="S1754" s="7" t="s">
        <v>407</v>
      </c>
      <c r="T1754" s="7" t="s">
        <v>4298</v>
      </c>
      <c r="U1754" s="7" t="s">
        <v>221</v>
      </c>
      <c r="V1754" s="7" t="s">
        <v>272</v>
      </c>
      <c r="W1754" s="7" t="s">
        <v>273</v>
      </c>
      <c r="X1754" s="7" t="s">
        <v>274</v>
      </c>
      <c r="Y1754" s="7" t="s">
        <v>4304</v>
      </c>
      <c r="Z1754" s="7" t="s">
        <v>4300</v>
      </c>
      <c r="AA1754" s="7"/>
      <c r="AB1754" s="7"/>
      <c r="AC1754" s="7" t="s">
        <v>269</v>
      </c>
      <c r="AD1754" s="7"/>
      <c r="AE1754" s="7" t="s">
        <v>3255</v>
      </c>
      <c r="AF1754" s="7" t="s">
        <v>50</v>
      </c>
      <c r="AG1754" s="7" t="s">
        <v>253</v>
      </c>
      <c r="AH1754" s="7" t="s">
        <v>277</v>
      </c>
    </row>
    <row r="1755" spans="1:34" ht="9.75" customHeight="1" x14ac:dyDescent="0.2">
      <c r="A1755" s="7" t="s">
        <v>37</v>
      </c>
      <c r="B1755" s="7" t="s">
        <v>38</v>
      </c>
      <c r="C1755" s="7"/>
      <c r="D1755" s="7" t="s">
        <v>4305</v>
      </c>
      <c r="E1755" s="8">
        <v>1</v>
      </c>
      <c r="F1755" s="7" t="s">
        <v>41</v>
      </c>
      <c r="G1755" s="7"/>
      <c r="H1755" s="9"/>
      <c r="I1755" s="9"/>
      <c r="J1755" s="9"/>
      <c r="K1755" s="9"/>
      <c r="L1755" s="9"/>
      <c r="M1755" s="9"/>
      <c r="N1755" s="9"/>
      <c r="O1755" s="9"/>
      <c r="P1755" s="9"/>
      <c r="Q1755" s="9"/>
      <c r="R1755" s="9"/>
      <c r="S1755" s="7" t="s">
        <v>407</v>
      </c>
      <c r="T1755" s="7" t="s">
        <v>4298</v>
      </c>
      <c r="U1755" s="7" t="s">
        <v>221</v>
      </c>
      <c r="V1755" s="7" t="s">
        <v>272</v>
      </c>
      <c r="W1755" s="7" t="s">
        <v>273</v>
      </c>
      <c r="X1755" s="7" t="s">
        <v>274</v>
      </c>
      <c r="Y1755" s="7" t="s">
        <v>4306</v>
      </c>
      <c r="Z1755" s="7" t="s">
        <v>4300</v>
      </c>
      <c r="AA1755" s="7"/>
      <c r="AB1755" s="7"/>
      <c r="AC1755" s="7" t="s">
        <v>269</v>
      </c>
      <c r="AD1755" s="7"/>
      <c r="AE1755" s="7"/>
      <c r="AF1755" s="7" t="s">
        <v>50</v>
      </c>
      <c r="AG1755" s="7" t="s">
        <v>253</v>
      </c>
      <c r="AH1755" s="7" t="s">
        <v>277</v>
      </c>
    </row>
    <row r="1756" spans="1:34" ht="9.75" customHeight="1" x14ac:dyDescent="0.2">
      <c r="A1756" s="7" t="s">
        <v>37</v>
      </c>
      <c r="B1756" s="7" t="s">
        <v>38</v>
      </c>
      <c r="C1756" s="7"/>
      <c r="D1756" s="7" t="s">
        <v>4307</v>
      </c>
      <c r="E1756" s="8">
        <v>1</v>
      </c>
      <c r="F1756" s="7" t="s">
        <v>41</v>
      </c>
      <c r="G1756" s="7"/>
      <c r="H1756" s="9"/>
      <c r="I1756" s="10">
        <v>61726</v>
      </c>
      <c r="J1756" s="9"/>
      <c r="K1756" s="9"/>
      <c r="L1756" s="10">
        <v>58200</v>
      </c>
      <c r="M1756" s="9"/>
      <c r="N1756" s="10">
        <v>58200</v>
      </c>
      <c r="O1756" s="9"/>
      <c r="P1756" s="10"/>
      <c r="Q1756" s="10"/>
      <c r="R1756" s="10"/>
      <c r="S1756" s="7" t="s">
        <v>407</v>
      </c>
      <c r="T1756" s="7" t="s">
        <v>4308</v>
      </c>
      <c r="U1756" s="7" t="s">
        <v>44</v>
      </c>
      <c r="V1756" s="7" t="s">
        <v>281</v>
      </c>
      <c r="W1756" s="7" t="s">
        <v>282</v>
      </c>
      <c r="X1756" s="7" t="s">
        <v>283</v>
      </c>
      <c r="Y1756" s="7" t="s">
        <v>4309</v>
      </c>
      <c r="Z1756" s="7" t="s">
        <v>4310</v>
      </c>
      <c r="AA1756" s="7"/>
      <c r="AB1756" s="7"/>
      <c r="AC1756" s="7" t="s">
        <v>278</v>
      </c>
      <c r="AD1756" s="7"/>
      <c r="AE1756" s="7" t="s">
        <v>207</v>
      </c>
      <c r="AF1756" s="7" t="s">
        <v>50</v>
      </c>
      <c r="AG1756" s="7" t="s">
        <v>253</v>
      </c>
      <c r="AH1756" s="7" t="s">
        <v>286</v>
      </c>
    </row>
    <row r="1757" spans="1:34" ht="9.75" customHeight="1" x14ac:dyDescent="0.2">
      <c r="A1757" s="7" t="s">
        <v>37</v>
      </c>
      <c r="B1757" s="7" t="s">
        <v>38</v>
      </c>
      <c r="C1757" s="7"/>
      <c r="D1757" s="7" t="s">
        <v>4311</v>
      </c>
      <c r="E1757" s="8">
        <v>1</v>
      </c>
      <c r="F1757" s="7" t="s">
        <v>41</v>
      </c>
      <c r="G1757" s="7"/>
      <c r="H1757" s="9"/>
      <c r="I1757" s="10">
        <v>2263</v>
      </c>
      <c r="J1757" s="9"/>
      <c r="K1757" s="9"/>
      <c r="L1757" s="10">
        <v>1500</v>
      </c>
      <c r="M1757" s="9"/>
      <c r="N1757" s="10">
        <v>1500</v>
      </c>
      <c r="O1757" s="9"/>
      <c r="P1757" s="10"/>
      <c r="Q1757" s="10"/>
      <c r="R1757" s="10"/>
      <c r="S1757" s="7" t="s">
        <v>407</v>
      </c>
      <c r="T1757" s="7" t="s">
        <v>4308</v>
      </c>
      <c r="U1757" s="7" t="s">
        <v>44</v>
      </c>
      <c r="V1757" s="7" t="s">
        <v>281</v>
      </c>
      <c r="W1757" s="7" t="s">
        <v>282</v>
      </c>
      <c r="X1757" s="7" t="s">
        <v>283</v>
      </c>
      <c r="Y1757" s="7" t="s">
        <v>4312</v>
      </c>
      <c r="Z1757" s="7" t="s">
        <v>4310</v>
      </c>
      <c r="AA1757" s="7"/>
      <c r="AB1757" s="7"/>
      <c r="AC1757" s="7" t="s">
        <v>278</v>
      </c>
      <c r="AD1757" s="7"/>
      <c r="AE1757" s="7" t="s">
        <v>415</v>
      </c>
      <c r="AF1757" s="7" t="s">
        <v>50</v>
      </c>
      <c r="AG1757" s="7" t="s">
        <v>253</v>
      </c>
      <c r="AH1757" s="7" t="s">
        <v>286</v>
      </c>
    </row>
    <row r="1758" spans="1:34" ht="9.75" customHeight="1" x14ac:dyDescent="0.2">
      <c r="A1758" s="7" t="s">
        <v>37</v>
      </c>
      <c r="B1758" s="7" t="s">
        <v>38</v>
      </c>
      <c r="C1758" s="7"/>
      <c r="D1758" s="7" t="s">
        <v>4313</v>
      </c>
      <c r="E1758" s="8">
        <v>1</v>
      </c>
      <c r="F1758" s="7" t="s">
        <v>41</v>
      </c>
      <c r="G1758" s="7"/>
      <c r="H1758" s="9"/>
      <c r="I1758" s="10">
        <v>362</v>
      </c>
      <c r="J1758" s="9"/>
      <c r="K1758" s="9"/>
      <c r="L1758" s="10">
        <v>300</v>
      </c>
      <c r="M1758" s="9"/>
      <c r="N1758" s="10">
        <v>300</v>
      </c>
      <c r="O1758" s="9"/>
      <c r="P1758" s="10"/>
      <c r="Q1758" s="10"/>
      <c r="R1758" s="10"/>
      <c r="S1758" s="7" t="s">
        <v>407</v>
      </c>
      <c r="T1758" s="7" t="s">
        <v>4308</v>
      </c>
      <c r="U1758" s="7" t="s">
        <v>44</v>
      </c>
      <c r="V1758" s="7" t="s">
        <v>281</v>
      </c>
      <c r="W1758" s="7" t="s">
        <v>282</v>
      </c>
      <c r="X1758" s="7" t="s">
        <v>283</v>
      </c>
      <c r="Y1758" s="7" t="s">
        <v>4314</v>
      </c>
      <c r="Z1758" s="7" t="s">
        <v>4310</v>
      </c>
      <c r="AA1758" s="7"/>
      <c r="AB1758" s="7"/>
      <c r="AC1758" s="7" t="s">
        <v>278</v>
      </c>
      <c r="AD1758" s="7"/>
      <c r="AE1758" s="7" t="s">
        <v>3255</v>
      </c>
      <c r="AF1758" s="7" t="s">
        <v>50</v>
      </c>
      <c r="AG1758" s="7" t="s">
        <v>253</v>
      </c>
      <c r="AH1758" s="7" t="s">
        <v>286</v>
      </c>
    </row>
    <row r="1759" spans="1:34" ht="9.75" customHeight="1" x14ac:dyDescent="0.2">
      <c r="A1759" s="7" t="s">
        <v>37</v>
      </c>
      <c r="B1759" s="7" t="s">
        <v>38</v>
      </c>
      <c r="C1759" s="7"/>
      <c r="D1759" s="7" t="s">
        <v>4315</v>
      </c>
      <c r="E1759" s="8">
        <v>1</v>
      </c>
      <c r="F1759" s="7" t="s">
        <v>41</v>
      </c>
      <c r="G1759" s="7"/>
      <c r="H1759" s="9"/>
      <c r="I1759" s="10">
        <v>1805</v>
      </c>
      <c r="J1759" s="9"/>
      <c r="K1759" s="9"/>
      <c r="L1759" s="10">
        <v>1000</v>
      </c>
      <c r="M1759" s="9"/>
      <c r="N1759" s="10">
        <v>1000</v>
      </c>
      <c r="O1759" s="9"/>
      <c r="P1759" s="10"/>
      <c r="Q1759" s="10"/>
      <c r="R1759" s="10"/>
      <c r="S1759" s="7" t="s">
        <v>407</v>
      </c>
      <c r="T1759" s="7" t="s">
        <v>4308</v>
      </c>
      <c r="U1759" s="7" t="s">
        <v>44</v>
      </c>
      <c r="V1759" s="7" t="s">
        <v>281</v>
      </c>
      <c r="W1759" s="7" t="s">
        <v>282</v>
      </c>
      <c r="X1759" s="7" t="s">
        <v>283</v>
      </c>
      <c r="Y1759" s="7" t="s">
        <v>4316</v>
      </c>
      <c r="Z1759" s="7" t="s">
        <v>4310</v>
      </c>
      <c r="AA1759" s="7"/>
      <c r="AB1759" s="7"/>
      <c r="AC1759" s="7" t="s">
        <v>278</v>
      </c>
      <c r="AD1759" s="7"/>
      <c r="AE1759" s="7"/>
      <c r="AF1759" s="7" t="s">
        <v>50</v>
      </c>
      <c r="AG1759" s="7" t="s">
        <v>253</v>
      </c>
      <c r="AH1759" s="7" t="s">
        <v>286</v>
      </c>
    </row>
    <row r="1760" spans="1:34" ht="9.75" customHeight="1" x14ac:dyDescent="0.2">
      <c r="A1760" s="7" t="s">
        <v>37</v>
      </c>
      <c r="B1760" s="7" t="s">
        <v>38</v>
      </c>
      <c r="C1760" s="7"/>
      <c r="D1760" s="7" t="s">
        <v>4317</v>
      </c>
      <c r="E1760" s="8">
        <v>1</v>
      </c>
      <c r="F1760" s="7" t="s">
        <v>41</v>
      </c>
      <c r="G1760" s="7"/>
      <c r="H1760" s="9"/>
      <c r="I1760" s="10">
        <v>1772</v>
      </c>
      <c r="J1760" s="9"/>
      <c r="K1760" s="9"/>
      <c r="L1760" s="10">
        <v>1532</v>
      </c>
      <c r="M1760" s="9"/>
      <c r="N1760" s="10">
        <v>1532</v>
      </c>
      <c r="O1760" s="9"/>
      <c r="P1760" s="10"/>
      <c r="Q1760" s="10"/>
      <c r="R1760" s="10"/>
      <c r="S1760" s="7" t="s">
        <v>407</v>
      </c>
      <c r="T1760" s="7" t="s">
        <v>4308</v>
      </c>
      <c r="U1760" s="7" t="s">
        <v>44</v>
      </c>
      <c r="V1760" s="7" t="s">
        <v>281</v>
      </c>
      <c r="W1760" s="7" t="s">
        <v>282</v>
      </c>
      <c r="X1760" s="7" t="s">
        <v>283</v>
      </c>
      <c r="Y1760" s="7" t="s">
        <v>4318</v>
      </c>
      <c r="Z1760" s="7" t="s">
        <v>4310</v>
      </c>
      <c r="AA1760" s="7"/>
      <c r="AB1760" s="7"/>
      <c r="AC1760" s="7" t="s">
        <v>278</v>
      </c>
      <c r="AD1760" s="7"/>
      <c r="AE1760" s="7"/>
      <c r="AF1760" s="7" t="s">
        <v>50</v>
      </c>
      <c r="AG1760" s="7" t="s">
        <v>253</v>
      </c>
      <c r="AH1760" s="7" t="s">
        <v>286</v>
      </c>
    </row>
    <row r="1761" spans="1:34" ht="9.75" customHeight="1" x14ac:dyDescent="0.2">
      <c r="A1761" s="7" t="s">
        <v>37</v>
      </c>
      <c r="B1761" s="7" t="s">
        <v>38</v>
      </c>
      <c r="C1761" s="7"/>
      <c r="D1761" s="7" t="s">
        <v>4319</v>
      </c>
      <c r="E1761" s="8">
        <v>1</v>
      </c>
      <c r="F1761" s="7" t="s">
        <v>41</v>
      </c>
      <c r="G1761" s="7"/>
      <c r="H1761" s="9"/>
      <c r="I1761" s="10">
        <v>428706</v>
      </c>
      <c r="J1761" s="9"/>
      <c r="K1761" s="9"/>
      <c r="L1761" s="10">
        <v>355656</v>
      </c>
      <c r="M1761" s="9"/>
      <c r="N1761" s="10">
        <v>355656</v>
      </c>
      <c r="O1761" s="9"/>
      <c r="P1761" s="10"/>
      <c r="Q1761" s="10"/>
      <c r="R1761" s="10"/>
      <c r="S1761" s="7" t="s">
        <v>407</v>
      </c>
      <c r="T1761" s="7" t="s">
        <v>4320</v>
      </c>
      <c r="U1761" s="7" t="s">
        <v>44</v>
      </c>
      <c r="V1761" s="7" t="s">
        <v>281</v>
      </c>
      <c r="W1761" s="7" t="s">
        <v>282</v>
      </c>
      <c r="X1761" s="7" t="s">
        <v>333</v>
      </c>
      <c r="Y1761" s="7" t="s">
        <v>4321</v>
      </c>
      <c r="Z1761" s="7" t="s">
        <v>4322</v>
      </c>
      <c r="AA1761" s="7"/>
      <c r="AB1761" s="7"/>
      <c r="AC1761" s="7" t="s">
        <v>340</v>
      </c>
      <c r="AD1761" s="7"/>
      <c r="AE1761" s="7" t="s">
        <v>207</v>
      </c>
      <c r="AF1761" s="7" t="s">
        <v>50</v>
      </c>
      <c r="AG1761" s="7" t="s">
        <v>175</v>
      </c>
      <c r="AH1761" s="7" t="s">
        <v>345</v>
      </c>
    </row>
    <row r="1762" spans="1:34" ht="9.75" customHeight="1" x14ac:dyDescent="0.2">
      <c r="A1762" s="7" t="s">
        <v>37</v>
      </c>
      <c r="B1762" s="7" t="s">
        <v>38</v>
      </c>
      <c r="C1762" s="7"/>
      <c r="D1762" s="7" t="s">
        <v>4323</v>
      </c>
      <c r="E1762" s="8">
        <v>1</v>
      </c>
      <c r="F1762" s="7" t="s">
        <v>41</v>
      </c>
      <c r="G1762" s="7"/>
      <c r="H1762" s="9"/>
      <c r="I1762" s="10">
        <v>10718</v>
      </c>
      <c r="J1762" s="9"/>
      <c r="K1762" s="9"/>
      <c r="L1762" s="10">
        <v>8892</v>
      </c>
      <c r="M1762" s="9"/>
      <c r="N1762" s="10">
        <v>8892</v>
      </c>
      <c r="O1762" s="9"/>
      <c r="P1762" s="10"/>
      <c r="Q1762" s="10"/>
      <c r="R1762" s="10"/>
      <c r="S1762" s="7" t="s">
        <v>407</v>
      </c>
      <c r="T1762" s="7" t="s">
        <v>4320</v>
      </c>
      <c r="U1762" s="7" t="s">
        <v>44</v>
      </c>
      <c r="V1762" s="7" t="s">
        <v>281</v>
      </c>
      <c r="W1762" s="7" t="s">
        <v>282</v>
      </c>
      <c r="X1762" s="7" t="s">
        <v>333</v>
      </c>
      <c r="Y1762" s="7" t="s">
        <v>4324</v>
      </c>
      <c r="Z1762" s="7" t="s">
        <v>4322</v>
      </c>
      <c r="AA1762" s="7"/>
      <c r="AB1762" s="7"/>
      <c r="AC1762" s="7" t="s">
        <v>340</v>
      </c>
      <c r="AD1762" s="7"/>
      <c r="AE1762" s="7" t="s">
        <v>415</v>
      </c>
      <c r="AF1762" s="7" t="s">
        <v>50</v>
      </c>
      <c r="AG1762" s="7" t="s">
        <v>175</v>
      </c>
      <c r="AH1762" s="7" t="s">
        <v>345</v>
      </c>
    </row>
    <row r="1763" spans="1:34" ht="9.75" customHeight="1" x14ac:dyDescent="0.2">
      <c r="A1763" s="7" t="s">
        <v>37</v>
      </c>
      <c r="B1763" s="7" t="s">
        <v>38</v>
      </c>
      <c r="C1763" s="7"/>
      <c r="D1763" s="7" t="s">
        <v>4325</v>
      </c>
      <c r="E1763" s="8">
        <v>1</v>
      </c>
      <c r="F1763" s="7" t="s">
        <v>41</v>
      </c>
      <c r="G1763" s="7"/>
      <c r="H1763" s="9"/>
      <c r="I1763" s="10">
        <v>15200</v>
      </c>
      <c r="J1763" s="9"/>
      <c r="K1763" s="9"/>
      <c r="L1763" s="10">
        <v>11742</v>
      </c>
      <c r="M1763" s="9"/>
      <c r="N1763" s="10">
        <v>11742</v>
      </c>
      <c r="O1763" s="9"/>
      <c r="P1763" s="10"/>
      <c r="Q1763" s="10"/>
      <c r="R1763" s="10"/>
      <c r="S1763" s="7" t="s">
        <v>407</v>
      </c>
      <c r="T1763" s="7" t="s">
        <v>4320</v>
      </c>
      <c r="U1763" s="7" t="s">
        <v>44</v>
      </c>
      <c r="V1763" s="7" t="s">
        <v>281</v>
      </c>
      <c r="W1763" s="7" t="s">
        <v>282</v>
      </c>
      <c r="X1763" s="7" t="s">
        <v>333</v>
      </c>
      <c r="Y1763" s="7" t="s">
        <v>4326</v>
      </c>
      <c r="Z1763" s="7" t="s">
        <v>4322</v>
      </c>
      <c r="AA1763" s="7"/>
      <c r="AB1763" s="7"/>
      <c r="AC1763" s="7" t="s">
        <v>340</v>
      </c>
      <c r="AD1763" s="7"/>
      <c r="AE1763" s="7" t="s">
        <v>3255</v>
      </c>
      <c r="AF1763" s="7" t="s">
        <v>50</v>
      </c>
      <c r="AG1763" s="7" t="s">
        <v>175</v>
      </c>
      <c r="AH1763" s="7" t="s">
        <v>345</v>
      </c>
    </row>
    <row r="1764" spans="1:34" ht="9.75" customHeight="1" x14ac:dyDescent="0.2">
      <c r="A1764" s="7" t="s">
        <v>37</v>
      </c>
      <c r="B1764" s="7" t="s">
        <v>38</v>
      </c>
      <c r="C1764" s="7"/>
      <c r="D1764" s="7" t="s">
        <v>4327</v>
      </c>
      <c r="E1764" s="8">
        <v>1</v>
      </c>
      <c r="F1764" s="7" t="s">
        <v>41</v>
      </c>
      <c r="G1764" s="7"/>
      <c r="H1764" s="9"/>
      <c r="I1764" s="10">
        <v>28836</v>
      </c>
      <c r="J1764" s="9"/>
      <c r="K1764" s="9"/>
      <c r="L1764" s="10">
        <v>22276</v>
      </c>
      <c r="M1764" s="9"/>
      <c r="N1764" s="10">
        <v>22276</v>
      </c>
      <c r="O1764" s="9"/>
      <c r="P1764" s="10"/>
      <c r="Q1764" s="10"/>
      <c r="R1764" s="10"/>
      <c r="S1764" s="7" t="s">
        <v>407</v>
      </c>
      <c r="T1764" s="7" t="s">
        <v>4320</v>
      </c>
      <c r="U1764" s="7" t="s">
        <v>44</v>
      </c>
      <c r="V1764" s="7" t="s">
        <v>281</v>
      </c>
      <c r="W1764" s="7" t="s">
        <v>282</v>
      </c>
      <c r="X1764" s="7" t="s">
        <v>333</v>
      </c>
      <c r="Y1764" s="7" t="s">
        <v>4328</v>
      </c>
      <c r="Z1764" s="7" t="s">
        <v>4322</v>
      </c>
      <c r="AA1764" s="7"/>
      <c r="AB1764" s="7"/>
      <c r="AC1764" s="7" t="s">
        <v>340</v>
      </c>
      <c r="AD1764" s="7"/>
      <c r="AE1764" s="7" t="s">
        <v>427</v>
      </c>
      <c r="AF1764" s="7" t="s">
        <v>50</v>
      </c>
      <c r="AG1764" s="7" t="s">
        <v>175</v>
      </c>
      <c r="AH1764" s="7" t="s">
        <v>345</v>
      </c>
    </row>
    <row r="1765" spans="1:34" ht="9.75" customHeight="1" x14ac:dyDescent="0.2">
      <c r="A1765" s="7" t="s">
        <v>37</v>
      </c>
      <c r="B1765" s="7" t="s">
        <v>38</v>
      </c>
      <c r="C1765" s="7"/>
      <c r="D1765" s="7" t="s">
        <v>4329</v>
      </c>
      <c r="E1765" s="8">
        <v>1</v>
      </c>
      <c r="F1765" s="7" t="s">
        <v>41</v>
      </c>
      <c r="G1765" s="7"/>
      <c r="H1765" s="9"/>
      <c r="I1765" s="10">
        <v>94636</v>
      </c>
      <c r="J1765" s="9"/>
      <c r="K1765" s="9"/>
      <c r="L1765" s="10">
        <v>72934</v>
      </c>
      <c r="M1765" s="9"/>
      <c r="N1765" s="10">
        <v>72934</v>
      </c>
      <c r="O1765" s="9"/>
      <c r="P1765" s="10"/>
      <c r="Q1765" s="10"/>
      <c r="R1765" s="10"/>
      <c r="S1765" s="7" t="s">
        <v>407</v>
      </c>
      <c r="T1765" s="7" t="s">
        <v>4320</v>
      </c>
      <c r="U1765" s="7" t="s">
        <v>44</v>
      </c>
      <c r="V1765" s="7" t="s">
        <v>281</v>
      </c>
      <c r="W1765" s="7" t="s">
        <v>282</v>
      </c>
      <c r="X1765" s="7" t="s">
        <v>333</v>
      </c>
      <c r="Y1765" s="7" t="s">
        <v>4330</v>
      </c>
      <c r="Z1765" s="7" t="s">
        <v>4331</v>
      </c>
      <c r="AA1765" s="7"/>
      <c r="AB1765" s="7"/>
      <c r="AC1765" s="7" t="s">
        <v>340</v>
      </c>
      <c r="AD1765" s="7"/>
      <c r="AE1765" s="7" t="s">
        <v>4332</v>
      </c>
      <c r="AF1765" s="7" t="s">
        <v>50</v>
      </c>
      <c r="AG1765" s="7" t="s">
        <v>175</v>
      </c>
      <c r="AH1765" s="7" t="s">
        <v>345</v>
      </c>
    </row>
    <row r="1766" spans="1:34" ht="9.75" customHeight="1" x14ac:dyDescent="0.2">
      <c r="A1766" s="7" t="s">
        <v>37</v>
      </c>
      <c r="B1766" s="7" t="s">
        <v>38</v>
      </c>
      <c r="C1766" s="7"/>
      <c r="D1766" s="7" t="s">
        <v>4333</v>
      </c>
      <c r="E1766" s="8">
        <v>1</v>
      </c>
      <c r="F1766" s="7" t="s">
        <v>41</v>
      </c>
      <c r="G1766" s="7"/>
      <c r="H1766" s="9"/>
      <c r="I1766" s="10">
        <v>5085</v>
      </c>
      <c r="J1766" s="9"/>
      <c r="K1766" s="9"/>
      <c r="L1766" s="10">
        <v>6645</v>
      </c>
      <c r="M1766" s="9"/>
      <c r="N1766" s="10">
        <v>6645</v>
      </c>
      <c r="O1766" s="9"/>
      <c r="P1766" s="10"/>
      <c r="Q1766" s="10"/>
      <c r="R1766" s="10"/>
      <c r="S1766" s="7" t="s">
        <v>407</v>
      </c>
      <c r="T1766" s="7" t="s">
        <v>4320</v>
      </c>
      <c r="U1766" s="7" t="s">
        <v>44</v>
      </c>
      <c r="V1766" s="7" t="s">
        <v>281</v>
      </c>
      <c r="W1766" s="7" t="s">
        <v>282</v>
      </c>
      <c r="X1766" s="7" t="s">
        <v>333</v>
      </c>
      <c r="Y1766" s="7" t="s">
        <v>4334</v>
      </c>
      <c r="Z1766" s="7" t="s">
        <v>4331</v>
      </c>
      <c r="AA1766" s="7"/>
      <c r="AB1766" s="7"/>
      <c r="AC1766" s="7" t="s">
        <v>340</v>
      </c>
      <c r="AD1766" s="7"/>
      <c r="AE1766" s="7" t="s">
        <v>4335</v>
      </c>
      <c r="AF1766" s="7" t="s">
        <v>50</v>
      </c>
      <c r="AG1766" s="7" t="s">
        <v>175</v>
      </c>
      <c r="AH1766" s="7" t="s">
        <v>345</v>
      </c>
    </row>
    <row r="1767" spans="1:34" ht="9.75" customHeight="1" x14ac:dyDescent="0.2">
      <c r="A1767" s="7" t="s">
        <v>37</v>
      </c>
      <c r="B1767" s="7" t="s">
        <v>38</v>
      </c>
      <c r="C1767" s="7"/>
      <c r="D1767" s="7" t="s">
        <v>4336</v>
      </c>
      <c r="E1767" s="8">
        <v>1</v>
      </c>
      <c r="F1767" s="7" t="s">
        <v>41</v>
      </c>
      <c r="G1767" s="7"/>
      <c r="H1767" s="9"/>
      <c r="I1767" s="10">
        <v>1819</v>
      </c>
      <c r="J1767" s="9"/>
      <c r="K1767" s="9"/>
      <c r="L1767" s="10">
        <v>1855</v>
      </c>
      <c r="M1767" s="9"/>
      <c r="N1767" s="10">
        <v>1855</v>
      </c>
      <c r="O1767" s="9"/>
      <c r="P1767" s="10"/>
      <c r="Q1767" s="10"/>
      <c r="R1767" s="10"/>
      <c r="S1767" s="7" t="s">
        <v>407</v>
      </c>
      <c r="T1767" s="7" t="s">
        <v>4320</v>
      </c>
      <c r="U1767" s="7" t="s">
        <v>44</v>
      </c>
      <c r="V1767" s="7" t="s">
        <v>281</v>
      </c>
      <c r="W1767" s="7" t="s">
        <v>282</v>
      </c>
      <c r="X1767" s="7" t="s">
        <v>333</v>
      </c>
      <c r="Y1767" s="7" t="s">
        <v>4337</v>
      </c>
      <c r="Z1767" s="7" t="s">
        <v>4331</v>
      </c>
      <c r="AA1767" s="7"/>
      <c r="AB1767" s="7"/>
      <c r="AC1767" s="7" t="s">
        <v>340</v>
      </c>
      <c r="AD1767" s="7"/>
      <c r="AE1767" s="7" t="s">
        <v>3871</v>
      </c>
      <c r="AF1767" s="7" t="s">
        <v>50</v>
      </c>
      <c r="AG1767" s="7" t="s">
        <v>175</v>
      </c>
      <c r="AH1767" s="7" t="s">
        <v>345</v>
      </c>
    </row>
    <row r="1768" spans="1:34" ht="9.75" customHeight="1" x14ac:dyDescent="0.2">
      <c r="A1768" s="7" t="s">
        <v>37</v>
      </c>
      <c r="B1768" s="7" t="s">
        <v>38</v>
      </c>
      <c r="C1768" s="7"/>
      <c r="D1768" s="7" t="s">
        <v>4338</v>
      </c>
      <c r="E1768" s="8">
        <v>1</v>
      </c>
      <c r="F1768" s="7" t="s">
        <v>41</v>
      </c>
      <c r="G1768" s="7"/>
      <c r="H1768" s="9"/>
      <c r="I1768" s="10">
        <v>39269</v>
      </c>
      <c r="J1768" s="9"/>
      <c r="K1768" s="9"/>
      <c r="L1768" s="10">
        <v>31002</v>
      </c>
      <c r="M1768" s="9"/>
      <c r="N1768" s="10">
        <v>31002</v>
      </c>
      <c r="O1768" s="9"/>
      <c r="P1768" s="10"/>
      <c r="Q1768" s="10"/>
      <c r="R1768" s="10"/>
      <c r="S1768" s="7" t="s">
        <v>407</v>
      </c>
      <c r="T1768" s="7" t="s">
        <v>4339</v>
      </c>
      <c r="U1768" s="7"/>
      <c r="V1768" s="7"/>
      <c r="W1768" s="7"/>
      <c r="X1768" s="7"/>
      <c r="Y1768" s="7" t="s">
        <v>4340</v>
      </c>
      <c r="Z1768" s="7" t="s">
        <v>4341</v>
      </c>
      <c r="AA1768" s="7"/>
      <c r="AB1768" s="7"/>
      <c r="AC1768" s="7" t="s">
        <v>346</v>
      </c>
      <c r="AD1768" s="7"/>
      <c r="AE1768" s="7" t="s">
        <v>207</v>
      </c>
      <c r="AF1768" s="7" t="s">
        <v>50</v>
      </c>
      <c r="AG1768" s="7" t="s">
        <v>253</v>
      </c>
      <c r="AH1768" s="7" t="s">
        <v>351</v>
      </c>
    </row>
    <row r="1769" spans="1:34" ht="9.75" customHeight="1" x14ac:dyDescent="0.2">
      <c r="A1769" s="7" t="s">
        <v>37</v>
      </c>
      <c r="B1769" s="7" t="s">
        <v>38</v>
      </c>
      <c r="C1769" s="7"/>
      <c r="D1769" s="7" t="s">
        <v>4342</v>
      </c>
      <c r="E1769" s="8">
        <v>1</v>
      </c>
      <c r="F1769" s="7" t="s">
        <v>41</v>
      </c>
      <c r="G1769" s="7"/>
      <c r="H1769" s="9"/>
      <c r="I1769" s="10">
        <v>943</v>
      </c>
      <c r="J1769" s="9"/>
      <c r="K1769" s="9"/>
      <c r="L1769" s="10">
        <v>600</v>
      </c>
      <c r="M1769" s="9"/>
      <c r="N1769" s="10">
        <v>600</v>
      </c>
      <c r="O1769" s="9"/>
      <c r="P1769" s="10"/>
      <c r="Q1769" s="10"/>
      <c r="R1769" s="10"/>
      <c r="S1769" s="7" t="s">
        <v>407</v>
      </c>
      <c r="T1769" s="7" t="s">
        <v>4339</v>
      </c>
      <c r="U1769" s="7"/>
      <c r="V1769" s="7"/>
      <c r="W1769" s="7"/>
      <c r="X1769" s="7"/>
      <c r="Y1769" s="7" t="s">
        <v>4343</v>
      </c>
      <c r="Z1769" s="7" t="s">
        <v>4341</v>
      </c>
      <c r="AA1769" s="7"/>
      <c r="AB1769" s="7"/>
      <c r="AC1769" s="7" t="s">
        <v>346</v>
      </c>
      <c r="AD1769" s="7"/>
      <c r="AE1769" s="7" t="s">
        <v>415</v>
      </c>
      <c r="AF1769" s="7" t="s">
        <v>50</v>
      </c>
      <c r="AG1769" s="7" t="s">
        <v>253</v>
      </c>
      <c r="AH1769" s="7" t="s">
        <v>351</v>
      </c>
    </row>
    <row r="1770" spans="1:34" ht="9.75" customHeight="1" x14ac:dyDescent="0.2">
      <c r="A1770" s="7" t="s">
        <v>37</v>
      </c>
      <c r="B1770" s="7" t="s">
        <v>38</v>
      </c>
      <c r="C1770" s="7"/>
      <c r="D1770" s="7" t="s">
        <v>4344</v>
      </c>
      <c r="E1770" s="8">
        <v>1</v>
      </c>
      <c r="F1770" s="7" t="s">
        <v>41</v>
      </c>
      <c r="G1770" s="7"/>
      <c r="H1770" s="9"/>
      <c r="I1770" s="9"/>
      <c r="J1770" s="9"/>
      <c r="K1770" s="9"/>
      <c r="L1770" s="9"/>
      <c r="M1770" s="9"/>
      <c r="N1770" s="9"/>
      <c r="O1770" s="9"/>
      <c r="P1770" s="9"/>
      <c r="Q1770" s="9"/>
      <c r="R1770" s="9"/>
      <c r="S1770" s="7" t="s">
        <v>407</v>
      </c>
      <c r="T1770" s="7" t="s">
        <v>4339</v>
      </c>
      <c r="U1770" s="7"/>
      <c r="V1770" s="7"/>
      <c r="W1770" s="7"/>
      <c r="X1770" s="7"/>
      <c r="Y1770" s="7" t="s">
        <v>4345</v>
      </c>
      <c r="Z1770" s="7" t="s">
        <v>4346</v>
      </c>
      <c r="AA1770" s="7"/>
      <c r="AB1770" s="7"/>
      <c r="AC1770" s="7" t="s">
        <v>346</v>
      </c>
      <c r="AD1770" s="7"/>
      <c r="AE1770" s="7"/>
      <c r="AF1770" s="7" t="s">
        <v>50</v>
      </c>
      <c r="AG1770" s="7" t="s">
        <v>253</v>
      </c>
      <c r="AH1770" s="7" t="s">
        <v>351</v>
      </c>
    </row>
    <row r="1771" spans="1:34" ht="9.75" customHeight="1" x14ac:dyDescent="0.2">
      <c r="A1771" s="7" t="s">
        <v>37</v>
      </c>
      <c r="B1771" s="7" t="s">
        <v>38</v>
      </c>
      <c r="C1771" s="7"/>
      <c r="D1771" s="7" t="s">
        <v>4347</v>
      </c>
      <c r="E1771" s="8">
        <v>1</v>
      </c>
      <c r="F1771" s="7" t="s">
        <v>41</v>
      </c>
      <c r="G1771" s="7"/>
      <c r="H1771" s="9"/>
      <c r="I1771" s="9"/>
      <c r="J1771" s="9"/>
      <c r="K1771" s="9"/>
      <c r="L1771" s="9"/>
      <c r="M1771" s="9"/>
      <c r="N1771" s="9"/>
      <c r="O1771" s="9"/>
      <c r="P1771" s="9"/>
      <c r="Q1771" s="9"/>
      <c r="R1771" s="9"/>
      <c r="S1771" s="7" t="s">
        <v>407</v>
      </c>
      <c r="T1771" s="7" t="s">
        <v>4339</v>
      </c>
      <c r="U1771" s="7"/>
      <c r="V1771" s="7"/>
      <c r="W1771" s="7"/>
      <c r="X1771" s="7"/>
      <c r="Y1771" s="7" t="s">
        <v>4348</v>
      </c>
      <c r="Z1771" s="7" t="s">
        <v>4346</v>
      </c>
      <c r="AA1771" s="7"/>
      <c r="AB1771" s="7"/>
      <c r="AC1771" s="7" t="s">
        <v>346</v>
      </c>
      <c r="AD1771" s="7"/>
      <c r="AE1771" s="7"/>
      <c r="AF1771" s="7" t="s">
        <v>50</v>
      </c>
      <c r="AG1771" s="7" t="s">
        <v>253</v>
      </c>
      <c r="AH1771" s="7" t="s">
        <v>351</v>
      </c>
    </row>
    <row r="1772" spans="1:34" ht="9.75" customHeight="1" x14ac:dyDescent="0.2">
      <c r="A1772" s="7" t="s">
        <v>37</v>
      </c>
      <c r="B1772" s="7" t="s">
        <v>38</v>
      </c>
      <c r="C1772" s="7"/>
      <c r="D1772" s="7" t="s">
        <v>4349</v>
      </c>
      <c r="E1772" s="8">
        <v>1</v>
      </c>
      <c r="F1772" s="7" t="s">
        <v>41</v>
      </c>
      <c r="G1772" s="7"/>
      <c r="H1772" s="9"/>
      <c r="I1772" s="10">
        <v>69607</v>
      </c>
      <c r="J1772" s="9"/>
      <c r="K1772" s="9"/>
      <c r="L1772" s="10">
        <v>73083</v>
      </c>
      <c r="M1772" s="9"/>
      <c r="N1772" s="10">
        <v>73083</v>
      </c>
      <c r="O1772" s="9"/>
      <c r="P1772" s="10"/>
      <c r="Q1772" s="10"/>
      <c r="R1772" s="10"/>
      <c r="S1772" s="7" t="s">
        <v>407</v>
      </c>
      <c r="T1772" s="7" t="s">
        <v>4350</v>
      </c>
      <c r="U1772" s="7" t="s">
        <v>44</v>
      </c>
      <c r="V1772" s="7" t="s">
        <v>355</v>
      </c>
      <c r="W1772" s="7" t="s">
        <v>356</v>
      </c>
      <c r="X1772" s="7" t="s">
        <v>357</v>
      </c>
      <c r="Y1772" s="7" t="s">
        <v>4351</v>
      </c>
      <c r="Z1772" s="7" t="s">
        <v>4352</v>
      </c>
      <c r="AA1772" s="7"/>
      <c r="AB1772" s="7"/>
      <c r="AC1772" s="7" t="s">
        <v>352</v>
      </c>
      <c r="AD1772" s="7"/>
      <c r="AE1772" s="7" t="s">
        <v>207</v>
      </c>
      <c r="AF1772" s="7" t="s">
        <v>50</v>
      </c>
      <c r="AG1772" s="7" t="s">
        <v>253</v>
      </c>
      <c r="AH1772" s="7" t="s">
        <v>360</v>
      </c>
    </row>
    <row r="1773" spans="1:34" ht="9.75" customHeight="1" x14ac:dyDescent="0.2">
      <c r="A1773" s="7" t="s">
        <v>37</v>
      </c>
      <c r="B1773" s="7" t="s">
        <v>38</v>
      </c>
      <c r="C1773" s="7"/>
      <c r="D1773" s="7" t="s">
        <v>4353</v>
      </c>
      <c r="E1773" s="8">
        <v>1</v>
      </c>
      <c r="F1773" s="7" t="s">
        <v>41</v>
      </c>
      <c r="G1773" s="7"/>
      <c r="H1773" s="9"/>
      <c r="I1773" s="10">
        <v>1593</v>
      </c>
      <c r="J1773" s="9"/>
      <c r="K1773" s="9"/>
      <c r="L1773" s="10">
        <v>2285</v>
      </c>
      <c r="M1773" s="9"/>
      <c r="N1773" s="10">
        <v>2285</v>
      </c>
      <c r="O1773" s="9"/>
      <c r="P1773" s="10"/>
      <c r="Q1773" s="10"/>
      <c r="R1773" s="10"/>
      <c r="S1773" s="7" t="s">
        <v>407</v>
      </c>
      <c r="T1773" s="7" t="s">
        <v>4350</v>
      </c>
      <c r="U1773" s="7" t="s">
        <v>44</v>
      </c>
      <c r="V1773" s="7" t="s">
        <v>355</v>
      </c>
      <c r="W1773" s="7" t="s">
        <v>356</v>
      </c>
      <c r="X1773" s="7" t="s">
        <v>357</v>
      </c>
      <c r="Y1773" s="7" t="s">
        <v>4354</v>
      </c>
      <c r="Z1773" s="7" t="s">
        <v>4352</v>
      </c>
      <c r="AA1773" s="7"/>
      <c r="AB1773" s="7"/>
      <c r="AC1773" s="7" t="s">
        <v>352</v>
      </c>
      <c r="AD1773" s="7"/>
      <c r="AE1773" s="7" t="s">
        <v>415</v>
      </c>
      <c r="AF1773" s="7" t="s">
        <v>50</v>
      </c>
      <c r="AG1773" s="7" t="s">
        <v>253</v>
      </c>
      <c r="AH1773" s="7" t="s">
        <v>360</v>
      </c>
    </row>
    <row r="1774" spans="1:34" ht="9.75" customHeight="1" x14ac:dyDescent="0.2">
      <c r="A1774" s="7" t="s">
        <v>37</v>
      </c>
      <c r="B1774" s="7" t="s">
        <v>38</v>
      </c>
      <c r="C1774" s="7"/>
      <c r="D1774" s="7" t="s">
        <v>4355</v>
      </c>
      <c r="E1774" s="8">
        <v>1</v>
      </c>
      <c r="F1774" s="7" t="s">
        <v>41</v>
      </c>
      <c r="G1774" s="7"/>
      <c r="H1774" s="9"/>
      <c r="I1774" s="10">
        <v>800</v>
      </c>
      <c r="J1774" s="9"/>
      <c r="K1774" s="9"/>
      <c r="L1774" s="10">
        <v>800</v>
      </c>
      <c r="M1774" s="9"/>
      <c r="N1774" s="10">
        <v>800</v>
      </c>
      <c r="O1774" s="9"/>
      <c r="P1774" s="10"/>
      <c r="Q1774" s="10"/>
      <c r="R1774" s="10"/>
      <c r="S1774" s="7" t="s">
        <v>407</v>
      </c>
      <c r="T1774" s="7" t="s">
        <v>4350</v>
      </c>
      <c r="U1774" s="7" t="s">
        <v>44</v>
      </c>
      <c r="V1774" s="7" t="s">
        <v>355</v>
      </c>
      <c r="W1774" s="7" t="s">
        <v>356</v>
      </c>
      <c r="X1774" s="7" t="s">
        <v>357</v>
      </c>
      <c r="Y1774" s="7" t="s">
        <v>4356</v>
      </c>
      <c r="Z1774" s="7" t="s">
        <v>4352</v>
      </c>
      <c r="AA1774" s="7"/>
      <c r="AB1774" s="7"/>
      <c r="AC1774" s="7" t="s">
        <v>352</v>
      </c>
      <c r="AD1774" s="7"/>
      <c r="AE1774" s="7" t="s">
        <v>4257</v>
      </c>
      <c r="AF1774" s="7" t="s">
        <v>50</v>
      </c>
      <c r="AG1774" s="7" t="s">
        <v>253</v>
      </c>
      <c r="AH1774" s="7" t="s">
        <v>360</v>
      </c>
    </row>
    <row r="1775" spans="1:34" ht="9.75" customHeight="1" x14ac:dyDescent="0.2">
      <c r="A1775" s="7" t="s">
        <v>37</v>
      </c>
      <c r="B1775" s="7" t="s">
        <v>38</v>
      </c>
      <c r="C1775" s="7"/>
      <c r="D1775" s="7" t="s">
        <v>4357</v>
      </c>
      <c r="E1775" s="8">
        <v>5</v>
      </c>
      <c r="F1775" s="7" t="s">
        <v>336</v>
      </c>
      <c r="G1775" s="7"/>
      <c r="H1775" s="9"/>
      <c r="I1775" s="10">
        <v>8502</v>
      </c>
      <c r="J1775" s="9"/>
      <c r="K1775" s="9"/>
      <c r="L1775" s="10">
        <v>25269</v>
      </c>
      <c r="M1775" s="9"/>
      <c r="N1775" s="10">
        <v>25269</v>
      </c>
      <c r="O1775" s="9"/>
      <c r="P1775" s="10"/>
      <c r="Q1775" s="10"/>
      <c r="R1775" s="10"/>
      <c r="S1775" s="7" t="s">
        <v>407</v>
      </c>
      <c r="T1775" s="7" t="s">
        <v>4358</v>
      </c>
      <c r="U1775" s="7" t="s">
        <v>44</v>
      </c>
      <c r="V1775" s="7" t="s">
        <v>281</v>
      </c>
      <c r="W1775" s="7" t="s">
        <v>282</v>
      </c>
      <c r="X1775" s="7" t="s">
        <v>333</v>
      </c>
      <c r="Y1775" s="7" t="s">
        <v>4359</v>
      </c>
      <c r="Z1775" s="7" t="s">
        <v>4360</v>
      </c>
      <c r="AA1775" s="7"/>
      <c r="AB1775" s="7"/>
      <c r="AC1775" s="7" t="s">
        <v>361</v>
      </c>
      <c r="AD1775" s="7"/>
      <c r="AE1775" s="7" t="s">
        <v>207</v>
      </c>
      <c r="AF1775" s="7" t="s">
        <v>113</v>
      </c>
      <c r="AG1775" s="7" t="s">
        <v>366</v>
      </c>
      <c r="AH1775" s="7" t="s">
        <v>367</v>
      </c>
    </row>
    <row r="1776" spans="1:34" ht="9.75" customHeight="1" x14ac:dyDescent="0.2">
      <c r="A1776" s="7" t="s">
        <v>37</v>
      </c>
      <c r="B1776" s="7" t="s">
        <v>38</v>
      </c>
      <c r="C1776" s="7"/>
      <c r="D1776" s="7" t="s">
        <v>4361</v>
      </c>
      <c r="E1776" s="8">
        <v>5</v>
      </c>
      <c r="F1776" s="7" t="s">
        <v>336</v>
      </c>
      <c r="G1776" s="7"/>
      <c r="H1776" s="9"/>
      <c r="I1776" s="10">
        <v>651</v>
      </c>
      <c r="J1776" s="9"/>
      <c r="K1776" s="9"/>
      <c r="L1776" s="10">
        <v>4764</v>
      </c>
      <c r="M1776" s="9"/>
      <c r="N1776" s="10">
        <v>4764</v>
      </c>
      <c r="O1776" s="9"/>
      <c r="P1776" s="10"/>
      <c r="Q1776" s="10"/>
      <c r="R1776" s="10"/>
      <c r="S1776" s="7" t="s">
        <v>407</v>
      </c>
      <c r="T1776" s="7" t="s">
        <v>4358</v>
      </c>
      <c r="U1776" s="7" t="s">
        <v>44</v>
      </c>
      <c r="V1776" s="7" t="s">
        <v>281</v>
      </c>
      <c r="W1776" s="7" t="s">
        <v>282</v>
      </c>
      <c r="X1776" s="7" t="s">
        <v>333</v>
      </c>
      <c r="Y1776" s="7" t="s">
        <v>4362</v>
      </c>
      <c r="Z1776" s="7" t="s">
        <v>4360</v>
      </c>
      <c r="AA1776" s="7"/>
      <c r="AB1776" s="7"/>
      <c r="AC1776" s="7" t="s">
        <v>361</v>
      </c>
      <c r="AD1776" s="7"/>
      <c r="AE1776" s="7" t="s">
        <v>3255</v>
      </c>
      <c r="AF1776" s="7" t="s">
        <v>113</v>
      </c>
      <c r="AG1776" s="7" t="s">
        <v>366</v>
      </c>
      <c r="AH1776" s="7" t="s">
        <v>367</v>
      </c>
    </row>
    <row r="1777" spans="1:34" ht="9.75" customHeight="1" x14ac:dyDescent="0.2">
      <c r="A1777" s="7" t="s">
        <v>37</v>
      </c>
      <c r="B1777" s="7" t="s">
        <v>38</v>
      </c>
      <c r="C1777" s="7"/>
      <c r="D1777" s="7" t="s">
        <v>4363</v>
      </c>
      <c r="E1777" s="8">
        <v>5</v>
      </c>
      <c r="F1777" s="7" t="s">
        <v>336</v>
      </c>
      <c r="G1777" s="7"/>
      <c r="H1777" s="9"/>
      <c r="I1777" s="10">
        <v>5483</v>
      </c>
      <c r="J1777" s="9"/>
      <c r="K1777" s="9"/>
      <c r="L1777" s="10">
        <v>14124</v>
      </c>
      <c r="M1777" s="9"/>
      <c r="N1777" s="10">
        <v>14124</v>
      </c>
      <c r="O1777" s="9"/>
      <c r="P1777" s="10"/>
      <c r="Q1777" s="10"/>
      <c r="R1777" s="10"/>
      <c r="S1777" s="7" t="s">
        <v>407</v>
      </c>
      <c r="T1777" s="7" t="s">
        <v>4358</v>
      </c>
      <c r="U1777" s="7" t="s">
        <v>44</v>
      </c>
      <c r="V1777" s="7" t="s">
        <v>281</v>
      </c>
      <c r="W1777" s="7" t="s">
        <v>282</v>
      </c>
      <c r="X1777" s="7" t="s">
        <v>333</v>
      </c>
      <c r="Y1777" s="7" t="s">
        <v>4364</v>
      </c>
      <c r="Z1777" s="7" t="s">
        <v>4360</v>
      </c>
      <c r="AA1777" s="7"/>
      <c r="AB1777" s="7"/>
      <c r="AC1777" s="7" t="s">
        <v>361</v>
      </c>
      <c r="AD1777" s="7"/>
      <c r="AE1777" s="7" t="s">
        <v>4257</v>
      </c>
      <c r="AF1777" s="7" t="s">
        <v>113</v>
      </c>
      <c r="AG1777" s="7" t="s">
        <v>366</v>
      </c>
      <c r="AH1777" s="7" t="s">
        <v>367</v>
      </c>
    </row>
    <row r="1778" spans="1:34" ht="9.75" customHeight="1" x14ac:dyDescent="0.2">
      <c r="A1778" s="7" t="s">
        <v>37</v>
      </c>
      <c r="B1778" s="7" t="s">
        <v>38</v>
      </c>
      <c r="C1778" s="7"/>
      <c r="D1778" s="7" t="s">
        <v>4365</v>
      </c>
      <c r="E1778" s="8">
        <v>5</v>
      </c>
      <c r="F1778" s="7" t="s">
        <v>336</v>
      </c>
      <c r="G1778" s="7"/>
      <c r="H1778" s="9"/>
      <c r="I1778" s="10">
        <v>650</v>
      </c>
      <c r="J1778" s="9"/>
      <c r="K1778" s="9"/>
      <c r="L1778" s="10">
        <v>930</v>
      </c>
      <c r="M1778" s="9"/>
      <c r="N1778" s="10">
        <v>930</v>
      </c>
      <c r="O1778" s="9"/>
      <c r="P1778" s="10"/>
      <c r="Q1778" s="10"/>
      <c r="R1778" s="10"/>
      <c r="S1778" s="7" t="s">
        <v>407</v>
      </c>
      <c r="T1778" s="7" t="s">
        <v>4358</v>
      </c>
      <c r="U1778" s="7" t="s">
        <v>44</v>
      </c>
      <c r="V1778" s="7" t="s">
        <v>281</v>
      </c>
      <c r="W1778" s="7" t="s">
        <v>282</v>
      </c>
      <c r="X1778" s="7" t="s">
        <v>333</v>
      </c>
      <c r="Y1778" s="7" t="s">
        <v>4366</v>
      </c>
      <c r="Z1778" s="7" t="s">
        <v>4360</v>
      </c>
      <c r="AA1778" s="7"/>
      <c r="AB1778" s="7"/>
      <c r="AC1778" s="7" t="s">
        <v>361</v>
      </c>
      <c r="AD1778" s="7"/>
      <c r="AE1778" s="7" t="s">
        <v>427</v>
      </c>
      <c r="AF1778" s="7" t="s">
        <v>113</v>
      </c>
      <c r="AG1778" s="7" t="s">
        <v>366</v>
      </c>
      <c r="AH1778" s="7" t="s">
        <v>367</v>
      </c>
    </row>
    <row r="1779" spans="1:34" ht="9.75" customHeight="1" x14ac:dyDescent="0.2">
      <c r="A1779" s="7" t="s">
        <v>37</v>
      </c>
      <c r="B1779" s="7" t="s">
        <v>38</v>
      </c>
      <c r="C1779" s="7"/>
      <c r="D1779" s="7" t="s">
        <v>4367</v>
      </c>
      <c r="E1779" s="8">
        <v>1</v>
      </c>
      <c r="F1779" s="7" t="s">
        <v>41</v>
      </c>
      <c r="G1779" s="7"/>
      <c r="H1779" s="9"/>
      <c r="I1779" s="10">
        <v>204939</v>
      </c>
      <c r="J1779" s="9"/>
      <c r="K1779" s="9"/>
      <c r="L1779" s="10">
        <v>45000</v>
      </c>
      <c r="M1779" s="9"/>
      <c r="N1779" s="10">
        <v>45000</v>
      </c>
      <c r="O1779" s="9"/>
      <c r="P1779" s="10"/>
      <c r="Q1779" s="10"/>
      <c r="R1779" s="10"/>
      <c r="S1779" s="7" t="s">
        <v>407</v>
      </c>
      <c r="T1779" s="7" t="s">
        <v>4368</v>
      </c>
      <c r="U1779" s="7"/>
      <c r="V1779" s="7"/>
      <c r="W1779" s="7"/>
      <c r="X1779" s="7"/>
      <c r="Y1779" s="7" t="s">
        <v>4369</v>
      </c>
      <c r="Z1779" s="7" t="s">
        <v>4370</v>
      </c>
      <c r="AA1779" s="7"/>
      <c r="AB1779" s="7"/>
      <c r="AC1779" s="7" t="s">
        <v>368</v>
      </c>
      <c r="AD1779" s="7"/>
      <c r="AE1779" s="7"/>
      <c r="AF1779" s="7" t="s">
        <v>50</v>
      </c>
      <c r="AG1779" s="7" t="s">
        <v>253</v>
      </c>
      <c r="AH1779" s="7" t="s">
        <v>373</v>
      </c>
    </row>
    <row r="1780" spans="1:34" ht="9.75" customHeight="1" x14ac:dyDescent="0.2">
      <c r="A1780" s="7" t="s">
        <v>4371</v>
      </c>
      <c r="B1780" s="7" t="s">
        <v>4372</v>
      </c>
      <c r="C1780" s="7"/>
      <c r="D1780" s="7" t="s">
        <v>4373</v>
      </c>
      <c r="E1780" s="8">
        <v>7</v>
      </c>
      <c r="F1780" s="7"/>
      <c r="G1780" s="7" t="s">
        <v>4374</v>
      </c>
      <c r="H1780" s="9"/>
      <c r="I1780" s="10">
        <v>4419500</v>
      </c>
      <c r="J1780" s="10">
        <v>4304300</v>
      </c>
      <c r="K1780" s="9"/>
      <c r="L1780" s="10">
        <v>2808100</v>
      </c>
      <c r="M1780" s="9"/>
      <c r="N1780" s="10">
        <v>2808100</v>
      </c>
      <c r="O1780" s="9"/>
      <c r="P1780" s="10"/>
      <c r="Q1780" s="10"/>
      <c r="R1780" s="10"/>
      <c r="S1780" s="7" t="s">
        <v>43</v>
      </c>
      <c r="T1780" s="7"/>
      <c r="U1780" s="7"/>
      <c r="V1780" s="7"/>
      <c r="W1780" s="7"/>
      <c r="X1780" s="7"/>
      <c r="Y1780" s="7" t="s">
        <v>4375</v>
      </c>
      <c r="Z1780" s="7" t="s">
        <v>2793</v>
      </c>
      <c r="AA1780" s="7"/>
      <c r="AB1780" s="7"/>
      <c r="AC1780" s="7" t="s">
        <v>4376</v>
      </c>
      <c r="AD1780" s="7"/>
      <c r="AE1780" s="7"/>
      <c r="AF1780" s="7" t="s">
        <v>50</v>
      </c>
      <c r="AG1780" s="7" t="s">
        <v>253</v>
      </c>
      <c r="AH1780" s="7" t="s">
        <v>4377</v>
      </c>
    </row>
    <row r="1781" spans="1:34" ht="9.75" customHeight="1" x14ac:dyDescent="0.2">
      <c r="A1781" s="7" t="s">
        <v>4371</v>
      </c>
      <c r="B1781" s="7" t="s">
        <v>4372</v>
      </c>
      <c r="C1781" s="7"/>
      <c r="D1781" s="7" t="s">
        <v>4378</v>
      </c>
      <c r="E1781" s="8">
        <v>7</v>
      </c>
      <c r="F1781" s="7"/>
      <c r="G1781" s="7"/>
      <c r="H1781" s="9"/>
      <c r="I1781" s="10">
        <v>4310200</v>
      </c>
      <c r="J1781" s="10">
        <v>4304300</v>
      </c>
      <c r="K1781" s="9"/>
      <c r="L1781" s="10">
        <v>2808100</v>
      </c>
      <c r="M1781" s="9"/>
      <c r="N1781" s="10">
        <v>2808100</v>
      </c>
      <c r="O1781" s="9"/>
      <c r="P1781" s="10"/>
      <c r="Q1781" s="10"/>
      <c r="R1781" s="10"/>
      <c r="S1781" s="7" t="s">
        <v>407</v>
      </c>
      <c r="T1781" s="7" t="s">
        <v>4373</v>
      </c>
      <c r="U1781" s="7"/>
      <c r="V1781" s="7"/>
      <c r="W1781" s="7"/>
      <c r="X1781" s="7"/>
      <c r="Y1781" s="7" t="s">
        <v>4379</v>
      </c>
      <c r="Z1781" s="7" t="s">
        <v>2806</v>
      </c>
      <c r="AA1781" s="7"/>
      <c r="AB1781" s="7"/>
      <c r="AC1781" s="7" t="s">
        <v>4376</v>
      </c>
      <c r="AD1781" s="7"/>
      <c r="AE1781" s="7"/>
      <c r="AF1781" s="7" t="s">
        <v>50</v>
      </c>
      <c r="AG1781" s="7" t="s">
        <v>253</v>
      </c>
      <c r="AH1781" s="7" t="s">
        <v>4377</v>
      </c>
    </row>
    <row r="1782" spans="1:34" ht="9.75" customHeight="1" x14ac:dyDescent="0.2">
      <c r="A1782" s="7" t="s">
        <v>4371</v>
      </c>
      <c r="B1782" s="7" t="s">
        <v>4372</v>
      </c>
      <c r="C1782" s="7"/>
      <c r="D1782" s="7" t="s">
        <v>4380</v>
      </c>
      <c r="E1782" s="8">
        <v>7</v>
      </c>
      <c r="F1782" s="7"/>
      <c r="G1782" s="7"/>
      <c r="H1782" s="9"/>
      <c r="I1782" s="10">
        <v>4367700</v>
      </c>
      <c r="J1782" s="10">
        <v>4493900</v>
      </c>
      <c r="K1782" s="9"/>
      <c r="L1782" s="10">
        <v>3070000</v>
      </c>
      <c r="M1782" s="9"/>
      <c r="N1782" s="10">
        <v>3070000</v>
      </c>
      <c r="O1782" s="9"/>
      <c r="P1782" s="10"/>
      <c r="Q1782" s="10"/>
      <c r="R1782" s="10"/>
      <c r="S1782" s="7" t="s">
        <v>407</v>
      </c>
      <c r="T1782" s="7" t="s">
        <v>4373</v>
      </c>
      <c r="U1782" s="7"/>
      <c r="V1782" s="7"/>
      <c r="W1782" s="7"/>
      <c r="X1782" s="7"/>
      <c r="Y1782" s="7" t="s">
        <v>4381</v>
      </c>
      <c r="Z1782" s="7" t="s">
        <v>2806</v>
      </c>
      <c r="AA1782" s="7"/>
      <c r="AB1782" s="7"/>
      <c r="AC1782" s="7" t="s">
        <v>4376</v>
      </c>
      <c r="AD1782" s="7"/>
      <c r="AE1782" s="7"/>
      <c r="AF1782" s="7" t="s">
        <v>50</v>
      </c>
      <c r="AG1782" s="7" t="s">
        <v>253</v>
      </c>
      <c r="AH1782" s="7" t="s">
        <v>4377</v>
      </c>
    </row>
    <row r="1783" spans="1:34" ht="9.75" customHeight="1" x14ac:dyDescent="0.2">
      <c r="A1783" s="7" t="s">
        <v>4371</v>
      </c>
      <c r="B1783" s="7" t="s">
        <v>4372</v>
      </c>
      <c r="C1783" s="7"/>
      <c r="D1783" s="7" t="s">
        <v>4382</v>
      </c>
      <c r="E1783" s="8">
        <v>2</v>
      </c>
      <c r="F1783" s="7" t="s">
        <v>4383</v>
      </c>
      <c r="G1783" s="7" t="s">
        <v>4384</v>
      </c>
      <c r="H1783" s="9"/>
      <c r="I1783" s="9"/>
      <c r="J1783" s="9"/>
      <c r="K1783" s="9"/>
      <c r="L1783" s="10">
        <v>-969320</v>
      </c>
      <c r="M1783" s="9"/>
      <c r="N1783" s="10">
        <v>-969320</v>
      </c>
      <c r="O1783" s="9"/>
      <c r="P1783" s="10"/>
      <c r="Q1783" s="10"/>
      <c r="R1783" s="10"/>
      <c r="S1783" s="7" t="s">
        <v>54</v>
      </c>
      <c r="T1783" s="7" t="s">
        <v>4385</v>
      </c>
      <c r="U1783" s="7" t="s">
        <v>44</v>
      </c>
      <c r="V1783" s="7" t="s">
        <v>45</v>
      </c>
      <c r="W1783" s="7" t="s">
        <v>235</v>
      </c>
      <c r="X1783" s="7"/>
      <c r="Y1783" s="7" t="s">
        <v>4386</v>
      </c>
      <c r="Z1783" s="7" t="s">
        <v>2640</v>
      </c>
      <c r="AA1783" s="7"/>
      <c r="AB1783" s="7"/>
      <c r="AC1783" s="7" t="s">
        <v>4376</v>
      </c>
      <c r="AD1783" s="7" t="s">
        <v>4387</v>
      </c>
      <c r="AE1783" s="7" t="s">
        <v>4387</v>
      </c>
      <c r="AF1783" s="7" t="s">
        <v>50</v>
      </c>
      <c r="AG1783" s="7" t="s">
        <v>253</v>
      </c>
      <c r="AH1783" s="7" t="s">
        <v>4377</v>
      </c>
    </row>
    <row r="1784" spans="1:34" ht="9.75" customHeight="1" x14ac:dyDescent="0.2">
      <c r="A1784" s="7" t="s">
        <v>4371</v>
      </c>
      <c r="B1784" s="7" t="s">
        <v>4372</v>
      </c>
      <c r="C1784" s="7"/>
      <c r="D1784" s="7" t="s">
        <v>4388</v>
      </c>
      <c r="E1784" s="8">
        <v>2</v>
      </c>
      <c r="F1784" s="7" t="s">
        <v>4383</v>
      </c>
      <c r="G1784" s="7" t="s">
        <v>4389</v>
      </c>
      <c r="H1784" s="9"/>
      <c r="I1784" s="9"/>
      <c r="J1784" s="9"/>
      <c r="K1784" s="9"/>
      <c r="L1784" s="10">
        <v>-95820</v>
      </c>
      <c r="M1784" s="9"/>
      <c r="N1784" s="10">
        <v>-95820</v>
      </c>
      <c r="O1784" s="9"/>
      <c r="P1784" s="10"/>
      <c r="Q1784" s="10"/>
      <c r="R1784" s="10"/>
      <c r="S1784" s="7" t="s">
        <v>54</v>
      </c>
      <c r="T1784" s="7" t="s">
        <v>4385</v>
      </c>
      <c r="U1784" s="7"/>
      <c r="V1784" s="7"/>
      <c r="W1784" s="7"/>
      <c r="X1784" s="7"/>
      <c r="Y1784" s="7" t="s">
        <v>4390</v>
      </c>
      <c r="Z1784" s="7" t="s">
        <v>2640</v>
      </c>
      <c r="AA1784" s="7"/>
      <c r="AB1784" s="7"/>
      <c r="AC1784" s="7" t="s">
        <v>4376</v>
      </c>
      <c r="AD1784" s="7" t="s">
        <v>4391</v>
      </c>
      <c r="AE1784" s="7" t="s">
        <v>4391</v>
      </c>
      <c r="AF1784" s="7" t="s">
        <v>50</v>
      </c>
      <c r="AG1784" s="7" t="s">
        <v>253</v>
      </c>
      <c r="AH1784" s="7" t="s">
        <v>4377</v>
      </c>
    </row>
    <row r="1785" spans="1:34" ht="9.75" customHeight="1" x14ac:dyDescent="0.2">
      <c r="A1785" s="7" t="s">
        <v>4371</v>
      </c>
      <c r="B1785" s="7" t="s">
        <v>4372</v>
      </c>
      <c r="C1785" s="7"/>
      <c r="D1785" s="7" t="s">
        <v>4392</v>
      </c>
      <c r="E1785" s="8">
        <v>2</v>
      </c>
      <c r="F1785" s="7" t="s">
        <v>4383</v>
      </c>
      <c r="G1785" s="7" t="s">
        <v>4393</v>
      </c>
      <c r="H1785" s="9"/>
      <c r="I1785" s="9"/>
      <c r="J1785" s="9"/>
      <c r="K1785" s="9"/>
      <c r="L1785" s="10">
        <v>-209400</v>
      </c>
      <c r="M1785" s="9"/>
      <c r="N1785" s="10">
        <v>-209400</v>
      </c>
      <c r="O1785" s="9"/>
      <c r="P1785" s="10"/>
      <c r="Q1785" s="10"/>
      <c r="R1785" s="10"/>
      <c r="S1785" s="7" t="s">
        <v>54</v>
      </c>
      <c r="T1785" s="7" t="s">
        <v>4385</v>
      </c>
      <c r="U1785" s="7"/>
      <c r="V1785" s="7"/>
      <c r="W1785" s="7"/>
      <c r="X1785" s="7"/>
      <c r="Y1785" s="7" t="s">
        <v>4394</v>
      </c>
      <c r="Z1785" s="7" t="s">
        <v>4395</v>
      </c>
      <c r="AA1785" s="7"/>
      <c r="AB1785" s="7"/>
      <c r="AC1785" s="7" t="s">
        <v>4376</v>
      </c>
      <c r="AD1785" s="7" t="s">
        <v>4396</v>
      </c>
      <c r="AE1785" s="7" t="s">
        <v>4396</v>
      </c>
      <c r="AF1785" s="7" t="s">
        <v>50</v>
      </c>
      <c r="AG1785" s="7" t="s">
        <v>253</v>
      </c>
      <c r="AH1785" s="7" t="s">
        <v>4377</v>
      </c>
    </row>
    <row r="1786" spans="1:34" ht="9.75" customHeight="1" x14ac:dyDescent="0.2">
      <c r="A1786" s="7" t="s">
        <v>4371</v>
      </c>
      <c r="B1786" s="7" t="s">
        <v>4372</v>
      </c>
      <c r="C1786" s="7"/>
      <c r="D1786" s="7" t="s">
        <v>4397</v>
      </c>
      <c r="E1786" s="8">
        <v>2</v>
      </c>
      <c r="F1786" s="7" t="s">
        <v>4383</v>
      </c>
      <c r="G1786" s="7" t="s">
        <v>4398</v>
      </c>
      <c r="H1786" s="9"/>
      <c r="I1786" s="9"/>
      <c r="J1786" s="9"/>
      <c r="K1786" s="9"/>
      <c r="L1786" s="10">
        <v>-125460</v>
      </c>
      <c r="M1786" s="9"/>
      <c r="N1786" s="10">
        <v>-125460</v>
      </c>
      <c r="O1786" s="9"/>
      <c r="P1786" s="10"/>
      <c r="Q1786" s="10"/>
      <c r="R1786" s="10"/>
      <c r="S1786" s="7" t="s">
        <v>54</v>
      </c>
      <c r="T1786" s="7" t="s">
        <v>4385</v>
      </c>
      <c r="U1786" s="7"/>
      <c r="V1786" s="7"/>
      <c r="W1786" s="7"/>
      <c r="X1786" s="7"/>
      <c r="Y1786" s="7" t="s">
        <v>4399</v>
      </c>
      <c r="Z1786" s="7" t="s">
        <v>4400</v>
      </c>
      <c r="AA1786" s="7"/>
      <c r="AB1786" s="7"/>
      <c r="AC1786" s="7" t="s">
        <v>4376</v>
      </c>
      <c r="AD1786" s="7" t="s">
        <v>4401</v>
      </c>
      <c r="AE1786" s="7" t="s">
        <v>4401</v>
      </c>
      <c r="AF1786" s="7" t="s">
        <v>50</v>
      </c>
      <c r="AG1786" s="7" t="s">
        <v>253</v>
      </c>
      <c r="AH1786" s="7" t="s">
        <v>4377</v>
      </c>
    </row>
    <row r="1787" spans="1:34" ht="9.75" customHeight="1" x14ac:dyDescent="0.2">
      <c r="A1787" s="7" t="s">
        <v>4371</v>
      </c>
      <c r="B1787" s="7" t="s">
        <v>4372</v>
      </c>
      <c r="C1787" s="7"/>
      <c r="D1787" s="7" t="s">
        <v>4385</v>
      </c>
      <c r="E1787" s="8">
        <v>2</v>
      </c>
      <c r="F1787" s="7" t="s">
        <v>4383</v>
      </c>
      <c r="G1787" s="7" t="s">
        <v>4402</v>
      </c>
      <c r="H1787" s="9"/>
      <c r="I1787" s="9"/>
      <c r="J1787" s="9"/>
      <c r="K1787" s="9"/>
      <c r="L1787" s="10">
        <v>-1494060</v>
      </c>
      <c r="M1787" s="9"/>
      <c r="N1787" s="10">
        <v>-1494060</v>
      </c>
      <c r="O1787" s="9"/>
      <c r="P1787" s="10"/>
      <c r="Q1787" s="10"/>
      <c r="R1787" s="10"/>
      <c r="S1787" s="7" t="s">
        <v>43</v>
      </c>
      <c r="T1787" s="7"/>
      <c r="U1787" s="7"/>
      <c r="V1787" s="7"/>
      <c r="W1787" s="7"/>
      <c r="X1787" s="7"/>
      <c r="Y1787" s="7" t="s">
        <v>4403</v>
      </c>
      <c r="Z1787" s="7" t="s">
        <v>2737</v>
      </c>
      <c r="AA1787" s="7"/>
      <c r="AB1787" s="7"/>
      <c r="AC1787" s="7" t="s">
        <v>4376</v>
      </c>
      <c r="AD1787" s="7"/>
      <c r="AE1787" s="7"/>
      <c r="AF1787" s="7" t="s">
        <v>50</v>
      </c>
      <c r="AG1787" s="7" t="s">
        <v>253</v>
      </c>
      <c r="AH1787" s="7" t="s">
        <v>4377</v>
      </c>
    </row>
    <row r="1788" spans="1:34" ht="9.75" customHeight="1" x14ac:dyDescent="0.2">
      <c r="A1788" s="7" t="s">
        <v>4371</v>
      </c>
      <c r="B1788" s="7" t="s">
        <v>4372</v>
      </c>
      <c r="C1788" s="7"/>
      <c r="D1788" s="7" t="s">
        <v>4404</v>
      </c>
      <c r="E1788" s="8">
        <v>7</v>
      </c>
      <c r="F1788" s="7"/>
      <c r="G1788" s="7"/>
      <c r="H1788" s="9"/>
      <c r="I1788" s="10">
        <v>176.25899999999999</v>
      </c>
      <c r="J1788" s="10">
        <v>207.21799999999999</v>
      </c>
      <c r="K1788" s="9"/>
      <c r="L1788" s="10">
        <v>112.76</v>
      </c>
      <c r="M1788" s="9"/>
      <c r="N1788" s="10">
        <v>112.76</v>
      </c>
      <c r="O1788" s="9"/>
      <c r="P1788" s="10"/>
      <c r="Q1788" s="10"/>
      <c r="R1788" s="10"/>
      <c r="S1788" s="7" t="s">
        <v>219</v>
      </c>
      <c r="T1788" s="7"/>
      <c r="U1788" s="7" t="s">
        <v>44</v>
      </c>
      <c r="V1788" s="7" t="s">
        <v>45</v>
      </c>
      <c r="W1788" s="7" t="s">
        <v>235</v>
      </c>
      <c r="X1788" s="7"/>
      <c r="Y1788" s="7" t="s">
        <v>4405</v>
      </c>
      <c r="Z1788" s="7" t="s">
        <v>2655</v>
      </c>
      <c r="AA1788" s="7"/>
      <c r="AB1788" s="7"/>
      <c r="AC1788" s="7" t="s">
        <v>4376</v>
      </c>
      <c r="AD1788" s="7"/>
      <c r="AE1788" s="7"/>
      <c r="AF1788" s="7" t="s">
        <v>50</v>
      </c>
      <c r="AG1788" s="7" t="s">
        <v>253</v>
      </c>
      <c r="AH1788" s="7" t="s">
        <v>4377</v>
      </c>
    </row>
    <row r="1789" spans="1:34" ht="9.75" customHeight="1" x14ac:dyDescent="0.2">
      <c r="A1789" s="7" t="s">
        <v>4371</v>
      </c>
      <c r="B1789" s="7" t="s">
        <v>4372</v>
      </c>
      <c r="C1789" s="7"/>
      <c r="D1789" s="7" t="s">
        <v>4406</v>
      </c>
      <c r="E1789" s="8">
        <v>7</v>
      </c>
      <c r="F1789" s="7"/>
      <c r="G1789" s="7"/>
      <c r="H1789" s="9"/>
      <c r="I1789" s="10">
        <v>70.003</v>
      </c>
      <c r="J1789" s="10">
        <v>61.195999999999998</v>
      </c>
      <c r="K1789" s="9"/>
      <c r="L1789" s="10">
        <v>45.331000000000003</v>
      </c>
      <c r="M1789" s="9"/>
      <c r="N1789" s="10">
        <v>45.331000000000003</v>
      </c>
      <c r="O1789" s="9"/>
      <c r="P1789" s="10"/>
      <c r="Q1789" s="10"/>
      <c r="R1789" s="10"/>
      <c r="S1789" s="7" t="s">
        <v>219</v>
      </c>
      <c r="T1789" s="7"/>
      <c r="U1789" s="7"/>
      <c r="V1789" s="7"/>
      <c r="W1789" s="7"/>
      <c r="X1789" s="7"/>
      <c r="Y1789" s="7" t="s">
        <v>4405</v>
      </c>
      <c r="Z1789" s="7" t="s">
        <v>2655</v>
      </c>
      <c r="AA1789" s="7"/>
      <c r="AB1789" s="7"/>
      <c r="AC1789" s="7" t="s">
        <v>4376</v>
      </c>
      <c r="AD1789" s="7"/>
      <c r="AE1789" s="7"/>
      <c r="AF1789" s="7" t="s">
        <v>50</v>
      </c>
      <c r="AG1789" s="7" t="s">
        <v>253</v>
      </c>
      <c r="AH1789" s="7" t="s">
        <v>4377</v>
      </c>
    </row>
    <row r="1790" spans="1:34" ht="9.75" customHeight="1" x14ac:dyDescent="0.2">
      <c r="A1790" s="7" t="s">
        <v>4371</v>
      </c>
      <c r="B1790" s="7" t="s">
        <v>4372</v>
      </c>
      <c r="C1790" s="7"/>
      <c r="D1790" s="7" t="s">
        <v>4407</v>
      </c>
      <c r="E1790" s="8">
        <v>7</v>
      </c>
      <c r="F1790" s="7"/>
      <c r="G1790" s="7"/>
      <c r="H1790" s="9"/>
      <c r="I1790" s="10">
        <v>83.105000000000004</v>
      </c>
      <c r="J1790" s="10">
        <v>76.16</v>
      </c>
      <c r="K1790" s="9"/>
      <c r="L1790" s="10">
        <v>64.540000000000006</v>
      </c>
      <c r="M1790" s="9"/>
      <c r="N1790" s="10">
        <v>64.540000000000006</v>
      </c>
      <c r="O1790" s="9"/>
      <c r="P1790" s="10"/>
      <c r="Q1790" s="10"/>
      <c r="R1790" s="10"/>
      <c r="S1790" s="7" t="s">
        <v>219</v>
      </c>
      <c r="T1790" s="7"/>
      <c r="U1790" s="7"/>
      <c r="V1790" s="7"/>
      <c r="W1790" s="7"/>
      <c r="X1790" s="7"/>
      <c r="Y1790" s="7" t="s">
        <v>4405</v>
      </c>
      <c r="Z1790" s="7" t="s">
        <v>2655</v>
      </c>
      <c r="AA1790" s="7"/>
      <c r="AB1790" s="7"/>
      <c r="AC1790" s="7" t="s">
        <v>4376</v>
      </c>
      <c r="AD1790" s="7"/>
      <c r="AE1790" s="7"/>
      <c r="AF1790" s="7" t="s">
        <v>50</v>
      </c>
      <c r="AG1790" s="7" t="s">
        <v>253</v>
      </c>
      <c r="AH1790" s="7" t="s">
        <v>4377</v>
      </c>
    </row>
    <row r="1791" spans="1:34" ht="9.75" customHeight="1" x14ac:dyDescent="0.2">
      <c r="A1791" s="7" t="s">
        <v>4371</v>
      </c>
      <c r="B1791" s="7" t="s">
        <v>4372</v>
      </c>
      <c r="C1791" s="7"/>
      <c r="D1791" s="7" t="s">
        <v>4408</v>
      </c>
      <c r="E1791" s="8">
        <v>7</v>
      </c>
      <c r="F1791" s="7"/>
      <c r="G1791" s="7"/>
      <c r="H1791" s="9"/>
      <c r="I1791" s="10">
        <v>79.119</v>
      </c>
      <c r="J1791" s="10">
        <v>83.358000000000004</v>
      </c>
      <c r="K1791" s="9"/>
      <c r="L1791" s="10">
        <v>87.394000000000005</v>
      </c>
      <c r="M1791" s="9"/>
      <c r="N1791" s="10">
        <v>87.394000000000005</v>
      </c>
      <c r="O1791" s="9"/>
      <c r="P1791" s="10"/>
      <c r="Q1791" s="10"/>
      <c r="R1791" s="10"/>
      <c r="S1791" s="7" t="s">
        <v>219</v>
      </c>
      <c r="T1791" s="7"/>
      <c r="U1791" s="7"/>
      <c r="V1791" s="7"/>
      <c r="W1791" s="7"/>
      <c r="X1791" s="7"/>
      <c r="Y1791" s="7" t="s">
        <v>4405</v>
      </c>
      <c r="Z1791" s="7" t="s">
        <v>2655</v>
      </c>
      <c r="AA1791" s="7"/>
      <c r="AB1791" s="7"/>
      <c r="AC1791" s="7" t="s">
        <v>4376</v>
      </c>
      <c r="AD1791" s="7"/>
      <c r="AE1791" s="7"/>
      <c r="AF1791" s="7" t="s">
        <v>50</v>
      </c>
      <c r="AG1791" s="7" t="s">
        <v>253</v>
      </c>
      <c r="AH1791" s="7" t="s">
        <v>4377</v>
      </c>
    </row>
    <row r="1792" spans="1:34" ht="9.75" customHeight="1" x14ac:dyDescent="0.2">
      <c r="A1792" s="7" t="s">
        <v>4371</v>
      </c>
      <c r="B1792" s="7" t="s">
        <v>4372</v>
      </c>
      <c r="C1792" s="7"/>
      <c r="D1792" s="7" t="s">
        <v>4409</v>
      </c>
      <c r="E1792" s="8">
        <v>7</v>
      </c>
      <c r="F1792" s="7"/>
      <c r="G1792" s="7"/>
      <c r="H1792" s="9"/>
      <c r="I1792" s="10">
        <v>11637</v>
      </c>
      <c r="J1792" s="10">
        <v>12245</v>
      </c>
      <c r="K1792" s="9"/>
      <c r="L1792" s="10">
        <v>12471</v>
      </c>
      <c r="M1792" s="9"/>
      <c r="N1792" s="10">
        <v>12471</v>
      </c>
      <c r="O1792" s="9"/>
      <c r="P1792" s="10"/>
      <c r="Q1792" s="10"/>
      <c r="R1792" s="10"/>
      <c r="S1792" s="7" t="s">
        <v>219</v>
      </c>
      <c r="T1792" s="7"/>
      <c r="U1792" s="7" t="s">
        <v>44</v>
      </c>
      <c r="V1792" s="7" t="s">
        <v>45</v>
      </c>
      <c r="W1792" s="7" t="s">
        <v>235</v>
      </c>
      <c r="X1792" s="7"/>
      <c r="Y1792" s="7" t="s">
        <v>4410</v>
      </c>
      <c r="Z1792" s="7" t="s">
        <v>2707</v>
      </c>
      <c r="AA1792" s="7"/>
      <c r="AB1792" s="7"/>
      <c r="AC1792" s="7" t="s">
        <v>4376</v>
      </c>
      <c r="AD1792" s="7"/>
      <c r="AE1792" s="7"/>
      <c r="AF1792" s="7" t="s">
        <v>50</v>
      </c>
      <c r="AG1792" s="7" t="s">
        <v>253</v>
      </c>
      <c r="AH1792" s="7" t="s">
        <v>4377</v>
      </c>
    </row>
    <row r="1793" spans="1:34" ht="9.75" customHeight="1" x14ac:dyDescent="0.2">
      <c r="A1793" s="7" t="s">
        <v>4371</v>
      </c>
      <c r="B1793" s="7" t="s">
        <v>4372</v>
      </c>
      <c r="C1793" s="7"/>
      <c r="D1793" s="7" t="s">
        <v>4411</v>
      </c>
      <c r="E1793" s="8">
        <v>7</v>
      </c>
      <c r="F1793" s="7"/>
      <c r="G1793" s="7"/>
      <c r="H1793" s="9"/>
      <c r="I1793" s="10">
        <v>6954</v>
      </c>
      <c r="J1793" s="10">
        <v>6935</v>
      </c>
      <c r="K1793" s="9"/>
      <c r="L1793" s="10">
        <v>6692</v>
      </c>
      <c r="M1793" s="9"/>
      <c r="N1793" s="10">
        <v>6692</v>
      </c>
      <c r="O1793" s="9"/>
      <c r="P1793" s="10"/>
      <c r="Q1793" s="10"/>
      <c r="R1793" s="10"/>
      <c r="S1793" s="7" t="s">
        <v>219</v>
      </c>
      <c r="T1793" s="7"/>
      <c r="U1793" s="7"/>
      <c r="V1793" s="7"/>
      <c r="W1793" s="7"/>
      <c r="X1793" s="7"/>
      <c r="Y1793" s="7" t="s">
        <v>4410</v>
      </c>
      <c r="Z1793" s="7" t="s">
        <v>2707</v>
      </c>
      <c r="AA1793" s="7"/>
      <c r="AB1793" s="7"/>
      <c r="AC1793" s="7" t="s">
        <v>4376</v>
      </c>
      <c r="AD1793" s="7"/>
      <c r="AE1793" s="7"/>
      <c r="AF1793" s="7" t="s">
        <v>50</v>
      </c>
      <c r="AG1793" s="7" t="s">
        <v>253</v>
      </c>
      <c r="AH1793" s="7" t="s">
        <v>4377</v>
      </c>
    </row>
    <row r="1794" spans="1:34" ht="9.75" customHeight="1" x14ac:dyDescent="0.2">
      <c r="A1794" s="7" t="s">
        <v>4371</v>
      </c>
      <c r="B1794" s="7" t="s">
        <v>4372</v>
      </c>
      <c r="C1794" s="7"/>
      <c r="D1794" s="7" t="s">
        <v>4412</v>
      </c>
      <c r="E1794" s="8">
        <v>7</v>
      </c>
      <c r="F1794" s="7"/>
      <c r="G1794" s="7"/>
      <c r="H1794" s="9"/>
      <c r="I1794" s="10">
        <v>5964</v>
      </c>
      <c r="J1794" s="10">
        <v>6205</v>
      </c>
      <c r="K1794" s="9"/>
      <c r="L1794" s="10">
        <v>5232</v>
      </c>
      <c r="M1794" s="9"/>
      <c r="N1794" s="10">
        <v>5232</v>
      </c>
      <c r="O1794" s="9"/>
      <c r="P1794" s="10"/>
      <c r="Q1794" s="10"/>
      <c r="R1794" s="10"/>
      <c r="S1794" s="7" t="s">
        <v>219</v>
      </c>
      <c r="T1794" s="7"/>
      <c r="U1794" s="7"/>
      <c r="V1794" s="7"/>
      <c r="W1794" s="7"/>
      <c r="X1794" s="7"/>
      <c r="Y1794" s="7" t="s">
        <v>4410</v>
      </c>
      <c r="Z1794" s="7" t="s">
        <v>2707</v>
      </c>
      <c r="AA1794" s="7"/>
      <c r="AB1794" s="7"/>
      <c r="AC1794" s="7" t="s">
        <v>4376</v>
      </c>
      <c r="AD1794" s="7"/>
      <c r="AE1794" s="7"/>
      <c r="AF1794" s="7" t="s">
        <v>50</v>
      </c>
      <c r="AG1794" s="7" t="s">
        <v>253</v>
      </c>
      <c r="AH1794" s="7" t="s">
        <v>4377</v>
      </c>
    </row>
    <row r="1795" spans="1:34" ht="9.75" customHeight="1" x14ac:dyDescent="0.2">
      <c r="A1795" s="7" t="s">
        <v>4371</v>
      </c>
      <c r="B1795" s="7" t="s">
        <v>4372</v>
      </c>
      <c r="C1795" s="7"/>
      <c r="D1795" s="7" t="s">
        <v>4413</v>
      </c>
      <c r="E1795" s="8">
        <v>7</v>
      </c>
      <c r="F1795" s="7"/>
      <c r="G1795" s="7"/>
      <c r="H1795" s="9"/>
      <c r="I1795" s="10">
        <v>8784</v>
      </c>
      <c r="J1795" s="10">
        <v>8702</v>
      </c>
      <c r="K1795" s="9"/>
      <c r="L1795" s="10">
        <v>8557</v>
      </c>
      <c r="M1795" s="9"/>
      <c r="N1795" s="10">
        <v>8557</v>
      </c>
      <c r="O1795" s="9"/>
      <c r="P1795" s="10"/>
      <c r="Q1795" s="10"/>
      <c r="R1795" s="10"/>
      <c r="S1795" s="7" t="s">
        <v>219</v>
      </c>
      <c r="T1795" s="7"/>
      <c r="U1795" s="7"/>
      <c r="V1795" s="7"/>
      <c r="W1795" s="7"/>
      <c r="X1795" s="7"/>
      <c r="Y1795" s="7" t="s">
        <v>4410</v>
      </c>
      <c r="Z1795" s="7" t="s">
        <v>2707</v>
      </c>
      <c r="AA1795" s="7"/>
      <c r="AB1795" s="7"/>
      <c r="AC1795" s="7" t="s">
        <v>4376</v>
      </c>
      <c r="AD1795" s="7"/>
      <c r="AE1795" s="7"/>
      <c r="AF1795" s="7" t="s">
        <v>50</v>
      </c>
      <c r="AG1795" s="7" t="s">
        <v>253</v>
      </c>
      <c r="AH1795" s="7" t="s">
        <v>4377</v>
      </c>
    </row>
    <row r="1796" spans="1:34" ht="9.75" customHeight="1" x14ac:dyDescent="0.2">
      <c r="A1796" s="7" t="s">
        <v>4371</v>
      </c>
      <c r="B1796" s="7" t="s">
        <v>4372</v>
      </c>
      <c r="C1796" s="7"/>
      <c r="D1796" s="7" t="s">
        <v>4414</v>
      </c>
      <c r="E1796" s="8">
        <v>7</v>
      </c>
      <c r="F1796" s="7"/>
      <c r="G1796" s="7"/>
      <c r="H1796" s="9"/>
      <c r="I1796" s="10">
        <v>3935900</v>
      </c>
      <c r="J1796" s="10">
        <v>4202300</v>
      </c>
      <c r="K1796" s="9"/>
      <c r="L1796" s="10">
        <v>2678100</v>
      </c>
      <c r="M1796" s="9"/>
      <c r="N1796" s="10">
        <v>2678100</v>
      </c>
      <c r="O1796" s="9"/>
      <c r="P1796" s="10"/>
      <c r="Q1796" s="10"/>
      <c r="R1796" s="10"/>
      <c r="S1796" s="7" t="s">
        <v>54</v>
      </c>
      <c r="T1796" s="7" t="s">
        <v>4373</v>
      </c>
      <c r="U1796" s="7"/>
      <c r="V1796" s="7"/>
      <c r="W1796" s="7"/>
      <c r="X1796" s="7"/>
      <c r="Y1796" s="7" t="s">
        <v>4415</v>
      </c>
      <c r="Z1796" s="7" t="s">
        <v>2793</v>
      </c>
      <c r="AA1796" s="7"/>
      <c r="AB1796" s="7"/>
      <c r="AC1796" s="7" t="s">
        <v>4376</v>
      </c>
      <c r="AD1796" s="7" t="s">
        <v>4416</v>
      </c>
      <c r="AE1796" s="7" t="s">
        <v>4416</v>
      </c>
      <c r="AF1796" s="7" t="s">
        <v>50</v>
      </c>
      <c r="AG1796" s="7" t="s">
        <v>253</v>
      </c>
      <c r="AH1796" s="7" t="s">
        <v>4377</v>
      </c>
    </row>
    <row r="1797" spans="1:34" ht="9.75" customHeight="1" x14ac:dyDescent="0.2">
      <c r="A1797" s="7" t="s">
        <v>4371</v>
      </c>
      <c r="B1797" s="7" t="s">
        <v>4372</v>
      </c>
      <c r="C1797" s="7"/>
      <c r="D1797" s="7" t="s">
        <v>4417</v>
      </c>
      <c r="E1797" s="8">
        <v>7</v>
      </c>
      <c r="F1797" s="7"/>
      <c r="G1797" s="7"/>
      <c r="H1797" s="9"/>
      <c r="I1797" s="10">
        <v>29800</v>
      </c>
      <c r="J1797" s="10">
        <v>31700</v>
      </c>
      <c r="K1797" s="9"/>
      <c r="L1797" s="10">
        <v>30000</v>
      </c>
      <c r="M1797" s="9"/>
      <c r="N1797" s="10">
        <v>30000</v>
      </c>
      <c r="O1797" s="9"/>
      <c r="P1797" s="10"/>
      <c r="Q1797" s="10"/>
      <c r="R1797" s="10"/>
      <c r="S1797" s="7" t="s">
        <v>54</v>
      </c>
      <c r="T1797" s="7" t="s">
        <v>4373</v>
      </c>
      <c r="U1797" s="7"/>
      <c r="V1797" s="7"/>
      <c r="W1797" s="7"/>
      <c r="X1797" s="7"/>
      <c r="Y1797" s="7" t="s">
        <v>4418</v>
      </c>
      <c r="Z1797" s="7" t="s">
        <v>2793</v>
      </c>
      <c r="AA1797" s="7"/>
      <c r="AB1797" s="7"/>
      <c r="AC1797" s="7" t="s">
        <v>4376</v>
      </c>
      <c r="AD1797" s="7" t="s">
        <v>4419</v>
      </c>
      <c r="AE1797" s="7" t="s">
        <v>4419</v>
      </c>
      <c r="AF1797" s="7" t="s">
        <v>50</v>
      </c>
      <c r="AG1797" s="7" t="s">
        <v>253</v>
      </c>
      <c r="AH1797" s="7" t="s">
        <v>4377</v>
      </c>
    </row>
    <row r="1798" spans="1:34" ht="9.75" customHeight="1" x14ac:dyDescent="0.2">
      <c r="A1798" s="7" t="s">
        <v>4371</v>
      </c>
      <c r="B1798" s="7" t="s">
        <v>4372</v>
      </c>
      <c r="C1798" s="7"/>
      <c r="D1798" s="7" t="s">
        <v>4420</v>
      </c>
      <c r="E1798" s="8">
        <v>1</v>
      </c>
      <c r="F1798" s="7" t="s">
        <v>293</v>
      </c>
      <c r="G1798" s="7"/>
      <c r="H1798" s="9"/>
      <c r="I1798" s="10">
        <v>10900</v>
      </c>
      <c r="J1798" s="10">
        <v>0</v>
      </c>
      <c r="K1798" s="9"/>
      <c r="L1798" s="10">
        <v>0</v>
      </c>
      <c r="M1798" s="9"/>
      <c r="N1798" s="10">
        <v>0</v>
      </c>
      <c r="O1798" s="9"/>
      <c r="P1798" s="10"/>
      <c r="Q1798" s="10"/>
      <c r="R1798" s="10"/>
      <c r="S1798" s="7" t="s">
        <v>54</v>
      </c>
      <c r="T1798" s="7" t="s">
        <v>4373</v>
      </c>
      <c r="U1798" s="7"/>
      <c r="V1798" s="7"/>
      <c r="W1798" s="7"/>
      <c r="X1798" s="7"/>
      <c r="Y1798" s="7" t="s">
        <v>4421</v>
      </c>
      <c r="Z1798" s="7" t="s">
        <v>2793</v>
      </c>
      <c r="AA1798" s="7"/>
      <c r="AB1798" s="7"/>
      <c r="AC1798" s="7" t="s">
        <v>4376</v>
      </c>
      <c r="AD1798" s="7" t="s">
        <v>4422</v>
      </c>
      <c r="AE1798" s="7" t="s">
        <v>4422</v>
      </c>
      <c r="AF1798" s="7" t="s">
        <v>50</v>
      </c>
      <c r="AG1798" s="7" t="s">
        <v>253</v>
      </c>
      <c r="AH1798" s="7" t="s">
        <v>4377</v>
      </c>
    </row>
    <row r="1799" spans="1:34" ht="9.75" customHeight="1" x14ac:dyDescent="0.2">
      <c r="A1799" s="7" t="s">
        <v>4371</v>
      </c>
      <c r="B1799" s="7" t="s">
        <v>4372</v>
      </c>
      <c r="C1799" s="7"/>
      <c r="D1799" s="7" t="s">
        <v>4423</v>
      </c>
      <c r="E1799" s="8">
        <v>4</v>
      </c>
      <c r="F1799" s="7"/>
      <c r="G1799" s="7"/>
      <c r="H1799" s="9"/>
      <c r="I1799" s="10">
        <v>112700</v>
      </c>
      <c r="J1799" s="10">
        <v>0</v>
      </c>
      <c r="K1799" s="9"/>
      <c r="L1799" s="10">
        <v>0</v>
      </c>
      <c r="M1799" s="9"/>
      <c r="N1799" s="10">
        <v>0</v>
      </c>
      <c r="O1799" s="9"/>
      <c r="P1799" s="10"/>
      <c r="Q1799" s="10"/>
      <c r="R1799" s="10"/>
      <c r="S1799" s="7" t="s">
        <v>54</v>
      </c>
      <c r="T1799" s="7" t="s">
        <v>4373</v>
      </c>
      <c r="U1799" s="7"/>
      <c r="V1799" s="7"/>
      <c r="W1799" s="7"/>
      <c r="X1799" s="7"/>
      <c r="Y1799" s="7" t="s">
        <v>4424</v>
      </c>
      <c r="Z1799" s="7" t="s">
        <v>2793</v>
      </c>
      <c r="AA1799" s="7"/>
      <c r="AB1799" s="7"/>
      <c r="AC1799" s="7" t="s">
        <v>4376</v>
      </c>
      <c r="AD1799" s="7" t="s">
        <v>4425</v>
      </c>
      <c r="AE1799" s="7" t="s">
        <v>4425</v>
      </c>
      <c r="AF1799" s="7" t="s">
        <v>50</v>
      </c>
      <c r="AG1799" s="7" t="s">
        <v>253</v>
      </c>
      <c r="AH1799" s="7" t="s">
        <v>4377</v>
      </c>
    </row>
    <row r="1800" spans="1:34" ht="9.75" customHeight="1" x14ac:dyDescent="0.2">
      <c r="A1800" s="7" t="s">
        <v>4371</v>
      </c>
      <c r="B1800" s="7" t="s">
        <v>4372</v>
      </c>
      <c r="C1800" s="7"/>
      <c r="D1800" s="7" t="s">
        <v>4426</v>
      </c>
      <c r="E1800" s="8">
        <v>6</v>
      </c>
      <c r="F1800" s="7"/>
      <c r="G1800" s="7"/>
      <c r="H1800" s="9"/>
      <c r="I1800" s="10">
        <v>31300</v>
      </c>
      <c r="J1800" s="10">
        <v>0</v>
      </c>
      <c r="K1800" s="9"/>
      <c r="L1800" s="10">
        <v>0</v>
      </c>
      <c r="M1800" s="9"/>
      <c r="N1800" s="10">
        <v>0</v>
      </c>
      <c r="O1800" s="9"/>
      <c r="P1800" s="10"/>
      <c r="Q1800" s="10"/>
      <c r="R1800" s="10"/>
      <c r="S1800" s="7" t="s">
        <v>54</v>
      </c>
      <c r="T1800" s="7" t="s">
        <v>4373</v>
      </c>
      <c r="U1800" s="7"/>
      <c r="V1800" s="7"/>
      <c r="W1800" s="7"/>
      <c r="X1800" s="7"/>
      <c r="Y1800" s="7" t="s">
        <v>4427</v>
      </c>
      <c r="Z1800" s="7" t="s">
        <v>2793</v>
      </c>
      <c r="AA1800" s="7"/>
      <c r="AB1800" s="7"/>
      <c r="AC1800" s="7" t="s">
        <v>4376</v>
      </c>
      <c r="AD1800" s="7" t="s">
        <v>4428</v>
      </c>
      <c r="AE1800" s="7" t="s">
        <v>4428</v>
      </c>
      <c r="AF1800" s="7" t="s">
        <v>50</v>
      </c>
      <c r="AG1800" s="7" t="s">
        <v>253</v>
      </c>
      <c r="AH1800" s="7" t="s">
        <v>4377</v>
      </c>
    </row>
    <row r="1801" spans="1:34" ht="9.75" customHeight="1" x14ac:dyDescent="0.2">
      <c r="A1801" s="7" t="s">
        <v>4371</v>
      </c>
      <c r="B1801" s="7" t="s">
        <v>4372</v>
      </c>
      <c r="C1801" s="7"/>
      <c r="D1801" s="7" t="s">
        <v>4429</v>
      </c>
      <c r="E1801" s="8">
        <v>1</v>
      </c>
      <c r="F1801" s="7" t="s">
        <v>41</v>
      </c>
      <c r="G1801" s="7"/>
      <c r="H1801" s="9"/>
      <c r="I1801" s="10">
        <v>4800</v>
      </c>
      <c r="J1801" s="10">
        <v>0</v>
      </c>
      <c r="K1801" s="9"/>
      <c r="L1801" s="10">
        <v>0</v>
      </c>
      <c r="M1801" s="9"/>
      <c r="N1801" s="10">
        <v>0</v>
      </c>
      <c r="O1801" s="9"/>
      <c r="P1801" s="10"/>
      <c r="Q1801" s="10"/>
      <c r="R1801" s="10"/>
      <c r="S1801" s="7" t="s">
        <v>54</v>
      </c>
      <c r="T1801" s="7" t="s">
        <v>4373</v>
      </c>
      <c r="U1801" s="7"/>
      <c r="V1801" s="7"/>
      <c r="W1801" s="7"/>
      <c r="X1801" s="7"/>
      <c r="Y1801" s="7" t="s">
        <v>4430</v>
      </c>
      <c r="Z1801" s="7" t="s">
        <v>2793</v>
      </c>
      <c r="AA1801" s="7"/>
      <c r="AB1801" s="7"/>
      <c r="AC1801" s="7" t="s">
        <v>4376</v>
      </c>
      <c r="AD1801" s="7" t="s">
        <v>4431</v>
      </c>
      <c r="AE1801" s="7" t="s">
        <v>4431</v>
      </c>
      <c r="AF1801" s="7" t="s">
        <v>50</v>
      </c>
      <c r="AG1801" s="7" t="s">
        <v>253</v>
      </c>
      <c r="AH1801" s="7" t="s">
        <v>4377</v>
      </c>
    </row>
    <row r="1802" spans="1:34" ht="9.75" customHeight="1" x14ac:dyDescent="0.2">
      <c r="A1802" s="7" t="s">
        <v>4371</v>
      </c>
      <c r="B1802" s="7" t="s">
        <v>4372</v>
      </c>
      <c r="C1802" s="7"/>
      <c r="D1802" s="7" t="s">
        <v>4432</v>
      </c>
      <c r="E1802" s="8">
        <v>7</v>
      </c>
      <c r="F1802" s="7"/>
      <c r="G1802" s="7"/>
      <c r="H1802" s="9"/>
      <c r="I1802" s="10">
        <v>45900</v>
      </c>
      <c r="J1802" s="10">
        <v>33900</v>
      </c>
      <c r="K1802" s="9"/>
      <c r="L1802" s="10">
        <v>43200</v>
      </c>
      <c r="M1802" s="9"/>
      <c r="N1802" s="10">
        <v>43200</v>
      </c>
      <c r="O1802" s="9"/>
      <c r="P1802" s="10"/>
      <c r="Q1802" s="10"/>
      <c r="R1802" s="10"/>
      <c r="S1802" s="7" t="s">
        <v>54</v>
      </c>
      <c r="T1802" s="7" t="s">
        <v>4373</v>
      </c>
      <c r="U1802" s="7"/>
      <c r="V1802" s="7"/>
      <c r="W1802" s="7"/>
      <c r="X1802" s="7"/>
      <c r="Y1802" s="7" t="s">
        <v>4433</v>
      </c>
      <c r="Z1802" s="7" t="s">
        <v>2793</v>
      </c>
      <c r="AA1802" s="7"/>
      <c r="AB1802" s="7"/>
      <c r="AC1802" s="7" t="s">
        <v>4376</v>
      </c>
      <c r="AD1802" s="7" t="s">
        <v>4434</v>
      </c>
      <c r="AE1802" s="7" t="s">
        <v>4434</v>
      </c>
      <c r="AF1802" s="7" t="s">
        <v>50</v>
      </c>
      <c r="AG1802" s="7" t="s">
        <v>253</v>
      </c>
      <c r="AH1802" s="7" t="s">
        <v>4377</v>
      </c>
    </row>
    <row r="1803" spans="1:34" ht="9.75" customHeight="1" x14ac:dyDescent="0.2">
      <c r="A1803" s="7" t="s">
        <v>4371</v>
      </c>
      <c r="B1803" s="7" t="s">
        <v>4372</v>
      </c>
      <c r="C1803" s="7"/>
      <c r="D1803" s="7" t="s">
        <v>4435</v>
      </c>
      <c r="E1803" s="8">
        <v>7</v>
      </c>
      <c r="F1803" s="7"/>
      <c r="G1803" s="7"/>
      <c r="H1803" s="9"/>
      <c r="I1803" s="10">
        <v>90100</v>
      </c>
      <c r="J1803" s="10">
        <v>18800</v>
      </c>
      <c r="K1803" s="9"/>
      <c r="L1803" s="10">
        <v>19100</v>
      </c>
      <c r="M1803" s="9"/>
      <c r="N1803" s="10">
        <v>19100</v>
      </c>
      <c r="O1803" s="9"/>
      <c r="P1803" s="10"/>
      <c r="Q1803" s="10"/>
      <c r="R1803" s="10"/>
      <c r="S1803" s="7" t="s">
        <v>54</v>
      </c>
      <c r="T1803" s="7" t="s">
        <v>4373</v>
      </c>
      <c r="U1803" s="7"/>
      <c r="V1803" s="7"/>
      <c r="W1803" s="7"/>
      <c r="X1803" s="7"/>
      <c r="Y1803" s="7" t="s">
        <v>4436</v>
      </c>
      <c r="Z1803" s="7" t="s">
        <v>2801</v>
      </c>
      <c r="AA1803" s="7"/>
      <c r="AB1803" s="7"/>
      <c r="AC1803" s="7" t="s">
        <v>4376</v>
      </c>
      <c r="AD1803" s="7" t="s">
        <v>4437</v>
      </c>
      <c r="AE1803" s="7" t="s">
        <v>4437</v>
      </c>
      <c r="AF1803" s="7" t="s">
        <v>50</v>
      </c>
      <c r="AG1803" s="7" t="s">
        <v>253</v>
      </c>
      <c r="AH1803" s="7" t="s">
        <v>4377</v>
      </c>
    </row>
    <row r="1804" spans="1:34" ht="9.75" customHeight="1" x14ac:dyDescent="0.2">
      <c r="A1804" s="7" t="s">
        <v>4371</v>
      </c>
      <c r="B1804" s="7" t="s">
        <v>4372</v>
      </c>
      <c r="C1804" s="7"/>
      <c r="D1804" s="7" t="s">
        <v>4438</v>
      </c>
      <c r="E1804" s="8">
        <v>6</v>
      </c>
      <c r="F1804" s="7"/>
      <c r="G1804" s="7"/>
      <c r="H1804" s="9"/>
      <c r="I1804" s="10">
        <v>125400</v>
      </c>
      <c r="J1804" s="10">
        <v>17500</v>
      </c>
      <c r="K1804" s="9"/>
      <c r="L1804" s="10">
        <v>37800</v>
      </c>
      <c r="M1804" s="9"/>
      <c r="N1804" s="10">
        <v>37800</v>
      </c>
      <c r="O1804" s="9"/>
      <c r="P1804" s="10"/>
      <c r="Q1804" s="10"/>
      <c r="R1804" s="10"/>
      <c r="S1804" s="7" t="s">
        <v>54</v>
      </c>
      <c r="T1804" s="7" t="s">
        <v>4373</v>
      </c>
      <c r="U1804" s="7"/>
      <c r="V1804" s="7"/>
      <c r="W1804" s="7"/>
      <c r="X1804" s="7"/>
      <c r="Y1804" s="7" t="s">
        <v>4439</v>
      </c>
      <c r="Z1804" s="7" t="s">
        <v>2801</v>
      </c>
      <c r="AA1804" s="7"/>
      <c r="AB1804" s="7"/>
      <c r="AC1804" s="7" t="s">
        <v>4376</v>
      </c>
      <c r="AD1804" s="7" t="s">
        <v>4440</v>
      </c>
      <c r="AE1804" s="7" t="s">
        <v>4440</v>
      </c>
      <c r="AF1804" s="7" t="s">
        <v>50</v>
      </c>
      <c r="AG1804" s="7" t="s">
        <v>253</v>
      </c>
      <c r="AH1804" s="7" t="s">
        <v>4377</v>
      </c>
    </row>
    <row r="1805" spans="1:34" ht="9.75" customHeight="1" x14ac:dyDescent="0.2">
      <c r="A1805" s="7" t="s">
        <v>4371</v>
      </c>
      <c r="B1805" s="7" t="s">
        <v>4372</v>
      </c>
      <c r="C1805" s="7"/>
      <c r="D1805" s="7" t="s">
        <v>4441</v>
      </c>
      <c r="E1805" s="8">
        <v>7</v>
      </c>
      <c r="F1805" s="7"/>
      <c r="G1805" s="7"/>
      <c r="H1805" s="9"/>
      <c r="I1805" s="10">
        <v>244600</v>
      </c>
      <c r="J1805" s="10">
        <v>354000</v>
      </c>
      <c r="K1805" s="9"/>
      <c r="L1805" s="10">
        <v>354000</v>
      </c>
      <c r="M1805" s="9"/>
      <c r="N1805" s="10">
        <v>354000</v>
      </c>
      <c r="O1805" s="9"/>
      <c r="P1805" s="10"/>
      <c r="Q1805" s="10"/>
      <c r="R1805" s="10"/>
      <c r="S1805" s="7" t="s">
        <v>219</v>
      </c>
      <c r="T1805" s="7"/>
      <c r="U1805" s="7"/>
      <c r="V1805" s="7"/>
      <c r="W1805" s="7"/>
      <c r="X1805" s="7"/>
      <c r="Y1805" s="7" t="s">
        <v>4442</v>
      </c>
      <c r="Z1805" s="7" t="s">
        <v>2801</v>
      </c>
      <c r="AA1805" s="7"/>
      <c r="AB1805" s="7"/>
      <c r="AC1805" s="7" t="s">
        <v>4376</v>
      </c>
      <c r="AD1805" s="7"/>
      <c r="AE1805" s="7"/>
      <c r="AF1805" s="7" t="s">
        <v>50</v>
      </c>
      <c r="AG1805" s="7" t="s">
        <v>253</v>
      </c>
      <c r="AH1805" s="7" t="s">
        <v>4377</v>
      </c>
    </row>
    <row r="1806" spans="1:34" ht="9.75" customHeight="1" x14ac:dyDescent="0.2">
      <c r="A1806" s="7" t="s">
        <v>4371</v>
      </c>
      <c r="B1806" s="7" t="s">
        <v>4372</v>
      </c>
      <c r="C1806" s="7"/>
      <c r="D1806" s="7" t="s">
        <v>4443</v>
      </c>
      <c r="E1806" s="8">
        <v>7</v>
      </c>
      <c r="F1806" s="7"/>
      <c r="G1806" s="7"/>
      <c r="H1806" s="9"/>
      <c r="I1806" s="10">
        <v>4664100</v>
      </c>
      <c r="J1806" s="10">
        <v>4658200</v>
      </c>
      <c r="K1806" s="9"/>
      <c r="L1806" s="10">
        <v>3162100</v>
      </c>
      <c r="M1806" s="9"/>
      <c r="N1806" s="10">
        <v>3162100</v>
      </c>
      <c r="O1806" s="9"/>
      <c r="P1806" s="10"/>
      <c r="Q1806" s="10"/>
      <c r="R1806" s="10"/>
      <c r="S1806" s="7" t="s">
        <v>43</v>
      </c>
      <c r="T1806" s="7"/>
      <c r="U1806" s="7"/>
      <c r="V1806" s="7"/>
      <c r="W1806" s="7"/>
      <c r="X1806" s="7"/>
      <c r="Y1806" s="7" t="s">
        <v>4444</v>
      </c>
      <c r="Z1806" s="7" t="s">
        <v>2801</v>
      </c>
      <c r="AA1806" s="7"/>
      <c r="AB1806" s="7"/>
      <c r="AC1806" s="7" t="s">
        <v>4376</v>
      </c>
      <c r="AD1806" s="7"/>
      <c r="AE1806" s="7"/>
      <c r="AF1806" s="7" t="s">
        <v>50</v>
      </c>
      <c r="AG1806" s="7" t="s">
        <v>253</v>
      </c>
      <c r="AH1806" s="7" t="s">
        <v>4377</v>
      </c>
    </row>
    <row r="1807" spans="1:34" ht="9.75" customHeight="1" x14ac:dyDescent="0.2">
      <c r="A1807" s="7" t="s">
        <v>4371</v>
      </c>
      <c r="B1807" s="7" t="s">
        <v>4372</v>
      </c>
      <c r="C1807" s="7"/>
      <c r="D1807" s="7" t="s">
        <v>4445</v>
      </c>
      <c r="E1807" s="8">
        <v>7</v>
      </c>
      <c r="F1807" s="7"/>
      <c r="G1807" s="7"/>
      <c r="H1807" s="9"/>
      <c r="I1807" s="10">
        <v>17500</v>
      </c>
      <c r="J1807" s="10">
        <v>19700</v>
      </c>
      <c r="K1807" s="9"/>
      <c r="L1807" s="10">
        <v>20400</v>
      </c>
      <c r="M1807" s="9"/>
      <c r="N1807" s="10">
        <v>20400</v>
      </c>
      <c r="O1807" s="9"/>
      <c r="P1807" s="10"/>
      <c r="Q1807" s="10"/>
      <c r="R1807" s="10"/>
      <c r="S1807" s="7" t="s">
        <v>54</v>
      </c>
      <c r="T1807" s="7" t="s">
        <v>4380</v>
      </c>
      <c r="U1807" s="7"/>
      <c r="V1807" s="7"/>
      <c r="W1807" s="7"/>
      <c r="X1807" s="7"/>
      <c r="Y1807" s="7" t="s">
        <v>4446</v>
      </c>
      <c r="Z1807" s="7" t="s">
        <v>2806</v>
      </c>
      <c r="AA1807" s="7"/>
      <c r="AB1807" s="7"/>
      <c r="AC1807" s="7" t="s">
        <v>4376</v>
      </c>
      <c r="AD1807" s="7" t="s">
        <v>4447</v>
      </c>
      <c r="AE1807" s="7" t="s">
        <v>4447</v>
      </c>
      <c r="AF1807" s="7" t="s">
        <v>50</v>
      </c>
      <c r="AG1807" s="7" t="s">
        <v>253</v>
      </c>
      <c r="AH1807" s="7" t="s">
        <v>4377</v>
      </c>
    </row>
    <row r="1808" spans="1:34" ht="9.75" customHeight="1" x14ac:dyDescent="0.2">
      <c r="A1808" s="7" t="s">
        <v>4371</v>
      </c>
      <c r="B1808" s="7" t="s">
        <v>4372</v>
      </c>
      <c r="C1808" s="7"/>
      <c r="D1808" s="7" t="s">
        <v>4448</v>
      </c>
      <c r="E1808" s="8">
        <v>7</v>
      </c>
      <c r="F1808" s="7"/>
      <c r="G1808" s="7"/>
      <c r="H1808" s="9"/>
      <c r="I1808" s="10">
        <v>1041700</v>
      </c>
      <c r="J1808" s="10">
        <v>1138900</v>
      </c>
      <c r="K1808" s="9"/>
      <c r="L1808" s="10">
        <v>1126200</v>
      </c>
      <c r="M1808" s="9"/>
      <c r="N1808" s="10">
        <v>1126200</v>
      </c>
      <c r="O1808" s="9"/>
      <c r="P1808" s="10"/>
      <c r="Q1808" s="10"/>
      <c r="R1808" s="10"/>
      <c r="S1808" s="7" t="s">
        <v>54</v>
      </c>
      <c r="T1808" s="7" t="s">
        <v>4380</v>
      </c>
      <c r="U1808" s="7"/>
      <c r="V1808" s="7"/>
      <c r="W1808" s="7"/>
      <c r="X1808" s="7"/>
      <c r="Y1808" s="7" t="s">
        <v>4449</v>
      </c>
      <c r="Z1808" s="7" t="s">
        <v>2806</v>
      </c>
      <c r="AA1808" s="7"/>
      <c r="AB1808" s="7"/>
      <c r="AC1808" s="7" t="s">
        <v>4376</v>
      </c>
      <c r="AD1808" s="7" t="s">
        <v>4450</v>
      </c>
      <c r="AE1808" s="7" t="s">
        <v>4450</v>
      </c>
      <c r="AF1808" s="7" t="s">
        <v>50</v>
      </c>
      <c r="AG1808" s="7" t="s">
        <v>253</v>
      </c>
      <c r="AH1808" s="7" t="s">
        <v>4377</v>
      </c>
    </row>
    <row r="1809" spans="1:34" ht="9.75" customHeight="1" x14ac:dyDescent="0.2">
      <c r="A1809" s="7" t="s">
        <v>4371</v>
      </c>
      <c r="B1809" s="7" t="s">
        <v>4372</v>
      </c>
      <c r="C1809" s="7"/>
      <c r="D1809" s="7" t="s">
        <v>4451</v>
      </c>
      <c r="E1809" s="8">
        <v>7</v>
      </c>
      <c r="F1809" s="7"/>
      <c r="G1809" s="7"/>
      <c r="H1809" s="9"/>
      <c r="I1809" s="10">
        <v>78900</v>
      </c>
      <c r="J1809" s="10">
        <v>61800</v>
      </c>
      <c r="K1809" s="9"/>
      <c r="L1809" s="10">
        <v>50500</v>
      </c>
      <c r="M1809" s="9"/>
      <c r="N1809" s="10">
        <v>50500</v>
      </c>
      <c r="O1809" s="9"/>
      <c r="P1809" s="10"/>
      <c r="Q1809" s="10"/>
      <c r="R1809" s="10"/>
      <c r="S1809" s="7" t="s">
        <v>54</v>
      </c>
      <c r="T1809" s="7" t="s">
        <v>4380</v>
      </c>
      <c r="U1809" s="7"/>
      <c r="V1809" s="7"/>
      <c r="W1809" s="7"/>
      <c r="X1809" s="7"/>
      <c r="Y1809" s="7" t="s">
        <v>4452</v>
      </c>
      <c r="Z1809" s="7" t="s">
        <v>2806</v>
      </c>
      <c r="AA1809" s="7"/>
      <c r="AB1809" s="7"/>
      <c r="AC1809" s="7" t="s">
        <v>4376</v>
      </c>
      <c r="AD1809" s="7" t="s">
        <v>4453</v>
      </c>
      <c r="AE1809" s="7" t="s">
        <v>4453</v>
      </c>
      <c r="AF1809" s="7" t="s">
        <v>50</v>
      </c>
      <c r="AG1809" s="7" t="s">
        <v>253</v>
      </c>
      <c r="AH1809" s="7" t="s">
        <v>4377</v>
      </c>
    </row>
    <row r="1810" spans="1:34" ht="9.75" customHeight="1" x14ac:dyDescent="0.2">
      <c r="A1810" s="7" t="s">
        <v>4371</v>
      </c>
      <c r="B1810" s="7" t="s">
        <v>4372</v>
      </c>
      <c r="C1810" s="7"/>
      <c r="D1810" s="7" t="s">
        <v>4454</v>
      </c>
      <c r="E1810" s="8">
        <v>2</v>
      </c>
      <c r="F1810" s="7"/>
      <c r="G1810" s="7"/>
      <c r="H1810" s="9"/>
      <c r="I1810" s="10">
        <v>734800</v>
      </c>
      <c r="J1810" s="10">
        <v>622100</v>
      </c>
      <c r="K1810" s="9"/>
      <c r="L1810" s="10">
        <v>699300</v>
      </c>
      <c r="M1810" s="9"/>
      <c r="N1810" s="10">
        <v>699300</v>
      </c>
      <c r="O1810" s="9"/>
      <c r="P1810" s="10"/>
      <c r="Q1810" s="10"/>
      <c r="R1810" s="10"/>
      <c r="S1810" s="7" t="s">
        <v>54</v>
      </c>
      <c r="T1810" s="7" t="s">
        <v>4380</v>
      </c>
      <c r="U1810" s="7"/>
      <c r="V1810" s="7"/>
      <c r="W1810" s="7"/>
      <c r="X1810" s="7"/>
      <c r="Y1810" s="7" t="s">
        <v>4455</v>
      </c>
      <c r="Z1810" s="7" t="s">
        <v>2806</v>
      </c>
      <c r="AA1810" s="7"/>
      <c r="AB1810" s="7"/>
      <c r="AC1810" s="7" t="s">
        <v>4376</v>
      </c>
      <c r="AD1810" s="7" t="s">
        <v>4456</v>
      </c>
      <c r="AE1810" s="7" t="s">
        <v>4456</v>
      </c>
      <c r="AF1810" s="7" t="s">
        <v>50</v>
      </c>
      <c r="AG1810" s="7" t="s">
        <v>253</v>
      </c>
      <c r="AH1810" s="7" t="s">
        <v>4377</v>
      </c>
    </row>
    <row r="1811" spans="1:34" ht="9.75" customHeight="1" x14ac:dyDescent="0.2">
      <c r="A1811" s="7" t="s">
        <v>4371</v>
      </c>
      <c r="B1811" s="7" t="s">
        <v>4372</v>
      </c>
      <c r="C1811" s="7"/>
      <c r="D1811" s="7" t="s">
        <v>4457</v>
      </c>
      <c r="E1811" s="8">
        <v>4</v>
      </c>
      <c r="F1811" s="7"/>
      <c r="G1811" s="7"/>
      <c r="H1811" s="9"/>
      <c r="I1811" s="10">
        <v>35900</v>
      </c>
      <c r="J1811" s="10">
        <v>161800</v>
      </c>
      <c r="K1811" s="9"/>
      <c r="L1811" s="10">
        <v>11800</v>
      </c>
      <c r="M1811" s="9"/>
      <c r="N1811" s="10">
        <v>11800</v>
      </c>
      <c r="O1811" s="9"/>
      <c r="P1811" s="10"/>
      <c r="Q1811" s="10"/>
      <c r="R1811" s="10"/>
      <c r="S1811" s="7" t="s">
        <v>54</v>
      </c>
      <c r="T1811" s="7" t="s">
        <v>4380</v>
      </c>
      <c r="U1811" s="7"/>
      <c r="V1811" s="7"/>
      <c r="W1811" s="7"/>
      <c r="X1811" s="7"/>
      <c r="Y1811" s="7" t="s">
        <v>4458</v>
      </c>
      <c r="Z1811" s="7" t="s">
        <v>2806</v>
      </c>
      <c r="AA1811" s="7"/>
      <c r="AB1811" s="7"/>
      <c r="AC1811" s="7" t="s">
        <v>4376</v>
      </c>
      <c r="AD1811" s="7" t="s">
        <v>4459</v>
      </c>
      <c r="AE1811" s="7" t="s">
        <v>4459</v>
      </c>
      <c r="AF1811" s="7" t="s">
        <v>50</v>
      </c>
      <c r="AG1811" s="7" t="s">
        <v>253</v>
      </c>
      <c r="AH1811" s="7" t="s">
        <v>4377</v>
      </c>
    </row>
    <row r="1812" spans="1:34" ht="9.75" customHeight="1" x14ac:dyDescent="0.2">
      <c r="A1812" s="7" t="s">
        <v>4371</v>
      </c>
      <c r="B1812" s="7" t="s">
        <v>4372</v>
      </c>
      <c r="C1812" s="7"/>
      <c r="D1812" s="7" t="s">
        <v>4460</v>
      </c>
      <c r="E1812" s="8">
        <v>7</v>
      </c>
      <c r="F1812" s="7"/>
      <c r="G1812" s="7"/>
      <c r="H1812" s="9"/>
      <c r="I1812" s="10">
        <v>719300</v>
      </c>
      <c r="J1812" s="10">
        <v>12200</v>
      </c>
      <c r="K1812" s="9"/>
      <c r="L1812" s="10">
        <v>12500</v>
      </c>
      <c r="M1812" s="9"/>
      <c r="N1812" s="10">
        <v>12500</v>
      </c>
      <c r="O1812" s="9"/>
      <c r="P1812" s="10"/>
      <c r="Q1812" s="10"/>
      <c r="R1812" s="10"/>
      <c r="S1812" s="7" t="s">
        <v>54</v>
      </c>
      <c r="T1812" s="7" t="s">
        <v>4380</v>
      </c>
      <c r="U1812" s="7"/>
      <c r="V1812" s="7"/>
      <c r="W1812" s="7"/>
      <c r="X1812" s="7"/>
      <c r="Y1812" s="7" t="s">
        <v>4461</v>
      </c>
      <c r="Z1812" s="7" t="s">
        <v>2806</v>
      </c>
      <c r="AA1812" s="7"/>
      <c r="AB1812" s="7"/>
      <c r="AC1812" s="7" t="s">
        <v>4376</v>
      </c>
      <c r="AD1812" s="7" t="s">
        <v>4462</v>
      </c>
      <c r="AE1812" s="7" t="s">
        <v>4462</v>
      </c>
      <c r="AF1812" s="7" t="s">
        <v>50</v>
      </c>
      <c r="AG1812" s="7" t="s">
        <v>253</v>
      </c>
      <c r="AH1812" s="7" t="s">
        <v>4377</v>
      </c>
    </row>
    <row r="1813" spans="1:34" ht="9.75" customHeight="1" x14ac:dyDescent="0.2">
      <c r="A1813" s="7" t="s">
        <v>4371</v>
      </c>
      <c r="B1813" s="7" t="s">
        <v>4372</v>
      </c>
      <c r="C1813" s="7"/>
      <c r="D1813" s="7" t="s">
        <v>4463</v>
      </c>
      <c r="E1813" s="8">
        <v>6</v>
      </c>
      <c r="F1813" s="7"/>
      <c r="G1813" s="7"/>
      <c r="H1813" s="9"/>
      <c r="I1813" s="10">
        <v>90800</v>
      </c>
      <c r="J1813" s="10">
        <v>0</v>
      </c>
      <c r="K1813" s="9"/>
      <c r="L1813" s="10">
        <v>3900</v>
      </c>
      <c r="M1813" s="9"/>
      <c r="N1813" s="10">
        <v>3900</v>
      </c>
      <c r="O1813" s="9"/>
      <c r="P1813" s="10"/>
      <c r="Q1813" s="10"/>
      <c r="R1813" s="10"/>
      <c r="S1813" s="7" t="s">
        <v>54</v>
      </c>
      <c r="T1813" s="7" t="s">
        <v>4380</v>
      </c>
      <c r="U1813" s="7"/>
      <c r="V1813" s="7"/>
      <c r="W1813" s="7"/>
      <c r="X1813" s="7"/>
      <c r="Y1813" s="7" t="s">
        <v>4464</v>
      </c>
      <c r="Z1813" s="7" t="s">
        <v>2806</v>
      </c>
      <c r="AA1813" s="7"/>
      <c r="AB1813" s="7"/>
      <c r="AC1813" s="7" t="s">
        <v>4376</v>
      </c>
      <c r="AD1813" s="7" t="s">
        <v>4465</v>
      </c>
      <c r="AE1813" s="7" t="s">
        <v>4465</v>
      </c>
      <c r="AF1813" s="7" t="s">
        <v>50</v>
      </c>
      <c r="AG1813" s="7" t="s">
        <v>253</v>
      </c>
      <c r="AH1813" s="7" t="s">
        <v>4377</v>
      </c>
    </row>
    <row r="1814" spans="1:34" ht="9.75" customHeight="1" x14ac:dyDescent="0.2">
      <c r="A1814" s="7" t="s">
        <v>4371</v>
      </c>
      <c r="B1814" s="7" t="s">
        <v>4372</v>
      </c>
      <c r="C1814" s="7"/>
      <c r="D1814" s="7" t="s">
        <v>4466</v>
      </c>
      <c r="E1814" s="8">
        <v>7</v>
      </c>
      <c r="F1814" s="7"/>
      <c r="G1814" s="7"/>
      <c r="H1814" s="9"/>
      <c r="I1814" s="10">
        <v>71300</v>
      </c>
      <c r="J1814" s="10">
        <v>445700</v>
      </c>
      <c r="K1814" s="9"/>
      <c r="L1814" s="10">
        <v>421000</v>
      </c>
      <c r="M1814" s="9"/>
      <c r="N1814" s="10">
        <v>421000</v>
      </c>
      <c r="O1814" s="9"/>
      <c r="P1814" s="10"/>
      <c r="Q1814" s="10"/>
      <c r="R1814" s="10"/>
      <c r="S1814" s="7" t="s">
        <v>54</v>
      </c>
      <c r="T1814" s="7" t="s">
        <v>4380</v>
      </c>
      <c r="U1814" s="7"/>
      <c r="V1814" s="7"/>
      <c r="W1814" s="7"/>
      <c r="X1814" s="7"/>
      <c r="Y1814" s="7" t="s">
        <v>4467</v>
      </c>
      <c r="Z1814" s="7" t="s">
        <v>2806</v>
      </c>
      <c r="AA1814" s="7"/>
      <c r="AB1814" s="7"/>
      <c r="AC1814" s="7" t="s">
        <v>4376</v>
      </c>
      <c r="AD1814" s="7" t="s">
        <v>4468</v>
      </c>
      <c r="AE1814" s="7" t="s">
        <v>4468</v>
      </c>
      <c r="AF1814" s="7" t="s">
        <v>50</v>
      </c>
      <c r="AG1814" s="7" t="s">
        <v>253</v>
      </c>
      <c r="AH1814" s="7" t="s">
        <v>4377</v>
      </c>
    </row>
    <row r="1815" spans="1:34" ht="9.75" customHeight="1" x14ac:dyDescent="0.2">
      <c r="A1815" s="7" t="s">
        <v>4371</v>
      </c>
      <c r="B1815" s="7" t="s">
        <v>4372</v>
      </c>
      <c r="C1815" s="7"/>
      <c r="D1815" s="7" t="s">
        <v>4469</v>
      </c>
      <c r="E1815" s="8">
        <v>7</v>
      </c>
      <c r="F1815" s="7"/>
      <c r="G1815" s="7"/>
      <c r="H1815" s="9"/>
      <c r="I1815" s="10">
        <v>1577300</v>
      </c>
      <c r="J1815" s="10">
        <v>2031200</v>
      </c>
      <c r="K1815" s="9"/>
      <c r="L1815" s="10">
        <v>724300</v>
      </c>
      <c r="M1815" s="9"/>
      <c r="N1815" s="10">
        <v>724300</v>
      </c>
      <c r="O1815" s="9"/>
      <c r="P1815" s="10"/>
      <c r="Q1815" s="10"/>
      <c r="R1815" s="10"/>
      <c r="S1815" s="7" t="s">
        <v>54</v>
      </c>
      <c r="T1815" s="7" t="s">
        <v>4380</v>
      </c>
      <c r="U1815" s="7"/>
      <c r="V1815" s="7"/>
      <c r="W1815" s="7"/>
      <c r="X1815" s="7"/>
      <c r="Y1815" s="7" t="s">
        <v>4470</v>
      </c>
      <c r="Z1815" s="7" t="s">
        <v>2806</v>
      </c>
      <c r="AA1815" s="7"/>
      <c r="AB1815" s="7"/>
      <c r="AC1815" s="7" t="s">
        <v>4376</v>
      </c>
      <c r="AD1815" s="7" t="s">
        <v>4471</v>
      </c>
      <c r="AE1815" s="7" t="s">
        <v>4471</v>
      </c>
      <c r="AF1815" s="7" t="s">
        <v>50</v>
      </c>
      <c r="AG1815" s="7" t="s">
        <v>253</v>
      </c>
      <c r="AH1815" s="7" t="s">
        <v>4377</v>
      </c>
    </row>
    <row r="1816" spans="1:34" ht="9.75" customHeight="1" x14ac:dyDescent="0.2">
      <c r="A1816" s="7" t="s">
        <v>4371</v>
      </c>
      <c r="B1816" s="7" t="s">
        <v>4372</v>
      </c>
      <c r="C1816" s="7"/>
      <c r="D1816" s="7" t="s">
        <v>4472</v>
      </c>
      <c r="E1816" s="8">
        <v>7</v>
      </c>
      <c r="F1816" s="7"/>
      <c r="G1816" s="7"/>
      <c r="H1816" s="9"/>
      <c r="I1816" s="10">
        <v>-57600</v>
      </c>
      <c r="J1816" s="10">
        <v>-189600</v>
      </c>
      <c r="K1816" s="9"/>
      <c r="L1816" s="10">
        <v>-261900</v>
      </c>
      <c r="M1816" s="9"/>
      <c r="N1816" s="10">
        <v>-261900</v>
      </c>
      <c r="O1816" s="9"/>
      <c r="P1816" s="10"/>
      <c r="Q1816" s="10"/>
      <c r="R1816" s="10"/>
      <c r="S1816" s="7" t="s">
        <v>219</v>
      </c>
      <c r="T1816" s="7"/>
      <c r="U1816" s="7"/>
      <c r="V1816" s="7"/>
      <c r="W1816" s="7"/>
      <c r="X1816" s="7"/>
      <c r="Y1816" s="7" t="s">
        <v>4473</v>
      </c>
      <c r="Z1816" s="7" t="s">
        <v>2806</v>
      </c>
      <c r="AA1816" s="7"/>
      <c r="AB1816" s="7"/>
      <c r="AC1816" s="7" t="s">
        <v>4376</v>
      </c>
      <c r="AD1816" s="7"/>
      <c r="AE1816" s="7"/>
      <c r="AF1816" s="7" t="s">
        <v>50</v>
      </c>
      <c r="AG1816" s="7" t="s">
        <v>253</v>
      </c>
      <c r="AH1816" s="7" t="s">
        <v>4377</v>
      </c>
    </row>
    <row r="1817" spans="1:34" ht="9.75" customHeight="1" x14ac:dyDescent="0.2">
      <c r="A1817" s="7" t="s">
        <v>4371</v>
      </c>
      <c r="B1817" s="7" t="s">
        <v>4372</v>
      </c>
      <c r="C1817" s="7"/>
      <c r="D1817" s="7" t="s">
        <v>4474</v>
      </c>
      <c r="E1817" s="8">
        <v>7</v>
      </c>
      <c r="F1817" s="7"/>
      <c r="G1817" s="7"/>
      <c r="H1817" s="9"/>
      <c r="I1817" s="10">
        <v>31120</v>
      </c>
      <c r="J1817" s="10">
        <v>26040</v>
      </c>
      <c r="K1817" s="9"/>
      <c r="L1817" s="10">
        <v>33870</v>
      </c>
      <c r="M1817" s="9"/>
      <c r="N1817" s="10">
        <v>33870</v>
      </c>
      <c r="O1817" s="9"/>
      <c r="P1817" s="10"/>
      <c r="Q1817" s="10"/>
      <c r="R1817" s="10"/>
      <c r="S1817" s="7" t="s">
        <v>54</v>
      </c>
      <c r="T1817" s="7" t="s">
        <v>4380</v>
      </c>
      <c r="U1817" s="7"/>
      <c r="V1817" s="7"/>
      <c r="W1817" s="7"/>
      <c r="X1817" s="7"/>
      <c r="Y1817" s="7" t="s">
        <v>4475</v>
      </c>
      <c r="Z1817" s="7" t="s">
        <v>2814</v>
      </c>
      <c r="AA1817" s="7"/>
      <c r="AB1817" s="7"/>
      <c r="AC1817" s="7" t="s">
        <v>4376</v>
      </c>
      <c r="AD1817" s="7" t="s">
        <v>4476</v>
      </c>
      <c r="AE1817" s="7" t="s">
        <v>4476</v>
      </c>
      <c r="AF1817" s="7" t="s">
        <v>50</v>
      </c>
      <c r="AG1817" s="7" t="s">
        <v>253</v>
      </c>
      <c r="AH1817" s="7" t="s">
        <v>4377</v>
      </c>
    </row>
    <row r="1818" spans="1:34" ht="9.75" customHeight="1" x14ac:dyDescent="0.2">
      <c r="A1818" s="7" t="s">
        <v>4371</v>
      </c>
      <c r="B1818" s="7" t="s">
        <v>4372</v>
      </c>
      <c r="C1818" s="7"/>
      <c r="D1818" s="7" t="s">
        <v>4477</v>
      </c>
      <c r="E1818" s="8">
        <v>7</v>
      </c>
      <c r="F1818" s="7"/>
      <c r="G1818" s="7"/>
      <c r="H1818" s="9"/>
      <c r="I1818" s="10">
        <v>468310</v>
      </c>
      <c r="J1818" s="10">
        <v>508710</v>
      </c>
      <c r="K1818" s="9"/>
      <c r="L1818" s="10">
        <v>474480</v>
      </c>
      <c r="M1818" s="9"/>
      <c r="N1818" s="10">
        <v>474480</v>
      </c>
      <c r="O1818" s="9"/>
      <c r="P1818" s="10"/>
      <c r="Q1818" s="10"/>
      <c r="R1818" s="10"/>
      <c r="S1818" s="7" t="s">
        <v>54</v>
      </c>
      <c r="T1818" s="7" t="s">
        <v>4380</v>
      </c>
      <c r="U1818" s="7"/>
      <c r="V1818" s="7"/>
      <c r="W1818" s="7"/>
      <c r="X1818" s="7"/>
      <c r="Y1818" s="7" t="s">
        <v>4478</v>
      </c>
      <c r="Z1818" s="7" t="s">
        <v>2814</v>
      </c>
      <c r="AA1818" s="7"/>
      <c r="AB1818" s="7"/>
      <c r="AC1818" s="7" t="s">
        <v>4376</v>
      </c>
      <c r="AD1818" s="7" t="s">
        <v>4479</v>
      </c>
      <c r="AE1818" s="7" t="s">
        <v>4479</v>
      </c>
      <c r="AF1818" s="7" t="s">
        <v>50</v>
      </c>
      <c r="AG1818" s="7" t="s">
        <v>253</v>
      </c>
      <c r="AH1818" s="7" t="s">
        <v>4377</v>
      </c>
    </row>
    <row r="1819" spans="1:34" ht="9.75" customHeight="1" x14ac:dyDescent="0.2">
      <c r="A1819" s="7" t="s">
        <v>4371</v>
      </c>
      <c r="B1819" s="7" t="s">
        <v>4372</v>
      </c>
      <c r="C1819" s="7"/>
      <c r="D1819" s="7" t="s">
        <v>4480</v>
      </c>
      <c r="E1819" s="8">
        <v>7</v>
      </c>
      <c r="F1819" s="7"/>
      <c r="G1819" s="7"/>
      <c r="H1819" s="9"/>
      <c r="I1819" s="10">
        <v>499430</v>
      </c>
      <c r="J1819" s="10">
        <v>534740</v>
      </c>
      <c r="K1819" s="9"/>
      <c r="L1819" s="10">
        <v>508350</v>
      </c>
      <c r="M1819" s="9"/>
      <c r="N1819" s="10">
        <v>508350</v>
      </c>
      <c r="O1819" s="9"/>
      <c r="P1819" s="10"/>
      <c r="Q1819" s="10"/>
      <c r="R1819" s="10"/>
      <c r="S1819" s="7" t="s">
        <v>43</v>
      </c>
      <c r="T1819" s="7"/>
      <c r="U1819" s="7"/>
      <c r="V1819" s="7"/>
      <c r="W1819" s="7"/>
      <c r="X1819" s="7"/>
      <c r="Y1819" s="7" t="s">
        <v>4481</v>
      </c>
      <c r="Z1819" s="7" t="s">
        <v>2814</v>
      </c>
      <c r="AA1819" s="7"/>
      <c r="AB1819" s="7"/>
      <c r="AC1819" s="7" t="s">
        <v>4376</v>
      </c>
      <c r="AD1819" s="7"/>
      <c r="AE1819" s="7"/>
      <c r="AF1819" s="7" t="s">
        <v>50</v>
      </c>
      <c r="AG1819" s="7" t="s">
        <v>253</v>
      </c>
      <c r="AH1819" s="7" t="s">
        <v>4377</v>
      </c>
    </row>
    <row r="1820" spans="1:34" ht="9.75" customHeight="1" x14ac:dyDescent="0.2">
      <c r="A1820" s="7" t="s">
        <v>4371</v>
      </c>
      <c r="B1820" s="7" t="s">
        <v>4372</v>
      </c>
      <c r="C1820" s="7"/>
      <c r="D1820" s="7" t="s">
        <v>4482</v>
      </c>
      <c r="E1820" s="8">
        <v>7</v>
      </c>
      <c r="F1820" s="7"/>
      <c r="G1820" s="7" t="s">
        <v>4483</v>
      </c>
      <c r="H1820" s="9"/>
      <c r="I1820" s="9"/>
      <c r="J1820" s="9"/>
      <c r="K1820" s="9"/>
      <c r="L1820" s="10">
        <v>70200</v>
      </c>
      <c r="M1820" s="9"/>
      <c r="N1820" s="10">
        <v>70200</v>
      </c>
      <c r="O1820" s="9"/>
      <c r="P1820" s="10"/>
      <c r="Q1820" s="10"/>
      <c r="R1820" s="10"/>
      <c r="S1820" s="7" t="s">
        <v>54</v>
      </c>
      <c r="T1820" s="7" t="s">
        <v>4380</v>
      </c>
      <c r="U1820" s="7"/>
      <c r="V1820" s="7"/>
      <c r="W1820" s="7"/>
      <c r="X1820" s="7"/>
      <c r="Y1820" s="7" t="s">
        <v>4484</v>
      </c>
      <c r="Z1820" s="7" t="s">
        <v>2737</v>
      </c>
      <c r="AA1820" s="7"/>
      <c r="AB1820" s="7"/>
      <c r="AC1820" s="7" t="s">
        <v>4376</v>
      </c>
      <c r="AD1820" s="7" t="s">
        <v>4485</v>
      </c>
      <c r="AE1820" s="7" t="s">
        <v>4485</v>
      </c>
      <c r="AF1820" s="7" t="s">
        <v>50</v>
      </c>
      <c r="AG1820" s="7" t="s">
        <v>253</v>
      </c>
      <c r="AH1820" s="7" t="s">
        <v>4377</v>
      </c>
    </row>
    <row r="1821" spans="1:34" ht="9.75" customHeight="1" x14ac:dyDescent="0.2">
      <c r="A1821" s="7" t="s">
        <v>4371</v>
      </c>
      <c r="B1821" s="7" t="s">
        <v>4372</v>
      </c>
      <c r="C1821" s="7"/>
      <c r="D1821" s="7" t="s">
        <v>4486</v>
      </c>
      <c r="E1821" s="8">
        <v>6</v>
      </c>
      <c r="F1821" s="7" t="s">
        <v>4487</v>
      </c>
      <c r="G1821" s="7" t="s">
        <v>4488</v>
      </c>
      <c r="H1821" s="9"/>
      <c r="I1821" s="10">
        <v>1122540</v>
      </c>
      <c r="J1821" s="10">
        <v>1130960</v>
      </c>
      <c r="K1821" s="9"/>
      <c r="L1821" s="10">
        <v>1168800</v>
      </c>
      <c r="M1821" s="9"/>
      <c r="N1821" s="10">
        <v>1168800</v>
      </c>
      <c r="O1821" s="9"/>
      <c r="P1821" s="10"/>
      <c r="Q1821" s="10"/>
      <c r="R1821" s="10"/>
      <c r="S1821" s="7" t="s">
        <v>43</v>
      </c>
      <c r="T1821" s="7"/>
      <c r="U1821" s="7"/>
      <c r="V1821" s="7"/>
      <c r="W1821" s="7"/>
      <c r="X1821" s="7"/>
      <c r="Y1821" s="7" t="s">
        <v>4489</v>
      </c>
      <c r="Z1821" s="7" t="s">
        <v>1485</v>
      </c>
      <c r="AA1821" s="7"/>
      <c r="AB1821" s="7"/>
      <c r="AC1821" s="7" t="s">
        <v>4490</v>
      </c>
      <c r="AD1821" s="7"/>
      <c r="AE1821" s="7"/>
      <c r="AF1821" s="7" t="s">
        <v>113</v>
      </c>
      <c r="AG1821" s="7" t="s">
        <v>4491</v>
      </c>
      <c r="AH1821" s="7" t="s">
        <v>4492</v>
      </c>
    </row>
    <row r="1822" spans="1:34" ht="9.75" customHeight="1" x14ac:dyDescent="0.2">
      <c r="A1822" s="7" t="s">
        <v>4371</v>
      </c>
      <c r="B1822" s="7" t="s">
        <v>4372</v>
      </c>
      <c r="C1822" s="7"/>
      <c r="D1822" s="7" t="s">
        <v>4493</v>
      </c>
      <c r="E1822" s="8">
        <v>6</v>
      </c>
      <c r="F1822" s="7" t="s">
        <v>4487</v>
      </c>
      <c r="G1822" s="7"/>
      <c r="H1822" s="9"/>
      <c r="I1822" s="10">
        <v>0</v>
      </c>
      <c r="J1822" s="10">
        <v>35000</v>
      </c>
      <c r="K1822" s="9"/>
      <c r="L1822" s="10">
        <v>35000</v>
      </c>
      <c r="M1822" s="9"/>
      <c r="N1822" s="10">
        <v>35000</v>
      </c>
      <c r="O1822" s="9"/>
      <c r="P1822" s="10"/>
      <c r="Q1822" s="10"/>
      <c r="R1822" s="10"/>
      <c r="S1822" s="7" t="s">
        <v>54</v>
      </c>
      <c r="T1822" s="7" t="s">
        <v>4494</v>
      </c>
      <c r="U1822" s="7"/>
      <c r="V1822" s="7"/>
      <c r="W1822" s="7"/>
      <c r="X1822" s="7"/>
      <c r="Y1822" s="7" t="s">
        <v>4495</v>
      </c>
      <c r="Z1822" s="7" t="s">
        <v>1485</v>
      </c>
      <c r="AA1822" s="7"/>
      <c r="AB1822" s="7"/>
      <c r="AC1822" s="7" t="s">
        <v>4490</v>
      </c>
      <c r="AD1822" s="7" t="s">
        <v>4496</v>
      </c>
      <c r="AE1822" s="7" t="s">
        <v>4496</v>
      </c>
      <c r="AF1822" s="7" t="s">
        <v>113</v>
      </c>
      <c r="AG1822" s="7" t="s">
        <v>4491</v>
      </c>
      <c r="AH1822" s="7" t="s">
        <v>4492</v>
      </c>
    </row>
    <row r="1823" spans="1:34" ht="9.75" customHeight="1" x14ac:dyDescent="0.2">
      <c r="A1823" s="7" t="s">
        <v>4371</v>
      </c>
      <c r="B1823" s="7" t="s">
        <v>4372</v>
      </c>
      <c r="C1823" s="7"/>
      <c r="D1823" s="7" t="s">
        <v>4494</v>
      </c>
      <c r="E1823" s="8">
        <v>6</v>
      </c>
      <c r="F1823" s="7" t="s">
        <v>4487</v>
      </c>
      <c r="G1823" s="7"/>
      <c r="H1823" s="9"/>
      <c r="I1823" s="10">
        <v>1122540</v>
      </c>
      <c r="J1823" s="10">
        <v>1165960</v>
      </c>
      <c r="K1823" s="9"/>
      <c r="L1823" s="10">
        <v>1203800</v>
      </c>
      <c r="M1823" s="9"/>
      <c r="N1823" s="10">
        <v>1203800</v>
      </c>
      <c r="O1823" s="9"/>
      <c r="P1823" s="10"/>
      <c r="Q1823" s="10"/>
      <c r="R1823" s="10"/>
      <c r="S1823" s="7" t="s">
        <v>43</v>
      </c>
      <c r="T1823" s="7"/>
      <c r="U1823" s="7"/>
      <c r="V1823" s="7"/>
      <c r="W1823" s="7"/>
      <c r="X1823" s="7"/>
      <c r="Y1823" s="7" t="s">
        <v>4497</v>
      </c>
      <c r="Z1823" s="7" t="s">
        <v>1485</v>
      </c>
      <c r="AA1823" s="7"/>
      <c r="AB1823" s="7"/>
      <c r="AC1823" s="7" t="s">
        <v>4490</v>
      </c>
      <c r="AD1823" s="7"/>
      <c r="AE1823" s="7"/>
      <c r="AF1823" s="7" t="s">
        <v>113</v>
      </c>
      <c r="AG1823" s="7" t="s">
        <v>4491</v>
      </c>
      <c r="AH1823" s="7" t="s">
        <v>4492</v>
      </c>
    </row>
    <row r="1824" spans="1:34" ht="9.75" customHeight="1" x14ac:dyDescent="0.2">
      <c r="A1824" s="7" t="s">
        <v>4371</v>
      </c>
      <c r="B1824" s="7" t="s">
        <v>4372</v>
      </c>
      <c r="C1824" s="7"/>
      <c r="D1824" s="7" t="s">
        <v>4498</v>
      </c>
      <c r="E1824" s="8">
        <v>6</v>
      </c>
      <c r="F1824" s="7"/>
      <c r="G1824" s="7"/>
      <c r="H1824" s="9"/>
      <c r="I1824" s="10">
        <v>2654880</v>
      </c>
      <c r="J1824" s="10">
        <v>2604020</v>
      </c>
      <c r="K1824" s="9"/>
      <c r="L1824" s="10">
        <v>2506290</v>
      </c>
      <c r="M1824" s="9"/>
      <c r="N1824" s="10">
        <v>2506290</v>
      </c>
      <c r="O1824" s="9"/>
      <c r="P1824" s="10"/>
      <c r="Q1824" s="10"/>
      <c r="R1824" s="10"/>
      <c r="S1824" s="7" t="s">
        <v>219</v>
      </c>
      <c r="T1824" s="7"/>
      <c r="U1824" s="7"/>
      <c r="V1824" s="7"/>
      <c r="W1824" s="7"/>
      <c r="X1824" s="7"/>
      <c r="Y1824" s="7" t="s">
        <v>4499</v>
      </c>
      <c r="Z1824" s="7" t="s">
        <v>1485</v>
      </c>
      <c r="AA1824" s="7"/>
      <c r="AB1824" s="7"/>
      <c r="AC1824" s="7" t="s">
        <v>4490</v>
      </c>
      <c r="AD1824" s="7"/>
      <c r="AE1824" s="7"/>
      <c r="AF1824" s="7" t="s">
        <v>113</v>
      </c>
      <c r="AG1824" s="7" t="s">
        <v>4491</v>
      </c>
      <c r="AH1824" s="7" t="s">
        <v>4492</v>
      </c>
    </row>
    <row r="1825" spans="1:34" ht="9.75" customHeight="1" x14ac:dyDescent="0.2">
      <c r="A1825" s="7" t="s">
        <v>4371</v>
      </c>
      <c r="B1825" s="7" t="s">
        <v>4372</v>
      </c>
      <c r="C1825" s="7"/>
      <c r="D1825" s="7" t="s">
        <v>4500</v>
      </c>
      <c r="E1825" s="8">
        <v>6</v>
      </c>
      <c r="F1825" s="7" t="s">
        <v>4487</v>
      </c>
      <c r="G1825" s="7" t="s">
        <v>4501</v>
      </c>
      <c r="H1825" s="9"/>
      <c r="I1825" s="10">
        <v>2152110</v>
      </c>
      <c r="J1825" s="10">
        <v>2367140</v>
      </c>
      <c r="K1825" s="9"/>
      <c r="L1825" s="10">
        <v>2386350</v>
      </c>
      <c r="M1825" s="9"/>
      <c r="N1825" s="10">
        <v>2386350</v>
      </c>
      <c r="O1825" s="9"/>
      <c r="P1825" s="10"/>
      <c r="Q1825" s="10"/>
      <c r="R1825" s="10"/>
      <c r="S1825" s="7" t="s">
        <v>43</v>
      </c>
      <c r="T1825" s="7"/>
      <c r="U1825" s="7"/>
      <c r="V1825" s="7"/>
      <c r="W1825" s="7"/>
      <c r="X1825" s="7"/>
      <c r="Y1825" s="7" t="s">
        <v>4502</v>
      </c>
      <c r="Z1825" s="7" t="s">
        <v>1485</v>
      </c>
      <c r="AA1825" s="7"/>
      <c r="AB1825" s="7"/>
      <c r="AC1825" s="7" t="s">
        <v>4503</v>
      </c>
      <c r="AD1825" s="7"/>
      <c r="AE1825" s="7"/>
      <c r="AF1825" s="7" t="s">
        <v>113</v>
      </c>
      <c r="AG1825" s="7" t="s">
        <v>4491</v>
      </c>
      <c r="AH1825" s="7" t="s">
        <v>4504</v>
      </c>
    </row>
    <row r="1826" spans="1:34" ht="9.75" customHeight="1" x14ac:dyDescent="0.2">
      <c r="A1826" s="7" t="s">
        <v>4371</v>
      </c>
      <c r="B1826" s="7" t="s">
        <v>4372</v>
      </c>
      <c r="C1826" s="7"/>
      <c r="D1826" s="7" t="s">
        <v>4505</v>
      </c>
      <c r="E1826" s="8">
        <v>6</v>
      </c>
      <c r="F1826" s="7" t="s">
        <v>4487</v>
      </c>
      <c r="G1826" s="7"/>
      <c r="H1826" s="9"/>
      <c r="I1826" s="10">
        <v>0</v>
      </c>
      <c r="J1826" s="10">
        <v>176000</v>
      </c>
      <c r="K1826" s="9"/>
      <c r="L1826" s="10">
        <v>176000</v>
      </c>
      <c r="M1826" s="9"/>
      <c r="N1826" s="10">
        <v>176000</v>
      </c>
      <c r="O1826" s="9"/>
      <c r="P1826" s="10"/>
      <c r="Q1826" s="10"/>
      <c r="R1826" s="10"/>
      <c r="S1826" s="7" t="s">
        <v>54</v>
      </c>
      <c r="T1826" s="7" t="s">
        <v>4506</v>
      </c>
      <c r="U1826" s="7"/>
      <c r="V1826" s="7"/>
      <c r="W1826" s="7"/>
      <c r="X1826" s="7"/>
      <c r="Y1826" s="7" t="s">
        <v>4507</v>
      </c>
      <c r="Z1826" s="7" t="s">
        <v>1485</v>
      </c>
      <c r="AA1826" s="7"/>
      <c r="AB1826" s="7"/>
      <c r="AC1826" s="7" t="s">
        <v>4503</v>
      </c>
      <c r="AD1826" s="7" t="s">
        <v>4508</v>
      </c>
      <c r="AE1826" s="7" t="s">
        <v>4508</v>
      </c>
      <c r="AF1826" s="7" t="s">
        <v>113</v>
      </c>
      <c r="AG1826" s="7" t="s">
        <v>4491</v>
      </c>
      <c r="AH1826" s="7" t="s">
        <v>4504</v>
      </c>
    </row>
    <row r="1827" spans="1:34" ht="9.75" customHeight="1" x14ac:dyDescent="0.2">
      <c r="A1827" s="7" t="s">
        <v>4371</v>
      </c>
      <c r="B1827" s="7" t="s">
        <v>4372</v>
      </c>
      <c r="C1827" s="7"/>
      <c r="D1827" s="7" t="s">
        <v>4506</v>
      </c>
      <c r="E1827" s="8">
        <v>6</v>
      </c>
      <c r="F1827" s="7" t="s">
        <v>4487</v>
      </c>
      <c r="G1827" s="7"/>
      <c r="H1827" s="9"/>
      <c r="I1827" s="10">
        <v>2152110</v>
      </c>
      <c r="J1827" s="10">
        <v>2543140</v>
      </c>
      <c r="K1827" s="9"/>
      <c r="L1827" s="10">
        <v>2562350</v>
      </c>
      <c r="M1827" s="9"/>
      <c r="N1827" s="10">
        <v>2562350</v>
      </c>
      <c r="O1827" s="9"/>
      <c r="P1827" s="10"/>
      <c r="Q1827" s="10"/>
      <c r="R1827" s="10"/>
      <c r="S1827" s="7" t="s">
        <v>43</v>
      </c>
      <c r="T1827" s="7"/>
      <c r="U1827" s="7"/>
      <c r="V1827" s="7"/>
      <c r="W1827" s="7"/>
      <c r="X1827" s="7"/>
      <c r="Y1827" s="7" t="s">
        <v>4509</v>
      </c>
      <c r="Z1827" s="7" t="s">
        <v>1485</v>
      </c>
      <c r="AA1827" s="7"/>
      <c r="AB1827" s="7"/>
      <c r="AC1827" s="7" t="s">
        <v>4503</v>
      </c>
      <c r="AD1827" s="7"/>
      <c r="AE1827" s="7"/>
      <c r="AF1827" s="7" t="s">
        <v>113</v>
      </c>
      <c r="AG1827" s="7" t="s">
        <v>4491</v>
      </c>
      <c r="AH1827" s="7" t="s">
        <v>4504</v>
      </c>
    </row>
    <row r="1828" spans="1:34" ht="9.75" customHeight="1" x14ac:dyDescent="0.2">
      <c r="A1828" s="7" t="s">
        <v>4371</v>
      </c>
      <c r="B1828" s="7" t="s">
        <v>4372</v>
      </c>
      <c r="C1828" s="7"/>
      <c r="D1828" s="7" t="s">
        <v>4510</v>
      </c>
      <c r="E1828" s="8">
        <v>6</v>
      </c>
      <c r="F1828" s="7"/>
      <c r="G1828" s="7"/>
      <c r="H1828" s="9"/>
      <c r="I1828" s="10">
        <v>8353550</v>
      </c>
      <c r="J1828" s="10">
        <v>9515870</v>
      </c>
      <c r="K1828" s="9"/>
      <c r="L1828" s="10">
        <v>10739130</v>
      </c>
      <c r="M1828" s="9"/>
      <c r="N1828" s="10">
        <v>10739130</v>
      </c>
      <c r="O1828" s="9"/>
      <c r="P1828" s="10"/>
      <c r="Q1828" s="10"/>
      <c r="R1828" s="10"/>
      <c r="S1828" s="7" t="s">
        <v>219</v>
      </c>
      <c r="T1828" s="7"/>
      <c r="U1828" s="7"/>
      <c r="V1828" s="7"/>
      <c r="W1828" s="7"/>
      <c r="X1828" s="7"/>
      <c r="Y1828" s="7" t="s">
        <v>4511</v>
      </c>
      <c r="Z1828" s="7" t="s">
        <v>1485</v>
      </c>
      <c r="AA1828" s="7"/>
      <c r="AB1828" s="7"/>
      <c r="AC1828" s="7" t="s">
        <v>4503</v>
      </c>
      <c r="AD1828" s="7"/>
      <c r="AE1828" s="7"/>
      <c r="AF1828" s="7" t="s">
        <v>113</v>
      </c>
      <c r="AG1828" s="7" t="s">
        <v>4491</v>
      </c>
      <c r="AH1828" s="7" t="s">
        <v>4504</v>
      </c>
    </row>
    <row r="1829" spans="1:34" ht="9.75" customHeight="1" x14ac:dyDescent="0.2">
      <c r="A1829" s="7" t="s">
        <v>4371</v>
      </c>
      <c r="B1829" s="7" t="s">
        <v>4372</v>
      </c>
      <c r="C1829" s="7"/>
      <c r="D1829" s="7" t="s">
        <v>4512</v>
      </c>
      <c r="E1829" s="8">
        <v>6</v>
      </c>
      <c r="F1829" s="7" t="s">
        <v>4487</v>
      </c>
      <c r="G1829" s="7"/>
      <c r="H1829" s="9"/>
      <c r="I1829" s="10">
        <v>111700</v>
      </c>
      <c r="J1829" s="10">
        <v>45280</v>
      </c>
      <c r="K1829" s="9"/>
      <c r="L1829" s="10">
        <v>52070</v>
      </c>
      <c r="M1829" s="9"/>
      <c r="N1829" s="10">
        <v>52070</v>
      </c>
      <c r="O1829" s="9"/>
      <c r="P1829" s="10"/>
      <c r="Q1829" s="10"/>
      <c r="R1829" s="10"/>
      <c r="S1829" s="7" t="s">
        <v>43</v>
      </c>
      <c r="T1829" s="7"/>
      <c r="U1829" s="7"/>
      <c r="V1829" s="7"/>
      <c r="W1829" s="7"/>
      <c r="X1829" s="7"/>
      <c r="Y1829" s="7" t="s">
        <v>4513</v>
      </c>
      <c r="Z1829" s="7" t="s">
        <v>1485</v>
      </c>
      <c r="AA1829" s="7"/>
      <c r="AB1829" s="7"/>
      <c r="AC1829" s="7" t="s">
        <v>4514</v>
      </c>
      <c r="AD1829" s="7"/>
      <c r="AE1829" s="7"/>
      <c r="AF1829" s="7" t="s">
        <v>113</v>
      </c>
      <c r="AG1829" s="7" t="s">
        <v>4491</v>
      </c>
      <c r="AH1829" s="7" t="s">
        <v>4515</v>
      </c>
    </row>
    <row r="1830" spans="1:34" ht="9.75" customHeight="1" x14ac:dyDescent="0.2">
      <c r="A1830" s="7" t="s">
        <v>4371</v>
      </c>
      <c r="B1830" s="7" t="s">
        <v>4372</v>
      </c>
      <c r="C1830" s="7"/>
      <c r="D1830" s="7" t="s">
        <v>4516</v>
      </c>
      <c r="E1830" s="8">
        <v>6</v>
      </c>
      <c r="F1830" s="7" t="s">
        <v>4487</v>
      </c>
      <c r="G1830" s="7"/>
      <c r="H1830" s="9"/>
      <c r="I1830" s="10">
        <v>111700</v>
      </c>
      <c r="J1830" s="10">
        <v>58280</v>
      </c>
      <c r="K1830" s="9"/>
      <c r="L1830" s="10">
        <v>65070</v>
      </c>
      <c r="M1830" s="9"/>
      <c r="N1830" s="10">
        <v>65070</v>
      </c>
      <c r="O1830" s="9"/>
      <c r="P1830" s="10"/>
      <c r="Q1830" s="10"/>
      <c r="R1830" s="10"/>
      <c r="S1830" s="7" t="s">
        <v>43</v>
      </c>
      <c r="T1830" s="7"/>
      <c r="U1830" s="7"/>
      <c r="V1830" s="7"/>
      <c r="W1830" s="7"/>
      <c r="X1830" s="7"/>
      <c r="Y1830" s="7" t="s">
        <v>4517</v>
      </c>
      <c r="Z1830" s="7" t="s">
        <v>1485</v>
      </c>
      <c r="AA1830" s="7"/>
      <c r="AB1830" s="7"/>
      <c r="AC1830" s="7" t="s">
        <v>4514</v>
      </c>
      <c r="AD1830" s="7"/>
      <c r="AE1830" s="7"/>
      <c r="AF1830" s="7" t="s">
        <v>113</v>
      </c>
      <c r="AG1830" s="7" t="s">
        <v>4491</v>
      </c>
      <c r="AH1830" s="7" t="s">
        <v>4515</v>
      </c>
    </row>
    <row r="1831" spans="1:34" ht="9.75" customHeight="1" x14ac:dyDescent="0.2">
      <c r="A1831" s="7" t="s">
        <v>4371</v>
      </c>
      <c r="B1831" s="7" t="s">
        <v>4372</v>
      </c>
      <c r="C1831" s="7"/>
      <c r="D1831" s="7" t="s">
        <v>4518</v>
      </c>
      <c r="E1831" s="8">
        <v>6</v>
      </c>
      <c r="F1831" s="7" t="s">
        <v>4487</v>
      </c>
      <c r="G1831" s="7"/>
      <c r="H1831" s="9"/>
      <c r="I1831" s="10">
        <v>4315260</v>
      </c>
      <c r="J1831" s="10">
        <v>4694620</v>
      </c>
      <c r="K1831" s="9"/>
      <c r="L1831" s="10">
        <v>4200500</v>
      </c>
      <c r="M1831" s="9"/>
      <c r="N1831" s="10">
        <v>4200500</v>
      </c>
      <c r="O1831" s="9"/>
      <c r="P1831" s="10"/>
      <c r="Q1831" s="10"/>
      <c r="R1831" s="10"/>
      <c r="S1831" s="7" t="s">
        <v>43</v>
      </c>
      <c r="T1831" s="7"/>
      <c r="U1831" s="7"/>
      <c r="V1831" s="7"/>
      <c r="W1831" s="7"/>
      <c r="X1831" s="7"/>
      <c r="Y1831" s="7" t="s">
        <v>4519</v>
      </c>
      <c r="Z1831" s="7" t="s">
        <v>1485</v>
      </c>
      <c r="AA1831" s="7"/>
      <c r="AB1831" s="7"/>
      <c r="AC1831" s="7" t="s">
        <v>4520</v>
      </c>
      <c r="AD1831" s="7"/>
      <c r="AE1831" s="7"/>
      <c r="AF1831" s="7" t="s">
        <v>113</v>
      </c>
      <c r="AG1831" s="7" t="s">
        <v>4521</v>
      </c>
      <c r="AH1831" s="7" t="s">
        <v>4522</v>
      </c>
    </row>
    <row r="1832" spans="1:34" ht="9.75" customHeight="1" x14ac:dyDescent="0.2">
      <c r="A1832" s="7" t="s">
        <v>4371</v>
      </c>
      <c r="B1832" s="7" t="s">
        <v>4372</v>
      </c>
      <c r="C1832" s="7"/>
      <c r="D1832" s="7" t="s">
        <v>4523</v>
      </c>
      <c r="E1832" s="8">
        <v>6</v>
      </c>
      <c r="F1832" s="7"/>
      <c r="G1832" s="7"/>
      <c r="H1832" s="9"/>
      <c r="I1832" s="10">
        <v>636000</v>
      </c>
      <c r="J1832" s="10">
        <v>636000</v>
      </c>
      <c r="K1832" s="9"/>
      <c r="L1832" s="10">
        <v>636000</v>
      </c>
      <c r="M1832" s="9"/>
      <c r="N1832" s="10">
        <v>636000</v>
      </c>
      <c r="O1832" s="9"/>
      <c r="P1832" s="10"/>
      <c r="Q1832" s="10"/>
      <c r="R1832" s="10"/>
      <c r="S1832" s="7" t="s">
        <v>54</v>
      </c>
      <c r="T1832" s="7" t="s">
        <v>4524</v>
      </c>
      <c r="U1832" s="7"/>
      <c r="V1832" s="7"/>
      <c r="W1832" s="7"/>
      <c r="X1832" s="7"/>
      <c r="Y1832" s="7" t="s">
        <v>4525</v>
      </c>
      <c r="Z1832" s="7" t="s">
        <v>1485</v>
      </c>
      <c r="AA1832" s="7"/>
      <c r="AB1832" s="7"/>
      <c r="AC1832" s="7" t="s">
        <v>4520</v>
      </c>
      <c r="AD1832" s="7" t="s">
        <v>4526</v>
      </c>
      <c r="AE1832" s="7" t="s">
        <v>4526</v>
      </c>
      <c r="AF1832" s="7" t="s">
        <v>113</v>
      </c>
      <c r="AG1832" s="7" t="s">
        <v>4521</v>
      </c>
      <c r="AH1832" s="7" t="s">
        <v>4522</v>
      </c>
    </row>
    <row r="1833" spans="1:34" ht="9.75" customHeight="1" x14ac:dyDescent="0.2">
      <c r="A1833" s="7" t="s">
        <v>4371</v>
      </c>
      <c r="B1833" s="7" t="s">
        <v>4372</v>
      </c>
      <c r="C1833" s="7"/>
      <c r="D1833" s="7" t="s">
        <v>4524</v>
      </c>
      <c r="E1833" s="8">
        <v>6</v>
      </c>
      <c r="F1833" s="7"/>
      <c r="G1833" s="7"/>
      <c r="H1833" s="9"/>
      <c r="I1833" s="10">
        <v>4951260</v>
      </c>
      <c r="J1833" s="10">
        <v>5330620</v>
      </c>
      <c r="K1833" s="9"/>
      <c r="L1833" s="10">
        <v>4836500</v>
      </c>
      <c r="M1833" s="9"/>
      <c r="N1833" s="10">
        <v>4836500</v>
      </c>
      <c r="O1833" s="9"/>
      <c r="P1833" s="10"/>
      <c r="Q1833" s="10"/>
      <c r="R1833" s="10"/>
      <c r="S1833" s="7" t="s">
        <v>43</v>
      </c>
      <c r="T1833" s="7"/>
      <c r="U1833" s="7"/>
      <c r="V1833" s="7"/>
      <c r="W1833" s="7"/>
      <c r="X1833" s="7"/>
      <c r="Y1833" s="7" t="s">
        <v>4527</v>
      </c>
      <c r="Z1833" s="7" t="s">
        <v>1485</v>
      </c>
      <c r="AA1833" s="7"/>
      <c r="AB1833" s="7"/>
      <c r="AC1833" s="7" t="s">
        <v>4520</v>
      </c>
      <c r="AD1833" s="7"/>
      <c r="AE1833" s="7"/>
      <c r="AF1833" s="7" t="s">
        <v>113</v>
      </c>
      <c r="AG1833" s="7" t="s">
        <v>4521</v>
      </c>
      <c r="AH1833" s="7" t="s">
        <v>4522</v>
      </c>
    </row>
    <row r="1834" spans="1:34" ht="9.75" customHeight="1" x14ac:dyDescent="0.2">
      <c r="A1834" s="7" t="s">
        <v>4371</v>
      </c>
      <c r="B1834" s="7" t="s">
        <v>4372</v>
      </c>
      <c r="C1834" s="7"/>
      <c r="D1834" s="7" t="s">
        <v>4528</v>
      </c>
      <c r="E1834" s="8">
        <v>6</v>
      </c>
      <c r="F1834" s="7"/>
      <c r="G1834" s="7"/>
      <c r="H1834" s="9"/>
      <c r="I1834" s="10">
        <v>1391300</v>
      </c>
      <c r="J1834" s="10">
        <v>1459270</v>
      </c>
      <c r="K1834" s="9"/>
      <c r="L1834" s="10">
        <v>1316570</v>
      </c>
      <c r="M1834" s="9"/>
      <c r="N1834" s="10">
        <v>1316570</v>
      </c>
      <c r="O1834" s="9"/>
      <c r="P1834" s="10"/>
      <c r="Q1834" s="10"/>
      <c r="R1834" s="10"/>
      <c r="S1834" s="7" t="s">
        <v>43</v>
      </c>
      <c r="T1834" s="7"/>
      <c r="U1834" s="7"/>
      <c r="V1834" s="7"/>
      <c r="W1834" s="7"/>
      <c r="X1834" s="7"/>
      <c r="Y1834" s="7" t="s">
        <v>4529</v>
      </c>
      <c r="Z1834" s="7" t="s">
        <v>1485</v>
      </c>
      <c r="AA1834" s="7"/>
      <c r="AB1834" s="7"/>
      <c r="AC1834" s="7" t="s">
        <v>4530</v>
      </c>
      <c r="AD1834" s="7"/>
      <c r="AE1834" s="7"/>
      <c r="AF1834" s="7" t="s">
        <v>113</v>
      </c>
      <c r="AG1834" s="7" t="s">
        <v>4491</v>
      </c>
      <c r="AH1834" s="7" t="s">
        <v>4531</v>
      </c>
    </row>
    <row r="1835" spans="1:34" ht="9.75" customHeight="1" x14ac:dyDescent="0.2">
      <c r="A1835" s="7" t="s">
        <v>4371</v>
      </c>
      <c r="B1835" s="7" t="s">
        <v>4372</v>
      </c>
      <c r="C1835" s="7"/>
      <c r="D1835" s="7" t="s">
        <v>4532</v>
      </c>
      <c r="E1835" s="8">
        <v>6</v>
      </c>
      <c r="F1835" s="7"/>
      <c r="G1835" s="7"/>
      <c r="H1835" s="9"/>
      <c r="I1835" s="10">
        <v>9163970</v>
      </c>
      <c r="J1835" s="10">
        <v>9767260</v>
      </c>
      <c r="K1835" s="9"/>
      <c r="L1835" s="10">
        <v>9194290</v>
      </c>
      <c r="M1835" s="9"/>
      <c r="N1835" s="10">
        <v>9194290</v>
      </c>
      <c r="O1835" s="9"/>
      <c r="P1835" s="10"/>
      <c r="Q1835" s="10"/>
      <c r="R1835" s="10"/>
      <c r="S1835" s="7" t="s">
        <v>43</v>
      </c>
      <c r="T1835" s="7"/>
      <c r="U1835" s="7"/>
      <c r="V1835" s="7"/>
      <c r="W1835" s="7"/>
      <c r="X1835" s="7"/>
      <c r="Y1835" s="7" t="s">
        <v>4533</v>
      </c>
      <c r="Z1835" s="7" t="s">
        <v>1485</v>
      </c>
      <c r="AA1835" s="7"/>
      <c r="AB1835" s="7"/>
      <c r="AC1835" s="7" t="s">
        <v>4534</v>
      </c>
      <c r="AD1835" s="7"/>
      <c r="AE1835" s="7"/>
      <c r="AF1835" s="7" t="s">
        <v>113</v>
      </c>
      <c r="AG1835" s="7" t="s">
        <v>4491</v>
      </c>
      <c r="AH1835" s="7" t="s">
        <v>4535</v>
      </c>
    </row>
    <row r="1836" spans="1:34" ht="9.75" customHeight="1" x14ac:dyDescent="0.2">
      <c r="A1836" s="7" t="s">
        <v>4371</v>
      </c>
      <c r="B1836" s="7" t="s">
        <v>4372</v>
      </c>
      <c r="C1836" s="7"/>
      <c r="D1836" s="7" t="s">
        <v>4536</v>
      </c>
      <c r="E1836" s="8">
        <v>6</v>
      </c>
      <c r="F1836" s="7"/>
      <c r="G1836" s="7"/>
      <c r="H1836" s="9"/>
      <c r="I1836" s="10">
        <v>124450</v>
      </c>
      <c r="J1836" s="9"/>
      <c r="K1836" s="9"/>
      <c r="L1836" s="9"/>
      <c r="M1836" s="9"/>
      <c r="N1836" s="9"/>
      <c r="O1836" s="9"/>
      <c r="P1836" s="9"/>
      <c r="Q1836" s="9"/>
      <c r="R1836" s="9"/>
      <c r="S1836" s="7" t="s">
        <v>407</v>
      </c>
      <c r="T1836" s="7" t="s">
        <v>4537</v>
      </c>
      <c r="U1836" s="7"/>
      <c r="V1836" s="7"/>
      <c r="W1836" s="7"/>
      <c r="X1836" s="7"/>
      <c r="Y1836" s="7" t="s">
        <v>4538</v>
      </c>
      <c r="Z1836" s="7" t="s">
        <v>1523</v>
      </c>
      <c r="AA1836" s="7"/>
      <c r="AB1836" s="7"/>
      <c r="AC1836" s="7" t="s">
        <v>4503</v>
      </c>
      <c r="AD1836" s="7" t="s">
        <v>4539</v>
      </c>
      <c r="AE1836" s="7" t="s">
        <v>4539</v>
      </c>
      <c r="AF1836" s="7" t="s">
        <v>113</v>
      </c>
      <c r="AG1836" s="7" t="s">
        <v>4491</v>
      </c>
      <c r="AH1836" s="7" t="s">
        <v>4504</v>
      </c>
    </row>
    <row r="1837" spans="1:34" ht="9.75" customHeight="1" x14ac:dyDescent="0.2">
      <c r="A1837" s="7" t="s">
        <v>4371</v>
      </c>
      <c r="B1837" s="7" t="s">
        <v>4372</v>
      </c>
      <c r="C1837" s="7"/>
      <c r="D1837" s="7" t="s">
        <v>4540</v>
      </c>
      <c r="E1837" s="8">
        <v>6</v>
      </c>
      <c r="F1837" s="7"/>
      <c r="G1837" s="7"/>
      <c r="H1837" s="9"/>
      <c r="I1837" s="10">
        <v>48800</v>
      </c>
      <c r="J1837" s="9"/>
      <c r="K1837" s="9"/>
      <c r="L1837" s="9"/>
      <c r="M1837" s="9"/>
      <c r="N1837" s="9"/>
      <c r="O1837" s="9"/>
      <c r="P1837" s="9"/>
      <c r="Q1837" s="9"/>
      <c r="R1837" s="9"/>
      <c r="S1837" s="7" t="s">
        <v>407</v>
      </c>
      <c r="T1837" s="7" t="s">
        <v>4537</v>
      </c>
      <c r="U1837" s="7" t="s">
        <v>44</v>
      </c>
      <c r="V1837" s="7" t="s">
        <v>45</v>
      </c>
      <c r="W1837" s="7" t="s">
        <v>171</v>
      </c>
      <c r="X1837" s="7"/>
      <c r="Y1837" s="7" t="s">
        <v>4541</v>
      </c>
      <c r="Z1837" s="7" t="s">
        <v>1523</v>
      </c>
      <c r="AA1837" s="7"/>
      <c r="AB1837" s="7"/>
      <c r="AC1837" s="7" t="s">
        <v>4503</v>
      </c>
      <c r="AD1837" s="7" t="s">
        <v>4542</v>
      </c>
      <c r="AE1837" s="7" t="s">
        <v>4542</v>
      </c>
      <c r="AF1837" s="7" t="s">
        <v>113</v>
      </c>
      <c r="AG1837" s="7" t="s">
        <v>4491</v>
      </c>
      <c r="AH1837" s="7" t="s">
        <v>4504</v>
      </c>
    </row>
    <row r="1838" spans="1:34" ht="9.75" customHeight="1" x14ac:dyDescent="0.2">
      <c r="A1838" s="7" t="s">
        <v>4371</v>
      </c>
      <c r="B1838" s="7" t="s">
        <v>4372</v>
      </c>
      <c r="C1838" s="7"/>
      <c r="D1838" s="7" t="s">
        <v>4543</v>
      </c>
      <c r="E1838" s="8">
        <v>6</v>
      </c>
      <c r="F1838" s="7"/>
      <c r="G1838" s="7"/>
      <c r="H1838" s="9"/>
      <c r="I1838" s="10">
        <v>413120</v>
      </c>
      <c r="J1838" s="9"/>
      <c r="K1838" s="9"/>
      <c r="L1838" s="9"/>
      <c r="M1838" s="9"/>
      <c r="N1838" s="9"/>
      <c r="O1838" s="9"/>
      <c r="P1838" s="9"/>
      <c r="Q1838" s="9"/>
      <c r="R1838" s="9"/>
      <c r="S1838" s="7" t="s">
        <v>407</v>
      </c>
      <c r="T1838" s="7" t="s">
        <v>4537</v>
      </c>
      <c r="U1838" s="7"/>
      <c r="V1838" s="7"/>
      <c r="W1838" s="7"/>
      <c r="X1838" s="7"/>
      <c r="Y1838" s="7" t="s">
        <v>4544</v>
      </c>
      <c r="Z1838" s="7" t="s">
        <v>1523</v>
      </c>
      <c r="AA1838" s="7"/>
      <c r="AB1838" s="7"/>
      <c r="AC1838" s="7" t="s">
        <v>4503</v>
      </c>
      <c r="AD1838" s="7" t="s">
        <v>4545</v>
      </c>
      <c r="AE1838" s="7" t="s">
        <v>4545</v>
      </c>
      <c r="AF1838" s="7" t="s">
        <v>113</v>
      </c>
      <c r="AG1838" s="7" t="s">
        <v>4491</v>
      </c>
      <c r="AH1838" s="7" t="s">
        <v>4504</v>
      </c>
    </row>
    <row r="1839" spans="1:34" ht="9.75" customHeight="1" x14ac:dyDescent="0.2">
      <c r="A1839" s="7" t="s">
        <v>4371</v>
      </c>
      <c r="B1839" s="7" t="s">
        <v>4372</v>
      </c>
      <c r="C1839" s="7"/>
      <c r="D1839" s="7" t="s">
        <v>4546</v>
      </c>
      <c r="E1839" s="8">
        <v>6</v>
      </c>
      <c r="F1839" s="7"/>
      <c r="G1839" s="7"/>
      <c r="H1839" s="9"/>
      <c r="I1839" s="10">
        <v>306790</v>
      </c>
      <c r="J1839" s="9"/>
      <c r="K1839" s="9"/>
      <c r="L1839" s="9"/>
      <c r="M1839" s="9"/>
      <c r="N1839" s="9"/>
      <c r="O1839" s="9"/>
      <c r="P1839" s="9"/>
      <c r="Q1839" s="9"/>
      <c r="R1839" s="9"/>
      <c r="S1839" s="7" t="s">
        <v>407</v>
      </c>
      <c r="T1839" s="7" t="s">
        <v>4537</v>
      </c>
      <c r="U1839" s="7"/>
      <c r="V1839" s="7"/>
      <c r="W1839" s="7"/>
      <c r="X1839" s="7"/>
      <c r="Y1839" s="7" t="s">
        <v>4547</v>
      </c>
      <c r="Z1839" s="7" t="s">
        <v>1523</v>
      </c>
      <c r="AA1839" s="7"/>
      <c r="AB1839" s="7"/>
      <c r="AC1839" s="7" t="s">
        <v>4503</v>
      </c>
      <c r="AD1839" s="7" t="s">
        <v>4548</v>
      </c>
      <c r="AE1839" s="7" t="s">
        <v>4548</v>
      </c>
      <c r="AF1839" s="7" t="s">
        <v>113</v>
      </c>
      <c r="AG1839" s="7" t="s">
        <v>4491</v>
      </c>
      <c r="AH1839" s="7" t="s">
        <v>4504</v>
      </c>
    </row>
    <row r="1840" spans="1:34" ht="9.75" customHeight="1" x14ac:dyDescent="0.2">
      <c r="A1840" s="7" t="s">
        <v>4371</v>
      </c>
      <c r="B1840" s="7" t="s">
        <v>4372</v>
      </c>
      <c r="C1840" s="7"/>
      <c r="D1840" s="7" t="s">
        <v>4549</v>
      </c>
      <c r="E1840" s="8">
        <v>6</v>
      </c>
      <c r="F1840" s="7"/>
      <c r="G1840" s="7"/>
      <c r="H1840" s="9"/>
      <c r="I1840" s="10">
        <v>503860</v>
      </c>
      <c r="J1840" s="9"/>
      <c r="K1840" s="9"/>
      <c r="L1840" s="9"/>
      <c r="M1840" s="9"/>
      <c r="N1840" s="9"/>
      <c r="O1840" s="9"/>
      <c r="P1840" s="9"/>
      <c r="Q1840" s="9"/>
      <c r="R1840" s="9"/>
      <c r="S1840" s="7" t="s">
        <v>407</v>
      </c>
      <c r="T1840" s="7" t="s">
        <v>4537</v>
      </c>
      <c r="U1840" s="7" t="s">
        <v>44</v>
      </c>
      <c r="V1840" s="7" t="s">
        <v>45</v>
      </c>
      <c r="W1840" s="7" t="s">
        <v>130</v>
      </c>
      <c r="X1840" s="7"/>
      <c r="Y1840" s="7" t="s">
        <v>4550</v>
      </c>
      <c r="Z1840" s="7" t="s">
        <v>1523</v>
      </c>
      <c r="AA1840" s="7"/>
      <c r="AB1840" s="7"/>
      <c r="AC1840" s="7" t="s">
        <v>4503</v>
      </c>
      <c r="AD1840" s="7" t="s">
        <v>4551</v>
      </c>
      <c r="AE1840" s="7" t="s">
        <v>4551</v>
      </c>
      <c r="AF1840" s="7" t="s">
        <v>113</v>
      </c>
      <c r="AG1840" s="7" t="s">
        <v>4491</v>
      </c>
      <c r="AH1840" s="7" t="s">
        <v>4504</v>
      </c>
    </row>
    <row r="1841" spans="1:34" ht="9.75" customHeight="1" x14ac:dyDescent="0.2">
      <c r="A1841" s="7" t="s">
        <v>4371</v>
      </c>
      <c r="B1841" s="7" t="s">
        <v>4372</v>
      </c>
      <c r="C1841" s="7"/>
      <c r="D1841" s="7" t="s">
        <v>4552</v>
      </c>
      <c r="E1841" s="8">
        <v>6</v>
      </c>
      <c r="F1841" s="7"/>
      <c r="G1841" s="7"/>
      <c r="H1841" s="9"/>
      <c r="I1841" s="10">
        <v>66900</v>
      </c>
      <c r="J1841" s="9"/>
      <c r="K1841" s="9"/>
      <c r="L1841" s="9"/>
      <c r="M1841" s="9"/>
      <c r="N1841" s="9"/>
      <c r="O1841" s="9"/>
      <c r="P1841" s="9"/>
      <c r="Q1841" s="9"/>
      <c r="R1841" s="9"/>
      <c r="S1841" s="7" t="s">
        <v>407</v>
      </c>
      <c r="T1841" s="7" t="s">
        <v>4537</v>
      </c>
      <c r="U1841" s="7" t="s">
        <v>44</v>
      </c>
      <c r="V1841" s="7" t="s">
        <v>45</v>
      </c>
      <c r="W1841" s="7" t="s">
        <v>67</v>
      </c>
      <c r="X1841" s="7"/>
      <c r="Y1841" s="7" t="s">
        <v>4553</v>
      </c>
      <c r="Z1841" s="7" t="s">
        <v>1523</v>
      </c>
      <c r="AA1841" s="7"/>
      <c r="AB1841" s="7"/>
      <c r="AC1841" s="7" t="s">
        <v>4503</v>
      </c>
      <c r="AD1841" s="7" t="s">
        <v>68</v>
      </c>
      <c r="AE1841" s="7" t="s">
        <v>68</v>
      </c>
      <c r="AF1841" s="7" t="s">
        <v>113</v>
      </c>
      <c r="AG1841" s="7" t="s">
        <v>4491</v>
      </c>
      <c r="AH1841" s="7" t="s">
        <v>4504</v>
      </c>
    </row>
    <row r="1842" spans="1:34" ht="9.75" customHeight="1" x14ac:dyDescent="0.2">
      <c r="A1842" s="7" t="s">
        <v>4371</v>
      </c>
      <c r="B1842" s="7" t="s">
        <v>4372</v>
      </c>
      <c r="C1842" s="7"/>
      <c r="D1842" s="7" t="s">
        <v>4554</v>
      </c>
      <c r="E1842" s="8">
        <v>6</v>
      </c>
      <c r="F1842" s="7"/>
      <c r="G1842" s="7"/>
      <c r="H1842" s="9"/>
      <c r="I1842" s="10">
        <v>21230</v>
      </c>
      <c r="J1842" s="9"/>
      <c r="K1842" s="9"/>
      <c r="L1842" s="9"/>
      <c r="M1842" s="9"/>
      <c r="N1842" s="9"/>
      <c r="O1842" s="9"/>
      <c r="P1842" s="9"/>
      <c r="Q1842" s="9"/>
      <c r="R1842" s="9"/>
      <c r="S1842" s="7" t="s">
        <v>407</v>
      </c>
      <c r="T1842" s="7" t="s">
        <v>4537</v>
      </c>
      <c r="U1842" s="7" t="s">
        <v>44</v>
      </c>
      <c r="V1842" s="7" t="s">
        <v>45</v>
      </c>
      <c r="W1842" s="7" t="s">
        <v>211</v>
      </c>
      <c r="X1842" s="7"/>
      <c r="Y1842" s="7" t="s">
        <v>4555</v>
      </c>
      <c r="Z1842" s="7" t="s">
        <v>1523</v>
      </c>
      <c r="AA1842" s="7"/>
      <c r="AB1842" s="7"/>
      <c r="AC1842" s="7" t="s">
        <v>4503</v>
      </c>
      <c r="AD1842" s="7" t="s">
        <v>4556</v>
      </c>
      <c r="AE1842" s="7" t="s">
        <v>4556</v>
      </c>
      <c r="AF1842" s="7" t="s">
        <v>113</v>
      </c>
      <c r="AG1842" s="7" t="s">
        <v>4491</v>
      </c>
      <c r="AH1842" s="7" t="s">
        <v>4504</v>
      </c>
    </row>
    <row r="1843" spans="1:34" ht="9.75" customHeight="1" x14ac:dyDescent="0.2">
      <c r="A1843" s="7" t="s">
        <v>4371</v>
      </c>
      <c r="B1843" s="7" t="s">
        <v>4372</v>
      </c>
      <c r="C1843" s="7"/>
      <c r="D1843" s="7" t="s">
        <v>4557</v>
      </c>
      <c r="E1843" s="8">
        <v>6</v>
      </c>
      <c r="F1843" s="7"/>
      <c r="G1843" s="7"/>
      <c r="H1843" s="9"/>
      <c r="I1843" s="10">
        <v>41840</v>
      </c>
      <c r="J1843" s="9"/>
      <c r="K1843" s="9"/>
      <c r="L1843" s="9"/>
      <c r="M1843" s="9"/>
      <c r="N1843" s="9"/>
      <c r="O1843" s="9"/>
      <c r="P1843" s="9"/>
      <c r="Q1843" s="9"/>
      <c r="R1843" s="9"/>
      <c r="S1843" s="7" t="s">
        <v>407</v>
      </c>
      <c r="T1843" s="7" t="s">
        <v>4537</v>
      </c>
      <c r="U1843" s="7"/>
      <c r="V1843" s="7"/>
      <c r="W1843" s="7"/>
      <c r="X1843" s="7"/>
      <c r="Y1843" s="7" t="s">
        <v>4558</v>
      </c>
      <c r="Z1843" s="7" t="s">
        <v>1523</v>
      </c>
      <c r="AA1843" s="7"/>
      <c r="AB1843" s="7"/>
      <c r="AC1843" s="7" t="s">
        <v>4503</v>
      </c>
      <c r="AD1843" s="7" t="s">
        <v>4559</v>
      </c>
      <c r="AE1843" s="7" t="s">
        <v>4559</v>
      </c>
      <c r="AF1843" s="7" t="s">
        <v>113</v>
      </c>
      <c r="AG1843" s="7" t="s">
        <v>4491</v>
      </c>
      <c r="AH1843" s="7" t="s">
        <v>4504</v>
      </c>
    </row>
    <row r="1844" spans="1:34" ht="9.75" customHeight="1" x14ac:dyDescent="0.2">
      <c r="A1844" s="7" t="s">
        <v>4371</v>
      </c>
      <c r="B1844" s="7" t="s">
        <v>4372</v>
      </c>
      <c r="C1844" s="7"/>
      <c r="D1844" s="7" t="s">
        <v>4560</v>
      </c>
      <c r="E1844" s="8">
        <v>6</v>
      </c>
      <c r="F1844" s="7"/>
      <c r="G1844" s="7"/>
      <c r="H1844" s="9"/>
      <c r="I1844" s="10">
        <v>242380</v>
      </c>
      <c r="J1844" s="9"/>
      <c r="K1844" s="9"/>
      <c r="L1844" s="9"/>
      <c r="M1844" s="9"/>
      <c r="N1844" s="9"/>
      <c r="O1844" s="9"/>
      <c r="P1844" s="9"/>
      <c r="Q1844" s="9"/>
      <c r="R1844" s="9"/>
      <c r="S1844" s="7" t="s">
        <v>407</v>
      </c>
      <c r="T1844" s="7" t="s">
        <v>4537</v>
      </c>
      <c r="U1844" s="7" t="s">
        <v>44</v>
      </c>
      <c r="V1844" s="7" t="s">
        <v>45</v>
      </c>
      <c r="W1844" s="7" t="s">
        <v>46</v>
      </c>
      <c r="X1844" s="7"/>
      <c r="Y1844" s="7" t="s">
        <v>4561</v>
      </c>
      <c r="Z1844" s="7" t="s">
        <v>1523</v>
      </c>
      <c r="AA1844" s="7"/>
      <c r="AB1844" s="7"/>
      <c r="AC1844" s="7" t="s">
        <v>4503</v>
      </c>
      <c r="AD1844" s="7" t="s">
        <v>4562</v>
      </c>
      <c r="AE1844" s="7" t="s">
        <v>4562</v>
      </c>
      <c r="AF1844" s="7" t="s">
        <v>113</v>
      </c>
      <c r="AG1844" s="7" t="s">
        <v>4491</v>
      </c>
      <c r="AH1844" s="7" t="s">
        <v>4504</v>
      </c>
    </row>
    <row r="1845" spans="1:34" ht="9.75" customHeight="1" x14ac:dyDescent="0.2">
      <c r="A1845" s="7" t="s">
        <v>4371</v>
      </c>
      <c r="B1845" s="7" t="s">
        <v>4372</v>
      </c>
      <c r="C1845" s="7"/>
      <c r="D1845" s="7" t="s">
        <v>4563</v>
      </c>
      <c r="E1845" s="8">
        <v>6</v>
      </c>
      <c r="F1845" s="7"/>
      <c r="G1845" s="7"/>
      <c r="H1845" s="9"/>
      <c r="I1845" s="10">
        <v>382740</v>
      </c>
      <c r="J1845" s="9"/>
      <c r="K1845" s="9"/>
      <c r="L1845" s="9"/>
      <c r="M1845" s="9"/>
      <c r="N1845" s="9"/>
      <c r="O1845" s="9"/>
      <c r="P1845" s="9"/>
      <c r="Q1845" s="9"/>
      <c r="R1845" s="9"/>
      <c r="S1845" s="7" t="s">
        <v>407</v>
      </c>
      <c r="T1845" s="7" t="s">
        <v>4537</v>
      </c>
      <c r="U1845" s="7" t="s">
        <v>44</v>
      </c>
      <c r="V1845" s="7" t="s">
        <v>45</v>
      </c>
      <c r="W1845" s="7" t="s">
        <v>46</v>
      </c>
      <c r="X1845" s="7"/>
      <c r="Y1845" s="7" t="s">
        <v>4564</v>
      </c>
      <c r="Z1845" s="7" t="s">
        <v>1523</v>
      </c>
      <c r="AA1845" s="7"/>
      <c r="AB1845" s="7"/>
      <c r="AC1845" s="7" t="s">
        <v>4503</v>
      </c>
      <c r="AD1845" s="7" t="s">
        <v>4565</v>
      </c>
      <c r="AE1845" s="7" t="s">
        <v>4565</v>
      </c>
      <c r="AF1845" s="7" t="s">
        <v>113</v>
      </c>
      <c r="AG1845" s="7" t="s">
        <v>4491</v>
      </c>
      <c r="AH1845" s="7" t="s">
        <v>4504</v>
      </c>
    </row>
    <row r="1846" spans="1:34" ht="9.75" customHeight="1" x14ac:dyDescent="0.2">
      <c r="A1846" s="7" t="s">
        <v>4371</v>
      </c>
      <c r="B1846" s="7" t="s">
        <v>4372</v>
      </c>
      <c r="C1846" s="7"/>
      <c r="D1846" s="7" t="s">
        <v>4566</v>
      </c>
      <c r="E1846" s="8">
        <v>6</v>
      </c>
      <c r="F1846" s="7"/>
      <c r="G1846" s="7"/>
      <c r="H1846" s="9"/>
      <c r="I1846" s="10">
        <v>2152110</v>
      </c>
      <c r="J1846" s="9"/>
      <c r="K1846" s="9"/>
      <c r="L1846" s="9"/>
      <c r="M1846" s="9"/>
      <c r="N1846" s="9"/>
      <c r="O1846" s="9"/>
      <c r="P1846" s="9"/>
      <c r="Q1846" s="9"/>
      <c r="R1846" s="9"/>
      <c r="S1846" s="7" t="s">
        <v>43</v>
      </c>
      <c r="T1846" s="7"/>
      <c r="U1846" s="7"/>
      <c r="V1846" s="7"/>
      <c r="W1846" s="7"/>
      <c r="X1846" s="7"/>
      <c r="Y1846" s="7" t="s">
        <v>4567</v>
      </c>
      <c r="Z1846" s="7" t="s">
        <v>1523</v>
      </c>
      <c r="AA1846" s="7"/>
      <c r="AB1846" s="7"/>
      <c r="AC1846" s="7" t="s">
        <v>4503</v>
      </c>
      <c r="AD1846" s="7"/>
      <c r="AE1846" s="7"/>
      <c r="AF1846" s="7" t="s">
        <v>113</v>
      </c>
      <c r="AG1846" s="7" t="s">
        <v>4491</v>
      </c>
      <c r="AH1846" s="7" t="s">
        <v>4504</v>
      </c>
    </row>
    <row r="1847" spans="1:34" ht="9.75" customHeight="1" x14ac:dyDescent="0.2">
      <c r="A1847" s="7" t="s">
        <v>4371</v>
      </c>
      <c r="B1847" s="7" t="s">
        <v>4372</v>
      </c>
      <c r="C1847" s="7"/>
      <c r="D1847" s="7" t="s">
        <v>4568</v>
      </c>
      <c r="E1847" s="8">
        <v>6</v>
      </c>
      <c r="F1847" s="7"/>
      <c r="G1847" s="7"/>
      <c r="H1847" s="9"/>
      <c r="I1847" s="9"/>
      <c r="J1847" s="10">
        <v>129880</v>
      </c>
      <c r="K1847" s="9"/>
      <c r="L1847" s="9"/>
      <c r="M1847" s="9"/>
      <c r="N1847" s="9"/>
      <c r="O1847" s="9"/>
      <c r="P1847" s="9"/>
      <c r="Q1847" s="9"/>
      <c r="R1847" s="9"/>
      <c r="S1847" s="7" t="s">
        <v>407</v>
      </c>
      <c r="T1847" s="7" t="s">
        <v>4537</v>
      </c>
      <c r="U1847" s="7"/>
      <c r="V1847" s="7"/>
      <c r="W1847" s="7"/>
      <c r="X1847" s="7"/>
      <c r="Y1847" s="7" t="s">
        <v>4569</v>
      </c>
      <c r="Z1847" s="7" t="s">
        <v>1595</v>
      </c>
      <c r="AA1847" s="7"/>
      <c r="AB1847" s="7"/>
      <c r="AC1847" s="7" t="s">
        <v>4503</v>
      </c>
      <c r="AD1847" s="7" t="s">
        <v>4539</v>
      </c>
      <c r="AE1847" s="7" t="s">
        <v>4539</v>
      </c>
      <c r="AF1847" s="7" t="s">
        <v>113</v>
      </c>
      <c r="AG1847" s="7" t="s">
        <v>4491</v>
      </c>
      <c r="AH1847" s="7" t="s">
        <v>4504</v>
      </c>
    </row>
    <row r="1848" spans="1:34" ht="9.75" customHeight="1" x14ac:dyDescent="0.2">
      <c r="A1848" s="7" t="s">
        <v>4371</v>
      </c>
      <c r="B1848" s="7" t="s">
        <v>4372</v>
      </c>
      <c r="C1848" s="7"/>
      <c r="D1848" s="7" t="s">
        <v>4570</v>
      </c>
      <c r="E1848" s="8">
        <v>6</v>
      </c>
      <c r="F1848" s="7"/>
      <c r="G1848" s="7"/>
      <c r="H1848" s="9"/>
      <c r="I1848" s="9"/>
      <c r="J1848" s="10">
        <v>15130</v>
      </c>
      <c r="K1848" s="9"/>
      <c r="L1848" s="9"/>
      <c r="M1848" s="9"/>
      <c r="N1848" s="9"/>
      <c r="O1848" s="9"/>
      <c r="P1848" s="9"/>
      <c r="Q1848" s="9"/>
      <c r="R1848" s="9"/>
      <c r="S1848" s="7" t="s">
        <v>407</v>
      </c>
      <c r="T1848" s="7" t="s">
        <v>4537</v>
      </c>
      <c r="U1848" s="7" t="s">
        <v>44</v>
      </c>
      <c r="V1848" s="7" t="s">
        <v>45</v>
      </c>
      <c r="W1848" s="7" t="s">
        <v>171</v>
      </c>
      <c r="X1848" s="7"/>
      <c r="Y1848" s="7" t="s">
        <v>4571</v>
      </c>
      <c r="Z1848" s="7" t="s">
        <v>1595</v>
      </c>
      <c r="AA1848" s="7"/>
      <c r="AB1848" s="7"/>
      <c r="AC1848" s="7" t="s">
        <v>4503</v>
      </c>
      <c r="AD1848" s="7" t="s">
        <v>4542</v>
      </c>
      <c r="AE1848" s="7" t="s">
        <v>4542</v>
      </c>
      <c r="AF1848" s="7" t="s">
        <v>113</v>
      </c>
      <c r="AG1848" s="7" t="s">
        <v>4491</v>
      </c>
      <c r="AH1848" s="7" t="s">
        <v>4504</v>
      </c>
    </row>
    <row r="1849" spans="1:34" ht="9.75" customHeight="1" x14ac:dyDescent="0.2">
      <c r="A1849" s="7" t="s">
        <v>4371</v>
      </c>
      <c r="B1849" s="7" t="s">
        <v>4372</v>
      </c>
      <c r="C1849" s="7"/>
      <c r="D1849" s="7" t="s">
        <v>4572</v>
      </c>
      <c r="E1849" s="8">
        <v>6</v>
      </c>
      <c r="F1849" s="7"/>
      <c r="G1849" s="7"/>
      <c r="H1849" s="9"/>
      <c r="I1849" s="9"/>
      <c r="J1849" s="10">
        <v>341330</v>
      </c>
      <c r="K1849" s="9"/>
      <c r="L1849" s="9"/>
      <c r="M1849" s="9"/>
      <c r="N1849" s="9"/>
      <c r="O1849" s="9"/>
      <c r="P1849" s="9"/>
      <c r="Q1849" s="9"/>
      <c r="R1849" s="9"/>
      <c r="S1849" s="7" t="s">
        <v>407</v>
      </c>
      <c r="T1849" s="7" t="s">
        <v>4537</v>
      </c>
      <c r="U1849" s="7"/>
      <c r="V1849" s="7"/>
      <c r="W1849" s="7"/>
      <c r="X1849" s="7"/>
      <c r="Y1849" s="7" t="s">
        <v>4573</v>
      </c>
      <c r="Z1849" s="7" t="s">
        <v>1595</v>
      </c>
      <c r="AA1849" s="7"/>
      <c r="AB1849" s="7"/>
      <c r="AC1849" s="7" t="s">
        <v>4503</v>
      </c>
      <c r="AD1849" s="7" t="s">
        <v>4545</v>
      </c>
      <c r="AE1849" s="7" t="s">
        <v>4545</v>
      </c>
      <c r="AF1849" s="7" t="s">
        <v>113</v>
      </c>
      <c r="AG1849" s="7" t="s">
        <v>4491</v>
      </c>
      <c r="AH1849" s="7" t="s">
        <v>4504</v>
      </c>
    </row>
    <row r="1850" spans="1:34" ht="9.75" customHeight="1" x14ac:dyDescent="0.2">
      <c r="A1850" s="7" t="s">
        <v>4371</v>
      </c>
      <c r="B1850" s="7" t="s">
        <v>4372</v>
      </c>
      <c r="C1850" s="7"/>
      <c r="D1850" s="7" t="s">
        <v>4574</v>
      </c>
      <c r="E1850" s="8">
        <v>6</v>
      </c>
      <c r="F1850" s="7"/>
      <c r="G1850" s="7"/>
      <c r="H1850" s="9"/>
      <c r="I1850" s="9"/>
      <c r="J1850" s="10">
        <v>139960</v>
      </c>
      <c r="K1850" s="9"/>
      <c r="L1850" s="9"/>
      <c r="M1850" s="9"/>
      <c r="N1850" s="9"/>
      <c r="O1850" s="9"/>
      <c r="P1850" s="9"/>
      <c r="Q1850" s="9"/>
      <c r="R1850" s="9"/>
      <c r="S1850" s="7" t="s">
        <v>407</v>
      </c>
      <c r="T1850" s="7" t="s">
        <v>4537</v>
      </c>
      <c r="U1850" s="7"/>
      <c r="V1850" s="7"/>
      <c r="W1850" s="7"/>
      <c r="X1850" s="7"/>
      <c r="Y1850" s="7" t="s">
        <v>4575</v>
      </c>
      <c r="Z1850" s="7" t="s">
        <v>1595</v>
      </c>
      <c r="AA1850" s="7"/>
      <c r="AB1850" s="7"/>
      <c r="AC1850" s="7" t="s">
        <v>4503</v>
      </c>
      <c r="AD1850" s="7" t="s">
        <v>4548</v>
      </c>
      <c r="AE1850" s="7" t="s">
        <v>4548</v>
      </c>
      <c r="AF1850" s="7" t="s">
        <v>113</v>
      </c>
      <c r="AG1850" s="7" t="s">
        <v>4491</v>
      </c>
      <c r="AH1850" s="7" t="s">
        <v>4504</v>
      </c>
    </row>
    <row r="1851" spans="1:34" ht="9.75" customHeight="1" x14ac:dyDescent="0.2">
      <c r="A1851" s="7" t="s">
        <v>4371</v>
      </c>
      <c r="B1851" s="7" t="s">
        <v>4372</v>
      </c>
      <c r="C1851" s="7"/>
      <c r="D1851" s="7" t="s">
        <v>4576</v>
      </c>
      <c r="E1851" s="8">
        <v>6</v>
      </c>
      <c r="F1851" s="7"/>
      <c r="G1851" s="7"/>
      <c r="H1851" s="9"/>
      <c r="I1851" s="9"/>
      <c r="J1851" s="10">
        <v>833020</v>
      </c>
      <c r="K1851" s="9"/>
      <c r="L1851" s="9"/>
      <c r="M1851" s="9"/>
      <c r="N1851" s="9"/>
      <c r="O1851" s="9"/>
      <c r="P1851" s="9"/>
      <c r="Q1851" s="9"/>
      <c r="R1851" s="9"/>
      <c r="S1851" s="7" t="s">
        <v>407</v>
      </c>
      <c r="T1851" s="7" t="s">
        <v>4537</v>
      </c>
      <c r="U1851" s="7" t="s">
        <v>44</v>
      </c>
      <c r="V1851" s="7" t="s">
        <v>45</v>
      </c>
      <c r="W1851" s="7" t="s">
        <v>130</v>
      </c>
      <c r="X1851" s="7"/>
      <c r="Y1851" s="7" t="s">
        <v>4577</v>
      </c>
      <c r="Z1851" s="7" t="s">
        <v>1595</v>
      </c>
      <c r="AA1851" s="7"/>
      <c r="AB1851" s="7"/>
      <c r="AC1851" s="7" t="s">
        <v>4503</v>
      </c>
      <c r="AD1851" s="7" t="s">
        <v>4551</v>
      </c>
      <c r="AE1851" s="7" t="s">
        <v>4551</v>
      </c>
      <c r="AF1851" s="7" t="s">
        <v>113</v>
      </c>
      <c r="AG1851" s="7" t="s">
        <v>4491</v>
      </c>
      <c r="AH1851" s="7" t="s">
        <v>4504</v>
      </c>
    </row>
    <row r="1852" spans="1:34" ht="9.75" customHeight="1" x14ac:dyDescent="0.2">
      <c r="A1852" s="7" t="s">
        <v>4371</v>
      </c>
      <c r="B1852" s="7" t="s">
        <v>4372</v>
      </c>
      <c r="C1852" s="7"/>
      <c r="D1852" s="7" t="s">
        <v>4578</v>
      </c>
      <c r="E1852" s="8">
        <v>6</v>
      </c>
      <c r="F1852" s="7"/>
      <c r="G1852" s="7"/>
      <c r="H1852" s="9"/>
      <c r="I1852" s="9"/>
      <c r="J1852" s="10">
        <v>54100</v>
      </c>
      <c r="K1852" s="9"/>
      <c r="L1852" s="9"/>
      <c r="M1852" s="9"/>
      <c r="N1852" s="9"/>
      <c r="O1852" s="9"/>
      <c r="P1852" s="9"/>
      <c r="Q1852" s="9"/>
      <c r="R1852" s="9"/>
      <c r="S1852" s="7" t="s">
        <v>407</v>
      </c>
      <c r="T1852" s="7" t="s">
        <v>4537</v>
      </c>
      <c r="U1852" s="7" t="s">
        <v>44</v>
      </c>
      <c r="V1852" s="7" t="s">
        <v>45</v>
      </c>
      <c r="W1852" s="7" t="s">
        <v>67</v>
      </c>
      <c r="X1852" s="7"/>
      <c r="Y1852" s="7" t="s">
        <v>4579</v>
      </c>
      <c r="Z1852" s="7" t="s">
        <v>1595</v>
      </c>
      <c r="AA1852" s="7"/>
      <c r="AB1852" s="7"/>
      <c r="AC1852" s="7" t="s">
        <v>4503</v>
      </c>
      <c r="AD1852" s="7" t="s">
        <v>68</v>
      </c>
      <c r="AE1852" s="7" t="s">
        <v>68</v>
      </c>
      <c r="AF1852" s="7" t="s">
        <v>113</v>
      </c>
      <c r="AG1852" s="7" t="s">
        <v>4491</v>
      </c>
      <c r="AH1852" s="7" t="s">
        <v>4504</v>
      </c>
    </row>
    <row r="1853" spans="1:34" ht="9.75" customHeight="1" x14ac:dyDescent="0.2">
      <c r="A1853" s="7" t="s">
        <v>4371</v>
      </c>
      <c r="B1853" s="7" t="s">
        <v>4372</v>
      </c>
      <c r="C1853" s="7"/>
      <c r="D1853" s="7" t="s">
        <v>4580</v>
      </c>
      <c r="E1853" s="8">
        <v>6</v>
      </c>
      <c r="F1853" s="7"/>
      <c r="G1853" s="7"/>
      <c r="H1853" s="9"/>
      <c r="I1853" s="9"/>
      <c r="J1853" s="10">
        <v>21830</v>
      </c>
      <c r="K1853" s="9"/>
      <c r="L1853" s="9"/>
      <c r="M1853" s="9"/>
      <c r="N1853" s="9"/>
      <c r="O1853" s="9"/>
      <c r="P1853" s="9"/>
      <c r="Q1853" s="9"/>
      <c r="R1853" s="9"/>
      <c r="S1853" s="7" t="s">
        <v>407</v>
      </c>
      <c r="T1853" s="7" t="s">
        <v>4537</v>
      </c>
      <c r="U1853" s="7" t="s">
        <v>44</v>
      </c>
      <c r="V1853" s="7" t="s">
        <v>45</v>
      </c>
      <c r="W1853" s="7" t="s">
        <v>211</v>
      </c>
      <c r="X1853" s="7"/>
      <c r="Y1853" s="7" t="s">
        <v>4581</v>
      </c>
      <c r="Z1853" s="7" t="s">
        <v>1595</v>
      </c>
      <c r="AA1853" s="7"/>
      <c r="AB1853" s="7"/>
      <c r="AC1853" s="7" t="s">
        <v>4503</v>
      </c>
      <c r="AD1853" s="7" t="s">
        <v>4556</v>
      </c>
      <c r="AE1853" s="7" t="s">
        <v>4556</v>
      </c>
      <c r="AF1853" s="7" t="s">
        <v>113</v>
      </c>
      <c r="AG1853" s="7" t="s">
        <v>4491</v>
      </c>
      <c r="AH1853" s="7" t="s">
        <v>4504</v>
      </c>
    </row>
    <row r="1854" spans="1:34" ht="9.75" customHeight="1" x14ac:dyDescent="0.2">
      <c r="A1854" s="7" t="s">
        <v>4371</v>
      </c>
      <c r="B1854" s="7" t="s">
        <v>4372</v>
      </c>
      <c r="C1854" s="7"/>
      <c r="D1854" s="7" t="s">
        <v>4582</v>
      </c>
      <c r="E1854" s="8">
        <v>6</v>
      </c>
      <c r="F1854" s="7"/>
      <c r="G1854" s="7"/>
      <c r="H1854" s="9"/>
      <c r="I1854" s="9"/>
      <c r="J1854" s="10">
        <v>41010</v>
      </c>
      <c r="K1854" s="9"/>
      <c r="L1854" s="9"/>
      <c r="M1854" s="9"/>
      <c r="N1854" s="9"/>
      <c r="O1854" s="9"/>
      <c r="P1854" s="9"/>
      <c r="Q1854" s="9"/>
      <c r="R1854" s="9"/>
      <c r="S1854" s="7" t="s">
        <v>407</v>
      </c>
      <c r="T1854" s="7" t="s">
        <v>4537</v>
      </c>
      <c r="U1854" s="7"/>
      <c r="V1854" s="7"/>
      <c r="W1854" s="7"/>
      <c r="X1854" s="7"/>
      <c r="Y1854" s="7" t="s">
        <v>4583</v>
      </c>
      <c r="Z1854" s="7" t="s">
        <v>1595</v>
      </c>
      <c r="AA1854" s="7"/>
      <c r="AB1854" s="7"/>
      <c r="AC1854" s="7" t="s">
        <v>4503</v>
      </c>
      <c r="AD1854" s="7" t="s">
        <v>4559</v>
      </c>
      <c r="AE1854" s="7" t="s">
        <v>4559</v>
      </c>
      <c r="AF1854" s="7" t="s">
        <v>113</v>
      </c>
      <c r="AG1854" s="7" t="s">
        <v>4491</v>
      </c>
      <c r="AH1854" s="7" t="s">
        <v>4504</v>
      </c>
    </row>
    <row r="1855" spans="1:34" ht="9.75" customHeight="1" x14ac:dyDescent="0.2">
      <c r="A1855" s="7" t="s">
        <v>4371</v>
      </c>
      <c r="B1855" s="7" t="s">
        <v>4372</v>
      </c>
      <c r="C1855" s="7"/>
      <c r="D1855" s="7" t="s">
        <v>4584</v>
      </c>
      <c r="E1855" s="8">
        <v>6</v>
      </c>
      <c r="F1855" s="7"/>
      <c r="G1855" s="7"/>
      <c r="H1855" s="9"/>
      <c r="I1855" s="9"/>
      <c r="J1855" s="10">
        <v>309200</v>
      </c>
      <c r="K1855" s="9"/>
      <c r="L1855" s="9"/>
      <c r="M1855" s="9"/>
      <c r="N1855" s="9"/>
      <c r="O1855" s="9"/>
      <c r="P1855" s="9"/>
      <c r="Q1855" s="9"/>
      <c r="R1855" s="9"/>
      <c r="S1855" s="7" t="s">
        <v>407</v>
      </c>
      <c r="T1855" s="7" t="s">
        <v>4537</v>
      </c>
      <c r="U1855" s="7" t="s">
        <v>44</v>
      </c>
      <c r="V1855" s="7" t="s">
        <v>45</v>
      </c>
      <c r="W1855" s="7" t="s">
        <v>46</v>
      </c>
      <c r="X1855" s="7"/>
      <c r="Y1855" s="7" t="s">
        <v>4585</v>
      </c>
      <c r="Z1855" s="7" t="s">
        <v>1595</v>
      </c>
      <c r="AA1855" s="7"/>
      <c r="AB1855" s="7"/>
      <c r="AC1855" s="7" t="s">
        <v>4503</v>
      </c>
      <c r="AD1855" s="7" t="s">
        <v>4562</v>
      </c>
      <c r="AE1855" s="7" t="s">
        <v>4562</v>
      </c>
      <c r="AF1855" s="7" t="s">
        <v>113</v>
      </c>
      <c r="AG1855" s="7" t="s">
        <v>4491</v>
      </c>
      <c r="AH1855" s="7" t="s">
        <v>4504</v>
      </c>
    </row>
    <row r="1856" spans="1:34" ht="9.75" customHeight="1" x14ac:dyDescent="0.2">
      <c r="A1856" s="7" t="s">
        <v>4371</v>
      </c>
      <c r="B1856" s="7" t="s">
        <v>4372</v>
      </c>
      <c r="C1856" s="7"/>
      <c r="D1856" s="7" t="s">
        <v>4586</v>
      </c>
      <c r="E1856" s="8">
        <v>6</v>
      </c>
      <c r="F1856" s="7"/>
      <c r="G1856" s="7"/>
      <c r="H1856" s="9"/>
      <c r="I1856" s="9"/>
      <c r="J1856" s="10">
        <v>447480</v>
      </c>
      <c r="K1856" s="9"/>
      <c r="L1856" s="9"/>
      <c r="M1856" s="9"/>
      <c r="N1856" s="9"/>
      <c r="O1856" s="9"/>
      <c r="P1856" s="9"/>
      <c r="Q1856" s="9"/>
      <c r="R1856" s="9"/>
      <c r="S1856" s="7" t="s">
        <v>407</v>
      </c>
      <c r="T1856" s="7" t="s">
        <v>4537</v>
      </c>
      <c r="U1856" s="7" t="s">
        <v>44</v>
      </c>
      <c r="V1856" s="7" t="s">
        <v>45</v>
      </c>
      <c r="W1856" s="7" t="s">
        <v>46</v>
      </c>
      <c r="X1856" s="7"/>
      <c r="Y1856" s="7" t="s">
        <v>4587</v>
      </c>
      <c r="Z1856" s="7" t="s">
        <v>1595</v>
      </c>
      <c r="AA1856" s="7"/>
      <c r="AB1856" s="7"/>
      <c r="AC1856" s="7" t="s">
        <v>4503</v>
      </c>
      <c r="AD1856" s="7" t="s">
        <v>4565</v>
      </c>
      <c r="AE1856" s="7" t="s">
        <v>4565</v>
      </c>
      <c r="AF1856" s="7" t="s">
        <v>113</v>
      </c>
      <c r="AG1856" s="7" t="s">
        <v>4491</v>
      </c>
      <c r="AH1856" s="7" t="s">
        <v>4504</v>
      </c>
    </row>
    <row r="1857" spans="1:34" ht="9.75" customHeight="1" x14ac:dyDescent="0.2">
      <c r="A1857" s="7" t="s">
        <v>4371</v>
      </c>
      <c r="B1857" s="7" t="s">
        <v>4372</v>
      </c>
      <c r="C1857" s="7"/>
      <c r="D1857" s="7" t="s">
        <v>4588</v>
      </c>
      <c r="E1857" s="8">
        <v>6</v>
      </c>
      <c r="F1857" s="7"/>
      <c r="G1857" s="7"/>
      <c r="H1857" s="9"/>
      <c r="I1857" s="9"/>
      <c r="J1857" s="10">
        <v>34200</v>
      </c>
      <c r="K1857" s="9"/>
      <c r="L1857" s="9"/>
      <c r="M1857" s="9"/>
      <c r="N1857" s="9"/>
      <c r="O1857" s="9"/>
      <c r="P1857" s="9"/>
      <c r="Q1857" s="9"/>
      <c r="R1857" s="9"/>
      <c r="S1857" s="7" t="s">
        <v>407</v>
      </c>
      <c r="T1857" s="7" t="s">
        <v>4537</v>
      </c>
      <c r="U1857" s="7"/>
      <c r="V1857" s="7"/>
      <c r="W1857" s="7"/>
      <c r="X1857" s="7"/>
      <c r="Y1857" s="7" t="s">
        <v>4589</v>
      </c>
      <c r="Z1857" s="7" t="s">
        <v>1595</v>
      </c>
      <c r="AA1857" s="7"/>
      <c r="AB1857" s="7"/>
      <c r="AC1857" s="7" t="s">
        <v>4503</v>
      </c>
      <c r="AD1857" s="7" t="s">
        <v>4590</v>
      </c>
      <c r="AE1857" s="7" t="s">
        <v>4590</v>
      </c>
      <c r="AF1857" s="7" t="s">
        <v>113</v>
      </c>
      <c r="AG1857" s="7" t="s">
        <v>4491</v>
      </c>
      <c r="AH1857" s="7" t="s">
        <v>4504</v>
      </c>
    </row>
    <row r="1858" spans="1:34" ht="9.75" customHeight="1" x14ac:dyDescent="0.2">
      <c r="A1858" s="7" t="s">
        <v>4371</v>
      </c>
      <c r="B1858" s="7" t="s">
        <v>4372</v>
      </c>
      <c r="C1858" s="7"/>
      <c r="D1858" s="7" t="s">
        <v>4591</v>
      </c>
      <c r="E1858" s="8">
        <v>6</v>
      </c>
      <c r="F1858" s="7"/>
      <c r="G1858" s="7"/>
      <c r="H1858" s="9"/>
      <c r="I1858" s="9"/>
      <c r="J1858" s="10">
        <v>2367140</v>
      </c>
      <c r="K1858" s="9"/>
      <c r="L1858" s="9"/>
      <c r="M1858" s="9"/>
      <c r="N1858" s="9"/>
      <c r="O1858" s="9"/>
      <c r="P1858" s="9"/>
      <c r="Q1858" s="9"/>
      <c r="R1858" s="9"/>
      <c r="S1858" s="7" t="s">
        <v>43</v>
      </c>
      <c r="T1858" s="7"/>
      <c r="U1858" s="7"/>
      <c r="V1858" s="7"/>
      <c r="W1858" s="7"/>
      <c r="X1858" s="7"/>
      <c r="Y1858" s="7" t="s">
        <v>4592</v>
      </c>
      <c r="Z1858" s="7" t="s">
        <v>1595</v>
      </c>
      <c r="AA1858" s="7"/>
      <c r="AB1858" s="7"/>
      <c r="AC1858" s="7" t="s">
        <v>4503</v>
      </c>
      <c r="AD1858" s="7"/>
      <c r="AE1858" s="7"/>
      <c r="AF1858" s="7" t="s">
        <v>113</v>
      </c>
      <c r="AG1858" s="7" t="s">
        <v>4491</v>
      </c>
      <c r="AH1858" s="7" t="s">
        <v>4504</v>
      </c>
    </row>
    <row r="1859" spans="1:34" ht="9.75" customHeight="1" x14ac:dyDescent="0.2">
      <c r="A1859" s="7" t="s">
        <v>4371</v>
      </c>
      <c r="B1859" s="7" t="s">
        <v>4372</v>
      </c>
      <c r="C1859" s="7"/>
      <c r="D1859" s="7" t="s">
        <v>4593</v>
      </c>
      <c r="E1859" s="8">
        <v>6</v>
      </c>
      <c r="F1859" s="7"/>
      <c r="G1859" s="7"/>
      <c r="H1859" s="9"/>
      <c r="I1859" s="9"/>
      <c r="J1859" s="9"/>
      <c r="K1859" s="9"/>
      <c r="L1859" s="10">
        <v>130080</v>
      </c>
      <c r="M1859" s="9"/>
      <c r="N1859" s="10">
        <v>130080</v>
      </c>
      <c r="O1859" s="9"/>
      <c r="P1859" s="10"/>
      <c r="Q1859" s="10"/>
      <c r="R1859" s="10"/>
      <c r="S1859" s="7" t="s">
        <v>407</v>
      </c>
      <c r="T1859" s="7" t="s">
        <v>4537</v>
      </c>
      <c r="U1859" s="7"/>
      <c r="V1859" s="7"/>
      <c r="W1859" s="7"/>
      <c r="X1859" s="7"/>
      <c r="Y1859" s="7" t="s">
        <v>4594</v>
      </c>
      <c r="Z1859" s="7" t="s">
        <v>1624</v>
      </c>
      <c r="AA1859" s="7"/>
      <c r="AB1859" s="7"/>
      <c r="AC1859" s="7" t="s">
        <v>4503</v>
      </c>
      <c r="AD1859" s="7" t="s">
        <v>4539</v>
      </c>
      <c r="AE1859" s="7" t="s">
        <v>4539</v>
      </c>
      <c r="AF1859" s="7" t="s">
        <v>113</v>
      </c>
      <c r="AG1859" s="7" t="s">
        <v>4491</v>
      </c>
      <c r="AH1859" s="7" t="s">
        <v>4504</v>
      </c>
    </row>
    <row r="1860" spans="1:34" ht="9.75" customHeight="1" x14ac:dyDescent="0.2">
      <c r="A1860" s="7" t="s">
        <v>4371</v>
      </c>
      <c r="B1860" s="7" t="s">
        <v>4372</v>
      </c>
      <c r="C1860" s="7"/>
      <c r="D1860" s="7" t="s">
        <v>4595</v>
      </c>
      <c r="E1860" s="8">
        <v>6</v>
      </c>
      <c r="F1860" s="7"/>
      <c r="G1860" s="7"/>
      <c r="H1860" s="9"/>
      <c r="I1860" s="9"/>
      <c r="J1860" s="9"/>
      <c r="K1860" s="9"/>
      <c r="L1860" s="10">
        <v>21700</v>
      </c>
      <c r="M1860" s="9"/>
      <c r="N1860" s="10">
        <v>21700</v>
      </c>
      <c r="O1860" s="9"/>
      <c r="P1860" s="10"/>
      <c r="Q1860" s="10"/>
      <c r="R1860" s="10"/>
      <c r="S1860" s="7" t="s">
        <v>407</v>
      </c>
      <c r="T1860" s="7" t="s">
        <v>4537</v>
      </c>
      <c r="U1860" s="7" t="s">
        <v>44</v>
      </c>
      <c r="V1860" s="7" t="s">
        <v>45</v>
      </c>
      <c r="W1860" s="7" t="s">
        <v>171</v>
      </c>
      <c r="X1860" s="7"/>
      <c r="Y1860" s="7" t="s">
        <v>4596</v>
      </c>
      <c r="Z1860" s="7" t="s">
        <v>1624</v>
      </c>
      <c r="AA1860" s="7"/>
      <c r="AB1860" s="7"/>
      <c r="AC1860" s="7" t="s">
        <v>4503</v>
      </c>
      <c r="AD1860" s="7" t="s">
        <v>4542</v>
      </c>
      <c r="AE1860" s="7" t="s">
        <v>4542</v>
      </c>
      <c r="AF1860" s="7" t="s">
        <v>113</v>
      </c>
      <c r="AG1860" s="7" t="s">
        <v>4491</v>
      </c>
      <c r="AH1860" s="7" t="s">
        <v>4504</v>
      </c>
    </row>
    <row r="1861" spans="1:34" ht="9.75" customHeight="1" x14ac:dyDescent="0.2">
      <c r="A1861" s="7" t="s">
        <v>4371</v>
      </c>
      <c r="B1861" s="7" t="s">
        <v>4372</v>
      </c>
      <c r="C1861" s="7"/>
      <c r="D1861" s="7" t="s">
        <v>4597</v>
      </c>
      <c r="E1861" s="8">
        <v>6</v>
      </c>
      <c r="F1861" s="7"/>
      <c r="G1861" s="7"/>
      <c r="H1861" s="9"/>
      <c r="I1861" s="9"/>
      <c r="J1861" s="9"/>
      <c r="K1861" s="9"/>
      <c r="L1861" s="10">
        <v>544420</v>
      </c>
      <c r="M1861" s="9"/>
      <c r="N1861" s="10">
        <v>544420</v>
      </c>
      <c r="O1861" s="9"/>
      <c r="P1861" s="10"/>
      <c r="Q1861" s="10"/>
      <c r="R1861" s="10"/>
      <c r="S1861" s="7" t="s">
        <v>407</v>
      </c>
      <c r="T1861" s="7" t="s">
        <v>4537</v>
      </c>
      <c r="U1861" s="7"/>
      <c r="V1861" s="7"/>
      <c r="W1861" s="7"/>
      <c r="X1861" s="7"/>
      <c r="Y1861" s="7" t="s">
        <v>4598</v>
      </c>
      <c r="Z1861" s="7" t="s">
        <v>1624</v>
      </c>
      <c r="AA1861" s="7"/>
      <c r="AB1861" s="7"/>
      <c r="AC1861" s="7" t="s">
        <v>4503</v>
      </c>
      <c r="AD1861" s="7" t="s">
        <v>4545</v>
      </c>
      <c r="AE1861" s="7" t="s">
        <v>4545</v>
      </c>
      <c r="AF1861" s="7" t="s">
        <v>113</v>
      </c>
      <c r="AG1861" s="7" t="s">
        <v>4491</v>
      </c>
      <c r="AH1861" s="7" t="s">
        <v>4504</v>
      </c>
    </row>
    <row r="1862" spans="1:34" ht="9.75" customHeight="1" x14ac:dyDescent="0.2">
      <c r="A1862" s="7" t="s">
        <v>4371</v>
      </c>
      <c r="B1862" s="7" t="s">
        <v>4372</v>
      </c>
      <c r="C1862" s="7"/>
      <c r="D1862" s="7" t="s">
        <v>4599</v>
      </c>
      <c r="E1862" s="8">
        <v>6</v>
      </c>
      <c r="F1862" s="7"/>
      <c r="G1862" s="7"/>
      <c r="H1862" s="9"/>
      <c r="I1862" s="9"/>
      <c r="J1862" s="9"/>
      <c r="K1862" s="9"/>
      <c r="L1862" s="10">
        <v>190460</v>
      </c>
      <c r="M1862" s="9"/>
      <c r="N1862" s="10">
        <v>190460</v>
      </c>
      <c r="O1862" s="9"/>
      <c r="P1862" s="10"/>
      <c r="Q1862" s="10"/>
      <c r="R1862" s="10"/>
      <c r="S1862" s="7" t="s">
        <v>407</v>
      </c>
      <c r="T1862" s="7" t="s">
        <v>4537</v>
      </c>
      <c r="U1862" s="7"/>
      <c r="V1862" s="7"/>
      <c r="W1862" s="7"/>
      <c r="X1862" s="7"/>
      <c r="Y1862" s="7" t="s">
        <v>4600</v>
      </c>
      <c r="Z1862" s="7" t="s">
        <v>1624</v>
      </c>
      <c r="AA1862" s="7"/>
      <c r="AB1862" s="7"/>
      <c r="AC1862" s="7" t="s">
        <v>4503</v>
      </c>
      <c r="AD1862" s="7" t="s">
        <v>4548</v>
      </c>
      <c r="AE1862" s="7" t="s">
        <v>4548</v>
      </c>
      <c r="AF1862" s="7" t="s">
        <v>113</v>
      </c>
      <c r="AG1862" s="7" t="s">
        <v>4491</v>
      </c>
      <c r="AH1862" s="7" t="s">
        <v>4504</v>
      </c>
    </row>
    <row r="1863" spans="1:34" ht="9.75" customHeight="1" x14ac:dyDescent="0.2">
      <c r="A1863" s="7" t="s">
        <v>4371</v>
      </c>
      <c r="B1863" s="7" t="s">
        <v>4372</v>
      </c>
      <c r="C1863" s="7"/>
      <c r="D1863" s="7" t="s">
        <v>4601</v>
      </c>
      <c r="E1863" s="8">
        <v>6</v>
      </c>
      <c r="F1863" s="7"/>
      <c r="G1863" s="7"/>
      <c r="H1863" s="9"/>
      <c r="I1863" s="9"/>
      <c r="J1863" s="9"/>
      <c r="K1863" s="9"/>
      <c r="L1863" s="10">
        <v>676910</v>
      </c>
      <c r="M1863" s="9"/>
      <c r="N1863" s="10">
        <v>676910</v>
      </c>
      <c r="O1863" s="9"/>
      <c r="P1863" s="10"/>
      <c r="Q1863" s="10"/>
      <c r="R1863" s="10"/>
      <c r="S1863" s="7" t="s">
        <v>407</v>
      </c>
      <c r="T1863" s="7" t="s">
        <v>4537</v>
      </c>
      <c r="U1863" s="7" t="s">
        <v>44</v>
      </c>
      <c r="V1863" s="7" t="s">
        <v>45</v>
      </c>
      <c r="W1863" s="7" t="s">
        <v>130</v>
      </c>
      <c r="X1863" s="7"/>
      <c r="Y1863" s="7" t="s">
        <v>4602</v>
      </c>
      <c r="Z1863" s="7" t="s">
        <v>1624</v>
      </c>
      <c r="AA1863" s="7"/>
      <c r="AB1863" s="7"/>
      <c r="AC1863" s="7" t="s">
        <v>4503</v>
      </c>
      <c r="AD1863" s="7" t="s">
        <v>4551</v>
      </c>
      <c r="AE1863" s="7" t="s">
        <v>4551</v>
      </c>
      <c r="AF1863" s="7" t="s">
        <v>113</v>
      </c>
      <c r="AG1863" s="7" t="s">
        <v>4491</v>
      </c>
      <c r="AH1863" s="7" t="s">
        <v>4504</v>
      </c>
    </row>
    <row r="1864" spans="1:34" ht="9.75" customHeight="1" x14ac:dyDescent="0.2">
      <c r="A1864" s="7" t="s">
        <v>4371</v>
      </c>
      <c r="B1864" s="7" t="s">
        <v>4372</v>
      </c>
      <c r="C1864" s="7"/>
      <c r="D1864" s="7" t="s">
        <v>4603</v>
      </c>
      <c r="E1864" s="8">
        <v>6</v>
      </c>
      <c r="F1864" s="7"/>
      <c r="G1864" s="7"/>
      <c r="H1864" s="9"/>
      <c r="I1864" s="9"/>
      <c r="J1864" s="9"/>
      <c r="K1864" s="9"/>
      <c r="L1864" s="10">
        <v>89070</v>
      </c>
      <c r="M1864" s="9"/>
      <c r="N1864" s="10">
        <v>89070</v>
      </c>
      <c r="O1864" s="9"/>
      <c r="P1864" s="10"/>
      <c r="Q1864" s="10"/>
      <c r="R1864" s="10"/>
      <c r="S1864" s="7" t="s">
        <v>407</v>
      </c>
      <c r="T1864" s="7" t="s">
        <v>4537</v>
      </c>
      <c r="U1864" s="7" t="s">
        <v>44</v>
      </c>
      <c r="V1864" s="7" t="s">
        <v>45</v>
      </c>
      <c r="W1864" s="7" t="s">
        <v>67</v>
      </c>
      <c r="X1864" s="7"/>
      <c r="Y1864" s="7" t="s">
        <v>4604</v>
      </c>
      <c r="Z1864" s="7" t="s">
        <v>1624</v>
      </c>
      <c r="AA1864" s="7"/>
      <c r="AB1864" s="7"/>
      <c r="AC1864" s="7" t="s">
        <v>4503</v>
      </c>
      <c r="AD1864" s="7" t="s">
        <v>68</v>
      </c>
      <c r="AE1864" s="7" t="s">
        <v>68</v>
      </c>
      <c r="AF1864" s="7" t="s">
        <v>113</v>
      </c>
      <c r="AG1864" s="7" t="s">
        <v>4491</v>
      </c>
      <c r="AH1864" s="7" t="s">
        <v>4504</v>
      </c>
    </row>
    <row r="1865" spans="1:34" ht="9.75" customHeight="1" x14ac:dyDescent="0.2">
      <c r="A1865" s="7" t="s">
        <v>4371</v>
      </c>
      <c r="B1865" s="7" t="s">
        <v>4372</v>
      </c>
      <c r="C1865" s="7"/>
      <c r="D1865" s="7" t="s">
        <v>4605</v>
      </c>
      <c r="E1865" s="8">
        <v>6</v>
      </c>
      <c r="F1865" s="7"/>
      <c r="G1865" s="7"/>
      <c r="H1865" s="9"/>
      <c r="I1865" s="9"/>
      <c r="J1865" s="9"/>
      <c r="K1865" s="9"/>
      <c r="L1865" s="10">
        <v>31090</v>
      </c>
      <c r="M1865" s="9"/>
      <c r="N1865" s="10">
        <v>31090</v>
      </c>
      <c r="O1865" s="9"/>
      <c r="P1865" s="10"/>
      <c r="Q1865" s="10"/>
      <c r="R1865" s="10"/>
      <c r="S1865" s="7" t="s">
        <v>407</v>
      </c>
      <c r="T1865" s="7" t="s">
        <v>4537</v>
      </c>
      <c r="U1865" s="7" t="s">
        <v>44</v>
      </c>
      <c r="V1865" s="7" t="s">
        <v>45</v>
      </c>
      <c r="W1865" s="7" t="s">
        <v>211</v>
      </c>
      <c r="X1865" s="7"/>
      <c r="Y1865" s="7" t="s">
        <v>4606</v>
      </c>
      <c r="Z1865" s="7" t="s">
        <v>1624</v>
      </c>
      <c r="AA1865" s="7"/>
      <c r="AB1865" s="7"/>
      <c r="AC1865" s="7" t="s">
        <v>4503</v>
      </c>
      <c r="AD1865" s="7" t="s">
        <v>4556</v>
      </c>
      <c r="AE1865" s="7" t="s">
        <v>4556</v>
      </c>
      <c r="AF1865" s="7" t="s">
        <v>113</v>
      </c>
      <c r="AG1865" s="7" t="s">
        <v>4491</v>
      </c>
      <c r="AH1865" s="7" t="s">
        <v>4504</v>
      </c>
    </row>
    <row r="1866" spans="1:34" ht="9.75" customHeight="1" x14ac:dyDescent="0.2">
      <c r="A1866" s="7" t="s">
        <v>4371</v>
      </c>
      <c r="B1866" s="7" t="s">
        <v>4372</v>
      </c>
      <c r="C1866" s="7"/>
      <c r="D1866" s="7" t="s">
        <v>4607</v>
      </c>
      <c r="E1866" s="8">
        <v>6</v>
      </c>
      <c r="F1866" s="7"/>
      <c r="G1866" s="7"/>
      <c r="H1866" s="9"/>
      <c r="I1866" s="9"/>
      <c r="J1866" s="9"/>
      <c r="K1866" s="9"/>
      <c r="L1866" s="10">
        <v>47680</v>
      </c>
      <c r="M1866" s="9"/>
      <c r="N1866" s="10">
        <v>47680</v>
      </c>
      <c r="O1866" s="9"/>
      <c r="P1866" s="10"/>
      <c r="Q1866" s="10"/>
      <c r="R1866" s="10"/>
      <c r="S1866" s="7" t="s">
        <v>407</v>
      </c>
      <c r="T1866" s="7" t="s">
        <v>4537</v>
      </c>
      <c r="U1866" s="7"/>
      <c r="V1866" s="7"/>
      <c r="W1866" s="7"/>
      <c r="X1866" s="7"/>
      <c r="Y1866" s="7" t="s">
        <v>4608</v>
      </c>
      <c r="Z1866" s="7" t="s">
        <v>1624</v>
      </c>
      <c r="AA1866" s="7"/>
      <c r="AB1866" s="7"/>
      <c r="AC1866" s="7" t="s">
        <v>4503</v>
      </c>
      <c r="AD1866" s="7" t="s">
        <v>4559</v>
      </c>
      <c r="AE1866" s="7" t="s">
        <v>4559</v>
      </c>
      <c r="AF1866" s="7" t="s">
        <v>113</v>
      </c>
      <c r="AG1866" s="7" t="s">
        <v>4491</v>
      </c>
      <c r="AH1866" s="7" t="s">
        <v>4504</v>
      </c>
    </row>
    <row r="1867" spans="1:34" ht="9.75" customHeight="1" x14ac:dyDescent="0.2">
      <c r="A1867" s="7" t="s">
        <v>4371</v>
      </c>
      <c r="B1867" s="7" t="s">
        <v>4372</v>
      </c>
      <c r="C1867" s="7"/>
      <c r="D1867" s="7" t="s">
        <v>4609</v>
      </c>
      <c r="E1867" s="8">
        <v>6</v>
      </c>
      <c r="F1867" s="7"/>
      <c r="G1867" s="7"/>
      <c r="H1867" s="9"/>
      <c r="I1867" s="9"/>
      <c r="J1867" s="9"/>
      <c r="K1867" s="9"/>
      <c r="L1867" s="10">
        <v>252210</v>
      </c>
      <c r="M1867" s="9"/>
      <c r="N1867" s="10">
        <v>252210</v>
      </c>
      <c r="O1867" s="9"/>
      <c r="P1867" s="10"/>
      <c r="Q1867" s="10"/>
      <c r="R1867" s="10"/>
      <c r="S1867" s="7" t="s">
        <v>407</v>
      </c>
      <c r="T1867" s="7" t="s">
        <v>4537</v>
      </c>
      <c r="U1867" s="7" t="s">
        <v>44</v>
      </c>
      <c r="V1867" s="7" t="s">
        <v>45</v>
      </c>
      <c r="W1867" s="7" t="s">
        <v>46</v>
      </c>
      <c r="X1867" s="7"/>
      <c r="Y1867" s="7" t="s">
        <v>4610</v>
      </c>
      <c r="Z1867" s="7" t="s">
        <v>1624</v>
      </c>
      <c r="AA1867" s="7"/>
      <c r="AB1867" s="7"/>
      <c r="AC1867" s="7" t="s">
        <v>4503</v>
      </c>
      <c r="AD1867" s="7" t="s">
        <v>4562</v>
      </c>
      <c r="AE1867" s="7" t="s">
        <v>4562</v>
      </c>
      <c r="AF1867" s="7" t="s">
        <v>113</v>
      </c>
      <c r="AG1867" s="7" t="s">
        <v>4491</v>
      </c>
      <c r="AH1867" s="7" t="s">
        <v>4504</v>
      </c>
    </row>
    <row r="1868" spans="1:34" ht="9.75" customHeight="1" x14ac:dyDescent="0.2">
      <c r="A1868" s="7" t="s">
        <v>4371</v>
      </c>
      <c r="B1868" s="7" t="s">
        <v>4372</v>
      </c>
      <c r="C1868" s="7"/>
      <c r="D1868" s="7" t="s">
        <v>4611</v>
      </c>
      <c r="E1868" s="8">
        <v>6</v>
      </c>
      <c r="F1868" s="7"/>
      <c r="G1868" s="7"/>
      <c r="H1868" s="9"/>
      <c r="I1868" s="9"/>
      <c r="J1868" s="9"/>
      <c r="K1868" s="9"/>
      <c r="L1868" s="10">
        <v>391730</v>
      </c>
      <c r="M1868" s="9"/>
      <c r="N1868" s="10">
        <v>391730</v>
      </c>
      <c r="O1868" s="9"/>
      <c r="P1868" s="10"/>
      <c r="Q1868" s="10"/>
      <c r="R1868" s="10"/>
      <c r="S1868" s="7" t="s">
        <v>407</v>
      </c>
      <c r="T1868" s="7" t="s">
        <v>4537</v>
      </c>
      <c r="U1868" s="7" t="s">
        <v>44</v>
      </c>
      <c r="V1868" s="7" t="s">
        <v>45</v>
      </c>
      <c r="W1868" s="7" t="s">
        <v>46</v>
      </c>
      <c r="X1868" s="7"/>
      <c r="Y1868" s="7" t="s">
        <v>4612</v>
      </c>
      <c r="Z1868" s="7" t="s">
        <v>1624</v>
      </c>
      <c r="AA1868" s="7"/>
      <c r="AB1868" s="7"/>
      <c r="AC1868" s="7" t="s">
        <v>4503</v>
      </c>
      <c r="AD1868" s="7" t="s">
        <v>4565</v>
      </c>
      <c r="AE1868" s="7" t="s">
        <v>4565</v>
      </c>
      <c r="AF1868" s="7" t="s">
        <v>113</v>
      </c>
      <c r="AG1868" s="7" t="s">
        <v>4491</v>
      </c>
      <c r="AH1868" s="7" t="s">
        <v>4504</v>
      </c>
    </row>
    <row r="1869" spans="1:34" ht="9.75" customHeight="1" x14ac:dyDescent="0.2">
      <c r="A1869" s="7" t="s">
        <v>4371</v>
      </c>
      <c r="B1869" s="7" t="s">
        <v>4372</v>
      </c>
      <c r="C1869" s="7"/>
      <c r="D1869" s="7" t="s">
        <v>4613</v>
      </c>
      <c r="E1869" s="8">
        <v>6</v>
      </c>
      <c r="F1869" s="7"/>
      <c r="G1869" s="7"/>
      <c r="H1869" s="9"/>
      <c r="I1869" s="9"/>
      <c r="J1869" s="9"/>
      <c r="K1869" s="9"/>
      <c r="L1869" s="10">
        <v>11000</v>
      </c>
      <c r="M1869" s="9"/>
      <c r="N1869" s="10">
        <v>11000</v>
      </c>
      <c r="O1869" s="9"/>
      <c r="P1869" s="10"/>
      <c r="Q1869" s="10"/>
      <c r="R1869" s="10"/>
      <c r="S1869" s="7" t="s">
        <v>407</v>
      </c>
      <c r="T1869" s="7" t="s">
        <v>4537</v>
      </c>
      <c r="U1869" s="7"/>
      <c r="V1869" s="7"/>
      <c r="W1869" s="7"/>
      <c r="X1869" s="7"/>
      <c r="Y1869" s="7" t="s">
        <v>4614</v>
      </c>
      <c r="Z1869" s="7" t="s">
        <v>1624</v>
      </c>
      <c r="AA1869" s="7"/>
      <c r="AB1869" s="7"/>
      <c r="AC1869" s="7" t="s">
        <v>4503</v>
      </c>
      <c r="AD1869" s="7" t="s">
        <v>4590</v>
      </c>
      <c r="AE1869" s="7" t="s">
        <v>4590</v>
      </c>
      <c r="AF1869" s="7" t="s">
        <v>113</v>
      </c>
      <c r="AG1869" s="7" t="s">
        <v>4491</v>
      </c>
      <c r="AH1869" s="7" t="s">
        <v>4504</v>
      </c>
    </row>
    <row r="1870" spans="1:34" ht="9.75" customHeight="1" x14ac:dyDescent="0.2">
      <c r="A1870" s="7" t="s">
        <v>4371</v>
      </c>
      <c r="B1870" s="7" t="s">
        <v>4372</v>
      </c>
      <c r="C1870" s="7"/>
      <c r="D1870" s="7" t="s">
        <v>4615</v>
      </c>
      <c r="E1870" s="8">
        <v>6</v>
      </c>
      <c r="F1870" s="7"/>
      <c r="G1870" s="7"/>
      <c r="H1870" s="9"/>
      <c r="I1870" s="9"/>
      <c r="J1870" s="9"/>
      <c r="K1870" s="9"/>
      <c r="L1870" s="10">
        <v>2386350</v>
      </c>
      <c r="M1870" s="9"/>
      <c r="N1870" s="10">
        <v>2386350</v>
      </c>
      <c r="O1870" s="9"/>
      <c r="P1870" s="10"/>
      <c r="Q1870" s="10"/>
      <c r="R1870" s="10"/>
      <c r="S1870" s="7" t="s">
        <v>43</v>
      </c>
      <c r="T1870" s="7"/>
      <c r="U1870" s="7"/>
      <c r="V1870" s="7"/>
      <c r="W1870" s="7"/>
      <c r="X1870" s="7"/>
      <c r="Y1870" s="7" t="s">
        <v>4616</v>
      </c>
      <c r="Z1870" s="7" t="s">
        <v>1624</v>
      </c>
      <c r="AA1870" s="7"/>
      <c r="AB1870" s="7"/>
      <c r="AC1870" s="7" t="s">
        <v>4503</v>
      </c>
      <c r="AD1870" s="7"/>
      <c r="AE1870" s="7"/>
      <c r="AF1870" s="7" t="s">
        <v>113</v>
      </c>
      <c r="AG1870" s="7" t="s">
        <v>4491</v>
      </c>
      <c r="AH1870" s="7" t="s">
        <v>4504</v>
      </c>
    </row>
    <row r="1871" spans="1:34" ht="9.75" customHeight="1" x14ac:dyDescent="0.2">
      <c r="A1871" s="7" t="s">
        <v>4371</v>
      </c>
      <c r="B1871" s="7" t="s">
        <v>4372</v>
      </c>
      <c r="C1871" s="7"/>
      <c r="D1871" s="7" t="s">
        <v>4617</v>
      </c>
      <c r="E1871" s="8">
        <v>6</v>
      </c>
      <c r="F1871" s="7"/>
      <c r="G1871" s="7"/>
      <c r="H1871" s="9"/>
      <c r="I1871" s="10">
        <v>7233240</v>
      </c>
      <c r="J1871" s="10">
        <v>6796190</v>
      </c>
      <c r="K1871" s="9"/>
      <c r="L1871" s="10">
        <v>6697130</v>
      </c>
      <c r="M1871" s="9"/>
      <c r="N1871" s="10">
        <v>6697130</v>
      </c>
      <c r="O1871" s="9"/>
      <c r="P1871" s="10"/>
      <c r="Q1871" s="10"/>
      <c r="R1871" s="10"/>
      <c r="S1871" s="7" t="s">
        <v>54</v>
      </c>
      <c r="T1871" s="7" t="s">
        <v>4618</v>
      </c>
      <c r="U1871" s="7"/>
      <c r="V1871" s="7"/>
      <c r="W1871" s="7"/>
      <c r="X1871" s="7"/>
      <c r="Y1871" s="7" t="s">
        <v>4619</v>
      </c>
      <c r="Z1871" s="7" t="s">
        <v>1792</v>
      </c>
      <c r="AA1871" s="7"/>
      <c r="AB1871" s="7"/>
      <c r="AC1871" s="7" t="s">
        <v>4534</v>
      </c>
      <c r="AD1871" s="7" t="s">
        <v>4416</v>
      </c>
      <c r="AE1871" s="7" t="s">
        <v>4416</v>
      </c>
      <c r="AF1871" s="7" t="s">
        <v>113</v>
      </c>
      <c r="AG1871" s="7" t="s">
        <v>4491</v>
      </c>
      <c r="AH1871" s="7" t="s">
        <v>4535</v>
      </c>
    </row>
    <row r="1872" spans="1:34" ht="9.75" customHeight="1" x14ac:dyDescent="0.2">
      <c r="A1872" s="7" t="s">
        <v>4371</v>
      </c>
      <c r="B1872" s="7" t="s">
        <v>4372</v>
      </c>
      <c r="C1872" s="7"/>
      <c r="D1872" s="7" t="s">
        <v>4620</v>
      </c>
      <c r="E1872" s="8">
        <v>1</v>
      </c>
      <c r="F1872" s="7" t="s">
        <v>293</v>
      </c>
      <c r="G1872" s="7"/>
      <c r="H1872" s="9"/>
      <c r="I1872" s="10">
        <v>41340</v>
      </c>
      <c r="J1872" s="10">
        <v>83030</v>
      </c>
      <c r="K1872" s="9"/>
      <c r="L1872" s="10">
        <v>108950</v>
      </c>
      <c r="M1872" s="9"/>
      <c r="N1872" s="10">
        <v>108950</v>
      </c>
      <c r="O1872" s="9"/>
      <c r="P1872" s="10"/>
      <c r="Q1872" s="10"/>
      <c r="R1872" s="10"/>
      <c r="S1872" s="7" t="s">
        <v>54</v>
      </c>
      <c r="T1872" s="7" t="s">
        <v>4618</v>
      </c>
      <c r="U1872" s="7"/>
      <c r="V1872" s="7"/>
      <c r="W1872" s="7"/>
      <c r="X1872" s="7"/>
      <c r="Y1872" s="7" t="s">
        <v>4621</v>
      </c>
      <c r="Z1872" s="7" t="s">
        <v>1792</v>
      </c>
      <c r="AA1872" s="7"/>
      <c r="AB1872" s="7"/>
      <c r="AC1872" s="7" t="s">
        <v>4534</v>
      </c>
      <c r="AD1872" s="7" t="s">
        <v>4422</v>
      </c>
      <c r="AE1872" s="7" t="s">
        <v>4422</v>
      </c>
      <c r="AF1872" s="7" t="s">
        <v>113</v>
      </c>
      <c r="AG1872" s="7" t="s">
        <v>4491</v>
      </c>
      <c r="AH1872" s="7" t="s">
        <v>4535</v>
      </c>
    </row>
    <row r="1873" spans="1:34" ht="9.75" customHeight="1" x14ac:dyDescent="0.2">
      <c r="A1873" s="7" t="s">
        <v>4371</v>
      </c>
      <c r="B1873" s="7" t="s">
        <v>4372</v>
      </c>
      <c r="C1873" s="7"/>
      <c r="D1873" s="7" t="s">
        <v>4622</v>
      </c>
      <c r="E1873" s="8">
        <v>6</v>
      </c>
      <c r="F1873" s="7"/>
      <c r="G1873" s="7"/>
      <c r="H1873" s="9"/>
      <c r="I1873" s="10">
        <v>1367760</v>
      </c>
      <c r="J1873" s="10">
        <v>1061610</v>
      </c>
      <c r="K1873" s="9"/>
      <c r="L1873" s="10">
        <v>1332940</v>
      </c>
      <c r="M1873" s="9"/>
      <c r="N1873" s="10">
        <v>1332940</v>
      </c>
      <c r="O1873" s="9"/>
      <c r="P1873" s="10"/>
      <c r="Q1873" s="10"/>
      <c r="R1873" s="10"/>
      <c r="S1873" s="7" t="s">
        <v>54</v>
      </c>
      <c r="T1873" s="7" t="s">
        <v>4618</v>
      </c>
      <c r="U1873" s="7"/>
      <c r="V1873" s="7"/>
      <c r="W1873" s="7"/>
      <c r="X1873" s="7"/>
      <c r="Y1873" s="7" t="s">
        <v>4623</v>
      </c>
      <c r="Z1873" s="7" t="s">
        <v>1792</v>
      </c>
      <c r="AA1873" s="7"/>
      <c r="AB1873" s="7"/>
      <c r="AC1873" s="7" t="s">
        <v>4534</v>
      </c>
      <c r="AD1873" s="7" t="s">
        <v>4624</v>
      </c>
      <c r="AE1873" s="7" t="s">
        <v>4624</v>
      </c>
      <c r="AF1873" s="7" t="s">
        <v>113</v>
      </c>
      <c r="AG1873" s="7" t="s">
        <v>4491</v>
      </c>
      <c r="AH1873" s="7" t="s">
        <v>4535</v>
      </c>
    </row>
    <row r="1874" spans="1:34" ht="9.75" customHeight="1" x14ac:dyDescent="0.2">
      <c r="A1874" s="7" t="s">
        <v>4371</v>
      </c>
      <c r="B1874" s="7" t="s">
        <v>4372</v>
      </c>
      <c r="C1874" s="7"/>
      <c r="D1874" s="7" t="s">
        <v>4625</v>
      </c>
      <c r="E1874" s="8">
        <v>6</v>
      </c>
      <c r="F1874" s="7"/>
      <c r="G1874" s="7"/>
      <c r="H1874" s="9"/>
      <c r="I1874" s="10">
        <v>250860</v>
      </c>
      <c r="J1874" s="10">
        <v>122200</v>
      </c>
      <c r="K1874" s="9"/>
      <c r="L1874" s="10">
        <v>140500</v>
      </c>
      <c r="M1874" s="9"/>
      <c r="N1874" s="10">
        <v>140500</v>
      </c>
      <c r="O1874" s="9"/>
      <c r="P1874" s="10"/>
      <c r="Q1874" s="10"/>
      <c r="R1874" s="10"/>
      <c r="S1874" s="7" t="s">
        <v>54</v>
      </c>
      <c r="T1874" s="7" t="s">
        <v>4618</v>
      </c>
      <c r="U1874" s="7"/>
      <c r="V1874" s="7"/>
      <c r="W1874" s="7"/>
      <c r="X1874" s="7"/>
      <c r="Y1874" s="7" t="s">
        <v>4626</v>
      </c>
      <c r="Z1874" s="7" t="s">
        <v>1792</v>
      </c>
      <c r="AA1874" s="7"/>
      <c r="AB1874" s="7"/>
      <c r="AC1874" s="7" t="s">
        <v>4534</v>
      </c>
      <c r="AD1874" s="7" t="s">
        <v>4425</v>
      </c>
      <c r="AE1874" s="7" t="s">
        <v>4425</v>
      </c>
      <c r="AF1874" s="7" t="s">
        <v>113</v>
      </c>
      <c r="AG1874" s="7" t="s">
        <v>4491</v>
      </c>
      <c r="AH1874" s="7" t="s">
        <v>4535</v>
      </c>
    </row>
    <row r="1875" spans="1:34" ht="9.75" customHeight="1" x14ac:dyDescent="0.2">
      <c r="A1875" s="7" t="s">
        <v>4371</v>
      </c>
      <c r="B1875" s="7" t="s">
        <v>4372</v>
      </c>
      <c r="C1875" s="7"/>
      <c r="D1875" s="7" t="s">
        <v>4627</v>
      </c>
      <c r="E1875" s="8">
        <v>6</v>
      </c>
      <c r="F1875" s="7"/>
      <c r="G1875" s="7"/>
      <c r="H1875" s="9"/>
      <c r="I1875" s="10">
        <v>186890</v>
      </c>
      <c r="J1875" s="10">
        <v>154870</v>
      </c>
      <c r="K1875" s="9"/>
      <c r="L1875" s="10">
        <v>168170</v>
      </c>
      <c r="M1875" s="9"/>
      <c r="N1875" s="10">
        <v>168170</v>
      </c>
      <c r="O1875" s="9"/>
      <c r="P1875" s="10"/>
      <c r="Q1875" s="10"/>
      <c r="R1875" s="10"/>
      <c r="S1875" s="7" t="s">
        <v>54</v>
      </c>
      <c r="T1875" s="7" t="s">
        <v>4618</v>
      </c>
      <c r="U1875" s="7"/>
      <c r="V1875" s="7"/>
      <c r="W1875" s="7"/>
      <c r="X1875" s="7"/>
      <c r="Y1875" s="7" t="s">
        <v>4628</v>
      </c>
      <c r="Z1875" s="7" t="s">
        <v>1792</v>
      </c>
      <c r="AA1875" s="7"/>
      <c r="AB1875" s="7"/>
      <c r="AC1875" s="7" t="s">
        <v>4534</v>
      </c>
      <c r="AD1875" s="7" t="s">
        <v>4629</v>
      </c>
      <c r="AE1875" s="7" t="s">
        <v>4629</v>
      </c>
      <c r="AF1875" s="7" t="s">
        <v>113</v>
      </c>
      <c r="AG1875" s="7" t="s">
        <v>4491</v>
      </c>
      <c r="AH1875" s="7" t="s">
        <v>4535</v>
      </c>
    </row>
    <row r="1876" spans="1:34" ht="9.75" customHeight="1" x14ac:dyDescent="0.2">
      <c r="A1876" s="7" t="s">
        <v>4371</v>
      </c>
      <c r="B1876" s="7" t="s">
        <v>4372</v>
      </c>
      <c r="C1876" s="7"/>
      <c r="D1876" s="7" t="s">
        <v>4630</v>
      </c>
      <c r="E1876" s="8">
        <v>6</v>
      </c>
      <c r="F1876" s="7"/>
      <c r="G1876" s="7"/>
      <c r="H1876" s="9"/>
      <c r="I1876" s="10">
        <v>233340</v>
      </c>
      <c r="J1876" s="10">
        <v>228270</v>
      </c>
      <c r="K1876" s="9"/>
      <c r="L1876" s="10">
        <v>184880</v>
      </c>
      <c r="M1876" s="9"/>
      <c r="N1876" s="10">
        <v>184880</v>
      </c>
      <c r="O1876" s="9"/>
      <c r="P1876" s="10"/>
      <c r="Q1876" s="10"/>
      <c r="R1876" s="10"/>
      <c r="S1876" s="7" t="s">
        <v>54</v>
      </c>
      <c r="T1876" s="7" t="s">
        <v>4618</v>
      </c>
      <c r="U1876" s="7"/>
      <c r="V1876" s="7"/>
      <c r="W1876" s="7"/>
      <c r="X1876" s="7"/>
      <c r="Y1876" s="7" t="s">
        <v>4631</v>
      </c>
      <c r="Z1876" s="7" t="s">
        <v>1792</v>
      </c>
      <c r="AA1876" s="7"/>
      <c r="AB1876" s="7"/>
      <c r="AC1876" s="7" t="s">
        <v>4534</v>
      </c>
      <c r="AD1876" s="7" t="s">
        <v>4632</v>
      </c>
      <c r="AE1876" s="7" t="s">
        <v>4632</v>
      </c>
      <c r="AF1876" s="7" t="s">
        <v>113</v>
      </c>
      <c r="AG1876" s="7" t="s">
        <v>4491</v>
      </c>
      <c r="AH1876" s="7" t="s">
        <v>4535</v>
      </c>
    </row>
    <row r="1877" spans="1:34" ht="9.75" customHeight="1" x14ac:dyDescent="0.2">
      <c r="A1877" s="7" t="s">
        <v>4371</v>
      </c>
      <c r="B1877" s="7" t="s">
        <v>4372</v>
      </c>
      <c r="C1877" s="7"/>
      <c r="D1877" s="7" t="s">
        <v>4618</v>
      </c>
      <c r="E1877" s="8">
        <v>6</v>
      </c>
      <c r="F1877" s="7"/>
      <c r="G1877" s="7"/>
      <c r="H1877" s="9"/>
      <c r="I1877" s="10">
        <v>9747270</v>
      </c>
      <c r="J1877" s="10">
        <v>8815570</v>
      </c>
      <c r="K1877" s="9"/>
      <c r="L1877" s="10">
        <v>8914710</v>
      </c>
      <c r="M1877" s="9"/>
      <c r="N1877" s="10">
        <v>8914710</v>
      </c>
      <c r="O1877" s="9"/>
      <c r="P1877" s="10"/>
      <c r="Q1877" s="10"/>
      <c r="R1877" s="10"/>
      <c r="S1877" s="7" t="s">
        <v>43</v>
      </c>
      <c r="T1877" s="7"/>
      <c r="U1877" s="7"/>
      <c r="V1877" s="7"/>
      <c r="W1877" s="7"/>
      <c r="X1877" s="7"/>
      <c r="Y1877" s="7" t="s">
        <v>4633</v>
      </c>
      <c r="Z1877" s="7" t="s">
        <v>1792</v>
      </c>
      <c r="AA1877" s="7"/>
      <c r="AB1877" s="7"/>
      <c r="AC1877" s="7" t="s">
        <v>4534</v>
      </c>
      <c r="AD1877" s="7"/>
      <c r="AE1877" s="7"/>
      <c r="AF1877" s="7" t="s">
        <v>113</v>
      </c>
      <c r="AG1877" s="7" t="s">
        <v>4491</v>
      </c>
      <c r="AH1877" s="7" t="s">
        <v>4535</v>
      </c>
    </row>
    <row r="1878" spans="1:34" ht="9.75" customHeight="1" x14ac:dyDescent="0.2">
      <c r="A1878" s="7" t="s">
        <v>4371</v>
      </c>
      <c r="B1878" s="7" t="s">
        <v>4372</v>
      </c>
      <c r="C1878" s="7"/>
      <c r="D1878" s="7" t="s">
        <v>4634</v>
      </c>
      <c r="E1878" s="8">
        <v>6</v>
      </c>
      <c r="F1878" s="7"/>
      <c r="G1878" s="7"/>
      <c r="H1878" s="9"/>
      <c r="I1878" s="10">
        <v>2529770</v>
      </c>
      <c r="J1878" s="10">
        <v>3168410</v>
      </c>
      <c r="K1878" s="9"/>
      <c r="L1878" s="10">
        <v>3668370</v>
      </c>
      <c r="M1878" s="9"/>
      <c r="N1878" s="10">
        <v>3668370</v>
      </c>
      <c r="O1878" s="9"/>
      <c r="P1878" s="10"/>
      <c r="Q1878" s="10"/>
      <c r="R1878" s="10"/>
      <c r="S1878" s="7" t="s">
        <v>219</v>
      </c>
      <c r="T1878" s="7"/>
      <c r="U1878" s="7"/>
      <c r="V1878" s="7"/>
      <c r="W1878" s="7"/>
      <c r="X1878" s="7"/>
      <c r="Y1878" s="7" t="s">
        <v>4635</v>
      </c>
      <c r="Z1878" s="7" t="s">
        <v>1792</v>
      </c>
      <c r="AA1878" s="7"/>
      <c r="AB1878" s="7"/>
      <c r="AC1878" s="7" t="s">
        <v>4534</v>
      </c>
      <c r="AD1878" s="7"/>
      <c r="AE1878" s="7"/>
      <c r="AF1878" s="7" t="s">
        <v>113</v>
      </c>
      <c r="AG1878" s="7" t="s">
        <v>4491</v>
      </c>
      <c r="AH1878" s="7" t="s">
        <v>4535</v>
      </c>
    </row>
    <row r="1879" spans="1:34" ht="9.75" customHeight="1" x14ac:dyDescent="0.2">
      <c r="A1879" s="7" t="s">
        <v>4371</v>
      </c>
      <c r="B1879" s="7" t="s">
        <v>4372</v>
      </c>
      <c r="C1879" s="7"/>
      <c r="D1879" s="7" t="s">
        <v>4636</v>
      </c>
      <c r="E1879" s="8">
        <v>6</v>
      </c>
      <c r="F1879" s="7"/>
      <c r="G1879" s="7"/>
      <c r="H1879" s="9"/>
      <c r="I1879" s="10">
        <v>9108220</v>
      </c>
      <c r="J1879" s="10">
        <v>8121960</v>
      </c>
      <c r="K1879" s="9"/>
      <c r="L1879" s="10">
        <v>8998380</v>
      </c>
      <c r="M1879" s="9"/>
      <c r="N1879" s="10">
        <v>8998380</v>
      </c>
      <c r="O1879" s="9"/>
      <c r="P1879" s="10"/>
      <c r="Q1879" s="10"/>
      <c r="R1879" s="10"/>
      <c r="S1879" s="7" t="s">
        <v>407</v>
      </c>
      <c r="T1879" s="7" t="s">
        <v>4618</v>
      </c>
      <c r="U1879" s="7"/>
      <c r="V1879" s="7"/>
      <c r="W1879" s="7"/>
      <c r="X1879" s="7"/>
      <c r="Y1879" s="7" t="s">
        <v>4637</v>
      </c>
      <c r="Z1879" s="7" t="s">
        <v>1792</v>
      </c>
      <c r="AA1879" s="7"/>
      <c r="AB1879" s="7"/>
      <c r="AC1879" s="7" t="s">
        <v>4534</v>
      </c>
      <c r="AD1879" s="7" t="s">
        <v>4638</v>
      </c>
      <c r="AE1879" s="7" t="s">
        <v>4638</v>
      </c>
      <c r="AF1879" s="7" t="s">
        <v>113</v>
      </c>
      <c r="AG1879" s="7" t="s">
        <v>4491</v>
      </c>
      <c r="AH1879" s="7" t="s">
        <v>4535</v>
      </c>
    </row>
    <row r="1880" spans="1:34" ht="9.75" customHeight="1" x14ac:dyDescent="0.2">
      <c r="A1880" s="7" t="s">
        <v>4371</v>
      </c>
      <c r="B1880" s="7" t="s">
        <v>4372</v>
      </c>
      <c r="C1880" s="7"/>
      <c r="D1880" s="7" t="s">
        <v>4639</v>
      </c>
      <c r="E1880" s="8">
        <v>6</v>
      </c>
      <c r="F1880" s="7"/>
      <c r="G1880" s="7"/>
      <c r="H1880" s="9"/>
      <c r="I1880" s="10">
        <v>9110000</v>
      </c>
      <c r="J1880" s="10">
        <v>8122000</v>
      </c>
      <c r="K1880" s="9"/>
      <c r="L1880" s="10">
        <v>8998000</v>
      </c>
      <c r="M1880" s="9"/>
      <c r="N1880" s="10">
        <v>8998000</v>
      </c>
      <c r="O1880" s="9"/>
      <c r="P1880" s="10"/>
      <c r="Q1880" s="10"/>
      <c r="R1880" s="10"/>
      <c r="S1880" s="7" t="s">
        <v>43</v>
      </c>
      <c r="T1880" s="7"/>
      <c r="U1880" s="7"/>
      <c r="V1880" s="7"/>
      <c r="W1880" s="7"/>
      <c r="X1880" s="7"/>
      <c r="Y1880" s="7" t="s">
        <v>4640</v>
      </c>
      <c r="Z1880" s="7" t="s">
        <v>1803</v>
      </c>
      <c r="AA1880" s="7"/>
      <c r="AB1880" s="7"/>
      <c r="AC1880" s="7" t="s">
        <v>4534</v>
      </c>
      <c r="AD1880" s="7"/>
      <c r="AE1880" s="7"/>
      <c r="AF1880" s="7" t="s">
        <v>113</v>
      </c>
      <c r="AG1880" s="7" t="s">
        <v>4491</v>
      </c>
      <c r="AH1880" s="7" t="s">
        <v>4535</v>
      </c>
    </row>
    <row r="1881" spans="1:34" ht="9.75" customHeight="1" x14ac:dyDescent="0.2">
      <c r="A1881" s="7" t="s">
        <v>4371</v>
      </c>
      <c r="B1881" s="7" t="s">
        <v>4372</v>
      </c>
      <c r="C1881" s="7"/>
      <c r="D1881" s="7" t="s">
        <v>4641</v>
      </c>
      <c r="E1881" s="8">
        <v>6</v>
      </c>
      <c r="F1881" s="7"/>
      <c r="G1881" s="7"/>
      <c r="H1881" s="9"/>
      <c r="I1881" s="10">
        <v>5337000</v>
      </c>
      <c r="J1881" s="10">
        <v>5089000</v>
      </c>
      <c r="K1881" s="9"/>
      <c r="L1881" s="10">
        <v>8455000</v>
      </c>
      <c r="M1881" s="9"/>
      <c r="N1881" s="10">
        <v>8455000</v>
      </c>
      <c r="O1881" s="9"/>
      <c r="P1881" s="10"/>
      <c r="Q1881" s="10"/>
      <c r="R1881" s="10"/>
      <c r="S1881" s="7" t="s">
        <v>54</v>
      </c>
      <c r="T1881" s="7" t="s">
        <v>4642</v>
      </c>
      <c r="U1881" s="7"/>
      <c r="V1881" s="7"/>
      <c r="W1881" s="7"/>
      <c r="X1881" s="7"/>
      <c r="Y1881" s="7" t="s">
        <v>4643</v>
      </c>
      <c r="Z1881" s="7" t="s">
        <v>1803</v>
      </c>
      <c r="AA1881" s="7"/>
      <c r="AB1881" s="7"/>
      <c r="AC1881" s="7" t="s">
        <v>4534</v>
      </c>
      <c r="AD1881" s="7" t="s">
        <v>4644</v>
      </c>
      <c r="AE1881" s="7" t="s">
        <v>4644</v>
      </c>
      <c r="AF1881" s="7" t="s">
        <v>113</v>
      </c>
      <c r="AG1881" s="7" t="s">
        <v>4491</v>
      </c>
      <c r="AH1881" s="7" t="s">
        <v>4535</v>
      </c>
    </row>
    <row r="1882" spans="1:34" ht="9.75" customHeight="1" x14ac:dyDescent="0.2">
      <c r="A1882" s="7" t="s">
        <v>4371</v>
      </c>
      <c r="B1882" s="7" t="s">
        <v>4372</v>
      </c>
      <c r="C1882" s="7"/>
      <c r="D1882" s="7" t="s">
        <v>4645</v>
      </c>
      <c r="E1882" s="8">
        <v>6</v>
      </c>
      <c r="F1882" s="7"/>
      <c r="G1882" s="7"/>
      <c r="H1882" s="9"/>
      <c r="I1882" s="10">
        <v>970000</v>
      </c>
      <c r="J1882" s="10">
        <v>1056000</v>
      </c>
      <c r="K1882" s="9"/>
      <c r="L1882" s="10">
        <v>1122000</v>
      </c>
      <c r="M1882" s="9"/>
      <c r="N1882" s="10">
        <v>1122000</v>
      </c>
      <c r="O1882" s="9"/>
      <c r="P1882" s="10"/>
      <c r="Q1882" s="10"/>
      <c r="R1882" s="10"/>
      <c r="S1882" s="7" t="s">
        <v>54</v>
      </c>
      <c r="T1882" s="7" t="s">
        <v>4642</v>
      </c>
      <c r="U1882" s="7"/>
      <c r="V1882" s="7"/>
      <c r="W1882" s="7"/>
      <c r="X1882" s="7"/>
      <c r="Y1882" s="7" t="s">
        <v>4646</v>
      </c>
      <c r="Z1882" s="7" t="s">
        <v>1803</v>
      </c>
      <c r="AA1882" s="7"/>
      <c r="AB1882" s="7"/>
      <c r="AC1882" s="7" t="s">
        <v>4534</v>
      </c>
      <c r="AD1882" s="7" t="s">
        <v>4647</v>
      </c>
      <c r="AE1882" s="7" t="s">
        <v>4647</v>
      </c>
      <c r="AF1882" s="7" t="s">
        <v>113</v>
      </c>
      <c r="AG1882" s="7" t="s">
        <v>4491</v>
      </c>
      <c r="AH1882" s="7" t="s">
        <v>4535</v>
      </c>
    </row>
    <row r="1883" spans="1:34" ht="9.75" customHeight="1" x14ac:dyDescent="0.2">
      <c r="A1883" s="7" t="s">
        <v>4371</v>
      </c>
      <c r="B1883" s="7" t="s">
        <v>4372</v>
      </c>
      <c r="C1883" s="7"/>
      <c r="D1883" s="7" t="s">
        <v>4642</v>
      </c>
      <c r="E1883" s="8">
        <v>6</v>
      </c>
      <c r="F1883" s="7"/>
      <c r="G1883" s="7"/>
      <c r="H1883" s="9"/>
      <c r="I1883" s="10">
        <v>7732000</v>
      </c>
      <c r="J1883" s="10">
        <v>7619000</v>
      </c>
      <c r="K1883" s="9"/>
      <c r="L1883" s="10">
        <v>10909000</v>
      </c>
      <c r="M1883" s="9"/>
      <c r="N1883" s="10">
        <v>10909000</v>
      </c>
      <c r="O1883" s="9"/>
      <c r="P1883" s="10"/>
      <c r="Q1883" s="10"/>
      <c r="R1883" s="10"/>
      <c r="S1883" s="7" t="s">
        <v>43</v>
      </c>
      <c r="T1883" s="7"/>
      <c r="U1883" s="7"/>
      <c r="V1883" s="7"/>
      <c r="W1883" s="7"/>
      <c r="X1883" s="7"/>
      <c r="Y1883" s="7" t="s">
        <v>4648</v>
      </c>
      <c r="Z1883" s="7" t="s">
        <v>1803</v>
      </c>
      <c r="AA1883" s="7"/>
      <c r="AB1883" s="7"/>
      <c r="AC1883" s="7" t="s">
        <v>4534</v>
      </c>
      <c r="AD1883" s="7"/>
      <c r="AE1883" s="7"/>
      <c r="AF1883" s="7" t="s">
        <v>113</v>
      </c>
      <c r="AG1883" s="7" t="s">
        <v>4491</v>
      </c>
      <c r="AH1883" s="7" t="s">
        <v>4535</v>
      </c>
    </row>
    <row r="1884" spans="1:34" ht="9.75" customHeight="1" x14ac:dyDescent="0.2">
      <c r="A1884" s="7" t="s">
        <v>4371</v>
      </c>
      <c r="B1884" s="7" t="s">
        <v>4372</v>
      </c>
      <c r="C1884" s="7"/>
      <c r="D1884" s="7" t="s">
        <v>4649</v>
      </c>
      <c r="E1884" s="8">
        <v>6</v>
      </c>
      <c r="F1884" s="7"/>
      <c r="G1884" s="7"/>
      <c r="H1884" s="9"/>
      <c r="I1884" s="10">
        <v>1378000</v>
      </c>
      <c r="J1884" s="10">
        <v>503000</v>
      </c>
      <c r="K1884" s="9"/>
      <c r="L1884" s="10">
        <v>-1911000</v>
      </c>
      <c r="M1884" s="9"/>
      <c r="N1884" s="10">
        <v>-1911000</v>
      </c>
      <c r="O1884" s="9"/>
      <c r="P1884" s="10"/>
      <c r="Q1884" s="10"/>
      <c r="R1884" s="10"/>
      <c r="S1884" s="7" t="s">
        <v>219</v>
      </c>
      <c r="T1884" s="7"/>
      <c r="U1884" s="7"/>
      <c r="V1884" s="7"/>
      <c r="W1884" s="7"/>
      <c r="X1884" s="7"/>
      <c r="Y1884" s="7" t="s">
        <v>4650</v>
      </c>
      <c r="Z1884" s="7" t="s">
        <v>1803</v>
      </c>
      <c r="AA1884" s="7"/>
      <c r="AB1884" s="7"/>
      <c r="AC1884" s="7" t="s">
        <v>4534</v>
      </c>
      <c r="AD1884" s="7"/>
      <c r="AE1884" s="7"/>
      <c r="AF1884" s="7" t="s">
        <v>113</v>
      </c>
      <c r="AG1884" s="7" t="s">
        <v>4491</v>
      </c>
      <c r="AH1884" s="7" t="s">
        <v>4535</v>
      </c>
    </row>
    <row r="1885" spans="1:34" ht="9.75" customHeight="1" x14ac:dyDescent="0.2">
      <c r="A1885" s="7" t="s">
        <v>4371</v>
      </c>
      <c r="B1885" s="7" t="s">
        <v>4372</v>
      </c>
      <c r="C1885" s="7"/>
      <c r="D1885" s="7" t="s">
        <v>4651</v>
      </c>
      <c r="E1885" s="8">
        <v>6</v>
      </c>
      <c r="F1885" s="7" t="s">
        <v>4487</v>
      </c>
      <c r="G1885" s="7" t="s">
        <v>4652</v>
      </c>
      <c r="H1885" s="9"/>
      <c r="I1885" s="9"/>
      <c r="J1885" s="9"/>
      <c r="K1885" s="9"/>
      <c r="L1885" s="10">
        <v>909000</v>
      </c>
      <c r="M1885" s="9"/>
      <c r="N1885" s="10">
        <v>909000</v>
      </c>
      <c r="O1885" s="9"/>
      <c r="P1885" s="10"/>
      <c r="Q1885" s="10"/>
      <c r="R1885" s="10"/>
      <c r="S1885" s="7" t="s">
        <v>219</v>
      </c>
      <c r="T1885" s="7"/>
      <c r="U1885" s="7" t="s">
        <v>44</v>
      </c>
      <c r="V1885" s="7" t="s">
        <v>45</v>
      </c>
      <c r="W1885" s="7" t="s">
        <v>46</v>
      </c>
      <c r="X1885" s="7" t="s">
        <v>90</v>
      </c>
      <c r="Y1885" s="7" t="s">
        <v>4653</v>
      </c>
      <c r="Z1885" s="7" t="s">
        <v>1356</v>
      </c>
      <c r="AA1885" s="7"/>
      <c r="AB1885" s="7"/>
      <c r="AC1885" s="7" t="s">
        <v>4534</v>
      </c>
      <c r="AD1885" s="7"/>
      <c r="AE1885" s="7"/>
      <c r="AF1885" s="7" t="s">
        <v>113</v>
      </c>
      <c r="AG1885" s="7" t="s">
        <v>4491</v>
      </c>
      <c r="AH1885" s="7" t="s">
        <v>4535</v>
      </c>
    </row>
    <row r="1886" spans="1:34" ht="9.75" customHeight="1" x14ac:dyDescent="0.2">
      <c r="A1886" s="7" t="s">
        <v>4371</v>
      </c>
      <c r="B1886" s="7" t="s">
        <v>4372</v>
      </c>
      <c r="C1886" s="7"/>
      <c r="D1886" s="7" t="s">
        <v>4654</v>
      </c>
      <c r="E1886" s="8">
        <v>6</v>
      </c>
      <c r="F1886" s="7" t="s">
        <v>4487</v>
      </c>
      <c r="G1886" s="7" t="s">
        <v>4655</v>
      </c>
      <c r="H1886" s="9"/>
      <c r="I1886" s="9"/>
      <c r="J1886" s="9"/>
      <c r="K1886" s="9"/>
      <c r="L1886" s="10">
        <v>38000</v>
      </c>
      <c r="M1886" s="9"/>
      <c r="N1886" s="10">
        <v>38000</v>
      </c>
      <c r="O1886" s="9"/>
      <c r="P1886" s="10"/>
      <c r="Q1886" s="10"/>
      <c r="R1886" s="10"/>
      <c r="S1886" s="7" t="s">
        <v>219</v>
      </c>
      <c r="T1886" s="7"/>
      <c r="U1886" s="7" t="s">
        <v>44</v>
      </c>
      <c r="V1886" s="7" t="s">
        <v>45</v>
      </c>
      <c r="W1886" s="7" t="s">
        <v>46</v>
      </c>
      <c r="X1886" s="7" t="s">
        <v>90</v>
      </c>
      <c r="Y1886" s="7" t="s">
        <v>4656</v>
      </c>
      <c r="Z1886" s="7" t="s">
        <v>1380</v>
      </c>
      <c r="AA1886" s="7"/>
      <c r="AB1886" s="7"/>
      <c r="AC1886" s="7" t="s">
        <v>4534</v>
      </c>
      <c r="AD1886" s="7"/>
      <c r="AE1886" s="7"/>
      <c r="AF1886" s="7" t="s">
        <v>113</v>
      </c>
      <c r="AG1886" s="7" t="s">
        <v>4491</v>
      </c>
      <c r="AH1886" s="7" t="s">
        <v>4535</v>
      </c>
    </row>
    <row r="1887" spans="1:34" ht="9.75" customHeight="1" x14ac:dyDescent="0.2">
      <c r="A1887" s="7" t="s">
        <v>4371</v>
      </c>
      <c r="B1887" s="7" t="s">
        <v>4372</v>
      </c>
      <c r="C1887" s="7"/>
      <c r="D1887" s="7" t="s">
        <v>4657</v>
      </c>
      <c r="E1887" s="8">
        <v>6</v>
      </c>
      <c r="F1887" s="7" t="s">
        <v>4487</v>
      </c>
      <c r="G1887" s="7" t="s">
        <v>4658</v>
      </c>
      <c r="H1887" s="9"/>
      <c r="I1887" s="9"/>
      <c r="J1887" s="9"/>
      <c r="K1887" s="9"/>
      <c r="L1887" s="9"/>
      <c r="M1887" s="9"/>
      <c r="N1887" s="9"/>
      <c r="O1887" s="9"/>
      <c r="P1887" s="9"/>
      <c r="Q1887" s="9"/>
      <c r="R1887" s="9"/>
      <c r="S1887" s="7" t="s">
        <v>219</v>
      </c>
      <c r="T1887" s="7"/>
      <c r="U1887" s="7" t="s">
        <v>44</v>
      </c>
      <c r="V1887" s="7" t="s">
        <v>45</v>
      </c>
      <c r="W1887" s="7" t="s">
        <v>171</v>
      </c>
      <c r="X1887" s="7"/>
      <c r="Y1887" s="7" t="s">
        <v>4659</v>
      </c>
      <c r="Z1887" s="7" t="s">
        <v>1356</v>
      </c>
      <c r="AA1887" s="7"/>
      <c r="AB1887" s="7"/>
      <c r="AC1887" s="7" t="s">
        <v>4534</v>
      </c>
      <c r="AD1887" s="7"/>
      <c r="AE1887" s="7"/>
      <c r="AF1887" s="7" t="s">
        <v>113</v>
      </c>
      <c r="AG1887" s="7" t="s">
        <v>4491</v>
      </c>
      <c r="AH1887" s="7" t="s">
        <v>4535</v>
      </c>
    </row>
    <row r="1888" spans="1:34" ht="9.75" customHeight="1" x14ac:dyDescent="0.2">
      <c r="A1888" s="7" t="s">
        <v>4371</v>
      </c>
      <c r="B1888" s="7" t="s">
        <v>4372</v>
      </c>
      <c r="C1888" s="7"/>
      <c r="D1888" s="7" t="s">
        <v>4660</v>
      </c>
      <c r="E1888" s="8">
        <v>6</v>
      </c>
      <c r="F1888" s="7"/>
      <c r="G1888" s="7"/>
      <c r="H1888" s="9"/>
      <c r="I1888" s="9"/>
      <c r="J1888" s="9"/>
      <c r="K1888" s="9"/>
      <c r="L1888" s="9" t="s">
        <v>4661</v>
      </c>
      <c r="M1888" s="9"/>
      <c r="N1888" s="9" t="s">
        <v>4661</v>
      </c>
      <c r="O1888" s="9"/>
      <c r="P1888" s="9"/>
      <c r="Q1888" s="9"/>
      <c r="R1888" s="9"/>
      <c r="S1888" s="7" t="s">
        <v>219</v>
      </c>
      <c r="T1888" s="7"/>
      <c r="U1888" s="7"/>
      <c r="V1888" s="7"/>
      <c r="W1888" s="7"/>
      <c r="X1888" s="7"/>
      <c r="Y1888" s="7" t="s">
        <v>4662</v>
      </c>
      <c r="Z1888" s="7" t="s">
        <v>1440</v>
      </c>
      <c r="AA1888" s="7"/>
      <c r="AB1888" s="7"/>
      <c r="AC1888" s="7" t="s">
        <v>4534</v>
      </c>
      <c r="AD1888" s="7"/>
      <c r="AE1888" s="7"/>
      <c r="AF1888" s="7" t="s">
        <v>113</v>
      </c>
      <c r="AG1888" s="7" t="s">
        <v>4491</v>
      </c>
      <c r="AH1888" s="7" t="s">
        <v>4535</v>
      </c>
    </row>
    <row r="1889" spans="1:34" ht="9.75" customHeight="1" x14ac:dyDescent="0.2">
      <c r="A1889" s="7" t="s">
        <v>4371</v>
      </c>
      <c r="B1889" s="7" t="s">
        <v>4372</v>
      </c>
      <c r="C1889" s="7"/>
      <c r="D1889" s="7" t="s">
        <v>4663</v>
      </c>
      <c r="E1889" s="8">
        <v>6</v>
      </c>
      <c r="F1889" s="7"/>
      <c r="G1889" s="7"/>
      <c r="H1889" s="9"/>
      <c r="I1889" s="9"/>
      <c r="J1889" s="9"/>
      <c r="K1889" s="9"/>
      <c r="L1889" s="9" t="s">
        <v>4661</v>
      </c>
      <c r="M1889" s="9"/>
      <c r="N1889" s="9" t="s">
        <v>4661</v>
      </c>
      <c r="O1889" s="9"/>
      <c r="P1889" s="9"/>
      <c r="Q1889" s="9"/>
      <c r="R1889" s="9"/>
      <c r="S1889" s="7" t="s">
        <v>219</v>
      </c>
      <c r="T1889" s="7"/>
      <c r="U1889" s="7"/>
      <c r="V1889" s="7"/>
      <c r="W1889" s="7"/>
      <c r="X1889" s="7"/>
      <c r="Y1889" s="7" t="s">
        <v>4664</v>
      </c>
      <c r="Z1889" s="7" t="s">
        <v>1440</v>
      </c>
      <c r="AA1889" s="7"/>
      <c r="AB1889" s="7"/>
      <c r="AC1889" s="7" t="s">
        <v>4534</v>
      </c>
      <c r="AD1889" s="7"/>
      <c r="AE1889" s="7"/>
      <c r="AF1889" s="7" t="s">
        <v>113</v>
      </c>
      <c r="AG1889" s="7" t="s">
        <v>4491</v>
      </c>
      <c r="AH1889" s="7" t="s">
        <v>4535</v>
      </c>
    </row>
    <row r="1890" spans="1:34" ht="9.75" customHeight="1" x14ac:dyDescent="0.2">
      <c r="A1890" s="7" t="s">
        <v>4371</v>
      </c>
      <c r="B1890" s="7" t="s">
        <v>4372</v>
      </c>
      <c r="C1890" s="7"/>
      <c r="D1890" s="7" t="s">
        <v>4665</v>
      </c>
      <c r="E1890" s="8">
        <v>6</v>
      </c>
      <c r="F1890" s="7"/>
      <c r="G1890" s="7"/>
      <c r="H1890" s="9"/>
      <c r="I1890" s="9"/>
      <c r="J1890" s="9"/>
      <c r="K1890" s="9"/>
      <c r="L1890" s="9" t="s">
        <v>4666</v>
      </c>
      <c r="M1890" s="9"/>
      <c r="N1890" s="9" t="s">
        <v>4666</v>
      </c>
      <c r="O1890" s="9"/>
      <c r="P1890" s="9"/>
      <c r="Q1890" s="9"/>
      <c r="R1890" s="9"/>
      <c r="S1890" s="7" t="s">
        <v>219</v>
      </c>
      <c r="T1890" s="7"/>
      <c r="U1890" s="7"/>
      <c r="V1890" s="7"/>
      <c r="W1890" s="7"/>
      <c r="X1890" s="7"/>
      <c r="Y1890" s="7" t="s">
        <v>4667</v>
      </c>
      <c r="Z1890" s="7" t="s">
        <v>1440</v>
      </c>
      <c r="AA1890" s="7"/>
      <c r="AB1890" s="7"/>
      <c r="AC1890" s="7" t="s">
        <v>4534</v>
      </c>
      <c r="AD1890" s="7"/>
      <c r="AE1890" s="7"/>
      <c r="AF1890" s="7" t="s">
        <v>113</v>
      </c>
      <c r="AG1890" s="7" t="s">
        <v>4491</v>
      </c>
      <c r="AH1890" s="7" t="s">
        <v>4535</v>
      </c>
    </row>
    <row r="1891" spans="1:34" ht="9.75" customHeight="1" x14ac:dyDescent="0.2">
      <c r="A1891" s="7" t="s">
        <v>4371</v>
      </c>
      <c r="B1891" s="7" t="s">
        <v>4372</v>
      </c>
      <c r="C1891" s="7"/>
      <c r="D1891" s="7" t="s">
        <v>4668</v>
      </c>
      <c r="E1891" s="8">
        <v>1</v>
      </c>
      <c r="F1891" s="7" t="s">
        <v>4669</v>
      </c>
      <c r="G1891" s="7"/>
      <c r="H1891" s="9"/>
      <c r="I1891" s="10">
        <v>10510</v>
      </c>
      <c r="J1891" s="10">
        <v>14200</v>
      </c>
      <c r="K1891" s="9"/>
      <c r="L1891" s="10">
        <v>8930</v>
      </c>
      <c r="M1891" s="9"/>
      <c r="N1891" s="10">
        <v>8930</v>
      </c>
      <c r="O1891" s="9"/>
      <c r="P1891" s="10"/>
      <c r="Q1891" s="10"/>
      <c r="R1891" s="10"/>
      <c r="S1891" s="7"/>
      <c r="T1891" s="7"/>
      <c r="U1891" s="7"/>
      <c r="V1891" s="7"/>
      <c r="W1891" s="7"/>
      <c r="X1891" s="7"/>
      <c r="Y1891" s="7" t="s">
        <v>4670</v>
      </c>
      <c r="Z1891" s="7" t="s">
        <v>4671</v>
      </c>
      <c r="AA1891" s="7"/>
      <c r="AB1891" s="7"/>
      <c r="AC1891" s="7" t="s">
        <v>4672</v>
      </c>
      <c r="AD1891" s="7"/>
      <c r="AE1891" s="7"/>
      <c r="AF1891" s="7" t="s">
        <v>113</v>
      </c>
      <c r="AG1891" s="7" t="s">
        <v>4521</v>
      </c>
      <c r="AH1891" s="7" t="s">
        <v>4673</v>
      </c>
    </row>
    <row r="1892" spans="1:34" ht="9.75" customHeight="1" x14ac:dyDescent="0.2">
      <c r="A1892" s="7" t="s">
        <v>4371</v>
      </c>
      <c r="B1892" s="7" t="s">
        <v>4372</v>
      </c>
      <c r="C1892" s="7"/>
      <c r="D1892" s="7" t="s">
        <v>4674</v>
      </c>
      <c r="E1892" s="8">
        <v>6</v>
      </c>
      <c r="F1892" s="7"/>
      <c r="G1892" s="7" t="s">
        <v>4675</v>
      </c>
      <c r="H1892" s="9"/>
      <c r="I1892" s="10">
        <v>2692380</v>
      </c>
      <c r="J1892" s="10">
        <v>2703030</v>
      </c>
      <c r="K1892" s="9"/>
      <c r="L1892" s="10">
        <v>2881340</v>
      </c>
      <c r="M1892" s="9"/>
      <c r="N1892" s="10">
        <v>2881340</v>
      </c>
      <c r="O1892" s="9"/>
      <c r="P1892" s="10"/>
      <c r="Q1892" s="10"/>
      <c r="R1892" s="10"/>
      <c r="S1892" s="7" t="s">
        <v>43</v>
      </c>
      <c r="T1892" s="7"/>
      <c r="U1892" s="7"/>
      <c r="V1892" s="7"/>
      <c r="W1892" s="7"/>
      <c r="X1892" s="7"/>
      <c r="Y1892" s="7" t="s">
        <v>4676</v>
      </c>
      <c r="Z1892" s="7" t="s">
        <v>4671</v>
      </c>
      <c r="AA1892" s="7"/>
      <c r="AB1892" s="7"/>
      <c r="AC1892" s="7" t="s">
        <v>4672</v>
      </c>
      <c r="AD1892" s="7"/>
      <c r="AE1892" s="7"/>
      <c r="AF1892" s="7" t="s">
        <v>113</v>
      </c>
      <c r="AG1892" s="7" t="s">
        <v>4521</v>
      </c>
      <c r="AH1892" s="7" t="s">
        <v>4673</v>
      </c>
    </row>
    <row r="1893" spans="1:34" ht="9.75" customHeight="1" x14ac:dyDescent="0.2">
      <c r="A1893" s="7" t="s">
        <v>4371</v>
      </c>
      <c r="B1893" s="7" t="s">
        <v>4372</v>
      </c>
      <c r="C1893" s="7"/>
      <c r="D1893" s="7" t="s">
        <v>4677</v>
      </c>
      <c r="E1893" s="8">
        <v>6</v>
      </c>
      <c r="F1893" s="7"/>
      <c r="G1893" s="7"/>
      <c r="H1893" s="9"/>
      <c r="I1893" s="10">
        <v>2847640</v>
      </c>
      <c r="J1893" s="10">
        <v>2925450</v>
      </c>
      <c r="K1893" s="9"/>
      <c r="L1893" s="10">
        <v>2937090</v>
      </c>
      <c r="M1893" s="9"/>
      <c r="N1893" s="10">
        <v>2937090</v>
      </c>
      <c r="O1893" s="9"/>
      <c r="P1893" s="10"/>
      <c r="Q1893" s="10"/>
      <c r="R1893" s="10"/>
      <c r="S1893" s="7" t="s">
        <v>407</v>
      </c>
      <c r="T1893" s="7" t="s">
        <v>4674</v>
      </c>
      <c r="U1893" s="7"/>
      <c r="V1893" s="7"/>
      <c r="W1893" s="7"/>
      <c r="X1893" s="7"/>
      <c r="Y1893" s="7" t="s">
        <v>4678</v>
      </c>
      <c r="Z1893" s="7" t="s">
        <v>4679</v>
      </c>
      <c r="AA1893" s="7"/>
      <c r="AB1893" s="7"/>
      <c r="AC1893" s="7" t="s">
        <v>4672</v>
      </c>
      <c r="AD1893" s="7"/>
      <c r="AE1893" s="7"/>
      <c r="AF1893" s="7" t="s">
        <v>113</v>
      </c>
      <c r="AG1893" s="7" t="s">
        <v>4521</v>
      </c>
      <c r="AH1893" s="7" t="s">
        <v>4673</v>
      </c>
    </row>
    <row r="1894" spans="1:34" ht="9.75" customHeight="1" x14ac:dyDescent="0.2">
      <c r="A1894" s="7" t="s">
        <v>4371</v>
      </c>
      <c r="B1894" s="7" t="s">
        <v>4372</v>
      </c>
      <c r="C1894" s="7"/>
      <c r="D1894" s="7" t="s">
        <v>4680</v>
      </c>
      <c r="E1894" s="8">
        <v>6</v>
      </c>
      <c r="F1894" s="7"/>
      <c r="G1894" s="7"/>
      <c r="H1894" s="9"/>
      <c r="I1894" s="10">
        <v>2944000</v>
      </c>
      <c r="J1894" s="10">
        <v>2955200</v>
      </c>
      <c r="K1894" s="9"/>
      <c r="L1894" s="10">
        <v>2900760</v>
      </c>
      <c r="M1894" s="9"/>
      <c r="N1894" s="10">
        <v>2900760</v>
      </c>
      <c r="O1894" s="9"/>
      <c r="P1894" s="10"/>
      <c r="Q1894" s="10"/>
      <c r="R1894" s="10"/>
      <c r="S1894" s="7" t="s">
        <v>407</v>
      </c>
      <c r="T1894" s="7" t="s">
        <v>4674</v>
      </c>
      <c r="U1894" s="7"/>
      <c r="V1894" s="7"/>
      <c r="W1894" s="7"/>
      <c r="X1894" s="7"/>
      <c r="Y1894" s="7" t="s">
        <v>4681</v>
      </c>
      <c r="Z1894" s="7" t="s">
        <v>4679</v>
      </c>
      <c r="AA1894" s="7"/>
      <c r="AB1894" s="7"/>
      <c r="AC1894" s="7" t="s">
        <v>4672</v>
      </c>
      <c r="AD1894" s="7" t="s">
        <v>4682</v>
      </c>
      <c r="AE1894" s="7" t="s">
        <v>4682</v>
      </c>
      <c r="AF1894" s="7" t="s">
        <v>113</v>
      </c>
      <c r="AG1894" s="7" t="s">
        <v>4521</v>
      </c>
      <c r="AH1894" s="7" t="s">
        <v>4673</v>
      </c>
    </row>
    <row r="1895" spans="1:34" ht="9.75" customHeight="1" x14ac:dyDescent="0.2">
      <c r="A1895" s="7" t="s">
        <v>4371</v>
      </c>
      <c r="B1895" s="7" t="s">
        <v>4372</v>
      </c>
      <c r="C1895" s="7"/>
      <c r="D1895" s="7" t="s">
        <v>4683</v>
      </c>
      <c r="E1895" s="8">
        <v>6</v>
      </c>
      <c r="F1895" s="7"/>
      <c r="G1895" s="7"/>
      <c r="H1895" s="9"/>
      <c r="I1895" s="10">
        <v>1494370</v>
      </c>
      <c r="J1895" s="10">
        <v>1475320</v>
      </c>
      <c r="K1895" s="9"/>
      <c r="L1895" s="10">
        <v>1559550</v>
      </c>
      <c r="M1895" s="9"/>
      <c r="N1895" s="10">
        <v>1559550</v>
      </c>
      <c r="O1895" s="9"/>
      <c r="P1895" s="10"/>
      <c r="Q1895" s="10"/>
      <c r="R1895" s="10"/>
      <c r="S1895" s="7" t="s">
        <v>54</v>
      </c>
      <c r="T1895" s="7" t="s">
        <v>4674</v>
      </c>
      <c r="U1895" s="7"/>
      <c r="V1895" s="7"/>
      <c r="W1895" s="7"/>
      <c r="X1895" s="7"/>
      <c r="Y1895" s="7" t="s">
        <v>4684</v>
      </c>
      <c r="Z1895" s="7" t="s">
        <v>4671</v>
      </c>
      <c r="AA1895" s="7"/>
      <c r="AB1895" s="7"/>
      <c r="AC1895" s="7" t="s">
        <v>4672</v>
      </c>
      <c r="AD1895" s="7" t="s">
        <v>4416</v>
      </c>
      <c r="AE1895" s="7" t="s">
        <v>4416</v>
      </c>
      <c r="AF1895" s="7" t="s">
        <v>113</v>
      </c>
      <c r="AG1895" s="7" t="s">
        <v>4521</v>
      </c>
      <c r="AH1895" s="7" t="s">
        <v>4673</v>
      </c>
    </row>
    <row r="1896" spans="1:34" ht="9.75" customHeight="1" x14ac:dyDescent="0.2">
      <c r="A1896" s="7" t="s">
        <v>4371</v>
      </c>
      <c r="B1896" s="7" t="s">
        <v>4372</v>
      </c>
      <c r="C1896" s="7"/>
      <c r="D1896" s="7" t="s">
        <v>4685</v>
      </c>
      <c r="E1896" s="8">
        <v>6</v>
      </c>
      <c r="F1896" s="7"/>
      <c r="G1896" s="7"/>
      <c r="H1896" s="9"/>
      <c r="I1896" s="10">
        <v>298330</v>
      </c>
      <c r="J1896" s="10">
        <v>283610</v>
      </c>
      <c r="K1896" s="9"/>
      <c r="L1896" s="10">
        <v>312980</v>
      </c>
      <c r="M1896" s="9"/>
      <c r="N1896" s="10">
        <v>312980</v>
      </c>
      <c r="O1896" s="9"/>
      <c r="P1896" s="10"/>
      <c r="Q1896" s="10"/>
      <c r="R1896" s="10"/>
      <c r="S1896" s="7" t="s">
        <v>54</v>
      </c>
      <c r="T1896" s="7" t="s">
        <v>4674</v>
      </c>
      <c r="U1896" s="7"/>
      <c r="V1896" s="7"/>
      <c r="W1896" s="7"/>
      <c r="X1896" s="7"/>
      <c r="Y1896" s="7" t="s">
        <v>4686</v>
      </c>
      <c r="Z1896" s="7" t="s">
        <v>4671</v>
      </c>
      <c r="AA1896" s="7"/>
      <c r="AB1896" s="7"/>
      <c r="AC1896" s="7" t="s">
        <v>4672</v>
      </c>
      <c r="AD1896" s="7" t="s">
        <v>4624</v>
      </c>
      <c r="AE1896" s="7" t="s">
        <v>4624</v>
      </c>
      <c r="AF1896" s="7" t="s">
        <v>113</v>
      </c>
      <c r="AG1896" s="7" t="s">
        <v>4521</v>
      </c>
      <c r="AH1896" s="7" t="s">
        <v>4673</v>
      </c>
    </row>
    <row r="1897" spans="1:34" ht="9.75" customHeight="1" x14ac:dyDescent="0.2">
      <c r="A1897" s="7" t="s">
        <v>4371</v>
      </c>
      <c r="B1897" s="7" t="s">
        <v>4372</v>
      </c>
      <c r="C1897" s="7"/>
      <c r="D1897" s="7" t="s">
        <v>4687</v>
      </c>
      <c r="E1897" s="8">
        <v>6</v>
      </c>
      <c r="F1897" s="7"/>
      <c r="G1897" s="7"/>
      <c r="H1897" s="9"/>
      <c r="I1897" s="10">
        <v>41540</v>
      </c>
      <c r="J1897" s="10">
        <v>27260</v>
      </c>
      <c r="K1897" s="9"/>
      <c r="L1897" s="10">
        <v>33340</v>
      </c>
      <c r="M1897" s="9"/>
      <c r="N1897" s="10">
        <v>33340</v>
      </c>
      <c r="O1897" s="9"/>
      <c r="P1897" s="10"/>
      <c r="Q1897" s="10"/>
      <c r="R1897" s="10"/>
      <c r="S1897" s="7" t="s">
        <v>54</v>
      </c>
      <c r="T1897" s="7" t="s">
        <v>4674</v>
      </c>
      <c r="U1897" s="7"/>
      <c r="V1897" s="7"/>
      <c r="W1897" s="7"/>
      <c r="X1897" s="7"/>
      <c r="Y1897" s="7" t="s">
        <v>4688</v>
      </c>
      <c r="Z1897" s="7" t="s">
        <v>4671</v>
      </c>
      <c r="AA1897" s="7"/>
      <c r="AB1897" s="7"/>
      <c r="AC1897" s="7" t="s">
        <v>4672</v>
      </c>
      <c r="AD1897" s="7" t="s">
        <v>4428</v>
      </c>
      <c r="AE1897" s="7" t="s">
        <v>4428</v>
      </c>
      <c r="AF1897" s="7" t="s">
        <v>113</v>
      </c>
      <c r="AG1897" s="7" t="s">
        <v>4521</v>
      </c>
      <c r="AH1897" s="7" t="s">
        <v>4673</v>
      </c>
    </row>
    <row r="1898" spans="1:34" ht="9.75" customHeight="1" x14ac:dyDescent="0.2">
      <c r="A1898" s="7" t="s">
        <v>4371</v>
      </c>
      <c r="B1898" s="7" t="s">
        <v>4372</v>
      </c>
      <c r="C1898" s="7"/>
      <c r="D1898" s="7" t="s">
        <v>4689</v>
      </c>
      <c r="E1898" s="8">
        <v>6</v>
      </c>
      <c r="F1898" s="7"/>
      <c r="G1898" s="7"/>
      <c r="H1898" s="9"/>
      <c r="I1898" s="10">
        <v>61910</v>
      </c>
      <c r="J1898" s="10">
        <v>46400</v>
      </c>
      <c r="K1898" s="9"/>
      <c r="L1898" s="10">
        <v>48200</v>
      </c>
      <c r="M1898" s="9"/>
      <c r="N1898" s="10">
        <v>48200</v>
      </c>
      <c r="O1898" s="9"/>
      <c r="P1898" s="10"/>
      <c r="Q1898" s="10"/>
      <c r="R1898" s="10"/>
      <c r="S1898" s="7" t="s">
        <v>54</v>
      </c>
      <c r="T1898" s="7" t="s">
        <v>4674</v>
      </c>
      <c r="U1898" s="7"/>
      <c r="V1898" s="7"/>
      <c r="W1898" s="7"/>
      <c r="X1898" s="7"/>
      <c r="Y1898" s="7" t="s">
        <v>4690</v>
      </c>
      <c r="Z1898" s="7" t="s">
        <v>4671</v>
      </c>
      <c r="AA1898" s="7"/>
      <c r="AB1898" s="7"/>
      <c r="AC1898" s="7" t="s">
        <v>4672</v>
      </c>
      <c r="AD1898" s="7" t="s">
        <v>4629</v>
      </c>
      <c r="AE1898" s="7" t="s">
        <v>4629</v>
      </c>
      <c r="AF1898" s="7" t="s">
        <v>113</v>
      </c>
      <c r="AG1898" s="7" t="s">
        <v>4521</v>
      </c>
      <c r="AH1898" s="7" t="s">
        <v>4673</v>
      </c>
    </row>
    <row r="1899" spans="1:34" ht="9.75" customHeight="1" x14ac:dyDescent="0.2">
      <c r="A1899" s="7" t="s">
        <v>4371</v>
      </c>
      <c r="B1899" s="7" t="s">
        <v>4372</v>
      </c>
      <c r="C1899" s="7"/>
      <c r="D1899" s="7" t="s">
        <v>4691</v>
      </c>
      <c r="E1899" s="8">
        <v>6</v>
      </c>
      <c r="F1899" s="7"/>
      <c r="G1899" s="7"/>
      <c r="H1899" s="9"/>
      <c r="I1899" s="10">
        <v>467740</v>
      </c>
      <c r="J1899" s="10">
        <v>520710</v>
      </c>
      <c r="K1899" s="9"/>
      <c r="L1899" s="10">
        <v>535310</v>
      </c>
      <c r="M1899" s="9"/>
      <c r="N1899" s="10">
        <v>535310</v>
      </c>
      <c r="O1899" s="9"/>
      <c r="P1899" s="10"/>
      <c r="Q1899" s="10"/>
      <c r="R1899" s="10"/>
      <c r="S1899" s="7" t="s">
        <v>54</v>
      </c>
      <c r="T1899" s="7" t="s">
        <v>4674</v>
      </c>
      <c r="U1899" s="7"/>
      <c r="V1899" s="7"/>
      <c r="W1899" s="7"/>
      <c r="X1899" s="7"/>
      <c r="Y1899" s="7" t="s">
        <v>4692</v>
      </c>
      <c r="Z1899" s="7" t="s">
        <v>4671</v>
      </c>
      <c r="AA1899" s="7"/>
      <c r="AB1899" s="7"/>
      <c r="AC1899" s="7" t="s">
        <v>4672</v>
      </c>
      <c r="AD1899" s="7" t="s">
        <v>4693</v>
      </c>
      <c r="AE1899" s="7" t="s">
        <v>4693</v>
      </c>
      <c r="AF1899" s="7" t="s">
        <v>113</v>
      </c>
      <c r="AG1899" s="7" t="s">
        <v>4521</v>
      </c>
      <c r="AH1899" s="7" t="s">
        <v>4673</v>
      </c>
    </row>
    <row r="1900" spans="1:34" ht="9.75" customHeight="1" x14ac:dyDescent="0.2">
      <c r="A1900" s="7" t="s">
        <v>4371</v>
      </c>
      <c r="B1900" s="7" t="s">
        <v>4372</v>
      </c>
      <c r="C1900" s="7"/>
      <c r="D1900" s="7" t="s">
        <v>4694</v>
      </c>
      <c r="E1900" s="8">
        <v>1</v>
      </c>
      <c r="F1900" s="7" t="s">
        <v>4669</v>
      </c>
      <c r="G1900" s="7"/>
      <c r="H1900" s="9"/>
      <c r="I1900" s="10">
        <v>934800</v>
      </c>
      <c r="J1900" s="10">
        <v>663100</v>
      </c>
      <c r="K1900" s="9"/>
      <c r="L1900" s="10">
        <v>1007700</v>
      </c>
      <c r="M1900" s="9"/>
      <c r="N1900" s="10">
        <v>1007700</v>
      </c>
      <c r="O1900" s="9"/>
      <c r="P1900" s="10"/>
      <c r="Q1900" s="10"/>
      <c r="R1900" s="10"/>
      <c r="S1900" s="7"/>
      <c r="T1900" s="7"/>
      <c r="U1900" s="7"/>
      <c r="V1900" s="7"/>
      <c r="W1900" s="7"/>
      <c r="X1900" s="7"/>
      <c r="Y1900" s="7" t="s">
        <v>4695</v>
      </c>
      <c r="Z1900" s="7" t="s">
        <v>2588</v>
      </c>
      <c r="AA1900" s="7"/>
      <c r="AB1900" s="7"/>
      <c r="AC1900" s="7" t="s">
        <v>4696</v>
      </c>
      <c r="AD1900" s="7"/>
      <c r="AE1900" s="7"/>
      <c r="AF1900" s="7" t="s">
        <v>113</v>
      </c>
      <c r="AG1900" s="7" t="s">
        <v>366</v>
      </c>
      <c r="AH1900" s="7" t="s">
        <v>4697</v>
      </c>
    </row>
    <row r="1901" spans="1:34" ht="9.75" customHeight="1" x14ac:dyDescent="0.2">
      <c r="A1901" s="7" t="s">
        <v>4371</v>
      </c>
      <c r="B1901" s="7" t="s">
        <v>4372</v>
      </c>
      <c r="C1901" s="7"/>
      <c r="D1901" s="7" t="s">
        <v>4698</v>
      </c>
      <c r="E1901" s="8">
        <v>1</v>
      </c>
      <c r="F1901" s="7" t="s">
        <v>4669</v>
      </c>
      <c r="G1901" s="7"/>
      <c r="H1901" s="9"/>
      <c r="I1901" s="10">
        <v>175900</v>
      </c>
      <c r="J1901" s="10">
        <v>622200</v>
      </c>
      <c r="K1901" s="9"/>
      <c r="L1901" s="10">
        <v>193600</v>
      </c>
      <c r="M1901" s="9"/>
      <c r="N1901" s="10">
        <v>193600</v>
      </c>
      <c r="O1901" s="9"/>
      <c r="P1901" s="10"/>
      <c r="Q1901" s="10"/>
      <c r="R1901" s="10"/>
      <c r="S1901" s="7"/>
      <c r="T1901" s="7"/>
      <c r="U1901" s="7" t="s">
        <v>44</v>
      </c>
      <c r="V1901" s="7" t="s">
        <v>45</v>
      </c>
      <c r="W1901" s="7" t="s">
        <v>46</v>
      </c>
      <c r="X1901" s="7" t="s">
        <v>47</v>
      </c>
      <c r="Y1901" s="7" t="s">
        <v>4699</v>
      </c>
      <c r="Z1901" s="7" t="s">
        <v>2588</v>
      </c>
      <c r="AA1901" s="7"/>
      <c r="AB1901" s="7"/>
      <c r="AC1901" s="7" t="s">
        <v>4696</v>
      </c>
      <c r="AD1901" s="7"/>
      <c r="AE1901" s="7"/>
      <c r="AF1901" s="7" t="s">
        <v>113</v>
      </c>
      <c r="AG1901" s="7" t="s">
        <v>366</v>
      </c>
      <c r="AH1901" s="7" t="s">
        <v>4697</v>
      </c>
    </row>
    <row r="1902" spans="1:34" ht="9.75" customHeight="1" x14ac:dyDescent="0.2">
      <c r="A1902" s="7" t="s">
        <v>4371</v>
      </c>
      <c r="B1902" s="7" t="s">
        <v>4372</v>
      </c>
      <c r="C1902" s="7"/>
      <c r="D1902" s="7" t="s">
        <v>4700</v>
      </c>
      <c r="E1902" s="8">
        <v>6</v>
      </c>
      <c r="F1902" s="7"/>
      <c r="G1902" s="7"/>
      <c r="H1902" s="9"/>
      <c r="I1902" s="10">
        <v>4487900</v>
      </c>
      <c r="J1902" s="10">
        <v>4567700</v>
      </c>
      <c r="K1902" s="9"/>
      <c r="L1902" s="10">
        <v>4313400</v>
      </c>
      <c r="M1902" s="9"/>
      <c r="N1902" s="10">
        <v>4313400</v>
      </c>
      <c r="O1902" s="9"/>
      <c r="P1902" s="10"/>
      <c r="Q1902" s="10"/>
      <c r="R1902" s="10"/>
      <c r="S1902" s="7" t="s">
        <v>54</v>
      </c>
      <c r="T1902" s="7" t="s">
        <v>4701</v>
      </c>
      <c r="U1902" s="7"/>
      <c r="V1902" s="7"/>
      <c r="W1902" s="7"/>
      <c r="X1902" s="7"/>
      <c r="Y1902" s="7" t="s">
        <v>4702</v>
      </c>
      <c r="Z1902" s="7" t="s">
        <v>2588</v>
      </c>
      <c r="AA1902" s="7"/>
      <c r="AB1902" s="7"/>
      <c r="AC1902" s="7" t="s">
        <v>4696</v>
      </c>
      <c r="AD1902" s="7" t="s">
        <v>4416</v>
      </c>
      <c r="AE1902" s="7" t="s">
        <v>4416</v>
      </c>
      <c r="AF1902" s="7" t="s">
        <v>113</v>
      </c>
      <c r="AG1902" s="7" t="s">
        <v>366</v>
      </c>
      <c r="AH1902" s="7" t="s">
        <v>4697</v>
      </c>
    </row>
    <row r="1903" spans="1:34" ht="9.75" customHeight="1" x14ac:dyDescent="0.2">
      <c r="A1903" s="7" t="s">
        <v>4371</v>
      </c>
      <c r="B1903" s="7" t="s">
        <v>4372</v>
      </c>
      <c r="C1903" s="7"/>
      <c r="D1903" s="7" t="s">
        <v>4703</v>
      </c>
      <c r="E1903" s="8">
        <v>4</v>
      </c>
      <c r="F1903" s="7"/>
      <c r="G1903" s="7"/>
      <c r="H1903" s="9"/>
      <c r="I1903" s="10">
        <v>2183900</v>
      </c>
      <c r="J1903" s="10">
        <v>1851900</v>
      </c>
      <c r="K1903" s="9"/>
      <c r="L1903" s="10">
        <v>2201300</v>
      </c>
      <c r="M1903" s="9"/>
      <c r="N1903" s="10">
        <v>2201300</v>
      </c>
      <c r="O1903" s="9"/>
      <c r="P1903" s="10"/>
      <c r="Q1903" s="10"/>
      <c r="R1903" s="10"/>
      <c r="S1903" s="7" t="s">
        <v>54</v>
      </c>
      <c r="T1903" s="7" t="s">
        <v>4701</v>
      </c>
      <c r="U1903" s="7"/>
      <c r="V1903" s="7"/>
      <c r="W1903" s="7"/>
      <c r="X1903" s="7"/>
      <c r="Y1903" s="7" t="s">
        <v>4704</v>
      </c>
      <c r="Z1903" s="7" t="s">
        <v>2588</v>
      </c>
      <c r="AA1903" s="7"/>
      <c r="AB1903" s="7"/>
      <c r="AC1903" s="7" t="s">
        <v>4696</v>
      </c>
      <c r="AD1903" s="7" t="s">
        <v>4425</v>
      </c>
      <c r="AE1903" s="7" t="s">
        <v>4425</v>
      </c>
      <c r="AF1903" s="7" t="s">
        <v>113</v>
      </c>
      <c r="AG1903" s="7" t="s">
        <v>366</v>
      </c>
      <c r="AH1903" s="7" t="s">
        <v>4697</v>
      </c>
    </row>
    <row r="1904" spans="1:34" ht="9.75" customHeight="1" x14ac:dyDescent="0.2">
      <c r="A1904" s="7" t="s">
        <v>4371</v>
      </c>
      <c r="B1904" s="7" t="s">
        <v>4372</v>
      </c>
      <c r="C1904" s="7"/>
      <c r="D1904" s="7" t="s">
        <v>4705</v>
      </c>
      <c r="E1904" s="8">
        <v>4</v>
      </c>
      <c r="F1904" s="7"/>
      <c r="G1904" s="7"/>
      <c r="H1904" s="9"/>
      <c r="I1904" s="10">
        <v>452100</v>
      </c>
      <c r="J1904" s="10">
        <v>426300</v>
      </c>
      <c r="K1904" s="9"/>
      <c r="L1904" s="10">
        <v>511100</v>
      </c>
      <c r="M1904" s="9"/>
      <c r="N1904" s="10">
        <v>511100</v>
      </c>
      <c r="O1904" s="9"/>
      <c r="P1904" s="10"/>
      <c r="Q1904" s="10"/>
      <c r="R1904" s="10"/>
      <c r="S1904" s="7" t="s">
        <v>54</v>
      </c>
      <c r="T1904" s="7" t="s">
        <v>4701</v>
      </c>
      <c r="U1904" s="7"/>
      <c r="V1904" s="7"/>
      <c r="W1904" s="7"/>
      <c r="X1904" s="7"/>
      <c r="Y1904" s="7" t="s">
        <v>4706</v>
      </c>
      <c r="Z1904" s="7" t="s">
        <v>2588</v>
      </c>
      <c r="AA1904" s="7"/>
      <c r="AB1904" s="7"/>
      <c r="AC1904" s="7" t="s">
        <v>4696</v>
      </c>
      <c r="AD1904" s="7" t="s">
        <v>4707</v>
      </c>
      <c r="AE1904" s="7" t="s">
        <v>4707</v>
      </c>
      <c r="AF1904" s="7" t="s">
        <v>113</v>
      </c>
      <c r="AG1904" s="7" t="s">
        <v>366</v>
      </c>
      <c r="AH1904" s="7" t="s">
        <v>4697</v>
      </c>
    </row>
    <row r="1905" spans="1:34" ht="9.75" customHeight="1" x14ac:dyDescent="0.2">
      <c r="A1905" s="7" t="s">
        <v>4371</v>
      </c>
      <c r="B1905" s="7" t="s">
        <v>4372</v>
      </c>
      <c r="C1905" s="7"/>
      <c r="D1905" s="7" t="s">
        <v>4708</v>
      </c>
      <c r="E1905" s="8">
        <v>6</v>
      </c>
      <c r="F1905" s="7"/>
      <c r="G1905" s="7"/>
      <c r="H1905" s="9"/>
      <c r="I1905" s="10">
        <v>5315700</v>
      </c>
      <c r="J1905" s="10">
        <v>4125700</v>
      </c>
      <c r="K1905" s="9"/>
      <c r="L1905" s="10">
        <v>5118700</v>
      </c>
      <c r="M1905" s="9"/>
      <c r="N1905" s="10">
        <v>5118700</v>
      </c>
      <c r="O1905" s="9"/>
      <c r="P1905" s="10"/>
      <c r="Q1905" s="10"/>
      <c r="R1905" s="10"/>
      <c r="S1905" s="7" t="s">
        <v>54</v>
      </c>
      <c r="T1905" s="7" t="s">
        <v>4701</v>
      </c>
      <c r="U1905" s="7"/>
      <c r="V1905" s="7"/>
      <c r="W1905" s="7"/>
      <c r="X1905" s="7"/>
      <c r="Y1905" s="7" t="s">
        <v>4709</v>
      </c>
      <c r="Z1905" s="7" t="s">
        <v>2588</v>
      </c>
      <c r="AA1905" s="7"/>
      <c r="AB1905" s="7"/>
      <c r="AC1905" s="7" t="s">
        <v>4696</v>
      </c>
      <c r="AD1905" s="7" t="s">
        <v>4428</v>
      </c>
      <c r="AE1905" s="7" t="s">
        <v>4428</v>
      </c>
      <c r="AF1905" s="7" t="s">
        <v>113</v>
      </c>
      <c r="AG1905" s="7" t="s">
        <v>366</v>
      </c>
      <c r="AH1905" s="7" t="s">
        <v>4697</v>
      </c>
    </row>
    <row r="1906" spans="1:34" ht="9.75" customHeight="1" x14ac:dyDescent="0.2">
      <c r="A1906" s="7" t="s">
        <v>4371</v>
      </c>
      <c r="B1906" s="7" t="s">
        <v>4372</v>
      </c>
      <c r="C1906" s="7"/>
      <c r="D1906" s="7" t="s">
        <v>4710</v>
      </c>
      <c r="E1906" s="8">
        <v>1</v>
      </c>
      <c r="F1906" s="7" t="s">
        <v>4669</v>
      </c>
      <c r="G1906" s="7"/>
      <c r="H1906" s="9"/>
      <c r="I1906" s="10">
        <v>100</v>
      </c>
      <c r="J1906" s="10">
        <v>2400</v>
      </c>
      <c r="K1906" s="9"/>
      <c r="L1906" s="10">
        <v>300</v>
      </c>
      <c r="M1906" s="9"/>
      <c r="N1906" s="10">
        <v>300</v>
      </c>
      <c r="O1906" s="9"/>
      <c r="P1906" s="10"/>
      <c r="Q1906" s="10"/>
      <c r="R1906" s="10"/>
      <c r="S1906" s="7" t="s">
        <v>54</v>
      </c>
      <c r="T1906" s="7" t="s">
        <v>4701</v>
      </c>
      <c r="U1906" s="7"/>
      <c r="V1906" s="7"/>
      <c r="W1906" s="7"/>
      <c r="X1906" s="7"/>
      <c r="Y1906" s="7" t="s">
        <v>4711</v>
      </c>
      <c r="Z1906" s="7" t="s">
        <v>2588</v>
      </c>
      <c r="AA1906" s="7"/>
      <c r="AB1906" s="7"/>
      <c r="AC1906" s="7" t="s">
        <v>4696</v>
      </c>
      <c r="AD1906" s="7" t="s">
        <v>4431</v>
      </c>
      <c r="AE1906" s="7" t="s">
        <v>4431</v>
      </c>
      <c r="AF1906" s="7" t="s">
        <v>113</v>
      </c>
      <c r="AG1906" s="7" t="s">
        <v>366</v>
      </c>
      <c r="AH1906" s="7" t="s">
        <v>4697</v>
      </c>
    </row>
    <row r="1907" spans="1:34" ht="9.75" customHeight="1" x14ac:dyDescent="0.2">
      <c r="A1907" s="7" t="s">
        <v>4371</v>
      </c>
      <c r="B1907" s="7" t="s">
        <v>4372</v>
      </c>
      <c r="C1907" s="7"/>
      <c r="D1907" s="7" t="s">
        <v>4712</v>
      </c>
      <c r="E1907" s="8">
        <v>6</v>
      </c>
      <c r="F1907" s="7"/>
      <c r="G1907" s="7"/>
      <c r="H1907" s="9"/>
      <c r="I1907" s="10">
        <v>900000</v>
      </c>
      <c r="J1907" s="10">
        <v>532200</v>
      </c>
      <c r="K1907" s="9"/>
      <c r="L1907" s="10">
        <v>736800</v>
      </c>
      <c r="M1907" s="9"/>
      <c r="N1907" s="10">
        <v>736800</v>
      </c>
      <c r="O1907" s="9"/>
      <c r="P1907" s="10"/>
      <c r="Q1907" s="10"/>
      <c r="R1907" s="10"/>
      <c r="S1907" s="7" t="s">
        <v>54</v>
      </c>
      <c r="T1907" s="7" t="s">
        <v>4701</v>
      </c>
      <c r="U1907" s="7"/>
      <c r="V1907" s="7"/>
      <c r="W1907" s="7"/>
      <c r="X1907" s="7"/>
      <c r="Y1907" s="7" t="s">
        <v>4713</v>
      </c>
      <c r="Z1907" s="7" t="s">
        <v>2588</v>
      </c>
      <c r="AA1907" s="7"/>
      <c r="AB1907" s="7"/>
      <c r="AC1907" s="7" t="s">
        <v>4696</v>
      </c>
      <c r="AD1907" s="7" t="s">
        <v>4629</v>
      </c>
      <c r="AE1907" s="7" t="s">
        <v>4629</v>
      </c>
      <c r="AF1907" s="7" t="s">
        <v>113</v>
      </c>
      <c r="AG1907" s="7" t="s">
        <v>366</v>
      </c>
      <c r="AH1907" s="7" t="s">
        <v>4697</v>
      </c>
    </row>
    <row r="1908" spans="1:34" ht="9.75" customHeight="1" x14ac:dyDescent="0.2">
      <c r="A1908" s="7" t="s">
        <v>4371</v>
      </c>
      <c r="B1908" s="7" t="s">
        <v>4372</v>
      </c>
      <c r="C1908" s="7"/>
      <c r="D1908" s="7" t="s">
        <v>4701</v>
      </c>
      <c r="E1908" s="8">
        <v>6</v>
      </c>
      <c r="F1908" s="7"/>
      <c r="G1908" s="7"/>
      <c r="H1908" s="9"/>
      <c r="I1908" s="10">
        <v>20433200</v>
      </c>
      <c r="J1908" s="10">
        <v>21080500</v>
      </c>
      <c r="K1908" s="9"/>
      <c r="L1908" s="10">
        <v>20773300</v>
      </c>
      <c r="M1908" s="9"/>
      <c r="N1908" s="10">
        <v>20773300</v>
      </c>
      <c r="O1908" s="9"/>
      <c r="P1908" s="10"/>
      <c r="Q1908" s="10"/>
      <c r="R1908" s="10"/>
      <c r="S1908" s="7" t="s">
        <v>43</v>
      </c>
      <c r="T1908" s="7"/>
      <c r="U1908" s="7"/>
      <c r="V1908" s="7"/>
      <c r="W1908" s="7"/>
      <c r="X1908" s="7"/>
      <c r="Y1908" s="7" t="s">
        <v>4714</v>
      </c>
      <c r="Z1908" s="7" t="s">
        <v>2588</v>
      </c>
      <c r="AA1908" s="7"/>
      <c r="AB1908" s="7"/>
      <c r="AC1908" s="7" t="s">
        <v>4696</v>
      </c>
      <c r="AD1908" s="7"/>
      <c r="AE1908" s="7"/>
      <c r="AF1908" s="7" t="s">
        <v>113</v>
      </c>
      <c r="AG1908" s="7" t="s">
        <v>366</v>
      </c>
      <c r="AH1908" s="7" t="s">
        <v>4697</v>
      </c>
    </row>
    <row r="1909" spans="1:34" ht="9.75" customHeight="1" x14ac:dyDescent="0.2">
      <c r="A1909" s="7" t="s">
        <v>4371</v>
      </c>
      <c r="B1909" s="7" t="s">
        <v>4372</v>
      </c>
      <c r="C1909" s="7"/>
      <c r="D1909" s="7" t="s">
        <v>4715</v>
      </c>
      <c r="E1909" s="8">
        <v>6</v>
      </c>
      <c r="F1909" s="7"/>
      <c r="G1909" s="7"/>
      <c r="H1909" s="9"/>
      <c r="I1909" s="10">
        <v>20035000</v>
      </c>
      <c r="J1909" s="10">
        <v>19972100</v>
      </c>
      <c r="K1909" s="9"/>
      <c r="L1909" s="10">
        <v>19792200</v>
      </c>
      <c r="M1909" s="9"/>
      <c r="N1909" s="10">
        <v>19792200</v>
      </c>
      <c r="O1909" s="9"/>
      <c r="P1909" s="10"/>
      <c r="Q1909" s="10"/>
      <c r="R1909" s="10"/>
      <c r="S1909" s="7" t="s">
        <v>407</v>
      </c>
      <c r="T1909" s="7" t="s">
        <v>4701</v>
      </c>
      <c r="U1909" s="7"/>
      <c r="V1909" s="7"/>
      <c r="W1909" s="7"/>
      <c r="X1909" s="7"/>
      <c r="Y1909" s="7" t="s">
        <v>4716</v>
      </c>
      <c r="Z1909" s="7" t="s">
        <v>2601</v>
      </c>
      <c r="AA1909" s="7"/>
      <c r="AB1909" s="7"/>
      <c r="AC1909" s="7" t="s">
        <v>4696</v>
      </c>
      <c r="AD1909" s="7"/>
      <c r="AE1909" s="7"/>
      <c r="AF1909" s="7" t="s">
        <v>113</v>
      </c>
      <c r="AG1909" s="7" t="s">
        <v>366</v>
      </c>
      <c r="AH1909" s="7" t="s">
        <v>4697</v>
      </c>
    </row>
    <row r="1910" spans="1:34" ht="9.75" customHeight="1" x14ac:dyDescent="0.2">
      <c r="A1910" s="7" t="s">
        <v>4371</v>
      </c>
      <c r="B1910" s="7" t="s">
        <v>4372</v>
      </c>
      <c r="C1910" s="7"/>
      <c r="D1910" s="7" t="s">
        <v>4717</v>
      </c>
      <c r="E1910" s="8">
        <v>6</v>
      </c>
      <c r="F1910" s="7"/>
      <c r="G1910" s="7"/>
      <c r="H1910" s="9"/>
      <c r="I1910" s="10">
        <v>34495</v>
      </c>
      <c r="J1910" s="10">
        <v>30000</v>
      </c>
      <c r="K1910" s="9"/>
      <c r="L1910" s="10">
        <v>381600</v>
      </c>
      <c r="M1910" s="9"/>
      <c r="N1910" s="10">
        <v>381600</v>
      </c>
      <c r="O1910" s="9"/>
      <c r="P1910" s="10"/>
      <c r="Q1910" s="10"/>
      <c r="R1910" s="10"/>
      <c r="S1910" s="7"/>
      <c r="T1910" s="7"/>
      <c r="U1910" s="7"/>
      <c r="V1910" s="7"/>
      <c r="W1910" s="7"/>
      <c r="X1910" s="7"/>
      <c r="Y1910" s="7" t="s">
        <v>4718</v>
      </c>
      <c r="Z1910" s="7" t="s">
        <v>4719</v>
      </c>
      <c r="AA1910" s="7"/>
      <c r="AB1910" s="7"/>
      <c r="AC1910" s="7" t="s">
        <v>4696</v>
      </c>
      <c r="AD1910" s="7"/>
      <c r="AE1910" s="7"/>
      <c r="AF1910" s="7" t="s">
        <v>113</v>
      </c>
      <c r="AG1910" s="7" t="s">
        <v>366</v>
      </c>
      <c r="AH1910" s="7" t="s">
        <v>4697</v>
      </c>
    </row>
    <row r="1911" spans="1:34" ht="9.75" customHeight="1" x14ac:dyDescent="0.2">
      <c r="A1911" s="7" t="s">
        <v>4371</v>
      </c>
      <c r="B1911" s="7" t="s">
        <v>4372</v>
      </c>
      <c r="C1911" s="7"/>
      <c r="D1911" s="7" t="s">
        <v>4720</v>
      </c>
      <c r="E1911" s="8">
        <v>1</v>
      </c>
      <c r="F1911" s="7" t="s">
        <v>41</v>
      </c>
      <c r="G1911" s="7" t="s">
        <v>4721</v>
      </c>
      <c r="H1911" s="9"/>
      <c r="I1911" s="9"/>
      <c r="J1911" s="9"/>
      <c r="K1911" s="9"/>
      <c r="L1911" s="9"/>
      <c r="M1911" s="9"/>
      <c r="N1911" s="9"/>
      <c r="O1911" s="9"/>
      <c r="P1911" s="9"/>
      <c r="Q1911" s="9"/>
      <c r="R1911" s="9"/>
      <c r="S1911" s="7"/>
      <c r="T1911" s="7"/>
      <c r="U1911" s="7" t="s">
        <v>44</v>
      </c>
      <c r="V1911" s="7" t="s">
        <v>272</v>
      </c>
      <c r="W1911" s="7" t="s">
        <v>4722</v>
      </c>
      <c r="X1911" s="7" t="s">
        <v>4723</v>
      </c>
      <c r="Y1911" s="7" t="s">
        <v>4724</v>
      </c>
      <c r="Z1911" s="7" t="s">
        <v>1995</v>
      </c>
      <c r="AA1911" s="7"/>
      <c r="AB1911" s="7"/>
      <c r="AC1911" s="7" t="s">
        <v>4696</v>
      </c>
      <c r="AD1911" s="7"/>
      <c r="AE1911" s="7"/>
      <c r="AF1911" s="7" t="s">
        <v>113</v>
      </c>
      <c r="AG1911" s="7" t="s">
        <v>366</v>
      </c>
      <c r="AH1911" s="7" t="s">
        <v>4697</v>
      </c>
    </row>
    <row r="1912" spans="1:34" ht="9.75" customHeight="1" x14ac:dyDescent="0.2">
      <c r="A1912" s="7" t="s">
        <v>4371</v>
      </c>
      <c r="B1912" s="7" t="s">
        <v>4372</v>
      </c>
      <c r="C1912" s="7"/>
      <c r="D1912" s="7" t="s">
        <v>4725</v>
      </c>
      <c r="E1912" s="8">
        <v>6</v>
      </c>
      <c r="F1912" s="7"/>
      <c r="G1912" s="7" t="s">
        <v>4726</v>
      </c>
      <c r="H1912" s="9"/>
      <c r="I1912" s="10">
        <v>2500</v>
      </c>
      <c r="J1912" s="9"/>
      <c r="K1912" s="9"/>
      <c r="L1912" s="9"/>
      <c r="M1912" s="9"/>
      <c r="N1912" s="9"/>
      <c r="O1912" s="9"/>
      <c r="P1912" s="9"/>
      <c r="Q1912" s="9"/>
      <c r="R1912" s="9"/>
      <c r="S1912" s="7" t="s">
        <v>54</v>
      </c>
      <c r="T1912" s="7" t="s">
        <v>4727</v>
      </c>
      <c r="U1912" s="7"/>
      <c r="V1912" s="7"/>
      <c r="W1912" s="7"/>
      <c r="X1912" s="7"/>
      <c r="Y1912" s="7" t="s">
        <v>4728</v>
      </c>
      <c r="Z1912" s="7" t="s">
        <v>4729</v>
      </c>
      <c r="AA1912" s="7"/>
      <c r="AB1912" s="7"/>
      <c r="AC1912" s="7" t="s">
        <v>4696</v>
      </c>
      <c r="AD1912" s="7" t="s">
        <v>4730</v>
      </c>
      <c r="AE1912" s="7" t="s">
        <v>4730</v>
      </c>
      <c r="AF1912" s="7" t="s">
        <v>113</v>
      </c>
      <c r="AG1912" s="7" t="s">
        <v>366</v>
      </c>
      <c r="AH1912" s="7" t="s">
        <v>4697</v>
      </c>
    </row>
    <row r="1913" spans="1:34" ht="9.75" customHeight="1" x14ac:dyDescent="0.2">
      <c r="A1913" s="7" t="s">
        <v>4371</v>
      </c>
      <c r="B1913" s="7" t="s">
        <v>4372</v>
      </c>
      <c r="C1913" s="7"/>
      <c r="D1913" s="7" t="s">
        <v>4731</v>
      </c>
      <c r="E1913" s="8">
        <v>6</v>
      </c>
      <c r="F1913" s="7"/>
      <c r="G1913" s="7" t="s">
        <v>4732</v>
      </c>
      <c r="H1913" s="9"/>
      <c r="I1913" s="9"/>
      <c r="J1913" s="10">
        <v>1400</v>
      </c>
      <c r="K1913" s="9"/>
      <c r="L1913" s="9"/>
      <c r="M1913" s="9"/>
      <c r="N1913" s="9"/>
      <c r="O1913" s="9"/>
      <c r="P1913" s="9"/>
      <c r="Q1913" s="9"/>
      <c r="R1913" s="9"/>
      <c r="S1913" s="7" t="s">
        <v>54</v>
      </c>
      <c r="T1913" s="7" t="s">
        <v>4727</v>
      </c>
      <c r="U1913" s="7"/>
      <c r="V1913" s="7"/>
      <c r="W1913" s="7"/>
      <c r="X1913" s="7"/>
      <c r="Y1913" s="7" t="s">
        <v>4733</v>
      </c>
      <c r="Z1913" s="7" t="s">
        <v>2013</v>
      </c>
      <c r="AA1913" s="7"/>
      <c r="AB1913" s="7"/>
      <c r="AC1913" s="7" t="s">
        <v>4696</v>
      </c>
      <c r="AD1913" s="7" t="s">
        <v>4734</v>
      </c>
      <c r="AE1913" s="7" t="s">
        <v>4734</v>
      </c>
      <c r="AF1913" s="7" t="s">
        <v>113</v>
      </c>
      <c r="AG1913" s="7" t="s">
        <v>366</v>
      </c>
      <c r="AH1913" s="7" t="s">
        <v>4697</v>
      </c>
    </row>
    <row r="1914" spans="1:34" ht="9.75" customHeight="1" x14ac:dyDescent="0.2">
      <c r="A1914" s="7" t="s">
        <v>4371</v>
      </c>
      <c r="B1914" s="7" t="s">
        <v>4372</v>
      </c>
      <c r="C1914" s="7"/>
      <c r="D1914" s="7" t="s">
        <v>4735</v>
      </c>
      <c r="E1914" s="8">
        <v>6</v>
      </c>
      <c r="F1914" s="7"/>
      <c r="G1914" s="7" t="s">
        <v>4736</v>
      </c>
      <c r="H1914" s="9"/>
      <c r="I1914" s="9"/>
      <c r="J1914" s="10">
        <v>2500</v>
      </c>
      <c r="K1914" s="9"/>
      <c r="L1914" s="9"/>
      <c r="M1914" s="9"/>
      <c r="N1914" s="9"/>
      <c r="O1914" s="9"/>
      <c r="P1914" s="9"/>
      <c r="Q1914" s="9"/>
      <c r="R1914" s="9"/>
      <c r="S1914" s="7" t="s">
        <v>54</v>
      </c>
      <c r="T1914" s="7" t="s">
        <v>4727</v>
      </c>
      <c r="U1914" s="7"/>
      <c r="V1914" s="7"/>
      <c r="W1914" s="7"/>
      <c r="X1914" s="7"/>
      <c r="Y1914" s="7" t="s">
        <v>4733</v>
      </c>
      <c r="Z1914" s="7" t="s">
        <v>4737</v>
      </c>
      <c r="AA1914" s="7"/>
      <c r="AB1914" s="7"/>
      <c r="AC1914" s="7" t="s">
        <v>4696</v>
      </c>
      <c r="AD1914" s="7" t="s">
        <v>4734</v>
      </c>
      <c r="AE1914" s="7" t="s">
        <v>4734</v>
      </c>
      <c r="AF1914" s="7" t="s">
        <v>113</v>
      </c>
      <c r="AG1914" s="7" t="s">
        <v>366</v>
      </c>
      <c r="AH1914" s="7" t="s">
        <v>4697</v>
      </c>
    </row>
    <row r="1915" spans="1:34" ht="9.75" customHeight="1" x14ac:dyDescent="0.2">
      <c r="A1915" s="7" t="s">
        <v>4371</v>
      </c>
      <c r="B1915" s="7" t="s">
        <v>4372</v>
      </c>
      <c r="C1915" s="7"/>
      <c r="D1915" s="7" t="s">
        <v>4738</v>
      </c>
      <c r="E1915" s="8">
        <v>6</v>
      </c>
      <c r="F1915" s="7"/>
      <c r="G1915" s="7" t="s">
        <v>4739</v>
      </c>
      <c r="H1915" s="9"/>
      <c r="I1915" s="9"/>
      <c r="J1915" s="9"/>
      <c r="K1915" s="9"/>
      <c r="L1915" s="10">
        <v>2500</v>
      </c>
      <c r="M1915" s="9"/>
      <c r="N1915" s="10">
        <v>2500</v>
      </c>
      <c r="O1915" s="9"/>
      <c r="P1915" s="10"/>
      <c r="Q1915" s="10"/>
      <c r="R1915" s="10"/>
      <c r="S1915" s="7" t="s">
        <v>54</v>
      </c>
      <c r="T1915" s="7" t="s">
        <v>4727</v>
      </c>
      <c r="U1915" s="7"/>
      <c r="V1915" s="7"/>
      <c r="W1915" s="7"/>
      <c r="X1915" s="7"/>
      <c r="Y1915" s="7" t="s">
        <v>4740</v>
      </c>
      <c r="Z1915" s="7" t="s">
        <v>2066</v>
      </c>
      <c r="AA1915" s="7"/>
      <c r="AB1915" s="7"/>
      <c r="AC1915" s="7" t="s">
        <v>4696</v>
      </c>
      <c r="AD1915" s="7" t="s">
        <v>4734</v>
      </c>
      <c r="AE1915" s="7" t="s">
        <v>4734</v>
      </c>
      <c r="AF1915" s="7" t="s">
        <v>113</v>
      </c>
      <c r="AG1915" s="7" t="s">
        <v>366</v>
      </c>
      <c r="AH1915" s="7" t="s">
        <v>4697</v>
      </c>
    </row>
    <row r="1916" spans="1:34" ht="9.75" customHeight="1" x14ac:dyDescent="0.2">
      <c r="A1916" s="7" t="s">
        <v>4371</v>
      </c>
      <c r="B1916" s="7" t="s">
        <v>4372</v>
      </c>
      <c r="C1916" s="7"/>
      <c r="D1916" s="7" t="s">
        <v>4741</v>
      </c>
      <c r="E1916" s="8">
        <v>6</v>
      </c>
      <c r="F1916" s="7"/>
      <c r="G1916" s="7" t="s">
        <v>4742</v>
      </c>
      <c r="H1916" s="9"/>
      <c r="I1916" s="10">
        <v>5100</v>
      </c>
      <c r="J1916" s="9"/>
      <c r="K1916" s="9"/>
      <c r="L1916" s="9"/>
      <c r="M1916" s="9"/>
      <c r="N1916" s="9"/>
      <c r="O1916" s="9"/>
      <c r="P1916" s="9"/>
      <c r="Q1916" s="9"/>
      <c r="R1916" s="9"/>
      <c r="S1916" s="7" t="s">
        <v>54</v>
      </c>
      <c r="T1916" s="7" t="s">
        <v>4727</v>
      </c>
      <c r="U1916" s="7"/>
      <c r="V1916" s="7"/>
      <c r="W1916" s="7"/>
      <c r="X1916" s="7"/>
      <c r="Y1916" s="7" t="s">
        <v>4743</v>
      </c>
      <c r="Z1916" s="7" t="s">
        <v>4744</v>
      </c>
      <c r="AA1916" s="7"/>
      <c r="AB1916" s="7"/>
      <c r="AC1916" s="7" t="s">
        <v>4696</v>
      </c>
      <c r="AD1916" s="7" t="s">
        <v>4745</v>
      </c>
      <c r="AE1916" s="7" t="s">
        <v>4745</v>
      </c>
      <c r="AF1916" s="7" t="s">
        <v>113</v>
      </c>
      <c r="AG1916" s="7" t="s">
        <v>366</v>
      </c>
      <c r="AH1916" s="7" t="s">
        <v>4697</v>
      </c>
    </row>
    <row r="1917" spans="1:34" ht="9.75" customHeight="1" x14ac:dyDescent="0.2">
      <c r="A1917" s="7" t="s">
        <v>4371</v>
      </c>
      <c r="B1917" s="7" t="s">
        <v>4372</v>
      </c>
      <c r="C1917" s="7"/>
      <c r="D1917" s="7" t="s">
        <v>4746</v>
      </c>
      <c r="E1917" s="8">
        <v>6</v>
      </c>
      <c r="F1917" s="7"/>
      <c r="G1917" s="7" t="s">
        <v>4747</v>
      </c>
      <c r="H1917" s="9"/>
      <c r="I1917" s="9"/>
      <c r="J1917" s="9"/>
      <c r="K1917" s="9"/>
      <c r="L1917" s="10">
        <v>3810</v>
      </c>
      <c r="M1917" s="9"/>
      <c r="N1917" s="10">
        <v>3810</v>
      </c>
      <c r="O1917" s="9"/>
      <c r="P1917" s="10"/>
      <c r="Q1917" s="10"/>
      <c r="R1917" s="10"/>
      <c r="S1917" s="7" t="s">
        <v>54</v>
      </c>
      <c r="T1917" s="7" t="s">
        <v>4727</v>
      </c>
      <c r="U1917" s="7" t="s">
        <v>44</v>
      </c>
      <c r="V1917" s="7" t="s">
        <v>45</v>
      </c>
      <c r="W1917" s="7" t="s">
        <v>46</v>
      </c>
      <c r="X1917" s="7"/>
      <c r="Y1917" s="7" t="s">
        <v>4748</v>
      </c>
      <c r="Z1917" s="7" t="s">
        <v>2102</v>
      </c>
      <c r="AA1917" s="7"/>
      <c r="AB1917" s="7"/>
      <c r="AC1917" s="7" t="s">
        <v>4696</v>
      </c>
      <c r="AD1917" s="7" t="s">
        <v>4745</v>
      </c>
      <c r="AE1917" s="7" t="s">
        <v>4745</v>
      </c>
      <c r="AF1917" s="7" t="s">
        <v>113</v>
      </c>
      <c r="AG1917" s="7" t="s">
        <v>366</v>
      </c>
      <c r="AH1917" s="7" t="s">
        <v>4697</v>
      </c>
    </row>
    <row r="1918" spans="1:34" ht="9.75" customHeight="1" x14ac:dyDescent="0.2">
      <c r="A1918" s="7" t="s">
        <v>4371</v>
      </c>
      <c r="B1918" s="7" t="s">
        <v>4372</v>
      </c>
      <c r="C1918" s="7"/>
      <c r="D1918" s="7" t="s">
        <v>4749</v>
      </c>
      <c r="E1918" s="8">
        <v>6</v>
      </c>
      <c r="F1918" s="7"/>
      <c r="G1918" s="7" t="s">
        <v>4750</v>
      </c>
      <c r="H1918" s="9"/>
      <c r="I1918" s="10">
        <v>1362</v>
      </c>
      <c r="J1918" s="9"/>
      <c r="K1918" s="9"/>
      <c r="L1918" s="9"/>
      <c r="M1918" s="9"/>
      <c r="N1918" s="9"/>
      <c r="O1918" s="9"/>
      <c r="P1918" s="9"/>
      <c r="Q1918" s="9"/>
      <c r="R1918" s="9"/>
      <c r="S1918" s="7" t="s">
        <v>54</v>
      </c>
      <c r="T1918" s="7" t="s">
        <v>4727</v>
      </c>
      <c r="U1918" s="7" t="s">
        <v>44</v>
      </c>
      <c r="V1918" s="7" t="s">
        <v>45</v>
      </c>
      <c r="W1918" s="7" t="s">
        <v>46</v>
      </c>
      <c r="X1918" s="7"/>
      <c r="Y1918" s="7" t="s">
        <v>4751</v>
      </c>
      <c r="Z1918" s="7" t="s">
        <v>2449</v>
      </c>
      <c r="AA1918" s="7"/>
      <c r="AB1918" s="7"/>
      <c r="AC1918" s="7" t="s">
        <v>4696</v>
      </c>
      <c r="AD1918" s="7" t="s">
        <v>4752</v>
      </c>
      <c r="AE1918" s="7" t="s">
        <v>4752</v>
      </c>
      <c r="AF1918" s="7" t="s">
        <v>113</v>
      </c>
      <c r="AG1918" s="7" t="s">
        <v>366</v>
      </c>
      <c r="AH1918" s="7" t="s">
        <v>4697</v>
      </c>
    </row>
    <row r="1919" spans="1:34" ht="9.75" customHeight="1" x14ac:dyDescent="0.2">
      <c r="A1919" s="7" t="s">
        <v>4371</v>
      </c>
      <c r="B1919" s="7" t="s">
        <v>4372</v>
      </c>
      <c r="C1919" s="7"/>
      <c r="D1919" s="7" t="s">
        <v>4753</v>
      </c>
      <c r="E1919" s="8">
        <v>6</v>
      </c>
      <c r="F1919" s="7"/>
      <c r="G1919" s="7" t="s">
        <v>4754</v>
      </c>
      <c r="H1919" s="9"/>
      <c r="I1919" s="9"/>
      <c r="J1919" s="10">
        <v>4725</v>
      </c>
      <c r="K1919" s="9"/>
      <c r="L1919" s="9"/>
      <c r="M1919" s="9"/>
      <c r="N1919" s="9"/>
      <c r="O1919" s="9"/>
      <c r="P1919" s="9"/>
      <c r="Q1919" s="9"/>
      <c r="R1919" s="9"/>
      <c r="S1919" s="7" t="s">
        <v>54</v>
      </c>
      <c r="T1919" s="7" t="s">
        <v>4727</v>
      </c>
      <c r="U1919" s="7" t="s">
        <v>44</v>
      </c>
      <c r="V1919" s="7" t="s">
        <v>45</v>
      </c>
      <c r="W1919" s="7" t="s">
        <v>46</v>
      </c>
      <c r="X1919" s="7"/>
      <c r="Y1919" s="7" t="s">
        <v>4755</v>
      </c>
      <c r="Z1919" s="7" t="s">
        <v>2471</v>
      </c>
      <c r="AA1919" s="7"/>
      <c r="AB1919" s="7"/>
      <c r="AC1919" s="7" t="s">
        <v>4696</v>
      </c>
      <c r="AD1919" s="7" t="s">
        <v>4752</v>
      </c>
      <c r="AE1919" s="7" t="s">
        <v>4752</v>
      </c>
      <c r="AF1919" s="7" t="s">
        <v>113</v>
      </c>
      <c r="AG1919" s="7" t="s">
        <v>366</v>
      </c>
      <c r="AH1919" s="7" t="s">
        <v>4697</v>
      </c>
    </row>
    <row r="1920" spans="1:34" ht="9.75" customHeight="1" x14ac:dyDescent="0.2">
      <c r="A1920" s="7" t="s">
        <v>4371</v>
      </c>
      <c r="B1920" s="7" t="s">
        <v>4372</v>
      </c>
      <c r="C1920" s="7"/>
      <c r="D1920" s="7" t="s">
        <v>4756</v>
      </c>
      <c r="E1920" s="8">
        <v>6</v>
      </c>
      <c r="F1920" s="7"/>
      <c r="G1920" s="7" t="s">
        <v>4757</v>
      </c>
      <c r="H1920" s="9"/>
      <c r="I1920" s="9"/>
      <c r="J1920" s="9"/>
      <c r="K1920" s="9"/>
      <c r="L1920" s="10">
        <v>3600</v>
      </c>
      <c r="M1920" s="9"/>
      <c r="N1920" s="10">
        <v>3600</v>
      </c>
      <c r="O1920" s="9"/>
      <c r="P1920" s="10"/>
      <c r="Q1920" s="10"/>
      <c r="R1920" s="10"/>
      <c r="S1920" s="7" t="s">
        <v>54</v>
      </c>
      <c r="T1920" s="7" t="s">
        <v>4727</v>
      </c>
      <c r="U1920" s="7" t="s">
        <v>44</v>
      </c>
      <c r="V1920" s="7" t="s">
        <v>45</v>
      </c>
      <c r="W1920" s="7" t="s">
        <v>46</v>
      </c>
      <c r="X1920" s="7"/>
      <c r="Y1920" s="7" t="s">
        <v>4758</v>
      </c>
      <c r="Z1920" s="7" t="s">
        <v>2471</v>
      </c>
      <c r="AA1920" s="7"/>
      <c r="AB1920" s="7"/>
      <c r="AC1920" s="7" t="s">
        <v>4696</v>
      </c>
      <c r="AD1920" s="7" t="s">
        <v>4752</v>
      </c>
      <c r="AE1920" s="7" t="s">
        <v>4752</v>
      </c>
      <c r="AF1920" s="7" t="s">
        <v>113</v>
      </c>
      <c r="AG1920" s="7" t="s">
        <v>366</v>
      </c>
      <c r="AH1920" s="7" t="s">
        <v>4697</v>
      </c>
    </row>
    <row r="1921" spans="1:34" ht="9.75" customHeight="1" x14ac:dyDescent="0.2">
      <c r="A1921" s="7" t="s">
        <v>4371</v>
      </c>
      <c r="B1921" s="7" t="s">
        <v>4372</v>
      </c>
      <c r="C1921" s="7"/>
      <c r="D1921" s="7" t="s">
        <v>4759</v>
      </c>
      <c r="E1921" s="8">
        <v>6</v>
      </c>
      <c r="F1921" s="7"/>
      <c r="G1921" s="7" t="s">
        <v>4760</v>
      </c>
      <c r="H1921" s="9"/>
      <c r="I1921" s="9"/>
      <c r="J1921" s="9"/>
      <c r="K1921" s="9"/>
      <c r="L1921" s="10">
        <v>8500</v>
      </c>
      <c r="M1921" s="9"/>
      <c r="N1921" s="10">
        <v>8500</v>
      </c>
      <c r="O1921" s="9"/>
      <c r="P1921" s="10"/>
      <c r="Q1921" s="10"/>
      <c r="R1921" s="10"/>
      <c r="S1921" s="7" t="s">
        <v>54</v>
      </c>
      <c r="T1921" s="7" t="s">
        <v>4727</v>
      </c>
      <c r="U1921" s="7" t="s">
        <v>44</v>
      </c>
      <c r="V1921" s="7" t="s">
        <v>45</v>
      </c>
      <c r="W1921" s="7" t="s">
        <v>46</v>
      </c>
      <c r="X1921" s="7"/>
      <c r="Y1921" s="7" t="s">
        <v>4758</v>
      </c>
      <c r="Z1921" s="7" t="s">
        <v>2462</v>
      </c>
      <c r="AA1921" s="7"/>
      <c r="AB1921" s="7"/>
      <c r="AC1921" s="7" t="s">
        <v>4696</v>
      </c>
      <c r="AD1921" s="7" t="s">
        <v>4752</v>
      </c>
      <c r="AE1921" s="7" t="s">
        <v>4752</v>
      </c>
      <c r="AF1921" s="7" t="s">
        <v>113</v>
      </c>
      <c r="AG1921" s="7" t="s">
        <v>366</v>
      </c>
      <c r="AH1921" s="7" t="s">
        <v>4697</v>
      </c>
    </row>
    <row r="1922" spans="1:34" ht="9.75" customHeight="1" x14ac:dyDescent="0.2">
      <c r="A1922" s="7" t="s">
        <v>4371</v>
      </c>
      <c r="B1922" s="7" t="s">
        <v>4372</v>
      </c>
      <c r="C1922" s="7"/>
      <c r="D1922" s="7" t="s">
        <v>4761</v>
      </c>
      <c r="E1922" s="8">
        <v>6</v>
      </c>
      <c r="F1922" s="7"/>
      <c r="G1922" s="7" t="s">
        <v>4762</v>
      </c>
      <c r="H1922" s="9"/>
      <c r="I1922" s="9"/>
      <c r="J1922" s="10">
        <v>2521</v>
      </c>
      <c r="K1922" s="9"/>
      <c r="L1922" s="9"/>
      <c r="M1922" s="9"/>
      <c r="N1922" s="9"/>
      <c r="O1922" s="9"/>
      <c r="P1922" s="9"/>
      <c r="Q1922" s="9"/>
      <c r="R1922" s="9"/>
      <c r="S1922" s="7" t="s">
        <v>54</v>
      </c>
      <c r="T1922" s="7" t="s">
        <v>4727</v>
      </c>
      <c r="U1922" s="7" t="s">
        <v>44</v>
      </c>
      <c r="V1922" s="7" t="s">
        <v>45</v>
      </c>
      <c r="W1922" s="7" t="s">
        <v>46</v>
      </c>
      <c r="X1922" s="7"/>
      <c r="Y1922" s="7" t="s">
        <v>4755</v>
      </c>
      <c r="Z1922" s="7" t="s">
        <v>2462</v>
      </c>
      <c r="AA1922" s="7"/>
      <c r="AB1922" s="7"/>
      <c r="AC1922" s="7" t="s">
        <v>4696</v>
      </c>
      <c r="AD1922" s="7" t="s">
        <v>4752</v>
      </c>
      <c r="AE1922" s="7" t="s">
        <v>4752</v>
      </c>
      <c r="AF1922" s="7" t="s">
        <v>113</v>
      </c>
      <c r="AG1922" s="7" t="s">
        <v>366</v>
      </c>
      <c r="AH1922" s="7" t="s">
        <v>4697</v>
      </c>
    </row>
    <row r="1923" spans="1:34" ht="9.75" customHeight="1" x14ac:dyDescent="0.2">
      <c r="A1923" s="7" t="s">
        <v>4371</v>
      </c>
      <c r="B1923" s="7" t="s">
        <v>4372</v>
      </c>
      <c r="C1923" s="7"/>
      <c r="D1923" s="7" t="s">
        <v>4763</v>
      </c>
      <c r="E1923" s="8">
        <v>6</v>
      </c>
      <c r="F1923" s="7"/>
      <c r="G1923" s="7" t="s">
        <v>4764</v>
      </c>
      <c r="H1923" s="9"/>
      <c r="I1923" s="9"/>
      <c r="J1923" s="10">
        <v>5835</v>
      </c>
      <c r="K1923" s="9"/>
      <c r="L1923" s="9"/>
      <c r="M1923" s="9"/>
      <c r="N1923" s="9"/>
      <c r="O1923" s="9"/>
      <c r="P1923" s="9"/>
      <c r="Q1923" s="9"/>
      <c r="R1923" s="9"/>
      <c r="S1923" s="7" t="s">
        <v>54</v>
      </c>
      <c r="T1923" s="7" t="s">
        <v>4727</v>
      </c>
      <c r="U1923" s="7"/>
      <c r="V1923" s="7"/>
      <c r="W1923" s="7"/>
      <c r="X1923" s="7"/>
      <c r="Y1923" s="7" t="s">
        <v>4755</v>
      </c>
      <c r="Z1923" s="7" t="s">
        <v>2471</v>
      </c>
      <c r="AA1923" s="7"/>
      <c r="AB1923" s="7"/>
      <c r="AC1923" s="7" t="s">
        <v>4696</v>
      </c>
      <c r="AD1923" s="7" t="s">
        <v>4752</v>
      </c>
      <c r="AE1923" s="7" t="s">
        <v>4752</v>
      </c>
      <c r="AF1923" s="7" t="s">
        <v>113</v>
      </c>
      <c r="AG1923" s="7" t="s">
        <v>366</v>
      </c>
      <c r="AH1923" s="7" t="s">
        <v>4697</v>
      </c>
    </row>
    <row r="1924" spans="1:34" ht="9.75" customHeight="1" x14ac:dyDescent="0.2">
      <c r="A1924" s="7" t="s">
        <v>4371</v>
      </c>
      <c r="B1924" s="7" t="s">
        <v>4372</v>
      </c>
      <c r="C1924" s="7"/>
      <c r="D1924" s="7" t="s">
        <v>4765</v>
      </c>
      <c r="E1924" s="8">
        <v>6</v>
      </c>
      <c r="F1924" s="7"/>
      <c r="G1924" s="7" t="s">
        <v>4766</v>
      </c>
      <c r="H1924" s="9"/>
      <c r="I1924" s="9"/>
      <c r="J1924" s="10">
        <v>2500</v>
      </c>
      <c r="K1924" s="9"/>
      <c r="L1924" s="9"/>
      <c r="M1924" s="9"/>
      <c r="N1924" s="9"/>
      <c r="O1924" s="9"/>
      <c r="P1924" s="9"/>
      <c r="Q1924" s="9"/>
      <c r="R1924" s="9"/>
      <c r="S1924" s="7" t="s">
        <v>54</v>
      </c>
      <c r="T1924" s="7" t="s">
        <v>4727</v>
      </c>
      <c r="U1924" s="7" t="s">
        <v>44</v>
      </c>
      <c r="V1924" s="7" t="s">
        <v>4767</v>
      </c>
      <c r="W1924" s="7" t="s">
        <v>4768</v>
      </c>
      <c r="X1924" s="7"/>
      <c r="Y1924" s="7" t="s">
        <v>4769</v>
      </c>
      <c r="Z1924" s="7" t="s">
        <v>4744</v>
      </c>
      <c r="AA1924" s="7"/>
      <c r="AB1924" s="7"/>
      <c r="AC1924" s="7" t="s">
        <v>4696</v>
      </c>
      <c r="AD1924" s="7" t="s">
        <v>4770</v>
      </c>
      <c r="AE1924" s="7" t="s">
        <v>4770</v>
      </c>
      <c r="AF1924" s="7" t="s">
        <v>113</v>
      </c>
      <c r="AG1924" s="7" t="s">
        <v>366</v>
      </c>
      <c r="AH1924" s="7" t="s">
        <v>4697</v>
      </c>
    </row>
    <row r="1925" spans="1:34" ht="9.75" customHeight="1" x14ac:dyDescent="0.2">
      <c r="A1925" s="7" t="s">
        <v>4371</v>
      </c>
      <c r="B1925" s="7" t="s">
        <v>4372</v>
      </c>
      <c r="C1925" s="7"/>
      <c r="D1925" s="7" t="s">
        <v>4771</v>
      </c>
      <c r="E1925" s="8">
        <v>6</v>
      </c>
      <c r="F1925" s="7"/>
      <c r="G1925" s="7" t="s">
        <v>4772</v>
      </c>
      <c r="H1925" s="9"/>
      <c r="I1925" s="9"/>
      <c r="J1925" s="9"/>
      <c r="K1925" s="9"/>
      <c r="L1925" s="10">
        <v>800</v>
      </c>
      <c r="M1925" s="9"/>
      <c r="N1925" s="10">
        <v>800</v>
      </c>
      <c r="O1925" s="9"/>
      <c r="P1925" s="10"/>
      <c r="Q1925" s="10"/>
      <c r="R1925" s="10"/>
      <c r="S1925" s="7" t="s">
        <v>54</v>
      </c>
      <c r="T1925" s="7" t="s">
        <v>4727</v>
      </c>
      <c r="U1925" s="7" t="s">
        <v>44</v>
      </c>
      <c r="V1925" s="7" t="s">
        <v>45</v>
      </c>
      <c r="W1925" s="7" t="s">
        <v>130</v>
      </c>
      <c r="X1925" s="7"/>
      <c r="Y1925" s="7" t="s">
        <v>4773</v>
      </c>
      <c r="Z1925" s="7" t="s">
        <v>2438</v>
      </c>
      <c r="AA1925" s="7"/>
      <c r="AB1925" s="7"/>
      <c r="AC1925" s="7" t="s">
        <v>4696</v>
      </c>
      <c r="AD1925" s="7" t="s">
        <v>4774</v>
      </c>
      <c r="AE1925" s="7" t="s">
        <v>4774</v>
      </c>
      <c r="AF1925" s="7" t="s">
        <v>113</v>
      </c>
      <c r="AG1925" s="7" t="s">
        <v>366</v>
      </c>
      <c r="AH1925" s="7" t="s">
        <v>4697</v>
      </c>
    </row>
    <row r="1926" spans="1:34" ht="9.75" customHeight="1" x14ac:dyDescent="0.2">
      <c r="A1926" s="7" t="s">
        <v>4371</v>
      </c>
      <c r="B1926" s="7" t="s">
        <v>4372</v>
      </c>
      <c r="C1926" s="7"/>
      <c r="D1926" s="7" t="s">
        <v>4775</v>
      </c>
      <c r="E1926" s="8">
        <v>6</v>
      </c>
      <c r="F1926" s="7"/>
      <c r="G1926" s="7" t="s">
        <v>4776</v>
      </c>
      <c r="H1926" s="9"/>
      <c r="I1926" s="9"/>
      <c r="J1926" s="9"/>
      <c r="K1926" s="9"/>
      <c r="L1926" s="10">
        <v>800</v>
      </c>
      <c r="M1926" s="9"/>
      <c r="N1926" s="10">
        <v>800</v>
      </c>
      <c r="O1926" s="9"/>
      <c r="P1926" s="10"/>
      <c r="Q1926" s="10"/>
      <c r="R1926" s="10"/>
      <c r="S1926" s="7" t="s">
        <v>54</v>
      </c>
      <c r="T1926" s="7" t="s">
        <v>4727</v>
      </c>
      <c r="U1926" s="7" t="s">
        <v>44</v>
      </c>
      <c r="V1926" s="7" t="s">
        <v>45</v>
      </c>
      <c r="W1926" s="7" t="s">
        <v>130</v>
      </c>
      <c r="X1926" s="7"/>
      <c r="Y1926" s="7" t="s">
        <v>4773</v>
      </c>
      <c r="Z1926" s="7" t="s">
        <v>2438</v>
      </c>
      <c r="AA1926" s="7"/>
      <c r="AB1926" s="7"/>
      <c r="AC1926" s="7" t="s">
        <v>4696</v>
      </c>
      <c r="AD1926" s="7" t="s">
        <v>4774</v>
      </c>
      <c r="AE1926" s="7" t="s">
        <v>4774</v>
      </c>
      <c r="AF1926" s="7" t="s">
        <v>113</v>
      </c>
      <c r="AG1926" s="7" t="s">
        <v>366</v>
      </c>
      <c r="AH1926" s="7" t="s">
        <v>4697</v>
      </c>
    </row>
    <row r="1927" spans="1:34" ht="9.75" customHeight="1" x14ac:dyDescent="0.2">
      <c r="A1927" s="7" t="s">
        <v>4371</v>
      </c>
      <c r="B1927" s="7" t="s">
        <v>4372</v>
      </c>
      <c r="C1927" s="7"/>
      <c r="D1927" s="7" t="s">
        <v>4777</v>
      </c>
      <c r="E1927" s="8">
        <v>6</v>
      </c>
      <c r="F1927" s="7"/>
      <c r="G1927" s="7" t="s">
        <v>4778</v>
      </c>
      <c r="H1927" s="9"/>
      <c r="I1927" s="9"/>
      <c r="J1927" s="9"/>
      <c r="K1927" s="9"/>
      <c r="L1927" s="10">
        <v>4000</v>
      </c>
      <c r="M1927" s="9"/>
      <c r="N1927" s="10">
        <v>4000</v>
      </c>
      <c r="O1927" s="9"/>
      <c r="P1927" s="10"/>
      <c r="Q1927" s="10"/>
      <c r="R1927" s="10"/>
      <c r="S1927" s="7" t="s">
        <v>54</v>
      </c>
      <c r="T1927" s="7" t="s">
        <v>4727</v>
      </c>
      <c r="U1927" s="7" t="s">
        <v>44</v>
      </c>
      <c r="V1927" s="7" t="s">
        <v>45</v>
      </c>
      <c r="W1927" s="7" t="s">
        <v>4779</v>
      </c>
      <c r="X1927" s="7" t="s">
        <v>4780</v>
      </c>
      <c r="Y1927" s="7" t="s">
        <v>4781</v>
      </c>
      <c r="Z1927" s="7" t="s">
        <v>2429</v>
      </c>
      <c r="AA1927" s="7"/>
      <c r="AB1927" s="7"/>
      <c r="AC1927" s="7" t="s">
        <v>4696</v>
      </c>
      <c r="AD1927" s="7" t="s">
        <v>4782</v>
      </c>
      <c r="AE1927" s="7" t="s">
        <v>4782</v>
      </c>
      <c r="AF1927" s="7" t="s">
        <v>113</v>
      </c>
      <c r="AG1927" s="7" t="s">
        <v>366</v>
      </c>
      <c r="AH1927" s="7" t="s">
        <v>4697</v>
      </c>
    </row>
    <row r="1928" spans="1:34" ht="9.75" customHeight="1" x14ac:dyDescent="0.2">
      <c r="A1928" s="7" t="s">
        <v>4371</v>
      </c>
      <c r="B1928" s="7" t="s">
        <v>4372</v>
      </c>
      <c r="C1928" s="7"/>
      <c r="D1928" s="7" t="s">
        <v>4783</v>
      </c>
      <c r="E1928" s="8">
        <v>6</v>
      </c>
      <c r="F1928" s="7"/>
      <c r="G1928" s="7" t="s">
        <v>4784</v>
      </c>
      <c r="H1928" s="9"/>
      <c r="I1928" s="9"/>
      <c r="J1928" s="9"/>
      <c r="K1928" s="9"/>
      <c r="L1928" s="10">
        <v>1800</v>
      </c>
      <c r="M1928" s="9"/>
      <c r="N1928" s="10">
        <v>1800</v>
      </c>
      <c r="O1928" s="9"/>
      <c r="P1928" s="10"/>
      <c r="Q1928" s="10"/>
      <c r="R1928" s="10"/>
      <c r="S1928" s="7" t="s">
        <v>54</v>
      </c>
      <c r="T1928" s="7" t="s">
        <v>4727</v>
      </c>
      <c r="U1928" s="7" t="s">
        <v>44</v>
      </c>
      <c r="V1928" s="7" t="s">
        <v>45</v>
      </c>
      <c r="W1928" s="7" t="s">
        <v>46</v>
      </c>
      <c r="X1928" s="7"/>
      <c r="Y1928" s="7" t="s">
        <v>4785</v>
      </c>
      <c r="Z1928" s="7" t="s">
        <v>2416</v>
      </c>
      <c r="AA1928" s="7"/>
      <c r="AB1928" s="7"/>
      <c r="AC1928" s="7" t="s">
        <v>4696</v>
      </c>
      <c r="AD1928" s="7" t="s">
        <v>4786</v>
      </c>
      <c r="AE1928" s="7" t="s">
        <v>4786</v>
      </c>
      <c r="AF1928" s="7" t="s">
        <v>113</v>
      </c>
      <c r="AG1928" s="7" t="s">
        <v>366</v>
      </c>
      <c r="AH1928" s="7" t="s">
        <v>4697</v>
      </c>
    </row>
    <row r="1929" spans="1:34" ht="9.75" customHeight="1" x14ac:dyDescent="0.2">
      <c r="A1929" s="7" t="s">
        <v>4371</v>
      </c>
      <c r="B1929" s="7" t="s">
        <v>4372</v>
      </c>
      <c r="C1929" s="7"/>
      <c r="D1929" s="7" t="s">
        <v>4787</v>
      </c>
      <c r="E1929" s="8">
        <v>6</v>
      </c>
      <c r="F1929" s="7"/>
      <c r="G1929" s="7" t="s">
        <v>4788</v>
      </c>
      <c r="H1929" s="9"/>
      <c r="I1929" s="9"/>
      <c r="J1929" s="9"/>
      <c r="K1929" s="9"/>
      <c r="L1929" s="10">
        <v>1500</v>
      </c>
      <c r="M1929" s="9"/>
      <c r="N1929" s="10">
        <v>1500</v>
      </c>
      <c r="O1929" s="9"/>
      <c r="P1929" s="10"/>
      <c r="Q1929" s="10"/>
      <c r="R1929" s="10"/>
      <c r="S1929" s="7" t="s">
        <v>54</v>
      </c>
      <c r="T1929" s="7" t="s">
        <v>4727</v>
      </c>
      <c r="U1929" s="7"/>
      <c r="V1929" s="7"/>
      <c r="W1929" s="7"/>
      <c r="X1929" s="7"/>
      <c r="Y1929" s="7" t="s">
        <v>4789</v>
      </c>
      <c r="Z1929" s="7" t="s">
        <v>2317</v>
      </c>
      <c r="AA1929" s="7"/>
      <c r="AB1929" s="7"/>
      <c r="AC1929" s="7" t="s">
        <v>4696</v>
      </c>
      <c r="AD1929" s="7" t="s">
        <v>4790</v>
      </c>
      <c r="AE1929" s="7" t="s">
        <v>4790</v>
      </c>
      <c r="AF1929" s="7" t="s">
        <v>113</v>
      </c>
      <c r="AG1929" s="7" t="s">
        <v>366</v>
      </c>
      <c r="AH1929" s="7" t="s">
        <v>4697</v>
      </c>
    </row>
    <row r="1930" spans="1:34" ht="9.75" customHeight="1" x14ac:dyDescent="0.2">
      <c r="A1930" s="7" t="s">
        <v>4371</v>
      </c>
      <c r="B1930" s="7" t="s">
        <v>4372</v>
      </c>
      <c r="C1930" s="7"/>
      <c r="D1930" s="7" t="s">
        <v>4791</v>
      </c>
      <c r="E1930" s="8">
        <v>6</v>
      </c>
      <c r="F1930" s="7"/>
      <c r="G1930" s="7" t="s">
        <v>4792</v>
      </c>
      <c r="H1930" s="9"/>
      <c r="I1930" s="9"/>
      <c r="J1930" s="9"/>
      <c r="K1930" s="9"/>
      <c r="L1930" s="10">
        <v>4690</v>
      </c>
      <c r="M1930" s="9"/>
      <c r="N1930" s="10">
        <v>4690</v>
      </c>
      <c r="O1930" s="9"/>
      <c r="P1930" s="10"/>
      <c r="Q1930" s="10"/>
      <c r="R1930" s="10"/>
      <c r="S1930" s="7" t="s">
        <v>54</v>
      </c>
      <c r="T1930" s="7" t="s">
        <v>4727</v>
      </c>
      <c r="U1930" s="7"/>
      <c r="V1930" s="7"/>
      <c r="W1930" s="7"/>
      <c r="X1930" s="7"/>
      <c r="Y1930" s="7" t="s">
        <v>4789</v>
      </c>
      <c r="Z1930" s="7" t="s">
        <v>2403</v>
      </c>
      <c r="AA1930" s="7"/>
      <c r="AB1930" s="7"/>
      <c r="AC1930" s="7" t="s">
        <v>4696</v>
      </c>
      <c r="AD1930" s="7" t="s">
        <v>4790</v>
      </c>
      <c r="AE1930" s="7" t="s">
        <v>4790</v>
      </c>
      <c r="AF1930" s="7" t="s">
        <v>113</v>
      </c>
      <c r="AG1930" s="7" t="s">
        <v>366</v>
      </c>
      <c r="AH1930" s="7" t="s">
        <v>4697</v>
      </c>
    </row>
    <row r="1931" spans="1:34" ht="9.75" customHeight="1" x14ac:dyDescent="0.2">
      <c r="A1931" s="7" t="s">
        <v>4371</v>
      </c>
      <c r="B1931" s="7" t="s">
        <v>4372</v>
      </c>
      <c r="C1931" s="7"/>
      <c r="D1931" s="7" t="s">
        <v>4793</v>
      </c>
      <c r="E1931" s="8">
        <v>1</v>
      </c>
      <c r="F1931" s="7" t="s">
        <v>41</v>
      </c>
      <c r="G1931" s="7"/>
      <c r="H1931" s="9"/>
      <c r="I1931" s="10">
        <v>40</v>
      </c>
      <c r="J1931" s="9"/>
      <c r="K1931" s="9"/>
      <c r="L1931" s="9"/>
      <c r="M1931" s="9"/>
      <c r="N1931" s="9"/>
      <c r="O1931" s="9"/>
      <c r="P1931" s="9"/>
      <c r="Q1931" s="9"/>
      <c r="R1931" s="9"/>
      <c r="S1931" s="7"/>
      <c r="T1931" s="7"/>
      <c r="U1931" s="7" t="s">
        <v>221</v>
      </c>
      <c r="V1931" s="7" t="s">
        <v>272</v>
      </c>
      <c r="W1931" s="7" t="s">
        <v>288</v>
      </c>
      <c r="X1931" s="7" t="s">
        <v>4794</v>
      </c>
      <c r="Y1931" s="7" t="s">
        <v>4795</v>
      </c>
      <c r="Z1931" s="7" t="s">
        <v>4796</v>
      </c>
      <c r="AA1931" s="7"/>
      <c r="AB1931" s="7"/>
      <c r="AC1931" s="7" t="s">
        <v>4797</v>
      </c>
      <c r="AD1931" s="7"/>
      <c r="AE1931" s="7"/>
      <c r="AF1931" s="7" t="s">
        <v>50</v>
      </c>
      <c r="AG1931" s="7" t="s">
        <v>253</v>
      </c>
      <c r="AH1931" s="7" t="s">
        <v>4798</v>
      </c>
    </row>
    <row r="1932" spans="1:34" ht="9.75" customHeight="1" x14ac:dyDescent="0.2">
      <c r="A1932" s="7" t="s">
        <v>4371</v>
      </c>
      <c r="B1932" s="7" t="s">
        <v>4372</v>
      </c>
      <c r="C1932" s="7"/>
      <c r="D1932" s="7" t="s">
        <v>4799</v>
      </c>
      <c r="E1932" s="8">
        <v>1</v>
      </c>
      <c r="F1932" s="7" t="s">
        <v>41</v>
      </c>
      <c r="G1932" s="7"/>
      <c r="H1932" s="9"/>
      <c r="I1932" s="10">
        <v>31</v>
      </c>
      <c r="J1932" s="9"/>
      <c r="K1932" s="9"/>
      <c r="L1932" s="9"/>
      <c r="M1932" s="9"/>
      <c r="N1932" s="9"/>
      <c r="O1932" s="9"/>
      <c r="P1932" s="9"/>
      <c r="Q1932" s="9"/>
      <c r="R1932" s="9"/>
      <c r="S1932" s="7"/>
      <c r="T1932" s="7"/>
      <c r="U1932" s="7" t="s">
        <v>221</v>
      </c>
      <c r="V1932" s="7" t="s">
        <v>45</v>
      </c>
      <c r="W1932" s="7" t="s">
        <v>211</v>
      </c>
      <c r="X1932" s="7" t="s">
        <v>4800</v>
      </c>
      <c r="Y1932" s="7" t="s">
        <v>4801</v>
      </c>
      <c r="Z1932" s="7" t="s">
        <v>4796</v>
      </c>
      <c r="AA1932" s="7"/>
      <c r="AB1932" s="7"/>
      <c r="AC1932" s="7" t="s">
        <v>4797</v>
      </c>
      <c r="AD1932" s="7"/>
      <c r="AE1932" s="7"/>
      <c r="AF1932" s="7" t="s">
        <v>50</v>
      </c>
      <c r="AG1932" s="7" t="s">
        <v>253</v>
      </c>
      <c r="AH1932" s="7" t="s">
        <v>4798</v>
      </c>
    </row>
    <row r="1933" spans="1:34" ht="9.75" customHeight="1" x14ac:dyDescent="0.2">
      <c r="A1933" s="7" t="s">
        <v>4371</v>
      </c>
      <c r="B1933" s="7" t="s">
        <v>4372</v>
      </c>
      <c r="C1933" s="7"/>
      <c r="D1933" s="7" t="s">
        <v>4802</v>
      </c>
      <c r="E1933" s="8">
        <v>2</v>
      </c>
      <c r="F1933" s="7"/>
      <c r="G1933" s="7"/>
      <c r="H1933" s="9"/>
      <c r="I1933" s="10">
        <v>28264</v>
      </c>
      <c r="J1933" s="9"/>
      <c r="K1933" s="9"/>
      <c r="L1933" s="9"/>
      <c r="M1933" s="9"/>
      <c r="N1933" s="9"/>
      <c r="O1933" s="9"/>
      <c r="P1933" s="9"/>
      <c r="Q1933" s="9"/>
      <c r="R1933" s="9"/>
      <c r="S1933" s="7"/>
      <c r="T1933" s="7"/>
      <c r="U1933" s="7" t="s">
        <v>221</v>
      </c>
      <c r="V1933" s="7" t="s">
        <v>272</v>
      </c>
      <c r="W1933" s="7" t="s">
        <v>288</v>
      </c>
      <c r="X1933" s="7" t="s">
        <v>4794</v>
      </c>
      <c r="Y1933" s="7" t="s">
        <v>4803</v>
      </c>
      <c r="Z1933" s="7" t="s">
        <v>4796</v>
      </c>
      <c r="AA1933" s="7"/>
      <c r="AB1933" s="7"/>
      <c r="AC1933" s="7" t="s">
        <v>4797</v>
      </c>
      <c r="AD1933" s="7"/>
      <c r="AE1933" s="7"/>
      <c r="AF1933" s="7" t="s">
        <v>50</v>
      </c>
      <c r="AG1933" s="7" t="s">
        <v>253</v>
      </c>
      <c r="AH1933" s="7" t="s">
        <v>4798</v>
      </c>
    </row>
    <row r="1934" spans="1:34" ht="9.75" customHeight="1" x14ac:dyDescent="0.2">
      <c r="A1934" s="7" t="s">
        <v>4371</v>
      </c>
      <c r="B1934" s="7" t="s">
        <v>4372</v>
      </c>
      <c r="C1934" s="7"/>
      <c r="D1934" s="7" t="s">
        <v>4804</v>
      </c>
      <c r="E1934" s="8">
        <v>4</v>
      </c>
      <c r="F1934" s="7"/>
      <c r="G1934" s="7"/>
      <c r="H1934" s="9"/>
      <c r="I1934" s="10">
        <v>6939</v>
      </c>
      <c r="J1934" s="9"/>
      <c r="K1934" s="9"/>
      <c r="L1934" s="9"/>
      <c r="M1934" s="9"/>
      <c r="N1934" s="9"/>
      <c r="O1934" s="9"/>
      <c r="P1934" s="9"/>
      <c r="Q1934" s="9"/>
      <c r="R1934" s="9"/>
      <c r="S1934" s="7"/>
      <c r="T1934" s="7"/>
      <c r="U1934" s="7"/>
      <c r="V1934" s="7"/>
      <c r="W1934" s="7"/>
      <c r="X1934" s="7"/>
      <c r="Y1934" s="7" t="s">
        <v>4805</v>
      </c>
      <c r="Z1934" s="7" t="s">
        <v>4796</v>
      </c>
      <c r="AA1934" s="7"/>
      <c r="AB1934" s="7"/>
      <c r="AC1934" s="7" t="s">
        <v>4797</v>
      </c>
      <c r="AD1934" s="7"/>
      <c r="AE1934" s="7"/>
      <c r="AF1934" s="7" t="s">
        <v>50</v>
      </c>
      <c r="AG1934" s="7" t="s">
        <v>253</v>
      </c>
      <c r="AH1934" s="7" t="s">
        <v>4798</v>
      </c>
    </row>
    <row r="1935" spans="1:34" ht="9.75" customHeight="1" x14ac:dyDescent="0.2">
      <c r="A1935" s="7" t="s">
        <v>4371</v>
      </c>
      <c r="B1935" s="7" t="s">
        <v>4372</v>
      </c>
      <c r="C1935" s="7"/>
      <c r="D1935" s="7" t="s">
        <v>4806</v>
      </c>
      <c r="E1935" s="8">
        <v>6</v>
      </c>
      <c r="F1935" s="7"/>
      <c r="G1935" s="7"/>
      <c r="H1935" s="9"/>
      <c r="I1935" s="10">
        <v>310</v>
      </c>
      <c r="J1935" s="9"/>
      <c r="K1935" s="9"/>
      <c r="L1935" s="9"/>
      <c r="M1935" s="9"/>
      <c r="N1935" s="9"/>
      <c r="O1935" s="9"/>
      <c r="P1935" s="9"/>
      <c r="Q1935" s="9"/>
      <c r="R1935" s="9"/>
      <c r="S1935" s="7"/>
      <c r="T1935" s="7"/>
      <c r="U1935" s="7"/>
      <c r="V1935" s="7"/>
      <c r="W1935" s="7"/>
      <c r="X1935" s="7"/>
      <c r="Y1935" s="7" t="s">
        <v>4807</v>
      </c>
      <c r="Z1935" s="7" t="s">
        <v>4808</v>
      </c>
      <c r="AA1935" s="7"/>
      <c r="AB1935" s="7"/>
      <c r="AC1935" s="7" t="s">
        <v>4797</v>
      </c>
      <c r="AD1935" s="7"/>
      <c r="AE1935" s="7"/>
      <c r="AF1935" s="7" t="s">
        <v>50</v>
      </c>
      <c r="AG1935" s="7" t="s">
        <v>253</v>
      </c>
      <c r="AH1935" s="7" t="s">
        <v>4798</v>
      </c>
    </row>
    <row r="1936" spans="1:34" ht="9.75" customHeight="1" x14ac:dyDescent="0.2">
      <c r="A1936" s="7" t="s">
        <v>4371</v>
      </c>
      <c r="B1936" s="7" t="s">
        <v>4372</v>
      </c>
      <c r="C1936" s="7"/>
      <c r="D1936" s="7" t="s">
        <v>4809</v>
      </c>
      <c r="E1936" s="8">
        <v>1</v>
      </c>
      <c r="F1936" s="7"/>
      <c r="G1936" s="7"/>
      <c r="H1936" s="9"/>
      <c r="I1936" s="10">
        <v>35584</v>
      </c>
      <c r="J1936" s="9"/>
      <c r="K1936" s="9"/>
      <c r="L1936" s="9"/>
      <c r="M1936" s="9"/>
      <c r="N1936" s="9"/>
      <c r="O1936" s="9"/>
      <c r="P1936" s="9"/>
      <c r="Q1936" s="9"/>
      <c r="R1936" s="9"/>
      <c r="S1936" s="7" t="s">
        <v>43</v>
      </c>
      <c r="T1936" s="7"/>
      <c r="U1936" s="7"/>
      <c r="V1936" s="7"/>
      <c r="W1936" s="7"/>
      <c r="X1936" s="7"/>
      <c r="Y1936" s="7" t="s">
        <v>4810</v>
      </c>
      <c r="Z1936" s="7" t="s">
        <v>4796</v>
      </c>
      <c r="AA1936" s="7"/>
      <c r="AB1936" s="7"/>
      <c r="AC1936" s="7" t="s">
        <v>4797</v>
      </c>
      <c r="AD1936" s="7"/>
      <c r="AE1936" s="7"/>
      <c r="AF1936" s="7" t="s">
        <v>50</v>
      </c>
      <c r="AG1936" s="7" t="s">
        <v>253</v>
      </c>
      <c r="AH1936" s="7" t="s">
        <v>4798</v>
      </c>
    </row>
    <row r="1937" spans="1:34" ht="9.75" customHeight="1" x14ac:dyDescent="0.2">
      <c r="A1937" s="7" t="s">
        <v>4811</v>
      </c>
      <c r="B1937" s="7" t="s">
        <v>4812</v>
      </c>
      <c r="C1937" s="7"/>
      <c r="D1937" s="7" t="s">
        <v>4813</v>
      </c>
      <c r="E1937" s="7" t="s">
        <v>4814</v>
      </c>
      <c r="F1937" s="7"/>
      <c r="G1937" s="7" t="s">
        <v>4815</v>
      </c>
      <c r="H1937" s="9"/>
      <c r="I1937" s="10">
        <v>11502495</v>
      </c>
      <c r="J1937" s="10">
        <v>11763594</v>
      </c>
      <c r="K1937" s="9"/>
      <c r="L1937" s="10">
        <v>13803188</v>
      </c>
      <c r="M1937" s="9"/>
      <c r="N1937" s="10">
        <v>13803188</v>
      </c>
      <c r="O1937" s="9"/>
      <c r="P1937" s="10">
        <v>61600</v>
      </c>
      <c r="Q1937" s="10">
        <v>13813188</v>
      </c>
      <c r="R1937" s="10">
        <v>13874788</v>
      </c>
      <c r="S1937" s="7" t="s">
        <v>43</v>
      </c>
      <c r="T1937" s="7"/>
      <c r="U1937" s="7"/>
      <c r="V1937" s="7"/>
      <c r="W1937" s="7"/>
      <c r="X1937" s="7"/>
      <c r="Y1937" s="7" t="s">
        <v>4816</v>
      </c>
      <c r="Z1937" s="7" t="s">
        <v>2013</v>
      </c>
      <c r="AA1937" s="7"/>
      <c r="AB1937" s="7"/>
      <c r="AC1937" s="7" t="s">
        <v>4817</v>
      </c>
      <c r="AD1937" s="7"/>
      <c r="AE1937" s="7"/>
      <c r="AF1937" s="7" t="s">
        <v>50</v>
      </c>
      <c r="AG1937" s="7" t="s">
        <v>253</v>
      </c>
      <c r="AH1937" s="7" t="s">
        <v>4818</v>
      </c>
    </row>
    <row r="1938" spans="1:34" ht="9.75" customHeight="1" x14ac:dyDescent="0.2">
      <c r="A1938" s="7" t="s">
        <v>4811</v>
      </c>
      <c r="B1938" s="7" t="s">
        <v>4812</v>
      </c>
      <c r="C1938" s="7"/>
      <c r="D1938" s="7" t="s">
        <v>4819</v>
      </c>
      <c r="E1938" s="8">
        <v>2</v>
      </c>
      <c r="F1938" s="7"/>
      <c r="G1938" s="7"/>
      <c r="H1938" s="9"/>
      <c r="I1938" s="10">
        <v>329274</v>
      </c>
      <c r="J1938" s="10">
        <v>250497</v>
      </c>
      <c r="K1938" s="9"/>
      <c r="L1938" s="10">
        <v>250312</v>
      </c>
      <c r="M1938" s="9"/>
      <c r="N1938" s="10">
        <v>250312</v>
      </c>
      <c r="O1938" s="9"/>
      <c r="P1938" s="10"/>
      <c r="Q1938" s="10"/>
      <c r="R1938" s="10"/>
      <c r="S1938" s="7" t="s">
        <v>407</v>
      </c>
      <c r="T1938" s="7" t="s">
        <v>4813</v>
      </c>
      <c r="U1938" s="7"/>
      <c r="V1938" s="7"/>
      <c r="W1938" s="7"/>
      <c r="X1938" s="7"/>
      <c r="Y1938" s="7" t="s">
        <v>4820</v>
      </c>
      <c r="Z1938" s="7" t="s">
        <v>4821</v>
      </c>
      <c r="AA1938" s="7"/>
      <c r="AB1938" s="7"/>
      <c r="AC1938" s="7" t="s">
        <v>4817</v>
      </c>
      <c r="AD1938" s="7"/>
      <c r="AE1938" s="7"/>
      <c r="AF1938" s="7" t="s">
        <v>113</v>
      </c>
      <c r="AG1938" s="7" t="s">
        <v>366</v>
      </c>
      <c r="AH1938" s="7" t="s">
        <v>4818</v>
      </c>
    </row>
    <row r="1939" spans="1:34" ht="9.75" customHeight="1" x14ac:dyDescent="0.2">
      <c r="A1939" s="7" t="s">
        <v>4811</v>
      </c>
      <c r="B1939" s="7" t="s">
        <v>4812</v>
      </c>
      <c r="C1939" s="7"/>
      <c r="D1939" s="7" t="s">
        <v>4822</v>
      </c>
      <c r="E1939" s="8">
        <v>2</v>
      </c>
      <c r="F1939" s="7"/>
      <c r="G1939" s="7"/>
      <c r="H1939" s="9"/>
      <c r="I1939" s="10">
        <v>717140</v>
      </c>
      <c r="J1939" s="10">
        <v>384455</v>
      </c>
      <c r="K1939" s="9"/>
      <c r="L1939" s="10">
        <v>305424</v>
      </c>
      <c r="M1939" s="9"/>
      <c r="N1939" s="10">
        <v>305424</v>
      </c>
      <c r="O1939" s="9"/>
      <c r="P1939" s="10"/>
      <c r="Q1939" s="10"/>
      <c r="R1939" s="10"/>
      <c r="S1939" s="7" t="s">
        <v>407</v>
      </c>
      <c r="T1939" s="7" t="s">
        <v>4813</v>
      </c>
      <c r="U1939" s="7"/>
      <c r="V1939" s="7"/>
      <c r="W1939" s="7"/>
      <c r="X1939" s="7"/>
      <c r="Y1939" s="7" t="s">
        <v>4820</v>
      </c>
      <c r="Z1939" s="7" t="s">
        <v>4821</v>
      </c>
      <c r="AA1939" s="7"/>
      <c r="AB1939" s="7"/>
      <c r="AC1939" s="7" t="s">
        <v>4817</v>
      </c>
      <c r="AD1939" s="7"/>
      <c r="AE1939" s="7"/>
      <c r="AF1939" s="7" t="s">
        <v>113</v>
      </c>
      <c r="AG1939" s="7" t="s">
        <v>366</v>
      </c>
      <c r="AH1939" s="7" t="s">
        <v>4818</v>
      </c>
    </row>
    <row r="1940" spans="1:34" ht="9.75" customHeight="1" x14ac:dyDescent="0.2">
      <c r="A1940" s="7" t="s">
        <v>4811</v>
      </c>
      <c r="B1940" s="7" t="s">
        <v>4812</v>
      </c>
      <c r="C1940" s="7"/>
      <c r="D1940" s="7" t="s">
        <v>4823</v>
      </c>
      <c r="E1940" s="8">
        <v>2</v>
      </c>
      <c r="F1940" s="7"/>
      <c r="G1940" s="7"/>
      <c r="H1940" s="9"/>
      <c r="I1940" s="10">
        <v>95837</v>
      </c>
      <c r="J1940" s="10">
        <v>63660</v>
      </c>
      <c r="K1940" s="9"/>
      <c r="L1940" s="10">
        <v>104367</v>
      </c>
      <c r="M1940" s="9"/>
      <c r="N1940" s="10">
        <v>104367</v>
      </c>
      <c r="O1940" s="9"/>
      <c r="P1940" s="10"/>
      <c r="Q1940" s="10"/>
      <c r="R1940" s="10"/>
      <c r="S1940" s="7" t="s">
        <v>407</v>
      </c>
      <c r="T1940" s="7" t="s">
        <v>4813</v>
      </c>
      <c r="U1940" s="7"/>
      <c r="V1940" s="7"/>
      <c r="W1940" s="7"/>
      <c r="X1940" s="7"/>
      <c r="Y1940" s="7" t="s">
        <v>4820</v>
      </c>
      <c r="Z1940" s="7" t="s">
        <v>4821</v>
      </c>
      <c r="AA1940" s="7"/>
      <c r="AB1940" s="7"/>
      <c r="AC1940" s="7" t="s">
        <v>4817</v>
      </c>
      <c r="AD1940" s="7"/>
      <c r="AE1940" s="7"/>
      <c r="AF1940" s="7" t="s">
        <v>113</v>
      </c>
      <c r="AG1940" s="7" t="s">
        <v>366</v>
      </c>
      <c r="AH1940" s="7" t="s">
        <v>4818</v>
      </c>
    </row>
    <row r="1941" spans="1:34" ht="9.75" customHeight="1" x14ac:dyDescent="0.2">
      <c r="A1941" s="7" t="s">
        <v>4811</v>
      </c>
      <c r="B1941" s="7" t="s">
        <v>4812</v>
      </c>
      <c r="C1941" s="7"/>
      <c r="D1941" s="7" t="s">
        <v>4824</v>
      </c>
      <c r="E1941" s="8">
        <v>2</v>
      </c>
      <c r="F1941" s="7"/>
      <c r="G1941" s="7"/>
      <c r="H1941" s="9"/>
      <c r="I1941" s="10">
        <v>99893</v>
      </c>
      <c r="J1941" s="10">
        <v>322052</v>
      </c>
      <c r="K1941" s="9"/>
      <c r="L1941" s="10">
        <v>349822</v>
      </c>
      <c r="M1941" s="9"/>
      <c r="N1941" s="10">
        <v>349822</v>
      </c>
      <c r="O1941" s="9"/>
      <c r="P1941" s="10"/>
      <c r="Q1941" s="10"/>
      <c r="R1941" s="10"/>
      <c r="S1941" s="7" t="s">
        <v>407</v>
      </c>
      <c r="T1941" s="7" t="s">
        <v>4813</v>
      </c>
      <c r="U1941" s="7" t="s">
        <v>44</v>
      </c>
      <c r="V1941" s="7" t="s">
        <v>45</v>
      </c>
      <c r="W1941" s="7" t="s">
        <v>67</v>
      </c>
      <c r="X1941" s="7" t="s">
        <v>68</v>
      </c>
      <c r="Y1941" s="7" t="s">
        <v>4820</v>
      </c>
      <c r="Z1941" s="7" t="s">
        <v>4821</v>
      </c>
      <c r="AA1941" s="7"/>
      <c r="AB1941" s="7"/>
      <c r="AC1941" s="7" t="s">
        <v>4817</v>
      </c>
      <c r="AD1941" s="7"/>
      <c r="AE1941" s="7"/>
      <c r="AF1941" s="7" t="s">
        <v>113</v>
      </c>
      <c r="AG1941" s="7" t="s">
        <v>366</v>
      </c>
      <c r="AH1941" s="7" t="s">
        <v>4818</v>
      </c>
    </row>
    <row r="1942" spans="1:34" ht="9.75" customHeight="1" x14ac:dyDescent="0.2">
      <c r="A1942" s="7" t="s">
        <v>4811</v>
      </c>
      <c r="B1942" s="7" t="s">
        <v>4812</v>
      </c>
      <c r="C1942" s="7"/>
      <c r="D1942" s="7" t="s">
        <v>4825</v>
      </c>
      <c r="E1942" s="8">
        <v>2</v>
      </c>
      <c r="F1942" s="7"/>
      <c r="G1942" s="7"/>
      <c r="H1942" s="9"/>
      <c r="I1942" s="10">
        <v>28204</v>
      </c>
      <c r="J1942" s="10">
        <v>16251</v>
      </c>
      <c r="K1942" s="9"/>
      <c r="L1942" s="10">
        <v>44947</v>
      </c>
      <c r="M1942" s="9"/>
      <c r="N1942" s="10">
        <v>44947</v>
      </c>
      <c r="O1942" s="9"/>
      <c r="P1942" s="10"/>
      <c r="Q1942" s="10"/>
      <c r="R1942" s="10"/>
      <c r="S1942" s="7" t="s">
        <v>407</v>
      </c>
      <c r="T1942" s="7" t="s">
        <v>4813</v>
      </c>
      <c r="U1942" s="7" t="s">
        <v>44</v>
      </c>
      <c r="V1942" s="7" t="s">
        <v>45</v>
      </c>
      <c r="W1942" s="7" t="s">
        <v>67</v>
      </c>
      <c r="X1942" s="7" t="s">
        <v>68</v>
      </c>
      <c r="Y1942" s="7" t="s">
        <v>4820</v>
      </c>
      <c r="Z1942" s="7" t="s">
        <v>4821</v>
      </c>
      <c r="AA1942" s="7"/>
      <c r="AB1942" s="7"/>
      <c r="AC1942" s="7" t="s">
        <v>4817</v>
      </c>
      <c r="AD1942" s="7"/>
      <c r="AE1942" s="7"/>
      <c r="AF1942" s="7" t="s">
        <v>113</v>
      </c>
      <c r="AG1942" s="7" t="s">
        <v>366</v>
      </c>
      <c r="AH1942" s="7" t="s">
        <v>4818</v>
      </c>
    </row>
    <row r="1943" spans="1:34" ht="9.75" customHeight="1" x14ac:dyDescent="0.2">
      <c r="A1943" s="7" t="s">
        <v>4811</v>
      </c>
      <c r="B1943" s="7" t="s">
        <v>4812</v>
      </c>
      <c r="C1943" s="7"/>
      <c r="D1943" s="7" t="s">
        <v>4826</v>
      </c>
      <c r="E1943" s="8">
        <v>2</v>
      </c>
      <c r="F1943" s="7"/>
      <c r="G1943" s="7"/>
      <c r="H1943" s="9"/>
      <c r="I1943" s="10">
        <v>21554</v>
      </c>
      <c r="J1943" s="10">
        <v>22924</v>
      </c>
      <c r="K1943" s="9"/>
      <c r="L1943" s="9"/>
      <c r="M1943" s="9"/>
      <c r="N1943" s="9"/>
      <c r="O1943" s="9"/>
      <c r="P1943" s="9"/>
      <c r="Q1943" s="9"/>
      <c r="R1943" s="9"/>
      <c r="S1943" s="7" t="s">
        <v>407</v>
      </c>
      <c r="T1943" s="7" t="s">
        <v>4813</v>
      </c>
      <c r="U1943" s="7"/>
      <c r="V1943" s="7"/>
      <c r="W1943" s="7"/>
      <c r="X1943" s="7"/>
      <c r="Y1943" s="7" t="s">
        <v>4820</v>
      </c>
      <c r="Z1943" s="7" t="s">
        <v>4821</v>
      </c>
      <c r="AA1943" s="7"/>
      <c r="AB1943" s="7"/>
      <c r="AC1943" s="7" t="s">
        <v>4817</v>
      </c>
      <c r="AD1943" s="7"/>
      <c r="AE1943" s="7"/>
      <c r="AF1943" s="7" t="s">
        <v>113</v>
      </c>
      <c r="AG1943" s="7" t="s">
        <v>366</v>
      </c>
      <c r="AH1943" s="7" t="s">
        <v>4818</v>
      </c>
    </row>
    <row r="1944" spans="1:34" ht="9.75" customHeight="1" x14ac:dyDescent="0.2">
      <c r="A1944" s="7" t="s">
        <v>4811</v>
      </c>
      <c r="B1944" s="7" t="s">
        <v>4812</v>
      </c>
      <c r="C1944" s="7"/>
      <c r="D1944" s="7" t="s">
        <v>4827</v>
      </c>
      <c r="E1944" s="8">
        <v>3</v>
      </c>
      <c r="F1944" s="7"/>
      <c r="G1944" s="7"/>
      <c r="H1944" s="9"/>
      <c r="I1944" s="10">
        <v>118950</v>
      </c>
      <c r="J1944" s="10">
        <v>136225</v>
      </c>
      <c r="K1944" s="9"/>
      <c r="L1944" s="10">
        <v>139467</v>
      </c>
      <c r="M1944" s="9"/>
      <c r="N1944" s="10">
        <v>139467</v>
      </c>
      <c r="O1944" s="9"/>
      <c r="P1944" s="10"/>
      <c r="Q1944" s="10"/>
      <c r="R1944" s="10"/>
      <c r="S1944" s="7" t="s">
        <v>407</v>
      </c>
      <c r="T1944" s="7" t="s">
        <v>4813</v>
      </c>
      <c r="U1944" s="7"/>
      <c r="V1944" s="7"/>
      <c r="W1944" s="7"/>
      <c r="X1944" s="7"/>
      <c r="Y1944" s="7" t="s">
        <v>4820</v>
      </c>
      <c r="Z1944" s="7" t="s">
        <v>4821</v>
      </c>
      <c r="AA1944" s="7"/>
      <c r="AB1944" s="7"/>
      <c r="AC1944" s="7" t="s">
        <v>4817</v>
      </c>
      <c r="AD1944" s="7"/>
      <c r="AE1944" s="7"/>
      <c r="AF1944" s="7" t="s">
        <v>113</v>
      </c>
      <c r="AG1944" s="7" t="s">
        <v>366</v>
      </c>
      <c r="AH1944" s="7" t="s">
        <v>4818</v>
      </c>
    </row>
    <row r="1945" spans="1:34" ht="9.75" customHeight="1" x14ac:dyDescent="0.2">
      <c r="A1945" s="7" t="s">
        <v>4811</v>
      </c>
      <c r="B1945" s="7" t="s">
        <v>4812</v>
      </c>
      <c r="C1945" s="7"/>
      <c r="D1945" s="7" t="s">
        <v>4828</v>
      </c>
      <c r="E1945" s="8">
        <v>3</v>
      </c>
      <c r="F1945" s="7"/>
      <c r="G1945" s="7"/>
      <c r="H1945" s="9"/>
      <c r="I1945" s="10">
        <v>973522</v>
      </c>
      <c r="J1945" s="10">
        <v>990461</v>
      </c>
      <c r="K1945" s="9"/>
      <c r="L1945" s="10">
        <v>1070896</v>
      </c>
      <c r="M1945" s="9"/>
      <c r="N1945" s="10">
        <v>1070896</v>
      </c>
      <c r="O1945" s="9"/>
      <c r="P1945" s="10"/>
      <c r="Q1945" s="10"/>
      <c r="R1945" s="10"/>
      <c r="S1945" s="7" t="s">
        <v>407</v>
      </c>
      <c r="T1945" s="7" t="s">
        <v>4813</v>
      </c>
      <c r="U1945" s="7"/>
      <c r="V1945" s="7"/>
      <c r="W1945" s="7"/>
      <c r="X1945" s="7"/>
      <c r="Y1945" s="7" t="s">
        <v>4820</v>
      </c>
      <c r="Z1945" s="7" t="s">
        <v>4821</v>
      </c>
      <c r="AA1945" s="7"/>
      <c r="AB1945" s="7"/>
      <c r="AC1945" s="7" t="s">
        <v>4817</v>
      </c>
      <c r="AD1945" s="7"/>
      <c r="AE1945" s="7"/>
      <c r="AF1945" s="7" t="s">
        <v>113</v>
      </c>
      <c r="AG1945" s="7" t="s">
        <v>366</v>
      </c>
      <c r="AH1945" s="7" t="s">
        <v>4818</v>
      </c>
    </row>
    <row r="1946" spans="1:34" ht="9.75" customHeight="1" x14ac:dyDescent="0.2">
      <c r="A1946" s="7" t="s">
        <v>4811</v>
      </c>
      <c r="B1946" s="7" t="s">
        <v>4812</v>
      </c>
      <c r="C1946" s="7"/>
      <c r="D1946" s="7" t="s">
        <v>4829</v>
      </c>
      <c r="E1946" s="8">
        <v>3</v>
      </c>
      <c r="F1946" s="7"/>
      <c r="G1946" s="7"/>
      <c r="H1946" s="9"/>
      <c r="I1946" s="10">
        <v>696548</v>
      </c>
      <c r="J1946" s="10">
        <v>662899</v>
      </c>
      <c r="K1946" s="9"/>
      <c r="L1946" s="10">
        <v>650869</v>
      </c>
      <c r="M1946" s="9"/>
      <c r="N1946" s="10">
        <v>650869</v>
      </c>
      <c r="O1946" s="9"/>
      <c r="P1946" s="10"/>
      <c r="Q1946" s="10"/>
      <c r="R1946" s="10"/>
      <c r="S1946" s="7" t="s">
        <v>407</v>
      </c>
      <c r="T1946" s="7" t="s">
        <v>4813</v>
      </c>
      <c r="U1946" s="7"/>
      <c r="V1946" s="7"/>
      <c r="W1946" s="7"/>
      <c r="X1946" s="7"/>
      <c r="Y1946" s="7" t="s">
        <v>4820</v>
      </c>
      <c r="Z1946" s="7" t="s">
        <v>4821</v>
      </c>
      <c r="AA1946" s="7"/>
      <c r="AB1946" s="7"/>
      <c r="AC1946" s="7" t="s">
        <v>4817</v>
      </c>
      <c r="AD1946" s="7"/>
      <c r="AE1946" s="7"/>
      <c r="AF1946" s="7" t="s">
        <v>113</v>
      </c>
      <c r="AG1946" s="7" t="s">
        <v>366</v>
      </c>
      <c r="AH1946" s="7" t="s">
        <v>4818</v>
      </c>
    </row>
    <row r="1947" spans="1:34" ht="9.75" customHeight="1" x14ac:dyDescent="0.2">
      <c r="A1947" s="7" t="s">
        <v>4811</v>
      </c>
      <c r="B1947" s="7" t="s">
        <v>4812</v>
      </c>
      <c r="C1947" s="7"/>
      <c r="D1947" s="7" t="s">
        <v>4830</v>
      </c>
      <c r="E1947" s="8">
        <v>3</v>
      </c>
      <c r="F1947" s="7"/>
      <c r="G1947" s="7"/>
      <c r="H1947" s="9"/>
      <c r="I1947" s="10">
        <v>1497600</v>
      </c>
      <c r="J1947" s="10">
        <v>1429333</v>
      </c>
      <c r="K1947" s="9"/>
      <c r="L1947" s="10">
        <v>1525270</v>
      </c>
      <c r="M1947" s="9"/>
      <c r="N1947" s="10">
        <v>1525270</v>
      </c>
      <c r="O1947" s="9"/>
      <c r="P1947" s="10"/>
      <c r="Q1947" s="10"/>
      <c r="R1947" s="10"/>
      <c r="S1947" s="7" t="s">
        <v>407</v>
      </c>
      <c r="T1947" s="7" t="s">
        <v>4813</v>
      </c>
      <c r="U1947" s="7"/>
      <c r="V1947" s="7"/>
      <c r="W1947" s="7"/>
      <c r="X1947" s="7"/>
      <c r="Y1947" s="7" t="s">
        <v>4820</v>
      </c>
      <c r="Z1947" s="7" t="s">
        <v>4821</v>
      </c>
      <c r="AA1947" s="7"/>
      <c r="AB1947" s="7"/>
      <c r="AC1947" s="7" t="s">
        <v>4817</v>
      </c>
      <c r="AD1947" s="7"/>
      <c r="AE1947" s="7"/>
      <c r="AF1947" s="7" t="s">
        <v>113</v>
      </c>
      <c r="AG1947" s="7" t="s">
        <v>366</v>
      </c>
      <c r="AH1947" s="7" t="s">
        <v>4818</v>
      </c>
    </row>
    <row r="1948" spans="1:34" ht="9.75" customHeight="1" x14ac:dyDescent="0.2">
      <c r="A1948" s="7" t="s">
        <v>4811</v>
      </c>
      <c r="B1948" s="7" t="s">
        <v>4812</v>
      </c>
      <c r="C1948" s="7"/>
      <c r="D1948" s="7" t="s">
        <v>4831</v>
      </c>
      <c r="E1948" s="8">
        <v>2</v>
      </c>
      <c r="F1948" s="7"/>
      <c r="G1948" s="7"/>
      <c r="H1948" s="9"/>
      <c r="I1948" s="10">
        <v>1635116</v>
      </c>
      <c r="J1948" s="10">
        <v>1789606</v>
      </c>
      <c r="K1948" s="9"/>
      <c r="L1948" s="10">
        <v>1775132</v>
      </c>
      <c r="M1948" s="9"/>
      <c r="N1948" s="10">
        <v>1775132</v>
      </c>
      <c r="O1948" s="9"/>
      <c r="P1948" s="10"/>
      <c r="Q1948" s="10"/>
      <c r="R1948" s="10"/>
      <c r="S1948" s="7" t="s">
        <v>407</v>
      </c>
      <c r="T1948" s="7" t="s">
        <v>4813</v>
      </c>
      <c r="U1948" s="7"/>
      <c r="V1948" s="7"/>
      <c r="W1948" s="7"/>
      <c r="X1948" s="7"/>
      <c r="Y1948" s="7" t="s">
        <v>4832</v>
      </c>
      <c r="Z1948" s="7" t="s">
        <v>4821</v>
      </c>
      <c r="AA1948" s="7"/>
      <c r="AB1948" s="7"/>
      <c r="AC1948" s="7" t="s">
        <v>4817</v>
      </c>
      <c r="AD1948" s="7" t="s">
        <v>4833</v>
      </c>
      <c r="AE1948" s="7"/>
      <c r="AF1948" s="7" t="s">
        <v>113</v>
      </c>
      <c r="AG1948" s="7" t="s">
        <v>366</v>
      </c>
      <c r="AH1948" s="7" t="s">
        <v>4818</v>
      </c>
    </row>
    <row r="1949" spans="1:34" ht="9.75" customHeight="1" x14ac:dyDescent="0.2">
      <c r="A1949" s="7" t="s">
        <v>4811</v>
      </c>
      <c r="B1949" s="7" t="s">
        <v>4812</v>
      </c>
      <c r="C1949" s="7"/>
      <c r="D1949" s="7" t="s">
        <v>4834</v>
      </c>
      <c r="E1949" s="8">
        <v>2</v>
      </c>
      <c r="F1949" s="7"/>
      <c r="G1949" s="7"/>
      <c r="H1949" s="9"/>
      <c r="I1949" s="10">
        <v>1191581</v>
      </c>
      <c r="J1949" s="10">
        <v>1468055</v>
      </c>
      <c r="K1949" s="9"/>
      <c r="L1949" s="10">
        <v>1401503</v>
      </c>
      <c r="M1949" s="9"/>
      <c r="N1949" s="10">
        <v>1401503</v>
      </c>
      <c r="O1949" s="9"/>
      <c r="P1949" s="10"/>
      <c r="Q1949" s="10"/>
      <c r="R1949" s="10"/>
      <c r="S1949" s="7" t="s">
        <v>407</v>
      </c>
      <c r="T1949" s="7" t="s">
        <v>4813</v>
      </c>
      <c r="U1949" s="7"/>
      <c r="V1949" s="7"/>
      <c r="W1949" s="7"/>
      <c r="X1949" s="7"/>
      <c r="Y1949" s="7" t="s">
        <v>4832</v>
      </c>
      <c r="Z1949" s="7" t="s">
        <v>4821</v>
      </c>
      <c r="AA1949" s="7"/>
      <c r="AB1949" s="7"/>
      <c r="AC1949" s="7" t="s">
        <v>4817</v>
      </c>
      <c r="AD1949" s="7" t="s">
        <v>4833</v>
      </c>
      <c r="AE1949" s="7"/>
      <c r="AF1949" s="7" t="s">
        <v>113</v>
      </c>
      <c r="AG1949" s="7" t="s">
        <v>366</v>
      </c>
      <c r="AH1949" s="7" t="s">
        <v>4818</v>
      </c>
    </row>
    <row r="1950" spans="1:34" ht="9.75" customHeight="1" x14ac:dyDescent="0.2">
      <c r="A1950" s="7" t="s">
        <v>4811</v>
      </c>
      <c r="B1950" s="7" t="s">
        <v>4812</v>
      </c>
      <c r="C1950" s="7"/>
      <c r="D1950" s="7" t="s">
        <v>4835</v>
      </c>
      <c r="E1950" s="8">
        <v>2</v>
      </c>
      <c r="F1950" s="7"/>
      <c r="G1950" s="7"/>
      <c r="H1950" s="9"/>
      <c r="I1950" s="10">
        <v>2521756</v>
      </c>
      <c r="J1950" s="10">
        <v>2741203</v>
      </c>
      <c r="K1950" s="9"/>
      <c r="L1950" s="10">
        <v>2944801</v>
      </c>
      <c r="M1950" s="9"/>
      <c r="N1950" s="10">
        <v>2944801</v>
      </c>
      <c r="O1950" s="9"/>
      <c r="P1950" s="10"/>
      <c r="Q1950" s="10"/>
      <c r="R1950" s="10"/>
      <c r="S1950" s="7" t="s">
        <v>407</v>
      </c>
      <c r="T1950" s="7" t="s">
        <v>4813</v>
      </c>
      <c r="U1950" s="7"/>
      <c r="V1950" s="7"/>
      <c r="W1950" s="7"/>
      <c r="X1950" s="7"/>
      <c r="Y1950" s="7" t="s">
        <v>4832</v>
      </c>
      <c r="Z1950" s="7" t="s">
        <v>4821</v>
      </c>
      <c r="AA1950" s="7"/>
      <c r="AB1950" s="7"/>
      <c r="AC1950" s="7" t="s">
        <v>4817</v>
      </c>
      <c r="AD1950" s="7" t="s">
        <v>4833</v>
      </c>
      <c r="AE1950" s="7"/>
      <c r="AF1950" s="7" t="s">
        <v>113</v>
      </c>
      <c r="AG1950" s="7" t="s">
        <v>366</v>
      </c>
      <c r="AH1950" s="7" t="s">
        <v>4818</v>
      </c>
    </row>
    <row r="1951" spans="1:34" ht="9.75" customHeight="1" x14ac:dyDescent="0.2">
      <c r="A1951" s="7" t="s">
        <v>4811</v>
      </c>
      <c r="B1951" s="7" t="s">
        <v>4812</v>
      </c>
      <c r="C1951" s="7"/>
      <c r="D1951" s="7" t="s">
        <v>4836</v>
      </c>
      <c r="E1951" s="8">
        <v>2</v>
      </c>
      <c r="F1951" s="7"/>
      <c r="G1951" s="7"/>
      <c r="H1951" s="9"/>
      <c r="I1951" s="10">
        <v>1237273</v>
      </c>
      <c r="J1951" s="10">
        <v>1485973</v>
      </c>
      <c r="K1951" s="9"/>
      <c r="L1951" s="10">
        <v>1656378</v>
      </c>
      <c r="M1951" s="9"/>
      <c r="N1951" s="10">
        <v>1656378</v>
      </c>
      <c r="O1951" s="9"/>
      <c r="P1951" s="10"/>
      <c r="Q1951" s="10"/>
      <c r="R1951" s="10"/>
      <c r="S1951" s="7" t="s">
        <v>407</v>
      </c>
      <c r="T1951" s="7" t="s">
        <v>4813</v>
      </c>
      <c r="U1951" s="7"/>
      <c r="V1951" s="7"/>
      <c r="W1951" s="7"/>
      <c r="X1951" s="7"/>
      <c r="Y1951" s="7" t="s">
        <v>4832</v>
      </c>
      <c r="Z1951" s="7" t="s">
        <v>4821</v>
      </c>
      <c r="AA1951" s="7"/>
      <c r="AB1951" s="7"/>
      <c r="AC1951" s="7" t="s">
        <v>4817</v>
      </c>
      <c r="AD1951" s="7" t="s">
        <v>4833</v>
      </c>
      <c r="AE1951" s="7"/>
      <c r="AF1951" s="7" t="s">
        <v>113</v>
      </c>
      <c r="AG1951" s="7" t="s">
        <v>366</v>
      </c>
      <c r="AH1951" s="7" t="s">
        <v>4818</v>
      </c>
    </row>
    <row r="1952" spans="1:34" ht="9.75" customHeight="1" x14ac:dyDescent="0.2">
      <c r="A1952" s="7" t="s">
        <v>4811</v>
      </c>
      <c r="B1952" s="7" t="s">
        <v>4812</v>
      </c>
      <c r="C1952" s="7"/>
      <c r="D1952" s="7" t="s">
        <v>4837</v>
      </c>
      <c r="E1952" s="8">
        <v>3</v>
      </c>
      <c r="F1952" s="7"/>
      <c r="G1952" s="7"/>
      <c r="H1952" s="9"/>
      <c r="I1952" s="10">
        <v>849162</v>
      </c>
      <c r="J1952" s="10">
        <v>913937</v>
      </c>
      <c r="K1952" s="9"/>
      <c r="L1952" s="10">
        <v>799626</v>
      </c>
      <c r="M1952" s="9"/>
      <c r="N1952" s="10">
        <v>799626</v>
      </c>
      <c r="O1952" s="9"/>
      <c r="P1952" s="10"/>
      <c r="Q1952" s="10"/>
      <c r="R1952" s="10"/>
      <c r="S1952" s="7" t="s">
        <v>54</v>
      </c>
      <c r="T1952" s="7" t="s">
        <v>4830</v>
      </c>
      <c r="U1952" s="7"/>
      <c r="V1952" s="7"/>
      <c r="W1952" s="7"/>
      <c r="X1952" s="7"/>
      <c r="Y1952" s="7" t="s">
        <v>4838</v>
      </c>
      <c r="Z1952" s="7" t="s">
        <v>2053</v>
      </c>
      <c r="AA1952" s="7"/>
      <c r="AB1952" s="7"/>
      <c r="AC1952" s="7" t="s">
        <v>4817</v>
      </c>
      <c r="AD1952" s="7" t="s">
        <v>4839</v>
      </c>
      <c r="AE1952" s="7"/>
      <c r="AF1952" s="7" t="s">
        <v>113</v>
      </c>
      <c r="AG1952" s="7" t="s">
        <v>366</v>
      </c>
      <c r="AH1952" s="7" t="s">
        <v>4818</v>
      </c>
    </row>
    <row r="1953" spans="1:34" ht="9.75" customHeight="1" x14ac:dyDescent="0.2">
      <c r="A1953" s="7" t="s">
        <v>4811</v>
      </c>
      <c r="B1953" s="7" t="s">
        <v>4812</v>
      </c>
      <c r="C1953" s="7"/>
      <c r="D1953" s="7" t="s">
        <v>4840</v>
      </c>
      <c r="E1953" s="8">
        <v>3</v>
      </c>
      <c r="F1953" s="7"/>
      <c r="G1953" s="7"/>
      <c r="H1953" s="9"/>
      <c r="I1953" s="10">
        <v>2368347</v>
      </c>
      <c r="J1953" s="10">
        <v>2019921</v>
      </c>
      <c r="K1953" s="9"/>
      <c r="L1953" s="10">
        <v>3969612</v>
      </c>
      <c r="M1953" s="9"/>
      <c r="N1953" s="10">
        <v>3969612</v>
      </c>
      <c r="O1953" s="9"/>
      <c r="P1953" s="10"/>
      <c r="Q1953" s="10"/>
      <c r="R1953" s="10"/>
      <c r="S1953" s="7" t="s">
        <v>54</v>
      </c>
      <c r="T1953" s="7" t="s">
        <v>4830</v>
      </c>
      <c r="U1953" s="7"/>
      <c r="V1953" s="7"/>
      <c r="W1953" s="7"/>
      <c r="X1953" s="7"/>
      <c r="Y1953" s="7" t="s">
        <v>4838</v>
      </c>
      <c r="Z1953" s="7" t="s">
        <v>2053</v>
      </c>
      <c r="AA1953" s="7"/>
      <c r="AB1953" s="7"/>
      <c r="AC1953" s="7" t="s">
        <v>4817</v>
      </c>
      <c r="AD1953" s="7" t="s">
        <v>4839</v>
      </c>
      <c r="AE1953" s="7"/>
      <c r="AF1953" s="7" t="s">
        <v>113</v>
      </c>
      <c r="AG1953" s="7" t="s">
        <v>366</v>
      </c>
      <c r="AH1953" s="7" t="s">
        <v>4818</v>
      </c>
    </row>
    <row r="1954" spans="1:34" ht="9.75" customHeight="1" x14ac:dyDescent="0.2">
      <c r="A1954" s="7" t="s">
        <v>4811</v>
      </c>
      <c r="B1954" s="7" t="s">
        <v>4812</v>
      </c>
      <c r="C1954" s="7"/>
      <c r="D1954" s="7" t="s">
        <v>4841</v>
      </c>
      <c r="E1954" s="8">
        <v>2</v>
      </c>
      <c r="F1954" s="7"/>
      <c r="G1954" s="7"/>
      <c r="H1954" s="9"/>
      <c r="I1954" s="9"/>
      <c r="J1954" s="9"/>
      <c r="K1954" s="9"/>
      <c r="L1954" s="10">
        <v>341925</v>
      </c>
      <c r="M1954" s="9"/>
      <c r="N1954" s="10">
        <v>341925</v>
      </c>
      <c r="O1954" s="9"/>
      <c r="P1954" s="10"/>
      <c r="Q1954" s="10"/>
      <c r="R1954" s="10"/>
      <c r="S1954" s="7" t="s">
        <v>54</v>
      </c>
      <c r="T1954" s="7" t="s">
        <v>4813</v>
      </c>
      <c r="U1954" s="7"/>
      <c r="V1954" s="7"/>
      <c r="W1954" s="7"/>
      <c r="X1954" s="7"/>
      <c r="Y1954" s="7" t="s">
        <v>4842</v>
      </c>
      <c r="Z1954" s="7" t="s">
        <v>2018</v>
      </c>
      <c r="AA1954" s="7"/>
      <c r="AB1954" s="7"/>
      <c r="AC1954" s="7" t="s">
        <v>4817</v>
      </c>
      <c r="AD1954" s="7"/>
      <c r="AE1954" s="7"/>
      <c r="AF1954" s="7" t="s">
        <v>113</v>
      </c>
      <c r="AG1954" s="7" t="s">
        <v>366</v>
      </c>
      <c r="AH1954" s="7" t="s">
        <v>4818</v>
      </c>
    </row>
    <row r="1955" spans="1:34" ht="9.75" customHeight="1" x14ac:dyDescent="0.2">
      <c r="A1955" s="7" t="s">
        <v>4811</v>
      </c>
      <c r="B1955" s="7" t="s">
        <v>4812</v>
      </c>
      <c r="C1955" s="7"/>
      <c r="D1955" s="7" t="s">
        <v>4843</v>
      </c>
      <c r="E1955" s="8">
        <v>2</v>
      </c>
      <c r="F1955" s="7"/>
      <c r="G1955" s="7"/>
      <c r="H1955" s="9"/>
      <c r="I1955" s="9"/>
      <c r="J1955" s="9"/>
      <c r="K1955" s="9"/>
      <c r="L1955" s="10">
        <v>666329</v>
      </c>
      <c r="M1955" s="9"/>
      <c r="N1955" s="10">
        <v>666329</v>
      </c>
      <c r="O1955" s="9"/>
      <c r="P1955" s="10"/>
      <c r="Q1955" s="10"/>
      <c r="R1955" s="10"/>
      <c r="S1955" s="7" t="s">
        <v>54</v>
      </c>
      <c r="T1955" s="7" t="s">
        <v>4813</v>
      </c>
      <c r="U1955" s="7"/>
      <c r="V1955" s="7"/>
      <c r="W1955" s="7"/>
      <c r="X1955" s="7"/>
      <c r="Y1955" s="7" t="s">
        <v>4842</v>
      </c>
      <c r="Z1955" s="7" t="s">
        <v>2018</v>
      </c>
      <c r="AA1955" s="7"/>
      <c r="AB1955" s="7"/>
      <c r="AC1955" s="7" t="s">
        <v>4817</v>
      </c>
      <c r="AD1955" s="7"/>
      <c r="AE1955" s="7"/>
      <c r="AF1955" s="7" t="s">
        <v>113</v>
      </c>
      <c r="AG1955" s="7" t="s">
        <v>366</v>
      </c>
      <c r="AH1955" s="7" t="s">
        <v>4818</v>
      </c>
    </row>
    <row r="1956" spans="1:34" ht="9.75" customHeight="1" x14ac:dyDescent="0.2">
      <c r="A1956" s="7" t="s">
        <v>4811</v>
      </c>
      <c r="B1956" s="7" t="s">
        <v>4812</v>
      </c>
      <c r="C1956" s="7"/>
      <c r="D1956" s="7" t="s">
        <v>4844</v>
      </c>
      <c r="E1956" s="7" t="s">
        <v>4814</v>
      </c>
      <c r="F1956" s="7"/>
      <c r="G1956" s="7"/>
      <c r="H1956" s="9"/>
      <c r="I1956" s="9"/>
      <c r="J1956" s="9"/>
      <c r="K1956" s="9"/>
      <c r="L1956" s="10">
        <v>575746</v>
      </c>
      <c r="M1956" s="9"/>
      <c r="N1956" s="10">
        <v>575746</v>
      </c>
      <c r="O1956" s="9"/>
      <c r="P1956" s="10"/>
      <c r="Q1956" s="10"/>
      <c r="R1956" s="10"/>
      <c r="S1956" s="7" t="s">
        <v>54</v>
      </c>
      <c r="T1956" s="7" t="s">
        <v>4813</v>
      </c>
      <c r="U1956" s="7"/>
      <c r="V1956" s="7"/>
      <c r="W1956" s="7"/>
      <c r="X1956" s="7"/>
      <c r="Y1956" s="7" t="s">
        <v>4842</v>
      </c>
      <c r="Z1956" s="7" t="s">
        <v>2018</v>
      </c>
      <c r="AA1956" s="7"/>
      <c r="AB1956" s="7"/>
      <c r="AC1956" s="7" t="s">
        <v>4817</v>
      </c>
      <c r="AD1956" s="7"/>
      <c r="AE1956" s="7"/>
      <c r="AF1956" s="7" t="s">
        <v>113</v>
      </c>
      <c r="AG1956" s="7" t="s">
        <v>366</v>
      </c>
      <c r="AH1956" s="7" t="s">
        <v>4818</v>
      </c>
    </row>
    <row r="1957" spans="1:34" ht="9.75" customHeight="1" x14ac:dyDescent="0.2">
      <c r="A1957" s="7" t="s">
        <v>4811</v>
      </c>
      <c r="B1957" s="7" t="s">
        <v>4812</v>
      </c>
      <c r="C1957" s="7"/>
      <c r="D1957" s="7" t="s">
        <v>4845</v>
      </c>
      <c r="E1957" s="8">
        <v>2</v>
      </c>
      <c r="F1957" s="7"/>
      <c r="G1957" s="7" t="s">
        <v>4846</v>
      </c>
      <c r="H1957" s="9"/>
      <c r="I1957" s="9"/>
      <c r="J1957" s="9"/>
      <c r="K1957" s="9"/>
      <c r="L1957" s="10">
        <v>293392</v>
      </c>
      <c r="M1957" s="9"/>
      <c r="N1957" s="10">
        <v>293392</v>
      </c>
      <c r="O1957" s="9"/>
      <c r="P1957" s="10"/>
      <c r="Q1957" s="10"/>
      <c r="R1957" s="10"/>
      <c r="S1957" s="7" t="s">
        <v>54</v>
      </c>
      <c r="T1957" s="7" t="s">
        <v>4813</v>
      </c>
      <c r="U1957" s="7" t="s">
        <v>44</v>
      </c>
      <c r="V1957" s="7" t="s">
        <v>45</v>
      </c>
      <c r="W1957" s="7" t="s">
        <v>46</v>
      </c>
      <c r="X1957" s="7" t="s">
        <v>90</v>
      </c>
      <c r="Y1957" s="7" t="s">
        <v>4847</v>
      </c>
      <c r="Z1957" s="7" t="s">
        <v>4737</v>
      </c>
      <c r="AA1957" s="7"/>
      <c r="AB1957" s="7"/>
      <c r="AC1957" s="7" t="s">
        <v>4817</v>
      </c>
      <c r="AD1957" s="7" t="s">
        <v>4848</v>
      </c>
      <c r="AE1957" s="7" t="s">
        <v>4849</v>
      </c>
      <c r="AF1957" s="7" t="s">
        <v>113</v>
      </c>
      <c r="AG1957" s="7" t="s">
        <v>366</v>
      </c>
      <c r="AH1957" s="7" t="s">
        <v>4818</v>
      </c>
    </row>
    <row r="1958" spans="1:34" ht="9.75" customHeight="1" x14ac:dyDescent="0.2">
      <c r="A1958" s="7" t="s">
        <v>4811</v>
      </c>
      <c r="B1958" s="7" t="s">
        <v>4812</v>
      </c>
      <c r="C1958" s="7"/>
      <c r="D1958" s="7" t="s">
        <v>4850</v>
      </c>
      <c r="E1958" s="8">
        <v>3</v>
      </c>
      <c r="F1958" s="7"/>
      <c r="G1958" s="7" t="s">
        <v>4851</v>
      </c>
      <c r="H1958" s="9"/>
      <c r="I1958" s="9"/>
      <c r="J1958" s="9"/>
      <c r="K1958" s="9"/>
      <c r="L1958" s="10">
        <v>86752</v>
      </c>
      <c r="M1958" s="9"/>
      <c r="N1958" s="10">
        <v>86752</v>
      </c>
      <c r="O1958" s="9"/>
      <c r="P1958" s="10"/>
      <c r="Q1958" s="10"/>
      <c r="R1958" s="10"/>
      <c r="S1958" s="7" t="s">
        <v>54</v>
      </c>
      <c r="T1958" s="7" t="s">
        <v>4813</v>
      </c>
      <c r="U1958" s="7"/>
      <c r="V1958" s="7"/>
      <c r="W1958" s="7"/>
      <c r="X1958" s="7"/>
      <c r="Y1958" s="7" t="s">
        <v>4852</v>
      </c>
      <c r="Z1958" s="7" t="s">
        <v>92</v>
      </c>
      <c r="AA1958" s="7"/>
      <c r="AB1958" s="7"/>
      <c r="AC1958" s="7" t="s">
        <v>4817</v>
      </c>
      <c r="AD1958" s="7" t="s">
        <v>4848</v>
      </c>
      <c r="AE1958" s="7" t="s">
        <v>4853</v>
      </c>
      <c r="AF1958" s="7" t="s">
        <v>113</v>
      </c>
      <c r="AG1958" s="7" t="s">
        <v>366</v>
      </c>
      <c r="AH1958" s="7" t="s">
        <v>4818</v>
      </c>
    </row>
    <row r="1959" spans="1:34" ht="9.75" customHeight="1" x14ac:dyDescent="0.2">
      <c r="A1959" s="7" t="s">
        <v>4811</v>
      </c>
      <c r="B1959" s="7" t="s">
        <v>4812</v>
      </c>
      <c r="C1959" s="7"/>
      <c r="D1959" s="7" t="s">
        <v>4854</v>
      </c>
      <c r="E1959" s="8">
        <v>2</v>
      </c>
      <c r="F1959" s="7"/>
      <c r="G1959" s="7" t="s">
        <v>4855</v>
      </c>
      <c r="H1959" s="9"/>
      <c r="I1959" s="9"/>
      <c r="J1959" s="9"/>
      <c r="K1959" s="9"/>
      <c r="L1959" s="10">
        <v>77927</v>
      </c>
      <c r="M1959" s="9"/>
      <c r="N1959" s="10">
        <v>77927</v>
      </c>
      <c r="O1959" s="9"/>
      <c r="P1959" s="10"/>
      <c r="Q1959" s="10"/>
      <c r="R1959" s="10"/>
      <c r="S1959" s="7" t="s">
        <v>54</v>
      </c>
      <c r="T1959" s="7" t="s">
        <v>4813</v>
      </c>
      <c r="U1959" s="7" t="s">
        <v>44</v>
      </c>
      <c r="V1959" s="7" t="s">
        <v>45</v>
      </c>
      <c r="W1959" s="7" t="s">
        <v>46</v>
      </c>
      <c r="X1959" s="7" t="s">
        <v>4856</v>
      </c>
      <c r="Y1959" s="7" t="s">
        <v>4857</v>
      </c>
      <c r="Z1959" s="7" t="s">
        <v>92</v>
      </c>
      <c r="AA1959" s="7"/>
      <c r="AB1959" s="7"/>
      <c r="AC1959" s="7" t="s">
        <v>4817</v>
      </c>
      <c r="AD1959" s="7" t="s">
        <v>4848</v>
      </c>
      <c r="AE1959" s="7" t="s">
        <v>4858</v>
      </c>
      <c r="AF1959" s="7" t="s">
        <v>113</v>
      </c>
      <c r="AG1959" s="7" t="s">
        <v>366</v>
      </c>
      <c r="AH1959" s="7" t="s">
        <v>4818</v>
      </c>
    </row>
    <row r="1960" spans="1:34" ht="9.75" customHeight="1" x14ac:dyDescent="0.2">
      <c r="A1960" s="7" t="s">
        <v>4811</v>
      </c>
      <c r="B1960" s="7" t="s">
        <v>4812</v>
      </c>
      <c r="C1960" s="7"/>
      <c r="D1960" s="7" t="s">
        <v>4859</v>
      </c>
      <c r="E1960" s="8">
        <v>3</v>
      </c>
      <c r="F1960" s="7"/>
      <c r="G1960" s="7" t="s">
        <v>4860</v>
      </c>
      <c r="H1960" s="9"/>
      <c r="I1960" s="9"/>
      <c r="J1960" s="9"/>
      <c r="K1960" s="9"/>
      <c r="L1960" s="10">
        <v>65354</v>
      </c>
      <c r="M1960" s="9"/>
      <c r="N1960" s="10">
        <v>65354</v>
      </c>
      <c r="O1960" s="9"/>
      <c r="P1960" s="10"/>
      <c r="Q1960" s="10"/>
      <c r="R1960" s="10"/>
      <c r="S1960" s="7" t="s">
        <v>54</v>
      </c>
      <c r="T1960" s="7" t="s">
        <v>4813</v>
      </c>
      <c r="U1960" s="7" t="s">
        <v>44</v>
      </c>
      <c r="V1960" s="7" t="s">
        <v>45</v>
      </c>
      <c r="W1960" s="7" t="s">
        <v>46</v>
      </c>
      <c r="X1960" s="7" t="s">
        <v>90</v>
      </c>
      <c r="Y1960" s="7" t="s">
        <v>4861</v>
      </c>
      <c r="Z1960" s="7" t="s">
        <v>92</v>
      </c>
      <c r="AA1960" s="7"/>
      <c r="AB1960" s="7"/>
      <c r="AC1960" s="7" t="s">
        <v>4817</v>
      </c>
      <c r="AD1960" s="7" t="s">
        <v>4848</v>
      </c>
      <c r="AE1960" s="7" t="s">
        <v>4862</v>
      </c>
      <c r="AF1960" s="7" t="s">
        <v>113</v>
      </c>
      <c r="AG1960" s="7" t="s">
        <v>366</v>
      </c>
      <c r="AH1960" s="7" t="s">
        <v>4818</v>
      </c>
    </row>
    <row r="1961" spans="1:34" ht="9.75" customHeight="1" x14ac:dyDescent="0.2">
      <c r="A1961" s="7" t="s">
        <v>4811</v>
      </c>
      <c r="B1961" s="7" t="s">
        <v>4812</v>
      </c>
      <c r="C1961" s="7"/>
      <c r="D1961" s="7" t="s">
        <v>4863</v>
      </c>
      <c r="E1961" s="8">
        <v>2</v>
      </c>
      <c r="F1961" s="7"/>
      <c r="G1961" s="7" t="s">
        <v>4864</v>
      </c>
      <c r="H1961" s="9"/>
      <c r="I1961" s="9"/>
      <c r="J1961" s="9"/>
      <c r="K1961" s="9"/>
      <c r="L1961" s="10">
        <v>44006</v>
      </c>
      <c r="M1961" s="9"/>
      <c r="N1961" s="10">
        <v>44006</v>
      </c>
      <c r="O1961" s="9"/>
      <c r="P1961" s="10"/>
      <c r="Q1961" s="10"/>
      <c r="R1961" s="10"/>
      <c r="S1961" s="7" t="s">
        <v>54</v>
      </c>
      <c r="T1961" s="7" t="s">
        <v>4813</v>
      </c>
      <c r="U1961" s="7" t="s">
        <v>44</v>
      </c>
      <c r="V1961" s="7" t="s">
        <v>45</v>
      </c>
      <c r="W1961" s="7" t="s">
        <v>67</v>
      </c>
      <c r="X1961" s="7" t="s">
        <v>68</v>
      </c>
      <c r="Y1961" s="7" t="s">
        <v>4865</v>
      </c>
      <c r="Z1961" s="7" t="s">
        <v>92</v>
      </c>
      <c r="AA1961" s="7"/>
      <c r="AB1961" s="7"/>
      <c r="AC1961" s="7" t="s">
        <v>4817</v>
      </c>
      <c r="AD1961" s="7" t="s">
        <v>4848</v>
      </c>
      <c r="AE1961" s="7" t="s">
        <v>4866</v>
      </c>
      <c r="AF1961" s="7" t="s">
        <v>113</v>
      </c>
      <c r="AG1961" s="7" t="s">
        <v>366</v>
      </c>
      <c r="AH1961" s="7" t="s">
        <v>4818</v>
      </c>
    </row>
    <row r="1962" spans="1:34" ht="9.75" customHeight="1" x14ac:dyDescent="0.2">
      <c r="A1962" s="7" t="s">
        <v>4811</v>
      </c>
      <c r="B1962" s="7" t="s">
        <v>4812</v>
      </c>
      <c r="C1962" s="7"/>
      <c r="D1962" s="7" t="s">
        <v>4867</v>
      </c>
      <c r="E1962" s="8">
        <v>2</v>
      </c>
      <c r="F1962" s="7"/>
      <c r="G1962" s="7" t="s">
        <v>4868</v>
      </c>
      <c r="H1962" s="9"/>
      <c r="I1962" s="9"/>
      <c r="J1962" s="9"/>
      <c r="K1962" s="9"/>
      <c r="L1962" s="10">
        <v>42000</v>
      </c>
      <c r="M1962" s="9"/>
      <c r="N1962" s="10">
        <v>42000</v>
      </c>
      <c r="O1962" s="9"/>
      <c r="P1962" s="10"/>
      <c r="Q1962" s="10"/>
      <c r="R1962" s="10"/>
      <c r="S1962" s="7" t="s">
        <v>54</v>
      </c>
      <c r="T1962" s="7" t="s">
        <v>4813</v>
      </c>
      <c r="U1962" s="7" t="s">
        <v>44</v>
      </c>
      <c r="V1962" s="7" t="s">
        <v>45</v>
      </c>
      <c r="W1962" s="7" t="s">
        <v>46</v>
      </c>
      <c r="X1962" s="7" t="s">
        <v>90</v>
      </c>
      <c r="Y1962" s="7" t="s">
        <v>4869</v>
      </c>
      <c r="Z1962" s="7" t="s">
        <v>92</v>
      </c>
      <c r="AA1962" s="7"/>
      <c r="AB1962" s="7"/>
      <c r="AC1962" s="7" t="s">
        <v>4817</v>
      </c>
      <c r="AD1962" s="7" t="s">
        <v>4848</v>
      </c>
      <c r="AE1962" s="7" t="s">
        <v>4870</v>
      </c>
      <c r="AF1962" s="7" t="s">
        <v>113</v>
      </c>
      <c r="AG1962" s="7" t="s">
        <v>366</v>
      </c>
      <c r="AH1962" s="7" t="s">
        <v>4818</v>
      </c>
    </row>
    <row r="1963" spans="1:34" ht="9.75" customHeight="1" x14ac:dyDescent="0.2">
      <c r="A1963" s="7" t="s">
        <v>4811</v>
      </c>
      <c r="B1963" s="7" t="s">
        <v>4812</v>
      </c>
      <c r="C1963" s="7"/>
      <c r="D1963" s="7" t="s">
        <v>4871</v>
      </c>
      <c r="E1963" s="8">
        <v>2</v>
      </c>
      <c r="F1963" s="7"/>
      <c r="G1963" s="7" t="s">
        <v>4872</v>
      </c>
      <c r="H1963" s="9"/>
      <c r="I1963" s="9"/>
      <c r="J1963" s="9"/>
      <c r="K1963" s="9"/>
      <c r="L1963" s="10">
        <v>40142</v>
      </c>
      <c r="M1963" s="9"/>
      <c r="N1963" s="10">
        <v>40142</v>
      </c>
      <c r="O1963" s="9"/>
      <c r="P1963" s="10"/>
      <c r="Q1963" s="10"/>
      <c r="R1963" s="10"/>
      <c r="S1963" s="7" t="s">
        <v>54</v>
      </c>
      <c r="T1963" s="7" t="s">
        <v>4813</v>
      </c>
      <c r="U1963" s="7"/>
      <c r="V1963" s="7"/>
      <c r="W1963" s="7"/>
      <c r="X1963" s="7"/>
      <c r="Y1963" s="7" t="s">
        <v>4873</v>
      </c>
      <c r="Z1963" s="7" t="s">
        <v>92</v>
      </c>
      <c r="AA1963" s="7"/>
      <c r="AB1963" s="7"/>
      <c r="AC1963" s="7" t="s">
        <v>4817</v>
      </c>
      <c r="AD1963" s="7" t="s">
        <v>4848</v>
      </c>
      <c r="AE1963" s="7" t="s">
        <v>4874</v>
      </c>
      <c r="AF1963" s="7" t="s">
        <v>113</v>
      </c>
      <c r="AG1963" s="7" t="s">
        <v>366</v>
      </c>
      <c r="AH1963" s="7" t="s">
        <v>4818</v>
      </c>
    </row>
    <row r="1964" spans="1:34" ht="9.75" customHeight="1" x14ac:dyDescent="0.2">
      <c r="A1964" s="7" t="s">
        <v>4811</v>
      </c>
      <c r="B1964" s="7" t="s">
        <v>4812</v>
      </c>
      <c r="C1964" s="7"/>
      <c r="D1964" s="7" t="s">
        <v>4875</v>
      </c>
      <c r="E1964" s="8">
        <v>2</v>
      </c>
      <c r="F1964" s="7"/>
      <c r="G1964" s="7" t="s">
        <v>4876</v>
      </c>
      <c r="H1964" s="9"/>
      <c r="I1964" s="9"/>
      <c r="J1964" s="9"/>
      <c r="K1964" s="9"/>
      <c r="L1964" s="10">
        <v>40125</v>
      </c>
      <c r="M1964" s="9"/>
      <c r="N1964" s="10">
        <v>40125</v>
      </c>
      <c r="O1964" s="9"/>
      <c r="P1964" s="10"/>
      <c r="Q1964" s="10"/>
      <c r="R1964" s="10"/>
      <c r="S1964" s="7" t="s">
        <v>54</v>
      </c>
      <c r="T1964" s="7" t="s">
        <v>4813</v>
      </c>
      <c r="U1964" s="7" t="s">
        <v>44</v>
      </c>
      <c r="V1964" s="7" t="s">
        <v>45</v>
      </c>
      <c r="W1964" s="7" t="s">
        <v>67</v>
      </c>
      <c r="X1964" s="7" t="s">
        <v>68</v>
      </c>
      <c r="Y1964" s="7" t="s">
        <v>4877</v>
      </c>
      <c r="Z1964" s="7" t="s">
        <v>1960</v>
      </c>
      <c r="AA1964" s="7"/>
      <c r="AB1964" s="7"/>
      <c r="AC1964" s="7" t="s">
        <v>4817</v>
      </c>
      <c r="AD1964" s="7" t="s">
        <v>4848</v>
      </c>
      <c r="AE1964" s="7" t="s">
        <v>4878</v>
      </c>
      <c r="AF1964" s="7" t="s">
        <v>113</v>
      </c>
      <c r="AG1964" s="7" t="s">
        <v>366</v>
      </c>
      <c r="AH1964" s="7" t="s">
        <v>4818</v>
      </c>
    </row>
    <row r="1965" spans="1:34" ht="9.75" customHeight="1" x14ac:dyDescent="0.2">
      <c r="A1965" s="7" t="s">
        <v>4811</v>
      </c>
      <c r="B1965" s="7" t="s">
        <v>4812</v>
      </c>
      <c r="C1965" s="7"/>
      <c r="D1965" s="7" t="s">
        <v>4879</v>
      </c>
      <c r="E1965" s="8">
        <v>2</v>
      </c>
      <c r="F1965" s="7"/>
      <c r="G1965" s="7" t="s">
        <v>4880</v>
      </c>
      <c r="H1965" s="9"/>
      <c r="I1965" s="9"/>
      <c r="J1965" s="9"/>
      <c r="K1965" s="9"/>
      <c r="L1965" s="10">
        <v>32154</v>
      </c>
      <c r="M1965" s="9"/>
      <c r="N1965" s="10">
        <v>32154</v>
      </c>
      <c r="O1965" s="9"/>
      <c r="P1965" s="10"/>
      <c r="Q1965" s="10"/>
      <c r="R1965" s="10"/>
      <c r="S1965" s="7" t="s">
        <v>54</v>
      </c>
      <c r="T1965" s="7" t="s">
        <v>4813</v>
      </c>
      <c r="U1965" s="7" t="s">
        <v>44</v>
      </c>
      <c r="V1965" s="7" t="s">
        <v>45</v>
      </c>
      <c r="W1965" s="7" t="s">
        <v>46</v>
      </c>
      <c r="X1965" s="7" t="s">
        <v>4856</v>
      </c>
      <c r="Y1965" s="7" t="s">
        <v>4881</v>
      </c>
      <c r="Z1965" s="7" t="s">
        <v>92</v>
      </c>
      <c r="AA1965" s="7"/>
      <c r="AB1965" s="7"/>
      <c r="AC1965" s="7" t="s">
        <v>4817</v>
      </c>
      <c r="AD1965" s="7" t="s">
        <v>4848</v>
      </c>
      <c r="AE1965" s="7" t="s">
        <v>4882</v>
      </c>
      <c r="AF1965" s="7" t="s">
        <v>113</v>
      </c>
      <c r="AG1965" s="7" t="s">
        <v>366</v>
      </c>
      <c r="AH1965" s="7" t="s">
        <v>4818</v>
      </c>
    </row>
    <row r="1966" spans="1:34" ht="9.75" customHeight="1" x14ac:dyDescent="0.2">
      <c r="A1966" s="7" t="s">
        <v>4811</v>
      </c>
      <c r="B1966" s="7" t="s">
        <v>4812</v>
      </c>
      <c r="C1966" s="7"/>
      <c r="D1966" s="7" t="s">
        <v>4883</v>
      </c>
      <c r="E1966" s="8">
        <v>2</v>
      </c>
      <c r="F1966" s="7"/>
      <c r="G1966" s="7" t="s">
        <v>4884</v>
      </c>
      <c r="H1966" s="9"/>
      <c r="I1966" s="9"/>
      <c r="J1966" s="9"/>
      <c r="K1966" s="9"/>
      <c r="L1966" s="10">
        <v>24751</v>
      </c>
      <c r="M1966" s="9"/>
      <c r="N1966" s="10">
        <v>24751</v>
      </c>
      <c r="O1966" s="9"/>
      <c r="P1966" s="10"/>
      <c r="Q1966" s="10"/>
      <c r="R1966" s="10"/>
      <c r="S1966" s="7" t="s">
        <v>54</v>
      </c>
      <c r="T1966" s="7" t="s">
        <v>4813</v>
      </c>
      <c r="U1966" s="7" t="s">
        <v>44</v>
      </c>
      <c r="V1966" s="7" t="s">
        <v>45</v>
      </c>
      <c r="W1966" s="7" t="s">
        <v>67</v>
      </c>
      <c r="X1966" s="7" t="s">
        <v>68</v>
      </c>
      <c r="Y1966" s="7" t="s">
        <v>4885</v>
      </c>
      <c r="Z1966" s="7" t="s">
        <v>92</v>
      </c>
      <c r="AA1966" s="7"/>
      <c r="AB1966" s="7"/>
      <c r="AC1966" s="7" t="s">
        <v>4817</v>
      </c>
      <c r="AD1966" s="7" t="s">
        <v>4848</v>
      </c>
      <c r="AE1966" s="7" t="s">
        <v>4886</v>
      </c>
      <c r="AF1966" s="7" t="s">
        <v>113</v>
      </c>
      <c r="AG1966" s="7" t="s">
        <v>366</v>
      </c>
      <c r="AH1966" s="7" t="s">
        <v>4818</v>
      </c>
    </row>
    <row r="1967" spans="1:34" ht="9.75" customHeight="1" x14ac:dyDescent="0.2">
      <c r="A1967" s="7" t="s">
        <v>4811</v>
      </c>
      <c r="B1967" s="7" t="s">
        <v>4812</v>
      </c>
      <c r="C1967" s="7"/>
      <c r="D1967" s="7" t="s">
        <v>4887</v>
      </c>
      <c r="E1967" s="8">
        <v>6</v>
      </c>
      <c r="F1967" s="7"/>
      <c r="G1967" s="7" t="s">
        <v>4888</v>
      </c>
      <c r="H1967" s="9"/>
      <c r="I1967" s="9"/>
      <c r="J1967" s="9"/>
      <c r="K1967" s="9"/>
      <c r="L1967" s="10">
        <v>22754</v>
      </c>
      <c r="M1967" s="9"/>
      <c r="N1967" s="10">
        <v>22754</v>
      </c>
      <c r="O1967" s="9"/>
      <c r="P1967" s="10"/>
      <c r="Q1967" s="10"/>
      <c r="R1967" s="10"/>
      <c r="S1967" s="7" t="s">
        <v>54</v>
      </c>
      <c r="T1967" s="7" t="s">
        <v>4813</v>
      </c>
      <c r="U1967" s="7" t="s">
        <v>44</v>
      </c>
      <c r="V1967" s="7" t="s">
        <v>45</v>
      </c>
      <c r="W1967" s="7" t="s">
        <v>46</v>
      </c>
      <c r="X1967" s="7" t="s">
        <v>90</v>
      </c>
      <c r="Y1967" s="7" t="s">
        <v>4889</v>
      </c>
      <c r="Z1967" s="7" t="s">
        <v>92</v>
      </c>
      <c r="AA1967" s="7"/>
      <c r="AB1967" s="7"/>
      <c r="AC1967" s="7" t="s">
        <v>4817</v>
      </c>
      <c r="AD1967" s="7" t="s">
        <v>4848</v>
      </c>
      <c r="AE1967" s="7" t="s">
        <v>4890</v>
      </c>
      <c r="AF1967" s="7" t="s">
        <v>113</v>
      </c>
      <c r="AG1967" s="7" t="s">
        <v>366</v>
      </c>
      <c r="AH1967" s="7" t="s">
        <v>4818</v>
      </c>
    </row>
    <row r="1968" spans="1:34" ht="9.75" customHeight="1" x14ac:dyDescent="0.2">
      <c r="A1968" s="7" t="s">
        <v>4811</v>
      </c>
      <c r="B1968" s="7" t="s">
        <v>4812</v>
      </c>
      <c r="C1968" s="7"/>
      <c r="D1968" s="7" t="s">
        <v>4891</v>
      </c>
      <c r="E1968" s="8">
        <v>2</v>
      </c>
      <c r="F1968" s="7"/>
      <c r="G1968" s="7" t="s">
        <v>4892</v>
      </c>
      <c r="H1968" s="9"/>
      <c r="I1968" s="9"/>
      <c r="J1968" s="9"/>
      <c r="K1968" s="9"/>
      <c r="L1968" s="10">
        <v>20603</v>
      </c>
      <c r="M1968" s="9"/>
      <c r="N1968" s="10">
        <v>20603</v>
      </c>
      <c r="O1968" s="9"/>
      <c r="P1968" s="10"/>
      <c r="Q1968" s="10"/>
      <c r="R1968" s="10"/>
      <c r="S1968" s="7" t="s">
        <v>54</v>
      </c>
      <c r="T1968" s="7" t="s">
        <v>4813</v>
      </c>
      <c r="U1968" s="7" t="s">
        <v>44</v>
      </c>
      <c r="V1968" s="7" t="s">
        <v>45</v>
      </c>
      <c r="W1968" s="7" t="s">
        <v>46</v>
      </c>
      <c r="X1968" s="7" t="s">
        <v>90</v>
      </c>
      <c r="Y1968" s="7" t="s">
        <v>4893</v>
      </c>
      <c r="Z1968" s="7" t="s">
        <v>528</v>
      </c>
      <c r="AA1968" s="7"/>
      <c r="AB1968" s="7"/>
      <c r="AC1968" s="7" t="s">
        <v>4817</v>
      </c>
      <c r="AD1968" s="7" t="s">
        <v>4848</v>
      </c>
      <c r="AE1968" s="7" t="s">
        <v>4894</v>
      </c>
      <c r="AF1968" s="7" t="s">
        <v>113</v>
      </c>
      <c r="AG1968" s="7" t="s">
        <v>366</v>
      </c>
      <c r="AH1968" s="7" t="s">
        <v>4818</v>
      </c>
    </row>
    <row r="1969" spans="1:34" ht="9.75" customHeight="1" x14ac:dyDescent="0.2">
      <c r="A1969" s="7" t="s">
        <v>4811</v>
      </c>
      <c r="B1969" s="7" t="s">
        <v>4812</v>
      </c>
      <c r="C1969" s="7"/>
      <c r="D1969" s="7" t="s">
        <v>4895</v>
      </c>
      <c r="E1969" s="8">
        <v>2</v>
      </c>
      <c r="F1969" s="7"/>
      <c r="G1969" s="7" t="s">
        <v>4896</v>
      </c>
      <c r="H1969" s="9"/>
      <c r="I1969" s="9"/>
      <c r="J1969" s="9"/>
      <c r="K1969" s="9"/>
      <c r="L1969" s="10">
        <v>13788</v>
      </c>
      <c r="M1969" s="9"/>
      <c r="N1969" s="10">
        <v>13788</v>
      </c>
      <c r="O1969" s="9"/>
      <c r="P1969" s="10"/>
      <c r="Q1969" s="10"/>
      <c r="R1969" s="10"/>
      <c r="S1969" s="7" t="s">
        <v>54</v>
      </c>
      <c r="T1969" s="7" t="s">
        <v>4813</v>
      </c>
      <c r="U1969" s="7" t="s">
        <v>44</v>
      </c>
      <c r="V1969" s="7" t="s">
        <v>45</v>
      </c>
      <c r="W1969" s="7" t="s">
        <v>67</v>
      </c>
      <c r="X1969" s="7" t="s">
        <v>68</v>
      </c>
      <c r="Y1969" s="7" t="s">
        <v>4897</v>
      </c>
      <c r="Z1969" s="7" t="s">
        <v>4898</v>
      </c>
      <c r="AA1969" s="7"/>
      <c r="AB1969" s="7"/>
      <c r="AC1969" s="7" t="s">
        <v>4817</v>
      </c>
      <c r="AD1969" s="7" t="s">
        <v>4848</v>
      </c>
      <c r="AE1969" s="7" t="s">
        <v>4899</v>
      </c>
      <c r="AF1969" s="7" t="s">
        <v>113</v>
      </c>
      <c r="AG1969" s="7" t="s">
        <v>366</v>
      </c>
      <c r="AH1969" s="7" t="s">
        <v>4818</v>
      </c>
    </row>
    <row r="1970" spans="1:34" ht="9.75" customHeight="1" x14ac:dyDescent="0.2">
      <c r="A1970" s="7" t="s">
        <v>4811</v>
      </c>
      <c r="B1970" s="7" t="s">
        <v>4812</v>
      </c>
      <c r="C1970" s="7"/>
      <c r="D1970" s="7" t="s">
        <v>4900</v>
      </c>
      <c r="E1970" s="8">
        <v>2</v>
      </c>
      <c r="F1970" s="7"/>
      <c r="G1970" s="7" t="s">
        <v>4901</v>
      </c>
      <c r="H1970" s="9"/>
      <c r="I1970" s="9"/>
      <c r="J1970" s="9"/>
      <c r="K1970" s="9"/>
      <c r="L1970" s="10">
        <v>12972</v>
      </c>
      <c r="M1970" s="9"/>
      <c r="N1970" s="10">
        <v>12972</v>
      </c>
      <c r="O1970" s="9"/>
      <c r="P1970" s="10"/>
      <c r="Q1970" s="10"/>
      <c r="R1970" s="10"/>
      <c r="S1970" s="7" t="s">
        <v>54</v>
      </c>
      <c r="T1970" s="7" t="s">
        <v>4813</v>
      </c>
      <c r="U1970" s="7" t="s">
        <v>44</v>
      </c>
      <c r="V1970" s="7" t="s">
        <v>45</v>
      </c>
      <c r="W1970" s="7" t="s">
        <v>46</v>
      </c>
      <c r="X1970" s="7" t="s">
        <v>90</v>
      </c>
      <c r="Y1970" s="7" t="s">
        <v>4902</v>
      </c>
      <c r="Z1970" s="7" t="s">
        <v>4729</v>
      </c>
      <c r="AA1970" s="7"/>
      <c r="AB1970" s="7"/>
      <c r="AC1970" s="7" t="s">
        <v>4817</v>
      </c>
      <c r="AD1970" s="7" t="s">
        <v>4848</v>
      </c>
      <c r="AE1970" s="7" t="s">
        <v>4903</v>
      </c>
      <c r="AF1970" s="7" t="s">
        <v>113</v>
      </c>
      <c r="AG1970" s="7" t="s">
        <v>366</v>
      </c>
      <c r="AH1970" s="7" t="s">
        <v>4818</v>
      </c>
    </row>
    <row r="1971" spans="1:34" ht="9.75" customHeight="1" x14ac:dyDescent="0.2">
      <c r="A1971" s="7" t="s">
        <v>4811</v>
      </c>
      <c r="B1971" s="7" t="s">
        <v>4812</v>
      </c>
      <c r="C1971" s="7"/>
      <c r="D1971" s="7" t="s">
        <v>4904</v>
      </c>
      <c r="E1971" s="8">
        <v>2</v>
      </c>
      <c r="F1971" s="7"/>
      <c r="G1971" s="7" t="s">
        <v>4905</v>
      </c>
      <c r="H1971" s="9"/>
      <c r="I1971" s="9"/>
      <c r="J1971" s="9"/>
      <c r="K1971" s="9"/>
      <c r="L1971" s="10">
        <v>-42775</v>
      </c>
      <c r="M1971" s="9"/>
      <c r="N1971" s="10">
        <v>-42775</v>
      </c>
      <c r="O1971" s="9"/>
      <c r="P1971" s="10"/>
      <c r="Q1971" s="10"/>
      <c r="R1971" s="10"/>
      <c r="S1971" s="7" t="s">
        <v>54</v>
      </c>
      <c r="T1971" s="7" t="s">
        <v>4813</v>
      </c>
      <c r="U1971" s="7" t="s">
        <v>44</v>
      </c>
      <c r="V1971" s="7" t="s">
        <v>45</v>
      </c>
      <c r="W1971" s="7" t="s">
        <v>67</v>
      </c>
      <c r="X1971" s="7" t="s">
        <v>68</v>
      </c>
      <c r="Y1971" s="7" t="s">
        <v>4906</v>
      </c>
      <c r="Z1971" s="7" t="s">
        <v>4729</v>
      </c>
      <c r="AA1971" s="7"/>
      <c r="AB1971" s="7"/>
      <c r="AC1971" s="7" t="s">
        <v>4817</v>
      </c>
      <c r="AD1971" s="7" t="s">
        <v>4907</v>
      </c>
      <c r="AE1971" s="7" t="s">
        <v>4853</v>
      </c>
      <c r="AF1971" s="7" t="s">
        <v>113</v>
      </c>
      <c r="AG1971" s="7" t="s">
        <v>366</v>
      </c>
      <c r="AH1971" s="7" t="s">
        <v>4818</v>
      </c>
    </row>
    <row r="1972" spans="1:34" ht="9.75" customHeight="1" x14ac:dyDescent="0.2">
      <c r="A1972" s="7" t="s">
        <v>4811</v>
      </c>
      <c r="B1972" s="7" t="s">
        <v>4812</v>
      </c>
      <c r="C1972" s="7"/>
      <c r="D1972" s="7" t="s">
        <v>4908</v>
      </c>
      <c r="E1972" s="7" t="s">
        <v>4814</v>
      </c>
      <c r="F1972" s="7"/>
      <c r="G1972" s="7" t="s">
        <v>4909</v>
      </c>
      <c r="H1972" s="9"/>
      <c r="I1972" s="9"/>
      <c r="J1972" s="9"/>
      <c r="K1972" s="9"/>
      <c r="L1972" s="10">
        <v>-76395</v>
      </c>
      <c r="M1972" s="9"/>
      <c r="N1972" s="10">
        <v>-76395</v>
      </c>
      <c r="O1972" s="9"/>
      <c r="P1972" s="10"/>
      <c r="Q1972" s="10"/>
      <c r="R1972" s="10"/>
      <c r="S1972" s="7" t="s">
        <v>54</v>
      </c>
      <c r="T1972" s="7" t="s">
        <v>4813</v>
      </c>
      <c r="U1972" s="7"/>
      <c r="V1972" s="7"/>
      <c r="W1972" s="7"/>
      <c r="X1972" s="7"/>
      <c r="Y1972" s="7" t="s">
        <v>4910</v>
      </c>
      <c r="Z1972" s="7" t="s">
        <v>4729</v>
      </c>
      <c r="AA1972" s="7"/>
      <c r="AB1972" s="7"/>
      <c r="AC1972" s="7" t="s">
        <v>4817</v>
      </c>
      <c r="AD1972" s="7" t="s">
        <v>4907</v>
      </c>
      <c r="AE1972" s="7" t="s">
        <v>4862</v>
      </c>
      <c r="AF1972" s="7" t="s">
        <v>113</v>
      </c>
      <c r="AG1972" s="7" t="s">
        <v>366</v>
      </c>
      <c r="AH1972" s="7" t="s">
        <v>4818</v>
      </c>
    </row>
    <row r="1973" spans="1:34" ht="9.75" customHeight="1" x14ac:dyDescent="0.2">
      <c r="A1973" s="7" t="s">
        <v>4811</v>
      </c>
      <c r="B1973" s="7" t="s">
        <v>4812</v>
      </c>
      <c r="C1973" s="7"/>
      <c r="D1973" s="7" t="s">
        <v>4911</v>
      </c>
      <c r="E1973" s="7" t="s">
        <v>4814</v>
      </c>
      <c r="F1973" s="7"/>
      <c r="G1973" s="7" t="s">
        <v>4912</v>
      </c>
      <c r="H1973" s="9"/>
      <c r="I1973" s="9"/>
      <c r="J1973" s="9"/>
      <c r="K1973" s="9"/>
      <c r="L1973" s="10">
        <v>-207734</v>
      </c>
      <c r="M1973" s="9"/>
      <c r="N1973" s="10">
        <v>-207734</v>
      </c>
      <c r="O1973" s="9"/>
      <c r="P1973" s="10"/>
      <c r="Q1973" s="10"/>
      <c r="R1973" s="10"/>
      <c r="S1973" s="7" t="s">
        <v>54</v>
      </c>
      <c r="T1973" s="7" t="s">
        <v>4813</v>
      </c>
      <c r="U1973" s="7"/>
      <c r="V1973" s="7"/>
      <c r="W1973" s="7"/>
      <c r="X1973" s="7"/>
      <c r="Y1973" s="7" t="s">
        <v>4913</v>
      </c>
      <c r="Z1973" s="7" t="s">
        <v>4729</v>
      </c>
      <c r="AA1973" s="7"/>
      <c r="AB1973" s="7"/>
      <c r="AC1973" s="7" t="s">
        <v>4817</v>
      </c>
      <c r="AD1973" s="7" t="s">
        <v>4907</v>
      </c>
      <c r="AE1973" s="7" t="s">
        <v>4866</v>
      </c>
      <c r="AF1973" s="7" t="s">
        <v>113</v>
      </c>
      <c r="AG1973" s="7" t="s">
        <v>366</v>
      </c>
      <c r="AH1973" s="7" t="s">
        <v>4818</v>
      </c>
    </row>
    <row r="1974" spans="1:34" ht="9.75" customHeight="1" x14ac:dyDescent="0.2">
      <c r="A1974" s="7" t="s">
        <v>4811</v>
      </c>
      <c r="B1974" s="7" t="s">
        <v>4812</v>
      </c>
      <c r="C1974" s="7" t="s">
        <v>4914</v>
      </c>
      <c r="D1974" s="7" t="s">
        <v>4915</v>
      </c>
      <c r="E1974" s="8">
        <v>2</v>
      </c>
      <c r="F1974" s="7"/>
      <c r="G1974" s="7"/>
      <c r="H1974" s="9"/>
      <c r="I1974" s="10">
        <v>1769659</v>
      </c>
      <c r="J1974" s="10">
        <v>2228255</v>
      </c>
      <c r="K1974" s="9"/>
      <c r="L1974" s="10">
        <v>3971574</v>
      </c>
      <c r="M1974" s="9"/>
      <c r="N1974" s="10">
        <v>3971574</v>
      </c>
      <c r="O1974" s="9"/>
      <c r="P1974" s="10"/>
      <c r="Q1974" s="10"/>
      <c r="R1974" s="10"/>
      <c r="S1974" s="7" t="s">
        <v>54</v>
      </c>
      <c r="T1974" s="7" t="s">
        <v>4813</v>
      </c>
      <c r="U1974" s="7"/>
      <c r="V1974" s="7"/>
      <c r="W1974" s="7"/>
      <c r="X1974" s="7"/>
      <c r="Y1974" s="7" t="s">
        <v>4916</v>
      </c>
      <c r="Z1974" s="7" t="s">
        <v>2205</v>
      </c>
      <c r="AA1974" s="7"/>
      <c r="AB1974" s="7"/>
      <c r="AC1974" s="7" t="s">
        <v>4817</v>
      </c>
      <c r="AD1974" s="7" t="s">
        <v>4917</v>
      </c>
      <c r="AE1974" s="7"/>
      <c r="AF1974" s="7" t="s">
        <v>113</v>
      </c>
      <c r="AG1974" s="7" t="s">
        <v>366</v>
      </c>
      <c r="AH1974" s="7" t="s">
        <v>4818</v>
      </c>
    </row>
    <row r="1975" spans="1:34" ht="9.75" customHeight="1" x14ac:dyDescent="0.2">
      <c r="A1975" s="7" t="s">
        <v>4811</v>
      </c>
      <c r="B1975" s="7" t="s">
        <v>4812</v>
      </c>
      <c r="C1975" s="7" t="s">
        <v>4918</v>
      </c>
      <c r="D1975" s="7" t="s">
        <v>4919</v>
      </c>
      <c r="E1975" s="7" t="s">
        <v>4814</v>
      </c>
      <c r="F1975" s="7"/>
      <c r="G1975" s="7"/>
      <c r="H1975" s="9"/>
      <c r="I1975" s="10">
        <v>369293</v>
      </c>
      <c r="J1975" s="10">
        <v>311029</v>
      </c>
      <c r="K1975" s="9"/>
      <c r="L1975" s="10">
        <v>502290</v>
      </c>
      <c r="M1975" s="9"/>
      <c r="N1975" s="10">
        <v>502290</v>
      </c>
      <c r="O1975" s="9"/>
      <c r="P1975" s="10"/>
      <c r="Q1975" s="10"/>
      <c r="R1975" s="10"/>
      <c r="S1975" s="7" t="s">
        <v>54</v>
      </c>
      <c r="T1975" s="7" t="s">
        <v>4813</v>
      </c>
      <c r="U1975" s="7"/>
      <c r="V1975" s="7"/>
      <c r="W1975" s="7"/>
      <c r="X1975" s="7"/>
      <c r="Y1975" s="7" t="s">
        <v>4920</v>
      </c>
      <c r="Z1975" s="7" t="s">
        <v>2205</v>
      </c>
      <c r="AA1975" s="7"/>
      <c r="AB1975" s="7"/>
      <c r="AC1975" s="7" t="s">
        <v>4817</v>
      </c>
      <c r="AD1975" s="7" t="s">
        <v>4921</v>
      </c>
      <c r="AE1975" s="7"/>
      <c r="AF1975" s="7" t="s">
        <v>113</v>
      </c>
      <c r="AG1975" s="7" t="s">
        <v>366</v>
      </c>
      <c r="AH1975" s="7" t="s">
        <v>4818</v>
      </c>
    </row>
    <row r="1976" spans="1:34" ht="9.75" customHeight="1" x14ac:dyDescent="0.2">
      <c r="A1976" s="7" t="s">
        <v>4811</v>
      </c>
      <c r="B1976" s="7" t="s">
        <v>4812</v>
      </c>
      <c r="C1976" s="7" t="s">
        <v>1343</v>
      </c>
      <c r="D1976" s="7" t="s">
        <v>4922</v>
      </c>
      <c r="E1976" s="7" t="s">
        <v>4814</v>
      </c>
      <c r="F1976" s="7"/>
      <c r="G1976" s="7"/>
      <c r="H1976" s="9"/>
      <c r="I1976" s="10">
        <v>2865677</v>
      </c>
      <c r="J1976" s="10">
        <v>3255145</v>
      </c>
      <c r="K1976" s="9"/>
      <c r="L1976" s="10">
        <v>3057102</v>
      </c>
      <c r="M1976" s="9"/>
      <c r="N1976" s="10">
        <v>3057102</v>
      </c>
      <c r="O1976" s="9"/>
      <c r="P1976" s="10"/>
      <c r="Q1976" s="10"/>
      <c r="R1976" s="10"/>
      <c r="S1976" s="7" t="s">
        <v>54</v>
      </c>
      <c r="T1976" s="7" t="s">
        <v>4813</v>
      </c>
      <c r="U1976" s="7"/>
      <c r="V1976" s="7"/>
      <c r="W1976" s="7"/>
      <c r="X1976" s="7"/>
      <c r="Y1976" s="7" t="s">
        <v>4923</v>
      </c>
      <c r="Z1976" s="7" t="s">
        <v>4924</v>
      </c>
      <c r="AA1976" s="7"/>
      <c r="AB1976" s="7"/>
      <c r="AC1976" s="7" t="s">
        <v>4817</v>
      </c>
      <c r="AD1976" s="7" t="s">
        <v>4925</v>
      </c>
      <c r="AE1976" s="7"/>
      <c r="AF1976" s="7" t="s">
        <v>113</v>
      </c>
      <c r="AG1976" s="7" t="s">
        <v>366</v>
      </c>
      <c r="AH1976" s="7" t="s">
        <v>4818</v>
      </c>
    </row>
    <row r="1977" spans="1:34" ht="9.75" customHeight="1" x14ac:dyDescent="0.2">
      <c r="A1977" s="7" t="s">
        <v>4811</v>
      </c>
      <c r="B1977" s="7" t="s">
        <v>4812</v>
      </c>
      <c r="C1977" s="7" t="s">
        <v>1367</v>
      </c>
      <c r="D1977" s="7" t="s">
        <v>4926</v>
      </c>
      <c r="E1977" s="7" t="s">
        <v>4814</v>
      </c>
      <c r="F1977" s="7"/>
      <c r="G1977" s="7"/>
      <c r="H1977" s="9"/>
      <c r="I1977" s="10">
        <v>2686257</v>
      </c>
      <c r="J1977" s="10">
        <v>2743576</v>
      </c>
      <c r="K1977" s="9"/>
      <c r="L1977" s="10">
        <v>2713903</v>
      </c>
      <c r="M1977" s="9"/>
      <c r="N1977" s="10">
        <v>2713903</v>
      </c>
      <c r="O1977" s="9"/>
      <c r="P1977" s="10"/>
      <c r="Q1977" s="10"/>
      <c r="R1977" s="10"/>
      <c r="S1977" s="7" t="s">
        <v>54</v>
      </c>
      <c r="T1977" s="7" t="s">
        <v>4813</v>
      </c>
      <c r="U1977" s="7"/>
      <c r="V1977" s="7"/>
      <c r="W1977" s="7"/>
      <c r="X1977" s="7"/>
      <c r="Y1977" s="7" t="s">
        <v>4927</v>
      </c>
      <c r="Z1977" s="7" t="s">
        <v>4924</v>
      </c>
      <c r="AA1977" s="7"/>
      <c r="AB1977" s="7"/>
      <c r="AC1977" s="7" t="s">
        <v>4817</v>
      </c>
      <c r="AD1977" s="7" t="s">
        <v>4928</v>
      </c>
      <c r="AE1977" s="7"/>
      <c r="AF1977" s="7" t="s">
        <v>113</v>
      </c>
      <c r="AG1977" s="7" t="s">
        <v>366</v>
      </c>
      <c r="AH1977" s="7" t="s">
        <v>4818</v>
      </c>
    </row>
    <row r="1978" spans="1:34" ht="9.75" customHeight="1" x14ac:dyDescent="0.2">
      <c r="A1978" s="7" t="s">
        <v>4811</v>
      </c>
      <c r="B1978" s="7" t="s">
        <v>4812</v>
      </c>
      <c r="C1978" s="7" t="s">
        <v>4331</v>
      </c>
      <c r="D1978" s="7" t="s">
        <v>4929</v>
      </c>
      <c r="E1978" s="7" t="s">
        <v>4814</v>
      </c>
      <c r="F1978" s="7"/>
      <c r="G1978" s="7"/>
      <c r="H1978" s="9"/>
      <c r="I1978" s="10">
        <v>90272</v>
      </c>
      <c r="J1978" s="10">
        <v>307237</v>
      </c>
      <c r="K1978" s="9"/>
      <c r="L1978" s="10">
        <v>814422</v>
      </c>
      <c r="M1978" s="9"/>
      <c r="N1978" s="10">
        <v>814422</v>
      </c>
      <c r="O1978" s="9"/>
      <c r="P1978" s="10"/>
      <c r="Q1978" s="10"/>
      <c r="R1978" s="10"/>
      <c r="S1978" s="7" t="s">
        <v>54</v>
      </c>
      <c r="T1978" s="7" t="s">
        <v>4813</v>
      </c>
      <c r="U1978" s="7"/>
      <c r="V1978" s="7"/>
      <c r="W1978" s="7"/>
      <c r="X1978" s="7"/>
      <c r="Y1978" s="7" t="s">
        <v>4930</v>
      </c>
      <c r="Z1978" s="7" t="s">
        <v>4924</v>
      </c>
      <c r="AA1978" s="7"/>
      <c r="AB1978" s="7"/>
      <c r="AC1978" s="7" t="s">
        <v>4817</v>
      </c>
      <c r="AD1978" s="7" t="s">
        <v>4931</v>
      </c>
      <c r="AE1978" s="7"/>
      <c r="AF1978" s="7" t="s">
        <v>113</v>
      </c>
      <c r="AG1978" s="7" t="s">
        <v>366</v>
      </c>
      <c r="AH1978" s="7" t="s">
        <v>4818</v>
      </c>
    </row>
    <row r="1979" spans="1:34" ht="9.75" customHeight="1" x14ac:dyDescent="0.2">
      <c r="A1979" s="7" t="s">
        <v>4811</v>
      </c>
      <c r="B1979" s="7" t="s">
        <v>4812</v>
      </c>
      <c r="C1979" s="7" t="s">
        <v>4932</v>
      </c>
      <c r="D1979" s="7" t="s">
        <v>4933</v>
      </c>
      <c r="E1979" s="7" t="s">
        <v>4814</v>
      </c>
      <c r="F1979" s="7"/>
      <c r="G1979" s="7"/>
      <c r="H1979" s="9"/>
      <c r="I1979" s="10">
        <v>660585</v>
      </c>
      <c r="J1979" s="10">
        <v>715100</v>
      </c>
      <c r="K1979" s="9"/>
      <c r="L1979" s="10">
        <v>696056</v>
      </c>
      <c r="M1979" s="9"/>
      <c r="N1979" s="10">
        <v>696056</v>
      </c>
      <c r="O1979" s="9"/>
      <c r="P1979" s="10"/>
      <c r="Q1979" s="10"/>
      <c r="R1979" s="10"/>
      <c r="S1979" s="7" t="s">
        <v>54</v>
      </c>
      <c r="T1979" s="7" t="s">
        <v>4813</v>
      </c>
      <c r="U1979" s="7"/>
      <c r="V1979" s="7"/>
      <c r="W1979" s="7"/>
      <c r="X1979" s="7"/>
      <c r="Y1979" s="7" t="s">
        <v>4934</v>
      </c>
      <c r="Z1979" s="7" t="s">
        <v>4924</v>
      </c>
      <c r="AA1979" s="7"/>
      <c r="AB1979" s="7"/>
      <c r="AC1979" s="7" t="s">
        <v>4817</v>
      </c>
      <c r="AD1979" s="7" t="s">
        <v>4935</v>
      </c>
      <c r="AE1979" s="7"/>
      <c r="AF1979" s="7" t="s">
        <v>113</v>
      </c>
      <c r="AG1979" s="7" t="s">
        <v>366</v>
      </c>
      <c r="AH1979" s="7" t="s">
        <v>4818</v>
      </c>
    </row>
    <row r="1980" spans="1:34" ht="9.75" customHeight="1" x14ac:dyDescent="0.2">
      <c r="A1980" s="7" t="s">
        <v>4811</v>
      </c>
      <c r="B1980" s="7" t="s">
        <v>4812</v>
      </c>
      <c r="C1980" s="7" t="s">
        <v>4936</v>
      </c>
      <c r="D1980" s="7" t="s">
        <v>4937</v>
      </c>
      <c r="E1980" s="8">
        <v>6</v>
      </c>
      <c r="F1980" s="7"/>
      <c r="G1980" s="7"/>
      <c r="H1980" s="9"/>
      <c r="I1980" s="10">
        <v>159840</v>
      </c>
      <c r="J1980" s="10">
        <v>160689</v>
      </c>
      <c r="K1980" s="9"/>
      <c r="L1980" s="10">
        <v>170409</v>
      </c>
      <c r="M1980" s="9"/>
      <c r="N1980" s="10">
        <v>170409</v>
      </c>
      <c r="O1980" s="9"/>
      <c r="P1980" s="10"/>
      <c r="Q1980" s="10"/>
      <c r="R1980" s="10"/>
      <c r="S1980" s="7" t="s">
        <v>54</v>
      </c>
      <c r="T1980" s="7" t="s">
        <v>4813</v>
      </c>
      <c r="U1980" s="7"/>
      <c r="V1980" s="7"/>
      <c r="W1980" s="7"/>
      <c r="X1980" s="7"/>
      <c r="Y1980" s="7" t="s">
        <v>4938</v>
      </c>
      <c r="Z1980" s="7" t="s">
        <v>4924</v>
      </c>
      <c r="AA1980" s="7"/>
      <c r="AB1980" s="7"/>
      <c r="AC1980" s="7" t="s">
        <v>4817</v>
      </c>
      <c r="AD1980" s="7" t="s">
        <v>4939</v>
      </c>
      <c r="AE1980" s="7"/>
      <c r="AF1980" s="7" t="s">
        <v>113</v>
      </c>
      <c r="AG1980" s="7" t="s">
        <v>366</v>
      </c>
      <c r="AH1980" s="7" t="s">
        <v>4818</v>
      </c>
    </row>
    <row r="1981" spans="1:34" ht="9.75" customHeight="1" x14ac:dyDescent="0.2">
      <c r="A1981" s="7" t="s">
        <v>4811</v>
      </c>
      <c r="B1981" s="7" t="s">
        <v>4812</v>
      </c>
      <c r="C1981" s="7" t="s">
        <v>4940</v>
      </c>
      <c r="D1981" s="7" t="s">
        <v>4941</v>
      </c>
      <c r="E1981" s="8">
        <v>2</v>
      </c>
      <c r="F1981" s="7"/>
      <c r="G1981" s="7"/>
      <c r="H1981" s="9"/>
      <c r="I1981" s="10">
        <v>135824</v>
      </c>
      <c r="J1981" s="10">
        <v>464072</v>
      </c>
      <c r="K1981" s="9"/>
      <c r="L1981" s="10">
        <v>447544</v>
      </c>
      <c r="M1981" s="9"/>
      <c r="N1981" s="10">
        <v>447544</v>
      </c>
      <c r="O1981" s="9"/>
      <c r="P1981" s="10"/>
      <c r="Q1981" s="10"/>
      <c r="R1981" s="10"/>
      <c r="S1981" s="7" t="s">
        <v>54</v>
      </c>
      <c r="T1981" s="7" t="s">
        <v>4813</v>
      </c>
      <c r="U1981" s="7"/>
      <c r="V1981" s="7"/>
      <c r="W1981" s="7"/>
      <c r="X1981" s="7"/>
      <c r="Y1981" s="7" t="s">
        <v>4942</v>
      </c>
      <c r="Z1981" s="7" t="s">
        <v>2205</v>
      </c>
      <c r="AA1981" s="7"/>
      <c r="AB1981" s="7"/>
      <c r="AC1981" s="7" t="s">
        <v>4817</v>
      </c>
      <c r="AD1981" s="7" t="s">
        <v>4943</v>
      </c>
      <c r="AE1981" s="7"/>
      <c r="AF1981" s="7" t="s">
        <v>113</v>
      </c>
      <c r="AG1981" s="7" t="s">
        <v>366</v>
      </c>
      <c r="AH1981" s="7" t="s">
        <v>4818</v>
      </c>
    </row>
    <row r="1982" spans="1:34" ht="9.75" customHeight="1" x14ac:dyDescent="0.2">
      <c r="A1982" s="7" t="s">
        <v>4811</v>
      </c>
      <c r="B1982" s="7" t="s">
        <v>4812</v>
      </c>
      <c r="C1982" s="7" t="s">
        <v>4944</v>
      </c>
      <c r="D1982" s="7" t="s">
        <v>4945</v>
      </c>
      <c r="E1982" s="7" t="s">
        <v>4814</v>
      </c>
      <c r="F1982" s="7"/>
      <c r="G1982" s="7"/>
      <c r="H1982" s="9"/>
      <c r="I1982" s="10">
        <v>322352</v>
      </c>
      <c r="J1982" s="10">
        <v>227588</v>
      </c>
      <c r="K1982" s="9"/>
      <c r="L1982" s="10">
        <v>236115</v>
      </c>
      <c r="M1982" s="9"/>
      <c r="N1982" s="10">
        <v>236115</v>
      </c>
      <c r="O1982" s="9"/>
      <c r="P1982" s="10"/>
      <c r="Q1982" s="10"/>
      <c r="R1982" s="10"/>
      <c r="S1982" s="7" t="s">
        <v>54</v>
      </c>
      <c r="T1982" s="7" t="s">
        <v>4813</v>
      </c>
      <c r="U1982" s="7"/>
      <c r="V1982" s="7"/>
      <c r="W1982" s="7"/>
      <c r="X1982" s="7"/>
      <c r="Y1982" s="7" t="s">
        <v>4946</v>
      </c>
      <c r="Z1982" s="7" t="s">
        <v>2205</v>
      </c>
      <c r="AA1982" s="7"/>
      <c r="AB1982" s="7"/>
      <c r="AC1982" s="7" t="s">
        <v>4817</v>
      </c>
      <c r="AD1982" s="7" t="s">
        <v>4947</v>
      </c>
      <c r="AE1982" s="7"/>
      <c r="AF1982" s="7" t="s">
        <v>113</v>
      </c>
      <c r="AG1982" s="7" t="s">
        <v>366</v>
      </c>
      <c r="AH1982" s="7" t="s">
        <v>4818</v>
      </c>
    </row>
    <row r="1983" spans="1:34" ht="9.75" customHeight="1" x14ac:dyDescent="0.2">
      <c r="A1983" s="7" t="s">
        <v>4811</v>
      </c>
      <c r="B1983" s="7" t="s">
        <v>4812</v>
      </c>
      <c r="C1983" s="7" t="s">
        <v>4948</v>
      </c>
      <c r="D1983" s="7" t="s">
        <v>4949</v>
      </c>
      <c r="E1983" s="8">
        <v>2</v>
      </c>
      <c r="F1983" s="7"/>
      <c r="G1983" s="7"/>
      <c r="H1983" s="9"/>
      <c r="I1983" s="9"/>
      <c r="J1983" s="9"/>
      <c r="K1983" s="9"/>
      <c r="L1983" s="10">
        <v>142049</v>
      </c>
      <c r="M1983" s="9"/>
      <c r="N1983" s="10">
        <v>142049</v>
      </c>
      <c r="O1983" s="9"/>
      <c r="P1983" s="10"/>
      <c r="Q1983" s="10"/>
      <c r="R1983" s="10"/>
      <c r="S1983" s="7" t="s">
        <v>54</v>
      </c>
      <c r="T1983" s="7" t="s">
        <v>4813</v>
      </c>
      <c r="U1983" s="7" t="s">
        <v>44</v>
      </c>
      <c r="V1983" s="7" t="s">
        <v>45</v>
      </c>
      <c r="W1983" s="7" t="s">
        <v>46</v>
      </c>
      <c r="X1983" s="7" t="s">
        <v>90</v>
      </c>
      <c r="Y1983" s="7" t="s">
        <v>4950</v>
      </c>
      <c r="Z1983" s="7" t="s">
        <v>2053</v>
      </c>
      <c r="AA1983" s="7"/>
      <c r="AB1983" s="7"/>
      <c r="AC1983" s="7" t="s">
        <v>4817</v>
      </c>
      <c r="AD1983" s="7"/>
      <c r="AE1983" s="7"/>
      <c r="AF1983" s="7" t="s">
        <v>113</v>
      </c>
      <c r="AG1983" s="7" t="s">
        <v>366</v>
      </c>
      <c r="AH1983" s="7" t="s">
        <v>4818</v>
      </c>
    </row>
    <row r="1984" spans="1:34" ht="9.75" customHeight="1" x14ac:dyDescent="0.2">
      <c r="A1984" s="7" t="s">
        <v>4811</v>
      </c>
      <c r="B1984" s="7" t="s">
        <v>4812</v>
      </c>
      <c r="C1984" s="7" t="s">
        <v>4951</v>
      </c>
      <c r="D1984" s="7" t="s">
        <v>4952</v>
      </c>
      <c r="E1984" s="8">
        <v>2</v>
      </c>
      <c r="F1984" s="7"/>
      <c r="G1984" s="7"/>
      <c r="H1984" s="9"/>
      <c r="I1984" s="9"/>
      <c r="J1984" s="9"/>
      <c r="K1984" s="9"/>
      <c r="L1984" s="10">
        <v>178950</v>
      </c>
      <c r="M1984" s="9"/>
      <c r="N1984" s="10">
        <v>178950</v>
      </c>
      <c r="O1984" s="9"/>
      <c r="P1984" s="10"/>
      <c r="Q1984" s="10"/>
      <c r="R1984" s="10"/>
      <c r="S1984" s="7" t="s">
        <v>54</v>
      </c>
      <c r="T1984" s="7" t="s">
        <v>4813</v>
      </c>
      <c r="U1984" s="7" t="s">
        <v>44</v>
      </c>
      <c r="V1984" s="7" t="s">
        <v>45</v>
      </c>
      <c r="W1984" s="7" t="s">
        <v>46</v>
      </c>
      <c r="X1984" s="7" t="s">
        <v>90</v>
      </c>
      <c r="Y1984" s="7" t="s">
        <v>4950</v>
      </c>
      <c r="Z1984" s="7" t="s">
        <v>2053</v>
      </c>
      <c r="AA1984" s="7"/>
      <c r="AB1984" s="7"/>
      <c r="AC1984" s="7" t="s">
        <v>4817</v>
      </c>
      <c r="AD1984" s="7"/>
      <c r="AE1984" s="7"/>
      <c r="AF1984" s="7" t="s">
        <v>113</v>
      </c>
      <c r="AG1984" s="7" t="s">
        <v>366</v>
      </c>
      <c r="AH1984" s="7" t="s">
        <v>4818</v>
      </c>
    </row>
    <row r="1985" spans="1:34" ht="9.75" customHeight="1" x14ac:dyDescent="0.2">
      <c r="A1985" s="7" t="s">
        <v>4811</v>
      </c>
      <c r="B1985" s="7" t="s">
        <v>4812</v>
      </c>
      <c r="C1985" s="7" t="s">
        <v>4953</v>
      </c>
      <c r="D1985" s="7" t="s">
        <v>4954</v>
      </c>
      <c r="E1985" s="8">
        <v>2</v>
      </c>
      <c r="F1985" s="7"/>
      <c r="G1985" s="7"/>
      <c r="H1985" s="9"/>
      <c r="I1985" s="9"/>
      <c r="J1985" s="9"/>
      <c r="K1985" s="9"/>
      <c r="L1985" s="10">
        <v>162742</v>
      </c>
      <c r="M1985" s="9"/>
      <c r="N1985" s="10">
        <v>162742</v>
      </c>
      <c r="O1985" s="9"/>
      <c r="P1985" s="10"/>
      <c r="Q1985" s="10"/>
      <c r="R1985" s="10"/>
      <c r="S1985" s="7" t="s">
        <v>54</v>
      </c>
      <c r="T1985" s="7" t="s">
        <v>4813</v>
      </c>
      <c r="U1985" s="7" t="s">
        <v>44</v>
      </c>
      <c r="V1985" s="7" t="s">
        <v>45</v>
      </c>
      <c r="W1985" s="7" t="s">
        <v>46</v>
      </c>
      <c r="X1985" s="7" t="s">
        <v>90</v>
      </c>
      <c r="Y1985" s="7" t="s">
        <v>4950</v>
      </c>
      <c r="Z1985" s="7" t="s">
        <v>2053</v>
      </c>
      <c r="AA1985" s="7"/>
      <c r="AB1985" s="7"/>
      <c r="AC1985" s="7" t="s">
        <v>4817</v>
      </c>
      <c r="AD1985" s="7"/>
      <c r="AE1985" s="7"/>
      <c r="AF1985" s="7" t="s">
        <v>113</v>
      </c>
      <c r="AG1985" s="7" t="s">
        <v>366</v>
      </c>
      <c r="AH1985" s="7" t="s">
        <v>4818</v>
      </c>
    </row>
    <row r="1986" spans="1:34" ht="9.75" customHeight="1" x14ac:dyDescent="0.2">
      <c r="A1986" s="7" t="s">
        <v>4811</v>
      </c>
      <c r="B1986" s="7" t="s">
        <v>4812</v>
      </c>
      <c r="C1986" s="7" t="s">
        <v>4955</v>
      </c>
      <c r="D1986" s="7" t="s">
        <v>4956</v>
      </c>
      <c r="E1986" s="8">
        <v>2</v>
      </c>
      <c r="F1986" s="7"/>
      <c r="G1986" s="7"/>
      <c r="H1986" s="9"/>
      <c r="I1986" s="9"/>
      <c r="J1986" s="9"/>
      <c r="K1986" s="9"/>
      <c r="L1986" s="10">
        <v>163559</v>
      </c>
      <c r="M1986" s="9"/>
      <c r="N1986" s="10">
        <v>163559</v>
      </c>
      <c r="O1986" s="9"/>
      <c r="P1986" s="10"/>
      <c r="Q1986" s="10"/>
      <c r="R1986" s="10"/>
      <c r="S1986" s="7" t="s">
        <v>54</v>
      </c>
      <c r="T1986" s="7" t="s">
        <v>4813</v>
      </c>
      <c r="U1986" s="7" t="s">
        <v>44</v>
      </c>
      <c r="V1986" s="7" t="s">
        <v>45</v>
      </c>
      <c r="W1986" s="7" t="s">
        <v>67</v>
      </c>
      <c r="X1986" s="7" t="s">
        <v>68</v>
      </c>
      <c r="Y1986" s="7" t="s">
        <v>4950</v>
      </c>
      <c r="Z1986" s="7" t="s">
        <v>2053</v>
      </c>
      <c r="AA1986" s="7"/>
      <c r="AB1986" s="7"/>
      <c r="AC1986" s="7" t="s">
        <v>4817</v>
      </c>
      <c r="AD1986" s="7"/>
      <c r="AE1986" s="7"/>
      <c r="AF1986" s="7" t="s">
        <v>113</v>
      </c>
      <c r="AG1986" s="7" t="s">
        <v>366</v>
      </c>
      <c r="AH1986" s="7" t="s">
        <v>4818</v>
      </c>
    </row>
    <row r="1987" spans="1:34" ht="9.75" customHeight="1" x14ac:dyDescent="0.2">
      <c r="A1987" s="7" t="s">
        <v>4811</v>
      </c>
      <c r="B1987" s="7" t="s">
        <v>4812</v>
      </c>
      <c r="C1987" s="7" t="s">
        <v>4957</v>
      </c>
      <c r="D1987" s="7" t="s">
        <v>4958</v>
      </c>
      <c r="E1987" s="8">
        <v>2</v>
      </c>
      <c r="F1987" s="7"/>
      <c r="G1987" s="7"/>
      <c r="H1987" s="9"/>
      <c r="I1987" s="9"/>
      <c r="J1987" s="9"/>
      <c r="K1987" s="9"/>
      <c r="L1987" s="10">
        <v>12307</v>
      </c>
      <c r="M1987" s="9"/>
      <c r="N1987" s="10">
        <v>12307</v>
      </c>
      <c r="O1987" s="9"/>
      <c r="P1987" s="10"/>
      <c r="Q1987" s="10"/>
      <c r="R1987" s="10"/>
      <c r="S1987" s="7" t="s">
        <v>54</v>
      </c>
      <c r="T1987" s="7" t="s">
        <v>4813</v>
      </c>
      <c r="U1987" s="7" t="s">
        <v>44</v>
      </c>
      <c r="V1987" s="7" t="s">
        <v>45</v>
      </c>
      <c r="W1987" s="7" t="s">
        <v>67</v>
      </c>
      <c r="X1987" s="7" t="s">
        <v>68</v>
      </c>
      <c r="Y1987" s="7" t="s">
        <v>4950</v>
      </c>
      <c r="Z1987" s="7" t="s">
        <v>2053</v>
      </c>
      <c r="AA1987" s="7"/>
      <c r="AB1987" s="7"/>
      <c r="AC1987" s="7" t="s">
        <v>4817</v>
      </c>
      <c r="AD1987" s="7"/>
      <c r="AE1987" s="7"/>
      <c r="AF1987" s="7" t="s">
        <v>113</v>
      </c>
      <c r="AG1987" s="7" t="s">
        <v>366</v>
      </c>
      <c r="AH1987" s="7" t="s">
        <v>4818</v>
      </c>
    </row>
    <row r="1988" spans="1:34" ht="9.75" customHeight="1" x14ac:dyDescent="0.2">
      <c r="A1988" s="7" t="s">
        <v>4811</v>
      </c>
      <c r="B1988" s="7" t="s">
        <v>4812</v>
      </c>
      <c r="C1988" s="7" t="s">
        <v>4959</v>
      </c>
      <c r="D1988" s="7" t="s">
        <v>4960</v>
      </c>
      <c r="E1988" s="8">
        <v>2</v>
      </c>
      <c r="F1988" s="7"/>
      <c r="G1988" s="7"/>
      <c r="H1988" s="9"/>
      <c r="I1988" s="9"/>
      <c r="J1988" s="9"/>
      <c r="K1988" s="9"/>
      <c r="L1988" s="10">
        <v>165354</v>
      </c>
      <c r="M1988" s="9"/>
      <c r="N1988" s="10">
        <v>165354</v>
      </c>
      <c r="O1988" s="9"/>
      <c r="P1988" s="10"/>
      <c r="Q1988" s="10"/>
      <c r="R1988" s="10"/>
      <c r="S1988" s="7" t="s">
        <v>54</v>
      </c>
      <c r="T1988" s="7" t="s">
        <v>4813</v>
      </c>
      <c r="U1988" s="7" t="s">
        <v>44</v>
      </c>
      <c r="V1988" s="7" t="s">
        <v>45</v>
      </c>
      <c r="W1988" s="7" t="s">
        <v>46</v>
      </c>
      <c r="X1988" s="7" t="s">
        <v>90</v>
      </c>
      <c r="Y1988" s="7" t="s">
        <v>4950</v>
      </c>
      <c r="Z1988" s="7" t="s">
        <v>2053</v>
      </c>
      <c r="AA1988" s="7"/>
      <c r="AB1988" s="7"/>
      <c r="AC1988" s="7" t="s">
        <v>4817</v>
      </c>
      <c r="AD1988" s="7"/>
      <c r="AE1988" s="7"/>
      <c r="AF1988" s="7" t="s">
        <v>113</v>
      </c>
      <c r="AG1988" s="7" t="s">
        <v>366</v>
      </c>
      <c r="AH1988" s="7" t="s">
        <v>4818</v>
      </c>
    </row>
    <row r="1989" spans="1:34" ht="9.75" customHeight="1" x14ac:dyDescent="0.2">
      <c r="A1989" s="7" t="s">
        <v>4811</v>
      </c>
      <c r="B1989" s="7" t="s">
        <v>4812</v>
      </c>
      <c r="C1989" s="7" t="s">
        <v>4961</v>
      </c>
      <c r="D1989" s="7" t="s">
        <v>4962</v>
      </c>
      <c r="E1989" s="8">
        <v>2</v>
      </c>
      <c r="F1989" s="7"/>
      <c r="G1989" s="7"/>
      <c r="H1989" s="9"/>
      <c r="I1989" s="9"/>
      <c r="J1989" s="9"/>
      <c r="K1989" s="9"/>
      <c r="L1989" s="10">
        <v>50000</v>
      </c>
      <c r="M1989" s="9"/>
      <c r="N1989" s="10">
        <v>50000</v>
      </c>
      <c r="O1989" s="9"/>
      <c r="P1989" s="10"/>
      <c r="Q1989" s="10"/>
      <c r="R1989" s="10"/>
      <c r="S1989" s="7" t="s">
        <v>54</v>
      </c>
      <c r="T1989" s="7" t="s">
        <v>4813</v>
      </c>
      <c r="U1989" s="7" t="s">
        <v>44</v>
      </c>
      <c r="V1989" s="7" t="s">
        <v>45</v>
      </c>
      <c r="W1989" s="7" t="s">
        <v>46</v>
      </c>
      <c r="X1989" s="7" t="s">
        <v>90</v>
      </c>
      <c r="Y1989" s="7" t="s">
        <v>4950</v>
      </c>
      <c r="Z1989" s="7" t="s">
        <v>2053</v>
      </c>
      <c r="AA1989" s="7"/>
      <c r="AB1989" s="7"/>
      <c r="AC1989" s="7" t="s">
        <v>4817</v>
      </c>
      <c r="AD1989" s="7"/>
      <c r="AE1989" s="7"/>
      <c r="AF1989" s="7" t="s">
        <v>113</v>
      </c>
      <c r="AG1989" s="7" t="s">
        <v>366</v>
      </c>
      <c r="AH1989" s="7" t="s">
        <v>4818</v>
      </c>
    </row>
    <row r="1990" spans="1:34" ht="9.75" customHeight="1" x14ac:dyDescent="0.2">
      <c r="A1990" s="7" t="s">
        <v>4811</v>
      </c>
      <c r="B1990" s="7" t="s">
        <v>4812</v>
      </c>
      <c r="C1990" s="7" t="s">
        <v>4963</v>
      </c>
      <c r="D1990" s="7" t="s">
        <v>4964</v>
      </c>
      <c r="E1990" s="8">
        <v>2</v>
      </c>
      <c r="F1990" s="7"/>
      <c r="G1990" s="7"/>
      <c r="H1990" s="9"/>
      <c r="I1990" s="9"/>
      <c r="J1990" s="9"/>
      <c r="K1990" s="9"/>
      <c r="L1990" s="10">
        <v>20881</v>
      </c>
      <c r="M1990" s="9"/>
      <c r="N1990" s="10">
        <v>20881</v>
      </c>
      <c r="O1990" s="9"/>
      <c r="P1990" s="10"/>
      <c r="Q1990" s="10"/>
      <c r="R1990" s="10"/>
      <c r="S1990" s="7" t="s">
        <v>54</v>
      </c>
      <c r="T1990" s="7" t="s">
        <v>4813</v>
      </c>
      <c r="U1990" s="7" t="s">
        <v>44</v>
      </c>
      <c r="V1990" s="7" t="s">
        <v>45</v>
      </c>
      <c r="W1990" s="7" t="s">
        <v>130</v>
      </c>
      <c r="X1990" s="7" t="s">
        <v>131</v>
      </c>
      <c r="Y1990" s="7" t="s">
        <v>4950</v>
      </c>
      <c r="Z1990" s="7" t="s">
        <v>2066</v>
      </c>
      <c r="AA1990" s="7"/>
      <c r="AB1990" s="7"/>
      <c r="AC1990" s="7" t="s">
        <v>4817</v>
      </c>
      <c r="AD1990" s="7"/>
      <c r="AE1990" s="7"/>
      <c r="AF1990" s="7" t="s">
        <v>113</v>
      </c>
      <c r="AG1990" s="7" t="s">
        <v>366</v>
      </c>
      <c r="AH1990" s="7" t="s">
        <v>4818</v>
      </c>
    </row>
    <row r="1991" spans="1:34" ht="9.75" customHeight="1" x14ac:dyDescent="0.2">
      <c r="A1991" s="7" t="s">
        <v>4811</v>
      </c>
      <c r="B1991" s="7" t="s">
        <v>4812</v>
      </c>
      <c r="C1991" s="7" t="s">
        <v>4965</v>
      </c>
      <c r="D1991" s="7" t="s">
        <v>4966</v>
      </c>
      <c r="E1991" s="8">
        <v>2</v>
      </c>
      <c r="F1991" s="7"/>
      <c r="G1991" s="7"/>
      <c r="H1991" s="9"/>
      <c r="I1991" s="9"/>
      <c r="J1991" s="9"/>
      <c r="K1991" s="9"/>
      <c r="L1991" s="10">
        <v>3794</v>
      </c>
      <c r="M1991" s="9"/>
      <c r="N1991" s="10">
        <v>3794</v>
      </c>
      <c r="O1991" s="9"/>
      <c r="P1991" s="10"/>
      <c r="Q1991" s="10"/>
      <c r="R1991" s="10"/>
      <c r="S1991" s="7" t="s">
        <v>54</v>
      </c>
      <c r="T1991" s="7" t="s">
        <v>4813</v>
      </c>
      <c r="U1991" s="7" t="s">
        <v>44</v>
      </c>
      <c r="V1991" s="7" t="s">
        <v>45</v>
      </c>
      <c r="W1991" s="7" t="s">
        <v>130</v>
      </c>
      <c r="X1991" s="7" t="s">
        <v>131</v>
      </c>
      <c r="Y1991" s="7" t="s">
        <v>4950</v>
      </c>
      <c r="Z1991" s="7" t="s">
        <v>2066</v>
      </c>
      <c r="AA1991" s="7"/>
      <c r="AB1991" s="7"/>
      <c r="AC1991" s="7" t="s">
        <v>4817</v>
      </c>
      <c r="AD1991" s="7"/>
      <c r="AE1991" s="7"/>
      <c r="AF1991" s="7" t="s">
        <v>113</v>
      </c>
      <c r="AG1991" s="7" t="s">
        <v>366</v>
      </c>
      <c r="AH1991" s="7" t="s">
        <v>4818</v>
      </c>
    </row>
    <row r="1992" spans="1:34" ht="9.75" customHeight="1" x14ac:dyDescent="0.2">
      <c r="A1992" s="7" t="s">
        <v>4811</v>
      </c>
      <c r="B1992" s="7" t="s">
        <v>4812</v>
      </c>
      <c r="C1992" s="7" t="s">
        <v>4967</v>
      </c>
      <c r="D1992" s="7" t="s">
        <v>4968</v>
      </c>
      <c r="E1992" s="8">
        <v>2</v>
      </c>
      <c r="F1992" s="7"/>
      <c r="G1992" s="7"/>
      <c r="H1992" s="9"/>
      <c r="I1992" s="9"/>
      <c r="J1992" s="9"/>
      <c r="K1992" s="9"/>
      <c r="L1992" s="10">
        <v>16772</v>
      </c>
      <c r="M1992" s="9"/>
      <c r="N1992" s="10">
        <v>16772</v>
      </c>
      <c r="O1992" s="9"/>
      <c r="P1992" s="10"/>
      <c r="Q1992" s="10"/>
      <c r="R1992" s="10"/>
      <c r="S1992" s="7" t="s">
        <v>54</v>
      </c>
      <c r="T1992" s="7" t="s">
        <v>4813</v>
      </c>
      <c r="U1992" s="7" t="s">
        <v>44</v>
      </c>
      <c r="V1992" s="7" t="s">
        <v>45</v>
      </c>
      <c r="W1992" s="7" t="s">
        <v>67</v>
      </c>
      <c r="X1992" s="7" t="s">
        <v>68</v>
      </c>
      <c r="Y1992" s="7" t="s">
        <v>4950</v>
      </c>
      <c r="Z1992" s="7" t="s">
        <v>2066</v>
      </c>
      <c r="AA1992" s="7"/>
      <c r="AB1992" s="7"/>
      <c r="AC1992" s="7" t="s">
        <v>4817</v>
      </c>
      <c r="AD1992" s="7"/>
      <c r="AE1992" s="7"/>
      <c r="AF1992" s="7" t="s">
        <v>113</v>
      </c>
      <c r="AG1992" s="7" t="s">
        <v>366</v>
      </c>
      <c r="AH1992" s="7" t="s">
        <v>4818</v>
      </c>
    </row>
    <row r="1993" spans="1:34" ht="9.75" customHeight="1" x14ac:dyDescent="0.2">
      <c r="A1993" s="7" t="s">
        <v>4811</v>
      </c>
      <c r="B1993" s="7" t="s">
        <v>4812</v>
      </c>
      <c r="C1993" s="7" t="s">
        <v>4969</v>
      </c>
      <c r="D1993" s="7" t="s">
        <v>4970</v>
      </c>
      <c r="E1993" s="8">
        <v>2</v>
      </c>
      <c r="F1993" s="7"/>
      <c r="G1993" s="7"/>
      <c r="H1993" s="9"/>
      <c r="I1993" s="9"/>
      <c r="J1993" s="9"/>
      <c r="K1993" s="9"/>
      <c r="L1993" s="10">
        <v>10756</v>
      </c>
      <c r="M1993" s="9"/>
      <c r="N1993" s="10">
        <v>10756</v>
      </c>
      <c r="O1993" s="9"/>
      <c r="P1993" s="10"/>
      <c r="Q1993" s="10"/>
      <c r="R1993" s="10"/>
      <c r="S1993" s="7" t="s">
        <v>54</v>
      </c>
      <c r="T1993" s="7" t="s">
        <v>4813</v>
      </c>
      <c r="U1993" s="7" t="s">
        <v>44</v>
      </c>
      <c r="V1993" s="7" t="s">
        <v>45</v>
      </c>
      <c r="W1993" s="7" t="s">
        <v>171</v>
      </c>
      <c r="X1993" s="7" t="s">
        <v>172</v>
      </c>
      <c r="Y1993" s="7" t="s">
        <v>4950</v>
      </c>
      <c r="Z1993" s="7" t="s">
        <v>2066</v>
      </c>
      <c r="AA1993" s="7"/>
      <c r="AB1993" s="7"/>
      <c r="AC1993" s="7" t="s">
        <v>4817</v>
      </c>
      <c r="AD1993" s="7"/>
      <c r="AE1993" s="7"/>
      <c r="AF1993" s="7" t="s">
        <v>113</v>
      </c>
      <c r="AG1993" s="7" t="s">
        <v>366</v>
      </c>
      <c r="AH1993" s="7" t="s">
        <v>4818</v>
      </c>
    </row>
    <row r="1994" spans="1:34" ht="9.75" customHeight="1" x14ac:dyDescent="0.2">
      <c r="A1994" s="7" t="s">
        <v>4811</v>
      </c>
      <c r="B1994" s="7" t="s">
        <v>4812</v>
      </c>
      <c r="C1994" s="7" t="s">
        <v>4971</v>
      </c>
      <c r="D1994" s="7" t="s">
        <v>4972</v>
      </c>
      <c r="E1994" s="8">
        <v>2</v>
      </c>
      <c r="F1994" s="7"/>
      <c r="G1994" s="7"/>
      <c r="H1994" s="9"/>
      <c r="I1994" s="9"/>
      <c r="J1994" s="9"/>
      <c r="K1994" s="9"/>
      <c r="L1994" s="10">
        <v>91063</v>
      </c>
      <c r="M1994" s="9"/>
      <c r="N1994" s="10">
        <v>91063</v>
      </c>
      <c r="O1994" s="9"/>
      <c r="P1994" s="10"/>
      <c r="Q1994" s="10"/>
      <c r="R1994" s="10"/>
      <c r="S1994" s="7" t="s">
        <v>54</v>
      </c>
      <c r="T1994" s="7" t="s">
        <v>4813</v>
      </c>
      <c r="U1994" s="7" t="s">
        <v>44</v>
      </c>
      <c r="V1994" s="7" t="s">
        <v>45</v>
      </c>
      <c r="W1994" s="7" t="s">
        <v>46</v>
      </c>
      <c r="X1994" s="7" t="s">
        <v>4856</v>
      </c>
      <c r="Y1994" s="7" t="s">
        <v>4950</v>
      </c>
      <c r="Z1994" s="7" t="s">
        <v>2066</v>
      </c>
      <c r="AA1994" s="7"/>
      <c r="AB1994" s="7"/>
      <c r="AC1994" s="7" t="s">
        <v>4817</v>
      </c>
      <c r="AD1994" s="7"/>
      <c r="AE1994" s="7"/>
      <c r="AF1994" s="7" t="s">
        <v>113</v>
      </c>
      <c r="AG1994" s="7" t="s">
        <v>366</v>
      </c>
      <c r="AH1994" s="7" t="s">
        <v>4818</v>
      </c>
    </row>
    <row r="1995" spans="1:34" ht="9.75" customHeight="1" x14ac:dyDescent="0.2">
      <c r="A1995" s="7" t="s">
        <v>4811</v>
      </c>
      <c r="B1995" s="7" t="s">
        <v>4812</v>
      </c>
      <c r="C1995" s="7" t="s">
        <v>4973</v>
      </c>
      <c r="D1995" s="7" t="s">
        <v>4974</v>
      </c>
      <c r="E1995" s="8">
        <v>2</v>
      </c>
      <c r="F1995" s="7"/>
      <c r="G1995" s="7"/>
      <c r="H1995" s="9"/>
      <c r="I1995" s="9"/>
      <c r="J1995" s="9"/>
      <c r="K1995" s="9"/>
      <c r="L1995" s="10">
        <v>15868</v>
      </c>
      <c r="M1995" s="9"/>
      <c r="N1995" s="10">
        <v>15868</v>
      </c>
      <c r="O1995" s="9"/>
      <c r="P1995" s="10"/>
      <c r="Q1995" s="10"/>
      <c r="R1995" s="10"/>
      <c r="S1995" s="7" t="s">
        <v>54</v>
      </c>
      <c r="T1995" s="7" t="s">
        <v>4813</v>
      </c>
      <c r="U1995" s="7" t="s">
        <v>44</v>
      </c>
      <c r="V1995" s="7" t="s">
        <v>45</v>
      </c>
      <c r="W1995" s="7" t="s">
        <v>67</v>
      </c>
      <c r="X1995" s="7" t="s">
        <v>68</v>
      </c>
      <c r="Y1995" s="7" t="s">
        <v>4950</v>
      </c>
      <c r="Z1995" s="7" t="s">
        <v>2066</v>
      </c>
      <c r="AA1995" s="7"/>
      <c r="AB1995" s="7"/>
      <c r="AC1995" s="7" t="s">
        <v>4817</v>
      </c>
      <c r="AD1995" s="7"/>
      <c r="AE1995" s="7"/>
      <c r="AF1995" s="7" t="s">
        <v>113</v>
      </c>
      <c r="AG1995" s="7" t="s">
        <v>366</v>
      </c>
      <c r="AH1995" s="7" t="s">
        <v>4818</v>
      </c>
    </row>
    <row r="1996" spans="1:34" ht="9.75" customHeight="1" x14ac:dyDescent="0.2">
      <c r="A1996" s="7" t="s">
        <v>4811</v>
      </c>
      <c r="B1996" s="7" t="s">
        <v>4812</v>
      </c>
      <c r="C1996" s="7" t="s">
        <v>4975</v>
      </c>
      <c r="D1996" s="7" t="s">
        <v>4976</v>
      </c>
      <c r="E1996" s="8">
        <v>2</v>
      </c>
      <c r="F1996" s="7"/>
      <c r="G1996" s="7"/>
      <c r="H1996" s="9"/>
      <c r="I1996" s="9"/>
      <c r="J1996" s="9"/>
      <c r="K1996" s="9"/>
      <c r="L1996" s="10">
        <v>3292</v>
      </c>
      <c r="M1996" s="9"/>
      <c r="N1996" s="10">
        <v>3292</v>
      </c>
      <c r="O1996" s="9"/>
      <c r="P1996" s="10"/>
      <c r="Q1996" s="10"/>
      <c r="R1996" s="10"/>
      <c r="S1996" s="7" t="s">
        <v>54</v>
      </c>
      <c r="T1996" s="7" t="s">
        <v>4813</v>
      </c>
      <c r="U1996" s="7" t="s">
        <v>44</v>
      </c>
      <c r="V1996" s="7" t="s">
        <v>45</v>
      </c>
      <c r="W1996" s="7" t="s">
        <v>4977</v>
      </c>
      <c r="X1996" s="7" t="s">
        <v>4978</v>
      </c>
      <c r="Y1996" s="7" t="s">
        <v>4950</v>
      </c>
      <c r="Z1996" s="7" t="s">
        <v>2066</v>
      </c>
      <c r="AA1996" s="7"/>
      <c r="AB1996" s="7"/>
      <c r="AC1996" s="7" t="s">
        <v>4817</v>
      </c>
      <c r="AD1996" s="7"/>
      <c r="AE1996" s="7"/>
      <c r="AF1996" s="7" t="s">
        <v>113</v>
      </c>
      <c r="AG1996" s="7" t="s">
        <v>366</v>
      </c>
      <c r="AH1996" s="7" t="s">
        <v>4818</v>
      </c>
    </row>
    <row r="1997" spans="1:34" ht="9.75" customHeight="1" x14ac:dyDescent="0.2">
      <c r="A1997" s="7" t="s">
        <v>4811</v>
      </c>
      <c r="B1997" s="7" t="s">
        <v>4812</v>
      </c>
      <c r="C1997" s="7" t="s">
        <v>4979</v>
      </c>
      <c r="D1997" s="7" t="s">
        <v>4980</v>
      </c>
      <c r="E1997" s="8">
        <v>2</v>
      </c>
      <c r="F1997" s="7"/>
      <c r="G1997" s="7"/>
      <c r="H1997" s="9"/>
      <c r="I1997" s="9"/>
      <c r="J1997" s="9"/>
      <c r="K1997" s="9"/>
      <c r="L1997" s="10">
        <v>40103</v>
      </c>
      <c r="M1997" s="9"/>
      <c r="N1997" s="10">
        <v>40103</v>
      </c>
      <c r="O1997" s="9"/>
      <c r="P1997" s="10"/>
      <c r="Q1997" s="10"/>
      <c r="R1997" s="10"/>
      <c r="S1997" s="7" t="s">
        <v>54</v>
      </c>
      <c r="T1997" s="7" t="s">
        <v>4813</v>
      </c>
      <c r="U1997" s="7" t="s">
        <v>44</v>
      </c>
      <c r="V1997" s="7" t="s">
        <v>45</v>
      </c>
      <c r="W1997" s="7" t="s">
        <v>67</v>
      </c>
      <c r="X1997" s="7" t="s">
        <v>68</v>
      </c>
      <c r="Y1997" s="7" t="s">
        <v>4950</v>
      </c>
      <c r="Z1997" s="7" t="s">
        <v>2066</v>
      </c>
      <c r="AA1997" s="7"/>
      <c r="AB1997" s="7"/>
      <c r="AC1997" s="7" t="s">
        <v>4817</v>
      </c>
      <c r="AD1997" s="7"/>
      <c r="AE1997" s="7"/>
      <c r="AF1997" s="7" t="s">
        <v>113</v>
      </c>
      <c r="AG1997" s="7" t="s">
        <v>366</v>
      </c>
      <c r="AH1997" s="7" t="s">
        <v>4818</v>
      </c>
    </row>
    <row r="1998" spans="1:34" ht="9.75" customHeight="1" x14ac:dyDescent="0.2">
      <c r="A1998" s="7" t="s">
        <v>4811</v>
      </c>
      <c r="B1998" s="7" t="s">
        <v>4812</v>
      </c>
      <c r="C1998" s="7" t="s">
        <v>4981</v>
      </c>
      <c r="D1998" s="7" t="s">
        <v>4982</v>
      </c>
      <c r="E1998" s="8">
        <v>2</v>
      </c>
      <c r="F1998" s="7"/>
      <c r="G1998" s="7"/>
      <c r="H1998" s="9"/>
      <c r="I1998" s="9"/>
      <c r="J1998" s="9"/>
      <c r="K1998" s="9"/>
      <c r="L1998" s="10">
        <v>24811</v>
      </c>
      <c r="M1998" s="9"/>
      <c r="N1998" s="10">
        <v>24811</v>
      </c>
      <c r="O1998" s="9"/>
      <c r="P1998" s="10"/>
      <c r="Q1998" s="10"/>
      <c r="R1998" s="10"/>
      <c r="S1998" s="7" t="s">
        <v>54</v>
      </c>
      <c r="T1998" s="7" t="s">
        <v>4813</v>
      </c>
      <c r="U1998" s="7" t="s">
        <v>44</v>
      </c>
      <c r="V1998" s="7" t="s">
        <v>45</v>
      </c>
      <c r="W1998" s="7" t="s">
        <v>130</v>
      </c>
      <c r="X1998" s="7" t="s">
        <v>131</v>
      </c>
      <c r="Y1998" s="7" t="s">
        <v>4950</v>
      </c>
      <c r="Z1998" s="7" t="s">
        <v>2066</v>
      </c>
      <c r="AA1998" s="7"/>
      <c r="AB1998" s="7"/>
      <c r="AC1998" s="7" t="s">
        <v>4817</v>
      </c>
      <c r="AD1998" s="7"/>
      <c r="AE1998" s="7"/>
      <c r="AF1998" s="7" t="s">
        <v>113</v>
      </c>
      <c r="AG1998" s="7" t="s">
        <v>366</v>
      </c>
      <c r="AH1998" s="7" t="s">
        <v>4818</v>
      </c>
    </row>
    <row r="1999" spans="1:34" ht="9.75" customHeight="1" x14ac:dyDescent="0.2">
      <c r="A1999" s="7" t="s">
        <v>4811</v>
      </c>
      <c r="B1999" s="7" t="s">
        <v>4812</v>
      </c>
      <c r="C1999" s="7" t="s">
        <v>4983</v>
      </c>
      <c r="D1999" s="7" t="s">
        <v>4984</v>
      </c>
      <c r="E1999" s="8">
        <v>2</v>
      </c>
      <c r="F1999" s="7"/>
      <c r="G1999" s="7"/>
      <c r="H1999" s="9"/>
      <c r="I1999" s="9"/>
      <c r="J1999" s="9"/>
      <c r="K1999" s="9"/>
      <c r="L1999" s="10">
        <v>22440</v>
      </c>
      <c r="M1999" s="9"/>
      <c r="N1999" s="10">
        <v>22440</v>
      </c>
      <c r="O1999" s="9"/>
      <c r="P1999" s="10"/>
      <c r="Q1999" s="10"/>
      <c r="R1999" s="10"/>
      <c r="S1999" s="7" t="s">
        <v>54</v>
      </c>
      <c r="T1999" s="7" t="s">
        <v>4813</v>
      </c>
      <c r="U1999" s="7" t="s">
        <v>44</v>
      </c>
      <c r="V1999" s="7" t="s">
        <v>45</v>
      </c>
      <c r="W1999" s="7" t="s">
        <v>130</v>
      </c>
      <c r="X1999" s="7" t="s">
        <v>131</v>
      </c>
      <c r="Y1999" s="7" t="s">
        <v>4950</v>
      </c>
      <c r="Z1999" s="7" t="s">
        <v>2066</v>
      </c>
      <c r="AA1999" s="7"/>
      <c r="AB1999" s="7"/>
      <c r="AC1999" s="7" t="s">
        <v>4817</v>
      </c>
      <c r="AD1999" s="7"/>
      <c r="AE1999" s="7"/>
      <c r="AF1999" s="7" t="s">
        <v>113</v>
      </c>
      <c r="AG1999" s="7" t="s">
        <v>366</v>
      </c>
      <c r="AH1999" s="7" t="s">
        <v>4818</v>
      </c>
    </row>
    <row r="2000" spans="1:34" ht="9.75" customHeight="1" x14ac:dyDescent="0.2">
      <c r="A2000" s="7" t="s">
        <v>4811</v>
      </c>
      <c r="B2000" s="7" t="s">
        <v>4812</v>
      </c>
      <c r="C2000" s="7" t="s">
        <v>4985</v>
      </c>
      <c r="D2000" s="7" t="s">
        <v>4986</v>
      </c>
      <c r="E2000" s="8">
        <v>2</v>
      </c>
      <c r="F2000" s="7"/>
      <c r="G2000" s="7"/>
      <c r="H2000" s="9"/>
      <c r="I2000" s="9"/>
      <c r="J2000" s="9"/>
      <c r="K2000" s="9"/>
      <c r="L2000" s="10">
        <v>168040</v>
      </c>
      <c r="M2000" s="9"/>
      <c r="N2000" s="10">
        <v>168040</v>
      </c>
      <c r="O2000" s="9"/>
      <c r="P2000" s="10"/>
      <c r="Q2000" s="10"/>
      <c r="R2000" s="10"/>
      <c r="S2000" s="7" t="s">
        <v>54</v>
      </c>
      <c r="T2000" s="7" t="s">
        <v>4813</v>
      </c>
      <c r="U2000" s="7" t="s">
        <v>44</v>
      </c>
      <c r="V2000" s="7" t="s">
        <v>45</v>
      </c>
      <c r="W2000" s="7" t="s">
        <v>46</v>
      </c>
      <c r="X2000" s="7" t="s">
        <v>90</v>
      </c>
      <c r="Y2000" s="7" t="s">
        <v>4950</v>
      </c>
      <c r="Z2000" s="7" t="s">
        <v>2066</v>
      </c>
      <c r="AA2000" s="7"/>
      <c r="AB2000" s="7"/>
      <c r="AC2000" s="7" t="s">
        <v>4817</v>
      </c>
      <c r="AD2000" s="7"/>
      <c r="AE2000" s="7"/>
      <c r="AF2000" s="7" t="s">
        <v>113</v>
      </c>
      <c r="AG2000" s="7" t="s">
        <v>366</v>
      </c>
      <c r="AH2000" s="7" t="s">
        <v>4818</v>
      </c>
    </row>
    <row r="2001" spans="1:34" ht="9.75" customHeight="1" x14ac:dyDescent="0.2">
      <c r="A2001" s="7" t="s">
        <v>4811</v>
      </c>
      <c r="B2001" s="7" t="s">
        <v>4812</v>
      </c>
      <c r="C2001" s="7" t="s">
        <v>4987</v>
      </c>
      <c r="D2001" s="7" t="s">
        <v>4988</v>
      </c>
      <c r="E2001" s="8">
        <v>2</v>
      </c>
      <c r="F2001" s="7"/>
      <c r="G2001" s="7"/>
      <c r="H2001" s="9"/>
      <c r="I2001" s="9"/>
      <c r="J2001" s="9"/>
      <c r="K2001" s="9"/>
      <c r="L2001" s="10">
        <v>3699</v>
      </c>
      <c r="M2001" s="9"/>
      <c r="N2001" s="10">
        <v>3699</v>
      </c>
      <c r="O2001" s="9"/>
      <c r="P2001" s="10"/>
      <c r="Q2001" s="10"/>
      <c r="R2001" s="10"/>
      <c r="S2001" s="7" t="s">
        <v>54</v>
      </c>
      <c r="T2001" s="7" t="s">
        <v>4813</v>
      </c>
      <c r="U2001" s="7" t="s">
        <v>44</v>
      </c>
      <c r="V2001" s="7" t="s">
        <v>45</v>
      </c>
      <c r="W2001" s="7" t="s">
        <v>130</v>
      </c>
      <c r="X2001" s="7" t="s">
        <v>131</v>
      </c>
      <c r="Y2001" s="7" t="s">
        <v>4950</v>
      </c>
      <c r="Z2001" s="7" t="s">
        <v>2066</v>
      </c>
      <c r="AA2001" s="7"/>
      <c r="AB2001" s="7"/>
      <c r="AC2001" s="7" t="s">
        <v>4817</v>
      </c>
      <c r="AD2001" s="7"/>
      <c r="AE2001" s="7"/>
      <c r="AF2001" s="7" t="s">
        <v>113</v>
      </c>
      <c r="AG2001" s="7" t="s">
        <v>366</v>
      </c>
      <c r="AH2001" s="7" t="s">
        <v>4818</v>
      </c>
    </row>
    <row r="2002" spans="1:34" ht="9.75" customHeight="1" x14ac:dyDescent="0.2">
      <c r="A2002" s="7" t="s">
        <v>4811</v>
      </c>
      <c r="B2002" s="7" t="s">
        <v>4812</v>
      </c>
      <c r="C2002" s="7" t="s">
        <v>4989</v>
      </c>
      <c r="D2002" s="7" t="s">
        <v>4990</v>
      </c>
      <c r="E2002" s="8">
        <v>2</v>
      </c>
      <c r="F2002" s="7"/>
      <c r="G2002" s="7"/>
      <c r="H2002" s="9"/>
      <c r="I2002" s="9"/>
      <c r="J2002" s="9"/>
      <c r="K2002" s="9"/>
      <c r="L2002" s="10">
        <v>18102</v>
      </c>
      <c r="M2002" s="9"/>
      <c r="N2002" s="10">
        <v>18102</v>
      </c>
      <c r="O2002" s="9"/>
      <c r="P2002" s="10"/>
      <c r="Q2002" s="10"/>
      <c r="R2002" s="10"/>
      <c r="S2002" s="7" t="s">
        <v>54</v>
      </c>
      <c r="T2002" s="7" t="s">
        <v>4813</v>
      </c>
      <c r="U2002" s="7" t="s">
        <v>44</v>
      </c>
      <c r="V2002" s="7" t="s">
        <v>45</v>
      </c>
      <c r="W2002" s="7" t="s">
        <v>67</v>
      </c>
      <c r="X2002" s="7" t="s">
        <v>68</v>
      </c>
      <c r="Y2002" s="7" t="s">
        <v>4950</v>
      </c>
      <c r="Z2002" s="7" t="s">
        <v>2066</v>
      </c>
      <c r="AA2002" s="7"/>
      <c r="AB2002" s="7"/>
      <c r="AC2002" s="7" t="s">
        <v>4817</v>
      </c>
      <c r="AD2002" s="7"/>
      <c r="AE2002" s="7"/>
      <c r="AF2002" s="7" t="s">
        <v>113</v>
      </c>
      <c r="AG2002" s="7" t="s">
        <v>366</v>
      </c>
      <c r="AH2002" s="7" t="s">
        <v>4818</v>
      </c>
    </row>
    <row r="2003" spans="1:34" ht="9.75" customHeight="1" x14ac:dyDescent="0.2">
      <c r="A2003" s="7" t="s">
        <v>4811</v>
      </c>
      <c r="B2003" s="7" t="s">
        <v>4812</v>
      </c>
      <c r="C2003" s="7" t="s">
        <v>4991</v>
      </c>
      <c r="D2003" s="7" t="s">
        <v>4992</v>
      </c>
      <c r="E2003" s="8">
        <v>2</v>
      </c>
      <c r="F2003" s="7"/>
      <c r="G2003" s="7"/>
      <c r="H2003" s="9"/>
      <c r="I2003" s="9"/>
      <c r="J2003" s="9"/>
      <c r="K2003" s="9"/>
      <c r="L2003" s="10">
        <v>29116</v>
      </c>
      <c r="M2003" s="9"/>
      <c r="N2003" s="10">
        <v>29116</v>
      </c>
      <c r="O2003" s="9"/>
      <c r="P2003" s="10"/>
      <c r="Q2003" s="10"/>
      <c r="R2003" s="10"/>
      <c r="S2003" s="7" t="s">
        <v>54</v>
      </c>
      <c r="T2003" s="7" t="s">
        <v>4813</v>
      </c>
      <c r="U2003" s="7" t="s">
        <v>44</v>
      </c>
      <c r="V2003" s="7" t="s">
        <v>45</v>
      </c>
      <c r="W2003" s="7" t="s">
        <v>171</v>
      </c>
      <c r="X2003" s="7" t="s">
        <v>172</v>
      </c>
      <c r="Y2003" s="7" t="s">
        <v>4950</v>
      </c>
      <c r="Z2003" s="7" t="s">
        <v>2066</v>
      </c>
      <c r="AA2003" s="7"/>
      <c r="AB2003" s="7"/>
      <c r="AC2003" s="7" t="s">
        <v>4817</v>
      </c>
      <c r="AD2003" s="7"/>
      <c r="AE2003" s="7"/>
      <c r="AF2003" s="7" t="s">
        <v>113</v>
      </c>
      <c r="AG2003" s="7" t="s">
        <v>366</v>
      </c>
      <c r="AH2003" s="7" t="s">
        <v>4818</v>
      </c>
    </row>
    <row r="2004" spans="1:34" ht="9.75" customHeight="1" x14ac:dyDescent="0.2">
      <c r="A2004" s="7" t="s">
        <v>4811</v>
      </c>
      <c r="B2004" s="7" t="s">
        <v>4812</v>
      </c>
      <c r="C2004" s="7" t="s">
        <v>4993</v>
      </c>
      <c r="D2004" s="7" t="s">
        <v>4994</v>
      </c>
      <c r="E2004" s="8">
        <v>2</v>
      </c>
      <c r="F2004" s="7"/>
      <c r="G2004" s="7"/>
      <c r="H2004" s="9"/>
      <c r="I2004" s="9"/>
      <c r="J2004" s="9"/>
      <c r="K2004" s="9"/>
      <c r="L2004" s="10">
        <v>133439</v>
      </c>
      <c r="M2004" s="9"/>
      <c r="N2004" s="10">
        <v>133439</v>
      </c>
      <c r="O2004" s="9"/>
      <c r="P2004" s="10"/>
      <c r="Q2004" s="10"/>
      <c r="R2004" s="10"/>
      <c r="S2004" s="7" t="s">
        <v>54</v>
      </c>
      <c r="T2004" s="7" t="s">
        <v>4813</v>
      </c>
      <c r="U2004" s="7" t="s">
        <v>44</v>
      </c>
      <c r="V2004" s="7" t="s">
        <v>45</v>
      </c>
      <c r="W2004" s="7" t="s">
        <v>46</v>
      </c>
      <c r="X2004" s="7" t="s">
        <v>90</v>
      </c>
      <c r="Y2004" s="7" t="s">
        <v>4950</v>
      </c>
      <c r="Z2004" s="7" t="s">
        <v>2066</v>
      </c>
      <c r="AA2004" s="7"/>
      <c r="AB2004" s="7"/>
      <c r="AC2004" s="7" t="s">
        <v>4817</v>
      </c>
      <c r="AD2004" s="7"/>
      <c r="AE2004" s="7"/>
      <c r="AF2004" s="7" t="s">
        <v>113</v>
      </c>
      <c r="AG2004" s="7" t="s">
        <v>366</v>
      </c>
      <c r="AH2004" s="7" t="s">
        <v>4818</v>
      </c>
    </row>
    <row r="2005" spans="1:34" ht="9.75" customHeight="1" x14ac:dyDescent="0.2">
      <c r="A2005" s="7" t="s">
        <v>4811</v>
      </c>
      <c r="B2005" s="7" t="s">
        <v>4812</v>
      </c>
      <c r="C2005" s="7" t="s">
        <v>4995</v>
      </c>
      <c r="D2005" s="7" t="s">
        <v>4996</v>
      </c>
      <c r="E2005" s="8">
        <v>2</v>
      </c>
      <c r="F2005" s="7"/>
      <c r="G2005" s="7"/>
      <c r="H2005" s="9"/>
      <c r="I2005" s="9"/>
      <c r="J2005" s="9"/>
      <c r="K2005" s="9"/>
      <c r="L2005" s="10">
        <v>4494</v>
      </c>
      <c r="M2005" s="9"/>
      <c r="N2005" s="10">
        <v>4494</v>
      </c>
      <c r="O2005" s="9"/>
      <c r="P2005" s="10"/>
      <c r="Q2005" s="10"/>
      <c r="R2005" s="10"/>
      <c r="S2005" s="7" t="s">
        <v>54</v>
      </c>
      <c r="T2005" s="7" t="s">
        <v>4813</v>
      </c>
      <c r="U2005" s="7" t="s">
        <v>44</v>
      </c>
      <c r="V2005" s="7" t="s">
        <v>45</v>
      </c>
      <c r="W2005" s="7" t="s">
        <v>130</v>
      </c>
      <c r="X2005" s="7" t="s">
        <v>131</v>
      </c>
      <c r="Y2005" s="7" t="s">
        <v>4950</v>
      </c>
      <c r="Z2005" s="7" t="s">
        <v>2066</v>
      </c>
      <c r="AA2005" s="7"/>
      <c r="AB2005" s="7"/>
      <c r="AC2005" s="7" t="s">
        <v>4817</v>
      </c>
      <c r="AD2005" s="7"/>
      <c r="AE2005" s="7"/>
      <c r="AF2005" s="7" t="s">
        <v>113</v>
      </c>
      <c r="AG2005" s="7" t="s">
        <v>366</v>
      </c>
      <c r="AH2005" s="7" t="s">
        <v>4818</v>
      </c>
    </row>
    <row r="2006" spans="1:34" ht="9.75" customHeight="1" x14ac:dyDescent="0.2">
      <c r="A2006" s="7" t="s">
        <v>4811</v>
      </c>
      <c r="B2006" s="7" t="s">
        <v>4812</v>
      </c>
      <c r="C2006" s="7" t="s">
        <v>4997</v>
      </c>
      <c r="D2006" s="7" t="s">
        <v>4998</v>
      </c>
      <c r="E2006" s="8">
        <v>2</v>
      </c>
      <c r="F2006" s="7"/>
      <c r="G2006" s="7"/>
      <c r="H2006" s="9"/>
      <c r="I2006" s="9"/>
      <c r="J2006" s="9"/>
      <c r="K2006" s="9"/>
      <c r="L2006" s="10">
        <v>24810</v>
      </c>
      <c r="M2006" s="9"/>
      <c r="N2006" s="10">
        <v>24810</v>
      </c>
      <c r="O2006" s="9"/>
      <c r="P2006" s="10"/>
      <c r="Q2006" s="10"/>
      <c r="R2006" s="10"/>
      <c r="S2006" s="7" t="s">
        <v>54</v>
      </c>
      <c r="T2006" s="7" t="s">
        <v>4813</v>
      </c>
      <c r="U2006" s="7" t="s">
        <v>44</v>
      </c>
      <c r="V2006" s="7" t="s">
        <v>45</v>
      </c>
      <c r="W2006" s="7" t="s">
        <v>130</v>
      </c>
      <c r="X2006" s="7" t="s">
        <v>131</v>
      </c>
      <c r="Y2006" s="7" t="s">
        <v>4950</v>
      </c>
      <c r="Z2006" s="7" t="s">
        <v>2066</v>
      </c>
      <c r="AA2006" s="7"/>
      <c r="AB2006" s="7"/>
      <c r="AC2006" s="7" t="s">
        <v>4817</v>
      </c>
      <c r="AD2006" s="7"/>
      <c r="AE2006" s="7"/>
      <c r="AF2006" s="7" t="s">
        <v>113</v>
      </c>
      <c r="AG2006" s="7" t="s">
        <v>366</v>
      </c>
      <c r="AH2006" s="7" t="s">
        <v>4818</v>
      </c>
    </row>
    <row r="2007" spans="1:34" ht="9.75" customHeight="1" x14ac:dyDescent="0.2">
      <c r="A2007" s="7" t="s">
        <v>4811</v>
      </c>
      <c r="B2007" s="7" t="s">
        <v>4812</v>
      </c>
      <c r="C2007" s="7" t="s">
        <v>4999</v>
      </c>
      <c r="D2007" s="7" t="s">
        <v>5000</v>
      </c>
      <c r="E2007" s="8">
        <v>2</v>
      </c>
      <c r="F2007" s="7"/>
      <c r="G2007" s="7"/>
      <c r="H2007" s="9"/>
      <c r="I2007" s="9"/>
      <c r="J2007" s="9"/>
      <c r="K2007" s="9"/>
      <c r="L2007" s="10">
        <v>4491</v>
      </c>
      <c r="M2007" s="9"/>
      <c r="N2007" s="10">
        <v>4491</v>
      </c>
      <c r="O2007" s="9"/>
      <c r="P2007" s="10"/>
      <c r="Q2007" s="10"/>
      <c r="R2007" s="10"/>
      <c r="S2007" s="7" t="s">
        <v>54</v>
      </c>
      <c r="T2007" s="7" t="s">
        <v>4813</v>
      </c>
      <c r="U2007" s="7" t="s">
        <v>44</v>
      </c>
      <c r="V2007" s="7" t="s">
        <v>45</v>
      </c>
      <c r="W2007" s="7" t="s">
        <v>130</v>
      </c>
      <c r="X2007" s="7" t="s">
        <v>131</v>
      </c>
      <c r="Y2007" s="7" t="s">
        <v>4950</v>
      </c>
      <c r="Z2007" s="7" t="s">
        <v>2066</v>
      </c>
      <c r="AA2007" s="7"/>
      <c r="AB2007" s="7"/>
      <c r="AC2007" s="7" t="s">
        <v>4817</v>
      </c>
      <c r="AD2007" s="7"/>
      <c r="AE2007" s="7"/>
      <c r="AF2007" s="7" t="s">
        <v>113</v>
      </c>
      <c r="AG2007" s="7" t="s">
        <v>366</v>
      </c>
      <c r="AH2007" s="7" t="s">
        <v>4818</v>
      </c>
    </row>
    <row r="2008" spans="1:34" ht="9.75" customHeight="1" x14ac:dyDescent="0.2">
      <c r="A2008" s="7" t="s">
        <v>4811</v>
      </c>
      <c r="B2008" s="7" t="s">
        <v>4812</v>
      </c>
      <c r="C2008" s="7" t="s">
        <v>4955</v>
      </c>
      <c r="D2008" s="7" t="s">
        <v>5001</v>
      </c>
      <c r="E2008" s="8">
        <v>2</v>
      </c>
      <c r="F2008" s="7"/>
      <c r="G2008" s="7"/>
      <c r="H2008" s="9"/>
      <c r="I2008" s="9"/>
      <c r="J2008" s="9"/>
      <c r="K2008" s="9"/>
      <c r="L2008" s="10">
        <v>141539</v>
      </c>
      <c r="M2008" s="9"/>
      <c r="N2008" s="10">
        <v>141539</v>
      </c>
      <c r="O2008" s="9"/>
      <c r="P2008" s="10"/>
      <c r="Q2008" s="10"/>
      <c r="R2008" s="10"/>
      <c r="S2008" s="7" t="s">
        <v>54</v>
      </c>
      <c r="T2008" s="7" t="s">
        <v>4813</v>
      </c>
      <c r="U2008" s="7" t="s">
        <v>44</v>
      </c>
      <c r="V2008" s="7" t="s">
        <v>45</v>
      </c>
      <c r="W2008" s="7" t="s">
        <v>67</v>
      </c>
      <c r="X2008" s="7" t="s">
        <v>68</v>
      </c>
      <c r="Y2008" s="7" t="s">
        <v>4950</v>
      </c>
      <c r="Z2008" s="7" t="s">
        <v>5002</v>
      </c>
      <c r="AA2008" s="7"/>
      <c r="AB2008" s="7"/>
      <c r="AC2008" s="7" t="s">
        <v>4817</v>
      </c>
      <c r="AD2008" s="7"/>
      <c r="AE2008" s="7"/>
      <c r="AF2008" s="7" t="s">
        <v>113</v>
      </c>
      <c r="AG2008" s="7" t="s">
        <v>366</v>
      </c>
      <c r="AH2008" s="7" t="s">
        <v>4818</v>
      </c>
    </row>
    <row r="2009" spans="1:34" ht="9.75" customHeight="1" x14ac:dyDescent="0.2">
      <c r="A2009" s="7" t="s">
        <v>4811</v>
      </c>
      <c r="B2009" s="7" t="s">
        <v>4812</v>
      </c>
      <c r="C2009" s="7" t="s">
        <v>5003</v>
      </c>
      <c r="D2009" s="7" t="s">
        <v>5004</v>
      </c>
      <c r="E2009" s="8">
        <v>3</v>
      </c>
      <c r="F2009" s="7"/>
      <c r="G2009" s="7"/>
      <c r="H2009" s="9"/>
      <c r="I2009" s="9"/>
      <c r="J2009" s="9"/>
      <c r="K2009" s="9"/>
      <c r="L2009" s="10">
        <v>19975</v>
      </c>
      <c r="M2009" s="9"/>
      <c r="N2009" s="10">
        <v>19975</v>
      </c>
      <c r="O2009" s="9"/>
      <c r="P2009" s="10"/>
      <c r="Q2009" s="10"/>
      <c r="R2009" s="10"/>
      <c r="S2009" s="7" t="s">
        <v>54</v>
      </c>
      <c r="T2009" s="7" t="s">
        <v>4813</v>
      </c>
      <c r="U2009" s="7" t="s">
        <v>44</v>
      </c>
      <c r="V2009" s="7" t="s">
        <v>45</v>
      </c>
      <c r="W2009" s="7" t="s">
        <v>46</v>
      </c>
      <c r="X2009" s="7" t="s">
        <v>90</v>
      </c>
      <c r="Y2009" s="7" t="s">
        <v>4950</v>
      </c>
      <c r="Z2009" s="7" t="s">
        <v>5002</v>
      </c>
      <c r="AA2009" s="7"/>
      <c r="AB2009" s="7"/>
      <c r="AC2009" s="7" t="s">
        <v>4817</v>
      </c>
      <c r="AD2009" s="7"/>
      <c r="AE2009" s="7"/>
      <c r="AF2009" s="7" t="s">
        <v>113</v>
      </c>
      <c r="AG2009" s="7" t="s">
        <v>366</v>
      </c>
      <c r="AH2009" s="7" t="s">
        <v>4818</v>
      </c>
    </row>
    <row r="2010" spans="1:34" ht="9.75" customHeight="1" x14ac:dyDescent="0.2">
      <c r="A2010" s="7" t="s">
        <v>4811</v>
      </c>
      <c r="B2010" s="7" t="s">
        <v>4812</v>
      </c>
      <c r="C2010" s="7" t="s">
        <v>5005</v>
      </c>
      <c r="D2010" s="7" t="s">
        <v>5006</v>
      </c>
      <c r="E2010" s="8">
        <v>2</v>
      </c>
      <c r="F2010" s="7"/>
      <c r="G2010" s="7"/>
      <c r="H2010" s="9"/>
      <c r="I2010" s="9"/>
      <c r="J2010" s="9"/>
      <c r="K2010" s="9"/>
      <c r="L2010" s="10">
        <v>22013</v>
      </c>
      <c r="M2010" s="9"/>
      <c r="N2010" s="10">
        <v>22013</v>
      </c>
      <c r="O2010" s="9"/>
      <c r="P2010" s="10"/>
      <c r="Q2010" s="10"/>
      <c r="R2010" s="10"/>
      <c r="S2010" s="7" t="s">
        <v>54</v>
      </c>
      <c r="T2010" s="7" t="s">
        <v>4813</v>
      </c>
      <c r="U2010" s="7" t="s">
        <v>44</v>
      </c>
      <c r="V2010" s="7" t="s">
        <v>45</v>
      </c>
      <c r="W2010" s="7" t="s">
        <v>130</v>
      </c>
      <c r="X2010" s="7" t="s">
        <v>131</v>
      </c>
      <c r="Y2010" s="7" t="s">
        <v>4950</v>
      </c>
      <c r="Z2010" s="7" t="s">
        <v>5002</v>
      </c>
      <c r="AA2010" s="7"/>
      <c r="AB2010" s="7"/>
      <c r="AC2010" s="7" t="s">
        <v>4817</v>
      </c>
      <c r="AD2010" s="7"/>
      <c r="AE2010" s="7"/>
      <c r="AF2010" s="7" t="s">
        <v>113</v>
      </c>
      <c r="AG2010" s="7" t="s">
        <v>366</v>
      </c>
      <c r="AH2010" s="7" t="s">
        <v>4818</v>
      </c>
    </row>
    <row r="2011" spans="1:34" ht="9.75" customHeight="1" x14ac:dyDescent="0.2">
      <c r="A2011" s="7" t="s">
        <v>4811</v>
      </c>
      <c r="B2011" s="7" t="s">
        <v>4812</v>
      </c>
      <c r="C2011" s="7" t="s">
        <v>5007</v>
      </c>
      <c r="D2011" s="7" t="s">
        <v>5008</v>
      </c>
      <c r="E2011" s="8">
        <v>2</v>
      </c>
      <c r="F2011" s="7"/>
      <c r="G2011" s="7"/>
      <c r="H2011" s="9"/>
      <c r="I2011" s="9"/>
      <c r="J2011" s="9"/>
      <c r="K2011" s="9"/>
      <c r="L2011" s="10">
        <v>4494</v>
      </c>
      <c r="M2011" s="9"/>
      <c r="N2011" s="10">
        <v>4494</v>
      </c>
      <c r="O2011" s="9"/>
      <c r="P2011" s="10"/>
      <c r="Q2011" s="10"/>
      <c r="R2011" s="10"/>
      <c r="S2011" s="7" t="s">
        <v>54</v>
      </c>
      <c r="T2011" s="7" t="s">
        <v>4813</v>
      </c>
      <c r="U2011" s="7" t="s">
        <v>44</v>
      </c>
      <c r="V2011" s="7" t="s">
        <v>45</v>
      </c>
      <c r="W2011" s="7" t="s">
        <v>130</v>
      </c>
      <c r="X2011" s="7" t="s">
        <v>131</v>
      </c>
      <c r="Y2011" s="7" t="s">
        <v>4950</v>
      </c>
      <c r="Z2011" s="7" t="s">
        <v>2066</v>
      </c>
      <c r="AA2011" s="7"/>
      <c r="AB2011" s="7"/>
      <c r="AC2011" s="7" t="s">
        <v>4817</v>
      </c>
      <c r="AD2011" s="7"/>
      <c r="AE2011" s="7"/>
      <c r="AF2011" s="7" t="s">
        <v>113</v>
      </c>
      <c r="AG2011" s="7" t="s">
        <v>366</v>
      </c>
      <c r="AH2011" s="7" t="s">
        <v>4818</v>
      </c>
    </row>
    <row r="2012" spans="1:34" ht="9.75" customHeight="1" x14ac:dyDescent="0.2">
      <c r="A2012" s="7" t="s">
        <v>4811</v>
      </c>
      <c r="B2012" s="7" t="s">
        <v>4812</v>
      </c>
      <c r="C2012" s="7" t="s">
        <v>5009</v>
      </c>
      <c r="D2012" s="7" t="s">
        <v>5010</v>
      </c>
      <c r="E2012" s="8">
        <v>2</v>
      </c>
      <c r="F2012" s="7"/>
      <c r="G2012" s="7"/>
      <c r="H2012" s="9"/>
      <c r="I2012" s="9"/>
      <c r="J2012" s="9"/>
      <c r="K2012" s="9"/>
      <c r="L2012" s="10">
        <v>192591</v>
      </c>
      <c r="M2012" s="9"/>
      <c r="N2012" s="10">
        <v>192591</v>
      </c>
      <c r="O2012" s="9"/>
      <c r="P2012" s="10"/>
      <c r="Q2012" s="10"/>
      <c r="R2012" s="10"/>
      <c r="S2012" s="7" t="s">
        <v>54</v>
      </c>
      <c r="T2012" s="7" t="s">
        <v>4813</v>
      </c>
      <c r="U2012" s="7" t="s">
        <v>44</v>
      </c>
      <c r="V2012" s="7" t="s">
        <v>45</v>
      </c>
      <c r="W2012" s="7" t="s">
        <v>67</v>
      </c>
      <c r="X2012" s="7" t="s">
        <v>68</v>
      </c>
      <c r="Y2012" s="7" t="s">
        <v>4950</v>
      </c>
      <c r="Z2012" s="7" t="s">
        <v>5002</v>
      </c>
      <c r="AA2012" s="7"/>
      <c r="AB2012" s="7"/>
      <c r="AC2012" s="7" t="s">
        <v>4817</v>
      </c>
      <c r="AD2012" s="7"/>
      <c r="AE2012" s="7"/>
      <c r="AF2012" s="7" t="s">
        <v>113</v>
      </c>
      <c r="AG2012" s="7" t="s">
        <v>366</v>
      </c>
      <c r="AH2012" s="7" t="s">
        <v>4818</v>
      </c>
    </row>
    <row r="2013" spans="1:34" ht="9.75" customHeight="1" x14ac:dyDescent="0.2">
      <c r="A2013" s="7" t="s">
        <v>4811</v>
      </c>
      <c r="B2013" s="7" t="s">
        <v>4812</v>
      </c>
      <c r="C2013" s="7" t="s">
        <v>5011</v>
      </c>
      <c r="D2013" s="7" t="s">
        <v>5012</v>
      </c>
      <c r="E2013" s="8">
        <v>2</v>
      </c>
      <c r="F2013" s="7"/>
      <c r="G2013" s="7"/>
      <c r="H2013" s="9"/>
      <c r="I2013" s="9"/>
      <c r="J2013" s="9"/>
      <c r="K2013" s="9"/>
      <c r="L2013" s="10">
        <v>104357</v>
      </c>
      <c r="M2013" s="9"/>
      <c r="N2013" s="10">
        <v>104357</v>
      </c>
      <c r="O2013" s="9"/>
      <c r="P2013" s="10"/>
      <c r="Q2013" s="10"/>
      <c r="R2013" s="10"/>
      <c r="S2013" s="7" t="s">
        <v>54</v>
      </c>
      <c r="T2013" s="7" t="s">
        <v>4813</v>
      </c>
      <c r="U2013" s="7" t="s">
        <v>44</v>
      </c>
      <c r="V2013" s="7" t="s">
        <v>45</v>
      </c>
      <c r="W2013" s="7" t="s">
        <v>46</v>
      </c>
      <c r="X2013" s="7" t="s">
        <v>90</v>
      </c>
      <c r="Y2013" s="7" t="s">
        <v>4950</v>
      </c>
      <c r="Z2013" s="7" t="s">
        <v>5002</v>
      </c>
      <c r="AA2013" s="7"/>
      <c r="AB2013" s="7"/>
      <c r="AC2013" s="7" t="s">
        <v>4817</v>
      </c>
      <c r="AD2013" s="7"/>
      <c r="AE2013" s="7"/>
      <c r="AF2013" s="7" t="s">
        <v>113</v>
      </c>
      <c r="AG2013" s="7" t="s">
        <v>366</v>
      </c>
      <c r="AH2013" s="7" t="s">
        <v>4818</v>
      </c>
    </row>
    <row r="2014" spans="1:34" ht="9.75" customHeight="1" x14ac:dyDescent="0.2">
      <c r="A2014" s="7" t="s">
        <v>4811</v>
      </c>
      <c r="B2014" s="7" t="s">
        <v>4812</v>
      </c>
      <c r="C2014" s="7" t="s">
        <v>5013</v>
      </c>
      <c r="D2014" s="7" t="s">
        <v>5014</v>
      </c>
      <c r="E2014" s="8">
        <v>2</v>
      </c>
      <c r="F2014" s="7"/>
      <c r="G2014" s="7"/>
      <c r="H2014" s="9"/>
      <c r="I2014" s="9"/>
      <c r="J2014" s="9"/>
      <c r="K2014" s="9"/>
      <c r="L2014" s="10">
        <v>24810</v>
      </c>
      <c r="M2014" s="9"/>
      <c r="N2014" s="10">
        <v>24810</v>
      </c>
      <c r="O2014" s="9"/>
      <c r="P2014" s="10"/>
      <c r="Q2014" s="10"/>
      <c r="R2014" s="10"/>
      <c r="S2014" s="7" t="s">
        <v>54</v>
      </c>
      <c r="T2014" s="7" t="s">
        <v>4813</v>
      </c>
      <c r="U2014" s="7" t="s">
        <v>44</v>
      </c>
      <c r="V2014" s="7" t="s">
        <v>45</v>
      </c>
      <c r="W2014" s="7" t="s">
        <v>130</v>
      </c>
      <c r="X2014" s="7" t="s">
        <v>131</v>
      </c>
      <c r="Y2014" s="7" t="s">
        <v>4950</v>
      </c>
      <c r="Z2014" s="7" t="s">
        <v>2066</v>
      </c>
      <c r="AA2014" s="7"/>
      <c r="AB2014" s="7"/>
      <c r="AC2014" s="7" t="s">
        <v>4817</v>
      </c>
      <c r="AD2014" s="7"/>
      <c r="AE2014" s="7"/>
      <c r="AF2014" s="7" t="s">
        <v>113</v>
      </c>
      <c r="AG2014" s="7" t="s">
        <v>366</v>
      </c>
      <c r="AH2014" s="7" t="s">
        <v>4818</v>
      </c>
    </row>
    <row r="2015" spans="1:34" ht="9.75" customHeight="1" x14ac:dyDescent="0.2">
      <c r="A2015" s="7" t="s">
        <v>4811</v>
      </c>
      <c r="B2015" s="7" t="s">
        <v>4812</v>
      </c>
      <c r="C2015" s="7" t="s">
        <v>5015</v>
      </c>
      <c r="D2015" s="7" t="s">
        <v>5016</v>
      </c>
      <c r="E2015" s="8">
        <v>2</v>
      </c>
      <c r="F2015" s="7"/>
      <c r="G2015" s="7"/>
      <c r="H2015" s="9"/>
      <c r="I2015" s="9"/>
      <c r="J2015" s="9"/>
      <c r="K2015" s="9"/>
      <c r="L2015" s="10">
        <v>85595</v>
      </c>
      <c r="M2015" s="9"/>
      <c r="N2015" s="10">
        <v>85595</v>
      </c>
      <c r="O2015" s="9"/>
      <c r="P2015" s="10"/>
      <c r="Q2015" s="10"/>
      <c r="R2015" s="10"/>
      <c r="S2015" s="7" t="s">
        <v>54</v>
      </c>
      <c r="T2015" s="7" t="s">
        <v>4813</v>
      </c>
      <c r="U2015" s="7" t="s">
        <v>44</v>
      </c>
      <c r="V2015" s="7" t="s">
        <v>45</v>
      </c>
      <c r="W2015" s="7" t="s">
        <v>46</v>
      </c>
      <c r="X2015" s="7" t="s">
        <v>90</v>
      </c>
      <c r="Y2015" s="7" t="s">
        <v>4950</v>
      </c>
      <c r="Z2015" s="7" t="s">
        <v>5002</v>
      </c>
      <c r="AA2015" s="7"/>
      <c r="AB2015" s="7"/>
      <c r="AC2015" s="7" t="s">
        <v>4817</v>
      </c>
      <c r="AD2015" s="7"/>
      <c r="AE2015" s="7"/>
      <c r="AF2015" s="7" t="s">
        <v>113</v>
      </c>
      <c r="AG2015" s="7" t="s">
        <v>366</v>
      </c>
      <c r="AH2015" s="7" t="s">
        <v>4818</v>
      </c>
    </row>
    <row r="2016" spans="1:34" ht="9.75" customHeight="1" x14ac:dyDescent="0.2">
      <c r="A2016" s="7" t="s">
        <v>4811</v>
      </c>
      <c r="B2016" s="7" t="s">
        <v>4812</v>
      </c>
      <c r="C2016" s="7" t="s">
        <v>5017</v>
      </c>
      <c r="D2016" s="7" t="s">
        <v>5018</v>
      </c>
      <c r="E2016" s="8">
        <v>2</v>
      </c>
      <c r="F2016" s="7"/>
      <c r="G2016" s="7"/>
      <c r="H2016" s="9"/>
      <c r="I2016" s="9"/>
      <c r="J2016" s="9"/>
      <c r="K2016" s="9"/>
      <c r="L2016" s="10">
        <v>4404</v>
      </c>
      <c r="M2016" s="9"/>
      <c r="N2016" s="10">
        <v>4404</v>
      </c>
      <c r="O2016" s="9"/>
      <c r="P2016" s="10"/>
      <c r="Q2016" s="10"/>
      <c r="R2016" s="10"/>
      <c r="S2016" s="7" t="s">
        <v>54</v>
      </c>
      <c r="T2016" s="7" t="s">
        <v>4813</v>
      </c>
      <c r="U2016" s="7" t="s">
        <v>44</v>
      </c>
      <c r="V2016" s="7" t="s">
        <v>45</v>
      </c>
      <c r="W2016" s="7" t="s">
        <v>130</v>
      </c>
      <c r="X2016" s="7" t="s">
        <v>131</v>
      </c>
      <c r="Y2016" s="7" t="s">
        <v>4950</v>
      </c>
      <c r="Z2016" s="7" t="s">
        <v>5002</v>
      </c>
      <c r="AA2016" s="7"/>
      <c r="AB2016" s="7"/>
      <c r="AC2016" s="7" t="s">
        <v>4817</v>
      </c>
      <c r="AD2016" s="7"/>
      <c r="AE2016" s="7"/>
      <c r="AF2016" s="7" t="s">
        <v>113</v>
      </c>
      <c r="AG2016" s="7" t="s">
        <v>366</v>
      </c>
      <c r="AH2016" s="7" t="s">
        <v>4818</v>
      </c>
    </row>
    <row r="2017" spans="1:34" ht="9.75" customHeight="1" x14ac:dyDescent="0.2">
      <c r="A2017" s="7" t="s">
        <v>4811</v>
      </c>
      <c r="B2017" s="7" t="s">
        <v>4812</v>
      </c>
      <c r="C2017" s="7" t="s">
        <v>5019</v>
      </c>
      <c r="D2017" s="7" t="s">
        <v>5020</v>
      </c>
      <c r="E2017" s="8">
        <v>2</v>
      </c>
      <c r="F2017" s="7"/>
      <c r="G2017" s="7"/>
      <c r="H2017" s="9"/>
      <c r="I2017" s="9"/>
      <c r="J2017" s="9"/>
      <c r="K2017" s="9"/>
      <c r="L2017" s="10">
        <v>12058</v>
      </c>
      <c r="M2017" s="9"/>
      <c r="N2017" s="10">
        <v>12058</v>
      </c>
      <c r="O2017" s="9"/>
      <c r="P2017" s="10"/>
      <c r="Q2017" s="10"/>
      <c r="R2017" s="10"/>
      <c r="S2017" s="7" t="s">
        <v>54</v>
      </c>
      <c r="T2017" s="7" t="s">
        <v>4813</v>
      </c>
      <c r="U2017" s="7" t="s">
        <v>44</v>
      </c>
      <c r="V2017" s="7" t="s">
        <v>45</v>
      </c>
      <c r="W2017" s="7" t="s">
        <v>171</v>
      </c>
      <c r="X2017" s="7" t="s">
        <v>5021</v>
      </c>
      <c r="Y2017" s="7" t="s">
        <v>4950</v>
      </c>
      <c r="Z2017" s="7" t="s">
        <v>5002</v>
      </c>
      <c r="AA2017" s="7"/>
      <c r="AB2017" s="7"/>
      <c r="AC2017" s="7" t="s">
        <v>4817</v>
      </c>
      <c r="AD2017" s="7"/>
      <c r="AE2017" s="7"/>
      <c r="AF2017" s="7" t="s">
        <v>113</v>
      </c>
      <c r="AG2017" s="7" t="s">
        <v>366</v>
      </c>
      <c r="AH2017" s="7" t="s">
        <v>4818</v>
      </c>
    </row>
    <row r="2018" spans="1:34" ht="9.75" customHeight="1" x14ac:dyDescent="0.2">
      <c r="A2018" s="7" t="s">
        <v>4811</v>
      </c>
      <c r="B2018" s="7" t="s">
        <v>4812</v>
      </c>
      <c r="C2018" s="7" t="s">
        <v>5022</v>
      </c>
      <c r="D2018" s="7" t="s">
        <v>5023</v>
      </c>
      <c r="E2018" s="8">
        <v>2</v>
      </c>
      <c r="F2018" s="7"/>
      <c r="G2018" s="7"/>
      <c r="H2018" s="9"/>
      <c r="I2018" s="9"/>
      <c r="J2018" s="9"/>
      <c r="K2018" s="9"/>
      <c r="L2018" s="10">
        <v>20995</v>
      </c>
      <c r="M2018" s="9"/>
      <c r="N2018" s="10">
        <v>20995</v>
      </c>
      <c r="O2018" s="9"/>
      <c r="P2018" s="10"/>
      <c r="Q2018" s="10"/>
      <c r="R2018" s="10"/>
      <c r="S2018" s="7" t="s">
        <v>54</v>
      </c>
      <c r="T2018" s="7" t="s">
        <v>4813</v>
      </c>
      <c r="U2018" s="7" t="s">
        <v>44</v>
      </c>
      <c r="V2018" s="7" t="s">
        <v>45</v>
      </c>
      <c r="W2018" s="7" t="s">
        <v>46</v>
      </c>
      <c r="X2018" s="7" t="s">
        <v>90</v>
      </c>
      <c r="Y2018" s="7" t="s">
        <v>4950</v>
      </c>
      <c r="Z2018" s="7" t="s">
        <v>5002</v>
      </c>
      <c r="AA2018" s="7"/>
      <c r="AB2018" s="7"/>
      <c r="AC2018" s="7" t="s">
        <v>4817</v>
      </c>
      <c r="AD2018" s="7"/>
      <c r="AE2018" s="7"/>
      <c r="AF2018" s="7" t="s">
        <v>113</v>
      </c>
      <c r="AG2018" s="7" t="s">
        <v>366</v>
      </c>
      <c r="AH2018" s="7" t="s">
        <v>4818</v>
      </c>
    </row>
    <row r="2019" spans="1:34" ht="9.75" customHeight="1" x14ac:dyDescent="0.2">
      <c r="A2019" s="7" t="s">
        <v>4811</v>
      </c>
      <c r="B2019" s="7" t="s">
        <v>4812</v>
      </c>
      <c r="C2019" s="7" t="s">
        <v>5024</v>
      </c>
      <c r="D2019" s="7" t="s">
        <v>5025</v>
      </c>
      <c r="E2019" s="8">
        <v>2</v>
      </c>
      <c r="F2019" s="7"/>
      <c r="G2019" s="7"/>
      <c r="H2019" s="9"/>
      <c r="I2019" s="9"/>
      <c r="J2019" s="9"/>
      <c r="K2019" s="9"/>
      <c r="L2019" s="10">
        <v>8898</v>
      </c>
      <c r="M2019" s="9"/>
      <c r="N2019" s="10">
        <v>8898</v>
      </c>
      <c r="O2019" s="9"/>
      <c r="P2019" s="10"/>
      <c r="Q2019" s="10"/>
      <c r="R2019" s="10"/>
      <c r="S2019" s="7" t="s">
        <v>219</v>
      </c>
      <c r="T2019" s="7" t="s">
        <v>5026</v>
      </c>
      <c r="U2019" s="7" t="s">
        <v>44</v>
      </c>
      <c r="V2019" s="7" t="s">
        <v>45</v>
      </c>
      <c r="W2019" s="7" t="s">
        <v>171</v>
      </c>
      <c r="X2019" s="7" t="s">
        <v>5027</v>
      </c>
      <c r="Y2019" s="7" t="s">
        <v>5028</v>
      </c>
      <c r="Z2019" s="7" t="s">
        <v>5002</v>
      </c>
      <c r="AA2019" s="7"/>
      <c r="AB2019" s="7"/>
      <c r="AC2019" s="7" t="s">
        <v>4817</v>
      </c>
      <c r="AD2019" s="7"/>
      <c r="AE2019" s="7"/>
      <c r="AF2019" s="7" t="s">
        <v>113</v>
      </c>
      <c r="AG2019" s="7" t="s">
        <v>366</v>
      </c>
      <c r="AH2019" s="7" t="s">
        <v>4818</v>
      </c>
    </row>
    <row r="2020" spans="1:34" ht="9.75" customHeight="1" x14ac:dyDescent="0.2">
      <c r="A2020" s="7" t="s">
        <v>4811</v>
      </c>
      <c r="B2020" s="7" t="s">
        <v>4812</v>
      </c>
      <c r="C2020" s="7" t="s">
        <v>5029</v>
      </c>
      <c r="D2020" s="7" t="s">
        <v>5030</v>
      </c>
      <c r="E2020" s="8">
        <v>2</v>
      </c>
      <c r="F2020" s="7"/>
      <c r="G2020" s="7"/>
      <c r="H2020" s="9"/>
      <c r="I2020" s="9"/>
      <c r="J2020" s="9"/>
      <c r="K2020" s="9"/>
      <c r="L2020" s="10">
        <v>15000</v>
      </c>
      <c r="M2020" s="9"/>
      <c r="N2020" s="10">
        <v>15000</v>
      </c>
      <c r="O2020" s="9"/>
      <c r="P2020" s="10"/>
      <c r="Q2020" s="10"/>
      <c r="R2020" s="10"/>
      <c r="S2020" s="7" t="s">
        <v>219</v>
      </c>
      <c r="T2020" s="7" t="s">
        <v>5026</v>
      </c>
      <c r="U2020" s="7" t="s">
        <v>44</v>
      </c>
      <c r="V2020" s="7" t="s">
        <v>45</v>
      </c>
      <c r="W2020" s="7" t="s">
        <v>130</v>
      </c>
      <c r="X2020" s="7" t="s">
        <v>131</v>
      </c>
      <c r="Y2020" s="7" t="s">
        <v>5028</v>
      </c>
      <c r="Z2020" s="7" t="s">
        <v>4744</v>
      </c>
      <c r="AA2020" s="7"/>
      <c r="AB2020" s="7"/>
      <c r="AC2020" s="7" t="s">
        <v>4817</v>
      </c>
      <c r="AD2020" s="7"/>
      <c r="AE2020" s="7"/>
      <c r="AF2020" s="7" t="s">
        <v>113</v>
      </c>
      <c r="AG2020" s="7" t="s">
        <v>366</v>
      </c>
      <c r="AH2020" s="7" t="s">
        <v>4818</v>
      </c>
    </row>
    <row r="2021" spans="1:34" ht="9.75" customHeight="1" x14ac:dyDescent="0.2">
      <c r="A2021" s="7" t="s">
        <v>4811</v>
      </c>
      <c r="B2021" s="7" t="s">
        <v>4812</v>
      </c>
      <c r="C2021" s="7" t="s">
        <v>5031</v>
      </c>
      <c r="D2021" s="7" t="s">
        <v>5032</v>
      </c>
      <c r="E2021" s="8">
        <v>2</v>
      </c>
      <c r="F2021" s="7"/>
      <c r="G2021" s="7"/>
      <c r="H2021" s="9"/>
      <c r="I2021" s="9"/>
      <c r="J2021" s="9"/>
      <c r="K2021" s="9"/>
      <c r="L2021" s="10">
        <v>9325</v>
      </c>
      <c r="M2021" s="9"/>
      <c r="N2021" s="10">
        <v>9325</v>
      </c>
      <c r="O2021" s="9"/>
      <c r="P2021" s="10"/>
      <c r="Q2021" s="10"/>
      <c r="R2021" s="10"/>
      <c r="S2021" s="7" t="s">
        <v>219</v>
      </c>
      <c r="T2021" s="7" t="s">
        <v>5026</v>
      </c>
      <c r="U2021" s="7" t="s">
        <v>44</v>
      </c>
      <c r="V2021" s="7" t="s">
        <v>45</v>
      </c>
      <c r="W2021" s="7" t="s">
        <v>171</v>
      </c>
      <c r="X2021" s="7" t="s">
        <v>172</v>
      </c>
      <c r="Y2021" s="7" t="s">
        <v>5028</v>
      </c>
      <c r="Z2021" s="7" t="s">
        <v>4744</v>
      </c>
      <c r="AA2021" s="7"/>
      <c r="AB2021" s="7"/>
      <c r="AC2021" s="7" t="s">
        <v>4817</v>
      </c>
      <c r="AD2021" s="7"/>
      <c r="AE2021" s="7"/>
      <c r="AF2021" s="7" t="s">
        <v>113</v>
      </c>
      <c r="AG2021" s="7" t="s">
        <v>366</v>
      </c>
      <c r="AH2021" s="7" t="s">
        <v>4818</v>
      </c>
    </row>
    <row r="2022" spans="1:34" ht="9.75" customHeight="1" x14ac:dyDescent="0.2">
      <c r="A2022" s="7" t="s">
        <v>4811</v>
      </c>
      <c r="B2022" s="7" t="s">
        <v>4812</v>
      </c>
      <c r="C2022" s="7" t="s">
        <v>5033</v>
      </c>
      <c r="D2022" s="7" t="s">
        <v>5034</v>
      </c>
      <c r="E2022" s="8">
        <v>2</v>
      </c>
      <c r="F2022" s="7"/>
      <c r="G2022" s="7"/>
      <c r="H2022" s="9"/>
      <c r="I2022" s="9"/>
      <c r="J2022" s="9"/>
      <c r="K2022" s="9"/>
      <c r="L2022" s="10">
        <v>14036</v>
      </c>
      <c r="M2022" s="9"/>
      <c r="N2022" s="10">
        <v>14036</v>
      </c>
      <c r="O2022" s="9"/>
      <c r="P2022" s="10"/>
      <c r="Q2022" s="10"/>
      <c r="R2022" s="10"/>
      <c r="S2022" s="7" t="s">
        <v>219</v>
      </c>
      <c r="T2022" s="7" t="s">
        <v>5026</v>
      </c>
      <c r="U2022" s="7" t="s">
        <v>44</v>
      </c>
      <c r="V2022" s="7" t="s">
        <v>45</v>
      </c>
      <c r="W2022" s="7" t="s">
        <v>171</v>
      </c>
      <c r="X2022" s="7" t="s">
        <v>5021</v>
      </c>
      <c r="Y2022" s="7" t="s">
        <v>5028</v>
      </c>
      <c r="Z2022" s="7" t="s">
        <v>4744</v>
      </c>
      <c r="AA2022" s="7"/>
      <c r="AB2022" s="7"/>
      <c r="AC2022" s="7" t="s">
        <v>4817</v>
      </c>
      <c r="AD2022" s="7"/>
      <c r="AE2022" s="7"/>
      <c r="AF2022" s="7" t="s">
        <v>113</v>
      </c>
      <c r="AG2022" s="7" t="s">
        <v>366</v>
      </c>
      <c r="AH2022" s="7" t="s">
        <v>4818</v>
      </c>
    </row>
    <row r="2023" spans="1:34" ht="9.75" customHeight="1" x14ac:dyDescent="0.2">
      <c r="A2023" s="7" t="s">
        <v>4811</v>
      </c>
      <c r="B2023" s="7" t="s">
        <v>4812</v>
      </c>
      <c r="C2023" s="7" t="s">
        <v>5035</v>
      </c>
      <c r="D2023" s="7" t="s">
        <v>5036</v>
      </c>
      <c r="E2023" s="8">
        <v>2</v>
      </c>
      <c r="F2023" s="7"/>
      <c r="G2023" s="7"/>
      <c r="H2023" s="9"/>
      <c r="I2023" s="9"/>
      <c r="J2023" s="9"/>
      <c r="K2023" s="9"/>
      <c r="L2023" s="10">
        <v>12087</v>
      </c>
      <c r="M2023" s="9"/>
      <c r="N2023" s="10">
        <v>12087</v>
      </c>
      <c r="O2023" s="9"/>
      <c r="P2023" s="10"/>
      <c r="Q2023" s="10"/>
      <c r="R2023" s="10"/>
      <c r="S2023" s="7" t="s">
        <v>219</v>
      </c>
      <c r="T2023" s="7" t="s">
        <v>5026</v>
      </c>
      <c r="U2023" s="7" t="s">
        <v>44</v>
      </c>
      <c r="V2023" s="7" t="s">
        <v>45</v>
      </c>
      <c r="W2023" s="7" t="s">
        <v>130</v>
      </c>
      <c r="X2023" s="7" t="s">
        <v>131</v>
      </c>
      <c r="Y2023" s="7" t="s">
        <v>5028</v>
      </c>
      <c r="Z2023" s="7" t="s">
        <v>4744</v>
      </c>
      <c r="AA2023" s="7"/>
      <c r="AB2023" s="7"/>
      <c r="AC2023" s="7" t="s">
        <v>4817</v>
      </c>
      <c r="AD2023" s="7"/>
      <c r="AE2023" s="7"/>
      <c r="AF2023" s="7" t="s">
        <v>113</v>
      </c>
      <c r="AG2023" s="7" t="s">
        <v>366</v>
      </c>
      <c r="AH2023" s="7" t="s">
        <v>4818</v>
      </c>
    </row>
    <row r="2024" spans="1:34" ht="9.75" customHeight="1" x14ac:dyDescent="0.2">
      <c r="A2024" s="7" t="s">
        <v>4811</v>
      </c>
      <c r="B2024" s="7" t="s">
        <v>4812</v>
      </c>
      <c r="C2024" s="7" t="s">
        <v>5037</v>
      </c>
      <c r="D2024" s="7" t="s">
        <v>5038</v>
      </c>
      <c r="E2024" s="8">
        <v>2</v>
      </c>
      <c r="F2024" s="7"/>
      <c r="G2024" s="7"/>
      <c r="H2024" s="9"/>
      <c r="I2024" s="9"/>
      <c r="J2024" s="9"/>
      <c r="K2024" s="9"/>
      <c r="L2024" s="10">
        <v>12065</v>
      </c>
      <c r="M2024" s="9"/>
      <c r="N2024" s="10">
        <v>12065</v>
      </c>
      <c r="O2024" s="9"/>
      <c r="P2024" s="10"/>
      <c r="Q2024" s="10"/>
      <c r="R2024" s="10"/>
      <c r="S2024" s="7" t="s">
        <v>219</v>
      </c>
      <c r="T2024" s="7" t="s">
        <v>5026</v>
      </c>
      <c r="U2024" s="7" t="s">
        <v>44</v>
      </c>
      <c r="V2024" s="7" t="s">
        <v>45</v>
      </c>
      <c r="W2024" s="7" t="s">
        <v>171</v>
      </c>
      <c r="X2024" s="7" t="s">
        <v>194</v>
      </c>
      <c r="Y2024" s="7" t="s">
        <v>5028</v>
      </c>
      <c r="Z2024" s="7" t="s">
        <v>4744</v>
      </c>
      <c r="AA2024" s="7"/>
      <c r="AB2024" s="7"/>
      <c r="AC2024" s="7" t="s">
        <v>4817</v>
      </c>
      <c r="AD2024" s="7"/>
      <c r="AE2024" s="7"/>
      <c r="AF2024" s="7" t="s">
        <v>113</v>
      </c>
      <c r="AG2024" s="7" t="s">
        <v>366</v>
      </c>
      <c r="AH2024" s="7" t="s">
        <v>4818</v>
      </c>
    </row>
    <row r="2025" spans="1:34" ht="9.75" customHeight="1" x14ac:dyDescent="0.2">
      <c r="A2025" s="7" t="s">
        <v>4811</v>
      </c>
      <c r="B2025" s="7" t="s">
        <v>4812</v>
      </c>
      <c r="C2025" s="7" t="s">
        <v>5039</v>
      </c>
      <c r="D2025" s="7" t="s">
        <v>5040</v>
      </c>
      <c r="E2025" s="8">
        <v>2</v>
      </c>
      <c r="F2025" s="7"/>
      <c r="G2025" s="7"/>
      <c r="H2025" s="9"/>
      <c r="I2025" s="9"/>
      <c r="J2025" s="9"/>
      <c r="K2025" s="9"/>
      <c r="L2025" s="10">
        <v>18380</v>
      </c>
      <c r="M2025" s="9"/>
      <c r="N2025" s="10">
        <v>18380</v>
      </c>
      <c r="O2025" s="9"/>
      <c r="P2025" s="10"/>
      <c r="Q2025" s="10"/>
      <c r="R2025" s="10"/>
      <c r="S2025" s="7" t="s">
        <v>219</v>
      </c>
      <c r="T2025" s="7" t="s">
        <v>5026</v>
      </c>
      <c r="U2025" s="7" t="s">
        <v>44</v>
      </c>
      <c r="V2025" s="7" t="s">
        <v>45</v>
      </c>
      <c r="W2025" s="7" t="s">
        <v>171</v>
      </c>
      <c r="X2025" s="7" t="s">
        <v>5021</v>
      </c>
      <c r="Y2025" s="7" t="s">
        <v>5028</v>
      </c>
      <c r="Z2025" s="7" t="s">
        <v>4744</v>
      </c>
      <c r="AA2025" s="7"/>
      <c r="AB2025" s="7"/>
      <c r="AC2025" s="7" t="s">
        <v>4817</v>
      </c>
      <c r="AD2025" s="7"/>
      <c r="AE2025" s="7"/>
      <c r="AF2025" s="7" t="s">
        <v>113</v>
      </c>
      <c r="AG2025" s="7" t="s">
        <v>366</v>
      </c>
      <c r="AH2025" s="7" t="s">
        <v>4818</v>
      </c>
    </row>
    <row r="2026" spans="1:34" ht="9.75" customHeight="1" x14ac:dyDescent="0.2">
      <c r="A2026" s="7" t="s">
        <v>4811</v>
      </c>
      <c r="B2026" s="7" t="s">
        <v>4812</v>
      </c>
      <c r="C2026" s="7" t="s">
        <v>5041</v>
      </c>
      <c r="D2026" s="7" t="s">
        <v>5042</v>
      </c>
      <c r="E2026" s="8">
        <v>2</v>
      </c>
      <c r="F2026" s="7"/>
      <c r="G2026" s="7"/>
      <c r="H2026" s="9"/>
      <c r="I2026" s="9"/>
      <c r="J2026" s="9"/>
      <c r="K2026" s="9"/>
      <c r="L2026" s="10">
        <v>112127</v>
      </c>
      <c r="M2026" s="9"/>
      <c r="N2026" s="10">
        <v>112127</v>
      </c>
      <c r="O2026" s="9"/>
      <c r="P2026" s="10"/>
      <c r="Q2026" s="10"/>
      <c r="R2026" s="10"/>
      <c r="S2026" s="7" t="s">
        <v>219</v>
      </c>
      <c r="T2026" s="7" t="s">
        <v>5026</v>
      </c>
      <c r="U2026" s="7" t="s">
        <v>44</v>
      </c>
      <c r="V2026" s="7" t="s">
        <v>45</v>
      </c>
      <c r="W2026" s="7" t="s">
        <v>130</v>
      </c>
      <c r="X2026" s="7" t="s">
        <v>131</v>
      </c>
      <c r="Y2026" s="7" t="s">
        <v>5028</v>
      </c>
      <c r="Z2026" s="7" t="s">
        <v>4744</v>
      </c>
      <c r="AA2026" s="7"/>
      <c r="AB2026" s="7"/>
      <c r="AC2026" s="7" t="s">
        <v>4817</v>
      </c>
      <c r="AD2026" s="7"/>
      <c r="AE2026" s="7"/>
      <c r="AF2026" s="7" t="s">
        <v>113</v>
      </c>
      <c r="AG2026" s="7" t="s">
        <v>366</v>
      </c>
      <c r="AH2026" s="7" t="s">
        <v>4818</v>
      </c>
    </row>
    <row r="2027" spans="1:34" ht="9.75" customHeight="1" x14ac:dyDescent="0.2">
      <c r="A2027" s="7" t="s">
        <v>4811</v>
      </c>
      <c r="B2027" s="7" t="s">
        <v>4812</v>
      </c>
      <c r="C2027" s="7" t="s">
        <v>5043</v>
      </c>
      <c r="D2027" s="7" t="s">
        <v>5044</v>
      </c>
      <c r="E2027" s="8">
        <v>2</v>
      </c>
      <c r="F2027" s="7"/>
      <c r="G2027" s="7"/>
      <c r="H2027" s="9"/>
      <c r="I2027" s="9"/>
      <c r="J2027" s="9"/>
      <c r="K2027" s="9"/>
      <c r="L2027" s="10">
        <v>42281</v>
      </c>
      <c r="M2027" s="9"/>
      <c r="N2027" s="10">
        <v>42281</v>
      </c>
      <c r="O2027" s="9"/>
      <c r="P2027" s="10"/>
      <c r="Q2027" s="10"/>
      <c r="R2027" s="10"/>
      <c r="S2027" s="7" t="s">
        <v>219</v>
      </c>
      <c r="T2027" s="7" t="s">
        <v>5026</v>
      </c>
      <c r="U2027" s="7" t="s">
        <v>44</v>
      </c>
      <c r="V2027" s="7" t="s">
        <v>45</v>
      </c>
      <c r="W2027" s="7" t="s">
        <v>130</v>
      </c>
      <c r="X2027" s="7" t="s">
        <v>131</v>
      </c>
      <c r="Y2027" s="7" t="s">
        <v>5028</v>
      </c>
      <c r="Z2027" s="7" t="s">
        <v>4744</v>
      </c>
      <c r="AA2027" s="7"/>
      <c r="AB2027" s="7"/>
      <c r="AC2027" s="7" t="s">
        <v>4817</v>
      </c>
      <c r="AD2027" s="7"/>
      <c r="AE2027" s="7"/>
      <c r="AF2027" s="7" t="s">
        <v>113</v>
      </c>
      <c r="AG2027" s="7" t="s">
        <v>366</v>
      </c>
      <c r="AH2027" s="7" t="s">
        <v>4818</v>
      </c>
    </row>
    <row r="2028" spans="1:34" ht="9.75" customHeight="1" x14ac:dyDescent="0.2">
      <c r="A2028" s="7" t="s">
        <v>4811</v>
      </c>
      <c r="B2028" s="7" t="s">
        <v>4812</v>
      </c>
      <c r="C2028" s="7" t="s">
        <v>5045</v>
      </c>
      <c r="D2028" s="7" t="s">
        <v>5046</v>
      </c>
      <c r="E2028" s="8">
        <v>2</v>
      </c>
      <c r="F2028" s="7"/>
      <c r="G2028" s="7"/>
      <c r="H2028" s="9"/>
      <c r="I2028" s="9"/>
      <c r="J2028" s="9"/>
      <c r="K2028" s="9"/>
      <c r="L2028" s="10">
        <v>121048</v>
      </c>
      <c r="M2028" s="9"/>
      <c r="N2028" s="10">
        <v>121048</v>
      </c>
      <c r="O2028" s="9"/>
      <c r="P2028" s="10"/>
      <c r="Q2028" s="10"/>
      <c r="R2028" s="10"/>
      <c r="S2028" s="7" t="s">
        <v>219</v>
      </c>
      <c r="T2028" s="7" t="s">
        <v>5026</v>
      </c>
      <c r="U2028" s="7" t="s">
        <v>44</v>
      </c>
      <c r="V2028" s="7" t="s">
        <v>45</v>
      </c>
      <c r="W2028" s="7" t="s">
        <v>130</v>
      </c>
      <c r="X2028" s="7" t="s">
        <v>131</v>
      </c>
      <c r="Y2028" s="7" t="s">
        <v>5028</v>
      </c>
      <c r="Z2028" s="7" t="s">
        <v>4744</v>
      </c>
      <c r="AA2028" s="7"/>
      <c r="AB2028" s="7"/>
      <c r="AC2028" s="7" t="s">
        <v>4817</v>
      </c>
      <c r="AD2028" s="7"/>
      <c r="AE2028" s="7"/>
      <c r="AF2028" s="7" t="s">
        <v>113</v>
      </c>
      <c r="AG2028" s="7" t="s">
        <v>366</v>
      </c>
      <c r="AH2028" s="7" t="s">
        <v>4818</v>
      </c>
    </row>
    <row r="2029" spans="1:34" ht="9.75" customHeight="1" x14ac:dyDescent="0.2">
      <c r="A2029" s="7" t="s">
        <v>4811</v>
      </c>
      <c r="B2029" s="7" t="s">
        <v>4812</v>
      </c>
      <c r="C2029" s="7" t="s">
        <v>5047</v>
      </c>
      <c r="D2029" s="7" t="s">
        <v>5048</v>
      </c>
      <c r="E2029" s="8">
        <v>2</v>
      </c>
      <c r="F2029" s="7"/>
      <c r="G2029" s="7"/>
      <c r="H2029" s="9"/>
      <c r="I2029" s="9"/>
      <c r="J2029" s="9"/>
      <c r="K2029" s="9"/>
      <c r="L2029" s="10">
        <v>91072</v>
      </c>
      <c r="M2029" s="9"/>
      <c r="N2029" s="10">
        <v>91072</v>
      </c>
      <c r="O2029" s="9"/>
      <c r="P2029" s="10"/>
      <c r="Q2029" s="10"/>
      <c r="R2029" s="10"/>
      <c r="S2029" s="7" t="s">
        <v>219</v>
      </c>
      <c r="T2029" s="7" t="s">
        <v>5026</v>
      </c>
      <c r="U2029" s="7" t="s">
        <v>44</v>
      </c>
      <c r="V2029" s="7" t="s">
        <v>45</v>
      </c>
      <c r="W2029" s="7" t="s">
        <v>130</v>
      </c>
      <c r="X2029" s="7" t="s">
        <v>131</v>
      </c>
      <c r="Y2029" s="7" t="s">
        <v>5028</v>
      </c>
      <c r="Z2029" s="7" t="s">
        <v>4744</v>
      </c>
      <c r="AA2029" s="7"/>
      <c r="AB2029" s="7"/>
      <c r="AC2029" s="7" t="s">
        <v>4817</v>
      </c>
      <c r="AD2029" s="7"/>
      <c r="AE2029" s="7"/>
      <c r="AF2029" s="7" t="s">
        <v>113</v>
      </c>
      <c r="AG2029" s="7" t="s">
        <v>366</v>
      </c>
      <c r="AH2029" s="7" t="s">
        <v>4818</v>
      </c>
    </row>
    <row r="2030" spans="1:34" ht="9.75" customHeight="1" x14ac:dyDescent="0.2">
      <c r="A2030" s="7" t="s">
        <v>4811</v>
      </c>
      <c r="B2030" s="7" t="s">
        <v>4812</v>
      </c>
      <c r="C2030" s="7" t="s">
        <v>5049</v>
      </c>
      <c r="D2030" s="7" t="s">
        <v>5050</v>
      </c>
      <c r="E2030" s="8">
        <v>2</v>
      </c>
      <c r="F2030" s="7"/>
      <c r="G2030" s="7"/>
      <c r="H2030" s="9"/>
      <c r="I2030" s="9"/>
      <c r="J2030" s="9"/>
      <c r="K2030" s="9"/>
      <c r="L2030" s="10">
        <v>74329</v>
      </c>
      <c r="M2030" s="9"/>
      <c r="N2030" s="10">
        <v>74329</v>
      </c>
      <c r="O2030" s="9"/>
      <c r="P2030" s="10"/>
      <c r="Q2030" s="10"/>
      <c r="R2030" s="10"/>
      <c r="S2030" s="7" t="s">
        <v>219</v>
      </c>
      <c r="T2030" s="7" t="s">
        <v>5026</v>
      </c>
      <c r="U2030" s="7" t="s">
        <v>44</v>
      </c>
      <c r="V2030" s="7" t="s">
        <v>45</v>
      </c>
      <c r="W2030" s="7" t="s">
        <v>130</v>
      </c>
      <c r="X2030" s="7" t="s">
        <v>156</v>
      </c>
      <c r="Y2030" s="7" t="s">
        <v>5028</v>
      </c>
      <c r="Z2030" s="7" t="s">
        <v>2072</v>
      </c>
      <c r="AA2030" s="7"/>
      <c r="AB2030" s="7"/>
      <c r="AC2030" s="7" t="s">
        <v>4817</v>
      </c>
      <c r="AD2030" s="7"/>
      <c r="AE2030" s="7"/>
      <c r="AF2030" s="7" t="s">
        <v>113</v>
      </c>
      <c r="AG2030" s="7" t="s">
        <v>366</v>
      </c>
      <c r="AH2030" s="7" t="s">
        <v>4818</v>
      </c>
    </row>
    <row r="2031" spans="1:34" ht="9.75" customHeight="1" x14ac:dyDescent="0.2">
      <c r="A2031" s="7" t="s">
        <v>4811</v>
      </c>
      <c r="B2031" s="7" t="s">
        <v>4812</v>
      </c>
      <c r="C2031" s="7" t="s">
        <v>5051</v>
      </c>
      <c r="D2031" s="7" t="s">
        <v>5052</v>
      </c>
      <c r="E2031" s="8">
        <v>2</v>
      </c>
      <c r="F2031" s="7"/>
      <c r="G2031" s="7"/>
      <c r="H2031" s="9"/>
      <c r="I2031" s="9"/>
      <c r="J2031" s="9"/>
      <c r="K2031" s="9"/>
      <c r="L2031" s="10">
        <v>60305</v>
      </c>
      <c r="M2031" s="9"/>
      <c r="N2031" s="10">
        <v>60305</v>
      </c>
      <c r="O2031" s="9"/>
      <c r="P2031" s="10"/>
      <c r="Q2031" s="10"/>
      <c r="R2031" s="10"/>
      <c r="S2031" s="7" t="s">
        <v>219</v>
      </c>
      <c r="T2031" s="7" t="s">
        <v>5026</v>
      </c>
      <c r="U2031" s="7" t="s">
        <v>44</v>
      </c>
      <c r="V2031" s="7" t="s">
        <v>45</v>
      </c>
      <c r="W2031" s="7" t="s">
        <v>130</v>
      </c>
      <c r="X2031" s="7" t="s">
        <v>156</v>
      </c>
      <c r="Y2031" s="7" t="s">
        <v>5028</v>
      </c>
      <c r="Z2031" s="7" t="s">
        <v>2072</v>
      </c>
      <c r="AA2031" s="7"/>
      <c r="AB2031" s="7"/>
      <c r="AC2031" s="7" t="s">
        <v>4817</v>
      </c>
      <c r="AD2031" s="7"/>
      <c r="AE2031" s="7"/>
      <c r="AF2031" s="7" t="s">
        <v>113</v>
      </c>
      <c r="AG2031" s="7" t="s">
        <v>366</v>
      </c>
      <c r="AH2031" s="7" t="s">
        <v>4818</v>
      </c>
    </row>
    <row r="2032" spans="1:34" ht="9.75" customHeight="1" x14ac:dyDescent="0.2">
      <c r="A2032" s="7" t="s">
        <v>4811</v>
      </c>
      <c r="B2032" s="7" t="s">
        <v>4812</v>
      </c>
      <c r="C2032" s="7" t="s">
        <v>5053</v>
      </c>
      <c r="D2032" s="7" t="s">
        <v>5054</v>
      </c>
      <c r="E2032" s="8">
        <v>2</v>
      </c>
      <c r="F2032" s="7"/>
      <c r="G2032" s="7"/>
      <c r="H2032" s="9"/>
      <c r="I2032" s="9"/>
      <c r="J2032" s="9"/>
      <c r="K2032" s="9"/>
      <c r="L2032" s="10">
        <v>57113</v>
      </c>
      <c r="M2032" s="9"/>
      <c r="N2032" s="10">
        <v>57113</v>
      </c>
      <c r="O2032" s="9"/>
      <c r="P2032" s="10"/>
      <c r="Q2032" s="10"/>
      <c r="R2032" s="10"/>
      <c r="S2032" s="7" t="s">
        <v>219</v>
      </c>
      <c r="T2032" s="7" t="s">
        <v>5026</v>
      </c>
      <c r="U2032" s="7" t="s">
        <v>44</v>
      </c>
      <c r="V2032" s="7" t="s">
        <v>45</v>
      </c>
      <c r="W2032" s="7" t="s">
        <v>171</v>
      </c>
      <c r="X2032" s="7" t="s">
        <v>5027</v>
      </c>
      <c r="Y2032" s="7" t="s">
        <v>5028</v>
      </c>
      <c r="Z2032" s="7" t="s">
        <v>2072</v>
      </c>
      <c r="AA2032" s="7"/>
      <c r="AB2032" s="7"/>
      <c r="AC2032" s="7" t="s">
        <v>4817</v>
      </c>
      <c r="AD2032" s="7"/>
      <c r="AE2032" s="7"/>
      <c r="AF2032" s="7" t="s">
        <v>113</v>
      </c>
      <c r="AG2032" s="7" t="s">
        <v>366</v>
      </c>
      <c r="AH2032" s="7" t="s">
        <v>4818</v>
      </c>
    </row>
    <row r="2033" spans="1:34" ht="9.75" customHeight="1" x14ac:dyDescent="0.2">
      <c r="A2033" s="7" t="s">
        <v>4811</v>
      </c>
      <c r="B2033" s="7" t="s">
        <v>4812</v>
      </c>
      <c r="C2033" s="7" t="s">
        <v>5055</v>
      </c>
      <c r="D2033" s="7" t="s">
        <v>5056</v>
      </c>
      <c r="E2033" s="8">
        <v>2</v>
      </c>
      <c r="F2033" s="7"/>
      <c r="G2033" s="7"/>
      <c r="H2033" s="9"/>
      <c r="I2033" s="9"/>
      <c r="J2033" s="9"/>
      <c r="K2033" s="9"/>
      <c r="L2033" s="10">
        <v>25577</v>
      </c>
      <c r="M2033" s="9"/>
      <c r="N2033" s="10">
        <v>25577</v>
      </c>
      <c r="O2033" s="9"/>
      <c r="P2033" s="10"/>
      <c r="Q2033" s="10"/>
      <c r="R2033" s="10"/>
      <c r="S2033" s="7" t="s">
        <v>219</v>
      </c>
      <c r="T2033" s="7" t="s">
        <v>5026</v>
      </c>
      <c r="U2033" s="7" t="s">
        <v>44</v>
      </c>
      <c r="V2033" s="7" t="s">
        <v>45</v>
      </c>
      <c r="W2033" s="7" t="s">
        <v>171</v>
      </c>
      <c r="X2033" s="7" t="s">
        <v>172</v>
      </c>
      <c r="Y2033" s="7" t="s">
        <v>5028</v>
      </c>
      <c r="Z2033" s="7" t="s">
        <v>2072</v>
      </c>
      <c r="AA2033" s="7"/>
      <c r="AB2033" s="7"/>
      <c r="AC2033" s="7" t="s">
        <v>4817</v>
      </c>
      <c r="AD2033" s="7"/>
      <c r="AE2033" s="7"/>
      <c r="AF2033" s="7" t="s">
        <v>113</v>
      </c>
      <c r="AG2033" s="7" t="s">
        <v>366</v>
      </c>
      <c r="AH2033" s="7" t="s">
        <v>4818</v>
      </c>
    </row>
    <row r="2034" spans="1:34" ht="9.75" customHeight="1" x14ac:dyDescent="0.2">
      <c r="A2034" s="7" t="s">
        <v>4811</v>
      </c>
      <c r="B2034" s="7" t="s">
        <v>4812</v>
      </c>
      <c r="C2034" s="7" t="s">
        <v>5057</v>
      </c>
      <c r="D2034" s="7" t="s">
        <v>5058</v>
      </c>
      <c r="E2034" s="8">
        <v>2</v>
      </c>
      <c r="F2034" s="7"/>
      <c r="G2034" s="7"/>
      <c r="H2034" s="9"/>
      <c r="I2034" s="9"/>
      <c r="J2034" s="9"/>
      <c r="K2034" s="9"/>
      <c r="L2034" s="10">
        <v>96808</v>
      </c>
      <c r="M2034" s="9"/>
      <c r="N2034" s="10">
        <v>96808</v>
      </c>
      <c r="O2034" s="9"/>
      <c r="P2034" s="10"/>
      <c r="Q2034" s="10"/>
      <c r="R2034" s="10"/>
      <c r="S2034" s="7" t="s">
        <v>219</v>
      </c>
      <c r="T2034" s="7" t="s">
        <v>5026</v>
      </c>
      <c r="U2034" s="7" t="s">
        <v>44</v>
      </c>
      <c r="V2034" s="7" t="s">
        <v>45</v>
      </c>
      <c r="W2034" s="7" t="s">
        <v>130</v>
      </c>
      <c r="X2034" s="7" t="s">
        <v>131</v>
      </c>
      <c r="Y2034" s="7" t="s">
        <v>5028</v>
      </c>
      <c r="Z2034" s="7" t="s">
        <v>2072</v>
      </c>
      <c r="AA2034" s="7"/>
      <c r="AB2034" s="7"/>
      <c r="AC2034" s="7" t="s">
        <v>4817</v>
      </c>
      <c r="AD2034" s="7"/>
      <c r="AE2034" s="7"/>
      <c r="AF2034" s="7" t="s">
        <v>113</v>
      </c>
      <c r="AG2034" s="7" t="s">
        <v>366</v>
      </c>
      <c r="AH2034" s="7" t="s">
        <v>4818</v>
      </c>
    </row>
    <row r="2035" spans="1:34" ht="9.75" customHeight="1" x14ac:dyDescent="0.2">
      <c r="A2035" s="7" t="s">
        <v>4811</v>
      </c>
      <c r="B2035" s="7" t="s">
        <v>4812</v>
      </c>
      <c r="C2035" s="7" t="s">
        <v>5059</v>
      </c>
      <c r="D2035" s="7" t="s">
        <v>5060</v>
      </c>
      <c r="E2035" s="8">
        <v>2</v>
      </c>
      <c r="F2035" s="7"/>
      <c r="G2035" s="7"/>
      <c r="H2035" s="9"/>
      <c r="I2035" s="9"/>
      <c r="J2035" s="9"/>
      <c r="K2035" s="9"/>
      <c r="L2035" s="10">
        <v>139296</v>
      </c>
      <c r="M2035" s="9"/>
      <c r="N2035" s="10">
        <v>139296</v>
      </c>
      <c r="O2035" s="9"/>
      <c r="P2035" s="10"/>
      <c r="Q2035" s="10"/>
      <c r="R2035" s="10"/>
      <c r="S2035" s="7" t="s">
        <v>219</v>
      </c>
      <c r="T2035" s="7" t="s">
        <v>5026</v>
      </c>
      <c r="U2035" s="7" t="s">
        <v>44</v>
      </c>
      <c r="V2035" s="7" t="s">
        <v>45</v>
      </c>
      <c r="W2035" s="7" t="s">
        <v>130</v>
      </c>
      <c r="X2035" s="7" t="s">
        <v>131</v>
      </c>
      <c r="Y2035" s="7" t="s">
        <v>5028</v>
      </c>
      <c r="Z2035" s="7" t="s">
        <v>2072</v>
      </c>
      <c r="AA2035" s="7"/>
      <c r="AB2035" s="7"/>
      <c r="AC2035" s="7" t="s">
        <v>4817</v>
      </c>
      <c r="AD2035" s="7"/>
      <c r="AE2035" s="7"/>
      <c r="AF2035" s="7" t="s">
        <v>113</v>
      </c>
      <c r="AG2035" s="7" t="s">
        <v>366</v>
      </c>
      <c r="AH2035" s="7" t="s">
        <v>4818</v>
      </c>
    </row>
    <row r="2036" spans="1:34" ht="9.75" customHeight="1" x14ac:dyDescent="0.2">
      <c r="A2036" s="7" t="s">
        <v>4811</v>
      </c>
      <c r="B2036" s="7" t="s">
        <v>4812</v>
      </c>
      <c r="C2036" s="7" t="s">
        <v>5061</v>
      </c>
      <c r="D2036" s="7" t="s">
        <v>5062</v>
      </c>
      <c r="E2036" s="8">
        <v>2</v>
      </c>
      <c r="F2036" s="7"/>
      <c r="G2036" s="7"/>
      <c r="H2036" s="9"/>
      <c r="I2036" s="9"/>
      <c r="J2036" s="9"/>
      <c r="K2036" s="9"/>
      <c r="L2036" s="10">
        <v>106345</v>
      </c>
      <c r="M2036" s="9"/>
      <c r="N2036" s="10">
        <v>106345</v>
      </c>
      <c r="O2036" s="9"/>
      <c r="P2036" s="10"/>
      <c r="Q2036" s="10"/>
      <c r="R2036" s="10"/>
      <c r="S2036" s="7" t="s">
        <v>219</v>
      </c>
      <c r="T2036" s="7" t="s">
        <v>5026</v>
      </c>
      <c r="U2036" s="7" t="s">
        <v>44</v>
      </c>
      <c r="V2036" s="7" t="s">
        <v>45</v>
      </c>
      <c r="W2036" s="7" t="s">
        <v>171</v>
      </c>
      <c r="X2036" s="7" t="s">
        <v>172</v>
      </c>
      <c r="Y2036" s="7" t="s">
        <v>5028</v>
      </c>
      <c r="Z2036" s="7" t="s">
        <v>2072</v>
      </c>
      <c r="AA2036" s="7"/>
      <c r="AB2036" s="7"/>
      <c r="AC2036" s="7" t="s">
        <v>4817</v>
      </c>
      <c r="AD2036" s="7"/>
      <c r="AE2036" s="7"/>
      <c r="AF2036" s="7" t="s">
        <v>113</v>
      </c>
      <c r="AG2036" s="7" t="s">
        <v>366</v>
      </c>
      <c r="AH2036" s="7" t="s">
        <v>4818</v>
      </c>
    </row>
    <row r="2037" spans="1:34" ht="9.75" customHeight="1" x14ac:dyDescent="0.2">
      <c r="A2037" s="7" t="s">
        <v>4811</v>
      </c>
      <c r="B2037" s="7" t="s">
        <v>4812</v>
      </c>
      <c r="C2037" s="7" t="s">
        <v>5063</v>
      </c>
      <c r="D2037" s="7" t="s">
        <v>5064</v>
      </c>
      <c r="E2037" s="8">
        <v>2</v>
      </c>
      <c r="F2037" s="7"/>
      <c r="G2037" s="7"/>
      <c r="H2037" s="9"/>
      <c r="I2037" s="9"/>
      <c r="J2037" s="9"/>
      <c r="K2037" s="9"/>
      <c r="L2037" s="10">
        <v>55319</v>
      </c>
      <c r="M2037" s="9"/>
      <c r="N2037" s="10">
        <v>55319</v>
      </c>
      <c r="O2037" s="9"/>
      <c r="P2037" s="10"/>
      <c r="Q2037" s="10"/>
      <c r="R2037" s="10"/>
      <c r="S2037" s="7" t="s">
        <v>219</v>
      </c>
      <c r="T2037" s="7" t="s">
        <v>5026</v>
      </c>
      <c r="U2037" s="7" t="s">
        <v>44</v>
      </c>
      <c r="V2037" s="7" t="s">
        <v>45</v>
      </c>
      <c r="W2037" s="7" t="s">
        <v>130</v>
      </c>
      <c r="X2037" s="7" t="s">
        <v>131</v>
      </c>
      <c r="Y2037" s="7" t="s">
        <v>5028</v>
      </c>
      <c r="Z2037" s="7" t="s">
        <v>2072</v>
      </c>
      <c r="AA2037" s="7"/>
      <c r="AB2037" s="7"/>
      <c r="AC2037" s="7" t="s">
        <v>4817</v>
      </c>
      <c r="AD2037" s="7"/>
      <c r="AE2037" s="7"/>
      <c r="AF2037" s="7" t="s">
        <v>113</v>
      </c>
      <c r="AG2037" s="7" t="s">
        <v>366</v>
      </c>
      <c r="AH2037" s="7" t="s">
        <v>4818</v>
      </c>
    </row>
    <row r="2038" spans="1:34" ht="9.75" customHeight="1" x14ac:dyDescent="0.2">
      <c r="A2038" s="7" t="s">
        <v>4811</v>
      </c>
      <c r="B2038" s="7" t="s">
        <v>4812</v>
      </c>
      <c r="C2038" s="7" t="s">
        <v>5065</v>
      </c>
      <c r="D2038" s="7" t="s">
        <v>5066</v>
      </c>
      <c r="E2038" s="8">
        <v>2</v>
      </c>
      <c r="F2038" s="7"/>
      <c r="G2038" s="7"/>
      <c r="H2038" s="9"/>
      <c r="I2038" s="9"/>
      <c r="J2038" s="9"/>
      <c r="K2038" s="9"/>
      <c r="L2038" s="10">
        <v>107108</v>
      </c>
      <c r="M2038" s="9"/>
      <c r="N2038" s="10">
        <v>107108</v>
      </c>
      <c r="O2038" s="9"/>
      <c r="P2038" s="10"/>
      <c r="Q2038" s="10"/>
      <c r="R2038" s="10"/>
      <c r="S2038" s="7" t="s">
        <v>219</v>
      </c>
      <c r="T2038" s="7" t="s">
        <v>5026</v>
      </c>
      <c r="U2038" s="7" t="s">
        <v>44</v>
      </c>
      <c r="V2038" s="7" t="s">
        <v>45</v>
      </c>
      <c r="W2038" s="7" t="s">
        <v>130</v>
      </c>
      <c r="X2038" s="7" t="s">
        <v>131</v>
      </c>
      <c r="Y2038" s="7" t="s">
        <v>5028</v>
      </c>
      <c r="Z2038" s="7" t="s">
        <v>2072</v>
      </c>
      <c r="AA2038" s="7"/>
      <c r="AB2038" s="7"/>
      <c r="AC2038" s="7" t="s">
        <v>4817</v>
      </c>
      <c r="AD2038" s="7"/>
      <c r="AE2038" s="7"/>
      <c r="AF2038" s="7" t="s">
        <v>113</v>
      </c>
      <c r="AG2038" s="7" t="s">
        <v>366</v>
      </c>
      <c r="AH2038" s="7" t="s">
        <v>4818</v>
      </c>
    </row>
    <row r="2039" spans="1:34" ht="9.75" customHeight="1" x14ac:dyDescent="0.2">
      <c r="A2039" s="7" t="s">
        <v>4811</v>
      </c>
      <c r="B2039" s="7" t="s">
        <v>4812</v>
      </c>
      <c r="C2039" s="7" t="s">
        <v>5067</v>
      </c>
      <c r="D2039" s="7" t="s">
        <v>5068</v>
      </c>
      <c r="E2039" s="8">
        <v>2</v>
      </c>
      <c r="F2039" s="7"/>
      <c r="G2039" s="7"/>
      <c r="H2039" s="9"/>
      <c r="I2039" s="9"/>
      <c r="J2039" s="9"/>
      <c r="K2039" s="9"/>
      <c r="L2039" s="10">
        <v>25083</v>
      </c>
      <c r="M2039" s="9"/>
      <c r="N2039" s="10">
        <v>25083</v>
      </c>
      <c r="O2039" s="9"/>
      <c r="P2039" s="10"/>
      <c r="Q2039" s="10"/>
      <c r="R2039" s="10"/>
      <c r="S2039" s="7" t="s">
        <v>219</v>
      </c>
      <c r="T2039" s="7" t="s">
        <v>5026</v>
      </c>
      <c r="U2039" s="7" t="s">
        <v>44</v>
      </c>
      <c r="V2039" s="7" t="s">
        <v>45</v>
      </c>
      <c r="W2039" s="7" t="s">
        <v>130</v>
      </c>
      <c r="X2039" s="7" t="s">
        <v>131</v>
      </c>
      <c r="Y2039" s="7" t="s">
        <v>5028</v>
      </c>
      <c r="Z2039" s="7" t="s">
        <v>2072</v>
      </c>
      <c r="AA2039" s="7"/>
      <c r="AB2039" s="7"/>
      <c r="AC2039" s="7" t="s">
        <v>4817</v>
      </c>
      <c r="AD2039" s="7"/>
      <c r="AE2039" s="7"/>
      <c r="AF2039" s="7" t="s">
        <v>113</v>
      </c>
      <c r="AG2039" s="7" t="s">
        <v>366</v>
      </c>
      <c r="AH2039" s="7" t="s">
        <v>4818</v>
      </c>
    </row>
    <row r="2040" spans="1:34" ht="9.75" customHeight="1" x14ac:dyDescent="0.2">
      <c r="A2040" s="7" t="s">
        <v>4811</v>
      </c>
      <c r="B2040" s="7" t="s">
        <v>4812</v>
      </c>
      <c r="C2040" s="7" t="s">
        <v>5069</v>
      </c>
      <c r="D2040" s="7" t="s">
        <v>5070</v>
      </c>
      <c r="E2040" s="8">
        <v>2</v>
      </c>
      <c r="F2040" s="7"/>
      <c r="G2040" s="7"/>
      <c r="H2040" s="9"/>
      <c r="I2040" s="9"/>
      <c r="J2040" s="9"/>
      <c r="K2040" s="9"/>
      <c r="L2040" s="10">
        <v>73360</v>
      </c>
      <c r="M2040" s="9"/>
      <c r="N2040" s="10">
        <v>73360</v>
      </c>
      <c r="O2040" s="9"/>
      <c r="P2040" s="10"/>
      <c r="Q2040" s="10"/>
      <c r="R2040" s="10"/>
      <c r="S2040" s="7" t="s">
        <v>219</v>
      </c>
      <c r="T2040" s="7" t="s">
        <v>5026</v>
      </c>
      <c r="U2040" s="7" t="s">
        <v>44</v>
      </c>
      <c r="V2040" s="7" t="s">
        <v>45</v>
      </c>
      <c r="W2040" s="7" t="s">
        <v>130</v>
      </c>
      <c r="X2040" s="7" t="s">
        <v>156</v>
      </c>
      <c r="Y2040" s="7" t="s">
        <v>5028</v>
      </c>
      <c r="Z2040" s="7" t="s">
        <v>2072</v>
      </c>
      <c r="AA2040" s="7"/>
      <c r="AB2040" s="7"/>
      <c r="AC2040" s="7" t="s">
        <v>4817</v>
      </c>
      <c r="AD2040" s="7"/>
      <c r="AE2040" s="7"/>
      <c r="AF2040" s="7" t="s">
        <v>113</v>
      </c>
      <c r="AG2040" s="7" t="s">
        <v>366</v>
      </c>
      <c r="AH2040" s="7" t="s">
        <v>4818</v>
      </c>
    </row>
    <row r="2041" spans="1:34" ht="9.75" customHeight="1" x14ac:dyDescent="0.2">
      <c r="A2041" s="7" t="s">
        <v>4811</v>
      </c>
      <c r="B2041" s="7" t="s">
        <v>4812</v>
      </c>
      <c r="C2041" s="7" t="s">
        <v>5071</v>
      </c>
      <c r="D2041" s="7" t="s">
        <v>5072</v>
      </c>
      <c r="E2041" s="8">
        <v>2</v>
      </c>
      <c r="F2041" s="7"/>
      <c r="G2041" s="7"/>
      <c r="H2041" s="9"/>
      <c r="I2041" s="9"/>
      <c r="J2041" s="9"/>
      <c r="K2041" s="9"/>
      <c r="L2041" s="10">
        <v>74891</v>
      </c>
      <c r="M2041" s="9"/>
      <c r="N2041" s="10">
        <v>74891</v>
      </c>
      <c r="O2041" s="9"/>
      <c r="P2041" s="10"/>
      <c r="Q2041" s="10"/>
      <c r="R2041" s="10"/>
      <c r="S2041" s="7" t="s">
        <v>219</v>
      </c>
      <c r="T2041" s="7" t="s">
        <v>5026</v>
      </c>
      <c r="U2041" s="7" t="s">
        <v>44</v>
      </c>
      <c r="V2041" s="7" t="s">
        <v>45</v>
      </c>
      <c r="W2041" s="7" t="s">
        <v>130</v>
      </c>
      <c r="X2041" s="7" t="s">
        <v>156</v>
      </c>
      <c r="Y2041" s="7" t="s">
        <v>5028</v>
      </c>
      <c r="Z2041" s="7" t="s">
        <v>2072</v>
      </c>
      <c r="AA2041" s="7"/>
      <c r="AB2041" s="7"/>
      <c r="AC2041" s="7" t="s">
        <v>4817</v>
      </c>
      <c r="AD2041" s="7"/>
      <c r="AE2041" s="7"/>
      <c r="AF2041" s="7" t="s">
        <v>113</v>
      </c>
      <c r="AG2041" s="7" t="s">
        <v>366</v>
      </c>
      <c r="AH2041" s="7" t="s">
        <v>4818</v>
      </c>
    </row>
    <row r="2042" spans="1:34" ht="9.75" customHeight="1" x14ac:dyDescent="0.2">
      <c r="A2042" s="7" t="s">
        <v>4811</v>
      </c>
      <c r="B2042" s="7" t="s">
        <v>4812</v>
      </c>
      <c r="C2042" s="7" t="s">
        <v>5073</v>
      </c>
      <c r="D2042" s="7" t="s">
        <v>5074</v>
      </c>
      <c r="E2042" s="8">
        <v>2</v>
      </c>
      <c r="F2042" s="7"/>
      <c r="G2042" s="7"/>
      <c r="H2042" s="9"/>
      <c r="I2042" s="9"/>
      <c r="J2042" s="9"/>
      <c r="K2042" s="9"/>
      <c r="L2042" s="10">
        <v>56967</v>
      </c>
      <c r="M2042" s="9"/>
      <c r="N2042" s="10">
        <v>56967</v>
      </c>
      <c r="O2042" s="9"/>
      <c r="P2042" s="10"/>
      <c r="Q2042" s="10"/>
      <c r="R2042" s="10"/>
      <c r="S2042" s="7" t="s">
        <v>219</v>
      </c>
      <c r="T2042" s="7" t="s">
        <v>5026</v>
      </c>
      <c r="U2042" s="7" t="s">
        <v>44</v>
      </c>
      <c r="V2042" s="7" t="s">
        <v>45</v>
      </c>
      <c r="W2042" s="7" t="s">
        <v>130</v>
      </c>
      <c r="X2042" s="7" t="s">
        <v>131</v>
      </c>
      <c r="Y2042" s="7" t="s">
        <v>5028</v>
      </c>
      <c r="Z2042" s="7" t="s">
        <v>2072</v>
      </c>
      <c r="AA2042" s="7"/>
      <c r="AB2042" s="7"/>
      <c r="AC2042" s="7" t="s">
        <v>4817</v>
      </c>
      <c r="AD2042" s="7"/>
      <c r="AE2042" s="7"/>
      <c r="AF2042" s="7" t="s">
        <v>113</v>
      </c>
      <c r="AG2042" s="7" t="s">
        <v>366</v>
      </c>
      <c r="AH2042" s="7" t="s">
        <v>4818</v>
      </c>
    </row>
    <row r="2043" spans="1:34" ht="9.75" customHeight="1" x14ac:dyDescent="0.2">
      <c r="A2043" s="7" t="s">
        <v>4811</v>
      </c>
      <c r="B2043" s="7" t="s">
        <v>4812</v>
      </c>
      <c r="C2043" s="7" t="s">
        <v>5075</v>
      </c>
      <c r="D2043" s="7" t="s">
        <v>5076</v>
      </c>
      <c r="E2043" s="8">
        <v>2</v>
      </c>
      <c r="F2043" s="7"/>
      <c r="G2043" s="7"/>
      <c r="H2043" s="9"/>
      <c r="I2043" s="9"/>
      <c r="J2043" s="9"/>
      <c r="K2043" s="9"/>
      <c r="L2043" s="10">
        <v>42351</v>
      </c>
      <c r="M2043" s="9"/>
      <c r="N2043" s="10">
        <v>42351</v>
      </c>
      <c r="O2043" s="9"/>
      <c r="P2043" s="10"/>
      <c r="Q2043" s="10"/>
      <c r="R2043" s="10"/>
      <c r="S2043" s="7" t="s">
        <v>219</v>
      </c>
      <c r="T2043" s="7" t="s">
        <v>5026</v>
      </c>
      <c r="U2043" s="7" t="s">
        <v>44</v>
      </c>
      <c r="V2043" s="7" t="s">
        <v>45</v>
      </c>
      <c r="W2043" s="7" t="s">
        <v>130</v>
      </c>
      <c r="X2043" s="7" t="s">
        <v>5077</v>
      </c>
      <c r="Y2043" s="7" t="s">
        <v>5028</v>
      </c>
      <c r="Z2043" s="7" t="s">
        <v>2102</v>
      </c>
      <c r="AA2043" s="7"/>
      <c r="AB2043" s="7"/>
      <c r="AC2043" s="7" t="s">
        <v>4817</v>
      </c>
      <c r="AD2043" s="7"/>
      <c r="AE2043" s="7"/>
      <c r="AF2043" s="7" t="s">
        <v>113</v>
      </c>
      <c r="AG2043" s="7" t="s">
        <v>366</v>
      </c>
      <c r="AH2043" s="7" t="s">
        <v>4818</v>
      </c>
    </row>
    <row r="2044" spans="1:34" ht="9.75" customHeight="1" x14ac:dyDescent="0.2">
      <c r="A2044" s="7" t="s">
        <v>4811</v>
      </c>
      <c r="B2044" s="7" t="s">
        <v>4812</v>
      </c>
      <c r="C2044" s="7" t="s">
        <v>5078</v>
      </c>
      <c r="D2044" s="7" t="s">
        <v>5079</v>
      </c>
      <c r="E2044" s="8">
        <v>2</v>
      </c>
      <c r="F2044" s="7"/>
      <c r="G2044" s="7"/>
      <c r="H2044" s="9"/>
      <c r="I2044" s="9"/>
      <c r="J2044" s="9"/>
      <c r="K2044" s="9"/>
      <c r="L2044" s="10">
        <v>179791</v>
      </c>
      <c r="M2044" s="9"/>
      <c r="N2044" s="10">
        <v>179791</v>
      </c>
      <c r="O2044" s="9"/>
      <c r="P2044" s="10"/>
      <c r="Q2044" s="10"/>
      <c r="R2044" s="10"/>
      <c r="S2044" s="7" t="s">
        <v>219</v>
      </c>
      <c r="T2044" s="7" t="s">
        <v>5026</v>
      </c>
      <c r="U2044" s="7" t="s">
        <v>44</v>
      </c>
      <c r="V2044" s="7" t="s">
        <v>45</v>
      </c>
      <c r="W2044" s="7" t="s">
        <v>171</v>
      </c>
      <c r="X2044" s="7" t="s">
        <v>5027</v>
      </c>
      <c r="Y2044" s="7" t="s">
        <v>5028</v>
      </c>
      <c r="Z2044" s="7" t="s">
        <v>2102</v>
      </c>
      <c r="AA2044" s="7"/>
      <c r="AB2044" s="7"/>
      <c r="AC2044" s="7" t="s">
        <v>4817</v>
      </c>
      <c r="AD2044" s="7"/>
      <c r="AE2044" s="7"/>
      <c r="AF2044" s="7" t="s">
        <v>113</v>
      </c>
      <c r="AG2044" s="7" t="s">
        <v>366</v>
      </c>
      <c r="AH2044" s="7" t="s">
        <v>4818</v>
      </c>
    </row>
    <row r="2045" spans="1:34" ht="9.75" customHeight="1" x14ac:dyDescent="0.2">
      <c r="A2045" s="7" t="s">
        <v>4811</v>
      </c>
      <c r="B2045" s="7" t="s">
        <v>4812</v>
      </c>
      <c r="C2045" s="7" t="s">
        <v>5080</v>
      </c>
      <c r="D2045" s="7" t="s">
        <v>5081</v>
      </c>
      <c r="E2045" s="8">
        <v>2</v>
      </c>
      <c r="F2045" s="7"/>
      <c r="G2045" s="7"/>
      <c r="H2045" s="9"/>
      <c r="I2045" s="9"/>
      <c r="J2045" s="9"/>
      <c r="K2045" s="9"/>
      <c r="L2045" s="10">
        <v>103218</v>
      </c>
      <c r="M2045" s="9"/>
      <c r="N2045" s="10">
        <v>103218</v>
      </c>
      <c r="O2045" s="9"/>
      <c r="P2045" s="10"/>
      <c r="Q2045" s="10"/>
      <c r="R2045" s="10"/>
      <c r="S2045" s="7" t="s">
        <v>219</v>
      </c>
      <c r="T2045" s="7" t="s">
        <v>5026</v>
      </c>
      <c r="U2045" s="7" t="s">
        <v>44</v>
      </c>
      <c r="V2045" s="7" t="s">
        <v>45</v>
      </c>
      <c r="W2045" s="7" t="s">
        <v>130</v>
      </c>
      <c r="X2045" s="7" t="s">
        <v>131</v>
      </c>
      <c r="Y2045" s="7" t="s">
        <v>5028</v>
      </c>
      <c r="Z2045" s="7" t="s">
        <v>2102</v>
      </c>
      <c r="AA2045" s="7"/>
      <c r="AB2045" s="7"/>
      <c r="AC2045" s="7" t="s">
        <v>4817</v>
      </c>
      <c r="AD2045" s="7"/>
      <c r="AE2045" s="7"/>
      <c r="AF2045" s="7" t="s">
        <v>113</v>
      </c>
      <c r="AG2045" s="7" t="s">
        <v>366</v>
      </c>
      <c r="AH2045" s="7" t="s">
        <v>4818</v>
      </c>
    </row>
    <row r="2046" spans="1:34" ht="9.75" customHeight="1" x14ac:dyDescent="0.2">
      <c r="A2046" s="7" t="s">
        <v>4811</v>
      </c>
      <c r="B2046" s="7" t="s">
        <v>4812</v>
      </c>
      <c r="C2046" s="7" t="s">
        <v>5082</v>
      </c>
      <c r="D2046" s="7" t="s">
        <v>5083</v>
      </c>
      <c r="E2046" s="8">
        <v>2</v>
      </c>
      <c r="F2046" s="7"/>
      <c r="G2046" s="7"/>
      <c r="H2046" s="9"/>
      <c r="I2046" s="9"/>
      <c r="J2046" s="9"/>
      <c r="K2046" s="9"/>
      <c r="L2046" s="10">
        <v>60807</v>
      </c>
      <c r="M2046" s="9"/>
      <c r="N2046" s="10">
        <v>60807</v>
      </c>
      <c r="O2046" s="9"/>
      <c r="P2046" s="10"/>
      <c r="Q2046" s="10"/>
      <c r="R2046" s="10"/>
      <c r="S2046" s="7" t="s">
        <v>54</v>
      </c>
      <c r="T2046" s="7" t="s">
        <v>4843</v>
      </c>
      <c r="U2046" s="7" t="s">
        <v>44</v>
      </c>
      <c r="V2046" s="7" t="s">
        <v>45</v>
      </c>
      <c r="W2046" s="7" t="s">
        <v>5084</v>
      </c>
      <c r="X2046" s="7" t="s">
        <v>5085</v>
      </c>
      <c r="Y2046" s="7" t="s">
        <v>5086</v>
      </c>
      <c r="Z2046" s="7" t="s">
        <v>2122</v>
      </c>
      <c r="AA2046" s="7"/>
      <c r="AB2046" s="7"/>
      <c r="AC2046" s="7" t="s">
        <v>4817</v>
      </c>
      <c r="AD2046" s="7"/>
      <c r="AE2046" s="7"/>
      <c r="AF2046" s="7" t="s">
        <v>113</v>
      </c>
      <c r="AG2046" s="7" t="s">
        <v>366</v>
      </c>
      <c r="AH2046" s="7" t="s">
        <v>4818</v>
      </c>
    </row>
    <row r="2047" spans="1:34" ht="9.75" customHeight="1" x14ac:dyDescent="0.2">
      <c r="A2047" s="7" t="s">
        <v>4811</v>
      </c>
      <c r="B2047" s="7" t="s">
        <v>4812</v>
      </c>
      <c r="C2047" s="7" t="s">
        <v>5087</v>
      </c>
      <c r="D2047" s="7" t="s">
        <v>5088</v>
      </c>
      <c r="E2047" s="8">
        <v>2</v>
      </c>
      <c r="F2047" s="7"/>
      <c r="G2047" s="7"/>
      <c r="H2047" s="9"/>
      <c r="I2047" s="9"/>
      <c r="J2047" s="9"/>
      <c r="K2047" s="9"/>
      <c r="L2047" s="10">
        <v>15165</v>
      </c>
      <c r="M2047" s="9"/>
      <c r="N2047" s="10">
        <v>15165</v>
      </c>
      <c r="O2047" s="9"/>
      <c r="P2047" s="10"/>
      <c r="Q2047" s="10"/>
      <c r="R2047" s="10"/>
      <c r="S2047" s="7" t="s">
        <v>54</v>
      </c>
      <c r="T2047" s="7" t="s">
        <v>4841</v>
      </c>
      <c r="U2047" s="7" t="s">
        <v>44</v>
      </c>
      <c r="V2047" s="7" t="s">
        <v>45</v>
      </c>
      <c r="W2047" s="7" t="s">
        <v>5084</v>
      </c>
      <c r="X2047" s="7" t="s">
        <v>5085</v>
      </c>
      <c r="Y2047" s="7" t="s">
        <v>5086</v>
      </c>
      <c r="Z2047" s="7" t="s">
        <v>2122</v>
      </c>
      <c r="AA2047" s="7"/>
      <c r="AB2047" s="7"/>
      <c r="AC2047" s="7" t="s">
        <v>4817</v>
      </c>
      <c r="AD2047" s="7"/>
      <c r="AE2047" s="7"/>
      <c r="AF2047" s="7" t="s">
        <v>113</v>
      </c>
      <c r="AG2047" s="7" t="s">
        <v>366</v>
      </c>
      <c r="AH2047" s="7" t="s">
        <v>4818</v>
      </c>
    </row>
    <row r="2048" spans="1:34" ht="9.75" customHeight="1" x14ac:dyDescent="0.2">
      <c r="A2048" s="7" t="s">
        <v>4811</v>
      </c>
      <c r="B2048" s="7" t="s">
        <v>4812</v>
      </c>
      <c r="C2048" s="7" t="s">
        <v>5089</v>
      </c>
      <c r="D2048" s="7" t="s">
        <v>5090</v>
      </c>
      <c r="E2048" s="8">
        <v>2</v>
      </c>
      <c r="F2048" s="7"/>
      <c r="G2048" s="7"/>
      <c r="H2048" s="9"/>
      <c r="I2048" s="9"/>
      <c r="J2048" s="9"/>
      <c r="K2048" s="9"/>
      <c r="L2048" s="10">
        <v>7051</v>
      </c>
      <c r="M2048" s="9"/>
      <c r="N2048" s="10">
        <v>7051</v>
      </c>
      <c r="O2048" s="9"/>
      <c r="P2048" s="10"/>
      <c r="Q2048" s="10"/>
      <c r="R2048" s="10"/>
      <c r="S2048" s="7" t="s">
        <v>54</v>
      </c>
      <c r="T2048" s="7" t="s">
        <v>4841</v>
      </c>
      <c r="U2048" s="7" t="s">
        <v>221</v>
      </c>
      <c r="V2048" s="7" t="s">
        <v>45</v>
      </c>
      <c r="W2048" s="7" t="s">
        <v>211</v>
      </c>
      <c r="X2048" s="7" t="s">
        <v>222</v>
      </c>
      <c r="Y2048" s="7" t="s">
        <v>5086</v>
      </c>
      <c r="Z2048" s="7" t="s">
        <v>2122</v>
      </c>
      <c r="AA2048" s="7"/>
      <c r="AB2048" s="7"/>
      <c r="AC2048" s="7" t="s">
        <v>4817</v>
      </c>
      <c r="AD2048" s="7"/>
      <c r="AE2048" s="7"/>
      <c r="AF2048" s="7" t="s">
        <v>113</v>
      </c>
      <c r="AG2048" s="7" t="s">
        <v>366</v>
      </c>
      <c r="AH2048" s="7" t="s">
        <v>4818</v>
      </c>
    </row>
    <row r="2049" spans="1:34" ht="9.75" customHeight="1" x14ac:dyDescent="0.2">
      <c r="A2049" s="7" t="s">
        <v>4811</v>
      </c>
      <c r="B2049" s="7" t="s">
        <v>4812</v>
      </c>
      <c r="C2049" s="7" t="s">
        <v>5091</v>
      </c>
      <c r="D2049" s="7" t="s">
        <v>5092</v>
      </c>
      <c r="E2049" s="8">
        <v>2</v>
      </c>
      <c r="F2049" s="7"/>
      <c r="G2049" s="7"/>
      <c r="H2049" s="9"/>
      <c r="I2049" s="9"/>
      <c r="J2049" s="9"/>
      <c r="K2049" s="9"/>
      <c r="L2049" s="10">
        <v>8087</v>
      </c>
      <c r="M2049" s="9"/>
      <c r="N2049" s="10">
        <v>8087</v>
      </c>
      <c r="O2049" s="9"/>
      <c r="P2049" s="10"/>
      <c r="Q2049" s="10"/>
      <c r="R2049" s="10"/>
      <c r="S2049" s="7" t="s">
        <v>54</v>
      </c>
      <c r="T2049" s="7" t="s">
        <v>4843</v>
      </c>
      <c r="U2049" s="7" t="s">
        <v>221</v>
      </c>
      <c r="V2049" s="7" t="s">
        <v>45</v>
      </c>
      <c r="W2049" s="7" t="s">
        <v>211</v>
      </c>
      <c r="X2049" s="7" t="s">
        <v>222</v>
      </c>
      <c r="Y2049" s="7" t="s">
        <v>5086</v>
      </c>
      <c r="Z2049" s="7" t="s">
        <v>2122</v>
      </c>
      <c r="AA2049" s="7"/>
      <c r="AB2049" s="7"/>
      <c r="AC2049" s="7" t="s">
        <v>4817</v>
      </c>
      <c r="AD2049" s="7"/>
      <c r="AE2049" s="7"/>
      <c r="AF2049" s="7" t="s">
        <v>113</v>
      </c>
      <c r="AG2049" s="7" t="s">
        <v>366</v>
      </c>
      <c r="AH2049" s="7" t="s">
        <v>4818</v>
      </c>
    </row>
    <row r="2050" spans="1:34" ht="9.75" customHeight="1" x14ac:dyDescent="0.2">
      <c r="A2050" s="7" t="s">
        <v>4811</v>
      </c>
      <c r="B2050" s="7" t="s">
        <v>4812</v>
      </c>
      <c r="C2050" s="7" t="s">
        <v>5093</v>
      </c>
      <c r="D2050" s="7" t="s">
        <v>5094</v>
      </c>
      <c r="E2050" s="8">
        <v>2</v>
      </c>
      <c r="F2050" s="7"/>
      <c r="G2050" s="7"/>
      <c r="H2050" s="9"/>
      <c r="I2050" s="9"/>
      <c r="J2050" s="9"/>
      <c r="K2050" s="9"/>
      <c r="L2050" s="10">
        <v>18342</v>
      </c>
      <c r="M2050" s="9"/>
      <c r="N2050" s="10">
        <v>18342</v>
      </c>
      <c r="O2050" s="9"/>
      <c r="P2050" s="10"/>
      <c r="Q2050" s="10"/>
      <c r="R2050" s="10"/>
      <c r="S2050" s="7" t="s">
        <v>54</v>
      </c>
      <c r="T2050" s="7" t="s">
        <v>4841</v>
      </c>
      <c r="U2050" s="7" t="s">
        <v>221</v>
      </c>
      <c r="V2050" s="7" t="s">
        <v>45</v>
      </c>
      <c r="W2050" s="7" t="s">
        <v>211</v>
      </c>
      <c r="X2050" s="7" t="s">
        <v>222</v>
      </c>
      <c r="Y2050" s="7" t="s">
        <v>5086</v>
      </c>
      <c r="Z2050" s="7" t="s">
        <v>2130</v>
      </c>
      <c r="AA2050" s="7"/>
      <c r="AB2050" s="7"/>
      <c r="AC2050" s="7" t="s">
        <v>4817</v>
      </c>
      <c r="AD2050" s="7"/>
      <c r="AE2050" s="7"/>
      <c r="AF2050" s="7" t="s">
        <v>113</v>
      </c>
      <c r="AG2050" s="7" t="s">
        <v>366</v>
      </c>
      <c r="AH2050" s="7" t="s">
        <v>4818</v>
      </c>
    </row>
    <row r="2051" spans="1:34" ht="9.75" customHeight="1" x14ac:dyDescent="0.2">
      <c r="A2051" s="7" t="s">
        <v>4811</v>
      </c>
      <c r="B2051" s="7" t="s">
        <v>4812</v>
      </c>
      <c r="C2051" s="7" t="s">
        <v>5095</v>
      </c>
      <c r="D2051" s="7" t="s">
        <v>5096</v>
      </c>
      <c r="E2051" s="8">
        <v>2</v>
      </c>
      <c r="F2051" s="7"/>
      <c r="G2051" s="7"/>
      <c r="H2051" s="9"/>
      <c r="I2051" s="9"/>
      <c r="J2051" s="9"/>
      <c r="K2051" s="9"/>
      <c r="L2051" s="10">
        <v>9683</v>
      </c>
      <c r="M2051" s="9"/>
      <c r="N2051" s="10">
        <v>9683</v>
      </c>
      <c r="O2051" s="9"/>
      <c r="P2051" s="10"/>
      <c r="Q2051" s="10"/>
      <c r="R2051" s="10"/>
      <c r="S2051" s="7" t="s">
        <v>54</v>
      </c>
      <c r="T2051" s="7" t="s">
        <v>4843</v>
      </c>
      <c r="U2051" s="7" t="s">
        <v>221</v>
      </c>
      <c r="V2051" s="7" t="s">
        <v>45</v>
      </c>
      <c r="W2051" s="7" t="s">
        <v>211</v>
      </c>
      <c r="X2051" s="7" t="s">
        <v>222</v>
      </c>
      <c r="Y2051" s="7" t="s">
        <v>5086</v>
      </c>
      <c r="Z2051" s="7" t="s">
        <v>2130</v>
      </c>
      <c r="AA2051" s="7"/>
      <c r="AB2051" s="7"/>
      <c r="AC2051" s="7" t="s">
        <v>4817</v>
      </c>
      <c r="AD2051" s="7"/>
      <c r="AE2051" s="7"/>
      <c r="AF2051" s="7" t="s">
        <v>113</v>
      </c>
      <c r="AG2051" s="7" t="s">
        <v>366</v>
      </c>
      <c r="AH2051" s="7" t="s">
        <v>4818</v>
      </c>
    </row>
    <row r="2052" spans="1:34" ht="9.75" customHeight="1" x14ac:dyDescent="0.2">
      <c r="A2052" s="7" t="s">
        <v>4811</v>
      </c>
      <c r="B2052" s="7" t="s">
        <v>4812</v>
      </c>
      <c r="C2052" s="7" t="s">
        <v>5097</v>
      </c>
      <c r="D2052" s="7" t="s">
        <v>5098</v>
      </c>
      <c r="E2052" s="8">
        <v>2</v>
      </c>
      <c r="F2052" s="7"/>
      <c r="G2052" s="7"/>
      <c r="H2052" s="9"/>
      <c r="I2052" s="9"/>
      <c r="J2052" s="9"/>
      <c r="K2052" s="9"/>
      <c r="L2052" s="10">
        <v>21018</v>
      </c>
      <c r="M2052" s="9"/>
      <c r="N2052" s="10">
        <v>21018</v>
      </c>
      <c r="O2052" s="9"/>
      <c r="P2052" s="10"/>
      <c r="Q2052" s="10"/>
      <c r="R2052" s="10"/>
      <c r="S2052" s="7" t="s">
        <v>54</v>
      </c>
      <c r="T2052" s="7" t="s">
        <v>4813</v>
      </c>
      <c r="U2052" s="7" t="s">
        <v>221</v>
      </c>
      <c r="V2052" s="7" t="s">
        <v>45</v>
      </c>
      <c r="W2052" s="7" t="s">
        <v>211</v>
      </c>
      <c r="X2052" s="7" t="s">
        <v>222</v>
      </c>
      <c r="Y2052" s="7" t="s">
        <v>5086</v>
      </c>
      <c r="Z2052" s="7" t="s">
        <v>2130</v>
      </c>
      <c r="AA2052" s="7"/>
      <c r="AB2052" s="7"/>
      <c r="AC2052" s="7" t="s">
        <v>4817</v>
      </c>
      <c r="AD2052" s="7"/>
      <c r="AE2052" s="7"/>
      <c r="AF2052" s="7" t="s">
        <v>113</v>
      </c>
      <c r="AG2052" s="7" t="s">
        <v>366</v>
      </c>
      <c r="AH2052" s="7" t="s">
        <v>4818</v>
      </c>
    </row>
    <row r="2053" spans="1:34" ht="9.75" customHeight="1" x14ac:dyDescent="0.2">
      <c r="A2053" s="7" t="s">
        <v>4811</v>
      </c>
      <c r="B2053" s="7" t="s">
        <v>4812</v>
      </c>
      <c r="C2053" s="7" t="s">
        <v>5099</v>
      </c>
      <c r="D2053" s="7" t="s">
        <v>5100</v>
      </c>
      <c r="E2053" s="8">
        <v>2</v>
      </c>
      <c r="F2053" s="7"/>
      <c r="G2053" s="7"/>
      <c r="H2053" s="9"/>
      <c r="I2053" s="9"/>
      <c r="J2053" s="9"/>
      <c r="K2053" s="9"/>
      <c r="L2053" s="10">
        <v>630</v>
      </c>
      <c r="M2053" s="9"/>
      <c r="N2053" s="10">
        <v>630</v>
      </c>
      <c r="O2053" s="9"/>
      <c r="P2053" s="10"/>
      <c r="Q2053" s="10"/>
      <c r="R2053" s="10"/>
      <c r="S2053" s="7" t="s">
        <v>54</v>
      </c>
      <c r="T2053" s="7" t="s">
        <v>4844</v>
      </c>
      <c r="U2053" s="7" t="s">
        <v>221</v>
      </c>
      <c r="V2053" s="7" t="s">
        <v>45</v>
      </c>
      <c r="W2053" s="7" t="s">
        <v>211</v>
      </c>
      <c r="X2053" s="7" t="s">
        <v>222</v>
      </c>
      <c r="Y2053" s="7" t="s">
        <v>5086</v>
      </c>
      <c r="Z2053" s="7" t="s">
        <v>2130</v>
      </c>
      <c r="AA2053" s="7"/>
      <c r="AB2053" s="7"/>
      <c r="AC2053" s="7" t="s">
        <v>4817</v>
      </c>
      <c r="AD2053" s="7"/>
      <c r="AE2053" s="7"/>
      <c r="AF2053" s="7" t="s">
        <v>113</v>
      </c>
      <c r="AG2053" s="7" t="s">
        <v>366</v>
      </c>
      <c r="AH2053" s="7" t="s">
        <v>4818</v>
      </c>
    </row>
    <row r="2054" spans="1:34" ht="9.75" customHeight="1" x14ac:dyDescent="0.2">
      <c r="A2054" s="7" t="s">
        <v>4811</v>
      </c>
      <c r="B2054" s="7" t="s">
        <v>4812</v>
      </c>
      <c r="C2054" s="7" t="s">
        <v>5101</v>
      </c>
      <c r="D2054" s="7" t="s">
        <v>5102</v>
      </c>
      <c r="E2054" s="8">
        <v>2</v>
      </c>
      <c r="F2054" s="7"/>
      <c r="G2054" s="7"/>
      <c r="H2054" s="9"/>
      <c r="I2054" s="9"/>
      <c r="J2054" s="9"/>
      <c r="K2054" s="9"/>
      <c r="L2054" s="10">
        <v>7528</v>
      </c>
      <c r="M2054" s="9"/>
      <c r="N2054" s="10">
        <v>7528</v>
      </c>
      <c r="O2054" s="9"/>
      <c r="P2054" s="10"/>
      <c r="Q2054" s="10"/>
      <c r="R2054" s="10"/>
      <c r="S2054" s="7" t="s">
        <v>54</v>
      </c>
      <c r="T2054" s="7" t="s">
        <v>4843</v>
      </c>
      <c r="U2054" s="7" t="s">
        <v>44</v>
      </c>
      <c r="V2054" s="7" t="s">
        <v>272</v>
      </c>
      <c r="W2054" s="7" t="s">
        <v>5103</v>
      </c>
      <c r="X2054" s="7" t="s">
        <v>5104</v>
      </c>
      <c r="Y2054" s="7" t="s">
        <v>5086</v>
      </c>
      <c r="Z2054" s="7" t="s">
        <v>2130</v>
      </c>
      <c r="AA2054" s="7"/>
      <c r="AB2054" s="7"/>
      <c r="AC2054" s="7" t="s">
        <v>4817</v>
      </c>
      <c r="AD2054" s="7"/>
      <c r="AE2054" s="7"/>
      <c r="AF2054" s="7" t="s">
        <v>113</v>
      </c>
      <c r="AG2054" s="7" t="s">
        <v>366</v>
      </c>
      <c r="AH2054" s="7" t="s">
        <v>4818</v>
      </c>
    </row>
    <row r="2055" spans="1:34" ht="9.75" customHeight="1" x14ac:dyDescent="0.2">
      <c r="A2055" s="7" t="s">
        <v>4811</v>
      </c>
      <c r="B2055" s="7" t="s">
        <v>4812</v>
      </c>
      <c r="C2055" s="7" t="s">
        <v>5105</v>
      </c>
      <c r="D2055" s="7" t="s">
        <v>5106</v>
      </c>
      <c r="E2055" s="8">
        <v>2</v>
      </c>
      <c r="F2055" s="7"/>
      <c r="G2055" s="7"/>
      <c r="H2055" s="9"/>
      <c r="I2055" s="9"/>
      <c r="J2055" s="9"/>
      <c r="K2055" s="9"/>
      <c r="L2055" s="10">
        <v>32346</v>
      </c>
      <c r="M2055" s="9"/>
      <c r="N2055" s="10">
        <v>32346</v>
      </c>
      <c r="O2055" s="9"/>
      <c r="P2055" s="10"/>
      <c r="Q2055" s="10"/>
      <c r="R2055" s="10"/>
      <c r="S2055" s="7" t="s">
        <v>54</v>
      </c>
      <c r="T2055" s="7" t="s">
        <v>4843</v>
      </c>
      <c r="U2055" s="7" t="s">
        <v>44</v>
      </c>
      <c r="V2055" s="7" t="s">
        <v>45</v>
      </c>
      <c r="W2055" s="7" t="s">
        <v>4977</v>
      </c>
      <c r="X2055" s="7" t="s">
        <v>4978</v>
      </c>
      <c r="Y2055" s="7" t="s">
        <v>5086</v>
      </c>
      <c r="Z2055" s="7" t="s">
        <v>2130</v>
      </c>
      <c r="AA2055" s="7"/>
      <c r="AB2055" s="7"/>
      <c r="AC2055" s="7" t="s">
        <v>4817</v>
      </c>
      <c r="AD2055" s="7"/>
      <c r="AE2055" s="7"/>
      <c r="AF2055" s="7" t="s">
        <v>113</v>
      </c>
      <c r="AG2055" s="7" t="s">
        <v>366</v>
      </c>
      <c r="AH2055" s="7" t="s">
        <v>4818</v>
      </c>
    </row>
    <row r="2056" spans="1:34" ht="9.75" customHeight="1" x14ac:dyDescent="0.2">
      <c r="A2056" s="7" t="s">
        <v>4811</v>
      </c>
      <c r="B2056" s="7" t="s">
        <v>4812</v>
      </c>
      <c r="C2056" s="7" t="s">
        <v>5107</v>
      </c>
      <c r="D2056" s="7" t="s">
        <v>5108</v>
      </c>
      <c r="E2056" s="8">
        <v>2</v>
      </c>
      <c r="F2056" s="7"/>
      <c r="G2056" s="7"/>
      <c r="H2056" s="9"/>
      <c r="I2056" s="9"/>
      <c r="J2056" s="9"/>
      <c r="K2056" s="9"/>
      <c r="L2056" s="10">
        <v>18892</v>
      </c>
      <c r="M2056" s="9"/>
      <c r="N2056" s="10">
        <v>18892</v>
      </c>
      <c r="O2056" s="9"/>
      <c r="P2056" s="10"/>
      <c r="Q2056" s="10"/>
      <c r="R2056" s="10"/>
      <c r="S2056" s="7" t="s">
        <v>54</v>
      </c>
      <c r="T2056" s="7" t="s">
        <v>4844</v>
      </c>
      <c r="U2056" s="7" t="s">
        <v>44</v>
      </c>
      <c r="V2056" s="7" t="s">
        <v>272</v>
      </c>
      <c r="W2056" s="7" t="s">
        <v>4722</v>
      </c>
      <c r="X2056" s="7" t="s">
        <v>4723</v>
      </c>
      <c r="Y2056" s="7" t="s">
        <v>5086</v>
      </c>
      <c r="Z2056" s="7" t="s">
        <v>2130</v>
      </c>
      <c r="AA2056" s="7"/>
      <c r="AB2056" s="7"/>
      <c r="AC2056" s="7" t="s">
        <v>4817</v>
      </c>
      <c r="AD2056" s="7"/>
      <c r="AE2056" s="7"/>
      <c r="AF2056" s="7" t="s">
        <v>113</v>
      </c>
      <c r="AG2056" s="7" t="s">
        <v>366</v>
      </c>
      <c r="AH2056" s="7" t="s">
        <v>4818</v>
      </c>
    </row>
    <row r="2057" spans="1:34" ht="9.75" customHeight="1" x14ac:dyDescent="0.2">
      <c r="A2057" s="7" t="s">
        <v>4811</v>
      </c>
      <c r="B2057" s="7" t="s">
        <v>4812</v>
      </c>
      <c r="C2057" s="7" t="s">
        <v>5109</v>
      </c>
      <c r="D2057" s="7" t="s">
        <v>5110</v>
      </c>
      <c r="E2057" s="8">
        <v>2</v>
      </c>
      <c r="F2057" s="7"/>
      <c r="G2057" s="7"/>
      <c r="H2057" s="9"/>
      <c r="I2057" s="9"/>
      <c r="J2057" s="9"/>
      <c r="K2057" s="9"/>
      <c r="L2057" s="10">
        <v>5757</v>
      </c>
      <c r="M2057" s="9"/>
      <c r="N2057" s="10">
        <v>5757</v>
      </c>
      <c r="O2057" s="9"/>
      <c r="P2057" s="10"/>
      <c r="Q2057" s="10"/>
      <c r="R2057" s="10"/>
      <c r="S2057" s="7" t="s">
        <v>54</v>
      </c>
      <c r="T2057" s="7" t="s">
        <v>4844</v>
      </c>
      <c r="U2057" s="7" t="s">
        <v>221</v>
      </c>
      <c r="V2057" s="7" t="s">
        <v>45</v>
      </c>
      <c r="W2057" s="7" t="s">
        <v>249</v>
      </c>
      <c r="X2057" s="7" t="s">
        <v>250</v>
      </c>
      <c r="Y2057" s="7" t="s">
        <v>5086</v>
      </c>
      <c r="Z2057" s="7" t="s">
        <v>2130</v>
      </c>
      <c r="AA2057" s="7"/>
      <c r="AB2057" s="7"/>
      <c r="AC2057" s="7" t="s">
        <v>4817</v>
      </c>
      <c r="AD2057" s="7"/>
      <c r="AE2057" s="7"/>
      <c r="AF2057" s="7" t="s">
        <v>113</v>
      </c>
      <c r="AG2057" s="7" t="s">
        <v>366</v>
      </c>
      <c r="AH2057" s="7" t="s">
        <v>4818</v>
      </c>
    </row>
    <row r="2058" spans="1:34" ht="9.75" customHeight="1" x14ac:dyDescent="0.2">
      <c r="A2058" s="7" t="s">
        <v>4811</v>
      </c>
      <c r="B2058" s="7" t="s">
        <v>4812</v>
      </c>
      <c r="C2058" s="7" t="s">
        <v>5111</v>
      </c>
      <c r="D2058" s="7" t="s">
        <v>5112</v>
      </c>
      <c r="E2058" s="8">
        <v>2</v>
      </c>
      <c r="F2058" s="7"/>
      <c r="G2058" s="7"/>
      <c r="H2058" s="9"/>
      <c r="I2058" s="9"/>
      <c r="J2058" s="9"/>
      <c r="K2058" s="9"/>
      <c r="L2058" s="10">
        <v>5763</v>
      </c>
      <c r="M2058" s="9"/>
      <c r="N2058" s="10">
        <v>5763</v>
      </c>
      <c r="O2058" s="9"/>
      <c r="P2058" s="10"/>
      <c r="Q2058" s="10"/>
      <c r="R2058" s="10"/>
      <c r="S2058" s="7" t="s">
        <v>54</v>
      </c>
      <c r="T2058" s="7" t="s">
        <v>4843</v>
      </c>
      <c r="U2058" s="7" t="s">
        <v>221</v>
      </c>
      <c r="V2058" s="7" t="s">
        <v>45</v>
      </c>
      <c r="W2058" s="7" t="s">
        <v>249</v>
      </c>
      <c r="X2058" s="7" t="s">
        <v>250</v>
      </c>
      <c r="Y2058" s="7" t="s">
        <v>5086</v>
      </c>
      <c r="Z2058" s="7" t="s">
        <v>2130</v>
      </c>
      <c r="AA2058" s="7"/>
      <c r="AB2058" s="7"/>
      <c r="AC2058" s="7" t="s">
        <v>4817</v>
      </c>
      <c r="AD2058" s="7"/>
      <c r="AE2058" s="7"/>
      <c r="AF2058" s="7" t="s">
        <v>113</v>
      </c>
      <c r="AG2058" s="7" t="s">
        <v>366</v>
      </c>
      <c r="AH2058" s="7" t="s">
        <v>4818</v>
      </c>
    </row>
    <row r="2059" spans="1:34" ht="9.75" customHeight="1" x14ac:dyDescent="0.2">
      <c r="A2059" s="7" t="s">
        <v>4811</v>
      </c>
      <c r="B2059" s="7" t="s">
        <v>4812</v>
      </c>
      <c r="C2059" s="7" t="s">
        <v>5113</v>
      </c>
      <c r="D2059" s="7" t="s">
        <v>5114</v>
      </c>
      <c r="E2059" s="8">
        <v>2</v>
      </c>
      <c r="F2059" s="7"/>
      <c r="G2059" s="7"/>
      <c r="H2059" s="9"/>
      <c r="I2059" s="9"/>
      <c r="J2059" s="9"/>
      <c r="K2059" s="9"/>
      <c r="L2059" s="10">
        <v>6131</v>
      </c>
      <c r="M2059" s="9"/>
      <c r="N2059" s="10">
        <v>6131</v>
      </c>
      <c r="O2059" s="9"/>
      <c r="P2059" s="10"/>
      <c r="Q2059" s="10"/>
      <c r="R2059" s="10"/>
      <c r="S2059" s="7" t="s">
        <v>54</v>
      </c>
      <c r="T2059" s="7" t="s">
        <v>4843</v>
      </c>
      <c r="U2059" s="7" t="s">
        <v>221</v>
      </c>
      <c r="V2059" s="7" t="s">
        <v>45</v>
      </c>
      <c r="W2059" s="7" t="s">
        <v>249</v>
      </c>
      <c r="X2059" s="7" t="s">
        <v>250</v>
      </c>
      <c r="Y2059" s="7" t="s">
        <v>5086</v>
      </c>
      <c r="Z2059" s="7" t="s">
        <v>2130</v>
      </c>
      <c r="AA2059" s="7"/>
      <c r="AB2059" s="7"/>
      <c r="AC2059" s="7" t="s">
        <v>4817</v>
      </c>
      <c r="AD2059" s="7"/>
      <c r="AE2059" s="7"/>
      <c r="AF2059" s="7" t="s">
        <v>113</v>
      </c>
      <c r="AG2059" s="7" t="s">
        <v>366</v>
      </c>
      <c r="AH2059" s="7" t="s">
        <v>4818</v>
      </c>
    </row>
    <row r="2060" spans="1:34" ht="9.75" customHeight="1" x14ac:dyDescent="0.2">
      <c r="A2060" s="7" t="s">
        <v>4811</v>
      </c>
      <c r="B2060" s="7" t="s">
        <v>4812</v>
      </c>
      <c r="C2060" s="7" t="s">
        <v>5115</v>
      </c>
      <c r="D2060" s="7" t="s">
        <v>5116</v>
      </c>
      <c r="E2060" s="8">
        <v>2</v>
      </c>
      <c r="F2060" s="7"/>
      <c r="G2060" s="7"/>
      <c r="H2060" s="9"/>
      <c r="I2060" s="9"/>
      <c r="J2060" s="9"/>
      <c r="K2060" s="9"/>
      <c r="L2060" s="10">
        <v>9880</v>
      </c>
      <c r="M2060" s="9"/>
      <c r="N2060" s="10">
        <v>9880</v>
      </c>
      <c r="O2060" s="9"/>
      <c r="P2060" s="10"/>
      <c r="Q2060" s="10"/>
      <c r="R2060" s="10"/>
      <c r="S2060" s="7" t="s">
        <v>54</v>
      </c>
      <c r="T2060" s="7" t="s">
        <v>4843</v>
      </c>
      <c r="U2060" s="7" t="s">
        <v>221</v>
      </c>
      <c r="V2060" s="7" t="s">
        <v>45</v>
      </c>
      <c r="W2060" s="7" t="s">
        <v>249</v>
      </c>
      <c r="X2060" s="7" t="s">
        <v>250</v>
      </c>
      <c r="Y2060" s="7" t="s">
        <v>5086</v>
      </c>
      <c r="Z2060" s="7" t="s">
        <v>2130</v>
      </c>
      <c r="AA2060" s="7"/>
      <c r="AB2060" s="7"/>
      <c r="AC2060" s="7" t="s">
        <v>4817</v>
      </c>
      <c r="AD2060" s="7"/>
      <c r="AE2060" s="7"/>
      <c r="AF2060" s="7" t="s">
        <v>113</v>
      </c>
      <c r="AG2060" s="7" t="s">
        <v>366</v>
      </c>
      <c r="AH2060" s="7" t="s">
        <v>4818</v>
      </c>
    </row>
    <row r="2061" spans="1:34" ht="9.75" customHeight="1" x14ac:dyDescent="0.2">
      <c r="A2061" s="7" t="s">
        <v>4811</v>
      </c>
      <c r="B2061" s="7" t="s">
        <v>4812</v>
      </c>
      <c r="C2061" s="7" t="s">
        <v>5117</v>
      </c>
      <c r="D2061" s="7" t="s">
        <v>5118</v>
      </c>
      <c r="E2061" s="8">
        <v>2</v>
      </c>
      <c r="F2061" s="7"/>
      <c r="G2061" s="7"/>
      <c r="H2061" s="9"/>
      <c r="I2061" s="9"/>
      <c r="J2061" s="9"/>
      <c r="K2061" s="9"/>
      <c r="L2061" s="10">
        <v>643</v>
      </c>
      <c r="M2061" s="9"/>
      <c r="N2061" s="10">
        <v>643</v>
      </c>
      <c r="O2061" s="9"/>
      <c r="P2061" s="10"/>
      <c r="Q2061" s="10"/>
      <c r="R2061" s="10"/>
      <c r="S2061" s="7" t="s">
        <v>54</v>
      </c>
      <c r="T2061" s="7" t="s">
        <v>4843</v>
      </c>
      <c r="U2061" s="7" t="s">
        <v>221</v>
      </c>
      <c r="V2061" s="7" t="s">
        <v>45</v>
      </c>
      <c r="W2061" s="7" t="s">
        <v>249</v>
      </c>
      <c r="X2061" s="7" t="s">
        <v>250</v>
      </c>
      <c r="Y2061" s="7" t="s">
        <v>5086</v>
      </c>
      <c r="Z2061" s="7" t="s">
        <v>2130</v>
      </c>
      <c r="AA2061" s="7"/>
      <c r="AB2061" s="7"/>
      <c r="AC2061" s="7" t="s">
        <v>4817</v>
      </c>
      <c r="AD2061" s="7"/>
      <c r="AE2061" s="7"/>
      <c r="AF2061" s="7" t="s">
        <v>113</v>
      </c>
      <c r="AG2061" s="7" t="s">
        <v>366</v>
      </c>
      <c r="AH2061" s="7" t="s">
        <v>4818</v>
      </c>
    </row>
    <row r="2062" spans="1:34" ht="9.75" customHeight="1" x14ac:dyDescent="0.2">
      <c r="A2062" s="7" t="s">
        <v>4811</v>
      </c>
      <c r="B2062" s="7" t="s">
        <v>4812</v>
      </c>
      <c r="C2062" s="7" t="s">
        <v>5119</v>
      </c>
      <c r="D2062" s="7" t="s">
        <v>5120</v>
      </c>
      <c r="E2062" s="8">
        <v>2</v>
      </c>
      <c r="F2062" s="7"/>
      <c r="G2062" s="7"/>
      <c r="H2062" s="9"/>
      <c r="I2062" s="9"/>
      <c r="J2062" s="9"/>
      <c r="K2062" s="9"/>
      <c r="L2062" s="10">
        <v>19856</v>
      </c>
      <c r="M2062" s="9"/>
      <c r="N2062" s="10">
        <v>19856</v>
      </c>
      <c r="O2062" s="9"/>
      <c r="P2062" s="10"/>
      <c r="Q2062" s="10"/>
      <c r="R2062" s="10"/>
      <c r="S2062" s="7" t="s">
        <v>54</v>
      </c>
      <c r="T2062" s="7" t="s">
        <v>4844</v>
      </c>
      <c r="U2062" s="7" t="s">
        <v>221</v>
      </c>
      <c r="V2062" s="7" t="s">
        <v>272</v>
      </c>
      <c r="W2062" s="7" t="s">
        <v>273</v>
      </c>
      <c r="X2062" s="7" t="s">
        <v>274</v>
      </c>
      <c r="Y2062" s="7" t="s">
        <v>5086</v>
      </c>
      <c r="Z2062" s="7" t="s">
        <v>2130</v>
      </c>
      <c r="AA2062" s="7"/>
      <c r="AB2062" s="7"/>
      <c r="AC2062" s="7" t="s">
        <v>4817</v>
      </c>
      <c r="AD2062" s="7"/>
      <c r="AE2062" s="7"/>
      <c r="AF2062" s="7" t="s">
        <v>113</v>
      </c>
      <c r="AG2062" s="7" t="s">
        <v>366</v>
      </c>
      <c r="AH2062" s="7" t="s">
        <v>4818</v>
      </c>
    </row>
    <row r="2063" spans="1:34" ht="9.75" customHeight="1" x14ac:dyDescent="0.2">
      <c r="A2063" s="7" t="s">
        <v>4811</v>
      </c>
      <c r="B2063" s="7" t="s">
        <v>4812</v>
      </c>
      <c r="C2063" s="7" t="s">
        <v>5121</v>
      </c>
      <c r="D2063" s="7" t="s">
        <v>5122</v>
      </c>
      <c r="E2063" s="8">
        <v>2</v>
      </c>
      <c r="F2063" s="7"/>
      <c r="G2063" s="7"/>
      <c r="H2063" s="9"/>
      <c r="I2063" s="9"/>
      <c r="J2063" s="9"/>
      <c r="K2063" s="9"/>
      <c r="L2063" s="10">
        <v>1779</v>
      </c>
      <c r="M2063" s="9"/>
      <c r="N2063" s="10">
        <v>1779</v>
      </c>
      <c r="O2063" s="9"/>
      <c r="P2063" s="10"/>
      <c r="Q2063" s="10"/>
      <c r="R2063" s="10"/>
      <c r="S2063" s="7" t="s">
        <v>54</v>
      </c>
      <c r="T2063" s="7" t="s">
        <v>4844</v>
      </c>
      <c r="U2063" s="7" t="s">
        <v>221</v>
      </c>
      <c r="V2063" s="7" t="s">
        <v>272</v>
      </c>
      <c r="W2063" s="7" t="s">
        <v>273</v>
      </c>
      <c r="X2063" s="7" t="s">
        <v>274</v>
      </c>
      <c r="Y2063" s="7" t="s">
        <v>5086</v>
      </c>
      <c r="Z2063" s="7" t="s">
        <v>2130</v>
      </c>
      <c r="AA2063" s="7"/>
      <c r="AB2063" s="7"/>
      <c r="AC2063" s="7" t="s">
        <v>4817</v>
      </c>
      <c r="AD2063" s="7"/>
      <c r="AE2063" s="7"/>
      <c r="AF2063" s="7" t="s">
        <v>113</v>
      </c>
      <c r="AG2063" s="7" t="s">
        <v>366</v>
      </c>
      <c r="AH2063" s="7" t="s">
        <v>4818</v>
      </c>
    </row>
    <row r="2064" spans="1:34" ht="9.75" customHeight="1" x14ac:dyDescent="0.2">
      <c r="A2064" s="7" t="s">
        <v>4811</v>
      </c>
      <c r="B2064" s="7" t="s">
        <v>4812</v>
      </c>
      <c r="C2064" s="7" t="s">
        <v>5123</v>
      </c>
      <c r="D2064" s="7" t="s">
        <v>5124</v>
      </c>
      <c r="E2064" s="8">
        <v>2</v>
      </c>
      <c r="F2064" s="7"/>
      <c r="G2064" s="7"/>
      <c r="H2064" s="9"/>
      <c r="I2064" s="9"/>
      <c r="J2064" s="9"/>
      <c r="K2064" s="9"/>
      <c r="L2064" s="10">
        <v>5063</v>
      </c>
      <c r="M2064" s="9"/>
      <c r="N2064" s="10">
        <v>5063</v>
      </c>
      <c r="O2064" s="9"/>
      <c r="P2064" s="10"/>
      <c r="Q2064" s="10"/>
      <c r="R2064" s="10"/>
      <c r="S2064" s="7" t="s">
        <v>54</v>
      </c>
      <c r="T2064" s="7" t="s">
        <v>4843</v>
      </c>
      <c r="U2064" s="7" t="s">
        <v>221</v>
      </c>
      <c r="V2064" s="7" t="s">
        <v>272</v>
      </c>
      <c r="W2064" s="7" t="s">
        <v>273</v>
      </c>
      <c r="X2064" s="7" t="s">
        <v>274</v>
      </c>
      <c r="Y2064" s="7" t="s">
        <v>5086</v>
      </c>
      <c r="Z2064" s="7" t="s">
        <v>2130</v>
      </c>
      <c r="AA2064" s="7"/>
      <c r="AB2064" s="7"/>
      <c r="AC2064" s="7" t="s">
        <v>4817</v>
      </c>
      <c r="AD2064" s="7"/>
      <c r="AE2064" s="7"/>
      <c r="AF2064" s="7" t="s">
        <v>113</v>
      </c>
      <c r="AG2064" s="7" t="s">
        <v>366</v>
      </c>
      <c r="AH2064" s="7" t="s">
        <v>4818</v>
      </c>
    </row>
    <row r="2065" spans="1:34" ht="9.75" customHeight="1" x14ac:dyDescent="0.2">
      <c r="A2065" s="7" t="s">
        <v>4811</v>
      </c>
      <c r="B2065" s="7" t="s">
        <v>4812</v>
      </c>
      <c r="C2065" s="7" t="s">
        <v>5125</v>
      </c>
      <c r="D2065" s="7" t="s">
        <v>5126</v>
      </c>
      <c r="E2065" s="8">
        <v>2</v>
      </c>
      <c r="F2065" s="7"/>
      <c r="G2065" s="7"/>
      <c r="H2065" s="9"/>
      <c r="I2065" s="9"/>
      <c r="J2065" s="9"/>
      <c r="K2065" s="9"/>
      <c r="L2065" s="10">
        <v>1038</v>
      </c>
      <c r="M2065" s="9"/>
      <c r="N2065" s="10">
        <v>1038</v>
      </c>
      <c r="O2065" s="9"/>
      <c r="P2065" s="10"/>
      <c r="Q2065" s="10"/>
      <c r="R2065" s="10"/>
      <c r="S2065" s="7" t="s">
        <v>54</v>
      </c>
      <c r="T2065" s="7" t="s">
        <v>4843</v>
      </c>
      <c r="U2065" s="7" t="s">
        <v>221</v>
      </c>
      <c r="V2065" s="7" t="s">
        <v>272</v>
      </c>
      <c r="W2065" s="7" t="s">
        <v>273</v>
      </c>
      <c r="X2065" s="7" t="s">
        <v>274</v>
      </c>
      <c r="Y2065" s="7" t="s">
        <v>5086</v>
      </c>
      <c r="Z2065" s="7" t="s">
        <v>2130</v>
      </c>
      <c r="AA2065" s="7"/>
      <c r="AB2065" s="7"/>
      <c r="AC2065" s="7" t="s">
        <v>4817</v>
      </c>
      <c r="AD2065" s="7"/>
      <c r="AE2065" s="7"/>
      <c r="AF2065" s="7" t="s">
        <v>113</v>
      </c>
      <c r="AG2065" s="7" t="s">
        <v>366</v>
      </c>
      <c r="AH2065" s="7" t="s">
        <v>4818</v>
      </c>
    </row>
    <row r="2066" spans="1:34" ht="9.75" customHeight="1" x14ac:dyDescent="0.2">
      <c r="A2066" s="7" t="s">
        <v>4811</v>
      </c>
      <c r="B2066" s="7" t="s">
        <v>4812</v>
      </c>
      <c r="C2066" s="7" t="s">
        <v>5127</v>
      </c>
      <c r="D2066" s="7" t="s">
        <v>5128</v>
      </c>
      <c r="E2066" s="8">
        <v>2</v>
      </c>
      <c r="F2066" s="7"/>
      <c r="G2066" s="7"/>
      <c r="H2066" s="9"/>
      <c r="I2066" s="9"/>
      <c r="J2066" s="9"/>
      <c r="K2066" s="9"/>
      <c r="L2066" s="10">
        <v>955</v>
      </c>
      <c r="M2066" s="9"/>
      <c r="N2066" s="10">
        <v>955</v>
      </c>
      <c r="O2066" s="9"/>
      <c r="P2066" s="10"/>
      <c r="Q2066" s="10"/>
      <c r="R2066" s="10"/>
      <c r="S2066" s="7" t="s">
        <v>54</v>
      </c>
      <c r="T2066" s="7" t="s">
        <v>4844</v>
      </c>
      <c r="U2066" s="7" t="s">
        <v>221</v>
      </c>
      <c r="V2066" s="7" t="s">
        <v>272</v>
      </c>
      <c r="W2066" s="7" t="s">
        <v>273</v>
      </c>
      <c r="X2066" s="7" t="s">
        <v>274</v>
      </c>
      <c r="Y2066" s="7" t="s">
        <v>5086</v>
      </c>
      <c r="Z2066" s="7" t="s">
        <v>2130</v>
      </c>
      <c r="AA2066" s="7"/>
      <c r="AB2066" s="7"/>
      <c r="AC2066" s="7" t="s">
        <v>4817</v>
      </c>
      <c r="AD2066" s="7"/>
      <c r="AE2066" s="7"/>
      <c r="AF2066" s="7" t="s">
        <v>113</v>
      </c>
      <c r="AG2066" s="7" t="s">
        <v>366</v>
      </c>
      <c r="AH2066" s="7" t="s">
        <v>4818</v>
      </c>
    </row>
    <row r="2067" spans="1:34" ht="9.75" customHeight="1" x14ac:dyDescent="0.2">
      <c r="A2067" s="7" t="s">
        <v>4811</v>
      </c>
      <c r="B2067" s="7" t="s">
        <v>4812</v>
      </c>
      <c r="C2067" s="7" t="s">
        <v>5129</v>
      </c>
      <c r="D2067" s="7" t="s">
        <v>5130</v>
      </c>
      <c r="E2067" s="8">
        <v>2</v>
      </c>
      <c r="F2067" s="7"/>
      <c r="G2067" s="7"/>
      <c r="H2067" s="9"/>
      <c r="I2067" s="9"/>
      <c r="J2067" s="9"/>
      <c r="K2067" s="9"/>
      <c r="L2067" s="10">
        <v>3464</v>
      </c>
      <c r="M2067" s="9"/>
      <c r="N2067" s="10">
        <v>3464</v>
      </c>
      <c r="O2067" s="9"/>
      <c r="P2067" s="10"/>
      <c r="Q2067" s="10"/>
      <c r="R2067" s="10"/>
      <c r="S2067" s="7" t="s">
        <v>54</v>
      </c>
      <c r="T2067" s="7" t="s">
        <v>4843</v>
      </c>
      <c r="U2067" s="7" t="s">
        <v>221</v>
      </c>
      <c r="V2067" s="7" t="s">
        <v>272</v>
      </c>
      <c r="W2067" s="7" t="s">
        <v>273</v>
      </c>
      <c r="X2067" s="7" t="s">
        <v>274</v>
      </c>
      <c r="Y2067" s="7" t="s">
        <v>5086</v>
      </c>
      <c r="Z2067" s="7" t="s">
        <v>2130</v>
      </c>
      <c r="AA2067" s="7"/>
      <c r="AB2067" s="7"/>
      <c r="AC2067" s="7" t="s">
        <v>4817</v>
      </c>
      <c r="AD2067" s="7"/>
      <c r="AE2067" s="7"/>
      <c r="AF2067" s="7" t="s">
        <v>113</v>
      </c>
      <c r="AG2067" s="7" t="s">
        <v>366</v>
      </c>
      <c r="AH2067" s="7" t="s">
        <v>4818</v>
      </c>
    </row>
    <row r="2068" spans="1:34" ht="9.75" customHeight="1" x14ac:dyDescent="0.2">
      <c r="A2068" s="7" t="s">
        <v>4811</v>
      </c>
      <c r="B2068" s="7" t="s">
        <v>4812</v>
      </c>
      <c r="C2068" s="7" t="s">
        <v>5131</v>
      </c>
      <c r="D2068" s="7" t="s">
        <v>5132</v>
      </c>
      <c r="E2068" s="8">
        <v>2</v>
      </c>
      <c r="F2068" s="7"/>
      <c r="G2068" s="7"/>
      <c r="H2068" s="9"/>
      <c r="I2068" s="9"/>
      <c r="J2068" s="9"/>
      <c r="K2068" s="9"/>
      <c r="L2068" s="10">
        <v>1617</v>
      </c>
      <c r="M2068" s="9"/>
      <c r="N2068" s="10">
        <v>1617</v>
      </c>
      <c r="O2068" s="9"/>
      <c r="P2068" s="10"/>
      <c r="Q2068" s="10"/>
      <c r="R2068" s="10"/>
      <c r="S2068" s="7" t="s">
        <v>54</v>
      </c>
      <c r="T2068" s="7" t="s">
        <v>4843</v>
      </c>
      <c r="U2068" s="7" t="s">
        <v>221</v>
      </c>
      <c r="V2068" s="7" t="s">
        <v>272</v>
      </c>
      <c r="W2068" s="7" t="s">
        <v>273</v>
      </c>
      <c r="X2068" s="7" t="s">
        <v>274</v>
      </c>
      <c r="Y2068" s="7" t="s">
        <v>5086</v>
      </c>
      <c r="Z2068" s="7" t="s">
        <v>2130</v>
      </c>
      <c r="AA2068" s="7"/>
      <c r="AB2068" s="7"/>
      <c r="AC2068" s="7" t="s">
        <v>4817</v>
      </c>
      <c r="AD2068" s="7"/>
      <c r="AE2068" s="7"/>
      <c r="AF2068" s="7" t="s">
        <v>113</v>
      </c>
      <c r="AG2068" s="7" t="s">
        <v>366</v>
      </c>
      <c r="AH2068" s="7" t="s">
        <v>4818</v>
      </c>
    </row>
    <row r="2069" spans="1:34" ht="9.75" customHeight="1" x14ac:dyDescent="0.2">
      <c r="A2069" s="7" t="s">
        <v>4811</v>
      </c>
      <c r="B2069" s="7" t="s">
        <v>4812</v>
      </c>
      <c r="C2069" s="7" t="s">
        <v>5133</v>
      </c>
      <c r="D2069" s="7" t="s">
        <v>5134</v>
      </c>
      <c r="E2069" s="8">
        <v>2</v>
      </c>
      <c r="F2069" s="7"/>
      <c r="G2069" s="7"/>
      <c r="H2069" s="9"/>
      <c r="I2069" s="9"/>
      <c r="J2069" s="9"/>
      <c r="K2069" s="9"/>
      <c r="L2069" s="10">
        <v>808</v>
      </c>
      <c r="M2069" s="9"/>
      <c r="N2069" s="10">
        <v>808</v>
      </c>
      <c r="O2069" s="9"/>
      <c r="P2069" s="10"/>
      <c r="Q2069" s="10"/>
      <c r="R2069" s="10"/>
      <c r="S2069" s="7" t="s">
        <v>54</v>
      </c>
      <c r="T2069" s="7" t="s">
        <v>4844</v>
      </c>
      <c r="U2069" s="7" t="s">
        <v>221</v>
      </c>
      <c r="V2069" s="7" t="s">
        <v>272</v>
      </c>
      <c r="W2069" s="7" t="s">
        <v>273</v>
      </c>
      <c r="X2069" s="7" t="s">
        <v>274</v>
      </c>
      <c r="Y2069" s="7" t="s">
        <v>5086</v>
      </c>
      <c r="Z2069" s="7" t="s">
        <v>2138</v>
      </c>
      <c r="AA2069" s="7"/>
      <c r="AB2069" s="7"/>
      <c r="AC2069" s="7" t="s">
        <v>4817</v>
      </c>
      <c r="AD2069" s="7"/>
      <c r="AE2069" s="7"/>
      <c r="AF2069" s="7" t="s">
        <v>113</v>
      </c>
      <c r="AG2069" s="7" t="s">
        <v>366</v>
      </c>
      <c r="AH2069" s="7" t="s">
        <v>4818</v>
      </c>
    </row>
    <row r="2070" spans="1:34" ht="9.75" customHeight="1" x14ac:dyDescent="0.2">
      <c r="A2070" s="7" t="s">
        <v>4811</v>
      </c>
      <c r="B2070" s="7" t="s">
        <v>4812</v>
      </c>
      <c r="C2070" s="7" t="s">
        <v>5135</v>
      </c>
      <c r="D2070" s="7" t="s">
        <v>5136</v>
      </c>
      <c r="E2070" s="8">
        <v>2</v>
      </c>
      <c r="F2070" s="7"/>
      <c r="G2070" s="7"/>
      <c r="H2070" s="9"/>
      <c r="I2070" s="9"/>
      <c r="J2070" s="9"/>
      <c r="K2070" s="9"/>
      <c r="L2070" s="10">
        <v>7358</v>
      </c>
      <c r="M2070" s="9"/>
      <c r="N2070" s="10">
        <v>7358</v>
      </c>
      <c r="O2070" s="9"/>
      <c r="P2070" s="10"/>
      <c r="Q2070" s="10"/>
      <c r="R2070" s="10"/>
      <c r="S2070" s="7" t="s">
        <v>54</v>
      </c>
      <c r="T2070" s="7" t="s">
        <v>4843</v>
      </c>
      <c r="U2070" s="7" t="s">
        <v>44</v>
      </c>
      <c r="V2070" s="7" t="s">
        <v>272</v>
      </c>
      <c r="W2070" s="7" t="s">
        <v>5137</v>
      </c>
      <c r="X2070" s="7" t="s">
        <v>5138</v>
      </c>
      <c r="Y2070" s="7" t="s">
        <v>5086</v>
      </c>
      <c r="Z2070" s="7" t="s">
        <v>2138</v>
      </c>
      <c r="AA2070" s="7"/>
      <c r="AB2070" s="7"/>
      <c r="AC2070" s="7" t="s">
        <v>4817</v>
      </c>
      <c r="AD2070" s="7"/>
      <c r="AE2070" s="7"/>
      <c r="AF2070" s="7" t="s">
        <v>113</v>
      </c>
      <c r="AG2070" s="7" t="s">
        <v>366</v>
      </c>
      <c r="AH2070" s="7" t="s">
        <v>4818</v>
      </c>
    </row>
    <row r="2071" spans="1:34" ht="9.75" customHeight="1" x14ac:dyDescent="0.2">
      <c r="A2071" s="7" t="s">
        <v>4811</v>
      </c>
      <c r="B2071" s="7" t="s">
        <v>4812</v>
      </c>
      <c r="C2071" s="7" t="s">
        <v>5139</v>
      </c>
      <c r="D2071" s="7" t="s">
        <v>5140</v>
      </c>
      <c r="E2071" s="8">
        <v>2</v>
      </c>
      <c r="F2071" s="7"/>
      <c r="G2071" s="7"/>
      <c r="H2071" s="9"/>
      <c r="I2071" s="9"/>
      <c r="J2071" s="9"/>
      <c r="K2071" s="9"/>
      <c r="L2071" s="10">
        <v>7358</v>
      </c>
      <c r="M2071" s="9"/>
      <c r="N2071" s="10">
        <v>7358</v>
      </c>
      <c r="O2071" s="9"/>
      <c r="P2071" s="10"/>
      <c r="Q2071" s="10"/>
      <c r="R2071" s="10"/>
      <c r="S2071" s="7" t="s">
        <v>54</v>
      </c>
      <c r="T2071" s="7" t="s">
        <v>4844</v>
      </c>
      <c r="U2071" s="7" t="s">
        <v>44</v>
      </c>
      <c r="V2071" s="7" t="s">
        <v>272</v>
      </c>
      <c r="W2071" s="7" t="s">
        <v>5137</v>
      </c>
      <c r="X2071" s="7" t="s">
        <v>5138</v>
      </c>
      <c r="Y2071" s="7" t="s">
        <v>5086</v>
      </c>
      <c r="Z2071" s="7" t="s">
        <v>2138</v>
      </c>
      <c r="AA2071" s="7"/>
      <c r="AB2071" s="7"/>
      <c r="AC2071" s="7" t="s">
        <v>4817</v>
      </c>
      <c r="AD2071" s="7"/>
      <c r="AE2071" s="7"/>
      <c r="AF2071" s="7" t="s">
        <v>113</v>
      </c>
      <c r="AG2071" s="7" t="s">
        <v>366</v>
      </c>
      <c r="AH2071" s="7" t="s">
        <v>4818</v>
      </c>
    </row>
    <row r="2072" spans="1:34" ht="9.75" customHeight="1" x14ac:dyDescent="0.2">
      <c r="A2072" s="7" t="s">
        <v>4811</v>
      </c>
      <c r="B2072" s="7" t="s">
        <v>4812</v>
      </c>
      <c r="C2072" s="7" t="s">
        <v>5141</v>
      </c>
      <c r="D2072" s="7" t="s">
        <v>5142</v>
      </c>
      <c r="E2072" s="8">
        <v>2</v>
      </c>
      <c r="F2072" s="7"/>
      <c r="G2072" s="7"/>
      <c r="H2072" s="9"/>
      <c r="I2072" s="9"/>
      <c r="J2072" s="9"/>
      <c r="K2072" s="9"/>
      <c r="L2072" s="10">
        <v>9175</v>
      </c>
      <c r="M2072" s="9"/>
      <c r="N2072" s="10">
        <v>9175</v>
      </c>
      <c r="O2072" s="9"/>
      <c r="P2072" s="10"/>
      <c r="Q2072" s="10"/>
      <c r="R2072" s="10"/>
      <c r="S2072" s="7" t="s">
        <v>54</v>
      </c>
      <c r="T2072" s="7" t="s">
        <v>4844</v>
      </c>
      <c r="U2072" s="7" t="s">
        <v>44</v>
      </c>
      <c r="V2072" s="7" t="s">
        <v>272</v>
      </c>
      <c r="W2072" s="7" t="s">
        <v>5137</v>
      </c>
      <c r="X2072" s="7" t="s">
        <v>5138</v>
      </c>
      <c r="Y2072" s="7" t="s">
        <v>5086</v>
      </c>
      <c r="Z2072" s="7" t="s">
        <v>2138</v>
      </c>
      <c r="AA2072" s="7"/>
      <c r="AB2072" s="7"/>
      <c r="AC2072" s="7" t="s">
        <v>4817</v>
      </c>
      <c r="AD2072" s="7"/>
      <c r="AE2072" s="7"/>
      <c r="AF2072" s="7" t="s">
        <v>113</v>
      </c>
      <c r="AG2072" s="7" t="s">
        <v>366</v>
      </c>
      <c r="AH2072" s="7" t="s">
        <v>4818</v>
      </c>
    </row>
    <row r="2073" spans="1:34" ht="9.75" customHeight="1" x14ac:dyDescent="0.2">
      <c r="A2073" s="7" t="s">
        <v>4811</v>
      </c>
      <c r="B2073" s="7" t="s">
        <v>4812</v>
      </c>
      <c r="C2073" s="7" t="s">
        <v>5143</v>
      </c>
      <c r="D2073" s="7" t="s">
        <v>5144</v>
      </c>
      <c r="E2073" s="8">
        <v>2</v>
      </c>
      <c r="F2073" s="7"/>
      <c r="G2073" s="7"/>
      <c r="H2073" s="9"/>
      <c r="I2073" s="9"/>
      <c r="J2073" s="9"/>
      <c r="K2073" s="9"/>
      <c r="L2073" s="10">
        <v>9175</v>
      </c>
      <c r="M2073" s="9"/>
      <c r="N2073" s="10">
        <v>9175</v>
      </c>
      <c r="O2073" s="9"/>
      <c r="P2073" s="10"/>
      <c r="Q2073" s="10"/>
      <c r="R2073" s="10"/>
      <c r="S2073" s="7" t="s">
        <v>54</v>
      </c>
      <c r="T2073" s="7" t="s">
        <v>4841</v>
      </c>
      <c r="U2073" s="7" t="s">
        <v>44</v>
      </c>
      <c r="V2073" s="7" t="s">
        <v>272</v>
      </c>
      <c r="W2073" s="7" t="s">
        <v>5137</v>
      </c>
      <c r="X2073" s="7" t="s">
        <v>5138</v>
      </c>
      <c r="Y2073" s="7" t="s">
        <v>5086</v>
      </c>
      <c r="Z2073" s="7" t="s">
        <v>2138</v>
      </c>
      <c r="AA2073" s="7"/>
      <c r="AB2073" s="7"/>
      <c r="AC2073" s="7" t="s">
        <v>4817</v>
      </c>
      <c r="AD2073" s="7"/>
      <c r="AE2073" s="7"/>
      <c r="AF2073" s="7" t="s">
        <v>113</v>
      </c>
      <c r="AG2073" s="7" t="s">
        <v>366</v>
      </c>
      <c r="AH2073" s="7" t="s">
        <v>4818</v>
      </c>
    </row>
    <row r="2074" spans="1:34" ht="9.75" customHeight="1" x14ac:dyDescent="0.2">
      <c r="A2074" s="7" t="s">
        <v>4811</v>
      </c>
      <c r="B2074" s="7" t="s">
        <v>4812</v>
      </c>
      <c r="C2074" s="7" t="s">
        <v>5145</v>
      </c>
      <c r="D2074" s="7" t="s">
        <v>5146</v>
      </c>
      <c r="E2074" s="8">
        <v>2</v>
      </c>
      <c r="F2074" s="7"/>
      <c r="G2074" s="7"/>
      <c r="H2074" s="9"/>
      <c r="I2074" s="9"/>
      <c r="J2074" s="9"/>
      <c r="K2074" s="9"/>
      <c r="L2074" s="10">
        <v>49265</v>
      </c>
      <c r="M2074" s="9"/>
      <c r="N2074" s="10">
        <v>49265</v>
      </c>
      <c r="O2074" s="9"/>
      <c r="P2074" s="10"/>
      <c r="Q2074" s="10"/>
      <c r="R2074" s="10"/>
      <c r="S2074" s="7" t="s">
        <v>54</v>
      </c>
      <c r="T2074" s="7" t="s">
        <v>4843</v>
      </c>
      <c r="U2074" s="7" t="s">
        <v>221</v>
      </c>
      <c r="V2074" s="7" t="s">
        <v>272</v>
      </c>
      <c r="W2074" s="7" t="s">
        <v>5147</v>
      </c>
      <c r="X2074" s="7" t="s">
        <v>5148</v>
      </c>
      <c r="Y2074" s="7" t="s">
        <v>5086</v>
      </c>
      <c r="Z2074" s="7" t="s">
        <v>2138</v>
      </c>
      <c r="AA2074" s="7"/>
      <c r="AB2074" s="7"/>
      <c r="AC2074" s="7" t="s">
        <v>4817</v>
      </c>
      <c r="AD2074" s="7"/>
      <c r="AE2074" s="7"/>
      <c r="AF2074" s="7" t="s">
        <v>113</v>
      </c>
      <c r="AG2074" s="7" t="s">
        <v>366</v>
      </c>
      <c r="AH2074" s="7" t="s">
        <v>4818</v>
      </c>
    </row>
    <row r="2075" spans="1:34" ht="9.75" customHeight="1" x14ac:dyDescent="0.2">
      <c r="A2075" s="7" t="s">
        <v>4811</v>
      </c>
      <c r="B2075" s="7" t="s">
        <v>4812</v>
      </c>
      <c r="C2075" s="7" t="s">
        <v>5149</v>
      </c>
      <c r="D2075" s="7" t="s">
        <v>5150</v>
      </c>
      <c r="E2075" s="8">
        <v>2</v>
      </c>
      <c r="F2075" s="7"/>
      <c r="G2075" s="7"/>
      <c r="H2075" s="9"/>
      <c r="I2075" s="9"/>
      <c r="J2075" s="9"/>
      <c r="K2075" s="9"/>
      <c r="L2075" s="10">
        <v>17141</v>
      </c>
      <c r="M2075" s="9"/>
      <c r="N2075" s="10">
        <v>17141</v>
      </c>
      <c r="O2075" s="9"/>
      <c r="P2075" s="10"/>
      <c r="Q2075" s="10"/>
      <c r="R2075" s="10"/>
      <c r="S2075" s="7" t="s">
        <v>54</v>
      </c>
      <c r="T2075" s="7" t="s">
        <v>4841</v>
      </c>
      <c r="U2075" s="7" t="s">
        <v>221</v>
      </c>
      <c r="V2075" s="7" t="s">
        <v>272</v>
      </c>
      <c r="W2075" s="7" t="s">
        <v>5147</v>
      </c>
      <c r="X2075" s="7" t="s">
        <v>5148</v>
      </c>
      <c r="Y2075" s="7" t="s">
        <v>5086</v>
      </c>
      <c r="Z2075" s="7" t="s">
        <v>2138</v>
      </c>
      <c r="AA2075" s="7"/>
      <c r="AB2075" s="7"/>
      <c r="AC2075" s="7" t="s">
        <v>4817</v>
      </c>
      <c r="AD2075" s="7"/>
      <c r="AE2075" s="7"/>
      <c r="AF2075" s="7" t="s">
        <v>113</v>
      </c>
      <c r="AG2075" s="7" t="s">
        <v>366</v>
      </c>
      <c r="AH2075" s="7" t="s">
        <v>4818</v>
      </c>
    </row>
    <row r="2076" spans="1:34" ht="9.75" customHeight="1" x14ac:dyDescent="0.2">
      <c r="A2076" s="7" t="s">
        <v>4811</v>
      </c>
      <c r="B2076" s="7" t="s">
        <v>4812</v>
      </c>
      <c r="C2076" s="7" t="s">
        <v>5151</v>
      </c>
      <c r="D2076" s="7" t="s">
        <v>5152</v>
      </c>
      <c r="E2076" s="8">
        <v>2</v>
      </c>
      <c r="F2076" s="7"/>
      <c r="G2076" s="7"/>
      <c r="H2076" s="9"/>
      <c r="I2076" s="9"/>
      <c r="J2076" s="9"/>
      <c r="K2076" s="9"/>
      <c r="L2076" s="10">
        <v>27595</v>
      </c>
      <c r="M2076" s="9"/>
      <c r="N2076" s="10">
        <v>27595</v>
      </c>
      <c r="O2076" s="9"/>
      <c r="P2076" s="10"/>
      <c r="Q2076" s="10"/>
      <c r="R2076" s="10"/>
      <c r="S2076" s="7" t="s">
        <v>54</v>
      </c>
      <c r="T2076" s="7" t="s">
        <v>4843</v>
      </c>
      <c r="U2076" s="7" t="s">
        <v>221</v>
      </c>
      <c r="V2076" s="7" t="s">
        <v>45</v>
      </c>
      <c r="W2076" s="7" t="s">
        <v>235</v>
      </c>
      <c r="X2076" s="7" t="s">
        <v>5153</v>
      </c>
      <c r="Y2076" s="7" t="s">
        <v>5086</v>
      </c>
      <c r="Z2076" s="7" t="s">
        <v>2138</v>
      </c>
      <c r="AA2076" s="7"/>
      <c r="AB2076" s="7"/>
      <c r="AC2076" s="7" t="s">
        <v>4817</v>
      </c>
      <c r="AD2076" s="7"/>
      <c r="AE2076" s="7"/>
      <c r="AF2076" s="7" t="s">
        <v>113</v>
      </c>
      <c r="AG2076" s="7" t="s">
        <v>366</v>
      </c>
      <c r="AH2076" s="7" t="s">
        <v>4818</v>
      </c>
    </row>
    <row r="2077" spans="1:34" ht="9.75" customHeight="1" x14ac:dyDescent="0.2">
      <c r="A2077" s="7" t="s">
        <v>4811</v>
      </c>
      <c r="B2077" s="7" t="s">
        <v>4812</v>
      </c>
      <c r="C2077" s="7" t="s">
        <v>5154</v>
      </c>
      <c r="D2077" s="7" t="s">
        <v>5155</v>
      </c>
      <c r="E2077" s="8">
        <v>2</v>
      </c>
      <c r="F2077" s="7"/>
      <c r="G2077" s="7"/>
      <c r="H2077" s="9"/>
      <c r="I2077" s="9"/>
      <c r="J2077" s="9"/>
      <c r="K2077" s="9"/>
      <c r="L2077" s="10">
        <v>17622</v>
      </c>
      <c r="M2077" s="9"/>
      <c r="N2077" s="10">
        <v>17622</v>
      </c>
      <c r="O2077" s="9"/>
      <c r="P2077" s="10"/>
      <c r="Q2077" s="10"/>
      <c r="R2077" s="10"/>
      <c r="S2077" s="7" t="s">
        <v>54</v>
      </c>
      <c r="T2077" s="7" t="s">
        <v>4843</v>
      </c>
      <c r="U2077" s="7" t="s">
        <v>221</v>
      </c>
      <c r="V2077" s="7" t="s">
        <v>45</v>
      </c>
      <c r="W2077" s="7" t="s">
        <v>235</v>
      </c>
      <c r="X2077" s="7" t="s">
        <v>5153</v>
      </c>
      <c r="Y2077" s="7" t="s">
        <v>5086</v>
      </c>
      <c r="Z2077" s="7" t="s">
        <v>2138</v>
      </c>
      <c r="AA2077" s="7"/>
      <c r="AB2077" s="7"/>
      <c r="AC2077" s="7" t="s">
        <v>4817</v>
      </c>
      <c r="AD2077" s="7"/>
      <c r="AE2077" s="7"/>
      <c r="AF2077" s="7" t="s">
        <v>113</v>
      </c>
      <c r="AG2077" s="7" t="s">
        <v>366</v>
      </c>
      <c r="AH2077" s="7" t="s">
        <v>4818</v>
      </c>
    </row>
    <row r="2078" spans="1:34" ht="9.75" customHeight="1" x14ac:dyDescent="0.2">
      <c r="A2078" s="7" t="s">
        <v>4811</v>
      </c>
      <c r="B2078" s="7" t="s">
        <v>4812</v>
      </c>
      <c r="C2078" s="7" t="s">
        <v>5156</v>
      </c>
      <c r="D2078" s="7" t="s">
        <v>5157</v>
      </c>
      <c r="E2078" s="8">
        <v>2</v>
      </c>
      <c r="F2078" s="7"/>
      <c r="G2078" s="7"/>
      <c r="H2078" s="9"/>
      <c r="I2078" s="9"/>
      <c r="J2078" s="9"/>
      <c r="K2078" s="9"/>
      <c r="L2078" s="10">
        <v>34203</v>
      </c>
      <c r="M2078" s="9"/>
      <c r="N2078" s="10">
        <v>34203</v>
      </c>
      <c r="O2078" s="9"/>
      <c r="P2078" s="10"/>
      <c r="Q2078" s="10"/>
      <c r="R2078" s="10"/>
      <c r="S2078" s="7" t="s">
        <v>54</v>
      </c>
      <c r="T2078" s="7" t="s">
        <v>4843</v>
      </c>
      <c r="U2078" s="7" t="s">
        <v>221</v>
      </c>
      <c r="V2078" s="7" t="s">
        <v>45</v>
      </c>
      <c r="W2078" s="7" t="s">
        <v>235</v>
      </c>
      <c r="X2078" s="7" t="s">
        <v>5153</v>
      </c>
      <c r="Y2078" s="7" t="s">
        <v>5086</v>
      </c>
      <c r="Z2078" s="7" t="s">
        <v>2138</v>
      </c>
      <c r="AA2078" s="7"/>
      <c r="AB2078" s="7"/>
      <c r="AC2078" s="7" t="s">
        <v>4817</v>
      </c>
      <c r="AD2078" s="7"/>
      <c r="AE2078" s="7"/>
      <c r="AF2078" s="7" t="s">
        <v>113</v>
      </c>
      <c r="AG2078" s="7" t="s">
        <v>366</v>
      </c>
      <c r="AH2078" s="7" t="s">
        <v>4818</v>
      </c>
    </row>
    <row r="2079" spans="1:34" ht="9.75" customHeight="1" x14ac:dyDescent="0.2">
      <c r="A2079" s="7" t="s">
        <v>4811</v>
      </c>
      <c r="B2079" s="7" t="s">
        <v>4812</v>
      </c>
      <c r="C2079" s="7" t="s">
        <v>5158</v>
      </c>
      <c r="D2079" s="7" t="s">
        <v>5159</v>
      </c>
      <c r="E2079" s="8">
        <v>2</v>
      </c>
      <c r="F2079" s="7"/>
      <c r="G2079" s="7"/>
      <c r="H2079" s="9"/>
      <c r="I2079" s="9"/>
      <c r="J2079" s="9"/>
      <c r="K2079" s="9"/>
      <c r="L2079" s="10">
        <v>30203</v>
      </c>
      <c r="M2079" s="9"/>
      <c r="N2079" s="10">
        <v>30203</v>
      </c>
      <c r="O2079" s="9"/>
      <c r="P2079" s="10"/>
      <c r="Q2079" s="10"/>
      <c r="R2079" s="10"/>
      <c r="S2079" s="7" t="s">
        <v>54</v>
      </c>
      <c r="T2079" s="7" t="s">
        <v>4843</v>
      </c>
      <c r="U2079" s="7" t="s">
        <v>221</v>
      </c>
      <c r="V2079" s="7" t="s">
        <v>45</v>
      </c>
      <c r="W2079" s="7" t="s">
        <v>235</v>
      </c>
      <c r="X2079" s="7" t="s">
        <v>5153</v>
      </c>
      <c r="Y2079" s="7" t="s">
        <v>5086</v>
      </c>
      <c r="Z2079" s="7" t="s">
        <v>2138</v>
      </c>
      <c r="AA2079" s="7"/>
      <c r="AB2079" s="7"/>
      <c r="AC2079" s="7" t="s">
        <v>4817</v>
      </c>
      <c r="AD2079" s="7"/>
      <c r="AE2079" s="7"/>
      <c r="AF2079" s="7" t="s">
        <v>113</v>
      </c>
      <c r="AG2079" s="7" t="s">
        <v>366</v>
      </c>
      <c r="AH2079" s="7" t="s">
        <v>4818</v>
      </c>
    </row>
    <row r="2080" spans="1:34" ht="9.75" customHeight="1" x14ac:dyDescent="0.2">
      <c r="A2080" s="7" t="s">
        <v>4811</v>
      </c>
      <c r="B2080" s="7" t="s">
        <v>4812</v>
      </c>
      <c r="C2080" s="7" t="s">
        <v>5160</v>
      </c>
      <c r="D2080" s="7" t="s">
        <v>5161</v>
      </c>
      <c r="E2080" s="8">
        <v>2</v>
      </c>
      <c r="F2080" s="7"/>
      <c r="G2080" s="7"/>
      <c r="H2080" s="9"/>
      <c r="I2080" s="9"/>
      <c r="J2080" s="9"/>
      <c r="K2080" s="9"/>
      <c r="L2080" s="10">
        <v>40255</v>
      </c>
      <c r="M2080" s="9"/>
      <c r="N2080" s="10">
        <v>40255</v>
      </c>
      <c r="O2080" s="9"/>
      <c r="P2080" s="10"/>
      <c r="Q2080" s="10"/>
      <c r="R2080" s="10"/>
      <c r="S2080" s="7" t="s">
        <v>54</v>
      </c>
      <c r="T2080" s="7" t="s">
        <v>4843</v>
      </c>
      <c r="U2080" s="7" t="s">
        <v>221</v>
      </c>
      <c r="V2080" s="7" t="s">
        <v>45</v>
      </c>
      <c r="W2080" s="7" t="s">
        <v>235</v>
      </c>
      <c r="X2080" s="7" t="s">
        <v>5153</v>
      </c>
      <c r="Y2080" s="7" t="s">
        <v>5086</v>
      </c>
      <c r="Z2080" s="7" t="s">
        <v>2138</v>
      </c>
      <c r="AA2080" s="7"/>
      <c r="AB2080" s="7"/>
      <c r="AC2080" s="7" t="s">
        <v>4817</v>
      </c>
      <c r="AD2080" s="7"/>
      <c r="AE2080" s="7"/>
      <c r="AF2080" s="7" t="s">
        <v>113</v>
      </c>
      <c r="AG2080" s="7" t="s">
        <v>366</v>
      </c>
      <c r="AH2080" s="7" t="s">
        <v>4818</v>
      </c>
    </row>
    <row r="2081" spans="1:34" ht="9.75" customHeight="1" x14ac:dyDescent="0.2">
      <c r="A2081" s="7" t="s">
        <v>4811</v>
      </c>
      <c r="B2081" s="7" t="s">
        <v>4812</v>
      </c>
      <c r="C2081" s="7" t="s">
        <v>5162</v>
      </c>
      <c r="D2081" s="7" t="s">
        <v>5163</v>
      </c>
      <c r="E2081" s="8">
        <v>2</v>
      </c>
      <c r="F2081" s="7"/>
      <c r="G2081" s="7"/>
      <c r="H2081" s="9"/>
      <c r="I2081" s="9"/>
      <c r="J2081" s="9"/>
      <c r="K2081" s="9"/>
      <c r="L2081" s="10">
        <v>20787</v>
      </c>
      <c r="M2081" s="9"/>
      <c r="N2081" s="10">
        <v>20787</v>
      </c>
      <c r="O2081" s="9"/>
      <c r="P2081" s="10"/>
      <c r="Q2081" s="10"/>
      <c r="R2081" s="10"/>
      <c r="S2081" s="7" t="s">
        <v>54</v>
      </c>
      <c r="T2081" s="7" t="s">
        <v>4843</v>
      </c>
      <c r="U2081" s="7" t="s">
        <v>221</v>
      </c>
      <c r="V2081" s="7" t="s">
        <v>45</v>
      </c>
      <c r="W2081" s="7" t="s">
        <v>235</v>
      </c>
      <c r="X2081" s="7" t="s">
        <v>5153</v>
      </c>
      <c r="Y2081" s="7" t="s">
        <v>5086</v>
      </c>
      <c r="Z2081" s="7" t="s">
        <v>2138</v>
      </c>
      <c r="AA2081" s="7"/>
      <c r="AB2081" s="7"/>
      <c r="AC2081" s="7" t="s">
        <v>4817</v>
      </c>
      <c r="AD2081" s="7"/>
      <c r="AE2081" s="7"/>
      <c r="AF2081" s="7" t="s">
        <v>113</v>
      </c>
      <c r="AG2081" s="7" t="s">
        <v>366</v>
      </c>
      <c r="AH2081" s="7" t="s">
        <v>4818</v>
      </c>
    </row>
    <row r="2082" spans="1:34" ht="9.75" customHeight="1" x14ac:dyDescent="0.2">
      <c r="A2082" s="7" t="s">
        <v>4811</v>
      </c>
      <c r="B2082" s="7" t="s">
        <v>4812</v>
      </c>
      <c r="C2082" s="7" t="s">
        <v>5164</v>
      </c>
      <c r="D2082" s="7" t="s">
        <v>5165</v>
      </c>
      <c r="E2082" s="8">
        <v>2</v>
      </c>
      <c r="F2082" s="7"/>
      <c r="G2082" s="7"/>
      <c r="H2082" s="9"/>
      <c r="I2082" s="9"/>
      <c r="J2082" s="9"/>
      <c r="K2082" s="9"/>
      <c r="L2082" s="10">
        <v>13288</v>
      </c>
      <c r="M2082" s="9"/>
      <c r="N2082" s="10">
        <v>13288</v>
      </c>
      <c r="O2082" s="9"/>
      <c r="P2082" s="10"/>
      <c r="Q2082" s="10"/>
      <c r="R2082" s="10"/>
      <c r="S2082" s="7" t="s">
        <v>54</v>
      </c>
      <c r="T2082" s="7" t="s">
        <v>4844</v>
      </c>
      <c r="U2082" s="7" t="s">
        <v>221</v>
      </c>
      <c r="V2082" s="7" t="s">
        <v>45</v>
      </c>
      <c r="W2082" s="7" t="s">
        <v>235</v>
      </c>
      <c r="X2082" s="7" t="s">
        <v>5153</v>
      </c>
      <c r="Y2082" s="7" t="s">
        <v>5086</v>
      </c>
      <c r="Z2082" s="7" t="s">
        <v>2146</v>
      </c>
      <c r="AA2082" s="7"/>
      <c r="AB2082" s="7"/>
      <c r="AC2082" s="7" t="s">
        <v>4817</v>
      </c>
      <c r="AD2082" s="7"/>
      <c r="AE2082" s="7"/>
      <c r="AF2082" s="7" t="s">
        <v>113</v>
      </c>
      <c r="AG2082" s="7" t="s">
        <v>366</v>
      </c>
      <c r="AH2082" s="7" t="s">
        <v>4818</v>
      </c>
    </row>
    <row r="2083" spans="1:34" ht="9.75" customHeight="1" x14ac:dyDescent="0.2">
      <c r="A2083" s="7" t="s">
        <v>4811</v>
      </c>
      <c r="B2083" s="7" t="s">
        <v>4812</v>
      </c>
      <c r="C2083" s="7" t="s">
        <v>5166</v>
      </c>
      <c r="D2083" s="7" t="s">
        <v>5167</v>
      </c>
      <c r="E2083" s="8">
        <v>2</v>
      </c>
      <c r="F2083" s="7"/>
      <c r="G2083" s="7"/>
      <c r="H2083" s="9"/>
      <c r="I2083" s="9"/>
      <c r="J2083" s="9"/>
      <c r="K2083" s="9"/>
      <c r="L2083" s="10">
        <v>17623</v>
      </c>
      <c r="M2083" s="9"/>
      <c r="N2083" s="10">
        <v>17623</v>
      </c>
      <c r="O2083" s="9"/>
      <c r="P2083" s="10"/>
      <c r="Q2083" s="10"/>
      <c r="R2083" s="10"/>
      <c r="S2083" s="7" t="s">
        <v>54</v>
      </c>
      <c r="T2083" s="7" t="s">
        <v>4843</v>
      </c>
      <c r="U2083" s="7" t="s">
        <v>221</v>
      </c>
      <c r="V2083" s="7" t="s">
        <v>45</v>
      </c>
      <c r="W2083" s="7" t="s">
        <v>235</v>
      </c>
      <c r="X2083" s="7" t="s">
        <v>5153</v>
      </c>
      <c r="Y2083" s="7" t="s">
        <v>5086</v>
      </c>
      <c r="Z2083" s="7" t="s">
        <v>2146</v>
      </c>
      <c r="AA2083" s="7"/>
      <c r="AB2083" s="7"/>
      <c r="AC2083" s="7" t="s">
        <v>4817</v>
      </c>
      <c r="AD2083" s="7"/>
      <c r="AE2083" s="7"/>
      <c r="AF2083" s="7" t="s">
        <v>113</v>
      </c>
      <c r="AG2083" s="7" t="s">
        <v>366</v>
      </c>
      <c r="AH2083" s="7" t="s">
        <v>4818</v>
      </c>
    </row>
    <row r="2084" spans="1:34" ht="9.75" customHeight="1" x14ac:dyDescent="0.2">
      <c r="A2084" s="7" t="s">
        <v>4811</v>
      </c>
      <c r="B2084" s="7" t="s">
        <v>4812</v>
      </c>
      <c r="C2084" s="7" t="s">
        <v>5168</v>
      </c>
      <c r="D2084" s="7" t="s">
        <v>5169</v>
      </c>
      <c r="E2084" s="8">
        <v>2</v>
      </c>
      <c r="F2084" s="7"/>
      <c r="G2084" s="7"/>
      <c r="H2084" s="9"/>
      <c r="I2084" s="9"/>
      <c r="J2084" s="9"/>
      <c r="K2084" s="9"/>
      <c r="L2084" s="10">
        <v>23768</v>
      </c>
      <c r="M2084" s="9"/>
      <c r="N2084" s="10">
        <v>23768</v>
      </c>
      <c r="O2084" s="9"/>
      <c r="P2084" s="10"/>
      <c r="Q2084" s="10"/>
      <c r="R2084" s="10"/>
      <c r="S2084" s="7" t="s">
        <v>54</v>
      </c>
      <c r="T2084" s="7" t="s">
        <v>4843</v>
      </c>
      <c r="U2084" s="7" t="s">
        <v>221</v>
      </c>
      <c r="V2084" s="7" t="s">
        <v>45</v>
      </c>
      <c r="W2084" s="7" t="s">
        <v>235</v>
      </c>
      <c r="X2084" s="7" t="s">
        <v>5153</v>
      </c>
      <c r="Y2084" s="7" t="s">
        <v>5086</v>
      </c>
      <c r="Z2084" s="7" t="s">
        <v>2146</v>
      </c>
      <c r="AA2084" s="7"/>
      <c r="AB2084" s="7"/>
      <c r="AC2084" s="7" t="s">
        <v>4817</v>
      </c>
      <c r="AD2084" s="7"/>
      <c r="AE2084" s="7"/>
      <c r="AF2084" s="7" t="s">
        <v>113</v>
      </c>
      <c r="AG2084" s="7" t="s">
        <v>366</v>
      </c>
      <c r="AH2084" s="7" t="s">
        <v>4818</v>
      </c>
    </row>
    <row r="2085" spans="1:34" ht="9.75" customHeight="1" x14ac:dyDescent="0.2">
      <c r="A2085" s="7" t="s">
        <v>4811</v>
      </c>
      <c r="B2085" s="7" t="s">
        <v>4812</v>
      </c>
      <c r="C2085" s="7" t="s">
        <v>5170</v>
      </c>
      <c r="D2085" s="7" t="s">
        <v>5171</v>
      </c>
      <c r="E2085" s="8">
        <v>2</v>
      </c>
      <c r="F2085" s="7"/>
      <c r="G2085" s="7"/>
      <c r="H2085" s="9"/>
      <c r="I2085" s="9"/>
      <c r="J2085" s="9"/>
      <c r="K2085" s="9"/>
      <c r="L2085" s="10">
        <v>23768</v>
      </c>
      <c r="M2085" s="9"/>
      <c r="N2085" s="10">
        <v>23768</v>
      </c>
      <c r="O2085" s="9"/>
      <c r="P2085" s="10"/>
      <c r="Q2085" s="10"/>
      <c r="R2085" s="10"/>
      <c r="S2085" s="7" t="s">
        <v>54</v>
      </c>
      <c r="T2085" s="7" t="s">
        <v>4843</v>
      </c>
      <c r="U2085" s="7" t="s">
        <v>221</v>
      </c>
      <c r="V2085" s="7" t="s">
        <v>45</v>
      </c>
      <c r="W2085" s="7" t="s">
        <v>235</v>
      </c>
      <c r="X2085" s="7" t="s">
        <v>5153</v>
      </c>
      <c r="Y2085" s="7" t="s">
        <v>5086</v>
      </c>
      <c r="Z2085" s="7" t="s">
        <v>2146</v>
      </c>
      <c r="AA2085" s="7"/>
      <c r="AB2085" s="7"/>
      <c r="AC2085" s="7" t="s">
        <v>4817</v>
      </c>
      <c r="AD2085" s="7"/>
      <c r="AE2085" s="7"/>
      <c r="AF2085" s="7" t="s">
        <v>113</v>
      </c>
      <c r="AG2085" s="7" t="s">
        <v>366</v>
      </c>
      <c r="AH2085" s="7" t="s">
        <v>4818</v>
      </c>
    </row>
    <row r="2086" spans="1:34" ht="9.75" customHeight="1" x14ac:dyDescent="0.2">
      <c r="A2086" s="7" t="s">
        <v>4811</v>
      </c>
      <c r="B2086" s="7" t="s">
        <v>4812</v>
      </c>
      <c r="C2086" s="7" t="s">
        <v>5172</v>
      </c>
      <c r="D2086" s="7" t="s">
        <v>5173</v>
      </c>
      <c r="E2086" s="8">
        <v>2</v>
      </c>
      <c r="F2086" s="7"/>
      <c r="G2086" s="7"/>
      <c r="H2086" s="9"/>
      <c r="I2086" s="9"/>
      <c r="J2086" s="9"/>
      <c r="K2086" s="9"/>
      <c r="L2086" s="10">
        <v>16965</v>
      </c>
      <c r="M2086" s="9"/>
      <c r="N2086" s="10">
        <v>16965</v>
      </c>
      <c r="O2086" s="9"/>
      <c r="P2086" s="10"/>
      <c r="Q2086" s="10"/>
      <c r="R2086" s="10"/>
      <c r="S2086" s="7" t="s">
        <v>54</v>
      </c>
      <c r="T2086" s="7" t="s">
        <v>4841</v>
      </c>
      <c r="U2086" s="7" t="s">
        <v>221</v>
      </c>
      <c r="V2086" s="7" t="s">
        <v>45</v>
      </c>
      <c r="W2086" s="7" t="s">
        <v>235</v>
      </c>
      <c r="X2086" s="7" t="s">
        <v>5153</v>
      </c>
      <c r="Y2086" s="7" t="s">
        <v>5086</v>
      </c>
      <c r="Z2086" s="7" t="s">
        <v>2146</v>
      </c>
      <c r="AA2086" s="7"/>
      <c r="AB2086" s="7"/>
      <c r="AC2086" s="7" t="s">
        <v>4817</v>
      </c>
      <c r="AD2086" s="7"/>
      <c r="AE2086" s="7"/>
      <c r="AF2086" s="7" t="s">
        <v>113</v>
      </c>
      <c r="AG2086" s="7" t="s">
        <v>366</v>
      </c>
      <c r="AH2086" s="7" t="s">
        <v>4818</v>
      </c>
    </row>
    <row r="2087" spans="1:34" ht="9.75" customHeight="1" x14ac:dyDescent="0.2">
      <c r="A2087" s="7" t="s">
        <v>4811</v>
      </c>
      <c r="B2087" s="7" t="s">
        <v>4812</v>
      </c>
      <c r="C2087" s="7" t="s">
        <v>5174</v>
      </c>
      <c r="D2087" s="7" t="s">
        <v>5175</v>
      </c>
      <c r="E2087" s="8">
        <v>2</v>
      </c>
      <c r="F2087" s="7"/>
      <c r="G2087" s="7"/>
      <c r="H2087" s="9"/>
      <c r="I2087" s="9"/>
      <c r="J2087" s="9"/>
      <c r="K2087" s="9"/>
      <c r="L2087" s="10">
        <v>18523</v>
      </c>
      <c r="M2087" s="9"/>
      <c r="N2087" s="10">
        <v>18523</v>
      </c>
      <c r="O2087" s="9"/>
      <c r="P2087" s="10"/>
      <c r="Q2087" s="10"/>
      <c r="R2087" s="10"/>
      <c r="S2087" s="7" t="s">
        <v>54</v>
      </c>
      <c r="T2087" s="7" t="s">
        <v>4841</v>
      </c>
      <c r="U2087" s="7" t="s">
        <v>221</v>
      </c>
      <c r="V2087" s="7" t="s">
        <v>45</v>
      </c>
      <c r="W2087" s="7" t="s">
        <v>235</v>
      </c>
      <c r="X2087" s="7" t="s">
        <v>5153</v>
      </c>
      <c r="Y2087" s="7" t="s">
        <v>5086</v>
      </c>
      <c r="Z2087" s="7" t="s">
        <v>2146</v>
      </c>
      <c r="AA2087" s="7"/>
      <c r="AB2087" s="7"/>
      <c r="AC2087" s="7" t="s">
        <v>4817</v>
      </c>
      <c r="AD2087" s="7"/>
      <c r="AE2087" s="7"/>
      <c r="AF2087" s="7" t="s">
        <v>113</v>
      </c>
      <c r="AG2087" s="7" t="s">
        <v>366</v>
      </c>
      <c r="AH2087" s="7" t="s">
        <v>4818</v>
      </c>
    </row>
    <row r="2088" spans="1:34" ht="9.75" customHeight="1" x14ac:dyDescent="0.2">
      <c r="A2088" s="7" t="s">
        <v>4811</v>
      </c>
      <c r="B2088" s="7" t="s">
        <v>4812</v>
      </c>
      <c r="C2088" s="7" t="s">
        <v>5176</v>
      </c>
      <c r="D2088" s="7" t="s">
        <v>5177</v>
      </c>
      <c r="E2088" s="8">
        <v>2</v>
      </c>
      <c r="F2088" s="7"/>
      <c r="G2088" s="7"/>
      <c r="H2088" s="9"/>
      <c r="I2088" s="9"/>
      <c r="J2088" s="9"/>
      <c r="K2088" s="9"/>
      <c r="L2088" s="10">
        <v>16965</v>
      </c>
      <c r="M2088" s="9"/>
      <c r="N2088" s="10">
        <v>16965</v>
      </c>
      <c r="O2088" s="9"/>
      <c r="P2088" s="10"/>
      <c r="Q2088" s="10"/>
      <c r="R2088" s="10"/>
      <c r="S2088" s="7" t="s">
        <v>54</v>
      </c>
      <c r="T2088" s="7" t="s">
        <v>4841</v>
      </c>
      <c r="U2088" s="7" t="s">
        <v>221</v>
      </c>
      <c r="V2088" s="7" t="s">
        <v>45</v>
      </c>
      <c r="W2088" s="7" t="s">
        <v>235</v>
      </c>
      <c r="X2088" s="7" t="s">
        <v>5153</v>
      </c>
      <c r="Y2088" s="7" t="s">
        <v>5086</v>
      </c>
      <c r="Z2088" s="7" t="s">
        <v>2146</v>
      </c>
      <c r="AA2088" s="7"/>
      <c r="AB2088" s="7"/>
      <c r="AC2088" s="7" t="s">
        <v>4817</v>
      </c>
      <c r="AD2088" s="7"/>
      <c r="AE2088" s="7"/>
      <c r="AF2088" s="7" t="s">
        <v>113</v>
      </c>
      <c r="AG2088" s="7" t="s">
        <v>366</v>
      </c>
      <c r="AH2088" s="7" t="s">
        <v>4818</v>
      </c>
    </row>
    <row r="2089" spans="1:34" ht="9.75" customHeight="1" x14ac:dyDescent="0.2">
      <c r="A2089" s="7" t="s">
        <v>4811</v>
      </c>
      <c r="B2089" s="7" t="s">
        <v>4812</v>
      </c>
      <c r="C2089" s="7" t="s">
        <v>5178</v>
      </c>
      <c r="D2089" s="7" t="s">
        <v>5179</v>
      </c>
      <c r="E2089" s="8">
        <v>2</v>
      </c>
      <c r="F2089" s="7"/>
      <c r="G2089" s="7"/>
      <c r="H2089" s="9"/>
      <c r="I2089" s="9"/>
      <c r="J2089" s="9"/>
      <c r="K2089" s="9"/>
      <c r="L2089" s="10">
        <v>17623</v>
      </c>
      <c r="M2089" s="9"/>
      <c r="N2089" s="10">
        <v>17623</v>
      </c>
      <c r="O2089" s="9"/>
      <c r="P2089" s="10"/>
      <c r="Q2089" s="10"/>
      <c r="R2089" s="10"/>
      <c r="S2089" s="7" t="s">
        <v>54</v>
      </c>
      <c r="T2089" s="7" t="s">
        <v>4841</v>
      </c>
      <c r="U2089" s="7" t="s">
        <v>221</v>
      </c>
      <c r="V2089" s="7" t="s">
        <v>45</v>
      </c>
      <c r="W2089" s="7" t="s">
        <v>235</v>
      </c>
      <c r="X2089" s="7" t="s">
        <v>5153</v>
      </c>
      <c r="Y2089" s="7" t="s">
        <v>5086</v>
      </c>
      <c r="Z2089" s="7" t="s">
        <v>2146</v>
      </c>
      <c r="AA2089" s="7"/>
      <c r="AB2089" s="7"/>
      <c r="AC2089" s="7" t="s">
        <v>4817</v>
      </c>
      <c r="AD2089" s="7"/>
      <c r="AE2089" s="7"/>
      <c r="AF2089" s="7" t="s">
        <v>113</v>
      </c>
      <c r="AG2089" s="7" t="s">
        <v>366</v>
      </c>
      <c r="AH2089" s="7" t="s">
        <v>4818</v>
      </c>
    </row>
    <row r="2090" spans="1:34" ht="9.75" customHeight="1" x14ac:dyDescent="0.2">
      <c r="A2090" s="7" t="s">
        <v>4811</v>
      </c>
      <c r="B2090" s="7" t="s">
        <v>4812</v>
      </c>
      <c r="C2090" s="7" t="s">
        <v>5180</v>
      </c>
      <c r="D2090" s="7" t="s">
        <v>5181</v>
      </c>
      <c r="E2090" s="8">
        <v>2</v>
      </c>
      <c r="F2090" s="7"/>
      <c r="G2090" s="7"/>
      <c r="H2090" s="9"/>
      <c r="I2090" s="9"/>
      <c r="J2090" s="9"/>
      <c r="K2090" s="9"/>
      <c r="L2090" s="10">
        <v>56514</v>
      </c>
      <c r="M2090" s="9"/>
      <c r="N2090" s="10">
        <v>56514</v>
      </c>
      <c r="O2090" s="9"/>
      <c r="P2090" s="10"/>
      <c r="Q2090" s="10"/>
      <c r="R2090" s="10"/>
      <c r="S2090" s="7" t="s">
        <v>54</v>
      </c>
      <c r="T2090" s="7" t="s">
        <v>4844</v>
      </c>
      <c r="U2090" s="7" t="s">
        <v>221</v>
      </c>
      <c r="V2090" s="7" t="s">
        <v>45</v>
      </c>
      <c r="W2090" s="7" t="s">
        <v>235</v>
      </c>
      <c r="X2090" s="7" t="s">
        <v>236</v>
      </c>
      <c r="Y2090" s="7" t="s">
        <v>5086</v>
      </c>
      <c r="Z2090" s="7" t="s">
        <v>2146</v>
      </c>
      <c r="AA2090" s="7"/>
      <c r="AB2090" s="7"/>
      <c r="AC2090" s="7" t="s">
        <v>4817</v>
      </c>
      <c r="AD2090" s="7"/>
      <c r="AE2090" s="7"/>
      <c r="AF2090" s="7" t="s">
        <v>113</v>
      </c>
      <c r="AG2090" s="7" t="s">
        <v>366</v>
      </c>
      <c r="AH2090" s="7" t="s">
        <v>4818</v>
      </c>
    </row>
    <row r="2091" spans="1:34" ht="9.75" customHeight="1" x14ac:dyDescent="0.2">
      <c r="A2091" s="7" t="s">
        <v>4811</v>
      </c>
      <c r="B2091" s="7" t="s">
        <v>4812</v>
      </c>
      <c r="C2091" s="7" t="s">
        <v>5182</v>
      </c>
      <c r="D2091" s="7" t="s">
        <v>5183</v>
      </c>
      <c r="E2091" s="8">
        <v>2</v>
      </c>
      <c r="F2091" s="7"/>
      <c r="G2091" s="7"/>
      <c r="H2091" s="9"/>
      <c r="I2091" s="9"/>
      <c r="J2091" s="9"/>
      <c r="K2091" s="9"/>
      <c r="L2091" s="10">
        <v>32237</v>
      </c>
      <c r="M2091" s="9"/>
      <c r="N2091" s="10">
        <v>32237</v>
      </c>
      <c r="O2091" s="9"/>
      <c r="P2091" s="10"/>
      <c r="Q2091" s="10"/>
      <c r="R2091" s="10"/>
      <c r="S2091" s="7" t="s">
        <v>54</v>
      </c>
      <c r="T2091" s="7" t="s">
        <v>4841</v>
      </c>
      <c r="U2091" s="7" t="s">
        <v>221</v>
      </c>
      <c r="V2091" s="7" t="s">
        <v>45</v>
      </c>
      <c r="W2091" s="7" t="s">
        <v>235</v>
      </c>
      <c r="X2091" s="7" t="s">
        <v>236</v>
      </c>
      <c r="Y2091" s="7" t="s">
        <v>5086</v>
      </c>
      <c r="Z2091" s="7" t="s">
        <v>2146</v>
      </c>
      <c r="AA2091" s="7"/>
      <c r="AB2091" s="7"/>
      <c r="AC2091" s="7" t="s">
        <v>4817</v>
      </c>
      <c r="AD2091" s="7"/>
      <c r="AE2091" s="7"/>
      <c r="AF2091" s="7" t="s">
        <v>113</v>
      </c>
      <c r="AG2091" s="7" t="s">
        <v>366</v>
      </c>
      <c r="AH2091" s="7" t="s">
        <v>4818</v>
      </c>
    </row>
    <row r="2092" spans="1:34" ht="9.75" customHeight="1" x14ac:dyDescent="0.2">
      <c r="A2092" s="7" t="s">
        <v>4811</v>
      </c>
      <c r="B2092" s="7" t="s">
        <v>4812</v>
      </c>
      <c r="C2092" s="7" t="s">
        <v>5184</v>
      </c>
      <c r="D2092" s="7" t="s">
        <v>5185</v>
      </c>
      <c r="E2092" s="8">
        <v>2</v>
      </c>
      <c r="F2092" s="7"/>
      <c r="G2092" s="7"/>
      <c r="H2092" s="9"/>
      <c r="I2092" s="9"/>
      <c r="J2092" s="9"/>
      <c r="K2092" s="9"/>
      <c r="L2092" s="10">
        <v>32237</v>
      </c>
      <c r="M2092" s="9"/>
      <c r="N2092" s="10">
        <v>32237</v>
      </c>
      <c r="O2092" s="9"/>
      <c r="P2092" s="10"/>
      <c r="Q2092" s="10"/>
      <c r="R2092" s="10"/>
      <c r="S2092" s="7" t="s">
        <v>54</v>
      </c>
      <c r="T2092" s="7" t="s">
        <v>4841</v>
      </c>
      <c r="U2092" s="7" t="s">
        <v>221</v>
      </c>
      <c r="V2092" s="7" t="s">
        <v>45</v>
      </c>
      <c r="W2092" s="7" t="s">
        <v>235</v>
      </c>
      <c r="X2092" s="7" t="s">
        <v>236</v>
      </c>
      <c r="Y2092" s="7" t="s">
        <v>5086</v>
      </c>
      <c r="Z2092" s="7" t="s">
        <v>2146</v>
      </c>
      <c r="AA2092" s="7"/>
      <c r="AB2092" s="7"/>
      <c r="AC2092" s="7" t="s">
        <v>4817</v>
      </c>
      <c r="AD2092" s="7"/>
      <c r="AE2092" s="7"/>
      <c r="AF2092" s="7" t="s">
        <v>113</v>
      </c>
      <c r="AG2092" s="7" t="s">
        <v>366</v>
      </c>
      <c r="AH2092" s="7" t="s">
        <v>4818</v>
      </c>
    </row>
    <row r="2093" spans="1:34" ht="9.75" customHeight="1" x14ac:dyDescent="0.2">
      <c r="A2093" s="7" t="s">
        <v>4811</v>
      </c>
      <c r="B2093" s="7" t="s">
        <v>4812</v>
      </c>
      <c r="C2093" s="7" t="s">
        <v>5186</v>
      </c>
      <c r="D2093" s="7" t="s">
        <v>5187</v>
      </c>
      <c r="E2093" s="8">
        <v>2</v>
      </c>
      <c r="F2093" s="7"/>
      <c r="G2093" s="7"/>
      <c r="H2093" s="9"/>
      <c r="I2093" s="9"/>
      <c r="J2093" s="9"/>
      <c r="K2093" s="9"/>
      <c r="L2093" s="10">
        <v>11755</v>
      </c>
      <c r="M2093" s="9"/>
      <c r="N2093" s="10">
        <v>11755</v>
      </c>
      <c r="O2093" s="9"/>
      <c r="P2093" s="10"/>
      <c r="Q2093" s="10"/>
      <c r="R2093" s="10"/>
      <c r="S2093" s="7" t="s">
        <v>54</v>
      </c>
      <c r="T2093" s="7" t="s">
        <v>4813</v>
      </c>
      <c r="U2093" s="7" t="s">
        <v>221</v>
      </c>
      <c r="V2093" s="7" t="s">
        <v>45</v>
      </c>
      <c r="W2093" s="7" t="s">
        <v>235</v>
      </c>
      <c r="X2093" s="7" t="s">
        <v>236</v>
      </c>
      <c r="Y2093" s="7" t="s">
        <v>5086</v>
      </c>
      <c r="Z2093" s="7" t="s">
        <v>2146</v>
      </c>
      <c r="AA2093" s="7"/>
      <c r="AB2093" s="7"/>
      <c r="AC2093" s="7" t="s">
        <v>4817</v>
      </c>
      <c r="AD2093" s="7"/>
      <c r="AE2093" s="7"/>
      <c r="AF2093" s="7" t="s">
        <v>113</v>
      </c>
      <c r="AG2093" s="7" t="s">
        <v>366</v>
      </c>
      <c r="AH2093" s="7" t="s">
        <v>4818</v>
      </c>
    </row>
    <row r="2094" spans="1:34" ht="9.75" customHeight="1" x14ac:dyDescent="0.2">
      <c r="A2094" s="7" t="s">
        <v>4811</v>
      </c>
      <c r="B2094" s="7" t="s">
        <v>4812</v>
      </c>
      <c r="C2094" s="7" t="s">
        <v>5188</v>
      </c>
      <c r="D2094" s="7" t="s">
        <v>5189</v>
      </c>
      <c r="E2094" s="8">
        <v>2</v>
      </c>
      <c r="F2094" s="7"/>
      <c r="G2094" s="7"/>
      <c r="H2094" s="9"/>
      <c r="I2094" s="9"/>
      <c r="J2094" s="9"/>
      <c r="K2094" s="9"/>
      <c r="L2094" s="10">
        <v>44148</v>
      </c>
      <c r="M2094" s="9"/>
      <c r="N2094" s="10">
        <v>44148</v>
      </c>
      <c r="O2094" s="9"/>
      <c r="P2094" s="10"/>
      <c r="Q2094" s="10"/>
      <c r="R2094" s="10"/>
      <c r="S2094" s="7" t="s">
        <v>54</v>
      </c>
      <c r="T2094" s="7" t="s">
        <v>4841</v>
      </c>
      <c r="U2094" s="7" t="s">
        <v>221</v>
      </c>
      <c r="V2094" s="7" t="s">
        <v>45</v>
      </c>
      <c r="W2094" s="7" t="s">
        <v>235</v>
      </c>
      <c r="X2094" s="7" t="s">
        <v>236</v>
      </c>
      <c r="Y2094" s="7" t="s">
        <v>5086</v>
      </c>
      <c r="Z2094" s="7" t="s">
        <v>2146</v>
      </c>
      <c r="AA2094" s="7"/>
      <c r="AB2094" s="7"/>
      <c r="AC2094" s="7" t="s">
        <v>4817</v>
      </c>
      <c r="AD2094" s="7"/>
      <c r="AE2094" s="7"/>
      <c r="AF2094" s="7" t="s">
        <v>113</v>
      </c>
      <c r="AG2094" s="7" t="s">
        <v>366</v>
      </c>
      <c r="AH2094" s="7" t="s">
        <v>4818</v>
      </c>
    </row>
    <row r="2095" spans="1:34" ht="9.75" customHeight="1" x14ac:dyDescent="0.2">
      <c r="A2095" s="7" t="s">
        <v>4811</v>
      </c>
      <c r="B2095" s="7" t="s">
        <v>4812</v>
      </c>
      <c r="C2095" s="7" t="s">
        <v>5190</v>
      </c>
      <c r="D2095" s="7" t="s">
        <v>5191</v>
      </c>
      <c r="E2095" s="8">
        <v>2</v>
      </c>
      <c r="F2095" s="7"/>
      <c r="G2095" s="7"/>
      <c r="H2095" s="9"/>
      <c r="I2095" s="9"/>
      <c r="J2095" s="9"/>
      <c r="K2095" s="9"/>
      <c r="L2095" s="10">
        <v>32237</v>
      </c>
      <c r="M2095" s="9"/>
      <c r="N2095" s="10">
        <v>32237</v>
      </c>
      <c r="O2095" s="9"/>
      <c r="P2095" s="10"/>
      <c r="Q2095" s="10"/>
      <c r="R2095" s="10"/>
      <c r="S2095" s="7" t="s">
        <v>54</v>
      </c>
      <c r="T2095" s="7" t="s">
        <v>4841</v>
      </c>
      <c r="U2095" s="7" t="s">
        <v>221</v>
      </c>
      <c r="V2095" s="7" t="s">
        <v>45</v>
      </c>
      <c r="W2095" s="7" t="s">
        <v>235</v>
      </c>
      <c r="X2095" s="7" t="s">
        <v>236</v>
      </c>
      <c r="Y2095" s="7" t="s">
        <v>5086</v>
      </c>
      <c r="Z2095" s="7" t="s">
        <v>2154</v>
      </c>
      <c r="AA2095" s="7"/>
      <c r="AB2095" s="7"/>
      <c r="AC2095" s="7" t="s">
        <v>4817</v>
      </c>
      <c r="AD2095" s="7"/>
      <c r="AE2095" s="7"/>
      <c r="AF2095" s="7" t="s">
        <v>113</v>
      </c>
      <c r="AG2095" s="7" t="s">
        <v>366</v>
      </c>
      <c r="AH2095" s="7" t="s">
        <v>4818</v>
      </c>
    </row>
    <row r="2096" spans="1:34" ht="9.75" customHeight="1" x14ac:dyDescent="0.2">
      <c r="A2096" s="7" t="s">
        <v>4811</v>
      </c>
      <c r="B2096" s="7" t="s">
        <v>4812</v>
      </c>
      <c r="C2096" s="7" t="s">
        <v>5192</v>
      </c>
      <c r="D2096" s="7" t="s">
        <v>5193</v>
      </c>
      <c r="E2096" s="8">
        <v>2</v>
      </c>
      <c r="F2096" s="7"/>
      <c r="G2096" s="7"/>
      <c r="H2096" s="9"/>
      <c r="I2096" s="9"/>
      <c r="J2096" s="9"/>
      <c r="K2096" s="9"/>
      <c r="L2096" s="10">
        <v>15946</v>
      </c>
      <c r="M2096" s="9"/>
      <c r="N2096" s="10">
        <v>15946</v>
      </c>
      <c r="O2096" s="9"/>
      <c r="P2096" s="10"/>
      <c r="Q2096" s="10"/>
      <c r="R2096" s="10"/>
      <c r="S2096" s="7" t="s">
        <v>54</v>
      </c>
      <c r="T2096" s="7" t="s">
        <v>4813</v>
      </c>
      <c r="U2096" s="7" t="s">
        <v>221</v>
      </c>
      <c r="V2096" s="7" t="s">
        <v>45</v>
      </c>
      <c r="W2096" s="7" t="s">
        <v>235</v>
      </c>
      <c r="X2096" s="7" t="s">
        <v>236</v>
      </c>
      <c r="Y2096" s="7" t="s">
        <v>5086</v>
      </c>
      <c r="Z2096" s="7" t="s">
        <v>2154</v>
      </c>
      <c r="AA2096" s="7"/>
      <c r="AB2096" s="7"/>
      <c r="AC2096" s="7" t="s">
        <v>4817</v>
      </c>
      <c r="AD2096" s="7"/>
      <c r="AE2096" s="7"/>
      <c r="AF2096" s="7" t="s">
        <v>113</v>
      </c>
      <c r="AG2096" s="7" t="s">
        <v>366</v>
      </c>
      <c r="AH2096" s="7" t="s">
        <v>4818</v>
      </c>
    </row>
    <row r="2097" spans="1:34" ht="9.75" customHeight="1" x14ac:dyDescent="0.2">
      <c r="A2097" s="7" t="s">
        <v>4811</v>
      </c>
      <c r="B2097" s="7" t="s">
        <v>4812</v>
      </c>
      <c r="C2097" s="7" t="s">
        <v>5194</v>
      </c>
      <c r="D2097" s="7" t="s">
        <v>5195</v>
      </c>
      <c r="E2097" s="8">
        <v>2</v>
      </c>
      <c r="F2097" s="7"/>
      <c r="G2097" s="7"/>
      <c r="H2097" s="9"/>
      <c r="I2097" s="9"/>
      <c r="J2097" s="9"/>
      <c r="K2097" s="9"/>
      <c r="L2097" s="10">
        <v>11755</v>
      </c>
      <c r="M2097" s="9"/>
      <c r="N2097" s="10">
        <v>11755</v>
      </c>
      <c r="O2097" s="9"/>
      <c r="P2097" s="10"/>
      <c r="Q2097" s="10"/>
      <c r="R2097" s="10"/>
      <c r="S2097" s="7" t="s">
        <v>54</v>
      </c>
      <c r="T2097" s="7" t="s">
        <v>4813</v>
      </c>
      <c r="U2097" s="7" t="s">
        <v>221</v>
      </c>
      <c r="V2097" s="7" t="s">
        <v>45</v>
      </c>
      <c r="W2097" s="7" t="s">
        <v>235</v>
      </c>
      <c r="X2097" s="7" t="s">
        <v>236</v>
      </c>
      <c r="Y2097" s="7" t="s">
        <v>5086</v>
      </c>
      <c r="Z2097" s="7" t="s">
        <v>2154</v>
      </c>
      <c r="AA2097" s="7"/>
      <c r="AB2097" s="7"/>
      <c r="AC2097" s="7" t="s">
        <v>4817</v>
      </c>
      <c r="AD2097" s="7"/>
      <c r="AE2097" s="7"/>
      <c r="AF2097" s="7" t="s">
        <v>113</v>
      </c>
      <c r="AG2097" s="7" t="s">
        <v>366</v>
      </c>
      <c r="AH2097" s="7" t="s">
        <v>4818</v>
      </c>
    </row>
    <row r="2098" spans="1:34" ht="9.75" customHeight="1" x14ac:dyDescent="0.2">
      <c r="A2098" s="7" t="s">
        <v>4811</v>
      </c>
      <c r="B2098" s="7" t="s">
        <v>4812</v>
      </c>
      <c r="C2098" s="7" t="s">
        <v>5196</v>
      </c>
      <c r="D2098" s="7" t="s">
        <v>5197</v>
      </c>
      <c r="E2098" s="8">
        <v>2</v>
      </c>
      <c r="F2098" s="7"/>
      <c r="G2098" s="7"/>
      <c r="H2098" s="9"/>
      <c r="I2098" s="9"/>
      <c r="J2098" s="9"/>
      <c r="K2098" s="9"/>
      <c r="L2098" s="10">
        <v>28069</v>
      </c>
      <c r="M2098" s="9"/>
      <c r="N2098" s="10">
        <v>28069</v>
      </c>
      <c r="O2098" s="9"/>
      <c r="P2098" s="10"/>
      <c r="Q2098" s="10"/>
      <c r="R2098" s="10"/>
      <c r="S2098" s="7" t="s">
        <v>54</v>
      </c>
      <c r="T2098" s="7" t="s">
        <v>4843</v>
      </c>
      <c r="U2098" s="7" t="s">
        <v>221</v>
      </c>
      <c r="V2098" s="7" t="s">
        <v>45</v>
      </c>
      <c r="W2098" s="7" t="s">
        <v>235</v>
      </c>
      <c r="X2098" s="7" t="s">
        <v>236</v>
      </c>
      <c r="Y2098" s="7" t="s">
        <v>5086</v>
      </c>
      <c r="Z2098" s="7" t="s">
        <v>2154</v>
      </c>
      <c r="AA2098" s="7"/>
      <c r="AB2098" s="7"/>
      <c r="AC2098" s="7" t="s">
        <v>4817</v>
      </c>
      <c r="AD2098" s="7"/>
      <c r="AE2098" s="7"/>
      <c r="AF2098" s="7" t="s">
        <v>113</v>
      </c>
      <c r="AG2098" s="7" t="s">
        <v>366</v>
      </c>
      <c r="AH2098" s="7" t="s">
        <v>4818</v>
      </c>
    </row>
    <row r="2099" spans="1:34" ht="9.75" customHeight="1" x14ac:dyDescent="0.2">
      <c r="A2099" s="7" t="s">
        <v>4811</v>
      </c>
      <c r="B2099" s="7" t="s">
        <v>4812</v>
      </c>
      <c r="C2099" s="7" t="s">
        <v>5198</v>
      </c>
      <c r="D2099" s="7" t="s">
        <v>5199</v>
      </c>
      <c r="E2099" s="8">
        <v>2</v>
      </c>
      <c r="F2099" s="7"/>
      <c r="G2099" s="7"/>
      <c r="H2099" s="9"/>
      <c r="I2099" s="9"/>
      <c r="J2099" s="9"/>
      <c r="K2099" s="9"/>
      <c r="L2099" s="10">
        <v>32237</v>
      </c>
      <c r="M2099" s="9"/>
      <c r="N2099" s="10">
        <v>32237</v>
      </c>
      <c r="O2099" s="9"/>
      <c r="P2099" s="10"/>
      <c r="Q2099" s="10"/>
      <c r="R2099" s="10"/>
      <c r="S2099" s="7" t="s">
        <v>54</v>
      </c>
      <c r="T2099" s="7" t="s">
        <v>4843</v>
      </c>
      <c r="U2099" s="7" t="s">
        <v>221</v>
      </c>
      <c r="V2099" s="7" t="s">
        <v>45</v>
      </c>
      <c r="W2099" s="7" t="s">
        <v>235</v>
      </c>
      <c r="X2099" s="7" t="s">
        <v>236</v>
      </c>
      <c r="Y2099" s="7" t="s">
        <v>5086</v>
      </c>
      <c r="Z2099" s="7" t="s">
        <v>2154</v>
      </c>
      <c r="AA2099" s="7"/>
      <c r="AB2099" s="7"/>
      <c r="AC2099" s="7" t="s">
        <v>4817</v>
      </c>
      <c r="AD2099" s="7"/>
      <c r="AE2099" s="7"/>
      <c r="AF2099" s="7" t="s">
        <v>113</v>
      </c>
      <c r="AG2099" s="7" t="s">
        <v>366</v>
      </c>
      <c r="AH2099" s="7" t="s">
        <v>4818</v>
      </c>
    </row>
    <row r="2100" spans="1:34" ht="9.75" customHeight="1" x14ac:dyDescent="0.2">
      <c r="A2100" s="7" t="s">
        <v>4811</v>
      </c>
      <c r="B2100" s="7" t="s">
        <v>4812</v>
      </c>
      <c r="C2100" s="7" t="s">
        <v>5200</v>
      </c>
      <c r="D2100" s="7" t="s">
        <v>5201</v>
      </c>
      <c r="E2100" s="8">
        <v>2</v>
      </c>
      <c r="F2100" s="7"/>
      <c r="G2100" s="7"/>
      <c r="H2100" s="9"/>
      <c r="I2100" s="9"/>
      <c r="J2100" s="9"/>
      <c r="K2100" s="9"/>
      <c r="L2100" s="10">
        <v>27033</v>
      </c>
      <c r="M2100" s="9"/>
      <c r="N2100" s="10">
        <v>27033</v>
      </c>
      <c r="O2100" s="9"/>
      <c r="P2100" s="10"/>
      <c r="Q2100" s="10"/>
      <c r="R2100" s="10"/>
      <c r="S2100" s="7" t="s">
        <v>54</v>
      </c>
      <c r="T2100" s="7" t="s">
        <v>4841</v>
      </c>
      <c r="U2100" s="7" t="s">
        <v>221</v>
      </c>
      <c r="V2100" s="7" t="s">
        <v>45</v>
      </c>
      <c r="W2100" s="7" t="s">
        <v>235</v>
      </c>
      <c r="X2100" s="7" t="s">
        <v>236</v>
      </c>
      <c r="Y2100" s="7" t="s">
        <v>5086</v>
      </c>
      <c r="Z2100" s="7" t="s">
        <v>2154</v>
      </c>
      <c r="AA2100" s="7"/>
      <c r="AB2100" s="7"/>
      <c r="AC2100" s="7" t="s">
        <v>4817</v>
      </c>
      <c r="AD2100" s="7"/>
      <c r="AE2100" s="7"/>
      <c r="AF2100" s="7" t="s">
        <v>113</v>
      </c>
      <c r="AG2100" s="7" t="s">
        <v>366</v>
      </c>
      <c r="AH2100" s="7" t="s">
        <v>4818</v>
      </c>
    </row>
    <row r="2101" spans="1:34" ht="9.75" customHeight="1" x14ac:dyDescent="0.2">
      <c r="A2101" s="7" t="s">
        <v>4811</v>
      </c>
      <c r="B2101" s="7" t="s">
        <v>4812</v>
      </c>
      <c r="C2101" s="7" t="s">
        <v>5202</v>
      </c>
      <c r="D2101" s="7" t="s">
        <v>5203</v>
      </c>
      <c r="E2101" s="8">
        <v>2</v>
      </c>
      <c r="F2101" s="7"/>
      <c r="G2101" s="7"/>
      <c r="H2101" s="9"/>
      <c r="I2101" s="9"/>
      <c r="J2101" s="9"/>
      <c r="K2101" s="9"/>
      <c r="L2101" s="10">
        <v>27479</v>
      </c>
      <c r="M2101" s="9"/>
      <c r="N2101" s="10">
        <v>27479</v>
      </c>
      <c r="O2101" s="9"/>
      <c r="P2101" s="10"/>
      <c r="Q2101" s="10"/>
      <c r="R2101" s="10"/>
      <c r="S2101" s="7" t="s">
        <v>54</v>
      </c>
      <c r="T2101" s="7" t="s">
        <v>4843</v>
      </c>
      <c r="U2101" s="7" t="s">
        <v>221</v>
      </c>
      <c r="V2101" s="7" t="s">
        <v>45</v>
      </c>
      <c r="W2101" s="7" t="s">
        <v>235</v>
      </c>
      <c r="X2101" s="7" t="s">
        <v>236</v>
      </c>
      <c r="Y2101" s="7" t="s">
        <v>5086</v>
      </c>
      <c r="Z2101" s="7" t="s">
        <v>2154</v>
      </c>
      <c r="AA2101" s="7"/>
      <c r="AB2101" s="7"/>
      <c r="AC2101" s="7" t="s">
        <v>4817</v>
      </c>
      <c r="AD2101" s="7"/>
      <c r="AE2101" s="7"/>
      <c r="AF2101" s="7" t="s">
        <v>113</v>
      </c>
      <c r="AG2101" s="7" t="s">
        <v>366</v>
      </c>
      <c r="AH2101" s="7" t="s">
        <v>4818</v>
      </c>
    </row>
    <row r="2102" spans="1:34" ht="9.75" customHeight="1" x14ac:dyDescent="0.2">
      <c r="A2102" s="7" t="s">
        <v>4811</v>
      </c>
      <c r="B2102" s="7" t="s">
        <v>4812</v>
      </c>
      <c r="C2102" s="7" t="s">
        <v>5204</v>
      </c>
      <c r="D2102" s="7" t="s">
        <v>5205</v>
      </c>
      <c r="E2102" s="8">
        <v>2</v>
      </c>
      <c r="F2102" s="7"/>
      <c r="G2102" s="7"/>
      <c r="H2102" s="9"/>
      <c r="I2102" s="9"/>
      <c r="J2102" s="9"/>
      <c r="K2102" s="9"/>
      <c r="L2102" s="10">
        <v>26128</v>
      </c>
      <c r="M2102" s="9"/>
      <c r="N2102" s="10">
        <v>26128</v>
      </c>
      <c r="O2102" s="9"/>
      <c r="P2102" s="10"/>
      <c r="Q2102" s="10"/>
      <c r="R2102" s="10"/>
      <c r="S2102" s="7" t="s">
        <v>54</v>
      </c>
      <c r="T2102" s="7" t="s">
        <v>4843</v>
      </c>
      <c r="U2102" s="7" t="s">
        <v>221</v>
      </c>
      <c r="V2102" s="7" t="s">
        <v>45</v>
      </c>
      <c r="W2102" s="7" t="s">
        <v>235</v>
      </c>
      <c r="X2102" s="7" t="s">
        <v>236</v>
      </c>
      <c r="Y2102" s="7" t="s">
        <v>5086</v>
      </c>
      <c r="Z2102" s="7" t="s">
        <v>2154</v>
      </c>
      <c r="AA2102" s="7"/>
      <c r="AB2102" s="7"/>
      <c r="AC2102" s="7" t="s">
        <v>4817</v>
      </c>
      <c r="AD2102" s="7"/>
      <c r="AE2102" s="7"/>
      <c r="AF2102" s="7" t="s">
        <v>113</v>
      </c>
      <c r="AG2102" s="7" t="s">
        <v>366</v>
      </c>
      <c r="AH2102" s="7" t="s">
        <v>4818</v>
      </c>
    </row>
    <row r="2103" spans="1:34" ht="9.75" customHeight="1" x14ac:dyDescent="0.2">
      <c r="A2103" s="7" t="s">
        <v>4811</v>
      </c>
      <c r="B2103" s="7" t="s">
        <v>4812</v>
      </c>
      <c r="C2103" s="7" t="s">
        <v>5206</v>
      </c>
      <c r="D2103" s="7" t="s">
        <v>5207</v>
      </c>
      <c r="E2103" s="8">
        <v>2</v>
      </c>
      <c r="F2103" s="7"/>
      <c r="G2103" s="7"/>
      <c r="H2103" s="9"/>
      <c r="I2103" s="9"/>
      <c r="J2103" s="9"/>
      <c r="K2103" s="9"/>
      <c r="L2103" s="10">
        <v>25953</v>
      </c>
      <c r="M2103" s="9"/>
      <c r="N2103" s="10">
        <v>25953</v>
      </c>
      <c r="O2103" s="9"/>
      <c r="P2103" s="10"/>
      <c r="Q2103" s="10"/>
      <c r="R2103" s="10"/>
      <c r="S2103" s="7" t="s">
        <v>54</v>
      </c>
      <c r="T2103" s="7" t="s">
        <v>4843</v>
      </c>
      <c r="U2103" s="7" t="s">
        <v>221</v>
      </c>
      <c r="V2103" s="7" t="s">
        <v>45</v>
      </c>
      <c r="W2103" s="7" t="s">
        <v>235</v>
      </c>
      <c r="X2103" s="7" t="s">
        <v>236</v>
      </c>
      <c r="Y2103" s="7" t="s">
        <v>5086</v>
      </c>
      <c r="Z2103" s="7" t="s">
        <v>2154</v>
      </c>
      <c r="AA2103" s="7"/>
      <c r="AB2103" s="7"/>
      <c r="AC2103" s="7" t="s">
        <v>4817</v>
      </c>
      <c r="AD2103" s="7"/>
      <c r="AE2103" s="7"/>
      <c r="AF2103" s="7" t="s">
        <v>113</v>
      </c>
      <c r="AG2103" s="7" t="s">
        <v>366</v>
      </c>
      <c r="AH2103" s="7" t="s">
        <v>4818</v>
      </c>
    </row>
    <row r="2104" spans="1:34" ht="9.75" customHeight="1" x14ac:dyDescent="0.2">
      <c r="A2104" s="7" t="s">
        <v>4811</v>
      </c>
      <c r="B2104" s="7" t="s">
        <v>4812</v>
      </c>
      <c r="C2104" s="7" t="s">
        <v>5208</v>
      </c>
      <c r="D2104" s="7" t="s">
        <v>5209</v>
      </c>
      <c r="E2104" s="8">
        <v>2</v>
      </c>
      <c r="F2104" s="7"/>
      <c r="G2104" s="7"/>
      <c r="H2104" s="9"/>
      <c r="I2104" s="9"/>
      <c r="J2104" s="9"/>
      <c r="K2104" s="9"/>
      <c r="L2104" s="10">
        <v>21623</v>
      </c>
      <c r="M2104" s="9"/>
      <c r="N2104" s="10">
        <v>21623</v>
      </c>
      <c r="O2104" s="9"/>
      <c r="P2104" s="10"/>
      <c r="Q2104" s="10"/>
      <c r="R2104" s="10"/>
      <c r="S2104" s="7" t="s">
        <v>54</v>
      </c>
      <c r="T2104" s="7" t="s">
        <v>4843</v>
      </c>
      <c r="U2104" s="7" t="s">
        <v>221</v>
      </c>
      <c r="V2104" s="7" t="s">
        <v>45</v>
      </c>
      <c r="W2104" s="7" t="s">
        <v>235</v>
      </c>
      <c r="X2104" s="7" t="s">
        <v>236</v>
      </c>
      <c r="Y2104" s="7" t="s">
        <v>5086</v>
      </c>
      <c r="Z2104" s="7" t="s">
        <v>2154</v>
      </c>
      <c r="AA2104" s="7"/>
      <c r="AB2104" s="7"/>
      <c r="AC2104" s="7" t="s">
        <v>4817</v>
      </c>
      <c r="AD2104" s="7"/>
      <c r="AE2104" s="7"/>
      <c r="AF2104" s="7" t="s">
        <v>113</v>
      </c>
      <c r="AG2104" s="7" t="s">
        <v>366</v>
      </c>
      <c r="AH2104" s="7" t="s">
        <v>4818</v>
      </c>
    </row>
    <row r="2105" spans="1:34" ht="9.75" customHeight="1" x14ac:dyDescent="0.2">
      <c r="A2105" s="7" t="s">
        <v>4811</v>
      </c>
      <c r="B2105" s="7" t="s">
        <v>4812</v>
      </c>
      <c r="C2105" s="7" t="s">
        <v>5210</v>
      </c>
      <c r="D2105" s="7" t="s">
        <v>5211</v>
      </c>
      <c r="E2105" s="8">
        <v>2</v>
      </c>
      <c r="F2105" s="7"/>
      <c r="G2105" s="7"/>
      <c r="H2105" s="9"/>
      <c r="I2105" s="9"/>
      <c r="J2105" s="9"/>
      <c r="K2105" s="9"/>
      <c r="L2105" s="10">
        <v>20259</v>
      </c>
      <c r="M2105" s="9"/>
      <c r="N2105" s="10">
        <v>20259</v>
      </c>
      <c r="O2105" s="9"/>
      <c r="P2105" s="10"/>
      <c r="Q2105" s="10"/>
      <c r="R2105" s="10"/>
      <c r="S2105" s="7" t="s">
        <v>54</v>
      </c>
      <c r="T2105" s="7" t="s">
        <v>4841</v>
      </c>
      <c r="U2105" s="7" t="s">
        <v>221</v>
      </c>
      <c r="V2105" s="7" t="s">
        <v>45</v>
      </c>
      <c r="W2105" s="7" t="s">
        <v>235</v>
      </c>
      <c r="X2105" s="7" t="s">
        <v>236</v>
      </c>
      <c r="Y2105" s="7" t="s">
        <v>5086</v>
      </c>
      <c r="Z2105" s="7" t="s">
        <v>2154</v>
      </c>
      <c r="AA2105" s="7"/>
      <c r="AB2105" s="7"/>
      <c r="AC2105" s="7" t="s">
        <v>4817</v>
      </c>
      <c r="AD2105" s="7"/>
      <c r="AE2105" s="7"/>
      <c r="AF2105" s="7" t="s">
        <v>113</v>
      </c>
      <c r="AG2105" s="7" t="s">
        <v>366</v>
      </c>
      <c r="AH2105" s="7" t="s">
        <v>4818</v>
      </c>
    </row>
    <row r="2106" spans="1:34" ht="9.75" customHeight="1" x14ac:dyDescent="0.2">
      <c r="A2106" s="7" t="s">
        <v>4811</v>
      </c>
      <c r="B2106" s="7" t="s">
        <v>4812</v>
      </c>
      <c r="C2106" s="7" t="s">
        <v>5212</v>
      </c>
      <c r="D2106" s="7" t="s">
        <v>5213</v>
      </c>
      <c r="E2106" s="8">
        <v>2</v>
      </c>
      <c r="F2106" s="7"/>
      <c r="G2106" s="7"/>
      <c r="H2106" s="9"/>
      <c r="I2106" s="9"/>
      <c r="J2106" s="9"/>
      <c r="K2106" s="9"/>
      <c r="L2106" s="10">
        <v>55297</v>
      </c>
      <c r="M2106" s="9"/>
      <c r="N2106" s="10">
        <v>55297</v>
      </c>
      <c r="O2106" s="9"/>
      <c r="P2106" s="10"/>
      <c r="Q2106" s="10"/>
      <c r="R2106" s="10"/>
      <c r="S2106" s="7" t="s">
        <v>54</v>
      </c>
      <c r="T2106" s="7" t="s">
        <v>4844</v>
      </c>
      <c r="U2106" s="7" t="s">
        <v>221</v>
      </c>
      <c r="V2106" s="7" t="s">
        <v>45</v>
      </c>
      <c r="W2106" s="7" t="s">
        <v>235</v>
      </c>
      <c r="X2106" s="7" t="s">
        <v>236</v>
      </c>
      <c r="Y2106" s="7" t="s">
        <v>5086</v>
      </c>
      <c r="Z2106" s="7" t="s">
        <v>2154</v>
      </c>
      <c r="AA2106" s="7"/>
      <c r="AB2106" s="7"/>
      <c r="AC2106" s="7" t="s">
        <v>4817</v>
      </c>
      <c r="AD2106" s="7"/>
      <c r="AE2106" s="7"/>
      <c r="AF2106" s="7" t="s">
        <v>113</v>
      </c>
      <c r="AG2106" s="7" t="s">
        <v>366</v>
      </c>
      <c r="AH2106" s="7" t="s">
        <v>4818</v>
      </c>
    </row>
    <row r="2107" spans="1:34" ht="9.75" customHeight="1" x14ac:dyDescent="0.2">
      <c r="A2107" s="7" t="s">
        <v>4811</v>
      </c>
      <c r="B2107" s="7" t="s">
        <v>4812</v>
      </c>
      <c r="C2107" s="7" t="s">
        <v>5214</v>
      </c>
      <c r="D2107" s="7" t="s">
        <v>5215</v>
      </c>
      <c r="E2107" s="8">
        <v>2</v>
      </c>
      <c r="F2107" s="7"/>
      <c r="G2107" s="7"/>
      <c r="H2107" s="9"/>
      <c r="I2107" s="9"/>
      <c r="J2107" s="9"/>
      <c r="K2107" s="9"/>
      <c r="L2107" s="10">
        <v>55297</v>
      </c>
      <c r="M2107" s="9"/>
      <c r="N2107" s="10">
        <v>55297</v>
      </c>
      <c r="O2107" s="9"/>
      <c r="P2107" s="10"/>
      <c r="Q2107" s="10"/>
      <c r="R2107" s="10"/>
      <c r="S2107" s="7" t="s">
        <v>54</v>
      </c>
      <c r="T2107" s="7" t="s">
        <v>4844</v>
      </c>
      <c r="U2107" s="7" t="s">
        <v>221</v>
      </c>
      <c r="V2107" s="7" t="s">
        <v>45</v>
      </c>
      <c r="W2107" s="7" t="s">
        <v>235</v>
      </c>
      <c r="X2107" s="7" t="s">
        <v>236</v>
      </c>
      <c r="Y2107" s="7" t="s">
        <v>5086</v>
      </c>
      <c r="Z2107" s="7" t="s">
        <v>2154</v>
      </c>
      <c r="AA2107" s="7"/>
      <c r="AB2107" s="7"/>
      <c r="AC2107" s="7" t="s">
        <v>4817</v>
      </c>
      <c r="AD2107" s="7"/>
      <c r="AE2107" s="7"/>
      <c r="AF2107" s="7" t="s">
        <v>113</v>
      </c>
      <c r="AG2107" s="7" t="s">
        <v>366</v>
      </c>
      <c r="AH2107" s="7" t="s">
        <v>4818</v>
      </c>
    </row>
    <row r="2108" spans="1:34" ht="9.75" customHeight="1" x14ac:dyDescent="0.2">
      <c r="A2108" s="7" t="s">
        <v>4811</v>
      </c>
      <c r="B2108" s="7" t="s">
        <v>4812</v>
      </c>
      <c r="C2108" s="7" t="s">
        <v>5216</v>
      </c>
      <c r="D2108" s="7" t="s">
        <v>5217</v>
      </c>
      <c r="E2108" s="8">
        <v>2</v>
      </c>
      <c r="F2108" s="7"/>
      <c r="G2108" s="7"/>
      <c r="H2108" s="9"/>
      <c r="I2108" s="9"/>
      <c r="J2108" s="9"/>
      <c r="K2108" s="9"/>
      <c r="L2108" s="10">
        <v>55297</v>
      </c>
      <c r="M2108" s="9"/>
      <c r="N2108" s="10">
        <v>55297</v>
      </c>
      <c r="O2108" s="9"/>
      <c r="P2108" s="10"/>
      <c r="Q2108" s="10"/>
      <c r="R2108" s="10"/>
      <c r="S2108" s="7" t="s">
        <v>54</v>
      </c>
      <c r="T2108" s="7" t="s">
        <v>4844</v>
      </c>
      <c r="U2108" s="7" t="s">
        <v>221</v>
      </c>
      <c r="V2108" s="7" t="s">
        <v>45</v>
      </c>
      <c r="W2108" s="7" t="s">
        <v>235</v>
      </c>
      <c r="X2108" s="7" t="s">
        <v>236</v>
      </c>
      <c r="Y2108" s="7" t="s">
        <v>5086</v>
      </c>
      <c r="Z2108" s="7" t="s">
        <v>2154</v>
      </c>
      <c r="AA2108" s="7"/>
      <c r="AB2108" s="7"/>
      <c r="AC2108" s="7" t="s">
        <v>4817</v>
      </c>
      <c r="AD2108" s="7"/>
      <c r="AE2108" s="7"/>
      <c r="AF2108" s="7" t="s">
        <v>113</v>
      </c>
      <c r="AG2108" s="7" t="s">
        <v>366</v>
      </c>
      <c r="AH2108" s="7" t="s">
        <v>4818</v>
      </c>
    </row>
    <row r="2109" spans="1:34" ht="9.75" customHeight="1" x14ac:dyDescent="0.2">
      <c r="A2109" s="7" t="s">
        <v>4811</v>
      </c>
      <c r="B2109" s="7" t="s">
        <v>4812</v>
      </c>
      <c r="C2109" s="7" t="s">
        <v>5218</v>
      </c>
      <c r="D2109" s="7" t="s">
        <v>5219</v>
      </c>
      <c r="E2109" s="8">
        <v>2</v>
      </c>
      <c r="F2109" s="7"/>
      <c r="G2109" s="7"/>
      <c r="H2109" s="9"/>
      <c r="I2109" s="9"/>
      <c r="J2109" s="9"/>
      <c r="K2109" s="9"/>
      <c r="L2109" s="10">
        <v>16524</v>
      </c>
      <c r="M2109" s="9"/>
      <c r="N2109" s="10">
        <v>16524</v>
      </c>
      <c r="O2109" s="9"/>
      <c r="P2109" s="10"/>
      <c r="Q2109" s="10"/>
      <c r="R2109" s="10"/>
      <c r="S2109" s="7" t="s">
        <v>54</v>
      </c>
      <c r="T2109" s="7" t="s">
        <v>4843</v>
      </c>
      <c r="U2109" s="7" t="s">
        <v>221</v>
      </c>
      <c r="V2109" s="7" t="s">
        <v>45</v>
      </c>
      <c r="W2109" s="7" t="s">
        <v>235</v>
      </c>
      <c r="X2109" s="7" t="s">
        <v>5220</v>
      </c>
      <c r="Y2109" s="7" t="s">
        <v>5086</v>
      </c>
      <c r="Z2109" s="7" t="s">
        <v>2154</v>
      </c>
      <c r="AA2109" s="7"/>
      <c r="AB2109" s="7"/>
      <c r="AC2109" s="7" t="s">
        <v>4817</v>
      </c>
      <c r="AD2109" s="7"/>
      <c r="AE2109" s="7"/>
      <c r="AF2109" s="7" t="s">
        <v>113</v>
      </c>
      <c r="AG2109" s="7" t="s">
        <v>366</v>
      </c>
      <c r="AH2109" s="7" t="s">
        <v>4818</v>
      </c>
    </row>
    <row r="2110" spans="1:34" ht="9.75" customHeight="1" x14ac:dyDescent="0.2">
      <c r="A2110" s="7" t="s">
        <v>4811</v>
      </c>
      <c r="B2110" s="7" t="s">
        <v>4812</v>
      </c>
      <c r="C2110" s="7" t="s">
        <v>5218</v>
      </c>
      <c r="D2110" s="7" t="s">
        <v>5221</v>
      </c>
      <c r="E2110" s="8">
        <v>2</v>
      </c>
      <c r="F2110" s="7"/>
      <c r="G2110" s="7"/>
      <c r="H2110" s="9"/>
      <c r="I2110" s="9"/>
      <c r="J2110" s="9"/>
      <c r="K2110" s="9"/>
      <c r="L2110" s="10">
        <v>10976</v>
      </c>
      <c r="M2110" s="9"/>
      <c r="N2110" s="10">
        <v>10976</v>
      </c>
      <c r="O2110" s="9"/>
      <c r="P2110" s="10"/>
      <c r="Q2110" s="10"/>
      <c r="R2110" s="10"/>
      <c r="S2110" s="7" t="s">
        <v>54</v>
      </c>
      <c r="T2110" s="7" t="s">
        <v>4844</v>
      </c>
      <c r="U2110" s="7" t="s">
        <v>221</v>
      </c>
      <c r="V2110" s="7" t="s">
        <v>45</v>
      </c>
      <c r="W2110" s="7" t="s">
        <v>235</v>
      </c>
      <c r="X2110" s="7" t="s">
        <v>5220</v>
      </c>
      <c r="Y2110" s="7" t="s">
        <v>5086</v>
      </c>
      <c r="Z2110" s="7" t="s">
        <v>2154</v>
      </c>
      <c r="AA2110" s="7"/>
      <c r="AB2110" s="7"/>
      <c r="AC2110" s="7" t="s">
        <v>4817</v>
      </c>
      <c r="AD2110" s="7"/>
      <c r="AE2110" s="7"/>
      <c r="AF2110" s="7" t="s">
        <v>113</v>
      </c>
      <c r="AG2110" s="7" t="s">
        <v>366</v>
      </c>
      <c r="AH2110" s="7" t="s">
        <v>4818</v>
      </c>
    </row>
    <row r="2111" spans="1:34" ht="9.75" customHeight="1" x14ac:dyDescent="0.2">
      <c r="A2111" s="7" t="s">
        <v>4811</v>
      </c>
      <c r="B2111" s="7" t="s">
        <v>4812</v>
      </c>
      <c r="C2111" s="7" t="s">
        <v>5222</v>
      </c>
      <c r="D2111" s="7" t="s">
        <v>5223</v>
      </c>
      <c r="E2111" s="8">
        <v>2</v>
      </c>
      <c r="F2111" s="7"/>
      <c r="G2111" s="7"/>
      <c r="H2111" s="9"/>
      <c r="I2111" s="9"/>
      <c r="J2111" s="9"/>
      <c r="K2111" s="9"/>
      <c r="L2111" s="10">
        <v>19282</v>
      </c>
      <c r="M2111" s="9"/>
      <c r="N2111" s="10">
        <v>19282</v>
      </c>
      <c r="O2111" s="9"/>
      <c r="P2111" s="10"/>
      <c r="Q2111" s="10"/>
      <c r="R2111" s="10"/>
      <c r="S2111" s="7" t="s">
        <v>54</v>
      </c>
      <c r="T2111" s="7" t="s">
        <v>4844</v>
      </c>
      <c r="U2111" s="7" t="s">
        <v>221</v>
      </c>
      <c r="V2111" s="7" t="s">
        <v>45</v>
      </c>
      <c r="W2111" s="7" t="s">
        <v>235</v>
      </c>
      <c r="X2111" s="7" t="s">
        <v>5220</v>
      </c>
      <c r="Y2111" s="7" t="s">
        <v>5086</v>
      </c>
      <c r="Z2111" s="7" t="s">
        <v>2154</v>
      </c>
      <c r="AA2111" s="7"/>
      <c r="AB2111" s="7"/>
      <c r="AC2111" s="7" t="s">
        <v>4817</v>
      </c>
      <c r="AD2111" s="7"/>
      <c r="AE2111" s="7"/>
      <c r="AF2111" s="7" t="s">
        <v>113</v>
      </c>
      <c r="AG2111" s="7" t="s">
        <v>366</v>
      </c>
      <c r="AH2111" s="7" t="s">
        <v>4818</v>
      </c>
    </row>
    <row r="2112" spans="1:34" ht="9.75" customHeight="1" x14ac:dyDescent="0.2">
      <c r="A2112" s="7" t="s">
        <v>4811</v>
      </c>
      <c r="B2112" s="7" t="s">
        <v>4812</v>
      </c>
      <c r="C2112" s="7" t="s">
        <v>5224</v>
      </c>
      <c r="D2112" s="7" t="s">
        <v>5225</v>
      </c>
      <c r="E2112" s="8">
        <v>2</v>
      </c>
      <c r="F2112" s="7"/>
      <c r="G2112" s="7"/>
      <c r="H2112" s="9"/>
      <c r="I2112" s="9"/>
      <c r="J2112" s="9"/>
      <c r="K2112" s="9"/>
      <c r="L2112" s="10">
        <v>13939</v>
      </c>
      <c r="M2112" s="9"/>
      <c r="N2112" s="10">
        <v>13939</v>
      </c>
      <c r="O2112" s="9"/>
      <c r="P2112" s="10"/>
      <c r="Q2112" s="10"/>
      <c r="R2112" s="10"/>
      <c r="S2112" s="7" t="s">
        <v>54</v>
      </c>
      <c r="T2112" s="7" t="s">
        <v>4841</v>
      </c>
      <c r="U2112" s="7" t="s">
        <v>44</v>
      </c>
      <c r="V2112" s="7" t="s">
        <v>45</v>
      </c>
      <c r="W2112" s="7" t="s">
        <v>264</v>
      </c>
      <c r="X2112" s="7" t="s">
        <v>5226</v>
      </c>
      <c r="Y2112" s="7" t="s">
        <v>5086</v>
      </c>
      <c r="Z2112" s="7" t="s">
        <v>2154</v>
      </c>
      <c r="AA2112" s="7"/>
      <c r="AB2112" s="7"/>
      <c r="AC2112" s="7" t="s">
        <v>4817</v>
      </c>
      <c r="AD2112" s="7"/>
      <c r="AE2112" s="7"/>
      <c r="AF2112" s="7" t="s">
        <v>113</v>
      </c>
      <c r="AG2112" s="7" t="s">
        <v>366</v>
      </c>
      <c r="AH2112" s="7" t="s">
        <v>4818</v>
      </c>
    </row>
    <row r="2113" spans="1:34" ht="9.75" customHeight="1" x14ac:dyDescent="0.2">
      <c r="A2113" s="7" t="s">
        <v>4811</v>
      </c>
      <c r="B2113" s="7" t="s">
        <v>4812</v>
      </c>
      <c r="C2113" s="7" t="s">
        <v>5227</v>
      </c>
      <c r="D2113" s="7" t="s">
        <v>5228</v>
      </c>
      <c r="E2113" s="8">
        <v>2</v>
      </c>
      <c r="F2113" s="7"/>
      <c r="G2113" s="7"/>
      <c r="H2113" s="9"/>
      <c r="I2113" s="9"/>
      <c r="J2113" s="9"/>
      <c r="K2113" s="9"/>
      <c r="L2113" s="10">
        <v>6690</v>
      </c>
      <c r="M2113" s="9"/>
      <c r="N2113" s="10">
        <v>6690</v>
      </c>
      <c r="O2113" s="9"/>
      <c r="P2113" s="10"/>
      <c r="Q2113" s="10"/>
      <c r="R2113" s="10"/>
      <c r="S2113" s="7" t="s">
        <v>54</v>
      </c>
      <c r="T2113" s="7" t="s">
        <v>4843</v>
      </c>
      <c r="U2113" s="7" t="s">
        <v>44</v>
      </c>
      <c r="V2113" s="7" t="s">
        <v>45</v>
      </c>
      <c r="W2113" s="7" t="s">
        <v>264</v>
      </c>
      <c r="X2113" s="7" t="s">
        <v>5226</v>
      </c>
      <c r="Y2113" s="7" t="s">
        <v>5086</v>
      </c>
      <c r="Z2113" s="7" t="s">
        <v>2154</v>
      </c>
      <c r="AA2113" s="7"/>
      <c r="AB2113" s="7"/>
      <c r="AC2113" s="7" t="s">
        <v>4817</v>
      </c>
      <c r="AD2113" s="7"/>
      <c r="AE2113" s="7"/>
      <c r="AF2113" s="7" t="s">
        <v>113</v>
      </c>
      <c r="AG2113" s="7" t="s">
        <v>366</v>
      </c>
      <c r="AH2113" s="7" t="s">
        <v>4818</v>
      </c>
    </row>
    <row r="2114" spans="1:34" ht="9.75" customHeight="1" x14ac:dyDescent="0.2">
      <c r="A2114" s="7" t="s">
        <v>4811</v>
      </c>
      <c r="B2114" s="7" t="s">
        <v>4812</v>
      </c>
      <c r="C2114" s="7" t="s">
        <v>5229</v>
      </c>
      <c r="D2114" s="7" t="s">
        <v>5230</v>
      </c>
      <c r="E2114" s="8">
        <v>2</v>
      </c>
      <c r="F2114" s="7"/>
      <c r="G2114" s="7"/>
      <c r="H2114" s="9"/>
      <c r="I2114" s="9"/>
      <c r="J2114" s="9"/>
      <c r="K2114" s="9"/>
      <c r="L2114" s="10">
        <v>2883</v>
      </c>
      <c r="M2114" s="9"/>
      <c r="N2114" s="10">
        <v>2883</v>
      </c>
      <c r="O2114" s="9"/>
      <c r="P2114" s="10"/>
      <c r="Q2114" s="10"/>
      <c r="R2114" s="10"/>
      <c r="S2114" s="7" t="s">
        <v>54</v>
      </c>
      <c r="T2114" s="7" t="s">
        <v>4841</v>
      </c>
      <c r="U2114" s="7" t="s">
        <v>44</v>
      </c>
      <c r="V2114" s="7" t="s">
        <v>45</v>
      </c>
      <c r="W2114" s="7" t="s">
        <v>264</v>
      </c>
      <c r="X2114" s="7" t="s">
        <v>5231</v>
      </c>
      <c r="Y2114" s="7" t="s">
        <v>5086</v>
      </c>
      <c r="Z2114" s="7" t="s">
        <v>2154</v>
      </c>
      <c r="AA2114" s="7"/>
      <c r="AB2114" s="7"/>
      <c r="AC2114" s="7" t="s">
        <v>4817</v>
      </c>
      <c r="AD2114" s="7"/>
      <c r="AE2114" s="7"/>
      <c r="AF2114" s="7" t="s">
        <v>113</v>
      </c>
      <c r="AG2114" s="7" t="s">
        <v>366</v>
      </c>
      <c r="AH2114" s="7" t="s">
        <v>4818</v>
      </c>
    </row>
    <row r="2115" spans="1:34" ht="9.75" customHeight="1" x14ac:dyDescent="0.2">
      <c r="A2115" s="7" t="s">
        <v>4811</v>
      </c>
      <c r="B2115" s="7" t="s">
        <v>4812</v>
      </c>
      <c r="C2115" s="7" t="s">
        <v>5232</v>
      </c>
      <c r="D2115" s="7" t="s">
        <v>5233</v>
      </c>
      <c r="E2115" s="8">
        <v>2</v>
      </c>
      <c r="F2115" s="7"/>
      <c r="G2115" s="7"/>
      <c r="H2115" s="9"/>
      <c r="I2115" s="9"/>
      <c r="J2115" s="9"/>
      <c r="K2115" s="9"/>
      <c r="L2115" s="10">
        <v>4536</v>
      </c>
      <c r="M2115" s="9"/>
      <c r="N2115" s="10">
        <v>4536</v>
      </c>
      <c r="O2115" s="9"/>
      <c r="P2115" s="10"/>
      <c r="Q2115" s="10"/>
      <c r="R2115" s="10"/>
      <c r="S2115" s="7" t="s">
        <v>54</v>
      </c>
      <c r="T2115" s="7" t="s">
        <v>4844</v>
      </c>
      <c r="U2115" s="7" t="s">
        <v>221</v>
      </c>
      <c r="V2115" s="7" t="s">
        <v>45</v>
      </c>
      <c r="W2115" s="7" t="s">
        <v>264</v>
      </c>
      <c r="X2115" s="7" t="s">
        <v>265</v>
      </c>
      <c r="Y2115" s="7" t="s">
        <v>5086</v>
      </c>
      <c r="Z2115" s="7" t="s">
        <v>2154</v>
      </c>
      <c r="AA2115" s="7"/>
      <c r="AB2115" s="7"/>
      <c r="AC2115" s="7" t="s">
        <v>4817</v>
      </c>
      <c r="AD2115" s="7"/>
      <c r="AE2115" s="7"/>
      <c r="AF2115" s="7" t="s">
        <v>113</v>
      </c>
      <c r="AG2115" s="7" t="s">
        <v>366</v>
      </c>
      <c r="AH2115" s="7" t="s">
        <v>4818</v>
      </c>
    </row>
    <row r="2116" spans="1:34" ht="9.75" customHeight="1" x14ac:dyDescent="0.2">
      <c r="A2116" s="7" t="s">
        <v>4811</v>
      </c>
      <c r="B2116" s="7" t="s">
        <v>4812</v>
      </c>
      <c r="C2116" s="7" t="s">
        <v>5234</v>
      </c>
      <c r="D2116" s="7" t="s">
        <v>5235</v>
      </c>
      <c r="E2116" s="8">
        <v>2</v>
      </c>
      <c r="F2116" s="7"/>
      <c r="G2116" s="7"/>
      <c r="H2116" s="9"/>
      <c r="I2116" s="9"/>
      <c r="J2116" s="9"/>
      <c r="K2116" s="9"/>
      <c r="L2116" s="10">
        <v>182</v>
      </c>
      <c r="M2116" s="9"/>
      <c r="N2116" s="10">
        <v>182</v>
      </c>
      <c r="O2116" s="9"/>
      <c r="P2116" s="10"/>
      <c r="Q2116" s="10"/>
      <c r="R2116" s="10"/>
      <c r="S2116" s="7" t="s">
        <v>54</v>
      </c>
      <c r="T2116" s="7" t="s">
        <v>4844</v>
      </c>
      <c r="U2116" s="7" t="s">
        <v>221</v>
      </c>
      <c r="V2116" s="7" t="s">
        <v>45</v>
      </c>
      <c r="W2116" s="7" t="s">
        <v>264</v>
      </c>
      <c r="X2116" s="7" t="s">
        <v>265</v>
      </c>
      <c r="Y2116" s="7" t="s">
        <v>5086</v>
      </c>
      <c r="Z2116" s="7" t="s">
        <v>2154</v>
      </c>
      <c r="AA2116" s="7"/>
      <c r="AB2116" s="7"/>
      <c r="AC2116" s="7" t="s">
        <v>4817</v>
      </c>
      <c r="AD2116" s="7"/>
      <c r="AE2116" s="7"/>
      <c r="AF2116" s="7" t="s">
        <v>113</v>
      </c>
      <c r="AG2116" s="7" t="s">
        <v>366</v>
      </c>
      <c r="AH2116" s="7" t="s">
        <v>4818</v>
      </c>
    </row>
    <row r="2117" spans="1:34" ht="9.75" customHeight="1" x14ac:dyDescent="0.2">
      <c r="A2117" s="7" t="s">
        <v>4811</v>
      </c>
      <c r="B2117" s="7" t="s">
        <v>4812</v>
      </c>
      <c r="C2117" s="7" t="s">
        <v>5236</v>
      </c>
      <c r="D2117" s="7" t="s">
        <v>5237</v>
      </c>
      <c r="E2117" s="8">
        <v>2</v>
      </c>
      <c r="F2117" s="7"/>
      <c r="G2117" s="7"/>
      <c r="H2117" s="9"/>
      <c r="I2117" s="9"/>
      <c r="J2117" s="9"/>
      <c r="K2117" s="9"/>
      <c r="L2117" s="10">
        <v>2855</v>
      </c>
      <c r="M2117" s="9"/>
      <c r="N2117" s="10">
        <v>2855</v>
      </c>
      <c r="O2117" s="9"/>
      <c r="P2117" s="10"/>
      <c r="Q2117" s="10"/>
      <c r="R2117" s="10"/>
      <c r="S2117" s="7" t="s">
        <v>54</v>
      </c>
      <c r="T2117" s="7" t="s">
        <v>4844</v>
      </c>
      <c r="U2117" s="7" t="s">
        <v>221</v>
      </c>
      <c r="V2117" s="7" t="s">
        <v>45</v>
      </c>
      <c r="W2117" s="7" t="s">
        <v>264</v>
      </c>
      <c r="X2117" s="7" t="s">
        <v>265</v>
      </c>
      <c r="Y2117" s="7" t="s">
        <v>5086</v>
      </c>
      <c r="Z2117" s="7" t="s">
        <v>2154</v>
      </c>
      <c r="AA2117" s="7"/>
      <c r="AB2117" s="7"/>
      <c r="AC2117" s="7" t="s">
        <v>4817</v>
      </c>
      <c r="AD2117" s="7"/>
      <c r="AE2117" s="7"/>
      <c r="AF2117" s="7" t="s">
        <v>113</v>
      </c>
      <c r="AG2117" s="7" t="s">
        <v>366</v>
      </c>
      <c r="AH2117" s="7" t="s">
        <v>4818</v>
      </c>
    </row>
    <row r="2118" spans="1:34" ht="9.75" customHeight="1" x14ac:dyDescent="0.2">
      <c r="A2118" s="7" t="s">
        <v>4811</v>
      </c>
      <c r="B2118" s="7" t="s">
        <v>4812</v>
      </c>
      <c r="C2118" s="7" t="s">
        <v>5238</v>
      </c>
      <c r="D2118" s="7" t="s">
        <v>5239</v>
      </c>
      <c r="E2118" s="8">
        <v>2</v>
      </c>
      <c r="F2118" s="7"/>
      <c r="G2118" s="7"/>
      <c r="H2118" s="9"/>
      <c r="I2118" s="9"/>
      <c r="J2118" s="9"/>
      <c r="K2118" s="9"/>
      <c r="L2118" s="10">
        <v>2389</v>
      </c>
      <c r="M2118" s="9"/>
      <c r="N2118" s="10">
        <v>2389</v>
      </c>
      <c r="O2118" s="9"/>
      <c r="P2118" s="10"/>
      <c r="Q2118" s="10"/>
      <c r="R2118" s="10"/>
      <c r="S2118" s="7" t="s">
        <v>54</v>
      </c>
      <c r="T2118" s="7" t="s">
        <v>4844</v>
      </c>
      <c r="U2118" s="7" t="s">
        <v>221</v>
      </c>
      <c r="V2118" s="7" t="s">
        <v>45</v>
      </c>
      <c r="W2118" s="7" t="s">
        <v>264</v>
      </c>
      <c r="X2118" s="7" t="s">
        <v>265</v>
      </c>
      <c r="Y2118" s="7" t="s">
        <v>5086</v>
      </c>
      <c r="Z2118" s="7" t="s">
        <v>106</v>
      </c>
      <c r="AA2118" s="7"/>
      <c r="AB2118" s="7"/>
      <c r="AC2118" s="7" t="s">
        <v>4817</v>
      </c>
      <c r="AD2118" s="7"/>
      <c r="AE2118" s="7"/>
      <c r="AF2118" s="7" t="s">
        <v>113</v>
      </c>
      <c r="AG2118" s="7" t="s">
        <v>366</v>
      </c>
      <c r="AH2118" s="7" t="s">
        <v>4818</v>
      </c>
    </row>
    <row r="2119" spans="1:34" ht="9.75" customHeight="1" x14ac:dyDescent="0.2">
      <c r="A2119" s="7" t="s">
        <v>4811</v>
      </c>
      <c r="B2119" s="7" t="s">
        <v>4812</v>
      </c>
      <c r="C2119" s="7" t="s">
        <v>5240</v>
      </c>
      <c r="D2119" s="7" t="s">
        <v>5241</v>
      </c>
      <c r="E2119" s="8">
        <v>2</v>
      </c>
      <c r="F2119" s="7"/>
      <c r="G2119" s="7"/>
      <c r="H2119" s="9"/>
      <c r="I2119" s="9"/>
      <c r="J2119" s="9"/>
      <c r="K2119" s="9"/>
      <c r="L2119" s="10">
        <v>5537</v>
      </c>
      <c r="M2119" s="9"/>
      <c r="N2119" s="10">
        <v>5537</v>
      </c>
      <c r="O2119" s="9"/>
      <c r="P2119" s="10"/>
      <c r="Q2119" s="10"/>
      <c r="R2119" s="10"/>
      <c r="S2119" s="7" t="s">
        <v>54</v>
      </c>
      <c r="T2119" s="7" t="s">
        <v>4843</v>
      </c>
      <c r="U2119" s="7" t="s">
        <v>221</v>
      </c>
      <c r="V2119" s="7" t="s">
        <v>45</v>
      </c>
      <c r="W2119" s="7" t="s">
        <v>211</v>
      </c>
      <c r="X2119" s="7" t="s">
        <v>229</v>
      </c>
      <c r="Y2119" s="7" t="s">
        <v>5086</v>
      </c>
      <c r="Z2119" s="7" t="s">
        <v>106</v>
      </c>
      <c r="AA2119" s="7"/>
      <c r="AB2119" s="7"/>
      <c r="AC2119" s="7" t="s">
        <v>4817</v>
      </c>
      <c r="AD2119" s="7"/>
      <c r="AE2119" s="7"/>
      <c r="AF2119" s="7" t="s">
        <v>113</v>
      </c>
      <c r="AG2119" s="7" t="s">
        <v>366</v>
      </c>
      <c r="AH2119" s="7" t="s">
        <v>4818</v>
      </c>
    </row>
    <row r="2120" spans="1:34" ht="9.75" customHeight="1" x14ac:dyDescent="0.2">
      <c r="A2120" s="7" t="s">
        <v>4811</v>
      </c>
      <c r="B2120" s="7" t="s">
        <v>4812</v>
      </c>
      <c r="C2120" s="7" t="s">
        <v>5242</v>
      </c>
      <c r="D2120" s="7" t="s">
        <v>5243</v>
      </c>
      <c r="E2120" s="8">
        <v>2</v>
      </c>
      <c r="F2120" s="7"/>
      <c r="G2120" s="7"/>
      <c r="H2120" s="9"/>
      <c r="I2120" s="9"/>
      <c r="J2120" s="9"/>
      <c r="K2120" s="9"/>
      <c r="L2120" s="10">
        <v>35848</v>
      </c>
      <c r="M2120" s="9"/>
      <c r="N2120" s="10">
        <v>35848</v>
      </c>
      <c r="O2120" s="9"/>
      <c r="P2120" s="10"/>
      <c r="Q2120" s="10"/>
      <c r="R2120" s="10"/>
      <c r="S2120" s="7" t="s">
        <v>54</v>
      </c>
      <c r="T2120" s="7" t="s">
        <v>4844</v>
      </c>
      <c r="U2120" s="7" t="s">
        <v>221</v>
      </c>
      <c r="V2120" s="7" t="s">
        <v>45</v>
      </c>
      <c r="W2120" s="7" t="s">
        <v>211</v>
      </c>
      <c r="X2120" s="7" t="s">
        <v>229</v>
      </c>
      <c r="Y2120" s="7" t="s">
        <v>5086</v>
      </c>
      <c r="Z2120" s="7" t="s">
        <v>106</v>
      </c>
      <c r="AA2120" s="7"/>
      <c r="AB2120" s="7"/>
      <c r="AC2120" s="7" t="s">
        <v>4817</v>
      </c>
      <c r="AD2120" s="7"/>
      <c r="AE2120" s="7"/>
      <c r="AF2120" s="7" t="s">
        <v>113</v>
      </c>
      <c r="AG2120" s="7" t="s">
        <v>366</v>
      </c>
      <c r="AH2120" s="7" t="s">
        <v>4818</v>
      </c>
    </row>
    <row r="2121" spans="1:34" ht="9.75" customHeight="1" x14ac:dyDescent="0.2">
      <c r="A2121" s="7" t="s">
        <v>4811</v>
      </c>
      <c r="B2121" s="7" t="s">
        <v>4812</v>
      </c>
      <c r="C2121" s="7" t="s">
        <v>5244</v>
      </c>
      <c r="D2121" s="7" t="s">
        <v>5245</v>
      </c>
      <c r="E2121" s="8">
        <v>2</v>
      </c>
      <c r="F2121" s="7"/>
      <c r="G2121" s="7"/>
      <c r="H2121" s="9"/>
      <c r="I2121" s="9"/>
      <c r="J2121" s="9"/>
      <c r="K2121" s="9"/>
      <c r="L2121" s="10">
        <v>24297</v>
      </c>
      <c r="M2121" s="9"/>
      <c r="N2121" s="10">
        <v>24297</v>
      </c>
      <c r="O2121" s="9"/>
      <c r="P2121" s="10"/>
      <c r="Q2121" s="10"/>
      <c r="R2121" s="10"/>
      <c r="S2121" s="7" t="s">
        <v>54</v>
      </c>
      <c r="T2121" s="7" t="s">
        <v>4844</v>
      </c>
      <c r="U2121" s="7" t="s">
        <v>221</v>
      </c>
      <c r="V2121" s="7" t="s">
        <v>45</v>
      </c>
      <c r="W2121" s="7" t="s">
        <v>211</v>
      </c>
      <c r="X2121" s="7" t="s">
        <v>229</v>
      </c>
      <c r="Y2121" s="7" t="s">
        <v>5086</v>
      </c>
      <c r="Z2121" s="7" t="s">
        <v>106</v>
      </c>
      <c r="AA2121" s="7"/>
      <c r="AB2121" s="7"/>
      <c r="AC2121" s="7" t="s">
        <v>4817</v>
      </c>
      <c r="AD2121" s="7"/>
      <c r="AE2121" s="7"/>
      <c r="AF2121" s="7" t="s">
        <v>113</v>
      </c>
      <c r="AG2121" s="7" t="s">
        <v>366</v>
      </c>
      <c r="AH2121" s="7" t="s">
        <v>4818</v>
      </c>
    </row>
    <row r="2122" spans="1:34" ht="9.75" customHeight="1" x14ac:dyDescent="0.2">
      <c r="A2122" s="7" t="s">
        <v>4811</v>
      </c>
      <c r="B2122" s="7" t="s">
        <v>4812</v>
      </c>
      <c r="C2122" s="7" t="s">
        <v>5246</v>
      </c>
      <c r="D2122" s="7" t="s">
        <v>5247</v>
      </c>
      <c r="E2122" s="8">
        <v>2</v>
      </c>
      <c r="F2122" s="7"/>
      <c r="G2122" s="7"/>
      <c r="H2122" s="9"/>
      <c r="I2122" s="9"/>
      <c r="J2122" s="9"/>
      <c r="K2122" s="9"/>
      <c r="L2122" s="10">
        <v>14949</v>
      </c>
      <c r="M2122" s="9"/>
      <c r="N2122" s="10">
        <v>14949</v>
      </c>
      <c r="O2122" s="9"/>
      <c r="P2122" s="10"/>
      <c r="Q2122" s="10"/>
      <c r="R2122" s="10"/>
      <c r="S2122" s="7" t="s">
        <v>54</v>
      </c>
      <c r="T2122" s="7" t="s">
        <v>4844</v>
      </c>
      <c r="U2122" s="7" t="s">
        <v>221</v>
      </c>
      <c r="V2122" s="7" t="s">
        <v>45</v>
      </c>
      <c r="W2122" s="7" t="s">
        <v>211</v>
      </c>
      <c r="X2122" s="7" t="s">
        <v>229</v>
      </c>
      <c r="Y2122" s="7" t="s">
        <v>5086</v>
      </c>
      <c r="Z2122" s="7" t="s">
        <v>106</v>
      </c>
      <c r="AA2122" s="7"/>
      <c r="AB2122" s="7"/>
      <c r="AC2122" s="7" t="s">
        <v>4817</v>
      </c>
      <c r="AD2122" s="7"/>
      <c r="AE2122" s="7"/>
      <c r="AF2122" s="7" t="s">
        <v>113</v>
      </c>
      <c r="AG2122" s="7" t="s">
        <v>366</v>
      </c>
      <c r="AH2122" s="7" t="s">
        <v>4818</v>
      </c>
    </row>
    <row r="2123" spans="1:34" ht="9.75" customHeight="1" x14ac:dyDescent="0.2">
      <c r="A2123" s="7" t="s">
        <v>4811</v>
      </c>
      <c r="B2123" s="7" t="s">
        <v>4812</v>
      </c>
      <c r="C2123" s="7" t="s">
        <v>5248</v>
      </c>
      <c r="D2123" s="7" t="s">
        <v>5249</v>
      </c>
      <c r="E2123" s="8">
        <v>2</v>
      </c>
      <c r="F2123" s="7"/>
      <c r="G2123" s="7"/>
      <c r="H2123" s="9"/>
      <c r="I2123" s="9"/>
      <c r="J2123" s="9"/>
      <c r="K2123" s="9"/>
      <c r="L2123" s="10">
        <v>13875</v>
      </c>
      <c r="M2123" s="9"/>
      <c r="N2123" s="10">
        <v>13875</v>
      </c>
      <c r="O2123" s="9"/>
      <c r="P2123" s="10"/>
      <c r="Q2123" s="10"/>
      <c r="R2123" s="10"/>
      <c r="S2123" s="7" t="s">
        <v>54</v>
      </c>
      <c r="T2123" s="7" t="s">
        <v>4844</v>
      </c>
      <c r="U2123" s="7" t="s">
        <v>221</v>
      </c>
      <c r="V2123" s="7" t="s">
        <v>45</v>
      </c>
      <c r="W2123" s="7" t="s">
        <v>211</v>
      </c>
      <c r="X2123" s="7" t="s">
        <v>222</v>
      </c>
      <c r="Y2123" s="7" t="s">
        <v>5086</v>
      </c>
      <c r="Z2123" s="7" t="s">
        <v>106</v>
      </c>
      <c r="AA2123" s="7"/>
      <c r="AB2123" s="7"/>
      <c r="AC2123" s="7" t="s">
        <v>4817</v>
      </c>
      <c r="AD2123" s="7"/>
      <c r="AE2123" s="7"/>
      <c r="AF2123" s="7" t="s">
        <v>113</v>
      </c>
      <c r="AG2123" s="7" t="s">
        <v>366</v>
      </c>
      <c r="AH2123" s="7" t="s">
        <v>4818</v>
      </c>
    </row>
    <row r="2124" spans="1:34" ht="9.75" customHeight="1" x14ac:dyDescent="0.2">
      <c r="A2124" s="7" t="s">
        <v>4811</v>
      </c>
      <c r="B2124" s="7" t="s">
        <v>4812</v>
      </c>
      <c r="C2124" s="7" t="s">
        <v>5250</v>
      </c>
      <c r="D2124" s="7" t="s">
        <v>5251</v>
      </c>
      <c r="E2124" s="8">
        <v>2</v>
      </c>
      <c r="F2124" s="7"/>
      <c r="G2124" s="7"/>
      <c r="H2124" s="9"/>
      <c r="I2124" s="9"/>
      <c r="J2124" s="9"/>
      <c r="K2124" s="9"/>
      <c r="L2124" s="10">
        <v>10075</v>
      </c>
      <c r="M2124" s="9"/>
      <c r="N2124" s="10">
        <v>10075</v>
      </c>
      <c r="O2124" s="9"/>
      <c r="P2124" s="10"/>
      <c r="Q2124" s="10"/>
      <c r="R2124" s="10"/>
      <c r="S2124" s="7" t="s">
        <v>54</v>
      </c>
      <c r="T2124" s="7" t="s">
        <v>4813</v>
      </c>
      <c r="U2124" s="7" t="s">
        <v>221</v>
      </c>
      <c r="V2124" s="7" t="s">
        <v>45</v>
      </c>
      <c r="W2124" s="7" t="s">
        <v>211</v>
      </c>
      <c r="X2124" s="7" t="s">
        <v>222</v>
      </c>
      <c r="Y2124" s="7" t="s">
        <v>5086</v>
      </c>
      <c r="Z2124" s="7" t="s">
        <v>106</v>
      </c>
      <c r="AA2124" s="7"/>
      <c r="AB2124" s="7"/>
      <c r="AC2124" s="7" t="s">
        <v>4817</v>
      </c>
      <c r="AD2124" s="7"/>
      <c r="AE2124" s="7"/>
      <c r="AF2124" s="7" t="s">
        <v>113</v>
      </c>
      <c r="AG2124" s="7" t="s">
        <v>366</v>
      </c>
      <c r="AH2124" s="7" t="s">
        <v>4818</v>
      </c>
    </row>
    <row r="2125" spans="1:34" ht="9.75" customHeight="1" x14ac:dyDescent="0.2">
      <c r="A2125" s="7" t="s">
        <v>4811</v>
      </c>
      <c r="B2125" s="7" t="s">
        <v>4812</v>
      </c>
      <c r="C2125" s="7" t="s">
        <v>5039</v>
      </c>
      <c r="D2125" s="7" t="s">
        <v>5252</v>
      </c>
      <c r="E2125" s="8">
        <v>2</v>
      </c>
      <c r="F2125" s="7"/>
      <c r="G2125" s="7"/>
      <c r="H2125" s="9"/>
      <c r="I2125" s="9"/>
      <c r="J2125" s="9"/>
      <c r="K2125" s="9"/>
      <c r="L2125" s="10">
        <v>48643</v>
      </c>
      <c r="M2125" s="9"/>
      <c r="N2125" s="10">
        <v>48643</v>
      </c>
      <c r="O2125" s="9"/>
      <c r="P2125" s="10"/>
      <c r="Q2125" s="10"/>
      <c r="R2125" s="10"/>
      <c r="S2125" s="7" t="s">
        <v>5253</v>
      </c>
      <c r="T2125" s="7"/>
      <c r="U2125" s="7" t="s">
        <v>44</v>
      </c>
      <c r="V2125" s="7" t="s">
        <v>45</v>
      </c>
      <c r="W2125" s="7" t="s">
        <v>171</v>
      </c>
      <c r="X2125" s="7" t="s">
        <v>5021</v>
      </c>
      <c r="Y2125" s="7" t="s">
        <v>5254</v>
      </c>
      <c r="Z2125" s="7" t="s">
        <v>5255</v>
      </c>
      <c r="AA2125" s="7"/>
      <c r="AB2125" s="7"/>
      <c r="AC2125" s="7" t="s">
        <v>4817</v>
      </c>
      <c r="AD2125" s="7"/>
      <c r="AE2125" s="7"/>
      <c r="AF2125" s="7" t="s">
        <v>113</v>
      </c>
      <c r="AG2125" s="7" t="s">
        <v>366</v>
      </c>
      <c r="AH2125" s="7" t="s">
        <v>4818</v>
      </c>
    </row>
    <row r="2126" spans="1:34" ht="9.75" customHeight="1" x14ac:dyDescent="0.2">
      <c r="A2126" s="7" t="s">
        <v>4811</v>
      </c>
      <c r="B2126" s="7" t="s">
        <v>4812</v>
      </c>
      <c r="C2126" s="7" t="s">
        <v>5053</v>
      </c>
      <c r="D2126" s="7" t="s">
        <v>5256</v>
      </c>
      <c r="E2126" s="8">
        <v>2</v>
      </c>
      <c r="F2126" s="7"/>
      <c r="G2126" s="7"/>
      <c r="H2126" s="9"/>
      <c r="I2126" s="9"/>
      <c r="J2126" s="9"/>
      <c r="K2126" s="9"/>
      <c r="L2126" s="10">
        <v>17130</v>
      </c>
      <c r="M2126" s="9"/>
      <c r="N2126" s="10">
        <v>17130</v>
      </c>
      <c r="O2126" s="9"/>
      <c r="P2126" s="10"/>
      <c r="Q2126" s="10"/>
      <c r="R2126" s="10"/>
      <c r="S2126" s="7" t="s">
        <v>5253</v>
      </c>
      <c r="T2126" s="7"/>
      <c r="U2126" s="7" t="s">
        <v>44</v>
      </c>
      <c r="V2126" s="7" t="s">
        <v>45</v>
      </c>
      <c r="W2126" s="7" t="s">
        <v>171</v>
      </c>
      <c r="X2126" s="7" t="s">
        <v>5027</v>
      </c>
      <c r="Y2126" s="7" t="s">
        <v>5254</v>
      </c>
      <c r="Z2126" s="7" t="s">
        <v>5255</v>
      </c>
      <c r="AA2126" s="7"/>
      <c r="AB2126" s="7"/>
      <c r="AC2126" s="7" t="s">
        <v>4817</v>
      </c>
      <c r="AD2126" s="7"/>
      <c r="AE2126" s="7"/>
      <c r="AF2126" s="7" t="s">
        <v>113</v>
      </c>
      <c r="AG2126" s="7" t="s">
        <v>366</v>
      </c>
      <c r="AH2126" s="7" t="s">
        <v>4818</v>
      </c>
    </row>
    <row r="2127" spans="1:34" ht="9.75" customHeight="1" x14ac:dyDescent="0.2">
      <c r="A2127" s="7" t="s">
        <v>4811</v>
      </c>
      <c r="B2127" s="7" t="s">
        <v>4812</v>
      </c>
      <c r="C2127" s="7" t="s">
        <v>5037</v>
      </c>
      <c r="D2127" s="7" t="s">
        <v>5257</v>
      </c>
      <c r="E2127" s="8">
        <v>2</v>
      </c>
      <c r="F2127" s="7"/>
      <c r="G2127" s="7"/>
      <c r="H2127" s="9"/>
      <c r="I2127" s="9"/>
      <c r="J2127" s="9"/>
      <c r="K2127" s="9"/>
      <c r="L2127" s="10">
        <v>12514</v>
      </c>
      <c r="M2127" s="9"/>
      <c r="N2127" s="10">
        <v>12514</v>
      </c>
      <c r="O2127" s="9"/>
      <c r="P2127" s="10"/>
      <c r="Q2127" s="10"/>
      <c r="R2127" s="10"/>
      <c r="S2127" s="7" t="s">
        <v>5253</v>
      </c>
      <c r="T2127" s="7"/>
      <c r="U2127" s="7" t="s">
        <v>44</v>
      </c>
      <c r="V2127" s="7" t="s">
        <v>45</v>
      </c>
      <c r="W2127" s="7" t="s">
        <v>171</v>
      </c>
      <c r="X2127" s="7" t="s">
        <v>194</v>
      </c>
      <c r="Y2127" s="7" t="s">
        <v>5254</v>
      </c>
      <c r="Z2127" s="7" t="s">
        <v>5255</v>
      </c>
      <c r="AA2127" s="7"/>
      <c r="AB2127" s="7"/>
      <c r="AC2127" s="7" t="s">
        <v>4817</v>
      </c>
      <c r="AD2127" s="7"/>
      <c r="AE2127" s="7"/>
      <c r="AF2127" s="7" t="s">
        <v>113</v>
      </c>
      <c r="AG2127" s="7" t="s">
        <v>366</v>
      </c>
      <c r="AH2127" s="7" t="s">
        <v>4818</v>
      </c>
    </row>
    <row r="2128" spans="1:34" ht="9.75" customHeight="1" x14ac:dyDescent="0.2">
      <c r="A2128" s="7" t="s">
        <v>4811</v>
      </c>
      <c r="B2128" s="7" t="s">
        <v>4812</v>
      </c>
      <c r="C2128" s="7" t="s">
        <v>5258</v>
      </c>
      <c r="D2128" s="7" t="s">
        <v>5259</v>
      </c>
      <c r="E2128" s="8">
        <v>2</v>
      </c>
      <c r="F2128" s="7"/>
      <c r="G2128" s="7"/>
      <c r="H2128" s="9"/>
      <c r="I2128" s="9"/>
      <c r="J2128" s="9"/>
      <c r="K2128" s="9"/>
      <c r="L2128" s="10">
        <v>9374</v>
      </c>
      <c r="M2128" s="9"/>
      <c r="N2128" s="10">
        <v>9374</v>
      </c>
      <c r="O2128" s="9"/>
      <c r="P2128" s="10"/>
      <c r="Q2128" s="10"/>
      <c r="R2128" s="10"/>
      <c r="S2128" s="7" t="s">
        <v>5253</v>
      </c>
      <c r="T2128" s="7"/>
      <c r="U2128" s="7" t="s">
        <v>44</v>
      </c>
      <c r="V2128" s="7" t="s">
        <v>45</v>
      </c>
      <c r="W2128" s="7" t="s">
        <v>171</v>
      </c>
      <c r="X2128" s="7" t="s">
        <v>5021</v>
      </c>
      <c r="Y2128" s="7" t="s">
        <v>5254</v>
      </c>
      <c r="Z2128" s="7" t="s">
        <v>5255</v>
      </c>
      <c r="AA2128" s="7"/>
      <c r="AB2128" s="7"/>
      <c r="AC2128" s="7" t="s">
        <v>4817</v>
      </c>
      <c r="AD2128" s="7"/>
      <c r="AE2128" s="7"/>
      <c r="AF2128" s="7" t="s">
        <v>113</v>
      </c>
      <c r="AG2128" s="7" t="s">
        <v>366</v>
      </c>
      <c r="AH2128" s="7" t="s">
        <v>4818</v>
      </c>
    </row>
    <row r="2129" spans="1:34" ht="9.75" customHeight="1" x14ac:dyDescent="0.2">
      <c r="A2129" s="7" t="s">
        <v>4811</v>
      </c>
      <c r="B2129" s="7" t="s">
        <v>4812</v>
      </c>
      <c r="C2129" s="7" t="s">
        <v>5260</v>
      </c>
      <c r="D2129" s="7" t="s">
        <v>5261</v>
      </c>
      <c r="E2129" s="8">
        <v>2</v>
      </c>
      <c r="F2129" s="7"/>
      <c r="G2129" s="7"/>
      <c r="H2129" s="9"/>
      <c r="I2129" s="9"/>
      <c r="J2129" s="9"/>
      <c r="K2129" s="9"/>
      <c r="L2129" s="10">
        <v>8279</v>
      </c>
      <c r="M2129" s="9"/>
      <c r="N2129" s="10">
        <v>8279</v>
      </c>
      <c r="O2129" s="9"/>
      <c r="P2129" s="10"/>
      <c r="Q2129" s="10"/>
      <c r="R2129" s="10"/>
      <c r="S2129" s="7" t="s">
        <v>5253</v>
      </c>
      <c r="T2129" s="7"/>
      <c r="U2129" s="7" t="s">
        <v>44</v>
      </c>
      <c r="V2129" s="7" t="s">
        <v>45</v>
      </c>
      <c r="W2129" s="7" t="s">
        <v>130</v>
      </c>
      <c r="X2129" s="7" t="s">
        <v>131</v>
      </c>
      <c r="Y2129" s="7" t="s">
        <v>5254</v>
      </c>
      <c r="Z2129" s="7" t="s">
        <v>5255</v>
      </c>
      <c r="AA2129" s="7"/>
      <c r="AB2129" s="7"/>
      <c r="AC2129" s="7" t="s">
        <v>4817</v>
      </c>
      <c r="AD2129" s="7"/>
      <c r="AE2129" s="7"/>
      <c r="AF2129" s="7" t="s">
        <v>113</v>
      </c>
      <c r="AG2129" s="7" t="s">
        <v>366</v>
      </c>
      <c r="AH2129" s="7" t="s">
        <v>4818</v>
      </c>
    </row>
    <row r="2130" spans="1:34" ht="9.75" customHeight="1" x14ac:dyDescent="0.2">
      <c r="A2130" s="7" t="s">
        <v>4811</v>
      </c>
      <c r="B2130" s="7" t="s">
        <v>4812</v>
      </c>
      <c r="C2130" s="7" t="s">
        <v>5262</v>
      </c>
      <c r="D2130" s="7" t="s">
        <v>5263</v>
      </c>
      <c r="E2130" s="8">
        <v>2</v>
      </c>
      <c r="F2130" s="7"/>
      <c r="G2130" s="7"/>
      <c r="H2130" s="9"/>
      <c r="I2130" s="9"/>
      <c r="J2130" s="9"/>
      <c r="K2130" s="9"/>
      <c r="L2130" s="10">
        <v>8474</v>
      </c>
      <c r="M2130" s="9"/>
      <c r="N2130" s="10">
        <v>8474</v>
      </c>
      <c r="O2130" s="9"/>
      <c r="P2130" s="10"/>
      <c r="Q2130" s="10"/>
      <c r="R2130" s="10"/>
      <c r="S2130" s="7" t="s">
        <v>5253</v>
      </c>
      <c r="T2130" s="7"/>
      <c r="U2130" s="7" t="s">
        <v>44</v>
      </c>
      <c r="V2130" s="7" t="s">
        <v>45</v>
      </c>
      <c r="W2130" s="7" t="s">
        <v>130</v>
      </c>
      <c r="X2130" s="7" t="s">
        <v>131</v>
      </c>
      <c r="Y2130" s="7" t="s">
        <v>5254</v>
      </c>
      <c r="Z2130" s="7" t="s">
        <v>5255</v>
      </c>
      <c r="AA2130" s="7"/>
      <c r="AB2130" s="7"/>
      <c r="AC2130" s="7" t="s">
        <v>4817</v>
      </c>
      <c r="AD2130" s="7"/>
      <c r="AE2130" s="7"/>
      <c r="AF2130" s="7" t="s">
        <v>113</v>
      </c>
      <c r="AG2130" s="7" t="s">
        <v>366</v>
      </c>
      <c r="AH2130" s="7" t="s">
        <v>4818</v>
      </c>
    </row>
    <row r="2131" spans="1:34" ht="9.75" customHeight="1" x14ac:dyDescent="0.2">
      <c r="A2131" s="7" t="s">
        <v>4811</v>
      </c>
      <c r="B2131" s="7" t="s">
        <v>4812</v>
      </c>
      <c r="C2131" s="7" t="s">
        <v>5061</v>
      </c>
      <c r="D2131" s="7" t="s">
        <v>5264</v>
      </c>
      <c r="E2131" s="8">
        <v>2</v>
      </c>
      <c r="F2131" s="7"/>
      <c r="G2131" s="7"/>
      <c r="H2131" s="9"/>
      <c r="I2131" s="9"/>
      <c r="J2131" s="9"/>
      <c r="K2131" s="9"/>
      <c r="L2131" s="10">
        <v>3965</v>
      </c>
      <c r="M2131" s="9"/>
      <c r="N2131" s="10">
        <v>3965</v>
      </c>
      <c r="O2131" s="9"/>
      <c r="P2131" s="10"/>
      <c r="Q2131" s="10"/>
      <c r="R2131" s="10"/>
      <c r="S2131" s="7" t="s">
        <v>5253</v>
      </c>
      <c r="T2131" s="7"/>
      <c r="U2131" s="7" t="s">
        <v>44</v>
      </c>
      <c r="V2131" s="7" t="s">
        <v>45</v>
      </c>
      <c r="W2131" s="7" t="s">
        <v>171</v>
      </c>
      <c r="X2131" s="7" t="s">
        <v>172</v>
      </c>
      <c r="Y2131" s="7" t="s">
        <v>5254</v>
      </c>
      <c r="Z2131" s="7" t="s">
        <v>5255</v>
      </c>
      <c r="AA2131" s="7"/>
      <c r="AB2131" s="7"/>
      <c r="AC2131" s="7" t="s">
        <v>4817</v>
      </c>
      <c r="AD2131" s="7"/>
      <c r="AE2131" s="7"/>
      <c r="AF2131" s="7" t="s">
        <v>113</v>
      </c>
      <c r="AG2131" s="7" t="s">
        <v>366</v>
      </c>
      <c r="AH2131" s="7" t="s">
        <v>4818</v>
      </c>
    </row>
    <row r="2132" spans="1:34" ht="9.75" customHeight="1" x14ac:dyDescent="0.2">
      <c r="A2132" s="7" t="s">
        <v>4811</v>
      </c>
      <c r="B2132" s="7" t="s">
        <v>4812</v>
      </c>
      <c r="C2132" s="7" t="s">
        <v>5067</v>
      </c>
      <c r="D2132" s="7" t="s">
        <v>5265</v>
      </c>
      <c r="E2132" s="8">
        <v>2</v>
      </c>
      <c r="F2132" s="7"/>
      <c r="G2132" s="7"/>
      <c r="H2132" s="9"/>
      <c r="I2132" s="9"/>
      <c r="J2132" s="9"/>
      <c r="K2132" s="9"/>
      <c r="L2132" s="10">
        <v>3254</v>
      </c>
      <c r="M2132" s="9"/>
      <c r="N2132" s="10">
        <v>3254</v>
      </c>
      <c r="O2132" s="9"/>
      <c r="P2132" s="10"/>
      <c r="Q2132" s="10"/>
      <c r="R2132" s="10"/>
      <c r="S2132" s="7" t="s">
        <v>5253</v>
      </c>
      <c r="T2132" s="7"/>
      <c r="U2132" s="7" t="s">
        <v>44</v>
      </c>
      <c r="V2132" s="7" t="s">
        <v>45</v>
      </c>
      <c r="W2132" s="7" t="s">
        <v>130</v>
      </c>
      <c r="X2132" s="7" t="s">
        <v>131</v>
      </c>
      <c r="Y2132" s="7" t="s">
        <v>5254</v>
      </c>
      <c r="Z2132" s="7" t="s">
        <v>5255</v>
      </c>
      <c r="AA2132" s="7"/>
      <c r="AB2132" s="7"/>
      <c r="AC2132" s="7" t="s">
        <v>4817</v>
      </c>
      <c r="AD2132" s="7"/>
      <c r="AE2132" s="7"/>
      <c r="AF2132" s="7" t="s">
        <v>113</v>
      </c>
      <c r="AG2132" s="7" t="s">
        <v>366</v>
      </c>
      <c r="AH2132" s="7" t="s">
        <v>4818</v>
      </c>
    </row>
    <row r="2133" spans="1:34" ht="9.75" customHeight="1" x14ac:dyDescent="0.2">
      <c r="A2133" s="7" t="s">
        <v>4811</v>
      </c>
      <c r="B2133" s="7" t="s">
        <v>4812</v>
      </c>
      <c r="C2133" s="7" t="s">
        <v>5005</v>
      </c>
      <c r="D2133" s="7" t="s">
        <v>5266</v>
      </c>
      <c r="E2133" s="8">
        <v>2</v>
      </c>
      <c r="F2133" s="7"/>
      <c r="G2133" s="7"/>
      <c r="H2133" s="9"/>
      <c r="I2133" s="9"/>
      <c r="J2133" s="9"/>
      <c r="K2133" s="9"/>
      <c r="L2133" s="10">
        <v>2022</v>
      </c>
      <c r="M2133" s="9"/>
      <c r="N2133" s="10">
        <v>2022</v>
      </c>
      <c r="O2133" s="9"/>
      <c r="P2133" s="10"/>
      <c r="Q2133" s="10"/>
      <c r="R2133" s="10"/>
      <c r="S2133" s="7" t="s">
        <v>5253</v>
      </c>
      <c r="T2133" s="7"/>
      <c r="U2133" s="7" t="s">
        <v>44</v>
      </c>
      <c r="V2133" s="7" t="s">
        <v>45</v>
      </c>
      <c r="W2133" s="7" t="s">
        <v>130</v>
      </c>
      <c r="X2133" s="7" t="s">
        <v>131</v>
      </c>
      <c r="Y2133" s="7" t="s">
        <v>5254</v>
      </c>
      <c r="Z2133" s="7" t="s">
        <v>5255</v>
      </c>
      <c r="AA2133" s="7"/>
      <c r="AB2133" s="7"/>
      <c r="AC2133" s="7" t="s">
        <v>4817</v>
      </c>
      <c r="AD2133" s="7"/>
      <c r="AE2133" s="7"/>
      <c r="AF2133" s="7" t="s">
        <v>113</v>
      </c>
      <c r="AG2133" s="7" t="s">
        <v>366</v>
      </c>
      <c r="AH2133" s="7" t="s">
        <v>4818</v>
      </c>
    </row>
    <row r="2134" spans="1:34" ht="9.75" customHeight="1" x14ac:dyDescent="0.2">
      <c r="A2134" s="7" t="s">
        <v>4811</v>
      </c>
      <c r="B2134" s="7" t="s">
        <v>4812</v>
      </c>
      <c r="C2134" s="7" t="s">
        <v>5267</v>
      </c>
      <c r="D2134" s="7" t="s">
        <v>5268</v>
      </c>
      <c r="E2134" s="8">
        <v>2</v>
      </c>
      <c r="F2134" s="7"/>
      <c r="G2134" s="7"/>
      <c r="H2134" s="9"/>
      <c r="I2134" s="9"/>
      <c r="J2134" s="9"/>
      <c r="K2134" s="9"/>
      <c r="L2134" s="10">
        <v>2873</v>
      </c>
      <c r="M2134" s="9"/>
      <c r="N2134" s="10">
        <v>2873</v>
      </c>
      <c r="O2134" s="9"/>
      <c r="P2134" s="10"/>
      <c r="Q2134" s="10"/>
      <c r="R2134" s="10"/>
      <c r="S2134" s="7" t="s">
        <v>5253</v>
      </c>
      <c r="T2134" s="7"/>
      <c r="U2134" s="7" t="s">
        <v>44</v>
      </c>
      <c r="V2134" s="7" t="s">
        <v>45</v>
      </c>
      <c r="W2134" s="7" t="s">
        <v>130</v>
      </c>
      <c r="X2134" s="7" t="s">
        <v>131</v>
      </c>
      <c r="Y2134" s="7" t="s">
        <v>5254</v>
      </c>
      <c r="Z2134" s="7" t="s">
        <v>5255</v>
      </c>
      <c r="AA2134" s="7"/>
      <c r="AB2134" s="7"/>
      <c r="AC2134" s="7" t="s">
        <v>4817</v>
      </c>
      <c r="AD2134" s="7"/>
      <c r="AE2134" s="7"/>
      <c r="AF2134" s="7" t="s">
        <v>113</v>
      </c>
      <c r="AG2134" s="7" t="s">
        <v>366</v>
      </c>
      <c r="AH2134" s="7" t="s">
        <v>4818</v>
      </c>
    </row>
    <row r="2135" spans="1:34" ht="9.75" customHeight="1" x14ac:dyDescent="0.2">
      <c r="A2135" s="7" t="s">
        <v>4811</v>
      </c>
      <c r="B2135" s="7" t="s">
        <v>4812</v>
      </c>
      <c r="C2135" s="7" t="s">
        <v>5041</v>
      </c>
      <c r="D2135" s="7" t="s">
        <v>5269</v>
      </c>
      <c r="E2135" s="8">
        <v>2</v>
      </c>
      <c r="F2135" s="7"/>
      <c r="G2135" s="7"/>
      <c r="H2135" s="9"/>
      <c r="I2135" s="9"/>
      <c r="J2135" s="9"/>
      <c r="K2135" s="9"/>
      <c r="L2135" s="10">
        <v>2707</v>
      </c>
      <c r="M2135" s="9"/>
      <c r="N2135" s="10">
        <v>2707</v>
      </c>
      <c r="O2135" s="9"/>
      <c r="P2135" s="10"/>
      <c r="Q2135" s="10"/>
      <c r="R2135" s="10"/>
      <c r="S2135" s="7" t="s">
        <v>5253</v>
      </c>
      <c r="T2135" s="7"/>
      <c r="U2135" s="7" t="s">
        <v>44</v>
      </c>
      <c r="V2135" s="7" t="s">
        <v>45</v>
      </c>
      <c r="W2135" s="7" t="s">
        <v>130</v>
      </c>
      <c r="X2135" s="7" t="s">
        <v>131</v>
      </c>
      <c r="Y2135" s="7" t="s">
        <v>5254</v>
      </c>
      <c r="Z2135" s="7" t="s">
        <v>5255</v>
      </c>
      <c r="AA2135" s="7"/>
      <c r="AB2135" s="7"/>
      <c r="AC2135" s="7" t="s">
        <v>4817</v>
      </c>
      <c r="AD2135" s="7"/>
      <c r="AE2135" s="7"/>
      <c r="AF2135" s="7" t="s">
        <v>113</v>
      </c>
      <c r="AG2135" s="7" t="s">
        <v>366</v>
      </c>
      <c r="AH2135" s="7" t="s">
        <v>4818</v>
      </c>
    </row>
    <row r="2136" spans="1:34" ht="9.75" customHeight="1" x14ac:dyDescent="0.2">
      <c r="A2136" s="7" t="s">
        <v>4811</v>
      </c>
      <c r="B2136" s="7" t="s">
        <v>4812</v>
      </c>
      <c r="C2136" s="7" t="s">
        <v>5065</v>
      </c>
      <c r="D2136" s="7" t="s">
        <v>5270</v>
      </c>
      <c r="E2136" s="8">
        <v>2</v>
      </c>
      <c r="F2136" s="7"/>
      <c r="G2136" s="7"/>
      <c r="H2136" s="9"/>
      <c r="I2136" s="9"/>
      <c r="J2136" s="9"/>
      <c r="K2136" s="9"/>
      <c r="L2136" s="10">
        <v>2226</v>
      </c>
      <c r="M2136" s="9"/>
      <c r="N2136" s="10">
        <v>2226</v>
      </c>
      <c r="O2136" s="9"/>
      <c r="P2136" s="10"/>
      <c r="Q2136" s="10"/>
      <c r="R2136" s="10"/>
      <c r="S2136" s="7" t="s">
        <v>5253</v>
      </c>
      <c r="T2136" s="7"/>
      <c r="U2136" s="7" t="s">
        <v>44</v>
      </c>
      <c r="V2136" s="7" t="s">
        <v>45</v>
      </c>
      <c r="W2136" s="7" t="s">
        <v>130</v>
      </c>
      <c r="X2136" s="7" t="s">
        <v>131</v>
      </c>
      <c r="Y2136" s="7" t="s">
        <v>5254</v>
      </c>
      <c r="Z2136" s="7" t="s">
        <v>5255</v>
      </c>
      <c r="AA2136" s="7"/>
      <c r="AB2136" s="7"/>
      <c r="AC2136" s="7" t="s">
        <v>4817</v>
      </c>
      <c r="AD2136" s="7"/>
      <c r="AE2136" s="7"/>
      <c r="AF2136" s="7" t="s">
        <v>113</v>
      </c>
      <c r="AG2136" s="7" t="s">
        <v>366</v>
      </c>
      <c r="AH2136" s="7" t="s">
        <v>4818</v>
      </c>
    </row>
    <row r="2137" spans="1:34" ht="9.75" customHeight="1" x14ac:dyDescent="0.2">
      <c r="A2137" s="7" t="s">
        <v>4811</v>
      </c>
      <c r="B2137" s="7" t="s">
        <v>4812</v>
      </c>
      <c r="C2137" s="7" t="s">
        <v>5271</v>
      </c>
      <c r="D2137" s="7" t="s">
        <v>5272</v>
      </c>
      <c r="E2137" s="8">
        <v>2</v>
      </c>
      <c r="F2137" s="7"/>
      <c r="G2137" s="7"/>
      <c r="H2137" s="9"/>
      <c r="I2137" s="9"/>
      <c r="J2137" s="9"/>
      <c r="K2137" s="9"/>
      <c r="L2137" s="10">
        <v>1674</v>
      </c>
      <c r="M2137" s="9"/>
      <c r="N2137" s="10">
        <v>1674</v>
      </c>
      <c r="O2137" s="9"/>
      <c r="P2137" s="10"/>
      <c r="Q2137" s="10"/>
      <c r="R2137" s="10"/>
      <c r="S2137" s="7" t="s">
        <v>5253</v>
      </c>
      <c r="T2137" s="7"/>
      <c r="U2137" s="7" t="s">
        <v>44</v>
      </c>
      <c r="V2137" s="7" t="s">
        <v>45</v>
      </c>
      <c r="W2137" s="7" t="s">
        <v>130</v>
      </c>
      <c r="X2137" s="7" t="s">
        <v>156</v>
      </c>
      <c r="Y2137" s="7" t="s">
        <v>5254</v>
      </c>
      <c r="Z2137" s="7" t="s">
        <v>5255</v>
      </c>
      <c r="AA2137" s="7"/>
      <c r="AB2137" s="7"/>
      <c r="AC2137" s="7" t="s">
        <v>4817</v>
      </c>
      <c r="AD2137" s="7"/>
      <c r="AE2137" s="7"/>
      <c r="AF2137" s="7" t="s">
        <v>113</v>
      </c>
      <c r="AG2137" s="7" t="s">
        <v>366</v>
      </c>
      <c r="AH2137" s="7" t="s">
        <v>4818</v>
      </c>
    </row>
    <row r="2138" spans="1:34" ht="9.75" customHeight="1" x14ac:dyDescent="0.2">
      <c r="A2138" s="7" t="s">
        <v>4811</v>
      </c>
      <c r="B2138" s="7" t="s">
        <v>4812</v>
      </c>
      <c r="C2138" s="7" t="s">
        <v>5049</v>
      </c>
      <c r="D2138" s="7" t="s">
        <v>5273</v>
      </c>
      <c r="E2138" s="8">
        <v>2</v>
      </c>
      <c r="F2138" s="7"/>
      <c r="G2138" s="7"/>
      <c r="H2138" s="9"/>
      <c r="I2138" s="9"/>
      <c r="J2138" s="9"/>
      <c r="K2138" s="9"/>
      <c r="L2138" s="10">
        <v>1431</v>
      </c>
      <c r="M2138" s="9"/>
      <c r="N2138" s="10">
        <v>1431</v>
      </c>
      <c r="O2138" s="9"/>
      <c r="P2138" s="10"/>
      <c r="Q2138" s="10"/>
      <c r="R2138" s="10"/>
      <c r="S2138" s="7" t="s">
        <v>5253</v>
      </c>
      <c r="T2138" s="7"/>
      <c r="U2138" s="7" t="s">
        <v>44</v>
      </c>
      <c r="V2138" s="7" t="s">
        <v>45</v>
      </c>
      <c r="W2138" s="7" t="s">
        <v>130</v>
      </c>
      <c r="X2138" s="7" t="s">
        <v>156</v>
      </c>
      <c r="Y2138" s="7" t="s">
        <v>5254</v>
      </c>
      <c r="Z2138" s="7" t="s">
        <v>5255</v>
      </c>
      <c r="AA2138" s="7"/>
      <c r="AB2138" s="7"/>
      <c r="AC2138" s="7" t="s">
        <v>4817</v>
      </c>
      <c r="AD2138" s="7"/>
      <c r="AE2138" s="7"/>
      <c r="AF2138" s="7" t="s">
        <v>113</v>
      </c>
      <c r="AG2138" s="7" t="s">
        <v>366</v>
      </c>
      <c r="AH2138" s="7" t="s">
        <v>4818</v>
      </c>
    </row>
    <row r="2139" spans="1:34" ht="9.75" customHeight="1" x14ac:dyDescent="0.2">
      <c r="A2139" s="7" t="s">
        <v>4811</v>
      </c>
      <c r="B2139" s="7" t="s">
        <v>4812</v>
      </c>
      <c r="C2139" s="7" t="s">
        <v>5069</v>
      </c>
      <c r="D2139" s="7" t="s">
        <v>5274</v>
      </c>
      <c r="E2139" s="8">
        <v>2</v>
      </c>
      <c r="F2139" s="7"/>
      <c r="G2139" s="7"/>
      <c r="H2139" s="9"/>
      <c r="I2139" s="9"/>
      <c r="J2139" s="9"/>
      <c r="K2139" s="9"/>
      <c r="L2139" s="10">
        <v>926</v>
      </c>
      <c r="M2139" s="9"/>
      <c r="N2139" s="10">
        <v>926</v>
      </c>
      <c r="O2139" s="9"/>
      <c r="P2139" s="10"/>
      <c r="Q2139" s="10"/>
      <c r="R2139" s="10"/>
      <c r="S2139" s="7" t="s">
        <v>5253</v>
      </c>
      <c r="T2139" s="7"/>
      <c r="U2139" s="7" t="s">
        <v>44</v>
      </c>
      <c r="V2139" s="7" t="s">
        <v>45</v>
      </c>
      <c r="W2139" s="7" t="s">
        <v>130</v>
      </c>
      <c r="X2139" s="7" t="s">
        <v>156</v>
      </c>
      <c r="Y2139" s="7" t="s">
        <v>5254</v>
      </c>
      <c r="Z2139" s="7" t="s">
        <v>5255</v>
      </c>
      <c r="AA2139" s="7"/>
      <c r="AB2139" s="7"/>
      <c r="AC2139" s="7" t="s">
        <v>4817</v>
      </c>
      <c r="AD2139" s="7"/>
      <c r="AE2139" s="7"/>
      <c r="AF2139" s="7" t="s">
        <v>113</v>
      </c>
      <c r="AG2139" s="7" t="s">
        <v>366</v>
      </c>
      <c r="AH2139" s="7" t="s">
        <v>4818</v>
      </c>
    </row>
    <row r="2140" spans="1:34" ht="9.75" customHeight="1" x14ac:dyDescent="0.2">
      <c r="A2140" s="7" t="s">
        <v>4811</v>
      </c>
      <c r="B2140" s="7" t="s">
        <v>4812</v>
      </c>
      <c r="C2140" s="7" t="s">
        <v>5071</v>
      </c>
      <c r="D2140" s="7" t="s">
        <v>5275</v>
      </c>
      <c r="E2140" s="8">
        <v>2</v>
      </c>
      <c r="F2140" s="7"/>
      <c r="G2140" s="7"/>
      <c r="H2140" s="9"/>
      <c r="I2140" s="9"/>
      <c r="J2140" s="9"/>
      <c r="K2140" s="9"/>
      <c r="L2140" s="10">
        <v>926</v>
      </c>
      <c r="M2140" s="9"/>
      <c r="N2140" s="10">
        <v>926</v>
      </c>
      <c r="O2140" s="9"/>
      <c r="P2140" s="10"/>
      <c r="Q2140" s="10"/>
      <c r="R2140" s="10"/>
      <c r="S2140" s="7" t="s">
        <v>5253</v>
      </c>
      <c r="T2140" s="7"/>
      <c r="U2140" s="7" t="s">
        <v>44</v>
      </c>
      <c r="V2140" s="7" t="s">
        <v>45</v>
      </c>
      <c r="W2140" s="7" t="s">
        <v>130</v>
      </c>
      <c r="X2140" s="7" t="s">
        <v>156</v>
      </c>
      <c r="Y2140" s="7" t="s">
        <v>5254</v>
      </c>
      <c r="Z2140" s="7" t="s">
        <v>5276</v>
      </c>
      <c r="AA2140" s="7"/>
      <c r="AB2140" s="7"/>
      <c r="AC2140" s="7" t="s">
        <v>4817</v>
      </c>
      <c r="AD2140" s="7"/>
      <c r="AE2140" s="7"/>
      <c r="AF2140" s="7" t="s">
        <v>113</v>
      </c>
      <c r="AG2140" s="7" t="s">
        <v>366</v>
      </c>
      <c r="AH2140" s="7" t="s">
        <v>4818</v>
      </c>
    </row>
    <row r="2141" spans="1:34" ht="9.75" customHeight="1" x14ac:dyDescent="0.2">
      <c r="A2141" s="7" t="s">
        <v>4811</v>
      </c>
      <c r="B2141" s="7" t="s">
        <v>4812</v>
      </c>
      <c r="C2141" s="7" t="s">
        <v>4981</v>
      </c>
      <c r="D2141" s="7" t="s">
        <v>5277</v>
      </c>
      <c r="E2141" s="8">
        <v>2</v>
      </c>
      <c r="F2141" s="7"/>
      <c r="G2141" s="7"/>
      <c r="H2141" s="9"/>
      <c r="I2141" s="9"/>
      <c r="J2141" s="9"/>
      <c r="K2141" s="9"/>
      <c r="L2141" s="10">
        <v>367</v>
      </c>
      <c r="M2141" s="9"/>
      <c r="N2141" s="10">
        <v>367</v>
      </c>
      <c r="O2141" s="9"/>
      <c r="P2141" s="10"/>
      <c r="Q2141" s="10"/>
      <c r="R2141" s="10"/>
      <c r="S2141" s="7" t="s">
        <v>5253</v>
      </c>
      <c r="T2141" s="7"/>
      <c r="U2141" s="7" t="s">
        <v>44</v>
      </c>
      <c r="V2141" s="7" t="s">
        <v>45</v>
      </c>
      <c r="W2141" s="7" t="s">
        <v>130</v>
      </c>
      <c r="X2141" s="7" t="s">
        <v>131</v>
      </c>
      <c r="Y2141" s="7" t="s">
        <v>5254</v>
      </c>
      <c r="Z2141" s="7" t="s">
        <v>5276</v>
      </c>
      <c r="AA2141" s="7"/>
      <c r="AB2141" s="7"/>
      <c r="AC2141" s="7" t="s">
        <v>4817</v>
      </c>
      <c r="AD2141" s="7"/>
      <c r="AE2141" s="7"/>
      <c r="AF2141" s="7" t="s">
        <v>113</v>
      </c>
      <c r="AG2141" s="7" t="s">
        <v>366</v>
      </c>
      <c r="AH2141" s="7" t="s">
        <v>4818</v>
      </c>
    </row>
    <row r="2142" spans="1:34" ht="9.75" customHeight="1" x14ac:dyDescent="0.2">
      <c r="A2142" s="7" t="s">
        <v>4811</v>
      </c>
      <c r="B2142" s="7" t="s">
        <v>4812</v>
      </c>
      <c r="C2142" s="7" t="s">
        <v>4991</v>
      </c>
      <c r="D2142" s="7" t="s">
        <v>5278</v>
      </c>
      <c r="E2142" s="8">
        <v>2</v>
      </c>
      <c r="F2142" s="7"/>
      <c r="G2142" s="7"/>
      <c r="H2142" s="9"/>
      <c r="I2142" s="9"/>
      <c r="J2142" s="9"/>
      <c r="K2142" s="9"/>
      <c r="L2142" s="10">
        <v>217</v>
      </c>
      <c r="M2142" s="9"/>
      <c r="N2142" s="10">
        <v>217</v>
      </c>
      <c r="O2142" s="9"/>
      <c r="P2142" s="10"/>
      <c r="Q2142" s="10"/>
      <c r="R2142" s="10"/>
      <c r="S2142" s="7" t="s">
        <v>5253</v>
      </c>
      <c r="T2142" s="7"/>
      <c r="U2142" s="7" t="s">
        <v>44</v>
      </c>
      <c r="V2142" s="7" t="s">
        <v>45</v>
      </c>
      <c r="W2142" s="7" t="s">
        <v>171</v>
      </c>
      <c r="X2142" s="7" t="s">
        <v>172</v>
      </c>
      <c r="Y2142" s="7" t="s">
        <v>5254</v>
      </c>
      <c r="Z2142" s="7" t="s">
        <v>5276</v>
      </c>
      <c r="AA2142" s="7"/>
      <c r="AB2142" s="7"/>
      <c r="AC2142" s="7" t="s">
        <v>4817</v>
      </c>
      <c r="AD2142" s="7"/>
      <c r="AE2142" s="7"/>
      <c r="AF2142" s="7" t="s">
        <v>113</v>
      </c>
      <c r="AG2142" s="7" t="s">
        <v>366</v>
      </c>
      <c r="AH2142" s="7" t="s">
        <v>4818</v>
      </c>
    </row>
    <row r="2143" spans="1:34" ht="9.75" customHeight="1" x14ac:dyDescent="0.2">
      <c r="A2143" s="7" t="s">
        <v>4811</v>
      </c>
      <c r="B2143" s="7" t="s">
        <v>4812</v>
      </c>
      <c r="C2143" s="7" t="s">
        <v>5279</v>
      </c>
      <c r="D2143" s="7" t="s">
        <v>5280</v>
      </c>
      <c r="E2143" s="8">
        <v>2</v>
      </c>
      <c r="F2143" s="7"/>
      <c r="G2143" s="7"/>
      <c r="H2143" s="9"/>
      <c r="I2143" s="9"/>
      <c r="J2143" s="9"/>
      <c r="K2143" s="9"/>
      <c r="L2143" s="10">
        <v>189</v>
      </c>
      <c r="M2143" s="9"/>
      <c r="N2143" s="10">
        <v>189</v>
      </c>
      <c r="O2143" s="9"/>
      <c r="P2143" s="10"/>
      <c r="Q2143" s="10"/>
      <c r="R2143" s="10"/>
      <c r="S2143" s="7" t="s">
        <v>5253</v>
      </c>
      <c r="T2143" s="7"/>
      <c r="U2143" s="7" t="s">
        <v>44</v>
      </c>
      <c r="V2143" s="7" t="s">
        <v>45</v>
      </c>
      <c r="W2143" s="7" t="s">
        <v>130</v>
      </c>
      <c r="X2143" s="7" t="s">
        <v>131</v>
      </c>
      <c r="Y2143" s="7" t="s">
        <v>5254</v>
      </c>
      <c r="Z2143" s="7" t="s">
        <v>5276</v>
      </c>
      <c r="AA2143" s="7"/>
      <c r="AB2143" s="7"/>
      <c r="AC2143" s="7" t="s">
        <v>4817</v>
      </c>
      <c r="AD2143" s="7"/>
      <c r="AE2143" s="7"/>
      <c r="AF2143" s="7" t="s">
        <v>113</v>
      </c>
      <c r="AG2143" s="7" t="s">
        <v>366</v>
      </c>
      <c r="AH2143" s="7" t="s">
        <v>4818</v>
      </c>
    </row>
    <row r="2144" spans="1:34" ht="9.75" customHeight="1" x14ac:dyDescent="0.2">
      <c r="A2144" s="7" t="s">
        <v>4811</v>
      </c>
      <c r="B2144" s="7" t="s">
        <v>4812</v>
      </c>
      <c r="C2144" s="7" t="s">
        <v>4983</v>
      </c>
      <c r="D2144" s="7" t="s">
        <v>5281</v>
      </c>
      <c r="E2144" s="8">
        <v>2</v>
      </c>
      <c r="F2144" s="7"/>
      <c r="G2144" s="7"/>
      <c r="H2144" s="9"/>
      <c r="I2144" s="9"/>
      <c r="J2144" s="9"/>
      <c r="K2144" s="9"/>
      <c r="L2144" s="10">
        <v>96</v>
      </c>
      <c r="M2144" s="9"/>
      <c r="N2144" s="10">
        <v>96</v>
      </c>
      <c r="O2144" s="9"/>
      <c r="P2144" s="10"/>
      <c r="Q2144" s="10"/>
      <c r="R2144" s="10"/>
      <c r="S2144" s="7" t="s">
        <v>5253</v>
      </c>
      <c r="T2144" s="7"/>
      <c r="U2144" s="7" t="s">
        <v>44</v>
      </c>
      <c r="V2144" s="7" t="s">
        <v>45</v>
      </c>
      <c r="W2144" s="7" t="s">
        <v>130</v>
      </c>
      <c r="X2144" s="7" t="s">
        <v>131</v>
      </c>
      <c r="Y2144" s="7" t="s">
        <v>5254</v>
      </c>
      <c r="Z2144" s="7" t="s">
        <v>4744</v>
      </c>
      <c r="AA2144" s="7"/>
      <c r="AB2144" s="7"/>
      <c r="AC2144" s="7" t="s">
        <v>4817</v>
      </c>
      <c r="AD2144" s="7"/>
      <c r="AE2144" s="7"/>
      <c r="AF2144" s="7" t="s">
        <v>113</v>
      </c>
      <c r="AG2144" s="7" t="s">
        <v>366</v>
      </c>
      <c r="AH2144" s="7" t="s">
        <v>4818</v>
      </c>
    </row>
    <row r="2145" spans="1:34" ht="9.75" customHeight="1" x14ac:dyDescent="0.2">
      <c r="A2145" s="7" t="s">
        <v>4811</v>
      </c>
      <c r="B2145" s="7" t="s">
        <v>4812</v>
      </c>
      <c r="C2145" s="7" t="s">
        <v>5282</v>
      </c>
      <c r="D2145" s="7" t="s">
        <v>5283</v>
      </c>
      <c r="E2145" s="8">
        <v>2</v>
      </c>
      <c r="F2145" s="7"/>
      <c r="G2145" s="7"/>
      <c r="H2145" s="9"/>
      <c r="I2145" s="9"/>
      <c r="J2145" s="9"/>
      <c r="K2145" s="9"/>
      <c r="L2145" s="10">
        <v>84</v>
      </c>
      <c r="M2145" s="9"/>
      <c r="N2145" s="10">
        <v>84</v>
      </c>
      <c r="O2145" s="9"/>
      <c r="P2145" s="10"/>
      <c r="Q2145" s="10"/>
      <c r="R2145" s="10"/>
      <c r="S2145" s="7" t="s">
        <v>5253</v>
      </c>
      <c r="T2145" s="7"/>
      <c r="U2145" s="7" t="s">
        <v>44</v>
      </c>
      <c r="V2145" s="7" t="s">
        <v>45</v>
      </c>
      <c r="W2145" s="7" t="s">
        <v>130</v>
      </c>
      <c r="X2145" s="7" t="s">
        <v>131</v>
      </c>
      <c r="Y2145" s="7" t="s">
        <v>5254</v>
      </c>
      <c r="Z2145" s="7" t="s">
        <v>2102</v>
      </c>
      <c r="AA2145" s="7"/>
      <c r="AB2145" s="7"/>
      <c r="AC2145" s="7" t="s">
        <v>4817</v>
      </c>
      <c r="AD2145" s="7"/>
      <c r="AE2145" s="7"/>
      <c r="AF2145" s="7" t="s">
        <v>113</v>
      </c>
      <c r="AG2145" s="7" t="s">
        <v>366</v>
      </c>
      <c r="AH2145" s="7" t="s">
        <v>4818</v>
      </c>
    </row>
    <row r="2146" spans="1:34" ht="9.75" customHeight="1" x14ac:dyDescent="0.2">
      <c r="A2146" s="7" t="s">
        <v>4811</v>
      </c>
      <c r="B2146" s="7" t="s">
        <v>4812</v>
      </c>
      <c r="C2146" s="7" t="s">
        <v>5284</v>
      </c>
      <c r="D2146" s="7" t="s">
        <v>5285</v>
      </c>
      <c r="E2146" s="8">
        <v>2</v>
      </c>
      <c r="F2146" s="7"/>
      <c r="G2146" s="7"/>
      <c r="H2146" s="9"/>
      <c r="I2146" s="9"/>
      <c r="J2146" s="9"/>
      <c r="K2146" s="9"/>
      <c r="L2146" s="10">
        <v>65</v>
      </c>
      <c r="M2146" s="9"/>
      <c r="N2146" s="10">
        <v>65</v>
      </c>
      <c r="O2146" s="9"/>
      <c r="P2146" s="10"/>
      <c r="Q2146" s="10"/>
      <c r="R2146" s="10"/>
      <c r="S2146" s="7" t="s">
        <v>5253</v>
      </c>
      <c r="T2146" s="7"/>
      <c r="U2146" s="7" t="s">
        <v>44</v>
      </c>
      <c r="V2146" s="7" t="s">
        <v>45</v>
      </c>
      <c r="W2146" s="7" t="s">
        <v>130</v>
      </c>
      <c r="X2146" s="7" t="s">
        <v>131</v>
      </c>
      <c r="Y2146" s="7" t="s">
        <v>5254</v>
      </c>
      <c r="Z2146" s="7" t="s">
        <v>4744</v>
      </c>
      <c r="AA2146" s="7"/>
      <c r="AB2146" s="7"/>
      <c r="AC2146" s="7" t="s">
        <v>4817</v>
      </c>
      <c r="AD2146" s="7"/>
      <c r="AE2146" s="7"/>
      <c r="AF2146" s="7" t="s">
        <v>113</v>
      </c>
      <c r="AG2146" s="7" t="s">
        <v>366</v>
      </c>
      <c r="AH2146" s="7" t="s">
        <v>4818</v>
      </c>
    </row>
    <row r="2147" spans="1:34" ht="9.75" customHeight="1" x14ac:dyDescent="0.2">
      <c r="A2147" s="7" t="s">
        <v>4811</v>
      </c>
      <c r="B2147" s="7" t="s">
        <v>4812</v>
      </c>
      <c r="C2147" s="7" t="s">
        <v>5286</v>
      </c>
      <c r="D2147" s="7" t="s">
        <v>5287</v>
      </c>
      <c r="E2147" s="8">
        <v>2</v>
      </c>
      <c r="F2147" s="7"/>
      <c r="G2147" s="7"/>
      <c r="H2147" s="9"/>
      <c r="I2147" s="9"/>
      <c r="J2147" s="9"/>
      <c r="K2147" s="9"/>
      <c r="L2147" s="10">
        <v>65</v>
      </c>
      <c r="M2147" s="9"/>
      <c r="N2147" s="10">
        <v>65</v>
      </c>
      <c r="O2147" s="9"/>
      <c r="P2147" s="10"/>
      <c r="Q2147" s="10"/>
      <c r="R2147" s="10"/>
      <c r="S2147" s="7" t="s">
        <v>5253</v>
      </c>
      <c r="T2147" s="7"/>
      <c r="U2147" s="7" t="s">
        <v>44</v>
      </c>
      <c r="V2147" s="7" t="s">
        <v>45</v>
      </c>
      <c r="W2147" s="7" t="s">
        <v>130</v>
      </c>
      <c r="X2147" s="7" t="s">
        <v>131</v>
      </c>
      <c r="Y2147" s="7" t="s">
        <v>5254</v>
      </c>
      <c r="Z2147" s="7" t="s">
        <v>5288</v>
      </c>
      <c r="AA2147" s="7"/>
      <c r="AB2147" s="7"/>
      <c r="AC2147" s="7" t="s">
        <v>4817</v>
      </c>
      <c r="AD2147" s="7"/>
      <c r="AE2147" s="7"/>
      <c r="AF2147" s="7" t="s">
        <v>113</v>
      </c>
      <c r="AG2147" s="7" t="s">
        <v>366</v>
      </c>
      <c r="AH2147" s="7" t="s">
        <v>4818</v>
      </c>
    </row>
    <row r="2148" spans="1:34" ht="9.75" customHeight="1" x14ac:dyDescent="0.2">
      <c r="A2148" s="7" t="s">
        <v>4811</v>
      </c>
      <c r="B2148" s="7" t="s">
        <v>4812</v>
      </c>
      <c r="C2148" s="7" t="s">
        <v>5073</v>
      </c>
      <c r="D2148" s="7" t="s">
        <v>5289</v>
      </c>
      <c r="E2148" s="8">
        <v>2</v>
      </c>
      <c r="F2148" s="7"/>
      <c r="G2148" s="7"/>
      <c r="H2148" s="9"/>
      <c r="I2148" s="9"/>
      <c r="J2148" s="9"/>
      <c r="K2148" s="9"/>
      <c r="L2148" s="10">
        <v>61</v>
      </c>
      <c r="M2148" s="9"/>
      <c r="N2148" s="10">
        <v>61</v>
      </c>
      <c r="O2148" s="9"/>
      <c r="P2148" s="10"/>
      <c r="Q2148" s="10"/>
      <c r="R2148" s="10"/>
      <c r="S2148" s="7" t="s">
        <v>5253</v>
      </c>
      <c r="T2148" s="7"/>
      <c r="U2148" s="7" t="s">
        <v>44</v>
      </c>
      <c r="V2148" s="7" t="s">
        <v>45</v>
      </c>
      <c r="W2148" s="7" t="s">
        <v>130</v>
      </c>
      <c r="X2148" s="7" t="s">
        <v>131</v>
      </c>
      <c r="Y2148" s="7" t="s">
        <v>5254</v>
      </c>
      <c r="Z2148" s="7" t="s">
        <v>92</v>
      </c>
      <c r="AA2148" s="7"/>
      <c r="AB2148" s="7"/>
      <c r="AC2148" s="7" t="s">
        <v>4817</v>
      </c>
      <c r="AD2148" s="7"/>
      <c r="AE2148" s="7"/>
      <c r="AF2148" s="7" t="s">
        <v>113</v>
      </c>
      <c r="AG2148" s="7" t="s">
        <v>366</v>
      </c>
      <c r="AH2148" s="7" t="s">
        <v>4818</v>
      </c>
    </row>
    <row r="2149" spans="1:34" ht="9.75" customHeight="1" x14ac:dyDescent="0.2">
      <c r="A2149" s="7" t="s">
        <v>4811</v>
      </c>
      <c r="B2149" s="7" t="s">
        <v>4812</v>
      </c>
      <c r="C2149" s="7" t="s">
        <v>5290</v>
      </c>
      <c r="D2149" s="7" t="s">
        <v>5291</v>
      </c>
      <c r="E2149" s="8">
        <v>2</v>
      </c>
      <c r="F2149" s="7"/>
      <c r="G2149" s="7"/>
      <c r="H2149" s="9"/>
      <c r="I2149" s="9"/>
      <c r="J2149" s="9"/>
      <c r="K2149" s="9"/>
      <c r="L2149" s="10">
        <v>34</v>
      </c>
      <c r="M2149" s="9"/>
      <c r="N2149" s="10">
        <v>34</v>
      </c>
      <c r="O2149" s="9"/>
      <c r="P2149" s="10"/>
      <c r="Q2149" s="10"/>
      <c r="R2149" s="10"/>
      <c r="S2149" s="7" t="s">
        <v>5253</v>
      </c>
      <c r="T2149" s="7"/>
      <c r="U2149" s="7" t="s">
        <v>44</v>
      </c>
      <c r="V2149" s="7" t="s">
        <v>45</v>
      </c>
      <c r="W2149" s="7" t="s">
        <v>130</v>
      </c>
      <c r="X2149" s="7" t="s">
        <v>131</v>
      </c>
      <c r="Y2149" s="7" t="s">
        <v>5254</v>
      </c>
      <c r="Z2149" s="7" t="s">
        <v>5288</v>
      </c>
      <c r="AA2149" s="7"/>
      <c r="AB2149" s="7"/>
      <c r="AC2149" s="7" t="s">
        <v>4817</v>
      </c>
      <c r="AD2149" s="7"/>
      <c r="AE2149" s="7"/>
      <c r="AF2149" s="7" t="s">
        <v>113</v>
      </c>
      <c r="AG2149" s="7" t="s">
        <v>366</v>
      </c>
      <c r="AH2149" s="7" t="s">
        <v>4818</v>
      </c>
    </row>
    <row r="2150" spans="1:34" ht="9.75" customHeight="1" x14ac:dyDescent="0.2">
      <c r="A2150" s="7" t="s">
        <v>4811</v>
      </c>
      <c r="B2150" s="7" t="s">
        <v>4812</v>
      </c>
      <c r="C2150" s="7"/>
      <c r="D2150" s="7" t="s">
        <v>5292</v>
      </c>
      <c r="E2150" s="8">
        <v>2</v>
      </c>
      <c r="F2150" s="7"/>
      <c r="G2150" s="7"/>
      <c r="H2150" s="9"/>
      <c r="I2150" s="9"/>
      <c r="J2150" s="9"/>
      <c r="K2150" s="9"/>
      <c r="L2150" s="10">
        <v>127596</v>
      </c>
      <c r="M2150" s="9"/>
      <c r="N2150" s="10">
        <v>127596</v>
      </c>
      <c r="O2150" s="9"/>
      <c r="P2150" s="10"/>
      <c r="Q2150" s="10"/>
      <c r="R2150" s="10"/>
      <c r="S2150" s="7" t="s">
        <v>5253</v>
      </c>
      <c r="T2150" s="7"/>
      <c r="U2150" s="7"/>
      <c r="V2150" s="7"/>
      <c r="W2150" s="7"/>
      <c r="X2150" s="7"/>
      <c r="Y2150" s="7" t="s">
        <v>5254</v>
      </c>
      <c r="Z2150" s="7" t="s">
        <v>5276</v>
      </c>
      <c r="AA2150" s="7"/>
      <c r="AB2150" s="7"/>
      <c r="AC2150" s="7" t="s">
        <v>4817</v>
      </c>
      <c r="AD2150" s="7"/>
      <c r="AE2150" s="7"/>
      <c r="AF2150" s="7" t="s">
        <v>113</v>
      </c>
      <c r="AG2150" s="7" t="s">
        <v>366</v>
      </c>
      <c r="AH2150" s="7" t="s">
        <v>4818</v>
      </c>
    </row>
    <row r="2151" spans="1:34" ht="9.75" customHeight="1" x14ac:dyDescent="0.2">
      <c r="A2151" s="7" t="s">
        <v>4811</v>
      </c>
      <c r="B2151" s="7" t="s">
        <v>4812</v>
      </c>
      <c r="C2151" s="7" t="s">
        <v>4967</v>
      </c>
      <c r="D2151" s="7" t="s">
        <v>5293</v>
      </c>
      <c r="E2151" s="8">
        <v>2</v>
      </c>
      <c r="F2151" s="7"/>
      <c r="G2151" s="7"/>
      <c r="H2151" s="9"/>
      <c r="I2151" s="9"/>
      <c r="J2151" s="9"/>
      <c r="K2151" s="9"/>
      <c r="L2151" s="10">
        <v>1746</v>
      </c>
      <c r="M2151" s="9"/>
      <c r="N2151" s="10">
        <v>1746</v>
      </c>
      <c r="O2151" s="9"/>
      <c r="P2151" s="10"/>
      <c r="Q2151" s="10"/>
      <c r="R2151" s="10"/>
      <c r="S2151" s="7" t="s">
        <v>5253</v>
      </c>
      <c r="T2151" s="7"/>
      <c r="U2151" s="7" t="s">
        <v>44</v>
      </c>
      <c r="V2151" s="7" t="s">
        <v>45</v>
      </c>
      <c r="W2151" s="7" t="s">
        <v>67</v>
      </c>
      <c r="X2151" s="7" t="s">
        <v>68</v>
      </c>
      <c r="Y2151" s="7" t="s">
        <v>5294</v>
      </c>
      <c r="Z2151" s="7" t="s">
        <v>5276</v>
      </c>
      <c r="AA2151" s="7"/>
      <c r="AB2151" s="7"/>
      <c r="AC2151" s="7" t="s">
        <v>4817</v>
      </c>
      <c r="AD2151" s="7"/>
      <c r="AE2151" s="7"/>
      <c r="AF2151" s="7" t="s">
        <v>113</v>
      </c>
      <c r="AG2151" s="7" t="s">
        <v>366</v>
      </c>
      <c r="AH2151" s="7" t="s">
        <v>4818</v>
      </c>
    </row>
    <row r="2152" spans="1:34" ht="9.75" customHeight="1" x14ac:dyDescent="0.2">
      <c r="A2152" s="7" t="s">
        <v>4811</v>
      </c>
      <c r="B2152" s="7" t="s">
        <v>4812</v>
      </c>
      <c r="C2152" s="7" t="s">
        <v>5295</v>
      </c>
      <c r="D2152" s="7" t="s">
        <v>5296</v>
      </c>
      <c r="E2152" s="8">
        <v>2</v>
      </c>
      <c r="F2152" s="7"/>
      <c r="G2152" s="7"/>
      <c r="H2152" s="9"/>
      <c r="I2152" s="9"/>
      <c r="J2152" s="9"/>
      <c r="K2152" s="9"/>
      <c r="L2152" s="10">
        <v>1956</v>
      </c>
      <c r="M2152" s="9"/>
      <c r="N2152" s="10">
        <v>1956</v>
      </c>
      <c r="O2152" s="9"/>
      <c r="P2152" s="10"/>
      <c r="Q2152" s="10"/>
      <c r="R2152" s="10"/>
      <c r="S2152" s="7" t="s">
        <v>5253</v>
      </c>
      <c r="T2152" s="7"/>
      <c r="U2152" s="7" t="s">
        <v>44</v>
      </c>
      <c r="V2152" s="7" t="s">
        <v>45</v>
      </c>
      <c r="W2152" s="7" t="s">
        <v>67</v>
      </c>
      <c r="X2152" s="7" t="s">
        <v>68</v>
      </c>
      <c r="Y2152" s="7" t="s">
        <v>5294</v>
      </c>
      <c r="Z2152" s="7" t="s">
        <v>5276</v>
      </c>
      <c r="AA2152" s="7"/>
      <c r="AB2152" s="7"/>
      <c r="AC2152" s="7" t="s">
        <v>4817</v>
      </c>
      <c r="AD2152" s="7"/>
      <c r="AE2152" s="7"/>
      <c r="AF2152" s="7" t="s">
        <v>113</v>
      </c>
      <c r="AG2152" s="7" t="s">
        <v>366</v>
      </c>
      <c r="AH2152" s="7" t="s">
        <v>4818</v>
      </c>
    </row>
    <row r="2153" spans="1:34" ht="9.75" customHeight="1" x14ac:dyDescent="0.2">
      <c r="A2153" s="7" t="s">
        <v>4811</v>
      </c>
      <c r="B2153" s="7" t="s">
        <v>4812</v>
      </c>
      <c r="C2153" s="7" t="s">
        <v>5297</v>
      </c>
      <c r="D2153" s="7" t="s">
        <v>5298</v>
      </c>
      <c r="E2153" s="8">
        <v>2</v>
      </c>
      <c r="F2153" s="7"/>
      <c r="G2153" s="7"/>
      <c r="H2153" s="9"/>
      <c r="I2153" s="9"/>
      <c r="J2153" s="9"/>
      <c r="K2153" s="9"/>
      <c r="L2153" s="10">
        <v>2252</v>
      </c>
      <c r="M2153" s="9"/>
      <c r="N2153" s="10">
        <v>2252</v>
      </c>
      <c r="O2153" s="9"/>
      <c r="P2153" s="10"/>
      <c r="Q2153" s="10"/>
      <c r="R2153" s="10"/>
      <c r="S2153" s="7" t="s">
        <v>5253</v>
      </c>
      <c r="T2153" s="7"/>
      <c r="U2153" s="7" t="s">
        <v>44</v>
      </c>
      <c r="V2153" s="7" t="s">
        <v>45</v>
      </c>
      <c r="W2153" s="7" t="s">
        <v>67</v>
      </c>
      <c r="X2153" s="7" t="s">
        <v>68</v>
      </c>
      <c r="Y2153" s="7" t="s">
        <v>5294</v>
      </c>
      <c r="Z2153" s="7" t="s">
        <v>5276</v>
      </c>
      <c r="AA2153" s="7"/>
      <c r="AB2153" s="7"/>
      <c r="AC2153" s="7" t="s">
        <v>4817</v>
      </c>
      <c r="AD2153" s="7"/>
      <c r="AE2153" s="7"/>
      <c r="AF2153" s="7" t="s">
        <v>113</v>
      </c>
      <c r="AG2153" s="7" t="s">
        <v>366</v>
      </c>
      <c r="AH2153" s="7" t="s">
        <v>4818</v>
      </c>
    </row>
    <row r="2154" spans="1:34" ht="9.75" customHeight="1" x14ac:dyDescent="0.2">
      <c r="A2154" s="7" t="s">
        <v>4811</v>
      </c>
      <c r="B2154" s="7" t="s">
        <v>4812</v>
      </c>
      <c r="C2154" s="7" t="s">
        <v>5009</v>
      </c>
      <c r="D2154" s="7" t="s">
        <v>5299</v>
      </c>
      <c r="E2154" s="8">
        <v>2</v>
      </c>
      <c r="F2154" s="7"/>
      <c r="G2154" s="7"/>
      <c r="H2154" s="9"/>
      <c r="I2154" s="9"/>
      <c r="J2154" s="9"/>
      <c r="K2154" s="9"/>
      <c r="L2154" s="10">
        <v>2414</v>
      </c>
      <c r="M2154" s="9"/>
      <c r="N2154" s="10">
        <v>2414</v>
      </c>
      <c r="O2154" s="9"/>
      <c r="P2154" s="10"/>
      <c r="Q2154" s="10"/>
      <c r="R2154" s="10"/>
      <c r="S2154" s="7" t="s">
        <v>5253</v>
      </c>
      <c r="T2154" s="7"/>
      <c r="U2154" s="7" t="s">
        <v>44</v>
      </c>
      <c r="V2154" s="7" t="s">
        <v>45</v>
      </c>
      <c r="W2154" s="7" t="s">
        <v>67</v>
      </c>
      <c r="X2154" s="7" t="s">
        <v>68</v>
      </c>
      <c r="Y2154" s="7" t="s">
        <v>5294</v>
      </c>
      <c r="Z2154" s="7" t="s">
        <v>5276</v>
      </c>
      <c r="AA2154" s="7"/>
      <c r="AB2154" s="7"/>
      <c r="AC2154" s="7" t="s">
        <v>4817</v>
      </c>
      <c r="AD2154" s="7"/>
      <c r="AE2154" s="7"/>
      <c r="AF2154" s="7" t="s">
        <v>113</v>
      </c>
      <c r="AG2154" s="7" t="s">
        <v>366</v>
      </c>
      <c r="AH2154" s="7" t="s">
        <v>4818</v>
      </c>
    </row>
    <row r="2155" spans="1:34" ht="9.75" customHeight="1" x14ac:dyDescent="0.2">
      <c r="A2155" s="7" t="s">
        <v>4811</v>
      </c>
      <c r="B2155" s="7" t="s">
        <v>4812</v>
      </c>
      <c r="C2155" s="7" t="s">
        <v>4955</v>
      </c>
      <c r="D2155" s="7" t="s">
        <v>5300</v>
      </c>
      <c r="E2155" s="8">
        <v>2</v>
      </c>
      <c r="F2155" s="7"/>
      <c r="G2155" s="7"/>
      <c r="H2155" s="9"/>
      <c r="I2155" s="9"/>
      <c r="J2155" s="9"/>
      <c r="K2155" s="9"/>
      <c r="L2155" s="10">
        <v>6810</v>
      </c>
      <c r="M2155" s="9"/>
      <c r="N2155" s="10">
        <v>6810</v>
      </c>
      <c r="O2155" s="9"/>
      <c r="P2155" s="10"/>
      <c r="Q2155" s="10"/>
      <c r="R2155" s="10"/>
      <c r="S2155" s="7" t="s">
        <v>5253</v>
      </c>
      <c r="T2155" s="7"/>
      <c r="U2155" s="7" t="s">
        <v>44</v>
      </c>
      <c r="V2155" s="7" t="s">
        <v>45</v>
      </c>
      <c r="W2155" s="7" t="s">
        <v>67</v>
      </c>
      <c r="X2155" s="7" t="s">
        <v>68</v>
      </c>
      <c r="Y2155" s="7" t="s">
        <v>5294</v>
      </c>
      <c r="Z2155" s="7" t="s">
        <v>5276</v>
      </c>
      <c r="AA2155" s="7"/>
      <c r="AB2155" s="7"/>
      <c r="AC2155" s="7" t="s">
        <v>4817</v>
      </c>
      <c r="AD2155" s="7"/>
      <c r="AE2155" s="7"/>
      <c r="AF2155" s="7" t="s">
        <v>113</v>
      </c>
      <c r="AG2155" s="7" t="s">
        <v>366</v>
      </c>
      <c r="AH2155" s="7" t="s">
        <v>4818</v>
      </c>
    </row>
    <row r="2156" spans="1:34" ht="9.75" customHeight="1" x14ac:dyDescent="0.2">
      <c r="A2156" s="7" t="s">
        <v>4811</v>
      </c>
      <c r="B2156" s="7" t="s">
        <v>4812</v>
      </c>
      <c r="C2156" s="7"/>
      <c r="D2156" s="7" t="s">
        <v>5301</v>
      </c>
      <c r="E2156" s="8">
        <v>2</v>
      </c>
      <c r="F2156" s="7"/>
      <c r="G2156" s="7"/>
      <c r="H2156" s="9"/>
      <c r="I2156" s="9"/>
      <c r="J2156" s="9"/>
      <c r="K2156" s="9"/>
      <c r="L2156" s="10">
        <v>15178</v>
      </c>
      <c r="M2156" s="9"/>
      <c r="N2156" s="10">
        <v>15178</v>
      </c>
      <c r="O2156" s="9"/>
      <c r="P2156" s="10"/>
      <c r="Q2156" s="10"/>
      <c r="R2156" s="10"/>
      <c r="S2156" s="7" t="s">
        <v>5253</v>
      </c>
      <c r="T2156" s="7"/>
      <c r="U2156" s="7"/>
      <c r="V2156" s="7"/>
      <c r="W2156" s="7"/>
      <c r="X2156" s="7"/>
      <c r="Y2156" s="7" t="s">
        <v>5294</v>
      </c>
      <c r="Z2156" s="7" t="s">
        <v>5276</v>
      </c>
      <c r="AA2156" s="7"/>
      <c r="AB2156" s="7"/>
      <c r="AC2156" s="7" t="s">
        <v>4817</v>
      </c>
      <c r="AD2156" s="7"/>
      <c r="AE2156" s="7"/>
      <c r="AF2156" s="7" t="s">
        <v>113</v>
      </c>
      <c r="AG2156" s="7" t="s">
        <v>366</v>
      </c>
      <c r="AH2156" s="7" t="s">
        <v>4818</v>
      </c>
    </row>
    <row r="2157" spans="1:34" ht="9.75" customHeight="1" x14ac:dyDescent="0.2">
      <c r="A2157" s="7" t="s">
        <v>4811</v>
      </c>
      <c r="B2157" s="7" t="s">
        <v>4812</v>
      </c>
      <c r="C2157" s="7"/>
      <c r="D2157" s="7" t="s">
        <v>5302</v>
      </c>
      <c r="E2157" s="8">
        <v>6</v>
      </c>
      <c r="F2157" s="7"/>
      <c r="G2157" s="7"/>
      <c r="H2157" s="9"/>
      <c r="I2157" s="10">
        <v>2714238</v>
      </c>
      <c r="J2157" s="10">
        <v>2671812</v>
      </c>
      <c r="K2157" s="9"/>
      <c r="L2157" s="10">
        <v>2760878</v>
      </c>
      <c r="M2157" s="9"/>
      <c r="N2157" s="10">
        <v>2760878</v>
      </c>
      <c r="O2157" s="9"/>
      <c r="P2157" s="10"/>
      <c r="Q2157" s="10"/>
      <c r="R2157" s="10"/>
      <c r="S2157" s="7" t="s">
        <v>43</v>
      </c>
      <c r="T2157" s="7"/>
      <c r="U2157" s="7"/>
      <c r="V2157" s="7"/>
      <c r="W2157" s="7"/>
      <c r="X2157" s="7"/>
      <c r="Y2157" s="7" t="s">
        <v>5303</v>
      </c>
      <c r="Z2157" s="7" t="s">
        <v>5304</v>
      </c>
      <c r="AA2157" s="7"/>
      <c r="AB2157" s="7"/>
      <c r="AC2157" s="7" t="s">
        <v>5305</v>
      </c>
      <c r="AD2157" s="7"/>
      <c r="AE2157" s="7"/>
      <c r="AF2157" s="7" t="s">
        <v>113</v>
      </c>
      <c r="AG2157" s="7" t="s">
        <v>366</v>
      </c>
      <c r="AH2157" s="7" t="s">
        <v>5302</v>
      </c>
    </row>
    <row r="2158" spans="1:34" ht="9.75" customHeight="1" x14ac:dyDescent="0.2">
      <c r="A2158" s="7" t="s">
        <v>4811</v>
      </c>
      <c r="B2158" s="7" t="s">
        <v>4812</v>
      </c>
      <c r="C2158" s="7"/>
      <c r="D2158" s="7" t="s">
        <v>5306</v>
      </c>
      <c r="E2158" s="8">
        <v>6</v>
      </c>
      <c r="F2158" s="7"/>
      <c r="G2158" s="7" t="s">
        <v>5307</v>
      </c>
      <c r="H2158" s="9"/>
      <c r="I2158" s="10">
        <v>183642</v>
      </c>
      <c r="J2158" s="10">
        <v>197600</v>
      </c>
      <c r="K2158" s="9"/>
      <c r="L2158" s="10">
        <v>209225</v>
      </c>
      <c r="M2158" s="9"/>
      <c r="N2158" s="10">
        <v>209225</v>
      </c>
      <c r="O2158" s="9"/>
      <c r="P2158" s="10"/>
      <c r="Q2158" s="10"/>
      <c r="R2158" s="10"/>
      <c r="S2158" s="7" t="s">
        <v>54</v>
      </c>
      <c r="T2158" s="7" t="s">
        <v>5302</v>
      </c>
      <c r="U2158" s="7" t="s">
        <v>44</v>
      </c>
      <c r="V2158" s="7" t="s">
        <v>45</v>
      </c>
      <c r="W2158" s="7" t="s">
        <v>130</v>
      </c>
      <c r="X2158" s="7" t="s">
        <v>131</v>
      </c>
      <c r="Y2158" s="7" t="s">
        <v>5308</v>
      </c>
      <c r="Z2158" s="7" t="s">
        <v>5309</v>
      </c>
      <c r="AA2158" s="7"/>
      <c r="AB2158" s="7"/>
      <c r="AC2158" s="7" t="s">
        <v>5305</v>
      </c>
      <c r="AD2158" s="7"/>
      <c r="AE2158" s="7"/>
      <c r="AF2158" s="7" t="s">
        <v>113</v>
      </c>
      <c r="AG2158" s="7" t="s">
        <v>366</v>
      </c>
      <c r="AH2158" s="7" t="s">
        <v>5302</v>
      </c>
    </row>
    <row r="2159" spans="1:34" ht="9.75" customHeight="1" x14ac:dyDescent="0.2">
      <c r="A2159" s="7" t="s">
        <v>4811</v>
      </c>
      <c r="B2159" s="7" t="s">
        <v>4812</v>
      </c>
      <c r="C2159" s="7"/>
      <c r="D2159" s="7" t="s">
        <v>5310</v>
      </c>
      <c r="E2159" s="8">
        <v>6</v>
      </c>
      <c r="F2159" s="7"/>
      <c r="G2159" s="7"/>
      <c r="H2159" s="9"/>
      <c r="I2159" s="10">
        <v>14157</v>
      </c>
      <c r="J2159" s="10">
        <v>7186</v>
      </c>
      <c r="K2159" s="9"/>
      <c r="L2159" s="10">
        <v>5573</v>
      </c>
      <c r="M2159" s="9"/>
      <c r="N2159" s="10">
        <v>5573</v>
      </c>
      <c r="O2159" s="9"/>
      <c r="P2159" s="10"/>
      <c r="Q2159" s="10"/>
      <c r="R2159" s="10"/>
      <c r="S2159" s="7" t="s">
        <v>54</v>
      </c>
      <c r="T2159" s="7" t="s">
        <v>5302</v>
      </c>
      <c r="U2159" s="7" t="s">
        <v>44</v>
      </c>
      <c r="V2159" s="7" t="s">
        <v>45</v>
      </c>
      <c r="W2159" s="7" t="s">
        <v>4779</v>
      </c>
      <c r="X2159" s="7" t="s">
        <v>4780</v>
      </c>
      <c r="Y2159" s="7" t="s">
        <v>5308</v>
      </c>
      <c r="Z2159" s="7" t="s">
        <v>5309</v>
      </c>
      <c r="AA2159" s="7"/>
      <c r="AB2159" s="7"/>
      <c r="AC2159" s="7" t="s">
        <v>5305</v>
      </c>
      <c r="AD2159" s="7"/>
      <c r="AE2159" s="7"/>
      <c r="AF2159" s="7" t="s">
        <v>113</v>
      </c>
      <c r="AG2159" s="7" t="s">
        <v>366</v>
      </c>
      <c r="AH2159" s="7" t="s">
        <v>5302</v>
      </c>
    </row>
    <row r="2160" spans="1:34" ht="9.75" customHeight="1" x14ac:dyDescent="0.2">
      <c r="A2160" s="7" t="s">
        <v>4811</v>
      </c>
      <c r="B2160" s="7" t="s">
        <v>4812</v>
      </c>
      <c r="C2160" s="7"/>
      <c r="D2160" s="7" t="s">
        <v>5311</v>
      </c>
      <c r="E2160" s="8">
        <v>6</v>
      </c>
      <c r="F2160" s="7"/>
      <c r="G2160" s="7"/>
      <c r="H2160" s="9"/>
      <c r="I2160" s="10">
        <v>81444</v>
      </c>
      <c r="J2160" s="10">
        <v>81505</v>
      </c>
      <c r="K2160" s="9"/>
      <c r="L2160" s="10">
        <v>86561</v>
      </c>
      <c r="M2160" s="9"/>
      <c r="N2160" s="10">
        <v>86561</v>
      </c>
      <c r="O2160" s="9"/>
      <c r="P2160" s="10"/>
      <c r="Q2160" s="10"/>
      <c r="R2160" s="10"/>
      <c r="S2160" s="7" t="s">
        <v>54</v>
      </c>
      <c r="T2160" s="7" t="s">
        <v>5302</v>
      </c>
      <c r="U2160" s="7" t="s">
        <v>44</v>
      </c>
      <c r="V2160" s="7" t="s">
        <v>45</v>
      </c>
      <c r="W2160" s="7" t="s">
        <v>67</v>
      </c>
      <c r="X2160" s="7" t="s">
        <v>68</v>
      </c>
      <c r="Y2160" s="7" t="s">
        <v>5308</v>
      </c>
      <c r="Z2160" s="7" t="s">
        <v>5309</v>
      </c>
      <c r="AA2160" s="7"/>
      <c r="AB2160" s="7"/>
      <c r="AC2160" s="7" t="s">
        <v>5305</v>
      </c>
      <c r="AD2160" s="7"/>
      <c r="AE2160" s="7"/>
      <c r="AF2160" s="7" t="s">
        <v>113</v>
      </c>
      <c r="AG2160" s="7" t="s">
        <v>366</v>
      </c>
      <c r="AH2160" s="7" t="s">
        <v>5302</v>
      </c>
    </row>
    <row r="2161" spans="1:34" ht="9.75" customHeight="1" x14ac:dyDescent="0.2">
      <c r="A2161" s="7" t="s">
        <v>4811</v>
      </c>
      <c r="B2161" s="7" t="s">
        <v>4812</v>
      </c>
      <c r="C2161" s="7"/>
      <c r="D2161" s="7" t="s">
        <v>5312</v>
      </c>
      <c r="E2161" s="8">
        <v>6</v>
      </c>
      <c r="F2161" s="7"/>
      <c r="G2161" s="7"/>
      <c r="H2161" s="9"/>
      <c r="I2161" s="10">
        <v>7548</v>
      </c>
      <c r="J2161" s="10">
        <v>8364</v>
      </c>
      <c r="K2161" s="9"/>
      <c r="L2161" s="10">
        <v>6842</v>
      </c>
      <c r="M2161" s="9"/>
      <c r="N2161" s="10">
        <v>6842</v>
      </c>
      <c r="O2161" s="9"/>
      <c r="P2161" s="10"/>
      <c r="Q2161" s="10"/>
      <c r="R2161" s="10"/>
      <c r="S2161" s="7" t="s">
        <v>54</v>
      </c>
      <c r="T2161" s="7" t="s">
        <v>5302</v>
      </c>
      <c r="U2161" s="7"/>
      <c r="V2161" s="7"/>
      <c r="W2161" s="7"/>
      <c r="X2161" s="7"/>
      <c r="Y2161" s="7" t="s">
        <v>5308</v>
      </c>
      <c r="Z2161" s="7" t="s">
        <v>5309</v>
      </c>
      <c r="AA2161" s="7"/>
      <c r="AB2161" s="7"/>
      <c r="AC2161" s="7" t="s">
        <v>5305</v>
      </c>
      <c r="AD2161" s="7"/>
      <c r="AE2161" s="7"/>
      <c r="AF2161" s="7" t="s">
        <v>113</v>
      </c>
      <c r="AG2161" s="7" t="s">
        <v>366</v>
      </c>
      <c r="AH2161" s="7" t="s">
        <v>5302</v>
      </c>
    </row>
    <row r="2162" spans="1:34" ht="9.75" customHeight="1" x14ac:dyDescent="0.2">
      <c r="A2162" s="7" t="s">
        <v>4811</v>
      </c>
      <c r="B2162" s="7" t="s">
        <v>4812</v>
      </c>
      <c r="C2162" s="7"/>
      <c r="D2162" s="7" t="s">
        <v>5313</v>
      </c>
      <c r="E2162" s="8">
        <v>6</v>
      </c>
      <c r="F2162" s="7"/>
      <c r="G2162" s="7" t="s">
        <v>5314</v>
      </c>
      <c r="H2162" s="9"/>
      <c r="I2162" s="10">
        <v>446317</v>
      </c>
      <c r="J2162" s="10">
        <v>463167</v>
      </c>
      <c r="K2162" s="9"/>
      <c r="L2162" s="10">
        <v>451307</v>
      </c>
      <c r="M2162" s="9"/>
      <c r="N2162" s="10">
        <v>451307</v>
      </c>
      <c r="O2162" s="9"/>
      <c r="P2162" s="10"/>
      <c r="Q2162" s="10"/>
      <c r="R2162" s="10"/>
      <c r="S2162" s="7" t="s">
        <v>54</v>
      </c>
      <c r="T2162" s="7" t="s">
        <v>5302</v>
      </c>
      <c r="U2162" s="7"/>
      <c r="V2162" s="7"/>
      <c r="W2162" s="7"/>
      <c r="X2162" s="7"/>
      <c r="Y2162" s="7" t="s">
        <v>5308</v>
      </c>
      <c r="Z2162" s="7" t="s">
        <v>5309</v>
      </c>
      <c r="AA2162" s="7"/>
      <c r="AB2162" s="7"/>
      <c r="AC2162" s="7" t="s">
        <v>5305</v>
      </c>
      <c r="AD2162" s="7"/>
      <c r="AE2162" s="7"/>
      <c r="AF2162" s="7" t="s">
        <v>113</v>
      </c>
      <c r="AG2162" s="7" t="s">
        <v>366</v>
      </c>
      <c r="AH2162" s="7" t="s">
        <v>5302</v>
      </c>
    </row>
    <row r="2163" spans="1:34" ht="9.75" customHeight="1" x14ac:dyDescent="0.2">
      <c r="A2163" s="7" t="s">
        <v>4811</v>
      </c>
      <c r="B2163" s="7" t="s">
        <v>4812</v>
      </c>
      <c r="C2163" s="7"/>
      <c r="D2163" s="7" t="s">
        <v>5315</v>
      </c>
      <c r="E2163" s="8">
        <v>6</v>
      </c>
      <c r="F2163" s="7"/>
      <c r="G2163" s="7"/>
      <c r="H2163" s="9"/>
      <c r="I2163" s="10">
        <v>120535</v>
      </c>
      <c r="J2163" s="10">
        <v>87573</v>
      </c>
      <c r="K2163" s="9"/>
      <c r="L2163" s="10">
        <v>81780</v>
      </c>
      <c r="M2163" s="9"/>
      <c r="N2163" s="10">
        <v>81780</v>
      </c>
      <c r="O2163" s="9"/>
      <c r="P2163" s="10"/>
      <c r="Q2163" s="10"/>
      <c r="R2163" s="10"/>
      <c r="S2163" s="7" t="s">
        <v>54</v>
      </c>
      <c r="T2163" s="7" t="s">
        <v>5302</v>
      </c>
      <c r="U2163" s="7"/>
      <c r="V2163" s="7"/>
      <c r="W2163" s="7"/>
      <c r="X2163" s="7"/>
      <c r="Y2163" s="7" t="s">
        <v>5308</v>
      </c>
      <c r="Z2163" s="7" t="s">
        <v>5309</v>
      </c>
      <c r="AA2163" s="7"/>
      <c r="AB2163" s="7"/>
      <c r="AC2163" s="7" t="s">
        <v>5305</v>
      </c>
      <c r="AD2163" s="7"/>
      <c r="AE2163" s="7"/>
      <c r="AF2163" s="7" t="s">
        <v>113</v>
      </c>
      <c r="AG2163" s="7" t="s">
        <v>366</v>
      </c>
      <c r="AH2163" s="7" t="s">
        <v>5302</v>
      </c>
    </row>
    <row r="2164" spans="1:34" ht="9.75" customHeight="1" x14ac:dyDescent="0.2">
      <c r="A2164" s="7" t="s">
        <v>4811</v>
      </c>
      <c r="B2164" s="7" t="s">
        <v>4812</v>
      </c>
      <c r="C2164" s="7"/>
      <c r="D2164" s="7" t="s">
        <v>5316</v>
      </c>
      <c r="E2164" s="8">
        <v>6</v>
      </c>
      <c r="F2164" s="7"/>
      <c r="G2164" s="7"/>
      <c r="H2164" s="9"/>
      <c r="I2164" s="10">
        <v>327227</v>
      </c>
      <c r="J2164" s="10">
        <v>340900</v>
      </c>
      <c r="K2164" s="9"/>
      <c r="L2164" s="10">
        <v>355445</v>
      </c>
      <c r="M2164" s="9"/>
      <c r="N2164" s="10">
        <v>355445</v>
      </c>
      <c r="O2164" s="9"/>
      <c r="P2164" s="10"/>
      <c r="Q2164" s="10"/>
      <c r="R2164" s="10"/>
      <c r="S2164" s="7" t="s">
        <v>54</v>
      </c>
      <c r="T2164" s="7" t="s">
        <v>5302</v>
      </c>
      <c r="U2164" s="7"/>
      <c r="V2164" s="7"/>
      <c r="W2164" s="7"/>
      <c r="X2164" s="7"/>
      <c r="Y2164" s="7" t="s">
        <v>5308</v>
      </c>
      <c r="Z2164" s="7" t="s">
        <v>5309</v>
      </c>
      <c r="AA2164" s="7"/>
      <c r="AB2164" s="7"/>
      <c r="AC2164" s="7" t="s">
        <v>5305</v>
      </c>
      <c r="AD2164" s="7"/>
      <c r="AE2164" s="7"/>
      <c r="AF2164" s="7" t="s">
        <v>113</v>
      </c>
      <c r="AG2164" s="7" t="s">
        <v>366</v>
      </c>
      <c r="AH2164" s="7" t="s">
        <v>5302</v>
      </c>
    </row>
    <row r="2165" spans="1:34" ht="9.75" customHeight="1" x14ac:dyDescent="0.2">
      <c r="A2165" s="7" t="s">
        <v>4811</v>
      </c>
      <c r="B2165" s="7" t="s">
        <v>4812</v>
      </c>
      <c r="C2165" s="7"/>
      <c r="D2165" s="7" t="s">
        <v>5317</v>
      </c>
      <c r="E2165" s="8">
        <v>6</v>
      </c>
      <c r="F2165" s="7"/>
      <c r="G2165" s="7"/>
      <c r="H2165" s="9"/>
      <c r="I2165" s="10">
        <v>255302</v>
      </c>
      <c r="J2165" s="10">
        <v>269204</v>
      </c>
      <c r="K2165" s="9"/>
      <c r="L2165" s="10">
        <v>251345</v>
      </c>
      <c r="M2165" s="9"/>
      <c r="N2165" s="10">
        <v>251345</v>
      </c>
      <c r="O2165" s="9"/>
      <c r="P2165" s="10"/>
      <c r="Q2165" s="10"/>
      <c r="R2165" s="10"/>
      <c r="S2165" s="7" t="s">
        <v>54</v>
      </c>
      <c r="T2165" s="7" t="s">
        <v>5302</v>
      </c>
      <c r="U2165" s="7"/>
      <c r="V2165" s="7"/>
      <c r="W2165" s="7"/>
      <c r="X2165" s="7"/>
      <c r="Y2165" s="7" t="s">
        <v>5308</v>
      </c>
      <c r="Z2165" s="7" t="s">
        <v>5309</v>
      </c>
      <c r="AA2165" s="7"/>
      <c r="AB2165" s="7"/>
      <c r="AC2165" s="7" t="s">
        <v>5305</v>
      </c>
      <c r="AD2165" s="7"/>
      <c r="AE2165" s="7"/>
      <c r="AF2165" s="7" t="s">
        <v>113</v>
      </c>
      <c r="AG2165" s="7" t="s">
        <v>366</v>
      </c>
      <c r="AH2165" s="7" t="s">
        <v>5302</v>
      </c>
    </row>
    <row r="2166" spans="1:34" ht="9.75" customHeight="1" x14ac:dyDescent="0.2">
      <c r="A2166" s="7" t="s">
        <v>4811</v>
      </c>
      <c r="B2166" s="7" t="s">
        <v>4812</v>
      </c>
      <c r="C2166" s="7"/>
      <c r="D2166" s="7" t="s">
        <v>5318</v>
      </c>
      <c r="E2166" s="8">
        <v>4</v>
      </c>
      <c r="F2166" s="7"/>
      <c r="G2166" s="7"/>
      <c r="H2166" s="9"/>
      <c r="I2166" s="10">
        <v>415261</v>
      </c>
      <c r="J2166" s="10">
        <v>277773</v>
      </c>
      <c r="K2166" s="9"/>
      <c r="L2166" s="10">
        <v>410893</v>
      </c>
      <c r="M2166" s="9"/>
      <c r="N2166" s="10">
        <v>410893</v>
      </c>
      <c r="O2166" s="9"/>
      <c r="P2166" s="10"/>
      <c r="Q2166" s="10"/>
      <c r="R2166" s="10"/>
      <c r="S2166" s="7" t="s">
        <v>43</v>
      </c>
      <c r="T2166" s="7"/>
      <c r="U2166" s="7"/>
      <c r="V2166" s="7"/>
      <c r="W2166" s="7"/>
      <c r="X2166" s="7"/>
      <c r="Y2166" s="7" t="s">
        <v>5319</v>
      </c>
      <c r="Z2166" s="7" t="s">
        <v>5309</v>
      </c>
      <c r="AA2166" s="7"/>
      <c r="AB2166" s="7"/>
      <c r="AC2166" s="7" t="s">
        <v>5305</v>
      </c>
      <c r="AD2166" s="7"/>
      <c r="AE2166" s="7"/>
      <c r="AF2166" s="7" t="s">
        <v>113</v>
      </c>
      <c r="AG2166" s="7" t="s">
        <v>366</v>
      </c>
      <c r="AH2166" s="7" t="s">
        <v>5302</v>
      </c>
    </row>
    <row r="2167" spans="1:34" ht="9.75" customHeight="1" x14ac:dyDescent="0.2">
      <c r="A2167" s="7" t="s">
        <v>4811</v>
      </c>
      <c r="B2167" s="7" t="s">
        <v>4812</v>
      </c>
      <c r="C2167" s="7"/>
      <c r="D2167" s="7" t="s">
        <v>5320</v>
      </c>
      <c r="E2167" s="8">
        <v>4</v>
      </c>
      <c r="F2167" s="7"/>
      <c r="G2167" s="7"/>
      <c r="H2167" s="9"/>
      <c r="I2167" s="10">
        <v>7958</v>
      </c>
      <c r="J2167" s="10">
        <v>8083</v>
      </c>
      <c r="K2167" s="9"/>
      <c r="L2167" s="10">
        <v>6821</v>
      </c>
      <c r="M2167" s="9"/>
      <c r="N2167" s="10">
        <v>6821</v>
      </c>
      <c r="O2167" s="9"/>
      <c r="P2167" s="10"/>
      <c r="Q2167" s="10"/>
      <c r="R2167" s="10"/>
      <c r="S2167" s="7" t="s">
        <v>54</v>
      </c>
      <c r="T2167" s="7" t="s">
        <v>5318</v>
      </c>
      <c r="U2167" s="7"/>
      <c r="V2167" s="7"/>
      <c r="W2167" s="7"/>
      <c r="X2167" s="7"/>
      <c r="Y2167" s="7" t="s">
        <v>5321</v>
      </c>
      <c r="Z2167" s="7" t="s">
        <v>5309</v>
      </c>
      <c r="AA2167" s="7"/>
      <c r="AB2167" s="7"/>
      <c r="AC2167" s="7" t="s">
        <v>5305</v>
      </c>
      <c r="AD2167" s="7" t="s">
        <v>5322</v>
      </c>
      <c r="AE2167" s="7"/>
      <c r="AF2167" s="7" t="s">
        <v>113</v>
      </c>
      <c r="AG2167" s="7" t="s">
        <v>366</v>
      </c>
      <c r="AH2167" s="7" t="s">
        <v>5302</v>
      </c>
    </row>
    <row r="2168" spans="1:34" ht="9.75" customHeight="1" x14ac:dyDescent="0.2">
      <c r="A2168" s="7" t="s">
        <v>4811</v>
      </c>
      <c r="B2168" s="7" t="s">
        <v>4812</v>
      </c>
      <c r="C2168" s="7"/>
      <c r="D2168" s="7" t="s">
        <v>5323</v>
      </c>
      <c r="E2168" s="8">
        <v>4</v>
      </c>
      <c r="F2168" s="7"/>
      <c r="G2168" s="7"/>
      <c r="H2168" s="9"/>
      <c r="I2168" s="10">
        <v>49174</v>
      </c>
      <c r="J2168" s="10">
        <v>52893</v>
      </c>
      <c r="K2168" s="9"/>
      <c r="L2168" s="10">
        <v>58269</v>
      </c>
      <c r="M2168" s="9"/>
      <c r="N2168" s="10">
        <v>58269</v>
      </c>
      <c r="O2168" s="9"/>
      <c r="P2168" s="10"/>
      <c r="Q2168" s="10"/>
      <c r="R2168" s="10"/>
      <c r="S2168" s="7" t="s">
        <v>54</v>
      </c>
      <c r="T2168" s="7" t="s">
        <v>5318</v>
      </c>
      <c r="U2168" s="7" t="s">
        <v>44</v>
      </c>
      <c r="V2168" s="7" t="s">
        <v>45</v>
      </c>
      <c r="W2168" s="7" t="s">
        <v>46</v>
      </c>
      <c r="X2168" s="7" t="s">
        <v>90</v>
      </c>
      <c r="Y2168" s="7" t="s">
        <v>5324</v>
      </c>
      <c r="Z2168" s="7" t="s">
        <v>5309</v>
      </c>
      <c r="AA2168" s="7"/>
      <c r="AB2168" s="7"/>
      <c r="AC2168" s="7" t="s">
        <v>5305</v>
      </c>
      <c r="AD2168" s="7" t="s">
        <v>46</v>
      </c>
      <c r="AE2168" s="7"/>
      <c r="AF2168" s="7" t="s">
        <v>113</v>
      </c>
      <c r="AG2168" s="7" t="s">
        <v>366</v>
      </c>
      <c r="AH2168" s="7" t="s">
        <v>5302</v>
      </c>
    </row>
    <row r="2169" spans="1:34" ht="9.75" customHeight="1" x14ac:dyDescent="0.2">
      <c r="A2169" s="7" t="s">
        <v>4811</v>
      </c>
      <c r="B2169" s="7" t="s">
        <v>4812</v>
      </c>
      <c r="C2169" s="7"/>
      <c r="D2169" s="7" t="s">
        <v>5325</v>
      </c>
      <c r="E2169" s="8">
        <v>4</v>
      </c>
      <c r="F2169" s="7"/>
      <c r="G2169" s="7" t="s">
        <v>5326</v>
      </c>
      <c r="H2169" s="9"/>
      <c r="I2169" s="10">
        <v>127935</v>
      </c>
      <c r="J2169" s="10">
        <v>75364</v>
      </c>
      <c r="K2169" s="9"/>
      <c r="L2169" s="10">
        <v>95494</v>
      </c>
      <c r="M2169" s="9"/>
      <c r="N2169" s="10">
        <v>95494</v>
      </c>
      <c r="O2169" s="9"/>
      <c r="P2169" s="10"/>
      <c r="Q2169" s="10"/>
      <c r="R2169" s="10"/>
      <c r="S2169" s="7" t="s">
        <v>54</v>
      </c>
      <c r="T2169" s="7" t="s">
        <v>5318</v>
      </c>
      <c r="U2169" s="7" t="s">
        <v>44</v>
      </c>
      <c r="V2169" s="7" t="s">
        <v>45</v>
      </c>
      <c r="W2169" s="7" t="s">
        <v>130</v>
      </c>
      <c r="X2169" s="7" t="s">
        <v>131</v>
      </c>
      <c r="Y2169" s="7" t="s">
        <v>5327</v>
      </c>
      <c r="Z2169" s="7" t="s">
        <v>5309</v>
      </c>
      <c r="AA2169" s="7"/>
      <c r="AB2169" s="7"/>
      <c r="AC2169" s="7" t="s">
        <v>5305</v>
      </c>
      <c r="AD2169" s="7" t="s">
        <v>131</v>
      </c>
      <c r="AE2169" s="7"/>
      <c r="AF2169" s="7" t="s">
        <v>113</v>
      </c>
      <c r="AG2169" s="7" t="s">
        <v>366</v>
      </c>
      <c r="AH2169" s="7" t="s">
        <v>5302</v>
      </c>
    </row>
    <row r="2170" spans="1:34" ht="9.75" customHeight="1" x14ac:dyDescent="0.2">
      <c r="A2170" s="7" t="s">
        <v>4811</v>
      </c>
      <c r="B2170" s="7" t="s">
        <v>4812</v>
      </c>
      <c r="C2170" s="7"/>
      <c r="D2170" s="7" t="s">
        <v>5328</v>
      </c>
      <c r="E2170" s="8">
        <v>4</v>
      </c>
      <c r="F2170" s="7"/>
      <c r="G2170" s="7" t="s">
        <v>5329</v>
      </c>
      <c r="H2170" s="9"/>
      <c r="I2170" s="10">
        <v>140115</v>
      </c>
      <c r="J2170" s="10">
        <v>47075</v>
      </c>
      <c r="K2170" s="9"/>
      <c r="L2170" s="10">
        <v>178395</v>
      </c>
      <c r="M2170" s="9"/>
      <c r="N2170" s="10">
        <v>178395</v>
      </c>
      <c r="O2170" s="9"/>
      <c r="P2170" s="10"/>
      <c r="Q2170" s="10"/>
      <c r="R2170" s="10"/>
      <c r="S2170" s="7" t="s">
        <v>54</v>
      </c>
      <c r="T2170" s="7" t="s">
        <v>5318</v>
      </c>
      <c r="U2170" s="7" t="s">
        <v>44</v>
      </c>
      <c r="V2170" s="7" t="s">
        <v>45</v>
      </c>
      <c r="W2170" s="7" t="s">
        <v>171</v>
      </c>
      <c r="X2170" s="7" t="s">
        <v>5027</v>
      </c>
      <c r="Y2170" s="7" t="s">
        <v>5330</v>
      </c>
      <c r="Z2170" s="7" t="s">
        <v>5309</v>
      </c>
      <c r="AA2170" s="7"/>
      <c r="AB2170" s="7"/>
      <c r="AC2170" s="7" t="s">
        <v>5305</v>
      </c>
      <c r="AD2170" s="7" t="s">
        <v>175</v>
      </c>
      <c r="AE2170" s="7"/>
      <c r="AF2170" s="7" t="s">
        <v>113</v>
      </c>
      <c r="AG2170" s="7" t="s">
        <v>366</v>
      </c>
      <c r="AH2170" s="7" t="s">
        <v>5302</v>
      </c>
    </row>
    <row r="2171" spans="1:34" ht="9.75" customHeight="1" x14ac:dyDescent="0.2">
      <c r="A2171" s="7" t="s">
        <v>4811</v>
      </c>
      <c r="B2171" s="7" t="s">
        <v>4812</v>
      </c>
      <c r="C2171" s="7"/>
      <c r="D2171" s="7" t="s">
        <v>5331</v>
      </c>
      <c r="E2171" s="8">
        <v>4</v>
      </c>
      <c r="F2171" s="7"/>
      <c r="G2171" s="7"/>
      <c r="H2171" s="9"/>
      <c r="I2171" s="10">
        <v>11708</v>
      </c>
      <c r="J2171" s="10">
        <v>15000</v>
      </c>
      <c r="K2171" s="9"/>
      <c r="L2171" s="10">
        <v>14512</v>
      </c>
      <c r="M2171" s="9"/>
      <c r="N2171" s="10">
        <v>14512</v>
      </c>
      <c r="O2171" s="9"/>
      <c r="P2171" s="10"/>
      <c r="Q2171" s="10"/>
      <c r="R2171" s="10"/>
      <c r="S2171" s="7" t="s">
        <v>54</v>
      </c>
      <c r="T2171" s="7" t="s">
        <v>5318</v>
      </c>
      <c r="U2171" s="7" t="s">
        <v>44</v>
      </c>
      <c r="V2171" s="7" t="s">
        <v>45</v>
      </c>
      <c r="W2171" s="7" t="s">
        <v>130</v>
      </c>
      <c r="X2171" s="7"/>
      <c r="Y2171" s="7" t="s">
        <v>5332</v>
      </c>
      <c r="Z2171" s="7" t="s">
        <v>5309</v>
      </c>
      <c r="AA2171" s="7"/>
      <c r="AB2171" s="7"/>
      <c r="AC2171" s="7" t="s">
        <v>5305</v>
      </c>
      <c r="AD2171" s="7" t="s">
        <v>130</v>
      </c>
      <c r="AE2171" s="7"/>
      <c r="AF2171" s="7" t="s">
        <v>113</v>
      </c>
      <c r="AG2171" s="7" t="s">
        <v>366</v>
      </c>
      <c r="AH2171" s="7" t="s">
        <v>5302</v>
      </c>
    </row>
    <row r="2172" spans="1:34" ht="9.75" customHeight="1" x14ac:dyDescent="0.2">
      <c r="A2172" s="7" t="s">
        <v>4811</v>
      </c>
      <c r="B2172" s="7" t="s">
        <v>4812</v>
      </c>
      <c r="C2172" s="7"/>
      <c r="D2172" s="7" t="s">
        <v>5333</v>
      </c>
      <c r="E2172" s="8">
        <v>4</v>
      </c>
      <c r="F2172" s="7"/>
      <c r="G2172" s="7" t="s">
        <v>5334</v>
      </c>
      <c r="H2172" s="9"/>
      <c r="I2172" s="10">
        <v>53695</v>
      </c>
      <c r="J2172" s="10">
        <v>69476</v>
      </c>
      <c r="K2172" s="9"/>
      <c r="L2172" s="10">
        <v>51173</v>
      </c>
      <c r="M2172" s="9"/>
      <c r="N2172" s="10">
        <v>51173</v>
      </c>
      <c r="O2172" s="9"/>
      <c r="P2172" s="10"/>
      <c r="Q2172" s="10"/>
      <c r="R2172" s="10"/>
      <c r="S2172" s="7" t="s">
        <v>54</v>
      </c>
      <c r="T2172" s="7" t="s">
        <v>5318</v>
      </c>
      <c r="U2172" s="7" t="s">
        <v>44</v>
      </c>
      <c r="V2172" s="7" t="s">
        <v>45</v>
      </c>
      <c r="W2172" s="7" t="s">
        <v>67</v>
      </c>
      <c r="X2172" s="7" t="s">
        <v>68</v>
      </c>
      <c r="Y2172" s="7" t="s">
        <v>5335</v>
      </c>
      <c r="Z2172" s="7" t="s">
        <v>5309</v>
      </c>
      <c r="AA2172" s="7"/>
      <c r="AB2172" s="7"/>
      <c r="AC2172" s="7" t="s">
        <v>5305</v>
      </c>
      <c r="AD2172" s="7" t="s">
        <v>5336</v>
      </c>
      <c r="AE2172" s="7"/>
      <c r="AF2172" s="7" t="s">
        <v>113</v>
      </c>
      <c r="AG2172" s="7" t="s">
        <v>366</v>
      </c>
      <c r="AH2172" s="7" t="s">
        <v>5302</v>
      </c>
    </row>
    <row r="2173" spans="1:34" ht="9.75" customHeight="1" x14ac:dyDescent="0.2">
      <c r="A2173" s="7" t="s">
        <v>4811</v>
      </c>
      <c r="B2173" s="7" t="s">
        <v>4812</v>
      </c>
      <c r="C2173" s="7"/>
      <c r="D2173" s="7" t="s">
        <v>5337</v>
      </c>
      <c r="E2173" s="8">
        <v>4</v>
      </c>
      <c r="F2173" s="7"/>
      <c r="G2173" s="7"/>
      <c r="H2173" s="9"/>
      <c r="I2173" s="10">
        <v>12087</v>
      </c>
      <c r="J2173" s="10">
        <v>8</v>
      </c>
      <c r="K2173" s="9"/>
      <c r="L2173" s="10">
        <v>5</v>
      </c>
      <c r="M2173" s="9"/>
      <c r="N2173" s="10">
        <v>5</v>
      </c>
      <c r="O2173" s="9"/>
      <c r="P2173" s="10"/>
      <c r="Q2173" s="10"/>
      <c r="R2173" s="10"/>
      <c r="S2173" s="7" t="s">
        <v>54</v>
      </c>
      <c r="T2173" s="7" t="s">
        <v>5318</v>
      </c>
      <c r="U2173" s="7" t="s">
        <v>44</v>
      </c>
      <c r="V2173" s="7" t="s">
        <v>45</v>
      </c>
      <c r="W2173" s="7" t="s">
        <v>130</v>
      </c>
      <c r="X2173" s="7" t="s">
        <v>5077</v>
      </c>
      <c r="Y2173" s="7" t="s">
        <v>5338</v>
      </c>
      <c r="Z2173" s="7" t="s">
        <v>2220</v>
      </c>
      <c r="AA2173" s="7"/>
      <c r="AB2173" s="7"/>
      <c r="AC2173" s="7" t="s">
        <v>5305</v>
      </c>
      <c r="AD2173" s="7" t="s">
        <v>5339</v>
      </c>
      <c r="AE2173" s="7"/>
      <c r="AF2173" s="7" t="s">
        <v>113</v>
      </c>
      <c r="AG2173" s="7" t="s">
        <v>366</v>
      </c>
      <c r="AH2173" s="7" t="s">
        <v>5302</v>
      </c>
    </row>
    <row r="2174" spans="1:34" ht="9.75" customHeight="1" x14ac:dyDescent="0.2">
      <c r="A2174" s="7" t="s">
        <v>4811</v>
      </c>
      <c r="B2174" s="7" t="s">
        <v>4812</v>
      </c>
      <c r="C2174" s="7"/>
      <c r="D2174" s="7" t="s">
        <v>5340</v>
      </c>
      <c r="E2174" s="8">
        <v>4</v>
      </c>
      <c r="F2174" s="7"/>
      <c r="G2174" s="7"/>
      <c r="H2174" s="9"/>
      <c r="I2174" s="10">
        <v>8247</v>
      </c>
      <c r="J2174" s="10">
        <v>5631</v>
      </c>
      <c r="K2174" s="9"/>
      <c r="L2174" s="10">
        <v>2051</v>
      </c>
      <c r="M2174" s="9"/>
      <c r="N2174" s="10">
        <v>2051</v>
      </c>
      <c r="O2174" s="9"/>
      <c r="P2174" s="10"/>
      <c r="Q2174" s="10"/>
      <c r="R2174" s="10"/>
      <c r="S2174" s="7" t="s">
        <v>54</v>
      </c>
      <c r="T2174" s="7" t="s">
        <v>5318</v>
      </c>
      <c r="U2174" s="7" t="s">
        <v>44</v>
      </c>
      <c r="V2174" s="7" t="s">
        <v>45</v>
      </c>
      <c r="W2174" s="7" t="s">
        <v>130</v>
      </c>
      <c r="X2174" s="7" t="s">
        <v>156</v>
      </c>
      <c r="Y2174" s="7" t="s">
        <v>5341</v>
      </c>
      <c r="Z2174" s="7" t="s">
        <v>5309</v>
      </c>
      <c r="AA2174" s="7"/>
      <c r="AB2174" s="7"/>
      <c r="AC2174" s="7" t="s">
        <v>5305</v>
      </c>
      <c r="AD2174" s="7" t="s">
        <v>156</v>
      </c>
      <c r="AE2174" s="7"/>
      <c r="AF2174" s="7" t="s">
        <v>113</v>
      </c>
      <c r="AG2174" s="7" t="s">
        <v>366</v>
      </c>
      <c r="AH2174" s="7" t="s">
        <v>5302</v>
      </c>
    </row>
    <row r="2175" spans="1:34" ht="9.75" customHeight="1" x14ac:dyDescent="0.2">
      <c r="A2175" s="7" t="s">
        <v>4811</v>
      </c>
      <c r="B2175" s="7" t="s">
        <v>4812</v>
      </c>
      <c r="C2175" s="7"/>
      <c r="D2175" s="7" t="s">
        <v>5342</v>
      </c>
      <c r="E2175" s="8">
        <v>4</v>
      </c>
      <c r="F2175" s="7"/>
      <c r="G2175" s="7"/>
      <c r="H2175" s="9"/>
      <c r="I2175" s="10">
        <v>922</v>
      </c>
      <c r="J2175" s="10">
        <v>894</v>
      </c>
      <c r="K2175" s="9"/>
      <c r="L2175" s="10">
        <v>709</v>
      </c>
      <c r="M2175" s="9"/>
      <c r="N2175" s="10">
        <v>709</v>
      </c>
      <c r="O2175" s="9"/>
      <c r="P2175" s="10"/>
      <c r="Q2175" s="10"/>
      <c r="R2175" s="10"/>
      <c r="S2175" s="7" t="s">
        <v>54</v>
      </c>
      <c r="T2175" s="7" t="s">
        <v>5318</v>
      </c>
      <c r="U2175" s="7"/>
      <c r="V2175" s="7"/>
      <c r="W2175" s="7"/>
      <c r="X2175" s="7"/>
      <c r="Y2175" s="7" t="s">
        <v>5343</v>
      </c>
      <c r="Z2175" s="7" t="s">
        <v>5309</v>
      </c>
      <c r="AA2175" s="7"/>
      <c r="AB2175" s="7"/>
      <c r="AC2175" s="7" t="s">
        <v>5305</v>
      </c>
      <c r="AD2175" s="7" t="s">
        <v>347</v>
      </c>
      <c r="AE2175" s="7"/>
      <c r="AF2175" s="7" t="s">
        <v>113</v>
      </c>
      <c r="AG2175" s="7" t="s">
        <v>366</v>
      </c>
      <c r="AH2175" s="7" t="s">
        <v>5302</v>
      </c>
    </row>
    <row r="2176" spans="1:34" ht="9.75" customHeight="1" x14ac:dyDescent="0.2">
      <c r="A2176" s="7" t="s">
        <v>4811</v>
      </c>
      <c r="B2176" s="7" t="s">
        <v>4812</v>
      </c>
      <c r="C2176" s="7"/>
      <c r="D2176" s="7" t="s">
        <v>5344</v>
      </c>
      <c r="E2176" s="8">
        <v>4</v>
      </c>
      <c r="F2176" s="7"/>
      <c r="G2176" s="7"/>
      <c r="H2176" s="9"/>
      <c r="I2176" s="10">
        <v>3420</v>
      </c>
      <c r="J2176" s="10">
        <v>3349</v>
      </c>
      <c r="K2176" s="9"/>
      <c r="L2176" s="10">
        <v>3464</v>
      </c>
      <c r="M2176" s="9"/>
      <c r="N2176" s="10">
        <v>3464</v>
      </c>
      <c r="O2176" s="9"/>
      <c r="P2176" s="10"/>
      <c r="Q2176" s="10"/>
      <c r="R2176" s="10"/>
      <c r="S2176" s="7" t="s">
        <v>54</v>
      </c>
      <c r="T2176" s="7" t="s">
        <v>5318</v>
      </c>
      <c r="U2176" s="7"/>
      <c r="V2176" s="7"/>
      <c r="W2176" s="7"/>
      <c r="X2176" s="7"/>
      <c r="Y2176" s="7" t="s">
        <v>5345</v>
      </c>
      <c r="Z2176" s="7" t="s">
        <v>5309</v>
      </c>
      <c r="AA2176" s="7"/>
      <c r="AB2176" s="7"/>
      <c r="AC2176" s="7" t="s">
        <v>5305</v>
      </c>
      <c r="AD2176" s="7" t="s">
        <v>5346</v>
      </c>
      <c r="AE2176" s="7"/>
      <c r="AF2176" s="7" t="s">
        <v>113</v>
      </c>
      <c r="AG2176" s="7" t="s">
        <v>366</v>
      </c>
      <c r="AH2176" s="7" t="s">
        <v>5302</v>
      </c>
    </row>
    <row r="2177" spans="1:34" ht="9.75" customHeight="1" x14ac:dyDescent="0.2">
      <c r="A2177" s="7" t="s">
        <v>4811</v>
      </c>
      <c r="B2177" s="7" t="s">
        <v>4812</v>
      </c>
      <c r="C2177" s="7"/>
      <c r="D2177" s="7" t="s">
        <v>5347</v>
      </c>
      <c r="E2177" s="8">
        <v>6</v>
      </c>
      <c r="F2177" s="7"/>
      <c r="G2177" s="7"/>
      <c r="H2177" s="9"/>
      <c r="I2177" s="10">
        <v>103028</v>
      </c>
      <c r="J2177" s="10">
        <v>104083</v>
      </c>
      <c r="K2177" s="9"/>
      <c r="L2177" s="10">
        <v>115706</v>
      </c>
      <c r="M2177" s="9"/>
      <c r="N2177" s="10">
        <v>115706</v>
      </c>
      <c r="O2177" s="9"/>
      <c r="P2177" s="10"/>
      <c r="Q2177" s="10"/>
      <c r="R2177" s="10"/>
      <c r="S2177" s="7" t="s">
        <v>54</v>
      </c>
      <c r="T2177" s="7" t="s">
        <v>5302</v>
      </c>
      <c r="U2177" s="7"/>
      <c r="V2177" s="7"/>
      <c r="W2177" s="7"/>
      <c r="X2177" s="7"/>
      <c r="Y2177" s="7" t="s">
        <v>5348</v>
      </c>
      <c r="Z2177" s="7" t="s">
        <v>2359</v>
      </c>
      <c r="AA2177" s="7"/>
      <c r="AB2177" s="7"/>
      <c r="AC2177" s="7" t="s">
        <v>5305</v>
      </c>
      <c r="AD2177" s="7" t="s">
        <v>5349</v>
      </c>
      <c r="AE2177" s="7"/>
      <c r="AF2177" s="7" t="s">
        <v>113</v>
      </c>
      <c r="AG2177" s="7" t="s">
        <v>366</v>
      </c>
      <c r="AH2177" s="7" t="s">
        <v>5302</v>
      </c>
    </row>
    <row r="2178" spans="1:34" ht="9.75" customHeight="1" x14ac:dyDescent="0.2">
      <c r="A2178" s="7" t="s">
        <v>4811</v>
      </c>
      <c r="B2178" s="7" t="s">
        <v>4812</v>
      </c>
      <c r="C2178" s="7"/>
      <c r="D2178" s="7" t="s">
        <v>5350</v>
      </c>
      <c r="E2178" s="8">
        <v>6</v>
      </c>
      <c r="F2178" s="7"/>
      <c r="G2178" s="7" t="s">
        <v>5351</v>
      </c>
      <c r="H2178" s="9"/>
      <c r="I2178" s="10">
        <v>22363</v>
      </c>
      <c r="J2178" s="10">
        <v>34068</v>
      </c>
      <c r="K2178" s="9"/>
      <c r="L2178" s="10">
        <v>23672</v>
      </c>
      <c r="M2178" s="9"/>
      <c r="N2178" s="10">
        <v>23672</v>
      </c>
      <c r="O2178" s="9"/>
      <c r="P2178" s="10"/>
      <c r="Q2178" s="10"/>
      <c r="R2178" s="10"/>
      <c r="S2178" s="7" t="s">
        <v>54</v>
      </c>
      <c r="T2178" s="7" t="s">
        <v>5302</v>
      </c>
      <c r="U2178" s="7"/>
      <c r="V2178" s="7"/>
      <c r="W2178" s="7"/>
      <c r="X2178" s="7"/>
      <c r="Y2178" s="7" t="s">
        <v>5352</v>
      </c>
      <c r="Z2178" s="7" t="s">
        <v>2359</v>
      </c>
      <c r="AA2178" s="7"/>
      <c r="AB2178" s="7"/>
      <c r="AC2178" s="7" t="s">
        <v>5305</v>
      </c>
      <c r="AD2178" s="7" t="s">
        <v>5353</v>
      </c>
      <c r="AE2178" s="7"/>
      <c r="AF2178" s="7" t="s">
        <v>113</v>
      </c>
      <c r="AG2178" s="7" t="s">
        <v>366</v>
      </c>
      <c r="AH2178" s="7" t="s">
        <v>5302</v>
      </c>
    </row>
    <row r="2179" spans="1:34" ht="9.75" customHeight="1" x14ac:dyDescent="0.2">
      <c r="A2179" s="7" t="s">
        <v>4811</v>
      </c>
      <c r="B2179" s="7" t="s">
        <v>4812</v>
      </c>
      <c r="C2179" s="7"/>
      <c r="D2179" s="7" t="s">
        <v>5354</v>
      </c>
      <c r="E2179" s="8">
        <v>6</v>
      </c>
      <c r="F2179" s="7"/>
      <c r="G2179" s="7"/>
      <c r="H2179" s="9"/>
      <c r="I2179" s="10">
        <v>12756</v>
      </c>
      <c r="J2179" s="10">
        <v>11062</v>
      </c>
      <c r="K2179" s="9"/>
      <c r="L2179" s="10">
        <v>14954</v>
      </c>
      <c r="M2179" s="9"/>
      <c r="N2179" s="10">
        <v>14954</v>
      </c>
      <c r="O2179" s="9"/>
      <c r="P2179" s="10"/>
      <c r="Q2179" s="10"/>
      <c r="R2179" s="10"/>
      <c r="S2179" s="7" t="s">
        <v>54</v>
      </c>
      <c r="T2179" s="7" t="s">
        <v>5302</v>
      </c>
      <c r="U2179" s="7"/>
      <c r="V2179" s="7"/>
      <c r="W2179" s="7"/>
      <c r="X2179" s="7"/>
      <c r="Y2179" s="7" t="s">
        <v>5355</v>
      </c>
      <c r="Z2179" s="7" t="s">
        <v>2359</v>
      </c>
      <c r="AA2179" s="7"/>
      <c r="AB2179" s="7"/>
      <c r="AC2179" s="7" t="s">
        <v>5305</v>
      </c>
      <c r="AD2179" s="7" t="s">
        <v>5356</v>
      </c>
      <c r="AE2179" s="7"/>
      <c r="AF2179" s="7" t="s">
        <v>113</v>
      </c>
      <c r="AG2179" s="7" t="s">
        <v>366</v>
      </c>
      <c r="AH2179" s="7" t="s">
        <v>5302</v>
      </c>
    </row>
    <row r="2180" spans="1:34" ht="9.75" customHeight="1" x14ac:dyDescent="0.2">
      <c r="A2180" s="7" t="s">
        <v>4811</v>
      </c>
      <c r="B2180" s="7" t="s">
        <v>4812</v>
      </c>
      <c r="C2180" s="7"/>
      <c r="D2180" s="7" t="s">
        <v>5357</v>
      </c>
      <c r="E2180" s="8">
        <v>7</v>
      </c>
      <c r="F2180" s="7"/>
      <c r="G2180" s="7"/>
      <c r="H2180" s="9"/>
      <c r="I2180" s="10">
        <v>129771</v>
      </c>
      <c r="J2180" s="10">
        <v>135039</v>
      </c>
      <c r="K2180" s="9"/>
      <c r="L2180" s="10">
        <v>141596</v>
      </c>
      <c r="M2180" s="9"/>
      <c r="N2180" s="10">
        <v>141596</v>
      </c>
      <c r="O2180" s="9"/>
      <c r="P2180" s="10"/>
      <c r="Q2180" s="10"/>
      <c r="R2180" s="10"/>
      <c r="S2180" s="7" t="s">
        <v>43</v>
      </c>
      <c r="T2180" s="7"/>
      <c r="U2180" s="7"/>
      <c r="V2180" s="7"/>
      <c r="W2180" s="7"/>
      <c r="X2180" s="7"/>
      <c r="Y2180" s="7" t="s">
        <v>5358</v>
      </c>
      <c r="Z2180" s="7" t="s">
        <v>2359</v>
      </c>
      <c r="AA2180" s="7"/>
      <c r="AB2180" s="7"/>
      <c r="AC2180" s="7" t="s">
        <v>5305</v>
      </c>
      <c r="AD2180" s="7"/>
      <c r="AE2180" s="7"/>
      <c r="AF2180" s="7" t="s">
        <v>113</v>
      </c>
      <c r="AG2180" s="7" t="s">
        <v>366</v>
      </c>
      <c r="AH2180" s="7" t="s">
        <v>5302</v>
      </c>
    </row>
    <row r="2181" spans="1:34" ht="9.75" customHeight="1" x14ac:dyDescent="0.2">
      <c r="A2181" s="7" t="s">
        <v>4811</v>
      </c>
      <c r="B2181" s="7" t="s">
        <v>4812</v>
      </c>
      <c r="C2181" s="7"/>
      <c r="D2181" s="7" t="s">
        <v>5359</v>
      </c>
      <c r="E2181" s="8">
        <v>7</v>
      </c>
      <c r="F2181" s="7"/>
      <c r="G2181" s="7" t="s">
        <v>5360</v>
      </c>
      <c r="H2181" s="9"/>
      <c r="I2181" s="10">
        <v>99158</v>
      </c>
      <c r="J2181" s="10">
        <v>121924</v>
      </c>
      <c r="K2181" s="9"/>
      <c r="L2181" s="10">
        <v>138400</v>
      </c>
      <c r="M2181" s="9"/>
      <c r="N2181" s="10">
        <v>138400</v>
      </c>
      <c r="O2181" s="9"/>
      <c r="P2181" s="10"/>
      <c r="Q2181" s="10"/>
      <c r="R2181" s="10"/>
      <c r="S2181" s="7" t="s">
        <v>54</v>
      </c>
      <c r="T2181" s="7" t="s">
        <v>5357</v>
      </c>
      <c r="U2181" s="7"/>
      <c r="V2181" s="7"/>
      <c r="W2181" s="7"/>
      <c r="X2181" s="7"/>
      <c r="Y2181" s="7" t="s">
        <v>5361</v>
      </c>
      <c r="Z2181" s="7" t="s">
        <v>2359</v>
      </c>
      <c r="AA2181" s="7"/>
      <c r="AB2181" s="7"/>
      <c r="AC2181" s="7" t="s">
        <v>5305</v>
      </c>
      <c r="AD2181" s="7" t="s">
        <v>5362</v>
      </c>
      <c r="AE2181" s="7"/>
      <c r="AF2181" s="7" t="s">
        <v>113</v>
      </c>
      <c r="AG2181" s="7" t="s">
        <v>366</v>
      </c>
      <c r="AH2181" s="7" t="s">
        <v>5302</v>
      </c>
    </row>
    <row r="2182" spans="1:34" ht="9.75" customHeight="1" x14ac:dyDescent="0.2">
      <c r="A2182" s="7" t="s">
        <v>4811</v>
      </c>
      <c r="B2182" s="7" t="s">
        <v>4812</v>
      </c>
      <c r="C2182" s="7"/>
      <c r="D2182" s="7" t="s">
        <v>5363</v>
      </c>
      <c r="E2182" s="8">
        <v>7</v>
      </c>
      <c r="F2182" s="7"/>
      <c r="G2182" s="7"/>
      <c r="H2182" s="9"/>
      <c r="I2182" s="10">
        <v>30613</v>
      </c>
      <c r="J2182" s="10">
        <v>13115</v>
      </c>
      <c r="K2182" s="9"/>
      <c r="L2182" s="10">
        <v>3196</v>
      </c>
      <c r="M2182" s="9"/>
      <c r="N2182" s="10">
        <v>3196</v>
      </c>
      <c r="O2182" s="9"/>
      <c r="P2182" s="10"/>
      <c r="Q2182" s="10"/>
      <c r="R2182" s="10"/>
      <c r="S2182" s="7" t="s">
        <v>54</v>
      </c>
      <c r="T2182" s="7" t="s">
        <v>5357</v>
      </c>
      <c r="U2182" s="7" t="s">
        <v>44</v>
      </c>
      <c r="V2182" s="7" t="s">
        <v>45</v>
      </c>
      <c r="W2182" s="7" t="s">
        <v>67</v>
      </c>
      <c r="X2182" s="7" t="s">
        <v>68</v>
      </c>
      <c r="Y2182" s="7" t="s">
        <v>5364</v>
      </c>
      <c r="Z2182" s="7" t="s">
        <v>2359</v>
      </c>
      <c r="AA2182" s="7"/>
      <c r="AB2182" s="7"/>
      <c r="AC2182" s="7" t="s">
        <v>5305</v>
      </c>
      <c r="AD2182" s="7" t="s">
        <v>5365</v>
      </c>
      <c r="AE2182" s="7"/>
      <c r="AF2182" s="7" t="s">
        <v>113</v>
      </c>
      <c r="AG2182" s="7" t="s">
        <v>366</v>
      </c>
      <c r="AH2182" s="7" t="s">
        <v>5302</v>
      </c>
    </row>
    <row r="2183" spans="1:34" ht="9.75" customHeight="1" x14ac:dyDescent="0.2">
      <c r="A2183" s="7" t="s">
        <v>4811</v>
      </c>
      <c r="B2183" s="7" t="s">
        <v>4812</v>
      </c>
      <c r="C2183" s="7"/>
      <c r="D2183" s="7" t="s">
        <v>5366</v>
      </c>
      <c r="E2183" s="8">
        <v>6</v>
      </c>
      <c r="F2183" s="7"/>
      <c r="G2183" s="7"/>
      <c r="H2183" s="9"/>
      <c r="I2183" s="10">
        <v>22311</v>
      </c>
      <c r="J2183" s="10">
        <v>25633</v>
      </c>
      <c r="K2183" s="9"/>
      <c r="L2183" s="10">
        <v>26529</v>
      </c>
      <c r="M2183" s="9"/>
      <c r="N2183" s="10">
        <v>26529</v>
      </c>
      <c r="O2183" s="9"/>
      <c r="P2183" s="10"/>
      <c r="Q2183" s="10"/>
      <c r="R2183" s="10"/>
      <c r="S2183" s="7" t="s">
        <v>54</v>
      </c>
      <c r="T2183" s="7" t="s">
        <v>5302</v>
      </c>
      <c r="U2183" s="7"/>
      <c r="V2183" s="7"/>
      <c r="W2183" s="7"/>
      <c r="X2183" s="7"/>
      <c r="Y2183" s="7" t="s">
        <v>5367</v>
      </c>
      <c r="Z2183" s="7" t="s">
        <v>2359</v>
      </c>
      <c r="AA2183" s="7"/>
      <c r="AB2183" s="7"/>
      <c r="AC2183" s="7" t="s">
        <v>5305</v>
      </c>
      <c r="AD2183" s="7" t="s">
        <v>5368</v>
      </c>
      <c r="AE2183" s="7"/>
      <c r="AF2183" s="7" t="s">
        <v>113</v>
      </c>
      <c r="AG2183" s="7" t="s">
        <v>366</v>
      </c>
      <c r="AH2183" s="7" t="s">
        <v>5302</v>
      </c>
    </row>
    <row r="2184" spans="1:34" ht="9.75" customHeight="1" x14ac:dyDescent="0.2">
      <c r="A2184" s="7" t="s">
        <v>4811</v>
      </c>
      <c r="B2184" s="7" t="s">
        <v>4812</v>
      </c>
      <c r="C2184" s="7"/>
      <c r="D2184" s="7" t="s">
        <v>5369</v>
      </c>
      <c r="E2184" s="8">
        <v>6</v>
      </c>
      <c r="F2184" s="7"/>
      <c r="G2184" s="7" t="s">
        <v>5370</v>
      </c>
      <c r="H2184" s="9"/>
      <c r="I2184" s="10">
        <v>571260</v>
      </c>
      <c r="J2184" s="10">
        <v>628655</v>
      </c>
      <c r="K2184" s="9"/>
      <c r="L2184" s="10">
        <v>579450</v>
      </c>
      <c r="M2184" s="9"/>
      <c r="N2184" s="10">
        <v>579450</v>
      </c>
      <c r="O2184" s="9"/>
      <c r="P2184" s="10"/>
      <c r="Q2184" s="10"/>
      <c r="R2184" s="10"/>
      <c r="S2184" s="7" t="s">
        <v>54</v>
      </c>
      <c r="T2184" s="7" t="s">
        <v>5302</v>
      </c>
      <c r="U2184" s="7"/>
      <c r="V2184" s="7"/>
      <c r="W2184" s="7"/>
      <c r="X2184" s="7"/>
      <c r="Y2184" s="7" t="s">
        <v>5371</v>
      </c>
      <c r="Z2184" s="7" t="s">
        <v>2359</v>
      </c>
      <c r="AA2184" s="7"/>
      <c r="AB2184" s="7"/>
      <c r="AC2184" s="7" t="s">
        <v>5305</v>
      </c>
      <c r="AD2184" s="7" t="s">
        <v>5372</v>
      </c>
      <c r="AE2184" s="7"/>
      <c r="AF2184" s="7" t="s">
        <v>113</v>
      </c>
      <c r="AG2184" s="7" t="s">
        <v>366</v>
      </c>
      <c r="AH2184" s="7" t="s">
        <v>5302</v>
      </c>
    </row>
    <row r="2185" spans="1:34" ht="9.75" customHeight="1" x14ac:dyDescent="0.2">
      <c r="A2185" s="7" t="s">
        <v>4811</v>
      </c>
      <c r="B2185" s="7" t="s">
        <v>4812</v>
      </c>
      <c r="C2185" s="7"/>
      <c r="D2185" s="7" t="s">
        <v>5373</v>
      </c>
      <c r="E2185" s="8">
        <v>2</v>
      </c>
      <c r="F2185" s="7"/>
      <c r="G2185" s="7" t="s">
        <v>5374</v>
      </c>
      <c r="H2185" s="9"/>
      <c r="I2185" s="10">
        <v>547620</v>
      </c>
      <c r="J2185" s="10">
        <v>463722</v>
      </c>
      <c r="K2185" s="9"/>
      <c r="L2185" s="10">
        <v>388627</v>
      </c>
      <c r="M2185" s="9"/>
      <c r="N2185" s="10">
        <v>388627</v>
      </c>
      <c r="O2185" s="9"/>
      <c r="P2185" s="10">
        <v>3500</v>
      </c>
      <c r="Q2185" s="10">
        <v>388627</v>
      </c>
      <c r="R2185" s="10">
        <v>392127</v>
      </c>
      <c r="S2185" s="7" t="s">
        <v>43</v>
      </c>
      <c r="T2185" s="7"/>
      <c r="U2185" s="7"/>
      <c r="V2185" s="7"/>
      <c r="W2185" s="7"/>
      <c r="X2185" s="7"/>
      <c r="Y2185" s="7" t="s">
        <v>5375</v>
      </c>
      <c r="Z2185" s="7" t="s">
        <v>5376</v>
      </c>
      <c r="AA2185" s="7"/>
      <c r="AB2185" s="7"/>
      <c r="AC2185" s="7" t="s">
        <v>5377</v>
      </c>
      <c r="AD2185" s="7"/>
      <c r="AE2185" s="7"/>
      <c r="AF2185" s="7" t="s">
        <v>50</v>
      </c>
      <c r="AG2185" s="7" t="s">
        <v>253</v>
      </c>
      <c r="AH2185" s="7" t="s">
        <v>5373</v>
      </c>
    </row>
    <row r="2186" spans="1:34" ht="9.75" customHeight="1" x14ac:dyDescent="0.2">
      <c r="A2186" s="7" t="s">
        <v>4811</v>
      </c>
      <c r="B2186" s="7" t="s">
        <v>4812</v>
      </c>
      <c r="C2186" s="7"/>
      <c r="D2186" s="7" t="s">
        <v>5378</v>
      </c>
      <c r="E2186" s="8">
        <v>6</v>
      </c>
      <c r="F2186" s="7"/>
      <c r="G2186" s="7" t="s">
        <v>5379</v>
      </c>
      <c r="H2186" s="9"/>
      <c r="I2186" s="9"/>
      <c r="J2186" s="9"/>
      <c r="K2186" s="9"/>
      <c r="L2186" s="10">
        <v>8756</v>
      </c>
      <c r="M2186" s="9"/>
      <c r="N2186" s="10">
        <v>8756</v>
      </c>
      <c r="O2186" s="9"/>
      <c r="P2186" s="10"/>
      <c r="Q2186" s="10"/>
      <c r="R2186" s="10"/>
      <c r="S2186" s="7" t="s">
        <v>54</v>
      </c>
      <c r="T2186" s="7" t="s">
        <v>5373</v>
      </c>
      <c r="U2186" s="7" t="s">
        <v>44</v>
      </c>
      <c r="V2186" s="7" t="s">
        <v>355</v>
      </c>
      <c r="W2186" s="7" t="s">
        <v>5380</v>
      </c>
      <c r="X2186" s="7" t="s">
        <v>5381</v>
      </c>
      <c r="Y2186" s="7" t="s">
        <v>5382</v>
      </c>
      <c r="Z2186" s="7" t="s">
        <v>5383</v>
      </c>
      <c r="AA2186" s="7"/>
      <c r="AB2186" s="7"/>
      <c r="AC2186" s="7" t="s">
        <v>5377</v>
      </c>
      <c r="AD2186" s="7"/>
      <c r="AE2186" s="7"/>
      <c r="AF2186" s="7" t="s">
        <v>50</v>
      </c>
      <c r="AG2186" s="7" t="s">
        <v>253</v>
      </c>
      <c r="AH2186" s="7" t="s">
        <v>5373</v>
      </c>
    </row>
    <row r="2187" spans="1:34" ht="9.75" customHeight="1" x14ac:dyDescent="0.2">
      <c r="A2187" s="7" t="s">
        <v>4811</v>
      </c>
      <c r="B2187" s="7" t="s">
        <v>4812</v>
      </c>
      <c r="C2187" s="7"/>
      <c r="D2187" s="7" t="s">
        <v>5384</v>
      </c>
      <c r="E2187" s="8">
        <v>5</v>
      </c>
      <c r="F2187" s="7"/>
      <c r="G2187" s="7"/>
      <c r="H2187" s="9"/>
      <c r="I2187" s="9"/>
      <c r="J2187" s="9"/>
      <c r="K2187" s="9"/>
      <c r="L2187" s="10">
        <v>5444</v>
      </c>
      <c r="M2187" s="9"/>
      <c r="N2187" s="10">
        <v>5444</v>
      </c>
      <c r="O2187" s="9"/>
      <c r="P2187" s="10"/>
      <c r="Q2187" s="10"/>
      <c r="R2187" s="10"/>
      <c r="S2187" s="7" t="s">
        <v>54</v>
      </c>
      <c r="T2187" s="7" t="s">
        <v>5373</v>
      </c>
      <c r="U2187" s="7" t="s">
        <v>44</v>
      </c>
      <c r="V2187" s="7" t="s">
        <v>355</v>
      </c>
      <c r="W2187" s="7" t="s">
        <v>5380</v>
      </c>
      <c r="X2187" s="7" t="s">
        <v>5381</v>
      </c>
      <c r="Y2187" s="7" t="s">
        <v>5382</v>
      </c>
      <c r="Z2187" s="7" t="s">
        <v>5383</v>
      </c>
      <c r="AA2187" s="7"/>
      <c r="AB2187" s="7"/>
      <c r="AC2187" s="7" t="s">
        <v>5377</v>
      </c>
      <c r="AD2187" s="7"/>
      <c r="AE2187" s="7"/>
      <c r="AF2187" s="7" t="s">
        <v>50</v>
      </c>
      <c r="AG2187" s="7" t="s">
        <v>253</v>
      </c>
      <c r="AH2187" s="7" t="s">
        <v>5373</v>
      </c>
    </row>
    <row r="2188" spans="1:34" ht="9.75" customHeight="1" x14ac:dyDescent="0.2">
      <c r="A2188" s="7" t="s">
        <v>4811</v>
      </c>
      <c r="B2188" s="7" t="s">
        <v>4812</v>
      </c>
      <c r="C2188" s="7" t="s">
        <v>4914</v>
      </c>
      <c r="D2188" s="7" t="s">
        <v>4915</v>
      </c>
      <c r="E2188" s="8">
        <v>2</v>
      </c>
      <c r="F2188" s="7"/>
      <c r="G2188" s="7"/>
      <c r="H2188" s="9"/>
      <c r="I2188" s="9"/>
      <c r="J2188" s="9"/>
      <c r="K2188" s="9"/>
      <c r="L2188" s="10">
        <v>12849</v>
      </c>
      <c r="M2188" s="9"/>
      <c r="N2188" s="10">
        <v>12849</v>
      </c>
      <c r="O2188" s="9"/>
      <c r="P2188" s="10"/>
      <c r="Q2188" s="10"/>
      <c r="R2188" s="10"/>
      <c r="S2188" s="7" t="s">
        <v>54</v>
      </c>
      <c r="T2188" s="7" t="s">
        <v>5373</v>
      </c>
      <c r="U2188" s="7"/>
      <c r="V2188" s="7"/>
      <c r="W2188" s="7"/>
      <c r="X2188" s="7"/>
      <c r="Y2188" s="7" t="s">
        <v>5385</v>
      </c>
      <c r="Z2188" s="7" t="s">
        <v>5386</v>
      </c>
      <c r="AA2188" s="7"/>
      <c r="AB2188" s="7"/>
      <c r="AC2188" s="7" t="s">
        <v>5377</v>
      </c>
      <c r="AD2188" s="7" t="s">
        <v>4917</v>
      </c>
      <c r="AE2188" s="7"/>
      <c r="AF2188" s="7" t="s">
        <v>113</v>
      </c>
      <c r="AG2188" s="7" t="s">
        <v>366</v>
      </c>
      <c r="AH2188" s="7" t="s">
        <v>5373</v>
      </c>
    </row>
    <row r="2189" spans="1:34" ht="9.75" customHeight="1" x14ac:dyDescent="0.2">
      <c r="A2189" s="7" t="s">
        <v>4811</v>
      </c>
      <c r="B2189" s="7" t="s">
        <v>4812</v>
      </c>
      <c r="C2189" s="7"/>
      <c r="D2189" s="7" t="s">
        <v>5387</v>
      </c>
      <c r="E2189" s="8">
        <v>2</v>
      </c>
      <c r="F2189" s="7"/>
      <c r="G2189" s="7"/>
      <c r="H2189" s="9"/>
      <c r="I2189" s="10">
        <v>667592</v>
      </c>
      <c r="J2189" s="10">
        <v>780558</v>
      </c>
      <c r="K2189" s="9"/>
      <c r="L2189" s="10">
        <v>785052</v>
      </c>
      <c r="M2189" s="9"/>
      <c r="N2189" s="10">
        <v>785052</v>
      </c>
      <c r="O2189" s="9"/>
      <c r="P2189" s="10"/>
      <c r="Q2189" s="10"/>
      <c r="R2189" s="10"/>
      <c r="S2189" s="7" t="s">
        <v>43</v>
      </c>
      <c r="T2189" s="7"/>
      <c r="U2189" s="7"/>
      <c r="V2189" s="7"/>
      <c r="W2189" s="7"/>
      <c r="X2189" s="7"/>
      <c r="Y2189" s="7" t="s">
        <v>5388</v>
      </c>
      <c r="Z2189" s="7" t="s">
        <v>5376</v>
      </c>
      <c r="AA2189" s="7"/>
      <c r="AB2189" s="7"/>
      <c r="AC2189" s="7" t="s">
        <v>5389</v>
      </c>
      <c r="AD2189" s="7"/>
      <c r="AE2189" s="7"/>
      <c r="AF2189" s="7" t="s">
        <v>50</v>
      </c>
      <c r="AG2189" s="7" t="s">
        <v>253</v>
      </c>
      <c r="AH2189" s="7" t="s">
        <v>5387</v>
      </c>
    </row>
    <row r="2190" spans="1:34" ht="9.75" customHeight="1" x14ac:dyDescent="0.2">
      <c r="A2190" s="7" t="s">
        <v>4811</v>
      </c>
      <c r="B2190" s="7" t="s">
        <v>4812</v>
      </c>
      <c r="C2190" s="7"/>
      <c r="D2190" s="7" t="s">
        <v>5390</v>
      </c>
      <c r="E2190" s="8">
        <v>2</v>
      </c>
      <c r="F2190" s="7"/>
      <c r="G2190" s="7"/>
      <c r="H2190" s="9"/>
      <c r="I2190" s="9"/>
      <c r="J2190" s="9"/>
      <c r="K2190" s="9"/>
      <c r="L2190" s="10">
        <v>352199</v>
      </c>
      <c r="M2190" s="9"/>
      <c r="N2190" s="10">
        <v>352199</v>
      </c>
      <c r="O2190" s="9"/>
      <c r="P2190" s="10"/>
      <c r="Q2190" s="10"/>
      <c r="R2190" s="10"/>
      <c r="S2190" s="7" t="s">
        <v>54</v>
      </c>
      <c r="T2190" s="7" t="s">
        <v>5387</v>
      </c>
      <c r="U2190" s="7" t="s">
        <v>44</v>
      </c>
      <c r="V2190" s="7" t="s">
        <v>272</v>
      </c>
      <c r="W2190" s="7" t="s">
        <v>288</v>
      </c>
      <c r="X2190" s="7" t="s">
        <v>5391</v>
      </c>
      <c r="Y2190" s="7" t="s">
        <v>5392</v>
      </c>
      <c r="Z2190" s="7" t="s">
        <v>5393</v>
      </c>
      <c r="AA2190" s="7"/>
      <c r="AB2190" s="7"/>
      <c r="AC2190" s="7" t="s">
        <v>5389</v>
      </c>
      <c r="AD2190" s="7"/>
      <c r="AE2190" s="7"/>
      <c r="AF2190" s="7" t="s">
        <v>50</v>
      </c>
      <c r="AG2190" s="7" t="s">
        <v>253</v>
      </c>
      <c r="AH2190" s="7" t="s">
        <v>5387</v>
      </c>
    </row>
    <row r="2191" spans="1:34" ht="9.75" customHeight="1" x14ac:dyDescent="0.2">
      <c r="A2191" s="7" t="s">
        <v>4811</v>
      </c>
      <c r="B2191" s="7" t="s">
        <v>4812</v>
      </c>
      <c r="C2191" s="7"/>
      <c r="D2191" s="7" t="s">
        <v>5394</v>
      </c>
      <c r="E2191" s="8">
        <v>2</v>
      </c>
      <c r="F2191" s="7"/>
      <c r="G2191" s="7" t="s">
        <v>5395</v>
      </c>
      <c r="H2191" s="9"/>
      <c r="I2191" s="9"/>
      <c r="J2191" s="9"/>
      <c r="K2191" s="9"/>
      <c r="L2191" s="10">
        <v>203644</v>
      </c>
      <c r="M2191" s="9"/>
      <c r="N2191" s="10">
        <v>203644</v>
      </c>
      <c r="O2191" s="9"/>
      <c r="P2191" s="10"/>
      <c r="Q2191" s="10"/>
      <c r="R2191" s="10"/>
      <c r="S2191" s="7" t="s">
        <v>54</v>
      </c>
      <c r="T2191" s="7" t="s">
        <v>5387</v>
      </c>
      <c r="U2191" s="7" t="s">
        <v>44</v>
      </c>
      <c r="V2191" s="7" t="s">
        <v>272</v>
      </c>
      <c r="W2191" s="7" t="s">
        <v>288</v>
      </c>
      <c r="X2191" s="7" t="s">
        <v>5391</v>
      </c>
      <c r="Y2191" s="7" t="s">
        <v>5396</v>
      </c>
      <c r="Z2191" s="7" t="s">
        <v>5397</v>
      </c>
      <c r="AA2191" s="7"/>
      <c r="AB2191" s="7"/>
      <c r="AC2191" s="7" t="s">
        <v>5389</v>
      </c>
      <c r="AD2191" s="7" t="s">
        <v>5398</v>
      </c>
      <c r="AE2191" s="7"/>
      <c r="AF2191" s="7" t="s">
        <v>50</v>
      </c>
      <c r="AG2191" s="7" t="s">
        <v>253</v>
      </c>
      <c r="AH2191" s="7" t="s">
        <v>5387</v>
      </c>
    </row>
    <row r="2192" spans="1:34" ht="9.75" customHeight="1" x14ac:dyDescent="0.2">
      <c r="A2192" s="7" t="s">
        <v>4811</v>
      </c>
      <c r="B2192" s="7" t="s">
        <v>4812</v>
      </c>
      <c r="C2192" s="7"/>
      <c r="D2192" s="7" t="s">
        <v>5399</v>
      </c>
      <c r="E2192" s="8">
        <v>2</v>
      </c>
      <c r="F2192" s="7"/>
      <c r="G2192" s="7"/>
      <c r="H2192" s="9"/>
      <c r="I2192" s="9"/>
      <c r="J2192" s="9"/>
      <c r="K2192" s="9"/>
      <c r="L2192" s="10">
        <v>28801</v>
      </c>
      <c r="M2192" s="9"/>
      <c r="N2192" s="10">
        <v>28801</v>
      </c>
      <c r="O2192" s="9"/>
      <c r="P2192" s="10"/>
      <c r="Q2192" s="10"/>
      <c r="R2192" s="10"/>
      <c r="S2192" s="7" t="s">
        <v>54</v>
      </c>
      <c r="T2192" s="7" t="s">
        <v>5387</v>
      </c>
      <c r="U2192" s="7" t="s">
        <v>44</v>
      </c>
      <c r="V2192" s="7" t="s">
        <v>272</v>
      </c>
      <c r="W2192" s="7" t="s">
        <v>5400</v>
      </c>
      <c r="X2192" s="7" t="s">
        <v>5401</v>
      </c>
      <c r="Y2192" s="7" t="s">
        <v>5402</v>
      </c>
      <c r="Z2192" s="7" t="s">
        <v>5397</v>
      </c>
      <c r="AA2192" s="7"/>
      <c r="AB2192" s="7"/>
      <c r="AC2192" s="7" t="s">
        <v>5389</v>
      </c>
      <c r="AD2192" s="7" t="s">
        <v>5403</v>
      </c>
      <c r="AE2192" s="7"/>
      <c r="AF2192" s="7" t="s">
        <v>50</v>
      </c>
      <c r="AG2192" s="7" t="s">
        <v>253</v>
      </c>
      <c r="AH2192" s="7" t="s">
        <v>5387</v>
      </c>
    </row>
    <row r="2193" spans="1:34" ht="9.75" customHeight="1" x14ac:dyDescent="0.2">
      <c r="A2193" s="7" t="s">
        <v>4811</v>
      </c>
      <c r="B2193" s="7" t="s">
        <v>4812</v>
      </c>
      <c r="C2193" s="7"/>
      <c r="D2193" s="7" t="s">
        <v>5404</v>
      </c>
      <c r="E2193" s="8">
        <v>2</v>
      </c>
      <c r="F2193" s="7"/>
      <c r="G2193" s="7"/>
      <c r="H2193" s="9"/>
      <c r="I2193" s="9"/>
      <c r="J2193" s="9"/>
      <c r="K2193" s="9"/>
      <c r="L2193" s="10">
        <v>32251</v>
      </c>
      <c r="M2193" s="9"/>
      <c r="N2193" s="10">
        <v>32251</v>
      </c>
      <c r="O2193" s="9"/>
      <c r="P2193" s="10"/>
      <c r="Q2193" s="10"/>
      <c r="R2193" s="10"/>
      <c r="S2193" s="7" t="s">
        <v>54</v>
      </c>
      <c r="T2193" s="7" t="s">
        <v>5387</v>
      </c>
      <c r="U2193" s="7" t="s">
        <v>44</v>
      </c>
      <c r="V2193" s="7" t="s">
        <v>272</v>
      </c>
      <c r="W2193" s="7" t="s">
        <v>5405</v>
      </c>
      <c r="X2193" s="7" t="s">
        <v>5406</v>
      </c>
      <c r="Y2193" s="7" t="s">
        <v>5407</v>
      </c>
      <c r="Z2193" s="7" t="s">
        <v>5397</v>
      </c>
      <c r="AA2193" s="7"/>
      <c r="AB2193" s="7"/>
      <c r="AC2193" s="7" t="s">
        <v>5389</v>
      </c>
      <c r="AD2193" s="7" t="s">
        <v>5408</v>
      </c>
      <c r="AE2193" s="7"/>
      <c r="AF2193" s="7" t="s">
        <v>50</v>
      </c>
      <c r="AG2193" s="7" t="s">
        <v>253</v>
      </c>
      <c r="AH2193" s="7" t="s">
        <v>5387</v>
      </c>
    </row>
    <row r="2194" spans="1:34" ht="9.75" customHeight="1" x14ac:dyDescent="0.2">
      <c r="A2194" s="7" t="s">
        <v>4811</v>
      </c>
      <c r="B2194" s="7" t="s">
        <v>4812</v>
      </c>
      <c r="C2194" s="7"/>
      <c r="D2194" s="7" t="s">
        <v>5409</v>
      </c>
      <c r="E2194" s="8">
        <v>4</v>
      </c>
      <c r="F2194" s="7"/>
      <c r="G2194" s="7"/>
      <c r="H2194" s="9"/>
      <c r="I2194" s="9"/>
      <c r="J2194" s="9"/>
      <c r="K2194" s="9"/>
      <c r="L2194" s="10">
        <v>52900</v>
      </c>
      <c r="M2194" s="9"/>
      <c r="N2194" s="10">
        <v>52900</v>
      </c>
      <c r="O2194" s="9"/>
      <c r="P2194" s="10"/>
      <c r="Q2194" s="10"/>
      <c r="R2194" s="10"/>
      <c r="S2194" s="7" t="s">
        <v>54</v>
      </c>
      <c r="T2194" s="7" t="s">
        <v>5387</v>
      </c>
      <c r="U2194" s="7"/>
      <c r="V2194" s="7"/>
      <c r="W2194" s="7"/>
      <c r="X2194" s="7"/>
      <c r="Y2194" s="7" t="s">
        <v>5410</v>
      </c>
      <c r="Z2194" s="7" t="s">
        <v>5397</v>
      </c>
      <c r="AA2194" s="7"/>
      <c r="AB2194" s="7"/>
      <c r="AC2194" s="7" t="s">
        <v>5389</v>
      </c>
      <c r="AD2194" s="7"/>
      <c r="AE2194" s="7"/>
      <c r="AF2194" s="7" t="s">
        <v>50</v>
      </c>
      <c r="AG2194" s="7" t="s">
        <v>253</v>
      </c>
      <c r="AH2194" s="7" t="s">
        <v>5387</v>
      </c>
    </row>
    <row r="2195" spans="1:34" ht="9.75" customHeight="1" x14ac:dyDescent="0.2">
      <c r="A2195" s="7" t="s">
        <v>4811</v>
      </c>
      <c r="B2195" s="7" t="s">
        <v>4812</v>
      </c>
      <c r="C2195" s="7"/>
      <c r="D2195" s="7" t="s">
        <v>5411</v>
      </c>
      <c r="E2195" s="8">
        <v>4</v>
      </c>
      <c r="F2195" s="7"/>
      <c r="G2195" s="7"/>
      <c r="H2195" s="9"/>
      <c r="I2195" s="9"/>
      <c r="J2195" s="9"/>
      <c r="K2195" s="9"/>
      <c r="L2195" s="10">
        <v>5489</v>
      </c>
      <c r="M2195" s="9"/>
      <c r="N2195" s="10">
        <v>5489</v>
      </c>
      <c r="O2195" s="9"/>
      <c r="P2195" s="10"/>
      <c r="Q2195" s="10"/>
      <c r="R2195" s="10"/>
      <c r="S2195" s="7" t="s">
        <v>54</v>
      </c>
      <c r="T2195" s="7" t="s">
        <v>5387</v>
      </c>
      <c r="U2195" s="7"/>
      <c r="V2195" s="7"/>
      <c r="W2195" s="7"/>
      <c r="X2195" s="7"/>
      <c r="Y2195" s="7" t="s">
        <v>5412</v>
      </c>
      <c r="Z2195" s="7" t="s">
        <v>5413</v>
      </c>
      <c r="AA2195" s="7"/>
      <c r="AB2195" s="7"/>
      <c r="AC2195" s="7" t="s">
        <v>5389</v>
      </c>
      <c r="AD2195" s="7"/>
      <c r="AE2195" s="7"/>
      <c r="AF2195" s="7" t="s">
        <v>50</v>
      </c>
      <c r="AG2195" s="7" t="s">
        <v>253</v>
      </c>
      <c r="AH2195" s="7" t="s">
        <v>5387</v>
      </c>
    </row>
    <row r="2196" spans="1:34" ht="9.75" customHeight="1" x14ac:dyDescent="0.2">
      <c r="A2196" s="7" t="s">
        <v>4811</v>
      </c>
      <c r="B2196" s="7" t="s">
        <v>4812</v>
      </c>
      <c r="C2196" s="7"/>
      <c r="D2196" s="7" t="s">
        <v>5414</v>
      </c>
      <c r="E2196" s="8">
        <v>2</v>
      </c>
      <c r="F2196" s="7"/>
      <c r="G2196" s="7"/>
      <c r="H2196" s="9"/>
      <c r="I2196" s="10">
        <v>283272</v>
      </c>
      <c r="J2196" s="10">
        <v>1010215</v>
      </c>
      <c r="K2196" s="9"/>
      <c r="L2196" s="10">
        <v>583296</v>
      </c>
      <c r="M2196" s="9"/>
      <c r="N2196" s="10">
        <v>583296</v>
      </c>
      <c r="O2196" s="9"/>
      <c r="P2196" s="10"/>
      <c r="Q2196" s="10"/>
      <c r="R2196" s="10"/>
      <c r="S2196" s="7" t="s">
        <v>43</v>
      </c>
      <c r="T2196" s="7"/>
      <c r="U2196" s="7"/>
      <c r="V2196" s="7"/>
      <c r="W2196" s="7"/>
      <c r="X2196" s="7"/>
      <c r="Y2196" s="7" t="s">
        <v>5415</v>
      </c>
      <c r="Z2196" s="7" t="s">
        <v>5376</v>
      </c>
      <c r="AA2196" s="7"/>
      <c r="AB2196" s="7"/>
      <c r="AC2196" s="7" t="s">
        <v>5416</v>
      </c>
      <c r="AD2196" s="7"/>
      <c r="AE2196" s="7"/>
      <c r="AF2196" s="7" t="s">
        <v>113</v>
      </c>
      <c r="AG2196" s="7" t="s">
        <v>366</v>
      </c>
      <c r="AH2196" s="7" t="s">
        <v>5417</v>
      </c>
    </row>
    <row r="2197" spans="1:34" ht="9.75" customHeight="1" x14ac:dyDescent="0.2">
      <c r="A2197" s="7" t="s">
        <v>4811</v>
      </c>
      <c r="B2197" s="7" t="s">
        <v>4812</v>
      </c>
      <c r="C2197" s="7"/>
      <c r="D2197" s="7" t="s">
        <v>5418</v>
      </c>
      <c r="E2197" s="8">
        <v>2</v>
      </c>
      <c r="F2197" s="7"/>
      <c r="G2197" s="7" t="s">
        <v>5419</v>
      </c>
      <c r="H2197" s="9"/>
      <c r="I2197" s="9"/>
      <c r="J2197" s="9"/>
      <c r="K2197" s="9"/>
      <c r="L2197" s="10">
        <v>30836</v>
      </c>
      <c r="M2197" s="9"/>
      <c r="N2197" s="10">
        <v>30836</v>
      </c>
      <c r="O2197" s="9"/>
      <c r="P2197" s="10"/>
      <c r="Q2197" s="10"/>
      <c r="R2197" s="10"/>
      <c r="S2197" s="7" t="s">
        <v>54</v>
      </c>
      <c r="T2197" s="7" t="s">
        <v>5414</v>
      </c>
      <c r="U2197" s="7"/>
      <c r="V2197" s="7"/>
      <c r="W2197" s="7"/>
      <c r="X2197" s="7"/>
      <c r="Y2197" s="7" t="s">
        <v>5420</v>
      </c>
      <c r="Z2197" s="7" t="s">
        <v>5421</v>
      </c>
      <c r="AA2197" s="7"/>
      <c r="AB2197" s="7"/>
      <c r="AC2197" s="7" t="s">
        <v>5416</v>
      </c>
      <c r="AD2197" s="7"/>
      <c r="AE2197" s="7"/>
      <c r="AF2197" s="7" t="s">
        <v>113</v>
      </c>
      <c r="AG2197" s="7" t="s">
        <v>366</v>
      </c>
      <c r="AH2197" s="7" t="s">
        <v>5417</v>
      </c>
    </row>
    <row r="2198" spans="1:34" ht="9.75" customHeight="1" x14ac:dyDescent="0.2">
      <c r="A2198" s="7" t="s">
        <v>4811</v>
      </c>
      <c r="B2198" s="7" t="s">
        <v>4812</v>
      </c>
      <c r="C2198" s="7" t="s">
        <v>5422</v>
      </c>
      <c r="D2198" s="7" t="s">
        <v>5423</v>
      </c>
      <c r="E2198" s="8">
        <v>2</v>
      </c>
      <c r="F2198" s="7"/>
      <c r="G2198" s="7" t="s">
        <v>5424</v>
      </c>
      <c r="H2198" s="9"/>
      <c r="I2198" s="9"/>
      <c r="J2198" s="9"/>
      <c r="K2198" s="9"/>
      <c r="L2198" s="10">
        <v>359408</v>
      </c>
      <c r="M2198" s="9"/>
      <c r="N2198" s="10">
        <v>359408</v>
      </c>
      <c r="O2198" s="9"/>
      <c r="P2198" s="10"/>
      <c r="Q2198" s="10"/>
      <c r="R2198" s="10"/>
      <c r="S2198" s="7" t="s">
        <v>54</v>
      </c>
      <c r="T2198" s="7" t="s">
        <v>5414</v>
      </c>
      <c r="U2198" s="7" t="s">
        <v>44</v>
      </c>
      <c r="V2198" s="7" t="s">
        <v>45</v>
      </c>
      <c r="W2198" s="7" t="s">
        <v>67</v>
      </c>
      <c r="X2198" s="7" t="s">
        <v>68</v>
      </c>
      <c r="Y2198" s="7" t="s">
        <v>5425</v>
      </c>
      <c r="Z2198" s="7" t="s">
        <v>5426</v>
      </c>
      <c r="AA2198" s="7"/>
      <c r="AB2198" s="7"/>
      <c r="AC2198" s="7" t="s">
        <v>5416</v>
      </c>
      <c r="AD2198" s="7"/>
      <c r="AE2198" s="7"/>
      <c r="AF2198" s="7" t="s">
        <v>113</v>
      </c>
      <c r="AG2198" s="7" t="s">
        <v>366</v>
      </c>
      <c r="AH2198" s="7" t="s">
        <v>5417</v>
      </c>
    </row>
    <row r="2199" spans="1:34" ht="9.75" customHeight="1" x14ac:dyDescent="0.2">
      <c r="A2199" s="7" t="s">
        <v>4811</v>
      </c>
      <c r="B2199" s="7" t="s">
        <v>4812</v>
      </c>
      <c r="C2199" s="7" t="s">
        <v>5427</v>
      </c>
      <c r="D2199" s="7" t="s">
        <v>5428</v>
      </c>
      <c r="E2199" s="8">
        <v>2</v>
      </c>
      <c r="F2199" s="7"/>
      <c r="G2199" s="7"/>
      <c r="H2199" s="9"/>
      <c r="I2199" s="9"/>
      <c r="J2199" s="9"/>
      <c r="K2199" s="9"/>
      <c r="L2199" s="10">
        <v>7800</v>
      </c>
      <c r="M2199" s="9"/>
      <c r="N2199" s="10">
        <v>7800</v>
      </c>
      <c r="O2199" s="9"/>
      <c r="P2199" s="10"/>
      <c r="Q2199" s="10"/>
      <c r="R2199" s="10"/>
      <c r="S2199" s="7" t="s">
        <v>54</v>
      </c>
      <c r="T2199" s="7" t="s">
        <v>5414</v>
      </c>
      <c r="U2199" s="7" t="s">
        <v>44</v>
      </c>
      <c r="V2199" s="7" t="s">
        <v>45</v>
      </c>
      <c r="W2199" s="7" t="s">
        <v>67</v>
      </c>
      <c r="X2199" s="7" t="s">
        <v>68</v>
      </c>
      <c r="Y2199" s="7" t="s">
        <v>5425</v>
      </c>
      <c r="Z2199" s="7" t="s">
        <v>5429</v>
      </c>
      <c r="AA2199" s="7"/>
      <c r="AB2199" s="7"/>
      <c r="AC2199" s="7" t="s">
        <v>5416</v>
      </c>
      <c r="AD2199" s="7"/>
      <c r="AE2199" s="7"/>
      <c r="AF2199" s="7" t="s">
        <v>113</v>
      </c>
      <c r="AG2199" s="7" t="s">
        <v>366</v>
      </c>
      <c r="AH2199" s="7" t="s">
        <v>5417</v>
      </c>
    </row>
    <row r="2200" spans="1:34" ht="9.75" customHeight="1" x14ac:dyDescent="0.2">
      <c r="A2200" s="7" t="s">
        <v>4811</v>
      </c>
      <c r="B2200" s="7" t="s">
        <v>4812</v>
      </c>
      <c r="C2200" s="7" t="s">
        <v>5430</v>
      </c>
      <c r="D2200" s="7" t="s">
        <v>5431</v>
      </c>
      <c r="E2200" s="8">
        <v>2</v>
      </c>
      <c r="F2200" s="7"/>
      <c r="G2200" s="7"/>
      <c r="H2200" s="9"/>
      <c r="I2200" s="9"/>
      <c r="J2200" s="9"/>
      <c r="K2200" s="9"/>
      <c r="L2200" s="10">
        <v>70000</v>
      </c>
      <c r="M2200" s="9"/>
      <c r="N2200" s="10">
        <v>70000</v>
      </c>
      <c r="O2200" s="9"/>
      <c r="P2200" s="10"/>
      <c r="Q2200" s="10"/>
      <c r="R2200" s="10"/>
      <c r="S2200" s="7" t="s">
        <v>54</v>
      </c>
      <c r="T2200" s="7" t="s">
        <v>5414</v>
      </c>
      <c r="U2200" s="7" t="s">
        <v>44</v>
      </c>
      <c r="V2200" s="7" t="s">
        <v>45</v>
      </c>
      <c r="W2200" s="7" t="s">
        <v>46</v>
      </c>
      <c r="X2200" s="7" t="s">
        <v>90</v>
      </c>
      <c r="Y2200" s="7" t="s">
        <v>5432</v>
      </c>
      <c r="Z2200" s="7" t="s">
        <v>5433</v>
      </c>
      <c r="AA2200" s="7"/>
      <c r="AB2200" s="7"/>
      <c r="AC2200" s="7" t="s">
        <v>5416</v>
      </c>
      <c r="AD2200" s="7"/>
      <c r="AE2200" s="7"/>
      <c r="AF2200" s="7" t="s">
        <v>113</v>
      </c>
      <c r="AG2200" s="7" t="s">
        <v>366</v>
      </c>
      <c r="AH2200" s="7" t="s">
        <v>5417</v>
      </c>
    </row>
    <row r="2201" spans="1:34" ht="9.75" customHeight="1" x14ac:dyDescent="0.2">
      <c r="A2201" s="7" t="s">
        <v>4811</v>
      </c>
      <c r="B2201" s="7" t="s">
        <v>4812</v>
      </c>
      <c r="C2201" s="7"/>
      <c r="D2201" s="7" t="s">
        <v>5434</v>
      </c>
      <c r="E2201" s="8">
        <v>6</v>
      </c>
      <c r="F2201" s="7"/>
      <c r="G2201" s="7"/>
      <c r="H2201" s="9"/>
      <c r="I2201" s="9"/>
      <c r="J2201" s="9"/>
      <c r="K2201" s="9"/>
      <c r="L2201" s="10">
        <v>30232</v>
      </c>
      <c r="M2201" s="9"/>
      <c r="N2201" s="10">
        <v>30232</v>
      </c>
      <c r="O2201" s="9"/>
      <c r="P2201" s="10"/>
      <c r="Q2201" s="10"/>
      <c r="R2201" s="10"/>
      <c r="S2201" s="7" t="s">
        <v>54</v>
      </c>
      <c r="T2201" s="7" t="s">
        <v>5414</v>
      </c>
      <c r="U2201" s="7" t="s">
        <v>44</v>
      </c>
      <c r="V2201" s="7" t="s">
        <v>45</v>
      </c>
      <c r="W2201" s="7" t="s">
        <v>46</v>
      </c>
      <c r="X2201" s="7"/>
      <c r="Y2201" s="7" t="s">
        <v>5435</v>
      </c>
      <c r="Z2201" s="7" t="s">
        <v>5433</v>
      </c>
      <c r="AA2201" s="7"/>
      <c r="AB2201" s="7"/>
      <c r="AC2201" s="7" t="s">
        <v>5416</v>
      </c>
      <c r="AD2201" s="7"/>
      <c r="AE2201" s="7"/>
      <c r="AF2201" s="7" t="s">
        <v>113</v>
      </c>
      <c r="AG2201" s="7" t="s">
        <v>366</v>
      </c>
      <c r="AH2201" s="7" t="s">
        <v>5417</v>
      </c>
    </row>
    <row r="2202" spans="1:34" ht="9.75" customHeight="1" x14ac:dyDescent="0.2">
      <c r="A2202" s="7" t="s">
        <v>4811</v>
      </c>
      <c r="B2202" s="7" t="s">
        <v>4812</v>
      </c>
      <c r="C2202" s="7"/>
      <c r="D2202" s="7" t="s">
        <v>5436</v>
      </c>
      <c r="E2202" s="8">
        <v>2</v>
      </c>
      <c r="F2202" s="7"/>
      <c r="G2202" s="7"/>
      <c r="H2202" s="9"/>
      <c r="I2202" s="9"/>
      <c r="J2202" s="9"/>
      <c r="K2202" s="9"/>
      <c r="L2202" s="10">
        <v>14571</v>
      </c>
      <c r="M2202" s="9"/>
      <c r="N2202" s="10">
        <v>14571</v>
      </c>
      <c r="O2202" s="9"/>
      <c r="P2202" s="10"/>
      <c r="Q2202" s="10"/>
      <c r="R2202" s="10"/>
      <c r="S2202" s="7" t="s">
        <v>54</v>
      </c>
      <c r="T2202" s="7" t="s">
        <v>5414</v>
      </c>
      <c r="U2202" s="7"/>
      <c r="V2202" s="7"/>
      <c r="W2202" s="7"/>
      <c r="X2202" s="7"/>
      <c r="Y2202" s="7" t="s">
        <v>5437</v>
      </c>
      <c r="Z2202" s="7" t="s">
        <v>5438</v>
      </c>
      <c r="AA2202" s="7"/>
      <c r="AB2202" s="7"/>
      <c r="AC2202" s="7" t="s">
        <v>5416</v>
      </c>
      <c r="AD2202" s="7"/>
      <c r="AE2202" s="7"/>
      <c r="AF2202" s="7" t="s">
        <v>113</v>
      </c>
      <c r="AG2202" s="7" t="s">
        <v>366</v>
      </c>
      <c r="AH2202" s="7" t="s">
        <v>5417</v>
      </c>
    </row>
    <row r="2203" spans="1:34" ht="9.75" customHeight="1" x14ac:dyDescent="0.2">
      <c r="A2203" s="7" t="s">
        <v>4811</v>
      </c>
      <c r="B2203" s="7" t="s">
        <v>4812</v>
      </c>
      <c r="C2203" s="7" t="s">
        <v>5439</v>
      </c>
      <c r="D2203" s="7" t="s">
        <v>5440</v>
      </c>
      <c r="E2203" s="8">
        <v>2</v>
      </c>
      <c r="F2203" s="7"/>
      <c r="G2203" s="7"/>
      <c r="H2203" s="9"/>
      <c r="I2203" s="9"/>
      <c r="J2203" s="9"/>
      <c r="K2203" s="9"/>
      <c r="L2203" s="10">
        <v>15098</v>
      </c>
      <c r="M2203" s="9"/>
      <c r="N2203" s="10">
        <v>15098</v>
      </c>
      <c r="O2203" s="9"/>
      <c r="P2203" s="10"/>
      <c r="Q2203" s="10"/>
      <c r="R2203" s="10"/>
      <c r="S2203" s="7" t="s">
        <v>54</v>
      </c>
      <c r="T2203" s="7" t="s">
        <v>5414</v>
      </c>
      <c r="U2203" s="7" t="s">
        <v>44</v>
      </c>
      <c r="V2203" s="7" t="s">
        <v>45</v>
      </c>
      <c r="W2203" s="7" t="s">
        <v>46</v>
      </c>
      <c r="X2203" s="7" t="s">
        <v>90</v>
      </c>
      <c r="Y2203" s="7" t="s">
        <v>5441</v>
      </c>
      <c r="Z2203" s="7" t="s">
        <v>5429</v>
      </c>
      <c r="AA2203" s="7"/>
      <c r="AB2203" s="7"/>
      <c r="AC2203" s="7" t="s">
        <v>5416</v>
      </c>
      <c r="AD2203" s="7"/>
      <c r="AE2203" s="7"/>
      <c r="AF2203" s="7" t="s">
        <v>113</v>
      </c>
      <c r="AG2203" s="7" t="s">
        <v>366</v>
      </c>
      <c r="AH2203" s="7" t="s">
        <v>5417</v>
      </c>
    </row>
    <row r="2204" spans="1:34" ht="9.75" customHeight="1" x14ac:dyDescent="0.2">
      <c r="A2204" s="7" t="s">
        <v>4811</v>
      </c>
      <c r="B2204" s="7" t="s">
        <v>4812</v>
      </c>
      <c r="C2204" s="7"/>
      <c r="D2204" s="7" t="s">
        <v>5442</v>
      </c>
      <c r="E2204" s="8">
        <v>6</v>
      </c>
      <c r="F2204" s="7"/>
      <c r="G2204" s="7"/>
      <c r="H2204" s="9"/>
      <c r="I2204" s="9"/>
      <c r="J2204" s="9"/>
      <c r="K2204" s="9"/>
      <c r="L2204" s="10">
        <v>47171</v>
      </c>
      <c r="M2204" s="9"/>
      <c r="N2204" s="10">
        <v>47171</v>
      </c>
      <c r="O2204" s="9"/>
      <c r="P2204" s="10"/>
      <c r="Q2204" s="10"/>
      <c r="R2204" s="10"/>
      <c r="S2204" s="7" t="s">
        <v>54</v>
      </c>
      <c r="T2204" s="7" t="s">
        <v>5414</v>
      </c>
      <c r="U2204" s="7"/>
      <c r="V2204" s="7"/>
      <c r="W2204" s="7"/>
      <c r="X2204" s="7"/>
      <c r="Y2204" s="7" t="s">
        <v>5443</v>
      </c>
      <c r="Z2204" s="7" t="s">
        <v>5444</v>
      </c>
      <c r="AA2204" s="7"/>
      <c r="AB2204" s="7"/>
      <c r="AC2204" s="7" t="s">
        <v>5416</v>
      </c>
      <c r="AD2204" s="7"/>
      <c r="AE2204" s="7"/>
      <c r="AF2204" s="7" t="s">
        <v>113</v>
      </c>
      <c r="AG2204" s="7" t="s">
        <v>366</v>
      </c>
      <c r="AH2204" s="7" t="s">
        <v>5417</v>
      </c>
    </row>
    <row r="2205" spans="1:34" ht="9.75" customHeight="1" x14ac:dyDescent="0.2">
      <c r="A2205" s="7" t="s">
        <v>4811</v>
      </c>
      <c r="B2205" s="7" t="s">
        <v>4812</v>
      </c>
      <c r="C2205" s="7"/>
      <c r="D2205" s="7" t="s">
        <v>5445</v>
      </c>
      <c r="E2205" s="8">
        <v>6</v>
      </c>
      <c r="F2205" s="7"/>
      <c r="G2205" s="7"/>
      <c r="H2205" s="9"/>
      <c r="I2205" s="10">
        <v>1372331</v>
      </c>
      <c r="J2205" s="10">
        <v>1536668</v>
      </c>
      <c r="K2205" s="9"/>
      <c r="L2205" s="10">
        <v>1719580</v>
      </c>
      <c r="M2205" s="9"/>
      <c r="N2205" s="10">
        <v>1719580</v>
      </c>
      <c r="O2205" s="9"/>
      <c r="P2205" s="10"/>
      <c r="Q2205" s="10"/>
      <c r="R2205" s="10"/>
      <c r="S2205" s="7" t="s">
        <v>43</v>
      </c>
      <c r="T2205" s="7"/>
      <c r="U2205" s="7"/>
      <c r="V2205" s="7"/>
      <c r="W2205" s="7"/>
      <c r="X2205" s="7"/>
      <c r="Y2205" s="7" t="s">
        <v>5446</v>
      </c>
      <c r="Z2205" s="7" t="s">
        <v>260</v>
      </c>
      <c r="AA2205" s="7"/>
      <c r="AB2205" s="7"/>
      <c r="AC2205" s="7" t="s">
        <v>5447</v>
      </c>
      <c r="AD2205" s="7"/>
      <c r="AE2205" s="7"/>
      <c r="AF2205" s="7" t="s">
        <v>113</v>
      </c>
      <c r="AG2205" s="7" t="s">
        <v>366</v>
      </c>
      <c r="AH2205" s="7" t="s">
        <v>5448</v>
      </c>
    </row>
    <row r="2206" spans="1:34" ht="9.75" customHeight="1" x14ac:dyDescent="0.2">
      <c r="A2206" s="7" t="s">
        <v>4811</v>
      </c>
      <c r="B2206" s="7" t="s">
        <v>4812</v>
      </c>
      <c r="C2206" s="7"/>
      <c r="D2206" s="7" t="s">
        <v>5449</v>
      </c>
      <c r="E2206" s="8">
        <v>6</v>
      </c>
      <c r="F2206" s="7"/>
      <c r="G2206" s="7"/>
      <c r="H2206" s="9"/>
      <c r="I2206" s="9"/>
      <c r="J2206" s="9"/>
      <c r="K2206" s="9"/>
      <c r="L2206" s="10">
        <v>110969</v>
      </c>
      <c r="M2206" s="9"/>
      <c r="N2206" s="10">
        <v>110969</v>
      </c>
      <c r="O2206" s="9"/>
      <c r="P2206" s="10"/>
      <c r="Q2206" s="10"/>
      <c r="R2206" s="10"/>
      <c r="S2206" s="7" t="s">
        <v>54</v>
      </c>
      <c r="T2206" s="7" t="s">
        <v>5445</v>
      </c>
      <c r="U2206" s="7" t="s">
        <v>44</v>
      </c>
      <c r="V2206" s="7" t="s">
        <v>45</v>
      </c>
      <c r="W2206" s="7" t="s">
        <v>130</v>
      </c>
      <c r="X2206" s="7" t="s">
        <v>131</v>
      </c>
      <c r="Y2206" s="7" t="s">
        <v>5450</v>
      </c>
      <c r="Z2206" s="7" t="s">
        <v>1859</v>
      </c>
      <c r="AA2206" s="7"/>
      <c r="AB2206" s="7"/>
      <c r="AC2206" s="7" t="s">
        <v>5447</v>
      </c>
      <c r="AD2206" s="7" t="s">
        <v>5451</v>
      </c>
      <c r="AE2206" s="7"/>
      <c r="AF2206" s="7" t="s">
        <v>113</v>
      </c>
      <c r="AG2206" s="7" t="s">
        <v>366</v>
      </c>
      <c r="AH2206" s="7" t="s">
        <v>5448</v>
      </c>
    </row>
    <row r="2207" spans="1:34" ht="9.75" customHeight="1" x14ac:dyDescent="0.2">
      <c r="A2207" s="7" t="s">
        <v>4811</v>
      </c>
      <c r="B2207" s="7" t="s">
        <v>4812</v>
      </c>
      <c r="C2207" s="7"/>
      <c r="D2207" s="7" t="s">
        <v>5452</v>
      </c>
      <c r="E2207" s="8">
        <v>6</v>
      </c>
      <c r="F2207" s="7"/>
      <c r="G2207" s="7"/>
      <c r="H2207" s="9"/>
      <c r="I2207" s="9"/>
      <c r="J2207" s="9"/>
      <c r="K2207" s="9"/>
      <c r="L2207" s="10">
        <v>23185</v>
      </c>
      <c r="M2207" s="9"/>
      <c r="N2207" s="10">
        <v>23185</v>
      </c>
      <c r="O2207" s="9"/>
      <c r="P2207" s="10"/>
      <c r="Q2207" s="10"/>
      <c r="R2207" s="10"/>
      <c r="S2207" s="7" t="s">
        <v>54</v>
      </c>
      <c r="T2207" s="7" t="s">
        <v>5445</v>
      </c>
      <c r="U2207" s="7" t="s">
        <v>44</v>
      </c>
      <c r="V2207" s="7" t="s">
        <v>45</v>
      </c>
      <c r="W2207" s="7" t="s">
        <v>46</v>
      </c>
      <c r="X2207" s="7" t="s">
        <v>47</v>
      </c>
      <c r="Y2207" s="7" t="s">
        <v>5453</v>
      </c>
      <c r="Z2207" s="7" t="s">
        <v>1859</v>
      </c>
      <c r="AA2207" s="7"/>
      <c r="AB2207" s="7"/>
      <c r="AC2207" s="7" t="s">
        <v>5447</v>
      </c>
      <c r="AD2207" s="7" t="s">
        <v>5454</v>
      </c>
      <c r="AE2207" s="7"/>
      <c r="AF2207" s="7" t="s">
        <v>113</v>
      </c>
      <c r="AG2207" s="7" t="s">
        <v>366</v>
      </c>
      <c r="AH2207" s="7" t="s">
        <v>5448</v>
      </c>
    </row>
    <row r="2208" spans="1:34" ht="9.75" customHeight="1" x14ac:dyDescent="0.2">
      <c r="A2208" s="7" t="s">
        <v>4811</v>
      </c>
      <c r="B2208" s="7" t="s">
        <v>4812</v>
      </c>
      <c r="C2208" s="7"/>
      <c r="D2208" s="7" t="s">
        <v>5455</v>
      </c>
      <c r="E2208" s="8">
        <v>6</v>
      </c>
      <c r="F2208" s="7"/>
      <c r="G2208" s="7" t="s">
        <v>5456</v>
      </c>
      <c r="H2208" s="9"/>
      <c r="I2208" s="9"/>
      <c r="J2208" s="9"/>
      <c r="K2208" s="9"/>
      <c r="L2208" s="10">
        <v>9633</v>
      </c>
      <c r="M2208" s="9"/>
      <c r="N2208" s="10">
        <v>9633</v>
      </c>
      <c r="O2208" s="9"/>
      <c r="P2208" s="10"/>
      <c r="Q2208" s="10"/>
      <c r="R2208" s="10"/>
      <c r="S2208" s="7" t="s">
        <v>54</v>
      </c>
      <c r="T2208" s="7" t="s">
        <v>5445</v>
      </c>
      <c r="U2208" s="7" t="s">
        <v>44</v>
      </c>
      <c r="V2208" s="7" t="s">
        <v>45</v>
      </c>
      <c r="W2208" s="7" t="s">
        <v>46</v>
      </c>
      <c r="X2208" s="7" t="s">
        <v>90</v>
      </c>
      <c r="Y2208" s="7" t="s">
        <v>5453</v>
      </c>
      <c r="Z2208" s="7" t="s">
        <v>1873</v>
      </c>
      <c r="AA2208" s="7"/>
      <c r="AB2208" s="7"/>
      <c r="AC2208" s="7" t="s">
        <v>5447</v>
      </c>
      <c r="AD2208" s="7" t="s">
        <v>5454</v>
      </c>
      <c r="AE2208" s="7"/>
      <c r="AF2208" s="7" t="s">
        <v>113</v>
      </c>
      <c r="AG2208" s="7" t="s">
        <v>366</v>
      </c>
      <c r="AH2208" s="7" t="s">
        <v>5448</v>
      </c>
    </row>
    <row r="2209" spans="1:34" ht="9.75" customHeight="1" x14ac:dyDescent="0.2">
      <c r="A2209" s="7" t="s">
        <v>4811</v>
      </c>
      <c r="B2209" s="7" t="s">
        <v>4812</v>
      </c>
      <c r="C2209" s="7"/>
      <c r="D2209" s="7" t="s">
        <v>5457</v>
      </c>
      <c r="E2209" s="8">
        <v>6</v>
      </c>
      <c r="F2209" s="7"/>
      <c r="G2209" s="7"/>
      <c r="H2209" s="9"/>
      <c r="I2209" s="9"/>
      <c r="J2209" s="9"/>
      <c r="K2209" s="9"/>
      <c r="L2209" s="10">
        <v>4145</v>
      </c>
      <c r="M2209" s="9"/>
      <c r="N2209" s="10">
        <v>4145</v>
      </c>
      <c r="O2209" s="9"/>
      <c r="P2209" s="10"/>
      <c r="Q2209" s="10"/>
      <c r="R2209" s="10"/>
      <c r="S2209" s="7" t="s">
        <v>54</v>
      </c>
      <c r="T2209" s="7" t="s">
        <v>5445</v>
      </c>
      <c r="U2209" s="7" t="s">
        <v>44</v>
      </c>
      <c r="V2209" s="7" t="s">
        <v>45</v>
      </c>
      <c r="W2209" s="7" t="s">
        <v>46</v>
      </c>
      <c r="X2209" s="7" t="s">
        <v>90</v>
      </c>
      <c r="Y2209" s="7" t="s">
        <v>5453</v>
      </c>
      <c r="Z2209" s="7" t="s">
        <v>1873</v>
      </c>
      <c r="AA2209" s="7"/>
      <c r="AB2209" s="7"/>
      <c r="AC2209" s="7" t="s">
        <v>5447</v>
      </c>
      <c r="AD2209" s="7" t="s">
        <v>5454</v>
      </c>
      <c r="AE2209" s="7"/>
      <c r="AF2209" s="7" t="s">
        <v>113</v>
      </c>
      <c r="AG2209" s="7" t="s">
        <v>366</v>
      </c>
      <c r="AH2209" s="7" t="s">
        <v>5448</v>
      </c>
    </row>
    <row r="2210" spans="1:34" ht="9.75" customHeight="1" x14ac:dyDescent="0.2">
      <c r="A2210" s="7" t="s">
        <v>4811</v>
      </c>
      <c r="B2210" s="7" t="s">
        <v>4812</v>
      </c>
      <c r="C2210" s="7"/>
      <c r="D2210" s="7" t="s">
        <v>5458</v>
      </c>
      <c r="E2210" s="8">
        <v>6</v>
      </c>
      <c r="F2210" s="7"/>
      <c r="G2210" s="7" t="s">
        <v>5459</v>
      </c>
      <c r="H2210" s="9"/>
      <c r="I2210" s="9"/>
      <c r="J2210" s="9"/>
      <c r="K2210" s="9"/>
      <c r="L2210" s="10">
        <v>1537</v>
      </c>
      <c r="M2210" s="9"/>
      <c r="N2210" s="10">
        <v>1537</v>
      </c>
      <c r="O2210" s="9"/>
      <c r="P2210" s="10"/>
      <c r="Q2210" s="10"/>
      <c r="R2210" s="10"/>
      <c r="S2210" s="7" t="s">
        <v>54</v>
      </c>
      <c r="T2210" s="7" t="s">
        <v>5445</v>
      </c>
      <c r="U2210" s="7" t="s">
        <v>44</v>
      </c>
      <c r="V2210" s="7" t="s">
        <v>45</v>
      </c>
      <c r="W2210" s="7" t="s">
        <v>67</v>
      </c>
      <c r="X2210" s="7" t="s">
        <v>68</v>
      </c>
      <c r="Y2210" s="7" t="s">
        <v>5460</v>
      </c>
      <c r="Z2210" s="7" t="s">
        <v>1886</v>
      </c>
      <c r="AA2210" s="7"/>
      <c r="AB2210" s="7"/>
      <c r="AC2210" s="7" t="s">
        <v>5447</v>
      </c>
      <c r="AD2210" s="7" t="s">
        <v>5461</v>
      </c>
      <c r="AE2210" s="7"/>
      <c r="AF2210" s="7" t="s">
        <v>113</v>
      </c>
      <c r="AG2210" s="7" t="s">
        <v>366</v>
      </c>
      <c r="AH2210" s="7" t="s">
        <v>5448</v>
      </c>
    </row>
    <row r="2211" spans="1:34" ht="9.75" customHeight="1" x14ac:dyDescent="0.2">
      <c r="A2211" s="7" t="s">
        <v>4811</v>
      </c>
      <c r="B2211" s="7" t="s">
        <v>4812</v>
      </c>
      <c r="C2211" s="7"/>
      <c r="D2211" s="7" t="s">
        <v>5462</v>
      </c>
      <c r="E2211" s="8">
        <v>6</v>
      </c>
      <c r="F2211" s="7"/>
      <c r="G2211" s="7"/>
      <c r="H2211" s="9"/>
      <c r="I2211" s="9"/>
      <c r="J2211" s="9"/>
      <c r="K2211" s="9"/>
      <c r="L2211" s="10">
        <v>1167</v>
      </c>
      <c r="M2211" s="9"/>
      <c r="N2211" s="10">
        <v>1167</v>
      </c>
      <c r="O2211" s="9"/>
      <c r="P2211" s="10"/>
      <c r="Q2211" s="10"/>
      <c r="R2211" s="10"/>
      <c r="S2211" s="7" t="s">
        <v>54</v>
      </c>
      <c r="T2211" s="7" t="s">
        <v>5445</v>
      </c>
      <c r="U2211" s="7"/>
      <c r="V2211" s="7"/>
      <c r="W2211" s="7"/>
      <c r="X2211" s="7"/>
      <c r="Y2211" s="7" t="s">
        <v>5460</v>
      </c>
      <c r="Z2211" s="7" t="s">
        <v>1886</v>
      </c>
      <c r="AA2211" s="7"/>
      <c r="AB2211" s="7"/>
      <c r="AC2211" s="7" t="s">
        <v>5447</v>
      </c>
      <c r="AD2211" s="7" t="s">
        <v>5461</v>
      </c>
      <c r="AE2211" s="7"/>
      <c r="AF2211" s="7" t="s">
        <v>113</v>
      </c>
      <c r="AG2211" s="7" t="s">
        <v>366</v>
      </c>
      <c r="AH2211" s="7" t="s">
        <v>5448</v>
      </c>
    </row>
    <row r="2212" spans="1:34" ht="9.75" customHeight="1" x14ac:dyDescent="0.2">
      <c r="A2212" s="7" t="s">
        <v>4811</v>
      </c>
      <c r="B2212" s="7" t="s">
        <v>4812</v>
      </c>
      <c r="C2212" s="7"/>
      <c r="D2212" s="7" t="s">
        <v>5463</v>
      </c>
      <c r="E2212" s="8">
        <v>4</v>
      </c>
      <c r="F2212" s="7"/>
      <c r="G2212" s="7"/>
      <c r="H2212" s="9"/>
      <c r="I2212" s="9"/>
      <c r="J2212" s="9"/>
      <c r="K2212" s="9"/>
      <c r="L2212" s="10">
        <v>2039</v>
      </c>
      <c r="M2212" s="9"/>
      <c r="N2212" s="10">
        <v>2039</v>
      </c>
      <c r="O2212" s="9"/>
      <c r="P2212" s="10"/>
      <c r="Q2212" s="10"/>
      <c r="R2212" s="10"/>
      <c r="S2212" s="7" t="s">
        <v>54</v>
      </c>
      <c r="T2212" s="7" t="s">
        <v>5445</v>
      </c>
      <c r="U2212" s="7" t="s">
        <v>44</v>
      </c>
      <c r="V2212" s="7" t="s">
        <v>45</v>
      </c>
      <c r="W2212" s="7" t="s">
        <v>46</v>
      </c>
      <c r="X2212" s="7" t="s">
        <v>90</v>
      </c>
      <c r="Y2212" s="7" t="s">
        <v>5453</v>
      </c>
      <c r="Z2212" s="7" t="s">
        <v>1873</v>
      </c>
      <c r="AA2212" s="7"/>
      <c r="AB2212" s="7"/>
      <c r="AC2212" s="7" t="s">
        <v>5447</v>
      </c>
      <c r="AD2212" s="7" t="s">
        <v>5454</v>
      </c>
      <c r="AE2212" s="7"/>
      <c r="AF2212" s="7" t="s">
        <v>113</v>
      </c>
      <c r="AG2212" s="7" t="s">
        <v>366</v>
      </c>
      <c r="AH2212" s="7" t="s">
        <v>5448</v>
      </c>
    </row>
    <row r="2213" spans="1:34" ht="9.75" customHeight="1" x14ac:dyDescent="0.2">
      <c r="A2213" s="7" t="s">
        <v>4811</v>
      </c>
      <c r="B2213" s="7" t="s">
        <v>4812</v>
      </c>
      <c r="C2213" s="7" t="s">
        <v>4918</v>
      </c>
      <c r="D2213" s="7" t="s">
        <v>4919</v>
      </c>
      <c r="E2213" s="8">
        <v>6</v>
      </c>
      <c r="F2213" s="7"/>
      <c r="G2213" s="7"/>
      <c r="H2213" s="9"/>
      <c r="I2213" s="10">
        <v>104186</v>
      </c>
      <c r="J2213" s="10">
        <v>220854</v>
      </c>
      <c r="K2213" s="9"/>
      <c r="L2213" s="10">
        <v>283620</v>
      </c>
      <c r="M2213" s="9"/>
      <c r="N2213" s="10">
        <v>283620</v>
      </c>
      <c r="O2213" s="9"/>
      <c r="P2213" s="10"/>
      <c r="Q2213" s="10"/>
      <c r="R2213" s="10"/>
      <c r="S2213" s="7" t="s">
        <v>54</v>
      </c>
      <c r="T2213" s="7" t="s">
        <v>5445</v>
      </c>
      <c r="U2213" s="7"/>
      <c r="V2213" s="7"/>
      <c r="W2213" s="7"/>
      <c r="X2213" s="7"/>
      <c r="Y2213" s="7" t="s">
        <v>5464</v>
      </c>
      <c r="Z2213" s="7" t="s">
        <v>1960</v>
      </c>
      <c r="AA2213" s="7"/>
      <c r="AB2213" s="7"/>
      <c r="AC2213" s="7" t="s">
        <v>5447</v>
      </c>
      <c r="AD2213" s="7" t="s">
        <v>4921</v>
      </c>
      <c r="AE2213" s="7"/>
      <c r="AF2213" s="7" t="s">
        <v>113</v>
      </c>
      <c r="AG2213" s="7" t="s">
        <v>366</v>
      </c>
      <c r="AH2213" s="7" t="s">
        <v>5448</v>
      </c>
    </row>
    <row r="2214" spans="1:34" ht="9.75" customHeight="1" x14ac:dyDescent="0.2">
      <c r="A2214" s="7" t="s">
        <v>4811</v>
      </c>
      <c r="B2214" s="7" t="s">
        <v>4812</v>
      </c>
      <c r="C2214" s="7"/>
      <c r="D2214" s="7" t="s">
        <v>5465</v>
      </c>
      <c r="E2214" s="8">
        <v>3</v>
      </c>
      <c r="F2214" s="7"/>
      <c r="G2214" s="7"/>
      <c r="H2214" s="9"/>
      <c r="I2214" s="9"/>
      <c r="J2214" s="9"/>
      <c r="K2214" s="9"/>
      <c r="L2214" s="10">
        <v>240500</v>
      </c>
      <c r="M2214" s="9"/>
      <c r="N2214" s="10">
        <v>240500</v>
      </c>
      <c r="O2214" s="9"/>
      <c r="P2214" s="10"/>
      <c r="Q2214" s="10"/>
      <c r="R2214" s="10"/>
      <c r="S2214" s="7" t="s">
        <v>54</v>
      </c>
      <c r="T2214" s="7" t="s">
        <v>5466</v>
      </c>
      <c r="U2214" s="7"/>
      <c r="V2214" s="7"/>
      <c r="W2214" s="7"/>
      <c r="X2214" s="7"/>
      <c r="Y2214" s="7" t="s">
        <v>5467</v>
      </c>
      <c r="Z2214" s="7" t="s">
        <v>1734</v>
      </c>
      <c r="AA2214" s="7"/>
      <c r="AB2214" s="7"/>
      <c r="AC2214" s="7" t="s">
        <v>5468</v>
      </c>
      <c r="AD2214" s="7" t="s">
        <v>5469</v>
      </c>
      <c r="AE2214" s="7"/>
      <c r="AF2214" s="7"/>
      <c r="AG2214" s="7"/>
      <c r="AH2214" s="7"/>
    </row>
    <row r="2215" spans="1:34" ht="9.75" customHeight="1" x14ac:dyDescent="0.2">
      <c r="A2215" s="7" t="s">
        <v>4811</v>
      </c>
      <c r="B2215" s="7" t="s">
        <v>4812</v>
      </c>
      <c r="C2215" s="7"/>
      <c r="D2215" s="7" t="s">
        <v>5470</v>
      </c>
      <c r="E2215" s="8">
        <v>2</v>
      </c>
      <c r="F2215" s="7"/>
      <c r="G2215" s="7"/>
      <c r="H2215" s="9"/>
      <c r="I2215" s="9"/>
      <c r="J2215" s="9"/>
      <c r="K2215" s="9"/>
      <c r="L2215" s="10">
        <v>-1239846</v>
      </c>
      <c r="M2215" s="9"/>
      <c r="N2215" s="10">
        <v>-1239846</v>
      </c>
      <c r="O2215" s="9"/>
      <c r="P2215" s="10"/>
      <c r="Q2215" s="10"/>
      <c r="R2215" s="10"/>
      <c r="S2215" s="7" t="s">
        <v>219</v>
      </c>
      <c r="T2215" s="7" t="s">
        <v>4813</v>
      </c>
      <c r="U2215" s="7"/>
      <c r="V2215" s="7"/>
      <c r="W2215" s="7"/>
      <c r="X2215" s="7"/>
      <c r="Y2215" s="7" t="s">
        <v>5471</v>
      </c>
      <c r="Z2215" s="7" t="s">
        <v>1734</v>
      </c>
      <c r="AA2215" s="7"/>
      <c r="AB2215" s="7"/>
      <c r="AC2215" s="7" t="s">
        <v>5468</v>
      </c>
      <c r="AD2215" s="7"/>
      <c r="AE2215" s="7"/>
      <c r="AF2215" s="7"/>
      <c r="AG2215" s="7"/>
      <c r="AH2215" s="7"/>
    </row>
    <row r="2216" spans="1:34" ht="9.75" customHeight="1" x14ac:dyDescent="0.2">
      <c r="A2216" s="7" t="s">
        <v>4811</v>
      </c>
      <c r="B2216" s="7" t="s">
        <v>4812</v>
      </c>
      <c r="C2216" s="7"/>
      <c r="D2216" s="7" t="s">
        <v>5472</v>
      </c>
      <c r="E2216" s="8">
        <v>6</v>
      </c>
      <c r="F2216" s="7"/>
      <c r="G2216" s="7"/>
      <c r="H2216" s="9"/>
      <c r="I2216" s="10">
        <v>604374</v>
      </c>
      <c r="J2216" s="10">
        <v>598531</v>
      </c>
      <c r="K2216" s="9"/>
      <c r="L2216" s="10">
        <v>763841</v>
      </c>
      <c r="M2216" s="9"/>
      <c r="N2216" s="10">
        <v>763841</v>
      </c>
      <c r="O2216" s="9"/>
      <c r="P2216" s="10"/>
      <c r="Q2216" s="10"/>
      <c r="R2216" s="10"/>
      <c r="S2216" s="7" t="s">
        <v>43</v>
      </c>
      <c r="T2216" s="7"/>
      <c r="U2216" s="7"/>
      <c r="V2216" s="7"/>
      <c r="W2216" s="7"/>
      <c r="X2216" s="7"/>
      <c r="Y2216" s="7" t="s">
        <v>5473</v>
      </c>
      <c r="Z2216" s="7" t="s">
        <v>5474</v>
      </c>
      <c r="AA2216" s="7"/>
      <c r="AB2216" s="7"/>
      <c r="AC2216" s="7" t="s">
        <v>5475</v>
      </c>
      <c r="AD2216" s="7"/>
      <c r="AE2216" s="7"/>
      <c r="AF2216" s="7" t="s">
        <v>5476</v>
      </c>
      <c r="AG2216" s="7" t="s">
        <v>4207</v>
      </c>
      <c r="AH2216" s="7" t="s">
        <v>5472</v>
      </c>
    </row>
    <row r="2217" spans="1:34" ht="9.75" customHeight="1" x14ac:dyDescent="0.2">
      <c r="A2217" s="7" t="s">
        <v>4811</v>
      </c>
      <c r="B2217" s="7" t="s">
        <v>4812</v>
      </c>
      <c r="C2217" s="7"/>
      <c r="D2217" s="7" t="s">
        <v>5477</v>
      </c>
      <c r="E2217" s="8">
        <v>6</v>
      </c>
      <c r="F2217" s="7"/>
      <c r="G2217" s="7" t="s">
        <v>5478</v>
      </c>
      <c r="H2217" s="9"/>
      <c r="I2217" s="9"/>
      <c r="J2217" s="9"/>
      <c r="K2217" s="9"/>
      <c r="L2217" s="10">
        <v>36358</v>
      </c>
      <c r="M2217" s="9"/>
      <c r="N2217" s="10">
        <v>36358</v>
      </c>
      <c r="O2217" s="9"/>
      <c r="P2217" s="10"/>
      <c r="Q2217" s="10"/>
      <c r="R2217" s="10"/>
      <c r="S2217" s="7" t="s">
        <v>54</v>
      </c>
      <c r="T2217" s="7" t="s">
        <v>5472</v>
      </c>
      <c r="U2217" s="7"/>
      <c r="V2217" s="7"/>
      <c r="W2217" s="7"/>
      <c r="X2217" s="7"/>
      <c r="Y2217" s="7" t="s">
        <v>5479</v>
      </c>
      <c r="Z2217" s="7" t="s">
        <v>5480</v>
      </c>
      <c r="AA2217" s="7"/>
      <c r="AB2217" s="7"/>
      <c r="AC2217" s="7" t="s">
        <v>5475</v>
      </c>
      <c r="AD2217" s="7" t="s">
        <v>5481</v>
      </c>
      <c r="AE2217" s="7"/>
      <c r="AF2217" s="7" t="s">
        <v>5476</v>
      </c>
      <c r="AG2217" s="7" t="s">
        <v>4207</v>
      </c>
      <c r="AH2217" s="7" t="s">
        <v>5472</v>
      </c>
    </row>
    <row r="2218" spans="1:34" ht="9.75" customHeight="1" x14ac:dyDescent="0.2">
      <c r="A2218" s="7" t="s">
        <v>4811</v>
      </c>
      <c r="B2218" s="7" t="s">
        <v>4812</v>
      </c>
      <c r="C2218" s="7"/>
      <c r="D2218" s="7" t="s">
        <v>5482</v>
      </c>
      <c r="E2218" s="8">
        <v>6</v>
      </c>
      <c r="F2218" s="7"/>
      <c r="G2218" s="7"/>
      <c r="H2218" s="9"/>
      <c r="I2218" s="9"/>
      <c r="J2218" s="9"/>
      <c r="K2218" s="9"/>
      <c r="L2218" s="10">
        <v>19252</v>
      </c>
      <c r="M2218" s="9"/>
      <c r="N2218" s="10">
        <v>19252</v>
      </c>
      <c r="O2218" s="9"/>
      <c r="P2218" s="10"/>
      <c r="Q2218" s="10"/>
      <c r="R2218" s="10"/>
      <c r="S2218" s="7" t="s">
        <v>54</v>
      </c>
      <c r="T2218" s="7" t="s">
        <v>5472</v>
      </c>
      <c r="U2218" s="7"/>
      <c r="V2218" s="7"/>
      <c r="W2218" s="7"/>
      <c r="X2218" s="7"/>
      <c r="Y2218" s="7" t="s">
        <v>5483</v>
      </c>
      <c r="Z2218" s="7" t="s">
        <v>5480</v>
      </c>
      <c r="AA2218" s="7"/>
      <c r="AB2218" s="7"/>
      <c r="AC2218" s="7" t="s">
        <v>5475</v>
      </c>
      <c r="AD2218" s="7" t="s">
        <v>5484</v>
      </c>
      <c r="AE2218" s="7"/>
      <c r="AF2218" s="7" t="s">
        <v>5476</v>
      </c>
      <c r="AG2218" s="7" t="s">
        <v>4207</v>
      </c>
      <c r="AH2218" s="7" t="s">
        <v>5472</v>
      </c>
    </row>
    <row r="2219" spans="1:34" ht="9.75" customHeight="1" x14ac:dyDescent="0.2">
      <c r="A2219" s="7" t="s">
        <v>4811</v>
      </c>
      <c r="B2219" s="7" t="s">
        <v>4812</v>
      </c>
      <c r="C2219" s="7"/>
      <c r="D2219" s="7" t="s">
        <v>5485</v>
      </c>
      <c r="E2219" s="8">
        <v>6</v>
      </c>
      <c r="F2219" s="7"/>
      <c r="G2219" s="7" t="s">
        <v>5486</v>
      </c>
      <c r="H2219" s="9"/>
      <c r="I2219" s="9"/>
      <c r="J2219" s="9"/>
      <c r="K2219" s="9"/>
      <c r="L2219" s="9"/>
      <c r="M2219" s="9"/>
      <c r="N2219" s="9"/>
      <c r="O2219" s="9"/>
      <c r="P2219" s="9"/>
      <c r="Q2219" s="9"/>
      <c r="R2219" s="9"/>
      <c r="S2219" s="7" t="s">
        <v>54</v>
      </c>
      <c r="T2219" s="7" t="s">
        <v>5472</v>
      </c>
      <c r="U2219" s="7"/>
      <c r="V2219" s="7"/>
      <c r="W2219" s="7"/>
      <c r="X2219" s="7"/>
      <c r="Y2219" s="7" t="s">
        <v>5487</v>
      </c>
      <c r="Z2219" s="7" t="s">
        <v>5488</v>
      </c>
      <c r="AA2219" s="7"/>
      <c r="AB2219" s="7"/>
      <c r="AC2219" s="7" t="s">
        <v>5475</v>
      </c>
      <c r="AD2219" s="7" t="s">
        <v>5489</v>
      </c>
      <c r="AE2219" s="7" t="s">
        <v>5490</v>
      </c>
      <c r="AF2219" s="7" t="s">
        <v>5476</v>
      </c>
      <c r="AG2219" s="7" t="s">
        <v>4207</v>
      </c>
      <c r="AH2219" s="7" t="s">
        <v>5472</v>
      </c>
    </row>
    <row r="2220" spans="1:34" ht="9.75" customHeight="1" x14ac:dyDescent="0.2">
      <c r="A2220" s="7" t="s">
        <v>4811</v>
      </c>
      <c r="B2220" s="7" t="s">
        <v>4812</v>
      </c>
      <c r="C2220" s="7"/>
      <c r="D2220" s="7" t="s">
        <v>5491</v>
      </c>
      <c r="E2220" s="8">
        <v>7</v>
      </c>
      <c r="F2220" s="7"/>
      <c r="G2220" s="7"/>
      <c r="H2220" s="9"/>
      <c r="I2220" s="9"/>
      <c r="J2220" s="9"/>
      <c r="K2220" s="9"/>
      <c r="L2220" s="10">
        <v>9195</v>
      </c>
      <c r="M2220" s="9"/>
      <c r="N2220" s="10">
        <v>9195</v>
      </c>
      <c r="O2220" s="9"/>
      <c r="P2220" s="10"/>
      <c r="Q2220" s="10"/>
      <c r="R2220" s="10"/>
      <c r="S2220" s="7" t="s">
        <v>54</v>
      </c>
      <c r="T2220" s="7" t="s">
        <v>5472</v>
      </c>
      <c r="U2220" s="7"/>
      <c r="V2220" s="7"/>
      <c r="W2220" s="7"/>
      <c r="X2220" s="7"/>
      <c r="Y2220" s="7" t="s">
        <v>5492</v>
      </c>
      <c r="Z2220" s="7" t="s">
        <v>5493</v>
      </c>
      <c r="AA2220" s="7"/>
      <c r="AB2220" s="7"/>
      <c r="AC2220" s="7" t="s">
        <v>5475</v>
      </c>
      <c r="AD2220" s="7" t="s">
        <v>5494</v>
      </c>
      <c r="AE2220" s="7"/>
      <c r="AF2220" s="7" t="s">
        <v>5476</v>
      </c>
      <c r="AG2220" s="7" t="s">
        <v>4207</v>
      </c>
      <c r="AH2220" s="7" t="s">
        <v>5472</v>
      </c>
    </row>
    <row r="2221" spans="1:34" ht="9.75" customHeight="1" x14ac:dyDescent="0.2">
      <c r="A2221" s="7" t="s">
        <v>4811</v>
      </c>
      <c r="B2221" s="7" t="s">
        <v>4812</v>
      </c>
      <c r="C2221" s="7"/>
      <c r="D2221" s="7" t="s">
        <v>5495</v>
      </c>
      <c r="E2221" s="8">
        <v>6</v>
      </c>
      <c r="F2221" s="7"/>
      <c r="G2221" s="7"/>
      <c r="H2221" s="9"/>
      <c r="I2221" s="9"/>
      <c r="J2221" s="9"/>
      <c r="K2221" s="9"/>
      <c r="L2221" s="10">
        <v>42028</v>
      </c>
      <c r="M2221" s="9"/>
      <c r="N2221" s="10">
        <v>42028</v>
      </c>
      <c r="O2221" s="9"/>
      <c r="P2221" s="10"/>
      <c r="Q2221" s="10"/>
      <c r="R2221" s="10"/>
      <c r="S2221" s="7" t="s">
        <v>54</v>
      </c>
      <c r="T2221" s="7" t="s">
        <v>5472</v>
      </c>
      <c r="U2221" s="7"/>
      <c r="V2221" s="7"/>
      <c r="W2221" s="7"/>
      <c r="X2221" s="7"/>
      <c r="Y2221" s="7" t="s">
        <v>5496</v>
      </c>
      <c r="Z2221" s="7" t="s">
        <v>5480</v>
      </c>
      <c r="AA2221" s="7"/>
      <c r="AB2221" s="7"/>
      <c r="AC2221" s="7" t="s">
        <v>5475</v>
      </c>
      <c r="AD2221" s="7" t="s">
        <v>5497</v>
      </c>
      <c r="AE2221" s="7"/>
      <c r="AF2221" s="7" t="s">
        <v>5476</v>
      </c>
      <c r="AG2221" s="7" t="s">
        <v>4207</v>
      </c>
      <c r="AH2221" s="7" t="s">
        <v>5472</v>
      </c>
    </row>
    <row r="2222" spans="1:34" ht="9.75" customHeight="1" x14ac:dyDescent="0.2">
      <c r="A2222" s="7" t="s">
        <v>4811</v>
      </c>
      <c r="B2222" s="7" t="s">
        <v>4812</v>
      </c>
      <c r="C2222" s="7"/>
      <c r="D2222" s="7" t="s">
        <v>5498</v>
      </c>
      <c r="E2222" s="8">
        <v>6</v>
      </c>
      <c r="F2222" s="7"/>
      <c r="G2222" s="7"/>
      <c r="H2222" s="9"/>
      <c r="I2222" s="10">
        <v>21016</v>
      </c>
      <c r="J2222" s="10">
        <v>21714</v>
      </c>
      <c r="K2222" s="9"/>
      <c r="L2222" s="10">
        <v>22192</v>
      </c>
      <c r="M2222" s="9"/>
      <c r="N2222" s="10">
        <v>22192</v>
      </c>
      <c r="O2222" s="9"/>
      <c r="P2222" s="10"/>
      <c r="Q2222" s="10"/>
      <c r="R2222" s="10"/>
      <c r="S2222" s="7" t="s">
        <v>43</v>
      </c>
      <c r="T2222" s="7"/>
      <c r="U2222" s="7"/>
      <c r="V2222" s="7"/>
      <c r="W2222" s="7"/>
      <c r="X2222" s="7"/>
      <c r="Y2222" s="7" t="s">
        <v>5499</v>
      </c>
      <c r="Z2222" s="7" t="s">
        <v>5386</v>
      </c>
      <c r="AA2222" s="7"/>
      <c r="AB2222" s="7"/>
      <c r="AC2222" s="7" t="s">
        <v>5500</v>
      </c>
      <c r="AD2222" s="7"/>
      <c r="AE2222" s="7"/>
      <c r="AF2222" s="7" t="s">
        <v>113</v>
      </c>
      <c r="AG2222" s="7" t="s">
        <v>366</v>
      </c>
      <c r="AH2222" s="7" t="s">
        <v>5498</v>
      </c>
    </row>
    <row r="2223" spans="1:34" ht="9.75" customHeight="1" x14ac:dyDescent="0.2">
      <c r="A2223" s="7" t="s">
        <v>4811</v>
      </c>
      <c r="B2223" s="7" t="s">
        <v>4812</v>
      </c>
      <c r="C2223" s="7"/>
      <c r="D2223" s="7" t="s">
        <v>5501</v>
      </c>
      <c r="E2223" s="8">
        <v>6</v>
      </c>
      <c r="F2223" s="7"/>
      <c r="G2223" s="7"/>
      <c r="H2223" s="9"/>
      <c r="I2223" s="10">
        <v>17314</v>
      </c>
      <c r="J2223" s="10">
        <v>17991</v>
      </c>
      <c r="K2223" s="9"/>
      <c r="L2223" s="10">
        <v>18436</v>
      </c>
      <c r="M2223" s="9"/>
      <c r="N2223" s="10">
        <v>18436</v>
      </c>
      <c r="O2223" s="9"/>
      <c r="P2223" s="10"/>
      <c r="Q2223" s="10"/>
      <c r="R2223" s="10"/>
      <c r="S2223" s="7" t="s">
        <v>54</v>
      </c>
      <c r="T2223" s="7" t="s">
        <v>5498</v>
      </c>
      <c r="U2223" s="7"/>
      <c r="V2223" s="7"/>
      <c r="W2223" s="7"/>
      <c r="X2223" s="7"/>
      <c r="Y2223" s="7" t="s">
        <v>5502</v>
      </c>
      <c r="Z2223" s="7" t="s">
        <v>5503</v>
      </c>
      <c r="AA2223" s="7"/>
      <c r="AB2223" s="7"/>
      <c r="AC2223" s="7" t="s">
        <v>5500</v>
      </c>
      <c r="AD2223" s="7"/>
      <c r="AE2223" s="7"/>
      <c r="AF2223" s="7" t="s">
        <v>113</v>
      </c>
      <c r="AG2223" s="7" t="s">
        <v>366</v>
      </c>
      <c r="AH2223" s="7" t="s">
        <v>5498</v>
      </c>
    </row>
    <row r="2224" spans="1:34" ht="9.75" customHeight="1" x14ac:dyDescent="0.2">
      <c r="A2224" s="7" t="s">
        <v>4811</v>
      </c>
      <c r="B2224" s="7" t="s">
        <v>4812</v>
      </c>
      <c r="C2224" s="7"/>
      <c r="D2224" s="7" t="s">
        <v>5504</v>
      </c>
      <c r="E2224" s="8">
        <v>6</v>
      </c>
      <c r="F2224" s="7"/>
      <c r="G2224" s="7"/>
      <c r="H2224" s="9"/>
      <c r="I2224" s="10">
        <v>3702</v>
      </c>
      <c r="J2224" s="10">
        <v>3723</v>
      </c>
      <c r="K2224" s="9"/>
      <c r="L2224" s="10">
        <v>3756</v>
      </c>
      <c r="M2224" s="9"/>
      <c r="N2224" s="10">
        <v>3756</v>
      </c>
      <c r="O2224" s="9"/>
      <c r="P2224" s="10"/>
      <c r="Q2224" s="10"/>
      <c r="R2224" s="10"/>
      <c r="S2224" s="7" t="s">
        <v>54</v>
      </c>
      <c r="T2224" s="7" t="s">
        <v>5498</v>
      </c>
      <c r="U2224" s="7"/>
      <c r="V2224" s="7"/>
      <c r="W2224" s="7"/>
      <c r="X2224" s="7"/>
      <c r="Y2224" s="7" t="s">
        <v>5505</v>
      </c>
      <c r="Z2224" s="7" t="s">
        <v>5503</v>
      </c>
      <c r="AA2224" s="7"/>
      <c r="AB2224" s="7"/>
      <c r="AC2224" s="7" t="s">
        <v>5500</v>
      </c>
      <c r="AD2224" s="7"/>
      <c r="AE2224" s="7"/>
      <c r="AF2224" s="7" t="s">
        <v>113</v>
      </c>
      <c r="AG2224" s="7" t="s">
        <v>366</v>
      </c>
      <c r="AH2224" s="7" t="s">
        <v>5498</v>
      </c>
    </row>
    <row r="2225" spans="1:34" ht="9.75" customHeight="1" x14ac:dyDescent="0.2">
      <c r="A2225" s="7" t="s">
        <v>4811</v>
      </c>
      <c r="B2225" s="7" t="s">
        <v>4812</v>
      </c>
      <c r="C2225" s="7"/>
      <c r="D2225" s="7" t="s">
        <v>5506</v>
      </c>
      <c r="E2225" s="8">
        <v>3</v>
      </c>
      <c r="F2225" s="7"/>
      <c r="G2225" s="7" t="s">
        <v>5507</v>
      </c>
      <c r="H2225" s="9"/>
      <c r="I2225" s="10">
        <v>185285</v>
      </c>
      <c r="J2225" s="10">
        <v>153237</v>
      </c>
      <c r="K2225" s="9"/>
      <c r="L2225" s="10">
        <v>1846</v>
      </c>
      <c r="M2225" s="9"/>
      <c r="N2225" s="10">
        <v>1846</v>
      </c>
      <c r="O2225" s="9"/>
      <c r="P2225" s="10"/>
      <c r="Q2225" s="10"/>
      <c r="R2225" s="10"/>
      <c r="S2225" s="7" t="s">
        <v>54</v>
      </c>
      <c r="T2225" s="7" t="s">
        <v>5508</v>
      </c>
      <c r="U2225" s="7" t="s">
        <v>44</v>
      </c>
      <c r="V2225" s="7" t="s">
        <v>281</v>
      </c>
      <c r="W2225" s="7" t="s">
        <v>282</v>
      </c>
      <c r="X2225" s="7"/>
      <c r="Y2225" s="7" t="s">
        <v>5509</v>
      </c>
      <c r="Z2225" s="7" t="s">
        <v>3329</v>
      </c>
      <c r="AA2225" s="7"/>
      <c r="AB2225" s="7"/>
      <c r="AC2225" s="7" t="s">
        <v>5510</v>
      </c>
      <c r="AD2225" s="7"/>
      <c r="AE2225" s="7"/>
      <c r="AF2225" s="7"/>
      <c r="AG2225" s="7"/>
      <c r="AH2225" s="7" t="s">
        <v>5507</v>
      </c>
    </row>
    <row r="2226" spans="1:34" ht="9.75" customHeight="1" x14ac:dyDescent="0.2">
      <c r="A2226" s="7" t="s">
        <v>4811</v>
      </c>
      <c r="B2226" s="7" t="s">
        <v>4812</v>
      </c>
      <c r="C2226" s="7"/>
      <c r="D2226" s="7" t="s">
        <v>5511</v>
      </c>
      <c r="E2226" s="8">
        <v>5</v>
      </c>
      <c r="F2226" s="7"/>
      <c r="G2226" s="7"/>
      <c r="H2226" s="9"/>
      <c r="I2226" s="9"/>
      <c r="J2226" s="9"/>
      <c r="K2226" s="9"/>
      <c r="L2226" s="10">
        <v>12237</v>
      </c>
      <c r="M2226" s="9"/>
      <c r="N2226" s="10">
        <v>12237</v>
      </c>
      <c r="O2226" s="9"/>
      <c r="P2226" s="10"/>
      <c r="Q2226" s="10"/>
      <c r="R2226" s="10"/>
      <c r="S2226" s="7" t="s">
        <v>54</v>
      </c>
      <c r="T2226" s="7" t="s">
        <v>5508</v>
      </c>
      <c r="U2226" s="7" t="s">
        <v>44</v>
      </c>
      <c r="V2226" s="7" t="s">
        <v>281</v>
      </c>
      <c r="W2226" s="7" t="s">
        <v>282</v>
      </c>
      <c r="X2226" s="7" t="s">
        <v>283</v>
      </c>
      <c r="Y2226" s="7" t="s">
        <v>5512</v>
      </c>
      <c r="Z2226" s="7" t="s">
        <v>5513</v>
      </c>
      <c r="AA2226" s="7"/>
      <c r="AB2226" s="7"/>
      <c r="AC2226" s="7" t="s">
        <v>5510</v>
      </c>
      <c r="AD2226" s="7" t="s">
        <v>5514</v>
      </c>
      <c r="AE2226" s="7"/>
      <c r="AF2226" s="7"/>
      <c r="AG2226" s="7"/>
      <c r="AH2226" s="7"/>
    </row>
    <row r="2227" spans="1:34" ht="9.75" customHeight="1" x14ac:dyDescent="0.2">
      <c r="A2227" s="7" t="s">
        <v>4811</v>
      </c>
      <c r="B2227" s="7" t="s">
        <v>4812</v>
      </c>
      <c r="C2227" s="7"/>
      <c r="D2227" s="7" t="s">
        <v>5515</v>
      </c>
      <c r="E2227" s="8">
        <v>7</v>
      </c>
      <c r="F2227" s="7"/>
      <c r="G2227" s="7" t="s">
        <v>5516</v>
      </c>
      <c r="H2227" s="9"/>
      <c r="I2227" s="10">
        <v>48086</v>
      </c>
      <c r="J2227" s="10">
        <v>48634</v>
      </c>
      <c r="K2227" s="9"/>
      <c r="L2227" s="10">
        <v>38285</v>
      </c>
      <c r="M2227" s="9"/>
      <c r="N2227" s="10">
        <v>38285</v>
      </c>
      <c r="O2227" s="9"/>
      <c r="P2227" s="10"/>
      <c r="Q2227" s="10"/>
      <c r="R2227" s="10"/>
      <c r="S2227" s="7" t="s">
        <v>54</v>
      </c>
      <c r="T2227" s="7" t="s">
        <v>5508</v>
      </c>
      <c r="U2227" s="7"/>
      <c r="V2227" s="7"/>
      <c r="W2227" s="7"/>
      <c r="X2227" s="7"/>
      <c r="Y2227" s="7" t="s">
        <v>5517</v>
      </c>
      <c r="Z2227" s="7" t="s">
        <v>3329</v>
      </c>
      <c r="AA2227" s="7"/>
      <c r="AB2227" s="7"/>
      <c r="AC2227" s="7" t="s">
        <v>5510</v>
      </c>
      <c r="AD2227" s="7"/>
      <c r="AE2227" s="7"/>
      <c r="AF2227" s="7"/>
      <c r="AG2227" s="7"/>
      <c r="AH2227" s="7" t="s">
        <v>5516</v>
      </c>
    </row>
    <row r="2228" spans="1:34" ht="9.75" customHeight="1" x14ac:dyDescent="0.2">
      <c r="A2228" s="7" t="s">
        <v>4811</v>
      </c>
      <c r="B2228" s="7" t="s">
        <v>4812</v>
      </c>
      <c r="C2228" s="7"/>
      <c r="D2228" s="7" t="s">
        <v>5518</v>
      </c>
      <c r="E2228" s="7" t="s">
        <v>4814</v>
      </c>
      <c r="F2228" s="7"/>
      <c r="G2228" s="7"/>
      <c r="H2228" s="9"/>
      <c r="I2228" s="10">
        <v>1761930</v>
      </c>
      <c r="J2228" s="10">
        <v>1572124</v>
      </c>
      <c r="K2228" s="9"/>
      <c r="L2228" s="10">
        <v>1754627</v>
      </c>
      <c r="M2228" s="9"/>
      <c r="N2228" s="10">
        <v>1754627</v>
      </c>
      <c r="O2228" s="9"/>
      <c r="P2228" s="10">
        <v>269407</v>
      </c>
      <c r="Q2228" s="10">
        <v>1626768</v>
      </c>
      <c r="R2228" s="10">
        <v>1896175</v>
      </c>
      <c r="S2228" s="7" t="s">
        <v>43</v>
      </c>
      <c r="T2228" s="7"/>
      <c r="U2228" s="7"/>
      <c r="V2228" s="7"/>
      <c r="W2228" s="7"/>
      <c r="X2228" s="7"/>
      <c r="Y2228" s="7" t="s">
        <v>5519</v>
      </c>
      <c r="Z2228" s="7" t="s">
        <v>5376</v>
      </c>
      <c r="AA2228" s="7"/>
      <c r="AB2228" s="7"/>
      <c r="AC2228" s="7" t="s">
        <v>5520</v>
      </c>
      <c r="AD2228" s="7"/>
      <c r="AE2228" s="7"/>
      <c r="AF2228" s="7" t="s">
        <v>5521</v>
      </c>
      <c r="AG2228" s="7" t="s">
        <v>5522</v>
      </c>
      <c r="AH2228" s="7" t="s">
        <v>5518</v>
      </c>
    </row>
    <row r="2229" spans="1:34" ht="9.75" customHeight="1" x14ac:dyDescent="0.2">
      <c r="A2229" s="7" t="s">
        <v>4811</v>
      </c>
      <c r="B2229" s="7" t="s">
        <v>4812</v>
      </c>
      <c r="C2229" s="7"/>
      <c r="D2229" s="7" t="s">
        <v>5523</v>
      </c>
      <c r="E2229" s="8">
        <v>2</v>
      </c>
      <c r="F2229" s="7"/>
      <c r="G2229" s="7"/>
      <c r="H2229" s="9"/>
      <c r="I2229" s="10">
        <v>114818</v>
      </c>
      <c r="J2229" s="10">
        <v>115812</v>
      </c>
      <c r="K2229" s="9"/>
      <c r="L2229" s="10">
        <v>129051</v>
      </c>
      <c r="M2229" s="9"/>
      <c r="N2229" s="10">
        <v>129051</v>
      </c>
      <c r="O2229" s="9"/>
      <c r="P2229" s="10"/>
      <c r="Q2229" s="10"/>
      <c r="R2229" s="10"/>
      <c r="S2229" s="7" t="s">
        <v>54</v>
      </c>
      <c r="T2229" s="7" t="s">
        <v>5518</v>
      </c>
      <c r="U2229" s="7"/>
      <c r="V2229" s="7"/>
      <c r="W2229" s="7"/>
      <c r="X2229" s="7"/>
      <c r="Y2229" s="7" t="s">
        <v>5524</v>
      </c>
      <c r="Z2229" s="7" t="s">
        <v>5525</v>
      </c>
      <c r="AA2229" s="7"/>
      <c r="AB2229" s="7"/>
      <c r="AC2229" s="7" t="s">
        <v>5520</v>
      </c>
      <c r="AD2229" s="7"/>
      <c r="AE2229" s="7"/>
      <c r="AF2229" s="7" t="s">
        <v>5521</v>
      </c>
      <c r="AG2229" s="7" t="s">
        <v>5522</v>
      </c>
      <c r="AH2229" s="7" t="s">
        <v>5518</v>
      </c>
    </row>
    <row r="2230" spans="1:34" ht="9.75" customHeight="1" x14ac:dyDescent="0.2">
      <c r="A2230" s="7" t="s">
        <v>4811</v>
      </c>
      <c r="B2230" s="7" t="s">
        <v>4812</v>
      </c>
      <c r="C2230" s="7"/>
      <c r="D2230" s="7" t="s">
        <v>5526</v>
      </c>
      <c r="E2230" s="8">
        <v>2</v>
      </c>
      <c r="F2230" s="7"/>
      <c r="G2230" s="7" t="s">
        <v>5527</v>
      </c>
      <c r="H2230" s="9"/>
      <c r="I2230" s="10">
        <v>97790</v>
      </c>
      <c r="J2230" s="10">
        <v>32771</v>
      </c>
      <c r="K2230" s="9"/>
      <c r="L2230" s="10">
        <v>82544</v>
      </c>
      <c r="M2230" s="9"/>
      <c r="N2230" s="10">
        <v>82544</v>
      </c>
      <c r="O2230" s="9"/>
      <c r="P2230" s="10"/>
      <c r="Q2230" s="10"/>
      <c r="R2230" s="10"/>
      <c r="S2230" s="7" t="s">
        <v>54</v>
      </c>
      <c r="T2230" s="7" t="s">
        <v>5518</v>
      </c>
      <c r="U2230" s="7"/>
      <c r="V2230" s="7"/>
      <c r="W2230" s="7"/>
      <c r="X2230" s="7"/>
      <c r="Y2230" s="7" t="s">
        <v>5528</v>
      </c>
      <c r="Z2230" s="7" t="s">
        <v>4165</v>
      </c>
      <c r="AA2230" s="7"/>
      <c r="AB2230" s="7"/>
      <c r="AC2230" s="7" t="s">
        <v>5520</v>
      </c>
      <c r="AD2230" s="7"/>
      <c r="AE2230" s="7"/>
      <c r="AF2230" s="7" t="s">
        <v>5521</v>
      </c>
      <c r="AG2230" s="7" t="s">
        <v>5522</v>
      </c>
      <c r="AH2230" s="7" t="s">
        <v>5518</v>
      </c>
    </row>
    <row r="2231" spans="1:34" ht="9.75" customHeight="1" x14ac:dyDescent="0.2">
      <c r="A2231" s="7" t="s">
        <v>4811</v>
      </c>
      <c r="B2231" s="7" t="s">
        <v>4812</v>
      </c>
      <c r="C2231" s="7"/>
      <c r="D2231" s="7" t="s">
        <v>5529</v>
      </c>
      <c r="E2231" s="8">
        <v>2</v>
      </c>
      <c r="F2231" s="7"/>
      <c r="G2231" s="7"/>
      <c r="H2231" s="9"/>
      <c r="I2231" s="10">
        <v>271533</v>
      </c>
      <c r="J2231" s="10">
        <v>97689</v>
      </c>
      <c r="K2231" s="9"/>
      <c r="L2231" s="10">
        <v>88674</v>
      </c>
      <c r="M2231" s="9"/>
      <c r="N2231" s="10">
        <v>88674</v>
      </c>
      <c r="O2231" s="9"/>
      <c r="P2231" s="10"/>
      <c r="Q2231" s="10"/>
      <c r="R2231" s="10"/>
      <c r="S2231" s="7" t="s">
        <v>54</v>
      </c>
      <c r="T2231" s="7" t="s">
        <v>5518</v>
      </c>
      <c r="U2231" s="7"/>
      <c r="V2231" s="7"/>
      <c r="W2231" s="7"/>
      <c r="X2231" s="7"/>
      <c r="Y2231" s="7" t="s">
        <v>5530</v>
      </c>
      <c r="Z2231" s="7" t="s">
        <v>4165</v>
      </c>
      <c r="AA2231" s="7"/>
      <c r="AB2231" s="7"/>
      <c r="AC2231" s="7" t="s">
        <v>5520</v>
      </c>
      <c r="AD2231" s="7" t="s">
        <v>5531</v>
      </c>
      <c r="AE2231" s="7"/>
      <c r="AF2231" s="7" t="s">
        <v>5521</v>
      </c>
      <c r="AG2231" s="7" t="s">
        <v>5522</v>
      </c>
      <c r="AH2231" s="7" t="s">
        <v>5518</v>
      </c>
    </row>
    <row r="2232" spans="1:34" ht="9.75" customHeight="1" x14ac:dyDescent="0.2">
      <c r="A2232" s="7" t="s">
        <v>4811</v>
      </c>
      <c r="B2232" s="7" t="s">
        <v>4812</v>
      </c>
      <c r="C2232" s="7"/>
      <c r="D2232" s="7" t="s">
        <v>5532</v>
      </c>
      <c r="E2232" s="8">
        <v>3</v>
      </c>
      <c r="F2232" s="7"/>
      <c r="G2232" s="7"/>
      <c r="H2232" s="9"/>
      <c r="I2232" s="10">
        <v>28452</v>
      </c>
      <c r="J2232" s="10">
        <v>24120</v>
      </c>
      <c r="K2232" s="9"/>
      <c r="L2232" s="10">
        <v>23487</v>
      </c>
      <c r="M2232" s="9"/>
      <c r="N2232" s="10">
        <v>23487</v>
      </c>
      <c r="O2232" s="9"/>
      <c r="P2232" s="10"/>
      <c r="Q2232" s="10"/>
      <c r="R2232" s="10"/>
      <c r="S2232" s="7" t="s">
        <v>54</v>
      </c>
      <c r="T2232" s="7" t="s">
        <v>5518</v>
      </c>
      <c r="U2232" s="7"/>
      <c r="V2232" s="7"/>
      <c r="W2232" s="7"/>
      <c r="X2232" s="7"/>
      <c r="Y2232" s="7" t="s">
        <v>5533</v>
      </c>
      <c r="Z2232" s="7" t="s">
        <v>4165</v>
      </c>
      <c r="AA2232" s="7"/>
      <c r="AB2232" s="7"/>
      <c r="AC2232" s="7" t="s">
        <v>5520</v>
      </c>
      <c r="AD2232" s="7" t="s">
        <v>5534</v>
      </c>
      <c r="AE2232" s="7"/>
      <c r="AF2232" s="7" t="s">
        <v>5521</v>
      </c>
      <c r="AG2232" s="7" t="s">
        <v>5522</v>
      </c>
      <c r="AH2232" s="7" t="s">
        <v>5518</v>
      </c>
    </row>
    <row r="2233" spans="1:34" ht="9.75" customHeight="1" x14ac:dyDescent="0.2">
      <c r="A2233" s="7" t="s">
        <v>4811</v>
      </c>
      <c r="B2233" s="7" t="s">
        <v>4812</v>
      </c>
      <c r="C2233" s="7"/>
      <c r="D2233" s="7" t="s">
        <v>5535</v>
      </c>
      <c r="E2233" s="8">
        <v>2</v>
      </c>
      <c r="F2233" s="7"/>
      <c r="G2233" s="7"/>
      <c r="H2233" s="9"/>
      <c r="I2233" s="10">
        <v>10881</v>
      </c>
      <c r="J2233" s="10">
        <v>11565</v>
      </c>
      <c r="K2233" s="9"/>
      <c r="L2233" s="10">
        <v>11353</v>
      </c>
      <c r="M2233" s="9"/>
      <c r="N2233" s="10">
        <v>11353</v>
      </c>
      <c r="O2233" s="9"/>
      <c r="P2233" s="10"/>
      <c r="Q2233" s="10"/>
      <c r="R2233" s="10"/>
      <c r="S2233" s="7" t="s">
        <v>54</v>
      </c>
      <c r="T2233" s="7" t="s">
        <v>5518</v>
      </c>
      <c r="U2233" s="7" t="s">
        <v>44</v>
      </c>
      <c r="V2233" s="7" t="s">
        <v>45</v>
      </c>
      <c r="W2233" s="7" t="s">
        <v>130</v>
      </c>
      <c r="X2233" s="7" t="s">
        <v>131</v>
      </c>
      <c r="Y2233" s="7" t="s">
        <v>5536</v>
      </c>
      <c r="Z2233" s="7" t="s">
        <v>4165</v>
      </c>
      <c r="AA2233" s="7"/>
      <c r="AB2233" s="7"/>
      <c r="AC2233" s="7" t="s">
        <v>5520</v>
      </c>
      <c r="AD2233" s="7" t="s">
        <v>5537</v>
      </c>
      <c r="AE2233" s="7"/>
      <c r="AF2233" s="7" t="s">
        <v>5521</v>
      </c>
      <c r="AG2233" s="7" t="s">
        <v>5522</v>
      </c>
      <c r="AH2233" s="7" t="s">
        <v>5518</v>
      </c>
    </row>
    <row r="2234" spans="1:34" ht="9.75" customHeight="1" x14ac:dyDescent="0.2">
      <c r="A2234" s="7" t="s">
        <v>4811</v>
      </c>
      <c r="B2234" s="7" t="s">
        <v>4812</v>
      </c>
      <c r="C2234" s="7"/>
      <c r="D2234" s="7" t="s">
        <v>5538</v>
      </c>
      <c r="E2234" s="8">
        <v>2</v>
      </c>
      <c r="F2234" s="7"/>
      <c r="G2234" s="7" t="s">
        <v>5539</v>
      </c>
      <c r="H2234" s="9"/>
      <c r="I2234" s="10">
        <v>127395</v>
      </c>
      <c r="J2234" s="10">
        <v>130594</v>
      </c>
      <c r="K2234" s="9"/>
      <c r="L2234" s="10">
        <v>71804</v>
      </c>
      <c r="M2234" s="9"/>
      <c r="N2234" s="10">
        <v>71804</v>
      </c>
      <c r="O2234" s="9"/>
      <c r="P2234" s="10"/>
      <c r="Q2234" s="10"/>
      <c r="R2234" s="10"/>
      <c r="S2234" s="7" t="s">
        <v>54</v>
      </c>
      <c r="T2234" s="7" t="s">
        <v>5518</v>
      </c>
      <c r="U2234" s="7" t="s">
        <v>44</v>
      </c>
      <c r="V2234" s="7" t="s">
        <v>45</v>
      </c>
      <c r="W2234" s="7" t="s">
        <v>46</v>
      </c>
      <c r="X2234" s="7"/>
      <c r="Y2234" s="7" t="s">
        <v>5540</v>
      </c>
      <c r="Z2234" s="7" t="s">
        <v>5525</v>
      </c>
      <c r="AA2234" s="7"/>
      <c r="AB2234" s="7"/>
      <c r="AC2234" s="7" t="s">
        <v>5520</v>
      </c>
      <c r="AD2234" s="7" t="s">
        <v>5541</v>
      </c>
      <c r="AE2234" s="7"/>
      <c r="AF2234" s="7" t="s">
        <v>5521</v>
      </c>
      <c r="AG2234" s="7" t="s">
        <v>5522</v>
      </c>
      <c r="AH2234" s="7" t="s">
        <v>5518</v>
      </c>
    </row>
    <row r="2235" spans="1:34" ht="9.75" customHeight="1" x14ac:dyDescent="0.2">
      <c r="A2235" s="7" t="s">
        <v>4811</v>
      </c>
      <c r="B2235" s="7" t="s">
        <v>4812</v>
      </c>
      <c r="C2235" s="7"/>
      <c r="D2235" s="7" t="s">
        <v>5542</v>
      </c>
      <c r="E2235" s="8">
        <v>2</v>
      </c>
      <c r="F2235" s="7"/>
      <c r="G2235" s="7"/>
      <c r="H2235" s="9"/>
      <c r="I2235" s="10">
        <v>41679</v>
      </c>
      <c r="J2235" s="10">
        <v>41231</v>
      </c>
      <c r="K2235" s="9"/>
      <c r="L2235" s="10">
        <v>40897</v>
      </c>
      <c r="M2235" s="9"/>
      <c r="N2235" s="10">
        <v>40897</v>
      </c>
      <c r="O2235" s="9"/>
      <c r="P2235" s="10"/>
      <c r="Q2235" s="10"/>
      <c r="R2235" s="10"/>
      <c r="S2235" s="7" t="s">
        <v>54</v>
      </c>
      <c r="T2235" s="7" t="s">
        <v>5518</v>
      </c>
      <c r="U2235" s="7"/>
      <c r="V2235" s="7"/>
      <c r="W2235" s="7"/>
      <c r="X2235" s="7"/>
      <c r="Y2235" s="7" t="s">
        <v>5543</v>
      </c>
      <c r="Z2235" s="7" t="s">
        <v>4165</v>
      </c>
      <c r="AA2235" s="7"/>
      <c r="AB2235" s="7"/>
      <c r="AC2235" s="7" t="s">
        <v>5520</v>
      </c>
      <c r="AD2235" s="7" t="s">
        <v>5544</v>
      </c>
      <c r="AE2235" s="7"/>
      <c r="AF2235" s="7" t="s">
        <v>5521</v>
      </c>
      <c r="AG2235" s="7" t="s">
        <v>5522</v>
      </c>
      <c r="AH2235" s="7" t="s">
        <v>5518</v>
      </c>
    </row>
    <row r="2236" spans="1:34" ht="9.75" customHeight="1" x14ac:dyDescent="0.2">
      <c r="A2236" s="7" t="s">
        <v>4811</v>
      </c>
      <c r="B2236" s="7" t="s">
        <v>4812</v>
      </c>
      <c r="C2236" s="7"/>
      <c r="D2236" s="7" t="s">
        <v>5545</v>
      </c>
      <c r="E2236" s="8">
        <v>2</v>
      </c>
      <c r="F2236" s="7"/>
      <c r="G2236" s="7"/>
      <c r="H2236" s="9"/>
      <c r="I2236" s="10">
        <v>18244</v>
      </c>
      <c r="J2236" s="10">
        <v>18509</v>
      </c>
      <c r="K2236" s="9"/>
      <c r="L2236" s="10">
        <v>17384</v>
      </c>
      <c r="M2236" s="9"/>
      <c r="N2236" s="10">
        <v>17384</v>
      </c>
      <c r="O2236" s="9"/>
      <c r="P2236" s="10"/>
      <c r="Q2236" s="10"/>
      <c r="R2236" s="10"/>
      <c r="S2236" s="7" t="s">
        <v>54</v>
      </c>
      <c r="T2236" s="7" t="s">
        <v>5518</v>
      </c>
      <c r="U2236" s="7" t="s">
        <v>44</v>
      </c>
      <c r="V2236" s="7" t="s">
        <v>45</v>
      </c>
      <c r="W2236" s="7" t="s">
        <v>46</v>
      </c>
      <c r="X2236" s="7"/>
      <c r="Y2236" s="7" t="s">
        <v>5546</v>
      </c>
      <c r="Z2236" s="7" t="s">
        <v>5525</v>
      </c>
      <c r="AA2236" s="7"/>
      <c r="AB2236" s="7"/>
      <c r="AC2236" s="7" t="s">
        <v>5520</v>
      </c>
      <c r="AD2236" s="7"/>
      <c r="AE2236" s="7"/>
      <c r="AF2236" s="7" t="s">
        <v>5521</v>
      </c>
      <c r="AG2236" s="7" t="s">
        <v>5522</v>
      </c>
      <c r="AH2236" s="7" t="s">
        <v>5518</v>
      </c>
    </row>
    <row r="2237" spans="1:34" ht="9.75" customHeight="1" x14ac:dyDescent="0.2">
      <c r="A2237" s="7" t="s">
        <v>4811</v>
      </c>
      <c r="B2237" s="7" t="s">
        <v>4812</v>
      </c>
      <c r="C2237" s="7"/>
      <c r="D2237" s="7" t="s">
        <v>5547</v>
      </c>
      <c r="E2237" s="8">
        <v>2</v>
      </c>
      <c r="F2237" s="7"/>
      <c r="G2237" s="7"/>
      <c r="H2237" s="9"/>
      <c r="I2237" s="10">
        <v>44260</v>
      </c>
      <c r="J2237" s="10">
        <v>50080</v>
      </c>
      <c r="K2237" s="9"/>
      <c r="L2237" s="10">
        <v>41235</v>
      </c>
      <c r="M2237" s="9"/>
      <c r="N2237" s="10">
        <v>41235</v>
      </c>
      <c r="O2237" s="9"/>
      <c r="P2237" s="10"/>
      <c r="Q2237" s="10"/>
      <c r="R2237" s="10"/>
      <c r="S2237" s="7" t="s">
        <v>54</v>
      </c>
      <c r="T2237" s="7" t="s">
        <v>5518</v>
      </c>
      <c r="U2237" s="7"/>
      <c r="V2237" s="7"/>
      <c r="W2237" s="7"/>
      <c r="X2237" s="7"/>
      <c r="Y2237" s="7" t="s">
        <v>5548</v>
      </c>
      <c r="Z2237" s="7" t="s">
        <v>4165</v>
      </c>
      <c r="AA2237" s="7"/>
      <c r="AB2237" s="7"/>
      <c r="AC2237" s="7" t="s">
        <v>5520</v>
      </c>
      <c r="AD2237" s="7"/>
      <c r="AE2237" s="7"/>
      <c r="AF2237" s="7" t="s">
        <v>5521</v>
      </c>
      <c r="AG2237" s="7" t="s">
        <v>5522</v>
      </c>
      <c r="AH2237" s="7" t="s">
        <v>5518</v>
      </c>
    </row>
    <row r="2238" spans="1:34" ht="9.75" customHeight="1" x14ac:dyDescent="0.2">
      <c r="A2238" s="7" t="s">
        <v>4811</v>
      </c>
      <c r="B2238" s="7" t="s">
        <v>4812</v>
      </c>
      <c r="C2238" s="7"/>
      <c r="D2238" s="7" t="s">
        <v>5549</v>
      </c>
      <c r="E2238" s="8">
        <v>2</v>
      </c>
      <c r="F2238" s="7"/>
      <c r="G2238" s="7"/>
      <c r="H2238" s="9"/>
      <c r="I2238" s="10">
        <v>14776</v>
      </c>
      <c r="J2238" s="10">
        <v>18969</v>
      </c>
      <c r="K2238" s="9"/>
      <c r="L2238" s="10">
        <v>18784</v>
      </c>
      <c r="M2238" s="9"/>
      <c r="N2238" s="10">
        <v>18784</v>
      </c>
      <c r="O2238" s="9"/>
      <c r="P2238" s="10"/>
      <c r="Q2238" s="10"/>
      <c r="R2238" s="10"/>
      <c r="S2238" s="7" t="s">
        <v>54</v>
      </c>
      <c r="T2238" s="7" t="s">
        <v>5518</v>
      </c>
      <c r="U2238" s="7"/>
      <c r="V2238" s="7"/>
      <c r="W2238" s="7"/>
      <c r="X2238" s="7"/>
      <c r="Y2238" s="7" t="s">
        <v>5550</v>
      </c>
      <c r="Z2238" s="7" t="s">
        <v>4165</v>
      </c>
      <c r="AA2238" s="7"/>
      <c r="AB2238" s="7"/>
      <c r="AC2238" s="7" t="s">
        <v>5520</v>
      </c>
      <c r="AD2238" s="7"/>
      <c r="AE2238" s="7"/>
      <c r="AF2238" s="7" t="s">
        <v>5521</v>
      </c>
      <c r="AG2238" s="7" t="s">
        <v>5522</v>
      </c>
      <c r="AH2238" s="7" t="s">
        <v>5518</v>
      </c>
    </row>
    <row r="2239" spans="1:34" ht="9.75" customHeight="1" x14ac:dyDescent="0.2">
      <c r="A2239" s="7" t="s">
        <v>4811</v>
      </c>
      <c r="B2239" s="7" t="s">
        <v>4812</v>
      </c>
      <c r="C2239" s="7"/>
      <c r="D2239" s="7" t="s">
        <v>5551</v>
      </c>
      <c r="E2239" s="8">
        <v>2</v>
      </c>
      <c r="F2239" s="7"/>
      <c r="G2239" s="7" t="s">
        <v>5552</v>
      </c>
      <c r="H2239" s="9"/>
      <c r="I2239" s="10">
        <v>2205</v>
      </c>
      <c r="J2239" s="10">
        <v>2169</v>
      </c>
      <c r="K2239" s="9"/>
      <c r="L2239" s="10">
        <v>2179</v>
      </c>
      <c r="M2239" s="9"/>
      <c r="N2239" s="10">
        <v>2179</v>
      </c>
      <c r="O2239" s="9"/>
      <c r="P2239" s="10"/>
      <c r="Q2239" s="10"/>
      <c r="R2239" s="10"/>
      <c r="S2239" s="7" t="s">
        <v>54</v>
      </c>
      <c r="T2239" s="7" t="s">
        <v>5518</v>
      </c>
      <c r="U2239" s="7"/>
      <c r="V2239" s="7"/>
      <c r="W2239" s="7"/>
      <c r="X2239" s="7"/>
      <c r="Y2239" s="7" t="s">
        <v>5553</v>
      </c>
      <c r="Z2239" s="7" t="s">
        <v>4165</v>
      </c>
      <c r="AA2239" s="7"/>
      <c r="AB2239" s="7"/>
      <c r="AC2239" s="7" t="s">
        <v>5520</v>
      </c>
      <c r="AD2239" s="7" t="s">
        <v>5554</v>
      </c>
      <c r="AE2239" s="7"/>
      <c r="AF2239" s="7" t="s">
        <v>5521</v>
      </c>
      <c r="AG2239" s="7" t="s">
        <v>5522</v>
      </c>
      <c r="AH2239" s="7" t="s">
        <v>5518</v>
      </c>
    </row>
    <row r="2240" spans="1:34" ht="9.75" customHeight="1" x14ac:dyDescent="0.2">
      <c r="A2240" s="7" t="s">
        <v>4811</v>
      </c>
      <c r="B2240" s="7" t="s">
        <v>4812</v>
      </c>
      <c r="C2240" s="7"/>
      <c r="D2240" s="7" t="s">
        <v>5555</v>
      </c>
      <c r="E2240" s="8">
        <v>2</v>
      </c>
      <c r="F2240" s="7"/>
      <c r="G2240" s="7"/>
      <c r="H2240" s="9"/>
      <c r="I2240" s="10">
        <v>6756</v>
      </c>
      <c r="J2240" s="10">
        <v>14976</v>
      </c>
      <c r="K2240" s="9"/>
      <c r="L2240" s="10">
        <v>18683</v>
      </c>
      <c r="M2240" s="9"/>
      <c r="N2240" s="10">
        <v>18683</v>
      </c>
      <c r="O2240" s="9"/>
      <c r="P2240" s="10"/>
      <c r="Q2240" s="10"/>
      <c r="R2240" s="10"/>
      <c r="S2240" s="7" t="s">
        <v>54</v>
      </c>
      <c r="T2240" s="7" t="s">
        <v>5518</v>
      </c>
      <c r="U2240" s="7" t="s">
        <v>44</v>
      </c>
      <c r="V2240" s="7" t="s">
        <v>45</v>
      </c>
      <c r="W2240" s="7" t="s">
        <v>4779</v>
      </c>
      <c r="X2240" s="7" t="s">
        <v>4780</v>
      </c>
      <c r="Y2240" s="7" t="s">
        <v>5556</v>
      </c>
      <c r="Z2240" s="7" t="s">
        <v>5557</v>
      </c>
      <c r="AA2240" s="7"/>
      <c r="AB2240" s="7"/>
      <c r="AC2240" s="7" t="s">
        <v>5520</v>
      </c>
      <c r="AD2240" s="7" t="s">
        <v>5558</v>
      </c>
      <c r="AE2240" s="7"/>
      <c r="AF2240" s="7" t="s">
        <v>5521</v>
      </c>
      <c r="AG2240" s="7" t="s">
        <v>5522</v>
      </c>
      <c r="AH2240" s="7" t="s">
        <v>5518</v>
      </c>
    </row>
    <row r="2241" spans="1:34" ht="9.75" customHeight="1" x14ac:dyDescent="0.2">
      <c r="A2241" s="7" t="s">
        <v>4811</v>
      </c>
      <c r="B2241" s="7" t="s">
        <v>4812</v>
      </c>
      <c r="C2241" s="7"/>
      <c r="D2241" s="7" t="s">
        <v>5559</v>
      </c>
      <c r="E2241" s="8">
        <v>2</v>
      </c>
      <c r="F2241" s="7"/>
      <c r="G2241" s="7"/>
      <c r="H2241" s="9"/>
      <c r="I2241" s="10">
        <v>42782</v>
      </c>
      <c r="J2241" s="10">
        <v>62411</v>
      </c>
      <c r="K2241" s="9"/>
      <c r="L2241" s="10">
        <v>40610</v>
      </c>
      <c r="M2241" s="9"/>
      <c r="N2241" s="10">
        <v>40610</v>
      </c>
      <c r="O2241" s="9"/>
      <c r="P2241" s="10"/>
      <c r="Q2241" s="10"/>
      <c r="R2241" s="10"/>
      <c r="S2241" s="7" t="s">
        <v>54</v>
      </c>
      <c r="T2241" s="7" t="s">
        <v>5518</v>
      </c>
      <c r="U2241" s="7" t="s">
        <v>44</v>
      </c>
      <c r="V2241" s="7" t="s">
        <v>4767</v>
      </c>
      <c r="W2241" s="7" t="s">
        <v>5560</v>
      </c>
      <c r="X2241" s="7" t="s">
        <v>5561</v>
      </c>
      <c r="Y2241" s="7" t="s">
        <v>5562</v>
      </c>
      <c r="Z2241" s="7" t="s">
        <v>5557</v>
      </c>
      <c r="AA2241" s="7"/>
      <c r="AB2241" s="7"/>
      <c r="AC2241" s="7" t="s">
        <v>5520</v>
      </c>
      <c r="AD2241" s="7" t="s">
        <v>5563</v>
      </c>
      <c r="AE2241" s="7"/>
      <c r="AF2241" s="7" t="s">
        <v>5521</v>
      </c>
      <c r="AG2241" s="7" t="s">
        <v>5522</v>
      </c>
      <c r="AH2241" s="7" t="s">
        <v>5518</v>
      </c>
    </row>
    <row r="2242" spans="1:34" ht="9.75" customHeight="1" x14ac:dyDescent="0.2">
      <c r="A2242" s="7" t="s">
        <v>4811</v>
      </c>
      <c r="B2242" s="7" t="s">
        <v>4812</v>
      </c>
      <c r="C2242" s="7"/>
      <c r="D2242" s="7" t="s">
        <v>5564</v>
      </c>
      <c r="E2242" s="8">
        <v>2</v>
      </c>
      <c r="F2242" s="7"/>
      <c r="G2242" s="7" t="s">
        <v>5565</v>
      </c>
      <c r="H2242" s="9"/>
      <c r="I2242" s="10">
        <v>0</v>
      </c>
      <c r="J2242" s="10">
        <v>639</v>
      </c>
      <c r="K2242" s="9"/>
      <c r="L2242" s="10">
        <v>17877</v>
      </c>
      <c r="M2242" s="9"/>
      <c r="N2242" s="10">
        <v>17877</v>
      </c>
      <c r="O2242" s="9"/>
      <c r="P2242" s="10"/>
      <c r="Q2242" s="10"/>
      <c r="R2242" s="10"/>
      <c r="S2242" s="7" t="s">
        <v>54</v>
      </c>
      <c r="T2242" s="7" t="s">
        <v>5518</v>
      </c>
      <c r="U2242" s="7" t="s">
        <v>44</v>
      </c>
      <c r="V2242" s="7" t="s">
        <v>45</v>
      </c>
      <c r="W2242" s="7" t="s">
        <v>130</v>
      </c>
      <c r="X2242" s="7" t="s">
        <v>156</v>
      </c>
      <c r="Y2242" s="7" t="s">
        <v>5566</v>
      </c>
      <c r="Z2242" s="7" t="s">
        <v>5557</v>
      </c>
      <c r="AA2242" s="7"/>
      <c r="AB2242" s="7"/>
      <c r="AC2242" s="7" t="s">
        <v>5520</v>
      </c>
      <c r="AD2242" s="7" t="s">
        <v>5567</v>
      </c>
      <c r="AE2242" s="7"/>
      <c r="AF2242" s="7" t="s">
        <v>50</v>
      </c>
      <c r="AG2242" s="7" t="s">
        <v>159</v>
      </c>
      <c r="AH2242" s="7" t="s">
        <v>5518</v>
      </c>
    </row>
    <row r="2243" spans="1:34" ht="9.75" customHeight="1" x14ac:dyDescent="0.2">
      <c r="A2243" s="7" t="s">
        <v>4811</v>
      </c>
      <c r="B2243" s="7" t="s">
        <v>4812</v>
      </c>
      <c r="C2243" s="7"/>
      <c r="D2243" s="7" t="s">
        <v>5568</v>
      </c>
      <c r="E2243" s="8">
        <v>2</v>
      </c>
      <c r="F2243" s="7"/>
      <c r="G2243" s="7"/>
      <c r="H2243" s="9"/>
      <c r="I2243" s="10">
        <v>0</v>
      </c>
      <c r="J2243" s="10">
        <v>0</v>
      </c>
      <c r="K2243" s="9"/>
      <c r="L2243" s="10">
        <v>7179</v>
      </c>
      <c r="M2243" s="9"/>
      <c r="N2243" s="10">
        <v>7179</v>
      </c>
      <c r="O2243" s="9"/>
      <c r="P2243" s="10"/>
      <c r="Q2243" s="10"/>
      <c r="R2243" s="10"/>
      <c r="S2243" s="7" t="s">
        <v>54</v>
      </c>
      <c r="T2243" s="7" t="s">
        <v>5518</v>
      </c>
      <c r="U2243" s="7" t="s">
        <v>44</v>
      </c>
      <c r="V2243" s="7" t="s">
        <v>4767</v>
      </c>
      <c r="W2243" s="7" t="s">
        <v>4768</v>
      </c>
      <c r="X2243" s="7" t="s">
        <v>5569</v>
      </c>
      <c r="Y2243" s="7" t="s">
        <v>5570</v>
      </c>
      <c r="Z2243" s="7" t="s">
        <v>4140</v>
      </c>
      <c r="AA2243" s="7"/>
      <c r="AB2243" s="7"/>
      <c r="AC2243" s="7" t="s">
        <v>5520</v>
      </c>
      <c r="AD2243" s="7" t="s">
        <v>5569</v>
      </c>
      <c r="AE2243" s="7"/>
      <c r="AF2243" s="7" t="s">
        <v>5521</v>
      </c>
      <c r="AG2243" s="7" t="s">
        <v>5522</v>
      </c>
      <c r="AH2243" s="7" t="s">
        <v>5518</v>
      </c>
    </row>
    <row r="2244" spans="1:34" ht="9.75" customHeight="1" x14ac:dyDescent="0.2">
      <c r="A2244" s="7" t="s">
        <v>4811</v>
      </c>
      <c r="B2244" s="7" t="s">
        <v>4812</v>
      </c>
      <c r="C2244" s="7"/>
      <c r="D2244" s="7" t="s">
        <v>5571</v>
      </c>
      <c r="E2244" s="8">
        <v>2</v>
      </c>
      <c r="F2244" s="7"/>
      <c r="G2244" s="7" t="s">
        <v>5572</v>
      </c>
      <c r="H2244" s="9"/>
      <c r="I2244" s="10">
        <v>0</v>
      </c>
      <c r="J2244" s="10">
        <v>0</v>
      </c>
      <c r="K2244" s="9"/>
      <c r="L2244" s="10">
        <v>17475</v>
      </c>
      <c r="M2244" s="9"/>
      <c r="N2244" s="10">
        <v>17475</v>
      </c>
      <c r="O2244" s="9"/>
      <c r="P2244" s="10"/>
      <c r="Q2244" s="10"/>
      <c r="R2244" s="10"/>
      <c r="S2244" s="7" t="s">
        <v>54</v>
      </c>
      <c r="T2244" s="7" t="s">
        <v>5518</v>
      </c>
      <c r="U2244" s="7" t="s">
        <v>44</v>
      </c>
      <c r="V2244" s="7" t="s">
        <v>4767</v>
      </c>
      <c r="W2244" s="7" t="s">
        <v>5560</v>
      </c>
      <c r="X2244" s="7" t="s">
        <v>5573</v>
      </c>
      <c r="Y2244" s="7" t="s">
        <v>5574</v>
      </c>
      <c r="Z2244" s="7" t="s">
        <v>5557</v>
      </c>
      <c r="AA2244" s="7"/>
      <c r="AB2244" s="7"/>
      <c r="AC2244" s="7" t="s">
        <v>5520</v>
      </c>
      <c r="AD2244" s="7" t="s">
        <v>5575</v>
      </c>
      <c r="AE2244" s="7"/>
      <c r="AF2244" s="7" t="s">
        <v>5521</v>
      </c>
      <c r="AG2244" s="7" t="s">
        <v>5522</v>
      </c>
      <c r="AH2244" s="7" t="s">
        <v>5518</v>
      </c>
    </row>
    <row r="2245" spans="1:34" ht="9.75" customHeight="1" x14ac:dyDescent="0.2">
      <c r="A2245" s="7" t="s">
        <v>4811</v>
      </c>
      <c r="B2245" s="7" t="s">
        <v>4812</v>
      </c>
      <c r="C2245" s="7"/>
      <c r="D2245" s="7" t="s">
        <v>5576</v>
      </c>
      <c r="E2245" s="8">
        <v>2</v>
      </c>
      <c r="F2245" s="7"/>
      <c r="G2245" s="7" t="s">
        <v>5577</v>
      </c>
      <c r="H2245" s="9"/>
      <c r="I2245" s="10">
        <v>5351</v>
      </c>
      <c r="J2245" s="10">
        <v>5490</v>
      </c>
      <c r="K2245" s="9"/>
      <c r="L2245" s="10">
        <v>5607</v>
      </c>
      <c r="M2245" s="9"/>
      <c r="N2245" s="10">
        <v>5607</v>
      </c>
      <c r="O2245" s="9"/>
      <c r="P2245" s="10"/>
      <c r="Q2245" s="10"/>
      <c r="R2245" s="10"/>
      <c r="S2245" s="7" t="s">
        <v>54</v>
      </c>
      <c r="T2245" s="7" t="s">
        <v>5518</v>
      </c>
      <c r="U2245" s="7" t="s">
        <v>44</v>
      </c>
      <c r="V2245" s="7" t="s">
        <v>45</v>
      </c>
      <c r="W2245" s="7" t="s">
        <v>46</v>
      </c>
      <c r="X2245" s="7" t="s">
        <v>90</v>
      </c>
      <c r="Y2245" s="7" t="s">
        <v>5578</v>
      </c>
      <c r="Z2245" s="7" t="s">
        <v>4165</v>
      </c>
      <c r="AA2245" s="7"/>
      <c r="AB2245" s="7"/>
      <c r="AC2245" s="7" t="s">
        <v>5520</v>
      </c>
      <c r="AD2245" s="7" t="s">
        <v>5579</v>
      </c>
      <c r="AE2245" s="7"/>
      <c r="AF2245" s="7" t="s">
        <v>5521</v>
      </c>
      <c r="AG2245" s="7" t="s">
        <v>5522</v>
      </c>
      <c r="AH2245" s="7" t="s">
        <v>5518</v>
      </c>
    </row>
    <row r="2246" spans="1:34" ht="9.75" customHeight="1" x14ac:dyDescent="0.2">
      <c r="A2246" s="7" t="s">
        <v>4811</v>
      </c>
      <c r="B2246" s="7" t="s">
        <v>4812</v>
      </c>
      <c r="C2246" s="7"/>
      <c r="D2246" s="7" t="s">
        <v>5580</v>
      </c>
      <c r="E2246" s="8">
        <v>7</v>
      </c>
      <c r="F2246" s="7"/>
      <c r="G2246" s="7" t="s">
        <v>5581</v>
      </c>
      <c r="H2246" s="9"/>
      <c r="I2246" s="10">
        <v>4711542</v>
      </c>
      <c r="J2246" s="10">
        <v>5922739</v>
      </c>
      <c r="K2246" s="9"/>
      <c r="L2246" s="10">
        <v>5678354</v>
      </c>
      <c r="M2246" s="9"/>
      <c r="N2246" s="10">
        <v>5678354</v>
      </c>
      <c r="O2246" s="9"/>
      <c r="P2246" s="10"/>
      <c r="Q2246" s="10"/>
      <c r="R2246" s="10"/>
      <c r="S2246" s="7" t="s">
        <v>219</v>
      </c>
      <c r="T2246" s="7"/>
      <c r="U2246" s="7"/>
      <c r="V2246" s="7"/>
      <c r="W2246" s="7"/>
      <c r="X2246" s="7"/>
      <c r="Y2246" s="7" t="s">
        <v>5582</v>
      </c>
      <c r="Z2246" s="7" t="s">
        <v>5376</v>
      </c>
      <c r="AA2246" s="7"/>
      <c r="AB2246" s="7"/>
      <c r="AC2246" s="7"/>
      <c r="AD2246" s="7"/>
      <c r="AE2246" s="7"/>
      <c r="AF2246" s="7"/>
      <c r="AG2246" s="7"/>
      <c r="AH2246" s="7" t="s">
        <v>5581</v>
      </c>
    </row>
    <row r="2247" spans="1:34" ht="9.75" customHeight="1" x14ac:dyDescent="0.2">
      <c r="A2247" s="7" t="s">
        <v>4811</v>
      </c>
      <c r="B2247" s="7" t="s">
        <v>4812</v>
      </c>
      <c r="C2247" s="7"/>
      <c r="D2247" s="7" t="s">
        <v>5583</v>
      </c>
      <c r="E2247" s="8">
        <v>7</v>
      </c>
      <c r="F2247" s="7"/>
      <c r="G2247" s="7" t="s">
        <v>5584</v>
      </c>
      <c r="H2247" s="9"/>
      <c r="I2247" s="9"/>
      <c r="J2247" s="9"/>
      <c r="K2247" s="9"/>
      <c r="L2247" s="10">
        <v>830000</v>
      </c>
      <c r="M2247" s="9"/>
      <c r="N2247" s="10">
        <v>830000</v>
      </c>
      <c r="O2247" s="9"/>
      <c r="P2247" s="10"/>
      <c r="Q2247" s="10"/>
      <c r="R2247" s="10"/>
      <c r="S2247" s="7" t="s">
        <v>54</v>
      </c>
      <c r="T2247" s="7" t="s">
        <v>5585</v>
      </c>
      <c r="U2247" s="7"/>
      <c r="V2247" s="7"/>
      <c r="W2247" s="7"/>
      <c r="X2247" s="7"/>
      <c r="Y2247" s="7" t="s">
        <v>5586</v>
      </c>
      <c r="Z2247" s="7" t="s">
        <v>1680</v>
      </c>
      <c r="AA2247" s="7"/>
      <c r="AB2247" s="7"/>
      <c r="AC2247" s="7"/>
      <c r="AD2247" s="7"/>
      <c r="AE2247" s="7"/>
      <c r="AF2247" s="7"/>
      <c r="AG2247" s="7"/>
      <c r="AH2247" s="7" t="s">
        <v>5584</v>
      </c>
    </row>
    <row r="2248" spans="1:34" ht="9.75" customHeight="1" x14ac:dyDescent="0.2">
      <c r="A2248" s="7" t="s">
        <v>4811</v>
      </c>
      <c r="B2248" s="7" t="s">
        <v>4812</v>
      </c>
      <c r="C2248" s="7"/>
      <c r="D2248" s="7" t="s">
        <v>5587</v>
      </c>
      <c r="E2248" s="8">
        <v>7</v>
      </c>
      <c r="F2248" s="7"/>
      <c r="G2248" s="7"/>
      <c r="H2248" s="9"/>
      <c r="I2248" s="9"/>
      <c r="J2248" s="10">
        <v>620500</v>
      </c>
      <c r="K2248" s="9"/>
      <c r="L2248" s="10">
        <v>159062</v>
      </c>
      <c r="M2248" s="9"/>
      <c r="N2248" s="10">
        <v>159062</v>
      </c>
      <c r="O2248" s="9"/>
      <c r="P2248" s="10"/>
      <c r="Q2248" s="10"/>
      <c r="R2248" s="10"/>
      <c r="S2248" s="7" t="s">
        <v>54</v>
      </c>
      <c r="T2248" s="7" t="s">
        <v>5585</v>
      </c>
      <c r="U2248" s="7"/>
      <c r="V2248" s="7"/>
      <c r="W2248" s="7"/>
      <c r="X2248" s="7"/>
      <c r="Y2248" s="7" t="s">
        <v>5588</v>
      </c>
      <c r="Z2248" s="7" t="s">
        <v>350</v>
      </c>
      <c r="AA2248" s="7"/>
      <c r="AB2248" s="7"/>
      <c r="AC2248" s="7"/>
      <c r="AD2248" s="7"/>
      <c r="AE2248" s="7"/>
      <c r="AF2248" s="7"/>
      <c r="AG2248" s="7"/>
      <c r="AH2248" s="7"/>
    </row>
    <row r="2249" spans="1:34" ht="9.75" customHeight="1" x14ac:dyDescent="0.2">
      <c r="A2249" s="7" t="s">
        <v>4811</v>
      </c>
      <c r="B2249" s="7" t="s">
        <v>4812</v>
      </c>
      <c r="C2249" s="7"/>
      <c r="D2249" s="7" t="s">
        <v>5589</v>
      </c>
      <c r="E2249" s="8">
        <v>2</v>
      </c>
      <c r="F2249" s="7"/>
      <c r="G2249" s="7"/>
      <c r="H2249" s="9"/>
      <c r="I2249" s="10">
        <v>188964</v>
      </c>
      <c r="J2249" s="10">
        <v>49284</v>
      </c>
      <c r="K2249" s="9"/>
      <c r="L2249" s="10">
        <v>62495</v>
      </c>
      <c r="M2249" s="9"/>
      <c r="N2249" s="10">
        <v>62495</v>
      </c>
      <c r="O2249" s="9"/>
      <c r="P2249" s="10"/>
      <c r="Q2249" s="10"/>
      <c r="R2249" s="10"/>
      <c r="S2249" s="7" t="s">
        <v>43</v>
      </c>
      <c r="T2249" s="7"/>
      <c r="U2249" s="7"/>
      <c r="V2249" s="7"/>
      <c r="W2249" s="7"/>
      <c r="X2249" s="7"/>
      <c r="Y2249" s="7" t="s">
        <v>5590</v>
      </c>
      <c r="Z2249" s="7" t="s">
        <v>260</v>
      </c>
      <c r="AA2249" s="7"/>
      <c r="AB2249" s="7"/>
      <c r="AC2249" s="7" t="s">
        <v>5591</v>
      </c>
      <c r="AD2249" s="7"/>
      <c r="AE2249" s="7"/>
      <c r="AF2249" s="7" t="s">
        <v>113</v>
      </c>
      <c r="AG2249" s="7" t="s">
        <v>366</v>
      </c>
      <c r="AH2249" s="7" t="s">
        <v>5589</v>
      </c>
    </row>
    <row r="2250" spans="1:34" ht="9.75" customHeight="1" x14ac:dyDescent="0.2">
      <c r="A2250" s="7" t="s">
        <v>4811</v>
      </c>
      <c r="B2250" s="7" t="s">
        <v>4812</v>
      </c>
      <c r="C2250" s="7"/>
      <c r="D2250" s="7" t="s">
        <v>5592</v>
      </c>
      <c r="E2250" s="8">
        <v>2</v>
      </c>
      <c r="F2250" s="7"/>
      <c r="G2250" s="7"/>
      <c r="H2250" s="9"/>
      <c r="I2250" s="9"/>
      <c r="J2250" s="9"/>
      <c r="K2250" s="9"/>
      <c r="L2250" s="9"/>
      <c r="M2250" s="9"/>
      <c r="N2250" s="9"/>
      <c r="O2250" s="9"/>
      <c r="P2250" s="9"/>
      <c r="Q2250" s="9"/>
      <c r="R2250" s="9"/>
      <c r="S2250" s="7" t="s">
        <v>54</v>
      </c>
      <c r="T2250" s="7" t="s">
        <v>5589</v>
      </c>
      <c r="U2250" s="7" t="s">
        <v>44</v>
      </c>
      <c r="V2250" s="7" t="s">
        <v>45</v>
      </c>
      <c r="W2250" s="7" t="s">
        <v>130</v>
      </c>
      <c r="X2250" s="7" t="s">
        <v>156</v>
      </c>
      <c r="Y2250" s="7" t="s">
        <v>5593</v>
      </c>
      <c r="Z2250" s="7" t="s">
        <v>3469</v>
      </c>
      <c r="AA2250" s="7"/>
      <c r="AB2250" s="7"/>
      <c r="AC2250" s="7" t="s">
        <v>5591</v>
      </c>
      <c r="AD2250" s="7"/>
      <c r="AE2250" s="7"/>
      <c r="AF2250" s="7" t="s">
        <v>113</v>
      </c>
      <c r="AG2250" s="7" t="s">
        <v>366</v>
      </c>
      <c r="AH2250" s="7" t="s">
        <v>5589</v>
      </c>
    </row>
    <row r="2251" spans="1:34" ht="9.75" customHeight="1" x14ac:dyDescent="0.2">
      <c r="A2251" s="7" t="s">
        <v>4811</v>
      </c>
      <c r="B2251" s="7" t="s">
        <v>4812</v>
      </c>
      <c r="C2251" s="7"/>
      <c r="D2251" s="7" t="s">
        <v>5594</v>
      </c>
      <c r="E2251" s="8">
        <v>6</v>
      </c>
      <c r="F2251" s="7"/>
      <c r="G2251" s="7"/>
      <c r="H2251" s="9"/>
      <c r="I2251" s="9"/>
      <c r="J2251" s="9"/>
      <c r="K2251" s="9"/>
      <c r="L2251" s="9"/>
      <c r="M2251" s="9"/>
      <c r="N2251" s="9"/>
      <c r="O2251" s="9"/>
      <c r="P2251" s="9"/>
      <c r="Q2251" s="9"/>
      <c r="R2251" s="9"/>
      <c r="S2251" s="7" t="s">
        <v>54</v>
      </c>
      <c r="T2251" s="7" t="s">
        <v>5589</v>
      </c>
      <c r="U2251" s="7"/>
      <c r="V2251" s="7"/>
      <c r="W2251" s="7"/>
      <c r="X2251" s="7"/>
      <c r="Y2251" s="7" t="s">
        <v>5595</v>
      </c>
      <c r="Z2251" s="7" t="s">
        <v>3449</v>
      </c>
      <c r="AA2251" s="7"/>
      <c r="AB2251" s="7"/>
      <c r="AC2251" s="7" t="s">
        <v>5591</v>
      </c>
      <c r="AD2251" s="7" t="s">
        <v>5596</v>
      </c>
      <c r="AE2251" s="7"/>
      <c r="AF2251" s="7" t="s">
        <v>113</v>
      </c>
      <c r="AG2251" s="7" t="s">
        <v>366</v>
      </c>
      <c r="AH2251" s="7" t="s">
        <v>5589</v>
      </c>
    </row>
    <row r="2252" spans="1:34" ht="9.75" customHeight="1" x14ac:dyDescent="0.2">
      <c r="A2252" s="7" t="s">
        <v>5597</v>
      </c>
      <c r="B2252" s="7" t="s">
        <v>4812</v>
      </c>
      <c r="C2252" s="7"/>
      <c r="D2252" s="7" t="s">
        <v>5598</v>
      </c>
      <c r="E2252" s="8">
        <v>6</v>
      </c>
      <c r="F2252" s="7" t="s">
        <v>4487</v>
      </c>
      <c r="G2252" s="7"/>
      <c r="H2252" s="9"/>
      <c r="I2252" s="10">
        <v>751016</v>
      </c>
      <c r="J2252" s="10">
        <v>750265</v>
      </c>
      <c r="K2252" s="9"/>
      <c r="L2252" s="10">
        <v>1307122</v>
      </c>
      <c r="M2252" s="9"/>
      <c r="N2252" s="9"/>
      <c r="O2252" s="9"/>
      <c r="P2252" s="10"/>
      <c r="Q2252" s="10"/>
      <c r="R2252" s="10"/>
      <c r="S2252" s="7"/>
      <c r="T2252" s="7"/>
      <c r="U2252" s="7"/>
      <c r="V2252" s="7"/>
      <c r="W2252" s="7"/>
      <c r="X2252" s="7"/>
      <c r="Y2252" s="7" t="s">
        <v>5599</v>
      </c>
      <c r="Z2252" s="7" t="s">
        <v>714</v>
      </c>
      <c r="AA2252" s="7"/>
      <c r="AB2252" s="7"/>
      <c r="AC2252" s="7" t="s">
        <v>5305</v>
      </c>
      <c r="AD2252" s="7" t="s">
        <v>5600</v>
      </c>
      <c r="AE2252" s="7" t="s">
        <v>5601</v>
      </c>
      <c r="AF2252" s="7" t="s">
        <v>113</v>
      </c>
      <c r="AG2252" s="7" t="s">
        <v>366</v>
      </c>
      <c r="AH2252" s="7" t="s">
        <v>5302</v>
      </c>
    </row>
    <row r="2253" spans="1:34" ht="9.75" customHeight="1" x14ac:dyDescent="0.2">
      <c r="A2253" s="7" t="s">
        <v>5597</v>
      </c>
      <c r="B2253" s="7" t="s">
        <v>4812</v>
      </c>
      <c r="C2253" s="7"/>
      <c r="D2253" s="7" t="s">
        <v>5602</v>
      </c>
      <c r="E2253" s="8">
        <v>6</v>
      </c>
      <c r="F2253" s="7" t="s">
        <v>4487</v>
      </c>
      <c r="G2253" s="7"/>
      <c r="H2253" s="9"/>
      <c r="I2253" s="10">
        <v>2345410</v>
      </c>
      <c r="J2253" s="10">
        <v>2282625</v>
      </c>
      <c r="K2253" s="9"/>
      <c r="L2253" s="10">
        <v>3012564</v>
      </c>
      <c r="M2253" s="9"/>
      <c r="N2253" s="9"/>
      <c r="O2253" s="9"/>
      <c r="P2253" s="10"/>
      <c r="Q2253" s="10"/>
      <c r="R2253" s="10"/>
      <c r="S2253" s="7"/>
      <c r="T2253" s="7"/>
      <c r="U2253" s="7"/>
      <c r="V2253" s="7"/>
      <c r="W2253" s="7"/>
      <c r="X2253" s="7"/>
      <c r="Y2253" s="7" t="s">
        <v>5603</v>
      </c>
      <c r="Z2253" s="7" t="s">
        <v>714</v>
      </c>
      <c r="AA2253" s="7"/>
      <c r="AB2253" s="7"/>
      <c r="AC2253" s="7" t="s">
        <v>5305</v>
      </c>
      <c r="AD2253" s="7" t="s">
        <v>5600</v>
      </c>
      <c r="AE2253" s="7" t="s">
        <v>5604</v>
      </c>
      <c r="AF2253" s="7" t="s">
        <v>113</v>
      </c>
      <c r="AG2253" s="7" t="s">
        <v>366</v>
      </c>
      <c r="AH2253" s="7" t="s">
        <v>5302</v>
      </c>
    </row>
    <row r="2254" spans="1:34" ht="9.75" customHeight="1" x14ac:dyDescent="0.2">
      <c r="A2254" s="7" t="s">
        <v>5597</v>
      </c>
      <c r="B2254" s="7" t="s">
        <v>4812</v>
      </c>
      <c r="C2254" s="7"/>
      <c r="D2254" s="7" t="s">
        <v>5605</v>
      </c>
      <c r="E2254" s="8">
        <v>2</v>
      </c>
      <c r="F2254" s="7" t="s">
        <v>4383</v>
      </c>
      <c r="G2254" s="7"/>
      <c r="H2254" s="9"/>
      <c r="I2254" s="10">
        <v>1469442</v>
      </c>
      <c r="J2254" s="10">
        <v>1574904</v>
      </c>
      <c r="K2254" s="9"/>
      <c r="L2254" s="10">
        <v>1775443</v>
      </c>
      <c r="M2254" s="9"/>
      <c r="N2254" s="9"/>
      <c r="O2254" s="9"/>
      <c r="P2254" s="10"/>
      <c r="Q2254" s="10"/>
      <c r="R2254" s="10"/>
      <c r="S2254" s="7" t="s">
        <v>54</v>
      </c>
      <c r="T2254" s="7" t="s">
        <v>5606</v>
      </c>
      <c r="U2254" s="7"/>
      <c r="V2254" s="7"/>
      <c r="W2254" s="7"/>
      <c r="X2254" s="7"/>
      <c r="Y2254" s="7" t="s">
        <v>5607</v>
      </c>
      <c r="Z2254" s="7" t="s">
        <v>891</v>
      </c>
      <c r="AA2254" s="7"/>
      <c r="AB2254" s="7"/>
      <c r="AC2254" s="7" t="s">
        <v>4817</v>
      </c>
      <c r="AD2254" s="7" t="s">
        <v>5608</v>
      </c>
      <c r="AE2254" s="7" t="s">
        <v>5609</v>
      </c>
      <c r="AF2254" s="7" t="s">
        <v>113</v>
      </c>
      <c r="AG2254" s="7" t="s">
        <v>366</v>
      </c>
      <c r="AH2254" s="7" t="s">
        <v>4818</v>
      </c>
    </row>
    <row r="2255" spans="1:34" ht="9.75" customHeight="1" x14ac:dyDescent="0.2">
      <c r="A2255" s="7" t="s">
        <v>5597</v>
      </c>
      <c r="B2255" s="7" t="s">
        <v>4812</v>
      </c>
      <c r="C2255" s="7"/>
      <c r="D2255" s="7" t="s">
        <v>5610</v>
      </c>
      <c r="E2255" s="8">
        <v>2</v>
      </c>
      <c r="F2255" s="7" t="s">
        <v>4383</v>
      </c>
      <c r="G2255" s="7"/>
      <c r="H2255" s="9"/>
      <c r="I2255" s="10">
        <v>1445034</v>
      </c>
      <c r="J2255" s="10">
        <v>1538949</v>
      </c>
      <c r="K2255" s="9"/>
      <c r="L2255" s="10">
        <v>1711438</v>
      </c>
      <c r="M2255" s="9"/>
      <c r="N2255" s="9"/>
      <c r="O2255" s="9"/>
      <c r="P2255" s="10"/>
      <c r="Q2255" s="10"/>
      <c r="R2255" s="10"/>
      <c r="S2255" s="7" t="s">
        <v>54</v>
      </c>
      <c r="T2255" s="7" t="s">
        <v>5606</v>
      </c>
      <c r="U2255" s="7"/>
      <c r="V2255" s="7"/>
      <c r="W2255" s="7"/>
      <c r="X2255" s="7"/>
      <c r="Y2255" s="7" t="s">
        <v>5611</v>
      </c>
      <c r="Z2255" s="7" t="s">
        <v>891</v>
      </c>
      <c r="AA2255" s="7"/>
      <c r="AB2255" s="7"/>
      <c r="AC2255" s="7" t="s">
        <v>4817</v>
      </c>
      <c r="AD2255" s="7" t="s">
        <v>5608</v>
      </c>
      <c r="AE2255" s="7" t="s">
        <v>5609</v>
      </c>
      <c r="AF2255" s="7" t="s">
        <v>113</v>
      </c>
      <c r="AG2255" s="7" t="s">
        <v>366</v>
      </c>
      <c r="AH2255" s="7" t="s">
        <v>4818</v>
      </c>
    </row>
    <row r="2256" spans="1:34" ht="9.75" customHeight="1" x14ac:dyDescent="0.2">
      <c r="A2256" s="7" t="s">
        <v>5597</v>
      </c>
      <c r="B2256" s="7" t="s">
        <v>4812</v>
      </c>
      <c r="C2256" s="7"/>
      <c r="D2256" s="7" t="s">
        <v>5612</v>
      </c>
      <c r="E2256" s="8">
        <v>2</v>
      </c>
      <c r="F2256" s="7" t="s">
        <v>4383</v>
      </c>
      <c r="G2256" s="7"/>
      <c r="H2256" s="9"/>
      <c r="I2256" s="10">
        <v>1396689</v>
      </c>
      <c r="J2256" s="10">
        <v>1488706</v>
      </c>
      <c r="K2256" s="9"/>
      <c r="L2256" s="10">
        <v>1659169</v>
      </c>
      <c r="M2256" s="9"/>
      <c r="N2256" s="9"/>
      <c r="O2256" s="9"/>
      <c r="P2256" s="10"/>
      <c r="Q2256" s="10"/>
      <c r="R2256" s="10"/>
      <c r="S2256" s="7" t="s">
        <v>54</v>
      </c>
      <c r="T2256" s="7" t="s">
        <v>5606</v>
      </c>
      <c r="U2256" s="7"/>
      <c r="V2256" s="7"/>
      <c r="W2256" s="7"/>
      <c r="X2256" s="7"/>
      <c r="Y2256" s="7" t="s">
        <v>5613</v>
      </c>
      <c r="Z2256" s="7" t="s">
        <v>891</v>
      </c>
      <c r="AA2256" s="7"/>
      <c r="AB2256" s="7"/>
      <c r="AC2256" s="7" t="s">
        <v>4817</v>
      </c>
      <c r="AD2256" s="7" t="s">
        <v>5608</v>
      </c>
      <c r="AE2256" s="7" t="s">
        <v>5609</v>
      </c>
      <c r="AF2256" s="7" t="s">
        <v>113</v>
      </c>
      <c r="AG2256" s="7" t="s">
        <v>366</v>
      </c>
      <c r="AH2256" s="7" t="s">
        <v>4818</v>
      </c>
    </row>
    <row r="2257" spans="1:34" ht="9.75" customHeight="1" x14ac:dyDescent="0.2">
      <c r="A2257" s="7" t="s">
        <v>5597</v>
      </c>
      <c r="B2257" s="7" t="s">
        <v>4812</v>
      </c>
      <c r="C2257" s="7"/>
      <c r="D2257" s="7" t="s">
        <v>5614</v>
      </c>
      <c r="E2257" s="8">
        <v>2</v>
      </c>
      <c r="F2257" s="7" t="s">
        <v>4383</v>
      </c>
      <c r="G2257" s="7"/>
      <c r="H2257" s="9"/>
      <c r="I2257" s="10">
        <v>0</v>
      </c>
      <c r="J2257" s="10">
        <v>0</v>
      </c>
      <c r="K2257" s="9"/>
      <c r="L2257" s="10">
        <v>0</v>
      </c>
      <c r="M2257" s="9"/>
      <c r="N2257" s="9"/>
      <c r="O2257" s="9"/>
      <c r="P2257" s="10"/>
      <c r="Q2257" s="10"/>
      <c r="R2257" s="10"/>
      <c r="S2257" s="7" t="s">
        <v>54</v>
      </c>
      <c r="T2257" s="7" t="s">
        <v>5606</v>
      </c>
      <c r="U2257" s="7"/>
      <c r="V2257" s="7"/>
      <c r="W2257" s="7"/>
      <c r="X2257" s="7"/>
      <c r="Y2257" s="7" t="s">
        <v>5615</v>
      </c>
      <c r="Z2257" s="7" t="s">
        <v>891</v>
      </c>
      <c r="AA2257" s="7"/>
      <c r="AB2257" s="7"/>
      <c r="AC2257" s="7" t="s">
        <v>4817</v>
      </c>
      <c r="AD2257" s="7" t="s">
        <v>5608</v>
      </c>
      <c r="AE2257" s="7" t="s">
        <v>5609</v>
      </c>
      <c r="AF2257" s="7" t="s">
        <v>113</v>
      </c>
      <c r="AG2257" s="7" t="s">
        <v>366</v>
      </c>
      <c r="AH2257" s="7" t="s">
        <v>4818</v>
      </c>
    </row>
    <row r="2258" spans="1:34" ht="9.75" customHeight="1" x14ac:dyDescent="0.2">
      <c r="A2258" s="7" t="s">
        <v>5597</v>
      </c>
      <c r="B2258" s="7" t="s">
        <v>4812</v>
      </c>
      <c r="C2258" s="7"/>
      <c r="D2258" s="7" t="s">
        <v>5616</v>
      </c>
      <c r="E2258" s="8">
        <v>2</v>
      </c>
      <c r="F2258" s="7" t="s">
        <v>4383</v>
      </c>
      <c r="G2258" s="7"/>
      <c r="H2258" s="9"/>
      <c r="I2258" s="10">
        <v>48345</v>
      </c>
      <c r="J2258" s="10">
        <v>50243</v>
      </c>
      <c r="K2258" s="9"/>
      <c r="L2258" s="10">
        <v>52269</v>
      </c>
      <c r="M2258" s="9"/>
      <c r="N2258" s="9"/>
      <c r="O2258" s="9"/>
      <c r="P2258" s="10"/>
      <c r="Q2258" s="10"/>
      <c r="R2258" s="10"/>
      <c r="S2258" s="7" t="s">
        <v>54</v>
      </c>
      <c r="T2258" s="7" t="s">
        <v>5606</v>
      </c>
      <c r="U2258" s="7"/>
      <c r="V2258" s="7"/>
      <c r="W2258" s="7"/>
      <c r="X2258" s="7"/>
      <c r="Y2258" s="7" t="s">
        <v>5617</v>
      </c>
      <c r="Z2258" s="7" t="s">
        <v>891</v>
      </c>
      <c r="AA2258" s="7"/>
      <c r="AB2258" s="7"/>
      <c r="AC2258" s="7" t="s">
        <v>4817</v>
      </c>
      <c r="AD2258" s="7" t="s">
        <v>5608</v>
      </c>
      <c r="AE2258" s="7" t="s">
        <v>5609</v>
      </c>
      <c r="AF2258" s="7" t="s">
        <v>113</v>
      </c>
      <c r="AG2258" s="7" t="s">
        <v>366</v>
      </c>
      <c r="AH2258" s="7" t="s">
        <v>4818</v>
      </c>
    </row>
    <row r="2259" spans="1:34" ht="9.75" customHeight="1" x14ac:dyDescent="0.2">
      <c r="A2259" s="7" t="s">
        <v>5597</v>
      </c>
      <c r="B2259" s="7" t="s">
        <v>4812</v>
      </c>
      <c r="C2259" s="7"/>
      <c r="D2259" s="7" t="s">
        <v>5618</v>
      </c>
      <c r="E2259" s="8">
        <v>2</v>
      </c>
      <c r="F2259" s="7" t="s">
        <v>4383</v>
      </c>
      <c r="G2259" s="7"/>
      <c r="H2259" s="9"/>
      <c r="I2259" s="10">
        <v>24408</v>
      </c>
      <c r="J2259" s="10">
        <v>35955</v>
      </c>
      <c r="K2259" s="9"/>
      <c r="L2259" s="10">
        <v>64005</v>
      </c>
      <c r="M2259" s="9"/>
      <c r="N2259" s="9"/>
      <c r="O2259" s="9"/>
      <c r="P2259" s="10"/>
      <c r="Q2259" s="10"/>
      <c r="R2259" s="10"/>
      <c r="S2259" s="7" t="s">
        <v>54</v>
      </c>
      <c r="T2259" s="7" t="s">
        <v>5606</v>
      </c>
      <c r="U2259" s="7"/>
      <c r="V2259" s="7"/>
      <c r="W2259" s="7"/>
      <c r="X2259" s="7"/>
      <c r="Y2259" s="7" t="s">
        <v>5619</v>
      </c>
      <c r="Z2259" s="7" t="s">
        <v>891</v>
      </c>
      <c r="AA2259" s="7"/>
      <c r="AB2259" s="7"/>
      <c r="AC2259" s="7" t="s">
        <v>4817</v>
      </c>
      <c r="AD2259" s="7" t="s">
        <v>5608</v>
      </c>
      <c r="AE2259" s="7" t="s">
        <v>5609</v>
      </c>
      <c r="AF2259" s="7" t="s">
        <v>113</v>
      </c>
      <c r="AG2259" s="7" t="s">
        <v>366</v>
      </c>
      <c r="AH2259" s="7" t="s">
        <v>4818</v>
      </c>
    </row>
    <row r="2260" spans="1:34" ht="9.75" customHeight="1" x14ac:dyDescent="0.2">
      <c r="A2260" s="7" t="s">
        <v>5597</v>
      </c>
      <c r="B2260" s="7" t="s">
        <v>4812</v>
      </c>
      <c r="C2260" s="7"/>
      <c r="D2260" s="7" t="s">
        <v>5620</v>
      </c>
      <c r="E2260" s="8">
        <v>2</v>
      </c>
      <c r="F2260" s="7" t="s">
        <v>4383</v>
      </c>
      <c r="G2260" s="7"/>
      <c r="H2260" s="9"/>
      <c r="I2260" s="10">
        <v>5192</v>
      </c>
      <c r="J2260" s="10">
        <v>7648</v>
      </c>
      <c r="K2260" s="9"/>
      <c r="L2260" s="10">
        <v>13621</v>
      </c>
      <c r="M2260" s="9"/>
      <c r="N2260" s="9"/>
      <c r="O2260" s="9"/>
      <c r="P2260" s="10"/>
      <c r="Q2260" s="10"/>
      <c r="R2260" s="10"/>
      <c r="S2260" s="7" t="s">
        <v>54</v>
      </c>
      <c r="T2260" s="7" t="s">
        <v>5606</v>
      </c>
      <c r="U2260" s="7"/>
      <c r="V2260" s="7"/>
      <c r="W2260" s="7"/>
      <c r="X2260" s="7"/>
      <c r="Y2260" s="7" t="s">
        <v>5621</v>
      </c>
      <c r="Z2260" s="7" t="s">
        <v>891</v>
      </c>
      <c r="AA2260" s="7"/>
      <c r="AB2260" s="7"/>
      <c r="AC2260" s="7" t="s">
        <v>4817</v>
      </c>
      <c r="AD2260" s="7" t="s">
        <v>5608</v>
      </c>
      <c r="AE2260" s="7" t="s">
        <v>5609</v>
      </c>
      <c r="AF2260" s="7" t="s">
        <v>113</v>
      </c>
      <c r="AG2260" s="7" t="s">
        <v>366</v>
      </c>
      <c r="AH2260" s="7" t="s">
        <v>4818</v>
      </c>
    </row>
    <row r="2261" spans="1:34" ht="9.75" customHeight="1" x14ac:dyDescent="0.2">
      <c r="A2261" s="7" t="s">
        <v>5597</v>
      </c>
      <c r="B2261" s="7" t="s">
        <v>4812</v>
      </c>
      <c r="C2261" s="7"/>
      <c r="D2261" s="7" t="s">
        <v>5622</v>
      </c>
      <c r="E2261" s="8">
        <v>2</v>
      </c>
      <c r="F2261" s="7" t="s">
        <v>4383</v>
      </c>
      <c r="G2261" s="7"/>
      <c r="H2261" s="9"/>
      <c r="I2261" s="10">
        <v>232</v>
      </c>
      <c r="J2261" s="10">
        <v>341</v>
      </c>
      <c r="K2261" s="9"/>
      <c r="L2261" s="10">
        <v>608</v>
      </c>
      <c r="M2261" s="9"/>
      <c r="N2261" s="9"/>
      <c r="O2261" s="9"/>
      <c r="P2261" s="10"/>
      <c r="Q2261" s="10"/>
      <c r="R2261" s="10"/>
      <c r="S2261" s="7" t="s">
        <v>54</v>
      </c>
      <c r="T2261" s="7" t="s">
        <v>5606</v>
      </c>
      <c r="U2261" s="7"/>
      <c r="V2261" s="7"/>
      <c r="W2261" s="7"/>
      <c r="X2261" s="7"/>
      <c r="Y2261" s="7" t="s">
        <v>5623</v>
      </c>
      <c r="Z2261" s="7" t="s">
        <v>891</v>
      </c>
      <c r="AA2261" s="7"/>
      <c r="AB2261" s="7"/>
      <c r="AC2261" s="7" t="s">
        <v>4817</v>
      </c>
      <c r="AD2261" s="7" t="s">
        <v>5608</v>
      </c>
      <c r="AE2261" s="7" t="s">
        <v>5609</v>
      </c>
      <c r="AF2261" s="7" t="s">
        <v>113</v>
      </c>
      <c r="AG2261" s="7" t="s">
        <v>366</v>
      </c>
      <c r="AH2261" s="7" t="s">
        <v>4818</v>
      </c>
    </row>
    <row r="2262" spans="1:34" ht="9.75" customHeight="1" x14ac:dyDescent="0.2">
      <c r="A2262" s="7" t="s">
        <v>5597</v>
      </c>
      <c r="B2262" s="7" t="s">
        <v>4812</v>
      </c>
      <c r="C2262" s="7"/>
      <c r="D2262" s="7" t="s">
        <v>5624</v>
      </c>
      <c r="E2262" s="8">
        <v>2</v>
      </c>
      <c r="F2262" s="7" t="s">
        <v>4383</v>
      </c>
      <c r="G2262" s="7"/>
      <c r="H2262" s="9"/>
      <c r="I2262" s="10">
        <v>15789</v>
      </c>
      <c r="J2262" s="10">
        <v>23258</v>
      </c>
      <c r="K2262" s="9"/>
      <c r="L2262" s="10">
        <v>41393</v>
      </c>
      <c r="M2262" s="9"/>
      <c r="N2262" s="9"/>
      <c r="O2262" s="9"/>
      <c r="P2262" s="10"/>
      <c r="Q2262" s="10"/>
      <c r="R2262" s="10"/>
      <c r="S2262" s="7" t="s">
        <v>54</v>
      </c>
      <c r="T2262" s="7" t="s">
        <v>5606</v>
      </c>
      <c r="U2262" s="7"/>
      <c r="V2262" s="7"/>
      <c r="W2262" s="7"/>
      <c r="X2262" s="7"/>
      <c r="Y2262" s="7" t="s">
        <v>5625</v>
      </c>
      <c r="Z2262" s="7" t="s">
        <v>891</v>
      </c>
      <c r="AA2262" s="7"/>
      <c r="AB2262" s="7"/>
      <c r="AC2262" s="7" t="s">
        <v>4817</v>
      </c>
      <c r="AD2262" s="7" t="s">
        <v>5608</v>
      </c>
      <c r="AE2262" s="7" t="s">
        <v>5609</v>
      </c>
      <c r="AF2262" s="7" t="s">
        <v>113</v>
      </c>
      <c r="AG2262" s="7" t="s">
        <v>366</v>
      </c>
      <c r="AH2262" s="7" t="s">
        <v>4818</v>
      </c>
    </row>
    <row r="2263" spans="1:34" ht="9.75" customHeight="1" x14ac:dyDescent="0.2">
      <c r="A2263" s="7" t="s">
        <v>5597</v>
      </c>
      <c r="B2263" s="7" t="s">
        <v>4812</v>
      </c>
      <c r="C2263" s="7"/>
      <c r="D2263" s="7" t="s">
        <v>5626</v>
      </c>
      <c r="E2263" s="8">
        <v>2</v>
      </c>
      <c r="F2263" s="7" t="s">
        <v>4383</v>
      </c>
      <c r="G2263" s="7"/>
      <c r="H2263" s="9"/>
      <c r="I2263" s="10">
        <v>0</v>
      </c>
      <c r="J2263" s="10">
        <v>0</v>
      </c>
      <c r="K2263" s="9"/>
      <c r="L2263" s="10">
        <v>0</v>
      </c>
      <c r="M2263" s="9"/>
      <c r="N2263" s="9"/>
      <c r="O2263" s="9"/>
      <c r="P2263" s="10"/>
      <c r="Q2263" s="10"/>
      <c r="R2263" s="10"/>
      <c r="S2263" s="7" t="s">
        <v>54</v>
      </c>
      <c r="T2263" s="7" t="s">
        <v>5606</v>
      </c>
      <c r="U2263" s="7"/>
      <c r="V2263" s="7"/>
      <c r="W2263" s="7"/>
      <c r="X2263" s="7"/>
      <c r="Y2263" s="7" t="s">
        <v>5627</v>
      </c>
      <c r="Z2263" s="7" t="s">
        <v>891</v>
      </c>
      <c r="AA2263" s="7"/>
      <c r="AB2263" s="7"/>
      <c r="AC2263" s="7" t="s">
        <v>4817</v>
      </c>
      <c r="AD2263" s="7" t="s">
        <v>5608</v>
      </c>
      <c r="AE2263" s="7" t="s">
        <v>5609</v>
      </c>
      <c r="AF2263" s="7" t="s">
        <v>113</v>
      </c>
      <c r="AG2263" s="7" t="s">
        <v>366</v>
      </c>
      <c r="AH2263" s="7" t="s">
        <v>4818</v>
      </c>
    </row>
    <row r="2264" spans="1:34" ht="9.75" customHeight="1" x14ac:dyDescent="0.2">
      <c r="A2264" s="7" t="s">
        <v>5597</v>
      </c>
      <c r="B2264" s="7" t="s">
        <v>4812</v>
      </c>
      <c r="C2264" s="7"/>
      <c r="D2264" s="7" t="s">
        <v>5628</v>
      </c>
      <c r="E2264" s="8">
        <v>2</v>
      </c>
      <c r="F2264" s="7" t="s">
        <v>4383</v>
      </c>
      <c r="G2264" s="7"/>
      <c r="H2264" s="9"/>
      <c r="I2264" s="10">
        <v>3195</v>
      </c>
      <c r="J2264" s="10">
        <v>4708</v>
      </c>
      <c r="K2264" s="9"/>
      <c r="L2264" s="10">
        <v>8383</v>
      </c>
      <c r="M2264" s="9"/>
      <c r="N2264" s="9"/>
      <c r="O2264" s="9"/>
      <c r="P2264" s="10"/>
      <c r="Q2264" s="10"/>
      <c r="R2264" s="10"/>
      <c r="S2264" s="7" t="s">
        <v>54</v>
      </c>
      <c r="T2264" s="7" t="s">
        <v>5606</v>
      </c>
      <c r="U2264" s="7"/>
      <c r="V2264" s="7"/>
      <c r="W2264" s="7"/>
      <c r="X2264" s="7"/>
      <c r="Y2264" s="7" t="s">
        <v>5629</v>
      </c>
      <c r="Z2264" s="7" t="s">
        <v>891</v>
      </c>
      <c r="AA2264" s="7"/>
      <c r="AB2264" s="7"/>
      <c r="AC2264" s="7" t="s">
        <v>4817</v>
      </c>
      <c r="AD2264" s="7" t="s">
        <v>5608</v>
      </c>
      <c r="AE2264" s="7" t="s">
        <v>5609</v>
      </c>
      <c r="AF2264" s="7" t="s">
        <v>113</v>
      </c>
      <c r="AG2264" s="7" t="s">
        <v>366</v>
      </c>
      <c r="AH2264" s="7" t="s">
        <v>4818</v>
      </c>
    </row>
    <row r="2265" spans="1:34" ht="9.75" customHeight="1" x14ac:dyDescent="0.2">
      <c r="A2265" s="7" t="s">
        <v>5597</v>
      </c>
      <c r="B2265" s="7" t="s">
        <v>4812</v>
      </c>
      <c r="C2265" s="7"/>
      <c r="D2265" s="7" t="s">
        <v>5630</v>
      </c>
      <c r="E2265" s="8">
        <v>2</v>
      </c>
      <c r="F2265" s="7" t="s">
        <v>4383</v>
      </c>
      <c r="G2265" s="7"/>
      <c r="H2265" s="9"/>
      <c r="I2265" s="10">
        <v>627</v>
      </c>
      <c r="J2265" s="10">
        <v>923</v>
      </c>
      <c r="K2265" s="9"/>
      <c r="L2265" s="10">
        <v>1643</v>
      </c>
      <c r="M2265" s="9"/>
      <c r="N2265" s="9"/>
      <c r="O2265" s="9"/>
      <c r="P2265" s="10"/>
      <c r="Q2265" s="10"/>
      <c r="R2265" s="10"/>
      <c r="S2265" s="7" t="s">
        <v>54</v>
      </c>
      <c r="T2265" s="7" t="s">
        <v>5606</v>
      </c>
      <c r="U2265" s="7"/>
      <c r="V2265" s="7"/>
      <c r="W2265" s="7"/>
      <c r="X2265" s="7"/>
      <c r="Y2265" s="7" t="s">
        <v>5631</v>
      </c>
      <c r="Z2265" s="7" t="s">
        <v>891</v>
      </c>
      <c r="AA2265" s="7"/>
      <c r="AB2265" s="7"/>
      <c r="AC2265" s="7" t="s">
        <v>4817</v>
      </c>
      <c r="AD2265" s="7" t="s">
        <v>5608</v>
      </c>
      <c r="AE2265" s="7" t="s">
        <v>5609</v>
      </c>
      <c r="AF2265" s="7" t="s">
        <v>113</v>
      </c>
      <c r="AG2265" s="7" t="s">
        <v>366</v>
      </c>
      <c r="AH2265" s="7" t="s">
        <v>4818</v>
      </c>
    </row>
    <row r="2266" spans="1:34" ht="9.75" customHeight="1" x14ac:dyDescent="0.2">
      <c r="A2266" s="7" t="s">
        <v>5597</v>
      </c>
      <c r="B2266" s="7" t="s">
        <v>4812</v>
      </c>
      <c r="C2266" s="7"/>
      <c r="D2266" s="7" t="s">
        <v>5632</v>
      </c>
      <c r="E2266" s="8">
        <v>2</v>
      </c>
      <c r="F2266" s="7" t="s">
        <v>4383</v>
      </c>
      <c r="G2266" s="7"/>
      <c r="H2266" s="9"/>
      <c r="I2266" s="10">
        <v>3845</v>
      </c>
      <c r="J2266" s="10">
        <v>5665</v>
      </c>
      <c r="K2266" s="9"/>
      <c r="L2266" s="10">
        <v>10085</v>
      </c>
      <c r="M2266" s="9"/>
      <c r="N2266" s="9"/>
      <c r="O2266" s="9"/>
      <c r="P2266" s="10"/>
      <c r="Q2266" s="10"/>
      <c r="R2266" s="10"/>
      <c r="S2266" s="7" t="s">
        <v>54</v>
      </c>
      <c r="T2266" s="7" t="s">
        <v>5606</v>
      </c>
      <c r="U2266" s="7"/>
      <c r="V2266" s="7"/>
      <c r="W2266" s="7"/>
      <c r="X2266" s="7"/>
      <c r="Y2266" s="7" t="s">
        <v>5633</v>
      </c>
      <c r="Z2266" s="7" t="s">
        <v>891</v>
      </c>
      <c r="AA2266" s="7"/>
      <c r="AB2266" s="7"/>
      <c r="AC2266" s="7" t="s">
        <v>4817</v>
      </c>
      <c r="AD2266" s="7" t="s">
        <v>5608</v>
      </c>
      <c r="AE2266" s="7" t="s">
        <v>5609</v>
      </c>
      <c r="AF2266" s="7" t="s">
        <v>113</v>
      </c>
      <c r="AG2266" s="7" t="s">
        <v>366</v>
      </c>
      <c r="AH2266" s="7" t="s">
        <v>4818</v>
      </c>
    </row>
    <row r="2267" spans="1:34" ht="9.75" customHeight="1" x14ac:dyDescent="0.2">
      <c r="A2267" s="7" t="s">
        <v>5597</v>
      </c>
      <c r="B2267" s="7" t="s">
        <v>4812</v>
      </c>
      <c r="C2267" s="7"/>
      <c r="D2267" s="7" t="s">
        <v>5634</v>
      </c>
      <c r="E2267" s="8">
        <v>2</v>
      </c>
      <c r="F2267" s="7" t="s">
        <v>4383</v>
      </c>
      <c r="G2267" s="7"/>
      <c r="H2267" s="9"/>
      <c r="I2267" s="10">
        <v>724</v>
      </c>
      <c r="J2267" s="10">
        <v>1067</v>
      </c>
      <c r="K2267" s="9"/>
      <c r="L2267" s="10">
        <v>1900</v>
      </c>
      <c r="M2267" s="9"/>
      <c r="N2267" s="9"/>
      <c r="O2267" s="9"/>
      <c r="P2267" s="10"/>
      <c r="Q2267" s="10"/>
      <c r="R2267" s="10"/>
      <c r="S2267" s="7" t="s">
        <v>54</v>
      </c>
      <c r="T2267" s="7" t="s">
        <v>5606</v>
      </c>
      <c r="U2267" s="7"/>
      <c r="V2267" s="7"/>
      <c r="W2267" s="7"/>
      <c r="X2267" s="7"/>
      <c r="Y2267" s="7" t="s">
        <v>5635</v>
      </c>
      <c r="Z2267" s="7" t="s">
        <v>891</v>
      </c>
      <c r="AA2267" s="7"/>
      <c r="AB2267" s="7"/>
      <c r="AC2267" s="7" t="s">
        <v>4817</v>
      </c>
      <c r="AD2267" s="7" t="s">
        <v>5608</v>
      </c>
      <c r="AE2267" s="7" t="s">
        <v>5609</v>
      </c>
      <c r="AF2267" s="7" t="s">
        <v>113</v>
      </c>
      <c r="AG2267" s="7" t="s">
        <v>366</v>
      </c>
      <c r="AH2267" s="7" t="s">
        <v>4818</v>
      </c>
    </row>
    <row r="2268" spans="1:34" ht="9.75" customHeight="1" x14ac:dyDescent="0.2">
      <c r="A2268" s="7" t="s">
        <v>5597</v>
      </c>
      <c r="B2268" s="7" t="s">
        <v>4812</v>
      </c>
      <c r="C2268" s="7"/>
      <c r="D2268" s="7" t="s">
        <v>5636</v>
      </c>
      <c r="E2268" s="8">
        <v>2</v>
      </c>
      <c r="F2268" s="7" t="s">
        <v>4383</v>
      </c>
      <c r="G2268" s="7"/>
      <c r="H2268" s="9"/>
      <c r="I2268" s="10">
        <v>2542</v>
      </c>
      <c r="J2268" s="10">
        <v>3745</v>
      </c>
      <c r="K2268" s="9"/>
      <c r="L2268" s="10">
        <v>6666</v>
      </c>
      <c r="M2268" s="9"/>
      <c r="N2268" s="9"/>
      <c r="O2268" s="9"/>
      <c r="P2268" s="10"/>
      <c r="Q2268" s="10"/>
      <c r="R2268" s="10"/>
      <c r="S2268" s="7" t="s">
        <v>54</v>
      </c>
      <c r="T2268" s="7" t="s">
        <v>5606</v>
      </c>
      <c r="U2268" s="7"/>
      <c r="V2268" s="7"/>
      <c r="W2268" s="7"/>
      <c r="X2268" s="7"/>
      <c r="Y2268" s="7" t="s">
        <v>5637</v>
      </c>
      <c r="Z2268" s="7" t="s">
        <v>891</v>
      </c>
      <c r="AA2268" s="7"/>
      <c r="AB2268" s="7"/>
      <c r="AC2268" s="7" t="s">
        <v>4817</v>
      </c>
      <c r="AD2268" s="7" t="s">
        <v>5608</v>
      </c>
      <c r="AE2268" s="7" t="s">
        <v>5609</v>
      </c>
      <c r="AF2268" s="7" t="s">
        <v>113</v>
      </c>
      <c r="AG2268" s="7" t="s">
        <v>366</v>
      </c>
      <c r="AH2268" s="7" t="s">
        <v>4818</v>
      </c>
    </row>
    <row r="2269" spans="1:34" ht="9.75" customHeight="1" x14ac:dyDescent="0.2">
      <c r="A2269" s="7" t="s">
        <v>5597</v>
      </c>
      <c r="B2269" s="7" t="s">
        <v>4812</v>
      </c>
      <c r="C2269" s="7"/>
      <c r="D2269" s="7" t="s">
        <v>5638</v>
      </c>
      <c r="E2269" s="8">
        <v>2</v>
      </c>
      <c r="F2269" s="7" t="s">
        <v>4383</v>
      </c>
      <c r="G2269" s="7"/>
      <c r="H2269" s="9"/>
      <c r="I2269" s="10">
        <v>579</v>
      </c>
      <c r="J2269" s="10">
        <v>853</v>
      </c>
      <c r="K2269" s="9"/>
      <c r="L2269" s="10">
        <v>1519</v>
      </c>
      <c r="M2269" s="9"/>
      <c r="N2269" s="9"/>
      <c r="O2269" s="9"/>
      <c r="P2269" s="10"/>
      <c r="Q2269" s="10"/>
      <c r="R2269" s="10"/>
      <c r="S2269" s="7" t="s">
        <v>54</v>
      </c>
      <c r="T2269" s="7" t="s">
        <v>5606</v>
      </c>
      <c r="U2269" s="7"/>
      <c r="V2269" s="7"/>
      <c r="W2269" s="7"/>
      <c r="X2269" s="7"/>
      <c r="Y2269" s="7" t="s">
        <v>5639</v>
      </c>
      <c r="Z2269" s="7" t="s">
        <v>891</v>
      </c>
      <c r="AA2269" s="7"/>
      <c r="AB2269" s="7"/>
      <c r="AC2269" s="7" t="s">
        <v>4817</v>
      </c>
      <c r="AD2269" s="7" t="s">
        <v>5608</v>
      </c>
      <c r="AE2269" s="7" t="s">
        <v>5609</v>
      </c>
      <c r="AF2269" s="7" t="s">
        <v>113</v>
      </c>
      <c r="AG2269" s="7" t="s">
        <v>366</v>
      </c>
      <c r="AH2269" s="7" t="s">
        <v>4818</v>
      </c>
    </row>
    <row r="2270" spans="1:34" ht="9.75" customHeight="1" x14ac:dyDescent="0.2">
      <c r="A2270" s="7" t="s">
        <v>5597</v>
      </c>
      <c r="B2270" s="7" t="s">
        <v>4812</v>
      </c>
      <c r="C2270" s="7"/>
      <c r="D2270" s="7" t="s">
        <v>5640</v>
      </c>
      <c r="E2270" s="8">
        <v>2</v>
      </c>
      <c r="F2270" s="7" t="s">
        <v>4383</v>
      </c>
      <c r="G2270" s="7"/>
      <c r="H2270" s="9"/>
      <c r="I2270" s="10">
        <v>1473914</v>
      </c>
      <c r="J2270" s="10">
        <v>1581492</v>
      </c>
      <c r="K2270" s="9"/>
      <c r="L2270" s="10">
        <v>1787171</v>
      </c>
      <c r="M2270" s="9"/>
      <c r="N2270" s="9"/>
      <c r="O2270" s="9"/>
      <c r="P2270" s="10"/>
      <c r="Q2270" s="10"/>
      <c r="R2270" s="10"/>
      <c r="S2270" s="7" t="s">
        <v>43</v>
      </c>
      <c r="T2270" s="7"/>
      <c r="U2270" s="7"/>
      <c r="V2270" s="7"/>
      <c r="W2270" s="7"/>
      <c r="X2270" s="7"/>
      <c r="Y2270" s="7" t="s">
        <v>5641</v>
      </c>
      <c r="Z2270" s="7" t="s">
        <v>891</v>
      </c>
      <c r="AA2270" s="7"/>
      <c r="AB2270" s="7"/>
      <c r="AC2270" s="7" t="s">
        <v>4817</v>
      </c>
      <c r="AD2270" s="7" t="s">
        <v>5608</v>
      </c>
      <c r="AE2270" s="7" t="s">
        <v>5609</v>
      </c>
      <c r="AF2270" s="7" t="s">
        <v>113</v>
      </c>
      <c r="AG2270" s="7" t="s">
        <v>366</v>
      </c>
      <c r="AH2270" s="7" t="s">
        <v>4818</v>
      </c>
    </row>
    <row r="2271" spans="1:34" ht="9.75" customHeight="1" x14ac:dyDescent="0.2">
      <c r="A2271" s="7" t="s">
        <v>5597</v>
      </c>
      <c r="B2271" s="7" t="s">
        <v>4812</v>
      </c>
      <c r="C2271" s="7"/>
      <c r="D2271" s="7" t="s">
        <v>5642</v>
      </c>
      <c r="E2271" s="8">
        <v>2</v>
      </c>
      <c r="F2271" s="7" t="s">
        <v>4383</v>
      </c>
      <c r="G2271" s="7"/>
      <c r="H2271" s="9"/>
      <c r="I2271" s="10">
        <v>433383</v>
      </c>
      <c r="J2271" s="10">
        <v>550873</v>
      </c>
      <c r="K2271" s="9"/>
      <c r="L2271" s="10">
        <v>574799</v>
      </c>
      <c r="M2271" s="9"/>
      <c r="N2271" s="9"/>
      <c r="O2271" s="9"/>
      <c r="P2271" s="10"/>
      <c r="Q2271" s="10"/>
      <c r="R2271" s="10"/>
      <c r="S2271" s="7" t="s">
        <v>407</v>
      </c>
      <c r="T2271" s="7" t="s">
        <v>5606</v>
      </c>
      <c r="U2271" s="7"/>
      <c r="V2271" s="7"/>
      <c r="W2271" s="7"/>
      <c r="X2271" s="7"/>
      <c r="Y2271" s="7" t="s">
        <v>5643</v>
      </c>
      <c r="Z2271" s="7" t="s">
        <v>5644</v>
      </c>
      <c r="AA2271" s="7"/>
      <c r="AB2271" s="7"/>
      <c r="AC2271" s="7" t="s">
        <v>4817</v>
      </c>
      <c r="AD2271" s="7" t="s">
        <v>5608</v>
      </c>
      <c r="AE2271" s="7" t="s">
        <v>5645</v>
      </c>
      <c r="AF2271" s="7" t="s">
        <v>113</v>
      </c>
      <c r="AG2271" s="7" t="s">
        <v>366</v>
      </c>
      <c r="AH2271" s="7" t="s">
        <v>4818</v>
      </c>
    </row>
    <row r="2272" spans="1:34" ht="9.75" customHeight="1" x14ac:dyDescent="0.2">
      <c r="A2272" s="7" t="s">
        <v>5597</v>
      </c>
      <c r="B2272" s="7" t="s">
        <v>4812</v>
      </c>
      <c r="C2272" s="7"/>
      <c r="D2272" s="7" t="s">
        <v>5646</v>
      </c>
      <c r="E2272" s="8">
        <v>2</v>
      </c>
      <c r="F2272" s="7" t="s">
        <v>4383</v>
      </c>
      <c r="G2272" s="7"/>
      <c r="H2272" s="9"/>
      <c r="I2272" s="10">
        <v>21266</v>
      </c>
      <c r="J2272" s="10">
        <v>41041</v>
      </c>
      <c r="K2272" s="9"/>
      <c r="L2272" s="10">
        <v>24059</v>
      </c>
      <c r="M2272" s="9"/>
      <c r="N2272" s="9"/>
      <c r="O2272" s="9"/>
      <c r="P2272" s="10"/>
      <c r="Q2272" s="10"/>
      <c r="R2272" s="10"/>
      <c r="S2272" s="7" t="s">
        <v>407</v>
      </c>
      <c r="T2272" s="7" t="s">
        <v>5606</v>
      </c>
      <c r="U2272" s="7"/>
      <c r="V2272" s="7"/>
      <c r="W2272" s="7"/>
      <c r="X2272" s="7"/>
      <c r="Y2272" s="7" t="s">
        <v>5647</v>
      </c>
      <c r="Z2272" s="7" t="s">
        <v>5644</v>
      </c>
      <c r="AA2272" s="7"/>
      <c r="AB2272" s="7"/>
      <c r="AC2272" s="7" t="s">
        <v>4817</v>
      </c>
      <c r="AD2272" s="7" t="s">
        <v>5608</v>
      </c>
      <c r="AE2272" s="7" t="s">
        <v>5645</v>
      </c>
      <c r="AF2272" s="7" t="s">
        <v>113</v>
      </c>
      <c r="AG2272" s="7" t="s">
        <v>366</v>
      </c>
      <c r="AH2272" s="7" t="s">
        <v>4818</v>
      </c>
    </row>
    <row r="2273" spans="1:34" ht="9.75" customHeight="1" x14ac:dyDescent="0.2">
      <c r="A2273" s="7" t="s">
        <v>5597</v>
      </c>
      <c r="B2273" s="7" t="s">
        <v>4812</v>
      </c>
      <c r="C2273" s="7"/>
      <c r="D2273" s="7" t="s">
        <v>5648</v>
      </c>
      <c r="E2273" s="8">
        <v>2</v>
      </c>
      <c r="F2273" s="7" t="s">
        <v>4383</v>
      </c>
      <c r="G2273" s="7"/>
      <c r="H2273" s="9"/>
      <c r="I2273" s="10">
        <v>295608</v>
      </c>
      <c r="J2273" s="10">
        <v>343964</v>
      </c>
      <c r="K2273" s="9"/>
      <c r="L2273" s="10">
        <v>455523</v>
      </c>
      <c r="M2273" s="9"/>
      <c r="N2273" s="9"/>
      <c r="O2273" s="9"/>
      <c r="P2273" s="10"/>
      <c r="Q2273" s="10"/>
      <c r="R2273" s="10"/>
      <c r="S2273" s="7" t="s">
        <v>407</v>
      </c>
      <c r="T2273" s="7" t="s">
        <v>5606</v>
      </c>
      <c r="U2273" s="7"/>
      <c r="V2273" s="7"/>
      <c r="W2273" s="7"/>
      <c r="X2273" s="7"/>
      <c r="Y2273" s="7" t="s">
        <v>5649</v>
      </c>
      <c r="Z2273" s="7" t="s">
        <v>5644</v>
      </c>
      <c r="AA2273" s="7"/>
      <c r="AB2273" s="7"/>
      <c r="AC2273" s="7" t="s">
        <v>4817</v>
      </c>
      <c r="AD2273" s="7" t="s">
        <v>5608</v>
      </c>
      <c r="AE2273" s="7" t="s">
        <v>5645</v>
      </c>
      <c r="AF2273" s="7" t="s">
        <v>113</v>
      </c>
      <c r="AG2273" s="7" t="s">
        <v>366</v>
      </c>
      <c r="AH2273" s="7" t="s">
        <v>4818</v>
      </c>
    </row>
    <row r="2274" spans="1:34" ht="9.75" customHeight="1" x14ac:dyDescent="0.2">
      <c r="A2274" s="7" t="s">
        <v>5597</v>
      </c>
      <c r="B2274" s="7" t="s">
        <v>4812</v>
      </c>
      <c r="C2274" s="7"/>
      <c r="D2274" s="7" t="s">
        <v>5650</v>
      </c>
      <c r="E2274" s="8">
        <v>2</v>
      </c>
      <c r="F2274" s="7" t="s">
        <v>4383</v>
      </c>
      <c r="G2274" s="7"/>
      <c r="H2274" s="9"/>
      <c r="I2274" s="10">
        <v>33695</v>
      </c>
      <c r="J2274" s="10">
        <v>41120</v>
      </c>
      <c r="K2274" s="9"/>
      <c r="L2274" s="10">
        <v>55977</v>
      </c>
      <c r="M2274" s="9"/>
      <c r="N2274" s="9"/>
      <c r="O2274" s="9"/>
      <c r="P2274" s="10"/>
      <c r="Q2274" s="10"/>
      <c r="R2274" s="10"/>
      <c r="S2274" s="7" t="s">
        <v>407</v>
      </c>
      <c r="T2274" s="7" t="s">
        <v>5606</v>
      </c>
      <c r="U2274" s="7"/>
      <c r="V2274" s="7"/>
      <c r="W2274" s="7"/>
      <c r="X2274" s="7"/>
      <c r="Y2274" s="7" t="s">
        <v>5651</v>
      </c>
      <c r="Z2274" s="7" t="s">
        <v>5644</v>
      </c>
      <c r="AA2274" s="7"/>
      <c r="AB2274" s="7"/>
      <c r="AC2274" s="7" t="s">
        <v>4817</v>
      </c>
      <c r="AD2274" s="7" t="s">
        <v>5608</v>
      </c>
      <c r="AE2274" s="7" t="s">
        <v>5645</v>
      </c>
      <c r="AF2274" s="7" t="s">
        <v>113</v>
      </c>
      <c r="AG2274" s="7" t="s">
        <v>366</v>
      </c>
      <c r="AH2274" s="7" t="s">
        <v>4818</v>
      </c>
    </row>
    <row r="2275" spans="1:34" ht="9.75" customHeight="1" x14ac:dyDescent="0.2">
      <c r="A2275" s="7" t="s">
        <v>5597</v>
      </c>
      <c r="B2275" s="7" t="s">
        <v>4812</v>
      </c>
      <c r="C2275" s="7"/>
      <c r="D2275" s="7" t="s">
        <v>5652</v>
      </c>
      <c r="E2275" s="8">
        <v>2</v>
      </c>
      <c r="F2275" s="7" t="s">
        <v>4383</v>
      </c>
      <c r="G2275" s="7"/>
      <c r="H2275" s="9"/>
      <c r="I2275" s="10">
        <v>20444</v>
      </c>
      <c r="J2275" s="10">
        <v>27323</v>
      </c>
      <c r="K2275" s="9"/>
      <c r="L2275" s="10">
        <v>38987</v>
      </c>
      <c r="M2275" s="9"/>
      <c r="N2275" s="9"/>
      <c r="O2275" s="9"/>
      <c r="P2275" s="10"/>
      <c r="Q2275" s="10"/>
      <c r="R2275" s="10"/>
      <c r="S2275" s="7" t="s">
        <v>407</v>
      </c>
      <c r="T2275" s="7" t="s">
        <v>5606</v>
      </c>
      <c r="U2275" s="7"/>
      <c r="V2275" s="7"/>
      <c r="W2275" s="7"/>
      <c r="X2275" s="7"/>
      <c r="Y2275" s="7" t="s">
        <v>5653</v>
      </c>
      <c r="Z2275" s="7" t="s">
        <v>5644</v>
      </c>
      <c r="AA2275" s="7"/>
      <c r="AB2275" s="7"/>
      <c r="AC2275" s="7" t="s">
        <v>4817</v>
      </c>
      <c r="AD2275" s="7" t="s">
        <v>5608</v>
      </c>
      <c r="AE2275" s="7" t="s">
        <v>5645</v>
      </c>
      <c r="AF2275" s="7" t="s">
        <v>113</v>
      </c>
      <c r="AG2275" s="7" t="s">
        <v>366</v>
      </c>
      <c r="AH2275" s="7" t="s">
        <v>4818</v>
      </c>
    </row>
    <row r="2276" spans="1:34" ht="9.75" customHeight="1" x14ac:dyDescent="0.2">
      <c r="A2276" s="7" t="s">
        <v>5597</v>
      </c>
      <c r="B2276" s="7" t="s">
        <v>4812</v>
      </c>
      <c r="C2276" s="7"/>
      <c r="D2276" s="7" t="s">
        <v>5654</v>
      </c>
      <c r="E2276" s="8">
        <v>2</v>
      </c>
      <c r="F2276" s="7" t="s">
        <v>4383</v>
      </c>
      <c r="G2276" s="7"/>
      <c r="H2276" s="9"/>
      <c r="I2276" s="10">
        <v>480213</v>
      </c>
      <c r="J2276" s="10">
        <v>404936</v>
      </c>
      <c r="K2276" s="9"/>
      <c r="L2276" s="10">
        <v>430729</v>
      </c>
      <c r="M2276" s="9"/>
      <c r="N2276" s="9"/>
      <c r="O2276" s="9"/>
      <c r="P2276" s="10"/>
      <c r="Q2276" s="10"/>
      <c r="R2276" s="10"/>
      <c r="S2276" s="7" t="s">
        <v>407</v>
      </c>
      <c r="T2276" s="7" t="s">
        <v>5606</v>
      </c>
      <c r="U2276" s="7"/>
      <c r="V2276" s="7"/>
      <c r="W2276" s="7"/>
      <c r="X2276" s="7"/>
      <c r="Y2276" s="7" t="s">
        <v>5655</v>
      </c>
      <c r="Z2276" s="7" t="s">
        <v>5644</v>
      </c>
      <c r="AA2276" s="7"/>
      <c r="AB2276" s="7"/>
      <c r="AC2276" s="7" t="s">
        <v>4817</v>
      </c>
      <c r="AD2276" s="7" t="s">
        <v>5608</v>
      </c>
      <c r="AE2276" s="7" t="s">
        <v>5645</v>
      </c>
      <c r="AF2276" s="7" t="s">
        <v>113</v>
      </c>
      <c r="AG2276" s="7" t="s">
        <v>366</v>
      </c>
      <c r="AH2276" s="7" t="s">
        <v>4818</v>
      </c>
    </row>
    <row r="2277" spans="1:34" ht="9.75" customHeight="1" x14ac:dyDescent="0.2">
      <c r="A2277" s="7" t="s">
        <v>5597</v>
      </c>
      <c r="B2277" s="7" t="s">
        <v>4812</v>
      </c>
      <c r="C2277" s="7"/>
      <c r="D2277" s="7" t="s">
        <v>5656</v>
      </c>
      <c r="E2277" s="8">
        <v>2</v>
      </c>
      <c r="F2277" s="7" t="s">
        <v>4383</v>
      </c>
      <c r="G2277" s="7"/>
      <c r="H2277" s="9"/>
      <c r="I2277" s="10">
        <v>27079</v>
      </c>
      <c r="J2277" s="10">
        <v>9202</v>
      </c>
      <c r="K2277" s="9"/>
      <c r="L2277" s="10">
        <v>28210</v>
      </c>
      <c r="M2277" s="9"/>
      <c r="N2277" s="9"/>
      <c r="O2277" s="9"/>
      <c r="P2277" s="10"/>
      <c r="Q2277" s="10"/>
      <c r="R2277" s="10"/>
      <c r="S2277" s="7" t="s">
        <v>407</v>
      </c>
      <c r="T2277" s="7" t="s">
        <v>5606</v>
      </c>
      <c r="U2277" s="7"/>
      <c r="V2277" s="7"/>
      <c r="W2277" s="7"/>
      <c r="X2277" s="7"/>
      <c r="Y2277" s="7" t="s">
        <v>5657</v>
      </c>
      <c r="Z2277" s="7" t="s">
        <v>5644</v>
      </c>
      <c r="AA2277" s="7"/>
      <c r="AB2277" s="7"/>
      <c r="AC2277" s="7" t="s">
        <v>4817</v>
      </c>
      <c r="AD2277" s="7" t="s">
        <v>5608</v>
      </c>
      <c r="AE2277" s="7" t="s">
        <v>5645</v>
      </c>
      <c r="AF2277" s="7" t="s">
        <v>113</v>
      </c>
      <c r="AG2277" s="7" t="s">
        <v>366</v>
      </c>
      <c r="AH2277" s="7" t="s">
        <v>4818</v>
      </c>
    </row>
    <row r="2278" spans="1:34" ht="9.75" customHeight="1" x14ac:dyDescent="0.2">
      <c r="A2278" s="7" t="s">
        <v>5597</v>
      </c>
      <c r="B2278" s="7" t="s">
        <v>4812</v>
      </c>
      <c r="C2278" s="7"/>
      <c r="D2278" s="7" t="s">
        <v>5658</v>
      </c>
      <c r="E2278" s="8">
        <v>2</v>
      </c>
      <c r="F2278" s="7" t="s">
        <v>4383</v>
      </c>
      <c r="G2278" s="7"/>
      <c r="H2278" s="9"/>
      <c r="I2278" s="10">
        <v>157312</v>
      </c>
      <c r="J2278" s="10">
        <v>158016</v>
      </c>
      <c r="K2278" s="9"/>
      <c r="L2278" s="10">
        <v>173764</v>
      </c>
      <c r="M2278" s="9"/>
      <c r="N2278" s="9"/>
      <c r="O2278" s="9"/>
      <c r="P2278" s="10"/>
      <c r="Q2278" s="10"/>
      <c r="R2278" s="10"/>
      <c r="S2278" s="7" t="s">
        <v>407</v>
      </c>
      <c r="T2278" s="7" t="s">
        <v>5606</v>
      </c>
      <c r="U2278" s="7"/>
      <c r="V2278" s="7"/>
      <c r="W2278" s="7"/>
      <c r="X2278" s="7"/>
      <c r="Y2278" s="7" t="s">
        <v>5659</v>
      </c>
      <c r="Z2278" s="7" t="s">
        <v>5644</v>
      </c>
      <c r="AA2278" s="7"/>
      <c r="AB2278" s="7"/>
      <c r="AC2278" s="7" t="s">
        <v>4817</v>
      </c>
      <c r="AD2278" s="7" t="s">
        <v>5608</v>
      </c>
      <c r="AE2278" s="7" t="s">
        <v>5645</v>
      </c>
      <c r="AF2278" s="7" t="s">
        <v>113</v>
      </c>
      <c r="AG2278" s="7" t="s">
        <v>366</v>
      </c>
      <c r="AH2278" s="7" t="s">
        <v>4818</v>
      </c>
    </row>
    <row r="2279" spans="1:34" ht="9.75" customHeight="1" x14ac:dyDescent="0.2">
      <c r="A2279" s="7" t="s">
        <v>5597</v>
      </c>
      <c r="B2279" s="7" t="s">
        <v>4812</v>
      </c>
      <c r="C2279" s="7"/>
      <c r="D2279" s="7" t="s">
        <v>5660</v>
      </c>
      <c r="E2279" s="8">
        <v>2</v>
      </c>
      <c r="F2279" s="7" t="s">
        <v>4383</v>
      </c>
      <c r="G2279" s="7"/>
      <c r="H2279" s="9"/>
      <c r="I2279" s="10">
        <v>4914</v>
      </c>
      <c r="J2279" s="10">
        <v>5017</v>
      </c>
      <c r="K2279" s="9"/>
      <c r="L2279" s="10">
        <v>5123</v>
      </c>
      <c r="M2279" s="9"/>
      <c r="N2279" s="9"/>
      <c r="O2279" s="9"/>
      <c r="P2279" s="10"/>
      <c r="Q2279" s="10"/>
      <c r="R2279" s="10"/>
      <c r="S2279" s="7" t="s">
        <v>407</v>
      </c>
      <c r="T2279" s="7" t="s">
        <v>5606</v>
      </c>
      <c r="U2279" s="7"/>
      <c r="V2279" s="7"/>
      <c r="W2279" s="7"/>
      <c r="X2279" s="7"/>
      <c r="Y2279" s="7" t="s">
        <v>5661</v>
      </c>
      <c r="Z2279" s="7" t="s">
        <v>5644</v>
      </c>
      <c r="AA2279" s="7"/>
      <c r="AB2279" s="7"/>
      <c r="AC2279" s="7" t="s">
        <v>4817</v>
      </c>
      <c r="AD2279" s="7" t="s">
        <v>5608</v>
      </c>
      <c r="AE2279" s="7" t="s">
        <v>5645</v>
      </c>
      <c r="AF2279" s="7" t="s">
        <v>113</v>
      </c>
      <c r="AG2279" s="7" t="s">
        <v>366</v>
      </c>
      <c r="AH2279" s="7" t="s">
        <v>4818</v>
      </c>
    </row>
    <row r="2280" spans="1:34" ht="9.75" customHeight="1" x14ac:dyDescent="0.2">
      <c r="A2280" s="7" t="s">
        <v>5597</v>
      </c>
      <c r="B2280" s="7" t="s">
        <v>4812</v>
      </c>
      <c r="C2280" s="7"/>
      <c r="D2280" s="7" t="s">
        <v>5662</v>
      </c>
      <c r="E2280" s="8">
        <v>2</v>
      </c>
      <c r="F2280" s="7" t="s">
        <v>4383</v>
      </c>
      <c r="G2280" s="7"/>
      <c r="H2280" s="9"/>
      <c r="I2280" s="10">
        <v>1473914</v>
      </c>
      <c r="J2280" s="10">
        <v>1581492</v>
      </c>
      <c r="K2280" s="9"/>
      <c r="L2280" s="10">
        <v>1787171</v>
      </c>
      <c r="M2280" s="9"/>
      <c r="N2280" s="9"/>
      <c r="O2280" s="9"/>
      <c r="P2280" s="10"/>
      <c r="Q2280" s="10"/>
      <c r="R2280" s="10"/>
      <c r="S2280" s="7" t="s">
        <v>407</v>
      </c>
      <c r="T2280" s="7" t="s">
        <v>5606</v>
      </c>
      <c r="U2280" s="7"/>
      <c r="V2280" s="7"/>
      <c r="W2280" s="7"/>
      <c r="X2280" s="7"/>
      <c r="Y2280" s="7" t="s">
        <v>5663</v>
      </c>
      <c r="Z2280" s="7" t="s">
        <v>5644</v>
      </c>
      <c r="AA2280" s="7"/>
      <c r="AB2280" s="7"/>
      <c r="AC2280" s="7" t="s">
        <v>4817</v>
      </c>
      <c r="AD2280" s="7" t="s">
        <v>5608</v>
      </c>
      <c r="AE2280" s="7" t="s">
        <v>5645</v>
      </c>
      <c r="AF2280" s="7" t="s">
        <v>113</v>
      </c>
      <c r="AG2280" s="7" t="s">
        <v>366</v>
      </c>
      <c r="AH2280" s="7" t="s">
        <v>4818</v>
      </c>
    </row>
    <row r="2281" spans="1:34" ht="9.75" customHeight="1" x14ac:dyDescent="0.2">
      <c r="A2281" s="7" t="s">
        <v>5597</v>
      </c>
      <c r="B2281" s="7" t="s">
        <v>4812</v>
      </c>
      <c r="C2281" s="7"/>
      <c r="D2281" s="7" t="s">
        <v>5664</v>
      </c>
      <c r="E2281" s="8">
        <v>7</v>
      </c>
      <c r="F2281" s="7" t="s">
        <v>5665</v>
      </c>
      <c r="G2281" s="7"/>
      <c r="H2281" s="9"/>
      <c r="I2281" s="10">
        <v>16917</v>
      </c>
      <c r="J2281" s="10">
        <v>17272</v>
      </c>
      <c r="K2281" s="9"/>
      <c r="L2281" s="10">
        <v>17635</v>
      </c>
      <c r="M2281" s="9"/>
      <c r="N2281" s="9"/>
      <c r="O2281" s="9"/>
      <c r="P2281" s="10"/>
      <c r="Q2281" s="10"/>
      <c r="R2281" s="10"/>
      <c r="S2281" s="7" t="s">
        <v>54</v>
      </c>
      <c r="T2281" s="7" t="s">
        <v>5666</v>
      </c>
      <c r="U2281" s="7"/>
      <c r="V2281" s="7"/>
      <c r="W2281" s="7"/>
      <c r="X2281" s="7"/>
      <c r="Y2281" s="7" t="s">
        <v>5667</v>
      </c>
      <c r="Z2281" s="7" t="s">
        <v>5668</v>
      </c>
      <c r="AA2281" s="7"/>
      <c r="AB2281" s="7"/>
      <c r="AC2281" s="7" t="s">
        <v>4817</v>
      </c>
      <c r="AD2281" s="7" t="s">
        <v>5608</v>
      </c>
      <c r="AE2281" s="7" t="s">
        <v>5669</v>
      </c>
      <c r="AF2281" s="7" t="s">
        <v>113</v>
      </c>
      <c r="AG2281" s="7" t="s">
        <v>366</v>
      </c>
      <c r="AH2281" s="7" t="s">
        <v>4818</v>
      </c>
    </row>
    <row r="2282" spans="1:34" ht="9.75" customHeight="1" x14ac:dyDescent="0.2">
      <c r="A2282" s="7" t="s">
        <v>5597</v>
      </c>
      <c r="B2282" s="7" t="s">
        <v>4812</v>
      </c>
      <c r="C2282" s="7"/>
      <c r="D2282" s="7" t="s">
        <v>5670</v>
      </c>
      <c r="E2282" s="8">
        <v>7</v>
      </c>
      <c r="F2282" s="7" t="s">
        <v>5665</v>
      </c>
      <c r="G2282" s="7"/>
      <c r="H2282" s="9"/>
      <c r="I2282" s="10">
        <v>31912</v>
      </c>
      <c r="J2282" s="10">
        <v>1903</v>
      </c>
      <c r="K2282" s="9"/>
      <c r="L2282" s="10">
        <v>0</v>
      </c>
      <c r="M2282" s="9"/>
      <c r="N2282" s="9"/>
      <c r="O2282" s="9"/>
      <c r="P2282" s="10"/>
      <c r="Q2282" s="10"/>
      <c r="R2282" s="10"/>
      <c r="S2282" s="7" t="s">
        <v>54</v>
      </c>
      <c r="T2282" s="7" t="s">
        <v>5666</v>
      </c>
      <c r="U2282" s="7"/>
      <c r="V2282" s="7"/>
      <c r="W2282" s="7"/>
      <c r="X2282" s="7"/>
      <c r="Y2282" s="7" t="s">
        <v>5671</v>
      </c>
      <c r="Z2282" s="7" t="s">
        <v>5668</v>
      </c>
      <c r="AA2282" s="7"/>
      <c r="AB2282" s="7"/>
      <c r="AC2282" s="7" t="s">
        <v>4817</v>
      </c>
      <c r="AD2282" s="7" t="s">
        <v>5608</v>
      </c>
      <c r="AE2282" s="7" t="s">
        <v>5669</v>
      </c>
      <c r="AF2282" s="7" t="s">
        <v>113</v>
      </c>
      <c r="AG2282" s="7" t="s">
        <v>366</v>
      </c>
      <c r="AH2282" s="7" t="s">
        <v>4818</v>
      </c>
    </row>
    <row r="2283" spans="1:34" ht="9.75" customHeight="1" x14ac:dyDescent="0.2">
      <c r="A2283" s="7" t="s">
        <v>5597</v>
      </c>
      <c r="B2283" s="7" t="s">
        <v>4812</v>
      </c>
      <c r="C2283" s="7"/>
      <c r="D2283" s="7" t="s">
        <v>5672</v>
      </c>
      <c r="E2283" s="8">
        <v>7</v>
      </c>
      <c r="F2283" s="7" t="s">
        <v>5665</v>
      </c>
      <c r="G2283" s="7"/>
      <c r="H2283" s="9"/>
      <c r="I2283" s="10">
        <v>72515</v>
      </c>
      <c r="J2283" s="10">
        <v>202025</v>
      </c>
      <c r="K2283" s="9"/>
      <c r="L2283" s="10">
        <v>127769</v>
      </c>
      <c r="M2283" s="9"/>
      <c r="N2283" s="9"/>
      <c r="O2283" s="9"/>
      <c r="P2283" s="10"/>
      <c r="Q2283" s="10"/>
      <c r="R2283" s="10"/>
      <c r="S2283" s="7" t="s">
        <v>54</v>
      </c>
      <c r="T2283" s="7" t="s">
        <v>5666</v>
      </c>
      <c r="U2283" s="7"/>
      <c r="V2283" s="7"/>
      <c r="W2283" s="7"/>
      <c r="X2283" s="7"/>
      <c r="Y2283" s="7" t="s">
        <v>5673</v>
      </c>
      <c r="Z2283" s="7" t="s">
        <v>5668</v>
      </c>
      <c r="AA2283" s="7"/>
      <c r="AB2283" s="7"/>
      <c r="AC2283" s="7" t="s">
        <v>4817</v>
      </c>
      <c r="AD2283" s="7" t="s">
        <v>5608</v>
      </c>
      <c r="AE2283" s="7" t="s">
        <v>5669</v>
      </c>
      <c r="AF2283" s="7" t="s">
        <v>113</v>
      </c>
      <c r="AG2283" s="7" t="s">
        <v>366</v>
      </c>
      <c r="AH2283" s="7" t="s">
        <v>4818</v>
      </c>
    </row>
    <row r="2284" spans="1:34" ht="9.75" customHeight="1" x14ac:dyDescent="0.2">
      <c r="A2284" s="7" t="s">
        <v>5597</v>
      </c>
      <c r="B2284" s="7" t="s">
        <v>4812</v>
      </c>
      <c r="C2284" s="7"/>
      <c r="D2284" s="7" t="s">
        <v>5674</v>
      </c>
      <c r="E2284" s="8">
        <v>7</v>
      </c>
      <c r="F2284" s="7" t="s">
        <v>5665</v>
      </c>
      <c r="G2284" s="7"/>
      <c r="H2284" s="9"/>
      <c r="I2284" s="10">
        <v>0</v>
      </c>
      <c r="J2284" s="10">
        <v>0</v>
      </c>
      <c r="K2284" s="9"/>
      <c r="L2284" s="10">
        <v>0</v>
      </c>
      <c r="M2284" s="9"/>
      <c r="N2284" s="9"/>
      <c r="O2284" s="9"/>
      <c r="P2284" s="10"/>
      <c r="Q2284" s="10"/>
      <c r="R2284" s="10"/>
      <c r="S2284" s="7" t="s">
        <v>54</v>
      </c>
      <c r="T2284" s="7" t="s">
        <v>5666</v>
      </c>
      <c r="U2284" s="7"/>
      <c r="V2284" s="7"/>
      <c r="W2284" s="7"/>
      <c r="X2284" s="7"/>
      <c r="Y2284" s="7" t="s">
        <v>5675</v>
      </c>
      <c r="Z2284" s="7" t="s">
        <v>5668</v>
      </c>
      <c r="AA2284" s="7"/>
      <c r="AB2284" s="7"/>
      <c r="AC2284" s="7" t="s">
        <v>4817</v>
      </c>
      <c r="AD2284" s="7" t="s">
        <v>5608</v>
      </c>
      <c r="AE2284" s="7" t="s">
        <v>5669</v>
      </c>
      <c r="AF2284" s="7" t="s">
        <v>113</v>
      </c>
      <c r="AG2284" s="7" t="s">
        <v>366</v>
      </c>
      <c r="AH2284" s="7" t="s">
        <v>4818</v>
      </c>
    </row>
    <row r="2285" spans="1:34" ht="9.75" customHeight="1" x14ac:dyDescent="0.2">
      <c r="A2285" s="7" t="s">
        <v>5597</v>
      </c>
      <c r="B2285" s="7" t="s">
        <v>4812</v>
      </c>
      <c r="C2285" s="7"/>
      <c r="D2285" s="7" t="s">
        <v>5676</v>
      </c>
      <c r="E2285" s="8">
        <v>7</v>
      </c>
      <c r="F2285" s="7" t="s">
        <v>5665</v>
      </c>
      <c r="G2285" s="7"/>
      <c r="H2285" s="9"/>
      <c r="I2285" s="10">
        <v>1590625</v>
      </c>
      <c r="J2285" s="10">
        <v>1199000</v>
      </c>
      <c r="K2285" s="9"/>
      <c r="L2285" s="10">
        <v>553720</v>
      </c>
      <c r="M2285" s="9"/>
      <c r="N2285" s="9"/>
      <c r="O2285" s="9"/>
      <c r="P2285" s="10"/>
      <c r="Q2285" s="10"/>
      <c r="R2285" s="10"/>
      <c r="S2285" s="7" t="s">
        <v>54</v>
      </c>
      <c r="T2285" s="7" t="s">
        <v>5666</v>
      </c>
      <c r="U2285" s="7"/>
      <c r="V2285" s="7"/>
      <c r="W2285" s="7"/>
      <c r="X2285" s="7"/>
      <c r="Y2285" s="7" t="s">
        <v>5677</v>
      </c>
      <c r="Z2285" s="7" t="s">
        <v>5668</v>
      </c>
      <c r="AA2285" s="7"/>
      <c r="AB2285" s="7"/>
      <c r="AC2285" s="7" t="s">
        <v>4817</v>
      </c>
      <c r="AD2285" s="7" t="s">
        <v>5608</v>
      </c>
      <c r="AE2285" s="7" t="s">
        <v>5669</v>
      </c>
      <c r="AF2285" s="7" t="s">
        <v>113</v>
      </c>
      <c r="AG2285" s="7" t="s">
        <v>366</v>
      </c>
      <c r="AH2285" s="7" t="s">
        <v>4818</v>
      </c>
    </row>
    <row r="2286" spans="1:34" ht="9.75" customHeight="1" x14ac:dyDescent="0.2">
      <c r="A2286" s="7" t="s">
        <v>5597</v>
      </c>
      <c r="B2286" s="7" t="s">
        <v>4812</v>
      </c>
      <c r="C2286" s="7"/>
      <c r="D2286" s="7" t="s">
        <v>5678</v>
      </c>
      <c r="E2286" s="8">
        <v>7</v>
      </c>
      <c r="F2286" s="7" t="s">
        <v>5665</v>
      </c>
      <c r="G2286" s="7"/>
      <c r="H2286" s="9"/>
      <c r="I2286" s="10">
        <v>1711969</v>
      </c>
      <c r="J2286" s="10">
        <v>1420200</v>
      </c>
      <c r="K2286" s="9"/>
      <c r="L2286" s="10">
        <v>699124</v>
      </c>
      <c r="M2286" s="9"/>
      <c r="N2286" s="9"/>
      <c r="O2286" s="9"/>
      <c r="P2286" s="10"/>
      <c r="Q2286" s="10"/>
      <c r="R2286" s="10"/>
      <c r="S2286" s="7" t="s">
        <v>43</v>
      </c>
      <c r="T2286" s="7"/>
      <c r="U2286" s="7"/>
      <c r="V2286" s="7"/>
      <c r="W2286" s="7"/>
      <c r="X2286" s="7"/>
      <c r="Y2286" s="7" t="s">
        <v>5679</v>
      </c>
      <c r="Z2286" s="7" t="s">
        <v>5668</v>
      </c>
      <c r="AA2286" s="7"/>
      <c r="AB2286" s="7"/>
      <c r="AC2286" s="7" t="s">
        <v>4817</v>
      </c>
      <c r="AD2286" s="7" t="s">
        <v>5608</v>
      </c>
      <c r="AE2286" s="7" t="s">
        <v>5669</v>
      </c>
      <c r="AF2286" s="7" t="s">
        <v>113</v>
      </c>
      <c r="AG2286" s="7" t="s">
        <v>366</v>
      </c>
      <c r="AH2286" s="7" t="s">
        <v>4818</v>
      </c>
    </row>
    <row r="2287" spans="1:34" ht="9.75" customHeight="1" x14ac:dyDescent="0.2">
      <c r="A2287" s="7" t="s">
        <v>5597</v>
      </c>
      <c r="B2287" s="7" t="s">
        <v>4812</v>
      </c>
      <c r="C2287" s="7"/>
      <c r="D2287" s="7" t="s">
        <v>5680</v>
      </c>
      <c r="E2287" s="8">
        <v>7</v>
      </c>
      <c r="F2287" s="7" t="s">
        <v>5665</v>
      </c>
      <c r="G2287" s="7"/>
      <c r="H2287" s="9"/>
      <c r="I2287" s="10">
        <v>21988</v>
      </c>
      <c r="J2287" s="9"/>
      <c r="K2287" s="9"/>
      <c r="L2287" s="9"/>
      <c r="M2287" s="9"/>
      <c r="N2287" s="9"/>
      <c r="O2287" s="9"/>
      <c r="P2287" s="9"/>
      <c r="Q2287" s="9"/>
      <c r="R2287" s="9"/>
      <c r="S2287" s="7" t="s">
        <v>54</v>
      </c>
      <c r="T2287" s="7" t="s">
        <v>5666</v>
      </c>
      <c r="U2287" s="7"/>
      <c r="V2287" s="7"/>
      <c r="W2287" s="7"/>
      <c r="X2287" s="7"/>
      <c r="Y2287" s="7" t="s">
        <v>5681</v>
      </c>
      <c r="Z2287" s="7" t="s">
        <v>5668</v>
      </c>
      <c r="AA2287" s="7"/>
      <c r="AB2287" s="7"/>
      <c r="AC2287" s="7" t="s">
        <v>4817</v>
      </c>
      <c r="AD2287" s="7" t="s">
        <v>5608</v>
      </c>
      <c r="AE2287" s="7" t="s">
        <v>5682</v>
      </c>
      <c r="AF2287" s="7" t="s">
        <v>113</v>
      </c>
      <c r="AG2287" s="7" t="s">
        <v>366</v>
      </c>
      <c r="AH2287" s="7" t="s">
        <v>4818</v>
      </c>
    </row>
    <row r="2288" spans="1:34" ht="9.75" customHeight="1" x14ac:dyDescent="0.2">
      <c r="A2288" s="7" t="s">
        <v>5597</v>
      </c>
      <c r="B2288" s="7" t="s">
        <v>4812</v>
      </c>
      <c r="C2288" s="7"/>
      <c r="D2288" s="7" t="s">
        <v>5683</v>
      </c>
      <c r="E2288" s="8">
        <v>7</v>
      </c>
      <c r="F2288" s="7" t="s">
        <v>5665</v>
      </c>
      <c r="G2288" s="7"/>
      <c r="H2288" s="9"/>
      <c r="I2288" s="10">
        <v>3236</v>
      </c>
      <c r="J2288" s="9"/>
      <c r="K2288" s="9"/>
      <c r="L2288" s="9"/>
      <c r="M2288" s="9"/>
      <c r="N2288" s="9"/>
      <c r="O2288" s="9"/>
      <c r="P2288" s="9"/>
      <c r="Q2288" s="9"/>
      <c r="R2288" s="9"/>
      <c r="S2288" s="7" t="s">
        <v>54</v>
      </c>
      <c r="T2288" s="7" t="s">
        <v>5666</v>
      </c>
      <c r="U2288" s="7"/>
      <c r="V2288" s="7"/>
      <c r="W2288" s="7"/>
      <c r="X2288" s="7"/>
      <c r="Y2288" s="7" t="s">
        <v>5684</v>
      </c>
      <c r="Z2288" s="7" t="s">
        <v>5668</v>
      </c>
      <c r="AA2288" s="7"/>
      <c r="AB2288" s="7"/>
      <c r="AC2288" s="7" t="s">
        <v>4817</v>
      </c>
      <c r="AD2288" s="7" t="s">
        <v>5608</v>
      </c>
      <c r="AE2288" s="7" t="s">
        <v>5682</v>
      </c>
      <c r="AF2288" s="7" t="s">
        <v>113</v>
      </c>
      <c r="AG2288" s="7" t="s">
        <v>366</v>
      </c>
      <c r="AH2288" s="7" t="s">
        <v>4818</v>
      </c>
    </row>
    <row r="2289" spans="1:34" ht="9.75" customHeight="1" x14ac:dyDescent="0.2">
      <c r="A2289" s="7" t="s">
        <v>5597</v>
      </c>
      <c r="B2289" s="7" t="s">
        <v>4812</v>
      </c>
      <c r="C2289" s="7"/>
      <c r="D2289" s="7" t="s">
        <v>5685</v>
      </c>
      <c r="E2289" s="8">
        <v>7</v>
      </c>
      <c r="F2289" s="7" t="s">
        <v>5665</v>
      </c>
      <c r="G2289" s="7"/>
      <c r="H2289" s="9"/>
      <c r="I2289" s="10">
        <v>683</v>
      </c>
      <c r="J2289" s="9"/>
      <c r="K2289" s="9"/>
      <c r="L2289" s="9"/>
      <c r="M2289" s="9"/>
      <c r="N2289" s="9"/>
      <c r="O2289" s="9"/>
      <c r="P2289" s="9"/>
      <c r="Q2289" s="9"/>
      <c r="R2289" s="9"/>
      <c r="S2289" s="7" t="s">
        <v>54</v>
      </c>
      <c r="T2289" s="7" t="s">
        <v>5666</v>
      </c>
      <c r="U2289" s="7"/>
      <c r="V2289" s="7"/>
      <c r="W2289" s="7"/>
      <c r="X2289" s="7"/>
      <c r="Y2289" s="7" t="s">
        <v>5686</v>
      </c>
      <c r="Z2289" s="7" t="s">
        <v>5668</v>
      </c>
      <c r="AA2289" s="7"/>
      <c r="AB2289" s="7"/>
      <c r="AC2289" s="7" t="s">
        <v>4817</v>
      </c>
      <c r="AD2289" s="7" t="s">
        <v>5608</v>
      </c>
      <c r="AE2289" s="7" t="s">
        <v>5682</v>
      </c>
      <c r="AF2289" s="7" t="s">
        <v>113</v>
      </c>
      <c r="AG2289" s="7" t="s">
        <v>366</v>
      </c>
      <c r="AH2289" s="7" t="s">
        <v>4818</v>
      </c>
    </row>
    <row r="2290" spans="1:34" ht="9.75" customHeight="1" x14ac:dyDescent="0.2">
      <c r="A2290" s="7" t="s">
        <v>5597</v>
      </c>
      <c r="B2290" s="7" t="s">
        <v>4812</v>
      </c>
      <c r="C2290" s="7"/>
      <c r="D2290" s="7" t="s">
        <v>5687</v>
      </c>
      <c r="E2290" s="8">
        <v>7</v>
      </c>
      <c r="F2290" s="7" t="s">
        <v>5665</v>
      </c>
      <c r="G2290" s="7"/>
      <c r="H2290" s="9"/>
      <c r="I2290" s="10">
        <v>2130</v>
      </c>
      <c r="J2290" s="9"/>
      <c r="K2290" s="9"/>
      <c r="L2290" s="9"/>
      <c r="M2290" s="9"/>
      <c r="N2290" s="9"/>
      <c r="O2290" s="9"/>
      <c r="P2290" s="9"/>
      <c r="Q2290" s="9"/>
      <c r="R2290" s="9"/>
      <c r="S2290" s="7" t="s">
        <v>54</v>
      </c>
      <c r="T2290" s="7" t="s">
        <v>5666</v>
      </c>
      <c r="U2290" s="7"/>
      <c r="V2290" s="7"/>
      <c r="W2290" s="7"/>
      <c r="X2290" s="7"/>
      <c r="Y2290" s="7" t="s">
        <v>5688</v>
      </c>
      <c r="Z2290" s="7" t="s">
        <v>5668</v>
      </c>
      <c r="AA2290" s="7"/>
      <c r="AB2290" s="7"/>
      <c r="AC2290" s="7" t="s">
        <v>4817</v>
      </c>
      <c r="AD2290" s="7" t="s">
        <v>5608</v>
      </c>
      <c r="AE2290" s="7" t="s">
        <v>5682</v>
      </c>
      <c r="AF2290" s="7" t="s">
        <v>113</v>
      </c>
      <c r="AG2290" s="7" t="s">
        <v>366</v>
      </c>
      <c r="AH2290" s="7" t="s">
        <v>4818</v>
      </c>
    </row>
    <row r="2291" spans="1:34" ht="9.75" customHeight="1" x14ac:dyDescent="0.2">
      <c r="A2291" s="7" t="s">
        <v>5597</v>
      </c>
      <c r="B2291" s="7" t="s">
        <v>4812</v>
      </c>
      <c r="C2291" s="7"/>
      <c r="D2291" s="7" t="s">
        <v>5689</v>
      </c>
      <c r="E2291" s="8">
        <v>7</v>
      </c>
      <c r="F2291" s="7" t="s">
        <v>5665</v>
      </c>
      <c r="G2291" s="7"/>
      <c r="H2291" s="9"/>
      <c r="I2291" s="10">
        <v>2010</v>
      </c>
      <c r="J2291" s="9"/>
      <c r="K2291" s="9"/>
      <c r="L2291" s="9"/>
      <c r="M2291" s="9"/>
      <c r="N2291" s="9"/>
      <c r="O2291" s="9"/>
      <c r="P2291" s="9"/>
      <c r="Q2291" s="9"/>
      <c r="R2291" s="9"/>
      <c r="S2291" s="7" t="s">
        <v>54</v>
      </c>
      <c r="T2291" s="7" t="s">
        <v>5666</v>
      </c>
      <c r="U2291" s="7"/>
      <c r="V2291" s="7"/>
      <c r="W2291" s="7"/>
      <c r="X2291" s="7"/>
      <c r="Y2291" s="7" t="s">
        <v>5690</v>
      </c>
      <c r="Z2291" s="7" t="s">
        <v>5668</v>
      </c>
      <c r="AA2291" s="7"/>
      <c r="AB2291" s="7"/>
      <c r="AC2291" s="7" t="s">
        <v>4817</v>
      </c>
      <c r="AD2291" s="7" t="s">
        <v>5608</v>
      </c>
      <c r="AE2291" s="7" t="s">
        <v>5682</v>
      </c>
      <c r="AF2291" s="7" t="s">
        <v>113</v>
      </c>
      <c r="AG2291" s="7" t="s">
        <v>366</v>
      </c>
      <c r="AH2291" s="7" t="s">
        <v>4818</v>
      </c>
    </row>
    <row r="2292" spans="1:34" ht="9.75" customHeight="1" x14ac:dyDescent="0.2">
      <c r="A2292" s="7" t="s">
        <v>5597</v>
      </c>
      <c r="B2292" s="7" t="s">
        <v>4812</v>
      </c>
      <c r="C2292" s="7"/>
      <c r="D2292" s="7" t="s">
        <v>5691</v>
      </c>
      <c r="E2292" s="8">
        <v>7</v>
      </c>
      <c r="F2292" s="7" t="s">
        <v>5665</v>
      </c>
      <c r="G2292" s="7"/>
      <c r="H2292" s="9"/>
      <c r="I2292" s="10">
        <v>1865</v>
      </c>
      <c r="J2292" s="9"/>
      <c r="K2292" s="9"/>
      <c r="L2292" s="9"/>
      <c r="M2292" s="9"/>
      <c r="N2292" s="9"/>
      <c r="O2292" s="9"/>
      <c r="P2292" s="9"/>
      <c r="Q2292" s="9"/>
      <c r="R2292" s="9"/>
      <c r="S2292" s="7" t="s">
        <v>54</v>
      </c>
      <c r="T2292" s="7" t="s">
        <v>5666</v>
      </c>
      <c r="U2292" s="7"/>
      <c r="V2292" s="7"/>
      <c r="W2292" s="7"/>
      <c r="X2292" s="7"/>
      <c r="Y2292" s="7" t="s">
        <v>5692</v>
      </c>
      <c r="Z2292" s="7" t="s">
        <v>5668</v>
      </c>
      <c r="AA2292" s="7"/>
      <c r="AB2292" s="7"/>
      <c r="AC2292" s="7" t="s">
        <v>4817</v>
      </c>
      <c r="AD2292" s="7" t="s">
        <v>5608</v>
      </c>
      <c r="AE2292" s="7" t="s">
        <v>5682</v>
      </c>
      <c r="AF2292" s="7" t="s">
        <v>113</v>
      </c>
      <c r="AG2292" s="7" t="s">
        <v>366</v>
      </c>
      <c r="AH2292" s="7" t="s">
        <v>4818</v>
      </c>
    </row>
    <row r="2293" spans="1:34" ht="9.75" customHeight="1" x14ac:dyDescent="0.2">
      <c r="A2293" s="7" t="s">
        <v>5597</v>
      </c>
      <c r="B2293" s="7" t="s">
        <v>4812</v>
      </c>
      <c r="C2293" s="7"/>
      <c r="D2293" s="7" t="s">
        <v>5693</v>
      </c>
      <c r="E2293" s="8">
        <v>7</v>
      </c>
      <c r="F2293" s="7" t="s">
        <v>5665</v>
      </c>
      <c r="G2293" s="7"/>
      <c r="H2293" s="9"/>
      <c r="I2293" s="9"/>
      <c r="J2293" s="10">
        <v>1903</v>
      </c>
      <c r="K2293" s="9"/>
      <c r="L2293" s="9"/>
      <c r="M2293" s="9"/>
      <c r="N2293" s="9"/>
      <c r="O2293" s="9"/>
      <c r="P2293" s="9"/>
      <c r="Q2293" s="9"/>
      <c r="R2293" s="9"/>
      <c r="S2293" s="7" t="s">
        <v>54</v>
      </c>
      <c r="T2293" s="7" t="s">
        <v>5666</v>
      </c>
      <c r="U2293" s="7"/>
      <c r="V2293" s="7"/>
      <c r="W2293" s="7"/>
      <c r="X2293" s="7"/>
      <c r="Y2293" s="7" t="s">
        <v>5694</v>
      </c>
      <c r="Z2293" s="7" t="s">
        <v>5668</v>
      </c>
      <c r="AA2293" s="7"/>
      <c r="AB2293" s="7"/>
      <c r="AC2293" s="7" t="s">
        <v>4817</v>
      </c>
      <c r="AD2293" s="7" t="s">
        <v>5608</v>
      </c>
      <c r="AE2293" s="7" t="s">
        <v>5682</v>
      </c>
      <c r="AF2293" s="7" t="s">
        <v>113</v>
      </c>
      <c r="AG2293" s="7" t="s">
        <v>366</v>
      </c>
      <c r="AH2293" s="7" t="s">
        <v>4818</v>
      </c>
    </row>
    <row r="2294" spans="1:34" ht="9.75" customHeight="1" x14ac:dyDescent="0.2">
      <c r="A2294" s="7" t="s">
        <v>5597</v>
      </c>
      <c r="B2294" s="7" t="s">
        <v>4812</v>
      </c>
      <c r="C2294" s="7"/>
      <c r="D2294" s="7" t="s">
        <v>5695</v>
      </c>
      <c r="E2294" s="8">
        <v>7</v>
      </c>
      <c r="F2294" s="7" t="s">
        <v>5665</v>
      </c>
      <c r="G2294" s="7"/>
      <c r="H2294" s="9"/>
      <c r="I2294" s="10">
        <v>1590625</v>
      </c>
      <c r="J2294" s="9"/>
      <c r="K2294" s="9"/>
      <c r="L2294" s="9"/>
      <c r="M2294" s="9"/>
      <c r="N2294" s="9"/>
      <c r="O2294" s="9"/>
      <c r="P2294" s="9"/>
      <c r="Q2294" s="9"/>
      <c r="R2294" s="9"/>
      <c r="S2294" s="7" t="s">
        <v>54</v>
      </c>
      <c r="T2294" s="7" t="s">
        <v>5666</v>
      </c>
      <c r="U2294" s="7"/>
      <c r="V2294" s="7"/>
      <c r="W2294" s="7"/>
      <c r="X2294" s="7"/>
      <c r="Y2294" s="7" t="s">
        <v>5696</v>
      </c>
      <c r="Z2294" s="7" t="s">
        <v>4671</v>
      </c>
      <c r="AA2294" s="7"/>
      <c r="AB2294" s="7"/>
      <c r="AC2294" s="7" t="s">
        <v>4817</v>
      </c>
      <c r="AD2294" s="7" t="s">
        <v>5608</v>
      </c>
      <c r="AE2294" s="7" t="s">
        <v>5697</v>
      </c>
      <c r="AF2294" s="7" t="s">
        <v>113</v>
      </c>
      <c r="AG2294" s="7" t="s">
        <v>366</v>
      </c>
      <c r="AH2294" s="7" t="s">
        <v>4818</v>
      </c>
    </row>
    <row r="2295" spans="1:34" ht="9.75" customHeight="1" x14ac:dyDescent="0.2">
      <c r="A2295" s="7" t="s">
        <v>5597</v>
      </c>
      <c r="B2295" s="7" t="s">
        <v>4812</v>
      </c>
      <c r="C2295" s="7"/>
      <c r="D2295" s="7" t="s">
        <v>5698</v>
      </c>
      <c r="E2295" s="8">
        <v>7</v>
      </c>
      <c r="F2295" s="7" t="s">
        <v>5665</v>
      </c>
      <c r="G2295" s="7"/>
      <c r="H2295" s="9"/>
      <c r="I2295" s="9"/>
      <c r="J2295" s="10">
        <v>1199000</v>
      </c>
      <c r="K2295" s="9"/>
      <c r="L2295" s="9"/>
      <c r="M2295" s="9"/>
      <c r="N2295" s="9"/>
      <c r="O2295" s="9"/>
      <c r="P2295" s="9"/>
      <c r="Q2295" s="9"/>
      <c r="R2295" s="9"/>
      <c r="S2295" s="7" t="s">
        <v>54</v>
      </c>
      <c r="T2295" s="7" t="s">
        <v>5666</v>
      </c>
      <c r="U2295" s="7"/>
      <c r="V2295" s="7"/>
      <c r="W2295" s="7"/>
      <c r="X2295" s="7"/>
      <c r="Y2295" s="7" t="s">
        <v>5699</v>
      </c>
      <c r="Z2295" s="7" t="s">
        <v>4671</v>
      </c>
      <c r="AA2295" s="7"/>
      <c r="AB2295" s="7"/>
      <c r="AC2295" s="7" t="s">
        <v>4817</v>
      </c>
      <c r="AD2295" s="7" t="s">
        <v>5608</v>
      </c>
      <c r="AE2295" s="7" t="s">
        <v>5697</v>
      </c>
      <c r="AF2295" s="7" t="s">
        <v>113</v>
      </c>
      <c r="AG2295" s="7" t="s">
        <v>366</v>
      </c>
      <c r="AH2295" s="7" t="s">
        <v>4818</v>
      </c>
    </row>
    <row r="2296" spans="1:34" ht="9.75" customHeight="1" x14ac:dyDescent="0.2">
      <c r="A2296" s="7" t="s">
        <v>5597</v>
      </c>
      <c r="B2296" s="7" t="s">
        <v>4812</v>
      </c>
      <c r="C2296" s="7"/>
      <c r="D2296" s="7" t="s">
        <v>5700</v>
      </c>
      <c r="E2296" s="8">
        <v>7</v>
      </c>
      <c r="F2296" s="7" t="s">
        <v>5665</v>
      </c>
      <c r="G2296" s="7"/>
      <c r="H2296" s="9"/>
      <c r="I2296" s="9"/>
      <c r="J2296" s="9"/>
      <c r="K2296" s="9"/>
      <c r="L2296" s="10">
        <v>553720</v>
      </c>
      <c r="M2296" s="9"/>
      <c r="N2296" s="9"/>
      <c r="O2296" s="9"/>
      <c r="P2296" s="10"/>
      <c r="Q2296" s="10"/>
      <c r="R2296" s="10"/>
      <c r="S2296" s="7" t="s">
        <v>54</v>
      </c>
      <c r="T2296" s="7" t="s">
        <v>5666</v>
      </c>
      <c r="U2296" s="7"/>
      <c r="V2296" s="7"/>
      <c r="W2296" s="7"/>
      <c r="X2296" s="7"/>
      <c r="Y2296" s="7" t="s">
        <v>5701</v>
      </c>
      <c r="Z2296" s="7" t="s">
        <v>4671</v>
      </c>
      <c r="AA2296" s="7"/>
      <c r="AB2296" s="7"/>
      <c r="AC2296" s="7" t="s">
        <v>4817</v>
      </c>
      <c r="AD2296" s="7" t="s">
        <v>5608</v>
      </c>
      <c r="AE2296" s="7" t="s">
        <v>5697</v>
      </c>
      <c r="AF2296" s="7" t="s">
        <v>113</v>
      </c>
      <c r="AG2296" s="7" t="s">
        <v>366</v>
      </c>
      <c r="AH2296" s="7" t="s">
        <v>4818</v>
      </c>
    </row>
    <row r="2297" spans="1:34" ht="9.75" customHeight="1" x14ac:dyDescent="0.2">
      <c r="A2297" s="7" t="s">
        <v>5597</v>
      </c>
      <c r="B2297" s="7" t="s">
        <v>4812</v>
      </c>
      <c r="C2297" s="7"/>
      <c r="D2297" s="7" t="s">
        <v>5702</v>
      </c>
      <c r="E2297" s="8">
        <v>2</v>
      </c>
      <c r="F2297" s="7" t="s">
        <v>5703</v>
      </c>
      <c r="G2297" s="7"/>
      <c r="H2297" s="9"/>
      <c r="I2297" s="9"/>
      <c r="J2297" s="9"/>
      <c r="K2297" s="9"/>
      <c r="L2297" s="9"/>
      <c r="M2297" s="9"/>
      <c r="N2297" s="9"/>
      <c r="O2297" s="9"/>
      <c r="P2297" s="9"/>
      <c r="Q2297" s="9"/>
      <c r="R2297" s="9"/>
      <c r="S2297" s="7" t="s">
        <v>219</v>
      </c>
      <c r="T2297" s="7"/>
      <c r="U2297" s="7" t="s">
        <v>44</v>
      </c>
      <c r="V2297" s="7" t="s">
        <v>45</v>
      </c>
      <c r="W2297" s="7" t="s">
        <v>46</v>
      </c>
      <c r="X2297" s="7" t="s">
        <v>90</v>
      </c>
      <c r="Y2297" s="7" t="s">
        <v>5704</v>
      </c>
      <c r="Z2297" s="7" t="s">
        <v>70</v>
      </c>
      <c r="AA2297" s="7"/>
      <c r="AB2297" s="7"/>
      <c r="AC2297" s="7" t="s">
        <v>4817</v>
      </c>
      <c r="AD2297" s="7" t="s">
        <v>5608</v>
      </c>
      <c r="AE2297" s="7" t="s">
        <v>5703</v>
      </c>
      <c r="AF2297" s="7" t="s">
        <v>113</v>
      </c>
      <c r="AG2297" s="7" t="s">
        <v>366</v>
      </c>
      <c r="AH2297" s="7" t="s">
        <v>4818</v>
      </c>
    </row>
    <row r="2298" spans="1:34" ht="9.75" customHeight="1" x14ac:dyDescent="0.2">
      <c r="A2298" s="7" t="s">
        <v>5597</v>
      </c>
      <c r="B2298" s="7" t="s">
        <v>4812</v>
      </c>
      <c r="C2298" s="7"/>
      <c r="D2298" s="7" t="s">
        <v>5705</v>
      </c>
      <c r="E2298" s="8">
        <v>2</v>
      </c>
      <c r="F2298" s="7" t="s">
        <v>5703</v>
      </c>
      <c r="G2298" s="7"/>
      <c r="H2298" s="9"/>
      <c r="I2298" s="9"/>
      <c r="J2298" s="9"/>
      <c r="K2298" s="9"/>
      <c r="L2298" s="9"/>
      <c r="M2298" s="9"/>
      <c r="N2298" s="9"/>
      <c r="O2298" s="9"/>
      <c r="P2298" s="9"/>
      <c r="Q2298" s="9"/>
      <c r="R2298" s="9"/>
      <c r="S2298" s="7" t="s">
        <v>219</v>
      </c>
      <c r="T2298" s="7"/>
      <c r="U2298" s="7" t="s">
        <v>44</v>
      </c>
      <c r="V2298" s="7" t="s">
        <v>45</v>
      </c>
      <c r="W2298" s="7" t="s">
        <v>46</v>
      </c>
      <c r="X2298" s="7" t="s">
        <v>90</v>
      </c>
      <c r="Y2298" s="7" t="s">
        <v>5706</v>
      </c>
      <c r="Z2298" s="7" t="s">
        <v>70</v>
      </c>
      <c r="AA2298" s="7"/>
      <c r="AB2298" s="7"/>
      <c r="AC2298" s="7" t="s">
        <v>4817</v>
      </c>
      <c r="AD2298" s="7" t="s">
        <v>5608</v>
      </c>
      <c r="AE2298" s="7" t="s">
        <v>5703</v>
      </c>
      <c r="AF2298" s="7" t="s">
        <v>113</v>
      </c>
      <c r="AG2298" s="7" t="s">
        <v>366</v>
      </c>
      <c r="AH2298" s="7" t="s">
        <v>4818</v>
      </c>
    </row>
    <row r="2299" spans="1:34" ht="9.75" customHeight="1" x14ac:dyDescent="0.2">
      <c r="A2299" s="7" t="s">
        <v>5597</v>
      </c>
      <c r="B2299" s="7" t="s">
        <v>4812</v>
      </c>
      <c r="C2299" s="7"/>
      <c r="D2299" s="7" t="s">
        <v>5707</v>
      </c>
      <c r="E2299" s="8">
        <v>5</v>
      </c>
      <c r="F2299" s="7" t="s">
        <v>5703</v>
      </c>
      <c r="G2299" s="7"/>
      <c r="H2299" s="9"/>
      <c r="I2299" s="9"/>
      <c r="J2299" s="9"/>
      <c r="K2299" s="9"/>
      <c r="L2299" s="9"/>
      <c r="M2299" s="9"/>
      <c r="N2299" s="9"/>
      <c r="O2299" s="9"/>
      <c r="P2299" s="9"/>
      <c r="Q2299" s="9"/>
      <c r="R2299" s="9"/>
      <c r="S2299" s="7" t="s">
        <v>219</v>
      </c>
      <c r="T2299" s="7"/>
      <c r="U2299" s="7" t="s">
        <v>44</v>
      </c>
      <c r="V2299" s="7" t="s">
        <v>45</v>
      </c>
      <c r="W2299" s="7" t="s">
        <v>46</v>
      </c>
      <c r="X2299" s="7" t="s">
        <v>90</v>
      </c>
      <c r="Y2299" s="7" t="s">
        <v>5708</v>
      </c>
      <c r="Z2299" s="7" t="s">
        <v>70</v>
      </c>
      <c r="AA2299" s="7"/>
      <c r="AB2299" s="7"/>
      <c r="AC2299" s="7" t="s">
        <v>4817</v>
      </c>
      <c r="AD2299" s="7" t="s">
        <v>5608</v>
      </c>
      <c r="AE2299" s="7" t="s">
        <v>5703</v>
      </c>
      <c r="AF2299" s="7" t="s">
        <v>113</v>
      </c>
      <c r="AG2299" s="7" t="s">
        <v>366</v>
      </c>
      <c r="AH2299" s="7" t="s">
        <v>4818</v>
      </c>
    </row>
    <row r="2300" spans="1:34" ht="9.75" customHeight="1" x14ac:dyDescent="0.2">
      <c r="A2300" s="7" t="s">
        <v>5597</v>
      </c>
      <c r="B2300" s="7" t="s">
        <v>4812</v>
      </c>
      <c r="C2300" s="7"/>
      <c r="D2300" s="7" t="s">
        <v>5709</v>
      </c>
      <c r="E2300" s="8">
        <v>2</v>
      </c>
      <c r="F2300" s="7" t="s">
        <v>5703</v>
      </c>
      <c r="G2300" s="7"/>
      <c r="H2300" s="9"/>
      <c r="I2300" s="9"/>
      <c r="J2300" s="9"/>
      <c r="K2300" s="9"/>
      <c r="L2300" s="9"/>
      <c r="M2300" s="9"/>
      <c r="N2300" s="9"/>
      <c r="O2300" s="9"/>
      <c r="P2300" s="9"/>
      <c r="Q2300" s="9"/>
      <c r="R2300" s="9"/>
      <c r="S2300" s="7" t="s">
        <v>219</v>
      </c>
      <c r="T2300" s="7"/>
      <c r="U2300" s="7" t="s">
        <v>44</v>
      </c>
      <c r="V2300" s="7" t="s">
        <v>45</v>
      </c>
      <c r="W2300" s="7" t="s">
        <v>46</v>
      </c>
      <c r="X2300" s="7" t="s">
        <v>90</v>
      </c>
      <c r="Y2300" s="7" t="s">
        <v>5710</v>
      </c>
      <c r="Z2300" s="7" t="s">
        <v>70</v>
      </c>
      <c r="AA2300" s="7"/>
      <c r="AB2300" s="7"/>
      <c r="AC2300" s="7" t="s">
        <v>4817</v>
      </c>
      <c r="AD2300" s="7" t="s">
        <v>5608</v>
      </c>
      <c r="AE2300" s="7" t="s">
        <v>5703</v>
      </c>
      <c r="AF2300" s="7" t="s">
        <v>113</v>
      </c>
      <c r="AG2300" s="7" t="s">
        <v>366</v>
      </c>
      <c r="AH2300" s="7" t="s">
        <v>4818</v>
      </c>
    </row>
    <row r="2301" spans="1:34" ht="9.75" customHeight="1" x14ac:dyDescent="0.2">
      <c r="A2301" s="7" t="s">
        <v>5597</v>
      </c>
      <c r="B2301" s="7" t="s">
        <v>4812</v>
      </c>
      <c r="C2301" s="7"/>
      <c r="D2301" s="7" t="s">
        <v>5711</v>
      </c>
      <c r="E2301" s="8">
        <v>2</v>
      </c>
      <c r="F2301" s="7" t="s">
        <v>5703</v>
      </c>
      <c r="G2301" s="7"/>
      <c r="H2301" s="9"/>
      <c r="I2301" s="9"/>
      <c r="J2301" s="9"/>
      <c r="K2301" s="9"/>
      <c r="L2301" s="9"/>
      <c r="M2301" s="9"/>
      <c r="N2301" s="9"/>
      <c r="O2301" s="9"/>
      <c r="P2301" s="9"/>
      <c r="Q2301" s="9"/>
      <c r="R2301" s="9"/>
      <c r="S2301" s="7" t="s">
        <v>219</v>
      </c>
      <c r="T2301" s="7"/>
      <c r="U2301" s="7" t="s">
        <v>44</v>
      </c>
      <c r="V2301" s="7" t="s">
        <v>45</v>
      </c>
      <c r="W2301" s="7" t="s">
        <v>46</v>
      </c>
      <c r="X2301" s="7" t="s">
        <v>90</v>
      </c>
      <c r="Y2301" s="7" t="s">
        <v>5712</v>
      </c>
      <c r="Z2301" s="7" t="s">
        <v>70</v>
      </c>
      <c r="AA2301" s="7"/>
      <c r="AB2301" s="7"/>
      <c r="AC2301" s="7" t="s">
        <v>4817</v>
      </c>
      <c r="AD2301" s="7" t="s">
        <v>5608</v>
      </c>
      <c r="AE2301" s="7" t="s">
        <v>5703</v>
      </c>
      <c r="AF2301" s="7" t="s">
        <v>113</v>
      </c>
      <c r="AG2301" s="7" t="s">
        <v>366</v>
      </c>
      <c r="AH2301" s="7" t="s">
        <v>4818</v>
      </c>
    </row>
    <row r="2302" spans="1:34" ht="9.75" customHeight="1" x14ac:dyDescent="0.2">
      <c r="A2302" s="7" t="s">
        <v>5597</v>
      </c>
      <c r="B2302" s="7" t="s">
        <v>4812</v>
      </c>
      <c r="C2302" s="7"/>
      <c r="D2302" s="7" t="s">
        <v>5713</v>
      </c>
      <c r="E2302" s="8">
        <v>2</v>
      </c>
      <c r="F2302" s="7" t="s">
        <v>5703</v>
      </c>
      <c r="G2302" s="7"/>
      <c r="H2302" s="9"/>
      <c r="I2302" s="9"/>
      <c r="J2302" s="9"/>
      <c r="K2302" s="9"/>
      <c r="L2302" s="9"/>
      <c r="M2302" s="9"/>
      <c r="N2302" s="9"/>
      <c r="O2302" s="9"/>
      <c r="P2302" s="9"/>
      <c r="Q2302" s="9"/>
      <c r="R2302" s="9"/>
      <c r="S2302" s="7" t="s">
        <v>219</v>
      </c>
      <c r="T2302" s="7"/>
      <c r="U2302" s="7" t="s">
        <v>44</v>
      </c>
      <c r="V2302" s="7" t="s">
        <v>45</v>
      </c>
      <c r="W2302" s="7" t="s">
        <v>46</v>
      </c>
      <c r="X2302" s="7" t="s">
        <v>90</v>
      </c>
      <c r="Y2302" s="7" t="s">
        <v>5714</v>
      </c>
      <c r="Z2302" s="7" t="s">
        <v>70</v>
      </c>
      <c r="AA2302" s="7"/>
      <c r="AB2302" s="7"/>
      <c r="AC2302" s="7" t="s">
        <v>4817</v>
      </c>
      <c r="AD2302" s="7" t="s">
        <v>5608</v>
      </c>
      <c r="AE2302" s="7" t="s">
        <v>5703</v>
      </c>
      <c r="AF2302" s="7" t="s">
        <v>113</v>
      </c>
      <c r="AG2302" s="7" t="s">
        <v>366</v>
      </c>
      <c r="AH2302" s="7" t="s">
        <v>4818</v>
      </c>
    </row>
    <row r="2303" spans="1:34" ht="9.75" customHeight="1" x14ac:dyDescent="0.2">
      <c r="A2303" s="7" t="s">
        <v>5597</v>
      </c>
      <c r="B2303" s="7" t="s">
        <v>4812</v>
      </c>
      <c r="C2303" s="7"/>
      <c r="D2303" s="7" t="s">
        <v>5715</v>
      </c>
      <c r="E2303" s="8">
        <v>2</v>
      </c>
      <c r="F2303" s="7" t="s">
        <v>5703</v>
      </c>
      <c r="G2303" s="7"/>
      <c r="H2303" s="9"/>
      <c r="I2303" s="9"/>
      <c r="J2303" s="9"/>
      <c r="K2303" s="9"/>
      <c r="L2303" s="9"/>
      <c r="M2303" s="9"/>
      <c r="N2303" s="9"/>
      <c r="O2303" s="9"/>
      <c r="P2303" s="9"/>
      <c r="Q2303" s="9"/>
      <c r="R2303" s="9"/>
      <c r="S2303" s="7" t="s">
        <v>219</v>
      </c>
      <c r="T2303" s="7"/>
      <c r="U2303" s="7" t="s">
        <v>44</v>
      </c>
      <c r="V2303" s="7" t="s">
        <v>45</v>
      </c>
      <c r="W2303" s="7" t="s">
        <v>46</v>
      </c>
      <c r="X2303" s="7" t="s">
        <v>90</v>
      </c>
      <c r="Y2303" s="7" t="s">
        <v>5716</v>
      </c>
      <c r="Z2303" s="7" t="s">
        <v>70</v>
      </c>
      <c r="AA2303" s="7"/>
      <c r="AB2303" s="7"/>
      <c r="AC2303" s="7" t="s">
        <v>4817</v>
      </c>
      <c r="AD2303" s="7" t="s">
        <v>5608</v>
      </c>
      <c r="AE2303" s="7" t="s">
        <v>5703</v>
      </c>
      <c r="AF2303" s="7" t="s">
        <v>113</v>
      </c>
      <c r="AG2303" s="7" t="s">
        <v>366</v>
      </c>
      <c r="AH2303" s="7" t="s">
        <v>4818</v>
      </c>
    </row>
    <row r="2304" spans="1:34" ht="9.75" customHeight="1" x14ac:dyDescent="0.2">
      <c r="A2304" s="7" t="s">
        <v>5597</v>
      </c>
      <c r="B2304" s="7" t="s">
        <v>4812</v>
      </c>
      <c r="C2304" s="7"/>
      <c r="D2304" s="7" t="s">
        <v>5717</v>
      </c>
      <c r="E2304" s="8">
        <v>2</v>
      </c>
      <c r="F2304" s="7" t="s">
        <v>5703</v>
      </c>
      <c r="G2304" s="7"/>
      <c r="H2304" s="9"/>
      <c r="I2304" s="9"/>
      <c r="J2304" s="9"/>
      <c r="K2304" s="9"/>
      <c r="L2304" s="9"/>
      <c r="M2304" s="9"/>
      <c r="N2304" s="9"/>
      <c r="O2304" s="9"/>
      <c r="P2304" s="9"/>
      <c r="Q2304" s="9"/>
      <c r="R2304" s="9"/>
      <c r="S2304" s="7" t="s">
        <v>219</v>
      </c>
      <c r="T2304" s="7"/>
      <c r="U2304" s="7" t="s">
        <v>44</v>
      </c>
      <c r="V2304" s="7" t="s">
        <v>45</v>
      </c>
      <c r="W2304" s="7" t="s">
        <v>46</v>
      </c>
      <c r="X2304" s="7" t="s">
        <v>90</v>
      </c>
      <c r="Y2304" s="7" t="s">
        <v>5718</v>
      </c>
      <c r="Z2304" s="7" t="s">
        <v>70</v>
      </c>
      <c r="AA2304" s="7"/>
      <c r="AB2304" s="7"/>
      <c r="AC2304" s="7" t="s">
        <v>4817</v>
      </c>
      <c r="AD2304" s="7" t="s">
        <v>5608</v>
      </c>
      <c r="AE2304" s="7" t="s">
        <v>5703</v>
      </c>
      <c r="AF2304" s="7" t="s">
        <v>113</v>
      </c>
      <c r="AG2304" s="7" t="s">
        <v>366</v>
      </c>
      <c r="AH2304" s="7" t="s">
        <v>4818</v>
      </c>
    </row>
    <row r="2305" spans="1:34" ht="9.75" customHeight="1" x14ac:dyDescent="0.2">
      <c r="A2305" s="7" t="s">
        <v>5597</v>
      </c>
      <c r="B2305" s="7" t="s">
        <v>4812</v>
      </c>
      <c r="C2305" s="7"/>
      <c r="D2305" s="7" t="s">
        <v>5705</v>
      </c>
      <c r="E2305" s="8">
        <v>2</v>
      </c>
      <c r="F2305" s="7" t="s">
        <v>5703</v>
      </c>
      <c r="G2305" s="7"/>
      <c r="H2305" s="9"/>
      <c r="I2305" s="9"/>
      <c r="J2305" s="9"/>
      <c r="K2305" s="9"/>
      <c r="L2305" s="9"/>
      <c r="M2305" s="9"/>
      <c r="N2305" s="9"/>
      <c r="O2305" s="9"/>
      <c r="P2305" s="9"/>
      <c r="Q2305" s="9"/>
      <c r="R2305" s="9"/>
      <c r="S2305" s="7" t="s">
        <v>219</v>
      </c>
      <c r="T2305" s="7"/>
      <c r="U2305" s="7" t="s">
        <v>44</v>
      </c>
      <c r="V2305" s="7" t="s">
        <v>45</v>
      </c>
      <c r="W2305" s="7" t="s">
        <v>46</v>
      </c>
      <c r="X2305" s="7" t="s">
        <v>90</v>
      </c>
      <c r="Y2305" s="7" t="s">
        <v>5706</v>
      </c>
      <c r="Z2305" s="7" t="s">
        <v>70</v>
      </c>
      <c r="AA2305" s="7"/>
      <c r="AB2305" s="7"/>
      <c r="AC2305" s="7" t="s">
        <v>4817</v>
      </c>
      <c r="AD2305" s="7" t="s">
        <v>5608</v>
      </c>
      <c r="AE2305" s="7" t="s">
        <v>5703</v>
      </c>
      <c r="AF2305" s="7" t="s">
        <v>113</v>
      </c>
      <c r="AG2305" s="7" t="s">
        <v>366</v>
      </c>
      <c r="AH2305" s="7" t="s">
        <v>4818</v>
      </c>
    </row>
    <row r="2306" spans="1:34" ht="9.75" customHeight="1" x14ac:dyDescent="0.2">
      <c r="A2306" s="7" t="s">
        <v>5597</v>
      </c>
      <c r="B2306" s="7" t="s">
        <v>4812</v>
      </c>
      <c r="C2306" s="7"/>
      <c r="D2306" s="7" t="s">
        <v>5719</v>
      </c>
      <c r="E2306" s="8">
        <v>2</v>
      </c>
      <c r="F2306" s="7" t="s">
        <v>5703</v>
      </c>
      <c r="G2306" s="7"/>
      <c r="H2306" s="9"/>
      <c r="I2306" s="9"/>
      <c r="J2306" s="9"/>
      <c r="K2306" s="9"/>
      <c r="L2306" s="9"/>
      <c r="M2306" s="9"/>
      <c r="N2306" s="9"/>
      <c r="O2306" s="9"/>
      <c r="P2306" s="9"/>
      <c r="Q2306" s="9"/>
      <c r="R2306" s="9"/>
      <c r="S2306" s="7" t="s">
        <v>219</v>
      </c>
      <c r="T2306" s="7"/>
      <c r="U2306" s="7" t="s">
        <v>44</v>
      </c>
      <c r="V2306" s="7" t="s">
        <v>45</v>
      </c>
      <c r="W2306" s="7" t="s">
        <v>46</v>
      </c>
      <c r="X2306" s="7" t="s">
        <v>90</v>
      </c>
      <c r="Y2306" s="7" t="s">
        <v>5720</v>
      </c>
      <c r="Z2306" s="7" t="s">
        <v>70</v>
      </c>
      <c r="AA2306" s="7"/>
      <c r="AB2306" s="7"/>
      <c r="AC2306" s="7" t="s">
        <v>4817</v>
      </c>
      <c r="AD2306" s="7" t="s">
        <v>5608</v>
      </c>
      <c r="AE2306" s="7" t="s">
        <v>5703</v>
      </c>
      <c r="AF2306" s="7" t="s">
        <v>113</v>
      </c>
      <c r="AG2306" s="7" t="s">
        <v>366</v>
      </c>
      <c r="AH2306" s="7" t="s">
        <v>4818</v>
      </c>
    </row>
    <row r="2307" spans="1:34" ht="9.75" customHeight="1" x14ac:dyDescent="0.2">
      <c r="A2307" s="7" t="s">
        <v>5597</v>
      </c>
      <c r="B2307" s="7" t="s">
        <v>4812</v>
      </c>
      <c r="C2307" s="7"/>
      <c r="D2307" s="7" t="s">
        <v>5721</v>
      </c>
      <c r="E2307" s="8">
        <v>2</v>
      </c>
      <c r="F2307" s="7" t="s">
        <v>5703</v>
      </c>
      <c r="G2307" s="7"/>
      <c r="H2307" s="9"/>
      <c r="I2307" s="9"/>
      <c r="J2307" s="9"/>
      <c r="K2307" s="9"/>
      <c r="L2307" s="9"/>
      <c r="M2307" s="9"/>
      <c r="N2307" s="9"/>
      <c r="O2307" s="9"/>
      <c r="P2307" s="9"/>
      <c r="Q2307" s="9"/>
      <c r="R2307" s="9"/>
      <c r="S2307" s="7" t="s">
        <v>219</v>
      </c>
      <c r="T2307" s="7"/>
      <c r="U2307" s="7" t="s">
        <v>44</v>
      </c>
      <c r="V2307" s="7" t="s">
        <v>45</v>
      </c>
      <c r="W2307" s="7" t="s">
        <v>46</v>
      </c>
      <c r="X2307" s="7" t="s">
        <v>90</v>
      </c>
      <c r="Y2307" s="7" t="s">
        <v>5722</v>
      </c>
      <c r="Z2307" s="7" t="s">
        <v>70</v>
      </c>
      <c r="AA2307" s="7"/>
      <c r="AB2307" s="7"/>
      <c r="AC2307" s="7" t="s">
        <v>4817</v>
      </c>
      <c r="AD2307" s="7" t="s">
        <v>5608</v>
      </c>
      <c r="AE2307" s="7" t="s">
        <v>5703</v>
      </c>
      <c r="AF2307" s="7" t="s">
        <v>113</v>
      </c>
      <c r="AG2307" s="7" t="s">
        <v>366</v>
      </c>
      <c r="AH2307" s="7" t="s">
        <v>4818</v>
      </c>
    </row>
    <row r="2308" spans="1:34" ht="9.75" customHeight="1" x14ac:dyDescent="0.2">
      <c r="A2308" s="7" t="s">
        <v>5597</v>
      </c>
      <c r="B2308" s="7" t="s">
        <v>4812</v>
      </c>
      <c r="C2308" s="7"/>
      <c r="D2308" s="7" t="s">
        <v>5723</v>
      </c>
      <c r="E2308" s="8">
        <v>2</v>
      </c>
      <c r="F2308" s="7" t="s">
        <v>5703</v>
      </c>
      <c r="G2308" s="7"/>
      <c r="H2308" s="9"/>
      <c r="I2308" s="9"/>
      <c r="J2308" s="9"/>
      <c r="K2308" s="9"/>
      <c r="L2308" s="9"/>
      <c r="M2308" s="9"/>
      <c r="N2308" s="9"/>
      <c r="O2308" s="9"/>
      <c r="P2308" s="9"/>
      <c r="Q2308" s="9"/>
      <c r="R2308" s="9"/>
      <c r="S2308" s="7" t="s">
        <v>219</v>
      </c>
      <c r="T2308" s="7"/>
      <c r="U2308" s="7" t="s">
        <v>44</v>
      </c>
      <c r="V2308" s="7" t="s">
        <v>45</v>
      </c>
      <c r="W2308" s="7" t="s">
        <v>46</v>
      </c>
      <c r="X2308" s="7" t="s">
        <v>90</v>
      </c>
      <c r="Y2308" s="7" t="s">
        <v>5724</v>
      </c>
      <c r="Z2308" s="7" t="s">
        <v>70</v>
      </c>
      <c r="AA2308" s="7"/>
      <c r="AB2308" s="7"/>
      <c r="AC2308" s="7" t="s">
        <v>4817</v>
      </c>
      <c r="AD2308" s="7" t="s">
        <v>5608</v>
      </c>
      <c r="AE2308" s="7" t="s">
        <v>5703</v>
      </c>
      <c r="AF2308" s="7" t="s">
        <v>113</v>
      </c>
      <c r="AG2308" s="7" t="s">
        <v>366</v>
      </c>
      <c r="AH2308" s="7" t="s">
        <v>4818</v>
      </c>
    </row>
    <row r="2309" spans="1:34" ht="9.75" customHeight="1" x14ac:dyDescent="0.2">
      <c r="A2309" s="7" t="s">
        <v>5597</v>
      </c>
      <c r="B2309" s="7" t="s">
        <v>4812</v>
      </c>
      <c r="C2309" s="7"/>
      <c r="D2309" s="7" t="s">
        <v>5725</v>
      </c>
      <c r="E2309" s="8">
        <v>5</v>
      </c>
      <c r="F2309" s="7" t="s">
        <v>5703</v>
      </c>
      <c r="G2309" s="7"/>
      <c r="H2309" s="9"/>
      <c r="I2309" s="9"/>
      <c r="J2309" s="9"/>
      <c r="K2309" s="9"/>
      <c r="L2309" s="9"/>
      <c r="M2309" s="9"/>
      <c r="N2309" s="9"/>
      <c r="O2309" s="9"/>
      <c r="P2309" s="9"/>
      <c r="Q2309" s="9"/>
      <c r="R2309" s="9"/>
      <c r="S2309" s="7" t="s">
        <v>219</v>
      </c>
      <c r="T2309" s="7"/>
      <c r="U2309" s="7" t="s">
        <v>44</v>
      </c>
      <c r="V2309" s="7" t="s">
        <v>45</v>
      </c>
      <c r="W2309" s="7" t="s">
        <v>46</v>
      </c>
      <c r="X2309" s="7" t="s">
        <v>90</v>
      </c>
      <c r="Y2309" s="7" t="s">
        <v>5726</v>
      </c>
      <c r="Z2309" s="7" t="s">
        <v>70</v>
      </c>
      <c r="AA2309" s="7"/>
      <c r="AB2309" s="7"/>
      <c r="AC2309" s="7" t="s">
        <v>4817</v>
      </c>
      <c r="AD2309" s="7" t="s">
        <v>5608</v>
      </c>
      <c r="AE2309" s="7" t="s">
        <v>5703</v>
      </c>
      <c r="AF2309" s="7" t="s">
        <v>113</v>
      </c>
      <c r="AG2309" s="7" t="s">
        <v>366</v>
      </c>
      <c r="AH2309" s="7" t="s">
        <v>4818</v>
      </c>
    </row>
    <row r="2310" spans="1:34" ht="9.75" customHeight="1" x14ac:dyDescent="0.2">
      <c r="A2310" s="7" t="s">
        <v>5597</v>
      </c>
      <c r="B2310" s="7" t="s">
        <v>4812</v>
      </c>
      <c r="C2310" s="7"/>
      <c r="D2310" s="7" t="s">
        <v>5727</v>
      </c>
      <c r="E2310" s="8">
        <v>2</v>
      </c>
      <c r="F2310" s="7" t="s">
        <v>5703</v>
      </c>
      <c r="G2310" s="7"/>
      <c r="H2310" s="9"/>
      <c r="I2310" s="9"/>
      <c r="J2310" s="9"/>
      <c r="K2310" s="9"/>
      <c r="L2310" s="9"/>
      <c r="M2310" s="9"/>
      <c r="N2310" s="9"/>
      <c r="O2310" s="9"/>
      <c r="P2310" s="9"/>
      <c r="Q2310" s="9"/>
      <c r="R2310" s="9"/>
      <c r="S2310" s="7" t="s">
        <v>219</v>
      </c>
      <c r="T2310" s="7"/>
      <c r="U2310" s="7" t="s">
        <v>44</v>
      </c>
      <c r="V2310" s="7" t="s">
        <v>45</v>
      </c>
      <c r="W2310" s="7" t="s">
        <v>46</v>
      </c>
      <c r="X2310" s="7" t="s">
        <v>90</v>
      </c>
      <c r="Y2310" s="7" t="s">
        <v>5728</v>
      </c>
      <c r="Z2310" s="7" t="s">
        <v>70</v>
      </c>
      <c r="AA2310" s="7"/>
      <c r="AB2310" s="7"/>
      <c r="AC2310" s="7" t="s">
        <v>4817</v>
      </c>
      <c r="AD2310" s="7" t="s">
        <v>5608</v>
      </c>
      <c r="AE2310" s="7" t="s">
        <v>5703</v>
      </c>
      <c r="AF2310" s="7" t="s">
        <v>113</v>
      </c>
      <c r="AG2310" s="7" t="s">
        <v>366</v>
      </c>
      <c r="AH2310" s="7" t="s">
        <v>4818</v>
      </c>
    </row>
    <row r="2311" spans="1:34" ht="9.75" customHeight="1" x14ac:dyDescent="0.2">
      <c r="A2311" s="7" t="s">
        <v>5597</v>
      </c>
      <c r="B2311" s="7" t="s">
        <v>4812</v>
      </c>
      <c r="C2311" s="7"/>
      <c r="D2311" s="7" t="s">
        <v>5729</v>
      </c>
      <c r="E2311" s="8">
        <v>2</v>
      </c>
      <c r="F2311" s="7" t="s">
        <v>5703</v>
      </c>
      <c r="G2311" s="7"/>
      <c r="H2311" s="9"/>
      <c r="I2311" s="9"/>
      <c r="J2311" s="9"/>
      <c r="K2311" s="9"/>
      <c r="L2311" s="9"/>
      <c r="M2311" s="9"/>
      <c r="N2311" s="9"/>
      <c r="O2311" s="9"/>
      <c r="P2311" s="9"/>
      <c r="Q2311" s="9"/>
      <c r="R2311" s="9"/>
      <c r="S2311" s="7" t="s">
        <v>219</v>
      </c>
      <c r="T2311" s="7"/>
      <c r="U2311" s="7" t="s">
        <v>44</v>
      </c>
      <c r="V2311" s="7" t="s">
        <v>45</v>
      </c>
      <c r="W2311" s="7" t="s">
        <v>46</v>
      </c>
      <c r="X2311" s="7" t="s">
        <v>90</v>
      </c>
      <c r="Y2311" s="7" t="s">
        <v>5730</v>
      </c>
      <c r="Z2311" s="7" t="s">
        <v>70</v>
      </c>
      <c r="AA2311" s="7"/>
      <c r="AB2311" s="7"/>
      <c r="AC2311" s="7" t="s">
        <v>4817</v>
      </c>
      <c r="AD2311" s="7" t="s">
        <v>5608</v>
      </c>
      <c r="AE2311" s="7" t="s">
        <v>5703</v>
      </c>
      <c r="AF2311" s="7" t="s">
        <v>113</v>
      </c>
      <c r="AG2311" s="7" t="s">
        <v>366</v>
      </c>
      <c r="AH2311" s="7" t="s">
        <v>4818</v>
      </c>
    </row>
    <row r="2312" spans="1:34" ht="9.75" customHeight="1" x14ac:dyDescent="0.2">
      <c r="A2312" s="7" t="s">
        <v>5597</v>
      </c>
      <c r="B2312" s="7" t="s">
        <v>4812</v>
      </c>
      <c r="C2312" s="7"/>
      <c r="D2312" s="7" t="s">
        <v>5731</v>
      </c>
      <c r="E2312" s="8">
        <v>2</v>
      </c>
      <c r="F2312" s="7" t="s">
        <v>5703</v>
      </c>
      <c r="G2312" s="7"/>
      <c r="H2312" s="9"/>
      <c r="I2312" s="9"/>
      <c r="J2312" s="9"/>
      <c r="K2312" s="9"/>
      <c r="L2312" s="9"/>
      <c r="M2312" s="9"/>
      <c r="N2312" s="9"/>
      <c r="O2312" s="9"/>
      <c r="P2312" s="9"/>
      <c r="Q2312" s="9"/>
      <c r="R2312" s="9"/>
      <c r="S2312" s="7" t="s">
        <v>219</v>
      </c>
      <c r="T2312" s="7"/>
      <c r="U2312" s="7" t="s">
        <v>44</v>
      </c>
      <c r="V2312" s="7" t="s">
        <v>45</v>
      </c>
      <c r="W2312" s="7" t="s">
        <v>46</v>
      </c>
      <c r="X2312" s="7" t="s">
        <v>90</v>
      </c>
      <c r="Y2312" s="7" t="s">
        <v>5732</v>
      </c>
      <c r="Z2312" s="7" t="s">
        <v>70</v>
      </c>
      <c r="AA2312" s="7"/>
      <c r="AB2312" s="7"/>
      <c r="AC2312" s="7" t="s">
        <v>4817</v>
      </c>
      <c r="AD2312" s="7" t="s">
        <v>5608</v>
      </c>
      <c r="AE2312" s="7" t="s">
        <v>5703</v>
      </c>
      <c r="AF2312" s="7" t="s">
        <v>113</v>
      </c>
      <c r="AG2312" s="7" t="s">
        <v>366</v>
      </c>
      <c r="AH2312" s="7" t="s">
        <v>4818</v>
      </c>
    </row>
    <row r="2313" spans="1:34" ht="9.75" customHeight="1" x14ac:dyDescent="0.2">
      <c r="A2313" s="7" t="s">
        <v>5597</v>
      </c>
      <c r="B2313" s="7" t="s">
        <v>4812</v>
      </c>
      <c r="C2313" s="7"/>
      <c r="D2313" s="7" t="s">
        <v>5733</v>
      </c>
      <c r="E2313" s="8">
        <v>3</v>
      </c>
      <c r="F2313" s="7" t="s">
        <v>5703</v>
      </c>
      <c r="G2313" s="7"/>
      <c r="H2313" s="9"/>
      <c r="I2313" s="9"/>
      <c r="J2313" s="9"/>
      <c r="K2313" s="9"/>
      <c r="L2313" s="9"/>
      <c r="M2313" s="9"/>
      <c r="N2313" s="9"/>
      <c r="O2313" s="9"/>
      <c r="P2313" s="9"/>
      <c r="Q2313" s="9"/>
      <c r="R2313" s="9"/>
      <c r="S2313" s="7" t="s">
        <v>219</v>
      </c>
      <c r="T2313" s="7"/>
      <c r="U2313" s="7" t="s">
        <v>44</v>
      </c>
      <c r="V2313" s="7" t="s">
        <v>45</v>
      </c>
      <c r="W2313" s="7" t="s">
        <v>46</v>
      </c>
      <c r="X2313" s="7" t="s">
        <v>90</v>
      </c>
      <c r="Y2313" s="7" t="s">
        <v>5734</v>
      </c>
      <c r="Z2313" s="7" t="s">
        <v>70</v>
      </c>
      <c r="AA2313" s="7"/>
      <c r="AB2313" s="7"/>
      <c r="AC2313" s="7" t="s">
        <v>4817</v>
      </c>
      <c r="AD2313" s="7" t="s">
        <v>5608</v>
      </c>
      <c r="AE2313" s="7" t="s">
        <v>5703</v>
      </c>
      <c r="AF2313" s="7" t="s">
        <v>113</v>
      </c>
      <c r="AG2313" s="7" t="s">
        <v>366</v>
      </c>
      <c r="AH2313" s="7" t="s">
        <v>4818</v>
      </c>
    </row>
    <row r="2314" spans="1:34" ht="9.75" customHeight="1" x14ac:dyDescent="0.2">
      <c r="A2314" s="7" t="s">
        <v>5597</v>
      </c>
      <c r="B2314" s="7" t="s">
        <v>4812</v>
      </c>
      <c r="C2314" s="7"/>
      <c r="D2314" s="7" t="s">
        <v>5735</v>
      </c>
      <c r="E2314" s="8">
        <v>2</v>
      </c>
      <c r="F2314" s="7" t="s">
        <v>5703</v>
      </c>
      <c r="G2314" s="7"/>
      <c r="H2314" s="9"/>
      <c r="I2314" s="9"/>
      <c r="J2314" s="9"/>
      <c r="K2314" s="9"/>
      <c r="L2314" s="9"/>
      <c r="M2314" s="9"/>
      <c r="N2314" s="9"/>
      <c r="O2314" s="9"/>
      <c r="P2314" s="9"/>
      <c r="Q2314" s="9"/>
      <c r="R2314" s="9"/>
      <c r="S2314" s="7" t="s">
        <v>219</v>
      </c>
      <c r="T2314" s="7"/>
      <c r="U2314" s="7" t="s">
        <v>44</v>
      </c>
      <c r="V2314" s="7" t="s">
        <v>45</v>
      </c>
      <c r="W2314" s="7" t="s">
        <v>46</v>
      </c>
      <c r="X2314" s="7" t="s">
        <v>90</v>
      </c>
      <c r="Y2314" s="7" t="s">
        <v>5736</v>
      </c>
      <c r="Z2314" s="7" t="s">
        <v>70</v>
      </c>
      <c r="AA2314" s="7"/>
      <c r="AB2314" s="7"/>
      <c r="AC2314" s="7" t="s">
        <v>4817</v>
      </c>
      <c r="AD2314" s="7" t="s">
        <v>5608</v>
      </c>
      <c r="AE2314" s="7" t="s">
        <v>5703</v>
      </c>
      <c r="AF2314" s="7" t="s">
        <v>113</v>
      </c>
      <c r="AG2314" s="7" t="s">
        <v>366</v>
      </c>
      <c r="AH2314" s="7" t="s">
        <v>4818</v>
      </c>
    </row>
    <row r="2315" spans="1:34" ht="9.75" customHeight="1" x14ac:dyDescent="0.2">
      <c r="A2315" s="7" t="s">
        <v>5597</v>
      </c>
      <c r="B2315" s="7" t="s">
        <v>4812</v>
      </c>
      <c r="C2315" s="7"/>
      <c r="D2315" s="7" t="s">
        <v>5737</v>
      </c>
      <c r="E2315" s="8">
        <v>2</v>
      </c>
      <c r="F2315" s="7" t="s">
        <v>5703</v>
      </c>
      <c r="G2315" s="7"/>
      <c r="H2315" s="9"/>
      <c r="I2315" s="9"/>
      <c r="J2315" s="9"/>
      <c r="K2315" s="9"/>
      <c r="L2315" s="9"/>
      <c r="M2315" s="9"/>
      <c r="N2315" s="9"/>
      <c r="O2315" s="9"/>
      <c r="P2315" s="9"/>
      <c r="Q2315" s="9"/>
      <c r="R2315" s="9"/>
      <c r="S2315" s="7" t="s">
        <v>219</v>
      </c>
      <c r="T2315" s="7"/>
      <c r="U2315" s="7" t="s">
        <v>44</v>
      </c>
      <c r="V2315" s="7" t="s">
        <v>45</v>
      </c>
      <c r="W2315" s="7" t="s">
        <v>46</v>
      </c>
      <c r="X2315" s="7" t="s">
        <v>90</v>
      </c>
      <c r="Y2315" s="7" t="s">
        <v>5738</v>
      </c>
      <c r="Z2315" s="7" t="s">
        <v>70</v>
      </c>
      <c r="AA2315" s="7"/>
      <c r="AB2315" s="7"/>
      <c r="AC2315" s="7" t="s">
        <v>4817</v>
      </c>
      <c r="AD2315" s="7" t="s">
        <v>5608</v>
      </c>
      <c r="AE2315" s="7" t="s">
        <v>5703</v>
      </c>
      <c r="AF2315" s="7" t="s">
        <v>113</v>
      </c>
      <c r="AG2315" s="7" t="s">
        <v>366</v>
      </c>
      <c r="AH2315" s="7" t="s">
        <v>4818</v>
      </c>
    </row>
    <row r="2316" spans="1:34" ht="9.75" customHeight="1" x14ac:dyDescent="0.2">
      <c r="A2316" s="7" t="s">
        <v>5597</v>
      </c>
      <c r="B2316" s="7" t="s">
        <v>4812</v>
      </c>
      <c r="C2316" s="7"/>
      <c r="D2316" s="7" t="s">
        <v>5739</v>
      </c>
      <c r="E2316" s="8">
        <v>2</v>
      </c>
      <c r="F2316" s="7" t="s">
        <v>5703</v>
      </c>
      <c r="G2316" s="7"/>
      <c r="H2316" s="9"/>
      <c r="I2316" s="9"/>
      <c r="J2316" s="9"/>
      <c r="K2316" s="9"/>
      <c r="L2316" s="9"/>
      <c r="M2316" s="9"/>
      <c r="N2316" s="9"/>
      <c r="O2316" s="9"/>
      <c r="P2316" s="9"/>
      <c r="Q2316" s="9"/>
      <c r="R2316" s="9"/>
      <c r="S2316" s="7" t="s">
        <v>219</v>
      </c>
      <c r="T2316" s="7"/>
      <c r="U2316" s="7" t="s">
        <v>44</v>
      </c>
      <c r="V2316" s="7" t="s">
        <v>45</v>
      </c>
      <c r="W2316" s="7" t="s">
        <v>130</v>
      </c>
      <c r="X2316" s="7" t="s">
        <v>131</v>
      </c>
      <c r="Y2316" s="7" t="s">
        <v>5740</v>
      </c>
      <c r="Z2316" s="7" t="s">
        <v>70</v>
      </c>
      <c r="AA2316" s="7"/>
      <c r="AB2316" s="7"/>
      <c r="AC2316" s="7" t="s">
        <v>4817</v>
      </c>
      <c r="AD2316" s="7" t="s">
        <v>5608</v>
      </c>
      <c r="AE2316" s="7" t="s">
        <v>5703</v>
      </c>
      <c r="AF2316" s="7" t="s">
        <v>113</v>
      </c>
      <c r="AG2316" s="7" t="s">
        <v>366</v>
      </c>
      <c r="AH2316" s="7" t="s">
        <v>4818</v>
      </c>
    </row>
    <row r="2317" spans="1:34" ht="9.75" customHeight="1" x14ac:dyDescent="0.2">
      <c r="A2317" s="7" t="s">
        <v>5597</v>
      </c>
      <c r="B2317" s="7" t="s">
        <v>4812</v>
      </c>
      <c r="C2317" s="7"/>
      <c r="D2317" s="7" t="s">
        <v>5741</v>
      </c>
      <c r="E2317" s="8">
        <v>2</v>
      </c>
      <c r="F2317" s="7" t="s">
        <v>5703</v>
      </c>
      <c r="G2317" s="7"/>
      <c r="H2317" s="9"/>
      <c r="I2317" s="9"/>
      <c r="J2317" s="9"/>
      <c r="K2317" s="9"/>
      <c r="L2317" s="9"/>
      <c r="M2317" s="9"/>
      <c r="N2317" s="9"/>
      <c r="O2317" s="9"/>
      <c r="P2317" s="9"/>
      <c r="Q2317" s="9"/>
      <c r="R2317" s="9"/>
      <c r="S2317" s="7" t="s">
        <v>219</v>
      </c>
      <c r="T2317" s="7"/>
      <c r="U2317" s="7" t="s">
        <v>44</v>
      </c>
      <c r="V2317" s="7" t="s">
        <v>45</v>
      </c>
      <c r="W2317" s="7" t="s">
        <v>46</v>
      </c>
      <c r="X2317" s="7" t="s">
        <v>90</v>
      </c>
      <c r="Y2317" s="7" t="s">
        <v>5742</v>
      </c>
      <c r="Z2317" s="7" t="s">
        <v>70</v>
      </c>
      <c r="AA2317" s="7"/>
      <c r="AB2317" s="7"/>
      <c r="AC2317" s="7" t="s">
        <v>4817</v>
      </c>
      <c r="AD2317" s="7" t="s">
        <v>5608</v>
      </c>
      <c r="AE2317" s="7" t="s">
        <v>5703</v>
      </c>
      <c r="AF2317" s="7" t="s">
        <v>113</v>
      </c>
      <c r="AG2317" s="7" t="s">
        <v>366</v>
      </c>
      <c r="AH2317" s="7" t="s">
        <v>4818</v>
      </c>
    </row>
    <row r="2318" spans="1:34" ht="9.75" customHeight="1" x14ac:dyDescent="0.2">
      <c r="A2318" s="7" t="s">
        <v>5597</v>
      </c>
      <c r="B2318" s="7" t="s">
        <v>4812</v>
      </c>
      <c r="C2318" s="7"/>
      <c r="D2318" s="7" t="s">
        <v>5743</v>
      </c>
      <c r="E2318" s="8">
        <v>3</v>
      </c>
      <c r="F2318" s="7" t="s">
        <v>5703</v>
      </c>
      <c r="G2318" s="7"/>
      <c r="H2318" s="9"/>
      <c r="I2318" s="9"/>
      <c r="J2318" s="9"/>
      <c r="K2318" s="9"/>
      <c r="L2318" s="9"/>
      <c r="M2318" s="9"/>
      <c r="N2318" s="9"/>
      <c r="O2318" s="9"/>
      <c r="P2318" s="9"/>
      <c r="Q2318" s="9"/>
      <c r="R2318" s="9"/>
      <c r="S2318" s="7" t="s">
        <v>219</v>
      </c>
      <c r="T2318" s="7"/>
      <c r="U2318" s="7" t="s">
        <v>44</v>
      </c>
      <c r="V2318" s="7" t="s">
        <v>45</v>
      </c>
      <c r="W2318" s="7" t="s">
        <v>46</v>
      </c>
      <c r="X2318" s="7" t="s">
        <v>90</v>
      </c>
      <c r="Y2318" s="7" t="s">
        <v>5744</v>
      </c>
      <c r="Z2318" s="7" t="s">
        <v>70</v>
      </c>
      <c r="AA2318" s="7"/>
      <c r="AB2318" s="7"/>
      <c r="AC2318" s="7" t="s">
        <v>4817</v>
      </c>
      <c r="AD2318" s="7" t="s">
        <v>5608</v>
      </c>
      <c r="AE2318" s="7" t="s">
        <v>5703</v>
      </c>
      <c r="AF2318" s="7" t="s">
        <v>113</v>
      </c>
      <c r="AG2318" s="7" t="s">
        <v>366</v>
      </c>
      <c r="AH2318" s="7" t="s">
        <v>4818</v>
      </c>
    </row>
    <row r="2319" spans="1:34" ht="9.75" customHeight="1" x14ac:dyDescent="0.2">
      <c r="A2319" s="7" t="s">
        <v>5597</v>
      </c>
      <c r="B2319" s="7" t="s">
        <v>4812</v>
      </c>
      <c r="C2319" s="7"/>
      <c r="D2319" s="7" t="s">
        <v>5745</v>
      </c>
      <c r="E2319" s="8">
        <v>2</v>
      </c>
      <c r="F2319" s="7" t="s">
        <v>5703</v>
      </c>
      <c r="G2319" s="7"/>
      <c r="H2319" s="9"/>
      <c r="I2319" s="9"/>
      <c r="J2319" s="9"/>
      <c r="K2319" s="9"/>
      <c r="L2319" s="9"/>
      <c r="M2319" s="9"/>
      <c r="N2319" s="9"/>
      <c r="O2319" s="9"/>
      <c r="P2319" s="9"/>
      <c r="Q2319" s="9"/>
      <c r="R2319" s="9"/>
      <c r="S2319" s="7" t="s">
        <v>219</v>
      </c>
      <c r="T2319" s="7"/>
      <c r="U2319" s="7" t="s">
        <v>44</v>
      </c>
      <c r="V2319" s="7" t="s">
        <v>45</v>
      </c>
      <c r="W2319" s="7" t="s">
        <v>46</v>
      </c>
      <c r="X2319" s="7" t="s">
        <v>90</v>
      </c>
      <c r="Y2319" s="7" t="s">
        <v>5746</v>
      </c>
      <c r="Z2319" s="7" t="s">
        <v>70</v>
      </c>
      <c r="AA2319" s="7"/>
      <c r="AB2319" s="7"/>
      <c r="AC2319" s="7" t="s">
        <v>4817</v>
      </c>
      <c r="AD2319" s="7" t="s">
        <v>5608</v>
      </c>
      <c r="AE2319" s="7" t="s">
        <v>5703</v>
      </c>
      <c r="AF2319" s="7" t="s">
        <v>113</v>
      </c>
      <c r="AG2319" s="7" t="s">
        <v>366</v>
      </c>
      <c r="AH2319" s="7" t="s">
        <v>4818</v>
      </c>
    </row>
    <row r="2320" spans="1:34" ht="9.75" customHeight="1" x14ac:dyDescent="0.2">
      <c r="A2320" s="7" t="s">
        <v>5597</v>
      </c>
      <c r="B2320" s="7" t="s">
        <v>4812</v>
      </c>
      <c r="C2320" s="7"/>
      <c r="D2320" s="7" t="s">
        <v>5747</v>
      </c>
      <c r="E2320" s="8">
        <v>2</v>
      </c>
      <c r="F2320" s="7" t="s">
        <v>5703</v>
      </c>
      <c r="G2320" s="7"/>
      <c r="H2320" s="9"/>
      <c r="I2320" s="9"/>
      <c r="J2320" s="9"/>
      <c r="K2320" s="9"/>
      <c r="L2320" s="9"/>
      <c r="M2320" s="9"/>
      <c r="N2320" s="9"/>
      <c r="O2320" s="9"/>
      <c r="P2320" s="9"/>
      <c r="Q2320" s="9"/>
      <c r="R2320" s="9"/>
      <c r="S2320" s="7" t="s">
        <v>219</v>
      </c>
      <c r="T2320" s="7"/>
      <c r="U2320" s="7" t="s">
        <v>44</v>
      </c>
      <c r="V2320" s="7" t="s">
        <v>45</v>
      </c>
      <c r="W2320" s="7" t="s">
        <v>46</v>
      </c>
      <c r="X2320" s="7" t="s">
        <v>90</v>
      </c>
      <c r="Y2320" s="7" t="s">
        <v>5748</v>
      </c>
      <c r="Z2320" s="7" t="s">
        <v>70</v>
      </c>
      <c r="AA2320" s="7"/>
      <c r="AB2320" s="7"/>
      <c r="AC2320" s="7" t="s">
        <v>4817</v>
      </c>
      <c r="AD2320" s="7" t="s">
        <v>5608</v>
      </c>
      <c r="AE2320" s="7" t="s">
        <v>5703</v>
      </c>
      <c r="AF2320" s="7" t="s">
        <v>113</v>
      </c>
      <c r="AG2320" s="7" t="s">
        <v>366</v>
      </c>
      <c r="AH2320" s="7" t="s">
        <v>4818</v>
      </c>
    </row>
    <row r="2321" spans="1:34" ht="9.75" customHeight="1" x14ac:dyDescent="0.2">
      <c r="A2321" s="7" t="s">
        <v>5597</v>
      </c>
      <c r="B2321" s="7" t="s">
        <v>4812</v>
      </c>
      <c r="C2321" s="7"/>
      <c r="D2321" s="7" t="s">
        <v>5749</v>
      </c>
      <c r="E2321" s="8">
        <v>2</v>
      </c>
      <c r="F2321" s="7" t="s">
        <v>4383</v>
      </c>
      <c r="G2321" s="7"/>
      <c r="H2321" s="9"/>
      <c r="I2321" s="10">
        <v>2900694</v>
      </c>
      <c r="J2321" s="10">
        <v>3195971</v>
      </c>
      <c r="K2321" s="9"/>
      <c r="L2321" s="10">
        <v>3471183</v>
      </c>
      <c r="M2321" s="9"/>
      <c r="N2321" s="9"/>
      <c r="O2321" s="9"/>
      <c r="P2321" s="10"/>
      <c r="Q2321" s="10"/>
      <c r="R2321" s="10"/>
      <c r="S2321" s="7" t="s">
        <v>54</v>
      </c>
      <c r="T2321" s="7" t="s">
        <v>5750</v>
      </c>
      <c r="U2321" s="7"/>
      <c r="V2321" s="7"/>
      <c r="W2321" s="7"/>
      <c r="X2321" s="7"/>
      <c r="Y2321" s="7" t="s">
        <v>5751</v>
      </c>
      <c r="Z2321" s="7" t="s">
        <v>4679</v>
      </c>
      <c r="AA2321" s="7"/>
      <c r="AB2321" s="7"/>
      <c r="AC2321" s="7" t="s">
        <v>4817</v>
      </c>
      <c r="AD2321" s="7" t="s">
        <v>5752</v>
      </c>
      <c r="AE2321" s="7" t="s">
        <v>5609</v>
      </c>
      <c r="AF2321" s="7" t="s">
        <v>113</v>
      </c>
      <c r="AG2321" s="7" t="s">
        <v>366</v>
      </c>
      <c r="AH2321" s="7" t="s">
        <v>4818</v>
      </c>
    </row>
    <row r="2322" spans="1:34" ht="9.75" customHeight="1" x14ac:dyDescent="0.2">
      <c r="A2322" s="7" t="s">
        <v>5597</v>
      </c>
      <c r="B2322" s="7" t="s">
        <v>4812</v>
      </c>
      <c r="C2322" s="7"/>
      <c r="D2322" s="7" t="s">
        <v>5753</v>
      </c>
      <c r="E2322" s="8">
        <v>2</v>
      </c>
      <c r="F2322" s="7" t="s">
        <v>4383</v>
      </c>
      <c r="G2322" s="7"/>
      <c r="H2322" s="9"/>
      <c r="I2322" s="10">
        <v>2617377</v>
      </c>
      <c r="J2322" s="10">
        <v>2816900</v>
      </c>
      <c r="K2322" s="9"/>
      <c r="L2322" s="10">
        <v>3023072</v>
      </c>
      <c r="M2322" s="9"/>
      <c r="N2322" s="9"/>
      <c r="O2322" s="9"/>
      <c r="P2322" s="10"/>
      <c r="Q2322" s="10"/>
      <c r="R2322" s="10"/>
      <c r="S2322" s="7" t="s">
        <v>54</v>
      </c>
      <c r="T2322" s="7" t="s">
        <v>5750</v>
      </c>
      <c r="U2322" s="7"/>
      <c r="V2322" s="7"/>
      <c r="W2322" s="7"/>
      <c r="X2322" s="7"/>
      <c r="Y2322" s="7" t="s">
        <v>5754</v>
      </c>
      <c r="Z2322" s="7" t="s">
        <v>4679</v>
      </c>
      <c r="AA2322" s="7"/>
      <c r="AB2322" s="7"/>
      <c r="AC2322" s="7" t="s">
        <v>4817</v>
      </c>
      <c r="AD2322" s="7" t="s">
        <v>5752</v>
      </c>
      <c r="AE2322" s="7" t="s">
        <v>5609</v>
      </c>
      <c r="AF2322" s="7" t="s">
        <v>113</v>
      </c>
      <c r="AG2322" s="7" t="s">
        <v>366</v>
      </c>
      <c r="AH2322" s="7" t="s">
        <v>4818</v>
      </c>
    </row>
    <row r="2323" spans="1:34" ht="9.75" customHeight="1" x14ac:dyDescent="0.2">
      <c r="A2323" s="7" t="s">
        <v>5597</v>
      </c>
      <c r="B2323" s="7" t="s">
        <v>4812</v>
      </c>
      <c r="C2323" s="7"/>
      <c r="D2323" s="7" t="s">
        <v>5755</v>
      </c>
      <c r="E2323" s="8">
        <v>2</v>
      </c>
      <c r="F2323" s="7" t="s">
        <v>4383</v>
      </c>
      <c r="G2323" s="7"/>
      <c r="H2323" s="9"/>
      <c r="I2323" s="10">
        <v>2549190</v>
      </c>
      <c r="J2323" s="10">
        <v>2746474</v>
      </c>
      <c r="K2323" s="9"/>
      <c r="L2323" s="10">
        <v>2950183</v>
      </c>
      <c r="M2323" s="9"/>
      <c r="N2323" s="9"/>
      <c r="O2323" s="9"/>
      <c r="P2323" s="10"/>
      <c r="Q2323" s="10"/>
      <c r="R2323" s="10"/>
      <c r="S2323" s="7" t="s">
        <v>54</v>
      </c>
      <c r="T2323" s="7" t="s">
        <v>5750</v>
      </c>
      <c r="U2323" s="7"/>
      <c r="V2323" s="7"/>
      <c r="W2323" s="7"/>
      <c r="X2323" s="7"/>
      <c r="Y2323" s="7" t="s">
        <v>5756</v>
      </c>
      <c r="Z2323" s="7" t="s">
        <v>4679</v>
      </c>
      <c r="AA2323" s="7"/>
      <c r="AB2323" s="7"/>
      <c r="AC2323" s="7" t="s">
        <v>4817</v>
      </c>
      <c r="AD2323" s="7" t="s">
        <v>5752</v>
      </c>
      <c r="AE2323" s="7" t="s">
        <v>5609</v>
      </c>
      <c r="AF2323" s="7" t="s">
        <v>113</v>
      </c>
      <c r="AG2323" s="7" t="s">
        <v>366</v>
      </c>
      <c r="AH2323" s="7" t="s">
        <v>4818</v>
      </c>
    </row>
    <row r="2324" spans="1:34" ht="9.75" customHeight="1" x14ac:dyDescent="0.2">
      <c r="A2324" s="7" t="s">
        <v>5597</v>
      </c>
      <c r="B2324" s="7" t="s">
        <v>4812</v>
      </c>
      <c r="C2324" s="7"/>
      <c r="D2324" s="7" t="s">
        <v>5757</v>
      </c>
      <c r="E2324" s="8">
        <v>2</v>
      </c>
      <c r="F2324" s="7" t="s">
        <v>4383</v>
      </c>
      <c r="G2324" s="7"/>
      <c r="H2324" s="9"/>
      <c r="I2324" s="10">
        <v>0</v>
      </c>
      <c r="J2324" s="10">
        <v>0</v>
      </c>
      <c r="K2324" s="9"/>
      <c r="L2324" s="10">
        <v>0</v>
      </c>
      <c r="M2324" s="9"/>
      <c r="N2324" s="9"/>
      <c r="O2324" s="9"/>
      <c r="P2324" s="10"/>
      <c r="Q2324" s="10"/>
      <c r="R2324" s="10"/>
      <c r="S2324" s="7" t="s">
        <v>54</v>
      </c>
      <c r="T2324" s="7" t="s">
        <v>5750</v>
      </c>
      <c r="U2324" s="7"/>
      <c r="V2324" s="7"/>
      <c r="W2324" s="7"/>
      <c r="X2324" s="7"/>
      <c r="Y2324" s="7" t="s">
        <v>5758</v>
      </c>
      <c r="Z2324" s="7" t="s">
        <v>4679</v>
      </c>
      <c r="AA2324" s="7"/>
      <c r="AB2324" s="7"/>
      <c r="AC2324" s="7" t="s">
        <v>4817</v>
      </c>
      <c r="AD2324" s="7" t="s">
        <v>5752</v>
      </c>
      <c r="AE2324" s="7" t="s">
        <v>5609</v>
      </c>
      <c r="AF2324" s="7" t="s">
        <v>113</v>
      </c>
      <c r="AG2324" s="7" t="s">
        <v>366</v>
      </c>
      <c r="AH2324" s="7" t="s">
        <v>4818</v>
      </c>
    </row>
    <row r="2325" spans="1:34" ht="9.75" customHeight="1" x14ac:dyDescent="0.2">
      <c r="A2325" s="7" t="s">
        <v>5597</v>
      </c>
      <c r="B2325" s="7" t="s">
        <v>4812</v>
      </c>
      <c r="C2325" s="7"/>
      <c r="D2325" s="7" t="s">
        <v>5759</v>
      </c>
      <c r="E2325" s="8">
        <v>2</v>
      </c>
      <c r="F2325" s="7" t="s">
        <v>4383</v>
      </c>
      <c r="G2325" s="7"/>
      <c r="H2325" s="9"/>
      <c r="I2325" s="10">
        <v>68187</v>
      </c>
      <c r="J2325" s="10">
        <v>70426</v>
      </c>
      <c r="K2325" s="9"/>
      <c r="L2325" s="10">
        <v>72889</v>
      </c>
      <c r="M2325" s="9"/>
      <c r="N2325" s="9"/>
      <c r="O2325" s="9"/>
      <c r="P2325" s="10"/>
      <c r="Q2325" s="10"/>
      <c r="R2325" s="10"/>
      <c r="S2325" s="7" t="s">
        <v>54</v>
      </c>
      <c r="T2325" s="7" t="s">
        <v>5750</v>
      </c>
      <c r="U2325" s="7"/>
      <c r="V2325" s="7"/>
      <c r="W2325" s="7"/>
      <c r="X2325" s="7"/>
      <c r="Y2325" s="7" t="s">
        <v>5760</v>
      </c>
      <c r="Z2325" s="7" t="s">
        <v>4679</v>
      </c>
      <c r="AA2325" s="7"/>
      <c r="AB2325" s="7"/>
      <c r="AC2325" s="7" t="s">
        <v>4817</v>
      </c>
      <c r="AD2325" s="7" t="s">
        <v>5752</v>
      </c>
      <c r="AE2325" s="7" t="s">
        <v>5609</v>
      </c>
      <c r="AF2325" s="7" t="s">
        <v>113</v>
      </c>
      <c r="AG2325" s="7" t="s">
        <v>366</v>
      </c>
      <c r="AH2325" s="7" t="s">
        <v>4818</v>
      </c>
    </row>
    <row r="2326" spans="1:34" ht="9.75" customHeight="1" x14ac:dyDescent="0.2">
      <c r="A2326" s="7" t="s">
        <v>5597</v>
      </c>
      <c r="B2326" s="7" t="s">
        <v>4812</v>
      </c>
      <c r="C2326" s="7"/>
      <c r="D2326" s="7" t="s">
        <v>5761</v>
      </c>
      <c r="E2326" s="8">
        <v>2</v>
      </c>
      <c r="F2326" s="7" t="s">
        <v>4383</v>
      </c>
      <c r="G2326" s="7"/>
      <c r="H2326" s="9"/>
      <c r="I2326" s="10">
        <v>283317</v>
      </c>
      <c r="J2326" s="10">
        <v>379071</v>
      </c>
      <c r="K2326" s="9"/>
      <c r="L2326" s="10">
        <v>448111</v>
      </c>
      <c r="M2326" s="9"/>
      <c r="N2326" s="9"/>
      <c r="O2326" s="9"/>
      <c r="P2326" s="10"/>
      <c r="Q2326" s="10"/>
      <c r="R2326" s="10"/>
      <c r="S2326" s="7" t="s">
        <v>54</v>
      </c>
      <c r="T2326" s="7" t="s">
        <v>5750</v>
      </c>
      <c r="U2326" s="7"/>
      <c r="V2326" s="7"/>
      <c r="W2326" s="7"/>
      <c r="X2326" s="7"/>
      <c r="Y2326" s="7" t="s">
        <v>5762</v>
      </c>
      <c r="Z2326" s="7" t="s">
        <v>4679</v>
      </c>
      <c r="AA2326" s="7"/>
      <c r="AB2326" s="7"/>
      <c r="AC2326" s="7" t="s">
        <v>4817</v>
      </c>
      <c r="AD2326" s="7" t="s">
        <v>5752</v>
      </c>
      <c r="AE2326" s="7" t="s">
        <v>5609</v>
      </c>
      <c r="AF2326" s="7" t="s">
        <v>113</v>
      </c>
      <c r="AG2326" s="7" t="s">
        <v>366</v>
      </c>
      <c r="AH2326" s="7" t="s">
        <v>4818</v>
      </c>
    </row>
    <row r="2327" spans="1:34" ht="9.75" customHeight="1" x14ac:dyDescent="0.2">
      <c r="A2327" s="7" t="s">
        <v>5597</v>
      </c>
      <c r="B2327" s="7" t="s">
        <v>4812</v>
      </c>
      <c r="C2327" s="7"/>
      <c r="D2327" s="7" t="s">
        <v>5763</v>
      </c>
      <c r="E2327" s="8">
        <v>2</v>
      </c>
      <c r="F2327" s="7" t="s">
        <v>4383</v>
      </c>
      <c r="G2327" s="7"/>
      <c r="H2327" s="9"/>
      <c r="I2327" s="10">
        <v>159789</v>
      </c>
      <c r="J2327" s="10">
        <v>213794</v>
      </c>
      <c r="K2327" s="9"/>
      <c r="L2327" s="10">
        <v>252732</v>
      </c>
      <c r="M2327" s="9"/>
      <c r="N2327" s="9"/>
      <c r="O2327" s="9"/>
      <c r="P2327" s="10"/>
      <c r="Q2327" s="10"/>
      <c r="R2327" s="10"/>
      <c r="S2327" s="7" t="s">
        <v>54</v>
      </c>
      <c r="T2327" s="7" t="s">
        <v>5750</v>
      </c>
      <c r="U2327" s="7"/>
      <c r="V2327" s="7"/>
      <c r="W2327" s="7"/>
      <c r="X2327" s="7"/>
      <c r="Y2327" s="7" t="s">
        <v>5764</v>
      </c>
      <c r="Z2327" s="7" t="s">
        <v>4679</v>
      </c>
      <c r="AA2327" s="7"/>
      <c r="AB2327" s="7"/>
      <c r="AC2327" s="7" t="s">
        <v>4817</v>
      </c>
      <c r="AD2327" s="7" t="s">
        <v>5752</v>
      </c>
      <c r="AE2327" s="7" t="s">
        <v>5609</v>
      </c>
      <c r="AF2327" s="7" t="s">
        <v>113</v>
      </c>
      <c r="AG2327" s="7" t="s">
        <v>366</v>
      </c>
      <c r="AH2327" s="7" t="s">
        <v>4818</v>
      </c>
    </row>
    <row r="2328" spans="1:34" ht="9.75" customHeight="1" x14ac:dyDescent="0.2">
      <c r="A2328" s="7" t="s">
        <v>5597</v>
      </c>
      <c r="B2328" s="7" t="s">
        <v>4812</v>
      </c>
      <c r="C2328" s="7"/>
      <c r="D2328" s="7" t="s">
        <v>5765</v>
      </c>
      <c r="E2328" s="8">
        <v>2</v>
      </c>
      <c r="F2328" s="7" t="s">
        <v>4383</v>
      </c>
      <c r="G2328" s="7"/>
      <c r="H2328" s="9"/>
      <c r="I2328" s="10">
        <v>140</v>
      </c>
      <c r="J2328" s="10">
        <v>187</v>
      </c>
      <c r="K2328" s="9"/>
      <c r="L2328" s="10">
        <v>222</v>
      </c>
      <c r="M2328" s="9"/>
      <c r="N2328" s="9"/>
      <c r="O2328" s="9"/>
      <c r="P2328" s="10"/>
      <c r="Q2328" s="10"/>
      <c r="R2328" s="10"/>
      <c r="S2328" s="7" t="s">
        <v>54</v>
      </c>
      <c r="T2328" s="7" t="s">
        <v>5750</v>
      </c>
      <c r="U2328" s="7"/>
      <c r="V2328" s="7"/>
      <c r="W2328" s="7"/>
      <c r="X2328" s="7"/>
      <c r="Y2328" s="7" t="s">
        <v>5766</v>
      </c>
      <c r="Z2328" s="7" t="s">
        <v>4679</v>
      </c>
      <c r="AA2328" s="7"/>
      <c r="AB2328" s="7"/>
      <c r="AC2328" s="7" t="s">
        <v>4817</v>
      </c>
      <c r="AD2328" s="7" t="s">
        <v>5752</v>
      </c>
      <c r="AE2328" s="7" t="s">
        <v>5609</v>
      </c>
      <c r="AF2328" s="7" t="s">
        <v>113</v>
      </c>
      <c r="AG2328" s="7" t="s">
        <v>366</v>
      </c>
      <c r="AH2328" s="7" t="s">
        <v>4818</v>
      </c>
    </row>
    <row r="2329" spans="1:34" ht="9.75" customHeight="1" x14ac:dyDescent="0.2">
      <c r="A2329" s="7" t="s">
        <v>5597</v>
      </c>
      <c r="B2329" s="7" t="s">
        <v>4812</v>
      </c>
      <c r="C2329" s="7"/>
      <c r="D2329" s="7" t="s">
        <v>5767</v>
      </c>
      <c r="E2329" s="8">
        <v>2</v>
      </c>
      <c r="F2329" s="7" t="s">
        <v>4383</v>
      </c>
      <c r="G2329" s="7"/>
      <c r="H2329" s="9"/>
      <c r="I2329" s="10">
        <v>27173</v>
      </c>
      <c r="J2329" s="10">
        <v>36357</v>
      </c>
      <c r="K2329" s="9"/>
      <c r="L2329" s="10">
        <v>42979</v>
      </c>
      <c r="M2329" s="9"/>
      <c r="N2329" s="9"/>
      <c r="O2329" s="9"/>
      <c r="P2329" s="10"/>
      <c r="Q2329" s="10"/>
      <c r="R2329" s="10"/>
      <c r="S2329" s="7" t="s">
        <v>54</v>
      </c>
      <c r="T2329" s="7" t="s">
        <v>5750</v>
      </c>
      <c r="U2329" s="7"/>
      <c r="V2329" s="7"/>
      <c r="W2329" s="7"/>
      <c r="X2329" s="7"/>
      <c r="Y2329" s="7" t="s">
        <v>5768</v>
      </c>
      <c r="Z2329" s="7" t="s">
        <v>4679</v>
      </c>
      <c r="AA2329" s="7"/>
      <c r="AB2329" s="7"/>
      <c r="AC2329" s="7" t="s">
        <v>4817</v>
      </c>
      <c r="AD2329" s="7" t="s">
        <v>5752</v>
      </c>
      <c r="AE2329" s="7" t="s">
        <v>5609</v>
      </c>
      <c r="AF2329" s="7" t="s">
        <v>113</v>
      </c>
      <c r="AG2329" s="7" t="s">
        <v>366</v>
      </c>
      <c r="AH2329" s="7" t="s">
        <v>4818</v>
      </c>
    </row>
    <row r="2330" spans="1:34" ht="9.75" customHeight="1" x14ac:dyDescent="0.2">
      <c r="A2330" s="7" t="s">
        <v>5597</v>
      </c>
      <c r="B2330" s="7" t="s">
        <v>4812</v>
      </c>
      <c r="C2330" s="7"/>
      <c r="D2330" s="7" t="s">
        <v>5769</v>
      </c>
      <c r="E2330" s="8">
        <v>2</v>
      </c>
      <c r="F2330" s="7" t="s">
        <v>4383</v>
      </c>
      <c r="G2330" s="7"/>
      <c r="H2330" s="9"/>
      <c r="I2330" s="10">
        <v>0</v>
      </c>
      <c r="J2330" s="10">
        <v>0</v>
      </c>
      <c r="K2330" s="9"/>
      <c r="L2330" s="10">
        <v>0</v>
      </c>
      <c r="M2330" s="9"/>
      <c r="N2330" s="9"/>
      <c r="O2330" s="9"/>
      <c r="P2330" s="10"/>
      <c r="Q2330" s="10"/>
      <c r="R2330" s="10"/>
      <c r="S2330" s="7" t="s">
        <v>54</v>
      </c>
      <c r="T2330" s="7" t="s">
        <v>5750</v>
      </c>
      <c r="U2330" s="7"/>
      <c r="V2330" s="7"/>
      <c r="W2330" s="7"/>
      <c r="X2330" s="7"/>
      <c r="Y2330" s="7" t="s">
        <v>5770</v>
      </c>
      <c r="Z2330" s="7" t="s">
        <v>4679</v>
      </c>
      <c r="AA2330" s="7"/>
      <c r="AB2330" s="7"/>
      <c r="AC2330" s="7" t="s">
        <v>4817</v>
      </c>
      <c r="AD2330" s="7" t="s">
        <v>5752</v>
      </c>
      <c r="AE2330" s="7" t="s">
        <v>5609</v>
      </c>
      <c r="AF2330" s="7" t="s">
        <v>113</v>
      </c>
      <c r="AG2330" s="7" t="s">
        <v>366</v>
      </c>
      <c r="AH2330" s="7" t="s">
        <v>4818</v>
      </c>
    </row>
    <row r="2331" spans="1:34" ht="9.75" customHeight="1" x14ac:dyDescent="0.2">
      <c r="A2331" s="7" t="s">
        <v>5597</v>
      </c>
      <c r="B2331" s="7" t="s">
        <v>4812</v>
      </c>
      <c r="C2331" s="7"/>
      <c r="D2331" s="7" t="s">
        <v>5771</v>
      </c>
      <c r="E2331" s="8">
        <v>2</v>
      </c>
      <c r="F2331" s="7" t="s">
        <v>4383</v>
      </c>
      <c r="G2331" s="7"/>
      <c r="H2331" s="9"/>
      <c r="I2331" s="10">
        <v>96215</v>
      </c>
      <c r="J2331" s="10">
        <v>128733</v>
      </c>
      <c r="K2331" s="9"/>
      <c r="L2331" s="10">
        <v>152179</v>
      </c>
      <c r="M2331" s="9"/>
      <c r="N2331" s="9"/>
      <c r="O2331" s="9"/>
      <c r="P2331" s="10"/>
      <c r="Q2331" s="10"/>
      <c r="R2331" s="10"/>
      <c r="S2331" s="7" t="s">
        <v>54</v>
      </c>
      <c r="T2331" s="7" t="s">
        <v>5750</v>
      </c>
      <c r="U2331" s="7"/>
      <c r="V2331" s="7"/>
      <c r="W2331" s="7"/>
      <c r="X2331" s="7"/>
      <c r="Y2331" s="7" t="s">
        <v>5772</v>
      </c>
      <c r="Z2331" s="7" t="s">
        <v>4679</v>
      </c>
      <c r="AA2331" s="7"/>
      <c r="AB2331" s="7"/>
      <c r="AC2331" s="7" t="s">
        <v>4817</v>
      </c>
      <c r="AD2331" s="7" t="s">
        <v>5752</v>
      </c>
      <c r="AE2331" s="7" t="s">
        <v>5609</v>
      </c>
      <c r="AF2331" s="7" t="s">
        <v>113</v>
      </c>
      <c r="AG2331" s="7" t="s">
        <v>366</v>
      </c>
      <c r="AH2331" s="7" t="s">
        <v>4818</v>
      </c>
    </row>
    <row r="2332" spans="1:34" ht="9.75" customHeight="1" x14ac:dyDescent="0.2">
      <c r="A2332" s="7" t="s">
        <v>5597</v>
      </c>
      <c r="B2332" s="7" t="s">
        <v>4812</v>
      </c>
      <c r="C2332" s="7"/>
      <c r="D2332" s="7" t="s">
        <v>5773</v>
      </c>
      <c r="E2332" s="8">
        <v>2</v>
      </c>
      <c r="F2332" s="7" t="s">
        <v>4383</v>
      </c>
      <c r="G2332" s="7"/>
      <c r="H2332" s="9"/>
      <c r="I2332" s="10">
        <v>902</v>
      </c>
      <c r="J2332" s="10">
        <v>1207</v>
      </c>
      <c r="K2332" s="9"/>
      <c r="L2332" s="10">
        <v>1427</v>
      </c>
      <c r="M2332" s="9"/>
      <c r="N2332" s="9"/>
      <c r="O2332" s="9"/>
      <c r="P2332" s="10"/>
      <c r="Q2332" s="10"/>
      <c r="R2332" s="10"/>
      <c r="S2332" s="7" t="s">
        <v>54</v>
      </c>
      <c r="T2332" s="7" t="s">
        <v>5750</v>
      </c>
      <c r="U2332" s="7"/>
      <c r="V2332" s="7"/>
      <c r="W2332" s="7"/>
      <c r="X2332" s="7"/>
      <c r="Y2332" s="7" t="s">
        <v>5774</v>
      </c>
      <c r="Z2332" s="7" t="s">
        <v>4679</v>
      </c>
      <c r="AA2332" s="7"/>
      <c r="AB2332" s="7"/>
      <c r="AC2332" s="7" t="s">
        <v>4817</v>
      </c>
      <c r="AD2332" s="7" t="s">
        <v>5752</v>
      </c>
      <c r="AE2332" s="7" t="s">
        <v>5609</v>
      </c>
      <c r="AF2332" s="7" t="s">
        <v>113</v>
      </c>
      <c r="AG2332" s="7" t="s">
        <v>366</v>
      </c>
      <c r="AH2332" s="7" t="s">
        <v>4818</v>
      </c>
    </row>
    <row r="2333" spans="1:34" ht="9.75" customHeight="1" x14ac:dyDescent="0.2">
      <c r="A2333" s="7" t="s">
        <v>5597</v>
      </c>
      <c r="B2333" s="7" t="s">
        <v>4812</v>
      </c>
      <c r="C2333" s="7"/>
      <c r="D2333" s="7" t="s">
        <v>5775</v>
      </c>
      <c r="E2333" s="8">
        <v>2</v>
      </c>
      <c r="F2333" s="7" t="s">
        <v>4383</v>
      </c>
      <c r="G2333" s="7"/>
      <c r="H2333" s="9"/>
      <c r="I2333" s="10">
        <v>735</v>
      </c>
      <c r="J2333" s="10">
        <v>983</v>
      </c>
      <c r="K2333" s="9"/>
      <c r="L2333" s="10">
        <v>1162</v>
      </c>
      <c r="M2333" s="9"/>
      <c r="N2333" s="9"/>
      <c r="O2333" s="9"/>
      <c r="P2333" s="10"/>
      <c r="Q2333" s="10"/>
      <c r="R2333" s="10"/>
      <c r="S2333" s="7" t="s">
        <v>54</v>
      </c>
      <c r="T2333" s="7" t="s">
        <v>5750</v>
      </c>
      <c r="U2333" s="7"/>
      <c r="V2333" s="7"/>
      <c r="W2333" s="7"/>
      <c r="X2333" s="7"/>
      <c r="Y2333" s="7" t="s">
        <v>5776</v>
      </c>
      <c r="Z2333" s="7" t="s">
        <v>4679</v>
      </c>
      <c r="AA2333" s="7"/>
      <c r="AB2333" s="7"/>
      <c r="AC2333" s="7" t="s">
        <v>4817</v>
      </c>
      <c r="AD2333" s="7" t="s">
        <v>5752</v>
      </c>
      <c r="AE2333" s="7" t="s">
        <v>5609</v>
      </c>
      <c r="AF2333" s="7" t="s">
        <v>113</v>
      </c>
      <c r="AG2333" s="7" t="s">
        <v>366</v>
      </c>
      <c r="AH2333" s="7" t="s">
        <v>4818</v>
      </c>
    </row>
    <row r="2334" spans="1:34" ht="9.75" customHeight="1" x14ac:dyDescent="0.2">
      <c r="A2334" s="7" t="s">
        <v>5597</v>
      </c>
      <c r="B2334" s="7" t="s">
        <v>4812</v>
      </c>
      <c r="C2334" s="7"/>
      <c r="D2334" s="7" t="s">
        <v>5777</v>
      </c>
      <c r="E2334" s="8">
        <v>2</v>
      </c>
      <c r="F2334" s="7" t="s">
        <v>4383</v>
      </c>
      <c r="G2334" s="7"/>
      <c r="H2334" s="9"/>
      <c r="I2334" s="10">
        <v>735</v>
      </c>
      <c r="J2334" s="10">
        <v>983</v>
      </c>
      <c r="K2334" s="9"/>
      <c r="L2334" s="10">
        <v>1162</v>
      </c>
      <c r="M2334" s="9"/>
      <c r="N2334" s="9"/>
      <c r="O2334" s="9"/>
      <c r="P2334" s="10"/>
      <c r="Q2334" s="10"/>
      <c r="R2334" s="10"/>
      <c r="S2334" s="7" t="s">
        <v>54</v>
      </c>
      <c r="T2334" s="7" t="s">
        <v>5750</v>
      </c>
      <c r="U2334" s="7"/>
      <c r="V2334" s="7"/>
      <c r="W2334" s="7"/>
      <c r="X2334" s="7"/>
      <c r="Y2334" s="7" t="s">
        <v>5778</v>
      </c>
      <c r="Z2334" s="7" t="s">
        <v>4679</v>
      </c>
      <c r="AA2334" s="7"/>
      <c r="AB2334" s="7"/>
      <c r="AC2334" s="7" t="s">
        <v>4817</v>
      </c>
      <c r="AD2334" s="7" t="s">
        <v>5752</v>
      </c>
      <c r="AE2334" s="7" t="s">
        <v>5609</v>
      </c>
      <c r="AF2334" s="7" t="s">
        <v>113</v>
      </c>
      <c r="AG2334" s="7" t="s">
        <v>366</v>
      </c>
      <c r="AH2334" s="7" t="s">
        <v>4818</v>
      </c>
    </row>
    <row r="2335" spans="1:34" ht="9.75" customHeight="1" x14ac:dyDescent="0.2">
      <c r="A2335" s="7" t="s">
        <v>5597</v>
      </c>
      <c r="B2335" s="7" t="s">
        <v>4812</v>
      </c>
      <c r="C2335" s="7"/>
      <c r="D2335" s="7" t="s">
        <v>5779</v>
      </c>
      <c r="E2335" s="8">
        <v>2</v>
      </c>
      <c r="F2335" s="7" t="s">
        <v>4383</v>
      </c>
      <c r="G2335" s="7"/>
      <c r="H2335" s="9"/>
      <c r="I2335" s="10">
        <v>0</v>
      </c>
      <c r="J2335" s="10">
        <v>0</v>
      </c>
      <c r="K2335" s="9"/>
      <c r="L2335" s="10">
        <v>0</v>
      </c>
      <c r="M2335" s="9"/>
      <c r="N2335" s="9"/>
      <c r="O2335" s="9"/>
      <c r="P2335" s="10"/>
      <c r="Q2335" s="10"/>
      <c r="R2335" s="10"/>
      <c r="S2335" s="7" t="s">
        <v>54</v>
      </c>
      <c r="T2335" s="7" t="s">
        <v>5750</v>
      </c>
      <c r="U2335" s="7"/>
      <c r="V2335" s="7"/>
      <c r="W2335" s="7"/>
      <c r="X2335" s="7"/>
      <c r="Y2335" s="7" t="s">
        <v>5780</v>
      </c>
      <c r="Z2335" s="7" t="s">
        <v>4679</v>
      </c>
      <c r="AA2335" s="7"/>
      <c r="AB2335" s="7"/>
      <c r="AC2335" s="7" t="s">
        <v>4817</v>
      </c>
      <c r="AD2335" s="7" t="s">
        <v>5752</v>
      </c>
      <c r="AE2335" s="7" t="s">
        <v>5609</v>
      </c>
      <c r="AF2335" s="7" t="s">
        <v>113</v>
      </c>
      <c r="AG2335" s="7" t="s">
        <v>366</v>
      </c>
      <c r="AH2335" s="7" t="s">
        <v>4818</v>
      </c>
    </row>
    <row r="2336" spans="1:34" ht="9.75" customHeight="1" x14ac:dyDescent="0.2">
      <c r="A2336" s="7" t="s">
        <v>5597</v>
      </c>
      <c r="B2336" s="7" t="s">
        <v>4812</v>
      </c>
      <c r="C2336" s="7"/>
      <c r="D2336" s="7" t="s">
        <v>5781</v>
      </c>
      <c r="E2336" s="8">
        <v>2</v>
      </c>
      <c r="F2336" s="7" t="s">
        <v>4383</v>
      </c>
      <c r="G2336" s="7"/>
      <c r="H2336" s="9"/>
      <c r="I2336" s="10">
        <v>0</v>
      </c>
      <c r="J2336" s="10">
        <v>0</v>
      </c>
      <c r="K2336" s="9"/>
      <c r="L2336" s="10">
        <v>0</v>
      </c>
      <c r="M2336" s="9"/>
      <c r="N2336" s="9"/>
      <c r="O2336" s="9"/>
      <c r="P2336" s="10"/>
      <c r="Q2336" s="10"/>
      <c r="R2336" s="10"/>
      <c r="S2336" s="7" t="s">
        <v>54</v>
      </c>
      <c r="T2336" s="7" t="s">
        <v>5750</v>
      </c>
      <c r="U2336" s="7"/>
      <c r="V2336" s="7"/>
      <c r="W2336" s="7"/>
      <c r="X2336" s="7"/>
      <c r="Y2336" s="7" t="s">
        <v>5782</v>
      </c>
      <c r="Z2336" s="7" t="s">
        <v>4679</v>
      </c>
      <c r="AA2336" s="7"/>
      <c r="AB2336" s="7"/>
      <c r="AC2336" s="7" t="s">
        <v>4817</v>
      </c>
      <c r="AD2336" s="7" t="s">
        <v>5752</v>
      </c>
      <c r="AE2336" s="7" t="s">
        <v>5609</v>
      </c>
      <c r="AF2336" s="7" t="s">
        <v>113</v>
      </c>
      <c r="AG2336" s="7" t="s">
        <v>366</v>
      </c>
      <c r="AH2336" s="7" t="s">
        <v>4818</v>
      </c>
    </row>
    <row r="2337" spans="1:34" ht="9.75" customHeight="1" x14ac:dyDescent="0.2">
      <c r="A2337" s="7" t="s">
        <v>5597</v>
      </c>
      <c r="B2337" s="7" t="s">
        <v>4812</v>
      </c>
      <c r="C2337" s="7"/>
      <c r="D2337" s="7" t="s">
        <v>5783</v>
      </c>
      <c r="E2337" s="8">
        <v>2</v>
      </c>
      <c r="F2337" s="7" t="s">
        <v>4383</v>
      </c>
      <c r="G2337" s="7"/>
      <c r="H2337" s="9"/>
      <c r="I2337" s="10">
        <v>2902331</v>
      </c>
      <c r="J2337" s="10">
        <v>3198161</v>
      </c>
      <c r="K2337" s="9"/>
      <c r="L2337" s="10">
        <v>3473772</v>
      </c>
      <c r="M2337" s="9"/>
      <c r="N2337" s="9"/>
      <c r="O2337" s="9"/>
      <c r="P2337" s="10"/>
      <c r="Q2337" s="10"/>
      <c r="R2337" s="10"/>
      <c r="S2337" s="7" t="s">
        <v>43</v>
      </c>
      <c r="T2337" s="7"/>
      <c r="U2337" s="7"/>
      <c r="V2337" s="7"/>
      <c r="W2337" s="7"/>
      <c r="X2337" s="7"/>
      <c r="Y2337" s="7" t="s">
        <v>5784</v>
      </c>
      <c r="Z2337" s="7" t="s">
        <v>4679</v>
      </c>
      <c r="AA2337" s="7"/>
      <c r="AB2337" s="7"/>
      <c r="AC2337" s="7" t="s">
        <v>4817</v>
      </c>
      <c r="AD2337" s="7" t="s">
        <v>5752</v>
      </c>
      <c r="AE2337" s="7" t="s">
        <v>5609</v>
      </c>
      <c r="AF2337" s="7" t="s">
        <v>113</v>
      </c>
      <c r="AG2337" s="7" t="s">
        <v>366</v>
      </c>
      <c r="AH2337" s="7" t="s">
        <v>4818</v>
      </c>
    </row>
    <row r="2338" spans="1:34" ht="9.75" customHeight="1" x14ac:dyDescent="0.2">
      <c r="A2338" s="7" t="s">
        <v>5597</v>
      </c>
      <c r="B2338" s="7" t="s">
        <v>4812</v>
      </c>
      <c r="C2338" s="7"/>
      <c r="D2338" s="7" t="s">
        <v>5785</v>
      </c>
      <c r="E2338" s="8">
        <v>2</v>
      </c>
      <c r="F2338" s="7" t="s">
        <v>4383</v>
      </c>
      <c r="G2338" s="7"/>
      <c r="H2338" s="9"/>
      <c r="I2338" s="10">
        <v>1180094</v>
      </c>
      <c r="J2338" s="10">
        <v>1520625</v>
      </c>
      <c r="K2338" s="9"/>
      <c r="L2338" s="10">
        <v>1434873</v>
      </c>
      <c r="M2338" s="9"/>
      <c r="N2338" s="9"/>
      <c r="O2338" s="9"/>
      <c r="P2338" s="10"/>
      <c r="Q2338" s="10"/>
      <c r="R2338" s="10"/>
      <c r="S2338" s="7" t="s">
        <v>407</v>
      </c>
      <c r="T2338" s="7" t="s">
        <v>5750</v>
      </c>
      <c r="U2338" s="7"/>
      <c r="V2338" s="7"/>
      <c r="W2338" s="7"/>
      <c r="X2338" s="7"/>
      <c r="Y2338" s="7" t="s">
        <v>5786</v>
      </c>
      <c r="Z2338" s="7" t="s">
        <v>894</v>
      </c>
      <c r="AA2338" s="7"/>
      <c r="AB2338" s="7"/>
      <c r="AC2338" s="7" t="s">
        <v>4817</v>
      </c>
      <c r="AD2338" s="7" t="s">
        <v>5752</v>
      </c>
      <c r="AE2338" s="7" t="s">
        <v>5645</v>
      </c>
      <c r="AF2338" s="7" t="s">
        <v>113</v>
      </c>
      <c r="AG2338" s="7" t="s">
        <v>366</v>
      </c>
      <c r="AH2338" s="7" t="s">
        <v>4818</v>
      </c>
    </row>
    <row r="2339" spans="1:34" ht="9.75" customHeight="1" x14ac:dyDescent="0.2">
      <c r="A2339" s="7" t="s">
        <v>5597</v>
      </c>
      <c r="B2339" s="7" t="s">
        <v>4812</v>
      </c>
      <c r="C2339" s="7"/>
      <c r="D2339" s="7" t="s">
        <v>5787</v>
      </c>
      <c r="E2339" s="8">
        <v>2</v>
      </c>
      <c r="F2339" s="7" t="s">
        <v>4383</v>
      </c>
      <c r="G2339" s="7"/>
      <c r="H2339" s="9"/>
      <c r="I2339" s="10">
        <v>43981</v>
      </c>
      <c r="J2339" s="10">
        <v>45425</v>
      </c>
      <c r="K2339" s="9"/>
      <c r="L2339" s="10">
        <v>47013</v>
      </c>
      <c r="M2339" s="9"/>
      <c r="N2339" s="9"/>
      <c r="O2339" s="9"/>
      <c r="P2339" s="10"/>
      <c r="Q2339" s="10"/>
      <c r="R2339" s="10"/>
      <c r="S2339" s="7" t="s">
        <v>407</v>
      </c>
      <c r="T2339" s="7" t="s">
        <v>5750</v>
      </c>
      <c r="U2339" s="7"/>
      <c r="V2339" s="7"/>
      <c r="W2339" s="7"/>
      <c r="X2339" s="7"/>
      <c r="Y2339" s="7" t="s">
        <v>5788</v>
      </c>
      <c r="Z2339" s="7" t="s">
        <v>894</v>
      </c>
      <c r="AA2339" s="7"/>
      <c r="AB2339" s="7"/>
      <c r="AC2339" s="7" t="s">
        <v>4817</v>
      </c>
      <c r="AD2339" s="7" t="s">
        <v>5752</v>
      </c>
      <c r="AE2339" s="7" t="s">
        <v>5645</v>
      </c>
      <c r="AF2339" s="7" t="s">
        <v>113</v>
      </c>
      <c r="AG2339" s="7" t="s">
        <v>366</v>
      </c>
      <c r="AH2339" s="7" t="s">
        <v>4818</v>
      </c>
    </row>
    <row r="2340" spans="1:34" ht="9.75" customHeight="1" x14ac:dyDescent="0.2">
      <c r="A2340" s="7" t="s">
        <v>5597</v>
      </c>
      <c r="B2340" s="7" t="s">
        <v>4812</v>
      </c>
      <c r="C2340" s="7"/>
      <c r="D2340" s="7" t="s">
        <v>5789</v>
      </c>
      <c r="E2340" s="8">
        <v>2</v>
      </c>
      <c r="F2340" s="7" t="s">
        <v>4383</v>
      </c>
      <c r="G2340" s="7"/>
      <c r="H2340" s="9"/>
      <c r="I2340" s="10">
        <v>292621</v>
      </c>
      <c r="J2340" s="10">
        <v>356343</v>
      </c>
      <c r="K2340" s="9"/>
      <c r="L2340" s="10">
        <v>566849</v>
      </c>
      <c r="M2340" s="9"/>
      <c r="N2340" s="9"/>
      <c r="O2340" s="9"/>
      <c r="P2340" s="10"/>
      <c r="Q2340" s="10"/>
      <c r="R2340" s="10"/>
      <c r="S2340" s="7" t="s">
        <v>407</v>
      </c>
      <c r="T2340" s="7" t="s">
        <v>5750</v>
      </c>
      <c r="U2340" s="7"/>
      <c r="V2340" s="7"/>
      <c r="W2340" s="7"/>
      <c r="X2340" s="7"/>
      <c r="Y2340" s="7" t="s">
        <v>5790</v>
      </c>
      <c r="Z2340" s="7" t="s">
        <v>894</v>
      </c>
      <c r="AA2340" s="7"/>
      <c r="AB2340" s="7"/>
      <c r="AC2340" s="7" t="s">
        <v>4817</v>
      </c>
      <c r="AD2340" s="7" t="s">
        <v>5752</v>
      </c>
      <c r="AE2340" s="7" t="s">
        <v>5645</v>
      </c>
      <c r="AF2340" s="7" t="s">
        <v>113</v>
      </c>
      <c r="AG2340" s="7" t="s">
        <v>366</v>
      </c>
      <c r="AH2340" s="7" t="s">
        <v>4818</v>
      </c>
    </row>
    <row r="2341" spans="1:34" ht="9.75" customHeight="1" x14ac:dyDescent="0.2">
      <c r="A2341" s="7" t="s">
        <v>5597</v>
      </c>
      <c r="B2341" s="7" t="s">
        <v>4812</v>
      </c>
      <c r="C2341" s="7"/>
      <c r="D2341" s="7" t="s">
        <v>5791</v>
      </c>
      <c r="E2341" s="8">
        <v>2</v>
      </c>
      <c r="F2341" s="7" t="s">
        <v>4383</v>
      </c>
      <c r="G2341" s="7"/>
      <c r="H2341" s="9"/>
      <c r="I2341" s="10">
        <v>106880</v>
      </c>
      <c r="J2341" s="10">
        <v>128313</v>
      </c>
      <c r="K2341" s="9"/>
      <c r="L2341" s="10">
        <v>199884</v>
      </c>
      <c r="M2341" s="9"/>
      <c r="N2341" s="9"/>
      <c r="O2341" s="9"/>
      <c r="P2341" s="10"/>
      <c r="Q2341" s="10"/>
      <c r="R2341" s="10"/>
      <c r="S2341" s="7" t="s">
        <v>407</v>
      </c>
      <c r="T2341" s="7" t="s">
        <v>5750</v>
      </c>
      <c r="U2341" s="7"/>
      <c r="V2341" s="7"/>
      <c r="W2341" s="7"/>
      <c r="X2341" s="7"/>
      <c r="Y2341" s="7" t="s">
        <v>5792</v>
      </c>
      <c r="Z2341" s="7" t="s">
        <v>894</v>
      </c>
      <c r="AA2341" s="7"/>
      <c r="AB2341" s="7"/>
      <c r="AC2341" s="7" t="s">
        <v>4817</v>
      </c>
      <c r="AD2341" s="7" t="s">
        <v>5752</v>
      </c>
      <c r="AE2341" s="7" t="s">
        <v>5645</v>
      </c>
      <c r="AF2341" s="7" t="s">
        <v>113</v>
      </c>
      <c r="AG2341" s="7" t="s">
        <v>366</v>
      </c>
      <c r="AH2341" s="7" t="s">
        <v>4818</v>
      </c>
    </row>
    <row r="2342" spans="1:34" ht="9.75" customHeight="1" x14ac:dyDescent="0.2">
      <c r="A2342" s="7" t="s">
        <v>5597</v>
      </c>
      <c r="B2342" s="7" t="s">
        <v>4812</v>
      </c>
      <c r="C2342" s="7"/>
      <c r="D2342" s="7" t="s">
        <v>5793</v>
      </c>
      <c r="E2342" s="8">
        <v>2</v>
      </c>
      <c r="F2342" s="7" t="s">
        <v>4383</v>
      </c>
      <c r="G2342" s="7"/>
      <c r="H2342" s="9"/>
      <c r="I2342" s="10">
        <v>98526</v>
      </c>
      <c r="J2342" s="10">
        <v>113492</v>
      </c>
      <c r="K2342" s="9"/>
      <c r="L2342" s="10">
        <v>165608</v>
      </c>
      <c r="M2342" s="9"/>
      <c r="N2342" s="9"/>
      <c r="O2342" s="9"/>
      <c r="P2342" s="10"/>
      <c r="Q2342" s="10"/>
      <c r="R2342" s="10"/>
      <c r="S2342" s="7" t="s">
        <v>407</v>
      </c>
      <c r="T2342" s="7" t="s">
        <v>5750</v>
      </c>
      <c r="U2342" s="7"/>
      <c r="V2342" s="7"/>
      <c r="W2342" s="7"/>
      <c r="X2342" s="7"/>
      <c r="Y2342" s="7" t="s">
        <v>5794</v>
      </c>
      <c r="Z2342" s="7" t="s">
        <v>894</v>
      </c>
      <c r="AA2342" s="7"/>
      <c r="AB2342" s="7"/>
      <c r="AC2342" s="7" t="s">
        <v>4817</v>
      </c>
      <c r="AD2342" s="7" t="s">
        <v>5752</v>
      </c>
      <c r="AE2342" s="7" t="s">
        <v>5645</v>
      </c>
      <c r="AF2342" s="7" t="s">
        <v>113</v>
      </c>
      <c r="AG2342" s="7" t="s">
        <v>366</v>
      </c>
      <c r="AH2342" s="7" t="s">
        <v>4818</v>
      </c>
    </row>
    <row r="2343" spans="1:34" ht="9.75" customHeight="1" x14ac:dyDescent="0.2">
      <c r="A2343" s="7" t="s">
        <v>5597</v>
      </c>
      <c r="B2343" s="7" t="s">
        <v>4812</v>
      </c>
      <c r="C2343" s="7"/>
      <c r="D2343" s="7" t="s">
        <v>5795</v>
      </c>
      <c r="E2343" s="8">
        <v>2</v>
      </c>
      <c r="F2343" s="7" t="s">
        <v>4383</v>
      </c>
      <c r="G2343" s="7"/>
      <c r="H2343" s="9"/>
      <c r="I2343" s="10">
        <v>894251</v>
      </c>
      <c r="J2343" s="10">
        <v>776191</v>
      </c>
      <c r="K2343" s="9"/>
      <c r="L2343" s="10">
        <v>747414</v>
      </c>
      <c r="M2343" s="9"/>
      <c r="N2343" s="9"/>
      <c r="O2343" s="9"/>
      <c r="P2343" s="10"/>
      <c r="Q2343" s="10"/>
      <c r="R2343" s="10"/>
      <c r="S2343" s="7" t="s">
        <v>407</v>
      </c>
      <c r="T2343" s="7" t="s">
        <v>5750</v>
      </c>
      <c r="U2343" s="7"/>
      <c r="V2343" s="7"/>
      <c r="W2343" s="7"/>
      <c r="X2343" s="7"/>
      <c r="Y2343" s="7" t="s">
        <v>5796</v>
      </c>
      <c r="Z2343" s="7" t="s">
        <v>894</v>
      </c>
      <c r="AA2343" s="7"/>
      <c r="AB2343" s="7"/>
      <c r="AC2343" s="7" t="s">
        <v>4817</v>
      </c>
      <c r="AD2343" s="7" t="s">
        <v>5752</v>
      </c>
      <c r="AE2343" s="7" t="s">
        <v>5645</v>
      </c>
      <c r="AF2343" s="7" t="s">
        <v>113</v>
      </c>
      <c r="AG2343" s="7" t="s">
        <v>366</v>
      </c>
      <c r="AH2343" s="7" t="s">
        <v>4818</v>
      </c>
    </row>
    <row r="2344" spans="1:34" ht="9.75" customHeight="1" x14ac:dyDescent="0.2">
      <c r="A2344" s="7" t="s">
        <v>5597</v>
      </c>
      <c r="B2344" s="7" t="s">
        <v>4812</v>
      </c>
      <c r="C2344" s="7"/>
      <c r="D2344" s="7" t="s">
        <v>5797</v>
      </c>
      <c r="E2344" s="8">
        <v>2</v>
      </c>
      <c r="F2344" s="7" t="s">
        <v>4383</v>
      </c>
      <c r="G2344" s="7"/>
      <c r="H2344" s="9"/>
      <c r="I2344" s="10">
        <v>24206</v>
      </c>
      <c r="J2344" s="10">
        <v>25001</v>
      </c>
      <c r="K2344" s="9"/>
      <c r="L2344" s="10">
        <v>25876</v>
      </c>
      <c r="M2344" s="9"/>
      <c r="N2344" s="9"/>
      <c r="O2344" s="9"/>
      <c r="P2344" s="10"/>
      <c r="Q2344" s="10"/>
      <c r="R2344" s="10"/>
      <c r="S2344" s="7" t="s">
        <v>407</v>
      </c>
      <c r="T2344" s="7" t="s">
        <v>5750</v>
      </c>
      <c r="U2344" s="7"/>
      <c r="V2344" s="7"/>
      <c r="W2344" s="7"/>
      <c r="X2344" s="7"/>
      <c r="Y2344" s="7" t="s">
        <v>5798</v>
      </c>
      <c r="Z2344" s="7" t="s">
        <v>894</v>
      </c>
      <c r="AA2344" s="7"/>
      <c r="AB2344" s="7"/>
      <c r="AC2344" s="7" t="s">
        <v>4817</v>
      </c>
      <c r="AD2344" s="7" t="s">
        <v>5752</v>
      </c>
      <c r="AE2344" s="7" t="s">
        <v>5645</v>
      </c>
      <c r="AF2344" s="7" t="s">
        <v>113</v>
      </c>
      <c r="AG2344" s="7" t="s">
        <v>366</v>
      </c>
      <c r="AH2344" s="7" t="s">
        <v>4818</v>
      </c>
    </row>
    <row r="2345" spans="1:34" ht="9.75" customHeight="1" x14ac:dyDescent="0.2">
      <c r="A2345" s="7" t="s">
        <v>5597</v>
      </c>
      <c r="B2345" s="7" t="s">
        <v>4812</v>
      </c>
      <c r="C2345" s="7"/>
      <c r="D2345" s="7" t="s">
        <v>5799</v>
      </c>
      <c r="E2345" s="8">
        <v>2</v>
      </c>
      <c r="F2345" s="7" t="s">
        <v>4383</v>
      </c>
      <c r="G2345" s="7"/>
      <c r="H2345" s="9"/>
      <c r="I2345" s="10">
        <v>252118</v>
      </c>
      <c r="J2345" s="10">
        <v>222914</v>
      </c>
      <c r="K2345" s="9"/>
      <c r="L2345" s="10">
        <v>276190</v>
      </c>
      <c r="M2345" s="9"/>
      <c r="N2345" s="9"/>
      <c r="O2345" s="9"/>
      <c r="P2345" s="10"/>
      <c r="Q2345" s="10"/>
      <c r="R2345" s="10"/>
      <c r="S2345" s="7" t="s">
        <v>407</v>
      </c>
      <c r="T2345" s="7" t="s">
        <v>5750</v>
      </c>
      <c r="U2345" s="7"/>
      <c r="V2345" s="7"/>
      <c r="W2345" s="7"/>
      <c r="X2345" s="7"/>
      <c r="Y2345" s="7" t="s">
        <v>5800</v>
      </c>
      <c r="Z2345" s="7" t="s">
        <v>894</v>
      </c>
      <c r="AA2345" s="7"/>
      <c r="AB2345" s="7"/>
      <c r="AC2345" s="7" t="s">
        <v>4817</v>
      </c>
      <c r="AD2345" s="7" t="s">
        <v>5752</v>
      </c>
      <c r="AE2345" s="7" t="s">
        <v>5645</v>
      </c>
      <c r="AF2345" s="7" t="s">
        <v>113</v>
      </c>
      <c r="AG2345" s="7" t="s">
        <v>366</v>
      </c>
      <c r="AH2345" s="7" t="s">
        <v>4818</v>
      </c>
    </row>
    <row r="2346" spans="1:34" ht="9.75" customHeight="1" x14ac:dyDescent="0.2">
      <c r="A2346" s="7" t="s">
        <v>5597</v>
      </c>
      <c r="B2346" s="7" t="s">
        <v>4812</v>
      </c>
      <c r="C2346" s="7"/>
      <c r="D2346" s="7" t="s">
        <v>5801</v>
      </c>
      <c r="E2346" s="8">
        <v>2</v>
      </c>
      <c r="F2346" s="7" t="s">
        <v>4383</v>
      </c>
      <c r="G2346" s="7"/>
      <c r="H2346" s="9"/>
      <c r="I2346" s="10">
        <v>9655</v>
      </c>
      <c r="J2346" s="10">
        <v>9858</v>
      </c>
      <c r="K2346" s="9"/>
      <c r="L2346" s="10">
        <v>10065</v>
      </c>
      <c r="M2346" s="9"/>
      <c r="N2346" s="9"/>
      <c r="O2346" s="9"/>
      <c r="P2346" s="10"/>
      <c r="Q2346" s="10"/>
      <c r="R2346" s="10"/>
      <c r="S2346" s="7" t="s">
        <v>407</v>
      </c>
      <c r="T2346" s="7" t="s">
        <v>5750</v>
      </c>
      <c r="U2346" s="7"/>
      <c r="V2346" s="7"/>
      <c r="W2346" s="7"/>
      <c r="X2346" s="7"/>
      <c r="Y2346" s="7" t="s">
        <v>5802</v>
      </c>
      <c r="Z2346" s="7" t="s">
        <v>894</v>
      </c>
      <c r="AA2346" s="7"/>
      <c r="AB2346" s="7"/>
      <c r="AC2346" s="7" t="s">
        <v>4817</v>
      </c>
      <c r="AD2346" s="7" t="s">
        <v>5752</v>
      </c>
      <c r="AE2346" s="7" t="s">
        <v>5645</v>
      </c>
      <c r="AF2346" s="7" t="s">
        <v>113</v>
      </c>
      <c r="AG2346" s="7" t="s">
        <v>366</v>
      </c>
      <c r="AH2346" s="7" t="s">
        <v>4818</v>
      </c>
    </row>
    <row r="2347" spans="1:34" ht="9.75" customHeight="1" x14ac:dyDescent="0.2">
      <c r="A2347" s="7" t="s">
        <v>5597</v>
      </c>
      <c r="B2347" s="7" t="s">
        <v>4812</v>
      </c>
      <c r="C2347" s="7"/>
      <c r="D2347" s="7" t="s">
        <v>5803</v>
      </c>
      <c r="E2347" s="8">
        <v>2</v>
      </c>
      <c r="F2347" s="7" t="s">
        <v>4383</v>
      </c>
      <c r="G2347" s="7"/>
      <c r="H2347" s="9"/>
      <c r="I2347" s="10">
        <v>2902331</v>
      </c>
      <c r="J2347" s="10">
        <v>3198161</v>
      </c>
      <c r="K2347" s="9"/>
      <c r="L2347" s="10">
        <v>3473772</v>
      </c>
      <c r="M2347" s="9"/>
      <c r="N2347" s="9"/>
      <c r="O2347" s="9"/>
      <c r="P2347" s="10"/>
      <c r="Q2347" s="10"/>
      <c r="R2347" s="10"/>
      <c r="S2347" s="7" t="s">
        <v>407</v>
      </c>
      <c r="T2347" s="7" t="s">
        <v>5750</v>
      </c>
      <c r="U2347" s="7"/>
      <c r="V2347" s="7"/>
      <c r="W2347" s="7"/>
      <c r="X2347" s="7"/>
      <c r="Y2347" s="7" t="s">
        <v>5804</v>
      </c>
      <c r="Z2347" s="7" t="s">
        <v>894</v>
      </c>
      <c r="AA2347" s="7"/>
      <c r="AB2347" s="7"/>
      <c r="AC2347" s="7" t="s">
        <v>4817</v>
      </c>
      <c r="AD2347" s="7" t="s">
        <v>5752</v>
      </c>
      <c r="AE2347" s="7" t="s">
        <v>5645</v>
      </c>
      <c r="AF2347" s="7" t="s">
        <v>113</v>
      </c>
      <c r="AG2347" s="7" t="s">
        <v>366</v>
      </c>
      <c r="AH2347" s="7" t="s">
        <v>4818</v>
      </c>
    </row>
    <row r="2348" spans="1:34" ht="9.75" customHeight="1" x14ac:dyDescent="0.2">
      <c r="A2348" s="7" t="s">
        <v>5597</v>
      </c>
      <c r="B2348" s="7" t="s">
        <v>4812</v>
      </c>
      <c r="C2348" s="7"/>
      <c r="D2348" s="7" t="s">
        <v>5805</v>
      </c>
      <c r="E2348" s="8">
        <v>7</v>
      </c>
      <c r="F2348" s="7" t="s">
        <v>5665</v>
      </c>
      <c r="G2348" s="7"/>
      <c r="H2348" s="9"/>
      <c r="I2348" s="10">
        <v>5444</v>
      </c>
      <c r="J2348" s="10">
        <v>5558</v>
      </c>
      <c r="K2348" s="9"/>
      <c r="L2348" s="10">
        <v>5675</v>
      </c>
      <c r="M2348" s="9"/>
      <c r="N2348" s="9"/>
      <c r="O2348" s="9"/>
      <c r="P2348" s="10"/>
      <c r="Q2348" s="10"/>
      <c r="R2348" s="10"/>
      <c r="S2348" s="7" t="s">
        <v>54</v>
      </c>
      <c r="T2348" s="7" t="s">
        <v>5806</v>
      </c>
      <c r="U2348" s="7"/>
      <c r="V2348" s="7"/>
      <c r="W2348" s="7"/>
      <c r="X2348" s="7"/>
      <c r="Y2348" s="7" t="s">
        <v>5807</v>
      </c>
      <c r="Z2348" s="7" t="s">
        <v>912</v>
      </c>
      <c r="AA2348" s="7"/>
      <c r="AB2348" s="7"/>
      <c r="AC2348" s="7" t="s">
        <v>4817</v>
      </c>
      <c r="AD2348" s="7" t="s">
        <v>5752</v>
      </c>
      <c r="AE2348" s="7" t="s">
        <v>5669</v>
      </c>
      <c r="AF2348" s="7" t="s">
        <v>113</v>
      </c>
      <c r="AG2348" s="7" t="s">
        <v>366</v>
      </c>
      <c r="AH2348" s="7" t="s">
        <v>4818</v>
      </c>
    </row>
    <row r="2349" spans="1:34" ht="9.75" customHeight="1" x14ac:dyDescent="0.2">
      <c r="A2349" s="7" t="s">
        <v>5597</v>
      </c>
      <c r="B2349" s="7" t="s">
        <v>4812</v>
      </c>
      <c r="C2349" s="7"/>
      <c r="D2349" s="7" t="s">
        <v>5808</v>
      </c>
      <c r="E2349" s="8">
        <v>7</v>
      </c>
      <c r="F2349" s="7" t="s">
        <v>5665</v>
      </c>
      <c r="G2349" s="7"/>
      <c r="H2349" s="9"/>
      <c r="I2349" s="10">
        <v>67630</v>
      </c>
      <c r="J2349" s="10">
        <v>9252</v>
      </c>
      <c r="K2349" s="9"/>
      <c r="L2349" s="10">
        <v>0</v>
      </c>
      <c r="M2349" s="9"/>
      <c r="N2349" s="9"/>
      <c r="O2349" s="9"/>
      <c r="P2349" s="10"/>
      <c r="Q2349" s="10"/>
      <c r="R2349" s="10"/>
      <c r="S2349" s="7" t="s">
        <v>54</v>
      </c>
      <c r="T2349" s="7" t="s">
        <v>5806</v>
      </c>
      <c r="U2349" s="7"/>
      <c r="V2349" s="7"/>
      <c r="W2349" s="7"/>
      <c r="X2349" s="7"/>
      <c r="Y2349" s="7" t="s">
        <v>5809</v>
      </c>
      <c r="Z2349" s="7" t="s">
        <v>912</v>
      </c>
      <c r="AA2349" s="7"/>
      <c r="AB2349" s="7"/>
      <c r="AC2349" s="7" t="s">
        <v>4817</v>
      </c>
      <c r="AD2349" s="7" t="s">
        <v>5752</v>
      </c>
      <c r="AE2349" s="7" t="s">
        <v>5669</v>
      </c>
      <c r="AF2349" s="7" t="s">
        <v>113</v>
      </c>
      <c r="AG2349" s="7" t="s">
        <v>366</v>
      </c>
      <c r="AH2349" s="7" t="s">
        <v>4818</v>
      </c>
    </row>
    <row r="2350" spans="1:34" ht="9.75" customHeight="1" x14ac:dyDescent="0.2">
      <c r="A2350" s="7" t="s">
        <v>5597</v>
      </c>
      <c r="B2350" s="7" t="s">
        <v>4812</v>
      </c>
      <c r="C2350" s="7"/>
      <c r="D2350" s="7" t="s">
        <v>5810</v>
      </c>
      <c r="E2350" s="8">
        <v>7</v>
      </c>
      <c r="F2350" s="7" t="s">
        <v>5665</v>
      </c>
      <c r="G2350" s="7"/>
      <c r="H2350" s="9"/>
      <c r="I2350" s="10">
        <v>100356</v>
      </c>
      <c r="J2350" s="10">
        <v>149268</v>
      </c>
      <c r="K2350" s="9"/>
      <c r="L2350" s="10">
        <v>981248</v>
      </c>
      <c r="M2350" s="9"/>
      <c r="N2350" s="9"/>
      <c r="O2350" s="9"/>
      <c r="P2350" s="10"/>
      <c r="Q2350" s="10"/>
      <c r="R2350" s="10"/>
      <c r="S2350" s="7" t="s">
        <v>54</v>
      </c>
      <c r="T2350" s="7" t="s">
        <v>5806</v>
      </c>
      <c r="U2350" s="7"/>
      <c r="V2350" s="7"/>
      <c r="W2350" s="7"/>
      <c r="X2350" s="7"/>
      <c r="Y2350" s="7" t="s">
        <v>5811</v>
      </c>
      <c r="Z2350" s="7" t="s">
        <v>912</v>
      </c>
      <c r="AA2350" s="7"/>
      <c r="AB2350" s="7"/>
      <c r="AC2350" s="7" t="s">
        <v>4817</v>
      </c>
      <c r="AD2350" s="7" t="s">
        <v>5752</v>
      </c>
      <c r="AE2350" s="7" t="s">
        <v>5669</v>
      </c>
      <c r="AF2350" s="7" t="s">
        <v>113</v>
      </c>
      <c r="AG2350" s="7" t="s">
        <v>366</v>
      </c>
      <c r="AH2350" s="7" t="s">
        <v>4818</v>
      </c>
    </row>
    <row r="2351" spans="1:34" ht="9.75" customHeight="1" x14ac:dyDescent="0.2">
      <c r="A2351" s="7" t="s">
        <v>5597</v>
      </c>
      <c r="B2351" s="7" t="s">
        <v>4812</v>
      </c>
      <c r="C2351" s="7"/>
      <c r="D2351" s="7" t="s">
        <v>5812</v>
      </c>
      <c r="E2351" s="8">
        <v>7</v>
      </c>
      <c r="F2351" s="7" t="s">
        <v>5665</v>
      </c>
      <c r="G2351" s="7"/>
      <c r="H2351" s="9"/>
      <c r="I2351" s="10">
        <v>0</v>
      </c>
      <c r="J2351" s="10">
        <v>0</v>
      </c>
      <c r="K2351" s="9"/>
      <c r="L2351" s="10">
        <v>0</v>
      </c>
      <c r="M2351" s="9"/>
      <c r="N2351" s="9"/>
      <c r="O2351" s="9"/>
      <c r="P2351" s="10"/>
      <c r="Q2351" s="10"/>
      <c r="R2351" s="10"/>
      <c r="S2351" s="7" t="s">
        <v>54</v>
      </c>
      <c r="T2351" s="7" t="s">
        <v>5806</v>
      </c>
      <c r="U2351" s="7"/>
      <c r="V2351" s="7"/>
      <c r="W2351" s="7"/>
      <c r="X2351" s="7"/>
      <c r="Y2351" s="7" t="s">
        <v>5813</v>
      </c>
      <c r="Z2351" s="7" t="s">
        <v>912</v>
      </c>
      <c r="AA2351" s="7"/>
      <c r="AB2351" s="7"/>
      <c r="AC2351" s="7" t="s">
        <v>4817</v>
      </c>
      <c r="AD2351" s="7" t="s">
        <v>5752</v>
      </c>
      <c r="AE2351" s="7" t="s">
        <v>5669</v>
      </c>
      <c r="AF2351" s="7" t="s">
        <v>113</v>
      </c>
      <c r="AG2351" s="7" t="s">
        <v>366</v>
      </c>
      <c r="AH2351" s="7" t="s">
        <v>4818</v>
      </c>
    </row>
    <row r="2352" spans="1:34" ht="9.75" customHeight="1" x14ac:dyDescent="0.2">
      <c r="A2352" s="7" t="s">
        <v>5597</v>
      </c>
      <c r="B2352" s="7" t="s">
        <v>4812</v>
      </c>
      <c r="C2352" s="7"/>
      <c r="D2352" s="7" t="s">
        <v>5814</v>
      </c>
      <c r="E2352" s="8">
        <v>7</v>
      </c>
      <c r="F2352" s="7" t="s">
        <v>5665</v>
      </c>
      <c r="G2352" s="7"/>
      <c r="H2352" s="9"/>
      <c r="I2352" s="10">
        <v>195000</v>
      </c>
      <c r="J2352" s="10">
        <v>182200</v>
      </c>
      <c r="K2352" s="9"/>
      <c r="L2352" s="10">
        <v>48800</v>
      </c>
      <c r="M2352" s="9"/>
      <c r="N2352" s="9"/>
      <c r="O2352" s="9"/>
      <c r="P2352" s="10"/>
      <c r="Q2352" s="10"/>
      <c r="R2352" s="10"/>
      <c r="S2352" s="7" t="s">
        <v>54</v>
      </c>
      <c r="T2352" s="7" t="s">
        <v>5806</v>
      </c>
      <c r="U2352" s="7"/>
      <c r="V2352" s="7"/>
      <c r="W2352" s="7"/>
      <c r="X2352" s="7"/>
      <c r="Y2352" s="7" t="s">
        <v>5815</v>
      </c>
      <c r="Z2352" s="7" t="s">
        <v>912</v>
      </c>
      <c r="AA2352" s="7"/>
      <c r="AB2352" s="7"/>
      <c r="AC2352" s="7" t="s">
        <v>4817</v>
      </c>
      <c r="AD2352" s="7" t="s">
        <v>5752</v>
      </c>
      <c r="AE2352" s="7" t="s">
        <v>5669</v>
      </c>
      <c r="AF2352" s="7" t="s">
        <v>113</v>
      </c>
      <c r="AG2352" s="7" t="s">
        <v>366</v>
      </c>
      <c r="AH2352" s="7" t="s">
        <v>4818</v>
      </c>
    </row>
    <row r="2353" spans="1:34" ht="9.75" customHeight="1" x14ac:dyDescent="0.2">
      <c r="A2353" s="7" t="s">
        <v>5597</v>
      </c>
      <c r="B2353" s="7" t="s">
        <v>4812</v>
      </c>
      <c r="C2353" s="7"/>
      <c r="D2353" s="7" t="s">
        <v>5816</v>
      </c>
      <c r="E2353" s="8">
        <v>7</v>
      </c>
      <c r="F2353" s="7" t="s">
        <v>5665</v>
      </c>
      <c r="G2353" s="7"/>
      <c r="H2353" s="9"/>
      <c r="I2353" s="10">
        <v>368430</v>
      </c>
      <c r="J2353" s="10">
        <v>346278</v>
      </c>
      <c r="K2353" s="9"/>
      <c r="L2353" s="10">
        <v>1035723</v>
      </c>
      <c r="M2353" s="9"/>
      <c r="N2353" s="9"/>
      <c r="O2353" s="9"/>
      <c r="P2353" s="10"/>
      <c r="Q2353" s="10"/>
      <c r="R2353" s="10"/>
      <c r="S2353" s="7" t="s">
        <v>43</v>
      </c>
      <c r="T2353" s="7"/>
      <c r="U2353" s="7"/>
      <c r="V2353" s="7"/>
      <c r="W2353" s="7"/>
      <c r="X2353" s="7"/>
      <c r="Y2353" s="7" t="s">
        <v>5817</v>
      </c>
      <c r="Z2353" s="7" t="s">
        <v>912</v>
      </c>
      <c r="AA2353" s="7"/>
      <c r="AB2353" s="7"/>
      <c r="AC2353" s="7" t="s">
        <v>4817</v>
      </c>
      <c r="AD2353" s="7" t="s">
        <v>5752</v>
      </c>
      <c r="AE2353" s="7" t="s">
        <v>5669</v>
      </c>
      <c r="AF2353" s="7" t="s">
        <v>113</v>
      </c>
      <c r="AG2353" s="7" t="s">
        <v>366</v>
      </c>
      <c r="AH2353" s="7" t="s">
        <v>4818</v>
      </c>
    </row>
    <row r="2354" spans="1:34" ht="9.75" customHeight="1" x14ac:dyDescent="0.2">
      <c r="A2354" s="7" t="s">
        <v>5597</v>
      </c>
      <c r="B2354" s="7" t="s">
        <v>4812</v>
      </c>
      <c r="C2354" s="7"/>
      <c r="D2354" s="7" t="s">
        <v>5818</v>
      </c>
      <c r="E2354" s="8">
        <v>7</v>
      </c>
      <c r="F2354" s="7" t="s">
        <v>5665</v>
      </c>
      <c r="G2354" s="7"/>
      <c r="H2354" s="9"/>
      <c r="I2354" s="10">
        <v>32359</v>
      </c>
      <c r="J2354" s="9"/>
      <c r="K2354" s="9"/>
      <c r="L2354" s="9"/>
      <c r="M2354" s="9"/>
      <c r="N2354" s="9"/>
      <c r="O2354" s="9"/>
      <c r="P2354" s="9"/>
      <c r="Q2354" s="9"/>
      <c r="R2354" s="9"/>
      <c r="S2354" s="7" t="s">
        <v>54</v>
      </c>
      <c r="T2354" s="7" t="s">
        <v>5806</v>
      </c>
      <c r="U2354" s="7"/>
      <c r="V2354" s="7"/>
      <c r="W2354" s="7"/>
      <c r="X2354" s="7"/>
      <c r="Y2354" s="7" t="s">
        <v>5819</v>
      </c>
      <c r="Z2354" s="7" t="s">
        <v>912</v>
      </c>
      <c r="AA2354" s="7"/>
      <c r="AB2354" s="7"/>
      <c r="AC2354" s="7" t="s">
        <v>4817</v>
      </c>
      <c r="AD2354" s="7" t="s">
        <v>5752</v>
      </c>
      <c r="AE2354" s="7" t="s">
        <v>5682</v>
      </c>
      <c r="AF2354" s="7" t="s">
        <v>113</v>
      </c>
      <c r="AG2354" s="7" t="s">
        <v>366</v>
      </c>
      <c r="AH2354" s="7" t="s">
        <v>4818</v>
      </c>
    </row>
    <row r="2355" spans="1:34" ht="9.75" customHeight="1" x14ac:dyDescent="0.2">
      <c r="A2355" s="7" t="s">
        <v>5597</v>
      </c>
      <c r="B2355" s="7" t="s">
        <v>4812</v>
      </c>
      <c r="C2355" s="7"/>
      <c r="D2355" s="7" t="s">
        <v>5820</v>
      </c>
      <c r="E2355" s="8">
        <v>7</v>
      </c>
      <c r="F2355" s="7" t="s">
        <v>5665</v>
      </c>
      <c r="G2355" s="7"/>
      <c r="H2355" s="9"/>
      <c r="I2355" s="10">
        <v>11722</v>
      </c>
      <c r="J2355" s="9"/>
      <c r="K2355" s="9"/>
      <c r="L2355" s="9"/>
      <c r="M2355" s="9"/>
      <c r="N2355" s="9"/>
      <c r="O2355" s="9"/>
      <c r="P2355" s="9"/>
      <c r="Q2355" s="9"/>
      <c r="R2355" s="9"/>
      <c r="S2355" s="7" t="s">
        <v>54</v>
      </c>
      <c r="T2355" s="7" t="s">
        <v>5806</v>
      </c>
      <c r="U2355" s="7"/>
      <c r="V2355" s="7"/>
      <c r="W2355" s="7"/>
      <c r="X2355" s="7"/>
      <c r="Y2355" s="7" t="s">
        <v>5821</v>
      </c>
      <c r="Z2355" s="7" t="s">
        <v>912</v>
      </c>
      <c r="AA2355" s="7"/>
      <c r="AB2355" s="7"/>
      <c r="AC2355" s="7" t="s">
        <v>4817</v>
      </c>
      <c r="AD2355" s="7" t="s">
        <v>5752</v>
      </c>
      <c r="AE2355" s="7" t="s">
        <v>5682</v>
      </c>
      <c r="AF2355" s="7" t="s">
        <v>113</v>
      </c>
      <c r="AG2355" s="7" t="s">
        <v>366</v>
      </c>
      <c r="AH2355" s="7" t="s">
        <v>4818</v>
      </c>
    </row>
    <row r="2356" spans="1:34" ht="9.75" customHeight="1" x14ac:dyDescent="0.2">
      <c r="A2356" s="7" t="s">
        <v>5597</v>
      </c>
      <c r="B2356" s="7" t="s">
        <v>4812</v>
      </c>
      <c r="C2356" s="7"/>
      <c r="D2356" s="7" t="s">
        <v>5822</v>
      </c>
      <c r="E2356" s="8">
        <v>7</v>
      </c>
      <c r="F2356" s="7" t="s">
        <v>5665</v>
      </c>
      <c r="G2356" s="7"/>
      <c r="H2356" s="9"/>
      <c r="I2356" s="10">
        <v>5376</v>
      </c>
      <c r="J2356" s="9"/>
      <c r="K2356" s="9"/>
      <c r="L2356" s="9"/>
      <c r="M2356" s="9"/>
      <c r="N2356" s="9"/>
      <c r="O2356" s="9"/>
      <c r="P2356" s="9"/>
      <c r="Q2356" s="9"/>
      <c r="R2356" s="9"/>
      <c r="S2356" s="7" t="s">
        <v>54</v>
      </c>
      <c r="T2356" s="7" t="s">
        <v>5806</v>
      </c>
      <c r="U2356" s="7"/>
      <c r="V2356" s="7"/>
      <c r="W2356" s="7"/>
      <c r="X2356" s="7"/>
      <c r="Y2356" s="7" t="s">
        <v>5823</v>
      </c>
      <c r="Z2356" s="7" t="s">
        <v>912</v>
      </c>
      <c r="AA2356" s="7"/>
      <c r="AB2356" s="7"/>
      <c r="AC2356" s="7" t="s">
        <v>4817</v>
      </c>
      <c r="AD2356" s="7" t="s">
        <v>5752</v>
      </c>
      <c r="AE2356" s="7" t="s">
        <v>5682</v>
      </c>
      <c r="AF2356" s="7" t="s">
        <v>113</v>
      </c>
      <c r="AG2356" s="7" t="s">
        <v>366</v>
      </c>
      <c r="AH2356" s="7" t="s">
        <v>4818</v>
      </c>
    </row>
    <row r="2357" spans="1:34" ht="9.75" customHeight="1" x14ac:dyDescent="0.2">
      <c r="A2357" s="7" t="s">
        <v>5597</v>
      </c>
      <c r="B2357" s="7" t="s">
        <v>4812</v>
      </c>
      <c r="C2357" s="7"/>
      <c r="D2357" s="7" t="s">
        <v>5824</v>
      </c>
      <c r="E2357" s="8">
        <v>7</v>
      </c>
      <c r="F2357" s="7" t="s">
        <v>5665</v>
      </c>
      <c r="G2357" s="7"/>
      <c r="H2357" s="9"/>
      <c r="I2357" s="10">
        <v>298</v>
      </c>
      <c r="J2357" s="9"/>
      <c r="K2357" s="9"/>
      <c r="L2357" s="9"/>
      <c r="M2357" s="9"/>
      <c r="N2357" s="9"/>
      <c r="O2357" s="9"/>
      <c r="P2357" s="9"/>
      <c r="Q2357" s="9"/>
      <c r="R2357" s="9"/>
      <c r="S2357" s="7" t="s">
        <v>54</v>
      </c>
      <c r="T2357" s="7" t="s">
        <v>5806</v>
      </c>
      <c r="U2357" s="7"/>
      <c r="V2357" s="7"/>
      <c r="W2357" s="7"/>
      <c r="X2357" s="7"/>
      <c r="Y2357" s="7" t="s">
        <v>5825</v>
      </c>
      <c r="Z2357" s="7" t="s">
        <v>912</v>
      </c>
      <c r="AA2357" s="7"/>
      <c r="AB2357" s="7"/>
      <c r="AC2357" s="7" t="s">
        <v>4817</v>
      </c>
      <c r="AD2357" s="7" t="s">
        <v>5752</v>
      </c>
      <c r="AE2357" s="7" t="s">
        <v>5682</v>
      </c>
      <c r="AF2357" s="7" t="s">
        <v>113</v>
      </c>
      <c r="AG2357" s="7" t="s">
        <v>366</v>
      </c>
      <c r="AH2357" s="7" t="s">
        <v>4818</v>
      </c>
    </row>
    <row r="2358" spans="1:34" ht="9.75" customHeight="1" x14ac:dyDescent="0.2">
      <c r="A2358" s="7" t="s">
        <v>5597</v>
      </c>
      <c r="B2358" s="7" t="s">
        <v>4812</v>
      </c>
      <c r="C2358" s="7"/>
      <c r="D2358" s="7" t="s">
        <v>5826</v>
      </c>
      <c r="E2358" s="8">
        <v>7</v>
      </c>
      <c r="F2358" s="7" t="s">
        <v>5665</v>
      </c>
      <c r="G2358" s="7"/>
      <c r="H2358" s="9"/>
      <c r="I2358" s="10">
        <v>1716</v>
      </c>
      <c r="J2358" s="9"/>
      <c r="K2358" s="9"/>
      <c r="L2358" s="9"/>
      <c r="M2358" s="9"/>
      <c r="N2358" s="9"/>
      <c r="O2358" s="9"/>
      <c r="P2358" s="9"/>
      <c r="Q2358" s="9"/>
      <c r="R2358" s="9"/>
      <c r="S2358" s="7" t="s">
        <v>54</v>
      </c>
      <c r="T2358" s="7" t="s">
        <v>5806</v>
      </c>
      <c r="U2358" s="7"/>
      <c r="V2358" s="7"/>
      <c r="W2358" s="7"/>
      <c r="X2358" s="7"/>
      <c r="Y2358" s="7" t="s">
        <v>5827</v>
      </c>
      <c r="Z2358" s="7" t="s">
        <v>912</v>
      </c>
      <c r="AA2358" s="7"/>
      <c r="AB2358" s="7"/>
      <c r="AC2358" s="7" t="s">
        <v>4817</v>
      </c>
      <c r="AD2358" s="7" t="s">
        <v>5752</v>
      </c>
      <c r="AE2358" s="7" t="s">
        <v>5682</v>
      </c>
      <c r="AF2358" s="7" t="s">
        <v>113</v>
      </c>
      <c r="AG2358" s="7" t="s">
        <v>366</v>
      </c>
      <c r="AH2358" s="7" t="s">
        <v>4818</v>
      </c>
    </row>
    <row r="2359" spans="1:34" ht="9.75" customHeight="1" x14ac:dyDescent="0.2">
      <c r="A2359" s="7" t="s">
        <v>5597</v>
      </c>
      <c r="B2359" s="7" t="s">
        <v>4812</v>
      </c>
      <c r="C2359" s="7"/>
      <c r="D2359" s="7" t="s">
        <v>5828</v>
      </c>
      <c r="E2359" s="8">
        <v>7</v>
      </c>
      <c r="F2359" s="7" t="s">
        <v>5665</v>
      </c>
      <c r="G2359" s="7"/>
      <c r="H2359" s="9"/>
      <c r="I2359" s="10">
        <v>16159</v>
      </c>
      <c r="J2359" s="9"/>
      <c r="K2359" s="9"/>
      <c r="L2359" s="9"/>
      <c r="M2359" s="9"/>
      <c r="N2359" s="9"/>
      <c r="O2359" s="9"/>
      <c r="P2359" s="9"/>
      <c r="Q2359" s="9"/>
      <c r="R2359" s="9"/>
      <c r="S2359" s="7" t="s">
        <v>54</v>
      </c>
      <c r="T2359" s="7" t="s">
        <v>5806</v>
      </c>
      <c r="U2359" s="7"/>
      <c r="V2359" s="7"/>
      <c r="W2359" s="7"/>
      <c r="X2359" s="7"/>
      <c r="Y2359" s="7" t="s">
        <v>5829</v>
      </c>
      <c r="Z2359" s="7" t="s">
        <v>912</v>
      </c>
      <c r="AA2359" s="7"/>
      <c r="AB2359" s="7"/>
      <c r="AC2359" s="7" t="s">
        <v>4817</v>
      </c>
      <c r="AD2359" s="7" t="s">
        <v>5752</v>
      </c>
      <c r="AE2359" s="7" t="s">
        <v>5682</v>
      </c>
      <c r="AF2359" s="7" t="s">
        <v>113</v>
      </c>
      <c r="AG2359" s="7" t="s">
        <v>366</v>
      </c>
      <c r="AH2359" s="7" t="s">
        <v>4818</v>
      </c>
    </row>
    <row r="2360" spans="1:34" ht="9.75" customHeight="1" x14ac:dyDescent="0.2">
      <c r="A2360" s="7" t="s">
        <v>5597</v>
      </c>
      <c r="B2360" s="7" t="s">
        <v>4812</v>
      </c>
      <c r="C2360" s="7"/>
      <c r="D2360" s="7" t="s">
        <v>5830</v>
      </c>
      <c r="E2360" s="8">
        <v>7</v>
      </c>
      <c r="F2360" s="7" t="s">
        <v>5665</v>
      </c>
      <c r="G2360" s="7"/>
      <c r="H2360" s="9"/>
      <c r="I2360" s="9"/>
      <c r="J2360" s="10">
        <v>3620</v>
      </c>
      <c r="K2360" s="9"/>
      <c r="L2360" s="9"/>
      <c r="M2360" s="9"/>
      <c r="N2360" s="9"/>
      <c r="O2360" s="9"/>
      <c r="P2360" s="9"/>
      <c r="Q2360" s="9"/>
      <c r="R2360" s="9"/>
      <c r="S2360" s="7" t="s">
        <v>54</v>
      </c>
      <c r="T2360" s="7" t="s">
        <v>5806</v>
      </c>
      <c r="U2360" s="7"/>
      <c r="V2360" s="7"/>
      <c r="W2360" s="7"/>
      <c r="X2360" s="7"/>
      <c r="Y2360" s="7" t="s">
        <v>5831</v>
      </c>
      <c r="Z2360" s="7" t="s">
        <v>912</v>
      </c>
      <c r="AA2360" s="7"/>
      <c r="AB2360" s="7"/>
      <c r="AC2360" s="7" t="s">
        <v>4817</v>
      </c>
      <c r="AD2360" s="7" t="s">
        <v>5752</v>
      </c>
      <c r="AE2360" s="7" t="s">
        <v>5682</v>
      </c>
      <c r="AF2360" s="7" t="s">
        <v>113</v>
      </c>
      <c r="AG2360" s="7" t="s">
        <v>366</v>
      </c>
      <c r="AH2360" s="7" t="s">
        <v>4818</v>
      </c>
    </row>
    <row r="2361" spans="1:34" ht="9.75" customHeight="1" x14ac:dyDescent="0.2">
      <c r="A2361" s="7" t="s">
        <v>5597</v>
      </c>
      <c r="B2361" s="7" t="s">
        <v>4812</v>
      </c>
      <c r="C2361" s="7"/>
      <c r="D2361" s="7" t="s">
        <v>5832</v>
      </c>
      <c r="E2361" s="8">
        <v>7</v>
      </c>
      <c r="F2361" s="7" t="s">
        <v>5665</v>
      </c>
      <c r="G2361" s="7"/>
      <c r="H2361" s="9"/>
      <c r="I2361" s="9"/>
      <c r="J2361" s="10">
        <v>1500</v>
      </c>
      <c r="K2361" s="9"/>
      <c r="L2361" s="9"/>
      <c r="M2361" s="9"/>
      <c r="N2361" s="9"/>
      <c r="O2361" s="9"/>
      <c r="P2361" s="9"/>
      <c r="Q2361" s="9"/>
      <c r="R2361" s="9"/>
      <c r="S2361" s="7" t="s">
        <v>54</v>
      </c>
      <c r="T2361" s="7" t="s">
        <v>5806</v>
      </c>
      <c r="U2361" s="7"/>
      <c r="V2361" s="7"/>
      <c r="W2361" s="7"/>
      <c r="X2361" s="7"/>
      <c r="Y2361" s="7" t="s">
        <v>5833</v>
      </c>
      <c r="Z2361" s="7" t="s">
        <v>912</v>
      </c>
      <c r="AA2361" s="7"/>
      <c r="AB2361" s="7"/>
      <c r="AC2361" s="7" t="s">
        <v>4817</v>
      </c>
      <c r="AD2361" s="7" t="s">
        <v>5752</v>
      </c>
      <c r="AE2361" s="7" t="s">
        <v>5682</v>
      </c>
      <c r="AF2361" s="7" t="s">
        <v>113</v>
      </c>
      <c r="AG2361" s="7" t="s">
        <v>366</v>
      </c>
      <c r="AH2361" s="7" t="s">
        <v>4818</v>
      </c>
    </row>
    <row r="2362" spans="1:34" ht="9.75" customHeight="1" x14ac:dyDescent="0.2">
      <c r="A2362" s="7" t="s">
        <v>5597</v>
      </c>
      <c r="B2362" s="7" t="s">
        <v>4812</v>
      </c>
      <c r="C2362" s="7"/>
      <c r="D2362" s="7" t="s">
        <v>5834</v>
      </c>
      <c r="E2362" s="8">
        <v>7</v>
      </c>
      <c r="F2362" s="7" t="s">
        <v>5665</v>
      </c>
      <c r="G2362" s="7"/>
      <c r="H2362" s="9"/>
      <c r="I2362" s="9"/>
      <c r="J2362" s="10">
        <v>4132</v>
      </c>
      <c r="K2362" s="9"/>
      <c r="L2362" s="9"/>
      <c r="M2362" s="9"/>
      <c r="N2362" s="9"/>
      <c r="O2362" s="9"/>
      <c r="P2362" s="9"/>
      <c r="Q2362" s="9"/>
      <c r="R2362" s="9"/>
      <c r="S2362" s="7" t="s">
        <v>54</v>
      </c>
      <c r="T2362" s="7" t="s">
        <v>5806</v>
      </c>
      <c r="U2362" s="7"/>
      <c r="V2362" s="7"/>
      <c r="W2362" s="7"/>
      <c r="X2362" s="7"/>
      <c r="Y2362" s="7" t="s">
        <v>5835</v>
      </c>
      <c r="Z2362" s="7" t="s">
        <v>912</v>
      </c>
      <c r="AA2362" s="7"/>
      <c r="AB2362" s="7"/>
      <c r="AC2362" s="7" t="s">
        <v>4817</v>
      </c>
      <c r="AD2362" s="7" t="s">
        <v>5752</v>
      </c>
      <c r="AE2362" s="7" t="s">
        <v>5682</v>
      </c>
      <c r="AF2362" s="7" t="s">
        <v>113</v>
      </c>
      <c r="AG2362" s="7" t="s">
        <v>366</v>
      </c>
      <c r="AH2362" s="7" t="s">
        <v>4818</v>
      </c>
    </row>
    <row r="2363" spans="1:34" ht="9.75" customHeight="1" x14ac:dyDescent="0.2">
      <c r="A2363" s="7" t="s">
        <v>5597</v>
      </c>
      <c r="B2363" s="7" t="s">
        <v>4812</v>
      </c>
      <c r="C2363" s="7"/>
      <c r="D2363" s="7" t="s">
        <v>5836</v>
      </c>
      <c r="E2363" s="8">
        <v>7</v>
      </c>
      <c r="F2363" s="7" t="s">
        <v>5665</v>
      </c>
      <c r="G2363" s="7"/>
      <c r="H2363" s="9"/>
      <c r="I2363" s="10">
        <v>195000</v>
      </c>
      <c r="J2363" s="9"/>
      <c r="K2363" s="9"/>
      <c r="L2363" s="9"/>
      <c r="M2363" s="9"/>
      <c r="N2363" s="9"/>
      <c r="O2363" s="9"/>
      <c r="P2363" s="9"/>
      <c r="Q2363" s="9"/>
      <c r="R2363" s="9"/>
      <c r="S2363" s="7" t="s">
        <v>54</v>
      </c>
      <c r="T2363" s="7" t="s">
        <v>5806</v>
      </c>
      <c r="U2363" s="7"/>
      <c r="V2363" s="7"/>
      <c r="W2363" s="7"/>
      <c r="X2363" s="7"/>
      <c r="Y2363" s="7" t="s">
        <v>5837</v>
      </c>
      <c r="Z2363" s="7" t="s">
        <v>997</v>
      </c>
      <c r="AA2363" s="7"/>
      <c r="AB2363" s="7"/>
      <c r="AC2363" s="7" t="s">
        <v>4817</v>
      </c>
      <c r="AD2363" s="7" t="s">
        <v>5752</v>
      </c>
      <c r="AE2363" s="7" t="s">
        <v>5697</v>
      </c>
      <c r="AF2363" s="7" t="s">
        <v>113</v>
      </c>
      <c r="AG2363" s="7" t="s">
        <v>366</v>
      </c>
      <c r="AH2363" s="7" t="s">
        <v>4818</v>
      </c>
    </row>
    <row r="2364" spans="1:34" ht="9.75" customHeight="1" x14ac:dyDescent="0.2">
      <c r="A2364" s="7" t="s">
        <v>5597</v>
      </c>
      <c r="B2364" s="7" t="s">
        <v>4812</v>
      </c>
      <c r="C2364" s="7"/>
      <c r="D2364" s="7" t="s">
        <v>5838</v>
      </c>
      <c r="E2364" s="8">
        <v>7</v>
      </c>
      <c r="F2364" s="7" t="s">
        <v>5665</v>
      </c>
      <c r="G2364" s="7"/>
      <c r="H2364" s="9"/>
      <c r="I2364" s="9"/>
      <c r="J2364" s="10">
        <v>182200</v>
      </c>
      <c r="K2364" s="9"/>
      <c r="L2364" s="9"/>
      <c r="M2364" s="9"/>
      <c r="N2364" s="9"/>
      <c r="O2364" s="9"/>
      <c r="P2364" s="9"/>
      <c r="Q2364" s="9"/>
      <c r="R2364" s="9"/>
      <c r="S2364" s="7" t="s">
        <v>54</v>
      </c>
      <c r="T2364" s="7" t="s">
        <v>5806</v>
      </c>
      <c r="U2364" s="7"/>
      <c r="V2364" s="7"/>
      <c r="W2364" s="7"/>
      <c r="X2364" s="7"/>
      <c r="Y2364" s="7" t="s">
        <v>5839</v>
      </c>
      <c r="Z2364" s="7" t="s">
        <v>997</v>
      </c>
      <c r="AA2364" s="7"/>
      <c r="AB2364" s="7"/>
      <c r="AC2364" s="7" t="s">
        <v>4817</v>
      </c>
      <c r="AD2364" s="7" t="s">
        <v>5752</v>
      </c>
      <c r="AE2364" s="7" t="s">
        <v>5697</v>
      </c>
      <c r="AF2364" s="7" t="s">
        <v>113</v>
      </c>
      <c r="AG2364" s="7" t="s">
        <v>366</v>
      </c>
      <c r="AH2364" s="7" t="s">
        <v>4818</v>
      </c>
    </row>
    <row r="2365" spans="1:34" ht="9.75" customHeight="1" x14ac:dyDescent="0.2">
      <c r="A2365" s="7" t="s">
        <v>5597</v>
      </c>
      <c r="B2365" s="7" t="s">
        <v>4812</v>
      </c>
      <c r="C2365" s="7"/>
      <c r="D2365" s="7" t="s">
        <v>5840</v>
      </c>
      <c r="E2365" s="8">
        <v>7</v>
      </c>
      <c r="F2365" s="7" t="s">
        <v>5665</v>
      </c>
      <c r="G2365" s="7"/>
      <c r="H2365" s="9"/>
      <c r="I2365" s="9"/>
      <c r="J2365" s="9"/>
      <c r="K2365" s="9"/>
      <c r="L2365" s="10">
        <v>48800</v>
      </c>
      <c r="M2365" s="9"/>
      <c r="N2365" s="9"/>
      <c r="O2365" s="9"/>
      <c r="P2365" s="10"/>
      <c r="Q2365" s="10"/>
      <c r="R2365" s="10"/>
      <c r="S2365" s="7" t="s">
        <v>54</v>
      </c>
      <c r="T2365" s="7" t="s">
        <v>5806</v>
      </c>
      <c r="U2365" s="7"/>
      <c r="V2365" s="7"/>
      <c r="W2365" s="7"/>
      <c r="X2365" s="7"/>
      <c r="Y2365" s="7" t="s">
        <v>5841</v>
      </c>
      <c r="Z2365" s="7" t="s">
        <v>997</v>
      </c>
      <c r="AA2365" s="7"/>
      <c r="AB2365" s="7"/>
      <c r="AC2365" s="7" t="s">
        <v>4817</v>
      </c>
      <c r="AD2365" s="7" t="s">
        <v>5752</v>
      </c>
      <c r="AE2365" s="7" t="s">
        <v>5697</v>
      </c>
      <c r="AF2365" s="7" t="s">
        <v>113</v>
      </c>
      <c r="AG2365" s="7" t="s">
        <v>366</v>
      </c>
      <c r="AH2365" s="7" t="s">
        <v>4818</v>
      </c>
    </row>
    <row r="2366" spans="1:34" ht="9.75" customHeight="1" x14ac:dyDescent="0.2">
      <c r="A2366" s="7" t="s">
        <v>5597</v>
      </c>
      <c r="B2366" s="7" t="s">
        <v>4812</v>
      </c>
      <c r="C2366" s="7"/>
      <c r="D2366" s="7" t="s">
        <v>5842</v>
      </c>
      <c r="E2366" s="8">
        <v>5</v>
      </c>
      <c r="F2366" s="7" t="s">
        <v>5703</v>
      </c>
      <c r="G2366" s="7"/>
      <c r="H2366" s="9"/>
      <c r="I2366" s="9"/>
      <c r="J2366" s="9"/>
      <c r="K2366" s="9"/>
      <c r="L2366" s="9"/>
      <c r="M2366" s="9"/>
      <c r="N2366" s="9"/>
      <c r="O2366" s="9"/>
      <c r="P2366" s="9"/>
      <c r="Q2366" s="9"/>
      <c r="R2366" s="9"/>
      <c r="S2366" s="7" t="s">
        <v>219</v>
      </c>
      <c r="T2366" s="7"/>
      <c r="U2366" s="7" t="s">
        <v>44</v>
      </c>
      <c r="V2366" s="7" t="s">
        <v>45</v>
      </c>
      <c r="W2366" s="7" t="s">
        <v>46</v>
      </c>
      <c r="X2366" s="7" t="s">
        <v>4856</v>
      </c>
      <c r="Y2366" s="7" t="s">
        <v>5843</v>
      </c>
      <c r="Z2366" s="7" t="s">
        <v>1055</v>
      </c>
      <c r="AA2366" s="7"/>
      <c r="AB2366" s="7"/>
      <c r="AC2366" s="7" t="s">
        <v>4817</v>
      </c>
      <c r="AD2366" s="7" t="s">
        <v>5752</v>
      </c>
      <c r="AE2366" s="7" t="s">
        <v>5703</v>
      </c>
      <c r="AF2366" s="7" t="s">
        <v>113</v>
      </c>
      <c r="AG2366" s="7" t="s">
        <v>366</v>
      </c>
      <c r="AH2366" s="7" t="s">
        <v>4818</v>
      </c>
    </row>
    <row r="2367" spans="1:34" ht="9.75" customHeight="1" x14ac:dyDescent="0.2">
      <c r="A2367" s="7" t="s">
        <v>5597</v>
      </c>
      <c r="B2367" s="7" t="s">
        <v>4812</v>
      </c>
      <c r="C2367" s="7"/>
      <c r="D2367" s="7" t="s">
        <v>5844</v>
      </c>
      <c r="E2367" s="8">
        <v>2</v>
      </c>
      <c r="F2367" s="7" t="s">
        <v>5703</v>
      </c>
      <c r="G2367" s="7"/>
      <c r="H2367" s="9"/>
      <c r="I2367" s="9"/>
      <c r="J2367" s="9"/>
      <c r="K2367" s="9"/>
      <c r="L2367" s="9"/>
      <c r="M2367" s="9"/>
      <c r="N2367" s="9"/>
      <c r="O2367" s="9"/>
      <c r="P2367" s="9"/>
      <c r="Q2367" s="9"/>
      <c r="R2367" s="9"/>
      <c r="S2367" s="7" t="s">
        <v>219</v>
      </c>
      <c r="T2367" s="7"/>
      <c r="U2367" s="7" t="s">
        <v>44</v>
      </c>
      <c r="V2367" s="7" t="s">
        <v>45</v>
      </c>
      <c r="W2367" s="7" t="s">
        <v>67</v>
      </c>
      <c r="X2367" s="7" t="s">
        <v>68</v>
      </c>
      <c r="Y2367" s="7" t="s">
        <v>5845</v>
      </c>
      <c r="Z2367" s="7" t="s">
        <v>1055</v>
      </c>
      <c r="AA2367" s="7"/>
      <c r="AB2367" s="7"/>
      <c r="AC2367" s="7" t="s">
        <v>4817</v>
      </c>
      <c r="AD2367" s="7" t="s">
        <v>5752</v>
      </c>
      <c r="AE2367" s="7" t="s">
        <v>5703</v>
      </c>
      <c r="AF2367" s="7" t="s">
        <v>113</v>
      </c>
      <c r="AG2367" s="7" t="s">
        <v>366</v>
      </c>
      <c r="AH2367" s="7" t="s">
        <v>4818</v>
      </c>
    </row>
    <row r="2368" spans="1:34" ht="9.75" customHeight="1" x14ac:dyDescent="0.2">
      <c r="A2368" s="7" t="s">
        <v>5597</v>
      </c>
      <c r="B2368" s="7" t="s">
        <v>4812</v>
      </c>
      <c r="C2368" s="7"/>
      <c r="D2368" s="7" t="s">
        <v>5846</v>
      </c>
      <c r="E2368" s="8">
        <v>2</v>
      </c>
      <c r="F2368" s="7" t="s">
        <v>5703</v>
      </c>
      <c r="G2368" s="7"/>
      <c r="H2368" s="9"/>
      <c r="I2368" s="9"/>
      <c r="J2368" s="9"/>
      <c r="K2368" s="9"/>
      <c r="L2368" s="9"/>
      <c r="M2368" s="9"/>
      <c r="N2368" s="9"/>
      <c r="O2368" s="9"/>
      <c r="P2368" s="9"/>
      <c r="Q2368" s="9"/>
      <c r="R2368" s="9"/>
      <c r="S2368" s="7" t="s">
        <v>219</v>
      </c>
      <c r="T2368" s="7"/>
      <c r="U2368" s="7" t="s">
        <v>44</v>
      </c>
      <c r="V2368" s="7" t="s">
        <v>45</v>
      </c>
      <c r="W2368" s="7" t="s">
        <v>67</v>
      </c>
      <c r="X2368" s="7" t="s">
        <v>68</v>
      </c>
      <c r="Y2368" s="7" t="s">
        <v>5847</v>
      </c>
      <c r="Z2368" s="7" t="s">
        <v>1055</v>
      </c>
      <c r="AA2368" s="7"/>
      <c r="AB2368" s="7"/>
      <c r="AC2368" s="7" t="s">
        <v>4817</v>
      </c>
      <c r="AD2368" s="7" t="s">
        <v>5752</v>
      </c>
      <c r="AE2368" s="7" t="s">
        <v>5703</v>
      </c>
      <c r="AF2368" s="7" t="s">
        <v>113</v>
      </c>
      <c r="AG2368" s="7" t="s">
        <v>366</v>
      </c>
      <c r="AH2368" s="7" t="s">
        <v>4818</v>
      </c>
    </row>
    <row r="2369" spans="1:34" ht="9.75" customHeight="1" x14ac:dyDescent="0.2">
      <c r="A2369" s="7" t="s">
        <v>5597</v>
      </c>
      <c r="B2369" s="7" t="s">
        <v>4812</v>
      </c>
      <c r="C2369" s="7"/>
      <c r="D2369" s="7" t="s">
        <v>5848</v>
      </c>
      <c r="E2369" s="8">
        <v>2</v>
      </c>
      <c r="F2369" s="7" t="s">
        <v>5703</v>
      </c>
      <c r="G2369" s="7"/>
      <c r="H2369" s="9"/>
      <c r="I2369" s="9"/>
      <c r="J2369" s="9"/>
      <c r="K2369" s="9"/>
      <c r="L2369" s="9"/>
      <c r="M2369" s="9"/>
      <c r="N2369" s="9"/>
      <c r="O2369" s="9"/>
      <c r="P2369" s="9"/>
      <c r="Q2369" s="9"/>
      <c r="R2369" s="9"/>
      <c r="S2369" s="7" t="s">
        <v>219</v>
      </c>
      <c r="T2369" s="7"/>
      <c r="U2369" s="7" t="s">
        <v>44</v>
      </c>
      <c r="V2369" s="7" t="s">
        <v>45</v>
      </c>
      <c r="W2369" s="7" t="s">
        <v>46</v>
      </c>
      <c r="X2369" s="7" t="s">
        <v>90</v>
      </c>
      <c r="Y2369" s="7" t="s">
        <v>5849</v>
      </c>
      <c r="Z2369" s="7" t="s">
        <v>1055</v>
      </c>
      <c r="AA2369" s="7"/>
      <c r="AB2369" s="7"/>
      <c r="AC2369" s="7" t="s">
        <v>4817</v>
      </c>
      <c r="AD2369" s="7" t="s">
        <v>5752</v>
      </c>
      <c r="AE2369" s="7" t="s">
        <v>5703</v>
      </c>
      <c r="AF2369" s="7" t="s">
        <v>113</v>
      </c>
      <c r="AG2369" s="7" t="s">
        <v>366</v>
      </c>
      <c r="AH2369" s="7" t="s">
        <v>4818</v>
      </c>
    </row>
    <row r="2370" spans="1:34" ht="9.75" customHeight="1" x14ac:dyDescent="0.2">
      <c r="A2370" s="7" t="s">
        <v>5597</v>
      </c>
      <c r="B2370" s="7" t="s">
        <v>4812</v>
      </c>
      <c r="C2370" s="7"/>
      <c r="D2370" s="7" t="s">
        <v>5846</v>
      </c>
      <c r="E2370" s="8">
        <v>2</v>
      </c>
      <c r="F2370" s="7" t="s">
        <v>5703</v>
      </c>
      <c r="G2370" s="7"/>
      <c r="H2370" s="9"/>
      <c r="I2370" s="9"/>
      <c r="J2370" s="9"/>
      <c r="K2370" s="9"/>
      <c r="L2370" s="9"/>
      <c r="M2370" s="9"/>
      <c r="N2370" s="9"/>
      <c r="O2370" s="9"/>
      <c r="P2370" s="9"/>
      <c r="Q2370" s="9"/>
      <c r="R2370" s="9"/>
      <c r="S2370" s="7" t="s">
        <v>219</v>
      </c>
      <c r="T2370" s="7"/>
      <c r="U2370" s="7" t="s">
        <v>44</v>
      </c>
      <c r="V2370" s="7" t="s">
        <v>45</v>
      </c>
      <c r="W2370" s="7" t="s">
        <v>67</v>
      </c>
      <c r="X2370" s="7" t="s">
        <v>68</v>
      </c>
      <c r="Y2370" s="7" t="s">
        <v>5847</v>
      </c>
      <c r="Z2370" s="7" t="s">
        <v>1055</v>
      </c>
      <c r="AA2370" s="7"/>
      <c r="AB2370" s="7"/>
      <c r="AC2370" s="7" t="s">
        <v>4817</v>
      </c>
      <c r="AD2370" s="7" t="s">
        <v>5752</v>
      </c>
      <c r="AE2370" s="7" t="s">
        <v>5703</v>
      </c>
      <c r="AF2370" s="7" t="s">
        <v>113</v>
      </c>
      <c r="AG2370" s="7" t="s">
        <v>366</v>
      </c>
      <c r="AH2370" s="7" t="s">
        <v>4818</v>
      </c>
    </row>
    <row r="2371" spans="1:34" ht="9.75" customHeight="1" x14ac:dyDescent="0.2">
      <c r="A2371" s="7" t="s">
        <v>5597</v>
      </c>
      <c r="B2371" s="7" t="s">
        <v>4812</v>
      </c>
      <c r="C2371" s="7"/>
      <c r="D2371" s="7" t="s">
        <v>5850</v>
      </c>
      <c r="E2371" s="8">
        <v>5</v>
      </c>
      <c r="F2371" s="7" t="s">
        <v>5703</v>
      </c>
      <c r="G2371" s="7"/>
      <c r="H2371" s="9"/>
      <c r="I2371" s="9"/>
      <c r="J2371" s="9"/>
      <c r="K2371" s="9"/>
      <c r="L2371" s="9"/>
      <c r="M2371" s="9"/>
      <c r="N2371" s="9"/>
      <c r="O2371" s="9"/>
      <c r="P2371" s="9"/>
      <c r="Q2371" s="9"/>
      <c r="R2371" s="9"/>
      <c r="S2371" s="7" t="s">
        <v>219</v>
      </c>
      <c r="T2371" s="7"/>
      <c r="U2371" s="7" t="s">
        <v>44</v>
      </c>
      <c r="V2371" s="7" t="s">
        <v>45</v>
      </c>
      <c r="W2371" s="7" t="s">
        <v>46</v>
      </c>
      <c r="X2371" s="7" t="s">
        <v>4856</v>
      </c>
      <c r="Y2371" s="7" t="s">
        <v>5851</v>
      </c>
      <c r="Z2371" s="7" t="s">
        <v>1055</v>
      </c>
      <c r="AA2371" s="7"/>
      <c r="AB2371" s="7"/>
      <c r="AC2371" s="7" t="s">
        <v>4817</v>
      </c>
      <c r="AD2371" s="7" t="s">
        <v>5752</v>
      </c>
      <c r="AE2371" s="7" t="s">
        <v>5703</v>
      </c>
      <c r="AF2371" s="7" t="s">
        <v>113</v>
      </c>
      <c r="AG2371" s="7" t="s">
        <v>366</v>
      </c>
      <c r="AH2371" s="7" t="s">
        <v>4818</v>
      </c>
    </row>
    <row r="2372" spans="1:34" ht="9.75" customHeight="1" x14ac:dyDescent="0.2">
      <c r="A2372" s="7" t="s">
        <v>5597</v>
      </c>
      <c r="B2372" s="7" t="s">
        <v>4812</v>
      </c>
      <c r="C2372" s="7"/>
      <c r="D2372" s="7" t="s">
        <v>5852</v>
      </c>
      <c r="E2372" s="8">
        <v>2</v>
      </c>
      <c r="F2372" s="7" t="s">
        <v>5703</v>
      </c>
      <c r="G2372" s="7"/>
      <c r="H2372" s="9"/>
      <c r="I2372" s="9"/>
      <c r="J2372" s="9"/>
      <c r="K2372" s="9"/>
      <c r="L2372" s="9"/>
      <c r="M2372" s="9"/>
      <c r="N2372" s="9"/>
      <c r="O2372" s="9"/>
      <c r="P2372" s="9"/>
      <c r="Q2372" s="9"/>
      <c r="R2372" s="9"/>
      <c r="S2372" s="7" t="s">
        <v>219</v>
      </c>
      <c r="T2372" s="7"/>
      <c r="U2372" s="7" t="s">
        <v>44</v>
      </c>
      <c r="V2372" s="7" t="s">
        <v>45</v>
      </c>
      <c r="W2372" s="7" t="s">
        <v>46</v>
      </c>
      <c r="X2372" s="7" t="s">
        <v>90</v>
      </c>
      <c r="Y2372" s="7" t="s">
        <v>5853</v>
      </c>
      <c r="Z2372" s="7" t="s">
        <v>1055</v>
      </c>
      <c r="AA2372" s="7"/>
      <c r="AB2372" s="7"/>
      <c r="AC2372" s="7" t="s">
        <v>4817</v>
      </c>
      <c r="AD2372" s="7" t="s">
        <v>5752</v>
      </c>
      <c r="AE2372" s="7" t="s">
        <v>5703</v>
      </c>
      <c r="AF2372" s="7" t="s">
        <v>113</v>
      </c>
      <c r="AG2372" s="7" t="s">
        <v>366</v>
      </c>
      <c r="AH2372" s="7" t="s">
        <v>4818</v>
      </c>
    </row>
    <row r="2373" spans="1:34" ht="9.75" customHeight="1" x14ac:dyDescent="0.2">
      <c r="A2373" s="7" t="s">
        <v>5597</v>
      </c>
      <c r="B2373" s="7" t="s">
        <v>4812</v>
      </c>
      <c r="C2373" s="7"/>
      <c r="D2373" s="7" t="s">
        <v>5854</v>
      </c>
      <c r="E2373" s="8">
        <v>2</v>
      </c>
      <c r="F2373" s="7" t="s">
        <v>5703</v>
      </c>
      <c r="G2373" s="7"/>
      <c r="H2373" s="9"/>
      <c r="I2373" s="9"/>
      <c r="J2373" s="9"/>
      <c r="K2373" s="9"/>
      <c r="L2373" s="9"/>
      <c r="M2373" s="9"/>
      <c r="N2373" s="9"/>
      <c r="O2373" s="9"/>
      <c r="P2373" s="9"/>
      <c r="Q2373" s="9"/>
      <c r="R2373" s="9"/>
      <c r="S2373" s="7" t="s">
        <v>219</v>
      </c>
      <c r="T2373" s="7"/>
      <c r="U2373" s="7" t="s">
        <v>44</v>
      </c>
      <c r="V2373" s="7" t="s">
        <v>45</v>
      </c>
      <c r="W2373" s="7" t="s">
        <v>46</v>
      </c>
      <c r="X2373" s="7" t="s">
        <v>4856</v>
      </c>
      <c r="Y2373" s="7" t="s">
        <v>5855</v>
      </c>
      <c r="Z2373" s="7" t="s">
        <v>1055</v>
      </c>
      <c r="AA2373" s="7"/>
      <c r="AB2373" s="7"/>
      <c r="AC2373" s="7" t="s">
        <v>4817</v>
      </c>
      <c r="AD2373" s="7" t="s">
        <v>5752</v>
      </c>
      <c r="AE2373" s="7" t="s">
        <v>5703</v>
      </c>
      <c r="AF2373" s="7" t="s">
        <v>113</v>
      </c>
      <c r="AG2373" s="7" t="s">
        <v>366</v>
      </c>
      <c r="AH2373" s="7" t="s">
        <v>4818</v>
      </c>
    </row>
    <row r="2374" spans="1:34" ht="9.75" customHeight="1" x14ac:dyDescent="0.2">
      <c r="A2374" s="7" t="s">
        <v>5597</v>
      </c>
      <c r="B2374" s="7" t="s">
        <v>4812</v>
      </c>
      <c r="C2374" s="7"/>
      <c r="D2374" s="7" t="s">
        <v>5856</v>
      </c>
      <c r="E2374" s="8">
        <v>2</v>
      </c>
      <c r="F2374" s="7" t="s">
        <v>5703</v>
      </c>
      <c r="G2374" s="7"/>
      <c r="H2374" s="9"/>
      <c r="I2374" s="9"/>
      <c r="J2374" s="9"/>
      <c r="K2374" s="9"/>
      <c r="L2374" s="9"/>
      <c r="M2374" s="9"/>
      <c r="N2374" s="9"/>
      <c r="O2374" s="9"/>
      <c r="P2374" s="9"/>
      <c r="Q2374" s="9"/>
      <c r="R2374" s="9"/>
      <c r="S2374" s="7" t="s">
        <v>219</v>
      </c>
      <c r="T2374" s="7"/>
      <c r="U2374" s="7" t="s">
        <v>44</v>
      </c>
      <c r="V2374" s="7" t="s">
        <v>45</v>
      </c>
      <c r="W2374" s="7" t="s">
        <v>46</v>
      </c>
      <c r="X2374" s="7" t="s">
        <v>90</v>
      </c>
      <c r="Y2374" s="7" t="s">
        <v>5857</v>
      </c>
      <c r="Z2374" s="7" t="s">
        <v>1055</v>
      </c>
      <c r="AA2374" s="7"/>
      <c r="AB2374" s="7"/>
      <c r="AC2374" s="7" t="s">
        <v>4817</v>
      </c>
      <c r="AD2374" s="7" t="s">
        <v>5752</v>
      </c>
      <c r="AE2374" s="7" t="s">
        <v>5703</v>
      </c>
      <c r="AF2374" s="7" t="s">
        <v>113</v>
      </c>
      <c r="AG2374" s="7" t="s">
        <v>366</v>
      </c>
      <c r="AH2374" s="7" t="s">
        <v>4818</v>
      </c>
    </row>
    <row r="2375" spans="1:34" ht="9.75" customHeight="1" x14ac:dyDescent="0.2">
      <c r="A2375" s="7" t="s">
        <v>5597</v>
      </c>
      <c r="B2375" s="7" t="s">
        <v>4812</v>
      </c>
      <c r="C2375" s="7"/>
      <c r="D2375" s="7" t="s">
        <v>5858</v>
      </c>
      <c r="E2375" s="8">
        <v>2</v>
      </c>
      <c r="F2375" s="7" t="s">
        <v>5703</v>
      </c>
      <c r="G2375" s="7"/>
      <c r="H2375" s="9"/>
      <c r="I2375" s="9"/>
      <c r="J2375" s="9"/>
      <c r="K2375" s="9"/>
      <c r="L2375" s="9"/>
      <c r="M2375" s="9"/>
      <c r="N2375" s="9"/>
      <c r="O2375" s="9"/>
      <c r="P2375" s="9"/>
      <c r="Q2375" s="9"/>
      <c r="R2375" s="9"/>
      <c r="S2375" s="7" t="s">
        <v>219</v>
      </c>
      <c r="T2375" s="7"/>
      <c r="U2375" s="7" t="s">
        <v>44</v>
      </c>
      <c r="V2375" s="7" t="s">
        <v>45</v>
      </c>
      <c r="W2375" s="7" t="s">
        <v>46</v>
      </c>
      <c r="X2375" s="7" t="s">
        <v>90</v>
      </c>
      <c r="Y2375" s="7" t="s">
        <v>5859</v>
      </c>
      <c r="Z2375" s="7" t="s">
        <v>1055</v>
      </c>
      <c r="AA2375" s="7"/>
      <c r="AB2375" s="7"/>
      <c r="AC2375" s="7" t="s">
        <v>4817</v>
      </c>
      <c r="AD2375" s="7" t="s">
        <v>5752</v>
      </c>
      <c r="AE2375" s="7" t="s">
        <v>5703</v>
      </c>
      <c r="AF2375" s="7" t="s">
        <v>113</v>
      </c>
      <c r="AG2375" s="7" t="s">
        <v>366</v>
      </c>
      <c r="AH2375" s="7" t="s">
        <v>4818</v>
      </c>
    </row>
    <row r="2376" spans="1:34" ht="9.75" customHeight="1" x14ac:dyDescent="0.2">
      <c r="A2376" s="7" t="s">
        <v>5597</v>
      </c>
      <c r="B2376" s="7" t="s">
        <v>4812</v>
      </c>
      <c r="C2376" s="7"/>
      <c r="D2376" s="7" t="s">
        <v>5860</v>
      </c>
      <c r="E2376" s="8">
        <v>2</v>
      </c>
      <c r="F2376" s="7" t="s">
        <v>5703</v>
      </c>
      <c r="G2376" s="7"/>
      <c r="H2376" s="9"/>
      <c r="I2376" s="9"/>
      <c r="J2376" s="9"/>
      <c r="K2376" s="9"/>
      <c r="L2376" s="9"/>
      <c r="M2376" s="9"/>
      <c r="N2376" s="9"/>
      <c r="O2376" s="9"/>
      <c r="P2376" s="9"/>
      <c r="Q2376" s="9"/>
      <c r="R2376" s="9"/>
      <c r="S2376" s="7" t="s">
        <v>219</v>
      </c>
      <c r="T2376" s="7"/>
      <c r="U2376" s="7" t="s">
        <v>44</v>
      </c>
      <c r="V2376" s="7" t="s">
        <v>45</v>
      </c>
      <c r="W2376" s="7" t="s">
        <v>46</v>
      </c>
      <c r="X2376" s="7" t="s">
        <v>90</v>
      </c>
      <c r="Y2376" s="7" t="s">
        <v>5861</v>
      </c>
      <c r="Z2376" s="7" t="s">
        <v>1055</v>
      </c>
      <c r="AA2376" s="7"/>
      <c r="AB2376" s="7"/>
      <c r="AC2376" s="7" t="s">
        <v>4817</v>
      </c>
      <c r="AD2376" s="7" t="s">
        <v>5752</v>
      </c>
      <c r="AE2376" s="7" t="s">
        <v>5703</v>
      </c>
      <c r="AF2376" s="7" t="s">
        <v>113</v>
      </c>
      <c r="AG2376" s="7" t="s">
        <v>366</v>
      </c>
      <c r="AH2376" s="7" t="s">
        <v>4818</v>
      </c>
    </row>
    <row r="2377" spans="1:34" ht="9.75" customHeight="1" x14ac:dyDescent="0.2">
      <c r="A2377" s="7" t="s">
        <v>5597</v>
      </c>
      <c r="B2377" s="7" t="s">
        <v>4812</v>
      </c>
      <c r="C2377" s="7"/>
      <c r="D2377" s="7" t="s">
        <v>5862</v>
      </c>
      <c r="E2377" s="8">
        <v>5</v>
      </c>
      <c r="F2377" s="7" t="s">
        <v>5703</v>
      </c>
      <c r="G2377" s="7"/>
      <c r="H2377" s="9"/>
      <c r="I2377" s="9"/>
      <c r="J2377" s="9"/>
      <c r="K2377" s="9"/>
      <c r="L2377" s="9"/>
      <c r="M2377" s="9"/>
      <c r="N2377" s="9"/>
      <c r="O2377" s="9"/>
      <c r="P2377" s="9"/>
      <c r="Q2377" s="9"/>
      <c r="R2377" s="9"/>
      <c r="S2377" s="7" t="s">
        <v>219</v>
      </c>
      <c r="T2377" s="7"/>
      <c r="U2377" s="7" t="s">
        <v>44</v>
      </c>
      <c r="V2377" s="7" t="s">
        <v>45</v>
      </c>
      <c r="W2377" s="7" t="s">
        <v>46</v>
      </c>
      <c r="X2377" s="7" t="s">
        <v>4856</v>
      </c>
      <c r="Y2377" s="7" t="s">
        <v>5863</v>
      </c>
      <c r="Z2377" s="7" t="s">
        <v>1055</v>
      </c>
      <c r="AA2377" s="7"/>
      <c r="AB2377" s="7"/>
      <c r="AC2377" s="7" t="s">
        <v>4817</v>
      </c>
      <c r="AD2377" s="7" t="s">
        <v>5752</v>
      </c>
      <c r="AE2377" s="7" t="s">
        <v>5703</v>
      </c>
      <c r="AF2377" s="7" t="s">
        <v>113</v>
      </c>
      <c r="AG2377" s="7" t="s">
        <v>366</v>
      </c>
      <c r="AH2377" s="7" t="s">
        <v>4818</v>
      </c>
    </row>
    <row r="2378" spans="1:34" ht="9.75" customHeight="1" x14ac:dyDescent="0.2">
      <c r="A2378" s="7" t="s">
        <v>5597</v>
      </c>
      <c r="B2378" s="7" t="s">
        <v>4812</v>
      </c>
      <c r="C2378" s="7"/>
      <c r="D2378" s="7" t="s">
        <v>5864</v>
      </c>
      <c r="E2378" s="8">
        <v>2</v>
      </c>
      <c r="F2378" s="7" t="s">
        <v>5703</v>
      </c>
      <c r="G2378" s="7"/>
      <c r="H2378" s="9"/>
      <c r="I2378" s="9"/>
      <c r="J2378" s="9"/>
      <c r="K2378" s="9"/>
      <c r="L2378" s="9"/>
      <c r="M2378" s="9"/>
      <c r="N2378" s="9"/>
      <c r="O2378" s="9"/>
      <c r="P2378" s="9"/>
      <c r="Q2378" s="9"/>
      <c r="R2378" s="9"/>
      <c r="S2378" s="7" t="s">
        <v>219</v>
      </c>
      <c r="T2378" s="7"/>
      <c r="U2378" s="7" t="s">
        <v>44</v>
      </c>
      <c r="V2378" s="7" t="s">
        <v>45</v>
      </c>
      <c r="W2378" s="7" t="s">
        <v>46</v>
      </c>
      <c r="X2378" s="7" t="s">
        <v>90</v>
      </c>
      <c r="Y2378" s="7" t="s">
        <v>5865</v>
      </c>
      <c r="Z2378" s="7" t="s">
        <v>1055</v>
      </c>
      <c r="AA2378" s="7"/>
      <c r="AB2378" s="7"/>
      <c r="AC2378" s="7" t="s">
        <v>4817</v>
      </c>
      <c r="AD2378" s="7" t="s">
        <v>5752</v>
      </c>
      <c r="AE2378" s="7" t="s">
        <v>5703</v>
      </c>
      <c r="AF2378" s="7" t="s">
        <v>113</v>
      </c>
      <c r="AG2378" s="7" t="s">
        <v>366</v>
      </c>
      <c r="AH2378" s="7" t="s">
        <v>4818</v>
      </c>
    </row>
    <row r="2379" spans="1:34" ht="9.75" customHeight="1" x14ac:dyDescent="0.2">
      <c r="A2379" s="7" t="s">
        <v>5597</v>
      </c>
      <c r="B2379" s="7" t="s">
        <v>4812</v>
      </c>
      <c r="C2379" s="7"/>
      <c r="D2379" s="7" t="s">
        <v>5866</v>
      </c>
      <c r="E2379" s="8">
        <v>2</v>
      </c>
      <c r="F2379" s="7" t="s">
        <v>5703</v>
      </c>
      <c r="G2379" s="7"/>
      <c r="H2379" s="9"/>
      <c r="I2379" s="9"/>
      <c r="J2379" s="9"/>
      <c r="K2379" s="9"/>
      <c r="L2379" s="9"/>
      <c r="M2379" s="9"/>
      <c r="N2379" s="9"/>
      <c r="O2379" s="9"/>
      <c r="P2379" s="9"/>
      <c r="Q2379" s="9"/>
      <c r="R2379" s="9"/>
      <c r="S2379" s="7" t="s">
        <v>219</v>
      </c>
      <c r="T2379" s="7"/>
      <c r="U2379" s="7" t="s">
        <v>44</v>
      </c>
      <c r="V2379" s="7" t="s">
        <v>45</v>
      </c>
      <c r="W2379" s="7" t="s">
        <v>67</v>
      </c>
      <c r="X2379" s="7" t="s">
        <v>68</v>
      </c>
      <c r="Y2379" s="7" t="s">
        <v>5867</v>
      </c>
      <c r="Z2379" s="7" t="s">
        <v>1055</v>
      </c>
      <c r="AA2379" s="7"/>
      <c r="AB2379" s="7"/>
      <c r="AC2379" s="7" t="s">
        <v>4817</v>
      </c>
      <c r="AD2379" s="7" t="s">
        <v>5752</v>
      </c>
      <c r="AE2379" s="7" t="s">
        <v>5703</v>
      </c>
      <c r="AF2379" s="7" t="s">
        <v>113</v>
      </c>
      <c r="AG2379" s="7" t="s">
        <v>366</v>
      </c>
      <c r="AH2379" s="7" t="s">
        <v>4818</v>
      </c>
    </row>
    <row r="2380" spans="1:34" ht="9.75" customHeight="1" x14ac:dyDescent="0.2">
      <c r="A2380" s="7" t="s">
        <v>5597</v>
      </c>
      <c r="B2380" s="7" t="s">
        <v>4812</v>
      </c>
      <c r="C2380" s="7"/>
      <c r="D2380" s="7" t="s">
        <v>5868</v>
      </c>
      <c r="E2380" s="8">
        <v>2</v>
      </c>
      <c r="F2380" s="7" t="s">
        <v>5703</v>
      </c>
      <c r="G2380" s="7"/>
      <c r="H2380" s="9"/>
      <c r="I2380" s="9"/>
      <c r="J2380" s="9"/>
      <c r="K2380" s="9"/>
      <c r="L2380" s="9"/>
      <c r="M2380" s="9"/>
      <c r="N2380" s="9"/>
      <c r="O2380" s="9"/>
      <c r="P2380" s="9"/>
      <c r="Q2380" s="9"/>
      <c r="R2380" s="9"/>
      <c r="S2380" s="7" t="s">
        <v>219</v>
      </c>
      <c r="T2380" s="7"/>
      <c r="U2380" s="7" t="s">
        <v>44</v>
      </c>
      <c r="V2380" s="7" t="s">
        <v>45</v>
      </c>
      <c r="W2380" s="7" t="s">
        <v>46</v>
      </c>
      <c r="X2380" s="7" t="s">
        <v>90</v>
      </c>
      <c r="Y2380" s="7" t="s">
        <v>5869</v>
      </c>
      <c r="Z2380" s="7" t="s">
        <v>1055</v>
      </c>
      <c r="AA2380" s="7"/>
      <c r="AB2380" s="7"/>
      <c r="AC2380" s="7" t="s">
        <v>4817</v>
      </c>
      <c r="AD2380" s="7" t="s">
        <v>5752</v>
      </c>
      <c r="AE2380" s="7" t="s">
        <v>5703</v>
      </c>
      <c r="AF2380" s="7" t="s">
        <v>113</v>
      </c>
      <c r="AG2380" s="7" t="s">
        <v>366</v>
      </c>
      <c r="AH2380" s="7" t="s">
        <v>4818</v>
      </c>
    </row>
    <row r="2381" spans="1:34" ht="9.75" customHeight="1" x14ac:dyDescent="0.2">
      <c r="A2381" s="7" t="s">
        <v>5597</v>
      </c>
      <c r="B2381" s="7" t="s">
        <v>4812</v>
      </c>
      <c r="C2381" s="7"/>
      <c r="D2381" s="7" t="s">
        <v>5870</v>
      </c>
      <c r="E2381" s="8">
        <v>2</v>
      </c>
      <c r="F2381" s="7" t="s">
        <v>5703</v>
      </c>
      <c r="G2381" s="7"/>
      <c r="H2381" s="9"/>
      <c r="I2381" s="9"/>
      <c r="J2381" s="9"/>
      <c r="K2381" s="9"/>
      <c r="L2381" s="9"/>
      <c r="M2381" s="9"/>
      <c r="N2381" s="9"/>
      <c r="O2381" s="9"/>
      <c r="P2381" s="9"/>
      <c r="Q2381" s="9"/>
      <c r="R2381" s="9"/>
      <c r="S2381" s="7" t="s">
        <v>219</v>
      </c>
      <c r="T2381" s="7"/>
      <c r="U2381" s="7" t="s">
        <v>44</v>
      </c>
      <c r="V2381" s="7" t="s">
        <v>45</v>
      </c>
      <c r="W2381" s="7" t="s">
        <v>46</v>
      </c>
      <c r="X2381" s="7" t="s">
        <v>4856</v>
      </c>
      <c r="Y2381" s="7" t="s">
        <v>5871</v>
      </c>
      <c r="Z2381" s="7" t="s">
        <v>1055</v>
      </c>
      <c r="AA2381" s="7"/>
      <c r="AB2381" s="7"/>
      <c r="AC2381" s="7" t="s">
        <v>4817</v>
      </c>
      <c r="AD2381" s="7" t="s">
        <v>5752</v>
      </c>
      <c r="AE2381" s="7" t="s">
        <v>5703</v>
      </c>
      <c r="AF2381" s="7" t="s">
        <v>113</v>
      </c>
      <c r="AG2381" s="7" t="s">
        <v>366</v>
      </c>
      <c r="AH2381" s="7" t="s">
        <v>4818</v>
      </c>
    </row>
    <row r="2382" spans="1:34" ht="9.75" customHeight="1" x14ac:dyDescent="0.2">
      <c r="A2382" s="7" t="s">
        <v>5597</v>
      </c>
      <c r="B2382" s="7" t="s">
        <v>4812</v>
      </c>
      <c r="C2382" s="7"/>
      <c r="D2382" s="7" t="s">
        <v>5872</v>
      </c>
      <c r="E2382" s="8">
        <v>2</v>
      </c>
      <c r="F2382" s="7" t="s">
        <v>5703</v>
      </c>
      <c r="G2382" s="7"/>
      <c r="H2382" s="9"/>
      <c r="I2382" s="9"/>
      <c r="J2382" s="9"/>
      <c r="K2382" s="9"/>
      <c r="L2382" s="9"/>
      <c r="M2382" s="9"/>
      <c r="N2382" s="9"/>
      <c r="O2382" s="9"/>
      <c r="P2382" s="9"/>
      <c r="Q2382" s="9"/>
      <c r="R2382" s="9"/>
      <c r="S2382" s="7" t="s">
        <v>219</v>
      </c>
      <c r="T2382" s="7"/>
      <c r="U2382" s="7" t="s">
        <v>44</v>
      </c>
      <c r="V2382" s="7" t="s">
        <v>45</v>
      </c>
      <c r="W2382" s="7" t="s">
        <v>46</v>
      </c>
      <c r="X2382" s="7" t="s">
        <v>90</v>
      </c>
      <c r="Y2382" s="7" t="s">
        <v>5873</v>
      </c>
      <c r="Z2382" s="7" t="s">
        <v>1055</v>
      </c>
      <c r="AA2382" s="7"/>
      <c r="AB2382" s="7"/>
      <c r="AC2382" s="7" t="s">
        <v>4817</v>
      </c>
      <c r="AD2382" s="7" t="s">
        <v>5752</v>
      </c>
      <c r="AE2382" s="7" t="s">
        <v>5703</v>
      </c>
      <c r="AF2382" s="7" t="s">
        <v>113</v>
      </c>
      <c r="AG2382" s="7" t="s">
        <v>366</v>
      </c>
      <c r="AH2382" s="7" t="s">
        <v>4818</v>
      </c>
    </row>
    <row r="2383" spans="1:34" ht="9.75" customHeight="1" x14ac:dyDescent="0.2">
      <c r="A2383" s="7" t="s">
        <v>5597</v>
      </c>
      <c r="B2383" s="7" t="s">
        <v>4812</v>
      </c>
      <c r="C2383" s="7"/>
      <c r="D2383" s="7" t="s">
        <v>5874</v>
      </c>
      <c r="E2383" s="8">
        <v>2</v>
      </c>
      <c r="F2383" s="7" t="s">
        <v>5703</v>
      </c>
      <c r="G2383" s="7"/>
      <c r="H2383" s="9"/>
      <c r="I2383" s="9"/>
      <c r="J2383" s="9"/>
      <c r="K2383" s="9"/>
      <c r="L2383" s="9"/>
      <c r="M2383" s="9"/>
      <c r="N2383" s="9"/>
      <c r="O2383" s="9"/>
      <c r="P2383" s="9"/>
      <c r="Q2383" s="9"/>
      <c r="R2383" s="9"/>
      <c r="S2383" s="7" t="s">
        <v>219</v>
      </c>
      <c r="T2383" s="7"/>
      <c r="U2383" s="7" t="s">
        <v>44</v>
      </c>
      <c r="V2383" s="7" t="s">
        <v>45</v>
      </c>
      <c r="W2383" s="7" t="s">
        <v>46</v>
      </c>
      <c r="X2383" s="7" t="s">
        <v>90</v>
      </c>
      <c r="Y2383" s="7" t="s">
        <v>5875</v>
      </c>
      <c r="Z2383" s="7" t="s">
        <v>1055</v>
      </c>
      <c r="AA2383" s="7"/>
      <c r="AB2383" s="7"/>
      <c r="AC2383" s="7" t="s">
        <v>4817</v>
      </c>
      <c r="AD2383" s="7" t="s">
        <v>5752</v>
      </c>
      <c r="AE2383" s="7" t="s">
        <v>5703</v>
      </c>
      <c r="AF2383" s="7" t="s">
        <v>113</v>
      </c>
      <c r="AG2383" s="7" t="s">
        <v>366</v>
      </c>
      <c r="AH2383" s="7" t="s">
        <v>4818</v>
      </c>
    </row>
    <row r="2384" spans="1:34" ht="9.75" customHeight="1" x14ac:dyDescent="0.2">
      <c r="A2384" s="7" t="s">
        <v>5597</v>
      </c>
      <c r="B2384" s="7" t="s">
        <v>4812</v>
      </c>
      <c r="C2384" s="7"/>
      <c r="D2384" s="7" t="s">
        <v>5876</v>
      </c>
      <c r="E2384" s="8">
        <v>2</v>
      </c>
      <c r="F2384" s="7" t="s">
        <v>5703</v>
      </c>
      <c r="G2384" s="7"/>
      <c r="H2384" s="9"/>
      <c r="I2384" s="9"/>
      <c r="J2384" s="9"/>
      <c r="K2384" s="9"/>
      <c r="L2384" s="9"/>
      <c r="M2384" s="9"/>
      <c r="N2384" s="9"/>
      <c r="O2384" s="9"/>
      <c r="P2384" s="9"/>
      <c r="Q2384" s="9"/>
      <c r="R2384" s="9"/>
      <c r="S2384" s="7" t="s">
        <v>219</v>
      </c>
      <c r="T2384" s="7"/>
      <c r="U2384" s="7" t="s">
        <v>44</v>
      </c>
      <c r="V2384" s="7" t="s">
        <v>45</v>
      </c>
      <c r="W2384" s="7" t="s">
        <v>67</v>
      </c>
      <c r="X2384" s="7" t="s">
        <v>68</v>
      </c>
      <c r="Y2384" s="7" t="s">
        <v>5877</v>
      </c>
      <c r="Z2384" s="7" t="s">
        <v>1055</v>
      </c>
      <c r="AA2384" s="7"/>
      <c r="AB2384" s="7"/>
      <c r="AC2384" s="7" t="s">
        <v>4817</v>
      </c>
      <c r="AD2384" s="7" t="s">
        <v>5752</v>
      </c>
      <c r="AE2384" s="7" t="s">
        <v>5703</v>
      </c>
      <c r="AF2384" s="7" t="s">
        <v>113</v>
      </c>
      <c r="AG2384" s="7" t="s">
        <v>366</v>
      </c>
      <c r="AH2384" s="7" t="s">
        <v>4818</v>
      </c>
    </row>
    <row r="2385" spans="1:34" ht="9.75" customHeight="1" x14ac:dyDescent="0.2">
      <c r="A2385" s="7" t="s">
        <v>5597</v>
      </c>
      <c r="B2385" s="7" t="s">
        <v>4812</v>
      </c>
      <c r="C2385" s="7"/>
      <c r="D2385" s="7" t="s">
        <v>5878</v>
      </c>
      <c r="E2385" s="8">
        <v>2</v>
      </c>
      <c r="F2385" s="7" t="s">
        <v>5703</v>
      </c>
      <c r="G2385" s="7"/>
      <c r="H2385" s="9"/>
      <c r="I2385" s="9"/>
      <c r="J2385" s="9"/>
      <c r="K2385" s="9"/>
      <c r="L2385" s="9"/>
      <c r="M2385" s="9"/>
      <c r="N2385" s="9"/>
      <c r="O2385" s="9"/>
      <c r="P2385" s="9"/>
      <c r="Q2385" s="9"/>
      <c r="R2385" s="9"/>
      <c r="S2385" s="7" t="s">
        <v>219</v>
      </c>
      <c r="T2385" s="7"/>
      <c r="U2385" s="7" t="s">
        <v>44</v>
      </c>
      <c r="V2385" s="7" t="s">
        <v>45</v>
      </c>
      <c r="W2385" s="7" t="s">
        <v>67</v>
      </c>
      <c r="X2385" s="7" t="s">
        <v>68</v>
      </c>
      <c r="Y2385" s="7" t="s">
        <v>5879</v>
      </c>
      <c r="Z2385" s="7" t="s">
        <v>1055</v>
      </c>
      <c r="AA2385" s="7"/>
      <c r="AB2385" s="7"/>
      <c r="AC2385" s="7" t="s">
        <v>4817</v>
      </c>
      <c r="AD2385" s="7" t="s">
        <v>5752</v>
      </c>
      <c r="AE2385" s="7" t="s">
        <v>5703</v>
      </c>
      <c r="AF2385" s="7" t="s">
        <v>113</v>
      </c>
      <c r="AG2385" s="7" t="s">
        <v>366</v>
      </c>
      <c r="AH2385" s="7" t="s">
        <v>4818</v>
      </c>
    </row>
    <row r="2386" spans="1:34" ht="9.75" customHeight="1" x14ac:dyDescent="0.2">
      <c r="A2386" s="7" t="s">
        <v>5597</v>
      </c>
      <c r="B2386" s="7" t="s">
        <v>4812</v>
      </c>
      <c r="C2386" s="7"/>
      <c r="D2386" s="7" t="s">
        <v>5880</v>
      </c>
      <c r="E2386" s="8">
        <v>2</v>
      </c>
      <c r="F2386" s="7" t="s">
        <v>5703</v>
      </c>
      <c r="G2386" s="7"/>
      <c r="H2386" s="9"/>
      <c r="I2386" s="9"/>
      <c r="J2386" s="9"/>
      <c r="K2386" s="9"/>
      <c r="L2386" s="9"/>
      <c r="M2386" s="9"/>
      <c r="N2386" s="9"/>
      <c r="O2386" s="9"/>
      <c r="P2386" s="9"/>
      <c r="Q2386" s="9"/>
      <c r="R2386" s="9"/>
      <c r="S2386" s="7" t="s">
        <v>219</v>
      </c>
      <c r="T2386" s="7"/>
      <c r="U2386" s="7" t="s">
        <v>44</v>
      </c>
      <c r="V2386" s="7" t="s">
        <v>45</v>
      </c>
      <c r="W2386" s="7" t="s">
        <v>67</v>
      </c>
      <c r="X2386" s="7" t="s">
        <v>68</v>
      </c>
      <c r="Y2386" s="7" t="s">
        <v>5881</v>
      </c>
      <c r="Z2386" s="7" t="s">
        <v>1055</v>
      </c>
      <c r="AA2386" s="7"/>
      <c r="AB2386" s="7"/>
      <c r="AC2386" s="7" t="s">
        <v>4817</v>
      </c>
      <c r="AD2386" s="7" t="s">
        <v>5752</v>
      </c>
      <c r="AE2386" s="7" t="s">
        <v>5703</v>
      </c>
      <c r="AF2386" s="7" t="s">
        <v>113</v>
      </c>
      <c r="AG2386" s="7" t="s">
        <v>366</v>
      </c>
      <c r="AH2386" s="7" t="s">
        <v>4818</v>
      </c>
    </row>
    <row r="2387" spans="1:34" ht="9.75" customHeight="1" x14ac:dyDescent="0.2">
      <c r="A2387" s="7" t="s">
        <v>5597</v>
      </c>
      <c r="B2387" s="7" t="s">
        <v>4812</v>
      </c>
      <c r="C2387" s="7"/>
      <c r="D2387" s="7" t="s">
        <v>5882</v>
      </c>
      <c r="E2387" s="8">
        <v>2</v>
      </c>
      <c r="F2387" s="7" t="s">
        <v>5703</v>
      </c>
      <c r="G2387" s="7"/>
      <c r="H2387" s="9"/>
      <c r="I2387" s="9"/>
      <c r="J2387" s="9"/>
      <c r="K2387" s="9"/>
      <c r="L2387" s="9"/>
      <c r="M2387" s="9"/>
      <c r="N2387" s="9"/>
      <c r="O2387" s="9"/>
      <c r="P2387" s="9"/>
      <c r="Q2387" s="9"/>
      <c r="R2387" s="9"/>
      <c r="S2387" s="7" t="s">
        <v>219</v>
      </c>
      <c r="T2387" s="7"/>
      <c r="U2387" s="7" t="s">
        <v>44</v>
      </c>
      <c r="V2387" s="7" t="s">
        <v>45</v>
      </c>
      <c r="W2387" s="7" t="s">
        <v>67</v>
      </c>
      <c r="X2387" s="7" t="s">
        <v>68</v>
      </c>
      <c r="Y2387" s="7" t="s">
        <v>5883</v>
      </c>
      <c r="Z2387" s="7" t="s">
        <v>1055</v>
      </c>
      <c r="AA2387" s="7"/>
      <c r="AB2387" s="7"/>
      <c r="AC2387" s="7" t="s">
        <v>4817</v>
      </c>
      <c r="AD2387" s="7" t="s">
        <v>5752</v>
      </c>
      <c r="AE2387" s="7" t="s">
        <v>5703</v>
      </c>
      <c r="AF2387" s="7" t="s">
        <v>113</v>
      </c>
      <c r="AG2387" s="7" t="s">
        <v>366</v>
      </c>
      <c r="AH2387" s="7" t="s">
        <v>4818</v>
      </c>
    </row>
    <row r="2388" spans="1:34" ht="9.75" customHeight="1" x14ac:dyDescent="0.2">
      <c r="A2388" s="7" t="s">
        <v>5597</v>
      </c>
      <c r="B2388" s="7" t="s">
        <v>4812</v>
      </c>
      <c r="C2388" s="7"/>
      <c r="D2388" s="7" t="s">
        <v>5884</v>
      </c>
      <c r="E2388" s="8">
        <v>2</v>
      </c>
      <c r="F2388" s="7" t="s">
        <v>5703</v>
      </c>
      <c r="G2388" s="7"/>
      <c r="H2388" s="9"/>
      <c r="I2388" s="9"/>
      <c r="J2388" s="9"/>
      <c r="K2388" s="9"/>
      <c r="L2388" s="9"/>
      <c r="M2388" s="9"/>
      <c r="N2388" s="9"/>
      <c r="O2388" s="9"/>
      <c r="P2388" s="9"/>
      <c r="Q2388" s="9"/>
      <c r="R2388" s="9"/>
      <c r="S2388" s="7" t="s">
        <v>219</v>
      </c>
      <c r="T2388" s="7"/>
      <c r="U2388" s="7" t="s">
        <v>44</v>
      </c>
      <c r="V2388" s="7" t="s">
        <v>45</v>
      </c>
      <c r="W2388" s="7" t="s">
        <v>46</v>
      </c>
      <c r="X2388" s="7" t="s">
        <v>90</v>
      </c>
      <c r="Y2388" s="7" t="s">
        <v>5885</v>
      </c>
      <c r="Z2388" s="7" t="s">
        <v>1060</v>
      </c>
      <c r="AA2388" s="7"/>
      <c r="AB2388" s="7"/>
      <c r="AC2388" s="7" t="s">
        <v>4817</v>
      </c>
      <c r="AD2388" s="7" t="s">
        <v>5752</v>
      </c>
      <c r="AE2388" s="7" t="s">
        <v>5703</v>
      </c>
      <c r="AF2388" s="7" t="s">
        <v>113</v>
      </c>
      <c r="AG2388" s="7" t="s">
        <v>366</v>
      </c>
      <c r="AH2388" s="7" t="s">
        <v>4818</v>
      </c>
    </row>
    <row r="2389" spans="1:34" ht="9.75" customHeight="1" x14ac:dyDescent="0.2">
      <c r="A2389" s="7" t="s">
        <v>5597</v>
      </c>
      <c r="B2389" s="7" t="s">
        <v>4812</v>
      </c>
      <c r="C2389" s="7"/>
      <c r="D2389" s="7" t="s">
        <v>5886</v>
      </c>
      <c r="E2389" s="8">
        <v>2</v>
      </c>
      <c r="F2389" s="7" t="s">
        <v>5703</v>
      </c>
      <c r="G2389" s="7"/>
      <c r="H2389" s="9"/>
      <c r="I2389" s="9"/>
      <c r="J2389" s="9"/>
      <c r="K2389" s="9"/>
      <c r="L2389" s="9"/>
      <c r="M2389" s="9"/>
      <c r="N2389" s="9"/>
      <c r="O2389" s="9"/>
      <c r="P2389" s="9"/>
      <c r="Q2389" s="9"/>
      <c r="R2389" s="9"/>
      <c r="S2389" s="7" t="s">
        <v>219</v>
      </c>
      <c r="T2389" s="7"/>
      <c r="U2389" s="7" t="s">
        <v>44</v>
      </c>
      <c r="V2389" s="7" t="s">
        <v>45</v>
      </c>
      <c r="W2389" s="7" t="s">
        <v>46</v>
      </c>
      <c r="X2389" s="7" t="s">
        <v>90</v>
      </c>
      <c r="Y2389" s="7" t="s">
        <v>5887</v>
      </c>
      <c r="Z2389" s="7" t="s">
        <v>1060</v>
      </c>
      <c r="AA2389" s="7"/>
      <c r="AB2389" s="7"/>
      <c r="AC2389" s="7" t="s">
        <v>4817</v>
      </c>
      <c r="AD2389" s="7" t="s">
        <v>5752</v>
      </c>
      <c r="AE2389" s="7" t="s">
        <v>5703</v>
      </c>
      <c r="AF2389" s="7" t="s">
        <v>113</v>
      </c>
      <c r="AG2389" s="7" t="s">
        <v>366</v>
      </c>
      <c r="AH2389" s="7" t="s">
        <v>4818</v>
      </c>
    </row>
    <row r="2390" spans="1:34" ht="9.75" customHeight="1" x14ac:dyDescent="0.2">
      <c r="A2390" s="7" t="s">
        <v>5597</v>
      </c>
      <c r="B2390" s="7" t="s">
        <v>4812</v>
      </c>
      <c r="C2390" s="7"/>
      <c r="D2390" s="7" t="s">
        <v>5888</v>
      </c>
      <c r="E2390" s="8">
        <v>2</v>
      </c>
      <c r="F2390" s="7" t="s">
        <v>5703</v>
      </c>
      <c r="G2390" s="7"/>
      <c r="H2390" s="9"/>
      <c r="I2390" s="9"/>
      <c r="J2390" s="9"/>
      <c r="K2390" s="9"/>
      <c r="L2390" s="9"/>
      <c r="M2390" s="9"/>
      <c r="N2390" s="9"/>
      <c r="O2390" s="9"/>
      <c r="P2390" s="9"/>
      <c r="Q2390" s="9"/>
      <c r="R2390" s="9"/>
      <c r="S2390" s="7" t="s">
        <v>219</v>
      </c>
      <c r="T2390" s="7"/>
      <c r="U2390" s="7" t="s">
        <v>44</v>
      </c>
      <c r="V2390" s="7" t="s">
        <v>45</v>
      </c>
      <c r="W2390" s="7" t="s">
        <v>46</v>
      </c>
      <c r="X2390" s="7" t="s">
        <v>90</v>
      </c>
      <c r="Y2390" s="7" t="s">
        <v>5889</v>
      </c>
      <c r="Z2390" s="7" t="s">
        <v>1060</v>
      </c>
      <c r="AA2390" s="7"/>
      <c r="AB2390" s="7"/>
      <c r="AC2390" s="7" t="s">
        <v>4817</v>
      </c>
      <c r="AD2390" s="7" t="s">
        <v>5752</v>
      </c>
      <c r="AE2390" s="7" t="s">
        <v>5703</v>
      </c>
      <c r="AF2390" s="7" t="s">
        <v>113</v>
      </c>
      <c r="AG2390" s="7" t="s">
        <v>366</v>
      </c>
      <c r="AH2390" s="7" t="s">
        <v>4818</v>
      </c>
    </row>
    <row r="2391" spans="1:34" ht="9.75" customHeight="1" x14ac:dyDescent="0.2">
      <c r="A2391" s="7" t="s">
        <v>5597</v>
      </c>
      <c r="B2391" s="7" t="s">
        <v>4812</v>
      </c>
      <c r="C2391" s="7"/>
      <c r="D2391" s="7" t="s">
        <v>5890</v>
      </c>
      <c r="E2391" s="8">
        <v>2</v>
      </c>
      <c r="F2391" s="7" t="s">
        <v>5703</v>
      </c>
      <c r="G2391" s="7"/>
      <c r="H2391" s="9"/>
      <c r="I2391" s="9"/>
      <c r="J2391" s="9"/>
      <c r="K2391" s="9"/>
      <c r="L2391" s="9"/>
      <c r="M2391" s="9"/>
      <c r="N2391" s="9"/>
      <c r="O2391" s="9"/>
      <c r="P2391" s="9"/>
      <c r="Q2391" s="9"/>
      <c r="R2391" s="9"/>
      <c r="S2391" s="7" t="s">
        <v>219</v>
      </c>
      <c r="T2391" s="7"/>
      <c r="U2391" s="7" t="s">
        <v>44</v>
      </c>
      <c r="V2391" s="7" t="s">
        <v>45</v>
      </c>
      <c r="W2391" s="7" t="s">
        <v>67</v>
      </c>
      <c r="X2391" s="7" t="s">
        <v>68</v>
      </c>
      <c r="Y2391" s="7" t="s">
        <v>5891</v>
      </c>
      <c r="Z2391" s="7" t="s">
        <v>1060</v>
      </c>
      <c r="AA2391" s="7"/>
      <c r="AB2391" s="7"/>
      <c r="AC2391" s="7" t="s">
        <v>4817</v>
      </c>
      <c r="AD2391" s="7" t="s">
        <v>5752</v>
      </c>
      <c r="AE2391" s="7" t="s">
        <v>5703</v>
      </c>
      <c r="AF2391" s="7" t="s">
        <v>113</v>
      </c>
      <c r="AG2391" s="7" t="s">
        <v>366</v>
      </c>
      <c r="AH2391" s="7" t="s">
        <v>4818</v>
      </c>
    </row>
    <row r="2392" spans="1:34" ht="9.75" customHeight="1" x14ac:dyDescent="0.2">
      <c r="A2392" s="7" t="s">
        <v>5597</v>
      </c>
      <c r="B2392" s="7" t="s">
        <v>4812</v>
      </c>
      <c r="C2392" s="7"/>
      <c r="D2392" s="7" t="s">
        <v>5892</v>
      </c>
      <c r="E2392" s="8">
        <v>5</v>
      </c>
      <c r="F2392" s="7" t="s">
        <v>5703</v>
      </c>
      <c r="G2392" s="7"/>
      <c r="H2392" s="9"/>
      <c r="I2392" s="9"/>
      <c r="J2392" s="9"/>
      <c r="K2392" s="9"/>
      <c r="L2392" s="9"/>
      <c r="M2392" s="9"/>
      <c r="N2392" s="9"/>
      <c r="O2392" s="9"/>
      <c r="P2392" s="9"/>
      <c r="Q2392" s="9"/>
      <c r="R2392" s="9"/>
      <c r="S2392" s="7" t="s">
        <v>219</v>
      </c>
      <c r="T2392" s="7"/>
      <c r="U2392" s="7" t="s">
        <v>44</v>
      </c>
      <c r="V2392" s="7" t="s">
        <v>45</v>
      </c>
      <c r="W2392" s="7" t="s">
        <v>46</v>
      </c>
      <c r="X2392" s="7" t="s">
        <v>4856</v>
      </c>
      <c r="Y2392" s="7" t="s">
        <v>5893</v>
      </c>
      <c r="Z2392" s="7" t="s">
        <v>1060</v>
      </c>
      <c r="AA2392" s="7"/>
      <c r="AB2392" s="7"/>
      <c r="AC2392" s="7" t="s">
        <v>4817</v>
      </c>
      <c r="AD2392" s="7" t="s">
        <v>5752</v>
      </c>
      <c r="AE2392" s="7" t="s">
        <v>5703</v>
      </c>
      <c r="AF2392" s="7" t="s">
        <v>113</v>
      </c>
      <c r="AG2392" s="7" t="s">
        <v>366</v>
      </c>
      <c r="AH2392" s="7" t="s">
        <v>4818</v>
      </c>
    </row>
    <row r="2393" spans="1:34" ht="9.75" customHeight="1" x14ac:dyDescent="0.2">
      <c r="A2393" s="7" t="s">
        <v>5597</v>
      </c>
      <c r="B2393" s="7" t="s">
        <v>4812</v>
      </c>
      <c r="C2393" s="7"/>
      <c r="D2393" s="7" t="s">
        <v>5894</v>
      </c>
      <c r="E2393" s="8">
        <v>2</v>
      </c>
      <c r="F2393" s="7" t="s">
        <v>5703</v>
      </c>
      <c r="G2393" s="7"/>
      <c r="H2393" s="9"/>
      <c r="I2393" s="9"/>
      <c r="J2393" s="9"/>
      <c r="K2393" s="9"/>
      <c r="L2393" s="9"/>
      <c r="M2393" s="9"/>
      <c r="N2393" s="9"/>
      <c r="O2393" s="9"/>
      <c r="P2393" s="9"/>
      <c r="Q2393" s="9"/>
      <c r="R2393" s="9"/>
      <c r="S2393" s="7" t="s">
        <v>219</v>
      </c>
      <c r="T2393" s="7"/>
      <c r="U2393" s="7" t="s">
        <v>44</v>
      </c>
      <c r="V2393" s="7" t="s">
        <v>45</v>
      </c>
      <c r="W2393" s="7" t="s">
        <v>67</v>
      </c>
      <c r="X2393" s="7" t="s">
        <v>68</v>
      </c>
      <c r="Y2393" s="7" t="s">
        <v>5895</v>
      </c>
      <c r="Z2393" s="7" t="s">
        <v>1060</v>
      </c>
      <c r="AA2393" s="7"/>
      <c r="AB2393" s="7"/>
      <c r="AC2393" s="7" t="s">
        <v>4817</v>
      </c>
      <c r="AD2393" s="7" t="s">
        <v>5752</v>
      </c>
      <c r="AE2393" s="7" t="s">
        <v>5703</v>
      </c>
      <c r="AF2393" s="7" t="s">
        <v>113</v>
      </c>
      <c r="AG2393" s="7" t="s">
        <v>366</v>
      </c>
      <c r="AH2393" s="7" t="s">
        <v>4818</v>
      </c>
    </row>
    <row r="2394" spans="1:34" ht="9.75" customHeight="1" x14ac:dyDescent="0.2">
      <c r="A2394" s="7" t="s">
        <v>5597</v>
      </c>
      <c r="B2394" s="7" t="s">
        <v>4812</v>
      </c>
      <c r="C2394" s="7"/>
      <c r="D2394" s="7" t="s">
        <v>5896</v>
      </c>
      <c r="E2394" s="8">
        <v>2</v>
      </c>
      <c r="F2394" s="7" t="s">
        <v>5703</v>
      </c>
      <c r="G2394" s="7"/>
      <c r="H2394" s="9"/>
      <c r="I2394" s="9"/>
      <c r="J2394" s="9"/>
      <c r="K2394" s="9"/>
      <c r="L2394" s="9"/>
      <c r="M2394" s="9"/>
      <c r="N2394" s="9"/>
      <c r="O2394" s="9"/>
      <c r="P2394" s="9"/>
      <c r="Q2394" s="9"/>
      <c r="R2394" s="9"/>
      <c r="S2394" s="7" t="s">
        <v>219</v>
      </c>
      <c r="T2394" s="7"/>
      <c r="U2394" s="7" t="s">
        <v>44</v>
      </c>
      <c r="V2394" s="7" t="s">
        <v>45</v>
      </c>
      <c r="W2394" s="7" t="s">
        <v>67</v>
      </c>
      <c r="X2394" s="7" t="s">
        <v>68</v>
      </c>
      <c r="Y2394" s="7" t="s">
        <v>5897</v>
      </c>
      <c r="Z2394" s="7" t="s">
        <v>1060</v>
      </c>
      <c r="AA2394" s="7"/>
      <c r="AB2394" s="7"/>
      <c r="AC2394" s="7" t="s">
        <v>4817</v>
      </c>
      <c r="AD2394" s="7" t="s">
        <v>5752</v>
      </c>
      <c r="AE2394" s="7" t="s">
        <v>5703</v>
      </c>
      <c r="AF2394" s="7" t="s">
        <v>113</v>
      </c>
      <c r="AG2394" s="7" t="s">
        <v>366</v>
      </c>
      <c r="AH2394" s="7" t="s">
        <v>4818</v>
      </c>
    </row>
    <row r="2395" spans="1:34" ht="9.75" customHeight="1" x14ac:dyDescent="0.2">
      <c r="A2395" s="7" t="s">
        <v>5597</v>
      </c>
      <c r="B2395" s="7" t="s">
        <v>4812</v>
      </c>
      <c r="C2395" s="7"/>
      <c r="D2395" s="7" t="s">
        <v>5898</v>
      </c>
      <c r="E2395" s="8">
        <v>2</v>
      </c>
      <c r="F2395" s="7" t="s">
        <v>5703</v>
      </c>
      <c r="G2395" s="7"/>
      <c r="H2395" s="9"/>
      <c r="I2395" s="9"/>
      <c r="J2395" s="9"/>
      <c r="K2395" s="9"/>
      <c r="L2395" s="9"/>
      <c r="M2395" s="9"/>
      <c r="N2395" s="9"/>
      <c r="O2395" s="9"/>
      <c r="P2395" s="9"/>
      <c r="Q2395" s="9"/>
      <c r="R2395" s="9"/>
      <c r="S2395" s="7" t="s">
        <v>219</v>
      </c>
      <c r="T2395" s="7"/>
      <c r="U2395" s="7" t="s">
        <v>44</v>
      </c>
      <c r="V2395" s="7" t="s">
        <v>45</v>
      </c>
      <c r="W2395" s="7" t="s">
        <v>46</v>
      </c>
      <c r="X2395" s="7" t="s">
        <v>90</v>
      </c>
      <c r="Y2395" s="7" t="s">
        <v>5899</v>
      </c>
      <c r="Z2395" s="7" t="s">
        <v>1060</v>
      </c>
      <c r="AA2395" s="7"/>
      <c r="AB2395" s="7"/>
      <c r="AC2395" s="7" t="s">
        <v>4817</v>
      </c>
      <c r="AD2395" s="7" t="s">
        <v>5752</v>
      </c>
      <c r="AE2395" s="7" t="s">
        <v>5703</v>
      </c>
      <c r="AF2395" s="7" t="s">
        <v>113</v>
      </c>
      <c r="AG2395" s="7" t="s">
        <v>366</v>
      </c>
      <c r="AH2395" s="7" t="s">
        <v>4818</v>
      </c>
    </row>
    <row r="2396" spans="1:34" ht="9.75" customHeight="1" x14ac:dyDescent="0.2">
      <c r="A2396" s="7" t="s">
        <v>5597</v>
      </c>
      <c r="B2396" s="7" t="s">
        <v>4812</v>
      </c>
      <c r="C2396" s="7"/>
      <c r="D2396" s="7" t="s">
        <v>5900</v>
      </c>
      <c r="E2396" s="8">
        <v>2</v>
      </c>
      <c r="F2396" s="7" t="s">
        <v>5703</v>
      </c>
      <c r="G2396" s="7"/>
      <c r="H2396" s="9"/>
      <c r="I2396" s="9"/>
      <c r="J2396" s="9"/>
      <c r="K2396" s="9"/>
      <c r="L2396" s="9"/>
      <c r="M2396" s="9"/>
      <c r="N2396" s="9"/>
      <c r="O2396" s="9"/>
      <c r="P2396" s="9"/>
      <c r="Q2396" s="9"/>
      <c r="R2396" s="9"/>
      <c r="S2396" s="7" t="s">
        <v>219</v>
      </c>
      <c r="T2396" s="7"/>
      <c r="U2396" s="7" t="s">
        <v>44</v>
      </c>
      <c r="V2396" s="7" t="s">
        <v>45</v>
      </c>
      <c r="W2396" s="7" t="s">
        <v>67</v>
      </c>
      <c r="X2396" s="7" t="s">
        <v>68</v>
      </c>
      <c r="Y2396" s="7" t="s">
        <v>5901</v>
      </c>
      <c r="Z2396" s="7" t="s">
        <v>1060</v>
      </c>
      <c r="AA2396" s="7"/>
      <c r="AB2396" s="7"/>
      <c r="AC2396" s="7" t="s">
        <v>4817</v>
      </c>
      <c r="AD2396" s="7" t="s">
        <v>5752</v>
      </c>
      <c r="AE2396" s="7" t="s">
        <v>5703</v>
      </c>
      <c r="AF2396" s="7" t="s">
        <v>113</v>
      </c>
      <c r="AG2396" s="7" t="s">
        <v>366</v>
      </c>
      <c r="AH2396" s="7" t="s">
        <v>4818</v>
      </c>
    </row>
    <row r="2397" spans="1:34" ht="9.75" customHeight="1" x14ac:dyDescent="0.2">
      <c r="A2397" s="7" t="s">
        <v>5597</v>
      </c>
      <c r="B2397" s="7" t="s">
        <v>4812</v>
      </c>
      <c r="C2397" s="7"/>
      <c r="D2397" s="7" t="s">
        <v>5902</v>
      </c>
      <c r="E2397" s="8">
        <v>2</v>
      </c>
      <c r="F2397" s="7" t="s">
        <v>5703</v>
      </c>
      <c r="G2397" s="7"/>
      <c r="H2397" s="9"/>
      <c r="I2397" s="9"/>
      <c r="J2397" s="9"/>
      <c r="K2397" s="9"/>
      <c r="L2397" s="9"/>
      <c r="M2397" s="9"/>
      <c r="N2397" s="9"/>
      <c r="O2397" s="9"/>
      <c r="P2397" s="9"/>
      <c r="Q2397" s="9"/>
      <c r="R2397" s="9"/>
      <c r="S2397" s="7" t="s">
        <v>219</v>
      </c>
      <c r="T2397" s="7"/>
      <c r="U2397" s="7" t="s">
        <v>44</v>
      </c>
      <c r="V2397" s="7" t="s">
        <v>45</v>
      </c>
      <c r="W2397" s="7" t="s">
        <v>46</v>
      </c>
      <c r="X2397" s="7" t="s">
        <v>90</v>
      </c>
      <c r="Y2397" s="7" t="s">
        <v>5903</v>
      </c>
      <c r="Z2397" s="7" t="s">
        <v>1060</v>
      </c>
      <c r="AA2397" s="7"/>
      <c r="AB2397" s="7"/>
      <c r="AC2397" s="7" t="s">
        <v>4817</v>
      </c>
      <c r="AD2397" s="7" t="s">
        <v>5752</v>
      </c>
      <c r="AE2397" s="7" t="s">
        <v>5703</v>
      </c>
      <c r="AF2397" s="7" t="s">
        <v>113</v>
      </c>
      <c r="AG2397" s="7" t="s">
        <v>366</v>
      </c>
      <c r="AH2397" s="7" t="s">
        <v>4818</v>
      </c>
    </row>
    <row r="2398" spans="1:34" ht="9.75" customHeight="1" x14ac:dyDescent="0.2">
      <c r="A2398" s="7" t="s">
        <v>5597</v>
      </c>
      <c r="B2398" s="7" t="s">
        <v>4812</v>
      </c>
      <c r="C2398" s="7"/>
      <c r="D2398" s="7" t="s">
        <v>5904</v>
      </c>
      <c r="E2398" s="8">
        <v>2</v>
      </c>
      <c r="F2398" s="7" t="s">
        <v>5703</v>
      </c>
      <c r="G2398" s="7"/>
      <c r="H2398" s="9"/>
      <c r="I2398" s="9"/>
      <c r="J2398" s="9"/>
      <c r="K2398" s="9"/>
      <c r="L2398" s="9"/>
      <c r="M2398" s="9"/>
      <c r="N2398" s="9"/>
      <c r="O2398" s="9"/>
      <c r="P2398" s="9"/>
      <c r="Q2398" s="9"/>
      <c r="R2398" s="9"/>
      <c r="S2398" s="7" t="s">
        <v>219</v>
      </c>
      <c r="T2398" s="7"/>
      <c r="U2398" s="7" t="s">
        <v>44</v>
      </c>
      <c r="V2398" s="7" t="s">
        <v>45</v>
      </c>
      <c r="W2398" s="7" t="s">
        <v>46</v>
      </c>
      <c r="X2398" s="7" t="s">
        <v>90</v>
      </c>
      <c r="Y2398" s="7" t="s">
        <v>5905</v>
      </c>
      <c r="Z2398" s="7" t="s">
        <v>1060</v>
      </c>
      <c r="AA2398" s="7"/>
      <c r="AB2398" s="7"/>
      <c r="AC2398" s="7" t="s">
        <v>4817</v>
      </c>
      <c r="AD2398" s="7" t="s">
        <v>5752</v>
      </c>
      <c r="AE2398" s="7" t="s">
        <v>5703</v>
      </c>
      <c r="AF2398" s="7" t="s">
        <v>113</v>
      </c>
      <c r="AG2398" s="7" t="s">
        <v>366</v>
      </c>
      <c r="AH2398" s="7" t="s">
        <v>4818</v>
      </c>
    </row>
    <row r="2399" spans="1:34" ht="9.75" customHeight="1" x14ac:dyDescent="0.2">
      <c r="A2399" s="7" t="s">
        <v>5597</v>
      </c>
      <c r="B2399" s="7" t="s">
        <v>4812</v>
      </c>
      <c r="C2399" s="7"/>
      <c r="D2399" s="7" t="s">
        <v>5898</v>
      </c>
      <c r="E2399" s="8">
        <v>2</v>
      </c>
      <c r="F2399" s="7" t="s">
        <v>5703</v>
      </c>
      <c r="G2399" s="7"/>
      <c r="H2399" s="9"/>
      <c r="I2399" s="9"/>
      <c r="J2399" s="9"/>
      <c r="K2399" s="9"/>
      <c r="L2399" s="9"/>
      <c r="M2399" s="9"/>
      <c r="N2399" s="9"/>
      <c r="O2399" s="9"/>
      <c r="P2399" s="9"/>
      <c r="Q2399" s="9"/>
      <c r="R2399" s="9"/>
      <c r="S2399" s="7" t="s">
        <v>219</v>
      </c>
      <c r="T2399" s="7"/>
      <c r="U2399" s="7" t="s">
        <v>44</v>
      </c>
      <c r="V2399" s="7" t="s">
        <v>45</v>
      </c>
      <c r="W2399" s="7" t="s">
        <v>46</v>
      </c>
      <c r="X2399" s="7" t="s">
        <v>90</v>
      </c>
      <c r="Y2399" s="7" t="s">
        <v>5899</v>
      </c>
      <c r="Z2399" s="7" t="s">
        <v>1060</v>
      </c>
      <c r="AA2399" s="7"/>
      <c r="AB2399" s="7"/>
      <c r="AC2399" s="7" t="s">
        <v>4817</v>
      </c>
      <c r="AD2399" s="7" t="s">
        <v>5752</v>
      </c>
      <c r="AE2399" s="7" t="s">
        <v>5703</v>
      </c>
      <c r="AF2399" s="7" t="s">
        <v>113</v>
      </c>
      <c r="AG2399" s="7" t="s">
        <v>366</v>
      </c>
      <c r="AH2399" s="7" t="s">
        <v>4818</v>
      </c>
    </row>
    <row r="2400" spans="1:34" ht="9.75" customHeight="1" x14ac:dyDescent="0.2">
      <c r="A2400" s="7" t="s">
        <v>5597</v>
      </c>
      <c r="B2400" s="7" t="s">
        <v>4812</v>
      </c>
      <c r="C2400" s="7"/>
      <c r="D2400" s="7" t="s">
        <v>5906</v>
      </c>
      <c r="E2400" s="8">
        <v>5</v>
      </c>
      <c r="F2400" s="7" t="s">
        <v>5703</v>
      </c>
      <c r="G2400" s="7"/>
      <c r="H2400" s="9"/>
      <c r="I2400" s="9"/>
      <c r="J2400" s="9"/>
      <c r="K2400" s="9"/>
      <c r="L2400" s="9"/>
      <c r="M2400" s="9"/>
      <c r="N2400" s="9"/>
      <c r="O2400" s="9"/>
      <c r="P2400" s="9"/>
      <c r="Q2400" s="9"/>
      <c r="R2400" s="9"/>
      <c r="S2400" s="7" t="s">
        <v>219</v>
      </c>
      <c r="T2400" s="7"/>
      <c r="U2400" s="7" t="s">
        <v>44</v>
      </c>
      <c r="V2400" s="7" t="s">
        <v>45</v>
      </c>
      <c r="W2400" s="7" t="s">
        <v>46</v>
      </c>
      <c r="X2400" s="7" t="s">
        <v>4856</v>
      </c>
      <c r="Y2400" s="7" t="s">
        <v>5907</v>
      </c>
      <c r="Z2400" s="7" t="s">
        <v>1060</v>
      </c>
      <c r="AA2400" s="7"/>
      <c r="AB2400" s="7"/>
      <c r="AC2400" s="7" t="s">
        <v>4817</v>
      </c>
      <c r="AD2400" s="7" t="s">
        <v>5752</v>
      </c>
      <c r="AE2400" s="7" t="s">
        <v>5703</v>
      </c>
      <c r="AF2400" s="7" t="s">
        <v>113</v>
      </c>
      <c r="AG2400" s="7" t="s">
        <v>366</v>
      </c>
      <c r="AH2400" s="7" t="s">
        <v>4818</v>
      </c>
    </row>
    <row r="2401" spans="1:34" ht="9.75" customHeight="1" x14ac:dyDescent="0.2">
      <c r="A2401" s="7" t="s">
        <v>5597</v>
      </c>
      <c r="B2401" s="7" t="s">
        <v>4812</v>
      </c>
      <c r="C2401" s="7"/>
      <c r="D2401" s="7" t="s">
        <v>5900</v>
      </c>
      <c r="E2401" s="8">
        <v>2</v>
      </c>
      <c r="F2401" s="7" t="s">
        <v>5703</v>
      </c>
      <c r="G2401" s="7"/>
      <c r="H2401" s="9"/>
      <c r="I2401" s="9"/>
      <c r="J2401" s="9"/>
      <c r="K2401" s="9"/>
      <c r="L2401" s="9"/>
      <c r="M2401" s="9"/>
      <c r="N2401" s="9"/>
      <c r="O2401" s="9"/>
      <c r="P2401" s="9"/>
      <c r="Q2401" s="9"/>
      <c r="R2401" s="9"/>
      <c r="S2401" s="7" t="s">
        <v>219</v>
      </c>
      <c r="T2401" s="7"/>
      <c r="U2401" s="7" t="s">
        <v>44</v>
      </c>
      <c r="V2401" s="7" t="s">
        <v>45</v>
      </c>
      <c r="W2401" s="7" t="s">
        <v>67</v>
      </c>
      <c r="X2401" s="7" t="s">
        <v>68</v>
      </c>
      <c r="Y2401" s="7" t="s">
        <v>5901</v>
      </c>
      <c r="Z2401" s="7" t="s">
        <v>1060</v>
      </c>
      <c r="AA2401" s="7"/>
      <c r="AB2401" s="7"/>
      <c r="AC2401" s="7" t="s">
        <v>4817</v>
      </c>
      <c r="AD2401" s="7" t="s">
        <v>5752</v>
      </c>
      <c r="AE2401" s="7" t="s">
        <v>5703</v>
      </c>
      <c r="AF2401" s="7" t="s">
        <v>113</v>
      </c>
      <c r="AG2401" s="7" t="s">
        <v>366</v>
      </c>
      <c r="AH2401" s="7" t="s">
        <v>4818</v>
      </c>
    </row>
    <row r="2402" spans="1:34" ht="9.75" customHeight="1" x14ac:dyDescent="0.2">
      <c r="A2402" s="7" t="s">
        <v>5597</v>
      </c>
      <c r="B2402" s="7" t="s">
        <v>4812</v>
      </c>
      <c r="C2402" s="7"/>
      <c r="D2402" s="7" t="s">
        <v>5908</v>
      </c>
      <c r="E2402" s="8">
        <v>2</v>
      </c>
      <c r="F2402" s="7" t="s">
        <v>5703</v>
      </c>
      <c r="G2402" s="7"/>
      <c r="H2402" s="9"/>
      <c r="I2402" s="9"/>
      <c r="J2402" s="9"/>
      <c r="K2402" s="9"/>
      <c r="L2402" s="9"/>
      <c r="M2402" s="9"/>
      <c r="N2402" s="9"/>
      <c r="O2402" s="9"/>
      <c r="P2402" s="9"/>
      <c r="Q2402" s="9"/>
      <c r="R2402" s="9"/>
      <c r="S2402" s="7" t="s">
        <v>219</v>
      </c>
      <c r="T2402" s="7"/>
      <c r="U2402" s="7" t="s">
        <v>44</v>
      </c>
      <c r="V2402" s="7" t="s">
        <v>45</v>
      </c>
      <c r="W2402" s="7" t="s">
        <v>46</v>
      </c>
      <c r="X2402" s="7" t="s">
        <v>90</v>
      </c>
      <c r="Y2402" s="7" t="s">
        <v>5909</v>
      </c>
      <c r="Z2402" s="7" t="s">
        <v>1060</v>
      </c>
      <c r="AA2402" s="7"/>
      <c r="AB2402" s="7"/>
      <c r="AC2402" s="7" t="s">
        <v>4817</v>
      </c>
      <c r="AD2402" s="7" t="s">
        <v>5752</v>
      </c>
      <c r="AE2402" s="7" t="s">
        <v>5703</v>
      </c>
      <c r="AF2402" s="7" t="s">
        <v>113</v>
      </c>
      <c r="AG2402" s="7" t="s">
        <v>366</v>
      </c>
      <c r="AH2402" s="7" t="s">
        <v>4818</v>
      </c>
    </row>
    <row r="2403" spans="1:34" ht="9.75" customHeight="1" x14ac:dyDescent="0.2">
      <c r="A2403" s="7" t="s">
        <v>5597</v>
      </c>
      <c r="B2403" s="7" t="s">
        <v>4812</v>
      </c>
      <c r="C2403" s="7"/>
      <c r="D2403" s="7" t="s">
        <v>5890</v>
      </c>
      <c r="E2403" s="8">
        <v>2</v>
      </c>
      <c r="F2403" s="7" t="s">
        <v>5703</v>
      </c>
      <c r="G2403" s="7"/>
      <c r="H2403" s="9"/>
      <c r="I2403" s="9"/>
      <c r="J2403" s="9"/>
      <c r="K2403" s="9"/>
      <c r="L2403" s="9"/>
      <c r="M2403" s="9"/>
      <c r="N2403" s="9"/>
      <c r="O2403" s="9"/>
      <c r="P2403" s="9"/>
      <c r="Q2403" s="9"/>
      <c r="R2403" s="9"/>
      <c r="S2403" s="7" t="s">
        <v>219</v>
      </c>
      <c r="T2403" s="7"/>
      <c r="U2403" s="7" t="s">
        <v>44</v>
      </c>
      <c r="V2403" s="7" t="s">
        <v>45</v>
      </c>
      <c r="W2403" s="7" t="s">
        <v>67</v>
      </c>
      <c r="X2403" s="7" t="s">
        <v>68</v>
      </c>
      <c r="Y2403" s="7" t="s">
        <v>5891</v>
      </c>
      <c r="Z2403" s="7" t="s">
        <v>1060</v>
      </c>
      <c r="AA2403" s="7"/>
      <c r="AB2403" s="7"/>
      <c r="AC2403" s="7" t="s">
        <v>4817</v>
      </c>
      <c r="AD2403" s="7" t="s">
        <v>5752</v>
      </c>
      <c r="AE2403" s="7" t="s">
        <v>5703</v>
      </c>
      <c r="AF2403" s="7" t="s">
        <v>113</v>
      </c>
      <c r="AG2403" s="7" t="s">
        <v>366</v>
      </c>
      <c r="AH2403" s="7" t="s">
        <v>4818</v>
      </c>
    </row>
    <row r="2404" spans="1:34" ht="9.75" customHeight="1" x14ac:dyDescent="0.2">
      <c r="A2404" s="7" t="s">
        <v>5597</v>
      </c>
      <c r="B2404" s="7" t="s">
        <v>4812</v>
      </c>
      <c r="C2404" s="7"/>
      <c r="D2404" s="7" t="s">
        <v>5902</v>
      </c>
      <c r="E2404" s="8">
        <v>2</v>
      </c>
      <c r="F2404" s="7" t="s">
        <v>5703</v>
      </c>
      <c r="G2404" s="7"/>
      <c r="H2404" s="9"/>
      <c r="I2404" s="9"/>
      <c r="J2404" s="9"/>
      <c r="K2404" s="9"/>
      <c r="L2404" s="9"/>
      <c r="M2404" s="9"/>
      <c r="N2404" s="9"/>
      <c r="O2404" s="9"/>
      <c r="P2404" s="9"/>
      <c r="Q2404" s="9"/>
      <c r="R2404" s="9"/>
      <c r="S2404" s="7" t="s">
        <v>219</v>
      </c>
      <c r="T2404" s="7"/>
      <c r="U2404" s="7" t="s">
        <v>44</v>
      </c>
      <c r="V2404" s="7" t="s">
        <v>45</v>
      </c>
      <c r="W2404" s="7" t="s">
        <v>46</v>
      </c>
      <c r="X2404" s="7" t="s">
        <v>90</v>
      </c>
      <c r="Y2404" s="7" t="s">
        <v>5903</v>
      </c>
      <c r="Z2404" s="7" t="s">
        <v>1060</v>
      </c>
      <c r="AA2404" s="7"/>
      <c r="AB2404" s="7"/>
      <c r="AC2404" s="7" t="s">
        <v>4817</v>
      </c>
      <c r="AD2404" s="7" t="s">
        <v>5752</v>
      </c>
      <c r="AE2404" s="7" t="s">
        <v>5703</v>
      </c>
      <c r="AF2404" s="7" t="s">
        <v>113</v>
      </c>
      <c r="AG2404" s="7" t="s">
        <v>366</v>
      </c>
      <c r="AH2404" s="7" t="s">
        <v>4818</v>
      </c>
    </row>
    <row r="2405" spans="1:34" ht="9.75" customHeight="1" x14ac:dyDescent="0.2">
      <c r="A2405" s="7" t="s">
        <v>5597</v>
      </c>
      <c r="B2405" s="7" t="s">
        <v>4812</v>
      </c>
      <c r="C2405" s="7"/>
      <c r="D2405" s="7" t="s">
        <v>5910</v>
      </c>
      <c r="E2405" s="8">
        <v>2</v>
      </c>
      <c r="F2405" s="7" t="s">
        <v>5703</v>
      </c>
      <c r="G2405" s="7"/>
      <c r="H2405" s="9"/>
      <c r="I2405" s="9"/>
      <c r="J2405" s="9"/>
      <c r="K2405" s="9"/>
      <c r="L2405" s="9"/>
      <c r="M2405" s="9"/>
      <c r="N2405" s="9"/>
      <c r="O2405" s="9"/>
      <c r="P2405" s="9"/>
      <c r="Q2405" s="9"/>
      <c r="R2405" s="9"/>
      <c r="S2405" s="7" t="s">
        <v>219</v>
      </c>
      <c r="T2405" s="7"/>
      <c r="U2405" s="7" t="s">
        <v>44</v>
      </c>
      <c r="V2405" s="7" t="s">
        <v>45</v>
      </c>
      <c r="W2405" s="7" t="s">
        <v>46</v>
      </c>
      <c r="X2405" s="7" t="s">
        <v>90</v>
      </c>
      <c r="Y2405" s="7" t="s">
        <v>5911</v>
      </c>
      <c r="Z2405" s="7" t="s">
        <v>1060</v>
      </c>
      <c r="AA2405" s="7"/>
      <c r="AB2405" s="7"/>
      <c r="AC2405" s="7" t="s">
        <v>4817</v>
      </c>
      <c r="AD2405" s="7" t="s">
        <v>5752</v>
      </c>
      <c r="AE2405" s="7" t="s">
        <v>5703</v>
      </c>
      <c r="AF2405" s="7" t="s">
        <v>113</v>
      </c>
      <c r="AG2405" s="7" t="s">
        <v>366</v>
      </c>
      <c r="AH2405" s="7" t="s">
        <v>4818</v>
      </c>
    </row>
    <row r="2406" spans="1:34" ht="9.75" customHeight="1" x14ac:dyDescent="0.2">
      <c r="A2406" s="7" t="s">
        <v>5597</v>
      </c>
      <c r="B2406" s="7" t="s">
        <v>4812</v>
      </c>
      <c r="C2406" s="7"/>
      <c r="D2406" s="7" t="s">
        <v>5912</v>
      </c>
      <c r="E2406" s="8">
        <v>2</v>
      </c>
      <c r="F2406" s="7" t="s">
        <v>5703</v>
      </c>
      <c r="G2406" s="7"/>
      <c r="H2406" s="9"/>
      <c r="I2406" s="9"/>
      <c r="J2406" s="9"/>
      <c r="K2406" s="9"/>
      <c r="L2406" s="9"/>
      <c r="M2406" s="9"/>
      <c r="N2406" s="9"/>
      <c r="O2406" s="9"/>
      <c r="P2406" s="9"/>
      <c r="Q2406" s="9"/>
      <c r="R2406" s="9"/>
      <c r="S2406" s="7" t="s">
        <v>219</v>
      </c>
      <c r="T2406" s="7"/>
      <c r="U2406" s="7" t="s">
        <v>44</v>
      </c>
      <c r="V2406" s="7" t="s">
        <v>45</v>
      </c>
      <c r="W2406" s="7" t="s">
        <v>67</v>
      </c>
      <c r="X2406" s="7" t="s">
        <v>68</v>
      </c>
      <c r="Y2406" s="7" t="s">
        <v>5913</v>
      </c>
      <c r="Z2406" s="7" t="s">
        <v>1060</v>
      </c>
      <c r="AA2406" s="7"/>
      <c r="AB2406" s="7"/>
      <c r="AC2406" s="7" t="s">
        <v>4817</v>
      </c>
      <c r="AD2406" s="7" t="s">
        <v>5752</v>
      </c>
      <c r="AE2406" s="7" t="s">
        <v>5703</v>
      </c>
      <c r="AF2406" s="7" t="s">
        <v>113</v>
      </c>
      <c r="AG2406" s="7" t="s">
        <v>366</v>
      </c>
      <c r="AH2406" s="7" t="s">
        <v>4818</v>
      </c>
    </row>
    <row r="2407" spans="1:34" ht="9.75" customHeight="1" x14ac:dyDescent="0.2">
      <c r="A2407" s="7" t="s">
        <v>5597</v>
      </c>
      <c r="B2407" s="7" t="s">
        <v>4812</v>
      </c>
      <c r="C2407" s="7"/>
      <c r="D2407" s="7" t="s">
        <v>5914</v>
      </c>
      <c r="E2407" s="8">
        <v>2</v>
      </c>
      <c r="F2407" s="7" t="s">
        <v>5703</v>
      </c>
      <c r="G2407" s="7"/>
      <c r="H2407" s="9"/>
      <c r="I2407" s="9"/>
      <c r="J2407" s="9"/>
      <c r="K2407" s="9"/>
      <c r="L2407" s="9"/>
      <c r="M2407" s="9"/>
      <c r="N2407" s="9"/>
      <c r="O2407" s="9"/>
      <c r="P2407" s="9"/>
      <c r="Q2407" s="9"/>
      <c r="R2407" s="9"/>
      <c r="S2407" s="7" t="s">
        <v>219</v>
      </c>
      <c r="T2407" s="7"/>
      <c r="U2407" s="7" t="s">
        <v>44</v>
      </c>
      <c r="V2407" s="7" t="s">
        <v>45</v>
      </c>
      <c r="W2407" s="7" t="s">
        <v>46</v>
      </c>
      <c r="X2407" s="7" t="s">
        <v>90</v>
      </c>
      <c r="Y2407" s="7" t="s">
        <v>5915</v>
      </c>
      <c r="Z2407" s="7" t="s">
        <v>1060</v>
      </c>
      <c r="AA2407" s="7"/>
      <c r="AB2407" s="7"/>
      <c r="AC2407" s="7" t="s">
        <v>4817</v>
      </c>
      <c r="AD2407" s="7" t="s">
        <v>5752</v>
      </c>
      <c r="AE2407" s="7" t="s">
        <v>5703</v>
      </c>
      <c r="AF2407" s="7" t="s">
        <v>113</v>
      </c>
      <c r="AG2407" s="7" t="s">
        <v>366</v>
      </c>
      <c r="AH2407" s="7" t="s">
        <v>4818</v>
      </c>
    </row>
    <row r="2408" spans="1:34" ht="9.75" customHeight="1" x14ac:dyDescent="0.2">
      <c r="A2408" s="7" t="s">
        <v>5597</v>
      </c>
      <c r="B2408" s="7" t="s">
        <v>4812</v>
      </c>
      <c r="C2408" s="7"/>
      <c r="D2408" s="7" t="s">
        <v>5916</v>
      </c>
      <c r="E2408" s="8">
        <v>2</v>
      </c>
      <c r="F2408" s="7" t="s">
        <v>5703</v>
      </c>
      <c r="G2408" s="7"/>
      <c r="H2408" s="9"/>
      <c r="I2408" s="9"/>
      <c r="J2408" s="9"/>
      <c r="K2408" s="9"/>
      <c r="L2408" s="9"/>
      <c r="M2408" s="9"/>
      <c r="N2408" s="9"/>
      <c r="O2408" s="9"/>
      <c r="P2408" s="9"/>
      <c r="Q2408" s="9"/>
      <c r="R2408" s="9"/>
      <c r="S2408" s="7" t="s">
        <v>219</v>
      </c>
      <c r="T2408" s="7"/>
      <c r="U2408" s="7" t="s">
        <v>44</v>
      </c>
      <c r="V2408" s="7" t="s">
        <v>45</v>
      </c>
      <c r="W2408" s="7" t="s">
        <v>67</v>
      </c>
      <c r="X2408" s="7" t="s">
        <v>68</v>
      </c>
      <c r="Y2408" s="7" t="s">
        <v>5917</v>
      </c>
      <c r="Z2408" s="7" t="s">
        <v>1060</v>
      </c>
      <c r="AA2408" s="7"/>
      <c r="AB2408" s="7"/>
      <c r="AC2408" s="7" t="s">
        <v>4817</v>
      </c>
      <c r="AD2408" s="7" t="s">
        <v>5752</v>
      </c>
      <c r="AE2408" s="7" t="s">
        <v>5703</v>
      </c>
      <c r="AF2408" s="7" t="s">
        <v>113</v>
      </c>
      <c r="AG2408" s="7" t="s">
        <v>366</v>
      </c>
      <c r="AH2408" s="7" t="s">
        <v>4818</v>
      </c>
    </row>
    <row r="2409" spans="1:34" ht="9.75" customHeight="1" x14ac:dyDescent="0.2">
      <c r="A2409" s="7" t="s">
        <v>5597</v>
      </c>
      <c r="B2409" s="7" t="s">
        <v>4812</v>
      </c>
      <c r="C2409" s="7"/>
      <c r="D2409" s="7" t="s">
        <v>5918</v>
      </c>
      <c r="E2409" s="8">
        <v>2</v>
      </c>
      <c r="F2409" s="7" t="s">
        <v>4383</v>
      </c>
      <c r="G2409" s="7"/>
      <c r="H2409" s="9"/>
      <c r="I2409" s="10">
        <v>1536562</v>
      </c>
      <c r="J2409" s="10">
        <v>1689320</v>
      </c>
      <c r="K2409" s="9"/>
      <c r="L2409" s="10">
        <v>1634100</v>
      </c>
      <c r="M2409" s="9"/>
      <c r="N2409" s="9"/>
      <c r="O2409" s="9"/>
      <c r="P2409" s="10"/>
      <c r="Q2409" s="10"/>
      <c r="R2409" s="10"/>
      <c r="S2409" s="7" t="s">
        <v>54</v>
      </c>
      <c r="T2409" s="7" t="s">
        <v>5919</v>
      </c>
      <c r="U2409" s="7"/>
      <c r="V2409" s="7"/>
      <c r="W2409" s="7"/>
      <c r="X2409" s="7"/>
      <c r="Y2409" s="7" t="s">
        <v>5920</v>
      </c>
      <c r="Z2409" s="7" t="s">
        <v>1076</v>
      </c>
      <c r="AA2409" s="7"/>
      <c r="AB2409" s="7"/>
      <c r="AC2409" s="7" t="s">
        <v>4817</v>
      </c>
      <c r="AD2409" s="7" t="s">
        <v>5921</v>
      </c>
      <c r="AE2409" s="7" t="s">
        <v>5609</v>
      </c>
      <c r="AF2409" s="7" t="s">
        <v>113</v>
      </c>
      <c r="AG2409" s="7" t="s">
        <v>366</v>
      </c>
      <c r="AH2409" s="7" t="s">
        <v>4818</v>
      </c>
    </row>
    <row r="2410" spans="1:34" ht="9.75" customHeight="1" x14ac:dyDescent="0.2">
      <c r="A2410" s="7" t="s">
        <v>5597</v>
      </c>
      <c r="B2410" s="7" t="s">
        <v>4812</v>
      </c>
      <c r="C2410" s="7"/>
      <c r="D2410" s="7" t="s">
        <v>5922</v>
      </c>
      <c r="E2410" s="8">
        <v>2</v>
      </c>
      <c r="F2410" s="7" t="s">
        <v>4383</v>
      </c>
      <c r="G2410" s="7"/>
      <c r="H2410" s="9"/>
      <c r="I2410" s="10">
        <v>1345207</v>
      </c>
      <c r="J2410" s="10">
        <v>1490550</v>
      </c>
      <c r="K2410" s="9"/>
      <c r="L2410" s="10">
        <v>1424720</v>
      </c>
      <c r="M2410" s="9"/>
      <c r="N2410" s="9"/>
      <c r="O2410" s="9"/>
      <c r="P2410" s="10"/>
      <c r="Q2410" s="10"/>
      <c r="R2410" s="10"/>
      <c r="S2410" s="7" t="s">
        <v>54</v>
      </c>
      <c r="T2410" s="7" t="s">
        <v>5919</v>
      </c>
      <c r="U2410" s="7"/>
      <c r="V2410" s="7"/>
      <c r="W2410" s="7"/>
      <c r="X2410" s="7"/>
      <c r="Y2410" s="7" t="s">
        <v>5923</v>
      </c>
      <c r="Z2410" s="7" t="s">
        <v>1076</v>
      </c>
      <c r="AA2410" s="7"/>
      <c r="AB2410" s="7"/>
      <c r="AC2410" s="7" t="s">
        <v>4817</v>
      </c>
      <c r="AD2410" s="7" t="s">
        <v>5921</v>
      </c>
      <c r="AE2410" s="7" t="s">
        <v>5609</v>
      </c>
      <c r="AF2410" s="7" t="s">
        <v>113</v>
      </c>
      <c r="AG2410" s="7" t="s">
        <v>366</v>
      </c>
      <c r="AH2410" s="7" t="s">
        <v>4818</v>
      </c>
    </row>
    <row r="2411" spans="1:34" ht="9.75" customHeight="1" x14ac:dyDescent="0.2">
      <c r="A2411" s="7" t="s">
        <v>5597</v>
      </c>
      <c r="B2411" s="7" t="s">
        <v>4812</v>
      </c>
      <c r="C2411" s="7"/>
      <c r="D2411" s="7" t="s">
        <v>5924</v>
      </c>
      <c r="E2411" s="8">
        <v>2</v>
      </c>
      <c r="F2411" s="7" t="s">
        <v>4383</v>
      </c>
      <c r="G2411" s="7"/>
      <c r="H2411" s="9"/>
      <c r="I2411" s="10">
        <v>1200641</v>
      </c>
      <c r="J2411" s="10">
        <v>1309897</v>
      </c>
      <c r="K2411" s="9"/>
      <c r="L2411" s="10">
        <v>1165641</v>
      </c>
      <c r="M2411" s="9"/>
      <c r="N2411" s="9"/>
      <c r="O2411" s="9"/>
      <c r="P2411" s="10"/>
      <c r="Q2411" s="10"/>
      <c r="R2411" s="10"/>
      <c r="S2411" s="7" t="s">
        <v>54</v>
      </c>
      <c r="T2411" s="7" t="s">
        <v>5919</v>
      </c>
      <c r="U2411" s="7"/>
      <c r="V2411" s="7"/>
      <c r="W2411" s="7"/>
      <c r="X2411" s="7"/>
      <c r="Y2411" s="7" t="s">
        <v>5925</v>
      </c>
      <c r="Z2411" s="7" t="s">
        <v>1076</v>
      </c>
      <c r="AA2411" s="7"/>
      <c r="AB2411" s="7"/>
      <c r="AC2411" s="7" t="s">
        <v>4817</v>
      </c>
      <c r="AD2411" s="7" t="s">
        <v>5921</v>
      </c>
      <c r="AE2411" s="7" t="s">
        <v>5609</v>
      </c>
      <c r="AF2411" s="7" t="s">
        <v>113</v>
      </c>
      <c r="AG2411" s="7" t="s">
        <v>366</v>
      </c>
      <c r="AH2411" s="7" t="s">
        <v>4818</v>
      </c>
    </row>
    <row r="2412" spans="1:34" ht="9.75" customHeight="1" x14ac:dyDescent="0.2">
      <c r="A2412" s="7" t="s">
        <v>5597</v>
      </c>
      <c r="B2412" s="7" t="s">
        <v>4812</v>
      </c>
      <c r="C2412" s="7"/>
      <c r="D2412" s="7" t="s">
        <v>5926</v>
      </c>
      <c r="E2412" s="8">
        <v>2</v>
      </c>
      <c r="F2412" s="7" t="s">
        <v>4383</v>
      </c>
      <c r="G2412" s="7"/>
      <c r="H2412" s="9"/>
      <c r="I2412" s="10">
        <v>125254</v>
      </c>
      <c r="J2412" s="10">
        <v>160523</v>
      </c>
      <c r="K2412" s="9"/>
      <c r="L2412" s="10">
        <v>238286</v>
      </c>
      <c r="M2412" s="9"/>
      <c r="N2412" s="9"/>
      <c r="O2412" s="9"/>
      <c r="P2412" s="10"/>
      <c r="Q2412" s="10"/>
      <c r="R2412" s="10"/>
      <c r="S2412" s="7" t="s">
        <v>54</v>
      </c>
      <c r="T2412" s="7" t="s">
        <v>5919</v>
      </c>
      <c r="U2412" s="7"/>
      <c r="V2412" s="7"/>
      <c r="W2412" s="7"/>
      <c r="X2412" s="7"/>
      <c r="Y2412" s="7" t="s">
        <v>5927</v>
      </c>
      <c r="Z2412" s="7" t="s">
        <v>1076</v>
      </c>
      <c r="AA2412" s="7"/>
      <c r="AB2412" s="7"/>
      <c r="AC2412" s="7" t="s">
        <v>4817</v>
      </c>
      <c r="AD2412" s="7" t="s">
        <v>5921</v>
      </c>
      <c r="AE2412" s="7" t="s">
        <v>5609</v>
      </c>
      <c r="AF2412" s="7" t="s">
        <v>113</v>
      </c>
      <c r="AG2412" s="7" t="s">
        <v>366</v>
      </c>
      <c r="AH2412" s="7" t="s">
        <v>4818</v>
      </c>
    </row>
    <row r="2413" spans="1:34" ht="9.75" customHeight="1" x14ac:dyDescent="0.2">
      <c r="A2413" s="7" t="s">
        <v>5597</v>
      </c>
      <c r="B2413" s="7" t="s">
        <v>4812</v>
      </c>
      <c r="C2413" s="7"/>
      <c r="D2413" s="7" t="s">
        <v>5928</v>
      </c>
      <c r="E2413" s="8">
        <v>2</v>
      </c>
      <c r="F2413" s="7" t="s">
        <v>4383</v>
      </c>
      <c r="G2413" s="7"/>
      <c r="H2413" s="9"/>
      <c r="I2413" s="10">
        <v>19312</v>
      </c>
      <c r="J2413" s="10">
        <v>20130</v>
      </c>
      <c r="K2413" s="9"/>
      <c r="L2413" s="10">
        <v>20793</v>
      </c>
      <c r="M2413" s="9"/>
      <c r="N2413" s="9"/>
      <c r="O2413" s="9"/>
      <c r="P2413" s="10"/>
      <c r="Q2413" s="10"/>
      <c r="R2413" s="10"/>
      <c r="S2413" s="7" t="s">
        <v>54</v>
      </c>
      <c r="T2413" s="7" t="s">
        <v>5919</v>
      </c>
      <c r="U2413" s="7"/>
      <c r="V2413" s="7"/>
      <c r="W2413" s="7"/>
      <c r="X2413" s="7"/>
      <c r="Y2413" s="7" t="s">
        <v>5929</v>
      </c>
      <c r="Z2413" s="7" t="s">
        <v>1076</v>
      </c>
      <c r="AA2413" s="7"/>
      <c r="AB2413" s="7"/>
      <c r="AC2413" s="7" t="s">
        <v>4817</v>
      </c>
      <c r="AD2413" s="7" t="s">
        <v>5921</v>
      </c>
      <c r="AE2413" s="7" t="s">
        <v>5609</v>
      </c>
      <c r="AF2413" s="7" t="s">
        <v>113</v>
      </c>
      <c r="AG2413" s="7" t="s">
        <v>366</v>
      </c>
      <c r="AH2413" s="7" t="s">
        <v>4818</v>
      </c>
    </row>
    <row r="2414" spans="1:34" ht="9.75" customHeight="1" x14ac:dyDescent="0.2">
      <c r="A2414" s="7" t="s">
        <v>5597</v>
      </c>
      <c r="B2414" s="7" t="s">
        <v>4812</v>
      </c>
      <c r="C2414" s="7"/>
      <c r="D2414" s="7" t="s">
        <v>5930</v>
      </c>
      <c r="E2414" s="8">
        <v>2</v>
      </c>
      <c r="F2414" s="7" t="s">
        <v>4383</v>
      </c>
      <c r="G2414" s="7"/>
      <c r="H2414" s="9"/>
      <c r="I2414" s="10">
        <v>191355</v>
      </c>
      <c r="J2414" s="10">
        <v>198770</v>
      </c>
      <c r="K2414" s="9"/>
      <c r="L2414" s="10">
        <v>209380</v>
      </c>
      <c r="M2414" s="9"/>
      <c r="N2414" s="9"/>
      <c r="O2414" s="9"/>
      <c r="P2414" s="10"/>
      <c r="Q2414" s="10"/>
      <c r="R2414" s="10"/>
      <c r="S2414" s="7" t="s">
        <v>54</v>
      </c>
      <c r="T2414" s="7" t="s">
        <v>5919</v>
      </c>
      <c r="U2414" s="7"/>
      <c r="V2414" s="7"/>
      <c r="W2414" s="7"/>
      <c r="X2414" s="7"/>
      <c r="Y2414" s="7" t="s">
        <v>5931</v>
      </c>
      <c r="Z2414" s="7" t="s">
        <v>1076</v>
      </c>
      <c r="AA2414" s="7"/>
      <c r="AB2414" s="7"/>
      <c r="AC2414" s="7" t="s">
        <v>4817</v>
      </c>
      <c r="AD2414" s="7" t="s">
        <v>5921</v>
      </c>
      <c r="AE2414" s="7" t="s">
        <v>5609</v>
      </c>
      <c r="AF2414" s="7" t="s">
        <v>113</v>
      </c>
      <c r="AG2414" s="7" t="s">
        <v>366</v>
      </c>
      <c r="AH2414" s="7" t="s">
        <v>4818</v>
      </c>
    </row>
    <row r="2415" spans="1:34" ht="9.75" customHeight="1" x14ac:dyDescent="0.2">
      <c r="A2415" s="7" t="s">
        <v>5597</v>
      </c>
      <c r="B2415" s="7" t="s">
        <v>4812</v>
      </c>
      <c r="C2415" s="7"/>
      <c r="D2415" s="7" t="s">
        <v>5932</v>
      </c>
      <c r="E2415" s="8">
        <v>2</v>
      </c>
      <c r="F2415" s="7" t="s">
        <v>4383</v>
      </c>
      <c r="G2415" s="7"/>
      <c r="H2415" s="9"/>
      <c r="I2415" s="10">
        <v>151831</v>
      </c>
      <c r="J2415" s="10">
        <v>118776</v>
      </c>
      <c r="K2415" s="9"/>
      <c r="L2415" s="10">
        <v>173107</v>
      </c>
      <c r="M2415" s="9"/>
      <c r="N2415" s="9"/>
      <c r="O2415" s="9"/>
      <c r="P2415" s="10"/>
      <c r="Q2415" s="10"/>
      <c r="R2415" s="10"/>
      <c r="S2415" s="7" t="s">
        <v>54</v>
      </c>
      <c r="T2415" s="7" t="s">
        <v>5919</v>
      </c>
      <c r="U2415" s="7"/>
      <c r="V2415" s="7"/>
      <c r="W2415" s="7"/>
      <c r="X2415" s="7"/>
      <c r="Y2415" s="7" t="s">
        <v>5933</v>
      </c>
      <c r="Z2415" s="7" t="s">
        <v>1076</v>
      </c>
      <c r="AA2415" s="7"/>
      <c r="AB2415" s="7"/>
      <c r="AC2415" s="7" t="s">
        <v>4817</v>
      </c>
      <c r="AD2415" s="7" t="s">
        <v>5921</v>
      </c>
      <c r="AE2415" s="7" t="s">
        <v>5609</v>
      </c>
      <c r="AF2415" s="7" t="s">
        <v>113</v>
      </c>
      <c r="AG2415" s="7" t="s">
        <v>366</v>
      </c>
      <c r="AH2415" s="7" t="s">
        <v>4818</v>
      </c>
    </row>
    <row r="2416" spans="1:34" ht="9.75" customHeight="1" x14ac:dyDescent="0.2">
      <c r="A2416" s="7" t="s">
        <v>5597</v>
      </c>
      <c r="B2416" s="7" t="s">
        <v>4812</v>
      </c>
      <c r="C2416" s="7"/>
      <c r="D2416" s="7" t="s">
        <v>5934</v>
      </c>
      <c r="E2416" s="8">
        <v>2</v>
      </c>
      <c r="F2416" s="7" t="s">
        <v>4383</v>
      </c>
      <c r="G2416" s="7"/>
      <c r="H2416" s="9"/>
      <c r="I2416" s="10">
        <v>124</v>
      </c>
      <c r="J2416" s="10">
        <v>251</v>
      </c>
      <c r="K2416" s="9"/>
      <c r="L2416" s="10">
        <v>114</v>
      </c>
      <c r="M2416" s="9"/>
      <c r="N2416" s="9"/>
      <c r="O2416" s="9"/>
      <c r="P2416" s="10"/>
      <c r="Q2416" s="10"/>
      <c r="R2416" s="10"/>
      <c r="S2416" s="7" t="s">
        <v>54</v>
      </c>
      <c r="T2416" s="7" t="s">
        <v>5919</v>
      </c>
      <c r="U2416" s="7"/>
      <c r="V2416" s="7"/>
      <c r="W2416" s="7"/>
      <c r="X2416" s="7"/>
      <c r="Y2416" s="7" t="s">
        <v>5935</v>
      </c>
      <c r="Z2416" s="7" t="s">
        <v>1076</v>
      </c>
      <c r="AA2416" s="7"/>
      <c r="AB2416" s="7"/>
      <c r="AC2416" s="7" t="s">
        <v>4817</v>
      </c>
      <c r="AD2416" s="7" t="s">
        <v>5921</v>
      </c>
      <c r="AE2416" s="7" t="s">
        <v>5609</v>
      </c>
      <c r="AF2416" s="7" t="s">
        <v>113</v>
      </c>
      <c r="AG2416" s="7" t="s">
        <v>366</v>
      </c>
      <c r="AH2416" s="7" t="s">
        <v>4818</v>
      </c>
    </row>
    <row r="2417" spans="1:34" ht="9.75" customHeight="1" x14ac:dyDescent="0.2">
      <c r="A2417" s="7" t="s">
        <v>5597</v>
      </c>
      <c r="B2417" s="7" t="s">
        <v>4812</v>
      </c>
      <c r="C2417" s="7"/>
      <c r="D2417" s="7" t="s">
        <v>5936</v>
      </c>
      <c r="E2417" s="8">
        <v>2</v>
      </c>
      <c r="F2417" s="7" t="s">
        <v>4383</v>
      </c>
      <c r="G2417" s="7"/>
      <c r="H2417" s="9"/>
      <c r="I2417" s="10">
        <v>20352</v>
      </c>
      <c r="J2417" s="10">
        <v>41191</v>
      </c>
      <c r="K2417" s="9"/>
      <c r="L2417" s="10">
        <v>18678</v>
      </c>
      <c r="M2417" s="9"/>
      <c r="N2417" s="9"/>
      <c r="O2417" s="9"/>
      <c r="P2417" s="10"/>
      <c r="Q2417" s="10"/>
      <c r="R2417" s="10"/>
      <c r="S2417" s="7" t="s">
        <v>54</v>
      </c>
      <c r="T2417" s="7" t="s">
        <v>5919</v>
      </c>
      <c r="U2417" s="7"/>
      <c r="V2417" s="7"/>
      <c r="W2417" s="7"/>
      <c r="X2417" s="7"/>
      <c r="Y2417" s="7" t="s">
        <v>5937</v>
      </c>
      <c r="Z2417" s="7" t="s">
        <v>1076</v>
      </c>
      <c r="AA2417" s="7"/>
      <c r="AB2417" s="7"/>
      <c r="AC2417" s="7" t="s">
        <v>4817</v>
      </c>
      <c r="AD2417" s="7" t="s">
        <v>5921</v>
      </c>
      <c r="AE2417" s="7" t="s">
        <v>5609</v>
      </c>
      <c r="AF2417" s="7" t="s">
        <v>113</v>
      </c>
      <c r="AG2417" s="7" t="s">
        <v>366</v>
      </c>
      <c r="AH2417" s="7" t="s">
        <v>4818</v>
      </c>
    </row>
    <row r="2418" spans="1:34" ht="9.75" customHeight="1" x14ac:dyDescent="0.2">
      <c r="A2418" s="7" t="s">
        <v>5597</v>
      </c>
      <c r="B2418" s="7" t="s">
        <v>4812</v>
      </c>
      <c r="C2418" s="7"/>
      <c r="D2418" s="7" t="s">
        <v>5938</v>
      </c>
      <c r="E2418" s="8">
        <v>2</v>
      </c>
      <c r="F2418" s="7" t="s">
        <v>4383</v>
      </c>
      <c r="G2418" s="7"/>
      <c r="H2418" s="9"/>
      <c r="I2418" s="10">
        <v>0</v>
      </c>
      <c r="J2418" s="10">
        <v>0</v>
      </c>
      <c r="K2418" s="9"/>
      <c r="L2418" s="10">
        <v>0</v>
      </c>
      <c r="M2418" s="9"/>
      <c r="N2418" s="9"/>
      <c r="O2418" s="9"/>
      <c r="P2418" s="10"/>
      <c r="Q2418" s="10"/>
      <c r="R2418" s="10"/>
      <c r="S2418" s="7" t="s">
        <v>54</v>
      </c>
      <c r="T2418" s="7" t="s">
        <v>5919</v>
      </c>
      <c r="U2418" s="7"/>
      <c r="V2418" s="7"/>
      <c r="W2418" s="7"/>
      <c r="X2418" s="7"/>
      <c r="Y2418" s="7" t="s">
        <v>5939</v>
      </c>
      <c r="Z2418" s="7" t="s">
        <v>1076</v>
      </c>
      <c r="AA2418" s="7"/>
      <c r="AB2418" s="7"/>
      <c r="AC2418" s="7" t="s">
        <v>4817</v>
      </c>
      <c r="AD2418" s="7" t="s">
        <v>5921</v>
      </c>
      <c r="AE2418" s="7" t="s">
        <v>5609</v>
      </c>
      <c r="AF2418" s="7" t="s">
        <v>113</v>
      </c>
      <c r="AG2418" s="7" t="s">
        <v>366</v>
      </c>
      <c r="AH2418" s="7" t="s">
        <v>4818</v>
      </c>
    </row>
    <row r="2419" spans="1:34" ht="9.75" customHeight="1" x14ac:dyDescent="0.2">
      <c r="A2419" s="7" t="s">
        <v>5597</v>
      </c>
      <c r="B2419" s="7" t="s">
        <v>4812</v>
      </c>
      <c r="C2419" s="7"/>
      <c r="D2419" s="7" t="s">
        <v>5940</v>
      </c>
      <c r="E2419" s="8">
        <v>2</v>
      </c>
      <c r="F2419" s="7" t="s">
        <v>4383</v>
      </c>
      <c r="G2419" s="7"/>
      <c r="H2419" s="9"/>
      <c r="I2419" s="10">
        <v>19048</v>
      </c>
      <c r="J2419" s="10">
        <v>38552</v>
      </c>
      <c r="K2419" s="9"/>
      <c r="L2419" s="10">
        <v>17481</v>
      </c>
      <c r="M2419" s="9"/>
      <c r="N2419" s="9"/>
      <c r="O2419" s="9"/>
      <c r="P2419" s="10"/>
      <c r="Q2419" s="10"/>
      <c r="R2419" s="10"/>
      <c r="S2419" s="7" t="s">
        <v>54</v>
      </c>
      <c r="T2419" s="7" t="s">
        <v>5919</v>
      </c>
      <c r="U2419" s="7"/>
      <c r="V2419" s="7"/>
      <c r="W2419" s="7"/>
      <c r="X2419" s="7"/>
      <c r="Y2419" s="7" t="s">
        <v>5941</v>
      </c>
      <c r="Z2419" s="7" t="s">
        <v>1076</v>
      </c>
      <c r="AA2419" s="7"/>
      <c r="AB2419" s="7"/>
      <c r="AC2419" s="7" t="s">
        <v>4817</v>
      </c>
      <c r="AD2419" s="7" t="s">
        <v>5921</v>
      </c>
      <c r="AE2419" s="7" t="s">
        <v>5609</v>
      </c>
      <c r="AF2419" s="7" t="s">
        <v>113</v>
      </c>
      <c r="AG2419" s="7" t="s">
        <v>366</v>
      </c>
      <c r="AH2419" s="7" t="s">
        <v>4818</v>
      </c>
    </row>
    <row r="2420" spans="1:34" ht="9.75" customHeight="1" x14ac:dyDescent="0.2">
      <c r="A2420" s="7" t="s">
        <v>5597</v>
      </c>
      <c r="B2420" s="7" t="s">
        <v>4812</v>
      </c>
      <c r="C2420" s="7"/>
      <c r="D2420" s="7" t="s">
        <v>5942</v>
      </c>
      <c r="E2420" s="8">
        <v>2</v>
      </c>
      <c r="F2420" s="7" t="s">
        <v>4383</v>
      </c>
      <c r="G2420" s="7"/>
      <c r="H2420" s="9"/>
      <c r="I2420" s="10">
        <v>10901</v>
      </c>
      <c r="J2420" s="10">
        <v>14690</v>
      </c>
      <c r="K2420" s="9"/>
      <c r="L2420" s="10">
        <v>6661</v>
      </c>
      <c r="M2420" s="9"/>
      <c r="N2420" s="9"/>
      <c r="O2420" s="9"/>
      <c r="P2420" s="10"/>
      <c r="Q2420" s="10"/>
      <c r="R2420" s="10"/>
      <c r="S2420" s="7" t="s">
        <v>54</v>
      </c>
      <c r="T2420" s="7" t="s">
        <v>5919</v>
      </c>
      <c r="U2420" s="7"/>
      <c r="V2420" s="7"/>
      <c r="W2420" s="7"/>
      <c r="X2420" s="7"/>
      <c r="Y2420" s="7" t="s">
        <v>5943</v>
      </c>
      <c r="Z2420" s="7" t="s">
        <v>1076</v>
      </c>
      <c r="AA2420" s="7"/>
      <c r="AB2420" s="7"/>
      <c r="AC2420" s="7" t="s">
        <v>4817</v>
      </c>
      <c r="AD2420" s="7" t="s">
        <v>5921</v>
      </c>
      <c r="AE2420" s="7" t="s">
        <v>5609</v>
      </c>
      <c r="AF2420" s="7" t="s">
        <v>113</v>
      </c>
      <c r="AG2420" s="7" t="s">
        <v>366</v>
      </c>
      <c r="AH2420" s="7" t="s">
        <v>4818</v>
      </c>
    </row>
    <row r="2421" spans="1:34" ht="9.75" customHeight="1" x14ac:dyDescent="0.2">
      <c r="A2421" s="7" t="s">
        <v>5597</v>
      </c>
      <c r="B2421" s="7" t="s">
        <v>4812</v>
      </c>
      <c r="C2421" s="7"/>
      <c r="D2421" s="7" t="s">
        <v>5944</v>
      </c>
      <c r="E2421" s="8">
        <v>2</v>
      </c>
      <c r="F2421" s="7" t="s">
        <v>4383</v>
      </c>
      <c r="G2421" s="7"/>
      <c r="H2421" s="9"/>
      <c r="I2421" s="10">
        <v>1</v>
      </c>
      <c r="J2421" s="10">
        <v>2</v>
      </c>
      <c r="K2421" s="9"/>
      <c r="L2421" s="10">
        <v>1</v>
      </c>
      <c r="M2421" s="9"/>
      <c r="N2421" s="9"/>
      <c r="O2421" s="9"/>
      <c r="P2421" s="10"/>
      <c r="Q2421" s="10"/>
      <c r="R2421" s="10"/>
      <c r="S2421" s="7" t="s">
        <v>54</v>
      </c>
      <c r="T2421" s="7" t="s">
        <v>5919</v>
      </c>
      <c r="U2421" s="7"/>
      <c r="V2421" s="7"/>
      <c r="W2421" s="7"/>
      <c r="X2421" s="7"/>
      <c r="Y2421" s="7" t="s">
        <v>5945</v>
      </c>
      <c r="Z2421" s="7" t="s">
        <v>1076</v>
      </c>
      <c r="AA2421" s="7"/>
      <c r="AB2421" s="7"/>
      <c r="AC2421" s="7" t="s">
        <v>4817</v>
      </c>
      <c r="AD2421" s="7" t="s">
        <v>5921</v>
      </c>
      <c r="AE2421" s="7" t="s">
        <v>5609</v>
      </c>
      <c r="AF2421" s="7" t="s">
        <v>113</v>
      </c>
      <c r="AG2421" s="7" t="s">
        <v>366</v>
      </c>
      <c r="AH2421" s="7" t="s">
        <v>4818</v>
      </c>
    </row>
    <row r="2422" spans="1:34" ht="9.75" customHeight="1" x14ac:dyDescent="0.2">
      <c r="A2422" s="7" t="s">
        <v>5597</v>
      </c>
      <c r="B2422" s="7" t="s">
        <v>4812</v>
      </c>
      <c r="C2422" s="7"/>
      <c r="D2422" s="7" t="s">
        <v>5946</v>
      </c>
      <c r="E2422" s="8">
        <v>2</v>
      </c>
      <c r="F2422" s="7" t="s">
        <v>4383</v>
      </c>
      <c r="G2422" s="7"/>
      <c r="H2422" s="9"/>
      <c r="I2422" s="10">
        <v>1</v>
      </c>
      <c r="J2422" s="10">
        <v>2</v>
      </c>
      <c r="K2422" s="9"/>
      <c r="L2422" s="10">
        <v>1</v>
      </c>
      <c r="M2422" s="9"/>
      <c r="N2422" s="9"/>
      <c r="O2422" s="9"/>
      <c r="P2422" s="10"/>
      <c r="Q2422" s="10"/>
      <c r="R2422" s="10"/>
      <c r="S2422" s="7" t="s">
        <v>54</v>
      </c>
      <c r="T2422" s="7" t="s">
        <v>5919</v>
      </c>
      <c r="U2422" s="7"/>
      <c r="V2422" s="7"/>
      <c r="W2422" s="7"/>
      <c r="X2422" s="7"/>
      <c r="Y2422" s="7" t="s">
        <v>5947</v>
      </c>
      <c r="Z2422" s="7" t="s">
        <v>1076</v>
      </c>
      <c r="AA2422" s="7"/>
      <c r="AB2422" s="7"/>
      <c r="AC2422" s="7" t="s">
        <v>4817</v>
      </c>
      <c r="AD2422" s="7" t="s">
        <v>5921</v>
      </c>
      <c r="AE2422" s="7" t="s">
        <v>5609</v>
      </c>
      <c r="AF2422" s="7" t="s">
        <v>113</v>
      </c>
      <c r="AG2422" s="7" t="s">
        <v>366</v>
      </c>
      <c r="AH2422" s="7" t="s">
        <v>4818</v>
      </c>
    </row>
    <row r="2423" spans="1:34" ht="9.75" customHeight="1" x14ac:dyDescent="0.2">
      <c r="A2423" s="7" t="s">
        <v>5597</v>
      </c>
      <c r="B2423" s="7" t="s">
        <v>4812</v>
      </c>
      <c r="C2423" s="7"/>
      <c r="D2423" s="7" t="s">
        <v>5948</v>
      </c>
      <c r="E2423" s="8">
        <v>2</v>
      </c>
      <c r="F2423" s="7" t="s">
        <v>4383</v>
      </c>
      <c r="G2423" s="7"/>
      <c r="H2423" s="9"/>
      <c r="I2423" s="10">
        <v>0</v>
      </c>
      <c r="J2423" s="10">
        <v>0</v>
      </c>
      <c r="K2423" s="9"/>
      <c r="L2423" s="10">
        <v>0</v>
      </c>
      <c r="M2423" s="9"/>
      <c r="N2423" s="9"/>
      <c r="O2423" s="9"/>
      <c r="P2423" s="10"/>
      <c r="Q2423" s="10"/>
      <c r="R2423" s="10"/>
      <c r="S2423" s="7" t="s">
        <v>54</v>
      </c>
      <c r="T2423" s="7" t="s">
        <v>5919</v>
      </c>
      <c r="U2423" s="7"/>
      <c r="V2423" s="7"/>
      <c r="W2423" s="7"/>
      <c r="X2423" s="7"/>
      <c r="Y2423" s="7" t="s">
        <v>5949</v>
      </c>
      <c r="Z2423" s="7" t="s">
        <v>1076</v>
      </c>
      <c r="AA2423" s="7"/>
      <c r="AB2423" s="7"/>
      <c r="AC2423" s="7" t="s">
        <v>4817</v>
      </c>
      <c r="AD2423" s="7" t="s">
        <v>5921</v>
      </c>
      <c r="AE2423" s="7" t="s">
        <v>5609</v>
      </c>
      <c r="AF2423" s="7" t="s">
        <v>113</v>
      </c>
      <c r="AG2423" s="7" t="s">
        <v>366</v>
      </c>
      <c r="AH2423" s="7" t="s">
        <v>4818</v>
      </c>
    </row>
    <row r="2424" spans="1:34" ht="9.75" customHeight="1" x14ac:dyDescent="0.2">
      <c r="A2424" s="7" t="s">
        <v>5597</v>
      </c>
      <c r="B2424" s="7" t="s">
        <v>4812</v>
      </c>
      <c r="C2424" s="7"/>
      <c r="D2424" s="7" t="s">
        <v>5950</v>
      </c>
      <c r="E2424" s="8">
        <v>2</v>
      </c>
      <c r="F2424" s="7" t="s">
        <v>4383</v>
      </c>
      <c r="G2424" s="7"/>
      <c r="H2424" s="9"/>
      <c r="I2424" s="10">
        <v>0</v>
      </c>
      <c r="J2424" s="10">
        <v>0</v>
      </c>
      <c r="K2424" s="9"/>
      <c r="L2424" s="10">
        <v>0</v>
      </c>
      <c r="M2424" s="9"/>
      <c r="N2424" s="9"/>
      <c r="O2424" s="9"/>
      <c r="P2424" s="10"/>
      <c r="Q2424" s="10"/>
      <c r="R2424" s="10"/>
      <c r="S2424" s="7" t="s">
        <v>54</v>
      </c>
      <c r="T2424" s="7" t="s">
        <v>5919</v>
      </c>
      <c r="U2424" s="7"/>
      <c r="V2424" s="7"/>
      <c r="W2424" s="7"/>
      <c r="X2424" s="7"/>
      <c r="Y2424" s="7" t="s">
        <v>5951</v>
      </c>
      <c r="Z2424" s="7" t="s">
        <v>1076</v>
      </c>
      <c r="AA2424" s="7"/>
      <c r="AB2424" s="7"/>
      <c r="AC2424" s="7" t="s">
        <v>4817</v>
      </c>
      <c r="AD2424" s="7" t="s">
        <v>5921</v>
      </c>
      <c r="AE2424" s="7" t="s">
        <v>5609</v>
      </c>
      <c r="AF2424" s="7" t="s">
        <v>113</v>
      </c>
      <c r="AG2424" s="7" t="s">
        <v>366</v>
      </c>
      <c r="AH2424" s="7" t="s">
        <v>4818</v>
      </c>
    </row>
    <row r="2425" spans="1:34" ht="9.75" customHeight="1" x14ac:dyDescent="0.2">
      <c r="A2425" s="7" t="s">
        <v>5597</v>
      </c>
      <c r="B2425" s="7" t="s">
        <v>4812</v>
      </c>
      <c r="C2425" s="7"/>
      <c r="D2425" s="7" t="s">
        <v>5952</v>
      </c>
      <c r="E2425" s="8">
        <v>2</v>
      </c>
      <c r="F2425" s="7" t="s">
        <v>4383</v>
      </c>
      <c r="G2425" s="7"/>
      <c r="H2425" s="9"/>
      <c r="I2425" s="10">
        <v>1547464</v>
      </c>
      <c r="J2425" s="10">
        <v>1704012</v>
      </c>
      <c r="K2425" s="9"/>
      <c r="L2425" s="10">
        <v>1640762</v>
      </c>
      <c r="M2425" s="9"/>
      <c r="N2425" s="9"/>
      <c r="O2425" s="9"/>
      <c r="P2425" s="10"/>
      <c r="Q2425" s="10"/>
      <c r="R2425" s="10"/>
      <c r="S2425" s="7" t="s">
        <v>43</v>
      </c>
      <c r="T2425" s="7"/>
      <c r="U2425" s="7"/>
      <c r="V2425" s="7"/>
      <c r="W2425" s="7"/>
      <c r="X2425" s="7"/>
      <c r="Y2425" s="7" t="s">
        <v>5953</v>
      </c>
      <c r="Z2425" s="7" t="s">
        <v>1076</v>
      </c>
      <c r="AA2425" s="7"/>
      <c r="AB2425" s="7"/>
      <c r="AC2425" s="7" t="s">
        <v>4817</v>
      </c>
      <c r="AD2425" s="7" t="s">
        <v>5921</v>
      </c>
      <c r="AE2425" s="7" t="s">
        <v>5609</v>
      </c>
      <c r="AF2425" s="7" t="s">
        <v>113</v>
      </c>
      <c r="AG2425" s="7" t="s">
        <v>366</v>
      </c>
      <c r="AH2425" s="7" t="s">
        <v>4818</v>
      </c>
    </row>
    <row r="2426" spans="1:34" ht="9.75" customHeight="1" x14ac:dyDescent="0.2">
      <c r="A2426" s="7" t="s">
        <v>5597</v>
      </c>
      <c r="B2426" s="7" t="s">
        <v>4812</v>
      </c>
      <c r="C2426" s="7"/>
      <c r="D2426" s="7" t="s">
        <v>5954</v>
      </c>
      <c r="E2426" s="8">
        <v>2</v>
      </c>
      <c r="F2426" s="7" t="s">
        <v>4383</v>
      </c>
      <c r="G2426" s="7"/>
      <c r="H2426" s="9"/>
      <c r="I2426" s="10">
        <v>461962</v>
      </c>
      <c r="J2426" s="10">
        <v>569420</v>
      </c>
      <c r="K2426" s="9"/>
      <c r="L2426" s="10">
        <v>603052</v>
      </c>
      <c r="M2426" s="9"/>
      <c r="N2426" s="9"/>
      <c r="O2426" s="9"/>
      <c r="P2426" s="10"/>
      <c r="Q2426" s="10"/>
      <c r="R2426" s="10"/>
      <c r="S2426" s="7" t="s">
        <v>407</v>
      </c>
      <c r="T2426" s="7" t="s">
        <v>5919</v>
      </c>
      <c r="U2426" s="7"/>
      <c r="V2426" s="7"/>
      <c r="W2426" s="7"/>
      <c r="X2426" s="7"/>
      <c r="Y2426" s="7" t="s">
        <v>5955</v>
      </c>
      <c r="Z2426" s="7" t="s">
        <v>1144</v>
      </c>
      <c r="AA2426" s="7"/>
      <c r="AB2426" s="7"/>
      <c r="AC2426" s="7" t="s">
        <v>4817</v>
      </c>
      <c r="AD2426" s="7" t="s">
        <v>5921</v>
      </c>
      <c r="AE2426" s="7" t="s">
        <v>5645</v>
      </c>
      <c r="AF2426" s="7" t="s">
        <v>113</v>
      </c>
      <c r="AG2426" s="7" t="s">
        <v>366</v>
      </c>
      <c r="AH2426" s="7" t="s">
        <v>4818</v>
      </c>
    </row>
    <row r="2427" spans="1:34" ht="9.75" customHeight="1" x14ac:dyDescent="0.2">
      <c r="A2427" s="7" t="s">
        <v>5597</v>
      </c>
      <c r="B2427" s="7" t="s">
        <v>4812</v>
      </c>
      <c r="C2427" s="7"/>
      <c r="D2427" s="7" t="s">
        <v>5956</v>
      </c>
      <c r="E2427" s="8">
        <v>2</v>
      </c>
      <c r="F2427" s="7" t="s">
        <v>4383</v>
      </c>
      <c r="G2427" s="7"/>
      <c r="H2427" s="9"/>
      <c r="I2427" s="10">
        <v>9142</v>
      </c>
      <c r="J2427" s="10">
        <v>9530</v>
      </c>
      <c r="K2427" s="9"/>
      <c r="L2427" s="10">
        <v>9843</v>
      </c>
      <c r="M2427" s="9"/>
      <c r="N2427" s="9"/>
      <c r="O2427" s="9"/>
      <c r="P2427" s="10"/>
      <c r="Q2427" s="10"/>
      <c r="R2427" s="10"/>
      <c r="S2427" s="7" t="s">
        <v>407</v>
      </c>
      <c r="T2427" s="7" t="s">
        <v>5919</v>
      </c>
      <c r="U2427" s="7"/>
      <c r="V2427" s="7"/>
      <c r="W2427" s="7"/>
      <c r="X2427" s="7"/>
      <c r="Y2427" s="7" t="s">
        <v>5957</v>
      </c>
      <c r="Z2427" s="7" t="s">
        <v>1144</v>
      </c>
      <c r="AA2427" s="7"/>
      <c r="AB2427" s="7"/>
      <c r="AC2427" s="7" t="s">
        <v>4817</v>
      </c>
      <c r="AD2427" s="7" t="s">
        <v>5921</v>
      </c>
      <c r="AE2427" s="7" t="s">
        <v>5645</v>
      </c>
      <c r="AF2427" s="7" t="s">
        <v>113</v>
      </c>
      <c r="AG2427" s="7" t="s">
        <v>366</v>
      </c>
      <c r="AH2427" s="7" t="s">
        <v>4818</v>
      </c>
    </row>
    <row r="2428" spans="1:34" ht="9.75" customHeight="1" x14ac:dyDescent="0.2">
      <c r="A2428" s="7" t="s">
        <v>5597</v>
      </c>
      <c r="B2428" s="7" t="s">
        <v>4812</v>
      </c>
      <c r="C2428" s="7"/>
      <c r="D2428" s="7" t="s">
        <v>5958</v>
      </c>
      <c r="E2428" s="8">
        <v>2</v>
      </c>
      <c r="F2428" s="7" t="s">
        <v>4383</v>
      </c>
      <c r="G2428" s="7"/>
      <c r="H2428" s="9"/>
      <c r="I2428" s="10">
        <v>394970</v>
      </c>
      <c r="J2428" s="10">
        <v>422738</v>
      </c>
      <c r="K2428" s="9"/>
      <c r="L2428" s="10">
        <v>247284</v>
      </c>
      <c r="M2428" s="9"/>
      <c r="N2428" s="9"/>
      <c r="O2428" s="9"/>
      <c r="P2428" s="10"/>
      <c r="Q2428" s="10"/>
      <c r="R2428" s="10"/>
      <c r="S2428" s="7" t="s">
        <v>407</v>
      </c>
      <c r="T2428" s="7" t="s">
        <v>5919</v>
      </c>
      <c r="U2428" s="7"/>
      <c r="V2428" s="7"/>
      <c r="W2428" s="7"/>
      <c r="X2428" s="7"/>
      <c r="Y2428" s="7" t="s">
        <v>5959</v>
      </c>
      <c r="Z2428" s="7" t="s">
        <v>1144</v>
      </c>
      <c r="AA2428" s="7"/>
      <c r="AB2428" s="7"/>
      <c r="AC2428" s="7" t="s">
        <v>4817</v>
      </c>
      <c r="AD2428" s="7" t="s">
        <v>5921</v>
      </c>
      <c r="AE2428" s="7" t="s">
        <v>5645</v>
      </c>
      <c r="AF2428" s="7" t="s">
        <v>113</v>
      </c>
      <c r="AG2428" s="7" t="s">
        <v>366</v>
      </c>
      <c r="AH2428" s="7" t="s">
        <v>4818</v>
      </c>
    </row>
    <row r="2429" spans="1:34" ht="9.75" customHeight="1" x14ac:dyDescent="0.2">
      <c r="A2429" s="7" t="s">
        <v>5597</v>
      </c>
      <c r="B2429" s="7" t="s">
        <v>4812</v>
      </c>
      <c r="C2429" s="7"/>
      <c r="D2429" s="7" t="s">
        <v>5960</v>
      </c>
      <c r="E2429" s="8">
        <v>2</v>
      </c>
      <c r="F2429" s="7" t="s">
        <v>4383</v>
      </c>
      <c r="G2429" s="7"/>
      <c r="H2429" s="9"/>
      <c r="I2429" s="10">
        <v>18215</v>
      </c>
      <c r="J2429" s="10">
        <v>84538</v>
      </c>
      <c r="K2429" s="9"/>
      <c r="L2429" s="10">
        <v>103652</v>
      </c>
      <c r="M2429" s="9"/>
      <c r="N2429" s="9"/>
      <c r="O2429" s="9"/>
      <c r="P2429" s="10"/>
      <c r="Q2429" s="10"/>
      <c r="R2429" s="10"/>
      <c r="S2429" s="7" t="s">
        <v>407</v>
      </c>
      <c r="T2429" s="7" t="s">
        <v>5919</v>
      </c>
      <c r="U2429" s="7"/>
      <c r="V2429" s="7"/>
      <c r="W2429" s="7"/>
      <c r="X2429" s="7"/>
      <c r="Y2429" s="7" t="s">
        <v>5961</v>
      </c>
      <c r="Z2429" s="7" t="s">
        <v>1144</v>
      </c>
      <c r="AA2429" s="7"/>
      <c r="AB2429" s="7"/>
      <c r="AC2429" s="7" t="s">
        <v>4817</v>
      </c>
      <c r="AD2429" s="7" t="s">
        <v>5921</v>
      </c>
      <c r="AE2429" s="7" t="s">
        <v>5645</v>
      </c>
      <c r="AF2429" s="7" t="s">
        <v>113</v>
      </c>
      <c r="AG2429" s="7" t="s">
        <v>366</v>
      </c>
      <c r="AH2429" s="7" t="s">
        <v>4818</v>
      </c>
    </row>
    <row r="2430" spans="1:34" ht="9.75" customHeight="1" x14ac:dyDescent="0.2">
      <c r="A2430" s="7" t="s">
        <v>5597</v>
      </c>
      <c r="B2430" s="7" t="s">
        <v>4812</v>
      </c>
      <c r="C2430" s="7"/>
      <c r="D2430" s="7" t="s">
        <v>5962</v>
      </c>
      <c r="E2430" s="8">
        <v>2</v>
      </c>
      <c r="F2430" s="7" t="s">
        <v>4383</v>
      </c>
      <c r="G2430" s="7"/>
      <c r="H2430" s="9"/>
      <c r="I2430" s="10">
        <v>41731</v>
      </c>
      <c r="J2430" s="10">
        <v>44690</v>
      </c>
      <c r="K2430" s="9"/>
      <c r="L2430" s="10">
        <v>104399</v>
      </c>
      <c r="M2430" s="9"/>
      <c r="N2430" s="9"/>
      <c r="O2430" s="9"/>
      <c r="P2430" s="10"/>
      <c r="Q2430" s="10"/>
      <c r="R2430" s="10"/>
      <c r="S2430" s="7" t="s">
        <v>407</v>
      </c>
      <c r="T2430" s="7" t="s">
        <v>5919</v>
      </c>
      <c r="U2430" s="7"/>
      <c r="V2430" s="7"/>
      <c r="W2430" s="7"/>
      <c r="X2430" s="7"/>
      <c r="Y2430" s="7" t="s">
        <v>5963</v>
      </c>
      <c r="Z2430" s="7" t="s">
        <v>1144</v>
      </c>
      <c r="AA2430" s="7"/>
      <c r="AB2430" s="7"/>
      <c r="AC2430" s="7" t="s">
        <v>4817</v>
      </c>
      <c r="AD2430" s="7" t="s">
        <v>5921</v>
      </c>
      <c r="AE2430" s="7" t="s">
        <v>5645</v>
      </c>
      <c r="AF2430" s="7" t="s">
        <v>113</v>
      </c>
      <c r="AG2430" s="7" t="s">
        <v>366</v>
      </c>
      <c r="AH2430" s="7" t="s">
        <v>4818</v>
      </c>
    </row>
    <row r="2431" spans="1:34" ht="9.75" customHeight="1" x14ac:dyDescent="0.2">
      <c r="A2431" s="7" t="s">
        <v>5597</v>
      </c>
      <c r="B2431" s="7" t="s">
        <v>4812</v>
      </c>
      <c r="C2431" s="7"/>
      <c r="D2431" s="7" t="s">
        <v>5964</v>
      </c>
      <c r="E2431" s="8">
        <v>2</v>
      </c>
      <c r="F2431" s="7" t="s">
        <v>4383</v>
      </c>
      <c r="G2431" s="7"/>
      <c r="H2431" s="9"/>
      <c r="I2431" s="10">
        <v>472168</v>
      </c>
      <c r="J2431" s="10">
        <v>431109</v>
      </c>
      <c r="K2431" s="9"/>
      <c r="L2431" s="10">
        <v>409527</v>
      </c>
      <c r="M2431" s="9"/>
      <c r="N2431" s="9"/>
      <c r="O2431" s="9"/>
      <c r="P2431" s="10"/>
      <c r="Q2431" s="10"/>
      <c r="R2431" s="10"/>
      <c r="S2431" s="7" t="s">
        <v>407</v>
      </c>
      <c r="T2431" s="7" t="s">
        <v>5919</v>
      </c>
      <c r="U2431" s="7"/>
      <c r="V2431" s="7"/>
      <c r="W2431" s="7"/>
      <c r="X2431" s="7"/>
      <c r="Y2431" s="7" t="s">
        <v>5965</v>
      </c>
      <c r="Z2431" s="7" t="s">
        <v>1144</v>
      </c>
      <c r="AA2431" s="7"/>
      <c r="AB2431" s="7"/>
      <c r="AC2431" s="7" t="s">
        <v>4817</v>
      </c>
      <c r="AD2431" s="7" t="s">
        <v>5921</v>
      </c>
      <c r="AE2431" s="7" t="s">
        <v>5645</v>
      </c>
      <c r="AF2431" s="7" t="s">
        <v>113</v>
      </c>
      <c r="AG2431" s="7" t="s">
        <v>366</v>
      </c>
      <c r="AH2431" s="7" t="s">
        <v>4818</v>
      </c>
    </row>
    <row r="2432" spans="1:34" ht="9.75" customHeight="1" x14ac:dyDescent="0.2">
      <c r="A2432" s="7" t="s">
        <v>5597</v>
      </c>
      <c r="B2432" s="7" t="s">
        <v>4812</v>
      </c>
      <c r="C2432" s="7"/>
      <c r="D2432" s="7" t="s">
        <v>5966</v>
      </c>
      <c r="E2432" s="8">
        <v>2</v>
      </c>
      <c r="F2432" s="7" t="s">
        <v>4383</v>
      </c>
      <c r="G2432" s="7"/>
      <c r="H2432" s="9"/>
      <c r="I2432" s="10">
        <v>10170</v>
      </c>
      <c r="J2432" s="10">
        <v>10600</v>
      </c>
      <c r="K2432" s="9"/>
      <c r="L2432" s="10">
        <v>10950</v>
      </c>
      <c r="M2432" s="9"/>
      <c r="N2432" s="9"/>
      <c r="O2432" s="9"/>
      <c r="P2432" s="10"/>
      <c r="Q2432" s="10"/>
      <c r="R2432" s="10"/>
      <c r="S2432" s="7" t="s">
        <v>407</v>
      </c>
      <c r="T2432" s="7" t="s">
        <v>5919</v>
      </c>
      <c r="U2432" s="7"/>
      <c r="V2432" s="7"/>
      <c r="W2432" s="7"/>
      <c r="X2432" s="7"/>
      <c r="Y2432" s="7" t="s">
        <v>5967</v>
      </c>
      <c r="Z2432" s="7" t="s">
        <v>1144</v>
      </c>
      <c r="AA2432" s="7"/>
      <c r="AB2432" s="7"/>
      <c r="AC2432" s="7" t="s">
        <v>4817</v>
      </c>
      <c r="AD2432" s="7" t="s">
        <v>5921</v>
      </c>
      <c r="AE2432" s="7" t="s">
        <v>5645</v>
      </c>
      <c r="AF2432" s="7" t="s">
        <v>113</v>
      </c>
      <c r="AG2432" s="7" t="s">
        <v>366</v>
      </c>
      <c r="AH2432" s="7" t="s">
        <v>4818</v>
      </c>
    </row>
    <row r="2433" spans="1:34" ht="9.75" customHeight="1" x14ac:dyDescent="0.2">
      <c r="A2433" s="7" t="s">
        <v>5597</v>
      </c>
      <c r="B2433" s="7" t="s">
        <v>4812</v>
      </c>
      <c r="C2433" s="7"/>
      <c r="D2433" s="7" t="s">
        <v>5968</v>
      </c>
      <c r="E2433" s="8">
        <v>2</v>
      </c>
      <c r="F2433" s="7" t="s">
        <v>4383</v>
      </c>
      <c r="G2433" s="7"/>
      <c r="H2433" s="9"/>
      <c r="I2433" s="10">
        <v>135059</v>
      </c>
      <c r="J2433" s="10">
        <v>127819</v>
      </c>
      <c r="K2433" s="9"/>
      <c r="L2433" s="10">
        <v>148398</v>
      </c>
      <c r="M2433" s="9"/>
      <c r="N2433" s="9"/>
      <c r="O2433" s="9"/>
      <c r="P2433" s="10"/>
      <c r="Q2433" s="10"/>
      <c r="R2433" s="10"/>
      <c r="S2433" s="7" t="s">
        <v>407</v>
      </c>
      <c r="T2433" s="7" t="s">
        <v>5919</v>
      </c>
      <c r="U2433" s="7"/>
      <c r="V2433" s="7"/>
      <c r="W2433" s="7"/>
      <c r="X2433" s="7"/>
      <c r="Y2433" s="7" t="s">
        <v>5969</v>
      </c>
      <c r="Z2433" s="7" t="s">
        <v>1144</v>
      </c>
      <c r="AA2433" s="7"/>
      <c r="AB2433" s="7"/>
      <c r="AC2433" s="7" t="s">
        <v>4817</v>
      </c>
      <c r="AD2433" s="7" t="s">
        <v>5921</v>
      </c>
      <c r="AE2433" s="7" t="s">
        <v>5645</v>
      </c>
      <c r="AF2433" s="7" t="s">
        <v>113</v>
      </c>
      <c r="AG2433" s="7" t="s">
        <v>366</v>
      </c>
      <c r="AH2433" s="7" t="s">
        <v>4818</v>
      </c>
    </row>
    <row r="2434" spans="1:34" ht="9.75" customHeight="1" x14ac:dyDescent="0.2">
      <c r="A2434" s="7" t="s">
        <v>5597</v>
      </c>
      <c r="B2434" s="7" t="s">
        <v>4812</v>
      </c>
      <c r="C2434" s="7"/>
      <c r="D2434" s="7" t="s">
        <v>5970</v>
      </c>
      <c r="E2434" s="8">
        <v>2</v>
      </c>
      <c r="F2434" s="7" t="s">
        <v>4383</v>
      </c>
      <c r="G2434" s="7"/>
      <c r="H2434" s="9"/>
      <c r="I2434" s="10">
        <v>4047</v>
      </c>
      <c r="J2434" s="10">
        <v>3568</v>
      </c>
      <c r="K2434" s="9"/>
      <c r="L2434" s="10">
        <v>3657</v>
      </c>
      <c r="M2434" s="9"/>
      <c r="N2434" s="9"/>
      <c r="O2434" s="9"/>
      <c r="P2434" s="10"/>
      <c r="Q2434" s="10"/>
      <c r="R2434" s="10"/>
      <c r="S2434" s="7" t="s">
        <v>407</v>
      </c>
      <c r="T2434" s="7" t="s">
        <v>5919</v>
      </c>
      <c r="U2434" s="7"/>
      <c r="V2434" s="7"/>
      <c r="W2434" s="7"/>
      <c r="X2434" s="7"/>
      <c r="Y2434" s="7" t="s">
        <v>5971</v>
      </c>
      <c r="Z2434" s="7" t="s">
        <v>1144</v>
      </c>
      <c r="AA2434" s="7"/>
      <c r="AB2434" s="7"/>
      <c r="AC2434" s="7" t="s">
        <v>4817</v>
      </c>
      <c r="AD2434" s="7" t="s">
        <v>5921</v>
      </c>
      <c r="AE2434" s="7" t="s">
        <v>5645</v>
      </c>
      <c r="AF2434" s="7" t="s">
        <v>113</v>
      </c>
      <c r="AG2434" s="7" t="s">
        <v>366</v>
      </c>
      <c r="AH2434" s="7" t="s">
        <v>4818</v>
      </c>
    </row>
    <row r="2435" spans="1:34" ht="9.75" customHeight="1" x14ac:dyDescent="0.2">
      <c r="A2435" s="7" t="s">
        <v>5597</v>
      </c>
      <c r="B2435" s="7" t="s">
        <v>4812</v>
      </c>
      <c r="C2435" s="7"/>
      <c r="D2435" s="7" t="s">
        <v>5972</v>
      </c>
      <c r="E2435" s="8">
        <v>2</v>
      </c>
      <c r="F2435" s="7" t="s">
        <v>4383</v>
      </c>
      <c r="G2435" s="7"/>
      <c r="H2435" s="9"/>
      <c r="I2435" s="10">
        <v>1547464</v>
      </c>
      <c r="J2435" s="10">
        <v>1704012</v>
      </c>
      <c r="K2435" s="9"/>
      <c r="L2435" s="10">
        <v>1640762</v>
      </c>
      <c r="M2435" s="9"/>
      <c r="N2435" s="9"/>
      <c r="O2435" s="9"/>
      <c r="P2435" s="10"/>
      <c r="Q2435" s="10"/>
      <c r="R2435" s="10"/>
      <c r="S2435" s="7" t="s">
        <v>407</v>
      </c>
      <c r="T2435" s="7" t="s">
        <v>5919</v>
      </c>
      <c r="U2435" s="7"/>
      <c r="V2435" s="7"/>
      <c r="W2435" s="7"/>
      <c r="X2435" s="7"/>
      <c r="Y2435" s="7" t="s">
        <v>5973</v>
      </c>
      <c r="Z2435" s="7" t="s">
        <v>1144</v>
      </c>
      <c r="AA2435" s="7"/>
      <c r="AB2435" s="7"/>
      <c r="AC2435" s="7" t="s">
        <v>4817</v>
      </c>
      <c r="AD2435" s="7" t="s">
        <v>5921</v>
      </c>
      <c r="AE2435" s="7" t="s">
        <v>5645</v>
      </c>
      <c r="AF2435" s="7" t="s">
        <v>113</v>
      </c>
      <c r="AG2435" s="7" t="s">
        <v>366</v>
      </c>
      <c r="AH2435" s="7" t="s">
        <v>4818</v>
      </c>
    </row>
    <row r="2436" spans="1:34" ht="9.75" customHeight="1" x14ac:dyDescent="0.2">
      <c r="A2436" s="7" t="s">
        <v>5597</v>
      </c>
      <c r="B2436" s="7" t="s">
        <v>4812</v>
      </c>
      <c r="C2436" s="7"/>
      <c r="D2436" s="7" t="s">
        <v>5974</v>
      </c>
      <c r="E2436" s="8">
        <v>7</v>
      </c>
      <c r="F2436" s="7" t="s">
        <v>5665</v>
      </c>
      <c r="G2436" s="7"/>
      <c r="H2436" s="9"/>
      <c r="I2436" s="10">
        <v>5835</v>
      </c>
      <c r="J2436" s="10">
        <v>5958</v>
      </c>
      <c r="K2436" s="9"/>
      <c r="L2436" s="10">
        <v>6083</v>
      </c>
      <c r="M2436" s="9"/>
      <c r="N2436" s="9"/>
      <c r="O2436" s="9"/>
      <c r="P2436" s="10"/>
      <c r="Q2436" s="10"/>
      <c r="R2436" s="10"/>
      <c r="S2436" s="7" t="s">
        <v>54</v>
      </c>
      <c r="T2436" s="7" t="s">
        <v>5975</v>
      </c>
      <c r="U2436" s="7"/>
      <c r="V2436" s="7"/>
      <c r="W2436" s="7"/>
      <c r="X2436" s="7"/>
      <c r="Y2436" s="7" t="s">
        <v>5976</v>
      </c>
      <c r="Z2436" s="7" t="s">
        <v>1171</v>
      </c>
      <c r="AA2436" s="7"/>
      <c r="AB2436" s="7"/>
      <c r="AC2436" s="7" t="s">
        <v>4817</v>
      </c>
      <c r="AD2436" s="7" t="s">
        <v>5921</v>
      </c>
      <c r="AE2436" s="7" t="s">
        <v>5669</v>
      </c>
      <c r="AF2436" s="7" t="s">
        <v>113</v>
      </c>
      <c r="AG2436" s="7" t="s">
        <v>366</v>
      </c>
      <c r="AH2436" s="7" t="s">
        <v>4818</v>
      </c>
    </row>
    <row r="2437" spans="1:34" ht="9.75" customHeight="1" x14ac:dyDescent="0.2">
      <c r="A2437" s="7" t="s">
        <v>5597</v>
      </c>
      <c r="B2437" s="7" t="s">
        <v>4812</v>
      </c>
      <c r="C2437" s="7"/>
      <c r="D2437" s="7" t="s">
        <v>5977</v>
      </c>
      <c r="E2437" s="8">
        <v>7</v>
      </c>
      <c r="F2437" s="7" t="s">
        <v>5665</v>
      </c>
      <c r="G2437" s="7"/>
      <c r="H2437" s="9"/>
      <c r="I2437" s="10">
        <v>10719</v>
      </c>
      <c r="J2437" s="10">
        <v>60000</v>
      </c>
      <c r="K2437" s="9"/>
      <c r="L2437" s="10">
        <v>0</v>
      </c>
      <c r="M2437" s="9"/>
      <c r="N2437" s="9"/>
      <c r="O2437" s="9"/>
      <c r="P2437" s="10"/>
      <c r="Q2437" s="10"/>
      <c r="R2437" s="10"/>
      <c r="S2437" s="7" t="s">
        <v>54</v>
      </c>
      <c r="T2437" s="7" t="s">
        <v>5975</v>
      </c>
      <c r="U2437" s="7"/>
      <c r="V2437" s="7"/>
      <c r="W2437" s="7"/>
      <c r="X2437" s="7"/>
      <c r="Y2437" s="7" t="s">
        <v>5978</v>
      </c>
      <c r="Z2437" s="7" t="s">
        <v>1171</v>
      </c>
      <c r="AA2437" s="7"/>
      <c r="AB2437" s="7"/>
      <c r="AC2437" s="7" t="s">
        <v>4817</v>
      </c>
      <c r="AD2437" s="7" t="s">
        <v>5921</v>
      </c>
      <c r="AE2437" s="7" t="s">
        <v>5669</v>
      </c>
      <c r="AF2437" s="7" t="s">
        <v>113</v>
      </c>
      <c r="AG2437" s="7" t="s">
        <v>366</v>
      </c>
      <c r="AH2437" s="7" t="s">
        <v>4818</v>
      </c>
    </row>
    <row r="2438" spans="1:34" ht="9.75" customHeight="1" x14ac:dyDescent="0.2">
      <c r="A2438" s="7" t="s">
        <v>5597</v>
      </c>
      <c r="B2438" s="7" t="s">
        <v>4812</v>
      </c>
      <c r="C2438" s="7"/>
      <c r="D2438" s="7" t="s">
        <v>5979</v>
      </c>
      <c r="E2438" s="8">
        <v>7</v>
      </c>
      <c r="F2438" s="7" t="s">
        <v>5665</v>
      </c>
      <c r="G2438" s="7"/>
      <c r="H2438" s="9"/>
      <c r="I2438" s="10">
        <v>20564</v>
      </c>
      <c r="J2438" s="10">
        <v>82578</v>
      </c>
      <c r="K2438" s="9"/>
      <c r="L2438" s="10">
        <v>21644</v>
      </c>
      <c r="M2438" s="9"/>
      <c r="N2438" s="9"/>
      <c r="O2438" s="9"/>
      <c r="P2438" s="10"/>
      <c r="Q2438" s="10"/>
      <c r="R2438" s="10"/>
      <c r="S2438" s="7" t="s">
        <v>54</v>
      </c>
      <c r="T2438" s="7" t="s">
        <v>5975</v>
      </c>
      <c r="U2438" s="7"/>
      <c r="V2438" s="7"/>
      <c r="W2438" s="7"/>
      <c r="X2438" s="7"/>
      <c r="Y2438" s="7" t="s">
        <v>5980</v>
      </c>
      <c r="Z2438" s="7" t="s">
        <v>1171</v>
      </c>
      <c r="AA2438" s="7"/>
      <c r="AB2438" s="7"/>
      <c r="AC2438" s="7" t="s">
        <v>4817</v>
      </c>
      <c r="AD2438" s="7" t="s">
        <v>5921</v>
      </c>
      <c r="AE2438" s="7" t="s">
        <v>5669</v>
      </c>
      <c r="AF2438" s="7" t="s">
        <v>113</v>
      </c>
      <c r="AG2438" s="7" t="s">
        <v>366</v>
      </c>
      <c r="AH2438" s="7" t="s">
        <v>4818</v>
      </c>
    </row>
    <row r="2439" spans="1:34" ht="9.75" customHeight="1" x14ac:dyDescent="0.2">
      <c r="A2439" s="7" t="s">
        <v>5597</v>
      </c>
      <c r="B2439" s="7" t="s">
        <v>4812</v>
      </c>
      <c r="C2439" s="7"/>
      <c r="D2439" s="7" t="s">
        <v>5981</v>
      </c>
      <c r="E2439" s="8">
        <v>7</v>
      </c>
      <c r="F2439" s="7" t="s">
        <v>5665</v>
      </c>
      <c r="G2439" s="7"/>
      <c r="H2439" s="9"/>
      <c r="I2439" s="10">
        <v>0</v>
      </c>
      <c r="J2439" s="10">
        <v>0</v>
      </c>
      <c r="K2439" s="9"/>
      <c r="L2439" s="10">
        <v>0</v>
      </c>
      <c r="M2439" s="9"/>
      <c r="N2439" s="9"/>
      <c r="O2439" s="9"/>
      <c r="P2439" s="10"/>
      <c r="Q2439" s="10"/>
      <c r="R2439" s="10"/>
      <c r="S2439" s="7" t="s">
        <v>54</v>
      </c>
      <c r="T2439" s="7" t="s">
        <v>5975</v>
      </c>
      <c r="U2439" s="7"/>
      <c r="V2439" s="7"/>
      <c r="W2439" s="7"/>
      <c r="X2439" s="7"/>
      <c r="Y2439" s="7" t="s">
        <v>5982</v>
      </c>
      <c r="Z2439" s="7" t="s">
        <v>1171</v>
      </c>
      <c r="AA2439" s="7"/>
      <c r="AB2439" s="7"/>
      <c r="AC2439" s="7" t="s">
        <v>4817</v>
      </c>
      <c r="AD2439" s="7" t="s">
        <v>5921</v>
      </c>
      <c r="AE2439" s="7" t="s">
        <v>5669</v>
      </c>
      <c r="AF2439" s="7" t="s">
        <v>113</v>
      </c>
      <c r="AG2439" s="7" t="s">
        <v>366</v>
      </c>
      <c r="AH2439" s="7" t="s">
        <v>4818</v>
      </c>
    </row>
    <row r="2440" spans="1:34" ht="9.75" customHeight="1" x14ac:dyDescent="0.2">
      <c r="A2440" s="7" t="s">
        <v>5597</v>
      </c>
      <c r="B2440" s="7" t="s">
        <v>4812</v>
      </c>
      <c r="C2440" s="7"/>
      <c r="D2440" s="7" t="s">
        <v>5983</v>
      </c>
      <c r="E2440" s="8">
        <v>7</v>
      </c>
      <c r="F2440" s="7" t="s">
        <v>5665</v>
      </c>
      <c r="G2440" s="7"/>
      <c r="H2440" s="9"/>
      <c r="I2440" s="10">
        <v>644808</v>
      </c>
      <c r="J2440" s="10">
        <v>400578</v>
      </c>
      <c r="K2440" s="9"/>
      <c r="L2440" s="10">
        <v>448562</v>
      </c>
      <c r="M2440" s="9"/>
      <c r="N2440" s="9"/>
      <c r="O2440" s="9"/>
      <c r="P2440" s="10"/>
      <c r="Q2440" s="10"/>
      <c r="R2440" s="10"/>
      <c r="S2440" s="7" t="s">
        <v>54</v>
      </c>
      <c r="T2440" s="7" t="s">
        <v>5975</v>
      </c>
      <c r="U2440" s="7"/>
      <c r="V2440" s="7"/>
      <c r="W2440" s="7"/>
      <c r="X2440" s="7"/>
      <c r="Y2440" s="7" t="s">
        <v>5984</v>
      </c>
      <c r="Z2440" s="7" t="s">
        <v>1171</v>
      </c>
      <c r="AA2440" s="7"/>
      <c r="AB2440" s="7"/>
      <c r="AC2440" s="7" t="s">
        <v>4817</v>
      </c>
      <c r="AD2440" s="7" t="s">
        <v>5921</v>
      </c>
      <c r="AE2440" s="7" t="s">
        <v>5669</v>
      </c>
      <c r="AF2440" s="7" t="s">
        <v>113</v>
      </c>
      <c r="AG2440" s="7" t="s">
        <v>366</v>
      </c>
      <c r="AH2440" s="7" t="s">
        <v>4818</v>
      </c>
    </row>
    <row r="2441" spans="1:34" ht="9.75" customHeight="1" x14ac:dyDescent="0.2">
      <c r="A2441" s="7" t="s">
        <v>5597</v>
      </c>
      <c r="B2441" s="7" t="s">
        <v>4812</v>
      </c>
      <c r="C2441" s="7"/>
      <c r="D2441" s="7" t="s">
        <v>5985</v>
      </c>
      <c r="E2441" s="8">
        <v>7</v>
      </c>
      <c r="F2441" s="7" t="s">
        <v>5665</v>
      </c>
      <c r="G2441" s="7"/>
      <c r="H2441" s="9"/>
      <c r="I2441" s="10">
        <v>681926</v>
      </c>
      <c r="J2441" s="10">
        <v>549114</v>
      </c>
      <c r="K2441" s="9"/>
      <c r="L2441" s="10">
        <v>476289</v>
      </c>
      <c r="M2441" s="9"/>
      <c r="N2441" s="9"/>
      <c r="O2441" s="9"/>
      <c r="P2441" s="10"/>
      <c r="Q2441" s="10"/>
      <c r="R2441" s="10"/>
      <c r="S2441" s="7" t="s">
        <v>43</v>
      </c>
      <c r="T2441" s="7"/>
      <c r="U2441" s="7"/>
      <c r="V2441" s="7"/>
      <c r="W2441" s="7"/>
      <c r="X2441" s="7"/>
      <c r="Y2441" s="7" t="s">
        <v>5986</v>
      </c>
      <c r="Z2441" s="7" t="s">
        <v>1171</v>
      </c>
      <c r="AA2441" s="7"/>
      <c r="AB2441" s="7"/>
      <c r="AC2441" s="7" t="s">
        <v>4817</v>
      </c>
      <c r="AD2441" s="7" t="s">
        <v>5921</v>
      </c>
      <c r="AE2441" s="7" t="s">
        <v>5669</v>
      </c>
      <c r="AF2441" s="7" t="s">
        <v>113</v>
      </c>
      <c r="AG2441" s="7" t="s">
        <v>366</v>
      </c>
      <c r="AH2441" s="7" t="s">
        <v>4818</v>
      </c>
    </row>
    <row r="2442" spans="1:34" ht="9.75" customHeight="1" x14ac:dyDescent="0.2">
      <c r="A2442" s="7" t="s">
        <v>5597</v>
      </c>
      <c r="B2442" s="7" t="s">
        <v>4812</v>
      </c>
      <c r="C2442" s="7"/>
      <c r="D2442" s="7" t="s">
        <v>5987</v>
      </c>
      <c r="E2442" s="8">
        <v>7</v>
      </c>
      <c r="F2442" s="7" t="s">
        <v>5665</v>
      </c>
      <c r="G2442" s="7"/>
      <c r="H2442" s="9"/>
      <c r="I2442" s="10">
        <v>1066</v>
      </c>
      <c r="J2442" s="9"/>
      <c r="K2442" s="9"/>
      <c r="L2442" s="9"/>
      <c r="M2442" s="9"/>
      <c r="N2442" s="9"/>
      <c r="O2442" s="9"/>
      <c r="P2442" s="9"/>
      <c r="Q2442" s="9"/>
      <c r="R2442" s="9"/>
      <c r="S2442" s="7" t="s">
        <v>54</v>
      </c>
      <c r="T2442" s="7" t="s">
        <v>5975</v>
      </c>
      <c r="U2442" s="7"/>
      <c r="V2442" s="7"/>
      <c r="W2442" s="7"/>
      <c r="X2442" s="7"/>
      <c r="Y2442" s="7" t="s">
        <v>5988</v>
      </c>
      <c r="Z2442" s="7" t="s">
        <v>1171</v>
      </c>
      <c r="AA2442" s="7"/>
      <c r="AB2442" s="7"/>
      <c r="AC2442" s="7" t="s">
        <v>4817</v>
      </c>
      <c r="AD2442" s="7" t="s">
        <v>5921</v>
      </c>
      <c r="AE2442" s="7" t="s">
        <v>5682</v>
      </c>
      <c r="AF2442" s="7" t="s">
        <v>113</v>
      </c>
      <c r="AG2442" s="7" t="s">
        <v>366</v>
      </c>
      <c r="AH2442" s="7" t="s">
        <v>4818</v>
      </c>
    </row>
    <row r="2443" spans="1:34" ht="9.75" customHeight="1" x14ac:dyDescent="0.2">
      <c r="A2443" s="7" t="s">
        <v>5597</v>
      </c>
      <c r="B2443" s="7" t="s">
        <v>4812</v>
      </c>
      <c r="C2443" s="7"/>
      <c r="D2443" s="7" t="s">
        <v>5989</v>
      </c>
      <c r="E2443" s="8">
        <v>7</v>
      </c>
      <c r="F2443" s="7" t="s">
        <v>5665</v>
      </c>
      <c r="G2443" s="7"/>
      <c r="H2443" s="9"/>
      <c r="I2443" s="10">
        <v>940</v>
      </c>
      <c r="J2443" s="9"/>
      <c r="K2443" s="9"/>
      <c r="L2443" s="9"/>
      <c r="M2443" s="9"/>
      <c r="N2443" s="9"/>
      <c r="O2443" s="9"/>
      <c r="P2443" s="9"/>
      <c r="Q2443" s="9"/>
      <c r="R2443" s="9"/>
      <c r="S2443" s="7" t="s">
        <v>54</v>
      </c>
      <c r="T2443" s="7" t="s">
        <v>5975</v>
      </c>
      <c r="U2443" s="7"/>
      <c r="V2443" s="7"/>
      <c r="W2443" s="7"/>
      <c r="X2443" s="7"/>
      <c r="Y2443" s="7" t="s">
        <v>5990</v>
      </c>
      <c r="Z2443" s="7" t="s">
        <v>1171</v>
      </c>
      <c r="AA2443" s="7"/>
      <c r="AB2443" s="7"/>
      <c r="AC2443" s="7" t="s">
        <v>4817</v>
      </c>
      <c r="AD2443" s="7" t="s">
        <v>5921</v>
      </c>
      <c r="AE2443" s="7" t="s">
        <v>5682</v>
      </c>
      <c r="AF2443" s="7" t="s">
        <v>113</v>
      </c>
      <c r="AG2443" s="7" t="s">
        <v>366</v>
      </c>
      <c r="AH2443" s="7" t="s">
        <v>4818</v>
      </c>
    </row>
    <row r="2444" spans="1:34" ht="9.75" customHeight="1" x14ac:dyDescent="0.2">
      <c r="A2444" s="7" t="s">
        <v>5597</v>
      </c>
      <c r="B2444" s="7" t="s">
        <v>4812</v>
      </c>
      <c r="C2444" s="7"/>
      <c r="D2444" s="7" t="s">
        <v>5991</v>
      </c>
      <c r="E2444" s="8">
        <v>7</v>
      </c>
      <c r="F2444" s="7" t="s">
        <v>5665</v>
      </c>
      <c r="G2444" s="7"/>
      <c r="H2444" s="9"/>
      <c r="I2444" s="10">
        <v>200</v>
      </c>
      <c r="J2444" s="9"/>
      <c r="K2444" s="9"/>
      <c r="L2444" s="9"/>
      <c r="M2444" s="9"/>
      <c r="N2444" s="9"/>
      <c r="O2444" s="9"/>
      <c r="P2444" s="9"/>
      <c r="Q2444" s="9"/>
      <c r="R2444" s="9"/>
      <c r="S2444" s="7" t="s">
        <v>54</v>
      </c>
      <c r="T2444" s="7" t="s">
        <v>5975</v>
      </c>
      <c r="U2444" s="7"/>
      <c r="V2444" s="7"/>
      <c r="W2444" s="7"/>
      <c r="X2444" s="7"/>
      <c r="Y2444" s="7" t="s">
        <v>5992</v>
      </c>
      <c r="Z2444" s="7" t="s">
        <v>1171</v>
      </c>
      <c r="AA2444" s="7"/>
      <c r="AB2444" s="7"/>
      <c r="AC2444" s="7" t="s">
        <v>4817</v>
      </c>
      <c r="AD2444" s="7" t="s">
        <v>5921</v>
      </c>
      <c r="AE2444" s="7" t="s">
        <v>5682</v>
      </c>
      <c r="AF2444" s="7" t="s">
        <v>113</v>
      </c>
      <c r="AG2444" s="7" t="s">
        <v>366</v>
      </c>
      <c r="AH2444" s="7" t="s">
        <v>4818</v>
      </c>
    </row>
    <row r="2445" spans="1:34" ht="9.75" customHeight="1" x14ac:dyDescent="0.2">
      <c r="A2445" s="7" t="s">
        <v>5597</v>
      </c>
      <c r="B2445" s="7" t="s">
        <v>4812</v>
      </c>
      <c r="C2445" s="7"/>
      <c r="D2445" s="7" t="s">
        <v>5993</v>
      </c>
      <c r="E2445" s="8">
        <v>7</v>
      </c>
      <c r="F2445" s="7" t="s">
        <v>5665</v>
      </c>
      <c r="G2445" s="7"/>
      <c r="H2445" s="9"/>
      <c r="I2445" s="10">
        <v>976</v>
      </c>
      <c r="J2445" s="9"/>
      <c r="K2445" s="9"/>
      <c r="L2445" s="9"/>
      <c r="M2445" s="9"/>
      <c r="N2445" s="9"/>
      <c r="O2445" s="9"/>
      <c r="P2445" s="9"/>
      <c r="Q2445" s="9"/>
      <c r="R2445" s="9"/>
      <c r="S2445" s="7" t="s">
        <v>54</v>
      </c>
      <c r="T2445" s="7" t="s">
        <v>5975</v>
      </c>
      <c r="U2445" s="7"/>
      <c r="V2445" s="7"/>
      <c r="W2445" s="7"/>
      <c r="X2445" s="7"/>
      <c r="Y2445" s="7" t="s">
        <v>5994</v>
      </c>
      <c r="Z2445" s="7" t="s">
        <v>1171</v>
      </c>
      <c r="AA2445" s="7"/>
      <c r="AB2445" s="7"/>
      <c r="AC2445" s="7" t="s">
        <v>4817</v>
      </c>
      <c r="AD2445" s="7" t="s">
        <v>5921</v>
      </c>
      <c r="AE2445" s="7" t="s">
        <v>5682</v>
      </c>
      <c r="AF2445" s="7" t="s">
        <v>113</v>
      </c>
      <c r="AG2445" s="7" t="s">
        <v>366</v>
      </c>
      <c r="AH2445" s="7" t="s">
        <v>4818</v>
      </c>
    </row>
    <row r="2446" spans="1:34" ht="9.75" customHeight="1" x14ac:dyDescent="0.2">
      <c r="A2446" s="7" t="s">
        <v>5597</v>
      </c>
      <c r="B2446" s="7" t="s">
        <v>4812</v>
      </c>
      <c r="C2446" s="7"/>
      <c r="D2446" s="7" t="s">
        <v>5995</v>
      </c>
      <c r="E2446" s="8">
        <v>7</v>
      </c>
      <c r="F2446" s="7" t="s">
        <v>5665</v>
      </c>
      <c r="G2446" s="7"/>
      <c r="H2446" s="9"/>
      <c r="I2446" s="10">
        <v>1985</v>
      </c>
      <c r="J2446" s="9"/>
      <c r="K2446" s="9"/>
      <c r="L2446" s="9"/>
      <c r="M2446" s="9"/>
      <c r="N2446" s="9"/>
      <c r="O2446" s="9"/>
      <c r="P2446" s="9"/>
      <c r="Q2446" s="9"/>
      <c r="R2446" s="9"/>
      <c r="S2446" s="7" t="s">
        <v>54</v>
      </c>
      <c r="T2446" s="7" t="s">
        <v>5975</v>
      </c>
      <c r="U2446" s="7"/>
      <c r="V2446" s="7"/>
      <c r="W2446" s="7"/>
      <c r="X2446" s="7"/>
      <c r="Y2446" s="7" t="s">
        <v>5996</v>
      </c>
      <c r="Z2446" s="7" t="s">
        <v>1171</v>
      </c>
      <c r="AA2446" s="7"/>
      <c r="AB2446" s="7"/>
      <c r="AC2446" s="7" t="s">
        <v>4817</v>
      </c>
      <c r="AD2446" s="7" t="s">
        <v>5921</v>
      </c>
      <c r="AE2446" s="7" t="s">
        <v>5682</v>
      </c>
      <c r="AF2446" s="7" t="s">
        <v>113</v>
      </c>
      <c r="AG2446" s="7" t="s">
        <v>366</v>
      </c>
      <c r="AH2446" s="7" t="s">
        <v>4818</v>
      </c>
    </row>
    <row r="2447" spans="1:34" ht="9.75" customHeight="1" x14ac:dyDescent="0.2">
      <c r="A2447" s="7" t="s">
        <v>5597</v>
      </c>
      <c r="B2447" s="7" t="s">
        <v>4812</v>
      </c>
      <c r="C2447" s="7"/>
      <c r="D2447" s="7" t="s">
        <v>5997</v>
      </c>
      <c r="E2447" s="8">
        <v>7</v>
      </c>
      <c r="F2447" s="7" t="s">
        <v>5665</v>
      </c>
      <c r="G2447" s="7"/>
      <c r="H2447" s="9"/>
      <c r="I2447" s="10">
        <v>4441</v>
      </c>
      <c r="J2447" s="9"/>
      <c r="K2447" s="9"/>
      <c r="L2447" s="9"/>
      <c r="M2447" s="9"/>
      <c r="N2447" s="9"/>
      <c r="O2447" s="9"/>
      <c r="P2447" s="9"/>
      <c r="Q2447" s="9"/>
      <c r="R2447" s="9"/>
      <c r="S2447" s="7" t="s">
        <v>54</v>
      </c>
      <c r="T2447" s="7" t="s">
        <v>5975</v>
      </c>
      <c r="U2447" s="7"/>
      <c r="V2447" s="7"/>
      <c r="W2447" s="7"/>
      <c r="X2447" s="7"/>
      <c r="Y2447" s="7" t="s">
        <v>5998</v>
      </c>
      <c r="Z2447" s="7" t="s">
        <v>1171</v>
      </c>
      <c r="AA2447" s="7"/>
      <c r="AB2447" s="7"/>
      <c r="AC2447" s="7" t="s">
        <v>4817</v>
      </c>
      <c r="AD2447" s="7" t="s">
        <v>5921</v>
      </c>
      <c r="AE2447" s="7" t="s">
        <v>5682</v>
      </c>
      <c r="AF2447" s="7" t="s">
        <v>113</v>
      </c>
      <c r="AG2447" s="7" t="s">
        <v>366</v>
      </c>
      <c r="AH2447" s="7" t="s">
        <v>4818</v>
      </c>
    </row>
    <row r="2448" spans="1:34" ht="9.75" customHeight="1" x14ac:dyDescent="0.2">
      <c r="A2448" s="7" t="s">
        <v>5597</v>
      </c>
      <c r="B2448" s="7" t="s">
        <v>4812</v>
      </c>
      <c r="C2448" s="7"/>
      <c r="D2448" s="7" t="s">
        <v>5999</v>
      </c>
      <c r="E2448" s="8">
        <v>7</v>
      </c>
      <c r="F2448" s="7" t="s">
        <v>5665</v>
      </c>
      <c r="G2448" s="7"/>
      <c r="H2448" s="9"/>
      <c r="I2448" s="10">
        <v>1111</v>
      </c>
      <c r="J2448" s="9"/>
      <c r="K2448" s="9"/>
      <c r="L2448" s="9"/>
      <c r="M2448" s="9"/>
      <c r="N2448" s="9"/>
      <c r="O2448" s="9"/>
      <c r="P2448" s="9"/>
      <c r="Q2448" s="9"/>
      <c r="R2448" s="9"/>
      <c r="S2448" s="7" t="s">
        <v>54</v>
      </c>
      <c r="T2448" s="7" t="s">
        <v>5975</v>
      </c>
      <c r="U2448" s="7"/>
      <c r="V2448" s="7"/>
      <c r="W2448" s="7"/>
      <c r="X2448" s="7"/>
      <c r="Y2448" s="7" t="s">
        <v>6000</v>
      </c>
      <c r="Z2448" s="7" t="s">
        <v>1171</v>
      </c>
      <c r="AA2448" s="7"/>
      <c r="AB2448" s="7"/>
      <c r="AC2448" s="7" t="s">
        <v>4817</v>
      </c>
      <c r="AD2448" s="7" t="s">
        <v>5921</v>
      </c>
      <c r="AE2448" s="7" t="s">
        <v>5682</v>
      </c>
      <c r="AF2448" s="7" t="s">
        <v>113</v>
      </c>
      <c r="AG2448" s="7" t="s">
        <v>366</v>
      </c>
      <c r="AH2448" s="7" t="s">
        <v>4818</v>
      </c>
    </row>
    <row r="2449" spans="1:34" ht="9.75" customHeight="1" x14ac:dyDescent="0.2">
      <c r="A2449" s="7" t="s">
        <v>5597</v>
      </c>
      <c r="B2449" s="7" t="s">
        <v>4812</v>
      </c>
      <c r="C2449" s="7"/>
      <c r="D2449" s="7" t="s">
        <v>6001</v>
      </c>
      <c r="E2449" s="8">
        <v>7</v>
      </c>
      <c r="F2449" s="7" t="s">
        <v>5665</v>
      </c>
      <c r="G2449" s="7"/>
      <c r="H2449" s="9"/>
      <c r="I2449" s="9"/>
      <c r="J2449" s="10">
        <v>32930</v>
      </c>
      <c r="K2449" s="9"/>
      <c r="L2449" s="9"/>
      <c r="M2449" s="9"/>
      <c r="N2449" s="9"/>
      <c r="O2449" s="9"/>
      <c r="P2449" s="9"/>
      <c r="Q2449" s="9"/>
      <c r="R2449" s="9"/>
      <c r="S2449" s="7" t="s">
        <v>54</v>
      </c>
      <c r="T2449" s="7" t="s">
        <v>5975</v>
      </c>
      <c r="U2449" s="7"/>
      <c r="V2449" s="7"/>
      <c r="W2449" s="7"/>
      <c r="X2449" s="7"/>
      <c r="Y2449" s="7" t="s">
        <v>6002</v>
      </c>
      <c r="Z2449" s="7" t="s">
        <v>1171</v>
      </c>
      <c r="AA2449" s="7"/>
      <c r="AB2449" s="7"/>
      <c r="AC2449" s="7" t="s">
        <v>4817</v>
      </c>
      <c r="AD2449" s="7" t="s">
        <v>5921</v>
      </c>
      <c r="AE2449" s="7" t="s">
        <v>5682</v>
      </c>
      <c r="AF2449" s="7" t="s">
        <v>113</v>
      </c>
      <c r="AG2449" s="7" t="s">
        <v>366</v>
      </c>
      <c r="AH2449" s="7" t="s">
        <v>4818</v>
      </c>
    </row>
    <row r="2450" spans="1:34" ht="9.75" customHeight="1" x14ac:dyDescent="0.2">
      <c r="A2450" s="7" t="s">
        <v>5597</v>
      </c>
      <c r="B2450" s="7" t="s">
        <v>4812</v>
      </c>
      <c r="C2450" s="7"/>
      <c r="D2450" s="7" t="s">
        <v>6003</v>
      </c>
      <c r="E2450" s="8">
        <v>7</v>
      </c>
      <c r="F2450" s="7" t="s">
        <v>5665</v>
      </c>
      <c r="G2450" s="7"/>
      <c r="H2450" s="9"/>
      <c r="I2450" s="9"/>
      <c r="J2450" s="10">
        <v>2757</v>
      </c>
      <c r="K2450" s="9"/>
      <c r="L2450" s="9"/>
      <c r="M2450" s="9"/>
      <c r="N2450" s="9"/>
      <c r="O2450" s="9"/>
      <c r="P2450" s="9"/>
      <c r="Q2450" s="9"/>
      <c r="R2450" s="9"/>
      <c r="S2450" s="7" t="s">
        <v>54</v>
      </c>
      <c r="T2450" s="7" t="s">
        <v>5975</v>
      </c>
      <c r="U2450" s="7"/>
      <c r="V2450" s="7"/>
      <c r="W2450" s="7"/>
      <c r="X2450" s="7"/>
      <c r="Y2450" s="7" t="s">
        <v>6004</v>
      </c>
      <c r="Z2450" s="7" t="s">
        <v>1171</v>
      </c>
      <c r="AA2450" s="7"/>
      <c r="AB2450" s="7"/>
      <c r="AC2450" s="7" t="s">
        <v>4817</v>
      </c>
      <c r="AD2450" s="7" t="s">
        <v>5921</v>
      </c>
      <c r="AE2450" s="7" t="s">
        <v>5682</v>
      </c>
      <c r="AF2450" s="7" t="s">
        <v>113</v>
      </c>
      <c r="AG2450" s="7" t="s">
        <v>366</v>
      </c>
      <c r="AH2450" s="7" t="s">
        <v>4818</v>
      </c>
    </row>
    <row r="2451" spans="1:34" ht="9.75" customHeight="1" x14ac:dyDescent="0.2">
      <c r="A2451" s="7" t="s">
        <v>5597</v>
      </c>
      <c r="B2451" s="7" t="s">
        <v>4812</v>
      </c>
      <c r="C2451" s="7"/>
      <c r="D2451" s="7" t="s">
        <v>6005</v>
      </c>
      <c r="E2451" s="8">
        <v>7</v>
      </c>
      <c r="F2451" s="7" t="s">
        <v>5665</v>
      </c>
      <c r="G2451" s="7"/>
      <c r="H2451" s="9"/>
      <c r="I2451" s="9"/>
      <c r="J2451" s="10">
        <v>23253</v>
      </c>
      <c r="K2451" s="9"/>
      <c r="L2451" s="9"/>
      <c r="M2451" s="9"/>
      <c r="N2451" s="9"/>
      <c r="O2451" s="9"/>
      <c r="P2451" s="9"/>
      <c r="Q2451" s="9"/>
      <c r="R2451" s="9"/>
      <c r="S2451" s="7" t="s">
        <v>54</v>
      </c>
      <c r="T2451" s="7" t="s">
        <v>5975</v>
      </c>
      <c r="U2451" s="7"/>
      <c r="V2451" s="7"/>
      <c r="W2451" s="7"/>
      <c r="X2451" s="7"/>
      <c r="Y2451" s="7" t="s">
        <v>6006</v>
      </c>
      <c r="Z2451" s="7" t="s">
        <v>1171</v>
      </c>
      <c r="AA2451" s="7"/>
      <c r="AB2451" s="7"/>
      <c r="AC2451" s="7" t="s">
        <v>4817</v>
      </c>
      <c r="AD2451" s="7" t="s">
        <v>5921</v>
      </c>
      <c r="AE2451" s="7" t="s">
        <v>5682</v>
      </c>
      <c r="AF2451" s="7" t="s">
        <v>113</v>
      </c>
      <c r="AG2451" s="7" t="s">
        <v>366</v>
      </c>
      <c r="AH2451" s="7" t="s">
        <v>4818</v>
      </c>
    </row>
    <row r="2452" spans="1:34" ht="9.75" customHeight="1" x14ac:dyDescent="0.2">
      <c r="A2452" s="7" t="s">
        <v>5597</v>
      </c>
      <c r="B2452" s="7" t="s">
        <v>4812</v>
      </c>
      <c r="C2452" s="7"/>
      <c r="D2452" s="7" t="s">
        <v>6007</v>
      </c>
      <c r="E2452" s="8">
        <v>7</v>
      </c>
      <c r="F2452" s="7" t="s">
        <v>5665</v>
      </c>
      <c r="G2452" s="7"/>
      <c r="H2452" s="9"/>
      <c r="I2452" s="9"/>
      <c r="J2452" s="10">
        <v>1060</v>
      </c>
      <c r="K2452" s="9"/>
      <c r="L2452" s="9"/>
      <c r="M2452" s="9"/>
      <c r="N2452" s="9"/>
      <c r="O2452" s="9"/>
      <c r="P2452" s="9"/>
      <c r="Q2452" s="9"/>
      <c r="R2452" s="9"/>
      <c r="S2452" s="7" t="s">
        <v>54</v>
      </c>
      <c r="T2452" s="7" t="s">
        <v>5975</v>
      </c>
      <c r="U2452" s="7"/>
      <c r="V2452" s="7"/>
      <c r="W2452" s="7"/>
      <c r="X2452" s="7"/>
      <c r="Y2452" s="7" t="s">
        <v>6008</v>
      </c>
      <c r="Z2452" s="7" t="s">
        <v>1171</v>
      </c>
      <c r="AA2452" s="7"/>
      <c r="AB2452" s="7"/>
      <c r="AC2452" s="7" t="s">
        <v>4817</v>
      </c>
      <c r="AD2452" s="7" t="s">
        <v>5921</v>
      </c>
      <c r="AE2452" s="7" t="s">
        <v>5682</v>
      </c>
      <c r="AF2452" s="7" t="s">
        <v>113</v>
      </c>
      <c r="AG2452" s="7" t="s">
        <v>366</v>
      </c>
      <c r="AH2452" s="7" t="s">
        <v>4818</v>
      </c>
    </row>
    <row r="2453" spans="1:34" ht="9.75" customHeight="1" x14ac:dyDescent="0.2">
      <c r="A2453" s="7" t="s">
        <v>5597</v>
      </c>
      <c r="B2453" s="7" t="s">
        <v>4812</v>
      </c>
      <c r="C2453" s="7"/>
      <c r="D2453" s="7" t="s">
        <v>6009</v>
      </c>
      <c r="E2453" s="8">
        <v>7</v>
      </c>
      <c r="F2453" s="7" t="s">
        <v>5665</v>
      </c>
      <c r="G2453" s="7"/>
      <c r="H2453" s="9"/>
      <c r="I2453" s="10">
        <v>644808</v>
      </c>
      <c r="J2453" s="9"/>
      <c r="K2453" s="9"/>
      <c r="L2453" s="9"/>
      <c r="M2453" s="9"/>
      <c r="N2453" s="9"/>
      <c r="O2453" s="9"/>
      <c r="P2453" s="9"/>
      <c r="Q2453" s="9"/>
      <c r="R2453" s="9"/>
      <c r="S2453" s="7" t="s">
        <v>54</v>
      </c>
      <c r="T2453" s="7" t="s">
        <v>5975</v>
      </c>
      <c r="U2453" s="7"/>
      <c r="V2453" s="7"/>
      <c r="W2453" s="7"/>
      <c r="X2453" s="7"/>
      <c r="Y2453" s="7" t="s">
        <v>6010</v>
      </c>
      <c r="Z2453" s="7" t="s">
        <v>1184</v>
      </c>
      <c r="AA2453" s="7"/>
      <c r="AB2453" s="7"/>
      <c r="AC2453" s="7" t="s">
        <v>4817</v>
      </c>
      <c r="AD2453" s="7" t="s">
        <v>5921</v>
      </c>
      <c r="AE2453" s="7" t="s">
        <v>5697</v>
      </c>
      <c r="AF2453" s="7" t="s">
        <v>113</v>
      </c>
      <c r="AG2453" s="7" t="s">
        <v>366</v>
      </c>
      <c r="AH2453" s="7" t="s">
        <v>4818</v>
      </c>
    </row>
    <row r="2454" spans="1:34" ht="9.75" customHeight="1" x14ac:dyDescent="0.2">
      <c r="A2454" s="7" t="s">
        <v>5597</v>
      </c>
      <c r="B2454" s="7" t="s">
        <v>4812</v>
      </c>
      <c r="C2454" s="7"/>
      <c r="D2454" s="7" t="s">
        <v>6011</v>
      </c>
      <c r="E2454" s="8">
        <v>7</v>
      </c>
      <c r="F2454" s="7" t="s">
        <v>5665</v>
      </c>
      <c r="G2454" s="7"/>
      <c r="H2454" s="9"/>
      <c r="I2454" s="9"/>
      <c r="J2454" s="10">
        <v>400578</v>
      </c>
      <c r="K2454" s="9"/>
      <c r="L2454" s="9"/>
      <c r="M2454" s="9"/>
      <c r="N2454" s="9"/>
      <c r="O2454" s="9"/>
      <c r="P2454" s="9"/>
      <c r="Q2454" s="9"/>
      <c r="R2454" s="9"/>
      <c r="S2454" s="7" t="s">
        <v>54</v>
      </c>
      <c r="T2454" s="7" t="s">
        <v>5975</v>
      </c>
      <c r="U2454" s="7"/>
      <c r="V2454" s="7"/>
      <c r="W2454" s="7"/>
      <c r="X2454" s="7"/>
      <c r="Y2454" s="7" t="s">
        <v>6012</v>
      </c>
      <c r="Z2454" s="7" t="s">
        <v>1184</v>
      </c>
      <c r="AA2454" s="7"/>
      <c r="AB2454" s="7"/>
      <c r="AC2454" s="7" t="s">
        <v>4817</v>
      </c>
      <c r="AD2454" s="7" t="s">
        <v>5921</v>
      </c>
      <c r="AE2454" s="7" t="s">
        <v>5697</v>
      </c>
      <c r="AF2454" s="7" t="s">
        <v>113</v>
      </c>
      <c r="AG2454" s="7" t="s">
        <v>366</v>
      </c>
      <c r="AH2454" s="7" t="s">
        <v>4818</v>
      </c>
    </row>
    <row r="2455" spans="1:34" ht="9.75" customHeight="1" x14ac:dyDescent="0.2">
      <c r="A2455" s="7" t="s">
        <v>5597</v>
      </c>
      <c r="B2455" s="7" t="s">
        <v>4812</v>
      </c>
      <c r="C2455" s="7"/>
      <c r="D2455" s="7" t="s">
        <v>6013</v>
      </c>
      <c r="E2455" s="8">
        <v>7</v>
      </c>
      <c r="F2455" s="7" t="s">
        <v>5665</v>
      </c>
      <c r="G2455" s="7"/>
      <c r="H2455" s="9"/>
      <c r="I2455" s="9"/>
      <c r="J2455" s="9"/>
      <c r="K2455" s="9"/>
      <c r="L2455" s="10">
        <v>220793</v>
      </c>
      <c r="M2455" s="9"/>
      <c r="N2455" s="9"/>
      <c r="O2455" s="9"/>
      <c r="P2455" s="10"/>
      <c r="Q2455" s="10"/>
      <c r="R2455" s="10"/>
      <c r="S2455" s="7" t="s">
        <v>54</v>
      </c>
      <c r="T2455" s="7" t="s">
        <v>5975</v>
      </c>
      <c r="U2455" s="7"/>
      <c r="V2455" s="7"/>
      <c r="W2455" s="7"/>
      <c r="X2455" s="7"/>
      <c r="Y2455" s="7" t="s">
        <v>6014</v>
      </c>
      <c r="Z2455" s="7" t="s">
        <v>1184</v>
      </c>
      <c r="AA2455" s="7"/>
      <c r="AB2455" s="7"/>
      <c r="AC2455" s="7" t="s">
        <v>4817</v>
      </c>
      <c r="AD2455" s="7" t="s">
        <v>5921</v>
      </c>
      <c r="AE2455" s="7" t="s">
        <v>5697</v>
      </c>
      <c r="AF2455" s="7" t="s">
        <v>113</v>
      </c>
      <c r="AG2455" s="7" t="s">
        <v>366</v>
      </c>
      <c r="AH2455" s="7" t="s">
        <v>4818</v>
      </c>
    </row>
    <row r="2456" spans="1:34" ht="9.75" customHeight="1" x14ac:dyDescent="0.2">
      <c r="A2456" s="7" t="s">
        <v>5597</v>
      </c>
      <c r="B2456" s="7" t="s">
        <v>4812</v>
      </c>
      <c r="C2456" s="7"/>
      <c r="D2456" s="7" t="s">
        <v>6015</v>
      </c>
      <c r="E2456" s="8">
        <v>7</v>
      </c>
      <c r="F2456" s="7" t="s">
        <v>5665</v>
      </c>
      <c r="G2456" s="7"/>
      <c r="H2456" s="9"/>
      <c r="I2456" s="9"/>
      <c r="J2456" s="9"/>
      <c r="K2456" s="9"/>
      <c r="L2456" s="10">
        <v>227769</v>
      </c>
      <c r="M2456" s="9"/>
      <c r="N2456" s="9"/>
      <c r="O2456" s="9"/>
      <c r="P2456" s="10"/>
      <c r="Q2456" s="10"/>
      <c r="R2456" s="10"/>
      <c r="S2456" s="7" t="s">
        <v>54</v>
      </c>
      <c r="T2456" s="7" t="s">
        <v>5975</v>
      </c>
      <c r="U2456" s="7"/>
      <c r="V2456" s="7"/>
      <c r="W2456" s="7"/>
      <c r="X2456" s="7"/>
      <c r="Y2456" s="7" t="s">
        <v>6016</v>
      </c>
      <c r="Z2456" s="7" t="s">
        <v>1184</v>
      </c>
      <c r="AA2456" s="7"/>
      <c r="AB2456" s="7"/>
      <c r="AC2456" s="7" t="s">
        <v>4817</v>
      </c>
      <c r="AD2456" s="7" t="s">
        <v>5921</v>
      </c>
      <c r="AE2456" s="7" t="s">
        <v>5697</v>
      </c>
      <c r="AF2456" s="7" t="s">
        <v>113</v>
      </c>
      <c r="AG2456" s="7" t="s">
        <v>366</v>
      </c>
      <c r="AH2456" s="7" t="s">
        <v>4818</v>
      </c>
    </row>
    <row r="2457" spans="1:34" ht="9.75" customHeight="1" x14ac:dyDescent="0.2">
      <c r="A2457" s="7" t="s">
        <v>5597</v>
      </c>
      <c r="B2457" s="7" t="s">
        <v>4812</v>
      </c>
      <c r="C2457" s="7"/>
      <c r="D2457" s="7" t="s">
        <v>6017</v>
      </c>
      <c r="E2457" s="8">
        <v>5</v>
      </c>
      <c r="F2457" s="7" t="s">
        <v>5703</v>
      </c>
      <c r="G2457" s="7"/>
      <c r="H2457" s="9"/>
      <c r="I2457" s="9"/>
      <c r="J2457" s="9"/>
      <c r="K2457" s="9"/>
      <c r="L2457" s="9"/>
      <c r="M2457" s="9"/>
      <c r="N2457" s="9"/>
      <c r="O2457" s="9"/>
      <c r="P2457" s="9"/>
      <c r="Q2457" s="9"/>
      <c r="R2457" s="9"/>
      <c r="S2457" s="7" t="s">
        <v>219</v>
      </c>
      <c r="T2457" s="7"/>
      <c r="U2457" s="7" t="s">
        <v>44</v>
      </c>
      <c r="V2457" s="7" t="s">
        <v>45</v>
      </c>
      <c r="W2457" s="7" t="s">
        <v>46</v>
      </c>
      <c r="X2457" s="7" t="s">
        <v>90</v>
      </c>
      <c r="Y2457" s="7" t="s">
        <v>6018</v>
      </c>
      <c r="Z2457" s="7" t="s">
        <v>1199</v>
      </c>
      <c r="AA2457" s="7"/>
      <c r="AB2457" s="7"/>
      <c r="AC2457" s="7" t="s">
        <v>4817</v>
      </c>
      <c r="AD2457" s="7" t="s">
        <v>5921</v>
      </c>
      <c r="AE2457" s="7" t="s">
        <v>5703</v>
      </c>
      <c r="AF2457" s="7" t="s">
        <v>113</v>
      </c>
      <c r="AG2457" s="7" t="s">
        <v>366</v>
      </c>
      <c r="AH2457" s="7" t="s">
        <v>4818</v>
      </c>
    </row>
    <row r="2458" spans="1:34" ht="9.75" customHeight="1" x14ac:dyDescent="0.2">
      <c r="A2458" s="7" t="s">
        <v>5597</v>
      </c>
      <c r="B2458" s="7" t="s">
        <v>4812</v>
      </c>
      <c r="C2458" s="7"/>
      <c r="D2458" s="7" t="s">
        <v>6019</v>
      </c>
      <c r="E2458" s="8">
        <v>5</v>
      </c>
      <c r="F2458" s="7" t="s">
        <v>5703</v>
      </c>
      <c r="G2458" s="7"/>
      <c r="H2458" s="9"/>
      <c r="I2458" s="9"/>
      <c r="J2458" s="9"/>
      <c r="K2458" s="9"/>
      <c r="L2458" s="9"/>
      <c r="M2458" s="9"/>
      <c r="N2458" s="9"/>
      <c r="O2458" s="9"/>
      <c r="P2458" s="9"/>
      <c r="Q2458" s="9"/>
      <c r="R2458" s="9"/>
      <c r="S2458" s="7" t="s">
        <v>219</v>
      </c>
      <c r="T2458" s="7"/>
      <c r="U2458" s="7" t="s">
        <v>44</v>
      </c>
      <c r="V2458" s="7" t="s">
        <v>45</v>
      </c>
      <c r="W2458" s="7" t="s">
        <v>46</v>
      </c>
      <c r="X2458" s="7" t="s">
        <v>90</v>
      </c>
      <c r="Y2458" s="7" t="s">
        <v>6020</v>
      </c>
      <c r="Z2458" s="7" t="s">
        <v>1199</v>
      </c>
      <c r="AA2458" s="7"/>
      <c r="AB2458" s="7"/>
      <c r="AC2458" s="7" t="s">
        <v>4817</v>
      </c>
      <c r="AD2458" s="7" t="s">
        <v>5921</v>
      </c>
      <c r="AE2458" s="7" t="s">
        <v>5703</v>
      </c>
      <c r="AF2458" s="7" t="s">
        <v>113</v>
      </c>
      <c r="AG2458" s="7" t="s">
        <v>366</v>
      </c>
      <c r="AH2458" s="7" t="s">
        <v>4818</v>
      </c>
    </row>
    <row r="2459" spans="1:34" ht="9.75" customHeight="1" x14ac:dyDescent="0.2">
      <c r="A2459" s="7" t="s">
        <v>5597</v>
      </c>
      <c r="B2459" s="7" t="s">
        <v>4812</v>
      </c>
      <c r="C2459" s="7"/>
      <c r="D2459" s="7" t="s">
        <v>6021</v>
      </c>
      <c r="E2459" s="8">
        <v>2</v>
      </c>
      <c r="F2459" s="7" t="s">
        <v>5703</v>
      </c>
      <c r="G2459" s="7"/>
      <c r="H2459" s="9"/>
      <c r="I2459" s="9"/>
      <c r="J2459" s="9"/>
      <c r="K2459" s="9"/>
      <c r="L2459" s="9"/>
      <c r="M2459" s="9"/>
      <c r="N2459" s="9"/>
      <c r="O2459" s="9"/>
      <c r="P2459" s="9"/>
      <c r="Q2459" s="9"/>
      <c r="R2459" s="9"/>
      <c r="S2459" s="7" t="s">
        <v>219</v>
      </c>
      <c r="T2459" s="7"/>
      <c r="U2459" s="7" t="s">
        <v>44</v>
      </c>
      <c r="V2459" s="7" t="s">
        <v>45</v>
      </c>
      <c r="W2459" s="7" t="s">
        <v>46</v>
      </c>
      <c r="X2459" s="7" t="s">
        <v>90</v>
      </c>
      <c r="Y2459" s="7" t="s">
        <v>6022</v>
      </c>
      <c r="Z2459" s="7" t="s">
        <v>1199</v>
      </c>
      <c r="AA2459" s="7"/>
      <c r="AB2459" s="7"/>
      <c r="AC2459" s="7" t="s">
        <v>4817</v>
      </c>
      <c r="AD2459" s="7" t="s">
        <v>5921</v>
      </c>
      <c r="AE2459" s="7" t="s">
        <v>5703</v>
      </c>
      <c r="AF2459" s="7" t="s">
        <v>113</v>
      </c>
      <c r="AG2459" s="7" t="s">
        <v>366</v>
      </c>
      <c r="AH2459" s="7" t="s">
        <v>4818</v>
      </c>
    </row>
    <row r="2460" spans="1:34" ht="9.75" customHeight="1" x14ac:dyDescent="0.2">
      <c r="A2460" s="7" t="s">
        <v>5597</v>
      </c>
      <c r="B2460" s="7" t="s">
        <v>4812</v>
      </c>
      <c r="C2460" s="7"/>
      <c r="D2460" s="7" t="s">
        <v>6023</v>
      </c>
      <c r="E2460" s="8">
        <v>2</v>
      </c>
      <c r="F2460" s="7" t="s">
        <v>5703</v>
      </c>
      <c r="G2460" s="7"/>
      <c r="H2460" s="9"/>
      <c r="I2460" s="9"/>
      <c r="J2460" s="9"/>
      <c r="K2460" s="9"/>
      <c r="L2460" s="9"/>
      <c r="M2460" s="9"/>
      <c r="N2460" s="9"/>
      <c r="O2460" s="9"/>
      <c r="P2460" s="9"/>
      <c r="Q2460" s="9"/>
      <c r="R2460" s="9"/>
      <c r="S2460" s="7" t="s">
        <v>219</v>
      </c>
      <c r="T2460" s="7"/>
      <c r="U2460" s="7" t="s">
        <v>44</v>
      </c>
      <c r="V2460" s="7" t="s">
        <v>45</v>
      </c>
      <c r="W2460" s="7" t="s">
        <v>46</v>
      </c>
      <c r="X2460" s="7" t="s">
        <v>90</v>
      </c>
      <c r="Y2460" s="7" t="s">
        <v>6024</v>
      </c>
      <c r="Z2460" s="7" t="s">
        <v>1199</v>
      </c>
      <c r="AA2460" s="7"/>
      <c r="AB2460" s="7"/>
      <c r="AC2460" s="7" t="s">
        <v>4817</v>
      </c>
      <c r="AD2460" s="7" t="s">
        <v>5921</v>
      </c>
      <c r="AE2460" s="7" t="s">
        <v>5703</v>
      </c>
      <c r="AF2460" s="7" t="s">
        <v>113</v>
      </c>
      <c r="AG2460" s="7" t="s">
        <v>366</v>
      </c>
      <c r="AH2460" s="7" t="s">
        <v>4818</v>
      </c>
    </row>
    <row r="2461" spans="1:34" ht="9.75" customHeight="1" x14ac:dyDescent="0.2">
      <c r="A2461" s="7" t="s">
        <v>5597</v>
      </c>
      <c r="B2461" s="7" t="s">
        <v>4812</v>
      </c>
      <c r="C2461" s="7"/>
      <c r="D2461" s="7" t="s">
        <v>6025</v>
      </c>
      <c r="E2461" s="8">
        <v>2</v>
      </c>
      <c r="F2461" s="7" t="s">
        <v>5703</v>
      </c>
      <c r="G2461" s="7"/>
      <c r="H2461" s="9"/>
      <c r="I2461" s="9"/>
      <c r="J2461" s="9"/>
      <c r="K2461" s="9"/>
      <c r="L2461" s="9"/>
      <c r="M2461" s="9"/>
      <c r="N2461" s="9"/>
      <c r="O2461" s="9"/>
      <c r="P2461" s="9"/>
      <c r="Q2461" s="9"/>
      <c r="R2461" s="9"/>
      <c r="S2461" s="7" t="s">
        <v>219</v>
      </c>
      <c r="T2461" s="7"/>
      <c r="U2461" s="7" t="s">
        <v>44</v>
      </c>
      <c r="V2461" s="7" t="s">
        <v>45</v>
      </c>
      <c r="W2461" s="7" t="s">
        <v>46</v>
      </c>
      <c r="X2461" s="7" t="s">
        <v>90</v>
      </c>
      <c r="Y2461" s="7" t="s">
        <v>6026</v>
      </c>
      <c r="Z2461" s="7" t="s">
        <v>1199</v>
      </c>
      <c r="AA2461" s="7"/>
      <c r="AB2461" s="7"/>
      <c r="AC2461" s="7" t="s">
        <v>4817</v>
      </c>
      <c r="AD2461" s="7" t="s">
        <v>5921</v>
      </c>
      <c r="AE2461" s="7" t="s">
        <v>5703</v>
      </c>
      <c r="AF2461" s="7" t="s">
        <v>113</v>
      </c>
      <c r="AG2461" s="7" t="s">
        <v>366</v>
      </c>
      <c r="AH2461" s="7" t="s">
        <v>4818</v>
      </c>
    </row>
    <row r="2462" spans="1:34" ht="9.75" customHeight="1" x14ac:dyDescent="0.2">
      <c r="A2462" s="7" t="s">
        <v>5597</v>
      </c>
      <c r="B2462" s="7" t="s">
        <v>4812</v>
      </c>
      <c r="C2462" s="7"/>
      <c r="D2462" s="7" t="s">
        <v>6027</v>
      </c>
      <c r="E2462" s="8">
        <v>2</v>
      </c>
      <c r="F2462" s="7" t="s">
        <v>5703</v>
      </c>
      <c r="G2462" s="7"/>
      <c r="H2462" s="9"/>
      <c r="I2462" s="9"/>
      <c r="J2462" s="9"/>
      <c r="K2462" s="9"/>
      <c r="L2462" s="9"/>
      <c r="M2462" s="9"/>
      <c r="N2462" s="9"/>
      <c r="O2462" s="9"/>
      <c r="P2462" s="9"/>
      <c r="Q2462" s="9"/>
      <c r="R2462" s="9"/>
      <c r="S2462" s="7" t="s">
        <v>219</v>
      </c>
      <c r="T2462" s="7"/>
      <c r="U2462" s="7" t="s">
        <v>44</v>
      </c>
      <c r="V2462" s="7" t="s">
        <v>45</v>
      </c>
      <c r="W2462" s="7" t="s">
        <v>46</v>
      </c>
      <c r="X2462" s="7" t="s">
        <v>90</v>
      </c>
      <c r="Y2462" s="7" t="s">
        <v>6028</v>
      </c>
      <c r="Z2462" s="7" t="s">
        <v>1199</v>
      </c>
      <c r="AA2462" s="7"/>
      <c r="AB2462" s="7"/>
      <c r="AC2462" s="7" t="s">
        <v>4817</v>
      </c>
      <c r="AD2462" s="7" t="s">
        <v>5921</v>
      </c>
      <c r="AE2462" s="7" t="s">
        <v>5703</v>
      </c>
      <c r="AF2462" s="7" t="s">
        <v>113</v>
      </c>
      <c r="AG2462" s="7" t="s">
        <v>366</v>
      </c>
      <c r="AH2462" s="7" t="s">
        <v>4818</v>
      </c>
    </row>
    <row r="2463" spans="1:34" ht="9.75" customHeight="1" x14ac:dyDescent="0.2">
      <c r="A2463" s="7" t="s">
        <v>5597</v>
      </c>
      <c r="B2463" s="7" t="s">
        <v>4812</v>
      </c>
      <c r="C2463" s="7"/>
      <c r="D2463" s="7" t="s">
        <v>6029</v>
      </c>
      <c r="E2463" s="8">
        <v>2</v>
      </c>
      <c r="F2463" s="7" t="s">
        <v>5703</v>
      </c>
      <c r="G2463" s="7"/>
      <c r="H2463" s="9"/>
      <c r="I2463" s="9"/>
      <c r="J2463" s="9"/>
      <c r="K2463" s="9"/>
      <c r="L2463" s="9"/>
      <c r="M2463" s="9"/>
      <c r="N2463" s="9"/>
      <c r="O2463" s="9"/>
      <c r="P2463" s="9"/>
      <c r="Q2463" s="9"/>
      <c r="R2463" s="9"/>
      <c r="S2463" s="7" t="s">
        <v>219</v>
      </c>
      <c r="T2463" s="7"/>
      <c r="U2463" s="7" t="s">
        <v>44</v>
      </c>
      <c r="V2463" s="7" t="s">
        <v>45</v>
      </c>
      <c r="W2463" s="7" t="s">
        <v>46</v>
      </c>
      <c r="X2463" s="7" t="s">
        <v>90</v>
      </c>
      <c r="Y2463" s="7" t="s">
        <v>6030</v>
      </c>
      <c r="Z2463" s="7" t="s">
        <v>1199</v>
      </c>
      <c r="AA2463" s="7"/>
      <c r="AB2463" s="7"/>
      <c r="AC2463" s="7" t="s">
        <v>4817</v>
      </c>
      <c r="AD2463" s="7" t="s">
        <v>5921</v>
      </c>
      <c r="AE2463" s="7" t="s">
        <v>5703</v>
      </c>
      <c r="AF2463" s="7" t="s">
        <v>113</v>
      </c>
      <c r="AG2463" s="7" t="s">
        <v>366</v>
      </c>
      <c r="AH2463" s="7" t="s">
        <v>4818</v>
      </c>
    </row>
    <row r="2464" spans="1:34" ht="9.75" customHeight="1" x14ac:dyDescent="0.2">
      <c r="A2464" s="7" t="s">
        <v>5597</v>
      </c>
      <c r="B2464" s="7" t="s">
        <v>4812</v>
      </c>
      <c r="C2464" s="7"/>
      <c r="D2464" s="7" t="s">
        <v>6031</v>
      </c>
      <c r="E2464" s="8">
        <v>5</v>
      </c>
      <c r="F2464" s="7" t="s">
        <v>5703</v>
      </c>
      <c r="G2464" s="7"/>
      <c r="H2464" s="9"/>
      <c r="I2464" s="9"/>
      <c r="J2464" s="9"/>
      <c r="K2464" s="9"/>
      <c r="L2464" s="9"/>
      <c r="M2464" s="9"/>
      <c r="N2464" s="9"/>
      <c r="O2464" s="9"/>
      <c r="P2464" s="9"/>
      <c r="Q2464" s="9"/>
      <c r="R2464" s="9"/>
      <c r="S2464" s="7" t="s">
        <v>219</v>
      </c>
      <c r="T2464" s="7"/>
      <c r="U2464" s="7" t="s">
        <v>44</v>
      </c>
      <c r="V2464" s="7" t="s">
        <v>45</v>
      </c>
      <c r="W2464" s="7" t="s">
        <v>46</v>
      </c>
      <c r="X2464" s="7" t="s">
        <v>90</v>
      </c>
      <c r="Y2464" s="7" t="s">
        <v>6032</v>
      </c>
      <c r="Z2464" s="7" t="s">
        <v>1199</v>
      </c>
      <c r="AA2464" s="7"/>
      <c r="AB2464" s="7"/>
      <c r="AC2464" s="7" t="s">
        <v>4817</v>
      </c>
      <c r="AD2464" s="7" t="s">
        <v>5921</v>
      </c>
      <c r="AE2464" s="7" t="s">
        <v>5703</v>
      </c>
      <c r="AF2464" s="7" t="s">
        <v>113</v>
      </c>
      <c r="AG2464" s="7" t="s">
        <v>366</v>
      </c>
      <c r="AH2464" s="7" t="s">
        <v>4818</v>
      </c>
    </row>
    <row r="2465" spans="1:34" ht="9.75" customHeight="1" x14ac:dyDescent="0.2">
      <c r="A2465" s="7" t="s">
        <v>5597</v>
      </c>
      <c r="B2465" s="7" t="s">
        <v>4812</v>
      </c>
      <c r="C2465" s="7"/>
      <c r="D2465" s="7" t="s">
        <v>6033</v>
      </c>
      <c r="E2465" s="8">
        <v>5</v>
      </c>
      <c r="F2465" s="7" t="s">
        <v>5703</v>
      </c>
      <c r="G2465" s="7"/>
      <c r="H2465" s="9"/>
      <c r="I2465" s="9"/>
      <c r="J2465" s="9"/>
      <c r="K2465" s="9"/>
      <c r="L2465" s="9"/>
      <c r="M2465" s="9"/>
      <c r="N2465" s="9"/>
      <c r="O2465" s="9"/>
      <c r="P2465" s="9"/>
      <c r="Q2465" s="9"/>
      <c r="R2465" s="9"/>
      <c r="S2465" s="7" t="s">
        <v>219</v>
      </c>
      <c r="T2465" s="7"/>
      <c r="U2465" s="7" t="s">
        <v>44</v>
      </c>
      <c r="V2465" s="7" t="s">
        <v>45</v>
      </c>
      <c r="W2465" s="7" t="s">
        <v>46</v>
      </c>
      <c r="X2465" s="7" t="s">
        <v>90</v>
      </c>
      <c r="Y2465" s="7" t="s">
        <v>6034</v>
      </c>
      <c r="Z2465" s="7" t="s">
        <v>1199</v>
      </c>
      <c r="AA2465" s="7"/>
      <c r="AB2465" s="7"/>
      <c r="AC2465" s="7" t="s">
        <v>4817</v>
      </c>
      <c r="AD2465" s="7" t="s">
        <v>5921</v>
      </c>
      <c r="AE2465" s="7" t="s">
        <v>5703</v>
      </c>
      <c r="AF2465" s="7" t="s">
        <v>113</v>
      </c>
      <c r="AG2465" s="7" t="s">
        <v>366</v>
      </c>
      <c r="AH2465" s="7" t="s">
        <v>4818</v>
      </c>
    </row>
    <row r="2466" spans="1:34" ht="9.75" customHeight="1" x14ac:dyDescent="0.2">
      <c r="A2466" s="7" t="s">
        <v>5597</v>
      </c>
      <c r="B2466" s="7" t="s">
        <v>4812</v>
      </c>
      <c r="C2466" s="7"/>
      <c r="D2466" s="7" t="s">
        <v>6035</v>
      </c>
      <c r="E2466" s="8">
        <v>2</v>
      </c>
      <c r="F2466" s="7" t="s">
        <v>5703</v>
      </c>
      <c r="G2466" s="7"/>
      <c r="H2466" s="9"/>
      <c r="I2466" s="9"/>
      <c r="J2466" s="9"/>
      <c r="K2466" s="9"/>
      <c r="L2466" s="9"/>
      <c r="M2466" s="9"/>
      <c r="N2466" s="9"/>
      <c r="O2466" s="9"/>
      <c r="P2466" s="9"/>
      <c r="Q2466" s="9"/>
      <c r="R2466" s="9"/>
      <c r="S2466" s="7" t="s">
        <v>219</v>
      </c>
      <c r="T2466" s="7"/>
      <c r="U2466" s="7" t="s">
        <v>44</v>
      </c>
      <c r="V2466" s="7" t="s">
        <v>45</v>
      </c>
      <c r="W2466" s="7" t="s">
        <v>46</v>
      </c>
      <c r="X2466" s="7" t="s">
        <v>90</v>
      </c>
      <c r="Y2466" s="7" t="s">
        <v>6036</v>
      </c>
      <c r="Z2466" s="7" t="s">
        <v>1199</v>
      </c>
      <c r="AA2466" s="7"/>
      <c r="AB2466" s="7"/>
      <c r="AC2466" s="7" t="s">
        <v>4817</v>
      </c>
      <c r="AD2466" s="7" t="s">
        <v>5921</v>
      </c>
      <c r="AE2466" s="7" t="s">
        <v>5703</v>
      </c>
      <c r="AF2466" s="7" t="s">
        <v>113</v>
      </c>
      <c r="AG2466" s="7" t="s">
        <v>366</v>
      </c>
      <c r="AH2466" s="7" t="s">
        <v>4818</v>
      </c>
    </row>
    <row r="2467" spans="1:34" ht="9.75" customHeight="1" x14ac:dyDescent="0.2">
      <c r="A2467" s="7" t="s">
        <v>5597</v>
      </c>
      <c r="B2467" s="7" t="s">
        <v>4812</v>
      </c>
      <c r="C2467" s="7"/>
      <c r="D2467" s="7" t="s">
        <v>6037</v>
      </c>
      <c r="E2467" s="8">
        <v>2</v>
      </c>
      <c r="F2467" s="7" t="s">
        <v>5703</v>
      </c>
      <c r="G2467" s="7"/>
      <c r="H2467" s="9"/>
      <c r="I2467" s="9"/>
      <c r="J2467" s="9"/>
      <c r="K2467" s="9"/>
      <c r="L2467" s="9"/>
      <c r="M2467" s="9"/>
      <c r="N2467" s="9"/>
      <c r="O2467" s="9"/>
      <c r="P2467" s="9"/>
      <c r="Q2467" s="9"/>
      <c r="R2467" s="9"/>
      <c r="S2467" s="7" t="s">
        <v>219</v>
      </c>
      <c r="T2467" s="7"/>
      <c r="U2467" s="7" t="s">
        <v>44</v>
      </c>
      <c r="V2467" s="7" t="s">
        <v>45</v>
      </c>
      <c r="W2467" s="7" t="s">
        <v>46</v>
      </c>
      <c r="X2467" s="7" t="s">
        <v>90</v>
      </c>
      <c r="Y2467" s="7" t="s">
        <v>6038</v>
      </c>
      <c r="Z2467" s="7" t="s">
        <v>1199</v>
      </c>
      <c r="AA2467" s="7"/>
      <c r="AB2467" s="7"/>
      <c r="AC2467" s="7" t="s">
        <v>4817</v>
      </c>
      <c r="AD2467" s="7" t="s">
        <v>5921</v>
      </c>
      <c r="AE2467" s="7" t="s">
        <v>5703</v>
      </c>
      <c r="AF2467" s="7" t="s">
        <v>113</v>
      </c>
      <c r="AG2467" s="7" t="s">
        <v>366</v>
      </c>
      <c r="AH2467" s="7" t="s">
        <v>4818</v>
      </c>
    </row>
    <row r="2468" spans="1:34" ht="9.75" customHeight="1" x14ac:dyDescent="0.2">
      <c r="A2468" s="7" t="s">
        <v>5597</v>
      </c>
      <c r="B2468" s="7" t="s">
        <v>4812</v>
      </c>
      <c r="C2468" s="7"/>
      <c r="D2468" s="7" t="s">
        <v>6039</v>
      </c>
      <c r="E2468" s="8">
        <v>2</v>
      </c>
      <c r="F2468" s="7" t="s">
        <v>5703</v>
      </c>
      <c r="G2468" s="7"/>
      <c r="H2468" s="9"/>
      <c r="I2468" s="9"/>
      <c r="J2468" s="9"/>
      <c r="K2468" s="9"/>
      <c r="L2468" s="9"/>
      <c r="M2468" s="9"/>
      <c r="N2468" s="9"/>
      <c r="O2468" s="9"/>
      <c r="P2468" s="9"/>
      <c r="Q2468" s="9"/>
      <c r="R2468" s="9"/>
      <c r="S2468" s="7" t="s">
        <v>219</v>
      </c>
      <c r="T2468" s="7"/>
      <c r="U2468" s="7" t="s">
        <v>44</v>
      </c>
      <c r="V2468" s="7" t="s">
        <v>45</v>
      </c>
      <c r="W2468" s="7" t="s">
        <v>46</v>
      </c>
      <c r="X2468" s="7" t="s">
        <v>90</v>
      </c>
      <c r="Y2468" s="7" t="s">
        <v>6040</v>
      </c>
      <c r="Z2468" s="7" t="s">
        <v>1199</v>
      </c>
      <c r="AA2468" s="7"/>
      <c r="AB2468" s="7"/>
      <c r="AC2468" s="7" t="s">
        <v>4817</v>
      </c>
      <c r="AD2468" s="7" t="s">
        <v>5921</v>
      </c>
      <c r="AE2468" s="7" t="s">
        <v>5703</v>
      </c>
      <c r="AF2468" s="7" t="s">
        <v>113</v>
      </c>
      <c r="AG2468" s="7" t="s">
        <v>366</v>
      </c>
      <c r="AH2468" s="7" t="s">
        <v>4818</v>
      </c>
    </row>
    <row r="2469" spans="1:34" ht="9.75" customHeight="1" x14ac:dyDescent="0.2">
      <c r="A2469" s="7" t="s">
        <v>5597</v>
      </c>
      <c r="B2469" s="7" t="s">
        <v>4812</v>
      </c>
      <c r="C2469" s="7"/>
      <c r="D2469" s="7" t="s">
        <v>6041</v>
      </c>
      <c r="E2469" s="8">
        <v>2</v>
      </c>
      <c r="F2469" s="7" t="s">
        <v>5703</v>
      </c>
      <c r="G2469" s="7"/>
      <c r="H2469" s="9"/>
      <c r="I2469" s="9"/>
      <c r="J2469" s="9"/>
      <c r="K2469" s="9"/>
      <c r="L2469" s="9"/>
      <c r="M2469" s="9"/>
      <c r="N2469" s="9"/>
      <c r="O2469" s="9"/>
      <c r="P2469" s="9"/>
      <c r="Q2469" s="9"/>
      <c r="R2469" s="9"/>
      <c r="S2469" s="7" t="s">
        <v>219</v>
      </c>
      <c r="T2469" s="7"/>
      <c r="U2469" s="7" t="s">
        <v>44</v>
      </c>
      <c r="V2469" s="7" t="s">
        <v>45</v>
      </c>
      <c r="W2469" s="7" t="s">
        <v>46</v>
      </c>
      <c r="X2469" s="7" t="s">
        <v>90</v>
      </c>
      <c r="Y2469" s="7" t="s">
        <v>6042</v>
      </c>
      <c r="Z2469" s="7" t="s">
        <v>1199</v>
      </c>
      <c r="AA2469" s="7"/>
      <c r="AB2469" s="7"/>
      <c r="AC2469" s="7" t="s">
        <v>4817</v>
      </c>
      <c r="AD2469" s="7" t="s">
        <v>5921</v>
      </c>
      <c r="AE2469" s="7" t="s">
        <v>5703</v>
      </c>
      <c r="AF2469" s="7" t="s">
        <v>113</v>
      </c>
      <c r="AG2469" s="7" t="s">
        <v>366</v>
      </c>
      <c r="AH2469" s="7" t="s">
        <v>4818</v>
      </c>
    </row>
    <row r="2470" spans="1:34" ht="9.75" customHeight="1" x14ac:dyDescent="0.2">
      <c r="A2470" s="7" t="s">
        <v>5597</v>
      </c>
      <c r="B2470" s="7" t="s">
        <v>4812</v>
      </c>
      <c r="C2470" s="7"/>
      <c r="D2470" s="7" t="s">
        <v>6043</v>
      </c>
      <c r="E2470" s="8">
        <v>5</v>
      </c>
      <c r="F2470" s="7" t="s">
        <v>5703</v>
      </c>
      <c r="G2470" s="7"/>
      <c r="H2470" s="9"/>
      <c r="I2470" s="9"/>
      <c r="J2470" s="9"/>
      <c r="K2470" s="9"/>
      <c r="L2470" s="9"/>
      <c r="M2470" s="9"/>
      <c r="N2470" s="9"/>
      <c r="O2470" s="9"/>
      <c r="P2470" s="9"/>
      <c r="Q2470" s="9"/>
      <c r="R2470" s="9"/>
      <c r="S2470" s="7" t="s">
        <v>219</v>
      </c>
      <c r="T2470" s="7"/>
      <c r="U2470" s="7" t="s">
        <v>44</v>
      </c>
      <c r="V2470" s="7" t="s">
        <v>45</v>
      </c>
      <c r="W2470" s="7" t="s">
        <v>46</v>
      </c>
      <c r="X2470" s="7" t="s">
        <v>90</v>
      </c>
      <c r="Y2470" s="7" t="s">
        <v>6044</v>
      </c>
      <c r="Z2470" s="7" t="s">
        <v>1199</v>
      </c>
      <c r="AA2470" s="7"/>
      <c r="AB2470" s="7"/>
      <c r="AC2470" s="7" t="s">
        <v>4817</v>
      </c>
      <c r="AD2470" s="7" t="s">
        <v>5921</v>
      </c>
      <c r="AE2470" s="7" t="s">
        <v>5703</v>
      </c>
      <c r="AF2470" s="7" t="s">
        <v>113</v>
      </c>
      <c r="AG2470" s="7" t="s">
        <v>366</v>
      </c>
      <c r="AH2470" s="7" t="s">
        <v>4818</v>
      </c>
    </row>
    <row r="2471" spans="1:34" ht="9.75" customHeight="1" x14ac:dyDescent="0.2">
      <c r="A2471" s="7" t="s">
        <v>5597</v>
      </c>
      <c r="B2471" s="7" t="s">
        <v>4812</v>
      </c>
      <c r="C2471" s="7"/>
      <c r="D2471" s="7" t="s">
        <v>6045</v>
      </c>
      <c r="E2471" s="8">
        <v>2</v>
      </c>
      <c r="F2471" s="7" t="s">
        <v>5703</v>
      </c>
      <c r="G2471" s="7"/>
      <c r="H2471" s="9"/>
      <c r="I2471" s="9"/>
      <c r="J2471" s="9"/>
      <c r="K2471" s="9"/>
      <c r="L2471" s="9"/>
      <c r="M2471" s="9"/>
      <c r="N2471" s="9"/>
      <c r="O2471" s="9"/>
      <c r="P2471" s="9"/>
      <c r="Q2471" s="9"/>
      <c r="R2471" s="9"/>
      <c r="S2471" s="7" t="s">
        <v>219</v>
      </c>
      <c r="T2471" s="7"/>
      <c r="U2471" s="7" t="s">
        <v>44</v>
      </c>
      <c r="V2471" s="7" t="s">
        <v>45</v>
      </c>
      <c r="W2471" s="7" t="s">
        <v>46</v>
      </c>
      <c r="X2471" s="7" t="s">
        <v>90</v>
      </c>
      <c r="Y2471" s="7" t="s">
        <v>6046</v>
      </c>
      <c r="Z2471" s="7" t="s">
        <v>1199</v>
      </c>
      <c r="AA2471" s="7"/>
      <c r="AB2471" s="7"/>
      <c r="AC2471" s="7" t="s">
        <v>4817</v>
      </c>
      <c r="AD2471" s="7" t="s">
        <v>5921</v>
      </c>
      <c r="AE2471" s="7" t="s">
        <v>5703</v>
      </c>
      <c r="AF2471" s="7" t="s">
        <v>113</v>
      </c>
      <c r="AG2471" s="7" t="s">
        <v>366</v>
      </c>
      <c r="AH2471" s="7" t="s">
        <v>4818</v>
      </c>
    </row>
    <row r="2472" spans="1:34" ht="9.75" customHeight="1" x14ac:dyDescent="0.2">
      <c r="A2472" s="7" t="s">
        <v>5597</v>
      </c>
      <c r="B2472" s="7" t="s">
        <v>4812</v>
      </c>
      <c r="C2472" s="7"/>
      <c r="D2472" s="7" t="s">
        <v>6047</v>
      </c>
      <c r="E2472" s="8">
        <v>2</v>
      </c>
      <c r="F2472" s="7" t="s">
        <v>5703</v>
      </c>
      <c r="G2472" s="7"/>
      <c r="H2472" s="9"/>
      <c r="I2472" s="9"/>
      <c r="J2472" s="9"/>
      <c r="K2472" s="9"/>
      <c r="L2472" s="9"/>
      <c r="M2472" s="9"/>
      <c r="N2472" s="9"/>
      <c r="O2472" s="9"/>
      <c r="P2472" s="9"/>
      <c r="Q2472" s="9"/>
      <c r="R2472" s="9"/>
      <c r="S2472" s="7" t="s">
        <v>219</v>
      </c>
      <c r="T2472" s="7"/>
      <c r="U2472" s="7" t="s">
        <v>44</v>
      </c>
      <c r="V2472" s="7" t="s">
        <v>45</v>
      </c>
      <c r="W2472" s="7" t="s">
        <v>46</v>
      </c>
      <c r="X2472" s="7" t="s">
        <v>90</v>
      </c>
      <c r="Y2472" s="7" t="s">
        <v>6048</v>
      </c>
      <c r="Z2472" s="7" t="s">
        <v>1199</v>
      </c>
      <c r="AA2472" s="7"/>
      <c r="AB2472" s="7"/>
      <c r="AC2472" s="7" t="s">
        <v>4817</v>
      </c>
      <c r="AD2472" s="7" t="s">
        <v>5921</v>
      </c>
      <c r="AE2472" s="7" t="s">
        <v>5703</v>
      </c>
      <c r="AF2472" s="7" t="s">
        <v>113</v>
      </c>
      <c r="AG2472" s="7" t="s">
        <v>366</v>
      </c>
      <c r="AH2472" s="7" t="s">
        <v>4818</v>
      </c>
    </row>
    <row r="2473" spans="1:34" ht="9.75" customHeight="1" x14ac:dyDescent="0.2">
      <c r="A2473" s="7" t="s">
        <v>5597</v>
      </c>
      <c r="B2473" s="7" t="s">
        <v>4812</v>
      </c>
      <c r="C2473" s="7"/>
      <c r="D2473" s="7" t="s">
        <v>6049</v>
      </c>
      <c r="E2473" s="8">
        <v>2</v>
      </c>
      <c r="F2473" s="7" t="s">
        <v>5703</v>
      </c>
      <c r="G2473" s="7"/>
      <c r="H2473" s="9"/>
      <c r="I2473" s="9"/>
      <c r="J2473" s="9"/>
      <c r="K2473" s="9"/>
      <c r="L2473" s="9"/>
      <c r="M2473" s="9"/>
      <c r="N2473" s="9"/>
      <c r="O2473" s="9"/>
      <c r="P2473" s="9"/>
      <c r="Q2473" s="9"/>
      <c r="R2473" s="9"/>
      <c r="S2473" s="7" t="s">
        <v>219</v>
      </c>
      <c r="T2473" s="7"/>
      <c r="U2473" s="7" t="s">
        <v>44</v>
      </c>
      <c r="V2473" s="7" t="s">
        <v>45</v>
      </c>
      <c r="W2473" s="7" t="s">
        <v>46</v>
      </c>
      <c r="X2473" s="7" t="s">
        <v>90</v>
      </c>
      <c r="Y2473" s="7" t="s">
        <v>6050</v>
      </c>
      <c r="Z2473" s="7" t="s">
        <v>1199</v>
      </c>
      <c r="AA2473" s="7"/>
      <c r="AB2473" s="7"/>
      <c r="AC2473" s="7" t="s">
        <v>4817</v>
      </c>
      <c r="AD2473" s="7" t="s">
        <v>5921</v>
      </c>
      <c r="AE2473" s="7" t="s">
        <v>5703</v>
      </c>
      <c r="AF2473" s="7" t="s">
        <v>113</v>
      </c>
      <c r="AG2473" s="7" t="s">
        <v>366</v>
      </c>
      <c r="AH2473" s="7" t="s">
        <v>4818</v>
      </c>
    </row>
    <row r="2474" spans="1:34" ht="9.75" customHeight="1" x14ac:dyDescent="0.2">
      <c r="A2474" s="7" t="s">
        <v>5597</v>
      </c>
      <c r="B2474" s="7" t="s">
        <v>4812</v>
      </c>
      <c r="C2474" s="7"/>
      <c r="D2474" s="7" t="s">
        <v>6051</v>
      </c>
      <c r="E2474" s="8">
        <v>2</v>
      </c>
      <c r="F2474" s="7" t="s">
        <v>4383</v>
      </c>
      <c r="G2474" s="7"/>
      <c r="H2474" s="9"/>
      <c r="I2474" s="10">
        <v>1978623</v>
      </c>
      <c r="J2474" s="10">
        <v>2090577</v>
      </c>
      <c r="K2474" s="9"/>
      <c r="L2474" s="10">
        <v>2044669</v>
      </c>
      <c r="M2474" s="9"/>
      <c r="N2474" s="9"/>
      <c r="O2474" s="9"/>
      <c r="P2474" s="10"/>
      <c r="Q2474" s="10"/>
      <c r="R2474" s="10"/>
      <c r="S2474" s="7" t="s">
        <v>54</v>
      </c>
      <c r="T2474" s="7" t="s">
        <v>6052</v>
      </c>
      <c r="U2474" s="7"/>
      <c r="V2474" s="7"/>
      <c r="W2474" s="7"/>
      <c r="X2474" s="7"/>
      <c r="Y2474" s="7" t="s">
        <v>6053</v>
      </c>
      <c r="Z2474" s="7" t="s">
        <v>1208</v>
      </c>
      <c r="AA2474" s="7"/>
      <c r="AB2474" s="7"/>
      <c r="AC2474" s="7" t="s">
        <v>4817</v>
      </c>
      <c r="AD2474" s="7" t="s">
        <v>6054</v>
      </c>
      <c r="AE2474" s="7" t="s">
        <v>5609</v>
      </c>
      <c r="AF2474" s="7" t="s">
        <v>113</v>
      </c>
      <c r="AG2474" s="7" t="s">
        <v>366</v>
      </c>
      <c r="AH2474" s="7" t="s">
        <v>4818</v>
      </c>
    </row>
    <row r="2475" spans="1:34" ht="9.75" customHeight="1" x14ac:dyDescent="0.2">
      <c r="A2475" s="7" t="s">
        <v>5597</v>
      </c>
      <c r="B2475" s="7" t="s">
        <v>4812</v>
      </c>
      <c r="C2475" s="7"/>
      <c r="D2475" s="7" t="s">
        <v>6055</v>
      </c>
      <c r="E2475" s="8">
        <v>2</v>
      </c>
      <c r="F2475" s="7" t="s">
        <v>4383</v>
      </c>
      <c r="G2475" s="7"/>
      <c r="H2475" s="9"/>
      <c r="I2475" s="10">
        <v>1758846</v>
      </c>
      <c r="J2475" s="10">
        <v>1847552</v>
      </c>
      <c r="K2475" s="9"/>
      <c r="L2475" s="10">
        <v>1835038</v>
      </c>
      <c r="M2475" s="9"/>
      <c r="N2475" s="9"/>
      <c r="O2475" s="9"/>
      <c r="P2475" s="10"/>
      <c r="Q2475" s="10"/>
      <c r="R2475" s="10"/>
      <c r="S2475" s="7" t="s">
        <v>54</v>
      </c>
      <c r="T2475" s="7" t="s">
        <v>6052</v>
      </c>
      <c r="U2475" s="7"/>
      <c r="V2475" s="7"/>
      <c r="W2475" s="7"/>
      <c r="X2475" s="7"/>
      <c r="Y2475" s="7" t="s">
        <v>6056</v>
      </c>
      <c r="Z2475" s="7" t="s">
        <v>1208</v>
      </c>
      <c r="AA2475" s="7"/>
      <c r="AB2475" s="7"/>
      <c r="AC2475" s="7" t="s">
        <v>4817</v>
      </c>
      <c r="AD2475" s="7" t="s">
        <v>6054</v>
      </c>
      <c r="AE2475" s="7" t="s">
        <v>5609</v>
      </c>
      <c r="AF2475" s="7" t="s">
        <v>113</v>
      </c>
      <c r="AG2475" s="7" t="s">
        <v>366</v>
      </c>
      <c r="AH2475" s="7" t="s">
        <v>4818</v>
      </c>
    </row>
    <row r="2476" spans="1:34" ht="9.75" customHeight="1" x14ac:dyDescent="0.2">
      <c r="A2476" s="7" t="s">
        <v>5597</v>
      </c>
      <c r="B2476" s="7" t="s">
        <v>4812</v>
      </c>
      <c r="C2476" s="7"/>
      <c r="D2476" s="7" t="s">
        <v>6057</v>
      </c>
      <c r="E2476" s="8">
        <v>2</v>
      </c>
      <c r="F2476" s="7" t="s">
        <v>4383</v>
      </c>
      <c r="G2476" s="7"/>
      <c r="H2476" s="9"/>
      <c r="I2476" s="10">
        <v>1558318</v>
      </c>
      <c r="J2476" s="10">
        <v>1767890</v>
      </c>
      <c r="K2476" s="9"/>
      <c r="L2476" s="10">
        <v>1587466</v>
      </c>
      <c r="M2476" s="9"/>
      <c r="N2476" s="9"/>
      <c r="O2476" s="9"/>
      <c r="P2476" s="10"/>
      <c r="Q2476" s="10"/>
      <c r="R2476" s="10"/>
      <c r="S2476" s="7" t="s">
        <v>54</v>
      </c>
      <c r="T2476" s="7" t="s">
        <v>6052</v>
      </c>
      <c r="U2476" s="7"/>
      <c r="V2476" s="7"/>
      <c r="W2476" s="7"/>
      <c r="X2476" s="7"/>
      <c r="Y2476" s="7" t="s">
        <v>6058</v>
      </c>
      <c r="Z2476" s="7" t="s">
        <v>1208</v>
      </c>
      <c r="AA2476" s="7"/>
      <c r="AB2476" s="7"/>
      <c r="AC2476" s="7" t="s">
        <v>4817</v>
      </c>
      <c r="AD2476" s="7" t="s">
        <v>6054</v>
      </c>
      <c r="AE2476" s="7" t="s">
        <v>5609</v>
      </c>
      <c r="AF2476" s="7" t="s">
        <v>113</v>
      </c>
      <c r="AG2476" s="7" t="s">
        <v>366</v>
      </c>
      <c r="AH2476" s="7" t="s">
        <v>4818</v>
      </c>
    </row>
    <row r="2477" spans="1:34" ht="9.75" customHeight="1" x14ac:dyDescent="0.2">
      <c r="A2477" s="7" t="s">
        <v>5597</v>
      </c>
      <c r="B2477" s="7" t="s">
        <v>4812</v>
      </c>
      <c r="C2477" s="7"/>
      <c r="D2477" s="7" t="s">
        <v>6059</v>
      </c>
      <c r="E2477" s="8">
        <v>2</v>
      </c>
      <c r="F2477" s="7" t="s">
        <v>4383</v>
      </c>
      <c r="G2477" s="7"/>
      <c r="H2477" s="9"/>
      <c r="I2477" s="10">
        <v>148982</v>
      </c>
      <c r="J2477" s="10">
        <v>26569</v>
      </c>
      <c r="K2477" s="9"/>
      <c r="L2477" s="10">
        <v>192640</v>
      </c>
      <c r="M2477" s="9"/>
      <c r="N2477" s="9"/>
      <c r="O2477" s="9"/>
      <c r="P2477" s="10"/>
      <c r="Q2477" s="10"/>
      <c r="R2477" s="10"/>
      <c r="S2477" s="7" t="s">
        <v>54</v>
      </c>
      <c r="T2477" s="7" t="s">
        <v>6052</v>
      </c>
      <c r="U2477" s="7"/>
      <c r="V2477" s="7"/>
      <c r="W2477" s="7"/>
      <c r="X2477" s="7"/>
      <c r="Y2477" s="7" t="s">
        <v>6060</v>
      </c>
      <c r="Z2477" s="7" t="s">
        <v>1208</v>
      </c>
      <c r="AA2477" s="7"/>
      <c r="AB2477" s="7"/>
      <c r="AC2477" s="7" t="s">
        <v>4817</v>
      </c>
      <c r="AD2477" s="7" t="s">
        <v>6054</v>
      </c>
      <c r="AE2477" s="7" t="s">
        <v>5609</v>
      </c>
      <c r="AF2477" s="7" t="s">
        <v>113</v>
      </c>
      <c r="AG2477" s="7" t="s">
        <v>366</v>
      </c>
      <c r="AH2477" s="7" t="s">
        <v>4818</v>
      </c>
    </row>
    <row r="2478" spans="1:34" ht="9.75" customHeight="1" x14ac:dyDescent="0.2">
      <c r="A2478" s="7" t="s">
        <v>5597</v>
      </c>
      <c r="B2478" s="7" t="s">
        <v>4812</v>
      </c>
      <c r="C2478" s="7"/>
      <c r="D2478" s="7" t="s">
        <v>6061</v>
      </c>
      <c r="E2478" s="8">
        <v>2</v>
      </c>
      <c r="F2478" s="7" t="s">
        <v>4383</v>
      </c>
      <c r="G2478" s="7"/>
      <c r="H2478" s="9"/>
      <c r="I2478" s="10">
        <v>51546</v>
      </c>
      <c r="J2478" s="10">
        <v>53093</v>
      </c>
      <c r="K2478" s="9"/>
      <c r="L2478" s="10">
        <v>54932</v>
      </c>
      <c r="M2478" s="9"/>
      <c r="N2478" s="9"/>
      <c r="O2478" s="9"/>
      <c r="P2478" s="10"/>
      <c r="Q2478" s="10"/>
      <c r="R2478" s="10"/>
      <c r="S2478" s="7" t="s">
        <v>54</v>
      </c>
      <c r="T2478" s="7" t="s">
        <v>6052</v>
      </c>
      <c r="U2478" s="7"/>
      <c r="V2478" s="7"/>
      <c r="W2478" s="7"/>
      <c r="X2478" s="7"/>
      <c r="Y2478" s="7" t="s">
        <v>6062</v>
      </c>
      <c r="Z2478" s="7" t="s">
        <v>1208</v>
      </c>
      <c r="AA2478" s="7"/>
      <c r="AB2478" s="7"/>
      <c r="AC2478" s="7" t="s">
        <v>4817</v>
      </c>
      <c r="AD2478" s="7" t="s">
        <v>6054</v>
      </c>
      <c r="AE2478" s="7" t="s">
        <v>5609</v>
      </c>
      <c r="AF2478" s="7" t="s">
        <v>113</v>
      </c>
      <c r="AG2478" s="7" t="s">
        <v>366</v>
      </c>
      <c r="AH2478" s="7" t="s">
        <v>4818</v>
      </c>
    </row>
    <row r="2479" spans="1:34" ht="9.75" customHeight="1" x14ac:dyDescent="0.2">
      <c r="A2479" s="7" t="s">
        <v>5597</v>
      </c>
      <c r="B2479" s="7" t="s">
        <v>4812</v>
      </c>
      <c r="C2479" s="7"/>
      <c r="D2479" s="7" t="s">
        <v>6063</v>
      </c>
      <c r="E2479" s="8">
        <v>2</v>
      </c>
      <c r="F2479" s="7" t="s">
        <v>4383</v>
      </c>
      <c r="G2479" s="7"/>
      <c r="H2479" s="9"/>
      <c r="I2479" s="10">
        <v>219777</v>
      </c>
      <c r="J2479" s="10">
        <v>243025</v>
      </c>
      <c r="K2479" s="9"/>
      <c r="L2479" s="10">
        <v>209631</v>
      </c>
      <c r="M2479" s="9"/>
      <c r="N2479" s="9"/>
      <c r="O2479" s="9"/>
      <c r="P2479" s="10"/>
      <c r="Q2479" s="10"/>
      <c r="R2479" s="10"/>
      <c r="S2479" s="7" t="s">
        <v>54</v>
      </c>
      <c r="T2479" s="7" t="s">
        <v>6052</v>
      </c>
      <c r="U2479" s="7"/>
      <c r="V2479" s="7"/>
      <c r="W2479" s="7"/>
      <c r="X2479" s="7"/>
      <c r="Y2479" s="7" t="s">
        <v>6064</v>
      </c>
      <c r="Z2479" s="7" t="s">
        <v>1208</v>
      </c>
      <c r="AA2479" s="7"/>
      <c r="AB2479" s="7"/>
      <c r="AC2479" s="7" t="s">
        <v>4817</v>
      </c>
      <c r="AD2479" s="7" t="s">
        <v>6054</v>
      </c>
      <c r="AE2479" s="7" t="s">
        <v>5609</v>
      </c>
      <c r="AF2479" s="7" t="s">
        <v>113</v>
      </c>
      <c r="AG2479" s="7" t="s">
        <v>366</v>
      </c>
      <c r="AH2479" s="7" t="s">
        <v>4818</v>
      </c>
    </row>
    <row r="2480" spans="1:34" ht="9.75" customHeight="1" x14ac:dyDescent="0.2">
      <c r="A2480" s="7" t="s">
        <v>5597</v>
      </c>
      <c r="B2480" s="7" t="s">
        <v>4812</v>
      </c>
      <c r="C2480" s="7"/>
      <c r="D2480" s="7" t="s">
        <v>6065</v>
      </c>
      <c r="E2480" s="8">
        <v>2</v>
      </c>
      <c r="F2480" s="7" t="s">
        <v>4383</v>
      </c>
      <c r="G2480" s="7"/>
      <c r="H2480" s="9"/>
      <c r="I2480" s="10">
        <v>120379</v>
      </c>
      <c r="J2480" s="10">
        <v>133113</v>
      </c>
      <c r="K2480" s="9"/>
      <c r="L2480" s="10">
        <v>114822</v>
      </c>
      <c r="M2480" s="9"/>
      <c r="N2480" s="9"/>
      <c r="O2480" s="9"/>
      <c r="P2480" s="10"/>
      <c r="Q2480" s="10"/>
      <c r="R2480" s="10"/>
      <c r="S2480" s="7" t="s">
        <v>54</v>
      </c>
      <c r="T2480" s="7" t="s">
        <v>6052</v>
      </c>
      <c r="U2480" s="7"/>
      <c r="V2480" s="7"/>
      <c r="W2480" s="7"/>
      <c r="X2480" s="7"/>
      <c r="Y2480" s="7" t="s">
        <v>6066</v>
      </c>
      <c r="Z2480" s="7" t="s">
        <v>1208</v>
      </c>
      <c r="AA2480" s="7"/>
      <c r="AB2480" s="7"/>
      <c r="AC2480" s="7" t="s">
        <v>4817</v>
      </c>
      <c r="AD2480" s="7" t="s">
        <v>6054</v>
      </c>
      <c r="AE2480" s="7" t="s">
        <v>5609</v>
      </c>
      <c r="AF2480" s="7" t="s">
        <v>113</v>
      </c>
      <c r="AG2480" s="7" t="s">
        <v>366</v>
      </c>
      <c r="AH2480" s="7" t="s">
        <v>4818</v>
      </c>
    </row>
    <row r="2481" spans="1:34" ht="9.75" customHeight="1" x14ac:dyDescent="0.2">
      <c r="A2481" s="7" t="s">
        <v>5597</v>
      </c>
      <c r="B2481" s="7" t="s">
        <v>4812</v>
      </c>
      <c r="C2481" s="7"/>
      <c r="D2481" s="7" t="s">
        <v>6067</v>
      </c>
      <c r="E2481" s="8">
        <v>2</v>
      </c>
      <c r="F2481" s="7" t="s">
        <v>4383</v>
      </c>
      <c r="G2481" s="7"/>
      <c r="H2481" s="9"/>
      <c r="I2481" s="10">
        <v>53472</v>
      </c>
      <c r="J2481" s="10">
        <v>59128</v>
      </c>
      <c r="K2481" s="9"/>
      <c r="L2481" s="10">
        <v>51003</v>
      </c>
      <c r="M2481" s="9"/>
      <c r="N2481" s="9"/>
      <c r="O2481" s="9"/>
      <c r="P2481" s="10"/>
      <c r="Q2481" s="10"/>
      <c r="R2481" s="10"/>
      <c r="S2481" s="7" t="s">
        <v>54</v>
      </c>
      <c r="T2481" s="7" t="s">
        <v>6052</v>
      </c>
      <c r="U2481" s="7"/>
      <c r="V2481" s="7"/>
      <c r="W2481" s="7"/>
      <c r="X2481" s="7"/>
      <c r="Y2481" s="7" t="s">
        <v>6068</v>
      </c>
      <c r="Z2481" s="7" t="s">
        <v>1208</v>
      </c>
      <c r="AA2481" s="7"/>
      <c r="AB2481" s="7"/>
      <c r="AC2481" s="7" t="s">
        <v>4817</v>
      </c>
      <c r="AD2481" s="7" t="s">
        <v>6054</v>
      </c>
      <c r="AE2481" s="7" t="s">
        <v>5609</v>
      </c>
      <c r="AF2481" s="7" t="s">
        <v>113</v>
      </c>
      <c r="AG2481" s="7" t="s">
        <v>366</v>
      </c>
      <c r="AH2481" s="7" t="s">
        <v>4818</v>
      </c>
    </row>
    <row r="2482" spans="1:34" ht="9.75" customHeight="1" x14ac:dyDescent="0.2">
      <c r="A2482" s="7" t="s">
        <v>5597</v>
      </c>
      <c r="B2482" s="7" t="s">
        <v>4812</v>
      </c>
      <c r="C2482" s="7"/>
      <c r="D2482" s="7" t="s">
        <v>6069</v>
      </c>
      <c r="E2482" s="8">
        <v>2</v>
      </c>
      <c r="F2482" s="7" t="s">
        <v>4383</v>
      </c>
      <c r="G2482" s="7"/>
      <c r="H2482" s="9"/>
      <c r="I2482" s="10">
        <v>31578</v>
      </c>
      <c r="J2482" s="10">
        <v>34918</v>
      </c>
      <c r="K2482" s="9"/>
      <c r="L2482" s="10">
        <v>30120</v>
      </c>
      <c r="M2482" s="9"/>
      <c r="N2482" s="9"/>
      <c r="O2482" s="9"/>
      <c r="P2482" s="10"/>
      <c r="Q2482" s="10"/>
      <c r="R2482" s="10"/>
      <c r="S2482" s="7" t="s">
        <v>54</v>
      </c>
      <c r="T2482" s="7" t="s">
        <v>6052</v>
      </c>
      <c r="U2482" s="7"/>
      <c r="V2482" s="7"/>
      <c r="W2482" s="7"/>
      <c r="X2482" s="7"/>
      <c r="Y2482" s="7" t="s">
        <v>6070</v>
      </c>
      <c r="Z2482" s="7" t="s">
        <v>1208</v>
      </c>
      <c r="AA2482" s="7"/>
      <c r="AB2482" s="7"/>
      <c r="AC2482" s="7" t="s">
        <v>4817</v>
      </c>
      <c r="AD2482" s="7" t="s">
        <v>6054</v>
      </c>
      <c r="AE2482" s="7" t="s">
        <v>5609</v>
      </c>
      <c r="AF2482" s="7" t="s">
        <v>113</v>
      </c>
      <c r="AG2482" s="7" t="s">
        <v>366</v>
      </c>
      <c r="AH2482" s="7" t="s">
        <v>4818</v>
      </c>
    </row>
    <row r="2483" spans="1:34" ht="9.75" customHeight="1" x14ac:dyDescent="0.2">
      <c r="A2483" s="7" t="s">
        <v>5597</v>
      </c>
      <c r="B2483" s="7" t="s">
        <v>4812</v>
      </c>
      <c r="C2483" s="7"/>
      <c r="D2483" s="7" t="s">
        <v>6071</v>
      </c>
      <c r="E2483" s="8">
        <v>2</v>
      </c>
      <c r="F2483" s="7" t="s">
        <v>4383</v>
      </c>
      <c r="G2483" s="7"/>
      <c r="H2483" s="9"/>
      <c r="I2483" s="10">
        <v>0</v>
      </c>
      <c r="J2483" s="10">
        <v>0</v>
      </c>
      <c r="K2483" s="9"/>
      <c r="L2483" s="10">
        <v>0</v>
      </c>
      <c r="M2483" s="9"/>
      <c r="N2483" s="9"/>
      <c r="O2483" s="9"/>
      <c r="P2483" s="10"/>
      <c r="Q2483" s="10"/>
      <c r="R2483" s="10"/>
      <c r="S2483" s="7" t="s">
        <v>54</v>
      </c>
      <c r="T2483" s="7" t="s">
        <v>6052</v>
      </c>
      <c r="U2483" s="7"/>
      <c r="V2483" s="7"/>
      <c r="W2483" s="7"/>
      <c r="X2483" s="7"/>
      <c r="Y2483" s="7" t="s">
        <v>6072</v>
      </c>
      <c r="Z2483" s="7" t="s">
        <v>1208</v>
      </c>
      <c r="AA2483" s="7"/>
      <c r="AB2483" s="7"/>
      <c r="AC2483" s="7" t="s">
        <v>4817</v>
      </c>
      <c r="AD2483" s="7" t="s">
        <v>6054</v>
      </c>
      <c r="AE2483" s="7" t="s">
        <v>5609</v>
      </c>
      <c r="AF2483" s="7" t="s">
        <v>113</v>
      </c>
      <c r="AG2483" s="7" t="s">
        <v>366</v>
      </c>
      <c r="AH2483" s="7" t="s">
        <v>4818</v>
      </c>
    </row>
    <row r="2484" spans="1:34" ht="9.75" customHeight="1" x14ac:dyDescent="0.2">
      <c r="A2484" s="7" t="s">
        <v>5597</v>
      </c>
      <c r="B2484" s="7" t="s">
        <v>4812</v>
      </c>
      <c r="C2484" s="7"/>
      <c r="D2484" s="7" t="s">
        <v>6073</v>
      </c>
      <c r="E2484" s="8">
        <v>2</v>
      </c>
      <c r="F2484" s="7" t="s">
        <v>4383</v>
      </c>
      <c r="G2484" s="7"/>
      <c r="H2484" s="9"/>
      <c r="I2484" s="10">
        <v>14348</v>
      </c>
      <c r="J2484" s="10">
        <v>15866</v>
      </c>
      <c r="K2484" s="9"/>
      <c r="L2484" s="10">
        <v>13686</v>
      </c>
      <c r="M2484" s="9"/>
      <c r="N2484" s="9"/>
      <c r="O2484" s="9"/>
      <c r="P2484" s="10"/>
      <c r="Q2484" s="10"/>
      <c r="R2484" s="10"/>
      <c r="S2484" s="7" t="s">
        <v>54</v>
      </c>
      <c r="T2484" s="7" t="s">
        <v>6052</v>
      </c>
      <c r="U2484" s="7"/>
      <c r="V2484" s="7"/>
      <c r="W2484" s="7"/>
      <c r="X2484" s="7"/>
      <c r="Y2484" s="7" t="s">
        <v>6074</v>
      </c>
      <c r="Z2484" s="7" t="s">
        <v>1208</v>
      </c>
      <c r="AA2484" s="7"/>
      <c r="AB2484" s="7"/>
      <c r="AC2484" s="7" t="s">
        <v>4817</v>
      </c>
      <c r="AD2484" s="7" t="s">
        <v>6054</v>
      </c>
      <c r="AE2484" s="7" t="s">
        <v>5609</v>
      </c>
      <c r="AF2484" s="7" t="s">
        <v>113</v>
      </c>
      <c r="AG2484" s="7" t="s">
        <v>366</v>
      </c>
      <c r="AH2484" s="7" t="s">
        <v>4818</v>
      </c>
    </row>
    <row r="2485" spans="1:34" ht="9.75" customHeight="1" x14ac:dyDescent="0.2">
      <c r="A2485" s="7" t="s">
        <v>5597</v>
      </c>
      <c r="B2485" s="7" t="s">
        <v>4812</v>
      </c>
      <c r="C2485" s="7"/>
      <c r="D2485" s="7" t="s">
        <v>6075</v>
      </c>
      <c r="E2485" s="8">
        <v>2</v>
      </c>
      <c r="F2485" s="7" t="s">
        <v>4383</v>
      </c>
      <c r="G2485" s="7"/>
      <c r="H2485" s="9"/>
      <c r="I2485" s="10">
        <v>4325</v>
      </c>
      <c r="J2485" s="10">
        <v>4783</v>
      </c>
      <c r="K2485" s="9"/>
      <c r="L2485" s="10">
        <v>4125</v>
      </c>
      <c r="M2485" s="9"/>
      <c r="N2485" s="9"/>
      <c r="O2485" s="9"/>
      <c r="P2485" s="10"/>
      <c r="Q2485" s="10"/>
      <c r="R2485" s="10"/>
      <c r="S2485" s="7" t="s">
        <v>54</v>
      </c>
      <c r="T2485" s="7" t="s">
        <v>6052</v>
      </c>
      <c r="U2485" s="7"/>
      <c r="V2485" s="7"/>
      <c r="W2485" s="7"/>
      <c r="X2485" s="7"/>
      <c r="Y2485" s="7" t="s">
        <v>6076</v>
      </c>
      <c r="Z2485" s="7" t="s">
        <v>1208</v>
      </c>
      <c r="AA2485" s="7"/>
      <c r="AB2485" s="7"/>
      <c r="AC2485" s="7" t="s">
        <v>4817</v>
      </c>
      <c r="AD2485" s="7" t="s">
        <v>6054</v>
      </c>
      <c r="AE2485" s="7" t="s">
        <v>5609</v>
      </c>
      <c r="AF2485" s="7" t="s">
        <v>113</v>
      </c>
      <c r="AG2485" s="7" t="s">
        <v>366</v>
      </c>
      <c r="AH2485" s="7" t="s">
        <v>4818</v>
      </c>
    </row>
    <row r="2486" spans="1:34" ht="9.75" customHeight="1" x14ac:dyDescent="0.2">
      <c r="A2486" s="7" t="s">
        <v>5597</v>
      </c>
      <c r="B2486" s="7" t="s">
        <v>4812</v>
      </c>
      <c r="C2486" s="7"/>
      <c r="D2486" s="7" t="s">
        <v>6077</v>
      </c>
      <c r="E2486" s="8">
        <v>2</v>
      </c>
      <c r="F2486" s="7" t="s">
        <v>4383</v>
      </c>
      <c r="G2486" s="7"/>
      <c r="H2486" s="9"/>
      <c r="I2486" s="10">
        <v>55983</v>
      </c>
      <c r="J2486" s="10">
        <v>61905</v>
      </c>
      <c r="K2486" s="9"/>
      <c r="L2486" s="10">
        <v>53399</v>
      </c>
      <c r="M2486" s="9"/>
      <c r="N2486" s="9"/>
      <c r="O2486" s="9"/>
      <c r="P2486" s="10"/>
      <c r="Q2486" s="10"/>
      <c r="R2486" s="10"/>
      <c r="S2486" s="7" t="s">
        <v>54</v>
      </c>
      <c r="T2486" s="7" t="s">
        <v>6052</v>
      </c>
      <c r="U2486" s="7"/>
      <c r="V2486" s="7"/>
      <c r="W2486" s="7"/>
      <c r="X2486" s="7"/>
      <c r="Y2486" s="7" t="s">
        <v>6078</v>
      </c>
      <c r="Z2486" s="7" t="s">
        <v>1208</v>
      </c>
      <c r="AA2486" s="7"/>
      <c r="AB2486" s="7"/>
      <c r="AC2486" s="7" t="s">
        <v>4817</v>
      </c>
      <c r="AD2486" s="7" t="s">
        <v>6054</v>
      </c>
      <c r="AE2486" s="7" t="s">
        <v>5609</v>
      </c>
      <c r="AF2486" s="7" t="s">
        <v>113</v>
      </c>
      <c r="AG2486" s="7" t="s">
        <v>366</v>
      </c>
      <c r="AH2486" s="7" t="s">
        <v>4818</v>
      </c>
    </row>
    <row r="2487" spans="1:34" ht="9.75" customHeight="1" x14ac:dyDescent="0.2">
      <c r="A2487" s="7" t="s">
        <v>5597</v>
      </c>
      <c r="B2487" s="7" t="s">
        <v>4812</v>
      </c>
      <c r="C2487" s="7"/>
      <c r="D2487" s="7" t="s">
        <v>6079</v>
      </c>
      <c r="E2487" s="8">
        <v>2</v>
      </c>
      <c r="F2487" s="7" t="s">
        <v>4383</v>
      </c>
      <c r="G2487" s="7"/>
      <c r="H2487" s="9"/>
      <c r="I2487" s="10">
        <v>55919</v>
      </c>
      <c r="J2487" s="10">
        <v>61834</v>
      </c>
      <c r="K2487" s="9"/>
      <c r="L2487" s="10">
        <v>53338</v>
      </c>
      <c r="M2487" s="9"/>
      <c r="N2487" s="9"/>
      <c r="O2487" s="9"/>
      <c r="P2487" s="10"/>
      <c r="Q2487" s="10"/>
      <c r="R2487" s="10"/>
      <c r="S2487" s="7" t="s">
        <v>54</v>
      </c>
      <c r="T2487" s="7" t="s">
        <v>6052</v>
      </c>
      <c r="U2487" s="7"/>
      <c r="V2487" s="7"/>
      <c r="W2487" s="7"/>
      <c r="X2487" s="7"/>
      <c r="Y2487" s="7" t="s">
        <v>6080</v>
      </c>
      <c r="Z2487" s="7" t="s">
        <v>1208</v>
      </c>
      <c r="AA2487" s="7"/>
      <c r="AB2487" s="7"/>
      <c r="AC2487" s="7" t="s">
        <v>4817</v>
      </c>
      <c r="AD2487" s="7" t="s">
        <v>6054</v>
      </c>
      <c r="AE2487" s="7" t="s">
        <v>5609</v>
      </c>
      <c r="AF2487" s="7" t="s">
        <v>113</v>
      </c>
      <c r="AG2487" s="7" t="s">
        <v>366</v>
      </c>
      <c r="AH2487" s="7" t="s">
        <v>4818</v>
      </c>
    </row>
    <row r="2488" spans="1:34" ht="9.75" customHeight="1" x14ac:dyDescent="0.2">
      <c r="A2488" s="7" t="s">
        <v>5597</v>
      </c>
      <c r="B2488" s="7" t="s">
        <v>4812</v>
      </c>
      <c r="C2488" s="7"/>
      <c r="D2488" s="7" t="s">
        <v>6081</v>
      </c>
      <c r="E2488" s="8">
        <v>2</v>
      </c>
      <c r="F2488" s="7" t="s">
        <v>4383</v>
      </c>
      <c r="G2488" s="7"/>
      <c r="H2488" s="9"/>
      <c r="I2488" s="10">
        <v>31</v>
      </c>
      <c r="J2488" s="10">
        <v>34</v>
      </c>
      <c r="K2488" s="9"/>
      <c r="L2488" s="10">
        <v>30</v>
      </c>
      <c r="M2488" s="9"/>
      <c r="N2488" s="9"/>
      <c r="O2488" s="9"/>
      <c r="P2488" s="10"/>
      <c r="Q2488" s="10"/>
      <c r="R2488" s="10"/>
      <c r="S2488" s="7" t="s">
        <v>54</v>
      </c>
      <c r="T2488" s="7" t="s">
        <v>6052</v>
      </c>
      <c r="U2488" s="7"/>
      <c r="V2488" s="7"/>
      <c r="W2488" s="7"/>
      <c r="X2488" s="7"/>
      <c r="Y2488" s="7" t="s">
        <v>6082</v>
      </c>
      <c r="Z2488" s="7" t="s">
        <v>1208</v>
      </c>
      <c r="AA2488" s="7"/>
      <c r="AB2488" s="7"/>
      <c r="AC2488" s="7" t="s">
        <v>4817</v>
      </c>
      <c r="AD2488" s="7" t="s">
        <v>6054</v>
      </c>
      <c r="AE2488" s="7" t="s">
        <v>5609</v>
      </c>
      <c r="AF2488" s="7" t="s">
        <v>113</v>
      </c>
      <c r="AG2488" s="7" t="s">
        <v>366</v>
      </c>
      <c r="AH2488" s="7" t="s">
        <v>4818</v>
      </c>
    </row>
    <row r="2489" spans="1:34" ht="9.75" customHeight="1" x14ac:dyDescent="0.2">
      <c r="A2489" s="7" t="s">
        <v>5597</v>
      </c>
      <c r="B2489" s="7" t="s">
        <v>4812</v>
      </c>
      <c r="C2489" s="7"/>
      <c r="D2489" s="7" t="s">
        <v>6083</v>
      </c>
      <c r="E2489" s="8">
        <v>2</v>
      </c>
      <c r="F2489" s="7" t="s">
        <v>4383</v>
      </c>
      <c r="G2489" s="7"/>
      <c r="H2489" s="9"/>
      <c r="I2489" s="10">
        <v>33</v>
      </c>
      <c r="J2489" s="10">
        <v>36</v>
      </c>
      <c r="K2489" s="9"/>
      <c r="L2489" s="10">
        <v>31</v>
      </c>
      <c r="M2489" s="9"/>
      <c r="N2489" s="9"/>
      <c r="O2489" s="9"/>
      <c r="P2489" s="10"/>
      <c r="Q2489" s="10"/>
      <c r="R2489" s="10"/>
      <c r="S2489" s="7" t="s">
        <v>54</v>
      </c>
      <c r="T2489" s="7" t="s">
        <v>6052</v>
      </c>
      <c r="U2489" s="7"/>
      <c r="V2489" s="7"/>
      <c r="W2489" s="7"/>
      <c r="X2489" s="7"/>
      <c r="Y2489" s="7" t="s">
        <v>6084</v>
      </c>
      <c r="Z2489" s="7" t="s">
        <v>1208</v>
      </c>
      <c r="AA2489" s="7"/>
      <c r="AB2489" s="7"/>
      <c r="AC2489" s="7" t="s">
        <v>4817</v>
      </c>
      <c r="AD2489" s="7" t="s">
        <v>6054</v>
      </c>
      <c r="AE2489" s="7" t="s">
        <v>5609</v>
      </c>
      <c r="AF2489" s="7" t="s">
        <v>113</v>
      </c>
      <c r="AG2489" s="7" t="s">
        <v>366</v>
      </c>
      <c r="AH2489" s="7" t="s">
        <v>4818</v>
      </c>
    </row>
    <row r="2490" spans="1:34" ht="9.75" customHeight="1" x14ac:dyDescent="0.2">
      <c r="A2490" s="7" t="s">
        <v>5597</v>
      </c>
      <c r="B2490" s="7" t="s">
        <v>4812</v>
      </c>
      <c r="C2490" s="7"/>
      <c r="D2490" s="7" t="s">
        <v>6085</v>
      </c>
      <c r="E2490" s="8">
        <v>2</v>
      </c>
      <c r="F2490" s="7" t="s">
        <v>4383</v>
      </c>
      <c r="G2490" s="7"/>
      <c r="H2490" s="9"/>
      <c r="I2490" s="10">
        <v>2038931</v>
      </c>
      <c r="J2490" s="10">
        <v>2157265</v>
      </c>
      <c r="K2490" s="9"/>
      <c r="L2490" s="10">
        <v>2102193</v>
      </c>
      <c r="M2490" s="9"/>
      <c r="N2490" s="9"/>
      <c r="O2490" s="9"/>
      <c r="P2490" s="10"/>
      <c r="Q2490" s="10"/>
      <c r="R2490" s="10"/>
      <c r="S2490" s="7" t="s">
        <v>43</v>
      </c>
      <c r="T2490" s="7"/>
      <c r="U2490" s="7"/>
      <c r="V2490" s="7"/>
      <c r="W2490" s="7"/>
      <c r="X2490" s="7"/>
      <c r="Y2490" s="7" t="s">
        <v>6086</v>
      </c>
      <c r="Z2490" s="7" t="s">
        <v>1208</v>
      </c>
      <c r="AA2490" s="7"/>
      <c r="AB2490" s="7"/>
      <c r="AC2490" s="7" t="s">
        <v>4817</v>
      </c>
      <c r="AD2490" s="7" t="s">
        <v>6054</v>
      </c>
      <c r="AE2490" s="7" t="s">
        <v>5609</v>
      </c>
      <c r="AF2490" s="7" t="s">
        <v>113</v>
      </c>
      <c r="AG2490" s="7" t="s">
        <v>366</v>
      </c>
      <c r="AH2490" s="7" t="s">
        <v>4818</v>
      </c>
    </row>
    <row r="2491" spans="1:34" ht="9.75" customHeight="1" x14ac:dyDescent="0.2">
      <c r="A2491" s="7" t="s">
        <v>5597</v>
      </c>
      <c r="B2491" s="7" t="s">
        <v>4812</v>
      </c>
      <c r="C2491" s="7"/>
      <c r="D2491" s="7" t="s">
        <v>6087</v>
      </c>
      <c r="E2491" s="8">
        <v>2</v>
      </c>
      <c r="F2491" s="7" t="s">
        <v>4383</v>
      </c>
      <c r="G2491" s="7"/>
      <c r="H2491" s="9"/>
      <c r="I2491" s="10">
        <v>718374</v>
      </c>
      <c r="J2491" s="10">
        <v>825790</v>
      </c>
      <c r="K2491" s="9"/>
      <c r="L2491" s="10">
        <v>831814</v>
      </c>
      <c r="M2491" s="9"/>
      <c r="N2491" s="9"/>
      <c r="O2491" s="9"/>
      <c r="P2491" s="10"/>
      <c r="Q2491" s="10"/>
      <c r="R2491" s="10"/>
      <c r="S2491" s="7" t="s">
        <v>407</v>
      </c>
      <c r="T2491" s="7" t="s">
        <v>6052</v>
      </c>
      <c r="U2491" s="7"/>
      <c r="V2491" s="7"/>
      <c r="W2491" s="7"/>
      <c r="X2491" s="7"/>
      <c r="Y2491" s="7" t="s">
        <v>6088</v>
      </c>
      <c r="Z2491" s="7" t="s">
        <v>1221</v>
      </c>
      <c r="AA2491" s="7"/>
      <c r="AB2491" s="7"/>
      <c r="AC2491" s="7" t="s">
        <v>4817</v>
      </c>
      <c r="AD2491" s="7" t="s">
        <v>6054</v>
      </c>
      <c r="AE2491" s="7" t="s">
        <v>5645</v>
      </c>
      <c r="AF2491" s="7" t="s">
        <v>113</v>
      </c>
      <c r="AG2491" s="7" t="s">
        <v>366</v>
      </c>
      <c r="AH2491" s="7" t="s">
        <v>4818</v>
      </c>
    </row>
    <row r="2492" spans="1:34" ht="9.75" customHeight="1" x14ac:dyDescent="0.2">
      <c r="A2492" s="7" t="s">
        <v>5597</v>
      </c>
      <c r="B2492" s="7" t="s">
        <v>4812</v>
      </c>
      <c r="C2492" s="7"/>
      <c r="D2492" s="7" t="s">
        <v>6089</v>
      </c>
      <c r="E2492" s="8">
        <v>2</v>
      </c>
      <c r="F2492" s="7" t="s">
        <v>4383</v>
      </c>
      <c r="G2492" s="7"/>
      <c r="H2492" s="9"/>
      <c r="I2492" s="10">
        <v>14782</v>
      </c>
      <c r="J2492" s="10">
        <v>15226</v>
      </c>
      <c r="K2492" s="9"/>
      <c r="L2492" s="10">
        <v>15753</v>
      </c>
      <c r="M2492" s="9"/>
      <c r="N2492" s="9"/>
      <c r="O2492" s="9"/>
      <c r="P2492" s="10"/>
      <c r="Q2492" s="10"/>
      <c r="R2492" s="10"/>
      <c r="S2492" s="7" t="s">
        <v>407</v>
      </c>
      <c r="T2492" s="7" t="s">
        <v>6052</v>
      </c>
      <c r="U2492" s="7"/>
      <c r="V2492" s="7"/>
      <c r="W2492" s="7"/>
      <c r="X2492" s="7"/>
      <c r="Y2492" s="7" t="s">
        <v>6090</v>
      </c>
      <c r="Z2492" s="7" t="s">
        <v>1221</v>
      </c>
      <c r="AA2492" s="7"/>
      <c r="AB2492" s="7"/>
      <c r="AC2492" s="7" t="s">
        <v>4817</v>
      </c>
      <c r="AD2492" s="7" t="s">
        <v>6054</v>
      </c>
      <c r="AE2492" s="7" t="s">
        <v>5645</v>
      </c>
      <c r="AF2492" s="7" t="s">
        <v>113</v>
      </c>
      <c r="AG2492" s="7" t="s">
        <v>366</v>
      </c>
      <c r="AH2492" s="7" t="s">
        <v>4818</v>
      </c>
    </row>
    <row r="2493" spans="1:34" ht="9.75" customHeight="1" x14ac:dyDescent="0.2">
      <c r="A2493" s="7" t="s">
        <v>5597</v>
      </c>
      <c r="B2493" s="7" t="s">
        <v>4812</v>
      </c>
      <c r="C2493" s="7"/>
      <c r="D2493" s="7" t="s">
        <v>6091</v>
      </c>
      <c r="E2493" s="8">
        <v>2</v>
      </c>
      <c r="F2493" s="7" t="s">
        <v>4383</v>
      </c>
      <c r="G2493" s="7"/>
      <c r="H2493" s="9"/>
      <c r="I2493" s="10">
        <v>274015</v>
      </c>
      <c r="J2493" s="10">
        <v>255236</v>
      </c>
      <c r="K2493" s="9"/>
      <c r="L2493" s="10">
        <v>170139</v>
      </c>
      <c r="M2493" s="9"/>
      <c r="N2493" s="9"/>
      <c r="O2493" s="9"/>
      <c r="P2493" s="10"/>
      <c r="Q2493" s="10"/>
      <c r="R2493" s="10"/>
      <c r="S2493" s="7" t="s">
        <v>407</v>
      </c>
      <c r="T2493" s="7" t="s">
        <v>6052</v>
      </c>
      <c r="U2493" s="7"/>
      <c r="V2493" s="7"/>
      <c r="W2493" s="7"/>
      <c r="X2493" s="7"/>
      <c r="Y2493" s="7" t="s">
        <v>6092</v>
      </c>
      <c r="Z2493" s="7" t="s">
        <v>1221</v>
      </c>
      <c r="AA2493" s="7"/>
      <c r="AB2493" s="7"/>
      <c r="AC2493" s="7" t="s">
        <v>4817</v>
      </c>
      <c r="AD2493" s="7" t="s">
        <v>6054</v>
      </c>
      <c r="AE2493" s="7" t="s">
        <v>5645</v>
      </c>
      <c r="AF2493" s="7" t="s">
        <v>113</v>
      </c>
      <c r="AG2493" s="7" t="s">
        <v>366</v>
      </c>
      <c r="AH2493" s="7" t="s">
        <v>4818</v>
      </c>
    </row>
    <row r="2494" spans="1:34" ht="9.75" customHeight="1" x14ac:dyDescent="0.2">
      <c r="A2494" s="7" t="s">
        <v>5597</v>
      </c>
      <c r="B2494" s="7" t="s">
        <v>4812</v>
      </c>
      <c r="C2494" s="7"/>
      <c r="D2494" s="7" t="s">
        <v>6093</v>
      </c>
      <c r="E2494" s="8">
        <v>2</v>
      </c>
      <c r="F2494" s="7" t="s">
        <v>4383</v>
      </c>
      <c r="G2494" s="7"/>
      <c r="H2494" s="9"/>
      <c r="I2494" s="10">
        <v>71531</v>
      </c>
      <c r="J2494" s="10">
        <v>89606</v>
      </c>
      <c r="K2494" s="9"/>
      <c r="L2494" s="10">
        <v>73761</v>
      </c>
      <c r="M2494" s="9"/>
      <c r="N2494" s="9"/>
      <c r="O2494" s="9"/>
      <c r="P2494" s="10"/>
      <c r="Q2494" s="10"/>
      <c r="R2494" s="10"/>
      <c r="S2494" s="7" t="s">
        <v>407</v>
      </c>
      <c r="T2494" s="7" t="s">
        <v>6052</v>
      </c>
      <c r="U2494" s="7"/>
      <c r="V2494" s="7"/>
      <c r="W2494" s="7"/>
      <c r="X2494" s="7"/>
      <c r="Y2494" s="7" t="s">
        <v>6094</v>
      </c>
      <c r="Z2494" s="7" t="s">
        <v>1221</v>
      </c>
      <c r="AA2494" s="7"/>
      <c r="AB2494" s="7"/>
      <c r="AC2494" s="7" t="s">
        <v>4817</v>
      </c>
      <c r="AD2494" s="7" t="s">
        <v>6054</v>
      </c>
      <c r="AE2494" s="7" t="s">
        <v>5645</v>
      </c>
      <c r="AF2494" s="7" t="s">
        <v>113</v>
      </c>
      <c r="AG2494" s="7" t="s">
        <v>366</v>
      </c>
      <c r="AH2494" s="7" t="s">
        <v>4818</v>
      </c>
    </row>
    <row r="2495" spans="1:34" ht="9.75" customHeight="1" x14ac:dyDescent="0.2">
      <c r="A2495" s="7" t="s">
        <v>5597</v>
      </c>
      <c r="B2495" s="7" t="s">
        <v>4812</v>
      </c>
      <c r="C2495" s="7"/>
      <c r="D2495" s="7" t="s">
        <v>6095</v>
      </c>
      <c r="E2495" s="8">
        <v>2</v>
      </c>
      <c r="F2495" s="7" t="s">
        <v>4383</v>
      </c>
      <c r="G2495" s="7"/>
      <c r="H2495" s="9"/>
      <c r="I2495" s="10">
        <v>25527</v>
      </c>
      <c r="J2495" s="10">
        <v>41797</v>
      </c>
      <c r="K2495" s="9"/>
      <c r="L2495" s="10">
        <v>31891</v>
      </c>
      <c r="M2495" s="9"/>
      <c r="N2495" s="9"/>
      <c r="O2495" s="9"/>
      <c r="P2495" s="10"/>
      <c r="Q2495" s="10"/>
      <c r="R2495" s="10"/>
      <c r="S2495" s="7" t="s">
        <v>407</v>
      </c>
      <c r="T2495" s="7" t="s">
        <v>6052</v>
      </c>
      <c r="U2495" s="7"/>
      <c r="V2495" s="7"/>
      <c r="W2495" s="7"/>
      <c r="X2495" s="7"/>
      <c r="Y2495" s="7" t="s">
        <v>6096</v>
      </c>
      <c r="Z2495" s="7" t="s">
        <v>1221</v>
      </c>
      <c r="AA2495" s="7"/>
      <c r="AB2495" s="7"/>
      <c r="AC2495" s="7" t="s">
        <v>4817</v>
      </c>
      <c r="AD2495" s="7" t="s">
        <v>6054</v>
      </c>
      <c r="AE2495" s="7" t="s">
        <v>5645</v>
      </c>
      <c r="AF2495" s="7" t="s">
        <v>113</v>
      </c>
      <c r="AG2495" s="7" t="s">
        <v>366</v>
      </c>
      <c r="AH2495" s="7" t="s">
        <v>4818</v>
      </c>
    </row>
    <row r="2496" spans="1:34" ht="9.75" customHeight="1" x14ac:dyDescent="0.2">
      <c r="A2496" s="7" t="s">
        <v>5597</v>
      </c>
      <c r="B2496" s="7" t="s">
        <v>4812</v>
      </c>
      <c r="C2496" s="7"/>
      <c r="D2496" s="7" t="s">
        <v>6097</v>
      </c>
      <c r="E2496" s="8">
        <v>2</v>
      </c>
      <c r="F2496" s="7" t="s">
        <v>4383</v>
      </c>
      <c r="G2496" s="7"/>
      <c r="H2496" s="9"/>
      <c r="I2496" s="10">
        <v>635666</v>
      </c>
      <c r="J2496" s="10">
        <v>643370</v>
      </c>
      <c r="K2496" s="9"/>
      <c r="L2496" s="10">
        <v>689712</v>
      </c>
      <c r="M2496" s="9"/>
      <c r="N2496" s="9"/>
      <c r="O2496" s="9"/>
      <c r="P2496" s="10"/>
      <c r="Q2496" s="10"/>
      <c r="R2496" s="10"/>
      <c r="S2496" s="7" t="s">
        <v>407</v>
      </c>
      <c r="T2496" s="7" t="s">
        <v>6052</v>
      </c>
      <c r="U2496" s="7"/>
      <c r="V2496" s="7"/>
      <c r="W2496" s="7"/>
      <c r="X2496" s="7"/>
      <c r="Y2496" s="7" t="s">
        <v>6098</v>
      </c>
      <c r="Z2496" s="7" t="s">
        <v>1221</v>
      </c>
      <c r="AA2496" s="7"/>
      <c r="AB2496" s="7"/>
      <c r="AC2496" s="7" t="s">
        <v>4817</v>
      </c>
      <c r="AD2496" s="7" t="s">
        <v>6054</v>
      </c>
      <c r="AE2496" s="7" t="s">
        <v>5645</v>
      </c>
      <c r="AF2496" s="7" t="s">
        <v>113</v>
      </c>
      <c r="AG2496" s="7" t="s">
        <v>366</v>
      </c>
      <c r="AH2496" s="7" t="s">
        <v>4818</v>
      </c>
    </row>
    <row r="2497" spans="1:34" ht="9.75" customHeight="1" x14ac:dyDescent="0.2">
      <c r="A2497" s="7" t="s">
        <v>5597</v>
      </c>
      <c r="B2497" s="7" t="s">
        <v>4812</v>
      </c>
      <c r="C2497" s="7"/>
      <c r="D2497" s="7" t="s">
        <v>6099</v>
      </c>
      <c r="E2497" s="8">
        <v>2</v>
      </c>
      <c r="F2497" s="7" t="s">
        <v>4383</v>
      </c>
      <c r="G2497" s="7"/>
      <c r="H2497" s="9"/>
      <c r="I2497" s="10">
        <v>36764</v>
      </c>
      <c r="J2497" s="10">
        <v>37867</v>
      </c>
      <c r="K2497" s="9"/>
      <c r="L2497" s="10">
        <v>39179</v>
      </c>
      <c r="M2497" s="9"/>
      <c r="N2497" s="9"/>
      <c r="O2497" s="9"/>
      <c r="P2497" s="10"/>
      <c r="Q2497" s="10"/>
      <c r="R2497" s="10"/>
      <c r="S2497" s="7" t="s">
        <v>407</v>
      </c>
      <c r="T2497" s="7" t="s">
        <v>6052</v>
      </c>
      <c r="U2497" s="7"/>
      <c r="V2497" s="7"/>
      <c r="W2497" s="7"/>
      <c r="X2497" s="7"/>
      <c r="Y2497" s="7" t="s">
        <v>6100</v>
      </c>
      <c r="Z2497" s="7" t="s">
        <v>1221</v>
      </c>
      <c r="AA2497" s="7"/>
      <c r="AB2497" s="7"/>
      <c r="AC2497" s="7" t="s">
        <v>4817</v>
      </c>
      <c r="AD2497" s="7" t="s">
        <v>6054</v>
      </c>
      <c r="AE2497" s="7" t="s">
        <v>5645</v>
      </c>
      <c r="AF2497" s="7" t="s">
        <v>113</v>
      </c>
      <c r="AG2497" s="7" t="s">
        <v>366</v>
      </c>
      <c r="AH2497" s="7" t="s">
        <v>4818</v>
      </c>
    </row>
    <row r="2498" spans="1:34" ht="9.75" customHeight="1" x14ac:dyDescent="0.2">
      <c r="A2498" s="7" t="s">
        <v>5597</v>
      </c>
      <c r="B2498" s="7" t="s">
        <v>4812</v>
      </c>
      <c r="C2498" s="7"/>
      <c r="D2498" s="7" t="s">
        <v>6101</v>
      </c>
      <c r="E2498" s="8">
        <v>2</v>
      </c>
      <c r="F2498" s="7" t="s">
        <v>4383</v>
      </c>
      <c r="G2498" s="7"/>
      <c r="H2498" s="9"/>
      <c r="I2498" s="10">
        <v>251251</v>
      </c>
      <c r="J2498" s="10">
        <v>239927</v>
      </c>
      <c r="K2498" s="9"/>
      <c r="L2498" s="10">
        <v>241288</v>
      </c>
      <c r="M2498" s="9"/>
      <c r="N2498" s="9"/>
      <c r="O2498" s="9"/>
      <c r="P2498" s="10"/>
      <c r="Q2498" s="10"/>
      <c r="R2498" s="10"/>
      <c r="S2498" s="7" t="s">
        <v>407</v>
      </c>
      <c r="T2498" s="7" t="s">
        <v>6052</v>
      </c>
      <c r="U2498" s="7"/>
      <c r="V2498" s="7"/>
      <c r="W2498" s="7"/>
      <c r="X2498" s="7"/>
      <c r="Y2498" s="7" t="s">
        <v>6102</v>
      </c>
      <c r="Z2498" s="7" t="s">
        <v>1221</v>
      </c>
      <c r="AA2498" s="7"/>
      <c r="AB2498" s="7"/>
      <c r="AC2498" s="7" t="s">
        <v>4817</v>
      </c>
      <c r="AD2498" s="7" t="s">
        <v>6054</v>
      </c>
      <c r="AE2498" s="7" t="s">
        <v>5645</v>
      </c>
      <c r="AF2498" s="7" t="s">
        <v>113</v>
      </c>
      <c r="AG2498" s="7" t="s">
        <v>366</v>
      </c>
      <c r="AH2498" s="7" t="s">
        <v>4818</v>
      </c>
    </row>
    <row r="2499" spans="1:34" ht="9.75" customHeight="1" x14ac:dyDescent="0.2">
      <c r="A2499" s="7" t="s">
        <v>5597</v>
      </c>
      <c r="B2499" s="7" t="s">
        <v>4812</v>
      </c>
      <c r="C2499" s="7"/>
      <c r="D2499" s="7" t="s">
        <v>6103</v>
      </c>
      <c r="E2499" s="8">
        <v>2</v>
      </c>
      <c r="F2499" s="7" t="s">
        <v>4383</v>
      </c>
      <c r="G2499" s="7"/>
      <c r="H2499" s="9"/>
      <c r="I2499" s="10">
        <v>11021</v>
      </c>
      <c r="J2499" s="10">
        <v>8446</v>
      </c>
      <c r="K2499" s="9"/>
      <c r="L2499" s="10">
        <v>8656</v>
      </c>
      <c r="M2499" s="9"/>
      <c r="N2499" s="9"/>
      <c r="O2499" s="9"/>
      <c r="P2499" s="10"/>
      <c r="Q2499" s="10"/>
      <c r="R2499" s="10"/>
      <c r="S2499" s="7" t="s">
        <v>407</v>
      </c>
      <c r="T2499" s="7" t="s">
        <v>6052</v>
      </c>
      <c r="U2499" s="7"/>
      <c r="V2499" s="7"/>
      <c r="W2499" s="7"/>
      <c r="X2499" s="7"/>
      <c r="Y2499" s="7" t="s">
        <v>6104</v>
      </c>
      <c r="Z2499" s="7" t="s">
        <v>1221</v>
      </c>
      <c r="AA2499" s="7"/>
      <c r="AB2499" s="7"/>
      <c r="AC2499" s="7" t="s">
        <v>4817</v>
      </c>
      <c r="AD2499" s="7" t="s">
        <v>6054</v>
      </c>
      <c r="AE2499" s="7" t="s">
        <v>5645</v>
      </c>
      <c r="AF2499" s="7" t="s">
        <v>113</v>
      </c>
      <c r="AG2499" s="7" t="s">
        <v>366</v>
      </c>
      <c r="AH2499" s="7" t="s">
        <v>4818</v>
      </c>
    </row>
    <row r="2500" spans="1:34" ht="9.75" customHeight="1" x14ac:dyDescent="0.2">
      <c r="A2500" s="7" t="s">
        <v>5597</v>
      </c>
      <c r="B2500" s="7" t="s">
        <v>4812</v>
      </c>
      <c r="C2500" s="7"/>
      <c r="D2500" s="7" t="s">
        <v>6105</v>
      </c>
      <c r="E2500" s="8">
        <v>2</v>
      </c>
      <c r="F2500" s="7" t="s">
        <v>4383</v>
      </c>
      <c r="G2500" s="7"/>
      <c r="H2500" s="9"/>
      <c r="I2500" s="10">
        <v>2038931</v>
      </c>
      <c r="J2500" s="10">
        <v>2157265</v>
      </c>
      <c r="K2500" s="9"/>
      <c r="L2500" s="10">
        <v>2102193</v>
      </c>
      <c r="M2500" s="9"/>
      <c r="N2500" s="9"/>
      <c r="O2500" s="9"/>
      <c r="P2500" s="10"/>
      <c r="Q2500" s="10"/>
      <c r="R2500" s="10"/>
      <c r="S2500" s="7" t="s">
        <v>407</v>
      </c>
      <c r="T2500" s="7" t="s">
        <v>6052</v>
      </c>
      <c r="U2500" s="7"/>
      <c r="V2500" s="7"/>
      <c r="W2500" s="7"/>
      <c r="X2500" s="7"/>
      <c r="Y2500" s="7" t="s">
        <v>6106</v>
      </c>
      <c r="Z2500" s="7" t="s">
        <v>1221</v>
      </c>
      <c r="AA2500" s="7"/>
      <c r="AB2500" s="7"/>
      <c r="AC2500" s="7" t="s">
        <v>4817</v>
      </c>
      <c r="AD2500" s="7" t="s">
        <v>6054</v>
      </c>
      <c r="AE2500" s="7" t="s">
        <v>5645</v>
      </c>
      <c r="AF2500" s="7" t="s">
        <v>113</v>
      </c>
      <c r="AG2500" s="7" t="s">
        <v>366</v>
      </c>
      <c r="AH2500" s="7" t="s">
        <v>4818</v>
      </c>
    </row>
    <row r="2501" spans="1:34" ht="9.75" customHeight="1" x14ac:dyDescent="0.2">
      <c r="A2501" s="7" t="s">
        <v>5597</v>
      </c>
      <c r="B2501" s="7" t="s">
        <v>4812</v>
      </c>
      <c r="C2501" s="7"/>
      <c r="D2501" s="7" t="s">
        <v>6107</v>
      </c>
      <c r="E2501" s="8">
        <v>7</v>
      </c>
      <c r="F2501" s="7" t="s">
        <v>5665</v>
      </c>
      <c r="G2501" s="7"/>
      <c r="H2501" s="9"/>
      <c r="I2501" s="10">
        <v>15344</v>
      </c>
      <c r="J2501" s="10">
        <v>15666</v>
      </c>
      <c r="K2501" s="9"/>
      <c r="L2501" s="10">
        <v>15995</v>
      </c>
      <c r="M2501" s="9"/>
      <c r="N2501" s="9"/>
      <c r="O2501" s="9"/>
      <c r="P2501" s="10"/>
      <c r="Q2501" s="10"/>
      <c r="R2501" s="10"/>
      <c r="S2501" s="7" t="s">
        <v>54</v>
      </c>
      <c r="T2501" s="7" t="s">
        <v>6108</v>
      </c>
      <c r="U2501" s="7"/>
      <c r="V2501" s="7"/>
      <c r="W2501" s="7"/>
      <c r="X2501" s="7"/>
      <c r="Y2501" s="7" t="s">
        <v>6109</v>
      </c>
      <c r="Z2501" s="7" t="s">
        <v>1258</v>
      </c>
      <c r="AA2501" s="7"/>
      <c r="AB2501" s="7"/>
      <c r="AC2501" s="7" t="s">
        <v>4817</v>
      </c>
      <c r="AD2501" s="7" t="s">
        <v>6054</v>
      </c>
      <c r="AE2501" s="7" t="s">
        <v>5669</v>
      </c>
      <c r="AF2501" s="7" t="s">
        <v>113</v>
      </c>
      <c r="AG2501" s="7" t="s">
        <v>366</v>
      </c>
      <c r="AH2501" s="7" t="s">
        <v>4818</v>
      </c>
    </row>
    <row r="2502" spans="1:34" ht="9.75" customHeight="1" x14ac:dyDescent="0.2">
      <c r="A2502" s="7" t="s">
        <v>5597</v>
      </c>
      <c r="B2502" s="7" t="s">
        <v>4812</v>
      </c>
      <c r="C2502" s="7"/>
      <c r="D2502" s="7" t="s">
        <v>6110</v>
      </c>
      <c r="E2502" s="8">
        <v>7</v>
      </c>
      <c r="F2502" s="7" t="s">
        <v>5665</v>
      </c>
      <c r="G2502" s="7"/>
      <c r="H2502" s="9"/>
      <c r="I2502" s="10">
        <v>9750</v>
      </c>
      <c r="J2502" s="10">
        <v>54852</v>
      </c>
      <c r="K2502" s="9"/>
      <c r="L2502" s="10">
        <v>0</v>
      </c>
      <c r="M2502" s="9"/>
      <c r="N2502" s="9"/>
      <c r="O2502" s="9"/>
      <c r="P2502" s="10"/>
      <c r="Q2502" s="10"/>
      <c r="R2502" s="10"/>
      <c r="S2502" s="7" t="s">
        <v>54</v>
      </c>
      <c r="T2502" s="7" t="s">
        <v>6108</v>
      </c>
      <c r="U2502" s="7"/>
      <c r="V2502" s="7"/>
      <c r="W2502" s="7"/>
      <c r="X2502" s="7"/>
      <c r="Y2502" s="7" t="s">
        <v>6111</v>
      </c>
      <c r="Z2502" s="7" t="s">
        <v>1258</v>
      </c>
      <c r="AA2502" s="7"/>
      <c r="AB2502" s="7"/>
      <c r="AC2502" s="7" t="s">
        <v>4817</v>
      </c>
      <c r="AD2502" s="7" t="s">
        <v>6054</v>
      </c>
      <c r="AE2502" s="7" t="s">
        <v>5669</v>
      </c>
      <c r="AF2502" s="7" t="s">
        <v>113</v>
      </c>
      <c r="AG2502" s="7" t="s">
        <v>366</v>
      </c>
      <c r="AH2502" s="7" t="s">
        <v>4818</v>
      </c>
    </row>
    <row r="2503" spans="1:34" ht="9.75" customHeight="1" x14ac:dyDescent="0.2">
      <c r="A2503" s="7" t="s">
        <v>5597</v>
      </c>
      <c r="B2503" s="7" t="s">
        <v>4812</v>
      </c>
      <c r="C2503" s="7"/>
      <c r="D2503" s="7" t="s">
        <v>6112</v>
      </c>
      <c r="E2503" s="8">
        <v>7</v>
      </c>
      <c r="F2503" s="7" t="s">
        <v>5665</v>
      </c>
      <c r="G2503" s="7"/>
      <c r="H2503" s="9"/>
      <c r="I2503" s="10">
        <v>54098</v>
      </c>
      <c r="J2503" s="10">
        <v>203185</v>
      </c>
      <c r="K2503" s="9"/>
      <c r="L2503" s="10">
        <v>45998</v>
      </c>
      <c r="M2503" s="9"/>
      <c r="N2503" s="9"/>
      <c r="O2503" s="9"/>
      <c r="P2503" s="10"/>
      <c r="Q2503" s="10"/>
      <c r="R2503" s="10"/>
      <c r="S2503" s="7" t="s">
        <v>54</v>
      </c>
      <c r="T2503" s="7" t="s">
        <v>6108</v>
      </c>
      <c r="U2503" s="7"/>
      <c r="V2503" s="7"/>
      <c r="W2503" s="7"/>
      <c r="X2503" s="7"/>
      <c r="Y2503" s="7" t="s">
        <v>6113</v>
      </c>
      <c r="Z2503" s="7" t="s">
        <v>1258</v>
      </c>
      <c r="AA2503" s="7"/>
      <c r="AB2503" s="7"/>
      <c r="AC2503" s="7" t="s">
        <v>4817</v>
      </c>
      <c r="AD2503" s="7" t="s">
        <v>6054</v>
      </c>
      <c r="AE2503" s="7" t="s">
        <v>5669</v>
      </c>
      <c r="AF2503" s="7" t="s">
        <v>113</v>
      </c>
      <c r="AG2503" s="7" t="s">
        <v>366</v>
      </c>
      <c r="AH2503" s="7" t="s">
        <v>4818</v>
      </c>
    </row>
    <row r="2504" spans="1:34" ht="9.75" customHeight="1" x14ac:dyDescent="0.2">
      <c r="A2504" s="7" t="s">
        <v>5597</v>
      </c>
      <c r="B2504" s="7" t="s">
        <v>4812</v>
      </c>
      <c r="C2504" s="7"/>
      <c r="D2504" s="7" t="s">
        <v>6114</v>
      </c>
      <c r="E2504" s="8">
        <v>7</v>
      </c>
      <c r="F2504" s="7" t="s">
        <v>5665</v>
      </c>
      <c r="G2504" s="7"/>
      <c r="H2504" s="9"/>
      <c r="I2504" s="10">
        <v>0</v>
      </c>
      <c r="J2504" s="10">
        <v>0</v>
      </c>
      <c r="K2504" s="9"/>
      <c r="L2504" s="10">
        <v>0</v>
      </c>
      <c r="M2504" s="9"/>
      <c r="N2504" s="9"/>
      <c r="O2504" s="9"/>
      <c r="P2504" s="10"/>
      <c r="Q2504" s="10"/>
      <c r="R2504" s="10"/>
      <c r="S2504" s="7" t="s">
        <v>54</v>
      </c>
      <c r="T2504" s="7" t="s">
        <v>6108</v>
      </c>
      <c r="U2504" s="7"/>
      <c r="V2504" s="7"/>
      <c r="W2504" s="7"/>
      <c r="X2504" s="7"/>
      <c r="Y2504" s="7" t="s">
        <v>6115</v>
      </c>
      <c r="Z2504" s="7" t="s">
        <v>1258</v>
      </c>
      <c r="AA2504" s="7"/>
      <c r="AB2504" s="7"/>
      <c r="AC2504" s="7" t="s">
        <v>4817</v>
      </c>
      <c r="AD2504" s="7" t="s">
        <v>6054</v>
      </c>
      <c r="AE2504" s="7" t="s">
        <v>5669</v>
      </c>
      <c r="AF2504" s="7" t="s">
        <v>113</v>
      </c>
      <c r="AG2504" s="7" t="s">
        <v>366</v>
      </c>
      <c r="AH2504" s="7" t="s">
        <v>4818</v>
      </c>
    </row>
    <row r="2505" spans="1:34" ht="9.75" customHeight="1" x14ac:dyDescent="0.2">
      <c r="A2505" s="7" t="s">
        <v>5597</v>
      </c>
      <c r="B2505" s="7" t="s">
        <v>4812</v>
      </c>
      <c r="C2505" s="7"/>
      <c r="D2505" s="7" t="s">
        <v>6116</v>
      </c>
      <c r="E2505" s="8">
        <v>7</v>
      </c>
      <c r="F2505" s="7" t="s">
        <v>5665</v>
      </c>
      <c r="G2505" s="7"/>
      <c r="H2505" s="9"/>
      <c r="I2505" s="10">
        <v>81082</v>
      </c>
      <c r="J2505" s="10">
        <v>54366</v>
      </c>
      <c r="K2505" s="9"/>
      <c r="L2505" s="10">
        <v>281883</v>
      </c>
      <c r="M2505" s="9"/>
      <c r="N2505" s="9"/>
      <c r="O2505" s="9"/>
      <c r="P2505" s="10"/>
      <c r="Q2505" s="10"/>
      <c r="R2505" s="10"/>
      <c r="S2505" s="7" t="s">
        <v>54</v>
      </c>
      <c r="T2505" s="7" t="s">
        <v>6108</v>
      </c>
      <c r="U2505" s="7"/>
      <c r="V2505" s="7"/>
      <c r="W2505" s="7"/>
      <c r="X2505" s="7"/>
      <c r="Y2505" s="7" t="s">
        <v>6117</v>
      </c>
      <c r="Z2505" s="7" t="s">
        <v>1258</v>
      </c>
      <c r="AA2505" s="7"/>
      <c r="AB2505" s="7"/>
      <c r="AC2505" s="7" t="s">
        <v>4817</v>
      </c>
      <c r="AD2505" s="7" t="s">
        <v>6054</v>
      </c>
      <c r="AE2505" s="7" t="s">
        <v>5669</v>
      </c>
      <c r="AF2505" s="7" t="s">
        <v>113</v>
      </c>
      <c r="AG2505" s="7" t="s">
        <v>366</v>
      </c>
      <c r="AH2505" s="7" t="s">
        <v>4818</v>
      </c>
    </row>
    <row r="2506" spans="1:34" ht="9.75" customHeight="1" x14ac:dyDescent="0.2">
      <c r="A2506" s="7" t="s">
        <v>5597</v>
      </c>
      <c r="B2506" s="7" t="s">
        <v>4812</v>
      </c>
      <c r="C2506" s="7"/>
      <c r="D2506" s="7" t="s">
        <v>6118</v>
      </c>
      <c r="E2506" s="8">
        <v>7</v>
      </c>
      <c r="F2506" s="7" t="s">
        <v>5665</v>
      </c>
      <c r="G2506" s="7"/>
      <c r="H2506" s="9"/>
      <c r="I2506" s="10">
        <v>160274</v>
      </c>
      <c r="J2506" s="10">
        <v>328069</v>
      </c>
      <c r="K2506" s="9"/>
      <c r="L2506" s="10">
        <v>343876</v>
      </c>
      <c r="M2506" s="9"/>
      <c r="N2506" s="9"/>
      <c r="O2506" s="9"/>
      <c r="P2506" s="10"/>
      <c r="Q2506" s="10"/>
      <c r="R2506" s="10"/>
      <c r="S2506" s="7" t="s">
        <v>43</v>
      </c>
      <c r="T2506" s="7"/>
      <c r="U2506" s="7"/>
      <c r="V2506" s="7"/>
      <c r="W2506" s="7"/>
      <c r="X2506" s="7"/>
      <c r="Y2506" s="7" t="s">
        <v>6119</v>
      </c>
      <c r="Z2506" s="7" t="s">
        <v>1258</v>
      </c>
      <c r="AA2506" s="7"/>
      <c r="AB2506" s="7"/>
      <c r="AC2506" s="7" t="s">
        <v>4817</v>
      </c>
      <c r="AD2506" s="7" t="s">
        <v>6054</v>
      </c>
      <c r="AE2506" s="7" t="s">
        <v>5669</v>
      </c>
      <c r="AF2506" s="7" t="s">
        <v>113</v>
      </c>
      <c r="AG2506" s="7" t="s">
        <v>366</v>
      </c>
      <c r="AH2506" s="7" t="s">
        <v>4818</v>
      </c>
    </row>
    <row r="2507" spans="1:34" ht="9.75" customHeight="1" x14ac:dyDescent="0.2">
      <c r="A2507" s="7" t="s">
        <v>5597</v>
      </c>
      <c r="B2507" s="7" t="s">
        <v>4812</v>
      </c>
      <c r="C2507" s="7"/>
      <c r="D2507" s="7" t="s">
        <v>6120</v>
      </c>
      <c r="E2507" s="8">
        <v>7</v>
      </c>
      <c r="F2507" s="7" t="s">
        <v>5665</v>
      </c>
      <c r="G2507" s="7"/>
      <c r="H2507" s="9"/>
      <c r="I2507" s="10">
        <v>1349</v>
      </c>
      <c r="J2507" s="9"/>
      <c r="K2507" s="9"/>
      <c r="L2507" s="9"/>
      <c r="M2507" s="9"/>
      <c r="N2507" s="9"/>
      <c r="O2507" s="9"/>
      <c r="P2507" s="9"/>
      <c r="Q2507" s="9"/>
      <c r="R2507" s="9"/>
      <c r="S2507" s="7" t="s">
        <v>54</v>
      </c>
      <c r="T2507" s="7" t="s">
        <v>6108</v>
      </c>
      <c r="U2507" s="7"/>
      <c r="V2507" s="7"/>
      <c r="W2507" s="7"/>
      <c r="X2507" s="7"/>
      <c r="Y2507" s="7" t="s">
        <v>6121</v>
      </c>
      <c r="Z2507" s="7" t="s">
        <v>1258</v>
      </c>
      <c r="AA2507" s="7"/>
      <c r="AB2507" s="7"/>
      <c r="AC2507" s="7" t="s">
        <v>4817</v>
      </c>
      <c r="AD2507" s="7" t="s">
        <v>6054</v>
      </c>
      <c r="AE2507" s="7" t="s">
        <v>5682</v>
      </c>
      <c r="AF2507" s="7" t="s">
        <v>113</v>
      </c>
      <c r="AG2507" s="7" t="s">
        <v>366</v>
      </c>
      <c r="AH2507" s="7" t="s">
        <v>4818</v>
      </c>
    </row>
    <row r="2508" spans="1:34" ht="9.75" customHeight="1" x14ac:dyDescent="0.2">
      <c r="A2508" s="7" t="s">
        <v>5597</v>
      </c>
      <c r="B2508" s="7" t="s">
        <v>4812</v>
      </c>
      <c r="C2508" s="7"/>
      <c r="D2508" s="7" t="s">
        <v>6122</v>
      </c>
      <c r="E2508" s="8">
        <v>7</v>
      </c>
      <c r="F2508" s="7" t="s">
        <v>5665</v>
      </c>
      <c r="G2508" s="7"/>
      <c r="H2508" s="9"/>
      <c r="I2508" s="10">
        <v>26</v>
      </c>
      <c r="J2508" s="9"/>
      <c r="K2508" s="9"/>
      <c r="L2508" s="9"/>
      <c r="M2508" s="9"/>
      <c r="N2508" s="9"/>
      <c r="O2508" s="9"/>
      <c r="P2508" s="9"/>
      <c r="Q2508" s="9"/>
      <c r="R2508" s="9"/>
      <c r="S2508" s="7" t="s">
        <v>54</v>
      </c>
      <c r="T2508" s="7" t="s">
        <v>6108</v>
      </c>
      <c r="U2508" s="7"/>
      <c r="V2508" s="7"/>
      <c r="W2508" s="7"/>
      <c r="X2508" s="7"/>
      <c r="Y2508" s="7" t="s">
        <v>6123</v>
      </c>
      <c r="Z2508" s="7" t="s">
        <v>1258</v>
      </c>
      <c r="AA2508" s="7"/>
      <c r="AB2508" s="7"/>
      <c r="AC2508" s="7" t="s">
        <v>4817</v>
      </c>
      <c r="AD2508" s="7" t="s">
        <v>6054</v>
      </c>
      <c r="AE2508" s="7" t="s">
        <v>5682</v>
      </c>
      <c r="AF2508" s="7" t="s">
        <v>113</v>
      </c>
      <c r="AG2508" s="7" t="s">
        <v>366</v>
      </c>
      <c r="AH2508" s="7" t="s">
        <v>4818</v>
      </c>
    </row>
    <row r="2509" spans="1:34" ht="9.75" customHeight="1" x14ac:dyDescent="0.2">
      <c r="A2509" s="7" t="s">
        <v>5597</v>
      </c>
      <c r="B2509" s="7" t="s">
        <v>4812</v>
      </c>
      <c r="C2509" s="7"/>
      <c r="D2509" s="7" t="s">
        <v>6124</v>
      </c>
      <c r="E2509" s="8">
        <v>7</v>
      </c>
      <c r="F2509" s="7" t="s">
        <v>5665</v>
      </c>
      <c r="G2509" s="7"/>
      <c r="H2509" s="9"/>
      <c r="I2509" s="10">
        <v>1123</v>
      </c>
      <c r="J2509" s="9"/>
      <c r="K2509" s="9"/>
      <c r="L2509" s="9"/>
      <c r="M2509" s="9"/>
      <c r="N2509" s="9"/>
      <c r="O2509" s="9"/>
      <c r="P2509" s="9"/>
      <c r="Q2509" s="9"/>
      <c r="R2509" s="9"/>
      <c r="S2509" s="7" t="s">
        <v>54</v>
      </c>
      <c r="T2509" s="7" t="s">
        <v>6108</v>
      </c>
      <c r="U2509" s="7"/>
      <c r="V2509" s="7"/>
      <c r="W2509" s="7"/>
      <c r="X2509" s="7"/>
      <c r="Y2509" s="7" t="s">
        <v>6125</v>
      </c>
      <c r="Z2509" s="7" t="s">
        <v>1258</v>
      </c>
      <c r="AA2509" s="7"/>
      <c r="AB2509" s="7"/>
      <c r="AC2509" s="7" t="s">
        <v>4817</v>
      </c>
      <c r="AD2509" s="7" t="s">
        <v>6054</v>
      </c>
      <c r="AE2509" s="7" t="s">
        <v>5682</v>
      </c>
      <c r="AF2509" s="7" t="s">
        <v>113</v>
      </c>
      <c r="AG2509" s="7" t="s">
        <v>366</v>
      </c>
      <c r="AH2509" s="7" t="s">
        <v>4818</v>
      </c>
    </row>
    <row r="2510" spans="1:34" ht="9.75" customHeight="1" x14ac:dyDescent="0.2">
      <c r="A2510" s="7" t="s">
        <v>5597</v>
      </c>
      <c r="B2510" s="7" t="s">
        <v>4812</v>
      </c>
      <c r="C2510" s="7"/>
      <c r="D2510" s="7" t="s">
        <v>6126</v>
      </c>
      <c r="E2510" s="8">
        <v>7</v>
      </c>
      <c r="F2510" s="7" t="s">
        <v>5665</v>
      </c>
      <c r="G2510" s="7"/>
      <c r="H2510" s="9"/>
      <c r="I2510" s="10">
        <v>3158</v>
      </c>
      <c r="J2510" s="9"/>
      <c r="K2510" s="9"/>
      <c r="L2510" s="9"/>
      <c r="M2510" s="9"/>
      <c r="N2510" s="9"/>
      <c r="O2510" s="9"/>
      <c r="P2510" s="9"/>
      <c r="Q2510" s="9"/>
      <c r="R2510" s="9"/>
      <c r="S2510" s="7" t="s">
        <v>54</v>
      </c>
      <c r="T2510" s="7" t="s">
        <v>6108</v>
      </c>
      <c r="U2510" s="7"/>
      <c r="V2510" s="7"/>
      <c r="W2510" s="7"/>
      <c r="X2510" s="7"/>
      <c r="Y2510" s="7" t="s">
        <v>6127</v>
      </c>
      <c r="Z2510" s="7" t="s">
        <v>1258</v>
      </c>
      <c r="AA2510" s="7"/>
      <c r="AB2510" s="7"/>
      <c r="AC2510" s="7" t="s">
        <v>4817</v>
      </c>
      <c r="AD2510" s="7" t="s">
        <v>6054</v>
      </c>
      <c r="AE2510" s="7" t="s">
        <v>5682</v>
      </c>
      <c r="AF2510" s="7" t="s">
        <v>113</v>
      </c>
      <c r="AG2510" s="7" t="s">
        <v>366</v>
      </c>
      <c r="AH2510" s="7" t="s">
        <v>4818</v>
      </c>
    </row>
    <row r="2511" spans="1:34" ht="9.75" customHeight="1" x14ac:dyDescent="0.2">
      <c r="A2511" s="7" t="s">
        <v>5597</v>
      </c>
      <c r="B2511" s="7" t="s">
        <v>4812</v>
      </c>
      <c r="C2511" s="7"/>
      <c r="D2511" s="7" t="s">
        <v>6128</v>
      </c>
      <c r="E2511" s="8">
        <v>7</v>
      </c>
      <c r="F2511" s="7" t="s">
        <v>5665</v>
      </c>
      <c r="G2511" s="7"/>
      <c r="H2511" s="9"/>
      <c r="I2511" s="10">
        <v>1936</v>
      </c>
      <c r="J2511" s="9"/>
      <c r="K2511" s="9"/>
      <c r="L2511" s="9"/>
      <c r="M2511" s="9"/>
      <c r="N2511" s="9"/>
      <c r="O2511" s="9"/>
      <c r="P2511" s="9"/>
      <c r="Q2511" s="9"/>
      <c r="R2511" s="9"/>
      <c r="S2511" s="7" t="s">
        <v>54</v>
      </c>
      <c r="T2511" s="7" t="s">
        <v>6108</v>
      </c>
      <c r="U2511" s="7"/>
      <c r="V2511" s="7"/>
      <c r="W2511" s="7"/>
      <c r="X2511" s="7"/>
      <c r="Y2511" s="7" t="s">
        <v>6129</v>
      </c>
      <c r="Z2511" s="7" t="s">
        <v>1258</v>
      </c>
      <c r="AA2511" s="7"/>
      <c r="AB2511" s="7"/>
      <c r="AC2511" s="7" t="s">
        <v>4817</v>
      </c>
      <c r="AD2511" s="7" t="s">
        <v>6054</v>
      </c>
      <c r="AE2511" s="7" t="s">
        <v>5682</v>
      </c>
      <c r="AF2511" s="7" t="s">
        <v>113</v>
      </c>
      <c r="AG2511" s="7" t="s">
        <v>366</v>
      </c>
      <c r="AH2511" s="7" t="s">
        <v>4818</v>
      </c>
    </row>
    <row r="2512" spans="1:34" ht="9.75" customHeight="1" x14ac:dyDescent="0.2">
      <c r="A2512" s="7" t="s">
        <v>5597</v>
      </c>
      <c r="B2512" s="7" t="s">
        <v>4812</v>
      </c>
      <c r="C2512" s="7"/>
      <c r="D2512" s="7" t="s">
        <v>6130</v>
      </c>
      <c r="E2512" s="8">
        <v>7</v>
      </c>
      <c r="F2512" s="7" t="s">
        <v>5665</v>
      </c>
      <c r="G2512" s="7"/>
      <c r="H2512" s="9"/>
      <c r="I2512" s="10">
        <v>2158</v>
      </c>
      <c r="J2512" s="9"/>
      <c r="K2512" s="9"/>
      <c r="L2512" s="9"/>
      <c r="M2512" s="9"/>
      <c r="N2512" s="9"/>
      <c r="O2512" s="9"/>
      <c r="P2512" s="9"/>
      <c r="Q2512" s="9"/>
      <c r="R2512" s="9"/>
      <c r="S2512" s="7" t="s">
        <v>54</v>
      </c>
      <c r="T2512" s="7" t="s">
        <v>6108</v>
      </c>
      <c r="U2512" s="7"/>
      <c r="V2512" s="7"/>
      <c r="W2512" s="7"/>
      <c r="X2512" s="7"/>
      <c r="Y2512" s="7" t="s">
        <v>6131</v>
      </c>
      <c r="Z2512" s="7" t="s">
        <v>1258</v>
      </c>
      <c r="AA2512" s="7"/>
      <c r="AB2512" s="7"/>
      <c r="AC2512" s="7" t="s">
        <v>4817</v>
      </c>
      <c r="AD2512" s="7" t="s">
        <v>6054</v>
      </c>
      <c r="AE2512" s="7" t="s">
        <v>5682</v>
      </c>
      <c r="AF2512" s="7" t="s">
        <v>113</v>
      </c>
      <c r="AG2512" s="7" t="s">
        <v>366</v>
      </c>
      <c r="AH2512" s="7" t="s">
        <v>4818</v>
      </c>
    </row>
    <row r="2513" spans="1:34" ht="9.75" customHeight="1" x14ac:dyDescent="0.2">
      <c r="A2513" s="7" t="s">
        <v>5597</v>
      </c>
      <c r="B2513" s="7" t="s">
        <v>4812</v>
      </c>
      <c r="C2513" s="7"/>
      <c r="D2513" s="7" t="s">
        <v>6132</v>
      </c>
      <c r="E2513" s="8">
        <v>7</v>
      </c>
      <c r="F2513" s="7" t="s">
        <v>5665</v>
      </c>
      <c r="G2513" s="7"/>
      <c r="H2513" s="9"/>
      <c r="I2513" s="9"/>
      <c r="J2513" s="10">
        <v>49287</v>
      </c>
      <c r="K2513" s="9"/>
      <c r="L2513" s="9"/>
      <c r="M2513" s="9"/>
      <c r="N2513" s="9"/>
      <c r="O2513" s="9"/>
      <c r="P2513" s="9"/>
      <c r="Q2513" s="9"/>
      <c r="R2513" s="9"/>
      <c r="S2513" s="7" t="s">
        <v>54</v>
      </c>
      <c r="T2513" s="7" t="s">
        <v>6108</v>
      </c>
      <c r="U2513" s="7"/>
      <c r="V2513" s="7"/>
      <c r="W2513" s="7"/>
      <c r="X2513" s="7"/>
      <c r="Y2513" s="7" t="s">
        <v>6133</v>
      </c>
      <c r="Z2513" s="7" t="s">
        <v>1258</v>
      </c>
      <c r="AA2513" s="7"/>
      <c r="AB2513" s="7"/>
      <c r="AC2513" s="7" t="s">
        <v>4817</v>
      </c>
      <c r="AD2513" s="7" t="s">
        <v>6054</v>
      </c>
      <c r="AE2513" s="7" t="s">
        <v>5682</v>
      </c>
      <c r="AF2513" s="7" t="s">
        <v>113</v>
      </c>
      <c r="AG2513" s="7" t="s">
        <v>366</v>
      </c>
      <c r="AH2513" s="7" t="s">
        <v>4818</v>
      </c>
    </row>
    <row r="2514" spans="1:34" ht="9.75" customHeight="1" x14ac:dyDescent="0.2">
      <c r="A2514" s="7" t="s">
        <v>5597</v>
      </c>
      <c r="B2514" s="7" t="s">
        <v>4812</v>
      </c>
      <c r="C2514" s="7"/>
      <c r="D2514" s="7" t="s">
        <v>6134</v>
      </c>
      <c r="E2514" s="8">
        <v>7</v>
      </c>
      <c r="F2514" s="7" t="s">
        <v>5665</v>
      </c>
      <c r="G2514" s="7"/>
      <c r="H2514" s="9"/>
      <c r="I2514" s="9"/>
      <c r="J2514" s="10">
        <v>490</v>
      </c>
      <c r="K2514" s="9"/>
      <c r="L2514" s="9"/>
      <c r="M2514" s="9"/>
      <c r="N2514" s="9"/>
      <c r="O2514" s="9"/>
      <c r="P2514" s="9"/>
      <c r="Q2514" s="9"/>
      <c r="R2514" s="9"/>
      <c r="S2514" s="7" t="s">
        <v>54</v>
      </c>
      <c r="T2514" s="7" t="s">
        <v>6108</v>
      </c>
      <c r="U2514" s="7"/>
      <c r="V2514" s="7"/>
      <c r="W2514" s="7"/>
      <c r="X2514" s="7"/>
      <c r="Y2514" s="7" t="s">
        <v>6135</v>
      </c>
      <c r="Z2514" s="7" t="s">
        <v>1258</v>
      </c>
      <c r="AA2514" s="7"/>
      <c r="AB2514" s="7"/>
      <c r="AC2514" s="7" t="s">
        <v>4817</v>
      </c>
      <c r="AD2514" s="7" t="s">
        <v>6054</v>
      </c>
      <c r="AE2514" s="7" t="s">
        <v>5682</v>
      </c>
      <c r="AF2514" s="7" t="s">
        <v>113</v>
      </c>
      <c r="AG2514" s="7" t="s">
        <v>366</v>
      </c>
      <c r="AH2514" s="7" t="s">
        <v>4818</v>
      </c>
    </row>
    <row r="2515" spans="1:34" ht="9.75" customHeight="1" x14ac:dyDescent="0.2">
      <c r="A2515" s="7" t="s">
        <v>5597</v>
      </c>
      <c r="B2515" s="7" t="s">
        <v>4812</v>
      </c>
      <c r="C2515" s="7"/>
      <c r="D2515" s="7" t="s">
        <v>6130</v>
      </c>
      <c r="E2515" s="8">
        <v>7</v>
      </c>
      <c r="F2515" s="7" t="s">
        <v>5665</v>
      </c>
      <c r="G2515" s="7"/>
      <c r="H2515" s="9"/>
      <c r="I2515" s="9"/>
      <c r="J2515" s="10">
        <v>2199</v>
      </c>
      <c r="K2515" s="9"/>
      <c r="L2515" s="9"/>
      <c r="M2515" s="9"/>
      <c r="N2515" s="9"/>
      <c r="O2515" s="9"/>
      <c r="P2515" s="9"/>
      <c r="Q2515" s="9"/>
      <c r="R2515" s="9"/>
      <c r="S2515" s="7" t="s">
        <v>54</v>
      </c>
      <c r="T2515" s="7" t="s">
        <v>6108</v>
      </c>
      <c r="U2515" s="7"/>
      <c r="V2515" s="7"/>
      <c r="W2515" s="7"/>
      <c r="X2515" s="7"/>
      <c r="Y2515" s="7" t="s">
        <v>6131</v>
      </c>
      <c r="Z2515" s="7" t="s">
        <v>1258</v>
      </c>
      <c r="AA2515" s="7"/>
      <c r="AB2515" s="7"/>
      <c r="AC2515" s="7" t="s">
        <v>4817</v>
      </c>
      <c r="AD2515" s="7" t="s">
        <v>6054</v>
      </c>
      <c r="AE2515" s="7" t="s">
        <v>5682</v>
      </c>
      <c r="AF2515" s="7" t="s">
        <v>113</v>
      </c>
      <c r="AG2515" s="7" t="s">
        <v>366</v>
      </c>
      <c r="AH2515" s="7" t="s">
        <v>4818</v>
      </c>
    </row>
    <row r="2516" spans="1:34" ht="9.75" customHeight="1" x14ac:dyDescent="0.2">
      <c r="A2516" s="7" t="s">
        <v>5597</v>
      </c>
      <c r="B2516" s="7" t="s">
        <v>4812</v>
      </c>
      <c r="C2516" s="7"/>
      <c r="D2516" s="7" t="s">
        <v>6136</v>
      </c>
      <c r="E2516" s="8">
        <v>7</v>
      </c>
      <c r="F2516" s="7" t="s">
        <v>5665</v>
      </c>
      <c r="G2516" s="7"/>
      <c r="H2516" s="9"/>
      <c r="I2516" s="9"/>
      <c r="J2516" s="10">
        <v>2876</v>
      </c>
      <c r="K2516" s="9"/>
      <c r="L2516" s="9"/>
      <c r="M2516" s="9"/>
      <c r="N2516" s="9"/>
      <c r="O2516" s="9"/>
      <c r="P2516" s="9"/>
      <c r="Q2516" s="9"/>
      <c r="R2516" s="9"/>
      <c r="S2516" s="7" t="s">
        <v>54</v>
      </c>
      <c r="T2516" s="7" t="s">
        <v>6108</v>
      </c>
      <c r="U2516" s="7"/>
      <c r="V2516" s="7"/>
      <c r="W2516" s="7"/>
      <c r="X2516" s="7"/>
      <c r="Y2516" s="7" t="s">
        <v>6137</v>
      </c>
      <c r="Z2516" s="7" t="s">
        <v>1258</v>
      </c>
      <c r="AA2516" s="7"/>
      <c r="AB2516" s="7"/>
      <c r="AC2516" s="7" t="s">
        <v>4817</v>
      </c>
      <c r="AD2516" s="7" t="s">
        <v>6054</v>
      </c>
      <c r="AE2516" s="7" t="s">
        <v>5682</v>
      </c>
      <c r="AF2516" s="7" t="s">
        <v>113</v>
      </c>
      <c r="AG2516" s="7" t="s">
        <v>366</v>
      </c>
      <c r="AH2516" s="7" t="s">
        <v>4818</v>
      </c>
    </row>
    <row r="2517" spans="1:34" ht="9.75" customHeight="1" x14ac:dyDescent="0.2">
      <c r="A2517" s="7" t="s">
        <v>5597</v>
      </c>
      <c r="B2517" s="7" t="s">
        <v>4812</v>
      </c>
      <c r="C2517" s="7"/>
      <c r="D2517" s="7" t="s">
        <v>6138</v>
      </c>
      <c r="E2517" s="8">
        <v>7</v>
      </c>
      <c r="F2517" s="7" t="s">
        <v>5665</v>
      </c>
      <c r="G2517" s="7"/>
      <c r="H2517" s="9"/>
      <c r="I2517" s="9"/>
      <c r="J2517" s="9"/>
      <c r="K2517" s="9"/>
      <c r="L2517" s="10">
        <v>139280</v>
      </c>
      <c r="M2517" s="9"/>
      <c r="N2517" s="9"/>
      <c r="O2517" s="9"/>
      <c r="P2517" s="10"/>
      <c r="Q2517" s="10"/>
      <c r="R2517" s="10"/>
      <c r="S2517" s="7" t="s">
        <v>54</v>
      </c>
      <c r="T2517" s="7" t="s">
        <v>6108</v>
      </c>
      <c r="U2517" s="7"/>
      <c r="V2517" s="7"/>
      <c r="W2517" s="7"/>
      <c r="X2517" s="7"/>
      <c r="Y2517" s="7" t="s">
        <v>6139</v>
      </c>
      <c r="Z2517" s="7" t="s">
        <v>1258</v>
      </c>
      <c r="AA2517" s="7"/>
      <c r="AB2517" s="7"/>
      <c r="AC2517" s="7" t="s">
        <v>4817</v>
      </c>
      <c r="AD2517" s="7" t="s">
        <v>6054</v>
      </c>
      <c r="AE2517" s="7" t="s">
        <v>5682</v>
      </c>
      <c r="AF2517" s="7" t="s">
        <v>113</v>
      </c>
      <c r="AG2517" s="7" t="s">
        <v>366</v>
      </c>
      <c r="AH2517" s="7" t="s">
        <v>4818</v>
      </c>
    </row>
    <row r="2518" spans="1:34" ht="9.75" customHeight="1" x14ac:dyDescent="0.2">
      <c r="A2518" s="7" t="s">
        <v>5597</v>
      </c>
      <c r="B2518" s="7" t="s">
        <v>4812</v>
      </c>
      <c r="C2518" s="7"/>
      <c r="D2518" s="7" t="s">
        <v>6140</v>
      </c>
      <c r="E2518" s="8">
        <v>7</v>
      </c>
      <c r="F2518" s="7" t="s">
        <v>5665</v>
      </c>
      <c r="G2518" s="7"/>
      <c r="H2518" s="9"/>
      <c r="I2518" s="10">
        <v>81082</v>
      </c>
      <c r="J2518" s="9"/>
      <c r="K2518" s="9"/>
      <c r="L2518" s="9"/>
      <c r="M2518" s="9"/>
      <c r="N2518" s="9"/>
      <c r="O2518" s="9"/>
      <c r="P2518" s="9"/>
      <c r="Q2518" s="9"/>
      <c r="R2518" s="9"/>
      <c r="S2518" s="7" t="s">
        <v>54</v>
      </c>
      <c r="T2518" s="7" t="s">
        <v>6108</v>
      </c>
      <c r="U2518" s="7"/>
      <c r="V2518" s="7"/>
      <c r="W2518" s="7"/>
      <c r="X2518" s="7"/>
      <c r="Y2518" s="7" t="s">
        <v>6141</v>
      </c>
      <c r="Z2518" s="7" t="s">
        <v>1269</v>
      </c>
      <c r="AA2518" s="7"/>
      <c r="AB2518" s="7"/>
      <c r="AC2518" s="7" t="s">
        <v>4817</v>
      </c>
      <c r="AD2518" s="7" t="s">
        <v>6054</v>
      </c>
      <c r="AE2518" s="7" t="s">
        <v>5697</v>
      </c>
      <c r="AF2518" s="7" t="s">
        <v>113</v>
      </c>
      <c r="AG2518" s="7" t="s">
        <v>366</v>
      </c>
      <c r="AH2518" s="7" t="s">
        <v>4818</v>
      </c>
    </row>
    <row r="2519" spans="1:34" ht="9.75" customHeight="1" x14ac:dyDescent="0.2">
      <c r="A2519" s="7" t="s">
        <v>5597</v>
      </c>
      <c r="B2519" s="7" t="s">
        <v>4812</v>
      </c>
      <c r="C2519" s="7"/>
      <c r="D2519" s="7" t="s">
        <v>6142</v>
      </c>
      <c r="E2519" s="8">
        <v>7</v>
      </c>
      <c r="F2519" s="7" t="s">
        <v>5665</v>
      </c>
      <c r="G2519" s="7"/>
      <c r="H2519" s="9"/>
      <c r="I2519" s="9"/>
      <c r="J2519" s="10">
        <v>54366</v>
      </c>
      <c r="K2519" s="9"/>
      <c r="L2519" s="9"/>
      <c r="M2519" s="9"/>
      <c r="N2519" s="9"/>
      <c r="O2519" s="9"/>
      <c r="P2519" s="9"/>
      <c r="Q2519" s="9"/>
      <c r="R2519" s="9"/>
      <c r="S2519" s="7" t="s">
        <v>54</v>
      </c>
      <c r="T2519" s="7" t="s">
        <v>6108</v>
      </c>
      <c r="U2519" s="7"/>
      <c r="V2519" s="7"/>
      <c r="W2519" s="7"/>
      <c r="X2519" s="7"/>
      <c r="Y2519" s="7" t="s">
        <v>6143</v>
      </c>
      <c r="Z2519" s="7" t="s">
        <v>1269</v>
      </c>
      <c r="AA2519" s="7"/>
      <c r="AB2519" s="7"/>
      <c r="AC2519" s="7" t="s">
        <v>4817</v>
      </c>
      <c r="AD2519" s="7" t="s">
        <v>6054</v>
      </c>
      <c r="AE2519" s="7" t="s">
        <v>5697</v>
      </c>
      <c r="AF2519" s="7" t="s">
        <v>113</v>
      </c>
      <c r="AG2519" s="7" t="s">
        <v>366</v>
      </c>
      <c r="AH2519" s="7" t="s">
        <v>4818</v>
      </c>
    </row>
    <row r="2520" spans="1:34" ht="9.75" customHeight="1" x14ac:dyDescent="0.2">
      <c r="A2520" s="7" t="s">
        <v>5597</v>
      </c>
      <c r="B2520" s="7" t="s">
        <v>4812</v>
      </c>
      <c r="C2520" s="7"/>
      <c r="D2520" s="7" t="s">
        <v>6144</v>
      </c>
      <c r="E2520" s="8">
        <v>7</v>
      </c>
      <c r="F2520" s="7" t="s">
        <v>5665</v>
      </c>
      <c r="G2520" s="7"/>
      <c r="H2520" s="9"/>
      <c r="I2520" s="9"/>
      <c r="J2520" s="9"/>
      <c r="K2520" s="9"/>
      <c r="L2520" s="10">
        <v>188576</v>
      </c>
      <c r="M2520" s="9"/>
      <c r="N2520" s="9"/>
      <c r="O2520" s="9"/>
      <c r="P2520" s="10"/>
      <c r="Q2520" s="10"/>
      <c r="R2520" s="10"/>
      <c r="S2520" s="7" t="s">
        <v>54</v>
      </c>
      <c r="T2520" s="7" t="s">
        <v>6108</v>
      </c>
      <c r="U2520" s="7"/>
      <c r="V2520" s="7"/>
      <c r="W2520" s="7"/>
      <c r="X2520" s="7"/>
      <c r="Y2520" s="7" t="s">
        <v>6145</v>
      </c>
      <c r="Z2520" s="7" t="s">
        <v>1269</v>
      </c>
      <c r="AA2520" s="7"/>
      <c r="AB2520" s="7"/>
      <c r="AC2520" s="7" t="s">
        <v>4817</v>
      </c>
      <c r="AD2520" s="7" t="s">
        <v>6054</v>
      </c>
      <c r="AE2520" s="7" t="s">
        <v>5697</v>
      </c>
      <c r="AF2520" s="7" t="s">
        <v>113</v>
      </c>
      <c r="AG2520" s="7" t="s">
        <v>366</v>
      </c>
      <c r="AH2520" s="7" t="s">
        <v>4818</v>
      </c>
    </row>
    <row r="2521" spans="1:34" ht="9.75" customHeight="1" x14ac:dyDescent="0.2">
      <c r="A2521" s="7" t="s">
        <v>5597</v>
      </c>
      <c r="B2521" s="7" t="s">
        <v>4812</v>
      </c>
      <c r="C2521" s="7"/>
      <c r="D2521" s="7" t="s">
        <v>6146</v>
      </c>
      <c r="E2521" s="8">
        <v>7</v>
      </c>
      <c r="F2521" s="7" t="s">
        <v>5665</v>
      </c>
      <c r="G2521" s="7"/>
      <c r="H2521" s="9"/>
      <c r="I2521" s="9"/>
      <c r="J2521" s="9"/>
      <c r="K2521" s="9"/>
      <c r="L2521" s="10">
        <v>93307</v>
      </c>
      <c r="M2521" s="9"/>
      <c r="N2521" s="9"/>
      <c r="O2521" s="9"/>
      <c r="P2521" s="10"/>
      <c r="Q2521" s="10"/>
      <c r="R2521" s="10"/>
      <c r="S2521" s="7" t="s">
        <v>54</v>
      </c>
      <c r="T2521" s="7" t="s">
        <v>6108</v>
      </c>
      <c r="U2521" s="7"/>
      <c r="V2521" s="7"/>
      <c r="W2521" s="7"/>
      <c r="X2521" s="7"/>
      <c r="Y2521" s="7" t="s">
        <v>6147</v>
      </c>
      <c r="Z2521" s="7" t="s">
        <v>1269</v>
      </c>
      <c r="AA2521" s="7"/>
      <c r="AB2521" s="7"/>
      <c r="AC2521" s="7" t="s">
        <v>4817</v>
      </c>
      <c r="AD2521" s="7" t="s">
        <v>6054</v>
      </c>
      <c r="AE2521" s="7" t="s">
        <v>5697</v>
      </c>
      <c r="AF2521" s="7" t="s">
        <v>113</v>
      </c>
      <c r="AG2521" s="7" t="s">
        <v>366</v>
      </c>
      <c r="AH2521" s="7" t="s">
        <v>4818</v>
      </c>
    </row>
    <row r="2522" spans="1:34" ht="9.75" customHeight="1" x14ac:dyDescent="0.2">
      <c r="A2522" s="7" t="s">
        <v>5597</v>
      </c>
      <c r="B2522" s="7" t="s">
        <v>4812</v>
      </c>
      <c r="C2522" s="7"/>
      <c r="D2522" s="7" t="s">
        <v>6148</v>
      </c>
      <c r="E2522" s="8">
        <v>2</v>
      </c>
      <c r="F2522" s="7" t="s">
        <v>5703</v>
      </c>
      <c r="G2522" s="7"/>
      <c r="H2522" s="9"/>
      <c r="I2522" s="9"/>
      <c r="J2522" s="9"/>
      <c r="K2522" s="9"/>
      <c r="L2522" s="9"/>
      <c r="M2522" s="9"/>
      <c r="N2522" s="9"/>
      <c r="O2522" s="9"/>
      <c r="P2522" s="9"/>
      <c r="Q2522" s="9"/>
      <c r="R2522" s="9"/>
      <c r="S2522" s="7" t="s">
        <v>219</v>
      </c>
      <c r="T2522" s="7"/>
      <c r="U2522" s="7" t="s">
        <v>44</v>
      </c>
      <c r="V2522" s="7" t="s">
        <v>45</v>
      </c>
      <c r="W2522" s="7" t="s">
        <v>46</v>
      </c>
      <c r="X2522" s="7" t="s">
        <v>90</v>
      </c>
      <c r="Y2522" s="7" t="s">
        <v>6149</v>
      </c>
      <c r="Z2522" s="7" t="s">
        <v>1280</v>
      </c>
      <c r="AA2522" s="7"/>
      <c r="AB2522" s="7"/>
      <c r="AC2522" s="7" t="s">
        <v>4817</v>
      </c>
      <c r="AD2522" s="7" t="s">
        <v>6054</v>
      </c>
      <c r="AE2522" s="7" t="s">
        <v>5703</v>
      </c>
      <c r="AF2522" s="7" t="s">
        <v>113</v>
      </c>
      <c r="AG2522" s="7" t="s">
        <v>366</v>
      </c>
      <c r="AH2522" s="7" t="s">
        <v>4818</v>
      </c>
    </row>
    <row r="2523" spans="1:34" ht="9.75" customHeight="1" x14ac:dyDescent="0.2">
      <c r="A2523" s="7" t="s">
        <v>5597</v>
      </c>
      <c r="B2523" s="7" t="s">
        <v>4812</v>
      </c>
      <c r="C2523" s="7"/>
      <c r="D2523" s="7" t="s">
        <v>6150</v>
      </c>
      <c r="E2523" s="8">
        <v>2</v>
      </c>
      <c r="F2523" s="7" t="s">
        <v>5703</v>
      </c>
      <c r="G2523" s="7"/>
      <c r="H2523" s="9"/>
      <c r="I2523" s="9"/>
      <c r="J2523" s="9"/>
      <c r="K2523" s="9"/>
      <c r="L2523" s="9"/>
      <c r="M2523" s="9"/>
      <c r="N2523" s="9"/>
      <c r="O2523" s="9"/>
      <c r="P2523" s="9"/>
      <c r="Q2523" s="9"/>
      <c r="R2523" s="9"/>
      <c r="S2523" s="7" t="s">
        <v>219</v>
      </c>
      <c r="T2523" s="7"/>
      <c r="U2523" s="7" t="s">
        <v>44</v>
      </c>
      <c r="V2523" s="7" t="s">
        <v>45</v>
      </c>
      <c r="W2523" s="7" t="s">
        <v>5084</v>
      </c>
      <c r="X2523" s="7" t="s">
        <v>5085</v>
      </c>
      <c r="Y2523" s="7" t="s">
        <v>6151</v>
      </c>
      <c r="Z2523" s="7" t="s">
        <v>1280</v>
      </c>
      <c r="AA2523" s="7"/>
      <c r="AB2523" s="7"/>
      <c r="AC2523" s="7" t="s">
        <v>4817</v>
      </c>
      <c r="AD2523" s="7" t="s">
        <v>6054</v>
      </c>
      <c r="AE2523" s="7" t="s">
        <v>5703</v>
      </c>
      <c r="AF2523" s="7" t="s">
        <v>113</v>
      </c>
      <c r="AG2523" s="7" t="s">
        <v>366</v>
      </c>
      <c r="AH2523" s="7" t="s">
        <v>4818</v>
      </c>
    </row>
    <row r="2524" spans="1:34" ht="9.75" customHeight="1" x14ac:dyDescent="0.2">
      <c r="A2524" s="7" t="s">
        <v>5597</v>
      </c>
      <c r="B2524" s="7" t="s">
        <v>4812</v>
      </c>
      <c r="C2524" s="7"/>
      <c r="D2524" s="7" t="s">
        <v>6152</v>
      </c>
      <c r="E2524" s="8">
        <v>2</v>
      </c>
      <c r="F2524" s="7" t="s">
        <v>5703</v>
      </c>
      <c r="G2524" s="7"/>
      <c r="H2524" s="9"/>
      <c r="I2524" s="9"/>
      <c r="J2524" s="9"/>
      <c r="K2524" s="9"/>
      <c r="L2524" s="9"/>
      <c r="M2524" s="9"/>
      <c r="N2524" s="9"/>
      <c r="O2524" s="9"/>
      <c r="P2524" s="9"/>
      <c r="Q2524" s="9"/>
      <c r="R2524" s="9"/>
      <c r="S2524" s="7" t="s">
        <v>219</v>
      </c>
      <c r="T2524" s="7"/>
      <c r="U2524" s="7" t="s">
        <v>44</v>
      </c>
      <c r="V2524" s="7" t="s">
        <v>45</v>
      </c>
      <c r="W2524" s="7" t="s">
        <v>46</v>
      </c>
      <c r="X2524" s="7" t="s">
        <v>90</v>
      </c>
      <c r="Y2524" s="7" t="s">
        <v>6153</v>
      </c>
      <c r="Z2524" s="7" t="s">
        <v>1280</v>
      </c>
      <c r="AA2524" s="7"/>
      <c r="AB2524" s="7"/>
      <c r="AC2524" s="7" t="s">
        <v>4817</v>
      </c>
      <c r="AD2524" s="7" t="s">
        <v>6054</v>
      </c>
      <c r="AE2524" s="7" t="s">
        <v>5703</v>
      </c>
      <c r="AF2524" s="7" t="s">
        <v>113</v>
      </c>
      <c r="AG2524" s="7" t="s">
        <v>366</v>
      </c>
      <c r="AH2524" s="7" t="s">
        <v>4818</v>
      </c>
    </row>
    <row r="2525" spans="1:34" ht="9.75" customHeight="1" x14ac:dyDescent="0.2">
      <c r="A2525" s="7" t="s">
        <v>5597</v>
      </c>
      <c r="B2525" s="7" t="s">
        <v>4812</v>
      </c>
      <c r="C2525" s="7"/>
      <c r="D2525" s="7" t="s">
        <v>6154</v>
      </c>
      <c r="E2525" s="8">
        <v>5</v>
      </c>
      <c r="F2525" s="7" t="s">
        <v>5703</v>
      </c>
      <c r="G2525" s="7"/>
      <c r="H2525" s="9"/>
      <c r="I2525" s="9"/>
      <c r="J2525" s="9"/>
      <c r="K2525" s="9"/>
      <c r="L2525" s="9"/>
      <c r="M2525" s="9"/>
      <c r="N2525" s="9"/>
      <c r="O2525" s="9"/>
      <c r="P2525" s="9"/>
      <c r="Q2525" s="9"/>
      <c r="R2525" s="9"/>
      <c r="S2525" s="7" t="s">
        <v>219</v>
      </c>
      <c r="T2525" s="7"/>
      <c r="U2525" s="7" t="s">
        <v>44</v>
      </c>
      <c r="V2525" s="7" t="s">
        <v>45</v>
      </c>
      <c r="W2525" s="7" t="s">
        <v>46</v>
      </c>
      <c r="X2525" s="7" t="s">
        <v>90</v>
      </c>
      <c r="Y2525" s="7" t="s">
        <v>6155</v>
      </c>
      <c r="Z2525" s="7" t="s">
        <v>1280</v>
      </c>
      <c r="AA2525" s="7"/>
      <c r="AB2525" s="7"/>
      <c r="AC2525" s="7" t="s">
        <v>4817</v>
      </c>
      <c r="AD2525" s="7" t="s">
        <v>6054</v>
      </c>
      <c r="AE2525" s="7" t="s">
        <v>5703</v>
      </c>
      <c r="AF2525" s="7" t="s">
        <v>113</v>
      </c>
      <c r="AG2525" s="7" t="s">
        <v>366</v>
      </c>
      <c r="AH2525" s="7" t="s">
        <v>4818</v>
      </c>
    </row>
    <row r="2526" spans="1:34" ht="9.75" customHeight="1" x14ac:dyDescent="0.2">
      <c r="A2526" s="7" t="s">
        <v>5597</v>
      </c>
      <c r="B2526" s="7" t="s">
        <v>4812</v>
      </c>
      <c r="C2526" s="7"/>
      <c r="D2526" s="7" t="s">
        <v>6156</v>
      </c>
      <c r="E2526" s="8">
        <v>2</v>
      </c>
      <c r="F2526" s="7" t="s">
        <v>5703</v>
      </c>
      <c r="G2526" s="7"/>
      <c r="H2526" s="9"/>
      <c r="I2526" s="9"/>
      <c r="J2526" s="9"/>
      <c r="K2526" s="9"/>
      <c r="L2526" s="9"/>
      <c r="M2526" s="9"/>
      <c r="N2526" s="9"/>
      <c r="O2526" s="9"/>
      <c r="P2526" s="9"/>
      <c r="Q2526" s="9"/>
      <c r="R2526" s="9"/>
      <c r="S2526" s="7" t="s">
        <v>219</v>
      </c>
      <c r="T2526" s="7"/>
      <c r="U2526" s="7" t="s">
        <v>44</v>
      </c>
      <c r="V2526" s="7" t="s">
        <v>45</v>
      </c>
      <c r="W2526" s="7" t="s">
        <v>46</v>
      </c>
      <c r="X2526" s="7" t="s">
        <v>90</v>
      </c>
      <c r="Y2526" s="7" t="s">
        <v>6157</v>
      </c>
      <c r="Z2526" s="7" t="s">
        <v>1280</v>
      </c>
      <c r="AA2526" s="7"/>
      <c r="AB2526" s="7"/>
      <c r="AC2526" s="7" t="s">
        <v>4817</v>
      </c>
      <c r="AD2526" s="7" t="s">
        <v>6054</v>
      </c>
      <c r="AE2526" s="7" t="s">
        <v>5703</v>
      </c>
      <c r="AF2526" s="7" t="s">
        <v>113</v>
      </c>
      <c r="AG2526" s="7" t="s">
        <v>366</v>
      </c>
      <c r="AH2526" s="7" t="s">
        <v>4818</v>
      </c>
    </row>
    <row r="2527" spans="1:34" ht="9.75" customHeight="1" x14ac:dyDescent="0.2">
      <c r="A2527" s="7" t="s">
        <v>5597</v>
      </c>
      <c r="B2527" s="7" t="s">
        <v>4812</v>
      </c>
      <c r="C2527" s="7"/>
      <c r="D2527" s="7" t="s">
        <v>6158</v>
      </c>
      <c r="E2527" s="8">
        <v>2</v>
      </c>
      <c r="F2527" s="7" t="s">
        <v>5703</v>
      </c>
      <c r="G2527" s="7"/>
      <c r="H2527" s="9"/>
      <c r="I2527" s="9"/>
      <c r="J2527" s="9"/>
      <c r="K2527" s="9"/>
      <c r="L2527" s="9"/>
      <c r="M2527" s="9"/>
      <c r="N2527" s="9"/>
      <c r="O2527" s="9"/>
      <c r="P2527" s="9"/>
      <c r="Q2527" s="9"/>
      <c r="R2527" s="9"/>
      <c r="S2527" s="7" t="s">
        <v>219</v>
      </c>
      <c r="T2527" s="7"/>
      <c r="U2527" s="7" t="s">
        <v>44</v>
      </c>
      <c r="V2527" s="7" t="s">
        <v>45</v>
      </c>
      <c r="W2527" s="7" t="s">
        <v>46</v>
      </c>
      <c r="X2527" s="7" t="s">
        <v>90</v>
      </c>
      <c r="Y2527" s="7" t="s">
        <v>6159</v>
      </c>
      <c r="Z2527" s="7" t="s">
        <v>1280</v>
      </c>
      <c r="AA2527" s="7"/>
      <c r="AB2527" s="7"/>
      <c r="AC2527" s="7" t="s">
        <v>4817</v>
      </c>
      <c r="AD2527" s="7" t="s">
        <v>6054</v>
      </c>
      <c r="AE2527" s="7" t="s">
        <v>5703</v>
      </c>
      <c r="AF2527" s="7" t="s">
        <v>113</v>
      </c>
      <c r="AG2527" s="7" t="s">
        <v>366</v>
      </c>
      <c r="AH2527" s="7" t="s">
        <v>4818</v>
      </c>
    </row>
    <row r="2528" spans="1:34" ht="9.75" customHeight="1" x14ac:dyDescent="0.2">
      <c r="A2528" s="7" t="s">
        <v>5597</v>
      </c>
      <c r="B2528" s="7" t="s">
        <v>4812</v>
      </c>
      <c r="C2528" s="7"/>
      <c r="D2528" s="7" t="s">
        <v>6160</v>
      </c>
      <c r="E2528" s="8">
        <v>2</v>
      </c>
      <c r="F2528" s="7" t="s">
        <v>5703</v>
      </c>
      <c r="G2528" s="7"/>
      <c r="H2528" s="9"/>
      <c r="I2528" s="9"/>
      <c r="J2528" s="9"/>
      <c r="K2528" s="9"/>
      <c r="L2528" s="9"/>
      <c r="M2528" s="9"/>
      <c r="N2528" s="9"/>
      <c r="O2528" s="9"/>
      <c r="P2528" s="9"/>
      <c r="Q2528" s="9"/>
      <c r="R2528" s="9"/>
      <c r="S2528" s="7" t="s">
        <v>219</v>
      </c>
      <c r="T2528" s="7"/>
      <c r="U2528" s="7" t="s">
        <v>44</v>
      </c>
      <c r="V2528" s="7" t="s">
        <v>45</v>
      </c>
      <c r="W2528" s="7" t="s">
        <v>171</v>
      </c>
      <c r="X2528" s="7" t="s">
        <v>5027</v>
      </c>
      <c r="Y2528" s="7" t="s">
        <v>6161</v>
      </c>
      <c r="Z2528" s="7" t="s">
        <v>1280</v>
      </c>
      <c r="AA2528" s="7"/>
      <c r="AB2528" s="7"/>
      <c r="AC2528" s="7" t="s">
        <v>4817</v>
      </c>
      <c r="AD2528" s="7" t="s">
        <v>6054</v>
      </c>
      <c r="AE2528" s="7" t="s">
        <v>5703</v>
      </c>
      <c r="AF2528" s="7" t="s">
        <v>113</v>
      </c>
      <c r="AG2528" s="7" t="s">
        <v>366</v>
      </c>
      <c r="AH2528" s="7" t="s">
        <v>4818</v>
      </c>
    </row>
    <row r="2529" spans="1:34" ht="9.75" customHeight="1" x14ac:dyDescent="0.2">
      <c r="A2529" s="7" t="s">
        <v>5597</v>
      </c>
      <c r="B2529" s="7" t="s">
        <v>4812</v>
      </c>
      <c r="C2529" s="7"/>
      <c r="D2529" s="7" t="s">
        <v>6162</v>
      </c>
      <c r="E2529" s="8">
        <v>2</v>
      </c>
      <c r="F2529" s="7" t="s">
        <v>5703</v>
      </c>
      <c r="G2529" s="7"/>
      <c r="H2529" s="9"/>
      <c r="I2529" s="9"/>
      <c r="J2529" s="9"/>
      <c r="K2529" s="9"/>
      <c r="L2529" s="9"/>
      <c r="M2529" s="9"/>
      <c r="N2529" s="9"/>
      <c r="O2529" s="9"/>
      <c r="P2529" s="9"/>
      <c r="Q2529" s="9"/>
      <c r="R2529" s="9"/>
      <c r="S2529" s="7" t="s">
        <v>219</v>
      </c>
      <c r="T2529" s="7"/>
      <c r="U2529" s="7" t="s">
        <v>44</v>
      </c>
      <c r="V2529" s="7" t="s">
        <v>45</v>
      </c>
      <c r="W2529" s="7" t="s">
        <v>67</v>
      </c>
      <c r="X2529" s="7" t="s">
        <v>68</v>
      </c>
      <c r="Y2529" s="7" t="s">
        <v>6163</v>
      </c>
      <c r="Z2529" s="7" t="s">
        <v>1280</v>
      </c>
      <c r="AA2529" s="7"/>
      <c r="AB2529" s="7"/>
      <c r="AC2529" s="7" t="s">
        <v>4817</v>
      </c>
      <c r="AD2529" s="7" t="s">
        <v>6054</v>
      </c>
      <c r="AE2529" s="7" t="s">
        <v>5703</v>
      </c>
      <c r="AF2529" s="7" t="s">
        <v>113</v>
      </c>
      <c r="AG2529" s="7" t="s">
        <v>366</v>
      </c>
      <c r="AH2529" s="7" t="s">
        <v>4818</v>
      </c>
    </row>
    <row r="2530" spans="1:34" ht="9.75" customHeight="1" x14ac:dyDescent="0.2">
      <c r="A2530" s="7" t="s">
        <v>5597</v>
      </c>
      <c r="B2530" s="7" t="s">
        <v>4812</v>
      </c>
      <c r="C2530" s="7"/>
      <c r="D2530" s="7" t="s">
        <v>6164</v>
      </c>
      <c r="E2530" s="8">
        <v>5</v>
      </c>
      <c r="F2530" s="7" t="s">
        <v>5703</v>
      </c>
      <c r="G2530" s="7"/>
      <c r="H2530" s="9"/>
      <c r="I2530" s="9"/>
      <c r="J2530" s="9"/>
      <c r="K2530" s="9"/>
      <c r="L2530" s="9"/>
      <c r="M2530" s="9"/>
      <c r="N2530" s="9"/>
      <c r="O2530" s="9"/>
      <c r="P2530" s="9"/>
      <c r="Q2530" s="9"/>
      <c r="R2530" s="9"/>
      <c r="S2530" s="7" t="s">
        <v>219</v>
      </c>
      <c r="T2530" s="7"/>
      <c r="U2530" s="7" t="s">
        <v>44</v>
      </c>
      <c r="V2530" s="7" t="s">
        <v>45</v>
      </c>
      <c r="W2530" s="7" t="s">
        <v>46</v>
      </c>
      <c r="X2530" s="7" t="s">
        <v>4856</v>
      </c>
      <c r="Y2530" s="7" t="s">
        <v>6165</v>
      </c>
      <c r="Z2530" s="7" t="s">
        <v>1280</v>
      </c>
      <c r="AA2530" s="7"/>
      <c r="AB2530" s="7"/>
      <c r="AC2530" s="7" t="s">
        <v>4817</v>
      </c>
      <c r="AD2530" s="7" t="s">
        <v>6054</v>
      </c>
      <c r="AE2530" s="7" t="s">
        <v>5703</v>
      </c>
      <c r="AF2530" s="7" t="s">
        <v>113</v>
      </c>
      <c r="AG2530" s="7" t="s">
        <v>366</v>
      </c>
      <c r="AH2530" s="7" t="s">
        <v>4818</v>
      </c>
    </row>
    <row r="2531" spans="1:34" ht="9.75" customHeight="1" x14ac:dyDescent="0.2">
      <c r="A2531" s="7" t="s">
        <v>5597</v>
      </c>
      <c r="B2531" s="7" t="s">
        <v>4812</v>
      </c>
      <c r="C2531" s="7"/>
      <c r="D2531" s="7" t="s">
        <v>6166</v>
      </c>
      <c r="E2531" s="8">
        <v>2</v>
      </c>
      <c r="F2531" s="7" t="s">
        <v>5703</v>
      </c>
      <c r="G2531" s="7"/>
      <c r="H2531" s="9"/>
      <c r="I2531" s="9"/>
      <c r="J2531" s="9"/>
      <c r="K2531" s="9"/>
      <c r="L2531" s="9"/>
      <c r="M2531" s="9"/>
      <c r="N2531" s="9"/>
      <c r="O2531" s="9"/>
      <c r="P2531" s="9"/>
      <c r="Q2531" s="9"/>
      <c r="R2531" s="9"/>
      <c r="S2531" s="7" t="s">
        <v>219</v>
      </c>
      <c r="T2531" s="7"/>
      <c r="U2531" s="7" t="s">
        <v>44</v>
      </c>
      <c r="V2531" s="7" t="s">
        <v>45</v>
      </c>
      <c r="W2531" s="7" t="s">
        <v>67</v>
      </c>
      <c r="X2531" s="7" t="s">
        <v>68</v>
      </c>
      <c r="Y2531" s="7" t="s">
        <v>6167</v>
      </c>
      <c r="Z2531" s="7" t="s">
        <v>1280</v>
      </c>
      <c r="AA2531" s="7"/>
      <c r="AB2531" s="7"/>
      <c r="AC2531" s="7" t="s">
        <v>4817</v>
      </c>
      <c r="AD2531" s="7" t="s">
        <v>6054</v>
      </c>
      <c r="AE2531" s="7" t="s">
        <v>5703</v>
      </c>
      <c r="AF2531" s="7" t="s">
        <v>113</v>
      </c>
      <c r="AG2531" s="7" t="s">
        <v>366</v>
      </c>
      <c r="AH2531" s="7" t="s">
        <v>4818</v>
      </c>
    </row>
    <row r="2532" spans="1:34" ht="9.75" customHeight="1" x14ac:dyDescent="0.2">
      <c r="A2532" s="7" t="s">
        <v>5597</v>
      </c>
      <c r="B2532" s="7" t="s">
        <v>4812</v>
      </c>
      <c r="C2532" s="7"/>
      <c r="D2532" s="7" t="s">
        <v>6168</v>
      </c>
      <c r="E2532" s="8">
        <v>2</v>
      </c>
      <c r="F2532" s="7" t="s">
        <v>5703</v>
      </c>
      <c r="G2532" s="7"/>
      <c r="H2532" s="9"/>
      <c r="I2532" s="9"/>
      <c r="J2532" s="9"/>
      <c r="K2532" s="9"/>
      <c r="L2532" s="9"/>
      <c r="M2532" s="9"/>
      <c r="N2532" s="9"/>
      <c r="O2532" s="9"/>
      <c r="P2532" s="9"/>
      <c r="Q2532" s="9"/>
      <c r="R2532" s="9"/>
      <c r="S2532" s="7" t="s">
        <v>219</v>
      </c>
      <c r="T2532" s="7"/>
      <c r="U2532" s="7" t="s">
        <v>44</v>
      </c>
      <c r="V2532" s="7" t="s">
        <v>45</v>
      </c>
      <c r="W2532" s="7" t="s">
        <v>46</v>
      </c>
      <c r="X2532" s="7" t="s">
        <v>4856</v>
      </c>
      <c r="Y2532" s="7" t="s">
        <v>6169</v>
      </c>
      <c r="Z2532" s="7" t="s">
        <v>1280</v>
      </c>
      <c r="AA2532" s="7"/>
      <c r="AB2532" s="7"/>
      <c r="AC2532" s="7" t="s">
        <v>4817</v>
      </c>
      <c r="AD2532" s="7" t="s">
        <v>6054</v>
      </c>
      <c r="AE2532" s="7" t="s">
        <v>5703</v>
      </c>
      <c r="AF2532" s="7" t="s">
        <v>113</v>
      </c>
      <c r="AG2532" s="7" t="s">
        <v>366</v>
      </c>
      <c r="AH2532" s="7" t="s">
        <v>4818</v>
      </c>
    </row>
    <row r="2533" spans="1:34" ht="9.75" customHeight="1" x14ac:dyDescent="0.2">
      <c r="A2533" s="7" t="s">
        <v>5597</v>
      </c>
      <c r="B2533" s="7" t="s">
        <v>4812</v>
      </c>
      <c r="C2533" s="7"/>
      <c r="D2533" s="7" t="s">
        <v>6170</v>
      </c>
      <c r="E2533" s="8">
        <v>2</v>
      </c>
      <c r="F2533" s="7" t="s">
        <v>5703</v>
      </c>
      <c r="G2533" s="7"/>
      <c r="H2533" s="9"/>
      <c r="I2533" s="9"/>
      <c r="J2533" s="9"/>
      <c r="K2533" s="9"/>
      <c r="L2533" s="9"/>
      <c r="M2533" s="9"/>
      <c r="N2533" s="9"/>
      <c r="O2533" s="9"/>
      <c r="P2533" s="9"/>
      <c r="Q2533" s="9"/>
      <c r="R2533" s="9"/>
      <c r="S2533" s="7" t="s">
        <v>219</v>
      </c>
      <c r="T2533" s="7"/>
      <c r="U2533" s="7" t="s">
        <v>44</v>
      </c>
      <c r="V2533" s="7" t="s">
        <v>45</v>
      </c>
      <c r="W2533" s="7" t="s">
        <v>67</v>
      </c>
      <c r="X2533" s="7" t="s">
        <v>68</v>
      </c>
      <c r="Y2533" s="7" t="s">
        <v>6171</v>
      </c>
      <c r="Z2533" s="7" t="s">
        <v>1280</v>
      </c>
      <c r="AA2533" s="7"/>
      <c r="AB2533" s="7"/>
      <c r="AC2533" s="7" t="s">
        <v>4817</v>
      </c>
      <c r="AD2533" s="7" t="s">
        <v>6054</v>
      </c>
      <c r="AE2533" s="7" t="s">
        <v>5703</v>
      </c>
      <c r="AF2533" s="7" t="s">
        <v>113</v>
      </c>
      <c r="AG2533" s="7" t="s">
        <v>366</v>
      </c>
      <c r="AH2533" s="7" t="s">
        <v>4818</v>
      </c>
    </row>
    <row r="2534" spans="1:34" ht="9.75" customHeight="1" x14ac:dyDescent="0.2">
      <c r="A2534" s="7" t="s">
        <v>5597</v>
      </c>
      <c r="B2534" s="7" t="s">
        <v>4812</v>
      </c>
      <c r="C2534" s="7"/>
      <c r="D2534" s="7" t="s">
        <v>6172</v>
      </c>
      <c r="E2534" s="8">
        <v>5</v>
      </c>
      <c r="F2534" s="7" t="s">
        <v>5703</v>
      </c>
      <c r="G2534" s="7"/>
      <c r="H2534" s="9"/>
      <c r="I2534" s="9"/>
      <c r="J2534" s="9"/>
      <c r="K2534" s="9"/>
      <c r="L2534" s="9"/>
      <c r="M2534" s="9"/>
      <c r="N2534" s="9"/>
      <c r="O2534" s="9"/>
      <c r="P2534" s="9"/>
      <c r="Q2534" s="9"/>
      <c r="R2534" s="9"/>
      <c r="S2534" s="7" t="s">
        <v>219</v>
      </c>
      <c r="T2534" s="7"/>
      <c r="U2534" s="7" t="s">
        <v>44</v>
      </c>
      <c r="V2534" s="7" t="s">
        <v>45</v>
      </c>
      <c r="W2534" s="7" t="s">
        <v>46</v>
      </c>
      <c r="X2534" s="7" t="s">
        <v>90</v>
      </c>
      <c r="Y2534" s="7" t="s">
        <v>6173</v>
      </c>
      <c r="Z2534" s="7" t="s">
        <v>1280</v>
      </c>
      <c r="AA2534" s="7"/>
      <c r="AB2534" s="7"/>
      <c r="AC2534" s="7" t="s">
        <v>4817</v>
      </c>
      <c r="AD2534" s="7" t="s">
        <v>6054</v>
      </c>
      <c r="AE2534" s="7" t="s">
        <v>5703</v>
      </c>
      <c r="AF2534" s="7" t="s">
        <v>113</v>
      </c>
      <c r="AG2534" s="7" t="s">
        <v>366</v>
      </c>
      <c r="AH2534" s="7" t="s">
        <v>4818</v>
      </c>
    </row>
    <row r="2535" spans="1:34" ht="9.75" customHeight="1" x14ac:dyDescent="0.2">
      <c r="A2535" s="7" t="s">
        <v>5597</v>
      </c>
      <c r="B2535" s="7" t="s">
        <v>4812</v>
      </c>
      <c r="C2535" s="7"/>
      <c r="D2535" s="7" t="s">
        <v>5890</v>
      </c>
      <c r="E2535" s="8">
        <v>2</v>
      </c>
      <c r="F2535" s="7" t="s">
        <v>5703</v>
      </c>
      <c r="G2535" s="7"/>
      <c r="H2535" s="9"/>
      <c r="I2535" s="9"/>
      <c r="J2535" s="9"/>
      <c r="K2535" s="9"/>
      <c r="L2535" s="9"/>
      <c r="M2535" s="9"/>
      <c r="N2535" s="9"/>
      <c r="O2535" s="9"/>
      <c r="P2535" s="9"/>
      <c r="Q2535" s="9"/>
      <c r="R2535" s="9"/>
      <c r="S2535" s="7" t="s">
        <v>219</v>
      </c>
      <c r="T2535" s="7"/>
      <c r="U2535" s="7" t="s">
        <v>44</v>
      </c>
      <c r="V2535" s="7" t="s">
        <v>45</v>
      </c>
      <c r="W2535" s="7" t="s">
        <v>67</v>
      </c>
      <c r="X2535" s="7" t="s">
        <v>68</v>
      </c>
      <c r="Y2535" s="7" t="s">
        <v>6174</v>
      </c>
      <c r="Z2535" s="7" t="s">
        <v>1280</v>
      </c>
      <c r="AA2535" s="7"/>
      <c r="AB2535" s="7"/>
      <c r="AC2535" s="7" t="s">
        <v>4817</v>
      </c>
      <c r="AD2535" s="7" t="s">
        <v>6054</v>
      </c>
      <c r="AE2535" s="7" t="s">
        <v>5703</v>
      </c>
      <c r="AF2535" s="7" t="s">
        <v>113</v>
      </c>
      <c r="AG2535" s="7" t="s">
        <v>366</v>
      </c>
      <c r="AH2535" s="7" t="s">
        <v>4818</v>
      </c>
    </row>
    <row r="2536" spans="1:34" ht="9.75" customHeight="1" x14ac:dyDescent="0.2">
      <c r="A2536" s="7" t="s">
        <v>5597</v>
      </c>
      <c r="B2536" s="7" t="s">
        <v>4812</v>
      </c>
      <c r="C2536" s="7"/>
      <c r="D2536" s="7" t="s">
        <v>6175</v>
      </c>
      <c r="E2536" s="8">
        <v>2</v>
      </c>
      <c r="F2536" s="7" t="s">
        <v>5703</v>
      </c>
      <c r="G2536" s="7"/>
      <c r="H2536" s="9"/>
      <c r="I2536" s="9"/>
      <c r="J2536" s="9"/>
      <c r="K2536" s="9"/>
      <c r="L2536" s="9"/>
      <c r="M2536" s="9"/>
      <c r="N2536" s="9"/>
      <c r="O2536" s="9"/>
      <c r="P2536" s="9"/>
      <c r="Q2536" s="9"/>
      <c r="R2536" s="9"/>
      <c r="S2536" s="7" t="s">
        <v>219</v>
      </c>
      <c r="T2536" s="7"/>
      <c r="U2536" s="7" t="s">
        <v>44</v>
      </c>
      <c r="V2536" s="7" t="s">
        <v>45</v>
      </c>
      <c r="W2536" s="7" t="s">
        <v>67</v>
      </c>
      <c r="X2536" s="7" t="s">
        <v>68</v>
      </c>
      <c r="Y2536" s="7" t="s">
        <v>6176</v>
      </c>
      <c r="Z2536" s="7" t="s">
        <v>1280</v>
      </c>
      <c r="AA2536" s="7"/>
      <c r="AB2536" s="7"/>
      <c r="AC2536" s="7" t="s">
        <v>4817</v>
      </c>
      <c r="AD2536" s="7" t="s">
        <v>6054</v>
      </c>
      <c r="AE2536" s="7" t="s">
        <v>5703</v>
      </c>
      <c r="AF2536" s="7" t="s">
        <v>113</v>
      </c>
      <c r="AG2536" s="7" t="s">
        <v>366</v>
      </c>
      <c r="AH2536" s="7" t="s">
        <v>4818</v>
      </c>
    </row>
    <row r="2537" spans="1:34" ht="9.75" customHeight="1" x14ac:dyDescent="0.2">
      <c r="A2537" s="7" t="s">
        <v>5597</v>
      </c>
      <c r="B2537" s="7" t="s">
        <v>4812</v>
      </c>
      <c r="C2537" s="7"/>
      <c r="D2537" s="7" t="s">
        <v>6177</v>
      </c>
      <c r="E2537" s="8">
        <v>5</v>
      </c>
      <c r="F2537" s="7" t="s">
        <v>5703</v>
      </c>
      <c r="G2537" s="7"/>
      <c r="H2537" s="9"/>
      <c r="I2537" s="9"/>
      <c r="J2537" s="9"/>
      <c r="K2537" s="9"/>
      <c r="L2537" s="9"/>
      <c r="M2537" s="9"/>
      <c r="N2537" s="9"/>
      <c r="O2537" s="9"/>
      <c r="P2537" s="9"/>
      <c r="Q2537" s="9"/>
      <c r="R2537" s="9"/>
      <c r="S2537" s="7" t="s">
        <v>219</v>
      </c>
      <c r="T2537" s="7"/>
      <c r="U2537" s="7" t="s">
        <v>44</v>
      </c>
      <c r="V2537" s="7" t="s">
        <v>45</v>
      </c>
      <c r="W2537" s="7" t="s">
        <v>46</v>
      </c>
      <c r="X2537" s="7" t="s">
        <v>4856</v>
      </c>
      <c r="Y2537" s="7" t="s">
        <v>6178</v>
      </c>
      <c r="Z2537" s="7" t="s">
        <v>1280</v>
      </c>
      <c r="AA2537" s="7"/>
      <c r="AB2537" s="7"/>
      <c r="AC2537" s="7" t="s">
        <v>4817</v>
      </c>
      <c r="AD2537" s="7" t="s">
        <v>6054</v>
      </c>
      <c r="AE2537" s="7" t="s">
        <v>5703</v>
      </c>
      <c r="AF2537" s="7" t="s">
        <v>113</v>
      </c>
      <c r="AG2537" s="7" t="s">
        <v>366</v>
      </c>
      <c r="AH2537" s="7" t="s">
        <v>4818</v>
      </c>
    </row>
    <row r="2538" spans="1:34" ht="9.75" customHeight="1" x14ac:dyDescent="0.2">
      <c r="A2538" s="7" t="s">
        <v>5597</v>
      </c>
      <c r="B2538" s="7" t="s">
        <v>4812</v>
      </c>
      <c r="C2538" s="7"/>
      <c r="D2538" s="7" t="s">
        <v>6179</v>
      </c>
      <c r="E2538" s="8">
        <v>2</v>
      </c>
      <c r="F2538" s="7" t="s">
        <v>5703</v>
      </c>
      <c r="G2538" s="7"/>
      <c r="H2538" s="9"/>
      <c r="I2538" s="9"/>
      <c r="J2538" s="9"/>
      <c r="K2538" s="9"/>
      <c r="L2538" s="9"/>
      <c r="M2538" s="9"/>
      <c r="N2538" s="9"/>
      <c r="O2538" s="9"/>
      <c r="P2538" s="9"/>
      <c r="Q2538" s="9"/>
      <c r="R2538" s="9"/>
      <c r="S2538" s="7" t="s">
        <v>219</v>
      </c>
      <c r="T2538" s="7"/>
      <c r="U2538" s="7" t="s">
        <v>44</v>
      </c>
      <c r="V2538" s="7" t="s">
        <v>45</v>
      </c>
      <c r="W2538" s="7" t="s">
        <v>46</v>
      </c>
      <c r="X2538" s="7" t="s">
        <v>4856</v>
      </c>
      <c r="Y2538" s="7" t="s">
        <v>6180</v>
      </c>
      <c r="Z2538" s="7" t="s">
        <v>1280</v>
      </c>
      <c r="AA2538" s="7"/>
      <c r="AB2538" s="7"/>
      <c r="AC2538" s="7" t="s">
        <v>4817</v>
      </c>
      <c r="AD2538" s="7" t="s">
        <v>6054</v>
      </c>
      <c r="AE2538" s="7" t="s">
        <v>5703</v>
      </c>
      <c r="AF2538" s="7" t="s">
        <v>113</v>
      </c>
      <c r="AG2538" s="7" t="s">
        <v>366</v>
      </c>
      <c r="AH2538" s="7" t="s">
        <v>4818</v>
      </c>
    </row>
    <row r="2539" spans="1:34" ht="9.75" customHeight="1" x14ac:dyDescent="0.2">
      <c r="A2539" s="7" t="s">
        <v>5597</v>
      </c>
      <c r="B2539" s="7" t="s">
        <v>4812</v>
      </c>
      <c r="C2539" s="7"/>
      <c r="D2539" s="7" t="s">
        <v>6181</v>
      </c>
      <c r="E2539" s="8">
        <v>2</v>
      </c>
      <c r="F2539" s="7" t="s">
        <v>5703</v>
      </c>
      <c r="G2539" s="7"/>
      <c r="H2539" s="9"/>
      <c r="I2539" s="9"/>
      <c r="J2539" s="9"/>
      <c r="K2539" s="9"/>
      <c r="L2539" s="9"/>
      <c r="M2539" s="9"/>
      <c r="N2539" s="9"/>
      <c r="O2539" s="9"/>
      <c r="P2539" s="9"/>
      <c r="Q2539" s="9"/>
      <c r="R2539" s="9"/>
      <c r="S2539" s="7" t="s">
        <v>219</v>
      </c>
      <c r="T2539" s="7"/>
      <c r="U2539" s="7" t="s">
        <v>44</v>
      </c>
      <c r="V2539" s="7" t="s">
        <v>45</v>
      </c>
      <c r="W2539" s="7" t="s">
        <v>46</v>
      </c>
      <c r="X2539" s="7" t="s">
        <v>90</v>
      </c>
      <c r="Y2539" s="7" t="s">
        <v>6182</v>
      </c>
      <c r="Z2539" s="7" t="s">
        <v>1280</v>
      </c>
      <c r="AA2539" s="7"/>
      <c r="AB2539" s="7"/>
      <c r="AC2539" s="7" t="s">
        <v>4817</v>
      </c>
      <c r="AD2539" s="7" t="s">
        <v>6054</v>
      </c>
      <c r="AE2539" s="7" t="s">
        <v>5703</v>
      </c>
      <c r="AF2539" s="7" t="s">
        <v>113</v>
      </c>
      <c r="AG2539" s="7" t="s">
        <v>366</v>
      </c>
      <c r="AH2539" s="7" t="s">
        <v>4818</v>
      </c>
    </row>
    <row r="2540" spans="1:34" ht="9.75" customHeight="1" x14ac:dyDescent="0.2">
      <c r="A2540" s="7" t="s">
        <v>5597</v>
      </c>
      <c r="B2540" s="7" t="s">
        <v>4812</v>
      </c>
      <c r="C2540" s="7"/>
      <c r="D2540" s="7" t="s">
        <v>6181</v>
      </c>
      <c r="E2540" s="8">
        <v>2</v>
      </c>
      <c r="F2540" s="7" t="s">
        <v>5703</v>
      </c>
      <c r="G2540" s="7"/>
      <c r="H2540" s="9"/>
      <c r="I2540" s="9"/>
      <c r="J2540" s="9"/>
      <c r="K2540" s="9"/>
      <c r="L2540" s="9"/>
      <c r="M2540" s="9"/>
      <c r="N2540" s="9"/>
      <c r="O2540" s="9"/>
      <c r="P2540" s="9"/>
      <c r="Q2540" s="9"/>
      <c r="R2540" s="9"/>
      <c r="S2540" s="7" t="s">
        <v>219</v>
      </c>
      <c r="T2540" s="7"/>
      <c r="U2540" s="7" t="s">
        <v>44</v>
      </c>
      <c r="V2540" s="7" t="s">
        <v>45</v>
      </c>
      <c r="W2540" s="7" t="s">
        <v>46</v>
      </c>
      <c r="X2540" s="7" t="s">
        <v>90</v>
      </c>
      <c r="Y2540" s="7" t="s">
        <v>6182</v>
      </c>
      <c r="Z2540" s="7" t="s">
        <v>1280</v>
      </c>
      <c r="AA2540" s="7"/>
      <c r="AB2540" s="7"/>
      <c r="AC2540" s="7" t="s">
        <v>4817</v>
      </c>
      <c r="AD2540" s="7" t="s">
        <v>6054</v>
      </c>
      <c r="AE2540" s="7" t="s">
        <v>5703</v>
      </c>
      <c r="AF2540" s="7" t="s">
        <v>113</v>
      </c>
      <c r="AG2540" s="7" t="s">
        <v>366</v>
      </c>
      <c r="AH2540" s="7" t="s">
        <v>4818</v>
      </c>
    </row>
    <row r="2541" spans="1:34" ht="9.75" customHeight="1" x14ac:dyDescent="0.2">
      <c r="A2541" s="7" t="s">
        <v>5597</v>
      </c>
      <c r="B2541" s="7" t="s">
        <v>4812</v>
      </c>
      <c r="C2541" s="7"/>
      <c r="D2541" s="7" t="s">
        <v>6183</v>
      </c>
      <c r="E2541" s="8">
        <v>2</v>
      </c>
      <c r="F2541" s="7" t="s">
        <v>5703</v>
      </c>
      <c r="G2541" s="7"/>
      <c r="H2541" s="9"/>
      <c r="I2541" s="9"/>
      <c r="J2541" s="9"/>
      <c r="K2541" s="9"/>
      <c r="L2541" s="9"/>
      <c r="M2541" s="9"/>
      <c r="N2541" s="9"/>
      <c r="O2541" s="9"/>
      <c r="P2541" s="9"/>
      <c r="Q2541" s="9"/>
      <c r="R2541" s="9"/>
      <c r="S2541" s="7" t="s">
        <v>219</v>
      </c>
      <c r="T2541" s="7"/>
      <c r="U2541" s="7" t="s">
        <v>44</v>
      </c>
      <c r="V2541" s="7" t="s">
        <v>45</v>
      </c>
      <c r="W2541" s="7" t="s">
        <v>67</v>
      </c>
      <c r="X2541" s="7" t="s">
        <v>68</v>
      </c>
      <c r="Y2541" s="7" t="s">
        <v>6184</v>
      </c>
      <c r="Z2541" s="7" t="s">
        <v>1280</v>
      </c>
      <c r="AA2541" s="7"/>
      <c r="AB2541" s="7"/>
      <c r="AC2541" s="7" t="s">
        <v>4817</v>
      </c>
      <c r="AD2541" s="7" t="s">
        <v>6054</v>
      </c>
      <c r="AE2541" s="7" t="s">
        <v>5703</v>
      </c>
      <c r="AF2541" s="7" t="s">
        <v>113</v>
      </c>
      <c r="AG2541" s="7" t="s">
        <v>366</v>
      </c>
      <c r="AH2541" s="7" t="s">
        <v>4818</v>
      </c>
    </row>
    <row r="2542" spans="1:34" ht="9.75" customHeight="1" x14ac:dyDescent="0.2">
      <c r="A2542" s="7" t="s">
        <v>5597</v>
      </c>
      <c r="B2542" s="7" t="s">
        <v>4812</v>
      </c>
      <c r="C2542" s="7"/>
      <c r="D2542" s="7" t="s">
        <v>6185</v>
      </c>
      <c r="E2542" s="8">
        <v>2</v>
      </c>
      <c r="F2542" s="7" t="s">
        <v>5703</v>
      </c>
      <c r="G2542" s="7"/>
      <c r="H2542" s="9"/>
      <c r="I2542" s="9"/>
      <c r="J2542" s="9"/>
      <c r="K2542" s="9"/>
      <c r="L2542" s="9"/>
      <c r="M2542" s="9"/>
      <c r="N2542" s="9"/>
      <c r="O2542" s="9"/>
      <c r="P2542" s="9"/>
      <c r="Q2542" s="9"/>
      <c r="R2542" s="9"/>
      <c r="S2542" s="7" t="s">
        <v>219</v>
      </c>
      <c r="T2542" s="7"/>
      <c r="U2542" s="7" t="s">
        <v>44</v>
      </c>
      <c r="V2542" s="7" t="s">
        <v>45</v>
      </c>
      <c r="W2542" s="7" t="s">
        <v>67</v>
      </c>
      <c r="X2542" s="7" t="s">
        <v>68</v>
      </c>
      <c r="Y2542" s="7" t="s">
        <v>6186</v>
      </c>
      <c r="Z2542" s="7" t="s">
        <v>1280</v>
      </c>
      <c r="AA2542" s="7"/>
      <c r="AB2542" s="7"/>
      <c r="AC2542" s="7" t="s">
        <v>4817</v>
      </c>
      <c r="AD2542" s="7" t="s">
        <v>6054</v>
      </c>
      <c r="AE2542" s="7" t="s">
        <v>5703</v>
      </c>
      <c r="AF2542" s="7" t="s">
        <v>113</v>
      </c>
      <c r="AG2542" s="7" t="s">
        <v>366</v>
      </c>
      <c r="AH2542" s="7" t="s">
        <v>4818</v>
      </c>
    </row>
    <row r="2543" spans="1:34" ht="9.75" customHeight="1" x14ac:dyDescent="0.2">
      <c r="A2543" s="7" t="s">
        <v>5597</v>
      </c>
      <c r="B2543" s="7" t="s">
        <v>4812</v>
      </c>
      <c r="C2543" s="7"/>
      <c r="D2543" s="7" t="s">
        <v>6187</v>
      </c>
      <c r="E2543" s="8">
        <v>3</v>
      </c>
      <c r="F2543" s="7"/>
      <c r="G2543" s="7"/>
      <c r="H2543" s="9"/>
      <c r="I2543" s="10">
        <v>15037</v>
      </c>
      <c r="J2543" s="10">
        <v>17188</v>
      </c>
      <c r="K2543" s="10">
        <v>17188</v>
      </c>
      <c r="L2543" s="9"/>
      <c r="M2543" s="9"/>
      <c r="N2543" s="9"/>
      <c r="O2543" s="9"/>
      <c r="P2543" s="9"/>
      <c r="Q2543" s="9"/>
      <c r="R2543" s="9"/>
      <c r="S2543" s="7"/>
      <c r="T2543" s="7"/>
      <c r="U2543" s="7" t="s">
        <v>44</v>
      </c>
      <c r="V2543" s="7" t="s">
        <v>45</v>
      </c>
      <c r="W2543" s="7" t="s">
        <v>171</v>
      </c>
      <c r="X2543" s="7"/>
      <c r="Y2543" s="7" t="s">
        <v>6188</v>
      </c>
      <c r="Z2543" s="7" t="s">
        <v>1429</v>
      </c>
      <c r="AA2543" s="7"/>
      <c r="AB2543" s="7"/>
      <c r="AC2543" s="7" t="s">
        <v>4817</v>
      </c>
      <c r="AD2543" s="7" t="s">
        <v>6189</v>
      </c>
      <c r="AE2543" s="7" t="s">
        <v>6187</v>
      </c>
      <c r="AF2543" s="7" t="s">
        <v>113</v>
      </c>
      <c r="AG2543" s="7" t="s">
        <v>366</v>
      </c>
      <c r="AH2543" s="7" t="s">
        <v>4818</v>
      </c>
    </row>
    <row r="2544" spans="1:34" ht="9.75" customHeight="1" x14ac:dyDescent="0.2">
      <c r="A2544" s="7" t="s">
        <v>5597</v>
      </c>
      <c r="B2544" s="7" t="s">
        <v>4812</v>
      </c>
      <c r="C2544" s="7"/>
      <c r="D2544" s="7" t="s">
        <v>5077</v>
      </c>
      <c r="E2544" s="8">
        <v>3</v>
      </c>
      <c r="F2544" s="7"/>
      <c r="G2544" s="7"/>
      <c r="H2544" s="9"/>
      <c r="I2544" s="10">
        <v>3066</v>
      </c>
      <c r="J2544" s="10">
        <v>5200</v>
      </c>
      <c r="K2544" s="10">
        <v>5200</v>
      </c>
      <c r="L2544" s="10">
        <v>5969</v>
      </c>
      <c r="M2544" s="9"/>
      <c r="N2544" s="9"/>
      <c r="O2544" s="10">
        <v>5969</v>
      </c>
      <c r="P2544" s="10"/>
      <c r="Q2544" s="10"/>
      <c r="R2544" s="10"/>
      <c r="S2544" s="7"/>
      <c r="T2544" s="7"/>
      <c r="U2544" s="7" t="s">
        <v>44</v>
      </c>
      <c r="V2544" s="7" t="s">
        <v>45</v>
      </c>
      <c r="W2544" s="7" t="s">
        <v>130</v>
      </c>
      <c r="X2544" s="7" t="s">
        <v>5077</v>
      </c>
      <c r="Y2544" s="7" t="s">
        <v>6190</v>
      </c>
      <c r="Z2544" s="7" t="s">
        <v>1429</v>
      </c>
      <c r="AA2544" s="7"/>
      <c r="AB2544" s="7"/>
      <c r="AC2544" s="7" t="s">
        <v>4817</v>
      </c>
      <c r="AD2544" s="7" t="s">
        <v>6189</v>
      </c>
      <c r="AE2544" s="7" t="s">
        <v>5077</v>
      </c>
      <c r="AF2544" s="7" t="s">
        <v>113</v>
      </c>
      <c r="AG2544" s="7" t="s">
        <v>366</v>
      </c>
      <c r="AH2544" s="7" t="s">
        <v>4818</v>
      </c>
    </row>
    <row r="2545" spans="1:34" ht="9.75" customHeight="1" x14ac:dyDescent="0.2">
      <c r="A2545" s="7" t="s">
        <v>5597</v>
      </c>
      <c r="B2545" s="7" t="s">
        <v>4812</v>
      </c>
      <c r="C2545" s="7"/>
      <c r="D2545" s="7" t="s">
        <v>131</v>
      </c>
      <c r="E2545" s="8">
        <v>3</v>
      </c>
      <c r="F2545" s="7"/>
      <c r="G2545" s="7"/>
      <c r="H2545" s="9"/>
      <c r="I2545" s="10">
        <v>106432</v>
      </c>
      <c r="J2545" s="10">
        <v>100690</v>
      </c>
      <c r="K2545" s="10">
        <v>100690</v>
      </c>
      <c r="L2545" s="10">
        <v>123497</v>
      </c>
      <c r="M2545" s="9"/>
      <c r="N2545" s="9"/>
      <c r="O2545" s="10">
        <v>123497</v>
      </c>
      <c r="P2545" s="10"/>
      <c r="Q2545" s="10"/>
      <c r="R2545" s="10"/>
      <c r="S2545" s="7"/>
      <c r="T2545" s="7"/>
      <c r="U2545" s="7" t="s">
        <v>44</v>
      </c>
      <c r="V2545" s="7" t="s">
        <v>45</v>
      </c>
      <c r="W2545" s="7" t="s">
        <v>130</v>
      </c>
      <c r="X2545" s="7" t="s">
        <v>131</v>
      </c>
      <c r="Y2545" s="7" t="s">
        <v>6191</v>
      </c>
      <c r="Z2545" s="7" t="s">
        <v>1429</v>
      </c>
      <c r="AA2545" s="7"/>
      <c r="AB2545" s="7"/>
      <c r="AC2545" s="7" t="s">
        <v>4817</v>
      </c>
      <c r="AD2545" s="7" t="s">
        <v>6189</v>
      </c>
      <c r="AE2545" s="7" t="s">
        <v>131</v>
      </c>
      <c r="AF2545" s="7" t="s">
        <v>113</v>
      </c>
      <c r="AG2545" s="7" t="s">
        <v>366</v>
      </c>
      <c r="AH2545" s="7" t="s">
        <v>4818</v>
      </c>
    </row>
    <row r="2546" spans="1:34" ht="9.75" customHeight="1" x14ac:dyDescent="0.2">
      <c r="A2546" s="7" t="s">
        <v>5597</v>
      </c>
      <c r="B2546" s="7" t="s">
        <v>4812</v>
      </c>
      <c r="C2546" s="7"/>
      <c r="D2546" s="7" t="s">
        <v>128</v>
      </c>
      <c r="E2546" s="8">
        <v>3</v>
      </c>
      <c r="F2546" s="7"/>
      <c r="G2546" s="7"/>
      <c r="H2546" s="9"/>
      <c r="I2546" s="9"/>
      <c r="J2546" s="10">
        <v>3950</v>
      </c>
      <c r="K2546" s="10">
        <v>3950</v>
      </c>
      <c r="L2546" s="10">
        <v>7645</v>
      </c>
      <c r="M2546" s="9"/>
      <c r="N2546" s="9"/>
      <c r="O2546" s="10">
        <v>7645</v>
      </c>
      <c r="P2546" s="10"/>
      <c r="Q2546" s="10"/>
      <c r="R2546" s="10"/>
      <c r="S2546" s="7"/>
      <c r="T2546" s="7"/>
      <c r="U2546" s="7" t="s">
        <v>44</v>
      </c>
      <c r="V2546" s="7" t="s">
        <v>45</v>
      </c>
      <c r="W2546" s="7" t="s">
        <v>130</v>
      </c>
      <c r="X2546" s="7" t="s">
        <v>131</v>
      </c>
      <c r="Y2546" s="7" t="s">
        <v>6192</v>
      </c>
      <c r="Z2546" s="7" t="s">
        <v>1429</v>
      </c>
      <c r="AA2546" s="7"/>
      <c r="AB2546" s="7"/>
      <c r="AC2546" s="7" t="s">
        <v>4817</v>
      </c>
      <c r="AD2546" s="7" t="s">
        <v>6189</v>
      </c>
      <c r="AE2546" s="7" t="s">
        <v>128</v>
      </c>
      <c r="AF2546" s="7" t="s">
        <v>113</v>
      </c>
      <c r="AG2546" s="7" t="s">
        <v>366</v>
      </c>
      <c r="AH2546" s="7" t="s">
        <v>4818</v>
      </c>
    </row>
    <row r="2547" spans="1:34" ht="9.75" customHeight="1" x14ac:dyDescent="0.2">
      <c r="A2547" s="7" t="s">
        <v>5597</v>
      </c>
      <c r="B2547" s="7" t="s">
        <v>4812</v>
      </c>
      <c r="C2547" s="7"/>
      <c r="D2547" s="7" t="s">
        <v>333</v>
      </c>
      <c r="E2547" s="8">
        <v>3</v>
      </c>
      <c r="F2547" s="7"/>
      <c r="G2547" s="7"/>
      <c r="H2547" s="9"/>
      <c r="I2547" s="10">
        <v>9219</v>
      </c>
      <c r="J2547" s="10">
        <v>7720</v>
      </c>
      <c r="K2547" s="10">
        <v>7720</v>
      </c>
      <c r="L2547" s="10">
        <v>7952</v>
      </c>
      <c r="M2547" s="9"/>
      <c r="N2547" s="9"/>
      <c r="O2547" s="10">
        <v>7952</v>
      </c>
      <c r="P2547" s="10"/>
      <c r="Q2547" s="10"/>
      <c r="R2547" s="10"/>
      <c r="S2547" s="7"/>
      <c r="T2547" s="7"/>
      <c r="U2547" s="7" t="s">
        <v>44</v>
      </c>
      <c r="V2547" s="7" t="s">
        <v>281</v>
      </c>
      <c r="W2547" s="7" t="s">
        <v>282</v>
      </c>
      <c r="X2547" s="7" t="s">
        <v>333</v>
      </c>
      <c r="Y2547" s="7" t="s">
        <v>6193</v>
      </c>
      <c r="Z2547" s="7" t="s">
        <v>1429</v>
      </c>
      <c r="AA2547" s="7"/>
      <c r="AB2547" s="7"/>
      <c r="AC2547" s="7" t="s">
        <v>4817</v>
      </c>
      <c r="AD2547" s="7" t="s">
        <v>6189</v>
      </c>
      <c r="AE2547" s="7" t="s">
        <v>333</v>
      </c>
      <c r="AF2547" s="7" t="s">
        <v>113</v>
      </c>
      <c r="AG2547" s="7" t="s">
        <v>366</v>
      </c>
      <c r="AH2547" s="7" t="s">
        <v>4818</v>
      </c>
    </row>
    <row r="2548" spans="1:34" ht="9.75" customHeight="1" x14ac:dyDescent="0.2">
      <c r="A2548" s="7" t="s">
        <v>5597</v>
      </c>
      <c r="B2548" s="7" t="s">
        <v>4812</v>
      </c>
      <c r="C2548" s="7"/>
      <c r="D2548" s="7" t="s">
        <v>156</v>
      </c>
      <c r="E2548" s="8">
        <v>3</v>
      </c>
      <c r="F2548" s="7"/>
      <c r="G2548" s="7"/>
      <c r="H2548" s="9"/>
      <c r="I2548" s="10">
        <v>60812</v>
      </c>
      <c r="J2548" s="10">
        <v>69375</v>
      </c>
      <c r="K2548" s="10">
        <v>69375</v>
      </c>
      <c r="L2548" s="10">
        <v>69759</v>
      </c>
      <c r="M2548" s="9"/>
      <c r="N2548" s="9"/>
      <c r="O2548" s="10">
        <v>69759</v>
      </c>
      <c r="P2548" s="10"/>
      <c r="Q2548" s="10"/>
      <c r="R2548" s="10"/>
      <c r="S2548" s="7"/>
      <c r="T2548" s="7"/>
      <c r="U2548" s="7" t="s">
        <v>44</v>
      </c>
      <c r="V2548" s="7" t="s">
        <v>45</v>
      </c>
      <c r="W2548" s="7" t="s">
        <v>130</v>
      </c>
      <c r="X2548" s="7" t="s">
        <v>156</v>
      </c>
      <c r="Y2548" s="7" t="s">
        <v>6194</v>
      </c>
      <c r="Z2548" s="7" t="s">
        <v>1440</v>
      </c>
      <c r="AA2548" s="7"/>
      <c r="AB2548" s="7"/>
      <c r="AC2548" s="7" t="s">
        <v>4817</v>
      </c>
      <c r="AD2548" s="7" t="s">
        <v>6195</v>
      </c>
      <c r="AE2548" s="7" t="s">
        <v>156</v>
      </c>
      <c r="AF2548" s="7" t="s">
        <v>6196</v>
      </c>
      <c r="AG2548" s="7" t="s">
        <v>6197</v>
      </c>
      <c r="AH2548" s="7" t="s">
        <v>4818</v>
      </c>
    </row>
    <row r="2549" spans="1:34" ht="9.75" customHeight="1" x14ac:dyDescent="0.2">
      <c r="A2549" s="7" t="s">
        <v>5597</v>
      </c>
      <c r="B2549" s="7" t="s">
        <v>4812</v>
      </c>
      <c r="C2549" s="7"/>
      <c r="D2549" s="7" t="s">
        <v>6198</v>
      </c>
      <c r="E2549" s="8">
        <v>3</v>
      </c>
      <c r="F2549" s="7"/>
      <c r="G2549" s="7"/>
      <c r="H2549" s="9"/>
      <c r="I2549" s="10">
        <v>370</v>
      </c>
      <c r="J2549" s="10">
        <v>1620</v>
      </c>
      <c r="K2549" s="10">
        <v>1620</v>
      </c>
      <c r="L2549" s="10">
        <v>1068</v>
      </c>
      <c r="M2549" s="9"/>
      <c r="N2549" s="9"/>
      <c r="O2549" s="10">
        <v>1068</v>
      </c>
      <c r="P2549" s="10"/>
      <c r="Q2549" s="10"/>
      <c r="R2549" s="10"/>
      <c r="S2549" s="7"/>
      <c r="T2549" s="7"/>
      <c r="U2549" s="7" t="s">
        <v>44</v>
      </c>
      <c r="V2549" s="7" t="s">
        <v>45</v>
      </c>
      <c r="W2549" s="7" t="s">
        <v>4779</v>
      </c>
      <c r="X2549" s="7" t="s">
        <v>4780</v>
      </c>
      <c r="Y2549" s="7" t="s">
        <v>6199</v>
      </c>
      <c r="Z2549" s="7" t="s">
        <v>1440</v>
      </c>
      <c r="AA2549" s="7"/>
      <c r="AB2549" s="7"/>
      <c r="AC2549" s="7" t="s">
        <v>4817</v>
      </c>
      <c r="AD2549" s="7" t="s">
        <v>6189</v>
      </c>
      <c r="AE2549" s="7" t="s">
        <v>6198</v>
      </c>
      <c r="AF2549" s="7" t="s">
        <v>113</v>
      </c>
      <c r="AG2549" s="7" t="s">
        <v>366</v>
      </c>
      <c r="AH2549" s="7" t="s">
        <v>4818</v>
      </c>
    </row>
    <row r="2550" spans="1:34" ht="9.75" customHeight="1" x14ac:dyDescent="0.2">
      <c r="A2550" s="7" t="s">
        <v>5597</v>
      </c>
      <c r="B2550" s="7" t="s">
        <v>4812</v>
      </c>
      <c r="C2550" s="7"/>
      <c r="D2550" s="7" t="s">
        <v>6200</v>
      </c>
      <c r="E2550" s="8">
        <v>3</v>
      </c>
      <c r="F2550" s="7"/>
      <c r="G2550" s="7"/>
      <c r="H2550" s="9"/>
      <c r="I2550" s="10">
        <v>89976</v>
      </c>
      <c r="J2550" s="10">
        <v>155923</v>
      </c>
      <c r="K2550" s="10">
        <v>155923</v>
      </c>
      <c r="L2550" s="10">
        <v>127665</v>
      </c>
      <c r="M2550" s="9"/>
      <c r="N2550" s="9"/>
      <c r="O2550" s="10">
        <v>127665</v>
      </c>
      <c r="P2550" s="10"/>
      <c r="Q2550" s="10"/>
      <c r="R2550" s="10"/>
      <c r="S2550" s="7"/>
      <c r="T2550" s="7"/>
      <c r="U2550" s="7"/>
      <c r="V2550" s="7"/>
      <c r="W2550" s="7"/>
      <c r="X2550" s="7"/>
      <c r="Y2550" s="7" t="s">
        <v>6201</v>
      </c>
      <c r="Z2550" s="7" t="s">
        <v>1440</v>
      </c>
      <c r="AA2550" s="7"/>
      <c r="AB2550" s="7"/>
      <c r="AC2550" s="7" t="s">
        <v>4817</v>
      </c>
      <c r="AD2550" s="7" t="s">
        <v>6189</v>
      </c>
      <c r="AE2550" s="7" t="s">
        <v>2627</v>
      </c>
      <c r="AF2550" s="7" t="s">
        <v>113</v>
      </c>
      <c r="AG2550" s="7" t="s">
        <v>366</v>
      </c>
      <c r="AH2550" s="7" t="s">
        <v>4818</v>
      </c>
    </row>
    <row r="2551" spans="1:34" ht="9.75" customHeight="1" x14ac:dyDescent="0.2">
      <c r="A2551" s="7" t="s">
        <v>5597</v>
      </c>
      <c r="B2551" s="7" t="s">
        <v>4812</v>
      </c>
      <c r="C2551" s="7"/>
      <c r="D2551" s="7" t="s">
        <v>6202</v>
      </c>
      <c r="E2551" s="8">
        <v>2</v>
      </c>
      <c r="F2551" s="7"/>
      <c r="G2551" s="7"/>
      <c r="H2551" s="9"/>
      <c r="I2551" s="10">
        <v>27696</v>
      </c>
      <c r="J2551" s="10">
        <v>3724</v>
      </c>
      <c r="K2551" s="10">
        <v>3830</v>
      </c>
      <c r="L2551" s="10">
        <v>4275</v>
      </c>
      <c r="M2551" s="9"/>
      <c r="N2551" s="9"/>
      <c r="O2551" s="10">
        <v>4244</v>
      </c>
      <c r="P2551" s="10"/>
      <c r="Q2551" s="10"/>
      <c r="R2551" s="10"/>
      <c r="S2551" s="7"/>
      <c r="T2551" s="7"/>
      <c r="U2551" s="7"/>
      <c r="V2551" s="7"/>
      <c r="W2551" s="7"/>
      <c r="X2551" s="7"/>
      <c r="Y2551" s="7" t="s">
        <v>6203</v>
      </c>
      <c r="Z2551" s="7" t="s">
        <v>1440</v>
      </c>
      <c r="AA2551" s="7"/>
      <c r="AB2551" s="7"/>
      <c r="AC2551" s="7" t="s">
        <v>4817</v>
      </c>
      <c r="AD2551" s="7" t="s">
        <v>6204</v>
      </c>
      <c r="AE2551" s="7" t="s">
        <v>6202</v>
      </c>
      <c r="AF2551" s="7" t="s">
        <v>113</v>
      </c>
      <c r="AG2551" s="7" t="s">
        <v>366</v>
      </c>
      <c r="AH2551" s="7" t="s">
        <v>4818</v>
      </c>
    </row>
    <row r="2552" spans="1:34" ht="9.75" customHeight="1" x14ac:dyDescent="0.2">
      <c r="A2552" s="7" t="s">
        <v>5597</v>
      </c>
      <c r="B2552" s="7" t="s">
        <v>4812</v>
      </c>
      <c r="C2552" s="7"/>
      <c r="D2552" s="7" t="s">
        <v>6205</v>
      </c>
      <c r="E2552" s="8">
        <v>2</v>
      </c>
      <c r="F2552" s="7"/>
      <c r="G2552" s="7"/>
      <c r="H2552" s="9"/>
      <c r="I2552" s="10">
        <v>1904</v>
      </c>
      <c r="J2552" s="10">
        <v>4231</v>
      </c>
      <c r="K2552" s="10">
        <v>4592</v>
      </c>
      <c r="L2552" s="10">
        <v>4015</v>
      </c>
      <c r="M2552" s="9"/>
      <c r="N2552" s="9"/>
      <c r="O2552" s="10">
        <v>4447</v>
      </c>
      <c r="P2552" s="10"/>
      <c r="Q2552" s="10"/>
      <c r="R2552" s="10"/>
      <c r="S2552" s="7"/>
      <c r="T2552" s="7"/>
      <c r="U2552" s="7"/>
      <c r="V2552" s="7"/>
      <c r="W2552" s="7"/>
      <c r="X2552" s="7"/>
      <c r="Y2552" s="7" t="s">
        <v>6206</v>
      </c>
      <c r="Z2552" s="7" t="s">
        <v>1440</v>
      </c>
      <c r="AA2552" s="7"/>
      <c r="AB2552" s="7"/>
      <c r="AC2552" s="7" t="s">
        <v>4817</v>
      </c>
      <c r="AD2552" s="7" t="s">
        <v>6204</v>
      </c>
      <c r="AE2552" s="7" t="s">
        <v>6205</v>
      </c>
      <c r="AF2552" s="7" t="s">
        <v>113</v>
      </c>
      <c r="AG2552" s="7" t="s">
        <v>366</v>
      </c>
      <c r="AH2552" s="7" t="s">
        <v>4818</v>
      </c>
    </row>
    <row r="2553" spans="1:34" ht="9.75" customHeight="1" x14ac:dyDescent="0.2">
      <c r="A2553" s="7" t="s">
        <v>5597</v>
      </c>
      <c r="B2553" s="7" t="s">
        <v>4812</v>
      </c>
      <c r="C2553" s="7"/>
      <c r="D2553" s="7" t="s">
        <v>6207</v>
      </c>
      <c r="E2553" s="8">
        <v>2</v>
      </c>
      <c r="F2553" s="7"/>
      <c r="G2553" s="7"/>
      <c r="H2553" s="9"/>
      <c r="I2553" s="10">
        <v>11377</v>
      </c>
      <c r="J2553" s="10">
        <v>14291</v>
      </c>
      <c r="K2553" s="10">
        <v>15325</v>
      </c>
      <c r="L2553" s="10">
        <v>15511</v>
      </c>
      <c r="M2553" s="9"/>
      <c r="N2553" s="9"/>
      <c r="O2553" s="10">
        <v>15683</v>
      </c>
      <c r="P2553" s="10"/>
      <c r="Q2553" s="10"/>
      <c r="R2553" s="10"/>
      <c r="S2553" s="7"/>
      <c r="T2553" s="7"/>
      <c r="U2553" s="7" t="s">
        <v>44</v>
      </c>
      <c r="V2553" s="7" t="s">
        <v>45</v>
      </c>
      <c r="W2553" s="7" t="s">
        <v>4977</v>
      </c>
      <c r="X2553" s="7" t="s">
        <v>4978</v>
      </c>
      <c r="Y2553" s="7" t="s">
        <v>6208</v>
      </c>
      <c r="Z2553" s="7" t="s">
        <v>1440</v>
      </c>
      <c r="AA2553" s="7"/>
      <c r="AB2553" s="7"/>
      <c r="AC2553" s="7" t="s">
        <v>4817</v>
      </c>
      <c r="AD2553" s="7" t="s">
        <v>6204</v>
      </c>
      <c r="AE2553" s="7" t="s">
        <v>6207</v>
      </c>
      <c r="AF2553" s="7" t="s">
        <v>113</v>
      </c>
      <c r="AG2553" s="7" t="s">
        <v>366</v>
      </c>
      <c r="AH2553" s="7" t="s">
        <v>4818</v>
      </c>
    </row>
    <row r="2554" spans="1:34" ht="9.75" customHeight="1" x14ac:dyDescent="0.2">
      <c r="A2554" s="7" t="s">
        <v>5597</v>
      </c>
      <c r="B2554" s="7" t="s">
        <v>4812</v>
      </c>
      <c r="C2554" s="7"/>
      <c r="D2554" s="7" t="s">
        <v>6187</v>
      </c>
      <c r="E2554" s="8">
        <v>2</v>
      </c>
      <c r="F2554" s="7"/>
      <c r="G2554" s="7"/>
      <c r="H2554" s="9"/>
      <c r="I2554" s="10">
        <v>199393</v>
      </c>
      <c r="J2554" s="10">
        <v>196703</v>
      </c>
      <c r="K2554" s="10">
        <v>201922</v>
      </c>
      <c r="L2554" s="10">
        <v>112718</v>
      </c>
      <c r="M2554" s="9"/>
      <c r="N2554" s="9"/>
      <c r="O2554" s="10">
        <v>150945</v>
      </c>
      <c r="P2554" s="10"/>
      <c r="Q2554" s="10"/>
      <c r="R2554" s="10"/>
      <c r="S2554" s="7"/>
      <c r="T2554" s="7"/>
      <c r="U2554" s="7" t="s">
        <v>44</v>
      </c>
      <c r="V2554" s="7" t="s">
        <v>45</v>
      </c>
      <c r="W2554" s="7" t="s">
        <v>171</v>
      </c>
      <c r="X2554" s="7" t="s">
        <v>5027</v>
      </c>
      <c r="Y2554" s="7" t="s">
        <v>6209</v>
      </c>
      <c r="Z2554" s="7" t="s">
        <v>1440</v>
      </c>
      <c r="AA2554" s="7"/>
      <c r="AB2554" s="7"/>
      <c r="AC2554" s="7" t="s">
        <v>4817</v>
      </c>
      <c r="AD2554" s="7" t="s">
        <v>6204</v>
      </c>
      <c r="AE2554" s="7" t="s">
        <v>6187</v>
      </c>
      <c r="AF2554" s="7" t="s">
        <v>113</v>
      </c>
      <c r="AG2554" s="7" t="s">
        <v>366</v>
      </c>
      <c r="AH2554" s="7" t="s">
        <v>4818</v>
      </c>
    </row>
    <row r="2555" spans="1:34" ht="9.75" customHeight="1" x14ac:dyDescent="0.2">
      <c r="A2555" s="7" t="s">
        <v>5597</v>
      </c>
      <c r="B2555" s="7" t="s">
        <v>4812</v>
      </c>
      <c r="C2555" s="7"/>
      <c r="D2555" s="7" t="s">
        <v>6210</v>
      </c>
      <c r="E2555" s="8">
        <v>2</v>
      </c>
      <c r="F2555" s="7"/>
      <c r="G2555" s="7"/>
      <c r="H2555" s="9"/>
      <c r="I2555" s="10">
        <v>897</v>
      </c>
      <c r="J2555" s="10">
        <v>5572</v>
      </c>
      <c r="K2555" s="10">
        <v>5628</v>
      </c>
      <c r="L2555" s="10">
        <v>2498</v>
      </c>
      <c r="M2555" s="9"/>
      <c r="N2555" s="9"/>
      <c r="O2555" s="10">
        <v>2580</v>
      </c>
      <c r="P2555" s="10"/>
      <c r="Q2555" s="10"/>
      <c r="R2555" s="10"/>
      <c r="S2555" s="7"/>
      <c r="T2555" s="7"/>
      <c r="U2555" s="7"/>
      <c r="V2555" s="7"/>
      <c r="W2555" s="7"/>
      <c r="X2555" s="7"/>
      <c r="Y2555" s="7" t="s">
        <v>6211</v>
      </c>
      <c r="Z2555" s="7" t="s">
        <v>1440</v>
      </c>
      <c r="AA2555" s="7"/>
      <c r="AB2555" s="7"/>
      <c r="AC2555" s="7" t="s">
        <v>4817</v>
      </c>
      <c r="AD2555" s="7" t="s">
        <v>6204</v>
      </c>
      <c r="AE2555" s="7" t="s">
        <v>6210</v>
      </c>
      <c r="AF2555" s="7" t="s">
        <v>113</v>
      </c>
      <c r="AG2555" s="7" t="s">
        <v>366</v>
      </c>
      <c r="AH2555" s="7" t="s">
        <v>4818</v>
      </c>
    </row>
    <row r="2556" spans="1:34" ht="9.75" customHeight="1" x14ac:dyDescent="0.2">
      <c r="A2556" s="7" t="s">
        <v>5597</v>
      </c>
      <c r="B2556" s="7" t="s">
        <v>4812</v>
      </c>
      <c r="C2556" s="7"/>
      <c r="D2556" s="7" t="s">
        <v>6212</v>
      </c>
      <c r="E2556" s="8">
        <v>2</v>
      </c>
      <c r="F2556" s="7"/>
      <c r="G2556" s="7"/>
      <c r="H2556" s="9"/>
      <c r="I2556" s="10">
        <v>712</v>
      </c>
      <c r="J2556" s="10">
        <v>1428</v>
      </c>
      <c r="K2556" s="10">
        <v>1435</v>
      </c>
      <c r="L2556" s="10">
        <v>1477</v>
      </c>
      <c r="M2556" s="9"/>
      <c r="N2556" s="9"/>
      <c r="O2556" s="10">
        <v>1488</v>
      </c>
      <c r="P2556" s="10"/>
      <c r="Q2556" s="10"/>
      <c r="R2556" s="10"/>
      <c r="S2556" s="7"/>
      <c r="T2556" s="7"/>
      <c r="U2556" s="7"/>
      <c r="V2556" s="7"/>
      <c r="W2556" s="7"/>
      <c r="X2556" s="7"/>
      <c r="Y2556" s="7" t="s">
        <v>6213</v>
      </c>
      <c r="Z2556" s="7" t="s">
        <v>1440</v>
      </c>
      <c r="AA2556" s="7"/>
      <c r="AB2556" s="7"/>
      <c r="AC2556" s="7" t="s">
        <v>4817</v>
      </c>
      <c r="AD2556" s="7" t="s">
        <v>6204</v>
      </c>
      <c r="AE2556" s="7" t="s">
        <v>6212</v>
      </c>
      <c r="AF2556" s="7" t="s">
        <v>113</v>
      </c>
      <c r="AG2556" s="7" t="s">
        <v>366</v>
      </c>
      <c r="AH2556" s="7" t="s">
        <v>4818</v>
      </c>
    </row>
    <row r="2557" spans="1:34" ht="9.75" customHeight="1" x14ac:dyDescent="0.2">
      <c r="A2557" s="7" t="s">
        <v>5597</v>
      </c>
      <c r="B2557" s="7" t="s">
        <v>4812</v>
      </c>
      <c r="C2557" s="7"/>
      <c r="D2557" s="7" t="s">
        <v>5077</v>
      </c>
      <c r="E2557" s="8">
        <v>2</v>
      </c>
      <c r="F2557" s="7"/>
      <c r="G2557" s="7"/>
      <c r="H2557" s="9"/>
      <c r="I2557" s="10">
        <v>69927</v>
      </c>
      <c r="J2557" s="10">
        <v>83031</v>
      </c>
      <c r="K2557" s="10">
        <v>86340</v>
      </c>
      <c r="L2557" s="10">
        <v>75209</v>
      </c>
      <c r="M2557" s="9"/>
      <c r="N2557" s="9"/>
      <c r="O2557" s="10">
        <v>77398</v>
      </c>
      <c r="P2557" s="10"/>
      <c r="Q2557" s="10"/>
      <c r="R2557" s="10"/>
      <c r="S2557" s="7"/>
      <c r="T2557" s="7"/>
      <c r="U2557" s="7" t="s">
        <v>44</v>
      </c>
      <c r="V2557" s="7" t="s">
        <v>45</v>
      </c>
      <c r="W2557" s="7" t="s">
        <v>130</v>
      </c>
      <c r="X2557" s="7" t="s">
        <v>5077</v>
      </c>
      <c r="Y2557" s="7" t="s">
        <v>6214</v>
      </c>
      <c r="Z2557" s="7" t="s">
        <v>1440</v>
      </c>
      <c r="AA2557" s="7"/>
      <c r="AB2557" s="7"/>
      <c r="AC2557" s="7" t="s">
        <v>4817</v>
      </c>
      <c r="AD2557" s="7" t="s">
        <v>6204</v>
      </c>
      <c r="AE2557" s="7" t="s">
        <v>5077</v>
      </c>
      <c r="AF2557" s="7" t="s">
        <v>113</v>
      </c>
      <c r="AG2557" s="7" t="s">
        <v>366</v>
      </c>
      <c r="AH2557" s="7" t="s">
        <v>4818</v>
      </c>
    </row>
    <row r="2558" spans="1:34" ht="9.75" customHeight="1" x14ac:dyDescent="0.2">
      <c r="A2558" s="7" t="s">
        <v>5597</v>
      </c>
      <c r="B2558" s="7" t="s">
        <v>4812</v>
      </c>
      <c r="C2558" s="7"/>
      <c r="D2558" s="7" t="s">
        <v>6215</v>
      </c>
      <c r="E2558" s="8">
        <v>2</v>
      </c>
      <c r="F2558" s="7"/>
      <c r="G2558" s="7"/>
      <c r="H2558" s="9"/>
      <c r="I2558" s="10">
        <v>1527</v>
      </c>
      <c r="J2558" s="10">
        <v>10512</v>
      </c>
      <c r="K2558" s="10">
        <v>10512</v>
      </c>
      <c r="L2558" s="10">
        <v>10193</v>
      </c>
      <c r="M2558" s="9"/>
      <c r="N2558" s="9"/>
      <c r="O2558" s="10">
        <v>10269</v>
      </c>
      <c r="P2558" s="10"/>
      <c r="Q2558" s="10"/>
      <c r="R2558" s="10"/>
      <c r="S2558" s="7"/>
      <c r="T2558" s="7"/>
      <c r="U2558" s="7"/>
      <c r="V2558" s="7"/>
      <c r="W2558" s="7"/>
      <c r="X2558" s="7"/>
      <c r="Y2558" s="7" t="s">
        <v>6216</v>
      </c>
      <c r="Z2558" s="7" t="s">
        <v>1440</v>
      </c>
      <c r="AA2558" s="7"/>
      <c r="AB2558" s="7"/>
      <c r="AC2558" s="7" t="s">
        <v>4817</v>
      </c>
      <c r="AD2558" s="7" t="s">
        <v>6204</v>
      </c>
      <c r="AE2558" s="7" t="s">
        <v>6217</v>
      </c>
      <c r="AF2558" s="7" t="s">
        <v>113</v>
      </c>
      <c r="AG2558" s="7" t="s">
        <v>366</v>
      </c>
      <c r="AH2558" s="7" t="s">
        <v>4818</v>
      </c>
    </row>
    <row r="2559" spans="1:34" ht="9.75" customHeight="1" x14ac:dyDescent="0.2">
      <c r="A2559" s="7" t="s">
        <v>5597</v>
      </c>
      <c r="B2559" s="7" t="s">
        <v>4812</v>
      </c>
      <c r="C2559" s="7"/>
      <c r="D2559" s="7" t="s">
        <v>6218</v>
      </c>
      <c r="E2559" s="8">
        <v>2</v>
      </c>
      <c r="F2559" s="7"/>
      <c r="G2559" s="7"/>
      <c r="H2559" s="9"/>
      <c r="I2559" s="10">
        <v>193274</v>
      </c>
      <c r="J2559" s="10">
        <v>97736</v>
      </c>
      <c r="K2559" s="10">
        <v>102481</v>
      </c>
      <c r="L2559" s="10">
        <v>364463</v>
      </c>
      <c r="M2559" s="9"/>
      <c r="N2559" s="9"/>
      <c r="O2559" s="10">
        <v>184318</v>
      </c>
      <c r="P2559" s="10"/>
      <c r="Q2559" s="10"/>
      <c r="R2559" s="10"/>
      <c r="S2559" s="7"/>
      <c r="T2559" s="7"/>
      <c r="U2559" s="7" t="s">
        <v>44</v>
      </c>
      <c r="V2559" s="7" t="s">
        <v>45</v>
      </c>
      <c r="W2559" s="7" t="s">
        <v>67</v>
      </c>
      <c r="X2559" s="7" t="s">
        <v>68</v>
      </c>
      <c r="Y2559" s="7" t="s">
        <v>6219</v>
      </c>
      <c r="Z2559" s="7" t="s">
        <v>1440</v>
      </c>
      <c r="AA2559" s="7"/>
      <c r="AB2559" s="7"/>
      <c r="AC2559" s="7" t="s">
        <v>4817</v>
      </c>
      <c r="AD2559" s="7" t="s">
        <v>6204</v>
      </c>
      <c r="AE2559" s="7" t="s">
        <v>6218</v>
      </c>
      <c r="AF2559" s="7" t="s">
        <v>113</v>
      </c>
      <c r="AG2559" s="7" t="s">
        <v>366</v>
      </c>
      <c r="AH2559" s="7" t="s">
        <v>4818</v>
      </c>
    </row>
    <row r="2560" spans="1:34" ht="9.75" customHeight="1" x14ac:dyDescent="0.2">
      <c r="A2560" s="7" t="s">
        <v>5597</v>
      </c>
      <c r="B2560" s="7" t="s">
        <v>4812</v>
      </c>
      <c r="C2560" s="7"/>
      <c r="D2560" s="7" t="s">
        <v>131</v>
      </c>
      <c r="E2560" s="8">
        <v>2</v>
      </c>
      <c r="F2560" s="7"/>
      <c r="G2560" s="7"/>
      <c r="H2560" s="9"/>
      <c r="I2560" s="10">
        <v>429962</v>
      </c>
      <c r="J2560" s="10">
        <v>353844</v>
      </c>
      <c r="K2560" s="10">
        <v>405744</v>
      </c>
      <c r="L2560" s="10">
        <v>426684</v>
      </c>
      <c r="M2560" s="9"/>
      <c r="N2560" s="9"/>
      <c r="O2560" s="10">
        <v>454399</v>
      </c>
      <c r="P2560" s="10"/>
      <c r="Q2560" s="10"/>
      <c r="R2560" s="10"/>
      <c r="S2560" s="7"/>
      <c r="T2560" s="7"/>
      <c r="U2560" s="7" t="s">
        <v>44</v>
      </c>
      <c r="V2560" s="7" t="s">
        <v>45</v>
      </c>
      <c r="W2560" s="7" t="s">
        <v>130</v>
      </c>
      <c r="X2560" s="7" t="s">
        <v>131</v>
      </c>
      <c r="Y2560" s="7" t="s">
        <v>6220</v>
      </c>
      <c r="Z2560" s="7" t="s">
        <v>1440</v>
      </c>
      <c r="AA2560" s="7"/>
      <c r="AB2560" s="7"/>
      <c r="AC2560" s="7" t="s">
        <v>4817</v>
      </c>
      <c r="AD2560" s="7" t="s">
        <v>6221</v>
      </c>
      <c r="AE2560" s="7" t="s">
        <v>131</v>
      </c>
      <c r="AF2560" s="7" t="s">
        <v>113</v>
      </c>
      <c r="AG2560" s="7" t="s">
        <v>366</v>
      </c>
      <c r="AH2560" s="7" t="s">
        <v>4818</v>
      </c>
    </row>
    <row r="2561" spans="1:34" ht="9.75" customHeight="1" x14ac:dyDescent="0.2">
      <c r="A2561" s="7" t="s">
        <v>5597</v>
      </c>
      <c r="B2561" s="7" t="s">
        <v>4812</v>
      </c>
      <c r="C2561" s="7"/>
      <c r="D2561" s="7" t="s">
        <v>6222</v>
      </c>
      <c r="E2561" s="8">
        <v>2</v>
      </c>
      <c r="F2561" s="7"/>
      <c r="G2561" s="7"/>
      <c r="H2561" s="9"/>
      <c r="I2561" s="9"/>
      <c r="J2561" s="9"/>
      <c r="K2561" s="9"/>
      <c r="L2561" s="10">
        <v>1662</v>
      </c>
      <c r="M2561" s="9"/>
      <c r="N2561" s="9"/>
      <c r="O2561" s="10">
        <v>1790</v>
      </c>
      <c r="P2561" s="10"/>
      <c r="Q2561" s="10"/>
      <c r="R2561" s="10"/>
      <c r="S2561" s="7"/>
      <c r="T2561" s="7"/>
      <c r="U2561" s="7" t="s">
        <v>44</v>
      </c>
      <c r="V2561" s="7" t="s">
        <v>45</v>
      </c>
      <c r="W2561" s="7" t="s">
        <v>130</v>
      </c>
      <c r="X2561" s="7" t="s">
        <v>131</v>
      </c>
      <c r="Y2561" s="7" t="s">
        <v>6223</v>
      </c>
      <c r="Z2561" s="7" t="s">
        <v>1440</v>
      </c>
      <c r="AA2561" s="7"/>
      <c r="AB2561" s="7"/>
      <c r="AC2561" s="7" t="s">
        <v>4817</v>
      </c>
      <c r="AD2561" s="7" t="s">
        <v>6204</v>
      </c>
      <c r="AE2561" s="7" t="s">
        <v>6222</v>
      </c>
      <c r="AF2561" s="7" t="s">
        <v>113</v>
      </c>
      <c r="AG2561" s="7" t="s">
        <v>366</v>
      </c>
      <c r="AH2561" s="7" t="s">
        <v>4818</v>
      </c>
    </row>
    <row r="2562" spans="1:34" ht="9.75" customHeight="1" x14ac:dyDescent="0.2">
      <c r="A2562" s="7" t="s">
        <v>5597</v>
      </c>
      <c r="B2562" s="7" t="s">
        <v>4812</v>
      </c>
      <c r="C2562" s="7"/>
      <c r="D2562" s="7" t="s">
        <v>6224</v>
      </c>
      <c r="E2562" s="8">
        <v>2</v>
      </c>
      <c r="F2562" s="7"/>
      <c r="G2562" s="7"/>
      <c r="H2562" s="9"/>
      <c r="I2562" s="10">
        <v>643</v>
      </c>
      <c r="J2562" s="9"/>
      <c r="K2562" s="9"/>
      <c r="L2562" s="9"/>
      <c r="M2562" s="9"/>
      <c r="N2562" s="9"/>
      <c r="O2562" s="9"/>
      <c r="P2562" s="9"/>
      <c r="Q2562" s="9"/>
      <c r="R2562" s="9"/>
      <c r="S2562" s="7"/>
      <c r="T2562" s="7"/>
      <c r="U2562" s="7" t="s">
        <v>44</v>
      </c>
      <c r="V2562" s="7" t="s">
        <v>45</v>
      </c>
      <c r="W2562" s="7" t="s">
        <v>130</v>
      </c>
      <c r="X2562" s="7" t="s">
        <v>131</v>
      </c>
      <c r="Y2562" s="7" t="s">
        <v>6225</v>
      </c>
      <c r="Z2562" s="7" t="s">
        <v>1440</v>
      </c>
      <c r="AA2562" s="7"/>
      <c r="AB2562" s="7"/>
      <c r="AC2562" s="7" t="s">
        <v>4817</v>
      </c>
      <c r="AD2562" s="7" t="s">
        <v>6204</v>
      </c>
      <c r="AE2562" s="7" t="s">
        <v>6224</v>
      </c>
      <c r="AF2562" s="7" t="s">
        <v>113</v>
      </c>
      <c r="AG2562" s="7" t="s">
        <v>366</v>
      </c>
      <c r="AH2562" s="7" t="s">
        <v>4818</v>
      </c>
    </row>
    <row r="2563" spans="1:34" ht="9.75" customHeight="1" x14ac:dyDescent="0.2">
      <c r="A2563" s="7" t="s">
        <v>5597</v>
      </c>
      <c r="B2563" s="7" t="s">
        <v>4812</v>
      </c>
      <c r="C2563" s="7"/>
      <c r="D2563" s="7" t="s">
        <v>6226</v>
      </c>
      <c r="E2563" s="8">
        <v>2</v>
      </c>
      <c r="F2563" s="7"/>
      <c r="G2563" s="7"/>
      <c r="H2563" s="9"/>
      <c r="I2563" s="10">
        <v>1224</v>
      </c>
      <c r="J2563" s="10">
        <v>1454</v>
      </c>
      <c r="K2563" s="10">
        <v>1461</v>
      </c>
      <c r="L2563" s="10">
        <v>4007</v>
      </c>
      <c r="M2563" s="9"/>
      <c r="N2563" s="9"/>
      <c r="O2563" s="10">
        <v>4091</v>
      </c>
      <c r="P2563" s="10"/>
      <c r="Q2563" s="10"/>
      <c r="R2563" s="10"/>
      <c r="S2563" s="7"/>
      <c r="T2563" s="7"/>
      <c r="U2563" s="7" t="s">
        <v>44</v>
      </c>
      <c r="V2563" s="7" t="s">
        <v>45</v>
      </c>
      <c r="W2563" s="7" t="s">
        <v>211</v>
      </c>
      <c r="X2563" s="7" t="s">
        <v>6226</v>
      </c>
      <c r="Y2563" s="7" t="s">
        <v>6227</v>
      </c>
      <c r="Z2563" s="7" t="s">
        <v>1440</v>
      </c>
      <c r="AA2563" s="7"/>
      <c r="AB2563" s="7"/>
      <c r="AC2563" s="7" t="s">
        <v>4817</v>
      </c>
      <c r="AD2563" s="7" t="s">
        <v>6204</v>
      </c>
      <c r="AE2563" s="7" t="s">
        <v>6226</v>
      </c>
      <c r="AF2563" s="7" t="s">
        <v>113</v>
      </c>
      <c r="AG2563" s="7" t="s">
        <v>366</v>
      </c>
      <c r="AH2563" s="7" t="s">
        <v>4818</v>
      </c>
    </row>
    <row r="2564" spans="1:34" ht="9.75" customHeight="1" x14ac:dyDescent="0.2">
      <c r="A2564" s="7" t="s">
        <v>5597</v>
      </c>
      <c r="B2564" s="7" t="s">
        <v>4812</v>
      </c>
      <c r="C2564" s="7"/>
      <c r="D2564" s="7" t="s">
        <v>156</v>
      </c>
      <c r="E2564" s="8">
        <v>2</v>
      </c>
      <c r="F2564" s="7"/>
      <c r="G2564" s="7"/>
      <c r="H2564" s="9"/>
      <c r="I2564" s="10">
        <v>168387</v>
      </c>
      <c r="J2564" s="10">
        <v>233021</v>
      </c>
      <c r="K2564" s="10">
        <v>279807</v>
      </c>
      <c r="L2564" s="10">
        <v>345600</v>
      </c>
      <c r="M2564" s="9"/>
      <c r="N2564" s="9"/>
      <c r="O2564" s="10">
        <v>372513</v>
      </c>
      <c r="P2564" s="10"/>
      <c r="Q2564" s="10"/>
      <c r="R2564" s="10"/>
      <c r="S2564" s="7"/>
      <c r="T2564" s="7"/>
      <c r="U2564" s="7" t="s">
        <v>44</v>
      </c>
      <c r="V2564" s="7" t="s">
        <v>45</v>
      </c>
      <c r="W2564" s="7" t="s">
        <v>130</v>
      </c>
      <c r="X2564" s="7" t="s">
        <v>156</v>
      </c>
      <c r="Y2564" s="7" t="s">
        <v>6228</v>
      </c>
      <c r="Z2564" s="7" t="s">
        <v>1440</v>
      </c>
      <c r="AA2564" s="7"/>
      <c r="AB2564" s="7"/>
      <c r="AC2564" s="7" t="s">
        <v>4817</v>
      </c>
      <c r="AD2564" s="7" t="s">
        <v>6204</v>
      </c>
      <c r="AE2564" s="7" t="s">
        <v>156</v>
      </c>
      <c r="AF2564" s="7" t="s">
        <v>113</v>
      </c>
      <c r="AG2564" s="7" t="s">
        <v>366</v>
      </c>
      <c r="AH2564" s="7" t="s">
        <v>4818</v>
      </c>
    </row>
    <row r="2565" spans="1:34" ht="9.75" customHeight="1" x14ac:dyDescent="0.2">
      <c r="A2565" s="7" t="s">
        <v>5597</v>
      </c>
      <c r="B2565" s="7" t="s">
        <v>4812</v>
      </c>
      <c r="C2565" s="7"/>
      <c r="D2565" s="7" t="s">
        <v>283</v>
      </c>
      <c r="E2565" s="8">
        <v>2</v>
      </c>
      <c r="F2565" s="7"/>
      <c r="G2565" s="7"/>
      <c r="H2565" s="9"/>
      <c r="I2565" s="9"/>
      <c r="J2565" s="9"/>
      <c r="K2565" s="9"/>
      <c r="L2565" s="10">
        <v>1623</v>
      </c>
      <c r="M2565" s="9"/>
      <c r="N2565" s="9"/>
      <c r="O2565" s="10">
        <v>1662</v>
      </c>
      <c r="P2565" s="10"/>
      <c r="Q2565" s="10"/>
      <c r="R2565" s="10"/>
      <c r="S2565" s="7"/>
      <c r="T2565" s="7"/>
      <c r="U2565" s="7" t="s">
        <v>44</v>
      </c>
      <c r="V2565" s="7" t="s">
        <v>281</v>
      </c>
      <c r="W2565" s="7" t="s">
        <v>282</v>
      </c>
      <c r="X2565" s="7" t="s">
        <v>283</v>
      </c>
      <c r="Y2565" s="7" t="s">
        <v>6229</v>
      </c>
      <c r="Z2565" s="7" t="s">
        <v>1440</v>
      </c>
      <c r="AA2565" s="7"/>
      <c r="AB2565" s="7"/>
      <c r="AC2565" s="7" t="s">
        <v>4817</v>
      </c>
      <c r="AD2565" s="7" t="s">
        <v>6204</v>
      </c>
      <c r="AE2565" s="7" t="s">
        <v>283</v>
      </c>
      <c r="AF2565" s="7" t="s">
        <v>113</v>
      </c>
      <c r="AG2565" s="7" t="s">
        <v>366</v>
      </c>
      <c r="AH2565" s="7" t="s">
        <v>4818</v>
      </c>
    </row>
    <row r="2566" spans="1:34" ht="9.75" customHeight="1" x14ac:dyDescent="0.2">
      <c r="A2566" s="7" t="s">
        <v>5597</v>
      </c>
      <c r="B2566" s="7" t="s">
        <v>4812</v>
      </c>
      <c r="C2566" s="7"/>
      <c r="D2566" s="7" t="s">
        <v>194</v>
      </c>
      <c r="E2566" s="8">
        <v>2</v>
      </c>
      <c r="F2566" s="7"/>
      <c r="G2566" s="7"/>
      <c r="H2566" s="9"/>
      <c r="I2566" s="9"/>
      <c r="J2566" s="9"/>
      <c r="K2566" s="9"/>
      <c r="L2566" s="10">
        <v>15896</v>
      </c>
      <c r="M2566" s="9"/>
      <c r="N2566" s="9"/>
      <c r="O2566" s="10">
        <v>16315</v>
      </c>
      <c r="P2566" s="10"/>
      <c r="Q2566" s="10"/>
      <c r="R2566" s="10"/>
      <c r="S2566" s="7"/>
      <c r="T2566" s="7"/>
      <c r="U2566" s="7" t="s">
        <v>44</v>
      </c>
      <c r="V2566" s="7" t="s">
        <v>45</v>
      </c>
      <c r="W2566" s="7" t="s">
        <v>171</v>
      </c>
      <c r="X2566" s="7" t="s">
        <v>194</v>
      </c>
      <c r="Y2566" s="7" t="s">
        <v>6230</v>
      </c>
      <c r="Z2566" s="7" t="s">
        <v>1440</v>
      </c>
      <c r="AA2566" s="7"/>
      <c r="AB2566" s="7"/>
      <c r="AC2566" s="7" t="s">
        <v>4817</v>
      </c>
      <c r="AD2566" s="7" t="s">
        <v>6204</v>
      </c>
      <c r="AE2566" s="7" t="s">
        <v>194</v>
      </c>
      <c r="AF2566" s="7" t="s">
        <v>113</v>
      </c>
      <c r="AG2566" s="7" t="s">
        <v>366</v>
      </c>
      <c r="AH2566" s="7" t="s">
        <v>4818</v>
      </c>
    </row>
    <row r="2567" spans="1:34" ht="9.75" customHeight="1" x14ac:dyDescent="0.2">
      <c r="A2567" s="7" t="s">
        <v>5597</v>
      </c>
      <c r="B2567" s="7" t="s">
        <v>4812</v>
      </c>
      <c r="C2567" s="7"/>
      <c r="D2567" s="7" t="s">
        <v>5027</v>
      </c>
      <c r="E2567" s="8">
        <v>2</v>
      </c>
      <c r="F2567" s="7"/>
      <c r="G2567" s="7"/>
      <c r="H2567" s="9"/>
      <c r="I2567" s="9"/>
      <c r="J2567" s="9"/>
      <c r="K2567" s="9"/>
      <c r="L2567" s="10">
        <v>16429</v>
      </c>
      <c r="M2567" s="9"/>
      <c r="N2567" s="9"/>
      <c r="O2567" s="10">
        <v>16573</v>
      </c>
      <c r="P2567" s="10"/>
      <c r="Q2567" s="10"/>
      <c r="R2567" s="10"/>
      <c r="S2567" s="7"/>
      <c r="T2567" s="7"/>
      <c r="U2567" s="7" t="s">
        <v>44</v>
      </c>
      <c r="V2567" s="7" t="s">
        <v>45</v>
      </c>
      <c r="W2567" s="7" t="s">
        <v>171</v>
      </c>
      <c r="X2567" s="7" t="s">
        <v>5027</v>
      </c>
      <c r="Y2567" s="7" t="s">
        <v>6231</v>
      </c>
      <c r="Z2567" s="7" t="s">
        <v>1440</v>
      </c>
      <c r="AA2567" s="7"/>
      <c r="AB2567" s="7"/>
      <c r="AC2567" s="7" t="s">
        <v>4817</v>
      </c>
      <c r="AD2567" s="7" t="s">
        <v>6204</v>
      </c>
      <c r="AE2567" s="7" t="s">
        <v>5027</v>
      </c>
      <c r="AF2567" s="7" t="s">
        <v>113</v>
      </c>
      <c r="AG2567" s="7" t="s">
        <v>366</v>
      </c>
      <c r="AH2567" s="7" t="s">
        <v>4818</v>
      </c>
    </row>
    <row r="2568" spans="1:34" ht="9.75" customHeight="1" x14ac:dyDescent="0.2">
      <c r="A2568" s="7" t="s">
        <v>5597</v>
      </c>
      <c r="B2568" s="7" t="s">
        <v>4812</v>
      </c>
      <c r="C2568" s="7"/>
      <c r="D2568" s="7" t="s">
        <v>172</v>
      </c>
      <c r="E2568" s="8">
        <v>2</v>
      </c>
      <c r="F2568" s="7"/>
      <c r="G2568" s="7"/>
      <c r="H2568" s="9"/>
      <c r="I2568" s="9"/>
      <c r="J2568" s="9"/>
      <c r="K2568" s="9"/>
      <c r="L2568" s="10">
        <v>44309</v>
      </c>
      <c r="M2568" s="9"/>
      <c r="N2568" s="9"/>
      <c r="O2568" s="10">
        <v>45312</v>
      </c>
      <c r="P2568" s="10"/>
      <c r="Q2568" s="10"/>
      <c r="R2568" s="10"/>
      <c r="S2568" s="7"/>
      <c r="T2568" s="7"/>
      <c r="U2568" s="7" t="s">
        <v>44</v>
      </c>
      <c r="V2568" s="7" t="s">
        <v>45</v>
      </c>
      <c r="W2568" s="7" t="s">
        <v>171</v>
      </c>
      <c r="X2568" s="7" t="s">
        <v>172</v>
      </c>
      <c r="Y2568" s="7" t="s">
        <v>6232</v>
      </c>
      <c r="Z2568" s="7" t="s">
        <v>1440</v>
      </c>
      <c r="AA2568" s="7"/>
      <c r="AB2568" s="7"/>
      <c r="AC2568" s="7" t="s">
        <v>4817</v>
      </c>
      <c r="AD2568" s="7" t="s">
        <v>6204</v>
      </c>
      <c r="AE2568" s="7" t="s">
        <v>172</v>
      </c>
      <c r="AF2568" s="7" t="s">
        <v>113</v>
      </c>
      <c r="AG2568" s="7" t="s">
        <v>366</v>
      </c>
      <c r="AH2568" s="7" t="s">
        <v>4818</v>
      </c>
    </row>
    <row r="2569" spans="1:34" ht="9.75" customHeight="1" x14ac:dyDescent="0.2">
      <c r="A2569" s="7" t="s">
        <v>5597</v>
      </c>
      <c r="B2569" s="7" t="s">
        <v>4812</v>
      </c>
      <c r="C2569" s="7"/>
      <c r="D2569" s="7" t="s">
        <v>5021</v>
      </c>
      <c r="E2569" s="8">
        <v>2</v>
      </c>
      <c r="F2569" s="7"/>
      <c r="G2569" s="7"/>
      <c r="H2569" s="9"/>
      <c r="I2569" s="9"/>
      <c r="J2569" s="9"/>
      <c r="K2569" s="9"/>
      <c r="L2569" s="10">
        <v>21075</v>
      </c>
      <c r="M2569" s="9"/>
      <c r="N2569" s="9"/>
      <c r="O2569" s="10">
        <v>21237</v>
      </c>
      <c r="P2569" s="10"/>
      <c r="Q2569" s="10"/>
      <c r="R2569" s="10"/>
      <c r="S2569" s="7"/>
      <c r="T2569" s="7"/>
      <c r="U2569" s="7" t="s">
        <v>44</v>
      </c>
      <c r="V2569" s="7" t="s">
        <v>45</v>
      </c>
      <c r="W2569" s="7" t="s">
        <v>171</v>
      </c>
      <c r="X2569" s="7" t="s">
        <v>5021</v>
      </c>
      <c r="Y2569" s="7" t="s">
        <v>6233</v>
      </c>
      <c r="Z2569" s="7" t="s">
        <v>1440</v>
      </c>
      <c r="AA2569" s="7"/>
      <c r="AB2569" s="7"/>
      <c r="AC2569" s="7" t="s">
        <v>4817</v>
      </c>
      <c r="AD2569" s="7" t="s">
        <v>6204</v>
      </c>
      <c r="AE2569" s="7" t="s">
        <v>5021</v>
      </c>
      <c r="AF2569" s="7" t="s">
        <v>113</v>
      </c>
      <c r="AG2569" s="7" t="s">
        <v>366</v>
      </c>
      <c r="AH2569" s="7" t="s">
        <v>4818</v>
      </c>
    </row>
    <row r="2570" spans="1:34" ht="9.75" customHeight="1" x14ac:dyDescent="0.2">
      <c r="A2570" s="7" t="s">
        <v>5597</v>
      </c>
      <c r="B2570" s="7" t="s">
        <v>4812</v>
      </c>
      <c r="C2570" s="7"/>
      <c r="D2570" s="7" t="s">
        <v>6234</v>
      </c>
      <c r="E2570" s="8">
        <v>2</v>
      </c>
      <c r="F2570" s="7"/>
      <c r="G2570" s="7"/>
      <c r="H2570" s="9"/>
      <c r="I2570" s="10">
        <v>26770</v>
      </c>
      <c r="J2570" s="10">
        <v>24799</v>
      </c>
      <c r="K2570" s="10">
        <v>24900</v>
      </c>
      <c r="L2570" s="10">
        <v>12468</v>
      </c>
      <c r="M2570" s="9"/>
      <c r="N2570" s="9"/>
      <c r="O2570" s="10">
        <v>12585</v>
      </c>
      <c r="P2570" s="10"/>
      <c r="Q2570" s="10"/>
      <c r="R2570" s="10"/>
      <c r="S2570" s="7"/>
      <c r="T2570" s="7"/>
      <c r="U2570" s="7" t="s">
        <v>44</v>
      </c>
      <c r="V2570" s="7" t="s">
        <v>45</v>
      </c>
      <c r="W2570" s="7" t="s">
        <v>4779</v>
      </c>
      <c r="X2570" s="7" t="s">
        <v>4780</v>
      </c>
      <c r="Y2570" s="7" t="s">
        <v>6235</v>
      </c>
      <c r="Z2570" s="7" t="s">
        <v>1440</v>
      </c>
      <c r="AA2570" s="7"/>
      <c r="AB2570" s="7"/>
      <c r="AC2570" s="7" t="s">
        <v>4817</v>
      </c>
      <c r="AD2570" s="7" t="s">
        <v>6204</v>
      </c>
      <c r="AE2570" s="7" t="s">
        <v>6234</v>
      </c>
      <c r="AF2570" s="7" t="s">
        <v>113</v>
      </c>
      <c r="AG2570" s="7" t="s">
        <v>366</v>
      </c>
      <c r="AH2570" s="7" t="s">
        <v>4818</v>
      </c>
    </row>
    <row r="2571" spans="1:34" ht="9.75" customHeight="1" x14ac:dyDescent="0.2">
      <c r="A2571" s="7" t="s">
        <v>5597</v>
      </c>
      <c r="B2571" s="7" t="s">
        <v>4812</v>
      </c>
      <c r="C2571" s="7"/>
      <c r="D2571" s="7" t="s">
        <v>6236</v>
      </c>
      <c r="E2571" s="8">
        <v>2</v>
      </c>
      <c r="F2571" s="7"/>
      <c r="G2571" s="7"/>
      <c r="H2571" s="9"/>
      <c r="I2571" s="10">
        <v>20</v>
      </c>
      <c r="J2571" s="10">
        <v>202</v>
      </c>
      <c r="K2571" s="10">
        <v>202</v>
      </c>
      <c r="L2571" s="10">
        <v>244</v>
      </c>
      <c r="M2571" s="9"/>
      <c r="N2571" s="9"/>
      <c r="O2571" s="10">
        <v>244</v>
      </c>
      <c r="P2571" s="10"/>
      <c r="Q2571" s="10"/>
      <c r="R2571" s="10"/>
      <c r="S2571" s="7"/>
      <c r="T2571" s="7"/>
      <c r="U2571" s="7"/>
      <c r="V2571" s="7"/>
      <c r="W2571" s="7"/>
      <c r="X2571" s="7"/>
      <c r="Y2571" s="7" t="s">
        <v>6237</v>
      </c>
      <c r="Z2571" s="7" t="s">
        <v>1440</v>
      </c>
      <c r="AA2571" s="7"/>
      <c r="AB2571" s="7"/>
      <c r="AC2571" s="7" t="s">
        <v>4817</v>
      </c>
      <c r="AD2571" s="7" t="s">
        <v>6204</v>
      </c>
      <c r="AE2571" s="7" t="s">
        <v>6238</v>
      </c>
      <c r="AF2571" s="7" t="s">
        <v>113</v>
      </c>
      <c r="AG2571" s="7" t="s">
        <v>366</v>
      </c>
      <c r="AH2571" s="7" t="s">
        <v>4818</v>
      </c>
    </row>
    <row r="2572" spans="1:34" ht="9.75" customHeight="1" x14ac:dyDescent="0.2">
      <c r="A2572" s="7" t="s">
        <v>5597</v>
      </c>
      <c r="B2572" s="7" t="s">
        <v>4812</v>
      </c>
      <c r="C2572" s="7"/>
      <c r="D2572" s="7" t="s">
        <v>6239</v>
      </c>
      <c r="E2572" s="8">
        <v>2</v>
      </c>
      <c r="F2572" s="7"/>
      <c r="G2572" s="7"/>
      <c r="H2572" s="9"/>
      <c r="I2572" s="10">
        <v>326</v>
      </c>
      <c r="J2572" s="10">
        <v>6</v>
      </c>
      <c r="K2572" s="10">
        <v>6</v>
      </c>
      <c r="L2572" s="10">
        <v>9</v>
      </c>
      <c r="M2572" s="9"/>
      <c r="N2572" s="9"/>
      <c r="O2572" s="10">
        <v>9</v>
      </c>
      <c r="P2572" s="10"/>
      <c r="Q2572" s="10"/>
      <c r="R2572" s="10"/>
      <c r="S2572" s="7"/>
      <c r="T2572" s="7"/>
      <c r="U2572" s="7" t="s">
        <v>44</v>
      </c>
      <c r="V2572" s="7" t="s">
        <v>281</v>
      </c>
      <c r="W2572" s="7" t="s">
        <v>6240</v>
      </c>
      <c r="X2572" s="7" t="s">
        <v>6239</v>
      </c>
      <c r="Y2572" s="7" t="s">
        <v>6241</v>
      </c>
      <c r="Z2572" s="7" t="s">
        <v>1440</v>
      </c>
      <c r="AA2572" s="7"/>
      <c r="AB2572" s="7"/>
      <c r="AC2572" s="7" t="s">
        <v>4817</v>
      </c>
      <c r="AD2572" s="7" t="s">
        <v>6242</v>
      </c>
      <c r="AE2572" s="7" t="s">
        <v>6239</v>
      </c>
      <c r="AF2572" s="7" t="s">
        <v>113</v>
      </c>
      <c r="AG2572" s="7" t="s">
        <v>366</v>
      </c>
      <c r="AH2572" s="7" t="s">
        <v>4818</v>
      </c>
    </row>
    <row r="2573" spans="1:34" ht="9.75" customHeight="1" x14ac:dyDescent="0.2">
      <c r="A2573" s="7" t="s">
        <v>5597</v>
      </c>
      <c r="B2573" s="7" t="s">
        <v>4812</v>
      </c>
      <c r="C2573" s="7"/>
      <c r="D2573" s="7" t="s">
        <v>6243</v>
      </c>
      <c r="E2573" s="8">
        <v>2</v>
      </c>
      <c r="F2573" s="7"/>
      <c r="G2573" s="7"/>
      <c r="H2573" s="9"/>
      <c r="I2573" s="10">
        <v>6878</v>
      </c>
      <c r="J2573" s="10">
        <v>10815</v>
      </c>
      <c r="K2573" s="10">
        <v>11021</v>
      </c>
      <c r="L2573" s="10">
        <v>10691</v>
      </c>
      <c r="M2573" s="9"/>
      <c r="N2573" s="9"/>
      <c r="O2573" s="10">
        <v>11075</v>
      </c>
      <c r="P2573" s="10"/>
      <c r="Q2573" s="10"/>
      <c r="R2573" s="10"/>
      <c r="S2573" s="7"/>
      <c r="T2573" s="7"/>
      <c r="U2573" s="7"/>
      <c r="V2573" s="7"/>
      <c r="W2573" s="7"/>
      <c r="X2573" s="7"/>
      <c r="Y2573" s="7" t="s">
        <v>6244</v>
      </c>
      <c r="Z2573" s="7" t="s">
        <v>1453</v>
      </c>
      <c r="AA2573" s="7"/>
      <c r="AB2573" s="7"/>
      <c r="AC2573" s="7" t="s">
        <v>4817</v>
      </c>
      <c r="AD2573" s="7" t="s">
        <v>6204</v>
      </c>
      <c r="AE2573" s="7" t="s">
        <v>6243</v>
      </c>
      <c r="AF2573" s="7" t="s">
        <v>113</v>
      </c>
      <c r="AG2573" s="7" t="s">
        <v>366</v>
      </c>
      <c r="AH2573" s="7" t="s">
        <v>4818</v>
      </c>
    </row>
    <row r="2574" spans="1:34" ht="9.75" customHeight="1" x14ac:dyDescent="0.2">
      <c r="A2574" s="7" t="s">
        <v>5597</v>
      </c>
      <c r="B2574" s="7" t="s">
        <v>4812</v>
      </c>
      <c r="C2574" s="7"/>
      <c r="D2574" s="7" t="s">
        <v>6245</v>
      </c>
      <c r="E2574" s="8">
        <v>2</v>
      </c>
      <c r="F2574" s="7"/>
      <c r="G2574" s="7"/>
      <c r="H2574" s="9"/>
      <c r="I2574" s="10">
        <v>295</v>
      </c>
      <c r="J2574" s="10">
        <v>665</v>
      </c>
      <c r="K2574" s="10">
        <v>704</v>
      </c>
      <c r="L2574" s="10">
        <v>649</v>
      </c>
      <c r="M2574" s="9"/>
      <c r="N2574" s="9"/>
      <c r="O2574" s="10">
        <v>716</v>
      </c>
      <c r="P2574" s="10"/>
      <c r="Q2574" s="10"/>
      <c r="R2574" s="10"/>
      <c r="S2574" s="7"/>
      <c r="T2574" s="7"/>
      <c r="U2574" s="7"/>
      <c r="V2574" s="7"/>
      <c r="W2574" s="7"/>
      <c r="X2574" s="7"/>
      <c r="Y2574" s="7" t="s">
        <v>6246</v>
      </c>
      <c r="Z2574" s="7" t="s">
        <v>1453</v>
      </c>
      <c r="AA2574" s="7"/>
      <c r="AB2574" s="7"/>
      <c r="AC2574" s="7" t="s">
        <v>4817</v>
      </c>
      <c r="AD2574" s="7" t="s">
        <v>6204</v>
      </c>
      <c r="AE2574" s="7" t="s">
        <v>6245</v>
      </c>
      <c r="AF2574" s="7" t="s">
        <v>113</v>
      </c>
      <c r="AG2574" s="7" t="s">
        <v>366</v>
      </c>
      <c r="AH2574" s="7" t="s">
        <v>4818</v>
      </c>
    </row>
    <row r="2575" spans="1:34" ht="9.75" customHeight="1" x14ac:dyDescent="0.2">
      <c r="A2575" s="7" t="s">
        <v>5597</v>
      </c>
      <c r="B2575" s="7" t="s">
        <v>4812</v>
      </c>
      <c r="C2575" s="7"/>
      <c r="D2575" s="7" t="s">
        <v>47</v>
      </c>
      <c r="E2575" s="8">
        <v>2</v>
      </c>
      <c r="F2575" s="7"/>
      <c r="G2575" s="7"/>
      <c r="H2575" s="9"/>
      <c r="I2575" s="10">
        <v>528266</v>
      </c>
      <c r="J2575" s="10">
        <v>541600</v>
      </c>
      <c r="K2575" s="10">
        <v>550579</v>
      </c>
      <c r="L2575" s="10">
        <v>577323</v>
      </c>
      <c r="M2575" s="9"/>
      <c r="N2575" s="9"/>
      <c r="O2575" s="10">
        <v>604609</v>
      </c>
      <c r="P2575" s="10"/>
      <c r="Q2575" s="10"/>
      <c r="R2575" s="10"/>
      <c r="S2575" s="7"/>
      <c r="T2575" s="7"/>
      <c r="U2575" s="7" t="s">
        <v>44</v>
      </c>
      <c r="V2575" s="7" t="s">
        <v>45</v>
      </c>
      <c r="W2575" s="7" t="s">
        <v>46</v>
      </c>
      <c r="X2575" s="7" t="s">
        <v>47</v>
      </c>
      <c r="Y2575" s="7" t="s">
        <v>6247</v>
      </c>
      <c r="Z2575" s="7" t="s">
        <v>1453</v>
      </c>
      <c r="AA2575" s="7"/>
      <c r="AB2575" s="7"/>
      <c r="AC2575" s="7" t="s">
        <v>4817</v>
      </c>
      <c r="AD2575" s="7" t="s">
        <v>6248</v>
      </c>
      <c r="AE2575" s="7" t="s">
        <v>47</v>
      </c>
      <c r="AF2575" s="7" t="s">
        <v>6249</v>
      </c>
      <c r="AG2575" s="7" t="s">
        <v>6250</v>
      </c>
      <c r="AH2575" s="7" t="s">
        <v>4818</v>
      </c>
    </row>
    <row r="2576" spans="1:34" ht="9.75" customHeight="1" x14ac:dyDescent="0.2">
      <c r="A2576" s="7" t="s">
        <v>5597</v>
      </c>
      <c r="B2576" s="7" t="s">
        <v>4812</v>
      </c>
      <c r="C2576" s="7"/>
      <c r="D2576" s="7" t="s">
        <v>6251</v>
      </c>
      <c r="E2576" s="8">
        <v>2</v>
      </c>
      <c r="F2576" s="7"/>
      <c r="G2576" s="7"/>
      <c r="H2576" s="9"/>
      <c r="I2576" s="9"/>
      <c r="J2576" s="9"/>
      <c r="K2576" s="9"/>
      <c r="L2576" s="10">
        <v>157370</v>
      </c>
      <c r="M2576" s="9"/>
      <c r="N2576" s="9"/>
      <c r="O2576" s="10">
        <v>162292</v>
      </c>
      <c r="P2576" s="10"/>
      <c r="Q2576" s="10"/>
      <c r="R2576" s="10"/>
      <c r="S2576" s="7"/>
      <c r="T2576" s="7"/>
      <c r="U2576" s="7" t="s">
        <v>44</v>
      </c>
      <c r="V2576" s="7" t="s">
        <v>45</v>
      </c>
      <c r="W2576" s="7" t="s">
        <v>46</v>
      </c>
      <c r="X2576" s="7" t="s">
        <v>6251</v>
      </c>
      <c r="Y2576" s="7" t="s">
        <v>6252</v>
      </c>
      <c r="Z2576" s="7" t="s">
        <v>1453</v>
      </c>
      <c r="AA2576" s="7"/>
      <c r="AB2576" s="7"/>
      <c r="AC2576" s="7" t="s">
        <v>4817</v>
      </c>
      <c r="AD2576" s="7" t="s">
        <v>6204</v>
      </c>
      <c r="AE2576" s="7" t="s">
        <v>6251</v>
      </c>
      <c r="AF2576" s="7" t="s">
        <v>113</v>
      </c>
      <c r="AG2576" s="7" t="s">
        <v>366</v>
      </c>
      <c r="AH2576" s="7" t="s">
        <v>4818</v>
      </c>
    </row>
    <row r="2577" spans="1:34" ht="9.75" customHeight="1" x14ac:dyDescent="0.2">
      <c r="A2577" s="7" t="s">
        <v>5597</v>
      </c>
      <c r="B2577" s="7" t="s">
        <v>4812</v>
      </c>
      <c r="C2577" s="7"/>
      <c r="D2577" s="7" t="s">
        <v>90</v>
      </c>
      <c r="E2577" s="8">
        <v>2</v>
      </c>
      <c r="F2577" s="7"/>
      <c r="G2577" s="7"/>
      <c r="H2577" s="9"/>
      <c r="I2577" s="9"/>
      <c r="J2577" s="9"/>
      <c r="K2577" s="9"/>
      <c r="L2577" s="10">
        <v>75160</v>
      </c>
      <c r="M2577" s="9"/>
      <c r="N2577" s="9"/>
      <c r="O2577" s="10">
        <v>77571</v>
      </c>
      <c r="P2577" s="10"/>
      <c r="Q2577" s="10"/>
      <c r="R2577" s="10"/>
      <c r="S2577" s="7"/>
      <c r="T2577" s="7"/>
      <c r="U2577" s="7" t="s">
        <v>44</v>
      </c>
      <c r="V2577" s="7" t="s">
        <v>45</v>
      </c>
      <c r="W2577" s="7" t="s">
        <v>46</v>
      </c>
      <c r="X2577" s="7" t="s">
        <v>90</v>
      </c>
      <c r="Y2577" s="7" t="s">
        <v>6253</v>
      </c>
      <c r="Z2577" s="7" t="s">
        <v>1453</v>
      </c>
      <c r="AA2577" s="7"/>
      <c r="AB2577" s="7"/>
      <c r="AC2577" s="7" t="s">
        <v>4817</v>
      </c>
      <c r="AD2577" s="7" t="s">
        <v>6204</v>
      </c>
      <c r="AE2577" s="7" t="s">
        <v>90</v>
      </c>
      <c r="AF2577" s="7" t="s">
        <v>113</v>
      </c>
      <c r="AG2577" s="7" t="s">
        <v>366</v>
      </c>
      <c r="AH2577" s="7" t="s">
        <v>4818</v>
      </c>
    </row>
    <row r="2578" spans="1:34" ht="9.75" customHeight="1" x14ac:dyDescent="0.2">
      <c r="A2578" s="7" t="s">
        <v>5597</v>
      </c>
      <c r="B2578" s="7" t="s">
        <v>4812</v>
      </c>
      <c r="C2578" s="7"/>
      <c r="D2578" s="7" t="s">
        <v>6254</v>
      </c>
      <c r="E2578" s="8">
        <v>2</v>
      </c>
      <c r="F2578" s="7"/>
      <c r="G2578" s="7"/>
      <c r="H2578" s="9"/>
      <c r="I2578" s="10">
        <v>356970</v>
      </c>
      <c r="J2578" s="10">
        <v>233706</v>
      </c>
      <c r="K2578" s="10">
        <v>258466</v>
      </c>
      <c r="L2578" s="10">
        <v>259540</v>
      </c>
      <c r="M2578" s="9"/>
      <c r="N2578" s="9"/>
      <c r="O2578" s="10">
        <v>280442</v>
      </c>
      <c r="P2578" s="10"/>
      <c r="Q2578" s="10"/>
      <c r="R2578" s="10"/>
      <c r="S2578" s="7"/>
      <c r="T2578" s="7"/>
      <c r="U2578" s="7" t="s">
        <v>44</v>
      </c>
      <c r="V2578" s="7" t="s">
        <v>45</v>
      </c>
      <c r="W2578" s="7" t="s">
        <v>46</v>
      </c>
      <c r="X2578" s="7" t="s">
        <v>90</v>
      </c>
      <c r="Y2578" s="7" t="s">
        <v>6255</v>
      </c>
      <c r="Z2578" s="7" t="s">
        <v>1453</v>
      </c>
      <c r="AA2578" s="7"/>
      <c r="AB2578" s="7"/>
      <c r="AC2578" s="7" t="s">
        <v>4817</v>
      </c>
      <c r="AD2578" s="7" t="s">
        <v>6204</v>
      </c>
      <c r="AE2578" s="7" t="s">
        <v>6254</v>
      </c>
      <c r="AF2578" s="7" t="s">
        <v>113</v>
      </c>
      <c r="AG2578" s="7" t="s">
        <v>366</v>
      </c>
      <c r="AH2578" s="7" t="s">
        <v>4818</v>
      </c>
    </row>
    <row r="2579" spans="1:34" ht="9.75" customHeight="1" x14ac:dyDescent="0.2">
      <c r="A2579" s="7" t="s">
        <v>5597</v>
      </c>
      <c r="B2579" s="7" t="s">
        <v>4812</v>
      </c>
      <c r="C2579" s="7"/>
      <c r="D2579" s="7" t="s">
        <v>6256</v>
      </c>
      <c r="E2579" s="8">
        <v>2</v>
      </c>
      <c r="F2579" s="7"/>
      <c r="G2579" s="7"/>
      <c r="H2579" s="9"/>
      <c r="I2579" s="10">
        <v>677440</v>
      </c>
      <c r="J2579" s="10">
        <v>628771</v>
      </c>
      <c r="K2579" s="10">
        <v>660421</v>
      </c>
      <c r="L2579" s="10">
        <v>453013</v>
      </c>
      <c r="M2579" s="9"/>
      <c r="N2579" s="9"/>
      <c r="O2579" s="10">
        <v>477255</v>
      </c>
      <c r="P2579" s="10"/>
      <c r="Q2579" s="10"/>
      <c r="R2579" s="10"/>
      <c r="S2579" s="7"/>
      <c r="T2579" s="7"/>
      <c r="U2579" s="7" t="s">
        <v>44</v>
      </c>
      <c r="V2579" s="7" t="s">
        <v>45</v>
      </c>
      <c r="W2579" s="7" t="s">
        <v>46</v>
      </c>
      <c r="X2579" s="7" t="s">
        <v>90</v>
      </c>
      <c r="Y2579" s="7" t="s">
        <v>6257</v>
      </c>
      <c r="Z2579" s="7" t="s">
        <v>1453</v>
      </c>
      <c r="AA2579" s="7"/>
      <c r="AB2579" s="7"/>
      <c r="AC2579" s="7" t="s">
        <v>4817</v>
      </c>
      <c r="AD2579" s="7" t="s">
        <v>6204</v>
      </c>
      <c r="AE2579" s="7" t="s">
        <v>6256</v>
      </c>
      <c r="AF2579" s="7" t="s">
        <v>113</v>
      </c>
      <c r="AG2579" s="7" t="s">
        <v>366</v>
      </c>
      <c r="AH2579" s="7" t="s">
        <v>4818</v>
      </c>
    </row>
    <row r="2580" spans="1:34" ht="9.75" customHeight="1" x14ac:dyDescent="0.2">
      <c r="A2580" s="7" t="s">
        <v>5597</v>
      </c>
      <c r="B2580" s="7" t="s">
        <v>4812</v>
      </c>
      <c r="C2580" s="7"/>
      <c r="D2580" s="7" t="s">
        <v>6258</v>
      </c>
      <c r="E2580" s="8">
        <v>2</v>
      </c>
      <c r="F2580" s="7"/>
      <c r="G2580" s="7"/>
      <c r="H2580" s="9"/>
      <c r="I2580" s="9"/>
      <c r="J2580" s="9"/>
      <c r="K2580" s="9"/>
      <c r="L2580" s="10">
        <v>1660</v>
      </c>
      <c r="M2580" s="9"/>
      <c r="N2580" s="9"/>
      <c r="O2580" s="10">
        <v>1660</v>
      </c>
      <c r="P2580" s="10"/>
      <c r="Q2580" s="10"/>
      <c r="R2580" s="10"/>
      <c r="S2580" s="7"/>
      <c r="T2580" s="7"/>
      <c r="U2580" s="7"/>
      <c r="V2580" s="7"/>
      <c r="W2580" s="7"/>
      <c r="X2580" s="7"/>
      <c r="Y2580" s="7" t="s">
        <v>6259</v>
      </c>
      <c r="Z2580" s="7" t="s">
        <v>1453</v>
      </c>
      <c r="AA2580" s="7"/>
      <c r="AB2580" s="7"/>
      <c r="AC2580" s="7" t="s">
        <v>4817</v>
      </c>
      <c r="AD2580" s="7" t="s">
        <v>6204</v>
      </c>
      <c r="AE2580" s="7" t="s">
        <v>6258</v>
      </c>
      <c r="AF2580" s="7" t="s">
        <v>113</v>
      </c>
      <c r="AG2580" s="7" t="s">
        <v>366</v>
      </c>
      <c r="AH2580" s="7" t="s">
        <v>4818</v>
      </c>
    </row>
    <row r="2581" spans="1:34" ht="9.75" customHeight="1" x14ac:dyDescent="0.2">
      <c r="A2581" s="7" t="s">
        <v>5597</v>
      </c>
      <c r="B2581" s="7" t="s">
        <v>4812</v>
      </c>
      <c r="C2581" s="7"/>
      <c r="D2581" s="7" t="s">
        <v>6207</v>
      </c>
      <c r="E2581" s="8">
        <v>2</v>
      </c>
      <c r="F2581" s="7"/>
      <c r="G2581" s="7"/>
      <c r="H2581" s="9"/>
      <c r="I2581" s="10">
        <v>15372</v>
      </c>
      <c r="J2581" s="10">
        <v>65480</v>
      </c>
      <c r="K2581" s="10">
        <v>65674</v>
      </c>
      <c r="L2581" s="10">
        <v>2762</v>
      </c>
      <c r="M2581" s="9"/>
      <c r="N2581" s="9"/>
      <c r="O2581" s="10">
        <v>3093</v>
      </c>
      <c r="P2581" s="10"/>
      <c r="Q2581" s="10"/>
      <c r="R2581" s="10"/>
      <c r="S2581" s="7"/>
      <c r="T2581" s="7"/>
      <c r="U2581" s="7" t="s">
        <v>44</v>
      </c>
      <c r="V2581" s="7" t="s">
        <v>45</v>
      </c>
      <c r="W2581" s="7" t="s">
        <v>4977</v>
      </c>
      <c r="X2581" s="7" t="s">
        <v>4978</v>
      </c>
      <c r="Y2581" s="7" t="s">
        <v>6260</v>
      </c>
      <c r="Z2581" s="7" t="s">
        <v>1453</v>
      </c>
      <c r="AA2581" s="7"/>
      <c r="AB2581" s="7"/>
      <c r="AC2581" s="7" t="s">
        <v>4817</v>
      </c>
      <c r="AD2581" s="7" t="s">
        <v>6261</v>
      </c>
      <c r="AE2581" s="7" t="s">
        <v>6207</v>
      </c>
      <c r="AF2581" s="7" t="s">
        <v>113</v>
      </c>
      <c r="AG2581" s="7" t="s">
        <v>366</v>
      </c>
      <c r="AH2581" s="7" t="s">
        <v>4818</v>
      </c>
    </row>
    <row r="2582" spans="1:34" ht="9.75" customHeight="1" x14ac:dyDescent="0.2">
      <c r="A2582" s="7" t="s">
        <v>5597</v>
      </c>
      <c r="B2582" s="7" t="s">
        <v>4812</v>
      </c>
      <c r="C2582" s="7"/>
      <c r="D2582" s="7" t="s">
        <v>6187</v>
      </c>
      <c r="E2582" s="8">
        <v>2</v>
      </c>
      <c r="F2582" s="7"/>
      <c r="G2582" s="7"/>
      <c r="H2582" s="9"/>
      <c r="I2582" s="10">
        <v>518125</v>
      </c>
      <c r="J2582" s="10">
        <v>474175</v>
      </c>
      <c r="K2582" s="10">
        <v>499230</v>
      </c>
      <c r="L2582" s="10">
        <v>180719</v>
      </c>
      <c r="M2582" s="9"/>
      <c r="N2582" s="9"/>
      <c r="O2582" s="10">
        <v>223014</v>
      </c>
      <c r="P2582" s="10"/>
      <c r="Q2582" s="10"/>
      <c r="R2582" s="10"/>
      <c r="S2582" s="7"/>
      <c r="T2582" s="7"/>
      <c r="U2582" s="7" t="s">
        <v>44</v>
      </c>
      <c r="V2582" s="7" t="s">
        <v>45</v>
      </c>
      <c r="W2582" s="7" t="s">
        <v>171</v>
      </c>
      <c r="X2582" s="7" t="s">
        <v>5027</v>
      </c>
      <c r="Y2582" s="7" t="s">
        <v>6262</v>
      </c>
      <c r="Z2582" s="7" t="s">
        <v>1453</v>
      </c>
      <c r="AA2582" s="7"/>
      <c r="AB2582" s="7"/>
      <c r="AC2582" s="7" t="s">
        <v>4817</v>
      </c>
      <c r="AD2582" s="7" t="s">
        <v>6261</v>
      </c>
      <c r="AE2582" s="7" t="s">
        <v>6187</v>
      </c>
      <c r="AF2582" s="7" t="s">
        <v>113</v>
      </c>
      <c r="AG2582" s="7" t="s">
        <v>366</v>
      </c>
      <c r="AH2582" s="7" t="s">
        <v>4818</v>
      </c>
    </row>
    <row r="2583" spans="1:34" ht="9.75" customHeight="1" x14ac:dyDescent="0.2">
      <c r="A2583" s="7" t="s">
        <v>5597</v>
      </c>
      <c r="B2583" s="7" t="s">
        <v>4812</v>
      </c>
      <c r="C2583" s="7"/>
      <c r="D2583" s="7" t="s">
        <v>6210</v>
      </c>
      <c r="E2583" s="8">
        <v>2</v>
      </c>
      <c r="F2583" s="7"/>
      <c r="G2583" s="7"/>
      <c r="H2583" s="9"/>
      <c r="I2583" s="10">
        <v>1903</v>
      </c>
      <c r="J2583" s="10">
        <v>89284</v>
      </c>
      <c r="K2583" s="10">
        <v>89284</v>
      </c>
      <c r="L2583" s="10">
        <v>24967</v>
      </c>
      <c r="M2583" s="9"/>
      <c r="N2583" s="9"/>
      <c r="O2583" s="10">
        <v>24967</v>
      </c>
      <c r="P2583" s="10"/>
      <c r="Q2583" s="10"/>
      <c r="R2583" s="10"/>
      <c r="S2583" s="7"/>
      <c r="T2583" s="7"/>
      <c r="U2583" s="7"/>
      <c r="V2583" s="7"/>
      <c r="W2583" s="7"/>
      <c r="X2583" s="7"/>
      <c r="Y2583" s="7" t="s">
        <v>6263</v>
      </c>
      <c r="Z2583" s="7" t="s">
        <v>1453</v>
      </c>
      <c r="AA2583" s="7"/>
      <c r="AB2583" s="7"/>
      <c r="AC2583" s="7" t="s">
        <v>4817</v>
      </c>
      <c r="AD2583" s="7" t="s">
        <v>6261</v>
      </c>
      <c r="AE2583" s="7" t="s">
        <v>6210</v>
      </c>
      <c r="AF2583" s="7" t="s">
        <v>113</v>
      </c>
      <c r="AG2583" s="7" t="s">
        <v>366</v>
      </c>
      <c r="AH2583" s="7" t="s">
        <v>4818</v>
      </c>
    </row>
    <row r="2584" spans="1:34" ht="9.75" customHeight="1" x14ac:dyDescent="0.2">
      <c r="A2584" s="7" t="s">
        <v>5597</v>
      </c>
      <c r="B2584" s="7" t="s">
        <v>4812</v>
      </c>
      <c r="C2584" s="7"/>
      <c r="D2584" s="7" t="s">
        <v>6212</v>
      </c>
      <c r="E2584" s="8">
        <v>2</v>
      </c>
      <c r="F2584" s="7"/>
      <c r="G2584" s="7"/>
      <c r="H2584" s="9"/>
      <c r="I2584" s="10">
        <v>17244</v>
      </c>
      <c r="J2584" s="10">
        <v>23306</v>
      </c>
      <c r="K2584" s="10">
        <v>23632</v>
      </c>
      <c r="L2584" s="10">
        <v>8400</v>
      </c>
      <c r="M2584" s="9"/>
      <c r="N2584" s="9"/>
      <c r="O2584" s="10">
        <v>8751</v>
      </c>
      <c r="P2584" s="10"/>
      <c r="Q2584" s="10"/>
      <c r="R2584" s="10"/>
      <c r="S2584" s="7"/>
      <c r="T2584" s="7"/>
      <c r="U2584" s="7"/>
      <c r="V2584" s="7"/>
      <c r="W2584" s="7"/>
      <c r="X2584" s="7"/>
      <c r="Y2584" s="7" t="s">
        <v>6264</v>
      </c>
      <c r="Z2584" s="7" t="s">
        <v>1453</v>
      </c>
      <c r="AA2584" s="7"/>
      <c r="AB2584" s="7"/>
      <c r="AC2584" s="7" t="s">
        <v>4817</v>
      </c>
      <c r="AD2584" s="7" t="s">
        <v>6261</v>
      </c>
      <c r="AE2584" s="7" t="s">
        <v>6212</v>
      </c>
      <c r="AF2584" s="7" t="s">
        <v>113</v>
      </c>
      <c r="AG2584" s="7" t="s">
        <v>366</v>
      </c>
      <c r="AH2584" s="7" t="s">
        <v>4818</v>
      </c>
    </row>
    <row r="2585" spans="1:34" ht="9.75" customHeight="1" x14ac:dyDescent="0.2">
      <c r="A2585" s="7" t="s">
        <v>5597</v>
      </c>
      <c r="B2585" s="7" t="s">
        <v>4812</v>
      </c>
      <c r="C2585" s="7"/>
      <c r="D2585" s="7" t="s">
        <v>5077</v>
      </c>
      <c r="E2585" s="8">
        <v>2</v>
      </c>
      <c r="F2585" s="7"/>
      <c r="G2585" s="7"/>
      <c r="H2585" s="9"/>
      <c r="I2585" s="10">
        <v>106091</v>
      </c>
      <c r="J2585" s="10">
        <v>50328</v>
      </c>
      <c r="K2585" s="10">
        <v>51680</v>
      </c>
      <c r="L2585" s="10">
        <v>40292</v>
      </c>
      <c r="M2585" s="9"/>
      <c r="N2585" s="9"/>
      <c r="O2585" s="10">
        <v>42503</v>
      </c>
      <c r="P2585" s="10"/>
      <c r="Q2585" s="10"/>
      <c r="R2585" s="10"/>
      <c r="S2585" s="7"/>
      <c r="T2585" s="7"/>
      <c r="U2585" s="7" t="s">
        <v>44</v>
      </c>
      <c r="V2585" s="7" t="s">
        <v>45</v>
      </c>
      <c r="W2585" s="7" t="s">
        <v>130</v>
      </c>
      <c r="X2585" s="7" t="s">
        <v>5077</v>
      </c>
      <c r="Y2585" s="7" t="s">
        <v>6265</v>
      </c>
      <c r="Z2585" s="7" t="s">
        <v>1453</v>
      </c>
      <c r="AA2585" s="7"/>
      <c r="AB2585" s="7"/>
      <c r="AC2585" s="7" t="s">
        <v>4817</v>
      </c>
      <c r="AD2585" s="7" t="s">
        <v>6261</v>
      </c>
      <c r="AE2585" s="7" t="s">
        <v>5077</v>
      </c>
      <c r="AF2585" s="7" t="s">
        <v>113</v>
      </c>
      <c r="AG2585" s="7" t="s">
        <v>366</v>
      </c>
      <c r="AH2585" s="7" t="s">
        <v>4818</v>
      </c>
    </row>
    <row r="2586" spans="1:34" ht="9.75" customHeight="1" x14ac:dyDescent="0.2">
      <c r="A2586" s="7" t="s">
        <v>5597</v>
      </c>
      <c r="B2586" s="7" t="s">
        <v>4812</v>
      </c>
      <c r="C2586" s="7"/>
      <c r="D2586" s="7" t="s">
        <v>6218</v>
      </c>
      <c r="E2586" s="8">
        <v>2</v>
      </c>
      <c r="F2586" s="7"/>
      <c r="G2586" s="7"/>
      <c r="H2586" s="9"/>
      <c r="I2586" s="10">
        <v>1796346</v>
      </c>
      <c r="J2586" s="10">
        <v>2748996</v>
      </c>
      <c r="K2586" s="10">
        <v>2897547</v>
      </c>
      <c r="L2586" s="10">
        <v>2720122</v>
      </c>
      <c r="M2586" s="9"/>
      <c r="N2586" s="9"/>
      <c r="O2586" s="10">
        <v>3030280</v>
      </c>
      <c r="P2586" s="10"/>
      <c r="Q2586" s="10"/>
      <c r="R2586" s="10"/>
      <c r="S2586" s="7"/>
      <c r="T2586" s="7"/>
      <c r="U2586" s="7" t="s">
        <v>44</v>
      </c>
      <c r="V2586" s="7" t="s">
        <v>45</v>
      </c>
      <c r="W2586" s="7" t="s">
        <v>67</v>
      </c>
      <c r="X2586" s="7" t="s">
        <v>68</v>
      </c>
      <c r="Y2586" s="7" t="s">
        <v>6266</v>
      </c>
      <c r="Z2586" s="7" t="s">
        <v>1453</v>
      </c>
      <c r="AA2586" s="7"/>
      <c r="AB2586" s="7"/>
      <c r="AC2586" s="7" t="s">
        <v>4817</v>
      </c>
      <c r="AD2586" s="7" t="s">
        <v>6261</v>
      </c>
      <c r="AE2586" s="7" t="s">
        <v>6218</v>
      </c>
      <c r="AF2586" s="7" t="s">
        <v>113</v>
      </c>
      <c r="AG2586" s="7" t="s">
        <v>366</v>
      </c>
      <c r="AH2586" s="7" t="s">
        <v>4818</v>
      </c>
    </row>
    <row r="2587" spans="1:34" ht="9.75" customHeight="1" x14ac:dyDescent="0.2">
      <c r="A2587" s="7" t="s">
        <v>5597</v>
      </c>
      <c r="B2587" s="7" t="s">
        <v>4812</v>
      </c>
      <c r="C2587" s="7"/>
      <c r="D2587" s="7" t="s">
        <v>6267</v>
      </c>
      <c r="E2587" s="8">
        <v>2</v>
      </c>
      <c r="F2587" s="7"/>
      <c r="G2587" s="7"/>
      <c r="H2587" s="9"/>
      <c r="I2587" s="10">
        <v>278</v>
      </c>
      <c r="J2587" s="10">
        <v>312</v>
      </c>
      <c r="K2587" s="10">
        <v>312</v>
      </c>
      <c r="L2587" s="10">
        <v>312</v>
      </c>
      <c r="M2587" s="9"/>
      <c r="N2587" s="9"/>
      <c r="O2587" s="10">
        <v>323</v>
      </c>
      <c r="P2587" s="10"/>
      <c r="Q2587" s="10"/>
      <c r="R2587" s="10"/>
      <c r="S2587" s="7"/>
      <c r="T2587" s="7"/>
      <c r="U2587" s="7" t="s">
        <v>44</v>
      </c>
      <c r="V2587" s="7" t="s">
        <v>45</v>
      </c>
      <c r="W2587" s="7" t="s">
        <v>67</v>
      </c>
      <c r="X2587" s="7" t="s">
        <v>68</v>
      </c>
      <c r="Y2587" s="7" t="s">
        <v>6268</v>
      </c>
      <c r="Z2587" s="7" t="s">
        <v>1453</v>
      </c>
      <c r="AA2587" s="7"/>
      <c r="AB2587" s="7"/>
      <c r="AC2587" s="7" t="s">
        <v>4817</v>
      </c>
      <c r="AD2587" s="7" t="s">
        <v>6261</v>
      </c>
      <c r="AE2587" s="7" t="s">
        <v>6269</v>
      </c>
      <c r="AF2587" s="7" t="s">
        <v>113</v>
      </c>
      <c r="AG2587" s="7" t="s">
        <v>366</v>
      </c>
      <c r="AH2587" s="7" t="s">
        <v>4818</v>
      </c>
    </row>
    <row r="2588" spans="1:34" ht="9.75" customHeight="1" x14ac:dyDescent="0.2">
      <c r="A2588" s="7" t="s">
        <v>5597</v>
      </c>
      <c r="B2588" s="7" t="s">
        <v>4812</v>
      </c>
      <c r="C2588" s="7"/>
      <c r="D2588" s="7" t="s">
        <v>68</v>
      </c>
      <c r="E2588" s="8">
        <v>2</v>
      </c>
      <c r="F2588" s="7"/>
      <c r="G2588" s="7"/>
      <c r="H2588" s="9"/>
      <c r="I2588" s="9"/>
      <c r="J2588" s="9"/>
      <c r="K2588" s="9"/>
      <c r="L2588" s="10">
        <v>17657</v>
      </c>
      <c r="M2588" s="9"/>
      <c r="N2588" s="9"/>
      <c r="O2588" s="10">
        <v>18054</v>
      </c>
      <c r="P2588" s="10"/>
      <c r="Q2588" s="10"/>
      <c r="R2588" s="10"/>
      <c r="S2588" s="7"/>
      <c r="T2588" s="7"/>
      <c r="U2588" s="7" t="s">
        <v>44</v>
      </c>
      <c r="V2588" s="7" t="s">
        <v>45</v>
      </c>
      <c r="W2588" s="7" t="s">
        <v>67</v>
      </c>
      <c r="X2588" s="7" t="s">
        <v>68</v>
      </c>
      <c r="Y2588" s="7" t="s">
        <v>6270</v>
      </c>
      <c r="Z2588" s="7" t="s">
        <v>1453</v>
      </c>
      <c r="AA2588" s="7"/>
      <c r="AB2588" s="7"/>
      <c r="AC2588" s="7" t="s">
        <v>4817</v>
      </c>
      <c r="AD2588" s="7" t="s">
        <v>6261</v>
      </c>
      <c r="AE2588" s="7" t="s">
        <v>68</v>
      </c>
      <c r="AF2588" s="7" t="s">
        <v>113</v>
      </c>
      <c r="AG2588" s="7" t="s">
        <v>366</v>
      </c>
      <c r="AH2588" s="7" t="s">
        <v>4818</v>
      </c>
    </row>
    <row r="2589" spans="1:34" ht="9.75" customHeight="1" x14ac:dyDescent="0.2">
      <c r="A2589" s="7" t="s">
        <v>5597</v>
      </c>
      <c r="B2589" s="7" t="s">
        <v>4812</v>
      </c>
      <c r="C2589" s="7"/>
      <c r="D2589" s="7" t="s">
        <v>131</v>
      </c>
      <c r="E2589" s="8">
        <v>2</v>
      </c>
      <c r="F2589" s="7"/>
      <c r="G2589" s="7"/>
      <c r="H2589" s="9"/>
      <c r="I2589" s="10">
        <v>732057</v>
      </c>
      <c r="J2589" s="10">
        <v>563674</v>
      </c>
      <c r="K2589" s="10">
        <v>595584</v>
      </c>
      <c r="L2589" s="10">
        <v>525288</v>
      </c>
      <c r="M2589" s="9"/>
      <c r="N2589" s="9"/>
      <c r="O2589" s="10">
        <v>568246</v>
      </c>
      <c r="P2589" s="10"/>
      <c r="Q2589" s="10"/>
      <c r="R2589" s="10"/>
      <c r="S2589" s="7"/>
      <c r="T2589" s="7"/>
      <c r="U2589" s="7" t="s">
        <v>44</v>
      </c>
      <c r="V2589" s="7" t="s">
        <v>45</v>
      </c>
      <c r="W2589" s="7" t="s">
        <v>130</v>
      </c>
      <c r="X2589" s="7" t="s">
        <v>131</v>
      </c>
      <c r="Y2589" s="7" t="s">
        <v>6271</v>
      </c>
      <c r="Z2589" s="7" t="s">
        <v>1453</v>
      </c>
      <c r="AA2589" s="7"/>
      <c r="AB2589" s="7"/>
      <c r="AC2589" s="7" t="s">
        <v>4817</v>
      </c>
      <c r="AD2589" s="7" t="s">
        <v>6272</v>
      </c>
      <c r="AE2589" s="7" t="s">
        <v>131</v>
      </c>
      <c r="AF2589" s="7" t="s">
        <v>113</v>
      </c>
      <c r="AG2589" s="7" t="s">
        <v>366</v>
      </c>
      <c r="AH2589" s="7" t="s">
        <v>4818</v>
      </c>
    </row>
    <row r="2590" spans="1:34" ht="9.75" customHeight="1" x14ac:dyDescent="0.2">
      <c r="A2590" s="7" t="s">
        <v>5597</v>
      </c>
      <c r="B2590" s="7" t="s">
        <v>4812</v>
      </c>
      <c r="C2590" s="7"/>
      <c r="D2590" s="7" t="s">
        <v>6222</v>
      </c>
      <c r="E2590" s="8">
        <v>2</v>
      </c>
      <c r="F2590" s="7"/>
      <c r="G2590" s="7"/>
      <c r="H2590" s="9"/>
      <c r="I2590" s="9"/>
      <c r="J2590" s="9"/>
      <c r="K2590" s="9"/>
      <c r="L2590" s="10">
        <v>6174</v>
      </c>
      <c r="M2590" s="9"/>
      <c r="N2590" s="9"/>
      <c r="O2590" s="10">
        <v>7358</v>
      </c>
      <c r="P2590" s="10"/>
      <c r="Q2590" s="10"/>
      <c r="R2590" s="10"/>
      <c r="S2590" s="7"/>
      <c r="T2590" s="7"/>
      <c r="U2590" s="7" t="s">
        <v>44</v>
      </c>
      <c r="V2590" s="7" t="s">
        <v>45</v>
      </c>
      <c r="W2590" s="7" t="s">
        <v>130</v>
      </c>
      <c r="X2590" s="7" t="s">
        <v>131</v>
      </c>
      <c r="Y2590" s="7" t="s">
        <v>6273</v>
      </c>
      <c r="Z2590" s="7" t="s">
        <v>1453</v>
      </c>
      <c r="AA2590" s="7"/>
      <c r="AB2590" s="7"/>
      <c r="AC2590" s="7" t="s">
        <v>4817</v>
      </c>
      <c r="AD2590" s="7" t="s">
        <v>6261</v>
      </c>
      <c r="AE2590" s="7" t="s">
        <v>6222</v>
      </c>
      <c r="AF2590" s="7" t="s">
        <v>113</v>
      </c>
      <c r="AG2590" s="7" t="s">
        <v>366</v>
      </c>
      <c r="AH2590" s="7" t="s">
        <v>4818</v>
      </c>
    </row>
    <row r="2591" spans="1:34" ht="9.75" customHeight="1" x14ac:dyDescent="0.2">
      <c r="A2591" s="7" t="s">
        <v>5597</v>
      </c>
      <c r="B2591" s="7" t="s">
        <v>4812</v>
      </c>
      <c r="C2591" s="7"/>
      <c r="D2591" s="7" t="s">
        <v>6224</v>
      </c>
      <c r="E2591" s="8">
        <v>2</v>
      </c>
      <c r="F2591" s="7"/>
      <c r="G2591" s="7"/>
      <c r="H2591" s="9"/>
      <c r="I2591" s="10">
        <v>2130</v>
      </c>
      <c r="J2591" s="9"/>
      <c r="K2591" s="9"/>
      <c r="L2591" s="9"/>
      <c r="M2591" s="9"/>
      <c r="N2591" s="9"/>
      <c r="O2591" s="9"/>
      <c r="P2591" s="9"/>
      <c r="Q2591" s="9"/>
      <c r="R2591" s="9"/>
      <c r="S2591" s="7"/>
      <c r="T2591" s="7"/>
      <c r="U2591" s="7" t="s">
        <v>44</v>
      </c>
      <c r="V2591" s="7" t="s">
        <v>45</v>
      </c>
      <c r="W2591" s="7" t="s">
        <v>130</v>
      </c>
      <c r="X2591" s="7" t="s">
        <v>131</v>
      </c>
      <c r="Y2591" s="7" t="s">
        <v>6274</v>
      </c>
      <c r="Z2591" s="7" t="s">
        <v>1453</v>
      </c>
      <c r="AA2591" s="7"/>
      <c r="AB2591" s="7"/>
      <c r="AC2591" s="7" t="s">
        <v>4817</v>
      </c>
      <c r="AD2591" s="7" t="s">
        <v>6261</v>
      </c>
      <c r="AE2591" s="7" t="s">
        <v>6224</v>
      </c>
      <c r="AF2591" s="7" t="s">
        <v>113</v>
      </c>
      <c r="AG2591" s="7" t="s">
        <v>366</v>
      </c>
      <c r="AH2591" s="7" t="s">
        <v>4818</v>
      </c>
    </row>
    <row r="2592" spans="1:34" ht="9.75" customHeight="1" x14ac:dyDescent="0.2">
      <c r="A2592" s="7" t="s">
        <v>5597</v>
      </c>
      <c r="B2592" s="7" t="s">
        <v>4812</v>
      </c>
      <c r="C2592" s="7"/>
      <c r="D2592" s="7" t="s">
        <v>6226</v>
      </c>
      <c r="E2592" s="8">
        <v>2</v>
      </c>
      <c r="F2592" s="7"/>
      <c r="G2592" s="7"/>
      <c r="H2592" s="9"/>
      <c r="I2592" s="10">
        <v>6850</v>
      </c>
      <c r="J2592" s="10">
        <v>20241</v>
      </c>
      <c r="K2592" s="10">
        <v>20629</v>
      </c>
      <c r="L2592" s="10">
        <v>19655</v>
      </c>
      <c r="M2592" s="9"/>
      <c r="N2592" s="9"/>
      <c r="O2592" s="10">
        <v>22134</v>
      </c>
      <c r="P2592" s="10"/>
      <c r="Q2592" s="10"/>
      <c r="R2592" s="10"/>
      <c r="S2592" s="7"/>
      <c r="T2592" s="7"/>
      <c r="U2592" s="7" t="s">
        <v>44</v>
      </c>
      <c r="V2592" s="7" t="s">
        <v>45</v>
      </c>
      <c r="W2592" s="7" t="s">
        <v>211</v>
      </c>
      <c r="X2592" s="7" t="s">
        <v>6226</v>
      </c>
      <c r="Y2592" s="7" t="s">
        <v>6275</v>
      </c>
      <c r="Z2592" s="7" t="s">
        <v>1453</v>
      </c>
      <c r="AA2592" s="7"/>
      <c r="AB2592" s="7"/>
      <c r="AC2592" s="7" t="s">
        <v>4817</v>
      </c>
      <c r="AD2592" s="7" t="s">
        <v>6261</v>
      </c>
      <c r="AE2592" s="7" t="s">
        <v>6226</v>
      </c>
      <c r="AF2592" s="7" t="s">
        <v>113</v>
      </c>
      <c r="AG2592" s="7" t="s">
        <v>366</v>
      </c>
      <c r="AH2592" s="7" t="s">
        <v>4818</v>
      </c>
    </row>
    <row r="2593" spans="1:34" ht="9.75" customHeight="1" x14ac:dyDescent="0.2">
      <c r="A2593" s="7" t="s">
        <v>5597</v>
      </c>
      <c r="B2593" s="7" t="s">
        <v>4812</v>
      </c>
      <c r="C2593" s="7"/>
      <c r="D2593" s="7" t="s">
        <v>4978</v>
      </c>
      <c r="E2593" s="8">
        <v>2</v>
      </c>
      <c r="F2593" s="7"/>
      <c r="G2593" s="7"/>
      <c r="H2593" s="9"/>
      <c r="I2593" s="10">
        <v>5496</v>
      </c>
      <c r="J2593" s="10">
        <v>517</v>
      </c>
      <c r="K2593" s="10">
        <v>517</v>
      </c>
      <c r="L2593" s="10">
        <v>3899</v>
      </c>
      <c r="M2593" s="9"/>
      <c r="N2593" s="9"/>
      <c r="O2593" s="10">
        <v>57265</v>
      </c>
      <c r="P2593" s="10"/>
      <c r="Q2593" s="10"/>
      <c r="R2593" s="10"/>
      <c r="S2593" s="7"/>
      <c r="T2593" s="7"/>
      <c r="U2593" s="7" t="s">
        <v>44</v>
      </c>
      <c r="V2593" s="7" t="s">
        <v>45</v>
      </c>
      <c r="W2593" s="7" t="s">
        <v>4977</v>
      </c>
      <c r="X2593" s="7" t="s">
        <v>4978</v>
      </c>
      <c r="Y2593" s="7" t="s">
        <v>6276</v>
      </c>
      <c r="Z2593" s="7" t="s">
        <v>1453</v>
      </c>
      <c r="AA2593" s="7"/>
      <c r="AB2593" s="7"/>
      <c r="AC2593" s="7" t="s">
        <v>4817</v>
      </c>
      <c r="AD2593" s="7" t="s">
        <v>6261</v>
      </c>
      <c r="AE2593" s="7" t="s">
        <v>4978</v>
      </c>
      <c r="AF2593" s="7" t="s">
        <v>113</v>
      </c>
      <c r="AG2593" s="7" t="s">
        <v>366</v>
      </c>
      <c r="AH2593" s="7" t="s">
        <v>4818</v>
      </c>
    </row>
    <row r="2594" spans="1:34" ht="9.75" customHeight="1" x14ac:dyDescent="0.2">
      <c r="A2594" s="7" t="s">
        <v>5597</v>
      </c>
      <c r="B2594" s="7" t="s">
        <v>4812</v>
      </c>
      <c r="C2594" s="7"/>
      <c r="D2594" s="7" t="s">
        <v>156</v>
      </c>
      <c r="E2594" s="8">
        <v>2</v>
      </c>
      <c r="F2594" s="7"/>
      <c r="G2594" s="7"/>
      <c r="H2594" s="9"/>
      <c r="I2594" s="10">
        <v>241434</v>
      </c>
      <c r="J2594" s="10">
        <v>225747</v>
      </c>
      <c r="K2594" s="10">
        <v>237189</v>
      </c>
      <c r="L2594" s="10">
        <v>230789</v>
      </c>
      <c r="M2594" s="9"/>
      <c r="N2594" s="9"/>
      <c r="O2594" s="10">
        <v>346046</v>
      </c>
      <c r="P2594" s="10"/>
      <c r="Q2594" s="10"/>
      <c r="R2594" s="10"/>
      <c r="S2594" s="7"/>
      <c r="T2594" s="7"/>
      <c r="U2594" s="7" t="s">
        <v>44</v>
      </c>
      <c r="V2594" s="7" t="s">
        <v>45</v>
      </c>
      <c r="W2594" s="7" t="s">
        <v>130</v>
      </c>
      <c r="X2594" s="7" t="s">
        <v>156</v>
      </c>
      <c r="Y2594" s="7" t="s">
        <v>6277</v>
      </c>
      <c r="Z2594" s="7" t="s">
        <v>1453</v>
      </c>
      <c r="AA2594" s="7"/>
      <c r="AB2594" s="7"/>
      <c r="AC2594" s="7" t="s">
        <v>4817</v>
      </c>
      <c r="AD2594" s="7" t="s">
        <v>6278</v>
      </c>
      <c r="AE2594" s="7" t="s">
        <v>156</v>
      </c>
      <c r="AF2594" s="7" t="s">
        <v>113</v>
      </c>
      <c r="AG2594" s="7" t="s">
        <v>366</v>
      </c>
      <c r="AH2594" s="7" t="s">
        <v>4818</v>
      </c>
    </row>
    <row r="2595" spans="1:34" ht="9.75" customHeight="1" x14ac:dyDescent="0.2">
      <c r="A2595" s="7" t="s">
        <v>5597</v>
      </c>
      <c r="B2595" s="7" t="s">
        <v>4812</v>
      </c>
      <c r="C2595" s="7"/>
      <c r="D2595" s="7" t="s">
        <v>194</v>
      </c>
      <c r="E2595" s="8">
        <v>2</v>
      </c>
      <c r="F2595" s="7"/>
      <c r="G2595" s="7"/>
      <c r="H2595" s="9"/>
      <c r="I2595" s="9"/>
      <c r="J2595" s="9"/>
      <c r="K2595" s="9"/>
      <c r="L2595" s="10">
        <v>29116</v>
      </c>
      <c r="M2595" s="9"/>
      <c r="N2595" s="9"/>
      <c r="O2595" s="10">
        <v>30946</v>
      </c>
      <c r="P2595" s="10"/>
      <c r="Q2595" s="10"/>
      <c r="R2595" s="10"/>
      <c r="S2595" s="7"/>
      <c r="T2595" s="7"/>
      <c r="U2595" s="7" t="s">
        <v>44</v>
      </c>
      <c r="V2595" s="7" t="s">
        <v>45</v>
      </c>
      <c r="W2595" s="7" t="s">
        <v>171</v>
      </c>
      <c r="X2595" s="7" t="s">
        <v>194</v>
      </c>
      <c r="Y2595" s="7" t="s">
        <v>6279</v>
      </c>
      <c r="Z2595" s="7" t="s">
        <v>1453</v>
      </c>
      <c r="AA2595" s="7"/>
      <c r="AB2595" s="7"/>
      <c r="AC2595" s="7" t="s">
        <v>4817</v>
      </c>
      <c r="AD2595" s="7" t="s">
        <v>6261</v>
      </c>
      <c r="AE2595" s="7" t="s">
        <v>194</v>
      </c>
      <c r="AF2595" s="7" t="s">
        <v>113</v>
      </c>
      <c r="AG2595" s="7" t="s">
        <v>366</v>
      </c>
      <c r="AH2595" s="7" t="s">
        <v>4818</v>
      </c>
    </row>
    <row r="2596" spans="1:34" ht="9.75" customHeight="1" x14ac:dyDescent="0.2">
      <c r="A2596" s="7" t="s">
        <v>5597</v>
      </c>
      <c r="B2596" s="7" t="s">
        <v>4812</v>
      </c>
      <c r="C2596" s="7"/>
      <c r="D2596" s="7" t="s">
        <v>6280</v>
      </c>
      <c r="E2596" s="8">
        <v>2</v>
      </c>
      <c r="F2596" s="7"/>
      <c r="G2596" s="7"/>
      <c r="H2596" s="9"/>
      <c r="I2596" s="10">
        <v>5608</v>
      </c>
      <c r="J2596" s="10">
        <v>10944</v>
      </c>
      <c r="K2596" s="10">
        <v>10944</v>
      </c>
      <c r="L2596" s="9"/>
      <c r="M2596" s="9"/>
      <c r="N2596" s="9"/>
      <c r="O2596" s="9"/>
      <c r="P2596" s="9"/>
      <c r="Q2596" s="9"/>
      <c r="R2596" s="9"/>
      <c r="S2596" s="7"/>
      <c r="T2596" s="7"/>
      <c r="U2596" s="7" t="s">
        <v>44</v>
      </c>
      <c r="V2596" s="7" t="s">
        <v>45</v>
      </c>
      <c r="W2596" s="7" t="s">
        <v>171</v>
      </c>
      <c r="X2596" s="7"/>
      <c r="Y2596" s="7" t="s">
        <v>6281</v>
      </c>
      <c r="Z2596" s="7" t="s">
        <v>1453</v>
      </c>
      <c r="AA2596" s="7"/>
      <c r="AB2596" s="7"/>
      <c r="AC2596" s="7" t="s">
        <v>4817</v>
      </c>
      <c r="AD2596" s="7" t="s">
        <v>6261</v>
      </c>
      <c r="AE2596" s="7" t="s">
        <v>6280</v>
      </c>
      <c r="AF2596" s="7" t="s">
        <v>113</v>
      </c>
      <c r="AG2596" s="7" t="s">
        <v>366</v>
      </c>
      <c r="AH2596" s="7" t="s">
        <v>4818</v>
      </c>
    </row>
    <row r="2597" spans="1:34" ht="9.75" customHeight="1" x14ac:dyDescent="0.2">
      <c r="A2597" s="7" t="s">
        <v>5597</v>
      </c>
      <c r="B2597" s="7" t="s">
        <v>4812</v>
      </c>
      <c r="C2597" s="7"/>
      <c r="D2597" s="7" t="s">
        <v>5027</v>
      </c>
      <c r="E2597" s="8">
        <v>2</v>
      </c>
      <c r="F2597" s="7"/>
      <c r="G2597" s="7"/>
      <c r="H2597" s="9"/>
      <c r="I2597" s="9"/>
      <c r="J2597" s="9"/>
      <c r="K2597" s="9"/>
      <c r="L2597" s="10">
        <v>36577</v>
      </c>
      <c r="M2597" s="9"/>
      <c r="N2597" s="9"/>
      <c r="O2597" s="10">
        <v>37210</v>
      </c>
      <c r="P2597" s="10"/>
      <c r="Q2597" s="10"/>
      <c r="R2597" s="10"/>
      <c r="S2597" s="7"/>
      <c r="T2597" s="7"/>
      <c r="U2597" s="7" t="s">
        <v>44</v>
      </c>
      <c r="V2597" s="7" t="s">
        <v>45</v>
      </c>
      <c r="W2597" s="7" t="s">
        <v>171</v>
      </c>
      <c r="X2597" s="7" t="s">
        <v>5027</v>
      </c>
      <c r="Y2597" s="7" t="s">
        <v>6282</v>
      </c>
      <c r="Z2597" s="7" t="s">
        <v>1453</v>
      </c>
      <c r="AA2597" s="7"/>
      <c r="AB2597" s="7"/>
      <c r="AC2597" s="7" t="s">
        <v>4817</v>
      </c>
      <c r="AD2597" s="7" t="s">
        <v>6261</v>
      </c>
      <c r="AE2597" s="7" t="s">
        <v>5027</v>
      </c>
      <c r="AF2597" s="7" t="s">
        <v>113</v>
      </c>
      <c r="AG2597" s="7" t="s">
        <v>366</v>
      </c>
      <c r="AH2597" s="7" t="s">
        <v>4818</v>
      </c>
    </row>
    <row r="2598" spans="1:34" ht="9.75" customHeight="1" x14ac:dyDescent="0.2">
      <c r="A2598" s="7" t="s">
        <v>5597</v>
      </c>
      <c r="B2598" s="7" t="s">
        <v>4812</v>
      </c>
      <c r="C2598" s="7"/>
      <c r="D2598" s="7" t="s">
        <v>172</v>
      </c>
      <c r="E2598" s="8">
        <v>2</v>
      </c>
      <c r="F2598" s="7"/>
      <c r="G2598" s="7"/>
      <c r="H2598" s="9"/>
      <c r="I2598" s="9"/>
      <c r="J2598" s="9"/>
      <c r="K2598" s="9"/>
      <c r="L2598" s="10">
        <v>105286</v>
      </c>
      <c r="M2598" s="9"/>
      <c r="N2598" s="9"/>
      <c r="O2598" s="10">
        <v>105354</v>
      </c>
      <c r="P2598" s="10"/>
      <c r="Q2598" s="10"/>
      <c r="R2598" s="10"/>
      <c r="S2598" s="7"/>
      <c r="T2598" s="7"/>
      <c r="U2598" s="7" t="s">
        <v>44</v>
      </c>
      <c r="V2598" s="7" t="s">
        <v>45</v>
      </c>
      <c r="W2598" s="7" t="s">
        <v>171</v>
      </c>
      <c r="X2598" s="7" t="s">
        <v>172</v>
      </c>
      <c r="Y2598" s="7" t="s">
        <v>6283</v>
      </c>
      <c r="Z2598" s="7" t="s">
        <v>1465</v>
      </c>
      <c r="AA2598" s="7"/>
      <c r="AB2598" s="7"/>
      <c r="AC2598" s="7" t="s">
        <v>4817</v>
      </c>
      <c r="AD2598" s="7" t="s">
        <v>6261</v>
      </c>
      <c r="AE2598" s="7" t="s">
        <v>172</v>
      </c>
      <c r="AF2598" s="7" t="s">
        <v>113</v>
      </c>
      <c r="AG2598" s="7" t="s">
        <v>366</v>
      </c>
      <c r="AH2598" s="7" t="s">
        <v>4818</v>
      </c>
    </row>
    <row r="2599" spans="1:34" ht="9.75" customHeight="1" x14ac:dyDescent="0.2">
      <c r="A2599" s="7" t="s">
        <v>5597</v>
      </c>
      <c r="B2599" s="7" t="s">
        <v>4812</v>
      </c>
      <c r="C2599" s="7"/>
      <c r="D2599" s="7" t="s">
        <v>5021</v>
      </c>
      <c r="E2599" s="8">
        <v>2</v>
      </c>
      <c r="F2599" s="7"/>
      <c r="G2599" s="7"/>
      <c r="H2599" s="9"/>
      <c r="I2599" s="9"/>
      <c r="J2599" s="9"/>
      <c r="K2599" s="9"/>
      <c r="L2599" s="10">
        <v>73346</v>
      </c>
      <c r="M2599" s="9"/>
      <c r="N2599" s="9"/>
      <c r="O2599" s="10">
        <v>97543</v>
      </c>
      <c r="P2599" s="10"/>
      <c r="Q2599" s="10"/>
      <c r="R2599" s="10"/>
      <c r="S2599" s="7"/>
      <c r="T2599" s="7"/>
      <c r="U2599" s="7" t="s">
        <v>44</v>
      </c>
      <c r="V2599" s="7" t="s">
        <v>45</v>
      </c>
      <c r="W2599" s="7" t="s">
        <v>171</v>
      </c>
      <c r="X2599" s="7" t="s">
        <v>5021</v>
      </c>
      <c r="Y2599" s="7" t="s">
        <v>6284</v>
      </c>
      <c r="Z2599" s="7" t="s">
        <v>1465</v>
      </c>
      <c r="AA2599" s="7"/>
      <c r="AB2599" s="7"/>
      <c r="AC2599" s="7" t="s">
        <v>4817</v>
      </c>
      <c r="AD2599" s="7" t="s">
        <v>6261</v>
      </c>
      <c r="AE2599" s="7" t="s">
        <v>5021</v>
      </c>
      <c r="AF2599" s="7" t="s">
        <v>113</v>
      </c>
      <c r="AG2599" s="7" t="s">
        <v>366</v>
      </c>
      <c r="AH2599" s="7" t="s">
        <v>4818</v>
      </c>
    </row>
    <row r="2600" spans="1:34" ht="9.75" customHeight="1" x14ac:dyDescent="0.2">
      <c r="A2600" s="7" t="s">
        <v>5597</v>
      </c>
      <c r="B2600" s="7" t="s">
        <v>4812</v>
      </c>
      <c r="C2600" s="7"/>
      <c r="D2600" s="7" t="s">
        <v>6234</v>
      </c>
      <c r="E2600" s="8">
        <v>2</v>
      </c>
      <c r="F2600" s="7"/>
      <c r="G2600" s="7"/>
      <c r="H2600" s="9"/>
      <c r="I2600" s="10">
        <v>55837</v>
      </c>
      <c r="J2600" s="10">
        <v>46252</v>
      </c>
      <c r="K2600" s="10">
        <v>47028</v>
      </c>
      <c r="L2600" s="10">
        <v>10813</v>
      </c>
      <c r="M2600" s="9"/>
      <c r="N2600" s="9"/>
      <c r="O2600" s="10">
        <v>13189</v>
      </c>
      <c r="P2600" s="10"/>
      <c r="Q2600" s="10"/>
      <c r="R2600" s="10"/>
      <c r="S2600" s="7"/>
      <c r="T2600" s="7"/>
      <c r="U2600" s="7" t="s">
        <v>44</v>
      </c>
      <c r="V2600" s="7" t="s">
        <v>45</v>
      </c>
      <c r="W2600" s="7" t="s">
        <v>4779</v>
      </c>
      <c r="X2600" s="7" t="s">
        <v>4780</v>
      </c>
      <c r="Y2600" s="7" t="s">
        <v>6285</v>
      </c>
      <c r="Z2600" s="7" t="s">
        <v>1465</v>
      </c>
      <c r="AA2600" s="7"/>
      <c r="AB2600" s="7"/>
      <c r="AC2600" s="7" t="s">
        <v>4817</v>
      </c>
      <c r="AD2600" s="7" t="s">
        <v>6261</v>
      </c>
      <c r="AE2600" s="7" t="s">
        <v>6234</v>
      </c>
      <c r="AF2600" s="7" t="s">
        <v>113</v>
      </c>
      <c r="AG2600" s="7" t="s">
        <v>366</v>
      </c>
      <c r="AH2600" s="7" t="s">
        <v>4818</v>
      </c>
    </row>
    <row r="2601" spans="1:34" ht="9.75" customHeight="1" x14ac:dyDescent="0.2">
      <c r="A2601" s="7" t="s">
        <v>5597</v>
      </c>
      <c r="B2601" s="7" t="s">
        <v>4812</v>
      </c>
      <c r="C2601" s="7"/>
      <c r="D2601" s="7" t="s">
        <v>6286</v>
      </c>
      <c r="E2601" s="8">
        <v>2</v>
      </c>
      <c r="F2601" s="7"/>
      <c r="G2601" s="7"/>
      <c r="H2601" s="9"/>
      <c r="I2601" s="9"/>
      <c r="J2601" s="10">
        <v>20041</v>
      </c>
      <c r="K2601" s="10">
        <v>20041</v>
      </c>
      <c r="L2601" s="10">
        <v>964</v>
      </c>
      <c r="M2601" s="9"/>
      <c r="N2601" s="9"/>
      <c r="O2601" s="10">
        <v>27283</v>
      </c>
      <c r="P2601" s="10"/>
      <c r="Q2601" s="10"/>
      <c r="R2601" s="10"/>
      <c r="S2601" s="7"/>
      <c r="T2601" s="7"/>
      <c r="U2601" s="7"/>
      <c r="V2601" s="7"/>
      <c r="W2601" s="7"/>
      <c r="X2601" s="7"/>
      <c r="Y2601" s="7" t="s">
        <v>6287</v>
      </c>
      <c r="Z2601" s="7" t="s">
        <v>1465</v>
      </c>
      <c r="AA2601" s="7"/>
      <c r="AB2601" s="7"/>
      <c r="AC2601" s="7" t="s">
        <v>4817</v>
      </c>
      <c r="AD2601" s="7" t="s">
        <v>6261</v>
      </c>
      <c r="AE2601" s="7" t="s">
        <v>6288</v>
      </c>
      <c r="AF2601" s="7" t="s">
        <v>113</v>
      </c>
      <c r="AG2601" s="7" t="s">
        <v>366</v>
      </c>
      <c r="AH2601" s="7" t="s">
        <v>4818</v>
      </c>
    </row>
    <row r="2602" spans="1:34" ht="9.75" customHeight="1" x14ac:dyDescent="0.2">
      <c r="A2602" s="7" t="s">
        <v>5597</v>
      </c>
      <c r="B2602" s="7" t="s">
        <v>4812</v>
      </c>
      <c r="C2602" s="7"/>
      <c r="D2602" s="7" t="s">
        <v>6239</v>
      </c>
      <c r="E2602" s="8">
        <v>2</v>
      </c>
      <c r="F2602" s="7"/>
      <c r="G2602" s="7"/>
      <c r="H2602" s="9"/>
      <c r="I2602" s="10">
        <v>31</v>
      </c>
      <c r="J2602" s="9"/>
      <c r="K2602" s="9"/>
      <c r="L2602" s="9"/>
      <c r="M2602" s="9"/>
      <c r="N2602" s="9"/>
      <c r="O2602" s="9"/>
      <c r="P2602" s="9"/>
      <c r="Q2602" s="9"/>
      <c r="R2602" s="9"/>
      <c r="S2602" s="7"/>
      <c r="T2602" s="7"/>
      <c r="U2602" s="7" t="s">
        <v>44</v>
      </c>
      <c r="V2602" s="7" t="s">
        <v>281</v>
      </c>
      <c r="W2602" s="7" t="s">
        <v>6240</v>
      </c>
      <c r="X2602" s="7" t="s">
        <v>6239</v>
      </c>
      <c r="Y2602" s="7" t="s">
        <v>6289</v>
      </c>
      <c r="Z2602" s="7" t="s">
        <v>1465</v>
      </c>
      <c r="AA2602" s="7"/>
      <c r="AB2602" s="7"/>
      <c r="AC2602" s="7" t="s">
        <v>4817</v>
      </c>
      <c r="AD2602" s="7" t="s">
        <v>6290</v>
      </c>
      <c r="AE2602" s="7" t="s">
        <v>6239</v>
      </c>
      <c r="AF2602" s="7" t="s">
        <v>113</v>
      </c>
      <c r="AG2602" s="7" t="s">
        <v>366</v>
      </c>
      <c r="AH2602" s="7" t="s">
        <v>4818</v>
      </c>
    </row>
    <row r="2603" spans="1:34" ht="9.75" customHeight="1" x14ac:dyDescent="0.2">
      <c r="A2603" s="7" t="s">
        <v>5597</v>
      </c>
      <c r="B2603" s="7" t="s">
        <v>4812</v>
      </c>
      <c r="C2603" s="7"/>
      <c r="D2603" s="7" t="s">
        <v>6243</v>
      </c>
      <c r="E2603" s="8">
        <v>2</v>
      </c>
      <c r="F2603" s="7"/>
      <c r="G2603" s="7"/>
      <c r="H2603" s="9"/>
      <c r="I2603" s="10">
        <v>3608</v>
      </c>
      <c r="J2603" s="10">
        <v>5651</v>
      </c>
      <c r="K2603" s="10">
        <v>5651</v>
      </c>
      <c r="L2603" s="10">
        <v>5569</v>
      </c>
      <c r="M2603" s="9"/>
      <c r="N2603" s="9"/>
      <c r="O2603" s="10">
        <v>5569</v>
      </c>
      <c r="P2603" s="10"/>
      <c r="Q2603" s="10"/>
      <c r="R2603" s="10"/>
      <c r="S2603" s="7"/>
      <c r="T2603" s="7"/>
      <c r="U2603" s="7"/>
      <c r="V2603" s="7"/>
      <c r="W2603" s="7"/>
      <c r="X2603" s="7"/>
      <c r="Y2603" s="7" t="s">
        <v>6291</v>
      </c>
      <c r="Z2603" s="7" t="s">
        <v>1465</v>
      </c>
      <c r="AA2603" s="7"/>
      <c r="AB2603" s="7"/>
      <c r="AC2603" s="7" t="s">
        <v>4817</v>
      </c>
      <c r="AD2603" s="7" t="s">
        <v>6261</v>
      </c>
      <c r="AE2603" s="7" t="s">
        <v>6243</v>
      </c>
      <c r="AF2603" s="7" t="s">
        <v>113</v>
      </c>
      <c r="AG2603" s="7" t="s">
        <v>366</v>
      </c>
      <c r="AH2603" s="7" t="s">
        <v>4818</v>
      </c>
    </row>
    <row r="2604" spans="1:34" ht="9.75" customHeight="1" x14ac:dyDescent="0.2">
      <c r="A2604" s="7" t="s">
        <v>5597</v>
      </c>
      <c r="B2604" s="7" t="s">
        <v>4812</v>
      </c>
      <c r="C2604" s="7"/>
      <c r="D2604" s="7" t="s">
        <v>6245</v>
      </c>
      <c r="E2604" s="8">
        <v>2</v>
      </c>
      <c r="F2604" s="7"/>
      <c r="G2604" s="7"/>
      <c r="H2604" s="9"/>
      <c r="I2604" s="10">
        <v>628</v>
      </c>
      <c r="J2604" s="10">
        <v>806</v>
      </c>
      <c r="K2604" s="10">
        <v>806</v>
      </c>
      <c r="L2604" s="10">
        <v>814</v>
      </c>
      <c r="M2604" s="9"/>
      <c r="N2604" s="9"/>
      <c r="O2604" s="10">
        <v>814</v>
      </c>
      <c r="P2604" s="10"/>
      <c r="Q2604" s="10"/>
      <c r="R2604" s="10"/>
      <c r="S2604" s="7"/>
      <c r="T2604" s="7"/>
      <c r="U2604" s="7"/>
      <c r="V2604" s="7"/>
      <c r="W2604" s="7"/>
      <c r="X2604" s="7"/>
      <c r="Y2604" s="7" t="s">
        <v>6292</v>
      </c>
      <c r="Z2604" s="7" t="s">
        <v>1465</v>
      </c>
      <c r="AA2604" s="7"/>
      <c r="AB2604" s="7"/>
      <c r="AC2604" s="7" t="s">
        <v>4817</v>
      </c>
      <c r="AD2604" s="7" t="s">
        <v>6261</v>
      </c>
      <c r="AE2604" s="7" t="s">
        <v>6245</v>
      </c>
      <c r="AF2604" s="7" t="s">
        <v>113</v>
      </c>
      <c r="AG2604" s="7" t="s">
        <v>366</v>
      </c>
      <c r="AH2604" s="7" t="s">
        <v>4818</v>
      </c>
    </row>
    <row r="2605" spans="1:34" ht="9.75" customHeight="1" x14ac:dyDescent="0.2">
      <c r="A2605" s="7" t="s">
        <v>5597</v>
      </c>
      <c r="B2605" s="7" t="s">
        <v>4812</v>
      </c>
      <c r="C2605" s="7"/>
      <c r="D2605" s="7" t="s">
        <v>6293</v>
      </c>
      <c r="E2605" s="8">
        <v>2</v>
      </c>
      <c r="F2605" s="7"/>
      <c r="G2605" s="7"/>
      <c r="H2605" s="9"/>
      <c r="I2605" s="10">
        <v>13902</v>
      </c>
      <c r="J2605" s="10">
        <v>27805</v>
      </c>
      <c r="K2605" s="10">
        <v>27805</v>
      </c>
      <c r="L2605" s="10">
        <v>27382</v>
      </c>
      <c r="M2605" s="9"/>
      <c r="N2605" s="9"/>
      <c r="O2605" s="10">
        <v>29120</v>
      </c>
      <c r="P2605" s="10"/>
      <c r="Q2605" s="10"/>
      <c r="R2605" s="10"/>
      <c r="S2605" s="7"/>
      <c r="T2605" s="7"/>
      <c r="U2605" s="7"/>
      <c r="V2605" s="7"/>
      <c r="W2605" s="7"/>
      <c r="X2605" s="7"/>
      <c r="Y2605" s="7" t="s">
        <v>6294</v>
      </c>
      <c r="Z2605" s="7" t="s">
        <v>1465</v>
      </c>
      <c r="AA2605" s="7"/>
      <c r="AB2605" s="7"/>
      <c r="AC2605" s="7" t="s">
        <v>4817</v>
      </c>
      <c r="AD2605" s="7" t="s">
        <v>6261</v>
      </c>
      <c r="AE2605" s="7" t="s">
        <v>6295</v>
      </c>
      <c r="AF2605" s="7" t="s">
        <v>113</v>
      </c>
      <c r="AG2605" s="7" t="s">
        <v>366</v>
      </c>
      <c r="AH2605" s="7" t="s">
        <v>4818</v>
      </c>
    </row>
    <row r="2606" spans="1:34" ht="9.75" customHeight="1" x14ac:dyDescent="0.2">
      <c r="A2606" s="7" t="s">
        <v>5597</v>
      </c>
      <c r="B2606" s="7" t="s">
        <v>4812</v>
      </c>
      <c r="C2606" s="7"/>
      <c r="D2606" s="7" t="s">
        <v>47</v>
      </c>
      <c r="E2606" s="8">
        <v>2</v>
      </c>
      <c r="F2606" s="7"/>
      <c r="G2606" s="7"/>
      <c r="H2606" s="9"/>
      <c r="I2606" s="10">
        <v>424396</v>
      </c>
      <c r="J2606" s="10">
        <v>276204</v>
      </c>
      <c r="K2606" s="10">
        <v>276424</v>
      </c>
      <c r="L2606" s="10">
        <v>301080</v>
      </c>
      <c r="M2606" s="9"/>
      <c r="N2606" s="9"/>
      <c r="O2606" s="10">
        <v>307425</v>
      </c>
      <c r="P2606" s="10"/>
      <c r="Q2606" s="10"/>
      <c r="R2606" s="10"/>
      <c r="S2606" s="7"/>
      <c r="T2606" s="7"/>
      <c r="U2606" s="7" t="s">
        <v>44</v>
      </c>
      <c r="V2606" s="7" t="s">
        <v>45</v>
      </c>
      <c r="W2606" s="7" t="s">
        <v>46</v>
      </c>
      <c r="X2606" s="7" t="s">
        <v>47</v>
      </c>
      <c r="Y2606" s="7" t="s">
        <v>6296</v>
      </c>
      <c r="Z2606" s="7" t="s">
        <v>1465</v>
      </c>
      <c r="AA2606" s="7"/>
      <c r="AB2606" s="7"/>
      <c r="AC2606" s="7" t="s">
        <v>4817</v>
      </c>
      <c r="AD2606" s="7" t="s">
        <v>6297</v>
      </c>
      <c r="AE2606" s="7" t="s">
        <v>47</v>
      </c>
      <c r="AF2606" s="7" t="s">
        <v>1316</v>
      </c>
      <c r="AG2606" s="7" t="s">
        <v>1317</v>
      </c>
      <c r="AH2606" s="7" t="s">
        <v>4818</v>
      </c>
    </row>
    <row r="2607" spans="1:34" ht="9.75" customHeight="1" x14ac:dyDescent="0.2">
      <c r="A2607" s="7" t="s">
        <v>5597</v>
      </c>
      <c r="B2607" s="7" t="s">
        <v>4812</v>
      </c>
      <c r="C2607" s="7"/>
      <c r="D2607" s="7" t="s">
        <v>6251</v>
      </c>
      <c r="E2607" s="8">
        <v>2</v>
      </c>
      <c r="F2607" s="7"/>
      <c r="G2607" s="7"/>
      <c r="H2607" s="9"/>
      <c r="I2607" s="9"/>
      <c r="J2607" s="9"/>
      <c r="K2607" s="9"/>
      <c r="L2607" s="10">
        <v>67781</v>
      </c>
      <c r="M2607" s="9"/>
      <c r="N2607" s="9"/>
      <c r="O2607" s="10">
        <v>67846</v>
      </c>
      <c r="P2607" s="10"/>
      <c r="Q2607" s="10"/>
      <c r="R2607" s="10"/>
      <c r="S2607" s="7"/>
      <c r="T2607" s="7"/>
      <c r="U2607" s="7" t="s">
        <v>44</v>
      </c>
      <c r="V2607" s="7" t="s">
        <v>45</v>
      </c>
      <c r="W2607" s="7" t="s">
        <v>46</v>
      </c>
      <c r="X2607" s="7" t="s">
        <v>6251</v>
      </c>
      <c r="Y2607" s="7" t="s">
        <v>6298</v>
      </c>
      <c r="Z2607" s="7" t="s">
        <v>1465</v>
      </c>
      <c r="AA2607" s="7"/>
      <c r="AB2607" s="7"/>
      <c r="AC2607" s="7" t="s">
        <v>4817</v>
      </c>
      <c r="AD2607" s="7" t="s">
        <v>6261</v>
      </c>
      <c r="AE2607" s="7" t="s">
        <v>6251</v>
      </c>
      <c r="AF2607" s="7" t="s">
        <v>113</v>
      </c>
      <c r="AG2607" s="7" t="s">
        <v>366</v>
      </c>
      <c r="AH2607" s="7" t="s">
        <v>4818</v>
      </c>
    </row>
    <row r="2608" spans="1:34" ht="9.75" customHeight="1" x14ac:dyDescent="0.2">
      <c r="A2608" s="7" t="s">
        <v>5597</v>
      </c>
      <c r="B2608" s="7" t="s">
        <v>4812</v>
      </c>
      <c r="C2608" s="7"/>
      <c r="D2608" s="7" t="s">
        <v>90</v>
      </c>
      <c r="E2608" s="8">
        <v>2</v>
      </c>
      <c r="F2608" s="7"/>
      <c r="G2608" s="7"/>
      <c r="H2608" s="9"/>
      <c r="I2608" s="10">
        <v>94867</v>
      </c>
      <c r="J2608" s="10">
        <v>126352</v>
      </c>
      <c r="K2608" s="10">
        <v>126352</v>
      </c>
      <c r="L2608" s="10">
        <v>584293</v>
      </c>
      <c r="M2608" s="9"/>
      <c r="N2608" s="9"/>
      <c r="O2608" s="10">
        <v>592946</v>
      </c>
      <c r="P2608" s="10"/>
      <c r="Q2608" s="10"/>
      <c r="R2608" s="10"/>
      <c r="S2608" s="7"/>
      <c r="T2608" s="7"/>
      <c r="U2608" s="7" t="s">
        <v>44</v>
      </c>
      <c r="V2608" s="7" t="s">
        <v>45</v>
      </c>
      <c r="W2608" s="7" t="s">
        <v>46</v>
      </c>
      <c r="X2608" s="7" t="s">
        <v>90</v>
      </c>
      <c r="Y2608" s="7" t="s">
        <v>6299</v>
      </c>
      <c r="Z2608" s="7" t="s">
        <v>1465</v>
      </c>
      <c r="AA2608" s="7"/>
      <c r="AB2608" s="7"/>
      <c r="AC2608" s="7" t="s">
        <v>4817</v>
      </c>
      <c r="AD2608" s="7" t="s">
        <v>6261</v>
      </c>
      <c r="AE2608" s="7" t="s">
        <v>90</v>
      </c>
      <c r="AF2608" s="7" t="s">
        <v>113</v>
      </c>
      <c r="AG2608" s="7" t="s">
        <v>366</v>
      </c>
      <c r="AH2608" s="7" t="s">
        <v>4818</v>
      </c>
    </row>
    <row r="2609" spans="1:34" ht="9.75" customHeight="1" x14ac:dyDescent="0.2">
      <c r="A2609" s="7" t="s">
        <v>5597</v>
      </c>
      <c r="B2609" s="7" t="s">
        <v>4812</v>
      </c>
      <c r="C2609" s="7"/>
      <c r="D2609" s="7" t="s">
        <v>6254</v>
      </c>
      <c r="E2609" s="8">
        <v>2</v>
      </c>
      <c r="F2609" s="7"/>
      <c r="G2609" s="7"/>
      <c r="H2609" s="9"/>
      <c r="I2609" s="10">
        <v>2524018</v>
      </c>
      <c r="J2609" s="10">
        <v>2635557</v>
      </c>
      <c r="K2609" s="10">
        <v>2765819</v>
      </c>
      <c r="L2609" s="10">
        <v>2431863</v>
      </c>
      <c r="M2609" s="9"/>
      <c r="N2609" s="9"/>
      <c r="O2609" s="10">
        <v>2531177</v>
      </c>
      <c r="P2609" s="10"/>
      <c r="Q2609" s="10"/>
      <c r="R2609" s="10"/>
      <c r="S2609" s="7"/>
      <c r="T2609" s="7"/>
      <c r="U2609" s="7" t="s">
        <v>44</v>
      </c>
      <c r="V2609" s="7" t="s">
        <v>45</v>
      </c>
      <c r="W2609" s="7" t="s">
        <v>46</v>
      </c>
      <c r="X2609" s="7" t="s">
        <v>90</v>
      </c>
      <c r="Y2609" s="7" t="s">
        <v>6300</v>
      </c>
      <c r="Z2609" s="7" t="s">
        <v>1465</v>
      </c>
      <c r="AA2609" s="7"/>
      <c r="AB2609" s="7"/>
      <c r="AC2609" s="7" t="s">
        <v>4817</v>
      </c>
      <c r="AD2609" s="7" t="s">
        <v>6261</v>
      </c>
      <c r="AE2609" s="7" t="s">
        <v>6254</v>
      </c>
      <c r="AF2609" s="7" t="s">
        <v>113</v>
      </c>
      <c r="AG2609" s="7" t="s">
        <v>366</v>
      </c>
      <c r="AH2609" s="7" t="s">
        <v>4818</v>
      </c>
    </row>
    <row r="2610" spans="1:34" ht="9.75" customHeight="1" x14ac:dyDescent="0.2">
      <c r="A2610" s="7" t="s">
        <v>5597</v>
      </c>
      <c r="B2610" s="7" t="s">
        <v>4812</v>
      </c>
      <c r="C2610" s="7"/>
      <c r="D2610" s="7" t="s">
        <v>6256</v>
      </c>
      <c r="E2610" s="8">
        <v>2</v>
      </c>
      <c r="F2610" s="7"/>
      <c r="G2610" s="7"/>
      <c r="H2610" s="9"/>
      <c r="I2610" s="10">
        <v>1964943</v>
      </c>
      <c r="J2610" s="10">
        <v>1633867</v>
      </c>
      <c r="K2610" s="10">
        <v>1758233</v>
      </c>
      <c r="L2610" s="10">
        <v>1410798</v>
      </c>
      <c r="M2610" s="9"/>
      <c r="N2610" s="9"/>
      <c r="O2610" s="10">
        <v>1598434</v>
      </c>
      <c r="P2610" s="10"/>
      <c r="Q2610" s="10"/>
      <c r="R2610" s="10"/>
      <c r="S2610" s="7"/>
      <c r="T2610" s="7"/>
      <c r="U2610" s="7" t="s">
        <v>44</v>
      </c>
      <c r="V2610" s="7" t="s">
        <v>45</v>
      </c>
      <c r="W2610" s="7" t="s">
        <v>46</v>
      </c>
      <c r="X2610" s="7" t="s">
        <v>90</v>
      </c>
      <c r="Y2610" s="7" t="s">
        <v>6301</v>
      </c>
      <c r="Z2610" s="7" t="s">
        <v>1465</v>
      </c>
      <c r="AA2610" s="7"/>
      <c r="AB2610" s="7"/>
      <c r="AC2610" s="7" t="s">
        <v>4817</v>
      </c>
      <c r="AD2610" s="7" t="s">
        <v>6261</v>
      </c>
      <c r="AE2610" s="7" t="s">
        <v>6256</v>
      </c>
      <c r="AF2610" s="7" t="s">
        <v>113</v>
      </c>
      <c r="AG2610" s="7" t="s">
        <v>366</v>
      </c>
      <c r="AH2610" s="7" t="s">
        <v>4818</v>
      </c>
    </row>
    <row r="2611" spans="1:34" ht="9.75" customHeight="1" x14ac:dyDescent="0.2">
      <c r="A2611" s="7" t="s">
        <v>5597</v>
      </c>
      <c r="B2611" s="7" t="s">
        <v>4812</v>
      </c>
      <c r="C2611" s="7"/>
      <c r="D2611" s="7" t="s">
        <v>6302</v>
      </c>
      <c r="E2611" s="8">
        <v>2</v>
      </c>
      <c r="F2611" s="7"/>
      <c r="G2611" s="7"/>
      <c r="H2611" s="9"/>
      <c r="I2611" s="10">
        <v>16356426</v>
      </c>
      <c r="J2611" s="10">
        <v>16652022</v>
      </c>
      <c r="K2611" s="10">
        <v>18573316</v>
      </c>
      <c r="L2611" s="10">
        <v>17526406</v>
      </c>
      <c r="M2611" s="9"/>
      <c r="N2611" s="9"/>
      <c r="O2611" s="10">
        <v>19702254</v>
      </c>
      <c r="P2611" s="10"/>
      <c r="Q2611" s="10"/>
      <c r="R2611" s="10"/>
      <c r="S2611" s="7" t="s">
        <v>43</v>
      </c>
      <c r="T2611" s="7" t="s">
        <v>6303</v>
      </c>
      <c r="U2611" s="7"/>
      <c r="V2611" s="7"/>
      <c r="W2611" s="7"/>
      <c r="X2611" s="7"/>
      <c r="Y2611" s="7" t="s">
        <v>6304</v>
      </c>
      <c r="Z2611" s="7" t="s">
        <v>1465</v>
      </c>
      <c r="AA2611" s="7"/>
      <c r="AB2611" s="7"/>
      <c r="AC2611" s="7" t="s">
        <v>4817</v>
      </c>
      <c r="AD2611" s="7"/>
      <c r="AE2611" s="7"/>
      <c r="AF2611" s="7" t="s">
        <v>113</v>
      </c>
      <c r="AG2611" s="7" t="s">
        <v>366</v>
      </c>
      <c r="AH2611" s="7" t="s">
        <v>4818</v>
      </c>
    </row>
    <row r="2612" spans="1:34" ht="9.75" customHeight="1" x14ac:dyDescent="0.2">
      <c r="A2612" s="7" t="s">
        <v>5597</v>
      </c>
      <c r="B2612" s="7" t="s">
        <v>4812</v>
      </c>
      <c r="C2612" s="7"/>
      <c r="D2612" s="7" t="s">
        <v>6305</v>
      </c>
      <c r="E2612" s="8">
        <v>4</v>
      </c>
      <c r="F2612" s="7"/>
      <c r="G2612" s="7"/>
      <c r="H2612" s="9"/>
      <c r="I2612" s="10">
        <v>7736</v>
      </c>
      <c r="J2612" s="10">
        <v>7398</v>
      </c>
      <c r="K2612" s="10">
        <v>7398</v>
      </c>
      <c r="L2612" s="10">
        <v>7620</v>
      </c>
      <c r="M2612" s="9"/>
      <c r="N2612" s="9"/>
      <c r="O2612" s="10">
        <v>12047</v>
      </c>
      <c r="P2612" s="10"/>
      <c r="Q2612" s="10"/>
      <c r="R2612" s="10"/>
      <c r="S2612" s="7"/>
      <c r="T2612" s="7"/>
      <c r="U2612" s="7" t="s">
        <v>44</v>
      </c>
      <c r="V2612" s="7" t="s">
        <v>45</v>
      </c>
      <c r="W2612" s="7" t="s">
        <v>46</v>
      </c>
      <c r="X2612" s="7" t="s">
        <v>90</v>
      </c>
      <c r="Y2612" s="7" t="s">
        <v>6306</v>
      </c>
      <c r="Z2612" s="7" t="s">
        <v>6307</v>
      </c>
      <c r="AA2612" s="7"/>
      <c r="AB2612" s="7"/>
      <c r="AC2612" s="7" t="s">
        <v>4817</v>
      </c>
      <c r="AD2612" s="7" t="s">
        <v>6308</v>
      </c>
      <c r="AE2612" s="7" t="s">
        <v>6305</v>
      </c>
      <c r="AF2612" s="7" t="s">
        <v>113</v>
      </c>
      <c r="AG2612" s="7" t="s">
        <v>366</v>
      </c>
      <c r="AH2612" s="7" t="s">
        <v>4818</v>
      </c>
    </row>
    <row r="2613" spans="1:34" ht="9.75" customHeight="1" x14ac:dyDescent="0.2">
      <c r="A2613" s="7" t="s">
        <v>5597</v>
      </c>
      <c r="B2613" s="7" t="s">
        <v>4812</v>
      </c>
      <c r="C2613" s="7"/>
      <c r="D2613" s="7" t="s">
        <v>68</v>
      </c>
      <c r="E2613" s="8">
        <v>4</v>
      </c>
      <c r="F2613" s="7"/>
      <c r="G2613" s="7"/>
      <c r="H2613" s="9"/>
      <c r="I2613" s="10">
        <v>13102</v>
      </c>
      <c r="J2613" s="10">
        <v>54832</v>
      </c>
      <c r="K2613" s="10">
        <v>54832</v>
      </c>
      <c r="L2613" s="10">
        <v>63908</v>
      </c>
      <c r="M2613" s="9"/>
      <c r="N2613" s="9"/>
      <c r="O2613" s="10">
        <v>63908</v>
      </c>
      <c r="P2613" s="10"/>
      <c r="Q2613" s="10"/>
      <c r="R2613" s="10"/>
      <c r="S2613" s="7"/>
      <c r="T2613" s="7"/>
      <c r="U2613" s="7" t="s">
        <v>44</v>
      </c>
      <c r="V2613" s="7" t="s">
        <v>45</v>
      </c>
      <c r="W2613" s="7" t="s">
        <v>67</v>
      </c>
      <c r="X2613" s="7" t="s">
        <v>68</v>
      </c>
      <c r="Y2613" s="7" t="s">
        <v>6309</v>
      </c>
      <c r="Z2613" s="7" t="s">
        <v>6307</v>
      </c>
      <c r="AA2613" s="7"/>
      <c r="AB2613" s="7"/>
      <c r="AC2613" s="7" t="s">
        <v>4817</v>
      </c>
      <c r="AD2613" s="7" t="s">
        <v>6310</v>
      </c>
      <c r="AE2613" s="7" t="s">
        <v>68</v>
      </c>
      <c r="AF2613" s="7" t="s">
        <v>113</v>
      </c>
      <c r="AG2613" s="7" t="s">
        <v>366</v>
      </c>
      <c r="AH2613" s="7" t="s">
        <v>4818</v>
      </c>
    </row>
    <row r="2614" spans="1:34" ht="9.75" customHeight="1" x14ac:dyDescent="0.2">
      <c r="A2614" s="7" t="s">
        <v>5597</v>
      </c>
      <c r="B2614" s="7" t="s">
        <v>4812</v>
      </c>
      <c r="C2614" s="7"/>
      <c r="D2614" s="7" t="s">
        <v>6311</v>
      </c>
      <c r="E2614" s="8">
        <v>4</v>
      </c>
      <c r="F2614" s="7"/>
      <c r="G2614" s="7"/>
      <c r="H2614" s="9"/>
      <c r="I2614" s="9"/>
      <c r="J2614" s="9"/>
      <c r="K2614" s="9"/>
      <c r="L2614" s="10">
        <v>2669</v>
      </c>
      <c r="M2614" s="9"/>
      <c r="N2614" s="9"/>
      <c r="O2614" s="10">
        <v>2669</v>
      </c>
      <c r="P2614" s="10"/>
      <c r="Q2614" s="10"/>
      <c r="R2614" s="10"/>
      <c r="S2614" s="7"/>
      <c r="T2614" s="7"/>
      <c r="U2614" s="7" t="s">
        <v>44</v>
      </c>
      <c r="V2614" s="7" t="s">
        <v>45</v>
      </c>
      <c r="W2614" s="7" t="s">
        <v>46</v>
      </c>
      <c r="X2614" s="7" t="s">
        <v>47</v>
      </c>
      <c r="Y2614" s="7" t="s">
        <v>6312</v>
      </c>
      <c r="Z2614" s="7" t="s">
        <v>6307</v>
      </c>
      <c r="AA2614" s="7"/>
      <c r="AB2614" s="7"/>
      <c r="AC2614" s="7" t="s">
        <v>4817</v>
      </c>
      <c r="AD2614" s="7" t="s">
        <v>6310</v>
      </c>
      <c r="AE2614" s="7" t="s">
        <v>6311</v>
      </c>
      <c r="AF2614" s="7" t="s">
        <v>113</v>
      </c>
      <c r="AG2614" s="7" t="s">
        <v>366</v>
      </c>
      <c r="AH2614" s="7" t="s">
        <v>4818</v>
      </c>
    </row>
    <row r="2615" spans="1:34" ht="9.75" customHeight="1" x14ac:dyDescent="0.2">
      <c r="A2615" s="7" t="s">
        <v>5597</v>
      </c>
      <c r="B2615" s="7" t="s">
        <v>4812</v>
      </c>
      <c r="C2615" s="7"/>
      <c r="D2615" s="7" t="s">
        <v>90</v>
      </c>
      <c r="E2615" s="8">
        <v>4</v>
      </c>
      <c r="F2615" s="7"/>
      <c r="G2615" s="7"/>
      <c r="H2615" s="9"/>
      <c r="I2615" s="10">
        <v>73142</v>
      </c>
      <c r="J2615" s="10">
        <v>2810</v>
      </c>
      <c r="K2615" s="10">
        <v>2810</v>
      </c>
      <c r="L2615" s="10">
        <v>53356</v>
      </c>
      <c r="M2615" s="9"/>
      <c r="N2615" s="9"/>
      <c r="O2615" s="10">
        <v>53356</v>
      </c>
      <c r="P2615" s="10"/>
      <c r="Q2615" s="10"/>
      <c r="R2615" s="10"/>
      <c r="S2615" s="7"/>
      <c r="T2615" s="7"/>
      <c r="U2615" s="7" t="s">
        <v>44</v>
      </c>
      <c r="V2615" s="7" t="s">
        <v>45</v>
      </c>
      <c r="W2615" s="7" t="s">
        <v>46</v>
      </c>
      <c r="X2615" s="7" t="s">
        <v>90</v>
      </c>
      <c r="Y2615" s="7" t="s">
        <v>6313</v>
      </c>
      <c r="Z2615" s="7" t="s">
        <v>6307</v>
      </c>
      <c r="AA2615" s="7"/>
      <c r="AB2615" s="7"/>
      <c r="AC2615" s="7" t="s">
        <v>4817</v>
      </c>
      <c r="AD2615" s="7" t="s">
        <v>6314</v>
      </c>
      <c r="AE2615" s="7" t="s">
        <v>90</v>
      </c>
      <c r="AF2615" s="7" t="s">
        <v>6249</v>
      </c>
      <c r="AG2615" s="7" t="s">
        <v>6250</v>
      </c>
      <c r="AH2615" s="7" t="s">
        <v>4818</v>
      </c>
    </row>
    <row r="2616" spans="1:34" ht="9.75" customHeight="1" x14ac:dyDescent="0.2">
      <c r="A2616" s="7" t="s">
        <v>5597</v>
      </c>
      <c r="B2616" s="7" t="s">
        <v>4812</v>
      </c>
      <c r="C2616" s="7"/>
      <c r="D2616" s="7" t="s">
        <v>6187</v>
      </c>
      <c r="E2616" s="8">
        <v>4</v>
      </c>
      <c r="F2616" s="7"/>
      <c r="G2616" s="7"/>
      <c r="H2616" s="9"/>
      <c r="I2616" s="10">
        <v>573902</v>
      </c>
      <c r="J2616" s="10">
        <v>1097648</v>
      </c>
      <c r="K2616" s="10">
        <v>1354392</v>
      </c>
      <c r="L2616" s="10">
        <v>236773</v>
      </c>
      <c r="M2616" s="9"/>
      <c r="N2616" s="9"/>
      <c r="O2616" s="10">
        <v>393588</v>
      </c>
      <c r="P2616" s="10"/>
      <c r="Q2616" s="10"/>
      <c r="R2616" s="10"/>
      <c r="S2616" s="7"/>
      <c r="T2616" s="7"/>
      <c r="U2616" s="7" t="s">
        <v>44</v>
      </c>
      <c r="V2616" s="7" t="s">
        <v>45</v>
      </c>
      <c r="W2616" s="7" t="s">
        <v>171</v>
      </c>
      <c r="X2616" s="7" t="s">
        <v>5027</v>
      </c>
      <c r="Y2616" s="7" t="s">
        <v>6315</v>
      </c>
      <c r="Z2616" s="7" t="s">
        <v>6307</v>
      </c>
      <c r="AA2616" s="7"/>
      <c r="AB2616" s="7"/>
      <c r="AC2616" s="7" t="s">
        <v>4817</v>
      </c>
      <c r="AD2616" s="7" t="s">
        <v>6316</v>
      </c>
      <c r="AE2616" s="7" t="s">
        <v>6187</v>
      </c>
      <c r="AF2616" s="7" t="s">
        <v>113</v>
      </c>
      <c r="AG2616" s="7" t="s">
        <v>366</v>
      </c>
      <c r="AH2616" s="7" t="s">
        <v>4818</v>
      </c>
    </row>
    <row r="2617" spans="1:34" ht="9.75" customHeight="1" x14ac:dyDescent="0.2">
      <c r="A2617" s="7" t="s">
        <v>5597</v>
      </c>
      <c r="B2617" s="7" t="s">
        <v>4812</v>
      </c>
      <c r="C2617" s="7"/>
      <c r="D2617" s="7" t="s">
        <v>5077</v>
      </c>
      <c r="E2617" s="8">
        <v>4</v>
      </c>
      <c r="F2617" s="7"/>
      <c r="G2617" s="7"/>
      <c r="H2617" s="9"/>
      <c r="I2617" s="9"/>
      <c r="J2617" s="9"/>
      <c r="K2617" s="9"/>
      <c r="L2617" s="10">
        <v>44940</v>
      </c>
      <c r="M2617" s="9"/>
      <c r="N2617" s="9"/>
      <c r="O2617" s="10">
        <v>44940</v>
      </c>
      <c r="P2617" s="10"/>
      <c r="Q2617" s="10"/>
      <c r="R2617" s="10"/>
      <c r="S2617" s="7"/>
      <c r="T2617" s="7"/>
      <c r="U2617" s="7" t="s">
        <v>44</v>
      </c>
      <c r="V2617" s="7" t="s">
        <v>45</v>
      </c>
      <c r="W2617" s="7" t="s">
        <v>130</v>
      </c>
      <c r="X2617" s="7" t="s">
        <v>5077</v>
      </c>
      <c r="Y2617" s="7" t="s">
        <v>6317</v>
      </c>
      <c r="Z2617" s="7" t="s">
        <v>6307</v>
      </c>
      <c r="AA2617" s="7"/>
      <c r="AB2617" s="7"/>
      <c r="AC2617" s="7" t="s">
        <v>4817</v>
      </c>
      <c r="AD2617" s="7" t="s">
        <v>6316</v>
      </c>
      <c r="AE2617" s="7" t="s">
        <v>5077</v>
      </c>
      <c r="AF2617" s="7" t="s">
        <v>113</v>
      </c>
      <c r="AG2617" s="7" t="s">
        <v>366</v>
      </c>
      <c r="AH2617" s="7" t="s">
        <v>4818</v>
      </c>
    </row>
    <row r="2618" spans="1:34" ht="9.75" customHeight="1" x14ac:dyDescent="0.2">
      <c r="A2618" s="7" t="s">
        <v>5597</v>
      </c>
      <c r="B2618" s="7" t="s">
        <v>4812</v>
      </c>
      <c r="C2618" s="7"/>
      <c r="D2618" s="7" t="s">
        <v>6218</v>
      </c>
      <c r="E2618" s="8">
        <v>4</v>
      </c>
      <c r="F2618" s="7"/>
      <c r="G2618" s="7"/>
      <c r="H2618" s="9"/>
      <c r="I2618" s="10">
        <v>268311</v>
      </c>
      <c r="J2618" s="9"/>
      <c r="K2618" s="9"/>
      <c r="L2618" s="9"/>
      <c r="M2618" s="9"/>
      <c r="N2618" s="9"/>
      <c r="O2618" s="9"/>
      <c r="P2618" s="9"/>
      <c r="Q2618" s="9"/>
      <c r="R2618" s="9"/>
      <c r="S2618" s="7"/>
      <c r="T2618" s="7"/>
      <c r="U2618" s="7" t="s">
        <v>44</v>
      </c>
      <c r="V2618" s="7" t="s">
        <v>45</v>
      </c>
      <c r="W2618" s="7" t="s">
        <v>67</v>
      </c>
      <c r="X2618" s="7" t="s">
        <v>68</v>
      </c>
      <c r="Y2618" s="7" t="s">
        <v>6318</v>
      </c>
      <c r="Z2618" s="7" t="s">
        <v>6307</v>
      </c>
      <c r="AA2618" s="7"/>
      <c r="AB2618" s="7"/>
      <c r="AC2618" s="7" t="s">
        <v>4817</v>
      </c>
      <c r="AD2618" s="7" t="s">
        <v>6316</v>
      </c>
      <c r="AE2618" s="7" t="s">
        <v>6218</v>
      </c>
      <c r="AF2618" s="7" t="s">
        <v>113</v>
      </c>
      <c r="AG2618" s="7" t="s">
        <v>366</v>
      </c>
      <c r="AH2618" s="7" t="s">
        <v>4818</v>
      </c>
    </row>
    <row r="2619" spans="1:34" ht="9.75" customHeight="1" x14ac:dyDescent="0.2">
      <c r="A2619" s="7" t="s">
        <v>5597</v>
      </c>
      <c r="B2619" s="7" t="s">
        <v>4812</v>
      </c>
      <c r="C2619" s="7"/>
      <c r="D2619" s="7" t="s">
        <v>131</v>
      </c>
      <c r="E2619" s="8">
        <v>4</v>
      </c>
      <c r="F2619" s="7"/>
      <c r="G2619" s="7"/>
      <c r="H2619" s="9"/>
      <c r="I2619" s="10">
        <v>1676352</v>
      </c>
      <c r="J2619" s="10">
        <v>732451</v>
      </c>
      <c r="K2619" s="10">
        <v>814455</v>
      </c>
      <c r="L2619" s="10">
        <v>1282612</v>
      </c>
      <c r="M2619" s="9"/>
      <c r="N2619" s="9"/>
      <c r="O2619" s="10">
        <v>1418118</v>
      </c>
      <c r="P2619" s="10"/>
      <c r="Q2619" s="10"/>
      <c r="R2619" s="10"/>
      <c r="S2619" s="7"/>
      <c r="T2619" s="7"/>
      <c r="U2619" s="7" t="s">
        <v>44</v>
      </c>
      <c r="V2619" s="7" t="s">
        <v>45</v>
      </c>
      <c r="W2619" s="7" t="s">
        <v>130</v>
      </c>
      <c r="X2619" s="7" t="s">
        <v>131</v>
      </c>
      <c r="Y2619" s="7" t="s">
        <v>6319</v>
      </c>
      <c r="Z2619" s="7" t="s">
        <v>6307</v>
      </c>
      <c r="AA2619" s="7"/>
      <c r="AB2619" s="7"/>
      <c r="AC2619" s="7" t="s">
        <v>4817</v>
      </c>
      <c r="AD2619" s="7" t="s">
        <v>6320</v>
      </c>
      <c r="AE2619" s="7" t="s">
        <v>131</v>
      </c>
      <c r="AF2619" s="7" t="s">
        <v>113</v>
      </c>
      <c r="AG2619" s="7" t="s">
        <v>366</v>
      </c>
      <c r="AH2619" s="7" t="s">
        <v>4818</v>
      </c>
    </row>
    <row r="2620" spans="1:34" ht="9.75" customHeight="1" x14ac:dyDescent="0.2">
      <c r="A2620" s="7" t="s">
        <v>5597</v>
      </c>
      <c r="B2620" s="7" t="s">
        <v>4812</v>
      </c>
      <c r="C2620" s="7"/>
      <c r="D2620" s="7" t="s">
        <v>156</v>
      </c>
      <c r="E2620" s="8">
        <v>4</v>
      </c>
      <c r="F2620" s="7"/>
      <c r="G2620" s="7"/>
      <c r="H2620" s="9"/>
      <c r="I2620" s="10">
        <v>110171</v>
      </c>
      <c r="J2620" s="10">
        <v>232091</v>
      </c>
      <c r="K2620" s="10">
        <v>232091</v>
      </c>
      <c r="L2620" s="10">
        <v>383361</v>
      </c>
      <c r="M2620" s="9"/>
      <c r="N2620" s="9"/>
      <c r="O2620" s="10">
        <v>383361</v>
      </c>
      <c r="P2620" s="10"/>
      <c r="Q2620" s="10"/>
      <c r="R2620" s="10"/>
      <c r="S2620" s="7"/>
      <c r="T2620" s="7"/>
      <c r="U2620" s="7" t="s">
        <v>44</v>
      </c>
      <c r="V2620" s="7" t="s">
        <v>45</v>
      </c>
      <c r="W2620" s="7" t="s">
        <v>130</v>
      </c>
      <c r="X2620" s="7" t="s">
        <v>156</v>
      </c>
      <c r="Y2620" s="7" t="s">
        <v>6321</v>
      </c>
      <c r="Z2620" s="7" t="s">
        <v>6307</v>
      </c>
      <c r="AA2620" s="7"/>
      <c r="AB2620" s="7"/>
      <c r="AC2620" s="7" t="s">
        <v>4817</v>
      </c>
      <c r="AD2620" s="7" t="s">
        <v>6322</v>
      </c>
      <c r="AE2620" s="7" t="s">
        <v>156</v>
      </c>
      <c r="AF2620" s="7" t="s">
        <v>5521</v>
      </c>
      <c r="AG2620" s="7" t="s">
        <v>5522</v>
      </c>
      <c r="AH2620" s="7" t="s">
        <v>4818</v>
      </c>
    </row>
    <row r="2621" spans="1:34" ht="9.75" customHeight="1" x14ac:dyDescent="0.2">
      <c r="A2621" s="7" t="s">
        <v>5597</v>
      </c>
      <c r="B2621" s="7" t="s">
        <v>4812</v>
      </c>
      <c r="C2621" s="7"/>
      <c r="D2621" s="7" t="s">
        <v>194</v>
      </c>
      <c r="E2621" s="8">
        <v>4</v>
      </c>
      <c r="F2621" s="7"/>
      <c r="G2621" s="7"/>
      <c r="H2621" s="9"/>
      <c r="I2621" s="9"/>
      <c r="J2621" s="9"/>
      <c r="K2621" s="9"/>
      <c r="L2621" s="10">
        <v>12065</v>
      </c>
      <c r="M2621" s="9"/>
      <c r="N2621" s="9"/>
      <c r="O2621" s="10">
        <v>12065</v>
      </c>
      <c r="P2621" s="10"/>
      <c r="Q2621" s="10"/>
      <c r="R2621" s="10"/>
      <c r="S2621" s="7"/>
      <c r="T2621" s="7"/>
      <c r="U2621" s="7" t="s">
        <v>44</v>
      </c>
      <c r="V2621" s="7" t="s">
        <v>45</v>
      </c>
      <c r="W2621" s="7" t="s">
        <v>171</v>
      </c>
      <c r="X2621" s="7" t="s">
        <v>194</v>
      </c>
      <c r="Y2621" s="7" t="s">
        <v>6323</v>
      </c>
      <c r="Z2621" s="7" t="s">
        <v>6307</v>
      </c>
      <c r="AA2621" s="7"/>
      <c r="AB2621" s="7"/>
      <c r="AC2621" s="7" t="s">
        <v>4817</v>
      </c>
      <c r="AD2621" s="7" t="s">
        <v>6316</v>
      </c>
      <c r="AE2621" s="7" t="s">
        <v>194</v>
      </c>
      <c r="AF2621" s="7" t="s">
        <v>113</v>
      </c>
      <c r="AG2621" s="7" t="s">
        <v>366</v>
      </c>
      <c r="AH2621" s="7" t="s">
        <v>4818</v>
      </c>
    </row>
    <row r="2622" spans="1:34" ht="9.75" customHeight="1" x14ac:dyDescent="0.2">
      <c r="A2622" s="7" t="s">
        <v>5597</v>
      </c>
      <c r="B2622" s="7" t="s">
        <v>4812</v>
      </c>
      <c r="C2622" s="7"/>
      <c r="D2622" s="7" t="s">
        <v>5027</v>
      </c>
      <c r="E2622" s="8">
        <v>4</v>
      </c>
      <c r="F2622" s="7"/>
      <c r="G2622" s="7"/>
      <c r="H2622" s="9"/>
      <c r="I2622" s="9"/>
      <c r="J2622" s="9"/>
      <c r="K2622" s="9"/>
      <c r="L2622" s="10">
        <v>395086</v>
      </c>
      <c r="M2622" s="9"/>
      <c r="N2622" s="9"/>
      <c r="O2622" s="10">
        <v>395086</v>
      </c>
      <c r="P2622" s="10"/>
      <c r="Q2622" s="10"/>
      <c r="R2622" s="10"/>
      <c r="S2622" s="7"/>
      <c r="T2622" s="7"/>
      <c r="U2622" s="7" t="s">
        <v>44</v>
      </c>
      <c r="V2622" s="7" t="s">
        <v>45</v>
      </c>
      <c r="W2622" s="7" t="s">
        <v>171</v>
      </c>
      <c r="X2622" s="7" t="s">
        <v>5027</v>
      </c>
      <c r="Y2622" s="7" t="s">
        <v>6324</v>
      </c>
      <c r="Z2622" s="7" t="s">
        <v>6307</v>
      </c>
      <c r="AA2622" s="7"/>
      <c r="AB2622" s="7"/>
      <c r="AC2622" s="7" t="s">
        <v>4817</v>
      </c>
      <c r="AD2622" s="7" t="s">
        <v>6316</v>
      </c>
      <c r="AE2622" s="7" t="s">
        <v>5027</v>
      </c>
      <c r="AF2622" s="7" t="s">
        <v>113</v>
      </c>
      <c r="AG2622" s="7" t="s">
        <v>366</v>
      </c>
      <c r="AH2622" s="7" t="s">
        <v>4818</v>
      </c>
    </row>
    <row r="2623" spans="1:34" ht="9.75" customHeight="1" x14ac:dyDescent="0.2">
      <c r="A2623" s="7" t="s">
        <v>5597</v>
      </c>
      <c r="B2623" s="7" t="s">
        <v>4812</v>
      </c>
      <c r="C2623" s="7"/>
      <c r="D2623" s="7" t="s">
        <v>172</v>
      </c>
      <c r="E2623" s="8">
        <v>4</v>
      </c>
      <c r="F2623" s="7"/>
      <c r="G2623" s="7"/>
      <c r="H2623" s="9"/>
      <c r="I2623" s="9"/>
      <c r="J2623" s="9"/>
      <c r="K2623" s="9"/>
      <c r="L2623" s="10">
        <v>11852</v>
      </c>
      <c r="M2623" s="9"/>
      <c r="N2623" s="9"/>
      <c r="O2623" s="10">
        <v>11852</v>
      </c>
      <c r="P2623" s="10"/>
      <c r="Q2623" s="10"/>
      <c r="R2623" s="10"/>
      <c r="S2623" s="7"/>
      <c r="T2623" s="7"/>
      <c r="U2623" s="7" t="s">
        <v>44</v>
      </c>
      <c r="V2623" s="7" t="s">
        <v>45</v>
      </c>
      <c r="W2623" s="7" t="s">
        <v>171</v>
      </c>
      <c r="X2623" s="7" t="s">
        <v>172</v>
      </c>
      <c r="Y2623" s="7" t="s">
        <v>6325</v>
      </c>
      <c r="Z2623" s="7" t="s">
        <v>6307</v>
      </c>
      <c r="AA2623" s="7"/>
      <c r="AB2623" s="7"/>
      <c r="AC2623" s="7" t="s">
        <v>4817</v>
      </c>
      <c r="AD2623" s="7" t="s">
        <v>6316</v>
      </c>
      <c r="AE2623" s="7" t="s">
        <v>172</v>
      </c>
      <c r="AF2623" s="7" t="s">
        <v>113</v>
      </c>
      <c r="AG2623" s="7" t="s">
        <v>366</v>
      </c>
      <c r="AH2623" s="7" t="s">
        <v>4818</v>
      </c>
    </row>
    <row r="2624" spans="1:34" ht="9.75" customHeight="1" x14ac:dyDescent="0.2">
      <c r="A2624" s="7" t="s">
        <v>5597</v>
      </c>
      <c r="B2624" s="7" t="s">
        <v>4812</v>
      </c>
      <c r="C2624" s="7"/>
      <c r="D2624" s="7" t="s">
        <v>5021</v>
      </c>
      <c r="E2624" s="8">
        <v>4</v>
      </c>
      <c r="F2624" s="7"/>
      <c r="G2624" s="7"/>
      <c r="H2624" s="9"/>
      <c r="I2624" s="9"/>
      <c r="J2624" s="9"/>
      <c r="K2624" s="9"/>
      <c r="L2624" s="10">
        <v>25931</v>
      </c>
      <c r="M2624" s="9"/>
      <c r="N2624" s="9"/>
      <c r="O2624" s="10">
        <v>25931</v>
      </c>
      <c r="P2624" s="10"/>
      <c r="Q2624" s="10"/>
      <c r="R2624" s="10"/>
      <c r="S2624" s="7"/>
      <c r="T2624" s="7"/>
      <c r="U2624" s="7" t="s">
        <v>44</v>
      </c>
      <c r="V2624" s="7" t="s">
        <v>45</v>
      </c>
      <c r="W2624" s="7" t="s">
        <v>171</v>
      </c>
      <c r="X2624" s="7" t="s">
        <v>5021</v>
      </c>
      <c r="Y2624" s="7" t="s">
        <v>6326</v>
      </c>
      <c r="Z2624" s="7" t="s">
        <v>6307</v>
      </c>
      <c r="AA2624" s="7"/>
      <c r="AB2624" s="7"/>
      <c r="AC2624" s="7" t="s">
        <v>4817</v>
      </c>
      <c r="AD2624" s="7" t="s">
        <v>6316</v>
      </c>
      <c r="AE2624" s="7" t="s">
        <v>5021</v>
      </c>
      <c r="AF2624" s="7" t="s">
        <v>113</v>
      </c>
      <c r="AG2624" s="7" t="s">
        <v>366</v>
      </c>
      <c r="AH2624" s="7" t="s">
        <v>4818</v>
      </c>
    </row>
    <row r="2625" spans="1:34" ht="9.75" customHeight="1" x14ac:dyDescent="0.2">
      <c r="A2625" s="7" t="s">
        <v>5597</v>
      </c>
      <c r="B2625" s="7" t="s">
        <v>4812</v>
      </c>
      <c r="C2625" s="7"/>
      <c r="D2625" s="7" t="s">
        <v>6254</v>
      </c>
      <c r="E2625" s="8">
        <v>4</v>
      </c>
      <c r="F2625" s="7"/>
      <c r="G2625" s="7"/>
      <c r="H2625" s="9"/>
      <c r="I2625" s="10">
        <v>383868</v>
      </c>
      <c r="J2625" s="10">
        <v>330000</v>
      </c>
      <c r="K2625" s="10">
        <v>330000</v>
      </c>
      <c r="L2625" s="9"/>
      <c r="M2625" s="9"/>
      <c r="N2625" s="9"/>
      <c r="O2625" s="9"/>
      <c r="P2625" s="9"/>
      <c r="Q2625" s="9"/>
      <c r="R2625" s="9"/>
      <c r="S2625" s="7"/>
      <c r="T2625" s="7"/>
      <c r="U2625" s="7" t="s">
        <v>44</v>
      </c>
      <c r="V2625" s="7" t="s">
        <v>45</v>
      </c>
      <c r="W2625" s="7" t="s">
        <v>46</v>
      </c>
      <c r="X2625" s="7"/>
      <c r="Y2625" s="7" t="s">
        <v>6327</v>
      </c>
      <c r="Z2625" s="7" t="s">
        <v>6307</v>
      </c>
      <c r="AA2625" s="7"/>
      <c r="AB2625" s="7"/>
      <c r="AC2625" s="7" t="s">
        <v>4817</v>
      </c>
      <c r="AD2625" s="7" t="s">
        <v>6316</v>
      </c>
      <c r="AE2625" s="7" t="s">
        <v>6254</v>
      </c>
      <c r="AF2625" s="7" t="s">
        <v>113</v>
      </c>
      <c r="AG2625" s="7" t="s">
        <v>366</v>
      </c>
      <c r="AH2625" s="7" t="s">
        <v>4818</v>
      </c>
    </row>
    <row r="2626" spans="1:34" ht="9.75" customHeight="1" x14ac:dyDescent="0.2">
      <c r="A2626" s="7" t="s">
        <v>5597</v>
      </c>
      <c r="B2626" s="7" t="s">
        <v>4812</v>
      </c>
      <c r="C2626" s="7"/>
      <c r="D2626" s="7" t="s">
        <v>6328</v>
      </c>
      <c r="E2626" s="8">
        <v>4</v>
      </c>
      <c r="F2626" s="7"/>
      <c r="G2626" s="7"/>
      <c r="H2626" s="9"/>
      <c r="I2626" s="10">
        <v>3109725</v>
      </c>
      <c r="J2626" s="10">
        <v>2460434</v>
      </c>
      <c r="K2626" s="10">
        <v>2799182</v>
      </c>
      <c r="L2626" s="10">
        <v>2521564</v>
      </c>
      <c r="M2626" s="9"/>
      <c r="N2626" s="9"/>
      <c r="O2626" s="10">
        <v>2818312</v>
      </c>
      <c r="P2626" s="10"/>
      <c r="Q2626" s="10"/>
      <c r="R2626" s="10"/>
      <c r="S2626" s="7" t="s">
        <v>43</v>
      </c>
      <c r="T2626" s="7" t="s">
        <v>6329</v>
      </c>
      <c r="U2626" s="7"/>
      <c r="V2626" s="7"/>
      <c r="W2626" s="7"/>
      <c r="X2626" s="7"/>
      <c r="Y2626" s="7" t="s">
        <v>6330</v>
      </c>
      <c r="Z2626" s="7" t="s">
        <v>6307</v>
      </c>
      <c r="AA2626" s="7"/>
      <c r="AB2626" s="7"/>
      <c r="AC2626" s="7" t="s">
        <v>4817</v>
      </c>
      <c r="AD2626" s="7"/>
      <c r="AE2626" s="7"/>
      <c r="AF2626" s="7" t="s">
        <v>113</v>
      </c>
      <c r="AG2626" s="7" t="s">
        <v>366</v>
      </c>
      <c r="AH2626" s="7" t="s">
        <v>4818</v>
      </c>
    </row>
    <row r="2627" spans="1:34" ht="9.75" customHeight="1" x14ac:dyDescent="0.2">
      <c r="A2627" s="7" t="s">
        <v>5597</v>
      </c>
      <c r="B2627" s="7" t="s">
        <v>4812</v>
      </c>
      <c r="C2627" s="7"/>
      <c r="D2627" s="7" t="s">
        <v>6207</v>
      </c>
      <c r="E2627" s="8">
        <v>2</v>
      </c>
      <c r="F2627" s="7"/>
      <c r="G2627" s="7"/>
      <c r="H2627" s="9"/>
      <c r="I2627" s="9"/>
      <c r="J2627" s="9"/>
      <c r="K2627" s="9"/>
      <c r="L2627" s="9"/>
      <c r="M2627" s="9"/>
      <c r="N2627" s="9"/>
      <c r="O2627" s="10">
        <v>331</v>
      </c>
      <c r="P2627" s="9"/>
      <c r="Q2627" s="9"/>
      <c r="R2627" s="9"/>
      <c r="S2627" s="7" t="s">
        <v>5253</v>
      </c>
      <c r="T2627" s="7" t="s">
        <v>6331</v>
      </c>
      <c r="U2627" s="7" t="s">
        <v>44</v>
      </c>
      <c r="V2627" s="7" t="s">
        <v>45</v>
      </c>
      <c r="W2627" s="7" t="s">
        <v>4977</v>
      </c>
      <c r="X2627" s="7" t="s">
        <v>4978</v>
      </c>
      <c r="Y2627" s="7" t="s">
        <v>6332</v>
      </c>
      <c r="Z2627" s="7" t="s">
        <v>1453</v>
      </c>
      <c r="AA2627" s="7"/>
      <c r="AB2627" s="7"/>
      <c r="AC2627" s="7" t="s">
        <v>4817</v>
      </c>
      <c r="AD2627" s="7" t="s">
        <v>6261</v>
      </c>
      <c r="AE2627" s="7" t="s">
        <v>6333</v>
      </c>
      <c r="AF2627" s="7" t="s">
        <v>113</v>
      </c>
      <c r="AG2627" s="7" t="s">
        <v>366</v>
      </c>
      <c r="AH2627" s="7" t="s">
        <v>4818</v>
      </c>
    </row>
    <row r="2628" spans="1:34" ht="9.75" customHeight="1" x14ac:dyDescent="0.2">
      <c r="A2628" s="7" t="s">
        <v>5597</v>
      </c>
      <c r="B2628" s="7" t="s">
        <v>4812</v>
      </c>
      <c r="C2628" s="7"/>
      <c r="D2628" s="7" t="s">
        <v>6187</v>
      </c>
      <c r="E2628" s="8">
        <v>2</v>
      </c>
      <c r="F2628" s="7"/>
      <c r="G2628" s="7"/>
      <c r="H2628" s="9"/>
      <c r="I2628" s="9"/>
      <c r="J2628" s="9"/>
      <c r="K2628" s="9"/>
      <c r="L2628" s="9"/>
      <c r="M2628" s="9"/>
      <c r="N2628" s="9"/>
      <c r="O2628" s="10">
        <v>42295</v>
      </c>
      <c r="P2628" s="9"/>
      <c r="Q2628" s="9"/>
      <c r="R2628" s="9"/>
      <c r="S2628" s="7" t="s">
        <v>5253</v>
      </c>
      <c r="T2628" s="7" t="s">
        <v>6334</v>
      </c>
      <c r="U2628" s="7" t="s">
        <v>44</v>
      </c>
      <c r="V2628" s="7" t="s">
        <v>45</v>
      </c>
      <c r="W2628" s="7" t="s">
        <v>171</v>
      </c>
      <c r="X2628" s="7"/>
      <c r="Y2628" s="7" t="s">
        <v>6335</v>
      </c>
      <c r="Z2628" s="7" t="s">
        <v>1453</v>
      </c>
      <c r="AA2628" s="7"/>
      <c r="AB2628" s="7"/>
      <c r="AC2628" s="7" t="s">
        <v>4817</v>
      </c>
      <c r="AD2628" s="7" t="s">
        <v>6261</v>
      </c>
      <c r="AE2628" s="7" t="s">
        <v>6336</v>
      </c>
      <c r="AF2628" s="7" t="s">
        <v>113</v>
      </c>
      <c r="AG2628" s="7" t="s">
        <v>366</v>
      </c>
      <c r="AH2628" s="7" t="s">
        <v>4818</v>
      </c>
    </row>
    <row r="2629" spans="1:34" ht="9.75" customHeight="1" x14ac:dyDescent="0.2">
      <c r="A2629" s="7" t="s">
        <v>5597</v>
      </c>
      <c r="B2629" s="7" t="s">
        <v>4812</v>
      </c>
      <c r="C2629" s="7"/>
      <c r="D2629" s="7" t="s">
        <v>6212</v>
      </c>
      <c r="E2629" s="8">
        <v>2</v>
      </c>
      <c r="F2629" s="7"/>
      <c r="G2629" s="7"/>
      <c r="H2629" s="9"/>
      <c r="I2629" s="9"/>
      <c r="J2629" s="9"/>
      <c r="K2629" s="9"/>
      <c r="L2629" s="9"/>
      <c r="M2629" s="9"/>
      <c r="N2629" s="9"/>
      <c r="O2629" s="10">
        <v>351</v>
      </c>
      <c r="P2629" s="9"/>
      <c r="Q2629" s="9"/>
      <c r="R2629" s="9"/>
      <c r="S2629" s="7" t="s">
        <v>5253</v>
      </c>
      <c r="T2629" s="7" t="s">
        <v>6337</v>
      </c>
      <c r="U2629" s="7"/>
      <c r="V2629" s="7"/>
      <c r="W2629" s="7"/>
      <c r="X2629" s="7"/>
      <c r="Y2629" s="7" t="s">
        <v>6338</v>
      </c>
      <c r="Z2629" s="7" t="s">
        <v>1453</v>
      </c>
      <c r="AA2629" s="7"/>
      <c r="AB2629" s="7"/>
      <c r="AC2629" s="7" t="s">
        <v>4817</v>
      </c>
      <c r="AD2629" s="7" t="s">
        <v>6261</v>
      </c>
      <c r="AE2629" s="7" t="s">
        <v>6339</v>
      </c>
      <c r="AF2629" s="7" t="s">
        <v>113</v>
      </c>
      <c r="AG2629" s="7" t="s">
        <v>366</v>
      </c>
      <c r="AH2629" s="7" t="s">
        <v>4818</v>
      </c>
    </row>
    <row r="2630" spans="1:34" ht="9.75" customHeight="1" x14ac:dyDescent="0.2">
      <c r="A2630" s="7" t="s">
        <v>5597</v>
      </c>
      <c r="B2630" s="7" t="s">
        <v>4812</v>
      </c>
      <c r="C2630" s="7"/>
      <c r="D2630" s="7" t="s">
        <v>5077</v>
      </c>
      <c r="E2630" s="8">
        <v>2</v>
      </c>
      <c r="F2630" s="7"/>
      <c r="G2630" s="7"/>
      <c r="H2630" s="9"/>
      <c r="I2630" s="9"/>
      <c r="J2630" s="9"/>
      <c r="K2630" s="9"/>
      <c r="L2630" s="9"/>
      <c r="M2630" s="9"/>
      <c r="N2630" s="9"/>
      <c r="O2630" s="10">
        <v>2211</v>
      </c>
      <c r="P2630" s="9"/>
      <c r="Q2630" s="9"/>
      <c r="R2630" s="9"/>
      <c r="S2630" s="7" t="s">
        <v>5253</v>
      </c>
      <c r="T2630" s="7" t="s">
        <v>6340</v>
      </c>
      <c r="U2630" s="7" t="s">
        <v>44</v>
      </c>
      <c r="V2630" s="7" t="s">
        <v>45</v>
      </c>
      <c r="W2630" s="7" t="s">
        <v>130</v>
      </c>
      <c r="X2630" s="7" t="s">
        <v>5077</v>
      </c>
      <c r="Y2630" s="7" t="s">
        <v>6341</v>
      </c>
      <c r="Z2630" s="7" t="s">
        <v>1453</v>
      </c>
      <c r="AA2630" s="7"/>
      <c r="AB2630" s="7"/>
      <c r="AC2630" s="7" t="s">
        <v>4817</v>
      </c>
      <c r="AD2630" s="7" t="s">
        <v>6261</v>
      </c>
      <c r="AE2630" s="7" t="s">
        <v>6342</v>
      </c>
      <c r="AF2630" s="7" t="s">
        <v>113</v>
      </c>
      <c r="AG2630" s="7" t="s">
        <v>366</v>
      </c>
      <c r="AH2630" s="7" t="s">
        <v>4818</v>
      </c>
    </row>
    <row r="2631" spans="1:34" ht="9.75" customHeight="1" x14ac:dyDescent="0.2">
      <c r="A2631" s="7" t="s">
        <v>5597</v>
      </c>
      <c r="B2631" s="7" t="s">
        <v>4812</v>
      </c>
      <c r="C2631" s="7"/>
      <c r="D2631" s="7" t="s">
        <v>6218</v>
      </c>
      <c r="E2631" s="8">
        <v>2</v>
      </c>
      <c r="F2631" s="7"/>
      <c r="G2631" s="7"/>
      <c r="H2631" s="9"/>
      <c r="I2631" s="9"/>
      <c r="J2631" s="9"/>
      <c r="K2631" s="9"/>
      <c r="L2631" s="9"/>
      <c r="M2631" s="9"/>
      <c r="N2631" s="9"/>
      <c r="O2631" s="10">
        <v>310158</v>
      </c>
      <c r="P2631" s="9"/>
      <c r="Q2631" s="9"/>
      <c r="R2631" s="9"/>
      <c r="S2631" s="7" t="s">
        <v>5253</v>
      </c>
      <c r="T2631" s="7" t="s">
        <v>6343</v>
      </c>
      <c r="U2631" s="7" t="s">
        <v>44</v>
      </c>
      <c r="V2631" s="7" t="s">
        <v>45</v>
      </c>
      <c r="W2631" s="7" t="s">
        <v>67</v>
      </c>
      <c r="X2631" s="7" t="s">
        <v>68</v>
      </c>
      <c r="Y2631" s="7" t="s">
        <v>6344</v>
      </c>
      <c r="Z2631" s="7" t="s">
        <v>1453</v>
      </c>
      <c r="AA2631" s="7"/>
      <c r="AB2631" s="7"/>
      <c r="AC2631" s="7" t="s">
        <v>4817</v>
      </c>
      <c r="AD2631" s="7" t="s">
        <v>6261</v>
      </c>
      <c r="AE2631" s="7" t="s">
        <v>6345</v>
      </c>
      <c r="AF2631" s="7" t="s">
        <v>113</v>
      </c>
      <c r="AG2631" s="7" t="s">
        <v>366</v>
      </c>
      <c r="AH2631" s="7" t="s">
        <v>4818</v>
      </c>
    </row>
    <row r="2632" spans="1:34" ht="9.75" customHeight="1" x14ac:dyDescent="0.2">
      <c r="A2632" s="7" t="s">
        <v>5597</v>
      </c>
      <c r="B2632" s="7" t="s">
        <v>4812</v>
      </c>
      <c r="C2632" s="7"/>
      <c r="D2632" s="7" t="s">
        <v>6267</v>
      </c>
      <c r="E2632" s="8">
        <v>2</v>
      </c>
      <c r="F2632" s="7"/>
      <c r="G2632" s="7"/>
      <c r="H2632" s="9"/>
      <c r="I2632" s="9"/>
      <c r="J2632" s="9"/>
      <c r="K2632" s="9"/>
      <c r="L2632" s="9"/>
      <c r="M2632" s="9"/>
      <c r="N2632" s="9"/>
      <c r="O2632" s="10">
        <v>11</v>
      </c>
      <c r="P2632" s="9"/>
      <c r="Q2632" s="9"/>
      <c r="R2632" s="9"/>
      <c r="S2632" s="7" t="s">
        <v>5253</v>
      </c>
      <c r="T2632" s="7" t="s">
        <v>6346</v>
      </c>
      <c r="U2632" s="7" t="s">
        <v>44</v>
      </c>
      <c r="V2632" s="7" t="s">
        <v>45</v>
      </c>
      <c r="W2632" s="7" t="s">
        <v>67</v>
      </c>
      <c r="X2632" s="7" t="s">
        <v>68</v>
      </c>
      <c r="Y2632" s="7" t="s">
        <v>6347</v>
      </c>
      <c r="Z2632" s="7" t="s">
        <v>1453</v>
      </c>
      <c r="AA2632" s="7"/>
      <c r="AB2632" s="7"/>
      <c r="AC2632" s="7" t="s">
        <v>4817</v>
      </c>
      <c r="AD2632" s="7" t="s">
        <v>6261</v>
      </c>
      <c r="AE2632" s="7" t="s">
        <v>6348</v>
      </c>
      <c r="AF2632" s="7" t="s">
        <v>113</v>
      </c>
      <c r="AG2632" s="7" t="s">
        <v>366</v>
      </c>
      <c r="AH2632" s="7" t="s">
        <v>4818</v>
      </c>
    </row>
    <row r="2633" spans="1:34" ht="9.75" customHeight="1" x14ac:dyDescent="0.2">
      <c r="A2633" s="7" t="s">
        <v>5597</v>
      </c>
      <c r="B2633" s="7" t="s">
        <v>4812</v>
      </c>
      <c r="C2633" s="7"/>
      <c r="D2633" s="7" t="s">
        <v>68</v>
      </c>
      <c r="E2633" s="8">
        <v>2</v>
      </c>
      <c r="F2633" s="7"/>
      <c r="G2633" s="7"/>
      <c r="H2633" s="9"/>
      <c r="I2633" s="9"/>
      <c r="J2633" s="9"/>
      <c r="K2633" s="9"/>
      <c r="L2633" s="9"/>
      <c r="M2633" s="9"/>
      <c r="N2633" s="9"/>
      <c r="O2633" s="10">
        <v>397</v>
      </c>
      <c r="P2633" s="9"/>
      <c r="Q2633" s="9"/>
      <c r="R2633" s="9"/>
      <c r="S2633" s="7" t="s">
        <v>5253</v>
      </c>
      <c r="T2633" s="7" t="s">
        <v>6349</v>
      </c>
      <c r="U2633" s="7" t="s">
        <v>44</v>
      </c>
      <c r="V2633" s="7" t="s">
        <v>45</v>
      </c>
      <c r="W2633" s="7" t="s">
        <v>67</v>
      </c>
      <c r="X2633" s="7" t="s">
        <v>68</v>
      </c>
      <c r="Y2633" s="7" t="s">
        <v>6350</v>
      </c>
      <c r="Z2633" s="7" t="s">
        <v>1453</v>
      </c>
      <c r="AA2633" s="7"/>
      <c r="AB2633" s="7"/>
      <c r="AC2633" s="7" t="s">
        <v>4817</v>
      </c>
      <c r="AD2633" s="7" t="s">
        <v>6261</v>
      </c>
      <c r="AE2633" s="7" t="s">
        <v>6351</v>
      </c>
      <c r="AF2633" s="7" t="s">
        <v>113</v>
      </c>
      <c r="AG2633" s="7" t="s">
        <v>366</v>
      </c>
      <c r="AH2633" s="7" t="s">
        <v>4818</v>
      </c>
    </row>
    <row r="2634" spans="1:34" ht="9.75" customHeight="1" x14ac:dyDescent="0.2">
      <c r="A2634" s="7" t="s">
        <v>5597</v>
      </c>
      <c r="B2634" s="7" t="s">
        <v>4812</v>
      </c>
      <c r="C2634" s="7"/>
      <c r="D2634" s="7" t="s">
        <v>131</v>
      </c>
      <c r="E2634" s="8">
        <v>2</v>
      </c>
      <c r="F2634" s="7"/>
      <c r="G2634" s="7"/>
      <c r="H2634" s="9"/>
      <c r="I2634" s="9"/>
      <c r="J2634" s="9"/>
      <c r="K2634" s="9"/>
      <c r="L2634" s="9"/>
      <c r="M2634" s="9"/>
      <c r="N2634" s="9"/>
      <c r="O2634" s="10">
        <v>42958</v>
      </c>
      <c r="P2634" s="9"/>
      <c r="Q2634" s="9"/>
      <c r="R2634" s="9"/>
      <c r="S2634" s="7" t="s">
        <v>5253</v>
      </c>
      <c r="T2634" s="7" t="s">
        <v>6352</v>
      </c>
      <c r="U2634" s="7" t="s">
        <v>44</v>
      </c>
      <c r="V2634" s="7" t="s">
        <v>45</v>
      </c>
      <c r="W2634" s="7" t="s">
        <v>130</v>
      </c>
      <c r="X2634" s="7" t="s">
        <v>131</v>
      </c>
      <c r="Y2634" s="7" t="s">
        <v>6353</v>
      </c>
      <c r="Z2634" s="7" t="s">
        <v>1453</v>
      </c>
      <c r="AA2634" s="7"/>
      <c r="AB2634" s="7"/>
      <c r="AC2634" s="7" t="s">
        <v>4817</v>
      </c>
      <c r="AD2634" s="7" t="s">
        <v>6354</v>
      </c>
      <c r="AE2634" s="7" t="s">
        <v>6355</v>
      </c>
      <c r="AF2634" s="7" t="s">
        <v>113</v>
      </c>
      <c r="AG2634" s="7" t="s">
        <v>366</v>
      </c>
      <c r="AH2634" s="7" t="s">
        <v>4818</v>
      </c>
    </row>
    <row r="2635" spans="1:34" ht="9.75" customHeight="1" x14ac:dyDescent="0.2">
      <c r="A2635" s="7" t="s">
        <v>5597</v>
      </c>
      <c r="B2635" s="7" t="s">
        <v>4812</v>
      </c>
      <c r="C2635" s="7"/>
      <c r="D2635" s="7" t="s">
        <v>6222</v>
      </c>
      <c r="E2635" s="8">
        <v>2</v>
      </c>
      <c r="F2635" s="7"/>
      <c r="G2635" s="7"/>
      <c r="H2635" s="9"/>
      <c r="I2635" s="9"/>
      <c r="J2635" s="9"/>
      <c r="K2635" s="9"/>
      <c r="L2635" s="9"/>
      <c r="M2635" s="9"/>
      <c r="N2635" s="9"/>
      <c r="O2635" s="10">
        <v>1184</v>
      </c>
      <c r="P2635" s="9"/>
      <c r="Q2635" s="9"/>
      <c r="R2635" s="9"/>
      <c r="S2635" s="7" t="s">
        <v>5253</v>
      </c>
      <c r="T2635" s="7" t="s">
        <v>6356</v>
      </c>
      <c r="U2635" s="7" t="s">
        <v>44</v>
      </c>
      <c r="V2635" s="7" t="s">
        <v>45</v>
      </c>
      <c r="W2635" s="7" t="s">
        <v>130</v>
      </c>
      <c r="X2635" s="7" t="s">
        <v>131</v>
      </c>
      <c r="Y2635" s="7" t="s">
        <v>6357</v>
      </c>
      <c r="Z2635" s="7" t="s">
        <v>1453</v>
      </c>
      <c r="AA2635" s="7"/>
      <c r="AB2635" s="7"/>
      <c r="AC2635" s="7" t="s">
        <v>4817</v>
      </c>
      <c r="AD2635" s="7" t="s">
        <v>6261</v>
      </c>
      <c r="AE2635" s="7" t="s">
        <v>6358</v>
      </c>
      <c r="AF2635" s="7" t="s">
        <v>113</v>
      </c>
      <c r="AG2635" s="7" t="s">
        <v>366</v>
      </c>
      <c r="AH2635" s="7" t="s">
        <v>4818</v>
      </c>
    </row>
    <row r="2636" spans="1:34" ht="9.75" customHeight="1" x14ac:dyDescent="0.2">
      <c r="A2636" s="7" t="s">
        <v>5597</v>
      </c>
      <c r="B2636" s="7" t="s">
        <v>4812</v>
      </c>
      <c r="C2636" s="7"/>
      <c r="D2636" s="7" t="s">
        <v>6226</v>
      </c>
      <c r="E2636" s="8">
        <v>2</v>
      </c>
      <c r="F2636" s="7"/>
      <c r="G2636" s="7"/>
      <c r="H2636" s="9"/>
      <c r="I2636" s="9"/>
      <c r="J2636" s="9"/>
      <c r="K2636" s="9"/>
      <c r="L2636" s="9"/>
      <c r="M2636" s="9"/>
      <c r="N2636" s="9"/>
      <c r="O2636" s="10">
        <v>2479</v>
      </c>
      <c r="P2636" s="9"/>
      <c r="Q2636" s="9"/>
      <c r="R2636" s="9"/>
      <c r="S2636" s="7" t="s">
        <v>5253</v>
      </c>
      <c r="T2636" s="7" t="s">
        <v>6359</v>
      </c>
      <c r="U2636" s="7" t="s">
        <v>44</v>
      </c>
      <c r="V2636" s="7" t="s">
        <v>45</v>
      </c>
      <c r="W2636" s="7" t="s">
        <v>211</v>
      </c>
      <c r="X2636" s="7" t="s">
        <v>6226</v>
      </c>
      <c r="Y2636" s="7" t="s">
        <v>6360</v>
      </c>
      <c r="Z2636" s="7" t="s">
        <v>1453</v>
      </c>
      <c r="AA2636" s="7"/>
      <c r="AB2636" s="7"/>
      <c r="AC2636" s="7" t="s">
        <v>4817</v>
      </c>
      <c r="AD2636" s="7" t="s">
        <v>6261</v>
      </c>
      <c r="AE2636" s="7" t="s">
        <v>6361</v>
      </c>
      <c r="AF2636" s="7" t="s">
        <v>113</v>
      </c>
      <c r="AG2636" s="7" t="s">
        <v>366</v>
      </c>
      <c r="AH2636" s="7" t="s">
        <v>4818</v>
      </c>
    </row>
    <row r="2637" spans="1:34" ht="9.75" customHeight="1" x14ac:dyDescent="0.2">
      <c r="A2637" s="7" t="s">
        <v>5597</v>
      </c>
      <c r="B2637" s="7" t="s">
        <v>4812</v>
      </c>
      <c r="C2637" s="7"/>
      <c r="D2637" s="7" t="s">
        <v>4978</v>
      </c>
      <c r="E2637" s="8">
        <v>2</v>
      </c>
      <c r="F2637" s="7"/>
      <c r="G2637" s="7"/>
      <c r="H2637" s="9"/>
      <c r="I2637" s="9"/>
      <c r="J2637" s="9"/>
      <c r="K2637" s="9"/>
      <c r="L2637" s="9"/>
      <c r="M2637" s="9"/>
      <c r="N2637" s="9"/>
      <c r="O2637" s="10">
        <v>53366</v>
      </c>
      <c r="P2637" s="9"/>
      <c r="Q2637" s="9"/>
      <c r="R2637" s="9"/>
      <c r="S2637" s="7" t="s">
        <v>5253</v>
      </c>
      <c r="T2637" s="7" t="s">
        <v>6362</v>
      </c>
      <c r="U2637" s="7" t="s">
        <v>44</v>
      </c>
      <c r="V2637" s="7" t="s">
        <v>45</v>
      </c>
      <c r="W2637" s="7" t="s">
        <v>4977</v>
      </c>
      <c r="X2637" s="7" t="s">
        <v>4978</v>
      </c>
      <c r="Y2637" s="7" t="s">
        <v>6363</v>
      </c>
      <c r="Z2637" s="7" t="s">
        <v>1453</v>
      </c>
      <c r="AA2637" s="7"/>
      <c r="AB2637" s="7"/>
      <c r="AC2637" s="7" t="s">
        <v>4817</v>
      </c>
      <c r="AD2637" s="7" t="s">
        <v>6364</v>
      </c>
      <c r="AE2637" s="7" t="s">
        <v>6365</v>
      </c>
      <c r="AF2637" s="7" t="s">
        <v>113</v>
      </c>
      <c r="AG2637" s="7" t="s">
        <v>366</v>
      </c>
      <c r="AH2637" s="7" t="s">
        <v>4818</v>
      </c>
    </row>
    <row r="2638" spans="1:34" ht="9.75" customHeight="1" x14ac:dyDescent="0.2">
      <c r="A2638" s="7" t="s">
        <v>5597</v>
      </c>
      <c r="B2638" s="7" t="s">
        <v>4812</v>
      </c>
      <c r="C2638" s="7"/>
      <c r="D2638" s="7" t="s">
        <v>156</v>
      </c>
      <c r="E2638" s="8">
        <v>2</v>
      </c>
      <c r="F2638" s="7"/>
      <c r="G2638" s="7"/>
      <c r="H2638" s="9"/>
      <c r="I2638" s="9"/>
      <c r="J2638" s="9"/>
      <c r="K2638" s="9"/>
      <c r="L2638" s="9"/>
      <c r="M2638" s="9"/>
      <c r="N2638" s="9"/>
      <c r="O2638" s="10">
        <v>115257</v>
      </c>
      <c r="P2638" s="9"/>
      <c r="Q2638" s="9"/>
      <c r="R2638" s="9"/>
      <c r="S2638" s="7" t="s">
        <v>5253</v>
      </c>
      <c r="T2638" s="7" t="s">
        <v>6366</v>
      </c>
      <c r="U2638" s="7" t="s">
        <v>44</v>
      </c>
      <c r="V2638" s="7" t="s">
        <v>45</v>
      </c>
      <c r="W2638" s="7" t="s">
        <v>130</v>
      </c>
      <c r="X2638" s="7" t="s">
        <v>156</v>
      </c>
      <c r="Y2638" s="7" t="s">
        <v>6367</v>
      </c>
      <c r="Z2638" s="7" t="s">
        <v>1453</v>
      </c>
      <c r="AA2638" s="7"/>
      <c r="AB2638" s="7"/>
      <c r="AC2638" s="7" t="s">
        <v>4817</v>
      </c>
      <c r="AD2638" s="7" t="s">
        <v>6261</v>
      </c>
      <c r="AE2638" s="7" t="s">
        <v>6368</v>
      </c>
      <c r="AF2638" s="7" t="s">
        <v>113</v>
      </c>
      <c r="AG2638" s="7" t="s">
        <v>366</v>
      </c>
      <c r="AH2638" s="7" t="s">
        <v>4818</v>
      </c>
    </row>
    <row r="2639" spans="1:34" ht="9.75" customHeight="1" x14ac:dyDescent="0.2">
      <c r="A2639" s="7" t="s">
        <v>5597</v>
      </c>
      <c r="B2639" s="7" t="s">
        <v>4812</v>
      </c>
      <c r="C2639" s="7"/>
      <c r="D2639" s="7" t="s">
        <v>194</v>
      </c>
      <c r="E2639" s="8">
        <v>2</v>
      </c>
      <c r="F2639" s="7"/>
      <c r="G2639" s="7"/>
      <c r="H2639" s="9"/>
      <c r="I2639" s="9"/>
      <c r="J2639" s="9"/>
      <c r="K2639" s="9"/>
      <c r="L2639" s="9"/>
      <c r="M2639" s="9"/>
      <c r="N2639" s="9"/>
      <c r="O2639" s="10">
        <v>1830</v>
      </c>
      <c r="P2639" s="9"/>
      <c r="Q2639" s="9"/>
      <c r="R2639" s="9"/>
      <c r="S2639" s="7" t="s">
        <v>5253</v>
      </c>
      <c r="T2639" s="7" t="s">
        <v>6369</v>
      </c>
      <c r="U2639" s="7" t="s">
        <v>44</v>
      </c>
      <c r="V2639" s="7" t="s">
        <v>45</v>
      </c>
      <c r="W2639" s="7" t="s">
        <v>171</v>
      </c>
      <c r="X2639" s="7" t="s">
        <v>194</v>
      </c>
      <c r="Y2639" s="7" t="s">
        <v>6370</v>
      </c>
      <c r="Z2639" s="7" t="s">
        <v>1453</v>
      </c>
      <c r="AA2639" s="7"/>
      <c r="AB2639" s="7"/>
      <c r="AC2639" s="7" t="s">
        <v>4817</v>
      </c>
      <c r="AD2639" s="7" t="s">
        <v>6261</v>
      </c>
      <c r="AE2639" s="7" t="s">
        <v>6371</v>
      </c>
      <c r="AF2639" s="7" t="s">
        <v>113</v>
      </c>
      <c r="AG2639" s="7" t="s">
        <v>366</v>
      </c>
      <c r="AH2639" s="7" t="s">
        <v>4818</v>
      </c>
    </row>
    <row r="2640" spans="1:34" ht="9.75" customHeight="1" x14ac:dyDescent="0.2">
      <c r="A2640" s="7" t="s">
        <v>5597</v>
      </c>
      <c r="B2640" s="7" t="s">
        <v>4812</v>
      </c>
      <c r="C2640" s="7"/>
      <c r="D2640" s="7" t="s">
        <v>5027</v>
      </c>
      <c r="E2640" s="8">
        <v>2</v>
      </c>
      <c r="F2640" s="7"/>
      <c r="G2640" s="7"/>
      <c r="H2640" s="9"/>
      <c r="I2640" s="9"/>
      <c r="J2640" s="9"/>
      <c r="K2640" s="9"/>
      <c r="L2640" s="9"/>
      <c r="M2640" s="9"/>
      <c r="N2640" s="9"/>
      <c r="O2640" s="10">
        <v>633</v>
      </c>
      <c r="P2640" s="9"/>
      <c r="Q2640" s="9"/>
      <c r="R2640" s="9"/>
      <c r="S2640" s="7" t="s">
        <v>5253</v>
      </c>
      <c r="T2640" s="7" t="s">
        <v>6372</v>
      </c>
      <c r="U2640" s="7" t="s">
        <v>44</v>
      </c>
      <c r="V2640" s="7" t="s">
        <v>45</v>
      </c>
      <c r="W2640" s="7" t="s">
        <v>171</v>
      </c>
      <c r="X2640" s="7" t="s">
        <v>5027</v>
      </c>
      <c r="Y2640" s="7" t="s">
        <v>6373</v>
      </c>
      <c r="Z2640" s="7" t="s">
        <v>1453</v>
      </c>
      <c r="AA2640" s="7"/>
      <c r="AB2640" s="7"/>
      <c r="AC2640" s="7" t="s">
        <v>4817</v>
      </c>
      <c r="AD2640" s="7" t="s">
        <v>6261</v>
      </c>
      <c r="AE2640" s="7" t="s">
        <v>6374</v>
      </c>
      <c r="AF2640" s="7" t="s">
        <v>113</v>
      </c>
      <c r="AG2640" s="7" t="s">
        <v>366</v>
      </c>
      <c r="AH2640" s="7" t="s">
        <v>4818</v>
      </c>
    </row>
    <row r="2641" spans="1:37" ht="9.75" customHeight="1" x14ac:dyDescent="0.2">
      <c r="A2641" s="7" t="s">
        <v>5597</v>
      </c>
      <c r="B2641" s="7" t="s">
        <v>4812</v>
      </c>
      <c r="C2641" s="7"/>
      <c r="D2641" s="7" t="s">
        <v>172</v>
      </c>
      <c r="E2641" s="8">
        <v>2</v>
      </c>
      <c r="F2641" s="7"/>
      <c r="G2641" s="7"/>
      <c r="H2641" s="9"/>
      <c r="I2641" s="9"/>
      <c r="J2641" s="9"/>
      <c r="K2641" s="9"/>
      <c r="L2641" s="9"/>
      <c r="M2641" s="9"/>
      <c r="N2641" s="9"/>
      <c r="O2641" s="10">
        <v>68</v>
      </c>
      <c r="P2641" s="9"/>
      <c r="Q2641" s="9"/>
      <c r="R2641" s="9"/>
      <c r="S2641" s="7" t="s">
        <v>5253</v>
      </c>
      <c r="T2641" s="7" t="s">
        <v>6375</v>
      </c>
      <c r="U2641" s="7" t="s">
        <v>44</v>
      </c>
      <c r="V2641" s="7" t="s">
        <v>45</v>
      </c>
      <c r="W2641" s="7" t="s">
        <v>171</v>
      </c>
      <c r="X2641" s="7" t="s">
        <v>172</v>
      </c>
      <c r="Y2641" s="7" t="s">
        <v>6376</v>
      </c>
      <c r="Z2641" s="7" t="s">
        <v>1465</v>
      </c>
      <c r="AA2641" s="7"/>
      <c r="AB2641" s="7"/>
      <c r="AC2641" s="7" t="s">
        <v>4817</v>
      </c>
      <c r="AD2641" s="7" t="s">
        <v>6261</v>
      </c>
      <c r="AE2641" s="7" t="s">
        <v>6377</v>
      </c>
      <c r="AF2641" s="7" t="s">
        <v>113</v>
      </c>
      <c r="AG2641" s="7" t="s">
        <v>366</v>
      </c>
      <c r="AH2641" s="7" t="s">
        <v>4818</v>
      </c>
    </row>
    <row r="2642" spans="1:37" ht="9.75" customHeight="1" x14ac:dyDescent="0.2">
      <c r="A2642" s="7" t="s">
        <v>5597</v>
      </c>
      <c r="B2642" s="7" t="s">
        <v>4812</v>
      </c>
      <c r="C2642" s="7"/>
      <c r="D2642" s="7" t="s">
        <v>5021</v>
      </c>
      <c r="E2642" s="8">
        <v>2</v>
      </c>
      <c r="F2642" s="7"/>
      <c r="G2642" s="7"/>
      <c r="H2642" s="9"/>
      <c r="I2642" s="9"/>
      <c r="J2642" s="9"/>
      <c r="K2642" s="9"/>
      <c r="L2642" s="9"/>
      <c r="M2642" s="9"/>
      <c r="N2642" s="9"/>
      <c r="O2642" s="10">
        <v>24197</v>
      </c>
      <c r="P2642" s="9"/>
      <c r="Q2642" s="9"/>
      <c r="R2642" s="9"/>
      <c r="S2642" s="7" t="s">
        <v>5253</v>
      </c>
      <c r="T2642" s="7" t="s">
        <v>6378</v>
      </c>
      <c r="U2642" s="7" t="s">
        <v>44</v>
      </c>
      <c r="V2642" s="7" t="s">
        <v>45</v>
      </c>
      <c r="W2642" s="7" t="s">
        <v>171</v>
      </c>
      <c r="X2642" s="7" t="s">
        <v>5021</v>
      </c>
      <c r="Y2642" s="7" t="s">
        <v>6379</v>
      </c>
      <c r="Z2642" s="7" t="s">
        <v>1465</v>
      </c>
      <c r="AA2642" s="7"/>
      <c r="AB2642" s="7"/>
      <c r="AC2642" s="7" t="s">
        <v>4817</v>
      </c>
      <c r="AD2642" s="7" t="s">
        <v>6261</v>
      </c>
      <c r="AE2642" s="7" t="s">
        <v>6380</v>
      </c>
      <c r="AF2642" s="7" t="s">
        <v>113</v>
      </c>
      <c r="AG2642" s="7" t="s">
        <v>366</v>
      </c>
      <c r="AH2642" s="7" t="s">
        <v>4818</v>
      </c>
    </row>
    <row r="2643" spans="1:37" ht="9.75" customHeight="1" x14ac:dyDescent="0.2">
      <c r="A2643" s="7" t="s">
        <v>5597</v>
      </c>
      <c r="B2643" s="7" t="s">
        <v>4812</v>
      </c>
      <c r="C2643" s="7"/>
      <c r="D2643" s="7" t="s">
        <v>6234</v>
      </c>
      <c r="E2643" s="8">
        <v>2</v>
      </c>
      <c r="F2643" s="7"/>
      <c r="G2643" s="7"/>
      <c r="H2643" s="9"/>
      <c r="I2643" s="9"/>
      <c r="J2643" s="9"/>
      <c r="K2643" s="9"/>
      <c r="L2643" s="9"/>
      <c r="M2643" s="9"/>
      <c r="N2643" s="9"/>
      <c r="O2643" s="10">
        <v>2376</v>
      </c>
      <c r="P2643" s="9"/>
      <c r="Q2643" s="9"/>
      <c r="R2643" s="9"/>
      <c r="S2643" s="7" t="s">
        <v>5253</v>
      </c>
      <c r="T2643" s="7" t="s">
        <v>6381</v>
      </c>
      <c r="U2643" s="7" t="s">
        <v>44</v>
      </c>
      <c r="V2643" s="7" t="s">
        <v>45</v>
      </c>
      <c r="W2643" s="7" t="s">
        <v>4779</v>
      </c>
      <c r="X2643" s="7" t="s">
        <v>4780</v>
      </c>
      <c r="Y2643" s="7" t="s">
        <v>6382</v>
      </c>
      <c r="Z2643" s="7" t="s">
        <v>1465</v>
      </c>
      <c r="AA2643" s="7"/>
      <c r="AB2643" s="7"/>
      <c r="AC2643" s="7" t="s">
        <v>4817</v>
      </c>
      <c r="AD2643" s="7" t="s">
        <v>6261</v>
      </c>
      <c r="AE2643" s="7" t="s">
        <v>6383</v>
      </c>
      <c r="AF2643" s="7" t="s">
        <v>113</v>
      </c>
      <c r="AG2643" s="7" t="s">
        <v>366</v>
      </c>
      <c r="AH2643" s="7" t="s">
        <v>4818</v>
      </c>
    </row>
    <row r="2644" spans="1:37" ht="9.75" customHeight="1" x14ac:dyDescent="0.2">
      <c r="A2644" s="7" t="s">
        <v>5597</v>
      </c>
      <c r="B2644" s="7" t="s">
        <v>4812</v>
      </c>
      <c r="C2644" s="7"/>
      <c r="D2644" s="7" t="s">
        <v>6286</v>
      </c>
      <c r="E2644" s="8">
        <v>2</v>
      </c>
      <c r="F2644" s="7"/>
      <c r="G2644" s="7"/>
      <c r="H2644" s="9"/>
      <c r="I2644" s="9"/>
      <c r="J2644" s="9"/>
      <c r="K2644" s="9"/>
      <c r="L2644" s="9"/>
      <c r="M2644" s="9"/>
      <c r="N2644" s="9"/>
      <c r="O2644" s="10">
        <v>26319</v>
      </c>
      <c r="P2644" s="9"/>
      <c r="Q2644" s="9"/>
      <c r="R2644" s="9"/>
      <c r="S2644" s="7" t="s">
        <v>5253</v>
      </c>
      <c r="T2644" s="7" t="s">
        <v>6384</v>
      </c>
      <c r="U2644" s="7"/>
      <c r="V2644" s="7"/>
      <c r="W2644" s="7"/>
      <c r="X2644" s="7"/>
      <c r="Y2644" s="7" t="s">
        <v>6385</v>
      </c>
      <c r="Z2644" s="7" t="s">
        <v>1465</v>
      </c>
      <c r="AA2644" s="7"/>
      <c r="AB2644" s="7"/>
      <c r="AC2644" s="7" t="s">
        <v>4817</v>
      </c>
      <c r="AD2644" s="7" t="s">
        <v>6261</v>
      </c>
      <c r="AE2644" s="7" t="s">
        <v>6386</v>
      </c>
      <c r="AF2644" s="7" t="s">
        <v>113</v>
      </c>
      <c r="AG2644" s="7" t="s">
        <v>366</v>
      </c>
      <c r="AH2644" s="7" t="s">
        <v>4818</v>
      </c>
    </row>
    <row r="2645" spans="1:37" ht="9.75" customHeight="1" x14ac:dyDescent="0.2">
      <c r="A2645" s="7" t="s">
        <v>5597</v>
      </c>
      <c r="B2645" s="7" t="s">
        <v>4812</v>
      </c>
      <c r="C2645" s="7"/>
      <c r="D2645" s="7" t="s">
        <v>6293</v>
      </c>
      <c r="E2645" s="8">
        <v>2</v>
      </c>
      <c r="F2645" s="7"/>
      <c r="G2645" s="7"/>
      <c r="H2645" s="9"/>
      <c r="I2645" s="9"/>
      <c r="J2645" s="9"/>
      <c r="K2645" s="9"/>
      <c r="L2645" s="9"/>
      <c r="M2645" s="9"/>
      <c r="N2645" s="9"/>
      <c r="O2645" s="10">
        <v>1738</v>
      </c>
      <c r="P2645" s="9"/>
      <c r="Q2645" s="9"/>
      <c r="R2645" s="9"/>
      <c r="S2645" s="7" t="s">
        <v>5253</v>
      </c>
      <c r="T2645" s="7" t="s">
        <v>6387</v>
      </c>
      <c r="U2645" s="7"/>
      <c r="V2645" s="7"/>
      <c r="W2645" s="7"/>
      <c r="X2645" s="7"/>
      <c r="Y2645" s="7" t="s">
        <v>6388</v>
      </c>
      <c r="Z2645" s="7" t="s">
        <v>1465</v>
      </c>
      <c r="AA2645" s="7"/>
      <c r="AB2645" s="7"/>
      <c r="AC2645" s="7" t="s">
        <v>4817</v>
      </c>
      <c r="AD2645" s="7" t="s">
        <v>6261</v>
      </c>
      <c r="AE2645" s="7" t="s">
        <v>6389</v>
      </c>
      <c r="AF2645" s="7" t="s">
        <v>113</v>
      </c>
      <c r="AG2645" s="7" t="s">
        <v>366</v>
      </c>
      <c r="AH2645" s="7" t="s">
        <v>4818</v>
      </c>
    </row>
    <row r="2646" spans="1:37" ht="9.75" customHeight="1" x14ac:dyDescent="0.2">
      <c r="A2646" s="7" t="s">
        <v>5597</v>
      </c>
      <c r="B2646" s="7" t="s">
        <v>4812</v>
      </c>
      <c r="C2646" s="7"/>
      <c r="D2646" s="7" t="s">
        <v>47</v>
      </c>
      <c r="E2646" s="8">
        <v>2</v>
      </c>
      <c r="F2646" s="7"/>
      <c r="G2646" s="7"/>
      <c r="H2646" s="9"/>
      <c r="I2646" s="9"/>
      <c r="J2646" s="9"/>
      <c r="K2646" s="9"/>
      <c r="L2646" s="9"/>
      <c r="M2646" s="9"/>
      <c r="N2646" s="9"/>
      <c r="O2646" s="10">
        <v>6345</v>
      </c>
      <c r="P2646" s="9"/>
      <c r="Q2646" s="9"/>
      <c r="R2646" s="9"/>
      <c r="S2646" s="7" t="s">
        <v>5253</v>
      </c>
      <c r="T2646" s="7" t="s">
        <v>6390</v>
      </c>
      <c r="U2646" s="7" t="s">
        <v>44</v>
      </c>
      <c r="V2646" s="7" t="s">
        <v>45</v>
      </c>
      <c r="W2646" s="7" t="s">
        <v>46</v>
      </c>
      <c r="X2646" s="7" t="s">
        <v>47</v>
      </c>
      <c r="Y2646" s="7" t="s">
        <v>6391</v>
      </c>
      <c r="Z2646" s="7" t="s">
        <v>1465</v>
      </c>
      <c r="AA2646" s="7"/>
      <c r="AB2646" s="7"/>
      <c r="AC2646" s="7" t="s">
        <v>4817</v>
      </c>
      <c r="AD2646" s="7" t="s">
        <v>6261</v>
      </c>
      <c r="AE2646" s="7" t="s">
        <v>6392</v>
      </c>
      <c r="AF2646" s="7" t="s">
        <v>113</v>
      </c>
      <c r="AG2646" s="7" t="s">
        <v>366</v>
      </c>
      <c r="AH2646" s="7" t="s">
        <v>4818</v>
      </c>
    </row>
    <row r="2647" spans="1:37" ht="9.75" customHeight="1" x14ac:dyDescent="0.2">
      <c r="A2647" s="7" t="s">
        <v>5597</v>
      </c>
      <c r="B2647" s="7" t="s">
        <v>4812</v>
      </c>
      <c r="C2647" s="7"/>
      <c r="D2647" s="7" t="s">
        <v>6251</v>
      </c>
      <c r="E2647" s="8">
        <v>2</v>
      </c>
      <c r="F2647" s="7"/>
      <c r="G2647" s="7"/>
      <c r="H2647" s="9"/>
      <c r="I2647" s="9"/>
      <c r="J2647" s="9"/>
      <c r="K2647" s="9"/>
      <c r="L2647" s="9"/>
      <c r="M2647" s="9"/>
      <c r="N2647" s="9"/>
      <c r="O2647" s="10">
        <v>65</v>
      </c>
      <c r="P2647" s="9"/>
      <c r="Q2647" s="9"/>
      <c r="R2647" s="9"/>
      <c r="S2647" s="7" t="s">
        <v>5253</v>
      </c>
      <c r="T2647" s="7" t="s">
        <v>6393</v>
      </c>
      <c r="U2647" s="7" t="s">
        <v>44</v>
      </c>
      <c r="V2647" s="7" t="s">
        <v>45</v>
      </c>
      <c r="W2647" s="7" t="s">
        <v>46</v>
      </c>
      <c r="X2647" s="7" t="s">
        <v>6251</v>
      </c>
      <c r="Y2647" s="7" t="s">
        <v>6394</v>
      </c>
      <c r="Z2647" s="7" t="s">
        <v>1465</v>
      </c>
      <c r="AA2647" s="7"/>
      <c r="AB2647" s="7"/>
      <c r="AC2647" s="7" t="s">
        <v>4817</v>
      </c>
      <c r="AD2647" s="7" t="s">
        <v>6261</v>
      </c>
      <c r="AE2647" s="7" t="s">
        <v>6395</v>
      </c>
      <c r="AF2647" s="7" t="s">
        <v>113</v>
      </c>
      <c r="AG2647" s="7" t="s">
        <v>366</v>
      </c>
      <c r="AH2647" s="7" t="s">
        <v>4818</v>
      </c>
    </row>
    <row r="2648" spans="1:37" ht="9.75" customHeight="1" x14ac:dyDescent="0.2">
      <c r="A2648" s="7" t="s">
        <v>5597</v>
      </c>
      <c r="B2648" s="7" t="s">
        <v>4812</v>
      </c>
      <c r="C2648" s="7"/>
      <c r="D2648" s="7" t="s">
        <v>90</v>
      </c>
      <c r="E2648" s="8">
        <v>2</v>
      </c>
      <c r="F2648" s="7"/>
      <c r="G2648" s="7"/>
      <c r="H2648" s="9"/>
      <c r="I2648" s="9"/>
      <c r="J2648" s="9"/>
      <c r="K2648" s="9"/>
      <c r="L2648" s="9"/>
      <c r="M2648" s="9"/>
      <c r="N2648" s="9"/>
      <c r="O2648" s="10">
        <v>8653</v>
      </c>
      <c r="P2648" s="9"/>
      <c r="Q2648" s="9"/>
      <c r="R2648" s="9"/>
      <c r="S2648" s="7" t="s">
        <v>5253</v>
      </c>
      <c r="T2648" s="7" t="s">
        <v>6396</v>
      </c>
      <c r="U2648" s="7" t="s">
        <v>44</v>
      </c>
      <c r="V2648" s="7" t="s">
        <v>45</v>
      </c>
      <c r="W2648" s="7" t="s">
        <v>46</v>
      </c>
      <c r="X2648" s="7" t="s">
        <v>90</v>
      </c>
      <c r="Y2648" s="7" t="s">
        <v>6397</v>
      </c>
      <c r="Z2648" s="7" t="s">
        <v>1465</v>
      </c>
      <c r="AA2648" s="7"/>
      <c r="AB2648" s="7"/>
      <c r="AC2648" s="7" t="s">
        <v>4817</v>
      </c>
      <c r="AD2648" s="7" t="s">
        <v>6398</v>
      </c>
      <c r="AE2648" s="7" t="s">
        <v>6399</v>
      </c>
      <c r="AF2648" s="7" t="s">
        <v>6249</v>
      </c>
      <c r="AG2648" s="7" t="s">
        <v>6250</v>
      </c>
      <c r="AH2648" s="7" t="s">
        <v>4818</v>
      </c>
    </row>
    <row r="2649" spans="1:37" ht="9.75" customHeight="1" x14ac:dyDescent="0.2">
      <c r="A2649" s="7" t="s">
        <v>5597</v>
      </c>
      <c r="B2649" s="7" t="s">
        <v>4812</v>
      </c>
      <c r="C2649" s="7"/>
      <c r="D2649" s="7" t="s">
        <v>6254</v>
      </c>
      <c r="E2649" s="8">
        <v>2</v>
      </c>
      <c r="F2649" s="7"/>
      <c r="G2649" s="7"/>
      <c r="H2649" s="9"/>
      <c r="I2649" s="9"/>
      <c r="J2649" s="9"/>
      <c r="K2649" s="9"/>
      <c r="L2649" s="9"/>
      <c r="M2649" s="9"/>
      <c r="N2649" s="9"/>
      <c r="O2649" s="10">
        <v>99314</v>
      </c>
      <c r="P2649" s="9"/>
      <c r="Q2649" s="9"/>
      <c r="R2649" s="9"/>
      <c r="S2649" s="7" t="s">
        <v>5253</v>
      </c>
      <c r="T2649" s="7" t="s">
        <v>6400</v>
      </c>
      <c r="U2649" s="7" t="s">
        <v>44</v>
      </c>
      <c r="V2649" s="7" t="s">
        <v>45</v>
      </c>
      <c r="W2649" s="7" t="s">
        <v>46</v>
      </c>
      <c r="X2649" s="7"/>
      <c r="Y2649" s="7" t="s">
        <v>6401</v>
      </c>
      <c r="Z2649" s="7" t="s">
        <v>1465</v>
      </c>
      <c r="AA2649" s="7"/>
      <c r="AB2649" s="7"/>
      <c r="AC2649" s="7" t="s">
        <v>4817</v>
      </c>
      <c r="AD2649" s="7" t="s">
        <v>6261</v>
      </c>
      <c r="AE2649" s="7" t="s">
        <v>6402</v>
      </c>
      <c r="AF2649" s="7" t="s">
        <v>113</v>
      </c>
      <c r="AG2649" s="7" t="s">
        <v>366</v>
      </c>
      <c r="AH2649" s="7" t="s">
        <v>4818</v>
      </c>
    </row>
    <row r="2650" spans="1:37" ht="9.75" customHeight="1" x14ac:dyDescent="0.2">
      <c r="A2650" s="7" t="s">
        <v>5597</v>
      </c>
      <c r="B2650" s="7" t="s">
        <v>4812</v>
      </c>
      <c r="C2650" s="7"/>
      <c r="D2650" s="7" t="s">
        <v>6256</v>
      </c>
      <c r="E2650" s="8">
        <v>2</v>
      </c>
      <c r="F2650" s="7"/>
      <c r="G2650" s="7"/>
      <c r="H2650" s="9"/>
      <c r="I2650" s="9"/>
      <c r="J2650" s="9"/>
      <c r="K2650" s="9"/>
      <c r="L2650" s="9"/>
      <c r="M2650" s="9"/>
      <c r="N2650" s="9"/>
      <c r="O2650" s="10">
        <v>187636</v>
      </c>
      <c r="P2650" s="9"/>
      <c r="Q2650" s="9"/>
      <c r="R2650" s="9"/>
      <c r="S2650" s="7" t="s">
        <v>5253</v>
      </c>
      <c r="T2650" s="7" t="s">
        <v>6403</v>
      </c>
      <c r="U2650" s="7" t="s">
        <v>44</v>
      </c>
      <c r="V2650" s="7" t="s">
        <v>45</v>
      </c>
      <c r="W2650" s="7" t="s">
        <v>46</v>
      </c>
      <c r="X2650" s="7"/>
      <c r="Y2650" s="7" t="s">
        <v>6404</v>
      </c>
      <c r="Z2650" s="7" t="s">
        <v>1465</v>
      </c>
      <c r="AA2650" s="7"/>
      <c r="AB2650" s="7"/>
      <c r="AC2650" s="7" t="s">
        <v>4817</v>
      </c>
      <c r="AD2650" s="7" t="s">
        <v>6261</v>
      </c>
      <c r="AE2650" s="7" t="s">
        <v>6405</v>
      </c>
      <c r="AF2650" s="7" t="s">
        <v>113</v>
      </c>
      <c r="AG2650" s="7" t="s">
        <v>366</v>
      </c>
      <c r="AH2650" s="7" t="s">
        <v>4818</v>
      </c>
    </row>
    <row r="2651" spans="1:37" ht="9.75" customHeight="1" x14ac:dyDescent="0.2">
      <c r="A2651" s="7" t="s">
        <v>5597</v>
      </c>
      <c r="B2651" s="7" t="s">
        <v>4812</v>
      </c>
      <c r="C2651" s="7"/>
      <c r="D2651" s="7" t="s">
        <v>6187</v>
      </c>
      <c r="E2651" s="8">
        <v>4</v>
      </c>
      <c r="F2651" s="7"/>
      <c r="G2651" s="7"/>
      <c r="H2651" s="9"/>
      <c r="I2651" s="9"/>
      <c r="J2651" s="9"/>
      <c r="K2651" s="9"/>
      <c r="L2651" s="9"/>
      <c r="M2651" s="9"/>
      <c r="N2651" s="9"/>
      <c r="O2651" s="10">
        <v>156815</v>
      </c>
      <c r="P2651" s="9"/>
      <c r="Q2651" s="9"/>
      <c r="R2651" s="9"/>
      <c r="S2651" s="7" t="s">
        <v>5253</v>
      </c>
      <c r="T2651" s="7" t="s">
        <v>6406</v>
      </c>
      <c r="U2651" s="7" t="s">
        <v>44</v>
      </c>
      <c r="V2651" s="7" t="s">
        <v>45</v>
      </c>
      <c r="W2651" s="7" t="s">
        <v>171</v>
      </c>
      <c r="X2651" s="7"/>
      <c r="Y2651" s="7" t="s">
        <v>6407</v>
      </c>
      <c r="Z2651" s="7" t="s">
        <v>6307</v>
      </c>
      <c r="AA2651" s="7"/>
      <c r="AB2651" s="7"/>
      <c r="AC2651" s="7" t="s">
        <v>4817</v>
      </c>
      <c r="AD2651" s="7" t="s">
        <v>6316</v>
      </c>
      <c r="AE2651" s="7" t="s">
        <v>6336</v>
      </c>
      <c r="AF2651" s="7" t="s">
        <v>113</v>
      </c>
      <c r="AG2651" s="7" t="s">
        <v>366</v>
      </c>
      <c r="AH2651" s="7" t="s">
        <v>4818</v>
      </c>
    </row>
    <row r="2652" spans="1:37" ht="9.75" customHeight="1" x14ac:dyDescent="0.2">
      <c r="A2652" s="7" t="s">
        <v>5597</v>
      </c>
      <c r="B2652" s="7" t="s">
        <v>4812</v>
      </c>
      <c r="C2652" s="7"/>
      <c r="D2652" s="7" t="s">
        <v>131</v>
      </c>
      <c r="E2652" s="8">
        <v>4</v>
      </c>
      <c r="F2652" s="7"/>
      <c r="G2652" s="7"/>
      <c r="H2652" s="9"/>
      <c r="I2652" s="9"/>
      <c r="J2652" s="9"/>
      <c r="K2652" s="9"/>
      <c r="L2652" s="9"/>
      <c r="M2652" s="9"/>
      <c r="N2652" s="9"/>
      <c r="O2652" s="10">
        <v>135506</v>
      </c>
      <c r="P2652" s="9"/>
      <c r="Q2652" s="9"/>
      <c r="R2652" s="9"/>
      <c r="S2652" s="7" t="s">
        <v>5253</v>
      </c>
      <c r="T2652" s="7" t="s">
        <v>6408</v>
      </c>
      <c r="U2652" s="7" t="s">
        <v>44</v>
      </c>
      <c r="V2652" s="7" t="s">
        <v>45</v>
      </c>
      <c r="W2652" s="7" t="s">
        <v>130</v>
      </c>
      <c r="X2652" s="7" t="s">
        <v>131</v>
      </c>
      <c r="Y2652" s="7" t="s">
        <v>6409</v>
      </c>
      <c r="Z2652" s="7" t="s">
        <v>6307</v>
      </c>
      <c r="AA2652" s="7"/>
      <c r="AB2652" s="7"/>
      <c r="AC2652" s="7" t="s">
        <v>4817</v>
      </c>
      <c r="AD2652" s="7" t="s">
        <v>6410</v>
      </c>
      <c r="AE2652" s="7" t="s">
        <v>6355</v>
      </c>
      <c r="AF2652" s="7" t="s">
        <v>113</v>
      </c>
      <c r="AG2652" s="7" t="s">
        <v>366</v>
      </c>
      <c r="AH2652" s="7" t="s">
        <v>4818</v>
      </c>
    </row>
    <row r="2653" spans="1:37" ht="9.75" customHeight="1" x14ac:dyDescent="0.2">
      <c r="A2653" s="7" t="s">
        <v>6411</v>
      </c>
      <c r="B2653" s="7" t="s">
        <v>38</v>
      </c>
      <c r="C2653" s="7" t="s">
        <v>6412</v>
      </c>
      <c r="D2653" s="7" t="s">
        <v>6413</v>
      </c>
      <c r="E2653" s="8">
        <v>4</v>
      </c>
      <c r="F2653" s="7"/>
      <c r="G2653" s="7" t="s">
        <v>6414</v>
      </c>
      <c r="H2653" s="9"/>
      <c r="I2653" s="10">
        <v>12855</v>
      </c>
      <c r="J2653" s="10">
        <v>20840</v>
      </c>
      <c r="K2653" s="9"/>
      <c r="L2653" s="10">
        <v>9978</v>
      </c>
      <c r="M2653" s="10">
        <v>0</v>
      </c>
      <c r="N2653" s="10">
        <v>9978</v>
      </c>
      <c r="O2653" s="9"/>
      <c r="P2653" s="10"/>
      <c r="Q2653" s="10">
        <v>9978</v>
      </c>
      <c r="R2653" s="10">
        <v>9978</v>
      </c>
      <c r="S2653" s="7"/>
      <c r="T2653" s="7"/>
      <c r="U2653" s="7"/>
      <c r="V2653" s="7"/>
      <c r="W2653" s="7"/>
      <c r="X2653" s="7"/>
      <c r="Y2653" s="7" t="s">
        <v>6415</v>
      </c>
      <c r="Z2653" s="7" t="s">
        <v>714</v>
      </c>
      <c r="AA2653" s="7"/>
      <c r="AB2653" s="7"/>
      <c r="AC2653" s="7" t="s">
        <v>6416</v>
      </c>
      <c r="AD2653" s="7"/>
      <c r="AE2653" s="7"/>
      <c r="AF2653" s="7" t="s">
        <v>113</v>
      </c>
      <c r="AG2653" s="7" t="s">
        <v>297</v>
      </c>
      <c r="AH2653" s="7" t="s">
        <v>6413</v>
      </c>
      <c r="AI2653">
        <v>22668</v>
      </c>
      <c r="AK2653">
        <v>22668</v>
      </c>
    </row>
    <row r="2654" spans="1:37" ht="9.75" customHeight="1" x14ac:dyDescent="0.2">
      <c r="A2654" s="7" t="s">
        <v>6411</v>
      </c>
      <c r="B2654" s="7" t="s">
        <v>38</v>
      </c>
      <c r="C2654" s="7" t="s">
        <v>6417</v>
      </c>
      <c r="D2654" s="7" t="s">
        <v>6418</v>
      </c>
      <c r="E2654" s="8">
        <v>4</v>
      </c>
      <c r="F2654" s="7"/>
      <c r="G2654" s="7" t="s">
        <v>6419</v>
      </c>
      <c r="H2654" s="9"/>
      <c r="I2654" s="10">
        <v>92449</v>
      </c>
      <c r="J2654" s="10">
        <v>77592</v>
      </c>
      <c r="K2654" s="9"/>
      <c r="L2654" s="10">
        <v>62004</v>
      </c>
      <c r="M2654" s="10">
        <v>0</v>
      </c>
      <c r="N2654" s="10">
        <v>62004</v>
      </c>
      <c r="O2654" s="9"/>
      <c r="P2654" s="10"/>
      <c r="Q2654" s="10">
        <v>62004</v>
      </c>
      <c r="R2654" s="10">
        <v>62004</v>
      </c>
      <c r="S2654" s="7"/>
      <c r="T2654" s="7"/>
      <c r="U2654" s="7"/>
      <c r="V2654" s="7"/>
      <c r="W2654" s="7"/>
      <c r="X2654" s="7"/>
      <c r="Y2654" s="7" t="s">
        <v>6420</v>
      </c>
      <c r="Z2654" s="7" t="s">
        <v>894</v>
      </c>
      <c r="AA2654" s="7"/>
      <c r="AB2654" s="7"/>
      <c r="AC2654" s="7" t="s">
        <v>6421</v>
      </c>
      <c r="AD2654" s="7"/>
      <c r="AE2654" s="7"/>
      <c r="AF2654" s="7" t="s">
        <v>113</v>
      </c>
      <c r="AG2654" s="7" t="s">
        <v>366</v>
      </c>
      <c r="AH2654" s="7" t="s">
        <v>6418</v>
      </c>
      <c r="AI2654">
        <v>103871</v>
      </c>
      <c r="AK2654">
        <v>103871</v>
      </c>
    </row>
    <row r="2655" spans="1:37" ht="9.75" customHeight="1" x14ac:dyDescent="0.2">
      <c r="A2655" s="7" t="s">
        <v>6411</v>
      </c>
      <c r="B2655" s="7" t="s">
        <v>38</v>
      </c>
      <c r="C2655" s="7" t="s">
        <v>6422</v>
      </c>
      <c r="D2655" s="7" t="s">
        <v>6423</v>
      </c>
      <c r="E2655" s="8">
        <v>4</v>
      </c>
      <c r="F2655" s="7"/>
      <c r="G2655" s="7" t="s">
        <v>6424</v>
      </c>
      <c r="H2655" s="9"/>
      <c r="I2655" s="10">
        <v>103852</v>
      </c>
      <c r="J2655" s="10">
        <v>97206</v>
      </c>
      <c r="K2655" s="9"/>
      <c r="L2655" s="10">
        <v>96945</v>
      </c>
      <c r="M2655" s="10">
        <v>0</v>
      </c>
      <c r="N2655" s="10">
        <v>96945</v>
      </c>
      <c r="O2655" s="9"/>
      <c r="P2655" s="10"/>
      <c r="Q2655" s="10">
        <v>96945</v>
      </c>
      <c r="R2655" s="10">
        <v>96945</v>
      </c>
      <c r="S2655" s="7"/>
      <c r="T2655" s="7"/>
      <c r="U2655" s="7"/>
      <c r="V2655" s="7"/>
      <c r="W2655" s="7"/>
      <c r="X2655" s="7"/>
      <c r="Y2655" s="7" t="s">
        <v>6425</v>
      </c>
      <c r="Z2655" s="7" t="s">
        <v>1144</v>
      </c>
      <c r="AA2655" s="7"/>
      <c r="AB2655" s="7"/>
      <c r="AC2655" s="7" t="s">
        <v>1315</v>
      </c>
      <c r="AD2655" s="7" t="s">
        <v>6426</v>
      </c>
      <c r="AE2655" s="7"/>
      <c r="AF2655" s="7" t="s">
        <v>1316</v>
      </c>
      <c r="AG2655" s="7" t="s">
        <v>1317</v>
      </c>
      <c r="AH2655" s="7" t="s">
        <v>6423</v>
      </c>
      <c r="AI2655">
        <v>83510</v>
      </c>
      <c r="AK2655">
        <v>83510</v>
      </c>
    </row>
    <row r="2656" spans="1:37" ht="9.75" customHeight="1" x14ac:dyDescent="0.2">
      <c r="A2656" s="7" t="s">
        <v>6411</v>
      </c>
      <c r="B2656" s="7" t="s">
        <v>38</v>
      </c>
      <c r="C2656" s="7" t="s">
        <v>6427</v>
      </c>
      <c r="D2656" s="7" t="s">
        <v>6428</v>
      </c>
      <c r="E2656" s="8">
        <v>4</v>
      </c>
      <c r="F2656" s="7"/>
      <c r="G2656" s="7" t="s">
        <v>6429</v>
      </c>
      <c r="H2656" s="9"/>
      <c r="I2656" s="10">
        <v>272778</v>
      </c>
      <c r="J2656" s="10">
        <v>290575</v>
      </c>
      <c r="K2656" s="9"/>
      <c r="L2656" s="10">
        <v>135863</v>
      </c>
      <c r="M2656" s="10">
        <v>141550</v>
      </c>
      <c r="N2656" s="10">
        <v>277413</v>
      </c>
      <c r="O2656" s="9"/>
      <c r="P2656" s="10">
        <v>0</v>
      </c>
      <c r="Q2656" s="10">
        <v>204863</v>
      </c>
      <c r="R2656" s="10">
        <v>204863</v>
      </c>
      <c r="S2656" s="7"/>
      <c r="T2656" s="7"/>
      <c r="U2656" s="7" t="s">
        <v>44</v>
      </c>
      <c r="V2656" s="7" t="s">
        <v>45</v>
      </c>
      <c r="W2656" s="7" t="s">
        <v>46</v>
      </c>
      <c r="X2656" s="7" t="s">
        <v>90</v>
      </c>
      <c r="Y2656" s="7" t="s">
        <v>6430</v>
      </c>
      <c r="Z2656" s="7" t="s">
        <v>5002</v>
      </c>
      <c r="AA2656" s="7"/>
      <c r="AB2656" s="7"/>
      <c r="AC2656" s="7" t="s">
        <v>6431</v>
      </c>
      <c r="AD2656" s="7"/>
      <c r="AE2656" s="7"/>
      <c r="AF2656" s="7" t="s">
        <v>6249</v>
      </c>
      <c r="AG2656" s="7" t="s">
        <v>6432</v>
      </c>
      <c r="AH2656" s="7" t="s">
        <v>6433</v>
      </c>
      <c r="AI2656">
        <v>344885</v>
      </c>
      <c r="AK2656">
        <v>344885</v>
      </c>
    </row>
    <row r="2657" spans="1:37" ht="9.75" customHeight="1" x14ac:dyDescent="0.2">
      <c r="A2657" s="7" t="s">
        <v>6411</v>
      </c>
      <c r="B2657" s="7" t="s">
        <v>38</v>
      </c>
      <c r="C2657" s="7" t="s">
        <v>6434</v>
      </c>
      <c r="D2657" s="7" t="s">
        <v>6435</v>
      </c>
      <c r="E2657" s="8">
        <v>4</v>
      </c>
      <c r="F2657" s="7"/>
      <c r="G2657" s="7" t="s">
        <v>6436</v>
      </c>
      <c r="H2657" s="9"/>
      <c r="I2657" s="10">
        <v>641676</v>
      </c>
      <c r="J2657" s="10">
        <v>861066</v>
      </c>
      <c r="K2657" s="9"/>
      <c r="L2657" s="10">
        <v>686787</v>
      </c>
      <c r="M2657" s="10">
        <v>310698</v>
      </c>
      <c r="N2657" s="10">
        <v>997485</v>
      </c>
      <c r="O2657" s="9"/>
      <c r="P2657" s="10">
        <v>0</v>
      </c>
      <c r="Q2657" s="10">
        <v>878787</v>
      </c>
      <c r="R2657" s="10">
        <v>878787</v>
      </c>
      <c r="S2657" s="7" t="s">
        <v>43</v>
      </c>
      <c r="T2657" s="7"/>
      <c r="U2657" s="7" t="s">
        <v>44</v>
      </c>
      <c r="V2657" s="7" t="s">
        <v>45</v>
      </c>
      <c r="W2657" s="7" t="s">
        <v>130</v>
      </c>
      <c r="X2657" s="7" t="s">
        <v>131</v>
      </c>
      <c r="Y2657" s="7" t="s">
        <v>6437</v>
      </c>
      <c r="Z2657" s="7" t="s">
        <v>2471</v>
      </c>
      <c r="AA2657" s="7"/>
      <c r="AB2657" s="7"/>
      <c r="AC2657" s="7" t="s">
        <v>6438</v>
      </c>
      <c r="AD2657" s="7"/>
      <c r="AE2657" s="7"/>
      <c r="AF2657" s="7" t="s">
        <v>113</v>
      </c>
      <c r="AG2657" s="7" t="s">
        <v>366</v>
      </c>
      <c r="AH2657" s="7" t="s">
        <v>6435</v>
      </c>
      <c r="AI2657">
        <v>1000278</v>
      </c>
      <c r="AK2657">
        <v>1000278</v>
      </c>
    </row>
    <row r="2658" spans="1:37" ht="9.75" customHeight="1" x14ac:dyDescent="0.2">
      <c r="A2658" s="7" t="s">
        <v>6411</v>
      </c>
      <c r="B2658" s="7" t="s">
        <v>38</v>
      </c>
      <c r="C2658" s="7" t="s">
        <v>6439</v>
      </c>
      <c r="D2658" s="7" t="s">
        <v>6440</v>
      </c>
      <c r="E2658" s="8">
        <v>4</v>
      </c>
      <c r="F2658" s="7"/>
      <c r="G2658" s="7"/>
      <c r="H2658" s="9"/>
      <c r="I2658" s="9"/>
      <c r="J2658" s="9"/>
      <c r="K2658" s="9"/>
      <c r="L2658" s="10">
        <v>337068</v>
      </c>
      <c r="M2658" s="9"/>
      <c r="N2658" s="9"/>
      <c r="O2658" s="9"/>
      <c r="P2658" s="10"/>
      <c r="Q2658" s="10"/>
      <c r="R2658" s="10"/>
      <c r="S2658" s="7" t="s">
        <v>54</v>
      </c>
      <c r="T2658" s="7" t="s">
        <v>6441</v>
      </c>
      <c r="U2658" s="7" t="s">
        <v>44</v>
      </c>
      <c r="V2658" s="7" t="s">
        <v>45</v>
      </c>
      <c r="W2658" s="7" t="s">
        <v>130</v>
      </c>
      <c r="X2658" s="7" t="s">
        <v>131</v>
      </c>
      <c r="Y2658" s="7" t="s">
        <v>6442</v>
      </c>
      <c r="Z2658" s="7" t="s">
        <v>2471</v>
      </c>
      <c r="AA2658" s="7"/>
      <c r="AB2658" s="7"/>
      <c r="AC2658" s="7" t="s">
        <v>6438</v>
      </c>
      <c r="AD2658" s="7" t="s">
        <v>6443</v>
      </c>
      <c r="AE2658" s="7" t="s">
        <v>6444</v>
      </c>
      <c r="AF2658" s="7" t="s">
        <v>113</v>
      </c>
      <c r="AG2658" s="7" t="s">
        <v>366</v>
      </c>
      <c r="AH2658" s="7" t="s">
        <v>6435</v>
      </c>
    </row>
    <row r="2659" spans="1:37" ht="9.75" customHeight="1" x14ac:dyDescent="0.2">
      <c r="A2659" s="7" t="s">
        <v>6411</v>
      </c>
      <c r="B2659" s="7" t="s">
        <v>38</v>
      </c>
      <c r="C2659" s="7" t="s">
        <v>6445</v>
      </c>
      <c r="D2659" s="7" t="s">
        <v>6446</v>
      </c>
      <c r="E2659" s="8">
        <v>4</v>
      </c>
      <c r="F2659" s="7"/>
      <c r="G2659" s="7"/>
      <c r="H2659" s="9"/>
      <c r="I2659" s="9"/>
      <c r="J2659" s="9"/>
      <c r="K2659" s="9"/>
      <c r="L2659" s="10">
        <v>168026</v>
      </c>
      <c r="M2659" s="9"/>
      <c r="N2659" s="9"/>
      <c r="O2659" s="9"/>
      <c r="P2659" s="10"/>
      <c r="Q2659" s="10"/>
      <c r="R2659" s="10"/>
      <c r="S2659" s="7" t="s">
        <v>54</v>
      </c>
      <c r="T2659" s="7" t="s">
        <v>6441</v>
      </c>
      <c r="U2659" s="7" t="s">
        <v>44</v>
      </c>
      <c r="V2659" s="7" t="s">
        <v>45</v>
      </c>
      <c r="W2659" s="7" t="s">
        <v>130</v>
      </c>
      <c r="X2659" s="7" t="s">
        <v>131</v>
      </c>
      <c r="Y2659" s="7" t="s">
        <v>6447</v>
      </c>
      <c r="Z2659" s="7" t="s">
        <v>2471</v>
      </c>
      <c r="AA2659" s="7"/>
      <c r="AB2659" s="7"/>
      <c r="AC2659" s="7" t="s">
        <v>6438</v>
      </c>
      <c r="AD2659" s="7" t="s">
        <v>6448</v>
      </c>
      <c r="AE2659" s="7" t="s">
        <v>6449</v>
      </c>
      <c r="AF2659" s="7" t="s">
        <v>113</v>
      </c>
      <c r="AG2659" s="7" t="s">
        <v>366</v>
      </c>
      <c r="AH2659" s="7" t="s">
        <v>6435</v>
      </c>
    </row>
    <row r="2660" spans="1:37" ht="9.75" customHeight="1" x14ac:dyDescent="0.2">
      <c r="A2660" s="7" t="s">
        <v>6411</v>
      </c>
      <c r="B2660" s="7" t="s">
        <v>38</v>
      </c>
      <c r="C2660" s="7" t="s">
        <v>6450</v>
      </c>
      <c r="D2660" s="7" t="s">
        <v>6451</v>
      </c>
      <c r="E2660" s="8">
        <v>4</v>
      </c>
      <c r="F2660" s="7"/>
      <c r="G2660" s="7"/>
      <c r="H2660" s="9"/>
      <c r="I2660" s="9"/>
      <c r="J2660" s="9"/>
      <c r="K2660" s="9"/>
      <c r="L2660" s="10">
        <v>51902</v>
      </c>
      <c r="M2660" s="9"/>
      <c r="N2660" s="9"/>
      <c r="O2660" s="9"/>
      <c r="P2660" s="10"/>
      <c r="Q2660" s="10"/>
      <c r="R2660" s="10"/>
      <c r="S2660" s="7" t="s">
        <v>54</v>
      </c>
      <c r="T2660" s="7" t="s">
        <v>6441</v>
      </c>
      <c r="U2660" s="7" t="s">
        <v>44</v>
      </c>
      <c r="V2660" s="7" t="s">
        <v>45</v>
      </c>
      <c r="W2660" s="7" t="s">
        <v>130</v>
      </c>
      <c r="X2660" s="7" t="s">
        <v>131</v>
      </c>
      <c r="Y2660" s="7" t="s">
        <v>6452</v>
      </c>
      <c r="Z2660" s="7" t="s">
        <v>2471</v>
      </c>
      <c r="AA2660" s="7"/>
      <c r="AB2660" s="7"/>
      <c r="AC2660" s="7" t="s">
        <v>6438</v>
      </c>
      <c r="AD2660" s="7" t="s">
        <v>6453</v>
      </c>
      <c r="AE2660" s="7" t="s">
        <v>6454</v>
      </c>
      <c r="AF2660" s="7" t="s">
        <v>113</v>
      </c>
      <c r="AG2660" s="7" t="s">
        <v>366</v>
      </c>
      <c r="AH2660" s="7" t="s">
        <v>6435</v>
      </c>
    </row>
    <row r="2661" spans="1:37" ht="9.75" customHeight="1" x14ac:dyDescent="0.2">
      <c r="A2661" s="7" t="s">
        <v>6411</v>
      </c>
      <c r="B2661" s="7" t="s">
        <v>38</v>
      </c>
      <c r="C2661" s="7" t="s">
        <v>6455</v>
      </c>
      <c r="D2661" s="7" t="s">
        <v>6456</v>
      </c>
      <c r="E2661" s="8">
        <v>4</v>
      </c>
      <c r="F2661" s="7"/>
      <c r="G2661" s="7"/>
      <c r="H2661" s="9"/>
      <c r="I2661" s="9"/>
      <c r="J2661" s="9"/>
      <c r="K2661" s="9"/>
      <c r="L2661" s="10">
        <v>79260</v>
      </c>
      <c r="M2661" s="9"/>
      <c r="N2661" s="9"/>
      <c r="O2661" s="9"/>
      <c r="P2661" s="10"/>
      <c r="Q2661" s="10"/>
      <c r="R2661" s="10"/>
      <c r="S2661" s="7" t="s">
        <v>54</v>
      </c>
      <c r="T2661" s="7" t="s">
        <v>6441</v>
      </c>
      <c r="U2661" s="7" t="s">
        <v>44</v>
      </c>
      <c r="V2661" s="7" t="s">
        <v>45</v>
      </c>
      <c r="W2661" s="7" t="s">
        <v>130</v>
      </c>
      <c r="X2661" s="7" t="s">
        <v>131</v>
      </c>
      <c r="Y2661" s="7" t="s">
        <v>6457</v>
      </c>
      <c r="Z2661" s="7" t="s">
        <v>2471</v>
      </c>
      <c r="AA2661" s="7"/>
      <c r="AB2661" s="7"/>
      <c r="AC2661" s="7" t="s">
        <v>6438</v>
      </c>
      <c r="AD2661" s="7"/>
      <c r="AE2661" s="7"/>
      <c r="AF2661" s="7" t="s">
        <v>113</v>
      </c>
      <c r="AG2661" s="7" t="s">
        <v>366</v>
      </c>
      <c r="AH2661" s="7" t="s">
        <v>6435</v>
      </c>
    </row>
    <row r="2662" spans="1:37" ht="9.75" customHeight="1" x14ac:dyDescent="0.2">
      <c r="A2662" s="7" t="s">
        <v>6411</v>
      </c>
      <c r="B2662" s="7" t="s">
        <v>38</v>
      </c>
      <c r="C2662" s="7" t="s">
        <v>6458</v>
      </c>
      <c r="D2662" s="7" t="s">
        <v>6459</v>
      </c>
      <c r="E2662" s="8">
        <v>4</v>
      </c>
      <c r="F2662" s="7"/>
      <c r="G2662" s="7" t="s">
        <v>6460</v>
      </c>
      <c r="H2662" s="9"/>
      <c r="I2662" s="10">
        <v>33532</v>
      </c>
      <c r="J2662" s="10">
        <v>38521</v>
      </c>
      <c r="K2662" s="9"/>
      <c r="L2662" s="10">
        <v>36488</v>
      </c>
      <c r="M2662" s="10">
        <v>0</v>
      </c>
      <c r="N2662" s="10">
        <v>36488</v>
      </c>
      <c r="O2662" s="9"/>
      <c r="P2662" s="10"/>
      <c r="Q2662" s="10">
        <v>36488</v>
      </c>
      <c r="R2662" s="10">
        <v>36488</v>
      </c>
      <c r="S2662" s="7"/>
      <c r="T2662" s="7"/>
      <c r="U2662" s="7"/>
      <c r="V2662" s="7"/>
      <c r="W2662" s="7"/>
      <c r="X2662" s="7"/>
      <c r="Y2662" s="7" t="s">
        <v>6461</v>
      </c>
      <c r="Z2662" s="7" t="s">
        <v>152</v>
      </c>
      <c r="AA2662" s="7"/>
      <c r="AB2662" s="7"/>
      <c r="AC2662" s="7" t="s">
        <v>6462</v>
      </c>
      <c r="AD2662" s="7"/>
      <c r="AE2662" s="7"/>
      <c r="AF2662" s="7" t="s">
        <v>113</v>
      </c>
      <c r="AG2662" s="7" t="s">
        <v>366</v>
      </c>
      <c r="AH2662" s="7" t="s">
        <v>6459</v>
      </c>
      <c r="AI2662">
        <v>177708</v>
      </c>
      <c r="AK2662">
        <v>177708</v>
      </c>
    </row>
    <row r="2663" spans="1:37" ht="9.75" customHeight="1" x14ac:dyDescent="0.2">
      <c r="A2663" s="7" t="s">
        <v>6411</v>
      </c>
      <c r="B2663" s="7" t="s">
        <v>38</v>
      </c>
      <c r="C2663" s="7" t="s">
        <v>6463</v>
      </c>
      <c r="D2663" s="7" t="s">
        <v>6464</v>
      </c>
      <c r="E2663" s="8">
        <v>4</v>
      </c>
      <c r="F2663" s="7"/>
      <c r="G2663" s="7" t="s">
        <v>6465</v>
      </c>
      <c r="H2663" s="9"/>
      <c r="I2663" s="10">
        <v>2456</v>
      </c>
      <c r="J2663" s="10">
        <v>2402</v>
      </c>
      <c r="K2663" s="9"/>
      <c r="L2663" s="10">
        <v>2417</v>
      </c>
      <c r="M2663" s="10">
        <v>0</v>
      </c>
      <c r="N2663" s="10">
        <v>2417</v>
      </c>
      <c r="O2663" s="9"/>
      <c r="P2663" s="10"/>
      <c r="Q2663" s="10">
        <v>2417</v>
      </c>
      <c r="R2663" s="10">
        <v>2417</v>
      </c>
      <c r="S2663" s="7"/>
      <c r="T2663" s="7"/>
      <c r="U2663" s="7"/>
      <c r="V2663" s="7"/>
      <c r="W2663" s="7"/>
      <c r="X2663" s="7"/>
      <c r="Y2663" s="7" t="s">
        <v>6466</v>
      </c>
      <c r="Z2663" s="7" t="s">
        <v>3344</v>
      </c>
      <c r="AA2663" s="7"/>
      <c r="AB2663" s="7"/>
      <c r="AC2663" s="7" t="s">
        <v>6467</v>
      </c>
      <c r="AD2663" s="7"/>
      <c r="AE2663" s="7"/>
      <c r="AF2663" s="7" t="s">
        <v>1316</v>
      </c>
      <c r="AG2663" s="7" t="s">
        <v>1317</v>
      </c>
      <c r="AH2663" s="7" t="s">
        <v>6464</v>
      </c>
      <c r="AI2663">
        <v>2259</v>
      </c>
      <c r="AK2663">
        <v>2259</v>
      </c>
    </row>
    <row r="2664" spans="1:37" ht="9.75" customHeight="1" x14ac:dyDescent="0.2">
      <c r="A2664" s="7" t="s">
        <v>6411</v>
      </c>
      <c r="B2664" s="7" t="s">
        <v>38</v>
      </c>
      <c r="C2664" s="7" t="s">
        <v>6468</v>
      </c>
      <c r="D2664" s="7" t="s">
        <v>6469</v>
      </c>
      <c r="E2664" s="8">
        <v>4</v>
      </c>
      <c r="F2664" s="7"/>
      <c r="G2664" s="7" t="s">
        <v>6470</v>
      </c>
      <c r="H2664" s="9"/>
      <c r="I2664" s="10">
        <v>102334</v>
      </c>
      <c r="J2664" s="10">
        <v>81602</v>
      </c>
      <c r="K2664" s="9"/>
      <c r="L2664" s="10">
        <v>86884</v>
      </c>
      <c r="M2664" s="10">
        <v>36500</v>
      </c>
      <c r="N2664" s="10">
        <v>123384</v>
      </c>
      <c r="O2664" s="9"/>
      <c r="P2664" s="10">
        <v>62767</v>
      </c>
      <c r="Q2664" s="10">
        <v>60617</v>
      </c>
      <c r="R2664" s="10">
        <v>123384</v>
      </c>
      <c r="S2664" s="7"/>
      <c r="T2664" s="7"/>
      <c r="U2664" s="7" t="s">
        <v>44</v>
      </c>
      <c r="V2664" s="7" t="s">
        <v>45</v>
      </c>
      <c r="W2664" s="7" t="s">
        <v>171</v>
      </c>
      <c r="X2664" s="7" t="s">
        <v>5027</v>
      </c>
      <c r="Y2664" s="7" t="s">
        <v>6471</v>
      </c>
      <c r="Z2664" s="7" t="s">
        <v>3400</v>
      </c>
      <c r="AA2664" s="7"/>
      <c r="AB2664" s="7"/>
      <c r="AC2664" s="7" t="s">
        <v>2798</v>
      </c>
      <c r="AD2664" s="7"/>
      <c r="AE2664" s="7"/>
      <c r="AF2664" s="7" t="s">
        <v>113</v>
      </c>
      <c r="AG2664" s="7" t="s">
        <v>366</v>
      </c>
      <c r="AH2664" s="7" t="s">
        <v>6469</v>
      </c>
      <c r="AI2664">
        <v>131315</v>
      </c>
      <c r="AK2664">
        <v>131315</v>
      </c>
    </row>
    <row r="2665" spans="1:37" ht="9.75" customHeight="1" x14ac:dyDescent="0.2">
      <c r="A2665" s="7" t="s">
        <v>6411</v>
      </c>
      <c r="B2665" s="7" t="s">
        <v>38</v>
      </c>
      <c r="C2665" s="7" t="s">
        <v>6472</v>
      </c>
      <c r="D2665" s="7" t="s">
        <v>6473</v>
      </c>
      <c r="E2665" s="8">
        <v>5</v>
      </c>
      <c r="F2665" s="7"/>
      <c r="G2665" s="7" t="s">
        <v>6474</v>
      </c>
      <c r="H2665" s="9"/>
      <c r="I2665" s="10">
        <v>10522</v>
      </c>
      <c r="J2665" s="10">
        <v>7352</v>
      </c>
      <c r="K2665" s="9"/>
      <c r="L2665" s="10">
        <v>19276</v>
      </c>
      <c r="M2665" s="10">
        <v>0</v>
      </c>
      <c r="N2665" s="10">
        <v>19276</v>
      </c>
      <c r="O2665" s="9"/>
      <c r="P2665" s="10"/>
      <c r="Q2665" s="10">
        <v>19276</v>
      </c>
      <c r="R2665" s="10">
        <v>19276</v>
      </c>
      <c r="S2665" s="7"/>
      <c r="T2665" s="7"/>
      <c r="U2665" s="7" t="s">
        <v>44</v>
      </c>
      <c r="V2665" s="7" t="s">
        <v>45</v>
      </c>
      <c r="W2665" s="7" t="s">
        <v>4977</v>
      </c>
      <c r="X2665" s="7" t="s">
        <v>4978</v>
      </c>
      <c r="Y2665" s="7" t="s">
        <v>6475</v>
      </c>
      <c r="Z2665" s="7" t="s">
        <v>3922</v>
      </c>
      <c r="AA2665" s="7"/>
      <c r="AB2665" s="7"/>
      <c r="AC2665" s="7" t="s">
        <v>6476</v>
      </c>
      <c r="AD2665" s="7"/>
      <c r="AE2665" s="7"/>
      <c r="AF2665" s="7" t="s">
        <v>113</v>
      </c>
      <c r="AG2665" s="7" t="s">
        <v>366</v>
      </c>
      <c r="AH2665" s="7" t="s">
        <v>6473</v>
      </c>
      <c r="AI2665">
        <v>766</v>
      </c>
      <c r="AK2665">
        <v>766</v>
      </c>
    </row>
    <row r="2666" spans="1:37" ht="9.75" customHeight="1" x14ac:dyDescent="0.2">
      <c r="A2666" s="7" t="s">
        <v>6411</v>
      </c>
      <c r="B2666" s="7" t="s">
        <v>38</v>
      </c>
      <c r="C2666" s="7" t="s">
        <v>6477</v>
      </c>
      <c r="D2666" s="7" t="s">
        <v>6478</v>
      </c>
      <c r="E2666" s="8">
        <v>4</v>
      </c>
      <c r="F2666" s="7"/>
      <c r="G2666" s="7" t="s">
        <v>6479</v>
      </c>
      <c r="H2666" s="9"/>
      <c r="I2666" s="10">
        <v>22757</v>
      </c>
      <c r="J2666" s="10">
        <v>23440</v>
      </c>
      <c r="K2666" s="9"/>
      <c r="L2666" s="10">
        <v>22477</v>
      </c>
      <c r="M2666" s="10">
        <v>0</v>
      </c>
      <c r="N2666" s="10">
        <v>22477</v>
      </c>
      <c r="O2666" s="9"/>
      <c r="P2666" s="10"/>
      <c r="Q2666" s="10">
        <v>22477</v>
      </c>
      <c r="R2666" s="10">
        <v>22477</v>
      </c>
      <c r="S2666" s="7"/>
      <c r="T2666" s="7"/>
      <c r="U2666" s="7"/>
      <c r="V2666" s="7"/>
      <c r="W2666" s="7"/>
      <c r="X2666" s="7"/>
      <c r="Y2666" s="7" t="s">
        <v>6480</v>
      </c>
      <c r="Z2666" s="7" t="s">
        <v>4041</v>
      </c>
      <c r="AA2666" s="7"/>
      <c r="AB2666" s="7"/>
      <c r="AC2666" s="7" t="s">
        <v>6481</v>
      </c>
      <c r="AD2666" s="7"/>
      <c r="AE2666" s="7"/>
      <c r="AF2666" s="7" t="s">
        <v>6482</v>
      </c>
      <c r="AG2666" s="7" t="s">
        <v>6483</v>
      </c>
      <c r="AH2666" s="7" t="s">
        <v>6478</v>
      </c>
      <c r="AI2666">
        <v>22506</v>
      </c>
      <c r="AK2666">
        <v>22506</v>
      </c>
    </row>
    <row r="2667" spans="1:37" ht="9.75" customHeight="1" x14ac:dyDescent="0.2">
      <c r="A2667" s="7" t="s">
        <v>6411</v>
      </c>
      <c r="B2667" s="7" t="s">
        <v>38</v>
      </c>
      <c r="C2667" s="7" t="s">
        <v>6484</v>
      </c>
      <c r="D2667" s="7" t="s">
        <v>6485</v>
      </c>
      <c r="E2667" s="8">
        <v>4</v>
      </c>
      <c r="F2667" s="7"/>
      <c r="G2667" s="7" t="s">
        <v>6486</v>
      </c>
      <c r="H2667" s="9"/>
      <c r="I2667" s="10">
        <v>210652</v>
      </c>
      <c r="J2667" s="10">
        <v>293766</v>
      </c>
      <c r="K2667" s="9"/>
      <c r="L2667" s="10">
        <v>383062</v>
      </c>
      <c r="M2667" s="10">
        <v>0</v>
      </c>
      <c r="N2667" s="10">
        <v>383062</v>
      </c>
      <c r="O2667" s="9"/>
      <c r="P2667" s="10"/>
      <c r="Q2667" s="10">
        <v>383062</v>
      </c>
      <c r="R2667" s="10">
        <v>383062</v>
      </c>
      <c r="S2667" s="7"/>
      <c r="T2667" s="7"/>
      <c r="U2667" s="7" t="s">
        <v>44</v>
      </c>
      <c r="V2667" s="7" t="s">
        <v>45</v>
      </c>
      <c r="W2667" s="7" t="s">
        <v>46</v>
      </c>
      <c r="X2667" s="7" t="s">
        <v>90</v>
      </c>
      <c r="Y2667" s="7" t="s">
        <v>6487</v>
      </c>
      <c r="Z2667" s="7" t="s">
        <v>4152</v>
      </c>
      <c r="AA2667" s="7"/>
      <c r="AB2667" s="7"/>
      <c r="AC2667" s="7" t="s">
        <v>6488</v>
      </c>
      <c r="AD2667" s="7"/>
      <c r="AE2667" s="7"/>
      <c r="AF2667" s="7" t="s">
        <v>113</v>
      </c>
      <c r="AG2667" s="7" t="s">
        <v>366</v>
      </c>
      <c r="AH2667" s="7" t="s">
        <v>6485</v>
      </c>
      <c r="AI2667">
        <v>330951</v>
      </c>
      <c r="AK2667">
        <v>330951</v>
      </c>
    </row>
    <row r="2668" spans="1:37" ht="9.75" customHeight="1" x14ac:dyDescent="0.2">
      <c r="A2668" s="7" t="s">
        <v>6411</v>
      </c>
      <c r="B2668" s="7" t="s">
        <v>38</v>
      </c>
      <c r="C2668" s="7" t="s">
        <v>57</v>
      </c>
      <c r="D2668" s="7" t="s">
        <v>6489</v>
      </c>
      <c r="E2668" s="8">
        <v>4</v>
      </c>
      <c r="F2668" s="7"/>
      <c r="G2668" s="7" t="s">
        <v>6490</v>
      </c>
      <c r="H2668" s="9"/>
      <c r="I2668" s="10">
        <v>32055</v>
      </c>
      <c r="J2668" s="10">
        <v>43565</v>
      </c>
      <c r="K2668" s="9"/>
      <c r="L2668" s="10">
        <v>52039</v>
      </c>
      <c r="M2668" s="10">
        <v>0</v>
      </c>
      <c r="N2668" s="10">
        <v>52039</v>
      </c>
      <c r="O2668" s="9"/>
      <c r="P2668" s="10"/>
      <c r="Q2668" s="10">
        <v>52039</v>
      </c>
      <c r="R2668" s="10">
        <v>52039</v>
      </c>
      <c r="S2668" s="7"/>
      <c r="T2668" s="7"/>
      <c r="U2668" s="7" t="s">
        <v>44</v>
      </c>
      <c r="V2668" s="7" t="s">
        <v>45</v>
      </c>
      <c r="W2668" s="7" t="s">
        <v>46</v>
      </c>
      <c r="X2668" s="7" t="s">
        <v>90</v>
      </c>
      <c r="Y2668" s="7" t="s">
        <v>6491</v>
      </c>
      <c r="Z2668" s="7" t="s">
        <v>267</v>
      </c>
      <c r="AA2668" s="7"/>
      <c r="AB2668" s="7"/>
      <c r="AC2668" s="7" t="s">
        <v>6492</v>
      </c>
      <c r="AD2668" s="7"/>
      <c r="AE2668" s="7"/>
      <c r="AF2668" s="7" t="s">
        <v>113</v>
      </c>
      <c r="AG2668" s="7" t="s">
        <v>366</v>
      </c>
      <c r="AH2668" s="7" t="s">
        <v>6489</v>
      </c>
      <c r="AI2668">
        <v>83297</v>
      </c>
      <c r="AK2668">
        <v>83297</v>
      </c>
    </row>
    <row r="2669" spans="1:37" ht="9.75" customHeight="1" x14ac:dyDescent="0.2">
      <c r="A2669" s="7" t="s">
        <v>6411</v>
      </c>
      <c r="B2669" s="7" t="s">
        <v>38</v>
      </c>
      <c r="C2669" s="7" t="s">
        <v>6493</v>
      </c>
      <c r="D2669" s="7" t="s">
        <v>6494</v>
      </c>
      <c r="E2669" s="8">
        <v>6</v>
      </c>
      <c r="F2669" s="7"/>
      <c r="G2669" s="7" t="s">
        <v>6495</v>
      </c>
      <c r="H2669" s="9"/>
      <c r="I2669" s="10">
        <v>17816</v>
      </c>
      <c r="J2669" s="10">
        <v>7318</v>
      </c>
      <c r="K2669" s="9"/>
      <c r="L2669" s="10">
        <v>2551</v>
      </c>
      <c r="M2669" s="10">
        <v>0</v>
      </c>
      <c r="N2669" s="10">
        <v>2551</v>
      </c>
      <c r="O2669" s="9"/>
      <c r="P2669" s="10"/>
      <c r="Q2669" s="10">
        <v>2551</v>
      </c>
      <c r="R2669" s="10">
        <v>2551</v>
      </c>
      <c r="S2669" s="7"/>
      <c r="T2669" s="7"/>
      <c r="U2669" s="7" t="s">
        <v>44</v>
      </c>
      <c r="V2669" s="7" t="s">
        <v>45</v>
      </c>
      <c r="W2669" s="7" t="s">
        <v>130</v>
      </c>
      <c r="X2669" s="7" t="s">
        <v>156</v>
      </c>
      <c r="Y2669" s="7" t="s">
        <v>6496</v>
      </c>
      <c r="Z2669" s="7" t="s">
        <v>285</v>
      </c>
      <c r="AA2669" s="7"/>
      <c r="AB2669" s="7"/>
      <c r="AC2669" s="7" t="s">
        <v>6497</v>
      </c>
      <c r="AD2669" s="7"/>
      <c r="AE2669" s="7"/>
      <c r="AF2669" s="7" t="s">
        <v>113</v>
      </c>
      <c r="AG2669" s="7" t="s">
        <v>297</v>
      </c>
      <c r="AH2669" s="7" t="s">
        <v>6494</v>
      </c>
      <c r="AI2669">
        <v>15815</v>
      </c>
      <c r="AK2669">
        <v>15815</v>
      </c>
    </row>
    <row r="2670" spans="1:37" ht="9.75" customHeight="1" x14ac:dyDescent="0.2">
      <c r="A2670" s="7" t="s">
        <v>6411</v>
      </c>
      <c r="B2670" s="7" t="s">
        <v>38</v>
      </c>
      <c r="C2670" s="7" t="s">
        <v>98</v>
      </c>
      <c r="D2670" s="7" t="s">
        <v>6498</v>
      </c>
      <c r="E2670" s="8">
        <v>6</v>
      </c>
      <c r="F2670" s="7"/>
      <c r="G2670" s="7" t="s">
        <v>6499</v>
      </c>
      <c r="H2670" s="9"/>
      <c r="I2670" s="10">
        <v>31202</v>
      </c>
      <c r="J2670" s="10">
        <v>30470</v>
      </c>
      <c r="K2670" s="9"/>
      <c r="L2670" s="10">
        <v>28169</v>
      </c>
      <c r="M2670" s="10">
        <v>0</v>
      </c>
      <c r="N2670" s="10">
        <v>28169</v>
      </c>
      <c r="O2670" s="9"/>
      <c r="P2670" s="10"/>
      <c r="Q2670" s="10">
        <v>28169</v>
      </c>
      <c r="R2670" s="10">
        <v>28169</v>
      </c>
      <c r="S2670" s="7"/>
      <c r="T2670" s="7"/>
      <c r="U2670" s="7" t="s">
        <v>44</v>
      </c>
      <c r="V2670" s="7" t="s">
        <v>45</v>
      </c>
      <c r="W2670" s="7" t="s">
        <v>46</v>
      </c>
      <c r="X2670" s="7" t="s">
        <v>90</v>
      </c>
      <c r="Y2670" s="7" t="s">
        <v>6500</v>
      </c>
      <c r="Z2670" s="7" t="s">
        <v>296</v>
      </c>
      <c r="AA2670" s="7"/>
      <c r="AB2670" s="7"/>
      <c r="AC2670" s="7" t="s">
        <v>6501</v>
      </c>
      <c r="AD2670" s="7"/>
      <c r="AE2670" s="7"/>
      <c r="AF2670" s="7" t="s">
        <v>113</v>
      </c>
      <c r="AG2670" s="7" t="s">
        <v>297</v>
      </c>
      <c r="AH2670" s="7" t="s">
        <v>6498</v>
      </c>
      <c r="AI2670">
        <v>26211</v>
      </c>
      <c r="AK2670">
        <v>26211</v>
      </c>
    </row>
    <row r="2671" spans="1:37" ht="9.75" customHeight="1" x14ac:dyDescent="0.2">
      <c r="A2671" s="7" t="s">
        <v>6411</v>
      </c>
      <c r="B2671" s="7" t="s">
        <v>38</v>
      </c>
      <c r="C2671" s="7" t="s">
        <v>75</v>
      </c>
      <c r="D2671" s="7" t="s">
        <v>6502</v>
      </c>
      <c r="E2671" s="8">
        <v>4</v>
      </c>
      <c r="F2671" s="7"/>
      <c r="G2671" s="7" t="s">
        <v>6503</v>
      </c>
      <c r="H2671" s="9"/>
      <c r="I2671" s="10">
        <v>80933</v>
      </c>
      <c r="J2671" s="10">
        <v>38115</v>
      </c>
      <c r="K2671" s="9"/>
      <c r="L2671" s="10">
        <v>101042</v>
      </c>
      <c r="M2671" s="10">
        <v>24500</v>
      </c>
      <c r="N2671" s="10">
        <v>125542</v>
      </c>
      <c r="O2671" s="9"/>
      <c r="P2671" s="10">
        <v>29000</v>
      </c>
      <c r="Q2671" s="10">
        <v>96542</v>
      </c>
      <c r="R2671" s="10">
        <v>125542</v>
      </c>
      <c r="S2671" s="7"/>
      <c r="T2671" s="7"/>
      <c r="U2671" s="7" t="s">
        <v>44</v>
      </c>
      <c r="V2671" s="7" t="s">
        <v>45</v>
      </c>
      <c r="W2671" s="7" t="s">
        <v>171</v>
      </c>
      <c r="X2671" s="7" t="s">
        <v>172</v>
      </c>
      <c r="Y2671" s="7" t="s">
        <v>6504</v>
      </c>
      <c r="Z2671" s="7" t="s">
        <v>6505</v>
      </c>
      <c r="AA2671" s="7"/>
      <c r="AB2671" s="7"/>
      <c r="AC2671" s="7" t="s">
        <v>6506</v>
      </c>
      <c r="AD2671" s="7"/>
      <c r="AE2671" s="7"/>
      <c r="AF2671" s="7" t="s">
        <v>113</v>
      </c>
      <c r="AG2671" s="7" t="s">
        <v>366</v>
      </c>
      <c r="AH2671" s="7" t="s">
        <v>6502</v>
      </c>
      <c r="AI2671">
        <v>213723</v>
      </c>
      <c r="AK2671">
        <v>213723</v>
      </c>
    </row>
    <row r="2672" spans="1:37" ht="9.75" customHeight="1" x14ac:dyDescent="0.2">
      <c r="A2672" s="7" t="s">
        <v>6411</v>
      </c>
      <c r="B2672" s="7" t="s">
        <v>38</v>
      </c>
      <c r="C2672" s="7" t="s">
        <v>6507</v>
      </c>
      <c r="D2672" s="7" t="s">
        <v>6508</v>
      </c>
      <c r="E2672" s="8">
        <v>4</v>
      </c>
      <c r="F2672" s="7"/>
      <c r="G2672" s="7" t="s">
        <v>6509</v>
      </c>
      <c r="H2672" s="9"/>
      <c r="I2672" s="10">
        <v>220771</v>
      </c>
      <c r="J2672" s="10">
        <v>340668</v>
      </c>
      <c r="K2672" s="9"/>
      <c r="L2672" s="10">
        <v>115267</v>
      </c>
      <c r="M2672" s="10">
        <v>0</v>
      </c>
      <c r="N2672" s="10">
        <v>115267</v>
      </c>
      <c r="O2672" s="9"/>
      <c r="P2672" s="10"/>
      <c r="Q2672" s="10">
        <v>115267</v>
      </c>
      <c r="R2672" s="10">
        <v>115267</v>
      </c>
      <c r="S2672" s="7" t="s">
        <v>43</v>
      </c>
      <c r="T2672" s="7"/>
      <c r="U2672" s="7" t="s">
        <v>44</v>
      </c>
      <c r="V2672" s="7" t="s">
        <v>45</v>
      </c>
      <c r="W2672" s="7" t="s">
        <v>130</v>
      </c>
      <c r="X2672" s="7" t="s">
        <v>131</v>
      </c>
      <c r="Y2672" s="7" t="s">
        <v>6510</v>
      </c>
      <c r="Z2672" s="7" t="s">
        <v>6511</v>
      </c>
      <c r="AA2672" s="7"/>
      <c r="AB2672" s="7"/>
      <c r="AC2672" s="7" t="s">
        <v>6512</v>
      </c>
      <c r="AD2672" s="7" t="s">
        <v>6513</v>
      </c>
      <c r="AE2672" s="7"/>
      <c r="AF2672" s="7" t="s">
        <v>50</v>
      </c>
      <c r="AG2672" s="7" t="s">
        <v>134</v>
      </c>
      <c r="AH2672" s="7" t="s">
        <v>6508</v>
      </c>
      <c r="AI2672">
        <v>58284</v>
      </c>
      <c r="AK2672">
        <v>58284</v>
      </c>
    </row>
    <row r="2673" spans="1:37" ht="9.75" customHeight="1" x14ac:dyDescent="0.2">
      <c r="A2673" s="7" t="s">
        <v>6411</v>
      </c>
      <c r="B2673" s="7" t="s">
        <v>38</v>
      </c>
      <c r="C2673" s="7" t="s">
        <v>6514</v>
      </c>
      <c r="D2673" s="7" t="s">
        <v>6515</v>
      </c>
      <c r="E2673" s="8">
        <v>4</v>
      </c>
      <c r="F2673" s="7"/>
      <c r="G2673" s="7"/>
      <c r="H2673" s="9"/>
      <c r="I2673" s="9"/>
      <c r="J2673" s="9"/>
      <c r="K2673" s="9"/>
      <c r="L2673" s="10">
        <v>98145</v>
      </c>
      <c r="M2673" s="9"/>
      <c r="N2673" s="9"/>
      <c r="O2673" s="9"/>
      <c r="P2673" s="10"/>
      <c r="Q2673" s="10"/>
      <c r="R2673" s="10"/>
      <c r="S2673" s="7" t="s">
        <v>54</v>
      </c>
      <c r="T2673" s="7" t="s">
        <v>6516</v>
      </c>
      <c r="U2673" s="7" t="s">
        <v>44</v>
      </c>
      <c r="V2673" s="7" t="s">
        <v>45</v>
      </c>
      <c r="W2673" s="7" t="s">
        <v>130</v>
      </c>
      <c r="X2673" s="7" t="s">
        <v>131</v>
      </c>
      <c r="Y2673" s="7" t="s">
        <v>6517</v>
      </c>
      <c r="Z2673" s="7" t="s">
        <v>6511</v>
      </c>
      <c r="AA2673" s="7"/>
      <c r="AB2673" s="7"/>
      <c r="AC2673" s="7" t="s">
        <v>6512</v>
      </c>
      <c r="AD2673" s="7"/>
      <c r="AE2673" s="7" t="s">
        <v>6518</v>
      </c>
      <c r="AF2673" s="7" t="s">
        <v>50</v>
      </c>
      <c r="AG2673" s="7" t="s">
        <v>134</v>
      </c>
      <c r="AH2673" s="7" t="s">
        <v>6508</v>
      </c>
    </row>
    <row r="2674" spans="1:37" ht="9.75" customHeight="1" x14ac:dyDescent="0.2">
      <c r="A2674" s="7" t="s">
        <v>6411</v>
      </c>
      <c r="B2674" s="7" t="s">
        <v>38</v>
      </c>
      <c r="C2674" s="7" t="s">
        <v>6519</v>
      </c>
      <c r="D2674" s="7" t="s">
        <v>6520</v>
      </c>
      <c r="E2674" s="8">
        <v>6</v>
      </c>
      <c r="F2674" s="7"/>
      <c r="G2674" s="7" t="s">
        <v>6521</v>
      </c>
      <c r="H2674" s="9"/>
      <c r="I2674" s="10">
        <v>23756</v>
      </c>
      <c r="J2674" s="10">
        <v>53931</v>
      </c>
      <c r="K2674" s="9"/>
      <c r="L2674" s="10">
        <v>38039</v>
      </c>
      <c r="M2674" s="10">
        <v>15701</v>
      </c>
      <c r="N2674" s="10">
        <v>53740</v>
      </c>
      <c r="O2674" s="9"/>
      <c r="P2674" s="10">
        <v>0</v>
      </c>
      <c r="Q2674" s="10">
        <v>38039</v>
      </c>
      <c r="R2674" s="10">
        <v>38039</v>
      </c>
      <c r="S2674" s="7"/>
      <c r="T2674" s="7"/>
      <c r="U2674" s="7" t="s">
        <v>44</v>
      </c>
      <c r="V2674" s="7" t="s">
        <v>45</v>
      </c>
      <c r="W2674" s="7" t="s">
        <v>46</v>
      </c>
      <c r="X2674" s="7" t="s">
        <v>47</v>
      </c>
      <c r="Y2674" s="7" t="s">
        <v>6522</v>
      </c>
      <c r="Z2674" s="7" t="s">
        <v>6523</v>
      </c>
      <c r="AA2674" s="7"/>
      <c r="AB2674" s="7"/>
      <c r="AC2674" s="7" t="s">
        <v>6524</v>
      </c>
      <c r="AD2674" s="7"/>
      <c r="AE2674" s="7"/>
      <c r="AF2674" s="7" t="s">
        <v>113</v>
      </c>
      <c r="AG2674" s="7" t="s">
        <v>366</v>
      </c>
      <c r="AH2674" s="7" t="s">
        <v>6520</v>
      </c>
      <c r="AI2674">
        <v>72163</v>
      </c>
      <c r="AK2674">
        <v>72163</v>
      </c>
    </row>
    <row r="2675" spans="1:37" ht="9.75" customHeight="1" x14ac:dyDescent="0.2">
      <c r="A2675" s="7" t="s">
        <v>6411</v>
      </c>
      <c r="B2675" s="7" t="s">
        <v>38</v>
      </c>
      <c r="C2675" s="7" t="s">
        <v>243</v>
      </c>
      <c r="D2675" s="7" t="s">
        <v>6525</v>
      </c>
      <c r="E2675" s="8">
        <v>6</v>
      </c>
      <c r="F2675" s="7"/>
      <c r="G2675" s="7" t="s">
        <v>6526</v>
      </c>
      <c r="H2675" s="9"/>
      <c r="I2675" s="10">
        <v>4620</v>
      </c>
      <c r="J2675" s="10">
        <v>4586</v>
      </c>
      <c r="K2675" s="9"/>
      <c r="L2675" s="10">
        <v>5849</v>
      </c>
      <c r="M2675" s="10">
        <v>0</v>
      </c>
      <c r="N2675" s="10">
        <v>5849</v>
      </c>
      <c r="O2675" s="9"/>
      <c r="P2675" s="10"/>
      <c r="Q2675" s="10">
        <v>5849</v>
      </c>
      <c r="R2675" s="10">
        <v>5849</v>
      </c>
      <c r="S2675" s="7"/>
      <c r="T2675" s="7"/>
      <c r="U2675" s="7" t="s">
        <v>44</v>
      </c>
      <c r="V2675" s="7" t="s">
        <v>45</v>
      </c>
      <c r="W2675" s="7" t="s">
        <v>46</v>
      </c>
      <c r="X2675" s="7" t="s">
        <v>90</v>
      </c>
      <c r="Y2675" s="7" t="s">
        <v>6527</v>
      </c>
      <c r="Z2675" s="7" t="s">
        <v>6528</v>
      </c>
      <c r="AA2675" s="7"/>
      <c r="AB2675" s="7"/>
      <c r="AC2675" s="7" t="s">
        <v>6529</v>
      </c>
      <c r="AD2675" s="7" t="s">
        <v>6530</v>
      </c>
      <c r="AE2675" s="7"/>
      <c r="AF2675" s="7" t="s">
        <v>6196</v>
      </c>
      <c r="AG2675" s="7" t="s">
        <v>6531</v>
      </c>
      <c r="AH2675" s="7" t="s">
        <v>6525</v>
      </c>
      <c r="AI2675">
        <v>7440</v>
      </c>
      <c r="AK2675">
        <v>7440</v>
      </c>
    </row>
    <row r="2676" spans="1:37" ht="9.75" customHeight="1" x14ac:dyDescent="0.2">
      <c r="A2676" s="7" t="s">
        <v>6411</v>
      </c>
      <c r="B2676" s="7" t="s">
        <v>38</v>
      </c>
      <c r="C2676" s="7" t="s">
        <v>260</v>
      </c>
      <c r="D2676" s="7" t="s">
        <v>6532</v>
      </c>
      <c r="E2676" s="8">
        <v>4</v>
      </c>
      <c r="F2676" s="7"/>
      <c r="G2676" s="7" t="s">
        <v>6533</v>
      </c>
      <c r="H2676" s="9"/>
      <c r="I2676" s="10">
        <v>30000</v>
      </c>
      <c r="J2676" s="10">
        <v>0</v>
      </c>
      <c r="K2676" s="9"/>
      <c r="L2676" s="10">
        <v>0</v>
      </c>
      <c r="M2676" s="10">
        <v>0</v>
      </c>
      <c r="N2676" s="10">
        <v>0</v>
      </c>
      <c r="O2676" s="9"/>
      <c r="P2676" s="10"/>
      <c r="Q2676" s="10"/>
      <c r="R2676" s="10"/>
      <c r="S2676" s="7"/>
      <c r="T2676" s="7"/>
      <c r="U2676" s="7" t="s">
        <v>44</v>
      </c>
      <c r="V2676" s="7" t="s">
        <v>45</v>
      </c>
      <c r="W2676" s="7" t="s">
        <v>130</v>
      </c>
      <c r="X2676" s="7" t="s">
        <v>5077</v>
      </c>
      <c r="Y2676" s="7" t="s">
        <v>6534</v>
      </c>
      <c r="Z2676" s="7" t="s">
        <v>6535</v>
      </c>
      <c r="AA2676" s="7"/>
      <c r="AB2676" s="7"/>
      <c r="AC2676" s="7" t="s">
        <v>6536</v>
      </c>
      <c r="AD2676" s="7"/>
      <c r="AE2676" s="7"/>
      <c r="AF2676" s="7"/>
      <c r="AG2676" s="7"/>
      <c r="AH2676" s="7" t="s">
        <v>6537</v>
      </c>
    </row>
    <row r="2677" spans="1:37" ht="9.75" customHeight="1" x14ac:dyDescent="0.2">
      <c r="A2677" s="7" t="s">
        <v>6411</v>
      </c>
      <c r="B2677" s="7" t="s">
        <v>38</v>
      </c>
      <c r="C2677" s="7" t="s">
        <v>5376</v>
      </c>
      <c r="D2677" s="7" t="s">
        <v>333</v>
      </c>
      <c r="E2677" s="8">
        <v>4</v>
      </c>
      <c r="F2677" s="7"/>
      <c r="G2677" s="7" t="s">
        <v>6538</v>
      </c>
      <c r="H2677" s="9"/>
      <c r="I2677" s="10">
        <v>10239</v>
      </c>
      <c r="J2677" s="10">
        <v>11013</v>
      </c>
      <c r="K2677" s="9"/>
      <c r="L2677" s="10">
        <v>0</v>
      </c>
      <c r="M2677" s="10">
        <v>20321</v>
      </c>
      <c r="N2677" s="10">
        <v>20321</v>
      </c>
      <c r="O2677" s="9"/>
      <c r="P2677" s="10">
        <v>20321</v>
      </c>
      <c r="Q2677" s="10">
        <v>0</v>
      </c>
      <c r="R2677" s="10">
        <v>20321</v>
      </c>
      <c r="S2677" s="7"/>
      <c r="T2677" s="7"/>
      <c r="U2677" s="7" t="s">
        <v>44</v>
      </c>
      <c r="V2677" s="7" t="s">
        <v>281</v>
      </c>
      <c r="W2677" s="7" t="s">
        <v>282</v>
      </c>
      <c r="X2677" s="7" t="s">
        <v>333</v>
      </c>
      <c r="Y2677" s="7" t="s">
        <v>6539</v>
      </c>
      <c r="Z2677" s="7" t="s">
        <v>6540</v>
      </c>
      <c r="AA2677" s="7"/>
      <c r="AB2677" s="7"/>
      <c r="AC2677" s="7" t="s">
        <v>6541</v>
      </c>
      <c r="AD2677" s="7" t="s">
        <v>333</v>
      </c>
      <c r="AE2677" s="7"/>
      <c r="AF2677" s="7" t="s">
        <v>50</v>
      </c>
      <c r="AG2677" s="7" t="s">
        <v>175</v>
      </c>
      <c r="AH2677" s="7" t="s">
        <v>333</v>
      </c>
      <c r="AI2677">
        <v>22515</v>
      </c>
      <c r="AK2677">
        <v>22515</v>
      </c>
    </row>
    <row r="2678" spans="1:37" ht="9.75" customHeight="1" x14ac:dyDescent="0.2">
      <c r="A2678" s="7" t="s">
        <v>6411</v>
      </c>
      <c r="B2678" s="7" t="s">
        <v>38</v>
      </c>
      <c r="C2678" s="7" t="s">
        <v>5386</v>
      </c>
      <c r="D2678" s="7" t="s">
        <v>6542</v>
      </c>
      <c r="E2678" s="8">
        <v>4</v>
      </c>
      <c r="F2678" s="7"/>
      <c r="G2678" s="7" t="s">
        <v>6543</v>
      </c>
      <c r="H2678" s="9"/>
      <c r="I2678" s="10">
        <v>19536</v>
      </c>
      <c r="J2678" s="10">
        <v>16650</v>
      </c>
      <c r="K2678" s="9"/>
      <c r="L2678" s="10">
        <v>22355</v>
      </c>
      <c r="M2678" s="10">
        <v>0</v>
      </c>
      <c r="N2678" s="10">
        <v>22355</v>
      </c>
      <c r="O2678" s="9"/>
      <c r="P2678" s="10"/>
      <c r="Q2678" s="10">
        <v>22355</v>
      </c>
      <c r="R2678" s="10">
        <v>22355</v>
      </c>
      <c r="S2678" s="7"/>
      <c r="T2678" s="7"/>
      <c r="U2678" s="7"/>
      <c r="V2678" s="7"/>
      <c r="W2678" s="7"/>
      <c r="X2678" s="7"/>
      <c r="Y2678" s="7" t="s">
        <v>6544</v>
      </c>
      <c r="Z2678" s="7" t="s">
        <v>6545</v>
      </c>
      <c r="AA2678" s="7"/>
      <c r="AB2678" s="7"/>
      <c r="AC2678" s="7" t="s">
        <v>6546</v>
      </c>
      <c r="AD2678" s="7" t="s">
        <v>6547</v>
      </c>
      <c r="AE2678" s="7"/>
      <c r="AF2678" s="7" t="s">
        <v>6196</v>
      </c>
      <c r="AG2678" s="7" t="s">
        <v>6197</v>
      </c>
      <c r="AH2678" s="7" t="s">
        <v>6542</v>
      </c>
      <c r="AI2678">
        <v>20575</v>
      </c>
      <c r="AK2678">
        <v>20575</v>
      </c>
    </row>
    <row r="2679" spans="1:37" ht="9.75" customHeight="1" x14ac:dyDescent="0.2">
      <c r="A2679" s="7" t="s">
        <v>6411</v>
      </c>
      <c r="B2679" s="7" t="s">
        <v>38</v>
      </c>
      <c r="C2679" s="7" t="s">
        <v>6548</v>
      </c>
      <c r="D2679" s="7" t="s">
        <v>6549</v>
      </c>
      <c r="E2679" s="8">
        <v>4</v>
      </c>
      <c r="F2679" s="7"/>
      <c r="G2679" s="7" t="s">
        <v>6550</v>
      </c>
      <c r="H2679" s="9"/>
      <c r="I2679" s="10">
        <v>85944</v>
      </c>
      <c r="J2679" s="10">
        <v>66351</v>
      </c>
      <c r="K2679" s="9"/>
      <c r="L2679" s="10">
        <v>11691</v>
      </c>
      <c r="M2679" s="10">
        <v>75203</v>
      </c>
      <c r="N2679" s="10">
        <v>86894</v>
      </c>
      <c r="O2679" s="9"/>
      <c r="P2679" s="10">
        <v>7400</v>
      </c>
      <c r="Q2679" s="10">
        <v>12691</v>
      </c>
      <c r="R2679" s="10">
        <v>20091</v>
      </c>
      <c r="S2679" s="7"/>
      <c r="T2679" s="7"/>
      <c r="U2679" s="7"/>
      <c r="V2679" s="7"/>
      <c r="W2679" s="7"/>
      <c r="X2679" s="7"/>
      <c r="Y2679" s="7" t="s">
        <v>6551</v>
      </c>
      <c r="Z2679" s="7" t="s">
        <v>6552</v>
      </c>
      <c r="AA2679" s="7"/>
      <c r="AB2679" s="7"/>
      <c r="AC2679" s="7" t="s">
        <v>6553</v>
      </c>
      <c r="AD2679" s="7"/>
      <c r="AE2679" s="7"/>
      <c r="AF2679" s="7"/>
      <c r="AG2679" s="7"/>
      <c r="AH2679" s="7" t="s">
        <v>6554</v>
      </c>
      <c r="AI2679">
        <v>69425</v>
      </c>
      <c r="AK2679">
        <v>69425</v>
      </c>
    </row>
    <row r="2680" spans="1:37" ht="9.75" customHeight="1" x14ac:dyDescent="0.2">
      <c r="A2680" s="7" t="s">
        <v>6411</v>
      </c>
      <c r="B2680" s="7" t="s">
        <v>38</v>
      </c>
      <c r="C2680" s="7" t="s">
        <v>5474</v>
      </c>
      <c r="D2680" s="7" t="s">
        <v>3616</v>
      </c>
      <c r="E2680" s="8">
        <v>4</v>
      </c>
      <c r="F2680" s="7"/>
      <c r="G2680" s="7" t="s">
        <v>6555</v>
      </c>
      <c r="H2680" s="9"/>
      <c r="I2680" s="10">
        <v>3286</v>
      </c>
      <c r="J2680" s="10">
        <v>3254</v>
      </c>
      <c r="K2680" s="9"/>
      <c r="L2680" s="10">
        <v>2607</v>
      </c>
      <c r="M2680" s="10">
        <v>12</v>
      </c>
      <c r="N2680" s="10">
        <v>2619</v>
      </c>
      <c r="O2680" s="9"/>
      <c r="P2680" s="10">
        <v>0</v>
      </c>
      <c r="Q2680" s="10">
        <v>2607</v>
      </c>
      <c r="R2680" s="10">
        <v>2607</v>
      </c>
      <c r="S2680" s="7"/>
      <c r="T2680" s="7"/>
      <c r="U2680" s="7"/>
      <c r="V2680" s="7"/>
      <c r="W2680" s="7"/>
      <c r="X2680" s="7"/>
      <c r="Y2680" s="7" t="s">
        <v>6556</v>
      </c>
      <c r="Z2680" s="7" t="s">
        <v>6557</v>
      </c>
      <c r="AA2680" s="7"/>
      <c r="AB2680" s="7"/>
      <c r="AC2680" s="7" t="s">
        <v>6558</v>
      </c>
      <c r="AD2680" s="7" t="s">
        <v>6559</v>
      </c>
      <c r="AE2680" s="7"/>
      <c r="AF2680" s="7" t="s">
        <v>6560</v>
      </c>
      <c r="AG2680" s="7" t="s">
        <v>6561</v>
      </c>
      <c r="AH2680" s="7" t="s">
        <v>3616</v>
      </c>
      <c r="AI2680">
        <v>2425</v>
      </c>
      <c r="AK2680">
        <v>2425</v>
      </c>
    </row>
    <row r="2681" spans="1:37" ht="9.75" customHeight="1" x14ac:dyDescent="0.2">
      <c r="A2681" s="7" t="s">
        <v>6411</v>
      </c>
      <c r="B2681" s="7" t="s">
        <v>38</v>
      </c>
      <c r="C2681" s="7" t="s">
        <v>6562</v>
      </c>
      <c r="D2681" s="7" t="s">
        <v>6563</v>
      </c>
      <c r="E2681" s="7" t="s">
        <v>6564</v>
      </c>
      <c r="F2681" s="7"/>
      <c r="G2681" s="7" t="s">
        <v>6565</v>
      </c>
      <c r="H2681" s="9"/>
      <c r="I2681" s="10">
        <v>2839179</v>
      </c>
      <c r="J2681" s="10">
        <v>2392190</v>
      </c>
      <c r="K2681" s="9"/>
      <c r="L2681" s="10">
        <v>2392620</v>
      </c>
      <c r="M2681" s="10">
        <v>0</v>
      </c>
      <c r="N2681" s="10">
        <v>2392620</v>
      </c>
      <c r="O2681" s="9"/>
      <c r="P2681" s="10"/>
      <c r="Q2681" s="10">
        <v>2392620</v>
      </c>
      <c r="R2681" s="10">
        <v>2392620</v>
      </c>
      <c r="S2681" s="7" t="s">
        <v>43</v>
      </c>
      <c r="T2681" s="7"/>
      <c r="U2681" s="7"/>
      <c r="V2681" s="7"/>
      <c r="W2681" s="7"/>
      <c r="X2681" s="7"/>
      <c r="Y2681" s="7" t="s">
        <v>6566</v>
      </c>
      <c r="Z2681" s="7" t="s">
        <v>6567</v>
      </c>
      <c r="AA2681" s="7"/>
      <c r="AB2681" s="7"/>
      <c r="AC2681" s="7" t="s">
        <v>6568</v>
      </c>
      <c r="AD2681" s="7" t="s">
        <v>6569</v>
      </c>
      <c r="AE2681" s="7"/>
      <c r="AF2681" s="7" t="s">
        <v>113</v>
      </c>
      <c r="AG2681" s="7" t="s">
        <v>366</v>
      </c>
      <c r="AH2681" s="7" t="s">
        <v>6569</v>
      </c>
      <c r="AI2681">
        <v>2737140</v>
      </c>
      <c r="AK2681">
        <v>2737140</v>
      </c>
    </row>
    <row r="2682" spans="1:37" ht="9.75" customHeight="1" x14ac:dyDescent="0.2">
      <c r="A2682" s="7" t="s">
        <v>6411</v>
      </c>
      <c r="B2682" s="7" t="s">
        <v>38</v>
      </c>
      <c r="C2682" s="7" t="s">
        <v>6570</v>
      </c>
      <c r="D2682" s="7" t="s">
        <v>6571</v>
      </c>
      <c r="E2682" s="7" t="s">
        <v>6564</v>
      </c>
      <c r="F2682" s="7"/>
      <c r="G2682" s="7"/>
      <c r="H2682" s="9"/>
      <c r="I2682" s="9"/>
      <c r="J2682" s="9"/>
      <c r="K2682" s="9"/>
      <c r="L2682" s="9"/>
      <c r="M2682" s="9"/>
      <c r="N2682" s="9"/>
      <c r="O2682" s="9"/>
      <c r="P2682" s="9"/>
      <c r="Q2682" s="9"/>
      <c r="R2682" s="9"/>
      <c r="S2682" s="7" t="s">
        <v>54</v>
      </c>
      <c r="T2682" s="7" t="s">
        <v>6572</v>
      </c>
      <c r="U2682" s="7"/>
      <c r="V2682" s="7"/>
      <c r="W2682" s="7"/>
      <c r="X2682" s="7"/>
      <c r="Y2682" s="7" t="s">
        <v>6573</v>
      </c>
      <c r="Z2682" s="7" t="s">
        <v>6567</v>
      </c>
      <c r="AA2682" s="7"/>
      <c r="AB2682" s="7"/>
      <c r="AC2682" s="7" t="s">
        <v>6568</v>
      </c>
      <c r="AD2682" s="7" t="s">
        <v>6569</v>
      </c>
      <c r="AE2682" s="7"/>
      <c r="AF2682" s="7" t="s">
        <v>113</v>
      </c>
      <c r="AG2682" s="7" t="s">
        <v>366</v>
      </c>
      <c r="AH2682" s="7" t="s">
        <v>6569</v>
      </c>
    </row>
    <row r="2683" spans="1:37" ht="9.75" customHeight="1" x14ac:dyDescent="0.2">
      <c r="A2683" s="7" t="s">
        <v>6411</v>
      </c>
      <c r="B2683" s="7" t="s">
        <v>38</v>
      </c>
      <c r="C2683" s="7" t="s">
        <v>6574</v>
      </c>
      <c r="D2683" s="7" t="s">
        <v>6575</v>
      </c>
      <c r="E2683" s="7" t="s">
        <v>6564</v>
      </c>
      <c r="F2683" s="7"/>
      <c r="G2683" s="7"/>
      <c r="H2683" s="9"/>
      <c r="I2683" s="9"/>
      <c r="J2683" s="9"/>
      <c r="K2683" s="9"/>
      <c r="L2683" s="9"/>
      <c r="M2683" s="9"/>
      <c r="N2683" s="9"/>
      <c r="O2683" s="9"/>
      <c r="P2683" s="9"/>
      <c r="Q2683" s="9"/>
      <c r="R2683" s="9"/>
      <c r="S2683" s="7" t="s">
        <v>54</v>
      </c>
      <c r="T2683" s="7" t="s">
        <v>6572</v>
      </c>
      <c r="U2683" s="7"/>
      <c r="V2683" s="7"/>
      <c r="W2683" s="7"/>
      <c r="X2683" s="7"/>
      <c r="Y2683" s="7" t="s">
        <v>6576</v>
      </c>
      <c r="Z2683" s="7" t="s">
        <v>6567</v>
      </c>
      <c r="AA2683" s="7"/>
      <c r="AB2683" s="7"/>
      <c r="AC2683" s="7" t="s">
        <v>6568</v>
      </c>
      <c r="AD2683" s="7" t="s">
        <v>6569</v>
      </c>
      <c r="AE2683" s="7"/>
      <c r="AF2683" s="7" t="s">
        <v>113</v>
      </c>
      <c r="AG2683" s="7" t="s">
        <v>366</v>
      </c>
      <c r="AH2683" s="7" t="s">
        <v>6569</v>
      </c>
    </row>
    <row r="2684" spans="1:37" ht="9.75" customHeight="1" x14ac:dyDescent="0.2">
      <c r="A2684" s="7" t="s">
        <v>6411</v>
      </c>
      <c r="B2684" s="7" t="s">
        <v>38</v>
      </c>
      <c r="C2684" s="7" t="s">
        <v>6577</v>
      </c>
      <c r="D2684" s="7" t="s">
        <v>6578</v>
      </c>
      <c r="E2684" s="8">
        <v>6</v>
      </c>
      <c r="F2684" s="7"/>
      <c r="G2684" s="7"/>
      <c r="H2684" s="9"/>
      <c r="I2684" s="10">
        <v>2016</v>
      </c>
      <c r="J2684" s="10">
        <v>0</v>
      </c>
      <c r="K2684" s="9"/>
      <c r="L2684" s="10">
        <v>0</v>
      </c>
      <c r="M2684" s="10">
        <v>0</v>
      </c>
      <c r="N2684" s="10">
        <v>0</v>
      </c>
      <c r="O2684" s="9"/>
      <c r="P2684" s="10"/>
      <c r="Q2684" s="10"/>
      <c r="R2684" s="10"/>
      <c r="S2684" s="7"/>
      <c r="T2684" s="7"/>
      <c r="U2684" s="7"/>
      <c r="V2684" s="7"/>
      <c r="W2684" s="7"/>
      <c r="X2684" s="7"/>
      <c r="Y2684" s="7" t="s">
        <v>6579</v>
      </c>
      <c r="Z2684" s="7" t="s">
        <v>6580</v>
      </c>
      <c r="AA2684" s="7"/>
      <c r="AB2684" s="7"/>
      <c r="AC2684" s="7" t="s">
        <v>6581</v>
      </c>
      <c r="AD2684" s="7" t="s">
        <v>6578</v>
      </c>
      <c r="AE2684" s="7"/>
      <c r="AF2684" s="7"/>
      <c r="AG2684" s="7"/>
      <c r="AH2684" s="7" t="s">
        <v>6578</v>
      </c>
    </row>
    <row r="2685" spans="1:37" ht="9.75" customHeight="1" x14ac:dyDescent="0.2">
      <c r="A2685" s="7" t="s">
        <v>6411</v>
      </c>
      <c r="B2685" s="7" t="s">
        <v>38</v>
      </c>
      <c r="C2685" s="7" t="s">
        <v>6582</v>
      </c>
      <c r="D2685" s="7" t="s">
        <v>6583</v>
      </c>
      <c r="E2685" s="8">
        <v>6</v>
      </c>
      <c r="F2685" s="7"/>
      <c r="G2685" s="7" t="s">
        <v>6584</v>
      </c>
      <c r="H2685" s="9"/>
      <c r="I2685" s="10">
        <v>389890</v>
      </c>
      <c r="J2685" s="10">
        <v>445974</v>
      </c>
      <c r="K2685" s="9"/>
      <c r="L2685" s="10">
        <v>399603</v>
      </c>
      <c r="M2685" s="10">
        <v>0</v>
      </c>
      <c r="N2685" s="10">
        <v>399603</v>
      </c>
      <c r="O2685" s="9"/>
      <c r="P2685" s="10"/>
      <c r="Q2685" s="10">
        <v>474806</v>
      </c>
      <c r="R2685" s="10">
        <v>474806</v>
      </c>
      <c r="S2685" s="7"/>
      <c r="T2685" s="7"/>
      <c r="U2685" s="7"/>
      <c r="V2685" s="7"/>
      <c r="W2685" s="7"/>
      <c r="X2685" s="7"/>
      <c r="Y2685" s="7" t="s">
        <v>6585</v>
      </c>
      <c r="Z2685" s="7" t="s">
        <v>6586</v>
      </c>
      <c r="AA2685" s="7"/>
      <c r="AB2685" s="7"/>
      <c r="AC2685" s="7" t="s">
        <v>6587</v>
      </c>
      <c r="AD2685" s="7" t="s">
        <v>6583</v>
      </c>
      <c r="AE2685" s="7"/>
      <c r="AF2685" s="7" t="s">
        <v>113</v>
      </c>
      <c r="AG2685" s="7" t="s">
        <v>114</v>
      </c>
      <c r="AH2685" s="7" t="s">
        <v>6583</v>
      </c>
      <c r="AI2685">
        <v>519821</v>
      </c>
      <c r="AK2685">
        <v>519821</v>
      </c>
    </row>
    <row r="2686" spans="1:37" ht="9.75" customHeight="1" x14ac:dyDescent="0.2">
      <c r="A2686" s="7" t="s">
        <v>6411</v>
      </c>
      <c r="B2686" s="7" t="s">
        <v>38</v>
      </c>
      <c r="C2686" s="7" t="s">
        <v>6588</v>
      </c>
      <c r="D2686" s="7" t="s">
        <v>6589</v>
      </c>
      <c r="E2686" s="8">
        <v>7</v>
      </c>
      <c r="F2686" s="7"/>
      <c r="G2686" s="7" t="s">
        <v>6590</v>
      </c>
      <c r="H2686" s="9"/>
      <c r="I2686" s="10">
        <v>17754</v>
      </c>
      <c r="J2686" s="10">
        <v>17499</v>
      </c>
      <c r="K2686" s="9"/>
      <c r="L2686" s="10">
        <v>7842</v>
      </c>
      <c r="M2686" s="10">
        <v>5387</v>
      </c>
      <c r="N2686" s="10">
        <v>13229</v>
      </c>
      <c r="O2686" s="9"/>
      <c r="P2686" s="10">
        <v>0</v>
      </c>
      <c r="Q2686" s="10">
        <v>7842</v>
      </c>
      <c r="R2686" s="10">
        <v>7842</v>
      </c>
      <c r="S2686" s="7"/>
      <c r="T2686" s="7"/>
      <c r="U2686" s="7"/>
      <c r="V2686" s="7"/>
      <c r="W2686" s="7"/>
      <c r="X2686" s="7"/>
      <c r="Y2686" s="7" t="s">
        <v>6591</v>
      </c>
      <c r="Z2686" s="7" t="s">
        <v>6592</v>
      </c>
      <c r="AA2686" s="7"/>
      <c r="AB2686" s="7"/>
      <c r="AC2686" s="7" t="s">
        <v>6593</v>
      </c>
      <c r="AD2686" s="7"/>
      <c r="AE2686" s="7"/>
      <c r="AF2686" s="7" t="s">
        <v>113</v>
      </c>
      <c r="AG2686" s="7" t="s">
        <v>366</v>
      </c>
      <c r="AH2686" s="7" t="s">
        <v>6589</v>
      </c>
      <c r="AI2686">
        <v>33013</v>
      </c>
      <c r="AK2686">
        <v>33013</v>
      </c>
    </row>
    <row r="2687" spans="1:37" ht="9.75" customHeight="1" x14ac:dyDescent="0.2">
      <c r="A2687" s="7" t="s">
        <v>6411</v>
      </c>
      <c r="B2687" s="7" t="s">
        <v>38</v>
      </c>
      <c r="C2687" s="7" t="s">
        <v>5288</v>
      </c>
      <c r="D2687" s="7" t="s">
        <v>6594</v>
      </c>
      <c r="E2687" s="8">
        <v>1</v>
      </c>
      <c r="F2687" s="7" t="s">
        <v>6595</v>
      </c>
      <c r="G2687" s="7"/>
      <c r="H2687" s="9"/>
      <c r="I2687" s="10">
        <v>0</v>
      </c>
      <c r="J2687" s="10">
        <v>0</v>
      </c>
      <c r="K2687" s="9"/>
      <c r="L2687" s="10">
        <v>0</v>
      </c>
      <c r="M2687" s="10">
        <v>1094000</v>
      </c>
      <c r="N2687" s="10">
        <v>1094000</v>
      </c>
      <c r="O2687" s="9"/>
      <c r="P2687" s="10">
        <v>1325714</v>
      </c>
      <c r="Q2687" s="10">
        <v>0</v>
      </c>
      <c r="R2687" s="10">
        <v>1325714</v>
      </c>
      <c r="S2687" s="7"/>
      <c r="T2687" s="7"/>
      <c r="U2687" s="7" t="s">
        <v>44</v>
      </c>
      <c r="V2687" s="7" t="s">
        <v>4767</v>
      </c>
      <c r="W2687" s="7" t="s">
        <v>5560</v>
      </c>
      <c r="X2687" s="7" t="s">
        <v>5561</v>
      </c>
      <c r="Y2687" s="7" t="s">
        <v>6596</v>
      </c>
      <c r="Z2687" s="7"/>
      <c r="AA2687" s="7"/>
      <c r="AB2687" s="7"/>
      <c r="AC2687" s="7"/>
      <c r="AD2687" s="7"/>
      <c r="AE2687" s="7"/>
      <c r="AF2687" s="7"/>
      <c r="AG2687" s="7"/>
      <c r="AH2687" s="7"/>
      <c r="AI2687">
        <v>121130</v>
      </c>
      <c r="AJ2687">
        <v>50000</v>
      </c>
      <c r="AK2687">
        <v>171130</v>
      </c>
    </row>
    <row r="2688" spans="1:37" ht="9.75" customHeight="1" x14ac:dyDescent="0.2">
      <c r="A2688" s="7" t="s">
        <v>6411</v>
      </c>
      <c r="B2688" s="7" t="s">
        <v>38</v>
      </c>
      <c r="C2688" s="7" t="s">
        <v>49</v>
      </c>
      <c r="D2688" s="7" t="s">
        <v>6597</v>
      </c>
      <c r="E2688" s="8">
        <v>1</v>
      </c>
      <c r="F2688" s="7" t="s">
        <v>6595</v>
      </c>
      <c r="G2688" s="7" t="s">
        <v>6598</v>
      </c>
      <c r="H2688" s="9"/>
      <c r="I2688" s="10">
        <v>223529</v>
      </c>
      <c r="J2688" s="10">
        <v>422832</v>
      </c>
      <c r="K2688" s="9"/>
      <c r="L2688" s="10">
        <v>51546</v>
      </c>
      <c r="M2688" s="10">
        <v>814969</v>
      </c>
      <c r="N2688" s="10">
        <v>866515</v>
      </c>
      <c r="O2688" s="9"/>
      <c r="P2688" s="10">
        <v>0</v>
      </c>
      <c r="Q2688" s="10">
        <v>82086</v>
      </c>
      <c r="R2688" s="10">
        <v>82086</v>
      </c>
      <c r="S2688" s="7" t="s">
        <v>43</v>
      </c>
      <c r="T2688" s="7"/>
      <c r="U2688" s="7"/>
      <c r="V2688" s="7"/>
      <c r="W2688" s="7"/>
      <c r="X2688" s="7"/>
      <c r="Y2688" s="7" t="s">
        <v>6599</v>
      </c>
      <c r="Z2688" s="7" t="s">
        <v>6600</v>
      </c>
      <c r="AA2688" s="7"/>
      <c r="AB2688" s="7"/>
      <c r="AC2688" s="7" t="s">
        <v>6601</v>
      </c>
      <c r="AD2688" s="7"/>
      <c r="AE2688" s="7"/>
      <c r="AF2688" s="7" t="s">
        <v>50</v>
      </c>
      <c r="AG2688" s="7" t="s">
        <v>253</v>
      </c>
      <c r="AH2688" s="7" t="s">
        <v>6597</v>
      </c>
      <c r="AI2688">
        <v>97746</v>
      </c>
      <c r="AK2688">
        <v>97746</v>
      </c>
    </row>
    <row r="2689" spans="1:37" ht="9.75" customHeight="1" x14ac:dyDescent="0.2">
      <c r="A2689" s="7" t="s">
        <v>6411</v>
      </c>
      <c r="B2689" s="7" t="s">
        <v>38</v>
      </c>
      <c r="C2689" s="7" t="s">
        <v>6602</v>
      </c>
      <c r="D2689" s="7" t="s">
        <v>6603</v>
      </c>
      <c r="E2689" s="8">
        <v>1</v>
      </c>
      <c r="F2689" s="7" t="s">
        <v>6595</v>
      </c>
      <c r="G2689" s="7"/>
      <c r="H2689" s="9"/>
      <c r="I2689" s="9"/>
      <c r="J2689" s="9"/>
      <c r="K2689" s="9"/>
      <c r="L2689" s="9"/>
      <c r="M2689" s="9"/>
      <c r="N2689" s="9"/>
      <c r="O2689" s="9"/>
      <c r="P2689" s="9"/>
      <c r="Q2689" s="9"/>
      <c r="R2689" s="9"/>
      <c r="S2689" s="7" t="s">
        <v>54</v>
      </c>
      <c r="T2689" s="7" t="s">
        <v>6604</v>
      </c>
      <c r="U2689" s="7"/>
      <c r="V2689" s="7"/>
      <c r="W2689" s="7"/>
      <c r="X2689" s="7"/>
      <c r="Y2689" s="7" t="s">
        <v>6605</v>
      </c>
      <c r="Z2689" s="7" t="s">
        <v>6600</v>
      </c>
      <c r="AA2689" s="7"/>
      <c r="AB2689" s="7"/>
      <c r="AC2689" s="7" t="s">
        <v>6601</v>
      </c>
      <c r="AD2689" s="7" t="s">
        <v>6606</v>
      </c>
      <c r="AE2689" s="7"/>
      <c r="AF2689" s="7" t="s">
        <v>50</v>
      </c>
      <c r="AG2689" s="7" t="s">
        <v>253</v>
      </c>
      <c r="AH2689" s="7" t="s">
        <v>6597</v>
      </c>
    </row>
    <row r="2690" spans="1:37" ht="9.75" customHeight="1" x14ac:dyDescent="0.2">
      <c r="A2690" s="7" t="s">
        <v>6411</v>
      </c>
      <c r="B2690" s="7" t="s">
        <v>38</v>
      </c>
      <c r="C2690" s="7" t="s">
        <v>6607</v>
      </c>
      <c r="D2690" s="7" t="s">
        <v>6608</v>
      </c>
      <c r="E2690" s="8">
        <v>1</v>
      </c>
      <c r="F2690" s="7" t="s">
        <v>6595</v>
      </c>
      <c r="G2690" s="7"/>
      <c r="H2690" s="9"/>
      <c r="I2690" s="9"/>
      <c r="J2690" s="9"/>
      <c r="K2690" s="9"/>
      <c r="L2690" s="9"/>
      <c r="M2690" s="9"/>
      <c r="N2690" s="9"/>
      <c r="O2690" s="9"/>
      <c r="P2690" s="9"/>
      <c r="Q2690" s="9"/>
      <c r="R2690" s="9"/>
      <c r="S2690" s="7" t="s">
        <v>54</v>
      </c>
      <c r="T2690" s="7" t="s">
        <v>6604</v>
      </c>
      <c r="U2690" s="7" t="s">
        <v>44</v>
      </c>
      <c r="V2690" s="7" t="s">
        <v>281</v>
      </c>
      <c r="W2690" s="7" t="s">
        <v>6609</v>
      </c>
      <c r="X2690" s="7"/>
      <c r="Y2690" s="7" t="s">
        <v>6610</v>
      </c>
      <c r="Z2690" s="7" t="s">
        <v>6600</v>
      </c>
      <c r="AA2690" s="7"/>
      <c r="AB2690" s="7"/>
      <c r="AC2690" s="7" t="s">
        <v>6601</v>
      </c>
      <c r="AD2690" s="7" t="s">
        <v>6611</v>
      </c>
      <c r="AE2690" s="7"/>
      <c r="AF2690" s="7" t="s">
        <v>50</v>
      </c>
      <c r="AG2690" s="7" t="s">
        <v>253</v>
      </c>
      <c r="AH2690" s="7" t="s">
        <v>6597</v>
      </c>
    </row>
    <row r="2691" spans="1:37" ht="9.75" customHeight="1" x14ac:dyDescent="0.2">
      <c r="A2691" s="7" t="s">
        <v>6411</v>
      </c>
      <c r="B2691" s="7" t="s">
        <v>38</v>
      </c>
      <c r="C2691" s="7" t="s">
        <v>6612</v>
      </c>
      <c r="D2691" s="7" t="s">
        <v>6613</v>
      </c>
      <c r="E2691" s="8">
        <v>7</v>
      </c>
      <c r="F2691" s="7"/>
      <c r="G2691" s="7" t="s">
        <v>6614</v>
      </c>
      <c r="H2691" s="9"/>
      <c r="I2691" s="10">
        <v>210764</v>
      </c>
      <c r="J2691" s="10">
        <v>222304</v>
      </c>
      <c r="K2691" s="9"/>
      <c r="L2691" s="10">
        <v>208998</v>
      </c>
      <c r="M2691" s="10">
        <v>0</v>
      </c>
      <c r="N2691" s="10">
        <v>208998</v>
      </c>
      <c r="O2691" s="9"/>
      <c r="P2691" s="10"/>
      <c r="Q2691" s="10">
        <v>394998</v>
      </c>
      <c r="R2691" s="10">
        <v>394998</v>
      </c>
      <c r="S2691" s="7"/>
      <c r="T2691" s="7"/>
      <c r="U2691" s="7"/>
      <c r="V2691" s="7"/>
      <c r="W2691" s="7"/>
      <c r="X2691" s="7"/>
      <c r="Y2691" s="7" t="s">
        <v>6615</v>
      </c>
      <c r="Z2691" s="7" t="s">
        <v>6616</v>
      </c>
      <c r="AA2691" s="7"/>
      <c r="AB2691" s="7"/>
      <c r="AC2691" s="7" t="s">
        <v>6617</v>
      </c>
      <c r="AD2691" s="7"/>
      <c r="AE2691" s="7"/>
      <c r="AF2691" s="7" t="s">
        <v>113</v>
      </c>
      <c r="AG2691" s="7" t="s">
        <v>366</v>
      </c>
      <c r="AH2691" s="7" t="s">
        <v>6613</v>
      </c>
      <c r="AI2691">
        <v>492100</v>
      </c>
      <c r="AK2691">
        <v>492100</v>
      </c>
    </row>
    <row r="2692" spans="1:37" ht="9.75" customHeight="1" x14ac:dyDescent="0.2">
      <c r="A2692" s="7" t="s">
        <v>6411</v>
      </c>
      <c r="B2692" s="7" t="s">
        <v>38</v>
      </c>
      <c r="C2692" s="7" t="s">
        <v>4898</v>
      </c>
      <c r="D2692" s="7" t="s">
        <v>6618</v>
      </c>
      <c r="E2692" s="8">
        <v>4</v>
      </c>
      <c r="F2692" s="7"/>
      <c r="G2692" s="7" t="s">
        <v>6619</v>
      </c>
      <c r="H2692" s="9"/>
      <c r="I2692" s="10">
        <v>49028</v>
      </c>
      <c r="J2692" s="10">
        <v>56105</v>
      </c>
      <c r="K2692" s="9"/>
      <c r="L2692" s="10">
        <v>38880</v>
      </c>
      <c r="M2692" s="10">
        <v>0</v>
      </c>
      <c r="N2692" s="10">
        <v>38880</v>
      </c>
      <c r="O2692" s="9"/>
      <c r="P2692" s="10"/>
      <c r="Q2692" s="10">
        <v>38880</v>
      </c>
      <c r="R2692" s="10">
        <v>38880</v>
      </c>
      <c r="S2692" s="7"/>
      <c r="T2692" s="7"/>
      <c r="U2692" s="7" t="s">
        <v>44</v>
      </c>
      <c r="V2692" s="7" t="s">
        <v>45</v>
      </c>
      <c r="W2692" s="7" t="s">
        <v>130</v>
      </c>
      <c r="X2692" s="7" t="s">
        <v>156</v>
      </c>
      <c r="Y2692" s="7" t="s">
        <v>6620</v>
      </c>
      <c r="Z2692" s="7" t="s">
        <v>6621</v>
      </c>
      <c r="AA2692" s="7"/>
      <c r="AB2692" s="7"/>
      <c r="AC2692" s="7" t="s">
        <v>6622</v>
      </c>
      <c r="AD2692" s="7"/>
      <c r="AE2692" s="7"/>
      <c r="AF2692" s="7" t="s">
        <v>50</v>
      </c>
      <c r="AG2692" s="7" t="s">
        <v>159</v>
      </c>
      <c r="AH2692" s="7" t="s">
        <v>6618</v>
      </c>
      <c r="AI2692">
        <v>30565</v>
      </c>
      <c r="AK2692">
        <v>30565</v>
      </c>
    </row>
    <row r="2693" spans="1:37" ht="9.75" customHeight="1" x14ac:dyDescent="0.2">
      <c r="A2693" s="7" t="s">
        <v>6411</v>
      </c>
      <c r="B2693" s="7" t="s">
        <v>38</v>
      </c>
      <c r="C2693" s="7" t="s">
        <v>6623</v>
      </c>
      <c r="D2693" s="7" t="s">
        <v>6624</v>
      </c>
      <c r="E2693" s="8">
        <v>4</v>
      </c>
      <c r="F2693" s="7"/>
      <c r="G2693" s="7" t="s">
        <v>6625</v>
      </c>
      <c r="H2693" s="9"/>
      <c r="I2693" s="10">
        <v>87828</v>
      </c>
      <c r="J2693" s="10">
        <v>118247</v>
      </c>
      <c r="K2693" s="9"/>
      <c r="L2693" s="10">
        <v>91372</v>
      </c>
      <c r="M2693" s="10">
        <v>0</v>
      </c>
      <c r="N2693" s="10">
        <v>91372</v>
      </c>
      <c r="O2693" s="9"/>
      <c r="P2693" s="10"/>
      <c r="Q2693" s="10">
        <v>91372</v>
      </c>
      <c r="R2693" s="10">
        <v>91372</v>
      </c>
      <c r="S2693" s="7"/>
      <c r="T2693" s="7"/>
      <c r="U2693" s="7" t="s">
        <v>44</v>
      </c>
      <c r="V2693" s="7" t="s">
        <v>45</v>
      </c>
      <c r="W2693" s="7" t="s">
        <v>130</v>
      </c>
      <c r="X2693" s="7" t="s">
        <v>156</v>
      </c>
      <c r="Y2693" s="7" t="s">
        <v>6626</v>
      </c>
      <c r="Z2693" s="7" t="s">
        <v>6627</v>
      </c>
      <c r="AA2693" s="7"/>
      <c r="AB2693" s="7"/>
      <c r="AC2693" s="7" t="s">
        <v>6628</v>
      </c>
      <c r="AD2693" s="7" t="s">
        <v>6629</v>
      </c>
      <c r="AE2693" s="7"/>
      <c r="AF2693" s="7" t="s">
        <v>6196</v>
      </c>
      <c r="AG2693" s="7" t="s">
        <v>6197</v>
      </c>
      <c r="AH2693" s="7" t="s">
        <v>6624</v>
      </c>
      <c r="AI2693">
        <v>65113</v>
      </c>
      <c r="AK2693">
        <v>65113</v>
      </c>
    </row>
    <row r="2694" spans="1:37" ht="9.75" customHeight="1" x14ac:dyDescent="0.2">
      <c r="A2694" s="7" t="s">
        <v>6411</v>
      </c>
      <c r="B2694" s="7" t="s">
        <v>38</v>
      </c>
      <c r="C2694" s="7" t="s">
        <v>6630</v>
      </c>
      <c r="D2694" s="7" t="s">
        <v>6631</v>
      </c>
      <c r="E2694" s="8">
        <v>4</v>
      </c>
      <c r="F2694" s="7"/>
      <c r="G2694" s="7" t="s">
        <v>6632</v>
      </c>
      <c r="H2694" s="9"/>
      <c r="I2694" s="10">
        <v>12094</v>
      </c>
      <c r="J2694" s="10">
        <v>11101</v>
      </c>
      <c r="K2694" s="9"/>
      <c r="L2694" s="10">
        <v>3790</v>
      </c>
      <c r="M2694" s="10">
        <v>0</v>
      </c>
      <c r="N2694" s="10">
        <v>3790</v>
      </c>
      <c r="O2694" s="9"/>
      <c r="P2694" s="10"/>
      <c r="Q2694" s="10">
        <v>3790</v>
      </c>
      <c r="R2694" s="10">
        <v>3790</v>
      </c>
      <c r="S2694" s="7"/>
      <c r="T2694" s="7"/>
      <c r="U2694" s="7" t="s">
        <v>44</v>
      </c>
      <c r="V2694" s="7" t="s">
        <v>45</v>
      </c>
      <c r="W2694" s="7" t="s">
        <v>130</v>
      </c>
      <c r="X2694" s="7" t="s">
        <v>156</v>
      </c>
      <c r="Y2694" s="7" t="s">
        <v>6633</v>
      </c>
      <c r="Z2694" s="7" t="s">
        <v>6634</v>
      </c>
      <c r="AA2694" s="7"/>
      <c r="AB2694" s="7"/>
      <c r="AC2694" s="7" t="s">
        <v>6635</v>
      </c>
      <c r="AD2694" s="7"/>
      <c r="AE2694" s="7"/>
      <c r="AF2694" s="7" t="s">
        <v>5521</v>
      </c>
      <c r="AG2694" s="7" t="s">
        <v>5522</v>
      </c>
      <c r="AH2694" s="7" t="s">
        <v>6631</v>
      </c>
      <c r="AI2694">
        <v>1719</v>
      </c>
      <c r="AK2694">
        <v>1719</v>
      </c>
    </row>
    <row r="2695" spans="1:37" ht="9.75" customHeight="1" x14ac:dyDescent="0.2">
      <c r="A2695" s="7" t="s">
        <v>6411</v>
      </c>
      <c r="B2695" s="7" t="s">
        <v>38</v>
      </c>
      <c r="C2695" s="7" t="s">
        <v>6636</v>
      </c>
      <c r="D2695" s="7" t="s">
        <v>6637</v>
      </c>
      <c r="E2695" s="8">
        <v>4</v>
      </c>
      <c r="F2695" s="7"/>
      <c r="G2695" s="7" t="s">
        <v>6638</v>
      </c>
      <c r="H2695" s="9"/>
      <c r="I2695" s="10">
        <v>154561</v>
      </c>
      <c r="J2695" s="10">
        <v>188254</v>
      </c>
      <c r="K2695" s="9"/>
      <c r="L2695" s="10">
        <v>203442</v>
      </c>
      <c r="M2695" s="10">
        <v>34286</v>
      </c>
      <c r="N2695" s="10">
        <v>237728</v>
      </c>
      <c r="O2695" s="9"/>
      <c r="P2695" s="10">
        <v>0</v>
      </c>
      <c r="Q2695" s="10">
        <v>189458</v>
      </c>
      <c r="R2695" s="10">
        <v>189458</v>
      </c>
      <c r="S2695" s="7"/>
      <c r="T2695" s="7"/>
      <c r="U2695" s="7" t="s">
        <v>44</v>
      </c>
      <c r="V2695" s="7" t="s">
        <v>45</v>
      </c>
      <c r="W2695" s="7" t="s">
        <v>130</v>
      </c>
      <c r="X2695" s="7" t="s">
        <v>156</v>
      </c>
      <c r="Y2695" s="7" t="s">
        <v>6639</v>
      </c>
      <c r="Z2695" s="7" t="s">
        <v>6640</v>
      </c>
      <c r="AA2695" s="7"/>
      <c r="AB2695" s="7"/>
      <c r="AC2695" s="7" t="s">
        <v>6641</v>
      </c>
      <c r="AD2695" s="7" t="s">
        <v>6642</v>
      </c>
      <c r="AE2695" s="7"/>
      <c r="AF2695" s="7" t="s">
        <v>113</v>
      </c>
      <c r="AG2695" s="7" t="s">
        <v>366</v>
      </c>
      <c r="AH2695" s="7" t="s">
        <v>6637</v>
      </c>
      <c r="AI2695">
        <v>315272</v>
      </c>
      <c r="AK2695">
        <v>315272</v>
      </c>
    </row>
    <row r="2696" spans="1:37" ht="9.75" customHeight="1" x14ac:dyDescent="0.2">
      <c r="A2696" s="7" t="s">
        <v>6411</v>
      </c>
      <c r="B2696" s="7" t="s">
        <v>38</v>
      </c>
      <c r="C2696" s="7" t="s">
        <v>430</v>
      </c>
      <c r="D2696" s="7" t="s">
        <v>6643</v>
      </c>
      <c r="E2696" s="8">
        <v>1</v>
      </c>
      <c r="F2696" s="7" t="s">
        <v>6595</v>
      </c>
      <c r="G2696" s="7" t="s">
        <v>6644</v>
      </c>
      <c r="H2696" s="9"/>
      <c r="I2696" s="10">
        <v>56815</v>
      </c>
      <c r="J2696" s="10">
        <v>48780</v>
      </c>
      <c r="K2696" s="9"/>
      <c r="L2696" s="10">
        <v>54854</v>
      </c>
      <c r="M2696" s="10">
        <v>66421</v>
      </c>
      <c r="N2696" s="10">
        <v>121275</v>
      </c>
      <c r="O2696" s="9"/>
      <c r="P2696" s="10">
        <v>198921</v>
      </c>
      <c r="Q2696" s="10">
        <v>7000</v>
      </c>
      <c r="R2696" s="10">
        <v>205921</v>
      </c>
      <c r="S2696" s="7"/>
      <c r="T2696" s="7"/>
      <c r="U2696" s="7" t="s">
        <v>44</v>
      </c>
      <c r="V2696" s="7" t="s">
        <v>4767</v>
      </c>
      <c r="W2696" s="7" t="s">
        <v>4768</v>
      </c>
      <c r="X2696" s="7" t="s">
        <v>6645</v>
      </c>
      <c r="Y2696" s="7" t="s">
        <v>6646</v>
      </c>
      <c r="Z2696" s="7" t="s">
        <v>6647</v>
      </c>
      <c r="AA2696" s="7"/>
      <c r="AB2696" s="7"/>
      <c r="AC2696" s="7" t="s">
        <v>6648</v>
      </c>
      <c r="AD2696" s="7" t="s">
        <v>6643</v>
      </c>
      <c r="AE2696" s="7"/>
      <c r="AF2696" s="7" t="s">
        <v>6196</v>
      </c>
      <c r="AG2696" s="7" t="s">
        <v>6197</v>
      </c>
      <c r="AH2696" s="7" t="s">
        <v>6643</v>
      </c>
      <c r="AI2696">
        <v>110955</v>
      </c>
      <c r="AK2696">
        <v>110955</v>
      </c>
    </row>
    <row r="2697" spans="1:37" ht="9.75" customHeight="1" x14ac:dyDescent="0.2">
      <c r="A2697" s="7" t="s">
        <v>6411</v>
      </c>
      <c r="B2697" s="7" t="s">
        <v>38</v>
      </c>
      <c r="C2697" s="7" t="s">
        <v>476</v>
      </c>
      <c r="D2697" s="7" t="s">
        <v>6649</v>
      </c>
      <c r="E2697" s="8">
        <v>1</v>
      </c>
      <c r="F2697" s="7" t="s">
        <v>6595</v>
      </c>
      <c r="G2697" s="7"/>
      <c r="H2697" s="9"/>
      <c r="I2697" s="10">
        <v>0</v>
      </c>
      <c r="J2697" s="10">
        <v>0</v>
      </c>
      <c r="K2697" s="9"/>
      <c r="L2697" s="10">
        <v>0</v>
      </c>
      <c r="M2697" s="10">
        <v>3313</v>
      </c>
      <c r="N2697" s="10">
        <v>3313</v>
      </c>
      <c r="O2697" s="9"/>
      <c r="P2697" s="10">
        <v>3313</v>
      </c>
      <c r="Q2697" s="10">
        <v>0</v>
      </c>
      <c r="R2697" s="10">
        <v>3313</v>
      </c>
      <c r="S2697" s="7"/>
      <c r="T2697" s="7"/>
      <c r="U2697" s="7" t="s">
        <v>44</v>
      </c>
      <c r="V2697" s="7" t="s">
        <v>4767</v>
      </c>
      <c r="W2697" s="7" t="s">
        <v>4768</v>
      </c>
      <c r="X2697" s="7" t="s">
        <v>6645</v>
      </c>
      <c r="Y2697" s="7" t="s">
        <v>6650</v>
      </c>
      <c r="Z2697" s="7"/>
      <c r="AA2697" s="7"/>
      <c r="AB2697" s="7"/>
      <c r="AC2697" s="7"/>
      <c r="AD2697" s="7"/>
      <c r="AE2697" s="7"/>
      <c r="AF2697" s="7"/>
      <c r="AG2697" s="7"/>
      <c r="AH2697" s="7"/>
      <c r="AI2697">
        <v>135802</v>
      </c>
      <c r="AK2697">
        <v>135802</v>
      </c>
    </row>
    <row r="2698" spans="1:37" ht="9.75" customHeight="1" x14ac:dyDescent="0.2">
      <c r="A2698" s="7" t="s">
        <v>6411</v>
      </c>
      <c r="B2698" s="7" t="s">
        <v>38</v>
      </c>
      <c r="C2698" s="7" t="s">
        <v>495</v>
      </c>
      <c r="D2698" s="7" t="s">
        <v>6651</v>
      </c>
      <c r="E2698" s="8">
        <v>4</v>
      </c>
      <c r="F2698" s="7"/>
      <c r="G2698" s="7" t="s">
        <v>6652</v>
      </c>
      <c r="H2698" s="9"/>
      <c r="I2698" s="10">
        <v>3989</v>
      </c>
      <c r="J2698" s="10">
        <v>56667</v>
      </c>
      <c r="K2698" s="9"/>
      <c r="L2698" s="10">
        <v>4079</v>
      </c>
      <c r="M2698" s="10">
        <v>0</v>
      </c>
      <c r="N2698" s="10">
        <v>4079</v>
      </c>
      <c r="O2698" s="9"/>
      <c r="P2698" s="10"/>
      <c r="Q2698" s="10">
        <v>4079</v>
      </c>
      <c r="R2698" s="10">
        <v>4079</v>
      </c>
      <c r="S2698" s="7"/>
      <c r="T2698" s="7"/>
      <c r="U2698" s="7" t="s">
        <v>44</v>
      </c>
      <c r="V2698" s="7" t="s">
        <v>45</v>
      </c>
      <c r="W2698" s="7" t="s">
        <v>171</v>
      </c>
      <c r="X2698" s="7" t="s">
        <v>5021</v>
      </c>
      <c r="Y2698" s="7" t="s">
        <v>6653</v>
      </c>
      <c r="Z2698" s="7" t="s">
        <v>6654</v>
      </c>
      <c r="AA2698" s="7"/>
      <c r="AB2698" s="7"/>
      <c r="AC2698" s="7" t="s">
        <v>6655</v>
      </c>
      <c r="AD2698" s="7" t="s">
        <v>6656</v>
      </c>
      <c r="AE2698" s="7"/>
      <c r="AF2698" s="7" t="s">
        <v>113</v>
      </c>
      <c r="AG2698" s="7" t="s">
        <v>366</v>
      </c>
      <c r="AH2698" s="7" t="s">
        <v>6651</v>
      </c>
      <c r="AI2698">
        <v>240</v>
      </c>
      <c r="AK2698">
        <v>240</v>
      </c>
    </row>
    <row r="2699" spans="1:37" ht="9.75" customHeight="1" x14ac:dyDescent="0.2">
      <c r="A2699" s="7" t="s">
        <v>6657</v>
      </c>
      <c r="B2699" s="7" t="s">
        <v>38</v>
      </c>
      <c r="C2699" s="7"/>
      <c r="D2699" s="7" t="s">
        <v>6658</v>
      </c>
      <c r="E2699" s="7"/>
      <c r="F2699" s="7"/>
      <c r="G2699" s="7" t="s">
        <v>6659</v>
      </c>
      <c r="H2699" s="9"/>
      <c r="I2699" s="10">
        <v>4152244</v>
      </c>
      <c r="J2699" s="10">
        <v>3927280</v>
      </c>
      <c r="K2699" s="9"/>
      <c r="L2699" s="10">
        <v>4508845</v>
      </c>
      <c r="M2699" s="10">
        <v>11000</v>
      </c>
      <c r="N2699" s="10">
        <v>4519845</v>
      </c>
      <c r="O2699" s="9"/>
      <c r="P2699" s="10"/>
      <c r="Q2699" s="10"/>
      <c r="R2699" s="10"/>
      <c r="S2699" s="7" t="s">
        <v>407</v>
      </c>
      <c r="T2699" s="7"/>
      <c r="U2699" s="7"/>
      <c r="V2699" s="7"/>
      <c r="W2699" s="7"/>
      <c r="X2699" s="7"/>
      <c r="Y2699" s="7" t="s">
        <v>6660</v>
      </c>
      <c r="Z2699" s="7" t="s">
        <v>6493</v>
      </c>
      <c r="AA2699" s="7"/>
      <c r="AB2699" s="7"/>
      <c r="AC2699" s="7"/>
      <c r="AD2699" s="7"/>
      <c r="AE2699" s="7"/>
      <c r="AF2699" s="7"/>
      <c r="AG2699" s="7"/>
      <c r="AH2699" s="7" t="s">
        <v>6659</v>
      </c>
    </row>
    <row r="2700" spans="1:37" ht="9.75" customHeight="1" x14ac:dyDescent="0.2">
      <c r="A2700" s="7" t="s">
        <v>6657</v>
      </c>
      <c r="B2700" s="7" t="s">
        <v>38</v>
      </c>
      <c r="C2700" s="7" t="s">
        <v>6661</v>
      </c>
      <c r="D2700" s="7" t="s">
        <v>2962</v>
      </c>
      <c r="E2700" s="8">
        <v>4</v>
      </c>
      <c r="F2700" s="7"/>
      <c r="G2700" s="7" t="s">
        <v>6662</v>
      </c>
      <c r="H2700" s="9"/>
      <c r="I2700" s="10">
        <v>7262</v>
      </c>
      <c r="J2700" s="10">
        <v>7402</v>
      </c>
      <c r="K2700" s="9"/>
      <c r="L2700" s="10">
        <v>0</v>
      </c>
      <c r="M2700" s="10">
        <v>0</v>
      </c>
      <c r="N2700" s="10">
        <v>0</v>
      </c>
      <c r="O2700" s="9"/>
      <c r="P2700" s="10"/>
      <c r="Q2700" s="10"/>
      <c r="R2700" s="10"/>
      <c r="S2700" s="7" t="s">
        <v>407</v>
      </c>
      <c r="T2700" s="7" t="s">
        <v>6663</v>
      </c>
      <c r="U2700" s="7"/>
      <c r="V2700" s="7"/>
      <c r="W2700" s="7"/>
      <c r="X2700" s="7"/>
      <c r="Y2700" s="7" t="s">
        <v>6664</v>
      </c>
      <c r="Z2700" s="7" t="s">
        <v>817</v>
      </c>
      <c r="AA2700" s="7"/>
      <c r="AB2700" s="7"/>
      <c r="AC2700" s="7" t="s">
        <v>6661</v>
      </c>
      <c r="AD2700" s="7" t="s">
        <v>6665</v>
      </c>
      <c r="AE2700" s="7"/>
      <c r="AF2700" s="7"/>
      <c r="AG2700" s="7"/>
      <c r="AH2700" s="7" t="s">
        <v>2962</v>
      </c>
    </row>
    <row r="2701" spans="1:37" ht="9.75" customHeight="1" x14ac:dyDescent="0.2">
      <c r="A2701" s="7" t="s">
        <v>6657</v>
      </c>
      <c r="B2701" s="7" t="s">
        <v>38</v>
      </c>
      <c r="C2701" s="7"/>
      <c r="D2701" s="7" t="s">
        <v>6666</v>
      </c>
      <c r="E2701" s="8">
        <v>4</v>
      </c>
      <c r="F2701" s="7"/>
      <c r="G2701" s="7" t="s">
        <v>6667</v>
      </c>
      <c r="H2701" s="9"/>
      <c r="I2701" s="9"/>
      <c r="J2701" s="9"/>
      <c r="K2701" s="9"/>
      <c r="L2701" s="10">
        <v>0</v>
      </c>
      <c r="M2701" s="10">
        <v>0</v>
      </c>
      <c r="N2701" s="10">
        <v>0</v>
      </c>
      <c r="O2701" s="9"/>
      <c r="P2701" s="10"/>
      <c r="Q2701" s="10"/>
      <c r="R2701" s="10"/>
      <c r="S2701" s="7" t="s">
        <v>54</v>
      </c>
      <c r="T2701" s="7" t="s">
        <v>6668</v>
      </c>
      <c r="U2701" s="7"/>
      <c r="V2701" s="7"/>
      <c r="W2701" s="7"/>
      <c r="X2701" s="7"/>
      <c r="Y2701" s="7" t="s">
        <v>6669</v>
      </c>
      <c r="Z2701" s="7" t="s">
        <v>884</v>
      </c>
      <c r="AA2701" s="7"/>
      <c r="AB2701" s="7"/>
      <c r="AC2701" s="7" t="s">
        <v>6661</v>
      </c>
      <c r="AD2701" s="7" t="s">
        <v>6665</v>
      </c>
      <c r="AE2701" s="7" t="s">
        <v>6670</v>
      </c>
      <c r="AF2701" s="7"/>
      <c r="AG2701" s="7"/>
      <c r="AH2701" s="7" t="s">
        <v>2962</v>
      </c>
    </row>
    <row r="2702" spans="1:37" ht="9.75" customHeight="1" x14ac:dyDescent="0.2">
      <c r="A2702" s="7" t="s">
        <v>6657</v>
      </c>
      <c r="B2702" s="7" t="s">
        <v>38</v>
      </c>
      <c r="C2702" s="7" t="s">
        <v>6671</v>
      </c>
      <c r="D2702" s="7" t="s">
        <v>6672</v>
      </c>
      <c r="E2702" s="8">
        <v>4</v>
      </c>
      <c r="F2702" s="7"/>
      <c r="G2702" s="7" t="s">
        <v>6673</v>
      </c>
      <c r="H2702" s="9"/>
      <c r="I2702" s="10">
        <v>133803</v>
      </c>
      <c r="J2702" s="10">
        <v>134637</v>
      </c>
      <c r="K2702" s="9"/>
      <c r="L2702" s="10">
        <v>144425</v>
      </c>
      <c r="M2702" s="10">
        <v>0</v>
      </c>
      <c r="N2702" s="10">
        <v>144425</v>
      </c>
      <c r="O2702" s="9"/>
      <c r="P2702" s="10"/>
      <c r="Q2702" s="10"/>
      <c r="R2702" s="10"/>
      <c r="S2702" s="7" t="s">
        <v>43</v>
      </c>
      <c r="T2702" s="7"/>
      <c r="U2702" s="7"/>
      <c r="V2702" s="7"/>
      <c r="W2702" s="7"/>
      <c r="X2702" s="7"/>
      <c r="Y2702" s="7" t="s">
        <v>6674</v>
      </c>
      <c r="Z2702" s="7" t="s">
        <v>6675</v>
      </c>
      <c r="AA2702" s="7"/>
      <c r="AB2702" s="7"/>
      <c r="AC2702" s="7" t="s">
        <v>6671</v>
      </c>
      <c r="AD2702" s="7"/>
      <c r="AE2702" s="7"/>
      <c r="AF2702" s="7" t="s">
        <v>6249</v>
      </c>
      <c r="AG2702" s="7" t="s">
        <v>6676</v>
      </c>
      <c r="AH2702" s="7" t="s">
        <v>6672</v>
      </c>
      <c r="AI2702">
        <v>142355</v>
      </c>
      <c r="AK2702">
        <v>142355</v>
      </c>
    </row>
    <row r="2703" spans="1:37" ht="9.75" customHeight="1" x14ac:dyDescent="0.2">
      <c r="A2703" s="7" t="s">
        <v>6657</v>
      </c>
      <c r="B2703" s="7" t="s">
        <v>38</v>
      </c>
      <c r="C2703" s="7"/>
      <c r="D2703" s="7" t="s">
        <v>6677</v>
      </c>
      <c r="E2703" s="8">
        <v>4</v>
      </c>
      <c r="F2703" s="7"/>
      <c r="G2703" s="7" t="s">
        <v>6678</v>
      </c>
      <c r="H2703" s="9"/>
      <c r="I2703" s="9"/>
      <c r="J2703" s="9"/>
      <c r="K2703" s="9"/>
      <c r="L2703" s="9"/>
      <c r="M2703" s="9"/>
      <c r="N2703" s="9"/>
      <c r="O2703" s="9"/>
      <c r="P2703" s="9"/>
      <c r="Q2703" s="9"/>
      <c r="R2703" s="9"/>
      <c r="S2703" s="7" t="s">
        <v>54</v>
      </c>
      <c r="T2703" s="7" t="s">
        <v>6679</v>
      </c>
      <c r="U2703" s="7" t="s">
        <v>44</v>
      </c>
      <c r="V2703" s="7" t="s">
        <v>45</v>
      </c>
      <c r="W2703" s="7" t="s">
        <v>130</v>
      </c>
      <c r="X2703" s="7"/>
      <c r="Y2703" s="7" t="s">
        <v>6680</v>
      </c>
      <c r="Z2703" s="7" t="s">
        <v>997</v>
      </c>
      <c r="AA2703" s="7"/>
      <c r="AB2703" s="7"/>
      <c r="AC2703" s="7" t="s">
        <v>6671</v>
      </c>
      <c r="AD2703" s="7"/>
      <c r="AE2703" s="7"/>
      <c r="AF2703" s="7" t="s">
        <v>6249</v>
      </c>
      <c r="AG2703" s="7" t="s">
        <v>6676</v>
      </c>
      <c r="AH2703" s="7" t="s">
        <v>6672</v>
      </c>
    </row>
    <row r="2704" spans="1:37" ht="9.75" customHeight="1" x14ac:dyDescent="0.2">
      <c r="A2704" s="7" t="s">
        <v>6657</v>
      </c>
      <c r="B2704" s="7" t="s">
        <v>38</v>
      </c>
      <c r="C2704" s="7"/>
      <c r="D2704" s="7" t="s">
        <v>6681</v>
      </c>
      <c r="E2704" s="8">
        <v>4</v>
      </c>
      <c r="F2704" s="7"/>
      <c r="G2704" s="7"/>
      <c r="H2704" s="9"/>
      <c r="I2704" s="9"/>
      <c r="J2704" s="10">
        <v>0</v>
      </c>
      <c r="K2704" s="9"/>
      <c r="L2704" s="10">
        <v>0</v>
      </c>
      <c r="M2704" s="10">
        <v>0</v>
      </c>
      <c r="N2704" s="10">
        <v>0</v>
      </c>
      <c r="O2704" s="9"/>
      <c r="P2704" s="10"/>
      <c r="Q2704" s="10"/>
      <c r="R2704" s="10"/>
      <c r="S2704" s="7" t="s">
        <v>54</v>
      </c>
      <c r="T2704" s="7" t="s">
        <v>6679</v>
      </c>
      <c r="U2704" s="7" t="s">
        <v>44</v>
      </c>
      <c r="V2704" s="7" t="s">
        <v>45</v>
      </c>
      <c r="W2704" s="7" t="s">
        <v>130</v>
      </c>
      <c r="X2704" s="7" t="s">
        <v>131</v>
      </c>
      <c r="Y2704" s="7" t="s">
        <v>6682</v>
      </c>
      <c r="Z2704" s="7" t="s">
        <v>1144</v>
      </c>
      <c r="AA2704" s="7"/>
      <c r="AB2704" s="7"/>
      <c r="AC2704" s="7" t="s">
        <v>6671</v>
      </c>
      <c r="AD2704" s="7"/>
      <c r="AE2704" s="7" t="s">
        <v>6683</v>
      </c>
      <c r="AF2704" s="7" t="s">
        <v>6249</v>
      </c>
      <c r="AG2704" s="7" t="s">
        <v>6676</v>
      </c>
      <c r="AH2704" s="7" t="s">
        <v>6672</v>
      </c>
    </row>
    <row r="2705" spans="1:37" ht="9.75" customHeight="1" x14ac:dyDescent="0.2">
      <c r="A2705" s="7" t="s">
        <v>6657</v>
      </c>
      <c r="B2705" s="7" t="s">
        <v>38</v>
      </c>
      <c r="C2705" s="7"/>
      <c r="D2705" s="7" t="s">
        <v>6684</v>
      </c>
      <c r="E2705" s="8">
        <v>4</v>
      </c>
      <c r="F2705" s="7"/>
      <c r="G2705" s="7"/>
      <c r="H2705" s="9"/>
      <c r="I2705" s="9"/>
      <c r="J2705" s="10">
        <v>11092</v>
      </c>
      <c r="K2705" s="9"/>
      <c r="L2705" s="10">
        <v>9093</v>
      </c>
      <c r="M2705" s="10">
        <v>0</v>
      </c>
      <c r="N2705" s="10">
        <v>0</v>
      </c>
      <c r="O2705" s="9"/>
      <c r="P2705" s="10"/>
      <c r="Q2705" s="10"/>
      <c r="R2705" s="10"/>
      <c r="S2705" s="7" t="s">
        <v>54</v>
      </c>
      <c r="T2705" s="7" t="s">
        <v>6679</v>
      </c>
      <c r="U2705" s="7" t="s">
        <v>44</v>
      </c>
      <c r="V2705" s="7" t="s">
        <v>45</v>
      </c>
      <c r="W2705" s="7" t="s">
        <v>130</v>
      </c>
      <c r="X2705" s="7" t="s">
        <v>131</v>
      </c>
      <c r="Y2705" s="7" t="s">
        <v>6685</v>
      </c>
      <c r="Z2705" s="7" t="s">
        <v>1184</v>
      </c>
      <c r="AA2705" s="7"/>
      <c r="AB2705" s="7"/>
      <c r="AC2705" s="7" t="s">
        <v>6671</v>
      </c>
      <c r="AD2705" s="7"/>
      <c r="AE2705" s="7" t="s">
        <v>6686</v>
      </c>
      <c r="AF2705" s="7" t="s">
        <v>6249</v>
      </c>
      <c r="AG2705" s="7" t="s">
        <v>6676</v>
      </c>
      <c r="AH2705" s="7" t="s">
        <v>6672</v>
      </c>
    </row>
    <row r="2706" spans="1:37" ht="9.75" customHeight="1" x14ac:dyDescent="0.2">
      <c r="A2706" s="7" t="s">
        <v>6657</v>
      </c>
      <c r="B2706" s="7" t="s">
        <v>38</v>
      </c>
      <c r="C2706" s="7"/>
      <c r="D2706" s="7" t="s">
        <v>6687</v>
      </c>
      <c r="E2706" s="8">
        <v>4</v>
      </c>
      <c r="F2706" s="7"/>
      <c r="G2706" s="7"/>
      <c r="H2706" s="9"/>
      <c r="I2706" s="9"/>
      <c r="J2706" s="10">
        <v>17326</v>
      </c>
      <c r="K2706" s="9"/>
      <c r="L2706" s="10">
        <v>4127</v>
      </c>
      <c r="M2706" s="10">
        <v>3704</v>
      </c>
      <c r="N2706" s="10">
        <v>0</v>
      </c>
      <c r="O2706" s="9"/>
      <c r="P2706" s="10"/>
      <c r="Q2706" s="10"/>
      <c r="R2706" s="10"/>
      <c r="S2706" s="7" t="s">
        <v>54</v>
      </c>
      <c r="T2706" s="7" t="s">
        <v>6679</v>
      </c>
      <c r="U2706" s="7" t="s">
        <v>44</v>
      </c>
      <c r="V2706" s="7" t="s">
        <v>45</v>
      </c>
      <c r="W2706" s="7" t="s">
        <v>130</v>
      </c>
      <c r="X2706" s="7" t="s">
        <v>131</v>
      </c>
      <c r="Y2706" s="7" t="s">
        <v>6688</v>
      </c>
      <c r="Z2706" s="7" t="s">
        <v>1221</v>
      </c>
      <c r="AA2706" s="7"/>
      <c r="AB2706" s="7"/>
      <c r="AC2706" s="7" t="s">
        <v>6671</v>
      </c>
      <c r="AD2706" s="7"/>
      <c r="AE2706" s="7" t="s">
        <v>6689</v>
      </c>
      <c r="AF2706" s="7" t="s">
        <v>6249</v>
      </c>
      <c r="AG2706" s="7" t="s">
        <v>6676</v>
      </c>
      <c r="AH2706" s="7" t="s">
        <v>6672</v>
      </c>
    </row>
    <row r="2707" spans="1:37" ht="9.75" customHeight="1" x14ac:dyDescent="0.2">
      <c r="A2707" s="7" t="s">
        <v>6657</v>
      </c>
      <c r="B2707" s="7" t="s">
        <v>38</v>
      </c>
      <c r="C2707" s="7"/>
      <c r="D2707" s="7" t="s">
        <v>6690</v>
      </c>
      <c r="E2707" s="8">
        <v>4</v>
      </c>
      <c r="F2707" s="7"/>
      <c r="G2707" s="7"/>
      <c r="H2707" s="9"/>
      <c r="I2707" s="9"/>
      <c r="J2707" s="10">
        <v>17366</v>
      </c>
      <c r="K2707" s="9"/>
      <c r="L2707" s="10">
        <v>21419</v>
      </c>
      <c r="M2707" s="10">
        <v>10713</v>
      </c>
      <c r="N2707" s="10">
        <v>0</v>
      </c>
      <c r="O2707" s="9"/>
      <c r="P2707" s="10"/>
      <c r="Q2707" s="10"/>
      <c r="R2707" s="10"/>
      <c r="S2707" s="7" t="s">
        <v>54</v>
      </c>
      <c r="T2707" s="7" t="s">
        <v>6679</v>
      </c>
      <c r="U2707" s="7" t="s">
        <v>44</v>
      </c>
      <c r="V2707" s="7" t="s">
        <v>45</v>
      </c>
      <c r="W2707" s="7" t="s">
        <v>130</v>
      </c>
      <c r="X2707" s="7" t="s">
        <v>131</v>
      </c>
      <c r="Y2707" s="7" t="s">
        <v>6691</v>
      </c>
      <c r="Z2707" s="7" t="s">
        <v>1258</v>
      </c>
      <c r="AA2707" s="7"/>
      <c r="AB2707" s="7"/>
      <c r="AC2707" s="7" t="s">
        <v>6671</v>
      </c>
      <c r="AD2707" s="7"/>
      <c r="AE2707" s="7" t="s">
        <v>6692</v>
      </c>
      <c r="AF2707" s="7" t="s">
        <v>6249</v>
      </c>
      <c r="AG2707" s="7" t="s">
        <v>6676</v>
      </c>
      <c r="AH2707" s="7" t="s">
        <v>6672</v>
      </c>
    </row>
    <row r="2708" spans="1:37" ht="9.75" customHeight="1" x14ac:dyDescent="0.2">
      <c r="A2708" s="7" t="s">
        <v>6657</v>
      </c>
      <c r="B2708" s="7" t="s">
        <v>38</v>
      </c>
      <c r="C2708" s="7"/>
      <c r="D2708" s="7" t="s">
        <v>6693</v>
      </c>
      <c r="E2708" s="8">
        <v>4</v>
      </c>
      <c r="F2708" s="7"/>
      <c r="G2708" s="7" t="s">
        <v>6694</v>
      </c>
      <c r="H2708" s="9"/>
      <c r="I2708" s="9"/>
      <c r="J2708" s="10">
        <v>61908</v>
      </c>
      <c r="K2708" s="9"/>
      <c r="L2708" s="10">
        <v>66136</v>
      </c>
      <c r="M2708" s="10">
        <v>78199</v>
      </c>
      <c r="N2708" s="10">
        <v>0</v>
      </c>
      <c r="O2708" s="9"/>
      <c r="P2708" s="10"/>
      <c r="Q2708" s="10"/>
      <c r="R2708" s="10"/>
      <c r="S2708" s="7" t="s">
        <v>54</v>
      </c>
      <c r="T2708" s="7" t="s">
        <v>6679</v>
      </c>
      <c r="U2708" s="7" t="s">
        <v>44</v>
      </c>
      <c r="V2708" s="7" t="s">
        <v>45</v>
      </c>
      <c r="W2708" s="7" t="s">
        <v>130</v>
      </c>
      <c r="X2708" s="7" t="s">
        <v>131</v>
      </c>
      <c r="Y2708" s="7" t="s">
        <v>6695</v>
      </c>
      <c r="Z2708" s="7" t="s">
        <v>1294</v>
      </c>
      <c r="AA2708" s="7"/>
      <c r="AB2708" s="7"/>
      <c r="AC2708" s="7" t="s">
        <v>6671</v>
      </c>
      <c r="AD2708" s="7"/>
      <c r="AE2708" s="7" t="s">
        <v>6696</v>
      </c>
      <c r="AF2708" s="7" t="s">
        <v>6249</v>
      </c>
      <c r="AG2708" s="7" t="s">
        <v>6676</v>
      </c>
      <c r="AH2708" s="7" t="s">
        <v>6672</v>
      </c>
    </row>
    <row r="2709" spans="1:37" ht="9.75" customHeight="1" x14ac:dyDescent="0.2">
      <c r="A2709" s="7" t="s">
        <v>6657</v>
      </c>
      <c r="B2709" s="7" t="s">
        <v>38</v>
      </c>
      <c r="C2709" s="7" t="s">
        <v>6697</v>
      </c>
      <c r="D2709" s="7" t="s">
        <v>6698</v>
      </c>
      <c r="E2709" s="8">
        <v>4</v>
      </c>
      <c r="F2709" s="7"/>
      <c r="G2709" s="7" t="s">
        <v>6699</v>
      </c>
      <c r="H2709" s="9"/>
      <c r="I2709" s="10">
        <v>519272</v>
      </c>
      <c r="J2709" s="10">
        <v>465824</v>
      </c>
      <c r="K2709" s="9"/>
      <c r="L2709" s="10">
        <v>498597</v>
      </c>
      <c r="M2709" s="10">
        <v>0</v>
      </c>
      <c r="N2709" s="10">
        <v>498597</v>
      </c>
      <c r="O2709" s="9"/>
      <c r="P2709" s="10"/>
      <c r="Q2709" s="10"/>
      <c r="R2709" s="10"/>
      <c r="S2709" s="7" t="s">
        <v>43</v>
      </c>
      <c r="T2709" s="7"/>
      <c r="U2709" s="7" t="s">
        <v>44</v>
      </c>
      <c r="V2709" s="7" t="s">
        <v>45</v>
      </c>
      <c r="W2709" s="7" t="s">
        <v>46</v>
      </c>
      <c r="X2709" s="7" t="s">
        <v>90</v>
      </c>
      <c r="Y2709" s="7" t="s">
        <v>6700</v>
      </c>
      <c r="Z2709" s="7" t="s">
        <v>1343</v>
      </c>
      <c r="AA2709" s="7"/>
      <c r="AB2709" s="7"/>
      <c r="AC2709" s="7" t="s">
        <v>6697</v>
      </c>
      <c r="AD2709" s="7" t="s">
        <v>6701</v>
      </c>
      <c r="AE2709" s="7"/>
      <c r="AF2709" s="7" t="s">
        <v>6249</v>
      </c>
      <c r="AG2709" s="7" t="s">
        <v>6250</v>
      </c>
      <c r="AH2709" s="7" t="s">
        <v>6698</v>
      </c>
      <c r="AI2709">
        <v>454161</v>
      </c>
      <c r="AK2709">
        <v>454161</v>
      </c>
    </row>
    <row r="2710" spans="1:37" ht="9.75" customHeight="1" x14ac:dyDescent="0.2">
      <c r="A2710" s="7" t="s">
        <v>6657</v>
      </c>
      <c r="B2710" s="7" t="s">
        <v>38</v>
      </c>
      <c r="C2710" s="7"/>
      <c r="D2710" s="7" t="s">
        <v>6702</v>
      </c>
      <c r="E2710" s="8">
        <v>4</v>
      </c>
      <c r="F2710" s="7"/>
      <c r="G2710" s="7" t="s">
        <v>6703</v>
      </c>
      <c r="H2710" s="9"/>
      <c r="I2710" s="9"/>
      <c r="J2710" s="9"/>
      <c r="K2710" s="9"/>
      <c r="L2710" s="9"/>
      <c r="M2710" s="9"/>
      <c r="N2710" s="9"/>
      <c r="O2710" s="9"/>
      <c r="P2710" s="9"/>
      <c r="Q2710" s="9"/>
      <c r="R2710" s="9"/>
      <c r="S2710" s="7" t="s">
        <v>54</v>
      </c>
      <c r="T2710" s="7" t="s">
        <v>6704</v>
      </c>
      <c r="U2710" s="7" t="s">
        <v>44</v>
      </c>
      <c r="V2710" s="7" t="s">
        <v>45</v>
      </c>
      <c r="W2710" s="7" t="s">
        <v>46</v>
      </c>
      <c r="X2710" s="7" t="s">
        <v>90</v>
      </c>
      <c r="Y2710" s="7" t="s">
        <v>6705</v>
      </c>
      <c r="Z2710" s="7" t="s">
        <v>1440</v>
      </c>
      <c r="AA2710" s="7"/>
      <c r="AB2710" s="7"/>
      <c r="AC2710" s="7" t="s">
        <v>6697</v>
      </c>
      <c r="AD2710" s="7"/>
      <c r="AE2710" s="7"/>
      <c r="AF2710" s="7" t="s">
        <v>6249</v>
      </c>
      <c r="AG2710" s="7" t="s">
        <v>6250</v>
      </c>
      <c r="AH2710" s="7" t="s">
        <v>6698</v>
      </c>
    </row>
    <row r="2711" spans="1:37" ht="9.75" customHeight="1" x14ac:dyDescent="0.2">
      <c r="A2711" s="7" t="s">
        <v>6657</v>
      </c>
      <c r="B2711" s="7" t="s">
        <v>38</v>
      </c>
      <c r="C2711" s="7"/>
      <c r="D2711" s="7" t="s">
        <v>6706</v>
      </c>
      <c r="E2711" s="8">
        <v>4</v>
      </c>
      <c r="F2711" s="7"/>
      <c r="G2711" s="7" t="s">
        <v>6707</v>
      </c>
      <c r="H2711" s="9"/>
      <c r="I2711" s="9"/>
      <c r="J2711" s="9"/>
      <c r="K2711" s="9"/>
      <c r="L2711" s="9"/>
      <c r="M2711" s="9"/>
      <c r="N2711" s="9"/>
      <c r="O2711" s="9"/>
      <c r="P2711" s="9"/>
      <c r="Q2711" s="9"/>
      <c r="R2711" s="9"/>
      <c r="S2711" s="7" t="s">
        <v>54</v>
      </c>
      <c r="T2711" s="7" t="s">
        <v>6704</v>
      </c>
      <c r="U2711" s="7" t="s">
        <v>44</v>
      </c>
      <c r="V2711" s="7" t="s">
        <v>45</v>
      </c>
      <c r="W2711" s="7" t="s">
        <v>46</v>
      </c>
      <c r="X2711" s="7" t="s">
        <v>4856</v>
      </c>
      <c r="Y2711" s="7" t="s">
        <v>6708</v>
      </c>
      <c r="Z2711" s="7" t="s">
        <v>1474</v>
      </c>
      <c r="AA2711" s="7"/>
      <c r="AB2711" s="7"/>
      <c r="AC2711" s="7" t="s">
        <v>6697</v>
      </c>
      <c r="AD2711" s="7"/>
      <c r="AE2711" s="7"/>
      <c r="AF2711" s="7" t="s">
        <v>6249</v>
      </c>
      <c r="AG2711" s="7" t="s">
        <v>6250</v>
      </c>
      <c r="AH2711" s="7" t="s">
        <v>6698</v>
      </c>
    </row>
    <row r="2712" spans="1:37" ht="9.75" customHeight="1" x14ac:dyDescent="0.2">
      <c r="A2712" s="7" t="s">
        <v>6657</v>
      </c>
      <c r="B2712" s="7" t="s">
        <v>38</v>
      </c>
      <c r="C2712" s="7"/>
      <c r="D2712" s="7" t="s">
        <v>6709</v>
      </c>
      <c r="E2712" s="8">
        <v>4</v>
      </c>
      <c r="F2712" s="7"/>
      <c r="G2712" s="7" t="s">
        <v>6710</v>
      </c>
      <c r="H2712" s="9"/>
      <c r="I2712" s="9"/>
      <c r="J2712" s="9"/>
      <c r="K2712" s="9"/>
      <c r="L2712" s="9"/>
      <c r="M2712" s="9"/>
      <c r="N2712" s="9"/>
      <c r="O2712" s="9"/>
      <c r="P2712" s="9"/>
      <c r="Q2712" s="9"/>
      <c r="R2712" s="9"/>
      <c r="S2712" s="7" t="s">
        <v>54</v>
      </c>
      <c r="T2712" s="7" t="s">
        <v>6704</v>
      </c>
      <c r="U2712" s="7" t="s">
        <v>44</v>
      </c>
      <c r="V2712" s="7" t="s">
        <v>45</v>
      </c>
      <c r="W2712" s="7" t="s">
        <v>46</v>
      </c>
      <c r="X2712" s="7"/>
      <c r="Y2712" s="7" t="s">
        <v>6711</v>
      </c>
      <c r="Z2712" s="7" t="s">
        <v>81</v>
      </c>
      <c r="AA2712" s="7"/>
      <c r="AB2712" s="7"/>
      <c r="AC2712" s="7" t="s">
        <v>6697</v>
      </c>
      <c r="AD2712" s="7"/>
      <c r="AE2712" s="7"/>
      <c r="AF2712" s="7" t="s">
        <v>6249</v>
      </c>
      <c r="AG2712" s="7" t="s">
        <v>6250</v>
      </c>
      <c r="AH2712" s="7" t="s">
        <v>6698</v>
      </c>
    </row>
    <row r="2713" spans="1:37" ht="9.75" customHeight="1" x14ac:dyDescent="0.2">
      <c r="A2713" s="7" t="s">
        <v>6657</v>
      </c>
      <c r="B2713" s="7" t="s">
        <v>38</v>
      </c>
      <c r="C2713" s="7"/>
      <c r="D2713" s="7" t="s">
        <v>6712</v>
      </c>
      <c r="E2713" s="8">
        <v>4</v>
      </c>
      <c r="F2713" s="7"/>
      <c r="G2713" s="7" t="s">
        <v>6713</v>
      </c>
      <c r="H2713" s="9"/>
      <c r="I2713" s="9"/>
      <c r="J2713" s="9"/>
      <c r="K2713" s="9"/>
      <c r="L2713" s="9"/>
      <c r="M2713" s="9"/>
      <c r="N2713" s="9"/>
      <c r="O2713" s="9"/>
      <c r="P2713" s="9"/>
      <c r="Q2713" s="9"/>
      <c r="R2713" s="9"/>
      <c r="S2713" s="7" t="s">
        <v>54</v>
      </c>
      <c r="T2713" s="7" t="s">
        <v>6704</v>
      </c>
      <c r="U2713" s="7" t="s">
        <v>44</v>
      </c>
      <c r="V2713" s="7" t="s">
        <v>45</v>
      </c>
      <c r="W2713" s="7" t="s">
        <v>46</v>
      </c>
      <c r="X2713" s="7"/>
      <c r="Y2713" s="7" t="s">
        <v>6714</v>
      </c>
      <c r="Z2713" s="7" t="s">
        <v>6307</v>
      </c>
      <c r="AA2713" s="7"/>
      <c r="AB2713" s="7"/>
      <c r="AC2713" s="7" t="s">
        <v>6697</v>
      </c>
      <c r="AD2713" s="7"/>
      <c r="AE2713" s="7"/>
      <c r="AF2713" s="7" t="s">
        <v>6249</v>
      </c>
      <c r="AG2713" s="7" t="s">
        <v>6250</v>
      </c>
      <c r="AH2713" s="7" t="s">
        <v>6698</v>
      </c>
    </row>
    <row r="2714" spans="1:37" ht="9.75" customHeight="1" x14ac:dyDescent="0.2">
      <c r="A2714" s="7" t="s">
        <v>6657</v>
      </c>
      <c r="B2714" s="7" t="s">
        <v>38</v>
      </c>
      <c r="C2714" s="7"/>
      <c r="D2714" s="7" t="s">
        <v>6715</v>
      </c>
      <c r="E2714" s="8">
        <v>4</v>
      </c>
      <c r="F2714" s="7"/>
      <c r="G2714" s="7" t="s">
        <v>6716</v>
      </c>
      <c r="H2714" s="9"/>
      <c r="I2714" s="9"/>
      <c r="J2714" s="9"/>
      <c r="K2714" s="9"/>
      <c r="L2714" s="9"/>
      <c r="M2714" s="9"/>
      <c r="N2714" s="9"/>
      <c r="O2714" s="9"/>
      <c r="P2714" s="9"/>
      <c r="Q2714" s="9"/>
      <c r="R2714" s="9"/>
      <c r="S2714" s="7" t="s">
        <v>54</v>
      </c>
      <c r="T2714" s="7" t="s">
        <v>6704</v>
      </c>
      <c r="U2714" s="7" t="s">
        <v>44</v>
      </c>
      <c r="V2714" s="7" t="s">
        <v>45</v>
      </c>
      <c r="W2714" s="7" t="s">
        <v>46</v>
      </c>
      <c r="X2714" s="7" t="s">
        <v>4856</v>
      </c>
      <c r="Y2714" s="7" t="s">
        <v>6717</v>
      </c>
      <c r="Z2714" s="7" t="s">
        <v>1523</v>
      </c>
      <c r="AA2714" s="7"/>
      <c r="AB2714" s="7"/>
      <c r="AC2714" s="7" t="s">
        <v>6697</v>
      </c>
      <c r="AD2714" s="7"/>
      <c r="AE2714" s="7"/>
      <c r="AF2714" s="7" t="s">
        <v>6249</v>
      </c>
      <c r="AG2714" s="7" t="s">
        <v>6250</v>
      </c>
      <c r="AH2714" s="7" t="s">
        <v>6698</v>
      </c>
    </row>
    <row r="2715" spans="1:37" ht="9.75" customHeight="1" x14ac:dyDescent="0.2">
      <c r="A2715" s="7" t="s">
        <v>6657</v>
      </c>
      <c r="B2715" s="7" t="s">
        <v>38</v>
      </c>
      <c r="C2715" s="7"/>
      <c r="D2715" s="7" t="s">
        <v>6718</v>
      </c>
      <c r="E2715" s="8">
        <v>4</v>
      </c>
      <c r="F2715" s="7"/>
      <c r="G2715" s="7" t="s">
        <v>6719</v>
      </c>
      <c r="H2715" s="9"/>
      <c r="I2715" s="9"/>
      <c r="J2715" s="9"/>
      <c r="K2715" s="9"/>
      <c r="L2715" s="9"/>
      <c r="M2715" s="9"/>
      <c r="N2715" s="9"/>
      <c r="O2715" s="9"/>
      <c r="P2715" s="9"/>
      <c r="Q2715" s="9"/>
      <c r="R2715" s="9"/>
      <c r="S2715" s="7" t="s">
        <v>54</v>
      </c>
      <c r="T2715" s="7" t="s">
        <v>6704</v>
      </c>
      <c r="U2715" s="7" t="s">
        <v>44</v>
      </c>
      <c r="V2715" s="7" t="s">
        <v>45</v>
      </c>
      <c r="W2715" s="7" t="s">
        <v>46</v>
      </c>
      <c r="X2715" s="7" t="s">
        <v>90</v>
      </c>
      <c r="Y2715" s="7" t="s">
        <v>6720</v>
      </c>
      <c r="Z2715" s="7" t="s">
        <v>1635</v>
      </c>
      <c r="AA2715" s="7"/>
      <c r="AB2715" s="7"/>
      <c r="AC2715" s="7" t="s">
        <v>6697</v>
      </c>
      <c r="AD2715" s="7"/>
      <c r="AE2715" s="7"/>
      <c r="AF2715" s="7" t="s">
        <v>6249</v>
      </c>
      <c r="AG2715" s="7" t="s">
        <v>6250</v>
      </c>
      <c r="AH2715" s="7" t="s">
        <v>6698</v>
      </c>
    </row>
    <row r="2716" spans="1:37" ht="9.75" customHeight="1" x14ac:dyDescent="0.2">
      <c r="A2716" s="7" t="s">
        <v>6657</v>
      </c>
      <c r="B2716" s="7" t="s">
        <v>38</v>
      </c>
      <c r="C2716" s="7"/>
      <c r="D2716" s="7" t="s">
        <v>6721</v>
      </c>
      <c r="E2716" s="8">
        <v>4</v>
      </c>
      <c r="F2716" s="7"/>
      <c r="G2716" s="7" t="s">
        <v>6722</v>
      </c>
      <c r="H2716" s="9"/>
      <c r="I2716" s="9"/>
      <c r="J2716" s="9"/>
      <c r="K2716" s="9"/>
      <c r="L2716" s="9"/>
      <c r="M2716" s="9"/>
      <c r="N2716" s="9"/>
      <c r="O2716" s="9"/>
      <c r="P2716" s="9"/>
      <c r="Q2716" s="9"/>
      <c r="R2716" s="9"/>
      <c r="S2716" s="7" t="s">
        <v>54</v>
      </c>
      <c r="T2716" s="7" t="s">
        <v>6704</v>
      </c>
      <c r="U2716" s="7" t="s">
        <v>44</v>
      </c>
      <c r="V2716" s="7" t="s">
        <v>45</v>
      </c>
      <c r="W2716" s="7" t="s">
        <v>46</v>
      </c>
      <c r="X2716" s="7" t="s">
        <v>90</v>
      </c>
      <c r="Y2716" s="7" t="s">
        <v>6723</v>
      </c>
      <c r="Z2716" s="7" t="s">
        <v>1706</v>
      </c>
      <c r="AA2716" s="7"/>
      <c r="AB2716" s="7"/>
      <c r="AC2716" s="7" t="s">
        <v>6697</v>
      </c>
      <c r="AD2716" s="7"/>
      <c r="AE2716" s="7"/>
      <c r="AF2716" s="7" t="s">
        <v>6249</v>
      </c>
      <c r="AG2716" s="7" t="s">
        <v>6250</v>
      </c>
      <c r="AH2716" s="7" t="s">
        <v>6698</v>
      </c>
    </row>
    <row r="2717" spans="1:37" ht="9.75" customHeight="1" x14ac:dyDescent="0.2">
      <c r="A2717" s="7" t="s">
        <v>6657</v>
      </c>
      <c r="B2717" s="7" t="s">
        <v>38</v>
      </c>
      <c r="C2717" s="7"/>
      <c r="D2717" s="7" t="s">
        <v>6724</v>
      </c>
      <c r="E2717" s="8">
        <v>4</v>
      </c>
      <c r="F2717" s="7"/>
      <c r="G2717" s="7" t="s">
        <v>6725</v>
      </c>
      <c r="H2717" s="9"/>
      <c r="I2717" s="9"/>
      <c r="J2717" s="9"/>
      <c r="K2717" s="9"/>
      <c r="L2717" s="9"/>
      <c r="M2717" s="9"/>
      <c r="N2717" s="9"/>
      <c r="O2717" s="9"/>
      <c r="P2717" s="9"/>
      <c r="Q2717" s="9"/>
      <c r="R2717" s="9"/>
      <c r="S2717" s="7" t="s">
        <v>54</v>
      </c>
      <c r="T2717" s="7" t="s">
        <v>6704</v>
      </c>
      <c r="U2717" s="7" t="s">
        <v>44</v>
      </c>
      <c r="V2717" s="7" t="s">
        <v>45</v>
      </c>
      <c r="W2717" s="7" t="s">
        <v>46</v>
      </c>
      <c r="X2717" s="7" t="s">
        <v>90</v>
      </c>
      <c r="Y2717" s="7" t="s">
        <v>6726</v>
      </c>
      <c r="Z2717" s="7" t="s">
        <v>1743</v>
      </c>
      <c r="AA2717" s="7"/>
      <c r="AB2717" s="7"/>
      <c r="AC2717" s="7" t="s">
        <v>6697</v>
      </c>
      <c r="AD2717" s="7"/>
      <c r="AE2717" s="7"/>
      <c r="AF2717" s="7" t="s">
        <v>6249</v>
      </c>
      <c r="AG2717" s="7" t="s">
        <v>6250</v>
      </c>
      <c r="AH2717" s="7" t="s">
        <v>6698</v>
      </c>
    </row>
    <row r="2718" spans="1:37" ht="9.75" customHeight="1" x14ac:dyDescent="0.2">
      <c r="A2718" s="7" t="s">
        <v>6657</v>
      </c>
      <c r="B2718" s="7" t="s">
        <v>38</v>
      </c>
      <c r="C2718" s="7"/>
      <c r="D2718" s="7" t="s">
        <v>6727</v>
      </c>
      <c r="E2718" s="8">
        <v>4</v>
      </c>
      <c r="F2718" s="7"/>
      <c r="G2718" s="7" t="s">
        <v>6728</v>
      </c>
      <c r="H2718" s="9"/>
      <c r="I2718" s="9"/>
      <c r="J2718" s="9"/>
      <c r="K2718" s="9"/>
      <c r="L2718" s="9"/>
      <c r="M2718" s="9"/>
      <c r="N2718" s="9"/>
      <c r="O2718" s="9"/>
      <c r="P2718" s="9"/>
      <c r="Q2718" s="9"/>
      <c r="R2718" s="9"/>
      <c r="S2718" s="7" t="s">
        <v>54</v>
      </c>
      <c r="T2718" s="7" t="s">
        <v>6704</v>
      </c>
      <c r="U2718" s="7" t="s">
        <v>44</v>
      </c>
      <c r="V2718" s="7" t="s">
        <v>45</v>
      </c>
      <c r="W2718" s="7" t="s">
        <v>46</v>
      </c>
      <c r="X2718" s="7" t="s">
        <v>90</v>
      </c>
      <c r="Y2718" s="7" t="s">
        <v>6729</v>
      </c>
      <c r="Z2718" s="7" t="s">
        <v>1779</v>
      </c>
      <c r="AA2718" s="7"/>
      <c r="AB2718" s="7"/>
      <c r="AC2718" s="7" t="s">
        <v>6697</v>
      </c>
      <c r="AD2718" s="7"/>
      <c r="AE2718" s="7"/>
      <c r="AF2718" s="7" t="s">
        <v>6249</v>
      </c>
      <c r="AG2718" s="7" t="s">
        <v>6250</v>
      </c>
      <c r="AH2718" s="7" t="s">
        <v>6698</v>
      </c>
    </row>
    <row r="2719" spans="1:37" ht="9.75" customHeight="1" x14ac:dyDescent="0.2">
      <c r="A2719" s="7" t="s">
        <v>6657</v>
      </c>
      <c r="B2719" s="7" t="s">
        <v>38</v>
      </c>
      <c r="C2719" s="7"/>
      <c r="D2719" s="7" t="s">
        <v>6730</v>
      </c>
      <c r="E2719" s="8">
        <v>4</v>
      </c>
      <c r="F2719" s="7"/>
      <c r="G2719" s="7" t="s">
        <v>6731</v>
      </c>
      <c r="H2719" s="9"/>
      <c r="I2719" s="9"/>
      <c r="J2719" s="9"/>
      <c r="K2719" s="9"/>
      <c r="L2719" s="9"/>
      <c r="M2719" s="9"/>
      <c r="N2719" s="9"/>
      <c r="O2719" s="9"/>
      <c r="P2719" s="9"/>
      <c r="Q2719" s="9"/>
      <c r="R2719" s="9"/>
      <c r="S2719" s="7" t="s">
        <v>54</v>
      </c>
      <c r="T2719" s="7" t="s">
        <v>6704</v>
      </c>
      <c r="U2719" s="7" t="s">
        <v>44</v>
      </c>
      <c r="V2719" s="7" t="s">
        <v>45</v>
      </c>
      <c r="W2719" s="7" t="s">
        <v>46</v>
      </c>
      <c r="X2719" s="7" t="s">
        <v>4856</v>
      </c>
      <c r="Y2719" s="7" t="s">
        <v>6732</v>
      </c>
      <c r="Z2719" s="7" t="s">
        <v>1826</v>
      </c>
      <c r="AA2719" s="7"/>
      <c r="AB2719" s="7"/>
      <c r="AC2719" s="7" t="s">
        <v>6697</v>
      </c>
      <c r="AD2719" s="7"/>
      <c r="AE2719" s="7"/>
      <c r="AF2719" s="7" t="s">
        <v>6249</v>
      </c>
      <c r="AG2719" s="7" t="s">
        <v>6250</v>
      </c>
      <c r="AH2719" s="7" t="s">
        <v>6698</v>
      </c>
    </row>
    <row r="2720" spans="1:37" ht="9.75" customHeight="1" x14ac:dyDescent="0.2">
      <c r="A2720" s="7" t="s">
        <v>6657</v>
      </c>
      <c r="B2720" s="7" t="s">
        <v>38</v>
      </c>
      <c r="C2720" s="7"/>
      <c r="D2720" s="7" t="s">
        <v>6733</v>
      </c>
      <c r="E2720" s="8">
        <v>4</v>
      </c>
      <c r="F2720" s="7"/>
      <c r="G2720" s="7" t="s">
        <v>6734</v>
      </c>
      <c r="H2720" s="9"/>
      <c r="I2720" s="9"/>
      <c r="J2720" s="9"/>
      <c r="K2720" s="9"/>
      <c r="L2720" s="9"/>
      <c r="M2720" s="9"/>
      <c r="N2720" s="9"/>
      <c r="O2720" s="9"/>
      <c r="P2720" s="9"/>
      <c r="Q2720" s="9"/>
      <c r="R2720" s="9"/>
      <c r="S2720" s="7" t="s">
        <v>54</v>
      </c>
      <c r="T2720" s="7" t="s">
        <v>6704</v>
      </c>
      <c r="U2720" s="7" t="s">
        <v>44</v>
      </c>
      <c r="V2720" s="7" t="s">
        <v>45</v>
      </c>
      <c r="W2720" s="7" t="s">
        <v>46</v>
      </c>
      <c r="X2720" s="7" t="s">
        <v>90</v>
      </c>
      <c r="Y2720" s="7" t="s">
        <v>6735</v>
      </c>
      <c r="Z2720" s="7" t="s">
        <v>5255</v>
      </c>
      <c r="AA2720" s="7"/>
      <c r="AB2720" s="7"/>
      <c r="AC2720" s="7" t="s">
        <v>6697</v>
      </c>
      <c r="AD2720" s="7"/>
      <c r="AE2720" s="7"/>
      <c r="AF2720" s="7" t="s">
        <v>6249</v>
      </c>
      <c r="AG2720" s="7" t="s">
        <v>6250</v>
      </c>
      <c r="AH2720" s="7" t="s">
        <v>6698</v>
      </c>
    </row>
    <row r="2721" spans="1:37" ht="9.75" customHeight="1" x14ac:dyDescent="0.2">
      <c r="A2721" s="7" t="s">
        <v>6657</v>
      </c>
      <c r="B2721" s="7" t="s">
        <v>38</v>
      </c>
      <c r="C2721" s="7" t="s">
        <v>6736</v>
      </c>
      <c r="D2721" s="7" t="s">
        <v>6737</v>
      </c>
      <c r="E2721" s="8">
        <v>4</v>
      </c>
      <c r="F2721" s="7"/>
      <c r="G2721" s="7" t="s">
        <v>6738</v>
      </c>
      <c r="H2721" s="9"/>
      <c r="I2721" s="10">
        <v>23436</v>
      </c>
      <c r="J2721" s="10">
        <v>14247</v>
      </c>
      <c r="K2721" s="9"/>
      <c r="L2721" s="10">
        <v>0</v>
      </c>
      <c r="M2721" s="10">
        <v>0</v>
      </c>
      <c r="N2721" s="10">
        <v>0</v>
      </c>
      <c r="O2721" s="9"/>
      <c r="P2721" s="10"/>
      <c r="Q2721" s="10"/>
      <c r="R2721" s="10"/>
      <c r="S2721" s="7" t="s">
        <v>407</v>
      </c>
      <c r="T2721" s="7" t="s">
        <v>6739</v>
      </c>
      <c r="U2721" s="7"/>
      <c r="V2721" s="7"/>
      <c r="W2721" s="7"/>
      <c r="X2721" s="7"/>
      <c r="Y2721" s="7" t="s">
        <v>6740</v>
      </c>
      <c r="Z2721" s="7" t="s">
        <v>1873</v>
      </c>
      <c r="AA2721" s="7"/>
      <c r="AB2721" s="7"/>
      <c r="AC2721" s="7" t="s">
        <v>6736</v>
      </c>
      <c r="AD2721" s="7"/>
      <c r="AE2721" s="7"/>
      <c r="AF2721" s="7"/>
      <c r="AG2721" s="7"/>
      <c r="AH2721" s="7" t="s">
        <v>6737</v>
      </c>
    </row>
    <row r="2722" spans="1:37" ht="9.75" customHeight="1" x14ac:dyDescent="0.2">
      <c r="A2722" s="7" t="s">
        <v>6657</v>
      </c>
      <c r="B2722" s="7" t="s">
        <v>38</v>
      </c>
      <c r="C2722" s="7" t="s">
        <v>6741</v>
      </c>
      <c r="D2722" s="7" t="s">
        <v>6742</v>
      </c>
      <c r="E2722" s="8">
        <v>4</v>
      </c>
      <c r="F2722" s="7"/>
      <c r="G2722" s="7" t="s">
        <v>6743</v>
      </c>
      <c r="H2722" s="9"/>
      <c r="I2722" s="10">
        <v>41695</v>
      </c>
      <c r="J2722" s="10">
        <v>51514</v>
      </c>
      <c r="K2722" s="9"/>
      <c r="L2722" s="10">
        <v>56482</v>
      </c>
      <c r="M2722" s="10">
        <v>0</v>
      </c>
      <c r="N2722" s="10">
        <v>56482</v>
      </c>
      <c r="O2722" s="9"/>
      <c r="P2722" s="10"/>
      <c r="Q2722" s="10"/>
      <c r="R2722" s="10"/>
      <c r="S2722" s="7"/>
      <c r="T2722" s="7"/>
      <c r="U2722" s="7" t="s">
        <v>44</v>
      </c>
      <c r="V2722" s="7" t="s">
        <v>45</v>
      </c>
      <c r="W2722" s="7" t="s">
        <v>46</v>
      </c>
      <c r="X2722" s="7" t="s">
        <v>90</v>
      </c>
      <c r="Y2722" s="7" t="s">
        <v>6744</v>
      </c>
      <c r="Z2722" s="7" t="s">
        <v>1969</v>
      </c>
      <c r="AA2722" s="7"/>
      <c r="AB2722" s="7"/>
      <c r="AC2722" s="7" t="s">
        <v>6741</v>
      </c>
      <c r="AD2722" s="7"/>
      <c r="AE2722" s="7"/>
      <c r="AF2722" s="7" t="s">
        <v>6249</v>
      </c>
      <c r="AG2722" s="7" t="s">
        <v>6745</v>
      </c>
      <c r="AH2722" s="7" t="s">
        <v>6742</v>
      </c>
      <c r="AI2722">
        <v>68881</v>
      </c>
      <c r="AK2722">
        <v>68881</v>
      </c>
    </row>
    <row r="2723" spans="1:37" ht="9.75" customHeight="1" x14ac:dyDescent="0.2">
      <c r="A2723" s="7" t="s">
        <v>6657</v>
      </c>
      <c r="B2723" s="7" t="s">
        <v>38</v>
      </c>
      <c r="C2723" s="7" t="s">
        <v>6746</v>
      </c>
      <c r="D2723" s="7" t="s">
        <v>6747</v>
      </c>
      <c r="E2723" s="8">
        <v>4</v>
      </c>
      <c r="F2723" s="7"/>
      <c r="G2723" s="7" t="s">
        <v>6748</v>
      </c>
      <c r="H2723" s="9"/>
      <c r="I2723" s="10">
        <v>14550</v>
      </c>
      <c r="J2723" s="10">
        <v>9647</v>
      </c>
      <c r="K2723" s="9"/>
      <c r="L2723" s="10">
        <v>14915</v>
      </c>
      <c r="M2723" s="10">
        <v>0</v>
      </c>
      <c r="N2723" s="10">
        <v>14915</v>
      </c>
      <c r="O2723" s="9"/>
      <c r="P2723" s="10"/>
      <c r="Q2723" s="10"/>
      <c r="R2723" s="10"/>
      <c r="S2723" s="7"/>
      <c r="T2723" s="7"/>
      <c r="U2723" s="7" t="s">
        <v>44</v>
      </c>
      <c r="V2723" s="7" t="s">
        <v>45</v>
      </c>
      <c r="W2723" s="7" t="s">
        <v>130</v>
      </c>
      <c r="X2723" s="7" t="s">
        <v>131</v>
      </c>
      <c r="Y2723" s="7" t="s">
        <v>6749</v>
      </c>
      <c r="Z2723" s="7" t="s">
        <v>4924</v>
      </c>
      <c r="AA2723" s="7"/>
      <c r="AB2723" s="7"/>
      <c r="AC2723" s="7" t="s">
        <v>6746</v>
      </c>
      <c r="AD2723" s="7"/>
      <c r="AE2723" s="7"/>
      <c r="AF2723" s="7" t="s">
        <v>6249</v>
      </c>
      <c r="AG2723" s="7" t="s">
        <v>6745</v>
      </c>
      <c r="AH2723" s="7" t="s">
        <v>6747</v>
      </c>
      <c r="AI2723">
        <v>14857</v>
      </c>
      <c r="AK2723">
        <v>14857</v>
      </c>
    </row>
    <row r="2724" spans="1:37" ht="9.75" customHeight="1" x14ac:dyDescent="0.2">
      <c r="A2724" s="7" t="s">
        <v>6657</v>
      </c>
      <c r="B2724" s="7" t="s">
        <v>38</v>
      </c>
      <c r="C2724" s="7" t="s">
        <v>6750</v>
      </c>
      <c r="D2724" s="7" t="s">
        <v>6751</v>
      </c>
      <c r="E2724" s="8">
        <v>4</v>
      </c>
      <c r="F2724" s="7"/>
      <c r="G2724" s="7" t="s">
        <v>6752</v>
      </c>
      <c r="H2724" s="9"/>
      <c r="I2724" s="10">
        <v>536796</v>
      </c>
      <c r="J2724" s="10">
        <v>405854</v>
      </c>
      <c r="K2724" s="9"/>
      <c r="L2724" s="10">
        <v>352312</v>
      </c>
      <c r="M2724" s="10">
        <v>11000</v>
      </c>
      <c r="N2724" s="10">
        <v>363312</v>
      </c>
      <c r="O2724" s="9"/>
      <c r="P2724" s="10">
        <v>11000</v>
      </c>
      <c r="Q2724" s="10">
        <v>352312</v>
      </c>
      <c r="R2724" s="10">
        <v>363312</v>
      </c>
      <c r="S2724" s="7"/>
      <c r="T2724" s="7"/>
      <c r="U2724" s="7"/>
      <c r="V2724" s="7"/>
      <c r="W2724" s="7"/>
      <c r="X2724" s="7"/>
      <c r="Y2724" s="7" t="s">
        <v>6753</v>
      </c>
      <c r="Z2724" s="7" t="s">
        <v>2359</v>
      </c>
      <c r="AA2724" s="7"/>
      <c r="AB2724" s="7"/>
      <c r="AC2724" s="7" t="s">
        <v>6750</v>
      </c>
      <c r="AD2724" s="7" t="s">
        <v>6754</v>
      </c>
      <c r="AE2724" s="7"/>
      <c r="AF2724" s="7" t="s">
        <v>6249</v>
      </c>
      <c r="AG2724" s="7" t="s">
        <v>6676</v>
      </c>
      <c r="AH2724" s="7" t="s">
        <v>6751</v>
      </c>
      <c r="AI2724">
        <v>490548</v>
      </c>
      <c r="AK2724">
        <v>490548</v>
      </c>
    </row>
    <row r="2725" spans="1:37" ht="9.75" customHeight="1" x14ac:dyDescent="0.2">
      <c r="A2725" s="7" t="s">
        <v>6657</v>
      </c>
      <c r="B2725" s="7" t="s">
        <v>38</v>
      </c>
      <c r="C2725" s="7" t="s">
        <v>6755</v>
      </c>
      <c r="D2725" s="7" t="s">
        <v>6756</v>
      </c>
      <c r="E2725" s="8">
        <v>4</v>
      </c>
      <c r="F2725" s="7"/>
      <c r="G2725" s="7" t="s">
        <v>6757</v>
      </c>
      <c r="H2725" s="9"/>
      <c r="I2725" s="10">
        <v>33887</v>
      </c>
      <c r="J2725" s="10">
        <v>45975</v>
      </c>
      <c r="K2725" s="9"/>
      <c r="L2725" s="10">
        <v>31169</v>
      </c>
      <c r="M2725" s="10">
        <v>0</v>
      </c>
      <c r="N2725" s="10">
        <v>31169</v>
      </c>
      <c r="O2725" s="9"/>
      <c r="P2725" s="10"/>
      <c r="Q2725" s="10"/>
      <c r="R2725" s="10"/>
      <c r="S2725" s="7" t="s">
        <v>43</v>
      </c>
      <c r="T2725" s="7"/>
      <c r="U2725" s="7" t="s">
        <v>221</v>
      </c>
      <c r="V2725" s="7" t="s">
        <v>45</v>
      </c>
      <c r="W2725" s="7" t="s">
        <v>249</v>
      </c>
      <c r="X2725" s="7" t="s">
        <v>250</v>
      </c>
      <c r="Y2725" s="7" t="s">
        <v>6758</v>
      </c>
      <c r="Z2725" s="7" t="s">
        <v>2403</v>
      </c>
      <c r="AA2725" s="7"/>
      <c r="AB2725" s="7"/>
      <c r="AC2725" s="7" t="s">
        <v>6755</v>
      </c>
      <c r="AD2725" s="7" t="s">
        <v>6756</v>
      </c>
      <c r="AE2725" s="7"/>
      <c r="AF2725" s="7" t="s">
        <v>6249</v>
      </c>
      <c r="AG2725" s="7" t="s">
        <v>6676</v>
      </c>
      <c r="AH2725" s="7" t="s">
        <v>6756</v>
      </c>
      <c r="AI2725">
        <v>72190</v>
      </c>
      <c r="AK2725">
        <v>72190</v>
      </c>
    </row>
    <row r="2726" spans="1:37" ht="9.75" customHeight="1" x14ac:dyDescent="0.2">
      <c r="A2726" s="7" t="s">
        <v>6657</v>
      </c>
      <c r="B2726" s="7" t="s">
        <v>38</v>
      </c>
      <c r="C2726" s="7"/>
      <c r="D2726" s="7" t="s">
        <v>6759</v>
      </c>
      <c r="E2726" s="8">
        <v>4</v>
      </c>
      <c r="F2726" s="7"/>
      <c r="G2726" s="7"/>
      <c r="H2726" s="9"/>
      <c r="I2726" s="9"/>
      <c r="J2726" s="9"/>
      <c r="K2726" s="9"/>
      <c r="L2726" s="9"/>
      <c r="M2726" s="9"/>
      <c r="N2726" s="9"/>
      <c r="O2726" s="9"/>
      <c r="P2726" s="9"/>
      <c r="Q2726" s="9"/>
      <c r="R2726" s="9"/>
      <c r="S2726" s="7" t="s">
        <v>54</v>
      </c>
      <c r="T2726" s="7" t="s">
        <v>6760</v>
      </c>
      <c r="U2726" s="7" t="s">
        <v>221</v>
      </c>
      <c r="V2726" s="7" t="s">
        <v>45</v>
      </c>
      <c r="W2726" s="7" t="s">
        <v>249</v>
      </c>
      <c r="X2726" s="7" t="s">
        <v>250</v>
      </c>
      <c r="Y2726" s="7" t="s">
        <v>6761</v>
      </c>
      <c r="Z2726" s="7" t="s">
        <v>2449</v>
      </c>
      <c r="AA2726" s="7"/>
      <c r="AB2726" s="7"/>
      <c r="AC2726" s="7" t="s">
        <v>6755</v>
      </c>
      <c r="AD2726" s="7"/>
      <c r="AE2726" s="7"/>
      <c r="AF2726" s="7" t="s">
        <v>6249</v>
      </c>
      <c r="AG2726" s="7" t="s">
        <v>6676</v>
      </c>
      <c r="AH2726" s="7" t="s">
        <v>6756</v>
      </c>
    </row>
    <row r="2727" spans="1:37" ht="9.75" customHeight="1" x14ac:dyDescent="0.2">
      <c r="A2727" s="7" t="s">
        <v>6657</v>
      </c>
      <c r="B2727" s="7" t="s">
        <v>38</v>
      </c>
      <c r="C2727" s="7"/>
      <c r="D2727" s="7" t="s">
        <v>6762</v>
      </c>
      <c r="E2727" s="8">
        <v>4</v>
      </c>
      <c r="F2727" s="7"/>
      <c r="G2727" s="7" t="s">
        <v>6763</v>
      </c>
      <c r="H2727" s="9"/>
      <c r="I2727" s="9"/>
      <c r="J2727" s="9"/>
      <c r="K2727" s="9"/>
      <c r="L2727" s="9"/>
      <c r="M2727" s="9"/>
      <c r="N2727" s="9"/>
      <c r="O2727" s="9"/>
      <c r="P2727" s="9"/>
      <c r="Q2727" s="9"/>
      <c r="R2727" s="9"/>
      <c r="S2727" s="7" t="s">
        <v>54</v>
      </c>
      <c r="T2727" s="7" t="s">
        <v>6760</v>
      </c>
      <c r="U2727" s="7" t="s">
        <v>221</v>
      </c>
      <c r="V2727" s="7" t="s">
        <v>45</v>
      </c>
      <c r="W2727" s="7" t="s">
        <v>249</v>
      </c>
      <c r="X2727" s="7" t="s">
        <v>250</v>
      </c>
      <c r="Y2727" s="7" t="s">
        <v>6764</v>
      </c>
      <c r="Z2727" s="7" t="s">
        <v>2493</v>
      </c>
      <c r="AA2727" s="7"/>
      <c r="AB2727" s="7"/>
      <c r="AC2727" s="7" t="s">
        <v>6755</v>
      </c>
      <c r="AD2727" s="7"/>
      <c r="AE2727" s="7"/>
      <c r="AF2727" s="7" t="s">
        <v>6249</v>
      </c>
      <c r="AG2727" s="7" t="s">
        <v>6676</v>
      </c>
      <c r="AH2727" s="7" t="s">
        <v>6756</v>
      </c>
    </row>
    <row r="2728" spans="1:37" ht="9.75" customHeight="1" x14ac:dyDescent="0.2">
      <c r="A2728" s="7" t="s">
        <v>6657</v>
      </c>
      <c r="B2728" s="7" t="s">
        <v>38</v>
      </c>
      <c r="C2728" s="7"/>
      <c r="D2728" s="7" t="s">
        <v>6765</v>
      </c>
      <c r="E2728" s="8">
        <v>4</v>
      </c>
      <c r="F2728" s="7"/>
      <c r="G2728" s="7" t="s">
        <v>6766</v>
      </c>
      <c r="H2728" s="9"/>
      <c r="I2728" s="9"/>
      <c r="J2728" s="9"/>
      <c r="K2728" s="9"/>
      <c r="L2728" s="9"/>
      <c r="M2728" s="9"/>
      <c r="N2728" s="9"/>
      <c r="O2728" s="9"/>
      <c r="P2728" s="9"/>
      <c r="Q2728" s="9"/>
      <c r="R2728" s="9"/>
      <c r="S2728" s="7" t="s">
        <v>54</v>
      </c>
      <c r="T2728" s="7" t="s">
        <v>6760</v>
      </c>
      <c r="U2728" s="7" t="s">
        <v>221</v>
      </c>
      <c r="V2728" s="7" t="s">
        <v>45</v>
      </c>
      <c r="W2728" s="7" t="s">
        <v>249</v>
      </c>
      <c r="X2728" s="7" t="s">
        <v>250</v>
      </c>
      <c r="Y2728" s="7" t="s">
        <v>6767</v>
      </c>
      <c r="Z2728" s="7" t="s">
        <v>6768</v>
      </c>
      <c r="AA2728" s="7"/>
      <c r="AB2728" s="7"/>
      <c r="AC2728" s="7" t="s">
        <v>6755</v>
      </c>
      <c r="AD2728" s="7"/>
      <c r="AE2728" s="7"/>
      <c r="AF2728" s="7" t="s">
        <v>6249</v>
      </c>
      <c r="AG2728" s="7" t="s">
        <v>6676</v>
      </c>
      <c r="AH2728" s="7" t="s">
        <v>6756</v>
      </c>
    </row>
    <row r="2729" spans="1:37" ht="9.75" customHeight="1" x14ac:dyDescent="0.2">
      <c r="A2729" s="7" t="s">
        <v>6657</v>
      </c>
      <c r="B2729" s="7" t="s">
        <v>38</v>
      </c>
      <c r="C2729" s="7" t="s">
        <v>6769</v>
      </c>
      <c r="D2729" s="7" t="s">
        <v>6770</v>
      </c>
      <c r="E2729" s="8">
        <v>4</v>
      </c>
      <c r="F2729" s="7"/>
      <c r="G2729" s="7" t="s">
        <v>6771</v>
      </c>
      <c r="H2729" s="9"/>
      <c r="I2729" s="10">
        <v>325996</v>
      </c>
      <c r="J2729" s="10">
        <v>182011</v>
      </c>
      <c r="K2729" s="9"/>
      <c r="L2729" s="10">
        <v>461380</v>
      </c>
      <c r="M2729" s="10">
        <v>0</v>
      </c>
      <c r="N2729" s="10">
        <v>461380</v>
      </c>
      <c r="O2729" s="9"/>
      <c r="P2729" s="10"/>
      <c r="Q2729" s="10"/>
      <c r="R2729" s="10"/>
      <c r="S2729" s="7" t="s">
        <v>43</v>
      </c>
      <c r="T2729" s="7"/>
      <c r="U2729" s="7"/>
      <c r="V2729" s="7"/>
      <c r="W2729" s="7"/>
      <c r="X2729" s="7"/>
      <c r="Y2729" s="7" t="s">
        <v>6772</v>
      </c>
      <c r="Z2729" s="7" t="s">
        <v>6773</v>
      </c>
      <c r="AA2729" s="7"/>
      <c r="AB2729" s="7"/>
      <c r="AC2729" s="7" t="s">
        <v>6769</v>
      </c>
      <c r="AD2729" s="7"/>
      <c r="AE2729" s="7"/>
      <c r="AF2729" s="7"/>
      <c r="AG2729" s="7"/>
      <c r="AH2729" s="7" t="s">
        <v>6770</v>
      </c>
      <c r="AI2729">
        <v>653483</v>
      </c>
      <c r="AK2729">
        <v>653483</v>
      </c>
    </row>
    <row r="2730" spans="1:37" ht="9.75" customHeight="1" x14ac:dyDescent="0.2">
      <c r="A2730" s="7" t="s">
        <v>6657</v>
      </c>
      <c r="B2730" s="7" t="s">
        <v>38</v>
      </c>
      <c r="C2730" s="7"/>
      <c r="D2730" s="7" t="s">
        <v>6774</v>
      </c>
      <c r="E2730" s="8">
        <v>4</v>
      </c>
      <c r="F2730" s="7"/>
      <c r="G2730" s="7"/>
      <c r="H2730" s="9"/>
      <c r="I2730" s="9"/>
      <c r="J2730" s="9"/>
      <c r="K2730" s="9"/>
      <c r="L2730" s="9"/>
      <c r="M2730" s="9"/>
      <c r="N2730" s="9"/>
      <c r="O2730" s="9"/>
      <c r="P2730" s="9"/>
      <c r="Q2730" s="9"/>
      <c r="R2730" s="9"/>
      <c r="S2730" s="7" t="s">
        <v>54</v>
      </c>
      <c r="T2730" s="7" t="s">
        <v>6775</v>
      </c>
      <c r="U2730" s="7"/>
      <c r="V2730" s="7"/>
      <c r="W2730" s="7"/>
      <c r="X2730" s="7"/>
      <c r="Y2730" s="7" t="s">
        <v>6776</v>
      </c>
      <c r="Z2730" s="7" t="s">
        <v>2765</v>
      </c>
      <c r="AA2730" s="7"/>
      <c r="AB2730" s="7"/>
      <c r="AC2730" s="7" t="s">
        <v>6769</v>
      </c>
      <c r="AD2730" s="7"/>
      <c r="AE2730" s="7"/>
      <c r="AF2730" s="7"/>
      <c r="AG2730" s="7"/>
      <c r="AH2730" s="7" t="s">
        <v>6770</v>
      </c>
    </row>
    <row r="2731" spans="1:37" ht="9.75" customHeight="1" x14ac:dyDescent="0.2">
      <c r="A2731" s="7" t="s">
        <v>6657</v>
      </c>
      <c r="B2731" s="7" t="s">
        <v>38</v>
      </c>
      <c r="C2731" s="7"/>
      <c r="D2731" s="7" t="s">
        <v>6777</v>
      </c>
      <c r="E2731" s="8">
        <v>4</v>
      </c>
      <c r="F2731" s="7"/>
      <c r="G2731" s="7" t="s">
        <v>6778</v>
      </c>
      <c r="H2731" s="9"/>
      <c r="I2731" s="9"/>
      <c r="J2731" s="9"/>
      <c r="K2731" s="9"/>
      <c r="L2731" s="9"/>
      <c r="M2731" s="9"/>
      <c r="N2731" s="9"/>
      <c r="O2731" s="9"/>
      <c r="P2731" s="9"/>
      <c r="Q2731" s="9"/>
      <c r="R2731" s="9"/>
      <c r="S2731" s="7" t="s">
        <v>54</v>
      </c>
      <c r="T2731" s="7" t="s">
        <v>6775</v>
      </c>
      <c r="U2731" s="7"/>
      <c r="V2731" s="7"/>
      <c r="W2731" s="7"/>
      <c r="X2731" s="7"/>
      <c r="Y2731" s="7" t="s">
        <v>6779</v>
      </c>
      <c r="Z2731" s="7" t="s">
        <v>2793</v>
      </c>
      <c r="AA2731" s="7"/>
      <c r="AB2731" s="7"/>
      <c r="AC2731" s="7" t="s">
        <v>6769</v>
      </c>
      <c r="AD2731" s="7"/>
      <c r="AE2731" s="7"/>
      <c r="AF2731" s="7"/>
      <c r="AG2731" s="7"/>
      <c r="AH2731" s="7" t="s">
        <v>6770</v>
      </c>
    </row>
    <row r="2732" spans="1:37" ht="9.75" customHeight="1" x14ac:dyDescent="0.2">
      <c r="A2732" s="7" t="s">
        <v>6657</v>
      </c>
      <c r="B2732" s="7" t="s">
        <v>38</v>
      </c>
      <c r="C2732" s="7"/>
      <c r="D2732" s="7" t="s">
        <v>6780</v>
      </c>
      <c r="E2732" s="8">
        <v>4</v>
      </c>
      <c r="F2732" s="7"/>
      <c r="G2732" s="7" t="s">
        <v>6781</v>
      </c>
      <c r="H2732" s="9"/>
      <c r="I2732" s="9"/>
      <c r="J2732" s="9"/>
      <c r="K2732" s="9"/>
      <c r="L2732" s="9"/>
      <c r="M2732" s="9"/>
      <c r="N2732" s="9"/>
      <c r="O2732" s="9"/>
      <c r="P2732" s="9"/>
      <c r="Q2732" s="9"/>
      <c r="R2732" s="9"/>
      <c r="S2732" s="7" t="s">
        <v>54</v>
      </c>
      <c r="T2732" s="7" t="s">
        <v>6775</v>
      </c>
      <c r="U2732" s="7"/>
      <c r="V2732" s="7"/>
      <c r="W2732" s="7"/>
      <c r="X2732" s="7"/>
      <c r="Y2732" s="7" t="s">
        <v>6782</v>
      </c>
      <c r="Z2732" s="7" t="s">
        <v>2824</v>
      </c>
      <c r="AA2732" s="7"/>
      <c r="AB2732" s="7"/>
      <c r="AC2732" s="7" t="s">
        <v>6769</v>
      </c>
      <c r="AD2732" s="7"/>
      <c r="AE2732" s="7"/>
      <c r="AF2732" s="7"/>
      <c r="AG2732" s="7"/>
      <c r="AH2732" s="7" t="s">
        <v>6770</v>
      </c>
    </row>
    <row r="2733" spans="1:37" ht="9.75" customHeight="1" x14ac:dyDescent="0.2">
      <c r="A2733" s="7" t="s">
        <v>6657</v>
      </c>
      <c r="B2733" s="7" t="s">
        <v>38</v>
      </c>
      <c r="C2733" s="7"/>
      <c r="D2733" s="7" t="s">
        <v>6783</v>
      </c>
      <c r="E2733" s="8">
        <v>4</v>
      </c>
      <c r="F2733" s="7"/>
      <c r="G2733" s="7" t="s">
        <v>6784</v>
      </c>
      <c r="H2733" s="9"/>
      <c r="I2733" s="9"/>
      <c r="J2733" s="9"/>
      <c r="K2733" s="9"/>
      <c r="L2733" s="9"/>
      <c r="M2733" s="9"/>
      <c r="N2733" s="9"/>
      <c r="O2733" s="9"/>
      <c r="P2733" s="9"/>
      <c r="Q2733" s="9"/>
      <c r="R2733" s="9"/>
      <c r="S2733" s="7" t="s">
        <v>54</v>
      </c>
      <c r="T2733" s="7" t="s">
        <v>6775</v>
      </c>
      <c r="U2733" s="7"/>
      <c r="V2733" s="7"/>
      <c r="W2733" s="7"/>
      <c r="X2733" s="7"/>
      <c r="Y2733" s="7" t="s">
        <v>6785</v>
      </c>
      <c r="Z2733" s="7" t="s">
        <v>6786</v>
      </c>
      <c r="AA2733" s="7"/>
      <c r="AB2733" s="7"/>
      <c r="AC2733" s="7" t="s">
        <v>6769</v>
      </c>
      <c r="AD2733" s="7" t="s">
        <v>6787</v>
      </c>
      <c r="AE2733" s="7"/>
      <c r="AF2733" s="7"/>
      <c r="AG2733" s="7"/>
      <c r="AH2733" s="7" t="s">
        <v>6770</v>
      </c>
    </row>
    <row r="2734" spans="1:37" ht="9.75" customHeight="1" x14ac:dyDescent="0.2">
      <c r="A2734" s="7" t="s">
        <v>6657</v>
      </c>
      <c r="B2734" s="7" t="s">
        <v>38</v>
      </c>
      <c r="C2734" s="7"/>
      <c r="D2734" s="7" t="s">
        <v>6788</v>
      </c>
      <c r="E2734" s="8">
        <v>4</v>
      </c>
      <c r="F2734" s="7"/>
      <c r="G2734" s="7"/>
      <c r="H2734" s="9"/>
      <c r="I2734" s="9"/>
      <c r="J2734" s="9"/>
      <c r="K2734" s="9"/>
      <c r="L2734" s="9"/>
      <c r="M2734" s="9"/>
      <c r="N2734" s="9"/>
      <c r="O2734" s="9"/>
      <c r="P2734" s="9"/>
      <c r="Q2734" s="9"/>
      <c r="R2734" s="9"/>
      <c r="S2734" s="7" t="s">
        <v>54</v>
      </c>
      <c r="T2734" s="7" t="s">
        <v>6775</v>
      </c>
      <c r="U2734" s="7" t="s">
        <v>44</v>
      </c>
      <c r="V2734" s="7" t="s">
        <v>45</v>
      </c>
      <c r="W2734" s="7" t="s">
        <v>130</v>
      </c>
      <c r="X2734" s="7"/>
      <c r="Y2734" s="7" t="s">
        <v>6789</v>
      </c>
      <c r="Z2734" s="7" t="s">
        <v>3005</v>
      </c>
      <c r="AA2734" s="7"/>
      <c r="AB2734" s="7"/>
      <c r="AC2734" s="7" t="s">
        <v>6769</v>
      </c>
      <c r="AD2734" s="7" t="s">
        <v>6787</v>
      </c>
      <c r="AE2734" s="7"/>
      <c r="AF2734" s="7"/>
      <c r="AG2734" s="7"/>
      <c r="AH2734" s="7" t="s">
        <v>6770</v>
      </c>
    </row>
    <row r="2735" spans="1:37" ht="9.75" customHeight="1" x14ac:dyDescent="0.2">
      <c r="A2735" s="7" t="s">
        <v>6657</v>
      </c>
      <c r="B2735" s="7" t="s">
        <v>38</v>
      </c>
      <c r="C2735" s="7" t="s">
        <v>6790</v>
      </c>
      <c r="D2735" s="7" t="s">
        <v>6791</v>
      </c>
      <c r="E2735" s="8">
        <v>4</v>
      </c>
      <c r="F2735" s="7"/>
      <c r="G2735" s="7" t="s">
        <v>6792</v>
      </c>
      <c r="H2735" s="9"/>
      <c r="I2735" s="10">
        <v>367452</v>
      </c>
      <c r="J2735" s="10">
        <v>362099</v>
      </c>
      <c r="K2735" s="9"/>
      <c r="L2735" s="10">
        <v>379908</v>
      </c>
      <c r="M2735" s="10">
        <v>0</v>
      </c>
      <c r="N2735" s="10">
        <v>379908</v>
      </c>
      <c r="O2735" s="9"/>
      <c r="P2735" s="10"/>
      <c r="Q2735" s="10"/>
      <c r="R2735" s="10"/>
      <c r="S2735" s="7" t="s">
        <v>43</v>
      </c>
      <c r="T2735" s="7"/>
      <c r="U2735" s="7"/>
      <c r="V2735" s="7"/>
      <c r="W2735" s="7"/>
      <c r="X2735" s="7"/>
      <c r="Y2735" s="7" t="s">
        <v>6793</v>
      </c>
      <c r="Z2735" s="7" t="s">
        <v>3054</v>
      </c>
      <c r="AA2735" s="7"/>
      <c r="AB2735" s="7"/>
      <c r="AC2735" s="7" t="s">
        <v>6790</v>
      </c>
      <c r="AD2735" s="7" t="s">
        <v>6791</v>
      </c>
      <c r="AE2735" s="7"/>
      <c r="AF2735" s="7"/>
      <c r="AG2735" s="7"/>
      <c r="AH2735" s="7" t="s">
        <v>6791</v>
      </c>
      <c r="AI2735">
        <v>701667</v>
      </c>
      <c r="AK2735">
        <v>701667</v>
      </c>
    </row>
    <row r="2736" spans="1:37" ht="9.75" customHeight="1" x14ac:dyDescent="0.2">
      <c r="A2736" s="7" t="s">
        <v>6657</v>
      </c>
      <c r="B2736" s="7" t="s">
        <v>38</v>
      </c>
      <c r="C2736" s="7"/>
      <c r="D2736" s="7" t="s">
        <v>6794</v>
      </c>
      <c r="E2736" s="8">
        <v>4</v>
      </c>
      <c r="F2736" s="7"/>
      <c r="G2736" s="7"/>
      <c r="H2736" s="9"/>
      <c r="I2736" s="9"/>
      <c r="J2736" s="9"/>
      <c r="K2736" s="9"/>
      <c r="L2736" s="9"/>
      <c r="M2736" s="9"/>
      <c r="N2736" s="9"/>
      <c r="O2736" s="9"/>
      <c r="P2736" s="9"/>
      <c r="Q2736" s="9"/>
      <c r="R2736" s="9"/>
      <c r="S2736" s="7" t="s">
        <v>54</v>
      </c>
      <c r="T2736" s="7" t="s">
        <v>6795</v>
      </c>
      <c r="U2736" s="7"/>
      <c r="V2736" s="7"/>
      <c r="W2736" s="7"/>
      <c r="X2736" s="7"/>
      <c r="Y2736" s="7" t="s">
        <v>6796</v>
      </c>
      <c r="Z2736" s="7" t="s">
        <v>6797</v>
      </c>
      <c r="AA2736" s="7"/>
      <c r="AB2736" s="7"/>
      <c r="AC2736" s="7" t="s">
        <v>6790</v>
      </c>
      <c r="AD2736" s="7"/>
      <c r="AE2736" s="7"/>
      <c r="AF2736" s="7"/>
      <c r="AG2736" s="7"/>
      <c r="AH2736" s="7" t="s">
        <v>6791</v>
      </c>
    </row>
    <row r="2737" spans="1:37" ht="9.75" customHeight="1" x14ac:dyDescent="0.2">
      <c r="A2737" s="7" t="s">
        <v>6657</v>
      </c>
      <c r="B2737" s="7" t="s">
        <v>38</v>
      </c>
      <c r="C2737" s="7"/>
      <c r="D2737" s="7" t="s">
        <v>6798</v>
      </c>
      <c r="E2737" s="8">
        <v>4</v>
      </c>
      <c r="F2737" s="7"/>
      <c r="G2737" s="7"/>
      <c r="H2737" s="9"/>
      <c r="I2737" s="9"/>
      <c r="J2737" s="9"/>
      <c r="K2737" s="9"/>
      <c r="L2737" s="9"/>
      <c r="M2737" s="9"/>
      <c r="N2737" s="9"/>
      <c r="O2737" s="9"/>
      <c r="P2737" s="9"/>
      <c r="Q2737" s="9"/>
      <c r="R2737" s="9"/>
      <c r="S2737" s="7" t="s">
        <v>54</v>
      </c>
      <c r="T2737" s="7" t="s">
        <v>6795</v>
      </c>
      <c r="U2737" s="7"/>
      <c r="V2737" s="7"/>
      <c r="W2737" s="7"/>
      <c r="X2737" s="7"/>
      <c r="Y2737" s="7" t="s">
        <v>6799</v>
      </c>
      <c r="Z2737" s="7" t="s">
        <v>6800</v>
      </c>
      <c r="AA2737" s="7"/>
      <c r="AB2737" s="7"/>
      <c r="AC2737" s="7" t="s">
        <v>6790</v>
      </c>
      <c r="AD2737" s="7" t="s">
        <v>6801</v>
      </c>
      <c r="AE2737" s="7"/>
      <c r="AF2737" s="7"/>
      <c r="AG2737" s="7"/>
      <c r="AH2737" s="7" t="s">
        <v>6791</v>
      </c>
    </row>
    <row r="2738" spans="1:37" ht="9.75" customHeight="1" x14ac:dyDescent="0.2">
      <c r="A2738" s="7" t="s">
        <v>6657</v>
      </c>
      <c r="B2738" s="7" t="s">
        <v>38</v>
      </c>
      <c r="C2738" s="7"/>
      <c r="D2738" s="7" t="s">
        <v>6802</v>
      </c>
      <c r="E2738" s="8">
        <v>4</v>
      </c>
      <c r="F2738" s="7"/>
      <c r="G2738" s="7"/>
      <c r="H2738" s="9"/>
      <c r="I2738" s="9"/>
      <c r="J2738" s="9"/>
      <c r="K2738" s="9"/>
      <c r="L2738" s="9"/>
      <c r="M2738" s="9"/>
      <c r="N2738" s="9"/>
      <c r="O2738" s="9"/>
      <c r="P2738" s="9"/>
      <c r="Q2738" s="9"/>
      <c r="R2738" s="9"/>
      <c r="S2738" s="7" t="s">
        <v>54</v>
      </c>
      <c r="T2738" s="7" t="s">
        <v>6795</v>
      </c>
      <c r="U2738" s="7"/>
      <c r="V2738" s="7"/>
      <c r="W2738" s="7"/>
      <c r="X2738" s="7"/>
      <c r="Y2738" s="7" t="s">
        <v>6803</v>
      </c>
      <c r="Z2738" s="7" t="s">
        <v>3418</v>
      </c>
      <c r="AA2738" s="7"/>
      <c r="AB2738" s="7"/>
      <c r="AC2738" s="7" t="s">
        <v>6790</v>
      </c>
      <c r="AD2738" s="7" t="s">
        <v>1543</v>
      </c>
      <c r="AE2738" s="7"/>
      <c r="AF2738" s="7"/>
      <c r="AG2738" s="7"/>
      <c r="AH2738" s="7" t="s">
        <v>6791</v>
      </c>
    </row>
    <row r="2739" spans="1:37" ht="9.75" customHeight="1" x14ac:dyDescent="0.2">
      <c r="A2739" s="7" t="s">
        <v>6657</v>
      </c>
      <c r="B2739" s="7" t="s">
        <v>38</v>
      </c>
      <c r="C2739" s="7"/>
      <c r="D2739" s="7" t="s">
        <v>6804</v>
      </c>
      <c r="E2739" s="8">
        <v>4</v>
      </c>
      <c r="F2739" s="7"/>
      <c r="G2739" s="7"/>
      <c r="H2739" s="9"/>
      <c r="I2739" s="9"/>
      <c r="J2739" s="9"/>
      <c r="K2739" s="9"/>
      <c r="L2739" s="9"/>
      <c r="M2739" s="9"/>
      <c r="N2739" s="9"/>
      <c r="O2739" s="9"/>
      <c r="P2739" s="9"/>
      <c r="Q2739" s="9"/>
      <c r="R2739" s="9"/>
      <c r="S2739" s="7" t="s">
        <v>54</v>
      </c>
      <c r="T2739" s="7" t="s">
        <v>6795</v>
      </c>
      <c r="U2739" s="7"/>
      <c r="V2739" s="7"/>
      <c r="W2739" s="7"/>
      <c r="X2739" s="7"/>
      <c r="Y2739" s="7" t="s">
        <v>6805</v>
      </c>
      <c r="Z2739" s="7" t="s">
        <v>3066</v>
      </c>
      <c r="AA2739" s="7"/>
      <c r="AB2739" s="7"/>
      <c r="AC2739" s="7" t="s">
        <v>6790</v>
      </c>
      <c r="AD2739" s="7"/>
      <c r="AE2739" s="7"/>
      <c r="AF2739" s="7"/>
      <c r="AG2739" s="7"/>
      <c r="AH2739" s="7" t="s">
        <v>6791</v>
      </c>
    </row>
    <row r="2740" spans="1:37" ht="9.75" customHeight="1" x14ac:dyDescent="0.2">
      <c r="A2740" s="7" t="s">
        <v>6657</v>
      </c>
      <c r="B2740" s="7" t="s">
        <v>38</v>
      </c>
      <c r="C2740" s="7" t="s">
        <v>6806</v>
      </c>
      <c r="D2740" s="7" t="s">
        <v>6807</v>
      </c>
      <c r="E2740" s="8">
        <v>4</v>
      </c>
      <c r="F2740" s="7"/>
      <c r="G2740" s="7" t="s">
        <v>6808</v>
      </c>
      <c r="H2740" s="9"/>
      <c r="I2740" s="10">
        <v>4079</v>
      </c>
      <c r="J2740" s="10">
        <v>4680</v>
      </c>
      <c r="K2740" s="9"/>
      <c r="L2740" s="10">
        <v>13008</v>
      </c>
      <c r="M2740" s="10">
        <v>0</v>
      </c>
      <c r="N2740" s="10">
        <v>13008</v>
      </c>
      <c r="O2740" s="9"/>
      <c r="P2740" s="10"/>
      <c r="Q2740" s="10"/>
      <c r="R2740" s="10"/>
      <c r="S2740" s="7"/>
      <c r="T2740" s="7"/>
      <c r="U2740" s="7"/>
      <c r="V2740" s="7"/>
      <c r="W2740" s="7"/>
      <c r="X2740" s="7"/>
      <c r="Y2740" s="7" t="s">
        <v>6809</v>
      </c>
      <c r="Z2740" s="7" t="s">
        <v>3500</v>
      </c>
      <c r="AA2740" s="7"/>
      <c r="AB2740" s="7"/>
      <c r="AC2740" s="7" t="s">
        <v>6806</v>
      </c>
      <c r="AD2740" s="7" t="s">
        <v>6810</v>
      </c>
      <c r="AE2740" s="7"/>
      <c r="AF2740" s="7"/>
      <c r="AG2740" s="7"/>
      <c r="AH2740" s="7" t="s">
        <v>6811</v>
      </c>
      <c r="AI2740">
        <v>8652</v>
      </c>
      <c r="AK2740">
        <v>8652</v>
      </c>
    </row>
    <row r="2741" spans="1:37" ht="9.75" customHeight="1" x14ac:dyDescent="0.2">
      <c r="A2741" s="7" t="s">
        <v>6657</v>
      </c>
      <c r="B2741" s="7" t="s">
        <v>38</v>
      </c>
      <c r="C2741" s="7" t="s">
        <v>6812</v>
      </c>
      <c r="D2741" s="7" t="s">
        <v>6813</v>
      </c>
      <c r="E2741" s="8">
        <v>4</v>
      </c>
      <c r="F2741" s="7"/>
      <c r="G2741" s="7" t="s">
        <v>6814</v>
      </c>
      <c r="H2741" s="9"/>
      <c r="I2741" s="10">
        <v>37652</v>
      </c>
      <c r="J2741" s="10">
        <v>26644</v>
      </c>
      <c r="K2741" s="9"/>
      <c r="L2741" s="10">
        <v>26648</v>
      </c>
      <c r="M2741" s="10">
        <v>0</v>
      </c>
      <c r="N2741" s="10">
        <v>26648</v>
      </c>
      <c r="O2741" s="9"/>
      <c r="P2741" s="10"/>
      <c r="Q2741" s="10"/>
      <c r="R2741" s="10"/>
      <c r="S2741" s="7" t="s">
        <v>43</v>
      </c>
      <c r="T2741" s="7"/>
      <c r="U2741" s="7"/>
      <c r="V2741" s="7"/>
      <c r="W2741" s="7"/>
      <c r="X2741" s="7"/>
      <c r="Y2741" s="7" t="s">
        <v>6815</v>
      </c>
      <c r="Z2741" s="7" t="s">
        <v>174</v>
      </c>
      <c r="AA2741" s="7"/>
      <c r="AB2741" s="7"/>
      <c r="AC2741" s="7" t="s">
        <v>6812</v>
      </c>
      <c r="AD2741" s="7"/>
      <c r="AE2741" s="7"/>
      <c r="AF2741" s="7"/>
      <c r="AG2741" s="7"/>
      <c r="AH2741" s="7" t="s">
        <v>6813</v>
      </c>
      <c r="AI2741">
        <v>33932</v>
      </c>
      <c r="AK2741">
        <v>33932</v>
      </c>
    </row>
    <row r="2742" spans="1:37" ht="9.75" customHeight="1" x14ac:dyDescent="0.2">
      <c r="A2742" s="7" t="s">
        <v>6657</v>
      </c>
      <c r="B2742" s="7" t="s">
        <v>38</v>
      </c>
      <c r="C2742" s="7" t="s">
        <v>6816</v>
      </c>
      <c r="D2742" s="7" t="s">
        <v>6817</v>
      </c>
      <c r="E2742" s="8">
        <v>6</v>
      </c>
      <c r="F2742" s="7"/>
      <c r="G2742" s="7" t="s">
        <v>6818</v>
      </c>
      <c r="H2742" s="9"/>
      <c r="I2742" s="10">
        <v>14105</v>
      </c>
      <c r="J2742" s="10">
        <v>13614</v>
      </c>
      <c r="K2742" s="9"/>
      <c r="L2742" s="10">
        <v>7972</v>
      </c>
      <c r="M2742" s="10">
        <v>0</v>
      </c>
      <c r="N2742" s="10">
        <v>7972</v>
      </c>
      <c r="O2742" s="9"/>
      <c r="P2742" s="10"/>
      <c r="Q2742" s="10"/>
      <c r="R2742" s="10"/>
      <c r="S2742" s="7"/>
      <c r="T2742" s="7"/>
      <c r="U2742" s="7"/>
      <c r="V2742" s="7"/>
      <c r="W2742" s="7"/>
      <c r="X2742" s="7"/>
      <c r="Y2742" s="7" t="s">
        <v>6819</v>
      </c>
      <c r="Z2742" s="7" t="s">
        <v>3737</v>
      </c>
      <c r="AA2742" s="7"/>
      <c r="AB2742" s="7"/>
      <c r="AC2742" s="7" t="s">
        <v>6816</v>
      </c>
      <c r="AD2742" s="7"/>
      <c r="AE2742" s="7"/>
      <c r="AF2742" s="7"/>
      <c r="AG2742" s="7"/>
      <c r="AH2742" s="7" t="s">
        <v>6820</v>
      </c>
      <c r="AI2742">
        <v>10108</v>
      </c>
      <c r="AK2742">
        <v>10108</v>
      </c>
    </row>
    <row r="2743" spans="1:37" ht="9.75" customHeight="1" x14ac:dyDescent="0.2">
      <c r="A2743" s="7" t="s">
        <v>6657</v>
      </c>
      <c r="B2743" s="7" t="s">
        <v>38</v>
      </c>
      <c r="C2743" s="7" t="s">
        <v>6821</v>
      </c>
      <c r="D2743" s="7" t="s">
        <v>6822</v>
      </c>
      <c r="E2743" s="8">
        <v>4</v>
      </c>
      <c r="F2743" s="7"/>
      <c r="G2743" s="7" t="s">
        <v>6823</v>
      </c>
      <c r="H2743" s="9"/>
      <c r="I2743" s="10">
        <v>50115</v>
      </c>
      <c r="J2743" s="10">
        <v>68458</v>
      </c>
      <c r="K2743" s="9"/>
      <c r="L2743" s="10">
        <v>58739</v>
      </c>
      <c r="M2743" s="10">
        <v>0</v>
      </c>
      <c r="N2743" s="10">
        <v>58739</v>
      </c>
      <c r="O2743" s="9"/>
      <c r="P2743" s="10"/>
      <c r="Q2743" s="10"/>
      <c r="R2743" s="10"/>
      <c r="S2743" s="7"/>
      <c r="T2743" s="7"/>
      <c r="U2743" s="7"/>
      <c r="V2743" s="7"/>
      <c r="W2743" s="7"/>
      <c r="X2743" s="7"/>
      <c r="Y2743" s="7" t="s">
        <v>6824</v>
      </c>
      <c r="Z2743" s="7" t="s">
        <v>3973</v>
      </c>
      <c r="AA2743" s="7"/>
      <c r="AB2743" s="7"/>
      <c r="AC2743" s="7" t="s">
        <v>6821</v>
      </c>
      <c r="AD2743" s="7" t="s">
        <v>6825</v>
      </c>
      <c r="AE2743" s="7"/>
      <c r="AF2743" s="7"/>
      <c r="AG2743" s="7"/>
      <c r="AH2743" s="7" t="s">
        <v>6825</v>
      </c>
      <c r="AI2743">
        <v>52758</v>
      </c>
      <c r="AK2743">
        <v>52758</v>
      </c>
    </row>
    <row r="2744" spans="1:37" ht="9.75" customHeight="1" x14ac:dyDescent="0.2">
      <c r="A2744" s="7" t="s">
        <v>6657</v>
      </c>
      <c r="B2744" s="7" t="s">
        <v>38</v>
      </c>
      <c r="C2744" s="7" t="s">
        <v>6826</v>
      </c>
      <c r="D2744" s="7" t="s">
        <v>6827</v>
      </c>
      <c r="E2744" s="8">
        <v>4</v>
      </c>
      <c r="F2744" s="7"/>
      <c r="G2744" s="7" t="s">
        <v>6828</v>
      </c>
      <c r="H2744" s="9"/>
      <c r="I2744" s="10">
        <v>3915</v>
      </c>
      <c r="J2744" s="10">
        <v>3645</v>
      </c>
      <c r="K2744" s="9"/>
      <c r="L2744" s="10">
        <v>3489</v>
      </c>
      <c r="M2744" s="10">
        <v>0</v>
      </c>
      <c r="N2744" s="10">
        <v>3489</v>
      </c>
      <c r="O2744" s="9"/>
      <c r="P2744" s="10"/>
      <c r="Q2744" s="10"/>
      <c r="R2744" s="10"/>
      <c r="S2744" s="7"/>
      <c r="T2744" s="7"/>
      <c r="U2744" s="7"/>
      <c r="V2744" s="7"/>
      <c r="W2744" s="7"/>
      <c r="X2744" s="7"/>
      <c r="Y2744" s="7" t="s">
        <v>6829</v>
      </c>
      <c r="Z2744" s="7" t="s">
        <v>206</v>
      </c>
      <c r="AA2744" s="7"/>
      <c r="AB2744" s="7"/>
      <c r="AC2744" s="7" t="s">
        <v>6826</v>
      </c>
      <c r="AD2744" s="7" t="s">
        <v>6827</v>
      </c>
      <c r="AE2744" s="7"/>
      <c r="AF2744" s="7"/>
      <c r="AG2744" s="7"/>
      <c r="AH2744" s="7" t="s">
        <v>6827</v>
      </c>
      <c r="AI2744">
        <v>16167</v>
      </c>
      <c r="AK2744">
        <v>16167</v>
      </c>
    </row>
    <row r="2745" spans="1:37" ht="9.75" customHeight="1" x14ac:dyDescent="0.2">
      <c r="A2745" s="7" t="s">
        <v>6657</v>
      </c>
      <c r="B2745" s="7" t="s">
        <v>38</v>
      </c>
      <c r="C2745" s="7" t="s">
        <v>6830</v>
      </c>
      <c r="D2745" s="7" t="s">
        <v>6831</v>
      </c>
      <c r="E2745" s="8">
        <v>4</v>
      </c>
      <c r="F2745" s="7"/>
      <c r="G2745" s="7" t="s">
        <v>6832</v>
      </c>
      <c r="H2745" s="9"/>
      <c r="I2745" s="10">
        <v>16803</v>
      </c>
      <c r="J2745" s="10">
        <v>16812</v>
      </c>
      <c r="K2745" s="9"/>
      <c r="L2745" s="10">
        <v>16426</v>
      </c>
      <c r="M2745" s="10">
        <v>0</v>
      </c>
      <c r="N2745" s="10">
        <v>16426</v>
      </c>
      <c r="O2745" s="9"/>
      <c r="P2745" s="10"/>
      <c r="Q2745" s="10"/>
      <c r="R2745" s="10"/>
      <c r="S2745" s="7"/>
      <c r="T2745" s="7"/>
      <c r="U2745" s="7"/>
      <c r="V2745" s="7"/>
      <c r="W2745" s="7"/>
      <c r="X2745" s="7"/>
      <c r="Y2745" s="7" t="s">
        <v>6833</v>
      </c>
      <c r="Z2745" s="7" t="s">
        <v>4140</v>
      </c>
      <c r="AA2745" s="7"/>
      <c r="AB2745" s="7"/>
      <c r="AC2745" s="7" t="s">
        <v>6830</v>
      </c>
      <c r="AD2745" s="7" t="s">
        <v>6834</v>
      </c>
      <c r="AE2745" s="7"/>
      <c r="AF2745" s="7"/>
      <c r="AG2745" s="7"/>
      <c r="AH2745" s="7" t="s">
        <v>6831</v>
      </c>
      <c r="AI2745">
        <v>14879</v>
      </c>
      <c r="AK2745">
        <v>14879</v>
      </c>
    </row>
    <row r="2746" spans="1:37" ht="9.75" customHeight="1" x14ac:dyDescent="0.2">
      <c r="A2746" s="7" t="s">
        <v>6657</v>
      </c>
      <c r="B2746" s="7" t="s">
        <v>38</v>
      </c>
      <c r="C2746" s="7" t="s">
        <v>6835</v>
      </c>
      <c r="D2746" s="7" t="s">
        <v>6836</v>
      </c>
      <c r="E2746" s="8">
        <v>4</v>
      </c>
      <c r="F2746" s="7"/>
      <c r="G2746" s="7" t="s">
        <v>6837</v>
      </c>
      <c r="H2746" s="9"/>
      <c r="I2746" s="10">
        <v>37294</v>
      </c>
      <c r="J2746" s="10">
        <v>37964</v>
      </c>
      <c r="K2746" s="9"/>
      <c r="L2746" s="10">
        <v>45701</v>
      </c>
      <c r="M2746" s="10">
        <v>0</v>
      </c>
      <c r="N2746" s="10">
        <v>45701</v>
      </c>
      <c r="O2746" s="9"/>
      <c r="P2746" s="10"/>
      <c r="Q2746" s="10"/>
      <c r="R2746" s="10"/>
      <c r="S2746" s="7"/>
      <c r="T2746" s="7"/>
      <c r="U2746" s="7"/>
      <c r="V2746" s="7"/>
      <c r="W2746" s="7"/>
      <c r="X2746" s="7"/>
      <c r="Y2746" s="7" t="s">
        <v>6838</v>
      </c>
      <c r="Z2746" s="7" t="s">
        <v>4152</v>
      </c>
      <c r="AA2746" s="7"/>
      <c r="AB2746" s="7"/>
      <c r="AC2746" s="7" t="s">
        <v>6835</v>
      </c>
      <c r="AD2746" s="7" t="s">
        <v>6836</v>
      </c>
      <c r="AE2746" s="7"/>
      <c r="AF2746" s="7"/>
      <c r="AG2746" s="7"/>
      <c r="AH2746" s="7" t="s">
        <v>6836</v>
      </c>
      <c r="AI2746">
        <v>43097</v>
      </c>
      <c r="AK2746">
        <v>43097</v>
      </c>
    </row>
    <row r="2747" spans="1:37" ht="9.75" customHeight="1" x14ac:dyDescent="0.2">
      <c r="A2747" s="7" t="s">
        <v>6657</v>
      </c>
      <c r="B2747" s="7" t="s">
        <v>38</v>
      </c>
      <c r="C2747" s="7" t="s">
        <v>6839</v>
      </c>
      <c r="D2747" s="7" t="s">
        <v>6840</v>
      </c>
      <c r="E2747" s="8">
        <v>4</v>
      </c>
      <c r="F2747" s="7"/>
      <c r="G2747" s="7" t="s">
        <v>6841</v>
      </c>
      <c r="H2747" s="9"/>
      <c r="I2747" s="10">
        <v>2748</v>
      </c>
      <c r="J2747" s="10">
        <v>3803</v>
      </c>
      <c r="K2747" s="9"/>
      <c r="L2747" s="10">
        <v>304</v>
      </c>
      <c r="M2747" s="10">
        <v>0</v>
      </c>
      <c r="N2747" s="10">
        <v>304</v>
      </c>
      <c r="O2747" s="9"/>
      <c r="P2747" s="10"/>
      <c r="Q2747" s="10"/>
      <c r="R2747" s="10"/>
      <c r="S2747" s="7"/>
      <c r="T2747" s="7"/>
      <c r="U2747" s="7"/>
      <c r="V2747" s="7"/>
      <c r="W2747" s="7"/>
      <c r="X2747" s="7"/>
      <c r="Y2747" s="7" t="s">
        <v>6842</v>
      </c>
      <c r="Z2747" s="7" t="s">
        <v>4248</v>
      </c>
      <c r="AA2747" s="7"/>
      <c r="AB2747" s="7"/>
      <c r="AC2747" s="7" t="s">
        <v>6839</v>
      </c>
      <c r="AD2747" s="7" t="s">
        <v>6840</v>
      </c>
      <c r="AE2747" s="7"/>
      <c r="AF2747" s="7"/>
      <c r="AG2747" s="7"/>
      <c r="AH2747" s="7" t="s">
        <v>6840</v>
      </c>
      <c r="AI2747">
        <v>289</v>
      </c>
      <c r="AK2747">
        <v>289</v>
      </c>
    </row>
    <row r="2748" spans="1:37" ht="9.75" customHeight="1" x14ac:dyDescent="0.2">
      <c r="A2748" s="7" t="s">
        <v>6657</v>
      </c>
      <c r="B2748" s="7" t="s">
        <v>38</v>
      </c>
      <c r="C2748" s="7" t="s">
        <v>6843</v>
      </c>
      <c r="D2748" s="7" t="s">
        <v>6520</v>
      </c>
      <c r="E2748" s="8">
        <v>4</v>
      </c>
      <c r="F2748" s="7"/>
      <c r="G2748" s="7" t="s">
        <v>6844</v>
      </c>
      <c r="H2748" s="9"/>
      <c r="I2748" s="10">
        <v>6433</v>
      </c>
      <c r="J2748" s="10">
        <v>0</v>
      </c>
      <c r="K2748" s="9"/>
      <c r="L2748" s="10">
        <v>0</v>
      </c>
      <c r="M2748" s="10">
        <v>0</v>
      </c>
      <c r="N2748" s="10">
        <v>0</v>
      </c>
      <c r="O2748" s="9"/>
      <c r="P2748" s="10"/>
      <c r="Q2748" s="10"/>
      <c r="R2748" s="10"/>
      <c r="S2748" s="7" t="s">
        <v>407</v>
      </c>
      <c r="T2748" s="7" t="s">
        <v>6845</v>
      </c>
      <c r="U2748" s="7" t="s">
        <v>44</v>
      </c>
      <c r="V2748" s="7" t="s">
        <v>45</v>
      </c>
      <c r="W2748" s="7" t="s">
        <v>46</v>
      </c>
      <c r="X2748" s="7" t="s">
        <v>4856</v>
      </c>
      <c r="Y2748" s="7" t="s">
        <v>6846</v>
      </c>
      <c r="Z2748" s="7" t="s">
        <v>267</v>
      </c>
      <c r="AA2748" s="7"/>
      <c r="AB2748" s="7"/>
      <c r="AC2748" s="7" t="s">
        <v>6843</v>
      </c>
      <c r="AD2748" s="7" t="s">
        <v>6847</v>
      </c>
      <c r="AE2748" s="7"/>
      <c r="AF2748" s="7"/>
      <c r="AG2748" s="7"/>
      <c r="AH2748" s="7" t="s">
        <v>6520</v>
      </c>
    </row>
    <row r="2749" spans="1:37" ht="9.75" customHeight="1" x14ac:dyDescent="0.2">
      <c r="A2749" s="7" t="s">
        <v>6657</v>
      </c>
      <c r="B2749" s="7" t="s">
        <v>38</v>
      </c>
      <c r="C2749" s="7" t="s">
        <v>6848</v>
      </c>
      <c r="D2749" s="7" t="s">
        <v>6849</v>
      </c>
      <c r="E2749" s="8">
        <v>4</v>
      </c>
      <c r="F2749" s="7"/>
      <c r="G2749" s="7" t="s">
        <v>6850</v>
      </c>
      <c r="H2749" s="9"/>
      <c r="I2749" s="10">
        <v>88114</v>
      </c>
      <c r="J2749" s="10">
        <v>90586</v>
      </c>
      <c r="K2749" s="9"/>
      <c r="L2749" s="10">
        <v>97262</v>
      </c>
      <c r="M2749" s="10">
        <v>0</v>
      </c>
      <c r="N2749" s="10">
        <v>97262</v>
      </c>
      <c r="O2749" s="9"/>
      <c r="P2749" s="10"/>
      <c r="Q2749" s="10"/>
      <c r="R2749" s="10"/>
      <c r="S2749" s="7"/>
      <c r="T2749" s="7"/>
      <c r="U2749" s="7"/>
      <c r="V2749" s="7"/>
      <c r="W2749" s="7"/>
      <c r="X2749" s="7"/>
      <c r="Y2749" s="7" t="s">
        <v>6851</v>
      </c>
      <c r="Z2749" s="7" t="s">
        <v>276</v>
      </c>
      <c r="AA2749" s="7"/>
      <c r="AB2749" s="7"/>
      <c r="AC2749" s="7" t="s">
        <v>6848</v>
      </c>
      <c r="AD2749" s="7"/>
      <c r="AE2749" s="7"/>
      <c r="AF2749" s="7"/>
      <c r="AG2749" s="7"/>
      <c r="AH2749" s="7" t="s">
        <v>6849</v>
      </c>
      <c r="AI2749">
        <v>83057</v>
      </c>
      <c r="AK2749">
        <v>83057</v>
      </c>
    </row>
    <row r="2750" spans="1:37" ht="9.75" customHeight="1" x14ac:dyDescent="0.2">
      <c r="A2750" s="7" t="s">
        <v>6657</v>
      </c>
      <c r="B2750" s="7" t="s">
        <v>38</v>
      </c>
      <c r="C2750" s="7" t="s">
        <v>6852</v>
      </c>
      <c r="D2750" s="7" t="s">
        <v>6853</v>
      </c>
      <c r="E2750" s="8">
        <v>4</v>
      </c>
      <c r="F2750" s="7"/>
      <c r="G2750" s="7" t="s">
        <v>6854</v>
      </c>
      <c r="H2750" s="9"/>
      <c r="I2750" s="10">
        <v>88309</v>
      </c>
      <c r="J2750" s="10">
        <v>75508</v>
      </c>
      <c r="K2750" s="9"/>
      <c r="L2750" s="10">
        <v>72104</v>
      </c>
      <c r="M2750" s="10">
        <v>0</v>
      </c>
      <c r="N2750" s="10">
        <v>72104</v>
      </c>
      <c r="O2750" s="9"/>
      <c r="P2750" s="10"/>
      <c r="Q2750" s="10"/>
      <c r="R2750" s="10"/>
      <c r="S2750" s="7" t="s">
        <v>43</v>
      </c>
      <c r="T2750" s="7"/>
      <c r="U2750" s="7"/>
      <c r="V2750" s="7"/>
      <c r="W2750" s="7"/>
      <c r="X2750" s="7"/>
      <c r="Y2750" s="7" t="s">
        <v>6855</v>
      </c>
      <c r="Z2750" s="7" t="s">
        <v>6856</v>
      </c>
      <c r="AA2750" s="7"/>
      <c r="AB2750" s="7"/>
      <c r="AC2750" s="7" t="s">
        <v>6852</v>
      </c>
      <c r="AD2750" s="7"/>
      <c r="AE2750" s="7"/>
      <c r="AF2750" s="7"/>
      <c r="AG2750" s="7"/>
      <c r="AH2750" s="7" t="s">
        <v>6853</v>
      </c>
      <c r="AI2750">
        <v>62581</v>
      </c>
      <c r="AK2750">
        <v>62581</v>
      </c>
    </row>
    <row r="2751" spans="1:37" ht="9.75" customHeight="1" x14ac:dyDescent="0.2">
      <c r="A2751" s="7" t="s">
        <v>6657</v>
      </c>
      <c r="B2751" s="7" t="s">
        <v>38</v>
      </c>
      <c r="C2751" s="7"/>
      <c r="D2751" s="7" t="s">
        <v>6857</v>
      </c>
      <c r="E2751" s="8">
        <v>4</v>
      </c>
      <c r="F2751" s="7"/>
      <c r="G2751" s="7"/>
      <c r="H2751" s="9"/>
      <c r="I2751" s="9"/>
      <c r="J2751" s="9"/>
      <c r="K2751" s="9"/>
      <c r="L2751" s="9"/>
      <c r="M2751" s="9"/>
      <c r="N2751" s="9"/>
      <c r="O2751" s="9"/>
      <c r="P2751" s="9"/>
      <c r="Q2751" s="9"/>
      <c r="R2751" s="9"/>
      <c r="S2751" s="7" t="s">
        <v>54</v>
      </c>
      <c r="T2751" s="7" t="s">
        <v>6858</v>
      </c>
      <c r="U2751" s="7"/>
      <c r="V2751" s="7"/>
      <c r="W2751" s="7"/>
      <c r="X2751" s="7"/>
      <c r="Y2751" s="7" t="s">
        <v>6859</v>
      </c>
      <c r="Z2751" s="7" t="s">
        <v>6860</v>
      </c>
      <c r="AA2751" s="7"/>
      <c r="AB2751" s="7"/>
      <c r="AC2751" s="7" t="s">
        <v>6852</v>
      </c>
      <c r="AD2751" s="7"/>
      <c r="AE2751" s="7"/>
      <c r="AF2751" s="7"/>
      <c r="AG2751" s="7"/>
      <c r="AH2751" s="7" t="s">
        <v>6853</v>
      </c>
    </row>
    <row r="2752" spans="1:37" ht="9.75" customHeight="1" x14ac:dyDescent="0.2">
      <c r="A2752" s="7" t="s">
        <v>6657</v>
      </c>
      <c r="B2752" s="7" t="s">
        <v>38</v>
      </c>
      <c r="C2752" s="7"/>
      <c r="D2752" s="7" t="s">
        <v>6861</v>
      </c>
      <c r="E2752" s="8">
        <v>4</v>
      </c>
      <c r="F2752" s="7"/>
      <c r="G2752" s="7"/>
      <c r="H2752" s="9"/>
      <c r="I2752" s="9"/>
      <c r="J2752" s="9"/>
      <c r="K2752" s="9"/>
      <c r="L2752" s="9"/>
      <c r="M2752" s="9"/>
      <c r="N2752" s="9"/>
      <c r="O2752" s="9"/>
      <c r="P2752" s="9"/>
      <c r="Q2752" s="9"/>
      <c r="R2752" s="9"/>
      <c r="S2752" s="7" t="s">
        <v>54</v>
      </c>
      <c r="T2752" s="7" t="s">
        <v>6858</v>
      </c>
      <c r="U2752" s="7"/>
      <c r="V2752" s="7"/>
      <c r="W2752" s="7"/>
      <c r="X2752" s="7"/>
      <c r="Y2752" s="7" t="s">
        <v>6862</v>
      </c>
      <c r="Z2752" s="7" t="s">
        <v>6535</v>
      </c>
      <c r="AA2752" s="7"/>
      <c r="AB2752" s="7"/>
      <c r="AC2752" s="7" t="s">
        <v>6852</v>
      </c>
      <c r="AD2752" s="7"/>
      <c r="AE2752" s="7"/>
      <c r="AF2752" s="7"/>
      <c r="AG2752" s="7"/>
      <c r="AH2752" s="7" t="s">
        <v>6853</v>
      </c>
    </row>
    <row r="2753" spans="1:37" ht="9.75" customHeight="1" x14ac:dyDescent="0.2">
      <c r="A2753" s="7" t="s">
        <v>6657</v>
      </c>
      <c r="B2753" s="7" t="s">
        <v>38</v>
      </c>
      <c r="C2753" s="7" t="s">
        <v>6863</v>
      </c>
      <c r="D2753" s="7" t="s">
        <v>6864</v>
      </c>
      <c r="E2753" s="8">
        <v>4</v>
      </c>
      <c r="F2753" s="7"/>
      <c r="G2753" s="7" t="s">
        <v>6865</v>
      </c>
      <c r="H2753" s="9"/>
      <c r="I2753" s="10">
        <v>59195</v>
      </c>
      <c r="J2753" s="10">
        <v>59602</v>
      </c>
      <c r="K2753" s="9"/>
      <c r="L2753" s="10">
        <v>52171</v>
      </c>
      <c r="M2753" s="10">
        <v>0</v>
      </c>
      <c r="N2753" s="10">
        <v>52171</v>
      </c>
      <c r="O2753" s="9"/>
      <c r="P2753" s="10"/>
      <c r="Q2753" s="10"/>
      <c r="R2753" s="10"/>
      <c r="S2753" s="7" t="s">
        <v>43</v>
      </c>
      <c r="T2753" s="7"/>
      <c r="U2753" s="7"/>
      <c r="V2753" s="7"/>
      <c r="W2753" s="7"/>
      <c r="X2753" s="7"/>
      <c r="Y2753" s="7" t="s">
        <v>6866</v>
      </c>
      <c r="Z2753" s="7" t="s">
        <v>6545</v>
      </c>
      <c r="AA2753" s="7"/>
      <c r="AB2753" s="7"/>
      <c r="AC2753" s="7" t="s">
        <v>6863</v>
      </c>
      <c r="AD2753" s="7"/>
      <c r="AE2753" s="7"/>
      <c r="AF2753" s="7"/>
      <c r="AG2753" s="7"/>
      <c r="AH2753" s="7" t="s">
        <v>6864</v>
      </c>
      <c r="AI2753">
        <v>35620</v>
      </c>
      <c r="AK2753">
        <v>35620</v>
      </c>
    </row>
    <row r="2754" spans="1:37" ht="9.75" customHeight="1" x14ac:dyDescent="0.2">
      <c r="A2754" s="7" t="s">
        <v>6657</v>
      </c>
      <c r="B2754" s="7" t="s">
        <v>38</v>
      </c>
      <c r="C2754" s="7"/>
      <c r="D2754" s="7" t="s">
        <v>6867</v>
      </c>
      <c r="E2754" s="8">
        <v>4</v>
      </c>
      <c r="F2754" s="7"/>
      <c r="G2754" s="7" t="s">
        <v>6868</v>
      </c>
      <c r="H2754" s="9"/>
      <c r="I2754" s="9"/>
      <c r="J2754" s="9"/>
      <c r="K2754" s="9"/>
      <c r="L2754" s="9"/>
      <c r="M2754" s="9"/>
      <c r="N2754" s="9"/>
      <c r="O2754" s="9"/>
      <c r="P2754" s="9"/>
      <c r="Q2754" s="9"/>
      <c r="R2754" s="9"/>
      <c r="S2754" s="7" t="s">
        <v>54</v>
      </c>
      <c r="T2754" s="7" t="s">
        <v>6869</v>
      </c>
      <c r="U2754" s="7"/>
      <c r="V2754" s="7"/>
      <c r="W2754" s="7"/>
      <c r="X2754" s="7"/>
      <c r="Y2754" s="7" t="s">
        <v>6870</v>
      </c>
      <c r="Z2754" s="7" t="s">
        <v>6871</v>
      </c>
      <c r="AA2754" s="7"/>
      <c r="AB2754" s="7"/>
      <c r="AC2754" s="7" t="s">
        <v>6863</v>
      </c>
      <c r="AD2754" s="7" t="s">
        <v>6872</v>
      </c>
      <c r="AE2754" s="7"/>
      <c r="AF2754" s="7"/>
      <c r="AG2754" s="7"/>
      <c r="AH2754" s="7" t="s">
        <v>6864</v>
      </c>
    </row>
    <row r="2755" spans="1:37" ht="9.75" customHeight="1" x14ac:dyDescent="0.2">
      <c r="A2755" s="7" t="s">
        <v>6657</v>
      </c>
      <c r="B2755" s="7" t="s">
        <v>38</v>
      </c>
      <c r="C2755" s="7"/>
      <c r="D2755" s="7" t="s">
        <v>6873</v>
      </c>
      <c r="E2755" s="8">
        <v>4</v>
      </c>
      <c r="F2755" s="7"/>
      <c r="G2755" s="7"/>
      <c r="H2755" s="9"/>
      <c r="I2755" s="9"/>
      <c r="J2755" s="9"/>
      <c r="K2755" s="9"/>
      <c r="L2755" s="9"/>
      <c r="M2755" s="9"/>
      <c r="N2755" s="9"/>
      <c r="O2755" s="9"/>
      <c r="P2755" s="9"/>
      <c r="Q2755" s="9"/>
      <c r="R2755" s="9"/>
      <c r="S2755" s="7" t="s">
        <v>54</v>
      </c>
      <c r="T2755" s="7" t="s">
        <v>6869</v>
      </c>
      <c r="U2755" s="7" t="s">
        <v>44</v>
      </c>
      <c r="V2755" s="7" t="s">
        <v>45</v>
      </c>
      <c r="W2755" s="7" t="s">
        <v>130</v>
      </c>
      <c r="X2755" s="7" t="s">
        <v>5077</v>
      </c>
      <c r="Y2755" s="7" t="s">
        <v>6874</v>
      </c>
      <c r="Z2755" s="7" t="s">
        <v>6552</v>
      </c>
      <c r="AA2755" s="7"/>
      <c r="AB2755" s="7"/>
      <c r="AC2755" s="7" t="s">
        <v>6863</v>
      </c>
      <c r="AD2755" s="7" t="s">
        <v>6875</v>
      </c>
      <c r="AE2755" s="7"/>
      <c r="AF2755" s="7"/>
      <c r="AG2755" s="7"/>
      <c r="AH2755" s="7" t="s">
        <v>6864</v>
      </c>
    </row>
    <row r="2756" spans="1:37" ht="9.75" customHeight="1" x14ac:dyDescent="0.2">
      <c r="A2756" s="7" t="s">
        <v>6657</v>
      </c>
      <c r="B2756" s="7" t="s">
        <v>38</v>
      </c>
      <c r="C2756" s="7"/>
      <c r="D2756" s="7" t="s">
        <v>6876</v>
      </c>
      <c r="E2756" s="8">
        <v>4</v>
      </c>
      <c r="F2756" s="7"/>
      <c r="G2756" s="7" t="s">
        <v>6877</v>
      </c>
      <c r="H2756" s="9"/>
      <c r="I2756" s="9"/>
      <c r="J2756" s="9"/>
      <c r="K2756" s="9"/>
      <c r="L2756" s="9"/>
      <c r="M2756" s="9"/>
      <c r="N2756" s="9"/>
      <c r="O2756" s="9"/>
      <c r="P2756" s="9"/>
      <c r="Q2756" s="9"/>
      <c r="R2756" s="9"/>
      <c r="S2756" s="7" t="s">
        <v>54</v>
      </c>
      <c r="T2756" s="7" t="s">
        <v>6869</v>
      </c>
      <c r="U2756" s="7" t="s">
        <v>44</v>
      </c>
      <c r="V2756" s="7" t="s">
        <v>45</v>
      </c>
      <c r="W2756" s="7" t="s">
        <v>130</v>
      </c>
      <c r="X2756" s="7" t="s">
        <v>131</v>
      </c>
      <c r="Y2756" s="7" t="s">
        <v>6878</v>
      </c>
      <c r="Z2756" s="7" t="s">
        <v>6879</v>
      </c>
      <c r="AA2756" s="7"/>
      <c r="AB2756" s="7"/>
      <c r="AC2756" s="7" t="s">
        <v>6863</v>
      </c>
      <c r="AD2756" s="7"/>
      <c r="AE2756" s="7"/>
      <c r="AF2756" s="7"/>
      <c r="AG2756" s="7"/>
      <c r="AH2756" s="7" t="s">
        <v>6864</v>
      </c>
    </row>
    <row r="2757" spans="1:37" ht="9.75" customHeight="1" x14ac:dyDescent="0.2">
      <c r="A2757" s="7" t="s">
        <v>6657</v>
      </c>
      <c r="B2757" s="7" t="s">
        <v>38</v>
      </c>
      <c r="C2757" s="7" t="s">
        <v>6880</v>
      </c>
      <c r="D2757" s="7" t="s">
        <v>6881</v>
      </c>
      <c r="E2757" s="8">
        <v>4</v>
      </c>
      <c r="F2757" s="7"/>
      <c r="G2757" s="7" t="s">
        <v>6882</v>
      </c>
      <c r="H2757" s="9"/>
      <c r="I2757" s="10">
        <v>3341</v>
      </c>
      <c r="J2757" s="10">
        <v>7287</v>
      </c>
      <c r="K2757" s="9"/>
      <c r="L2757" s="10">
        <v>5105</v>
      </c>
      <c r="M2757" s="10">
        <v>0</v>
      </c>
      <c r="N2757" s="10">
        <v>5105</v>
      </c>
      <c r="O2757" s="9"/>
      <c r="P2757" s="10"/>
      <c r="Q2757" s="10"/>
      <c r="R2757" s="10"/>
      <c r="S2757" s="7"/>
      <c r="T2757" s="7"/>
      <c r="U2757" s="7"/>
      <c r="V2757" s="7"/>
      <c r="W2757" s="7"/>
      <c r="X2757" s="7"/>
      <c r="Y2757" s="7" t="s">
        <v>6883</v>
      </c>
      <c r="Z2757" s="7" t="s">
        <v>6884</v>
      </c>
      <c r="AA2757" s="7"/>
      <c r="AB2757" s="7"/>
      <c r="AC2757" s="7" t="s">
        <v>6880</v>
      </c>
      <c r="AD2757" s="7" t="s">
        <v>6885</v>
      </c>
      <c r="AE2757" s="7"/>
      <c r="AF2757" s="7"/>
      <c r="AG2757" s="7"/>
      <c r="AH2757" s="7" t="s">
        <v>6886</v>
      </c>
      <c r="AI2757">
        <v>2976</v>
      </c>
      <c r="AK2757">
        <v>2976</v>
      </c>
    </row>
    <row r="2758" spans="1:37" ht="9.75" customHeight="1" x14ac:dyDescent="0.2">
      <c r="A2758" s="7" t="s">
        <v>6657</v>
      </c>
      <c r="B2758" s="7" t="s">
        <v>38</v>
      </c>
      <c r="C2758" s="7" t="s">
        <v>6887</v>
      </c>
      <c r="D2758" s="7" t="s">
        <v>6888</v>
      </c>
      <c r="E2758" s="8">
        <v>4</v>
      </c>
      <c r="F2758" s="7"/>
      <c r="G2758" s="7" t="s">
        <v>6889</v>
      </c>
      <c r="H2758" s="9"/>
      <c r="I2758" s="10">
        <v>34724</v>
      </c>
      <c r="J2758" s="10">
        <v>42326</v>
      </c>
      <c r="K2758" s="9"/>
      <c r="L2758" s="10">
        <v>60058</v>
      </c>
      <c r="M2758" s="10">
        <v>0</v>
      </c>
      <c r="N2758" s="10">
        <v>60058</v>
      </c>
      <c r="O2758" s="9"/>
      <c r="P2758" s="10"/>
      <c r="Q2758" s="10"/>
      <c r="R2758" s="10"/>
      <c r="S2758" s="7"/>
      <c r="T2758" s="7"/>
      <c r="U2758" s="7"/>
      <c r="V2758" s="7"/>
      <c r="W2758" s="7"/>
      <c r="X2758" s="7"/>
      <c r="Y2758" s="7" t="s">
        <v>6890</v>
      </c>
      <c r="Z2758" s="7" t="s">
        <v>6891</v>
      </c>
      <c r="AA2758" s="7"/>
      <c r="AB2758" s="7"/>
      <c r="AC2758" s="7" t="s">
        <v>6887</v>
      </c>
      <c r="AD2758" s="7" t="s">
        <v>6888</v>
      </c>
      <c r="AE2758" s="7"/>
      <c r="AF2758" s="7"/>
      <c r="AG2758" s="7"/>
      <c r="AH2758" s="7" t="s">
        <v>6888</v>
      </c>
      <c r="AI2758">
        <v>54487</v>
      </c>
      <c r="AK2758">
        <v>54487</v>
      </c>
    </row>
    <row r="2759" spans="1:37" ht="9.75" customHeight="1" x14ac:dyDescent="0.2">
      <c r="A2759" s="7" t="s">
        <v>6657</v>
      </c>
      <c r="B2759" s="7" t="s">
        <v>38</v>
      </c>
      <c r="C2759" s="7" t="s">
        <v>6892</v>
      </c>
      <c r="D2759" s="7" t="s">
        <v>6893</v>
      </c>
      <c r="E2759" s="8">
        <v>4</v>
      </c>
      <c r="F2759" s="7"/>
      <c r="G2759" s="7" t="s">
        <v>6894</v>
      </c>
      <c r="H2759" s="9"/>
      <c r="I2759" s="10">
        <v>7905</v>
      </c>
      <c r="J2759" s="10">
        <v>7809</v>
      </c>
      <c r="K2759" s="9"/>
      <c r="L2759" s="10">
        <v>0</v>
      </c>
      <c r="M2759" s="10">
        <v>0</v>
      </c>
      <c r="N2759" s="10">
        <v>0</v>
      </c>
      <c r="O2759" s="9"/>
      <c r="P2759" s="10"/>
      <c r="Q2759" s="10"/>
      <c r="R2759" s="10"/>
      <c r="S2759" s="7" t="s">
        <v>407</v>
      </c>
      <c r="T2759" s="7" t="s">
        <v>6895</v>
      </c>
      <c r="U2759" s="7"/>
      <c r="V2759" s="7"/>
      <c r="W2759" s="7"/>
      <c r="X2759" s="7"/>
      <c r="Y2759" s="7" t="s">
        <v>6896</v>
      </c>
      <c r="Z2759" s="7" t="s">
        <v>6897</v>
      </c>
      <c r="AA2759" s="7"/>
      <c r="AB2759" s="7"/>
      <c r="AC2759" s="7" t="s">
        <v>6892</v>
      </c>
      <c r="AD2759" s="7" t="s">
        <v>6898</v>
      </c>
      <c r="AE2759" s="7"/>
      <c r="AF2759" s="7"/>
      <c r="AG2759" s="7"/>
      <c r="AH2759" s="7" t="s">
        <v>6893</v>
      </c>
    </row>
    <row r="2760" spans="1:37" ht="9.75" customHeight="1" x14ac:dyDescent="0.2">
      <c r="A2760" s="7" t="s">
        <v>6657</v>
      </c>
      <c r="B2760" s="7" t="s">
        <v>38</v>
      </c>
      <c r="C2760" s="7" t="s">
        <v>6899</v>
      </c>
      <c r="D2760" s="7" t="s">
        <v>6900</v>
      </c>
      <c r="E2760" s="8">
        <v>4</v>
      </c>
      <c r="F2760" s="7"/>
      <c r="G2760" s="7" t="s">
        <v>6901</v>
      </c>
      <c r="H2760" s="9"/>
      <c r="I2760" s="10">
        <v>51415</v>
      </c>
      <c r="J2760" s="10">
        <v>65113</v>
      </c>
      <c r="K2760" s="9"/>
      <c r="L2760" s="10">
        <v>64901</v>
      </c>
      <c r="M2760" s="10">
        <v>0</v>
      </c>
      <c r="N2760" s="10">
        <v>64901</v>
      </c>
      <c r="O2760" s="9"/>
      <c r="P2760" s="10"/>
      <c r="Q2760" s="10"/>
      <c r="R2760" s="10"/>
      <c r="S2760" s="7"/>
      <c r="T2760" s="7"/>
      <c r="U2760" s="7"/>
      <c r="V2760" s="7"/>
      <c r="W2760" s="7"/>
      <c r="X2760" s="7"/>
      <c r="Y2760" s="7" t="s">
        <v>6902</v>
      </c>
      <c r="Z2760" s="7" t="s">
        <v>6903</v>
      </c>
      <c r="AA2760" s="7"/>
      <c r="AB2760" s="7"/>
      <c r="AC2760" s="7" t="s">
        <v>6899</v>
      </c>
      <c r="AD2760" s="7" t="s">
        <v>6904</v>
      </c>
      <c r="AE2760" s="7"/>
      <c r="AF2760" s="7"/>
      <c r="AG2760" s="7"/>
      <c r="AH2760" s="7" t="s">
        <v>6900</v>
      </c>
      <c r="AI2760">
        <v>48262</v>
      </c>
      <c r="AK2760">
        <v>48262</v>
      </c>
    </row>
    <row r="2761" spans="1:37" ht="9.75" customHeight="1" x14ac:dyDescent="0.2">
      <c r="A2761" s="7" t="s">
        <v>6657</v>
      </c>
      <c r="B2761" s="7" t="s">
        <v>38</v>
      </c>
      <c r="C2761" s="7" t="s">
        <v>6905</v>
      </c>
      <c r="D2761" s="7" t="s">
        <v>6906</v>
      </c>
      <c r="E2761" s="8">
        <v>4</v>
      </c>
      <c r="F2761" s="7"/>
      <c r="G2761" s="7" t="s">
        <v>6907</v>
      </c>
      <c r="H2761" s="9"/>
      <c r="I2761" s="10">
        <v>16317</v>
      </c>
      <c r="J2761" s="10">
        <v>16946</v>
      </c>
      <c r="K2761" s="9"/>
      <c r="L2761" s="10">
        <v>12112</v>
      </c>
      <c r="M2761" s="10">
        <v>0</v>
      </c>
      <c r="N2761" s="10">
        <v>12112</v>
      </c>
      <c r="O2761" s="9"/>
      <c r="P2761" s="10"/>
      <c r="Q2761" s="10"/>
      <c r="R2761" s="10"/>
      <c r="S2761" s="7"/>
      <c r="T2761" s="7"/>
      <c r="U2761" s="7"/>
      <c r="V2761" s="7"/>
      <c r="W2761" s="7"/>
      <c r="X2761" s="7"/>
      <c r="Y2761" s="7" t="s">
        <v>6908</v>
      </c>
      <c r="Z2761" s="7" t="s">
        <v>6586</v>
      </c>
      <c r="AA2761" s="7"/>
      <c r="AB2761" s="7"/>
      <c r="AC2761" s="7" t="s">
        <v>6905</v>
      </c>
      <c r="AD2761" s="7"/>
      <c r="AE2761" s="7"/>
      <c r="AF2761" s="7"/>
      <c r="AG2761" s="7"/>
      <c r="AH2761" s="7" t="s">
        <v>6906</v>
      </c>
      <c r="AI2761">
        <v>11824</v>
      </c>
      <c r="AK2761">
        <v>11824</v>
      </c>
    </row>
    <row r="2762" spans="1:37" ht="9.75" customHeight="1" x14ac:dyDescent="0.2">
      <c r="A2762" s="7" t="s">
        <v>6657</v>
      </c>
      <c r="B2762" s="7" t="s">
        <v>38</v>
      </c>
      <c r="C2762" s="7" t="s">
        <v>6909</v>
      </c>
      <c r="D2762" s="7" t="s">
        <v>437</v>
      </c>
      <c r="E2762" s="8">
        <v>4</v>
      </c>
      <c r="F2762" s="7"/>
      <c r="G2762" s="7" t="s">
        <v>6910</v>
      </c>
      <c r="H2762" s="9"/>
      <c r="I2762" s="10">
        <v>467278</v>
      </c>
      <c r="J2762" s="10">
        <v>440207</v>
      </c>
      <c r="K2762" s="9"/>
      <c r="L2762" s="10">
        <v>534324</v>
      </c>
      <c r="M2762" s="10">
        <v>0</v>
      </c>
      <c r="N2762" s="10">
        <v>534324</v>
      </c>
      <c r="O2762" s="9"/>
      <c r="P2762" s="10"/>
      <c r="Q2762" s="10"/>
      <c r="R2762" s="10"/>
      <c r="S2762" s="7" t="s">
        <v>43</v>
      </c>
      <c r="T2762" s="7"/>
      <c r="U2762" s="7"/>
      <c r="V2762" s="7"/>
      <c r="W2762" s="7"/>
      <c r="X2762" s="7"/>
      <c r="Y2762" s="7" t="s">
        <v>6911</v>
      </c>
      <c r="Z2762" s="7" t="s">
        <v>6912</v>
      </c>
      <c r="AA2762" s="7"/>
      <c r="AB2762" s="7"/>
      <c r="AC2762" s="7" t="s">
        <v>6909</v>
      </c>
      <c r="AD2762" s="7"/>
      <c r="AE2762" s="7"/>
      <c r="AF2762" s="7" t="s">
        <v>113</v>
      </c>
      <c r="AG2762" s="7" t="s">
        <v>366</v>
      </c>
      <c r="AH2762" s="7" t="s">
        <v>437</v>
      </c>
      <c r="AI2762">
        <v>493046</v>
      </c>
      <c r="AK2762">
        <v>493046</v>
      </c>
    </row>
    <row r="2763" spans="1:37" ht="9.75" customHeight="1" x14ac:dyDescent="0.2">
      <c r="A2763" s="7" t="s">
        <v>6657</v>
      </c>
      <c r="B2763" s="7" t="s">
        <v>38</v>
      </c>
      <c r="C2763" s="7" t="s">
        <v>6913</v>
      </c>
      <c r="D2763" s="7" t="s">
        <v>3591</v>
      </c>
      <c r="E2763" s="8">
        <v>6</v>
      </c>
      <c r="F2763" s="7"/>
      <c r="G2763" s="7" t="s">
        <v>6914</v>
      </c>
      <c r="H2763" s="9"/>
      <c r="I2763" s="10">
        <v>15903</v>
      </c>
      <c r="J2763" s="10">
        <v>38688</v>
      </c>
      <c r="K2763" s="9"/>
      <c r="L2763" s="10">
        <v>31289</v>
      </c>
      <c r="M2763" s="10">
        <v>0</v>
      </c>
      <c r="N2763" s="10">
        <v>31289</v>
      </c>
      <c r="O2763" s="9"/>
      <c r="P2763" s="10"/>
      <c r="Q2763" s="10"/>
      <c r="R2763" s="10"/>
      <c r="S2763" s="7"/>
      <c r="T2763" s="7"/>
      <c r="U2763" s="7"/>
      <c r="V2763" s="7"/>
      <c r="W2763" s="7"/>
      <c r="X2763" s="7"/>
      <c r="Y2763" s="7" t="s">
        <v>6915</v>
      </c>
      <c r="Z2763" s="7" t="s">
        <v>6600</v>
      </c>
      <c r="AA2763" s="7"/>
      <c r="AB2763" s="7"/>
      <c r="AC2763" s="7" t="s">
        <v>6913</v>
      </c>
      <c r="AD2763" s="7"/>
      <c r="AE2763" s="7"/>
      <c r="AF2763" s="7"/>
      <c r="AG2763" s="7"/>
      <c r="AH2763" s="7" t="s">
        <v>3591</v>
      </c>
      <c r="AI2763">
        <v>38000</v>
      </c>
      <c r="AK2763">
        <v>38000</v>
      </c>
    </row>
    <row r="2764" spans="1:37" ht="9.75" customHeight="1" x14ac:dyDescent="0.2">
      <c r="A2764" s="7" t="s">
        <v>6657</v>
      </c>
      <c r="B2764" s="7" t="s">
        <v>38</v>
      </c>
      <c r="C2764" s="7" t="s">
        <v>6916</v>
      </c>
      <c r="D2764" s="7" t="s">
        <v>6917</v>
      </c>
      <c r="E2764" s="8">
        <v>4</v>
      </c>
      <c r="F2764" s="7"/>
      <c r="G2764" s="7" t="s">
        <v>6918</v>
      </c>
      <c r="H2764" s="9"/>
      <c r="I2764" s="10">
        <v>48175</v>
      </c>
      <c r="J2764" s="10">
        <v>50654</v>
      </c>
      <c r="K2764" s="9"/>
      <c r="L2764" s="10">
        <v>46281</v>
      </c>
      <c r="M2764" s="10">
        <v>0</v>
      </c>
      <c r="N2764" s="10">
        <v>46281</v>
      </c>
      <c r="O2764" s="9"/>
      <c r="P2764" s="10"/>
      <c r="Q2764" s="10"/>
      <c r="R2764" s="10"/>
      <c r="S2764" s="7"/>
      <c r="T2764" s="7"/>
      <c r="U2764" s="7"/>
      <c r="V2764" s="7"/>
      <c r="W2764" s="7"/>
      <c r="X2764" s="7"/>
      <c r="Y2764" s="7" t="s">
        <v>6919</v>
      </c>
      <c r="Z2764" s="7" t="s">
        <v>6920</v>
      </c>
      <c r="AA2764" s="7"/>
      <c r="AB2764" s="7"/>
      <c r="AC2764" s="7" t="s">
        <v>6916</v>
      </c>
      <c r="AD2764" s="7" t="s">
        <v>6917</v>
      </c>
      <c r="AE2764" s="7"/>
      <c r="AF2764" s="7"/>
      <c r="AG2764" s="7"/>
      <c r="AH2764" s="7" t="s">
        <v>6917</v>
      </c>
      <c r="AI2764">
        <v>43028</v>
      </c>
      <c r="AK2764">
        <v>43028</v>
      </c>
    </row>
    <row r="2765" spans="1:37" ht="9.75" customHeight="1" x14ac:dyDescent="0.2">
      <c r="A2765" s="7" t="s">
        <v>6657</v>
      </c>
      <c r="B2765" s="7" t="s">
        <v>38</v>
      </c>
      <c r="C2765" s="7" t="s">
        <v>6921</v>
      </c>
      <c r="D2765" s="7" t="s">
        <v>6922</v>
      </c>
      <c r="E2765" s="8">
        <v>6</v>
      </c>
      <c r="F2765" s="7"/>
      <c r="G2765" s="7" t="s">
        <v>6923</v>
      </c>
      <c r="H2765" s="9"/>
      <c r="I2765" s="10">
        <v>25744</v>
      </c>
      <c r="J2765" s="10">
        <v>32005</v>
      </c>
      <c r="K2765" s="9"/>
      <c r="L2765" s="10">
        <v>33395</v>
      </c>
      <c r="M2765" s="10">
        <v>0</v>
      </c>
      <c r="N2765" s="10">
        <v>33395</v>
      </c>
      <c r="O2765" s="9"/>
      <c r="P2765" s="10"/>
      <c r="Q2765" s="10"/>
      <c r="R2765" s="10"/>
      <c r="S2765" s="7"/>
      <c r="T2765" s="7"/>
      <c r="U2765" s="7"/>
      <c r="V2765" s="7"/>
      <c r="W2765" s="7"/>
      <c r="X2765" s="7"/>
      <c r="Y2765" s="7" t="s">
        <v>6924</v>
      </c>
      <c r="Z2765" s="7" t="s">
        <v>6925</v>
      </c>
      <c r="AA2765" s="7"/>
      <c r="AB2765" s="7"/>
      <c r="AC2765" s="7" t="s">
        <v>6921</v>
      </c>
      <c r="AD2765" s="7"/>
      <c r="AE2765" s="7"/>
      <c r="AF2765" s="7"/>
      <c r="AG2765" s="7"/>
      <c r="AH2765" s="7" t="s">
        <v>6922</v>
      </c>
      <c r="AI2765">
        <v>31462</v>
      </c>
      <c r="AK2765">
        <v>31462</v>
      </c>
    </row>
    <row r="2766" spans="1:37" ht="9.75" customHeight="1" x14ac:dyDescent="0.2">
      <c r="A2766" s="7" t="s">
        <v>6657</v>
      </c>
      <c r="B2766" s="7" t="s">
        <v>38</v>
      </c>
      <c r="C2766" s="7" t="s">
        <v>6926</v>
      </c>
      <c r="D2766" s="7" t="s">
        <v>6927</v>
      </c>
      <c r="E2766" s="8">
        <v>4</v>
      </c>
      <c r="F2766" s="7"/>
      <c r="G2766" s="7" t="s">
        <v>6928</v>
      </c>
      <c r="H2766" s="9"/>
      <c r="I2766" s="10">
        <v>19757</v>
      </c>
      <c r="J2766" s="10">
        <v>24361</v>
      </c>
      <c r="K2766" s="9"/>
      <c r="L2766" s="10">
        <v>13205</v>
      </c>
      <c r="M2766" s="10">
        <v>0</v>
      </c>
      <c r="N2766" s="10">
        <v>13205</v>
      </c>
      <c r="O2766" s="9"/>
      <c r="P2766" s="10"/>
      <c r="Q2766" s="10"/>
      <c r="R2766" s="10"/>
      <c r="S2766" s="7"/>
      <c r="T2766" s="7"/>
      <c r="U2766" s="7"/>
      <c r="V2766" s="7"/>
      <c r="W2766" s="7"/>
      <c r="X2766" s="7"/>
      <c r="Y2766" s="7" t="s">
        <v>6929</v>
      </c>
      <c r="Z2766" s="7" t="s">
        <v>6930</v>
      </c>
      <c r="AA2766" s="7"/>
      <c r="AB2766" s="7"/>
      <c r="AC2766" s="7" t="s">
        <v>6926</v>
      </c>
      <c r="AD2766" s="7" t="s">
        <v>6931</v>
      </c>
      <c r="AE2766" s="7"/>
      <c r="AF2766" s="7"/>
      <c r="AG2766" s="7"/>
      <c r="AH2766" s="7" t="s">
        <v>6931</v>
      </c>
      <c r="AI2766">
        <v>5822</v>
      </c>
      <c r="AK2766">
        <v>5822</v>
      </c>
    </row>
    <row r="2767" spans="1:37" ht="9.75" customHeight="1" x14ac:dyDescent="0.2">
      <c r="A2767" s="7" t="s">
        <v>6657</v>
      </c>
      <c r="B2767" s="7" t="s">
        <v>38</v>
      </c>
      <c r="C2767" s="7" t="s">
        <v>6932</v>
      </c>
      <c r="D2767" s="7" t="s">
        <v>6933</v>
      </c>
      <c r="E2767" s="8">
        <v>6</v>
      </c>
      <c r="F2767" s="7"/>
      <c r="G2767" s="7" t="s">
        <v>6934</v>
      </c>
      <c r="H2767" s="9"/>
      <c r="I2767" s="10">
        <v>6641</v>
      </c>
      <c r="J2767" s="10">
        <v>6709</v>
      </c>
      <c r="K2767" s="9"/>
      <c r="L2767" s="10">
        <v>11493</v>
      </c>
      <c r="M2767" s="10">
        <v>0</v>
      </c>
      <c r="N2767" s="10">
        <v>11493</v>
      </c>
      <c r="O2767" s="9"/>
      <c r="P2767" s="10"/>
      <c r="Q2767" s="10"/>
      <c r="R2767" s="10"/>
      <c r="S2767" s="7"/>
      <c r="T2767" s="7"/>
      <c r="U2767" s="7"/>
      <c r="V2767" s="7"/>
      <c r="W2767" s="7"/>
      <c r="X2767" s="7"/>
      <c r="Y2767" s="7" t="s">
        <v>6935</v>
      </c>
      <c r="Z2767" s="7" t="s">
        <v>4936</v>
      </c>
      <c r="AA2767" s="7"/>
      <c r="AB2767" s="7"/>
      <c r="AC2767" s="7" t="s">
        <v>6932</v>
      </c>
      <c r="AD2767" s="7"/>
      <c r="AE2767" s="7"/>
      <c r="AF2767" s="7"/>
      <c r="AG2767" s="7"/>
      <c r="AH2767" s="7" t="s">
        <v>6933</v>
      </c>
      <c r="AI2767">
        <v>6454</v>
      </c>
      <c r="AK2767">
        <v>6454</v>
      </c>
    </row>
    <row r="2768" spans="1:37" ht="9.75" customHeight="1" x14ac:dyDescent="0.2">
      <c r="A2768" s="7" t="s">
        <v>6657</v>
      </c>
      <c r="B2768" s="7" t="s">
        <v>38</v>
      </c>
      <c r="C2768" s="7" t="s">
        <v>6936</v>
      </c>
      <c r="D2768" s="7" t="s">
        <v>6937</v>
      </c>
      <c r="E2768" s="8">
        <v>6</v>
      </c>
      <c r="F2768" s="7"/>
      <c r="G2768" s="7" t="s">
        <v>6938</v>
      </c>
      <c r="H2768" s="9"/>
      <c r="I2768" s="10">
        <v>4279</v>
      </c>
      <c r="J2768" s="10">
        <v>4081</v>
      </c>
      <c r="K2768" s="9"/>
      <c r="L2768" s="10">
        <v>3687</v>
      </c>
      <c r="M2768" s="10">
        <v>0</v>
      </c>
      <c r="N2768" s="10">
        <v>3687</v>
      </c>
      <c r="O2768" s="9"/>
      <c r="P2768" s="10"/>
      <c r="Q2768" s="10"/>
      <c r="R2768" s="10"/>
      <c r="S2768" s="7"/>
      <c r="T2768" s="7"/>
      <c r="U2768" s="7"/>
      <c r="V2768" s="7"/>
      <c r="W2768" s="7"/>
      <c r="X2768" s="7"/>
      <c r="Y2768" s="7" t="s">
        <v>6939</v>
      </c>
      <c r="Z2768" s="7" t="s">
        <v>6940</v>
      </c>
      <c r="AA2768" s="7"/>
      <c r="AB2768" s="7"/>
      <c r="AC2768" s="7" t="s">
        <v>6936</v>
      </c>
      <c r="AD2768" s="7" t="s">
        <v>6941</v>
      </c>
      <c r="AE2768" s="7"/>
      <c r="AF2768" s="7"/>
      <c r="AG2768" s="7"/>
      <c r="AH2768" s="7" t="s">
        <v>6937</v>
      </c>
      <c r="AI2768">
        <v>3435</v>
      </c>
      <c r="AK2768">
        <v>3435</v>
      </c>
    </row>
    <row r="2769" spans="1:37" ht="9.75" customHeight="1" x14ac:dyDescent="0.2">
      <c r="A2769" s="7" t="s">
        <v>6657</v>
      </c>
      <c r="B2769" s="7" t="s">
        <v>38</v>
      </c>
      <c r="C2769" s="7" t="s">
        <v>6942</v>
      </c>
      <c r="D2769" s="7" t="s">
        <v>6943</v>
      </c>
      <c r="E2769" s="8">
        <v>4</v>
      </c>
      <c r="F2769" s="7"/>
      <c r="G2769" s="7" t="s">
        <v>6944</v>
      </c>
      <c r="H2769" s="9"/>
      <c r="I2769" s="10">
        <v>279545</v>
      </c>
      <c r="J2769" s="10">
        <v>222607</v>
      </c>
      <c r="K2769" s="9"/>
      <c r="L2769" s="10">
        <v>249656</v>
      </c>
      <c r="M2769" s="10">
        <v>0</v>
      </c>
      <c r="N2769" s="10">
        <v>249656</v>
      </c>
      <c r="O2769" s="9"/>
      <c r="P2769" s="10"/>
      <c r="Q2769" s="10"/>
      <c r="R2769" s="10"/>
      <c r="S2769" s="7" t="s">
        <v>43</v>
      </c>
      <c r="T2769" s="7"/>
      <c r="U2769" s="7"/>
      <c r="V2769" s="7"/>
      <c r="W2769" s="7"/>
      <c r="X2769" s="7"/>
      <c r="Y2769" s="7" t="s">
        <v>6945</v>
      </c>
      <c r="Z2769" s="7" t="s">
        <v>6946</v>
      </c>
      <c r="AA2769" s="7"/>
      <c r="AB2769" s="7"/>
      <c r="AC2769" s="7" t="s">
        <v>6942</v>
      </c>
      <c r="AD2769" s="7"/>
      <c r="AE2769" s="7"/>
      <c r="AF2769" s="7"/>
      <c r="AG2769" s="7"/>
      <c r="AH2769" s="7" t="s">
        <v>6943</v>
      </c>
      <c r="AI2769">
        <v>338946</v>
      </c>
      <c r="AK2769">
        <v>338946</v>
      </c>
    </row>
    <row r="2770" spans="1:37" ht="9.75" customHeight="1" x14ac:dyDescent="0.2">
      <c r="A2770" s="7" t="s">
        <v>6657</v>
      </c>
      <c r="B2770" s="7" t="s">
        <v>38</v>
      </c>
      <c r="C2770" s="7"/>
      <c r="D2770" s="7" t="s">
        <v>6947</v>
      </c>
      <c r="E2770" s="8">
        <v>4</v>
      </c>
      <c r="F2770" s="7"/>
      <c r="G2770" s="7" t="s">
        <v>6948</v>
      </c>
      <c r="H2770" s="9"/>
      <c r="I2770" s="9"/>
      <c r="J2770" s="9"/>
      <c r="K2770" s="9"/>
      <c r="L2770" s="9"/>
      <c r="M2770" s="9"/>
      <c r="N2770" s="9"/>
      <c r="O2770" s="9"/>
      <c r="P2770" s="9"/>
      <c r="Q2770" s="9"/>
      <c r="R2770" s="9"/>
      <c r="S2770" s="7" t="s">
        <v>54</v>
      </c>
      <c r="T2770" s="7" t="s">
        <v>6949</v>
      </c>
      <c r="U2770" s="7"/>
      <c r="V2770" s="7"/>
      <c r="W2770" s="7"/>
      <c r="X2770" s="7"/>
      <c r="Y2770" s="7" t="s">
        <v>6950</v>
      </c>
      <c r="Z2770" s="7" t="s">
        <v>6951</v>
      </c>
      <c r="AA2770" s="7"/>
      <c r="AB2770" s="7"/>
      <c r="AC2770" s="7" t="s">
        <v>6942</v>
      </c>
      <c r="AD2770" s="7"/>
      <c r="AE2770" s="7"/>
      <c r="AF2770" s="7"/>
      <c r="AG2770" s="7"/>
      <c r="AH2770" s="7" t="s">
        <v>6943</v>
      </c>
    </row>
    <row r="2771" spans="1:37" ht="9.75" customHeight="1" x14ac:dyDescent="0.2">
      <c r="A2771" s="7" t="s">
        <v>6657</v>
      </c>
      <c r="B2771" s="7" t="s">
        <v>38</v>
      </c>
      <c r="C2771" s="7"/>
      <c r="D2771" s="7" t="s">
        <v>6952</v>
      </c>
      <c r="E2771" s="8">
        <v>4</v>
      </c>
      <c r="F2771" s="7"/>
      <c r="G2771" s="7"/>
      <c r="H2771" s="9"/>
      <c r="I2771" s="9"/>
      <c r="J2771" s="9"/>
      <c r="K2771" s="9"/>
      <c r="L2771" s="9"/>
      <c r="M2771" s="9"/>
      <c r="N2771" s="9"/>
      <c r="O2771" s="9"/>
      <c r="P2771" s="9"/>
      <c r="Q2771" s="9"/>
      <c r="R2771" s="9"/>
      <c r="S2771" s="7" t="s">
        <v>54</v>
      </c>
      <c r="T2771" s="7" t="s">
        <v>6949</v>
      </c>
      <c r="U2771" s="7"/>
      <c r="V2771" s="7"/>
      <c r="W2771" s="7"/>
      <c r="X2771" s="7"/>
      <c r="Y2771" s="7" t="s">
        <v>6953</v>
      </c>
      <c r="Z2771" s="7" t="s">
        <v>6954</v>
      </c>
      <c r="AA2771" s="7"/>
      <c r="AB2771" s="7"/>
      <c r="AC2771" s="7" t="s">
        <v>6942</v>
      </c>
      <c r="AD2771" s="7"/>
      <c r="AE2771" s="7"/>
      <c r="AF2771" s="7"/>
      <c r="AG2771" s="7"/>
      <c r="AH2771" s="7" t="s">
        <v>6943</v>
      </c>
    </row>
    <row r="2772" spans="1:37" ht="9.75" customHeight="1" x14ac:dyDescent="0.2">
      <c r="A2772" s="7" t="s">
        <v>6657</v>
      </c>
      <c r="B2772" s="7" t="s">
        <v>38</v>
      </c>
      <c r="C2772" s="7"/>
      <c r="D2772" s="7" t="s">
        <v>6955</v>
      </c>
      <c r="E2772" s="8">
        <v>4</v>
      </c>
      <c r="F2772" s="7"/>
      <c r="G2772" s="7"/>
      <c r="H2772" s="9"/>
      <c r="I2772" s="9"/>
      <c r="J2772" s="9"/>
      <c r="K2772" s="9"/>
      <c r="L2772" s="9"/>
      <c r="M2772" s="9"/>
      <c r="N2772" s="9"/>
      <c r="O2772" s="9"/>
      <c r="P2772" s="9"/>
      <c r="Q2772" s="9"/>
      <c r="R2772" s="9"/>
      <c r="S2772" s="7" t="s">
        <v>54</v>
      </c>
      <c r="T2772" s="7" t="s">
        <v>6949</v>
      </c>
      <c r="U2772" s="7" t="s">
        <v>44</v>
      </c>
      <c r="V2772" s="7" t="s">
        <v>45</v>
      </c>
      <c r="W2772" s="7" t="s">
        <v>130</v>
      </c>
      <c r="X2772" s="7"/>
      <c r="Y2772" s="7" t="s">
        <v>6956</v>
      </c>
      <c r="Z2772" s="7" t="s">
        <v>6957</v>
      </c>
      <c r="AA2772" s="7"/>
      <c r="AB2772" s="7"/>
      <c r="AC2772" s="7" t="s">
        <v>6942</v>
      </c>
      <c r="AD2772" s="7"/>
      <c r="AE2772" s="7"/>
      <c r="AF2772" s="7"/>
      <c r="AG2772" s="7"/>
      <c r="AH2772" s="7" t="s">
        <v>6943</v>
      </c>
    </row>
    <row r="2773" spans="1:37" ht="9.75" customHeight="1" x14ac:dyDescent="0.2">
      <c r="A2773" s="7" t="s">
        <v>6657</v>
      </c>
      <c r="B2773" s="7" t="s">
        <v>38</v>
      </c>
      <c r="C2773" s="7"/>
      <c r="D2773" s="7" t="s">
        <v>6958</v>
      </c>
      <c r="E2773" s="8">
        <v>4</v>
      </c>
      <c r="F2773" s="7"/>
      <c r="G2773" s="7"/>
      <c r="H2773" s="9"/>
      <c r="I2773" s="9"/>
      <c r="J2773" s="9"/>
      <c r="K2773" s="9"/>
      <c r="L2773" s="9"/>
      <c r="M2773" s="9"/>
      <c r="N2773" s="9"/>
      <c r="O2773" s="9"/>
      <c r="P2773" s="9"/>
      <c r="Q2773" s="9"/>
      <c r="R2773" s="9"/>
      <c r="S2773" s="7" t="s">
        <v>54</v>
      </c>
      <c r="T2773" s="7" t="s">
        <v>6949</v>
      </c>
      <c r="U2773" s="7" t="s">
        <v>44</v>
      </c>
      <c r="V2773" s="7" t="s">
        <v>45</v>
      </c>
      <c r="W2773" s="7" t="s">
        <v>130</v>
      </c>
      <c r="X2773" s="7" t="s">
        <v>131</v>
      </c>
      <c r="Y2773" s="7" t="s">
        <v>6959</v>
      </c>
      <c r="Z2773" s="7" t="s">
        <v>6960</v>
      </c>
      <c r="AA2773" s="7"/>
      <c r="AB2773" s="7"/>
      <c r="AC2773" s="7" t="s">
        <v>6942</v>
      </c>
      <c r="AD2773" s="7" t="s">
        <v>6961</v>
      </c>
      <c r="AE2773" s="7"/>
      <c r="AF2773" s="7"/>
      <c r="AG2773" s="7"/>
      <c r="AH2773" s="7" t="s">
        <v>6943</v>
      </c>
    </row>
    <row r="2774" spans="1:37" ht="9.75" customHeight="1" x14ac:dyDescent="0.2">
      <c r="A2774" s="7" t="s">
        <v>6657</v>
      </c>
      <c r="B2774" s="7" t="s">
        <v>38</v>
      </c>
      <c r="C2774" s="7"/>
      <c r="D2774" s="7" t="s">
        <v>6962</v>
      </c>
      <c r="E2774" s="8">
        <v>4</v>
      </c>
      <c r="F2774" s="7"/>
      <c r="G2774" s="7"/>
      <c r="H2774" s="9"/>
      <c r="I2774" s="9"/>
      <c r="J2774" s="9"/>
      <c r="K2774" s="9"/>
      <c r="L2774" s="9"/>
      <c r="M2774" s="9"/>
      <c r="N2774" s="9"/>
      <c r="O2774" s="9"/>
      <c r="P2774" s="9"/>
      <c r="Q2774" s="9"/>
      <c r="R2774" s="9"/>
      <c r="S2774" s="7" t="s">
        <v>54</v>
      </c>
      <c r="T2774" s="7" t="s">
        <v>6949</v>
      </c>
      <c r="U2774" s="7" t="s">
        <v>44</v>
      </c>
      <c r="V2774" s="7" t="s">
        <v>45</v>
      </c>
      <c r="W2774" s="7" t="s">
        <v>130</v>
      </c>
      <c r="X2774" s="7"/>
      <c r="Y2774" s="7" t="s">
        <v>6963</v>
      </c>
      <c r="Z2774" s="7" t="s">
        <v>6964</v>
      </c>
      <c r="AA2774" s="7"/>
      <c r="AB2774" s="7"/>
      <c r="AC2774" s="7" t="s">
        <v>6942</v>
      </c>
      <c r="AD2774" s="7"/>
      <c r="AE2774" s="7"/>
      <c r="AF2774" s="7"/>
      <c r="AG2774" s="7"/>
      <c r="AH2774" s="7" t="s">
        <v>6943</v>
      </c>
    </row>
    <row r="2775" spans="1:37" ht="9.75" customHeight="1" x14ac:dyDescent="0.2">
      <c r="A2775" s="7" t="s">
        <v>6657</v>
      </c>
      <c r="B2775" s="7" t="s">
        <v>38</v>
      </c>
      <c r="C2775" s="7" t="s">
        <v>6965</v>
      </c>
      <c r="D2775" s="7" t="s">
        <v>6966</v>
      </c>
      <c r="E2775" s="8">
        <v>4</v>
      </c>
      <c r="F2775" s="7"/>
      <c r="G2775" s="7" t="s">
        <v>6967</v>
      </c>
      <c r="H2775" s="9"/>
      <c r="I2775" s="10">
        <v>68327</v>
      </c>
      <c r="J2775" s="10">
        <v>104119</v>
      </c>
      <c r="K2775" s="9"/>
      <c r="L2775" s="10">
        <v>106583</v>
      </c>
      <c r="M2775" s="10">
        <v>0</v>
      </c>
      <c r="N2775" s="10">
        <v>106583</v>
      </c>
      <c r="O2775" s="9"/>
      <c r="P2775" s="10"/>
      <c r="Q2775" s="10"/>
      <c r="R2775" s="10"/>
      <c r="S2775" s="7"/>
      <c r="T2775" s="7"/>
      <c r="U2775" s="7"/>
      <c r="V2775" s="7"/>
      <c r="W2775" s="7"/>
      <c r="X2775" s="7"/>
      <c r="Y2775" s="7" t="s">
        <v>6968</v>
      </c>
      <c r="Z2775" s="7" t="s">
        <v>6969</v>
      </c>
      <c r="AA2775" s="7"/>
      <c r="AB2775" s="7"/>
      <c r="AC2775" s="7" t="s">
        <v>6965</v>
      </c>
      <c r="AD2775" s="7" t="s">
        <v>6970</v>
      </c>
      <c r="AE2775" s="7"/>
      <c r="AF2775" s="7"/>
      <c r="AG2775" s="7"/>
      <c r="AH2775" s="7" t="s">
        <v>6966</v>
      </c>
      <c r="AI2775">
        <v>125661</v>
      </c>
      <c r="AK2775">
        <v>125661</v>
      </c>
    </row>
    <row r="2776" spans="1:37" ht="9.75" customHeight="1" x14ac:dyDescent="0.2">
      <c r="A2776" s="7" t="s">
        <v>6657</v>
      </c>
      <c r="B2776" s="7" t="s">
        <v>38</v>
      </c>
      <c r="C2776" s="7" t="s">
        <v>168</v>
      </c>
      <c r="D2776" s="7" t="s">
        <v>6971</v>
      </c>
      <c r="E2776" s="8">
        <v>4</v>
      </c>
      <c r="F2776" s="7"/>
      <c r="G2776" s="7" t="s">
        <v>6972</v>
      </c>
      <c r="H2776" s="9"/>
      <c r="I2776" s="10">
        <v>28574</v>
      </c>
      <c r="J2776" s="10">
        <v>24602</v>
      </c>
      <c r="K2776" s="9"/>
      <c r="L2776" s="10">
        <v>20900</v>
      </c>
      <c r="M2776" s="10">
        <v>0</v>
      </c>
      <c r="N2776" s="10">
        <v>20900</v>
      </c>
      <c r="O2776" s="9"/>
      <c r="P2776" s="10"/>
      <c r="Q2776" s="10"/>
      <c r="R2776" s="10"/>
      <c r="S2776" s="7"/>
      <c r="T2776" s="7"/>
      <c r="U2776" s="7"/>
      <c r="V2776" s="7"/>
      <c r="W2776" s="7"/>
      <c r="X2776" s="7"/>
      <c r="Y2776" s="7" t="s">
        <v>6973</v>
      </c>
      <c r="Z2776" s="7" t="s">
        <v>6974</v>
      </c>
      <c r="AA2776" s="7"/>
      <c r="AB2776" s="7"/>
      <c r="AC2776" s="7" t="s">
        <v>168</v>
      </c>
      <c r="AD2776" s="7"/>
      <c r="AE2776" s="7"/>
      <c r="AF2776" s="7" t="s">
        <v>50</v>
      </c>
      <c r="AG2776" s="7" t="s">
        <v>175</v>
      </c>
      <c r="AH2776" s="7" t="s">
        <v>169</v>
      </c>
      <c r="AI2776">
        <v>50350</v>
      </c>
      <c r="AK2776">
        <v>50350</v>
      </c>
    </row>
    <row r="2777" spans="1:37" ht="9.75" customHeight="1" x14ac:dyDescent="0.2">
      <c r="A2777" s="7" t="s">
        <v>6657</v>
      </c>
      <c r="B2777" s="7" t="s">
        <v>38</v>
      </c>
      <c r="C2777" s="7" t="s">
        <v>208</v>
      </c>
      <c r="D2777" s="7" t="s">
        <v>6975</v>
      </c>
      <c r="E2777" s="8">
        <v>4</v>
      </c>
      <c r="F2777" s="7"/>
      <c r="G2777" s="7" t="s">
        <v>6976</v>
      </c>
      <c r="H2777" s="9"/>
      <c r="I2777" s="10">
        <v>103352</v>
      </c>
      <c r="J2777" s="10">
        <v>103546</v>
      </c>
      <c r="K2777" s="9"/>
      <c r="L2777" s="10">
        <v>162075</v>
      </c>
      <c r="M2777" s="10">
        <v>0</v>
      </c>
      <c r="N2777" s="10">
        <v>162075</v>
      </c>
      <c r="O2777" s="9"/>
      <c r="P2777" s="10"/>
      <c r="Q2777" s="10"/>
      <c r="R2777" s="10"/>
      <c r="S2777" s="7" t="s">
        <v>43</v>
      </c>
      <c r="T2777" s="7"/>
      <c r="U2777" s="7"/>
      <c r="V2777" s="7"/>
      <c r="W2777" s="7"/>
      <c r="X2777" s="7"/>
      <c r="Y2777" s="7" t="s">
        <v>6977</v>
      </c>
      <c r="Z2777" s="7" t="s">
        <v>6978</v>
      </c>
      <c r="AA2777" s="7"/>
      <c r="AB2777" s="7"/>
      <c r="AC2777" s="7" t="s">
        <v>208</v>
      </c>
      <c r="AD2777" s="7" t="s">
        <v>6975</v>
      </c>
      <c r="AE2777" s="7"/>
      <c r="AF2777" s="7" t="s">
        <v>50</v>
      </c>
      <c r="AG2777" s="7" t="s">
        <v>175</v>
      </c>
      <c r="AH2777" s="7" t="s">
        <v>209</v>
      </c>
      <c r="AI2777">
        <v>156605</v>
      </c>
      <c r="AK2777">
        <v>156605</v>
      </c>
    </row>
    <row r="2778" spans="1:37" ht="9.75" customHeight="1" x14ac:dyDescent="0.2">
      <c r="A2778" s="7" t="s">
        <v>6657</v>
      </c>
      <c r="B2778" s="7" t="s">
        <v>38</v>
      </c>
      <c r="C2778" s="7"/>
      <c r="D2778" s="7" t="s">
        <v>6979</v>
      </c>
      <c r="E2778" s="8">
        <v>4</v>
      </c>
      <c r="F2778" s="7"/>
      <c r="G2778" s="7"/>
      <c r="H2778" s="9"/>
      <c r="I2778" s="9"/>
      <c r="J2778" s="9"/>
      <c r="K2778" s="9"/>
      <c r="L2778" s="9"/>
      <c r="M2778" s="9"/>
      <c r="N2778" s="9"/>
      <c r="O2778" s="9"/>
      <c r="P2778" s="9"/>
      <c r="Q2778" s="9"/>
      <c r="R2778" s="9"/>
      <c r="S2778" s="7" t="s">
        <v>54</v>
      </c>
      <c r="T2778" s="7" t="s">
        <v>6980</v>
      </c>
      <c r="U2778" s="7"/>
      <c r="V2778" s="7"/>
      <c r="W2778" s="7"/>
      <c r="X2778" s="7"/>
      <c r="Y2778" s="7" t="s">
        <v>6981</v>
      </c>
      <c r="Z2778" s="7" t="s">
        <v>6982</v>
      </c>
      <c r="AA2778" s="7"/>
      <c r="AB2778" s="7"/>
      <c r="AC2778" s="7" t="s">
        <v>208</v>
      </c>
      <c r="AD2778" s="7"/>
      <c r="AE2778" s="7"/>
      <c r="AF2778" s="7" t="s">
        <v>50</v>
      </c>
      <c r="AG2778" s="7" t="s">
        <v>175</v>
      </c>
      <c r="AH2778" s="7" t="s">
        <v>209</v>
      </c>
    </row>
    <row r="2779" spans="1:37" ht="9.75" customHeight="1" x14ac:dyDescent="0.2">
      <c r="A2779" s="7" t="s">
        <v>6657</v>
      </c>
      <c r="B2779" s="7" t="s">
        <v>38</v>
      </c>
      <c r="C2779" s="7"/>
      <c r="D2779" s="7" t="s">
        <v>6983</v>
      </c>
      <c r="E2779" s="8">
        <v>4</v>
      </c>
      <c r="F2779" s="7"/>
      <c r="G2779" s="7" t="s">
        <v>6984</v>
      </c>
      <c r="H2779" s="9"/>
      <c r="I2779" s="9"/>
      <c r="J2779" s="9"/>
      <c r="K2779" s="9"/>
      <c r="L2779" s="9"/>
      <c r="M2779" s="9"/>
      <c r="N2779" s="9"/>
      <c r="O2779" s="9"/>
      <c r="P2779" s="9"/>
      <c r="Q2779" s="9"/>
      <c r="R2779" s="9"/>
      <c r="S2779" s="7" t="s">
        <v>54</v>
      </c>
      <c r="T2779" s="7" t="s">
        <v>6980</v>
      </c>
      <c r="U2779" s="7"/>
      <c r="V2779" s="7"/>
      <c r="W2779" s="7"/>
      <c r="X2779" s="7"/>
      <c r="Y2779" s="7" t="s">
        <v>6985</v>
      </c>
      <c r="Z2779" s="7" t="s">
        <v>6986</v>
      </c>
      <c r="AA2779" s="7"/>
      <c r="AB2779" s="7"/>
      <c r="AC2779" s="7" t="s">
        <v>208</v>
      </c>
      <c r="AD2779" s="7" t="s">
        <v>6987</v>
      </c>
      <c r="AE2779" s="7"/>
      <c r="AF2779" s="7" t="s">
        <v>50</v>
      </c>
      <c r="AG2779" s="7" t="s">
        <v>175</v>
      </c>
      <c r="AH2779" s="7" t="s">
        <v>209</v>
      </c>
    </row>
    <row r="2780" spans="1:37" ht="9.75" customHeight="1" x14ac:dyDescent="0.2">
      <c r="A2780" s="7" t="s">
        <v>6657</v>
      </c>
      <c r="B2780" s="7" t="s">
        <v>38</v>
      </c>
      <c r="C2780" s="7"/>
      <c r="D2780" s="7" t="s">
        <v>6988</v>
      </c>
      <c r="E2780" s="8">
        <v>4</v>
      </c>
      <c r="F2780" s="7"/>
      <c r="G2780" s="7"/>
      <c r="H2780" s="9"/>
      <c r="I2780" s="9"/>
      <c r="J2780" s="9"/>
      <c r="K2780" s="9"/>
      <c r="L2780" s="9"/>
      <c r="M2780" s="9"/>
      <c r="N2780" s="9"/>
      <c r="O2780" s="9"/>
      <c r="P2780" s="9"/>
      <c r="Q2780" s="9"/>
      <c r="R2780" s="9"/>
      <c r="S2780" s="7" t="s">
        <v>54</v>
      </c>
      <c r="T2780" s="7" t="s">
        <v>6980</v>
      </c>
      <c r="U2780" s="7"/>
      <c r="V2780" s="7"/>
      <c r="W2780" s="7"/>
      <c r="X2780" s="7"/>
      <c r="Y2780" s="7" t="s">
        <v>6989</v>
      </c>
      <c r="Z2780" s="7" t="s">
        <v>6990</v>
      </c>
      <c r="AA2780" s="7"/>
      <c r="AB2780" s="7"/>
      <c r="AC2780" s="7" t="s">
        <v>208</v>
      </c>
      <c r="AD2780" s="7" t="s">
        <v>6991</v>
      </c>
      <c r="AE2780" s="7"/>
      <c r="AF2780" s="7" t="s">
        <v>50</v>
      </c>
      <c r="AG2780" s="7" t="s">
        <v>175</v>
      </c>
      <c r="AH2780" s="7" t="s">
        <v>209</v>
      </c>
    </row>
    <row r="2781" spans="1:37" ht="9.75" customHeight="1" x14ac:dyDescent="0.2">
      <c r="A2781" s="7" t="s">
        <v>6657</v>
      </c>
      <c r="B2781" s="7" t="s">
        <v>38</v>
      </c>
      <c r="C2781" s="7"/>
      <c r="D2781" s="7" t="s">
        <v>6992</v>
      </c>
      <c r="E2781" s="8">
        <v>4</v>
      </c>
      <c r="F2781" s="7"/>
      <c r="G2781" s="7" t="s">
        <v>6993</v>
      </c>
      <c r="H2781" s="9"/>
      <c r="I2781" s="9"/>
      <c r="J2781" s="9"/>
      <c r="K2781" s="9"/>
      <c r="L2781" s="9"/>
      <c r="M2781" s="9"/>
      <c r="N2781" s="9"/>
      <c r="O2781" s="9"/>
      <c r="P2781" s="9"/>
      <c r="Q2781" s="9"/>
      <c r="R2781" s="9"/>
      <c r="S2781" s="7" t="s">
        <v>54</v>
      </c>
      <c r="T2781" s="7" t="s">
        <v>6980</v>
      </c>
      <c r="U2781" s="7" t="s">
        <v>44</v>
      </c>
      <c r="V2781" s="7" t="s">
        <v>45</v>
      </c>
      <c r="W2781" s="7" t="s">
        <v>171</v>
      </c>
      <c r="X2781" s="7"/>
      <c r="Y2781" s="7" t="s">
        <v>6994</v>
      </c>
      <c r="Z2781" s="7" t="s">
        <v>6995</v>
      </c>
      <c r="AA2781" s="7"/>
      <c r="AB2781" s="7"/>
      <c r="AC2781" s="7" t="s">
        <v>208</v>
      </c>
      <c r="AD2781" s="7"/>
      <c r="AE2781" s="7"/>
      <c r="AF2781" s="7" t="s">
        <v>50</v>
      </c>
      <c r="AG2781" s="7" t="s">
        <v>175</v>
      </c>
      <c r="AH2781" s="7" t="s">
        <v>209</v>
      </c>
    </row>
    <row r="2782" spans="1:37" ht="9.75" customHeight="1" x14ac:dyDescent="0.2">
      <c r="A2782" s="7" t="s">
        <v>6657</v>
      </c>
      <c r="B2782" s="7" t="s">
        <v>38</v>
      </c>
      <c r="C2782" s="7" t="s">
        <v>6996</v>
      </c>
      <c r="D2782" s="7" t="s">
        <v>6997</v>
      </c>
      <c r="E2782" s="8">
        <v>4</v>
      </c>
      <c r="F2782" s="7"/>
      <c r="G2782" s="7" t="s">
        <v>6967</v>
      </c>
      <c r="H2782" s="9"/>
      <c r="I2782" s="10">
        <v>14299</v>
      </c>
      <c r="J2782" s="10">
        <v>9209</v>
      </c>
      <c r="K2782" s="9"/>
      <c r="L2782" s="10">
        <v>11138</v>
      </c>
      <c r="M2782" s="10">
        <v>0</v>
      </c>
      <c r="N2782" s="10">
        <v>11138</v>
      </c>
      <c r="O2782" s="9"/>
      <c r="P2782" s="10"/>
      <c r="Q2782" s="10"/>
      <c r="R2782" s="10"/>
      <c r="S2782" s="7"/>
      <c r="T2782" s="7"/>
      <c r="U2782" s="7"/>
      <c r="V2782" s="7"/>
      <c r="W2782" s="7"/>
      <c r="X2782" s="7"/>
      <c r="Y2782" s="7" t="s">
        <v>6998</v>
      </c>
      <c r="Z2782" s="7" t="s">
        <v>6995</v>
      </c>
      <c r="AA2782" s="7"/>
      <c r="AB2782" s="7"/>
      <c r="AC2782" s="7" t="s">
        <v>6996</v>
      </c>
      <c r="AD2782" s="7" t="s">
        <v>6997</v>
      </c>
      <c r="AE2782" s="7"/>
      <c r="AF2782" s="7"/>
      <c r="AG2782" s="7"/>
      <c r="AH2782" s="7" t="s">
        <v>6997</v>
      </c>
      <c r="AI2782">
        <v>15097</v>
      </c>
      <c r="AK2782">
        <v>15097</v>
      </c>
    </row>
    <row r="2783" spans="1:37" ht="9.75" customHeight="1" x14ac:dyDescent="0.2">
      <c r="A2783" s="7" t="s">
        <v>6657</v>
      </c>
      <c r="B2783" s="7" t="s">
        <v>38</v>
      </c>
      <c r="C2783" s="7" t="s">
        <v>6999</v>
      </c>
      <c r="D2783" s="7" t="s">
        <v>7000</v>
      </c>
      <c r="E2783" s="8">
        <v>4</v>
      </c>
      <c r="F2783" s="7"/>
      <c r="G2783" s="7" t="s">
        <v>6967</v>
      </c>
      <c r="H2783" s="9"/>
      <c r="I2783" s="10">
        <v>71070</v>
      </c>
      <c r="J2783" s="10">
        <v>129467</v>
      </c>
      <c r="K2783" s="9"/>
      <c r="L2783" s="10">
        <v>113115</v>
      </c>
      <c r="M2783" s="10">
        <v>0</v>
      </c>
      <c r="N2783" s="10">
        <v>113115</v>
      </c>
      <c r="O2783" s="9"/>
      <c r="P2783" s="10"/>
      <c r="Q2783" s="10"/>
      <c r="R2783" s="10"/>
      <c r="S2783" s="7"/>
      <c r="T2783" s="7"/>
      <c r="U2783" s="7" t="s">
        <v>44</v>
      </c>
      <c r="V2783" s="7" t="s">
        <v>45</v>
      </c>
      <c r="W2783" s="7" t="s">
        <v>46</v>
      </c>
      <c r="X2783" s="7" t="s">
        <v>90</v>
      </c>
      <c r="Y2783" s="7" t="s">
        <v>7001</v>
      </c>
      <c r="Z2783" s="7" t="s">
        <v>7002</v>
      </c>
      <c r="AA2783" s="7"/>
      <c r="AB2783" s="7"/>
      <c r="AC2783" s="7" t="s">
        <v>6999</v>
      </c>
      <c r="AD2783" s="7" t="s">
        <v>7000</v>
      </c>
      <c r="AE2783" s="7"/>
      <c r="AF2783" s="7"/>
      <c r="AG2783" s="7"/>
      <c r="AH2783" s="7" t="s">
        <v>7000</v>
      </c>
      <c r="AI2783">
        <v>173069</v>
      </c>
      <c r="AK2783">
        <v>173069</v>
      </c>
    </row>
    <row r="2784" spans="1:37" ht="9.75" customHeight="1" x14ac:dyDescent="0.2">
      <c r="A2784" s="7" t="s">
        <v>6657</v>
      </c>
      <c r="B2784" s="7" t="s">
        <v>38</v>
      </c>
      <c r="C2784" s="7" t="s">
        <v>7003</v>
      </c>
      <c r="D2784" s="7" t="s">
        <v>7004</v>
      </c>
      <c r="E2784" s="8">
        <v>4</v>
      </c>
      <c r="F2784" s="7"/>
      <c r="G2784" s="7" t="s">
        <v>6967</v>
      </c>
      <c r="H2784" s="9"/>
      <c r="I2784" s="10">
        <v>82595</v>
      </c>
      <c r="J2784" s="10">
        <v>68334</v>
      </c>
      <c r="K2784" s="9"/>
      <c r="L2784" s="10">
        <v>84584</v>
      </c>
      <c r="M2784" s="10">
        <v>0</v>
      </c>
      <c r="N2784" s="10">
        <v>84584</v>
      </c>
      <c r="O2784" s="9"/>
      <c r="P2784" s="10"/>
      <c r="Q2784" s="10"/>
      <c r="R2784" s="10"/>
      <c r="S2784" s="7"/>
      <c r="T2784" s="7"/>
      <c r="U2784" s="7" t="s">
        <v>44</v>
      </c>
      <c r="V2784" s="7" t="s">
        <v>45</v>
      </c>
      <c r="W2784" s="7" t="s">
        <v>46</v>
      </c>
      <c r="X2784" s="7" t="s">
        <v>90</v>
      </c>
      <c r="Y2784" s="7" t="s">
        <v>7005</v>
      </c>
      <c r="Z2784" s="7" t="s">
        <v>7006</v>
      </c>
      <c r="AA2784" s="7"/>
      <c r="AB2784" s="7"/>
      <c r="AC2784" s="7" t="s">
        <v>7003</v>
      </c>
      <c r="AD2784" s="7" t="s">
        <v>7004</v>
      </c>
      <c r="AE2784" s="7"/>
      <c r="AF2784" s="7"/>
      <c r="AG2784" s="7"/>
      <c r="AH2784" s="7" t="s">
        <v>7004</v>
      </c>
      <c r="AI2784">
        <v>88071</v>
      </c>
      <c r="AK2784">
        <v>88071</v>
      </c>
    </row>
    <row r="2785" spans="1:37" ht="9.75" customHeight="1" x14ac:dyDescent="0.2">
      <c r="A2785" s="7" t="s">
        <v>6657</v>
      </c>
      <c r="B2785" s="7" t="s">
        <v>38</v>
      </c>
      <c r="C2785" s="7" t="s">
        <v>7007</v>
      </c>
      <c r="D2785" s="7" t="s">
        <v>7008</v>
      </c>
      <c r="E2785" s="8">
        <v>4</v>
      </c>
      <c r="F2785" s="7"/>
      <c r="G2785" s="7" t="s">
        <v>7009</v>
      </c>
      <c r="H2785" s="9"/>
      <c r="I2785" s="10">
        <v>69855</v>
      </c>
      <c r="J2785" s="10">
        <v>59745</v>
      </c>
      <c r="K2785" s="9"/>
      <c r="L2785" s="10">
        <v>62943</v>
      </c>
      <c r="M2785" s="10">
        <v>0</v>
      </c>
      <c r="N2785" s="10">
        <v>62943</v>
      </c>
      <c r="O2785" s="9"/>
      <c r="P2785" s="10"/>
      <c r="Q2785" s="10"/>
      <c r="R2785" s="10"/>
      <c r="S2785" s="7" t="s">
        <v>43</v>
      </c>
      <c r="T2785" s="7"/>
      <c r="U2785" s="7"/>
      <c r="V2785" s="7"/>
      <c r="W2785" s="7"/>
      <c r="X2785" s="7"/>
      <c r="Y2785" s="7" t="s">
        <v>7010</v>
      </c>
      <c r="Z2785" s="7" t="s">
        <v>7011</v>
      </c>
      <c r="AA2785" s="7"/>
      <c r="AB2785" s="7"/>
      <c r="AC2785" s="7" t="s">
        <v>7007</v>
      </c>
      <c r="AD2785" s="7" t="s">
        <v>7008</v>
      </c>
      <c r="AE2785" s="7"/>
      <c r="AF2785" s="7"/>
      <c r="AG2785" s="7"/>
      <c r="AH2785" s="7" t="s">
        <v>7008</v>
      </c>
      <c r="AI2785">
        <v>57961</v>
      </c>
      <c r="AK2785">
        <v>57961</v>
      </c>
    </row>
    <row r="2786" spans="1:37" ht="9.75" customHeight="1" x14ac:dyDescent="0.2">
      <c r="A2786" s="7" t="s">
        <v>6657</v>
      </c>
      <c r="B2786" s="7" t="s">
        <v>38</v>
      </c>
      <c r="C2786" s="7"/>
      <c r="D2786" s="7" t="s">
        <v>7012</v>
      </c>
      <c r="E2786" s="8">
        <v>4</v>
      </c>
      <c r="F2786" s="7"/>
      <c r="G2786" s="7"/>
      <c r="H2786" s="9"/>
      <c r="I2786" s="9"/>
      <c r="J2786" s="9"/>
      <c r="K2786" s="9"/>
      <c r="L2786" s="9"/>
      <c r="M2786" s="9"/>
      <c r="N2786" s="9"/>
      <c r="O2786" s="9"/>
      <c r="P2786" s="9"/>
      <c r="Q2786" s="9"/>
      <c r="R2786" s="9"/>
      <c r="S2786" s="7" t="s">
        <v>54</v>
      </c>
      <c r="T2786" s="7" t="s">
        <v>7013</v>
      </c>
      <c r="U2786" s="7"/>
      <c r="V2786" s="7"/>
      <c r="W2786" s="7"/>
      <c r="X2786" s="7"/>
      <c r="Y2786" s="7" t="s">
        <v>7014</v>
      </c>
      <c r="Z2786" s="7" t="s">
        <v>7015</v>
      </c>
      <c r="AA2786" s="7"/>
      <c r="AB2786" s="7"/>
      <c r="AC2786" s="7" t="s">
        <v>7007</v>
      </c>
      <c r="AD2786" s="7"/>
      <c r="AE2786" s="7"/>
      <c r="AF2786" s="7"/>
      <c r="AG2786" s="7"/>
      <c r="AH2786" s="7" t="s">
        <v>7008</v>
      </c>
    </row>
    <row r="2787" spans="1:37" ht="9.75" customHeight="1" x14ac:dyDescent="0.2">
      <c r="A2787" s="7" t="s">
        <v>6657</v>
      </c>
      <c r="B2787" s="7" t="s">
        <v>38</v>
      </c>
      <c r="C2787" s="7"/>
      <c r="D2787" s="7" t="s">
        <v>4188</v>
      </c>
      <c r="E2787" s="8">
        <v>4</v>
      </c>
      <c r="F2787" s="7"/>
      <c r="G2787" s="7" t="s">
        <v>7016</v>
      </c>
      <c r="H2787" s="9"/>
      <c r="I2787" s="9"/>
      <c r="J2787" s="9"/>
      <c r="K2787" s="9"/>
      <c r="L2787" s="9"/>
      <c r="M2787" s="9"/>
      <c r="N2787" s="9"/>
      <c r="O2787" s="9"/>
      <c r="P2787" s="9"/>
      <c r="Q2787" s="9"/>
      <c r="R2787" s="9"/>
      <c r="S2787" s="7" t="s">
        <v>54</v>
      </c>
      <c r="T2787" s="7" t="s">
        <v>7013</v>
      </c>
      <c r="U2787" s="7"/>
      <c r="V2787" s="7"/>
      <c r="W2787" s="7"/>
      <c r="X2787" s="7"/>
      <c r="Y2787" s="7" t="s">
        <v>7017</v>
      </c>
      <c r="Z2787" s="7" t="s">
        <v>7018</v>
      </c>
      <c r="AA2787" s="7"/>
      <c r="AB2787" s="7"/>
      <c r="AC2787" s="7" t="s">
        <v>7007</v>
      </c>
      <c r="AD2787" s="7" t="s">
        <v>7019</v>
      </c>
      <c r="AE2787" s="7"/>
      <c r="AF2787" s="7"/>
      <c r="AG2787" s="7"/>
      <c r="AH2787" s="7" t="s">
        <v>7008</v>
      </c>
    </row>
    <row r="2788" spans="1:37" ht="9.75" customHeight="1" x14ac:dyDescent="0.2">
      <c r="A2788" s="7" t="s">
        <v>6657</v>
      </c>
      <c r="B2788" s="7" t="s">
        <v>38</v>
      </c>
      <c r="C2788" s="7"/>
      <c r="D2788" s="7" t="s">
        <v>7020</v>
      </c>
      <c r="E2788" s="8">
        <v>4</v>
      </c>
      <c r="F2788" s="7"/>
      <c r="G2788" s="7"/>
      <c r="H2788" s="9"/>
      <c r="I2788" s="9"/>
      <c r="J2788" s="9"/>
      <c r="K2788" s="9"/>
      <c r="L2788" s="9"/>
      <c r="M2788" s="9"/>
      <c r="N2788" s="9"/>
      <c r="O2788" s="9"/>
      <c r="P2788" s="9"/>
      <c r="Q2788" s="9"/>
      <c r="R2788" s="9"/>
      <c r="S2788" s="7" t="s">
        <v>54</v>
      </c>
      <c r="T2788" s="7" t="s">
        <v>7013</v>
      </c>
      <c r="U2788" s="7"/>
      <c r="V2788" s="7"/>
      <c r="W2788" s="7"/>
      <c r="X2788" s="7"/>
      <c r="Y2788" s="7" t="s">
        <v>7021</v>
      </c>
      <c r="Z2788" s="7" t="s">
        <v>7022</v>
      </c>
      <c r="AA2788" s="7"/>
      <c r="AB2788" s="7"/>
      <c r="AC2788" s="7" t="s">
        <v>7007</v>
      </c>
      <c r="AD2788" s="7" t="s">
        <v>7023</v>
      </c>
      <c r="AE2788" s="7"/>
      <c r="AF2788" s="7"/>
      <c r="AG2788" s="7"/>
      <c r="AH2788" s="7" t="s">
        <v>7008</v>
      </c>
    </row>
    <row r="2789" spans="1:37" ht="9.75" customHeight="1" x14ac:dyDescent="0.2">
      <c r="A2789" s="7" t="s">
        <v>6657</v>
      </c>
      <c r="B2789" s="7" t="s">
        <v>38</v>
      </c>
      <c r="C2789" s="7" t="s">
        <v>7024</v>
      </c>
      <c r="D2789" s="7" t="s">
        <v>7025</v>
      </c>
      <c r="E2789" s="8">
        <v>4</v>
      </c>
      <c r="F2789" s="7"/>
      <c r="G2789" s="7" t="s">
        <v>7026</v>
      </c>
      <c r="H2789" s="9"/>
      <c r="I2789" s="10">
        <v>37896</v>
      </c>
      <c r="J2789" s="10">
        <v>163071</v>
      </c>
      <c r="K2789" s="9"/>
      <c r="L2789" s="10">
        <v>63433</v>
      </c>
      <c r="M2789" s="10">
        <v>0</v>
      </c>
      <c r="N2789" s="10">
        <v>63433</v>
      </c>
      <c r="O2789" s="9"/>
      <c r="P2789" s="10"/>
      <c r="Q2789" s="10"/>
      <c r="R2789" s="10"/>
      <c r="S2789" s="7" t="s">
        <v>43</v>
      </c>
      <c r="T2789" s="7"/>
      <c r="U2789" s="7"/>
      <c r="V2789" s="7"/>
      <c r="W2789" s="7"/>
      <c r="X2789" s="7"/>
      <c r="Y2789" s="7" t="s">
        <v>7027</v>
      </c>
      <c r="Z2789" s="7" t="s">
        <v>7028</v>
      </c>
      <c r="AA2789" s="7"/>
      <c r="AB2789" s="7"/>
      <c r="AC2789" s="7" t="s">
        <v>7024</v>
      </c>
      <c r="AD2789" s="7" t="s">
        <v>7025</v>
      </c>
      <c r="AE2789" s="7"/>
      <c r="AF2789" s="7"/>
      <c r="AG2789" s="7"/>
      <c r="AH2789" s="7" t="s">
        <v>7025</v>
      </c>
      <c r="AI2789">
        <v>57768</v>
      </c>
      <c r="AK2789">
        <v>57768</v>
      </c>
    </row>
    <row r="2790" spans="1:37" ht="9.75" customHeight="1" x14ac:dyDescent="0.2">
      <c r="A2790" s="7" t="s">
        <v>6657</v>
      </c>
      <c r="B2790" s="7" t="s">
        <v>38</v>
      </c>
      <c r="C2790" s="7"/>
      <c r="D2790" s="7" t="s">
        <v>7029</v>
      </c>
      <c r="E2790" s="8">
        <v>4</v>
      </c>
      <c r="F2790" s="7"/>
      <c r="G2790" s="7" t="s">
        <v>7030</v>
      </c>
      <c r="H2790" s="9"/>
      <c r="I2790" s="9"/>
      <c r="J2790" s="9"/>
      <c r="K2790" s="9"/>
      <c r="L2790" s="9"/>
      <c r="M2790" s="9"/>
      <c r="N2790" s="9"/>
      <c r="O2790" s="9"/>
      <c r="P2790" s="9"/>
      <c r="Q2790" s="9"/>
      <c r="R2790" s="9"/>
      <c r="S2790" s="7" t="s">
        <v>54</v>
      </c>
      <c r="T2790" s="7" t="s">
        <v>7031</v>
      </c>
      <c r="U2790" s="7"/>
      <c r="V2790" s="7"/>
      <c r="W2790" s="7"/>
      <c r="X2790" s="7"/>
      <c r="Y2790" s="7" t="s">
        <v>7032</v>
      </c>
      <c r="Z2790" s="7" t="s">
        <v>7033</v>
      </c>
      <c r="AA2790" s="7"/>
      <c r="AB2790" s="7"/>
      <c r="AC2790" s="7" t="s">
        <v>7024</v>
      </c>
      <c r="AD2790" s="7"/>
      <c r="AE2790" s="7"/>
      <c r="AF2790" s="7"/>
      <c r="AG2790" s="7"/>
      <c r="AH2790" s="7" t="s">
        <v>7025</v>
      </c>
    </row>
    <row r="2791" spans="1:37" ht="9.75" customHeight="1" x14ac:dyDescent="0.2">
      <c r="A2791" s="7" t="s">
        <v>6657</v>
      </c>
      <c r="B2791" s="7" t="s">
        <v>38</v>
      </c>
      <c r="C2791" s="7" t="s">
        <v>7034</v>
      </c>
      <c r="D2791" s="7" t="s">
        <v>7035</v>
      </c>
      <c r="E2791" s="8">
        <v>4</v>
      </c>
      <c r="F2791" s="7"/>
      <c r="G2791" s="7" t="s">
        <v>7036</v>
      </c>
      <c r="H2791" s="9"/>
      <c r="I2791" s="9"/>
      <c r="J2791" s="9"/>
      <c r="K2791" s="9"/>
      <c r="L2791" s="10">
        <v>220453</v>
      </c>
      <c r="M2791" s="10">
        <v>0</v>
      </c>
      <c r="N2791" s="10">
        <v>220453</v>
      </c>
      <c r="O2791" s="9"/>
      <c r="P2791" s="10"/>
      <c r="Q2791" s="10"/>
      <c r="R2791" s="10"/>
      <c r="S2791" s="7"/>
      <c r="T2791" s="7"/>
      <c r="U2791" s="7"/>
      <c r="V2791" s="7"/>
      <c r="W2791" s="7"/>
      <c r="X2791" s="7"/>
      <c r="Y2791" s="7" t="s">
        <v>7037</v>
      </c>
      <c r="Z2791" s="7" t="s">
        <v>7038</v>
      </c>
      <c r="AA2791" s="7"/>
      <c r="AB2791" s="7"/>
      <c r="AC2791" s="7" t="s">
        <v>7034</v>
      </c>
      <c r="AD2791" s="7" t="s">
        <v>7035</v>
      </c>
      <c r="AE2791" s="7"/>
      <c r="AF2791" s="7"/>
      <c r="AG2791" s="7"/>
      <c r="AH2791" s="7" t="s">
        <v>7035</v>
      </c>
      <c r="AI2791">
        <v>202305</v>
      </c>
      <c r="AK2791">
        <v>202305</v>
      </c>
    </row>
    <row r="2792" spans="1:37" ht="9.75" customHeight="1" x14ac:dyDescent="0.2">
      <c r="A2792" s="7" t="s">
        <v>6657</v>
      </c>
      <c r="B2792" s="7" t="s">
        <v>38</v>
      </c>
      <c r="C2792" s="7" t="s">
        <v>7039</v>
      </c>
      <c r="D2792" s="7" t="s">
        <v>7040</v>
      </c>
      <c r="E2792" s="8">
        <v>4</v>
      </c>
      <c r="F2792" s="7"/>
      <c r="G2792" s="7" t="s">
        <v>7041</v>
      </c>
      <c r="H2792" s="9"/>
      <c r="I2792" s="10">
        <v>3473</v>
      </c>
      <c r="J2792" s="10">
        <v>4551</v>
      </c>
      <c r="K2792" s="9"/>
      <c r="L2792" s="10">
        <v>3389</v>
      </c>
      <c r="M2792" s="10">
        <v>0</v>
      </c>
      <c r="N2792" s="10">
        <v>3389</v>
      </c>
      <c r="O2792" s="9"/>
      <c r="P2792" s="10"/>
      <c r="Q2792" s="10"/>
      <c r="R2792" s="10"/>
      <c r="S2792" s="7"/>
      <c r="T2792" s="7"/>
      <c r="U2792" s="7"/>
      <c r="V2792" s="7"/>
      <c r="W2792" s="7"/>
      <c r="X2792" s="7"/>
      <c r="Y2792" s="7" t="s">
        <v>7042</v>
      </c>
      <c r="Z2792" s="7" t="s">
        <v>7043</v>
      </c>
      <c r="AA2792" s="7"/>
      <c r="AB2792" s="7"/>
      <c r="AC2792" s="7" t="s">
        <v>7039</v>
      </c>
      <c r="AD2792" s="7" t="s">
        <v>7044</v>
      </c>
      <c r="AE2792" s="7"/>
      <c r="AF2792" s="7"/>
      <c r="AG2792" s="7"/>
      <c r="AH2792" s="7" t="s">
        <v>7040</v>
      </c>
    </row>
    <row r="2793" spans="1:37" ht="9.75" customHeight="1" x14ac:dyDescent="0.2">
      <c r="A2793" s="7" t="s">
        <v>6657</v>
      </c>
      <c r="B2793" s="7" t="s">
        <v>38</v>
      </c>
      <c r="C2793" s="7" t="s">
        <v>7045</v>
      </c>
      <c r="D2793" s="7" t="s">
        <v>7046</v>
      </c>
      <c r="E2793" s="8">
        <v>4</v>
      </c>
      <c r="F2793" s="7"/>
      <c r="G2793" s="7" t="s">
        <v>7047</v>
      </c>
      <c r="H2793" s="9"/>
      <c r="I2793" s="10">
        <v>153614</v>
      </c>
      <c r="J2793" s="10">
        <v>155188</v>
      </c>
      <c r="K2793" s="9"/>
      <c r="L2793" s="10">
        <v>191239</v>
      </c>
      <c r="M2793" s="10">
        <v>0</v>
      </c>
      <c r="N2793" s="10">
        <v>191239</v>
      </c>
      <c r="O2793" s="9"/>
      <c r="P2793" s="10"/>
      <c r="Q2793" s="10"/>
      <c r="R2793" s="10"/>
      <c r="S2793" s="7" t="s">
        <v>43</v>
      </c>
      <c r="T2793" s="7"/>
      <c r="U2793" s="7"/>
      <c r="V2793" s="7"/>
      <c r="W2793" s="7"/>
      <c r="X2793" s="7"/>
      <c r="Y2793" s="7" t="s">
        <v>7048</v>
      </c>
      <c r="Z2793" s="7" t="s">
        <v>7049</v>
      </c>
      <c r="AA2793" s="7"/>
      <c r="AB2793" s="7"/>
      <c r="AC2793" s="7" t="s">
        <v>7045</v>
      </c>
      <c r="AD2793" s="7" t="s">
        <v>7046</v>
      </c>
      <c r="AE2793" s="7"/>
      <c r="AF2793" s="7"/>
      <c r="AG2793" s="7"/>
      <c r="AH2793" s="7" t="s">
        <v>7046</v>
      </c>
      <c r="AI2793">
        <v>349099</v>
      </c>
      <c r="AK2793">
        <v>349099</v>
      </c>
    </row>
    <row r="2794" spans="1:37" ht="9.75" customHeight="1" x14ac:dyDescent="0.2">
      <c r="A2794" s="7" t="s">
        <v>6657</v>
      </c>
      <c r="B2794" s="7" t="s">
        <v>38</v>
      </c>
      <c r="C2794" s="7"/>
      <c r="D2794" s="7" t="s">
        <v>7050</v>
      </c>
      <c r="E2794" s="8">
        <v>4</v>
      </c>
      <c r="F2794" s="7"/>
      <c r="G2794" s="7"/>
      <c r="H2794" s="9"/>
      <c r="I2794" s="9"/>
      <c r="J2794" s="9"/>
      <c r="K2794" s="9"/>
      <c r="L2794" s="9"/>
      <c r="M2794" s="9"/>
      <c r="N2794" s="9"/>
      <c r="O2794" s="9"/>
      <c r="P2794" s="9"/>
      <c r="Q2794" s="9"/>
      <c r="R2794" s="9"/>
      <c r="S2794" s="7" t="s">
        <v>54</v>
      </c>
      <c r="T2794" s="7" t="s">
        <v>7051</v>
      </c>
      <c r="U2794" s="7"/>
      <c r="V2794" s="7"/>
      <c r="W2794" s="7"/>
      <c r="X2794" s="7"/>
      <c r="Y2794" s="7" t="s">
        <v>7052</v>
      </c>
      <c r="Z2794" s="7" t="s">
        <v>7053</v>
      </c>
      <c r="AA2794" s="7"/>
      <c r="AB2794" s="7"/>
      <c r="AC2794" s="7" t="s">
        <v>7045</v>
      </c>
      <c r="AD2794" s="7"/>
      <c r="AE2794" s="7"/>
      <c r="AF2794" s="7"/>
      <c r="AG2794" s="7"/>
      <c r="AH2794" s="7" t="s">
        <v>7046</v>
      </c>
    </row>
    <row r="2795" spans="1:37" ht="9.75" customHeight="1" x14ac:dyDescent="0.2">
      <c r="A2795" s="7" t="s">
        <v>6657</v>
      </c>
      <c r="B2795" s="7" t="s">
        <v>38</v>
      </c>
      <c r="C2795" s="7"/>
      <c r="D2795" s="7" t="s">
        <v>7054</v>
      </c>
      <c r="E2795" s="8">
        <v>4</v>
      </c>
      <c r="F2795" s="7"/>
      <c r="G2795" s="7"/>
      <c r="H2795" s="9"/>
      <c r="I2795" s="9"/>
      <c r="J2795" s="9"/>
      <c r="K2795" s="9"/>
      <c r="L2795" s="9"/>
      <c r="M2795" s="9"/>
      <c r="N2795" s="9"/>
      <c r="O2795" s="9"/>
      <c r="P2795" s="9"/>
      <c r="Q2795" s="9"/>
      <c r="R2795" s="9"/>
      <c r="S2795" s="7" t="s">
        <v>54</v>
      </c>
      <c r="T2795" s="7" t="s">
        <v>7051</v>
      </c>
      <c r="U2795" s="7"/>
      <c r="V2795" s="7"/>
      <c r="W2795" s="7"/>
      <c r="X2795" s="7"/>
      <c r="Y2795" s="7" t="s">
        <v>7055</v>
      </c>
      <c r="Z2795" s="7" t="s">
        <v>7056</v>
      </c>
      <c r="AA2795" s="7"/>
      <c r="AB2795" s="7"/>
      <c r="AC2795" s="7" t="s">
        <v>7045</v>
      </c>
      <c r="AD2795" s="7" t="s">
        <v>7057</v>
      </c>
      <c r="AE2795" s="7"/>
      <c r="AF2795" s="7"/>
      <c r="AG2795" s="7"/>
      <c r="AH2795" s="7" t="s">
        <v>7046</v>
      </c>
    </row>
    <row r="2796" spans="1:37" ht="9.75" customHeight="1" x14ac:dyDescent="0.2">
      <c r="A2796" s="7" t="s">
        <v>6657</v>
      </c>
      <c r="B2796" s="7" t="s">
        <v>38</v>
      </c>
      <c r="C2796" s="7"/>
      <c r="D2796" s="7" t="s">
        <v>7058</v>
      </c>
      <c r="E2796" s="8">
        <v>4</v>
      </c>
      <c r="F2796" s="7"/>
      <c r="G2796" s="7" t="s">
        <v>7059</v>
      </c>
      <c r="H2796" s="9"/>
      <c r="I2796" s="9"/>
      <c r="J2796" s="9"/>
      <c r="K2796" s="9"/>
      <c r="L2796" s="9"/>
      <c r="M2796" s="9"/>
      <c r="N2796" s="9"/>
      <c r="O2796" s="9"/>
      <c r="P2796" s="9"/>
      <c r="Q2796" s="9"/>
      <c r="R2796" s="9"/>
      <c r="S2796" s="7" t="s">
        <v>54</v>
      </c>
      <c r="T2796" s="7" t="s">
        <v>7051</v>
      </c>
      <c r="U2796" s="7"/>
      <c r="V2796" s="7"/>
      <c r="W2796" s="7"/>
      <c r="X2796" s="7"/>
      <c r="Y2796" s="7" t="s">
        <v>7060</v>
      </c>
      <c r="Z2796" s="7" t="s">
        <v>7061</v>
      </c>
      <c r="AA2796" s="7"/>
      <c r="AB2796" s="7"/>
      <c r="AC2796" s="7" t="s">
        <v>7045</v>
      </c>
      <c r="AD2796" s="7" t="s">
        <v>7062</v>
      </c>
      <c r="AE2796" s="7"/>
      <c r="AF2796" s="7"/>
      <c r="AG2796" s="7"/>
      <c r="AH2796" s="7" t="s">
        <v>7046</v>
      </c>
    </row>
    <row r="2797" spans="1:37" ht="9.75" customHeight="1" x14ac:dyDescent="0.2">
      <c r="A2797" s="7" t="s">
        <v>6657</v>
      </c>
      <c r="B2797" s="7" t="s">
        <v>38</v>
      </c>
      <c r="C2797" s="7"/>
      <c r="D2797" s="7" t="s">
        <v>7063</v>
      </c>
      <c r="E2797" s="8">
        <v>4</v>
      </c>
      <c r="F2797" s="7"/>
      <c r="G2797" s="7" t="s">
        <v>7064</v>
      </c>
      <c r="H2797" s="9"/>
      <c r="I2797" s="9"/>
      <c r="J2797" s="9"/>
      <c r="K2797" s="9"/>
      <c r="L2797" s="9"/>
      <c r="M2797" s="9"/>
      <c r="N2797" s="9"/>
      <c r="O2797" s="9"/>
      <c r="P2797" s="9"/>
      <c r="Q2797" s="9"/>
      <c r="R2797" s="9"/>
      <c r="S2797" s="7" t="s">
        <v>54</v>
      </c>
      <c r="T2797" s="7" t="s">
        <v>7051</v>
      </c>
      <c r="U2797" s="7"/>
      <c r="V2797" s="7"/>
      <c r="W2797" s="7"/>
      <c r="X2797" s="7"/>
      <c r="Y2797" s="7" t="s">
        <v>7065</v>
      </c>
      <c r="Z2797" s="7" t="s">
        <v>7066</v>
      </c>
      <c r="AA2797" s="7"/>
      <c r="AB2797" s="7"/>
      <c r="AC2797" s="7" t="s">
        <v>7045</v>
      </c>
      <c r="AD2797" s="7"/>
      <c r="AE2797" s="7"/>
      <c r="AF2797" s="7"/>
      <c r="AG2797" s="7"/>
      <c r="AH2797" s="7" t="s">
        <v>7046</v>
      </c>
    </row>
    <row r="2798" spans="1:37" ht="9.75" customHeight="1" x14ac:dyDescent="0.2">
      <c r="A2798" s="7" t="s">
        <v>6657</v>
      </c>
      <c r="B2798" s="7" t="s">
        <v>38</v>
      </c>
      <c r="C2798" s="7" t="s">
        <v>7067</v>
      </c>
      <c r="D2798" s="7" t="s">
        <v>7068</v>
      </c>
      <c r="E2798" s="8">
        <v>4</v>
      </c>
      <c r="F2798" s="7"/>
      <c r="G2798" s="7" t="s">
        <v>7069</v>
      </c>
      <c r="H2798" s="9"/>
      <c r="I2798" s="10">
        <v>1078</v>
      </c>
      <c r="J2798" s="10">
        <v>1100</v>
      </c>
      <c r="K2798" s="9"/>
      <c r="L2798" s="10">
        <v>1122</v>
      </c>
      <c r="M2798" s="10">
        <v>0</v>
      </c>
      <c r="N2798" s="10">
        <v>1122</v>
      </c>
      <c r="O2798" s="9"/>
      <c r="P2798" s="10"/>
      <c r="Q2798" s="10"/>
      <c r="R2798" s="10"/>
      <c r="S2798" s="7"/>
      <c r="T2798" s="7"/>
      <c r="U2798" s="7"/>
      <c r="V2798" s="7"/>
      <c r="W2798" s="7"/>
      <c r="X2798" s="7"/>
      <c r="Y2798" s="7" t="s">
        <v>7070</v>
      </c>
      <c r="Z2798" s="7" t="s">
        <v>7071</v>
      </c>
      <c r="AA2798" s="7"/>
      <c r="AB2798" s="7"/>
      <c r="AC2798" s="7" t="s">
        <v>7067</v>
      </c>
      <c r="AD2798" s="7" t="s">
        <v>7072</v>
      </c>
      <c r="AE2798" s="7"/>
      <c r="AF2798" s="7"/>
      <c r="AG2798" s="7"/>
      <c r="AH2798" s="7" t="s">
        <v>7068</v>
      </c>
      <c r="AI2798">
        <v>1063</v>
      </c>
      <c r="AK2798">
        <v>1063</v>
      </c>
    </row>
    <row r="2799" spans="1:37" ht="9.75" customHeight="1" x14ac:dyDescent="0.2">
      <c r="A2799" s="7" t="s">
        <v>6657</v>
      </c>
      <c r="B2799" s="7" t="s">
        <v>38</v>
      </c>
      <c r="C2799" s="7" t="s">
        <v>7073</v>
      </c>
      <c r="D2799" s="7" t="s">
        <v>7074</v>
      </c>
      <c r="E2799" s="8">
        <v>4</v>
      </c>
      <c r="F2799" s="7"/>
      <c r="G2799" s="7" t="s">
        <v>7075</v>
      </c>
      <c r="H2799" s="9"/>
      <c r="I2799" s="10">
        <v>17071</v>
      </c>
      <c r="J2799" s="10">
        <v>15506</v>
      </c>
      <c r="K2799" s="9"/>
      <c r="L2799" s="10">
        <v>7841</v>
      </c>
      <c r="M2799" s="10">
        <v>0</v>
      </c>
      <c r="N2799" s="10">
        <v>7841</v>
      </c>
      <c r="O2799" s="9"/>
      <c r="P2799" s="10"/>
      <c r="Q2799" s="10"/>
      <c r="R2799" s="10"/>
      <c r="S2799" s="7"/>
      <c r="T2799" s="7"/>
      <c r="U2799" s="7"/>
      <c r="V2799" s="7"/>
      <c r="W2799" s="7"/>
      <c r="X2799" s="7"/>
      <c r="Y2799" s="7" t="s">
        <v>7076</v>
      </c>
      <c r="Z2799" s="7" t="s">
        <v>7077</v>
      </c>
      <c r="AA2799" s="7"/>
      <c r="AB2799" s="7"/>
      <c r="AC2799" s="7" t="s">
        <v>7073</v>
      </c>
      <c r="AD2799" s="7" t="s">
        <v>7074</v>
      </c>
      <c r="AE2799" s="7"/>
      <c r="AF2799" s="7"/>
      <c r="AG2799" s="7"/>
      <c r="AH2799" s="7" t="s">
        <v>7074</v>
      </c>
      <c r="AI2799">
        <v>7419</v>
      </c>
      <c r="AK2799">
        <v>7419</v>
      </c>
    </row>
    <row r="2800" spans="1:37" ht="9.75" customHeight="1" x14ac:dyDescent="0.2">
      <c r="A2800" s="7" t="s">
        <v>6657</v>
      </c>
      <c r="B2800" s="7" t="s">
        <v>38</v>
      </c>
      <c r="C2800" s="7" t="s">
        <v>7078</v>
      </c>
      <c r="D2800" s="7" t="s">
        <v>7079</v>
      </c>
      <c r="E2800" s="8">
        <v>4</v>
      </c>
      <c r="F2800" s="7"/>
      <c r="G2800" s="7" t="s">
        <v>7080</v>
      </c>
      <c r="H2800" s="9"/>
      <c r="I2800" s="10">
        <v>70678</v>
      </c>
      <c r="J2800" s="10">
        <v>49523</v>
      </c>
      <c r="K2800" s="9"/>
      <c r="L2800" s="10">
        <v>61512</v>
      </c>
      <c r="M2800" s="10">
        <v>0</v>
      </c>
      <c r="N2800" s="10">
        <v>61512</v>
      </c>
      <c r="O2800" s="9"/>
      <c r="P2800" s="10"/>
      <c r="Q2800" s="10"/>
      <c r="R2800" s="10"/>
      <c r="S2800" s="7" t="s">
        <v>43</v>
      </c>
      <c r="T2800" s="7"/>
      <c r="U2800" s="7"/>
      <c r="V2800" s="7"/>
      <c r="W2800" s="7"/>
      <c r="X2800" s="7"/>
      <c r="Y2800" s="7" t="s">
        <v>7081</v>
      </c>
      <c r="Z2800" s="7" t="s">
        <v>7082</v>
      </c>
      <c r="AA2800" s="7"/>
      <c r="AB2800" s="7"/>
      <c r="AC2800" s="7" t="s">
        <v>7078</v>
      </c>
      <c r="AD2800" s="7"/>
      <c r="AE2800" s="7"/>
      <c r="AF2800" s="7"/>
      <c r="AG2800" s="7"/>
      <c r="AH2800" s="7" t="s">
        <v>7079</v>
      </c>
      <c r="AI2800">
        <v>67106</v>
      </c>
      <c r="AK2800">
        <v>67106</v>
      </c>
    </row>
    <row r="2801" spans="1:37" ht="9.75" customHeight="1" x14ac:dyDescent="0.2">
      <c r="A2801" s="7" t="s">
        <v>6657</v>
      </c>
      <c r="B2801" s="7" t="s">
        <v>38</v>
      </c>
      <c r="C2801" s="7"/>
      <c r="D2801" s="7" t="s">
        <v>7083</v>
      </c>
      <c r="E2801" s="8">
        <v>4</v>
      </c>
      <c r="F2801" s="7"/>
      <c r="G2801" s="7" t="s">
        <v>7084</v>
      </c>
      <c r="H2801" s="9"/>
      <c r="I2801" s="9"/>
      <c r="J2801" s="9"/>
      <c r="K2801" s="9"/>
      <c r="L2801" s="9"/>
      <c r="M2801" s="9"/>
      <c r="N2801" s="9"/>
      <c r="O2801" s="9"/>
      <c r="P2801" s="9"/>
      <c r="Q2801" s="9"/>
      <c r="R2801" s="9"/>
      <c r="S2801" s="7" t="s">
        <v>54</v>
      </c>
      <c r="T2801" s="7" t="s">
        <v>7085</v>
      </c>
      <c r="U2801" s="7" t="s">
        <v>7086</v>
      </c>
      <c r="V2801" s="7" t="s">
        <v>7087</v>
      </c>
      <c r="W2801" s="7" t="s">
        <v>7088</v>
      </c>
      <c r="X2801" s="7" t="s">
        <v>7089</v>
      </c>
      <c r="Y2801" s="7" t="s">
        <v>7090</v>
      </c>
      <c r="Z2801" s="7" t="s">
        <v>7082</v>
      </c>
      <c r="AA2801" s="7"/>
      <c r="AB2801" s="7"/>
      <c r="AC2801" s="7" t="s">
        <v>7078</v>
      </c>
      <c r="AD2801" s="7" t="s">
        <v>7083</v>
      </c>
      <c r="AE2801" s="7" t="s">
        <v>7091</v>
      </c>
      <c r="AF2801" s="7"/>
      <c r="AG2801" s="7"/>
      <c r="AH2801" s="7" t="s">
        <v>7079</v>
      </c>
    </row>
    <row r="2802" spans="1:37" ht="9.75" customHeight="1" x14ac:dyDescent="0.2">
      <c r="A2802" s="7" t="s">
        <v>6657</v>
      </c>
      <c r="B2802" s="7" t="s">
        <v>38</v>
      </c>
      <c r="C2802" s="7"/>
      <c r="D2802" s="7" t="s">
        <v>7092</v>
      </c>
      <c r="E2802" s="8">
        <v>4</v>
      </c>
      <c r="F2802" s="7"/>
      <c r="G2802" s="7"/>
      <c r="H2802" s="9"/>
      <c r="I2802" s="9"/>
      <c r="J2802" s="9"/>
      <c r="K2802" s="9"/>
      <c r="L2802" s="9"/>
      <c r="M2802" s="9"/>
      <c r="N2802" s="9"/>
      <c r="O2802" s="9"/>
      <c r="P2802" s="9"/>
      <c r="Q2802" s="9"/>
      <c r="R2802" s="9"/>
      <c r="S2802" s="7" t="s">
        <v>54</v>
      </c>
      <c r="T2802" s="7" t="s">
        <v>7085</v>
      </c>
      <c r="U2802" s="7"/>
      <c r="V2802" s="7"/>
      <c r="W2802" s="7"/>
      <c r="X2802" s="7"/>
      <c r="Y2802" s="7" t="s">
        <v>7093</v>
      </c>
      <c r="Z2802" s="7" t="s">
        <v>7082</v>
      </c>
      <c r="AA2802" s="7"/>
      <c r="AB2802" s="7"/>
      <c r="AC2802" s="7" t="s">
        <v>7078</v>
      </c>
      <c r="AD2802" s="7" t="s">
        <v>7092</v>
      </c>
      <c r="AE2802" s="7" t="s">
        <v>7094</v>
      </c>
      <c r="AF2802" s="7"/>
      <c r="AG2802" s="7"/>
      <c r="AH2802" s="7" t="s">
        <v>7079</v>
      </c>
    </row>
    <row r="2803" spans="1:37" ht="9.75" customHeight="1" x14ac:dyDescent="0.2">
      <c r="A2803" s="7" t="s">
        <v>6657</v>
      </c>
      <c r="B2803" s="7" t="s">
        <v>38</v>
      </c>
      <c r="C2803" s="7"/>
      <c r="D2803" s="7" t="s">
        <v>7095</v>
      </c>
      <c r="E2803" s="8">
        <v>4</v>
      </c>
      <c r="F2803" s="7"/>
      <c r="G2803" s="7" t="s">
        <v>7096</v>
      </c>
      <c r="H2803" s="9"/>
      <c r="I2803" s="9"/>
      <c r="J2803" s="9"/>
      <c r="K2803" s="9"/>
      <c r="L2803" s="9"/>
      <c r="M2803" s="9"/>
      <c r="N2803" s="9"/>
      <c r="O2803" s="9"/>
      <c r="P2803" s="9"/>
      <c r="Q2803" s="9"/>
      <c r="R2803" s="9"/>
      <c r="S2803" s="7" t="s">
        <v>54</v>
      </c>
      <c r="T2803" s="7" t="s">
        <v>7085</v>
      </c>
      <c r="U2803" s="7"/>
      <c r="V2803" s="7"/>
      <c r="W2803" s="7"/>
      <c r="X2803" s="7"/>
      <c r="Y2803" s="7" t="s">
        <v>7097</v>
      </c>
      <c r="Z2803" s="7" t="s">
        <v>7082</v>
      </c>
      <c r="AA2803" s="7"/>
      <c r="AB2803" s="7"/>
      <c r="AC2803" s="7" t="s">
        <v>7078</v>
      </c>
      <c r="AD2803" s="7" t="s">
        <v>7095</v>
      </c>
      <c r="AE2803" s="7" t="s">
        <v>7098</v>
      </c>
      <c r="AF2803" s="7"/>
      <c r="AG2803" s="7"/>
      <c r="AH2803" s="7" t="s">
        <v>7079</v>
      </c>
    </row>
    <row r="2804" spans="1:37" ht="9.75" customHeight="1" x14ac:dyDescent="0.2">
      <c r="A2804" s="7" t="s">
        <v>6657</v>
      </c>
      <c r="B2804" s="7" t="s">
        <v>38</v>
      </c>
      <c r="C2804" s="7"/>
      <c r="D2804" s="7" t="s">
        <v>7099</v>
      </c>
      <c r="E2804" s="8">
        <v>4</v>
      </c>
      <c r="F2804" s="7"/>
      <c r="G2804" s="7" t="s">
        <v>7100</v>
      </c>
      <c r="H2804" s="9"/>
      <c r="I2804" s="9"/>
      <c r="J2804" s="9"/>
      <c r="K2804" s="9"/>
      <c r="L2804" s="9"/>
      <c r="M2804" s="9"/>
      <c r="N2804" s="9"/>
      <c r="O2804" s="9"/>
      <c r="P2804" s="9"/>
      <c r="Q2804" s="9"/>
      <c r="R2804" s="9"/>
      <c r="S2804" s="7" t="s">
        <v>54</v>
      </c>
      <c r="T2804" s="7" t="s">
        <v>7085</v>
      </c>
      <c r="U2804" s="7" t="s">
        <v>7086</v>
      </c>
      <c r="V2804" s="7" t="s">
        <v>7087</v>
      </c>
      <c r="W2804" s="7" t="s">
        <v>7088</v>
      </c>
      <c r="X2804" s="7" t="s">
        <v>7089</v>
      </c>
      <c r="Y2804" s="7" t="s">
        <v>7101</v>
      </c>
      <c r="Z2804" s="7" t="s">
        <v>7082</v>
      </c>
      <c r="AA2804" s="7"/>
      <c r="AB2804" s="7"/>
      <c r="AC2804" s="7" t="s">
        <v>7078</v>
      </c>
      <c r="AD2804" s="7"/>
      <c r="AE2804" s="7" t="s">
        <v>7102</v>
      </c>
      <c r="AF2804" s="7"/>
      <c r="AG2804" s="7"/>
      <c r="AH2804" s="7" t="s">
        <v>7079</v>
      </c>
    </row>
    <row r="2805" spans="1:37" ht="9.75" customHeight="1" x14ac:dyDescent="0.2">
      <c r="A2805" s="7" t="s">
        <v>6657</v>
      </c>
      <c r="B2805" s="7" t="s">
        <v>38</v>
      </c>
      <c r="C2805" s="7"/>
      <c r="D2805" s="7" t="s">
        <v>7103</v>
      </c>
      <c r="E2805" s="8">
        <v>4</v>
      </c>
      <c r="F2805" s="7"/>
      <c r="G2805" s="7" t="s">
        <v>7104</v>
      </c>
      <c r="H2805" s="9"/>
      <c r="I2805" s="9"/>
      <c r="J2805" s="9"/>
      <c r="K2805" s="9"/>
      <c r="L2805" s="9"/>
      <c r="M2805" s="9"/>
      <c r="N2805" s="9"/>
      <c r="O2805" s="9"/>
      <c r="P2805" s="9"/>
      <c r="Q2805" s="9"/>
      <c r="R2805" s="9"/>
      <c r="S2805" s="7" t="s">
        <v>54</v>
      </c>
      <c r="T2805" s="7" t="s">
        <v>7085</v>
      </c>
      <c r="U2805" s="7"/>
      <c r="V2805" s="7"/>
      <c r="W2805" s="7"/>
      <c r="X2805" s="7"/>
      <c r="Y2805" s="7" t="s">
        <v>7105</v>
      </c>
      <c r="Z2805" s="7" t="s">
        <v>7106</v>
      </c>
      <c r="AA2805" s="7"/>
      <c r="AB2805" s="7"/>
      <c r="AC2805" s="7" t="s">
        <v>7078</v>
      </c>
      <c r="AD2805" s="7" t="s">
        <v>7103</v>
      </c>
      <c r="AE2805" s="7" t="s">
        <v>7107</v>
      </c>
      <c r="AF2805" s="7"/>
      <c r="AG2805" s="7"/>
      <c r="AH2805" s="7" t="s">
        <v>7079</v>
      </c>
    </row>
    <row r="2806" spans="1:37" ht="9.75" customHeight="1" x14ac:dyDescent="0.2">
      <c r="A2806" s="7" t="s">
        <v>6657</v>
      </c>
      <c r="B2806" s="7" t="s">
        <v>38</v>
      </c>
      <c r="C2806" s="7"/>
      <c r="D2806" s="7" t="s">
        <v>7108</v>
      </c>
      <c r="E2806" s="8">
        <v>4</v>
      </c>
      <c r="F2806" s="7"/>
      <c r="G2806" s="7" t="s">
        <v>7109</v>
      </c>
      <c r="H2806" s="9"/>
      <c r="I2806" s="9"/>
      <c r="J2806" s="9"/>
      <c r="K2806" s="9"/>
      <c r="L2806" s="9"/>
      <c r="M2806" s="9"/>
      <c r="N2806" s="9"/>
      <c r="O2806" s="9"/>
      <c r="P2806" s="9"/>
      <c r="Q2806" s="9"/>
      <c r="R2806" s="9"/>
      <c r="S2806" s="7" t="s">
        <v>54</v>
      </c>
      <c r="T2806" s="7" t="s">
        <v>7085</v>
      </c>
      <c r="U2806" s="7"/>
      <c r="V2806" s="7"/>
      <c r="W2806" s="7"/>
      <c r="X2806" s="7"/>
      <c r="Y2806" s="7" t="s">
        <v>7110</v>
      </c>
      <c r="Z2806" s="7" t="s">
        <v>7106</v>
      </c>
      <c r="AA2806" s="7"/>
      <c r="AB2806" s="7"/>
      <c r="AC2806" s="7" t="s">
        <v>7078</v>
      </c>
      <c r="AD2806" s="7" t="s">
        <v>7108</v>
      </c>
      <c r="AE2806" s="7" t="s">
        <v>7111</v>
      </c>
      <c r="AF2806" s="7"/>
      <c r="AG2806" s="7"/>
      <c r="AH2806" s="7" t="s">
        <v>7079</v>
      </c>
    </row>
    <row r="2807" spans="1:37" ht="9.75" customHeight="1" x14ac:dyDescent="0.2">
      <c r="A2807" s="7" t="s">
        <v>6657</v>
      </c>
      <c r="B2807" s="7" t="s">
        <v>38</v>
      </c>
      <c r="C2807" s="7"/>
      <c r="D2807" s="7" t="s">
        <v>7112</v>
      </c>
      <c r="E2807" s="8">
        <v>4</v>
      </c>
      <c r="F2807" s="7"/>
      <c r="G2807" s="7"/>
      <c r="H2807" s="9"/>
      <c r="I2807" s="9"/>
      <c r="J2807" s="9"/>
      <c r="K2807" s="9"/>
      <c r="L2807" s="9"/>
      <c r="M2807" s="9"/>
      <c r="N2807" s="9"/>
      <c r="O2807" s="9"/>
      <c r="P2807" s="9"/>
      <c r="Q2807" s="9"/>
      <c r="R2807" s="9"/>
      <c r="S2807" s="7" t="s">
        <v>54</v>
      </c>
      <c r="T2807" s="7" t="s">
        <v>7085</v>
      </c>
      <c r="U2807" s="7"/>
      <c r="V2807" s="7"/>
      <c r="W2807" s="7"/>
      <c r="X2807" s="7"/>
      <c r="Y2807" s="7" t="s">
        <v>7113</v>
      </c>
      <c r="Z2807" s="7" t="s">
        <v>7106</v>
      </c>
      <c r="AA2807" s="7"/>
      <c r="AB2807" s="7"/>
      <c r="AC2807" s="7" t="s">
        <v>7078</v>
      </c>
      <c r="AD2807" s="7" t="s">
        <v>7112</v>
      </c>
      <c r="AE2807" s="7"/>
      <c r="AF2807" s="7"/>
      <c r="AG2807" s="7"/>
      <c r="AH2807" s="7" t="s">
        <v>7079</v>
      </c>
    </row>
    <row r="2808" spans="1:37" ht="9.75" customHeight="1" x14ac:dyDescent="0.2">
      <c r="A2808" s="7" t="s">
        <v>6657</v>
      </c>
      <c r="B2808" s="7" t="s">
        <v>38</v>
      </c>
      <c r="C2808" s="7"/>
      <c r="D2808" s="7" t="s">
        <v>7114</v>
      </c>
      <c r="E2808" s="8">
        <v>4</v>
      </c>
      <c r="F2808" s="7"/>
      <c r="G2808" s="7" t="s">
        <v>7115</v>
      </c>
      <c r="H2808" s="9"/>
      <c r="I2808" s="9"/>
      <c r="J2808" s="9"/>
      <c r="K2808" s="9"/>
      <c r="L2808" s="9"/>
      <c r="M2808" s="9"/>
      <c r="N2808" s="9"/>
      <c r="O2808" s="9"/>
      <c r="P2808" s="9"/>
      <c r="Q2808" s="9"/>
      <c r="R2808" s="9"/>
      <c r="S2808" s="7" t="s">
        <v>54</v>
      </c>
      <c r="T2808" s="7" t="s">
        <v>7085</v>
      </c>
      <c r="U2808" s="7"/>
      <c r="V2808" s="7"/>
      <c r="W2808" s="7"/>
      <c r="X2808" s="7"/>
      <c r="Y2808" s="7" t="s">
        <v>7116</v>
      </c>
      <c r="Z2808" s="7" t="s">
        <v>7106</v>
      </c>
      <c r="AA2808" s="7"/>
      <c r="AB2808" s="7"/>
      <c r="AC2808" s="7" t="s">
        <v>7078</v>
      </c>
      <c r="AD2808" s="7" t="s">
        <v>7114</v>
      </c>
      <c r="AE2808" s="7" t="s">
        <v>7117</v>
      </c>
      <c r="AF2808" s="7"/>
      <c r="AG2808" s="7"/>
      <c r="AH2808" s="7" t="s">
        <v>7079</v>
      </c>
    </row>
    <row r="2809" spans="1:37" ht="9.75" customHeight="1" x14ac:dyDescent="0.2">
      <c r="A2809" s="7" t="s">
        <v>7118</v>
      </c>
      <c r="B2809" s="7" t="s">
        <v>38</v>
      </c>
      <c r="C2809" s="7" t="s">
        <v>1474</v>
      </c>
      <c r="D2809" s="7" t="s">
        <v>7119</v>
      </c>
      <c r="E2809" s="8">
        <v>6</v>
      </c>
      <c r="F2809" s="7"/>
      <c r="G2809" s="7" t="s">
        <v>7120</v>
      </c>
      <c r="H2809" s="9"/>
      <c r="I2809" s="10">
        <v>310972</v>
      </c>
      <c r="J2809" s="10">
        <v>353441</v>
      </c>
      <c r="K2809" s="9"/>
      <c r="L2809" s="10">
        <v>249908</v>
      </c>
      <c r="M2809" s="10">
        <v>80000</v>
      </c>
      <c r="N2809" s="10">
        <v>329908</v>
      </c>
      <c r="O2809" s="9"/>
      <c r="P2809" s="10">
        <v>80000</v>
      </c>
      <c r="Q2809" s="10">
        <v>289908</v>
      </c>
      <c r="R2809" s="10">
        <v>369908</v>
      </c>
      <c r="S2809" s="7" t="s">
        <v>43</v>
      </c>
      <c r="T2809" s="7"/>
      <c r="U2809" s="7"/>
      <c r="V2809" s="7"/>
      <c r="W2809" s="7"/>
      <c r="X2809" s="7"/>
      <c r="Y2809" s="7" t="s">
        <v>7121</v>
      </c>
      <c r="Z2809" s="7" t="s">
        <v>63</v>
      </c>
      <c r="AA2809" s="7"/>
      <c r="AB2809" s="7"/>
      <c r="AC2809" s="7" t="s">
        <v>7122</v>
      </c>
      <c r="AD2809" s="7" t="s">
        <v>7123</v>
      </c>
      <c r="AE2809" s="7"/>
      <c r="AF2809" s="7"/>
      <c r="AG2809" s="7"/>
      <c r="AH2809" s="7" t="s">
        <v>7119</v>
      </c>
      <c r="AI2809">
        <v>300151</v>
      </c>
      <c r="AK2809">
        <v>300151</v>
      </c>
    </row>
    <row r="2810" spans="1:37" ht="9.75" customHeight="1" x14ac:dyDescent="0.2">
      <c r="A2810" s="7" t="s">
        <v>7118</v>
      </c>
      <c r="B2810" s="7" t="s">
        <v>38</v>
      </c>
      <c r="C2810" s="7"/>
      <c r="D2810" s="7" t="s">
        <v>7124</v>
      </c>
      <c r="E2810" s="8">
        <v>6</v>
      </c>
      <c r="F2810" s="7"/>
      <c r="G2810" s="7"/>
      <c r="H2810" s="9"/>
      <c r="I2810" s="10">
        <v>2396</v>
      </c>
      <c r="J2810" s="10">
        <v>4004</v>
      </c>
      <c r="K2810" s="9"/>
      <c r="L2810" s="10">
        <v>1590</v>
      </c>
      <c r="M2810" s="9"/>
      <c r="N2810" s="10">
        <v>1590</v>
      </c>
      <c r="O2810" s="9"/>
      <c r="P2810" s="10"/>
      <c r="Q2810" s="10"/>
      <c r="R2810" s="10"/>
      <c r="S2810" s="7" t="s">
        <v>54</v>
      </c>
      <c r="T2810" s="7" t="s">
        <v>7125</v>
      </c>
      <c r="U2810" s="7"/>
      <c r="V2810" s="7"/>
      <c r="W2810" s="7"/>
      <c r="X2810" s="7"/>
      <c r="Y2810" s="7" t="s">
        <v>7126</v>
      </c>
      <c r="Z2810" s="7" t="s">
        <v>765</v>
      </c>
      <c r="AA2810" s="7"/>
      <c r="AB2810" s="7"/>
      <c r="AC2810" s="7" t="s">
        <v>7122</v>
      </c>
      <c r="AD2810" s="7" t="s">
        <v>7123</v>
      </c>
      <c r="AE2810" s="7" t="s">
        <v>7127</v>
      </c>
      <c r="AF2810" s="7"/>
      <c r="AG2810" s="7"/>
      <c r="AH2810" s="7" t="s">
        <v>7119</v>
      </c>
    </row>
    <row r="2811" spans="1:37" ht="9.75" customHeight="1" x14ac:dyDescent="0.2">
      <c r="A2811" s="7" t="s">
        <v>7118</v>
      </c>
      <c r="B2811" s="7" t="s">
        <v>38</v>
      </c>
      <c r="C2811" s="7"/>
      <c r="D2811" s="7" t="s">
        <v>7128</v>
      </c>
      <c r="E2811" s="8">
        <v>6</v>
      </c>
      <c r="F2811" s="7"/>
      <c r="G2811" s="7"/>
      <c r="H2811" s="9"/>
      <c r="I2811" s="10">
        <v>133532</v>
      </c>
      <c r="J2811" s="10">
        <v>176356</v>
      </c>
      <c r="K2811" s="9"/>
      <c r="L2811" s="10">
        <v>124802</v>
      </c>
      <c r="M2811" s="9"/>
      <c r="N2811" s="10">
        <v>124802</v>
      </c>
      <c r="O2811" s="9"/>
      <c r="P2811" s="10"/>
      <c r="Q2811" s="10"/>
      <c r="R2811" s="10"/>
      <c r="S2811" s="7" t="s">
        <v>54</v>
      </c>
      <c r="T2811" s="7" t="s">
        <v>7125</v>
      </c>
      <c r="U2811" s="7"/>
      <c r="V2811" s="7"/>
      <c r="W2811" s="7"/>
      <c r="X2811" s="7"/>
      <c r="Y2811" s="7" t="s">
        <v>7126</v>
      </c>
      <c r="Z2811" s="7" t="s">
        <v>765</v>
      </c>
      <c r="AA2811" s="7"/>
      <c r="AB2811" s="7"/>
      <c r="AC2811" s="7" t="s">
        <v>7122</v>
      </c>
      <c r="AD2811" s="7" t="s">
        <v>7123</v>
      </c>
      <c r="AE2811" s="7" t="s">
        <v>7129</v>
      </c>
      <c r="AF2811" s="7"/>
      <c r="AG2811" s="7"/>
      <c r="AH2811" s="7" t="s">
        <v>7119</v>
      </c>
    </row>
    <row r="2812" spans="1:37" ht="9.75" customHeight="1" x14ac:dyDescent="0.2">
      <c r="A2812" s="7" t="s">
        <v>7118</v>
      </c>
      <c r="B2812" s="7" t="s">
        <v>38</v>
      </c>
      <c r="C2812" s="7"/>
      <c r="D2812" s="7" t="s">
        <v>7130</v>
      </c>
      <c r="E2812" s="8">
        <v>6</v>
      </c>
      <c r="F2812" s="7"/>
      <c r="G2812" s="7"/>
      <c r="H2812" s="9"/>
      <c r="I2812" s="10">
        <v>46840</v>
      </c>
      <c r="J2812" s="10">
        <v>53014</v>
      </c>
      <c r="K2812" s="9"/>
      <c r="L2812" s="10">
        <v>27347</v>
      </c>
      <c r="M2812" s="9"/>
      <c r="N2812" s="10">
        <v>27347</v>
      </c>
      <c r="O2812" s="9"/>
      <c r="P2812" s="10"/>
      <c r="Q2812" s="10"/>
      <c r="R2812" s="10"/>
      <c r="S2812" s="7" t="s">
        <v>54</v>
      </c>
      <c r="T2812" s="7" t="s">
        <v>7125</v>
      </c>
      <c r="U2812" s="7"/>
      <c r="V2812" s="7"/>
      <c r="W2812" s="7"/>
      <c r="X2812" s="7"/>
      <c r="Y2812" s="7" t="s">
        <v>7126</v>
      </c>
      <c r="Z2812" s="7" t="s">
        <v>765</v>
      </c>
      <c r="AA2812" s="7"/>
      <c r="AB2812" s="7"/>
      <c r="AC2812" s="7" t="s">
        <v>7122</v>
      </c>
      <c r="AD2812" s="7" t="s">
        <v>7123</v>
      </c>
      <c r="AE2812" s="7" t="s">
        <v>7131</v>
      </c>
      <c r="AF2812" s="7"/>
      <c r="AG2812" s="7"/>
      <c r="AH2812" s="7" t="s">
        <v>7119</v>
      </c>
    </row>
    <row r="2813" spans="1:37" ht="9.75" customHeight="1" x14ac:dyDescent="0.2">
      <c r="A2813" s="7" t="s">
        <v>7118</v>
      </c>
      <c r="B2813" s="7" t="s">
        <v>38</v>
      </c>
      <c r="C2813" s="7"/>
      <c r="D2813" s="7" t="s">
        <v>7132</v>
      </c>
      <c r="E2813" s="8">
        <v>6</v>
      </c>
      <c r="F2813" s="7"/>
      <c r="G2813" s="7"/>
      <c r="H2813" s="9"/>
      <c r="I2813" s="10">
        <v>2719</v>
      </c>
      <c r="J2813" s="10">
        <v>11212</v>
      </c>
      <c r="K2813" s="9"/>
      <c r="L2813" s="10">
        <v>18624</v>
      </c>
      <c r="M2813" s="9"/>
      <c r="N2813" s="10">
        <v>18624</v>
      </c>
      <c r="O2813" s="9"/>
      <c r="P2813" s="10"/>
      <c r="Q2813" s="10"/>
      <c r="R2813" s="10"/>
      <c r="S2813" s="7" t="s">
        <v>54</v>
      </c>
      <c r="T2813" s="7" t="s">
        <v>7125</v>
      </c>
      <c r="U2813" s="7"/>
      <c r="V2813" s="7"/>
      <c r="W2813" s="7"/>
      <c r="X2813" s="7"/>
      <c r="Y2813" s="7" t="s">
        <v>7133</v>
      </c>
      <c r="Z2813" s="7" t="s">
        <v>765</v>
      </c>
      <c r="AA2813" s="7"/>
      <c r="AB2813" s="7"/>
      <c r="AC2813" s="7" t="s">
        <v>7122</v>
      </c>
      <c r="AD2813" s="7" t="s">
        <v>7123</v>
      </c>
      <c r="AE2813" s="7" t="s">
        <v>7134</v>
      </c>
      <c r="AF2813" s="7"/>
      <c r="AG2813" s="7"/>
      <c r="AH2813" s="7" t="s">
        <v>7119</v>
      </c>
    </row>
    <row r="2814" spans="1:37" ht="9.75" customHeight="1" x14ac:dyDescent="0.2">
      <c r="A2814" s="7" t="s">
        <v>7118</v>
      </c>
      <c r="B2814" s="7" t="s">
        <v>38</v>
      </c>
      <c r="C2814" s="7"/>
      <c r="D2814" s="7" t="s">
        <v>7135</v>
      </c>
      <c r="E2814" s="8">
        <v>6</v>
      </c>
      <c r="F2814" s="7"/>
      <c r="G2814" s="7"/>
      <c r="H2814" s="9"/>
      <c r="I2814" s="10">
        <v>113128</v>
      </c>
      <c r="J2814" s="10">
        <v>66404</v>
      </c>
      <c r="K2814" s="9"/>
      <c r="L2814" s="9"/>
      <c r="M2814" s="9"/>
      <c r="N2814" s="9"/>
      <c r="O2814" s="9"/>
      <c r="P2814" s="9"/>
      <c r="Q2814" s="9"/>
      <c r="R2814" s="9"/>
      <c r="S2814" s="7" t="s">
        <v>54</v>
      </c>
      <c r="T2814" s="7" t="s">
        <v>7125</v>
      </c>
      <c r="U2814" s="7"/>
      <c r="V2814" s="7"/>
      <c r="W2814" s="7"/>
      <c r="X2814" s="7"/>
      <c r="Y2814" s="7" t="s">
        <v>7133</v>
      </c>
      <c r="Z2814" s="7" t="s">
        <v>765</v>
      </c>
      <c r="AA2814" s="7"/>
      <c r="AB2814" s="7"/>
      <c r="AC2814" s="7" t="s">
        <v>7122</v>
      </c>
      <c r="AD2814" s="7" t="s">
        <v>7123</v>
      </c>
      <c r="AE2814" s="7" t="s">
        <v>7136</v>
      </c>
      <c r="AF2814" s="7"/>
      <c r="AG2814" s="7"/>
      <c r="AH2814" s="7" t="s">
        <v>7119</v>
      </c>
    </row>
    <row r="2815" spans="1:37" ht="9.75" customHeight="1" x14ac:dyDescent="0.2">
      <c r="A2815" s="7" t="s">
        <v>7118</v>
      </c>
      <c r="B2815" s="7" t="s">
        <v>38</v>
      </c>
      <c r="C2815" s="7"/>
      <c r="D2815" s="7" t="s">
        <v>7137</v>
      </c>
      <c r="E2815" s="8">
        <v>6</v>
      </c>
      <c r="F2815" s="7"/>
      <c r="G2815" s="7"/>
      <c r="H2815" s="9"/>
      <c r="I2815" s="9"/>
      <c r="J2815" s="10">
        <v>29991</v>
      </c>
      <c r="K2815" s="9"/>
      <c r="L2815" s="10">
        <v>64766</v>
      </c>
      <c r="M2815" s="9"/>
      <c r="N2815" s="10">
        <v>64766</v>
      </c>
      <c r="O2815" s="9"/>
      <c r="P2815" s="10"/>
      <c r="Q2815" s="10"/>
      <c r="R2815" s="10"/>
      <c r="S2815" s="7" t="s">
        <v>54</v>
      </c>
      <c r="T2815" s="7" t="s">
        <v>7125</v>
      </c>
      <c r="U2815" s="7"/>
      <c r="V2815" s="7"/>
      <c r="W2815" s="7"/>
      <c r="X2815" s="7"/>
      <c r="Y2815" s="7" t="s">
        <v>7133</v>
      </c>
      <c r="Z2815" s="7" t="s">
        <v>817</v>
      </c>
      <c r="AA2815" s="7"/>
      <c r="AB2815" s="7"/>
      <c r="AC2815" s="7" t="s">
        <v>7122</v>
      </c>
      <c r="AD2815" s="7" t="s">
        <v>7123</v>
      </c>
      <c r="AE2815" s="7"/>
      <c r="AF2815" s="7"/>
      <c r="AG2815" s="7"/>
      <c r="AH2815" s="7" t="s">
        <v>7119</v>
      </c>
    </row>
    <row r="2816" spans="1:37" ht="9.75" customHeight="1" x14ac:dyDescent="0.2">
      <c r="A2816" s="7" t="s">
        <v>7118</v>
      </c>
      <c r="B2816" s="7" t="s">
        <v>38</v>
      </c>
      <c r="C2816" s="7"/>
      <c r="D2816" s="7" t="s">
        <v>7138</v>
      </c>
      <c r="E2816" s="8">
        <v>6</v>
      </c>
      <c r="F2816" s="7"/>
      <c r="G2816" s="7"/>
      <c r="H2816" s="9"/>
      <c r="I2816" s="9"/>
      <c r="J2816" s="9"/>
      <c r="K2816" s="9"/>
      <c r="L2816" s="9"/>
      <c r="M2816" s="9"/>
      <c r="N2816" s="9"/>
      <c r="O2816" s="9"/>
      <c r="P2816" s="9"/>
      <c r="Q2816" s="9"/>
      <c r="R2816" s="9"/>
      <c r="S2816" s="7" t="s">
        <v>54</v>
      </c>
      <c r="T2816" s="7" t="s">
        <v>7125</v>
      </c>
      <c r="U2816" s="7"/>
      <c r="V2816" s="7"/>
      <c r="W2816" s="7"/>
      <c r="X2816" s="7"/>
      <c r="Y2816" s="7" t="s">
        <v>7139</v>
      </c>
      <c r="Z2816" s="7" t="s">
        <v>817</v>
      </c>
      <c r="AA2816" s="7"/>
      <c r="AB2816" s="7"/>
      <c r="AC2816" s="7" t="s">
        <v>7122</v>
      </c>
      <c r="AD2816" s="7" t="s">
        <v>7123</v>
      </c>
      <c r="AE2816" s="7" t="s">
        <v>7140</v>
      </c>
      <c r="AF2816" s="7"/>
      <c r="AG2816" s="7"/>
      <c r="AH2816" s="7" t="s">
        <v>7119</v>
      </c>
    </row>
    <row r="2817" spans="1:37" ht="9.75" customHeight="1" x14ac:dyDescent="0.2">
      <c r="A2817" s="7" t="s">
        <v>7118</v>
      </c>
      <c r="B2817" s="7" t="s">
        <v>38</v>
      </c>
      <c r="C2817" s="7"/>
      <c r="D2817" s="7" t="s">
        <v>7141</v>
      </c>
      <c r="E2817" s="8">
        <v>6</v>
      </c>
      <c r="F2817" s="7"/>
      <c r="G2817" s="7"/>
      <c r="H2817" s="9"/>
      <c r="I2817" s="10">
        <v>3444</v>
      </c>
      <c r="J2817" s="10">
        <v>3379</v>
      </c>
      <c r="K2817" s="9"/>
      <c r="L2817" s="10">
        <v>3474</v>
      </c>
      <c r="M2817" s="9"/>
      <c r="N2817" s="10">
        <v>3474</v>
      </c>
      <c r="O2817" s="9"/>
      <c r="P2817" s="10"/>
      <c r="Q2817" s="10"/>
      <c r="R2817" s="10"/>
      <c r="S2817" s="7" t="s">
        <v>54</v>
      </c>
      <c r="T2817" s="7" t="s">
        <v>7125</v>
      </c>
      <c r="U2817" s="7"/>
      <c r="V2817" s="7"/>
      <c r="W2817" s="7"/>
      <c r="X2817" s="7"/>
      <c r="Y2817" s="7" t="s">
        <v>7142</v>
      </c>
      <c r="Z2817" s="7" t="s">
        <v>817</v>
      </c>
      <c r="AA2817" s="7"/>
      <c r="AB2817" s="7"/>
      <c r="AC2817" s="7" t="s">
        <v>7122</v>
      </c>
      <c r="AD2817" s="7" t="s">
        <v>7123</v>
      </c>
      <c r="AE2817" s="7" t="s">
        <v>7143</v>
      </c>
      <c r="AF2817" s="7"/>
      <c r="AG2817" s="7"/>
      <c r="AH2817" s="7" t="s">
        <v>7119</v>
      </c>
    </row>
    <row r="2818" spans="1:37" ht="9.75" customHeight="1" x14ac:dyDescent="0.2">
      <c r="A2818" s="7" t="s">
        <v>7118</v>
      </c>
      <c r="B2818" s="7" t="s">
        <v>38</v>
      </c>
      <c r="C2818" s="7"/>
      <c r="D2818" s="7" t="s">
        <v>7144</v>
      </c>
      <c r="E2818" s="8">
        <v>6</v>
      </c>
      <c r="F2818" s="7"/>
      <c r="G2818" s="7"/>
      <c r="H2818" s="9"/>
      <c r="I2818" s="10">
        <v>3803</v>
      </c>
      <c r="J2818" s="10">
        <v>3962</v>
      </c>
      <c r="K2818" s="9"/>
      <c r="L2818" s="10">
        <v>4041</v>
      </c>
      <c r="M2818" s="9"/>
      <c r="N2818" s="10">
        <v>4041</v>
      </c>
      <c r="O2818" s="9"/>
      <c r="P2818" s="10"/>
      <c r="Q2818" s="10"/>
      <c r="R2818" s="10"/>
      <c r="S2818" s="7" t="s">
        <v>54</v>
      </c>
      <c r="T2818" s="7" t="s">
        <v>7125</v>
      </c>
      <c r="U2818" s="7"/>
      <c r="V2818" s="7"/>
      <c r="W2818" s="7"/>
      <c r="X2818" s="7"/>
      <c r="Y2818" s="7" t="s">
        <v>7142</v>
      </c>
      <c r="Z2818" s="7" t="s">
        <v>817</v>
      </c>
      <c r="AA2818" s="7"/>
      <c r="AB2818" s="7"/>
      <c r="AC2818" s="7" t="s">
        <v>7122</v>
      </c>
      <c r="AD2818" s="7" t="s">
        <v>7123</v>
      </c>
      <c r="AE2818" s="7" t="s">
        <v>7143</v>
      </c>
      <c r="AF2818" s="7"/>
      <c r="AG2818" s="7"/>
      <c r="AH2818" s="7" t="s">
        <v>7119</v>
      </c>
    </row>
    <row r="2819" spans="1:37" ht="9.75" customHeight="1" x14ac:dyDescent="0.2">
      <c r="A2819" s="7" t="s">
        <v>7118</v>
      </c>
      <c r="B2819" s="7" t="s">
        <v>38</v>
      </c>
      <c r="C2819" s="7"/>
      <c r="D2819" s="7" t="s">
        <v>7145</v>
      </c>
      <c r="E2819" s="8">
        <v>6</v>
      </c>
      <c r="F2819" s="7"/>
      <c r="G2819" s="7"/>
      <c r="H2819" s="9"/>
      <c r="I2819" s="9"/>
      <c r="J2819" s="9"/>
      <c r="K2819" s="9"/>
      <c r="L2819" s="9"/>
      <c r="M2819" s="9"/>
      <c r="N2819" s="9"/>
      <c r="O2819" s="9"/>
      <c r="P2819" s="9"/>
      <c r="Q2819" s="9"/>
      <c r="R2819" s="9"/>
      <c r="S2819" s="7" t="s">
        <v>54</v>
      </c>
      <c r="T2819" s="7" t="s">
        <v>7125</v>
      </c>
      <c r="U2819" s="7"/>
      <c r="V2819" s="7"/>
      <c r="W2819" s="7"/>
      <c r="X2819" s="7"/>
      <c r="Y2819" s="7" t="s">
        <v>7142</v>
      </c>
      <c r="Z2819" s="7" t="s">
        <v>817</v>
      </c>
      <c r="AA2819" s="7"/>
      <c r="AB2819" s="7"/>
      <c r="AC2819" s="7" t="s">
        <v>7122</v>
      </c>
      <c r="AD2819" s="7" t="s">
        <v>7123</v>
      </c>
      <c r="AE2819" s="7" t="s">
        <v>7143</v>
      </c>
      <c r="AF2819" s="7"/>
      <c r="AG2819" s="7"/>
      <c r="AH2819" s="7" t="s">
        <v>7119</v>
      </c>
    </row>
    <row r="2820" spans="1:37" ht="9.75" customHeight="1" x14ac:dyDescent="0.2">
      <c r="A2820" s="7" t="s">
        <v>7118</v>
      </c>
      <c r="B2820" s="7" t="s">
        <v>38</v>
      </c>
      <c r="C2820" s="7"/>
      <c r="D2820" s="7" t="s">
        <v>7146</v>
      </c>
      <c r="E2820" s="8">
        <v>6</v>
      </c>
      <c r="F2820" s="7"/>
      <c r="G2820" s="7"/>
      <c r="H2820" s="9"/>
      <c r="I2820" s="10">
        <v>2555</v>
      </c>
      <c r="J2820" s="10">
        <v>2575</v>
      </c>
      <c r="K2820" s="9"/>
      <c r="L2820" s="10">
        <v>2626</v>
      </c>
      <c r="M2820" s="9"/>
      <c r="N2820" s="10">
        <v>2626</v>
      </c>
      <c r="O2820" s="9"/>
      <c r="P2820" s="10"/>
      <c r="Q2820" s="10"/>
      <c r="R2820" s="10"/>
      <c r="S2820" s="7" t="s">
        <v>54</v>
      </c>
      <c r="T2820" s="7" t="s">
        <v>7125</v>
      </c>
      <c r="U2820" s="7"/>
      <c r="V2820" s="7"/>
      <c r="W2820" s="7"/>
      <c r="X2820" s="7"/>
      <c r="Y2820" s="7" t="s">
        <v>7147</v>
      </c>
      <c r="Z2820" s="7" t="s">
        <v>854</v>
      </c>
      <c r="AA2820" s="7"/>
      <c r="AB2820" s="7"/>
      <c r="AC2820" s="7" t="s">
        <v>7122</v>
      </c>
      <c r="AD2820" s="7" t="s">
        <v>7123</v>
      </c>
      <c r="AE2820" s="7" t="s">
        <v>7148</v>
      </c>
      <c r="AF2820" s="7"/>
      <c r="AG2820" s="7"/>
      <c r="AH2820" s="7" t="s">
        <v>7119</v>
      </c>
    </row>
    <row r="2821" spans="1:37" ht="9.75" customHeight="1" x14ac:dyDescent="0.2">
      <c r="A2821" s="7" t="s">
        <v>7118</v>
      </c>
      <c r="B2821" s="7" t="s">
        <v>38</v>
      </c>
      <c r="C2821" s="7"/>
      <c r="D2821" s="7" t="s">
        <v>7149</v>
      </c>
      <c r="E2821" s="8">
        <v>6</v>
      </c>
      <c r="F2821" s="7"/>
      <c r="G2821" s="7"/>
      <c r="H2821" s="9"/>
      <c r="I2821" s="10">
        <v>2555</v>
      </c>
      <c r="J2821" s="10">
        <v>2544</v>
      </c>
      <c r="K2821" s="9"/>
      <c r="L2821" s="10">
        <v>2638</v>
      </c>
      <c r="M2821" s="9"/>
      <c r="N2821" s="10">
        <v>2638</v>
      </c>
      <c r="O2821" s="9"/>
      <c r="P2821" s="10"/>
      <c r="Q2821" s="10"/>
      <c r="R2821" s="10"/>
      <c r="S2821" s="7" t="s">
        <v>54</v>
      </c>
      <c r="T2821" s="7" t="s">
        <v>7125</v>
      </c>
      <c r="U2821" s="7"/>
      <c r="V2821" s="7"/>
      <c r="W2821" s="7"/>
      <c r="X2821" s="7"/>
      <c r="Y2821" s="7" t="s">
        <v>7147</v>
      </c>
      <c r="Z2821" s="7" t="s">
        <v>854</v>
      </c>
      <c r="AA2821" s="7"/>
      <c r="AB2821" s="7"/>
      <c r="AC2821" s="7" t="s">
        <v>7122</v>
      </c>
      <c r="AD2821" s="7" t="s">
        <v>7123</v>
      </c>
      <c r="AE2821" s="7" t="s">
        <v>7148</v>
      </c>
      <c r="AF2821" s="7"/>
      <c r="AG2821" s="7"/>
      <c r="AH2821" s="7" t="s">
        <v>7119</v>
      </c>
    </row>
    <row r="2822" spans="1:37" ht="9.75" customHeight="1" x14ac:dyDescent="0.2">
      <c r="A2822" s="7" t="s">
        <v>7118</v>
      </c>
      <c r="B2822" s="7" t="s">
        <v>38</v>
      </c>
      <c r="C2822" s="7" t="s">
        <v>1485</v>
      </c>
      <c r="D2822" s="7" t="s">
        <v>7150</v>
      </c>
      <c r="E2822" s="8">
        <v>4</v>
      </c>
      <c r="F2822" s="7"/>
      <c r="G2822" s="7" t="s">
        <v>7151</v>
      </c>
      <c r="H2822" s="9"/>
      <c r="I2822" s="10">
        <v>5392</v>
      </c>
      <c r="J2822" s="10">
        <v>5431</v>
      </c>
      <c r="K2822" s="9"/>
      <c r="L2822" s="10">
        <v>5191</v>
      </c>
      <c r="M2822" s="9"/>
      <c r="N2822" s="10">
        <v>5191</v>
      </c>
      <c r="O2822" s="9"/>
      <c r="P2822" s="10"/>
      <c r="Q2822" s="10">
        <v>5191</v>
      </c>
      <c r="R2822" s="10">
        <v>5191</v>
      </c>
      <c r="S2822" s="7" t="s">
        <v>43</v>
      </c>
      <c r="T2822" s="7"/>
      <c r="U2822" s="7"/>
      <c r="V2822" s="7"/>
      <c r="W2822" s="7"/>
      <c r="X2822" s="7"/>
      <c r="Y2822" s="7" t="s">
        <v>7152</v>
      </c>
      <c r="Z2822" s="7" t="s">
        <v>1160</v>
      </c>
      <c r="AA2822" s="7"/>
      <c r="AB2822" s="7"/>
      <c r="AC2822" s="7" t="s">
        <v>7153</v>
      </c>
      <c r="AD2822" s="7" t="s">
        <v>7150</v>
      </c>
      <c r="AE2822" s="7"/>
      <c r="AF2822" s="7"/>
      <c r="AG2822" s="7"/>
      <c r="AH2822" s="7" t="s">
        <v>7150</v>
      </c>
      <c r="AI2822">
        <v>4831</v>
      </c>
      <c r="AK2822">
        <v>4831</v>
      </c>
    </row>
    <row r="2823" spans="1:37" ht="9.75" customHeight="1" x14ac:dyDescent="0.2">
      <c r="A2823" s="7" t="s">
        <v>7118</v>
      </c>
      <c r="B2823" s="7" t="s">
        <v>38</v>
      </c>
      <c r="C2823" s="7"/>
      <c r="D2823" s="7" t="s">
        <v>7154</v>
      </c>
      <c r="E2823" s="8">
        <v>4</v>
      </c>
      <c r="F2823" s="7"/>
      <c r="G2823" s="7"/>
      <c r="H2823" s="9"/>
      <c r="I2823" s="10">
        <v>1721</v>
      </c>
      <c r="J2823" s="10">
        <v>1777</v>
      </c>
      <c r="K2823" s="9"/>
      <c r="L2823" s="10">
        <v>1811</v>
      </c>
      <c r="M2823" s="9"/>
      <c r="N2823" s="10">
        <v>1811</v>
      </c>
      <c r="O2823" s="9"/>
      <c r="P2823" s="10"/>
      <c r="Q2823" s="10"/>
      <c r="R2823" s="10"/>
      <c r="S2823" s="7" t="s">
        <v>54</v>
      </c>
      <c r="T2823" s="7" t="s">
        <v>7155</v>
      </c>
      <c r="U2823" s="7"/>
      <c r="V2823" s="7"/>
      <c r="W2823" s="7"/>
      <c r="X2823" s="7"/>
      <c r="Y2823" s="7" t="s">
        <v>7156</v>
      </c>
      <c r="Z2823" s="7" t="s">
        <v>1184</v>
      </c>
      <c r="AA2823" s="7"/>
      <c r="AB2823" s="7"/>
      <c r="AC2823" s="7" t="s">
        <v>7153</v>
      </c>
      <c r="AD2823" s="7" t="s">
        <v>7150</v>
      </c>
      <c r="AE2823" s="7"/>
      <c r="AF2823" s="7"/>
      <c r="AG2823" s="7"/>
      <c r="AH2823" s="7" t="s">
        <v>7150</v>
      </c>
    </row>
    <row r="2824" spans="1:37" ht="9.75" customHeight="1" x14ac:dyDescent="0.2">
      <c r="A2824" s="7" t="s">
        <v>7118</v>
      </c>
      <c r="B2824" s="7" t="s">
        <v>38</v>
      </c>
      <c r="C2824" s="7"/>
      <c r="D2824" s="7" t="s">
        <v>7157</v>
      </c>
      <c r="E2824" s="8">
        <v>6</v>
      </c>
      <c r="F2824" s="7"/>
      <c r="G2824" s="7"/>
      <c r="H2824" s="9"/>
      <c r="I2824" s="10">
        <v>1843</v>
      </c>
      <c r="J2824" s="10">
        <v>1884</v>
      </c>
      <c r="K2824" s="9"/>
      <c r="L2824" s="10">
        <v>1921</v>
      </c>
      <c r="M2824" s="9"/>
      <c r="N2824" s="10">
        <v>1921</v>
      </c>
      <c r="O2824" s="9"/>
      <c r="P2824" s="10"/>
      <c r="Q2824" s="10"/>
      <c r="R2824" s="10"/>
      <c r="S2824" s="7" t="s">
        <v>54</v>
      </c>
      <c r="T2824" s="7" t="s">
        <v>7155</v>
      </c>
      <c r="U2824" s="7"/>
      <c r="V2824" s="7"/>
      <c r="W2824" s="7"/>
      <c r="X2824" s="7"/>
      <c r="Y2824" s="7" t="s">
        <v>7156</v>
      </c>
      <c r="Z2824" s="7" t="s">
        <v>1184</v>
      </c>
      <c r="AA2824" s="7"/>
      <c r="AB2824" s="7"/>
      <c r="AC2824" s="7" t="s">
        <v>7153</v>
      </c>
      <c r="AD2824" s="7" t="s">
        <v>7150</v>
      </c>
      <c r="AE2824" s="7"/>
      <c r="AF2824" s="7"/>
      <c r="AG2824" s="7"/>
      <c r="AH2824" s="7" t="s">
        <v>7150</v>
      </c>
    </row>
    <row r="2825" spans="1:37" ht="9.75" customHeight="1" x14ac:dyDescent="0.2">
      <c r="A2825" s="7" t="s">
        <v>7118</v>
      </c>
      <c r="B2825" s="7" t="s">
        <v>38</v>
      </c>
      <c r="C2825" s="7"/>
      <c r="D2825" s="7" t="s">
        <v>7158</v>
      </c>
      <c r="E2825" s="8">
        <v>6</v>
      </c>
      <c r="F2825" s="7"/>
      <c r="G2825" s="7"/>
      <c r="H2825" s="9"/>
      <c r="I2825" s="10">
        <v>218</v>
      </c>
      <c r="J2825" s="10">
        <v>206</v>
      </c>
      <c r="K2825" s="9"/>
      <c r="L2825" s="10">
        <v>175</v>
      </c>
      <c r="M2825" s="9"/>
      <c r="N2825" s="10">
        <v>175</v>
      </c>
      <c r="O2825" s="9"/>
      <c r="P2825" s="10"/>
      <c r="Q2825" s="10"/>
      <c r="R2825" s="10"/>
      <c r="S2825" s="7" t="s">
        <v>54</v>
      </c>
      <c r="T2825" s="7" t="s">
        <v>7155</v>
      </c>
      <c r="U2825" s="7"/>
      <c r="V2825" s="7"/>
      <c r="W2825" s="7"/>
      <c r="X2825" s="7"/>
      <c r="Y2825" s="7" t="s">
        <v>7159</v>
      </c>
      <c r="Z2825" s="7" t="s">
        <v>1184</v>
      </c>
      <c r="AA2825" s="7"/>
      <c r="AB2825" s="7"/>
      <c r="AC2825" s="7" t="s">
        <v>7153</v>
      </c>
      <c r="AD2825" s="7" t="s">
        <v>7150</v>
      </c>
      <c r="AE2825" s="7"/>
      <c r="AF2825" s="7"/>
      <c r="AG2825" s="7"/>
      <c r="AH2825" s="7" t="s">
        <v>7150</v>
      </c>
    </row>
    <row r="2826" spans="1:37" ht="9.75" customHeight="1" x14ac:dyDescent="0.2">
      <c r="A2826" s="7" t="s">
        <v>7118</v>
      </c>
      <c r="B2826" s="7" t="s">
        <v>38</v>
      </c>
      <c r="C2826" s="7"/>
      <c r="D2826" s="7" t="s">
        <v>7160</v>
      </c>
      <c r="E2826" s="8">
        <v>6</v>
      </c>
      <c r="F2826" s="7"/>
      <c r="G2826" s="7"/>
      <c r="H2826" s="9"/>
      <c r="I2826" s="10">
        <v>550</v>
      </c>
      <c r="J2826" s="10">
        <v>541</v>
      </c>
      <c r="K2826" s="9"/>
      <c r="L2826" s="10">
        <v>461</v>
      </c>
      <c r="M2826" s="9"/>
      <c r="N2826" s="10">
        <v>461</v>
      </c>
      <c r="O2826" s="9"/>
      <c r="P2826" s="10"/>
      <c r="Q2826" s="10"/>
      <c r="R2826" s="10"/>
      <c r="S2826" s="7" t="s">
        <v>54</v>
      </c>
      <c r="T2826" s="7" t="s">
        <v>7155</v>
      </c>
      <c r="U2826" s="7"/>
      <c r="V2826" s="7"/>
      <c r="W2826" s="7"/>
      <c r="X2826" s="7"/>
      <c r="Y2826" s="7" t="s">
        <v>7159</v>
      </c>
      <c r="Z2826" s="7" t="s">
        <v>1184</v>
      </c>
      <c r="AA2826" s="7"/>
      <c r="AB2826" s="7"/>
      <c r="AC2826" s="7" t="s">
        <v>7153</v>
      </c>
      <c r="AD2826" s="7" t="s">
        <v>7150</v>
      </c>
      <c r="AE2826" s="7"/>
      <c r="AF2826" s="7"/>
      <c r="AG2826" s="7"/>
      <c r="AH2826" s="7" t="s">
        <v>7150</v>
      </c>
    </row>
    <row r="2827" spans="1:37" ht="9.75" customHeight="1" x14ac:dyDescent="0.2">
      <c r="A2827" s="7" t="s">
        <v>7118</v>
      </c>
      <c r="B2827" s="7" t="s">
        <v>38</v>
      </c>
      <c r="C2827" s="7"/>
      <c r="D2827" s="7" t="s">
        <v>7161</v>
      </c>
      <c r="E2827" s="8">
        <v>6</v>
      </c>
      <c r="F2827" s="7"/>
      <c r="G2827" s="7"/>
      <c r="H2827" s="9"/>
      <c r="I2827" s="10">
        <v>573</v>
      </c>
      <c r="J2827" s="10">
        <v>567</v>
      </c>
      <c r="K2827" s="9"/>
      <c r="L2827" s="10">
        <v>445</v>
      </c>
      <c r="M2827" s="9"/>
      <c r="N2827" s="10">
        <v>445</v>
      </c>
      <c r="O2827" s="9"/>
      <c r="P2827" s="10"/>
      <c r="Q2827" s="10"/>
      <c r="R2827" s="10"/>
      <c r="S2827" s="7" t="s">
        <v>54</v>
      </c>
      <c r="T2827" s="7" t="s">
        <v>7155</v>
      </c>
      <c r="U2827" s="7"/>
      <c r="V2827" s="7"/>
      <c r="W2827" s="7"/>
      <c r="X2827" s="7"/>
      <c r="Y2827" s="7" t="s">
        <v>7159</v>
      </c>
      <c r="Z2827" s="7" t="s">
        <v>1184</v>
      </c>
      <c r="AA2827" s="7"/>
      <c r="AB2827" s="7"/>
      <c r="AC2827" s="7" t="s">
        <v>7153</v>
      </c>
      <c r="AD2827" s="7" t="s">
        <v>7150</v>
      </c>
      <c r="AE2827" s="7"/>
      <c r="AF2827" s="7"/>
      <c r="AG2827" s="7"/>
      <c r="AH2827" s="7" t="s">
        <v>7150</v>
      </c>
    </row>
    <row r="2828" spans="1:37" ht="9.75" customHeight="1" x14ac:dyDescent="0.2">
      <c r="A2828" s="7" t="s">
        <v>7118</v>
      </c>
      <c r="B2828" s="7" t="s">
        <v>38</v>
      </c>
      <c r="C2828" s="7"/>
      <c r="D2828" s="7" t="s">
        <v>7162</v>
      </c>
      <c r="E2828" s="8">
        <v>6</v>
      </c>
      <c r="F2828" s="7"/>
      <c r="G2828" s="7"/>
      <c r="H2828" s="9"/>
      <c r="I2828" s="10">
        <v>160</v>
      </c>
      <c r="J2828" s="10">
        <v>138</v>
      </c>
      <c r="K2828" s="9"/>
      <c r="L2828" s="10">
        <v>118</v>
      </c>
      <c r="M2828" s="9"/>
      <c r="N2828" s="10">
        <v>118</v>
      </c>
      <c r="O2828" s="9"/>
      <c r="P2828" s="10"/>
      <c r="Q2828" s="10"/>
      <c r="R2828" s="10"/>
      <c r="S2828" s="7" t="s">
        <v>54</v>
      </c>
      <c r="T2828" s="7" t="s">
        <v>7155</v>
      </c>
      <c r="U2828" s="7"/>
      <c r="V2828" s="7"/>
      <c r="W2828" s="7"/>
      <c r="X2828" s="7"/>
      <c r="Y2828" s="7" t="s">
        <v>7159</v>
      </c>
      <c r="Z2828" s="7" t="s">
        <v>1184</v>
      </c>
      <c r="AA2828" s="7"/>
      <c r="AB2828" s="7"/>
      <c r="AC2828" s="7" t="s">
        <v>7153</v>
      </c>
      <c r="AD2828" s="7" t="s">
        <v>7150</v>
      </c>
      <c r="AE2828" s="7"/>
      <c r="AF2828" s="7"/>
      <c r="AG2828" s="7"/>
      <c r="AH2828" s="7" t="s">
        <v>7150</v>
      </c>
    </row>
    <row r="2829" spans="1:37" ht="9.75" customHeight="1" x14ac:dyDescent="0.2">
      <c r="A2829" s="7" t="s">
        <v>7118</v>
      </c>
      <c r="B2829" s="7" t="s">
        <v>38</v>
      </c>
      <c r="C2829" s="7"/>
      <c r="D2829" s="7" t="s">
        <v>7163</v>
      </c>
      <c r="E2829" s="8">
        <v>6</v>
      </c>
      <c r="F2829" s="7"/>
      <c r="G2829" s="7"/>
      <c r="H2829" s="9"/>
      <c r="I2829" s="10">
        <v>327</v>
      </c>
      <c r="J2829" s="10">
        <v>318</v>
      </c>
      <c r="K2829" s="9"/>
      <c r="L2829" s="10">
        <v>260</v>
      </c>
      <c r="M2829" s="9"/>
      <c r="N2829" s="10">
        <v>260</v>
      </c>
      <c r="O2829" s="9"/>
      <c r="P2829" s="10"/>
      <c r="Q2829" s="10"/>
      <c r="R2829" s="10"/>
      <c r="S2829" s="7" t="s">
        <v>54</v>
      </c>
      <c r="T2829" s="7" t="s">
        <v>7155</v>
      </c>
      <c r="U2829" s="7"/>
      <c r="V2829" s="7"/>
      <c r="W2829" s="7"/>
      <c r="X2829" s="7"/>
      <c r="Y2829" s="7" t="s">
        <v>7159</v>
      </c>
      <c r="Z2829" s="7" t="s">
        <v>1184</v>
      </c>
      <c r="AA2829" s="7"/>
      <c r="AB2829" s="7"/>
      <c r="AC2829" s="7" t="s">
        <v>7153</v>
      </c>
      <c r="AD2829" s="7" t="s">
        <v>7150</v>
      </c>
      <c r="AE2829" s="7"/>
      <c r="AF2829" s="7" t="s">
        <v>113</v>
      </c>
      <c r="AG2829" s="7" t="s">
        <v>366</v>
      </c>
      <c r="AH2829" s="7" t="s">
        <v>7150</v>
      </c>
    </row>
    <row r="2830" spans="1:37" ht="9.75" customHeight="1" x14ac:dyDescent="0.2">
      <c r="A2830" s="7" t="s">
        <v>7118</v>
      </c>
      <c r="B2830" s="7" t="s">
        <v>38</v>
      </c>
      <c r="C2830" s="7" t="s">
        <v>7164</v>
      </c>
      <c r="D2830" s="7" t="s">
        <v>7165</v>
      </c>
      <c r="E2830" s="8">
        <v>6</v>
      </c>
      <c r="F2830" s="7"/>
      <c r="G2830" s="7" t="s">
        <v>7166</v>
      </c>
      <c r="H2830" s="9"/>
      <c r="I2830" s="10">
        <v>145685</v>
      </c>
      <c r="J2830" s="10">
        <v>138062</v>
      </c>
      <c r="K2830" s="9"/>
      <c r="L2830" s="10">
        <v>123435</v>
      </c>
      <c r="M2830" s="9"/>
      <c r="N2830" s="10">
        <v>123435</v>
      </c>
      <c r="O2830" s="9"/>
      <c r="P2830" s="10"/>
      <c r="Q2830" s="10">
        <v>123435</v>
      </c>
      <c r="R2830" s="10">
        <v>123435</v>
      </c>
      <c r="S2830" s="7" t="s">
        <v>43</v>
      </c>
      <c r="T2830" s="7"/>
      <c r="U2830" s="7"/>
      <c r="V2830" s="7"/>
      <c r="W2830" s="7"/>
      <c r="X2830" s="7"/>
      <c r="Y2830" s="7" t="s">
        <v>7167</v>
      </c>
      <c r="Z2830" s="7" t="s">
        <v>1208</v>
      </c>
      <c r="AA2830" s="7"/>
      <c r="AB2830" s="7"/>
      <c r="AC2830" s="7" t="s">
        <v>7168</v>
      </c>
      <c r="AD2830" s="7" t="s">
        <v>7165</v>
      </c>
      <c r="AE2830" s="7"/>
      <c r="AF2830" s="7"/>
      <c r="AG2830" s="7"/>
      <c r="AH2830" s="7" t="s">
        <v>7165</v>
      </c>
      <c r="AI2830">
        <v>119900</v>
      </c>
      <c r="AK2830">
        <v>119900</v>
      </c>
    </row>
    <row r="2831" spans="1:37" ht="9.75" customHeight="1" x14ac:dyDescent="0.2">
      <c r="A2831" s="7" t="s">
        <v>7118</v>
      </c>
      <c r="B2831" s="7" t="s">
        <v>38</v>
      </c>
      <c r="C2831" s="7"/>
      <c r="D2831" s="7" t="s">
        <v>7169</v>
      </c>
      <c r="E2831" s="8">
        <v>6</v>
      </c>
      <c r="F2831" s="7"/>
      <c r="G2831" s="7"/>
      <c r="H2831" s="9"/>
      <c r="I2831" s="10">
        <v>9284</v>
      </c>
      <c r="J2831" s="10">
        <v>7648</v>
      </c>
      <c r="K2831" s="9"/>
      <c r="L2831" s="10">
        <v>7808</v>
      </c>
      <c r="M2831" s="9"/>
      <c r="N2831" s="10">
        <v>7808</v>
      </c>
      <c r="O2831" s="9"/>
      <c r="P2831" s="10"/>
      <c r="Q2831" s="10"/>
      <c r="R2831" s="10"/>
      <c r="S2831" s="7" t="s">
        <v>54</v>
      </c>
      <c r="T2831" s="7" t="s">
        <v>7170</v>
      </c>
      <c r="U2831" s="7"/>
      <c r="V2831" s="7"/>
      <c r="W2831" s="7"/>
      <c r="X2831" s="7"/>
      <c r="Y2831" s="7" t="s">
        <v>7171</v>
      </c>
      <c r="Z2831" s="7" t="s">
        <v>1245</v>
      </c>
      <c r="AA2831" s="7"/>
      <c r="AB2831" s="7"/>
      <c r="AC2831" s="7" t="s">
        <v>7168</v>
      </c>
      <c r="AD2831" s="7" t="s">
        <v>7165</v>
      </c>
      <c r="AE2831" s="7" t="s">
        <v>7172</v>
      </c>
      <c r="AF2831" s="7"/>
      <c r="AG2831" s="7"/>
      <c r="AH2831" s="7" t="s">
        <v>7165</v>
      </c>
    </row>
    <row r="2832" spans="1:37" ht="9.75" customHeight="1" x14ac:dyDescent="0.2">
      <c r="A2832" s="7" t="s">
        <v>7118</v>
      </c>
      <c r="B2832" s="7" t="s">
        <v>38</v>
      </c>
      <c r="C2832" s="7"/>
      <c r="D2832" s="7" t="s">
        <v>7173</v>
      </c>
      <c r="E2832" s="8">
        <v>6</v>
      </c>
      <c r="F2832" s="7"/>
      <c r="G2832" s="7"/>
      <c r="H2832" s="9"/>
      <c r="I2832" s="10">
        <v>41802</v>
      </c>
      <c r="J2832" s="10">
        <v>55694</v>
      </c>
      <c r="K2832" s="9"/>
      <c r="L2832" s="10">
        <v>62535</v>
      </c>
      <c r="M2832" s="9"/>
      <c r="N2832" s="10">
        <v>62535</v>
      </c>
      <c r="O2832" s="9"/>
      <c r="P2832" s="10"/>
      <c r="Q2832" s="10"/>
      <c r="R2832" s="10"/>
      <c r="S2832" s="7" t="s">
        <v>54</v>
      </c>
      <c r="T2832" s="7" t="s">
        <v>7170</v>
      </c>
      <c r="U2832" s="7"/>
      <c r="V2832" s="7"/>
      <c r="W2832" s="7"/>
      <c r="X2832" s="7"/>
      <c r="Y2832" s="7" t="s">
        <v>7174</v>
      </c>
      <c r="Z2832" s="7" t="s">
        <v>1245</v>
      </c>
      <c r="AA2832" s="7"/>
      <c r="AB2832" s="7"/>
      <c r="AC2832" s="7" t="s">
        <v>7168</v>
      </c>
      <c r="AD2832" s="7" t="s">
        <v>7165</v>
      </c>
      <c r="AE2832" s="7" t="s">
        <v>7175</v>
      </c>
      <c r="AF2832" s="7"/>
      <c r="AG2832" s="7"/>
      <c r="AH2832" s="7" t="s">
        <v>7165</v>
      </c>
    </row>
    <row r="2833" spans="1:34" ht="9.75" customHeight="1" x14ac:dyDescent="0.2">
      <c r="A2833" s="7" t="s">
        <v>7118</v>
      </c>
      <c r="B2833" s="7" t="s">
        <v>38</v>
      </c>
      <c r="C2833" s="7"/>
      <c r="D2833" s="7" t="s">
        <v>7176</v>
      </c>
      <c r="E2833" s="8">
        <v>6</v>
      </c>
      <c r="F2833" s="7"/>
      <c r="G2833" s="7"/>
      <c r="H2833" s="9"/>
      <c r="I2833" s="9"/>
      <c r="J2833" s="9"/>
      <c r="K2833" s="9"/>
      <c r="L2833" s="9"/>
      <c r="M2833" s="9"/>
      <c r="N2833" s="9"/>
      <c r="O2833" s="9"/>
      <c r="P2833" s="9"/>
      <c r="Q2833" s="9"/>
      <c r="R2833" s="9"/>
      <c r="S2833" s="7" t="s">
        <v>54</v>
      </c>
      <c r="T2833" s="7" t="s">
        <v>7170</v>
      </c>
      <c r="U2833" s="7"/>
      <c r="V2833" s="7"/>
      <c r="W2833" s="7"/>
      <c r="X2833" s="7"/>
      <c r="Y2833" s="7" t="s">
        <v>7174</v>
      </c>
      <c r="Z2833" s="7" t="s">
        <v>1245</v>
      </c>
      <c r="AA2833" s="7"/>
      <c r="AB2833" s="7"/>
      <c r="AC2833" s="7" t="s">
        <v>7168</v>
      </c>
      <c r="AD2833" s="7" t="s">
        <v>7165</v>
      </c>
      <c r="AE2833" s="7" t="s">
        <v>7177</v>
      </c>
      <c r="AF2833" s="7"/>
      <c r="AG2833" s="7"/>
      <c r="AH2833" s="7" t="s">
        <v>7165</v>
      </c>
    </row>
    <row r="2834" spans="1:34" ht="9.75" customHeight="1" x14ac:dyDescent="0.2">
      <c r="A2834" s="7" t="s">
        <v>7118</v>
      </c>
      <c r="B2834" s="7" t="s">
        <v>38</v>
      </c>
      <c r="C2834" s="7"/>
      <c r="D2834" s="7" t="s">
        <v>7178</v>
      </c>
      <c r="E2834" s="8">
        <v>6</v>
      </c>
      <c r="F2834" s="7"/>
      <c r="G2834" s="7"/>
      <c r="H2834" s="9"/>
      <c r="I2834" s="9"/>
      <c r="J2834" s="9"/>
      <c r="K2834" s="9"/>
      <c r="L2834" s="9"/>
      <c r="M2834" s="9"/>
      <c r="N2834" s="9"/>
      <c r="O2834" s="9"/>
      <c r="P2834" s="9"/>
      <c r="Q2834" s="9"/>
      <c r="R2834" s="9"/>
      <c r="S2834" s="7" t="s">
        <v>54</v>
      </c>
      <c r="T2834" s="7" t="s">
        <v>7170</v>
      </c>
      <c r="U2834" s="7"/>
      <c r="V2834" s="7"/>
      <c r="W2834" s="7"/>
      <c r="X2834" s="7"/>
      <c r="Y2834" s="7" t="s">
        <v>7179</v>
      </c>
      <c r="Z2834" s="7" t="s">
        <v>1245</v>
      </c>
      <c r="AA2834" s="7"/>
      <c r="AB2834" s="7"/>
      <c r="AC2834" s="7" t="s">
        <v>7168</v>
      </c>
      <c r="AD2834" s="7" t="s">
        <v>7165</v>
      </c>
      <c r="AE2834" s="7" t="s">
        <v>7180</v>
      </c>
      <c r="AF2834" s="7"/>
      <c r="AG2834" s="7"/>
      <c r="AH2834" s="7" t="s">
        <v>7165</v>
      </c>
    </row>
    <row r="2835" spans="1:34" ht="9.75" customHeight="1" x14ac:dyDescent="0.2">
      <c r="A2835" s="7" t="s">
        <v>7118</v>
      </c>
      <c r="B2835" s="7" t="s">
        <v>38</v>
      </c>
      <c r="C2835" s="7"/>
      <c r="D2835" s="7" t="s">
        <v>7181</v>
      </c>
      <c r="E2835" s="8">
        <v>6</v>
      </c>
      <c r="F2835" s="7"/>
      <c r="G2835" s="7"/>
      <c r="H2835" s="9"/>
      <c r="I2835" s="9"/>
      <c r="J2835" s="9"/>
      <c r="K2835" s="9"/>
      <c r="L2835" s="9"/>
      <c r="M2835" s="9"/>
      <c r="N2835" s="9"/>
      <c r="O2835" s="9"/>
      <c r="P2835" s="9"/>
      <c r="Q2835" s="9"/>
      <c r="R2835" s="9"/>
      <c r="S2835" s="7" t="s">
        <v>54</v>
      </c>
      <c r="T2835" s="7" t="s">
        <v>7170</v>
      </c>
      <c r="U2835" s="7"/>
      <c r="V2835" s="7"/>
      <c r="W2835" s="7"/>
      <c r="X2835" s="7"/>
      <c r="Y2835" s="7" t="s">
        <v>7179</v>
      </c>
      <c r="Z2835" s="7" t="s">
        <v>1258</v>
      </c>
      <c r="AA2835" s="7"/>
      <c r="AB2835" s="7"/>
      <c r="AC2835" s="7" t="s">
        <v>7168</v>
      </c>
      <c r="AD2835" s="7" t="s">
        <v>7165</v>
      </c>
      <c r="AE2835" s="7" t="s">
        <v>7182</v>
      </c>
      <c r="AF2835" s="7"/>
      <c r="AG2835" s="7"/>
      <c r="AH2835" s="7" t="s">
        <v>7165</v>
      </c>
    </row>
    <row r="2836" spans="1:34" ht="9.75" customHeight="1" x14ac:dyDescent="0.2">
      <c r="A2836" s="7" t="s">
        <v>7118</v>
      </c>
      <c r="B2836" s="7" t="s">
        <v>38</v>
      </c>
      <c r="C2836" s="7"/>
      <c r="D2836" s="7" t="s">
        <v>7183</v>
      </c>
      <c r="E2836" s="8">
        <v>6</v>
      </c>
      <c r="F2836" s="7"/>
      <c r="G2836" s="7"/>
      <c r="H2836" s="9"/>
      <c r="I2836" s="10">
        <v>3521</v>
      </c>
      <c r="J2836" s="10">
        <v>2798</v>
      </c>
      <c r="K2836" s="9"/>
      <c r="L2836" s="10">
        <v>1902</v>
      </c>
      <c r="M2836" s="9"/>
      <c r="N2836" s="10">
        <v>1902</v>
      </c>
      <c r="O2836" s="9"/>
      <c r="P2836" s="10"/>
      <c r="Q2836" s="10"/>
      <c r="R2836" s="10"/>
      <c r="S2836" s="7" t="s">
        <v>54</v>
      </c>
      <c r="T2836" s="7" t="s">
        <v>7170</v>
      </c>
      <c r="U2836" s="7"/>
      <c r="V2836" s="7"/>
      <c r="W2836" s="7"/>
      <c r="X2836" s="7"/>
      <c r="Y2836" s="7" t="s">
        <v>7184</v>
      </c>
      <c r="Z2836" s="7" t="s">
        <v>1258</v>
      </c>
      <c r="AA2836" s="7"/>
      <c r="AB2836" s="7"/>
      <c r="AC2836" s="7" t="s">
        <v>7168</v>
      </c>
      <c r="AD2836" s="7" t="s">
        <v>7165</v>
      </c>
      <c r="AE2836" s="7" t="s">
        <v>7185</v>
      </c>
      <c r="AF2836" s="7"/>
      <c r="AG2836" s="7"/>
      <c r="AH2836" s="7" t="s">
        <v>7165</v>
      </c>
    </row>
    <row r="2837" spans="1:34" ht="9.75" customHeight="1" x14ac:dyDescent="0.2">
      <c r="A2837" s="7" t="s">
        <v>7118</v>
      </c>
      <c r="B2837" s="7" t="s">
        <v>38</v>
      </c>
      <c r="C2837" s="7"/>
      <c r="D2837" s="7" t="s">
        <v>7186</v>
      </c>
      <c r="E2837" s="8">
        <v>6</v>
      </c>
      <c r="F2837" s="7"/>
      <c r="G2837" s="7"/>
      <c r="H2837" s="9"/>
      <c r="I2837" s="10">
        <v>5485</v>
      </c>
      <c r="J2837" s="10">
        <v>3307</v>
      </c>
      <c r="K2837" s="9"/>
      <c r="L2837" s="10">
        <v>4854</v>
      </c>
      <c r="M2837" s="9"/>
      <c r="N2837" s="10">
        <v>4854</v>
      </c>
      <c r="O2837" s="9"/>
      <c r="P2837" s="10"/>
      <c r="Q2837" s="10"/>
      <c r="R2837" s="10"/>
      <c r="S2837" s="7" t="s">
        <v>54</v>
      </c>
      <c r="T2837" s="7" t="s">
        <v>7170</v>
      </c>
      <c r="U2837" s="7"/>
      <c r="V2837" s="7"/>
      <c r="W2837" s="7"/>
      <c r="X2837" s="7"/>
      <c r="Y2837" s="7" t="s">
        <v>7184</v>
      </c>
      <c r="Z2837" s="7" t="s">
        <v>1258</v>
      </c>
      <c r="AA2837" s="7"/>
      <c r="AB2837" s="7"/>
      <c r="AC2837" s="7" t="s">
        <v>7168</v>
      </c>
      <c r="AD2837" s="7" t="s">
        <v>7165</v>
      </c>
      <c r="AE2837" s="7" t="s">
        <v>7187</v>
      </c>
      <c r="AF2837" s="7"/>
      <c r="AG2837" s="7"/>
      <c r="AH2837" s="7" t="s">
        <v>7165</v>
      </c>
    </row>
    <row r="2838" spans="1:34" ht="9.75" customHeight="1" x14ac:dyDescent="0.2">
      <c r="A2838" s="7" t="s">
        <v>7118</v>
      </c>
      <c r="B2838" s="7" t="s">
        <v>38</v>
      </c>
      <c r="C2838" s="7"/>
      <c r="D2838" s="7" t="s">
        <v>7188</v>
      </c>
      <c r="E2838" s="8">
        <v>6</v>
      </c>
      <c r="F2838" s="7"/>
      <c r="G2838" s="7"/>
      <c r="H2838" s="9"/>
      <c r="I2838" s="9"/>
      <c r="J2838" s="10">
        <v>16000</v>
      </c>
      <c r="K2838" s="9"/>
      <c r="L2838" s="9"/>
      <c r="M2838" s="9"/>
      <c r="N2838" s="9"/>
      <c r="O2838" s="9"/>
      <c r="P2838" s="9"/>
      <c r="Q2838" s="9"/>
      <c r="R2838" s="9"/>
      <c r="S2838" s="7" t="s">
        <v>54</v>
      </c>
      <c r="T2838" s="7" t="s">
        <v>7170</v>
      </c>
      <c r="U2838" s="7"/>
      <c r="V2838" s="7"/>
      <c r="W2838" s="7"/>
      <c r="X2838" s="7"/>
      <c r="Y2838" s="7" t="s">
        <v>7184</v>
      </c>
      <c r="Z2838" s="7" t="s">
        <v>1258</v>
      </c>
      <c r="AA2838" s="7"/>
      <c r="AB2838" s="7"/>
      <c r="AC2838" s="7" t="s">
        <v>7168</v>
      </c>
      <c r="AD2838" s="7" t="s">
        <v>7165</v>
      </c>
      <c r="AE2838" s="7"/>
      <c r="AF2838" s="7"/>
      <c r="AG2838" s="7"/>
      <c r="AH2838" s="7" t="s">
        <v>7165</v>
      </c>
    </row>
    <row r="2839" spans="1:34" ht="9.75" customHeight="1" x14ac:dyDescent="0.2">
      <c r="A2839" s="7" t="s">
        <v>7118</v>
      </c>
      <c r="B2839" s="7" t="s">
        <v>38</v>
      </c>
      <c r="C2839" s="7"/>
      <c r="D2839" s="7" t="s">
        <v>7189</v>
      </c>
      <c r="E2839" s="8">
        <v>6</v>
      </c>
      <c r="F2839" s="7"/>
      <c r="G2839" s="7"/>
      <c r="H2839" s="9"/>
      <c r="I2839" s="10">
        <v>945</v>
      </c>
      <c r="J2839" s="10">
        <v>369</v>
      </c>
      <c r="K2839" s="9"/>
      <c r="L2839" s="10">
        <v>629</v>
      </c>
      <c r="M2839" s="9"/>
      <c r="N2839" s="10">
        <v>629</v>
      </c>
      <c r="O2839" s="9"/>
      <c r="P2839" s="10"/>
      <c r="Q2839" s="10"/>
      <c r="R2839" s="10"/>
      <c r="S2839" s="7" t="s">
        <v>54</v>
      </c>
      <c r="T2839" s="7" t="s">
        <v>7170</v>
      </c>
      <c r="U2839" s="7"/>
      <c r="V2839" s="7"/>
      <c r="W2839" s="7"/>
      <c r="X2839" s="7"/>
      <c r="Y2839" s="7" t="s">
        <v>7184</v>
      </c>
      <c r="Z2839" s="7" t="s">
        <v>1258</v>
      </c>
      <c r="AA2839" s="7"/>
      <c r="AB2839" s="7"/>
      <c r="AC2839" s="7" t="s">
        <v>7168</v>
      </c>
      <c r="AD2839" s="7" t="s">
        <v>7165</v>
      </c>
      <c r="AE2839" s="7"/>
      <c r="AF2839" s="7"/>
      <c r="AG2839" s="7"/>
      <c r="AH2839" s="7" t="s">
        <v>7165</v>
      </c>
    </row>
    <row r="2840" spans="1:34" ht="9.75" customHeight="1" x14ac:dyDescent="0.2">
      <c r="A2840" s="7" t="s">
        <v>7118</v>
      </c>
      <c r="B2840" s="7" t="s">
        <v>38</v>
      </c>
      <c r="C2840" s="7"/>
      <c r="D2840" s="7" t="s">
        <v>7190</v>
      </c>
      <c r="E2840" s="8">
        <v>6</v>
      </c>
      <c r="F2840" s="7"/>
      <c r="G2840" s="7"/>
      <c r="H2840" s="9"/>
      <c r="I2840" s="9"/>
      <c r="J2840" s="10">
        <v>814</v>
      </c>
      <c r="K2840" s="9"/>
      <c r="L2840" s="10">
        <v>468</v>
      </c>
      <c r="M2840" s="9"/>
      <c r="N2840" s="10">
        <v>468</v>
      </c>
      <c r="O2840" s="9"/>
      <c r="P2840" s="10"/>
      <c r="Q2840" s="10"/>
      <c r="R2840" s="10"/>
      <c r="S2840" s="7" t="s">
        <v>54</v>
      </c>
      <c r="T2840" s="7" t="s">
        <v>7170</v>
      </c>
      <c r="U2840" s="7"/>
      <c r="V2840" s="7"/>
      <c r="W2840" s="7"/>
      <c r="X2840" s="7"/>
      <c r="Y2840" s="7" t="s">
        <v>7184</v>
      </c>
      <c r="Z2840" s="7" t="s">
        <v>1258</v>
      </c>
      <c r="AA2840" s="7"/>
      <c r="AB2840" s="7"/>
      <c r="AC2840" s="7" t="s">
        <v>7168</v>
      </c>
      <c r="AD2840" s="7" t="s">
        <v>7165</v>
      </c>
      <c r="AE2840" s="7" t="s">
        <v>7191</v>
      </c>
      <c r="AF2840" s="7"/>
      <c r="AG2840" s="7"/>
      <c r="AH2840" s="7" t="s">
        <v>7165</v>
      </c>
    </row>
    <row r="2841" spans="1:34" ht="9.75" customHeight="1" x14ac:dyDescent="0.2">
      <c r="A2841" s="7" t="s">
        <v>7118</v>
      </c>
      <c r="B2841" s="7" t="s">
        <v>38</v>
      </c>
      <c r="C2841" s="7"/>
      <c r="D2841" s="7" t="s">
        <v>7192</v>
      </c>
      <c r="E2841" s="8">
        <v>6</v>
      </c>
      <c r="F2841" s="7"/>
      <c r="G2841" s="7"/>
      <c r="H2841" s="9"/>
      <c r="I2841" s="10">
        <v>57556</v>
      </c>
      <c r="J2841" s="10">
        <v>25482</v>
      </c>
      <c r="K2841" s="9"/>
      <c r="L2841" s="10">
        <v>28701</v>
      </c>
      <c r="M2841" s="9"/>
      <c r="N2841" s="10">
        <v>28701</v>
      </c>
      <c r="O2841" s="9"/>
      <c r="P2841" s="10"/>
      <c r="Q2841" s="10"/>
      <c r="R2841" s="10"/>
      <c r="S2841" s="7" t="s">
        <v>54</v>
      </c>
      <c r="T2841" s="7" t="s">
        <v>7170</v>
      </c>
      <c r="U2841" s="7"/>
      <c r="V2841" s="7"/>
      <c r="W2841" s="7"/>
      <c r="X2841" s="7"/>
      <c r="Y2841" s="7" t="s">
        <v>7193</v>
      </c>
      <c r="Z2841" s="7" t="s">
        <v>1269</v>
      </c>
      <c r="AA2841" s="7"/>
      <c r="AB2841" s="7"/>
      <c r="AC2841" s="7" t="s">
        <v>7168</v>
      </c>
      <c r="AD2841" s="7" t="s">
        <v>7165</v>
      </c>
      <c r="AE2841" s="7" t="s">
        <v>7194</v>
      </c>
      <c r="AF2841" s="7"/>
      <c r="AG2841" s="7"/>
      <c r="AH2841" s="7" t="s">
        <v>7165</v>
      </c>
    </row>
    <row r="2842" spans="1:34" ht="9.75" customHeight="1" x14ac:dyDescent="0.2">
      <c r="A2842" s="7" t="s">
        <v>7118</v>
      </c>
      <c r="B2842" s="7" t="s">
        <v>38</v>
      </c>
      <c r="C2842" s="7"/>
      <c r="D2842" s="7" t="s">
        <v>7195</v>
      </c>
      <c r="E2842" s="8">
        <v>6</v>
      </c>
      <c r="F2842" s="7"/>
      <c r="G2842" s="7"/>
      <c r="H2842" s="9"/>
      <c r="I2842" s="10">
        <v>1654</v>
      </c>
      <c r="J2842" s="10">
        <v>1685</v>
      </c>
      <c r="K2842" s="9"/>
      <c r="L2842" s="10">
        <v>1722</v>
      </c>
      <c r="M2842" s="9"/>
      <c r="N2842" s="10">
        <v>1722</v>
      </c>
      <c r="O2842" s="9"/>
      <c r="P2842" s="10"/>
      <c r="Q2842" s="10"/>
      <c r="R2842" s="10"/>
      <c r="S2842" s="7" t="s">
        <v>54</v>
      </c>
      <c r="T2842" s="7" t="s">
        <v>7170</v>
      </c>
      <c r="U2842" s="7"/>
      <c r="V2842" s="7"/>
      <c r="W2842" s="7"/>
      <c r="X2842" s="7"/>
      <c r="Y2842" s="7" t="s">
        <v>7196</v>
      </c>
      <c r="Z2842" s="7" t="s">
        <v>1269</v>
      </c>
      <c r="AA2842" s="7"/>
      <c r="AB2842" s="7"/>
      <c r="AC2842" s="7" t="s">
        <v>7168</v>
      </c>
      <c r="AD2842" s="7" t="s">
        <v>7165</v>
      </c>
      <c r="AE2842" s="7" t="s">
        <v>7197</v>
      </c>
      <c r="AF2842" s="7"/>
      <c r="AG2842" s="7"/>
      <c r="AH2842" s="7" t="s">
        <v>7165</v>
      </c>
    </row>
    <row r="2843" spans="1:34" ht="9.75" customHeight="1" x14ac:dyDescent="0.2">
      <c r="A2843" s="7" t="s">
        <v>7118</v>
      </c>
      <c r="B2843" s="7" t="s">
        <v>38</v>
      </c>
      <c r="C2843" s="7"/>
      <c r="D2843" s="7" t="s">
        <v>7198</v>
      </c>
      <c r="E2843" s="8">
        <v>6</v>
      </c>
      <c r="F2843" s="7"/>
      <c r="G2843" s="7"/>
      <c r="H2843" s="9"/>
      <c r="I2843" s="10">
        <v>35</v>
      </c>
      <c r="J2843" s="10">
        <v>35</v>
      </c>
      <c r="K2843" s="9"/>
      <c r="L2843" s="10">
        <v>35</v>
      </c>
      <c r="M2843" s="9"/>
      <c r="N2843" s="10">
        <v>35</v>
      </c>
      <c r="O2843" s="9"/>
      <c r="P2843" s="10"/>
      <c r="Q2843" s="10"/>
      <c r="R2843" s="10"/>
      <c r="S2843" s="7" t="s">
        <v>54</v>
      </c>
      <c r="T2843" s="7" t="s">
        <v>7170</v>
      </c>
      <c r="U2843" s="7"/>
      <c r="V2843" s="7"/>
      <c r="W2843" s="7"/>
      <c r="X2843" s="7"/>
      <c r="Y2843" s="7" t="s">
        <v>7196</v>
      </c>
      <c r="Z2843" s="7" t="s">
        <v>1280</v>
      </c>
      <c r="AA2843" s="7"/>
      <c r="AB2843" s="7"/>
      <c r="AC2843" s="7" t="s">
        <v>7168</v>
      </c>
      <c r="AD2843" s="7" t="s">
        <v>7165</v>
      </c>
      <c r="AE2843" s="7" t="s">
        <v>7199</v>
      </c>
      <c r="AF2843" s="7"/>
      <c r="AG2843" s="7"/>
      <c r="AH2843" s="7" t="s">
        <v>7165</v>
      </c>
    </row>
    <row r="2844" spans="1:34" ht="9.75" customHeight="1" x14ac:dyDescent="0.2">
      <c r="A2844" s="7" t="s">
        <v>7118</v>
      </c>
      <c r="B2844" s="7" t="s">
        <v>38</v>
      </c>
      <c r="C2844" s="7"/>
      <c r="D2844" s="7" t="s">
        <v>7200</v>
      </c>
      <c r="E2844" s="8">
        <v>6</v>
      </c>
      <c r="F2844" s="7"/>
      <c r="G2844" s="7"/>
      <c r="H2844" s="9"/>
      <c r="I2844" s="10">
        <v>112</v>
      </c>
      <c r="J2844" s="10">
        <v>112</v>
      </c>
      <c r="K2844" s="9"/>
      <c r="L2844" s="10">
        <v>114</v>
      </c>
      <c r="M2844" s="9"/>
      <c r="N2844" s="10">
        <v>114</v>
      </c>
      <c r="O2844" s="9"/>
      <c r="P2844" s="10"/>
      <c r="Q2844" s="10"/>
      <c r="R2844" s="10"/>
      <c r="S2844" s="7" t="s">
        <v>54</v>
      </c>
      <c r="T2844" s="7" t="s">
        <v>7170</v>
      </c>
      <c r="U2844" s="7"/>
      <c r="V2844" s="7"/>
      <c r="W2844" s="7"/>
      <c r="X2844" s="7"/>
      <c r="Y2844" s="7" t="s">
        <v>7196</v>
      </c>
      <c r="Z2844" s="7" t="s">
        <v>1280</v>
      </c>
      <c r="AA2844" s="7"/>
      <c r="AB2844" s="7"/>
      <c r="AC2844" s="7" t="s">
        <v>7168</v>
      </c>
      <c r="AD2844" s="7" t="s">
        <v>7165</v>
      </c>
      <c r="AE2844" s="7" t="s">
        <v>7201</v>
      </c>
      <c r="AF2844" s="7"/>
      <c r="AG2844" s="7"/>
      <c r="AH2844" s="7" t="s">
        <v>7165</v>
      </c>
    </row>
    <row r="2845" spans="1:34" ht="9.75" customHeight="1" x14ac:dyDescent="0.2">
      <c r="A2845" s="7" t="s">
        <v>7118</v>
      </c>
      <c r="B2845" s="7" t="s">
        <v>38</v>
      </c>
      <c r="C2845" s="7"/>
      <c r="D2845" s="7" t="s">
        <v>7202</v>
      </c>
      <c r="E2845" s="8">
        <v>6</v>
      </c>
      <c r="F2845" s="7"/>
      <c r="G2845" s="7"/>
      <c r="H2845" s="9"/>
      <c r="I2845" s="10">
        <v>9906</v>
      </c>
      <c r="J2845" s="10">
        <v>9739</v>
      </c>
      <c r="K2845" s="9"/>
      <c r="L2845" s="10">
        <v>1910</v>
      </c>
      <c r="M2845" s="9"/>
      <c r="N2845" s="10">
        <v>1910</v>
      </c>
      <c r="O2845" s="9"/>
      <c r="P2845" s="10"/>
      <c r="Q2845" s="10"/>
      <c r="R2845" s="10"/>
      <c r="S2845" s="7" t="s">
        <v>54</v>
      </c>
      <c r="T2845" s="7" t="s">
        <v>7170</v>
      </c>
      <c r="U2845" s="7"/>
      <c r="V2845" s="7"/>
      <c r="W2845" s="7"/>
      <c r="X2845" s="7"/>
      <c r="Y2845" s="7" t="s">
        <v>7203</v>
      </c>
      <c r="Z2845" s="7" t="s">
        <v>1280</v>
      </c>
      <c r="AA2845" s="7"/>
      <c r="AB2845" s="7"/>
      <c r="AC2845" s="7" t="s">
        <v>7168</v>
      </c>
      <c r="AD2845" s="7" t="s">
        <v>7165</v>
      </c>
      <c r="AE2845" s="7" t="s">
        <v>7204</v>
      </c>
      <c r="AF2845" s="7"/>
      <c r="AG2845" s="7"/>
      <c r="AH2845" s="7" t="s">
        <v>7165</v>
      </c>
    </row>
    <row r="2846" spans="1:34" ht="9.75" customHeight="1" x14ac:dyDescent="0.2">
      <c r="A2846" s="7" t="s">
        <v>7118</v>
      </c>
      <c r="B2846" s="7" t="s">
        <v>38</v>
      </c>
      <c r="C2846" s="7"/>
      <c r="D2846" s="7" t="s">
        <v>7205</v>
      </c>
      <c r="E2846" s="8">
        <v>6</v>
      </c>
      <c r="F2846" s="7"/>
      <c r="G2846" s="7"/>
      <c r="H2846" s="9"/>
      <c r="I2846" s="10">
        <v>699</v>
      </c>
      <c r="J2846" s="10">
        <v>647</v>
      </c>
      <c r="K2846" s="9"/>
      <c r="L2846" s="10">
        <v>661</v>
      </c>
      <c r="M2846" s="9"/>
      <c r="N2846" s="10">
        <v>661</v>
      </c>
      <c r="O2846" s="9"/>
      <c r="P2846" s="10"/>
      <c r="Q2846" s="10"/>
      <c r="R2846" s="10"/>
      <c r="S2846" s="7" t="s">
        <v>54</v>
      </c>
      <c r="T2846" s="7" t="s">
        <v>7170</v>
      </c>
      <c r="U2846" s="7"/>
      <c r="V2846" s="7"/>
      <c r="W2846" s="7"/>
      <c r="X2846" s="7"/>
      <c r="Y2846" s="7" t="s">
        <v>7206</v>
      </c>
      <c r="Z2846" s="7" t="s">
        <v>1289</v>
      </c>
      <c r="AA2846" s="7"/>
      <c r="AB2846" s="7"/>
      <c r="AC2846" s="7" t="s">
        <v>7168</v>
      </c>
      <c r="AD2846" s="7" t="s">
        <v>7165</v>
      </c>
      <c r="AE2846" s="7" t="s">
        <v>7207</v>
      </c>
      <c r="AF2846" s="7"/>
      <c r="AG2846" s="7"/>
      <c r="AH2846" s="7" t="s">
        <v>7165</v>
      </c>
    </row>
    <row r="2847" spans="1:34" ht="9.75" customHeight="1" x14ac:dyDescent="0.2">
      <c r="A2847" s="7" t="s">
        <v>7118</v>
      </c>
      <c r="B2847" s="7" t="s">
        <v>38</v>
      </c>
      <c r="C2847" s="7"/>
      <c r="D2847" s="7" t="s">
        <v>7208</v>
      </c>
      <c r="E2847" s="8">
        <v>6</v>
      </c>
      <c r="F2847" s="7"/>
      <c r="G2847" s="7"/>
      <c r="H2847" s="9"/>
      <c r="I2847" s="10">
        <v>1589</v>
      </c>
      <c r="J2847" s="10">
        <v>1657</v>
      </c>
      <c r="K2847" s="9"/>
      <c r="L2847" s="10">
        <v>1804</v>
      </c>
      <c r="M2847" s="9"/>
      <c r="N2847" s="10">
        <v>1804</v>
      </c>
      <c r="O2847" s="9"/>
      <c r="P2847" s="10"/>
      <c r="Q2847" s="10"/>
      <c r="R2847" s="10"/>
      <c r="S2847" s="7" t="s">
        <v>54</v>
      </c>
      <c r="T2847" s="7" t="s">
        <v>7170</v>
      </c>
      <c r="U2847" s="7"/>
      <c r="V2847" s="7"/>
      <c r="W2847" s="7"/>
      <c r="X2847" s="7"/>
      <c r="Y2847" s="7" t="s">
        <v>7206</v>
      </c>
      <c r="Z2847" s="7" t="s">
        <v>1289</v>
      </c>
      <c r="AA2847" s="7"/>
      <c r="AB2847" s="7"/>
      <c r="AC2847" s="7" t="s">
        <v>7168</v>
      </c>
      <c r="AD2847" s="7" t="s">
        <v>7165</v>
      </c>
      <c r="AE2847" s="7" t="s">
        <v>7207</v>
      </c>
      <c r="AF2847" s="7"/>
      <c r="AG2847" s="7"/>
      <c r="AH2847" s="7" t="s">
        <v>7165</v>
      </c>
    </row>
    <row r="2848" spans="1:34" ht="9.75" customHeight="1" x14ac:dyDescent="0.2">
      <c r="A2848" s="7" t="s">
        <v>7118</v>
      </c>
      <c r="B2848" s="7" t="s">
        <v>38</v>
      </c>
      <c r="C2848" s="7"/>
      <c r="D2848" s="7" t="s">
        <v>7209</v>
      </c>
      <c r="E2848" s="8">
        <v>6</v>
      </c>
      <c r="F2848" s="7"/>
      <c r="G2848" s="7"/>
      <c r="H2848" s="9"/>
      <c r="I2848" s="10">
        <v>883</v>
      </c>
      <c r="J2848" s="10">
        <v>822</v>
      </c>
      <c r="K2848" s="9"/>
      <c r="L2848" s="10">
        <v>389</v>
      </c>
      <c r="M2848" s="9"/>
      <c r="N2848" s="10">
        <v>389</v>
      </c>
      <c r="O2848" s="9"/>
      <c r="P2848" s="10"/>
      <c r="Q2848" s="10"/>
      <c r="R2848" s="10"/>
      <c r="S2848" s="7" t="s">
        <v>54</v>
      </c>
      <c r="T2848" s="7" t="s">
        <v>7170</v>
      </c>
      <c r="U2848" s="7"/>
      <c r="V2848" s="7"/>
      <c r="W2848" s="7"/>
      <c r="X2848" s="7"/>
      <c r="Y2848" s="7" t="s">
        <v>7206</v>
      </c>
      <c r="Z2848" s="7" t="s">
        <v>1289</v>
      </c>
      <c r="AA2848" s="7"/>
      <c r="AB2848" s="7"/>
      <c r="AC2848" s="7" t="s">
        <v>7168</v>
      </c>
      <c r="AD2848" s="7" t="s">
        <v>7165</v>
      </c>
      <c r="AE2848" s="7" t="s">
        <v>7207</v>
      </c>
      <c r="AF2848" s="7"/>
      <c r="AG2848" s="7"/>
      <c r="AH2848" s="7" t="s">
        <v>7165</v>
      </c>
    </row>
    <row r="2849" spans="1:37" ht="9.75" customHeight="1" x14ac:dyDescent="0.2">
      <c r="A2849" s="7" t="s">
        <v>7118</v>
      </c>
      <c r="B2849" s="7" t="s">
        <v>38</v>
      </c>
      <c r="C2849" s="7"/>
      <c r="D2849" s="7" t="s">
        <v>7210</v>
      </c>
      <c r="E2849" s="8">
        <v>6</v>
      </c>
      <c r="F2849" s="7"/>
      <c r="G2849" s="7"/>
      <c r="H2849" s="9"/>
      <c r="I2849" s="10">
        <v>2134</v>
      </c>
      <c r="J2849" s="10">
        <v>1977</v>
      </c>
      <c r="K2849" s="9"/>
      <c r="L2849" s="10">
        <v>2019</v>
      </c>
      <c r="M2849" s="9"/>
      <c r="N2849" s="10">
        <v>2019</v>
      </c>
      <c r="O2849" s="9"/>
      <c r="P2849" s="10"/>
      <c r="Q2849" s="10"/>
      <c r="R2849" s="10"/>
      <c r="S2849" s="7" t="s">
        <v>54</v>
      </c>
      <c r="T2849" s="7" t="s">
        <v>7170</v>
      </c>
      <c r="U2849" s="7"/>
      <c r="V2849" s="7"/>
      <c r="W2849" s="7"/>
      <c r="X2849" s="7"/>
      <c r="Y2849" s="7" t="s">
        <v>7206</v>
      </c>
      <c r="Z2849" s="7" t="s">
        <v>1289</v>
      </c>
      <c r="AA2849" s="7"/>
      <c r="AB2849" s="7"/>
      <c r="AC2849" s="7" t="s">
        <v>7168</v>
      </c>
      <c r="AD2849" s="7" t="s">
        <v>7165</v>
      </c>
      <c r="AE2849" s="7" t="s">
        <v>7207</v>
      </c>
      <c r="AF2849" s="7"/>
      <c r="AG2849" s="7"/>
      <c r="AH2849" s="7" t="s">
        <v>7165</v>
      </c>
    </row>
    <row r="2850" spans="1:37" ht="9.75" customHeight="1" x14ac:dyDescent="0.2">
      <c r="A2850" s="7" t="s">
        <v>7118</v>
      </c>
      <c r="B2850" s="7" t="s">
        <v>38</v>
      </c>
      <c r="C2850" s="7"/>
      <c r="D2850" s="7" t="s">
        <v>7211</v>
      </c>
      <c r="E2850" s="8">
        <v>6</v>
      </c>
      <c r="F2850" s="7"/>
      <c r="G2850" s="7"/>
      <c r="H2850" s="9"/>
      <c r="I2850" s="10">
        <v>106</v>
      </c>
      <c r="J2850" s="10">
        <v>477</v>
      </c>
      <c r="K2850" s="9"/>
      <c r="L2850" s="10">
        <v>110</v>
      </c>
      <c r="M2850" s="9"/>
      <c r="N2850" s="10">
        <v>110</v>
      </c>
      <c r="O2850" s="9"/>
      <c r="P2850" s="10"/>
      <c r="Q2850" s="10"/>
      <c r="R2850" s="10"/>
      <c r="S2850" s="7" t="s">
        <v>54</v>
      </c>
      <c r="T2850" s="7" t="s">
        <v>7170</v>
      </c>
      <c r="U2850" s="7"/>
      <c r="V2850" s="7"/>
      <c r="W2850" s="7"/>
      <c r="X2850" s="7"/>
      <c r="Y2850" s="7" t="s">
        <v>7206</v>
      </c>
      <c r="Z2850" s="7" t="s">
        <v>1289</v>
      </c>
      <c r="AA2850" s="7"/>
      <c r="AB2850" s="7"/>
      <c r="AC2850" s="7" t="s">
        <v>7168</v>
      </c>
      <c r="AD2850" s="7" t="s">
        <v>7165</v>
      </c>
      <c r="AE2850" s="7" t="s">
        <v>7207</v>
      </c>
      <c r="AF2850" s="7"/>
      <c r="AG2850" s="7"/>
      <c r="AH2850" s="7" t="s">
        <v>7165</v>
      </c>
    </row>
    <row r="2851" spans="1:37" ht="9.75" customHeight="1" x14ac:dyDescent="0.2">
      <c r="A2851" s="7" t="s">
        <v>7118</v>
      </c>
      <c r="B2851" s="7" t="s">
        <v>38</v>
      </c>
      <c r="C2851" s="7"/>
      <c r="D2851" s="7" t="s">
        <v>7212</v>
      </c>
      <c r="E2851" s="8">
        <v>6</v>
      </c>
      <c r="F2851" s="7"/>
      <c r="G2851" s="7"/>
      <c r="H2851" s="9"/>
      <c r="I2851" s="10">
        <v>2032</v>
      </c>
      <c r="J2851" s="10">
        <v>1891</v>
      </c>
      <c r="K2851" s="9"/>
      <c r="L2851" s="10">
        <v>1931</v>
      </c>
      <c r="M2851" s="9"/>
      <c r="N2851" s="10">
        <v>1931</v>
      </c>
      <c r="O2851" s="9"/>
      <c r="P2851" s="10"/>
      <c r="Q2851" s="10"/>
      <c r="R2851" s="10"/>
      <c r="S2851" s="7" t="s">
        <v>54</v>
      </c>
      <c r="T2851" s="7" t="s">
        <v>7170</v>
      </c>
      <c r="U2851" s="7"/>
      <c r="V2851" s="7"/>
      <c r="W2851" s="7"/>
      <c r="X2851" s="7"/>
      <c r="Y2851" s="7" t="s">
        <v>7213</v>
      </c>
      <c r="Z2851" s="7" t="s">
        <v>1294</v>
      </c>
      <c r="AA2851" s="7"/>
      <c r="AB2851" s="7"/>
      <c r="AC2851" s="7" t="s">
        <v>7168</v>
      </c>
      <c r="AD2851" s="7" t="s">
        <v>7165</v>
      </c>
      <c r="AE2851" s="7" t="s">
        <v>7214</v>
      </c>
      <c r="AF2851" s="7"/>
      <c r="AG2851" s="7"/>
      <c r="AH2851" s="7" t="s">
        <v>7165</v>
      </c>
    </row>
    <row r="2852" spans="1:37" ht="9.75" customHeight="1" x14ac:dyDescent="0.2">
      <c r="A2852" s="7" t="s">
        <v>7118</v>
      </c>
      <c r="B2852" s="7" t="s">
        <v>38</v>
      </c>
      <c r="C2852" s="7"/>
      <c r="D2852" s="7" t="s">
        <v>7215</v>
      </c>
      <c r="E2852" s="8">
        <v>6</v>
      </c>
      <c r="F2852" s="7"/>
      <c r="G2852" s="7"/>
      <c r="H2852" s="9"/>
      <c r="I2852" s="10">
        <v>3586</v>
      </c>
      <c r="J2852" s="10">
        <v>2820</v>
      </c>
      <c r="K2852" s="9"/>
      <c r="L2852" s="10">
        <v>3039</v>
      </c>
      <c r="M2852" s="9"/>
      <c r="N2852" s="10">
        <v>3039</v>
      </c>
      <c r="O2852" s="9"/>
      <c r="P2852" s="10"/>
      <c r="Q2852" s="10"/>
      <c r="R2852" s="10"/>
      <c r="S2852" s="7" t="s">
        <v>54</v>
      </c>
      <c r="T2852" s="7" t="s">
        <v>7170</v>
      </c>
      <c r="U2852" s="7"/>
      <c r="V2852" s="7"/>
      <c r="W2852" s="7"/>
      <c r="X2852" s="7"/>
      <c r="Y2852" s="7" t="s">
        <v>7213</v>
      </c>
      <c r="Z2852" s="7" t="s">
        <v>1294</v>
      </c>
      <c r="AA2852" s="7"/>
      <c r="AB2852" s="7"/>
      <c r="AC2852" s="7" t="s">
        <v>7168</v>
      </c>
      <c r="AD2852" s="7" t="s">
        <v>7165</v>
      </c>
      <c r="AE2852" s="7" t="s">
        <v>7214</v>
      </c>
      <c r="AF2852" s="7"/>
      <c r="AG2852" s="7"/>
      <c r="AH2852" s="7" t="s">
        <v>7165</v>
      </c>
    </row>
    <row r="2853" spans="1:37" ht="9.75" customHeight="1" x14ac:dyDescent="0.2">
      <c r="A2853" s="7" t="s">
        <v>7118</v>
      </c>
      <c r="B2853" s="7" t="s">
        <v>38</v>
      </c>
      <c r="C2853" s="7"/>
      <c r="D2853" s="7" t="s">
        <v>7216</v>
      </c>
      <c r="E2853" s="8">
        <v>6</v>
      </c>
      <c r="F2853" s="7"/>
      <c r="G2853" s="7"/>
      <c r="H2853" s="9"/>
      <c r="I2853" s="10">
        <v>1407</v>
      </c>
      <c r="J2853" s="10">
        <v>1613</v>
      </c>
      <c r="K2853" s="9"/>
      <c r="L2853" s="10">
        <v>389</v>
      </c>
      <c r="M2853" s="9"/>
      <c r="N2853" s="10">
        <v>389</v>
      </c>
      <c r="O2853" s="9"/>
      <c r="P2853" s="10"/>
      <c r="Q2853" s="10"/>
      <c r="R2853" s="10"/>
      <c r="S2853" s="7" t="s">
        <v>54</v>
      </c>
      <c r="T2853" s="7" t="s">
        <v>7170</v>
      </c>
      <c r="U2853" s="7"/>
      <c r="V2853" s="7"/>
      <c r="W2853" s="7"/>
      <c r="X2853" s="7"/>
      <c r="Y2853" s="7" t="s">
        <v>7213</v>
      </c>
      <c r="Z2853" s="7" t="s">
        <v>1294</v>
      </c>
      <c r="AA2853" s="7"/>
      <c r="AB2853" s="7"/>
      <c r="AC2853" s="7" t="s">
        <v>7168</v>
      </c>
      <c r="AD2853" s="7" t="s">
        <v>7165</v>
      </c>
      <c r="AE2853" s="7" t="s">
        <v>7214</v>
      </c>
      <c r="AF2853" s="7"/>
      <c r="AG2853" s="7"/>
      <c r="AH2853" s="7" t="s">
        <v>7165</v>
      </c>
    </row>
    <row r="2854" spans="1:37" ht="9.75" customHeight="1" x14ac:dyDescent="0.2">
      <c r="A2854" s="7" t="s">
        <v>7118</v>
      </c>
      <c r="B2854" s="7" t="s">
        <v>38</v>
      </c>
      <c r="C2854" s="7"/>
      <c r="D2854" s="7" t="s">
        <v>7217</v>
      </c>
      <c r="E2854" s="8">
        <v>6</v>
      </c>
      <c r="F2854" s="7"/>
      <c r="G2854" s="7"/>
      <c r="H2854" s="9"/>
      <c r="I2854" s="10">
        <v>1927</v>
      </c>
      <c r="J2854" s="10">
        <v>1775</v>
      </c>
      <c r="K2854" s="9"/>
      <c r="L2854" s="10">
        <v>1812</v>
      </c>
      <c r="M2854" s="9"/>
      <c r="N2854" s="10">
        <v>1812</v>
      </c>
      <c r="O2854" s="9"/>
      <c r="P2854" s="10"/>
      <c r="Q2854" s="10"/>
      <c r="R2854" s="10"/>
      <c r="S2854" s="7" t="s">
        <v>54</v>
      </c>
      <c r="T2854" s="7" t="s">
        <v>7170</v>
      </c>
      <c r="U2854" s="7"/>
      <c r="V2854" s="7"/>
      <c r="W2854" s="7"/>
      <c r="X2854" s="7"/>
      <c r="Y2854" s="7" t="s">
        <v>7213</v>
      </c>
      <c r="Z2854" s="7" t="s">
        <v>1294</v>
      </c>
      <c r="AA2854" s="7"/>
      <c r="AB2854" s="7"/>
      <c r="AC2854" s="7" t="s">
        <v>7168</v>
      </c>
      <c r="AD2854" s="7" t="s">
        <v>7165</v>
      </c>
      <c r="AE2854" s="7" t="s">
        <v>7214</v>
      </c>
      <c r="AF2854" s="7"/>
      <c r="AG2854" s="7"/>
      <c r="AH2854" s="7" t="s">
        <v>7165</v>
      </c>
    </row>
    <row r="2855" spans="1:37" ht="9.75" customHeight="1" x14ac:dyDescent="0.2">
      <c r="A2855" s="7" t="s">
        <v>7118</v>
      </c>
      <c r="B2855" s="7" t="s">
        <v>38</v>
      </c>
      <c r="C2855" s="7"/>
      <c r="D2855" s="7" t="s">
        <v>7218</v>
      </c>
      <c r="E2855" s="8">
        <v>6</v>
      </c>
      <c r="F2855" s="7"/>
      <c r="G2855" s="7"/>
      <c r="H2855" s="9"/>
      <c r="I2855" s="10">
        <v>474</v>
      </c>
      <c r="J2855" s="10">
        <v>450</v>
      </c>
      <c r="K2855" s="9"/>
      <c r="L2855" s="10">
        <v>368</v>
      </c>
      <c r="M2855" s="9"/>
      <c r="N2855" s="10">
        <v>368</v>
      </c>
      <c r="O2855" s="9"/>
      <c r="P2855" s="10"/>
      <c r="Q2855" s="10"/>
      <c r="R2855" s="10"/>
      <c r="S2855" s="7" t="s">
        <v>54</v>
      </c>
      <c r="T2855" s="7" t="s">
        <v>7170</v>
      </c>
      <c r="U2855" s="7"/>
      <c r="V2855" s="7"/>
      <c r="W2855" s="7"/>
      <c r="X2855" s="7"/>
      <c r="Y2855" s="7" t="s">
        <v>7213</v>
      </c>
      <c r="Z2855" s="7" t="s">
        <v>1294</v>
      </c>
      <c r="AA2855" s="7"/>
      <c r="AB2855" s="7"/>
      <c r="AC2855" s="7" t="s">
        <v>7168</v>
      </c>
      <c r="AD2855" s="7" t="s">
        <v>7165</v>
      </c>
      <c r="AE2855" s="7" t="s">
        <v>7219</v>
      </c>
      <c r="AF2855" s="7"/>
      <c r="AG2855" s="7"/>
      <c r="AH2855" s="7" t="s">
        <v>7165</v>
      </c>
    </row>
    <row r="2856" spans="1:37" ht="9.75" customHeight="1" x14ac:dyDescent="0.2">
      <c r="A2856" s="7" t="s">
        <v>7118</v>
      </c>
      <c r="B2856" s="7" t="s">
        <v>38</v>
      </c>
      <c r="C2856" s="7"/>
      <c r="D2856" s="7" t="s">
        <v>7220</v>
      </c>
      <c r="E2856" s="8">
        <v>6</v>
      </c>
      <c r="F2856" s="7"/>
      <c r="G2856" s="7"/>
      <c r="H2856" s="9"/>
      <c r="I2856" s="10">
        <v>548</v>
      </c>
      <c r="J2856" s="10">
        <v>250</v>
      </c>
      <c r="K2856" s="9"/>
      <c r="L2856" s="10">
        <v>235</v>
      </c>
      <c r="M2856" s="9"/>
      <c r="N2856" s="10">
        <v>235</v>
      </c>
      <c r="O2856" s="9"/>
      <c r="P2856" s="10"/>
      <c r="Q2856" s="10"/>
      <c r="R2856" s="10"/>
      <c r="S2856" s="7" t="s">
        <v>54</v>
      </c>
      <c r="T2856" s="7" t="s">
        <v>7170</v>
      </c>
      <c r="U2856" s="7"/>
      <c r="V2856" s="7"/>
      <c r="W2856" s="7"/>
      <c r="X2856" s="7"/>
      <c r="Y2856" s="7" t="s">
        <v>7213</v>
      </c>
      <c r="Z2856" s="7" t="s">
        <v>1303</v>
      </c>
      <c r="AA2856" s="7"/>
      <c r="AB2856" s="7"/>
      <c r="AC2856" s="7" t="s">
        <v>7168</v>
      </c>
      <c r="AD2856" s="7" t="s">
        <v>7165</v>
      </c>
      <c r="AE2856" s="7" t="s">
        <v>7214</v>
      </c>
      <c r="AF2856" s="7"/>
      <c r="AG2856" s="7"/>
      <c r="AH2856" s="7" t="s">
        <v>7165</v>
      </c>
    </row>
    <row r="2857" spans="1:37" ht="9.75" customHeight="1" x14ac:dyDescent="0.2">
      <c r="A2857" s="7" t="s">
        <v>7118</v>
      </c>
      <c r="B2857" s="7" t="s">
        <v>38</v>
      </c>
      <c r="C2857" s="7" t="s">
        <v>81</v>
      </c>
      <c r="D2857" s="7" t="s">
        <v>7221</v>
      </c>
      <c r="E2857" s="8">
        <v>4</v>
      </c>
      <c r="F2857" s="7"/>
      <c r="G2857" s="7" t="s">
        <v>7222</v>
      </c>
      <c r="H2857" s="9"/>
      <c r="I2857" s="10">
        <v>159480</v>
      </c>
      <c r="J2857" s="10">
        <v>121108</v>
      </c>
      <c r="K2857" s="9"/>
      <c r="L2857" s="10">
        <v>91284</v>
      </c>
      <c r="M2857" s="9"/>
      <c r="N2857" s="10">
        <v>91284</v>
      </c>
      <c r="O2857" s="9"/>
      <c r="P2857" s="10"/>
      <c r="Q2857" s="10">
        <v>82039</v>
      </c>
      <c r="R2857" s="10">
        <v>82039</v>
      </c>
      <c r="S2857" s="7" t="s">
        <v>43</v>
      </c>
      <c r="T2857" s="7"/>
      <c r="U2857" s="7"/>
      <c r="V2857" s="7"/>
      <c r="W2857" s="7"/>
      <c r="X2857" s="7"/>
      <c r="Y2857" s="7" t="s">
        <v>7223</v>
      </c>
      <c r="Z2857" s="7" t="s">
        <v>1391</v>
      </c>
      <c r="AA2857" s="7"/>
      <c r="AB2857" s="7"/>
      <c r="AC2857" s="7" t="s">
        <v>7224</v>
      </c>
      <c r="AD2857" s="7"/>
      <c r="AE2857" s="7"/>
      <c r="AF2857" s="7"/>
      <c r="AG2857" s="7"/>
      <c r="AH2857" s="7" t="s">
        <v>7221</v>
      </c>
      <c r="AI2857">
        <v>69065</v>
      </c>
      <c r="AK2857">
        <v>69065</v>
      </c>
    </row>
    <row r="2858" spans="1:37" ht="9.75" customHeight="1" x14ac:dyDescent="0.2">
      <c r="A2858" s="7" t="s">
        <v>7118</v>
      </c>
      <c r="B2858" s="7" t="s">
        <v>38</v>
      </c>
      <c r="C2858" s="7"/>
      <c r="D2858" s="7" t="s">
        <v>7225</v>
      </c>
      <c r="E2858" s="8">
        <v>6</v>
      </c>
      <c r="F2858" s="7"/>
      <c r="G2858" s="7" t="s">
        <v>7226</v>
      </c>
      <c r="H2858" s="9"/>
      <c r="I2858" s="10">
        <v>47412</v>
      </c>
      <c r="J2858" s="10">
        <v>15443</v>
      </c>
      <c r="K2858" s="9"/>
      <c r="L2858" s="10">
        <v>14285</v>
      </c>
      <c r="M2858" s="9"/>
      <c r="N2858" s="10">
        <v>14285</v>
      </c>
      <c r="O2858" s="9"/>
      <c r="P2858" s="10"/>
      <c r="Q2858" s="10"/>
      <c r="R2858" s="10"/>
      <c r="S2858" s="7" t="s">
        <v>54</v>
      </c>
      <c r="T2858" s="7" t="s">
        <v>7227</v>
      </c>
      <c r="U2858" s="7"/>
      <c r="V2858" s="7"/>
      <c r="W2858" s="7"/>
      <c r="X2858" s="7"/>
      <c r="Y2858" s="7" t="s">
        <v>7228</v>
      </c>
      <c r="Z2858" s="7" t="s">
        <v>1440</v>
      </c>
      <c r="AA2858" s="7"/>
      <c r="AB2858" s="7"/>
      <c r="AC2858" s="7" t="s">
        <v>7224</v>
      </c>
      <c r="AD2858" s="7" t="s">
        <v>7229</v>
      </c>
      <c r="AE2858" s="7"/>
      <c r="AF2858" s="7"/>
      <c r="AG2858" s="7"/>
      <c r="AH2858" s="7" t="s">
        <v>7221</v>
      </c>
    </row>
    <row r="2859" spans="1:37" ht="9.75" customHeight="1" x14ac:dyDescent="0.2">
      <c r="A2859" s="7" t="s">
        <v>7118</v>
      </c>
      <c r="B2859" s="7" t="s">
        <v>38</v>
      </c>
      <c r="C2859" s="7"/>
      <c r="D2859" s="7" t="s">
        <v>7230</v>
      </c>
      <c r="E2859" s="8">
        <v>6</v>
      </c>
      <c r="F2859" s="7"/>
      <c r="G2859" s="7" t="s">
        <v>7231</v>
      </c>
      <c r="H2859" s="9"/>
      <c r="I2859" s="10">
        <v>13633</v>
      </c>
      <c r="J2859" s="10">
        <v>13871</v>
      </c>
      <c r="K2859" s="9"/>
      <c r="L2859" s="10">
        <v>13536</v>
      </c>
      <c r="M2859" s="9"/>
      <c r="N2859" s="10">
        <v>13536</v>
      </c>
      <c r="O2859" s="9"/>
      <c r="P2859" s="10"/>
      <c r="Q2859" s="10"/>
      <c r="R2859" s="10"/>
      <c r="S2859" s="7" t="s">
        <v>54</v>
      </c>
      <c r="T2859" s="7" t="s">
        <v>7227</v>
      </c>
      <c r="U2859" s="7"/>
      <c r="V2859" s="7"/>
      <c r="W2859" s="7"/>
      <c r="X2859" s="7"/>
      <c r="Y2859" s="7" t="s">
        <v>7232</v>
      </c>
      <c r="Z2859" s="7" t="s">
        <v>81</v>
      </c>
      <c r="AA2859" s="7"/>
      <c r="AB2859" s="7"/>
      <c r="AC2859" s="7" t="s">
        <v>7224</v>
      </c>
      <c r="AD2859" s="7" t="s">
        <v>7233</v>
      </c>
      <c r="AE2859" s="7"/>
      <c r="AF2859" s="7"/>
      <c r="AG2859" s="7"/>
      <c r="AH2859" s="7" t="s">
        <v>7221</v>
      </c>
    </row>
    <row r="2860" spans="1:37" ht="9.75" customHeight="1" x14ac:dyDescent="0.2">
      <c r="A2860" s="7" t="s">
        <v>7118</v>
      </c>
      <c r="B2860" s="7" t="s">
        <v>38</v>
      </c>
      <c r="C2860" s="7"/>
      <c r="D2860" s="7" t="s">
        <v>7234</v>
      </c>
      <c r="E2860" s="8">
        <v>4</v>
      </c>
      <c r="F2860" s="7"/>
      <c r="G2860" s="7" t="s">
        <v>7235</v>
      </c>
      <c r="H2860" s="9"/>
      <c r="I2860" s="10">
        <v>72519</v>
      </c>
      <c r="J2860" s="10">
        <v>73105</v>
      </c>
      <c r="K2860" s="9"/>
      <c r="L2860" s="10">
        <v>63463</v>
      </c>
      <c r="M2860" s="9"/>
      <c r="N2860" s="10">
        <v>63463</v>
      </c>
      <c r="O2860" s="9"/>
      <c r="P2860" s="10"/>
      <c r="Q2860" s="10"/>
      <c r="R2860" s="10"/>
      <c r="S2860" s="7" t="s">
        <v>54</v>
      </c>
      <c r="T2860" s="7" t="s">
        <v>7227</v>
      </c>
      <c r="U2860" s="7"/>
      <c r="V2860" s="7"/>
      <c r="W2860" s="7"/>
      <c r="X2860" s="7"/>
      <c r="Y2860" s="7" t="s">
        <v>7236</v>
      </c>
      <c r="Z2860" s="7" t="s">
        <v>1508</v>
      </c>
      <c r="AA2860" s="7"/>
      <c r="AB2860" s="7"/>
      <c r="AC2860" s="7" t="s">
        <v>7224</v>
      </c>
      <c r="AD2860" s="7" t="s">
        <v>7237</v>
      </c>
      <c r="AE2860" s="7"/>
      <c r="AF2860" s="7"/>
      <c r="AG2860" s="7"/>
      <c r="AH2860" s="7" t="s">
        <v>7221</v>
      </c>
    </row>
    <row r="2861" spans="1:37" ht="9.75" customHeight="1" x14ac:dyDescent="0.2">
      <c r="A2861" s="7" t="s">
        <v>7118</v>
      </c>
      <c r="B2861" s="7" t="s">
        <v>38</v>
      </c>
      <c r="C2861" s="7"/>
      <c r="D2861" s="7" t="s">
        <v>7238</v>
      </c>
      <c r="E2861" s="8">
        <v>4</v>
      </c>
      <c r="F2861" s="7"/>
      <c r="G2861" s="7"/>
      <c r="H2861" s="9"/>
      <c r="I2861" s="10">
        <v>18150</v>
      </c>
      <c r="J2861" s="10">
        <v>3839</v>
      </c>
      <c r="K2861" s="9"/>
      <c r="L2861" s="10">
        <v>19245</v>
      </c>
      <c r="M2861" s="9"/>
      <c r="N2861" s="10">
        <v>19245</v>
      </c>
      <c r="O2861" s="9"/>
      <c r="P2861" s="10"/>
      <c r="Q2861" s="10"/>
      <c r="R2861" s="10"/>
      <c r="S2861" s="7" t="s">
        <v>54</v>
      </c>
      <c r="T2861" s="7" t="s">
        <v>7239</v>
      </c>
      <c r="U2861" s="7"/>
      <c r="V2861" s="7"/>
      <c r="W2861" s="7"/>
      <c r="X2861" s="7"/>
      <c r="Y2861" s="7" t="s">
        <v>7240</v>
      </c>
      <c r="Z2861" s="7" t="s">
        <v>1508</v>
      </c>
      <c r="AA2861" s="7"/>
      <c r="AB2861" s="7"/>
      <c r="AC2861" s="7" t="s">
        <v>7224</v>
      </c>
      <c r="AD2861" s="7"/>
      <c r="AE2861" s="7"/>
      <c r="AF2861" s="7"/>
      <c r="AG2861" s="7"/>
      <c r="AH2861" s="7" t="s">
        <v>7221</v>
      </c>
    </row>
    <row r="2862" spans="1:37" ht="9.75" customHeight="1" x14ac:dyDescent="0.2">
      <c r="A2862" s="7" t="s">
        <v>7118</v>
      </c>
      <c r="B2862" s="7" t="s">
        <v>38</v>
      </c>
      <c r="C2862" s="7"/>
      <c r="D2862" s="7" t="s">
        <v>7241</v>
      </c>
      <c r="E2862" s="8">
        <v>4</v>
      </c>
      <c r="F2862" s="7"/>
      <c r="G2862" s="7"/>
      <c r="H2862" s="9"/>
      <c r="I2862" s="10">
        <v>957</v>
      </c>
      <c r="J2862" s="10">
        <v>202</v>
      </c>
      <c r="K2862" s="9"/>
      <c r="L2862" s="10">
        <v>410</v>
      </c>
      <c r="M2862" s="9"/>
      <c r="N2862" s="10">
        <v>410</v>
      </c>
      <c r="O2862" s="9"/>
      <c r="P2862" s="10"/>
      <c r="Q2862" s="10"/>
      <c r="R2862" s="10"/>
      <c r="S2862" s="7" t="s">
        <v>54</v>
      </c>
      <c r="T2862" s="7" t="s">
        <v>7239</v>
      </c>
      <c r="U2862" s="7"/>
      <c r="V2862" s="7"/>
      <c r="W2862" s="7"/>
      <c r="X2862" s="7"/>
      <c r="Y2862" s="7" t="s">
        <v>7240</v>
      </c>
      <c r="Z2862" s="7" t="s">
        <v>1508</v>
      </c>
      <c r="AA2862" s="7"/>
      <c r="AB2862" s="7"/>
      <c r="AC2862" s="7" t="s">
        <v>7224</v>
      </c>
      <c r="AD2862" s="7"/>
      <c r="AE2862" s="7"/>
      <c r="AF2862" s="7"/>
      <c r="AG2862" s="7"/>
      <c r="AH2862" s="7" t="s">
        <v>7221</v>
      </c>
    </row>
    <row r="2863" spans="1:37" ht="9.75" customHeight="1" x14ac:dyDescent="0.2">
      <c r="A2863" s="7" t="s">
        <v>7118</v>
      </c>
      <c r="B2863" s="7" t="s">
        <v>38</v>
      </c>
      <c r="C2863" s="7"/>
      <c r="D2863" s="7" t="s">
        <v>7242</v>
      </c>
      <c r="E2863" s="8">
        <v>4</v>
      </c>
      <c r="F2863" s="7"/>
      <c r="G2863" s="7"/>
      <c r="H2863" s="9"/>
      <c r="I2863" s="9"/>
      <c r="J2863" s="10">
        <v>1887</v>
      </c>
      <c r="K2863" s="9"/>
      <c r="L2863" s="10">
        <v>1295</v>
      </c>
      <c r="M2863" s="9"/>
      <c r="N2863" s="10">
        <v>1295</v>
      </c>
      <c r="O2863" s="9"/>
      <c r="P2863" s="10"/>
      <c r="Q2863" s="10"/>
      <c r="R2863" s="10"/>
      <c r="S2863" s="7" t="s">
        <v>54</v>
      </c>
      <c r="T2863" s="7" t="s">
        <v>7239</v>
      </c>
      <c r="U2863" s="7" t="s">
        <v>44</v>
      </c>
      <c r="V2863" s="7" t="s">
        <v>45</v>
      </c>
      <c r="W2863" s="7" t="s">
        <v>67</v>
      </c>
      <c r="X2863" s="7" t="s">
        <v>68</v>
      </c>
      <c r="Y2863" s="7" t="s">
        <v>7240</v>
      </c>
      <c r="Z2863" s="7" t="s">
        <v>1508</v>
      </c>
      <c r="AA2863" s="7"/>
      <c r="AB2863" s="7"/>
      <c r="AC2863" s="7" t="s">
        <v>7224</v>
      </c>
      <c r="AD2863" s="7"/>
      <c r="AE2863" s="7"/>
      <c r="AF2863" s="7"/>
      <c r="AG2863" s="7"/>
      <c r="AH2863" s="7" t="s">
        <v>7221</v>
      </c>
    </row>
    <row r="2864" spans="1:37" ht="9.75" customHeight="1" x14ac:dyDescent="0.2">
      <c r="A2864" s="7" t="s">
        <v>7118</v>
      </c>
      <c r="B2864" s="7" t="s">
        <v>38</v>
      </c>
      <c r="C2864" s="7"/>
      <c r="D2864" s="7" t="s">
        <v>7243</v>
      </c>
      <c r="E2864" s="8">
        <v>4</v>
      </c>
      <c r="F2864" s="7"/>
      <c r="G2864" s="7"/>
      <c r="H2864" s="9"/>
      <c r="I2864" s="10">
        <v>3913</v>
      </c>
      <c r="J2864" s="10">
        <v>7525</v>
      </c>
      <c r="K2864" s="9"/>
      <c r="L2864" s="10">
        <v>4906</v>
      </c>
      <c r="M2864" s="9"/>
      <c r="N2864" s="10">
        <v>4906</v>
      </c>
      <c r="O2864" s="9"/>
      <c r="P2864" s="10"/>
      <c r="Q2864" s="10"/>
      <c r="R2864" s="10"/>
      <c r="S2864" s="7" t="s">
        <v>54</v>
      </c>
      <c r="T2864" s="7" t="s">
        <v>7239</v>
      </c>
      <c r="U2864" s="7"/>
      <c r="V2864" s="7"/>
      <c r="W2864" s="7"/>
      <c r="X2864" s="7"/>
      <c r="Y2864" s="7" t="s">
        <v>7240</v>
      </c>
      <c r="Z2864" s="7" t="s">
        <v>1508</v>
      </c>
      <c r="AA2864" s="7"/>
      <c r="AB2864" s="7"/>
      <c r="AC2864" s="7" t="s">
        <v>7224</v>
      </c>
      <c r="AD2864" s="7"/>
      <c r="AE2864" s="7"/>
      <c r="AF2864" s="7"/>
      <c r="AG2864" s="7"/>
      <c r="AH2864" s="7" t="s">
        <v>7221</v>
      </c>
    </row>
    <row r="2865" spans="1:34" ht="9.75" customHeight="1" x14ac:dyDescent="0.2">
      <c r="A2865" s="7" t="s">
        <v>7118</v>
      </c>
      <c r="B2865" s="7" t="s">
        <v>38</v>
      </c>
      <c r="C2865" s="7"/>
      <c r="D2865" s="7" t="s">
        <v>7244</v>
      </c>
      <c r="E2865" s="8">
        <v>4</v>
      </c>
      <c r="F2865" s="7"/>
      <c r="G2865" s="7"/>
      <c r="H2865" s="9"/>
      <c r="I2865" s="9"/>
      <c r="J2865" s="9"/>
      <c r="K2865" s="9"/>
      <c r="L2865" s="10">
        <v>1821</v>
      </c>
      <c r="M2865" s="9"/>
      <c r="N2865" s="10">
        <v>1821</v>
      </c>
      <c r="O2865" s="9"/>
      <c r="P2865" s="10"/>
      <c r="Q2865" s="10"/>
      <c r="R2865" s="10"/>
      <c r="S2865" s="7" t="s">
        <v>54</v>
      </c>
      <c r="T2865" s="7" t="s">
        <v>7239</v>
      </c>
      <c r="U2865" s="7"/>
      <c r="V2865" s="7"/>
      <c r="W2865" s="7"/>
      <c r="X2865" s="7"/>
      <c r="Y2865" s="7" t="s">
        <v>7240</v>
      </c>
      <c r="Z2865" s="7" t="s">
        <v>1508</v>
      </c>
      <c r="AA2865" s="7"/>
      <c r="AB2865" s="7"/>
      <c r="AC2865" s="7" t="s">
        <v>7224</v>
      </c>
      <c r="AD2865" s="7"/>
      <c r="AE2865" s="7"/>
      <c r="AF2865" s="7"/>
      <c r="AG2865" s="7"/>
      <c r="AH2865" s="7" t="s">
        <v>7221</v>
      </c>
    </row>
    <row r="2866" spans="1:34" ht="9.75" customHeight="1" x14ac:dyDescent="0.2">
      <c r="A2866" s="7" t="s">
        <v>7118</v>
      </c>
      <c r="B2866" s="7" t="s">
        <v>38</v>
      </c>
      <c r="C2866" s="7"/>
      <c r="D2866" s="7" t="s">
        <v>7245</v>
      </c>
      <c r="E2866" s="8">
        <v>4</v>
      </c>
      <c r="F2866" s="7"/>
      <c r="G2866" s="7"/>
      <c r="H2866" s="9"/>
      <c r="I2866" s="9"/>
      <c r="J2866" s="10">
        <v>1400</v>
      </c>
      <c r="K2866" s="9"/>
      <c r="L2866" s="10">
        <v>357</v>
      </c>
      <c r="M2866" s="9"/>
      <c r="N2866" s="10">
        <v>357</v>
      </c>
      <c r="O2866" s="9"/>
      <c r="P2866" s="10"/>
      <c r="Q2866" s="10"/>
      <c r="R2866" s="10"/>
      <c r="S2866" s="7" t="s">
        <v>54</v>
      </c>
      <c r="T2866" s="7" t="s">
        <v>7239</v>
      </c>
      <c r="U2866" s="7" t="s">
        <v>44</v>
      </c>
      <c r="V2866" s="7" t="s">
        <v>45</v>
      </c>
      <c r="W2866" s="7" t="s">
        <v>171</v>
      </c>
      <c r="X2866" s="7"/>
      <c r="Y2866" s="7" t="s">
        <v>7240</v>
      </c>
      <c r="Z2866" s="7" t="s">
        <v>1508</v>
      </c>
      <c r="AA2866" s="7"/>
      <c r="AB2866" s="7"/>
      <c r="AC2866" s="7" t="s">
        <v>7224</v>
      </c>
      <c r="AD2866" s="7"/>
      <c r="AE2866" s="7"/>
      <c r="AF2866" s="7"/>
      <c r="AG2866" s="7"/>
      <c r="AH2866" s="7" t="s">
        <v>7221</v>
      </c>
    </row>
    <row r="2867" spans="1:34" ht="9.75" customHeight="1" x14ac:dyDescent="0.2">
      <c r="A2867" s="7" t="s">
        <v>7118</v>
      </c>
      <c r="B2867" s="7" t="s">
        <v>38</v>
      </c>
      <c r="C2867" s="7"/>
      <c r="D2867" s="7" t="s">
        <v>7246</v>
      </c>
      <c r="E2867" s="8">
        <v>4</v>
      </c>
      <c r="F2867" s="7"/>
      <c r="G2867" s="7"/>
      <c r="H2867" s="9"/>
      <c r="I2867" s="10">
        <v>3910</v>
      </c>
      <c r="J2867" s="10">
        <v>4112</v>
      </c>
      <c r="K2867" s="9"/>
      <c r="L2867" s="10">
        <v>1744</v>
      </c>
      <c r="M2867" s="9"/>
      <c r="N2867" s="10">
        <v>1744</v>
      </c>
      <c r="O2867" s="9"/>
      <c r="P2867" s="10"/>
      <c r="Q2867" s="10"/>
      <c r="R2867" s="10"/>
      <c r="S2867" s="7" t="s">
        <v>54</v>
      </c>
      <c r="T2867" s="7" t="s">
        <v>7239</v>
      </c>
      <c r="U2867" s="7"/>
      <c r="V2867" s="7"/>
      <c r="W2867" s="7"/>
      <c r="X2867" s="7"/>
      <c r="Y2867" s="7" t="s">
        <v>7240</v>
      </c>
      <c r="Z2867" s="7" t="s">
        <v>1508</v>
      </c>
      <c r="AA2867" s="7"/>
      <c r="AB2867" s="7"/>
      <c r="AC2867" s="7" t="s">
        <v>7224</v>
      </c>
      <c r="AD2867" s="7"/>
      <c r="AE2867" s="7"/>
      <c r="AF2867" s="7"/>
      <c r="AG2867" s="7"/>
      <c r="AH2867" s="7" t="s">
        <v>7221</v>
      </c>
    </row>
    <row r="2868" spans="1:34" ht="9.75" customHeight="1" x14ac:dyDescent="0.2">
      <c r="A2868" s="7" t="s">
        <v>7118</v>
      </c>
      <c r="B2868" s="7" t="s">
        <v>38</v>
      </c>
      <c r="C2868" s="7"/>
      <c r="D2868" s="7" t="s">
        <v>7247</v>
      </c>
      <c r="E2868" s="8">
        <v>4</v>
      </c>
      <c r="F2868" s="7"/>
      <c r="G2868" s="7"/>
      <c r="H2868" s="9"/>
      <c r="I2868" s="10">
        <v>2777</v>
      </c>
      <c r="J2868" s="10">
        <v>4224</v>
      </c>
      <c r="K2868" s="9"/>
      <c r="L2868" s="10">
        <v>6452</v>
      </c>
      <c r="M2868" s="9"/>
      <c r="N2868" s="10">
        <v>6452</v>
      </c>
      <c r="O2868" s="9"/>
      <c r="P2868" s="10"/>
      <c r="Q2868" s="10"/>
      <c r="R2868" s="10"/>
      <c r="S2868" s="7" t="s">
        <v>54</v>
      </c>
      <c r="T2868" s="7" t="s">
        <v>7239</v>
      </c>
      <c r="U2868" s="7"/>
      <c r="V2868" s="7"/>
      <c r="W2868" s="7"/>
      <c r="X2868" s="7"/>
      <c r="Y2868" s="7" t="s">
        <v>7240</v>
      </c>
      <c r="Z2868" s="7" t="s">
        <v>1508</v>
      </c>
      <c r="AA2868" s="7"/>
      <c r="AB2868" s="7"/>
      <c r="AC2868" s="7" t="s">
        <v>7224</v>
      </c>
      <c r="AD2868" s="7"/>
      <c r="AE2868" s="7"/>
      <c r="AF2868" s="7"/>
      <c r="AG2868" s="7"/>
      <c r="AH2868" s="7" t="s">
        <v>7221</v>
      </c>
    </row>
    <row r="2869" spans="1:34" ht="9.75" customHeight="1" x14ac:dyDescent="0.2">
      <c r="A2869" s="7" t="s">
        <v>7118</v>
      </c>
      <c r="B2869" s="7" t="s">
        <v>38</v>
      </c>
      <c r="C2869" s="7"/>
      <c r="D2869" s="7" t="s">
        <v>7248</v>
      </c>
      <c r="E2869" s="8">
        <v>4</v>
      </c>
      <c r="F2869" s="7"/>
      <c r="G2869" s="7"/>
      <c r="H2869" s="9"/>
      <c r="I2869" s="9"/>
      <c r="J2869" s="10">
        <v>976</v>
      </c>
      <c r="K2869" s="9"/>
      <c r="L2869" s="10">
        <v>665</v>
      </c>
      <c r="M2869" s="9"/>
      <c r="N2869" s="10">
        <v>665</v>
      </c>
      <c r="O2869" s="9"/>
      <c r="P2869" s="10"/>
      <c r="Q2869" s="10"/>
      <c r="R2869" s="10"/>
      <c r="S2869" s="7" t="s">
        <v>54</v>
      </c>
      <c r="T2869" s="7" t="s">
        <v>7239</v>
      </c>
      <c r="U2869" s="7" t="s">
        <v>44</v>
      </c>
      <c r="V2869" s="7" t="s">
        <v>45</v>
      </c>
      <c r="W2869" s="7" t="s">
        <v>67</v>
      </c>
      <c r="X2869" s="7" t="s">
        <v>68</v>
      </c>
      <c r="Y2869" s="7" t="s">
        <v>7240</v>
      </c>
      <c r="Z2869" s="7" t="s">
        <v>1508</v>
      </c>
      <c r="AA2869" s="7"/>
      <c r="AB2869" s="7"/>
      <c r="AC2869" s="7" t="s">
        <v>7224</v>
      </c>
      <c r="AD2869" s="7"/>
      <c r="AE2869" s="7"/>
      <c r="AF2869" s="7"/>
      <c r="AG2869" s="7"/>
      <c r="AH2869" s="7" t="s">
        <v>7221</v>
      </c>
    </row>
    <row r="2870" spans="1:34" ht="9.75" customHeight="1" x14ac:dyDescent="0.2">
      <c r="A2870" s="7" t="s">
        <v>7118</v>
      </c>
      <c r="B2870" s="7" t="s">
        <v>38</v>
      </c>
      <c r="C2870" s="7"/>
      <c r="D2870" s="7" t="s">
        <v>7249</v>
      </c>
      <c r="E2870" s="8">
        <v>4</v>
      </c>
      <c r="F2870" s="7"/>
      <c r="G2870" s="7"/>
      <c r="H2870" s="9"/>
      <c r="I2870" s="10">
        <v>947</v>
      </c>
      <c r="J2870" s="10">
        <v>3865</v>
      </c>
      <c r="K2870" s="9"/>
      <c r="L2870" s="10">
        <v>4056</v>
      </c>
      <c r="M2870" s="9"/>
      <c r="N2870" s="10">
        <v>4056</v>
      </c>
      <c r="O2870" s="9"/>
      <c r="P2870" s="10"/>
      <c r="Q2870" s="10"/>
      <c r="R2870" s="10"/>
      <c r="S2870" s="7" t="s">
        <v>54</v>
      </c>
      <c r="T2870" s="7" t="s">
        <v>7239</v>
      </c>
      <c r="U2870" s="7"/>
      <c r="V2870" s="7"/>
      <c r="W2870" s="7"/>
      <c r="X2870" s="7"/>
      <c r="Y2870" s="7" t="s">
        <v>7240</v>
      </c>
      <c r="Z2870" s="7" t="s">
        <v>1508</v>
      </c>
      <c r="AA2870" s="7"/>
      <c r="AB2870" s="7"/>
      <c r="AC2870" s="7" t="s">
        <v>7224</v>
      </c>
      <c r="AD2870" s="7"/>
      <c r="AE2870" s="7"/>
      <c r="AF2870" s="7"/>
      <c r="AG2870" s="7"/>
      <c r="AH2870" s="7" t="s">
        <v>7221</v>
      </c>
    </row>
    <row r="2871" spans="1:34" ht="9.75" customHeight="1" x14ac:dyDescent="0.2">
      <c r="A2871" s="7" t="s">
        <v>7118</v>
      </c>
      <c r="B2871" s="7" t="s">
        <v>38</v>
      </c>
      <c r="C2871" s="7"/>
      <c r="D2871" s="7" t="s">
        <v>7250</v>
      </c>
      <c r="E2871" s="8">
        <v>4</v>
      </c>
      <c r="F2871" s="7"/>
      <c r="G2871" s="7"/>
      <c r="H2871" s="9"/>
      <c r="I2871" s="10">
        <v>10251</v>
      </c>
      <c r="J2871" s="10">
        <v>2908</v>
      </c>
      <c r="K2871" s="9"/>
      <c r="L2871" s="9"/>
      <c r="M2871" s="9"/>
      <c r="N2871" s="9"/>
      <c r="O2871" s="9"/>
      <c r="P2871" s="9"/>
      <c r="Q2871" s="9"/>
      <c r="R2871" s="9"/>
      <c r="S2871" s="7" t="s">
        <v>54</v>
      </c>
      <c r="T2871" s="7" t="s">
        <v>7239</v>
      </c>
      <c r="U2871" s="7"/>
      <c r="V2871" s="7"/>
      <c r="W2871" s="7"/>
      <c r="X2871" s="7"/>
      <c r="Y2871" s="7" t="s">
        <v>7240</v>
      </c>
      <c r="Z2871" s="7" t="s">
        <v>1508</v>
      </c>
      <c r="AA2871" s="7"/>
      <c r="AB2871" s="7"/>
      <c r="AC2871" s="7" t="s">
        <v>7224</v>
      </c>
      <c r="AD2871" s="7"/>
      <c r="AE2871" s="7"/>
      <c r="AF2871" s="7"/>
      <c r="AG2871" s="7"/>
      <c r="AH2871" s="7" t="s">
        <v>7221</v>
      </c>
    </row>
    <row r="2872" spans="1:34" ht="9.75" customHeight="1" x14ac:dyDescent="0.2">
      <c r="A2872" s="7" t="s">
        <v>7118</v>
      </c>
      <c r="B2872" s="7" t="s">
        <v>38</v>
      </c>
      <c r="C2872" s="7"/>
      <c r="D2872" s="7" t="s">
        <v>7251</v>
      </c>
      <c r="E2872" s="8">
        <v>4</v>
      </c>
      <c r="F2872" s="7"/>
      <c r="G2872" s="7"/>
      <c r="H2872" s="9"/>
      <c r="I2872" s="10">
        <v>6998</v>
      </c>
      <c r="J2872" s="10">
        <v>5709</v>
      </c>
      <c r="K2872" s="9"/>
      <c r="L2872" s="10">
        <v>2481</v>
      </c>
      <c r="M2872" s="9"/>
      <c r="N2872" s="10">
        <v>2481</v>
      </c>
      <c r="O2872" s="9"/>
      <c r="P2872" s="10"/>
      <c r="Q2872" s="10"/>
      <c r="R2872" s="10"/>
      <c r="S2872" s="7" t="s">
        <v>54</v>
      </c>
      <c r="T2872" s="7" t="s">
        <v>7239</v>
      </c>
      <c r="U2872" s="7" t="s">
        <v>44</v>
      </c>
      <c r="V2872" s="7" t="s">
        <v>45</v>
      </c>
      <c r="W2872" s="7" t="s">
        <v>67</v>
      </c>
      <c r="X2872" s="7" t="s">
        <v>68</v>
      </c>
      <c r="Y2872" s="7" t="s">
        <v>7240</v>
      </c>
      <c r="Z2872" s="7" t="s">
        <v>1508</v>
      </c>
      <c r="AA2872" s="7"/>
      <c r="AB2872" s="7"/>
      <c r="AC2872" s="7" t="s">
        <v>7224</v>
      </c>
      <c r="AD2872" s="7"/>
      <c r="AE2872" s="7"/>
      <c r="AF2872" s="7"/>
      <c r="AG2872" s="7"/>
      <c r="AH2872" s="7" t="s">
        <v>7221</v>
      </c>
    </row>
    <row r="2873" spans="1:34" ht="9.75" customHeight="1" x14ac:dyDescent="0.2">
      <c r="A2873" s="7" t="s">
        <v>7118</v>
      </c>
      <c r="B2873" s="7" t="s">
        <v>38</v>
      </c>
      <c r="C2873" s="7"/>
      <c r="D2873" s="7" t="s">
        <v>7252</v>
      </c>
      <c r="E2873" s="8">
        <v>4</v>
      </c>
      <c r="F2873" s="7"/>
      <c r="G2873" s="7"/>
      <c r="H2873" s="9"/>
      <c r="I2873" s="10">
        <v>3651</v>
      </c>
      <c r="J2873" s="10">
        <v>5998</v>
      </c>
      <c r="K2873" s="9"/>
      <c r="L2873" s="10">
        <v>4869</v>
      </c>
      <c r="M2873" s="9"/>
      <c r="N2873" s="10">
        <v>4869</v>
      </c>
      <c r="O2873" s="9"/>
      <c r="P2873" s="10"/>
      <c r="Q2873" s="10"/>
      <c r="R2873" s="10"/>
      <c r="S2873" s="7" t="s">
        <v>54</v>
      </c>
      <c r="T2873" s="7" t="s">
        <v>7239</v>
      </c>
      <c r="U2873" s="7"/>
      <c r="V2873" s="7"/>
      <c r="W2873" s="7"/>
      <c r="X2873" s="7"/>
      <c r="Y2873" s="7" t="s">
        <v>7240</v>
      </c>
      <c r="Z2873" s="7" t="s">
        <v>1508</v>
      </c>
      <c r="AA2873" s="7"/>
      <c r="AB2873" s="7"/>
      <c r="AC2873" s="7" t="s">
        <v>7224</v>
      </c>
      <c r="AD2873" s="7"/>
      <c r="AE2873" s="7"/>
      <c r="AF2873" s="7"/>
      <c r="AG2873" s="7"/>
      <c r="AH2873" s="7" t="s">
        <v>7221</v>
      </c>
    </row>
    <row r="2874" spans="1:34" ht="9.75" customHeight="1" x14ac:dyDescent="0.2">
      <c r="A2874" s="7" t="s">
        <v>7118</v>
      </c>
      <c r="B2874" s="7" t="s">
        <v>38</v>
      </c>
      <c r="C2874" s="7"/>
      <c r="D2874" s="7" t="s">
        <v>7253</v>
      </c>
      <c r="E2874" s="8">
        <v>4</v>
      </c>
      <c r="F2874" s="7"/>
      <c r="G2874" s="7"/>
      <c r="H2874" s="9"/>
      <c r="I2874" s="10">
        <v>965</v>
      </c>
      <c r="J2874" s="10">
        <v>2020</v>
      </c>
      <c r="K2874" s="9"/>
      <c r="L2874" s="10">
        <v>970</v>
      </c>
      <c r="M2874" s="9"/>
      <c r="N2874" s="10">
        <v>970</v>
      </c>
      <c r="O2874" s="9"/>
      <c r="P2874" s="10"/>
      <c r="Q2874" s="10"/>
      <c r="R2874" s="10"/>
      <c r="S2874" s="7" t="s">
        <v>54</v>
      </c>
      <c r="T2874" s="7" t="s">
        <v>7239</v>
      </c>
      <c r="U2874" s="7"/>
      <c r="V2874" s="7"/>
      <c r="W2874" s="7"/>
      <c r="X2874" s="7"/>
      <c r="Y2874" s="7" t="s">
        <v>7240</v>
      </c>
      <c r="Z2874" s="7" t="s">
        <v>1508</v>
      </c>
      <c r="AA2874" s="7"/>
      <c r="AB2874" s="7"/>
      <c r="AC2874" s="7" t="s">
        <v>7224</v>
      </c>
      <c r="AD2874" s="7"/>
      <c r="AE2874" s="7"/>
      <c r="AF2874" s="7"/>
      <c r="AG2874" s="7"/>
      <c r="AH2874" s="7" t="s">
        <v>7221</v>
      </c>
    </row>
    <row r="2875" spans="1:34" ht="9.75" customHeight="1" x14ac:dyDescent="0.2">
      <c r="A2875" s="7" t="s">
        <v>7118</v>
      </c>
      <c r="B2875" s="7" t="s">
        <v>38</v>
      </c>
      <c r="C2875" s="7"/>
      <c r="D2875" s="7" t="s">
        <v>7254</v>
      </c>
      <c r="E2875" s="8">
        <v>4</v>
      </c>
      <c r="F2875" s="7"/>
      <c r="G2875" s="7"/>
      <c r="H2875" s="9"/>
      <c r="I2875" s="10">
        <v>800</v>
      </c>
      <c r="J2875" s="10">
        <v>1691</v>
      </c>
      <c r="K2875" s="9"/>
      <c r="L2875" s="10">
        <v>474</v>
      </c>
      <c r="M2875" s="9"/>
      <c r="N2875" s="10">
        <v>474</v>
      </c>
      <c r="O2875" s="9"/>
      <c r="P2875" s="10"/>
      <c r="Q2875" s="10"/>
      <c r="R2875" s="10"/>
      <c r="S2875" s="7" t="s">
        <v>54</v>
      </c>
      <c r="T2875" s="7" t="s">
        <v>7239</v>
      </c>
      <c r="U2875" s="7" t="s">
        <v>44</v>
      </c>
      <c r="V2875" s="7" t="s">
        <v>45</v>
      </c>
      <c r="W2875" s="7" t="s">
        <v>67</v>
      </c>
      <c r="X2875" s="7" t="s">
        <v>68</v>
      </c>
      <c r="Y2875" s="7" t="s">
        <v>7240</v>
      </c>
      <c r="Z2875" s="7" t="s">
        <v>1508</v>
      </c>
      <c r="AA2875" s="7"/>
      <c r="AB2875" s="7"/>
      <c r="AC2875" s="7" t="s">
        <v>7224</v>
      </c>
      <c r="AD2875" s="7"/>
      <c r="AE2875" s="7"/>
      <c r="AF2875" s="7"/>
      <c r="AG2875" s="7"/>
      <c r="AH2875" s="7" t="s">
        <v>7221</v>
      </c>
    </row>
    <row r="2876" spans="1:34" ht="9.75" customHeight="1" x14ac:dyDescent="0.2">
      <c r="A2876" s="7" t="s">
        <v>7118</v>
      </c>
      <c r="B2876" s="7" t="s">
        <v>38</v>
      </c>
      <c r="C2876" s="7"/>
      <c r="D2876" s="7" t="s">
        <v>7255</v>
      </c>
      <c r="E2876" s="8">
        <v>4</v>
      </c>
      <c r="F2876" s="7"/>
      <c r="G2876" s="7"/>
      <c r="H2876" s="9"/>
      <c r="I2876" s="10">
        <v>3062</v>
      </c>
      <c r="J2876" s="10">
        <v>5176</v>
      </c>
      <c r="K2876" s="9"/>
      <c r="L2876" s="10">
        <v>2517</v>
      </c>
      <c r="M2876" s="9"/>
      <c r="N2876" s="10">
        <v>2517</v>
      </c>
      <c r="O2876" s="9"/>
      <c r="P2876" s="10"/>
      <c r="Q2876" s="10"/>
      <c r="R2876" s="10"/>
      <c r="S2876" s="7" t="s">
        <v>54</v>
      </c>
      <c r="T2876" s="7" t="s">
        <v>7239</v>
      </c>
      <c r="U2876" s="7" t="s">
        <v>44</v>
      </c>
      <c r="V2876" s="7" t="s">
        <v>45</v>
      </c>
      <c r="W2876" s="7" t="s">
        <v>67</v>
      </c>
      <c r="X2876" s="7" t="s">
        <v>68</v>
      </c>
      <c r="Y2876" s="7" t="s">
        <v>7240</v>
      </c>
      <c r="Z2876" s="7" t="s">
        <v>1508</v>
      </c>
      <c r="AA2876" s="7"/>
      <c r="AB2876" s="7"/>
      <c r="AC2876" s="7" t="s">
        <v>7224</v>
      </c>
      <c r="AD2876" s="7"/>
      <c r="AE2876" s="7"/>
      <c r="AF2876" s="7"/>
      <c r="AG2876" s="7"/>
      <c r="AH2876" s="7" t="s">
        <v>7221</v>
      </c>
    </row>
    <row r="2877" spans="1:34" ht="9.75" customHeight="1" x14ac:dyDescent="0.2">
      <c r="A2877" s="7" t="s">
        <v>7118</v>
      </c>
      <c r="B2877" s="7" t="s">
        <v>38</v>
      </c>
      <c r="C2877" s="7"/>
      <c r="D2877" s="7" t="s">
        <v>7256</v>
      </c>
      <c r="E2877" s="8">
        <v>4</v>
      </c>
      <c r="F2877" s="7"/>
      <c r="G2877" s="7"/>
      <c r="H2877" s="9"/>
      <c r="I2877" s="9"/>
      <c r="J2877" s="10">
        <v>332</v>
      </c>
      <c r="K2877" s="9"/>
      <c r="L2877" s="10">
        <v>593</v>
      </c>
      <c r="M2877" s="9"/>
      <c r="N2877" s="10">
        <v>593</v>
      </c>
      <c r="O2877" s="9"/>
      <c r="P2877" s="10"/>
      <c r="Q2877" s="10"/>
      <c r="R2877" s="10"/>
      <c r="S2877" s="7" t="s">
        <v>54</v>
      </c>
      <c r="T2877" s="7" t="s">
        <v>7239</v>
      </c>
      <c r="U2877" s="7" t="s">
        <v>44</v>
      </c>
      <c r="V2877" s="7" t="s">
        <v>45</v>
      </c>
      <c r="W2877" s="7" t="s">
        <v>171</v>
      </c>
      <c r="X2877" s="7"/>
      <c r="Y2877" s="7" t="s">
        <v>7240</v>
      </c>
      <c r="Z2877" s="7" t="s">
        <v>1508</v>
      </c>
      <c r="AA2877" s="7"/>
      <c r="AB2877" s="7"/>
      <c r="AC2877" s="7" t="s">
        <v>7224</v>
      </c>
      <c r="AD2877" s="7"/>
      <c r="AE2877" s="7"/>
      <c r="AF2877" s="7"/>
      <c r="AG2877" s="7"/>
      <c r="AH2877" s="7" t="s">
        <v>7221</v>
      </c>
    </row>
    <row r="2878" spans="1:34" ht="9.75" customHeight="1" x14ac:dyDescent="0.2">
      <c r="A2878" s="7" t="s">
        <v>7118</v>
      </c>
      <c r="B2878" s="7" t="s">
        <v>38</v>
      </c>
      <c r="C2878" s="7"/>
      <c r="D2878" s="7" t="s">
        <v>7257</v>
      </c>
      <c r="E2878" s="8">
        <v>6</v>
      </c>
      <c r="F2878" s="7"/>
      <c r="G2878" s="7" t="s">
        <v>7258</v>
      </c>
      <c r="H2878" s="9"/>
      <c r="I2878" s="10">
        <v>3850</v>
      </c>
      <c r="J2878" s="9"/>
      <c r="K2878" s="9"/>
      <c r="L2878" s="9"/>
      <c r="M2878" s="9"/>
      <c r="N2878" s="9"/>
      <c r="O2878" s="9"/>
      <c r="P2878" s="9"/>
      <c r="Q2878" s="9"/>
      <c r="R2878" s="9"/>
      <c r="S2878" s="7" t="s">
        <v>54</v>
      </c>
      <c r="T2878" s="7" t="s">
        <v>7227</v>
      </c>
      <c r="U2878" s="7"/>
      <c r="V2878" s="7"/>
      <c r="W2878" s="7"/>
      <c r="X2878" s="7"/>
      <c r="Y2878" s="7" t="s">
        <v>7259</v>
      </c>
      <c r="Z2878" s="7" t="s">
        <v>1718</v>
      </c>
      <c r="AA2878" s="7"/>
      <c r="AB2878" s="7"/>
      <c r="AC2878" s="7" t="s">
        <v>7224</v>
      </c>
      <c r="AD2878" s="7" t="s">
        <v>7260</v>
      </c>
      <c r="AE2878" s="7"/>
      <c r="AF2878" s="7"/>
      <c r="AG2878" s="7"/>
      <c r="AH2878" s="7" t="s">
        <v>7221</v>
      </c>
    </row>
    <row r="2879" spans="1:34" ht="9.75" customHeight="1" x14ac:dyDescent="0.2">
      <c r="A2879" s="7" t="s">
        <v>7118</v>
      </c>
      <c r="B2879" s="7" t="s">
        <v>38</v>
      </c>
      <c r="C2879" s="7"/>
      <c r="D2879" s="7" t="s">
        <v>7261</v>
      </c>
      <c r="E2879" s="8">
        <v>4</v>
      </c>
      <c r="F2879" s="7"/>
      <c r="G2879" s="7" t="s">
        <v>7262</v>
      </c>
      <c r="H2879" s="9"/>
      <c r="I2879" s="10">
        <v>14233</v>
      </c>
      <c r="J2879" s="10">
        <v>14479</v>
      </c>
      <c r="K2879" s="9"/>
      <c r="L2879" s="9"/>
      <c r="M2879" s="9"/>
      <c r="N2879" s="9"/>
      <c r="O2879" s="9"/>
      <c r="P2879" s="9"/>
      <c r="Q2879" s="9"/>
      <c r="R2879" s="9"/>
      <c r="S2879" s="7" t="s">
        <v>54</v>
      </c>
      <c r="T2879" s="7" t="s">
        <v>7227</v>
      </c>
      <c r="U2879" s="7" t="s">
        <v>44</v>
      </c>
      <c r="V2879" s="7" t="s">
        <v>45</v>
      </c>
      <c r="W2879" s="7" t="s">
        <v>130</v>
      </c>
      <c r="X2879" s="7"/>
      <c r="Y2879" s="7" t="s">
        <v>7263</v>
      </c>
      <c r="Z2879" s="7" t="s">
        <v>1734</v>
      </c>
      <c r="AA2879" s="7"/>
      <c r="AB2879" s="7"/>
      <c r="AC2879" s="7" t="s">
        <v>7224</v>
      </c>
      <c r="AD2879" s="7"/>
      <c r="AE2879" s="7" t="s">
        <v>7264</v>
      </c>
      <c r="AF2879" s="7"/>
      <c r="AG2879" s="7"/>
      <c r="AH2879" s="7" t="s">
        <v>7221</v>
      </c>
    </row>
    <row r="2880" spans="1:34" ht="9.75" customHeight="1" x14ac:dyDescent="0.2">
      <c r="A2880" s="7" t="s">
        <v>7118</v>
      </c>
      <c r="B2880" s="7" t="s">
        <v>38</v>
      </c>
      <c r="C2880" s="7"/>
      <c r="D2880" s="7" t="s">
        <v>7158</v>
      </c>
      <c r="E2880" s="8">
        <v>4</v>
      </c>
      <c r="F2880" s="7"/>
      <c r="G2880" s="7"/>
      <c r="H2880" s="9"/>
      <c r="I2880" s="10">
        <v>992</v>
      </c>
      <c r="J2880" s="10">
        <v>1012</v>
      </c>
      <c r="K2880" s="9"/>
      <c r="L2880" s="9"/>
      <c r="M2880" s="9"/>
      <c r="N2880" s="9"/>
      <c r="O2880" s="9"/>
      <c r="P2880" s="9"/>
      <c r="Q2880" s="9"/>
      <c r="R2880" s="9"/>
      <c r="S2880" s="7" t="s">
        <v>54</v>
      </c>
      <c r="T2880" s="7" t="s">
        <v>7265</v>
      </c>
      <c r="U2880" s="7" t="s">
        <v>44</v>
      </c>
      <c r="V2880" s="7" t="s">
        <v>45</v>
      </c>
      <c r="W2880" s="7" t="s">
        <v>130</v>
      </c>
      <c r="X2880" s="7"/>
      <c r="Y2880" s="7" t="s">
        <v>7266</v>
      </c>
      <c r="Z2880" s="7" t="s">
        <v>1734</v>
      </c>
      <c r="AA2880" s="7"/>
      <c r="AB2880" s="7"/>
      <c r="AC2880" s="7" t="s">
        <v>7224</v>
      </c>
      <c r="AD2880" s="7"/>
      <c r="AE2880" s="7" t="s">
        <v>7267</v>
      </c>
      <c r="AF2880" s="7"/>
      <c r="AG2880" s="7"/>
      <c r="AH2880" s="7" t="s">
        <v>7221</v>
      </c>
    </row>
    <row r="2881" spans="1:37" ht="9.75" customHeight="1" x14ac:dyDescent="0.2">
      <c r="A2881" s="7" t="s">
        <v>7118</v>
      </c>
      <c r="B2881" s="7" t="s">
        <v>38</v>
      </c>
      <c r="C2881" s="7"/>
      <c r="D2881" s="7" t="s">
        <v>7161</v>
      </c>
      <c r="E2881" s="8">
        <v>4</v>
      </c>
      <c r="F2881" s="7"/>
      <c r="G2881" s="7"/>
      <c r="H2881" s="9"/>
      <c r="I2881" s="10">
        <v>1156</v>
      </c>
      <c r="J2881" s="9"/>
      <c r="K2881" s="9"/>
      <c r="L2881" s="9"/>
      <c r="M2881" s="9"/>
      <c r="N2881" s="9"/>
      <c r="O2881" s="9"/>
      <c r="P2881" s="9"/>
      <c r="Q2881" s="9"/>
      <c r="R2881" s="9"/>
      <c r="S2881" s="7" t="s">
        <v>54</v>
      </c>
      <c r="T2881" s="7" t="s">
        <v>7265</v>
      </c>
      <c r="U2881" s="7" t="s">
        <v>44</v>
      </c>
      <c r="V2881" s="7" t="s">
        <v>45</v>
      </c>
      <c r="W2881" s="7" t="s">
        <v>130</v>
      </c>
      <c r="X2881" s="7"/>
      <c r="Y2881" s="7" t="s">
        <v>7266</v>
      </c>
      <c r="Z2881" s="7" t="s">
        <v>1734</v>
      </c>
      <c r="AA2881" s="7"/>
      <c r="AB2881" s="7"/>
      <c r="AC2881" s="7" t="s">
        <v>7224</v>
      </c>
      <c r="AD2881" s="7"/>
      <c r="AE2881" s="7" t="s">
        <v>7267</v>
      </c>
      <c r="AF2881" s="7"/>
      <c r="AG2881" s="7"/>
      <c r="AH2881" s="7" t="s">
        <v>7221</v>
      </c>
    </row>
    <row r="2882" spans="1:37" ht="9.75" customHeight="1" x14ac:dyDescent="0.2">
      <c r="A2882" s="7" t="s">
        <v>7118</v>
      </c>
      <c r="B2882" s="7" t="s">
        <v>38</v>
      </c>
      <c r="C2882" s="7"/>
      <c r="D2882" s="7" t="s">
        <v>7162</v>
      </c>
      <c r="E2882" s="8">
        <v>4</v>
      </c>
      <c r="F2882" s="7"/>
      <c r="G2882" s="7"/>
      <c r="H2882" s="9"/>
      <c r="I2882" s="10">
        <v>1725</v>
      </c>
      <c r="J2882" s="10">
        <v>1759</v>
      </c>
      <c r="K2882" s="9"/>
      <c r="L2882" s="9"/>
      <c r="M2882" s="9"/>
      <c r="N2882" s="9"/>
      <c r="O2882" s="9"/>
      <c r="P2882" s="9"/>
      <c r="Q2882" s="9"/>
      <c r="R2882" s="9"/>
      <c r="S2882" s="7" t="s">
        <v>54</v>
      </c>
      <c r="T2882" s="7" t="s">
        <v>7265</v>
      </c>
      <c r="U2882" s="7" t="s">
        <v>44</v>
      </c>
      <c r="V2882" s="7" t="s">
        <v>45</v>
      </c>
      <c r="W2882" s="7" t="s">
        <v>130</v>
      </c>
      <c r="X2882" s="7"/>
      <c r="Y2882" s="7" t="s">
        <v>7266</v>
      </c>
      <c r="Z2882" s="7" t="s">
        <v>1734</v>
      </c>
      <c r="AA2882" s="7"/>
      <c r="AB2882" s="7"/>
      <c r="AC2882" s="7" t="s">
        <v>7224</v>
      </c>
      <c r="AD2882" s="7"/>
      <c r="AE2882" s="7" t="s">
        <v>7267</v>
      </c>
      <c r="AF2882" s="7"/>
      <c r="AG2882" s="7"/>
      <c r="AH2882" s="7" t="s">
        <v>7221</v>
      </c>
    </row>
    <row r="2883" spans="1:37" ht="9.75" customHeight="1" x14ac:dyDescent="0.2">
      <c r="A2883" s="7" t="s">
        <v>7118</v>
      </c>
      <c r="B2883" s="7" t="s">
        <v>38</v>
      </c>
      <c r="C2883" s="7"/>
      <c r="D2883" s="7" t="s">
        <v>7268</v>
      </c>
      <c r="E2883" s="8">
        <v>4</v>
      </c>
      <c r="F2883" s="7"/>
      <c r="G2883" s="7"/>
      <c r="H2883" s="9"/>
      <c r="I2883" s="10">
        <v>3382</v>
      </c>
      <c r="J2883" s="10">
        <v>4010</v>
      </c>
      <c r="K2883" s="9"/>
      <c r="L2883" s="9"/>
      <c r="M2883" s="9"/>
      <c r="N2883" s="9"/>
      <c r="O2883" s="9"/>
      <c r="P2883" s="9"/>
      <c r="Q2883" s="9"/>
      <c r="R2883" s="9"/>
      <c r="S2883" s="7" t="s">
        <v>54</v>
      </c>
      <c r="T2883" s="7" t="s">
        <v>7265</v>
      </c>
      <c r="U2883" s="7" t="s">
        <v>44</v>
      </c>
      <c r="V2883" s="7" t="s">
        <v>45</v>
      </c>
      <c r="W2883" s="7" t="s">
        <v>130</v>
      </c>
      <c r="X2883" s="7"/>
      <c r="Y2883" s="7" t="s">
        <v>7266</v>
      </c>
      <c r="Z2883" s="7" t="s">
        <v>1734</v>
      </c>
      <c r="AA2883" s="7"/>
      <c r="AB2883" s="7"/>
      <c r="AC2883" s="7" t="s">
        <v>7224</v>
      </c>
      <c r="AD2883" s="7"/>
      <c r="AE2883" s="7" t="s">
        <v>7267</v>
      </c>
      <c r="AF2883" s="7"/>
      <c r="AG2883" s="7"/>
      <c r="AH2883" s="7" t="s">
        <v>7221</v>
      </c>
    </row>
    <row r="2884" spans="1:37" ht="9.75" customHeight="1" x14ac:dyDescent="0.2">
      <c r="A2884" s="7" t="s">
        <v>7118</v>
      </c>
      <c r="B2884" s="7" t="s">
        <v>38</v>
      </c>
      <c r="C2884" s="7"/>
      <c r="D2884" s="7" t="s">
        <v>7269</v>
      </c>
      <c r="E2884" s="8">
        <v>4</v>
      </c>
      <c r="F2884" s="7"/>
      <c r="G2884" s="7"/>
      <c r="H2884" s="9"/>
      <c r="I2884" s="10">
        <v>223</v>
      </c>
      <c r="J2884" s="10">
        <v>227</v>
      </c>
      <c r="K2884" s="9"/>
      <c r="L2884" s="9"/>
      <c r="M2884" s="9"/>
      <c r="N2884" s="9"/>
      <c r="O2884" s="9"/>
      <c r="P2884" s="9"/>
      <c r="Q2884" s="9"/>
      <c r="R2884" s="9"/>
      <c r="S2884" s="7" t="s">
        <v>54</v>
      </c>
      <c r="T2884" s="7" t="s">
        <v>7265</v>
      </c>
      <c r="U2884" s="7" t="s">
        <v>44</v>
      </c>
      <c r="V2884" s="7" t="s">
        <v>45</v>
      </c>
      <c r="W2884" s="7" t="s">
        <v>130</v>
      </c>
      <c r="X2884" s="7"/>
      <c r="Y2884" s="7" t="s">
        <v>7266</v>
      </c>
      <c r="Z2884" s="7" t="s">
        <v>1734</v>
      </c>
      <c r="AA2884" s="7"/>
      <c r="AB2884" s="7"/>
      <c r="AC2884" s="7" t="s">
        <v>7224</v>
      </c>
      <c r="AD2884" s="7"/>
      <c r="AE2884" s="7" t="s">
        <v>7267</v>
      </c>
      <c r="AF2884" s="7"/>
      <c r="AG2884" s="7"/>
      <c r="AH2884" s="7" t="s">
        <v>7221</v>
      </c>
    </row>
    <row r="2885" spans="1:37" ht="9.75" customHeight="1" x14ac:dyDescent="0.2">
      <c r="A2885" s="7" t="s">
        <v>7118</v>
      </c>
      <c r="B2885" s="7" t="s">
        <v>38</v>
      </c>
      <c r="C2885" s="7"/>
      <c r="D2885" s="7" t="s">
        <v>7270</v>
      </c>
      <c r="E2885" s="8">
        <v>4</v>
      </c>
      <c r="F2885" s="7"/>
      <c r="G2885" s="7"/>
      <c r="H2885" s="9"/>
      <c r="I2885" s="10">
        <v>400</v>
      </c>
      <c r="J2885" s="10">
        <v>287</v>
      </c>
      <c r="K2885" s="9"/>
      <c r="L2885" s="9"/>
      <c r="M2885" s="9"/>
      <c r="N2885" s="9"/>
      <c r="O2885" s="9"/>
      <c r="P2885" s="9"/>
      <c r="Q2885" s="9"/>
      <c r="R2885" s="9"/>
      <c r="S2885" s="7" t="s">
        <v>54</v>
      </c>
      <c r="T2885" s="7" t="s">
        <v>7265</v>
      </c>
      <c r="U2885" s="7" t="s">
        <v>44</v>
      </c>
      <c r="V2885" s="7" t="s">
        <v>45</v>
      </c>
      <c r="W2885" s="7" t="s">
        <v>130</v>
      </c>
      <c r="X2885" s="7"/>
      <c r="Y2885" s="7" t="s">
        <v>7266</v>
      </c>
      <c r="Z2885" s="7" t="s">
        <v>1734</v>
      </c>
      <c r="AA2885" s="7"/>
      <c r="AB2885" s="7"/>
      <c r="AC2885" s="7" t="s">
        <v>7224</v>
      </c>
      <c r="AD2885" s="7"/>
      <c r="AE2885" s="7" t="s">
        <v>7267</v>
      </c>
      <c r="AF2885" s="7"/>
      <c r="AG2885" s="7"/>
      <c r="AH2885" s="7" t="s">
        <v>7221</v>
      </c>
    </row>
    <row r="2886" spans="1:37" ht="9.75" customHeight="1" x14ac:dyDescent="0.2">
      <c r="A2886" s="7" t="s">
        <v>7118</v>
      </c>
      <c r="B2886" s="7" t="s">
        <v>38</v>
      </c>
      <c r="C2886" s="7"/>
      <c r="D2886" s="7" t="s">
        <v>7271</v>
      </c>
      <c r="E2886" s="8">
        <v>4</v>
      </c>
      <c r="F2886" s="7"/>
      <c r="G2886" s="7"/>
      <c r="H2886" s="9"/>
      <c r="I2886" s="10">
        <v>6163</v>
      </c>
      <c r="J2886" s="10">
        <v>7184</v>
      </c>
      <c r="K2886" s="9"/>
      <c r="L2886" s="9"/>
      <c r="M2886" s="9"/>
      <c r="N2886" s="9"/>
      <c r="O2886" s="9"/>
      <c r="P2886" s="9"/>
      <c r="Q2886" s="9"/>
      <c r="R2886" s="9"/>
      <c r="S2886" s="7" t="s">
        <v>54</v>
      </c>
      <c r="T2886" s="7" t="s">
        <v>7265</v>
      </c>
      <c r="U2886" s="7" t="s">
        <v>44</v>
      </c>
      <c r="V2886" s="7" t="s">
        <v>45</v>
      </c>
      <c r="W2886" s="7" t="s">
        <v>130</v>
      </c>
      <c r="X2886" s="7"/>
      <c r="Y2886" s="7" t="s">
        <v>7266</v>
      </c>
      <c r="Z2886" s="7" t="s">
        <v>1734</v>
      </c>
      <c r="AA2886" s="7"/>
      <c r="AB2886" s="7"/>
      <c r="AC2886" s="7" t="s">
        <v>7224</v>
      </c>
      <c r="AD2886" s="7"/>
      <c r="AE2886" s="7" t="s">
        <v>7267</v>
      </c>
      <c r="AF2886" s="7"/>
      <c r="AG2886" s="7"/>
      <c r="AH2886" s="7" t="s">
        <v>7221</v>
      </c>
    </row>
    <row r="2887" spans="1:37" ht="9.75" customHeight="1" x14ac:dyDescent="0.2">
      <c r="A2887" s="7" t="s">
        <v>7118</v>
      </c>
      <c r="B2887" s="7" t="s">
        <v>38</v>
      </c>
      <c r="C2887" s="7"/>
      <c r="D2887" s="7" t="s">
        <v>7272</v>
      </c>
      <c r="E2887" s="8">
        <v>4</v>
      </c>
      <c r="F2887" s="7"/>
      <c r="G2887" s="7" t="s">
        <v>7273</v>
      </c>
      <c r="H2887" s="9"/>
      <c r="I2887" s="10">
        <v>7833</v>
      </c>
      <c r="J2887" s="10">
        <v>4210</v>
      </c>
      <c r="K2887" s="9"/>
      <c r="L2887" s="9"/>
      <c r="M2887" s="9"/>
      <c r="N2887" s="9"/>
      <c r="O2887" s="9"/>
      <c r="P2887" s="9"/>
      <c r="Q2887" s="9"/>
      <c r="R2887" s="9"/>
      <c r="S2887" s="7" t="s">
        <v>54</v>
      </c>
      <c r="T2887" s="7" t="s">
        <v>7227</v>
      </c>
      <c r="U2887" s="7" t="s">
        <v>44</v>
      </c>
      <c r="V2887" s="7" t="s">
        <v>45</v>
      </c>
      <c r="W2887" s="7" t="s">
        <v>67</v>
      </c>
      <c r="X2887" s="7" t="s">
        <v>68</v>
      </c>
      <c r="Y2887" s="7" t="s">
        <v>7274</v>
      </c>
      <c r="Z2887" s="7" t="s">
        <v>1779</v>
      </c>
      <c r="AA2887" s="7"/>
      <c r="AB2887" s="7"/>
      <c r="AC2887" s="7" t="s">
        <v>7224</v>
      </c>
      <c r="AD2887" s="7"/>
      <c r="AE2887" s="7" t="s">
        <v>7275</v>
      </c>
      <c r="AF2887" s="7"/>
      <c r="AG2887" s="7"/>
      <c r="AH2887" s="7" t="s">
        <v>7221</v>
      </c>
    </row>
    <row r="2888" spans="1:37" ht="9.75" customHeight="1" x14ac:dyDescent="0.2">
      <c r="A2888" s="7" t="s">
        <v>7118</v>
      </c>
      <c r="B2888" s="7" t="s">
        <v>38</v>
      </c>
      <c r="C2888" s="7"/>
      <c r="D2888" s="7" t="s">
        <v>7276</v>
      </c>
      <c r="E2888" s="8">
        <v>4</v>
      </c>
      <c r="F2888" s="7"/>
      <c r="G2888" s="7"/>
      <c r="H2888" s="9"/>
      <c r="I2888" s="10">
        <v>3200</v>
      </c>
      <c r="J2888" s="10">
        <v>1910</v>
      </c>
      <c r="K2888" s="9"/>
      <c r="L2888" s="9"/>
      <c r="M2888" s="9"/>
      <c r="N2888" s="9"/>
      <c r="O2888" s="9"/>
      <c r="P2888" s="9"/>
      <c r="Q2888" s="9"/>
      <c r="R2888" s="9"/>
      <c r="S2888" s="7" t="s">
        <v>54</v>
      </c>
      <c r="T2888" s="7" t="s">
        <v>7277</v>
      </c>
      <c r="U2888" s="7" t="s">
        <v>44</v>
      </c>
      <c r="V2888" s="7" t="s">
        <v>45</v>
      </c>
      <c r="W2888" s="7" t="s">
        <v>67</v>
      </c>
      <c r="X2888" s="7" t="s">
        <v>68</v>
      </c>
      <c r="Y2888" s="7" t="s">
        <v>7274</v>
      </c>
      <c r="Z2888" s="7" t="s">
        <v>1779</v>
      </c>
      <c r="AA2888" s="7"/>
      <c r="AB2888" s="7"/>
      <c r="AC2888" s="7" t="s">
        <v>7224</v>
      </c>
      <c r="AD2888" s="7"/>
      <c r="AE2888" s="7" t="s">
        <v>7275</v>
      </c>
      <c r="AF2888" s="7"/>
      <c r="AG2888" s="7"/>
      <c r="AH2888" s="7" t="s">
        <v>7221</v>
      </c>
    </row>
    <row r="2889" spans="1:37" ht="9.75" customHeight="1" x14ac:dyDescent="0.2">
      <c r="A2889" s="7" t="s">
        <v>7118</v>
      </c>
      <c r="B2889" s="7" t="s">
        <v>38</v>
      </c>
      <c r="C2889" s="7"/>
      <c r="D2889" s="7" t="s">
        <v>7163</v>
      </c>
      <c r="E2889" s="8">
        <v>4</v>
      </c>
      <c r="F2889" s="7"/>
      <c r="G2889" s="7"/>
      <c r="H2889" s="9"/>
      <c r="I2889" s="10">
        <v>4633</v>
      </c>
      <c r="J2889" s="10">
        <v>2300</v>
      </c>
      <c r="K2889" s="9"/>
      <c r="L2889" s="9"/>
      <c r="M2889" s="9"/>
      <c r="N2889" s="9"/>
      <c r="O2889" s="9"/>
      <c r="P2889" s="9"/>
      <c r="Q2889" s="9"/>
      <c r="R2889" s="9"/>
      <c r="S2889" s="7" t="s">
        <v>54</v>
      </c>
      <c r="T2889" s="7" t="s">
        <v>7277</v>
      </c>
      <c r="U2889" s="7" t="s">
        <v>44</v>
      </c>
      <c r="V2889" s="7" t="s">
        <v>45</v>
      </c>
      <c r="W2889" s="7" t="s">
        <v>67</v>
      </c>
      <c r="X2889" s="7" t="s">
        <v>68</v>
      </c>
      <c r="Y2889" s="7" t="s">
        <v>7274</v>
      </c>
      <c r="Z2889" s="7" t="s">
        <v>1779</v>
      </c>
      <c r="AA2889" s="7"/>
      <c r="AB2889" s="7"/>
      <c r="AC2889" s="7" t="s">
        <v>7224</v>
      </c>
      <c r="AD2889" s="7"/>
      <c r="AE2889" s="7" t="s">
        <v>7275</v>
      </c>
      <c r="AF2889" s="7" t="s">
        <v>113</v>
      </c>
      <c r="AG2889" s="7" t="s">
        <v>366</v>
      </c>
      <c r="AH2889" s="7" t="s">
        <v>7221</v>
      </c>
    </row>
    <row r="2890" spans="1:37" ht="9.75" customHeight="1" x14ac:dyDescent="0.2">
      <c r="A2890" s="7" t="s">
        <v>7118</v>
      </c>
      <c r="B2890" s="7" t="s">
        <v>38</v>
      </c>
      <c r="C2890" s="7" t="s">
        <v>1502</v>
      </c>
      <c r="D2890" s="7" t="s">
        <v>7278</v>
      </c>
      <c r="E2890" s="8">
        <v>4</v>
      </c>
      <c r="F2890" s="7"/>
      <c r="G2890" s="7" t="s">
        <v>7279</v>
      </c>
      <c r="H2890" s="9"/>
      <c r="I2890" s="10">
        <v>12376</v>
      </c>
      <c r="J2890" s="10">
        <v>2244</v>
      </c>
      <c r="K2890" s="9"/>
      <c r="L2890" s="10">
        <v>4484</v>
      </c>
      <c r="M2890" s="9"/>
      <c r="N2890" s="10">
        <v>4484</v>
      </c>
      <c r="O2890" s="9"/>
      <c r="P2890" s="10"/>
      <c r="Q2890" s="10">
        <v>4484</v>
      </c>
      <c r="R2890" s="10">
        <v>4484</v>
      </c>
      <c r="S2890" s="7" t="s">
        <v>43</v>
      </c>
      <c r="T2890" s="7"/>
      <c r="U2890" s="7" t="s">
        <v>44</v>
      </c>
      <c r="V2890" s="7" t="s">
        <v>45</v>
      </c>
      <c r="W2890" s="7" t="s">
        <v>67</v>
      </c>
      <c r="X2890" s="7" t="s">
        <v>68</v>
      </c>
      <c r="Y2890" s="7" t="s">
        <v>7280</v>
      </c>
      <c r="Z2890" s="7" t="s">
        <v>1826</v>
      </c>
      <c r="AA2890" s="7"/>
      <c r="AB2890" s="7"/>
      <c r="AC2890" s="7" t="s">
        <v>7281</v>
      </c>
      <c r="AD2890" s="7" t="s">
        <v>7278</v>
      </c>
      <c r="AE2890" s="7"/>
      <c r="AF2890" s="7"/>
      <c r="AG2890" s="7"/>
      <c r="AH2890" s="7" t="s">
        <v>7278</v>
      </c>
      <c r="AI2890">
        <v>23551</v>
      </c>
      <c r="AK2890">
        <v>23551</v>
      </c>
    </row>
    <row r="2891" spans="1:37" ht="9.75" customHeight="1" x14ac:dyDescent="0.2">
      <c r="A2891" s="7" t="s">
        <v>7118</v>
      </c>
      <c r="B2891" s="7" t="s">
        <v>38</v>
      </c>
      <c r="C2891" s="7"/>
      <c r="D2891" s="7" t="s">
        <v>7282</v>
      </c>
      <c r="E2891" s="8">
        <v>4</v>
      </c>
      <c r="F2891" s="7"/>
      <c r="G2891" s="7"/>
      <c r="H2891" s="9"/>
      <c r="I2891" s="10">
        <v>12321</v>
      </c>
      <c r="J2891" s="9"/>
      <c r="K2891" s="9"/>
      <c r="L2891" s="9"/>
      <c r="M2891" s="9"/>
      <c r="N2891" s="9"/>
      <c r="O2891" s="9"/>
      <c r="P2891" s="9"/>
      <c r="Q2891" s="9"/>
      <c r="R2891" s="9"/>
      <c r="S2891" s="7" t="s">
        <v>54</v>
      </c>
      <c r="T2891" s="7" t="s">
        <v>7283</v>
      </c>
      <c r="U2891" s="7" t="s">
        <v>44</v>
      </c>
      <c r="V2891" s="7" t="s">
        <v>45</v>
      </c>
      <c r="W2891" s="7" t="s">
        <v>67</v>
      </c>
      <c r="X2891" s="7" t="s">
        <v>68</v>
      </c>
      <c r="Y2891" s="7" t="s">
        <v>7284</v>
      </c>
      <c r="Z2891" s="7" t="s">
        <v>1847</v>
      </c>
      <c r="AA2891" s="7"/>
      <c r="AB2891" s="7"/>
      <c r="AC2891" s="7" t="s">
        <v>7281</v>
      </c>
      <c r="AD2891" s="7" t="s">
        <v>7278</v>
      </c>
      <c r="AE2891" s="7" t="s">
        <v>7285</v>
      </c>
      <c r="AF2891" s="7"/>
      <c r="AG2891" s="7"/>
      <c r="AH2891" s="7" t="s">
        <v>7278</v>
      </c>
    </row>
    <row r="2892" spans="1:37" ht="9.75" customHeight="1" x14ac:dyDescent="0.2">
      <c r="A2892" s="7" t="s">
        <v>7118</v>
      </c>
      <c r="B2892" s="7" t="s">
        <v>38</v>
      </c>
      <c r="C2892" s="7"/>
      <c r="D2892" s="7" t="s">
        <v>7286</v>
      </c>
      <c r="E2892" s="8">
        <v>4</v>
      </c>
      <c r="F2892" s="7"/>
      <c r="G2892" s="7"/>
      <c r="H2892" s="9"/>
      <c r="I2892" s="9"/>
      <c r="J2892" s="9"/>
      <c r="K2892" s="9"/>
      <c r="L2892" s="10">
        <v>2</v>
      </c>
      <c r="M2892" s="9"/>
      <c r="N2892" s="10">
        <v>2</v>
      </c>
      <c r="O2892" s="9"/>
      <c r="P2892" s="10"/>
      <c r="Q2892" s="10"/>
      <c r="R2892" s="10"/>
      <c r="S2892" s="7" t="s">
        <v>54</v>
      </c>
      <c r="T2892" s="7" t="s">
        <v>7283</v>
      </c>
      <c r="U2892" s="7" t="s">
        <v>44</v>
      </c>
      <c r="V2892" s="7" t="s">
        <v>45</v>
      </c>
      <c r="W2892" s="7" t="s">
        <v>67</v>
      </c>
      <c r="X2892" s="7" t="s">
        <v>68</v>
      </c>
      <c r="Y2892" s="7" t="s">
        <v>7284</v>
      </c>
      <c r="Z2892" s="7" t="s">
        <v>1847</v>
      </c>
      <c r="AA2892" s="7"/>
      <c r="AB2892" s="7"/>
      <c r="AC2892" s="7" t="s">
        <v>7281</v>
      </c>
      <c r="AD2892" s="7" t="s">
        <v>7278</v>
      </c>
      <c r="AE2892" s="7" t="s">
        <v>7285</v>
      </c>
      <c r="AF2892" s="7"/>
      <c r="AG2892" s="7"/>
      <c r="AH2892" s="7" t="s">
        <v>7278</v>
      </c>
    </row>
    <row r="2893" spans="1:37" ht="9.75" customHeight="1" x14ac:dyDescent="0.2">
      <c r="A2893" s="7" t="s">
        <v>7118</v>
      </c>
      <c r="B2893" s="7" t="s">
        <v>38</v>
      </c>
      <c r="C2893" s="7"/>
      <c r="D2893" s="7" t="s">
        <v>7287</v>
      </c>
      <c r="E2893" s="8">
        <v>4</v>
      </c>
      <c r="F2893" s="7"/>
      <c r="G2893" s="7"/>
      <c r="H2893" s="9"/>
      <c r="I2893" s="9"/>
      <c r="J2893" s="10">
        <v>1</v>
      </c>
      <c r="K2893" s="9"/>
      <c r="L2893" s="9"/>
      <c r="M2893" s="9"/>
      <c r="N2893" s="9"/>
      <c r="O2893" s="9"/>
      <c r="P2893" s="9"/>
      <c r="Q2893" s="9"/>
      <c r="R2893" s="9"/>
      <c r="S2893" s="7" t="s">
        <v>54</v>
      </c>
      <c r="T2893" s="7" t="s">
        <v>7283</v>
      </c>
      <c r="U2893" s="7" t="s">
        <v>44</v>
      </c>
      <c r="V2893" s="7" t="s">
        <v>45</v>
      </c>
      <c r="W2893" s="7" t="s">
        <v>67</v>
      </c>
      <c r="X2893" s="7" t="s">
        <v>68</v>
      </c>
      <c r="Y2893" s="7" t="s">
        <v>7284</v>
      </c>
      <c r="Z2893" s="7" t="s">
        <v>1847</v>
      </c>
      <c r="AA2893" s="7"/>
      <c r="AB2893" s="7"/>
      <c r="AC2893" s="7" t="s">
        <v>7281</v>
      </c>
      <c r="AD2893" s="7" t="s">
        <v>7278</v>
      </c>
      <c r="AE2893" s="7" t="s">
        <v>7285</v>
      </c>
      <c r="AF2893" s="7"/>
      <c r="AG2893" s="7"/>
      <c r="AH2893" s="7" t="s">
        <v>7278</v>
      </c>
    </row>
    <row r="2894" spans="1:37" ht="9.75" customHeight="1" x14ac:dyDescent="0.2">
      <c r="A2894" s="7" t="s">
        <v>7118</v>
      </c>
      <c r="B2894" s="7" t="s">
        <v>38</v>
      </c>
      <c r="C2894" s="7"/>
      <c r="D2894" s="7" t="s">
        <v>7288</v>
      </c>
      <c r="E2894" s="8">
        <v>4</v>
      </c>
      <c r="F2894" s="7"/>
      <c r="G2894" s="7"/>
      <c r="H2894" s="9"/>
      <c r="I2894" s="9"/>
      <c r="J2894" s="10">
        <v>251</v>
      </c>
      <c r="K2894" s="9"/>
      <c r="L2894" s="10">
        <v>256</v>
      </c>
      <c r="M2894" s="9"/>
      <c r="N2894" s="10">
        <v>256</v>
      </c>
      <c r="O2894" s="9"/>
      <c r="P2894" s="10"/>
      <c r="Q2894" s="10"/>
      <c r="R2894" s="10"/>
      <c r="S2894" s="7" t="s">
        <v>54</v>
      </c>
      <c r="T2894" s="7" t="s">
        <v>7283</v>
      </c>
      <c r="U2894" s="7" t="s">
        <v>44</v>
      </c>
      <c r="V2894" s="7" t="s">
        <v>45</v>
      </c>
      <c r="W2894" s="7" t="s">
        <v>67</v>
      </c>
      <c r="X2894" s="7" t="s">
        <v>68</v>
      </c>
      <c r="Y2894" s="7" t="s">
        <v>7289</v>
      </c>
      <c r="Z2894" s="7" t="s">
        <v>1847</v>
      </c>
      <c r="AA2894" s="7"/>
      <c r="AB2894" s="7"/>
      <c r="AC2894" s="7" t="s">
        <v>7281</v>
      </c>
      <c r="AD2894" s="7" t="s">
        <v>7278</v>
      </c>
      <c r="AE2894" s="7" t="s">
        <v>7290</v>
      </c>
      <c r="AF2894" s="7" t="s">
        <v>113</v>
      </c>
      <c r="AG2894" s="7" t="s">
        <v>297</v>
      </c>
      <c r="AH2894" s="7" t="s">
        <v>7278</v>
      </c>
    </row>
    <row r="2895" spans="1:37" ht="9.75" customHeight="1" x14ac:dyDescent="0.2">
      <c r="A2895" s="7" t="s">
        <v>7118</v>
      </c>
      <c r="B2895" s="7" t="s">
        <v>38</v>
      </c>
      <c r="C2895" s="7"/>
      <c r="D2895" s="7" t="s">
        <v>7291</v>
      </c>
      <c r="E2895" s="8">
        <v>4</v>
      </c>
      <c r="F2895" s="7"/>
      <c r="G2895" s="7"/>
      <c r="H2895" s="9"/>
      <c r="I2895" s="10">
        <v>55</v>
      </c>
      <c r="J2895" s="10">
        <v>230</v>
      </c>
      <c r="K2895" s="9"/>
      <c r="L2895" s="10">
        <v>234</v>
      </c>
      <c r="M2895" s="9"/>
      <c r="N2895" s="10">
        <v>234</v>
      </c>
      <c r="O2895" s="9"/>
      <c r="P2895" s="10"/>
      <c r="Q2895" s="10"/>
      <c r="R2895" s="10"/>
      <c r="S2895" s="7" t="s">
        <v>54</v>
      </c>
      <c r="T2895" s="7" t="s">
        <v>7283</v>
      </c>
      <c r="U2895" s="7" t="s">
        <v>44</v>
      </c>
      <c r="V2895" s="7" t="s">
        <v>45</v>
      </c>
      <c r="W2895" s="7" t="s">
        <v>67</v>
      </c>
      <c r="X2895" s="7" t="s">
        <v>68</v>
      </c>
      <c r="Y2895" s="7" t="s">
        <v>7289</v>
      </c>
      <c r="Z2895" s="7" t="s">
        <v>1847</v>
      </c>
      <c r="AA2895" s="7"/>
      <c r="AB2895" s="7"/>
      <c r="AC2895" s="7" t="s">
        <v>7281</v>
      </c>
      <c r="AD2895" s="7" t="s">
        <v>7278</v>
      </c>
      <c r="AE2895" s="7" t="s">
        <v>7290</v>
      </c>
      <c r="AF2895" s="7"/>
      <c r="AG2895" s="7"/>
      <c r="AH2895" s="7" t="s">
        <v>7278</v>
      </c>
    </row>
    <row r="2896" spans="1:37" ht="9.75" customHeight="1" x14ac:dyDescent="0.2">
      <c r="A2896" s="7" t="s">
        <v>7118</v>
      </c>
      <c r="B2896" s="7" t="s">
        <v>38</v>
      </c>
      <c r="C2896" s="7"/>
      <c r="D2896" s="7" t="s">
        <v>7158</v>
      </c>
      <c r="E2896" s="8">
        <v>4</v>
      </c>
      <c r="F2896" s="7"/>
      <c r="G2896" s="7"/>
      <c r="H2896" s="9"/>
      <c r="I2896" s="9"/>
      <c r="J2896" s="10">
        <v>757</v>
      </c>
      <c r="K2896" s="9"/>
      <c r="L2896" s="10">
        <v>350</v>
      </c>
      <c r="M2896" s="9"/>
      <c r="N2896" s="10">
        <v>350</v>
      </c>
      <c r="O2896" s="9"/>
      <c r="P2896" s="10"/>
      <c r="Q2896" s="10"/>
      <c r="R2896" s="10"/>
      <c r="S2896" s="7" t="s">
        <v>54</v>
      </c>
      <c r="T2896" s="7" t="s">
        <v>7283</v>
      </c>
      <c r="U2896" s="7" t="s">
        <v>44</v>
      </c>
      <c r="V2896" s="7" t="s">
        <v>45</v>
      </c>
      <c r="W2896" s="7" t="s">
        <v>67</v>
      </c>
      <c r="X2896" s="7" t="s">
        <v>68</v>
      </c>
      <c r="Y2896" s="7" t="s">
        <v>7289</v>
      </c>
      <c r="Z2896" s="7" t="s">
        <v>1847</v>
      </c>
      <c r="AA2896" s="7"/>
      <c r="AB2896" s="7"/>
      <c r="AC2896" s="7" t="s">
        <v>7281</v>
      </c>
      <c r="AD2896" s="7" t="s">
        <v>7278</v>
      </c>
      <c r="AE2896" s="7" t="s">
        <v>7290</v>
      </c>
      <c r="AF2896" s="7"/>
      <c r="AG2896" s="7"/>
      <c r="AH2896" s="7" t="s">
        <v>7278</v>
      </c>
    </row>
    <row r="2897" spans="1:37" ht="9.75" customHeight="1" x14ac:dyDescent="0.2">
      <c r="A2897" s="7" t="s">
        <v>7118</v>
      </c>
      <c r="B2897" s="7" t="s">
        <v>38</v>
      </c>
      <c r="C2897" s="7"/>
      <c r="D2897" s="7" t="s">
        <v>7161</v>
      </c>
      <c r="E2897" s="8">
        <v>4</v>
      </c>
      <c r="F2897" s="7"/>
      <c r="G2897" s="7"/>
      <c r="H2897" s="9"/>
      <c r="I2897" s="9"/>
      <c r="J2897" s="9"/>
      <c r="K2897" s="9"/>
      <c r="L2897" s="10">
        <v>3637</v>
      </c>
      <c r="M2897" s="9"/>
      <c r="N2897" s="10">
        <v>3637</v>
      </c>
      <c r="O2897" s="9"/>
      <c r="P2897" s="10"/>
      <c r="Q2897" s="10"/>
      <c r="R2897" s="10"/>
      <c r="S2897" s="7" t="s">
        <v>54</v>
      </c>
      <c r="T2897" s="7" t="s">
        <v>7283</v>
      </c>
      <c r="U2897" s="7" t="s">
        <v>44</v>
      </c>
      <c r="V2897" s="7" t="s">
        <v>45</v>
      </c>
      <c r="W2897" s="7" t="s">
        <v>67</v>
      </c>
      <c r="X2897" s="7" t="s">
        <v>68</v>
      </c>
      <c r="Y2897" s="7" t="s">
        <v>7289</v>
      </c>
      <c r="Z2897" s="7" t="s">
        <v>1847</v>
      </c>
      <c r="AA2897" s="7"/>
      <c r="AB2897" s="7"/>
      <c r="AC2897" s="7" t="s">
        <v>7281</v>
      </c>
      <c r="AD2897" s="7" t="s">
        <v>7278</v>
      </c>
      <c r="AE2897" s="7" t="s">
        <v>7290</v>
      </c>
      <c r="AF2897" s="7"/>
      <c r="AG2897" s="7"/>
      <c r="AH2897" s="7" t="s">
        <v>7278</v>
      </c>
    </row>
    <row r="2898" spans="1:37" ht="9.75" customHeight="1" x14ac:dyDescent="0.2">
      <c r="A2898" s="7" t="s">
        <v>7118</v>
      </c>
      <c r="B2898" s="7" t="s">
        <v>38</v>
      </c>
      <c r="C2898" s="7"/>
      <c r="D2898" s="7" t="s">
        <v>7292</v>
      </c>
      <c r="E2898" s="8">
        <v>4</v>
      </c>
      <c r="F2898" s="7"/>
      <c r="G2898" s="7"/>
      <c r="H2898" s="9"/>
      <c r="I2898" s="9"/>
      <c r="J2898" s="10">
        <v>1000</v>
      </c>
      <c r="K2898" s="9"/>
      <c r="L2898" s="9"/>
      <c r="M2898" s="9"/>
      <c r="N2898" s="9"/>
      <c r="O2898" s="9"/>
      <c r="P2898" s="9"/>
      <c r="Q2898" s="9"/>
      <c r="R2898" s="9"/>
      <c r="S2898" s="7" t="s">
        <v>54</v>
      </c>
      <c r="T2898" s="7" t="s">
        <v>7283</v>
      </c>
      <c r="U2898" s="7" t="s">
        <v>44</v>
      </c>
      <c r="V2898" s="7" t="s">
        <v>45</v>
      </c>
      <c r="W2898" s="7" t="s">
        <v>67</v>
      </c>
      <c r="X2898" s="7" t="s">
        <v>68</v>
      </c>
      <c r="Y2898" s="7" t="s">
        <v>7293</v>
      </c>
      <c r="Z2898" s="7" t="s">
        <v>1847</v>
      </c>
      <c r="AA2898" s="7"/>
      <c r="AB2898" s="7"/>
      <c r="AC2898" s="7" t="s">
        <v>7281</v>
      </c>
      <c r="AD2898" s="7" t="s">
        <v>7278</v>
      </c>
      <c r="AE2898" s="7" t="s">
        <v>7294</v>
      </c>
      <c r="AF2898" s="7"/>
      <c r="AG2898" s="7"/>
      <c r="AH2898" s="7" t="s">
        <v>7278</v>
      </c>
    </row>
    <row r="2899" spans="1:37" ht="9.75" customHeight="1" x14ac:dyDescent="0.2">
      <c r="A2899" s="7" t="s">
        <v>7118</v>
      </c>
      <c r="B2899" s="7" t="s">
        <v>38</v>
      </c>
      <c r="C2899" s="7"/>
      <c r="D2899" s="7" t="s">
        <v>7295</v>
      </c>
      <c r="E2899" s="8">
        <v>4</v>
      </c>
      <c r="F2899" s="7"/>
      <c r="G2899" s="7"/>
      <c r="H2899" s="9"/>
      <c r="I2899" s="9"/>
      <c r="J2899" s="9"/>
      <c r="K2899" s="9"/>
      <c r="L2899" s="10">
        <v>5</v>
      </c>
      <c r="M2899" s="9"/>
      <c r="N2899" s="10">
        <v>5</v>
      </c>
      <c r="O2899" s="9"/>
      <c r="P2899" s="10"/>
      <c r="Q2899" s="10"/>
      <c r="R2899" s="10"/>
      <c r="S2899" s="7" t="s">
        <v>54</v>
      </c>
      <c r="T2899" s="7" t="s">
        <v>7283</v>
      </c>
      <c r="U2899" s="7" t="s">
        <v>44</v>
      </c>
      <c r="V2899" s="7" t="s">
        <v>45</v>
      </c>
      <c r="W2899" s="7" t="s">
        <v>67</v>
      </c>
      <c r="X2899" s="7" t="s">
        <v>68</v>
      </c>
      <c r="Y2899" s="7" t="s">
        <v>7293</v>
      </c>
      <c r="Z2899" s="7" t="s">
        <v>1847</v>
      </c>
      <c r="AA2899" s="7"/>
      <c r="AB2899" s="7"/>
      <c r="AC2899" s="7" t="s">
        <v>7281</v>
      </c>
      <c r="AD2899" s="7" t="s">
        <v>7278</v>
      </c>
      <c r="AE2899" s="7" t="s">
        <v>7294</v>
      </c>
      <c r="AF2899" s="7"/>
      <c r="AG2899" s="7"/>
      <c r="AH2899" s="7" t="s">
        <v>7278</v>
      </c>
    </row>
    <row r="2900" spans="1:37" ht="9.75" customHeight="1" x14ac:dyDescent="0.2">
      <c r="A2900" s="7" t="s">
        <v>7118</v>
      </c>
      <c r="B2900" s="7" t="s">
        <v>38</v>
      </c>
      <c r="C2900" s="7"/>
      <c r="D2900" s="7" t="s">
        <v>7296</v>
      </c>
      <c r="E2900" s="8">
        <v>4</v>
      </c>
      <c r="F2900" s="7"/>
      <c r="G2900" s="7"/>
      <c r="H2900" s="9"/>
      <c r="I2900" s="9"/>
      <c r="J2900" s="10">
        <v>5</v>
      </c>
      <c r="K2900" s="9"/>
      <c r="L2900" s="9"/>
      <c r="M2900" s="9"/>
      <c r="N2900" s="9"/>
      <c r="O2900" s="9"/>
      <c r="P2900" s="9"/>
      <c r="Q2900" s="9"/>
      <c r="R2900" s="9"/>
      <c r="S2900" s="7" t="s">
        <v>54</v>
      </c>
      <c r="T2900" s="7" t="s">
        <v>7283</v>
      </c>
      <c r="U2900" s="7" t="s">
        <v>44</v>
      </c>
      <c r="V2900" s="7" t="s">
        <v>45</v>
      </c>
      <c r="W2900" s="7" t="s">
        <v>67</v>
      </c>
      <c r="X2900" s="7" t="s">
        <v>68</v>
      </c>
      <c r="Y2900" s="7" t="s">
        <v>7293</v>
      </c>
      <c r="Z2900" s="7" t="s">
        <v>1847</v>
      </c>
      <c r="AA2900" s="7"/>
      <c r="AB2900" s="7"/>
      <c r="AC2900" s="7" t="s">
        <v>7281</v>
      </c>
      <c r="AD2900" s="7" t="s">
        <v>7278</v>
      </c>
      <c r="AE2900" s="7" t="s">
        <v>7294</v>
      </c>
      <c r="AF2900" s="7"/>
      <c r="AG2900" s="7"/>
      <c r="AH2900" s="7" t="s">
        <v>7278</v>
      </c>
    </row>
    <row r="2901" spans="1:37" ht="9.75" customHeight="1" x14ac:dyDescent="0.2">
      <c r="A2901" s="7" t="s">
        <v>7118</v>
      </c>
      <c r="B2901" s="7" t="s">
        <v>38</v>
      </c>
      <c r="C2901" s="7" t="s">
        <v>85</v>
      </c>
      <c r="D2901" s="7" t="s">
        <v>7297</v>
      </c>
      <c r="E2901" s="8">
        <v>4</v>
      </c>
      <c r="F2901" s="7"/>
      <c r="G2901" s="7" t="s">
        <v>7298</v>
      </c>
      <c r="H2901" s="9"/>
      <c r="I2901" s="10">
        <v>17472</v>
      </c>
      <c r="J2901" s="10">
        <v>14702</v>
      </c>
      <c r="K2901" s="9"/>
      <c r="L2901" s="10">
        <v>16294</v>
      </c>
      <c r="M2901" s="9"/>
      <c r="N2901" s="10">
        <v>16294</v>
      </c>
      <c r="O2901" s="9"/>
      <c r="P2901" s="10"/>
      <c r="Q2901" s="10">
        <v>16294</v>
      </c>
      <c r="R2901" s="10">
        <v>16294</v>
      </c>
      <c r="S2901" s="7" t="s">
        <v>43</v>
      </c>
      <c r="T2901" s="7"/>
      <c r="U2901" s="7" t="s">
        <v>44</v>
      </c>
      <c r="V2901" s="7" t="s">
        <v>45</v>
      </c>
      <c r="W2901" s="7" t="s">
        <v>67</v>
      </c>
      <c r="X2901" s="7" t="s">
        <v>68</v>
      </c>
      <c r="Y2901" s="7" t="s">
        <v>7299</v>
      </c>
      <c r="Z2901" s="7" t="s">
        <v>1923</v>
      </c>
      <c r="AA2901" s="7"/>
      <c r="AB2901" s="7"/>
      <c r="AC2901" s="7" t="s">
        <v>7300</v>
      </c>
      <c r="AD2901" s="7" t="s">
        <v>7297</v>
      </c>
      <c r="AE2901" s="7"/>
      <c r="AF2901" s="7"/>
      <c r="AG2901" s="7"/>
      <c r="AH2901" s="7" t="s">
        <v>7297</v>
      </c>
      <c r="AI2901">
        <v>36908</v>
      </c>
      <c r="AK2901">
        <v>36908</v>
      </c>
    </row>
    <row r="2902" spans="1:37" ht="9.75" customHeight="1" x14ac:dyDescent="0.2">
      <c r="A2902" s="7" t="s">
        <v>7118</v>
      </c>
      <c r="B2902" s="7" t="s">
        <v>38</v>
      </c>
      <c r="C2902" s="7"/>
      <c r="D2902" s="7" t="s">
        <v>7301</v>
      </c>
      <c r="E2902" s="8">
        <v>4</v>
      </c>
      <c r="F2902" s="7"/>
      <c r="G2902" s="7"/>
      <c r="H2902" s="9"/>
      <c r="I2902" s="9"/>
      <c r="J2902" s="9"/>
      <c r="K2902" s="9"/>
      <c r="L2902" s="9"/>
      <c r="M2902" s="9"/>
      <c r="N2902" s="9"/>
      <c r="O2902" s="9"/>
      <c r="P2902" s="9"/>
      <c r="Q2902" s="9"/>
      <c r="R2902" s="9"/>
      <c r="S2902" s="7" t="s">
        <v>54</v>
      </c>
      <c r="T2902" s="7" t="s">
        <v>7302</v>
      </c>
      <c r="U2902" s="7" t="s">
        <v>44</v>
      </c>
      <c r="V2902" s="7" t="s">
        <v>45</v>
      </c>
      <c r="W2902" s="7" t="s">
        <v>67</v>
      </c>
      <c r="X2902" s="7" t="s">
        <v>68</v>
      </c>
      <c r="Y2902" s="7" t="s">
        <v>7303</v>
      </c>
      <c r="Z2902" s="7" t="s">
        <v>1946</v>
      </c>
      <c r="AA2902" s="7"/>
      <c r="AB2902" s="7"/>
      <c r="AC2902" s="7" t="s">
        <v>7300</v>
      </c>
      <c r="AD2902" s="7" t="s">
        <v>7297</v>
      </c>
      <c r="AE2902" s="7" t="s">
        <v>7304</v>
      </c>
      <c r="AF2902" s="7"/>
      <c r="AG2902" s="7"/>
      <c r="AH2902" s="7" t="s">
        <v>7297</v>
      </c>
    </row>
    <row r="2903" spans="1:37" ht="9.75" customHeight="1" x14ac:dyDescent="0.2">
      <c r="A2903" s="7" t="s">
        <v>7118</v>
      </c>
      <c r="B2903" s="7" t="s">
        <v>38</v>
      </c>
      <c r="C2903" s="7"/>
      <c r="D2903" s="7" t="s">
        <v>7305</v>
      </c>
      <c r="E2903" s="8">
        <v>4</v>
      </c>
      <c r="F2903" s="7"/>
      <c r="G2903" s="7"/>
      <c r="H2903" s="9"/>
      <c r="I2903" s="9"/>
      <c r="J2903" s="10">
        <v>148</v>
      </c>
      <c r="K2903" s="9"/>
      <c r="L2903" s="9"/>
      <c r="M2903" s="9"/>
      <c r="N2903" s="9"/>
      <c r="O2903" s="9"/>
      <c r="P2903" s="9"/>
      <c r="Q2903" s="9"/>
      <c r="R2903" s="9"/>
      <c r="S2903" s="7" t="s">
        <v>54</v>
      </c>
      <c r="T2903" s="7" t="s">
        <v>7302</v>
      </c>
      <c r="U2903" s="7" t="s">
        <v>44</v>
      </c>
      <c r="V2903" s="7" t="s">
        <v>45</v>
      </c>
      <c r="W2903" s="7" t="s">
        <v>67</v>
      </c>
      <c r="X2903" s="7" t="s">
        <v>68</v>
      </c>
      <c r="Y2903" s="7" t="s">
        <v>7303</v>
      </c>
      <c r="Z2903" s="7" t="s">
        <v>1946</v>
      </c>
      <c r="AA2903" s="7"/>
      <c r="AB2903" s="7"/>
      <c r="AC2903" s="7" t="s">
        <v>7300</v>
      </c>
      <c r="AD2903" s="7" t="s">
        <v>7297</v>
      </c>
      <c r="AE2903" s="7" t="s">
        <v>7304</v>
      </c>
      <c r="AF2903" s="7"/>
      <c r="AG2903" s="7"/>
      <c r="AH2903" s="7" t="s">
        <v>7297</v>
      </c>
    </row>
    <row r="2904" spans="1:37" ht="9.75" customHeight="1" x14ac:dyDescent="0.2">
      <c r="A2904" s="7" t="s">
        <v>7118</v>
      </c>
      <c r="B2904" s="7" t="s">
        <v>38</v>
      </c>
      <c r="C2904" s="7"/>
      <c r="D2904" s="7" t="s">
        <v>7306</v>
      </c>
      <c r="E2904" s="8">
        <v>4</v>
      </c>
      <c r="F2904" s="7"/>
      <c r="G2904" s="7"/>
      <c r="H2904" s="9"/>
      <c r="I2904" s="9"/>
      <c r="J2904" s="10">
        <v>1361</v>
      </c>
      <c r="K2904" s="9"/>
      <c r="L2904" s="9"/>
      <c r="M2904" s="9"/>
      <c r="N2904" s="9"/>
      <c r="O2904" s="9"/>
      <c r="P2904" s="9"/>
      <c r="Q2904" s="9"/>
      <c r="R2904" s="9"/>
      <c r="S2904" s="7" t="s">
        <v>54</v>
      </c>
      <c r="T2904" s="7" t="s">
        <v>7302</v>
      </c>
      <c r="U2904" s="7" t="s">
        <v>44</v>
      </c>
      <c r="V2904" s="7" t="s">
        <v>45</v>
      </c>
      <c r="W2904" s="7" t="s">
        <v>67</v>
      </c>
      <c r="X2904" s="7" t="s">
        <v>68</v>
      </c>
      <c r="Y2904" s="7" t="s">
        <v>7307</v>
      </c>
      <c r="Z2904" s="7" t="s">
        <v>1946</v>
      </c>
      <c r="AA2904" s="7"/>
      <c r="AB2904" s="7"/>
      <c r="AC2904" s="7" t="s">
        <v>7300</v>
      </c>
      <c r="AD2904" s="7" t="s">
        <v>7297</v>
      </c>
      <c r="AE2904" s="7" t="s">
        <v>7308</v>
      </c>
      <c r="AF2904" s="7"/>
      <c r="AG2904" s="7"/>
      <c r="AH2904" s="7" t="s">
        <v>7297</v>
      </c>
    </row>
    <row r="2905" spans="1:37" ht="9.75" customHeight="1" x14ac:dyDescent="0.2">
      <c r="A2905" s="7" t="s">
        <v>7118</v>
      </c>
      <c r="B2905" s="7" t="s">
        <v>38</v>
      </c>
      <c r="C2905" s="7"/>
      <c r="D2905" s="7" t="s">
        <v>7309</v>
      </c>
      <c r="E2905" s="8">
        <v>4</v>
      </c>
      <c r="F2905" s="7"/>
      <c r="G2905" s="7"/>
      <c r="H2905" s="9"/>
      <c r="I2905" s="10">
        <v>5772</v>
      </c>
      <c r="J2905" s="10">
        <v>621</v>
      </c>
      <c r="K2905" s="9"/>
      <c r="L2905" s="9"/>
      <c r="M2905" s="9"/>
      <c r="N2905" s="9"/>
      <c r="O2905" s="9"/>
      <c r="P2905" s="9"/>
      <c r="Q2905" s="9"/>
      <c r="R2905" s="9"/>
      <c r="S2905" s="7" t="s">
        <v>54</v>
      </c>
      <c r="T2905" s="7" t="s">
        <v>7302</v>
      </c>
      <c r="U2905" s="7" t="s">
        <v>44</v>
      </c>
      <c r="V2905" s="7" t="s">
        <v>45</v>
      </c>
      <c r="W2905" s="7" t="s">
        <v>67</v>
      </c>
      <c r="X2905" s="7" t="s">
        <v>68</v>
      </c>
      <c r="Y2905" s="7" t="s">
        <v>7307</v>
      </c>
      <c r="Z2905" s="7" t="s">
        <v>1946</v>
      </c>
      <c r="AA2905" s="7"/>
      <c r="AB2905" s="7"/>
      <c r="AC2905" s="7" t="s">
        <v>7300</v>
      </c>
      <c r="AD2905" s="7" t="s">
        <v>7297</v>
      </c>
      <c r="AE2905" s="7" t="s">
        <v>7308</v>
      </c>
      <c r="AF2905" s="7"/>
      <c r="AG2905" s="7"/>
      <c r="AH2905" s="7" t="s">
        <v>7297</v>
      </c>
    </row>
    <row r="2906" spans="1:37" ht="9.75" customHeight="1" x14ac:dyDescent="0.2">
      <c r="A2906" s="7" t="s">
        <v>7118</v>
      </c>
      <c r="B2906" s="7" t="s">
        <v>38</v>
      </c>
      <c r="C2906" s="7"/>
      <c r="D2906" s="7" t="s">
        <v>7310</v>
      </c>
      <c r="E2906" s="8">
        <v>4</v>
      </c>
      <c r="F2906" s="7"/>
      <c r="G2906" s="7"/>
      <c r="H2906" s="9"/>
      <c r="I2906" s="9"/>
      <c r="J2906" s="9"/>
      <c r="K2906" s="9"/>
      <c r="L2906" s="10">
        <v>260</v>
      </c>
      <c r="M2906" s="9"/>
      <c r="N2906" s="10">
        <v>260</v>
      </c>
      <c r="O2906" s="9"/>
      <c r="P2906" s="10"/>
      <c r="Q2906" s="10"/>
      <c r="R2906" s="10"/>
      <c r="S2906" s="7" t="s">
        <v>54</v>
      </c>
      <c r="T2906" s="7" t="s">
        <v>7302</v>
      </c>
      <c r="U2906" s="7" t="s">
        <v>44</v>
      </c>
      <c r="V2906" s="7" t="s">
        <v>45</v>
      </c>
      <c r="W2906" s="7" t="s">
        <v>67</v>
      </c>
      <c r="X2906" s="7" t="s">
        <v>68</v>
      </c>
      <c r="Y2906" s="7" t="s">
        <v>7311</v>
      </c>
      <c r="Z2906" s="7" t="s">
        <v>1946</v>
      </c>
      <c r="AA2906" s="7"/>
      <c r="AB2906" s="7"/>
      <c r="AC2906" s="7" t="s">
        <v>7300</v>
      </c>
      <c r="AD2906" s="7" t="s">
        <v>7297</v>
      </c>
      <c r="AE2906" s="7" t="s">
        <v>7312</v>
      </c>
      <c r="AF2906" s="7"/>
      <c r="AG2906" s="7"/>
      <c r="AH2906" s="7" t="s">
        <v>7297</v>
      </c>
    </row>
    <row r="2907" spans="1:37" ht="9.75" customHeight="1" x14ac:dyDescent="0.2">
      <c r="A2907" s="7" t="s">
        <v>7118</v>
      </c>
      <c r="B2907" s="7" t="s">
        <v>38</v>
      </c>
      <c r="C2907" s="7"/>
      <c r="D2907" s="7" t="s">
        <v>7288</v>
      </c>
      <c r="E2907" s="8">
        <v>4</v>
      </c>
      <c r="F2907" s="7"/>
      <c r="G2907" s="7"/>
      <c r="H2907" s="9"/>
      <c r="I2907" s="10">
        <v>432</v>
      </c>
      <c r="J2907" s="10">
        <v>1199</v>
      </c>
      <c r="K2907" s="9"/>
      <c r="L2907" s="10">
        <v>1223</v>
      </c>
      <c r="M2907" s="9"/>
      <c r="N2907" s="10">
        <v>1223</v>
      </c>
      <c r="O2907" s="9"/>
      <c r="P2907" s="10"/>
      <c r="Q2907" s="10"/>
      <c r="R2907" s="10"/>
      <c r="S2907" s="7" t="s">
        <v>54</v>
      </c>
      <c r="T2907" s="7" t="s">
        <v>7302</v>
      </c>
      <c r="U2907" s="7" t="s">
        <v>44</v>
      </c>
      <c r="V2907" s="7" t="s">
        <v>45</v>
      </c>
      <c r="W2907" s="7" t="s">
        <v>67</v>
      </c>
      <c r="X2907" s="7" t="s">
        <v>68</v>
      </c>
      <c r="Y2907" s="7" t="s">
        <v>7313</v>
      </c>
      <c r="Z2907" s="7" t="s">
        <v>1946</v>
      </c>
      <c r="AA2907" s="7"/>
      <c r="AB2907" s="7"/>
      <c r="AC2907" s="7" t="s">
        <v>7300</v>
      </c>
      <c r="AD2907" s="7" t="s">
        <v>7297</v>
      </c>
      <c r="AE2907" s="7" t="s">
        <v>7314</v>
      </c>
      <c r="AF2907" s="7"/>
      <c r="AG2907" s="7"/>
      <c r="AH2907" s="7" t="s">
        <v>7297</v>
      </c>
    </row>
    <row r="2908" spans="1:37" ht="9.75" customHeight="1" x14ac:dyDescent="0.2">
      <c r="A2908" s="7" t="s">
        <v>7118</v>
      </c>
      <c r="B2908" s="7" t="s">
        <v>38</v>
      </c>
      <c r="C2908" s="7"/>
      <c r="D2908" s="7" t="s">
        <v>7291</v>
      </c>
      <c r="E2908" s="8">
        <v>4</v>
      </c>
      <c r="F2908" s="7"/>
      <c r="G2908" s="7"/>
      <c r="H2908" s="9"/>
      <c r="I2908" s="10">
        <v>810</v>
      </c>
      <c r="J2908" s="10">
        <v>586</v>
      </c>
      <c r="K2908" s="9"/>
      <c r="L2908" s="10">
        <v>598</v>
      </c>
      <c r="M2908" s="9"/>
      <c r="N2908" s="10">
        <v>598</v>
      </c>
      <c r="O2908" s="9"/>
      <c r="P2908" s="10"/>
      <c r="Q2908" s="10"/>
      <c r="R2908" s="10"/>
      <c r="S2908" s="7" t="s">
        <v>54</v>
      </c>
      <c r="T2908" s="7" t="s">
        <v>7302</v>
      </c>
      <c r="U2908" s="7" t="s">
        <v>44</v>
      </c>
      <c r="V2908" s="7" t="s">
        <v>45</v>
      </c>
      <c r="W2908" s="7" t="s">
        <v>67</v>
      </c>
      <c r="X2908" s="7" t="s">
        <v>68</v>
      </c>
      <c r="Y2908" s="7" t="s">
        <v>7313</v>
      </c>
      <c r="Z2908" s="7" t="s">
        <v>1946</v>
      </c>
      <c r="AA2908" s="7"/>
      <c r="AB2908" s="7"/>
      <c r="AC2908" s="7" t="s">
        <v>7300</v>
      </c>
      <c r="AD2908" s="7" t="s">
        <v>7297</v>
      </c>
      <c r="AE2908" s="7" t="s">
        <v>7314</v>
      </c>
      <c r="AF2908" s="7"/>
      <c r="AG2908" s="7"/>
      <c r="AH2908" s="7" t="s">
        <v>7297</v>
      </c>
    </row>
    <row r="2909" spans="1:37" ht="9.75" customHeight="1" x14ac:dyDescent="0.2">
      <c r="A2909" s="7" t="s">
        <v>7118</v>
      </c>
      <c r="B2909" s="7" t="s">
        <v>38</v>
      </c>
      <c r="C2909" s="7"/>
      <c r="D2909" s="7" t="s">
        <v>7161</v>
      </c>
      <c r="E2909" s="8">
        <v>4</v>
      </c>
      <c r="F2909" s="7"/>
      <c r="G2909" s="7"/>
      <c r="H2909" s="9"/>
      <c r="I2909" s="10">
        <v>10458</v>
      </c>
      <c r="J2909" s="10">
        <v>10712</v>
      </c>
      <c r="K2909" s="9"/>
      <c r="L2909" s="10">
        <v>13872</v>
      </c>
      <c r="M2909" s="9"/>
      <c r="N2909" s="10">
        <v>13872</v>
      </c>
      <c r="O2909" s="9"/>
      <c r="P2909" s="10"/>
      <c r="Q2909" s="10"/>
      <c r="R2909" s="10"/>
      <c r="S2909" s="7" t="s">
        <v>54</v>
      </c>
      <c r="T2909" s="7" t="s">
        <v>7302</v>
      </c>
      <c r="U2909" s="7" t="s">
        <v>44</v>
      </c>
      <c r="V2909" s="7" t="s">
        <v>45</v>
      </c>
      <c r="W2909" s="7" t="s">
        <v>67</v>
      </c>
      <c r="X2909" s="7" t="s">
        <v>68</v>
      </c>
      <c r="Y2909" s="7" t="s">
        <v>7313</v>
      </c>
      <c r="Z2909" s="7" t="s">
        <v>1946</v>
      </c>
      <c r="AA2909" s="7"/>
      <c r="AB2909" s="7"/>
      <c r="AC2909" s="7" t="s">
        <v>7300</v>
      </c>
      <c r="AD2909" s="7" t="s">
        <v>7297</v>
      </c>
      <c r="AE2909" s="7" t="s">
        <v>7314</v>
      </c>
      <c r="AF2909" s="7" t="s">
        <v>6249</v>
      </c>
      <c r="AG2909" s="7" t="s">
        <v>6432</v>
      </c>
      <c r="AH2909" s="7" t="s">
        <v>7297</v>
      </c>
    </row>
    <row r="2910" spans="1:37" ht="9.75" customHeight="1" x14ac:dyDescent="0.2">
      <c r="A2910" s="7" t="s">
        <v>7118</v>
      </c>
      <c r="B2910" s="7" t="s">
        <v>38</v>
      </c>
      <c r="C2910" s="7"/>
      <c r="D2910" s="7" t="s">
        <v>7315</v>
      </c>
      <c r="E2910" s="8">
        <v>4</v>
      </c>
      <c r="F2910" s="7"/>
      <c r="G2910" s="7"/>
      <c r="H2910" s="9"/>
      <c r="I2910" s="9"/>
      <c r="J2910" s="9"/>
      <c r="K2910" s="9"/>
      <c r="L2910" s="10">
        <v>341</v>
      </c>
      <c r="M2910" s="9"/>
      <c r="N2910" s="10">
        <v>341</v>
      </c>
      <c r="O2910" s="9"/>
      <c r="P2910" s="10"/>
      <c r="Q2910" s="10"/>
      <c r="R2910" s="10"/>
      <c r="S2910" s="7" t="s">
        <v>54</v>
      </c>
      <c r="T2910" s="7" t="s">
        <v>7302</v>
      </c>
      <c r="U2910" s="7" t="s">
        <v>44</v>
      </c>
      <c r="V2910" s="7" t="s">
        <v>45</v>
      </c>
      <c r="W2910" s="7" t="s">
        <v>67</v>
      </c>
      <c r="X2910" s="7" t="s">
        <v>68</v>
      </c>
      <c r="Y2910" s="7" t="s">
        <v>7316</v>
      </c>
      <c r="Z2910" s="7" t="s">
        <v>1946</v>
      </c>
      <c r="AA2910" s="7"/>
      <c r="AB2910" s="7"/>
      <c r="AC2910" s="7" t="s">
        <v>7300</v>
      </c>
      <c r="AD2910" s="7" t="s">
        <v>7297</v>
      </c>
      <c r="AE2910" s="7" t="s">
        <v>7317</v>
      </c>
      <c r="AF2910" s="7"/>
      <c r="AG2910" s="7"/>
      <c r="AH2910" s="7" t="s">
        <v>7297</v>
      </c>
    </row>
    <row r="2911" spans="1:37" ht="9.75" customHeight="1" x14ac:dyDescent="0.2">
      <c r="A2911" s="7" t="s">
        <v>7118</v>
      </c>
      <c r="B2911" s="7" t="s">
        <v>38</v>
      </c>
      <c r="C2911" s="7"/>
      <c r="D2911" s="7" t="s">
        <v>7318</v>
      </c>
      <c r="E2911" s="8">
        <v>4</v>
      </c>
      <c r="F2911" s="7"/>
      <c r="G2911" s="7"/>
      <c r="H2911" s="9"/>
      <c r="I2911" s="9"/>
      <c r="J2911" s="10">
        <v>75</v>
      </c>
      <c r="K2911" s="9"/>
      <c r="L2911" s="9"/>
      <c r="M2911" s="9"/>
      <c r="N2911" s="9"/>
      <c r="O2911" s="9"/>
      <c r="P2911" s="9"/>
      <c r="Q2911" s="9"/>
      <c r="R2911" s="9"/>
      <c r="S2911" s="7" t="s">
        <v>54</v>
      </c>
      <c r="T2911" s="7" t="s">
        <v>7302</v>
      </c>
      <c r="U2911" s="7" t="s">
        <v>44</v>
      </c>
      <c r="V2911" s="7" t="s">
        <v>45</v>
      </c>
      <c r="W2911" s="7" t="s">
        <v>67</v>
      </c>
      <c r="X2911" s="7" t="s">
        <v>68</v>
      </c>
      <c r="Y2911" s="7" t="s">
        <v>7316</v>
      </c>
      <c r="Z2911" s="7" t="s">
        <v>1946</v>
      </c>
      <c r="AA2911" s="7"/>
      <c r="AB2911" s="7"/>
      <c r="AC2911" s="7" t="s">
        <v>7300</v>
      </c>
      <c r="AD2911" s="7" t="s">
        <v>7297</v>
      </c>
      <c r="AE2911" s="7" t="s">
        <v>7317</v>
      </c>
      <c r="AF2911" s="7"/>
      <c r="AG2911" s="7"/>
      <c r="AH2911" s="7" t="s">
        <v>7297</v>
      </c>
    </row>
    <row r="2912" spans="1:37" ht="9.75" customHeight="1" x14ac:dyDescent="0.2">
      <c r="A2912" s="7" t="s">
        <v>7118</v>
      </c>
      <c r="B2912" s="7" t="s">
        <v>38</v>
      </c>
      <c r="C2912" s="7" t="s">
        <v>6307</v>
      </c>
      <c r="D2912" s="7" t="s">
        <v>7319</v>
      </c>
      <c r="E2912" s="7" t="s">
        <v>7320</v>
      </c>
      <c r="F2912" s="7"/>
      <c r="G2912" s="7" t="s">
        <v>7321</v>
      </c>
      <c r="H2912" s="9"/>
      <c r="I2912" s="10">
        <v>19690</v>
      </c>
      <c r="J2912" s="10">
        <v>17982</v>
      </c>
      <c r="K2912" s="9"/>
      <c r="L2912" s="10">
        <v>13806</v>
      </c>
      <c r="M2912" s="9"/>
      <c r="N2912" s="10">
        <v>13806</v>
      </c>
      <c r="O2912" s="9"/>
      <c r="P2912" s="10"/>
      <c r="Q2912" s="10">
        <v>13806</v>
      </c>
      <c r="R2912" s="10">
        <v>13806</v>
      </c>
      <c r="S2912" s="7" t="s">
        <v>43</v>
      </c>
      <c r="T2912" s="7"/>
      <c r="U2912" s="7"/>
      <c r="V2912" s="7"/>
      <c r="W2912" s="7"/>
      <c r="X2912" s="7"/>
      <c r="Y2912" s="7" t="s">
        <v>7322</v>
      </c>
      <c r="Z2912" s="7" t="s">
        <v>2013</v>
      </c>
      <c r="AA2912" s="7"/>
      <c r="AB2912" s="7"/>
      <c r="AC2912" s="7" t="s">
        <v>7323</v>
      </c>
      <c r="AD2912" s="7"/>
      <c r="AE2912" s="7"/>
      <c r="AF2912" s="7"/>
      <c r="AG2912" s="7"/>
      <c r="AH2912" s="7" t="s">
        <v>7319</v>
      </c>
      <c r="AI2912">
        <v>7477</v>
      </c>
      <c r="AK2912">
        <v>7477</v>
      </c>
    </row>
    <row r="2913" spans="1:37" ht="9.75" customHeight="1" x14ac:dyDescent="0.2">
      <c r="A2913" s="7" t="s">
        <v>7118</v>
      </c>
      <c r="B2913" s="7" t="s">
        <v>38</v>
      </c>
      <c r="C2913" s="7"/>
      <c r="D2913" s="7" t="s">
        <v>7324</v>
      </c>
      <c r="E2913" s="8">
        <v>4</v>
      </c>
      <c r="F2913" s="7"/>
      <c r="G2913" s="7"/>
      <c r="H2913" s="9"/>
      <c r="I2913" s="10">
        <v>5287</v>
      </c>
      <c r="J2913" s="10">
        <v>4314</v>
      </c>
      <c r="K2913" s="9"/>
      <c r="L2913" s="10">
        <v>3301</v>
      </c>
      <c r="M2913" s="9"/>
      <c r="N2913" s="10">
        <v>3301</v>
      </c>
      <c r="O2913" s="9"/>
      <c r="P2913" s="10"/>
      <c r="Q2913" s="10"/>
      <c r="R2913" s="10"/>
      <c r="S2913" s="7" t="s">
        <v>54</v>
      </c>
      <c r="T2913" s="7" t="s">
        <v>7325</v>
      </c>
      <c r="U2913" s="7"/>
      <c r="V2913" s="7"/>
      <c r="W2913" s="7"/>
      <c r="X2913" s="7"/>
      <c r="Y2913" s="7" t="s">
        <v>7326</v>
      </c>
      <c r="Z2913" s="7" t="s">
        <v>92</v>
      </c>
      <c r="AA2913" s="7"/>
      <c r="AB2913" s="7"/>
      <c r="AC2913" s="7" t="s">
        <v>7323</v>
      </c>
      <c r="AD2913" s="7" t="s">
        <v>7327</v>
      </c>
      <c r="AE2913" s="7" t="s">
        <v>7328</v>
      </c>
      <c r="AF2913" s="7"/>
      <c r="AG2913" s="7"/>
      <c r="AH2913" s="7" t="s">
        <v>7319</v>
      </c>
    </row>
    <row r="2914" spans="1:37" ht="9.75" customHeight="1" x14ac:dyDescent="0.2">
      <c r="A2914" s="7" t="s">
        <v>7118</v>
      </c>
      <c r="B2914" s="7" t="s">
        <v>38</v>
      </c>
      <c r="C2914" s="7"/>
      <c r="D2914" s="7" t="s">
        <v>7329</v>
      </c>
      <c r="E2914" s="8">
        <v>6</v>
      </c>
      <c r="F2914" s="7"/>
      <c r="G2914" s="7"/>
      <c r="H2914" s="9"/>
      <c r="I2914" s="10">
        <v>2943</v>
      </c>
      <c r="J2914" s="10">
        <v>3118</v>
      </c>
      <c r="K2914" s="9"/>
      <c r="L2914" s="10">
        <v>2815</v>
      </c>
      <c r="M2914" s="9"/>
      <c r="N2914" s="10">
        <v>2815</v>
      </c>
      <c r="O2914" s="9"/>
      <c r="P2914" s="10"/>
      <c r="Q2914" s="10"/>
      <c r="R2914" s="10"/>
      <c r="S2914" s="7" t="s">
        <v>54</v>
      </c>
      <c r="T2914" s="7" t="s">
        <v>7325</v>
      </c>
      <c r="U2914" s="7"/>
      <c r="V2914" s="7"/>
      <c r="W2914" s="7"/>
      <c r="X2914" s="7"/>
      <c r="Y2914" s="7" t="s">
        <v>7330</v>
      </c>
      <c r="Z2914" s="7" t="s">
        <v>92</v>
      </c>
      <c r="AA2914" s="7"/>
      <c r="AB2914" s="7"/>
      <c r="AC2914" s="7" t="s">
        <v>7323</v>
      </c>
      <c r="AD2914" s="7" t="s">
        <v>7331</v>
      </c>
      <c r="AE2914" s="7" t="s">
        <v>7332</v>
      </c>
      <c r="AF2914" s="7"/>
      <c r="AG2914" s="7"/>
      <c r="AH2914" s="7" t="s">
        <v>7319</v>
      </c>
    </row>
    <row r="2915" spans="1:37" ht="9.75" customHeight="1" x14ac:dyDescent="0.2">
      <c r="A2915" s="7" t="s">
        <v>7118</v>
      </c>
      <c r="B2915" s="7" t="s">
        <v>38</v>
      </c>
      <c r="C2915" s="7"/>
      <c r="D2915" s="7" t="s">
        <v>7333</v>
      </c>
      <c r="E2915" s="8">
        <v>6</v>
      </c>
      <c r="F2915" s="7"/>
      <c r="G2915" s="7"/>
      <c r="H2915" s="9"/>
      <c r="I2915" s="10">
        <v>1586</v>
      </c>
      <c r="J2915" s="10">
        <v>1415</v>
      </c>
      <c r="K2915" s="9"/>
      <c r="L2915" s="10">
        <v>1475</v>
      </c>
      <c r="M2915" s="9"/>
      <c r="N2915" s="10">
        <v>1475</v>
      </c>
      <c r="O2915" s="9"/>
      <c r="P2915" s="10"/>
      <c r="Q2915" s="10"/>
      <c r="R2915" s="10"/>
      <c r="S2915" s="7" t="s">
        <v>54</v>
      </c>
      <c r="T2915" s="7" t="s">
        <v>7325</v>
      </c>
      <c r="U2915" s="7"/>
      <c r="V2915" s="7"/>
      <c r="W2915" s="7"/>
      <c r="X2915" s="7"/>
      <c r="Y2915" s="7" t="s">
        <v>7330</v>
      </c>
      <c r="Z2915" s="7" t="s">
        <v>92</v>
      </c>
      <c r="AA2915" s="7"/>
      <c r="AB2915" s="7"/>
      <c r="AC2915" s="7" t="s">
        <v>7323</v>
      </c>
      <c r="AD2915" s="7" t="s">
        <v>7331</v>
      </c>
      <c r="AE2915" s="7" t="s">
        <v>7332</v>
      </c>
      <c r="AF2915" s="7"/>
      <c r="AG2915" s="7"/>
      <c r="AH2915" s="7" t="s">
        <v>7319</v>
      </c>
    </row>
    <row r="2916" spans="1:37" ht="9.75" customHeight="1" x14ac:dyDescent="0.2">
      <c r="A2916" s="7" t="s">
        <v>7118</v>
      </c>
      <c r="B2916" s="7" t="s">
        <v>38</v>
      </c>
      <c r="C2916" s="7"/>
      <c r="D2916" s="7" t="s">
        <v>7334</v>
      </c>
      <c r="E2916" s="8">
        <v>6</v>
      </c>
      <c r="F2916" s="7"/>
      <c r="G2916" s="7"/>
      <c r="H2916" s="9"/>
      <c r="I2916" s="10">
        <v>3616</v>
      </c>
      <c r="J2916" s="10">
        <v>3688</v>
      </c>
      <c r="K2916" s="9"/>
      <c r="L2916" s="10">
        <v>3010</v>
      </c>
      <c r="M2916" s="9"/>
      <c r="N2916" s="10">
        <v>3010</v>
      </c>
      <c r="O2916" s="9"/>
      <c r="P2916" s="10"/>
      <c r="Q2916" s="10"/>
      <c r="R2916" s="10"/>
      <c r="S2916" s="7" t="s">
        <v>54</v>
      </c>
      <c r="T2916" s="7" t="s">
        <v>7325</v>
      </c>
      <c r="U2916" s="7" t="s">
        <v>44</v>
      </c>
      <c r="V2916" s="7" t="s">
        <v>4767</v>
      </c>
      <c r="W2916" s="7" t="s">
        <v>4768</v>
      </c>
      <c r="X2916" s="7"/>
      <c r="Y2916" s="7" t="s">
        <v>7335</v>
      </c>
      <c r="Z2916" s="7" t="s">
        <v>92</v>
      </c>
      <c r="AA2916" s="7"/>
      <c r="AB2916" s="7"/>
      <c r="AC2916" s="7" t="s">
        <v>7323</v>
      </c>
      <c r="AD2916" s="7" t="s">
        <v>7336</v>
      </c>
      <c r="AE2916" s="7" t="s">
        <v>7337</v>
      </c>
      <c r="AF2916" s="7"/>
      <c r="AG2916" s="7"/>
      <c r="AH2916" s="7" t="s">
        <v>7319</v>
      </c>
    </row>
    <row r="2917" spans="1:37" ht="9.75" customHeight="1" x14ac:dyDescent="0.2">
      <c r="A2917" s="7" t="s">
        <v>7118</v>
      </c>
      <c r="B2917" s="7" t="s">
        <v>38</v>
      </c>
      <c r="C2917" s="7"/>
      <c r="D2917" s="7" t="s">
        <v>7338</v>
      </c>
      <c r="E2917" s="8">
        <v>6</v>
      </c>
      <c r="F2917" s="7"/>
      <c r="G2917" s="7"/>
      <c r="H2917" s="9"/>
      <c r="I2917" s="10">
        <v>831</v>
      </c>
      <c r="J2917" s="10">
        <v>802</v>
      </c>
      <c r="K2917" s="9"/>
      <c r="L2917" s="10">
        <v>741</v>
      </c>
      <c r="M2917" s="9"/>
      <c r="N2917" s="10">
        <v>741</v>
      </c>
      <c r="O2917" s="9"/>
      <c r="P2917" s="10"/>
      <c r="Q2917" s="10"/>
      <c r="R2917" s="10"/>
      <c r="S2917" s="7" t="s">
        <v>54</v>
      </c>
      <c r="T2917" s="7" t="s">
        <v>7325</v>
      </c>
      <c r="U2917" s="7" t="s">
        <v>44</v>
      </c>
      <c r="V2917" s="7" t="s">
        <v>4767</v>
      </c>
      <c r="W2917" s="7" t="s">
        <v>4768</v>
      </c>
      <c r="X2917" s="7"/>
      <c r="Y2917" s="7" t="s">
        <v>7335</v>
      </c>
      <c r="Z2917" s="7" t="s">
        <v>92</v>
      </c>
      <c r="AA2917" s="7"/>
      <c r="AB2917" s="7"/>
      <c r="AC2917" s="7" t="s">
        <v>7323</v>
      </c>
      <c r="AD2917" s="7" t="s">
        <v>7336</v>
      </c>
      <c r="AE2917" s="7" t="s">
        <v>7337</v>
      </c>
      <c r="AF2917" s="7"/>
      <c r="AG2917" s="7"/>
      <c r="AH2917" s="7" t="s">
        <v>7319</v>
      </c>
    </row>
    <row r="2918" spans="1:37" ht="9.75" customHeight="1" x14ac:dyDescent="0.2">
      <c r="A2918" s="7" t="s">
        <v>7118</v>
      </c>
      <c r="B2918" s="7" t="s">
        <v>38</v>
      </c>
      <c r="C2918" s="7"/>
      <c r="D2918" s="7" t="s">
        <v>7339</v>
      </c>
      <c r="E2918" s="8">
        <v>6</v>
      </c>
      <c r="F2918" s="7"/>
      <c r="G2918" s="7"/>
      <c r="H2918" s="9"/>
      <c r="I2918" s="9"/>
      <c r="J2918" s="10">
        <v>965</v>
      </c>
      <c r="K2918" s="9"/>
      <c r="L2918" s="10">
        <v>310</v>
      </c>
      <c r="M2918" s="9"/>
      <c r="N2918" s="10">
        <v>310</v>
      </c>
      <c r="O2918" s="9"/>
      <c r="P2918" s="10"/>
      <c r="Q2918" s="10"/>
      <c r="R2918" s="10"/>
      <c r="S2918" s="7" t="s">
        <v>54</v>
      </c>
      <c r="T2918" s="7" t="s">
        <v>7325</v>
      </c>
      <c r="U2918" s="7"/>
      <c r="V2918" s="7"/>
      <c r="W2918" s="7"/>
      <c r="X2918" s="7"/>
      <c r="Y2918" s="7" t="s">
        <v>7340</v>
      </c>
      <c r="Z2918" s="7" t="s">
        <v>4729</v>
      </c>
      <c r="AA2918" s="7"/>
      <c r="AB2918" s="7"/>
      <c r="AC2918" s="7" t="s">
        <v>7323</v>
      </c>
      <c r="AD2918" s="7" t="s">
        <v>7341</v>
      </c>
      <c r="AE2918" s="7" t="s">
        <v>7342</v>
      </c>
      <c r="AF2918" s="7"/>
      <c r="AG2918" s="7"/>
      <c r="AH2918" s="7" t="s">
        <v>7319</v>
      </c>
    </row>
    <row r="2919" spans="1:37" ht="9.75" customHeight="1" x14ac:dyDescent="0.2">
      <c r="A2919" s="7" t="s">
        <v>7118</v>
      </c>
      <c r="B2919" s="7" t="s">
        <v>38</v>
      </c>
      <c r="C2919" s="7"/>
      <c r="D2919" s="7" t="s">
        <v>7343</v>
      </c>
      <c r="E2919" s="8">
        <v>4</v>
      </c>
      <c r="F2919" s="7"/>
      <c r="G2919" s="7"/>
      <c r="H2919" s="9"/>
      <c r="I2919" s="10">
        <v>1043</v>
      </c>
      <c r="J2919" s="10">
        <v>702</v>
      </c>
      <c r="K2919" s="9"/>
      <c r="L2919" s="10">
        <v>716</v>
      </c>
      <c r="M2919" s="9"/>
      <c r="N2919" s="10">
        <v>716</v>
      </c>
      <c r="O2919" s="9"/>
      <c r="P2919" s="10"/>
      <c r="Q2919" s="10"/>
      <c r="R2919" s="10"/>
      <c r="S2919" s="7" t="s">
        <v>54</v>
      </c>
      <c r="T2919" s="7" t="s">
        <v>7325</v>
      </c>
      <c r="U2919" s="7"/>
      <c r="V2919" s="7"/>
      <c r="W2919" s="7"/>
      <c r="X2919" s="7"/>
      <c r="Y2919" s="7" t="s">
        <v>7344</v>
      </c>
      <c r="Z2919" s="7" t="s">
        <v>4729</v>
      </c>
      <c r="AA2919" s="7"/>
      <c r="AB2919" s="7"/>
      <c r="AC2919" s="7" t="s">
        <v>7323</v>
      </c>
      <c r="AD2919" s="7" t="s">
        <v>7345</v>
      </c>
      <c r="AE2919" s="7" t="s">
        <v>7346</v>
      </c>
      <c r="AF2919" s="7"/>
      <c r="AG2919" s="7"/>
      <c r="AH2919" s="7" t="s">
        <v>7319</v>
      </c>
    </row>
    <row r="2920" spans="1:37" ht="9.75" customHeight="1" x14ac:dyDescent="0.2">
      <c r="A2920" s="7" t="s">
        <v>7118</v>
      </c>
      <c r="B2920" s="7" t="s">
        <v>38</v>
      </c>
      <c r="C2920" s="7"/>
      <c r="D2920" s="7" t="s">
        <v>7347</v>
      </c>
      <c r="E2920" s="8">
        <v>4</v>
      </c>
      <c r="F2920" s="7"/>
      <c r="G2920" s="7"/>
      <c r="H2920" s="9"/>
      <c r="I2920" s="10">
        <v>329</v>
      </c>
      <c r="J2920" s="10">
        <v>259</v>
      </c>
      <c r="K2920" s="9"/>
      <c r="L2920" s="10">
        <v>217</v>
      </c>
      <c r="M2920" s="9"/>
      <c r="N2920" s="10">
        <v>217</v>
      </c>
      <c r="O2920" s="9"/>
      <c r="P2920" s="10"/>
      <c r="Q2920" s="10"/>
      <c r="R2920" s="10"/>
      <c r="S2920" s="7" t="s">
        <v>54</v>
      </c>
      <c r="T2920" s="7" t="s">
        <v>7325</v>
      </c>
      <c r="U2920" s="7"/>
      <c r="V2920" s="7"/>
      <c r="W2920" s="7"/>
      <c r="X2920" s="7"/>
      <c r="Y2920" s="7" t="s">
        <v>7348</v>
      </c>
      <c r="Z2920" s="7" t="s">
        <v>4821</v>
      </c>
      <c r="AA2920" s="7"/>
      <c r="AB2920" s="7"/>
      <c r="AC2920" s="7" t="s">
        <v>7323</v>
      </c>
      <c r="AD2920" s="7" t="s">
        <v>7349</v>
      </c>
      <c r="AE2920" s="7" t="s">
        <v>7350</v>
      </c>
      <c r="AF2920" s="7"/>
      <c r="AG2920" s="7"/>
      <c r="AH2920" s="7" t="s">
        <v>7319</v>
      </c>
    </row>
    <row r="2921" spans="1:37" ht="9.75" customHeight="1" x14ac:dyDescent="0.2">
      <c r="A2921" s="7" t="s">
        <v>7118</v>
      </c>
      <c r="B2921" s="7" t="s">
        <v>38</v>
      </c>
      <c r="C2921" s="7"/>
      <c r="D2921" s="7" t="s">
        <v>7351</v>
      </c>
      <c r="E2921" s="8">
        <v>6</v>
      </c>
      <c r="F2921" s="7"/>
      <c r="G2921" s="7"/>
      <c r="H2921" s="9"/>
      <c r="I2921" s="10">
        <v>263</v>
      </c>
      <c r="J2921" s="10">
        <v>256</v>
      </c>
      <c r="K2921" s="9"/>
      <c r="L2921" s="10">
        <v>167</v>
      </c>
      <c r="M2921" s="9"/>
      <c r="N2921" s="10">
        <v>167</v>
      </c>
      <c r="O2921" s="9"/>
      <c r="P2921" s="10"/>
      <c r="Q2921" s="10"/>
      <c r="R2921" s="10"/>
      <c r="S2921" s="7" t="s">
        <v>54</v>
      </c>
      <c r="T2921" s="7" t="s">
        <v>7325</v>
      </c>
      <c r="U2921" s="7" t="s">
        <v>44</v>
      </c>
      <c r="V2921" s="7" t="s">
        <v>4767</v>
      </c>
      <c r="W2921" s="7" t="s">
        <v>4768</v>
      </c>
      <c r="X2921" s="7"/>
      <c r="Y2921" s="7" t="s">
        <v>7348</v>
      </c>
      <c r="Z2921" s="7" t="s">
        <v>4821</v>
      </c>
      <c r="AA2921" s="7"/>
      <c r="AB2921" s="7"/>
      <c r="AC2921" s="7" t="s">
        <v>7323</v>
      </c>
      <c r="AD2921" s="7" t="s">
        <v>7349</v>
      </c>
      <c r="AE2921" s="7" t="s">
        <v>7350</v>
      </c>
      <c r="AF2921" s="7"/>
      <c r="AG2921" s="7"/>
      <c r="AH2921" s="7" t="s">
        <v>7319</v>
      </c>
    </row>
    <row r="2922" spans="1:37" ht="9.75" customHeight="1" x14ac:dyDescent="0.2">
      <c r="A2922" s="7" t="s">
        <v>7118</v>
      </c>
      <c r="B2922" s="7" t="s">
        <v>38</v>
      </c>
      <c r="C2922" s="7"/>
      <c r="D2922" s="7" t="s">
        <v>7352</v>
      </c>
      <c r="E2922" s="8">
        <v>4</v>
      </c>
      <c r="F2922" s="7"/>
      <c r="G2922" s="7"/>
      <c r="H2922" s="9"/>
      <c r="I2922" s="10">
        <v>2305</v>
      </c>
      <c r="J2922" s="10">
        <v>2148</v>
      </c>
      <c r="K2922" s="9"/>
      <c r="L2922" s="10">
        <v>725</v>
      </c>
      <c r="M2922" s="9"/>
      <c r="N2922" s="10">
        <v>725</v>
      </c>
      <c r="O2922" s="9"/>
      <c r="P2922" s="10"/>
      <c r="Q2922" s="10"/>
      <c r="R2922" s="10"/>
      <c r="S2922" s="7" t="s">
        <v>54</v>
      </c>
      <c r="T2922" s="7" t="s">
        <v>7325</v>
      </c>
      <c r="U2922" s="7"/>
      <c r="V2922" s="7"/>
      <c r="W2922" s="7"/>
      <c r="X2922" s="7"/>
      <c r="Y2922" s="7" t="s">
        <v>7353</v>
      </c>
      <c r="Z2922" s="7" t="s">
        <v>4821</v>
      </c>
      <c r="AA2922" s="7"/>
      <c r="AB2922" s="7"/>
      <c r="AC2922" s="7" t="s">
        <v>7323</v>
      </c>
      <c r="AD2922" s="7" t="s">
        <v>7354</v>
      </c>
      <c r="AE2922" s="7" t="s">
        <v>7355</v>
      </c>
      <c r="AF2922" s="7"/>
      <c r="AG2922" s="7"/>
      <c r="AH2922" s="7" t="s">
        <v>7319</v>
      </c>
    </row>
    <row r="2923" spans="1:37" ht="9.75" customHeight="1" x14ac:dyDescent="0.2">
      <c r="A2923" s="7" t="s">
        <v>7118</v>
      </c>
      <c r="B2923" s="7" t="s">
        <v>38</v>
      </c>
      <c r="C2923" s="7"/>
      <c r="D2923" s="7" t="s">
        <v>7356</v>
      </c>
      <c r="E2923" s="8">
        <v>4</v>
      </c>
      <c r="F2923" s="7"/>
      <c r="G2923" s="7"/>
      <c r="H2923" s="9"/>
      <c r="I2923" s="10">
        <v>213</v>
      </c>
      <c r="J2923" s="10">
        <v>154</v>
      </c>
      <c r="K2923" s="9"/>
      <c r="L2923" s="10">
        <v>165</v>
      </c>
      <c r="M2923" s="9"/>
      <c r="N2923" s="10">
        <v>165</v>
      </c>
      <c r="O2923" s="9"/>
      <c r="P2923" s="10"/>
      <c r="Q2923" s="10"/>
      <c r="R2923" s="10"/>
      <c r="S2923" s="7" t="s">
        <v>54</v>
      </c>
      <c r="T2923" s="7" t="s">
        <v>7325</v>
      </c>
      <c r="U2923" s="7"/>
      <c r="V2923" s="7"/>
      <c r="W2923" s="7"/>
      <c r="X2923" s="7"/>
      <c r="Y2923" s="7" t="s">
        <v>7353</v>
      </c>
      <c r="Z2923" s="7" t="s">
        <v>4821</v>
      </c>
      <c r="AA2923" s="7"/>
      <c r="AB2923" s="7"/>
      <c r="AC2923" s="7" t="s">
        <v>7323</v>
      </c>
      <c r="AD2923" s="7" t="s">
        <v>7354</v>
      </c>
      <c r="AE2923" s="7" t="s">
        <v>7355</v>
      </c>
      <c r="AF2923" s="7"/>
      <c r="AG2923" s="7"/>
      <c r="AH2923" s="7" t="s">
        <v>7319</v>
      </c>
    </row>
    <row r="2924" spans="1:37" ht="9.75" customHeight="1" x14ac:dyDescent="0.2">
      <c r="A2924" s="7" t="s">
        <v>7118</v>
      </c>
      <c r="B2924" s="7" t="s">
        <v>38</v>
      </c>
      <c r="C2924" s="7"/>
      <c r="D2924" s="7" t="s">
        <v>7357</v>
      </c>
      <c r="E2924" s="8">
        <v>4</v>
      </c>
      <c r="F2924" s="7"/>
      <c r="G2924" s="7"/>
      <c r="H2924" s="9"/>
      <c r="I2924" s="10">
        <v>234</v>
      </c>
      <c r="J2924" s="10">
        <v>161</v>
      </c>
      <c r="K2924" s="9"/>
      <c r="L2924" s="10">
        <v>164</v>
      </c>
      <c r="M2924" s="9"/>
      <c r="N2924" s="10">
        <v>164</v>
      </c>
      <c r="O2924" s="9"/>
      <c r="P2924" s="10"/>
      <c r="Q2924" s="10"/>
      <c r="R2924" s="10"/>
      <c r="S2924" s="7" t="s">
        <v>54</v>
      </c>
      <c r="T2924" s="7" t="s">
        <v>7325</v>
      </c>
      <c r="U2924" s="7"/>
      <c r="V2924" s="7"/>
      <c r="W2924" s="7"/>
      <c r="X2924" s="7"/>
      <c r="Y2924" s="7" t="s">
        <v>7358</v>
      </c>
      <c r="Z2924" s="7" t="s">
        <v>4821</v>
      </c>
      <c r="AA2924" s="7"/>
      <c r="AB2924" s="7"/>
      <c r="AC2924" s="7" t="s">
        <v>7323</v>
      </c>
      <c r="AD2924" s="7"/>
      <c r="AE2924" s="7"/>
      <c r="AF2924" s="7"/>
      <c r="AG2924" s="7"/>
      <c r="AH2924" s="7" t="s">
        <v>7319</v>
      </c>
    </row>
    <row r="2925" spans="1:37" ht="9.75" customHeight="1" x14ac:dyDescent="0.2">
      <c r="A2925" s="7" t="s">
        <v>7118</v>
      </c>
      <c r="B2925" s="7" t="s">
        <v>38</v>
      </c>
      <c r="C2925" s="7" t="s">
        <v>1508</v>
      </c>
      <c r="D2925" s="7" t="s">
        <v>7359</v>
      </c>
      <c r="E2925" s="8">
        <v>4</v>
      </c>
      <c r="F2925" s="7"/>
      <c r="G2925" s="7" t="s">
        <v>7360</v>
      </c>
      <c r="H2925" s="9"/>
      <c r="I2925" s="10">
        <v>8444</v>
      </c>
      <c r="J2925" s="10">
        <v>10643</v>
      </c>
      <c r="K2925" s="9"/>
      <c r="L2925" s="10">
        <v>9643</v>
      </c>
      <c r="M2925" s="9"/>
      <c r="N2925" s="10">
        <v>9643</v>
      </c>
      <c r="O2925" s="9"/>
      <c r="P2925" s="10"/>
      <c r="Q2925" s="10">
        <v>9643</v>
      </c>
      <c r="R2925" s="10">
        <v>9643</v>
      </c>
      <c r="S2925" s="7" t="s">
        <v>43</v>
      </c>
      <c r="T2925" s="7"/>
      <c r="U2925" s="7" t="s">
        <v>44</v>
      </c>
      <c r="V2925" s="7" t="s">
        <v>45</v>
      </c>
      <c r="W2925" s="7" t="s">
        <v>130</v>
      </c>
      <c r="X2925" s="7" t="s">
        <v>156</v>
      </c>
      <c r="Y2925" s="7" t="s">
        <v>7361</v>
      </c>
      <c r="Z2925" s="7" t="s">
        <v>5002</v>
      </c>
      <c r="AA2925" s="7"/>
      <c r="AB2925" s="7"/>
      <c r="AC2925" s="7" t="s">
        <v>7362</v>
      </c>
      <c r="AD2925" s="7"/>
      <c r="AE2925" s="7"/>
      <c r="AF2925" s="7"/>
      <c r="AG2925" s="7"/>
      <c r="AH2925" s="7" t="s">
        <v>7359</v>
      </c>
      <c r="AI2925">
        <v>9507</v>
      </c>
      <c r="AK2925">
        <v>9507</v>
      </c>
    </row>
    <row r="2926" spans="1:37" ht="9.75" customHeight="1" x14ac:dyDescent="0.2">
      <c r="A2926" s="7" t="s">
        <v>7118</v>
      </c>
      <c r="B2926" s="7" t="s">
        <v>38</v>
      </c>
      <c r="C2926" s="7"/>
      <c r="D2926" s="7" t="s">
        <v>7363</v>
      </c>
      <c r="E2926" s="8">
        <v>4</v>
      </c>
      <c r="F2926" s="7"/>
      <c r="G2926" s="7"/>
      <c r="H2926" s="9"/>
      <c r="I2926" s="10">
        <v>7643</v>
      </c>
      <c r="J2926" s="10">
        <v>9903</v>
      </c>
      <c r="K2926" s="9"/>
      <c r="L2926" s="10">
        <v>6882</v>
      </c>
      <c r="M2926" s="9"/>
      <c r="N2926" s="10">
        <v>6882</v>
      </c>
      <c r="O2926" s="9"/>
      <c r="P2926" s="10"/>
      <c r="Q2926" s="10"/>
      <c r="R2926" s="10"/>
      <c r="S2926" s="7" t="s">
        <v>54</v>
      </c>
      <c r="T2926" s="7" t="s">
        <v>7364</v>
      </c>
      <c r="U2926" s="7"/>
      <c r="V2926" s="7"/>
      <c r="W2926" s="7"/>
      <c r="X2926" s="7"/>
      <c r="Y2926" s="7" t="s">
        <v>7365</v>
      </c>
      <c r="Z2926" s="7" t="s">
        <v>2072</v>
      </c>
      <c r="AA2926" s="7"/>
      <c r="AB2926" s="7"/>
      <c r="AC2926" s="7" t="s">
        <v>7362</v>
      </c>
      <c r="AD2926" s="7" t="s">
        <v>7366</v>
      </c>
      <c r="AE2926" s="7"/>
      <c r="AF2926" s="7"/>
      <c r="AG2926" s="7"/>
      <c r="AH2926" s="7" t="s">
        <v>7359</v>
      </c>
    </row>
    <row r="2927" spans="1:37" ht="9.75" customHeight="1" x14ac:dyDescent="0.2">
      <c r="A2927" s="7" t="s">
        <v>7118</v>
      </c>
      <c r="B2927" s="7" t="s">
        <v>38</v>
      </c>
      <c r="C2927" s="7"/>
      <c r="D2927" s="7" t="s">
        <v>7367</v>
      </c>
      <c r="E2927" s="8">
        <v>4</v>
      </c>
      <c r="F2927" s="7"/>
      <c r="G2927" s="7"/>
      <c r="H2927" s="9"/>
      <c r="I2927" s="10">
        <v>801</v>
      </c>
      <c r="J2927" s="10">
        <v>740</v>
      </c>
      <c r="K2927" s="9"/>
      <c r="L2927" s="10">
        <v>589</v>
      </c>
      <c r="M2927" s="9"/>
      <c r="N2927" s="10">
        <v>589</v>
      </c>
      <c r="O2927" s="9"/>
      <c r="P2927" s="10"/>
      <c r="Q2927" s="10"/>
      <c r="R2927" s="10"/>
      <c r="S2927" s="7" t="s">
        <v>54</v>
      </c>
      <c r="T2927" s="7" t="s">
        <v>7364</v>
      </c>
      <c r="U2927" s="7"/>
      <c r="V2927" s="7"/>
      <c r="W2927" s="7"/>
      <c r="X2927" s="7"/>
      <c r="Y2927" s="7" t="s">
        <v>7365</v>
      </c>
      <c r="Z2927" s="7" t="s">
        <v>2072</v>
      </c>
      <c r="AA2927" s="7"/>
      <c r="AB2927" s="7"/>
      <c r="AC2927" s="7" t="s">
        <v>7362</v>
      </c>
      <c r="AD2927" s="7" t="s">
        <v>7367</v>
      </c>
      <c r="AE2927" s="7"/>
      <c r="AF2927" s="7"/>
      <c r="AG2927" s="7"/>
      <c r="AH2927" s="7" t="s">
        <v>7359</v>
      </c>
    </row>
    <row r="2928" spans="1:37" ht="9.75" customHeight="1" x14ac:dyDescent="0.2">
      <c r="A2928" s="7" t="s">
        <v>7118</v>
      </c>
      <c r="B2928" s="7" t="s">
        <v>38</v>
      </c>
      <c r="C2928" s="7"/>
      <c r="D2928" s="7" t="s">
        <v>7368</v>
      </c>
      <c r="E2928" s="8">
        <v>4</v>
      </c>
      <c r="F2928" s="7"/>
      <c r="G2928" s="7"/>
      <c r="H2928" s="9"/>
      <c r="I2928" s="9"/>
      <c r="J2928" s="9"/>
      <c r="K2928" s="9"/>
      <c r="L2928" s="10">
        <v>1808</v>
      </c>
      <c r="M2928" s="9"/>
      <c r="N2928" s="10">
        <v>1808</v>
      </c>
      <c r="O2928" s="9"/>
      <c r="P2928" s="10"/>
      <c r="Q2928" s="10"/>
      <c r="R2928" s="10"/>
      <c r="S2928" s="7" t="s">
        <v>54</v>
      </c>
      <c r="T2928" s="7" t="s">
        <v>7364</v>
      </c>
      <c r="U2928" s="7"/>
      <c r="V2928" s="7"/>
      <c r="W2928" s="7"/>
      <c r="X2928" s="7"/>
      <c r="Y2928" s="7" t="s">
        <v>7365</v>
      </c>
      <c r="Z2928" s="7" t="s">
        <v>2072</v>
      </c>
      <c r="AA2928" s="7"/>
      <c r="AB2928" s="7"/>
      <c r="AC2928" s="7" t="s">
        <v>7362</v>
      </c>
      <c r="AD2928" s="7" t="s">
        <v>7368</v>
      </c>
      <c r="AE2928" s="7"/>
      <c r="AF2928" s="7"/>
      <c r="AG2928" s="7"/>
      <c r="AH2928" s="7" t="s">
        <v>7359</v>
      </c>
    </row>
    <row r="2929" spans="1:37" ht="9.75" customHeight="1" x14ac:dyDescent="0.2">
      <c r="A2929" s="7" t="s">
        <v>7118</v>
      </c>
      <c r="B2929" s="7" t="s">
        <v>38</v>
      </c>
      <c r="C2929" s="7"/>
      <c r="D2929" s="7" t="s">
        <v>7369</v>
      </c>
      <c r="E2929" s="8">
        <v>4</v>
      </c>
      <c r="F2929" s="7"/>
      <c r="G2929" s="7"/>
      <c r="H2929" s="9"/>
      <c r="I2929" s="9"/>
      <c r="J2929" s="9"/>
      <c r="K2929" s="9"/>
      <c r="L2929" s="10">
        <v>364</v>
      </c>
      <c r="M2929" s="9"/>
      <c r="N2929" s="10">
        <v>364</v>
      </c>
      <c r="O2929" s="9"/>
      <c r="P2929" s="10"/>
      <c r="Q2929" s="10"/>
      <c r="R2929" s="10"/>
      <c r="S2929" s="7" t="s">
        <v>54</v>
      </c>
      <c r="T2929" s="7" t="s">
        <v>7364</v>
      </c>
      <c r="U2929" s="7"/>
      <c r="V2929" s="7"/>
      <c r="W2929" s="7"/>
      <c r="X2929" s="7"/>
      <c r="Y2929" s="7" t="s">
        <v>7365</v>
      </c>
      <c r="Z2929" s="7" t="s">
        <v>2072</v>
      </c>
      <c r="AA2929" s="7"/>
      <c r="AB2929" s="7"/>
      <c r="AC2929" s="7" t="s">
        <v>7362</v>
      </c>
      <c r="AD2929" s="7" t="s">
        <v>7369</v>
      </c>
      <c r="AE2929" s="7"/>
      <c r="AF2929" s="7"/>
      <c r="AG2929" s="7"/>
      <c r="AH2929" s="7" t="s">
        <v>7359</v>
      </c>
    </row>
    <row r="2930" spans="1:37" ht="9.75" customHeight="1" x14ac:dyDescent="0.2">
      <c r="A2930" s="7" t="s">
        <v>7118</v>
      </c>
      <c r="B2930" s="7" t="s">
        <v>38</v>
      </c>
      <c r="C2930" s="7" t="s">
        <v>1523</v>
      </c>
      <c r="D2930" s="7" t="s">
        <v>7370</v>
      </c>
      <c r="E2930" s="7" t="s">
        <v>7320</v>
      </c>
      <c r="F2930" s="7"/>
      <c r="G2930" s="7" t="s">
        <v>7371</v>
      </c>
      <c r="H2930" s="9"/>
      <c r="I2930" s="10">
        <v>82061</v>
      </c>
      <c r="J2930" s="10">
        <v>105981</v>
      </c>
      <c r="K2930" s="9"/>
      <c r="L2930" s="10">
        <v>111334</v>
      </c>
      <c r="M2930" s="9"/>
      <c r="N2930" s="10">
        <v>111334</v>
      </c>
      <c r="O2930" s="9"/>
      <c r="P2930" s="10"/>
      <c r="Q2930" s="10">
        <v>111334</v>
      </c>
      <c r="R2930" s="10">
        <v>111334</v>
      </c>
      <c r="S2930" s="7" t="s">
        <v>43</v>
      </c>
      <c r="T2930" s="7"/>
      <c r="U2930" s="7"/>
      <c r="V2930" s="7"/>
      <c r="W2930" s="7"/>
      <c r="X2930" s="7"/>
      <c r="Y2930" s="7" t="s">
        <v>7372</v>
      </c>
      <c r="Z2930" s="7" t="s">
        <v>2146</v>
      </c>
      <c r="AA2930" s="7"/>
      <c r="AB2930" s="7"/>
      <c r="AC2930" s="7" t="s">
        <v>7373</v>
      </c>
      <c r="AD2930" s="7" t="s">
        <v>7374</v>
      </c>
      <c r="AE2930" s="7"/>
      <c r="AF2930" s="7"/>
      <c r="AG2930" s="7"/>
      <c r="AH2930" s="7" t="s">
        <v>7370</v>
      </c>
      <c r="AI2930">
        <v>116873</v>
      </c>
      <c r="AK2930">
        <v>116873</v>
      </c>
    </row>
    <row r="2931" spans="1:37" ht="9.75" customHeight="1" x14ac:dyDescent="0.2">
      <c r="A2931" s="7" t="s">
        <v>7118</v>
      </c>
      <c r="B2931" s="7" t="s">
        <v>38</v>
      </c>
      <c r="C2931" s="7"/>
      <c r="D2931" s="7" t="s">
        <v>7375</v>
      </c>
      <c r="E2931" s="8">
        <v>6</v>
      </c>
      <c r="F2931" s="7"/>
      <c r="G2931" s="7" t="s">
        <v>7376</v>
      </c>
      <c r="H2931" s="9"/>
      <c r="I2931" s="10">
        <v>45916</v>
      </c>
      <c r="J2931" s="10">
        <v>63956</v>
      </c>
      <c r="K2931" s="9"/>
      <c r="L2931" s="10">
        <v>70200</v>
      </c>
      <c r="M2931" s="9"/>
      <c r="N2931" s="10">
        <v>70200</v>
      </c>
      <c r="O2931" s="9"/>
      <c r="P2931" s="10"/>
      <c r="Q2931" s="10"/>
      <c r="R2931" s="10"/>
      <c r="S2931" s="7" t="s">
        <v>54</v>
      </c>
      <c r="T2931" s="7" t="s">
        <v>7377</v>
      </c>
      <c r="U2931" s="7"/>
      <c r="V2931" s="7"/>
      <c r="W2931" s="7"/>
      <c r="X2931" s="7"/>
      <c r="Y2931" s="7" t="s">
        <v>7378</v>
      </c>
      <c r="Z2931" s="7" t="s">
        <v>5276</v>
      </c>
      <c r="AA2931" s="7"/>
      <c r="AB2931" s="7"/>
      <c r="AC2931" s="7" t="s">
        <v>7373</v>
      </c>
      <c r="AD2931" s="7" t="s">
        <v>7374</v>
      </c>
      <c r="AE2931" s="7"/>
      <c r="AF2931" s="7"/>
      <c r="AG2931" s="7"/>
      <c r="AH2931" s="7" t="s">
        <v>7370</v>
      </c>
    </row>
    <row r="2932" spans="1:37" ht="9.75" customHeight="1" x14ac:dyDescent="0.2">
      <c r="A2932" s="7" t="s">
        <v>7118</v>
      </c>
      <c r="B2932" s="7" t="s">
        <v>38</v>
      </c>
      <c r="C2932" s="7"/>
      <c r="D2932" s="7" t="s">
        <v>7379</v>
      </c>
      <c r="E2932" s="8">
        <v>6</v>
      </c>
      <c r="F2932" s="7"/>
      <c r="G2932" s="7"/>
      <c r="H2932" s="9"/>
      <c r="I2932" s="9"/>
      <c r="J2932" s="10">
        <v>12119</v>
      </c>
      <c r="K2932" s="9"/>
      <c r="L2932" s="10">
        <v>19105</v>
      </c>
      <c r="M2932" s="9"/>
      <c r="N2932" s="10">
        <v>19105</v>
      </c>
      <c r="O2932" s="9"/>
      <c r="P2932" s="10"/>
      <c r="Q2932" s="10"/>
      <c r="R2932" s="10"/>
      <c r="S2932" s="7" t="s">
        <v>54</v>
      </c>
      <c r="T2932" s="7" t="s">
        <v>7380</v>
      </c>
      <c r="U2932" s="7"/>
      <c r="V2932" s="7"/>
      <c r="W2932" s="7"/>
      <c r="X2932" s="7"/>
      <c r="Y2932" s="7" t="s">
        <v>7378</v>
      </c>
      <c r="Z2932" s="7" t="s">
        <v>5276</v>
      </c>
      <c r="AA2932" s="7"/>
      <c r="AB2932" s="7"/>
      <c r="AC2932" s="7" t="s">
        <v>7373</v>
      </c>
      <c r="AD2932" s="7"/>
      <c r="AE2932" s="7" t="s">
        <v>7381</v>
      </c>
      <c r="AF2932" s="7"/>
      <c r="AG2932" s="7"/>
      <c r="AH2932" s="7" t="s">
        <v>7370</v>
      </c>
    </row>
    <row r="2933" spans="1:37" ht="9.75" customHeight="1" x14ac:dyDescent="0.2">
      <c r="A2933" s="7" t="s">
        <v>7118</v>
      </c>
      <c r="B2933" s="7" t="s">
        <v>38</v>
      </c>
      <c r="C2933" s="7"/>
      <c r="D2933" s="7" t="s">
        <v>7382</v>
      </c>
      <c r="E2933" s="8">
        <v>6</v>
      </c>
      <c r="F2933" s="7"/>
      <c r="G2933" s="7"/>
      <c r="H2933" s="9"/>
      <c r="I2933" s="10">
        <v>12928</v>
      </c>
      <c r="J2933" s="10">
        <v>8501</v>
      </c>
      <c r="K2933" s="9"/>
      <c r="L2933" s="10">
        <v>13556</v>
      </c>
      <c r="M2933" s="9"/>
      <c r="N2933" s="10">
        <v>13556</v>
      </c>
      <c r="O2933" s="9"/>
      <c r="P2933" s="10"/>
      <c r="Q2933" s="10"/>
      <c r="R2933" s="10"/>
      <c r="S2933" s="7" t="s">
        <v>54</v>
      </c>
      <c r="T2933" s="7" t="s">
        <v>7380</v>
      </c>
      <c r="U2933" s="7"/>
      <c r="V2933" s="7"/>
      <c r="W2933" s="7"/>
      <c r="X2933" s="7"/>
      <c r="Y2933" s="7" t="s">
        <v>7378</v>
      </c>
      <c r="Z2933" s="7" t="s">
        <v>5276</v>
      </c>
      <c r="AA2933" s="7"/>
      <c r="AB2933" s="7"/>
      <c r="AC2933" s="7" t="s">
        <v>7373</v>
      </c>
      <c r="AD2933" s="7"/>
      <c r="AE2933" s="7" t="s">
        <v>7383</v>
      </c>
      <c r="AF2933" s="7"/>
      <c r="AG2933" s="7"/>
      <c r="AH2933" s="7" t="s">
        <v>7370</v>
      </c>
    </row>
    <row r="2934" spans="1:37" ht="9.75" customHeight="1" x14ac:dyDescent="0.2">
      <c r="A2934" s="7" t="s">
        <v>7118</v>
      </c>
      <c r="B2934" s="7" t="s">
        <v>38</v>
      </c>
      <c r="C2934" s="7"/>
      <c r="D2934" s="7" t="s">
        <v>7384</v>
      </c>
      <c r="E2934" s="8">
        <v>6</v>
      </c>
      <c r="F2934" s="7"/>
      <c r="G2934" s="7"/>
      <c r="H2934" s="9"/>
      <c r="I2934" s="9"/>
      <c r="J2934" s="9"/>
      <c r="K2934" s="9"/>
      <c r="L2934" s="10">
        <v>7500</v>
      </c>
      <c r="M2934" s="9"/>
      <c r="N2934" s="10">
        <v>7500</v>
      </c>
      <c r="O2934" s="9"/>
      <c r="P2934" s="10"/>
      <c r="Q2934" s="10"/>
      <c r="R2934" s="10"/>
      <c r="S2934" s="7" t="s">
        <v>54</v>
      </c>
      <c r="T2934" s="7" t="s">
        <v>7380</v>
      </c>
      <c r="U2934" s="7"/>
      <c r="V2934" s="7"/>
      <c r="W2934" s="7"/>
      <c r="X2934" s="7"/>
      <c r="Y2934" s="7" t="s">
        <v>7378</v>
      </c>
      <c r="Z2934" s="7" t="s">
        <v>5276</v>
      </c>
      <c r="AA2934" s="7"/>
      <c r="AB2934" s="7"/>
      <c r="AC2934" s="7" t="s">
        <v>7373</v>
      </c>
      <c r="AD2934" s="7"/>
      <c r="AE2934" s="7" t="s">
        <v>7385</v>
      </c>
      <c r="AF2934" s="7"/>
      <c r="AG2934" s="7"/>
      <c r="AH2934" s="7" t="s">
        <v>7370</v>
      </c>
    </row>
    <row r="2935" spans="1:37" ht="9.75" customHeight="1" x14ac:dyDescent="0.2">
      <c r="A2935" s="7" t="s">
        <v>7118</v>
      </c>
      <c r="B2935" s="7" t="s">
        <v>38</v>
      </c>
      <c r="C2935" s="7"/>
      <c r="D2935" s="7" t="s">
        <v>7386</v>
      </c>
      <c r="E2935" s="8">
        <v>6</v>
      </c>
      <c r="F2935" s="7"/>
      <c r="G2935" s="7"/>
      <c r="H2935" s="9"/>
      <c r="I2935" s="9"/>
      <c r="J2935" s="10">
        <v>700</v>
      </c>
      <c r="K2935" s="9"/>
      <c r="L2935" s="10">
        <v>3600</v>
      </c>
      <c r="M2935" s="9"/>
      <c r="N2935" s="10">
        <v>3600</v>
      </c>
      <c r="O2935" s="9"/>
      <c r="P2935" s="10"/>
      <c r="Q2935" s="10"/>
      <c r="R2935" s="10"/>
      <c r="S2935" s="7" t="s">
        <v>54</v>
      </c>
      <c r="T2935" s="7" t="s">
        <v>7380</v>
      </c>
      <c r="U2935" s="7"/>
      <c r="V2935" s="7"/>
      <c r="W2935" s="7"/>
      <c r="X2935" s="7"/>
      <c r="Y2935" s="7" t="s">
        <v>7378</v>
      </c>
      <c r="Z2935" s="7" t="s">
        <v>5276</v>
      </c>
      <c r="AA2935" s="7"/>
      <c r="AB2935" s="7"/>
      <c r="AC2935" s="7" t="s">
        <v>7373</v>
      </c>
      <c r="AD2935" s="7"/>
      <c r="AE2935" s="7" t="s">
        <v>7387</v>
      </c>
      <c r="AF2935" s="7"/>
      <c r="AG2935" s="7"/>
      <c r="AH2935" s="7" t="s">
        <v>7370</v>
      </c>
    </row>
    <row r="2936" spans="1:37" ht="9.75" customHeight="1" x14ac:dyDescent="0.2">
      <c r="A2936" s="7" t="s">
        <v>7118</v>
      </c>
      <c r="B2936" s="7" t="s">
        <v>38</v>
      </c>
      <c r="C2936" s="7"/>
      <c r="D2936" s="7" t="s">
        <v>7388</v>
      </c>
      <c r="E2936" s="8">
        <v>6</v>
      </c>
      <c r="F2936" s="7"/>
      <c r="G2936" s="7"/>
      <c r="H2936" s="9"/>
      <c r="I2936" s="9"/>
      <c r="J2936" s="9"/>
      <c r="K2936" s="9"/>
      <c r="L2936" s="10">
        <v>9000</v>
      </c>
      <c r="M2936" s="9"/>
      <c r="N2936" s="10">
        <v>9000</v>
      </c>
      <c r="O2936" s="9"/>
      <c r="P2936" s="10"/>
      <c r="Q2936" s="10"/>
      <c r="R2936" s="10"/>
      <c r="S2936" s="7" t="s">
        <v>54</v>
      </c>
      <c r="T2936" s="7" t="s">
        <v>7380</v>
      </c>
      <c r="U2936" s="7"/>
      <c r="V2936" s="7"/>
      <c r="W2936" s="7"/>
      <c r="X2936" s="7"/>
      <c r="Y2936" s="7" t="s">
        <v>7378</v>
      </c>
      <c r="Z2936" s="7" t="s">
        <v>5276</v>
      </c>
      <c r="AA2936" s="7"/>
      <c r="AB2936" s="7"/>
      <c r="AC2936" s="7" t="s">
        <v>7373</v>
      </c>
      <c r="AD2936" s="7"/>
      <c r="AE2936" s="7" t="s">
        <v>7389</v>
      </c>
      <c r="AF2936" s="7"/>
      <c r="AG2936" s="7"/>
      <c r="AH2936" s="7" t="s">
        <v>7370</v>
      </c>
    </row>
    <row r="2937" spans="1:37" ht="9.75" customHeight="1" x14ac:dyDescent="0.2">
      <c r="A2937" s="7" t="s">
        <v>7118</v>
      </c>
      <c r="B2937" s="7" t="s">
        <v>38</v>
      </c>
      <c r="C2937" s="7"/>
      <c r="D2937" s="7" t="s">
        <v>7390</v>
      </c>
      <c r="E2937" s="8">
        <v>6</v>
      </c>
      <c r="F2937" s="7"/>
      <c r="G2937" s="7"/>
      <c r="H2937" s="9"/>
      <c r="I2937" s="10">
        <v>9000</v>
      </c>
      <c r="J2937" s="10">
        <v>5796</v>
      </c>
      <c r="K2937" s="9"/>
      <c r="L2937" s="10">
        <v>5792</v>
      </c>
      <c r="M2937" s="9"/>
      <c r="N2937" s="10">
        <v>5792</v>
      </c>
      <c r="O2937" s="9"/>
      <c r="P2937" s="10"/>
      <c r="Q2937" s="10"/>
      <c r="R2937" s="10"/>
      <c r="S2937" s="7" t="s">
        <v>54</v>
      </c>
      <c r="T2937" s="7" t="s">
        <v>7380</v>
      </c>
      <c r="U2937" s="7"/>
      <c r="V2937" s="7"/>
      <c r="W2937" s="7"/>
      <c r="X2937" s="7"/>
      <c r="Y2937" s="7" t="s">
        <v>7378</v>
      </c>
      <c r="Z2937" s="7" t="s">
        <v>5276</v>
      </c>
      <c r="AA2937" s="7"/>
      <c r="AB2937" s="7"/>
      <c r="AC2937" s="7" t="s">
        <v>7373</v>
      </c>
      <c r="AD2937" s="7"/>
      <c r="AE2937" s="7" t="s">
        <v>7391</v>
      </c>
      <c r="AF2937" s="7"/>
      <c r="AG2937" s="7"/>
      <c r="AH2937" s="7" t="s">
        <v>7370</v>
      </c>
    </row>
    <row r="2938" spans="1:37" ht="9.75" customHeight="1" x14ac:dyDescent="0.2">
      <c r="A2938" s="7" t="s">
        <v>7118</v>
      </c>
      <c r="B2938" s="7" t="s">
        <v>38</v>
      </c>
      <c r="C2938" s="7"/>
      <c r="D2938" s="7" t="s">
        <v>7392</v>
      </c>
      <c r="E2938" s="8">
        <v>6</v>
      </c>
      <c r="F2938" s="7"/>
      <c r="G2938" s="7"/>
      <c r="H2938" s="9"/>
      <c r="I2938" s="10">
        <v>9896</v>
      </c>
      <c r="J2938" s="10">
        <v>4771</v>
      </c>
      <c r="K2938" s="9"/>
      <c r="L2938" s="10">
        <v>6557</v>
      </c>
      <c r="M2938" s="9"/>
      <c r="N2938" s="10">
        <v>6557</v>
      </c>
      <c r="O2938" s="9"/>
      <c r="P2938" s="10"/>
      <c r="Q2938" s="10"/>
      <c r="R2938" s="10"/>
      <c r="S2938" s="7" t="s">
        <v>54</v>
      </c>
      <c r="T2938" s="7" t="s">
        <v>7380</v>
      </c>
      <c r="U2938" s="7"/>
      <c r="V2938" s="7"/>
      <c r="W2938" s="7"/>
      <c r="X2938" s="7"/>
      <c r="Y2938" s="7" t="s">
        <v>7378</v>
      </c>
      <c r="Z2938" s="7" t="s">
        <v>5276</v>
      </c>
      <c r="AA2938" s="7"/>
      <c r="AB2938" s="7"/>
      <c r="AC2938" s="7" t="s">
        <v>7373</v>
      </c>
      <c r="AD2938" s="7"/>
      <c r="AE2938" s="7" t="s">
        <v>7393</v>
      </c>
      <c r="AF2938" s="7"/>
      <c r="AG2938" s="7"/>
      <c r="AH2938" s="7" t="s">
        <v>7370</v>
      </c>
    </row>
    <row r="2939" spans="1:37" ht="9.75" customHeight="1" x14ac:dyDescent="0.2">
      <c r="A2939" s="7" t="s">
        <v>7118</v>
      </c>
      <c r="B2939" s="7" t="s">
        <v>38</v>
      </c>
      <c r="C2939" s="7"/>
      <c r="D2939" s="7" t="s">
        <v>7394</v>
      </c>
      <c r="E2939" s="8">
        <v>6</v>
      </c>
      <c r="F2939" s="7"/>
      <c r="G2939" s="7" t="s">
        <v>7395</v>
      </c>
      <c r="H2939" s="9"/>
      <c r="I2939" s="10">
        <v>17014</v>
      </c>
      <c r="J2939" s="10">
        <v>17372</v>
      </c>
      <c r="K2939" s="9"/>
      <c r="L2939" s="10">
        <v>17577</v>
      </c>
      <c r="M2939" s="9"/>
      <c r="N2939" s="10">
        <v>17577</v>
      </c>
      <c r="O2939" s="9"/>
      <c r="P2939" s="10"/>
      <c r="Q2939" s="10"/>
      <c r="R2939" s="10"/>
      <c r="S2939" s="7" t="s">
        <v>54</v>
      </c>
      <c r="T2939" s="7" t="s">
        <v>7377</v>
      </c>
      <c r="U2939" s="7"/>
      <c r="V2939" s="7"/>
      <c r="W2939" s="7"/>
      <c r="X2939" s="7"/>
      <c r="Y2939" s="7" t="s">
        <v>7396</v>
      </c>
      <c r="Z2939" s="7" t="s">
        <v>2310</v>
      </c>
      <c r="AA2939" s="7"/>
      <c r="AB2939" s="7"/>
      <c r="AC2939" s="7" t="s">
        <v>7373</v>
      </c>
      <c r="AD2939" s="7" t="s">
        <v>7397</v>
      </c>
      <c r="AE2939" s="7"/>
      <c r="AF2939" s="7"/>
      <c r="AG2939" s="7"/>
      <c r="AH2939" s="7" t="s">
        <v>7370</v>
      </c>
    </row>
    <row r="2940" spans="1:37" ht="9.75" customHeight="1" x14ac:dyDescent="0.2">
      <c r="A2940" s="7" t="s">
        <v>7118</v>
      </c>
      <c r="B2940" s="7" t="s">
        <v>38</v>
      </c>
      <c r="C2940" s="7"/>
      <c r="D2940" s="7" t="s">
        <v>7398</v>
      </c>
      <c r="E2940" s="8">
        <v>6</v>
      </c>
      <c r="F2940" s="7"/>
      <c r="G2940" s="7"/>
      <c r="H2940" s="9"/>
      <c r="I2940" s="10">
        <v>12955</v>
      </c>
      <c r="J2940" s="10">
        <v>13172</v>
      </c>
      <c r="K2940" s="9"/>
      <c r="L2940" s="10">
        <v>13610</v>
      </c>
      <c r="M2940" s="9"/>
      <c r="N2940" s="10">
        <v>13610</v>
      </c>
      <c r="O2940" s="9"/>
      <c r="P2940" s="10"/>
      <c r="Q2940" s="10"/>
      <c r="R2940" s="10"/>
      <c r="S2940" s="7" t="s">
        <v>54</v>
      </c>
      <c r="T2940" s="7" t="s">
        <v>7399</v>
      </c>
      <c r="U2940" s="7"/>
      <c r="V2940" s="7"/>
      <c r="W2940" s="7"/>
      <c r="X2940" s="7"/>
      <c r="Y2940" s="7" t="s">
        <v>7396</v>
      </c>
      <c r="Z2940" s="7" t="s">
        <v>2310</v>
      </c>
      <c r="AA2940" s="7"/>
      <c r="AB2940" s="7"/>
      <c r="AC2940" s="7" t="s">
        <v>7373</v>
      </c>
      <c r="AD2940" s="7" t="s">
        <v>7397</v>
      </c>
      <c r="AE2940" s="7"/>
      <c r="AF2940" s="7"/>
      <c r="AG2940" s="7"/>
      <c r="AH2940" s="7" t="s">
        <v>7370</v>
      </c>
    </row>
    <row r="2941" spans="1:37" ht="9.75" customHeight="1" x14ac:dyDescent="0.2">
      <c r="A2941" s="7" t="s">
        <v>7118</v>
      </c>
      <c r="B2941" s="7" t="s">
        <v>38</v>
      </c>
      <c r="C2941" s="7"/>
      <c r="D2941" s="7" t="s">
        <v>7400</v>
      </c>
      <c r="E2941" s="8">
        <v>6</v>
      </c>
      <c r="F2941" s="7"/>
      <c r="G2941" s="7"/>
      <c r="H2941" s="9"/>
      <c r="I2941" s="10">
        <v>4059</v>
      </c>
      <c r="J2941" s="10">
        <v>4200</v>
      </c>
      <c r="K2941" s="9"/>
      <c r="L2941" s="10">
        <v>3967</v>
      </c>
      <c r="M2941" s="9"/>
      <c r="N2941" s="10">
        <v>3967</v>
      </c>
      <c r="O2941" s="9"/>
      <c r="P2941" s="10"/>
      <c r="Q2941" s="10"/>
      <c r="R2941" s="10"/>
      <c r="S2941" s="7" t="s">
        <v>54</v>
      </c>
      <c r="T2941" s="7" t="s">
        <v>7399</v>
      </c>
      <c r="U2941" s="7"/>
      <c r="V2941" s="7"/>
      <c r="W2941" s="7"/>
      <c r="X2941" s="7"/>
      <c r="Y2941" s="7" t="s">
        <v>7396</v>
      </c>
      <c r="Z2941" s="7" t="s">
        <v>2310</v>
      </c>
      <c r="AA2941" s="7"/>
      <c r="AB2941" s="7"/>
      <c r="AC2941" s="7" t="s">
        <v>7373</v>
      </c>
      <c r="AD2941" s="7" t="s">
        <v>7288</v>
      </c>
      <c r="AE2941" s="7"/>
      <c r="AF2941" s="7"/>
      <c r="AG2941" s="7"/>
      <c r="AH2941" s="7" t="s">
        <v>7370</v>
      </c>
    </row>
    <row r="2942" spans="1:37" ht="9.75" customHeight="1" x14ac:dyDescent="0.2">
      <c r="A2942" s="7" t="s">
        <v>7118</v>
      </c>
      <c r="B2942" s="7" t="s">
        <v>38</v>
      </c>
      <c r="C2942" s="7"/>
      <c r="D2942" s="7" t="s">
        <v>7401</v>
      </c>
      <c r="E2942" s="8">
        <v>4</v>
      </c>
      <c r="F2942" s="7"/>
      <c r="G2942" s="7" t="s">
        <v>7402</v>
      </c>
      <c r="H2942" s="9"/>
      <c r="I2942" s="10">
        <v>4030</v>
      </c>
      <c r="J2942" s="10">
        <v>4087</v>
      </c>
      <c r="K2942" s="9"/>
      <c r="L2942" s="10">
        <v>4122</v>
      </c>
      <c r="M2942" s="9"/>
      <c r="N2942" s="10">
        <v>4122</v>
      </c>
      <c r="O2942" s="9"/>
      <c r="P2942" s="10"/>
      <c r="Q2942" s="10"/>
      <c r="R2942" s="10"/>
      <c r="S2942" s="7" t="s">
        <v>54</v>
      </c>
      <c r="T2942" s="7" t="s">
        <v>7377</v>
      </c>
      <c r="U2942" s="7"/>
      <c r="V2942" s="7"/>
      <c r="W2942" s="7"/>
      <c r="X2942" s="7"/>
      <c r="Y2942" s="7" t="s">
        <v>7403</v>
      </c>
      <c r="Z2942" s="7" t="s">
        <v>2389</v>
      </c>
      <c r="AA2942" s="7"/>
      <c r="AB2942" s="7"/>
      <c r="AC2942" s="7" t="s">
        <v>7373</v>
      </c>
      <c r="AD2942" s="7"/>
      <c r="AE2942" s="7" t="s">
        <v>7404</v>
      </c>
      <c r="AF2942" s="7"/>
      <c r="AG2942" s="7"/>
      <c r="AH2942" s="7" t="s">
        <v>7370</v>
      </c>
    </row>
    <row r="2943" spans="1:37" ht="9.75" customHeight="1" x14ac:dyDescent="0.2">
      <c r="A2943" s="7" t="s">
        <v>7118</v>
      </c>
      <c r="B2943" s="7" t="s">
        <v>38</v>
      </c>
      <c r="C2943" s="7"/>
      <c r="D2943" s="7" t="s">
        <v>7405</v>
      </c>
      <c r="E2943" s="8">
        <v>4</v>
      </c>
      <c r="F2943" s="7"/>
      <c r="G2943" s="7"/>
      <c r="H2943" s="9"/>
      <c r="I2943" s="10">
        <v>80</v>
      </c>
      <c r="J2943" s="10">
        <v>80</v>
      </c>
      <c r="K2943" s="9"/>
      <c r="L2943" s="10">
        <v>80</v>
      </c>
      <c r="M2943" s="9"/>
      <c r="N2943" s="10">
        <v>80</v>
      </c>
      <c r="O2943" s="9"/>
      <c r="P2943" s="10"/>
      <c r="Q2943" s="10"/>
      <c r="R2943" s="10"/>
      <c r="S2943" s="7" t="s">
        <v>54</v>
      </c>
      <c r="T2943" s="7" t="s">
        <v>7406</v>
      </c>
      <c r="U2943" s="7"/>
      <c r="V2943" s="7"/>
      <c r="W2943" s="7"/>
      <c r="X2943" s="7"/>
      <c r="Y2943" s="7" t="s">
        <v>7407</v>
      </c>
      <c r="Z2943" s="7" t="s">
        <v>2389</v>
      </c>
      <c r="AA2943" s="7"/>
      <c r="AB2943" s="7"/>
      <c r="AC2943" s="7" t="s">
        <v>7373</v>
      </c>
      <c r="AD2943" s="7"/>
      <c r="AE2943" s="7" t="s">
        <v>7408</v>
      </c>
      <c r="AF2943" s="7"/>
      <c r="AG2943" s="7"/>
      <c r="AH2943" s="7" t="s">
        <v>7370</v>
      </c>
    </row>
    <row r="2944" spans="1:37" ht="9.75" customHeight="1" x14ac:dyDescent="0.2">
      <c r="A2944" s="7" t="s">
        <v>7118</v>
      </c>
      <c r="B2944" s="7" t="s">
        <v>38</v>
      </c>
      <c r="C2944" s="7"/>
      <c r="D2944" s="7" t="s">
        <v>7409</v>
      </c>
      <c r="E2944" s="8">
        <v>4</v>
      </c>
      <c r="F2944" s="7"/>
      <c r="G2944" s="7"/>
      <c r="H2944" s="9"/>
      <c r="I2944" s="10">
        <v>825</v>
      </c>
      <c r="J2944" s="10">
        <v>882</v>
      </c>
      <c r="K2944" s="9"/>
      <c r="L2944" s="10">
        <v>894</v>
      </c>
      <c r="M2944" s="9"/>
      <c r="N2944" s="10">
        <v>894</v>
      </c>
      <c r="O2944" s="9"/>
      <c r="P2944" s="10"/>
      <c r="Q2944" s="10"/>
      <c r="R2944" s="10"/>
      <c r="S2944" s="7" t="s">
        <v>54</v>
      </c>
      <c r="T2944" s="7" t="s">
        <v>7406</v>
      </c>
      <c r="U2944" s="7"/>
      <c r="V2944" s="7"/>
      <c r="W2944" s="7"/>
      <c r="X2944" s="7"/>
      <c r="Y2944" s="7" t="s">
        <v>7407</v>
      </c>
      <c r="Z2944" s="7" t="s">
        <v>2389</v>
      </c>
      <c r="AA2944" s="7"/>
      <c r="AB2944" s="7"/>
      <c r="AC2944" s="7" t="s">
        <v>7373</v>
      </c>
      <c r="AD2944" s="7"/>
      <c r="AE2944" s="7" t="s">
        <v>7408</v>
      </c>
      <c r="AF2944" s="7"/>
      <c r="AG2944" s="7"/>
      <c r="AH2944" s="7" t="s">
        <v>7370</v>
      </c>
    </row>
    <row r="2945" spans="1:37" ht="9.75" customHeight="1" x14ac:dyDescent="0.2">
      <c r="A2945" s="7" t="s">
        <v>7118</v>
      </c>
      <c r="B2945" s="7" t="s">
        <v>38</v>
      </c>
      <c r="C2945" s="7"/>
      <c r="D2945" s="7" t="s">
        <v>7410</v>
      </c>
      <c r="E2945" s="8">
        <v>4</v>
      </c>
      <c r="F2945" s="7"/>
      <c r="G2945" s="7"/>
      <c r="H2945" s="9"/>
      <c r="I2945" s="10">
        <v>825</v>
      </c>
      <c r="J2945" s="10">
        <v>824</v>
      </c>
      <c r="K2945" s="9"/>
      <c r="L2945" s="10">
        <v>833</v>
      </c>
      <c r="M2945" s="9"/>
      <c r="N2945" s="10">
        <v>833</v>
      </c>
      <c r="O2945" s="9"/>
      <c r="P2945" s="10"/>
      <c r="Q2945" s="10"/>
      <c r="R2945" s="10"/>
      <c r="S2945" s="7" t="s">
        <v>54</v>
      </c>
      <c r="T2945" s="7" t="s">
        <v>7406</v>
      </c>
      <c r="U2945" s="7"/>
      <c r="V2945" s="7"/>
      <c r="W2945" s="7"/>
      <c r="X2945" s="7"/>
      <c r="Y2945" s="7" t="s">
        <v>7407</v>
      </c>
      <c r="Z2945" s="7" t="s">
        <v>2389</v>
      </c>
      <c r="AA2945" s="7"/>
      <c r="AB2945" s="7"/>
      <c r="AC2945" s="7" t="s">
        <v>7373</v>
      </c>
      <c r="AD2945" s="7"/>
      <c r="AE2945" s="7" t="s">
        <v>7408</v>
      </c>
      <c r="AF2945" s="7"/>
      <c r="AG2945" s="7"/>
      <c r="AH2945" s="7" t="s">
        <v>7370</v>
      </c>
    </row>
    <row r="2946" spans="1:37" ht="9.75" customHeight="1" x14ac:dyDescent="0.2">
      <c r="A2946" s="7" t="s">
        <v>7118</v>
      </c>
      <c r="B2946" s="7" t="s">
        <v>38</v>
      </c>
      <c r="C2946" s="7"/>
      <c r="D2946" s="7" t="s">
        <v>7411</v>
      </c>
      <c r="E2946" s="8">
        <v>4</v>
      </c>
      <c r="F2946" s="7"/>
      <c r="G2946" s="7"/>
      <c r="H2946" s="9"/>
      <c r="I2946" s="10">
        <v>2300</v>
      </c>
      <c r="J2946" s="10">
        <v>2301</v>
      </c>
      <c r="K2946" s="9"/>
      <c r="L2946" s="10">
        <v>2315</v>
      </c>
      <c r="M2946" s="9"/>
      <c r="N2946" s="10">
        <v>2315</v>
      </c>
      <c r="O2946" s="9"/>
      <c r="P2946" s="10"/>
      <c r="Q2946" s="10"/>
      <c r="R2946" s="10"/>
      <c r="S2946" s="7" t="s">
        <v>54</v>
      </c>
      <c r="T2946" s="7" t="s">
        <v>7406</v>
      </c>
      <c r="U2946" s="7"/>
      <c r="V2946" s="7"/>
      <c r="W2946" s="7"/>
      <c r="X2946" s="7"/>
      <c r="Y2946" s="7" t="s">
        <v>7407</v>
      </c>
      <c r="Z2946" s="7" t="s">
        <v>2389</v>
      </c>
      <c r="AA2946" s="7"/>
      <c r="AB2946" s="7"/>
      <c r="AC2946" s="7" t="s">
        <v>7373</v>
      </c>
      <c r="AD2946" s="7"/>
      <c r="AE2946" s="7" t="s">
        <v>7408</v>
      </c>
      <c r="AF2946" s="7"/>
      <c r="AG2946" s="7"/>
      <c r="AH2946" s="7" t="s">
        <v>7370</v>
      </c>
    </row>
    <row r="2947" spans="1:37" ht="9.75" customHeight="1" x14ac:dyDescent="0.2">
      <c r="A2947" s="7" t="s">
        <v>7118</v>
      </c>
      <c r="B2947" s="7" t="s">
        <v>38</v>
      </c>
      <c r="C2947" s="7" t="s">
        <v>1595</v>
      </c>
      <c r="D2947" s="7" t="s">
        <v>7412</v>
      </c>
      <c r="E2947" s="8">
        <v>4</v>
      </c>
      <c r="F2947" s="7"/>
      <c r="G2947" s="7" t="s">
        <v>7413</v>
      </c>
      <c r="H2947" s="9"/>
      <c r="I2947" s="10">
        <v>143612</v>
      </c>
      <c r="J2947" s="10">
        <v>119561</v>
      </c>
      <c r="K2947" s="9"/>
      <c r="L2947" s="10">
        <v>189553</v>
      </c>
      <c r="M2947" s="9"/>
      <c r="N2947" s="10">
        <v>189553</v>
      </c>
      <c r="O2947" s="9"/>
      <c r="P2947" s="10"/>
      <c r="Q2947" s="10">
        <v>186909</v>
      </c>
      <c r="R2947" s="10">
        <v>186909</v>
      </c>
      <c r="S2947" s="7" t="s">
        <v>43</v>
      </c>
      <c r="T2947" s="7"/>
      <c r="U2947" s="7" t="s">
        <v>44</v>
      </c>
      <c r="V2947" s="7" t="s">
        <v>45</v>
      </c>
      <c r="W2947" s="7" t="s">
        <v>67</v>
      </c>
      <c r="X2947" s="7" t="s">
        <v>68</v>
      </c>
      <c r="Y2947" s="7" t="s">
        <v>7414</v>
      </c>
      <c r="Z2947" s="7" t="s">
        <v>2471</v>
      </c>
      <c r="AA2947" s="7"/>
      <c r="AB2947" s="7"/>
      <c r="AC2947" s="7" t="s">
        <v>7415</v>
      </c>
      <c r="AD2947" s="7" t="s">
        <v>7412</v>
      </c>
      <c r="AE2947" s="7"/>
      <c r="AF2947" s="7"/>
      <c r="AG2947" s="7"/>
      <c r="AH2947" s="7" t="s">
        <v>7412</v>
      </c>
      <c r="AI2947">
        <v>211216</v>
      </c>
      <c r="AK2947">
        <v>211216</v>
      </c>
    </row>
    <row r="2948" spans="1:37" ht="9.75" customHeight="1" x14ac:dyDescent="0.2">
      <c r="A2948" s="7" t="s">
        <v>7118</v>
      </c>
      <c r="B2948" s="7" t="s">
        <v>38</v>
      </c>
      <c r="C2948" s="7"/>
      <c r="D2948" s="7" t="s">
        <v>7416</v>
      </c>
      <c r="E2948" s="8">
        <v>4</v>
      </c>
      <c r="F2948" s="7"/>
      <c r="G2948" s="7"/>
      <c r="H2948" s="9"/>
      <c r="I2948" s="10">
        <v>5406</v>
      </c>
      <c r="J2948" s="9"/>
      <c r="K2948" s="9"/>
      <c r="L2948" s="9"/>
      <c r="M2948" s="9"/>
      <c r="N2948" s="9"/>
      <c r="O2948" s="9"/>
      <c r="P2948" s="9"/>
      <c r="Q2948" s="9"/>
      <c r="R2948" s="9"/>
      <c r="S2948" s="7" t="s">
        <v>54</v>
      </c>
      <c r="T2948" s="7" t="s">
        <v>7417</v>
      </c>
      <c r="U2948" s="7" t="s">
        <v>44</v>
      </c>
      <c r="V2948" s="7" t="s">
        <v>45</v>
      </c>
      <c r="W2948" s="7" t="s">
        <v>67</v>
      </c>
      <c r="X2948" s="7" t="s">
        <v>68</v>
      </c>
      <c r="Y2948" s="7" t="s">
        <v>7418</v>
      </c>
      <c r="Z2948" s="7" t="s">
        <v>2506</v>
      </c>
      <c r="AA2948" s="7"/>
      <c r="AB2948" s="7"/>
      <c r="AC2948" s="7" t="s">
        <v>7415</v>
      </c>
      <c r="AD2948" s="7" t="s">
        <v>7412</v>
      </c>
      <c r="AE2948" s="7"/>
      <c r="AF2948" s="7"/>
      <c r="AG2948" s="7"/>
      <c r="AH2948" s="7" t="s">
        <v>7412</v>
      </c>
    </row>
    <row r="2949" spans="1:37" ht="9.75" customHeight="1" x14ac:dyDescent="0.2">
      <c r="A2949" s="7" t="s">
        <v>7118</v>
      </c>
      <c r="B2949" s="7" t="s">
        <v>38</v>
      </c>
      <c r="C2949" s="7"/>
      <c r="D2949" s="7" t="s">
        <v>7419</v>
      </c>
      <c r="E2949" s="8">
        <v>4</v>
      </c>
      <c r="F2949" s="7"/>
      <c r="G2949" s="7"/>
      <c r="H2949" s="9"/>
      <c r="I2949" s="9"/>
      <c r="J2949" s="9"/>
      <c r="K2949" s="9"/>
      <c r="L2949" s="10">
        <v>5306</v>
      </c>
      <c r="M2949" s="9"/>
      <c r="N2949" s="10">
        <v>5306</v>
      </c>
      <c r="O2949" s="9"/>
      <c r="P2949" s="10"/>
      <c r="Q2949" s="10"/>
      <c r="R2949" s="10"/>
      <c r="S2949" s="7" t="s">
        <v>54</v>
      </c>
      <c r="T2949" s="7" t="s">
        <v>7417</v>
      </c>
      <c r="U2949" s="7"/>
      <c r="V2949" s="7"/>
      <c r="W2949" s="7"/>
      <c r="X2949" s="7"/>
      <c r="Y2949" s="7" t="s">
        <v>7418</v>
      </c>
      <c r="Z2949" s="7" t="s">
        <v>2506</v>
      </c>
      <c r="AA2949" s="7"/>
      <c r="AB2949" s="7"/>
      <c r="AC2949" s="7" t="s">
        <v>7415</v>
      </c>
      <c r="AD2949" s="7" t="s">
        <v>7412</v>
      </c>
      <c r="AE2949" s="7"/>
      <c r="AF2949" s="7"/>
      <c r="AG2949" s="7"/>
      <c r="AH2949" s="7" t="s">
        <v>7412</v>
      </c>
    </row>
    <row r="2950" spans="1:37" ht="9.75" customHeight="1" x14ac:dyDescent="0.2">
      <c r="A2950" s="7" t="s">
        <v>7118</v>
      </c>
      <c r="B2950" s="7" t="s">
        <v>38</v>
      </c>
      <c r="C2950" s="7"/>
      <c r="D2950" s="7" t="s">
        <v>7420</v>
      </c>
      <c r="E2950" s="8">
        <v>4</v>
      </c>
      <c r="F2950" s="7"/>
      <c r="G2950" s="7"/>
      <c r="H2950" s="9"/>
      <c r="I2950" s="10">
        <v>3354</v>
      </c>
      <c r="J2950" s="9"/>
      <c r="K2950" s="9"/>
      <c r="L2950" s="10">
        <v>1163</v>
      </c>
      <c r="M2950" s="9"/>
      <c r="N2950" s="10">
        <v>1163</v>
      </c>
      <c r="O2950" s="9"/>
      <c r="P2950" s="10"/>
      <c r="Q2950" s="10"/>
      <c r="R2950" s="10"/>
      <c r="S2950" s="7" t="s">
        <v>54</v>
      </c>
      <c r="T2950" s="7" t="s">
        <v>7417</v>
      </c>
      <c r="U2950" s="7" t="s">
        <v>44</v>
      </c>
      <c r="V2950" s="7" t="s">
        <v>45</v>
      </c>
      <c r="W2950" s="7" t="s">
        <v>67</v>
      </c>
      <c r="X2950" s="7" t="s">
        <v>68</v>
      </c>
      <c r="Y2950" s="7" t="s">
        <v>7418</v>
      </c>
      <c r="Z2950" s="7" t="s">
        <v>2506</v>
      </c>
      <c r="AA2950" s="7"/>
      <c r="AB2950" s="7"/>
      <c r="AC2950" s="7" t="s">
        <v>7415</v>
      </c>
      <c r="AD2950" s="7" t="s">
        <v>7412</v>
      </c>
      <c r="AE2950" s="7"/>
      <c r="AF2950" s="7"/>
      <c r="AG2950" s="7"/>
      <c r="AH2950" s="7" t="s">
        <v>7412</v>
      </c>
    </row>
    <row r="2951" spans="1:37" ht="9.75" customHeight="1" x14ac:dyDescent="0.2">
      <c r="A2951" s="7" t="s">
        <v>7118</v>
      </c>
      <c r="B2951" s="7" t="s">
        <v>38</v>
      </c>
      <c r="C2951" s="7"/>
      <c r="D2951" s="7" t="s">
        <v>7421</v>
      </c>
      <c r="E2951" s="8">
        <v>4</v>
      </c>
      <c r="F2951" s="7"/>
      <c r="G2951" s="7"/>
      <c r="H2951" s="9"/>
      <c r="I2951" s="10">
        <v>5144</v>
      </c>
      <c r="J2951" s="9"/>
      <c r="K2951" s="9"/>
      <c r="L2951" s="10">
        <v>2725</v>
      </c>
      <c r="M2951" s="9"/>
      <c r="N2951" s="10">
        <v>2725</v>
      </c>
      <c r="O2951" s="9"/>
      <c r="P2951" s="10"/>
      <c r="Q2951" s="10"/>
      <c r="R2951" s="10"/>
      <c r="S2951" s="7" t="s">
        <v>54</v>
      </c>
      <c r="T2951" s="7" t="s">
        <v>7417</v>
      </c>
      <c r="U2951" s="7" t="s">
        <v>44</v>
      </c>
      <c r="V2951" s="7" t="s">
        <v>45</v>
      </c>
      <c r="W2951" s="7" t="s">
        <v>67</v>
      </c>
      <c r="X2951" s="7" t="s">
        <v>68</v>
      </c>
      <c r="Y2951" s="7" t="s">
        <v>7418</v>
      </c>
      <c r="Z2951" s="7" t="s">
        <v>2506</v>
      </c>
      <c r="AA2951" s="7"/>
      <c r="AB2951" s="7"/>
      <c r="AC2951" s="7" t="s">
        <v>7415</v>
      </c>
      <c r="AD2951" s="7" t="s">
        <v>7412</v>
      </c>
      <c r="AE2951" s="7"/>
      <c r="AF2951" s="7"/>
      <c r="AG2951" s="7"/>
      <c r="AH2951" s="7" t="s">
        <v>7412</v>
      </c>
    </row>
    <row r="2952" spans="1:37" ht="9.75" customHeight="1" x14ac:dyDescent="0.2">
      <c r="A2952" s="7" t="s">
        <v>7118</v>
      </c>
      <c r="B2952" s="7" t="s">
        <v>38</v>
      </c>
      <c r="C2952" s="7"/>
      <c r="D2952" s="7" t="s">
        <v>7422</v>
      </c>
      <c r="E2952" s="8">
        <v>4</v>
      </c>
      <c r="F2952" s="7"/>
      <c r="G2952" s="7"/>
      <c r="H2952" s="9"/>
      <c r="I2952" s="10">
        <v>525</v>
      </c>
      <c r="J2952" s="10">
        <v>536</v>
      </c>
      <c r="K2952" s="9"/>
      <c r="L2952" s="9"/>
      <c r="M2952" s="9"/>
      <c r="N2952" s="9"/>
      <c r="O2952" s="9"/>
      <c r="P2952" s="9"/>
      <c r="Q2952" s="9"/>
      <c r="R2952" s="9"/>
      <c r="S2952" s="7" t="s">
        <v>54</v>
      </c>
      <c r="T2952" s="7" t="s">
        <v>7417</v>
      </c>
      <c r="U2952" s="7" t="s">
        <v>44</v>
      </c>
      <c r="V2952" s="7" t="s">
        <v>45</v>
      </c>
      <c r="W2952" s="7" t="s">
        <v>67</v>
      </c>
      <c r="X2952" s="7" t="s">
        <v>68</v>
      </c>
      <c r="Y2952" s="7" t="s">
        <v>7418</v>
      </c>
      <c r="Z2952" s="7" t="s">
        <v>2506</v>
      </c>
      <c r="AA2952" s="7"/>
      <c r="AB2952" s="7"/>
      <c r="AC2952" s="7" t="s">
        <v>7415</v>
      </c>
      <c r="AD2952" s="7" t="s">
        <v>7412</v>
      </c>
      <c r="AE2952" s="7"/>
      <c r="AF2952" s="7"/>
      <c r="AG2952" s="7"/>
      <c r="AH2952" s="7" t="s">
        <v>7412</v>
      </c>
    </row>
    <row r="2953" spans="1:37" ht="9.75" customHeight="1" x14ac:dyDescent="0.2">
      <c r="A2953" s="7" t="s">
        <v>7118</v>
      </c>
      <c r="B2953" s="7" t="s">
        <v>38</v>
      </c>
      <c r="C2953" s="7"/>
      <c r="D2953" s="7" t="s">
        <v>7423</v>
      </c>
      <c r="E2953" s="8">
        <v>4</v>
      </c>
      <c r="F2953" s="7"/>
      <c r="G2953" s="7"/>
      <c r="H2953" s="9"/>
      <c r="I2953" s="9"/>
      <c r="J2953" s="9"/>
      <c r="K2953" s="9"/>
      <c r="L2953" s="10">
        <v>2644</v>
      </c>
      <c r="M2953" s="9"/>
      <c r="N2953" s="10">
        <v>2644</v>
      </c>
      <c r="O2953" s="9"/>
      <c r="P2953" s="10"/>
      <c r="Q2953" s="10"/>
      <c r="R2953" s="10"/>
      <c r="S2953" s="7" t="s">
        <v>54</v>
      </c>
      <c r="T2953" s="7" t="s">
        <v>7417</v>
      </c>
      <c r="U2953" s="7"/>
      <c r="V2953" s="7"/>
      <c r="W2953" s="7"/>
      <c r="X2953" s="7"/>
      <c r="Y2953" s="7" t="s">
        <v>7418</v>
      </c>
      <c r="Z2953" s="7" t="s">
        <v>2506</v>
      </c>
      <c r="AA2953" s="7"/>
      <c r="AB2953" s="7"/>
      <c r="AC2953" s="7" t="s">
        <v>7415</v>
      </c>
      <c r="AD2953" s="7" t="s">
        <v>7412</v>
      </c>
      <c r="AE2953" s="7"/>
      <c r="AF2953" s="7"/>
      <c r="AG2953" s="7"/>
      <c r="AH2953" s="7" t="s">
        <v>7412</v>
      </c>
    </row>
    <row r="2954" spans="1:37" ht="9.75" customHeight="1" x14ac:dyDescent="0.2">
      <c r="A2954" s="7" t="s">
        <v>7118</v>
      </c>
      <c r="B2954" s="7" t="s">
        <v>38</v>
      </c>
      <c r="C2954" s="7"/>
      <c r="D2954" s="7" t="s">
        <v>7424</v>
      </c>
      <c r="E2954" s="8">
        <v>4</v>
      </c>
      <c r="F2954" s="7"/>
      <c r="G2954" s="7"/>
      <c r="H2954" s="9"/>
      <c r="I2954" s="10">
        <v>656</v>
      </c>
      <c r="J2954" s="9"/>
      <c r="K2954" s="9"/>
      <c r="L2954" s="10">
        <v>343</v>
      </c>
      <c r="M2954" s="9"/>
      <c r="N2954" s="10">
        <v>343</v>
      </c>
      <c r="O2954" s="9"/>
      <c r="P2954" s="10"/>
      <c r="Q2954" s="10"/>
      <c r="R2954" s="10"/>
      <c r="S2954" s="7" t="s">
        <v>54</v>
      </c>
      <c r="T2954" s="7" t="s">
        <v>7417</v>
      </c>
      <c r="U2954" s="7"/>
      <c r="V2954" s="7"/>
      <c r="W2954" s="7"/>
      <c r="X2954" s="7"/>
      <c r="Y2954" s="7" t="s">
        <v>7418</v>
      </c>
      <c r="Z2954" s="7" t="s">
        <v>2506</v>
      </c>
      <c r="AA2954" s="7"/>
      <c r="AB2954" s="7"/>
      <c r="AC2954" s="7" t="s">
        <v>7415</v>
      </c>
      <c r="AD2954" s="7" t="s">
        <v>7412</v>
      </c>
      <c r="AE2954" s="7"/>
      <c r="AF2954" s="7"/>
      <c r="AG2954" s="7"/>
      <c r="AH2954" s="7" t="s">
        <v>7412</v>
      </c>
    </row>
    <row r="2955" spans="1:37" ht="9.75" customHeight="1" x14ac:dyDescent="0.2">
      <c r="A2955" s="7" t="s">
        <v>7118</v>
      </c>
      <c r="B2955" s="7" t="s">
        <v>38</v>
      </c>
      <c r="C2955" s="7"/>
      <c r="D2955" s="7" t="s">
        <v>7425</v>
      </c>
      <c r="E2955" s="8">
        <v>4</v>
      </c>
      <c r="F2955" s="7"/>
      <c r="G2955" s="7"/>
      <c r="H2955" s="9"/>
      <c r="I2955" s="10">
        <v>1938</v>
      </c>
      <c r="J2955" s="10">
        <v>1978</v>
      </c>
      <c r="K2955" s="9"/>
      <c r="L2955" s="10">
        <v>16341</v>
      </c>
      <c r="M2955" s="9"/>
      <c r="N2955" s="10">
        <v>16341</v>
      </c>
      <c r="O2955" s="9"/>
      <c r="P2955" s="10"/>
      <c r="Q2955" s="10"/>
      <c r="R2955" s="10"/>
      <c r="S2955" s="7" t="s">
        <v>54</v>
      </c>
      <c r="T2955" s="7" t="s">
        <v>7417</v>
      </c>
      <c r="U2955" s="7" t="s">
        <v>44</v>
      </c>
      <c r="V2955" s="7" t="s">
        <v>45</v>
      </c>
      <c r="W2955" s="7" t="s">
        <v>67</v>
      </c>
      <c r="X2955" s="7" t="s">
        <v>68</v>
      </c>
      <c r="Y2955" s="7" t="s">
        <v>7418</v>
      </c>
      <c r="Z2955" s="7" t="s">
        <v>2506</v>
      </c>
      <c r="AA2955" s="7"/>
      <c r="AB2955" s="7"/>
      <c r="AC2955" s="7" t="s">
        <v>7415</v>
      </c>
      <c r="AD2955" s="7" t="s">
        <v>7412</v>
      </c>
      <c r="AE2955" s="7"/>
      <c r="AF2955" s="7" t="s">
        <v>6249</v>
      </c>
      <c r="AG2955" s="7" t="s">
        <v>6250</v>
      </c>
      <c r="AH2955" s="7" t="s">
        <v>7412</v>
      </c>
    </row>
    <row r="2956" spans="1:37" ht="9.75" customHeight="1" x14ac:dyDescent="0.2">
      <c r="A2956" s="7" t="s">
        <v>7118</v>
      </c>
      <c r="B2956" s="7" t="s">
        <v>38</v>
      </c>
      <c r="C2956" s="7"/>
      <c r="D2956" s="7" t="s">
        <v>7426</v>
      </c>
      <c r="E2956" s="8">
        <v>4</v>
      </c>
      <c r="F2956" s="7"/>
      <c r="G2956" s="7"/>
      <c r="H2956" s="9"/>
      <c r="I2956" s="10">
        <v>1626</v>
      </c>
      <c r="J2956" s="9"/>
      <c r="K2956" s="9"/>
      <c r="L2956" s="10">
        <v>1252</v>
      </c>
      <c r="M2956" s="9"/>
      <c r="N2956" s="10">
        <v>1252</v>
      </c>
      <c r="O2956" s="9"/>
      <c r="P2956" s="10"/>
      <c r="Q2956" s="10"/>
      <c r="R2956" s="10"/>
      <c r="S2956" s="7" t="s">
        <v>54</v>
      </c>
      <c r="T2956" s="7" t="s">
        <v>7417</v>
      </c>
      <c r="U2956" s="7"/>
      <c r="V2956" s="7"/>
      <c r="W2956" s="7"/>
      <c r="X2956" s="7"/>
      <c r="Y2956" s="7" t="s">
        <v>7418</v>
      </c>
      <c r="Z2956" s="7" t="s">
        <v>2506</v>
      </c>
      <c r="AA2956" s="7"/>
      <c r="AB2956" s="7"/>
      <c r="AC2956" s="7" t="s">
        <v>7415</v>
      </c>
      <c r="AD2956" s="7" t="s">
        <v>7412</v>
      </c>
      <c r="AE2956" s="7"/>
      <c r="AF2956" s="7"/>
      <c r="AG2956" s="7"/>
      <c r="AH2956" s="7" t="s">
        <v>7412</v>
      </c>
    </row>
    <row r="2957" spans="1:37" ht="9.75" customHeight="1" x14ac:dyDescent="0.2">
      <c r="A2957" s="7" t="s">
        <v>7118</v>
      </c>
      <c r="B2957" s="7" t="s">
        <v>38</v>
      </c>
      <c r="C2957" s="7"/>
      <c r="D2957" s="7" t="s">
        <v>7427</v>
      </c>
      <c r="E2957" s="8">
        <v>4</v>
      </c>
      <c r="F2957" s="7"/>
      <c r="G2957" s="7"/>
      <c r="H2957" s="9"/>
      <c r="I2957" s="9"/>
      <c r="J2957" s="10">
        <v>1871</v>
      </c>
      <c r="K2957" s="9"/>
      <c r="L2957" s="10">
        <v>1908</v>
      </c>
      <c r="M2957" s="9"/>
      <c r="N2957" s="10">
        <v>1908</v>
      </c>
      <c r="O2957" s="9"/>
      <c r="P2957" s="10"/>
      <c r="Q2957" s="10"/>
      <c r="R2957" s="10"/>
      <c r="S2957" s="7" t="s">
        <v>54</v>
      </c>
      <c r="T2957" s="7" t="s">
        <v>7417</v>
      </c>
      <c r="U2957" s="7"/>
      <c r="V2957" s="7"/>
      <c r="W2957" s="7"/>
      <c r="X2957" s="7"/>
      <c r="Y2957" s="7" t="s">
        <v>7418</v>
      </c>
      <c r="Z2957" s="7" t="s">
        <v>2506</v>
      </c>
      <c r="AA2957" s="7"/>
      <c r="AB2957" s="7"/>
      <c r="AC2957" s="7" t="s">
        <v>7415</v>
      </c>
      <c r="AD2957" s="7" t="s">
        <v>7412</v>
      </c>
      <c r="AE2957" s="7"/>
      <c r="AF2957" s="7"/>
      <c r="AG2957" s="7"/>
      <c r="AH2957" s="7" t="s">
        <v>7412</v>
      </c>
    </row>
    <row r="2958" spans="1:37" ht="9.75" customHeight="1" x14ac:dyDescent="0.2">
      <c r="A2958" s="7" t="s">
        <v>7118</v>
      </c>
      <c r="B2958" s="7" t="s">
        <v>38</v>
      </c>
      <c r="C2958" s="7"/>
      <c r="D2958" s="7" t="s">
        <v>7428</v>
      </c>
      <c r="E2958" s="8">
        <v>4</v>
      </c>
      <c r="F2958" s="7"/>
      <c r="G2958" s="7"/>
      <c r="H2958" s="9"/>
      <c r="I2958" s="10">
        <v>1974</v>
      </c>
      <c r="J2958" s="9"/>
      <c r="K2958" s="9"/>
      <c r="L2958" s="10">
        <v>1160</v>
      </c>
      <c r="M2958" s="9"/>
      <c r="N2958" s="10">
        <v>1160</v>
      </c>
      <c r="O2958" s="9"/>
      <c r="P2958" s="10"/>
      <c r="Q2958" s="10"/>
      <c r="R2958" s="10"/>
      <c r="S2958" s="7" t="s">
        <v>54</v>
      </c>
      <c r="T2958" s="7" t="s">
        <v>7417</v>
      </c>
      <c r="U2958" s="7" t="s">
        <v>44</v>
      </c>
      <c r="V2958" s="7" t="s">
        <v>45</v>
      </c>
      <c r="W2958" s="7" t="s">
        <v>67</v>
      </c>
      <c r="X2958" s="7" t="s">
        <v>68</v>
      </c>
      <c r="Y2958" s="7" t="s">
        <v>7418</v>
      </c>
      <c r="Z2958" s="7" t="s">
        <v>2506</v>
      </c>
      <c r="AA2958" s="7"/>
      <c r="AB2958" s="7"/>
      <c r="AC2958" s="7" t="s">
        <v>7415</v>
      </c>
      <c r="AD2958" s="7" t="s">
        <v>7412</v>
      </c>
      <c r="AE2958" s="7"/>
      <c r="AF2958" s="7"/>
      <c r="AG2958" s="7"/>
      <c r="AH2958" s="7" t="s">
        <v>7412</v>
      </c>
    </row>
    <row r="2959" spans="1:37" ht="9.75" customHeight="1" x14ac:dyDescent="0.2">
      <c r="A2959" s="7" t="s">
        <v>7118</v>
      </c>
      <c r="B2959" s="7" t="s">
        <v>38</v>
      </c>
      <c r="C2959" s="7"/>
      <c r="D2959" s="7" t="s">
        <v>7429</v>
      </c>
      <c r="E2959" s="8">
        <v>4</v>
      </c>
      <c r="F2959" s="7"/>
      <c r="G2959" s="7"/>
      <c r="H2959" s="9"/>
      <c r="I2959" s="9"/>
      <c r="J2959" s="10">
        <v>88</v>
      </c>
      <c r="K2959" s="9"/>
      <c r="L2959" s="10">
        <v>70</v>
      </c>
      <c r="M2959" s="9"/>
      <c r="N2959" s="10">
        <v>70</v>
      </c>
      <c r="O2959" s="9"/>
      <c r="P2959" s="10"/>
      <c r="Q2959" s="10"/>
      <c r="R2959" s="10"/>
      <c r="S2959" s="7" t="s">
        <v>54</v>
      </c>
      <c r="T2959" s="7" t="s">
        <v>7417</v>
      </c>
      <c r="U2959" s="7" t="s">
        <v>44</v>
      </c>
      <c r="V2959" s="7" t="s">
        <v>45</v>
      </c>
      <c r="W2959" s="7" t="s">
        <v>67</v>
      </c>
      <c r="X2959" s="7" t="s">
        <v>68</v>
      </c>
      <c r="Y2959" s="7" t="s">
        <v>7418</v>
      </c>
      <c r="Z2959" s="7" t="s">
        <v>2506</v>
      </c>
      <c r="AA2959" s="7"/>
      <c r="AB2959" s="7"/>
      <c r="AC2959" s="7" t="s">
        <v>7415</v>
      </c>
      <c r="AD2959" s="7" t="s">
        <v>7412</v>
      </c>
      <c r="AE2959" s="7"/>
      <c r="AF2959" s="7"/>
      <c r="AG2959" s="7"/>
      <c r="AH2959" s="7" t="s">
        <v>7412</v>
      </c>
    </row>
    <row r="2960" spans="1:37" ht="9.75" customHeight="1" x14ac:dyDescent="0.2">
      <c r="A2960" s="7" t="s">
        <v>7118</v>
      </c>
      <c r="B2960" s="7" t="s">
        <v>38</v>
      </c>
      <c r="C2960" s="7"/>
      <c r="D2960" s="7" t="s">
        <v>7430</v>
      </c>
      <c r="E2960" s="8">
        <v>4</v>
      </c>
      <c r="F2960" s="7"/>
      <c r="G2960" s="7"/>
      <c r="H2960" s="9"/>
      <c r="I2960" s="10">
        <v>652</v>
      </c>
      <c r="J2960" s="9"/>
      <c r="K2960" s="9"/>
      <c r="L2960" s="10">
        <v>1945</v>
      </c>
      <c r="M2960" s="9"/>
      <c r="N2960" s="10">
        <v>1945</v>
      </c>
      <c r="O2960" s="9"/>
      <c r="P2960" s="10"/>
      <c r="Q2960" s="10"/>
      <c r="R2960" s="10"/>
      <c r="S2960" s="7" t="s">
        <v>54</v>
      </c>
      <c r="T2960" s="7" t="s">
        <v>7417</v>
      </c>
      <c r="U2960" s="7"/>
      <c r="V2960" s="7"/>
      <c r="W2960" s="7"/>
      <c r="X2960" s="7"/>
      <c r="Y2960" s="7" t="s">
        <v>7418</v>
      </c>
      <c r="Z2960" s="7" t="s">
        <v>2506</v>
      </c>
      <c r="AA2960" s="7"/>
      <c r="AB2960" s="7"/>
      <c r="AC2960" s="7" t="s">
        <v>7415</v>
      </c>
      <c r="AD2960" s="7" t="s">
        <v>7412</v>
      </c>
      <c r="AE2960" s="7"/>
      <c r="AF2960" s="7"/>
      <c r="AG2960" s="7"/>
      <c r="AH2960" s="7" t="s">
        <v>7412</v>
      </c>
    </row>
    <row r="2961" spans="1:37" ht="9.75" customHeight="1" x14ac:dyDescent="0.2">
      <c r="A2961" s="7" t="s">
        <v>7118</v>
      </c>
      <c r="B2961" s="7" t="s">
        <v>38</v>
      </c>
      <c r="C2961" s="7"/>
      <c r="D2961" s="7" t="s">
        <v>7431</v>
      </c>
      <c r="E2961" s="8">
        <v>4</v>
      </c>
      <c r="F2961" s="7"/>
      <c r="G2961" s="7"/>
      <c r="H2961" s="9"/>
      <c r="I2961" s="9"/>
      <c r="J2961" s="9"/>
      <c r="K2961" s="9"/>
      <c r="L2961" s="10">
        <v>200</v>
      </c>
      <c r="M2961" s="9"/>
      <c r="N2961" s="10">
        <v>200</v>
      </c>
      <c r="O2961" s="9"/>
      <c r="P2961" s="10"/>
      <c r="Q2961" s="10"/>
      <c r="R2961" s="10"/>
      <c r="S2961" s="7" t="s">
        <v>54</v>
      </c>
      <c r="T2961" s="7" t="s">
        <v>7417</v>
      </c>
      <c r="U2961" s="7"/>
      <c r="V2961" s="7"/>
      <c r="W2961" s="7"/>
      <c r="X2961" s="7"/>
      <c r="Y2961" s="7" t="s">
        <v>7418</v>
      </c>
      <c r="Z2961" s="7" t="s">
        <v>2506</v>
      </c>
      <c r="AA2961" s="7"/>
      <c r="AB2961" s="7"/>
      <c r="AC2961" s="7" t="s">
        <v>7415</v>
      </c>
      <c r="AD2961" s="7" t="s">
        <v>7412</v>
      </c>
      <c r="AE2961" s="7"/>
      <c r="AF2961" s="7"/>
      <c r="AG2961" s="7"/>
      <c r="AH2961" s="7" t="s">
        <v>7412</v>
      </c>
    </row>
    <row r="2962" spans="1:37" ht="9.75" customHeight="1" x14ac:dyDescent="0.2">
      <c r="A2962" s="7" t="s">
        <v>7118</v>
      </c>
      <c r="B2962" s="7" t="s">
        <v>38</v>
      </c>
      <c r="C2962" s="7"/>
      <c r="D2962" s="7" t="s">
        <v>7432</v>
      </c>
      <c r="E2962" s="8">
        <v>4</v>
      </c>
      <c r="F2962" s="7"/>
      <c r="G2962" s="7"/>
      <c r="H2962" s="9"/>
      <c r="I2962" s="10">
        <v>48716</v>
      </c>
      <c r="J2962" s="10">
        <v>47393</v>
      </c>
      <c r="K2962" s="9"/>
      <c r="L2962" s="10">
        <v>48596</v>
      </c>
      <c r="M2962" s="9"/>
      <c r="N2962" s="10">
        <v>48596</v>
      </c>
      <c r="O2962" s="9"/>
      <c r="P2962" s="10"/>
      <c r="Q2962" s="10"/>
      <c r="R2962" s="10"/>
      <c r="S2962" s="7" t="s">
        <v>54</v>
      </c>
      <c r="T2962" s="7" t="s">
        <v>7417</v>
      </c>
      <c r="U2962" s="7" t="s">
        <v>44</v>
      </c>
      <c r="V2962" s="7" t="s">
        <v>45</v>
      </c>
      <c r="W2962" s="7" t="s">
        <v>67</v>
      </c>
      <c r="X2962" s="7" t="s">
        <v>68</v>
      </c>
      <c r="Y2962" s="7" t="s">
        <v>7433</v>
      </c>
      <c r="Z2962" s="7" t="s">
        <v>2506</v>
      </c>
      <c r="AA2962" s="7"/>
      <c r="AB2962" s="7"/>
      <c r="AC2962" s="7" t="s">
        <v>7415</v>
      </c>
      <c r="AD2962" s="7" t="s">
        <v>7412</v>
      </c>
      <c r="AE2962" s="7"/>
      <c r="AF2962" s="7"/>
      <c r="AG2962" s="7"/>
      <c r="AH2962" s="7" t="s">
        <v>7412</v>
      </c>
    </row>
    <row r="2963" spans="1:37" ht="9.75" customHeight="1" x14ac:dyDescent="0.2">
      <c r="A2963" s="7" t="s">
        <v>7118</v>
      </c>
      <c r="B2963" s="7" t="s">
        <v>38</v>
      </c>
      <c r="C2963" s="7"/>
      <c r="D2963" s="7" t="s">
        <v>7434</v>
      </c>
      <c r="E2963" s="8">
        <v>4</v>
      </c>
      <c r="F2963" s="7"/>
      <c r="G2963" s="7"/>
      <c r="H2963" s="9"/>
      <c r="I2963" s="10">
        <v>6191</v>
      </c>
      <c r="J2963" s="10">
        <v>6418</v>
      </c>
      <c r="K2963" s="9"/>
      <c r="L2963" s="10">
        <v>4756</v>
      </c>
      <c r="M2963" s="9"/>
      <c r="N2963" s="10">
        <v>4756</v>
      </c>
      <c r="O2963" s="9"/>
      <c r="P2963" s="10"/>
      <c r="Q2963" s="10"/>
      <c r="R2963" s="10"/>
      <c r="S2963" s="7" t="s">
        <v>54</v>
      </c>
      <c r="T2963" s="7" t="s">
        <v>7417</v>
      </c>
      <c r="U2963" s="7" t="s">
        <v>44</v>
      </c>
      <c r="V2963" s="7" t="s">
        <v>45</v>
      </c>
      <c r="W2963" s="7" t="s">
        <v>67</v>
      </c>
      <c r="X2963" s="7" t="s">
        <v>68</v>
      </c>
      <c r="Y2963" s="7" t="s">
        <v>7433</v>
      </c>
      <c r="Z2963" s="7" t="s">
        <v>2506</v>
      </c>
      <c r="AA2963" s="7"/>
      <c r="AB2963" s="7"/>
      <c r="AC2963" s="7" t="s">
        <v>7415</v>
      </c>
      <c r="AD2963" s="7" t="s">
        <v>7412</v>
      </c>
      <c r="AE2963" s="7"/>
      <c r="AF2963" s="7"/>
      <c r="AG2963" s="7"/>
      <c r="AH2963" s="7" t="s">
        <v>7412</v>
      </c>
    </row>
    <row r="2964" spans="1:37" ht="9.75" customHeight="1" x14ac:dyDescent="0.2">
      <c r="A2964" s="7" t="s">
        <v>7118</v>
      </c>
      <c r="B2964" s="7" t="s">
        <v>38</v>
      </c>
      <c r="C2964" s="7"/>
      <c r="D2964" s="7" t="s">
        <v>7435</v>
      </c>
      <c r="E2964" s="8">
        <v>4</v>
      </c>
      <c r="F2964" s="7"/>
      <c r="G2964" s="7"/>
      <c r="H2964" s="9"/>
      <c r="I2964" s="10">
        <v>17008</v>
      </c>
      <c r="J2964" s="10">
        <v>17348</v>
      </c>
      <c r="K2964" s="9"/>
      <c r="L2964" s="10">
        <v>16670</v>
      </c>
      <c r="M2964" s="9"/>
      <c r="N2964" s="10">
        <v>16670</v>
      </c>
      <c r="O2964" s="9"/>
      <c r="P2964" s="10"/>
      <c r="Q2964" s="10"/>
      <c r="R2964" s="10"/>
      <c r="S2964" s="7" t="s">
        <v>54</v>
      </c>
      <c r="T2964" s="7" t="s">
        <v>7417</v>
      </c>
      <c r="U2964" s="7" t="s">
        <v>44</v>
      </c>
      <c r="V2964" s="7" t="s">
        <v>45</v>
      </c>
      <c r="W2964" s="7" t="s">
        <v>67</v>
      </c>
      <c r="X2964" s="7" t="s">
        <v>68</v>
      </c>
      <c r="Y2964" s="7" t="s">
        <v>7433</v>
      </c>
      <c r="Z2964" s="7" t="s">
        <v>2506</v>
      </c>
      <c r="AA2964" s="7"/>
      <c r="AB2964" s="7"/>
      <c r="AC2964" s="7" t="s">
        <v>7415</v>
      </c>
      <c r="AD2964" s="7" t="s">
        <v>7412</v>
      </c>
      <c r="AE2964" s="7"/>
      <c r="AF2964" s="7"/>
      <c r="AG2964" s="7"/>
      <c r="AH2964" s="7" t="s">
        <v>7412</v>
      </c>
    </row>
    <row r="2965" spans="1:37" ht="9.75" customHeight="1" x14ac:dyDescent="0.2">
      <c r="A2965" s="7" t="s">
        <v>7118</v>
      </c>
      <c r="B2965" s="7" t="s">
        <v>38</v>
      </c>
      <c r="C2965" s="7"/>
      <c r="D2965" s="7" t="s">
        <v>7436</v>
      </c>
      <c r="E2965" s="8">
        <v>4</v>
      </c>
      <c r="F2965" s="7"/>
      <c r="G2965" s="7"/>
      <c r="H2965" s="9"/>
      <c r="I2965" s="10">
        <v>5539</v>
      </c>
      <c r="J2965" s="10">
        <v>4342</v>
      </c>
      <c r="K2965" s="9"/>
      <c r="L2965" s="10">
        <v>10735</v>
      </c>
      <c r="M2965" s="9"/>
      <c r="N2965" s="10">
        <v>10735</v>
      </c>
      <c r="O2965" s="9"/>
      <c r="P2965" s="10"/>
      <c r="Q2965" s="10"/>
      <c r="R2965" s="10"/>
      <c r="S2965" s="7" t="s">
        <v>54</v>
      </c>
      <c r="T2965" s="7" t="s">
        <v>7417</v>
      </c>
      <c r="U2965" s="7" t="s">
        <v>44</v>
      </c>
      <c r="V2965" s="7" t="s">
        <v>45</v>
      </c>
      <c r="W2965" s="7" t="s">
        <v>67</v>
      </c>
      <c r="X2965" s="7" t="s">
        <v>68</v>
      </c>
      <c r="Y2965" s="7" t="s">
        <v>7433</v>
      </c>
      <c r="Z2965" s="7" t="s">
        <v>2506</v>
      </c>
      <c r="AA2965" s="7"/>
      <c r="AB2965" s="7"/>
      <c r="AC2965" s="7" t="s">
        <v>7415</v>
      </c>
      <c r="AD2965" s="7" t="s">
        <v>7412</v>
      </c>
      <c r="AE2965" s="7"/>
      <c r="AF2965" s="7"/>
      <c r="AG2965" s="7"/>
      <c r="AH2965" s="7" t="s">
        <v>7412</v>
      </c>
    </row>
    <row r="2966" spans="1:37" ht="9.75" customHeight="1" x14ac:dyDescent="0.2">
      <c r="A2966" s="7" t="s">
        <v>7118</v>
      </c>
      <c r="B2966" s="7" t="s">
        <v>38</v>
      </c>
      <c r="C2966" s="7"/>
      <c r="D2966" s="7" t="s">
        <v>7437</v>
      </c>
      <c r="E2966" s="8">
        <v>4</v>
      </c>
      <c r="F2966" s="7"/>
      <c r="G2966" s="7"/>
      <c r="H2966" s="9"/>
      <c r="I2966" s="10">
        <v>18009</v>
      </c>
      <c r="J2966" s="10">
        <v>15073</v>
      </c>
      <c r="K2966" s="9"/>
      <c r="L2966" s="10">
        <v>26321</v>
      </c>
      <c r="M2966" s="9"/>
      <c r="N2966" s="10">
        <v>26321</v>
      </c>
      <c r="O2966" s="9"/>
      <c r="P2966" s="10"/>
      <c r="Q2966" s="10"/>
      <c r="R2966" s="10"/>
      <c r="S2966" s="7" t="s">
        <v>54</v>
      </c>
      <c r="T2966" s="7" t="s">
        <v>7417</v>
      </c>
      <c r="U2966" s="7"/>
      <c r="V2966" s="7"/>
      <c r="W2966" s="7"/>
      <c r="X2966" s="7"/>
      <c r="Y2966" s="7" t="s">
        <v>7433</v>
      </c>
      <c r="Z2966" s="7" t="s">
        <v>2506</v>
      </c>
      <c r="AA2966" s="7"/>
      <c r="AB2966" s="7"/>
      <c r="AC2966" s="7" t="s">
        <v>7415</v>
      </c>
      <c r="AD2966" s="7" t="s">
        <v>7412</v>
      </c>
      <c r="AE2966" s="7"/>
      <c r="AF2966" s="7"/>
      <c r="AG2966" s="7"/>
      <c r="AH2966" s="7" t="s">
        <v>7412</v>
      </c>
    </row>
    <row r="2967" spans="1:37" ht="9.75" customHeight="1" x14ac:dyDescent="0.2">
      <c r="A2967" s="7" t="s">
        <v>7118</v>
      </c>
      <c r="B2967" s="7" t="s">
        <v>38</v>
      </c>
      <c r="C2967" s="7"/>
      <c r="D2967" s="7" t="s">
        <v>7438</v>
      </c>
      <c r="E2967" s="8">
        <v>4</v>
      </c>
      <c r="F2967" s="7"/>
      <c r="G2967" s="7"/>
      <c r="H2967" s="9"/>
      <c r="I2967" s="10">
        <v>2859</v>
      </c>
      <c r="J2967" s="10">
        <v>5375</v>
      </c>
      <c r="K2967" s="9"/>
      <c r="L2967" s="10">
        <v>6438</v>
      </c>
      <c r="M2967" s="9"/>
      <c r="N2967" s="10">
        <v>6438</v>
      </c>
      <c r="O2967" s="9"/>
      <c r="P2967" s="10"/>
      <c r="Q2967" s="10"/>
      <c r="R2967" s="10"/>
      <c r="S2967" s="7" t="s">
        <v>54</v>
      </c>
      <c r="T2967" s="7" t="s">
        <v>7417</v>
      </c>
      <c r="U2967" s="7"/>
      <c r="V2967" s="7"/>
      <c r="W2967" s="7"/>
      <c r="X2967" s="7"/>
      <c r="Y2967" s="7" t="s">
        <v>7433</v>
      </c>
      <c r="Z2967" s="7" t="s">
        <v>2506</v>
      </c>
      <c r="AA2967" s="7"/>
      <c r="AB2967" s="7"/>
      <c r="AC2967" s="7" t="s">
        <v>7415</v>
      </c>
      <c r="AD2967" s="7" t="s">
        <v>7412</v>
      </c>
      <c r="AE2967" s="7"/>
      <c r="AF2967" s="7"/>
      <c r="AG2967" s="7"/>
      <c r="AH2967" s="7" t="s">
        <v>7412</v>
      </c>
    </row>
    <row r="2968" spans="1:37" ht="9.75" customHeight="1" x14ac:dyDescent="0.2">
      <c r="A2968" s="7" t="s">
        <v>7118</v>
      </c>
      <c r="B2968" s="7" t="s">
        <v>38</v>
      </c>
      <c r="C2968" s="7"/>
      <c r="D2968" s="7" t="s">
        <v>7439</v>
      </c>
      <c r="E2968" s="8">
        <v>4</v>
      </c>
      <c r="F2968" s="7"/>
      <c r="G2968" s="7"/>
      <c r="H2968" s="9"/>
      <c r="I2968" s="10">
        <v>13693</v>
      </c>
      <c r="J2968" s="10">
        <v>8100</v>
      </c>
      <c r="K2968" s="9"/>
      <c r="L2968" s="10">
        <v>19298</v>
      </c>
      <c r="M2968" s="9"/>
      <c r="N2968" s="10">
        <v>19298</v>
      </c>
      <c r="O2968" s="9"/>
      <c r="P2968" s="10"/>
      <c r="Q2968" s="10"/>
      <c r="R2968" s="10"/>
      <c r="S2968" s="7" t="s">
        <v>54</v>
      </c>
      <c r="T2968" s="7" t="s">
        <v>7417</v>
      </c>
      <c r="U2968" s="7" t="s">
        <v>44</v>
      </c>
      <c r="V2968" s="7" t="s">
        <v>45</v>
      </c>
      <c r="W2968" s="7" t="s">
        <v>67</v>
      </c>
      <c r="X2968" s="7" t="s">
        <v>68</v>
      </c>
      <c r="Y2968" s="7" t="s">
        <v>7433</v>
      </c>
      <c r="Z2968" s="7" t="s">
        <v>2506</v>
      </c>
      <c r="AA2968" s="7"/>
      <c r="AB2968" s="7"/>
      <c r="AC2968" s="7" t="s">
        <v>7415</v>
      </c>
      <c r="AD2968" s="7" t="s">
        <v>7412</v>
      </c>
      <c r="AE2968" s="7"/>
      <c r="AF2968" s="7"/>
      <c r="AG2968" s="7"/>
      <c r="AH2968" s="7" t="s">
        <v>7412</v>
      </c>
    </row>
    <row r="2969" spans="1:37" ht="9.75" customHeight="1" x14ac:dyDescent="0.2">
      <c r="A2969" s="7" t="s">
        <v>7118</v>
      </c>
      <c r="B2969" s="7" t="s">
        <v>38</v>
      </c>
      <c r="C2969" s="7"/>
      <c r="D2969" s="7" t="s">
        <v>7440</v>
      </c>
      <c r="E2969" s="8">
        <v>4</v>
      </c>
      <c r="F2969" s="7"/>
      <c r="G2969" s="7"/>
      <c r="H2969" s="9"/>
      <c r="I2969" s="10">
        <v>2843</v>
      </c>
      <c r="J2969" s="10">
        <v>3790</v>
      </c>
      <c r="K2969" s="9"/>
      <c r="L2969" s="10">
        <v>6267</v>
      </c>
      <c r="M2969" s="9"/>
      <c r="N2969" s="10">
        <v>6267</v>
      </c>
      <c r="O2969" s="9"/>
      <c r="P2969" s="10"/>
      <c r="Q2969" s="10"/>
      <c r="R2969" s="10"/>
      <c r="S2969" s="7" t="s">
        <v>54</v>
      </c>
      <c r="T2969" s="7" t="s">
        <v>7417</v>
      </c>
      <c r="U2969" s="7"/>
      <c r="V2969" s="7"/>
      <c r="W2969" s="7"/>
      <c r="X2969" s="7"/>
      <c r="Y2969" s="7" t="s">
        <v>7441</v>
      </c>
      <c r="Z2969" s="7" t="s">
        <v>2506</v>
      </c>
      <c r="AA2969" s="7"/>
      <c r="AB2969" s="7"/>
      <c r="AC2969" s="7" t="s">
        <v>7415</v>
      </c>
      <c r="AD2969" s="7" t="s">
        <v>7412</v>
      </c>
      <c r="AE2969" s="7"/>
      <c r="AF2969" s="7"/>
      <c r="AG2969" s="7"/>
      <c r="AH2969" s="7" t="s">
        <v>7412</v>
      </c>
    </row>
    <row r="2970" spans="1:37" ht="9.75" customHeight="1" x14ac:dyDescent="0.2">
      <c r="A2970" s="7" t="s">
        <v>7118</v>
      </c>
      <c r="B2970" s="7" t="s">
        <v>38</v>
      </c>
      <c r="C2970" s="7"/>
      <c r="D2970" s="7" t="s">
        <v>7442</v>
      </c>
      <c r="E2970" s="8">
        <v>4</v>
      </c>
      <c r="F2970" s="7"/>
      <c r="G2970" s="7"/>
      <c r="H2970" s="9"/>
      <c r="I2970" s="10">
        <v>3488</v>
      </c>
      <c r="J2970" s="10">
        <v>3561</v>
      </c>
      <c r="K2970" s="9"/>
      <c r="L2970" s="10">
        <v>7135</v>
      </c>
      <c r="M2970" s="9"/>
      <c r="N2970" s="10">
        <v>7135</v>
      </c>
      <c r="O2970" s="9"/>
      <c r="P2970" s="10"/>
      <c r="Q2970" s="10"/>
      <c r="R2970" s="10"/>
      <c r="S2970" s="7" t="s">
        <v>54</v>
      </c>
      <c r="T2970" s="7" t="s">
        <v>7417</v>
      </c>
      <c r="U2970" s="7"/>
      <c r="V2970" s="7"/>
      <c r="W2970" s="7"/>
      <c r="X2970" s="7"/>
      <c r="Y2970" s="7" t="s">
        <v>7443</v>
      </c>
      <c r="Z2970" s="7" t="s">
        <v>2506</v>
      </c>
      <c r="AA2970" s="7"/>
      <c r="AB2970" s="7"/>
      <c r="AC2970" s="7" t="s">
        <v>7415</v>
      </c>
      <c r="AD2970" s="7" t="s">
        <v>7412</v>
      </c>
      <c r="AE2970" s="7"/>
      <c r="AF2970" s="7"/>
      <c r="AG2970" s="7"/>
      <c r="AH2970" s="7" t="s">
        <v>7412</v>
      </c>
    </row>
    <row r="2971" spans="1:37" ht="9.75" customHeight="1" x14ac:dyDescent="0.2">
      <c r="A2971" s="7" t="s">
        <v>7118</v>
      </c>
      <c r="B2971" s="7" t="s">
        <v>38</v>
      </c>
      <c r="C2971" s="7"/>
      <c r="D2971" s="7" t="s">
        <v>7444</v>
      </c>
      <c r="E2971" s="8">
        <v>4</v>
      </c>
      <c r="F2971" s="7"/>
      <c r="G2971" s="7"/>
      <c r="H2971" s="9"/>
      <c r="I2971" s="10">
        <v>3616</v>
      </c>
      <c r="J2971" s="10">
        <v>3688</v>
      </c>
      <c r="K2971" s="9"/>
      <c r="L2971" s="10">
        <v>8280</v>
      </c>
      <c r="M2971" s="9"/>
      <c r="N2971" s="10">
        <v>8280</v>
      </c>
      <c r="O2971" s="9"/>
      <c r="P2971" s="10"/>
      <c r="Q2971" s="10"/>
      <c r="R2971" s="10"/>
      <c r="S2971" s="7" t="s">
        <v>54</v>
      </c>
      <c r="T2971" s="7" t="s">
        <v>7417</v>
      </c>
      <c r="U2971" s="7"/>
      <c r="V2971" s="7"/>
      <c r="W2971" s="7"/>
      <c r="X2971" s="7"/>
      <c r="Y2971" s="7" t="s">
        <v>7443</v>
      </c>
      <c r="Z2971" s="7" t="s">
        <v>2506</v>
      </c>
      <c r="AA2971" s="7"/>
      <c r="AB2971" s="7"/>
      <c r="AC2971" s="7" t="s">
        <v>7415</v>
      </c>
      <c r="AD2971" s="7" t="s">
        <v>7412</v>
      </c>
      <c r="AE2971" s="7"/>
      <c r="AF2971" s="7"/>
      <c r="AG2971" s="7"/>
      <c r="AH2971" s="7" t="s">
        <v>7412</v>
      </c>
    </row>
    <row r="2972" spans="1:37" ht="9.75" customHeight="1" x14ac:dyDescent="0.2">
      <c r="A2972" s="7" t="s">
        <v>7118</v>
      </c>
      <c r="B2972" s="7" t="s">
        <v>38</v>
      </c>
      <c r="C2972" s="7" t="s">
        <v>1624</v>
      </c>
      <c r="D2972" s="7" t="s">
        <v>7445</v>
      </c>
      <c r="E2972" s="8">
        <v>6</v>
      </c>
      <c r="F2972" s="7"/>
      <c r="G2972" s="7" t="s">
        <v>7446</v>
      </c>
      <c r="H2972" s="9"/>
      <c r="I2972" s="10">
        <v>1611</v>
      </c>
      <c r="J2972" s="9"/>
      <c r="K2972" s="9"/>
      <c r="L2972" s="9"/>
      <c r="M2972" s="9"/>
      <c r="N2972" s="9"/>
      <c r="O2972" s="9"/>
      <c r="P2972" s="9"/>
      <c r="Q2972" s="9"/>
      <c r="R2972" s="9"/>
      <c r="S2972" s="7"/>
      <c r="T2972" s="7"/>
      <c r="U2972" s="7"/>
      <c r="V2972" s="7"/>
      <c r="W2972" s="7"/>
      <c r="X2972" s="7"/>
      <c r="Y2972" s="7" t="s">
        <v>7447</v>
      </c>
      <c r="Z2972" s="7" t="s">
        <v>2655</v>
      </c>
      <c r="AA2972" s="7"/>
      <c r="AB2972" s="7"/>
      <c r="AC2972" s="7" t="s">
        <v>7448</v>
      </c>
      <c r="AD2972" s="7" t="s">
        <v>7449</v>
      </c>
      <c r="AE2972" s="7"/>
      <c r="AF2972" s="7"/>
      <c r="AG2972" s="7"/>
      <c r="AH2972" s="7" t="s">
        <v>7445</v>
      </c>
    </row>
    <row r="2973" spans="1:37" ht="9.75" customHeight="1" x14ac:dyDescent="0.2">
      <c r="A2973" s="7" t="s">
        <v>7118</v>
      </c>
      <c r="B2973" s="7" t="s">
        <v>38</v>
      </c>
      <c r="C2973" s="7" t="s">
        <v>7450</v>
      </c>
      <c r="D2973" s="7" t="s">
        <v>5600</v>
      </c>
      <c r="E2973" s="8">
        <v>6</v>
      </c>
      <c r="F2973" s="7"/>
      <c r="G2973" s="7"/>
      <c r="H2973" s="9"/>
      <c r="I2973" s="10">
        <v>736770</v>
      </c>
      <c r="J2973" s="10">
        <v>705144</v>
      </c>
      <c r="K2973" s="9"/>
      <c r="L2973" s="10">
        <v>585865</v>
      </c>
      <c r="M2973" s="10">
        <v>297765</v>
      </c>
      <c r="N2973" s="10">
        <v>883630</v>
      </c>
      <c r="O2973" s="9"/>
      <c r="P2973" s="10">
        <v>569051</v>
      </c>
      <c r="Q2973" s="10">
        <v>159138</v>
      </c>
      <c r="R2973" s="10">
        <v>728189</v>
      </c>
      <c r="S2973" s="7"/>
      <c r="T2973" s="7"/>
      <c r="U2973" s="7"/>
      <c r="V2973" s="7"/>
      <c r="W2973" s="7"/>
      <c r="X2973" s="7"/>
      <c r="Y2973" s="7" t="s">
        <v>7451</v>
      </c>
      <c r="Z2973" s="7" t="s">
        <v>6612</v>
      </c>
      <c r="AA2973" s="7"/>
      <c r="AB2973" s="7"/>
      <c r="AC2973" s="7" t="s">
        <v>7452</v>
      </c>
      <c r="AD2973" s="7"/>
      <c r="AE2973" s="7"/>
      <c r="AF2973" s="7" t="s">
        <v>113</v>
      </c>
      <c r="AG2973" s="7" t="s">
        <v>297</v>
      </c>
      <c r="AH2973" s="7" t="s">
        <v>5600</v>
      </c>
      <c r="AI2973">
        <v>765711</v>
      </c>
      <c r="AK2973">
        <v>765711</v>
      </c>
    </row>
    <row r="2974" spans="1:37" ht="9.75" customHeight="1" x14ac:dyDescent="0.2">
      <c r="A2974" s="7" t="s">
        <v>7118</v>
      </c>
      <c r="B2974" s="7" t="s">
        <v>38</v>
      </c>
      <c r="C2974" s="7" t="s">
        <v>4924</v>
      </c>
      <c r="D2974" s="7" t="s">
        <v>7453</v>
      </c>
      <c r="E2974" s="8">
        <v>6</v>
      </c>
      <c r="F2974" s="7"/>
      <c r="G2974" s="7"/>
      <c r="H2974" s="9"/>
      <c r="I2974" s="10">
        <v>478691</v>
      </c>
      <c r="J2974" s="9"/>
      <c r="K2974" s="9"/>
      <c r="L2974" s="9"/>
      <c r="M2974" s="9"/>
      <c r="N2974" s="9"/>
      <c r="O2974" s="9"/>
      <c r="P2974" s="9"/>
      <c r="Q2974" s="9"/>
      <c r="R2974" s="9"/>
      <c r="S2974" s="7"/>
      <c r="T2974" s="7"/>
      <c r="U2974" s="7" t="s">
        <v>44</v>
      </c>
      <c r="V2974" s="7" t="s">
        <v>45</v>
      </c>
      <c r="W2974" s="7" t="s">
        <v>46</v>
      </c>
      <c r="X2974" s="7" t="s">
        <v>90</v>
      </c>
      <c r="Y2974" s="7" t="s">
        <v>7451</v>
      </c>
      <c r="Z2974" s="7" t="s">
        <v>6612</v>
      </c>
      <c r="AA2974" s="7"/>
      <c r="AB2974" s="7"/>
      <c r="AC2974" s="7" t="s">
        <v>7454</v>
      </c>
      <c r="AD2974" s="7"/>
      <c r="AE2974" s="7"/>
      <c r="AF2974" s="7"/>
      <c r="AG2974" s="7"/>
      <c r="AH2974" s="7"/>
    </row>
    <row r="2975" spans="1:37" ht="9.75" customHeight="1" x14ac:dyDescent="0.2">
      <c r="A2975" s="7" t="s">
        <v>7455</v>
      </c>
      <c r="B2975" s="7" t="s">
        <v>38</v>
      </c>
      <c r="C2975" s="7" t="s">
        <v>7456</v>
      </c>
      <c r="D2975" s="7" t="s">
        <v>7457</v>
      </c>
      <c r="E2975" s="8">
        <v>4</v>
      </c>
      <c r="F2975" s="7"/>
      <c r="G2975" s="7" t="s">
        <v>7458</v>
      </c>
      <c r="H2975" s="10">
        <v>49861</v>
      </c>
      <c r="I2975" s="10">
        <v>16250</v>
      </c>
      <c r="J2975" s="10">
        <v>6416</v>
      </c>
      <c r="K2975" s="9"/>
      <c r="L2975" s="10">
        <v>7358</v>
      </c>
      <c r="M2975" s="10">
        <v>0</v>
      </c>
      <c r="N2975" s="10">
        <v>7358</v>
      </c>
      <c r="O2975" s="9"/>
      <c r="P2975" s="10"/>
      <c r="Q2975" s="10"/>
      <c r="R2975" s="10"/>
      <c r="S2975" s="7" t="s">
        <v>43</v>
      </c>
      <c r="T2975" s="7"/>
      <c r="U2975" s="7" t="s">
        <v>44</v>
      </c>
      <c r="V2975" s="7" t="s">
        <v>45</v>
      </c>
      <c r="W2975" s="7" t="s">
        <v>130</v>
      </c>
      <c r="X2975" s="7" t="s">
        <v>131</v>
      </c>
      <c r="Y2975" s="7" t="s">
        <v>7459</v>
      </c>
      <c r="Z2975" s="7" t="s">
        <v>63</v>
      </c>
      <c r="AA2975" s="7"/>
      <c r="AB2975" s="7"/>
      <c r="AC2975" s="7" t="s">
        <v>7456</v>
      </c>
      <c r="AD2975" s="7"/>
      <c r="AE2975" s="7"/>
      <c r="AF2975" s="7"/>
      <c r="AG2975" s="7"/>
      <c r="AH2975" s="7" t="s">
        <v>7457</v>
      </c>
      <c r="AI2975">
        <v>6962</v>
      </c>
      <c r="AK2975">
        <v>6962</v>
      </c>
    </row>
    <row r="2976" spans="1:37" ht="9.75" customHeight="1" x14ac:dyDescent="0.2">
      <c r="A2976" s="7" t="s">
        <v>7455</v>
      </c>
      <c r="B2976" s="7" t="s">
        <v>38</v>
      </c>
      <c r="C2976" s="7"/>
      <c r="D2976" s="7" t="s">
        <v>7460</v>
      </c>
      <c r="E2976" s="8">
        <v>4</v>
      </c>
      <c r="F2976" s="7"/>
      <c r="G2976" s="7"/>
      <c r="H2976" s="10">
        <v>4112</v>
      </c>
      <c r="I2976" s="10">
        <v>488</v>
      </c>
      <c r="J2976" s="10">
        <v>421</v>
      </c>
      <c r="K2976" s="9"/>
      <c r="L2976" s="10">
        <v>417</v>
      </c>
      <c r="M2976" s="10">
        <v>0</v>
      </c>
      <c r="N2976" s="10">
        <v>417</v>
      </c>
      <c r="O2976" s="9"/>
      <c r="P2976" s="10"/>
      <c r="Q2976" s="10"/>
      <c r="R2976" s="10"/>
      <c r="S2976" s="7" t="s">
        <v>54</v>
      </c>
      <c r="T2976" s="7" t="s">
        <v>7461</v>
      </c>
      <c r="U2976" s="7"/>
      <c r="V2976" s="7"/>
      <c r="W2976" s="7"/>
      <c r="X2976" s="7"/>
      <c r="Y2976" s="7" t="s">
        <v>7462</v>
      </c>
      <c r="Z2976" s="7" t="s">
        <v>667</v>
      </c>
      <c r="AA2976" s="7"/>
      <c r="AB2976" s="7"/>
      <c r="AC2976" s="7" t="s">
        <v>7456</v>
      </c>
      <c r="AD2976" s="7"/>
      <c r="AE2976" s="7"/>
      <c r="AF2976" s="7"/>
      <c r="AG2976" s="7"/>
      <c r="AH2976" s="7" t="s">
        <v>7457</v>
      </c>
    </row>
    <row r="2977" spans="1:37" ht="9.75" customHeight="1" x14ac:dyDescent="0.2">
      <c r="A2977" s="7" t="s">
        <v>7455</v>
      </c>
      <c r="B2977" s="7" t="s">
        <v>38</v>
      </c>
      <c r="C2977" s="7" t="s">
        <v>7463</v>
      </c>
      <c r="D2977" s="7" t="s">
        <v>7464</v>
      </c>
      <c r="E2977" s="8">
        <v>4</v>
      </c>
      <c r="F2977" s="7"/>
      <c r="G2977" s="7"/>
      <c r="H2977" s="10">
        <v>2011</v>
      </c>
      <c r="I2977" s="10">
        <v>225</v>
      </c>
      <c r="J2977" s="10">
        <v>195</v>
      </c>
      <c r="K2977" s="9"/>
      <c r="L2977" s="10">
        <v>193</v>
      </c>
      <c r="M2977" s="9"/>
      <c r="N2977" s="10">
        <v>193</v>
      </c>
      <c r="O2977" s="9"/>
      <c r="P2977" s="10"/>
      <c r="Q2977" s="10"/>
      <c r="R2977" s="10"/>
      <c r="S2977" s="7" t="s">
        <v>54</v>
      </c>
      <c r="T2977" s="7" t="s">
        <v>7460</v>
      </c>
      <c r="U2977" s="7"/>
      <c r="V2977" s="7"/>
      <c r="W2977" s="7"/>
      <c r="X2977" s="7"/>
      <c r="Y2977" s="7" t="s">
        <v>7465</v>
      </c>
      <c r="Z2977" s="7" t="s">
        <v>667</v>
      </c>
      <c r="AA2977" s="7"/>
      <c r="AB2977" s="7"/>
      <c r="AC2977" s="7" t="s">
        <v>7456</v>
      </c>
      <c r="AD2977" s="7"/>
      <c r="AE2977" s="7" t="s">
        <v>7463</v>
      </c>
      <c r="AF2977" s="7"/>
      <c r="AG2977" s="7"/>
      <c r="AH2977" s="7" t="s">
        <v>7457</v>
      </c>
    </row>
    <row r="2978" spans="1:37" ht="9.75" customHeight="1" x14ac:dyDescent="0.2">
      <c r="A2978" s="7" t="s">
        <v>7455</v>
      </c>
      <c r="B2978" s="7" t="s">
        <v>38</v>
      </c>
      <c r="C2978" s="7" t="s">
        <v>7466</v>
      </c>
      <c r="D2978" s="7" t="s">
        <v>7467</v>
      </c>
      <c r="E2978" s="8">
        <v>4</v>
      </c>
      <c r="F2978" s="7"/>
      <c r="G2978" s="7"/>
      <c r="H2978" s="10">
        <v>926</v>
      </c>
      <c r="I2978" s="10">
        <v>123</v>
      </c>
      <c r="J2978" s="10">
        <v>106</v>
      </c>
      <c r="K2978" s="9"/>
      <c r="L2978" s="10">
        <v>105</v>
      </c>
      <c r="M2978" s="9"/>
      <c r="N2978" s="10">
        <v>105</v>
      </c>
      <c r="O2978" s="9"/>
      <c r="P2978" s="10"/>
      <c r="Q2978" s="10"/>
      <c r="R2978" s="10"/>
      <c r="S2978" s="7" t="s">
        <v>54</v>
      </c>
      <c r="T2978" s="7" t="s">
        <v>7460</v>
      </c>
      <c r="U2978" s="7"/>
      <c r="V2978" s="7"/>
      <c r="W2978" s="7"/>
      <c r="X2978" s="7"/>
      <c r="Y2978" s="7" t="s">
        <v>7468</v>
      </c>
      <c r="Z2978" s="7" t="s">
        <v>667</v>
      </c>
      <c r="AA2978" s="7"/>
      <c r="AB2978" s="7"/>
      <c r="AC2978" s="7" t="s">
        <v>7456</v>
      </c>
      <c r="AD2978" s="7"/>
      <c r="AE2978" s="7" t="s">
        <v>7466</v>
      </c>
      <c r="AF2978" s="7"/>
      <c r="AG2978" s="7"/>
      <c r="AH2978" s="7" t="s">
        <v>7457</v>
      </c>
    </row>
    <row r="2979" spans="1:37" ht="9.75" customHeight="1" x14ac:dyDescent="0.2">
      <c r="A2979" s="7" t="s">
        <v>7455</v>
      </c>
      <c r="B2979" s="7" t="s">
        <v>38</v>
      </c>
      <c r="C2979" s="7" t="s">
        <v>7469</v>
      </c>
      <c r="D2979" s="7" t="s">
        <v>7470</v>
      </c>
      <c r="E2979" s="8">
        <v>6</v>
      </c>
      <c r="F2979" s="7"/>
      <c r="G2979" s="7"/>
      <c r="H2979" s="10">
        <v>1175</v>
      </c>
      <c r="I2979" s="10">
        <v>140</v>
      </c>
      <c r="J2979" s="10">
        <v>120</v>
      </c>
      <c r="K2979" s="9"/>
      <c r="L2979" s="10">
        <v>119</v>
      </c>
      <c r="M2979" s="9"/>
      <c r="N2979" s="10">
        <v>119</v>
      </c>
      <c r="O2979" s="9"/>
      <c r="P2979" s="10"/>
      <c r="Q2979" s="10"/>
      <c r="R2979" s="10"/>
      <c r="S2979" s="7" t="s">
        <v>54</v>
      </c>
      <c r="T2979" s="7" t="s">
        <v>7460</v>
      </c>
      <c r="U2979" s="7"/>
      <c r="V2979" s="7"/>
      <c r="W2979" s="7"/>
      <c r="X2979" s="7"/>
      <c r="Y2979" s="7" t="s">
        <v>7471</v>
      </c>
      <c r="Z2979" s="7" t="s">
        <v>714</v>
      </c>
      <c r="AA2979" s="7"/>
      <c r="AB2979" s="7"/>
      <c r="AC2979" s="7" t="s">
        <v>7456</v>
      </c>
      <c r="AD2979" s="7"/>
      <c r="AE2979" s="7" t="s">
        <v>7469</v>
      </c>
      <c r="AF2979" s="7"/>
      <c r="AG2979" s="7"/>
      <c r="AH2979" s="7" t="s">
        <v>7457</v>
      </c>
    </row>
    <row r="2980" spans="1:37" ht="9.75" customHeight="1" x14ac:dyDescent="0.2">
      <c r="A2980" s="7" t="s">
        <v>7455</v>
      </c>
      <c r="B2980" s="7" t="s">
        <v>38</v>
      </c>
      <c r="C2980" s="7"/>
      <c r="D2980" s="7" t="s">
        <v>7472</v>
      </c>
      <c r="E2980" s="8">
        <v>4</v>
      </c>
      <c r="F2980" s="7"/>
      <c r="G2980" s="7"/>
      <c r="H2980" s="10">
        <v>45749</v>
      </c>
      <c r="I2980" s="10">
        <v>15762</v>
      </c>
      <c r="J2980" s="10">
        <v>5995</v>
      </c>
      <c r="K2980" s="9"/>
      <c r="L2980" s="10">
        <v>6941</v>
      </c>
      <c r="M2980" s="10">
        <v>0</v>
      </c>
      <c r="N2980" s="10">
        <v>6941</v>
      </c>
      <c r="O2980" s="9"/>
      <c r="P2980" s="10"/>
      <c r="Q2980" s="10"/>
      <c r="R2980" s="10"/>
      <c r="S2980" s="7" t="s">
        <v>54</v>
      </c>
      <c r="T2980" s="7" t="s">
        <v>7461</v>
      </c>
      <c r="U2980" s="7" t="s">
        <v>44</v>
      </c>
      <c r="V2980" s="7" t="s">
        <v>45</v>
      </c>
      <c r="W2980" s="7" t="s">
        <v>130</v>
      </c>
      <c r="X2980" s="7"/>
      <c r="Y2980" s="7" t="s">
        <v>7473</v>
      </c>
      <c r="Z2980" s="7" t="s">
        <v>714</v>
      </c>
      <c r="AA2980" s="7"/>
      <c r="AB2980" s="7"/>
      <c r="AC2980" s="7" t="s">
        <v>7456</v>
      </c>
      <c r="AD2980" s="7"/>
      <c r="AE2980" s="7"/>
      <c r="AF2980" s="7"/>
      <c r="AG2980" s="7"/>
      <c r="AH2980" s="7" t="s">
        <v>7457</v>
      </c>
    </row>
    <row r="2981" spans="1:37" ht="9.75" customHeight="1" x14ac:dyDescent="0.2">
      <c r="A2981" s="7" t="s">
        <v>7455</v>
      </c>
      <c r="B2981" s="7" t="s">
        <v>38</v>
      </c>
      <c r="C2981" s="7" t="s">
        <v>7474</v>
      </c>
      <c r="D2981" s="7" t="s">
        <v>7475</v>
      </c>
      <c r="E2981" s="8">
        <v>4</v>
      </c>
      <c r="F2981" s="7"/>
      <c r="G2981" s="7" t="s">
        <v>7476</v>
      </c>
      <c r="H2981" s="10">
        <v>24513</v>
      </c>
      <c r="I2981" s="10">
        <v>2898</v>
      </c>
      <c r="J2981" s="10">
        <v>2954</v>
      </c>
      <c r="K2981" s="9"/>
      <c r="L2981" s="10">
        <v>2931</v>
      </c>
      <c r="M2981" s="9"/>
      <c r="N2981" s="10">
        <v>2931</v>
      </c>
      <c r="O2981" s="9"/>
      <c r="P2981" s="10"/>
      <c r="Q2981" s="10"/>
      <c r="R2981" s="10"/>
      <c r="S2981" s="7" t="s">
        <v>54</v>
      </c>
      <c r="T2981" s="7" t="s">
        <v>7472</v>
      </c>
      <c r="U2981" s="7" t="s">
        <v>44</v>
      </c>
      <c r="V2981" s="7" t="s">
        <v>45</v>
      </c>
      <c r="W2981" s="7" t="s">
        <v>130</v>
      </c>
      <c r="X2981" s="7"/>
      <c r="Y2981" s="7" t="s">
        <v>7477</v>
      </c>
      <c r="Z2981" s="7" t="s">
        <v>765</v>
      </c>
      <c r="AA2981" s="7"/>
      <c r="AB2981" s="7"/>
      <c r="AC2981" s="7" t="s">
        <v>7456</v>
      </c>
      <c r="AD2981" s="7"/>
      <c r="AE2981" s="7" t="s">
        <v>7474</v>
      </c>
      <c r="AF2981" s="7"/>
      <c r="AG2981" s="7"/>
      <c r="AH2981" s="7" t="s">
        <v>7457</v>
      </c>
    </row>
    <row r="2982" spans="1:37" ht="9.75" customHeight="1" x14ac:dyDescent="0.2">
      <c r="A2982" s="7" t="s">
        <v>7455</v>
      </c>
      <c r="B2982" s="7" t="s">
        <v>38</v>
      </c>
      <c r="C2982" s="7"/>
      <c r="D2982" s="7" t="s">
        <v>7478</v>
      </c>
      <c r="E2982" s="8">
        <v>4</v>
      </c>
      <c r="F2982" s="7"/>
      <c r="G2982" s="7"/>
      <c r="H2982" s="10">
        <v>6734</v>
      </c>
      <c r="I2982" s="10">
        <v>12744</v>
      </c>
      <c r="J2982" s="10">
        <v>2904</v>
      </c>
      <c r="K2982" s="9"/>
      <c r="L2982" s="10">
        <v>3857</v>
      </c>
      <c r="M2982" s="9"/>
      <c r="N2982" s="10">
        <v>3857</v>
      </c>
      <c r="O2982" s="9"/>
      <c r="P2982" s="10"/>
      <c r="Q2982" s="10"/>
      <c r="R2982" s="10"/>
      <c r="S2982" s="7" t="s">
        <v>54</v>
      </c>
      <c r="T2982" s="7" t="s">
        <v>7472</v>
      </c>
      <c r="U2982" s="7"/>
      <c r="V2982" s="7"/>
      <c r="W2982" s="7"/>
      <c r="X2982" s="7"/>
      <c r="Y2982" s="7" t="s">
        <v>7479</v>
      </c>
      <c r="Z2982" s="7" t="s">
        <v>817</v>
      </c>
      <c r="AA2982" s="7"/>
      <c r="AB2982" s="7"/>
      <c r="AC2982" s="7" t="s">
        <v>7456</v>
      </c>
      <c r="AD2982" s="7"/>
      <c r="AE2982" s="7"/>
      <c r="AF2982" s="7"/>
      <c r="AG2982" s="7"/>
      <c r="AH2982" s="7" t="s">
        <v>7457</v>
      </c>
    </row>
    <row r="2983" spans="1:37" ht="9.75" customHeight="1" x14ac:dyDescent="0.2">
      <c r="A2983" s="7" t="s">
        <v>7455</v>
      </c>
      <c r="B2983" s="7" t="s">
        <v>38</v>
      </c>
      <c r="C2983" s="7"/>
      <c r="D2983" s="7" t="s">
        <v>7480</v>
      </c>
      <c r="E2983" s="8">
        <v>4</v>
      </c>
      <c r="F2983" s="7"/>
      <c r="G2983" s="7"/>
      <c r="H2983" s="10">
        <v>476</v>
      </c>
      <c r="I2983" s="10">
        <v>94</v>
      </c>
      <c r="J2983" s="10">
        <v>108</v>
      </c>
      <c r="K2983" s="9"/>
      <c r="L2983" s="10">
        <v>117</v>
      </c>
      <c r="M2983" s="9"/>
      <c r="N2983" s="10">
        <v>117</v>
      </c>
      <c r="O2983" s="9"/>
      <c r="P2983" s="10"/>
      <c r="Q2983" s="10"/>
      <c r="R2983" s="10"/>
      <c r="S2983" s="7" t="s">
        <v>54</v>
      </c>
      <c r="T2983" s="7" t="s">
        <v>7472</v>
      </c>
      <c r="U2983" s="7"/>
      <c r="V2983" s="7"/>
      <c r="W2983" s="7"/>
      <c r="X2983" s="7"/>
      <c r="Y2983" s="7" t="s">
        <v>7481</v>
      </c>
      <c r="Z2983" s="7" t="s">
        <v>817</v>
      </c>
      <c r="AA2983" s="7"/>
      <c r="AB2983" s="7"/>
      <c r="AC2983" s="7" t="s">
        <v>7456</v>
      </c>
      <c r="AD2983" s="7"/>
      <c r="AE2983" s="7"/>
      <c r="AF2983" s="7"/>
      <c r="AG2983" s="7"/>
      <c r="AH2983" s="7" t="s">
        <v>7457</v>
      </c>
    </row>
    <row r="2984" spans="1:37" ht="9.75" customHeight="1" x14ac:dyDescent="0.2">
      <c r="A2984" s="7" t="s">
        <v>7455</v>
      </c>
      <c r="B2984" s="7" t="s">
        <v>38</v>
      </c>
      <c r="C2984" s="7"/>
      <c r="D2984" s="7" t="s">
        <v>7482</v>
      </c>
      <c r="E2984" s="8">
        <v>4</v>
      </c>
      <c r="F2984" s="7"/>
      <c r="G2984" s="7"/>
      <c r="H2984" s="10">
        <v>83</v>
      </c>
      <c r="I2984" s="10">
        <v>26</v>
      </c>
      <c r="J2984" s="10">
        <v>29</v>
      </c>
      <c r="K2984" s="9"/>
      <c r="L2984" s="10">
        <v>36</v>
      </c>
      <c r="M2984" s="9"/>
      <c r="N2984" s="10">
        <v>36</v>
      </c>
      <c r="O2984" s="9"/>
      <c r="P2984" s="10"/>
      <c r="Q2984" s="10"/>
      <c r="R2984" s="10"/>
      <c r="S2984" s="7" t="s">
        <v>54</v>
      </c>
      <c r="T2984" s="7" t="s">
        <v>7472</v>
      </c>
      <c r="U2984" s="7"/>
      <c r="V2984" s="7"/>
      <c r="W2984" s="7"/>
      <c r="X2984" s="7"/>
      <c r="Y2984" s="7" t="s">
        <v>7483</v>
      </c>
      <c r="Z2984" s="7" t="s">
        <v>817</v>
      </c>
      <c r="AA2984" s="7"/>
      <c r="AB2984" s="7"/>
      <c r="AC2984" s="7" t="s">
        <v>7456</v>
      </c>
      <c r="AD2984" s="7"/>
      <c r="AE2984" s="7"/>
      <c r="AF2984" s="7"/>
      <c r="AG2984" s="7"/>
      <c r="AH2984" s="7" t="s">
        <v>7457</v>
      </c>
    </row>
    <row r="2985" spans="1:37" ht="9.75" customHeight="1" x14ac:dyDescent="0.2">
      <c r="A2985" s="7" t="s">
        <v>7455</v>
      </c>
      <c r="B2985" s="7" t="s">
        <v>38</v>
      </c>
      <c r="C2985" s="7" t="s">
        <v>7484</v>
      </c>
      <c r="D2985" s="7" t="s">
        <v>7485</v>
      </c>
      <c r="E2985" s="8">
        <v>6</v>
      </c>
      <c r="F2985" s="7"/>
      <c r="G2985" s="7" t="s">
        <v>7486</v>
      </c>
      <c r="H2985" s="10">
        <v>421</v>
      </c>
      <c r="I2985" s="10">
        <v>227</v>
      </c>
      <c r="J2985" s="10">
        <v>226</v>
      </c>
      <c r="K2985" s="9"/>
      <c r="L2985" s="10">
        <v>209</v>
      </c>
      <c r="M2985" s="10">
        <v>0</v>
      </c>
      <c r="N2985" s="10">
        <v>209</v>
      </c>
      <c r="O2985" s="9"/>
      <c r="P2985" s="10"/>
      <c r="Q2985" s="10"/>
      <c r="R2985" s="10"/>
      <c r="S2985" s="7" t="s">
        <v>43</v>
      </c>
      <c r="T2985" s="7"/>
      <c r="U2985" s="7" t="s">
        <v>44</v>
      </c>
      <c r="V2985" s="7" t="s">
        <v>45</v>
      </c>
      <c r="W2985" s="7" t="s">
        <v>46</v>
      </c>
      <c r="X2985" s="7" t="s">
        <v>90</v>
      </c>
      <c r="Y2985" s="7" t="s">
        <v>7487</v>
      </c>
      <c r="Z2985" s="7" t="s">
        <v>855</v>
      </c>
      <c r="AA2985" s="7"/>
      <c r="AB2985" s="7"/>
      <c r="AC2985" s="7" t="s">
        <v>7484</v>
      </c>
      <c r="AD2985" s="7" t="s">
        <v>7488</v>
      </c>
      <c r="AE2985" s="7"/>
      <c r="AF2985" s="7"/>
      <c r="AG2985" s="7"/>
      <c r="AH2985" s="7" t="s">
        <v>7485</v>
      </c>
      <c r="AI2985">
        <v>195</v>
      </c>
      <c r="AK2985">
        <v>195</v>
      </c>
    </row>
    <row r="2986" spans="1:37" ht="9.75" customHeight="1" x14ac:dyDescent="0.2">
      <c r="A2986" s="7" t="s">
        <v>7455</v>
      </c>
      <c r="B2986" s="7" t="s">
        <v>38</v>
      </c>
      <c r="C2986" s="7"/>
      <c r="D2986" s="7" t="s">
        <v>7489</v>
      </c>
      <c r="E2986" s="8">
        <v>6</v>
      </c>
      <c r="F2986" s="7"/>
      <c r="G2986" s="7" t="s">
        <v>7490</v>
      </c>
      <c r="H2986" s="10">
        <v>421</v>
      </c>
      <c r="I2986" s="10">
        <v>227</v>
      </c>
      <c r="J2986" s="10">
        <v>226</v>
      </c>
      <c r="K2986" s="9"/>
      <c r="L2986" s="10">
        <v>209</v>
      </c>
      <c r="M2986" s="9"/>
      <c r="N2986" s="10">
        <v>209</v>
      </c>
      <c r="O2986" s="9"/>
      <c r="P2986" s="10"/>
      <c r="Q2986" s="10"/>
      <c r="R2986" s="10"/>
      <c r="S2986" s="7" t="s">
        <v>54</v>
      </c>
      <c r="T2986" s="7" t="s">
        <v>7491</v>
      </c>
      <c r="U2986" s="7" t="s">
        <v>44</v>
      </c>
      <c r="V2986" s="7" t="s">
        <v>45</v>
      </c>
      <c r="W2986" s="7" t="s">
        <v>46</v>
      </c>
      <c r="X2986" s="7" t="s">
        <v>90</v>
      </c>
      <c r="Y2986" s="7" t="s">
        <v>7492</v>
      </c>
      <c r="Z2986" s="7" t="s">
        <v>862</v>
      </c>
      <c r="AA2986" s="7"/>
      <c r="AB2986" s="7"/>
      <c r="AC2986" s="7" t="s">
        <v>7484</v>
      </c>
      <c r="AD2986" s="7" t="s">
        <v>7488</v>
      </c>
      <c r="AE2986" s="7"/>
      <c r="AF2986" s="7"/>
      <c r="AG2986" s="7"/>
      <c r="AH2986" s="7" t="s">
        <v>7485</v>
      </c>
    </row>
    <row r="2987" spans="1:37" ht="9.75" customHeight="1" x14ac:dyDescent="0.2">
      <c r="A2987" s="7" t="s">
        <v>7455</v>
      </c>
      <c r="B2987" s="7" t="s">
        <v>38</v>
      </c>
      <c r="C2987" s="7" t="s">
        <v>7493</v>
      </c>
      <c r="D2987" s="7" t="s">
        <v>7494</v>
      </c>
      <c r="E2987" s="8">
        <v>4</v>
      </c>
      <c r="F2987" s="7"/>
      <c r="G2987" s="7" t="s">
        <v>7495</v>
      </c>
      <c r="H2987" s="10">
        <v>1851886</v>
      </c>
      <c r="I2987" s="10">
        <v>283972</v>
      </c>
      <c r="J2987" s="10">
        <v>376830</v>
      </c>
      <c r="K2987" s="9"/>
      <c r="L2987" s="10">
        <v>455822</v>
      </c>
      <c r="M2987" s="10">
        <v>0</v>
      </c>
      <c r="N2987" s="10">
        <v>455822</v>
      </c>
      <c r="O2987" s="9"/>
      <c r="P2987" s="10"/>
      <c r="Q2987" s="10"/>
      <c r="R2987" s="10"/>
      <c r="S2987" s="7" t="s">
        <v>43</v>
      </c>
      <c r="T2987" s="7"/>
      <c r="U2987" s="7"/>
      <c r="V2987" s="7"/>
      <c r="W2987" s="7"/>
      <c r="X2987" s="7"/>
      <c r="Y2987" s="7" t="s">
        <v>7496</v>
      </c>
      <c r="Z2987" s="7" t="s">
        <v>891</v>
      </c>
      <c r="AA2987" s="7"/>
      <c r="AB2987" s="7"/>
      <c r="AC2987" s="7" t="s">
        <v>7493</v>
      </c>
      <c r="AD2987" s="7"/>
      <c r="AE2987" s="7"/>
      <c r="AF2987" s="7"/>
      <c r="AG2987" s="7"/>
      <c r="AH2987" s="7" t="s">
        <v>7494</v>
      </c>
      <c r="AI2987">
        <v>431069</v>
      </c>
      <c r="AK2987">
        <v>431069</v>
      </c>
    </row>
    <row r="2988" spans="1:37" ht="9.75" customHeight="1" x14ac:dyDescent="0.2">
      <c r="A2988" s="7" t="s">
        <v>7455</v>
      </c>
      <c r="B2988" s="7" t="s">
        <v>38</v>
      </c>
      <c r="C2988" s="7"/>
      <c r="D2988" s="7" t="s">
        <v>7497</v>
      </c>
      <c r="E2988" s="8">
        <v>4</v>
      </c>
      <c r="F2988" s="7"/>
      <c r="G2988" s="7" t="s">
        <v>7498</v>
      </c>
      <c r="H2988" s="10">
        <v>77785</v>
      </c>
      <c r="I2988" s="10">
        <v>14200</v>
      </c>
      <c r="J2988" s="10">
        <v>20556</v>
      </c>
      <c r="K2988" s="9"/>
      <c r="L2988" s="10">
        <v>50282</v>
      </c>
      <c r="M2988" s="9"/>
      <c r="N2988" s="10">
        <v>50282</v>
      </c>
      <c r="O2988" s="9"/>
      <c r="P2988" s="10"/>
      <c r="Q2988" s="10"/>
      <c r="R2988" s="10"/>
      <c r="S2988" s="7" t="s">
        <v>54</v>
      </c>
      <c r="T2988" s="7" t="s">
        <v>7499</v>
      </c>
      <c r="U2988" s="7"/>
      <c r="V2988" s="7"/>
      <c r="W2988" s="7"/>
      <c r="X2988" s="7"/>
      <c r="Y2988" s="7" t="s">
        <v>7500</v>
      </c>
      <c r="Z2988" s="7" t="s">
        <v>4679</v>
      </c>
      <c r="AA2988" s="7"/>
      <c r="AB2988" s="7"/>
      <c r="AC2988" s="7" t="s">
        <v>7493</v>
      </c>
      <c r="AD2988" s="7"/>
      <c r="AE2988" s="7"/>
      <c r="AF2988" s="7"/>
      <c r="AG2988" s="7"/>
      <c r="AH2988" s="7" t="s">
        <v>7494</v>
      </c>
    </row>
    <row r="2989" spans="1:37" ht="9.75" customHeight="1" x14ac:dyDescent="0.2">
      <c r="A2989" s="7" t="s">
        <v>7455</v>
      </c>
      <c r="B2989" s="7" t="s">
        <v>38</v>
      </c>
      <c r="C2989" s="7"/>
      <c r="D2989" s="7" t="s">
        <v>7501</v>
      </c>
      <c r="E2989" s="8">
        <v>4</v>
      </c>
      <c r="F2989" s="7"/>
      <c r="G2989" s="7"/>
      <c r="H2989" s="10">
        <v>13448</v>
      </c>
      <c r="I2989" s="10">
        <v>3364</v>
      </c>
      <c r="J2989" s="10">
        <v>4067</v>
      </c>
      <c r="K2989" s="9"/>
      <c r="L2989" s="10">
        <v>3236</v>
      </c>
      <c r="M2989" s="9"/>
      <c r="N2989" s="10">
        <v>3236</v>
      </c>
      <c r="O2989" s="9"/>
      <c r="P2989" s="10"/>
      <c r="Q2989" s="10"/>
      <c r="R2989" s="10"/>
      <c r="S2989" s="7" t="s">
        <v>54</v>
      </c>
      <c r="T2989" s="7" t="s">
        <v>7497</v>
      </c>
      <c r="U2989" s="7"/>
      <c r="V2989" s="7"/>
      <c r="W2989" s="7"/>
      <c r="X2989" s="7"/>
      <c r="Y2989" s="7" t="s">
        <v>7502</v>
      </c>
      <c r="Z2989" s="7" t="s">
        <v>4679</v>
      </c>
      <c r="AA2989" s="7"/>
      <c r="AB2989" s="7"/>
      <c r="AC2989" s="7" t="s">
        <v>7493</v>
      </c>
      <c r="AD2989" s="7"/>
      <c r="AE2989" s="7"/>
      <c r="AF2989" s="7"/>
      <c r="AG2989" s="7"/>
      <c r="AH2989" s="7" t="s">
        <v>7494</v>
      </c>
    </row>
    <row r="2990" spans="1:37" ht="9.75" customHeight="1" x14ac:dyDescent="0.2">
      <c r="A2990" s="7" t="s">
        <v>7455</v>
      </c>
      <c r="B2990" s="7" t="s">
        <v>38</v>
      </c>
      <c r="C2990" s="7"/>
      <c r="D2990" s="7" t="s">
        <v>7503</v>
      </c>
      <c r="E2990" s="8">
        <v>6</v>
      </c>
      <c r="F2990" s="7"/>
      <c r="G2990" s="7" t="s">
        <v>7504</v>
      </c>
      <c r="H2990" s="9"/>
      <c r="I2990" s="9"/>
      <c r="J2990" s="9"/>
      <c r="K2990" s="9"/>
      <c r="L2990" s="10">
        <v>33035</v>
      </c>
      <c r="M2990" s="9"/>
      <c r="N2990" s="10">
        <v>33035</v>
      </c>
      <c r="O2990" s="9"/>
      <c r="P2990" s="10"/>
      <c r="Q2990" s="10"/>
      <c r="R2990" s="10"/>
      <c r="S2990" s="7" t="s">
        <v>54</v>
      </c>
      <c r="T2990" s="7" t="s">
        <v>7497</v>
      </c>
      <c r="U2990" s="7"/>
      <c r="V2990" s="7"/>
      <c r="W2990" s="7"/>
      <c r="X2990" s="7"/>
      <c r="Y2990" s="7" t="s">
        <v>7505</v>
      </c>
      <c r="Z2990" s="7" t="s">
        <v>894</v>
      </c>
      <c r="AA2990" s="7"/>
      <c r="AB2990" s="7"/>
      <c r="AC2990" s="7" t="s">
        <v>7493</v>
      </c>
      <c r="AD2990" s="7" t="s">
        <v>7506</v>
      </c>
      <c r="AE2990" s="7"/>
      <c r="AF2990" s="7"/>
      <c r="AG2990" s="7"/>
      <c r="AH2990" s="7" t="s">
        <v>7494</v>
      </c>
    </row>
    <row r="2991" spans="1:37" ht="9.75" customHeight="1" x14ac:dyDescent="0.2">
      <c r="A2991" s="7" t="s">
        <v>7455</v>
      </c>
      <c r="B2991" s="7" t="s">
        <v>38</v>
      </c>
      <c r="C2991" s="7"/>
      <c r="D2991" s="7" t="s">
        <v>7507</v>
      </c>
      <c r="E2991" s="8">
        <v>6</v>
      </c>
      <c r="F2991" s="7"/>
      <c r="G2991" s="7" t="s">
        <v>7508</v>
      </c>
      <c r="H2991" s="9"/>
      <c r="I2991" s="9"/>
      <c r="J2991" s="9"/>
      <c r="K2991" s="9"/>
      <c r="L2991" s="10">
        <v>3154</v>
      </c>
      <c r="M2991" s="9"/>
      <c r="N2991" s="10">
        <v>3154</v>
      </c>
      <c r="O2991" s="9"/>
      <c r="P2991" s="10"/>
      <c r="Q2991" s="10"/>
      <c r="R2991" s="10"/>
      <c r="S2991" s="7" t="s">
        <v>54</v>
      </c>
      <c r="T2991" s="7" t="s">
        <v>7497</v>
      </c>
      <c r="U2991" s="7"/>
      <c r="V2991" s="7"/>
      <c r="W2991" s="7"/>
      <c r="X2991" s="7"/>
      <c r="Y2991" s="7" t="s">
        <v>7509</v>
      </c>
      <c r="Z2991" s="7" t="s">
        <v>894</v>
      </c>
      <c r="AA2991" s="7"/>
      <c r="AB2991" s="7"/>
      <c r="AC2991" s="7" t="s">
        <v>7493</v>
      </c>
      <c r="AD2991" s="7" t="s">
        <v>7506</v>
      </c>
      <c r="AE2991" s="7"/>
      <c r="AF2991" s="7"/>
      <c r="AG2991" s="7"/>
      <c r="AH2991" s="7" t="s">
        <v>7494</v>
      </c>
    </row>
    <row r="2992" spans="1:37" ht="9.75" customHeight="1" x14ac:dyDescent="0.2">
      <c r="A2992" s="7" t="s">
        <v>7455</v>
      </c>
      <c r="B2992" s="7" t="s">
        <v>38</v>
      </c>
      <c r="C2992" s="7"/>
      <c r="D2992" s="7" t="s">
        <v>7510</v>
      </c>
      <c r="E2992" s="8">
        <v>6</v>
      </c>
      <c r="F2992" s="7"/>
      <c r="G2992" s="7" t="s">
        <v>7511</v>
      </c>
      <c r="H2992" s="9"/>
      <c r="I2992" s="9"/>
      <c r="J2992" s="9"/>
      <c r="K2992" s="9"/>
      <c r="L2992" s="10">
        <v>5236</v>
      </c>
      <c r="M2992" s="9"/>
      <c r="N2992" s="10">
        <v>5236</v>
      </c>
      <c r="O2992" s="9"/>
      <c r="P2992" s="10"/>
      <c r="Q2992" s="10"/>
      <c r="R2992" s="10"/>
      <c r="S2992" s="7" t="s">
        <v>54</v>
      </c>
      <c r="T2992" s="7" t="s">
        <v>7497</v>
      </c>
      <c r="U2992" s="7"/>
      <c r="V2992" s="7"/>
      <c r="W2992" s="7"/>
      <c r="X2992" s="7"/>
      <c r="Y2992" s="7" t="s">
        <v>7512</v>
      </c>
      <c r="Z2992" s="7" t="s">
        <v>894</v>
      </c>
      <c r="AA2992" s="7"/>
      <c r="AB2992" s="7"/>
      <c r="AC2992" s="7" t="s">
        <v>7493</v>
      </c>
      <c r="AD2992" s="7" t="s">
        <v>7506</v>
      </c>
      <c r="AE2992" s="7"/>
      <c r="AF2992" s="7"/>
      <c r="AG2992" s="7"/>
      <c r="AH2992" s="7" t="s">
        <v>7494</v>
      </c>
    </row>
    <row r="2993" spans="1:34" ht="9.75" customHeight="1" x14ac:dyDescent="0.2">
      <c r="A2993" s="7" t="s">
        <v>7455</v>
      </c>
      <c r="B2993" s="7" t="s">
        <v>38</v>
      </c>
      <c r="C2993" s="7"/>
      <c r="D2993" s="7" t="s">
        <v>7513</v>
      </c>
      <c r="E2993" s="8">
        <v>4</v>
      </c>
      <c r="F2993" s="7"/>
      <c r="G2993" s="7" t="s">
        <v>7514</v>
      </c>
      <c r="H2993" s="9"/>
      <c r="I2993" s="9"/>
      <c r="J2993" s="9"/>
      <c r="K2993" s="9"/>
      <c r="L2993" s="10">
        <v>4791</v>
      </c>
      <c r="M2993" s="9"/>
      <c r="N2993" s="10">
        <v>4791</v>
      </c>
      <c r="O2993" s="9"/>
      <c r="P2993" s="10"/>
      <c r="Q2993" s="10"/>
      <c r="R2993" s="10"/>
      <c r="S2993" s="7" t="s">
        <v>54</v>
      </c>
      <c r="T2993" s="7" t="s">
        <v>7497</v>
      </c>
      <c r="U2993" s="7"/>
      <c r="V2993" s="7"/>
      <c r="W2993" s="7"/>
      <c r="X2993" s="7"/>
      <c r="Y2993" s="7" t="s">
        <v>7515</v>
      </c>
      <c r="Z2993" s="7" t="s">
        <v>894</v>
      </c>
      <c r="AA2993" s="7"/>
      <c r="AB2993" s="7"/>
      <c r="AC2993" s="7" t="s">
        <v>7493</v>
      </c>
      <c r="AD2993" s="7" t="s">
        <v>7506</v>
      </c>
      <c r="AE2993" s="7"/>
      <c r="AF2993" s="7"/>
      <c r="AG2993" s="7"/>
      <c r="AH2993" s="7" t="s">
        <v>7494</v>
      </c>
    </row>
    <row r="2994" spans="1:34" ht="9.75" customHeight="1" x14ac:dyDescent="0.2">
      <c r="A2994" s="7" t="s">
        <v>7455</v>
      </c>
      <c r="B2994" s="7" t="s">
        <v>38</v>
      </c>
      <c r="C2994" s="7"/>
      <c r="D2994" s="7" t="s">
        <v>7516</v>
      </c>
      <c r="E2994" s="8">
        <v>6</v>
      </c>
      <c r="F2994" s="7"/>
      <c r="G2994" s="7" t="s">
        <v>7517</v>
      </c>
      <c r="H2994" s="9"/>
      <c r="I2994" s="9"/>
      <c r="J2994" s="9"/>
      <c r="K2994" s="9"/>
      <c r="L2994" s="10">
        <v>830</v>
      </c>
      <c r="M2994" s="9"/>
      <c r="N2994" s="10">
        <v>830</v>
      </c>
      <c r="O2994" s="9"/>
      <c r="P2994" s="10"/>
      <c r="Q2994" s="10"/>
      <c r="R2994" s="10"/>
      <c r="S2994" s="7" t="s">
        <v>54</v>
      </c>
      <c r="T2994" s="7" t="s">
        <v>7497</v>
      </c>
      <c r="U2994" s="7"/>
      <c r="V2994" s="7"/>
      <c r="W2994" s="7"/>
      <c r="X2994" s="7"/>
      <c r="Y2994" s="7" t="s">
        <v>7518</v>
      </c>
      <c r="Z2994" s="7" t="s">
        <v>894</v>
      </c>
      <c r="AA2994" s="7"/>
      <c r="AB2994" s="7"/>
      <c r="AC2994" s="7" t="s">
        <v>7493</v>
      </c>
      <c r="AD2994" s="7" t="s">
        <v>7506</v>
      </c>
      <c r="AE2994" s="7"/>
      <c r="AF2994" s="7"/>
      <c r="AG2994" s="7"/>
      <c r="AH2994" s="7" t="s">
        <v>7494</v>
      </c>
    </row>
    <row r="2995" spans="1:34" ht="9.75" customHeight="1" x14ac:dyDescent="0.2">
      <c r="A2995" s="7" t="s">
        <v>7455</v>
      </c>
      <c r="B2995" s="7" t="s">
        <v>38</v>
      </c>
      <c r="C2995" s="7"/>
      <c r="D2995" s="7" t="s">
        <v>7519</v>
      </c>
      <c r="E2995" s="8">
        <v>4</v>
      </c>
      <c r="F2995" s="7"/>
      <c r="G2995" s="7" t="s">
        <v>7520</v>
      </c>
      <c r="H2995" s="10">
        <v>0</v>
      </c>
      <c r="I2995" s="10">
        <v>9085</v>
      </c>
      <c r="J2995" s="9"/>
      <c r="K2995" s="9"/>
      <c r="L2995" s="9"/>
      <c r="M2995" s="9"/>
      <c r="N2995" s="9"/>
      <c r="O2995" s="9"/>
      <c r="P2995" s="9"/>
      <c r="Q2995" s="9"/>
      <c r="R2995" s="9"/>
      <c r="S2995" s="7" t="s">
        <v>54</v>
      </c>
      <c r="T2995" s="7" t="s">
        <v>7499</v>
      </c>
      <c r="U2995" s="7"/>
      <c r="V2995" s="7"/>
      <c r="W2995" s="7"/>
      <c r="X2995" s="7"/>
      <c r="Y2995" s="7" t="s">
        <v>7521</v>
      </c>
      <c r="Z2995" s="7" t="s">
        <v>894</v>
      </c>
      <c r="AA2995" s="7"/>
      <c r="AB2995" s="7"/>
      <c r="AC2995" s="7" t="s">
        <v>7493</v>
      </c>
      <c r="AD2995" s="7"/>
      <c r="AE2995" s="7"/>
      <c r="AF2995" s="7"/>
      <c r="AG2995" s="7"/>
      <c r="AH2995" s="7" t="s">
        <v>7494</v>
      </c>
    </row>
    <row r="2996" spans="1:34" ht="9.75" customHeight="1" x14ac:dyDescent="0.2">
      <c r="A2996" s="7" t="s">
        <v>7455</v>
      </c>
      <c r="B2996" s="7" t="s">
        <v>38</v>
      </c>
      <c r="C2996" s="7"/>
      <c r="D2996" s="7" t="s">
        <v>7522</v>
      </c>
      <c r="E2996" s="8">
        <v>4</v>
      </c>
      <c r="F2996" s="7"/>
      <c r="G2996" s="7" t="s">
        <v>7523</v>
      </c>
      <c r="H2996" s="10">
        <v>25311</v>
      </c>
      <c r="I2996" s="10">
        <v>559</v>
      </c>
      <c r="J2996" s="10">
        <v>2000</v>
      </c>
      <c r="K2996" s="9"/>
      <c r="L2996" s="10">
        <v>2042</v>
      </c>
      <c r="M2996" s="9"/>
      <c r="N2996" s="10">
        <v>2042</v>
      </c>
      <c r="O2996" s="9"/>
      <c r="P2996" s="10"/>
      <c r="Q2996" s="10"/>
      <c r="R2996" s="10"/>
      <c r="S2996" s="7" t="s">
        <v>54</v>
      </c>
      <c r="T2996" s="7" t="s">
        <v>7499</v>
      </c>
      <c r="U2996" s="7"/>
      <c r="V2996" s="7"/>
      <c r="W2996" s="7"/>
      <c r="X2996" s="7"/>
      <c r="Y2996" s="7" t="s">
        <v>7524</v>
      </c>
      <c r="Z2996" s="7" t="s">
        <v>997</v>
      </c>
      <c r="AA2996" s="7"/>
      <c r="AB2996" s="7"/>
      <c r="AC2996" s="7" t="s">
        <v>7493</v>
      </c>
      <c r="AD2996" s="7"/>
      <c r="AE2996" s="7"/>
      <c r="AF2996" s="7" t="s">
        <v>6249</v>
      </c>
      <c r="AG2996" s="7" t="s">
        <v>6250</v>
      </c>
      <c r="AH2996" s="7" t="s">
        <v>7494</v>
      </c>
    </row>
    <row r="2997" spans="1:34" ht="9.75" customHeight="1" x14ac:dyDescent="0.2">
      <c r="A2997" s="7" t="s">
        <v>7455</v>
      </c>
      <c r="B2997" s="7" t="s">
        <v>38</v>
      </c>
      <c r="C2997" s="7" t="s">
        <v>7525</v>
      </c>
      <c r="D2997" s="7" t="s">
        <v>7526</v>
      </c>
      <c r="E2997" s="8">
        <v>6</v>
      </c>
      <c r="F2997" s="7"/>
      <c r="G2997" s="7" t="s">
        <v>7527</v>
      </c>
      <c r="H2997" s="10">
        <v>19472</v>
      </c>
      <c r="I2997" s="10">
        <v>559</v>
      </c>
      <c r="J2997" s="10">
        <v>2000</v>
      </c>
      <c r="K2997" s="9"/>
      <c r="L2997" s="10">
        <v>2042</v>
      </c>
      <c r="M2997" s="9"/>
      <c r="N2997" s="10">
        <v>2042</v>
      </c>
      <c r="O2997" s="9"/>
      <c r="P2997" s="10"/>
      <c r="Q2997" s="10"/>
      <c r="R2997" s="10"/>
      <c r="S2997" s="7" t="s">
        <v>54</v>
      </c>
      <c r="T2997" s="7" t="s">
        <v>7522</v>
      </c>
      <c r="U2997" s="7"/>
      <c r="V2997" s="7"/>
      <c r="W2997" s="7"/>
      <c r="X2997" s="7"/>
      <c r="Y2997" s="7" t="s">
        <v>7528</v>
      </c>
      <c r="Z2997" s="7" t="s">
        <v>997</v>
      </c>
      <c r="AA2997" s="7"/>
      <c r="AB2997" s="7"/>
      <c r="AC2997" s="7" t="s">
        <v>7493</v>
      </c>
      <c r="AD2997" s="7" t="s">
        <v>7526</v>
      </c>
      <c r="AE2997" s="7" t="s">
        <v>7525</v>
      </c>
      <c r="AF2997" s="7"/>
      <c r="AG2997" s="7"/>
      <c r="AH2997" s="7" t="s">
        <v>7494</v>
      </c>
    </row>
    <row r="2998" spans="1:34" ht="9.75" customHeight="1" x14ac:dyDescent="0.2">
      <c r="A2998" s="7" t="s">
        <v>7455</v>
      </c>
      <c r="B2998" s="7" t="s">
        <v>38</v>
      </c>
      <c r="C2998" s="7"/>
      <c r="D2998" s="7" t="s">
        <v>7529</v>
      </c>
      <c r="E2998" s="8">
        <v>4</v>
      </c>
      <c r="F2998" s="7"/>
      <c r="G2998" s="7" t="s">
        <v>7530</v>
      </c>
      <c r="H2998" s="10">
        <v>146274</v>
      </c>
      <c r="I2998" s="10">
        <v>30150</v>
      </c>
      <c r="J2998" s="10">
        <v>24151</v>
      </c>
      <c r="K2998" s="9"/>
      <c r="L2998" s="10">
        <v>28336</v>
      </c>
      <c r="M2998" s="9"/>
      <c r="N2998" s="10">
        <v>28336</v>
      </c>
      <c r="O2998" s="9"/>
      <c r="P2998" s="10"/>
      <c r="Q2998" s="10"/>
      <c r="R2998" s="10"/>
      <c r="S2998" s="7" t="s">
        <v>54</v>
      </c>
      <c r="T2998" s="7" t="s">
        <v>7499</v>
      </c>
      <c r="U2998" s="7"/>
      <c r="V2998" s="7"/>
      <c r="W2998" s="7"/>
      <c r="X2998" s="7"/>
      <c r="Y2998" s="7" t="s">
        <v>7531</v>
      </c>
      <c r="Z2998" s="7" t="s">
        <v>1055</v>
      </c>
      <c r="AA2998" s="7"/>
      <c r="AB2998" s="7"/>
      <c r="AC2998" s="7" t="s">
        <v>7493</v>
      </c>
      <c r="AD2998" s="7"/>
      <c r="AE2998" s="7"/>
      <c r="AF2998" s="7"/>
      <c r="AG2998" s="7"/>
      <c r="AH2998" s="7" t="s">
        <v>7494</v>
      </c>
    </row>
    <row r="2999" spans="1:34" ht="9.75" customHeight="1" x14ac:dyDescent="0.2">
      <c r="A2999" s="7" t="s">
        <v>7455</v>
      </c>
      <c r="B2999" s="7" t="s">
        <v>38</v>
      </c>
      <c r="C2999" s="7" t="s">
        <v>7532</v>
      </c>
      <c r="D2999" s="7" t="s">
        <v>7533</v>
      </c>
      <c r="E2999" s="8">
        <v>6</v>
      </c>
      <c r="F2999" s="7"/>
      <c r="G2999" s="7" t="s">
        <v>7530</v>
      </c>
      <c r="H2999" s="10">
        <v>24347</v>
      </c>
      <c r="I2999" s="10">
        <v>8774</v>
      </c>
      <c r="J2999" s="10">
        <v>8786</v>
      </c>
      <c r="K2999" s="9"/>
      <c r="L2999" s="10">
        <v>8769</v>
      </c>
      <c r="M2999" s="9"/>
      <c r="N2999" s="10">
        <v>8769</v>
      </c>
      <c r="O2999" s="9"/>
      <c r="P2999" s="10"/>
      <c r="Q2999" s="10"/>
      <c r="R2999" s="10"/>
      <c r="S2999" s="7" t="s">
        <v>54</v>
      </c>
      <c r="T2999" s="7" t="s">
        <v>7529</v>
      </c>
      <c r="U2999" s="7"/>
      <c r="V2999" s="7"/>
      <c r="W2999" s="7"/>
      <c r="X2999" s="7"/>
      <c r="Y2999" s="7" t="s">
        <v>7534</v>
      </c>
      <c r="Z2999" s="7" t="s">
        <v>1055</v>
      </c>
      <c r="AA2999" s="7"/>
      <c r="AB2999" s="7"/>
      <c r="AC2999" s="7" t="s">
        <v>7493</v>
      </c>
      <c r="AD2999" s="7"/>
      <c r="AE2999" s="7" t="s">
        <v>7532</v>
      </c>
      <c r="AF2999" s="7"/>
      <c r="AG2999" s="7"/>
      <c r="AH2999" s="7" t="s">
        <v>7494</v>
      </c>
    </row>
    <row r="3000" spans="1:34" ht="9.75" customHeight="1" x14ac:dyDescent="0.2">
      <c r="A3000" s="7" t="s">
        <v>7455</v>
      </c>
      <c r="B3000" s="7" t="s">
        <v>38</v>
      </c>
      <c r="C3000" s="7" t="s">
        <v>7535</v>
      </c>
      <c r="D3000" s="7" t="s">
        <v>7536</v>
      </c>
      <c r="E3000" s="8">
        <v>4</v>
      </c>
      <c r="F3000" s="7"/>
      <c r="G3000" s="7" t="s">
        <v>7537</v>
      </c>
      <c r="H3000" s="10">
        <v>3468</v>
      </c>
      <c r="I3000" s="10">
        <v>1299</v>
      </c>
      <c r="J3000" s="10">
        <v>1027</v>
      </c>
      <c r="K3000" s="9"/>
      <c r="L3000" s="10">
        <v>1191</v>
      </c>
      <c r="M3000" s="9"/>
      <c r="N3000" s="10">
        <v>1191</v>
      </c>
      <c r="O3000" s="9"/>
      <c r="P3000" s="10"/>
      <c r="Q3000" s="10"/>
      <c r="R3000" s="10"/>
      <c r="S3000" s="7" t="s">
        <v>54</v>
      </c>
      <c r="T3000" s="7" t="s">
        <v>7529</v>
      </c>
      <c r="U3000" s="7"/>
      <c r="V3000" s="7"/>
      <c r="W3000" s="7"/>
      <c r="X3000" s="7"/>
      <c r="Y3000" s="7" t="s">
        <v>7538</v>
      </c>
      <c r="Z3000" s="7" t="s">
        <v>1055</v>
      </c>
      <c r="AA3000" s="7"/>
      <c r="AB3000" s="7"/>
      <c r="AC3000" s="7" t="s">
        <v>7493</v>
      </c>
      <c r="AD3000" s="7"/>
      <c r="AE3000" s="7" t="s">
        <v>7535</v>
      </c>
      <c r="AF3000" s="7"/>
      <c r="AG3000" s="7"/>
      <c r="AH3000" s="7" t="s">
        <v>7494</v>
      </c>
    </row>
    <row r="3001" spans="1:34" ht="9.75" customHeight="1" x14ac:dyDescent="0.2">
      <c r="A3001" s="7" t="s">
        <v>7455</v>
      </c>
      <c r="B3001" s="7" t="s">
        <v>38</v>
      </c>
      <c r="C3001" s="7" t="s">
        <v>7539</v>
      </c>
      <c r="D3001" s="7" t="s">
        <v>7540</v>
      </c>
      <c r="E3001" s="8">
        <v>6</v>
      </c>
      <c r="F3001" s="7"/>
      <c r="G3001" s="7" t="s">
        <v>7541</v>
      </c>
      <c r="H3001" s="10">
        <v>7522</v>
      </c>
      <c r="I3001" s="10">
        <v>1573</v>
      </c>
      <c r="J3001" s="10">
        <v>1159</v>
      </c>
      <c r="K3001" s="9"/>
      <c r="L3001" s="10">
        <v>1449</v>
      </c>
      <c r="M3001" s="9"/>
      <c r="N3001" s="10">
        <v>1449</v>
      </c>
      <c r="O3001" s="9"/>
      <c r="P3001" s="10"/>
      <c r="Q3001" s="10"/>
      <c r="R3001" s="10"/>
      <c r="S3001" s="7" t="s">
        <v>54</v>
      </c>
      <c r="T3001" s="7" t="s">
        <v>7529</v>
      </c>
      <c r="U3001" s="7"/>
      <c r="V3001" s="7"/>
      <c r="W3001" s="7"/>
      <c r="X3001" s="7"/>
      <c r="Y3001" s="7" t="s">
        <v>7542</v>
      </c>
      <c r="Z3001" s="7" t="s">
        <v>1055</v>
      </c>
      <c r="AA3001" s="7"/>
      <c r="AB3001" s="7"/>
      <c r="AC3001" s="7" t="s">
        <v>7493</v>
      </c>
      <c r="AD3001" s="7"/>
      <c r="AE3001" s="7" t="s">
        <v>7539</v>
      </c>
      <c r="AF3001" s="7"/>
      <c r="AG3001" s="7"/>
      <c r="AH3001" s="7" t="s">
        <v>7494</v>
      </c>
    </row>
    <row r="3002" spans="1:34" ht="9.75" customHeight="1" x14ac:dyDescent="0.2">
      <c r="A3002" s="7" t="s">
        <v>7455</v>
      </c>
      <c r="B3002" s="7" t="s">
        <v>38</v>
      </c>
      <c r="C3002" s="7" t="s">
        <v>7543</v>
      </c>
      <c r="D3002" s="7" t="s">
        <v>7544</v>
      </c>
      <c r="E3002" s="8">
        <v>4</v>
      </c>
      <c r="F3002" s="7"/>
      <c r="G3002" s="7" t="s">
        <v>7545</v>
      </c>
      <c r="H3002" s="10">
        <v>20591</v>
      </c>
      <c r="I3002" s="10">
        <v>911</v>
      </c>
      <c r="J3002" s="10">
        <v>840</v>
      </c>
      <c r="K3002" s="9"/>
      <c r="L3002" s="10">
        <v>817</v>
      </c>
      <c r="M3002" s="9"/>
      <c r="N3002" s="10">
        <v>817</v>
      </c>
      <c r="O3002" s="9"/>
      <c r="P3002" s="10"/>
      <c r="Q3002" s="10"/>
      <c r="R3002" s="10"/>
      <c r="S3002" s="7" t="s">
        <v>54</v>
      </c>
      <c r="T3002" s="7" t="s">
        <v>7529</v>
      </c>
      <c r="U3002" s="7"/>
      <c r="V3002" s="7"/>
      <c r="W3002" s="7"/>
      <c r="X3002" s="7"/>
      <c r="Y3002" s="7" t="s">
        <v>7546</v>
      </c>
      <c r="Z3002" s="7" t="s">
        <v>1055</v>
      </c>
      <c r="AA3002" s="7"/>
      <c r="AB3002" s="7"/>
      <c r="AC3002" s="7" t="s">
        <v>7493</v>
      </c>
      <c r="AD3002" s="7"/>
      <c r="AE3002" s="7" t="s">
        <v>7543</v>
      </c>
      <c r="AF3002" s="7"/>
      <c r="AG3002" s="7"/>
      <c r="AH3002" s="7" t="s">
        <v>7494</v>
      </c>
    </row>
    <row r="3003" spans="1:34" ht="9.75" customHeight="1" x14ac:dyDescent="0.2">
      <c r="A3003" s="7" t="s">
        <v>7455</v>
      </c>
      <c r="B3003" s="7" t="s">
        <v>38</v>
      </c>
      <c r="C3003" s="7" t="s">
        <v>7547</v>
      </c>
      <c r="D3003" s="7" t="s">
        <v>7548</v>
      </c>
      <c r="E3003" s="8">
        <v>6</v>
      </c>
      <c r="F3003" s="7"/>
      <c r="G3003" s="7" t="s">
        <v>7549</v>
      </c>
      <c r="H3003" s="10">
        <v>64643</v>
      </c>
      <c r="I3003" s="10">
        <v>12426</v>
      </c>
      <c r="J3003" s="10">
        <v>7095</v>
      </c>
      <c r="K3003" s="9"/>
      <c r="L3003" s="10">
        <v>11284</v>
      </c>
      <c r="M3003" s="9"/>
      <c r="N3003" s="10">
        <v>11284</v>
      </c>
      <c r="O3003" s="9"/>
      <c r="P3003" s="10"/>
      <c r="Q3003" s="10"/>
      <c r="R3003" s="10"/>
      <c r="S3003" s="7" t="s">
        <v>54</v>
      </c>
      <c r="T3003" s="7" t="s">
        <v>7529</v>
      </c>
      <c r="U3003" s="7" t="s">
        <v>44</v>
      </c>
      <c r="V3003" s="7" t="s">
        <v>45</v>
      </c>
      <c r="W3003" s="7" t="s">
        <v>171</v>
      </c>
      <c r="X3003" s="7"/>
      <c r="Y3003" s="7" t="s">
        <v>7550</v>
      </c>
      <c r="Z3003" s="7" t="s">
        <v>1055</v>
      </c>
      <c r="AA3003" s="7"/>
      <c r="AB3003" s="7"/>
      <c r="AC3003" s="7" t="s">
        <v>7493</v>
      </c>
      <c r="AD3003" s="7"/>
      <c r="AE3003" s="7" t="s">
        <v>7547</v>
      </c>
      <c r="AF3003" s="7"/>
      <c r="AG3003" s="7"/>
      <c r="AH3003" s="7" t="s">
        <v>7494</v>
      </c>
    </row>
    <row r="3004" spans="1:34" ht="9.75" customHeight="1" x14ac:dyDescent="0.2">
      <c r="A3004" s="7" t="s">
        <v>7455</v>
      </c>
      <c r="B3004" s="7" t="s">
        <v>38</v>
      </c>
      <c r="C3004" s="7" t="s">
        <v>7551</v>
      </c>
      <c r="D3004" s="7" t="s">
        <v>7552</v>
      </c>
      <c r="E3004" s="8">
        <v>6</v>
      </c>
      <c r="F3004" s="7"/>
      <c r="G3004" s="7" t="s">
        <v>7553</v>
      </c>
      <c r="H3004" s="10">
        <v>25703</v>
      </c>
      <c r="I3004" s="10">
        <v>5167</v>
      </c>
      <c r="J3004" s="10">
        <v>5244</v>
      </c>
      <c r="K3004" s="9"/>
      <c r="L3004" s="10">
        <v>4826</v>
      </c>
      <c r="M3004" s="9"/>
      <c r="N3004" s="10">
        <v>4826</v>
      </c>
      <c r="O3004" s="9"/>
      <c r="P3004" s="10"/>
      <c r="Q3004" s="10"/>
      <c r="R3004" s="10"/>
      <c r="S3004" s="7" t="s">
        <v>54</v>
      </c>
      <c r="T3004" s="7" t="s">
        <v>7529</v>
      </c>
      <c r="U3004" s="7"/>
      <c r="V3004" s="7"/>
      <c r="W3004" s="7"/>
      <c r="X3004" s="7"/>
      <c r="Y3004" s="7" t="s">
        <v>7554</v>
      </c>
      <c r="Z3004" s="7" t="s">
        <v>1060</v>
      </c>
      <c r="AA3004" s="7"/>
      <c r="AB3004" s="7"/>
      <c r="AC3004" s="7" t="s">
        <v>7493</v>
      </c>
      <c r="AD3004" s="7"/>
      <c r="AE3004" s="7" t="s">
        <v>7551</v>
      </c>
      <c r="AF3004" s="7"/>
      <c r="AG3004" s="7"/>
      <c r="AH3004" s="7" t="s">
        <v>7494</v>
      </c>
    </row>
    <row r="3005" spans="1:34" ht="9.75" customHeight="1" x14ac:dyDescent="0.2">
      <c r="A3005" s="7" t="s">
        <v>7455</v>
      </c>
      <c r="B3005" s="7" t="s">
        <v>38</v>
      </c>
      <c r="C3005" s="7"/>
      <c r="D3005" s="7" t="s">
        <v>7555</v>
      </c>
      <c r="E3005" s="8">
        <v>4</v>
      </c>
      <c r="F3005" s="7"/>
      <c r="G3005" s="7"/>
      <c r="H3005" s="10">
        <v>746742</v>
      </c>
      <c r="I3005" s="10">
        <v>106795</v>
      </c>
      <c r="J3005" s="10">
        <v>123988</v>
      </c>
      <c r="K3005" s="9"/>
      <c r="L3005" s="10">
        <v>187988</v>
      </c>
      <c r="M3005" s="9"/>
      <c r="N3005" s="10">
        <v>187988</v>
      </c>
      <c r="O3005" s="9"/>
      <c r="P3005" s="10"/>
      <c r="Q3005" s="10"/>
      <c r="R3005" s="10"/>
      <c r="S3005" s="7" t="s">
        <v>54</v>
      </c>
      <c r="T3005" s="7" t="s">
        <v>7499</v>
      </c>
      <c r="U3005" s="7" t="s">
        <v>44</v>
      </c>
      <c r="V3005" s="7" t="s">
        <v>45</v>
      </c>
      <c r="W3005" s="7" t="s">
        <v>130</v>
      </c>
      <c r="X3005" s="7"/>
      <c r="Y3005" s="7" t="s">
        <v>7556</v>
      </c>
      <c r="Z3005" s="7" t="s">
        <v>1060</v>
      </c>
      <c r="AA3005" s="7"/>
      <c r="AB3005" s="7"/>
      <c r="AC3005" s="7" t="s">
        <v>7493</v>
      </c>
      <c r="AD3005" s="7"/>
      <c r="AE3005" s="7"/>
      <c r="AF3005" s="7"/>
      <c r="AG3005" s="7"/>
      <c r="AH3005" s="7" t="s">
        <v>7494</v>
      </c>
    </row>
    <row r="3006" spans="1:34" ht="9.75" customHeight="1" x14ac:dyDescent="0.2">
      <c r="A3006" s="7" t="s">
        <v>7455</v>
      </c>
      <c r="B3006" s="7" t="s">
        <v>38</v>
      </c>
      <c r="C3006" s="7" t="s">
        <v>7557</v>
      </c>
      <c r="D3006" s="7" t="s">
        <v>7558</v>
      </c>
      <c r="E3006" s="8">
        <v>6</v>
      </c>
      <c r="F3006" s="7"/>
      <c r="G3006" s="7" t="s">
        <v>7559</v>
      </c>
      <c r="H3006" s="10">
        <v>43929</v>
      </c>
      <c r="I3006" s="10">
        <v>7061</v>
      </c>
      <c r="J3006" s="10">
        <v>10934</v>
      </c>
      <c r="K3006" s="9"/>
      <c r="L3006" s="10">
        <v>9023</v>
      </c>
      <c r="M3006" s="9"/>
      <c r="N3006" s="10">
        <v>9023</v>
      </c>
      <c r="O3006" s="9"/>
      <c r="P3006" s="10"/>
      <c r="Q3006" s="10"/>
      <c r="R3006" s="10"/>
      <c r="S3006" s="7" t="s">
        <v>54</v>
      </c>
      <c r="T3006" s="7" t="s">
        <v>7555</v>
      </c>
      <c r="U3006" s="7" t="s">
        <v>44</v>
      </c>
      <c r="V3006" s="7" t="s">
        <v>45</v>
      </c>
      <c r="W3006" s="7" t="s">
        <v>130</v>
      </c>
      <c r="X3006" s="7"/>
      <c r="Y3006" s="7" t="s">
        <v>7560</v>
      </c>
      <c r="Z3006" s="7" t="s">
        <v>1060</v>
      </c>
      <c r="AA3006" s="7"/>
      <c r="AB3006" s="7"/>
      <c r="AC3006" s="7" t="s">
        <v>7493</v>
      </c>
      <c r="AD3006" s="7"/>
      <c r="AE3006" s="7"/>
      <c r="AF3006" s="7"/>
      <c r="AG3006" s="7"/>
      <c r="AH3006" s="7" t="s">
        <v>7494</v>
      </c>
    </row>
    <row r="3007" spans="1:34" ht="9.75" customHeight="1" x14ac:dyDescent="0.2">
      <c r="A3007" s="7" t="s">
        <v>7455</v>
      </c>
      <c r="B3007" s="7" t="s">
        <v>38</v>
      </c>
      <c r="C3007" s="7" t="s">
        <v>7561</v>
      </c>
      <c r="D3007" s="7" t="s">
        <v>7562</v>
      </c>
      <c r="E3007" s="8">
        <v>6</v>
      </c>
      <c r="F3007" s="7"/>
      <c r="G3007" s="7"/>
      <c r="H3007" s="10">
        <v>131396</v>
      </c>
      <c r="I3007" s="10">
        <v>3664</v>
      </c>
      <c r="J3007" s="10">
        <v>15419</v>
      </c>
      <c r="K3007" s="9"/>
      <c r="L3007" s="10">
        <v>8294</v>
      </c>
      <c r="M3007" s="9"/>
      <c r="N3007" s="10">
        <v>8294</v>
      </c>
      <c r="O3007" s="9"/>
      <c r="P3007" s="10"/>
      <c r="Q3007" s="10"/>
      <c r="R3007" s="10"/>
      <c r="S3007" s="7" t="s">
        <v>54</v>
      </c>
      <c r="T3007" s="7" t="s">
        <v>7555</v>
      </c>
      <c r="U3007" s="7"/>
      <c r="V3007" s="7"/>
      <c r="W3007" s="7"/>
      <c r="X3007" s="7"/>
      <c r="Y3007" s="7" t="s">
        <v>7563</v>
      </c>
      <c r="Z3007" s="7" t="s">
        <v>1076</v>
      </c>
      <c r="AA3007" s="7"/>
      <c r="AB3007" s="7"/>
      <c r="AC3007" s="7" t="s">
        <v>7493</v>
      </c>
      <c r="AD3007" s="7"/>
      <c r="AE3007" s="7"/>
      <c r="AF3007" s="7"/>
      <c r="AG3007" s="7"/>
      <c r="AH3007" s="7" t="s">
        <v>7494</v>
      </c>
    </row>
    <row r="3008" spans="1:34" ht="9.75" customHeight="1" x14ac:dyDescent="0.2">
      <c r="A3008" s="7" t="s">
        <v>7455</v>
      </c>
      <c r="B3008" s="7" t="s">
        <v>38</v>
      </c>
      <c r="C3008" s="7" t="s">
        <v>7564</v>
      </c>
      <c r="D3008" s="7" t="s">
        <v>7565</v>
      </c>
      <c r="E3008" s="8">
        <v>6</v>
      </c>
      <c r="F3008" s="7"/>
      <c r="G3008" s="7"/>
      <c r="H3008" s="10">
        <v>76909</v>
      </c>
      <c r="I3008" s="10">
        <v>3247</v>
      </c>
      <c r="J3008" s="10">
        <v>4896</v>
      </c>
      <c r="K3008" s="9"/>
      <c r="L3008" s="10">
        <v>5032</v>
      </c>
      <c r="M3008" s="9"/>
      <c r="N3008" s="10">
        <v>5032</v>
      </c>
      <c r="O3008" s="9"/>
      <c r="P3008" s="10"/>
      <c r="Q3008" s="10"/>
      <c r="R3008" s="10"/>
      <c r="S3008" s="7" t="s">
        <v>54</v>
      </c>
      <c r="T3008" s="7" t="s">
        <v>7555</v>
      </c>
      <c r="U3008" s="7"/>
      <c r="V3008" s="7"/>
      <c r="W3008" s="7"/>
      <c r="X3008" s="7"/>
      <c r="Y3008" s="7" t="s">
        <v>7566</v>
      </c>
      <c r="Z3008" s="7" t="s">
        <v>1076</v>
      </c>
      <c r="AA3008" s="7"/>
      <c r="AB3008" s="7"/>
      <c r="AC3008" s="7" t="s">
        <v>7493</v>
      </c>
      <c r="AD3008" s="7"/>
      <c r="AE3008" s="7"/>
      <c r="AF3008" s="7"/>
      <c r="AG3008" s="7"/>
      <c r="AH3008" s="7" t="s">
        <v>7494</v>
      </c>
    </row>
    <row r="3009" spans="1:34" ht="9.75" customHeight="1" x14ac:dyDescent="0.2">
      <c r="A3009" s="7" t="s">
        <v>7455</v>
      </c>
      <c r="B3009" s="7" t="s">
        <v>38</v>
      </c>
      <c r="C3009" s="7" t="s">
        <v>7567</v>
      </c>
      <c r="D3009" s="7" t="s">
        <v>7568</v>
      </c>
      <c r="E3009" s="8">
        <v>6</v>
      </c>
      <c r="F3009" s="7"/>
      <c r="G3009" s="7"/>
      <c r="H3009" s="9"/>
      <c r="I3009" s="9"/>
      <c r="J3009" s="9"/>
      <c r="K3009" s="9"/>
      <c r="L3009" s="10">
        <v>1450</v>
      </c>
      <c r="M3009" s="9"/>
      <c r="N3009" s="10">
        <v>1450</v>
      </c>
      <c r="O3009" s="9"/>
      <c r="P3009" s="10"/>
      <c r="Q3009" s="10"/>
      <c r="R3009" s="10"/>
      <c r="S3009" s="7" t="s">
        <v>54</v>
      </c>
      <c r="T3009" s="7" t="s">
        <v>7555</v>
      </c>
      <c r="U3009" s="7"/>
      <c r="V3009" s="7"/>
      <c r="W3009" s="7"/>
      <c r="X3009" s="7"/>
      <c r="Y3009" s="7" t="s">
        <v>7569</v>
      </c>
      <c r="Z3009" s="7" t="s">
        <v>1076</v>
      </c>
      <c r="AA3009" s="7"/>
      <c r="AB3009" s="7"/>
      <c r="AC3009" s="7" t="s">
        <v>7493</v>
      </c>
      <c r="AD3009" s="7"/>
      <c r="AE3009" s="7"/>
      <c r="AF3009" s="7"/>
      <c r="AG3009" s="7"/>
      <c r="AH3009" s="7" t="s">
        <v>7494</v>
      </c>
    </row>
    <row r="3010" spans="1:34" ht="9.75" customHeight="1" x14ac:dyDescent="0.2">
      <c r="A3010" s="7" t="s">
        <v>7455</v>
      </c>
      <c r="B3010" s="7" t="s">
        <v>38</v>
      </c>
      <c r="C3010" s="7" t="s">
        <v>7570</v>
      </c>
      <c r="D3010" s="7" t="s">
        <v>7571</v>
      </c>
      <c r="E3010" s="8">
        <v>4</v>
      </c>
      <c r="F3010" s="7"/>
      <c r="G3010" s="7" t="s">
        <v>7572</v>
      </c>
      <c r="H3010" s="10">
        <v>95851</v>
      </c>
      <c r="I3010" s="10">
        <v>6823</v>
      </c>
      <c r="J3010" s="10">
        <v>6107</v>
      </c>
      <c r="K3010" s="9"/>
      <c r="L3010" s="10">
        <v>14217</v>
      </c>
      <c r="M3010" s="9"/>
      <c r="N3010" s="10">
        <v>14217</v>
      </c>
      <c r="O3010" s="9"/>
      <c r="P3010" s="10"/>
      <c r="Q3010" s="10"/>
      <c r="R3010" s="10"/>
      <c r="S3010" s="7" t="s">
        <v>54</v>
      </c>
      <c r="T3010" s="7" t="s">
        <v>7555</v>
      </c>
      <c r="U3010" s="7" t="s">
        <v>44</v>
      </c>
      <c r="V3010" s="7" t="s">
        <v>45</v>
      </c>
      <c r="W3010" s="7" t="s">
        <v>130</v>
      </c>
      <c r="X3010" s="7" t="s">
        <v>131</v>
      </c>
      <c r="Y3010" s="7" t="s">
        <v>7573</v>
      </c>
      <c r="Z3010" s="7" t="s">
        <v>1076</v>
      </c>
      <c r="AA3010" s="7"/>
      <c r="AB3010" s="7"/>
      <c r="AC3010" s="7" t="s">
        <v>7493</v>
      </c>
      <c r="AD3010" s="7"/>
      <c r="AE3010" s="7"/>
      <c r="AF3010" s="7"/>
      <c r="AG3010" s="7"/>
      <c r="AH3010" s="7" t="s">
        <v>7494</v>
      </c>
    </row>
    <row r="3011" spans="1:34" ht="9.75" customHeight="1" x14ac:dyDescent="0.2">
      <c r="A3011" s="7" t="s">
        <v>7455</v>
      </c>
      <c r="B3011" s="7" t="s">
        <v>38</v>
      </c>
      <c r="C3011" s="7" t="s">
        <v>7574</v>
      </c>
      <c r="D3011" s="7" t="s">
        <v>7575</v>
      </c>
      <c r="E3011" s="8">
        <v>4</v>
      </c>
      <c r="F3011" s="7"/>
      <c r="G3011" s="7" t="s">
        <v>7576</v>
      </c>
      <c r="H3011" s="10">
        <v>93833</v>
      </c>
      <c r="I3011" s="10">
        <v>21200</v>
      </c>
      <c r="J3011" s="10">
        <v>21524</v>
      </c>
      <c r="K3011" s="9"/>
      <c r="L3011" s="10">
        <v>96370</v>
      </c>
      <c r="M3011" s="9"/>
      <c r="N3011" s="10">
        <v>96370</v>
      </c>
      <c r="O3011" s="9"/>
      <c r="P3011" s="10"/>
      <c r="Q3011" s="10"/>
      <c r="R3011" s="10"/>
      <c r="S3011" s="7" t="s">
        <v>54</v>
      </c>
      <c r="T3011" s="7" t="s">
        <v>7555</v>
      </c>
      <c r="U3011" s="7" t="s">
        <v>44</v>
      </c>
      <c r="V3011" s="7" t="s">
        <v>45</v>
      </c>
      <c r="W3011" s="7" t="s">
        <v>130</v>
      </c>
      <c r="X3011" s="7" t="s">
        <v>131</v>
      </c>
      <c r="Y3011" s="7" t="s">
        <v>7577</v>
      </c>
      <c r="Z3011" s="7" t="s">
        <v>1076</v>
      </c>
      <c r="AA3011" s="7"/>
      <c r="AB3011" s="7"/>
      <c r="AC3011" s="7" t="s">
        <v>7493</v>
      </c>
      <c r="AD3011" s="7"/>
      <c r="AE3011" s="7"/>
      <c r="AF3011" s="7"/>
      <c r="AG3011" s="7"/>
      <c r="AH3011" s="7" t="s">
        <v>7494</v>
      </c>
    </row>
    <row r="3012" spans="1:34" ht="9.75" customHeight="1" x14ac:dyDescent="0.2">
      <c r="A3012" s="7" t="s">
        <v>7455</v>
      </c>
      <c r="B3012" s="7" t="s">
        <v>38</v>
      </c>
      <c r="C3012" s="7" t="s">
        <v>7578</v>
      </c>
      <c r="D3012" s="7" t="s">
        <v>7579</v>
      </c>
      <c r="E3012" s="8">
        <v>4</v>
      </c>
      <c r="F3012" s="7"/>
      <c r="G3012" s="7" t="s">
        <v>7580</v>
      </c>
      <c r="H3012" s="10">
        <v>147388</v>
      </c>
      <c r="I3012" s="10">
        <v>56484</v>
      </c>
      <c r="J3012" s="10">
        <v>25771</v>
      </c>
      <c r="K3012" s="9"/>
      <c r="L3012" s="10">
        <v>8020</v>
      </c>
      <c r="M3012" s="9"/>
      <c r="N3012" s="10">
        <v>8020</v>
      </c>
      <c r="O3012" s="9"/>
      <c r="P3012" s="10"/>
      <c r="Q3012" s="10"/>
      <c r="R3012" s="10"/>
      <c r="S3012" s="7" t="s">
        <v>54</v>
      </c>
      <c r="T3012" s="7" t="s">
        <v>7555</v>
      </c>
      <c r="U3012" s="7" t="s">
        <v>44</v>
      </c>
      <c r="V3012" s="7" t="s">
        <v>45</v>
      </c>
      <c r="W3012" s="7" t="s">
        <v>130</v>
      </c>
      <c r="X3012" s="7" t="s">
        <v>131</v>
      </c>
      <c r="Y3012" s="7" t="s">
        <v>7581</v>
      </c>
      <c r="Z3012" s="7" t="s">
        <v>1076</v>
      </c>
      <c r="AA3012" s="7"/>
      <c r="AB3012" s="7"/>
      <c r="AC3012" s="7" t="s">
        <v>7493</v>
      </c>
      <c r="AD3012" s="7"/>
      <c r="AE3012" s="7"/>
      <c r="AF3012" s="7"/>
      <c r="AG3012" s="7"/>
      <c r="AH3012" s="7" t="s">
        <v>7494</v>
      </c>
    </row>
    <row r="3013" spans="1:34" ht="9.75" customHeight="1" x14ac:dyDescent="0.2">
      <c r="A3013" s="7" t="s">
        <v>7455</v>
      </c>
      <c r="B3013" s="7" t="s">
        <v>38</v>
      </c>
      <c r="C3013" s="7" t="s">
        <v>7582</v>
      </c>
      <c r="D3013" s="7" t="s">
        <v>7583</v>
      </c>
      <c r="E3013" s="8">
        <v>4</v>
      </c>
      <c r="F3013" s="7"/>
      <c r="G3013" s="7" t="s">
        <v>7584</v>
      </c>
      <c r="H3013" s="9"/>
      <c r="I3013" s="9"/>
      <c r="J3013" s="9"/>
      <c r="K3013" s="9"/>
      <c r="L3013" s="10">
        <v>8500</v>
      </c>
      <c r="M3013" s="9"/>
      <c r="N3013" s="10">
        <v>8500</v>
      </c>
      <c r="O3013" s="9"/>
      <c r="P3013" s="10"/>
      <c r="Q3013" s="10"/>
      <c r="R3013" s="10"/>
      <c r="S3013" s="7" t="s">
        <v>54</v>
      </c>
      <c r="T3013" s="7" t="s">
        <v>7555</v>
      </c>
      <c r="U3013" s="7" t="s">
        <v>44</v>
      </c>
      <c r="V3013" s="7" t="s">
        <v>45</v>
      </c>
      <c r="W3013" s="7" t="s">
        <v>130</v>
      </c>
      <c r="X3013" s="7"/>
      <c r="Y3013" s="7" t="s">
        <v>7585</v>
      </c>
      <c r="Z3013" s="7" t="s">
        <v>1076</v>
      </c>
      <c r="AA3013" s="7"/>
      <c r="AB3013" s="7"/>
      <c r="AC3013" s="7" t="s">
        <v>7493</v>
      </c>
      <c r="AD3013" s="7"/>
      <c r="AE3013" s="7"/>
      <c r="AF3013" s="7"/>
      <c r="AG3013" s="7"/>
      <c r="AH3013" s="7" t="s">
        <v>7494</v>
      </c>
    </row>
    <row r="3014" spans="1:34" ht="9.75" customHeight="1" x14ac:dyDescent="0.2">
      <c r="A3014" s="7" t="s">
        <v>7455</v>
      </c>
      <c r="B3014" s="7" t="s">
        <v>38</v>
      </c>
      <c r="C3014" s="7" t="s">
        <v>7586</v>
      </c>
      <c r="D3014" s="7" t="s">
        <v>7587</v>
      </c>
      <c r="E3014" s="8">
        <v>2</v>
      </c>
      <c r="F3014" s="7"/>
      <c r="G3014" s="7"/>
      <c r="H3014" s="9"/>
      <c r="I3014" s="9"/>
      <c r="J3014" s="9"/>
      <c r="K3014" s="9"/>
      <c r="L3014" s="10">
        <v>19996</v>
      </c>
      <c r="M3014" s="9"/>
      <c r="N3014" s="10">
        <v>19996</v>
      </c>
      <c r="O3014" s="9"/>
      <c r="P3014" s="10"/>
      <c r="Q3014" s="10"/>
      <c r="R3014" s="10"/>
      <c r="S3014" s="7" t="s">
        <v>54</v>
      </c>
      <c r="T3014" s="7" t="s">
        <v>7555</v>
      </c>
      <c r="U3014" s="7" t="s">
        <v>44</v>
      </c>
      <c r="V3014" s="7" t="s">
        <v>45</v>
      </c>
      <c r="W3014" s="7" t="s">
        <v>130</v>
      </c>
      <c r="X3014" s="7"/>
      <c r="Y3014" s="7" t="s">
        <v>7588</v>
      </c>
      <c r="Z3014" s="7" t="s">
        <v>1076</v>
      </c>
      <c r="AA3014" s="7"/>
      <c r="AB3014" s="7"/>
      <c r="AC3014" s="7" t="s">
        <v>7493</v>
      </c>
      <c r="AD3014" s="7"/>
      <c r="AE3014" s="7"/>
      <c r="AF3014" s="7"/>
      <c r="AG3014" s="7"/>
      <c r="AH3014" s="7" t="s">
        <v>7494</v>
      </c>
    </row>
    <row r="3015" spans="1:34" ht="9.75" customHeight="1" x14ac:dyDescent="0.2">
      <c r="A3015" s="7" t="s">
        <v>7455</v>
      </c>
      <c r="B3015" s="7" t="s">
        <v>38</v>
      </c>
      <c r="C3015" s="7" t="s">
        <v>7589</v>
      </c>
      <c r="D3015" s="7" t="s">
        <v>7590</v>
      </c>
      <c r="E3015" s="8">
        <v>4</v>
      </c>
      <c r="F3015" s="7"/>
      <c r="G3015" s="7" t="s">
        <v>7591</v>
      </c>
      <c r="H3015" s="10">
        <v>75263</v>
      </c>
      <c r="I3015" s="10">
        <v>8316</v>
      </c>
      <c r="J3015" s="10">
        <v>14578</v>
      </c>
      <c r="K3015" s="9"/>
      <c r="L3015" s="10">
        <v>17086</v>
      </c>
      <c r="M3015" s="9"/>
      <c r="N3015" s="10">
        <v>17086</v>
      </c>
      <c r="O3015" s="9"/>
      <c r="P3015" s="10"/>
      <c r="Q3015" s="10"/>
      <c r="R3015" s="10"/>
      <c r="S3015" s="7" t="s">
        <v>54</v>
      </c>
      <c r="T3015" s="7" t="s">
        <v>7555</v>
      </c>
      <c r="U3015" s="7" t="s">
        <v>44</v>
      </c>
      <c r="V3015" s="7" t="s">
        <v>45</v>
      </c>
      <c r="W3015" s="7" t="s">
        <v>130</v>
      </c>
      <c r="X3015" s="7"/>
      <c r="Y3015" s="7" t="s">
        <v>7592</v>
      </c>
      <c r="Z3015" s="7" t="s">
        <v>1076</v>
      </c>
      <c r="AA3015" s="7"/>
      <c r="AB3015" s="7"/>
      <c r="AC3015" s="7" t="s">
        <v>7493</v>
      </c>
      <c r="AD3015" s="7"/>
      <c r="AE3015" s="7"/>
      <c r="AF3015" s="7"/>
      <c r="AG3015" s="7"/>
      <c r="AH3015" s="7" t="s">
        <v>7494</v>
      </c>
    </row>
    <row r="3016" spans="1:34" ht="9.75" customHeight="1" x14ac:dyDescent="0.2">
      <c r="A3016" s="7" t="s">
        <v>7455</v>
      </c>
      <c r="B3016" s="7" t="s">
        <v>38</v>
      </c>
      <c r="C3016" s="7"/>
      <c r="D3016" s="7" t="s">
        <v>7593</v>
      </c>
      <c r="E3016" s="8">
        <v>4</v>
      </c>
      <c r="F3016" s="7"/>
      <c r="G3016" s="7" t="s">
        <v>7594</v>
      </c>
      <c r="H3016" s="10">
        <v>0</v>
      </c>
      <c r="I3016" s="10">
        <v>20134</v>
      </c>
      <c r="J3016" s="10">
        <v>24134</v>
      </c>
      <c r="K3016" s="9"/>
      <c r="L3016" s="10">
        <v>27333</v>
      </c>
      <c r="M3016" s="9"/>
      <c r="N3016" s="10">
        <v>27333</v>
      </c>
      <c r="O3016" s="9"/>
      <c r="P3016" s="10"/>
      <c r="Q3016" s="10"/>
      <c r="R3016" s="10"/>
      <c r="S3016" s="7" t="s">
        <v>54</v>
      </c>
      <c r="T3016" s="7" t="s">
        <v>7499</v>
      </c>
      <c r="U3016" s="7" t="s">
        <v>44</v>
      </c>
      <c r="V3016" s="7" t="s">
        <v>45</v>
      </c>
      <c r="W3016" s="7" t="s">
        <v>130</v>
      </c>
      <c r="X3016" s="7"/>
      <c r="Y3016" s="7" t="s">
        <v>7595</v>
      </c>
      <c r="Z3016" s="7" t="s">
        <v>1144</v>
      </c>
      <c r="AA3016" s="7"/>
      <c r="AB3016" s="7"/>
      <c r="AC3016" s="7" t="s">
        <v>7493</v>
      </c>
      <c r="AD3016" s="7"/>
      <c r="AE3016" s="7"/>
      <c r="AF3016" s="7"/>
      <c r="AG3016" s="7"/>
      <c r="AH3016" s="7" t="s">
        <v>7494</v>
      </c>
    </row>
    <row r="3017" spans="1:34" ht="9.75" customHeight="1" x14ac:dyDescent="0.2">
      <c r="A3017" s="7" t="s">
        <v>7455</v>
      </c>
      <c r="B3017" s="7" t="s">
        <v>38</v>
      </c>
      <c r="C3017" s="7"/>
      <c r="D3017" s="7" t="s">
        <v>7596</v>
      </c>
      <c r="E3017" s="8">
        <v>4</v>
      </c>
      <c r="F3017" s="7"/>
      <c r="G3017" s="7" t="s">
        <v>7597</v>
      </c>
      <c r="H3017" s="10">
        <v>40477</v>
      </c>
      <c r="I3017" s="10">
        <v>184</v>
      </c>
      <c r="J3017" s="10">
        <v>235</v>
      </c>
      <c r="K3017" s="9"/>
      <c r="L3017" s="10">
        <v>223</v>
      </c>
      <c r="M3017" s="9"/>
      <c r="N3017" s="10">
        <v>223</v>
      </c>
      <c r="O3017" s="9"/>
      <c r="P3017" s="10"/>
      <c r="Q3017" s="10"/>
      <c r="R3017" s="10"/>
      <c r="S3017" s="7" t="s">
        <v>54</v>
      </c>
      <c r="T3017" s="7" t="s">
        <v>7499</v>
      </c>
      <c r="U3017" s="7" t="s">
        <v>44</v>
      </c>
      <c r="V3017" s="7" t="s">
        <v>45</v>
      </c>
      <c r="W3017" s="7" t="s">
        <v>130</v>
      </c>
      <c r="X3017" s="7" t="s">
        <v>131</v>
      </c>
      <c r="Y3017" s="7" t="s">
        <v>7598</v>
      </c>
      <c r="Z3017" s="7" t="s">
        <v>1147</v>
      </c>
      <c r="AA3017" s="7"/>
      <c r="AB3017" s="7"/>
      <c r="AC3017" s="7" t="s">
        <v>7493</v>
      </c>
      <c r="AD3017" s="7"/>
      <c r="AE3017" s="7"/>
      <c r="AF3017" s="7"/>
      <c r="AG3017" s="7"/>
      <c r="AH3017" s="7" t="s">
        <v>7494</v>
      </c>
    </row>
    <row r="3018" spans="1:34" ht="9.75" customHeight="1" x14ac:dyDescent="0.2">
      <c r="A3018" s="7" t="s">
        <v>7455</v>
      </c>
      <c r="B3018" s="7" t="s">
        <v>38</v>
      </c>
      <c r="C3018" s="7"/>
      <c r="D3018" s="7" t="s">
        <v>7599</v>
      </c>
      <c r="E3018" s="8">
        <v>6</v>
      </c>
      <c r="F3018" s="7"/>
      <c r="G3018" s="7" t="s">
        <v>7600</v>
      </c>
      <c r="H3018" s="10">
        <v>6243</v>
      </c>
      <c r="I3018" s="10">
        <v>184</v>
      </c>
      <c r="J3018" s="10">
        <v>235</v>
      </c>
      <c r="K3018" s="9"/>
      <c r="L3018" s="10">
        <v>223</v>
      </c>
      <c r="M3018" s="9"/>
      <c r="N3018" s="10">
        <v>223</v>
      </c>
      <c r="O3018" s="9"/>
      <c r="P3018" s="10"/>
      <c r="Q3018" s="10"/>
      <c r="R3018" s="10"/>
      <c r="S3018" s="7" t="s">
        <v>54</v>
      </c>
      <c r="T3018" s="7" t="s">
        <v>7601</v>
      </c>
      <c r="U3018" s="7" t="s">
        <v>44</v>
      </c>
      <c r="V3018" s="7" t="s">
        <v>45</v>
      </c>
      <c r="W3018" s="7" t="s">
        <v>130</v>
      </c>
      <c r="X3018" s="7" t="s">
        <v>131</v>
      </c>
      <c r="Y3018" s="7" t="s">
        <v>7602</v>
      </c>
      <c r="Z3018" s="7" t="s">
        <v>1147</v>
      </c>
      <c r="AA3018" s="7"/>
      <c r="AB3018" s="7"/>
      <c r="AC3018" s="7" t="s">
        <v>7493</v>
      </c>
      <c r="AD3018" s="7"/>
      <c r="AE3018" s="7"/>
      <c r="AF3018" s="7"/>
      <c r="AG3018" s="7"/>
      <c r="AH3018" s="7" t="s">
        <v>7494</v>
      </c>
    </row>
    <row r="3019" spans="1:34" ht="9.75" customHeight="1" x14ac:dyDescent="0.2">
      <c r="A3019" s="7" t="s">
        <v>7455</v>
      </c>
      <c r="B3019" s="7" t="s">
        <v>38</v>
      </c>
      <c r="C3019" s="7"/>
      <c r="D3019" s="7" t="s">
        <v>7603</v>
      </c>
      <c r="E3019" s="8">
        <v>4</v>
      </c>
      <c r="F3019" s="7"/>
      <c r="G3019" s="7"/>
      <c r="H3019" s="10">
        <v>6151</v>
      </c>
      <c r="I3019" s="10">
        <v>762</v>
      </c>
      <c r="J3019" s="10">
        <v>1209</v>
      </c>
      <c r="K3019" s="9"/>
      <c r="L3019" s="10">
        <v>1568</v>
      </c>
      <c r="M3019" s="9"/>
      <c r="N3019" s="10">
        <v>1568</v>
      </c>
      <c r="O3019" s="9"/>
      <c r="P3019" s="10"/>
      <c r="Q3019" s="10"/>
      <c r="R3019" s="10"/>
      <c r="S3019" s="7" t="s">
        <v>54</v>
      </c>
      <c r="T3019" s="7" t="s">
        <v>7499</v>
      </c>
      <c r="U3019" s="7" t="s">
        <v>44</v>
      </c>
      <c r="V3019" s="7" t="s">
        <v>45</v>
      </c>
      <c r="W3019" s="7" t="s">
        <v>130</v>
      </c>
      <c r="X3019" s="7"/>
      <c r="Y3019" s="7" t="s">
        <v>7604</v>
      </c>
      <c r="Z3019" s="7" t="s">
        <v>1208</v>
      </c>
      <c r="AA3019" s="7"/>
      <c r="AB3019" s="7"/>
      <c r="AC3019" s="7" t="s">
        <v>7493</v>
      </c>
      <c r="AD3019" s="7"/>
      <c r="AE3019" s="7"/>
      <c r="AF3019" s="7"/>
      <c r="AG3019" s="7"/>
      <c r="AH3019" s="7" t="s">
        <v>7494</v>
      </c>
    </row>
    <row r="3020" spans="1:34" ht="9.75" customHeight="1" x14ac:dyDescent="0.2">
      <c r="A3020" s="7" t="s">
        <v>7455</v>
      </c>
      <c r="B3020" s="7" t="s">
        <v>38</v>
      </c>
      <c r="C3020" s="7"/>
      <c r="D3020" s="7" t="s">
        <v>7605</v>
      </c>
      <c r="E3020" s="8">
        <v>4</v>
      </c>
      <c r="F3020" s="7"/>
      <c r="G3020" s="7" t="s">
        <v>7606</v>
      </c>
      <c r="H3020" s="10">
        <v>4009</v>
      </c>
      <c r="I3020" s="10">
        <v>484</v>
      </c>
      <c r="J3020" s="10">
        <v>967</v>
      </c>
      <c r="K3020" s="9"/>
      <c r="L3020" s="10">
        <v>1333</v>
      </c>
      <c r="M3020" s="9"/>
      <c r="N3020" s="10">
        <v>1333</v>
      </c>
      <c r="O3020" s="9"/>
      <c r="P3020" s="10"/>
      <c r="Q3020" s="10"/>
      <c r="R3020" s="10"/>
      <c r="S3020" s="7" t="s">
        <v>54</v>
      </c>
      <c r="T3020" s="7" t="s">
        <v>7603</v>
      </c>
      <c r="U3020" s="7" t="s">
        <v>44</v>
      </c>
      <c r="V3020" s="7" t="s">
        <v>45</v>
      </c>
      <c r="W3020" s="7" t="s">
        <v>130</v>
      </c>
      <c r="X3020" s="7"/>
      <c r="Y3020" s="7" t="s">
        <v>7607</v>
      </c>
      <c r="Z3020" s="7" t="s">
        <v>1208</v>
      </c>
      <c r="AA3020" s="7"/>
      <c r="AB3020" s="7"/>
      <c r="AC3020" s="7" t="s">
        <v>7493</v>
      </c>
      <c r="AD3020" s="7"/>
      <c r="AE3020" s="7"/>
      <c r="AF3020" s="7"/>
      <c r="AG3020" s="7"/>
      <c r="AH3020" s="7" t="s">
        <v>7494</v>
      </c>
    </row>
    <row r="3021" spans="1:34" ht="9.75" customHeight="1" x14ac:dyDescent="0.2">
      <c r="A3021" s="7" t="s">
        <v>7455</v>
      </c>
      <c r="B3021" s="7" t="s">
        <v>38</v>
      </c>
      <c r="C3021" s="7"/>
      <c r="D3021" s="7" t="s">
        <v>7608</v>
      </c>
      <c r="E3021" s="8">
        <v>6</v>
      </c>
      <c r="F3021" s="7"/>
      <c r="G3021" s="7" t="s">
        <v>7609</v>
      </c>
      <c r="H3021" s="10">
        <v>1635</v>
      </c>
      <c r="I3021" s="10">
        <v>219</v>
      </c>
      <c r="J3021" s="10">
        <v>179</v>
      </c>
      <c r="K3021" s="9"/>
      <c r="L3021" s="10">
        <v>171</v>
      </c>
      <c r="M3021" s="9"/>
      <c r="N3021" s="10">
        <v>171</v>
      </c>
      <c r="O3021" s="9"/>
      <c r="P3021" s="10"/>
      <c r="Q3021" s="10"/>
      <c r="R3021" s="10"/>
      <c r="S3021" s="7" t="s">
        <v>54</v>
      </c>
      <c r="T3021" s="7" t="s">
        <v>7603</v>
      </c>
      <c r="U3021" s="7"/>
      <c r="V3021" s="7"/>
      <c r="W3021" s="7"/>
      <c r="X3021" s="7"/>
      <c r="Y3021" s="7" t="s">
        <v>7610</v>
      </c>
      <c r="Z3021" s="7" t="s">
        <v>1208</v>
      </c>
      <c r="AA3021" s="7"/>
      <c r="AB3021" s="7"/>
      <c r="AC3021" s="7" t="s">
        <v>7493</v>
      </c>
      <c r="AD3021" s="7"/>
      <c r="AE3021" s="7"/>
      <c r="AF3021" s="7"/>
      <c r="AG3021" s="7"/>
      <c r="AH3021" s="7" t="s">
        <v>7494</v>
      </c>
    </row>
    <row r="3022" spans="1:34" ht="9.75" customHeight="1" x14ac:dyDescent="0.2">
      <c r="A3022" s="7" t="s">
        <v>7455</v>
      </c>
      <c r="B3022" s="7" t="s">
        <v>38</v>
      </c>
      <c r="C3022" s="7"/>
      <c r="D3022" s="7" t="s">
        <v>7611</v>
      </c>
      <c r="E3022" s="8">
        <v>4</v>
      </c>
      <c r="F3022" s="7"/>
      <c r="G3022" s="7"/>
      <c r="H3022" s="10">
        <v>507</v>
      </c>
      <c r="I3022" s="10">
        <v>59</v>
      </c>
      <c r="J3022" s="10">
        <v>63</v>
      </c>
      <c r="K3022" s="9"/>
      <c r="L3022" s="10">
        <v>64</v>
      </c>
      <c r="M3022" s="9"/>
      <c r="N3022" s="10">
        <v>64</v>
      </c>
      <c r="O3022" s="9"/>
      <c r="P3022" s="10"/>
      <c r="Q3022" s="10"/>
      <c r="R3022" s="10"/>
      <c r="S3022" s="7" t="s">
        <v>54</v>
      </c>
      <c r="T3022" s="7" t="s">
        <v>7603</v>
      </c>
      <c r="U3022" s="7"/>
      <c r="V3022" s="7"/>
      <c r="W3022" s="7"/>
      <c r="X3022" s="7"/>
      <c r="Y3022" s="7" t="s">
        <v>7612</v>
      </c>
      <c r="Z3022" s="7" t="s">
        <v>1208</v>
      </c>
      <c r="AA3022" s="7"/>
      <c r="AB3022" s="7"/>
      <c r="AC3022" s="7" t="s">
        <v>7493</v>
      </c>
      <c r="AD3022" s="7"/>
      <c r="AE3022" s="7"/>
      <c r="AF3022" s="7"/>
      <c r="AG3022" s="7"/>
      <c r="AH3022" s="7" t="s">
        <v>7494</v>
      </c>
    </row>
    <row r="3023" spans="1:34" ht="9.75" customHeight="1" x14ac:dyDescent="0.2">
      <c r="A3023" s="7" t="s">
        <v>7455</v>
      </c>
      <c r="B3023" s="7" t="s">
        <v>38</v>
      </c>
      <c r="C3023" s="7"/>
      <c r="D3023" s="7" t="s">
        <v>7613</v>
      </c>
      <c r="E3023" s="8">
        <v>4</v>
      </c>
      <c r="F3023" s="7"/>
      <c r="G3023" s="7" t="s">
        <v>7614</v>
      </c>
      <c r="H3023" s="10">
        <v>40936</v>
      </c>
      <c r="I3023" s="10">
        <v>11955</v>
      </c>
      <c r="J3023" s="10">
        <v>7476</v>
      </c>
      <c r="K3023" s="9"/>
      <c r="L3023" s="10">
        <v>22415</v>
      </c>
      <c r="M3023" s="9"/>
      <c r="N3023" s="10">
        <v>22415</v>
      </c>
      <c r="O3023" s="9"/>
      <c r="P3023" s="10"/>
      <c r="Q3023" s="10"/>
      <c r="R3023" s="10"/>
      <c r="S3023" s="7" t="s">
        <v>54</v>
      </c>
      <c r="T3023" s="7" t="s">
        <v>7499</v>
      </c>
      <c r="U3023" s="7" t="s">
        <v>44</v>
      </c>
      <c r="V3023" s="7" t="s">
        <v>45</v>
      </c>
      <c r="W3023" s="7" t="s">
        <v>130</v>
      </c>
      <c r="X3023" s="7" t="s">
        <v>156</v>
      </c>
      <c r="Y3023" s="7" t="s">
        <v>7615</v>
      </c>
      <c r="Z3023" s="7" t="s">
        <v>1289</v>
      </c>
      <c r="AA3023" s="7"/>
      <c r="AB3023" s="7"/>
      <c r="AC3023" s="7" t="s">
        <v>7493</v>
      </c>
      <c r="AD3023" s="7"/>
      <c r="AE3023" s="7"/>
      <c r="AF3023" s="7"/>
      <c r="AG3023" s="7"/>
      <c r="AH3023" s="7" t="s">
        <v>7494</v>
      </c>
    </row>
    <row r="3024" spans="1:34" ht="9.75" customHeight="1" x14ac:dyDescent="0.2">
      <c r="A3024" s="7" t="s">
        <v>7455</v>
      </c>
      <c r="B3024" s="7" t="s">
        <v>38</v>
      </c>
      <c r="C3024" s="7"/>
      <c r="D3024" s="7" t="s">
        <v>7616</v>
      </c>
      <c r="E3024" s="8">
        <v>4</v>
      </c>
      <c r="F3024" s="7"/>
      <c r="G3024" s="7" t="s">
        <v>7614</v>
      </c>
      <c r="H3024" s="10">
        <v>13186</v>
      </c>
      <c r="I3024" s="9"/>
      <c r="J3024" s="9"/>
      <c r="K3024" s="9"/>
      <c r="L3024" s="9"/>
      <c r="M3024" s="9"/>
      <c r="N3024" s="9"/>
      <c r="O3024" s="9"/>
      <c r="P3024" s="9"/>
      <c r="Q3024" s="9"/>
      <c r="R3024" s="9"/>
      <c r="S3024" s="7" t="s">
        <v>54</v>
      </c>
      <c r="T3024" s="7" t="s">
        <v>7613</v>
      </c>
      <c r="U3024" s="7" t="s">
        <v>44</v>
      </c>
      <c r="V3024" s="7" t="s">
        <v>45</v>
      </c>
      <c r="W3024" s="7" t="s">
        <v>130</v>
      </c>
      <c r="X3024" s="7" t="s">
        <v>156</v>
      </c>
      <c r="Y3024" s="7" t="s">
        <v>7617</v>
      </c>
      <c r="Z3024" s="7" t="s">
        <v>1289</v>
      </c>
      <c r="AA3024" s="7"/>
      <c r="AB3024" s="7"/>
      <c r="AC3024" s="7" t="s">
        <v>7493</v>
      </c>
      <c r="AD3024" s="7"/>
      <c r="AE3024" s="7"/>
      <c r="AF3024" s="7"/>
      <c r="AG3024" s="7"/>
      <c r="AH3024" s="7" t="s">
        <v>7494</v>
      </c>
    </row>
    <row r="3025" spans="1:34" ht="9.75" customHeight="1" x14ac:dyDescent="0.2">
      <c r="A3025" s="7" t="s">
        <v>7455</v>
      </c>
      <c r="B3025" s="7" t="s">
        <v>38</v>
      </c>
      <c r="C3025" s="7"/>
      <c r="D3025" s="7" t="s">
        <v>7618</v>
      </c>
      <c r="E3025" s="8">
        <v>4</v>
      </c>
      <c r="F3025" s="7"/>
      <c r="G3025" s="7" t="s">
        <v>7619</v>
      </c>
      <c r="H3025" s="10">
        <v>24576</v>
      </c>
      <c r="I3025" s="10">
        <v>11955</v>
      </c>
      <c r="J3025" s="10">
        <v>7476</v>
      </c>
      <c r="K3025" s="9"/>
      <c r="L3025" s="10">
        <v>18415</v>
      </c>
      <c r="M3025" s="9"/>
      <c r="N3025" s="10">
        <v>18415</v>
      </c>
      <c r="O3025" s="9"/>
      <c r="P3025" s="10"/>
      <c r="Q3025" s="10"/>
      <c r="R3025" s="10"/>
      <c r="S3025" s="7" t="s">
        <v>54</v>
      </c>
      <c r="T3025" s="7" t="s">
        <v>7613</v>
      </c>
      <c r="U3025" s="7" t="s">
        <v>44</v>
      </c>
      <c r="V3025" s="7" t="s">
        <v>45</v>
      </c>
      <c r="W3025" s="7" t="s">
        <v>130</v>
      </c>
      <c r="X3025" s="7" t="s">
        <v>156</v>
      </c>
      <c r="Y3025" s="7" t="s">
        <v>7620</v>
      </c>
      <c r="Z3025" s="7" t="s">
        <v>1294</v>
      </c>
      <c r="AA3025" s="7"/>
      <c r="AB3025" s="7"/>
      <c r="AC3025" s="7" t="s">
        <v>7493</v>
      </c>
      <c r="AD3025" s="7"/>
      <c r="AE3025" s="7"/>
      <c r="AF3025" s="7"/>
      <c r="AG3025" s="7"/>
      <c r="AH3025" s="7" t="s">
        <v>7494</v>
      </c>
    </row>
    <row r="3026" spans="1:34" ht="9.75" customHeight="1" x14ac:dyDescent="0.2">
      <c r="A3026" s="7" t="s">
        <v>7455</v>
      </c>
      <c r="B3026" s="7" t="s">
        <v>38</v>
      </c>
      <c r="C3026" s="7"/>
      <c r="D3026" s="7" t="s">
        <v>7621</v>
      </c>
      <c r="E3026" s="8">
        <v>4</v>
      </c>
      <c r="F3026" s="7"/>
      <c r="G3026" s="7" t="s">
        <v>7622</v>
      </c>
      <c r="H3026" s="10">
        <v>0</v>
      </c>
      <c r="I3026" s="10">
        <v>154</v>
      </c>
      <c r="J3026" s="10">
        <v>151</v>
      </c>
      <c r="K3026" s="9"/>
      <c r="L3026" s="10">
        <v>130</v>
      </c>
      <c r="M3026" s="9"/>
      <c r="N3026" s="10">
        <v>130</v>
      </c>
      <c r="O3026" s="9"/>
      <c r="P3026" s="10"/>
      <c r="Q3026" s="10"/>
      <c r="R3026" s="10"/>
      <c r="S3026" s="7" t="s">
        <v>54</v>
      </c>
      <c r="T3026" s="7" t="s">
        <v>7499</v>
      </c>
      <c r="U3026" s="7" t="s">
        <v>44</v>
      </c>
      <c r="V3026" s="7" t="s">
        <v>45</v>
      </c>
      <c r="W3026" s="7" t="s">
        <v>46</v>
      </c>
      <c r="X3026" s="7"/>
      <c r="Y3026" s="7" t="s">
        <v>7623</v>
      </c>
      <c r="Z3026" s="7" t="s">
        <v>1303</v>
      </c>
      <c r="AA3026" s="7"/>
      <c r="AB3026" s="7"/>
      <c r="AC3026" s="7" t="s">
        <v>7493</v>
      </c>
      <c r="AD3026" s="7"/>
      <c r="AE3026" s="7"/>
      <c r="AF3026" s="7"/>
      <c r="AG3026" s="7"/>
      <c r="AH3026" s="7" t="s">
        <v>7494</v>
      </c>
    </row>
    <row r="3027" spans="1:34" ht="9.75" customHeight="1" x14ac:dyDescent="0.2">
      <c r="A3027" s="7" t="s">
        <v>7455</v>
      </c>
      <c r="B3027" s="7" t="s">
        <v>38</v>
      </c>
      <c r="C3027" s="7"/>
      <c r="D3027" s="7" t="s">
        <v>7624</v>
      </c>
      <c r="E3027" s="8">
        <v>4</v>
      </c>
      <c r="F3027" s="7"/>
      <c r="G3027" s="7" t="s">
        <v>7625</v>
      </c>
      <c r="H3027" s="10">
        <v>70866</v>
      </c>
      <c r="I3027" s="10">
        <v>16477</v>
      </c>
      <c r="J3027" s="10">
        <v>14840</v>
      </c>
      <c r="K3027" s="9"/>
      <c r="L3027" s="10">
        <v>15743</v>
      </c>
      <c r="M3027" s="9"/>
      <c r="N3027" s="10">
        <v>15743</v>
      </c>
      <c r="O3027" s="9"/>
      <c r="P3027" s="10"/>
      <c r="Q3027" s="10"/>
      <c r="R3027" s="10"/>
      <c r="S3027" s="7" t="s">
        <v>54</v>
      </c>
      <c r="T3027" s="7" t="s">
        <v>7499</v>
      </c>
      <c r="U3027" s="7"/>
      <c r="V3027" s="7"/>
      <c r="W3027" s="7"/>
      <c r="X3027" s="7"/>
      <c r="Y3027" s="7" t="s">
        <v>7626</v>
      </c>
      <c r="Z3027" s="7" t="s">
        <v>1314</v>
      </c>
      <c r="AA3027" s="7"/>
      <c r="AB3027" s="7"/>
      <c r="AC3027" s="7" t="s">
        <v>7493</v>
      </c>
      <c r="AD3027" s="7"/>
      <c r="AE3027" s="7" t="s">
        <v>7497</v>
      </c>
      <c r="AF3027" s="7"/>
      <c r="AG3027" s="7"/>
      <c r="AH3027" s="7" t="s">
        <v>7494</v>
      </c>
    </row>
    <row r="3028" spans="1:34" ht="9.75" customHeight="1" x14ac:dyDescent="0.2">
      <c r="A3028" s="7" t="s">
        <v>7455</v>
      </c>
      <c r="B3028" s="7" t="s">
        <v>38</v>
      </c>
      <c r="C3028" s="7"/>
      <c r="D3028" s="7" t="s">
        <v>7627</v>
      </c>
      <c r="E3028" s="8">
        <v>4</v>
      </c>
      <c r="F3028" s="7"/>
      <c r="G3028" s="7"/>
      <c r="H3028" s="10">
        <v>1034</v>
      </c>
      <c r="I3028" s="9"/>
      <c r="J3028" s="10">
        <v>218</v>
      </c>
      <c r="K3028" s="9"/>
      <c r="L3028" s="10">
        <v>225</v>
      </c>
      <c r="M3028" s="9"/>
      <c r="N3028" s="10">
        <v>225</v>
      </c>
      <c r="O3028" s="9"/>
      <c r="P3028" s="10"/>
      <c r="Q3028" s="10"/>
      <c r="R3028" s="10"/>
      <c r="S3028" s="7" t="s">
        <v>54</v>
      </c>
      <c r="T3028" s="7" t="s">
        <v>7628</v>
      </c>
      <c r="U3028" s="7"/>
      <c r="V3028" s="7"/>
      <c r="W3028" s="7"/>
      <c r="X3028" s="7"/>
      <c r="Y3028" s="7" t="s">
        <v>7629</v>
      </c>
      <c r="Z3028" s="7" t="s">
        <v>1330</v>
      </c>
      <c r="AA3028" s="7"/>
      <c r="AB3028" s="7"/>
      <c r="AC3028" s="7" t="s">
        <v>7493</v>
      </c>
      <c r="AD3028" s="7"/>
      <c r="AE3028" s="7" t="s">
        <v>7630</v>
      </c>
      <c r="AF3028" s="7"/>
      <c r="AG3028" s="7"/>
      <c r="AH3028" s="7" t="s">
        <v>7494</v>
      </c>
    </row>
    <row r="3029" spans="1:34" ht="9.75" customHeight="1" x14ac:dyDescent="0.2">
      <c r="A3029" s="7" t="s">
        <v>7455</v>
      </c>
      <c r="B3029" s="7" t="s">
        <v>38</v>
      </c>
      <c r="C3029" s="7"/>
      <c r="D3029" s="7" t="s">
        <v>7631</v>
      </c>
      <c r="E3029" s="8">
        <v>4</v>
      </c>
      <c r="F3029" s="7"/>
      <c r="G3029" s="7"/>
      <c r="H3029" s="9"/>
      <c r="I3029" s="10">
        <v>1134</v>
      </c>
      <c r="J3029" s="10">
        <v>302</v>
      </c>
      <c r="K3029" s="9"/>
      <c r="L3029" s="10">
        <v>256</v>
      </c>
      <c r="M3029" s="9"/>
      <c r="N3029" s="10">
        <v>256</v>
      </c>
      <c r="O3029" s="9"/>
      <c r="P3029" s="10"/>
      <c r="Q3029" s="10"/>
      <c r="R3029" s="10"/>
      <c r="S3029" s="7" t="s">
        <v>54</v>
      </c>
      <c r="T3029" s="7" t="s">
        <v>7628</v>
      </c>
      <c r="U3029" s="7"/>
      <c r="V3029" s="7"/>
      <c r="W3029" s="7"/>
      <c r="X3029" s="7"/>
      <c r="Y3029" s="7" t="s">
        <v>7632</v>
      </c>
      <c r="Z3029" s="7" t="s">
        <v>1330</v>
      </c>
      <c r="AA3029" s="7"/>
      <c r="AB3029" s="7"/>
      <c r="AC3029" s="7" t="s">
        <v>7493</v>
      </c>
      <c r="AD3029" s="7"/>
      <c r="AE3029" s="7" t="s">
        <v>7633</v>
      </c>
      <c r="AF3029" s="7"/>
      <c r="AG3029" s="7"/>
      <c r="AH3029" s="7" t="s">
        <v>7494</v>
      </c>
    </row>
    <row r="3030" spans="1:34" ht="9.75" customHeight="1" x14ac:dyDescent="0.2">
      <c r="A3030" s="7" t="s">
        <v>7455</v>
      </c>
      <c r="B3030" s="7" t="s">
        <v>38</v>
      </c>
      <c r="C3030" s="7"/>
      <c r="D3030" s="7" t="s">
        <v>7634</v>
      </c>
      <c r="E3030" s="8">
        <v>4</v>
      </c>
      <c r="F3030" s="7"/>
      <c r="G3030" s="7"/>
      <c r="H3030" s="10">
        <v>9114</v>
      </c>
      <c r="I3030" s="10">
        <v>9250</v>
      </c>
      <c r="J3030" s="10">
        <v>10703</v>
      </c>
      <c r="K3030" s="9"/>
      <c r="L3030" s="10">
        <v>11326</v>
      </c>
      <c r="M3030" s="9"/>
      <c r="N3030" s="10">
        <v>11326</v>
      </c>
      <c r="O3030" s="9"/>
      <c r="P3030" s="10"/>
      <c r="Q3030" s="10"/>
      <c r="R3030" s="10"/>
      <c r="S3030" s="7" t="s">
        <v>54</v>
      </c>
      <c r="T3030" s="7" t="s">
        <v>7628</v>
      </c>
      <c r="U3030" s="7"/>
      <c r="V3030" s="7"/>
      <c r="W3030" s="7"/>
      <c r="X3030" s="7"/>
      <c r="Y3030" s="7" t="s">
        <v>7635</v>
      </c>
      <c r="Z3030" s="7" t="s">
        <v>1343</v>
      </c>
      <c r="AA3030" s="7"/>
      <c r="AB3030" s="7"/>
      <c r="AC3030" s="7" t="s">
        <v>7493</v>
      </c>
      <c r="AD3030" s="7"/>
      <c r="AE3030" s="7" t="s">
        <v>7636</v>
      </c>
      <c r="AF3030" s="7"/>
      <c r="AG3030" s="7"/>
      <c r="AH3030" s="7" t="s">
        <v>7494</v>
      </c>
    </row>
    <row r="3031" spans="1:34" ht="9.75" customHeight="1" x14ac:dyDescent="0.2">
      <c r="A3031" s="7" t="s">
        <v>7455</v>
      </c>
      <c r="B3031" s="7" t="s">
        <v>38</v>
      </c>
      <c r="C3031" s="7"/>
      <c r="D3031" s="7" t="s">
        <v>7637</v>
      </c>
      <c r="E3031" s="8">
        <v>4</v>
      </c>
      <c r="F3031" s="7"/>
      <c r="G3031" s="7"/>
      <c r="H3031" s="10">
        <v>20265</v>
      </c>
      <c r="I3031" s="10">
        <v>6093</v>
      </c>
      <c r="J3031" s="10">
        <v>3617</v>
      </c>
      <c r="K3031" s="9"/>
      <c r="L3031" s="10">
        <v>3936</v>
      </c>
      <c r="M3031" s="9"/>
      <c r="N3031" s="10">
        <v>3936</v>
      </c>
      <c r="O3031" s="9"/>
      <c r="P3031" s="10"/>
      <c r="Q3031" s="10"/>
      <c r="R3031" s="10"/>
      <c r="S3031" s="7" t="s">
        <v>54</v>
      </c>
      <c r="T3031" s="7" t="s">
        <v>7628</v>
      </c>
      <c r="U3031" s="7"/>
      <c r="V3031" s="7"/>
      <c r="W3031" s="7"/>
      <c r="X3031" s="7"/>
      <c r="Y3031" s="7" t="s">
        <v>7638</v>
      </c>
      <c r="Z3031" s="7" t="s">
        <v>1356</v>
      </c>
      <c r="AA3031" s="7"/>
      <c r="AB3031" s="7"/>
      <c r="AC3031" s="7" t="s">
        <v>7493</v>
      </c>
      <c r="AD3031" s="7"/>
      <c r="AE3031" s="7" t="s">
        <v>7639</v>
      </c>
      <c r="AF3031" s="7"/>
      <c r="AG3031" s="7"/>
      <c r="AH3031" s="7" t="s">
        <v>7494</v>
      </c>
    </row>
    <row r="3032" spans="1:34" ht="9.75" customHeight="1" x14ac:dyDescent="0.2">
      <c r="A3032" s="7" t="s">
        <v>7455</v>
      </c>
      <c r="B3032" s="7" t="s">
        <v>38</v>
      </c>
      <c r="C3032" s="7" t="s">
        <v>7525</v>
      </c>
      <c r="D3032" s="7" t="s">
        <v>7640</v>
      </c>
      <c r="E3032" s="8">
        <v>4</v>
      </c>
      <c r="F3032" s="7"/>
      <c r="G3032" s="7" t="s">
        <v>7641</v>
      </c>
      <c r="H3032" s="10">
        <v>47339</v>
      </c>
      <c r="I3032" s="10">
        <v>6895</v>
      </c>
      <c r="J3032" s="10">
        <v>84792</v>
      </c>
      <c r="K3032" s="9"/>
      <c r="L3032" s="10">
        <v>55986</v>
      </c>
      <c r="M3032" s="9"/>
      <c r="N3032" s="10">
        <v>55986</v>
      </c>
      <c r="O3032" s="9"/>
      <c r="P3032" s="10"/>
      <c r="Q3032" s="10"/>
      <c r="R3032" s="10"/>
      <c r="S3032" s="7" t="s">
        <v>54</v>
      </c>
      <c r="T3032" s="7" t="s">
        <v>7499</v>
      </c>
      <c r="U3032" s="7"/>
      <c r="V3032" s="7"/>
      <c r="W3032" s="7"/>
      <c r="X3032" s="7"/>
      <c r="Y3032" s="7" t="s">
        <v>7642</v>
      </c>
      <c r="Z3032" s="7" t="s">
        <v>1391</v>
      </c>
      <c r="AA3032" s="7"/>
      <c r="AB3032" s="7"/>
      <c r="AC3032" s="7" t="s">
        <v>7493</v>
      </c>
      <c r="AD3032" s="7" t="s">
        <v>7526</v>
      </c>
      <c r="AE3032" s="7" t="s">
        <v>7525</v>
      </c>
      <c r="AF3032" s="7"/>
      <c r="AG3032" s="7"/>
      <c r="AH3032" s="7" t="s">
        <v>7494</v>
      </c>
    </row>
    <row r="3033" spans="1:34" ht="9.75" customHeight="1" x14ac:dyDescent="0.2">
      <c r="A3033" s="7" t="s">
        <v>7455</v>
      </c>
      <c r="B3033" s="7" t="s">
        <v>38</v>
      </c>
      <c r="C3033" s="7"/>
      <c r="D3033" s="7" t="s">
        <v>7643</v>
      </c>
      <c r="E3033" s="8">
        <v>4</v>
      </c>
      <c r="F3033" s="7"/>
      <c r="G3033" s="7"/>
      <c r="H3033" s="10">
        <v>18422</v>
      </c>
      <c r="I3033" s="10">
        <v>2667</v>
      </c>
      <c r="J3033" s="10">
        <v>4800</v>
      </c>
      <c r="K3033" s="9"/>
      <c r="L3033" s="10">
        <v>4901</v>
      </c>
      <c r="M3033" s="9"/>
      <c r="N3033" s="10">
        <v>4901</v>
      </c>
      <c r="O3033" s="9"/>
      <c r="P3033" s="10"/>
      <c r="Q3033" s="10"/>
      <c r="R3033" s="10"/>
      <c r="S3033" s="7" t="s">
        <v>54</v>
      </c>
      <c r="T3033" s="7" t="s">
        <v>7644</v>
      </c>
      <c r="U3033" s="7" t="s">
        <v>44</v>
      </c>
      <c r="V3033" s="7" t="s">
        <v>45</v>
      </c>
      <c r="W3033" s="7" t="s">
        <v>130</v>
      </c>
      <c r="X3033" s="7" t="s">
        <v>131</v>
      </c>
      <c r="Y3033" s="7" t="s">
        <v>7645</v>
      </c>
      <c r="Z3033" s="7" t="s">
        <v>1405</v>
      </c>
      <c r="AA3033" s="7"/>
      <c r="AB3033" s="7"/>
      <c r="AC3033" s="7" t="s">
        <v>7493</v>
      </c>
      <c r="AD3033" s="7"/>
      <c r="AE3033" s="7" t="s">
        <v>7646</v>
      </c>
      <c r="AF3033" s="7"/>
      <c r="AG3033" s="7"/>
      <c r="AH3033" s="7" t="s">
        <v>7494</v>
      </c>
    </row>
    <row r="3034" spans="1:34" ht="9.75" customHeight="1" x14ac:dyDescent="0.2">
      <c r="A3034" s="7" t="s">
        <v>7455</v>
      </c>
      <c r="B3034" s="7" t="s">
        <v>38</v>
      </c>
      <c r="C3034" s="7"/>
      <c r="D3034" s="7" t="s">
        <v>7647</v>
      </c>
      <c r="E3034" s="8">
        <v>4</v>
      </c>
      <c r="F3034" s="7"/>
      <c r="G3034" s="7"/>
      <c r="H3034" s="10">
        <v>1000</v>
      </c>
      <c r="I3034" s="10">
        <v>2667</v>
      </c>
      <c r="J3034" s="10">
        <v>4800</v>
      </c>
      <c r="K3034" s="9"/>
      <c r="L3034" s="10">
        <v>4901</v>
      </c>
      <c r="M3034" s="9"/>
      <c r="N3034" s="10">
        <v>4901</v>
      </c>
      <c r="O3034" s="9"/>
      <c r="P3034" s="10"/>
      <c r="Q3034" s="10"/>
      <c r="R3034" s="10"/>
      <c r="S3034" s="7" t="s">
        <v>54</v>
      </c>
      <c r="T3034" s="7" t="s">
        <v>7644</v>
      </c>
      <c r="U3034" s="7" t="s">
        <v>44</v>
      </c>
      <c r="V3034" s="7" t="s">
        <v>45</v>
      </c>
      <c r="W3034" s="7" t="s">
        <v>130</v>
      </c>
      <c r="X3034" s="7" t="s">
        <v>131</v>
      </c>
      <c r="Y3034" s="7" t="s">
        <v>7648</v>
      </c>
      <c r="Z3034" s="7" t="s">
        <v>1405</v>
      </c>
      <c r="AA3034" s="7"/>
      <c r="AB3034" s="7"/>
      <c r="AC3034" s="7" t="s">
        <v>7493</v>
      </c>
      <c r="AD3034" s="7"/>
      <c r="AE3034" s="7" t="s">
        <v>7649</v>
      </c>
      <c r="AF3034" s="7"/>
      <c r="AG3034" s="7"/>
      <c r="AH3034" s="7" t="s">
        <v>7494</v>
      </c>
    </row>
    <row r="3035" spans="1:34" ht="9.75" customHeight="1" x14ac:dyDescent="0.2">
      <c r="A3035" s="7" t="s">
        <v>7455</v>
      </c>
      <c r="B3035" s="7" t="s">
        <v>38</v>
      </c>
      <c r="C3035" s="7"/>
      <c r="D3035" s="7" t="s">
        <v>7650</v>
      </c>
      <c r="E3035" s="8">
        <v>4</v>
      </c>
      <c r="F3035" s="7"/>
      <c r="G3035" s="7"/>
      <c r="H3035" s="9"/>
      <c r="I3035" s="9"/>
      <c r="J3035" s="9"/>
      <c r="K3035" s="9"/>
      <c r="L3035" s="10">
        <v>29567</v>
      </c>
      <c r="M3035" s="9"/>
      <c r="N3035" s="10">
        <v>29567</v>
      </c>
      <c r="O3035" s="9"/>
      <c r="P3035" s="10"/>
      <c r="Q3035" s="10"/>
      <c r="R3035" s="10"/>
      <c r="S3035" s="7" t="s">
        <v>54</v>
      </c>
      <c r="T3035" s="7" t="s">
        <v>7644</v>
      </c>
      <c r="U3035" s="7" t="s">
        <v>44</v>
      </c>
      <c r="V3035" s="7" t="s">
        <v>45</v>
      </c>
      <c r="W3035" s="7" t="s">
        <v>130</v>
      </c>
      <c r="X3035" s="7" t="s">
        <v>131</v>
      </c>
      <c r="Y3035" s="7" t="s">
        <v>7651</v>
      </c>
      <c r="Z3035" s="7" t="s">
        <v>1416</v>
      </c>
      <c r="AA3035" s="7"/>
      <c r="AB3035" s="7"/>
      <c r="AC3035" s="7" t="s">
        <v>7493</v>
      </c>
      <c r="AD3035" s="7"/>
      <c r="AE3035" s="7" t="s">
        <v>7652</v>
      </c>
      <c r="AF3035" s="7"/>
      <c r="AG3035" s="7"/>
      <c r="AH3035" s="7" t="s">
        <v>7494</v>
      </c>
    </row>
    <row r="3036" spans="1:34" ht="9.75" customHeight="1" x14ac:dyDescent="0.2">
      <c r="A3036" s="7" t="s">
        <v>7455</v>
      </c>
      <c r="B3036" s="7" t="s">
        <v>38</v>
      </c>
      <c r="C3036" s="7"/>
      <c r="D3036" s="7" t="s">
        <v>7653</v>
      </c>
      <c r="E3036" s="8">
        <v>4</v>
      </c>
      <c r="F3036" s="7"/>
      <c r="G3036" s="7"/>
      <c r="H3036" s="10">
        <v>13444</v>
      </c>
      <c r="I3036" s="10">
        <v>1561</v>
      </c>
      <c r="J3036" s="10">
        <v>11594</v>
      </c>
      <c r="K3036" s="9"/>
      <c r="L3036" s="10">
        <v>16617</v>
      </c>
      <c r="M3036" s="9"/>
      <c r="N3036" s="10">
        <v>16617</v>
      </c>
      <c r="O3036" s="9"/>
      <c r="P3036" s="10"/>
      <c r="Q3036" s="10"/>
      <c r="R3036" s="10"/>
      <c r="S3036" s="7" t="s">
        <v>54</v>
      </c>
      <c r="T3036" s="7" t="s">
        <v>7644</v>
      </c>
      <c r="U3036" s="7" t="s">
        <v>44</v>
      </c>
      <c r="V3036" s="7" t="s">
        <v>45</v>
      </c>
      <c r="W3036" s="7" t="s">
        <v>130</v>
      </c>
      <c r="X3036" s="7" t="s">
        <v>131</v>
      </c>
      <c r="Y3036" s="7" t="s">
        <v>7654</v>
      </c>
      <c r="Z3036" s="7" t="s">
        <v>1440</v>
      </c>
      <c r="AA3036" s="7"/>
      <c r="AB3036" s="7"/>
      <c r="AC3036" s="7" t="s">
        <v>7493</v>
      </c>
      <c r="AD3036" s="7"/>
      <c r="AE3036" s="7" t="s">
        <v>7655</v>
      </c>
      <c r="AF3036" s="7"/>
      <c r="AG3036" s="7"/>
      <c r="AH3036" s="7" t="s">
        <v>7494</v>
      </c>
    </row>
    <row r="3037" spans="1:34" ht="9.75" customHeight="1" x14ac:dyDescent="0.2">
      <c r="A3037" s="7" t="s">
        <v>7455</v>
      </c>
      <c r="B3037" s="7" t="s">
        <v>38</v>
      </c>
      <c r="C3037" s="7" t="s">
        <v>7656</v>
      </c>
      <c r="D3037" s="7" t="s">
        <v>7657</v>
      </c>
      <c r="E3037" s="8">
        <v>4</v>
      </c>
      <c r="F3037" s="7"/>
      <c r="G3037" s="7" t="s">
        <v>7658</v>
      </c>
      <c r="H3037" s="10">
        <v>480926</v>
      </c>
      <c r="I3037" s="10">
        <v>66622</v>
      </c>
      <c r="J3037" s="10">
        <v>73298</v>
      </c>
      <c r="K3037" s="9"/>
      <c r="L3037" s="10">
        <v>63776</v>
      </c>
      <c r="M3037" s="9"/>
      <c r="N3037" s="10">
        <v>63776</v>
      </c>
      <c r="O3037" s="9"/>
      <c r="P3037" s="10"/>
      <c r="Q3037" s="10"/>
      <c r="R3037" s="10"/>
      <c r="S3037" s="7" t="s">
        <v>54</v>
      </c>
      <c r="T3037" s="7" t="s">
        <v>7499</v>
      </c>
      <c r="U3037" s="7"/>
      <c r="V3037" s="7"/>
      <c r="W3037" s="7"/>
      <c r="X3037" s="7"/>
      <c r="Y3037" s="7" t="s">
        <v>7659</v>
      </c>
      <c r="Z3037" s="7" t="s">
        <v>1465</v>
      </c>
      <c r="AA3037" s="7"/>
      <c r="AB3037" s="7"/>
      <c r="AC3037" s="7" t="s">
        <v>7493</v>
      </c>
      <c r="AD3037" s="7" t="s">
        <v>7660</v>
      </c>
      <c r="AE3037" s="7" t="s">
        <v>7656</v>
      </c>
      <c r="AF3037" s="7"/>
      <c r="AG3037" s="7"/>
      <c r="AH3037" s="7" t="s">
        <v>7494</v>
      </c>
    </row>
    <row r="3038" spans="1:34" ht="9.75" customHeight="1" x14ac:dyDescent="0.2">
      <c r="A3038" s="7" t="s">
        <v>7455</v>
      </c>
      <c r="B3038" s="7" t="s">
        <v>38</v>
      </c>
      <c r="C3038" s="7" t="s">
        <v>7661</v>
      </c>
      <c r="D3038" s="7" t="s">
        <v>7662</v>
      </c>
      <c r="E3038" s="8">
        <v>4</v>
      </c>
      <c r="F3038" s="7"/>
      <c r="G3038" s="7"/>
      <c r="H3038" s="10">
        <v>169203</v>
      </c>
      <c r="I3038" s="10">
        <v>42796</v>
      </c>
      <c r="J3038" s="10">
        <v>33690</v>
      </c>
      <c r="K3038" s="9"/>
      <c r="L3038" s="10">
        <v>29788</v>
      </c>
      <c r="M3038" s="9"/>
      <c r="N3038" s="10">
        <v>29788</v>
      </c>
      <c r="O3038" s="9"/>
      <c r="P3038" s="10"/>
      <c r="Q3038" s="10"/>
      <c r="R3038" s="10"/>
      <c r="S3038" s="7" t="s">
        <v>54</v>
      </c>
      <c r="T3038" s="7" t="s">
        <v>7663</v>
      </c>
      <c r="U3038" s="7"/>
      <c r="V3038" s="7"/>
      <c r="W3038" s="7"/>
      <c r="X3038" s="7"/>
      <c r="Y3038" s="7" t="s">
        <v>7664</v>
      </c>
      <c r="Z3038" s="7" t="s">
        <v>1474</v>
      </c>
      <c r="AA3038" s="7"/>
      <c r="AB3038" s="7"/>
      <c r="AC3038" s="7" t="s">
        <v>7493</v>
      </c>
      <c r="AD3038" s="7"/>
      <c r="AE3038" s="7" t="s">
        <v>7665</v>
      </c>
      <c r="AF3038" s="7"/>
      <c r="AG3038" s="7"/>
      <c r="AH3038" s="7" t="s">
        <v>7494</v>
      </c>
    </row>
    <row r="3039" spans="1:34" ht="9.75" customHeight="1" x14ac:dyDescent="0.2">
      <c r="A3039" s="7" t="s">
        <v>7455</v>
      </c>
      <c r="B3039" s="7" t="s">
        <v>38</v>
      </c>
      <c r="C3039" s="7" t="s">
        <v>7666</v>
      </c>
      <c r="D3039" s="7" t="s">
        <v>7667</v>
      </c>
      <c r="E3039" s="8">
        <v>6</v>
      </c>
      <c r="F3039" s="7"/>
      <c r="G3039" s="7"/>
      <c r="H3039" s="10">
        <v>133293</v>
      </c>
      <c r="I3039" s="10">
        <v>11207</v>
      </c>
      <c r="J3039" s="10">
        <v>22179</v>
      </c>
      <c r="K3039" s="9"/>
      <c r="L3039" s="10">
        <v>3793</v>
      </c>
      <c r="M3039" s="9"/>
      <c r="N3039" s="10">
        <v>3793</v>
      </c>
      <c r="O3039" s="9"/>
      <c r="P3039" s="10"/>
      <c r="Q3039" s="10"/>
      <c r="R3039" s="10"/>
      <c r="S3039" s="7" t="s">
        <v>54</v>
      </c>
      <c r="T3039" s="7" t="s">
        <v>7663</v>
      </c>
      <c r="U3039" s="7"/>
      <c r="V3039" s="7"/>
      <c r="W3039" s="7"/>
      <c r="X3039" s="7"/>
      <c r="Y3039" s="7" t="s">
        <v>7668</v>
      </c>
      <c r="Z3039" s="7" t="s">
        <v>1474</v>
      </c>
      <c r="AA3039" s="7"/>
      <c r="AB3039" s="7"/>
      <c r="AC3039" s="7" t="s">
        <v>7493</v>
      </c>
      <c r="AD3039" s="7"/>
      <c r="AE3039" s="7" t="s">
        <v>7669</v>
      </c>
      <c r="AF3039" s="7"/>
      <c r="AG3039" s="7"/>
      <c r="AH3039" s="7" t="s">
        <v>7494</v>
      </c>
    </row>
    <row r="3040" spans="1:34" ht="9.75" customHeight="1" x14ac:dyDescent="0.2">
      <c r="A3040" s="7" t="s">
        <v>7455</v>
      </c>
      <c r="B3040" s="7" t="s">
        <v>38</v>
      </c>
      <c r="C3040" s="7"/>
      <c r="D3040" s="7" t="s">
        <v>7670</v>
      </c>
      <c r="E3040" s="8">
        <v>4</v>
      </c>
      <c r="F3040" s="7"/>
      <c r="G3040" s="7"/>
      <c r="H3040" s="10">
        <v>178430</v>
      </c>
      <c r="I3040" s="10">
        <v>12619</v>
      </c>
      <c r="J3040" s="10">
        <v>17429</v>
      </c>
      <c r="K3040" s="9"/>
      <c r="L3040" s="10">
        <v>30195</v>
      </c>
      <c r="M3040" s="9"/>
      <c r="N3040" s="10">
        <v>30195</v>
      </c>
      <c r="O3040" s="9"/>
      <c r="P3040" s="10"/>
      <c r="Q3040" s="10"/>
      <c r="R3040" s="10"/>
      <c r="S3040" s="7" t="s">
        <v>54</v>
      </c>
      <c r="T3040" s="7" t="s">
        <v>7663</v>
      </c>
      <c r="U3040" s="7"/>
      <c r="V3040" s="7"/>
      <c r="W3040" s="7"/>
      <c r="X3040" s="7"/>
      <c r="Y3040" s="7" t="s">
        <v>7671</v>
      </c>
      <c r="Z3040" s="7" t="s">
        <v>7164</v>
      </c>
      <c r="AA3040" s="7"/>
      <c r="AB3040" s="7"/>
      <c r="AC3040" s="7" t="s">
        <v>7493</v>
      </c>
      <c r="AD3040" s="7"/>
      <c r="AE3040" s="7" t="s">
        <v>7672</v>
      </c>
      <c r="AF3040" s="7"/>
      <c r="AG3040" s="7"/>
      <c r="AH3040" s="7" t="s">
        <v>7494</v>
      </c>
    </row>
    <row r="3041" spans="1:37" ht="9.75" customHeight="1" x14ac:dyDescent="0.2">
      <c r="A3041" s="7" t="s">
        <v>7455</v>
      </c>
      <c r="B3041" s="7" t="s">
        <v>38</v>
      </c>
      <c r="C3041" s="7" t="s">
        <v>7673</v>
      </c>
      <c r="D3041" s="7" t="s">
        <v>7674</v>
      </c>
      <c r="E3041" s="8">
        <v>4</v>
      </c>
      <c r="F3041" s="7"/>
      <c r="G3041" s="7" t="s">
        <v>7675</v>
      </c>
      <c r="H3041" s="10">
        <v>1155567</v>
      </c>
      <c r="I3041" s="10">
        <v>92371</v>
      </c>
      <c r="J3041" s="10">
        <v>98921</v>
      </c>
      <c r="K3041" s="9"/>
      <c r="L3041" s="10">
        <v>107709</v>
      </c>
      <c r="M3041" s="10">
        <v>0</v>
      </c>
      <c r="N3041" s="10">
        <v>107709</v>
      </c>
      <c r="O3041" s="9"/>
      <c r="P3041" s="10"/>
      <c r="Q3041" s="10"/>
      <c r="R3041" s="10"/>
      <c r="S3041" s="7" t="s">
        <v>43</v>
      </c>
      <c r="T3041" s="7"/>
      <c r="U3041" s="7"/>
      <c r="V3041" s="7"/>
      <c r="W3041" s="7"/>
      <c r="X3041" s="7"/>
      <c r="Y3041" s="7" t="s">
        <v>7676</v>
      </c>
      <c r="Z3041" s="7" t="s">
        <v>1508</v>
      </c>
      <c r="AA3041" s="7"/>
      <c r="AB3041" s="7"/>
      <c r="AC3041" s="7" t="s">
        <v>7673</v>
      </c>
      <c r="AD3041" s="7" t="s">
        <v>7677</v>
      </c>
      <c r="AE3041" s="7"/>
      <c r="AF3041" s="7"/>
      <c r="AG3041" s="7"/>
      <c r="AH3041" s="7" t="s">
        <v>7674</v>
      </c>
      <c r="AI3041">
        <v>116208</v>
      </c>
      <c r="AK3041">
        <v>116208</v>
      </c>
    </row>
    <row r="3042" spans="1:37" ht="9.75" customHeight="1" x14ac:dyDescent="0.2">
      <c r="A3042" s="7" t="s">
        <v>7455</v>
      </c>
      <c r="B3042" s="7" t="s">
        <v>38</v>
      </c>
      <c r="C3042" s="7"/>
      <c r="D3042" s="7" t="s">
        <v>7678</v>
      </c>
      <c r="E3042" s="8">
        <v>4</v>
      </c>
      <c r="F3042" s="7"/>
      <c r="G3042" s="7" t="s">
        <v>7679</v>
      </c>
      <c r="H3042" s="10">
        <v>41959</v>
      </c>
      <c r="I3042" s="10">
        <v>4735</v>
      </c>
      <c r="J3042" s="10">
        <v>4904</v>
      </c>
      <c r="K3042" s="9"/>
      <c r="L3042" s="10">
        <v>4993</v>
      </c>
      <c r="M3042" s="9"/>
      <c r="N3042" s="10">
        <v>4993</v>
      </c>
      <c r="O3042" s="9"/>
      <c r="P3042" s="10"/>
      <c r="Q3042" s="10"/>
      <c r="R3042" s="10"/>
      <c r="S3042" s="7" t="s">
        <v>54</v>
      </c>
      <c r="T3042" s="7" t="s">
        <v>7680</v>
      </c>
      <c r="U3042" s="7" t="s">
        <v>44</v>
      </c>
      <c r="V3042" s="7" t="s">
        <v>45</v>
      </c>
      <c r="W3042" s="7" t="s">
        <v>130</v>
      </c>
      <c r="X3042" s="7"/>
      <c r="Y3042" s="7" t="s">
        <v>7681</v>
      </c>
      <c r="Z3042" s="7" t="s">
        <v>1595</v>
      </c>
      <c r="AA3042" s="7"/>
      <c r="AB3042" s="7"/>
      <c r="AC3042" s="7" t="s">
        <v>7673</v>
      </c>
      <c r="AD3042" s="7" t="s">
        <v>7677</v>
      </c>
      <c r="AE3042" s="7"/>
      <c r="AF3042" s="7"/>
      <c r="AG3042" s="7"/>
      <c r="AH3042" s="7" t="s">
        <v>7674</v>
      </c>
    </row>
    <row r="3043" spans="1:37" ht="9.75" customHeight="1" x14ac:dyDescent="0.2">
      <c r="A3043" s="7" t="s">
        <v>7455</v>
      </c>
      <c r="B3043" s="7" t="s">
        <v>38</v>
      </c>
      <c r="C3043" s="7"/>
      <c r="D3043" s="7" t="s">
        <v>7682</v>
      </c>
      <c r="E3043" s="8">
        <v>4</v>
      </c>
      <c r="F3043" s="7"/>
      <c r="G3043" s="7" t="s">
        <v>7683</v>
      </c>
      <c r="H3043" s="10">
        <v>254068</v>
      </c>
      <c r="I3043" s="10">
        <v>17041</v>
      </c>
      <c r="J3043" s="10">
        <v>17095</v>
      </c>
      <c r="K3043" s="9"/>
      <c r="L3043" s="10">
        <v>23885</v>
      </c>
      <c r="M3043" s="9"/>
      <c r="N3043" s="10">
        <v>23885</v>
      </c>
      <c r="O3043" s="9"/>
      <c r="P3043" s="10"/>
      <c r="Q3043" s="10"/>
      <c r="R3043" s="10"/>
      <c r="S3043" s="7" t="s">
        <v>54</v>
      </c>
      <c r="T3043" s="7" t="s">
        <v>7680</v>
      </c>
      <c r="U3043" s="7"/>
      <c r="V3043" s="7"/>
      <c r="W3043" s="7"/>
      <c r="X3043" s="7"/>
      <c r="Y3043" s="7" t="s">
        <v>7684</v>
      </c>
      <c r="Z3043" s="7" t="s">
        <v>1595</v>
      </c>
      <c r="AA3043" s="7"/>
      <c r="AB3043" s="7"/>
      <c r="AC3043" s="7" t="s">
        <v>7673</v>
      </c>
      <c r="AD3043" s="7" t="s">
        <v>7677</v>
      </c>
      <c r="AE3043" s="7"/>
      <c r="AF3043" s="7"/>
      <c r="AG3043" s="7"/>
      <c r="AH3043" s="7" t="s">
        <v>7674</v>
      </c>
    </row>
    <row r="3044" spans="1:37" ht="9.75" customHeight="1" x14ac:dyDescent="0.2">
      <c r="A3044" s="7" t="s">
        <v>7455</v>
      </c>
      <c r="B3044" s="7" t="s">
        <v>38</v>
      </c>
      <c r="C3044" s="7"/>
      <c r="D3044" s="7" t="s">
        <v>7685</v>
      </c>
      <c r="E3044" s="8">
        <v>4</v>
      </c>
      <c r="F3044" s="7"/>
      <c r="G3044" s="7" t="s">
        <v>7686</v>
      </c>
      <c r="H3044" s="10">
        <v>40894</v>
      </c>
      <c r="I3044" s="10">
        <v>4121</v>
      </c>
      <c r="J3044" s="10">
        <v>3682</v>
      </c>
      <c r="K3044" s="9"/>
      <c r="L3044" s="10">
        <v>3486</v>
      </c>
      <c r="M3044" s="9"/>
      <c r="N3044" s="10">
        <v>3486</v>
      </c>
      <c r="O3044" s="9"/>
      <c r="P3044" s="10"/>
      <c r="Q3044" s="10"/>
      <c r="R3044" s="10"/>
      <c r="S3044" s="7" t="s">
        <v>54</v>
      </c>
      <c r="T3044" s="7" t="s">
        <v>7680</v>
      </c>
      <c r="U3044" s="7" t="s">
        <v>44</v>
      </c>
      <c r="V3044" s="7" t="s">
        <v>45</v>
      </c>
      <c r="W3044" s="7" t="s">
        <v>67</v>
      </c>
      <c r="X3044" s="7"/>
      <c r="Y3044" s="7" t="s">
        <v>7687</v>
      </c>
      <c r="Z3044" s="7" t="s">
        <v>1624</v>
      </c>
      <c r="AA3044" s="7"/>
      <c r="AB3044" s="7"/>
      <c r="AC3044" s="7" t="s">
        <v>7673</v>
      </c>
      <c r="AD3044" s="7" t="s">
        <v>7677</v>
      </c>
      <c r="AE3044" s="7"/>
      <c r="AF3044" s="7"/>
      <c r="AG3044" s="7"/>
      <c r="AH3044" s="7" t="s">
        <v>7674</v>
      </c>
    </row>
    <row r="3045" spans="1:37" ht="9.75" customHeight="1" x14ac:dyDescent="0.2">
      <c r="A3045" s="7" t="s">
        <v>7455</v>
      </c>
      <c r="B3045" s="7" t="s">
        <v>38</v>
      </c>
      <c r="C3045" s="7"/>
      <c r="D3045" s="7" t="s">
        <v>7688</v>
      </c>
      <c r="E3045" s="8">
        <v>4</v>
      </c>
      <c r="F3045" s="7"/>
      <c r="G3045" s="7" t="s">
        <v>7689</v>
      </c>
      <c r="H3045" s="10">
        <v>284560</v>
      </c>
      <c r="I3045" s="10">
        <v>26302</v>
      </c>
      <c r="J3045" s="10">
        <v>31913</v>
      </c>
      <c r="K3045" s="9"/>
      <c r="L3045" s="10">
        <v>35687</v>
      </c>
      <c r="M3045" s="9"/>
      <c r="N3045" s="10">
        <v>35687</v>
      </c>
      <c r="O3045" s="9"/>
      <c r="P3045" s="10"/>
      <c r="Q3045" s="10"/>
      <c r="R3045" s="10"/>
      <c r="S3045" s="7" t="s">
        <v>54</v>
      </c>
      <c r="T3045" s="7" t="s">
        <v>7680</v>
      </c>
      <c r="U3045" s="7"/>
      <c r="V3045" s="7"/>
      <c r="W3045" s="7"/>
      <c r="X3045" s="7"/>
      <c r="Y3045" s="7" t="s">
        <v>7690</v>
      </c>
      <c r="Z3045" s="7" t="s">
        <v>1624</v>
      </c>
      <c r="AA3045" s="7"/>
      <c r="AB3045" s="7"/>
      <c r="AC3045" s="7" t="s">
        <v>7673</v>
      </c>
      <c r="AD3045" s="7" t="s">
        <v>7677</v>
      </c>
      <c r="AE3045" s="7"/>
      <c r="AF3045" s="7"/>
      <c r="AG3045" s="7"/>
      <c r="AH3045" s="7" t="s">
        <v>7674</v>
      </c>
    </row>
    <row r="3046" spans="1:37" ht="9.75" customHeight="1" x14ac:dyDescent="0.2">
      <c r="A3046" s="7" t="s">
        <v>7455</v>
      </c>
      <c r="B3046" s="7" t="s">
        <v>38</v>
      </c>
      <c r="C3046" s="7"/>
      <c r="D3046" s="7" t="s">
        <v>7691</v>
      </c>
      <c r="E3046" s="8">
        <v>6</v>
      </c>
      <c r="F3046" s="7"/>
      <c r="G3046" s="7" t="s">
        <v>7692</v>
      </c>
      <c r="H3046" s="10">
        <v>30909</v>
      </c>
      <c r="I3046" s="10">
        <v>1581</v>
      </c>
      <c r="J3046" s="10">
        <v>1868</v>
      </c>
      <c r="K3046" s="9"/>
      <c r="L3046" s="10">
        <v>1880</v>
      </c>
      <c r="M3046" s="9"/>
      <c r="N3046" s="10">
        <v>1880</v>
      </c>
      <c r="O3046" s="9"/>
      <c r="P3046" s="10"/>
      <c r="Q3046" s="10"/>
      <c r="R3046" s="10"/>
      <c r="S3046" s="7" t="s">
        <v>54</v>
      </c>
      <c r="T3046" s="7" t="s">
        <v>7680</v>
      </c>
      <c r="U3046" s="7"/>
      <c r="V3046" s="7"/>
      <c r="W3046" s="7"/>
      <c r="X3046" s="7"/>
      <c r="Y3046" s="7" t="s">
        <v>7693</v>
      </c>
      <c r="Z3046" s="7" t="s">
        <v>1624</v>
      </c>
      <c r="AA3046" s="7"/>
      <c r="AB3046" s="7"/>
      <c r="AC3046" s="7" t="s">
        <v>7673</v>
      </c>
      <c r="AD3046" s="7" t="s">
        <v>7677</v>
      </c>
      <c r="AE3046" s="7"/>
      <c r="AF3046" s="7"/>
      <c r="AG3046" s="7"/>
      <c r="AH3046" s="7" t="s">
        <v>7674</v>
      </c>
    </row>
    <row r="3047" spans="1:37" ht="9.75" customHeight="1" x14ac:dyDescent="0.2">
      <c r="A3047" s="7" t="s">
        <v>7455</v>
      </c>
      <c r="B3047" s="7" t="s">
        <v>38</v>
      </c>
      <c r="C3047" s="7"/>
      <c r="D3047" s="7" t="s">
        <v>7694</v>
      </c>
      <c r="E3047" s="8">
        <v>6</v>
      </c>
      <c r="F3047" s="7"/>
      <c r="G3047" s="7" t="s">
        <v>7695</v>
      </c>
      <c r="H3047" s="10">
        <v>177207</v>
      </c>
      <c r="I3047" s="10">
        <v>11938</v>
      </c>
      <c r="J3047" s="10">
        <v>12534</v>
      </c>
      <c r="K3047" s="9"/>
      <c r="L3047" s="10">
        <v>12685</v>
      </c>
      <c r="M3047" s="9"/>
      <c r="N3047" s="10">
        <v>12685</v>
      </c>
      <c r="O3047" s="9"/>
      <c r="P3047" s="10"/>
      <c r="Q3047" s="10"/>
      <c r="R3047" s="10"/>
      <c r="S3047" s="7" t="s">
        <v>54</v>
      </c>
      <c r="T3047" s="7" t="s">
        <v>7680</v>
      </c>
      <c r="U3047" s="7"/>
      <c r="V3047" s="7"/>
      <c r="W3047" s="7"/>
      <c r="X3047" s="7"/>
      <c r="Y3047" s="7" t="s">
        <v>7696</v>
      </c>
      <c r="Z3047" s="7" t="s">
        <v>1624</v>
      </c>
      <c r="AA3047" s="7"/>
      <c r="AB3047" s="7"/>
      <c r="AC3047" s="7" t="s">
        <v>7673</v>
      </c>
      <c r="AD3047" s="7" t="s">
        <v>7677</v>
      </c>
      <c r="AE3047" s="7"/>
      <c r="AF3047" s="7"/>
      <c r="AG3047" s="7"/>
      <c r="AH3047" s="7" t="s">
        <v>7674</v>
      </c>
    </row>
    <row r="3048" spans="1:37" ht="9.75" customHeight="1" x14ac:dyDescent="0.2">
      <c r="A3048" s="7" t="s">
        <v>7455</v>
      </c>
      <c r="B3048" s="7" t="s">
        <v>38</v>
      </c>
      <c r="C3048" s="7"/>
      <c r="D3048" s="7" t="s">
        <v>7697</v>
      </c>
      <c r="E3048" s="8">
        <v>6</v>
      </c>
      <c r="F3048" s="7"/>
      <c r="G3048" s="7" t="s">
        <v>7698</v>
      </c>
      <c r="H3048" s="10">
        <v>66276</v>
      </c>
      <c r="I3048" s="10">
        <v>5323</v>
      </c>
      <c r="J3048" s="10">
        <v>5324</v>
      </c>
      <c r="K3048" s="9"/>
      <c r="L3048" s="10">
        <v>4927</v>
      </c>
      <c r="M3048" s="9"/>
      <c r="N3048" s="10">
        <v>4927</v>
      </c>
      <c r="O3048" s="9"/>
      <c r="P3048" s="10"/>
      <c r="Q3048" s="10"/>
      <c r="R3048" s="10"/>
      <c r="S3048" s="7" t="s">
        <v>54</v>
      </c>
      <c r="T3048" s="7" t="s">
        <v>7680</v>
      </c>
      <c r="U3048" s="7"/>
      <c r="V3048" s="7"/>
      <c r="W3048" s="7"/>
      <c r="X3048" s="7"/>
      <c r="Y3048" s="7" t="s">
        <v>7699</v>
      </c>
      <c r="Z3048" s="7" t="s">
        <v>1635</v>
      </c>
      <c r="AA3048" s="7"/>
      <c r="AB3048" s="7"/>
      <c r="AC3048" s="7" t="s">
        <v>7673</v>
      </c>
      <c r="AD3048" s="7" t="s">
        <v>7677</v>
      </c>
      <c r="AE3048" s="7"/>
      <c r="AF3048" s="7"/>
      <c r="AG3048" s="7"/>
      <c r="AH3048" s="7" t="s">
        <v>7674</v>
      </c>
    </row>
    <row r="3049" spans="1:37" ht="9.75" customHeight="1" x14ac:dyDescent="0.2">
      <c r="A3049" s="7" t="s">
        <v>7455</v>
      </c>
      <c r="B3049" s="7" t="s">
        <v>38</v>
      </c>
      <c r="C3049" s="7"/>
      <c r="D3049" s="7" t="s">
        <v>7700</v>
      </c>
      <c r="E3049" s="8">
        <v>6</v>
      </c>
      <c r="F3049" s="7"/>
      <c r="G3049" s="7" t="s">
        <v>7701</v>
      </c>
      <c r="H3049" s="10">
        <v>62028</v>
      </c>
      <c r="I3049" s="10">
        <v>5043</v>
      </c>
      <c r="J3049" s="10">
        <v>5044</v>
      </c>
      <c r="K3049" s="9"/>
      <c r="L3049" s="10">
        <v>4783</v>
      </c>
      <c r="M3049" s="9"/>
      <c r="N3049" s="10">
        <v>4783</v>
      </c>
      <c r="O3049" s="9"/>
      <c r="P3049" s="10"/>
      <c r="Q3049" s="10"/>
      <c r="R3049" s="10"/>
      <c r="S3049" s="7" t="s">
        <v>54</v>
      </c>
      <c r="T3049" s="7" t="s">
        <v>7680</v>
      </c>
      <c r="U3049" s="7"/>
      <c r="V3049" s="7"/>
      <c r="W3049" s="7"/>
      <c r="X3049" s="7"/>
      <c r="Y3049" s="7" t="s">
        <v>7702</v>
      </c>
      <c r="Z3049" s="7" t="s">
        <v>1635</v>
      </c>
      <c r="AA3049" s="7"/>
      <c r="AB3049" s="7"/>
      <c r="AC3049" s="7" t="s">
        <v>7673</v>
      </c>
      <c r="AD3049" s="7" t="s">
        <v>7677</v>
      </c>
      <c r="AE3049" s="7"/>
      <c r="AF3049" s="7"/>
      <c r="AG3049" s="7"/>
      <c r="AH3049" s="7" t="s">
        <v>7674</v>
      </c>
    </row>
    <row r="3050" spans="1:37" ht="9.75" customHeight="1" x14ac:dyDescent="0.2">
      <c r="A3050" s="7" t="s">
        <v>7455</v>
      </c>
      <c r="B3050" s="7" t="s">
        <v>38</v>
      </c>
      <c r="C3050" s="7"/>
      <c r="D3050" s="7" t="s">
        <v>7703</v>
      </c>
      <c r="E3050" s="8">
        <v>6</v>
      </c>
      <c r="F3050" s="7"/>
      <c r="G3050" s="7" t="s">
        <v>7704</v>
      </c>
      <c r="H3050" s="10">
        <v>173638</v>
      </c>
      <c r="I3050" s="10">
        <v>16287</v>
      </c>
      <c r="J3050" s="10">
        <v>16557</v>
      </c>
      <c r="K3050" s="9"/>
      <c r="L3050" s="10">
        <v>15383</v>
      </c>
      <c r="M3050" s="9"/>
      <c r="N3050" s="10">
        <v>15383</v>
      </c>
      <c r="O3050" s="9"/>
      <c r="P3050" s="10"/>
      <c r="Q3050" s="10"/>
      <c r="R3050" s="10"/>
      <c r="S3050" s="7" t="s">
        <v>54</v>
      </c>
      <c r="T3050" s="7" t="s">
        <v>7680</v>
      </c>
      <c r="U3050" s="7"/>
      <c r="V3050" s="7"/>
      <c r="W3050" s="7"/>
      <c r="X3050" s="7"/>
      <c r="Y3050" s="7" t="s">
        <v>7705</v>
      </c>
      <c r="Z3050" s="7" t="s">
        <v>1635</v>
      </c>
      <c r="AA3050" s="7"/>
      <c r="AB3050" s="7"/>
      <c r="AC3050" s="7" t="s">
        <v>7673</v>
      </c>
      <c r="AD3050" s="7" t="s">
        <v>7677</v>
      </c>
      <c r="AE3050" s="7"/>
      <c r="AF3050" s="7"/>
      <c r="AG3050" s="7"/>
      <c r="AH3050" s="7" t="s">
        <v>7674</v>
      </c>
    </row>
    <row r="3051" spans="1:37" ht="9.75" customHeight="1" x14ac:dyDescent="0.2">
      <c r="A3051" s="7" t="s">
        <v>7455</v>
      </c>
      <c r="B3051" s="7" t="s">
        <v>38</v>
      </c>
      <c r="C3051" s="7" t="s">
        <v>7706</v>
      </c>
      <c r="D3051" s="7" t="s">
        <v>7707</v>
      </c>
      <c r="E3051" s="8">
        <v>4</v>
      </c>
      <c r="F3051" s="7" t="s">
        <v>293</v>
      </c>
      <c r="G3051" s="7" t="s">
        <v>7708</v>
      </c>
      <c r="H3051" s="10">
        <v>0</v>
      </c>
      <c r="I3051" s="10">
        <v>0</v>
      </c>
      <c r="J3051" s="10">
        <v>0</v>
      </c>
      <c r="K3051" s="9"/>
      <c r="L3051" s="10">
        <v>67264</v>
      </c>
      <c r="M3051" s="10">
        <v>0</v>
      </c>
      <c r="N3051" s="10">
        <v>67264</v>
      </c>
      <c r="O3051" s="9"/>
      <c r="P3051" s="10"/>
      <c r="Q3051" s="10"/>
      <c r="R3051" s="10"/>
      <c r="S3051" s="7" t="s">
        <v>43</v>
      </c>
      <c r="T3051" s="7"/>
      <c r="U3051" s="7" t="s">
        <v>44</v>
      </c>
      <c r="V3051" s="7" t="s">
        <v>45</v>
      </c>
      <c r="W3051" s="7" t="s">
        <v>46</v>
      </c>
      <c r="X3051" s="7" t="s">
        <v>90</v>
      </c>
      <c r="Y3051" s="7" t="s">
        <v>7709</v>
      </c>
      <c r="Z3051" s="7" t="s">
        <v>1706</v>
      </c>
      <c r="AA3051" s="7"/>
      <c r="AB3051" s="7"/>
      <c r="AC3051" s="7" t="s">
        <v>7706</v>
      </c>
      <c r="AD3051" s="7" t="s">
        <v>7710</v>
      </c>
      <c r="AE3051" s="7"/>
      <c r="AF3051" s="7"/>
      <c r="AG3051" s="7"/>
      <c r="AH3051" s="7" t="s">
        <v>7707</v>
      </c>
      <c r="AI3051">
        <v>188430</v>
      </c>
      <c r="AK3051">
        <v>188430</v>
      </c>
    </row>
    <row r="3052" spans="1:37" ht="9.75" customHeight="1" x14ac:dyDescent="0.2">
      <c r="A3052" s="7" t="s">
        <v>7455</v>
      </c>
      <c r="B3052" s="7" t="s">
        <v>38</v>
      </c>
      <c r="C3052" s="7"/>
      <c r="D3052" s="7" t="s">
        <v>7711</v>
      </c>
      <c r="E3052" s="8">
        <v>4</v>
      </c>
      <c r="F3052" s="7" t="s">
        <v>293</v>
      </c>
      <c r="G3052" s="7"/>
      <c r="H3052" s="9"/>
      <c r="I3052" s="9"/>
      <c r="J3052" s="9"/>
      <c r="K3052" s="9"/>
      <c r="L3052" s="10">
        <v>67264</v>
      </c>
      <c r="M3052" s="9"/>
      <c r="N3052" s="10">
        <v>67264</v>
      </c>
      <c r="O3052" s="9"/>
      <c r="P3052" s="10"/>
      <c r="Q3052" s="10"/>
      <c r="R3052" s="10"/>
      <c r="S3052" s="7" t="s">
        <v>54</v>
      </c>
      <c r="T3052" s="7" t="s">
        <v>7712</v>
      </c>
      <c r="U3052" s="7" t="s">
        <v>44</v>
      </c>
      <c r="V3052" s="7" t="s">
        <v>45</v>
      </c>
      <c r="W3052" s="7" t="s">
        <v>46</v>
      </c>
      <c r="X3052" s="7" t="s">
        <v>90</v>
      </c>
      <c r="Y3052" s="7" t="s">
        <v>7713</v>
      </c>
      <c r="Z3052" s="7" t="s">
        <v>1734</v>
      </c>
      <c r="AA3052" s="7"/>
      <c r="AB3052" s="7"/>
      <c r="AC3052" s="7" t="s">
        <v>7706</v>
      </c>
      <c r="AD3052" s="7" t="s">
        <v>7710</v>
      </c>
      <c r="AE3052" s="7"/>
      <c r="AF3052" s="7"/>
      <c r="AG3052" s="7"/>
      <c r="AH3052" s="7" t="s">
        <v>7707</v>
      </c>
    </row>
    <row r="3053" spans="1:37" ht="9.75" customHeight="1" x14ac:dyDescent="0.2">
      <c r="A3053" s="7" t="s">
        <v>7455</v>
      </c>
      <c r="B3053" s="7" t="s">
        <v>38</v>
      </c>
      <c r="C3053" s="7" t="s">
        <v>7714</v>
      </c>
      <c r="D3053" s="7" t="s">
        <v>7715</v>
      </c>
      <c r="E3053" s="8">
        <v>4</v>
      </c>
      <c r="F3053" s="7"/>
      <c r="G3053" s="7" t="s">
        <v>7716</v>
      </c>
      <c r="H3053" s="10">
        <v>2389096</v>
      </c>
      <c r="I3053" s="10">
        <v>322524</v>
      </c>
      <c r="J3053" s="10">
        <v>320691</v>
      </c>
      <c r="K3053" s="9"/>
      <c r="L3053" s="10">
        <v>491179</v>
      </c>
      <c r="M3053" s="10">
        <v>0</v>
      </c>
      <c r="N3053" s="10">
        <v>491179</v>
      </c>
      <c r="O3053" s="9"/>
      <c r="P3053" s="10">
        <v>1820</v>
      </c>
      <c r="Q3053" s="10">
        <v>491179</v>
      </c>
      <c r="R3053" s="10">
        <v>492999</v>
      </c>
      <c r="S3053" s="7" t="s">
        <v>43</v>
      </c>
      <c r="T3053" s="7"/>
      <c r="U3053" s="7" t="s">
        <v>44</v>
      </c>
      <c r="V3053" s="7" t="s">
        <v>45</v>
      </c>
      <c r="W3053" s="7" t="s">
        <v>46</v>
      </c>
      <c r="X3053" s="7" t="s">
        <v>47</v>
      </c>
      <c r="Y3053" s="7" t="s">
        <v>7717</v>
      </c>
      <c r="Z3053" s="7" t="s">
        <v>1803</v>
      </c>
      <c r="AA3053" s="7"/>
      <c r="AB3053" s="7"/>
      <c r="AC3053" s="7" t="s">
        <v>7714</v>
      </c>
      <c r="AD3053" s="7"/>
      <c r="AE3053" s="7"/>
      <c r="AF3053" s="7" t="s">
        <v>5521</v>
      </c>
      <c r="AG3053" s="7" t="s">
        <v>5522</v>
      </c>
      <c r="AH3053" s="7" t="s">
        <v>7715</v>
      </c>
      <c r="AI3053">
        <v>327941</v>
      </c>
      <c r="AK3053">
        <v>327941</v>
      </c>
    </row>
    <row r="3054" spans="1:37" ht="9.75" customHeight="1" x14ac:dyDescent="0.2">
      <c r="A3054" s="7" t="s">
        <v>7455</v>
      </c>
      <c r="B3054" s="7" t="s">
        <v>38</v>
      </c>
      <c r="C3054" s="7"/>
      <c r="D3054" s="7" t="s">
        <v>7718</v>
      </c>
      <c r="E3054" s="8">
        <v>4</v>
      </c>
      <c r="F3054" s="7"/>
      <c r="G3054" s="7"/>
      <c r="H3054" s="10">
        <v>110597</v>
      </c>
      <c r="I3054" s="10">
        <v>4086</v>
      </c>
      <c r="J3054" s="10">
        <v>4159</v>
      </c>
      <c r="K3054" s="9"/>
      <c r="L3054" s="10">
        <v>8598</v>
      </c>
      <c r="M3054" s="9"/>
      <c r="N3054" s="10">
        <v>8598</v>
      </c>
      <c r="O3054" s="9"/>
      <c r="P3054" s="10"/>
      <c r="Q3054" s="10"/>
      <c r="R3054" s="10"/>
      <c r="S3054" s="7" t="s">
        <v>54</v>
      </c>
      <c r="T3054" s="7" t="s">
        <v>7719</v>
      </c>
      <c r="U3054" s="7" t="s">
        <v>44</v>
      </c>
      <c r="V3054" s="7" t="s">
        <v>45</v>
      </c>
      <c r="W3054" s="7" t="s">
        <v>46</v>
      </c>
      <c r="X3054" s="7" t="s">
        <v>47</v>
      </c>
      <c r="Y3054" s="7" t="s">
        <v>7720</v>
      </c>
      <c r="Z3054" s="7" t="s">
        <v>1859</v>
      </c>
      <c r="AA3054" s="7"/>
      <c r="AB3054" s="7"/>
      <c r="AC3054" s="7" t="s">
        <v>7714</v>
      </c>
      <c r="AD3054" s="7" t="s">
        <v>7721</v>
      </c>
      <c r="AE3054" s="7"/>
      <c r="AF3054" s="7" t="s">
        <v>5521</v>
      </c>
      <c r="AG3054" s="7" t="s">
        <v>5522</v>
      </c>
      <c r="AH3054" s="7" t="s">
        <v>7715</v>
      </c>
    </row>
    <row r="3055" spans="1:37" ht="9.75" customHeight="1" x14ac:dyDescent="0.2">
      <c r="A3055" s="7" t="s">
        <v>7455</v>
      </c>
      <c r="B3055" s="7" t="s">
        <v>38</v>
      </c>
      <c r="C3055" s="7"/>
      <c r="D3055" s="7" t="s">
        <v>7722</v>
      </c>
      <c r="E3055" s="8">
        <v>4</v>
      </c>
      <c r="F3055" s="7"/>
      <c r="G3055" s="7"/>
      <c r="H3055" s="10">
        <v>6076</v>
      </c>
      <c r="I3055" s="10">
        <v>4086</v>
      </c>
      <c r="J3055" s="9"/>
      <c r="K3055" s="9"/>
      <c r="L3055" s="10">
        <v>4885</v>
      </c>
      <c r="M3055" s="9"/>
      <c r="N3055" s="10">
        <v>4885</v>
      </c>
      <c r="O3055" s="9"/>
      <c r="P3055" s="10"/>
      <c r="Q3055" s="10"/>
      <c r="R3055" s="10"/>
      <c r="S3055" s="7" t="s">
        <v>54</v>
      </c>
      <c r="T3055" s="7" t="s">
        <v>7718</v>
      </c>
      <c r="U3055" s="7"/>
      <c r="V3055" s="7"/>
      <c r="W3055" s="7"/>
      <c r="X3055" s="7"/>
      <c r="Y3055" s="7" t="s">
        <v>7723</v>
      </c>
      <c r="Z3055" s="7" t="s">
        <v>1859</v>
      </c>
      <c r="AA3055" s="7"/>
      <c r="AB3055" s="7"/>
      <c r="AC3055" s="7" t="s">
        <v>7714</v>
      </c>
      <c r="AD3055" s="7"/>
      <c r="AE3055" s="7"/>
      <c r="AF3055" s="7" t="s">
        <v>5521</v>
      </c>
      <c r="AG3055" s="7" t="s">
        <v>5522</v>
      </c>
      <c r="AH3055" s="7" t="s">
        <v>7715</v>
      </c>
    </row>
    <row r="3056" spans="1:37" ht="9.75" customHeight="1" x14ac:dyDescent="0.2">
      <c r="A3056" s="7" t="s">
        <v>7455</v>
      </c>
      <c r="B3056" s="7" t="s">
        <v>38</v>
      </c>
      <c r="C3056" s="7"/>
      <c r="D3056" s="7" t="s">
        <v>7724</v>
      </c>
      <c r="E3056" s="8">
        <v>4</v>
      </c>
      <c r="F3056" s="7"/>
      <c r="G3056" s="7"/>
      <c r="H3056" s="9"/>
      <c r="I3056" s="9"/>
      <c r="J3056" s="9"/>
      <c r="K3056" s="9"/>
      <c r="L3056" s="10">
        <v>3713</v>
      </c>
      <c r="M3056" s="9"/>
      <c r="N3056" s="10">
        <v>3713</v>
      </c>
      <c r="O3056" s="9"/>
      <c r="P3056" s="10"/>
      <c r="Q3056" s="10"/>
      <c r="R3056" s="10"/>
      <c r="S3056" s="7" t="s">
        <v>54</v>
      </c>
      <c r="T3056" s="7" t="s">
        <v>7718</v>
      </c>
      <c r="U3056" s="7"/>
      <c r="V3056" s="7"/>
      <c r="W3056" s="7"/>
      <c r="X3056" s="7"/>
      <c r="Y3056" s="7" t="s">
        <v>7725</v>
      </c>
      <c r="Z3056" s="7" t="s">
        <v>1859</v>
      </c>
      <c r="AA3056" s="7"/>
      <c r="AB3056" s="7"/>
      <c r="AC3056" s="7" t="s">
        <v>7714</v>
      </c>
      <c r="AD3056" s="7" t="s">
        <v>7726</v>
      </c>
      <c r="AE3056" s="7"/>
      <c r="AF3056" s="7" t="s">
        <v>5521</v>
      </c>
      <c r="AG3056" s="7" t="s">
        <v>5522</v>
      </c>
      <c r="AH3056" s="7" t="s">
        <v>7715</v>
      </c>
    </row>
    <row r="3057" spans="1:34" ht="9.75" customHeight="1" x14ac:dyDescent="0.2">
      <c r="A3057" s="7" t="s">
        <v>7455</v>
      </c>
      <c r="B3057" s="7" t="s">
        <v>38</v>
      </c>
      <c r="C3057" s="7"/>
      <c r="D3057" s="7" t="s">
        <v>7727</v>
      </c>
      <c r="E3057" s="8">
        <v>6</v>
      </c>
      <c r="F3057" s="7"/>
      <c r="G3057" s="7"/>
      <c r="H3057" s="10">
        <v>278585</v>
      </c>
      <c r="I3057" s="10">
        <v>38198</v>
      </c>
      <c r="J3057" s="10">
        <v>34492</v>
      </c>
      <c r="K3057" s="9"/>
      <c r="L3057" s="10">
        <v>32100</v>
      </c>
      <c r="M3057" s="9"/>
      <c r="N3057" s="10">
        <v>32100</v>
      </c>
      <c r="O3057" s="9"/>
      <c r="P3057" s="10"/>
      <c r="Q3057" s="10"/>
      <c r="R3057" s="10"/>
      <c r="S3057" s="7" t="s">
        <v>54</v>
      </c>
      <c r="T3057" s="7" t="s">
        <v>7719</v>
      </c>
      <c r="U3057" s="7" t="s">
        <v>44</v>
      </c>
      <c r="V3057" s="7" t="s">
        <v>45</v>
      </c>
      <c r="W3057" s="7" t="s">
        <v>46</v>
      </c>
      <c r="X3057" s="7" t="s">
        <v>47</v>
      </c>
      <c r="Y3057" s="7" t="s">
        <v>7728</v>
      </c>
      <c r="Z3057" s="7" t="s">
        <v>1873</v>
      </c>
      <c r="AA3057" s="7"/>
      <c r="AB3057" s="7"/>
      <c r="AC3057" s="7" t="s">
        <v>7714</v>
      </c>
      <c r="AD3057" s="7" t="s">
        <v>7729</v>
      </c>
      <c r="AE3057" s="7"/>
      <c r="AF3057" s="7" t="s">
        <v>5521</v>
      </c>
      <c r="AG3057" s="7" t="s">
        <v>5522</v>
      </c>
      <c r="AH3057" s="7" t="s">
        <v>7715</v>
      </c>
    </row>
    <row r="3058" spans="1:34" ht="9.75" customHeight="1" x14ac:dyDescent="0.2">
      <c r="A3058" s="7" t="s">
        <v>7455</v>
      </c>
      <c r="B3058" s="7" t="s">
        <v>38</v>
      </c>
      <c r="C3058" s="7"/>
      <c r="D3058" s="7" t="s">
        <v>7730</v>
      </c>
      <c r="E3058" s="8">
        <v>6</v>
      </c>
      <c r="F3058" s="7"/>
      <c r="G3058" s="7"/>
      <c r="H3058" s="10">
        <v>68516</v>
      </c>
      <c r="I3058" s="10">
        <v>12047</v>
      </c>
      <c r="J3058" s="10">
        <v>8143</v>
      </c>
      <c r="K3058" s="9"/>
      <c r="L3058" s="10">
        <v>7850</v>
      </c>
      <c r="M3058" s="9"/>
      <c r="N3058" s="10">
        <v>7850</v>
      </c>
      <c r="O3058" s="9"/>
      <c r="P3058" s="10"/>
      <c r="Q3058" s="10"/>
      <c r="R3058" s="10"/>
      <c r="S3058" s="7" t="s">
        <v>54</v>
      </c>
      <c r="T3058" s="7" t="s">
        <v>7727</v>
      </c>
      <c r="U3058" s="7"/>
      <c r="V3058" s="7"/>
      <c r="W3058" s="7"/>
      <c r="X3058" s="7"/>
      <c r="Y3058" s="7" t="s">
        <v>7731</v>
      </c>
      <c r="Z3058" s="7" t="s">
        <v>1873</v>
      </c>
      <c r="AA3058" s="7"/>
      <c r="AB3058" s="7"/>
      <c r="AC3058" s="7" t="s">
        <v>7714</v>
      </c>
      <c r="AD3058" s="7"/>
      <c r="AE3058" s="7"/>
      <c r="AF3058" s="7" t="s">
        <v>5521</v>
      </c>
      <c r="AG3058" s="7" t="s">
        <v>5522</v>
      </c>
      <c r="AH3058" s="7" t="s">
        <v>7715</v>
      </c>
    </row>
    <row r="3059" spans="1:34" ht="9.75" customHeight="1" x14ac:dyDescent="0.2">
      <c r="A3059" s="7" t="s">
        <v>7455</v>
      </c>
      <c r="B3059" s="7" t="s">
        <v>38</v>
      </c>
      <c r="C3059" s="7"/>
      <c r="D3059" s="7" t="s">
        <v>7732</v>
      </c>
      <c r="E3059" s="8">
        <v>6</v>
      </c>
      <c r="F3059" s="7"/>
      <c r="G3059" s="7"/>
      <c r="H3059" s="10">
        <v>39280</v>
      </c>
      <c r="I3059" s="10">
        <v>8473</v>
      </c>
      <c r="J3059" s="10">
        <v>8319</v>
      </c>
      <c r="K3059" s="9"/>
      <c r="L3059" s="10">
        <v>3634</v>
      </c>
      <c r="M3059" s="9"/>
      <c r="N3059" s="10">
        <v>3634</v>
      </c>
      <c r="O3059" s="9"/>
      <c r="P3059" s="10"/>
      <c r="Q3059" s="10"/>
      <c r="R3059" s="10"/>
      <c r="S3059" s="7" t="s">
        <v>54</v>
      </c>
      <c r="T3059" s="7" t="s">
        <v>7727</v>
      </c>
      <c r="U3059" s="7"/>
      <c r="V3059" s="7"/>
      <c r="W3059" s="7"/>
      <c r="X3059" s="7"/>
      <c r="Y3059" s="7" t="s">
        <v>7733</v>
      </c>
      <c r="Z3059" s="7" t="s">
        <v>1873</v>
      </c>
      <c r="AA3059" s="7"/>
      <c r="AB3059" s="7"/>
      <c r="AC3059" s="7" t="s">
        <v>7714</v>
      </c>
      <c r="AD3059" s="7" t="s">
        <v>7726</v>
      </c>
      <c r="AE3059" s="7"/>
      <c r="AF3059" s="7" t="s">
        <v>5521</v>
      </c>
      <c r="AG3059" s="7" t="s">
        <v>5522</v>
      </c>
      <c r="AH3059" s="7" t="s">
        <v>7715</v>
      </c>
    </row>
    <row r="3060" spans="1:34" ht="9.75" customHeight="1" x14ac:dyDescent="0.2">
      <c r="A3060" s="7" t="s">
        <v>7455</v>
      </c>
      <c r="B3060" s="7" t="s">
        <v>38</v>
      </c>
      <c r="C3060" s="7"/>
      <c r="D3060" s="7" t="s">
        <v>7734</v>
      </c>
      <c r="E3060" s="8">
        <v>4</v>
      </c>
      <c r="F3060" s="7"/>
      <c r="G3060" s="7"/>
      <c r="H3060" s="10">
        <v>8046</v>
      </c>
      <c r="I3060" s="10">
        <v>983</v>
      </c>
      <c r="J3060" s="10">
        <v>1002</v>
      </c>
      <c r="K3060" s="9"/>
      <c r="L3060" s="10">
        <v>1022</v>
      </c>
      <c r="M3060" s="9"/>
      <c r="N3060" s="10">
        <v>1022</v>
      </c>
      <c r="O3060" s="9"/>
      <c r="P3060" s="10"/>
      <c r="Q3060" s="10"/>
      <c r="R3060" s="10"/>
      <c r="S3060" s="7" t="s">
        <v>54</v>
      </c>
      <c r="T3060" s="7" t="s">
        <v>7727</v>
      </c>
      <c r="U3060" s="7"/>
      <c r="V3060" s="7"/>
      <c r="W3060" s="7"/>
      <c r="X3060" s="7"/>
      <c r="Y3060" s="7" t="s">
        <v>7735</v>
      </c>
      <c r="Z3060" s="7" t="s">
        <v>1873</v>
      </c>
      <c r="AA3060" s="7"/>
      <c r="AB3060" s="7"/>
      <c r="AC3060" s="7" t="s">
        <v>7714</v>
      </c>
      <c r="AD3060" s="7"/>
      <c r="AE3060" s="7"/>
      <c r="AF3060" s="7" t="s">
        <v>5521</v>
      </c>
      <c r="AG3060" s="7" t="s">
        <v>5522</v>
      </c>
      <c r="AH3060" s="7" t="s">
        <v>7715</v>
      </c>
    </row>
    <row r="3061" spans="1:34" ht="9.75" customHeight="1" x14ac:dyDescent="0.2">
      <c r="A3061" s="7" t="s">
        <v>7455</v>
      </c>
      <c r="B3061" s="7" t="s">
        <v>38</v>
      </c>
      <c r="C3061" s="7"/>
      <c r="D3061" s="7" t="s">
        <v>7736</v>
      </c>
      <c r="E3061" s="8">
        <v>6</v>
      </c>
      <c r="F3061" s="7"/>
      <c r="G3061" s="7"/>
      <c r="H3061" s="10">
        <v>16797</v>
      </c>
      <c r="I3061" s="10">
        <v>3216</v>
      </c>
      <c r="J3061" s="10">
        <v>3280</v>
      </c>
      <c r="K3061" s="9"/>
      <c r="L3061" s="10">
        <v>5297</v>
      </c>
      <c r="M3061" s="9"/>
      <c r="N3061" s="10">
        <v>5297</v>
      </c>
      <c r="O3061" s="9"/>
      <c r="P3061" s="10"/>
      <c r="Q3061" s="10"/>
      <c r="R3061" s="10"/>
      <c r="S3061" s="7" t="s">
        <v>54</v>
      </c>
      <c r="T3061" s="7" t="s">
        <v>7727</v>
      </c>
      <c r="U3061" s="7"/>
      <c r="V3061" s="7"/>
      <c r="W3061" s="7"/>
      <c r="X3061" s="7"/>
      <c r="Y3061" s="7" t="s">
        <v>7737</v>
      </c>
      <c r="Z3061" s="7" t="s">
        <v>1873</v>
      </c>
      <c r="AA3061" s="7"/>
      <c r="AB3061" s="7"/>
      <c r="AC3061" s="7" t="s">
        <v>7714</v>
      </c>
      <c r="AD3061" s="7"/>
      <c r="AE3061" s="7"/>
      <c r="AF3061" s="7" t="s">
        <v>5521</v>
      </c>
      <c r="AG3061" s="7" t="s">
        <v>5522</v>
      </c>
      <c r="AH3061" s="7" t="s">
        <v>7715</v>
      </c>
    </row>
    <row r="3062" spans="1:34" ht="9.75" customHeight="1" x14ac:dyDescent="0.2">
      <c r="A3062" s="7" t="s">
        <v>7455</v>
      </c>
      <c r="B3062" s="7" t="s">
        <v>38</v>
      </c>
      <c r="C3062" s="7"/>
      <c r="D3062" s="7" t="s">
        <v>7738</v>
      </c>
      <c r="E3062" s="8">
        <v>4</v>
      </c>
      <c r="F3062" s="7"/>
      <c r="G3062" s="7"/>
      <c r="H3062" s="10">
        <v>93659</v>
      </c>
      <c r="I3062" s="10">
        <v>13479</v>
      </c>
      <c r="J3062" s="10">
        <v>13748</v>
      </c>
      <c r="K3062" s="9"/>
      <c r="L3062" s="10">
        <v>14297</v>
      </c>
      <c r="M3062" s="9"/>
      <c r="N3062" s="10">
        <v>14297</v>
      </c>
      <c r="O3062" s="9"/>
      <c r="P3062" s="10"/>
      <c r="Q3062" s="10"/>
      <c r="R3062" s="10"/>
      <c r="S3062" s="7" t="s">
        <v>54</v>
      </c>
      <c r="T3062" s="7" t="s">
        <v>7727</v>
      </c>
      <c r="U3062" s="7"/>
      <c r="V3062" s="7"/>
      <c r="W3062" s="7"/>
      <c r="X3062" s="7"/>
      <c r="Y3062" s="7" t="s">
        <v>7739</v>
      </c>
      <c r="Z3062" s="7" t="s">
        <v>1873</v>
      </c>
      <c r="AA3062" s="7"/>
      <c r="AB3062" s="7"/>
      <c r="AC3062" s="7" t="s">
        <v>7714</v>
      </c>
      <c r="AD3062" s="7"/>
      <c r="AE3062" s="7"/>
      <c r="AF3062" s="7" t="s">
        <v>5521</v>
      </c>
      <c r="AG3062" s="7" t="s">
        <v>5522</v>
      </c>
      <c r="AH3062" s="7" t="s">
        <v>7715</v>
      </c>
    </row>
    <row r="3063" spans="1:34" ht="9.75" customHeight="1" x14ac:dyDescent="0.2">
      <c r="A3063" s="7" t="s">
        <v>7455</v>
      </c>
      <c r="B3063" s="7" t="s">
        <v>38</v>
      </c>
      <c r="C3063" s="7"/>
      <c r="D3063" s="7" t="s">
        <v>7740</v>
      </c>
      <c r="E3063" s="8">
        <v>4</v>
      </c>
      <c r="F3063" s="7"/>
      <c r="G3063" s="7"/>
      <c r="H3063" s="10">
        <v>49861</v>
      </c>
      <c r="I3063" s="10">
        <v>7500</v>
      </c>
      <c r="J3063" s="10">
        <v>7650</v>
      </c>
      <c r="K3063" s="9"/>
      <c r="L3063" s="10">
        <v>7599</v>
      </c>
      <c r="M3063" s="9"/>
      <c r="N3063" s="10">
        <v>7599</v>
      </c>
      <c r="O3063" s="9"/>
      <c r="P3063" s="10"/>
      <c r="Q3063" s="10"/>
      <c r="R3063" s="10"/>
      <c r="S3063" s="7" t="s">
        <v>54</v>
      </c>
      <c r="T3063" s="7" t="s">
        <v>7719</v>
      </c>
      <c r="U3063" s="7" t="s">
        <v>44</v>
      </c>
      <c r="V3063" s="7" t="s">
        <v>45</v>
      </c>
      <c r="W3063" s="7" t="s">
        <v>46</v>
      </c>
      <c r="X3063" s="7" t="s">
        <v>47</v>
      </c>
      <c r="Y3063" s="7" t="s">
        <v>7741</v>
      </c>
      <c r="Z3063" s="7" t="s">
        <v>1886</v>
      </c>
      <c r="AA3063" s="7"/>
      <c r="AB3063" s="7"/>
      <c r="AC3063" s="7" t="s">
        <v>7714</v>
      </c>
      <c r="AD3063" s="7" t="s">
        <v>7742</v>
      </c>
      <c r="AE3063" s="7"/>
      <c r="AF3063" s="7" t="s">
        <v>5521</v>
      </c>
      <c r="AG3063" s="7" t="s">
        <v>5522</v>
      </c>
      <c r="AH3063" s="7" t="s">
        <v>7715</v>
      </c>
    </row>
    <row r="3064" spans="1:34" ht="9.75" customHeight="1" x14ac:dyDescent="0.2">
      <c r="A3064" s="7" t="s">
        <v>7455</v>
      </c>
      <c r="B3064" s="7" t="s">
        <v>38</v>
      </c>
      <c r="C3064" s="7"/>
      <c r="D3064" s="7" t="s">
        <v>7743</v>
      </c>
      <c r="E3064" s="8">
        <v>4</v>
      </c>
      <c r="F3064" s="7"/>
      <c r="G3064" s="7" t="s">
        <v>7744</v>
      </c>
      <c r="H3064" s="9"/>
      <c r="I3064" s="10">
        <v>7500</v>
      </c>
      <c r="J3064" s="10">
        <v>7650</v>
      </c>
      <c r="K3064" s="9"/>
      <c r="L3064" s="10">
        <v>7599</v>
      </c>
      <c r="M3064" s="9"/>
      <c r="N3064" s="10">
        <v>7599</v>
      </c>
      <c r="O3064" s="9"/>
      <c r="P3064" s="10"/>
      <c r="Q3064" s="10"/>
      <c r="R3064" s="10"/>
      <c r="S3064" s="7" t="s">
        <v>54</v>
      </c>
      <c r="T3064" s="7" t="s">
        <v>7740</v>
      </c>
      <c r="U3064" s="7"/>
      <c r="V3064" s="7"/>
      <c r="W3064" s="7"/>
      <c r="X3064" s="7"/>
      <c r="Y3064" s="7" t="s">
        <v>7745</v>
      </c>
      <c r="Z3064" s="7" t="s">
        <v>1886</v>
      </c>
      <c r="AA3064" s="7"/>
      <c r="AB3064" s="7"/>
      <c r="AC3064" s="7" t="s">
        <v>7714</v>
      </c>
      <c r="AD3064" s="7"/>
      <c r="AE3064" s="7"/>
      <c r="AF3064" s="7" t="s">
        <v>5521</v>
      </c>
      <c r="AG3064" s="7" t="s">
        <v>5522</v>
      </c>
      <c r="AH3064" s="7" t="s">
        <v>7715</v>
      </c>
    </row>
    <row r="3065" spans="1:34" ht="9.75" customHeight="1" x14ac:dyDescent="0.2">
      <c r="A3065" s="7" t="s">
        <v>7455</v>
      </c>
      <c r="B3065" s="7" t="s">
        <v>38</v>
      </c>
      <c r="C3065" s="7"/>
      <c r="D3065" s="7" t="s">
        <v>7746</v>
      </c>
      <c r="E3065" s="8">
        <v>4</v>
      </c>
      <c r="F3065" s="7"/>
      <c r="G3065" s="7"/>
      <c r="H3065" s="10">
        <v>112257</v>
      </c>
      <c r="I3065" s="10">
        <v>10459</v>
      </c>
      <c r="J3065" s="10">
        <v>38592</v>
      </c>
      <c r="K3065" s="9"/>
      <c r="L3065" s="10">
        <v>29356</v>
      </c>
      <c r="M3065" s="9"/>
      <c r="N3065" s="10">
        <v>29356</v>
      </c>
      <c r="O3065" s="9"/>
      <c r="P3065" s="10"/>
      <c r="Q3065" s="10"/>
      <c r="R3065" s="10"/>
      <c r="S3065" s="7" t="s">
        <v>54</v>
      </c>
      <c r="T3065" s="7" t="s">
        <v>7719</v>
      </c>
      <c r="U3065" s="7" t="s">
        <v>44</v>
      </c>
      <c r="V3065" s="7" t="s">
        <v>45</v>
      </c>
      <c r="W3065" s="7" t="s">
        <v>46</v>
      </c>
      <c r="X3065" s="7" t="s">
        <v>47</v>
      </c>
      <c r="Y3065" s="7" t="s">
        <v>7747</v>
      </c>
      <c r="Z3065" s="7" t="s">
        <v>1898</v>
      </c>
      <c r="AA3065" s="7"/>
      <c r="AB3065" s="7"/>
      <c r="AC3065" s="7" t="s">
        <v>7714</v>
      </c>
      <c r="AD3065" s="7" t="s">
        <v>7748</v>
      </c>
      <c r="AE3065" s="7"/>
      <c r="AF3065" s="7" t="s">
        <v>5521</v>
      </c>
      <c r="AG3065" s="7" t="s">
        <v>5522</v>
      </c>
      <c r="AH3065" s="7" t="s">
        <v>7715</v>
      </c>
    </row>
    <row r="3066" spans="1:34" ht="9.75" customHeight="1" x14ac:dyDescent="0.2">
      <c r="A3066" s="7" t="s">
        <v>7455</v>
      </c>
      <c r="B3066" s="7" t="s">
        <v>38</v>
      </c>
      <c r="C3066" s="7"/>
      <c r="D3066" s="7" t="s">
        <v>7749</v>
      </c>
      <c r="E3066" s="8">
        <v>4</v>
      </c>
      <c r="F3066" s="7"/>
      <c r="G3066" s="7"/>
      <c r="H3066" s="10">
        <v>19240</v>
      </c>
      <c r="I3066" s="10">
        <v>1791</v>
      </c>
      <c r="J3066" s="10">
        <v>1826</v>
      </c>
      <c r="K3066" s="9"/>
      <c r="L3066" s="10">
        <v>1631</v>
      </c>
      <c r="M3066" s="9"/>
      <c r="N3066" s="10">
        <v>1631</v>
      </c>
      <c r="O3066" s="9"/>
      <c r="P3066" s="10"/>
      <c r="Q3066" s="10"/>
      <c r="R3066" s="10"/>
      <c r="S3066" s="7" t="s">
        <v>54</v>
      </c>
      <c r="T3066" s="7" t="s">
        <v>7750</v>
      </c>
      <c r="U3066" s="7"/>
      <c r="V3066" s="7"/>
      <c r="W3066" s="7"/>
      <c r="X3066" s="7"/>
      <c r="Y3066" s="7" t="s">
        <v>7751</v>
      </c>
      <c r="Z3066" s="7" t="s">
        <v>1898</v>
      </c>
      <c r="AA3066" s="7"/>
      <c r="AB3066" s="7"/>
      <c r="AC3066" s="7" t="s">
        <v>7714</v>
      </c>
      <c r="AD3066" s="7"/>
      <c r="AE3066" s="7"/>
      <c r="AF3066" s="7" t="s">
        <v>5521</v>
      </c>
      <c r="AG3066" s="7" t="s">
        <v>5522</v>
      </c>
      <c r="AH3066" s="7" t="s">
        <v>7715</v>
      </c>
    </row>
    <row r="3067" spans="1:34" ht="9.75" customHeight="1" x14ac:dyDescent="0.2">
      <c r="A3067" s="7" t="s">
        <v>7455</v>
      </c>
      <c r="B3067" s="7" t="s">
        <v>38</v>
      </c>
      <c r="C3067" s="7"/>
      <c r="D3067" s="7" t="s">
        <v>7752</v>
      </c>
      <c r="E3067" s="8">
        <v>4</v>
      </c>
      <c r="F3067" s="7"/>
      <c r="G3067" s="7"/>
      <c r="H3067" s="10">
        <v>86179</v>
      </c>
      <c r="I3067" s="10">
        <v>8668</v>
      </c>
      <c r="J3067" s="10">
        <v>36766</v>
      </c>
      <c r="K3067" s="9"/>
      <c r="L3067" s="10">
        <v>27725</v>
      </c>
      <c r="M3067" s="9"/>
      <c r="N3067" s="10">
        <v>27725</v>
      </c>
      <c r="O3067" s="9"/>
      <c r="P3067" s="10"/>
      <c r="Q3067" s="10"/>
      <c r="R3067" s="10"/>
      <c r="S3067" s="7" t="s">
        <v>54</v>
      </c>
      <c r="T3067" s="7" t="s">
        <v>7750</v>
      </c>
      <c r="U3067" s="7"/>
      <c r="V3067" s="7"/>
      <c r="W3067" s="7"/>
      <c r="X3067" s="7"/>
      <c r="Y3067" s="7" t="s">
        <v>7753</v>
      </c>
      <c r="Z3067" s="7" t="s">
        <v>1898</v>
      </c>
      <c r="AA3067" s="7"/>
      <c r="AB3067" s="7"/>
      <c r="AC3067" s="7" t="s">
        <v>7714</v>
      </c>
      <c r="AD3067" s="7"/>
      <c r="AE3067" s="7"/>
      <c r="AF3067" s="7" t="s">
        <v>5521</v>
      </c>
      <c r="AG3067" s="7" t="s">
        <v>5522</v>
      </c>
      <c r="AH3067" s="7" t="s">
        <v>7715</v>
      </c>
    </row>
    <row r="3068" spans="1:34" ht="9.75" customHeight="1" x14ac:dyDescent="0.2">
      <c r="A3068" s="7" t="s">
        <v>7455</v>
      </c>
      <c r="B3068" s="7" t="s">
        <v>38</v>
      </c>
      <c r="C3068" s="7"/>
      <c r="D3068" s="7" t="s">
        <v>7754</v>
      </c>
      <c r="E3068" s="8">
        <v>6</v>
      </c>
      <c r="F3068" s="7"/>
      <c r="G3068" s="7"/>
      <c r="H3068" s="10">
        <v>49766</v>
      </c>
      <c r="I3068" s="10">
        <v>4660</v>
      </c>
      <c r="J3068" s="10">
        <v>5061</v>
      </c>
      <c r="K3068" s="9"/>
      <c r="L3068" s="10">
        <v>7938</v>
      </c>
      <c r="M3068" s="9"/>
      <c r="N3068" s="10">
        <v>7938</v>
      </c>
      <c r="O3068" s="9"/>
      <c r="P3068" s="10"/>
      <c r="Q3068" s="10"/>
      <c r="R3068" s="10"/>
      <c r="S3068" s="7" t="s">
        <v>54</v>
      </c>
      <c r="T3068" s="7" t="s">
        <v>7719</v>
      </c>
      <c r="U3068" s="7"/>
      <c r="V3068" s="7"/>
      <c r="W3068" s="7"/>
      <c r="X3068" s="7"/>
      <c r="Y3068" s="7" t="s">
        <v>7755</v>
      </c>
      <c r="Z3068" s="7" t="s">
        <v>1912</v>
      </c>
      <c r="AA3068" s="7"/>
      <c r="AB3068" s="7"/>
      <c r="AC3068" s="7" t="s">
        <v>7714</v>
      </c>
      <c r="AD3068" s="7" t="s">
        <v>7756</v>
      </c>
      <c r="AE3068" s="7"/>
      <c r="AF3068" s="7" t="s">
        <v>5521</v>
      </c>
      <c r="AG3068" s="7" t="s">
        <v>5522</v>
      </c>
      <c r="AH3068" s="7" t="s">
        <v>7715</v>
      </c>
    </row>
    <row r="3069" spans="1:34" ht="9.75" customHeight="1" x14ac:dyDescent="0.2">
      <c r="A3069" s="7" t="s">
        <v>7455</v>
      </c>
      <c r="B3069" s="7" t="s">
        <v>38</v>
      </c>
      <c r="C3069" s="7"/>
      <c r="D3069" s="7" t="s">
        <v>7757</v>
      </c>
      <c r="E3069" s="8">
        <v>4</v>
      </c>
      <c r="F3069" s="7"/>
      <c r="G3069" s="7"/>
      <c r="H3069" s="10">
        <v>129034</v>
      </c>
      <c r="I3069" s="10">
        <v>10667</v>
      </c>
      <c r="J3069" s="10">
        <v>14646</v>
      </c>
      <c r="K3069" s="9"/>
      <c r="L3069" s="10">
        <v>13851</v>
      </c>
      <c r="M3069" s="9"/>
      <c r="N3069" s="10">
        <v>13851</v>
      </c>
      <c r="O3069" s="9"/>
      <c r="P3069" s="10"/>
      <c r="Q3069" s="10"/>
      <c r="R3069" s="10"/>
      <c r="S3069" s="7" t="s">
        <v>54</v>
      </c>
      <c r="T3069" s="7" t="s">
        <v>7719</v>
      </c>
      <c r="U3069" s="7" t="s">
        <v>44</v>
      </c>
      <c r="V3069" s="7" t="s">
        <v>45</v>
      </c>
      <c r="W3069" s="7" t="s">
        <v>46</v>
      </c>
      <c r="X3069" s="7" t="s">
        <v>47</v>
      </c>
      <c r="Y3069" s="7" t="s">
        <v>7758</v>
      </c>
      <c r="Z3069" s="7" t="s">
        <v>1923</v>
      </c>
      <c r="AA3069" s="7"/>
      <c r="AB3069" s="7"/>
      <c r="AC3069" s="7" t="s">
        <v>7714</v>
      </c>
      <c r="AD3069" s="7" t="s">
        <v>7721</v>
      </c>
      <c r="AE3069" s="7"/>
      <c r="AF3069" s="7" t="s">
        <v>5521</v>
      </c>
      <c r="AG3069" s="7" t="s">
        <v>5522</v>
      </c>
      <c r="AH3069" s="7" t="s">
        <v>7715</v>
      </c>
    </row>
    <row r="3070" spans="1:34" ht="9.75" customHeight="1" x14ac:dyDescent="0.2">
      <c r="A3070" s="7" t="s">
        <v>7455</v>
      </c>
      <c r="B3070" s="7" t="s">
        <v>38</v>
      </c>
      <c r="C3070" s="7"/>
      <c r="D3070" s="7" t="s">
        <v>7759</v>
      </c>
      <c r="E3070" s="8">
        <v>4</v>
      </c>
      <c r="F3070" s="7"/>
      <c r="G3070" s="7"/>
      <c r="H3070" s="9"/>
      <c r="I3070" s="9"/>
      <c r="J3070" s="9"/>
      <c r="K3070" s="9"/>
      <c r="L3070" s="10">
        <v>2934</v>
      </c>
      <c r="M3070" s="9"/>
      <c r="N3070" s="10">
        <v>2934</v>
      </c>
      <c r="O3070" s="9"/>
      <c r="P3070" s="10"/>
      <c r="Q3070" s="10"/>
      <c r="R3070" s="10"/>
      <c r="S3070" s="7" t="s">
        <v>54</v>
      </c>
      <c r="T3070" s="7" t="s">
        <v>7760</v>
      </c>
      <c r="U3070" s="7"/>
      <c r="V3070" s="7"/>
      <c r="W3070" s="7"/>
      <c r="X3070" s="7"/>
      <c r="Y3070" s="7" t="s">
        <v>7761</v>
      </c>
      <c r="Z3070" s="7" t="s">
        <v>1923</v>
      </c>
      <c r="AA3070" s="7"/>
      <c r="AB3070" s="7"/>
      <c r="AC3070" s="7" t="s">
        <v>7714</v>
      </c>
      <c r="AD3070" s="7"/>
      <c r="AE3070" s="7"/>
      <c r="AF3070" s="7" t="s">
        <v>5521</v>
      </c>
      <c r="AG3070" s="7" t="s">
        <v>5522</v>
      </c>
      <c r="AH3070" s="7" t="s">
        <v>7715</v>
      </c>
    </row>
    <row r="3071" spans="1:34" ht="9.75" customHeight="1" x14ac:dyDescent="0.2">
      <c r="A3071" s="7" t="s">
        <v>7455</v>
      </c>
      <c r="B3071" s="7" t="s">
        <v>38</v>
      </c>
      <c r="C3071" s="7"/>
      <c r="D3071" s="7" t="s">
        <v>7762</v>
      </c>
      <c r="E3071" s="8">
        <v>4</v>
      </c>
      <c r="F3071" s="7"/>
      <c r="G3071" s="7"/>
      <c r="H3071" s="10">
        <v>106685</v>
      </c>
      <c r="I3071" s="10">
        <v>10667</v>
      </c>
      <c r="J3071" s="10">
        <v>12153</v>
      </c>
      <c r="K3071" s="9"/>
      <c r="L3071" s="10">
        <v>10917</v>
      </c>
      <c r="M3071" s="9"/>
      <c r="N3071" s="10">
        <v>10917</v>
      </c>
      <c r="O3071" s="9"/>
      <c r="P3071" s="10"/>
      <c r="Q3071" s="10"/>
      <c r="R3071" s="10"/>
      <c r="S3071" s="7" t="s">
        <v>54</v>
      </c>
      <c r="T3071" s="7" t="s">
        <v>7760</v>
      </c>
      <c r="U3071" s="7"/>
      <c r="V3071" s="7"/>
      <c r="W3071" s="7"/>
      <c r="X3071" s="7"/>
      <c r="Y3071" s="7" t="s">
        <v>7763</v>
      </c>
      <c r="Z3071" s="7" t="s">
        <v>1923</v>
      </c>
      <c r="AA3071" s="7"/>
      <c r="AB3071" s="7"/>
      <c r="AC3071" s="7" t="s">
        <v>7714</v>
      </c>
      <c r="AD3071" s="7"/>
      <c r="AE3071" s="7"/>
      <c r="AF3071" s="7" t="s">
        <v>5521</v>
      </c>
      <c r="AG3071" s="7" t="s">
        <v>5522</v>
      </c>
      <c r="AH3071" s="7" t="s">
        <v>7715</v>
      </c>
    </row>
    <row r="3072" spans="1:34" ht="9.75" customHeight="1" x14ac:dyDescent="0.2">
      <c r="A3072" s="7" t="s">
        <v>7455</v>
      </c>
      <c r="B3072" s="7" t="s">
        <v>38</v>
      </c>
      <c r="C3072" s="7"/>
      <c r="D3072" s="7" t="s">
        <v>7764</v>
      </c>
      <c r="E3072" s="8">
        <v>4</v>
      </c>
      <c r="F3072" s="7"/>
      <c r="G3072" s="7"/>
      <c r="H3072" s="10">
        <v>91096</v>
      </c>
      <c r="I3072" s="10">
        <v>17412</v>
      </c>
      <c r="J3072" s="10">
        <v>17760</v>
      </c>
      <c r="K3072" s="9"/>
      <c r="L3072" s="10">
        <v>21442</v>
      </c>
      <c r="M3072" s="9"/>
      <c r="N3072" s="10">
        <v>21442</v>
      </c>
      <c r="O3072" s="9"/>
      <c r="P3072" s="10"/>
      <c r="Q3072" s="10"/>
      <c r="R3072" s="10"/>
      <c r="S3072" s="7" t="s">
        <v>54</v>
      </c>
      <c r="T3072" s="7" t="s">
        <v>7719</v>
      </c>
      <c r="U3072" s="7" t="s">
        <v>44</v>
      </c>
      <c r="V3072" s="7" t="s">
        <v>45</v>
      </c>
      <c r="W3072" s="7" t="s">
        <v>46</v>
      </c>
      <c r="X3072" s="7" t="s">
        <v>47</v>
      </c>
      <c r="Y3072" s="7" t="s">
        <v>7765</v>
      </c>
      <c r="Z3072" s="7" t="s">
        <v>1936</v>
      </c>
      <c r="AA3072" s="7"/>
      <c r="AB3072" s="7"/>
      <c r="AC3072" s="7" t="s">
        <v>7714</v>
      </c>
      <c r="AD3072" s="7" t="s">
        <v>7729</v>
      </c>
      <c r="AE3072" s="7"/>
      <c r="AF3072" s="7" t="s">
        <v>5521</v>
      </c>
      <c r="AG3072" s="7" t="s">
        <v>5522</v>
      </c>
      <c r="AH3072" s="7" t="s">
        <v>7715</v>
      </c>
    </row>
    <row r="3073" spans="1:34" ht="9.75" customHeight="1" x14ac:dyDescent="0.2">
      <c r="A3073" s="7" t="s">
        <v>7455</v>
      </c>
      <c r="B3073" s="7" t="s">
        <v>38</v>
      </c>
      <c r="C3073" s="7"/>
      <c r="D3073" s="7" t="s">
        <v>7766</v>
      </c>
      <c r="E3073" s="8">
        <v>4</v>
      </c>
      <c r="F3073" s="7"/>
      <c r="G3073" s="7"/>
      <c r="H3073" s="10">
        <v>4034</v>
      </c>
      <c r="I3073" s="9"/>
      <c r="J3073" s="9"/>
      <c r="K3073" s="9"/>
      <c r="L3073" s="10">
        <v>731</v>
      </c>
      <c r="M3073" s="9"/>
      <c r="N3073" s="10">
        <v>731</v>
      </c>
      <c r="O3073" s="9"/>
      <c r="P3073" s="10"/>
      <c r="Q3073" s="10"/>
      <c r="R3073" s="10"/>
      <c r="S3073" s="7" t="s">
        <v>54</v>
      </c>
      <c r="T3073" s="7" t="s">
        <v>7767</v>
      </c>
      <c r="U3073" s="7"/>
      <c r="V3073" s="7"/>
      <c r="W3073" s="7"/>
      <c r="X3073" s="7"/>
      <c r="Y3073" s="7" t="s">
        <v>7768</v>
      </c>
      <c r="Z3073" s="7" t="s">
        <v>1936</v>
      </c>
      <c r="AA3073" s="7"/>
      <c r="AB3073" s="7"/>
      <c r="AC3073" s="7" t="s">
        <v>7714</v>
      </c>
      <c r="AD3073" s="7"/>
      <c r="AE3073" s="7"/>
      <c r="AF3073" s="7" t="s">
        <v>5521</v>
      </c>
      <c r="AG3073" s="7" t="s">
        <v>5522</v>
      </c>
      <c r="AH3073" s="7" t="s">
        <v>7715</v>
      </c>
    </row>
    <row r="3074" spans="1:34" ht="9.75" customHeight="1" x14ac:dyDescent="0.2">
      <c r="A3074" s="7" t="s">
        <v>7455</v>
      </c>
      <c r="B3074" s="7" t="s">
        <v>38</v>
      </c>
      <c r="C3074" s="7"/>
      <c r="D3074" s="7" t="s">
        <v>7769</v>
      </c>
      <c r="E3074" s="8">
        <v>4</v>
      </c>
      <c r="F3074" s="7"/>
      <c r="G3074" s="7"/>
      <c r="H3074" s="10">
        <v>87062</v>
      </c>
      <c r="I3074" s="10">
        <v>17412</v>
      </c>
      <c r="J3074" s="10">
        <v>17760</v>
      </c>
      <c r="K3074" s="9"/>
      <c r="L3074" s="10">
        <v>20711</v>
      </c>
      <c r="M3074" s="9"/>
      <c r="N3074" s="10">
        <v>20711</v>
      </c>
      <c r="O3074" s="9"/>
      <c r="P3074" s="10"/>
      <c r="Q3074" s="10"/>
      <c r="R3074" s="10"/>
      <c r="S3074" s="7" t="s">
        <v>54</v>
      </c>
      <c r="T3074" s="7" t="s">
        <v>7767</v>
      </c>
      <c r="U3074" s="7"/>
      <c r="V3074" s="7"/>
      <c r="W3074" s="7"/>
      <c r="X3074" s="7"/>
      <c r="Y3074" s="7" t="s">
        <v>7770</v>
      </c>
      <c r="Z3074" s="7" t="s">
        <v>1936</v>
      </c>
      <c r="AA3074" s="7"/>
      <c r="AB3074" s="7"/>
      <c r="AC3074" s="7" t="s">
        <v>7714</v>
      </c>
      <c r="AD3074" s="7"/>
      <c r="AE3074" s="7"/>
      <c r="AF3074" s="7" t="s">
        <v>5521</v>
      </c>
      <c r="AG3074" s="7" t="s">
        <v>5522</v>
      </c>
      <c r="AH3074" s="7" t="s">
        <v>7715</v>
      </c>
    </row>
    <row r="3075" spans="1:34" ht="9.75" customHeight="1" x14ac:dyDescent="0.2">
      <c r="A3075" s="7" t="s">
        <v>7455</v>
      </c>
      <c r="B3075" s="7" t="s">
        <v>38</v>
      </c>
      <c r="C3075" s="7"/>
      <c r="D3075" s="7" t="s">
        <v>7771</v>
      </c>
      <c r="E3075" s="8">
        <v>4</v>
      </c>
      <c r="F3075" s="7"/>
      <c r="G3075" s="7"/>
      <c r="H3075" s="10">
        <v>100677</v>
      </c>
      <c r="I3075" s="10">
        <v>20335</v>
      </c>
      <c r="J3075" s="10">
        <v>11908</v>
      </c>
      <c r="K3075" s="9"/>
      <c r="L3075" s="10">
        <v>12188</v>
      </c>
      <c r="M3075" s="9"/>
      <c r="N3075" s="10">
        <v>12188</v>
      </c>
      <c r="O3075" s="9"/>
      <c r="P3075" s="10"/>
      <c r="Q3075" s="10"/>
      <c r="R3075" s="10"/>
      <c r="S3075" s="7" t="s">
        <v>54</v>
      </c>
      <c r="T3075" s="7" t="s">
        <v>7719</v>
      </c>
      <c r="U3075" s="7" t="s">
        <v>44</v>
      </c>
      <c r="V3075" s="7" t="s">
        <v>45</v>
      </c>
      <c r="W3075" s="7" t="s">
        <v>46</v>
      </c>
      <c r="X3075" s="7" t="s">
        <v>47</v>
      </c>
      <c r="Y3075" s="7" t="s">
        <v>7772</v>
      </c>
      <c r="Z3075" s="7" t="s">
        <v>1946</v>
      </c>
      <c r="AA3075" s="7"/>
      <c r="AB3075" s="7"/>
      <c r="AC3075" s="7" t="s">
        <v>7714</v>
      </c>
      <c r="AD3075" s="7" t="s">
        <v>7742</v>
      </c>
      <c r="AE3075" s="7"/>
      <c r="AF3075" s="7" t="s">
        <v>5521</v>
      </c>
      <c r="AG3075" s="7" t="s">
        <v>5522</v>
      </c>
      <c r="AH3075" s="7" t="s">
        <v>7715</v>
      </c>
    </row>
    <row r="3076" spans="1:34" ht="9.75" customHeight="1" x14ac:dyDescent="0.2">
      <c r="A3076" s="7" t="s">
        <v>7455</v>
      </c>
      <c r="B3076" s="7" t="s">
        <v>38</v>
      </c>
      <c r="C3076" s="7"/>
      <c r="D3076" s="7" t="s">
        <v>7773</v>
      </c>
      <c r="E3076" s="8">
        <v>4</v>
      </c>
      <c r="F3076" s="7"/>
      <c r="G3076" s="7"/>
      <c r="H3076" s="10">
        <v>20500</v>
      </c>
      <c r="I3076" s="10">
        <v>2122</v>
      </c>
      <c r="J3076" s="10">
        <v>2164</v>
      </c>
      <c r="K3076" s="9"/>
      <c r="L3076" s="10">
        <v>2252</v>
      </c>
      <c r="M3076" s="9"/>
      <c r="N3076" s="10">
        <v>2252</v>
      </c>
      <c r="O3076" s="9"/>
      <c r="P3076" s="10"/>
      <c r="Q3076" s="10"/>
      <c r="R3076" s="10"/>
      <c r="S3076" s="7" t="s">
        <v>54</v>
      </c>
      <c r="T3076" s="7" t="s">
        <v>7774</v>
      </c>
      <c r="U3076" s="7"/>
      <c r="V3076" s="7"/>
      <c r="W3076" s="7"/>
      <c r="X3076" s="7"/>
      <c r="Y3076" s="7" t="s">
        <v>7775</v>
      </c>
      <c r="Z3076" s="7" t="s">
        <v>1946</v>
      </c>
      <c r="AA3076" s="7"/>
      <c r="AB3076" s="7"/>
      <c r="AC3076" s="7" t="s">
        <v>7714</v>
      </c>
      <c r="AD3076" s="7"/>
      <c r="AE3076" s="7"/>
      <c r="AF3076" s="7" t="s">
        <v>5521</v>
      </c>
      <c r="AG3076" s="7" t="s">
        <v>5522</v>
      </c>
      <c r="AH3076" s="7" t="s">
        <v>7715</v>
      </c>
    </row>
    <row r="3077" spans="1:34" ht="9.75" customHeight="1" x14ac:dyDescent="0.2">
      <c r="A3077" s="7" t="s">
        <v>7455</v>
      </c>
      <c r="B3077" s="7" t="s">
        <v>38</v>
      </c>
      <c r="C3077" s="7"/>
      <c r="D3077" s="7" t="s">
        <v>7776</v>
      </c>
      <c r="E3077" s="8">
        <v>4</v>
      </c>
      <c r="F3077" s="7"/>
      <c r="G3077" s="7"/>
      <c r="H3077" s="10">
        <v>18801</v>
      </c>
      <c r="I3077" s="10">
        <v>10856</v>
      </c>
      <c r="J3077" s="10">
        <v>7794</v>
      </c>
      <c r="K3077" s="9"/>
      <c r="L3077" s="10">
        <v>8444</v>
      </c>
      <c r="M3077" s="9"/>
      <c r="N3077" s="10">
        <v>8444</v>
      </c>
      <c r="O3077" s="9"/>
      <c r="P3077" s="10"/>
      <c r="Q3077" s="10"/>
      <c r="R3077" s="10"/>
      <c r="S3077" s="7" t="s">
        <v>54</v>
      </c>
      <c r="T3077" s="7" t="s">
        <v>7774</v>
      </c>
      <c r="U3077" s="7"/>
      <c r="V3077" s="7"/>
      <c r="W3077" s="7"/>
      <c r="X3077" s="7"/>
      <c r="Y3077" s="7" t="s">
        <v>7777</v>
      </c>
      <c r="Z3077" s="7" t="s">
        <v>1946</v>
      </c>
      <c r="AA3077" s="7"/>
      <c r="AB3077" s="7"/>
      <c r="AC3077" s="7" t="s">
        <v>7714</v>
      </c>
      <c r="AD3077" s="7"/>
      <c r="AE3077" s="7"/>
      <c r="AF3077" s="7" t="s">
        <v>5521</v>
      </c>
      <c r="AG3077" s="7" t="s">
        <v>5522</v>
      </c>
      <c r="AH3077" s="7" t="s">
        <v>7715</v>
      </c>
    </row>
    <row r="3078" spans="1:34" ht="9.75" customHeight="1" x14ac:dyDescent="0.2">
      <c r="A3078" s="7" t="s">
        <v>7455</v>
      </c>
      <c r="B3078" s="7" t="s">
        <v>38</v>
      </c>
      <c r="C3078" s="7"/>
      <c r="D3078" s="7" t="s">
        <v>7778</v>
      </c>
      <c r="E3078" s="8">
        <v>4</v>
      </c>
      <c r="F3078" s="7"/>
      <c r="G3078" s="7"/>
      <c r="H3078" s="10">
        <v>5710</v>
      </c>
      <c r="I3078" s="10">
        <v>2142</v>
      </c>
      <c r="J3078" s="10">
        <v>1950</v>
      </c>
      <c r="K3078" s="9"/>
      <c r="L3078" s="10">
        <v>1492</v>
      </c>
      <c r="M3078" s="9"/>
      <c r="N3078" s="10">
        <v>1492</v>
      </c>
      <c r="O3078" s="9"/>
      <c r="P3078" s="10"/>
      <c r="Q3078" s="10"/>
      <c r="R3078" s="10"/>
      <c r="S3078" s="7" t="s">
        <v>54</v>
      </c>
      <c r="T3078" s="7" t="s">
        <v>7774</v>
      </c>
      <c r="U3078" s="7"/>
      <c r="V3078" s="7"/>
      <c r="W3078" s="7"/>
      <c r="X3078" s="7"/>
      <c r="Y3078" s="7" t="s">
        <v>7779</v>
      </c>
      <c r="Z3078" s="7" t="s">
        <v>1946</v>
      </c>
      <c r="AA3078" s="7"/>
      <c r="AB3078" s="7"/>
      <c r="AC3078" s="7" t="s">
        <v>7714</v>
      </c>
      <c r="AD3078" s="7"/>
      <c r="AE3078" s="7"/>
      <c r="AF3078" s="7" t="s">
        <v>5521</v>
      </c>
      <c r="AG3078" s="7" t="s">
        <v>5522</v>
      </c>
      <c r="AH3078" s="7" t="s">
        <v>7715</v>
      </c>
    </row>
    <row r="3079" spans="1:34" ht="9.75" customHeight="1" x14ac:dyDescent="0.2">
      <c r="A3079" s="7" t="s">
        <v>7455</v>
      </c>
      <c r="B3079" s="7" t="s">
        <v>38</v>
      </c>
      <c r="C3079" s="7"/>
      <c r="D3079" s="7" t="s">
        <v>7780</v>
      </c>
      <c r="E3079" s="8">
        <v>4</v>
      </c>
      <c r="F3079" s="7"/>
      <c r="G3079" s="7"/>
      <c r="H3079" s="10">
        <v>12315</v>
      </c>
      <c r="I3079" s="10">
        <v>3060</v>
      </c>
      <c r="J3079" s="10">
        <v>3121</v>
      </c>
      <c r="K3079" s="9"/>
      <c r="L3079" s="10">
        <v>3183</v>
      </c>
      <c r="M3079" s="9"/>
      <c r="N3079" s="10">
        <v>3183</v>
      </c>
      <c r="O3079" s="9"/>
      <c r="P3079" s="10"/>
      <c r="Q3079" s="10"/>
      <c r="R3079" s="10"/>
      <c r="S3079" s="7" t="s">
        <v>54</v>
      </c>
      <c r="T3079" s="7" t="s">
        <v>7719</v>
      </c>
      <c r="U3079" s="7"/>
      <c r="V3079" s="7"/>
      <c r="W3079" s="7"/>
      <c r="X3079" s="7"/>
      <c r="Y3079" s="7" t="s">
        <v>7781</v>
      </c>
      <c r="Z3079" s="7" t="s">
        <v>1960</v>
      </c>
      <c r="AA3079" s="7"/>
      <c r="AB3079" s="7"/>
      <c r="AC3079" s="7" t="s">
        <v>7714</v>
      </c>
      <c r="AD3079" s="7" t="s">
        <v>7748</v>
      </c>
      <c r="AE3079" s="7"/>
      <c r="AF3079" s="7" t="s">
        <v>5521</v>
      </c>
      <c r="AG3079" s="7" t="s">
        <v>5522</v>
      </c>
      <c r="AH3079" s="7" t="s">
        <v>7715</v>
      </c>
    </row>
    <row r="3080" spans="1:34" ht="9.75" customHeight="1" x14ac:dyDescent="0.2">
      <c r="A3080" s="7" t="s">
        <v>7455</v>
      </c>
      <c r="B3080" s="7" t="s">
        <v>38</v>
      </c>
      <c r="C3080" s="7"/>
      <c r="D3080" s="7" t="s">
        <v>7782</v>
      </c>
      <c r="E3080" s="8">
        <v>4</v>
      </c>
      <c r="F3080" s="7"/>
      <c r="G3080" s="7"/>
      <c r="H3080" s="10">
        <v>742476</v>
      </c>
      <c r="I3080" s="10">
        <v>27782</v>
      </c>
      <c r="J3080" s="10">
        <v>14951</v>
      </c>
      <c r="K3080" s="9"/>
      <c r="L3080" s="10">
        <v>6377</v>
      </c>
      <c r="M3080" s="9"/>
      <c r="N3080" s="10">
        <v>6377</v>
      </c>
      <c r="O3080" s="9"/>
      <c r="P3080" s="10"/>
      <c r="Q3080" s="10"/>
      <c r="R3080" s="10"/>
      <c r="S3080" s="7" t="s">
        <v>54</v>
      </c>
      <c r="T3080" s="7" t="s">
        <v>7719</v>
      </c>
      <c r="U3080" s="7" t="s">
        <v>44</v>
      </c>
      <c r="V3080" s="7" t="s">
        <v>45</v>
      </c>
      <c r="W3080" s="7" t="s">
        <v>46</v>
      </c>
      <c r="X3080" s="7" t="s">
        <v>47</v>
      </c>
      <c r="Y3080" s="7" t="s">
        <v>7783</v>
      </c>
      <c r="Z3080" s="7" t="s">
        <v>1969</v>
      </c>
      <c r="AA3080" s="7"/>
      <c r="AB3080" s="7"/>
      <c r="AC3080" s="7" t="s">
        <v>7714</v>
      </c>
      <c r="AD3080" s="7" t="s">
        <v>7782</v>
      </c>
      <c r="AE3080" s="7"/>
      <c r="AF3080" s="7" t="s">
        <v>5521</v>
      </c>
      <c r="AG3080" s="7" t="s">
        <v>5522</v>
      </c>
      <c r="AH3080" s="7" t="s">
        <v>7715</v>
      </c>
    </row>
    <row r="3081" spans="1:34" ht="9.75" customHeight="1" x14ac:dyDescent="0.2">
      <c r="A3081" s="7" t="s">
        <v>7455</v>
      </c>
      <c r="B3081" s="7" t="s">
        <v>38</v>
      </c>
      <c r="C3081" s="7"/>
      <c r="D3081" s="7" t="s">
        <v>7784</v>
      </c>
      <c r="E3081" s="8">
        <v>4</v>
      </c>
      <c r="F3081" s="7"/>
      <c r="G3081" s="7"/>
      <c r="H3081" s="10">
        <v>32722</v>
      </c>
      <c r="I3081" s="10">
        <v>8583</v>
      </c>
      <c r="J3081" s="10">
        <v>5376</v>
      </c>
      <c r="K3081" s="9"/>
      <c r="L3081" s="10">
        <v>3544</v>
      </c>
      <c r="M3081" s="9"/>
      <c r="N3081" s="10">
        <v>3544</v>
      </c>
      <c r="O3081" s="9"/>
      <c r="P3081" s="10"/>
      <c r="Q3081" s="10"/>
      <c r="R3081" s="10"/>
      <c r="S3081" s="7" t="s">
        <v>54</v>
      </c>
      <c r="T3081" s="7" t="s">
        <v>7785</v>
      </c>
      <c r="U3081" s="7"/>
      <c r="V3081" s="7"/>
      <c r="W3081" s="7"/>
      <c r="X3081" s="7"/>
      <c r="Y3081" s="7" t="s">
        <v>7786</v>
      </c>
      <c r="Z3081" s="7" t="s">
        <v>1969</v>
      </c>
      <c r="AA3081" s="7"/>
      <c r="AB3081" s="7"/>
      <c r="AC3081" s="7" t="s">
        <v>7714</v>
      </c>
      <c r="AD3081" s="7"/>
      <c r="AE3081" s="7"/>
      <c r="AF3081" s="7" t="s">
        <v>5521</v>
      </c>
      <c r="AG3081" s="7" t="s">
        <v>5522</v>
      </c>
      <c r="AH3081" s="7" t="s">
        <v>7715</v>
      </c>
    </row>
    <row r="3082" spans="1:34" ht="9.75" customHeight="1" x14ac:dyDescent="0.2">
      <c r="A3082" s="7" t="s">
        <v>7455</v>
      </c>
      <c r="B3082" s="7" t="s">
        <v>38</v>
      </c>
      <c r="C3082" s="7"/>
      <c r="D3082" s="7" t="s">
        <v>7787</v>
      </c>
      <c r="E3082" s="8">
        <v>4</v>
      </c>
      <c r="F3082" s="7"/>
      <c r="G3082" s="7"/>
      <c r="H3082" s="10">
        <v>2740</v>
      </c>
      <c r="I3082" s="10">
        <v>2830</v>
      </c>
      <c r="J3082" s="10">
        <v>2901</v>
      </c>
      <c r="K3082" s="9"/>
      <c r="L3082" s="10">
        <v>2833</v>
      </c>
      <c r="M3082" s="9"/>
      <c r="N3082" s="10">
        <v>2833</v>
      </c>
      <c r="O3082" s="9"/>
      <c r="P3082" s="10"/>
      <c r="Q3082" s="10"/>
      <c r="R3082" s="10"/>
      <c r="S3082" s="7" t="s">
        <v>54</v>
      </c>
      <c r="T3082" s="7" t="s">
        <v>7785</v>
      </c>
      <c r="U3082" s="7"/>
      <c r="V3082" s="7"/>
      <c r="W3082" s="7"/>
      <c r="X3082" s="7"/>
      <c r="Y3082" s="7" t="s">
        <v>7788</v>
      </c>
      <c r="Z3082" s="7" t="s">
        <v>1969</v>
      </c>
      <c r="AA3082" s="7"/>
      <c r="AB3082" s="7"/>
      <c r="AC3082" s="7" t="s">
        <v>7714</v>
      </c>
      <c r="AD3082" s="7"/>
      <c r="AE3082" s="7"/>
      <c r="AF3082" s="7" t="s">
        <v>5521</v>
      </c>
      <c r="AG3082" s="7" t="s">
        <v>5522</v>
      </c>
      <c r="AH3082" s="7" t="s">
        <v>7715</v>
      </c>
    </row>
    <row r="3083" spans="1:34" ht="9.75" customHeight="1" x14ac:dyDescent="0.2">
      <c r="A3083" s="7" t="s">
        <v>7455</v>
      </c>
      <c r="B3083" s="7" t="s">
        <v>38</v>
      </c>
      <c r="C3083" s="7"/>
      <c r="D3083" s="7" t="s">
        <v>7789</v>
      </c>
      <c r="E3083" s="8">
        <v>4</v>
      </c>
      <c r="F3083" s="7"/>
      <c r="G3083" s="7"/>
      <c r="H3083" s="10">
        <v>133245</v>
      </c>
      <c r="I3083" s="10">
        <v>17309</v>
      </c>
      <c r="J3083" s="10">
        <v>11113</v>
      </c>
      <c r="K3083" s="9"/>
      <c r="L3083" s="10">
        <v>8507</v>
      </c>
      <c r="M3083" s="9"/>
      <c r="N3083" s="10">
        <v>8507</v>
      </c>
      <c r="O3083" s="9"/>
      <c r="P3083" s="10"/>
      <c r="Q3083" s="10"/>
      <c r="R3083" s="10"/>
      <c r="S3083" s="7" t="s">
        <v>54</v>
      </c>
      <c r="T3083" s="7" t="s">
        <v>7719</v>
      </c>
      <c r="U3083" s="7" t="s">
        <v>44</v>
      </c>
      <c r="V3083" s="7" t="s">
        <v>45</v>
      </c>
      <c r="W3083" s="7" t="s">
        <v>46</v>
      </c>
      <c r="X3083" s="7" t="s">
        <v>47</v>
      </c>
      <c r="Y3083" s="7" t="s">
        <v>7790</v>
      </c>
      <c r="Z3083" s="7" t="s">
        <v>2004</v>
      </c>
      <c r="AA3083" s="7"/>
      <c r="AB3083" s="7"/>
      <c r="AC3083" s="7" t="s">
        <v>7714</v>
      </c>
      <c r="AD3083" s="7" t="s">
        <v>7789</v>
      </c>
      <c r="AE3083" s="7"/>
      <c r="AF3083" s="7" t="s">
        <v>5521</v>
      </c>
      <c r="AG3083" s="7" t="s">
        <v>5522</v>
      </c>
      <c r="AH3083" s="7" t="s">
        <v>7715</v>
      </c>
    </row>
    <row r="3084" spans="1:34" ht="9.75" customHeight="1" x14ac:dyDescent="0.2">
      <c r="A3084" s="7" t="s">
        <v>7455</v>
      </c>
      <c r="B3084" s="7" t="s">
        <v>38</v>
      </c>
      <c r="C3084" s="7"/>
      <c r="D3084" s="7" t="s">
        <v>7791</v>
      </c>
      <c r="E3084" s="8">
        <v>4</v>
      </c>
      <c r="F3084" s="7"/>
      <c r="G3084" s="7"/>
      <c r="H3084" s="10">
        <v>18812</v>
      </c>
      <c r="I3084" s="10">
        <v>3934</v>
      </c>
      <c r="J3084" s="10">
        <v>3611</v>
      </c>
      <c r="K3084" s="9"/>
      <c r="L3084" s="10">
        <v>3875</v>
      </c>
      <c r="M3084" s="9"/>
      <c r="N3084" s="10">
        <v>3875</v>
      </c>
      <c r="O3084" s="9"/>
      <c r="P3084" s="10"/>
      <c r="Q3084" s="10"/>
      <c r="R3084" s="10"/>
      <c r="S3084" s="7" t="s">
        <v>54</v>
      </c>
      <c r="T3084" s="7" t="s">
        <v>7792</v>
      </c>
      <c r="U3084" s="7"/>
      <c r="V3084" s="7"/>
      <c r="W3084" s="7"/>
      <c r="X3084" s="7"/>
      <c r="Y3084" s="7" t="s">
        <v>7793</v>
      </c>
      <c r="Z3084" s="7" t="s">
        <v>2004</v>
      </c>
      <c r="AA3084" s="7"/>
      <c r="AB3084" s="7"/>
      <c r="AC3084" s="7" t="s">
        <v>7714</v>
      </c>
      <c r="AD3084" s="7"/>
      <c r="AE3084" s="7"/>
      <c r="AF3084" s="7" t="s">
        <v>5521</v>
      </c>
      <c r="AG3084" s="7" t="s">
        <v>5522</v>
      </c>
      <c r="AH3084" s="7" t="s">
        <v>7715</v>
      </c>
    </row>
    <row r="3085" spans="1:34" ht="9.75" customHeight="1" x14ac:dyDescent="0.2">
      <c r="A3085" s="7" t="s">
        <v>7455</v>
      </c>
      <c r="B3085" s="7" t="s">
        <v>38</v>
      </c>
      <c r="C3085" s="7"/>
      <c r="D3085" s="7" t="s">
        <v>7794</v>
      </c>
      <c r="E3085" s="8">
        <v>4</v>
      </c>
      <c r="F3085" s="7"/>
      <c r="G3085" s="7"/>
      <c r="H3085" s="9"/>
      <c r="I3085" s="10">
        <v>5112</v>
      </c>
      <c r="J3085" s="10">
        <v>7502</v>
      </c>
      <c r="K3085" s="9"/>
      <c r="L3085" s="10">
        <v>4632</v>
      </c>
      <c r="M3085" s="9"/>
      <c r="N3085" s="10">
        <v>4632</v>
      </c>
      <c r="O3085" s="9"/>
      <c r="P3085" s="10"/>
      <c r="Q3085" s="10"/>
      <c r="R3085" s="10"/>
      <c r="S3085" s="7" t="s">
        <v>54</v>
      </c>
      <c r="T3085" s="7" t="s">
        <v>7792</v>
      </c>
      <c r="U3085" s="7"/>
      <c r="V3085" s="7"/>
      <c r="W3085" s="7"/>
      <c r="X3085" s="7"/>
      <c r="Y3085" s="7" t="s">
        <v>7795</v>
      </c>
      <c r="Z3085" s="7" t="s">
        <v>2004</v>
      </c>
      <c r="AA3085" s="7"/>
      <c r="AB3085" s="7"/>
      <c r="AC3085" s="7" t="s">
        <v>7714</v>
      </c>
      <c r="AD3085" s="7"/>
      <c r="AE3085" s="7"/>
      <c r="AF3085" s="7" t="s">
        <v>5521</v>
      </c>
      <c r="AG3085" s="7" t="s">
        <v>5522</v>
      </c>
      <c r="AH3085" s="7" t="s">
        <v>7715</v>
      </c>
    </row>
    <row r="3086" spans="1:34" ht="9.75" customHeight="1" x14ac:dyDescent="0.2">
      <c r="A3086" s="7" t="s">
        <v>7455</v>
      </c>
      <c r="B3086" s="7" t="s">
        <v>38</v>
      </c>
      <c r="C3086" s="7"/>
      <c r="D3086" s="7" t="s">
        <v>7796</v>
      </c>
      <c r="E3086" s="8">
        <v>4</v>
      </c>
      <c r="F3086" s="7"/>
      <c r="G3086" s="7"/>
      <c r="H3086" s="10">
        <v>34137</v>
      </c>
      <c r="I3086" s="10">
        <v>82497</v>
      </c>
      <c r="J3086" s="10">
        <v>85079</v>
      </c>
      <c r="K3086" s="9"/>
      <c r="L3086" s="10">
        <v>127209</v>
      </c>
      <c r="M3086" s="9"/>
      <c r="N3086" s="10">
        <v>127209</v>
      </c>
      <c r="O3086" s="9"/>
      <c r="P3086" s="10"/>
      <c r="Q3086" s="10"/>
      <c r="R3086" s="10"/>
      <c r="S3086" s="7" t="s">
        <v>54</v>
      </c>
      <c r="T3086" s="7" t="s">
        <v>7719</v>
      </c>
      <c r="U3086" s="7" t="s">
        <v>44</v>
      </c>
      <c r="V3086" s="7" t="s">
        <v>45</v>
      </c>
      <c r="W3086" s="7" t="s">
        <v>46</v>
      </c>
      <c r="X3086" s="7" t="s">
        <v>47</v>
      </c>
      <c r="Y3086" s="7" t="s">
        <v>7797</v>
      </c>
      <c r="Z3086" s="7" t="s">
        <v>2013</v>
      </c>
      <c r="AA3086" s="7"/>
      <c r="AB3086" s="7"/>
      <c r="AC3086" s="7" t="s">
        <v>7714</v>
      </c>
      <c r="AD3086" s="7" t="s">
        <v>7796</v>
      </c>
      <c r="AE3086" s="7"/>
      <c r="AF3086" s="7" t="s">
        <v>5521</v>
      </c>
      <c r="AG3086" s="7" t="s">
        <v>5522</v>
      </c>
      <c r="AH3086" s="7" t="s">
        <v>7715</v>
      </c>
    </row>
    <row r="3087" spans="1:34" ht="9.75" customHeight="1" x14ac:dyDescent="0.2">
      <c r="A3087" s="7" t="s">
        <v>7455</v>
      </c>
      <c r="B3087" s="7" t="s">
        <v>38</v>
      </c>
      <c r="C3087" s="7"/>
      <c r="D3087" s="7" t="s">
        <v>7798</v>
      </c>
      <c r="E3087" s="8">
        <v>4</v>
      </c>
      <c r="F3087" s="7"/>
      <c r="G3087" s="7"/>
      <c r="H3087" s="10">
        <v>21023</v>
      </c>
      <c r="I3087" s="10">
        <v>18822</v>
      </c>
      <c r="J3087" s="10">
        <v>19198</v>
      </c>
      <c r="K3087" s="9"/>
      <c r="L3087" s="10">
        <v>19581</v>
      </c>
      <c r="M3087" s="9"/>
      <c r="N3087" s="10">
        <v>19581</v>
      </c>
      <c r="O3087" s="9"/>
      <c r="P3087" s="10"/>
      <c r="Q3087" s="10"/>
      <c r="R3087" s="10"/>
      <c r="S3087" s="7" t="s">
        <v>54</v>
      </c>
      <c r="T3087" s="7" t="s">
        <v>7799</v>
      </c>
      <c r="U3087" s="7"/>
      <c r="V3087" s="7"/>
      <c r="W3087" s="7"/>
      <c r="X3087" s="7"/>
      <c r="Y3087" s="7" t="s">
        <v>7800</v>
      </c>
      <c r="Z3087" s="7" t="s">
        <v>2013</v>
      </c>
      <c r="AA3087" s="7"/>
      <c r="AB3087" s="7"/>
      <c r="AC3087" s="7" t="s">
        <v>7714</v>
      </c>
      <c r="AD3087" s="7"/>
      <c r="AE3087" s="7"/>
      <c r="AF3087" s="7" t="s">
        <v>5521</v>
      </c>
      <c r="AG3087" s="7" t="s">
        <v>5522</v>
      </c>
      <c r="AH3087" s="7" t="s">
        <v>7715</v>
      </c>
    </row>
    <row r="3088" spans="1:34" ht="9.75" customHeight="1" x14ac:dyDescent="0.2">
      <c r="A3088" s="7" t="s">
        <v>7455</v>
      </c>
      <c r="B3088" s="7" t="s">
        <v>38</v>
      </c>
      <c r="C3088" s="7"/>
      <c r="D3088" s="7" t="s">
        <v>7801</v>
      </c>
      <c r="E3088" s="8">
        <v>4</v>
      </c>
      <c r="F3088" s="7"/>
      <c r="G3088" s="7"/>
      <c r="H3088" s="10">
        <v>8957</v>
      </c>
      <c r="I3088" s="10">
        <v>24552</v>
      </c>
      <c r="J3088" s="10">
        <v>26392</v>
      </c>
      <c r="K3088" s="9"/>
      <c r="L3088" s="10">
        <v>32077</v>
      </c>
      <c r="M3088" s="9"/>
      <c r="N3088" s="10">
        <v>32077</v>
      </c>
      <c r="O3088" s="9"/>
      <c r="P3088" s="10"/>
      <c r="Q3088" s="10"/>
      <c r="R3088" s="10"/>
      <c r="S3088" s="7" t="s">
        <v>54</v>
      </c>
      <c r="T3088" s="7" t="s">
        <v>7799</v>
      </c>
      <c r="U3088" s="7"/>
      <c r="V3088" s="7"/>
      <c r="W3088" s="7"/>
      <c r="X3088" s="7"/>
      <c r="Y3088" s="7" t="s">
        <v>7802</v>
      </c>
      <c r="Z3088" s="7" t="s">
        <v>2013</v>
      </c>
      <c r="AA3088" s="7"/>
      <c r="AB3088" s="7"/>
      <c r="AC3088" s="7" t="s">
        <v>7714</v>
      </c>
      <c r="AD3088" s="7"/>
      <c r="AE3088" s="7"/>
      <c r="AF3088" s="7" t="s">
        <v>5521</v>
      </c>
      <c r="AG3088" s="7" t="s">
        <v>5522</v>
      </c>
      <c r="AH3088" s="7" t="s">
        <v>7715</v>
      </c>
    </row>
    <row r="3089" spans="1:37" ht="9.75" customHeight="1" x14ac:dyDescent="0.2">
      <c r="A3089" s="7" t="s">
        <v>7455</v>
      </c>
      <c r="B3089" s="7" t="s">
        <v>38</v>
      </c>
      <c r="C3089" s="7"/>
      <c r="D3089" s="7" t="s">
        <v>7803</v>
      </c>
      <c r="E3089" s="8">
        <v>6</v>
      </c>
      <c r="F3089" s="7"/>
      <c r="G3089" s="7"/>
      <c r="H3089" s="10">
        <v>2682</v>
      </c>
      <c r="I3089" s="10">
        <v>20802</v>
      </c>
      <c r="J3089" s="10">
        <v>20802</v>
      </c>
      <c r="K3089" s="9"/>
      <c r="L3089" s="10">
        <v>21218</v>
      </c>
      <c r="M3089" s="9"/>
      <c r="N3089" s="10">
        <v>21218</v>
      </c>
      <c r="O3089" s="9"/>
      <c r="P3089" s="10"/>
      <c r="Q3089" s="10"/>
      <c r="R3089" s="10"/>
      <c r="S3089" s="7" t="s">
        <v>54</v>
      </c>
      <c r="T3089" s="7" t="s">
        <v>7799</v>
      </c>
      <c r="U3089" s="7"/>
      <c r="V3089" s="7"/>
      <c r="W3089" s="7"/>
      <c r="X3089" s="7"/>
      <c r="Y3089" s="7" t="s">
        <v>7804</v>
      </c>
      <c r="Z3089" s="7" t="s">
        <v>2013</v>
      </c>
      <c r="AA3089" s="7"/>
      <c r="AB3089" s="7"/>
      <c r="AC3089" s="7" t="s">
        <v>7714</v>
      </c>
      <c r="AD3089" s="7"/>
      <c r="AE3089" s="7"/>
      <c r="AF3089" s="7" t="s">
        <v>5521</v>
      </c>
      <c r="AG3089" s="7" t="s">
        <v>5522</v>
      </c>
      <c r="AH3089" s="7" t="s">
        <v>7715</v>
      </c>
    </row>
    <row r="3090" spans="1:37" ht="9.75" customHeight="1" x14ac:dyDescent="0.2">
      <c r="A3090" s="7" t="s">
        <v>7455</v>
      </c>
      <c r="B3090" s="7" t="s">
        <v>38</v>
      </c>
      <c r="C3090" s="7"/>
      <c r="D3090" s="7" t="s">
        <v>7805</v>
      </c>
      <c r="E3090" s="8">
        <v>4</v>
      </c>
      <c r="F3090" s="7"/>
      <c r="G3090" s="7"/>
      <c r="H3090" s="10">
        <v>1475</v>
      </c>
      <c r="I3090" s="10">
        <v>18321</v>
      </c>
      <c r="J3090" s="10">
        <v>18687</v>
      </c>
      <c r="K3090" s="9"/>
      <c r="L3090" s="10">
        <v>18493</v>
      </c>
      <c r="M3090" s="9"/>
      <c r="N3090" s="10">
        <v>18493</v>
      </c>
      <c r="O3090" s="9"/>
      <c r="P3090" s="10"/>
      <c r="Q3090" s="10"/>
      <c r="R3090" s="10"/>
      <c r="S3090" s="7" t="s">
        <v>54</v>
      </c>
      <c r="T3090" s="7" t="s">
        <v>7799</v>
      </c>
      <c r="U3090" s="7"/>
      <c r="V3090" s="7"/>
      <c r="W3090" s="7"/>
      <c r="X3090" s="7"/>
      <c r="Y3090" s="7" t="s">
        <v>7806</v>
      </c>
      <c r="Z3090" s="7" t="s">
        <v>2013</v>
      </c>
      <c r="AA3090" s="7"/>
      <c r="AB3090" s="7"/>
      <c r="AC3090" s="7" t="s">
        <v>7714</v>
      </c>
      <c r="AD3090" s="7"/>
      <c r="AE3090" s="7"/>
      <c r="AF3090" s="7" t="s">
        <v>5521</v>
      </c>
      <c r="AG3090" s="7" t="s">
        <v>5522</v>
      </c>
      <c r="AH3090" s="7" t="s">
        <v>7715</v>
      </c>
    </row>
    <row r="3091" spans="1:37" ht="9.75" customHeight="1" x14ac:dyDescent="0.2">
      <c r="A3091" s="7" t="s">
        <v>7455</v>
      </c>
      <c r="B3091" s="7" t="s">
        <v>38</v>
      </c>
      <c r="C3091" s="7"/>
      <c r="D3091" s="7" t="s">
        <v>7807</v>
      </c>
      <c r="E3091" s="8">
        <v>4</v>
      </c>
      <c r="F3091" s="7"/>
      <c r="G3091" s="7"/>
      <c r="H3091" s="9"/>
      <c r="I3091" s="9"/>
      <c r="J3091" s="9"/>
      <c r="K3091" s="9"/>
      <c r="L3091" s="10">
        <v>35840</v>
      </c>
      <c r="M3091" s="9"/>
      <c r="N3091" s="10">
        <v>35840</v>
      </c>
      <c r="O3091" s="9"/>
      <c r="P3091" s="10"/>
      <c r="Q3091" s="10"/>
      <c r="R3091" s="10"/>
      <c r="S3091" s="7" t="s">
        <v>54</v>
      </c>
      <c r="T3091" s="7" t="s">
        <v>7799</v>
      </c>
      <c r="U3091" s="7"/>
      <c r="V3091" s="7"/>
      <c r="W3091" s="7"/>
      <c r="X3091" s="7"/>
      <c r="Y3091" s="7" t="s">
        <v>7808</v>
      </c>
      <c r="Z3091" s="7" t="s">
        <v>2013</v>
      </c>
      <c r="AA3091" s="7"/>
      <c r="AB3091" s="7"/>
      <c r="AC3091" s="7" t="s">
        <v>7714</v>
      </c>
      <c r="AD3091" s="7"/>
      <c r="AE3091" s="7"/>
      <c r="AF3091" s="7" t="s">
        <v>5521</v>
      </c>
      <c r="AG3091" s="7" t="s">
        <v>5522</v>
      </c>
      <c r="AH3091" s="7" t="s">
        <v>7715</v>
      </c>
    </row>
    <row r="3092" spans="1:37" ht="9.75" customHeight="1" x14ac:dyDescent="0.2">
      <c r="A3092" s="7" t="s">
        <v>7455</v>
      </c>
      <c r="B3092" s="7" t="s">
        <v>38</v>
      </c>
      <c r="C3092" s="7"/>
      <c r="D3092" s="7" t="s">
        <v>7726</v>
      </c>
      <c r="E3092" s="8">
        <v>6</v>
      </c>
      <c r="F3092" s="7"/>
      <c r="G3092" s="7"/>
      <c r="H3092" s="10">
        <v>164476</v>
      </c>
      <c r="I3092" s="10">
        <v>12029</v>
      </c>
      <c r="J3092" s="10">
        <v>12269</v>
      </c>
      <c r="K3092" s="9"/>
      <c r="L3092" s="10">
        <v>12514</v>
      </c>
      <c r="M3092" s="9"/>
      <c r="N3092" s="10">
        <v>12514</v>
      </c>
      <c r="O3092" s="9"/>
      <c r="P3092" s="10"/>
      <c r="Q3092" s="10"/>
      <c r="R3092" s="10"/>
      <c r="S3092" s="7" t="s">
        <v>54</v>
      </c>
      <c r="T3092" s="7" t="s">
        <v>7719</v>
      </c>
      <c r="U3092" s="7"/>
      <c r="V3092" s="7"/>
      <c r="W3092" s="7"/>
      <c r="X3092" s="7"/>
      <c r="Y3092" s="7" t="s">
        <v>7809</v>
      </c>
      <c r="Z3092" s="7" t="s">
        <v>4737</v>
      </c>
      <c r="AA3092" s="7"/>
      <c r="AB3092" s="7"/>
      <c r="AC3092" s="7" t="s">
        <v>7714</v>
      </c>
      <c r="AD3092" s="7" t="s">
        <v>7726</v>
      </c>
      <c r="AE3092" s="7"/>
      <c r="AF3092" s="7" t="s">
        <v>5521</v>
      </c>
      <c r="AG3092" s="7" t="s">
        <v>5522</v>
      </c>
      <c r="AH3092" s="7" t="s">
        <v>7715</v>
      </c>
    </row>
    <row r="3093" spans="1:37" ht="9.75" customHeight="1" x14ac:dyDescent="0.2">
      <c r="A3093" s="7" t="s">
        <v>7455</v>
      </c>
      <c r="B3093" s="7" t="s">
        <v>38</v>
      </c>
      <c r="C3093" s="7"/>
      <c r="D3093" s="7" t="s">
        <v>7810</v>
      </c>
      <c r="E3093" s="8">
        <v>1</v>
      </c>
      <c r="F3093" s="7" t="s">
        <v>293</v>
      </c>
      <c r="G3093" s="7"/>
      <c r="H3093" s="10">
        <v>38054</v>
      </c>
      <c r="I3093" s="10">
        <v>61393</v>
      </c>
      <c r="J3093" s="10">
        <v>56790</v>
      </c>
      <c r="K3093" s="9"/>
      <c r="L3093" s="10">
        <v>200317</v>
      </c>
      <c r="M3093" s="9"/>
      <c r="N3093" s="10">
        <v>200317</v>
      </c>
      <c r="O3093" s="9"/>
      <c r="P3093" s="10"/>
      <c r="Q3093" s="10"/>
      <c r="R3093" s="10"/>
      <c r="S3093" s="7" t="s">
        <v>54</v>
      </c>
      <c r="T3093" s="7" t="s">
        <v>7719</v>
      </c>
      <c r="U3093" s="7" t="s">
        <v>44</v>
      </c>
      <c r="V3093" s="7" t="s">
        <v>45</v>
      </c>
      <c r="W3093" s="7" t="s">
        <v>46</v>
      </c>
      <c r="X3093" s="7" t="s">
        <v>47</v>
      </c>
      <c r="Y3093" s="7" t="s">
        <v>7811</v>
      </c>
      <c r="Z3093" s="7" t="s">
        <v>92</v>
      </c>
      <c r="AA3093" s="7"/>
      <c r="AB3093" s="7"/>
      <c r="AC3093" s="7" t="s">
        <v>7714</v>
      </c>
      <c r="AD3093" s="7" t="s">
        <v>7810</v>
      </c>
      <c r="AE3093" s="7"/>
      <c r="AF3093" s="7" t="s">
        <v>5521</v>
      </c>
      <c r="AG3093" s="7" t="s">
        <v>5522</v>
      </c>
      <c r="AH3093" s="7" t="s">
        <v>7715</v>
      </c>
    </row>
    <row r="3094" spans="1:37" ht="9.75" customHeight="1" x14ac:dyDescent="0.2">
      <c r="A3094" s="7" t="s">
        <v>7455</v>
      </c>
      <c r="B3094" s="7" t="s">
        <v>38</v>
      </c>
      <c r="C3094" s="7"/>
      <c r="D3094" s="7" t="s">
        <v>7812</v>
      </c>
      <c r="E3094" s="8">
        <v>1</v>
      </c>
      <c r="F3094" s="7" t="s">
        <v>293</v>
      </c>
      <c r="G3094" s="7"/>
      <c r="H3094" s="10">
        <v>17119</v>
      </c>
      <c r="I3094" s="10">
        <v>54451</v>
      </c>
      <c r="J3094" s="10">
        <v>45524</v>
      </c>
      <c r="K3094" s="9"/>
      <c r="L3094" s="10">
        <v>198119</v>
      </c>
      <c r="M3094" s="9"/>
      <c r="N3094" s="10">
        <v>198119</v>
      </c>
      <c r="O3094" s="9"/>
      <c r="P3094" s="10"/>
      <c r="Q3094" s="10"/>
      <c r="R3094" s="10"/>
      <c r="S3094" s="7" t="s">
        <v>54</v>
      </c>
      <c r="T3094" s="7" t="s">
        <v>7810</v>
      </c>
      <c r="U3094" s="7" t="s">
        <v>44</v>
      </c>
      <c r="V3094" s="7" t="s">
        <v>45</v>
      </c>
      <c r="W3094" s="7" t="s">
        <v>46</v>
      </c>
      <c r="X3094" s="7" t="s">
        <v>47</v>
      </c>
      <c r="Y3094" s="7" t="s">
        <v>7813</v>
      </c>
      <c r="Z3094" s="7" t="s">
        <v>92</v>
      </c>
      <c r="AA3094" s="7"/>
      <c r="AB3094" s="7"/>
      <c r="AC3094" s="7" t="s">
        <v>7714</v>
      </c>
      <c r="AD3094" s="7" t="s">
        <v>7810</v>
      </c>
      <c r="AE3094" s="7"/>
      <c r="AF3094" s="7" t="s">
        <v>5521</v>
      </c>
      <c r="AG3094" s="7" t="s">
        <v>5522</v>
      </c>
      <c r="AH3094" s="7" t="s">
        <v>7715</v>
      </c>
    </row>
    <row r="3095" spans="1:37" ht="9.75" customHeight="1" x14ac:dyDescent="0.2">
      <c r="A3095" s="7" t="s">
        <v>7455</v>
      </c>
      <c r="B3095" s="7" t="s">
        <v>38</v>
      </c>
      <c r="C3095" s="7"/>
      <c r="D3095" s="7" t="s">
        <v>7814</v>
      </c>
      <c r="E3095" s="8">
        <v>6</v>
      </c>
      <c r="F3095" s="7"/>
      <c r="G3095" s="7"/>
      <c r="H3095" s="10">
        <v>20935</v>
      </c>
      <c r="I3095" s="10">
        <v>6942</v>
      </c>
      <c r="J3095" s="10">
        <v>11266</v>
      </c>
      <c r="K3095" s="9"/>
      <c r="L3095" s="10">
        <v>2198</v>
      </c>
      <c r="M3095" s="9"/>
      <c r="N3095" s="10">
        <v>2198</v>
      </c>
      <c r="O3095" s="9"/>
      <c r="P3095" s="10"/>
      <c r="Q3095" s="10"/>
      <c r="R3095" s="10"/>
      <c r="S3095" s="7" t="s">
        <v>54</v>
      </c>
      <c r="T3095" s="7" t="s">
        <v>7810</v>
      </c>
      <c r="U3095" s="7" t="s">
        <v>44</v>
      </c>
      <c r="V3095" s="7" t="s">
        <v>45</v>
      </c>
      <c r="W3095" s="7" t="s">
        <v>46</v>
      </c>
      <c r="X3095" s="7" t="s">
        <v>47</v>
      </c>
      <c r="Y3095" s="7" t="s">
        <v>7815</v>
      </c>
      <c r="Z3095" s="7" t="s">
        <v>92</v>
      </c>
      <c r="AA3095" s="7"/>
      <c r="AB3095" s="7"/>
      <c r="AC3095" s="7" t="s">
        <v>7714</v>
      </c>
      <c r="AD3095" s="7" t="s">
        <v>7726</v>
      </c>
      <c r="AE3095" s="7"/>
      <c r="AF3095" s="7" t="s">
        <v>5521</v>
      </c>
      <c r="AG3095" s="7" t="s">
        <v>5522</v>
      </c>
      <c r="AH3095" s="7" t="s">
        <v>7715</v>
      </c>
    </row>
    <row r="3096" spans="1:37" ht="9.75" customHeight="1" x14ac:dyDescent="0.2">
      <c r="A3096" s="7" t="s">
        <v>7455</v>
      </c>
      <c r="B3096" s="7" t="s">
        <v>38</v>
      </c>
      <c r="C3096" s="7" t="s">
        <v>7816</v>
      </c>
      <c r="D3096" s="7" t="s">
        <v>7817</v>
      </c>
      <c r="E3096" s="8">
        <v>4</v>
      </c>
      <c r="F3096" s="7"/>
      <c r="G3096" s="7" t="s">
        <v>7818</v>
      </c>
      <c r="H3096" s="10">
        <v>1296814</v>
      </c>
      <c r="I3096" s="10">
        <v>143975</v>
      </c>
      <c r="J3096" s="10">
        <v>153237</v>
      </c>
      <c r="K3096" s="9"/>
      <c r="L3096" s="10">
        <v>102954</v>
      </c>
      <c r="M3096" s="10">
        <v>0</v>
      </c>
      <c r="N3096" s="10">
        <v>102954</v>
      </c>
      <c r="O3096" s="9"/>
      <c r="P3096" s="10"/>
      <c r="Q3096" s="10"/>
      <c r="R3096" s="10"/>
      <c r="S3096" s="7" t="s">
        <v>43</v>
      </c>
      <c r="T3096" s="7"/>
      <c r="U3096" s="7" t="s">
        <v>44</v>
      </c>
      <c r="V3096" s="7" t="s">
        <v>45</v>
      </c>
      <c r="W3096" s="7" t="s">
        <v>46</v>
      </c>
      <c r="X3096" s="7" t="s">
        <v>90</v>
      </c>
      <c r="Y3096" s="7" t="s">
        <v>7819</v>
      </c>
      <c r="Z3096" s="7" t="s">
        <v>2072</v>
      </c>
      <c r="AA3096" s="7"/>
      <c r="AB3096" s="7"/>
      <c r="AC3096" s="7" t="s">
        <v>7816</v>
      </c>
      <c r="AD3096" s="7"/>
      <c r="AE3096" s="7"/>
      <c r="AF3096" s="7"/>
      <c r="AG3096" s="7"/>
      <c r="AH3096" s="7" t="s">
        <v>7817</v>
      </c>
      <c r="AI3096">
        <v>165416</v>
      </c>
      <c r="AK3096">
        <v>165416</v>
      </c>
    </row>
    <row r="3097" spans="1:37" ht="9.75" customHeight="1" x14ac:dyDescent="0.2">
      <c r="A3097" s="7" t="s">
        <v>7455</v>
      </c>
      <c r="B3097" s="7" t="s">
        <v>38</v>
      </c>
      <c r="C3097" s="7" t="s">
        <v>7820</v>
      </c>
      <c r="D3097" s="7" t="s">
        <v>7821</v>
      </c>
      <c r="E3097" s="8">
        <v>4</v>
      </c>
      <c r="F3097" s="7"/>
      <c r="G3097" s="7"/>
      <c r="H3097" s="10">
        <v>475193</v>
      </c>
      <c r="I3097" s="10">
        <v>52110</v>
      </c>
      <c r="J3097" s="10">
        <v>62224</v>
      </c>
      <c r="K3097" s="9"/>
      <c r="L3097" s="10">
        <v>33321</v>
      </c>
      <c r="M3097" s="9"/>
      <c r="N3097" s="10">
        <v>33321</v>
      </c>
      <c r="O3097" s="9"/>
      <c r="P3097" s="10"/>
      <c r="Q3097" s="10"/>
      <c r="R3097" s="10"/>
      <c r="S3097" s="7" t="s">
        <v>54</v>
      </c>
      <c r="T3097" s="7" t="s">
        <v>7822</v>
      </c>
      <c r="U3097" s="7" t="s">
        <v>44</v>
      </c>
      <c r="V3097" s="7" t="s">
        <v>45</v>
      </c>
      <c r="W3097" s="7" t="s">
        <v>46</v>
      </c>
      <c r="X3097" s="7"/>
      <c r="Y3097" s="7" t="s">
        <v>7823</v>
      </c>
      <c r="Z3097" s="7" t="s">
        <v>2146</v>
      </c>
      <c r="AA3097" s="7"/>
      <c r="AB3097" s="7"/>
      <c r="AC3097" s="7" t="s">
        <v>7816</v>
      </c>
      <c r="AD3097" s="7" t="s">
        <v>7824</v>
      </c>
      <c r="AE3097" s="7" t="s">
        <v>7820</v>
      </c>
      <c r="AF3097" s="7"/>
      <c r="AG3097" s="7"/>
      <c r="AH3097" s="7" t="s">
        <v>7817</v>
      </c>
    </row>
    <row r="3098" spans="1:37" ht="9.75" customHeight="1" x14ac:dyDescent="0.2">
      <c r="A3098" s="7" t="s">
        <v>7455</v>
      </c>
      <c r="B3098" s="7" t="s">
        <v>38</v>
      </c>
      <c r="C3098" s="7" t="s">
        <v>7820</v>
      </c>
      <c r="D3098" s="7" t="s">
        <v>7825</v>
      </c>
      <c r="E3098" s="8">
        <v>4</v>
      </c>
      <c r="F3098" s="7"/>
      <c r="G3098" s="7"/>
      <c r="H3098" s="10">
        <v>141231</v>
      </c>
      <c r="I3098" s="10">
        <v>22994</v>
      </c>
      <c r="J3098" s="10">
        <v>28484</v>
      </c>
      <c r="K3098" s="9"/>
      <c r="L3098" s="10">
        <v>22202</v>
      </c>
      <c r="M3098" s="9"/>
      <c r="N3098" s="10">
        <v>22202</v>
      </c>
      <c r="O3098" s="9"/>
      <c r="P3098" s="10"/>
      <c r="Q3098" s="10"/>
      <c r="R3098" s="10"/>
      <c r="S3098" s="7" t="s">
        <v>54</v>
      </c>
      <c r="T3098" s="7" t="s">
        <v>7826</v>
      </c>
      <c r="U3098" s="7" t="s">
        <v>44</v>
      </c>
      <c r="V3098" s="7" t="s">
        <v>45</v>
      </c>
      <c r="W3098" s="7" t="s">
        <v>46</v>
      </c>
      <c r="X3098" s="7"/>
      <c r="Y3098" s="7" t="s">
        <v>7827</v>
      </c>
      <c r="Z3098" s="7" t="s">
        <v>2146</v>
      </c>
      <c r="AA3098" s="7"/>
      <c r="AB3098" s="7"/>
      <c r="AC3098" s="7" t="s">
        <v>7816</v>
      </c>
      <c r="AD3098" s="7" t="s">
        <v>7824</v>
      </c>
      <c r="AE3098" s="7" t="s">
        <v>7820</v>
      </c>
      <c r="AF3098" s="7"/>
      <c r="AG3098" s="7"/>
      <c r="AH3098" s="7" t="s">
        <v>7817</v>
      </c>
    </row>
    <row r="3099" spans="1:37" ht="9.75" customHeight="1" x14ac:dyDescent="0.2">
      <c r="A3099" s="7" t="s">
        <v>7455</v>
      </c>
      <c r="B3099" s="7" t="s">
        <v>38</v>
      </c>
      <c r="C3099" s="7" t="s">
        <v>7820</v>
      </c>
      <c r="D3099" s="7" t="s">
        <v>7828</v>
      </c>
      <c r="E3099" s="8">
        <v>4</v>
      </c>
      <c r="F3099" s="7"/>
      <c r="G3099" s="7"/>
      <c r="H3099" s="10">
        <v>32727</v>
      </c>
      <c r="I3099" s="9"/>
      <c r="J3099" s="10">
        <v>2097</v>
      </c>
      <c r="K3099" s="9"/>
      <c r="L3099" s="10">
        <v>2732</v>
      </c>
      <c r="M3099" s="9"/>
      <c r="N3099" s="10">
        <v>2732</v>
      </c>
      <c r="O3099" s="9"/>
      <c r="P3099" s="10"/>
      <c r="Q3099" s="10"/>
      <c r="R3099" s="10"/>
      <c r="S3099" s="7" t="s">
        <v>54</v>
      </c>
      <c r="T3099" s="7" t="s">
        <v>7826</v>
      </c>
      <c r="U3099" s="7"/>
      <c r="V3099" s="7"/>
      <c r="W3099" s="7"/>
      <c r="X3099" s="7"/>
      <c r="Y3099" s="7" t="s">
        <v>7829</v>
      </c>
      <c r="Z3099" s="7" t="s">
        <v>2146</v>
      </c>
      <c r="AA3099" s="7"/>
      <c r="AB3099" s="7"/>
      <c r="AC3099" s="7" t="s">
        <v>7816</v>
      </c>
      <c r="AD3099" s="7" t="s">
        <v>7824</v>
      </c>
      <c r="AE3099" s="7" t="s">
        <v>7820</v>
      </c>
      <c r="AF3099" s="7"/>
      <c r="AG3099" s="7"/>
      <c r="AH3099" s="7" t="s">
        <v>7817</v>
      </c>
    </row>
    <row r="3100" spans="1:37" ht="9.75" customHeight="1" x14ac:dyDescent="0.2">
      <c r="A3100" s="7" t="s">
        <v>7455</v>
      </c>
      <c r="B3100" s="7" t="s">
        <v>38</v>
      </c>
      <c r="C3100" s="7" t="s">
        <v>7820</v>
      </c>
      <c r="D3100" s="7" t="s">
        <v>7830</v>
      </c>
      <c r="E3100" s="8">
        <v>4</v>
      </c>
      <c r="F3100" s="7"/>
      <c r="G3100" s="7"/>
      <c r="H3100" s="10">
        <v>60228</v>
      </c>
      <c r="I3100" s="10">
        <v>12379</v>
      </c>
      <c r="J3100" s="10">
        <v>14573</v>
      </c>
      <c r="K3100" s="9"/>
      <c r="L3100" s="10">
        <v>8387</v>
      </c>
      <c r="M3100" s="9"/>
      <c r="N3100" s="10">
        <v>8387</v>
      </c>
      <c r="O3100" s="9"/>
      <c r="P3100" s="10"/>
      <c r="Q3100" s="10"/>
      <c r="R3100" s="10"/>
      <c r="S3100" s="7" t="s">
        <v>54</v>
      </c>
      <c r="T3100" s="7" t="s">
        <v>7826</v>
      </c>
      <c r="U3100" s="7"/>
      <c r="V3100" s="7"/>
      <c r="W3100" s="7"/>
      <c r="X3100" s="7"/>
      <c r="Y3100" s="7" t="s">
        <v>7831</v>
      </c>
      <c r="Z3100" s="7" t="s">
        <v>2146</v>
      </c>
      <c r="AA3100" s="7"/>
      <c r="AB3100" s="7"/>
      <c r="AC3100" s="7" t="s">
        <v>7816</v>
      </c>
      <c r="AD3100" s="7" t="s">
        <v>7824</v>
      </c>
      <c r="AE3100" s="7" t="s">
        <v>7820</v>
      </c>
      <c r="AF3100" s="7"/>
      <c r="AG3100" s="7"/>
      <c r="AH3100" s="7" t="s">
        <v>7817</v>
      </c>
    </row>
    <row r="3101" spans="1:37" ht="9.75" customHeight="1" x14ac:dyDescent="0.2">
      <c r="A3101" s="7" t="s">
        <v>7455</v>
      </c>
      <c r="B3101" s="7" t="s">
        <v>38</v>
      </c>
      <c r="C3101" s="7" t="s">
        <v>7832</v>
      </c>
      <c r="D3101" s="7" t="s">
        <v>7833</v>
      </c>
      <c r="E3101" s="8">
        <v>6</v>
      </c>
      <c r="F3101" s="7"/>
      <c r="G3101" s="7"/>
      <c r="H3101" s="10">
        <v>72788</v>
      </c>
      <c r="I3101" s="10">
        <v>1939</v>
      </c>
      <c r="J3101" s="10">
        <v>1977</v>
      </c>
      <c r="K3101" s="9"/>
      <c r="L3101" s="10">
        <v>1431</v>
      </c>
      <c r="M3101" s="9"/>
      <c r="N3101" s="10">
        <v>1431</v>
      </c>
      <c r="O3101" s="9"/>
      <c r="P3101" s="10"/>
      <c r="Q3101" s="10"/>
      <c r="R3101" s="10"/>
      <c r="S3101" s="7" t="s">
        <v>54</v>
      </c>
      <c r="T3101" s="7" t="s">
        <v>7822</v>
      </c>
      <c r="U3101" s="7"/>
      <c r="V3101" s="7"/>
      <c r="W3101" s="7"/>
      <c r="X3101" s="7"/>
      <c r="Y3101" s="7" t="s">
        <v>7834</v>
      </c>
      <c r="Z3101" s="7" t="s">
        <v>106</v>
      </c>
      <c r="AA3101" s="7"/>
      <c r="AB3101" s="7"/>
      <c r="AC3101" s="7" t="s">
        <v>7816</v>
      </c>
      <c r="AD3101" s="7" t="s">
        <v>7835</v>
      </c>
      <c r="AE3101" s="7" t="s">
        <v>7832</v>
      </c>
      <c r="AF3101" s="7"/>
      <c r="AG3101" s="7"/>
      <c r="AH3101" s="7" t="s">
        <v>7817</v>
      </c>
    </row>
    <row r="3102" spans="1:37" ht="9.75" customHeight="1" x14ac:dyDescent="0.2">
      <c r="A3102" s="7" t="s">
        <v>7455</v>
      </c>
      <c r="B3102" s="7" t="s">
        <v>38</v>
      </c>
      <c r="C3102" s="7" t="s">
        <v>7836</v>
      </c>
      <c r="D3102" s="7" t="s">
        <v>7837</v>
      </c>
      <c r="E3102" s="8">
        <v>4</v>
      </c>
      <c r="F3102" s="7"/>
      <c r="G3102" s="7" t="s">
        <v>7838</v>
      </c>
      <c r="H3102" s="10">
        <v>0</v>
      </c>
      <c r="I3102" s="10">
        <v>9680</v>
      </c>
      <c r="J3102" s="10">
        <v>16735</v>
      </c>
      <c r="K3102" s="9"/>
      <c r="L3102" s="10">
        <v>13870</v>
      </c>
      <c r="M3102" s="9"/>
      <c r="N3102" s="10">
        <v>13870</v>
      </c>
      <c r="O3102" s="9"/>
      <c r="P3102" s="10"/>
      <c r="Q3102" s="10"/>
      <c r="R3102" s="10"/>
      <c r="S3102" s="7" t="s">
        <v>54</v>
      </c>
      <c r="T3102" s="7" t="s">
        <v>7822</v>
      </c>
      <c r="U3102" s="7" t="s">
        <v>44</v>
      </c>
      <c r="V3102" s="7" t="s">
        <v>45</v>
      </c>
      <c r="W3102" s="7" t="s">
        <v>46</v>
      </c>
      <c r="X3102" s="7" t="s">
        <v>4856</v>
      </c>
      <c r="Y3102" s="7" t="s">
        <v>7839</v>
      </c>
      <c r="Z3102" s="7" t="s">
        <v>112</v>
      </c>
      <c r="AA3102" s="7"/>
      <c r="AB3102" s="7"/>
      <c r="AC3102" s="7" t="s">
        <v>7816</v>
      </c>
      <c r="AD3102" s="7" t="s">
        <v>7840</v>
      </c>
      <c r="AE3102" s="7" t="s">
        <v>7836</v>
      </c>
      <c r="AF3102" s="7"/>
      <c r="AG3102" s="7"/>
      <c r="AH3102" s="7" t="s">
        <v>7817</v>
      </c>
    </row>
    <row r="3103" spans="1:37" ht="9.75" customHeight="1" x14ac:dyDescent="0.2">
      <c r="A3103" s="7" t="s">
        <v>7455</v>
      </c>
      <c r="B3103" s="7" t="s">
        <v>38</v>
      </c>
      <c r="C3103" s="7" t="s">
        <v>7836</v>
      </c>
      <c r="D3103" s="7" t="s">
        <v>7841</v>
      </c>
      <c r="E3103" s="8">
        <v>4</v>
      </c>
      <c r="F3103" s="7"/>
      <c r="G3103" s="7" t="s">
        <v>7838</v>
      </c>
      <c r="H3103" s="10">
        <v>46057</v>
      </c>
      <c r="I3103" s="10">
        <v>8101</v>
      </c>
      <c r="J3103" s="10">
        <v>6238</v>
      </c>
      <c r="K3103" s="9"/>
      <c r="L3103" s="10">
        <v>0</v>
      </c>
      <c r="M3103" s="9"/>
      <c r="N3103" s="10">
        <v>0</v>
      </c>
      <c r="O3103" s="9"/>
      <c r="P3103" s="10"/>
      <c r="Q3103" s="10"/>
      <c r="R3103" s="10"/>
      <c r="S3103" s="7" t="s">
        <v>54</v>
      </c>
      <c r="T3103" s="7" t="s">
        <v>7822</v>
      </c>
      <c r="U3103" s="7" t="s">
        <v>44</v>
      </c>
      <c r="V3103" s="7" t="s">
        <v>45</v>
      </c>
      <c r="W3103" s="7" t="s">
        <v>46</v>
      </c>
      <c r="X3103" s="7" t="s">
        <v>90</v>
      </c>
      <c r="Y3103" s="7" t="s">
        <v>7842</v>
      </c>
      <c r="Z3103" s="7" t="s">
        <v>4924</v>
      </c>
      <c r="AA3103" s="7"/>
      <c r="AB3103" s="7"/>
      <c r="AC3103" s="7" t="s">
        <v>7816</v>
      </c>
      <c r="AD3103" s="7" t="s">
        <v>7840</v>
      </c>
      <c r="AE3103" s="7" t="s">
        <v>7836</v>
      </c>
      <c r="AF3103" s="7"/>
      <c r="AG3103" s="7"/>
      <c r="AH3103" s="7" t="s">
        <v>7817</v>
      </c>
    </row>
    <row r="3104" spans="1:37" ht="9.75" customHeight="1" x14ac:dyDescent="0.2">
      <c r="A3104" s="7" t="s">
        <v>7455</v>
      </c>
      <c r="B3104" s="7" t="s">
        <v>38</v>
      </c>
      <c r="C3104" s="7" t="s">
        <v>7836</v>
      </c>
      <c r="D3104" s="7" t="s">
        <v>7843</v>
      </c>
      <c r="E3104" s="8">
        <v>4</v>
      </c>
      <c r="F3104" s="7"/>
      <c r="G3104" s="7"/>
      <c r="H3104" s="10">
        <v>337082</v>
      </c>
      <c r="I3104" s="10">
        <v>31059</v>
      </c>
      <c r="J3104" s="10">
        <v>4465</v>
      </c>
      <c r="K3104" s="9"/>
      <c r="L3104" s="10">
        <v>0</v>
      </c>
      <c r="M3104" s="9"/>
      <c r="N3104" s="10">
        <v>0</v>
      </c>
      <c r="O3104" s="9"/>
      <c r="P3104" s="10"/>
      <c r="Q3104" s="10"/>
      <c r="R3104" s="10"/>
      <c r="S3104" s="7" t="s">
        <v>54</v>
      </c>
      <c r="T3104" s="7" t="s">
        <v>7822</v>
      </c>
      <c r="U3104" s="7" t="s">
        <v>44</v>
      </c>
      <c r="V3104" s="7" t="s">
        <v>45</v>
      </c>
      <c r="W3104" s="7" t="s">
        <v>46</v>
      </c>
      <c r="X3104" s="7" t="s">
        <v>90</v>
      </c>
      <c r="Y3104" s="7" t="s">
        <v>7844</v>
      </c>
      <c r="Z3104" s="7" t="s">
        <v>7845</v>
      </c>
      <c r="AA3104" s="7"/>
      <c r="AB3104" s="7"/>
      <c r="AC3104" s="7" t="s">
        <v>7816</v>
      </c>
      <c r="AD3104" s="7" t="s">
        <v>7840</v>
      </c>
      <c r="AE3104" s="7" t="s">
        <v>7836</v>
      </c>
      <c r="AF3104" s="7"/>
      <c r="AG3104" s="7"/>
      <c r="AH3104" s="7" t="s">
        <v>7817</v>
      </c>
    </row>
    <row r="3105" spans="1:37" ht="9.75" customHeight="1" x14ac:dyDescent="0.2">
      <c r="A3105" s="7" t="s">
        <v>7455</v>
      </c>
      <c r="B3105" s="7" t="s">
        <v>38</v>
      </c>
      <c r="C3105" s="7" t="s">
        <v>7836</v>
      </c>
      <c r="D3105" s="7" t="s">
        <v>7846</v>
      </c>
      <c r="E3105" s="8">
        <v>4</v>
      </c>
      <c r="F3105" s="7"/>
      <c r="G3105" s="7" t="s">
        <v>7847</v>
      </c>
      <c r="H3105" s="10">
        <v>151568</v>
      </c>
      <c r="I3105" s="10">
        <v>10095</v>
      </c>
      <c r="J3105" s="10">
        <v>10656</v>
      </c>
      <c r="K3105" s="9"/>
      <c r="L3105" s="10">
        <v>12787</v>
      </c>
      <c r="M3105" s="9"/>
      <c r="N3105" s="10">
        <v>12787</v>
      </c>
      <c r="O3105" s="9"/>
      <c r="P3105" s="10"/>
      <c r="Q3105" s="10"/>
      <c r="R3105" s="10"/>
      <c r="S3105" s="7" t="s">
        <v>54</v>
      </c>
      <c r="T3105" s="7" t="s">
        <v>7822</v>
      </c>
      <c r="U3105" s="7" t="s">
        <v>44</v>
      </c>
      <c r="V3105" s="7" t="s">
        <v>45</v>
      </c>
      <c r="W3105" s="7" t="s">
        <v>46</v>
      </c>
      <c r="X3105" s="7" t="s">
        <v>90</v>
      </c>
      <c r="Y3105" s="7" t="s">
        <v>7848</v>
      </c>
      <c r="Z3105" s="7" t="s">
        <v>2220</v>
      </c>
      <c r="AA3105" s="7"/>
      <c r="AB3105" s="7"/>
      <c r="AC3105" s="7" t="s">
        <v>7816</v>
      </c>
      <c r="AD3105" s="7" t="s">
        <v>7840</v>
      </c>
      <c r="AE3105" s="7" t="s">
        <v>7836</v>
      </c>
      <c r="AF3105" s="7"/>
      <c r="AG3105" s="7"/>
      <c r="AH3105" s="7" t="s">
        <v>7817</v>
      </c>
    </row>
    <row r="3106" spans="1:37" ht="9.75" customHeight="1" x14ac:dyDescent="0.2">
      <c r="A3106" s="7" t="s">
        <v>7455</v>
      </c>
      <c r="B3106" s="7" t="s">
        <v>38</v>
      </c>
      <c r="C3106" s="7" t="s">
        <v>7836</v>
      </c>
      <c r="D3106" s="7" t="s">
        <v>7849</v>
      </c>
      <c r="E3106" s="8">
        <v>4</v>
      </c>
      <c r="F3106" s="7"/>
      <c r="G3106" s="7"/>
      <c r="H3106" s="10">
        <v>58734</v>
      </c>
      <c r="I3106" s="10">
        <v>20391</v>
      </c>
      <c r="J3106" s="10">
        <v>38394</v>
      </c>
      <c r="K3106" s="9"/>
      <c r="L3106" s="10">
        <v>27173</v>
      </c>
      <c r="M3106" s="9"/>
      <c r="N3106" s="10">
        <v>27173</v>
      </c>
      <c r="O3106" s="9"/>
      <c r="P3106" s="10"/>
      <c r="Q3106" s="10"/>
      <c r="R3106" s="10"/>
      <c r="S3106" s="7" t="s">
        <v>54</v>
      </c>
      <c r="T3106" s="7" t="s">
        <v>7822</v>
      </c>
      <c r="U3106" s="7" t="s">
        <v>44</v>
      </c>
      <c r="V3106" s="7" t="s">
        <v>45</v>
      </c>
      <c r="W3106" s="7" t="s">
        <v>46</v>
      </c>
      <c r="X3106" s="7" t="s">
        <v>90</v>
      </c>
      <c r="Y3106" s="7" t="s">
        <v>7850</v>
      </c>
      <c r="Z3106" s="7" t="s">
        <v>2264</v>
      </c>
      <c r="AA3106" s="7"/>
      <c r="AB3106" s="7"/>
      <c r="AC3106" s="7" t="s">
        <v>7816</v>
      </c>
      <c r="AD3106" s="7" t="s">
        <v>7840</v>
      </c>
      <c r="AE3106" s="7" t="s">
        <v>7836</v>
      </c>
      <c r="AF3106" s="7"/>
      <c r="AG3106" s="7"/>
      <c r="AH3106" s="7" t="s">
        <v>7817</v>
      </c>
    </row>
    <row r="3107" spans="1:37" ht="9.75" customHeight="1" x14ac:dyDescent="0.2">
      <c r="A3107" s="7" t="s">
        <v>7455</v>
      </c>
      <c r="B3107" s="7" t="s">
        <v>38</v>
      </c>
      <c r="C3107" s="7" t="s">
        <v>7836</v>
      </c>
      <c r="D3107" s="7" t="s">
        <v>7851</v>
      </c>
      <c r="E3107" s="8">
        <v>1</v>
      </c>
      <c r="F3107" s="7" t="s">
        <v>293</v>
      </c>
      <c r="G3107" s="7"/>
      <c r="H3107" s="10">
        <v>0</v>
      </c>
      <c r="I3107" s="10">
        <v>0</v>
      </c>
      <c r="J3107" s="10">
        <v>0</v>
      </c>
      <c r="K3107" s="9"/>
      <c r="L3107" s="10">
        <v>8610</v>
      </c>
      <c r="M3107" s="9"/>
      <c r="N3107" s="10">
        <v>8610</v>
      </c>
      <c r="O3107" s="9"/>
      <c r="P3107" s="10"/>
      <c r="Q3107" s="10"/>
      <c r="R3107" s="10"/>
      <c r="S3107" s="7" t="s">
        <v>54</v>
      </c>
      <c r="T3107" s="7" t="s">
        <v>7822</v>
      </c>
      <c r="U3107" s="7" t="s">
        <v>44</v>
      </c>
      <c r="V3107" s="7" t="s">
        <v>45</v>
      </c>
      <c r="W3107" s="7" t="s">
        <v>46</v>
      </c>
      <c r="X3107" s="7" t="s">
        <v>47</v>
      </c>
      <c r="Y3107" s="7" t="s">
        <v>7852</v>
      </c>
      <c r="Z3107" s="7" t="s">
        <v>2317</v>
      </c>
      <c r="AA3107" s="7"/>
      <c r="AB3107" s="7"/>
      <c r="AC3107" s="7" t="s">
        <v>7816</v>
      </c>
      <c r="AD3107" s="7" t="s">
        <v>7840</v>
      </c>
      <c r="AE3107" s="7" t="s">
        <v>7836</v>
      </c>
      <c r="AF3107" s="7"/>
      <c r="AG3107" s="7"/>
      <c r="AH3107" s="7" t="s">
        <v>7817</v>
      </c>
    </row>
    <row r="3108" spans="1:37" ht="9.75" customHeight="1" x14ac:dyDescent="0.2">
      <c r="A3108" s="7" t="s">
        <v>7455</v>
      </c>
      <c r="B3108" s="7" t="s">
        <v>38</v>
      </c>
      <c r="C3108" s="7" t="s">
        <v>7836</v>
      </c>
      <c r="D3108" s="7" t="s">
        <v>7853</v>
      </c>
      <c r="E3108" s="8">
        <v>4</v>
      </c>
      <c r="F3108" s="7"/>
      <c r="G3108" s="7" t="s">
        <v>7854</v>
      </c>
      <c r="H3108" s="10">
        <v>0</v>
      </c>
      <c r="I3108" s="10">
        <v>0</v>
      </c>
      <c r="J3108" s="10">
        <v>8397</v>
      </c>
      <c r="K3108" s="9"/>
      <c r="L3108" s="10">
        <v>5762</v>
      </c>
      <c r="M3108" s="9"/>
      <c r="N3108" s="10">
        <v>5762</v>
      </c>
      <c r="O3108" s="9"/>
      <c r="P3108" s="10"/>
      <c r="Q3108" s="10"/>
      <c r="R3108" s="10"/>
      <c r="S3108" s="7" t="s">
        <v>54</v>
      </c>
      <c r="T3108" s="7" t="s">
        <v>7822</v>
      </c>
      <c r="U3108" s="7" t="s">
        <v>44</v>
      </c>
      <c r="V3108" s="7" t="s">
        <v>45</v>
      </c>
      <c r="W3108" s="7" t="s">
        <v>46</v>
      </c>
      <c r="X3108" s="7" t="s">
        <v>90</v>
      </c>
      <c r="Y3108" s="7" t="s">
        <v>7855</v>
      </c>
      <c r="Z3108" s="7" t="s">
        <v>2359</v>
      </c>
      <c r="AA3108" s="7"/>
      <c r="AB3108" s="7"/>
      <c r="AC3108" s="7" t="s">
        <v>7816</v>
      </c>
      <c r="AD3108" s="7" t="s">
        <v>7840</v>
      </c>
      <c r="AE3108" s="7" t="s">
        <v>7836</v>
      </c>
      <c r="AF3108" s="7"/>
      <c r="AG3108" s="7"/>
      <c r="AH3108" s="7" t="s">
        <v>7817</v>
      </c>
    </row>
    <row r="3109" spans="1:37" ht="9.75" customHeight="1" x14ac:dyDescent="0.2">
      <c r="A3109" s="7" t="s">
        <v>7455</v>
      </c>
      <c r="B3109" s="7" t="s">
        <v>38</v>
      </c>
      <c r="C3109" s="7" t="s">
        <v>7856</v>
      </c>
      <c r="D3109" s="7" t="s">
        <v>7857</v>
      </c>
      <c r="E3109" s="8">
        <v>4</v>
      </c>
      <c r="F3109" s="7"/>
      <c r="G3109" s="7" t="s">
        <v>7858</v>
      </c>
      <c r="H3109" s="10">
        <v>219227</v>
      </c>
      <c r="I3109" s="10">
        <v>37301</v>
      </c>
      <c r="J3109" s="10">
        <v>25362</v>
      </c>
      <c r="K3109" s="9"/>
      <c r="L3109" s="10">
        <v>25721</v>
      </c>
      <c r="M3109" s="10">
        <v>0</v>
      </c>
      <c r="N3109" s="10">
        <v>25721</v>
      </c>
      <c r="O3109" s="9"/>
      <c r="P3109" s="10"/>
      <c r="Q3109" s="10"/>
      <c r="R3109" s="10"/>
      <c r="S3109" s="7" t="s">
        <v>43</v>
      </c>
      <c r="T3109" s="7"/>
      <c r="U3109" s="7"/>
      <c r="V3109" s="7"/>
      <c r="W3109" s="7"/>
      <c r="X3109" s="7"/>
      <c r="Y3109" s="7" t="s">
        <v>7859</v>
      </c>
      <c r="Z3109" s="7" t="s">
        <v>2403</v>
      </c>
      <c r="AA3109" s="7"/>
      <c r="AB3109" s="7"/>
      <c r="AC3109" s="7" t="s">
        <v>7856</v>
      </c>
      <c r="AD3109" s="7"/>
      <c r="AE3109" s="7"/>
      <c r="AF3109" s="7"/>
      <c r="AG3109" s="7"/>
      <c r="AH3109" s="7" t="s">
        <v>7857</v>
      </c>
      <c r="AI3109">
        <v>25105</v>
      </c>
      <c r="AK3109">
        <v>25105</v>
      </c>
    </row>
    <row r="3110" spans="1:37" ht="9.75" customHeight="1" x14ac:dyDescent="0.2">
      <c r="A3110" s="7" t="s">
        <v>7455</v>
      </c>
      <c r="B3110" s="7" t="s">
        <v>38</v>
      </c>
      <c r="C3110" s="7"/>
      <c r="D3110" s="7" t="s">
        <v>7860</v>
      </c>
      <c r="E3110" s="8">
        <v>4</v>
      </c>
      <c r="F3110" s="7"/>
      <c r="G3110" s="7"/>
      <c r="H3110" s="10">
        <v>33769</v>
      </c>
      <c r="I3110" s="10">
        <v>7017</v>
      </c>
      <c r="J3110" s="10">
        <v>5664</v>
      </c>
      <c r="K3110" s="9"/>
      <c r="L3110" s="10">
        <v>5773</v>
      </c>
      <c r="M3110" s="9"/>
      <c r="N3110" s="10">
        <v>5773</v>
      </c>
      <c r="O3110" s="9"/>
      <c r="P3110" s="10"/>
      <c r="Q3110" s="10"/>
      <c r="R3110" s="10"/>
      <c r="S3110" s="7" t="s">
        <v>54</v>
      </c>
      <c r="T3110" s="7" t="s">
        <v>7861</v>
      </c>
      <c r="U3110" s="7" t="s">
        <v>44</v>
      </c>
      <c r="V3110" s="7" t="s">
        <v>45</v>
      </c>
      <c r="W3110" s="7" t="s">
        <v>130</v>
      </c>
      <c r="X3110" s="7"/>
      <c r="Y3110" s="7" t="s">
        <v>7862</v>
      </c>
      <c r="Z3110" s="7" t="s">
        <v>2462</v>
      </c>
      <c r="AA3110" s="7"/>
      <c r="AB3110" s="7"/>
      <c r="AC3110" s="7" t="s">
        <v>7856</v>
      </c>
      <c r="AD3110" s="7"/>
      <c r="AE3110" s="7"/>
      <c r="AF3110" s="7"/>
      <c r="AG3110" s="7"/>
      <c r="AH3110" s="7" t="s">
        <v>7857</v>
      </c>
    </row>
    <row r="3111" spans="1:37" ht="9.75" customHeight="1" x14ac:dyDescent="0.2">
      <c r="A3111" s="7" t="s">
        <v>7455</v>
      </c>
      <c r="B3111" s="7" t="s">
        <v>38</v>
      </c>
      <c r="C3111" s="7" t="s">
        <v>7863</v>
      </c>
      <c r="D3111" s="7" t="s">
        <v>7864</v>
      </c>
      <c r="E3111" s="8">
        <v>4</v>
      </c>
      <c r="F3111" s="7"/>
      <c r="G3111" s="7"/>
      <c r="H3111" s="10">
        <v>16696</v>
      </c>
      <c r="I3111" s="10">
        <v>2007</v>
      </c>
      <c r="J3111" s="10">
        <v>2047</v>
      </c>
      <c r="K3111" s="9"/>
      <c r="L3111" s="10">
        <v>2088</v>
      </c>
      <c r="M3111" s="9"/>
      <c r="N3111" s="10">
        <v>2088</v>
      </c>
      <c r="O3111" s="9"/>
      <c r="P3111" s="10"/>
      <c r="Q3111" s="10"/>
      <c r="R3111" s="10"/>
      <c r="S3111" s="7" t="s">
        <v>54</v>
      </c>
      <c r="T3111" s="7" t="s">
        <v>7865</v>
      </c>
      <c r="U3111" s="7" t="s">
        <v>44</v>
      </c>
      <c r="V3111" s="7" t="s">
        <v>45</v>
      </c>
      <c r="W3111" s="7" t="s">
        <v>130</v>
      </c>
      <c r="X3111" s="7"/>
      <c r="Y3111" s="7" t="s">
        <v>7866</v>
      </c>
      <c r="Z3111" s="7" t="s">
        <v>2471</v>
      </c>
      <c r="AA3111" s="7"/>
      <c r="AB3111" s="7"/>
      <c r="AC3111" s="7" t="s">
        <v>7856</v>
      </c>
      <c r="AD3111" s="7"/>
      <c r="AE3111" s="7" t="s">
        <v>7863</v>
      </c>
      <c r="AF3111" s="7"/>
      <c r="AG3111" s="7"/>
      <c r="AH3111" s="7" t="s">
        <v>7857</v>
      </c>
    </row>
    <row r="3112" spans="1:37" ht="9.75" customHeight="1" x14ac:dyDescent="0.2">
      <c r="A3112" s="7" t="s">
        <v>7455</v>
      </c>
      <c r="B3112" s="7" t="s">
        <v>38</v>
      </c>
      <c r="C3112" s="7" t="s">
        <v>7867</v>
      </c>
      <c r="D3112" s="7" t="s">
        <v>7868</v>
      </c>
      <c r="E3112" s="8">
        <v>4</v>
      </c>
      <c r="F3112" s="7"/>
      <c r="G3112" s="7"/>
      <c r="H3112" s="10">
        <v>14266</v>
      </c>
      <c r="I3112" s="10">
        <v>4678</v>
      </c>
      <c r="J3112" s="10">
        <v>3279</v>
      </c>
      <c r="K3112" s="9"/>
      <c r="L3112" s="10">
        <v>3341</v>
      </c>
      <c r="M3112" s="9"/>
      <c r="N3112" s="10">
        <v>3341</v>
      </c>
      <c r="O3112" s="9"/>
      <c r="P3112" s="10"/>
      <c r="Q3112" s="10"/>
      <c r="R3112" s="10"/>
      <c r="S3112" s="7" t="s">
        <v>54</v>
      </c>
      <c r="T3112" s="7" t="s">
        <v>7865</v>
      </c>
      <c r="U3112" s="7" t="s">
        <v>44</v>
      </c>
      <c r="V3112" s="7" t="s">
        <v>45</v>
      </c>
      <c r="W3112" s="7" t="s">
        <v>130</v>
      </c>
      <c r="X3112" s="7"/>
      <c r="Y3112" s="7" t="s">
        <v>7869</v>
      </c>
      <c r="Z3112" s="7" t="s">
        <v>2471</v>
      </c>
      <c r="AA3112" s="7"/>
      <c r="AB3112" s="7"/>
      <c r="AC3112" s="7" t="s">
        <v>7856</v>
      </c>
      <c r="AD3112" s="7"/>
      <c r="AE3112" s="7" t="s">
        <v>7867</v>
      </c>
      <c r="AF3112" s="7"/>
      <c r="AG3112" s="7"/>
      <c r="AH3112" s="7" t="s">
        <v>7857</v>
      </c>
    </row>
    <row r="3113" spans="1:37" ht="9.75" customHeight="1" x14ac:dyDescent="0.2">
      <c r="A3113" s="7" t="s">
        <v>7455</v>
      </c>
      <c r="B3113" s="7" t="s">
        <v>38</v>
      </c>
      <c r="C3113" s="7" t="s">
        <v>7870</v>
      </c>
      <c r="D3113" s="7" t="s">
        <v>7871</v>
      </c>
      <c r="E3113" s="8">
        <v>6</v>
      </c>
      <c r="F3113" s="7"/>
      <c r="G3113" s="7"/>
      <c r="H3113" s="10">
        <v>869</v>
      </c>
      <c r="I3113" s="10">
        <v>100</v>
      </c>
      <c r="J3113" s="10">
        <v>102</v>
      </c>
      <c r="K3113" s="9"/>
      <c r="L3113" s="10">
        <v>104</v>
      </c>
      <c r="M3113" s="9"/>
      <c r="N3113" s="10">
        <v>104</v>
      </c>
      <c r="O3113" s="9"/>
      <c r="P3113" s="10"/>
      <c r="Q3113" s="10"/>
      <c r="R3113" s="10"/>
      <c r="S3113" s="7" t="s">
        <v>54</v>
      </c>
      <c r="T3113" s="7" t="s">
        <v>7865</v>
      </c>
      <c r="U3113" s="7"/>
      <c r="V3113" s="7"/>
      <c r="W3113" s="7"/>
      <c r="X3113" s="7"/>
      <c r="Y3113" s="7" t="s">
        <v>7872</v>
      </c>
      <c r="Z3113" s="7" t="s">
        <v>2480</v>
      </c>
      <c r="AA3113" s="7"/>
      <c r="AB3113" s="7"/>
      <c r="AC3113" s="7" t="s">
        <v>7856</v>
      </c>
      <c r="AD3113" s="7"/>
      <c r="AE3113" s="7" t="s">
        <v>7870</v>
      </c>
      <c r="AF3113" s="7" t="s">
        <v>113</v>
      </c>
      <c r="AG3113" s="7" t="s">
        <v>366</v>
      </c>
      <c r="AH3113" s="7" t="s">
        <v>7857</v>
      </c>
    </row>
    <row r="3114" spans="1:37" ht="9.75" customHeight="1" x14ac:dyDescent="0.2">
      <c r="A3114" s="7" t="s">
        <v>7455</v>
      </c>
      <c r="B3114" s="7" t="s">
        <v>38</v>
      </c>
      <c r="C3114" s="7" t="s">
        <v>7873</v>
      </c>
      <c r="D3114" s="7" t="s">
        <v>7874</v>
      </c>
      <c r="E3114" s="8">
        <v>4</v>
      </c>
      <c r="F3114" s="7"/>
      <c r="G3114" s="7"/>
      <c r="H3114" s="10">
        <v>1938</v>
      </c>
      <c r="I3114" s="10">
        <v>232</v>
      </c>
      <c r="J3114" s="10">
        <v>236</v>
      </c>
      <c r="K3114" s="9"/>
      <c r="L3114" s="10">
        <v>240</v>
      </c>
      <c r="M3114" s="9"/>
      <c r="N3114" s="10">
        <v>240</v>
      </c>
      <c r="O3114" s="9"/>
      <c r="P3114" s="10"/>
      <c r="Q3114" s="10"/>
      <c r="R3114" s="10"/>
      <c r="S3114" s="7" t="s">
        <v>54</v>
      </c>
      <c r="T3114" s="7" t="s">
        <v>7865</v>
      </c>
      <c r="U3114" s="7"/>
      <c r="V3114" s="7"/>
      <c r="W3114" s="7"/>
      <c r="X3114" s="7"/>
      <c r="Y3114" s="7" t="s">
        <v>7875</v>
      </c>
      <c r="Z3114" s="7" t="s">
        <v>2480</v>
      </c>
      <c r="AA3114" s="7"/>
      <c r="AB3114" s="7"/>
      <c r="AC3114" s="7" t="s">
        <v>7856</v>
      </c>
      <c r="AD3114" s="7" t="s">
        <v>7876</v>
      </c>
      <c r="AE3114" s="7"/>
      <c r="AF3114" s="7"/>
      <c r="AG3114" s="7"/>
      <c r="AH3114" s="7" t="s">
        <v>7857</v>
      </c>
    </row>
    <row r="3115" spans="1:37" ht="9.75" customHeight="1" x14ac:dyDescent="0.2">
      <c r="A3115" s="7" t="s">
        <v>7455</v>
      </c>
      <c r="B3115" s="7" t="s">
        <v>38</v>
      </c>
      <c r="C3115" s="7"/>
      <c r="D3115" s="7" t="s">
        <v>7877</v>
      </c>
      <c r="E3115" s="8">
        <v>6</v>
      </c>
      <c r="F3115" s="7"/>
      <c r="G3115" s="7"/>
      <c r="H3115" s="10">
        <v>153555</v>
      </c>
      <c r="I3115" s="10">
        <v>26918</v>
      </c>
      <c r="J3115" s="10">
        <v>18095</v>
      </c>
      <c r="K3115" s="9"/>
      <c r="L3115" s="10">
        <v>18317</v>
      </c>
      <c r="M3115" s="9"/>
      <c r="N3115" s="10">
        <v>18317</v>
      </c>
      <c r="O3115" s="9"/>
      <c r="P3115" s="10"/>
      <c r="Q3115" s="10"/>
      <c r="R3115" s="10"/>
      <c r="S3115" s="7" t="s">
        <v>54</v>
      </c>
      <c r="T3115" s="7" t="s">
        <v>7861</v>
      </c>
      <c r="U3115" s="7"/>
      <c r="V3115" s="7"/>
      <c r="W3115" s="7"/>
      <c r="X3115" s="7"/>
      <c r="Y3115" s="7" t="s">
        <v>7878</v>
      </c>
      <c r="Z3115" s="7" t="s">
        <v>2493</v>
      </c>
      <c r="AA3115" s="7"/>
      <c r="AB3115" s="7"/>
      <c r="AC3115" s="7" t="s">
        <v>7856</v>
      </c>
      <c r="AD3115" s="7"/>
      <c r="AE3115" s="7"/>
      <c r="AF3115" s="7"/>
      <c r="AG3115" s="7"/>
      <c r="AH3115" s="7" t="s">
        <v>7857</v>
      </c>
    </row>
    <row r="3116" spans="1:37" ht="9.75" customHeight="1" x14ac:dyDescent="0.2">
      <c r="A3116" s="7" t="s">
        <v>7455</v>
      </c>
      <c r="B3116" s="7" t="s">
        <v>38</v>
      </c>
      <c r="C3116" s="7" t="s">
        <v>7879</v>
      </c>
      <c r="D3116" s="7" t="s">
        <v>7880</v>
      </c>
      <c r="E3116" s="8">
        <v>6</v>
      </c>
      <c r="F3116" s="7"/>
      <c r="G3116" s="7"/>
      <c r="H3116" s="10">
        <v>23759</v>
      </c>
      <c r="I3116" s="10">
        <v>3124</v>
      </c>
      <c r="J3116" s="10">
        <v>3181</v>
      </c>
      <c r="K3116" s="9"/>
      <c r="L3116" s="10">
        <v>3241</v>
      </c>
      <c r="M3116" s="9"/>
      <c r="N3116" s="10">
        <v>3241</v>
      </c>
      <c r="O3116" s="9"/>
      <c r="P3116" s="10"/>
      <c r="Q3116" s="10"/>
      <c r="R3116" s="10"/>
      <c r="S3116" s="7" t="s">
        <v>54</v>
      </c>
      <c r="T3116" s="7" t="s">
        <v>7881</v>
      </c>
      <c r="U3116" s="7"/>
      <c r="V3116" s="7"/>
      <c r="W3116" s="7"/>
      <c r="X3116" s="7"/>
      <c r="Y3116" s="7" t="s">
        <v>7882</v>
      </c>
      <c r="Z3116" s="7" t="s">
        <v>2493</v>
      </c>
      <c r="AA3116" s="7"/>
      <c r="AB3116" s="7"/>
      <c r="AC3116" s="7" t="s">
        <v>7856</v>
      </c>
      <c r="AD3116" s="7"/>
      <c r="AE3116" s="7" t="s">
        <v>7879</v>
      </c>
      <c r="AF3116" s="7"/>
      <c r="AG3116" s="7"/>
      <c r="AH3116" s="7" t="s">
        <v>7857</v>
      </c>
    </row>
    <row r="3117" spans="1:37" ht="9.75" customHeight="1" x14ac:dyDescent="0.2">
      <c r="A3117" s="7" t="s">
        <v>7455</v>
      </c>
      <c r="B3117" s="7" t="s">
        <v>38</v>
      </c>
      <c r="C3117" s="7" t="s">
        <v>7883</v>
      </c>
      <c r="D3117" s="7" t="s">
        <v>7884</v>
      </c>
      <c r="E3117" s="8">
        <v>6</v>
      </c>
      <c r="F3117" s="7"/>
      <c r="G3117" s="7"/>
      <c r="H3117" s="10">
        <v>26345</v>
      </c>
      <c r="I3117" s="10">
        <v>11915</v>
      </c>
      <c r="J3117" s="10">
        <v>2817</v>
      </c>
      <c r="K3117" s="9"/>
      <c r="L3117" s="10">
        <v>2647</v>
      </c>
      <c r="M3117" s="9"/>
      <c r="N3117" s="10">
        <v>2647</v>
      </c>
      <c r="O3117" s="9"/>
      <c r="P3117" s="10"/>
      <c r="Q3117" s="10"/>
      <c r="R3117" s="10"/>
      <c r="S3117" s="7" t="s">
        <v>54</v>
      </c>
      <c r="T3117" s="7" t="s">
        <v>7881</v>
      </c>
      <c r="U3117" s="7"/>
      <c r="V3117" s="7"/>
      <c r="W3117" s="7"/>
      <c r="X3117" s="7"/>
      <c r="Y3117" s="7" t="s">
        <v>7885</v>
      </c>
      <c r="Z3117" s="7" t="s">
        <v>2493</v>
      </c>
      <c r="AA3117" s="7"/>
      <c r="AB3117" s="7"/>
      <c r="AC3117" s="7" t="s">
        <v>7856</v>
      </c>
      <c r="AD3117" s="7"/>
      <c r="AE3117" s="7" t="s">
        <v>7883</v>
      </c>
      <c r="AF3117" s="7"/>
      <c r="AG3117" s="7"/>
      <c r="AH3117" s="7" t="s">
        <v>7857</v>
      </c>
    </row>
    <row r="3118" spans="1:37" ht="9.75" customHeight="1" x14ac:dyDescent="0.2">
      <c r="A3118" s="7" t="s">
        <v>7455</v>
      </c>
      <c r="B3118" s="7" t="s">
        <v>38</v>
      </c>
      <c r="C3118" s="7" t="s">
        <v>7886</v>
      </c>
      <c r="D3118" s="7" t="s">
        <v>7887</v>
      </c>
      <c r="E3118" s="8">
        <v>6</v>
      </c>
      <c r="F3118" s="7"/>
      <c r="G3118" s="7"/>
      <c r="H3118" s="10">
        <v>9024</v>
      </c>
      <c r="I3118" s="10">
        <v>1037</v>
      </c>
      <c r="J3118" s="10">
        <v>1064</v>
      </c>
      <c r="K3118" s="9"/>
      <c r="L3118" s="10">
        <v>1098</v>
      </c>
      <c r="M3118" s="9"/>
      <c r="N3118" s="10">
        <v>1098</v>
      </c>
      <c r="O3118" s="9"/>
      <c r="P3118" s="10"/>
      <c r="Q3118" s="10"/>
      <c r="R3118" s="10"/>
      <c r="S3118" s="7" t="s">
        <v>54</v>
      </c>
      <c r="T3118" s="7" t="s">
        <v>7881</v>
      </c>
      <c r="U3118" s="7"/>
      <c r="V3118" s="7"/>
      <c r="W3118" s="7"/>
      <c r="X3118" s="7"/>
      <c r="Y3118" s="7" t="s">
        <v>7888</v>
      </c>
      <c r="Z3118" s="7" t="s">
        <v>2493</v>
      </c>
      <c r="AA3118" s="7"/>
      <c r="AB3118" s="7"/>
      <c r="AC3118" s="7" t="s">
        <v>7856</v>
      </c>
      <c r="AD3118" s="7"/>
      <c r="AE3118" s="7" t="s">
        <v>7886</v>
      </c>
      <c r="AF3118" s="7"/>
      <c r="AG3118" s="7"/>
      <c r="AH3118" s="7" t="s">
        <v>7857</v>
      </c>
    </row>
    <row r="3119" spans="1:37" ht="9.75" customHeight="1" x14ac:dyDescent="0.2">
      <c r="A3119" s="7" t="s">
        <v>7455</v>
      </c>
      <c r="B3119" s="7" t="s">
        <v>38</v>
      </c>
      <c r="C3119" s="7" t="s">
        <v>7889</v>
      </c>
      <c r="D3119" s="7" t="s">
        <v>7890</v>
      </c>
      <c r="E3119" s="8">
        <v>6</v>
      </c>
      <c r="F3119" s="7"/>
      <c r="G3119" s="7"/>
      <c r="H3119" s="10">
        <v>1511</v>
      </c>
      <c r="I3119" s="10">
        <v>194</v>
      </c>
      <c r="J3119" s="10">
        <v>200</v>
      </c>
      <c r="K3119" s="9"/>
      <c r="L3119" s="10">
        <v>201</v>
      </c>
      <c r="M3119" s="9"/>
      <c r="N3119" s="10">
        <v>201</v>
      </c>
      <c r="O3119" s="9"/>
      <c r="P3119" s="10"/>
      <c r="Q3119" s="10"/>
      <c r="R3119" s="10"/>
      <c r="S3119" s="7" t="s">
        <v>54</v>
      </c>
      <c r="T3119" s="7" t="s">
        <v>7881</v>
      </c>
      <c r="U3119" s="7"/>
      <c r="V3119" s="7"/>
      <c r="W3119" s="7"/>
      <c r="X3119" s="7"/>
      <c r="Y3119" s="7" t="s">
        <v>7891</v>
      </c>
      <c r="Z3119" s="7" t="s">
        <v>2493</v>
      </c>
      <c r="AA3119" s="7"/>
      <c r="AB3119" s="7"/>
      <c r="AC3119" s="7" t="s">
        <v>7856</v>
      </c>
      <c r="AD3119" s="7"/>
      <c r="AE3119" s="7" t="s">
        <v>7889</v>
      </c>
      <c r="AF3119" s="7"/>
      <c r="AG3119" s="7"/>
      <c r="AH3119" s="7" t="s">
        <v>7857</v>
      </c>
    </row>
    <row r="3120" spans="1:37" ht="9.75" customHeight="1" x14ac:dyDescent="0.2">
      <c r="A3120" s="7" t="s">
        <v>7455</v>
      </c>
      <c r="B3120" s="7" t="s">
        <v>38</v>
      </c>
      <c r="C3120" s="7" t="s">
        <v>7892</v>
      </c>
      <c r="D3120" s="7" t="s">
        <v>7893</v>
      </c>
      <c r="E3120" s="8">
        <v>6</v>
      </c>
      <c r="F3120" s="7"/>
      <c r="G3120" s="7"/>
      <c r="H3120" s="10">
        <v>81379</v>
      </c>
      <c r="I3120" s="10">
        <v>9273</v>
      </c>
      <c r="J3120" s="10">
        <v>10100</v>
      </c>
      <c r="K3120" s="9"/>
      <c r="L3120" s="10">
        <v>10397</v>
      </c>
      <c r="M3120" s="9"/>
      <c r="N3120" s="10">
        <v>10397</v>
      </c>
      <c r="O3120" s="9"/>
      <c r="P3120" s="10"/>
      <c r="Q3120" s="10"/>
      <c r="R3120" s="10"/>
      <c r="S3120" s="7" t="s">
        <v>54</v>
      </c>
      <c r="T3120" s="7" t="s">
        <v>7881</v>
      </c>
      <c r="U3120" s="7"/>
      <c r="V3120" s="7"/>
      <c r="W3120" s="7"/>
      <c r="X3120" s="7"/>
      <c r="Y3120" s="7" t="s">
        <v>7894</v>
      </c>
      <c r="Z3120" s="7" t="s">
        <v>2493</v>
      </c>
      <c r="AA3120" s="7"/>
      <c r="AB3120" s="7"/>
      <c r="AC3120" s="7" t="s">
        <v>7856</v>
      </c>
      <c r="AD3120" s="7"/>
      <c r="AE3120" s="7" t="s">
        <v>7892</v>
      </c>
      <c r="AF3120" s="7"/>
      <c r="AG3120" s="7"/>
      <c r="AH3120" s="7" t="s">
        <v>7857</v>
      </c>
    </row>
    <row r="3121" spans="1:37" ht="9.75" customHeight="1" x14ac:dyDescent="0.2">
      <c r="A3121" s="7" t="s">
        <v>7455</v>
      </c>
      <c r="B3121" s="7" t="s">
        <v>38</v>
      </c>
      <c r="C3121" s="7" t="s">
        <v>7895</v>
      </c>
      <c r="D3121" s="7" t="s">
        <v>7896</v>
      </c>
      <c r="E3121" s="8">
        <v>6</v>
      </c>
      <c r="F3121" s="7"/>
      <c r="G3121" s="7"/>
      <c r="H3121" s="10">
        <v>7170</v>
      </c>
      <c r="I3121" s="10">
        <v>883</v>
      </c>
      <c r="J3121" s="10">
        <v>537</v>
      </c>
      <c r="K3121" s="9"/>
      <c r="L3121" s="10">
        <v>533</v>
      </c>
      <c r="M3121" s="9"/>
      <c r="N3121" s="10">
        <v>533</v>
      </c>
      <c r="O3121" s="9"/>
      <c r="P3121" s="10"/>
      <c r="Q3121" s="10"/>
      <c r="R3121" s="10"/>
      <c r="S3121" s="7" t="s">
        <v>54</v>
      </c>
      <c r="T3121" s="7" t="s">
        <v>7881</v>
      </c>
      <c r="U3121" s="7"/>
      <c r="V3121" s="7"/>
      <c r="W3121" s="7"/>
      <c r="X3121" s="7"/>
      <c r="Y3121" s="7" t="s">
        <v>7897</v>
      </c>
      <c r="Z3121" s="7" t="s">
        <v>2493</v>
      </c>
      <c r="AA3121" s="7"/>
      <c r="AB3121" s="7"/>
      <c r="AC3121" s="7" t="s">
        <v>7856</v>
      </c>
      <c r="AD3121" s="7" t="s">
        <v>7898</v>
      </c>
      <c r="AE3121" s="7" t="s">
        <v>7895</v>
      </c>
      <c r="AF3121" s="7"/>
      <c r="AG3121" s="7"/>
      <c r="AH3121" s="7" t="s">
        <v>7857</v>
      </c>
    </row>
    <row r="3122" spans="1:37" ht="9.75" customHeight="1" x14ac:dyDescent="0.2">
      <c r="A3122" s="7" t="s">
        <v>7455</v>
      </c>
      <c r="B3122" s="7" t="s">
        <v>38</v>
      </c>
      <c r="C3122" s="7" t="s">
        <v>7899</v>
      </c>
      <c r="D3122" s="7" t="s">
        <v>7900</v>
      </c>
      <c r="E3122" s="8">
        <v>6</v>
      </c>
      <c r="F3122" s="7"/>
      <c r="G3122" s="7"/>
      <c r="H3122" s="10">
        <v>1365</v>
      </c>
      <c r="I3122" s="10">
        <v>144</v>
      </c>
      <c r="J3122" s="10">
        <v>196</v>
      </c>
      <c r="K3122" s="9"/>
      <c r="L3122" s="10">
        <v>200</v>
      </c>
      <c r="M3122" s="9"/>
      <c r="N3122" s="10">
        <v>200</v>
      </c>
      <c r="O3122" s="9"/>
      <c r="P3122" s="10"/>
      <c r="Q3122" s="10"/>
      <c r="R3122" s="10"/>
      <c r="S3122" s="7" t="s">
        <v>54</v>
      </c>
      <c r="T3122" s="7" t="s">
        <v>7881</v>
      </c>
      <c r="U3122" s="7"/>
      <c r="V3122" s="7"/>
      <c r="W3122" s="7"/>
      <c r="X3122" s="7"/>
      <c r="Y3122" s="7" t="s">
        <v>7901</v>
      </c>
      <c r="Z3122" s="7" t="s">
        <v>2493</v>
      </c>
      <c r="AA3122" s="7"/>
      <c r="AB3122" s="7"/>
      <c r="AC3122" s="7" t="s">
        <v>7856</v>
      </c>
      <c r="AD3122" s="7" t="s">
        <v>7902</v>
      </c>
      <c r="AE3122" s="7" t="s">
        <v>7899</v>
      </c>
      <c r="AF3122" s="7"/>
      <c r="AG3122" s="7"/>
      <c r="AH3122" s="7" t="s">
        <v>7857</v>
      </c>
    </row>
    <row r="3123" spans="1:37" ht="9.75" customHeight="1" x14ac:dyDescent="0.2">
      <c r="A3123" s="7" t="s">
        <v>7455</v>
      </c>
      <c r="B3123" s="7" t="s">
        <v>38</v>
      </c>
      <c r="C3123" s="7" t="s">
        <v>7903</v>
      </c>
      <c r="D3123" s="7" t="s">
        <v>7904</v>
      </c>
      <c r="E3123" s="8">
        <v>4</v>
      </c>
      <c r="F3123" s="7"/>
      <c r="G3123" s="7" t="s">
        <v>7905</v>
      </c>
      <c r="H3123" s="10">
        <v>11600</v>
      </c>
      <c r="I3123" s="10">
        <v>3366</v>
      </c>
      <c r="J3123" s="10">
        <v>1603</v>
      </c>
      <c r="K3123" s="9"/>
      <c r="L3123" s="10">
        <v>1631</v>
      </c>
      <c r="M3123" s="9"/>
      <c r="N3123" s="10">
        <v>1631</v>
      </c>
      <c r="O3123" s="9"/>
      <c r="P3123" s="10"/>
      <c r="Q3123" s="10"/>
      <c r="R3123" s="10"/>
      <c r="S3123" s="7" t="s">
        <v>54</v>
      </c>
      <c r="T3123" s="7" t="s">
        <v>7861</v>
      </c>
      <c r="U3123" s="7"/>
      <c r="V3123" s="7"/>
      <c r="W3123" s="7"/>
      <c r="X3123" s="7"/>
      <c r="Y3123" s="7" t="s">
        <v>7906</v>
      </c>
      <c r="Z3123" s="7" t="s">
        <v>2519</v>
      </c>
      <c r="AA3123" s="7"/>
      <c r="AB3123" s="7"/>
      <c r="AC3123" s="7" t="s">
        <v>7856</v>
      </c>
      <c r="AD3123" s="7" t="s">
        <v>7907</v>
      </c>
      <c r="AE3123" s="7" t="s">
        <v>7903</v>
      </c>
      <c r="AF3123" s="7"/>
      <c r="AG3123" s="7"/>
      <c r="AH3123" s="7" t="s">
        <v>7857</v>
      </c>
    </row>
    <row r="3124" spans="1:37" ht="9.75" customHeight="1" x14ac:dyDescent="0.2">
      <c r="A3124" s="7" t="s">
        <v>7455</v>
      </c>
      <c r="B3124" s="7" t="s">
        <v>38</v>
      </c>
      <c r="C3124" s="7" t="s">
        <v>7908</v>
      </c>
      <c r="D3124" s="7" t="s">
        <v>7909</v>
      </c>
      <c r="E3124" s="8">
        <v>4</v>
      </c>
      <c r="F3124" s="7"/>
      <c r="G3124" s="7" t="s">
        <v>7910</v>
      </c>
      <c r="H3124" s="10">
        <v>813164</v>
      </c>
      <c r="I3124" s="10">
        <v>25573</v>
      </c>
      <c r="J3124" s="10">
        <v>26725</v>
      </c>
      <c r="K3124" s="9"/>
      <c r="L3124" s="10">
        <v>24822</v>
      </c>
      <c r="M3124" s="10">
        <v>0</v>
      </c>
      <c r="N3124" s="10">
        <v>24822</v>
      </c>
      <c r="O3124" s="9"/>
      <c r="P3124" s="10"/>
      <c r="Q3124" s="10"/>
      <c r="R3124" s="10"/>
      <c r="S3124" s="7" t="s">
        <v>43</v>
      </c>
      <c r="T3124" s="7"/>
      <c r="U3124" s="7"/>
      <c r="V3124" s="7"/>
      <c r="W3124" s="7"/>
      <c r="X3124" s="7"/>
      <c r="Y3124" s="7" t="s">
        <v>7911</v>
      </c>
      <c r="Z3124" s="7" t="s">
        <v>2575</v>
      </c>
      <c r="AA3124" s="7"/>
      <c r="AB3124" s="7"/>
      <c r="AC3124" s="7" t="s">
        <v>7908</v>
      </c>
      <c r="AD3124" s="7" t="s">
        <v>7912</v>
      </c>
      <c r="AE3124" s="7"/>
      <c r="AF3124" s="7"/>
      <c r="AG3124" s="7"/>
      <c r="AH3124" s="7" t="s">
        <v>7909</v>
      </c>
      <c r="AI3124">
        <v>20575</v>
      </c>
      <c r="AK3124">
        <v>20575</v>
      </c>
    </row>
    <row r="3125" spans="1:37" ht="9.75" customHeight="1" x14ac:dyDescent="0.2">
      <c r="A3125" s="7" t="s">
        <v>7455</v>
      </c>
      <c r="B3125" s="7" t="s">
        <v>38</v>
      </c>
      <c r="C3125" s="7" t="s">
        <v>7913</v>
      </c>
      <c r="D3125" s="7" t="s">
        <v>7914</v>
      </c>
      <c r="E3125" s="8">
        <v>4</v>
      </c>
      <c r="F3125" s="7"/>
      <c r="G3125" s="7" t="s">
        <v>7915</v>
      </c>
      <c r="H3125" s="10">
        <v>54955</v>
      </c>
      <c r="I3125" s="10">
        <v>1774</v>
      </c>
      <c r="J3125" s="10">
        <v>5032</v>
      </c>
      <c r="K3125" s="9"/>
      <c r="L3125" s="10">
        <v>4586</v>
      </c>
      <c r="M3125" s="9"/>
      <c r="N3125" s="10">
        <v>4586</v>
      </c>
      <c r="O3125" s="9"/>
      <c r="P3125" s="10"/>
      <c r="Q3125" s="10"/>
      <c r="R3125" s="10"/>
      <c r="S3125" s="7" t="s">
        <v>54</v>
      </c>
      <c r="T3125" s="7" t="s">
        <v>7916</v>
      </c>
      <c r="U3125" s="7"/>
      <c r="V3125" s="7"/>
      <c r="W3125" s="7"/>
      <c r="X3125" s="7"/>
      <c r="Y3125" s="7" t="s">
        <v>7917</v>
      </c>
      <c r="Z3125" s="7" t="s">
        <v>126</v>
      </c>
      <c r="AA3125" s="7"/>
      <c r="AB3125" s="7"/>
      <c r="AC3125" s="7" t="s">
        <v>7908</v>
      </c>
      <c r="AD3125" s="7" t="s">
        <v>7912</v>
      </c>
      <c r="AE3125" s="7" t="s">
        <v>7913</v>
      </c>
      <c r="AF3125" s="7"/>
      <c r="AG3125" s="7"/>
      <c r="AH3125" s="7" t="s">
        <v>7909</v>
      </c>
    </row>
    <row r="3126" spans="1:37" ht="9.75" customHeight="1" x14ac:dyDescent="0.2">
      <c r="A3126" s="7" t="s">
        <v>7455</v>
      </c>
      <c r="B3126" s="7" t="s">
        <v>38</v>
      </c>
      <c r="C3126" s="7" t="s">
        <v>7918</v>
      </c>
      <c r="D3126" s="7" t="s">
        <v>7919</v>
      </c>
      <c r="E3126" s="8">
        <v>4</v>
      </c>
      <c r="F3126" s="7"/>
      <c r="G3126" s="7"/>
      <c r="H3126" s="10">
        <v>8137</v>
      </c>
      <c r="I3126" s="10">
        <v>3489</v>
      </c>
      <c r="J3126" s="10">
        <v>963</v>
      </c>
      <c r="K3126" s="9"/>
      <c r="L3126" s="10">
        <v>988</v>
      </c>
      <c r="M3126" s="9"/>
      <c r="N3126" s="10">
        <v>988</v>
      </c>
      <c r="O3126" s="9"/>
      <c r="P3126" s="10"/>
      <c r="Q3126" s="10"/>
      <c r="R3126" s="10"/>
      <c r="S3126" s="7" t="s">
        <v>54</v>
      </c>
      <c r="T3126" s="7" t="s">
        <v>7916</v>
      </c>
      <c r="U3126" s="7"/>
      <c r="V3126" s="7"/>
      <c r="W3126" s="7"/>
      <c r="X3126" s="7"/>
      <c r="Y3126" s="7" t="s">
        <v>7920</v>
      </c>
      <c r="Z3126" s="7" t="s">
        <v>7921</v>
      </c>
      <c r="AA3126" s="7"/>
      <c r="AB3126" s="7"/>
      <c r="AC3126" s="7" t="s">
        <v>7908</v>
      </c>
      <c r="AD3126" s="7" t="s">
        <v>7912</v>
      </c>
      <c r="AE3126" s="7" t="s">
        <v>7918</v>
      </c>
      <c r="AF3126" s="7"/>
      <c r="AG3126" s="7"/>
      <c r="AH3126" s="7" t="s">
        <v>7909</v>
      </c>
    </row>
    <row r="3127" spans="1:37" ht="9.75" customHeight="1" x14ac:dyDescent="0.2">
      <c r="A3127" s="7" t="s">
        <v>7455</v>
      </c>
      <c r="B3127" s="7" t="s">
        <v>38</v>
      </c>
      <c r="C3127" s="7"/>
      <c r="D3127" s="7" t="s">
        <v>7922</v>
      </c>
      <c r="E3127" s="8">
        <v>4</v>
      </c>
      <c r="F3127" s="7"/>
      <c r="G3127" s="7" t="s">
        <v>7923</v>
      </c>
      <c r="H3127" s="10">
        <v>64350</v>
      </c>
      <c r="I3127" s="9"/>
      <c r="J3127" s="10">
        <v>14460</v>
      </c>
      <c r="K3127" s="9"/>
      <c r="L3127" s="10">
        <v>19248</v>
      </c>
      <c r="M3127" s="9"/>
      <c r="N3127" s="10">
        <v>19248</v>
      </c>
      <c r="O3127" s="9"/>
      <c r="P3127" s="10"/>
      <c r="Q3127" s="10"/>
      <c r="R3127" s="10"/>
      <c r="S3127" s="7" t="s">
        <v>54</v>
      </c>
      <c r="T3127" s="7" t="s">
        <v>7916</v>
      </c>
      <c r="U3127" s="7"/>
      <c r="V3127" s="7"/>
      <c r="W3127" s="7"/>
      <c r="X3127" s="7"/>
      <c r="Y3127" s="7" t="s">
        <v>7924</v>
      </c>
      <c r="Z3127" s="7" t="s">
        <v>7925</v>
      </c>
      <c r="AA3127" s="7"/>
      <c r="AB3127" s="7"/>
      <c r="AC3127" s="7" t="s">
        <v>7908</v>
      </c>
      <c r="AD3127" s="7" t="s">
        <v>7912</v>
      </c>
      <c r="AE3127" s="7"/>
      <c r="AF3127" s="7"/>
      <c r="AG3127" s="7"/>
      <c r="AH3127" s="7" t="s">
        <v>7909</v>
      </c>
    </row>
    <row r="3128" spans="1:37" ht="9.75" customHeight="1" x14ac:dyDescent="0.2">
      <c r="A3128" s="7" t="s">
        <v>7455</v>
      </c>
      <c r="B3128" s="7" t="s">
        <v>38</v>
      </c>
      <c r="C3128" s="7"/>
      <c r="D3128" s="7" t="s">
        <v>7926</v>
      </c>
      <c r="E3128" s="8">
        <v>4</v>
      </c>
      <c r="F3128" s="7"/>
      <c r="G3128" s="7" t="s">
        <v>7927</v>
      </c>
      <c r="H3128" s="9"/>
      <c r="I3128" s="10">
        <v>3258</v>
      </c>
      <c r="J3128" s="9"/>
      <c r="K3128" s="9"/>
      <c r="L3128" s="9"/>
      <c r="M3128" s="9"/>
      <c r="N3128" s="9"/>
      <c r="O3128" s="9"/>
      <c r="P3128" s="9"/>
      <c r="Q3128" s="9"/>
      <c r="R3128" s="9"/>
      <c r="S3128" s="7" t="s">
        <v>54</v>
      </c>
      <c r="T3128" s="7" t="s">
        <v>7916</v>
      </c>
      <c r="U3128" s="7" t="s">
        <v>44</v>
      </c>
      <c r="V3128" s="7" t="s">
        <v>45</v>
      </c>
      <c r="W3128" s="7" t="s">
        <v>46</v>
      </c>
      <c r="X3128" s="7"/>
      <c r="Y3128" s="7" t="s">
        <v>7928</v>
      </c>
      <c r="Z3128" s="7" t="s">
        <v>7925</v>
      </c>
      <c r="AA3128" s="7"/>
      <c r="AB3128" s="7"/>
      <c r="AC3128" s="7" t="s">
        <v>7908</v>
      </c>
      <c r="AD3128" s="7" t="s">
        <v>7912</v>
      </c>
      <c r="AE3128" s="7"/>
      <c r="AF3128" s="7"/>
      <c r="AG3128" s="7"/>
      <c r="AH3128" s="7" t="s">
        <v>7909</v>
      </c>
    </row>
    <row r="3129" spans="1:37" ht="9.75" customHeight="1" x14ac:dyDescent="0.2">
      <c r="A3129" s="7" t="s">
        <v>7455</v>
      </c>
      <c r="B3129" s="7" t="s">
        <v>38</v>
      </c>
      <c r="C3129" s="7"/>
      <c r="D3129" s="7" t="s">
        <v>7929</v>
      </c>
      <c r="E3129" s="8">
        <v>4</v>
      </c>
      <c r="F3129" s="7"/>
      <c r="G3129" s="7" t="s">
        <v>7930</v>
      </c>
      <c r="H3129" s="9"/>
      <c r="I3129" s="10">
        <v>2528</v>
      </c>
      <c r="J3129" s="9"/>
      <c r="K3129" s="9"/>
      <c r="L3129" s="9"/>
      <c r="M3129" s="9"/>
      <c r="N3129" s="9"/>
      <c r="O3129" s="9"/>
      <c r="P3129" s="9"/>
      <c r="Q3129" s="9"/>
      <c r="R3129" s="9"/>
      <c r="S3129" s="7" t="s">
        <v>54</v>
      </c>
      <c r="T3129" s="7" t="s">
        <v>7916</v>
      </c>
      <c r="U3129" s="7" t="s">
        <v>44</v>
      </c>
      <c r="V3129" s="7" t="s">
        <v>45</v>
      </c>
      <c r="W3129" s="7" t="s">
        <v>67</v>
      </c>
      <c r="X3129" s="7"/>
      <c r="Y3129" s="7" t="s">
        <v>7931</v>
      </c>
      <c r="Z3129" s="7" t="s">
        <v>7925</v>
      </c>
      <c r="AA3129" s="7"/>
      <c r="AB3129" s="7"/>
      <c r="AC3129" s="7" t="s">
        <v>7908</v>
      </c>
      <c r="AD3129" s="7" t="s">
        <v>7912</v>
      </c>
      <c r="AE3129" s="7"/>
      <c r="AF3129" s="7"/>
      <c r="AG3129" s="7"/>
      <c r="AH3129" s="7" t="s">
        <v>7909</v>
      </c>
    </row>
    <row r="3130" spans="1:37" ht="9.75" customHeight="1" x14ac:dyDescent="0.2">
      <c r="A3130" s="7" t="s">
        <v>7455</v>
      </c>
      <c r="B3130" s="7" t="s">
        <v>38</v>
      </c>
      <c r="C3130" s="7" t="s">
        <v>7932</v>
      </c>
      <c r="D3130" s="7" t="s">
        <v>7933</v>
      </c>
      <c r="E3130" s="8">
        <v>4</v>
      </c>
      <c r="F3130" s="7"/>
      <c r="G3130" s="7" t="s">
        <v>7934</v>
      </c>
      <c r="H3130" s="10">
        <v>0</v>
      </c>
      <c r="I3130" s="10">
        <v>0</v>
      </c>
      <c r="J3130" s="10">
        <v>3817</v>
      </c>
      <c r="K3130" s="9"/>
      <c r="L3130" s="10">
        <v>2976</v>
      </c>
      <c r="M3130" s="10">
        <v>0</v>
      </c>
      <c r="N3130" s="10">
        <v>2976</v>
      </c>
      <c r="O3130" s="9"/>
      <c r="P3130" s="10"/>
      <c r="Q3130" s="10"/>
      <c r="R3130" s="10"/>
      <c r="S3130" s="7" t="s">
        <v>43</v>
      </c>
      <c r="T3130" s="7"/>
      <c r="U3130" s="7" t="s">
        <v>44</v>
      </c>
      <c r="V3130" s="7" t="s">
        <v>45</v>
      </c>
      <c r="W3130" s="7" t="s">
        <v>130</v>
      </c>
      <c r="X3130" s="7" t="s">
        <v>131</v>
      </c>
      <c r="Y3130" s="7" t="s">
        <v>7935</v>
      </c>
      <c r="Z3130" s="7" t="s">
        <v>2722</v>
      </c>
      <c r="AA3130" s="7"/>
      <c r="AB3130" s="7"/>
      <c r="AC3130" s="7" t="s">
        <v>7932</v>
      </c>
      <c r="AD3130" s="7" t="s">
        <v>7936</v>
      </c>
      <c r="AE3130" s="7"/>
      <c r="AF3130" s="7"/>
      <c r="AG3130" s="7"/>
      <c r="AH3130" s="7" t="s">
        <v>7933</v>
      </c>
    </row>
    <row r="3131" spans="1:37" ht="9.75" customHeight="1" x14ac:dyDescent="0.2">
      <c r="A3131" s="7" t="s">
        <v>7455</v>
      </c>
      <c r="B3131" s="7" t="s">
        <v>38</v>
      </c>
      <c r="C3131" s="7" t="s">
        <v>7937</v>
      </c>
      <c r="D3131" s="7" t="s">
        <v>7938</v>
      </c>
      <c r="E3131" s="8">
        <v>6</v>
      </c>
      <c r="F3131" s="7"/>
      <c r="G3131" s="7" t="s">
        <v>7939</v>
      </c>
      <c r="H3131" s="9"/>
      <c r="I3131" s="9"/>
      <c r="J3131" s="9"/>
      <c r="K3131" s="9"/>
      <c r="L3131" s="10">
        <v>500</v>
      </c>
      <c r="M3131" s="9"/>
      <c r="N3131" s="10">
        <v>500</v>
      </c>
      <c r="O3131" s="9"/>
      <c r="P3131" s="10"/>
      <c r="Q3131" s="10"/>
      <c r="R3131" s="10"/>
      <c r="S3131" s="7" t="s">
        <v>54</v>
      </c>
      <c r="T3131" s="7" t="s">
        <v>7940</v>
      </c>
      <c r="U3131" s="7" t="s">
        <v>44</v>
      </c>
      <c r="V3131" s="7" t="s">
        <v>45</v>
      </c>
      <c r="W3131" s="7" t="s">
        <v>130</v>
      </c>
      <c r="X3131" s="7" t="s">
        <v>131</v>
      </c>
      <c r="Y3131" s="7" t="s">
        <v>7941</v>
      </c>
      <c r="Z3131" s="7" t="s">
        <v>2737</v>
      </c>
      <c r="AA3131" s="7"/>
      <c r="AB3131" s="7"/>
      <c r="AC3131" s="7" t="s">
        <v>7932</v>
      </c>
      <c r="AD3131" s="7" t="s">
        <v>7936</v>
      </c>
      <c r="AE3131" s="7" t="s">
        <v>7937</v>
      </c>
      <c r="AF3131" s="7"/>
      <c r="AG3131" s="7"/>
      <c r="AH3131" s="7" t="s">
        <v>7933</v>
      </c>
    </row>
    <row r="3132" spans="1:37" ht="9.75" customHeight="1" x14ac:dyDescent="0.2">
      <c r="A3132" s="7" t="s">
        <v>7455</v>
      </c>
      <c r="B3132" s="7" t="s">
        <v>38</v>
      </c>
      <c r="C3132" s="7" t="s">
        <v>7937</v>
      </c>
      <c r="D3132" s="7" t="s">
        <v>7942</v>
      </c>
      <c r="E3132" s="8">
        <v>4</v>
      </c>
      <c r="F3132" s="7"/>
      <c r="G3132" s="7" t="s">
        <v>7943</v>
      </c>
      <c r="H3132" s="9"/>
      <c r="I3132" s="9"/>
      <c r="J3132" s="9"/>
      <c r="K3132" s="9"/>
      <c r="L3132" s="10">
        <v>800</v>
      </c>
      <c r="M3132" s="9"/>
      <c r="N3132" s="10">
        <v>800</v>
      </c>
      <c r="O3132" s="9"/>
      <c r="P3132" s="10"/>
      <c r="Q3132" s="10"/>
      <c r="R3132" s="10"/>
      <c r="S3132" s="7" t="s">
        <v>54</v>
      </c>
      <c r="T3132" s="7" t="s">
        <v>7940</v>
      </c>
      <c r="U3132" s="7" t="s">
        <v>44</v>
      </c>
      <c r="V3132" s="7" t="s">
        <v>45</v>
      </c>
      <c r="W3132" s="7" t="s">
        <v>130</v>
      </c>
      <c r="X3132" s="7" t="s">
        <v>131</v>
      </c>
      <c r="Y3132" s="7" t="s">
        <v>7944</v>
      </c>
      <c r="Z3132" s="7" t="s">
        <v>2737</v>
      </c>
      <c r="AA3132" s="7"/>
      <c r="AB3132" s="7"/>
      <c r="AC3132" s="7" t="s">
        <v>7932</v>
      </c>
      <c r="AD3132" s="7" t="s">
        <v>7936</v>
      </c>
      <c r="AE3132" s="7" t="s">
        <v>7937</v>
      </c>
      <c r="AF3132" s="7"/>
      <c r="AG3132" s="7"/>
      <c r="AH3132" s="7" t="s">
        <v>7933</v>
      </c>
    </row>
    <row r="3133" spans="1:37" ht="9.75" customHeight="1" x14ac:dyDescent="0.2">
      <c r="A3133" s="7" t="s">
        <v>7455</v>
      </c>
      <c r="B3133" s="7" t="s">
        <v>38</v>
      </c>
      <c r="C3133" s="7" t="s">
        <v>7937</v>
      </c>
      <c r="D3133" s="7" t="s">
        <v>7945</v>
      </c>
      <c r="E3133" s="8">
        <v>6</v>
      </c>
      <c r="F3133" s="7"/>
      <c r="G3133" s="7" t="s">
        <v>7946</v>
      </c>
      <c r="H3133" s="9"/>
      <c r="I3133" s="9"/>
      <c r="J3133" s="9"/>
      <c r="K3133" s="9"/>
      <c r="L3133" s="10">
        <v>1576</v>
      </c>
      <c r="M3133" s="9"/>
      <c r="N3133" s="10">
        <v>1576</v>
      </c>
      <c r="O3133" s="9"/>
      <c r="P3133" s="10"/>
      <c r="Q3133" s="10"/>
      <c r="R3133" s="10"/>
      <c r="S3133" s="7" t="s">
        <v>54</v>
      </c>
      <c r="T3133" s="7" t="s">
        <v>7940</v>
      </c>
      <c r="U3133" s="7"/>
      <c r="V3133" s="7"/>
      <c r="W3133" s="7"/>
      <c r="X3133" s="7"/>
      <c r="Y3133" s="7" t="s">
        <v>7947</v>
      </c>
      <c r="Z3133" s="7" t="s">
        <v>2737</v>
      </c>
      <c r="AA3133" s="7"/>
      <c r="AB3133" s="7"/>
      <c r="AC3133" s="7" t="s">
        <v>7932</v>
      </c>
      <c r="AD3133" s="7" t="s">
        <v>7936</v>
      </c>
      <c r="AE3133" s="7" t="s">
        <v>7937</v>
      </c>
      <c r="AF3133" s="7"/>
      <c r="AG3133" s="7"/>
      <c r="AH3133" s="7" t="s">
        <v>7933</v>
      </c>
    </row>
    <row r="3134" spans="1:37" ht="9.75" customHeight="1" x14ac:dyDescent="0.2">
      <c r="A3134" s="7" t="s">
        <v>7455</v>
      </c>
      <c r="B3134" s="7" t="s">
        <v>38</v>
      </c>
      <c r="C3134" s="7" t="s">
        <v>7937</v>
      </c>
      <c r="D3134" s="7" t="s">
        <v>7948</v>
      </c>
      <c r="E3134" s="8">
        <v>4</v>
      </c>
      <c r="F3134" s="7"/>
      <c r="G3134" s="7" t="s">
        <v>7949</v>
      </c>
      <c r="H3134" s="9"/>
      <c r="I3134" s="9"/>
      <c r="J3134" s="9"/>
      <c r="K3134" s="9"/>
      <c r="L3134" s="10">
        <v>100</v>
      </c>
      <c r="M3134" s="9"/>
      <c r="N3134" s="10">
        <v>100</v>
      </c>
      <c r="O3134" s="9"/>
      <c r="P3134" s="10"/>
      <c r="Q3134" s="10"/>
      <c r="R3134" s="10"/>
      <c r="S3134" s="7" t="s">
        <v>54</v>
      </c>
      <c r="T3134" s="7" t="s">
        <v>7940</v>
      </c>
      <c r="U3134" s="7"/>
      <c r="V3134" s="7"/>
      <c r="W3134" s="7"/>
      <c r="X3134" s="7"/>
      <c r="Y3134" s="7" t="s">
        <v>7950</v>
      </c>
      <c r="Z3134" s="7" t="s">
        <v>2737</v>
      </c>
      <c r="AA3134" s="7"/>
      <c r="AB3134" s="7"/>
      <c r="AC3134" s="7" t="s">
        <v>7932</v>
      </c>
      <c r="AD3134" s="7" t="s">
        <v>7936</v>
      </c>
      <c r="AE3134" s="7" t="s">
        <v>7937</v>
      </c>
      <c r="AF3134" s="7"/>
      <c r="AG3134" s="7"/>
      <c r="AH3134" s="7" t="s">
        <v>7933</v>
      </c>
    </row>
    <row r="3135" spans="1:37" ht="9.75" customHeight="1" x14ac:dyDescent="0.2">
      <c r="A3135" s="7" t="s">
        <v>7455</v>
      </c>
      <c r="B3135" s="7" t="s">
        <v>38</v>
      </c>
      <c r="C3135" s="7" t="s">
        <v>7951</v>
      </c>
      <c r="D3135" s="7" t="s">
        <v>6549</v>
      </c>
      <c r="E3135" s="8">
        <v>4</v>
      </c>
      <c r="F3135" s="7"/>
      <c r="G3135" s="7" t="s">
        <v>7952</v>
      </c>
      <c r="H3135" s="10">
        <v>106809</v>
      </c>
      <c r="I3135" s="10">
        <v>4767</v>
      </c>
      <c r="J3135" s="10">
        <v>3193</v>
      </c>
      <c r="K3135" s="9"/>
      <c r="L3135" s="10">
        <v>3635</v>
      </c>
      <c r="M3135" s="10">
        <v>0</v>
      </c>
      <c r="N3135" s="10">
        <v>3635</v>
      </c>
      <c r="O3135" s="9"/>
      <c r="P3135" s="10"/>
      <c r="Q3135" s="10"/>
      <c r="R3135" s="10"/>
      <c r="S3135" s="7" t="s">
        <v>43</v>
      </c>
      <c r="T3135" s="7"/>
      <c r="U3135" s="7"/>
      <c r="V3135" s="7"/>
      <c r="W3135" s="7"/>
      <c r="X3135" s="7"/>
      <c r="Y3135" s="7" t="s">
        <v>7953</v>
      </c>
      <c r="Z3135" s="7" t="s">
        <v>2758</v>
      </c>
      <c r="AA3135" s="7"/>
      <c r="AB3135" s="7"/>
      <c r="AC3135" s="7" t="s">
        <v>7951</v>
      </c>
      <c r="AD3135" s="7"/>
      <c r="AE3135" s="7"/>
      <c r="AF3135" s="7"/>
      <c r="AG3135" s="7"/>
      <c r="AH3135" s="7" t="s">
        <v>6549</v>
      </c>
      <c r="AI3135">
        <v>69425</v>
      </c>
      <c r="AK3135">
        <v>69425</v>
      </c>
    </row>
    <row r="3136" spans="1:37" ht="9.75" customHeight="1" x14ac:dyDescent="0.2">
      <c r="A3136" s="7" t="s">
        <v>7455</v>
      </c>
      <c r="B3136" s="7" t="s">
        <v>38</v>
      </c>
      <c r="C3136" s="7" t="s">
        <v>7954</v>
      </c>
      <c r="D3136" s="7" t="s">
        <v>7955</v>
      </c>
      <c r="E3136" s="8">
        <v>6</v>
      </c>
      <c r="F3136" s="7"/>
      <c r="G3136" s="7" t="s">
        <v>7956</v>
      </c>
      <c r="H3136" s="10">
        <v>25310</v>
      </c>
      <c r="I3136" s="10">
        <v>2805</v>
      </c>
      <c r="J3136" s="10">
        <v>2646</v>
      </c>
      <c r="K3136" s="9"/>
      <c r="L3136" s="10">
        <v>3074</v>
      </c>
      <c r="M3136" s="9"/>
      <c r="N3136" s="10">
        <v>3074</v>
      </c>
      <c r="O3136" s="9"/>
      <c r="P3136" s="10"/>
      <c r="Q3136" s="10"/>
      <c r="R3136" s="10"/>
      <c r="S3136" s="7" t="s">
        <v>54</v>
      </c>
      <c r="T3136" s="7" t="s">
        <v>7957</v>
      </c>
      <c r="U3136" s="7" t="s">
        <v>44</v>
      </c>
      <c r="V3136" s="7" t="s">
        <v>45</v>
      </c>
      <c r="W3136" s="7" t="s">
        <v>4779</v>
      </c>
      <c r="X3136" s="7"/>
      <c r="Y3136" s="7" t="s">
        <v>7958</v>
      </c>
      <c r="Z3136" s="7" t="s">
        <v>2765</v>
      </c>
      <c r="AA3136" s="7"/>
      <c r="AB3136" s="7"/>
      <c r="AC3136" s="7" t="s">
        <v>7951</v>
      </c>
      <c r="AD3136" s="7"/>
      <c r="AE3136" s="7" t="s">
        <v>7954</v>
      </c>
      <c r="AF3136" s="7"/>
      <c r="AG3136" s="7"/>
      <c r="AH3136" s="7" t="s">
        <v>6549</v>
      </c>
    </row>
    <row r="3137" spans="1:37" ht="9.75" customHeight="1" x14ac:dyDescent="0.2">
      <c r="A3137" s="7" t="s">
        <v>7455</v>
      </c>
      <c r="B3137" s="7" t="s">
        <v>38</v>
      </c>
      <c r="C3137" s="7" t="s">
        <v>7959</v>
      </c>
      <c r="D3137" s="7" t="s">
        <v>7960</v>
      </c>
      <c r="E3137" s="8">
        <v>6</v>
      </c>
      <c r="F3137" s="7"/>
      <c r="G3137" s="7" t="s">
        <v>7961</v>
      </c>
      <c r="H3137" s="10">
        <v>11731</v>
      </c>
      <c r="I3137" s="10">
        <v>541</v>
      </c>
      <c r="J3137" s="10">
        <v>547</v>
      </c>
      <c r="K3137" s="9"/>
      <c r="L3137" s="10">
        <v>561</v>
      </c>
      <c r="M3137" s="9"/>
      <c r="N3137" s="10">
        <v>561</v>
      </c>
      <c r="O3137" s="9"/>
      <c r="P3137" s="10"/>
      <c r="Q3137" s="10"/>
      <c r="R3137" s="10"/>
      <c r="S3137" s="7" t="s">
        <v>54</v>
      </c>
      <c r="T3137" s="7" t="s">
        <v>7957</v>
      </c>
      <c r="U3137" s="7"/>
      <c r="V3137" s="7"/>
      <c r="W3137" s="7"/>
      <c r="X3137" s="7"/>
      <c r="Y3137" s="7" t="s">
        <v>7962</v>
      </c>
      <c r="Z3137" s="7" t="s">
        <v>2774</v>
      </c>
      <c r="AA3137" s="7"/>
      <c r="AB3137" s="7"/>
      <c r="AC3137" s="7" t="s">
        <v>7951</v>
      </c>
      <c r="AD3137" s="7"/>
      <c r="AE3137" s="7" t="s">
        <v>7959</v>
      </c>
      <c r="AF3137" s="7"/>
      <c r="AG3137" s="7"/>
      <c r="AH3137" s="7" t="s">
        <v>6549</v>
      </c>
    </row>
    <row r="3138" spans="1:37" ht="9.75" customHeight="1" x14ac:dyDescent="0.2">
      <c r="A3138" s="7" t="s">
        <v>7455</v>
      </c>
      <c r="B3138" s="7" t="s">
        <v>38</v>
      </c>
      <c r="C3138" s="7" t="s">
        <v>7963</v>
      </c>
      <c r="D3138" s="7" t="s">
        <v>7964</v>
      </c>
      <c r="E3138" s="8">
        <v>4</v>
      </c>
      <c r="F3138" s="7"/>
      <c r="G3138" s="7" t="s">
        <v>7965</v>
      </c>
      <c r="H3138" s="10">
        <v>247010</v>
      </c>
      <c r="I3138" s="10">
        <v>51100</v>
      </c>
      <c r="J3138" s="10">
        <v>75614</v>
      </c>
      <c r="K3138" s="9"/>
      <c r="L3138" s="10">
        <v>19129</v>
      </c>
      <c r="M3138" s="10">
        <v>0</v>
      </c>
      <c r="N3138" s="10">
        <v>19129</v>
      </c>
      <c r="O3138" s="9"/>
      <c r="P3138" s="10"/>
      <c r="Q3138" s="10"/>
      <c r="R3138" s="10"/>
      <c r="S3138" s="7" t="s">
        <v>43</v>
      </c>
      <c r="T3138" s="7"/>
      <c r="U3138" s="7"/>
      <c r="V3138" s="7"/>
      <c r="W3138" s="7"/>
      <c r="X3138" s="7"/>
      <c r="Y3138" s="7" t="s">
        <v>7966</v>
      </c>
      <c r="Z3138" s="7" t="s">
        <v>2788</v>
      </c>
      <c r="AA3138" s="7"/>
      <c r="AB3138" s="7"/>
      <c r="AC3138" s="7" t="s">
        <v>7963</v>
      </c>
      <c r="AD3138" s="7"/>
      <c r="AE3138" s="7"/>
      <c r="AF3138" s="7"/>
      <c r="AG3138" s="7"/>
      <c r="AH3138" s="7" t="s">
        <v>7964</v>
      </c>
      <c r="AI3138">
        <v>606241</v>
      </c>
      <c r="AK3138">
        <v>606241</v>
      </c>
    </row>
    <row r="3139" spans="1:37" ht="9.75" customHeight="1" x14ac:dyDescent="0.2">
      <c r="A3139" s="7" t="s">
        <v>7455</v>
      </c>
      <c r="B3139" s="7" t="s">
        <v>38</v>
      </c>
      <c r="C3139" s="7" t="s">
        <v>7967</v>
      </c>
      <c r="D3139" s="7" t="s">
        <v>7968</v>
      </c>
      <c r="E3139" s="8">
        <v>4</v>
      </c>
      <c r="F3139" s="7"/>
      <c r="G3139" s="7"/>
      <c r="H3139" s="10">
        <v>8981</v>
      </c>
      <c r="I3139" s="10">
        <v>5550</v>
      </c>
      <c r="J3139" s="10">
        <v>1583</v>
      </c>
      <c r="K3139" s="9"/>
      <c r="L3139" s="10">
        <v>1613</v>
      </c>
      <c r="M3139" s="9"/>
      <c r="N3139" s="10">
        <v>1613</v>
      </c>
      <c r="O3139" s="9"/>
      <c r="P3139" s="10"/>
      <c r="Q3139" s="10"/>
      <c r="R3139" s="10"/>
      <c r="S3139" s="7" t="s">
        <v>54</v>
      </c>
      <c r="T3139" s="7" t="s">
        <v>7969</v>
      </c>
      <c r="U3139" s="7"/>
      <c r="V3139" s="7"/>
      <c r="W3139" s="7"/>
      <c r="X3139" s="7"/>
      <c r="Y3139" s="7" t="s">
        <v>7970</v>
      </c>
      <c r="Z3139" s="7" t="s">
        <v>2801</v>
      </c>
      <c r="AA3139" s="7"/>
      <c r="AB3139" s="7"/>
      <c r="AC3139" s="7" t="s">
        <v>7963</v>
      </c>
      <c r="AD3139" s="7" t="s">
        <v>7971</v>
      </c>
      <c r="AE3139" s="7" t="s">
        <v>7967</v>
      </c>
      <c r="AF3139" s="7"/>
      <c r="AG3139" s="7"/>
      <c r="AH3139" s="7" t="s">
        <v>7964</v>
      </c>
    </row>
    <row r="3140" spans="1:37" ht="9.75" customHeight="1" x14ac:dyDescent="0.2">
      <c r="A3140" s="7" t="s">
        <v>7455</v>
      </c>
      <c r="B3140" s="7" t="s">
        <v>38</v>
      </c>
      <c r="C3140" s="7" t="s">
        <v>7967</v>
      </c>
      <c r="D3140" s="7" t="s">
        <v>7972</v>
      </c>
      <c r="E3140" s="8">
        <v>6</v>
      </c>
      <c r="F3140" s="7"/>
      <c r="G3140" s="7"/>
      <c r="H3140" s="10">
        <v>17695</v>
      </c>
      <c r="I3140" s="10">
        <v>9006</v>
      </c>
      <c r="J3140" s="10">
        <v>3255</v>
      </c>
      <c r="K3140" s="9"/>
      <c r="L3140" s="10">
        <v>3312</v>
      </c>
      <c r="M3140" s="9"/>
      <c r="N3140" s="10">
        <v>3312</v>
      </c>
      <c r="O3140" s="9"/>
      <c r="P3140" s="10"/>
      <c r="Q3140" s="10"/>
      <c r="R3140" s="10"/>
      <c r="S3140" s="7" t="s">
        <v>54</v>
      </c>
      <c r="T3140" s="7" t="s">
        <v>7969</v>
      </c>
      <c r="U3140" s="7"/>
      <c r="V3140" s="7"/>
      <c r="W3140" s="7"/>
      <c r="X3140" s="7"/>
      <c r="Y3140" s="7" t="s">
        <v>7973</v>
      </c>
      <c r="Z3140" s="7" t="s">
        <v>2801</v>
      </c>
      <c r="AA3140" s="7"/>
      <c r="AB3140" s="7"/>
      <c r="AC3140" s="7" t="s">
        <v>7963</v>
      </c>
      <c r="AD3140" s="7" t="s">
        <v>7971</v>
      </c>
      <c r="AE3140" s="7" t="s">
        <v>7967</v>
      </c>
      <c r="AF3140" s="7"/>
      <c r="AG3140" s="7"/>
      <c r="AH3140" s="7" t="s">
        <v>7964</v>
      </c>
    </row>
    <row r="3141" spans="1:37" ht="9.75" customHeight="1" x14ac:dyDescent="0.2">
      <c r="A3141" s="7" t="s">
        <v>7455</v>
      </c>
      <c r="B3141" s="7" t="s">
        <v>38</v>
      </c>
      <c r="C3141" s="7" t="s">
        <v>7974</v>
      </c>
      <c r="D3141" s="7" t="s">
        <v>7975</v>
      </c>
      <c r="E3141" s="8">
        <v>6</v>
      </c>
      <c r="F3141" s="7"/>
      <c r="G3141" s="7"/>
      <c r="H3141" s="10">
        <v>10489</v>
      </c>
      <c r="I3141" s="10">
        <v>2006</v>
      </c>
      <c r="J3141" s="10">
        <v>4348</v>
      </c>
      <c r="K3141" s="9"/>
      <c r="L3141" s="10">
        <v>1451</v>
      </c>
      <c r="M3141" s="9"/>
      <c r="N3141" s="10">
        <v>1451</v>
      </c>
      <c r="O3141" s="9"/>
      <c r="P3141" s="10"/>
      <c r="Q3141" s="10"/>
      <c r="R3141" s="10"/>
      <c r="S3141" s="7" t="s">
        <v>54</v>
      </c>
      <c r="T3141" s="7" t="s">
        <v>7969</v>
      </c>
      <c r="U3141" s="7"/>
      <c r="V3141" s="7"/>
      <c r="W3141" s="7"/>
      <c r="X3141" s="7"/>
      <c r="Y3141" s="7" t="s">
        <v>7976</v>
      </c>
      <c r="Z3141" s="7" t="s">
        <v>2806</v>
      </c>
      <c r="AA3141" s="7"/>
      <c r="AB3141" s="7"/>
      <c r="AC3141" s="7" t="s">
        <v>7963</v>
      </c>
      <c r="AD3141" s="7" t="s">
        <v>7977</v>
      </c>
      <c r="AE3141" s="7" t="s">
        <v>7974</v>
      </c>
      <c r="AF3141" s="7"/>
      <c r="AG3141" s="7"/>
      <c r="AH3141" s="7" t="s">
        <v>7964</v>
      </c>
    </row>
    <row r="3142" spans="1:37" ht="9.75" customHeight="1" x14ac:dyDescent="0.2">
      <c r="A3142" s="7" t="s">
        <v>7455</v>
      </c>
      <c r="B3142" s="7" t="s">
        <v>38</v>
      </c>
      <c r="C3142" s="7" t="s">
        <v>7978</v>
      </c>
      <c r="D3142" s="7" t="s">
        <v>7979</v>
      </c>
      <c r="E3142" s="8">
        <v>4</v>
      </c>
      <c r="F3142" s="7"/>
      <c r="G3142" s="7" t="s">
        <v>7980</v>
      </c>
      <c r="H3142" s="10">
        <v>49986</v>
      </c>
      <c r="I3142" s="10">
        <v>1296</v>
      </c>
      <c r="J3142" s="10">
        <v>13666</v>
      </c>
      <c r="K3142" s="9"/>
      <c r="L3142" s="10">
        <v>0</v>
      </c>
      <c r="M3142" s="9"/>
      <c r="N3142" s="10">
        <v>0</v>
      </c>
      <c r="O3142" s="9"/>
      <c r="P3142" s="10"/>
      <c r="Q3142" s="10"/>
      <c r="R3142" s="10"/>
      <c r="S3142" s="7" t="s">
        <v>54</v>
      </c>
      <c r="T3142" s="7" t="s">
        <v>7969</v>
      </c>
      <c r="U3142" s="7"/>
      <c r="V3142" s="7"/>
      <c r="W3142" s="7"/>
      <c r="X3142" s="7"/>
      <c r="Y3142" s="7" t="s">
        <v>7981</v>
      </c>
      <c r="Z3142" s="7" t="s">
        <v>2806</v>
      </c>
      <c r="AA3142" s="7"/>
      <c r="AB3142" s="7"/>
      <c r="AC3142" s="7" t="s">
        <v>7963</v>
      </c>
      <c r="AD3142" s="7" t="s">
        <v>7982</v>
      </c>
      <c r="AE3142" s="7" t="s">
        <v>7978</v>
      </c>
      <c r="AF3142" s="7"/>
      <c r="AG3142" s="7"/>
      <c r="AH3142" s="7" t="s">
        <v>7964</v>
      </c>
    </row>
    <row r="3143" spans="1:37" ht="9.75" customHeight="1" x14ac:dyDescent="0.2">
      <c r="A3143" s="7" t="s">
        <v>7455</v>
      </c>
      <c r="B3143" s="7" t="s">
        <v>38</v>
      </c>
      <c r="C3143" s="7" t="s">
        <v>7983</v>
      </c>
      <c r="D3143" s="7" t="s">
        <v>7984</v>
      </c>
      <c r="E3143" s="8">
        <v>4</v>
      </c>
      <c r="F3143" s="7"/>
      <c r="G3143" s="7"/>
      <c r="H3143" s="10">
        <v>48623</v>
      </c>
      <c r="I3143" s="10">
        <v>28828</v>
      </c>
      <c r="J3143" s="10">
        <v>10511</v>
      </c>
      <c r="K3143" s="9"/>
      <c r="L3143" s="10">
        <v>0</v>
      </c>
      <c r="M3143" s="9"/>
      <c r="N3143" s="10">
        <v>0</v>
      </c>
      <c r="O3143" s="9"/>
      <c r="P3143" s="10"/>
      <c r="Q3143" s="10"/>
      <c r="R3143" s="10"/>
      <c r="S3143" s="7" t="s">
        <v>54</v>
      </c>
      <c r="T3143" s="7" t="s">
        <v>7969</v>
      </c>
      <c r="U3143" s="7" t="s">
        <v>44</v>
      </c>
      <c r="V3143" s="7" t="s">
        <v>45</v>
      </c>
      <c r="W3143" s="7" t="s">
        <v>130</v>
      </c>
      <c r="X3143" s="7"/>
      <c r="Y3143" s="7" t="s">
        <v>7985</v>
      </c>
      <c r="Z3143" s="7" t="s">
        <v>2814</v>
      </c>
      <c r="AA3143" s="7"/>
      <c r="AB3143" s="7"/>
      <c r="AC3143" s="7" t="s">
        <v>7963</v>
      </c>
      <c r="AD3143" s="7" t="s">
        <v>7986</v>
      </c>
      <c r="AE3143" s="7" t="s">
        <v>7983</v>
      </c>
      <c r="AF3143" s="7"/>
      <c r="AG3143" s="7"/>
      <c r="AH3143" s="7" t="s">
        <v>7964</v>
      </c>
    </row>
    <row r="3144" spans="1:37" ht="9.75" customHeight="1" x14ac:dyDescent="0.2">
      <c r="A3144" s="7" t="s">
        <v>7455</v>
      </c>
      <c r="B3144" s="7" t="s">
        <v>38</v>
      </c>
      <c r="C3144" s="7" t="s">
        <v>7987</v>
      </c>
      <c r="D3144" s="7" t="s">
        <v>7988</v>
      </c>
      <c r="E3144" s="8">
        <v>4</v>
      </c>
      <c r="F3144" s="7"/>
      <c r="G3144" s="7"/>
      <c r="H3144" s="10">
        <v>37557</v>
      </c>
      <c r="I3144" s="9"/>
      <c r="J3144" s="10">
        <v>7000</v>
      </c>
      <c r="K3144" s="9"/>
      <c r="L3144" s="10">
        <v>0</v>
      </c>
      <c r="M3144" s="9"/>
      <c r="N3144" s="10">
        <v>0</v>
      </c>
      <c r="O3144" s="9"/>
      <c r="P3144" s="10"/>
      <c r="Q3144" s="10"/>
      <c r="R3144" s="10"/>
      <c r="S3144" s="7" t="s">
        <v>54</v>
      </c>
      <c r="T3144" s="7" t="s">
        <v>7969</v>
      </c>
      <c r="U3144" s="7"/>
      <c r="V3144" s="7"/>
      <c r="W3144" s="7"/>
      <c r="X3144" s="7"/>
      <c r="Y3144" s="7" t="s">
        <v>7989</v>
      </c>
      <c r="Z3144" s="7" t="s">
        <v>2814</v>
      </c>
      <c r="AA3144" s="7"/>
      <c r="AB3144" s="7"/>
      <c r="AC3144" s="7" t="s">
        <v>7963</v>
      </c>
      <c r="AD3144" s="7" t="s">
        <v>7990</v>
      </c>
      <c r="AE3144" s="7" t="s">
        <v>7987</v>
      </c>
      <c r="AF3144" s="7"/>
      <c r="AG3144" s="7"/>
      <c r="AH3144" s="7" t="s">
        <v>7964</v>
      </c>
    </row>
    <row r="3145" spans="1:37" ht="9.75" customHeight="1" x14ac:dyDescent="0.2">
      <c r="A3145" s="7" t="s">
        <v>7455</v>
      </c>
      <c r="B3145" s="7" t="s">
        <v>38</v>
      </c>
      <c r="C3145" s="7" t="s">
        <v>7991</v>
      </c>
      <c r="D3145" s="7" t="s">
        <v>7992</v>
      </c>
      <c r="E3145" s="8">
        <v>4</v>
      </c>
      <c r="F3145" s="7"/>
      <c r="G3145" s="7"/>
      <c r="H3145" s="10">
        <v>0</v>
      </c>
      <c r="I3145" s="9"/>
      <c r="J3145" s="10">
        <v>35251</v>
      </c>
      <c r="K3145" s="9"/>
      <c r="L3145" s="10">
        <v>6377</v>
      </c>
      <c r="M3145" s="9"/>
      <c r="N3145" s="10">
        <v>6377</v>
      </c>
      <c r="O3145" s="9"/>
      <c r="P3145" s="10"/>
      <c r="Q3145" s="10"/>
      <c r="R3145" s="10"/>
      <c r="S3145" s="7" t="s">
        <v>54</v>
      </c>
      <c r="T3145" s="7" t="s">
        <v>7969</v>
      </c>
      <c r="U3145" s="7" t="s">
        <v>44</v>
      </c>
      <c r="V3145" s="7" t="s">
        <v>45</v>
      </c>
      <c r="W3145" s="7" t="s">
        <v>130</v>
      </c>
      <c r="X3145" s="7" t="s">
        <v>131</v>
      </c>
      <c r="Y3145" s="7" t="s">
        <v>7993</v>
      </c>
      <c r="Z3145" s="7" t="s">
        <v>2821</v>
      </c>
      <c r="AA3145" s="7"/>
      <c r="AB3145" s="7"/>
      <c r="AC3145" s="7" t="s">
        <v>7963</v>
      </c>
      <c r="AD3145" s="7" t="s">
        <v>7992</v>
      </c>
      <c r="AE3145" s="7" t="s">
        <v>7991</v>
      </c>
      <c r="AF3145" s="7"/>
      <c r="AG3145" s="7"/>
      <c r="AH3145" s="7" t="s">
        <v>7964</v>
      </c>
    </row>
    <row r="3146" spans="1:37" ht="9.75" customHeight="1" x14ac:dyDescent="0.2">
      <c r="A3146" s="7" t="s">
        <v>7455</v>
      </c>
      <c r="B3146" s="7" t="s">
        <v>38</v>
      </c>
      <c r="C3146" s="7"/>
      <c r="D3146" s="7" t="s">
        <v>7994</v>
      </c>
      <c r="E3146" s="8">
        <v>4</v>
      </c>
      <c r="F3146" s="7"/>
      <c r="G3146" s="7"/>
      <c r="H3146" s="9"/>
      <c r="I3146" s="9"/>
      <c r="J3146" s="10">
        <v>23000</v>
      </c>
      <c r="K3146" s="9"/>
      <c r="L3146" s="10">
        <v>2615</v>
      </c>
      <c r="M3146" s="9"/>
      <c r="N3146" s="10">
        <v>2615</v>
      </c>
      <c r="O3146" s="9"/>
      <c r="P3146" s="10"/>
      <c r="Q3146" s="10"/>
      <c r="R3146" s="10"/>
      <c r="S3146" s="7" t="s">
        <v>54</v>
      </c>
      <c r="T3146" s="7" t="s">
        <v>7995</v>
      </c>
      <c r="U3146" s="7" t="s">
        <v>44</v>
      </c>
      <c r="V3146" s="7" t="s">
        <v>45</v>
      </c>
      <c r="W3146" s="7" t="s">
        <v>130</v>
      </c>
      <c r="X3146" s="7" t="s">
        <v>131</v>
      </c>
      <c r="Y3146" s="7" t="s">
        <v>7996</v>
      </c>
      <c r="Z3146" s="7" t="s">
        <v>2821</v>
      </c>
      <c r="AA3146" s="7"/>
      <c r="AB3146" s="7"/>
      <c r="AC3146" s="7" t="s">
        <v>7963</v>
      </c>
      <c r="AD3146" s="7"/>
      <c r="AE3146" s="7"/>
      <c r="AF3146" s="7"/>
      <c r="AG3146" s="7"/>
      <c r="AH3146" s="7" t="s">
        <v>7964</v>
      </c>
    </row>
    <row r="3147" spans="1:37" ht="9.75" customHeight="1" x14ac:dyDescent="0.2">
      <c r="A3147" s="7" t="s">
        <v>7455</v>
      </c>
      <c r="B3147" s="7" t="s">
        <v>38</v>
      </c>
      <c r="C3147" s="7"/>
      <c r="D3147" s="7" t="s">
        <v>7997</v>
      </c>
      <c r="E3147" s="8">
        <v>4</v>
      </c>
      <c r="F3147" s="7"/>
      <c r="G3147" s="7"/>
      <c r="H3147" s="9"/>
      <c r="I3147" s="9"/>
      <c r="J3147" s="10">
        <v>9551</v>
      </c>
      <c r="K3147" s="9"/>
      <c r="L3147" s="10">
        <v>3762</v>
      </c>
      <c r="M3147" s="9"/>
      <c r="N3147" s="10">
        <v>3762</v>
      </c>
      <c r="O3147" s="9"/>
      <c r="P3147" s="10"/>
      <c r="Q3147" s="10"/>
      <c r="R3147" s="10"/>
      <c r="S3147" s="7" t="s">
        <v>54</v>
      </c>
      <c r="T3147" s="7" t="s">
        <v>7995</v>
      </c>
      <c r="U3147" s="7" t="s">
        <v>44</v>
      </c>
      <c r="V3147" s="7" t="s">
        <v>45</v>
      </c>
      <c r="W3147" s="7" t="s">
        <v>130</v>
      </c>
      <c r="X3147" s="7" t="s">
        <v>131</v>
      </c>
      <c r="Y3147" s="7" t="s">
        <v>7998</v>
      </c>
      <c r="Z3147" s="7" t="s">
        <v>2821</v>
      </c>
      <c r="AA3147" s="7"/>
      <c r="AB3147" s="7"/>
      <c r="AC3147" s="7" t="s">
        <v>7963</v>
      </c>
      <c r="AD3147" s="7"/>
      <c r="AE3147" s="7"/>
      <c r="AF3147" s="7"/>
      <c r="AG3147" s="7"/>
      <c r="AH3147" s="7" t="s">
        <v>7964</v>
      </c>
    </row>
    <row r="3148" spans="1:37" ht="9.75" customHeight="1" x14ac:dyDescent="0.2">
      <c r="A3148" s="7" t="s">
        <v>7455</v>
      </c>
      <c r="B3148" s="7" t="s">
        <v>38</v>
      </c>
      <c r="C3148" s="7" t="s">
        <v>7999</v>
      </c>
      <c r="D3148" s="7" t="s">
        <v>8000</v>
      </c>
      <c r="E3148" s="8">
        <v>4</v>
      </c>
      <c r="F3148" s="7"/>
      <c r="G3148" s="7" t="s">
        <v>8001</v>
      </c>
      <c r="H3148" s="10">
        <v>0</v>
      </c>
      <c r="I3148" s="9"/>
      <c r="J3148" s="9"/>
      <c r="K3148" s="9"/>
      <c r="L3148" s="10">
        <v>6376</v>
      </c>
      <c r="M3148" s="9"/>
      <c r="N3148" s="10">
        <v>6376</v>
      </c>
      <c r="O3148" s="9"/>
      <c r="P3148" s="10"/>
      <c r="Q3148" s="10"/>
      <c r="R3148" s="10"/>
      <c r="S3148" s="7" t="s">
        <v>54</v>
      </c>
      <c r="T3148" s="7" t="s">
        <v>7969</v>
      </c>
      <c r="U3148" s="7"/>
      <c r="V3148" s="7"/>
      <c r="W3148" s="7"/>
      <c r="X3148" s="7"/>
      <c r="Y3148" s="7" t="s">
        <v>8002</v>
      </c>
      <c r="Z3148" s="7" t="s">
        <v>2824</v>
      </c>
      <c r="AA3148" s="7"/>
      <c r="AB3148" s="7"/>
      <c r="AC3148" s="7" t="s">
        <v>7963</v>
      </c>
      <c r="AD3148" s="7" t="s">
        <v>8000</v>
      </c>
      <c r="AE3148" s="7" t="s">
        <v>7999</v>
      </c>
      <c r="AF3148" s="7"/>
      <c r="AG3148" s="7"/>
      <c r="AH3148" s="7" t="s">
        <v>7964</v>
      </c>
    </row>
    <row r="3149" spans="1:37" ht="9.75" customHeight="1" x14ac:dyDescent="0.2">
      <c r="A3149" s="7" t="s">
        <v>7455</v>
      </c>
      <c r="B3149" s="7" t="s">
        <v>38</v>
      </c>
      <c r="C3149" s="7"/>
      <c r="D3149" s="7" t="s">
        <v>8003</v>
      </c>
      <c r="E3149" s="8">
        <v>6</v>
      </c>
      <c r="F3149" s="7"/>
      <c r="G3149" s="7"/>
      <c r="H3149" s="9"/>
      <c r="I3149" s="9"/>
      <c r="J3149" s="9"/>
      <c r="K3149" s="9"/>
      <c r="L3149" s="10">
        <v>1865</v>
      </c>
      <c r="M3149" s="9"/>
      <c r="N3149" s="10">
        <v>1865</v>
      </c>
      <c r="O3149" s="9"/>
      <c r="P3149" s="10"/>
      <c r="Q3149" s="10"/>
      <c r="R3149" s="10"/>
      <c r="S3149" s="7" t="s">
        <v>54</v>
      </c>
      <c r="T3149" s="7" t="s">
        <v>8004</v>
      </c>
      <c r="U3149" s="7"/>
      <c r="V3149" s="7"/>
      <c r="W3149" s="7"/>
      <c r="X3149" s="7"/>
      <c r="Y3149" s="7" t="s">
        <v>8005</v>
      </c>
      <c r="Z3149" s="7" t="s">
        <v>2824</v>
      </c>
      <c r="AA3149" s="7"/>
      <c r="AB3149" s="7"/>
      <c r="AC3149" s="7" t="s">
        <v>7963</v>
      </c>
      <c r="AD3149" s="7"/>
      <c r="AE3149" s="7"/>
      <c r="AF3149" s="7"/>
      <c r="AG3149" s="7"/>
      <c r="AH3149" s="7" t="s">
        <v>7964</v>
      </c>
    </row>
    <row r="3150" spans="1:37" ht="9.75" customHeight="1" x14ac:dyDescent="0.2">
      <c r="A3150" s="7" t="s">
        <v>7455</v>
      </c>
      <c r="B3150" s="7" t="s">
        <v>38</v>
      </c>
      <c r="C3150" s="7"/>
      <c r="D3150" s="7" t="s">
        <v>8006</v>
      </c>
      <c r="E3150" s="8">
        <v>4</v>
      </c>
      <c r="F3150" s="7"/>
      <c r="G3150" s="7"/>
      <c r="H3150" s="9"/>
      <c r="I3150" s="9"/>
      <c r="J3150" s="9"/>
      <c r="K3150" s="9"/>
      <c r="L3150" s="10">
        <v>1250</v>
      </c>
      <c r="M3150" s="9"/>
      <c r="N3150" s="10">
        <v>1250</v>
      </c>
      <c r="O3150" s="9"/>
      <c r="P3150" s="10"/>
      <c r="Q3150" s="10"/>
      <c r="R3150" s="10"/>
      <c r="S3150" s="7" t="s">
        <v>54</v>
      </c>
      <c r="T3150" s="7" t="s">
        <v>8004</v>
      </c>
      <c r="U3150" s="7"/>
      <c r="V3150" s="7"/>
      <c r="W3150" s="7"/>
      <c r="X3150" s="7"/>
      <c r="Y3150" s="7" t="s">
        <v>8007</v>
      </c>
      <c r="Z3150" s="7" t="s">
        <v>2824</v>
      </c>
      <c r="AA3150" s="7"/>
      <c r="AB3150" s="7"/>
      <c r="AC3150" s="7" t="s">
        <v>7963</v>
      </c>
      <c r="AD3150" s="7"/>
      <c r="AE3150" s="7"/>
      <c r="AF3150" s="7"/>
      <c r="AG3150" s="7"/>
      <c r="AH3150" s="7" t="s">
        <v>7964</v>
      </c>
    </row>
    <row r="3151" spans="1:37" ht="9.75" customHeight="1" x14ac:dyDescent="0.2">
      <c r="A3151" s="7" t="s">
        <v>7455</v>
      </c>
      <c r="B3151" s="7" t="s">
        <v>38</v>
      </c>
      <c r="C3151" s="7"/>
      <c r="D3151" s="7" t="s">
        <v>8008</v>
      </c>
      <c r="E3151" s="8">
        <v>6</v>
      </c>
      <c r="F3151" s="7"/>
      <c r="G3151" s="7"/>
      <c r="H3151" s="9"/>
      <c r="I3151" s="9"/>
      <c r="J3151" s="9"/>
      <c r="K3151" s="9"/>
      <c r="L3151" s="10">
        <v>3261</v>
      </c>
      <c r="M3151" s="9"/>
      <c r="N3151" s="10">
        <v>3261</v>
      </c>
      <c r="O3151" s="9"/>
      <c r="P3151" s="10"/>
      <c r="Q3151" s="10"/>
      <c r="R3151" s="10"/>
      <c r="S3151" s="7" t="s">
        <v>54</v>
      </c>
      <c r="T3151" s="7" t="s">
        <v>8004</v>
      </c>
      <c r="U3151" s="7"/>
      <c r="V3151" s="7"/>
      <c r="W3151" s="7"/>
      <c r="X3151" s="7"/>
      <c r="Y3151" s="7" t="s">
        <v>8009</v>
      </c>
      <c r="Z3151" s="7" t="s">
        <v>2824</v>
      </c>
      <c r="AA3151" s="7"/>
      <c r="AB3151" s="7"/>
      <c r="AC3151" s="7" t="s">
        <v>7963</v>
      </c>
      <c r="AD3151" s="7"/>
      <c r="AE3151" s="7"/>
      <c r="AF3151" s="7"/>
      <c r="AG3151" s="7"/>
      <c r="AH3151" s="7" t="s">
        <v>7964</v>
      </c>
    </row>
    <row r="3152" spans="1:37" ht="9.75" customHeight="1" x14ac:dyDescent="0.2">
      <c r="A3152" s="7" t="s">
        <v>7455</v>
      </c>
      <c r="B3152" s="7" t="s">
        <v>38</v>
      </c>
      <c r="C3152" s="7" t="s">
        <v>8010</v>
      </c>
      <c r="D3152" s="7" t="s">
        <v>8011</v>
      </c>
      <c r="E3152" s="8">
        <v>6</v>
      </c>
      <c r="F3152" s="7"/>
      <c r="G3152" s="7" t="s">
        <v>8012</v>
      </c>
      <c r="H3152" s="10">
        <v>501698</v>
      </c>
      <c r="I3152" s="10">
        <v>76903</v>
      </c>
      <c r="J3152" s="10">
        <v>80248</v>
      </c>
      <c r="K3152" s="9"/>
      <c r="L3152" s="10">
        <v>77889</v>
      </c>
      <c r="M3152" s="10">
        <v>0</v>
      </c>
      <c r="N3152" s="10">
        <v>77889</v>
      </c>
      <c r="O3152" s="9"/>
      <c r="P3152" s="10"/>
      <c r="Q3152" s="10"/>
      <c r="R3152" s="10"/>
      <c r="S3152" s="7" t="s">
        <v>43</v>
      </c>
      <c r="T3152" s="7"/>
      <c r="U3152" s="7" t="s">
        <v>44</v>
      </c>
      <c r="V3152" s="7" t="s">
        <v>45</v>
      </c>
      <c r="W3152" s="7" t="s">
        <v>46</v>
      </c>
      <c r="X3152" s="7" t="s">
        <v>90</v>
      </c>
      <c r="Y3152" s="7" t="s">
        <v>8013</v>
      </c>
      <c r="Z3152" s="7" t="s">
        <v>2830</v>
      </c>
      <c r="AA3152" s="7"/>
      <c r="AB3152" s="7"/>
      <c r="AC3152" s="7" t="s">
        <v>8010</v>
      </c>
      <c r="AD3152" s="7"/>
      <c r="AE3152" s="7"/>
      <c r="AF3152" s="7"/>
      <c r="AG3152" s="7"/>
      <c r="AH3152" s="7" t="s">
        <v>8011</v>
      </c>
      <c r="AI3152">
        <v>73681</v>
      </c>
      <c r="AK3152">
        <v>73681</v>
      </c>
    </row>
    <row r="3153" spans="1:34" ht="9.75" customHeight="1" x14ac:dyDescent="0.2">
      <c r="A3153" s="7" t="s">
        <v>7455</v>
      </c>
      <c r="B3153" s="7" t="s">
        <v>38</v>
      </c>
      <c r="C3153" s="7"/>
      <c r="D3153" s="7" t="s">
        <v>8014</v>
      </c>
      <c r="E3153" s="8">
        <v>6</v>
      </c>
      <c r="F3153" s="7"/>
      <c r="G3153" s="7"/>
      <c r="H3153" s="10">
        <v>297318</v>
      </c>
      <c r="I3153" s="10">
        <v>65021</v>
      </c>
      <c r="J3153" s="10">
        <v>68129</v>
      </c>
      <c r="K3153" s="9"/>
      <c r="L3153" s="10">
        <v>65529</v>
      </c>
      <c r="M3153" s="9"/>
      <c r="N3153" s="10">
        <v>65529</v>
      </c>
      <c r="O3153" s="9"/>
      <c r="P3153" s="10"/>
      <c r="Q3153" s="10"/>
      <c r="R3153" s="10"/>
      <c r="S3153" s="7" t="s">
        <v>54</v>
      </c>
      <c r="T3153" s="7" t="s">
        <v>8015</v>
      </c>
      <c r="U3153" s="7" t="s">
        <v>44</v>
      </c>
      <c r="V3153" s="7" t="s">
        <v>45</v>
      </c>
      <c r="W3153" s="7" t="s">
        <v>46</v>
      </c>
      <c r="X3153" s="7"/>
      <c r="Y3153" s="7" t="s">
        <v>8016</v>
      </c>
      <c r="Z3153" s="7" t="s">
        <v>8017</v>
      </c>
      <c r="AA3153" s="7"/>
      <c r="AB3153" s="7"/>
      <c r="AC3153" s="7" t="s">
        <v>8010</v>
      </c>
      <c r="AD3153" s="7"/>
      <c r="AE3153" s="7"/>
      <c r="AF3153" s="7"/>
      <c r="AG3153" s="7"/>
      <c r="AH3153" s="7" t="s">
        <v>8011</v>
      </c>
    </row>
    <row r="3154" spans="1:34" ht="9.75" customHeight="1" x14ac:dyDescent="0.2">
      <c r="A3154" s="7" t="s">
        <v>7455</v>
      </c>
      <c r="B3154" s="7" t="s">
        <v>38</v>
      </c>
      <c r="C3154" s="7" t="s">
        <v>8018</v>
      </c>
      <c r="D3154" s="7" t="s">
        <v>8019</v>
      </c>
      <c r="E3154" s="8">
        <v>6</v>
      </c>
      <c r="F3154" s="7"/>
      <c r="G3154" s="7" t="s">
        <v>8020</v>
      </c>
      <c r="H3154" s="10">
        <v>37900</v>
      </c>
      <c r="I3154" s="10">
        <v>7619</v>
      </c>
      <c r="J3154" s="10">
        <v>7822</v>
      </c>
      <c r="K3154" s="9"/>
      <c r="L3154" s="10">
        <v>7977</v>
      </c>
      <c r="M3154" s="9"/>
      <c r="N3154" s="10">
        <v>7977</v>
      </c>
      <c r="O3154" s="9"/>
      <c r="P3154" s="10"/>
      <c r="Q3154" s="10"/>
      <c r="R3154" s="10"/>
      <c r="S3154" s="7" t="s">
        <v>54</v>
      </c>
      <c r="T3154" s="7" t="s">
        <v>8021</v>
      </c>
      <c r="U3154" s="7" t="s">
        <v>44</v>
      </c>
      <c r="V3154" s="7" t="s">
        <v>45</v>
      </c>
      <c r="W3154" s="7" t="s">
        <v>46</v>
      </c>
      <c r="X3154" s="7"/>
      <c r="Y3154" s="7" t="s">
        <v>8022</v>
      </c>
      <c r="Z3154" s="7" t="s">
        <v>8023</v>
      </c>
      <c r="AA3154" s="7"/>
      <c r="AB3154" s="7"/>
      <c r="AC3154" s="7" t="s">
        <v>8010</v>
      </c>
      <c r="AD3154" s="7" t="s">
        <v>8024</v>
      </c>
      <c r="AE3154" s="7"/>
      <c r="AF3154" s="7"/>
      <c r="AG3154" s="7"/>
      <c r="AH3154" s="7" t="s">
        <v>8011</v>
      </c>
    </row>
    <row r="3155" spans="1:34" ht="9.75" customHeight="1" x14ac:dyDescent="0.2">
      <c r="A3155" s="7" t="s">
        <v>7455</v>
      </c>
      <c r="B3155" s="7" t="s">
        <v>38</v>
      </c>
      <c r="C3155" s="7"/>
      <c r="D3155" s="7" t="s">
        <v>8025</v>
      </c>
      <c r="E3155" s="8">
        <v>6</v>
      </c>
      <c r="F3155" s="7"/>
      <c r="G3155" s="7" t="s">
        <v>8020</v>
      </c>
      <c r="H3155" s="10">
        <v>7045</v>
      </c>
      <c r="I3155" s="10">
        <v>3660</v>
      </c>
      <c r="J3155" s="10">
        <v>3733</v>
      </c>
      <c r="K3155" s="9"/>
      <c r="L3155" s="10">
        <v>3807</v>
      </c>
      <c r="M3155" s="9"/>
      <c r="N3155" s="10">
        <v>3807</v>
      </c>
      <c r="O3155" s="9"/>
      <c r="P3155" s="10"/>
      <c r="Q3155" s="10"/>
      <c r="R3155" s="10"/>
      <c r="S3155" s="7" t="s">
        <v>54</v>
      </c>
      <c r="T3155" s="7" t="s">
        <v>8026</v>
      </c>
      <c r="U3155" s="7"/>
      <c r="V3155" s="7"/>
      <c r="W3155" s="7"/>
      <c r="X3155" s="7"/>
      <c r="Y3155" s="7" t="s">
        <v>8027</v>
      </c>
      <c r="Z3155" s="7" t="s">
        <v>8023</v>
      </c>
      <c r="AA3155" s="7"/>
      <c r="AB3155" s="7"/>
      <c r="AC3155" s="7"/>
      <c r="AD3155" s="7"/>
      <c r="AE3155" s="7"/>
      <c r="AF3155" s="7"/>
      <c r="AG3155" s="7"/>
      <c r="AH3155" s="7" t="s">
        <v>8020</v>
      </c>
    </row>
    <row r="3156" spans="1:34" ht="9.75" customHeight="1" x14ac:dyDescent="0.2">
      <c r="A3156" s="7" t="s">
        <v>7455</v>
      </c>
      <c r="B3156" s="7" t="s">
        <v>38</v>
      </c>
      <c r="C3156" s="7"/>
      <c r="D3156" s="7" t="s">
        <v>8028</v>
      </c>
      <c r="E3156" s="8">
        <v>6</v>
      </c>
      <c r="F3156" s="7"/>
      <c r="G3156" s="7" t="s">
        <v>8029</v>
      </c>
      <c r="H3156" s="10">
        <v>24176</v>
      </c>
      <c r="I3156" s="10">
        <v>1645</v>
      </c>
      <c r="J3156" s="10">
        <v>1729</v>
      </c>
      <c r="K3156" s="9"/>
      <c r="L3156" s="10">
        <v>1763</v>
      </c>
      <c r="M3156" s="9"/>
      <c r="N3156" s="10">
        <v>1763</v>
      </c>
      <c r="O3156" s="9"/>
      <c r="P3156" s="10"/>
      <c r="Q3156" s="10"/>
      <c r="R3156" s="10"/>
      <c r="S3156" s="7" t="s">
        <v>54</v>
      </c>
      <c r="T3156" s="7" t="s">
        <v>8026</v>
      </c>
      <c r="U3156" s="7"/>
      <c r="V3156" s="7"/>
      <c r="W3156" s="7"/>
      <c r="X3156" s="7"/>
      <c r="Y3156" s="7" t="s">
        <v>8030</v>
      </c>
      <c r="Z3156" s="7" t="s">
        <v>8023</v>
      </c>
      <c r="AA3156" s="7"/>
      <c r="AB3156" s="7"/>
      <c r="AC3156" s="7"/>
      <c r="AD3156" s="7"/>
      <c r="AE3156" s="7"/>
      <c r="AF3156" s="7"/>
      <c r="AG3156" s="7"/>
      <c r="AH3156" s="7" t="s">
        <v>8029</v>
      </c>
    </row>
    <row r="3157" spans="1:34" ht="9.75" customHeight="1" x14ac:dyDescent="0.2">
      <c r="A3157" s="7" t="s">
        <v>7455</v>
      </c>
      <c r="B3157" s="7" t="s">
        <v>38</v>
      </c>
      <c r="C3157" s="7"/>
      <c r="D3157" s="7" t="s">
        <v>8031</v>
      </c>
      <c r="E3157" s="8">
        <v>6</v>
      </c>
      <c r="F3157" s="7"/>
      <c r="G3157" s="7" t="s">
        <v>8032</v>
      </c>
      <c r="H3157" s="10">
        <v>6679</v>
      </c>
      <c r="I3157" s="10">
        <v>2314</v>
      </c>
      <c r="J3157" s="10">
        <v>2360</v>
      </c>
      <c r="K3157" s="9"/>
      <c r="L3157" s="10">
        <v>2407</v>
      </c>
      <c r="M3157" s="9"/>
      <c r="N3157" s="10">
        <v>2407</v>
      </c>
      <c r="O3157" s="9"/>
      <c r="P3157" s="10"/>
      <c r="Q3157" s="10"/>
      <c r="R3157" s="10"/>
      <c r="S3157" s="7" t="s">
        <v>54</v>
      </c>
      <c r="T3157" s="7" t="s">
        <v>8026</v>
      </c>
      <c r="U3157" s="7"/>
      <c r="V3157" s="7"/>
      <c r="W3157" s="7"/>
      <c r="X3157" s="7"/>
      <c r="Y3157" s="7" t="s">
        <v>8033</v>
      </c>
      <c r="Z3157" s="7" t="s">
        <v>8023</v>
      </c>
      <c r="AA3157" s="7"/>
      <c r="AB3157" s="7"/>
      <c r="AC3157" s="7"/>
      <c r="AD3157" s="7"/>
      <c r="AE3157" s="7"/>
      <c r="AF3157" s="7"/>
      <c r="AG3157" s="7"/>
      <c r="AH3157" s="7" t="s">
        <v>8032</v>
      </c>
    </row>
    <row r="3158" spans="1:34" ht="9.75" customHeight="1" x14ac:dyDescent="0.2">
      <c r="A3158" s="7" t="s">
        <v>7455</v>
      </c>
      <c r="B3158" s="7" t="s">
        <v>38</v>
      </c>
      <c r="C3158" s="7" t="s">
        <v>8034</v>
      </c>
      <c r="D3158" s="7" t="s">
        <v>8035</v>
      </c>
      <c r="E3158" s="8">
        <v>6</v>
      </c>
      <c r="F3158" s="7"/>
      <c r="G3158" s="7" t="s">
        <v>8036</v>
      </c>
      <c r="H3158" s="10">
        <v>52167</v>
      </c>
      <c r="I3158" s="10">
        <v>6348</v>
      </c>
      <c r="J3158" s="10">
        <v>6473</v>
      </c>
      <c r="K3158" s="9"/>
      <c r="L3158" s="10">
        <v>5832</v>
      </c>
      <c r="M3158" s="9"/>
      <c r="N3158" s="10">
        <v>5832</v>
      </c>
      <c r="O3158" s="9"/>
      <c r="P3158" s="10"/>
      <c r="Q3158" s="10"/>
      <c r="R3158" s="10"/>
      <c r="S3158" s="7" t="s">
        <v>54</v>
      </c>
      <c r="T3158" s="7" t="s">
        <v>8021</v>
      </c>
      <c r="U3158" s="7"/>
      <c r="V3158" s="7"/>
      <c r="W3158" s="7"/>
      <c r="X3158" s="7"/>
      <c r="Y3158" s="7" t="s">
        <v>8037</v>
      </c>
      <c r="Z3158" s="7" t="s">
        <v>8038</v>
      </c>
      <c r="AA3158" s="7"/>
      <c r="AB3158" s="7"/>
      <c r="AC3158" s="7" t="s">
        <v>8010</v>
      </c>
      <c r="AD3158" s="7" t="s">
        <v>8039</v>
      </c>
      <c r="AE3158" s="7" t="s">
        <v>8034</v>
      </c>
      <c r="AF3158" s="7"/>
      <c r="AG3158" s="7"/>
      <c r="AH3158" s="7" t="s">
        <v>8011</v>
      </c>
    </row>
    <row r="3159" spans="1:34" ht="9.75" customHeight="1" x14ac:dyDescent="0.2">
      <c r="A3159" s="7" t="s">
        <v>7455</v>
      </c>
      <c r="B3159" s="7" t="s">
        <v>38</v>
      </c>
      <c r="C3159" s="7"/>
      <c r="D3159" s="7" t="s">
        <v>8040</v>
      </c>
      <c r="E3159" s="8">
        <v>6</v>
      </c>
      <c r="F3159" s="7"/>
      <c r="G3159" s="7" t="s">
        <v>8041</v>
      </c>
      <c r="H3159" s="10">
        <v>38652</v>
      </c>
      <c r="I3159" s="10">
        <v>3623</v>
      </c>
      <c r="J3159" s="10">
        <v>3695</v>
      </c>
      <c r="K3159" s="9"/>
      <c r="L3159" s="10">
        <v>3000</v>
      </c>
      <c r="M3159" s="9"/>
      <c r="N3159" s="10">
        <v>3000</v>
      </c>
      <c r="O3159" s="9"/>
      <c r="P3159" s="10"/>
      <c r="Q3159" s="10"/>
      <c r="R3159" s="10"/>
      <c r="S3159" s="7" t="s">
        <v>54</v>
      </c>
      <c r="T3159" s="7" t="s">
        <v>8042</v>
      </c>
      <c r="U3159" s="7"/>
      <c r="V3159" s="7"/>
      <c r="W3159" s="7"/>
      <c r="X3159" s="7"/>
      <c r="Y3159" s="7" t="s">
        <v>8043</v>
      </c>
      <c r="Z3159" s="7" t="s">
        <v>8038</v>
      </c>
      <c r="AA3159" s="7"/>
      <c r="AB3159" s="7"/>
      <c r="AC3159" s="7"/>
      <c r="AD3159" s="7"/>
      <c r="AE3159" s="7"/>
      <c r="AF3159" s="7"/>
      <c r="AG3159" s="7"/>
      <c r="AH3159" s="7" t="s">
        <v>8041</v>
      </c>
    </row>
    <row r="3160" spans="1:34" ht="9.75" customHeight="1" x14ac:dyDescent="0.2">
      <c r="A3160" s="7" t="s">
        <v>7455</v>
      </c>
      <c r="B3160" s="7" t="s">
        <v>38</v>
      </c>
      <c r="C3160" s="7"/>
      <c r="D3160" s="7" t="s">
        <v>8044</v>
      </c>
      <c r="E3160" s="8">
        <v>6</v>
      </c>
      <c r="F3160" s="7"/>
      <c r="G3160" s="7"/>
      <c r="H3160" s="10">
        <v>12149</v>
      </c>
      <c r="I3160" s="10">
        <v>1893</v>
      </c>
      <c r="J3160" s="10">
        <v>1930</v>
      </c>
      <c r="K3160" s="9"/>
      <c r="L3160" s="10">
        <v>1968</v>
      </c>
      <c r="M3160" s="9"/>
      <c r="N3160" s="10">
        <v>1968</v>
      </c>
      <c r="O3160" s="9"/>
      <c r="P3160" s="10"/>
      <c r="Q3160" s="10"/>
      <c r="R3160" s="10"/>
      <c r="S3160" s="7" t="s">
        <v>54</v>
      </c>
      <c r="T3160" s="7" t="s">
        <v>8042</v>
      </c>
      <c r="U3160" s="7"/>
      <c r="V3160" s="7"/>
      <c r="W3160" s="7"/>
      <c r="X3160" s="7"/>
      <c r="Y3160" s="7" t="s">
        <v>8045</v>
      </c>
      <c r="Z3160" s="7" t="s">
        <v>8038</v>
      </c>
      <c r="AA3160" s="7"/>
      <c r="AB3160" s="7"/>
      <c r="AC3160" s="7"/>
      <c r="AD3160" s="7"/>
      <c r="AE3160" s="7"/>
      <c r="AF3160" s="7"/>
      <c r="AG3160" s="7"/>
      <c r="AH3160" s="7"/>
    </row>
    <row r="3161" spans="1:34" ht="9.75" customHeight="1" x14ac:dyDescent="0.2">
      <c r="A3161" s="7" t="s">
        <v>7455</v>
      </c>
      <c r="B3161" s="7" t="s">
        <v>38</v>
      </c>
      <c r="C3161" s="7"/>
      <c r="D3161" s="7" t="s">
        <v>8046</v>
      </c>
      <c r="E3161" s="8">
        <v>6</v>
      </c>
      <c r="F3161" s="7"/>
      <c r="G3161" s="7"/>
      <c r="H3161" s="10">
        <v>1366</v>
      </c>
      <c r="I3161" s="10">
        <v>832</v>
      </c>
      <c r="J3161" s="10">
        <v>848</v>
      </c>
      <c r="K3161" s="9"/>
      <c r="L3161" s="10">
        <v>864</v>
      </c>
      <c r="M3161" s="9"/>
      <c r="N3161" s="10">
        <v>864</v>
      </c>
      <c r="O3161" s="9"/>
      <c r="P3161" s="10"/>
      <c r="Q3161" s="10"/>
      <c r="R3161" s="10"/>
      <c r="S3161" s="7" t="s">
        <v>54</v>
      </c>
      <c r="T3161" s="7" t="s">
        <v>8042</v>
      </c>
      <c r="U3161" s="7"/>
      <c r="V3161" s="7"/>
      <c r="W3161" s="7"/>
      <c r="X3161" s="7"/>
      <c r="Y3161" s="7" t="s">
        <v>8047</v>
      </c>
      <c r="Z3161" s="7" t="s">
        <v>8038</v>
      </c>
      <c r="AA3161" s="7"/>
      <c r="AB3161" s="7"/>
      <c r="AC3161" s="7"/>
      <c r="AD3161" s="7"/>
      <c r="AE3161" s="7"/>
      <c r="AF3161" s="7"/>
      <c r="AG3161" s="7"/>
      <c r="AH3161" s="7"/>
    </row>
    <row r="3162" spans="1:34" ht="9.75" customHeight="1" x14ac:dyDescent="0.2">
      <c r="A3162" s="7" t="s">
        <v>7455</v>
      </c>
      <c r="B3162" s="7" t="s">
        <v>38</v>
      </c>
      <c r="C3162" s="7" t="s">
        <v>8048</v>
      </c>
      <c r="D3162" s="7" t="s">
        <v>8049</v>
      </c>
      <c r="E3162" s="8">
        <v>6</v>
      </c>
      <c r="F3162" s="7"/>
      <c r="G3162" s="7"/>
      <c r="H3162" s="10">
        <v>40763</v>
      </c>
      <c r="I3162" s="10">
        <v>11425</v>
      </c>
      <c r="J3162" s="10">
        <v>11277</v>
      </c>
      <c r="K3162" s="9"/>
      <c r="L3162" s="10">
        <v>13651</v>
      </c>
      <c r="M3162" s="9"/>
      <c r="N3162" s="10">
        <v>13651</v>
      </c>
      <c r="O3162" s="9"/>
      <c r="P3162" s="10"/>
      <c r="Q3162" s="10"/>
      <c r="R3162" s="10"/>
      <c r="S3162" s="7" t="s">
        <v>54</v>
      </c>
      <c r="T3162" s="7" t="s">
        <v>8021</v>
      </c>
      <c r="U3162" s="7" t="s">
        <v>44</v>
      </c>
      <c r="V3162" s="7" t="s">
        <v>45</v>
      </c>
      <c r="W3162" s="7" t="s">
        <v>46</v>
      </c>
      <c r="X3162" s="7"/>
      <c r="Y3162" s="7" t="s">
        <v>8050</v>
      </c>
      <c r="Z3162" s="7" t="s">
        <v>2844</v>
      </c>
      <c r="AA3162" s="7"/>
      <c r="AB3162" s="7"/>
      <c r="AC3162" s="7" t="s">
        <v>8010</v>
      </c>
      <c r="AD3162" s="7" t="s">
        <v>8051</v>
      </c>
      <c r="AE3162" s="7"/>
      <c r="AF3162" s="7"/>
      <c r="AG3162" s="7"/>
      <c r="AH3162" s="7" t="s">
        <v>8011</v>
      </c>
    </row>
    <row r="3163" spans="1:34" ht="9.75" customHeight="1" x14ac:dyDescent="0.2">
      <c r="A3163" s="7" t="s">
        <v>7455</v>
      </c>
      <c r="B3163" s="7" t="s">
        <v>38</v>
      </c>
      <c r="C3163" s="7"/>
      <c r="D3163" s="7" t="s">
        <v>8052</v>
      </c>
      <c r="E3163" s="8">
        <v>6</v>
      </c>
      <c r="F3163" s="7"/>
      <c r="G3163" s="7"/>
      <c r="H3163" s="10">
        <v>22407</v>
      </c>
      <c r="I3163" s="10">
        <v>7768</v>
      </c>
      <c r="J3163" s="10">
        <v>7922</v>
      </c>
      <c r="K3163" s="9"/>
      <c r="L3163" s="10">
        <v>8080</v>
      </c>
      <c r="M3163" s="9"/>
      <c r="N3163" s="10">
        <v>8080</v>
      </c>
      <c r="O3163" s="9"/>
      <c r="P3163" s="10"/>
      <c r="Q3163" s="10"/>
      <c r="R3163" s="10"/>
      <c r="S3163" s="7" t="s">
        <v>54</v>
      </c>
      <c r="T3163" s="7" t="s">
        <v>8053</v>
      </c>
      <c r="U3163" s="7" t="s">
        <v>44</v>
      </c>
      <c r="V3163" s="7" t="s">
        <v>45</v>
      </c>
      <c r="W3163" s="7" t="s">
        <v>46</v>
      </c>
      <c r="X3163" s="7"/>
      <c r="Y3163" s="7" t="s">
        <v>8054</v>
      </c>
      <c r="Z3163" s="7" t="s">
        <v>2844</v>
      </c>
      <c r="AA3163" s="7"/>
      <c r="AB3163" s="7"/>
      <c r="AC3163" s="7"/>
      <c r="AD3163" s="7"/>
      <c r="AE3163" s="7"/>
      <c r="AF3163" s="7"/>
      <c r="AG3163" s="7"/>
      <c r="AH3163" s="7"/>
    </row>
    <row r="3164" spans="1:34" ht="9.75" customHeight="1" x14ac:dyDescent="0.2">
      <c r="A3164" s="7" t="s">
        <v>7455</v>
      </c>
      <c r="B3164" s="7" t="s">
        <v>38</v>
      </c>
      <c r="C3164" s="7"/>
      <c r="D3164" s="7" t="s">
        <v>8055</v>
      </c>
      <c r="E3164" s="8">
        <v>6</v>
      </c>
      <c r="F3164" s="7"/>
      <c r="G3164" s="7"/>
      <c r="H3164" s="10">
        <v>14035</v>
      </c>
      <c r="I3164" s="10">
        <v>1860</v>
      </c>
      <c r="J3164" s="10">
        <v>1523</v>
      </c>
      <c r="K3164" s="9"/>
      <c r="L3164" s="10">
        <v>703</v>
      </c>
      <c r="M3164" s="9"/>
      <c r="N3164" s="10">
        <v>703</v>
      </c>
      <c r="O3164" s="9"/>
      <c r="P3164" s="10"/>
      <c r="Q3164" s="10"/>
      <c r="R3164" s="10"/>
      <c r="S3164" s="7" t="s">
        <v>54</v>
      </c>
      <c r="T3164" s="7" t="s">
        <v>8053</v>
      </c>
      <c r="U3164" s="7" t="s">
        <v>44</v>
      </c>
      <c r="V3164" s="7" t="s">
        <v>45</v>
      </c>
      <c r="W3164" s="7" t="s">
        <v>46</v>
      </c>
      <c r="X3164" s="7"/>
      <c r="Y3164" s="7" t="s">
        <v>8056</v>
      </c>
      <c r="Z3164" s="7" t="s">
        <v>2844</v>
      </c>
      <c r="AA3164" s="7"/>
      <c r="AB3164" s="7"/>
      <c r="AC3164" s="7"/>
      <c r="AD3164" s="7"/>
      <c r="AE3164" s="7"/>
      <c r="AF3164" s="7"/>
      <c r="AG3164" s="7"/>
      <c r="AH3164" s="7"/>
    </row>
    <row r="3165" spans="1:34" ht="9.75" customHeight="1" x14ac:dyDescent="0.2">
      <c r="A3165" s="7" t="s">
        <v>7455</v>
      </c>
      <c r="B3165" s="7" t="s">
        <v>38</v>
      </c>
      <c r="C3165" s="7"/>
      <c r="D3165" s="7" t="s">
        <v>8057</v>
      </c>
      <c r="E3165" s="8">
        <v>6</v>
      </c>
      <c r="F3165" s="7"/>
      <c r="G3165" s="7" t="s">
        <v>8058</v>
      </c>
      <c r="H3165" s="9"/>
      <c r="I3165" s="9"/>
      <c r="J3165" s="9"/>
      <c r="K3165" s="9"/>
      <c r="L3165" s="10">
        <v>3000</v>
      </c>
      <c r="M3165" s="9"/>
      <c r="N3165" s="10">
        <v>3000</v>
      </c>
      <c r="O3165" s="9"/>
      <c r="P3165" s="10"/>
      <c r="Q3165" s="10"/>
      <c r="R3165" s="10"/>
      <c r="S3165" s="7" t="s">
        <v>54</v>
      </c>
      <c r="T3165" s="7" t="s">
        <v>8053</v>
      </c>
      <c r="U3165" s="7" t="s">
        <v>44</v>
      </c>
      <c r="V3165" s="7" t="s">
        <v>45</v>
      </c>
      <c r="W3165" s="7" t="s">
        <v>46</v>
      </c>
      <c r="X3165" s="7" t="s">
        <v>47</v>
      </c>
      <c r="Y3165" s="7" t="s">
        <v>8059</v>
      </c>
      <c r="Z3165" s="7" t="s">
        <v>2844</v>
      </c>
      <c r="AA3165" s="7"/>
      <c r="AB3165" s="7"/>
      <c r="AC3165" s="7"/>
      <c r="AD3165" s="7"/>
      <c r="AE3165" s="7"/>
      <c r="AF3165" s="7"/>
      <c r="AG3165" s="7"/>
      <c r="AH3165" s="7" t="s">
        <v>8058</v>
      </c>
    </row>
    <row r="3166" spans="1:34" ht="9.75" customHeight="1" x14ac:dyDescent="0.2">
      <c r="A3166" s="7" t="s">
        <v>7455</v>
      </c>
      <c r="B3166" s="7" t="s">
        <v>38</v>
      </c>
      <c r="C3166" s="7"/>
      <c r="D3166" s="7" t="s">
        <v>8060</v>
      </c>
      <c r="E3166" s="8">
        <v>6</v>
      </c>
      <c r="F3166" s="7"/>
      <c r="G3166" s="7"/>
      <c r="H3166" s="10">
        <v>4321</v>
      </c>
      <c r="I3166" s="10">
        <v>1797</v>
      </c>
      <c r="J3166" s="10">
        <v>1832</v>
      </c>
      <c r="K3166" s="9"/>
      <c r="L3166" s="10">
        <v>1868</v>
      </c>
      <c r="M3166" s="9"/>
      <c r="N3166" s="10">
        <v>1868</v>
      </c>
      <c r="O3166" s="9"/>
      <c r="P3166" s="10"/>
      <c r="Q3166" s="10"/>
      <c r="R3166" s="10"/>
      <c r="S3166" s="7" t="s">
        <v>54</v>
      </c>
      <c r="T3166" s="7" t="s">
        <v>8053</v>
      </c>
      <c r="U3166" s="7"/>
      <c r="V3166" s="7"/>
      <c r="W3166" s="7"/>
      <c r="X3166" s="7"/>
      <c r="Y3166" s="7" t="s">
        <v>8061</v>
      </c>
      <c r="Z3166" s="7" t="s">
        <v>2844</v>
      </c>
      <c r="AA3166" s="7"/>
      <c r="AB3166" s="7"/>
      <c r="AC3166" s="7"/>
      <c r="AD3166" s="7"/>
      <c r="AE3166" s="7"/>
      <c r="AF3166" s="7" t="s">
        <v>6249</v>
      </c>
      <c r="AG3166" s="7" t="s">
        <v>6250</v>
      </c>
      <c r="AH3166" s="7"/>
    </row>
    <row r="3167" spans="1:34" ht="9.75" customHeight="1" x14ac:dyDescent="0.2">
      <c r="A3167" s="7" t="s">
        <v>7455</v>
      </c>
      <c r="B3167" s="7" t="s">
        <v>38</v>
      </c>
      <c r="C3167" s="7" t="s">
        <v>8062</v>
      </c>
      <c r="D3167" s="7" t="s">
        <v>8063</v>
      </c>
      <c r="E3167" s="8">
        <v>6</v>
      </c>
      <c r="F3167" s="7"/>
      <c r="G3167" s="7"/>
      <c r="H3167" s="10">
        <v>18760</v>
      </c>
      <c r="I3167" s="10">
        <v>4582</v>
      </c>
      <c r="J3167" s="10">
        <v>7553</v>
      </c>
      <c r="K3167" s="9"/>
      <c r="L3167" s="10">
        <v>2366</v>
      </c>
      <c r="M3167" s="9"/>
      <c r="N3167" s="10">
        <v>2366</v>
      </c>
      <c r="O3167" s="9"/>
      <c r="P3167" s="10"/>
      <c r="Q3167" s="10"/>
      <c r="R3167" s="10"/>
      <c r="S3167" s="7" t="s">
        <v>54</v>
      </c>
      <c r="T3167" s="7" t="s">
        <v>8021</v>
      </c>
      <c r="U3167" s="7" t="s">
        <v>44</v>
      </c>
      <c r="V3167" s="7" t="s">
        <v>45</v>
      </c>
      <c r="W3167" s="7" t="s">
        <v>46</v>
      </c>
      <c r="X3167" s="7"/>
      <c r="Y3167" s="7" t="s">
        <v>8064</v>
      </c>
      <c r="Z3167" s="7" t="s">
        <v>6786</v>
      </c>
      <c r="AA3167" s="7"/>
      <c r="AB3167" s="7"/>
      <c r="AC3167" s="7" t="s">
        <v>8010</v>
      </c>
      <c r="AD3167" s="7" t="s">
        <v>8065</v>
      </c>
      <c r="AE3167" s="7"/>
      <c r="AF3167" s="7"/>
      <c r="AG3167" s="7"/>
      <c r="AH3167" s="7" t="s">
        <v>8011</v>
      </c>
    </row>
    <row r="3168" spans="1:34" ht="9.75" customHeight="1" x14ac:dyDescent="0.2">
      <c r="A3168" s="7" t="s">
        <v>7455</v>
      </c>
      <c r="B3168" s="7" t="s">
        <v>38</v>
      </c>
      <c r="C3168" s="7"/>
      <c r="D3168" s="7" t="s">
        <v>8066</v>
      </c>
      <c r="E3168" s="8">
        <v>6</v>
      </c>
      <c r="F3168" s="7"/>
      <c r="G3168" s="7" t="s">
        <v>8067</v>
      </c>
      <c r="H3168" s="10">
        <v>17334</v>
      </c>
      <c r="I3168" s="10">
        <v>3848</v>
      </c>
      <c r="J3168" s="10">
        <v>6541</v>
      </c>
      <c r="K3168" s="9"/>
      <c r="L3168" s="10">
        <v>1334</v>
      </c>
      <c r="M3168" s="9"/>
      <c r="N3168" s="10">
        <v>1334</v>
      </c>
      <c r="O3168" s="9"/>
      <c r="P3168" s="10"/>
      <c r="Q3168" s="10"/>
      <c r="R3168" s="10"/>
      <c r="S3168" s="7" t="s">
        <v>54</v>
      </c>
      <c r="T3168" s="7" t="s">
        <v>8068</v>
      </c>
      <c r="U3168" s="7"/>
      <c r="V3168" s="7"/>
      <c r="W3168" s="7"/>
      <c r="X3168" s="7"/>
      <c r="Y3168" s="7" t="s">
        <v>8069</v>
      </c>
      <c r="Z3168" s="7" t="s">
        <v>6786</v>
      </c>
      <c r="AA3168" s="7"/>
      <c r="AB3168" s="7"/>
      <c r="AC3168" s="7"/>
      <c r="AD3168" s="7"/>
      <c r="AE3168" s="7"/>
      <c r="AF3168" s="7"/>
      <c r="AG3168" s="7"/>
      <c r="AH3168" s="7" t="s">
        <v>8067</v>
      </c>
    </row>
    <row r="3169" spans="1:37" ht="9.75" customHeight="1" x14ac:dyDescent="0.2">
      <c r="A3169" s="7" t="s">
        <v>7455</v>
      </c>
      <c r="B3169" s="7" t="s">
        <v>38</v>
      </c>
      <c r="C3169" s="7"/>
      <c r="D3169" s="7" t="s">
        <v>8070</v>
      </c>
      <c r="E3169" s="8">
        <v>6</v>
      </c>
      <c r="F3169" s="7"/>
      <c r="G3169" s="7" t="s">
        <v>8071</v>
      </c>
      <c r="H3169" s="10">
        <v>1426</v>
      </c>
      <c r="I3169" s="10">
        <v>734</v>
      </c>
      <c r="J3169" s="10">
        <v>1012</v>
      </c>
      <c r="K3169" s="9"/>
      <c r="L3169" s="10">
        <v>1032</v>
      </c>
      <c r="M3169" s="9"/>
      <c r="N3169" s="10">
        <v>1032</v>
      </c>
      <c r="O3169" s="9"/>
      <c r="P3169" s="10"/>
      <c r="Q3169" s="10"/>
      <c r="R3169" s="10"/>
      <c r="S3169" s="7" t="s">
        <v>54</v>
      </c>
      <c r="T3169" s="7" t="s">
        <v>8068</v>
      </c>
      <c r="U3169" s="7" t="s">
        <v>44</v>
      </c>
      <c r="V3169" s="7" t="s">
        <v>45</v>
      </c>
      <c r="W3169" s="7" t="s">
        <v>46</v>
      </c>
      <c r="X3169" s="7" t="s">
        <v>90</v>
      </c>
      <c r="Y3169" s="7" t="s">
        <v>8072</v>
      </c>
      <c r="Z3169" s="7" t="s">
        <v>6786</v>
      </c>
      <c r="AA3169" s="7"/>
      <c r="AB3169" s="7"/>
      <c r="AC3169" s="7"/>
      <c r="AD3169" s="7"/>
      <c r="AE3169" s="7"/>
      <c r="AF3169" s="7"/>
      <c r="AG3169" s="7"/>
      <c r="AH3169" s="7" t="s">
        <v>8073</v>
      </c>
    </row>
    <row r="3170" spans="1:37" ht="9.75" customHeight="1" x14ac:dyDescent="0.2">
      <c r="A3170" s="7" t="s">
        <v>7455</v>
      </c>
      <c r="B3170" s="7" t="s">
        <v>38</v>
      </c>
      <c r="C3170" s="7" t="s">
        <v>8074</v>
      </c>
      <c r="D3170" s="7" t="s">
        <v>8075</v>
      </c>
      <c r="E3170" s="8">
        <v>6</v>
      </c>
      <c r="F3170" s="7"/>
      <c r="G3170" s="7" t="s">
        <v>8076</v>
      </c>
      <c r="H3170" s="10">
        <v>147728</v>
      </c>
      <c r="I3170" s="10">
        <v>35047</v>
      </c>
      <c r="J3170" s="10">
        <v>35004</v>
      </c>
      <c r="K3170" s="9"/>
      <c r="L3170" s="10">
        <v>35703</v>
      </c>
      <c r="M3170" s="9"/>
      <c r="N3170" s="10">
        <v>35703</v>
      </c>
      <c r="O3170" s="9"/>
      <c r="P3170" s="10"/>
      <c r="Q3170" s="10"/>
      <c r="R3170" s="10"/>
      <c r="S3170" s="7" t="s">
        <v>54</v>
      </c>
      <c r="T3170" s="7" t="s">
        <v>8021</v>
      </c>
      <c r="U3170" s="7" t="s">
        <v>44</v>
      </c>
      <c r="V3170" s="7" t="s">
        <v>45</v>
      </c>
      <c r="W3170" s="7" t="s">
        <v>46</v>
      </c>
      <c r="X3170" s="7"/>
      <c r="Y3170" s="7" t="s">
        <v>8077</v>
      </c>
      <c r="Z3170" s="7" t="s">
        <v>2873</v>
      </c>
      <c r="AA3170" s="7"/>
      <c r="AB3170" s="7"/>
      <c r="AC3170" s="7" t="s">
        <v>8010</v>
      </c>
      <c r="AD3170" s="7" t="s">
        <v>8078</v>
      </c>
      <c r="AE3170" s="7"/>
      <c r="AF3170" s="7"/>
      <c r="AG3170" s="7"/>
      <c r="AH3170" s="7" t="s">
        <v>8011</v>
      </c>
    </row>
    <row r="3171" spans="1:37" ht="9.75" customHeight="1" x14ac:dyDescent="0.2">
      <c r="A3171" s="7" t="s">
        <v>7455</v>
      </c>
      <c r="B3171" s="7" t="s">
        <v>38</v>
      </c>
      <c r="C3171" s="7"/>
      <c r="D3171" s="7" t="s">
        <v>8079</v>
      </c>
      <c r="E3171" s="8">
        <v>6</v>
      </c>
      <c r="F3171" s="7"/>
      <c r="G3171" s="7" t="s">
        <v>8080</v>
      </c>
      <c r="H3171" s="10">
        <v>69442</v>
      </c>
      <c r="I3171" s="10">
        <v>24076</v>
      </c>
      <c r="J3171" s="10">
        <v>24550</v>
      </c>
      <c r="K3171" s="9"/>
      <c r="L3171" s="10">
        <v>25041</v>
      </c>
      <c r="M3171" s="9"/>
      <c r="N3171" s="10">
        <v>25041</v>
      </c>
      <c r="O3171" s="9"/>
      <c r="P3171" s="10"/>
      <c r="Q3171" s="10"/>
      <c r="R3171" s="10"/>
      <c r="S3171" s="7" t="s">
        <v>54</v>
      </c>
      <c r="T3171" s="7" t="s">
        <v>8081</v>
      </c>
      <c r="U3171" s="7" t="s">
        <v>44</v>
      </c>
      <c r="V3171" s="7" t="s">
        <v>45</v>
      </c>
      <c r="W3171" s="7" t="s">
        <v>46</v>
      </c>
      <c r="X3171" s="7"/>
      <c r="Y3171" s="7" t="s">
        <v>8082</v>
      </c>
      <c r="Z3171" s="7" t="s">
        <v>2873</v>
      </c>
      <c r="AA3171" s="7"/>
      <c r="AB3171" s="7"/>
      <c r="AC3171" s="7"/>
      <c r="AD3171" s="7"/>
      <c r="AE3171" s="7"/>
      <c r="AF3171" s="7"/>
      <c r="AG3171" s="7"/>
      <c r="AH3171" s="7" t="s">
        <v>8080</v>
      </c>
    </row>
    <row r="3172" spans="1:37" ht="9.75" customHeight="1" x14ac:dyDescent="0.2">
      <c r="A3172" s="7" t="s">
        <v>7455</v>
      </c>
      <c r="B3172" s="7" t="s">
        <v>38</v>
      </c>
      <c r="C3172" s="7"/>
      <c r="D3172" s="7" t="s">
        <v>8083</v>
      </c>
      <c r="E3172" s="8">
        <v>6</v>
      </c>
      <c r="F3172" s="7"/>
      <c r="G3172" s="7" t="s">
        <v>8084</v>
      </c>
      <c r="H3172" s="10">
        <v>18151</v>
      </c>
      <c r="I3172" s="10">
        <v>7522</v>
      </c>
      <c r="J3172" s="10">
        <v>7672</v>
      </c>
      <c r="K3172" s="9"/>
      <c r="L3172" s="10">
        <v>7825</v>
      </c>
      <c r="M3172" s="9"/>
      <c r="N3172" s="10">
        <v>7825</v>
      </c>
      <c r="O3172" s="9"/>
      <c r="P3172" s="10"/>
      <c r="Q3172" s="10"/>
      <c r="R3172" s="10"/>
      <c r="S3172" s="7" t="s">
        <v>54</v>
      </c>
      <c r="T3172" s="7" t="s">
        <v>8081</v>
      </c>
      <c r="U3172" s="7" t="s">
        <v>44</v>
      </c>
      <c r="V3172" s="7" t="s">
        <v>45</v>
      </c>
      <c r="W3172" s="7" t="s">
        <v>46</v>
      </c>
      <c r="X3172" s="7"/>
      <c r="Y3172" s="7" t="s">
        <v>8085</v>
      </c>
      <c r="Z3172" s="7" t="s">
        <v>2873</v>
      </c>
      <c r="AA3172" s="7"/>
      <c r="AB3172" s="7"/>
      <c r="AC3172" s="7"/>
      <c r="AD3172" s="7"/>
      <c r="AE3172" s="7"/>
      <c r="AF3172" s="7"/>
      <c r="AG3172" s="7"/>
      <c r="AH3172" s="7" t="s">
        <v>8084</v>
      </c>
    </row>
    <row r="3173" spans="1:37" ht="9.75" customHeight="1" x14ac:dyDescent="0.2">
      <c r="A3173" s="7" t="s">
        <v>7455</v>
      </c>
      <c r="B3173" s="7" t="s">
        <v>38</v>
      </c>
      <c r="C3173" s="7"/>
      <c r="D3173" s="7" t="s">
        <v>8086</v>
      </c>
      <c r="E3173" s="8">
        <v>6</v>
      </c>
      <c r="F3173" s="7"/>
      <c r="G3173" s="7" t="s">
        <v>8087</v>
      </c>
      <c r="H3173" s="10">
        <v>60135</v>
      </c>
      <c r="I3173" s="10">
        <v>3449</v>
      </c>
      <c r="J3173" s="10">
        <v>2782</v>
      </c>
      <c r="K3173" s="9"/>
      <c r="L3173" s="10">
        <v>2837</v>
      </c>
      <c r="M3173" s="9"/>
      <c r="N3173" s="10">
        <v>2837</v>
      </c>
      <c r="O3173" s="9"/>
      <c r="P3173" s="10"/>
      <c r="Q3173" s="10"/>
      <c r="R3173" s="10"/>
      <c r="S3173" s="7" t="s">
        <v>54</v>
      </c>
      <c r="T3173" s="7" t="s">
        <v>8081</v>
      </c>
      <c r="U3173" s="7" t="s">
        <v>44</v>
      </c>
      <c r="V3173" s="7" t="s">
        <v>45</v>
      </c>
      <c r="W3173" s="7" t="s">
        <v>46</v>
      </c>
      <c r="X3173" s="7" t="s">
        <v>90</v>
      </c>
      <c r="Y3173" s="7" t="s">
        <v>8088</v>
      </c>
      <c r="Z3173" s="7" t="s">
        <v>2873</v>
      </c>
      <c r="AA3173" s="7"/>
      <c r="AB3173" s="7"/>
      <c r="AC3173" s="7"/>
      <c r="AD3173" s="7"/>
      <c r="AE3173" s="7"/>
      <c r="AF3173" s="7"/>
      <c r="AG3173" s="7"/>
      <c r="AH3173" s="7" t="s">
        <v>8087</v>
      </c>
    </row>
    <row r="3174" spans="1:37" ht="9.75" customHeight="1" x14ac:dyDescent="0.2">
      <c r="A3174" s="7" t="s">
        <v>7455</v>
      </c>
      <c r="B3174" s="7" t="s">
        <v>38</v>
      </c>
      <c r="C3174" s="7"/>
      <c r="D3174" s="7" t="s">
        <v>8089</v>
      </c>
      <c r="E3174" s="8">
        <v>4</v>
      </c>
      <c r="F3174" s="7"/>
      <c r="G3174" s="7" t="s">
        <v>8090</v>
      </c>
      <c r="H3174" s="10">
        <v>204380</v>
      </c>
      <c r="I3174" s="10">
        <v>11882</v>
      </c>
      <c r="J3174" s="10">
        <v>12119</v>
      </c>
      <c r="K3174" s="9"/>
      <c r="L3174" s="10">
        <v>12360</v>
      </c>
      <c r="M3174" s="9"/>
      <c r="N3174" s="10">
        <v>12360</v>
      </c>
      <c r="O3174" s="9"/>
      <c r="P3174" s="10"/>
      <c r="Q3174" s="10"/>
      <c r="R3174" s="10"/>
      <c r="S3174" s="7" t="s">
        <v>54</v>
      </c>
      <c r="T3174" s="7" t="s">
        <v>8015</v>
      </c>
      <c r="U3174" s="7" t="s">
        <v>44</v>
      </c>
      <c r="V3174" s="7" t="s">
        <v>45</v>
      </c>
      <c r="W3174" s="7" t="s">
        <v>46</v>
      </c>
      <c r="X3174" s="7"/>
      <c r="Y3174" s="7" t="s">
        <v>8091</v>
      </c>
      <c r="Z3174" s="7" t="s">
        <v>8092</v>
      </c>
      <c r="AA3174" s="7"/>
      <c r="AB3174" s="7"/>
      <c r="AC3174" s="7" t="s">
        <v>8010</v>
      </c>
      <c r="AD3174" s="7"/>
      <c r="AE3174" s="7" t="s">
        <v>8093</v>
      </c>
      <c r="AF3174" s="7"/>
      <c r="AG3174" s="7"/>
      <c r="AH3174" s="7" t="s">
        <v>8011</v>
      </c>
    </row>
    <row r="3175" spans="1:37" ht="9.75" customHeight="1" x14ac:dyDescent="0.2">
      <c r="A3175" s="7" t="s">
        <v>7455</v>
      </c>
      <c r="B3175" s="7" t="s">
        <v>38</v>
      </c>
      <c r="C3175" s="7"/>
      <c r="D3175" s="7" t="s">
        <v>8094</v>
      </c>
      <c r="E3175" s="8">
        <v>4</v>
      </c>
      <c r="F3175" s="7"/>
      <c r="G3175" s="7"/>
      <c r="H3175" s="10">
        <v>195382</v>
      </c>
      <c r="I3175" s="10">
        <v>11046</v>
      </c>
      <c r="J3175" s="10">
        <v>11266</v>
      </c>
      <c r="K3175" s="9"/>
      <c r="L3175" s="10">
        <v>11491</v>
      </c>
      <c r="M3175" s="9"/>
      <c r="N3175" s="10">
        <v>11491</v>
      </c>
      <c r="O3175" s="9"/>
      <c r="P3175" s="10"/>
      <c r="Q3175" s="10"/>
      <c r="R3175" s="10"/>
      <c r="S3175" s="7" t="s">
        <v>54</v>
      </c>
      <c r="T3175" s="7" t="s">
        <v>8095</v>
      </c>
      <c r="U3175" s="7" t="s">
        <v>44</v>
      </c>
      <c r="V3175" s="7" t="s">
        <v>45</v>
      </c>
      <c r="W3175" s="7" t="s">
        <v>46</v>
      </c>
      <c r="X3175" s="7"/>
      <c r="Y3175" s="7" t="s">
        <v>8096</v>
      </c>
      <c r="Z3175" s="7" t="s">
        <v>8092</v>
      </c>
      <c r="AA3175" s="7"/>
      <c r="AB3175" s="7"/>
      <c r="AC3175" s="7"/>
      <c r="AD3175" s="7"/>
      <c r="AE3175" s="7" t="s">
        <v>8097</v>
      </c>
      <c r="AF3175" s="7"/>
      <c r="AG3175" s="7"/>
      <c r="AH3175" s="7"/>
    </row>
    <row r="3176" spans="1:37" ht="9.75" customHeight="1" x14ac:dyDescent="0.2">
      <c r="A3176" s="7" t="s">
        <v>7455</v>
      </c>
      <c r="B3176" s="7" t="s">
        <v>38</v>
      </c>
      <c r="C3176" s="7"/>
      <c r="D3176" s="7" t="s">
        <v>8098</v>
      </c>
      <c r="E3176" s="8">
        <v>4</v>
      </c>
      <c r="F3176" s="7"/>
      <c r="G3176" s="7"/>
      <c r="H3176" s="10">
        <v>8998</v>
      </c>
      <c r="I3176" s="10">
        <v>836</v>
      </c>
      <c r="J3176" s="10">
        <v>853</v>
      </c>
      <c r="K3176" s="9"/>
      <c r="L3176" s="10">
        <v>869</v>
      </c>
      <c r="M3176" s="9"/>
      <c r="N3176" s="10">
        <v>869</v>
      </c>
      <c r="O3176" s="9"/>
      <c r="P3176" s="10"/>
      <c r="Q3176" s="10"/>
      <c r="R3176" s="10"/>
      <c r="S3176" s="7" t="s">
        <v>54</v>
      </c>
      <c r="T3176" s="7" t="s">
        <v>8095</v>
      </c>
      <c r="U3176" s="7" t="s">
        <v>44</v>
      </c>
      <c r="V3176" s="7" t="s">
        <v>45</v>
      </c>
      <c r="W3176" s="7" t="s">
        <v>46</v>
      </c>
      <c r="X3176" s="7"/>
      <c r="Y3176" s="7" t="s">
        <v>8099</v>
      </c>
      <c r="Z3176" s="7" t="s">
        <v>8092</v>
      </c>
      <c r="AA3176" s="7"/>
      <c r="AB3176" s="7"/>
      <c r="AC3176" s="7"/>
      <c r="AD3176" s="7"/>
      <c r="AE3176" s="7" t="s">
        <v>8100</v>
      </c>
      <c r="AF3176" s="7"/>
      <c r="AG3176" s="7"/>
      <c r="AH3176" s="7"/>
    </row>
    <row r="3177" spans="1:37" ht="9.75" customHeight="1" x14ac:dyDescent="0.2">
      <c r="A3177" s="7" t="s">
        <v>7455</v>
      </c>
      <c r="B3177" s="7" t="s">
        <v>38</v>
      </c>
      <c r="C3177" s="7" t="s">
        <v>8101</v>
      </c>
      <c r="D3177" s="7" t="s">
        <v>8102</v>
      </c>
      <c r="E3177" s="8">
        <v>6</v>
      </c>
      <c r="F3177" s="7"/>
      <c r="G3177" s="7" t="s">
        <v>8103</v>
      </c>
      <c r="H3177" s="10">
        <v>936322</v>
      </c>
      <c r="I3177" s="10">
        <v>207231</v>
      </c>
      <c r="J3177" s="10">
        <v>179974</v>
      </c>
      <c r="K3177" s="9"/>
      <c r="L3177" s="10">
        <v>186085</v>
      </c>
      <c r="M3177" s="10">
        <v>0</v>
      </c>
      <c r="N3177" s="10">
        <v>186085</v>
      </c>
      <c r="O3177" s="9"/>
      <c r="P3177" s="10">
        <v>8200</v>
      </c>
      <c r="Q3177" s="10">
        <v>177885</v>
      </c>
      <c r="R3177" s="10">
        <v>186085</v>
      </c>
      <c r="S3177" s="7" t="s">
        <v>43</v>
      </c>
      <c r="T3177" s="7"/>
      <c r="U3177" s="7"/>
      <c r="V3177" s="7"/>
      <c r="W3177" s="7"/>
      <c r="X3177" s="7"/>
      <c r="Y3177" s="7" t="s">
        <v>8104</v>
      </c>
      <c r="Z3177" s="7" t="s">
        <v>2924</v>
      </c>
      <c r="AA3177" s="7"/>
      <c r="AB3177" s="7"/>
      <c r="AC3177" s="7" t="s">
        <v>8101</v>
      </c>
      <c r="AD3177" s="7" t="s">
        <v>8105</v>
      </c>
      <c r="AE3177" s="7"/>
      <c r="AF3177" s="7"/>
      <c r="AG3177" s="7"/>
      <c r="AH3177" s="7" t="s">
        <v>8102</v>
      </c>
      <c r="AI3177">
        <v>218181</v>
      </c>
      <c r="AK3177">
        <v>218181</v>
      </c>
    </row>
    <row r="3178" spans="1:37" ht="9.75" customHeight="1" x14ac:dyDescent="0.2">
      <c r="A3178" s="7" t="s">
        <v>7455</v>
      </c>
      <c r="B3178" s="7" t="s">
        <v>38</v>
      </c>
      <c r="C3178" s="7"/>
      <c r="D3178" s="7" t="s">
        <v>8106</v>
      </c>
      <c r="E3178" s="8">
        <v>6</v>
      </c>
      <c r="F3178" s="7"/>
      <c r="G3178" s="7"/>
      <c r="H3178" s="10">
        <v>119472</v>
      </c>
      <c r="I3178" s="10">
        <v>19201</v>
      </c>
      <c r="J3178" s="10">
        <v>19770</v>
      </c>
      <c r="K3178" s="9"/>
      <c r="L3178" s="10">
        <v>15510</v>
      </c>
      <c r="M3178" s="9"/>
      <c r="N3178" s="10">
        <v>15510</v>
      </c>
      <c r="O3178" s="9"/>
      <c r="P3178" s="10"/>
      <c r="Q3178" s="10"/>
      <c r="R3178" s="10"/>
      <c r="S3178" s="7" t="s">
        <v>54</v>
      </c>
      <c r="T3178" s="7" t="s">
        <v>8107</v>
      </c>
      <c r="U3178" s="7"/>
      <c r="V3178" s="7"/>
      <c r="W3178" s="7"/>
      <c r="X3178" s="7"/>
      <c r="Y3178" s="7" t="s">
        <v>8108</v>
      </c>
      <c r="Z3178" s="7" t="s">
        <v>3017</v>
      </c>
      <c r="AA3178" s="7"/>
      <c r="AB3178" s="7"/>
      <c r="AC3178" s="7" t="s">
        <v>8101</v>
      </c>
      <c r="AD3178" s="7"/>
      <c r="AE3178" s="7"/>
      <c r="AF3178" s="7"/>
      <c r="AG3178" s="7"/>
      <c r="AH3178" s="7" t="s">
        <v>8102</v>
      </c>
    </row>
    <row r="3179" spans="1:37" ht="9.75" customHeight="1" x14ac:dyDescent="0.2">
      <c r="A3179" s="7" t="s">
        <v>7455</v>
      </c>
      <c r="B3179" s="7" t="s">
        <v>38</v>
      </c>
      <c r="C3179" s="7"/>
      <c r="D3179" s="7" t="s">
        <v>8109</v>
      </c>
      <c r="E3179" s="8">
        <v>6</v>
      </c>
      <c r="F3179" s="7"/>
      <c r="G3179" s="7"/>
      <c r="H3179" s="10">
        <v>27852</v>
      </c>
      <c r="I3179" s="10">
        <v>1118</v>
      </c>
      <c r="J3179" s="10">
        <v>428</v>
      </c>
      <c r="K3179" s="9"/>
      <c r="L3179" s="10">
        <v>2482</v>
      </c>
      <c r="M3179" s="9"/>
      <c r="N3179" s="10">
        <v>2482</v>
      </c>
      <c r="O3179" s="9"/>
      <c r="P3179" s="10"/>
      <c r="Q3179" s="10"/>
      <c r="R3179" s="10"/>
      <c r="S3179" s="7" t="s">
        <v>54</v>
      </c>
      <c r="T3179" s="7" t="s">
        <v>8110</v>
      </c>
      <c r="U3179" s="7"/>
      <c r="V3179" s="7"/>
      <c r="W3179" s="7"/>
      <c r="X3179" s="7"/>
      <c r="Y3179" s="7" t="s">
        <v>8111</v>
      </c>
      <c r="Z3179" s="7" t="s">
        <v>3017</v>
      </c>
      <c r="AA3179" s="7"/>
      <c r="AB3179" s="7"/>
      <c r="AC3179" s="7" t="s">
        <v>8101</v>
      </c>
      <c r="AD3179" s="7"/>
      <c r="AE3179" s="7"/>
      <c r="AF3179" s="7"/>
      <c r="AG3179" s="7"/>
      <c r="AH3179" s="7" t="s">
        <v>8102</v>
      </c>
    </row>
    <row r="3180" spans="1:37" ht="9.75" customHeight="1" x14ac:dyDescent="0.2">
      <c r="A3180" s="7" t="s">
        <v>7455</v>
      </c>
      <c r="B3180" s="7" t="s">
        <v>38</v>
      </c>
      <c r="C3180" s="7"/>
      <c r="D3180" s="7" t="s">
        <v>8112</v>
      </c>
      <c r="E3180" s="8">
        <v>6</v>
      </c>
      <c r="F3180" s="7"/>
      <c r="G3180" s="7"/>
      <c r="H3180" s="10">
        <v>17576</v>
      </c>
      <c r="I3180" s="10">
        <v>834</v>
      </c>
      <c r="J3180" s="10">
        <v>833</v>
      </c>
      <c r="K3180" s="9"/>
      <c r="L3180" s="10">
        <v>833</v>
      </c>
      <c r="M3180" s="9"/>
      <c r="N3180" s="10">
        <v>833</v>
      </c>
      <c r="O3180" s="9"/>
      <c r="P3180" s="10"/>
      <c r="Q3180" s="10"/>
      <c r="R3180" s="10"/>
      <c r="S3180" s="7" t="s">
        <v>54</v>
      </c>
      <c r="T3180" s="7" t="s">
        <v>8110</v>
      </c>
      <c r="U3180" s="7"/>
      <c r="V3180" s="7"/>
      <c r="W3180" s="7"/>
      <c r="X3180" s="7"/>
      <c r="Y3180" s="7" t="s">
        <v>8113</v>
      </c>
      <c r="Z3180" s="7" t="s">
        <v>3017</v>
      </c>
      <c r="AA3180" s="7"/>
      <c r="AB3180" s="7"/>
      <c r="AC3180" s="7" t="s">
        <v>8101</v>
      </c>
      <c r="AD3180" s="7"/>
      <c r="AE3180" s="7"/>
      <c r="AF3180" s="7"/>
      <c r="AG3180" s="7"/>
      <c r="AH3180" s="7" t="s">
        <v>8102</v>
      </c>
    </row>
    <row r="3181" spans="1:37" ht="9.75" customHeight="1" x14ac:dyDescent="0.2">
      <c r="A3181" s="7" t="s">
        <v>7455</v>
      </c>
      <c r="B3181" s="7" t="s">
        <v>38</v>
      </c>
      <c r="C3181" s="7"/>
      <c r="D3181" s="7" t="s">
        <v>8114</v>
      </c>
      <c r="E3181" s="8">
        <v>6</v>
      </c>
      <c r="F3181" s="7"/>
      <c r="G3181" s="7"/>
      <c r="H3181" s="10">
        <v>48338</v>
      </c>
      <c r="I3181" s="10">
        <v>2496</v>
      </c>
      <c r="J3181" s="10">
        <v>1225</v>
      </c>
      <c r="K3181" s="9"/>
      <c r="L3181" s="10">
        <v>1225</v>
      </c>
      <c r="M3181" s="9"/>
      <c r="N3181" s="10">
        <v>1225</v>
      </c>
      <c r="O3181" s="9"/>
      <c r="P3181" s="10"/>
      <c r="Q3181" s="10"/>
      <c r="R3181" s="10"/>
      <c r="S3181" s="7" t="s">
        <v>54</v>
      </c>
      <c r="T3181" s="7" t="s">
        <v>8110</v>
      </c>
      <c r="U3181" s="7"/>
      <c r="V3181" s="7"/>
      <c r="W3181" s="7"/>
      <c r="X3181" s="7"/>
      <c r="Y3181" s="7" t="s">
        <v>8115</v>
      </c>
      <c r="Z3181" s="7" t="s">
        <v>3017</v>
      </c>
      <c r="AA3181" s="7"/>
      <c r="AB3181" s="7"/>
      <c r="AC3181" s="7" t="s">
        <v>8101</v>
      </c>
      <c r="AD3181" s="7"/>
      <c r="AE3181" s="7"/>
      <c r="AF3181" s="7"/>
      <c r="AG3181" s="7"/>
      <c r="AH3181" s="7" t="s">
        <v>8102</v>
      </c>
    </row>
    <row r="3182" spans="1:37" ht="9.75" customHeight="1" x14ac:dyDescent="0.2">
      <c r="A3182" s="7" t="s">
        <v>7455</v>
      </c>
      <c r="B3182" s="7" t="s">
        <v>38</v>
      </c>
      <c r="C3182" s="7"/>
      <c r="D3182" s="7" t="s">
        <v>8116</v>
      </c>
      <c r="E3182" s="8">
        <v>6</v>
      </c>
      <c r="F3182" s="7"/>
      <c r="G3182" s="7"/>
      <c r="H3182" s="10">
        <v>19094</v>
      </c>
      <c r="I3182" s="10">
        <v>828</v>
      </c>
      <c r="J3182" s="10">
        <v>5600</v>
      </c>
      <c r="K3182" s="9"/>
      <c r="L3182" s="10">
        <v>535</v>
      </c>
      <c r="M3182" s="9"/>
      <c r="N3182" s="10">
        <v>535</v>
      </c>
      <c r="O3182" s="9"/>
      <c r="P3182" s="10"/>
      <c r="Q3182" s="10"/>
      <c r="R3182" s="10"/>
      <c r="S3182" s="7" t="s">
        <v>54</v>
      </c>
      <c r="T3182" s="7" t="s">
        <v>8110</v>
      </c>
      <c r="U3182" s="7"/>
      <c r="V3182" s="7"/>
      <c r="W3182" s="7"/>
      <c r="X3182" s="7"/>
      <c r="Y3182" s="7" t="s">
        <v>8117</v>
      </c>
      <c r="Z3182" s="7" t="s">
        <v>3017</v>
      </c>
      <c r="AA3182" s="7"/>
      <c r="AB3182" s="7"/>
      <c r="AC3182" s="7" t="s">
        <v>8101</v>
      </c>
      <c r="AD3182" s="7"/>
      <c r="AE3182" s="7"/>
      <c r="AF3182" s="7"/>
      <c r="AG3182" s="7"/>
      <c r="AH3182" s="7" t="s">
        <v>8102</v>
      </c>
    </row>
    <row r="3183" spans="1:37" ht="9.75" customHeight="1" x14ac:dyDescent="0.2">
      <c r="A3183" s="7" t="s">
        <v>7455</v>
      </c>
      <c r="B3183" s="7" t="s">
        <v>38</v>
      </c>
      <c r="C3183" s="7"/>
      <c r="D3183" s="7" t="s">
        <v>8118</v>
      </c>
      <c r="E3183" s="8">
        <v>6</v>
      </c>
      <c r="F3183" s="7"/>
      <c r="G3183" s="7"/>
      <c r="H3183" s="10">
        <v>5592</v>
      </c>
      <c r="I3183" s="10">
        <v>1600</v>
      </c>
      <c r="J3183" s="9"/>
      <c r="K3183" s="9"/>
      <c r="L3183" s="10">
        <v>435</v>
      </c>
      <c r="M3183" s="9"/>
      <c r="N3183" s="10">
        <v>435</v>
      </c>
      <c r="O3183" s="9"/>
      <c r="P3183" s="10"/>
      <c r="Q3183" s="10"/>
      <c r="R3183" s="10"/>
      <c r="S3183" s="7" t="s">
        <v>54</v>
      </c>
      <c r="T3183" s="7" t="s">
        <v>8110</v>
      </c>
      <c r="U3183" s="7"/>
      <c r="V3183" s="7"/>
      <c r="W3183" s="7"/>
      <c r="X3183" s="7"/>
      <c r="Y3183" s="7" t="s">
        <v>8119</v>
      </c>
      <c r="Z3183" s="7" t="s">
        <v>3017</v>
      </c>
      <c r="AA3183" s="7"/>
      <c r="AB3183" s="7"/>
      <c r="AC3183" s="7" t="s">
        <v>8101</v>
      </c>
      <c r="AD3183" s="7"/>
      <c r="AE3183" s="7"/>
      <c r="AF3183" s="7"/>
      <c r="AG3183" s="7"/>
      <c r="AH3183" s="7" t="s">
        <v>8102</v>
      </c>
    </row>
    <row r="3184" spans="1:37" ht="9.75" customHeight="1" x14ac:dyDescent="0.2">
      <c r="A3184" s="7" t="s">
        <v>7455</v>
      </c>
      <c r="B3184" s="7" t="s">
        <v>38</v>
      </c>
      <c r="C3184" s="7"/>
      <c r="D3184" s="7" t="s">
        <v>8120</v>
      </c>
      <c r="E3184" s="8">
        <v>6</v>
      </c>
      <c r="F3184" s="7"/>
      <c r="G3184" s="7"/>
      <c r="H3184" s="9"/>
      <c r="I3184" s="10">
        <v>409</v>
      </c>
      <c r="J3184" s="10">
        <v>1616</v>
      </c>
      <c r="K3184" s="9"/>
      <c r="L3184" s="10">
        <v>10000</v>
      </c>
      <c r="M3184" s="9"/>
      <c r="N3184" s="10">
        <v>10000</v>
      </c>
      <c r="O3184" s="9"/>
      <c r="P3184" s="10"/>
      <c r="Q3184" s="10"/>
      <c r="R3184" s="10"/>
      <c r="S3184" s="7" t="s">
        <v>54</v>
      </c>
      <c r="T3184" s="7" t="s">
        <v>8110</v>
      </c>
      <c r="U3184" s="7"/>
      <c r="V3184" s="7"/>
      <c r="W3184" s="7"/>
      <c r="X3184" s="7"/>
      <c r="Y3184" s="7" t="s">
        <v>8121</v>
      </c>
      <c r="Z3184" s="7" t="s">
        <v>3017</v>
      </c>
      <c r="AA3184" s="7"/>
      <c r="AB3184" s="7"/>
      <c r="AC3184" s="7" t="s">
        <v>8101</v>
      </c>
      <c r="AD3184" s="7"/>
      <c r="AE3184" s="7"/>
      <c r="AF3184" s="7"/>
      <c r="AG3184" s="7"/>
      <c r="AH3184" s="7" t="s">
        <v>8102</v>
      </c>
    </row>
    <row r="3185" spans="1:34" ht="9.75" customHeight="1" x14ac:dyDescent="0.2">
      <c r="A3185" s="7" t="s">
        <v>7455</v>
      </c>
      <c r="B3185" s="7" t="s">
        <v>38</v>
      </c>
      <c r="C3185" s="7"/>
      <c r="D3185" s="7" t="s">
        <v>8122</v>
      </c>
      <c r="E3185" s="8">
        <v>6</v>
      </c>
      <c r="F3185" s="7"/>
      <c r="G3185" s="7"/>
      <c r="H3185" s="10">
        <v>45594</v>
      </c>
      <c r="I3185" s="10">
        <v>7741</v>
      </c>
      <c r="J3185" s="10">
        <v>29523</v>
      </c>
      <c r="K3185" s="9"/>
      <c r="L3185" s="10">
        <v>30126</v>
      </c>
      <c r="M3185" s="9"/>
      <c r="N3185" s="10">
        <v>30126</v>
      </c>
      <c r="O3185" s="9"/>
      <c r="P3185" s="10"/>
      <c r="Q3185" s="10"/>
      <c r="R3185" s="10"/>
      <c r="S3185" s="7" t="s">
        <v>54</v>
      </c>
      <c r="T3185" s="7" t="s">
        <v>8107</v>
      </c>
      <c r="U3185" s="7" t="s">
        <v>44</v>
      </c>
      <c r="V3185" s="7" t="s">
        <v>45</v>
      </c>
      <c r="W3185" s="7" t="s">
        <v>130</v>
      </c>
      <c r="X3185" s="7"/>
      <c r="Y3185" s="7" t="s">
        <v>8123</v>
      </c>
      <c r="Z3185" s="7" t="s">
        <v>3032</v>
      </c>
      <c r="AA3185" s="7"/>
      <c r="AB3185" s="7"/>
      <c r="AC3185" s="7" t="s">
        <v>8101</v>
      </c>
      <c r="AD3185" s="7" t="s">
        <v>8124</v>
      </c>
      <c r="AE3185" s="7"/>
      <c r="AF3185" s="7"/>
      <c r="AG3185" s="7"/>
      <c r="AH3185" s="7" t="s">
        <v>8102</v>
      </c>
    </row>
    <row r="3186" spans="1:34" ht="9.75" customHeight="1" x14ac:dyDescent="0.2">
      <c r="A3186" s="7" t="s">
        <v>7455</v>
      </c>
      <c r="B3186" s="7" t="s">
        <v>38</v>
      </c>
      <c r="C3186" s="7"/>
      <c r="D3186" s="7" t="s">
        <v>8125</v>
      </c>
      <c r="E3186" s="8">
        <v>6</v>
      </c>
      <c r="F3186" s="7"/>
      <c r="G3186" s="7"/>
      <c r="H3186" s="10">
        <v>10059</v>
      </c>
      <c r="I3186" s="9"/>
      <c r="J3186" s="10">
        <v>1542</v>
      </c>
      <c r="K3186" s="9"/>
      <c r="L3186" s="10">
        <v>1388</v>
      </c>
      <c r="M3186" s="9"/>
      <c r="N3186" s="10">
        <v>1388</v>
      </c>
      <c r="O3186" s="9"/>
      <c r="P3186" s="10"/>
      <c r="Q3186" s="10"/>
      <c r="R3186" s="10"/>
      <c r="S3186" s="7" t="s">
        <v>54</v>
      </c>
      <c r="T3186" s="7" t="s">
        <v>8126</v>
      </c>
      <c r="U3186" s="7"/>
      <c r="V3186" s="7"/>
      <c r="W3186" s="7"/>
      <c r="X3186" s="7"/>
      <c r="Y3186" s="7" t="s">
        <v>8127</v>
      </c>
      <c r="Z3186" s="7" t="s">
        <v>3032</v>
      </c>
      <c r="AA3186" s="7"/>
      <c r="AB3186" s="7"/>
      <c r="AC3186" s="7" t="s">
        <v>8101</v>
      </c>
      <c r="AD3186" s="7" t="s">
        <v>8128</v>
      </c>
      <c r="AE3186" s="7" t="s">
        <v>8129</v>
      </c>
      <c r="AF3186" s="7"/>
      <c r="AG3186" s="7"/>
      <c r="AH3186" s="7" t="s">
        <v>8102</v>
      </c>
    </row>
    <row r="3187" spans="1:34" ht="9.75" customHeight="1" x14ac:dyDescent="0.2">
      <c r="A3187" s="7" t="s">
        <v>7455</v>
      </c>
      <c r="B3187" s="7" t="s">
        <v>38</v>
      </c>
      <c r="C3187" s="7"/>
      <c r="D3187" s="7" t="s">
        <v>8130</v>
      </c>
      <c r="E3187" s="8">
        <v>6</v>
      </c>
      <c r="F3187" s="7"/>
      <c r="G3187" s="7"/>
      <c r="H3187" s="10">
        <v>21751</v>
      </c>
      <c r="I3187" s="9"/>
      <c r="J3187" s="10">
        <v>13521</v>
      </c>
      <c r="K3187" s="9"/>
      <c r="L3187" s="10">
        <v>3314</v>
      </c>
      <c r="M3187" s="9"/>
      <c r="N3187" s="10">
        <v>3314</v>
      </c>
      <c r="O3187" s="9"/>
      <c r="P3187" s="10"/>
      <c r="Q3187" s="10"/>
      <c r="R3187" s="10"/>
      <c r="S3187" s="7" t="s">
        <v>54</v>
      </c>
      <c r="T3187" s="7" t="s">
        <v>8126</v>
      </c>
      <c r="U3187" s="7"/>
      <c r="V3187" s="7"/>
      <c r="W3187" s="7"/>
      <c r="X3187" s="7"/>
      <c r="Y3187" s="7" t="s">
        <v>8131</v>
      </c>
      <c r="Z3187" s="7" t="s">
        <v>3032</v>
      </c>
      <c r="AA3187" s="7"/>
      <c r="AB3187" s="7"/>
      <c r="AC3187" s="7" t="s">
        <v>8101</v>
      </c>
      <c r="AD3187" s="7" t="s">
        <v>8128</v>
      </c>
      <c r="AE3187" s="7" t="s">
        <v>8129</v>
      </c>
      <c r="AF3187" s="7"/>
      <c r="AG3187" s="7"/>
      <c r="AH3187" s="7" t="s">
        <v>8102</v>
      </c>
    </row>
    <row r="3188" spans="1:34" ht="9.75" customHeight="1" x14ac:dyDescent="0.2">
      <c r="A3188" s="7" t="s">
        <v>7455</v>
      </c>
      <c r="B3188" s="7" t="s">
        <v>38</v>
      </c>
      <c r="C3188" s="7"/>
      <c r="D3188" s="7" t="s">
        <v>8132</v>
      </c>
      <c r="E3188" s="8">
        <v>6</v>
      </c>
      <c r="F3188" s="7"/>
      <c r="G3188" s="7"/>
      <c r="H3188" s="9"/>
      <c r="I3188" s="10">
        <v>3692</v>
      </c>
      <c r="J3188" s="10">
        <v>14460</v>
      </c>
      <c r="K3188" s="9"/>
      <c r="L3188" s="10">
        <v>25424</v>
      </c>
      <c r="M3188" s="9"/>
      <c r="N3188" s="10">
        <v>25424</v>
      </c>
      <c r="O3188" s="9"/>
      <c r="P3188" s="10"/>
      <c r="Q3188" s="10"/>
      <c r="R3188" s="10"/>
      <c r="S3188" s="7" t="s">
        <v>54</v>
      </c>
      <c r="T3188" s="7" t="s">
        <v>8126</v>
      </c>
      <c r="U3188" s="7"/>
      <c r="V3188" s="7"/>
      <c r="W3188" s="7"/>
      <c r="X3188" s="7"/>
      <c r="Y3188" s="7" t="s">
        <v>8133</v>
      </c>
      <c r="Z3188" s="7" t="s">
        <v>3032</v>
      </c>
      <c r="AA3188" s="7"/>
      <c r="AB3188" s="7"/>
      <c r="AC3188" s="7" t="s">
        <v>8101</v>
      </c>
      <c r="AD3188" s="7" t="s">
        <v>8128</v>
      </c>
      <c r="AE3188" s="7" t="s">
        <v>8129</v>
      </c>
      <c r="AF3188" s="7"/>
      <c r="AG3188" s="7"/>
      <c r="AH3188" s="7" t="s">
        <v>8102</v>
      </c>
    </row>
    <row r="3189" spans="1:34" ht="9.75" customHeight="1" x14ac:dyDescent="0.2">
      <c r="A3189" s="7" t="s">
        <v>7455</v>
      </c>
      <c r="B3189" s="7" t="s">
        <v>38</v>
      </c>
      <c r="C3189" s="7"/>
      <c r="D3189" s="7" t="s">
        <v>8105</v>
      </c>
      <c r="E3189" s="8">
        <v>6</v>
      </c>
      <c r="F3189" s="7"/>
      <c r="G3189" s="7"/>
      <c r="H3189" s="10">
        <v>35254</v>
      </c>
      <c r="I3189" s="10">
        <v>2428</v>
      </c>
      <c r="J3189" s="10">
        <v>2474</v>
      </c>
      <c r="K3189" s="9"/>
      <c r="L3189" s="10">
        <v>880</v>
      </c>
      <c r="M3189" s="9"/>
      <c r="N3189" s="10">
        <v>880</v>
      </c>
      <c r="O3189" s="9"/>
      <c r="P3189" s="10"/>
      <c r="Q3189" s="10"/>
      <c r="R3189" s="10"/>
      <c r="S3189" s="7" t="s">
        <v>54</v>
      </c>
      <c r="T3189" s="7" t="s">
        <v>8107</v>
      </c>
      <c r="U3189" s="7" t="s">
        <v>44</v>
      </c>
      <c r="V3189" s="7" t="s">
        <v>45</v>
      </c>
      <c r="W3189" s="7" t="s">
        <v>67</v>
      </c>
      <c r="X3189" s="7" t="s">
        <v>68</v>
      </c>
      <c r="Y3189" s="7" t="s">
        <v>8134</v>
      </c>
      <c r="Z3189" s="7" t="s">
        <v>3044</v>
      </c>
      <c r="AA3189" s="7"/>
      <c r="AB3189" s="7"/>
      <c r="AC3189" s="7" t="s">
        <v>8101</v>
      </c>
      <c r="AD3189" s="7" t="s">
        <v>8105</v>
      </c>
      <c r="AE3189" s="7"/>
      <c r="AF3189" s="7"/>
      <c r="AG3189" s="7"/>
      <c r="AH3189" s="7" t="s">
        <v>8102</v>
      </c>
    </row>
    <row r="3190" spans="1:34" ht="9.75" customHeight="1" x14ac:dyDescent="0.2">
      <c r="A3190" s="7" t="s">
        <v>7455</v>
      </c>
      <c r="B3190" s="7" t="s">
        <v>38</v>
      </c>
      <c r="C3190" s="7"/>
      <c r="D3190" s="7" t="s">
        <v>8135</v>
      </c>
      <c r="E3190" s="8">
        <v>6</v>
      </c>
      <c r="F3190" s="7"/>
      <c r="G3190" s="7"/>
      <c r="H3190" s="10">
        <v>13167</v>
      </c>
      <c r="I3190" s="10">
        <v>15317</v>
      </c>
      <c r="J3190" s="10">
        <v>10687</v>
      </c>
      <c r="K3190" s="9"/>
      <c r="L3190" s="10">
        <v>1620</v>
      </c>
      <c r="M3190" s="9"/>
      <c r="N3190" s="10">
        <v>1620</v>
      </c>
      <c r="O3190" s="9"/>
      <c r="P3190" s="10"/>
      <c r="Q3190" s="10"/>
      <c r="R3190" s="10"/>
      <c r="S3190" s="7" t="s">
        <v>54</v>
      </c>
      <c r="T3190" s="7" t="s">
        <v>8107</v>
      </c>
      <c r="U3190" s="7" t="s">
        <v>44</v>
      </c>
      <c r="V3190" s="7" t="s">
        <v>281</v>
      </c>
      <c r="W3190" s="7" t="s">
        <v>282</v>
      </c>
      <c r="X3190" s="7" t="s">
        <v>333</v>
      </c>
      <c r="Y3190" s="7" t="s">
        <v>8136</v>
      </c>
      <c r="Z3190" s="7" t="s">
        <v>3044</v>
      </c>
      <c r="AA3190" s="7"/>
      <c r="AB3190" s="7"/>
      <c r="AC3190" s="7" t="s">
        <v>8101</v>
      </c>
      <c r="AD3190" s="7" t="s">
        <v>8135</v>
      </c>
      <c r="AE3190" s="7"/>
      <c r="AF3190" s="7"/>
      <c r="AG3190" s="7"/>
      <c r="AH3190" s="7" t="s">
        <v>8102</v>
      </c>
    </row>
    <row r="3191" spans="1:34" ht="9.75" customHeight="1" x14ac:dyDescent="0.2">
      <c r="A3191" s="7" t="s">
        <v>7455</v>
      </c>
      <c r="B3191" s="7" t="s">
        <v>38</v>
      </c>
      <c r="C3191" s="7"/>
      <c r="D3191" s="7" t="s">
        <v>8137</v>
      </c>
      <c r="E3191" s="8">
        <v>6</v>
      </c>
      <c r="F3191" s="7"/>
      <c r="G3191" s="7"/>
      <c r="H3191" s="10">
        <v>0</v>
      </c>
      <c r="I3191" s="9"/>
      <c r="J3191" s="9"/>
      <c r="K3191" s="9"/>
      <c r="L3191" s="10">
        <v>4764</v>
      </c>
      <c r="M3191" s="9"/>
      <c r="N3191" s="10">
        <v>4764</v>
      </c>
      <c r="O3191" s="9"/>
      <c r="P3191" s="10"/>
      <c r="Q3191" s="10"/>
      <c r="R3191" s="10"/>
      <c r="S3191" s="7" t="s">
        <v>54</v>
      </c>
      <c r="T3191" s="7" t="s">
        <v>8107</v>
      </c>
      <c r="U3191" s="7"/>
      <c r="V3191" s="7"/>
      <c r="W3191" s="7"/>
      <c r="X3191" s="7"/>
      <c r="Y3191" s="7" t="s">
        <v>8138</v>
      </c>
      <c r="Z3191" s="7" t="s">
        <v>3054</v>
      </c>
      <c r="AA3191" s="7"/>
      <c r="AB3191" s="7"/>
      <c r="AC3191" s="7" t="s">
        <v>8101</v>
      </c>
      <c r="AD3191" s="7" t="s">
        <v>8139</v>
      </c>
      <c r="AE3191" s="7"/>
      <c r="AF3191" s="7"/>
      <c r="AG3191" s="7"/>
      <c r="AH3191" s="7" t="s">
        <v>8102</v>
      </c>
    </row>
    <row r="3192" spans="1:34" ht="9.75" customHeight="1" x14ac:dyDescent="0.2">
      <c r="A3192" s="7" t="s">
        <v>7455</v>
      </c>
      <c r="B3192" s="7" t="s">
        <v>38</v>
      </c>
      <c r="C3192" s="7" t="s">
        <v>8140</v>
      </c>
      <c r="D3192" s="7" t="s">
        <v>8141</v>
      </c>
      <c r="E3192" s="8">
        <v>6</v>
      </c>
      <c r="F3192" s="7"/>
      <c r="G3192" s="7"/>
      <c r="H3192" s="10">
        <v>551504</v>
      </c>
      <c r="I3192" s="10">
        <v>134366</v>
      </c>
      <c r="J3192" s="10">
        <v>83905</v>
      </c>
      <c r="K3192" s="9"/>
      <c r="L3192" s="10">
        <v>105860</v>
      </c>
      <c r="M3192" s="9"/>
      <c r="N3192" s="10">
        <v>105860</v>
      </c>
      <c r="O3192" s="9"/>
      <c r="P3192" s="10"/>
      <c r="Q3192" s="10"/>
      <c r="R3192" s="10"/>
      <c r="S3192" s="7" t="s">
        <v>54</v>
      </c>
      <c r="T3192" s="7" t="s">
        <v>8107</v>
      </c>
      <c r="U3192" s="7"/>
      <c r="V3192" s="7"/>
      <c r="W3192" s="7"/>
      <c r="X3192" s="7"/>
      <c r="Y3192" s="7" t="s">
        <v>8142</v>
      </c>
      <c r="Z3192" s="7" t="s">
        <v>3066</v>
      </c>
      <c r="AA3192" s="7"/>
      <c r="AB3192" s="7"/>
      <c r="AC3192" s="7" t="s">
        <v>8101</v>
      </c>
      <c r="AD3192" s="7" t="s">
        <v>8143</v>
      </c>
      <c r="AE3192" s="7" t="s">
        <v>8140</v>
      </c>
      <c r="AF3192" s="7"/>
      <c r="AG3192" s="7"/>
      <c r="AH3192" s="7" t="s">
        <v>8102</v>
      </c>
    </row>
    <row r="3193" spans="1:34" ht="9.75" customHeight="1" x14ac:dyDescent="0.2">
      <c r="A3193" s="7" t="s">
        <v>7455</v>
      </c>
      <c r="B3193" s="7" t="s">
        <v>38</v>
      </c>
      <c r="C3193" s="7"/>
      <c r="D3193" s="7" t="s">
        <v>8144</v>
      </c>
      <c r="E3193" s="8">
        <v>6</v>
      </c>
      <c r="F3193" s="7"/>
      <c r="G3193" s="7"/>
      <c r="H3193" s="10">
        <v>148855</v>
      </c>
      <c r="I3193" s="10">
        <v>20777</v>
      </c>
      <c r="J3193" s="10">
        <v>15637</v>
      </c>
      <c r="K3193" s="9"/>
      <c r="L3193" s="10">
        <v>15203</v>
      </c>
      <c r="M3193" s="9"/>
      <c r="N3193" s="10">
        <v>15203</v>
      </c>
      <c r="O3193" s="9"/>
      <c r="P3193" s="10"/>
      <c r="Q3193" s="10"/>
      <c r="R3193" s="10"/>
      <c r="S3193" s="7" t="s">
        <v>54</v>
      </c>
      <c r="T3193" s="7" t="s">
        <v>8145</v>
      </c>
      <c r="U3193" s="7"/>
      <c r="V3193" s="7"/>
      <c r="W3193" s="7"/>
      <c r="X3193" s="7"/>
      <c r="Y3193" s="7" t="s">
        <v>8146</v>
      </c>
      <c r="Z3193" s="7" t="s">
        <v>8147</v>
      </c>
      <c r="AA3193" s="7"/>
      <c r="AB3193" s="7"/>
      <c r="AC3193" s="7" t="s">
        <v>8101</v>
      </c>
      <c r="AD3193" s="7"/>
      <c r="AE3193" s="7"/>
      <c r="AF3193" s="7"/>
      <c r="AG3193" s="7"/>
      <c r="AH3193" s="7" t="s">
        <v>8102</v>
      </c>
    </row>
    <row r="3194" spans="1:34" ht="9.75" customHeight="1" x14ac:dyDescent="0.2">
      <c r="A3194" s="7" t="s">
        <v>7455</v>
      </c>
      <c r="B3194" s="7" t="s">
        <v>38</v>
      </c>
      <c r="C3194" s="7"/>
      <c r="D3194" s="7" t="s">
        <v>8148</v>
      </c>
      <c r="E3194" s="8">
        <v>6</v>
      </c>
      <c r="F3194" s="7"/>
      <c r="G3194" s="7"/>
      <c r="H3194" s="10">
        <v>34738</v>
      </c>
      <c r="I3194" s="10">
        <v>700</v>
      </c>
      <c r="J3194" s="10">
        <v>700</v>
      </c>
      <c r="K3194" s="9"/>
      <c r="L3194" s="10">
        <v>700</v>
      </c>
      <c r="M3194" s="9"/>
      <c r="N3194" s="10">
        <v>700</v>
      </c>
      <c r="O3194" s="9"/>
      <c r="P3194" s="10"/>
      <c r="Q3194" s="10"/>
      <c r="R3194" s="10"/>
      <c r="S3194" s="7" t="s">
        <v>54</v>
      </c>
      <c r="T3194" s="7" t="s">
        <v>8145</v>
      </c>
      <c r="U3194" s="7" t="s">
        <v>44</v>
      </c>
      <c r="V3194" s="7" t="s">
        <v>45</v>
      </c>
      <c r="W3194" s="7" t="s">
        <v>130</v>
      </c>
      <c r="X3194" s="7"/>
      <c r="Y3194" s="7" t="s">
        <v>8149</v>
      </c>
      <c r="Z3194" s="7" t="s">
        <v>8147</v>
      </c>
      <c r="AA3194" s="7"/>
      <c r="AB3194" s="7"/>
      <c r="AC3194" s="7" t="s">
        <v>8101</v>
      </c>
      <c r="AD3194" s="7"/>
      <c r="AE3194" s="7"/>
      <c r="AF3194" s="7"/>
      <c r="AG3194" s="7"/>
      <c r="AH3194" s="7" t="s">
        <v>8102</v>
      </c>
    </row>
    <row r="3195" spans="1:34" ht="9.75" customHeight="1" x14ac:dyDescent="0.2">
      <c r="A3195" s="7" t="s">
        <v>7455</v>
      </c>
      <c r="B3195" s="7" t="s">
        <v>38</v>
      </c>
      <c r="C3195" s="7"/>
      <c r="D3195" s="7" t="s">
        <v>8150</v>
      </c>
      <c r="E3195" s="8">
        <v>6</v>
      </c>
      <c r="F3195" s="7"/>
      <c r="G3195" s="7"/>
      <c r="H3195" s="10">
        <v>146460</v>
      </c>
      <c r="I3195" s="10">
        <v>14979</v>
      </c>
      <c r="J3195" s="10">
        <v>20000</v>
      </c>
      <c r="K3195" s="9"/>
      <c r="L3195" s="10">
        <v>19410</v>
      </c>
      <c r="M3195" s="9"/>
      <c r="N3195" s="10">
        <v>19410</v>
      </c>
      <c r="O3195" s="9"/>
      <c r="P3195" s="10"/>
      <c r="Q3195" s="10"/>
      <c r="R3195" s="10"/>
      <c r="S3195" s="7" t="s">
        <v>54</v>
      </c>
      <c r="T3195" s="7" t="s">
        <v>8145</v>
      </c>
      <c r="U3195" s="7" t="s">
        <v>44</v>
      </c>
      <c r="V3195" s="7" t="s">
        <v>45</v>
      </c>
      <c r="W3195" s="7" t="s">
        <v>130</v>
      </c>
      <c r="X3195" s="7"/>
      <c r="Y3195" s="7" t="s">
        <v>8151</v>
      </c>
      <c r="Z3195" s="7" t="s">
        <v>8147</v>
      </c>
      <c r="AA3195" s="7"/>
      <c r="AB3195" s="7"/>
      <c r="AC3195" s="7" t="s">
        <v>8101</v>
      </c>
      <c r="AD3195" s="7"/>
      <c r="AE3195" s="7"/>
      <c r="AF3195" s="7"/>
      <c r="AG3195" s="7"/>
      <c r="AH3195" s="7" t="s">
        <v>8102</v>
      </c>
    </row>
    <row r="3196" spans="1:34" ht="9.75" customHeight="1" x14ac:dyDescent="0.2">
      <c r="A3196" s="7" t="s">
        <v>7455</v>
      </c>
      <c r="B3196" s="7" t="s">
        <v>38</v>
      </c>
      <c r="C3196" s="7"/>
      <c r="D3196" s="7" t="s">
        <v>8152</v>
      </c>
      <c r="E3196" s="8">
        <v>6</v>
      </c>
      <c r="F3196" s="7"/>
      <c r="G3196" s="7"/>
      <c r="H3196" s="10">
        <v>45893</v>
      </c>
      <c r="I3196" s="10">
        <v>7775</v>
      </c>
      <c r="J3196" s="10">
        <v>1500</v>
      </c>
      <c r="K3196" s="9"/>
      <c r="L3196" s="10">
        <v>850</v>
      </c>
      <c r="M3196" s="9"/>
      <c r="N3196" s="10">
        <v>850</v>
      </c>
      <c r="O3196" s="9"/>
      <c r="P3196" s="10"/>
      <c r="Q3196" s="10"/>
      <c r="R3196" s="10"/>
      <c r="S3196" s="7" t="s">
        <v>54</v>
      </c>
      <c r="T3196" s="7" t="s">
        <v>8145</v>
      </c>
      <c r="U3196" s="7"/>
      <c r="V3196" s="7"/>
      <c r="W3196" s="7"/>
      <c r="X3196" s="7"/>
      <c r="Y3196" s="7" t="s">
        <v>8153</v>
      </c>
      <c r="Z3196" s="7" t="s">
        <v>8147</v>
      </c>
      <c r="AA3196" s="7"/>
      <c r="AB3196" s="7"/>
      <c r="AC3196" s="7" t="s">
        <v>8101</v>
      </c>
      <c r="AD3196" s="7"/>
      <c r="AE3196" s="7"/>
      <c r="AF3196" s="7"/>
      <c r="AG3196" s="7"/>
      <c r="AH3196" s="7" t="s">
        <v>8102</v>
      </c>
    </row>
    <row r="3197" spans="1:34" ht="9.75" customHeight="1" x14ac:dyDescent="0.2">
      <c r="A3197" s="7" t="s">
        <v>7455</v>
      </c>
      <c r="B3197" s="7" t="s">
        <v>38</v>
      </c>
      <c r="C3197" s="7"/>
      <c r="D3197" s="7" t="s">
        <v>8154</v>
      </c>
      <c r="E3197" s="8">
        <v>6</v>
      </c>
      <c r="F3197" s="7"/>
      <c r="G3197" s="7"/>
      <c r="H3197" s="9"/>
      <c r="I3197" s="10">
        <v>15950</v>
      </c>
      <c r="J3197" s="10">
        <v>15760</v>
      </c>
      <c r="K3197" s="9"/>
      <c r="L3197" s="10">
        <v>6075</v>
      </c>
      <c r="M3197" s="9"/>
      <c r="N3197" s="10">
        <v>6075</v>
      </c>
      <c r="O3197" s="9"/>
      <c r="P3197" s="10"/>
      <c r="Q3197" s="10"/>
      <c r="R3197" s="10"/>
      <c r="S3197" s="7" t="s">
        <v>54</v>
      </c>
      <c r="T3197" s="7" t="s">
        <v>8145</v>
      </c>
      <c r="U3197" s="7"/>
      <c r="V3197" s="7"/>
      <c r="W3197" s="7"/>
      <c r="X3197" s="7"/>
      <c r="Y3197" s="7" t="s">
        <v>8155</v>
      </c>
      <c r="Z3197" s="7" t="s">
        <v>8147</v>
      </c>
      <c r="AA3197" s="7"/>
      <c r="AB3197" s="7"/>
      <c r="AC3197" s="7" t="s">
        <v>8101</v>
      </c>
      <c r="AD3197" s="7"/>
      <c r="AE3197" s="7"/>
      <c r="AF3197" s="7"/>
      <c r="AG3197" s="7"/>
      <c r="AH3197" s="7" t="s">
        <v>8102</v>
      </c>
    </row>
    <row r="3198" spans="1:34" ht="9.75" customHeight="1" x14ac:dyDescent="0.2">
      <c r="A3198" s="7" t="s">
        <v>7455</v>
      </c>
      <c r="B3198" s="7" t="s">
        <v>38</v>
      </c>
      <c r="C3198" s="7"/>
      <c r="D3198" s="7" t="s">
        <v>8156</v>
      </c>
      <c r="E3198" s="8">
        <v>4</v>
      </c>
      <c r="F3198" s="7"/>
      <c r="G3198" s="7"/>
      <c r="H3198" s="10">
        <v>153411</v>
      </c>
      <c r="I3198" s="10">
        <v>70088</v>
      </c>
      <c r="J3198" s="10">
        <v>26755</v>
      </c>
      <c r="K3198" s="9"/>
      <c r="L3198" s="10">
        <v>60380</v>
      </c>
      <c r="M3198" s="9"/>
      <c r="N3198" s="10">
        <v>60380</v>
      </c>
      <c r="O3198" s="9"/>
      <c r="P3198" s="10"/>
      <c r="Q3198" s="10"/>
      <c r="R3198" s="10"/>
      <c r="S3198" s="7" t="s">
        <v>54</v>
      </c>
      <c r="T3198" s="7" t="s">
        <v>8145</v>
      </c>
      <c r="U3198" s="7"/>
      <c r="V3198" s="7"/>
      <c r="W3198" s="7"/>
      <c r="X3198" s="7"/>
      <c r="Y3198" s="7" t="s">
        <v>8157</v>
      </c>
      <c r="Z3198" s="7" t="s">
        <v>3080</v>
      </c>
      <c r="AA3198" s="7"/>
      <c r="AB3198" s="7"/>
      <c r="AC3198" s="7" t="s">
        <v>8101</v>
      </c>
      <c r="AD3198" s="7"/>
      <c r="AE3198" s="7"/>
      <c r="AF3198" s="7"/>
      <c r="AG3198" s="7"/>
      <c r="AH3198" s="7" t="s">
        <v>8102</v>
      </c>
    </row>
    <row r="3199" spans="1:34" ht="9.75" customHeight="1" x14ac:dyDescent="0.2">
      <c r="A3199" s="7" t="s">
        <v>7455</v>
      </c>
      <c r="B3199" s="7" t="s">
        <v>38</v>
      </c>
      <c r="C3199" s="7"/>
      <c r="D3199" s="7" t="s">
        <v>8158</v>
      </c>
      <c r="E3199" s="8">
        <v>6</v>
      </c>
      <c r="F3199" s="7"/>
      <c r="G3199" s="7"/>
      <c r="H3199" s="10">
        <v>11407</v>
      </c>
      <c r="I3199" s="10">
        <v>1670</v>
      </c>
      <c r="J3199" s="10">
        <v>1660</v>
      </c>
      <c r="K3199" s="9"/>
      <c r="L3199" s="10">
        <v>1670</v>
      </c>
      <c r="M3199" s="9"/>
      <c r="N3199" s="10">
        <v>1670</v>
      </c>
      <c r="O3199" s="9"/>
      <c r="P3199" s="10"/>
      <c r="Q3199" s="10"/>
      <c r="R3199" s="10"/>
      <c r="S3199" s="7" t="s">
        <v>54</v>
      </c>
      <c r="T3199" s="7" t="s">
        <v>8145</v>
      </c>
      <c r="U3199" s="7"/>
      <c r="V3199" s="7"/>
      <c r="W3199" s="7"/>
      <c r="X3199" s="7"/>
      <c r="Y3199" s="7" t="s">
        <v>8159</v>
      </c>
      <c r="Z3199" s="7" t="s">
        <v>3080</v>
      </c>
      <c r="AA3199" s="7"/>
      <c r="AB3199" s="7"/>
      <c r="AC3199" s="7" t="s">
        <v>8101</v>
      </c>
      <c r="AD3199" s="7"/>
      <c r="AE3199" s="7"/>
      <c r="AF3199" s="7"/>
      <c r="AG3199" s="7"/>
      <c r="AH3199" s="7" t="s">
        <v>8102</v>
      </c>
    </row>
    <row r="3200" spans="1:34" ht="9.75" customHeight="1" x14ac:dyDescent="0.2">
      <c r="A3200" s="7" t="s">
        <v>7455</v>
      </c>
      <c r="B3200" s="7" t="s">
        <v>38</v>
      </c>
      <c r="C3200" s="7"/>
      <c r="D3200" s="7" t="s">
        <v>8160</v>
      </c>
      <c r="E3200" s="8">
        <v>6</v>
      </c>
      <c r="F3200" s="7"/>
      <c r="G3200" s="7"/>
      <c r="H3200" s="10">
        <v>5350</v>
      </c>
      <c r="I3200" s="10">
        <v>1600</v>
      </c>
      <c r="J3200" s="10">
        <v>1050</v>
      </c>
      <c r="K3200" s="9"/>
      <c r="L3200" s="10">
        <v>1300</v>
      </c>
      <c r="M3200" s="9"/>
      <c r="N3200" s="10">
        <v>1300</v>
      </c>
      <c r="O3200" s="9"/>
      <c r="P3200" s="10"/>
      <c r="Q3200" s="10"/>
      <c r="R3200" s="10"/>
      <c r="S3200" s="7" t="s">
        <v>54</v>
      </c>
      <c r="T3200" s="7" t="s">
        <v>8145</v>
      </c>
      <c r="U3200" s="7"/>
      <c r="V3200" s="7"/>
      <c r="W3200" s="7"/>
      <c r="X3200" s="7"/>
      <c r="Y3200" s="7" t="s">
        <v>8161</v>
      </c>
      <c r="Z3200" s="7" t="s">
        <v>3080</v>
      </c>
      <c r="AA3200" s="7"/>
      <c r="AB3200" s="7"/>
      <c r="AC3200" s="7" t="s">
        <v>8101</v>
      </c>
      <c r="AD3200" s="7"/>
      <c r="AE3200" s="7"/>
      <c r="AF3200" s="7"/>
      <c r="AG3200" s="7"/>
      <c r="AH3200" s="7" t="s">
        <v>8102</v>
      </c>
    </row>
    <row r="3201" spans="1:37" ht="9.75" customHeight="1" x14ac:dyDescent="0.2">
      <c r="A3201" s="7" t="s">
        <v>7455</v>
      </c>
      <c r="B3201" s="7" t="s">
        <v>38</v>
      </c>
      <c r="C3201" s="7"/>
      <c r="D3201" s="7" t="s">
        <v>8162</v>
      </c>
      <c r="E3201" s="8">
        <v>4</v>
      </c>
      <c r="F3201" s="7"/>
      <c r="G3201" s="7" t="s">
        <v>8163</v>
      </c>
      <c r="H3201" s="10">
        <v>99059</v>
      </c>
      <c r="I3201" s="10">
        <v>13000</v>
      </c>
      <c r="J3201" s="10">
        <v>14400</v>
      </c>
      <c r="K3201" s="9"/>
      <c r="L3201" s="10">
        <v>11230</v>
      </c>
      <c r="M3201" s="9"/>
      <c r="N3201" s="10">
        <v>11230</v>
      </c>
      <c r="O3201" s="9"/>
      <c r="P3201" s="10"/>
      <c r="Q3201" s="10"/>
      <c r="R3201" s="10"/>
      <c r="S3201" s="7" t="s">
        <v>54</v>
      </c>
      <c r="T3201" s="7" t="s">
        <v>8107</v>
      </c>
      <c r="U3201" s="7" t="s">
        <v>44</v>
      </c>
      <c r="V3201" s="7" t="s">
        <v>45</v>
      </c>
      <c r="W3201" s="7" t="s">
        <v>130</v>
      </c>
      <c r="X3201" s="7"/>
      <c r="Y3201" s="7" t="s">
        <v>8164</v>
      </c>
      <c r="Z3201" s="7" t="s">
        <v>3106</v>
      </c>
      <c r="AA3201" s="7"/>
      <c r="AB3201" s="7"/>
      <c r="AC3201" s="7" t="s">
        <v>8101</v>
      </c>
      <c r="AD3201" s="7" t="s">
        <v>8128</v>
      </c>
      <c r="AE3201" s="7" t="s">
        <v>8129</v>
      </c>
      <c r="AF3201" s="7"/>
      <c r="AG3201" s="7"/>
      <c r="AH3201" s="7" t="s">
        <v>8102</v>
      </c>
    </row>
    <row r="3202" spans="1:37" ht="9.75" customHeight="1" x14ac:dyDescent="0.2">
      <c r="A3202" s="7" t="s">
        <v>7455</v>
      </c>
      <c r="B3202" s="7" t="s">
        <v>38</v>
      </c>
      <c r="C3202" s="7"/>
      <c r="D3202" s="7" t="s">
        <v>8165</v>
      </c>
      <c r="E3202" s="8">
        <v>4</v>
      </c>
      <c r="F3202" s="7"/>
      <c r="G3202" s="7"/>
      <c r="H3202" s="10">
        <v>66094</v>
      </c>
      <c r="I3202" s="10">
        <v>9000</v>
      </c>
      <c r="J3202" s="10">
        <v>9900</v>
      </c>
      <c r="K3202" s="9"/>
      <c r="L3202" s="10">
        <v>5950</v>
      </c>
      <c r="M3202" s="9"/>
      <c r="N3202" s="10">
        <v>5950</v>
      </c>
      <c r="O3202" s="9"/>
      <c r="P3202" s="10"/>
      <c r="Q3202" s="10"/>
      <c r="R3202" s="10"/>
      <c r="S3202" s="7" t="s">
        <v>54</v>
      </c>
      <c r="T3202" s="7" t="s">
        <v>8166</v>
      </c>
      <c r="U3202" s="7"/>
      <c r="V3202" s="7"/>
      <c r="W3202" s="7"/>
      <c r="X3202" s="7"/>
      <c r="Y3202" s="7" t="s">
        <v>8167</v>
      </c>
      <c r="Z3202" s="7" t="s">
        <v>3118</v>
      </c>
      <c r="AA3202" s="7"/>
      <c r="AB3202" s="7"/>
      <c r="AC3202" s="7" t="s">
        <v>8101</v>
      </c>
      <c r="AD3202" s="7"/>
      <c r="AE3202" s="7" t="s">
        <v>8168</v>
      </c>
      <c r="AF3202" s="7"/>
      <c r="AG3202" s="7"/>
      <c r="AH3202" s="7" t="s">
        <v>8102</v>
      </c>
    </row>
    <row r="3203" spans="1:37" ht="9.75" customHeight="1" x14ac:dyDescent="0.2">
      <c r="A3203" s="7" t="s">
        <v>7455</v>
      </c>
      <c r="B3203" s="7" t="s">
        <v>38</v>
      </c>
      <c r="C3203" s="7"/>
      <c r="D3203" s="7" t="s">
        <v>8169</v>
      </c>
      <c r="E3203" s="8">
        <v>4</v>
      </c>
      <c r="F3203" s="7"/>
      <c r="G3203" s="7"/>
      <c r="H3203" s="10">
        <v>32965</v>
      </c>
      <c r="I3203" s="10">
        <v>4000</v>
      </c>
      <c r="J3203" s="10">
        <v>4500</v>
      </c>
      <c r="K3203" s="9"/>
      <c r="L3203" s="10">
        <v>5280</v>
      </c>
      <c r="M3203" s="9"/>
      <c r="N3203" s="10">
        <v>5280</v>
      </c>
      <c r="O3203" s="9"/>
      <c r="P3203" s="10"/>
      <c r="Q3203" s="10"/>
      <c r="R3203" s="10"/>
      <c r="S3203" s="7" t="s">
        <v>54</v>
      </c>
      <c r="T3203" s="7" t="s">
        <v>8166</v>
      </c>
      <c r="U3203" s="7"/>
      <c r="V3203" s="7"/>
      <c r="W3203" s="7"/>
      <c r="X3203" s="7"/>
      <c r="Y3203" s="7" t="s">
        <v>8170</v>
      </c>
      <c r="Z3203" s="7" t="s">
        <v>3118</v>
      </c>
      <c r="AA3203" s="7"/>
      <c r="AB3203" s="7"/>
      <c r="AC3203" s="7" t="s">
        <v>8101</v>
      </c>
      <c r="AD3203" s="7"/>
      <c r="AE3203" s="7" t="s">
        <v>8171</v>
      </c>
      <c r="AF3203" s="7"/>
      <c r="AG3203" s="7"/>
      <c r="AH3203" s="7" t="s">
        <v>8102</v>
      </c>
    </row>
    <row r="3204" spans="1:37" ht="9.75" customHeight="1" x14ac:dyDescent="0.2">
      <c r="A3204" s="7" t="s">
        <v>7455</v>
      </c>
      <c r="B3204" s="7" t="s">
        <v>38</v>
      </c>
      <c r="C3204" s="7"/>
      <c r="D3204" s="7" t="s">
        <v>8172</v>
      </c>
      <c r="E3204" s="8">
        <v>4</v>
      </c>
      <c r="F3204" s="7"/>
      <c r="G3204" s="7" t="s">
        <v>8173</v>
      </c>
      <c r="H3204" s="10">
        <v>72272</v>
      </c>
      <c r="I3204" s="10">
        <v>15178</v>
      </c>
      <c r="J3204" s="10">
        <v>19215</v>
      </c>
      <c r="K3204" s="9"/>
      <c r="L3204" s="10">
        <v>16095</v>
      </c>
      <c r="M3204" s="9"/>
      <c r="N3204" s="10">
        <v>16095</v>
      </c>
      <c r="O3204" s="9"/>
      <c r="P3204" s="10"/>
      <c r="Q3204" s="10"/>
      <c r="R3204" s="10"/>
      <c r="S3204" s="7" t="s">
        <v>54</v>
      </c>
      <c r="T3204" s="7" t="s">
        <v>8107</v>
      </c>
      <c r="U3204" s="7" t="s">
        <v>44</v>
      </c>
      <c r="V3204" s="7" t="s">
        <v>45</v>
      </c>
      <c r="W3204" s="7" t="s">
        <v>130</v>
      </c>
      <c r="X3204" s="7"/>
      <c r="Y3204" s="7" t="s">
        <v>8174</v>
      </c>
      <c r="Z3204" s="7" t="s">
        <v>3139</v>
      </c>
      <c r="AA3204" s="7"/>
      <c r="AB3204" s="7"/>
      <c r="AC3204" s="7" t="s">
        <v>8101</v>
      </c>
      <c r="AD3204" s="7" t="s">
        <v>8128</v>
      </c>
      <c r="AE3204" s="7" t="s">
        <v>8129</v>
      </c>
      <c r="AF3204" s="7"/>
      <c r="AG3204" s="7"/>
      <c r="AH3204" s="7" t="s">
        <v>8102</v>
      </c>
    </row>
    <row r="3205" spans="1:37" ht="9.75" customHeight="1" x14ac:dyDescent="0.2">
      <c r="A3205" s="7" t="s">
        <v>7455</v>
      </c>
      <c r="B3205" s="7" t="s">
        <v>38</v>
      </c>
      <c r="C3205" s="7"/>
      <c r="D3205" s="7" t="s">
        <v>8175</v>
      </c>
      <c r="E3205" s="8">
        <v>4</v>
      </c>
      <c r="F3205" s="7"/>
      <c r="G3205" s="7"/>
      <c r="H3205" s="10">
        <v>26775</v>
      </c>
      <c r="I3205" s="10">
        <v>6651</v>
      </c>
      <c r="J3205" s="10">
        <v>8621</v>
      </c>
      <c r="K3205" s="9"/>
      <c r="L3205" s="10">
        <v>7331</v>
      </c>
      <c r="M3205" s="9"/>
      <c r="N3205" s="10">
        <v>7331</v>
      </c>
      <c r="O3205" s="9"/>
      <c r="P3205" s="10"/>
      <c r="Q3205" s="10"/>
      <c r="R3205" s="10"/>
      <c r="S3205" s="7" t="s">
        <v>54</v>
      </c>
      <c r="T3205" s="7" t="s">
        <v>8176</v>
      </c>
      <c r="U3205" s="7"/>
      <c r="V3205" s="7"/>
      <c r="W3205" s="7"/>
      <c r="X3205" s="7"/>
      <c r="Y3205" s="7" t="s">
        <v>8177</v>
      </c>
      <c r="Z3205" s="7" t="s">
        <v>3151</v>
      </c>
      <c r="AA3205" s="7"/>
      <c r="AB3205" s="7"/>
      <c r="AC3205" s="7" t="s">
        <v>8101</v>
      </c>
      <c r="AD3205" s="7"/>
      <c r="AE3205" s="7" t="s">
        <v>8178</v>
      </c>
      <c r="AF3205" s="7"/>
      <c r="AG3205" s="7"/>
      <c r="AH3205" s="7" t="s">
        <v>8102</v>
      </c>
    </row>
    <row r="3206" spans="1:37" ht="9.75" customHeight="1" x14ac:dyDescent="0.2">
      <c r="A3206" s="7" t="s">
        <v>7455</v>
      </c>
      <c r="B3206" s="7" t="s">
        <v>38</v>
      </c>
      <c r="C3206" s="7"/>
      <c r="D3206" s="7" t="s">
        <v>8179</v>
      </c>
      <c r="E3206" s="8">
        <v>4</v>
      </c>
      <c r="F3206" s="7"/>
      <c r="G3206" s="7"/>
      <c r="H3206" s="10">
        <v>45497</v>
      </c>
      <c r="I3206" s="10">
        <v>8527</v>
      </c>
      <c r="J3206" s="10">
        <v>10594</v>
      </c>
      <c r="K3206" s="9"/>
      <c r="L3206" s="10">
        <v>8764</v>
      </c>
      <c r="M3206" s="9"/>
      <c r="N3206" s="10">
        <v>8764</v>
      </c>
      <c r="O3206" s="9"/>
      <c r="P3206" s="10"/>
      <c r="Q3206" s="10"/>
      <c r="R3206" s="10"/>
      <c r="S3206" s="7" t="s">
        <v>54</v>
      </c>
      <c r="T3206" s="7" t="s">
        <v>8176</v>
      </c>
      <c r="U3206" s="7"/>
      <c r="V3206" s="7"/>
      <c r="W3206" s="7"/>
      <c r="X3206" s="7"/>
      <c r="Y3206" s="7" t="s">
        <v>8180</v>
      </c>
      <c r="Z3206" s="7" t="s">
        <v>3151</v>
      </c>
      <c r="AA3206" s="7"/>
      <c r="AB3206" s="7"/>
      <c r="AC3206" s="7" t="s">
        <v>8101</v>
      </c>
      <c r="AD3206" s="7"/>
      <c r="AE3206" s="7" t="s">
        <v>8181</v>
      </c>
      <c r="AF3206" s="7"/>
      <c r="AG3206" s="7"/>
      <c r="AH3206" s="7" t="s">
        <v>8102</v>
      </c>
    </row>
    <row r="3207" spans="1:37" ht="9.75" customHeight="1" x14ac:dyDescent="0.2">
      <c r="A3207" s="7" t="s">
        <v>8182</v>
      </c>
      <c r="B3207" s="7" t="s">
        <v>38</v>
      </c>
      <c r="C3207" s="7" t="s">
        <v>8183</v>
      </c>
      <c r="D3207" s="7" t="s">
        <v>8184</v>
      </c>
      <c r="E3207" s="7"/>
      <c r="F3207" s="7"/>
      <c r="G3207" s="7"/>
      <c r="H3207" s="9"/>
      <c r="I3207" s="10">
        <v>906795</v>
      </c>
      <c r="J3207" s="10">
        <v>889155</v>
      </c>
      <c r="K3207" s="9"/>
      <c r="L3207" s="10">
        <v>814932</v>
      </c>
      <c r="M3207" s="10">
        <v>80000</v>
      </c>
      <c r="N3207" s="10">
        <v>894932</v>
      </c>
      <c r="O3207" s="9"/>
      <c r="P3207" s="10"/>
      <c r="Q3207" s="10"/>
      <c r="R3207" s="10"/>
      <c r="S3207" s="7" t="s">
        <v>407</v>
      </c>
      <c r="T3207" s="7"/>
      <c r="U3207" s="7"/>
      <c r="V3207" s="7"/>
      <c r="W3207" s="7"/>
      <c r="X3207" s="7"/>
      <c r="Y3207" s="7" t="s">
        <v>8185</v>
      </c>
      <c r="Z3207" s="7" t="s">
        <v>180</v>
      </c>
      <c r="AA3207" s="7"/>
      <c r="AB3207" s="7"/>
      <c r="AC3207" s="7"/>
      <c r="AD3207" s="7"/>
      <c r="AE3207" s="7"/>
      <c r="AF3207" s="7"/>
      <c r="AG3207" s="7"/>
      <c r="AH3207" s="7"/>
    </row>
    <row r="3208" spans="1:37" ht="9.75" customHeight="1" x14ac:dyDescent="0.2">
      <c r="A3208" s="7" t="s">
        <v>8182</v>
      </c>
      <c r="B3208" s="7" t="s">
        <v>38</v>
      </c>
      <c r="C3208" s="7" t="s">
        <v>1502</v>
      </c>
      <c r="D3208" s="7" t="s">
        <v>7278</v>
      </c>
      <c r="E3208" s="8">
        <v>4</v>
      </c>
      <c r="F3208" s="7"/>
      <c r="G3208" s="7"/>
      <c r="H3208" s="9"/>
      <c r="I3208" s="10">
        <v>12376</v>
      </c>
      <c r="J3208" s="10">
        <v>2244</v>
      </c>
      <c r="K3208" s="9"/>
      <c r="L3208" s="10">
        <v>4484</v>
      </c>
      <c r="M3208" s="10">
        <v>0</v>
      </c>
      <c r="N3208" s="10">
        <v>4484</v>
      </c>
      <c r="O3208" s="9"/>
      <c r="P3208" s="10"/>
      <c r="Q3208" s="10"/>
      <c r="R3208" s="10"/>
      <c r="S3208" s="7"/>
      <c r="T3208" s="7"/>
      <c r="U3208" s="7" t="s">
        <v>44</v>
      </c>
      <c r="V3208" s="7" t="s">
        <v>45</v>
      </c>
      <c r="W3208" s="7" t="s">
        <v>67</v>
      </c>
      <c r="X3208" s="7" t="s">
        <v>68</v>
      </c>
      <c r="Y3208" s="7" t="s">
        <v>8186</v>
      </c>
      <c r="Z3208" s="7" t="s">
        <v>8187</v>
      </c>
      <c r="AA3208" s="7"/>
      <c r="AB3208" s="7"/>
      <c r="AC3208" s="7" t="s">
        <v>7281</v>
      </c>
      <c r="AD3208" s="7" t="s">
        <v>7278</v>
      </c>
      <c r="AE3208" s="7"/>
      <c r="AF3208" s="7"/>
      <c r="AG3208" s="7"/>
      <c r="AH3208" s="7" t="s">
        <v>7278</v>
      </c>
      <c r="AI3208">
        <v>23551</v>
      </c>
      <c r="AK3208">
        <v>23551</v>
      </c>
    </row>
    <row r="3209" spans="1:37" ht="9.75" customHeight="1" x14ac:dyDescent="0.2">
      <c r="A3209" s="7" t="s">
        <v>8182</v>
      </c>
      <c r="B3209" s="7" t="s">
        <v>38</v>
      </c>
      <c r="C3209" s="7" t="s">
        <v>85</v>
      </c>
      <c r="D3209" s="7" t="s">
        <v>7297</v>
      </c>
      <c r="E3209" s="8">
        <v>4</v>
      </c>
      <c r="F3209" s="7"/>
      <c r="G3209" s="7"/>
      <c r="H3209" s="9"/>
      <c r="I3209" s="10">
        <v>17472</v>
      </c>
      <c r="J3209" s="10">
        <v>14702</v>
      </c>
      <c r="K3209" s="9"/>
      <c r="L3209" s="10">
        <v>16294</v>
      </c>
      <c r="M3209" s="10">
        <v>0</v>
      </c>
      <c r="N3209" s="10">
        <v>16294</v>
      </c>
      <c r="O3209" s="9"/>
      <c r="P3209" s="10"/>
      <c r="Q3209" s="10"/>
      <c r="R3209" s="10"/>
      <c r="S3209" s="7"/>
      <c r="T3209" s="7"/>
      <c r="U3209" s="7" t="s">
        <v>44</v>
      </c>
      <c r="V3209" s="7" t="s">
        <v>45</v>
      </c>
      <c r="W3209" s="7" t="s">
        <v>67</v>
      </c>
      <c r="X3209" s="7" t="s">
        <v>68</v>
      </c>
      <c r="Y3209" s="7" t="s">
        <v>8186</v>
      </c>
      <c r="Z3209" s="7" t="s">
        <v>6562</v>
      </c>
      <c r="AA3209" s="7"/>
      <c r="AB3209" s="7"/>
      <c r="AC3209" s="7" t="s">
        <v>7300</v>
      </c>
      <c r="AD3209" s="7" t="s">
        <v>7297</v>
      </c>
      <c r="AE3209" s="7"/>
      <c r="AF3209" s="7"/>
      <c r="AG3209" s="7"/>
      <c r="AH3209" s="7" t="s">
        <v>7297</v>
      </c>
      <c r="AI3209">
        <v>36908</v>
      </c>
      <c r="AK3209">
        <v>36908</v>
      </c>
    </row>
    <row r="3210" spans="1:37" ht="9.75" customHeight="1" x14ac:dyDescent="0.2">
      <c r="A3210" s="7" t="s">
        <v>8182</v>
      </c>
      <c r="B3210" s="7" t="s">
        <v>38</v>
      </c>
      <c r="C3210" s="7" t="s">
        <v>1595</v>
      </c>
      <c r="D3210" s="7" t="s">
        <v>7412</v>
      </c>
      <c r="E3210" s="8">
        <v>4</v>
      </c>
      <c r="F3210" s="7"/>
      <c r="G3210" s="7"/>
      <c r="H3210" s="9"/>
      <c r="I3210" s="10">
        <v>143612</v>
      </c>
      <c r="J3210" s="10">
        <v>119561</v>
      </c>
      <c r="K3210" s="9"/>
      <c r="L3210" s="10">
        <v>189553</v>
      </c>
      <c r="M3210" s="10">
        <v>0</v>
      </c>
      <c r="N3210" s="10">
        <v>189553</v>
      </c>
      <c r="O3210" s="9"/>
      <c r="P3210" s="10"/>
      <c r="Q3210" s="10"/>
      <c r="R3210" s="10"/>
      <c r="S3210" s="7"/>
      <c r="T3210" s="7"/>
      <c r="U3210" s="7" t="s">
        <v>44</v>
      </c>
      <c r="V3210" s="7" t="s">
        <v>45</v>
      </c>
      <c r="W3210" s="7" t="s">
        <v>67</v>
      </c>
      <c r="X3210" s="7" t="s">
        <v>68</v>
      </c>
      <c r="Y3210" s="7" t="s">
        <v>8186</v>
      </c>
      <c r="Z3210" s="7" t="s">
        <v>6562</v>
      </c>
      <c r="AA3210" s="7"/>
      <c r="AB3210" s="7"/>
      <c r="AC3210" s="7" t="s">
        <v>7415</v>
      </c>
      <c r="AD3210" s="7" t="s">
        <v>7412</v>
      </c>
      <c r="AE3210" s="7"/>
      <c r="AF3210" s="7"/>
      <c r="AG3210" s="7"/>
      <c r="AH3210" s="7" t="s">
        <v>7412</v>
      </c>
      <c r="AI3210">
        <v>211216</v>
      </c>
      <c r="AK3210">
        <v>211216</v>
      </c>
    </row>
    <row r="3211" spans="1:37" ht="9.75" customHeight="1" x14ac:dyDescent="0.2">
      <c r="A3211" s="7" t="s">
        <v>8182</v>
      </c>
      <c r="B3211" s="7" t="s">
        <v>38</v>
      </c>
      <c r="C3211" s="7" t="s">
        <v>8188</v>
      </c>
      <c r="D3211" s="7" t="s">
        <v>8189</v>
      </c>
      <c r="E3211" s="7"/>
      <c r="F3211" s="7"/>
      <c r="G3211" s="7"/>
      <c r="H3211" s="9"/>
      <c r="I3211" s="10">
        <v>186641</v>
      </c>
      <c r="J3211" s="10">
        <v>260583</v>
      </c>
      <c r="K3211" s="9"/>
      <c r="L3211" s="10">
        <v>347308</v>
      </c>
      <c r="M3211" s="10">
        <v>0</v>
      </c>
      <c r="N3211" s="10">
        <v>347308</v>
      </c>
      <c r="O3211" s="9"/>
      <c r="P3211" s="10"/>
      <c r="Q3211" s="10"/>
      <c r="R3211" s="10"/>
      <c r="S3211" s="7" t="s">
        <v>407</v>
      </c>
      <c r="T3211" s="7"/>
      <c r="U3211" s="7"/>
      <c r="V3211" s="7"/>
      <c r="W3211" s="7"/>
      <c r="X3211" s="7"/>
      <c r="Y3211" s="7" t="s">
        <v>8190</v>
      </c>
      <c r="Z3211" s="7" t="s">
        <v>6588</v>
      </c>
      <c r="AA3211" s="7"/>
      <c r="AB3211" s="7"/>
      <c r="AC3211" s="7"/>
      <c r="AD3211" s="7"/>
      <c r="AE3211" s="7"/>
      <c r="AF3211" s="7"/>
      <c r="AG3211" s="7"/>
      <c r="AH3211" s="7"/>
    </row>
    <row r="3212" spans="1:37" ht="9.75" customHeight="1" x14ac:dyDescent="0.2">
      <c r="A3212" s="7" t="s">
        <v>8182</v>
      </c>
      <c r="B3212" s="7" t="s">
        <v>38</v>
      </c>
      <c r="C3212" s="7" t="s">
        <v>1936</v>
      </c>
      <c r="D3212" s="7" t="s">
        <v>8191</v>
      </c>
      <c r="E3212" s="8">
        <v>7</v>
      </c>
      <c r="F3212" s="7"/>
      <c r="G3212" s="7" t="s">
        <v>8192</v>
      </c>
      <c r="H3212" s="9"/>
      <c r="I3212" s="10">
        <v>4501</v>
      </c>
      <c r="J3212" s="10">
        <v>6454</v>
      </c>
      <c r="K3212" s="9"/>
      <c r="L3212" s="10">
        <v>38073</v>
      </c>
      <c r="M3212" s="10">
        <v>0</v>
      </c>
      <c r="N3212" s="10">
        <v>38073</v>
      </c>
      <c r="O3212" s="9"/>
      <c r="P3212" s="10"/>
      <c r="Q3212" s="10">
        <v>38073</v>
      </c>
      <c r="R3212" s="10">
        <v>38073</v>
      </c>
      <c r="S3212" s="7"/>
      <c r="T3212" s="7"/>
      <c r="U3212" s="7" t="s">
        <v>44</v>
      </c>
      <c r="V3212" s="7" t="s">
        <v>45</v>
      </c>
      <c r="W3212" s="7" t="s">
        <v>211</v>
      </c>
      <c r="X3212" s="7" t="s">
        <v>6226</v>
      </c>
      <c r="Y3212" s="7" t="s">
        <v>8193</v>
      </c>
      <c r="Z3212" s="7" t="s">
        <v>1523</v>
      </c>
      <c r="AA3212" s="7"/>
      <c r="AB3212" s="7"/>
      <c r="AC3212" s="7" t="s">
        <v>8194</v>
      </c>
      <c r="AD3212" s="7" t="s">
        <v>8191</v>
      </c>
      <c r="AE3212" s="7"/>
      <c r="AF3212" s="7"/>
      <c r="AG3212" s="7"/>
      <c r="AH3212" s="7" t="s">
        <v>8191</v>
      </c>
      <c r="AI3212">
        <v>53916</v>
      </c>
      <c r="AK3212">
        <v>53916</v>
      </c>
    </row>
    <row r="3213" spans="1:37" ht="9.75" customHeight="1" x14ac:dyDescent="0.2">
      <c r="A3213" s="7" t="s">
        <v>8182</v>
      </c>
      <c r="B3213" s="7" t="s">
        <v>38</v>
      </c>
      <c r="C3213" s="7" t="s">
        <v>8195</v>
      </c>
      <c r="D3213" s="7" t="s">
        <v>8196</v>
      </c>
      <c r="E3213" s="7"/>
      <c r="F3213" s="7"/>
      <c r="G3213" s="7"/>
      <c r="H3213" s="9"/>
      <c r="I3213" s="10">
        <v>698653</v>
      </c>
      <c r="J3213" s="10">
        <v>1063444</v>
      </c>
      <c r="K3213" s="9"/>
      <c r="L3213" s="10">
        <v>688659</v>
      </c>
      <c r="M3213" s="10">
        <v>0</v>
      </c>
      <c r="N3213" s="10">
        <v>688659</v>
      </c>
      <c r="O3213" s="9"/>
      <c r="P3213" s="10"/>
      <c r="Q3213" s="10"/>
      <c r="R3213" s="10"/>
      <c r="S3213" s="7" t="s">
        <v>407</v>
      </c>
      <c r="T3213" s="7"/>
      <c r="U3213" s="7"/>
      <c r="V3213" s="7"/>
      <c r="W3213" s="7"/>
      <c r="X3213" s="7"/>
      <c r="Y3213" s="7" t="s">
        <v>8197</v>
      </c>
      <c r="Z3213" s="7" t="s">
        <v>6588</v>
      </c>
      <c r="AA3213" s="7"/>
      <c r="AB3213" s="7"/>
      <c r="AC3213" s="7"/>
      <c r="AD3213" s="7"/>
      <c r="AE3213" s="7"/>
      <c r="AF3213" s="7"/>
      <c r="AG3213" s="7"/>
      <c r="AH3213" s="7"/>
    </row>
    <row r="3214" spans="1:37" ht="9.75" customHeight="1" x14ac:dyDescent="0.2">
      <c r="A3214" s="7" t="s">
        <v>8182</v>
      </c>
      <c r="B3214" s="7" t="s">
        <v>38</v>
      </c>
      <c r="C3214" s="7" t="s">
        <v>1995</v>
      </c>
      <c r="D3214" s="7" t="s">
        <v>8198</v>
      </c>
      <c r="E3214" s="8">
        <v>7</v>
      </c>
      <c r="F3214" s="7"/>
      <c r="G3214" s="7" t="s">
        <v>8199</v>
      </c>
      <c r="H3214" s="9"/>
      <c r="I3214" s="10">
        <v>33236</v>
      </c>
      <c r="J3214" s="10">
        <v>56585</v>
      </c>
      <c r="K3214" s="9"/>
      <c r="L3214" s="10">
        <v>38838</v>
      </c>
      <c r="M3214" s="10">
        <v>0</v>
      </c>
      <c r="N3214" s="10">
        <v>38838</v>
      </c>
      <c r="O3214" s="9"/>
      <c r="P3214" s="10">
        <v>40800</v>
      </c>
      <c r="Q3214" s="10">
        <v>0</v>
      </c>
      <c r="R3214" s="10">
        <v>40800</v>
      </c>
      <c r="S3214" s="7" t="s">
        <v>43</v>
      </c>
      <c r="T3214" s="7"/>
      <c r="U3214" s="7"/>
      <c r="V3214" s="7"/>
      <c r="W3214" s="7"/>
      <c r="X3214" s="7"/>
      <c r="Y3214" s="7" t="s">
        <v>8200</v>
      </c>
      <c r="Z3214" s="7" t="s">
        <v>112</v>
      </c>
      <c r="AA3214" s="7"/>
      <c r="AB3214" s="7"/>
      <c r="AC3214" s="7" t="s">
        <v>8201</v>
      </c>
      <c r="AD3214" s="7" t="s">
        <v>8198</v>
      </c>
      <c r="AE3214" s="7"/>
      <c r="AF3214" s="7"/>
      <c r="AG3214" s="7"/>
      <c r="AH3214" s="7" t="s">
        <v>8198</v>
      </c>
      <c r="AI3214">
        <v>67828</v>
      </c>
      <c r="AK3214">
        <v>67828</v>
      </c>
    </row>
    <row r="3215" spans="1:37" ht="9.75" customHeight="1" x14ac:dyDescent="0.2">
      <c r="A3215" s="7" t="s">
        <v>8182</v>
      </c>
      <c r="B3215" s="7" t="s">
        <v>38</v>
      </c>
      <c r="C3215" s="7" t="s">
        <v>8202</v>
      </c>
      <c r="D3215" s="7" t="s">
        <v>8203</v>
      </c>
      <c r="E3215" s="8">
        <v>7</v>
      </c>
      <c r="F3215" s="7"/>
      <c r="G3215" s="7"/>
      <c r="H3215" s="9"/>
      <c r="I3215" s="10">
        <v>11944</v>
      </c>
      <c r="J3215" s="10">
        <v>24890</v>
      </c>
      <c r="K3215" s="9"/>
      <c r="L3215" s="10">
        <v>33325</v>
      </c>
      <c r="M3215" s="10">
        <v>0</v>
      </c>
      <c r="N3215" s="10">
        <v>33325</v>
      </c>
      <c r="O3215" s="9"/>
      <c r="P3215" s="10"/>
      <c r="Q3215" s="10"/>
      <c r="R3215" s="10"/>
      <c r="S3215" s="7" t="s">
        <v>54</v>
      </c>
      <c r="T3215" s="7" t="s">
        <v>8204</v>
      </c>
      <c r="U3215" s="7"/>
      <c r="V3215" s="7"/>
      <c r="W3215" s="7"/>
      <c r="X3215" s="7"/>
      <c r="Y3215" s="7" t="s">
        <v>8205</v>
      </c>
      <c r="Z3215" s="7" t="s">
        <v>112</v>
      </c>
      <c r="AA3215" s="7"/>
      <c r="AB3215" s="7"/>
      <c r="AC3215" s="7"/>
      <c r="AD3215" s="7"/>
      <c r="AE3215" s="7"/>
      <c r="AF3215" s="7"/>
      <c r="AG3215" s="7"/>
      <c r="AH3215" s="7"/>
    </row>
    <row r="3216" spans="1:37" ht="9.75" customHeight="1" x14ac:dyDescent="0.2">
      <c r="A3216" s="7" t="s">
        <v>8182</v>
      </c>
      <c r="B3216" s="7" t="s">
        <v>38</v>
      </c>
      <c r="C3216" s="7" t="s">
        <v>2013</v>
      </c>
      <c r="D3216" s="7" t="s">
        <v>8206</v>
      </c>
      <c r="E3216" s="8">
        <v>4</v>
      </c>
      <c r="F3216" s="7"/>
      <c r="G3216" s="7" t="s">
        <v>8207</v>
      </c>
      <c r="H3216" s="9"/>
      <c r="I3216" s="10">
        <v>659095</v>
      </c>
      <c r="J3216" s="10">
        <v>1000996</v>
      </c>
      <c r="K3216" s="9"/>
      <c r="L3216" s="10">
        <v>643618</v>
      </c>
      <c r="M3216" s="10">
        <v>0</v>
      </c>
      <c r="N3216" s="10">
        <v>643618</v>
      </c>
      <c r="O3216" s="9"/>
      <c r="P3216" s="10"/>
      <c r="Q3216" s="10">
        <v>666618</v>
      </c>
      <c r="R3216" s="10">
        <v>666618</v>
      </c>
      <c r="S3216" s="7"/>
      <c r="T3216" s="7"/>
      <c r="U3216" s="7"/>
      <c r="V3216" s="7"/>
      <c r="W3216" s="7"/>
      <c r="X3216" s="7"/>
      <c r="Y3216" s="7" t="s">
        <v>8208</v>
      </c>
      <c r="Z3216" s="7" t="s">
        <v>2359</v>
      </c>
      <c r="AA3216" s="7"/>
      <c r="AB3216" s="7"/>
      <c r="AC3216" s="7" t="s">
        <v>8209</v>
      </c>
      <c r="AD3216" s="7" t="s">
        <v>8206</v>
      </c>
      <c r="AE3216" s="7"/>
      <c r="AF3216" s="7"/>
      <c r="AG3216" s="7"/>
      <c r="AH3216" s="7" t="s">
        <v>8206</v>
      </c>
      <c r="AI3216">
        <v>323644</v>
      </c>
      <c r="AK3216">
        <v>323644</v>
      </c>
    </row>
    <row r="3217" spans="1:37" ht="9.75" customHeight="1" x14ac:dyDescent="0.2">
      <c r="A3217" s="7" t="s">
        <v>8182</v>
      </c>
      <c r="B3217" s="7" t="s">
        <v>38</v>
      </c>
      <c r="C3217" s="7" t="s">
        <v>8210</v>
      </c>
      <c r="D3217" s="7" t="s">
        <v>8211</v>
      </c>
      <c r="E3217" s="7"/>
      <c r="F3217" s="7"/>
      <c r="G3217" s="7"/>
      <c r="H3217" s="9"/>
      <c r="I3217" s="10">
        <v>600986</v>
      </c>
      <c r="J3217" s="10">
        <v>555677</v>
      </c>
      <c r="K3217" s="9"/>
      <c r="L3217" s="10">
        <v>672347</v>
      </c>
      <c r="M3217" s="10">
        <v>232000</v>
      </c>
      <c r="N3217" s="10">
        <v>904347</v>
      </c>
      <c r="O3217" s="9"/>
      <c r="P3217" s="10"/>
      <c r="Q3217" s="10"/>
      <c r="R3217" s="10"/>
      <c r="S3217" s="7" t="s">
        <v>407</v>
      </c>
      <c r="T3217" s="7"/>
      <c r="U3217" s="7"/>
      <c r="V3217" s="7"/>
      <c r="W3217" s="7"/>
      <c r="X3217" s="7"/>
      <c r="Y3217" s="7" t="s">
        <v>8212</v>
      </c>
      <c r="Z3217" s="7" t="s">
        <v>5288</v>
      </c>
      <c r="AA3217" s="7"/>
      <c r="AB3217" s="7"/>
      <c r="AC3217" s="7"/>
      <c r="AD3217" s="7"/>
      <c r="AE3217" s="7"/>
      <c r="AF3217" s="7"/>
      <c r="AG3217" s="7"/>
      <c r="AH3217" s="7"/>
    </row>
    <row r="3218" spans="1:37" ht="9.75" customHeight="1" x14ac:dyDescent="0.2">
      <c r="A3218" s="7" t="s">
        <v>8182</v>
      </c>
      <c r="B3218" s="7" t="s">
        <v>38</v>
      </c>
      <c r="C3218" s="7" t="s">
        <v>2018</v>
      </c>
      <c r="D3218" s="7" t="s">
        <v>8213</v>
      </c>
      <c r="E3218" s="8">
        <v>6</v>
      </c>
      <c r="F3218" s="7"/>
      <c r="G3218" s="7" t="s">
        <v>8214</v>
      </c>
      <c r="H3218" s="9"/>
      <c r="I3218" s="10">
        <v>17521</v>
      </c>
      <c r="J3218" s="10">
        <v>10122</v>
      </c>
      <c r="K3218" s="9"/>
      <c r="L3218" s="10">
        <v>12256</v>
      </c>
      <c r="M3218" s="10">
        <v>0</v>
      </c>
      <c r="N3218" s="10">
        <v>12256</v>
      </c>
      <c r="O3218" s="9"/>
      <c r="P3218" s="10"/>
      <c r="Q3218" s="10">
        <v>24256</v>
      </c>
      <c r="R3218" s="10">
        <v>24256</v>
      </c>
      <c r="S3218" s="7"/>
      <c r="T3218" s="7"/>
      <c r="U3218" s="7"/>
      <c r="V3218" s="7"/>
      <c r="W3218" s="7"/>
      <c r="X3218" s="7"/>
      <c r="Y3218" s="7" t="s">
        <v>8215</v>
      </c>
      <c r="Z3218" s="7" t="s">
        <v>2980</v>
      </c>
      <c r="AA3218" s="7"/>
      <c r="AB3218" s="7"/>
      <c r="AC3218" s="7" t="s">
        <v>8216</v>
      </c>
      <c r="AD3218" s="7"/>
      <c r="AE3218" s="7"/>
      <c r="AF3218" s="7"/>
      <c r="AG3218" s="7"/>
      <c r="AH3218" s="7" t="s">
        <v>8213</v>
      </c>
      <c r="AI3218">
        <v>54862</v>
      </c>
      <c r="AK3218">
        <v>54862</v>
      </c>
    </row>
    <row r="3219" spans="1:37" ht="9.75" customHeight="1" x14ac:dyDescent="0.2">
      <c r="A3219" s="7" t="s">
        <v>8182</v>
      </c>
      <c r="B3219" s="7" t="s">
        <v>38</v>
      </c>
      <c r="C3219" s="7" t="s">
        <v>8217</v>
      </c>
      <c r="D3219" s="7" t="s">
        <v>8218</v>
      </c>
      <c r="E3219" s="7"/>
      <c r="F3219" s="7"/>
      <c r="G3219" s="7"/>
      <c r="H3219" s="9"/>
      <c r="I3219" s="10">
        <v>1215461</v>
      </c>
      <c r="J3219" s="10">
        <v>705144</v>
      </c>
      <c r="K3219" s="9"/>
      <c r="L3219" s="10">
        <v>585865</v>
      </c>
      <c r="M3219" s="10">
        <v>297765</v>
      </c>
      <c r="N3219" s="10">
        <v>883630</v>
      </c>
      <c r="O3219" s="9"/>
      <c r="P3219" s="10"/>
      <c r="Q3219" s="10"/>
      <c r="R3219" s="10"/>
      <c r="S3219" s="7" t="s">
        <v>407</v>
      </c>
      <c r="T3219" s="7"/>
      <c r="U3219" s="7"/>
      <c r="V3219" s="7"/>
      <c r="W3219" s="7"/>
      <c r="X3219" s="7"/>
      <c r="Y3219" s="7" t="s">
        <v>8219</v>
      </c>
      <c r="Z3219" s="7" t="s">
        <v>6612</v>
      </c>
      <c r="AA3219" s="7"/>
      <c r="AB3219" s="7"/>
      <c r="AC3219" s="7"/>
      <c r="AD3219" s="7"/>
      <c r="AE3219" s="7"/>
      <c r="AF3219" s="7"/>
      <c r="AG3219" s="7"/>
      <c r="AH3219" s="7"/>
    </row>
    <row r="3220" spans="1:37" ht="9.75" customHeight="1" x14ac:dyDescent="0.2">
      <c r="A3220" s="7" t="s">
        <v>8182</v>
      </c>
      <c r="B3220" s="7" t="s">
        <v>38</v>
      </c>
      <c r="C3220" s="7" t="s">
        <v>7450</v>
      </c>
      <c r="D3220" s="7" t="s">
        <v>5600</v>
      </c>
      <c r="E3220" s="8">
        <v>6</v>
      </c>
      <c r="F3220" s="7"/>
      <c r="G3220" s="7" t="s">
        <v>8220</v>
      </c>
      <c r="H3220" s="9"/>
      <c r="I3220" s="10">
        <v>736770</v>
      </c>
      <c r="J3220" s="10">
        <v>705144</v>
      </c>
      <c r="K3220" s="9"/>
      <c r="L3220" s="10">
        <v>585865</v>
      </c>
      <c r="M3220" s="10">
        <v>297765</v>
      </c>
      <c r="N3220" s="10">
        <v>883630</v>
      </c>
      <c r="O3220" s="9"/>
      <c r="P3220" s="10"/>
      <c r="Q3220" s="10"/>
      <c r="R3220" s="10"/>
      <c r="S3220" s="7" t="s">
        <v>43</v>
      </c>
      <c r="T3220" s="7"/>
      <c r="U3220" s="7"/>
      <c r="V3220" s="7"/>
      <c r="W3220" s="7"/>
      <c r="X3220" s="7"/>
      <c r="Y3220" s="7" t="s">
        <v>8221</v>
      </c>
      <c r="Z3220" s="7" t="s">
        <v>206</v>
      </c>
      <c r="AA3220" s="7"/>
      <c r="AB3220" s="7"/>
      <c r="AC3220" s="7" t="s">
        <v>7452</v>
      </c>
      <c r="AD3220" s="7"/>
      <c r="AE3220" s="7"/>
      <c r="AF3220" s="7" t="s">
        <v>113</v>
      </c>
      <c r="AG3220" s="7" t="s">
        <v>297</v>
      </c>
      <c r="AH3220" s="7" t="s">
        <v>5600</v>
      </c>
      <c r="AI3220">
        <v>765711</v>
      </c>
      <c r="AK3220">
        <v>765711</v>
      </c>
    </row>
    <row r="3221" spans="1:37" ht="9.75" customHeight="1" x14ac:dyDescent="0.2">
      <c r="A3221" s="7" t="s">
        <v>8182</v>
      </c>
      <c r="B3221" s="7" t="s">
        <v>38</v>
      </c>
      <c r="C3221" s="7" t="s">
        <v>4924</v>
      </c>
      <c r="D3221" s="7" t="s">
        <v>8222</v>
      </c>
      <c r="E3221" s="8">
        <v>6</v>
      </c>
      <c r="F3221" s="7"/>
      <c r="G3221" s="7" t="s">
        <v>8223</v>
      </c>
      <c r="H3221" s="9"/>
      <c r="I3221" s="10">
        <v>478691</v>
      </c>
      <c r="J3221" s="10">
        <v>0</v>
      </c>
      <c r="K3221" s="9"/>
      <c r="L3221" s="10">
        <v>0</v>
      </c>
      <c r="M3221" s="10">
        <v>0</v>
      </c>
      <c r="N3221" s="10">
        <v>0</v>
      </c>
      <c r="O3221" s="9"/>
      <c r="P3221" s="10"/>
      <c r="Q3221" s="10"/>
      <c r="R3221" s="10"/>
      <c r="S3221" s="7" t="s">
        <v>43</v>
      </c>
      <c r="T3221" s="7"/>
      <c r="U3221" s="7" t="s">
        <v>44</v>
      </c>
      <c r="V3221" s="7" t="s">
        <v>45</v>
      </c>
      <c r="W3221" s="7" t="s">
        <v>46</v>
      </c>
      <c r="X3221" s="7" t="s">
        <v>90</v>
      </c>
      <c r="Y3221" s="7" t="s">
        <v>8224</v>
      </c>
      <c r="Z3221" s="7" t="s">
        <v>231</v>
      </c>
      <c r="AA3221" s="7"/>
      <c r="AB3221" s="7"/>
      <c r="AC3221" s="7" t="s">
        <v>7454</v>
      </c>
      <c r="AD3221" s="7"/>
      <c r="AE3221" s="7"/>
      <c r="AF3221" s="7"/>
      <c r="AG3221" s="7"/>
      <c r="AH3221" s="7" t="s">
        <v>8225</v>
      </c>
    </row>
    <row r="3222" spans="1:37" ht="9.75" customHeight="1" x14ac:dyDescent="0.2">
      <c r="A3222" s="7" t="s">
        <v>8182</v>
      </c>
      <c r="B3222" s="7" t="s">
        <v>38</v>
      </c>
      <c r="C3222" s="7" t="s">
        <v>8226</v>
      </c>
      <c r="D3222" s="7" t="s">
        <v>8227</v>
      </c>
      <c r="E3222" s="8">
        <v>6</v>
      </c>
      <c r="F3222" s="7"/>
      <c r="G3222" s="7"/>
      <c r="H3222" s="9"/>
      <c r="I3222" s="10">
        <v>255329</v>
      </c>
      <c r="J3222" s="10">
        <v>281755</v>
      </c>
      <c r="K3222" s="9"/>
      <c r="L3222" s="10">
        <v>194461</v>
      </c>
      <c r="M3222" s="10">
        <v>0</v>
      </c>
      <c r="N3222" s="10">
        <v>194461</v>
      </c>
      <c r="O3222" s="9"/>
      <c r="P3222" s="10"/>
      <c r="Q3222" s="10"/>
      <c r="R3222" s="10"/>
      <c r="S3222" s="7" t="s">
        <v>54</v>
      </c>
      <c r="T3222" s="7" t="s">
        <v>8228</v>
      </c>
      <c r="U3222" s="7"/>
      <c r="V3222" s="7"/>
      <c r="W3222" s="7"/>
      <c r="X3222" s="7"/>
      <c r="Y3222" s="7" t="s">
        <v>8229</v>
      </c>
      <c r="Z3222" s="7" t="s">
        <v>224</v>
      </c>
      <c r="AA3222" s="7"/>
      <c r="AB3222" s="7"/>
      <c r="AC3222" s="7" t="s">
        <v>8230</v>
      </c>
      <c r="AD3222" s="7"/>
      <c r="AE3222" s="7"/>
      <c r="AF3222" s="7" t="s">
        <v>113</v>
      </c>
      <c r="AG3222" s="7" t="s">
        <v>297</v>
      </c>
      <c r="AH3222" s="7"/>
    </row>
    <row r="3223" spans="1:37" ht="9.75" customHeight="1" x14ac:dyDescent="0.2">
      <c r="A3223" s="7" t="s">
        <v>8182</v>
      </c>
      <c r="B3223" s="7" t="s">
        <v>38</v>
      </c>
      <c r="C3223" s="7" t="s">
        <v>8231</v>
      </c>
      <c r="D3223" s="7" t="s">
        <v>8232</v>
      </c>
      <c r="E3223" s="8">
        <v>6</v>
      </c>
      <c r="F3223" s="7"/>
      <c r="G3223" s="7"/>
      <c r="H3223" s="9"/>
      <c r="I3223" s="10">
        <v>46657</v>
      </c>
      <c r="J3223" s="10">
        <v>46565</v>
      </c>
      <c r="K3223" s="9"/>
      <c r="L3223" s="10">
        <v>28865</v>
      </c>
      <c r="M3223" s="10">
        <v>0</v>
      </c>
      <c r="N3223" s="10">
        <v>28865</v>
      </c>
      <c r="O3223" s="9"/>
      <c r="P3223" s="10"/>
      <c r="Q3223" s="10"/>
      <c r="R3223" s="10"/>
      <c r="S3223" s="7" t="s">
        <v>54</v>
      </c>
      <c r="T3223" s="7" t="s">
        <v>8228</v>
      </c>
      <c r="U3223" s="7" t="s">
        <v>44</v>
      </c>
      <c r="V3223" s="7" t="s">
        <v>45</v>
      </c>
      <c r="W3223" s="7" t="s">
        <v>46</v>
      </c>
      <c r="X3223" s="7"/>
      <c r="Y3223" s="7" t="s">
        <v>8233</v>
      </c>
      <c r="Z3223" s="7" t="s">
        <v>224</v>
      </c>
      <c r="AA3223" s="7"/>
      <c r="AB3223" s="7"/>
      <c r="AC3223" s="7" t="s">
        <v>6431</v>
      </c>
      <c r="AD3223" s="7"/>
      <c r="AE3223" s="7"/>
      <c r="AF3223" s="7" t="s">
        <v>6249</v>
      </c>
      <c r="AG3223" s="7" t="s">
        <v>6432</v>
      </c>
      <c r="AH3223" s="7" t="s">
        <v>6433</v>
      </c>
    </row>
    <row r="3224" spans="1:37" ht="9.75" customHeight="1" x14ac:dyDescent="0.2">
      <c r="A3224" s="7" t="s">
        <v>8182</v>
      </c>
      <c r="B3224" s="7" t="s">
        <v>38</v>
      </c>
      <c r="C3224" s="7" t="s">
        <v>8234</v>
      </c>
      <c r="D3224" s="7" t="s">
        <v>8235</v>
      </c>
      <c r="E3224" s="8">
        <v>6</v>
      </c>
      <c r="F3224" s="7"/>
      <c r="G3224" s="7"/>
      <c r="H3224" s="9"/>
      <c r="I3224" s="10">
        <v>13413</v>
      </c>
      <c r="J3224" s="10">
        <v>10335</v>
      </c>
      <c r="K3224" s="9"/>
      <c r="L3224" s="10">
        <v>23948</v>
      </c>
      <c r="M3224" s="10">
        <v>0</v>
      </c>
      <c r="N3224" s="10">
        <v>23948</v>
      </c>
      <c r="O3224" s="9"/>
      <c r="P3224" s="10"/>
      <c r="Q3224" s="10"/>
      <c r="R3224" s="10"/>
      <c r="S3224" s="7" t="s">
        <v>54</v>
      </c>
      <c r="T3224" s="7" t="s">
        <v>8228</v>
      </c>
      <c r="U3224" s="7" t="s">
        <v>44</v>
      </c>
      <c r="V3224" s="7" t="s">
        <v>45</v>
      </c>
      <c r="W3224" s="7" t="s">
        <v>130</v>
      </c>
      <c r="X3224" s="7" t="s">
        <v>131</v>
      </c>
      <c r="Y3224" s="7" t="s">
        <v>8236</v>
      </c>
      <c r="Z3224" s="7" t="s">
        <v>224</v>
      </c>
      <c r="AA3224" s="7"/>
      <c r="AB3224" s="7"/>
      <c r="AC3224" s="7" t="s">
        <v>6438</v>
      </c>
      <c r="AD3224" s="7"/>
      <c r="AE3224" s="7"/>
      <c r="AF3224" s="7" t="s">
        <v>113</v>
      </c>
      <c r="AG3224" s="7" t="s">
        <v>366</v>
      </c>
      <c r="AH3224" s="7" t="s">
        <v>6435</v>
      </c>
    </row>
    <row r="3225" spans="1:37" ht="9.75" customHeight="1" x14ac:dyDescent="0.2">
      <c r="A3225" s="7" t="s">
        <v>8182</v>
      </c>
      <c r="B3225" s="7" t="s">
        <v>38</v>
      </c>
      <c r="C3225" s="7" t="s">
        <v>8237</v>
      </c>
      <c r="D3225" s="7" t="s">
        <v>8238</v>
      </c>
      <c r="E3225" s="8">
        <v>6</v>
      </c>
      <c r="F3225" s="7"/>
      <c r="G3225" s="7"/>
      <c r="H3225" s="9"/>
      <c r="I3225" s="10">
        <v>0</v>
      </c>
      <c r="J3225" s="10">
        <v>236</v>
      </c>
      <c r="K3225" s="9"/>
      <c r="L3225" s="10">
        <v>22543</v>
      </c>
      <c r="M3225" s="10">
        <v>0</v>
      </c>
      <c r="N3225" s="10">
        <v>22543</v>
      </c>
      <c r="O3225" s="9"/>
      <c r="P3225" s="10"/>
      <c r="Q3225" s="10"/>
      <c r="R3225" s="10"/>
      <c r="S3225" s="7" t="s">
        <v>54</v>
      </c>
      <c r="T3225" s="7" t="s">
        <v>8228</v>
      </c>
      <c r="U3225" s="7"/>
      <c r="V3225" s="7"/>
      <c r="W3225" s="7"/>
      <c r="X3225" s="7"/>
      <c r="Y3225" s="7" t="s">
        <v>8239</v>
      </c>
      <c r="Z3225" s="7" t="s">
        <v>224</v>
      </c>
      <c r="AA3225" s="7"/>
      <c r="AB3225" s="7"/>
      <c r="AC3225" s="7" t="s">
        <v>8240</v>
      </c>
      <c r="AD3225" s="7"/>
      <c r="AE3225" s="7"/>
      <c r="AF3225" s="7" t="s">
        <v>113</v>
      </c>
      <c r="AG3225" s="7" t="s">
        <v>297</v>
      </c>
      <c r="AH3225" s="7"/>
    </row>
    <row r="3226" spans="1:37" ht="9.75" customHeight="1" x14ac:dyDescent="0.2">
      <c r="A3226" s="7" t="s">
        <v>8182</v>
      </c>
      <c r="B3226" s="7" t="s">
        <v>38</v>
      </c>
      <c r="C3226" s="7" t="s">
        <v>8241</v>
      </c>
      <c r="D3226" s="7" t="s">
        <v>8242</v>
      </c>
      <c r="E3226" s="8">
        <v>6</v>
      </c>
      <c r="F3226" s="7"/>
      <c r="G3226" s="7"/>
      <c r="H3226" s="9"/>
      <c r="I3226" s="10">
        <v>9602</v>
      </c>
      <c r="J3226" s="10">
        <v>7595</v>
      </c>
      <c r="K3226" s="9"/>
      <c r="L3226" s="10">
        <v>21562</v>
      </c>
      <c r="M3226" s="10">
        <v>0</v>
      </c>
      <c r="N3226" s="10">
        <v>21562</v>
      </c>
      <c r="O3226" s="9"/>
      <c r="P3226" s="10"/>
      <c r="Q3226" s="10"/>
      <c r="R3226" s="10"/>
      <c r="S3226" s="7" t="s">
        <v>54</v>
      </c>
      <c r="T3226" s="7" t="s">
        <v>8228</v>
      </c>
      <c r="U3226" s="7" t="s">
        <v>44</v>
      </c>
      <c r="V3226" s="7" t="s">
        <v>45</v>
      </c>
      <c r="W3226" s="7" t="s">
        <v>130</v>
      </c>
      <c r="X3226" s="7"/>
      <c r="Y3226" s="7" t="s">
        <v>8243</v>
      </c>
      <c r="Z3226" s="7" t="s">
        <v>4140</v>
      </c>
      <c r="AA3226" s="7"/>
      <c r="AB3226" s="7"/>
      <c r="AC3226" s="7" t="s">
        <v>7493</v>
      </c>
      <c r="AD3226" s="7"/>
      <c r="AE3226" s="7"/>
      <c r="AF3226" s="7" t="s">
        <v>113</v>
      </c>
      <c r="AG3226" s="7" t="s">
        <v>297</v>
      </c>
      <c r="AH3226" s="7" t="s">
        <v>7494</v>
      </c>
    </row>
    <row r="3227" spans="1:37" ht="9.75" customHeight="1" x14ac:dyDescent="0.2">
      <c r="A3227" s="7" t="s">
        <v>8182</v>
      </c>
      <c r="B3227" s="7" t="s">
        <v>38</v>
      </c>
      <c r="C3227" s="7" t="s">
        <v>8244</v>
      </c>
      <c r="D3227" s="7" t="s">
        <v>8245</v>
      </c>
      <c r="E3227" s="8">
        <v>6</v>
      </c>
      <c r="F3227" s="7"/>
      <c r="G3227" s="7"/>
      <c r="H3227" s="9"/>
      <c r="I3227" s="10">
        <v>117331</v>
      </c>
      <c r="J3227" s="10">
        <v>25544</v>
      </c>
      <c r="K3227" s="9"/>
      <c r="L3227" s="10">
        <v>19721</v>
      </c>
      <c r="M3227" s="10">
        <v>0</v>
      </c>
      <c r="N3227" s="10">
        <v>19721</v>
      </c>
      <c r="O3227" s="9"/>
      <c r="P3227" s="10"/>
      <c r="Q3227" s="10"/>
      <c r="R3227" s="10"/>
      <c r="S3227" s="7" t="s">
        <v>54</v>
      </c>
      <c r="T3227" s="7" t="s">
        <v>8228</v>
      </c>
      <c r="U3227" s="7" t="s">
        <v>44</v>
      </c>
      <c r="V3227" s="7" t="s">
        <v>45</v>
      </c>
      <c r="W3227" s="7" t="s">
        <v>46</v>
      </c>
      <c r="X3227" s="7"/>
      <c r="Y3227" s="7" t="s">
        <v>8246</v>
      </c>
      <c r="Z3227" s="7" t="s">
        <v>224</v>
      </c>
      <c r="AA3227" s="7"/>
      <c r="AB3227" s="7"/>
      <c r="AC3227" s="7" t="s">
        <v>6697</v>
      </c>
      <c r="AD3227" s="7"/>
      <c r="AE3227" s="7"/>
      <c r="AF3227" s="7" t="s">
        <v>6249</v>
      </c>
      <c r="AG3227" s="7" t="s">
        <v>6250</v>
      </c>
      <c r="AH3227" s="7" t="s">
        <v>6698</v>
      </c>
    </row>
    <row r="3228" spans="1:37" ht="9.75" customHeight="1" x14ac:dyDescent="0.2">
      <c r="A3228" s="7" t="s">
        <v>8182</v>
      </c>
      <c r="B3228" s="7" t="s">
        <v>38</v>
      </c>
      <c r="C3228" s="7" t="s">
        <v>8247</v>
      </c>
      <c r="D3228" s="7" t="s">
        <v>8248</v>
      </c>
      <c r="E3228" s="8">
        <v>6</v>
      </c>
      <c r="F3228" s="7"/>
      <c r="G3228" s="7"/>
      <c r="H3228" s="9"/>
      <c r="I3228" s="10">
        <v>10135</v>
      </c>
      <c r="J3228" s="10">
        <v>26957</v>
      </c>
      <c r="K3228" s="9"/>
      <c r="L3228" s="10">
        <v>16874</v>
      </c>
      <c r="M3228" s="10">
        <v>0</v>
      </c>
      <c r="N3228" s="10">
        <v>16874</v>
      </c>
      <c r="O3228" s="9"/>
      <c r="P3228" s="10"/>
      <c r="Q3228" s="10"/>
      <c r="R3228" s="10"/>
      <c r="S3228" s="7" t="s">
        <v>54</v>
      </c>
      <c r="T3228" s="7" t="s">
        <v>8228</v>
      </c>
      <c r="U3228" s="7" t="s">
        <v>44</v>
      </c>
      <c r="V3228" s="7" t="s">
        <v>45</v>
      </c>
      <c r="W3228" s="7" t="s">
        <v>130</v>
      </c>
      <c r="X3228" s="7"/>
      <c r="Y3228" s="7" t="s">
        <v>8249</v>
      </c>
      <c r="Z3228" s="7" t="s">
        <v>224</v>
      </c>
      <c r="AA3228" s="7"/>
      <c r="AB3228" s="7"/>
      <c r="AC3228" s="7" t="s">
        <v>6769</v>
      </c>
      <c r="AD3228" s="7"/>
      <c r="AE3228" s="7"/>
      <c r="AF3228" s="7" t="s">
        <v>113</v>
      </c>
      <c r="AG3228" s="7" t="s">
        <v>297</v>
      </c>
      <c r="AH3228" s="7" t="s">
        <v>6770</v>
      </c>
    </row>
    <row r="3229" spans="1:37" ht="9.75" customHeight="1" x14ac:dyDescent="0.2">
      <c r="A3229" s="7" t="s">
        <v>8182</v>
      </c>
      <c r="B3229" s="7" t="s">
        <v>38</v>
      </c>
      <c r="C3229" s="7" t="s">
        <v>8250</v>
      </c>
      <c r="D3229" s="7" t="s">
        <v>8251</v>
      </c>
      <c r="E3229" s="8">
        <v>6</v>
      </c>
      <c r="F3229" s="7"/>
      <c r="G3229" s="7"/>
      <c r="H3229" s="9"/>
      <c r="I3229" s="10">
        <v>3339</v>
      </c>
      <c r="J3229" s="10">
        <v>3846</v>
      </c>
      <c r="K3229" s="9"/>
      <c r="L3229" s="10">
        <v>14954</v>
      </c>
      <c r="M3229" s="10">
        <v>0</v>
      </c>
      <c r="N3229" s="10">
        <v>14954</v>
      </c>
      <c r="O3229" s="9"/>
      <c r="P3229" s="10"/>
      <c r="Q3229" s="10"/>
      <c r="R3229" s="10"/>
      <c r="S3229" s="7" t="s">
        <v>54</v>
      </c>
      <c r="T3229" s="7" t="s">
        <v>8228</v>
      </c>
      <c r="U3229" s="7" t="s">
        <v>44</v>
      </c>
      <c r="V3229" s="7" t="s">
        <v>45</v>
      </c>
      <c r="W3229" s="7" t="s">
        <v>130</v>
      </c>
      <c r="X3229" s="7"/>
      <c r="Y3229" s="7" t="s">
        <v>8252</v>
      </c>
      <c r="Z3229" s="7" t="s">
        <v>224</v>
      </c>
      <c r="AA3229" s="7"/>
      <c r="AB3229" s="7"/>
      <c r="AC3229" s="7" t="s">
        <v>6628</v>
      </c>
      <c r="AD3229" s="7" t="s">
        <v>6629</v>
      </c>
      <c r="AE3229" s="7"/>
      <c r="AF3229" s="7" t="s">
        <v>6196</v>
      </c>
      <c r="AG3229" s="7" t="s">
        <v>6197</v>
      </c>
      <c r="AH3229" s="7" t="s">
        <v>6624</v>
      </c>
    </row>
    <row r="3230" spans="1:37" ht="9.75" customHeight="1" x14ac:dyDescent="0.2">
      <c r="A3230" s="7" t="s">
        <v>8182</v>
      </c>
      <c r="B3230" s="7" t="s">
        <v>38</v>
      </c>
      <c r="C3230" s="7" t="s">
        <v>8253</v>
      </c>
      <c r="D3230" s="7" t="s">
        <v>8254</v>
      </c>
      <c r="E3230" s="8">
        <v>6</v>
      </c>
      <c r="F3230" s="7"/>
      <c r="G3230" s="7"/>
      <c r="H3230" s="9"/>
      <c r="I3230" s="10">
        <v>476</v>
      </c>
      <c r="J3230" s="10">
        <v>9862</v>
      </c>
      <c r="K3230" s="9"/>
      <c r="L3230" s="10">
        <v>13778</v>
      </c>
      <c r="M3230" s="10">
        <v>0</v>
      </c>
      <c r="N3230" s="10">
        <v>13778</v>
      </c>
      <c r="O3230" s="9"/>
      <c r="P3230" s="10"/>
      <c r="Q3230" s="10"/>
      <c r="R3230" s="10"/>
      <c r="S3230" s="7" t="s">
        <v>54</v>
      </c>
      <c r="T3230" s="7" t="s">
        <v>8228</v>
      </c>
      <c r="U3230" s="7" t="s">
        <v>44</v>
      </c>
      <c r="V3230" s="7" t="s">
        <v>45</v>
      </c>
      <c r="W3230" s="7" t="s">
        <v>130</v>
      </c>
      <c r="X3230" s="7"/>
      <c r="Y3230" s="7" t="s">
        <v>8255</v>
      </c>
      <c r="Z3230" s="7" t="s">
        <v>8256</v>
      </c>
      <c r="AA3230" s="7"/>
      <c r="AB3230" s="7"/>
      <c r="AC3230" s="7" t="s">
        <v>6812</v>
      </c>
      <c r="AD3230" s="7"/>
      <c r="AE3230" s="7"/>
      <c r="AF3230" s="7" t="s">
        <v>113</v>
      </c>
      <c r="AG3230" s="7" t="s">
        <v>297</v>
      </c>
      <c r="AH3230" s="7" t="s">
        <v>6813</v>
      </c>
    </row>
    <row r="3231" spans="1:37" ht="9.75" customHeight="1" x14ac:dyDescent="0.2">
      <c r="A3231" s="7" t="s">
        <v>8182</v>
      </c>
      <c r="B3231" s="7" t="s">
        <v>38</v>
      </c>
      <c r="C3231" s="7" t="s">
        <v>8257</v>
      </c>
      <c r="D3231" s="7" t="s">
        <v>8258</v>
      </c>
      <c r="E3231" s="8">
        <v>6</v>
      </c>
      <c r="F3231" s="7"/>
      <c r="G3231" s="7"/>
      <c r="H3231" s="9"/>
      <c r="I3231" s="10">
        <v>5418</v>
      </c>
      <c r="J3231" s="10">
        <v>8302</v>
      </c>
      <c r="K3231" s="9"/>
      <c r="L3231" s="10">
        <v>9277</v>
      </c>
      <c r="M3231" s="10">
        <v>0</v>
      </c>
      <c r="N3231" s="10">
        <v>9277</v>
      </c>
      <c r="O3231" s="9"/>
      <c r="P3231" s="10"/>
      <c r="Q3231" s="10"/>
      <c r="R3231" s="10"/>
      <c r="S3231" s="7" t="s">
        <v>54</v>
      </c>
      <c r="T3231" s="7" t="s">
        <v>8228</v>
      </c>
      <c r="U3231" s="7"/>
      <c r="V3231" s="7"/>
      <c r="W3231" s="7"/>
      <c r="X3231" s="7"/>
      <c r="Y3231" s="7" t="s">
        <v>8259</v>
      </c>
      <c r="Z3231" s="7" t="s">
        <v>224</v>
      </c>
      <c r="AA3231" s="7"/>
      <c r="AB3231" s="7"/>
      <c r="AC3231" s="7" t="s">
        <v>1315</v>
      </c>
      <c r="AD3231" s="7"/>
      <c r="AE3231" s="7"/>
      <c r="AF3231" s="7" t="s">
        <v>1316</v>
      </c>
      <c r="AG3231" s="7" t="s">
        <v>1317</v>
      </c>
      <c r="AH3231" s="7" t="s">
        <v>6423</v>
      </c>
    </row>
    <row r="3232" spans="1:37" ht="9.75" customHeight="1" x14ac:dyDescent="0.2">
      <c r="A3232" s="7" t="s">
        <v>8182</v>
      </c>
      <c r="B3232" s="7" t="s">
        <v>38</v>
      </c>
      <c r="C3232" s="7" t="s">
        <v>8260</v>
      </c>
      <c r="D3232" s="7" t="s">
        <v>8261</v>
      </c>
      <c r="E3232" s="8">
        <v>6</v>
      </c>
      <c r="F3232" s="7"/>
      <c r="G3232" s="7"/>
      <c r="H3232" s="9"/>
      <c r="I3232" s="10">
        <v>4508</v>
      </c>
      <c r="J3232" s="10">
        <v>0</v>
      </c>
      <c r="K3232" s="9"/>
      <c r="L3232" s="10">
        <v>8199</v>
      </c>
      <c r="M3232" s="10">
        <v>0</v>
      </c>
      <c r="N3232" s="10">
        <v>8199</v>
      </c>
      <c r="O3232" s="9"/>
      <c r="P3232" s="10"/>
      <c r="Q3232" s="10"/>
      <c r="R3232" s="10"/>
      <c r="S3232" s="7" t="s">
        <v>54</v>
      </c>
      <c r="T3232" s="7" t="s">
        <v>8228</v>
      </c>
      <c r="U3232" s="7" t="s">
        <v>44</v>
      </c>
      <c r="V3232" s="7" t="s">
        <v>45</v>
      </c>
      <c r="W3232" s="7" t="s">
        <v>130</v>
      </c>
      <c r="X3232" s="7"/>
      <c r="Y3232" s="7" t="s">
        <v>8262</v>
      </c>
      <c r="Z3232" s="7" t="s">
        <v>224</v>
      </c>
      <c r="AA3232" s="7"/>
      <c r="AB3232" s="7"/>
      <c r="AC3232" s="7" t="s">
        <v>6641</v>
      </c>
      <c r="AD3232" s="7"/>
      <c r="AE3232" s="7"/>
      <c r="AF3232" s="7" t="s">
        <v>113</v>
      </c>
      <c r="AG3232" s="7" t="s">
        <v>366</v>
      </c>
      <c r="AH3232" s="7" t="s">
        <v>6637</v>
      </c>
    </row>
    <row r="3233" spans="1:34" ht="9.75" customHeight="1" x14ac:dyDescent="0.2">
      <c r="A3233" s="7" t="s">
        <v>8182</v>
      </c>
      <c r="B3233" s="7" t="s">
        <v>38</v>
      </c>
      <c r="C3233" s="7" t="s">
        <v>8263</v>
      </c>
      <c r="D3233" s="7" t="s">
        <v>8264</v>
      </c>
      <c r="E3233" s="8">
        <v>6</v>
      </c>
      <c r="F3233" s="7"/>
      <c r="G3233" s="7"/>
      <c r="H3233" s="9"/>
      <c r="I3233" s="10">
        <v>5730</v>
      </c>
      <c r="J3233" s="10">
        <v>9195</v>
      </c>
      <c r="K3233" s="9"/>
      <c r="L3233" s="10">
        <v>7219</v>
      </c>
      <c r="M3233" s="10">
        <v>0</v>
      </c>
      <c r="N3233" s="10">
        <v>7219</v>
      </c>
      <c r="O3233" s="9"/>
      <c r="P3233" s="10"/>
      <c r="Q3233" s="10"/>
      <c r="R3233" s="10"/>
      <c r="S3233" s="7" t="s">
        <v>54</v>
      </c>
      <c r="T3233" s="7" t="s">
        <v>8228</v>
      </c>
      <c r="U3233" s="7"/>
      <c r="V3233" s="7"/>
      <c r="W3233" s="7"/>
      <c r="X3233" s="7"/>
      <c r="Y3233" s="7" t="s">
        <v>8265</v>
      </c>
      <c r="Z3233" s="7" t="s">
        <v>8256</v>
      </c>
      <c r="AA3233" s="7"/>
      <c r="AB3233" s="7"/>
      <c r="AC3233" s="7" t="s">
        <v>8266</v>
      </c>
      <c r="AD3233" s="7"/>
      <c r="AE3233" s="7"/>
      <c r="AF3233" s="7" t="s">
        <v>113</v>
      </c>
      <c r="AG3233" s="7" t="s">
        <v>297</v>
      </c>
      <c r="AH3233" s="7"/>
    </row>
    <row r="3234" spans="1:34" ht="9.75" customHeight="1" x14ac:dyDescent="0.2">
      <c r="A3234" s="7" t="s">
        <v>8182</v>
      </c>
      <c r="B3234" s="7" t="s">
        <v>38</v>
      </c>
      <c r="C3234" s="7" t="s">
        <v>8267</v>
      </c>
      <c r="D3234" s="7" t="s">
        <v>8268</v>
      </c>
      <c r="E3234" s="8">
        <v>6</v>
      </c>
      <c r="F3234" s="7"/>
      <c r="G3234" s="7"/>
      <c r="H3234" s="9"/>
      <c r="I3234" s="10">
        <v>7367</v>
      </c>
      <c r="J3234" s="10">
        <v>8681</v>
      </c>
      <c r="K3234" s="9"/>
      <c r="L3234" s="10">
        <v>6588</v>
      </c>
      <c r="M3234" s="10">
        <v>0</v>
      </c>
      <c r="N3234" s="10">
        <v>6588</v>
      </c>
      <c r="O3234" s="9"/>
      <c r="P3234" s="10"/>
      <c r="Q3234" s="10"/>
      <c r="R3234" s="10"/>
      <c r="S3234" s="7" t="s">
        <v>54</v>
      </c>
      <c r="T3234" s="7" t="s">
        <v>8228</v>
      </c>
      <c r="U3234" s="7" t="s">
        <v>44</v>
      </c>
      <c r="V3234" s="7" t="s">
        <v>4767</v>
      </c>
      <c r="W3234" s="7" t="s">
        <v>4768</v>
      </c>
      <c r="X3234" s="7"/>
      <c r="Y3234" s="7" t="s">
        <v>8269</v>
      </c>
      <c r="Z3234" s="7" t="s">
        <v>224</v>
      </c>
      <c r="AA3234" s="7"/>
      <c r="AB3234" s="7"/>
      <c r="AC3234" s="7" t="s">
        <v>6648</v>
      </c>
      <c r="AD3234" s="7" t="s">
        <v>6643</v>
      </c>
      <c r="AE3234" s="7"/>
      <c r="AF3234" s="7" t="s">
        <v>6196</v>
      </c>
      <c r="AG3234" s="7" t="s">
        <v>6197</v>
      </c>
      <c r="AH3234" s="7" t="s">
        <v>6643</v>
      </c>
    </row>
    <row r="3235" spans="1:34" ht="9.75" customHeight="1" x14ac:dyDescent="0.2">
      <c r="A3235" s="7" t="s">
        <v>8182</v>
      </c>
      <c r="B3235" s="7" t="s">
        <v>38</v>
      </c>
      <c r="C3235" s="7" t="s">
        <v>8270</v>
      </c>
      <c r="D3235" s="7" t="s">
        <v>8271</v>
      </c>
      <c r="E3235" s="8">
        <v>6</v>
      </c>
      <c r="F3235" s="7"/>
      <c r="G3235" s="7"/>
      <c r="H3235" s="9"/>
      <c r="I3235" s="10">
        <v>5877</v>
      </c>
      <c r="J3235" s="10">
        <v>3709</v>
      </c>
      <c r="K3235" s="9"/>
      <c r="L3235" s="10">
        <v>6328</v>
      </c>
      <c r="M3235" s="10">
        <v>0</v>
      </c>
      <c r="N3235" s="10">
        <v>6328</v>
      </c>
      <c r="O3235" s="9"/>
      <c r="P3235" s="10"/>
      <c r="Q3235" s="10"/>
      <c r="R3235" s="10"/>
      <c r="S3235" s="7" t="s">
        <v>54</v>
      </c>
      <c r="T3235" s="7" t="s">
        <v>8228</v>
      </c>
      <c r="U3235" s="7" t="s">
        <v>44</v>
      </c>
      <c r="V3235" s="7" t="s">
        <v>45</v>
      </c>
      <c r="W3235" s="7" t="s">
        <v>130</v>
      </c>
      <c r="X3235" s="7"/>
      <c r="Y3235" s="7" t="s">
        <v>8272</v>
      </c>
      <c r="Z3235" s="7" t="s">
        <v>224</v>
      </c>
      <c r="AA3235" s="7"/>
      <c r="AB3235" s="7"/>
      <c r="AC3235" s="7" t="s">
        <v>6671</v>
      </c>
      <c r="AD3235" s="7"/>
      <c r="AE3235" s="7"/>
      <c r="AF3235" s="7" t="s">
        <v>6249</v>
      </c>
      <c r="AG3235" s="7" t="s">
        <v>6676</v>
      </c>
      <c r="AH3235" s="7" t="s">
        <v>6672</v>
      </c>
    </row>
    <row r="3236" spans="1:34" ht="9.75" customHeight="1" x14ac:dyDescent="0.2">
      <c r="A3236" s="7" t="s">
        <v>8182</v>
      </c>
      <c r="B3236" s="7" t="s">
        <v>38</v>
      </c>
      <c r="C3236" s="7" t="s">
        <v>8273</v>
      </c>
      <c r="D3236" s="7" t="s">
        <v>8274</v>
      </c>
      <c r="E3236" s="8">
        <v>6</v>
      </c>
      <c r="F3236" s="7"/>
      <c r="G3236" s="7"/>
      <c r="H3236" s="9"/>
      <c r="I3236" s="10">
        <v>1095</v>
      </c>
      <c r="J3236" s="10">
        <v>1484</v>
      </c>
      <c r="K3236" s="9"/>
      <c r="L3236" s="10">
        <v>3966</v>
      </c>
      <c r="M3236" s="10">
        <v>0</v>
      </c>
      <c r="N3236" s="10">
        <v>3966</v>
      </c>
      <c r="O3236" s="9"/>
      <c r="P3236" s="10"/>
      <c r="Q3236" s="10"/>
      <c r="R3236" s="10"/>
      <c r="S3236" s="7" t="s">
        <v>54</v>
      </c>
      <c r="T3236" s="7" t="s">
        <v>8228</v>
      </c>
      <c r="U3236" s="7" t="s">
        <v>44</v>
      </c>
      <c r="V3236" s="7" t="s">
        <v>45</v>
      </c>
      <c r="W3236" s="7" t="s">
        <v>46</v>
      </c>
      <c r="X3236" s="7"/>
      <c r="Y3236" s="7" t="s">
        <v>8275</v>
      </c>
      <c r="Z3236" s="7" t="s">
        <v>224</v>
      </c>
      <c r="AA3236" s="7"/>
      <c r="AB3236" s="7"/>
      <c r="AC3236" s="7" t="s">
        <v>6741</v>
      </c>
      <c r="AD3236" s="7"/>
      <c r="AE3236" s="7"/>
      <c r="AF3236" s="7" t="s">
        <v>6249</v>
      </c>
      <c r="AG3236" s="7" t="s">
        <v>6745</v>
      </c>
      <c r="AH3236" s="7" t="s">
        <v>6742</v>
      </c>
    </row>
    <row r="3237" spans="1:34" ht="9.75" customHeight="1" x14ac:dyDescent="0.2">
      <c r="A3237" s="7" t="s">
        <v>8182</v>
      </c>
      <c r="B3237" s="7" t="s">
        <v>38</v>
      </c>
      <c r="C3237" s="7" t="s">
        <v>8276</v>
      </c>
      <c r="D3237" s="7" t="s">
        <v>8277</v>
      </c>
      <c r="E3237" s="8">
        <v>6</v>
      </c>
      <c r="F3237" s="7"/>
      <c r="G3237" s="7"/>
      <c r="H3237" s="9"/>
      <c r="I3237" s="10">
        <v>0</v>
      </c>
      <c r="J3237" s="10">
        <v>342</v>
      </c>
      <c r="K3237" s="9"/>
      <c r="L3237" s="10">
        <v>3672</v>
      </c>
      <c r="M3237" s="10">
        <v>0</v>
      </c>
      <c r="N3237" s="10">
        <v>3672</v>
      </c>
      <c r="O3237" s="9"/>
      <c r="P3237" s="10"/>
      <c r="Q3237" s="10"/>
      <c r="R3237" s="10"/>
      <c r="S3237" s="7" t="s">
        <v>54</v>
      </c>
      <c r="T3237" s="7" t="s">
        <v>8228</v>
      </c>
      <c r="U3237" s="7" t="s">
        <v>44</v>
      </c>
      <c r="V3237" s="7" t="s">
        <v>45</v>
      </c>
      <c r="W3237" s="7" t="s">
        <v>171</v>
      </c>
      <c r="X3237" s="7"/>
      <c r="Y3237" s="7" t="s">
        <v>8278</v>
      </c>
      <c r="Z3237" s="7" t="s">
        <v>224</v>
      </c>
      <c r="AA3237" s="7"/>
      <c r="AB3237" s="7"/>
      <c r="AC3237" s="7" t="s">
        <v>2798</v>
      </c>
      <c r="AD3237" s="7"/>
      <c r="AE3237" s="7"/>
      <c r="AF3237" s="7" t="s">
        <v>113</v>
      </c>
      <c r="AG3237" s="7" t="s">
        <v>366</v>
      </c>
      <c r="AH3237" s="7" t="s">
        <v>6469</v>
      </c>
    </row>
    <row r="3238" spans="1:34" ht="9.75" customHeight="1" x14ac:dyDescent="0.2">
      <c r="A3238" s="7" t="s">
        <v>8182</v>
      </c>
      <c r="B3238" s="7" t="s">
        <v>38</v>
      </c>
      <c r="C3238" s="7" t="s">
        <v>8279</v>
      </c>
      <c r="D3238" s="7" t="s">
        <v>8280</v>
      </c>
      <c r="E3238" s="8">
        <v>6</v>
      </c>
      <c r="F3238" s="7"/>
      <c r="G3238" s="7"/>
      <c r="H3238" s="9"/>
      <c r="I3238" s="10">
        <v>0</v>
      </c>
      <c r="J3238" s="10">
        <v>0</v>
      </c>
      <c r="K3238" s="9"/>
      <c r="L3238" s="10">
        <v>3419</v>
      </c>
      <c r="M3238" s="10">
        <v>0</v>
      </c>
      <c r="N3238" s="10">
        <v>3419</v>
      </c>
      <c r="O3238" s="9"/>
      <c r="P3238" s="10"/>
      <c r="Q3238" s="10"/>
      <c r="R3238" s="10"/>
      <c r="S3238" s="7" t="s">
        <v>54</v>
      </c>
      <c r="T3238" s="7" t="s">
        <v>8228</v>
      </c>
      <c r="U3238" s="7"/>
      <c r="V3238" s="7"/>
      <c r="W3238" s="7"/>
      <c r="X3238" s="7"/>
      <c r="Y3238" s="7" t="s">
        <v>8281</v>
      </c>
      <c r="Z3238" s="7" t="s">
        <v>224</v>
      </c>
      <c r="AA3238" s="7"/>
      <c r="AB3238" s="7"/>
      <c r="AC3238" s="7" t="s">
        <v>6601</v>
      </c>
      <c r="AD3238" s="7"/>
      <c r="AE3238" s="7"/>
      <c r="AF3238" s="7" t="s">
        <v>50</v>
      </c>
      <c r="AG3238" s="7" t="s">
        <v>253</v>
      </c>
      <c r="AH3238" s="7" t="s">
        <v>6597</v>
      </c>
    </row>
    <row r="3239" spans="1:34" ht="9.75" customHeight="1" x14ac:dyDescent="0.2">
      <c r="A3239" s="7" t="s">
        <v>8182</v>
      </c>
      <c r="B3239" s="7" t="s">
        <v>38</v>
      </c>
      <c r="C3239" s="7" t="s">
        <v>8282</v>
      </c>
      <c r="D3239" s="7" t="s">
        <v>8283</v>
      </c>
      <c r="E3239" s="8">
        <v>6</v>
      </c>
      <c r="F3239" s="7"/>
      <c r="G3239" s="7"/>
      <c r="H3239" s="9"/>
      <c r="I3239" s="10">
        <v>0</v>
      </c>
      <c r="J3239" s="10">
        <v>0</v>
      </c>
      <c r="K3239" s="9"/>
      <c r="L3239" s="10">
        <v>2930</v>
      </c>
      <c r="M3239" s="10">
        <v>0</v>
      </c>
      <c r="N3239" s="10">
        <v>2930</v>
      </c>
      <c r="O3239" s="9"/>
      <c r="P3239" s="10"/>
      <c r="Q3239" s="10"/>
      <c r="R3239" s="10"/>
      <c r="S3239" s="7" t="s">
        <v>54</v>
      </c>
      <c r="T3239" s="7" t="s">
        <v>8228</v>
      </c>
      <c r="U3239" s="7"/>
      <c r="V3239" s="7"/>
      <c r="W3239" s="7"/>
      <c r="X3239" s="7"/>
      <c r="Y3239" s="7" t="s">
        <v>8284</v>
      </c>
      <c r="Z3239" s="7" t="s">
        <v>224</v>
      </c>
      <c r="AA3239" s="7"/>
      <c r="AB3239" s="7"/>
      <c r="AC3239" s="7" t="s">
        <v>6736</v>
      </c>
      <c r="AD3239" s="7"/>
      <c r="AE3239" s="7"/>
      <c r="AF3239" s="7"/>
      <c r="AG3239" s="7"/>
      <c r="AH3239" s="7" t="s">
        <v>6737</v>
      </c>
    </row>
    <row r="3240" spans="1:34" ht="9.75" customHeight="1" x14ac:dyDescent="0.2">
      <c r="A3240" s="7" t="s">
        <v>8182</v>
      </c>
      <c r="B3240" s="7" t="s">
        <v>38</v>
      </c>
      <c r="C3240" s="7" t="s">
        <v>8285</v>
      </c>
      <c r="D3240" s="7" t="s">
        <v>8286</v>
      </c>
      <c r="E3240" s="8">
        <v>6</v>
      </c>
      <c r="F3240" s="7"/>
      <c r="G3240" s="7"/>
      <c r="H3240" s="9"/>
      <c r="I3240" s="10">
        <v>3344</v>
      </c>
      <c r="J3240" s="10">
        <v>2448</v>
      </c>
      <c r="K3240" s="9"/>
      <c r="L3240" s="10">
        <v>2802</v>
      </c>
      <c r="M3240" s="10">
        <v>0</v>
      </c>
      <c r="N3240" s="10">
        <v>2802</v>
      </c>
      <c r="O3240" s="9"/>
      <c r="P3240" s="10"/>
      <c r="Q3240" s="10"/>
      <c r="R3240" s="10"/>
      <c r="S3240" s="7" t="s">
        <v>54</v>
      </c>
      <c r="T3240" s="7" t="s">
        <v>8228</v>
      </c>
      <c r="U3240" s="7" t="s">
        <v>221</v>
      </c>
      <c r="V3240" s="7" t="s">
        <v>45</v>
      </c>
      <c r="W3240" s="7" t="s">
        <v>249</v>
      </c>
      <c r="X3240" s="7" t="s">
        <v>250</v>
      </c>
      <c r="Y3240" s="7" t="s">
        <v>8287</v>
      </c>
      <c r="Z3240" s="7" t="s">
        <v>224</v>
      </c>
      <c r="AA3240" s="7"/>
      <c r="AB3240" s="7"/>
      <c r="AC3240" s="7" t="s">
        <v>6755</v>
      </c>
      <c r="AD3240" s="7"/>
      <c r="AE3240" s="7"/>
      <c r="AF3240" s="7" t="s">
        <v>6249</v>
      </c>
      <c r="AG3240" s="7" t="s">
        <v>6676</v>
      </c>
      <c r="AH3240" s="7" t="s">
        <v>6756</v>
      </c>
    </row>
    <row r="3241" spans="1:34" ht="9.75" customHeight="1" x14ac:dyDescent="0.2">
      <c r="A3241" s="7" t="s">
        <v>8182</v>
      </c>
      <c r="B3241" s="7" t="s">
        <v>38</v>
      </c>
      <c r="C3241" s="7" t="s">
        <v>8288</v>
      </c>
      <c r="D3241" s="7" t="s">
        <v>8289</v>
      </c>
      <c r="E3241" s="8">
        <v>6</v>
      </c>
      <c r="F3241" s="7"/>
      <c r="G3241" s="7"/>
      <c r="H3241" s="9"/>
      <c r="I3241" s="10">
        <v>3411</v>
      </c>
      <c r="J3241" s="10">
        <v>3986</v>
      </c>
      <c r="K3241" s="9"/>
      <c r="L3241" s="10">
        <v>2651</v>
      </c>
      <c r="M3241" s="10">
        <v>0</v>
      </c>
      <c r="N3241" s="10">
        <v>2651</v>
      </c>
      <c r="O3241" s="9"/>
      <c r="P3241" s="10"/>
      <c r="Q3241" s="10"/>
      <c r="R3241" s="10"/>
      <c r="S3241" s="7" t="s">
        <v>54</v>
      </c>
      <c r="T3241" s="7" t="s">
        <v>8228</v>
      </c>
      <c r="U3241" s="7" t="s">
        <v>44</v>
      </c>
      <c r="V3241" s="7" t="s">
        <v>45</v>
      </c>
      <c r="W3241" s="7" t="s">
        <v>130</v>
      </c>
      <c r="X3241" s="7"/>
      <c r="Y3241" s="7" t="s">
        <v>8290</v>
      </c>
      <c r="Z3241" s="7" t="s">
        <v>224</v>
      </c>
      <c r="AA3241" s="7"/>
      <c r="AB3241" s="7"/>
      <c r="AC3241" s="7" t="s">
        <v>6421</v>
      </c>
      <c r="AD3241" s="7"/>
      <c r="AE3241" s="7"/>
      <c r="AF3241" s="7" t="s">
        <v>113</v>
      </c>
      <c r="AG3241" s="7" t="s">
        <v>366</v>
      </c>
      <c r="AH3241" s="7" t="s">
        <v>6418</v>
      </c>
    </row>
    <row r="3242" spans="1:34" ht="9.75" customHeight="1" x14ac:dyDescent="0.2">
      <c r="A3242" s="7" t="s">
        <v>8182</v>
      </c>
      <c r="B3242" s="7" t="s">
        <v>38</v>
      </c>
      <c r="C3242" s="7" t="s">
        <v>8291</v>
      </c>
      <c r="D3242" s="7" t="s">
        <v>8292</v>
      </c>
      <c r="E3242" s="8">
        <v>6</v>
      </c>
      <c r="F3242" s="7"/>
      <c r="G3242" s="7"/>
      <c r="H3242" s="9"/>
      <c r="I3242" s="10">
        <v>2438</v>
      </c>
      <c r="J3242" s="10">
        <v>1318</v>
      </c>
      <c r="K3242" s="9"/>
      <c r="L3242" s="10">
        <v>2268</v>
      </c>
      <c r="M3242" s="10">
        <v>0</v>
      </c>
      <c r="N3242" s="10">
        <v>2268</v>
      </c>
      <c r="O3242" s="9"/>
      <c r="P3242" s="10"/>
      <c r="Q3242" s="10"/>
      <c r="R3242" s="10"/>
      <c r="S3242" s="7" t="s">
        <v>54</v>
      </c>
      <c r="T3242" s="7" t="s">
        <v>8228</v>
      </c>
      <c r="U3242" s="7"/>
      <c r="V3242" s="7"/>
      <c r="W3242" s="7"/>
      <c r="X3242" s="7"/>
      <c r="Y3242" s="7" t="s">
        <v>8293</v>
      </c>
      <c r="Z3242" s="7" t="s">
        <v>8256</v>
      </c>
      <c r="AA3242" s="7"/>
      <c r="AB3242" s="7"/>
      <c r="AC3242" s="7" t="s">
        <v>208</v>
      </c>
      <c r="AD3242" s="7" t="s">
        <v>6975</v>
      </c>
      <c r="AE3242" s="7"/>
      <c r="AF3242" s="7" t="s">
        <v>50</v>
      </c>
      <c r="AG3242" s="7" t="s">
        <v>175</v>
      </c>
      <c r="AH3242" s="7" t="s">
        <v>209</v>
      </c>
    </row>
    <row r="3243" spans="1:34" ht="9.75" customHeight="1" x14ac:dyDescent="0.2">
      <c r="A3243" s="7" t="s">
        <v>8182</v>
      </c>
      <c r="B3243" s="7" t="s">
        <v>38</v>
      </c>
      <c r="C3243" s="7" t="s">
        <v>8294</v>
      </c>
      <c r="D3243" s="7" t="s">
        <v>8295</v>
      </c>
      <c r="E3243" s="8">
        <v>6</v>
      </c>
      <c r="F3243" s="7"/>
      <c r="G3243" s="7"/>
      <c r="H3243" s="9"/>
      <c r="I3243" s="10">
        <v>1880</v>
      </c>
      <c r="J3243" s="10">
        <v>357</v>
      </c>
      <c r="K3243" s="9"/>
      <c r="L3243" s="10">
        <v>2104</v>
      </c>
      <c r="M3243" s="10">
        <v>0</v>
      </c>
      <c r="N3243" s="10">
        <v>2104</v>
      </c>
      <c r="O3243" s="9"/>
      <c r="P3243" s="10"/>
      <c r="Q3243" s="10"/>
      <c r="R3243" s="10"/>
      <c r="S3243" s="7" t="s">
        <v>54</v>
      </c>
      <c r="T3243" s="7" t="s">
        <v>8228</v>
      </c>
      <c r="U3243" s="7"/>
      <c r="V3243" s="7"/>
      <c r="W3243" s="7"/>
      <c r="X3243" s="7"/>
      <c r="Y3243" s="7" t="s">
        <v>8296</v>
      </c>
      <c r="Z3243" s="7" t="s">
        <v>224</v>
      </c>
      <c r="AA3243" s="7"/>
      <c r="AB3243" s="7"/>
      <c r="AC3243" s="7" t="s">
        <v>6546</v>
      </c>
      <c r="AD3243" s="7"/>
      <c r="AE3243" s="7"/>
      <c r="AF3243" s="7" t="s">
        <v>6196</v>
      </c>
      <c r="AG3243" s="7" t="s">
        <v>6197</v>
      </c>
      <c r="AH3243" s="7" t="s">
        <v>6542</v>
      </c>
    </row>
    <row r="3244" spans="1:34" ht="9.75" customHeight="1" x14ac:dyDescent="0.2">
      <c r="A3244" s="7" t="s">
        <v>8182</v>
      </c>
      <c r="B3244" s="7" t="s">
        <v>38</v>
      </c>
      <c r="C3244" s="7" t="s">
        <v>8297</v>
      </c>
      <c r="D3244" s="7" t="s">
        <v>8298</v>
      </c>
      <c r="E3244" s="8">
        <v>6</v>
      </c>
      <c r="F3244" s="7"/>
      <c r="G3244" s="7"/>
      <c r="H3244" s="9"/>
      <c r="I3244" s="10">
        <v>0</v>
      </c>
      <c r="J3244" s="10">
        <v>0</v>
      </c>
      <c r="K3244" s="9"/>
      <c r="L3244" s="10">
        <v>1963</v>
      </c>
      <c r="M3244" s="10">
        <v>0</v>
      </c>
      <c r="N3244" s="10">
        <v>1963</v>
      </c>
      <c r="O3244" s="9"/>
      <c r="P3244" s="10"/>
      <c r="Q3244" s="10"/>
      <c r="R3244" s="10"/>
      <c r="S3244" s="7" t="s">
        <v>54</v>
      </c>
      <c r="T3244" s="7" t="s">
        <v>8228</v>
      </c>
      <c r="U3244" s="7" t="s">
        <v>44</v>
      </c>
      <c r="V3244" s="7" t="s">
        <v>45</v>
      </c>
      <c r="W3244" s="7" t="s">
        <v>46</v>
      </c>
      <c r="X3244" s="7" t="s">
        <v>90</v>
      </c>
      <c r="Y3244" s="7" t="s">
        <v>8299</v>
      </c>
      <c r="Z3244" s="7" t="s">
        <v>224</v>
      </c>
      <c r="AA3244" s="7"/>
      <c r="AB3244" s="7"/>
      <c r="AC3244" s="7" t="s">
        <v>6492</v>
      </c>
      <c r="AD3244" s="7"/>
      <c r="AE3244" s="7"/>
      <c r="AF3244" s="7" t="s">
        <v>113</v>
      </c>
      <c r="AG3244" s="7" t="s">
        <v>366</v>
      </c>
      <c r="AH3244" s="7" t="s">
        <v>6489</v>
      </c>
    </row>
    <row r="3245" spans="1:34" ht="9.75" customHeight="1" x14ac:dyDescent="0.2">
      <c r="A3245" s="7" t="s">
        <v>8182</v>
      </c>
      <c r="B3245" s="7" t="s">
        <v>38</v>
      </c>
      <c r="C3245" s="7" t="s">
        <v>8300</v>
      </c>
      <c r="D3245" s="7" t="s">
        <v>8301</v>
      </c>
      <c r="E3245" s="8">
        <v>6</v>
      </c>
      <c r="F3245" s="7"/>
      <c r="G3245" s="7"/>
      <c r="H3245" s="9"/>
      <c r="I3245" s="10">
        <v>4523</v>
      </c>
      <c r="J3245" s="10">
        <v>0</v>
      </c>
      <c r="K3245" s="9"/>
      <c r="L3245" s="10">
        <v>1954</v>
      </c>
      <c r="M3245" s="10">
        <v>0</v>
      </c>
      <c r="N3245" s="10">
        <v>1954</v>
      </c>
      <c r="O3245" s="9"/>
      <c r="P3245" s="10"/>
      <c r="Q3245" s="10"/>
      <c r="R3245" s="10"/>
      <c r="S3245" s="7" t="s">
        <v>54</v>
      </c>
      <c r="T3245" s="7" t="s">
        <v>8228</v>
      </c>
      <c r="U3245" s="7" t="s">
        <v>44</v>
      </c>
      <c r="V3245" s="7" t="s">
        <v>45</v>
      </c>
      <c r="W3245" s="7" t="s">
        <v>130</v>
      </c>
      <c r="X3245" s="7"/>
      <c r="Y3245" s="7" t="s">
        <v>8302</v>
      </c>
      <c r="Z3245" s="7" t="s">
        <v>224</v>
      </c>
      <c r="AA3245" s="7"/>
      <c r="AB3245" s="7"/>
      <c r="AC3245" s="7" t="s">
        <v>6635</v>
      </c>
      <c r="AD3245" s="7"/>
      <c r="AE3245" s="7"/>
      <c r="AF3245" s="7" t="s">
        <v>5521</v>
      </c>
      <c r="AG3245" s="7" t="s">
        <v>5522</v>
      </c>
      <c r="AH3245" s="7" t="s">
        <v>6631</v>
      </c>
    </row>
    <row r="3246" spans="1:34" ht="9.75" customHeight="1" x14ac:dyDescent="0.2">
      <c r="A3246" s="7" t="s">
        <v>8182</v>
      </c>
      <c r="B3246" s="7" t="s">
        <v>38</v>
      </c>
      <c r="C3246" s="7" t="s">
        <v>8303</v>
      </c>
      <c r="D3246" s="7" t="s">
        <v>8304</v>
      </c>
      <c r="E3246" s="8">
        <v>6</v>
      </c>
      <c r="F3246" s="7"/>
      <c r="G3246" s="7"/>
      <c r="H3246" s="9"/>
      <c r="I3246" s="10">
        <v>5641</v>
      </c>
      <c r="J3246" s="10">
        <v>8512</v>
      </c>
      <c r="K3246" s="9"/>
      <c r="L3246" s="10">
        <v>14862</v>
      </c>
      <c r="M3246" s="10">
        <v>0</v>
      </c>
      <c r="N3246" s="10">
        <v>14862</v>
      </c>
      <c r="O3246" s="9"/>
      <c r="P3246" s="10"/>
      <c r="Q3246" s="10"/>
      <c r="R3246" s="10"/>
      <c r="S3246" s="7" t="s">
        <v>54</v>
      </c>
      <c r="T3246" s="7" t="s">
        <v>8228</v>
      </c>
      <c r="U3246" s="7" t="s">
        <v>44</v>
      </c>
      <c r="V3246" s="7" t="s">
        <v>45</v>
      </c>
      <c r="W3246" s="7" t="s">
        <v>46</v>
      </c>
      <c r="X3246" s="7"/>
      <c r="Y3246" s="7" t="s">
        <v>8305</v>
      </c>
      <c r="Z3246" s="7" t="s">
        <v>224</v>
      </c>
      <c r="AA3246" s="7"/>
      <c r="AB3246" s="7"/>
      <c r="AC3246" s="7" t="s">
        <v>6431</v>
      </c>
      <c r="AD3246" s="7"/>
      <c r="AE3246" s="7"/>
      <c r="AF3246" s="7" t="s">
        <v>6249</v>
      </c>
      <c r="AG3246" s="7" t="s">
        <v>6432</v>
      </c>
      <c r="AH3246" s="7" t="s">
        <v>6433</v>
      </c>
    </row>
    <row r="3247" spans="1:34" ht="9.75" customHeight="1" x14ac:dyDescent="0.2">
      <c r="A3247" s="7" t="s">
        <v>8182</v>
      </c>
      <c r="B3247" s="7" t="s">
        <v>38</v>
      </c>
      <c r="C3247" s="7" t="s">
        <v>8306</v>
      </c>
      <c r="D3247" s="7" t="s">
        <v>8307</v>
      </c>
      <c r="E3247" s="8">
        <v>6</v>
      </c>
      <c r="F3247" s="7"/>
      <c r="G3247" s="7"/>
      <c r="H3247" s="9"/>
      <c r="I3247" s="10">
        <v>9882</v>
      </c>
      <c r="J3247" s="10">
        <v>10157</v>
      </c>
      <c r="K3247" s="9"/>
      <c r="L3247" s="10">
        <v>9296</v>
      </c>
      <c r="M3247" s="10">
        <v>0</v>
      </c>
      <c r="N3247" s="10">
        <v>9296</v>
      </c>
      <c r="O3247" s="9"/>
      <c r="P3247" s="10"/>
      <c r="Q3247" s="10"/>
      <c r="R3247" s="10"/>
      <c r="S3247" s="7" t="s">
        <v>54</v>
      </c>
      <c r="T3247" s="7" t="s">
        <v>8228</v>
      </c>
      <c r="U3247" s="7" t="s">
        <v>44</v>
      </c>
      <c r="V3247" s="7" t="s">
        <v>45</v>
      </c>
      <c r="W3247" s="7" t="s">
        <v>46</v>
      </c>
      <c r="X3247" s="7" t="s">
        <v>4856</v>
      </c>
      <c r="Y3247" s="7" t="s">
        <v>8308</v>
      </c>
      <c r="Z3247" s="7" t="s">
        <v>224</v>
      </c>
      <c r="AA3247" s="7"/>
      <c r="AB3247" s="7"/>
      <c r="AC3247" s="7" t="s">
        <v>6524</v>
      </c>
      <c r="AD3247" s="7"/>
      <c r="AE3247" s="7"/>
      <c r="AF3247" s="7" t="s">
        <v>113</v>
      </c>
      <c r="AG3247" s="7" t="s">
        <v>366</v>
      </c>
      <c r="AH3247" s="7" t="s">
        <v>6520</v>
      </c>
    </row>
    <row r="3248" spans="1:34" ht="9.75" customHeight="1" x14ac:dyDescent="0.2">
      <c r="A3248" s="7" t="s">
        <v>8182</v>
      </c>
      <c r="B3248" s="7" t="s">
        <v>38</v>
      </c>
      <c r="C3248" s="7" t="s">
        <v>8309</v>
      </c>
      <c r="D3248" s="7" t="s">
        <v>8310</v>
      </c>
      <c r="E3248" s="8">
        <v>6</v>
      </c>
      <c r="F3248" s="7"/>
      <c r="G3248" s="7"/>
      <c r="H3248" s="9"/>
      <c r="I3248" s="10">
        <v>8393</v>
      </c>
      <c r="J3248" s="10">
        <v>6479</v>
      </c>
      <c r="K3248" s="9"/>
      <c r="L3248" s="10">
        <v>6411</v>
      </c>
      <c r="M3248" s="10">
        <v>0</v>
      </c>
      <c r="N3248" s="10">
        <v>6411</v>
      </c>
      <c r="O3248" s="9"/>
      <c r="P3248" s="10"/>
      <c r="Q3248" s="10"/>
      <c r="R3248" s="10"/>
      <c r="S3248" s="7" t="s">
        <v>54</v>
      </c>
      <c r="T3248" s="7" t="s">
        <v>8228</v>
      </c>
      <c r="U3248" s="7" t="s">
        <v>44</v>
      </c>
      <c r="V3248" s="7" t="s">
        <v>45</v>
      </c>
      <c r="W3248" s="7" t="s">
        <v>130</v>
      </c>
      <c r="X3248" s="7"/>
      <c r="Y3248" s="7" t="s">
        <v>8311</v>
      </c>
      <c r="Z3248" s="7" t="s">
        <v>4140</v>
      </c>
      <c r="AA3248" s="7"/>
      <c r="AB3248" s="7"/>
      <c r="AC3248" s="7" t="s">
        <v>7456</v>
      </c>
      <c r="AD3248" s="7"/>
      <c r="AE3248" s="7"/>
      <c r="AF3248" s="7" t="s">
        <v>113</v>
      </c>
      <c r="AG3248" s="7" t="s">
        <v>297</v>
      </c>
      <c r="AH3248" s="7" t="s">
        <v>7457</v>
      </c>
    </row>
    <row r="3249" spans="1:37" ht="9.75" customHeight="1" x14ac:dyDescent="0.2">
      <c r="A3249" s="7" t="s">
        <v>8182</v>
      </c>
      <c r="B3249" s="7" t="s">
        <v>38</v>
      </c>
      <c r="C3249" s="7" t="s">
        <v>8312</v>
      </c>
      <c r="D3249" s="7" t="s">
        <v>8313</v>
      </c>
      <c r="E3249" s="8">
        <v>6</v>
      </c>
      <c r="F3249" s="7"/>
      <c r="G3249" s="7"/>
      <c r="H3249" s="9"/>
      <c r="I3249" s="10">
        <v>3954</v>
      </c>
      <c r="J3249" s="10">
        <v>3951</v>
      </c>
      <c r="K3249" s="9"/>
      <c r="L3249" s="10">
        <v>5308</v>
      </c>
      <c r="M3249" s="10">
        <v>0</v>
      </c>
      <c r="N3249" s="10">
        <v>5308</v>
      </c>
      <c r="O3249" s="9"/>
      <c r="P3249" s="10"/>
      <c r="Q3249" s="10"/>
      <c r="R3249" s="10"/>
      <c r="S3249" s="7" t="s">
        <v>54</v>
      </c>
      <c r="T3249" s="7" t="s">
        <v>8228</v>
      </c>
      <c r="U3249" s="7" t="s">
        <v>44</v>
      </c>
      <c r="V3249" s="7" t="s">
        <v>45</v>
      </c>
      <c r="W3249" s="7" t="s">
        <v>46</v>
      </c>
      <c r="X3249" s="7" t="s">
        <v>4856</v>
      </c>
      <c r="Y3249" s="7" t="s">
        <v>8314</v>
      </c>
      <c r="Z3249" s="7" t="s">
        <v>8315</v>
      </c>
      <c r="AA3249" s="7"/>
      <c r="AB3249" s="7"/>
      <c r="AC3249" s="7" t="s">
        <v>7714</v>
      </c>
      <c r="AD3249" s="7"/>
      <c r="AE3249" s="7"/>
      <c r="AF3249" s="7" t="s">
        <v>5521</v>
      </c>
      <c r="AG3249" s="7" t="s">
        <v>5522</v>
      </c>
      <c r="AH3249" s="7" t="s">
        <v>7715</v>
      </c>
    </row>
    <row r="3250" spans="1:37" ht="9.75" customHeight="1" x14ac:dyDescent="0.2">
      <c r="A3250" s="7" t="s">
        <v>8182</v>
      </c>
      <c r="B3250" s="7" t="s">
        <v>38</v>
      </c>
      <c r="C3250" s="7" t="s">
        <v>8316</v>
      </c>
      <c r="D3250" s="7" t="s">
        <v>8317</v>
      </c>
      <c r="E3250" s="8">
        <v>6</v>
      </c>
      <c r="F3250" s="7"/>
      <c r="G3250" s="7"/>
      <c r="H3250" s="9"/>
      <c r="I3250" s="10">
        <v>1851</v>
      </c>
      <c r="J3250" s="10">
        <v>2139</v>
      </c>
      <c r="K3250" s="9"/>
      <c r="L3250" s="10">
        <v>2688</v>
      </c>
      <c r="M3250" s="10">
        <v>0</v>
      </c>
      <c r="N3250" s="10">
        <v>2688</v>
      </c>
      <c r="O3250" s="9"/>
      <c r="P3250" s="10"/>
      <c r="Q3250" s="10"/>
      <c r="R3250" s="10"/>
      <c r="S3250" s="7" t="s">
        <v>54</v>
      </c>
      <c r="T3250" s="7" t="s">
        <v>8228</v>
      </c>
      <c r="U3250" s="7" t="s">
        <v>44</v>
      </c>
      <c r="V3250" s="7" t="s">
        <v>45</v>
      </c>
      <c r="W3250" s="7" t="s">
        <v>4779</v>
      </c>
      <c r="X3250" s="7" t="s">
        <v>4780</v>
      </c>
      <c r="Y3250" s="7" t="s">
        <v>8318</v>
      </c>
      <c r="Z3250" s="7" t="s">
        <v>8315</v>
      </c>
      <c r="AA3250" s="7"/>
      <c r="AB3250" s="7"/>
      <c r="AC3250" s="7" t="s">
        <v>6830</v>
      </c>
      <c r="AD3250" s="7" t="s">
        <v>6834</v>
      </c>
      <c r="AE3250" s="7"/>
      <c r="AF3250" s="7" t="s">
        <v>113</v>
      </c>
      <c r="AG3250" s="7" t="s">
        <v>297</v>
      </c>
      <c r="AH3250" s="7" t="s">
        <v>6831</v>
      </c>
    </row>
    <row r="3251" spans="1:37" ht="9.75" customHeight="1" x14ac:dyDescent="0.2">
      <c r="A3251" s="7" t="s">
        <v>8182</v>
      </c>
      <c r="B3251" s="7" t="s">
        <v>38</v>
      </c>
      <c r="C3251" s="7" t="s">
        <v>8319</v>
      </c>
      <c r="D3251" s="7" t="s">
        <v>8320</v>
      </c>
      <c r="E3251" s="8">
        <v>6</v>
      </c>
      <c r="F3251" s="7"/>
      <c r="G3251" s="7"/>
      <c r="H3251" s="9"/>
      <c r="I3251" s="10">
        <v>1622</v>
      </c>
      <c r="J3251" s="10">
        <v>2046</v>
      </c>
      <c r="K3251" s="9"/>
      <c r="L3251" s="10">
        <v>2679</v>
      </c>
      <c r="M3251" s="10">
        <v>0</v>
      </c>
      <c r="N3251" s="10">
        <v>2679</v>
      </c>
      <c r="O3251" s="9"/>
      <c r="P3251" s="10"/>
      <c r="Q3251" s="10"/>
      <c r="R3251" s="10"/>
      <c r="S3251" s="7" t="s">
        <v>54</v>
      </c>
      <c r="T3251" s="7" t="s">
        <v>8228</v>
      </c>
      <c r="U3251" s="7" t="s">
        <v>44</v>
      </c>
      <c r="V3251" s="7" t="s">
        <v>45</v>
      </c>
      <c r="W3251" s="7" t="s">
        <v>46</v>
      </c>
      <c r="X3251" s="7"/>
      <c r="Y3251" s="7" t="s">
        <v>8321</v>
      </c>
      <c r="Z3251" s="7" t="s">
        <v>224</v>
      </c>
      <c r="AA3251" s="7"/>
      <c r="AB3251" s="7"/>
      <c r="AC3251" s="7" t="s">
        <v>6741</v>
      </c>
      <c r="AD3251" s="7"/>
      <c r="AE3251" s="7"/>
      <c r="AF3251" s="7" t="s">
        <v>6249</v>
      </c>
      <c r="AG3251" s="7" t="s">
        <v>6745</v>
      </c>
      <c r="AH3251" s="7" t="s">
        <v>6742</v>
      </c>
    </row>
    <row r="3252" spans="1:37" ht="9.75" customHeight="1" x14ac:dyDescent="0.2">
      <c r="A3252" s="7" t="s">
        <v>8182</v>
      </c>
      <c r="B3252" s="7" t="s">
        <v>38</v>
      </c>
      <c r="C3252" s="7" t="s">
        <v>8322</v>
      </c>
      <c r="D3252" s="7" t="s">
        <v>8323</v>
      </c>
      <c r="E3252" s="8">
        <v>6</v>
      </c>
      <c r="F3252" s="7"/>
      <c r="G3252" s="7"/>
      <c r="H3252" s="9"/>
      <c r="I3252" s="10">
        <v>2324</v>
      </c>
      <c r="J3252" s="10">
        <v>2515</v>
      </c>
      <c r="K3252" s="9"/>
      <c r="L3252" s="10">
        <v>2023</v>
      </c>
      <c r="M3252" s="10">
        <v>0</v>
      </c>
      <c r="N3252" s="10">
        <v>2023</v>
      </c>
      <c r="O3252" s="9"/>
      <c r="P3252" s="10"/>
      <c r="Q3252" s="10"/>
      <c r="R3252" s="10"/>
      <c r="S3252" s="7" t="s">
        <v>54</v>
      </c>
      <c r="T3252" s="7" t="s">
        <v>8228</v>
      </c>
      <c r="U3252" s="7"/>
      <c r="V3252" s="7"/>
      <c r="W3252" s="7"/>
      <c r="X3252" s="7"/>
      <c r="Y3252" s="7" t="s">
        <v>8324</v>
      </c>
      <c r="Z3252" s="7" t="s">
        <v>8315</v>
      </c>
      <c r="AA3252" s="7"/>
      <c r="AB3252" s="7"/>
      <c r="AC3252" s="7" t="s">
        <v>7856</v>
      </c>
      <c r="AD3252" s="7"/>
      <c r="AE3252" s="7"/>
      <c r="AF3252" s="7" t="s">
        <v>113</v>
      </c>
      <c r="AG3252" s="7" t="s">
        <v>297</v>
      </c>
      <c r="AH3252" s="7" t="s">
        <v>7857</v>
      </c>
    </row>
    <row r="3253" spans="1:37" ht="9.75" customHeight="1" x14ac:dyDescent="0.2">
      <c r="A3253" s="7" t="s">
        <v>8182</v>
      </c>
      <c r="B3253" s="7" t="s">
        <v>38</v>
      </c>
      <c r="C3253" s="7" t="s">
        <v>8325</v>
      </c>
      <c r="D3253" s="7" t="s">
        <v>8326</v>
      </c>
      <c r="E3253" s="8">
        <v>6</v>
      </c>
      <c r="F3253" s="7"/>
      <c r="G3253" s="7"/>
      <c r="H3253" s="9"/>
      <c r="I3253" s="10">
        <v>1874</v>
      </c>
      <c r="J3253" s="10">
        <v>1000</v>
      </c>
      <c r="K3253" s="9"/>
      <c r="L3253" s="10">
        <v>1929</v>
      </c>
      <c r="M3253" s="10">
        <v>0</v>
      </c>
      <c r="N3253" s="10">
        <v>1929</v>
      </c>
      <c r="O3253" s="9"/>
      <c r="P3253" s="10"/>
      <c r="Q3253" s="10"/>
      <c r="R3253" s="10"/>
      <c r="S3253" s="7" t="s">
        <v>54</v>
      </c>
      <c r="T3253" s="7" t="s">
        <v>8228</v>
      </c>
      <c r="U3253" s="7" t="s">
        <v>44</v>
      </c>
      <c r="V3253" s="7" t="s">
        <v>45</v>
      </c>
      <c r="W3253" s="7" t="s">
        <v>130</v>
      </c>
      <c r="X3253" s="7"/>
      <c r="Y3253" s="7" t="s">
        <v>8327</v>
      </c>
      <c r="Z3253" s="7" t="s">
        <v>224</v>
      </c>
      <c r="AA3253" s="7"/>
      <c r="AB3253" s="7"/>
      <c r="AC3253" s="7" t="s">
        <v>6635</v>
      </c>
      <c r="AD3253" s="7"/>
      <c r="AE3253" s="7"/>
      <c r="AF3253" s="7" t="s">
        <v>5521</v>
      </c>
      <c r="AG3253" s="7" t="s">
        <v>5522</v>
      </c>
      <c r="AH3253" s="7" t="s">
        <v>6631</v>
      </c>
    </row>
    <row r="3254" spans="1:37" ht="9.75" customHeight="1" x14ac:dyDescent="0.2">
      <c r="A3254" s="7" t="s">
        <v>8182</v>
      </c>
      <c r="B3254" s="7" t="s">
        <v>38</v>
      </c>
      <c r="C3254" s="7" t="s">
        <v>8328</v>
      </c>
      <c r="D3254" s="7" t="s">
        <v>8329</v>
      </c>
      <c r="E3254" s="8">
        <v>6</v>
      </c>
      <c r="F3254" s="7"/>
      <c r="G3254" s="7"/>
      <c r="H3254" s="9"/>
      <c r="I3254" s="10">
        <v>478691</v>
      </c>
      <c r="J3254" s="10">
        <v>0</v>
      </c>
      <c r="K3254" s="9"/>
      <c r="L3254" s="10">
        <v>0</v>
      </c>
      <c r="M3254" s="10">
        <v>0</v>
      </c>
      <c r="N3254" s="10">
        <v>0</v>
      </c>
      <c r="O3254" s="9"/>
      <c r="P3254" s="10"/>
      <c r="Q3254" s="10"/>
      <c r="R3254" s="10"/>
      <c r="S3254" s="7" t="s">
        <v>54</v>
      </c>
      <c r="T3254" s="7" t="s">
        <v>8330</v>
      </c>
      <c r="U3254" s="7" t="s">
        <v>44</v>
      </c>
      <c r="V3254" s="7" t="s">
        <v>45</v>
      </c>
      <c r="W3254" s="7" t="s">
        <v>46</v>
      </c>
      <c r="X3254" s="7" t="s">
        <v>90</v>
      </c>
      <c r="Y3254" s="7" t="s">
        <v>8331</v>
      </c>
      <c r="Z3254" s="7" t="s">
        <v>8332</v>
      </c>
      <c r="AA3254" s="7"/>
      <c r="AB3254" s="7"/>
      <c r="AC3254" s="7" t="s">
        <v>8333</v>
      </c>
      <c r="AD3254" s="7"/>
      <c r="AE3254" s="7"/>
      <c r="AF3254" s="7"/>
      <c r="AG3254" s="7"/>
      <c r="AH3254" s="7"/>
    </row>
    <row r="3255" spans="1:37" ht="9.75" customHeight="1" x14ac:dyDescent="0.2">
      <c r="A3255" s="7" t="s">
        <v>8334</v>
      </c>
      <c r="B3255" s="7" t="s">
        <v>38</v>
      </c>
      <c r="C3255" s="7" t="s">
        <v>8335</v>
      </c>
      <c r="D3255" s="7" t="s">
        <v>8336</v>
      </c>
      <c r="E3255" s="8">
        <v>4</v>
      </c>
      <c r="F3255" s="7"/>
      <c r="G3255" s="7" t="s">
        <v>8337</v>
      </c>
      <c r="H3255" s="9"/>
      <c r="I3255" s="10">
        <v>1284705</v>
      </c>
      <c r="J3255" s="10">
        <v>1793867</v>
      </c>
      <c r="K3255" s="9"/>
      <c r="L3255" s="10">
        <v>2582029</v>
      </c>
      <c r="M3255" s="10">
        <v>62000</v>
      </c>
      <c r="N3255" s="10">
        <v>2644029</v>
      </c>
      <c r="O3255" s="9"/>
      <c r="P3255" s="10">
        <v>137000</v>
      </c>
      <c r="Q3255" s="10">
        <v>2541712</v>
      </c>
      <c r="R3255" s="10">
        <v>2678712</v>
      </c>
      <c r="S3255" s="7" t="s">
        <v>43</v>
      </c>
      <c r="T3255" s="7"/>
      <c r="U3255" s="7" t="s">
        <v>44</v>
      </c>
      <c r="V3255" s="7" t="s">
        <v>45</v>
      </c>
      <c r="W3255" s="7" t="s">
        <v>46</v>
      </c>
      <c r="X3255" s="7" t="s">
        <v>47</v>
      </c>
      <c r="Y3255" s="7" t="s">
        <v>8338</v>
      </c>
      <c r="Z3255" s="7" t="s">
        <v>49</v>
      </c>
      <c r="AA3255" s="7"/>
      <c r="AB3255" s="7"/>
      <c r="AC3255" s="7" t="s">
        <v>8335</v>
      </c>
      <c r="AD3255" s="7"/>
      <c r="AE3255" s="7"/>
      <c r="AF3255" s="7" t="s">
        <v>5521</v>
      </c>
      <c r="AG3255" s="7" t="s">
        <v>5522</v>
      </c>
      <c r="AH3255" s="7" t="s">
        <v>8336</v>
      </c>
      <c r="AI3255">
        <v>3912267</v>
      </c>
      <c r="AK3255">
        <v>3912267</v>
      </c>
    </row>
    <row r="3256" spans="1:37" ht="9.75" customHeight="1" x14ac:dyDescent="0.2">
      <c r="A3256" s="7" t="s">
        <v>8334</v>
      </c>
      <c r="B3256" s="7" t="s">
        <v>38</v>
      </c>
      <c r="C3256" s="7"/>
      <c r="D3256" s="7" t="s">
        <v>8339</v>
      </c>
      <c r="E3256" s="8">
        <v>4</v>
      </c>
      <c r="F3256" s="7"/>
      <c r="G3256" s="7" t="s">
        <v>8340</v>
      </c>
      <c r="H3256" s="9"/>
      <c r="I3256" s="10">
        <v>304115</v>
      </c>
      <c r="J3256" s="10">
        <v>209997</v>
      </c>
      <c r="K3256" s="9"/>
      <c r="L3256" s="10">
        <v>94372</v>
      </c>
      <c r="M3256" s="9"/>
      <c r="N3256" s="10">
        <v>94372</v>
      </c>
      <c r="O3256" s="9"/>
      <c r="P3256" s="10"/>
      <c r="Q3256" s="10"/>
      <c r="R3256" s="10"/>
      <c r="S3256" s="7" t="s">
        <v>54</v>
      </c>
      <c r="T3256" s="7" t="s">
        <v>8341</v>
      </c>
      <c r="U3256" s="7" t="s">
        <v>44</v>
      </c>
      <c r="V3256" s="7" t="s">
        <v>45</v>
      </c>
      <c r="W3256" s="7" t="s">
        <v>46</v>
      </c>
      <c r="X3256" s="7" t="s">
        <v>4856</v>
      </c>
      <c r="Y3256" s="7" t="s">
        <v>8342</v>
      </c>
      <c r="Z3256" s="7" t="s">
        <v>528</v>
      </c>
      <c r="AA3256" s="7"/>
      <c r="AB3256" s="7"/>
      <c r="AC3256" s="7" t="s">
        <v>8335</v>
      </c>
      <c r="AD3256" s="7" t="s">
        <v>8343</v>
      </c>
      <c r="AE3256" s="7"/>
      <c r="AF3256" s="7" t="s">
        <v>5521</v>
      </c>
      <c r="AG3256" s="7" t="s">
        <v>5522</v>
      </c>
      <c r="AH3256" s="7" t="s">
        <v>8336</v>
      </c>
    </row>
    <row r="3257" spans="1:37" ht="9.75" customHeight="1" x14ac:dyDescent="0.2">
      <c r="A3257" s="7" t="s">
        <v>8334</v>
      </c>
      <c r="B3257" s="7" t="s">
        <v>38</v>
      </c>
      <c r="C3257" s="7"/>
      <c r="D3257" s="7" t="s">
        <v>8344</v>
      </c>
      <c r="E3257" s="8">
        <v>4</v>
      </c>
      <c r="F3257" s="7"/>
      <c r="G3257" s="7" t="s">
        <v>8345</v>
      </c>
      <c r="H3257" s="9"/>
      <c r="I3257" s="10">
        <v>716119</v>
      </c>
      <c r="J3257" s="10">
        <v>777853</v>
      </c>
      <c r="K3257" s="9"/>
      <c r="L3257" s="10">
        <v>873363</v>
      </c>
      <c r="M3257" s="9"/>
      <c r="N3257" s="10">
        <v>873363</v>
      </c>
      <c r="O3257" s="9"/>
      <c r="P3257" s="10"/>
      <c r="Q3257" s="10"/>
      <c r="R3257" s="10"/>
      <c r="S3257" s="7" t="s">
        <v>54</v>
      </c>
      <c r="T3257" s="7" t="s">
        <v>8341</v>
      </c>
      <c r="U3257" s="7" t="s">
        <v>44</v>
      </c>
      <c r="V3257" s="7" t="s">
        <v>45</v>
      </c>
      <c r="W3257" s="7" t="s">
        <v>46</v>
      </c>
      <c r="X3257" s="7"/>
      <c r="Y3257" s="7" t="s">
        <v>8346</v>
      </c>
      <c r="Z3257" s="7" t="s">
        <v>871</v>
      </c>
      <c r="AA3257" s="7"/>
      <c r="AB3257" s="7"/>
      <c r="AC3257" s="7" t="s">
        <v>8335</v>
      </c>
      <c r="AD3257" s="7" t="s">
        <v>8347</v>
      </c>
      <c r="AE3257" s="7"/>
      <c r="AF3257" s="7" t="s">
        <v>5521</v>
      </c>
      <c r="AG3257" s="7" t="s">
        <v>5522</v>
      </c>
      <c r="AH3257" s="7" t="s">
        <v>8336</v>
      </c>
    </row>
    <row r="3258" spans="1:37" ht="9.75" customHeight="1" x14ac:dyDescent="0.2">
      <c r="A3258" s="7" t="s">
        <v>8334</v>
      </c>
      <c r="B3258" s="7" t="s">
        <v>38</v>
      </c>
      <c r="C3258" s="7"/>
      <c r="D3258" s="7" t="s">
        <v>8348</v>
      </c>
      <c r="E3258" s="8">
        <v>4</v>
      </c>
      <c r="F3258" s="7"/>
      <c r="G3258" s="7" t="s">
        <v>8349</v>
      </c>
      <c r="H3258" s="9"/>
      <c r="I3258" s="10">
        <v>264471</v>
      </c>
      <c r="J3258" s="10">
        <v>806017</v>
      </c>
      <c r="K3258" s="9"/>
      <c r="L3258" s="10">
        <v>1614294</v>
      </c>
      <c r="M3258" s="9"/>
      <c r="N3258" s="10">
        <v>1614294</v>
      </c>
      <c r="O3258" s="9"/>
      <c r="P3258" s="10"/>
      <c r="Q3258" s="10"/>
      <c r="R3258" s="10"/>
      <c r="S3258" s="7" t="s">
        <v>54</v>
      </c>
      <c r="T3258" s="7" t="s">
        <v>8341</v>
      </c>
      <c r="U3258" s="7" t="s">
        <v>44</v>
      </c>
      <c r="V3258" s="7" t="s">
        <v>45</v>
      </c>
      <c r="W3258" s="7" t="s">
        <v>46</v>
      </c>
      <c r="X3258" s="7" t="s">
        <v>47</v>
      </c>
      <c r="Y3258" s="7" t="s">
        <v>8350</v>
      </c>
      <c r="Z3258" s="7" t="s">
        <v>1055</v>
      </c>
      <c r="AA3258" s="7"/>
      <c r="AB3258" s="7"/>
      <c r="AC3258" s="7" t="s">
        <v>8335</v>
      </c>
      <c r="AD3258" s="7" t="s">
        <v>8343</v>
      </c>
      <c r="AE3258" s="7"/>
      <c r="AF3258" s="7" t="s">
        <v>5521</v>
      </c>
      <c r="AG3258" s="7" t="s">
        <v>5522</v>
      </c>
      <c r="AH3258" s="7" t="s">
        <v>8336</v>
      </c>
    </row>
    <row r="3259" spans="1:37" ht="9.75" customHeight="1" x14ac:dyDescent="0.2">
      <c r="A3259" s="7" t="s">
        <v>8334</v>
      </c>
      <c r="B3259" s="7" t="s">
        <v>38</v>
      </c>
      <c r="C3259" s="7" t="s">
        <v>8351</v>
      </c>
      <c r="D3259" s="7" t="s">
        <v>8352</v>
      </c>
      <c r="E3259" s="8">
        <v>6</v>
      </c>
      <c r="F3259" s="7"/>
      <c r="G3259" s="7" t="s">
        <v>8353</v>
      </c>
      <c r="H3259" s="9"/>
      <c r="I3259" s="10">
        <v>7954</v>
      </c>
      <c r="J3259" s="10">
        <v>8133</v>
      </c>
      <c r="K3259" s="9"/>
      <c r="L3259" s="10">
        <v>0</v>
      </c>
      <c r="M3259" s="9"/>
      <c r="N3259" s="10">
        <v>0</v>
      </c>
      <c r="O3259" s="9"/>
      <c r="P3259" s="10">
        <v>225000</v>
      </c>
      <c r="Q3259" s="10">
        <v>127222</v>
      </c>
      <c r="R3259" s="10">
        <v>352222</v>
      </c>
      <c r="S3259" s="7" t="s">
        <v>219</v>
      </c>
      <c r="T3259" s="7"/>
      <c r="U3259" s="7" t="s">
        <v>44</v>
      </c>
      <c r="V3259" s="7" t="s">
        <v>45</v>
      </c>
      <c r="W3259" s="7" t="s">
        <v>46</v>
      </c>
      <c r="X3259" s="7"/>
      <c r="Y3259" s="7" t="s">
        <v>8354</v>
      </c>
      <c r="Z3259" s="7" t="s">
        <v>1160</v>
      </c>
      <c r="AA3259" s="7"/>
      <c r="AB3259" s="7"/>
      <c r="AC3259" s="7" t="s">
        <v>8351</v>
      </c>
      <c r="AD3259" s="7" t="s">
        <v>8352</v>
      </c>
      <c r="AE3259" s="7"/>
      <c r="AF3259" s="7"/>
      <c r="AG3259" s="7"/>
      <c r="AH3259" s="7" t="s">
        <v>8352</v>
      </c>
    </row>
    <row r="3260" spans="1:37" ht="9.75" customHeight="1" x14ac:dyDescent="0.2">
      <c r="A3260" s="7" t="s">
        <v>8334</v>
      </c>
      <c r="B3260" s="7" t="s">
        <v>38</v>
      </c>
      <c r="C3260" s="7" t="s">
        <v>8355</v>
      </c>
      <c r="D3260" s="7" t="s">
        <v>8356</v>
      </c>
      <c r="E3260" s="8">
        <v>4</v>
      </c>
      <c r="F3260" s="7"/>
      <c r="G3260" s="7" t="s">
        <v>8357</v>
      </c>
      <c r="H3260" s="9"/>
      <c r="I3260" s="10">
        <v>77904</v>
      </c>
      <c r="J3260" s="10">
        <v>32677</v>
      </c>
      <c r="K3260" s="9"/>
      <c r="L3260" s="10">
        <v>12593</v>
      </c>
      <c r="M3260" s="10">
        <v>193977</v>
      </c>
      <c r="N3260" s="10">
        <v>206570</v>
      </c>
      <c r="O3260" s="9"/>
      <c r="P3260" s="10">
        <v>679695</v>
      </c>
      <c r="Q3260" s="10">
        <v>7193</v>
      </c>
      <c r="R3260" s="10">
        <v>686888</v>
      </c>
      <c r="S3260" s="7"/>
      <c r="T3260" s="7"/>
      <c r="U3260" s="7"/>
      <c r="V3260" s="7"/>
      <c r="W3260" s="7"/>
      <c r="X3260" s="7"/>
      <c r="Y3260" s="7" t="s">
        <v>8358</v>
      </c>
      <c r="Z3260" s="7" t="s">
        <v>1208</v>
      </c>
      <c r="AA3260" s="7"/>
      <c r="AB3260" s="7"/>
      <c r="AC3260" s="7" t="s">
        <v>8355</v>
      </c>
      <c r="AD3260" s="7" t="s">
        <v>8356</v>
      </c>
      <c r="AE3260" s="7"/>
      <c r="AF3260" s="7"/>
      <c r="AG3260" s="7"/>
      <c r="AH3260" s="7" t="s">
        <v>8356</v>
      </c>
      <c r="AI3260">
        <v>1015106</v>
      </c>
      <c r="AJ3260">
        <v>1993803</v>
      </c>
      <c r="AK3260">
        <v>3008909</v>
      </c>
    </row>
    <row r="3261" spans="1:37" ht="9.75" customHeight="1" x14ac:dyDescent="0.2">
      <c r="A3261" s="7" t="s">
        <v>8334</v>
      </c>
      <c r="B3261" s="7" t="s">
        <v>38</v>
      </c>
      <c r="C3261" s="7" t="s">
        <v>8359</v>
      </c>
      <c r="D3261" s="7" t="s">
        <v>8360</v>
      </c>
      <c r="E3261" s="8">
        <v>4</v>
      </c>
      <c r="F3261" s="7"/>
      <c r="G3261" s="7" t="s">
        <v>8361</v>
      </c>
      <c r="H3261" s="9"/>
      <c r="I3261" s="10">
        <v>385678</v>
      </c>
      <c r="J3261" s="10">
        <v>191493</v>
      </c>
      <c r="K3261" s="9"/>
      <c r="L3261" s="10">
        <v>69913</v>
      </c>
      <c r="M3261" s="9"/>
      <c r="N3261" s="10">
        <v>69913</v>
      </c>
      <c r="O3261" s="9"/>
      <c r="P3261" s="10"/>
      <c r="Q3261" s="10"/>
      <c r="R3261" s="10"/>
      <c r="S3261" s="7" t="s">
        <v>219</v>
      </c>
      <c r="T3261" s="7"/>
      <c r="U3261" s="7"/>
      <c r="V3261" s="7"/>
      <c r="W3261" s="7"/>
      <c r="X3261" s="7"/>
      <c r="Y3261" s="7" t="s">
        <v>8362</v>
      </c>
      <c r="Z3261" s="7" t="s">
        <v>1343</v>
      </c>
      <c r="AA3261" s="7"/>
      <c r="AB3261" s="7"/>
      <c r="AC3261" s="7" t="s">
        <v>8359</v>
      </c>
      <c r="AD3261" s="7" t="s">
        <v>8360</v>
      </c>
      <c r="AE3261" s="7"/>
      <c r="AF3261" s="7"/>
      <c r="AG3261" s="7"/>
      <c r="AH3261" s="7" t="s">
        <v>8360</v>
      </c>
    </row>
    <row r="3262" spans="1:37" ht="9.75" customHeight="1" x14ac:dyDescent="0.2">
      <c r="A3262" s="7" t="s">
        <v>8334</v>
      </c>
      <c r="B3262" s="7" t="s">
        <v>38</v>
      </c>
      <c r="C3262" s="7" t="s">
        <v>8363</v>
      </c>
      <c r="D3262" s="7" t="s">
        <v>8364</v>
      </c>
      <c r="E3262" s="8">
        <v>4</v>
      </c>
      <c r="F3262" s="7"/>
      <c r="G3262" s="7" t="s">
        <v>8365</v>
      </c>
      <c r="H3262" s="9"/>
      <c r="I3262" s="10">
        <v>197650</v>
      </c>
      <c r="J3262" s="10">
        <v>86023</v>
      </c>
      <c r="K3262" s="9"/>
      <c r="L3262" s="10">
        <v>84713</v>
      </c>
      <c r="M3262" s="9"/>
      <c r="N3262" s="10">
        <v>84713</v>
      </c>
      <c r="O3262" s="9"/>
      <c r="P3262" s="10"/>
      <c r="Q3262" s="10"/>
      <c r="R3262" s="10"/>
      <c r="S3262" s="7" t="s">
        <v>219</v>
      </c>
      <c r="T3262" s="7"/>
      <c r="U3262" s="7"/>
      <c r="V3262" s="7"/>
      <c r="W3262" s="7"/>
      <c r="X3262" s="7"/>
      <c r="Y3262" s="7" t="s">
        <v>8366</v>
      </c>
      <c r="Z3262" s="7" t="s">
        <v>81</v>
      </c>
      <c r="AA3262" s="7"/>
      <c r="AB3262" s="7"/>
      <c r="AC3262" s="7" t="s">
        <v>8363</v>
      </c>
      <c r="AD3262" s="7" t="s">
        <v>8367</v>
      </c>
      <c r="AE3262" s="7"/>
      <c r="AF3262" s="7"/>
      <c r="AG3262" s="7"/>
      <c r="AH3262" s="7" t="s">
        <v>8364</v>
      </c>
    </row>
    <row r="3263" spans="1:37" ht="9.75" customHeight="1" x14ac:dyDescent="0.2">
      <c r="A3263" s="7" t="s">
        <v>8334</v>
      </c>
      <c r="B3263" s="7" t="s">
        <v>38</v>
      </c>
      <c r="C3263" s="7" t="s">
        <v>6741</v>
      </c>
      <c r="D3263" s="7" t="s">
        <v>8368</v>
      </c>
      <c r="E3263" s="8">
        <v>4</v>
      </c>
      <c r="F3263" s="7"/>
      <c r="G3263" s="7" t="s">
        <v>8369</v>
      </c>
      <c r="H3263" s="9"/>
      <c r="I3263" s="10">
        <v>0</v>
      </c>
      <c r="J3263" s="10">
        <v>0</v>
      </c>
      <c r="K3263" s="9"/>
      <c r="L3263" s="10">
        <v>301858</v>
      </c>
      <c r="M3263" s="9"/>
      <c r="N3263" s="10">
        <v>301858</v>
      </c>
      <c r="O3263" s="9"/>
      <c r="P3263" s="10"/>
      <c r="Q3263" s="10"/>
      <c r="R3263" s="10"/>
      <c r="S3263" s="7" t="s">
        <v>219</v>
      </c>
      <c r="T3263" s="7"/>
      <c r="U3263" s="7"/>
      <c r="V3263" s="7"/>
      <c r="W3263" s="7"/>
      <c r="X3263" s="7"/>
      <c r="Y3263" s="7" t="s">
        <v>8370</v>
      </c>
      <c r="Z3263" s="7" t="s">
        <v>1803</v>
      </c>
      <c r="AA3263" s="7"/>
      <c r="AB3263" s="7"/>
      <c r="AC3263" s="7" t="s">
        <v>6741</v>
      </c>
      <c r="AD3263" s="7"/>
      <c r="AE3263" s="7"/>
      <c r="AF3263" s="7" t="s">
        <v>6249</v>
      </c>
      <c r="AG3263" s="7" t="s">
        <v>6745</v>
      </c>
      <c r="AH3263" s="7" t="s">
        <v>6742</v>
      </c>
    </row>
    <row r="3264" spans="1:37" ht="9.75" customHeight="1" x14ac:dyDescent="0.2">
      <c r="A3264" s="7" t="s">
        <v>8334</v>
      </c>
      <c r="B3264" s="7" t="s">
        <v>38</v>
      </c>
      <c r="C3264" s="7" t="s">
        <v>8371</v>
      </c>
      <c r="D3264" s="7" t="s">
        <v>8372</v>
      </c>
      <c r="E3264" s="8">
        <v>4</v>
      </c>
      <c r="F3264" s="7"/>
      <c r="G3264" s="7" t="s">
        <v>8373</v>
      </c>
      <c r="H3264" s="9"/>
      <c r="I3264" s="10">
        <v>939327</v>
      </c>
      <c r="J3264" s="10">
        <v>524960</v>
      </c>
      <c r="K3264" s="9"/>
      <c r="L3264" s="10">
        <v>187420</v>
      </c>
      <c r="M3264" s="10">
        <v>630000</v>
      </c>
      <c r="N3264" s="10">
        <v>817420</v>
      </c>
      <c r="O3264" s="9"/>
      <c r="P3264" s="10">
        <v>630000</v>
      </c>
      <c r="Q3264" s="10">
        <v>378875</v>
      </c>
      <c r="R3264" s="10">
        <v>1008875</v>
      </c>
      <c r="S3264" s="7"/>
      <c r="T3264" s="7"/>
      <c r="U3264" s="7" t="s">
        <v>44</v>
      </c>
      <c r="V3264" s="7" t="s">
        <v>45</v>
      </c>
      <c r="W3264" s="7" t="s">
        <v>130</v>
      </c>
      <c r="X3264" s="7" t="s">
        <v>131</v>
      </c>
      <c r="Y3264" s="7" t="s">
        <v>8374</v>
      </c>
      <c r="Z3264" s="7" t="s">
        <v>1826</v>
      </c>
      <c r="AA3264" s="7"/>
      <c r="AB3264" s="7"/>
      <c r="AC3264" s="7" t="s">
        <v>8371</v>
      </c>
      <c r="AD3264" s="7" t="s">
        <v>8375</v>
      </c>
      <c r="AE3264" s="7"/>
      <c r="AF3264" s="7"/>
      <c r="AG3264" s="7"/>
      <c r="AH3264" s="7" t="s">
        <v>8372</v>
      </c>
      <c r="AI3264">
        <v>733159</v>
      </c>
      <c r="AJ3264">
        <v>3599221</v>
      </c>
      <c r="AK3264">
        <v>4332380</v>
      </c>
    </row>
    <row r="3265" spans="1:37" ht="9.75" customHeight="1" x14ac:dyDescent="0.2">
      <c r="A3265" s="7" t="s">
        <v>8334</v>
      </c>
      <c r="B3265" s="7" t="s">
        <v>38</v>
      </c>
      <c r="C3265" s="7" t="s">
        <v>8371</v>
      </c>
      <c r="D3265" s="7" t="s">
        <v>8376</v>
      </c>
      <c r="E3265" s="8">
        <v>4</v>
      </c>
      <c r="F3265" s="7"/>
      <c r="G3265" s="7" t="s">
        <v>8377</v>
      </c>
      <c r="H3265" s="9"/>
      <c r="I3265" s="10">
        <v>117620</v>
      </c>
      <c r="J3265" s="10">
        <v>107830</v>
      </c>
      <c r="K3265" s="9"/>
      <c r="L3265" s="10">
        <v>0</v>
      </c>
      <c r="M3265" s="9"/>
      <c r="N3265" s="10">
        <v>0</v>
      </c>
      <c r="O3265" s="9"/>
      <c r="P3265" s="10"/>
      <c r="Q3265" s="10"/>
      <c r="R3265" s="10"/>
      <c r="S3265" s="7" t="s">
        <v>54</v>
      </c>
      <c r="T3265" s="7" t="s">
        <v>8378</v>
      </c>
      <c r="U3265" s="7" t="s">
        <v>44</v>
      </c>
      <c r="V3265" s="7" t="s">
        <v>45</v>
      </c>
      <c r="W3265" s="7" t="s">
        <v>130</v>
      </c>
      <c r="X3265" s="7"/>
      <c r="Y3265" s="7" t="s">
        <v>8379</v>
      </c>
      <c r="Z3265" s="7" t="s">
        <v>92</v>
      </c>
      <c r="AA3265" s="7"/>
      <c r="AB3265" s="7"/>
      <c r="AC3265" s="7" t="s">
        <v>8371</v>
      </c>
      <c r="AD3265" s="7" t="s">
        <v>8375</v>
      </c>
      <c r="AE3265" s="7"/>
      <c r="AF3265" s="7"/>
      <c r="AG3265" s="7"/>
      <c r="AH3265" s="7" t="s">
        <v>8372</v>
      </c>
    </row>
    <row r="3266" spans="1:37" ht="9.75" customHeight="1" x14ac:dyDescent="0.2">
      <c r="A3266" s="7" t="s">
        <v>8334</v>
      </c>
      <c r="B3266" s="7" t="s">
        <v>38</v>
      </c>
      <c r="C3266" s="7" t="s">
        <v>8380</v>
      </c>
      <c r="D3266" s="7" t="s">
        <v>8381</v>
      </c>
      <c r="E3266" s="8">
        <v>4</v>
      </c>
      <c r="F3266" s="7"/>
      <c r="G3266" s="7" t="s">
        <v>8382</v>
      </c>
      <c r="H3266" s="9"/>
      <c r="I3266" s="10">
        <v>63035</v>
      </c>
      <c r="J3266" s="10">
        <v>76108</v>
      </c>
      <c r="K3266" s="9"/>
      <c r="L3266" s="10">
        <v>86255</v>
      </c>
      <c r="M3266" s="9"/>
      <c r="N3266" s="10">
        <v>86255</v>
      </c>
      <c r="O3266" s="9"/>
      <c r="P3266" s="10"/>
      <c r="Q3266" s="10"/>
      <c r="R3266" s="10"/>
      <c r="S3266" s="7" t="s">
        <v>219</v>
      </c>
      <c r="T3266" s="7"/>
      <c r="U3266" s="7"/>
      <c r="V3266" s="7"/>
      <c r="W3266" s="7"/>
      <c r="X3266" s="7"/>
      <c r="Y3266" s="7" t="s">
        <v>8383</v>
      </c>
      <c r="Z3266" s="7" t="s">
        <v>2053</v>
      </c>
      <c r="AA3266" s="7"/>
      <c r="AB3266" s="7"/>
      <c r="AC3266" s="7" t="s">
        <v>8380</v>
      </c>
      <c r="AD3266" s="7" t="s">
        <v>8381</v>
      </c>
      <c r="AE3266" s="7"/>
      <c r="AF3266" s="7"/>
      <c r="AG3266" s="7"/>
      <c r="AH3266" s="7" t="s">
        <v>8381</v>
      </c>
    </row>
    <row r="3267" spans="1:37" ht="9.75" customHeight="1" x14ac:dyDescent="0.2">
      <c r="A3267" s="7" t="s">
        <v>8334</v>
      </c>
      <c r="B3267" s="7" t="s">
        <v>38</v>
      </c>
      <c r="C3267" s="7" t="s">
        <v>8384</v>
      </c>
      <c r="D3267" s="7" t="s">
        <v>8385</v>
      </c>
      <c r="E3267" s="8">
        <v>4</v>
      </c>
      <c r="F3267" s="7"/>
      <c r="G3267" s="7" t="s">
        <v>8386</v>
      </c>
      <c r="H3267" s="9"/>
      <c r="I3267" s="10">
        <v>165221</v>
      </c>
      <c r="J3267" s="10">
        <v>141021</v>
      </c>
      <c r="K3267" s="9"/>
      <c r="L3267" s="10">
        <v>122372</v>
      </c>
      <c r="M3267" s="9"/>
      <c r="N3267" s="10">
        <v>122372</v>
      </c>
      <c r="O3267" s="9"/>
      <c r="P3267" s="10"/>
      <c r="Q3267" s="10"/>
      <c r="R3267" s="10"/>
      <c r="S3267" s="7"/>
      <c r="T3267" s="7"/>
      <c r="U3267" s="7"/>
      <c r="V3267" s="7"/>
      <c r="W3267" s="7"/>
      <c r="X3267" s="7"/>
      <c r="Y3267" s="7" t="s">
        <v>8387</v>
      </c>
      <c r="Z3267" s="7" t="s">
        <v>106</v>
      </c>
      <c r="AA3267" s="7"/>
      <c r="AB3267" s="7"/>
      <c r="AC3267" s="7" t="s">
        <v>8384</v>
      </c>
      <c r="AD3267" s="7" t="s">
        <v>8385</v>
      </c>
      <c r="AE3267" s="7"/>
      <c r="AF3267" s="7"/>
      <c r="AG3267" s="7"/>
      <c r="AH3267" s="7" t="s">
        <v>8385</v>
      </c>
      <c r="AI3267">
        <v>119166</v>
      </c>
      <c r="AK3267">
        <v>119166</v>
      </c>
    </row>
    <row r="3268" spans="1:37" ht="9.75" customHeight="1" x14ac:dyDescent="0.2">
      <c r="A3268" s="7" t="s">
        <v>8334</v>
      </c>
      <c r="B3268" s="7" t="s">
        <v>38</v>
      </c>
      <c r="C3268" s="7"/>
      <c r="D3268" s="7" t="s">
        <v>8388</v>
      </c>
      <c r="E3268" s="8">
        <v>4</v>
      </c>
      <c r="F3268" s="7"/>
      <c r="G3268" s="7" t="s">
        <v>8389</v>
      </c>
      <c r="H3268" s="9"/>
      <c r="I3268" s="10">
        <v>0</v>
      </c>
      <c r="J3268" s="10">
        <v>0</v>
      </c>
      <c r="K3268" s="9"/>
      <c r="L3268" s="10">
        <v>0</v>
      </c>
      <c r="M3268" s="10">
        <v>47000</v>
      </c>
      <c r="N3268" s="10">
        <v>47000</v>
      </c>
      <c r="O3268" s="9"/>
      <c r="P3268" s="10"/>
      <c r="Q3268" s="10"/>
      <c r="R3268" s="10"/>
      <c r="S3268" s="7" t="s">
        <v>219</v>
      </c>
      <c r="T3268" s="7"/>
      <c r="U3268" s="7"/>
      <c r="V3268" s="7"/>
      <c r="W3268" s="7"/>
      <c r="X3268" s="7"/>
      <c r="Y3268" s="7" t="s">
        <v>8390</v>
      </c>
      <c r="Z3268" s="7" t="s">
        <v>75</v>
      </c>
      <c r="AA3268" s="7"/>
      <c r="AB3268" s="7"/>
      <c r="AC3268" s="7"/>
      <c r="AD3268" s="7"/>
      <c r="AE3268" s="7"/>
      <c r="AF3268" s="7"/>
      <c r="AG3268" s="7"/>
      <c r="AH3268" s="7" t="s">
        <v>8389</v>
      </c>
    </row>
    <row r="3269" spans="1:37" ht="9.75" customHeight="1" x14ac:dyDescent="0.2">
      <c r="A3269" s="7" t="s">
        <v>8334</v>
      </c>
      <c r="B3269" s="7" t="s">
        <v>38</v>
      </c>
      <c r="C3269" s="7" t="s">
        <v>8391</v>
      </c>
      <c r="D3269" s="7" t="s">
        <v>8392</v>
      </c>
      <c r="E3269" s="8">
        <v>4</v>
      </c>
      <c r="F3269" s="7"/>
      <c r="G3269" s="7" t="s">
        <v>8393</v>
      </c>
      <c r="H3269" s="9"/>
      <c r="I3269" s="10">
        <v>73924</v>
      </c>
      <c r="J3269" s="10">
        <v>55315</v>
      </c>
      <c r="K3269" s="9"/>
      <c r="L3269" s="10">
        <v>74152</v>
      </c>
      <c r="M3269" s="9"/>
      <c r="N3269" s="10">
        <v>74152</v>
      </c>
      <c r="O3269" s="9"/>
      <c r="P3269" s="10"/>
      <c r="Q3269" s="10"/>
      <c r="R3269" s="10"/>
      <c r="S3269" s="7" t="s">
        <v>219</v>
      </c>
      <c r="T3269" s="7"/>
      <c r="U3269" s="7"/>
      <c r="V3269" s="7"/>
      <c r="W3269" s="7"/>
      <c r="X3269" s="7"/>
      <c r="Y3269" s="7" t="s">
        <v>8394</v>
      </c>
      <c r="Z3269" s="7" t="s">
        <v>2317</v>
      </c>
      <c r="AA3269" s="7"/>
      <c r="AB3269" s="7"/>
      <c r="AC3269" s="7" t="s">
        <v>8391</v>
      </c>
      <c r="AD3269" s="7" t="s">
        <v>8392</v>
      </c>
      <c r="AE3269" s="7"/>
      <c r="AF3269" s="7"/>
      <c r="AG3269" s="7"/>
      <c r="AH3269" s="7" t="s">
        <v>8392</v>
      </c>
    </row>
    <row r="3270" spans="1:37" ht="9.75" customHeight="1" x14ac:dyDescent="0.2">
      <c r="A3270" s="7" t="s">
        <v>8334</v>
      </c>
      <c r="B3270" s="7" t="s">
        <v>38</v>
      </c>
      <c r="C3270" s="7" t="s">
        <v>8395</v>
      </c>
      <c r="D3270" s="7" t="s">
        <v>8396</v>
      </c>
      <c r="E3270" s="8">
        <v>4</v>
      </c>
      <c r="F3270" s="7"/>
      <c r="G3270" s="7" t="s">
        <v>8397</v>
      </c>
      <c r="H3270" s="9"/>
      <c r="I3270" s="10">
        <v>6923</v>
      </c>
      <c r="J3270" s="10">
        <v>0</v>
      </c>
      <c r="K3270" s="9"/>
      <c r="L3270" s="10">
        <v>0</v>
      </c>
      <c r="M3270" s="9"/>
      <c r="N3270" s="10">
        <v>0</v>
      </c>
      <c r="O3270" s="9"/>
      <c r="P3270" s="10"/>
      <c r="Q3270" s="10"/>
      <c r="R3270" s="10"/>
      <c r="S3270" s="7" t="s">
        <v>219</v>
      </c>
      <c r="T3270" s="7"/>
      <c r="U3270" s="7"/>
      <c r="V3270" s="7"/>
      <c r="W3270" s="7"/>
      <c r="X3270" s="7"/>
      <c r="Y3270" s="7" t="s">
        <v>8398</v>
      </c>
      <c r="Z3270" s="7" t="s">
        <v>2449</v>
      </c>
      <c r="AA3270" s="7"/>
      <c r="AB3270" s="7"/>
      <c r="AC3270" s="7" t="s">
        <v>8395</v>
      </c>
      <c r="AD3270" s="7" t="s">
        <v>8399</v>
      </c>
      <c r="AE3270" s="7"/>
      <c r="AF3270" s="7"/>
      <c r="AG3270" s="7"/>
      <c r="AH3270" s="7" t="s">
        <v>8396</v>
      </c>
    </row>
    <row r="3271" spans="1:37" ht="9.75" customHeight="1" x14ac:dyDescent="0.2">
      <c r="A3271" s="7" t="s">
        <v>8334</v>
      </c>
      <c r="B3271" s="7" t="s">
        <v>38</v>
      </c>
      <c r="C3271" s="7" t="s">
        <v>8400</v>
      </c>
      <c r="D3271" s="7" t="s">
        <v>8401</v>
      </c>
      <c r="E3271" s="8">
        <v>6</v>
      </c>
      <c r="F3271" s="7"/>
      <c r="G3271" s="7" t="s">
        <v>8402</v>
      </c>
      <c r="H3271" s="9"/>
      <c r="I3271" s="10">
        <v>174725</v>
      </c>
      <c r="J3271" s="10">
        <v>180233</v>
      </c>
      <c r="K3271" s="9"/>
      <c r="L3271" s="10">
        <v>182704</v>
      </c>
      <c r="M3271" s="9"/>
      <c r="N3271" s="10">
        <v>182704</v>
      </c>
      <c r="O3271" s="9"/>
      <c r="P3271" s="10"/>
      <c r="Q3271" s="10"/>
      <c r="R3271" s="10"/>
      <c r="S3271" s="7" t="s">
        <v>43</v>
      </c>
      <c r="T3271" s="7"/>
      <c r="U3271" s="7"/>
      <c r="V3271" s="7"/>
      <c r="W3271" s="7"/>
      <c r="X3271" s="7"/>
      <c r="Y3271" s="7" t="s">
        <v>8403</v>
      </c>
      <c r="Z3271" s="7" t="s">
        <v>2519</v>
      </c>
      <c r="AA3271" s="7"/>
      <c r="AB3271" s="7"/>
      <c r="AC3271" s="7" t="s">
        <v>8400</v>
      </c>
      <c r="AD3271" s="7" t="s">
        <v>8404</v>
      </c>
      <c r="AE3271" s="7"/>
      <c r="AF3271" s="7"/>
      <c r="AG3271" s="7"/>
      <c r="AH3271" s="7" t="s">
        <v>8401</v>
      </c>
      <c r="AI3271">
        <v>179931</v>
      </c>
      <c r="AK3271">
        <v>179931</v>
      </c>
    </row>
    <row r="3272" spans="1:37" ht="9.75" customHeight="1" x14ac:dyDescent="0.2">
      <c r="A3272" s="7" t="s">
        <v>8334</v>
      </c>
      <c r="B3272" s="7" t="s">
        <v>38</v>
      </c>
      <c r="C3272" s="7"/>
      <c r="D3272" s="7" t="s">
        <v>8405</v>
      </c>
      <c r="E3272" s="8">
        <v>6</v>
      </c>
      <c r="F3272" s="7"/>
      <c r="G3272" s="7"/>
      <c r="H3272" s="9"/>
      <c r="I3272" s="10">
        <v>75899</v>
      </c>
      <c r="J3272" s="10">
        <v>74836</v>
      </c>
      <c r="K3272" s="9"/>
      <c r="L3272" s="10">
        <v>76110</v>
      </c>
      <c r="M3272" s="9"/>
      <c r="N3272" s="10">
        <v>76110</v>
      </c>
      <c r="O3272" s="9"/>
      <c r="P3272" s="10"/>
      <c r="Q3272" s="10"/>
      <c r="R3272" s="10"/>
      <c r="S3272" s="7" t="s">
        <v>54</v>
      </c>
      <c r="T3272" s="7" t="s">
        <v>8406</v>
      </c>
      <c r="U3272" s="7"/>
      <c r="V3272" s="7"/>
      <c r="W3272" s="7"/>
      <c r="X3272" s="7"/>
      <c r="Y3272" s="7" t="s">
        <v>8407</v>
      </c>
      <c r="Z3272" s="7" t="s">
        <v>2562</v>
      </c>
      <c r="AA3272" s="7"/>
      <c r="AB3272" s="7"/>
      <c r="AC3272" s="7" t="s">
        <v>8400</v>
      </c>
      <c r="AD3272" s="7" t="s">
        <v>8404</v>
      </c>
      <c r="AE3272" s="7"/>
      <c r="AF3272" s="7"/>
      <c r="AG3272" s="7"/>
      <c r="AH3272" s="7" t="s">
        <v>8401</v>
      </c>
    </row>
    <row r="3273" spans="1:37" ht="9.75" customHeight="1" x14ac:dyDescent="0.2">
      <c r="A3273" s="7" t="s">
        <v>8334</v>
      </c>
      <c r="B3273" s="7" t="s">
        <v>38</v>
      </c>
      <c r="C3273" s="7"/>
      <c r="D3273" s="7" t="s">
        <v>8408</v>
      </c>
      <c r="E3273" s="8">
        <v>6</v>
      </c>
      <c r="F3273" s="7"/>
      <c r="G3273" s="7"/>
      <c r="H3273" s="9"/>
      <c r="I3273" s="10">
        <v>70118</v>
      </c>
      <c r="J3273" s="10">
        <v>78791</v>
      </c>
      <c r="K3273" s="9"/>
      <c r="L3273" s="10">
        <v>80015</v>
      </c>
      <c r="M3273" s="9"/>
      <c r="N3273" s="10">
        <v>80015</v>
      </c>
      <c r="O3273" s="9"/>
      <c r="P3273" s="10"/>
      <c r="Q3273" s="10"/>
      <c r="R3273" s="10"/>
      <c r="S3273" s="7" t="s">
        <v>54</v>
      </c>
      <c r="T3273" s="7" t="s">
        <v>8406</v>
      </c>
      <c r="U3273" s="7"/>
      <c r="V3273" s="7"/>
      <c r="W3273" s="7"/>
      <c r="X3273" s="7"/>
      <c r="Y3273" s="7" t="s">
        <v>8409</v>
      </c>
      <c r="Z3273" s="7" t="s">
        <v>7925</v>
      </c>
      <c r="AA3273" s="7"/>
      <c r="AB3273" s="7"/>
      <c r="AC3273" s="7" t="s">
        <v>8400</v>
      </c>
      <c r="AD3273" s="7" t="s">
        <v>8410</v>
      </c>
      <c r="AE3273" s="7"/>
      <c r="AF3273" s="7"/>
      <c r="AG3273" s="7"/>
      <c r="AH3273" s="7" t="s">
        <v>8401</v>
      </c>
    </row>
    <row r="3274" spans="1:37" ht="9.75" customHeight="1" x14ac:dyDescent="0.2">
      <c r="A3274" s="7" t="s">
        <v>8334</v>
      </c>
      <c r="B3274" s="7" t="s">
        <v>38</v>
      </c>
      <c r="C3274" s="7"/>
      <c r="D3274" s="7" t="s">
        <v>8411</v>
      </c>
      <c r="E3274" s="8">
        <v>6</v>
      </c>
      <c r="F3274" s="7"/>
      <c r="G3274" s="7"/>
      <c r="H3274" s="9"/>
      <c r="I3274" s="10">
        <v>432</v>
      </c>
      <c r="J3274" s="9"/>
      <c r="K3274" s="9"/>
      <c r="L3274" s="9"/>
      <c r="M3274" s="9"/>
      <c r="N3274" s="9"/>
      <c r="O3274" s="9"/>
      <c r="P3274" s="9"/>
      <c r="Q3274" s="9"/>
      <c r="R3274" s="9"/>
      <c r="S3274" s="7" t="s">
        <v>54</v>
      </c>
      <c r="T3274" s="7" t="s">
        <v>8406</v>
      </c>
      <c r="U3274" s="7"/>
      <c r="V3274" s="7"/>
      <c r="W3274" s="7"/>
      <c r="X3274" s="7"/>
      <c r="Y3274" s="7" t="s">
        <v>8412</v>
      </c>
      <c r="Z3274" s="7" t="s">
        <v>2758</v>
      </c>
      <c r="AA3274" s="7"/>
      <c r="AB3274" s="7"/>
      <c r="AC3274" s="7" t="s">
        <v>8400</v>
      </c>
      <c r="AD3274" s="7" t="s">
        <v>8413</v>
      </c>
      <c r="AE3274" s="7"/>
      <c r="AF3274" s="7"/>
      <c r="AG3274" s="7"/>
      <c r="AH3274" s="7" t="s">
        <v>8401</v>
      </c>
    </row>
    <row r="3275" spans="1:37" ht="9.75" customHeight="1" x14ac:dyDescent="0.2">
      <c r="A3275" s="7" t="s">
        <v>8334</v>
      </c>
      <c r="B3275" s="7" t="s">
        <v>38</v>
      </c>
      <c r="C3275" s="7"/>
      <c r="D3275" s="7" t="s">
        <v>8414</v>
      </c>
      <c r="E3275" s="8">
        <v>6</v>
      </c>
      <c r="F3275" s="7"/>
      <c r="G3275" s="7"/>
      <c r="H3275" s="9"/>
      <c r="I3275" s="10">
        <v>28276</v>
      </c>
      <c r="J3275" s="10">
        <v>26606</v>
      </c>
      <c r="K3275" s="9"/>
      <c r="L3275" s="10">
        <v>26579</v>
      </c>
      <c r="M3275" s="9"/>
      <c r="N3275" s="10">
        <v>26579</v>
      </c>
      <c r="O3275" s="9"/>
      <c r="P3275" s="10"/>
      <c r="Q3275" s="10"/>
      <c r="R3275" s="10"/>
      <c r="S3275" s="7" t="s">
        <v>54</v>
      </c>
      <c r="T3275" s="7" t="s">
        <v>8406</v>
      </c>
      <c r="U3275" s="7"/>
      <c r="V3275" s="7"/>
      <c r="W3275" s="7"/>
      <c r="X3275" s="7"/>
      <c r="Y3275" s="7" t="s">
        <v>8415</v>
      </c>
      <c r="Z3275" s="7" t="s">
        <v>2765</v>
      </c>
      <c r="AA3275" s="7"/>
      <c r="AB3275" s="7"/>
      <c r="AC3275" s="7" t="s">
        <v>8400</v>
      </c>
      <c r="AD3275" s="7" t="s">
        <v>8416</v>
      </c>
      <c r="AE3275" s="7"/>
      <c r="AF3275" s="7"/>
      <c r="AG3275" s="7"/>
      <c r="AH3275" s="7" t="s">
        <v>8401</v>
      </c>
    </row>
    <row r="3276" spans="1:37" ht="9.75" customHeight="1" x14ac:dyDescent="0.2">
      <c r="A3276" s="7" t="s">
        <v>8334</v>
      </c>
      <c r="B3276" s="7" t="s">
        <v>38</v>
      </c>
      <c r="C3276" s="7" t="s">
        <v>8417</v>
      </c>
      <c r="D3276" s="7" t="s">
        <v>8418</v>
      </c>
      <c r="E3276" s="8">
        <v>6</v>
      </c>
      <c r="F3276" s="7"/>
      <c r="G3276" s="7" t="s">
        <v>8419</v>
      </c>
      <c r="H3276" s="9"/>
      <c r="I3276" s="10">
        <v>3687</v>
      </c>
      <c r="J3276" s="10">
        <v>3411</v>
      </c>
      <c r="K3276" s="9"/>
      <c r="L3276" s="10">
        <v>3490</v>
      </c>
      <c r="M3276" s="9"/>
      <c r="N3276" s="10">
        <v>3490</v>
      </c>
      <c r="O3276" s="9"/>
      <c r="P3276" s="10"/>
      <c r="Q3276" s="10"/>
      <c r="R3276" s="10"/>
      <c r="S3276" s="7"/>
      <c r="T3276" s="7"/>
      <c r="U3276" s="7" t="s">
        <v>44</v>
      </c>
      <c r="V3276" s="7" t="s">
        <v>45</v>
      </c>
      <c r="W3276" s="7" t="s">
        <v>130</v>
      </c>
      <c r="X3276" s="7" t="s">
        <v>131</v>
      </c>
      <c r="Y3276" s="7" t="s">
        <v>8420</v>
      </c>
      <c r="Z3276" s="7" t="s">
        <v>2788</v>
      </c>
      <c r="AA3276" s="7"/>
      <c r="AB3276" s="7"/>
      <c r="AC3276" s="7" t="s">
        <v>8417</v>
      </c>
      <c r="AD3276" s="7" t="s">
        <v>8418</v>
      </c>
      <c r="AE3276" s="7"/>
      <c r="AF3276" s="7"/>
      <c r="AG3276" s="7"/>
      <c r="AH3276" s="7" t="s">
        <v>8418</v>
      </c>
      <c r="AI3276">
        <v>3877</v>
      </c>
      <c r="AK3276">
        <v>3877</v>
      </c>
    </row>
    <row r="3277" spans="1:37" ht="9.75" customHeight="1" x14ac:dyDescent="0.2">
      <c r="A3277" s="7" t="s">
        <v>8334</v>
      </c>
      <c r="B3277" s="7" t="s">
        <v>38</v>
      </c>
      <c r="C3277" s="7" t="s">
        <v>8421</v>
      </c>
      <c r="D3277" s="7" t="s">
        <v>8422</v>
      </c>
      <c r="E3277" s="8">
        <v>4</v>
      </c>
      <c r="F3277" s="7"/>
      <c r="G3277" s="7" t="s">
        <v>8423</v>
      </c>
      <c r="H3277" s="9"/>
      <c r="I3277" s="10">
        <v>599636</v>
      </c>
      <c r="J3277" s="10">
        <v>326435</v>
      </c>
      <c r="K3277" s="9"/>
      <c r="L3277" s="10">
        <v>243217</v>
      </c>
      <c r="M3277" s="10">
        <v>288225</v>
      </c>
      <c r="N3277" s="10">
        <v>531442</v>
      </c>
      <c r="O3277" s="9"/>
      <c r="P3277" s="10"/>
      <c r="Q3277" s="10"/>
      <c r="R3277" s="10"/>
      <c r="S3277" s="7" t="s">
        <v>43</v>
      </c>
      <c r="T3277" s="7"/>
      <c r="U3277" s="7"/>
      <c r="V3277" s="7"/>
      <c r="W3277" s="7"/>
      <c r="X3277" s="7"/>
      <c r="Y3277" s="7" t="s">
        <v>8424</v>
      </c>
      <c r="Z3277" s="7" t="s">
        <v>2814</v>
      </c>
      <c r="AA3277" s="7"/>
      <c r="AB3277" s="7"/>
      <c r="AC3277" s="7" t="s">
        <v>8421</v>
      </c>
      <c r="AD3277" s="7" t="s">
        <v>8425</v>
      </c>
      <c r="AE3277" s="7"/>
      <c r="AF3277" s="7"/>
      <c r="AG3277" s="7"/>
      <c r="AH3277" s="7" t="s">
        <v>8422</v>
      </c>
      <c r="AI3277">
        <v>670456</v>
      </c>
      <c r="AJ3277">
        <v>236389</v>
      </c>
      <c r="AK3277">
        <v>906845</v>
      </c>
    </row>
    <row r="3278" spans="1:37" ht="9.75" customHeight="1" x14ac:dyDescent="0.2">
      <c r="A3278" s="7" t="s">
        <v>8334</v>
      </c>
      <c r="B3278" s="7" t="s">
        <v>38</v>
      </c>
      <c r="C3278" s="7"/>
      <c r="D3278" s="7" t="s">
        <v>8426</v>
      </c>
      <c r="E3278" s="8">
        <v>4</v>
      </c>
      <c r="F3278" s="7"/>
      <c r="G3278" s="7"/>
      <c r="H3278" s="9"/>
      <c r="I3278" s="10">
        <v>543955</v>
      </c>
      <c r="J3278" s="10">
        <v>150850</v>
      </c>
      <c r="K3278" s="9"/>
      <c r="L3278" s="10">
        <v>108621</v>
      </c>
      <c r="M3278" s="9"/>
      <c r="N3278" s="10">
        <v>108621</v>
      </c>
      <c r="O3278" s="9"/>
      <c r="P3278" s="10"/>
      <c r="Q3278" s="10"/>
      <c r="R3278" s="10"/>
      <c r="S3278" s="7" t="s">
        <v>54</v>
      </c>
      <c r="T3278" s="7" t="s">
        <v>8427</v>
      </c>
      <c r="U3278" s="7"/>
      <c r="V3278" s="7"/>
      <c r="W3278" s="7"/>
      <c r="X3278" s="7"/>
      <c r="Y3278" s="7" t="s">
        <v>8428</v>
      </c>
      <c r="Z3278" s="7" t="s">
        <v>2827</v>
      </c>
      <c r="AA3278" s="7"/>
      <c r="AB3278" s="7"/>
      <c r="AC3278" s="7" t="s">
        <v>8421</v>
      </c>
      <c r="AD3278" s="7" t="s">
        <v>8425</v>
      </c>
      <c r="AE3278" s="7"/>
      <c r="AF3278" s="7"/>
      <c r="AG3278" s="7"/>
      <c r="AH3278" s="7" t="s">
        <v>8422</v>
      </c>
    </row>
    <row r="3279" spans="1:37" ht="9.75" customHeight="1" x14ac:dyDescent="0.2">
      <c r="A3279" s="7" t="s">
        <v>8334</v>
      </c>
      <c r="B3279" s="7" t="s">
        <v>38</v>
      </c>
      <c r="C3279" s="7"/>
      <c r="D3279" s="7" t="s">
        <v>8429</v>
      </c>
      <c r="E3279" s="8">
        <v>4</v>
      </c>
      <c r="F3279" s="7"/>
      <c r="G3279" s="7"/>
      <c r="H3279" s="9"/>
      <c r="I3279" s="10">
        <v>55681</v>
      </c>
      <c r="J3279" s="10">
        <v>175585</v>
      </c>
      <c r="K3279" s="9"/>
      <c r="L3279" s="10">
        <v>134596</v>
      </c>
      <c r="M3279" s="9"/>
      <c r="N3279" s="10">
        <v>134596</v>
      </c>
      <c r="O3279" s="9"/>
      <c r="P3279" s="10"/>
      <c r="Q3279" s="10"/>
      <c r="R3279" s="10"/>
      <c r="S3279" s="7" t="s">
        <v>54</v>
      </c>
      <c r="T3279" s="7" t="s">
        <v>8427</v>
      </c>
      <c r="U3279" s="7"/>
      <c r="V3279" s="7"/>
      <c r="W3279" s="7"/>
      <c r="X3279" s="7"/>
      <c r="Y3279" s="7" t="s">
        <v>8430</v>
      </c>
      <c r="Z3279" s="7" t="s">
        <v>6786</v>
      </c>
      <c r="AA3279" s="7"/>
      <c r="AB3279" s="7"/>
      <c r="AC3279" s="7" t="s">
        <v>8421</v>
      </c>
      <c r="AD3279" s="7" t="s">
        <v>8431</v>
      </c>
      <c r="AE3279" s="7"/>
      <c r="AF3279" s="7"/>
      <c r="AG3279" s="7"/>
      <c r="AH3279" s="7" t="s">
        <v>8422</v>
      </c>
    </row>
    <row r="3280" spans="1:37" ht="9.75" customHeight="1" x14ac:dyDescent="0.2">
      <c r="A3280" s="7" t="s">
        <v>8334</v>
      </c>
      <c r="B3280" s="7" t="s">
        <v>38</v>
      </c>
      <c r="C3280" s="7" t="s">
        <v>8432</v>
      </c>
      <c r="D3280" s="7" t="s">
        <v>8433</v>
      </c>
      <c r="E3280" s="8">
        <v>4</v>
      </c>
      <c r="F3280" s="7"/>
      <c r="G3280" s="7" t="s">
        <v>8434</v>
      </c>
      <c r="H3280" s="9"/>
      <c r="I3280" s="10">
        <v>25551</v>
      </c>
      <c r="J3280" s="10">
        <v>24882</v>
      </c>
      <c r="K3280" s="9"/>
      <c r="L3280" s="10">
        <v>32238</v>
      </c>
      <c r="M3280" s="9"/>
      <c r="N3280" s="10">
        <v>32238</v>
      </c>
      <c r="O3280" s="9"/>
      <c r="P3280" s="10"/>
      <c r="Q3280" s="10"/>
      <c r="R3280" s="10"/>
      <c r="S3280" s="7"/>
      <c r="T3280" s="7"/>
      <c r="U3280" s="7" t="s">
        <v>44</v>
      </c>
      <c r="V3280" s="7" t="s">
        <v>45</v>
      </c>
      <c r="W3280" s="7" t="s">
        <v>130</v>
      </c>
      <c r="X3280" s="7" t="s">
        <v>156</v>
      </c>
      <c r="Y3280" s="7" t="s">
        <v>8435</v>
      </c>
      <c r="Z3280" s="7" t="s">
        <v>2980</v>
      </c>
      <c r="AA3280" s="7"/>
      <c r="AB3280" s="7"/>
      <c r="AC3280" s="7" t="s">
        <v>8432</v>
      </c>
      <c r="AD3280" s="7" t="s">
        <v>8433</v>
      </c>
      <c r="AE3280" s="7"/>
      <c r="AF3280" s="7"/>
      <c r="AG3280" s="7"/>
      <c r="AH3280" s="7" t="s">
        <v>8433</v>
      </c>
      <c r="AI3280">
        <v>79801</v>
      </c>
      <c r="AK3280">
        <v>79801</v>
      </c>
    </row>
    <row r="3281" spans="1:37" ht="9.75" customHeight="1" x14ac:dyDescent="0.2">
      <c r="A3281" s="7" t="s">
        <v>8334</v>
      </c>
      <c r="B3281" s="7" t="s">
        <v>38</v>
      </c>
      <c r="C3281" s="7" t="s">
        <v>8432</v>
      </c>
      <c r="D3281" s="7" t="s">
        <v>8436</v>
      </c>
      <c r="E3281" s="8">
        <v>4</v>
      </c>
      <c r="F3281" s="7"/>
      <c r="G3281" s="7" t="s">
        <v>8434</v>
      </c>
      <c r="H3281" s="9"/>
      <c r="I3281" s="10">
        <v>5755</v>
      </c>
      <c r="J3281" s="10">
        <v>4412</v>
      </c>
      <c r="K3281" s="9"/>
      <c r="L3281" s="10">
        <v>3059</v>
      </c>
      <c r="M3281" s="9"/>
      <c r="N3281" s="10">
        <v>3059</v>
      </c>
      <c r="O3281" s="9"/>
      <c r="P3281" s="10"/>
      <c r="Q3281" s="10"/>
      <c r="R3281" s="10"/>
      <c r="S3281" s="7" t="s">
        <v>54</v>
      </c>
      <c r="T3281" s="7" t="s">
        <v>8437</v>
      </c>
      <c r="U3281" s="7" t="s">
        <v>44</v>
      </c>
      <c r="V3281" s="7" t="s">
        <v>45</v>
      </c>
      <c r="W3281" s="7" t="s">
        <v>130</v>
      </c>
      <c r="X3281" s="7"/>
      <c r="Y3281" s="7" t="s">
        <v>8438</v>
      </c>
      <c r="Z3281" s="7" t="s">
        <v>3139</v>
      </c>
      <c r="AA3281" s="7"/>
      <c r="AB3281" s="7"/>
      <c r="AC3281" s="7" t="s">
        <v>8432</v>
      </c>
      <c r="AD3281" s="7" t="s">
        <v>8433</v>
      </c>
      <c r="AE3281" s="7"/>
      <c r="AF3281" s="7"/>
      <c r="AG3281" s="7"/>
      <c r="AH3281" s="7" t="s">
        <v>8433</v>
      </c>
    </row>
    <row r="3282" spans="1:37" ht="9.75" customHeight="1" x14ac:dyDescent="0.2">
      <c r="A3282" s="7" t="s">
        <v>8334</v>
      </c>
      <c r="B3282" s="7" t="s">
        <v>38</v>
      </c>
      <c r="C3282" s="7" t="s">
        <v>8439</v>
      </c>
      <c r="D3282" s="7" t="s">
        <v>8440</v>
      </c>
      <c r="E3282" s="8">
        <v>4</v>
      </c>
      <c r="F3282" s="7"/>
      <c r="G3282" s="7" t="s">
        <v>8441</v>
      </c>
      <c r="H3282" s="9"/>
      <c r="I3282" s="10">
        <v>494799</v>
      </c>
      <c r="J3282" s="10">
        <v>296839</v>
      </c>
      <c r="K3282" s="9"/>
      <c r="L3282" s="10">
        <v>6283</v>
      </c>
      <c r="M3282" s="10">
        <v>473848</v>
      </c>
      <c r="N3282" s="10">
        <v>480131</v>
      </c>
      <c r="O3282" s="9"/>
      <c r="P3282" s="10">
        <v>44574</v>
      </c>
      <c r="Q3282" s="10">
        <v>6283</v>
      </c>
      <c r="R3282" s="10">
        <v>50857</v>
      </c>
      <c r="S3282" s="7"/>
      <c r="T3282" s="7"/>
      <c r="U3282" s="7"/>
      <c r="V3282" s="7"/>
      <c r="W3282" s="7"/>
      <c r="X3282" s="7"/>
      <c r="Y3282" s="7" t="s">
        <v>8442</v>
      </c>
      <c r="Z3282" s="7" t="s">
        <v>6797</v>
      </c>
      <c r="AA3282" s="7"/>
      <c r="AB3282" s="7"/>
      <c r="AC3282" s="7" t="s">
        <v>8439</v>
      </c>
      <c r="AD3282" s="7" t="s">
        <v>8443</v>
      </c>
      <c r="AE3282" s="7"/>
      <c r="AF3282" s="7"/>
      <c r="AG3282" s="7"/>
      <c r="AH3282" s="7" t="s">
        <v>8440</v>
      </c>
      <c r="AI3282">
        <v>799139</v>
      </c>
      <c r="AJ3282">
        <v>724675</v>
      </c>
      <c r="AK3282">
        <v>1523814</v>
      </c>
    </row>
    <row r="3283" spans="1:37" ht="9.75" customHeight="1" x14ac:dyDescent="0.2">
      <c r="A3283" s="7" t="s">
        <v>8334</v>
      </c>
      <c r="B3283" s="7" t="s">
        <v>38</v>
      </c>
      <c r="C3283" s="7" t="s">
        <v>8444</v>
      </c>
      <c r="D3283" s="7" t="s">
        <v>8445</v>
      </c>
      <c r="E3283" s="8">
        <v>4</v>
      </c>
      <c r="F3283" s="7"/>
      <c r="G3283" s="7" t="s">
        <v>8446</v>
      </c>
      <c r="H3283" s="9"/>
      <c r="I3283" s="10">
        <v>296829</v>
      </c>
      <c r="J3283" s="10">
        <v>622551</v>
      </c>
      <c r="K3283" s="9"/>
      <c r="L3283" s="10">
        <v>503381</v>
      </c>
      <c r="M3283" s="9"/>
      <c r="N3283" s="10">
        <v>503381</v>
      </c>
      <c r="O3283" s="9"/>
      <c r="P3283" s="10"/>
      <c r="Q3283" s="10"/>
      <c r="R3283" s="10"/>
      <c r="S3283" s="7"/>
      <c r="T3283" s="7"/>
      <c r="U3283" s="7"/>
      <c r="V3283" s="7"/>
      <c r="W3283" s="7"/>
      <c r="X3283" s="7"/>
      <c r="Y3283" s="7" t="s">
        <v>8447</v>
      </c>
      <c r="Z3283" s="7" t="s">
        <v>3306</v>
      </c>
      <c r="AA3283" s="7"/>
      <c r="AB3283" s="7"/>
      <c r="AC3283" s="7" t="s">
        <v>8444</v>
      </c>
      <c r="AD3283" s="7" t="s">
        <v>8445</v>
      </c>
      <c r="AE3283" s="7"/>
      <c r="AF3283" s="7"/>
      <c r="AG3283" s="7"/>
      <c r="AH3283" s="7" t="s">
        <v>8445</v>
      </c>
      <c r="AI3283">
        <v>521006</v>
      </c>
      <c r="AK3283">
        <v>521006</v>
      </c>
    </row>
    <row r="3284" spans="1:37" ht="9.75" customHeight="1" x14ac:dyDescent="0.2">
      <c r="A3284" s="7" t="s">
        <v>8334</v>
      </c>
      <c r="B3284" s="7" t="s">
        <v>38</v>
      </c>
      <c r="C3284" s="7" t="s">
        <v>8448</v>
      </c>
      <c r="D3284" s="7" t="s">
        <v>8449</v>
      </c>
      <c r="E3284" s="8">
        <v>4</v>
      </c>
      <c r="F3284" s="7"/>
      <c r="G3284" s="7" t="s">
        <v>8450</v>
      </c>
      <c r="H3284" s="9"/>
      <c r="I3284" s="10">
        <v>167429</v>
      </c>
      <c r="J3284" s="10">
        <v>193213</v>
      </c>
      <c r="K3284" s="9"/>
      <c r="L3284" s="10">
        <v>261041</v>
      </c>
      <c r="M3284" s="9"/>
      <c r="N3284" s="10">
        <v>261041</v>
      </c>
      <c r="O3284" s="9"/>
      <c r="P3284" s="10"/>
      <c r="Q3284" s="10"/>
      <c r="R3284" s="10"/>
      <c r="S3284" s="7" t="s">
        <v>219</v>
      </c>
      <c r="T3284" s="7"/>
      <c r="U3284" s="7"/>
      <c r="V3284" s="7"/>
      <c r="W3284" s="7"/>
      <c r="X3284" s="7"/>
      <c r="Y3284" s="7" t="s">
        <v>8451</v>
      </c>
      <c r="Z3284" s="7" t="s">
        <v>3500</v>
      </c>
      <c r="AA3284" s="7"/>
      <c r="AB3284" s="7"/>
      <c r="AC3284" s="7" t="s">
        <v>8448</v>
      </c>
      <c r="AD3284" s="7" t="s">
        <v>8449</v>
      </c>
      <c r="AE3284" s="7"/>
      <c r="AF3284" s="7"/>
      <c r="AG3284" s="7"/>
      <c r="AH3284" s="7" t="s">
        <v>8449</v>
      </c>
    </row>
    <row r="3285" spans="1:37" ht="9.75" customHeight="1" x14ac:dyDescent="0.2">
      <c r="A3285" s="7" t="s">
        <v>8334</v>
      </c>
      <c r="B3285" s="7" t="s">
        <v>38</v>
      </c>
      <c r="C3285" s="7"/>
      <c r="D3285" s="7" t="s">
        <v>8452</v>
      </c>
      <c r="E3285" s="8">
        <v>4</v>
      </c>
      <c r="F3285" s="7"/>
      <c r="G3285" s="7"/>
      <c r="H3285" s="9"/>
      <c r="I3285" s="10">
        <v>167429</v>
      </c>
      <c r="J3285" s="10">
        <v>193213</v>
      </c>
      <c r="K3285" s="9"/>
      <c r="L3285" s="10">
        <v>261041</v>
      </c>
      <c r="M3285" s="9"/>
      <c r="N3285" s="10">
        <v>261041</v>
      </c>
      <c r="O3285" s="9"/>
      <c r="P3285" s="10"/>
      <c r="Q3285" s="10"/>
      <c r="R3285" s="10"/>
      <c r="S3285" s="7" t="s">
        <v>54</v>
      </c>
      <c r="T3285" s="7" t="s">
        <v>8453</v>
      </c>
      <c r="U3285" s="7"/>
      <c r="V3285" s="7"/>
      <c r="W3285" s="7"/>
      <c r="X3285" s="7"/>
      <c r="Y3285" s="7" t="s">
        <v>8454</v>
      </c>
      <c r="Z3285" s="7" t="s">
        <v>3526</v>
      </c>
      <c r="AA3285" s="7"/>
      <c r="AB3285" s="7"/>
      <c r="AC3285" s="7" t="s">
        <v>8448</v>
      </c>
      <c r="AD3285" s="7"/>
      <c r="AE3285" s="7"/>
      <c r="AF3285" s="7"/>
      <c r="AG3285" s="7"/>
      <c r="AH3285" s="7" t="s">
        <v>8449</v>
      </c>
    </row>
    <row r="3286" spans="1:37" ht="9.75" customHeight="1" x14ac:dyDescent="0.2">
      <c r="A3286" s="7" t="s">
        <v>8334</v>
      </c>
      <c r="B3286" s="7" t="s">
        <v>38</v>
      </c>
      <c r="C3286" s="7"/>
      <c r="D3286" s="7" t="s">
        <v>8455</v>
      </c>
      <c r="E3286" s="8">
        <v>4</v>
      </c>
      <c r="F3286" s="7"/>
      <c r="G3286" s="7"/>
      <c r="H3286" s="9"/>
      <c r="I3286" s="9"/>
      <c r="J3286" s="9"/>
      <c r="K3286" s="9"/>
      <c r="L3286" s="9"/>
      <c r="M3286" s="9"/>
      <c r="N3286" s="9"/>
      <c r="O3286" s="9"/>
      <c r="P3286" s="9"/>
      <c r="Q3286" s="9"/>
      <c r="R3286" s="9"/>
      <c r="S3286" s="7" t="s">
        <v>219</v>
      </c>
      <c r="T3286" s="7" t="s">
        <v>8453</v>
      </c>
      <c r="U3286" s="7"/>
      <c r="V3286" s="7"/>
      <c r="W3286" s="7"/>
      <c r="X3286" s="7"/>
      <c r="Y3286" s="7" t="s">
        <v>8456</v>
      </c>
      <c r="Z3286" s="7" t="s">
        <v>3678</v>
      </c>
      <c r="AA3286" s="7"/>
      <c r="AB3286" s="7"/>
      <c r="AC3286" s="7" t="s">
        <v>8448</v>
      </c>
      <c r="AD3286" s="7"/>
      <c r="AE3286" s="7"/>
      <c r="AF3286" s="7"/>
      <c r="AG3286" s="7"/>
      <c r="AH3286" s="7" t="s">
        <v>8449</v>
      </c>
    </row>
    <row r="3287" spans="1:37" ht="9.75" customHeight="1" x14ac:dyDescent="0.2">
      <c r="A3287" s="7" t="s">
        <v>8334</v>
      </c>
      <c r="B3287" s="7" t="s">
        <v>38</v>
      </c>
      <c r="C3287" s="7" t="s">
        <v>8448</v>
      </c>
      <c r="D3287" s="7" t="s">
        <v>8457</v>
      </c>
      <c r="E3287" s="8">
        <v>4</v>
      </c>
      <c r="F3287" s="7"/>
      <c r="G3287" s="7" t="s">
        <v>8458</v>
      </c>
      <c r="H3287" s="9"/>
      <c r="I3287" s="10">
        <v>33273</v>
      </c>
      <c r="J3287" s="10">
        <v>34604</v>
      </c>
      <c r="K3287" s="9"/>
      <c r="L3287" s="10">
        <v>24284</v>
      </c>
      <c r="M3287" s="9"/>
      <c r="N3287" s="10">
        <v>24284</v>
      </c>
      <c r="O3287" s="9"/>
      <c r="P3287" s="10"/>
      <c r="Q3287" s="10"/>
      <c r="R3287" s="10"/>
      <c r="S3287" s="7" t="s">
        <v>54</v>
      </c>
      <c r="T3287" s="7" t="s">
        <v>8459</v>
      </c>
      <c r="U3287" s="7"/>
      <c r="V3287" s="7"/>
      <c r="W3287" s="7"/>
      <c r="X3287" s="7"/>
      <c r="Y3287" s="7" t="s">
        <v>8460</v>
      </c>
      <c r="Z3287" s="7" t="s">
        <v>188</v>
      </c>
      <c r="AA3287" s="7"/>
      <c r="AB3287" s="7"/>
      <c r="AC3287" s="7" t="s">
        <v>8448</v>
      </c>
      <c r="AD3287" s="7"/>
      <c r="AE3287" s="7"/>
      <c r="AF3287" s="7"/>
      <c r="AG3287" s="7"/>
      <c r="AH3287" s="7" t="s">
        <v>8449</v>
      </c>
    </row>
    <row r="3288" spans="1:37" ht="9.75" customHeight="1" x14ac:dyDescent="0.2">
      <c r="A3288" s="7" t="s">
        <v>8334</v>
      </c>
      <c r="B3288" s="7" t="s">
        <v>38</v>
      </c>
      <c r="C3288" s="7" t="s">
        <v>8461</v>
      </c>
      <c r="D3288" s="7" t="s">
        <v>8462</v>
      </c>
      <c r="E3288" s="8">
        <v>4</v>
      </c>
      <c r="F3288" s="7"/>
      <c r="G3288" s="7" t="s">
        <v>8463</v>
      </c>
      <c r="H3288" s="9"/>
      <c r="I3288" s="10">
        <v>80536</v>
      </c>
      <c r="J3288" s="10">
        <v>61667</v>
      </c>
      <c r="K3288" s="9"/>
      <c r="L3288" s="10">
        <v>32127</v>
      </c>
      <c r="M3288" s="9"/>
      <c r="N3288" s="10">
        <v>32127</v>
      </c>
      <c r="O3288" s="9"/>
      <c r="P3288" s="10"/>
      <c r="Q3288" s="10"/>
      <c r="R3288" s="10"/>
      <c r="S3288" s="7"/>
      <c r="T3288" s="7"/>
      <c r="U3288" s="7" t="s">
        <v>44</v>
      </c>
      <c r="V3288" s="7" t="s">
        <v>45</v>
      </c>
      <c r="W3288" s="7" t="s">
        <v>130</v>
      </c>
      <c r="X3288" s="7" t="s">
        <v>131</v>
      </c>
      <c r="Y3288" s="7" t="s">
        <v>8464</v>
      </c>
      <c r="Z3288" s="7" t="s">
        <v>8465</v>
      </c>
      <c r="AA3288" s="7"/>
      <c r="AB3288" s="7"/>
      <c r="AC3288" s="7" t="s">
        <v>8461</v>
      </c>
      <c r="AD3288" s="7" t="s">
        <v>8462</v>
      </c>
      <c r="AE3288" s="7"/>
      <c r="AF3288" s="7"/>
      <c r="AG3288" s="7"/>
      <c r="AH3288" s="7" t="s">
        <v>8462</v>
      </c>
      <c r="AI3288">
        <v>69579</v>
      </c>
      <c r="AK3288">
        <v>69579</v>
      </c>
    </row>
    <row r="3289" spans="1:37" ht="9.75" customHeight="1" x14ac:dyDescent="0.2">
      <c r="A3289" s="7" t="s">
        <v>8334</v>
      </c>
      <c r="B3289" s="7" t="s">
        <v>38</v>
      </c>
      <c r="C3289" s="7" t="s">
        <v>8466</v>
      </c>
      <c r="D3289" s="7" t="s">
        <v>8467</v>
      </c>
      <c r="E3289" s="8">
        <v>6</v>
      </c>
      <c r="F3289" s="7"/>
      <c r="G3289" s="7" t="s">
        <v>8468</v>
      </c>
      <c r="H3289" s="9"/>
      <c r="I3289" s="10">
        <v>179011</v>
      </c>
      <c r="J3289" s="10">
        <v>81490</v>
      </c>
      <c r="K3289" s="9"/>
      <c r="L3289" s="10">
        <v>127222</v>
      </c>
      <c r="M3289" s="9"/>
      <c r="N3289" s="10">
        <v>127222</v>
      </c>
      <c r="O3289" s="9"/>
      <c r="P3289" s="10"/>
      <c r="Q3289" s="10"/>
      <c r="R3289" s="10"/>
      <c r="S3289" s="7" t="s">
        <v>219</v>
      </c>
      <c r="T3289" s="7"/>
      <c r="U3289" s="7"/>
      <c r="V3289" s="7"/>
      <c r="W3289" s="7"/>
      <c r="X3289" s="7"/>
      <c r="Y3289" s="7" t="s">
        <v>8469</v>
      </c>
      <c r="Z3289" s="7" t="s">
        <v>3999</v>
      </c>
      <c r="AA3289" s="7"/>
      <c r="AB3289" s="7"/>
      <c r="AC3289" s="7" t="s">
        <v>8466</v>
      </c>
      <c r="AD3289" s="7" t="s">
        <v>8467</v>
      </c>
      <c r="AE3289" s="7"/>
      <c r="AF3289" s="7"/>
      <c r="AG3289" s="7"/>
      <c r="AH3289" s="7" t="s">
        <v>8467</v>
      </c>
    </row>
    <row r="3290" spans="1:37" ht="9.75" customHeight="1" x14ac:dyDescent="0.2">
      <c r="A3290" s="7" t="s">
        <v>8334</v>
      </c>
      <c r="B3290" s="7" t="s">
        <v>38</v>
      </c>
      <c r="C3290" s="7" t="s">
        <v>8470</v>
      </c>
      <c r="D3290" s="7" t="s">
        <v>8471</v>
      </c>
      <c r="E3290" s="8">
        <v>4</v>
      </c>
      <c r="F3290" s="7"/>
      <c r="G3290" s="7" t="s">
        <v>8207</v>
      </c>
      <c r="H3290" s="9"/>
      <c r="I3290" s="10">
        <v>168654</v>
      </c>
      <c r="J3290" s="10">
        <v>351488</v>
      </c>
      <c r="K3290" s="9"/>
      <c r="L3290" s="10">
        <v>37059</v>
      </c>
      <c r="M3290" s="9"/>
      <c r="N3290" s="10">
        <v>37059</v>
      </c>
      <c r="O3290" s="9"/>
      <c r="P3290" s="10"/>
      <c r="Q3290" s="10"/>
      <c r="R3290" s="10"/>
      <c r="S3290" s="7" t="s">
        <v>219</v>
      </c>
      <c r="T3290" s="7"/>
      <c r="U3290" s="7"/>
      <c r="V3290" s="7"/>
      <c r="W3290" s="7"/>
      <c r="X3290" s="7"/>
      <c r="Y3290" s="7" t="s">
        <v>8472</v>
      </c>
      <c r="Z3290" s="7" t="s">
        <v>4041</v>
      </c>
      <c r="AA3290" s="7"/>
      <c r="AB3290" s="7"/>
      <c r="AC3290" s="7" t="s">
        <v>8470</v>
      </c>
      <c r="AD3290" s="7" t="s">
        <v>8471</v>
      </c>
      <c r="AE3290" s="7"/>
      <c r="AF3290" s="7"/>
      <c r="AG3290" s="7"/>
      <c r="AH3290" s="7" t="s">
        <v>8471</v>
      </c>
    </row>
    <row r="3291" spans="1:37" ht="9.75" customHeight="1" x14ac:dyDescent="0.2">
      <c r="A3291" s="7" t="s">
        <v>8334</v>
      </c>
      <c r="B3291" s="7" t="s">
        <v>38</v>
      </c>
      <c r="C3291" s="7" t="s">
        <v>8473</v>
      </c>
      <c r="D3291" s="7" t="s">
        <v>8474</v>
      </c>
      <c r="E3291" s="8">
        <v>4</v>
      </c>
      <c r="F3291" s="7"/>
      <c r="G3291" s="7" t="s">
        <v>8475</v>
      </c>
      <c r="H3291" s="9"/>
      <c r="I3291" s="10">
        <v>4830</v>
      </c>
      <c r="J3291" s="10">
        <v>4317</v>
      </c>
      <c r="K3291" s="9"/>
      <c r="L3291" s="10">
        <v>4789</v>
      </c>
      <c r="M3291" s="9"/>
      <c r="N3291" s="10">
        <v>4789</v>
      </c>
      <c r="O3291" s="9"/>
      <c r="P3291" s="10"/>
      <c r="Q3291" s="10"/>
      <c r="R3291" s="10"/>
      <c r="S3291" s="7"/>
      <c r="T3291" s="7"/>
      <c r="U3291" s="7"/>
      <c r="V3291" s="7"/>
      <c r="W3291" s="7"/>
      <c r="X3291" s="7"/>
      <c r="Y3291" s="7" t="s">
        <v>8476</v>
      </c>
      <c r="Z3291" s="7" t="s">
        <v>4090</v>
      </c>
      <c r="AA3291" s="7"/>
      <c r="AB3291" s="7"/>
      <c r="AC3291" s="7" t="s">
        <v>8473</v>
      </c>
      <c r="AD3291" s="7" t="s">
        <v>6747</v>
      </c>
      <c r="AE3291" s="7"/>
      <c r="AF3291" s="7"/>
      <c r="AG3291" s="7"/>
      <c r="AH3291" s="7" t="s">
        <v>6747</v>
      </c>
      <c r="AI3291">
        <v>3969</v>
      </c>
      <c r="AK3291">
        <v>3969</v>
      </c>
    </row>
    <row r="3292" spans="1:37" ht="9.75" customHeight="1" x14ac:dyDescent="0.2">
      <c r="A3292" s="7" t="s">
        <v>8334</v>
      </c>
      <c r="B3292" s="7" t="s">
        <v>38</v>
      </c>
      <c r="C3292" s="7" t="s">
        <v>8477</v>
      </c>
      <c r="D3292" s="7" t="s">
        <v>8478</v>
      </c>
      <c r="E3292" s="8">
        <v>4</v>
      </c>
      <c r="F3292" s="7"/>
      <c r="G3292" s="7" t="s">
        <v>8479</v>
      </c>
      <c r="H3292" s="9"/>
      <c r="I3292" s="10">
        <v>296347</v>
      </c>
      <c r="J3292" s="10">
        <v>352047</v>
      </c>
      <c r="K3292" s="9"/>
      <c r="L3292" s="10">
        <v>7081</v>
      </c>
      <c r="M3292" s="10">
        <v>261240</v>
      </c>
      <c r="N3292" s="10">
        <v>268321</v>
      </c>
      <c r="O3292" s="9"/>
      <c r="P3292" s="10"/>
      <c r="Q3292" s="10"/>
      <c r="R3292" s="10"/>
      <c r="S3292" s="7"/>
      <c r="T3292" s="7"/>
      <c r="U3292" s="7" t="s">
        <v>44</v>
      </c>
      <c r="V3292" s="7" t="s">
        <v>45</v>
      </c>
      <c r="W3292" s="7" t="s">
        <v>46</v>
      </c>
      <c r="X3292" s="7" t="s">
        <v>90</v>
      </c>
      <c r="Y3292" s="7" t="s">
        <v>8480</v>
      </c>
      <c r="Z3292" s="7" t="s">
        <v>214</v>
      </c>
      <c r="AA3292" s="7"/>
      <c r="AB3292" s="7"/>
      <c r="AC3292" s="7" t="s">
        <v>8477</v>
      </c>
      <c r="AD3292" s="7" t="s">
        <v>8478</v>
      </c>
      <c r="AE3292" s="7"/>
      <c r="AF3292" s="7"/>
      <c r="AG3292" s="7"/>
      <c r="AH3292" s="7" t="s">
        <v>8478</v>
      </c>
      <c r="AI3292">
        <v>571274</v>
      </c>
      <c r="AK3292">
        <v>571274</v>
      </c>
    </row>
    <row r="3293" spans="1:37" ht="9.75" customHeight="1" x14ac:dyDescent="0.2">
      <c r="A3293" s="7" t="s">
        <v>8334</v>
      </c>
      <c r="B3293" s="7" t="s">
        <v>38</v>
      </c>
      <c r="C3293" s="7" t="s">
        <v>8481</v>
      </c>
      <c r="D3293" s="7" t="s">
        <v>8482</v>
      </c>
      <c r="E3293" s="8">
        <v>6</v>
      </c>
      <c r="F3293" s="7"/>
      <c r="G3293" s="7" t="s">
        <v>8483</v>
      </c>
      <c r="H3293" s="9"/>
      <c r="I3293" s="10">
        <v>24817</v>
      </c>
      <c r="J3293" s="10">
        <v>30476</v>
      </c>
      <c r="K3293" s="9"/>
      <c r="L3293" s="10">
        <v>38386</v>
      </c>
      <c r="M3293" s="9"/>
      <c r="N3293" s="10">
        <v>38386</v>
      </c>
      <c r="O3293" s="9"/>
      <c r="P3293" s="10"/>
      <c r="Q3293" s="10"/>
      <c r="R3293" s="10"/>
      <c r="S3293" s="7" t="s">
        <v>219</v>
      </c>
      <c r="T3293" s="7"/>
      <c r="U3293" s="7" t="s">
        <v>44</v>
      </c>
      <c r="V3293" s="7"/>
      <c r="W3293" s="7"/>
      <c r="X3293" s="7" t="s">
        <v>164</v>
      </c>
      <c r="Y3293" s="7" t="s">
        <v>8484</v>
      </c>
      <c r="Z3293" s="7" t="s">
        <v>4277</v>
      </c>
      <c r="AA3293" s="7"/>
      <c r="AB3293" s="7"/>
      <c r="AC3293" s="7" t="s">
        <v>8481</v>
      </c>
      <c r="AD3293" s="7" t="s">
        <v>8485</v>
      </c>
      <c r="AE3293" s="7"/>
      <c r="AF3293" s="7"/>
      <c r="AG3293" s="7"/>
      <c r="AH3293" s="7" t="s">
        <v>8482</v>
      </c>
    </row>
    <row r="3294" spans="1:37" ht="9.75" customHeight="1" x14ac:dyDescent="0.2">
      <c r="A3294" s="7" t="s">
        <v>8334</v>
      </c>
      <c r="B3294" s="7" t="s">
        <v>38</v>
      </c>
      <c r="C3294" s="7" t="s">
        <v>7007</v>
      </c>
      <c r="D3294" s="7" t="s">
        <v>8486</v>
      </c>
      <c r="E3294" s="8">
        <v>4</v>
      </c>
      <c r="F3294" s="7"/>
      <c r="G3294" s="7" t="s">
        <v>8487</v>
      </c>
      <c r="H3294" s="9"/>
      <c r="I3294" s="10">
        <v>104086</v>
      </c>
      <c r="J3294" s="10">
        <v>81614</v>
      </c>
      <c r="K3294" s="9"/>
      <c r="L3294" s="10">
        <v>1692</v>
      </c>
      <c r="M3294" s="10">
        <v>111821</v>
      </c>
      <c r="N3294" s="10">
        <v>113513</v>
      </c>
      <c r="O3294" s="9"/>
      <c r="P3294" s="10">
        <v>111821</v>
      </c>
      <c r="Q3294" s="10">
        <v>16692</v>
      </c>
      <c r="R3294" s="10">
        <v>128513</v>
      </c>
      <c r="S3294" s="7"/>
      <c r="T3294" s="7"/>
      <c r="U3294" s="7" t="s">
        <v>44</v>
      </c>
      <c r="V3294" s="7" t="s">
        <v>45</v>
      </c>
      <c r="W3294" s="7" t="s">
        <v>130</v>
      </c>
      <c r="X3294" s="7" t="s">
        <v>131</v>
      </c>
      <c r="Y3294" s="7" t="s">
        <v>8488</v>
      </c>
      <c r="Z3294" s="7" t="s">
        <v>296</v>
      </c>
      <c r="AA3294" s="7"/>
      <c r="AB3294" s="7"/>
      <c r="AC3294" s="7" t="s">
        <v>7007</v>
      </c>
      <c r="AD3294" s="7"/>
      <c r="AE3294" s="7"/>
      <c r="AF3294" s="7"/>
      <c r="AG3294" s="7"/>
      <c r="AH3294" s="7" t="s">
        <v>7008</v>
      </c>
      <c r="AI3294">
        <v>112126</v>
      </c>
      <c r="AK3294">
        <v>112126</v>
      </c>
    </row>
    <row r="3295" spans="1:37" ht="9.75" customHeight="1" x14ac:dyDescent="0.2">
      <c r="A3295" s="7" t="s">
        <v>8334</v>
      </c>
      <c r="B3295" s="7" t="s">
        <v>38</v>
      </c>
      <c r="C3295" s="7" t="s">
        <v>8489</v>
      </c>
      <c r="D3295" s="7" t="s">
        <v>8490</v>
      </c>
      <c r="E3295" s="8">
        <v>4</v>
      </c>
      <c r="F3295" s="7"/>
      <c r="G3295" s="7" t="s">
        <v>8491</v>
      </c>
      <c r="H3295" s="9"/>
      <c r="I3295" s="10">
        <v>20714</v>
      </c>
      <c r="J3295" s="10">
        <v>17363</v>
      </c>
      <c r="K3295" s="9"/>
      <c r="L3295" s="10">
        <v>31479</v>
      </c>
      <c r="M3295" s="9"/>
      <c r="N3295" s="10">
        <v>31479</v>
      </c>
      <c r="O3295" s="9"/>
      <c r="P3295" s="10"/>
      <c r="Q3295" s="10"/>
      <c r="R3295" s="10"/>
      <c r="S3295" s="7"/>
      <c r="T3295" s="7"/>
      <c r="U3295" s="7" t="s">
        <v>44</v>
      </c>
      <c r="V3295" s="7" t="s">
        <v>45</v>
      </c>
      <c r="W3295" s="7" t="s">
        <v>46</v>
      </c>
      <c r="X3295" s="7" t="s">
        <v>90</v>
      </c>
      <c r="Y3295" s="7" t="s">
        <v>8492</v>
      </c>
      <c r="Z3295" s="7" t="s">
        <v>4341</v>
      </c>
      <c r="AA3295" s="7"/>
      <c r="AB3295" s="7"/>
      <c r="AC3295" s="7" t="s">
        <v>8489</v>
      </c>
      <c r="AD3295" s="7" t="s">
        <v>8490</v>
      </c>
      <c r="AE3295" s="7"/>
      <c r="AF3295" s="7"/>
      <c r="AG3295" s="7"/>
      <c r="AH3295" s="7" t="s">
        <v>8490</v>
      </c>
      <c r="AI3295">
        <v>67279</v>
      </c>
      <c r="AK3295">
        <v>67279</v>
      </c>
    </row>
    <row r="3296" spans="1:37" ht="9.75" customHeight="1" x14ac:dyDescent="0.2">
      <c r="A3296" s="7" t="s">
        <v>8334</v>
      </c>
      <c r="B3296" s="7" t="s">
        <v>38</v>
      </c>
      <c r="C3296" s="7" t="s">
        <v>8493</v>
      </c>
      <c r="D3296" s="7" t="s">
        <v>8494</v>
      </c>
      <c r="E3296" s="8">
        <v>4</v>
      </c>
      <c r="F3296" s="7"/>
      <c r="G3296" s="7" t="s">
        <v>8495</v>
      </c>
      <c r="H3296" s="9"/>
      <c r="I3296" s="10">
        <v>58731</v>
      </c>
      <c r="J3296" s="10">
        <v>100065</v>
      </c>
      <c r="K3296" s="9"/>
      <c r="L3296" s="10">
        <v>0</v>
      </c>
      <c r="M3296" s="10">
        <v>179351</v>
      </c>
      <c r="N3296" s="10">
        <v>179351</v>
      </c>
      <c r="O3296" s="9"/>
      <c r="P3296" s="10">
        <v>179351</v>
      </c>
      <c r="Q3296" s="10">
        <v>0</v>
      </c>
      <c r="R3296" s="10">
        <v>179351</v>
      </c>
      <c r="S3296" s="7" t="s">
        <v>43</v>
      </c>
      <c r="T3296" s="7"/>
      <c r="U3296" s="7"/>
      <c r="V3296" s="7"/>
      <c r="W3296" s="7"/>
      <c r="X3296" s="7"/>
      <c r="Y3296" s="7" t="s">
        <v>8496</v>
      </c>
      <c r="Z3296" s="7" t="s">
        <v>4370</v>
      </c>
      <c r="AA3296" s="7"/>
      <c r="AB3296" s="7"/>
      <c r="AC3296" s="7" t="s">
        <v>8493</v>
      </c>
      <c r="AD3296" s="7"/>
      <c r="AE3296" s="7"/>
      <c r="AF3296" s="7"/>
      <c r="AG3296" s="7"/>
      <c r="AH3296" s="7" t="s">
        <v>8494</v>
      </c>
      <c r="AI3296">
        <v>251724</v>
      </c>
      <c r="AK3296">
        <v>251724</v>
      </c>
    </row>
    <row r="3297" spans="1:37" ht="9.75" customHeight="1" x14ac:dyDescent="0.2">
      <c r="A3297" s="7" t="s">
        <v>8334</v>
      </c>
      <c r="B3297" s="7" t="s">
        <v>38</v>
      </c>
      <c r="C3297" s="7"/>
      <c r="D3297" s="7" t="s">
        <v>8497</v>
      </c>
      <c r="E3297" s="8">
        <v>4</v>
      </c>
      <c r="F3297" s="7"/>
      <c r="G3297" s="7"/>
      <c r="H3297" s="9"/>
      <c r="I3297" s="10">
        <v>5507</v>
      </c>
      <c r="J3297" s="10">
        <v>5942</v>
      </c>
      <c r="K3297" s="9"/>
      <c r="L3297" s="9"/>
      <c r="M3297" s="9"/>
      <c r="N3297" s="9"/>
      <c r="O3297" s="9"/>
      <c r="P3297" s="9"/>
      <c r="Q3297" s="9"/>
      <c r="R3297" s="9"/>
      <c r="S3297" s="7" t="s">
        <v>54</v>
      </c>
      <c r="T3297" s="7" t="s">
        <v>8498</v>
      </c>
      <c r="U3297" s="7"/>
      <c r="V3297" s="7"/>
      <c r="W3297" s="7"/>
      <c r="X3297" s="7"/>
      <c r="Y3297" s="7" t="s">
        <v>8499</v>
      </c>
      <c r="Z3297" s="7" t="s">
        <v>5383</v>
      </c>
      <c r="AA3297" s="7"/>
      <c r="AB3297" s="7"/>
      <c r="AC3297" s="7" t="s">
        <v>8493</v>
      </c>
      <c r="AD3297" s="7" t="s">
        <v>8500</v>
      </c>
      <c r="AE3297" s="7"/>
      <c r="AF3297" s="7"/>
      <c r="AG3297" s="7"/>
      <c r="AH3297" s="7" t="s">
        <v>8494</v>
      </c>
    </row>
    <row r="3298" spans="1:37" ht="9.75" customHeight="1" x14ac:dyDescent="0.2">
      <c r="A3298" s="7" t="s">
        <v>8334</v>
      </c>
      <c r="B3298" s="7" t="s">
        <v>38</v>
      </c>
      <c r="C3298" s="7"/>
      <c r="D3298" s="7" t="s">
        <v>8501</v>
      </c>
      <c r="E3298" s="8">
        <v>4</v>
      </c>
      <c r="F3298" s="7"/>
      <c r="G3298" s="7"/>
      <c r="H3298" s="9"/>
      <c r="I3298" s="10">
        <v>28453</v>
      </c>
      <c r="J3298" s="10">
        <v>46900</v>
      </c>
      <c r="K3298" s="9"/>
      <c r="L3298" s="9"/>
      <c r="M3298" s="9"/>
      <c r="N3298" s="9"/>
      <c r="O3298" s="9"/>
      <c r="P3298" s="9"/>
      <c r="Q3298" s="9"/>
      <c r="R3298" s="9"/>
      <c r="S3298" s="7" t="s">
        <v>54</v>
      </c>
      <c r="T3298" s="7" t="s">
        <v>8498</v>
      </c>
      <c r="U3298" s="7"/>
      <c r="V3298" s="7"/>
      <c r="W3298" s="7"/>
      <c r="X3298" s="7"/>
      <c r="Y3298" s="7" t="s">
        <v>8502</v>
      </c>
      <c r="Z3298" s="7" t="s">
        <v>8503</v>
      </c>
      <c r="AA3298" s="7"/>
      <c r="AB3298" s="7"/>
      <c r="AC3298" s="7" t="s">
        <v>8493</v>
      </c>
      <c r="AD3298" s="7" t="s">
        <v>8504</v>
      </c>
      <c r="AE3298" s="7"/>
      <c r="AF3298" s="7"/>
      <c r="AG3298" s="7"/>
      <c r="AH3298" s="7" t="s">
        <v>8494</v>
      </c>
    </row>
    <row r="3299" spans="1:37" ht="9.75" customHeight="1" x14ac:dyDescent="0.2">
      <c r="A3299" s="7" t="s">
        <v>8334</v>
      </c>
      <c r="B3299" s="7" t="s">
        <v>38</v>
      </c>
      <c r="C3299" s="7"/>
      <c r="D3299" s="7" t="s">
        <v>8505</v>
      </c>
      <c r="E3299" s="8">
        <v>4</v>
      </c>
      <c r="F3299" s="7"/>
      <c r="G3299" s="7"/>
      <c r="H3299" s="9"/>
      <c r="I3299" s="10">
        <v>24771</v>
      </c>
      <c r="J3299" s="10">
        <v>24923</v>
      </c>
      <c r="K3299" s="9"/>
      <c r="L3299" s="9"/>
      <c r="M3299" s="9"/>
      <c r="N3299" s="9"/>
      <c r="O3299" s="9"/>
      <c r="P3299" s="9"/>
      <c r="Q3299" s="9"/>
      <c r="R3299" s="9"/>
      <c r="S3299" s="7" t="s">
        <v>54</v>
      </c>
      <c r="T3299" s="7" t="s">
        <v>8498</v>
      </c>
      <c r="U3299" s="7"/>
      <c r="V3299" s="7"/>
      <c r="W3299" s="7"/>
      <c r="X3299" s="7"/>
      <c r="Y3299" s="7" t="s">
        <v>8506</v>
      </c>
      <c r="Z3299" s="7" t="s">
        <v>8507</v>
      </c>
      <c r="AA3299" s="7"/>
      <c r="AB3299" s="7"/>
      <c r="AC3299" s="7" t="s">
        <v>8493</v>
      </c>
      <c r="AD3299" s="7" t="s">
        <v>8508</v>
      </c>
      <c r="AE3299" s="7"/>
      <c r="AF3299" s="7"/>
      <c r="AG3299" s="7"/>
      <c r="AH3299" s="7" t="s">
        <v>8494</v>
      </c>
    </row>
    <row r="3300" spans="1:37" ht="9.75" customHeight="1" x14ac:dyDescent="0.2">
      <c r="A3300" s="7" t="s">
        <v>8334</v>
      </c>
      <c r="B3300" s="7" t="s">
        <v>38</v>
      </c>
      <c r="C3300" s="7"/>
      <c r="D3300" s="7" t="s">
        <v>8509</v>
      </c>
      <c r="E3300" s="8">
        <v>4</v>
      </c>
      <c r="F3300" s="7"/>
      <c r="G3300" s="7"/>
      <c r="H3300" s="9"/>
      <c r="I3300" s="9"/>
      <c r="J3300" s="10">
        <v>22300</v>
      </c>
      <c r="K3300" s="9"/>
      <c r="L3300" s="9"/>
      <c r="M3300" s="9"/>
      <c r="N3300" s="9"/>
      <c r="O3300" s="9"/>
      <c r="P3300" s="9"/>
      <c r="Q3300" s="9"/>
      <c r="R3300" s="9"/>
      <c r="S3300" s="7" t="s">
        <v>54</v>
      </c>
      <c r="T3300" s="7" t="s">
        <v>8498</v>
      </c>
      <c r="U3300" s="7"/>
      <c r="V3300" s="7"/>
      <c r="W3300" s="7"/>
      <c r="X3300" s="7"/>
      <c r="Y3300" s="7" t="s">
        <v>8510</v>
      </c>
      <c r="Z3300" s="7" t="s">
        <v>5413</v>
      </c>
      <c r="AA3300" s="7"/>
      <c r="AB3300" s="7"/>
      <c r="AC3300" s="7" t="s">
        <v>8493</v>
      </c>
      <c r="AD3300" s="7" t="s">
        <v>8511</v>
      </c>
      <c r="AE3300" s="7"/>
      <c r="AF3300" s="7"/>
      <c r="AG3300" s="7"/>
      <c r="AH3300" s="7" t="s">
        <v>8494</v>
      </c>
    </row>
    <row r="3301" spans="1:37" ht="9.75" customHeight="1" x14ac:dyDescent="0.2">
      <c r="A3301" s="7" t="s">
        <v>8334</v>
      </c>
      <c r="B3301" s="7" t="s">
        <v>38</v>
      </c>
      <c r="C3301" s="7" t="s">
        <v>8512</v>
      </c>
      <c r="D3301" s="7" t="s">
        <v>8513</v>
      </c>
      <c r="E3301" s="8">
        <v>6</v>
      </c>
      <c r="F3301" s="7"/>
      <c r="G3301" s="7" t="s">
        <v>8514</v>
      </c>
      <c r="H3301" s="9"/>
      <c r="I3301" s="10">
        <v>133187</v>
      </c>
      <c r="J3301" s="10">
        <v>145655</v>
      </c>
      <c r="K3301" s="9"/>
      <c r="L3301" s="10">
        <v>161218</v>
      </c>
      <c r="M3301" s="9"/>
      <c r="N3301" s="10">
        <v>161218</v>
      </c>
      <c r="O3301" s="9"/>
      <c r="P3301" s="10"/>
      <c r="Q3301" s="10"/>
      <c r="R3301" s="10"/>
      <c r="S3301" s="7" t="s">
        <v>43</v>
      </c>
      <c r="T3301" s="7"/>
      <c r="U3301" s="7"/>
      <c r="V3301" s="7"/>
      <c r="W3301" s="7"/>
      <c r="X3301" s="7"/>
      <c r="Y3301" s="7" t="s">
        <v>8515</v>
      </c>
      <c r="Z3301" s="7" t="s">
        <v>5413</v>
      </c>
      <c r="AA3301" s="7"/>
      <c r="AB3301" s="7"/>
      <c r="AC3301" s="7" t="s">
        <v>8512</v>
      </c>
      <c r="AD3301" s="7" t="s">
        <v>8516</v>
      </c>
      <c r="AE3301" s="7"/>
      <c r="AF3301" s="7"/>
      <c r="AG3301" s="7"/>
      <c r="AH3301" s="7" t="s">
        <v>8513</v>
      </c>
      <c r="AI3301">
        <v>160445</v>
      </c>
      <c r="AK3301">
        <v>160445</v>
      </c>
    </row>
    <row r="3302" spans="1:37" ht="9.75" customHeight="1" x14ac:dyDescent="0.2">
      <c r="A3302" s="7" t="s">
        <v>8334</v>
      </c>
      <c r="B3302" s="7" t="s">
        <v>38</v>
      </c>
      <c r="C3302" s="7"/>
      <c r="D3302" s="7" t="s">
        <v>8517</v>
      </c>
      <c r="E3302" s="8">
        <v>6</v>
      </c>
      <c r="F3302" s="7"/>
      <c r="G3302" s="7"/>
      <c r="H3302" s="9"/>
      <c r="I3302" s="10">
        <v>31315</v>
      </c>
      <c r="J3302" s="10">
        <v>31904</v>
      </c>
      <c r="K3302" s="9"/>
      <c r="L3302" s="10">
        <v>36208</v>
      </c>
      <c r="M3302" s="9"/>
      <c r="N3302" s="10">
        <v>36208</v>
      </c>
      <c r="O3302" s="9"/>
      <c r="P3302" s="10"/>
      <c r="Q3302" s="10"/>
      <c r="R3302" s="10"/>
      <c r="S3302" s="7" t="s">
        <v>54</v>
      </c>
      <c r="T3302" s="7" t="s">
        <v>8518</v>
      </c>
      <c r="U3302" s="7" t="s">
        <v>44</v>
      </c>
      <c r="V3302" s="7" t="s">
        <v>45</v>
      </c>
      <c r="W3302" s="7" t="s">
        <v>130</v>
      </c>
      <c r="X3302" s="7"/>
      <c r="Y3302" s="7" t="s">
        <v>8519</v>
      </c>
      <c r="Z3302" s="7" t="s">
        <v>8520</v>
      </c>
      <c r="AA3302" s="7"/>
      <c r="AB3302" s="7"/>
      <c r="AC3302" s="7" t="s">
        <v>8512</v>
      </c>
      <c r="AD3302" s="7" t="s">
        <v>8516</v>
      </c>
      <c r="AE3302" s="7"/>
      <c r="AF3302" s="7" t="s">
        <v>113</v>
      </c>
      <c r="AG3302" s="7" t="s">
        <v>297</v>
      </c>
      <c r="AH3302" s="7" t="s">
        <v>8513</v>
      </c>
    </row>
    <row r="3303" spans="1:37" ht="9.75" customHeight="1" x14ac:dyDescent="0.2">
      <c r="A3303" s="7" t="s">
        <v>8334</v>
      </c>
      <c r="B3303" s="7" t="s">
        <v>38</v>
      </c>
      <c r="C3303" s="7"/>
      <c r="D3303" s="7" t="s">
        <v>8521</v>
      </c>
      <c r="E3303" s="8">
        <v>6</v>
      </c>
      <c r="F3303" s="7"/>
      <c r="G3303" s="7"/>
      <c r="H3303" s="9"/>
      <c r="I3303" s="9"/>
      <c r="J3303" s="9"/>
      <c r="K3303" s="9"/>
      <c r="L3303" s="9"/>
      <c r="M3303" s="9"/>
      <c r="N3303" s="9"/>
      <c r="O3303" s="9"/>
      <c r="P3303" s="9"/>
      <c r="Q3303" s="9"/>
      <c r="R3303" s="9"/>
      <c r="S3303" s="7" t="s">
        <v>54</v>
      </c>
      <c r="T3303" s="7" t="s">
        <v>8522</v>
      </c>
      <c r="U3303" s="7"/>
      <c r="V3303" s="7"/>
      <c r="W3303" s="7"/>
      <c r="X3303" s="7"/>
      <c r="Y3303" s="7" t="s">
        <v>8523</v>
      </c>
      <c r="Z3303" s="7" t="s">
        <v>8524</v>
      </c>
      <c r="AA3303" s="7"/>
      <c r="AB3303" s="7"/>
      <c r="AC3303" s="7" t="s">
        <v>8512</v>
      </c>
      <c r="AD3303" s="7" t="s">
        <v>8525</v>
      </c>
      <c r="AE3303" s="7"/>
      <c r="AF3303" s="7"/>
      <c r="AG3303" s="7"/>
      <c r="AH3303" s="7" t="s">
        <v>8513</v>
      </c>
    </row>
    <row r="3304" spans="1:37" ht="9.75" customHeight="1" x14ac:dyDescent="0.2">
      <c r="A3304" s="7" t="s">
        <v>8334</v>
      </c>
      <c r="B3304" s="7" t="s">
        <v>38</v>
      </c>
      <c r="C3304" s="7"/>
      <c r="D3304" s="7" t="s">
        <v>8526</v>
      </c>
      <c r="E3304" s="8">
        <v>6</v>
      </c>
      <c r="F3304" s="7"/>
      <c r="G3304" s="7"/>
      <c r="H3304" s="9"/>
      <c r="I3304" s="10">
        <v>101872</v>
      </c>
      <c r="J3304" s="10">
        <v>113751</v>
      </c>
      <c r="K3304" s="9"/>
      <c r="L3304" s="10">
        <v>125010</v>
      </c>
      <c r="M3304" s="9"/>
      <c r="N3304" s="10">
        <v>125010</v>
      </c>
      <c r="O3304" s="9"/>
      <c r="P3304" s="10"/>
      <c r="Q3304" s="10"/>
      <c r="R3304" s="10"/>
      <c r="S3304" s="7" t="s">
        <v>54</v>
      </c>
      <c r="T3304" s="7" t="s">
        <v>8518</v>
      </c>
      <c r="U3304" s="7" t="s">
        <v>44</v>
      </c>
      <c r="V3304" s="7" t="s">
        <v>45</v>
      </c>
      <c r="W3304" s="7" t="s">
        <v>46</v>
      </c>
      <c r="X3304" s="7"/>
      <c r="Y3304" s="7" t="s">
        <v>8527</v>
      </c>
      <c r="Z3304" s="7" t="s">
        <v>6540</v>
      </c>
      <c r="AA3304" s="7"/>
      <c r="AB3304" s="7"/>
      <c r="AC3304" s="7" t="s">
        <v>8512</v>
      </c>
      <c r="AD3304" s="7" t="s">
        <v>8516</v>
      </c>
      <c r="AE3304" s="7"/>
      <c r="AF3304" s="7"/>
      <c r="AG3304" s="7"/>
      <c r="AH3304" s="7" t="s">
        <v>8513</v>
      </c>
    </row>
    <row r="3305" spans="1:37" ht="9.75" customHeight="1" x14ac:dyDescent="0.2">
      <c r="A3305" s="7" t="s">
        <v>8334</v>
      </c>
      <c r="B3305" s="7" t="s">
        <v>38</v>
      </c>
      <c r="C3305" s="7" t="s">
        <v>7039</v>
      </c>
      <c r="D3305" s="7" t="s">
        <v>7881</v>
      </c>
      <c r="E3305" s="8">
        <v>6</v>
      </c>
      <c r="F3305" s="7"/>
      <c r="G3305" s="7" t="s">
        <v>8528</v>
      </c>
      <c r="H3305" s="9"/>
      <c r="I3305" s="10">
        <v>4146</v>
      </c>
      <c r="J3305" s="10">
        <v>4039</v>
      </c>
      <c r="K3305" s="9"/>
      <c r="L3305" s="10">
        <v>4328</v>
      </c>
      <c r="M3305" s="9"/>
      <c r="N3305" s="10">
        <v>4328</v>
      </c>
      <c r="O3305" s="9"/>
      <c r="P3305" s="10"/>
      <c r="Q3305" s="10"/>
      <c r="R3305" s="10"/>
      <c r="S3305" s="7" t="s">
        <v>219</v>
      </c>
      <c r="T3305" s="7"/>
      <c r="U3305" s="7"/>
      <c r="V3305" s="7"/>
      <c r="W3305" s="7"/>
      <c r="X3305" s="7"/>
      <c r="Y3305" s="7" t="s">
        <v>8529</v>
      </c>
      <c r="Z3305" s="7" t="s">
        <v>8530</v>
      </c>
      <c r="AA3305" s="7"/>
      <c r="AB3305" s="7"/>
      <c r="AC3305" s="7" t="s">
        <v>7039</v>
      </c>
      <c r="AD3305" s="7" t="s">
        <v>7044</v>
      </c>
      <c r="AE3305" s="7"/>
      <c r="AF3305" s="7"/>
      <c r="AG3305" s="7"/>
      <c r="AH3305" s="7" t="s">
        <v>7040</v>
      </c>
    </row>
    <row r="3306" spans="1:37" ht="9.75" customHeight="1" x14ac:dyDescent="0.2">
      <c r="A3306" s="7" t="s">
        <v>8334</v>
      </c>
      <c r="B3306" s="7" t="s">
        <v>38</v>
      </c>
      <c r="C3306" s="7" t="s">
        <v>8531</v>
      </c>
      <c r="D3306" s="7" t="s">
        <v>8532</v>
      </c>
      <c r="E3306" s="8">
        <v>7</v>
      </c>
      <c r="F3306" s="7"/>
      <c r="G3306" s="7" t="s">
        <v>8533</v>
      </c>
      <c r="H3306" s="9"/>
      <c r="I3306" s="10">
        <v>5811</v>
      </c>
      <c r="J3306" s="10">
        <v>5669</v>
      </c>
      <c r="K3306" s="9"/>
      <c r="L3306" s="10">
        <v>5346</v>
      </c>
      <c r="M3306" s="9"/>
      <c r="N3306" s="10">
        <v>5346</v>
      </c>
      <c r="O3306" s="9"/>
      <c r="P3306" s="10"/>
      <c r="Q3306" s="10"/>
      <c r="R3306" s="10"/>
      <c r="S3306" s="7" t="s">
        <v>219</v>
      </c>
      <c r="T3306" s="7"/>
      <c r="U3306" s="7"/>
      <c r="V3306" s="7"/>
      <c r="W3306" s="7"/>
      <c r="X3306" s="7"/>
      <c r="Y3306" s="7" t="s">
        <v>8534</v>
      </c>
      <c r="Z3306" s="7" t="s">
        <v>8535</v>
      </c>
      <c r="AA3306" s="7"/>
      <c r="AB3306" s="7"/>
      <c r="AC3306" s="7" t="s">
        <v>8531</v>
      </c>
      <c r="AD3306" s="7" t="s">
        <v>8536</v>
      </c>
      <c r="AE3306" s="7"/>
      <c r="AF3306" s="7"/>
      <c r="AG3306" s="7"/>
      <c r="AH3306" s="7" t="s">
        <v>8532</v>
      </c>
    </row>
    <row r="3307" spans="1:37" ht="9.75" customHeight="1" x14ac:dyDescent="0.2">
      <c r="A3307" s="7" t="s">
        <v>8334</v>
      </c>
      <c r="B3307" s="7" t="s">
        <v>38</v>
      </c>
      <c r="C3307" s="7" t="s">
        <v>8537</v>
      </c>
      <c r="D3307" s="7" t="s">
        <v>8538</v>
      </c>
      <c r="E3307" s="8">
        <v>4</v>
      </c>
      <c r="F3307" s="7"/>
      <c r="G3307" s="7" t="s">
        <v>8539</v>
      </c>
      <c r="H3307" s="9"/>
      <c r="I3307" s="10">
        <v>16565</v>
      </c>
      <c r="J3307" s="10">
        <v>12513</v>
      </c>
      <c r="K3307" s="9"/>
      <c r="L3307" s="10">
        <v>9987</v>
      </c>
      <c r="M3307" s="9"/>
      <c r="N3307" s="10">
        <v>9987</v>
      </c>
      <c r="O3307" s="9"/>
      <c r="P3307" s="10"/>
      <c r="Q3307" s="10"/>
      <c r="R3307" s="10"/>
      <c r="S3307" s="7" t="s">
        <v>43</v>
      </c>
      <c r="T3307" s="7"/>
      <c r="U3307" s="7"/>
      <c r="V3307" s="7"/>
      <c r="W3307" s="7"/>
      <c r="X3307" s="7"/>
      <c r="Y3307" s="7" t="s">
        <v>8540</v>
      </c>
      <c r="Z3307" s="7" t="s">
        <v>8541</v>
      </c>
      <c r="AA3307" s="7"/>
      <c r="AB3307" s="7"/>
      <c r="AC3307" s="7" t="s">
        <v>8537</v>
      </c>
      <c r="AD3307" s="7"/>
      <c r="AE3307" s="7"/>
      <c r="AF3307" s="7"/>
      <c r="AG3307" s="7"/>
      <c r="AH3307" s="7" t="s">
        <v>8538</v>
      </c>
      <c r="AI3307">
        <v>13946</v>
      </c>
      <c r="AK3307">
        <v>13946</v>
      </c>
    </row>
    <row r="3308" spans="1:37" ht="9.75" customHeight="1" x14ac:dyDescent="0.2">
      <c r="A3308" s="7" t="s">
        <v>8334</v>
      </c>
      <c r="B3308" s="7" t="s">
        <v>38</v>
      </c>
      <c r="C3308" s="7"/>
      <c r="D3308" s="7" t="s">
        <v>8542</v>
      </c>
      <c r="E3308" s="8">
        <v>4</v>
      </c>
      <c r="F3308" s="7"/>
      <c r="G3308" s="7"/>
      <c r="H3308" s="9"/>
      <c r="I3308" s="10">
        <v>10607</v>
      </c>
      <c r="J3308" s="10">
        <v>6828</v>
      </c>
      <c r="K3308" s="9"/>
      <c r="L3308" s="10">
        <v>5357</v>
      </c>
      <c r="M3308" s="9"/>
      <c r="N3308" s="10">
        <v>5357</v>
      </c>
      <c r="O3308" s="9"/>
      <c r="P3308" s="10"/>
      <c r="Q3308" s="10"/>
      <c r="R3308" s="10"/>
      <c r="S3308" s="7" t="s">
        <v>54</v>
      </c>
      <c r="T3308" s="7" t="s">
        <v>8543</v>
      </c>
      <c r="U3308" s="7"/>
      <c r="V3308" s="7"/>
      <c r="W3308" s="7"/>
      <c r="X3308" s="7"/>
      <c r="Y3308" s="7" t="s">
        <v>8544</v>
      </c>
      <c r="Z3308" s="7" t="s">
        <v>6552</v>
      </c>
      <c r="AA3308" s="7"/>
      <c r="AB3308" s="7"/>
      <c r="AC3308" s="7" t="s">
        <v>8537</v>
      </c>
      <c r="AD3308" s="7" t="s">
        <v>8545</v>
      </c>
      <c r="AE3308" s="7"/>
      <c r="AF3308" s="7"/>
      <c r="AG3308" s="7"/>
      <c r="AH3308" s="7" t="s">
        <v>8538</v>
      </c>
    </row>
    <row r="3309" spans="1:37" ht="9.75" customHeight="1" x14ac:dyDescent="0.2">
      <c r="A3309" s="7" t="s">
        <v>8334</v>
      </c>
      <c r="B3309" s="7" t="s">
        <v>38</v>
      </c>
      <c r="C3309" s="7"/>
      <c r="D3309" s="7" t="s">
        <v>8546</v>
      </c>
      <c r="E3309" s="8">
        <v>4</v>
      </c>
      <c r="F3309" s="7"/>
      <c r="G3309" s="7"/>
      <c r="H3309" s="9"/>
      <c r="I3309" s="10">
        <v>5958</v>
      </c>
      <c r="J3309" s="10">
        <v>5685</v>
      </c>
      <c r="K3309" s="9"/>
      <c r="L3309" s="10">
        <v>4630</v>
      </c>
      <c r="M3309" s="9"/>
      <c r="N3309" s="10">
        <v>4630</v>
      </c>
      <c r="O3309" s="9"/>
      <c r="P3309" s="10"/>
      <c r="Q3309" s="10"/>
      <c r="R3309" s="10"/>
      <c r="S3309" s="7" t="s">
        <v>54</v>
      </c>
      <c r="T3309" s="7" t="s">
        <v>8543</v>
      </c>
      <c r="U3309" s="7"/>
      <c r="V3309" s="7"/>
      <c r="W3309" s="7"/>
      <c r="X3309" s="7"/>
      <c r="Y3309" s="7" t="s">
        <v>8547</v>
      </c>
      <c r="Z3309" s="7" t="s">
        <v>8548</v>
      </c>
      <c r="AA3309" s="7"/>
      <c r="AB3309" s="7"/>
      <c r="AC3309" s="7" t="s">
        <v>8537</v>
      </c>
      <c r="AD3309" s="7"/>
      <c r="AE3309" s="7"/>
      <c r="AF3309" s="7"/>
      <c r="AG3309" s="7"/>
      <c r="AH3309" s="7" t="s">
        <v>8538</v>
      </c>
    </row>
    <row r="3310" spans="1:37" ht="9.75" customHeight="1" x14ac:dyDescent="0.2">
      <c r="A3310" s="7" t="s">
        <v>8334</v>
      </c>
      <c r="B3310" s="7" t="s">
        <v>38</v>
      </c>
      <c r="C3310" s="7" t="s">
        <v>8549</v>
      </c>
      <c r="D3310" s="7" t="s">
        <v>8550</v>
      </c>
      <c r="E3310" s="8">
        <v>4</v>
      </c>
      <c r="F3310" s="7"/>
      <c r="G3310" s="7" t="s">
        <v>8551</v>
      </c>
      <c r="H3310" s="9"/>
      <c r="I3310" s="10">
        <v>4088</v>
      </c>
      <c r="J3310" s="10">
        <v>4266</v>
      </c>
      <c r="K3310" s="9"/>
      <c r="L3310" s="10">
        <v>8122</v>
      </c>
      <c r="M3310" s="9"/>
      <c r="N3310" s="10">
        <v>8122</v>
      </c>
      <c r="O3310" s="9"/>
      <c r="P3310" s="10"/>
      <c r="Q3310" s="10"/>
      <c r="R3310" s="10"/>
      <c r="S3310" s="7"/>
      <c r="T3310" s="7"/>
      <c r="U3310" s="7"/>
      <c r="V3310" s="7"/>
      <c r="W3310" s="7"/>
      <c r="X3310" s="7"/>
      <c r="Y3310" s="7" t="s">
        <v>8552</v>
      </c>
      <c r="Z3310" s="7" t="s">
        <v>6557</v>
      </c>
      <c r="AA3310" s="7"/>
      <c r="AB3310" s="7"/>
      <c r="AC3310" s="7" t="s">
        <v>8549</v>
      </c>
      <c r="AD3310" s="7" t="s">
        <v>8553</v>
      </c>
      <c r="AE3310" s="7"/>
      <c r="AF3310" s="7"/>
      <c r="AG3310" s="7"/>
      <c r="AH3310" s="7" t="s">
        <v>8553</v>
      </c>
      <c r="AI3310">
        <v>7939</v>
      </c>
      <c r="AK3310">
        <v>7939</v>
      </c>
    </row>
    <row r="3311" spans="1:37" ht="9.75" customHeight="1" x14ac:dyDescent="0.2">
      <c r="A3311" s="7" t="s">
        <v>8334</v>
      </c>
      <c r="B3311" s="7" t="s">
        <v>38</v>
      </c>
      <c r="C3311" s="7" t="s">
        <v>8554</v>
      </c>
      <c r="D3311" s="7" t="s">
        <v>8555</v>
      </c>
      <c r="E3311" s="8">
        <v>4</v>
      </c>
      <c r="F3311" s="7"/>
      <c r="G3311" s="7" t="s">
        <v>8556</v>
      </c>
      <c r="H3311" s="9"/>
      <c r="I3311" s="10">
        <v>55172</v>
      </c>
      <c r="J3311" s="10">
        <v>54794</v>
      </c>
      <c r="K3311" s="9"/>
      <c r="L3311" s="10">
        <v>44455</v>
      </c>
      <c r="M3311" s="9"/>
      <c r="N3311" s="10">
        <v>44455</v>
      </c>
      <c r="O3311" s="9"/>
      <c r="P3311" s="10"/>
      <c r="Q3311" s="10"/>
      <c r="R3311" s="10"/>
      <c r="S3311" s="7" t="s">
        <v>43</v>
      </c>
      <c r="T3311" s="7"/>
      <c r="U3311" s="7"/>
      <c r="V3311" s="7"/>
      <c r="W3311" s="7"/>
      <c r="X3311" s="7"/>
      <c r="Y3311" s="7" t="s">
        <v>8557</v>
      </c>
      <c r="Z3311" s="7" t="s">
        <v>8558</v>
      </c>
      <c r="AA3311" s="7"/>
      <c r="AB3311" s="7"/>
      <c r="AC3311" s="7" t="s">
        <v>8554</v>
      </c>
      <c r="AD3311" s="7" t="s">
        <v>8555</v>
      </c>
      <c r="AE3311" s="7"/>
      <c r="AF3311" s="7"/>
      <c r="AG3311" s="7"/>
      <c r="AH3311" s="7" t="s">
        <v>8555</v>
      </c>
      <c r="AI3311">
        <v>49537</v>
      </c>
      <c r="AK3311">
        <v>49537</v>
      </c>
    </row>
    <row r="3312" spans="1:37" ht="9.75" customHeight="1" x14ac:dyDescent="0.2">
      <c r="A3312" s="7" t="s">
        <v>8334</v>
      </c>
      <c r="B3312" s="7" t="s">
        <v>38</v>
      </c>
      <c r="C3312" s="7"/>
      <c r="D3312" s="7" t="s">
        <v>8559</v>
      </c>
      <c r="E3312" s="8">
        <v>4</v>
      </c>
      <c r="F3312" s="7"/>
      <c r="G3312" s="7" t="s">
        <v>8560</v>
      </c>
      <c r="H3312" s="9"/>
      <c r="I3312" s="10">
        <v>10607</v>
      </c>
      <c r="J3312" s="10">
        <v>14128</v>
      </c>
      <c r="K3312" s="9"/>
      <c r="L3312" s="10">
        <v>21987</v>
      </c>
      <c r="M3312" s="9"/>
      <c r="N3312" s="10">
        <v>21987</v>
      </c>
      <c r="O3312" s="9"/>
      <c r="P3312" s="10"/>
      <c r="Q3312" s="10"/>
      <c r="R3312" s="10"/>
      <c r="S3312" s="7" t="s">
        <v>54</v>
      </c>
      <c r="T3312" s="7" t="s">
        <v>8561</v>
      </c>
      <c r="U3312" s="7"/>
      <c r="V3312" s="7"/>
      <c r="W3312" s="7"/>
      <c r="X3312" s="7"/>
      <c r="Y3312" s="7" t="s">
        <v>8562</v>
      </c>
      <c r="Z3312" s="7" t="s">
        <v>8558</v>
      </c>
      <c r="AA3312" s="7"/>
      <c r="AB3312" s="7"/>
      <c r="AC3312" s="7" t="s">
        <v>8554</v>
      </c>
      <c r="AD3312" s="7" t="s">
        <v>8555</v>
      </c>
      <c r="AE3312" s="7"/>
      <c r="AF3312" s="7"/>
      <c r="AG3312" s="7"/>
      <c r="AH3312" s="7" t="s">
        <v>8555</v>
      </c>
    </row>
    <row r="3313" spans="1:37" ht="9.75" customHeight="1" x14ac:dyDescent="0.2">
      <c r="A3313" s="7" t="s">
        <v>8334</v>
      </c>
      <c r="B3313" s="7" t="s">
        <v>38</v>
      </c>
      <c r="C3313" s="7"/>
      <c r="D3313" s="7" t="s">
        <v>8563</v>
      </c>
      <c r="E3313" s="8">
        <v>4</v>
      </c>
      <c r="F3313" s="7"/>
      <c r="G3313" s="7" t="s">
        <v>8564</v>
      </c>
      <c r="H3313" s="9"/>
      <c r="I3313" s="10">
        <v>6005</v>
      </c>
      <c r="J3313" s="10">
        <v>7668</v>
      </c>
      <c r="K3313" s="9"/>
      <c r="L3313" s="10">
        <v>6843</v>
      </c>
      <c r="M3313" s="9"/>
      <c r="N3313" s="10">
        <v>6843</v>
      </c>
      <c r="O3313" s="9"/>
      <c r="P3313" s="10"/>
      <c r="Q3313" s="10"/>
      <c r="R3313" s="10"/>
      <c r="S3313" s="7" t="s">
        <v>54</v>
      </c>
      <c r="T3313" s="7" t="s">
        <v>8561</v>
      </c>
      <c r="U3313" s="7"/>
      <c r="V3313" s="7"/>
      <c r="W3313" s="7"/>
      <c r="X3313" s="7"/>
      <c r="Y3313" s="7" t="s">
        <v>8565</v>
      </c>
      <c r="Z3313" s="7" t="s">
        <v>8558</v>
      </c>
      <c r="AA3313" s="7"/>
      <c r="AB3313" s="7"/>
      <c r="AC3313" s="7" t="s">
        <v>8554</v>
      </c>
      <c r="AD3313" s="7" t="s">
        <v>8555</v>
      </c>
      <c r="AE3313" s="7"/>
      <c r="AF3313" s="7"/>
      <c r="AG3313" s="7"/>
      <c r="AH3313" s="7" t="s">
        <v>8555</v>
      </c>
    </row>
    <row r="3314" spans="1:37" ht="9.75" customHeight="1" x14ac:dyDescent="0.2">
      <c r="A3314" s="7" t="s">
        <v>8334</v>
      </c>
      <c r="B3314" s="7" t="s">
        <v>38</v>
      </c>
      <c r="C3314" s="7"/>
      <c r="D3314" s="7" t="s">
        <v>8566</v>
      </c>
      <c r="E3314" s="8">
        <v>4</v>
      </c>
      <c r="F3314" s="7"/>
      <c r="G3314" s="7" t="s">
        <v>8567</v>
      </c>
      <c r="H3314" s="9"/>
      <c r="I3314" s="10">
        <v>29389</v>
      </c>
      <c r="J3314" s="10">
        <v>24760</v>
      </c>
      <c r="K3314" s="9"/>
      <c r="L3314" s="10">
        <v>8182</v>
      </c>
      <c r="M3314" s="9"/>
      <c r="N3314" s="10">
        <v>8182</v>
      </c>
      <c r="O3314" s="9"/>
      <c r="P3314" s="10"/>
      <c r="Q3314" s="10"/>
      <c r="R3314" s="10"/>
      <c r="S3314" s="7" t="s">
        <v>54</v>
      </c>
      <c r="T3314" s="7" t="s">
        <v>8561</v>
      </c>
      <c r="U3314" s="7"/>
      <c r="V3314" s="7"/>
      <c r="W3314" s="7"/>
      <c r="X3314" s="7"/>
      <c r="Y3314" s="7" t="s">
        <v>8568</v>
      </c>
      <c r="Z3314" s="7" t="s">
        <v>8558</v>
      </c>
      <c r="AA3314" s="7"/>
      <c r="AB3314" s="7"/>
      <c r="AC3314" s="7" t="s">
        <v>8554</v>
      </c>
      <c r="AD3314" s="7" t="s">
        <v>8555</v>
      </c>
      <c r="AE3314" s="7"/>
      <c r="AF3314" s="7"/>
      <c r="AG3314" s="7"/>
      <c r="AH3314" s="7" t="s">
        <v>8555</v>
      </c>
    </row>
    <row r="3315" spans="1:37" ht="9.75" customHeight="1" x14ac:dyDescent="0.2">
      <c r="A3315" s="7" t="s">
        <v>8334</v>
      </c>
      <c r="B3315" s="7" t="s">
        <v>38</v>
      </c>
      <c r="C3315" s="7"/>
      <c r="D3315" s="7" t="s">
        <v>8569</v>
      </c>
      <c r="E3315" s="8">
        <v>4</v>
      </c>
      <c r="F3315" s="7"/>
      <c r="G3315" s="7" t="s">
        <v>8570</v>
      </c>
      <c r="H3315" s="9"/>
      <c r="I3315" s="10">
        <v>9171</v>
      </c>
      <c r="J3315" s="10">
        <v>8238</v>
      </c>
      <c r="K3315" s="9"/>
      <c r="L3315" s="10">
        <v>7443</v>
      </c>
      <c r="M3315" s="9"/>
      <c r="N3315" s="10">
        <v>7443</v>
      </c>
      <c r="O3315" s="9"/>
      <c r="P3315" s="10"/>
      <c r="Q3315" s="10"/>
      <c r="R3315" s="10"/>
      <c r="S3315" s="7" t="s">
        <v>54</v>
      </c>
      <c r="T3315" s="7" t="s">
        <v>8561</v>
      </c>
      <c r="U3315" s="7"/>
      <c r="V3315" s="7"/>
      <c r="W3315" s="7"/>
      <c r="X3315" s="7"/>
      <c r="Y3315" s="7" t="s">
        <v>8571</v>
      </c>
      <c r="Z3315" s="7" t="s">
        <v>8558</v>
      </c>
      <c r="AA3315" s="7"/>
      <c r="AB3315" s="7"/>
      <c r="AC3315" s="7" t="s">
        <v>8554</v>
      </c>
      <c r="AD3315" s="7" t="s">
        <v>8555</v>
      </c>
      <c r="AE3315" s="7"/>
      <c r="AF3315" s="7"/>
      <c r="AG3315" s="7"/>
      <c r="AH3315" s="7" t="s">
        <v>8555</v>
      </c>
    </row>
    <row r="3316" spans="1:37" ht="9.75" customHeight="1" x14ac:dyDescent="0.2">
      <c r="A3316" s="7" t="s">
        <v>8334</v>
      </c>
      <c r="B3316" s="7" t="s">
        <v>38</v>
      </c>
      <c r="C3316" s="7" t="s">
        <v>7281</v>
      </c>
      <c r="D3316" s="7" t="s">
        <v>8572</v>
      </c>
      <c r="E3316" s="8">
        <v>4</v>
      </c>
      <c r="F3316" s="7"/>
      <c r="G3316" s="7" t="s">
        <v>8573</v>
      </c>
      <c r="H3316" s="9"/>
      <c r="I3316" s="10">
        <v>95282</v>
      </c>
      <c r="J3316" s="10">
        <v>82246</v>
      </c>
      <c r="K3316" s="9"/>
      <c r="L3316" s="10">
        <v>83969</v>
      </c>
      <c r="M3316" s="9"/>
      <c r="N3316" s="10">
        <v>83969</v>
      </c>
      <c r="O3316" s="9"/>
      <c r="P3316" s="10"/>
      <c r="Q3316" s="10"/>
      <c r="R3316" s="10"/>
      <c r="S3316" s="7" t="s">
        <v>43</v>
      </c>
      <c r="T3316" s="7"/>
      <c r="U3316" s="7"/>
      <c r="V3316" s="7"/>
      <c r="W3316" s="7"/>
      <c r="X3316" s="7"/>
      <c r="Y3316" s="7" t="s">
        <v>8574</v>
      </c>
      <c r="Z3316" s="7" t="s">
        <v>6586</v>
      </c>
      <c r="AA3316" s="7"/>
      <c r="AB3316" s="7"/>
      <c r="AC3316" s="7" t="s">
        <v>7281</v>
      </c>
      <c r="AD3316" s="7" t="s">
        <v>7278</v>
      </c>
      <c r="AE3316" s="7"/>
      <c r="AF3316" s="7"/>
      <c r="AG3316" s="7"/>
      <c r="AH3316" s="7" t="s">
        <v>7278</v>
      </c>
      <c r="AI3316">
        <v>84004</v>
      </c>
      <c r="AK3316">
        <v>84004</v>
      </c>
    </row>
    <row r="3317" spans="1:37" ht="9.75" customHeight="1" x14ac:dyDescent="0.2">
      <c r="A3317" s="7" t="s">
        <v>8334</v>
      </c>
      <c r="B3317" s="7" t="s">
        <v>38</v>
      </c>
      <c r="C3317" s="7"/>
      <c r="D3317" s="7" t="s">
        <v>8575</v>
      </c>
      <c r="E3317" s="8">
        <v>4</v>
      </c>
      <c r="F3317" s="7"/>
      <c r="G3317" s="7" t="s">
        <v>8576</v>
      </c>
      <c r="H3317" s="9"/>
      <c r="I3317" s="10">
        <v>3825</v>
      </c>
      <c r="J3317" s="10">
        <v>3197</v>
      </c>
      <c r="K3317" s="9"/>
      <c r="L3317" s="10">
        <v>4197</v>
      </c>
      <c r="M3317" s="9"/>
      <c r="N3317" s="10">
        <v>4197</v>
      </c>
      <c r="O3317" s="9"/>
      <c r="P3317" s="10"/>
      <c r="Q3317" s="10"/>
      <c r="R3317" s="10"/>
      <c r="S3317" s="7" t="s">
        <v>54</v>
      </c>
      <c r="T3317" s="7" t="s">
        <v>8577</v>
      </c>
      <c r="U3317" s="7" t="s">
        <v>44</v>
      </c>
      <c r="V3317" s="7" t="s">
        <v>45</v>
      </c>
      <c r="W3317" s="7" t="s">
        <v>130</v>
      </c>
      <c r="X3317" s="7"/>
      <c r="Y3317" s="7" t="s">
        <v>8578</v>
      </c>
      <c r="Z3317" s="7" t="s">
        <v>6586</v>
      </c>
      <c r="AA3317" s="7"/>
      <c r="AB3317" s="7"/>
      <c r="AC3317" s="7" t="s">
        <v>7281</v>
      </c>
      <c r="AD3317" s="7" t="s">
        <v>7278</v>
      </c>
      <c r="AE3317" s="7"/>
      <c r="AF3317" s="7"/>
      <c r="AG3317" s="7"/>
      <c r="AH3317" s="7" t="s">
        <v>7278</v>
      </c>
    </row>
    <row r="3318" spans="1:37" ht="9.75" customHeight="1" x14ac:dyDescent="0.2">
      <c r="A3318" s="7" t="s">
        <v>8334</v>
      </c>
      <c r="B3318" s="7" t="s">
        <v>38</v>
      </c>
      <c r="C3318" s="7"/>
      <c r="D3318" s="7" t="s">
        <v>8579</v>
      </c>
      <c r="E3318" s="8">
        <v>4</v>
      </c>
      <c r="F3318" s="7"/>
      <c r="G3318" s="7" t="s">
        <v>8580</v>
      </c>
      <c r="H3318" s="9"/>
      <c r="I3318" s="10">
        <v>82735</v>
      </c>
      <c r="J3318" s="10">
        <v>71102</v>
      </c>
      <c r="K3318" s="9"/>
      <c r="L3318" s="10">
        <v>70001</v>
      </c>
      <c r="M3318" s="9"/>
      <c r="N3318" s="10">
        <v>70001</v>
      </c>
      <c r="O3318" s="9"/>
      <c r="P3318" s="10"/>
      <c r="Q3318" s="10"/>
      <c r="R3318" s="10"/>
      <c r="S3318" s="7" t="s">
        <v>54</v>
      </c>
      <c r="T3318" s="7" t="s">
        <v>8577</v>
      </c>
      <c r="U3318" s="7"/>
      <c r="V3318" s="7"/>
      <c r="W3318" s="7"/>
      <c r="X3318" s="7"/>
      <c r="Y3318" s="7" t="s">
        <v>8581</v>
      </c>
      <c r="Z3318" s="7" t="s">
        <v>6586</v>
      </c>
      <c r="AA3318" s="7"/>
      <c r="AB3318" s="7"/>
      <c r="AC3318" s="7" t="s">
        <v>7281</v>
      </c>
      <c r="AD3318" s="7" t="s">
        <v>7278</v>
      </c>
      <c r="AE3318" s="7"/>
      <c r="AF3318" s="7"/>
      <c r="AG3318" s="7"/>
      <c r="AH3318" s="7" t="s">
        <v>7278</v>
      </c>
    </row>
    <row r="3319" spans="1:37" ht="9.75" customHeight="1" x14ac:dyDescent="0.2">
      <c r="A3319" s="7" t="s">
        <v>8334</v>
      </c>
      <c r="B3319" s="7" t="s">
        <v>38</v>
      </c>
      <c r="C3319" s="7"/>
      <c r="D3319" s="7" t="s">
        <v>8582</v>
      </c>
      <c r="E3319" s="8">
        <v>4</v>
      </c>
      <c r="F3319" s="7"/>
      <c r="G3319" s="7" t="s">
        <v>8583</v>
      </c>
      <c r="H3319" s="9"/>
      <c r="I3319" s="10">
        <v>8722</v>
      </c>
      <c r="J3319" s="10">
        <v>7947</v>
      </c>
      <c r="K3319" s="9"/>
      <c r="L3319" s="10">
        <v>9771</v>
      </c>
      <c r="M3319" s="9"/>
      <c r="N3319" s="10">
        <v>9771</v>
      </c>
      <c r="O3319" s="9"/>
      <c r="P3319" s="10"/>
      <c r="Q3319" s="10"/>
      <c r="R3319" s="10"/>
      <c r="S3319" s="7" t="s">
        <v>54</v>
      </c>
      <c r="T3319" s="7" t="s">
        <v>8577</v>
      </c>
      <c r="U3319" s="7" t="s">
        <v>44</v>
      </c>
      <c r="V3319" s="7" t="s">
        <v>45</v>
      </c>
      <c r="W3319" s="7" t="s">
        <v>130</v>
      </c>
      <c r="X3319" s="7"/>
      <c r="Y3319" s="7" t="s">
        <v>8584</v>
      </c>
      <c r="Z3319" s="7" t="s">
        <v>6586</v>
      </c>
      <c r="AA3319" s="7"/>
      <c r="AB3319" s="7"/>
      <c r="AC3319" s="7" t="s">
        <v>7281</v>
      </c>
      <c r="AD3319" s="7" t="s">
        <v>7278</v>
      </c>
      <c r="AE3319" s="7"/>
      <c r="AF3319" s="7"/>
      <c r="AG3319" s="7"/>
      <c r="AH3319" s="7" t="s">
        <v>7278</v>
      </c>
    </row>
    <row r="3320" spans="1:37" ht="9.75" customHeight="1" x14ac:dyDescent="0.2">
      <c r="A3320" s="7" t="s">
        <v>8334</v>
      </c>
      <c r="B3320" s="7" t="s">
        <v>38</v>
      </c>
      <c r="C3320" s="7" t="s">
        <v>8585</v>
      </c>
      <c r="D3320" s="7" t="s">
        <v>8586</v>
      </c>
      <c r="E3320" s="8">
        <v>4</v>
      </c>
      <c r="F3320" s="7"/>
      <c r="G3320" s="7" t="s">
        <v>8587</v>
      </c>
      <c r="H3320" s="9"/>
      <c r="I3320" s="10">
        <v>3264</v>
      </c>
      <c r="J3320" s="10">
        <v>2463</v>
      </c>
      <c r="K3320" s="9"/>
      <c r="L3320" s="10">
        <v>2200</v>
      </c>
      <c r="M3320" s="9"/>
      <c r="N3320" s="10">
        <v>2200</v>
      </c>
      <c r="O3320" s="9"/>
      <c r="P3320" s="10"/>
      <c r="Q3320" s="10"/>
      <c r="R3320" s="10"/>
      <c r="S3320" s="7"/>
      <c r="T3320" s="7"/>
      <c r="U3320" s="7" t="s">
        <v>44</v>
      </c>
      <c r="V3320" s="7" t="s">
        <v>45</v>
      </c>
      <c r="W3320" s="7" t="s">
        <v>130</v>
      </c>
      <c r="X3320" s="7" t="s">
        <v>156</v>
      </c>
      <c r="Y3320" s="7" t="s">
        <v>8588</v>
      </c>
      <c r="Z3320" s="7" t="s">
        <v>6912</v>
      </c>
      <c r="AA3320" s="7"/>
      <c r="AB3320" s="7"/>
      <c r="AC3320" s="7" t="s">
        <v>8585</v>
      </c>
      <c r="AD3320" s="7" t="s">
        <v>8586</v>
      </c>
      <c r="AE3320" s="7"/>
      <c r="AF3320" s="7"/>
      <c r="AG3320" s="7"/>
      <c r="AH3320" s="7" t="s">
        <v>8586</v>
      </c>
      <c r="AI3320">
        <v>2190</v>
      </c>
      <c r="AK3320">
        <v>2190</v>
      </c>
    </row>
    <row r="3321" spans="1:37" ht="9.75" customHeight="1" x14ac:dyDescent="0.2">
      <c r="A3321" s="7" t="s">
        <v>8334</v>
      </c>
      <c r="B3321" s="7" t="s">
        <v>38</v>
      </c>
      <c r="C3321" s="7" t="s">
        <v>8589</v>
      </c>
      <c r="D3321" s="7" t="s">
        <v>8590</v>
      </c>
      <c r="E3321" s="8">
        <v>4</v>
      </c>
      <c r="F3321" s="7"/>
      <c r="G3321" s="7" t="s">
        <v>8591</v>
      </c>
      <c r="H3321" s="9"/>
      <c r="I3321" s="10">
        <v>14357</v>
      </c>
      <c r="J3321" s="10">
        <v>11635</v>
      </c>
      <c r="K3321" s="9"/>
      <c r="L3321" s="10">
        <v>14413</v>
      </c>
      <c r="M3321" s="9"/>
      <c r="N3321" s="10">
        <v>14413</v>
      </c>
      <c r="O3321" s="9"/>
      <c r="P3321" s="10"/>
      <c r="Q3321" s="10"/>
      <c r="R3321" s="10"/>
      <c r="S3321" s="7" t="s">
        <v>219</v>
      </c>
      <c r="T3321" s="7"/>
      <c r="U3321" s="7" t="s">
        <v>44</v>
      </c>
      <c r="V3321" s="7" t="s">
        <v>45</v>
      </c>
      <c r="W3321" s="7" t="s">
        <v>4779</v>
      </c>
      <c r="X3321" s="7" t="s">
        <v>4780</v>
      </c>
      <c r="Y3321" s="7" t="s">
        <v>8592</v>
      </c>
      <c r="Z3321" s="7" t="s">
        <v>8593</v>
      </c>
      <c r="AA3321" s="7"/>
      <c r="AB3321" s="7"/>
      <c r="AC3321" s="7" t="s">
        <v>8589</v>
      </c>
      <c r="AD3321" s="7" t="s">
        <v>8594</v>
      </c>
      <c r="AE3321" s="7"/>
      <c r="AF3321" s="7"/>
      <c r="AG3321" s="7"/>
      <c r="AH3321" s="7" t="s">
        <v>8590</v>
      </c>
    </row>
    <row r="3322" spans="1:37" ht="9.75" customHeight="1" x14ac:dyDescent="0.2">
      <c r="A3322" s="7" t="s">
        <v>8334</v>
      </c>
      <c r="B3322" s="7" t="s">
        <v>38</v>
      </c>
      <c r="C3322" s="7" t="s">
        <v>8595</v>
      </c>
      <c r="D3322" s="7" t="s">
        <v>5600</v>
      </c>
      <c r="E3322" s="8">
        <v>6</v>
      </c>
      <c r="F3322" s="7"/>
      <c r="G3322" s="7" t="s">
        <v>8596</v>
      </c>
      <c r="H3322" s="9"/>
      <c r="I3322" s="10">
        <v>177819</v>
      </c>
      <c r="J3322" s="10">
        <v>240697</v>
      </c>
      <c r="K3322" s="9"/>
      <c r="L3322" s="10">
        <v>202425</v>
      </c>
      <c r="M3322" s="9"/>
      <c r="N3322" s="10">
        <v>202425</v>
      </c>
      <c r="O3322" s="9"/>
      <c r="P3322" s="10"/>
      <c r="Q3322" s="10"/>
      <c r="R3322" s="10"/>
      <c r="S3322" s="7" t="s">
        <v>43</v>
      </c>
      <c r="T3322" s="7"/>
      <c r="U3322" s="7"/>
      <c r="V3322" s="7"/>
      <c r="W3322" s="7"/>
      <c r="X3322" s="7"/>
      <c r="Y3322" s="7" t="s">
        <v>8597</v>
      </c>
      <c r="Z3322" s="7" t="s">
        <v>8598</v>
      </c>
      <c r="AA3322" s="7"/>
      <c r="AB3322" s="7"/>
      <c r="AC3322" s="7" t="s">
        <v>8595</v>
      </c>
      <c r="AD3322" s="7"/>
      <c r="AE3322" s="7"/>
      <c r="AF3322" s="7"/>
      <c r="AG3322" s="7"/>
      <c r="AH3322" s="7" t="s">
        <v>8599</v>
      </c>
      <c r="AI3322">
        <v>167242</v>
      </c>
      <c r="AK3322">
        <v>167242</v>
      </c>
    </row>
    <row r="3323" spans="1:37" ht="9.75" customHeight="1" x14ac:dyDescent="0.2">
      <c r="A3323" s="7" t="s">
        <v>8334</v>
      </c>
      <c r="B3323" s="7" t="s">
        <v>38</v>
      </c>
      <c r="C3323" s="7"/>
      <c r="D3323" s="7" t="s">
        <v>8600</v>
      </c>
      <c r="E3323" s="8">
        <v>6</v>
      </c>
      <c r="F3323" s="7"/>
      <c r="G3323" s="7"/>
      <c r="H3323" s="9"/>
      <c r="I3323" s="9"/>
      <c r="J3323" s="9"/>
      <c r="K3323" s="9"/>
      <c r="L3323" s="10">
        <v>46346</v>
      </c>
      <c r="M3323" s="9"/>
      <c r="N3323" s="10">
        <v>46346</v>
      </c>
      <c r="O3323" s="9"/>
      <c r="P3323" s="10"/>
      <c r="Q3323" s="10"/>
      <c r="R3323" s="10"/>
      <c r="S3323" s="7" t="s">
        <v>54</v>
      </c>
      <c r="T3323" s="7" t="s">
        <v>8601</v>
      </c>
      <c r="U3323" s="7"/>
      <c r="V3323" s="7"/>
      <c r="W3323" s="7"/>
      <c r="X3323" s="7"/>
      <c r="Y3323" s="7" t="s">
        <v>8602</v>
      </c>
      <c r="Z3323" s="7" t="s">
        <v>8603</v>
      </c>
      <c r="AA3323" s="7"/>
      <c r="AB3323" s="7"/>
      <c r="AC3323" s="7" t="s">
        <v>8595</v>
      </c>
      <c r="AD3323" s="7"/>
      <c r="AE3323" s="7"/>
      <c r="AF3323" s="7"/>
      <c r="AG3323" s="7"/>
      <c r="AH3323" s="7"/>
    </row>
    <row r="3324" spans="1:37" ht="9.75" customHeight="1" x14ac:dyDescent="0.2">
      <c r="A3324" s="7" t="s">
        <v>8334</v>
      </c>
      <c r="B3324" s="7" t="s">
        <v>38</v>
      </c>
      <c r="C3324" s="7"/>
      <c r="D3324" s="7" t="s">
        <v>8604</v>
      </c>
      <c r="E3324" s="8">
        <v>6</v>
      </c>
      <c r="F3324" s="7"/>
      <c r="G3324" s="7"/>
      <c r="H3324" s="9"/>
      <c r="I3324" s="9"/>
      <c r="J3324" s="9"/>
      <c r="K3324" s="9"/>
      <c r="L3324" s="10">
        <v>156079</v>
      </c>
      <c r="M3324" s="9"/>
      <c r="N3324" s="10">
        <v>156079</v>
      </c>
      <c r="O3324" s="9"/>
      <c r="P3324" s="10"/>
      <c r="Q3324" s="10"/>
      <c r="R3324" s="10"/>
      <c r="S3324" s="7" t="s">
        <v>54</v>
      </c>
      <c r="T3324" s="7" t="s">
        <v>8601</v>
      </c>
      <c r="U3324" s="7"/>
      <c r="V3324" s="7"/>
      <c r="W3324" s="7"/>
      <c r="X3324" s="7"/>
      <c r="Y3324" s="7" t="s">
        <v>8605</v>
      </c>
      <c r="Z3324" s="7" t="s">
        <v>8603</v>
      </c>
      <c r="AA3324" s="7"/>
      <c r="AB3324" s="7"/>
      <c r="AC3324" s="7" t="s">
        <v>8595</v>
      </c>
      <c r="AD3324" s="7"/>
      <c r="AE3324" s="7"/>
      <c r="AF3324" s="7"/>
      <c r="AG3324" s="7"/>
      <c r="AH3324" s="7"/>
    </row>
    <row r="3325" spans="1:37" ht="9.75" customHeight="1" x14ac:dyDescent="0.2">
      <c r="A3325" s="7" t="s">
        <v>7086</v>
      </c>
      <c r="B3325" s="7" t="s">
        <v>8606</v>
      </c>
      <c r="C3325" s="7"/>
      <c r="D3325" s="7" t="s">
        <v>8607</v>
      </c>
      <c r="E3325" s="7" t="s">
        <v>8608</v>
      </c>
      <c r="F3325" s="7"/>
      <c r="G3325" s="7" t="s">
        <v>8609</v>
      </c>
      <c r="H3325" s="9"/>
      <c r="I3325" s="10">
        <v>1088600</v>
      </c>
      <c r="J3325" s="10">
        <v>1088600</v>
      </c>
      <c r="K3325" s="9"/>
      <c r="L3325" s="10">
        <v>1439300</v>
      </c>
      <c r="M3325" s="9"/>
      <c r="N3325" s="10">
        <v>1439300</v>
      </c>
      <c r="O3325" s="9"/>
      <c r="P3325" s="10"/>
      <c r="Q3325" s="10"/>
      <c r="R3325" s="10"/>
      <c r="S3325" s="7" t="s">
        <v>43</v>
      </c>
      <c r="T3325" s="7"/>
      <c r="U3325" s="7"/>
      <c r="V3325" s="7"/>
      <c r="W3325" s="7"/>
      <c r="X3325" s="7"/>
      <c r="Y3325" s="7" t="s">
        <v>8610</v>
      </c>
      <c r="Z3325" s="7" t="s">
        <v>70</v>
      </c>
      <c r="AA3325" s="7"/>
      <c r="AB3325" s="7"/>
      <c r="AC3325" s="7" t="s">
        <v>8611</v>
      </c>
      <c r="AD3325" s="7"/>
      <c r="AE3325" s="7"/>
      <c r="AF3325" s="7" t="s">
        <v>50</v>
      </c>
      <c r="AG3325" s="7" t="s">
        <v>8612</v>
      </c>
      <c r="AH3325" s="7" t="s">
        <v>8613</v>
      </c>
    </row>
    <row r="3326" spans="1:37" ht="9.75" customHeight="1" x14ac:dyDescent="0.2">
      <c r="A3326" s="7" t="s">
        <v>7086</v>
      </c>
      <c r="B3326" s="7" t="s">
        <v>8606</v>
      </c>
      <c r="C3326" s="7" t="s">
        <v>8614</v>
      </c>
      <c r="D3326" s="7" t="s">
        <v>8615</v>
      </c>
      <c r="E3326" s="8">
        <v>5</v>
      </c>
      <c r="F3326" s="7"/>
      <c r="G3326" s="7" t="s">
        <v>8616</v>
      </c>
      <c r="H3326" s="9"/>
      <c r="I3326" s="10">
        <v>120000</v>
      </c>
      <c r="J3326" s="10">
        <v>120000</v>
      </c>
      <c r="K3326" s="9"/>
      <c r="L3326" s="10">
        <v>152000</v>
      </c>
      <c r="M3326" s="9"/>
      <c r="N3326" s="10">
        <v>152000</v>
      </c>
      <c r="O3326" s="9"/>
      <c r="P3326" s="10"/>
      <c r="Q3326" s="10"/>
      <c r="R3326" s="10"/>
      <c r="S3326" s="7" t="s">
        <v>43</v>
      </c>
      <c r="T3326" s="7"/>
      <c r="U3326" s="7"/>
      <c r="V3326" s="7"/>
      <c r="W3326" s="7"/>
      <c r="X3326" s="7"/>
      <c r="Y3326" s="7" t="s">
        <v>8617</v>
      </c>
      <c r="Z3326" s="7" t="s">
        <v>912</v>
      </c>
      <c r="AA3326" s="7"/>
      <c r="AB3326" s="7"/>
      <c r="AC3326" s="7" t="s">
        <v>8614</v>
      </c>
      <c r="AD3326" s="7"/>
      <c r="AE3326" s="7"/>
      <c r="AF3326" s="7" t="s">
        <v>113</v>
      </c>
      <c r="AG3326" s="7" t="s">
        <v>8618</v>
      </c>
      <c r="AH3326" s="7" t="s">
        <v>8615</v>
      </c>
    </row>
    <row r="3327" spans="1:37" ht="9.75" customHeight="1" x14ac:dyDescent="0.2">
      <c r="A3327" s="7" t="s">
        <v>7086</v>
      </c>
      <c r="B3327" s="7" t="s">
        <v>8606</v>
      </c>
      <c r="C3327" s="7"/>
      <c r="D3327" s="7" t="s">
        <v>8619</v>
      </c>
      <c r="E3327" s="8">
        <v>5</v>
      </c>
      <c r="F3327" s="7"/>
      <c r="G3327" s="7" t="s">
        <v>8620</v>
      </c>
      <c r="H3327" s="9"/>
      <c r="I3327" s="10">
        <v>43000</v>
      </c>
      <c r="J3327" s="10">
        <v>43000</v>
      </c>
      <c r="K3327" s="9"/>
      <c r="L3327" s="10">
        <v>45000</v>
      </c>
      <c r="M3327" s="9"/>
      <c r="N3327" s="10">
        <v>45000</v>
      </c>
      <c r="O3327" s="9"/>
      <c r="P3327" s="10"/>
      <c r="Q3327" s="10"/>
      <c r="R3327" s="10"/>
      <c r="S3327" s="7" t="s">
        <v>54</v>
      </c>
      <c r="T3327" s="7" t="s">
        <v>8621</v>
      </c>
      <c r="U3327" s="7"/>
      <c r="V3327" s="7"/>
      <c r="W3327" s="7"/>
      <c r="X3327" s="7"/>
      <c r="Y3327" s="7" t="s">
        <v>8622</v>
      </c>
      <c r="Z3327" s="7" t="s">
        <v>912</v>
      </c>
      <c r="AA3327" s="7"/>
      <c r="AB3327" s="7"/>
      <c r="AC3327" s="7" t="s">
        <v>8611</v>
      </c>
      <c r="AD3327" s="7"/>
      <c r="AE3327" s="7" t="s">
        <v>8619</v>
      </c>
      <c r="AF3327" s="7" t="s">
        <v>50</v>
      </c>
      <c r="AG3327" s="7" t="s">
        <v>8612</v>
      </c>
      <c r="AH3327" s="7" t="s">
        <v>8613</v>
      </c>
    </row>
    <row r="3328" spans="1:37" ht="9.75" customHeight="1" x14ac:dyDescent="0.2">
      <c r="A3328" s="7" t="s">
        <v>7086</v>
      </c>
      <c r="B3328" s="7" t="s">
        <v>8606</v>
      </c>
      <c r="C3328" s="7"/>
      <c r="D3328" s="7" t="s">
        <v>8623</v>
      </c>
      <c r="E3328" s="8">
        <v>5</v>
      </c>
      <c r="F3328" s="7"/>
      <c r="G3328" s="7" t="s">
        <v>8624</v>
      </c>
      <c r="H3328" s="9"/>
      <c r="I3328" s="10">
        <v>77000</v>
      </c>
      <c r="J3328" s="10">
        <v>77000</v>
      </c>
      <c r="K3328" s="9"/>
      <c r="L3328" s="10">
        <v>107000</v>
      </c>
      <c r="M3328" s="9"/>
      <c r="N3328" s="10">
        <v>107000</v>
      </c>
      <c r="O3328" s="9"/>
      <c r="P3328" s="10"/>
      <c r="Q3328" s="10"/>
      <c r="R3328" s="10"/>
      <c r="S3328" s="7" t="s">
        <v>54</v>
      </c>
      <c r="T3328" s="7" t="s">
        <v>8621</v>
      </c>
      <c r="U3328" s="7"/>
      <c r="V3328" s="7"/>
      <c r="W3328" s="7"/>
      <c r="X3328" s="7"/>
      <c r="Y3328" s="7" t="s">
        <v>8625</v>
      </c>
      <c r="Z3328" s="7" t="s">
        <v>1060</v>
      </c>
      <c r="AA3328" s="7"/>
      <c r="AB3328" s="7"/>
      <c r="AC3328" s="7" t="s">
        <v>8611</v>
      </c>
      <c r="AD3328" s="7"/>
      <c r="AE3328" s="7" t="s">
        <v>8615</v>
      </c>
      <c r="AF3328" s="7" t="s">
        <v>50</v>
      </c>
      <c r="AG3328" s="7" t="s">
        <v>8612</v>
      </c>
      <c r="AH3328" s="7" t="s">
        <v>8613</v>
      </c>
    </row>
    <row r="3329" spans="1:34" ht="9.75" customHeight="1" x14ac:dyDescent="0.2">
      <c r="A3329" s="7" t="s">
        <v>7086</v>
      </c>
      <c r="B3329" s="7" t="s">
        <v>8606</v>
      </c>
      <c r="C3329" s="7" t="s">
        <v>8626</v>
      </c>
      <c r="D3329" s="7" t="s">
        <v>8627</v>
      </c>
      <c r="E3329" s="8">
        <v>5</v>
      </c>
      <c r="F3329" s="7"/>
      <c r="G3329" s="7" t="s">
        <v>8628</v>
      </c>
      <c r="H3329" s="9"/>
      <c r="I3329" s="10">
        <v>46200</v>
      </c>
      <c r="J3329" s="10">
        <v>46200</v>
      </c>
      <c r="K3329" s="9"/>
      <c r="L3329" s="10">
        <v>76000</v>
      </c>
      <c r="M3329" s="9"/>
      <c r="N3329" s="10">
        <v>76000</v>
      </c>
      <c r="O3329" s="9"/>
      <c r="P3329" s="10"/>
      <c r="Q3329" s="10"/>
      <c r="R3329" s="10"/>
      <c r="S3329" s="7" t="s">
        <v>54</v>
      </c>
      <c r="T3329" s="7" t="s">
        <v>8623</v>
      </c>
      <c r="U3329" s="7"/>
      <c r="V3329" s="7"/>
      <c r="W3329" s="7"/>
      <c r="X3329" s="7"/>
      <c r="Y3329" s="7" t="s">
        <v>8629</v>
      </c>
      <c r="Z3329" s="7" t="s">
        <v>1055</v>
      </c>
      <c r="AA3329" s="7"/>
      <c r="AB3329" s="7"/>
      <c r="AC3329" s="7" t="s">
        <v>8611</v>
      </c>
      <c r="AD3329" s="7"/>
      <c r="AE3329" s="7" t="s">
        <v>8630</v>
      </c>
      <c r="AF3329" s="7" t="s">
        <v>50</v>
      </c>
      <c r="AG3329" s="7" t="s">
        <v>8612</v>
      </c>
      <c r="AH3329" s="7" t="s">
        <v>8613</v>
      </c>
    </row>
    <row r="3330" spans="1:34" ht="9.75" customHeight="1" x14ac:dyDescent="0.2">
      <c r="A3330" s="7" t="s">
        <v>7086</v>
      </c>
      <c r="B3330" s="7" t="s">
        <v>8606</v>
      </c>
      <c r="C3330" s="7"/>
      <c r="D3330" s="7" t="s">
        <v>8631</v>
      </c>
      <c r="E3330" s="8">
        <v>5</v>
      </c>
      <c r="F3330" s="7"/>
      <c r="G3330" s="7" t="s">
        <v>8632</v>
      </c>
      <c r="H3330" s="9"/>
      <c r="I3330" s="10">
        <v>17800</v>
      </c>
      <c r="J3330" s="10">
        <v>17800</v>
      </c>
      <c r="K3330" s="9"/>
      <c r="L3330" s="10">
        <v>15000</v>
      </c>
      <c r="M3330" s="9"/>
      <c r="N3330" s="10">
        <v>15000</v>
      </c>
      <c r="O3330" s="9"/>
      <c r="P3330" s="10"/>
      <c r="Q3330" s="10"/>
      <c r="R3330" s="10"/>
      <c r="S3330" s="7" t="s">
        <v>54</v>
      </c>
      <c r="T3330" s="7" t="s">
        <v>8623</v>
      </c>
      <c r="U3330" s="7" t="s">
        <v>7086</v>
      </c>
      <c r="V3330" s="7" t="s">
        <v>7087</v>
      </c>
      <c r="W3330" s="7" t="s">
        <v>8633</v>
      </c>
      <c r="X3330" s="7" t="s">
        <v>8634</v>
      </c>
      <c r="Y3330" s="7" t="s">
        <v>8635</v>
      </c>
      <c r="Z3330" s="7" t="s">
        <v>1055</v>
      </c>
      <c r="AA3330" s="7"/>
      <c r="AB3330" s="7"/>
      <c r="AC3330" s="7" t="s">
        <v>8611</v>
      </c>
      <c r="AD3330" s="7"/>
      <c r="AE3330" s="7" t="s">
        <v>8636</v>
      </c>
      <c r="AF3330" s="7" t="s">
        <v>50</v>
      </c>
      <c r="AG3330" s="7" t="s">
        <v>8612</v>
      </c>
      <c r="AH3330" s="7" t="s">
        <v>8613</v>
      </c>
    </row>
    <row r="3331" spans="1:34" ht="9.75" customHeight="1" x14ac:dyDescent="0.2">
      <c r="A3331" s="7" t="s">
        <v>7086</v>
      </c>
      <c r="B3331" s="7" t="s">
        <v>8606</v>
      </c>
      <c r="C3331" s="7"/>
      <c r="D3331" s="7" t="s">
        <v>8637</v>
      </c>
      <c r="E3331" s="8">
        <v>5</v>
      </c>
      <c r="F3331" s="7"/>
      <c r="G3331" s="7" t="s">
        <v>8638</v>
      </c>
      <c r="H3331" s="9"/>
      <c r="I3331" s="10">
        <v>13000</v>
      </c>
      <c r="J3331" s="10">
        <v>13000</v>
      </c>
      <c r="K3331" s="9"/>
      <c r="L3331" s="10">
        <v>11000</v>
      </c>
      <c r="M3331" s="9"/>
      <c r="N3331" s="10">
        <v>11000</v>
      </c>
      <c r="O3331" s="9"/>
      <c r="P3331" s="10"/>
      <c r="Q3331" s="10"/>
      <c r="R3331" s="10"/>
      <c r="S3331" s="7" t="s">
        <v>54</v>
      </c>
      <c r="T3331" s="7" t="s">
        <v>8623</v>
      </c>
      <c r="U3331" s="7"/>
      <c r="V3331" s="7"/>
      <c r="W3331" s="7"/>
      <c r="X3331" s="7"/>
      <c r="Y3331" s="7" t="s">
        <v>8639</v>
      </c>
      <c r="Z3331" s="7" t="s">
        <v>1055</v>
      </c>
      <c r="AA3331" s="7"/>
      <c r="AB3331" s="7"/>
      <c r="AC3331" s="7" t="s">
        <v>8611</v>
      </c>
      <c r="AD3331" s="7"/>
      <c r="AE3331" s="7" t="s">
        <v>8637</v>
      </c>
      <c r="AF3331" s="7" t="s">
        <v>50</v>
      </c>
      <c r="AG3331" s="7" t="s">
        <v>8612</v>
      </c>
      <c r="AH3331" s="7" t="s">
        <v>8613</v>
      </c>
    </row>
    <row r="3332" spans="1:34" ht="9.75" customHeight="1" x14ac:dyDescent="0.2">
      <c r="A3332" s="7" t="s">
        <v>7086</v>
      </c>
      <c r="B3332" s="7" t="s">
        <v>8606</v>
      </c>
      <c r="C3332" s="7"/>
      <c r="D3332" s="7" t="s">
        <v>8640</v>
      </c>
      <c r="E3332" s="8">
        <v>5</v>
      </c>
      <c r="F3332" s="7"/>
      <c r="G3332" s="7" t="s">
        <v>8641</v>
      </c>
      <c r="H3332" s="9"/>
      <c r="I3332" s="10">
        <v>0</v>
      </c>
      <c r="J3332" s="10">
        <v>0</v>
      </c>
      <c r="K3332" s="9"/>
      <c r="L3332" s="10">
        <v>5000</v>
      </c>
      <c r="M3332" s="9"/>
      <c r="N3332" s="10">
        <v>5000</v>
      </c>
      <c r="O3332" s="9"/>
      <c r="P3332" s="10"/>
      <c r="Q3332" s="10"/>
      <c r="R3332" s="10"/>
      <c r="S3332" s="7" t="s">
        <v>54</v>
      </c>
      <c r="T3332" s="7" t="s">
        <v>8623</v>
      </c>
      <c r="U3332" s="7" t="s">
        <v>7086</v>
      </c>
      <c r="V3332" s="7" t="s">
        <v>7087</v>
      </c>
      <c r="W3332" s="7" t="s">
        <v>7088</v>
      </c>
      <c r="X3332" s="7" t="s">
        <v>7089</v>
      </c>
      <c r="Y3332" s="7" t="s">
        <v>8642</v>
      </c>
      <c r="Z3332" s="7" t="s">
        <v>1055</v>
      </c>
      <c r="AA3332" s="7"/>
      <c r="AB3332" s="7"/>
      <c r="AC3332" s="7" t="s">
        <v>8611</v>
      </c>
      <c r="AD3332" s="7"/>
      <c r="AE3332" s="7" t="s">
        <v>8643</v>
      </c>
      <c r="AF3332" s="7" t="s">
        <v>50</v>
      </c>
      <c r="AG3332" s="7" t="s">
        <v>8612</v>
      </c>
      <c r="AH3332" s="7" t="s">
        <v>8613</v>
      </c>
    </row>
    <row r="3333" spans="1:34" ht="9.75" customHeight="1" x14ac:dyDescent="0.2">
      <c r="A3333" s="7" t="s">
        <v>7086</v>
      </c>
      <c r="B3333" s="7" t="s">
        <v>8606</v>
      </c>
      <c r="C3333" s="7" t="s">
        <v>8644</v>
      </c>
      <c r="D3333" s="7" t="s">
        <v>8645</v>
      </c>
      <c r="E3333" s="8">
        <v>1</v>
      </c>
      <c r="F3333" s="7" t="s">
        <v>41</v>
      </c>
      <c r="G3333" s="7" t="s">
        <v>8646</v>
      </c>
      <c r="H3333" s="9"/>
      <c r="I3333" s="10">
        <v>17100</v>
      </c>
      <c r="J3333" s="10">
        <v>17100</v>
      </c>
      <c r="K3333" s="9"/>
      <c r="L3333" s="10">
        <v>0</v>
      </c>
      <c r="M3333" s="9"/>
      <c r="N3333" s="10">
        <v>0</v>
      </c>
      <c r="O3333" s="9"/>
      <c r="P3333" s="10"/>
      <c r="Q3333" s="10"/>
      <c r="R3333" s="10"/>
      <c r="S3333" s="7"/>
      <c r="T3333" s="7"/>
      <c r="U3333" s="7" t="s">
        <v>7086</v>
      </c>
      <c r="V3333" s="7" t="s">
        <v>7087</v>
      </c>
      <c r="W3333" s="7" t="s">
        <v>7088</v>
      </c>
      <c r="X3333" s="7" t="s">
        <v>7089</v>
      </c>
      <c r="Y3333" s="7" t="s">
        <v>8647</v>
      </c>
      <c r="Z3333" s="7" t="s">
        <v>4679</v>
      </c>
      <c r="AA3333" s="7"/>
      <c r="AB3333" s="7"/>
      <c r="AC3333" s="7" t="s">
        <v>8644</v>
      </c>
      <c r="AD3333" s="7"/>
      <c r="AE3333" s="7"/>
      <c r="AF3333" s="7" t="s">
        <v>50</v>
      </c>
      <c r="AG3333" s="7" t="s">
        <v>8612</v>
      </c>
      <c r="AH3333" s="7" t="s">
        <v>8645</v>
      </c>
    </row>
    <row r="3334" spans="1:34" ht="9.75" customHeight="1" x14ac:dyDescent="0.2">
      <c r="A3334" s="7" t="s">
        <v>7086</v>
      </c>
      <c r="B3334" s="7" t="s">
        <v>8606</v>
      </c>
      <c r="C3334" s="7" t="s">
        <v>8648</v>
      </c>
      <c r="D3334" s="7" t="s">
        <v>8649</v>
      </c>
      <c r="E3334" s="8">
        <v>1</v>
      </c>
      <c r="F3334" s="7" t="s">
        <v>8650</v>
      </c>
      <c r="G3334" s="7" t="s">
        <v>8651</v>
      </c>
      <c r="H3334" s="9"/>
      <c r="I3334" s="10">
        <v>579000</v>
      </c>
      <c r="J3334" s="10">
        <v>579000</v>
      </c>
      <c r="K3334" s="9"/>
      <c r="L3334" s="10">
        <v>812400</v>
      </c>
      <c r="M3334" s="9"/>
      <c r="N3334" s="10">
        <v>812400</v>
      </c>
      <c r="O3334" s="9"/>
      <c r="P3334" s="10"/>
      <c r="Q3334" s="10"/>
      <c r="R3334" s="10"/>
      <c r="S3334" s="7"/>
      <c r="T3334" s="7"/>
      <c r="U3334" s="7" t="s">
        <v>7086</v>
      </c>
      <c r="V3334" s="7" t="s">
        <v>7087</v>
      </c>
      <c r="W3334" s="7" t="s">
        <v>8649</v>
      </c>
      <c r="X3334" s="7" t="s">
        <v>8652</v>
      </c>
      <c r="Y3334" s="7" t="s">
        <v>8653</v>
      </c>
      <c r="Z3334" s="7" t="s">
        <v>1076</v>
      </c>
      <c r="AA3334" s="7"/>
      <c r="AB3334" s="7"/>
      <c r="AC3334" s="7" t="s">
        <v>8648</v>
      </c>
      <c r="AD3334" s="7"/>
      <c r="AE3334" s="7"/>
      <c r="AF3334" s="7" t="s">
        <v>50</v>
      </c>
      <c r="AG3334" s="7" t="s">
        <v>8612</v>
      </c>
      <c r="AH3334" s="7" t="s">
        <v>8649</v>
      </c>
    </row>
    <row r="3335" spans="1:34" ht="9.75" customHeight="1" x14ac:dyDescent="0.2">
      <c r="A3335" s="7" t="s">
        <v>7086</v>
      </c>
      <c r="B3335" s="7" t="s">
        <v>8606</v>
      </c>
      <c r="C3335" s="7" t="s">
        <v>8654</v>
      </c>
      <c r="D3335" s="7" t="s">
        <v>8655</v>
      </c>
      <c r="E3335" s="8">
        <v>1</v>
      </c>
      <c r="F3335" s="7" t="s">
        <v>41</v>
      </c>
      <c r="G3335" s="7" t="s">
        <v>8656</v>
      </c>
      <c r="H3335" s="9"/>
      <c r="I3335" s="10">
        <v>220000</v>
      </c>
      <c r="J3335" s="10">
        <v>220000</v>
      </c>
      <c r="K3335" s="9"/>
      <c r="L3335" s="10">
        <v>216000</v>
      </c>
      <c r="M3335" s="9"/>
      <c r="N3335" s="10">
        <v>216000</v>
      </c>
      <c r="O3335" s="9"/>
      <c r="P3335" s="10"/>
      <c r="Q3335" s="10"/>
      <c r="R3335" s="10"/>
      <c r="S3335" s="7"/>
      <c r="T3335" s="7"/>
      <c r="U3335" s="7" t="s">
        <v>7086</v>
      </c>
      <c r="V3335" s="7" t="s">
        <v>7087</v>
      </c>
      <c r="W3335" s="7" t="s">
        <v>8657</v>
      </c>
      <c r="X3335" s="7" t="s">
        <v>8658</v>
      </c>
      <c r="Y3335" s="7" t="s">
        <v>8659</v>
      </c>
      <c r="Z3335" s="7" t="s">
        <v>1147</v>
      </c>
      <c r="AA3335" s="7"/>
      <c r="AB3335" s="7"/>
      <c r="AC3335" s="7" t="s">
        <v>8654</v>
      </c>
      <c r="AD3335" s="7"/>
      <c r="AE3335" s="7"/>
      <c r="AF3335" s="7" t="s">
        <v>50</v>
      </c>
      <c r="AG3335" s="7" t="s">
        <v>8612</v>
      </c>
      <c r="AH3335" s="7" t="s">
        <v>8655</v>
      </c>
    </row>
    <row r="3336" spans="1:34" ht="9.75" customHeight="1" x14ac:dyDescent="0.2">
      <c r="A3336" s="7" t="s">
        <v>7086</v>
      </c>
      <c r="B3336" s="7" t="s">
        <v>8606</v>
      </c>
      <c r="C3336" s="7" t="s">
        <v>8660</v>
      </c>
      <c r="D3336" s="7" t="s">
        <v>8661</v>
      </c>
      <c r="E3336" s="8">
        <v>1</v>
      </c>
      <c r="F3336" s="7" t="s">
        <v>41</v>
      </c>
      <c r="G3336" s="7" t="s">
        <v>8662</v>
      </c>
      <c r="H3336" s="9"/>
      <c r="I3336" s="10">
        <v>6500</v>
      </c>
      <c r="J3336" s="10">
        <v>6500</v>
      </c>
      <c r="K3336" s="9"/>
      <c r="L3336" s="10">
        <v>30900</v>
      </c>
      <c r="M3336" s="9"/>
      <c r="N3336" s="10">
        <v>30900</v>
      </c>
      <c r="O3336" s="9"/>
      <c r="P3336" s="10"/>
      <c r="Q3336" s="10"/>
      <c r="R3336" s="10"/>
      <c r="S3336" s="7"/>
      <c r="T3336" s="7"/>
      <c r="U3336" s="7"/>
      <c r="V3336" s="7"/>
      <c r="W3336" s="7"/>
      <c r="X3336" s="7"/>
      <c r="Y3336" s="7" t="s">
        <v>8663</v>
      </c>
      <c r="Z3336" s="7" t="s">
        <v>1171</v>
      </c>
      <c r="AA3336" s="7"/>
      <c r="AB3336" s="7"/>
      <c r="AC3336" s="7" t="s">
        <v>8660</v>
      </c>
      <c r="AD3336" s="7"/>
      <c r="AE3336" s="7"/>
      <c r="AF3336" s="7" t="s">
        <v>50</v>
      </c>
      <c r="AG3336" s="7" t="s">
        <v>8664</v>
      </c>
      <c r="AH3336" s="7" t="s">
        <v>8661</v>
      </c>
    </row>
    <row r="3337" spans="1:34" ht="9.75" customHeight="1" x14ac:dyDescent="0.2">
      <c r="A3337" s="7" t="s">
        <v>7086</v>
      </c>
      <c r="B3337" s="7" t="s">
        <v>8606</v>
      </c>
      <c r="C3337" s="7" t="s">
        <v>8665</v>
      </c>
      <c r="D3337" s="7" t="s">
        <v>8666</v>
      </c>
      <c r="E3337" s="8">
        <v>1</v>
      </c>
      <c r="F3337" s="7" t="s">
        <v>8650</v>
      </c>
      <c r="G3337" s="7" t="s">
        <v>8667</v>
      </c>
      <c r="H3337" s="9"/>
      <c r="I3337" s="10">
        <v>0</v>
      </c>
      <c r="J3337" s="10">
        <v>0</v>
      </c>
      <c r="K3337" s="9"/>
      <c r="L3337" s="10">
        <v>130000</v>
      </c>
      <c r="M3337" s="9"/>
      <c r="N3337" s="10">
        <v>130000</v>
      </c>
      <c r="O3337" s="9"/>
      <c r="P3337" s="10"/>
      <c r="Q3337" s="10"/>
      <c r="R3337" s="10"/>
      <c r="S3337" s="7"/>
      <c r="T3337" s="7"/>
      <c r="U3337" s="7" t="s">
        <v>7086</v>
      </c>
      <c r="V3337" s="7" t="s">
        <v>7087</v>
      </c>
      <c r="W3337" s="7" t="s">
        <v>8668</v>
      </c>
      <c r="X3337" s="7" t="s">
        <v>8669</v>
      </c>
      <c r="Y3337" s="7" t="s">
        <v>8670</v>
      </c>
      <c r="Z3337" s="7" t="s">
        <v>1199</v>
      </c>
      <c r="AA3337" s="7"/>
      <c r="AB3337" s="7"/>
      <c r="AC3337" s="7" t="s">
        <v>8665</v>
      </c>
      <c r="AD3337" s="7"/>
      <c r="AE3337" s="7"/>
      <c r="AF3337" s="7" t="s">
        <v>50</v>
      </c>
      <c r="AG3337" s="7" t="s">
        <v>8612</v>
      </c>
      <c r="AH3337" s="7" t="s">
        <v>8666</v>
      </c>
    </row>
    <row r="3338" spans="1:34" ht="9.75" customHeight="1" x14ac:dyDescent="0.2">
      <c r="A3338" s="7" t="s">
        <v>7086</v>
      </c>
      <c r="B3338" s="7" t="s">
        <v>8606</v>
      </c>
      <c r="C3338" s="7" t="s">
        <v>8671</v>
      </c>
      <c r="D3338" s="7" t="s">
        <v>8672</v>
      </c>
      <c r="E3338" s="8">
        <v>1</v>
      </c>
      <c r="F3338" s="7" t="s">
        <v>41</v>
      </c>
      <c r="G3338" s="7" t="s">
        <v>8673</v>
      </c>
      <c r="H3338" s="9"/>
      <c r="I3338" s="10">
        <v>125000</v>
      </c>
      <c r="J3338" s="10">
        <v>125000</v>
      </c>
      <c r="K3338" s="9"/>
      <c r="L3338" s="10">
        <v>0</v>
      </c>
      <c r="M3338" s="9"/>
      <c r="N3338" s="10">
        <v>0</v>
      </c>
      <c r="O3338" s="9"/>
      <c r="P3338" s="10"/>
      <c r="Q3338" s="10"/>
      <c r="R3338" s="10"/>
      <c r="S3338" s="7"/>
      <c r="T3338" s="7"/>
      <c r="U3338" s="7"/>
      <c r="V3338" s="7"/>
      <c r="W3338" s="7"/>
      <c r="X3338" s="7"/>
      <c r="Y3338" s="7" t="s">
        <v>8647</v>
      </c>
      <c r="Z3338" s="7" t="s">
        <v>4679</v>
      </c>
      <c r="AA3338" s="7"/>
      <c r="AB3338" s="7"/>
      <c r="AC3338" s="7" t="s">
        <v>8671</v>
      </c>
      <c r="AD3338" s="7"/>
      <c r="AE3338" s="7"/>
      <c r="AF3338" s="7" t="s">
        <v>50</v>
      </c>
      <c r="AG3338" s="7" t="s">
        <v>8612</v>
      </c>
      <c r="AH3338" s="7" t="s">
        <v>8672</v>
      </c>
    </row>
    <row r="3339" spans="1:34" ht="9.75" customHeight="1" x14ac:dyDescent="0.2">
      <c r="A3339" s="7" t="s">
        <v>7086</v>
      </c>
      <c r="B3339" s="7" t="s">
        <v>8606</v>
      </c>
      <c r="C3339" s="7" t="s">
        <v>8674</v>
      </c>
      <c r="D3339" s="7" t="s">
        <v>8675</v>
      </c>
      <c r="E3339" s="8">
        <v>1</v>
      </c>
      <c r="F3339" s="7" t="s">
        <v>41</v>
      </c>
      <c r="G3339" s="7" t="s">
        <v>8676</v>
      </c>
      <c r="H3339" s="9"/>
      <c r="I3339" s="10">
        <v>20000</v>
      </c>
      <c r="J3339" s="10">
        <v>20000</v>
      </c>
      <c r="K3339" s="9"/>
      <c r="L3339" s="10">
        <v>0</v>
      </c>
      <c r="M3339" s="9"/>
      <c r="N3339" s="10">
        <v>0</v>
      </c>
      <c r="O3339" s="9"/>
      <c r="P3339" s="10"/>
      <c r="Q3339" s="10"/>
      <c r="R3339" s="10"/>
      <c r="S3339" s="7"/>
      <c r="T3339" s="7"/>
      <c r="U3339" s="7" t="s">
        <v>7086</v>
      </c>
      <c r="V3339" s="7" t="s">
        <v>7087</v>
      </c>
      <c r="W3339" s="7" t="s">
        <v>8677</v>
      </c>
      <c r="X3339" s="7" t="s">
        <v>8678</v>
      </c>
      <c r="Y3339" s="7" t="s">
        <v>8647</v>
      </c>
      <c r="Z3339" s="7" t="s">
        <v>4679</v>
      </c>
      <c r="AA3339" s="7"/>
      <c r="AB3339" s="7"/>
      <c r="AC3339" s="7" t="s">
        <v>8674</v>
      </c>
      <c r="AD3339" s="7"/>
      <c r="AE3339" s="7"/>
      <c r="AF3339" s="7" t="s">
        <v>50</v>
      </c>
      <c r="AG3339" s="7" t="s">
        <v>8612</v>
      </c>
      <c r="AH3339" s="7" t="s">
        <v>8675</v>
      </c>
    </row>
    <row r="3340" spans="1:34" ht="9.75" customHeight="1" x14ac:dyDescent="0.2">
      <c r="A3340" s="7" t="s">
        <v>7086</v>
      </c>
      <c r="B3340" s="7" t="s">
        <v>8606</v>
      </c>
      <c r="C3340" s="7" t="s">
        <v>8679</v>
      </c>
      <c r="D3340" s="7" t="s">
        <v>8680</v>
      </c>
      <c r="E3340" s="8">
        <v>1</v>
      </c>
      <c r="F3340" s="7" t="s">
        <v>8650</v>
      </c>
      <c r="G3340" s="7" t="s">
        <v>8681</v>
      </c>
      <c r="H3340" s="9"/>
      <c r="I3340" s="10">
        <v>1000</v>
      </c>
      <c r="J3340" s="10">
        <v>1000</v>
      </c>
      <c r="K3340" s="9"/>
      <c r="L3340" s="10">
        <v>98000</v>
      </c>
      <c r="M3340" s="9"/>
      <c r="N3340" s="10">
        <v>98000</v>
      </c>
      <c r="O3340" s="9"/>
      <c r="P3340" s="10"/>
      <c r="Q3340" s="10"/>
      <c r="R3340" s="10"/>
      <c r="S3340" s="7"/>
      <c r="T3340" s="7"/>
      <c r="U3340" s="7" t="s">
        <v>7086</v>
      </c>
      <c r="V3340" s="7" t="s">
        <v>7087</v>
      </c>
      <c r="W3340" s="7" t="s">
        <v>8682</v>
      </c>
      <c r="X3340" s="7" t="s">
        <v>8683</v>
      </c>
      <c r="Y3340" s="7" t="s">
        <v>8684</v>
      </c>
      <c r="Z3340" s="7" t="s">
        <v>1221</v>
      </c>
      <c r="AA3340" s="7"/>
      <c r="AB3340" s="7"/>
      <c r="AC3340" s="7" t="s">
        <v>8679</v>
      </c>
      <c r="AD3340" s="7"/>
      <c r="AE3340" s="7"/>
      <c r="AF3340" s="7" t="s">
        <v>50</v>
      </c>
      <c r="AG3340" s="7" t="s">
        <v>8612</v>
      </c>
      <c r="AH3340" s="7" t="s">
        <v>8680</v>
      </c>
    </row>
    <row r="3341" spans="1:34" ht="9.75" customHeight="1" x14ac:dyDescent="0.2">
      <c r="A3341" s="7" t="s">
        <v>7086</v>
      </c>
      <c r="B3341" s="7" t="s">
        <v>8606</v>
      </c>
      <c r="C3341" s="7" t="s">
        <v>8685</v>
      </c>
      <c r="D3341" s="7" t="s">
        <v>8686</v>
      </c>
      <c r="E3341" s="8">
        <v>6</v>
      </c>
      <c r="F3341" s="7"/>
      <c r="G3341" s="7" t="s">
        <v>8687</v>
      </c>
      <c r="H3341" s="9"/>
      <c r="I3341" s="10">
        <v>5000</v>
      </c>
      <c r="J3341" s="10">
        <v>5000</v>
      </c>
      <c r="K3341" s="9"/>
      <c r="L3341" s="10">
        <v>5000</v>
      </c>
      <c r="M3341" s="9"/>
      <c r="N3341" s="10">
        <v>5000</v>
      </c>
      <c r="O3341" s="9"/>
      <c r="P3341" s="10"/>
      <c r="Q3341" s="10"/>
      <c r="R3341" s="10"/>
      <c r="S3341" s="7"/>
      <c r="T3341" s="7"/>
      <c r="U3341" s="7"/>
      <c r="V3341" s="7"/>
      <c r="W3341" s="7"/>
      <c r="X3341" s="7"/>
      <c r="Y3341" s="7" t="s">
        <v>8688</v>
      </c>
      <c r="Z3341" s="7" t="s">
        <v>1453</v>
      </c>
      <c r="AA3341" s="7"/>
      <c r="AB3341" s="7"/>
      <c r="AC3341" s="7" t="s">
        <v>8685</v>
      </c>
      <c r="AD3341" s="7"/>
      <c r="AE3341" s="7"/>
      <c r="AF3341" s="7" t="s">
        <v>113</v>
      </c>
      <c r="AG3341" s="7" t="s">
        <v>8618</v>
      </c>
      <c r="AH3341" s="7" t="s">
        <v>8689</v>
      </c>
    </row>
    <row r="3342" spans="1:34" ht="9.75" customHeight="1" x14ac:dyDescent="0.2">
      <c r="A3342" s="7" t="s">
        <v>7086</v>
      </c>
      <c r="B3342" s="7" t="s">
        <v>8606</v>
      </c>
      <c r="C3342" s="7" t="s">
        <v>8690</v>
      </c>
      <c r="D3342" s="7" t="s">
        <v>8691</v>
      </c>
      <c r="E3342" s="8">
        <v>6</v>
      </c>
      <c r="F3342" s="7"/>
      <c r="G3342" s="7" t="s">
        <v>8692</v>
      </c>
      <c r="H3342" s="9"/>
      <c r="I3342" s="10">
        <v>5600</v>
      </c>
      <c r="J3342" s="10">
        <v>5600</v>
      </c>
      <c r="K3342" s="9"/>
      <c r="L3342" s="10">
        <v>7040</v>
      </c>
      <c r="M3342" s="9"/>
      <c r="N3342" s="10">
        <v>7040</v>
      </c>
      <c r="O3342" s="9"/>
      <c r="P3342" s="10"/>
      <c r="Q3342" s="10"/>
      <c r="R3342" s="10"/>
      <c r="S3342" s="7" t="s">
        <v>43</v>
      </c>
      <c r="T3342" s="7"/>
      <c r="U3342" s="7"/>
      <c r="V3342" s="7"/>
      <c r="W3342" s="7"/>
      <c r="X3342" s="7"/>
      <c r="Y3342" s="7" t="s">
        <v>8693</v>
      </c>
      <c r="Z3342" s="7" t="s">
        <v>1474</v>
      </c>
      <c r="AA3342" s="7"/>
      <c r="AB3342" s="7"/>
      <c r="AC3342" s="7" t="s">
        <v>8690</v>
      </c>
      <c r="AD3342" s="7"/>
      <c r="AE3342" s="7"/>
      <c r="AF3342" s="7" t="s">
        <v>113</v>
      </c>
      <c r="AG3342" s="7" t="s">
        <v>8618</v>
      </c>
      <c r="AH3342" s="7" t="s">
        <v>8691</v>
      </c>
    </row>
    <row r="3343" spans="1:34" ht="9.75" customHeight="1" x14ac:dyDescent="0.2">
      <c r="A3343" s="7" t="s">
        <v>7086</v>
      </c>
      <c r="B3343" s="7" t="s">
        <v>8606</v>
      </c>
      <c r="C3343" s="7"/>
      <c r="D3343" s="7" t="s">
        <v>8694</v>
      </c>
      <c r="E3343" s="8">
        <v>6</v>
      </c>
      <c r="F3343" s="7"/>
      <c r="G3343" s="7" t="s">
        <v>8695</v>
      </c>
      <c r="H3343" s="9"/>
      <c r="I3343" s="10">
        <v>800</v>
      </c>
      <c r="J3343" s="10">
        <v>800</v>
      </c>
      <c r="K3343" s="9"/>
      <c r="L3343" s="10">
        <v>2200</v>
      </c>
      <c r="M3343" s="9"/>
      <c r="N3343" s="10">
        <v>2200</v>
      </c>
      <c r="O3343" s="9"/>
      <c r="P3343" s="10"/>
      <c r="Q3343" s="10"/>
      <c r="R3343" s="10"/>
      <c r="S3343" s="7" t="s">
        <v>54</v>
      </c>
      <c r="T3343" s="7" t="s">
        <v>8696</v>
      </c>
      <c r="U3343" s="7"/>
      <c r="V3343" s="7"/>
      <c r="W3343" s="7"/>
      <c r="X3343" s="7"/>
      <c r="Y3343" s="7" t="s">
        <v>8697</v>
      </c>
      <c r="Z3343" s="7" t="s">
        <v>1474</v>
      </c>
      <c r="AA3343" s="7"/>
      <c r="AB3343" s="7"/>
      <c r="AC3343" s="7" t="s">
        <v>8698</v>
      </c>
      <c r="AD3343" s="7"/>
      <c r="AE3343" s="7" t="s">
        <v>8699</v>
      </c>
      <c r="AF3343" s="7" t="s">
        <v>113</v>
      </c>
      <c r="AG3343" s="7" t="s">
        <v>8618</v>
      </c>
      <c r="AH3343" s="7" t="s">
        <v>8700</v>
      </c>
    </row>
    <row r="3344" spans="1:34" ht="9.75" customHeight="1" x14ac:dyDescent="0.2">
      <c r="A3344" s="7" t="s">
        <v>7086</v>
      </c>
      <c r="B3344" s="7" t="s">
        <v>8606</v>
      </c>
      <c r="C3344" s="7" t="s">
        <v>8701</v>
      </c>
      <c r="D3344" s="7" t="s">
        <v>8702</v>
      </c>
      <c r="E3344" s="8">
        <v>6</v>
      </c>
      <c r="F3344" s="7"/>
      <c r="G3344" s="7" t="s">
        <v>8703</v>
      </c>
      <c r="H3344" s="9"/>
      <c r="I3344" s="10">
        <v>21000</v>
      </c>
      <c r="J3344" s="10">
        <v>21000</v>
      </c>
      <c r="K3344" s="9"/>
      <c r="L3344" s="10">
        <v>22000</v>
      </c>
      <c r="M3344" s="9"/>
      <c r="N3344" s="10">
        <v>22000</v>
      </c>
      <c r="O3344" s="9"/>
      <c r="P3344" s="10"/>
      <c r="Q3344" s="10"/>
      <c r="R3344" s="10"/>
      <c r="S3344" s="7"/>
      <c r="T3344" s="7"/>
      <c r="U3344" s="7"/>
      <c r="V3344" s="7"/>
      <c r="W3344" s="7"/>
      <c r="X3344" s="7"/>
      <c r="Y3344" s="7" t="s">
        <v>8704</v>
      </c>
      <c r="Z3344" s="7" t="s">
        <v>1485</v>
      </c>
      <c r="AA3344" s="7"/>
      <c r="AB3344" s="7"/>
      <c r="AC3344" s="7" t="s">
        <v>8701</v>
      </c>
      <c r="AD3344" s="7"/>
      <c r="AE3344" s="7"/>
      <c r="AF3344" s="7" t="s">
        <v>113</v>
      </c>
      <c r="AG3344" s="7" t="s">
        <v>8618</v>
      </c>
      <c r="AH3344" s="7" t="s">
        <v>8702</v>
      </c>
    </row>
    <row r="3345" spans="1:34" ht="9.75" customHeight="1" x14ac:dyDescent="0.2">
      <c r="A3345" s="7" t="s">
        <v>7086</v>
      </c>
      <c r="B3345" s="7" t="s">
        <v>8606</v>
      </c>
      <c r="C3345" s="7"/>
      <c r="D3345" s="7" t="s">
        <v>2221</v>
      </c>
      <c r="E3345" s="8">
        <v>4</v>
      </c>
      <c r="F3345" s="7"/>
      <c r="G3345" s="7" t="s">
        <v>8705</v>
      </c>
      <c r="H3345" s="9"/>
      <c r="I3345" s="10">
        <v>16000</v>
      </c>
      <c r="J3345" s="10">
        <v>16000</v>
      </c>
      <c r="K3345" s="9"/>
      <c r="L3345" s="10">
        <v>10000</v>
      </c>
      <c r="M3345" s="9"/>
      <c r="N3345" s="10">
        <v>10000</v>
      </c>
      <c r="O3345" s="9"/>
      <c r="P3345" s="10"/>
      <c r="Q3345" s="10"/>
      <c r="R3345" s="10"/>
      <c r="S3345" s="7"/>
      <c r="T3345" s="7"/>
      <c r="U3345" s="7"/>
      <c r="V3345" s="7"/>
      <c r="W3345" s="7"/>
      <c r="X3345" s="7"/>
      <c r="Y3345" s="7" t="s">
        <v>8706</v>
      </c>
      <c r="Z3345" s="7" t="s">
        <v>81</v>
      </c>
      <c r="AA3345" s="7"/>
      <c r="AB3345" s="7"/>
      <c r="AC3345" s="7" t="s">
        <v>8698</v>
      </c>
      <c r="AD3345" s="7"/>
      <c r="AE3345" s="7"/>
      <c r="AF3345" s="7" t="s">
        <v>113</v>
      </c>
      <c r="AG3345" s="7" t="s">
        <v>8618</v>
      </c>
      <c r="AH3345" s="7" t="s">
        <v>8700</v>
      </c>
    </row>
    <row r="3346" spans="1:34" ht="9.75" customHeight="1" x14ac:dyDescent="0.2">
      <c r="A3346" s="7" t="s">
        <v>7086</v>
      </c>
      <c r="B3346" s="7" t="s">
        <v>8606</v>
      </c>
      <c r="C3346" s="7"/>
      <c r="D3346" s="7" t="s">
        <v>8707</v>
      </c>
      <c r="E3346" s="8">
        <v>4</v>
      </c>
      <c r="F3346" s="7"/>
      <c r="G3346" s="7" t="s">
        <v>8708</v>
      </c>
      <c r="H3346" s="9"/>
      <c r="I3346" s="10">
        <v>21500</v>
      </c>
      <c r="J3346" s="10">
        <v>21500</v>
      </c>
      <c r="K3346" s="9"/>
      <c r="L3346" s="10">
        <v>25800</v>
      </c>
      <c r="M3346" s="9"/>
      <c r="N3346" s="10">
        <v>25800</v>
      </c>
      <c r="O3346" s="9"/>
      <c r="P3346" s="10"/>
      <c r="Q3346" s="10"/>
      <c r="R3346" s="10"/>
      <c r="S3346" s="7"/>
      <c r="T3346" s="7"/>
      <c r="U3346" s="7"/>
      <c r="V3346" s="7"/>
      <c r="W3346" s="7"/>
      <c r="X3346" s="7"/>
      <c r="Y3346" s="7" t="s">
        <v>8709</v>
      </c>
      <c r="Z3346" s="7" t="s">
        <v>85</v>
      </c>
      <c r="AA3346" s="7"/>
      <c r="AB3346" s="7"/>
      <c r="AC3346" s="7" t="s">
        <v>8698</v>
      </c>
      <c r="AD3346" s="7"/>
      <c r="AE3346" s="7"/>
      <c r="AF3346" s="7" t="s">
        <v>113</v>
      </c>
      <c r="AG3346" s="7" t="s">
        <v>8618</v>
      </c>
      <c r="AH3346" s="7" t="s">
        <v>8700</v>
      </c>
    </row>
    <row r="3347" spans="1:34" ht="9.75" customHeight="1" x14ac:dyDescent="0.2">
      <c r="A3347" s="7" t="s">
        <v>7086</v>
      </c>
      <c r="B3347" s="7" t="s">
        <v>8606</v>
      </c>
      <c r="C3347" s="7"/>
      <c r="D3347" s="7" t="s">
        <v>8710</v>
      </c>
      <c r="E3347" s="8">
        <v>4</v>
      </c>
      <c r="F3347" s="7"/>
      <c r="G3347" s="7" t="s">
        <v>8711</v>
      </c>
      <c r="H3347" s="9"/>
      <c r="I3347" s="10">
        <v>0</v>
      </c>
      <c r="J3347" s="10">
        <v>0</v>
      </c>
      <c r="K3347" s="9"/>
      <c r="L3347" s="10">
        <v>30000</v>
      </c>
      <c r="M3347" s="9"/>
      <c r="N3347" s="10">
        <v>30000</v>
      </c>
      <c r="O3347" s="9"/>
      <c r="P3347" s="10"/>
      <c r="Q3347" s="10"/>
      <c r="R3347" s="10"/>
      <c r="S3347" s="7"/>
      <c r="T3347" s="7"/>
      <c r="U3347" s="7" t="s">
        <v>7086</v>
      </c>
      <c r="V3347" s="7" t="s">
        <v>7087</v>
      </c>
      <c r="W3347" s="7" t="s">
        <v>7088</v>
      </c>
      <c r="X3347" s="7" t="s">
        <v>7089</v>
      </c>
      <c r="Y3347" s="7" t="s">
        <v>8712</v>
      </c>
      <c r="Z3347" s="7" t="s">
        <v>1508</v>
      </c>
      <c r="AA3347" s="7"/>
      <c r="AB3347" s="7"/>
      <c r="AC3347" s="7" t="s">
        <v>8698</v>
      </c>
      <c r="AD3347" s="7"/>
      <c r="AE3347" s="7"/>
      <c r="AF3347" s="7" t="s">
        <v>113</v>
      </c>
      <c r="AG3347" s="7" t="s">
        <v>8618</v>
      </c>
      <c r="AH3347" s="7" t="s">
        <v>8700</v>
      </c>
    </row>
    <row r="3348" spans="1:34" ht="9.75" customHeight="1" x14ac:dyDescent="0.2">
      <c r="A3348" s="7" t="s">
        <v>7086</v>
      </c>
      <c r="B3348" s="7" t="s">
        <v>8606</v>
      </c>
      <c r="C3348" s="7" t="s">
        <v>8713</v>
      </c>
      <c r="D3348" s="7" t="s">
        <v>8714</v>
      </c>
      <c r="E3348" s="8">
        <v>7</v>
      </c>
      <c r="F3348" s="7"/>
      <c r="G3348" s="7" t="s">
        <v>8715</v>
      </c>
      <c r="H3348" s="9"/>
      <c r="I3348" s="10">
        <v>130000</v>
      </c>
      <c r="J3348" s="10">
        <v>130000</v>
      </c>
      <c r="K3348" s="9"/>
      <c r="L3348" s="10">
        <v>7500</v>
      </c>
      <c r="M3348" s="9"/>
      <c r="N3348" s="10">
        <v>7500</v>
      </c>
      <c r="O3348" s="9"/>
      <c r="P3348" s="10"/>
      <c r="Q3348" s="10"/>
      <c r="R3348" s="10"/>
      <c r="S3348" s="7"/>
      <c r="T3348" s="7"/>
      <c r="U3348" s="7"/>
      <c r="V3348" s="7"/>
      <c r="W3348" s="7"/>
      <c r="X3348" s="7"/>
      <c r="Y3348" s="7" t="s">
        <v>8716</v>
      </c>
      <c r="Z3348" s="7" t="s">
        <v>1694</v>
      </c>
      <c r="AA3348" s="7"/>
      <c r="AB3348" s="7"/>
      <c r="AC3348" s="7" t="s">
        <v>8713</v>
      </c>
      <c r="AD3348" s="7"/>
      <c r="AE3348" s="7"/>
      <c r="AF3348" s="7" t="s">
        <v>113</v>
      </c>
      <c r="AG3348" s="7" t="s">
        <v>8717</v>
      </c>
      <c r="AH3348" s="7" t="s">
        <v>8714</v>
      </c>
    </row>
    <row r="3349" spans="1:34" ht="9.75" customHeight="1" x14ac:dyDescent="0.2">
      <c r="A3349" s="7" t="s">
        <v>7086</v>
      </c>
      <c r="B3349" s="7" t="s">
        <v>8606</v>
      </c>
      <c r="C3349" s="7" t="s">
        <v>8718</v>
      </c>
      <c r="D3349" s="7" t="s">
        <v>8719</v>
      </c>
      <c r="E3349" s="8">
        <v>4</v>
      </c>
      <c r="F3349" s="7"/>
      <c r="G3349" s="7" t="s">
        <v>8720</v>
      </c>
      <c r="H3349" s="9"/>
      <c r="I3349" s="10">
        <v>500</v>
      </c>
      <c r="J3349" s="10">
        <v>500</v>
      </c>
      <c r="K3349" s="9"/>
      <c r="L3349" s="10">
        <v>1000</v>
      </c>
      <c r="M3349" s="9"/>
      <c r="N3349" s="10">
        <v>1000</v>
      </c>
      <c r="O3349" s="9"/>
      <c r="P3349" s="10"/>
      <c r="Q3349" s="10"/>
      <c r="R3349" s="10"/>
      <c r="S3349" s="7"/>
      <c r="T3349" s="7"/>
      <c r="U3349" s="7" t="s">
        <v>7086</v>
      </c>
      <c r="V3349" s="7" t="s">
        <v>7087</v>
      </c>
      <c r="W3349" s="7" t="s">
        <v>7088</v>
      </c>
      <c r="X3349" s="7" t="s">
        <v>7089</v>
      </c>
      <c r="Y3349" s="7" t="s">
        <v>8721</v>
      </c>
      <c r="Z3349" s="7" t="s">
        <v>1367</v>
      </c>
      <c r="AA3349" s="7"/>
      <c r="AB3349" s="7"/>
      <c r="AC3349" s="7" t="s">
        <v>8718</v>
      </c>
      <c r="AD3349" s="7"/>
      <c r="AE3349" s="7"/>
      <c r="AF3349" s="7" t="s">
        <v>6196</v>
      </c>
      <c r="AG3349" s="7" t="s">
        <v>8722</v>
      </c>
      <c r="AH3349" s="7" t="s">
        <v>8719</v>
      </c>
    </row>
    <row r="3350" spans="1:34" ht="9.75" customHeight="1" x14ac:dyDescent="0.2">
      <c r="A3350" s="7" t="s">
        <v>7086</v>
      </c>
      <c r="B3350" s="7" t="s">
        <v>8723</v>
      </c>
      <c r="C3350" s="7"/>
      <c r="D3350" s="7" t="s">
        <v>8724</v>
      </c>
      <c r="E3350" s="8">
        <v>2</v>
      </c>
      <c r="F3350" s="7"/>
      <c r="G3350" s="7" t="s">
        <v>8725</v>
      </c>
      <c r="H3350" s="9"/>
      <c r="I3350" s="9"/>
      <c r="J3350" s="10">
        <v>70000</v>
      </c>
      <c r="K3350" s="9"/>
      <c r="L3350" s="10">
        <v>400000</v>
      </c>
      <c r="M3350" s="9"/>
      <c r="N3350" s="10">
        <v>400000</v>
      </c>
      <c r="O3350" s="9"/>
      <c r="P3350" s="10"/>
      <c r="Q3350" s="10"/>
      <c r="R3350" s="10"/>
      <c r="S3350" s="7" t="s">
        <v>407</v>
      </c>
      <c r="T3350" s="7" t="s">
        <v>8726</v>
      </c>
      <c r="U3350" s="7"/>
      <c r="V3350" s="7"/>
      <c r="W3350" s="7"/>
      <c r="X3350" s="7"/>
      <c r="Y3350" s="7" t="s">
        <v>8727</v>
      </c>
      <c r="Z3350" s="7" t="s">
        <v>6493</v>
      </c>
      <c r="AA3350" s="7"/>
      <c r="AB3350" s="7"/>
      <c r="AC3350" s="7" t="s">
        <v>8728</v>
      </c>
      <c r="AD3350" s="7"/>
      <c r="AE3350" s="7" t="s">
        <v>8729</v>
      </c>
      <c r="AF3350" s="7" t="s">
        <v>113</v>
      </c>
      <c r="AG3350" s="7" t="s">
        <v>8730</v>
      </c>
      <c r="AH3350" s="7" t="s">
        <v>8731</v>
      </c>
    </row>
    <row r="3351" spans="1:34" ht="9.75" customHeight="1" x14ac:dyDescent="0.2">
      <c r="A3351" s="7" t="s">
        <v>7086</v>
      </c>
      <c r="B3351" s="7" t="s">
        <v>8723</v>
      </c>
      <c r="C3351" s="7"/>
      <c r="D3351" s="7" t="s">
        <v>8732</v>
      </c>
      <c r="E3351" s="7" t="s">
        <v>8733</v>
      </c>
      <c r="F3351" s="7"/>
      <c r="G3351" s="7"/>
      <c r="H3351" s="9"/>
      <c r="I3351" s="10">
        <v>3125281</v>
      </c>
      <c r="J3351" s="10">
        <v>3172908</v>
      </c>
      <c r="K3351" s="9"/>
      <c r="L3351" s="10">
        <v>3425335</v>
      </c>
      <c r="M3351" s="9"/>
      <c r="N3351" s="10">
        <v>3425335</v>
      </c>
      <c r="O3351" s="9"/>
      <c r="P3351" s="10"/>
      <c r="Q3351" s="10"/>
      <c r="R3351" s="10"/>
      <c r="S3351" s="7" t="s">
        <v>219</v>
      </c>
      <c r="T3351" s="7"/>
      <c r="U3351" s="7"/>
      <c r="V3351" s="7"/>
      <c r="W3351" s="7"/>
      <c r="X3351" s="7"/>
      <c r="Y3351" s="7" t="s">
        <v>8734</v>
      </c>
      <c r="Z3351" s="7" t="s">
        <v>817</v>
      </c>
      <c r="AA3351" s="7"/>
      <c r="AB3351" s="7"/>
      <c r="AC3351" s="7" t="s">
        <v>8735</v>
      </c>
      <c r="AD3351" s="7"/>
      <c r="AE3351" s="7"/>
      <c r="AF3351" s="7" t="s">
        <v>113</v>
      </c>
      <c r="AG3351" s="7" t="s">
        <v>8717</v>
      </c>
      <c r="AH3351" s="7" t="s">
        <v>8736</v>
      </c>
    </row>
    <row r="3352" spans="1:34" ht="9.75" customHeight="1" x14ac:dyDescent="0.2">
      <c r="A3352" s="7" t="s">
        <v>7086</v>
      </c>
      <c r="B3352" s="7" t="s">
        <v>8723</v>
      </c>
      <c r="C3352" s="7"/>
      <c r="D3352" s="7" t="s">
        <v>8737</v>
      </c>
      <c r="E3352" s="7" t="s">
        <v>8733</v>
      </c>
      <c r="F3352" s="7"/>
      <c r="G3352" s="7"/>
      <c r="H3352" s="9"/>
      <c r="I3352" s="10">
        <v>865621</v>
      </c>
      <c r="J3352" s="10">
        <v>883590</v>
      </c>
      <c r="K3352" s="9"/>
      <c r="L3352" s="10">
        <v>969498</v>
      </c>
      <c r="M3352" s="9"/>
      <c r="N3352" s="10">
        <v>969498</v>
      </c>
      <c r="O3352" s="9"/>
      <c r="P3352" s="10"/>
      <c r="Q3352" s="10"/>
      <c r="R3352" s="10"/>
      <c r="S3352" s="7" t="s">
        <v>219</v>
      </c>
      <c r="T3352" s="7"/>
      <c r="U3352" s="7"/>
      <c r="V3352" s="7"/>
      <c r="W3352" s="7"/>
      <c r="X3352" s="7"/>
      <c r="Y3352" s="7" t="s">
        <v>8738</v>
      </c>
      <c r="Z3352" s="7" t="s">
        <v>714</v>
      </c>
      <c r="AA3352" s="7"/>
      <c r="AB3352" s="7"/>
      <c r="AC3352" s="7" t="s">
        <v>8728</v>
      </c>
      <c r="AD3352" s="7"/>
      <c r="AE3352" s="7"/>
      <c r="AF3352" s="7" t="s">
        <v>113</v>
      </c>
      <c r="AG3352" s="7" t="s">
        <v>8730</v>
      </c>
      <c r="AH3352" s="7" t="s">
        <v>8731</v>
      </c>
    </row>
    <row r="3353" spans="1:34" ht="9.75" customHeight="1" x14ac:dyDescent="0.2">
      <c r="A3353" s="7" t="s">
        <v>7086</v>
      </c>
      <c r="B3353" s="7" t="s">
        <v>8723</v>
      </c>
      <c r="C3353" s="7"/>
      <c r="D3353" s="7" t="s">
        <v>8739</v>
      </c>
      <c r="E3353" s="7" t="s">
        <v>8733</v>
      </c>
      <c r="F3353" s="7"/>
      <c r="G3353" s="7" t="s">
        <v>8740</v>
      </c>
      <c r="H3353" s="9"/>
      <c r="I3353" s="9"/>
      <c r="J3353" s="9"/>
      <c r="K3353" s="9"/>
      <c r="L3353" s="10">
        <v>16279</v>
      </c>
      <c r="M3353" s="9"/>
      <c r="N3353" s="10">
        <v>16279</v>
      </c>
      <c r="O3353" s="9"/>
      <c r="P3353" s="10"/>
      <c r="Q3353" s="10"/>
      <c r="R3353" s="10"/>
      <c r="S3353" s="7" t="s">
        <v>219</v>
      </c>
      <c r="T3353" s="7"/>
      <c r="U3353" s="7"/>
      <c r="V3353" s="7"/>
      <c r="W3353" s="7"/>
      <c r="X3353" s="7"/>
      <c r="Y3353" s="7" t="s">
        <v>8741</v>
      </c>
      <c r="Z3353" s="7" t="s">
        <v>6623</v>
      </c>
      <c r="AA3353" s="7"/>
      <c r="AB3353" s="7"/>
      <c r="AC3353" s="7" t="s">
        <v>8728</v>
      </c>
      <c r="AD3353" s="7"/>
      <c r="AE3353" s="7"/>
      <c r="AF3353" s="7" t="s">
        <v>113</v>
      </c>
      <c r="AG3353" s="7" t="s">
        <v>8730</v>
      </c>
      <c r="AH3353" s="7" t="s">
        <v>8731</v>
      </c>
    </row>
    <row r="3354" spans="1:34" ht="9.75" customHeight="1" x14ac:dyDescent="0.2">
      <c r="A3354" s="7" t="s">
        <v>7086</v>
      </c>
      <c r="B3354" s="7" t="s">
        <v>8723</v>
      </c>
      <c r="C3354" s="7"/>
      <c r="D3354" s="7" t="s">
        <v>8742</v>
      </c>
      <c r="E3354" s="7" t="s">
        <v>8733</v>
      </c>
      <c r="F3354" s="7"/>
      <c r="G3354" s="7" t="s">
        <v>8743</v>
      </c>
      <c r="H3354" s="9"/>
      <c r="I3354" s="9"/>
      <c r="J3354" s="9"/>
      <c r="K3354" s="9"/>
      <c r="L3354" s="10">
        <v>13447</v>
      </c>
      <c r="M3354" s="9"/>
      <c r="N3354" s="10">
        <v>13447</v>
      </c>
      <c r="O3354" s="9"/>
      <c r="P3354" s="10"/>
      <c r="Q3354" s="10"/>
      <c r="R3354" s="10"/>
      <c r="S3354" s="7" t="s">
        <v>219</v>
      </c>
      <c r="T3354" s="7"/>
      <c r="U3354" s="7" t="s">
        <v>7086</v>
      </c>
      <c r="V3354" s="7" t="s">
        <v>7087</v>
      </c>
      <c r="W3354" s="7" t="s">
        <v>8657</v>
      </c>
      <c r="X3354" s="7" t="s">
        <v>8658</v>
      </c>
      <c r="Y3354" s="7" t="s">
        <v>8744</v>
      </c>
      <c r="Z3354" s="7" t="s">
        <v>409</v>
      </c>
      <c r="AA3354" s="7"/>
      <c r="AB3354" s="7"/>
      <c r="AC3354" s="7" t="s">
        <v>8728</v>
      </c>
      <c r="AD3354" s="7"/>
      <c r="AE3354" s="7"/>
      <c r="AF3354" s="7" t="s">
        <v>113</v>
      </c>
      <c r="AG3354" s="7" t="s">
        <v>8730</v>
      </c>
      <c r="AH3354" s="7" t="s">
        <v>8731</v>
      </c>
    </row>
    <row r="3355" spans="1:34" ht="9.75" customHeight="1" x14ac:dyDescent="0.2">
      <c r="A3355" s="7" t="s">
        <v>7086</v>
      </c>
      <c r="B3355" s="7" t="s">
        <v>8723</v>
      </c>
      <c r="C3355" s="7"/>
      <c r="D3355" s="7" t="s">
        <v>8745</v>
      </c>
      <c r="E3355" s="7" t="s">
        <v>8733</v>
      </c>
      <c r="F3355" s="7"/>
      <c r="G3355" s="7" t="s">
        <v>8746</v>
      </c>
      <c r="H3355" s="9"/>
      <c r="I3355" s="9"/>
      <c r="J3355" s="9"/>
      <c r="K3355" s="9"/>
      <c r="L3355" s="10">
        <v>1027</v>
      </c>
      <c r="M3355" s="9"/>
      <c r="N3355" s="10">
        <v>1027</v>
      </c>
      <c r="O3355" s="9"/>
      <c r="P3355" s="10"/>
      <c r="Q3355" s="10"/>
      <c r="R3355" s="10"/>
      <c r="S3355" s="7" t="s">
        <v>219</v>
      </c>
      <c r="T3355" s="7"/>
      <c r="U3355" s="7" t="s">
        <v>7086</v>
      </c>
      <c r="V3355" s="7" t="s">
        <v>7087</v>
      </c>
      <c r="W3355" s="7" t="s">
        <v>8649</v>
      </c>
      <c r="X3355" s="7" t="s">
        <v>8652</v>
      </c>
      <c r="Y3355" s="7" t="s">
        <v>8747</v>
      </c>
      <c r="Z3355" s="7" t="s">
        <v>430</v>
      </c>
      <c r="AA3355" s="7"/>
      <c r="AB3355" s="7"/>
      <c r="AC3355" s="7" t="s">
        <v>8728</v>
      </c>
      <c r="AD3355" s="7"/>
      <c r="AE3355" s="7"/>
      <c r="AF3355" s="7" t="s">
        <v>113</v>
      </c>
      <c r="AG3355" s="7" t="s">
        <v>8730</v>
      </c>
      <c r="AH3355" s="7" t="s">
        <v>8731</v>
      </c>
    </row>
    <row r="3356" spans="1:34" ht="9.75" customHeight="1" x14ac:dyDescent="0.2">
      <c r="A3356" s="7" t="s">
        <v>7086</v>
      </c>
      <c r="B3356" s="7" t="s">
        <v>8723</v>
      </c>
      <c r="C3356" s="7"/>
      <c r="D3356" s="7" t="s">
        <v>8748</v>
      </c>
      <c r="E3356" s="7" t="s">
        <v>8733</v>
      </c>
      <c r="F3356" s="7"/>
      <c r="G3356" s="7" t="s">
        <v>8749</v>
      </c>
      <c r="H3356" s="9"/>
      <c r="I3356" s="9"/>
      <c r="J3356" s="9"/>
      <c r="K3356" s="9"/>
      <c r="L3356" s="10">
        <v>4365</v>
      </c>
      <c r="M3356" s="9"/>
      <c r="N3356" s="10">
        <v>4365</v>
      </c>
      <c r="O3356" s="9"/>
      <c r="P3356" s="10"/>
      <c r="Q3356" s="10"/>
      <c r="R3356" s="10"/>
      <c r="S3356" s="7" t="s">
        <v>219</v>
      </c>
      <c r="T3356" s="7"/>
      <c r="U3356" s="7"/>
      <c r="V3356" s="7"/>
      <c r="W3356" s="7"/>
      <c r="X3356" s="7"/>
      <c r="Y3356" s="7" t="s">
        <v>8750</v>
      </c>
      <c r="Z3356" s="7" t="s">
        <v>520</v>
      </c>
      <c r="AA3356" s="7"/>
      <c r="AB3356" s="7"/>
      <c r="AC3356" s="7" t="s">
        <v>8728</v>
      </c>
      <c r="AD3356" s="7"/>
      <c r="AE3356" s="7"/>
      <c r="AF3356" s="7" t="s">
        <v>113</v>
      </c>
      <c r="AG3356" s="7" t="s">
        <v>8730</v>
      </c>
      <c r="AH3356" s="7" t="s">
        <v>8731</v>
      </c>
    </row>
    <row r="3357" spans="1:34" ht="9.75" customHeight="1" x14ac:dyDescent="0.2">
      <c r="A3357" s="7" t="s">
        <v>7086</v>
      </c>
      <c r="B3357" s="7" t="s">
        <v>8723</v>
      </c>
      <c r="C3357" s="7"/>
      <c r="D3357" s="7" t="s">
        <v>8751</v>
      </c>
      <c r="E3357" s="7"/>
      <c r="F3357" s="7"/>
      <c r="G3357" s="7" t="s">
        <v>8752</v>
      </c>
      <c r="H3357" s="9"/>
      <c r="I3357" s="9"/>
      <c r="J3357" s="9"/>
      <c r="K3357" s="9"/>
      <c r="L3357" s="10">
        <v>-33502</v>
      </c>
      <c r="M3357" s="9"/>
      <c r="N3357" s="10">
        <v>-33502</v>
      </c>
      <c r="O3357" s="9"/>
      <c r="P3357" s="10"/>
      <c r="Q3357" s="10"/>
      <c r="R3357" s="10"/>
      <c r="S3357" s="7" t="s">
        <v>219</v>
      </c>
      <c r="T3357" s="7"/>
      <c r="U3357" s="7"/>
      <c r="V3357" s="7"/>
      <c r="W3357" s="7"/>
      <c r="X3357" s="7"/>
      <c r="Y3357" s="7" t="s">
        <v>8753</v>
      </c>
      <c r="Z3357" s="7" t="s">
        <v>409</v>
      </c>
      <c r="AA3357" s="7"/>
      <c r="AB3357" s="7"/>
      <c r="AC3357" s="7" t="s">
        <v>8728</v>
      </c>
      <c r="AD3357" s="7"/>
      <c r="AE3357" s="7"/>
      <c r="AF3357" s="7" t="s">
        <v>113</v>
      </c>
      <c r="AG3357" s="7" t="s">
        <v>8730</v>
      </c>
      <c r="AH3357" s="7" t="s">
        <v>8731</v>
      </c>
    </row>
    <row r="3358" spans="1:34" ht="9.75" customHeight="1" x14ac:dyDescent="0.2">
      <c r="A3358" s="7" t="s">
        <v>7086</v>
      </c>
      <c r="B3358" s="7" t="s">
        <v>8723</v>
      </c>
      <c r="C3358" s="7"/>
      <c r="D3358" s="7" t="s">
        <v>8754</v>
      </c>
      <c r="E3358" s="7" t="s">
        <v>8733</v>
      </c>
      <c r="F3358" s="7"/>
      <c r="G3358" s="7" t="s">
        <v>8755</v>
      </c>
      <c r="H3358" s="9"/>
      <c r="I3358" s="9"/>
      <c r="J3358" s="9"/>
      <c r="K3358" s="9"/>
      <c r="L3358" s="10">
        <v>116405</v>
      </c>
      <c r="M3358" s="9"/>
      <c r="N3358" s="10">
        <v>116405</v>
      </c>
      <c r="O3358" s="9"/>
      <c r="P3358" s="10"/>
      <c r="Q3358" s="10"/>
      <c r="R3358" s="10"/>
      <c r="S3358" s="7" t="s">
        <v>219</v>
      </c>
      <c r="T3358" s="7"/>
      <c r="U3358" s="7"/>
      <c r="V3358" s="7"/>
      <c r="W3358" s="7"/>
      <c r="X3358" s="7"/>
      <c r="Y3358" s="7" t="s">
        <v>8756</v>
      </c>
      <c r="Z3358" s="7" t="s">
        <v>430</v>
      </c>
      <c r="AA3358" s="7"/>
      <c r="AB3358" s="7"/>
      <c r="AC3358" s="7" t="s">
        <v>8728</v>
      </c>
      <c r="AD3358" s="7"/>
      <c r="AE3358" s="7"/>
      <c r="AF3358" s="7" t="s">
        <v>113</v>
      </c>
      <c r="AG3358" s="7" t="s">
        <v>8730</v>
      </c>
      <c r="AH3358" s="7" t="s">
        <v>8731</v>
      </c>
    </row>
    <row r="3359" spans="1:34" ht="9.75" customHeight="1" x14ac:dyDescent="0.2">
      <c r="A3359" s="7" t="s">
        <v>7086</v>
      </c>
      <c r="B3359" s="7" t="s">
        <v>8723</v>
      </c>
      <c r="C3359" s="7"/>
      <c r="D3359" s="7" t="s">
        <v>8757</v>
      </c>
      <c r="E3359" s="8">
        <v>1</v>
      </c>
      <c r="F3359" s="7"/>
      <c r="G3359" s="7" t="s">
        <v>8758</v>
      </c>
      <c r="H3359" s="9"/>
      <c r="I3359" s="9"/>
      <c r="J3359" s="9"/>
      <c r="K3359" s="9"/>
      <c r="L3359" s="10">
        <v>7738</v>
      </c>
      <c r="M3359" s="9"/>
      <c r="N3359" s="10">
        <v>7738</v>
      </c>
      <c r="O3359" s="9"/>
      <c r="P3359" s="10"/>
      <c r="Q3359" s="10"/>
      <c r="R3359" s="10"/>
      <c r="S3359" s="7" t="s">
        <v>219</v>
      </c>
      <c r="T3359" s="7"/>
      <c r="U3359" s="7"/>
      <c r="V3359" s="7"/>
      <c r="W3359" s="7"/>
      <c r="X3359" s="7"/>
      <c r="Y3359" s="7" t="s">
        <v>8759</v>
      </c>
      <c r="Z3359" s="7" t="s">
        <v>476</v>
      </c>
      <c r="AA3359" s="7"/>
      <c r="AB3359" s="7"/>
      <c r="AC3359" s="7" t="s">
        <v>8728</v>
      </c>
      <c r="AD3359" s="7"/>
      <c r="AE3359" s="7"/>
      <c r="AF3359" s="7" t="s">
        <v>113</v>
      </c>
      <c r="AG3359" s="7" t="s">
        <v>8730</v>
      </c>
      <c r="AH3359" s="7" t="s">
        <v>8731</v>
      </c>
    </row>
    <row r="3360" spans="1:34" ht="9.75" customHeight="1" x14ac:dyDescent="0.2">
      <c r="A3360" s="7" t="s">
        <v>7086</v>
      </c>
      <c r="B3360" s="7" t="s">
        <v>8723</v>
      </c>
      <c r="C3360" s="7"/>
      <c r="D3360" s="7" t="s">
        <v>8760</v>
      </c>
      <c r="E3360" s="7"/>
      <c r="F3360" s="7"/>
      <c r="G3360" s="7" t="s">
        <v>8761</v>
      </c>
      <c r="H3360" s="9"/>
      <c r="I3360" s="9"/>
      <c r="J3360" s="9"/>
      <c r="K3360" s="9"/>
      <c r="L3360" s="9" t="s">
        <v>8762</v>
      </c>
      <c r="M3360" s="9"/>
      <c r="N3360" s="9" t="s">
        <v>8762</v>
      </c>
      <c r="O3360" s="9"/>
      <c r="P3360" s="9"/>
      <c r="Q3360" s="9"/>
      <c r="R3360" s="9"/>
      <c r="S3360" s="7" t="s">
        <v>219</v>
      </c>
      <c r="T3360" s="7"/>
      <c r="U3360" s="7"/>
      <c r="V3360" s="7"/>
      <c r="W3360" s="7"/>
      <c r="X3360" s="7"/>
      <c r="Y3360" s="7" t="s">
        <v>8763</v>
      </c>
      <c r="Z3360" s="7" t="s">
        <v>106</v>
      </c>
      <c r="AA3360" s="7"/>
      <c r="AB3360" s="7"/>
      <c r="AC3360" s="7" t="s">
        <v>8728</v>
      </c>
      <c r="AD3360" s="7"/>
      <c r="AE3360" s="7"/>
      <c r="AF3360" s="7" t="s">
        <v>113</v>
      </c>
      <c r="AG3360" s="7" t="s">
        <v>8730</v>
      </c>
      <c r="AH3360" s="7" t="s">
        <v>8731</v>
      </c>
    </row>
    <row r="3361" spans="1:37" ht="14.25" customHeight="1" x14ac:dyDescent="0.2">
      <c r="A3361" s="1" t="s">
        <v>37</v>
      </c>
      <c r="B3361" s="1" t="s">
        <v>38</v>
      </c>
      <c r="C3361" s="1" t="s">
        <v>8764</v>
      </c>
      <c r="D3361" s="1" t="s">
        <v>8765</v>
      </c>
      <c r="P3361" s="1">
        <v>1452000</v>
      </c>
      <c r="Q3361" s="1">
        <v>0</v>
      </c>
      <c r="R3361" s="1">
        <v>1452000</v>
      </c>
      <c r="S3361" s="1" t="s">
        <v>8766</v>
      </c>
    </row>
    <row r="3362" spans="1:37" ht="14.25" customHeight="1" x14ac:dyDescent="0.2">
      <c r="A3362" s="1" t="s">
        <v>37</v>
      </c>
      <c r="B3362" s="1" t="s">
        <v>38</v>
      </c>
      <c r="C3362" s="1" t="s">
        <v>8767</v>
      </c>
      <c r="D3362" s="1" t="s">
        <v>8768</v>
      </c>
      <c r="P3362" s="1">
        <v>1596881</v>
      </c>
      <c r="Q3362" s="1">
        <v>0</v>
      </c>
      <c r="R3362" s="1">
        <v>1596881</v>
      </c>
      <c r="S3362" s="1" t="s">
        <v>8766</v>
      </c>
    </row>
    <row r="3363" spans="1:37" ht="14.25" customHeight="1" x14ac:dyDescent="0.2">
      <c r="A3363" s="1" t="s">
        <v>8769</v>
      </c>
      <c r="B3363" s="1" t="s">
        <v>38</v>
      </c>
      <c r="C3363" s="1" t="s">
        <v>8770</v>
      </c>
      <c r="D3363" s="1" t="s">
        <v>8771</v>
      </c>
      <c r="P3363" s="1">
        <v>434060</v>
      </c>
      <c r="Q3363" s="1">
        <v>0</v>
      </c>
      <c r="R3363" s="1">
        <v>434060</v>
      </c>
      <c r="S3363" s="1" t="s">
        <v>8766</v>
      </c>
    </row>
    <row r="3364" spans="1:37" ht="14.25" customHeight="1" x14ac:dyDescent="0.2">
      <c r="A3364" s="1" t="s">
        <v>4811</v>
      </c>
      <c r="B3364" s="1" t="s">
        <v>4812</v>
      </c>
      <c r="C3364" s="1" t="s">
        <v>8772</v>
      </c>
      <c r="D3364" s="1" t="s">
        <v>8773</v>
      </c>
      <c r="P3364" s="1">
        <v>110000</v>
      </c>
      <c r="Q3364" s="1">
        <v>1606933</v>
      </c>
      <c r="R3364" s="1">
        <v>1716933</v>
      </c>
      <c r="S3364" s="1" t="s">
        <v>8766</v>
      </c>
    </row>
    <row r="3365" spans="1:37" ht="14.25" customHeight="1" x14ac:dyDescent="0.2">
      <c r="A3365" s="1" t="s">
        <v>4811</v>
      </c>
      <c r="B3365" s="1" t="s">
        <v>4812</v>
      </c>
      <c r="C3365" s="1" t="s">
        <v>5510</v>
      </c>
      <c r="D3365" s="1" t="s">
        <v>8774</v>
      </c>
      <c r="P3365" s="1">
        <v>45943</v>
      </c>
      <c r="Q3365" s="1">
        <v>2276340</v>
      </c>
      <c r="R3365" s="1">
        <v>2322283</v>
      </c>
      <c r="S3365" s="1" t="s">
        <v>8766</v>
      </c>
    </row>
    <row r="3366" spans="1:37" ht="14.25" customHeight="1" x14ac:dyDescent="0.2">
      <c r="A3366" s="1" t="s">
        <v>4811</v>
      </c>
      <c r="B3366" s="1" t="s">
        <v>4812</v>
      </c>
      <c r="C3366" s="1" t="s">
        <v>8775</v>
      </c>
      <c r="D3366" s="1" t="s">
        <v>8776</v>
      </c>
      <c r="P3366" s="1">
        <v>5000</v>
      </c>
      <c r="Q3366" s="1">
        <v>414657</v>
      </c>
      <c r="R3366" s="1">
        <v>419657</v>
      </c>
      <c r="S3366" s="1" t="s">
        <v>8766</v>
      </c>
    </row>
    <row r="3367" spans="1:37" ht="14.25" customHeight="1" x14ac:dyDescent="0.2">
      <c r="A3367" s="1" t="s">
        <v>4811</v>
      </c>
      <c r="B3367" s="1" t="s">
        <v>4812</v>
      </c>
      <c r="C3367" s="1" t="s">
        <v>8777</v>
      </c>
      <c r="D3367" s="1" t="s">
        <v>8778</v>
      </c>
      <c r="P3367" s="1">
        <v>3871</v>
      </c>
      <c r="Q3367" s="1">
        <v>620746</v>
      </c>
      <c r="R3367" s="1">
        <v>624617</v>
      </c>
      <c r="S3367" s="1" t="s">
        <v>8766</v>
      </c>
    </row>
    <row r="3368" spans="1:37" ht="14.25" customHeight="1" x14ac:dyDescent="0.2">
      <c r="A3368" s="1" t="s">
        <v>4811</v>
      </c>
      <c r="B3368" s="1" t="s">
        <v>4812</v>
      </c>
      <c r="C3368" s="1" t="s">
        <v>8779</v>
      </c>
      <c r="D3368" s="1" t="s">
        <v>8780</v>
      </c>
      <c r="P3368" s="1">
        <v>43340</v>
      </c>
      <c r="Q3368" s="1">
        <v>1837670</v>
      </c>
      <c r="R3368" s="1">
        <v>1881010</v>
      </c>
      <c r="S3368" s="1" t="s">
        <v>8766</v>
      </c>
    </row>
    <row r="3369" spans="1:37" ht="14.25" customHeight="1" x14ac:dyDescent="0.2">
      <c r="A3369" s="1" t="s">
        <v>4811</v>
      </c>
      <c r="B3369" s="1" t="s">
        <v>4812</v>
      </c>
      <c r="C3369" s="1" t="s">
        <v>8781</v>
      </c>
      <c r="D3369" s="1" t="s">
        <v>8782</v>
      </c>
      <c r="P3369" s="1">
        <v>5000</v>
      </c>
      <c r="Q3369" s="1">
        <v>2175422</v>
      </c>
      <c r="R3369" s="1">
        <v>2180422</v>
      </c>
      <c r="S3369" s="1" t="s">
        <v>8766</v>
      </c>
    </row>
    <row r="3370" spans="1:37" ht="14.25" customHeight="1" x14ac:dyDescent="0.2">
      <c r="A3370" s="1" t="s">
        <v>4811</v>
      </c>
      <c r="B3370" s="1" t="s">
        <v>4812</v>
      </c>
      <c r="C3370" s="1" t="s">
        <v>8783</v>
      </c>
      <c r="D3370" s="1" t="s">
        <v>8784</v>
      </c>
      <c r="P3370" s="1">
        <v>875000</v>
      </c>
      <c r="Q3370" s="1">
        <v>4062638</v>
      </c>
      <c r="R3370" s="1">
        <v>4937638</v>
      </c>
      <c r="S3370" s="1" t="s">
        <v>8766</v>
      </c>
    </row>
    <row r="3371" spans="1:37" ht="14.25" customHeight="1" x14ac:dyDescent="0.2">
      <c r="A3371" s="1" t="s">
        <v>4811</v>
      </c>
      <c r="B3371" s="1" t="s">
        <v>4812</v>
      </c>
      <c r="C3371" s="1" t="s">
        <v>8785</v>
      </c>
      <c r="D3371" s="1" t="s">
        <v>8786</v>
      </c>
      <c r="P3371" s="1">
        <v>41421</v>
      </c>
      <c r="Q3371" s="1">
        <v>6086266</v>
      </c>
      <c r="R3371" s="1">
        <v>6127687</v>
      </c>
      <c r="S3371" s="1" t="s">
        <v>8766</v>
      </c>
    </row>
    <row r="3372" spans="1:37" ht="14.25" customHeight="1" x14ac:dyDescent="0.2">
      <c r="A3372" s="1" t="s">
        <v>4811</v>
      </c>
      <c r="B3372" s="1" t="s">
        <v>4812</v>
      </c>
      <c r="C3372" s="1" t="s">
        <v>8787</v>
      </c>
      <c r="D3372" s="1" t="s">
        <v>8788</v>
      </c>
      <c r="P3372" s="1">
        <v>25000</v>
      </c>
      <c r="Q3372" s="1">
        <v>914</v>
      </c>
      <c r="R3372" s="1">
        <v>25914</v>
      </c>
      <c r="S3372" s="1" t="s">
        <v>8766</v>
      </c>
    </row>
    <row r="3373" spans="1:37" x14ac:dyDescent="0.2">
      <c r="A3373" t="s">
        <v>37</v>
      </c>
      <c r="B3373" t="s">
        <v>38</v>
      </c>
      <c r="D3373" t="s">
        <v>8789</v>
      </c>
      <c r="E3373">
        <v>1</v>
      </c>
      <c r="F3373" t="s">
        <v>4669</v>
      </c>
      <c r="G3373" t="s">
        <v>8790</v>
      </c>
      <c r="U3373" t="s">
        <v>44</v>
      </c>
      <c r="V3373" t="s">
        <v>45</v>
      </c>
      <c r="W3373" t="s">
        <v>130</v>
      </c>
      <c r="Y3373" t="s">
        <v>8791</v>
      </c>
      <c r="AF3373" t="s">
        <v>50</v>
      </c>
      <c r="AG3373" t="s">
        <v>134</v>
      </c>
      <c r="AJ3373">
        <v>93380</v>
      </c>
      <c r="AK3373">
        <v>93380</v>
      </c>
    </row>
    <row r="3374" spans="1:37" x14ac:dyDescent="0.2">
      <c r="A3374" t="s">
        <v>37</v>
      </c>
      <c r="B3374" t="s">
        <v>38</v>
      </c>
      <c r="D3374" t="s">
        <v>8792</v>
      </c>
      <c r="E3374">
        <v>1</v>
      </c>
      <c r="F3374" t="s">
        <v>61</v>
      </c>
      <c r="G3374" t="s">
        <v>8793</v>
      </c>
      <c r="U3374" t="s">
        <v>44</v>
      </c>
      <c r="V3374" t="s">
        <v>45</v>
      </c>
      <c r="W3374" t="s">
        <v>130</v>
      </c>
      <c r="Y3374" t="s">
        <v>8794</v>
      </c>
      <c r="AF3374" t="s">
        <v>50</v>
      </c>
      <c r="AG3374" t="s">
        <v>134</v>
      </c>
      <c r="AI3374">
        <v>1000000</v>
      </c>
      <c r="AK3374">
        <v>1000000</v>
      </c>
    </row>
    <row r="3375" spans="1:37" x14ac:dyDescent="0.2">
      <c r="A3375" t="s">
        <v>37</v>
      </c>
      <c r="B3375" t="s">
        <v>38</v>
      </c>
      <c r="D3375" t="s">
        <v>8795</v>
      </c>
      <c r="E3375">
        <v>1</v>
      </c>
      <c r="F3375" t="s">
        <v>41</v>
      </c>
      <c r="G3375" t="s">
        <v>8796</v>
      </c>
      <c r="U3375" t="s">
        <v>44</v>
      </c>
      <c r="V3375" t="s">
        <v>45</v>
      </c>
      <c r="W3375" t="s">
        <v>130</v>
      </c>
      <c r="X3375" t="s">
        <v>164</v>
      </c>
      <c r="Y3375" t="s">
        <v>8797</v>
      </c>
      <c r="AF3375" t="s">
        <v>50</v>
      </c>
      <c r="AG3375" t="s">
        <v>159</v>
      </c>
      <c r="AI3375">
        <v>1429000</v>
      </c>
      <c r="AK3375">
        <v>1429000</v>
      </c>
    </row>
    <row r="3376" spans="1:37" x14ac:dyDescent="0.2">
      <c r="A3376" t="s">
        <v>37</v>
      </c>
      <c r="B3376" t="s">
        <v>38</v>
      </c>
      <c r="D3376" t="s">
        <v>8798</v>
      </c>
      <c r="E3376">
        <v>1</v>
      </c>
      <c r="F3376" t="s">
        <v>41</v>
      </c>
      <c r="G3376" t="s">
        <v>8799</v>
      </c>
      <c r="U3376" t="s">
        <v>44</v>
      </c>
      <c r="V3376" t="s">
        <v>45</v>
      </c>
      <c r="W3376" t="s">
        <v>5084</v>
      </c>
      <c r="X3376" t="s">
        <v>5085</v>
      </c>
      <c r="Y3376" t="s">
        <v>8800</v>
      </c>
      <c r="AF3376" t="s">
        <v>50</v>
      </c>
      <c r="AG3376" t="s">
        <v>253</v>
      </c>
      <c r="AI3376">
        <v>4444000</v>
      </c>
      <c r="AK3376">
        <v>4444000</v>
      </c>
    </row>
    <row r="3377" spans="1:37" x14ac:dyDescent="0.2">
      <c r="A3377" t="s">
        <v>37</v>
      </c>
      <c r="B3377" t="s">
        <v>38</v>
      </c>
      <c r="D3377" t="s">
        <v>8801</v>
      </c>
      <c r="E3377">
        <v>1</v>
      </c>
      <c r="F3377" t="s">
        <v>41</v>
      </c>
      <c r="G3377" t="s">
        <v>8802</v>
      </c>
      <c r="U3377" t="s">
        <v>44</v>
      </c>
      <c r="V3377" t="s">
        <v>45</v>
      </c>
      <c r="W3377" t="s">
        <v>249</v>
      </c>
      <c r="Y3377" t="s">
        <v>8803</v>
      </c>
      <c r="AF3377" t="s">
        <v>50</v>
      </c>
      <c r="AG3377" t="s">
        <v>253</v>
      </c>
      <c r="AJ3377">
        <v>200000</v>
      </c>
      <c r="AK3377">
        <v>200000</v>
      </c>
    </row>
    <row r="3378" spans="1:37" x14ac:dyDescent="0.2">
      <c r="A3378" t="s">
        <v>37</v>
      </c>
      <c r="B3378" t="s">
        <v>38</v>
      </c>
      <c r="D3378" t="s">
        <v>8804</v>
      </c>
      <c r="E3378">
        <v>1</v>
      </c>
      <c r="F3378" t="s">
        <v>61</v>
      </c>
      <c r="G3378" t="s">
        <v>8805</v>
      </c>
      <c r="U3378" t="s">
        <v>221</v>
      </c>
      <c r="V3378" t="s">
        <v>45</v>
      </c>
      <c r="W3378" t="s">
        <v>235</v>
      </c>
      <c r="Y3378" t="s">
        <v>8806</v>
      </c>
      <c r="AF3378" t="s">
        <v>50</v>
      </c>
      <c r="AG3378" t="s">
        <v>235</v>
      </c>
    </row>
    <row r="3379" spans="1:37" x14ac:dyDescent="0.2">
      <c r="A3379" t="s">
        <v>37</v>
      </c>
      <c r="B3379" t="s">
        <v>38</v>
      </c>
      <c r="D3379" t="s">
        <v>8807</v>
      </c>
      <c r="E3379">
        <v>1</v>
      </c>
      <c r="F3379" t="s">
        <v>41</v>
      </c>
      <c r="G3379" t="s">
        <v>8808</v>
      </c>
      <c r="U3379" t="s">
        <v>221</v>
      </c>
      <c r="V3379" t="s">
        <v>45</v>
      </c>
      <c r="W3379" t="s">
        <v>235</v>
      </c>
      <c r="Y3379" t="s">
        <v>8809</v>
      </c>
      <c r="AF3379" t="s">
        <v>50</v>
      </c>
      <c r="AG3379" t="s">
        <v>235</v>
      </c>
      <c r="AI3379">
        <v>450000</v>
      </c>
      <c r="AK3379">
        <v>450000</v>
      </c>
    </row>
    <row r="3380" spans="1:37" x14ac:dyDescent="0.2">
      <c r="A3380" t="s">
        <v>37</v>
      </c>
      <c r="B3380" t="s">
        <v>38</v>
      </c>
      <c r="D3380" t="s">
        <v>8810</v>
      </c>
      <c r="E3380">
        <v>1</v>
      </c>
      <c r="F3380" t="s">
        <v>41</v>
      </c>
      <c r="G3380" t="s">
        <v>8811</v>
      </c>
      <c r="U3380" t="s">
        <v>221</v>
      </c>
      <c r="V3380" t="s">
        <v>272</v>
      </c>
      <c r="W3380" t="s">
        <v>5147</v>
      </c>
      <c r="X3380" t="s">
        <v>5148</v>
      </c>
      <c r="Y3380" t="s">
        <v>8812</v>
      </c>
      <c r="AF3380" t="s">
        <v>50</v>
      </c>
      <c r="AG3380" t="s">
        <v>253</v>
      </c>
      <c r="AJ3380">
        <v>650000</v>
      </c>
      <c r="AK3380">
        <v>650000</v>
      </c>
    </row>
    <row r="3381" spans="1:37" x14ac:dyDescent="0.2">
      <c r="A3381" t="s">
        <v>37</v>
      </c>
      <c r="B3381" t="s">
        <v>38</v>
      </c>
      <c r="D3381" t="s">
        <v>8813</v>
      </c>
      <c r="E3381">
        <v>1</v>
      </c>
      <c r="F3381" t="s">
        <v>6595</v>
      </c>
      <c r="G3381" t="s">
        <v>8814</v>
      </c>
      <c r="U3381" t="s">
        <v>44</v>
      </c>
      <c r="V3381" t="s">
        <v>355</v>
      </c>
      <c r="W3381" t="s">
        <v>8815</v>
      </c>
      <c r="Y3381" t="s">
        <v>8816</v>
      </c>
      <c r="AF3381" t="s">
        <v>50</v>
      </c>
      <c r="AG3381" t="s">
        <v>253</v>
      </c>
      <c r="AJ3381">
        <v>272500</v>
      </c>
      <c r="AK3381">
        <v>272500</v>
      </c>
    </row>
  </sheetData>
  <autoFilter ref="A4:AH3372" xr:uid="{00000000-0009-0000-0000-000000000000}"/>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14F"/>
  </sheetPr>
  <dimension ref="A1:AP100"/>
  <sheetViews>
    <sheetView showGridLines="0" topLeftCell="A45" zoomScale="84" zoomScaleNormal="84" workbookViewId="0">
      <selection activeCell="O91" sqref="O91:T99"/>
    </sheetView>
  </sheetViews>
  <sheetFormatPr baseColWidth="10" defaultColWidth="8.83203125" defaultRowHeight="11" x14ac:dyDescent="0.15"/>
  <cols>
    <col min="1" max="1" width="34" style="1" customWidth="1"/>
    <col min="2" max="39" width="16.1640625" style="1" customWidth="1"/>
    <col min="40" max="41" width="8.6640625" style="1" customWidth="1"/>
    <col min="42" max="42" width="8.83203125" style="1" customWidth="1"/>
    <col min="43" max="16384" width="8.83203125" style="1"/>
  </cols>
  <sheetData>
    <row r="1" spans="1:42" ht="10.5" customHeight="1" x14ac:dyDescent="0.15">
      <c r="A1" s="2" t="s">
        <v>8817</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row>
    <row r="2" spans="1:42" ht="9.75" customHeight="1" x14ac:dyDescent="0.15">
      <c r="A2" s="3" t="s">
        <v>8818</v>
      </c>
      <c r="B2" s="4"/>
      <c r="C2" s="4"/>
      <c r="D2" s="4"/>
    </row>
    <row r="3" spans="1:42" ht="9.75" customHeight="1" x14ac:dyDescent="0.15">
      <c r="A3" s="4"/>
      <c r="B3" s="4"/>
      <c r="C3" s="4"/>
      <c r="D3" s="4"/>
    </row>
    <row r="4" spans="1:42" ht="10.5" customHeight="1" x14ac:dyDescent="0.15">
      <c r="A4" s="11" t="s">
        <v>8819</v>
      </c>
      <c r="B4" s="11"/>
      <c r="C4" s="11"/>
      <c r="D4" s="11"/>
    </row>
    <row r="5" spans="1:42" ht="10.5" customHeight="1" x14ac:dyDescent="0.15">
      <c r="A5" s="12" t="s">
        <v>8820</v>
      </c>
      <c r="B5" s="13" t="s">
        <v>10</v>
      </c>
      <c r="C5" s="13" t="s">
        <v>11</v>
      </c>
      <c r="D5" s="13" t="s">
        <v>8821</v>
      </c>
    </row>
    <row r="6" spans="1:42" ht="9.75" customHeight="1" x14ac:dyDescent="0.15">
      <c r="A6" s="7" t="s">
        <v>8822</v>
      </c>
      <c r="B6" s="14">
        <f>SUMIFS('J Book Items Cons.'!I$5:I$3360,'J Book Items Cons.'!E$5:E$3360,1,'J Book Items Cons.'!S$5:S$3360,"")+SUMIFS('J Book Items Cons.'!I$5:I$3360,'J Book Items Cons.'!E$5:E$3360,1,'J Book Items Cons.'!S$5:S$3360,"[PARENT]")</f>
        <v>29890816</v>
      </c>
      <c r="C6" s="14">
        <f>SUMIFS('J Book Items Cons.'!J$5:J$3360,'J Book Items Cons.'!E$5:E$3360,1,'J Book Items Cons.'!S$5:S$3360,"")+SUMIFS('J Book Items Cons.'!J$5:J$3360,'J Book Items Cons.'!E$5:E$3360,1,'J Book Items Cons.'!S$5:S$3360,"[PARENT]")</f>
        <v>40237263</v>
      </c>
      <c r="D6" s="14">
        <f>SUMIFS('J Book Items Cons.'!R$5:R$3360,'J Book Items Cons.'!E$5:E$3360,1,'J Book Items Cons.'!S$5:S$3360,"",'J Book Items Cons.'!R$5:R$3360,"&lt;&gt;")+SUMIFS('J Book Items Cons.'!N$5:N$3360,'J Book Items Cons.'!E$5:E$3360,1,'J Book Items Cons.'!S$5:S$3360,"",'J Book Items Cons.'!R$5:R$3360,"",'J Book Items Cons.'!N$5:N$3360,"&lt;&gt;")+SUMIFS('J Book Items Cons.'!L$5:L$3360,'J Book Items Cons.'!E$5:E$3360,1,'J Book Items Cons.'!S$5:S$3360,"",'J Book Items Cons.'!R$5:R$3360,"",'J Book Items Cons.'!N$5:N$3360,"")+SUMIFS('J Book Items Cons.'!R$5:R$3360,'J Book Items Cons.'!E$5:E$3360,1,'J Book Items Cons.'!S$5:S$3360,"[PARENT]",'J Book Items Cons.'!R$5:R$3360,"&lt;&gt;")+SUMIFS('J Book Items Cons.'!N$5:N$3360,'J Book Items Cons.'!E$5:E$3360,1,'J Book Items Cons.'!S$5:S$3360,"[PARENT]",'J Book Items Cons.'!R$5:R$3360,"",'J Book Items Cons.'!N$5:N$3360,"&lt;&gt;")+SUMIFS('J Book Items Cons.'!L$5:L$3360,'J Book Items Cons.'!E$5:E$3360,1,'J Book Items Cons.'!S$5:S$3360,"[PARENT]",'J Book Items Cons.'!R$5:R$3360,"",'J Book Items Cons.'!N$5:N$3360,"")</f>
        <v>46283564</v>
      </c>
    </row>
    <row r="7" spans="1:42" ht="9.75" customHeight="1" x14ac:dyDescent="0.15">
      <c r="A7" s="7" t="s">
        <v>8823</v>
      </c>
      <c r="B7" s="14">
        <f>SUMIFS('J Book Items Cons.'!I$5:I$3360,'J Book Items Cons.'!E$5:E$3360,2,'J Book Items Cons.'!S$5:S$3360,"")+SUMIFS('J Book Items Cons.'!I$5:I$3360,'J Book Items Cons.'!E$5:E$3360,2,'J Book Items Cons.'!S$5:S$3360,"[PARENT]")</f>
        <v>37269830</v>
      </c>
      <c r="C7" s="14">
        <f>SUMIFS('J Book Items Cons.'!J$5:J$3360,'J Book Items Cons.'!E$5:E$3360,2,'J Book Items Cons.'!S$5:S$3360,"")+SUMIFS('J Book Items Cons.'!J$5:J$3360,'J Book Items Cons.'!E$5:E$3360,2,'J Book Items Cons.'!S$5:S$3360,"[PARENT]")</f>
        <v>39088381</v>
      </c>
      <c r="D7" s="14">
        <f>SUMIFS('J Book Items Cons.'!R$5:R$3360,'J Book Items Cons.'!E$5:E$3360,2,'J Book Items Cons.'!S$5:S$3360,"",'J Book Items Cons.'!R$5:R$3360,"&lt;&gt;")+SUMIFS('J Book Items Cons.'!N$5:N$3360,'J Book Items Cons.'!E$5:E$3360,2,'J Book Items Cons.'!S$5:S$3360,"",'J Book Items Cons.'!R$5:R$3360,"",'J Book Items Cons.'!N$5:N$3360,"&lt;&gt;")+SUMIFS('J Book Items Cons.'!L$5:L$3360,'J Book Items Cons.'!E$5:E$3360,2,'J Book Items Cons.'!S$5:S$3360,"",'J Book Items Cons.'!R$5:R$3360,"",'J Book Items Cons.'!N$5:N$3360,"")+SUMIFS('J Book Items Cons.'!R$5:R$3360,'J Book Items Cons.'!E$5:E$3360,2,'J Book Items Cons.'!S$5:S$3360,"[PARENT]",'J Book Items Cons.'!R$5:R$3360,"&lt;&gt;")+SUMIFS('J Book Items Cons.'!N$5:N$3360,'J Book Items Cons.'!E$5:E$3360,2,'J Book Items Cons.'!S$5:S$3360,"[PARENT]",'J Book Items Cons.'!R$5:R$3360,"",'J Book Items Cons.'!N$5:N$3360,"&lt;&gt;")+SUMIFS('J Book Items Cons.'!L$5:L$3360,'J Book Items Cons.'!E$5:E$3360,2,'J Book Items Cons.'!S$5:S$3360,"[PARENT]",'J Book Items Cons.'!R$5:R$3360,"",'J Book Items Cons.'!N$5:N$3360,"")</f>
        <v>38741703</v>
      </c>
    </row>
    <row r="8" spans="1:42" ht="9.75" customHeight="1" x14ac:dyDescent="0.15">
      <c r="A8" s="7" t="s">
        <v>8824</v>
      </c>
      <c r="B8" s="14">
        <f>SUMIFS('J Book Items Cons.'!I$5:I$3360,'J Book Items Cons.'!E$5:E$3360,3,'J Book Items Cons.'!S$5:S$3360,"")+SUMIFS('J Book Items Cons.'!I$5:I$3360,'J Book Items Cons.'!E$5:E$3360,3,'J Book Items Cons.'!S$5:S$3360,"[PARENT]")</f>
        <v>284912</v>
      </c>
      <c r="C8" s="14">
        <f>SUMIFS('J Book Items Cons.'!J$5:J$3360,'J Book Items Cons.'!E$5:E$3360,3,'J Book Items Cons.'!S$5:S$3360,"")+SUMIFS('J Book Items Cons.'!J$5:J$3360,'J Book Items Cons.'!E$5:E$3360,3,'J Book Items Cons.'!S$5:S$3360,"[PARENT]")</f>
        <v>361666</v>
      </c>
      <c r="D8" s="14">
        <f>SUMIFS('J Book Items Cons.'!R$5:R$3360,'J Book Items Cons.'!E$5:E$3360,3,'J Book Items Cons.'!S$5:S$3360,"",'J Book Items Cons.'!R$5:R$3360,"&lt;&gt;")+SUMIFS('J Book Items Cons.'!N$5:N$3360,'J Book Items Cons.'!E$5:E$3360,3,'J Book Items Cons.'!S$5:S$3360,"",'J Book Items Cons.'!R$5:R$3360,"",'J Book Items Cons.'!N$5:N$3360,"&lt;&gt;")+SUMIFS('J Book Items Cons.'!L$5:L$3360,'J Book Items Cons.'!E$5:E$3360,3,'J Book Items Cons.'!S$5:S$3360,"",'J Book Items Cons.'!R$5:R$3360,"",'J Book Items Cons.'!N$5:N$3360,"")+SUMIFS('J Book Items Cons.'!R$5:R$3360,'J Book Items Cons.'!E$5:E$3360,3,'J Book Items Cons.'!S$5:S$3360,"[PARENT]",'J Book Items Cons.'!R$5:R$3360,"&lt;&gt;")+SUMIFS('J Book Items Cons.'!N$5:N$3360,'J Book Items Cons.'!E$5:E$3360,3,'J Book Items Cons.'!S$5:S$3360,"[PARENT]",'J Book Items Cons.'!R$5:R$3360,"",'J Book Items Cons.'!N$5:N$3360,"&lt;&gt;")+SUMIFS('J Book Items Cons.'!L$5:L$3360,'J Book Items Cons.'!E$5:E$3360,3,'J Book Items Cons.'!S$5:S$3360,"[PARENT]",'J Book Items Cons.'!R$5:R$3360,"",'J Book Items Cons.'!N$5:N$3360,"")</f>
        <v>343555</v>
      </c>
    </row>
    <row r="9" spans="1:42" ht="9.75" customHeight="1" x14ac:dyDescent="0.15">
      <c r="A9" s="7" t="s">
        <v>8825</v>
      </c>
      <c r="B9" s="14">
        <f>SUMIFS('J Book Items Cons.'!I$5:I$3360,'J Book Items Cons.'!E$5:E$3360,4,'J Book Items Cons.'!S$5:S$3360,"")+SUMIFS('J Book Items Cons.'!I$5:I$3360,'J Book Items Cons.'!E$5:E$3360,4,'J Book Items Cons.'!S$5:S$3360,"[PARENT]")</f>
        <v>19746974</v>
      </c>
      <c r="C9" s="14">
        <f>SUMIFS('J Book Items Cons.'!J$5:J$3360,'J Book Items Cons.'!E$5:E$3360,4,'J Book Items Cons.'!S$5:S$3360,"")+SUMIFS('J Book Items Cons.'!J$5:J$3360,'J Book Items Cons.'!E$5:E$3360,4,'J Book Items Cons.'!S$5:S$3360,"[PARENT]")</f>
        <v>18811747</v>
      </c>
      <c r="D9" s="14">
        <f>SUMIFS('J Book Items Cons.'!R$5:R$3360,'J Book Items Cons.'!E$5:E$3360,4,'J Book Items Cons.'!S$5:S$3360,"",'J Book Items Cons.'!R$5:R$3360,"&lt;&gt;")+SUMIFS('J Book Items Cons.'!N$5:N$3360,'J Book Items Cons.'!E$5:E$3360,4,'J Book Items Cons.'!S$5:S$3360,"",'J Book Items Cons.'!R$5:R$3360,"",'J Book Items Cons.'!N$5:N$3360,"&lt;&gt;")+SUMIFS('J Book Items Cons.'!L$5:L$3360,'J Book Items Cons.'!E$5:E$3360,4,'J Book Items Cons.'!S$5:S$3360,"",'J Book Items Cons.'!R$5:R$3360,"",'J Book Items Cons.'!N$5:N$3360,"")+SUMIFS('J Book Items Cons.'!R$5:R$3360,'J Book Items Cons.'!E$5:E$3360,4,'J Book Items Cons.'!S$5:S$3360,"[PARENT]",'J Book Items Cons.'!R$5:R$3360,"&lt;&gt;")+SUMIFS('J Book Items Cons.'!N$5:N$3360,'J Book Items Cons.'!E$5:E$3360,4,'J Book Items Cons.'!S$5:S$3360,"[PARENT]",'J Book Items Cons.'!R$5:R$3360,"",'J Book Items Cons.'!N$5:N$3360,"&lt;&gt;")+SUMIFS('J Book Items Cons.'!L$5:L$3360,'J Book Items Cons.'!E$5:E$3360,4,'J Book Items Cons.'!S$5:S$3360,"[PARENT]",'J Book Items Cons.'!R$5:R$3360,"",'J Book Items Cons.'!N$5:N$3360,"")</f>
        <v>21357621</v>
      </c>
    </row>
    <row r="10" spans="1:42" ht="9.75" customHeight="1" x14ac:dyDescent="0.15">
      <c r="A10" s="7" t="s">
        <v>8826</v>
      </c>
      <c r="B10" s="14">
        <f>SUMIFS('J Book Items Cons.'!I$5:I$3360,'J Book Items Cons.'!E$5:E$3360,5,'J Book Items Cons.'!S$5:S$3360,"")+SUMIFS('J Book Items Cons.'!I$5:I$3360,'J Book Items Cons.'!E$5:E$3360,5,'J Book Items Cons.'!S$5:S$3360,"[PARENT]")</f>
        <v>676676</v>
      </c>
      <c r="C10" s="14">
        <f>SUMIFS('J Book Items Cons.'!J$5:J$3360,'J Book Items Cons.'!E$5:E$3360,5,'J Book Items Cons.'!S$5:S$3360,"")+SUMIFS('J Book Items Cons.'!J$5:J$3360,'J Book Items Cons.'!E$5:E$3360,5,'J Book Items Cons.'!S$5:S$3360,"[PARENT]")</f>
        <v>1652753</v>
      </c>
      <c r="D10" s="14">
        <f>SUMIFS('J Book Items Cons.'!R$5:R$3360,'J Book Items Cons.'!E$5:E$3360,5,'J Book Items Cons.'!S$5:S$3360,"",'J Book Items Cons.'!R$5:R$3360,"&lt;&gt;")+SUMIFS('J Book Items Cons.'!N$5:N$3360,'J Book Items Cons.'!E$5:E$3360,5,'J Book Items Cons.'!S$5:S$3360,"",'J Book Items Cons.'!R$5:R$3360,"",'J Book Items Cons.'!N$5:N$3360,"&lt;&gt;")+SUMIFS('J Book Items Cons.'!L$5:L$3360,'J Book Items Cons.'!E$5:E$3360,5,'J Book Items Cons.'!S$5:S$3360,"",'J Book Items Cons.'!R$5:R$3360,"",'J Book Items Cons.'!N$5:N$3360,"")+SUMIFS('J Book Items Cons.'!R$5:R$3360,'J Book Items Cons.'!E$5:E$3360,5,'J Book Items Cons.'!S$5:S$3360,"[PARENT]",'J Book Items Cons.'!R$5:R$3360,"&lt;&gt;")+SUMIFS('J Book Items Cons.'!N$5:N$3360,'J Book Items Cons.'!E$5:E$3360,5,'J Book Items Cons.'!S$5:S$3360,"[PARENT]",'J Book Items Cons.'!R$5:R$3360,"",'J Book Items Cons.'!N$5:N$3360,"&lt;&gt;")+SUMIFS('J Book Items Cons.'!L$5:L$3360,'J Book Items Cons.'!E$5:E$3360,5,'J Book Items Cons.'!S$5:S$3360,"[PARENT]",'J Book Items Cons.'!R$5:R$3360,"",'J Book Items Cons.'!N$5:N$3360,"")</f>
        <v>1787677</v>
      </c>
    </row>
    <row r="11" spans="1:42" ht="9.75" customHeight="1" x14ac:dyDescent="0.15">
      <c r="A11" s="7" t="s">
        <v>8827</v>
      </c>
      <c r="B11" s="14">
        <f>SUMIFS('J Book Items Cons.'!I$5:I$3360,'J Book Items Cons.'!E$5:E$3360,6,'J Book Items Cons.'!S$5:S$3360,"")+SUMIFS('J Book Items Cons.'!I$5:I$3360,'J Book Items Cons.'!E$5:E$3360,6,'J Book Items Cons.'!S$5:S$3360,"[PARENT]")</f>
        <v>90552702</v>
      </c>
      <c r="C11" s="14">
        <f>SUMIFS('J Book Items Cons.'!J$5:J$3360,'J Book Items Cons.'!E$5:E$3360,6,'J Book Items Cons.'!S$5:S$3360,"")+SUMIFS('J Book Items Cons.'!J$5:J$3360,'J Book Items Cons.'!E$5:E$3360,6,'J Book Items Cons.'!S$5:S$3360,"[PARENT]")</f>
        <v>90572718</v>
      </c>
      <c r="D11" s="14">
        <f>SUMIFS('J Book Items Cons.'!R$5:R$3360,'J Book Items Cons.'!E$5:E$3360,6,'J Book Items Cons.'!S$5:S$3360,"",'J Book Items Cons.'!R$5:R$3360,"&lt;&gt;")+SUMIFS('J Book Items Cons.'!N$5:N$3360,'J Book Items Cons.'!E$5:E$3360,6,'J Book Items Cons.'!S$5:S$3360,"",'J Book Items Cons.'!R$5:R$3360,"",'J Book Items Cons.'!N$5:N$3360,"&lt;&gt;")+SUMIFS('J Book Items Cons.'!L$5:L$3360,'J Book Items Cons.'!E$5:E$3360,6,'J Book Items Cons.'!S$5:S$3360,"",'J Book Items Cons.'!R$5:R$3360,"",'J Book Items Cons.'!N$5:N$3360,"")+SUMIFS('J Book Items Cons.'!R$5:R$3360,'J Book Items Cons.'!E$5:E$3360,6,'J Book Items Cons.'!S$5:S$3360,"[PARENT]",'J Book Items Cons.'!R$5:R$3360,"&lt;&gt;")+SUMIFS('J Book Items Cons.'!N$5:N$3360,'J Book Items Cons.'!E$5:E$3360,6,'J Book Items Cons.'!S$5:S$3360,"[PARENT]",'J Book Items Cons.'!R$5:R$3360,"",'J Book Items Cons.'!N$5:N$3360,"&lt;&gt;")+SUMIFS('J Book Items Cons.'!L$5:L$3360,'J Book Items Cons.'!E$5:E$3360,6,'J Book Items Cons.'!S$5:S$3360,"[PARENT]",'J Book Items Cons.'!R$5:R$3360,"",'J Book Items Cons.'!N$5:N$3360,"")</f>
        <v>95431505</v>
      </c>
    </row>
    <row r="12" spans="1:42" ht="9.75" customHeight="1" x14ac:dyDescent="0.15">
      <c r="A12" s="7" t="s">
        <v>8828</v>
      </c>
      <c r="B12" s="14">
        <f>SUMIFS('J Book Items Cons.'!I$5:I$3360,'J Book Items Cons.'!E$5:E$3360,7,'J Book Items Cons.'!S$5:S$3360,"")+SUMIFS('J Book Items Cons.'!I$5:I$3360,'J Book Items Cons.'!E$5:E$3360,7,'J Book Items Cons.'!S$5:S$3360,"[PARENT]")</f>
        <v>13031655</v>
      </c>
      <c r="C12" s="14">
        <f>SUMIFS('J Book Items Cons.'!J$5:J$3360,'J Book Items Cons.'!E$5:E$3360,7,'J Book Items Cons.'!S$5:S$3360,"")+SUMIFS('J Book Items Cons.'!J$5:J$3360,'J Book Items Cons.'!E$5:E$3360,7,'J Book Items Cons.'!S$5:S$3360,"[PARENT]")</f>
        <v>12708782</v>
      </c>
      <c r="D12" s="14">
        <f>SUMIFS('J Book Items Cons.'!R$5:R$3360,'J Book Items Cons.'!E$5:E$3360,7,'J Book Items Cons.'!S$5:S$3360,"",'J Book Items Cons.'!R$5:R$3360,"&lt;&gt;")+SUMIFS('J Book Items Cons.'!N$5:N$3360,'J Book Items Cons.'!E$5:E$3360,7,'J Book Items Cons.'!S$5:S$3360,"",'J Book Items Cons.'!R$5:R$3360,"",'J Book Items Cons.'!N$5:N$3360,"&lt;&gt;")+SUMIFS('J Book Items Cons.'!L$5:L$3360,'J Book Items Cons.'!E$5:E$3360,7,'J Book Items Cons.'!S$5:S$3360,"",'J Book Items Cons.'!R$5:R$3360,"",'J Book Items Cons.'!N$5:N$3360,"")+SUMIFS('J Book Items Cons.'!R$5:R$3360,'J Book Items Cons.'!E$5:E$3360,7,'J Book Items Cons.'!S$5:S$3360,"[PARENT]",'J Book Items Cons.'!R$5:R$3360,"&lt;&gt;")+SUMIFS('J Book Items Cons.'!N$5:N$3360,'J Book Items Cons.'!E$5:E$3360,7,'J Book Items Cons.'!S$5:S$3360,"[PARENT]",'J Book Items Cons.'!R$5:R$3360,"",'J Book Items Cons.'!N$5:N$3360,"&lt;&gt;")+SUMIFS('J Book Items Cons.'!L$5:L$3360,'J Book Items Cons.'!E$5:E$3360,7,'J Book Items Cons.'!S$5:S$3360,"[PARENT]",'J Book Items Cons.'!R$5:R$3360,"",'J Book Items Cons.'!N$5:N$3360,"")</f>
        <v>9664371</v>
      </c>
    </row>
    <row r="13" spans="1:42" ht="10.5" customHeight="1" x14ac:dyDescent="0.15">
      <c r="A13" s="15" t="s">
        <v>8829</v>
      </c>
      <c r="B13" s="16">
        <f>SUM(B6:B12)</f>
        <v>191453565</v>
      </c>
      <c r="C13" s="16">
        <f>SUM(C6:C12)</f>
        <v>203433310</v>
      </c>
      <c r="D13" s="16">
        <f>SUM(D6:D12)</f>
        <v>213609996</v>
      </c>
    </row>
    <row r="16" spans="1:42" ht="10.5" customHeight="1" x14ac:dyDescent="0.15">
      <c r="A16" s="11" t="s">
        <v>8830</v>
      </c>
      <c r="B16" s="11"/>
      <c r="C16" s="11"/>
      <c r="D16" s="11"/>
      <c r="E16" s="11"/>
      <c r="F16" s="17"/>
      <c r="G16" s="17"/>
      <c r="H16" s="17"/>
      <c r="I16" s="17"/>
      <c r="J16" s="17"/>
      <c r="K16" s="17"/>
      <c r="L16" s="17"/>
      <c r="M16" s="17"/>
      <c r="N16" s="17"/>
      <c r="O16" s="17"/>
      <c r="P16" s="17"/>
      <c r="Q16" s="17"/>
      <c r="R16" s="17"/>
      <c r="S16" s="17"/>
      <c r="T16" s="17"/>
      <c r="U16" s="17"/>
      <c r="V16" s="17"/>
      <c r="W16" s="17"/>
      <c r="X16" s="17"/>
      <c r="Y16" s="17"/>
      <c r="AD16" s="17"/>
      <c r="AE16" s="17"/>
      <c r="AF16" s="17"/>
      <c r="AG16" s="17"/>
      <c r="AH16" s="17"/>
      <c r="AI16" s="17"/>
      <c r="AJ16" s="17"/>
      <c r="AK16" s="17"/>
      <c r="AL16" s="17"/>
      <c r="AM16" s="17"/>
      <c r="AN16" s="17"/>
      <c r="AO16" s="17"/>
      <c r="AP16" s="17"/>
    </row>
    <row r="17" spans="1:42" ht="10.5" customHeight="1" x14ac:dyDescent="0.15">
      <c r="A17" s="12" t="s">
        <v>8820</v>
      </c>
      <c r="B17" s="12" t="s">
        <v>44</v>
      </c>
      <c r="C17" s="12" t="s">
        <v>221</v>
      </c>
      <c r="D17" s="12" t="s">
        <v>7086</v>
      </c>
      <c r="E17" s="13" t="s">
        <v>8831</v>
      </c>
      <c r="F17" s="7"/>
      <c r="G17" s="7"/>
      <c r="H17" s="7"/>
      <c r="I17" s="7"/>
      <c r="J17" s="7"/>
      <c r="K17" s="7"/>
      <c r="L17" s="7"/>
      <c r="M17" s="7"/>
      <c r="N17" s="7"/>
      <c r="O17" s="7"/>
      <c r="P17" s="7"/>
      <c r="Q17" s="7"/>
      <c r="R17" s="7"/>
      <c r="S17" s="7"/>
      <c r="T17" s="7"/>
      <c r="U17" s="7"/>
      <c r="V17" s="7"/>
      <c r="W17" s="7"/>
      <c r="X17" s="7"/>
      <c r="Y17" s="7"/>
      <c r="AD17" s="7"/>
      <c r="AE17" s="7"/>
      <c r="AF17" s="7"/>
      <c r="AG17" s="7"/>
      <c r="AH17" s="7"/>
      <c r="AI17" s="7"/>
      <c r="AJ17" s="7"/>
      <c r="AK17" s="7"/>
      <c r="AL17" s="7"/>
      <c r="AM17" s="7"/>
      <c r="AN17" s="7"/>
      <c r="AO17" s="7"/>
      <c r="AP17" s="7"/>
    </row>
    <row r="18" spans="1:42" ht="9.75" customHeight="1" x14ac:dyDescent="0.15">
      <c r="A18" s="7" t="s">
        <v>8822</v>
      </c>
      <c r="B18" s="14">
        <f>SUMIFS('J Book Items Cons.'!R$5:R$3360,'J Book Items Cons.'!E$5:E$3360,1,'J Book Items Cons.'!S$5:S$3360,"",'J Book Items Cons.'!U$5:U$3360,"USN",'J Book Items Cons.'!R$5:R$3360,"&lt;&gt;")+SUMIFS('J Book Items Cons.'!N$5:N$3360,'J Book Items Cons.'!E$5:E$3360,1,'J Book Items Cons.'!S$5:S$3360,"",'J Book Items Cons.'!U$5:U$3360,"USN",'J Book Items Cons.'!R$5:R$3360,"",'J Book Items Cons.'!N$5:N$3360,"&lt;&gt;")+SUMIFS('J Book Items Cons.'!L$5:L$3360,'J Book Items Cons.'!E$5:E$3360,1,'J Book Items Cons.'!S$5:S$3360,"",'J Book Items Cons.'!U$5:U$3360,"USN",'J Book Items Cons.'!R$5:R$3360,"",'J Book Items Cons.'!N$5:N$3360,"")+SUMIFS('J Book Items Cons.'!R$5:R$3360,'J Book Items Cons.'!E$5:E$3360,1,'J Book Items Cons.'!S$5:S$3360,"[PARENT]",'J Book Items Cons.'!U$5:U$3360,"USN",'J Book Items Cons.'!R$5:R$3360,"&lt;&gt;")+SUMIFS('J Book Items Cons.'!N$5:N$3360,'J Book Items Cons.'!E$5:E$3360,1,'J Book Items Cons.'!S$5:S$3360,"[PARENT]",'J Book Items Cons.'!U$5:U$3360,"USN",'J Book Items Cons.'!R$5:R$3360,"",'J Book Items Cons.'!N$5:N$3360,"&lt;&gt;")+SUMIFS('J Book Items Cons.'!L$5:L$3360,'J Book Items Cons.'!E$5:E$3360,1,'J Book Items Cons.'!S$5:S$3360,"[PARENT]",'J Book Items Cons.'!U$5:U$3360,"USN",'J Book Items Cons.'!R$5:R$3360,"",'J Book Items Cons.'!N$5:N$3360,"")</f>
        <v>37654103</v>
      </c>
      <c r="C18" s="14">
        <f>SUMIFS('J Book Items Cons.'!R$5:R$3360,'J Book Items Cons.'!E$5:E$3360,1,'J Book Items Cons.'!S$5:S$3360,"",'J Book Items Cons.'!U$5:U$3360,"MSC",'J Book Items Cons.'!R$5:R$3360,"&lt;&gt;")+SUMIFS('J Book Items Cons.'!N$5:N$3360,'J Book Items Cons.'!E$5:E$3360,1,'J Book Items Cons.'!S$5:S$3360,"",'J Book Items Cons.'!U$5:U$3360,"MSC",'J Book Items Cons.'!R$5:R$3360,"",'J Book Items Cons.'!N$5:N$3360,"&lt;&gt;")+SUMIFS('J Book Items Cons.'!L$5:L$3360,'J Book Items Cons.'!E$5:E$3360,1,'J Book Items Cons.'!S$5:S$3360,"",'J Book Items Cons.'!U$5:U$3360,"MSC",'J Book Items Cons.'!R$5:R$3360,"",'J Book Items Cons.'!N$5:N$3360,"")+SUMIFS('J Book Items Cons.'!R$5:R$3360,'J Book Items Cons.'!E$5:E$3360,1,'J Book Items Cons.'!S$5:S$3360,"[PARENT]",'J Book Items Cons.'!U$5:U$3360,"MSC",'J Book Items Cons.'!R$5:R$3360,"&lt;&gt;")+SUMIFS('J Book Items Cons.'!N$5:N$3360,'J Book Items Cons.'!E$5:E$3360,1,'J Book Items Cons.'!S$5:S$3360,"[PARENT]",'J Book Items Cons.'!U$5:U$3360,"MSC",'J Book Items Cons.'!R$5:R$3360,"",'J Book Items Cons.'!N$5:N$3360,"&lt;&gt;")+SUMIFS('J Book Items Cons.'!L$5:L$3360,'J Book Items Cons.'!E$5:E$3360,1,'J Book Items Cons.'!S$5:S$3360,"[PARENT]",'J Book Items Cons.'!U$5:U$3360,"MSC",'J Book Items Cons.'!R$5:R$3360,"",'J Book Items Cons.'!N$5:N$3360,"")</f>
        <v>3505410</v>
      </c>
      <c r="D18" s="14">
        <f>SUMIFS('J Book Items Cons.'!R$5:R$3360,'J Book Items Cons.'!E$5:E$3360,1,'J Book Items Cons.'!S$5:S$3360,"",'J Book Items Cons.'!U$5:U$3360,"USCG",'J Book Items Cons.'!R$5:R$3360,"&lt;&gt;")+SUMIFS('J Book Items Cons.'!N$5:N$3360,'J Book Items Cons.'!E$5:E$3360,1,'J Book Items Cons.'!S$5:S$3360,"",'J Book Items Cons.'!U$5:U$3360,"USCG",'J Book Items Cons.'!R$5:R$3360,"",'J Book Items Cons.'!N$5:N$3360,"&lt;&gt;")+SUMIFS('J Book Items Cons.'!L$5:L$3360,'J Book Items Cons.'!E$5:E$3360,1,'J Book Items Cons.'!S$5:S$3360,"",'J Book Items Cons.'!U$5:U$3360,"USCG",'J Book Items Cons.'!R$5:R$3360,"",'J Book Items Cons.'!N$5:N$3360,"")+SUMIFS('J Book Items Cons.'!R$5:R$3360,'J Book Items Cons.'!E$5:E$3360,1,'J Book Items Cons.'!S$5:S$3360,"[PARENT]",'J Book Items Cons.'!U$5:U$3360,"USCG",'J Book Items Cons.'!R$5:R$3360,"&lt;&gt;")+SUMIFS('J Book Items Cons.'!N$5:N$3360,'J Book Items Cons.'!E$5:E$3360,1,'J Book Items Cons.'!S$5:S$3360,"[PARENT]",'J Book Items Cons.'!U$5:U$3360,"USCG",'J Book Items Cons.'!R$5:R$3360,"",'J Book Items Cons.'!N$5:N$3360,"&lt;&gt;")+SUMIFS('J Book Items Cons.'!L$5:L$3360,'J Book Items Cons.'!E$5:E$3360,1,'J Book Items Cons.'!S$5:S$3360,"[PARENT]",'J Book Items Cons.'!U$5:U$3360,"USCG",'J Book Items Cons.'!R$5:R$3360,"",'J Book Items Cons.'!N$5:N$3360,"")</f>
        <v>1256400</v>
      </c>
      <c r="E18" s="14">
        <f t="shared" ref="E18:E24" si="0">SUM(B18:D18)</f>
        <v>42415913</v>
      </c>
      <c r="F18" s="7"/>
      <c r="G18" s="7"/>
      <c r="H18" s="7"/>
      <c r="I18" s="7"/>
      <c r="J18" s="7"/>
      <c r="K18" s="7"/>
      <c r="L18" s="7"/>
      <c r="M18" s="7"/>
      <c r="N18" s="7"/>
      <c r="O18" s="7"/>
      <c r="P18" s="7"/>
      <c r="Q18" s="7"/>
      <c r="R18" s="7"/>
      <c r="S18" s="7"/>
      <c r="T18" s="7"/>
      <c r="U18" s="7"/>
      <c r="V18" s="7"/>
      <c r="W18" s="7"/>
      <c r="X18" s="7"/>
      <c r="Y18" s="7"/>
      <c r="AD18" s="7"/>
      <c r="AE18" s="7"/>
      <c r="AF18" s="7"/>
      <c r="AG18" s="7"/>
      <c r="AH18" s="7"/>
      <c r="AI18" s="7"/>
      <c r="AJ18" s="7"/>
      <c r="AK18" s="7"/>
      <c r="AL18" s="7"/>
      <c r="AM18" s="7"/>
      <c r="AN18" s="7"/>
      <c r="AO18" s="7"/>
      <c r="AP18" s="7"/>
    </row>
    <row r="19" spans="1:42" ht="9.75" customHeight="1" x14ac:dyDescent="0.15">
      <c r="A19" s="7" t="s">
        <v>8823</v>
      </c>
      <c r="B19" s="14">
        <f>SUMIFS('J Book Items Cons.'!R$5:R$3360,'J Book Items Cons.'!E$5:E$3360,2,'J Book Items Cons.'!S$5:S$3360,"",'J Book Items Cons.'!U$5:U$3360,"USN",'J Book Items Cons.'!R$5:R$3360,"&lt;&gt;")+SUMIFS('J Book Items Cons.'!N$5:N$3360,'J Book Items Cons.'!E$5:E$3360,2,'J Book Items Cons.'!S$5:S$3360,"",'J Book Items Cons.'!U$5:U$3360,"USN",'J Book Items Cons.'!R$5:R$3360,"",'J Book Items Cons.'!N$5:N$3360,"&lt;&gt;")+SUMIFS('J Book Items Cons.'!L$5:L$3360,'J Book Items Cons.'!E$5:E$3360,2,'J Book Items Cons.'!S$5:S$3360,"",'J Book Items Cons.'!U$5:U$3360,"USN",'J Book Items Cons.'!R$5:R$3360,"",'J Book Items Cons.'!N$5:N$3360,"")+SUMIFS('J Book Items Cons.'!R$5:R$3360,'J Book Items Cons.'!E$5:E$3360,2,'J Book Items Cons.'!S$5:S$3360,"[PARENT]",'J Book Items Cons.'!U$5:U$3360,"USN",'J Book Items Cons.'!R$5:R$3360,"&lt;&gt;")+SUMIFS('J Book Items Cons.'!N$5:N$3360,'J Book Items Cons.'!E$5:E$3360,2,'J Book Items Cons.'!S$5:S$3360,"[PARENT]",'J Book Items Cons.'!U$5:U$3360,"USN",'J Book Items Cons.'!R$5:R$3360,"",'J Book Items Cons.'!N$5:N$3360,"&lt;&gt;")+SUMIFS('J Book Items Cons.'!L$5:L$3360,'J Book Items Cons.'!E$5:E$3360,2,'J Book Items Cons.'!S$5:S$3360,"[PARENT]",'J Book Items Cons.'!U$5:U$3360,"USN",'J Book Items Cons.'!R$5:R$3360,"",'J Book Items Cons.'!N$5:N$3360,"")</f>
        <v>11778691</v>
      </c>
      <c r="C19" s="14">
        <f>SUMIFS('J Book Items Cons.'!R$5:R$3360,'J Book Items Cons.'!E$5:E$3360,2,'J Book Items Cons.'!S$5:S$3360,"",'J Book Items Cons.'!U$5:U$3360,"MSC",'J Book Items Cons.'!R$5:R$3360,"&lt;&gt;")+SUMIFS('J Book Items Cons.'!N$5:N$3360,'J Book Items Cons.'!E$5:E$3360,2,'J Book Items Cons.'!S$5:S$3360,"",'J Book Items Cons.'!U$5:U$3360,"MSC",'J Book Items Cons.'!R$5:R$3360,"",'J Book Items Cons.'!N$5:N$3360,"&lt;&gt;")+SUMIFS('J Book Items Cons.'!L$5:L$3360,'J Book Items Cons.'!E$5:E$3360,2,'J Book Items Cons.'!S$5:S$3360,"",'J Book Items Cons.'!U$5:U$3360,"MSC",'J Book Items Cons.'!R$5:R$3360,"",'J Book Items Cons.'!N$5:N$3360,"")+SUMIFS('J Book Items Cons.'!R$5:R$3360,'J Book Items Cons.'!E$5:E$3360,2,'J Book Items Cons.'!S$5:S$3360,"[PARENT]",'J Book Items Cons.'!U$5:U$3360,"MSC",'J Book Items Cons.'!R$5:R$3360,"&lt;&gt;")+SUMIFS('J Book Items Cons.'!N$5:N$3360,'J Book Items Cons.'!E$5:E$3360,2,'J Book Items Cons.'!S$5:S$3360,"[PARENT]",'J Book Items Cons.'!U$5:U$3360,"MSC",'J Book Items Cons.'!R$5:R$3360,"",'J Book Items Cons.'!N$5:N$3360,"&lt;&gt;")+SUMIFS('J Book Items Cons.'!L$5:L$3360,'J Book Items Cons.'!E$5:E$3360,2,'J Book Items Cons.'!S$5:S$3360,"[PARENT]",'J Book Items Cons.'!U$5:U$3360,"MSC",'J Book Items Cons.'!R$5:R$3360,"",'J Book Items Cons.'!N$5:N$3360,"")</f>
        <v>0</v>
      </c>
      <c r="D19" s="14">
        <f>SUMIFS('J Book Items Cons.'!R$5:R$3360,'J Book Items Cons.'!E$5:E$3360,2,'J Book Items Cons.'!S$5:S$3360,"",'J Book Items Cons.'!U$5:U$3360,"USCG",'J Book Items Cons.'!R$5:R$3360,"&lt;&gt;")+SUMIFS('J Book Items Cons.'!N$5:N$3360,'J Book Items Cons.'!E$5:E$3360,2,'J Book Items Cons.'!S$5:S$3360,"",'J Book Items Cons.'!U$5:U$3360,"USCG",'J Book Items Cons.'!R$5:R$3360,"",'J Book Items Cons.'!N$5:N$3360,"&lt;&gt;")+SUMIFS('J Book Items Cons.'!L$5:L$3360,'J Book Items Cons.'!E$5:E$3360,2,'J Book Items Cons.'!S$5:S$3360,"",'J Book Items Cons.'!U$5:U$3360,"USCG",'J Book Items Cons.'!R$5:R$3360,"",'J Book Items Cons.'!N$5:N$3360,"")+SUMIFS('J Book Items Cons.'!R$5:R$3360,'J Book Items Cons.'!E$5:E$3360,2,'J Book Items Cons.'!S$5:S$3360,"[PARENT]",'J Book Items Cons.'!U$5:U$3360,"USCG",'J Book Items Cons.'!R$5:R$3360,"&lt;&gt;")+SUMIFS('J Book Items Cons.'!N$5:N$3360,'J Book Items Cons.'!E$5:E$3360,2,'J Book Items Cons.'!S$5:S$3360,"[PARENT]",'J Book Items Cons.'!U$5:U$3360,"USCG",'J Book Items Cons.'!R$5:R$3360,"",'J Book Items Cons.'!N$5:N$3360,"&lt;&gt;")+SUMIFS('J Book Items Cons.'!L$5:L$3360,'J Book Items Cons.'!E$5:E$3360,2,'J Book Items Cons.'!S$5:S$3360,"[PARENT]",'J Book Items Cons.'!U$5:U$3360,"USCG",'J Book Items Cons.'!R$5:R$3360,"",'J Book Items Cons.'!N$5:N$3360,"")</f>
        <v>0</v>
      </c>
      <c r="E19" s="14">
        <f t="shared" si="0"/>
        <v>11778691</v>
      </c>
      <c r="F19" s="7"/>
      <c r="G19" s="7"/>
      <c r="H19" s="7"/>
      <c r="I19" s="7"/>
      <c r="J19" s="7"/>
      <c r="K19" s="7"/>
      <c r="L19" s="7"/>
      <c r="M19" s="7"/>
      <c r="N19" s="7"/>
      <c r="O19" s="7"/>
      <c r="P19" s="7"/>
      <c r="Q19" s="7"/>
      <c r="R19" s="7"/>
      <c r="S19" s="7"/>
      <c r="T19" s="7"/>
      <c r="U19" s="7"/>
      <c r="V19" s="7"/>
      <c r="W19" s="7"/>
      <c r="X19" s="7"/>
      <c r="Y19" s="7"/>
      <c r="AD19" s="7"/>
      <c r="AE19" s="7"/>
      <c r="AF19" s="7"/>
      <c r="AG19" s="7"/>
      <c r="AH19" s="7"/>
      <c r="AI19" s="7"/>
      <c r="AJ19" s="7"/>
      <c r="AK19" s="7"/>
      <c r="AL19" s="7"/>
      <c r="AM19" s="7"/>
      <c r="AN19" s="7"/>
      <c r="AO19" s="7"/>
      <c r="AP19" s="7"/>
    </row>
    <row r="20" spans="1:42" ht="9.75" customHeight="1" x14ac:dyDescent="0.15">
      <c r="A20" s="7" t="s">
        <v>8824</v>
      </c>
      <c r="B20" s="14">
        <f>SUMIFS('J Book Items Cons.'!R$5:R$3360,'J Book Items Cons.'!E$5:E$3360,3,'J Book Items Cons.'!S$5:S$3360,"",'J Book Items Cons.'!U$5:U$3360,"USN",'J Book Items Cons.'!R$5:R$3360,"&lt;&gt;")+SUMIFS('J Book Items Cons.'!N$5:N$3360,'J Book Items Cons.'!E$5:E$3360,3,'J Book Items Cons.'!S$5:S$3360,"",'J Book Items Cons.'!U$5:U$3360,"USN",'J Book Items Cons.'!R$5:R$3360,"",'J Book Items Cons.'!N$5:N$3360,"&lt;&gt;")+SUMIFS('J Book Items Cons.'!L$5:L$3360,'J Book Items Cons.'!E$5:E$3360,3,'J Book Items Cons.'!S$5:S$3360,"",'J Book Items Cons.'!U$5:U$3360,"USN",'J Book Items Cons.'!R$5:R$3360,"",'J Book Items Cons.'!N$5:N$3360,"")+SUMIFS('J Book Items Cons.'!R$5:R$3360,'J Book Items Cons.'!E$5:E$3360,3,'J Book Items Cons.'!S$5:S$3360,"[PARENT]",'J Book Items Cons.'!U$5:U$3360,"USN",'J Book Items Cons.'!R$5:R$3360,"&lt;&gt;")+SUMIFS('J Book Items Cons.'!N$5:N$3360,'J Book Items Cons.'!E$5:E$3360,3,'J Book Items Cons.'!S$5:S$3360,"[PARENT]",'J Book Items Cons.'!U$5:U$3360,"USN",'J Book Items Cons.'!R$5:R$3360,"",'J Book Items Cons.'!N$5:N$3360,"&lt;&gt;")+SUMIFS('J Book Items Cons.'!L$5:L$3360,'J Book Items Cons.'!E$5:E$3360,3,'J Book Items Cons.'!S$5:S$3360,"[PARENT]",'J Book Items Cons.'!U$5:U$3360,"USN",'J Book Items Cons.'!R$5:R$3360,"",'J Book Items Cons.'!N$5:N$3360,"")</f>
        <v>215890</v>
      </c>
      <c r="C20" s="14">
        <f>SUMIFS('J Book Items Cons.'!R$5:R$3360,'J Book Items Cons.'!E$5:E$3360,3,'J Book Items Cons.'!S$5:S$3360,"",'J Book Items Cons.'!U$5:U$3360,"MSC",'J Book Items Cons.'!R$5:R$3360,"&lt;&gt;")+SUMIFS('J Book Items Cons.'!N$5:N$3360,'J Book Items Cons.'!E$5:E$3360,3,'J Book Items Cons.'!S$5:S$3360,"",'J Book Items Cons.'!U$5:U$3360,"MSC",'J Book Items Cons.'!R$5:R$3360,"",'J Book Items Cons.'!N$5:N$3360,"&lt;&gt;")+SUMIFS('J Book Items Cons.'!L$5:L$3360,'J Book Items Cons.'!E$5:E$3360,3,'J Book Items Cons.'!S$5:S$3360,"",'J Book Items Cons.'!U$5:U$3360,"MSC",'J Book Items Cons.'!R$5:R$3360,"",'J Book Items Cons.'!N$5:N$3360,"")+SUMIFS('J Book Items Cons.'!R$5:R$3360,'J Book Items Cons.'!E$5:E$3360,3,'J Book Items Cons.'!S$5:S$3360,"[PARENT]",'J Book Items Cons.'!U$5:U$3360,"MSC",'J Book Items Cons.'!R$5:R$3360,"&lt;&gt;")+SUMIFS('J Book Items Cons.'!N$5:N$3360,'J Book Items Cons.'!E$5:E$3360,3,'J Book Items Cons.'!S$5:S$3360,"[PARENT]",'J Book Items Cons.'!U$5:U$3360,"MSC",'J Book Items Cons.'!R$5:R$3360,"",'J Book Items Cons.'!N$5:N$3360,"&lt;&gt;")+SUMIFS('J Book Items Cons.'!L$5:L$3360,'J Book Items Cons.'!E$5:E$3360,3,'J Book Items Cons.'!S$5:S$3360,"[PARENT]",'J Book Items Cons.'!U$5:U$3360,"MSC",'J Book Items Cons.'!R$5:R$3360,"",'J Book Items Cons.'!N$5:N$3360,"")</f>
        <v>0</v>
      </c>
      <c r="D20" s="14">
        <f>SUMIFS('J Book Items Cons.'!R$5:R$3360,'J Book Items Cons.'!E$5:E$3360,3,'J Book Items Cons.'!S$5:S$3360,"",'J Book Items Cons.'!U$5:U$3360,"USCG",'J Book Items Cons.'!R$5:R$3360,"&lt;&gt;")+SUMIFS('J Book Items Cons.'!N$5:N$3360,'J Book Items Cons.'!E$5:E$3360,3,'J Book Items Cons.'!S$5:S$3360,"",'J Book Items Cons.'!U$5:U$3360,"USCG",'J Book Items Cons.'!R$5:R$3360,"",'J Book Items Cons.'!N$5:N$3360,"&lt;&gt;")+SUMIFS('J Book Items Cons.'!L$5:L$3360,'J Book Items Cons.'!E$5:E$3360,3,'J Book Items Cons.'!S$5:S$3360,"",'J Book Items Cons.'!U$5:U$3360,"USCG",'J Book Items Cons.'!R$5:R$3360,"",'J Book Items Cons.'!N$5:N$3360,"")+SUMIFS('J Book Items Cons.'!R$5:R$3360,'J Book Items Cons.'!E$5:E$3360,3,'J Book Items Cons.'!S$5:S$3360,"[PARENT]",'J Book Items Cons.'!U$5:U$3360,"USCG",'J Book Items Cons.'!R$5:R$3360,"&lt;&gt;")+SUMIFS('J Book Items Cons.'!N$5:N$3360,'J Book Items Cons.'!E$5:E$3360,3,'J Book Items Cons.'!S$5:S$3360,"[PARENT]",'J Book Items Cons.'!U$5:U$3360,"USCG",'J Book Items Cons.'!R$5:R$3360,"",'J Book Items Cons.'!N$5:N$3360,"&lt;&gt;")+SUMIFS('J Book Items Cons.'!L$5:L$3360,'J Book Items Cons.'!E$5:E$3360,3,'J Book Items Cons.'!S$5:S$3360,"[PARENT]",'J Book Items Cons.'!U$5:U$3360,"USCG",'J Book Items Cons.'!R$5:R$3360,"",'J Book Items Cons.'!N$5:N$3360,"")</f>
        <v>0</v>
      </c>
      <c r="E20" s="14">
        <f t="shared" si="0"/>
        <v>215890</v>
      </c>
      <c r="F20" s="7"/>
      <c r="G20" s="7"/>
      <c r="H20" s="7"/>
      <c r="I20" s="7"/>
      <c r="J20" s="7"/>
      <c r="K20" s="7"/>
      <c r="L20" s="7"/>
      <c r="M20" s="7"/>
      <c r="N20" s="7"/>
      <c r="O20" s="7"/>
      <c r="P20" s="7"/>
      <c r="Q20" s="7"/>
      <c r="R20" s="7"/>
      <c r="S20" s="7"/>
      <c r="T20" s="7"/>
      <c r="U20" s="7"/>
      <c r="V20" s="7"/>
      <c r="W20" s="7"/>
      <c r="X20" s="7"/>
      <c r="Y20" s="7"/>
      <c r="AD20" s="7"/>
      <c r="AE20" s="7"/>
      <c r="AF20" s="7"/>
      <c r="AG20" s="7"/>
      <c r="AH20" s="7"/>
      <c r="AI20" s="7"/>
      <c r="AJ20" s="7"/>
      <c r="AK20" s="7"/>
      <c r="AL20" s="7"/>
      <c r="AM20" s="7"/>
      <c r="AN20" s="7"/>
      <c r="AO20" s="7"/>
      <c r="AP20" s="7"/>
    </row>
    <row r="21" spans="1:42" ht="9.75" customHeight="1" x14ac:dyDescent="0.15">
      <c r="A21" s="7" t="s">
        <v>8825</v>
      </c>
      <c r="B21" s="14">
        <f>SUMIFS('J Book Items Cons.'!R$5:R$3360,'J Book Items Cons.'!E$5:E$3360,4,'J Book Items Cons.'!S$5:S$3360,"",'J Book Items Cons.'!U$5:U$3360,"USN",'J Book Items Cons.'!R$5:R$3360,"&lt;&gt;")+SUMIFS('J Book Items Cons.'!N$5:N$3360,'J Book Items Cons.'!E$5:E$3360,4,'J Book Items Cons.'!S$5:S$3360,"",'J Book Items Cons.'!U$5:U$3360,"USN",'J Book Items Cons.'!R$5:R$3360,"",'J Book Items Cons.'!N$5:N$3360,"&lt;&gt;")+SUMIFS('J Book Items Cons.'!L$5:L$3360,'J Book Items Cons.'!E$5:E$3360,4,'J Book Items Cons.'!S$5:S$3360,"",'J Book Items Cons.'!U$5:U$3360,"USN",'J Book Items Cons.'!R$5:R$3360,"",'J Book Items Cons.'!N$5:N$3360,"")+SUMIFS('J Book Items Cons.'!R$5:R$3360,'J Book Items Cons.'!E$5:E$3360,4,'J Book Items Cons.'!S$5:S$3360,"[PARENT]",'J Book Items Cons.'!U$5:U$3360,"USN",'J Book Items Cons.'!R$5:R$3360,"&lt;&gt;")+SUMIFS('J Book Items Cons.'!N$5:N$3360,'J Book Items Cons.'!E$5:E$3360,4,'J Book Items Cons.'!S$5:S$3360,"[PARENT]",'J Book Items Cons.'!U$5:U$3360,"USN",'J Book Items Cons.'!R$5:R$3360,"",'J Book Items Cons.'!N$5:N$3360,"&lt;&gt;")+SUMIFS('J Book Items Cons.'!L$5:L$3360,'J Book Items Cons.'!E$5:E$3360,4,'J Book Items Cons.'!S$5:S$3360,"[PARENT]",'J Book Items Cons.'!U$5:U$3360,"USN",'J Book Items Cons.'!R$5:R$3360,"",'J Book Items Cons.'!N$5:N$3360,"")</f>
        <v>10802387</v>
      </c>
      <c r="C21" s="14">
        <f>SUMIFS('J Book Items Cons.'!R$5:R$3360,'J Book Items Cons.'!E$5:E$3360,4,'J Book Items Cons.'!S$5:S$3360,"",'J Book Items Cons.'!U$5:U$3360,"MSC",'J Book Items Cons.'!R$5:R$3360,"&lt;&gt;")+SUMIFS('J Book Items Cons.'!N$5:N$3360,'J Book Items Cons.'!E$5:E$3360,4,'J Book Items Cons.'!S$5:S$3360,"",'J Book Items Cons.'!U$5:U$3360,"MSC",'J Book Items Cons.'!R$5:R$3360,"",'J Book Items Cons.'!N$5:N$3360,"&lt;&gt;")+SUMIFS('J Book Items Cons.'!L$5:L$3360,'J Book Items Cons.'!E$5:E$3360,4,'J Book Items Cons.'!S$5:S$3360,"",'J Book Items Cons.'!U$5:U$3360,"MSC",'J Book Items Cons.'!R$5:R$3360,"",'J Book Items Cons.'!N$5:N$3360,"")+SUMIFS('J Book Items Cons.'!R$5:R$3360,'J Book Items Cons.'!E$5:E$3360,4,'J Book Items Cons.'!S$5:S$3360,"[PARENT]",'J Book Items Cons.'!U$5:U$3360,"MSC",'J Book Items Cons.'!R$5:R$3360,"&lt;&gt;")+SUMIFS('J Book Items Cons.'!N$5:N$3360,'J Book Items Cons.'!E$5:E$3360,4,'J Book Items Cons.'!S$5:S$3360,"[PARENT]",'J Book Items Cons.'!U$5:U$3360,"MSC",'J Book Items Cons.'!R$5:R$3360,"",'J Book Items Cons.'!N$5:N$3360,"&lt;&gt;")+SUMIFS('J Book Items Cons.'!L$5:L$3360,'J Book Items Cons.'!E$5:E$3360,4,'J Book Items Cons.'!S$5:S$3360,"[PARENT]",'J Book Items Cons.'!U$5:U$3360,"MSC",'J Book Items Cons.'!R$5:R$3360,"",'J Book Items Cons.'!N$5:N$3360,"")</f>
        <v>31169</v>
      </c>
      <c r="D21" s="14">
        <f>SUMIFS('J Book Items Cons.'!R$5:R$3360,'J Book Items Cons.'!E$5:E$3360,4,'J Book Items Cons.'!S$5:S$3360,"",'J Book Items Cons.'!U$5:U$3360,"USCG",'J Book Items Cons.'!R$5:R$3360,"&lt;&gt;")+SUMIFS('J Book Items Cons.'!N$5:N$3360,'J Book Items Cons.'!E$5:E$3360,4,'J Book Items Cons.'!S$5:S$3360,"",'J Book Items Cons.'!U$5:U$3360,"USCG",'J Book Items Cons.'!R$5:R$3360,"",'J Book Items Cons.'!N$5:N$3360,"&lt;&gt;")+SUMIFS('J Book Items Cons.'!L$5:L$3360,'J Book Items Cons.'!E$5:E$3360,4,'J Book Items Cons.'!S$5:S$3360,"",'J Book Items Cons.'!U$5:U$3360,"USCG",'J Book Items Cons.'!R$5:R$3360,"",'J Book Items Cons.'!N$5:N$3360,"")+SUMIFS('J Book Items Cons.'!R$5:R$3360,'J Book Items Cons.'!E$5:E$3360,4,'J Book Items Cons.'!S$5:S$3360,"[PARENT]",'J Book Items Cons.'!U$5:U$3360,"USCG",'J Book Items Cons.'!R$5:R$3360,"&lt;&gt;")+SUMIFS('J Book Items Cons.'!N$5:N$3360,'J Book Items Cons.'!E$5:E$3360,4,'J Book Items Cons.'!S$5:S$3360,"[PARENT]",'J Book Items Cons.'!U$5:U$3360,"USCG",'J Book Items Cons.'!R$5:R$3360,"",'J Book Items Cons.'!N$5:N$3360,"&lt;&gt;")+SUMIFS('J Book Items Cons.'!L$5:L$3360,'J Book Items Cons.'!E$5:E$3360,4,'J Book Items Cons.'!S$5:S$3360,"[PARENT]",'J Book Items Cons.'!U$5:U$3360,"USCG",'J Book Items Cons.'!R$5:R$3360,"",'J Book Items Cons.'!N$5:N$3360,"")</f>
        <v>31000</v>
      </c>
      <c r="E21" s="14">
        <f t="shared" si="0"/>
        <v>10864556</v>
      </c>
      <c r="F21" s="7"/>
      <c r="G21" s="7"/>
      <c r="H21" s="7"/>
      <c r="I21" s="7"/>
      <c r="J21" s="7"/>
      <c r="K21" s="7"/>
      <c r="L21" s="7"/>
      <c r="M21" s="7"/>
      <c r="N21" s="7"/>
      <c r="O21" s="7"/>
      <c r="P21" s="7"/>
      <c r="Q21" s="7"/>
      <c r="R21" s="7"/>
      <c r="S21" s="7"/>
      <c r="T21" s="7"/>
      <c r="U21" s="7"/>
      <c r="V21" s="7"/>
      <c r="W21" s="7"/>
      <c r="X21" s="7"/>
      <c r="Y21" s="7"/>
      <c r="AD21" s="7"/>
      <c r="AE21" s="7"/>
      <c r="AF21" s="7"/>
      <c r="AG21" s="7"/>
      <c r="AH21" s="7"/>
      <c r="AI21" s="7"/>
      <c r="AJ21" s="7"/>
      <c r="AK21" s="7"/>
      <c r="AL21" s="7"/>
      <c r="AM21" s="7"/>
      <c r="AN21" s="7"/>
      <c r="AO21" s="7"/>
      <c r="AP21" s="7"/>
    </row>
    <row r="22" spans="1:42" ht="9.75" customHeight="1" x14ac:dyDescent="0.15">
      <c r="A22" s="7" t="s">
        <v>8826</v>
      </c>
      <c r="B22" s="14">
        <f>SUMIFS('J Book Items Cons.'!R$5:R$3360,'J Book Items Cons.'!E$5:E$3360,5,'J Book Items Cons.'!S$5:S$3360,"",'J Book Items Cons.'!U$5:U$3360,"USN",'J Book Items Cons.'!R$5:R$3360,"&lt;&gt;")+SUMIFS('J Book Items Cons.'!N$5:N$3360,'J Book Items Cons.'!E$5:E$3360,5,'J Book Items Cons.'!S$5:S$3360,"",'J Book Items Cons.'!U$5:U$3360,"USN",'J Book Items Cons.'!R$5:R$3360,"",'J Book Items Cons.'!N$5:N$3360,"&lt;&gt;")+SUMIFS('J Book Items Cons.'!L$5:L$3360,'J Book Items Cons.'!E$5:E$3360,5,'J Book Items Cons.'!S$5:S$3360,"",'J Book Items Cons.'!U$5:U$3360,"USN",'J Book Items Cons.'!R$5:R$3360,"",'J Book Items Cons.'!N$5:N$3360,"")+SUMIFS('J Book Items Cons.'!R$5:R$3360,'J Book Items Cons.'!E$5:E$3360,5,'J Book Items Cons.'!S$5:S$3360,"[PARENT]",'J Book Items Cons.'!U$5:U$3360,"USN",'J Book Items Cons.'!R$5:R$3360,"&lt;&gt;")+SUMIFS('J Book Items Cons.'!N$5:N$3360,'J Book Items Cons.'!E$5:E$3360,5,'J Book Items Cons.'!S$5:S$3360,"[PARENT]",'J Book Items Cons.'!U$5:U$3360,"USN",'J Book Items Cons.'!R$5:R$3360,"",'J Book Items Cons.'!N$5:N$3360,"&lt;&gt;")+SUMIFS('J Book Items Cons.'!L$5:L$3360,'J Book Items Cons.'!E$5:E$3360,5,'J Book Items Cons.'!S$5:S$3360,"[PARENT]",'J Book Items Cons.'!U$5:U$3360,"USN",'J Book Items Cons.'!R$5:R$3360,"",'J Book Items Cons.'!N$5:N$3360,"")</f>
        <v>1635677</v>
      </c>
      <c r="C22" s="14">
        <f>SUMIFS('J Book Items Cons.'!R$5:R$3360,'J Book Items Cons.'!E$5:E$3360,5,'J Book Items Cons.'!S$5:S$3360,"",'J Book Items Cons.'!U$5:U$3360,"MSC",'J Book Items Cons.'!R$5:R$3360,"&lt;&gt;")+SUMIFS('J Book Items Cons.'!N$5:N$3360,'J Book Items Cons.'!E$5:E$3360,5,'J Book Items Cons.'!S$5:S$3360,"",'J Book Items Cons.'!U$5:U$3360,"MSC",'J Book Items Cons.'!R$5:R$3360,"",'J Book Items Cons.'!N$5:N$3360,"&lt;&gt;")+SUMIFS('J Book Items Cons.'!L$5:L$3360,'J Book Items Cons.'!E$5:E$3360,5,'J Book Items Cons.'!S$5:S$3360,"",'J Book Items Cons.'!U$5:U$3360,"MSC",'J Book Items Cons.'!R$5:R$3360,"",'J Book Items Cons.'!N$5:N$3360,"")+SUMIFS('J Book Items Cons.'!R$5:R$3360,'J Book Items Cons.'!E$5:E$3360,5,'J Book Items Cons.'!S$5:S$3360,"[PARENT]",'J Book Items Cons.'!U$5:U$3360,"MSC",'J Book Items Cons.'!R$5:R$3360,"&lt;&gt;")+SUMIFS('J Book Items Cons.'!N$5:N$3360,'J Book Items Cons.'!E$5:E$3360,5,'J Book Items Cons.'!S$5:S$3360,"[PARENT]",'J Book Items Cons.'!U$5:U$3360,"MSC",'J Book Items Cons.'!R$5:R$3360,"",'J Book Items Cons.'!N$5:N$3360,"&lt;&gt;")+SUMIFS('J Book Items Cons.'!L$5:L$3360,'J Book Items Cons.'!E$5:E$3360,5,'J Book Items Cons.'!S$5:S$3360,"[PARENT]",'J Book Items Cons.'!U$5:U$3360,"MSC",'J Book Items Cons.'!R$5:R$3360,"",'J Book Items Cons.'!N$5:N$3360,"")</f>
        <v>0</v>
      </c>
      <c r="D22" s="14">
        <f>SUMIFS('J Book Items Cons.'!R$5:R$3360,'J Book Items Cons.'!E$5:E$3360,5,'J Book Items Cons.'!S$5:S$3360,"",'J Book Items Cons.'!U$5:U$3360,"USCG",'J Book Items Cons.'!R$5:R$3360,"&lt;&gt;")+SUMIFS('J Book Items Cons.'!N$5:N$3360,'J Book Items Cons.'!E$5:E$3360,5,'J Book Items Cons.'!S$5:S$3360,"",'J Book Items Cons.'!U$5:U$3360,"USCG",'J Book Items Cons.'!R$5:R$3360,"",'J Book Items Cons.'!N$5:N$3360,"&lt;&gt;")+SUMIFS('J Book Items Cons.'!L$5:L$3360,'J Book Items Cons.'!E$5:E$3360,5,'J Book Items Cons.'!S$5:S$3360,"",'J Book Items Cons.'!U$5:U$3360,"USCG",'J Book Items Cons.'!R$5:R$3360,"",'J Book Items Cons.'!N$5:N$3360,"")+SUMIFS('J Book Items Cons.'!R$5:R$3360,'J Book Items Cons.'!E$5:E$3360,5,'J Book Items Cons.'!S$5:S$3360,"[PARENT]",'J Book Items Cons.'!U$5:U$3360,"USCG",'J Book Items Cons.'!R$5:R$3360,"&lt;&gt;")+SUMIFS('J Book Items Cons.'!N$5:N$3360,'J Book Items Cons.'!E$5:E$3360,5,'J Book Items Cons.'!S$5:S$3360,"[PARENT]",'J Book Items Cons.'!U$5:U$3360,"USCG",'J Book Items Cons.'!R$5:R$3360,"",'J Book Items Cons.'!N$5:N$3360,"&lt;&gt;")+SUMIFS('J Book Items Cons.'!L$5:L$3360,'J Book Items Cons.'!E$5:E$3360,5,'J Book Items Cons.'!S$5:S$3360,"[PARENT]",'J Book Items Cons.'!U$5:U$3360,"USCG",'J Book Items Cons.'!R$5:R$3360,"",'J Book Items Cons.'!N$5:N$3360,"")</f>
        <v>0</v>
      </c>
      <c r="E22" s="14">
        <f t="shared" si="0"/>
        <v>1635677</v>
      </c>
      <c r="F22" s="7"/>
      <c r="G22" s="7"/>
      <c r="H22" s="7"/>
      <c r="I22" s="7"/>
      <c r="J22" s="7"/>
      <c r="K22" s="7"/>
      <c r="L22" s="7"/>
      <c r="M22" s="7"/>
      <c r="N22" s="7"/>
      <c r="O22" s="7"/>
      <c r="P22" s="7"/>
      <c r="Q22" s="7"/>
      <c r="R22" s="7"/>
      <c r="S22" s="7"/>
      <c r="T22" s="7"/>
      <c r="U22" s="7"/>
      <c r="V22" s="7"/>
      <c r="W22" s="7"/>
      <c r="X22" s="7"/>
      <c r="Y22" s="7"/>
      <c r="AD22" s="7"/>
      <c r="AE22" s="7"/>
      <c r="AF22" s="7"/>
      <c r="AG22" s="7"/>
      <c r="AH22" s="7"/>
      <c r="AI22" s="7"/>
      <c r="AJ22" s="7"/>
      <c r="AK22" s="7"/>
      <c r="AL22" s="7"/>
      <c r="AM22" s="7"/>
      <c r="AN22" s="7"/>
      <c r="AO22" s="7"/>
      <c r="AP22" s="7"/>
    </row>
    <row r="23" spans="1:42" ht="9.75" customHeight="1" x14ac:dyDescent="0.15">
      <c r="A23" s="7" t="s">
        <v>8827</v>
      </c>
      <c r="B23" s="14">
        <f>SUMIFS('J Book Items Cons.'!R$5:R$3360,'J Book Items Cons.'!E$5:E$3360,6,'J Book Items Cons.'!S$5:S$3360,"",'J Book Items Cons.'!U$5:U$3360,"USN",'J Book Items Cons.'!R$5:R$3360,"&lt;&gt;")+SUMIFS('J Book Items Cons.'!N$5:N$3360,'J Book Items Cons.'!E$5:E$3360,6,'J Book Items Cons.'!S$5:S$3360,"",'J Book Items Cons.'!U$5:U$3360,"USN",'J Book Items Cons.'!R$5:R$3360,"",'J Book Items Cons.'!N$5:N$3360,"&lt;&gt;")+SUMIFS('J Book Items Cons.'!L$5:L$3360,'J Book Items Cons.'!E$5:E$3360,6,'J Book Items Cons.'!S$5:S$3360,"",'J Book Items Cons.'!U$5:U$3360,"USN",'J Book Items Cons.'!R$5:R$3360,"",'J Book Items Cons.'!N$5:N$3360,"")+SUMIFS('J Book Items Cons.'!R$5:R$3360,'J Book Items Cons.'!E$5:E$3360,6,'J Book Items Cons.'!S$5:S$3360,"[PARENT]",'J Book Items Cons.'!U$5:U$3360,"USN",'J Book Items Cons.'!R$5:R$3360,"&lt;&gt;")+SUMIFS('J Book Items Cons.'!N$5:N$3360,'J Book Items Cons.'!E$5:E$3360,6,'J Book Items Cons.'!S$5:S$3360,"[PARENT]",'J Book Items Cons.'!U$5:U$3360,"USN",'J Book Items Cons.'!R$5:R$3360,"",'J Book Items Cons.'!N$5:N$3360,"&lt;&gt;")+SUMIFS('J Book Items Cons.'!L$5:L$3360,'J Book Items Cons.'!E$5:E$3360,6,'J Book Items Cons.'!S$5:S$3360,"[PARENT]",'J Book Items Cons.'!U$5:U$3360,"USN",'J Book Items Cons.'!R$5:R$3360,"",'J Book Items Cons.'!N$5:N$3360,"")</f>
        <v>156196</v>
      </c>
      <c r="C23" s="14">
        <f>SUMIFS('J Book Items Cons.'!R$5:R$3360,'J Book Items Cons.'!E$5:E$3360,6,'J Book Items Cons.'!S$5:S$3360,"",'J Book Items Cons.'!U$5:U$3360,"MSC",'J Book Items Cons.'!R$5:R$3360,"&lt;&gt;")+SUMIFS('J Book Items Cons.'!N$5:N$3360,'J Book Items Cons.'!E$5:E$3360,6,'J Book Items Cons.'!S$5:S$3360,"",'J Book Items Cons.'!U$5:U$3360,"MSC",'J Book Items Cons.'!R$5:R$3360,"",'J Book Items Cons.'!N$5:N$3360,"&lt;&gt;")+SUMIFS('J Book Items Cons.'!L$5:L$3360,'J Book Items Cons.'!E$5:E$3360,6,'J Book Items Cons.'!S$5:S$3360,"",'J Book Items Cons.'!U$5:U$3360,"MSC",'J Book Items Cons.'!R$5:R$3360,"",'J Book Items Cons.'!N$5:N$3360,"")+SUMIFS('J Book Items Cons.'!R$5:R$3360,'J Book Items Cons.'!E$5:E$3360,6,'J Book Items Cons.'!S$5:S$3360,"[PARENT]",'J Book Items Cons.'!U$5:U$3360,"MSC",'J Book Items Cons.'!R$5:R$3360,"&lt;&gt;")+SUMIFS('J Book Items Cons.'!N$5:N$3360,'J Book Items Cons.'!E$5:E$3360,6,'J Book Items Cons.'!S$5:S$3360,"[PARENT]",'J Book Items Cons.'!U$5:U$3360,"MSC",'J Book Items Cons.'!R$5:R$3360,"",'J Book Items Cons.'!N$5:N$3360,"&lt;&gt;")+SUMIFS('J Book Items Cons.'!L$5:L$3360,'J Book Items Cons.'!E$5:E$3360,6,'J Book Items Cons.'!S$5:S$3360,"[PARENT]",'J Book Items Cons.'!U$5:U$3360,"MSC",'J Book Items Cons.'!R$5:R$3360,"",'J Book Items Cons.'!N$5:N$3360,"")</f>
        <v>0</v>
      </c>
      <c r="D23" s="14">
        <f>SUMIFS('J Book Items Cons.'!R$5:R$3360,'J Book Items Cons.'!E$5:E$3360,6,'J Book Items Cons.'!S$5:S$3360,"",'J Book Items Cons.'!U$5:U$3360,"USCG",'J Book Items Cons.'!R$5:R$3360,"&lt;&gt;")+SUMIFS('J Book Items Cons.'!N$5:N$3360,'J Book Items Cons.'!E$5:E$3360,6,'J Book Items Cons.'!S$5:S$3360,"",'J Book Items Cons.'!U$5:U$3360,"USCG",'J Book Items Cons.'!R$5:R$3360,"",'J Book Items Cons.'!N$5:N$3360,"&lt;&gt;")+SUMIFS('J Book Items Cons.'!L$5:L$3360,'J Book Items Cons.'!E$5:E$3360,6,'J Book Items Cons.'!S$5:S$3360,"",'J Book Items Cons.'!U$5:U$3360,"USCG",'J Book Items Cons.'!R$5:R$3360,"",'J Book Items Cons.'!N$5:N$3360,"")+SUMIFS('J Book Items Cons.'!R$5:R$3360,'J Book Items Cons.'!E$5:E$3360,6,'J Book Items Cons.'!S$5:S$3360,"[PARENT]",'J Book Items Cons.'!U$5:U$3360,"USCG",'J Book Items Cons.'!R$5:R$3360,"&lt;&gt;")+SUMIFS('J Book Items Cons.'!N$5:N$3360,'J Book Items Cons.'!E$5:E$3360,6,'J Book Items Cons.'!S$5:S$3360,"[PARENT]",'J Book Items Cons.'!U$5:U$3360,"USCG",'J Book Items Cons.'!R$5:R$3360,"",'J Book Items Cons.'!N$5:N$3360,"&lt;&gt;")+SUMIFS('J Book Items Cons.'!L$5:L$3360,'J Book Items Cons.'!E$5:E$3360,6,'J Book Items Cons.'!S$5:S$3360,"[PARENT]",'J Book Items Cons.'!U$5:U$3360,"USCG",'J Book Items Cons.'!R$5:R$3360,"",'J Book Items Cons.'!N$5:N$3360,"")</f>
        <v>0</v>
      </c>
      <c r="E23" s="14">
        <f t="shared" si="0"/>
        <v>156196</v>
      </c>
      <c r="F23" s="7"/>
      <c r="G23" s="7"/>
      <c r="H23" s="7"/>
      <c r="I23" s="7"/>
      <c r="J23" s="7"/>
      <c r="K23" s="7"/>
      <c r="L23" s="7"/>
      <c r="M23" s="7"/>
      <c r="N23" s="7"/>
      <c r="O23" s="7"/>
      <c r="P23" s="7"/>
      <c r="Q23" s="7"/>
      <c r="R23" s="7"/>
      <c r="S23" s="7"/>
      <c r="T23" s="7"/>
      <c r="U23" s="7"/>
      <c r="V23" s="7"/>
      <c r="W23" s="7"/>
      <c r="X23" s="7"/>
      <c r="Y23" s="7"/>
      <c r="AD23" s="7"/>
      <c r="AE23" s="7"/>
      <c r="AF23" s="7"/>
      <c r="AG23" s="7"/>
      <c r="AH23" s="7"/>
      <c r="AI23" s="7"/>
      <c r="AJ23" s="7"/>
      <c r="AK23" s="7"/>
      <c r="AL23" s="7"/>
      <c r="AM23" s="7"/>
      <c r="AN23" s="7"/>
      <c r="AO23" s="7"/>
      <c r="AP23" s="7"/>
    </row>
    <row r="24" spans="1:42" ht="9.75" customHeight="1" x14ac:dyDescent="0.15">
      <c r="A24" s="7" t="s">
        <v>8828</v>
      </c>
      <c r="B24" s="14">
        <f>SUMIFS('J Book Items Cons.'!R$5:R$3360,'J Book Items Cons.'!E$5:E$3360,7,'J Book Items Cons.'!S$5:S$3360,"",'J Book Items Cons.'!U$5:U$3360,"USN",'J Book Items Cons.'!R$5:R$3360,"&lt;&gt;")+SUMIFS('J Book Items Cons.'!N$5:N$3360,'J Book Items Cons.'!E$5:E$3360,7,'J Book Items Cons.'!S$5:S$3360,"",'J Book Items Cons.'!U$5:U$3360,"USN",'J Book Items Cons.'!R$5:R$3360,"",'J Book Items Cons.'!N$5:N$3360,"&lt;&gt;")+SUMIFS('J Book Items Cons.'!L$5:L$3360,'J Book Items Cons.'!E$5:E$3360,7,'J Book Items Cons.'!S$5:S$3360,"",'J Book Items Cons.'!U$5:U$3360,"USN",'J Book Items Cons.'!R$5:R$3360,"",'J Book Items Cons.'!N$5:N$3360,"")+SUMIFS('J Book Items Cons.'!R$5:R$3360,'J Book Items Cons.'!E$5:E$3360,7,'J Book Items Cons.'!S$5:S$3360,"[PARENT]",'J Book Items Cons.'!U$5:U$3360,"USN",'J Book Items Cons.'!R$5:R$3360,"&lt;&gt;")+SUMIFS('J Book Items Cons.'!N$5:N$3360,'J Book Items Cons.'!E$5:E$3360,7,'J Book Items Cons.'!S$5:S$3360,"[PARENT]",'J Book Items Cons.'!U$5:U$3360,"USN",'J Book Items Cons.'!R$5:R$3360,"",'J Book Items Cons.'!N$5:N$3360,"&lt;&gt;")+SUMIFS('J Book Items Cons.'!L$5:L$3360,'J Book Items Cons.'!E$5:E$3360,7,'J Book Items Cons.'!S$5:S$3360,"[PARENT]",'J Book Items Cons.'!U$5:U$3360,"USN",'J Book Items Cons.'!R$5:R$3360,"",'J Book Items Cons.'!N$5:N$3360,"")</f>
        <v>38073</v>
      </c>
      <c r="C24" s="14">
        <f>SUMIFS('J Book Items Cons.'!R$5:R$3360,'J Book Items Cons.'!E$5:E$3360,7,'J Book Items Cons.'!S$5:S$3360,"",'J Book Items Cons.'!U$5:U$3360,"MSC",'J Book Items Cons.'!R$5:R$3360,"&lt;&gt;")+SUMIFS('J Book Items Cons.'!N$5:N$3360,'J Book Items Cons.'!E$5:E$3360,7,'J Book Items Cons.'!S$5:S$3360,"",'J Book Items Cons.'!U$5:U$3360,"MSC",'J Book Items Cons.'!R$5:R$3360,"",'J Book Items Cons.'!N$5:N$3360,"&lt;&gt;")+SUMIFS('J Book Items Cons.'!L$5:L$3360,'J Book Items Cons.'!E$5:E$3360,7,'J Book Items Cons.'!S$5:S$3360,"",'J Book Items Cons.'!U$5:U$3360,"MSC",'J Book Items Cons.'!R$5:R$3360,"",'J Book Items Cons.'!N$5:N$3360,"")+SUMIFS('J Book Items Cons.'!R$5:R$3360,'J Book Items Cons.'!E$5:E$3360,7,'J Book Items Cons.'!S$5:S$3360,"[PARENT]",'J Book Items Cons.'!U$5:U$3360,"MSC",'J Book Items Cons.'!R$5:R$3360,"&lt;&gt;")+SUMIFS('J Book Items Cons.'!N$5:N$3360,'J Book Items Cons.'!E$5:E$3360,7,'J Book Items Cons.'!S$5:S$3360,"[PARENT]",'J Book Items Cons.'!U$5:U$3360,"MSC",'J Book Items Cons.'!R$5:R$3360,"",'J Book Items Cons.'!N$5:N$3360,"&lt;&gt;")+SUMIFS('J Book Items Cons.'!L$5:L$3360,'J Book Items Cons.'!E$5:E$3360,7,'J Book Items Cons.'!S$5:S$3360,"[PARENT]",'J Book Items Cons.'!U$5:U$3360,"MSC",'J Book Items Cons.'!R$5:R$3360,"",'J Book Items Cons.'!N$5:N$3360,"")</f>
        <v>0</v>
      </c>
      <c r="D24" s="14">
        <f>SUMIFS('J Book Items Cons.'!R$5:R$3360,'J Book Items Cons.'!E$5:E$3360,7,'J Book Items Cons.'!S$5:S$3360,"",'J Book Items Cons.'!U$5:U$3360,"USCG",'J Book Items Cons.'!R$5:R$3360,"&lt;&gt;")+SUMIFS('J Book Items Cons.'!N$5:N$3360,'J Book Items Cons.'!E$5:E$3360,7,'J Book Items Cons.'!S$5:S$3360,"",'J Book Items Cons.'!U$5:U$3360,"USCG",'J Book Items Cons.'!R$5:R$3360,"",'J Book Items Cons.'!N$5:N$3360,"&lt;&gt;")+SUMIFS('J Book Items Cons.'!L$5:L$3360,'J Book Items Cons.'!E$5:E$3360,7,'J Book Items Cons.'!S$5:S$3360,"",'J Book Items Cons.'!U$5:U$3360,"USCG",'J Book Items Cons.'!R$5:R$3360,"",'J Book Items Cons.'!N$5:N$3360,"")+SUMIFS('J Book Items Cons.'!R$5:R$3360,'J Book Items Cons.'!E$5:E$3360,7,'J Book Items Cons.'!S$5:S$3360,"[PARENT]",'J Book Items Cons.'!U$5:U$3360,"USCG",'J Book Items Cons.'!R$5:R$3360,"&lt;&gt;")+SUMIFS('J Book Items Cons.'!N$5:N$3360,'J Book Items Cons.'!E$5:E$3360,7,'J Book Items Cons.'!S$5:S$3360,"[PARENT]",'J Book Items Cons.'!U$5:U$3360,"USCG",'J Book Items Cons.'!R$5:R$3360,"",'J Book Items Cons.'!N$5:N$3360,"&lt;&gt;")+SUMIFS('J Book Items Cons.'!L$5:L$3360,'J Book Items Cons.'!E$5:E$3360,7,'J Book Items Cons.'!S$5:S$3360,"[PARENT]",'J Book Items Cons.'!U$5:U$3360,"USCG",'J Book Items Cons.'!R$5:R$3360,"",'J Book Items Cons.'!N$5:N$3360,"")</f>
        <v>0</v>
      </c>
      <c r="E24" s="14">
        <f t="shared" si="0"/>
        <v>38073</v>
      </c>
      <c r="F24" s="7"/>
      <c r="G24" s="7"/>
      <c r="H24" s="7"/>
      <c r="I24" s="7"/>
      <c r="J24" s="7"/>
      <c r="K24" s="7"/>
      <c r="L24" s="7"/>
      <c r="M24" s="7"/>
      <c r="N24" s="7"/>
      <c r="O24" s="7"/>
      <c r="P24" s="7"/>
      <c r="Q24" s="7"/>
      <c r="R24" s="7"/>
      <c r="S24" s="7"/>
      <c r="T24" s="7"/>
      <c r="U24" s="7"/>
      <c r="V24" s="7"/>
      <c r="W24" s="7"/>
      <c r="X24" s="7"/>
      <c r="Y24" s="7"/>
      <c r="AD24" s="7"/>
      <c r="AE24" s="7"/>
      <c r="AF24" s="7"/>
      <c r="AG24" s="7"/>
      <c r="AH24" s="7"/>
      <c r="AI24" s="7"/>
      <c r="AJ24" s="7"/>
      <c r="AK24" s="7"/>
      <c r="AL24" s="7"/>
      <c r="AM24" s="7"/>
      <c r="AN24" s="7"/>
      <c r="AO24" s="7"/>
      <c r="AP24" s="7"/>
    </row>
    <row r="25" spans="1:42" ht="10.5" customHeight="1" x14ac:dyDescent="0.15">
      <c r="A25" s="15" t="s">
        <v>8831</v>
      </c>
      <c r="B25" s="16">
        <f>SUM(B18:B24)</f>
        <v>62281017</v>
      </c>
      <c r="C25" s="16">
        <f>SUM(C18:C24)</f>
        <v>3536579</v>
      </c>
      <c r="D25" s="16">
        <f>SUM(D18:D24)</f>
        <v>1287400</v>
      </c>
      <c r="E25" s="16">
        <f>SUM(E18:E24)</f>
        <v>67104996</v>
      </c>
      <c r="F25" s="7"/>
      <c r="G25" s="7"/>
      <c r="H25" s="7"/>
      <c r="I25" s="7"/>
      <c r="J25" s="7"/>
      <c r="K25" s="7"/>
      <c r="L25" s="7"/>
      <c r="M25" s="7"/>
      <c r="N25" s="7"/>
      <c r="O25" s="7"/>
      <c r="P25" s="7"/>
      <c r="Q25" s="7"/>
      <c r="R25" s="7"/>
      <c r="S25" s="7"/>
      <c r="T25" s="7"/>
      <c r="U25" s="7"/>
      <c r="V25" s="7"/>
      <c r="W25" s="7"/>
      <c r="X25" s="7"/>
      <c r="Y25" s="7"/>
      <c r="AD25" s="7"/>
      <c r="AE25" s="7"/>
      <c r="AF25" s="7"/>
      <c r="AG25" s="7"/>
      <c r="AH25" s="7"/>
      <c r="AI25" s="7"/>
      <c r="AJ25" s="7"/>
      <c r="AK25" s="7"/>
      <c r="AL25" s="7"/>
      <c r="AM25" s="7"/>
      <c r="AN25" s="7"/>
      <c r="AO25" s="7"/>
      <c r="AP25" s="7"/>
    </row>
    <row r="28" spans="1:42" ht="10.5" customHeight="1" x14ac:dyDescent="0.15">
      <c r="A28" s="11" t="s">
        <v>8832</v>
      </c>
      <c r="B28" s="11"/>
      <c r="C28" s="11"/>
      <c r="D28" s="11"/>
      <c r="E28" s="11"/>
      <c r="F28" s="11"/>
      <c r="G28" s="11"/>
      <c r="H28" s="11"/>
      <c r="I28" s="11"/>
      <c r="J28" s="11"/>
      <c r="K28" s="17"/>
      <c r="L28" s="17"/>
      <c r="M28" s="17"/>
      <c r="N28" s="17"/>
      <c r="O28" s="17"/>
      <c r="P28" s="17"/>
      <c r="Q28" s="17"/>
      <c r="R28" s="17"/>
      <c r="S28" s="17"/>
      <c r="T28" s="17"/>
      <c r="U28" s="17"/>
      <c r="V28" s="17"/>
      <c r="W28" s="17"/>
      <c r="X28" s="17"/>
      <c r="Y28" s="17"/>
      <c r="AD28" s="17"/>
      <c r="AE28" s="17"/>
      <c r="AF28" s="17"/>
      <c r="AG28" s="17"/>
      <c r="AH28" s="17"/>
      <c r="AI28" s="17"/>
      <c r="AJ28" s="17"/>
      <c r="AK28" s="17"/>
      <c r="AL28" s="17"/>
      <c r="AM28" s="17"/>
      <c r="AN28" s="17"/>
      <c r="AO28" s="17"/>
      <c r="AP28" s="17"/>
    </row>
    <row r="29" spans="1:42" ht="10.5" customHeight="1" x14ac:dyDescent="0.15">
      <c r="A29" s="18"/>
      <c r="B29" s="19" t="s">
        <v>44</v>
      </c>
      <c r="C29" s="18"/>
      <c r="D29" s="18"/>
      <c r="E29" s="18"/>
      <c r="F29" s="18"/>
      <c r="G29" s="18"/>
      <c r="H29" s="20"/>
      <c r="I29" s="21" t="s">
        <v>7086</v>
      </c>
      <c r="J29" s="18"/>
      <c r="K29" s="7"/>
      <c r="L29" s="7"/>
      <c r="M29" s="7"/>
      <c r="N29" s="7"/>
      <c r="O29" s="7"/>
      <c r="P29" s="7"/>
      <c r="Q29" s="7"/>
      <c r="R29" s="7"/>
      <c r="S29" s="7"/>
      <c r="T29" s="7"/>
      <c r="U29" s="7"/>
      <c r="V29" s="7"/>
      <c r="W29" s="7"/>
      <c r="X29" s="7"/>
      <c r="Y29" s="7"/>
      <c r="AD29" s="7"/>
      <c r="AE29" s="7"/>
      <c r="AF29" s="7"/>
      <c r="AG29" s="7"/>
      <c r="AH29" s="7"/>
      <c r="AI29" s="7"/>
      <c r="AJ29" s="7"/>
      <c r="AK29" s="7"/>
      <c r="AL29" s="7"/>
      <c r="AM29" s="7"/>
      <c r="AN29" s="7"/>
      <c r="AO29" s="7"/>
      <c r="AP29" s="7"/>
    </row>
    <row r="30" spans="1:42" ht="9.75" customHeight="1" x14ac:dyDescent="0.15">
      <c r="A30" s="12" t="s">
        <v>8820</v>
      </c>
      <c r="B30" s="22" t="s">
        <v>45</v>
      </c>
      <c r="C30" s="12" t="s">
        <v>8833</v>
      </c>
      <c r="D30" s="12" t="s">
        <v>4767</v>
      </c>
      <c r="E30" s="12" t="s">
        <v>281</v>
      </c>
      <c r="F30" s="12" t="s">
        <v>8834</v>
      </c>
      <c r="G30" s="12" t="s">
        <v>355</v>
      </c>
      <c r="H30" s="23" t="s">
        <v>272</v>
      </c>
      <c r="I30" s="24" t="s">
        <v>7087</v>
      </c>
      <c r="J30" s="13" t="s">
        <v>8831</v>
      </c>
      <c r="K30" s="7"/>
      <c r="L30" s="7"/>
      <c r="M30" s="7"/>
      <c r="N30" s="7"/>
      <c r="O30" s="7"/>
      <c r="P30" s="7"/>
      <c r="Q30" s="7"/>
      <c r="R30" s="7"/>
      <c r="S30" s="7"/>
      <c r="T30" s="7"/>
      <c r="U30" s="7"/>
      <c r="V30" s="7"/>
      <c r="W30" s="7"/>
      <c r="X30" s="7"/>
      <c r="Y30" s="7"/>
      <c r="AD30" s="7"/>
      <c r="AE30" s="7"/>
      <c r="AF30" s="7"/>
      <c r="AG30" s="7"/>
      <c r="AH30" s="7"/>
      <c r="AI30" s="7"/>
      <c r="AJ30" s="7"/>
      <c r="AK30" s="7"/>
      <c r="AL30" s="7"/>
      <c r="AM30" s="7"/>
      <c r="AN30" s="7"/>
      <c r="AO30" s="7"/>
      <c r="AP30" s="7"/>
    </row>
    <row r="31" spans="1:42" ht="9.75" customHeight="1" x14ac:dyDescent="0.15">
      <c r="A31" s="7" t="s">
        <v>8822</v>
      </c>
      <c r="B31" s="25">
        <f>SUMIFS('J Book Items Cons.'!R$5:R$3360,'J Book Items Cons.'!E$5:E$3360,1,'J Book Items Cons.'!S$5:S$3360,"",'J Book Items Cons.'!U$5:U$3360,"USN",'J Book Items Cons.'!V$5:V$3360,"Combatant Ships",'J Book Items Cons.'!R$5:R$3360,"&lt;&gt;")+SUMIFS('J Book Items Cons.'!N$5:N$3360,'J Book Items Cons.'!E$5:E$3360,1,'J Book Items Cons.'!S$5:S$3360,"",'J Book Items Cons.'!U$5:U$3360,"USN",'J Book Items Cons.'!V$5:V$3360,"Combatant Ships",'J Book Items Cons.'!R$5:R$3360,"",'J Book Items Cons.'!N$5:N$3360,"&lt;&gt;")+SUMIFS('J Book Items Cons.'!L$5:L$3360,'J Book Items Cons.'!E$5:E$3360,1,'J Book Items Cons.'!S$5:S$3360,"",'J Book Items Cons.'!U$5:U$3360,"USN",'J Book Items Cons.'!V$5:V$3360,"Combatant Ships",'J Book Items Cons.'!R$5:R$3360,"",'J Book Items Cons.'!N$5:N$3360,"")+SUMIFS('J Book Items Cons.'!R$5:R$3360,'J Book Items Cons.'!E$5:E$3360,1,'J Book Items Cons.'!S$5:S$3360,"[PARENT]",'J Book Items Cons.'!U$5:U$3360,"USN",'J Book Items Cons.'!V$5:V$3360,"Combatant Ships",'J Book Items Cons.'!R$5:R$3360,"&lt;&gt;")+SUMIFS('J Book Items Cons.'!N$5:N$3360,'J Book Items Cons.'!E$5:E$3360,1,'J Book Items Cons.'!S$5:S$3360,"[PARENT]",'J Book Items Cons.'!U$5:U$3360,"USN",'J Book Items Cons.'!V$5:V$3360,"Combatant Ships",'J Book Items Cons.'!R$5:R$3360,"",'J Book Items Cons.'!N$5:N$3360,"&lt;&gt;")+SUMIFS('J Book Items Cons.'!L$5:L$3360,'J Book Items Cons.'!E$5:E$3360,1,'J Book Items Cons.'!S$5:S$3360,"[PARENT]",'J Book Items Cons.'!U$5:U$3360,"USN",'J Book Items Cons.'!V$5:V$3360,"Combatant Ships",'J Book Items Cons.'!R$5:R$3360,"",'J Book Items Cons.'!N$5:N$3360,"")</f>
        <v>35186060</v>
      </c>
      <c r="C31" s="14">
        <f>SUMIFS('J Book Items Cons.'!R$5:R$3360,'J Book Items Cons.'!E$5:E$3360,1,'J Book Items Cons.'!S$5:S$3360,"",'J Book Items Cons.'!U$5:U$3360,"MSC",'J Book Items Cons.'!V$5:V$3360,"Combatant Ships",'J Book Items Cons.'!R$5:R$3360,"&lt;&gt;")+SUMIFS('J Book Items Cons.'!N$5:N$3360,'J Book Items Cons.'!E$5:E$3360,1,'J Book Items Cons.'!S$5:S$3360,"",'J Book Items Cons.'!U$5:U$3360,"MSC",'J Book Items Cons.'!V$5:V$3360,"Combatant Ships",'J Book Items Cons.'!R$5:R$3360,"",'J Book Items Cons.'!N$5:N$3360,"&lt;&gt;")+SUMIFS('J Book Items Cons.'!L$5:L$3360,'J Book Items Cons.'!E$5:E$3360,1,'J Book Items Cons.'!S$5:S$3360,"",'J Book Items Cons.'!U$5:U$3360,"MSC",'J Book Items Cons.'!V$5:V$3360,"Combatant Ships",'J Book Items Cons.'!R$5:R$3360,"",'J Book Items Cons.'!N$5:N$3360,"")+SUMIFS('J Book Items Cons.'!R$5:R$3360,'J Book Items Cons.'!E$5:E$3360,1,'J Book Items Cons.'!S$5:S$3360,"[PARENT]",'J Book Items Cons.'!U$5:U$3360,"MSC",'J Book Items Cons.'!V$5:V$3360,"Combatant Ships",'J Book Items Cons.'!R$5:R$3360,"&lt;&gt;")+SUMIFS('J Book Items Cons.'!N$5:N$3360,'J Book Items Cons.'!E$5:E$3360,1,'J Book Items Cons.'!S$5:S$3360,"[PARENT]",'J Book Items Cons.'!U$5:U$3360,"MSC",'J Book Items Cons.'!V$5:V$3360,"Combatant Ships",'J Book Items Cons.'!R$5:R$3360,"",'J Book Items Cons.'!N$5:N$3360,"&lt;&gt;")+SUMIFS('J Book Items Cons.'!L$5:L$3360,'J Book Items Cons.'!E$5:E$3360,1,'J Book Items Cons.'!S$5:S$3360,"[PARENT]",'J Book Items Cons.'!U$5:U$3360,"MSC",'J Book Items Cons.'!V$5:V$3360,"Combatant Ships",'J Book Items Cons.'!R$5:R$3360,"",'J Book Items Cons.'!N$5:N$3360,"")</f>
        <v>2615410</v>
      </c>
      <c r="D31" s="14">
        <f>SUMIFS('J Book Items Cons.'!R$5:R$3360,'J Book Items Cons.'!E$5:E$3360,1,'J Book Items Cons.'!S$5:S$3360,"",'J Book Items Cons.'!U$5:U$3360,"USN",'J Book Items Cons.'!V$5:V$3360,"Unmanned Maritime Platforms",'J Book Items Cons.'!R$5:R$3360,"&lt;&gt;")+SUMIFS('J Book Items Cons.'!N$5:N$3360,'J Book Items Cons.'!E$5:E$3360,1,'J Book Items Cons.'!S$5:S$3360,"",'J Book Items Cons.'!U$5:U$3360,"USN",'J Book Items Cons.'!V$5:V$3360,"Unmanned Maritime Platforms",'J Book Items Cons.'!R$5:R$3360,"",'J Book Items Cons.'!N$5:N$3360,"&lt;&gt;")+SUMIFS('J Book Items Cons.'!L$5:L$3360,'J Book Items Cons.'!E$5:E$3360,1,'J Book Items Cons.'!S$5:S$3360,"",'J Book Items Cons.'!U$5:U$3360,"USN",'J Book Items Cons.'!V$5:V$3360,"Unmanned Maritime Platforms",'J Book Items Cons.'!R$5:R$3360,"",'J Book Items Cons.'!N$5:N$3360,"")+SUMIFS('J Book Items Cons.'!R$5:R$3360,'J Book Items Cons.'!E$5:E$3360,1,'J Book Items Cons.'!S$5:S$3360,"[PARENT]",'J Book Items Cons.'!U$5:U$3360,"USN",'J Book Items Cons.'!V$5:V$3360,"Unmanned Maritime Platforms",'J Book Items Cons.'!R$5:R$3360,"&lt;&gt;")+SUMIFS('J Book Items Cons.'!N$5:N$3360,'J Book Items Cons.'!E$5:E$3360,1,'J Book Items Cons.'!S$5:S$3360,"[PARENT]",'J Book Items Cons.'!U$5:U$3360,"USN",'J Book Items Cons.'!V$5:V$3360,"Unmanned Maritime Platforms",'J Book Items Cons.'!R$5:R$3360,"",'J Book Items Cons.'!N$5:N$3360,"&lt;&gt;")+SUMIFS('J Book Items Cons.'!L$5:L$3360,'J Book Items Cons.'!E$5:E$3360,1,'J Book Items Cons.'!S$5:S$3360,"[PARENT]",'J Book Items Cons.'!U$5:U$3360,"USN",'J Book Items Cons.'!V$5:V$3360,"Unmanned Maritime Platforms",'J Book Items Cons.'!R$5:R$3360,"",'J Book Items Cons.'!N$5:N$3360,"")</f>
        <v>1534948</v>
      </c>
      <c r="E31" s="14">
        <f>SUMIFS('J Book Items Cons.'!R$5:R$3360,'J Book Items Cons.'!E$5:E$3360,1,'J Book Items Cons.'!S$5:S$3360,"",'J Book Items Cons.'!U$5:U$3360,"USN",'J Book Items Cons.'!V$5:V$3360,"Combatant Crafts",'J Book Items Cons.'!R$5:R$3360,"&lt;&gt;")+SUMIFS('J Book Items Cons.'!N$5:N$3360,'J Book Items Cons.'!E$5:E$3360,1,'J Book Items Cons.'!S$5:S$3360,"",'J Book Items Cons.'!U$5:U$3360,"USN",'J Book Items Cons.'!V$5:V$3360,"Combatant Crafts",'J Book Items Cons.'!R$5:R$3360,"",'J Book Items Cons.'!N$5:N$3360,"&lt;&gt;")+SUMIFS('J Book Items Cons.'!L$5:L$3360,'J Book Items Cons.'!E$5:E$3360,1,'J Book Items Cons.'!S$5:S$3360,"",'J Book Items Cons.'!U$5:U$3360,"USN",'J Book Items Cons.'!V$5:V$3360,"Combatant Crafts",'J Book Items Cons.'!R$5:R$3360,"",'J Book Items Cons.'!N$5:N$3360,"")+SUMIFS('J Book Items Cons.'!R$5:R$3360,'J Book Items Cons.'!E$5:E$3360,1,'J Book Items Cons.'!S$5:S$3360,"[PARENT]",'J Book Items Cons.'!U$5:U$3360,"USN",'J Book Items Cons.'!V$5:V$3360,"Combatant Crafts",'J Book Items Cons.'!R$5:R$3360,"&lt;&gt;")+SUMIFS('J Book Items Cons.'!N$5:N$3360,'J Book Items Cons.'!E$5:E$3360,1,'J Book Items Cons.'!S$5:S$3360,"[PARENT]",'J Book Items Cons.'!U$5:U$3360,"USN",'J Book Items Cons.'!V$5:V$3360,"Combatant Crafts",'J Book Items Cons.'!R$5:R$3360,"",'J Book Items Cons.'!N$5:N$3360,"&lt;&gt;")+SUMIFS('J Book Items Cons.'!L$5:L$3360,'J Book Items Cons.'!E$5:E$3360,1,'J Book Items Cons.'!S$5:S$3360,"[PARENT]",'J Book Items Cons.'!U$5:U$3360,"USN",'J Book Items Cons.'!V$5:V$3360,"Combatant Crafts",'J Book Items Cons.'!R$5:R$3360,"",'J Book Items Cons.'!N$5:N$3360,"")</f>
        <v>854095</v>
      </c>
      <c r="F31" s="14">
        <f>SUMIFS('J Book Items Cons.'!R$5:R$3360,'J Book Items Cons.'!E$5:E$3360,1,'J Book Items Cons.'!S$5:S$3360,"",'J Book Items Cons.'!U$5:U$3360,"MSC",'J Book Items Cons.'!V$5:V$3360,"Auxiliary Ships",'J Book Items Cons.'!R$5:R$3360,"&lt;&gt;")+SUMIFS('J Book Items Cons.'!N$5:N$3360,'J Book Items Cons.'!E$5:E$3360,1,'J Book Items Cons.'!S$5:S$3360,"",'J Book Items Cons.'!U$5:U$3360,"MSC",'J Book Items Cons.'!V$5:V$3360,"Auxiliary Ships",'J Book Items Cons.'!R$5:R$3360,"",'J Book Items Cons.'!N$5:N$3360,"&lt;&gt;")+SUMIFS('J Book Items Cons.'!L$5:L$3360,'J Book Items Cons.'!E$5:E$3360,1,'J Book Items Cons.'!S$5:S$3360,"",'J Book Items Cons.'!U$5:U$3360,"MSC",'J Book Items Cons.'!V$5:V$3360,"Auxiliary Ships",'J Book Items Cons.'!R$5:R$3360,"",'J Book Items Cons.'!N$5:N$3360,"")+SUMIFS('J Book Items Cons.'!R$5:R$3360,'J Book Items Cons.'!E$5:E$3360,1,'J Book Items Cons.'!S$5:S$3360,"[PARENT]",'J Book Items Cons.'!U$5:U$3360,"MSC",'J Book Items Cons.'!V$5:V$3360,"Auxiliary Ships",'J Book Items Cons.'!R$5:R$3360,"&lt;&gt;")+SUMIFS('J Book Items Cons.'!N$5:N$3360,'J Book Items Cons.'!E$5:E$3360,1,'J Book Items Cons.'!S$5:S$3360,"[PARENT]",'J Book Items Cons.'!U$5:U$3360,"MSC",'J Book Items Cons.'!V$5:V$3360,"Auxiliary Ships",'J Book Items Cons.'!R$5:R$3360,"",'J Book Items Cons.'!N$5:N$3360,"&lt;&gt;")+SUMIFS('J Book Items Cons.'!L$5:L$3360,'J Book Items Cons.'!E$5:E$3360,1,'J Book Items Cons.'!S$5:S$3360,"[PARENT]",'J Book Items Cons.'!U$5:U$3360,"MSC",'J Book Items Cons.'!V$5:V$3360,"Auxiliary Ships",'J Book Items Cons.'!R$5:R$3360,"",'J Book Items Cons.'!N$5:N$3360,"")</f>
        <v>890000</v>
      </c>
      <c r="G31" s="14">
        <f>SUMIFS('J Book Items Cons.'!R$5:R$3360,'J Book Items Cons.'!E$5:E$3360,1,'J Book Items Cons.'!S$5:S$3360,"",'J Book Items Cons.'!U$5:U$3360,"USN",'J Book Items Cons.'!V$5:V$3360,"Support Crafts",'J Book Items Cons.'!R$5:R$3360,"&lt;&gt;")+SUMIFS('J Book Items Cons.'!N$5:N$3360,'J Book Items Cons.'!E$5:E$3360,1,'J Book Items Cons.'!S$5:S$3360,"",'J Book Items Cons.'!U$5:U$3360,"USN",'J Book Items Cons.'!V$5:V$3360,"Support Crafts",'J Book Items Cons.'!R$5:R$3360,"",'J Book Items Cons.'!N$5:N$3360,"&lt;&gt;")+SUMIFS('J Book Items Cons.'!L$5:L$3360,'J Book Items Cons.'!E$5:E$3360,1,'J Book Items Cons.'!S$5:S$3360,"",'J Book Items Cons.'!U$5:U$3360,"USN",'J Book Items Cons.'!V$5:V$3360,"Support Crafts",'J Book Items Cons.'!R$5:R$3360,"",'J Book Items Cons.'!N$5:N$3360,"")+SUMIFS('J Book Items Cons.'!R$5:R$3360,'J Book Items Cons.'!E$5:E$3360,1,'J Book Items Cons.'!S$5:S$3360,"[PARENT]",'J Book Items Cons.'!U$5:U$3360,"USN",'J Book Items Cons.'!V$5:V$3360,"Support Crafts",'J Book Items Cons.'!R$5:R$3360,"&lt;&gt;")+SUMIFS('J Book Items Cons.'!N$5:N$3360,'J Book Items Cons.'!E$5:E$3360,1,'J Book Items Cons.'!S$5:S$3360,"[PARENT]",'J Book Items Cons.'!U$5:U$3360,"USN",'J Book Items Cons.'!V$5:V$3360,"Support Crafts",'J Book Items Cons.'!R$5:R$3360,"",'J Book Items Cons.'!N$5:N$3360,"&lt;&gt;")+SUMIFS('J Book Items Cons.'!L$5:L$3360,'J Book Items Cons.'!E$5:E$3360,1,'J Book Items Cons.'!S$5:S$3360,"[PARENT]",'J Book Items Cons.'!U$5:U$3360,"USN",'J Book Items Cons.'!V$5:V$3360,"Support Crafts",'J Book Items Cons.'!R$5:R$3360,"",'J Book Items Cons.'!N$5:N$3360,"")</f>
        <v>79000</v>
      </c>
      <c r="H31" s="26">
        <f>SUMIFS('J Book Items Cons.'!R$5:R$3360,'J Book Items Cons.'!E$5:E$3360,1,'J Book Items Cons.'!S$5:S$3360,"",'J Book Items Cons.'!U$5:U$3360,"USN",'J Book Items Cons.'!V$5:V$3360,"Auxiliary Ships",'J Book Items Cons.'!R$5:R$3360,"&lt;&gt;")+SUMIFS('J Book Items Cons.'!N$5:N$3360,'J Book Items Cons.'!E$5:E$3360,1,'J Book Items Cons.'!S$5:S$3360,"",'J Book Items Cons.'!U$5:U$3360,"USN",'J Book Items Cons.'!V$5:V$3360,"Auxiliary Ships",'J Book Items Cons.'!R$5:R$3360,"",'J Book Items Cons.'!N$5:N$3360,"&lt;&gt;")+SUMIFS('J Book Items Cons.'!L$5:L$3360,'J Book Items Cons.'!E$5:E$3360,1,'J Book Items Cons.'!S$5:S$3360,"",'J Book Items Cons.'!U$5:U$3360,"USN",'J Book Items Cons.'!V$5:V$3360,"Auxiliary Ships",'J Book Items Cons.'!R$5:R$3360,"",'J Book Items Cons.'!N$5:N$3360,"")+SUMIFS('J Book Items Cons.'!R$5:R$3360,'J Book Items Cons.'!E$5:E$3360,1,'J Book Items Cons.'!S$5:S$3360,"[PARENT]",'J Book Items Cons.'!U$5:U$3360,"USN",'J Book Items Cons.'!V$5:V$3360,"Auxiliary Ships",'J Book Items Cons.'!R$5:R$3360,"&lt;&gt;")+SUMIFS('J Book Items Cons.'!N$5:N$3360,'J Book Items Cons.'!E$5:E$3360,1,'J Book Items Cons.'!S$5:S$3360,"[PARENT]",'J Book Items Cons.'!U$5:U$3360,"USN",'J Book Items Cons.'!V$5:V$3360,"Auxiliary Ships",'J Book Items Cons.'!R$5:R$3360,"",'J Book Items Cons.'!N$5:N$3360,"&lt;&gt;")+SUMIFS('J Book Items Cons.'!L$5:L$3360,'J Book Items Cons.'!E$5:E$3360,1,'J Book Items Cons.'!S$5:S$3360,"[PARENT]",'J Book Items Cons.'!U$5:U$3360,"USN",'J Book Items Cons.'!V$5:V$3360,"Auxiliary Ships",'J Book Items Cons.'!R$5:R$3360,"",'J Book Items Cons.'!N$5:N$3360,"")</f>
        <v>0</v>
      </c>
      <c r="I31" s="27">
        <f>SUMIFS('J Book Items Cons.'!R$5:R$3360,'J Book Items Cons.'!E$5:E$3360,1,'J Book Items Cons.'!S$5:S$3360,"",'J Book Items Cons.'!U$5:U$3360,"USCG",'J Book Items Cons.'!V$5:V$3360,"Cutters",'J Book Items Cons.'!R$5:R$3360,"&lt;&gt;")+SUMIFS('J Book Items Cons.'!N$5:N$3360,'J Book Items Cons.'!E$5:E$3360,1,'J Book Items Cons.'!S$5:S$3360,"",'J Book Items Cons.'!U$5:U$3360,"USCG",'J Book Items Cons.'!V$5:V$3360,"Cutters",'J Book Items Cons.'!R$5:R$3360,"",'J Book Items Cons.'!N$5:N$3360,"&lt;&gt;")+SUMIFS('J Book Items Cons.'!L$5:L$3360,'J Book Items Cons.'!E$5:E$3360,1,'J Book Items Cons.'!S$5:S$3360,"",'J Book Items Cons.'!U$5:U$3360,"USCG",'J Book Items Cons.'!V$5:V$3360,"Cutters",'J Book Items Cons.'!R$5:R$3360,"",'J Book Items Cons.'!N$5:N$3360,"")+SUMIFS('J Book Items Cons.'!R$5:R$3360,'J Book Items Cons.'!E$5:E$3360,1,'J Book Items Cons.'!S$5:S$3360,"[PARENT]",'J Book Items Cons.'!U$5:U$3360,"USCG",'J Book Items Cons.'!V$5:V$3360,"Cutters",'J Book Items Cons.'!R$5:R$3360,"&lt;&gt;")+SUMIFS('J Book Items Cons.'!N$5:N$3360,'J Book Items Cons.'!E$5:E$3360,1,'J Book Items Cons.'!S$5:S$3360,"[PARENT]",'J Book Items Cons.'!U$5:U$3360,"USCG",'J Book Items Cons.'!V$5:V$3360,"Cutters",'J Book Items Cons.'!R$5:R$3360,"",'J Book Items Cons.'!N$5:N$3360,"&lt;&gt;")+SUMIFS('J Book Items Cons.'!L$5:L$3360,'J Book Items Cons.'!E$5:E$3360,1,'J Book Items Cons.'!S$5:S$3360,"[PARENT]",'J Book Items Cons.'!U$5:U$3360,"USCG",'J Book Items Cons.'!V$5:V$3360,"Cutters",'J Book Items Cons.'!R$5:R$3360,"",'J Book Items Cons.'!N$5:N$3360,"")</f>
        <v>1256400</v>
      </c>
      <c r="J31" s="14">
        <f t="shared" ref="J31:J37" si="1">SUM(B31:I31)</f>
        <v>42415913</v>
      </c>
      <c r="K31" s="7"/>
      <c r="L31" s="7"/>
      <c r="M31" s="7"/>
      <c r="N31" s="7"/>
      <c r="O31" s="7"/>
      <c r="P31" s="7"/>
      <c r="Q31" s="7"/>
      <c r="R31" s="7"/>
      <c r="S31" s="7"/>
      <c r="T31" s="7"/>
      <c r="U31" s="7"/>
      <c r="V31" s="7"/>
      <c r="W31" s="7"/>
      <c r="X31" s="7"/>
      <c r="Y31" s="7"/>
      <c r="AD31" s="7"/>
      <c r="AE31" s="7"/>
      <c r="AF31" s="7"/>
      <c r="AG31" s="7"/>
      <c r="AH31" s="7"/>
      <c r="AI31" s="7"/>
      <c r="AJ31" s="7"/>
      <c r="AK31" s="7"/>
      <c r="AL31" s="7"/>
      <c r="AM31" s="7"/>
      <c r="AN31" s="7"/>
      <c r="AO31" s="7"/>
      <c r="AP31" s="7"/>
    </row>
    <row r="32" spans="1:42" ht="9.75" customHeight="1" x14ac:dyDescent="0.15">
      <c r="A32" s="7" t="s">
        <v>8823</v>
      </c>
      <c r="B32" s="25">
        <f>SUMIFS('J Book Items Cons.'!R$5:R$3360,'J Book Items Cons.'!E$5:E$3360,2,'J Book Items Cons.'!S$5:S$3360,"",'J Book Items Cons.'!U$5:U$3360,"USN",'J Book Items Cons.'!V$5:V$3360,"Combatant Ships",'J Book Items Cons.'!R$5:R$3360,"&lt;&gt;")+SUMIFS('J Book Items Cons.'!N$5:N$3360,'J Book Items Cons.'!E$5:E$3360,2,'J Book Items Cons.'!S$5:S$3360,"",'J Book Items Cons.'!U$5:U$3360,"USN",'J Book Items Cons.'!V$5:V$3360,"Combatant Ships",'J Book Items Cons.'!R$5:R$3360,"",'J Book Items Cons.'!N$5:N$3360,"&lt;&gt;")+SUMIFS('J Book Items Cons.'!L$5:L$3360,'J Book Items Cons.'!E$5:E$3360,2,'J Book Items Cons.'!S$5:S$3360,"",'J Book Items Cons.'!U$5:U$3360,"USN",'J Book Items Cons.'!V$5:V$3360,"Combatant Ships",'J Book Items Cons.'!R$5:R$3360,"",'J Book Items Cons.'!N$5:N$3360,"")+SUMIFS('J Book Items Cons.'!R$5:R$3360,'J Book Items Cons.'!E$5:E$3360,2,'J Book Items Cons.'!S$5:S$3360,"[PARENT]",'J Book Items Cons.'!U$5:U$3360,"USN",'J Book Items Cons.'!V$5:V$3360,"Combatant Ships",'J Book Items Cons.'!R$5:R$3360,"&lt;&gt;")+SUMIFS('J Book Items Cons.'!N$5:N$3360,'J Book Items Cons.'!E$5:E$3360,2,'J Book Items Cons.'!S$5:S$3360,"[PARENT]",'J Book Items Cons.'!U$5:U$3360,"USN",'J Book Items Cons.'!V$5:V$3360,"Combatant Ships",'J Book Items Cons.'!R$5:R$3360,"",'J Book Items Cons.'!N$5:N$3360,"&lt;&gt;")+SUMIFS('J Book Items Cons.'!L$5:L$3360,'J Book Items Cons.'!E$5:E$3360,2,'J Book Items Cons.'!S$5:S$3360,"[PARENT]",'J Book Items Cons.'!U$5:U$3360,"USN",'J Book Items Cons.'!V$5:V$3360,"Combatant Ships",'J Book Items Cons.'!R$5:R$3360,"",'J Book Items Cons.'!N$5:N$3360,"")</f>
        <v>11777059</v>
      </c>
      <c r="C32" s="14">
        <f>SUMIFS('J Book Items Cons.'!R$5:R$3360,'J Book Items Cons.'!E$5:E$3360,2,'J Book Items Cons.'!S$5:S$3360,"",'J Book Items Cons.'!U$5:U$3360,"MSC",'J Book Items Cons.'!V$5:V$3360,"Combatant Ships",'J Book Items Cons.'!R$5:R$3360,"&lt;&gt;")+SUMIFS('J Book Items Cons.'!N$5:N$3360,'J Book Items Cons.'!E$5:E$3360,2,'J Book Items Cons.'!S$5:S$3360,"",'J Book Items Cons.'!U$5:U$3360,"MSC",'J Book Items Cons.'!V$5:V$3360,"Combatant Ships",'J Book Items Cons.'!R$5:R$3360,"",'J Book Items Cons.'!N$5:N$3360,"&lt;&gt;")+SUMIFS('J Book Items Cons.'!L$5:L$3360,'J Book Items Cons.'!E$5:E$3360,2,'J Book Items Cons.'!S$5:S$3360,"",'J Book Items Cons.'!U$5:U$3360,"MSC",'J Book Items Cons.'!V$5:V$3360,"Combatant Ships",'J Book Items Cons.'!R$5:R$3360,"",'J Book Items Cons.'!N$5:N$3360,"")+SUMIFS('J Book Items Cons.'!R$5:R$3360,'J Book Items Cons.'!E$5:E$3360,2,'J Book Items Cons.'!S$5:S$3360,"[PARENT]",'J Book Items Cons.'!U$5:U$3360,"MSC",'J Book Items Cons.'!V$5:V$3360,"Combatant Ships",'J Book Items Cons.'!R$5:R$3360,"&lt;&gt;")+SUMIFS('J Book Items Cons.'!N$5:N$3360,'J Book Items Cons.'!E$5:E$3360,2,'J Book Items Cons.'!S$5:S$3360,"[PARENT]",'J Book Items Cons.'!U$5:U$3360,"MSC",'J Book Items Cons.'!V$5:V$3360,"Combatant Ships",'J Book Items Cons.'!R$5:R$3360,"",'J Book Items Cons.'!N$5:N$3360,"&lt;&gt;")+SUMIFS('J Book Items Cons.'!L$5:L$3360,'J Book Items Cons.'!E$5:E$3360,2,'J Book Items Cons.'!S$5:S$3360,"[PARENT]",'J Book Items Cons.'!U$5:U$3360,"MSC",'J Book Items Cons.'!V$5:V$3360,"Combatant Ships",'J Book Items Cons.'!R$5:R$3360,"",'J Book Items Cons.'!N$5:N$3360,"")</f>
        <v>0</v>
      </c>
      <c r="D32" s="14">
        <f>SUMIFS('J Book Items Cons.'!R$5:R$3360,'J Book Items Cons.'!E$5:E$3360,2,'J Book Items Cons.'!S$5:S$3360,"",'J Book Items Cons.'!U$5:U$3360,"USN",'J Book Items Cons.'!V$5:V$3360,"Unmanned Maritime Platforms",'J Book Items Cons.'!R$5:R$3360,"&lt;&gt;")+SUMIFS('J Book Items Cons.'!N$5:N$3360,'J Book Items Cons.'!E$5:E$3360,2,'J Book Items Cons.'!S$5:S$3360,"",'J Book Items Cons.'!U$5:U$3360,"USN",'J Book Items Cons.'!V$5:V$3360,"Unmanned Maritime Platforms",'J Book Items Cons.'!R$5:R$3360,"",'J Book Items Cons.'!N$5:N$3360,"&lt;&gt;")+SUMIFS('J Book Items Cons.'!L$5:L$3360,'J Book Items Cons.'!E$5:E$3360,2,'J Book Items Cons.'!S$5:S$3360,"",'J Book Items Cons.'!U$5:U$3360,"USN",'J Book Items Cons.'!V$5:V$3360,"Unmanned Maritime Platforms",'J Book Items Cons.'!R$5:R$3360,"",'J Book Items Cons.'!N$5:N$3360,"")+SUMIFS('J Book Items Cons.'!R$5:R$3360,'J Book Items Cons.'!E$5:E$3360,2,'J Book Items Cons.'!S$5:S$3360,"[PARENT]",'J Book Items Cons.'!U$5:U$3360,"USN",'J Book Items Cons.'!V$5:V$3360,"Unmanned Maritime Platforms",'J Book Items Cons.'!R$5:R$3360,"&lt;&gt;")+SUMIFS('J Book Items Cons.'!N$5:N$3360,'J Book Items Cons.'!E$5:E$3360,2,'J Book Items Cons.'!S$5:S$3360,"[PARENT]",'J Book Items Cons.'!U$5:U$3360,"USN",'J Book Items Cons.'!V$5:V$3360,"Unmanned Maritime Platforms",'J Book Items Cons.'!R$5:R$3360,"",'J Book Items Cons.'!N$5:N$3360,"&lt;&gt;")+SUMIFS('J Book Items Cons.'!L$5:L$3360,'J Book Items Cons.'!E$5:E$3360,2,'J Book Items Cons.'!S$5:S$3360,"[PARENT]",'J Book Items Cons.'!U$5:U$3360,"USN",'J Book Items Cons.'!V$5:V$3360,"Unmanned Maritime Platforms",'J Book Items Cons.'!R$5:R$3360,"",'J Book Items Cons.'!N$5:N$3360,"")</f>
        <v>0</v>
      </c>
      <c r="E32" s="14">
        <f>SUMIFS('J Book Items Cons.'!R$5:R$3360,'J Book Items Cons.'!E$5:E$3360,2,'J Book Items Cons.'!S$5:S$3360,"",'J Book Items Cons.'!U$5:U$3360,"USN",'J Book Items Cons.'!V$5:V$3360,"Combatant Crafts",'J Book Items Cons.'!R$5:R$3360,"&lt;&gt;")+SUMIFS('J Book Items Cons.'!N$5:N$3360,'J Book Items Cons.'!E$5:E$3360,2,'J Book Items Cons.'!S$5:S$3360,"",'J Book Items Cons.'!U$5:U$3360,"USN",'J Book Items Cons.'!V$5:V$3360,"Combatant Crafts",'J Book Items Cons.'!R$5:R$3360,"",'J Book Items Cons.'!N$5:N$3360,"&lt;&gt;")+SUMIFS('J Book Items Cons.'!L$5:L$3360,'J Book Items Cons.'!E$5:E$3360,2,'J Book Items Cons.'!S$5:S$3360,"",'J Book Items Cons.'!U$5:U$3360,"USN",'J Book Items Cons.'!V$5:V$3360,"Combatant Crafts",'J Book Items Cons.'!R$5:R$3360,"",'J Book Items Cons.'!N$5:N$3360,"")+SUMIFS('J Book Items Cons.'!R$5:R$3360,'J Book Items Cons.'!E$5:E$3360,2,'J Book Items Cons.'!S$5:S$3360,"[PARENT]",'J Book Items Cons.'!U$5:U$3360,"USN",'J Book Items Cons.'!V$5:V$3360,"Combatant Crafts",'J Book Items Cons.'!R$5:R$3360,"&lt;&gt;")+SUMIFS('J Book Items Cons.'!N$5:N$3360,'J Book Items Cons.'!E$5:E$3360,2,'J Book Items Cons.'!S$5:S$3360,"[PARENT]",'J Book Items Cons.'!U$5:U$3360,"USN",'J Book Items Cons.'!V$5:V$3360,"Combatant Crafts",'J Book Items Cons.'!R$5:R$3360,"",'J Book Items Cons.'!N$5:N$3360,"&lt;&gt;")+SUMIFS('J Book Items Cons.'!L$5:L$3360,'J Book Items Cons.'!E$5:E$3360,2,'J Book Items Cons.'!S$5:S$3360,"[PARENT]",'J Book Items Cons.'!U$5:U$3360,"USN",'J Book Items Cons.'!V$5:V$3360,"Combatant Crafts",'J Book Items Cons.'!R$5:R$3360,"",'J Book Items Cons.'!N$5:N$3360,"")</f>
        <v>1632</v>
      </c>
      <c r="F32" s="14">
        <f>SUMIFS('J Book Items Cons.'!R$5:R$3360,'J Book Items Cons.'!E$5:E$3360,2,'J Book Items Cons.'!S$5:S$3360,"",'J Book Items Cons.'!U$5:U$3360,"MSC",'J Book Items Cons.'!V$5:V$3360,"Auxiliary Ships",'J Book Items Cons.'!R$5:R$3360,"&lt;&gt;")+SUMIFS('J Book Items Cons.'!N$5:N$3360,'J Book Items Cons.'!E$5:E$3360,2,'J Book Items Cons.'!S$5:S$3360,"",'J Book Items Cons.'!U$5:U$3360,"MSC",'J Book Items Cons.'!V$5:V$3360,"Auxiliary Ships",'J Book Items Cons.'!R$5:R$3360,"",'J Book Items Cons.'!N$5:N$3360,"&lt;&gt;")+SUMIFS('J Book Items Cons.'!L$5:L$3360,'J Book Items Cons.'!E$5:E$3360,2,'J Book Items Cons.'!S$5:S$3360,"",'J Book Items Cons.'!U$5:U$3360,"MSC",'J Book Items Cons.'!V$5:V$3360,"Auxiliary Ships",'J Book Items Cons.'!R$5:R$3360,"",'J Book Items Cons.'!N$5:N$3360,"")+SUMIFS('J Book Items Cons.'!R$5:R$3360,'J Book Items Cons.'!E$5:E$3360,2,'J Book Items Cons.'!S$5:S$3360,"[PARENT]",'J Book Items Cons.'!U$5:U$3360,"MSC",'J Book Items Cons.'!V$5:V$3360,"Auxiliary Ships",'J Book Items Cons.'!R$5:R$3360,"&lt;&gt;")+SUMIFS('J Book Items Cons.'!N$5:N$3360,'J Book Items Cons.'!E$5:E$3360,2,'J Book Items Cons.'!S$5:S$3360,"[PARENT]",'J Book Items Cons.'!U$5:U$3360,"MSC",'J Book Items Cons.'!V$5:V$3360,"Auxiliary Ships",'J Book Items Cons.'!R$5:R$3360,"",'J Book Items Cons.'!N$5:N$3360,"&lt;&gt;")+SUMIFS('J Book Items Cons.'!L$5:L$3360,'J Book Items Cons.'!E$5:E$3360,2,'J Book Items Cons.'!S$5:S$3360,"[PARENT]",'J Book Items Cons.'!U$5:U$3360,"MSC",'J Book Items Cons.'!V$5:V$3360,"Auxiliary Ships",'J Book Items Cons.'!R$5:R$3360,"",'J Book Items Cons.'!N$5:N$3360,"")</f>
        <v>0</v>
      </c>
      <c r="G32" s="14">
        <f>SUMIFS('J Book Items Cons.'!R$5:R$3360,'J Book Items Cons.'!E$5:E$3360,2,'J Book Items Cons.'!S$5:S$3360,"",'J Book Items Cons.'!U$5:U$3360,"USN",'J Book Items Cons.'!V$5:V$3360,"Support Crafts",'J Book Items Cons.'!R$5:R$3360,"&lt;&gt;")+SUMIFS('J Book Items Cons.'!N$5:N$3360,'J Book Items Cons.'!E$5:E$3360,2,'J Book Items Cons.'!S$5:S$3360,"",'J Book Items Cons.'!U$5:U$3360,"USN",'J Book Items Cons.'!V$5:V$3360,"Support Crafts",'J Book Items Cons.'!R$5:R$3360,"",'J Book Items Cons.'!N$5:N$3360,"&lt;&gt;")+SUMIFS('J Book Items Cons.'!L$5:L$3360,'J Book Items Cons.'!E$5:E$3360,2,'J Book Items Cons.'!S$5:S$3360,"",'J Book Items Cons.'!U$5:U$3360,"USN",'J Book Items Cons.'!V$5:V$3360,"Support Crafts",'J Book Items Cons.'!R$5:R$3360,"",'J Book Items Cons.'!N$5:N$3360,"")+SUMIFS('J Book Items Cons.'!R$5:R$3360,'J Book Items Cons.'!E$5:E$3360,2,'J Book Items Cons.'!S$5:S$3360,"[PARENT]",'J Book Items Cons.'!U$5:U$3360,"USN",'J Book Items Cons.'!V$5:V$3360,"Support Crafts",'J Book Items Cons.'!R$5:R$3360,"&lt;&gt;")+SUMIFS('J Book Items Cons.'!N$5:N$3360,'J Book Items Cons.'!E$5:E$3360,2,'J Book Items Cons.'!S$5:S$3360,"[PARENT]",'J Book Items Cons.'!U$5:U$3360,"USN",'J Book Items Cons.'!V$5:V$3360,"Support Crafts",'J Book Items Cons.'!R$5:R$3360,"",'J Book Items Cons.'!N$5:N$3360,"&lt;&gt;")+SUMIFS('J Book Items Cons.'!L$5:L$3360,'J Book Items Cons.'!E$5:E$3360,2,'J Book Items Cons.'!S$5:S$3360,"[PARENT]",'J Book Items Cons.'!U$5:U$3360,"USN",'J Book Items Cons.'!V$5:V$3360,"Support Crafts",'J Book Items Cons.'!R$5:R$3360,"",'J Book Items Cons.'!N$5:N$3360,"")</f>
        <v>0</v>
      </c>
      <c r="H32" s="26">
        <f>SUMIFS('J Book Items Cons.'!R$5:R$3360,'J Book Items Cons.'!E$5:E$3360,2,'J Book Items Cons.'!S$5:S$3360,"",'J Book Items Cons.'!U$5:U$3360,"USN",'J Book Items Cons.'!V$5:V$3360,"Auxiliary Ships",'J Book Items Cons.'!R$5:R$3360,"&lt;&gt;")+SUMIFS('J Book Items Cons.'!N$5:N$3360,'J Book Items Cons.'!E$5:E$3360,2,'J Book Items Cons.'!S$5:S$3360,"",'J Book Items Cons.'!U$5:U$3360,"USN",'J Book Items Cons.'!V$5:V$3360,"Auxiliary Ships",'J Book Items Cons.'!R$5:R$3360,"",'J Book Items Cons.'!N$5:N$3360,"&lt;&gt;")+SUMIFS('J Book Items Cons.'!L$5:L$3360,'J Book Items Cons.'!E$5:E$3360,2,'J Book Items Cons.'!S$5:S$3360,"",'J Book Items Cons.'!U$5:U$3360,"USN",'J Book Items Cons.'!V$5:V$3360,"Auxiliary Ships",'J Book Items Cons.'!R$5:R$3360,"",'J Book Items Cons.'!N$5:N$3360,"")+SUMIFS('J Book Items Cons.'!R$5:R$3360,'J Book Items Cons.'!E$5:E$3360,2,'J Book Items Cons.'!S$5:S$3360,"[PARENT]",'J Book Items Cons.'!U$5:U$3360,"USN",'J Book Items Cons.'!V$5:V$3360,"Auxiliary Ships",'J Book Items Cons.'!R$5:R$3360,"&lt;&gt;")+SUMIFS('J Book Items Cons.'!N$5:N$3360,'J Book Items Cons.'!E$5:E$3360,2,'J Book Items Cons.'!S$5:S$3360,"[PARENT]",'J Book Items Cons.'!U$5:U$3360,"USN",'J Book Items Cons.'!V$5:V$3360,"Auxiliary Ships",'J Book Items Cons.'!R$5:R$3360,"",'J Book Items Cons.'!N$5:N$3360,"&lt;&gt;")+SUMIFS('J Book Items Cons.'!L$5:L$3360,'J Book Items Cons.'!E$5:E$3360,2,'J Book Items Cons.'!S$5:S$3360,"[PARENT]",'J Book Items Cons.'!U$5:U$3360,"USN",'J Book Items Cons.'!V$5:V$3360,"Auxiliary Ships",'J Book Items Cons.'!R$5:R$3360,"",'J Book Items Cons.'!N$5:N$3360,"")</f>
        <v>0</v>
      </c>
      <c r="I32" s="27">
        <f>SUMIFS('J Book Items Cons.'!R$5:R$3360,'J Book Items Cons.'!E$5:E$3360,2,'J Book Items Cons.'!S$5:S$3360,"",'J Book Items Cons.'!U$5:U$3360,"USCG",'J Book Items Cons.'!V$5:V$3360,"Cutters",'J Book Items Cons.'!R$5:R$3360,"&lt;&gt;")+SUMIFS('J Book Items Cons.'!N$5:N$3360,'J Book Items Cons.'!E$5:E$3360,2,'J Book Items Cons.'!S$5:S$3360,"",'J Book Items Cons.'!U$5:U$3360,"USCG",'J Book Items Cons.'!V$5:V$3360,"Cutters",'J Book Items Cons.'!R$5:R$3360,"",'J Book Items Cons.'!N$5:N$3360,"&lt;&gt;")+SUMIFS('J Book Items Cons.'!L$5:L$3360,'J Book Items Cons.'!E$5:E$3360,2,'J Book Items Cons.'!S$5:S$3360,"",'J Book Items Cons.'!U$5:U$3360,"USCG",'J Book Items Cons.'!V$5:V$3360,"Cutters",'J Book Items Cons.'!R$5:R$3360,"",'J Book Items Cons.'!N$5:N$3360,"")+SUMIFS('J Book Items Cons.'!R$5:R$3360,'J Book Items Cons.'!E$5:E$3360,2,'J Book Items Cons.'!S$5:S$3360,"[PARENT]",'J Book Items Cons.'!U$5:U$3360,"USCG",'J Book Items Cons.'!V$5:V$3360,"Cutters",'J Book Items Cons.'!R$5:R$3360,"&lt;&gt;")+SUMIFS('J Book Items Cons.'!N$5:N$3360,'J Book Items Cons.'!E$5:E$3360,2,'J Book Items Cons.'!S$5:S$3360,"[PARENT]",'J Book Items Cons.'!U$5:U$3360,"USCG",'J Book Items Cons.'!V$5:V$3360,"Cutters",'J Book Items Cons.'!R$5:R$3360,"",'J Book Items Cons.'!N$5:N$3360,"&lt;&gt;")+SUMIFS('J Book Items Cons.'!L$5:L$3360,'J Book Items Cons.'!E$5:E$3360,2,'J Book Items Cons.'!S$5:S$3360,"[PARENT]",'J Book Items Cons.'!U$5:U$3360,"USCG",'J Book Items Cons.'!V$5:V$3360,"Cutters",'J Book Items Cons.'!R$5:R$3360,"",'J Book Items Cons.'!N$5:N$3360,"")</f>
        <v>0</v>
      </c>
      <c r="J32" s="14">
        <f t="shared" si="1"/>
        <v>11778691</v>
      </c>
      <c r="K32" s="7"/>
      <c r="L32" s="7"/>
      <c r="M32" s="7"/>
      <c r="N32" s="7"/>
      <c r="O32" s="7"/>
      <c r="P32" s="7"/>
      <c r="Q32" s="7"/>
      <c r="R32" s="7"/>
      <c r="S32" s="7"/>
      <c r="T32" s="7"/>
      <c r="U32" s="7"/>
      <c r="V32" s="7"/>
      <c r="W32" s="7"/>
      <c r="X32" s="7"/>
      <c r="Y32" s="7"/>
      <c r="AD32" s="7"/>
      <c r="AE32" s="7"/>
      <c r="AF32" s="7"/>
      <c r="AG32" s="7"/>
      <c r="AH32" s="7"/>
      <c r="AI32" s="7"/>
      <c r="AJ32" s="7"/>
      <c r="AK32" s="7"/>
      <c r="AL32" s="7"/>
      <c r="AM32" s="7"/>
      <c r="AN32" s="7"/>
      <c r="AO32" s="7"/>
      <c r="AP32" s="7"/>
    </row>
    <row r="33" spans="1:42" ht="9.75" customHeight="1" x14ac:dyDescent="0.15">
      <c r="A33" s="7" t="s">
        <v>8824</v>
      </c>
      <c r="B33" s="25">
        <f>SUMIFS('J Book Items Cons.'!R$5:R$3360,'J Book Items Cons.'!E$5:E$3360,3,'J Book Items Cons.'!S$5:S$3360,"",'J Book Items Cons.'!U$5:U$3360,"USN",'J Book Items Cons.'!V$5:V$3360,"Combatant Ships",'J Book Items Cons.'!R$5:R$3360,"&lt;&gt;")+SUMIFS('J Book Items Cons.'!N$5:N$3360,'J Book Items Cons.'!E$5:E$3360,3,'J Book Items Cons.'!S$5:S$3360,"",'J Book Items Cons.'!U$5:U$3360,"USN",'J Book Items Cons.'!V$5:V$3360,"Combatant Ships",'J Book Items Cons.'!R$5:R$3360,"",'J Book Items Cons.'!N$5:N$3360,"&lt;&gt;")+SUMIFS('J Book Items Cons.'!L$5:L$3360,'J Book Items Cons.'!E$5:E$3360,3,'J Book Items Cons.'!S$5:S$3360,"",'J Book Items Cons.'!U$5:U$3360,"USN",'J Book Items Cons.'!V$5:V$3360,"Combatant Ships",'J Book Items Cons.'!R$5:R$3360,"",'J Book Items Cons.'!N$5:N$3360,"")+SUMIFS('J Book Items Cons.'!R$5:R$3360,'J Book Items Cons.'!E$5:E$3360,3,'J Book Items Cons.'!S$5:S$3360,"[PARENT]",'J Book Items Cons.'!U$5:U$3360,"USN",'J Book Items Cons.'!V$5:V$3360,"Combatant Ships",'J Book Items Cons.'!R$5:R$3360,"&lt;&gt;")+SUMIFS('J Book Items Cons.'!N$5:N$3360,'J Book Items Cons.'!E$5:E$3360,3,'J Book Items Cons.'!S$5:S$3360,"[PARENT]",'J Book Items Cons.'!U$5:U$3360,"USN",'J Book Items Cons.'!V$5:V$3360,"Combatant Ships",'J Book Items Cons.'!R$5:R$3360,"",'J Book Items Cons.'!N$5:N$3360,"&lt;&gt;")+SUMIFS('J Book Items Cons.'!L$5:L$3360,'J Book Items Cons.'!E$5:E$3360,3,'J Book Items Cons.'!S$5:S$3360,"[PARENT]",'J Book Items Cons.'!U$5:U$3360,"USN",'J Book Items Cons.'!V$5:V$3360,"Combatant Ships",'J Book Items Cons.'!R$5:R$3360,"",'J Book Items Cons.'!N$5:N$3360,"")</f>
        <v>207938</v>
      </c>
      <c r="C33" s="14">
        <f>SUMIFS('J Book Items Cons.'!R$5:R$3360,'J Book Items Cons.'!E$5:E$3360,3,'J Book Items Cons.'!S$5:S$3360,"",'J Book Items Cons.'!U$5:U$3360,"MSC",'J Book Items Cons.'!V$5:V$3360,"Combatant Ships",'J Book Items Cons.'!R$5:R$3360,"&lt;&gt;")+SUMIFS('J Book Items Cons.'!N$5:N$3360,'J Book Items Cons.'!E$5:E$3360,3,'J Book Items Cons.'!S$5:S$3360,"",'J Book Items Cons.'!U$5:U$3360,"MSC",'J Book Items Cons.'!V$5:V$3360,"Combatant Ships",'J Book Items Cons.'!R$5:R$3360,"",'J Book Items Cons.'!N$5:N$3360,"&lt;&gt;")+SUMIFS('J Book Items Cons.'!L$5:L$3360,'J Book Items Cons.'!E$5:E$3360,3,'J Book Items Cons.'!S$5:S$3360,"",'J Book Items Cons.'!U$5:U$3360,"MSC",'J Book Items Cons.'!V$5:V$3360,"Combatant Ships",'J Book Items Cons.'!R$5:R$3360,"",'J Book Items Cons.'!N$5:N$3360,"")+SUMIFS('J Book Items Cons.'!R$5:R$3360,'J Book Items Cons.'!E$5:E$3360,3,'J Book Items Cons.'!S$5:S$3360,"[PARENT]",'J Book Items Cons.'!U$5:U$3360,"MSC",'J Book Items Cons.'!V$5:V$3360,"Combatant Ships",'J Book Items Cons.'!R$5:R$3360,"&lt;&gt;")+SUMIFS('J Book Items Cons.'!N$5:N$3360,'J Book Items Cons.'!E$5:E$3360,3,'J Book Items Cons.'!S$5:S$3360,"[PARENT]",'J Book Items Cons.'!U$5:U$3360,"MSC",'J Book Items Cons.'!V$5:V$3360,"Combatant Ships",'J Book Items Cons.'!R$5:R$3360,"",'J Book Items Cons.'!N$5:N$3360,"&lt;&gt;")+SUMIFS('J Book Items Cons.'!L$5:L$3360,'J Book Items Cons.'!E$5:E$3360,3,'J Book Items Cons.'!S$5:S$3360,"[PARENT]",'J Book Items Cons.'!U$5:U$3360,"MSC",'J Book Items Cons.'!V$5:V$3360,"Combatant Ships",'J Book Items Cons.'!R$5:R$3360,"",'J Book Items Cons.'!N$5:N$3360,"")</f>
        <v>0</v>
      </c>
      <c r="D33" s="14">
        <f>SUMIFS('J Book Items Cons.'!R$5:R$3360,'J Book Items Cons.'!E$5:E$3360,3,'J Book Items Cons.'!S$5:S$3360,"",'J Book Items Cons.'!U$5:U$3360,"USN",'J Book Items Cons.'!V$5:V$3360,"Unmanned Maritime Platforms",'J Book Items Cons.'!R$5:R$3360,"&lt;&gt;")+SUMIFS('J Book Items Cons.'!N$5:N$3360,'J Book Items Cons.'!E$5:E$3360,3,'J Book Items Cons.'!S$5:S$3360,"",'J Book Items Cons.'!U$5:U$3360,"USN",'J Book Items Cons.'!V$5:V$3360,"Unmanned Maritime Platforms",'J Book Items Cons.'!R$5:R$3360,"",'J Book Items Cons.'!N$5:N$3360,"&lt;&gt;")+SUMIFS('J Book Items Cons.'!L$5:L$3360,'J Book Items Cons.'!E$5:E$3360,3,'J Book Items Cons.'!S$5:S$3360,"",'J Book Items Cons.'!U$5:U$3360,"USN",'J Book Items Cons.'!V$5:V$3360,"Unmanned Maritime Platforms",'J Book Items Cons.'!R$5:R$3360,"",'J Book Items Cons.'!N$5:N$3360,"")+SUMIFS('J Book Items Cons.'!R$5:R$3360,'J Book Items Cons.'!E$5:E$3360,3,'J Book Items Cons.'!S$5:S$3360,"[PARENT]",'J Book Items Cons.'!U$5:U$3360,"USN",'J Book Items Cons.'!V$5:V$3360,"Unmanned Maritime Platforms",'J Book Items Cons.'!R$5:R$3360,"&lt;&gt;")+SUMIFS('J Book Items Cons.'!N$5:N$3360,'J Book Items Cons.'!E$5:E$3360,3,'J Book Items Cons.'!S$5:S$3360,"[PARENT]",'J Book Items Cons.'!U$5:U$3360,"USN",'J Book Items Cons.'!V$5:V$3360,"Unmanned Maritime Platforms",'J Book Items Cons.'!R$5:R$3360,"",'J Book Items Cons.'!N$5:N$3360,"&lt;&gt;")+SUMIFS('J Book Items Cons.'!L$5:L$3360,'J Book Items Cons.'!E$5:E$3360,3,'J Book Items Cons.'!S$5:S$3360,"[PARENT]",'J Book Items Cons.'!U$5:U$3360,"USN",'J Book Items Cons.'!V$5:V$3360,"Unmanned Maritime Platforms",'J Book Items Cons.'!R$5:R$3360,"",'J Book Items Cons.'!N$5:N$3360,"")</f>
        <v>0</v>
      </c>
      <c r="E33" s="14">
        <f>SUMIFS('J Book Items Cons.'!R$5:R$3360,'J Book Items Cons.'!E$5:E$3360,3,'J Book Items Cons.'!S$5:S$3360,"",'J Book Items Cons.'!U$5:U$3360,"USN",'J Book Items Cons.'!V$5:V$3360,"Combatant Crafts",'J Book Items Cons.'!R$5:R$3360,"&lt;&gt;")+SUMIFS('J Book Items Cons.'!N$5:N$3360,'J Book Items Cons.'!E$5:E$3360,3,'J Book Items Cons.'!S$5:S$3360,"",'J Book Items Cons.'!U$5:U$3360,"USN",'J Book Items Cons.'!V$5:V$3360,"Combatant Crafts",'J Book Items Cons.'!R$5:R$3360,"",'J Book Items Cons.'!N$5:N$3360,"&lt;&gt;")+SUMIFS('J Book Items Cons.'!L$5:L$3360,'J Book Items Cons.'!E$5:E$3360,3,'J Book Items Cons.'!S$5:S$3360,"",'J Book Items Cons.'!U$5:U$3360,"USN",'J Book Items Cons.'!V$5:V$3360,"Combatant Crafts",'J Book Items Cons.'!R$5:R$3360,"",'J Book Items Cons.'!N$5:N$3360,"")+SUMIFS('J Book Items Cons.'!R$5:R$3360,'J Book Items Cons.'!E$5:E$3360,3,'J Book Items Cons.'!S$5:S$3360,"[PARENT]",'J Book Items Cons.'!U$5:U$3360,"USN",'J Book Items Cons.'!V$5:V$3360,"Combatant Crafts",'J Book Items Cons.'!R$5:R$3360,"&lt;&gt;")+SUMIFS('J Book Items Cons.'!N$5:N$3360,'J Book Items Cons.'!E$5:E$3360,3,'J Book Items Cons.'!S$5:S$3360,"[PARENT]",'J Book Items Cons.'!U$5:U$3360,"USN",'J Book Items Cons.'!V$5:V$3360,"Combatant Crafts",'J Book Items Cons.'!R$5:R$3360,"",'J Book Items Cons.'!N$5:N$3360,"&lt;&gt;")+SUMIFS('J Book Items Cons.'!L$5:L$3360,'J Book Items Cons.'!E$5:E$3360,3,'J Book Items Cons.'!S$5:S$3360,"[PARENT]",'J Book Items Cons.'!U$5:U$3360,"USN",'J Book Items Cons.'!V$5:V$3360,"Combatant Crafts",'J Book Items Cons.'!R$5:R$3360,"",'J Book Items Cons.'!N$5:N$3360,"")</f>
        <v>7952</v>
      </c>
      <c r="F33" s="14">
        <f>SUMIFS('J Book Items Cons.'!R$5:R$3360,'J Book Items Cons.'!E$5:E$3360,3,'J Book Items Cons.'!S$5:S$3360,"",'J Book Items Cons.'!U$5:U$3360,"MSC",'J Book Items Cons.'!V$5:V$3360,"Auxiliary Ships",'J Book Items Cons.'!R$5:R$3360,"&lt;&gt;")+SUMIFS('J Book Items Cons.'!N$5:N$3360,'J Book Items Cons.'!E$5:E$3360,3,'J Book Items Cons.'!S$5:S$3360,"",'J Book Items Cons.'!U$5:U$3360,"MSC",'J Book Items Cons.'!V$5:V$3360,"Auxiliary Ships",'J Book Items Cons.'!R$5:R$3360,"",'J Book Items Cons.'!N$5:N$3360,"&lt;&gt;")+SUMIFS('J Book Items Cons.'!L$5:L$3360,'J Book Items Cons.'!E$5:E$3360,3,'J Book Items Cons.'!S$5:S$3360,"",'J Book Items Cons.'!U$5:U$3360,"MSC",'J Book Items Cons.'!V$5:V$3360,"Auxiliary Ships",'J Book Items Cons.'!R$5:R$3360,"",'J Book Items Cons.'!N$5:N$3360,"")+SUMIFS('J Book Items Cons.'!R$5:R$3360,'J Book Items Cons.'!E$5:E$3360,3,'J Book Items Cons.'!S$5:S$3360,"[PARENT]",'J Book Items Cons.'!U$5:U$3360,"MSC",'J Book Items Cons.'!V$5:V$3360,"Auxiliary Ships",'J Book Items Cons.'!R$5:R$3360,"&lt;&gt;")+SUMIFS('J Book Items Cons.'!N$5:N$3360,'J Book Items Cons.'!E$5:E$3360,3,'J Book Items Cons.'!S$5:S$3360,"[PARENT]",'J Book Items Cons.'!U$5:U$3360,"MSC",'J Book Items Cons.'!V$5:V$3360,"Auxiliary Ships",'J Book Items Cons.'!R$5:R$3360,"",'J Book Items Cons.'!N$5:N$3360,"&lt;&gt;")+SUMIFS('J Book Items Cons.'!L$5:L$3360,'J Book Items Cons.'!E$5:E$3360,3,'J Book Items Cons.'!S$5:S$3360,"[PARENT]",'J Book Items Cons.'!U$5:U$3360,"MSC",'J Book Items Cons.'!V$5:V$3360,"Auxiliary Ships",'J Book Items Cons.'!R$5:R$3360,"",'J Book Items Cons.'!N$5:N$3360,"")</f>
        <v>0</v>
      </c>
      <c r="G33" s="14">
        <f>SUMIFS('J Book Items Cons.'!R$5:R$3360,'J Book Items Cons.'!E$5:E$3360,3,'J Book Items Cons.'!S$5:S$3360,"",'J Book Items Cons.'!U$5:U$3360,"USN",'J Book Items Cons.'!V$5:V$3360,"Support Crafts",'J Book Items Cons.'!R$5:R$3360,"&lt;&gt;")+SUMIFS('J Book Items Cons.'!N$5:N$3360,'J Book Items Cons.'!E$5:E$3360,3,'J Book Items Cons.'!S$5:S$3360,"",'J Book Items Cons.'!U$5:U$3360,"USN",'J Book Items Cons.'!V$5:V$3360,"Support Crafts",'J Book Items Cons.'!R$5:R$3360,"",'J Book Items Cons.'!N$5:N$3360,"&lt;&gt;")+SUMIFS('J Book Items Cons.'!L$5:L$3360,'J Book Items Cons.'!E$5:E$3360,3,'J Book Items Cons.'!S$5:S$3360,"",'J Book Items Cons.'!U$5:U$3360,"USN",'J Book Items Cons.'!V$5:V$3360,"Support Crafts",'J Book Items Cons.'!R$5:R$3360,"",'J Book Items Cons.'!N$5:N$3360,"")+SUMIFS('J Book Items Cons.'!R$5:R$3360,'J Book Items Cons.'!E$5:E$3360,3,'J Book Items Cons.'!S$5:S$3360,"[PARENT]",'J Book Items Cons.'!U$5:U$3360,"USN",'J Book Items Cons.'!V$5:V$3360,"Support Crafts",'J Book Items Cons.'!R$5:R$3360,"&lt;&gt;")+SUMIFS('J Book Items Cons.'!N$5:N$3360,'J Book Items Cons.'!E$5:E$3360,3,'J Book Items Cons.'!S$5:S$3360,"[PARENT]",'J Book Items Cons.'!U$5:U$3360,"USN",'J Book Items Cons.'!V$5:V$3360,"Support Crafts",'J Book Items Cons.'!R$5:R$3360,"",'J Book Items Cons.'!N$5:N$3360,"&lt;&gt;")+SUMIFS('J Book Items Cons.'!L$5:L$3360,'J Book Items Cons.'!E$5:E$3360,3,'J Book Items Cons.'!S$5:S$3360,"[PARENT]",'J Book Items Cons.'!U$5:U$3360,"USN",'J Book Items Cons.'!V$5:V$3360,"Support Crafts",'J Book Items Cons.'!R$5:R$3360,"",'J Book Items Cons.'!N$5:N$3360,"")</f>
        <v>0</v>
      </c>
      <c r="H33" s="26">
        <f>SUMIFS('J Book Items Cons.'!R$5:R$3360,'J Book Items Cons.'!E$5:E$3360,3,'J Book Items Cons.'!S$5:S$3360,"",'J Book Items Cons.'!U$5:U$3360,"USN",'J Book Items Cons.'!V$5:V$3360,"Auxiliary Ships",'J Book Items Cons.'!R$5:R$3360,"&lt;&gt;")+SUMIFS('J Book Items Cons.'!N$5:N$3360,'J Book Items Cons.'!E$5:E$3360,3,'J Book Items Cons.'!S$5:S$3360,"",'J Book Items Cons.'!U$5:U$3360,"USN",'J Book Items Cons.'!V$5:V$3360,"Auxiliary Ships",'J Book Items Cons.'!R$5:R$3360,"",'J Book Items Cons.'!N$5:N$3360,"&lt;&gt;")+SUMIFS('J Book Items Cons.'!L$5:L$3360,'J Book Items Cons.'!E$5:E$3360,3,'J Book Items Cons.'!S$5:S$3360,"",'J Book Items Cons.'!U$5:U$3360,"USN",'J Book Items Cons.'!V$5:V$3360,"Auxiliary Ships",'J Book Items Cons.'!R$5:R$3360,"",'J Book Items Cons.'!N$5:N$3360,"")+SUMIFS('J Book Items Cons.'!R$5:R$3360,'J Book Items Cons.'!E$5:E$3360,3,'J Book Items Cons.'!S$5:S$3360,"[PARENT]",'J Book Items Cons.'!U$5:U$3360,"USN",'J Book Items Cons.'!V$5:V$3360,"Auxiliary Ships",'J Book Items Cons.'!R$5:R$3360,"&lt;&gt;")+SUMIFS('J Book Items Cons.'!N$5:N$3360,'J Book Items Cons.'!E$5:E$3360,3,'J Book Items Cons.'!S$5:S$3360,"[PARENT]",'J Book Items Cons.'!U$5:U$3360,"USN",'J Book Items Cons.'!V$5:V$3360,"Auxiliary Ships",'J Book Items Cons.'!R$5:R$3360,"",'J Book Items Cons.'!N$5:N$3360,"&lt;&gt;")+SUMIFS('J Book Items Cons.'!L$5:L$3360,'J Book Items Cons.'!E$5:E$3360,3,'J Book Items Cons.'!S$5:S$3360,"[PARENT]",'J Book Items Cons.'!U$5:U$3360,"USN",'J Book Items Cons.'!V$5:V$3360,"Auxiliary Ships",'J Book Items Cons.'!R$5:R$3360,"",'J Book Items Cons.'!N$5:N$3360,"")</f>
        <v>0</v>
      </c>
      <c r="I33" s="27">
        <f>SUMIFS('J Book Items Cons.'!R$5:R$3360,'J Book Items Cons.'!E$5:E$3360,3,'J Book Items Cons.'!S$5:S$3360,"",'J Book Items Cons.'!U$5:U$3360,"USCG",'J Book Items Cons.'!V$5:V$3360,"Cutters",'J Book Items Cons.'!R$5:R$3360,"&lt;&gt;")+SUMIFS('J Book Items Cons.'!N$5:N$3360,'J Book Items Cons.'!E$5:E$3360,3,'J Book Items Cons.'!S$5:S$3360,"",'J Book Items Cons.'!U$5:U$3360,"USCG",'J Book Items Cons.'!V$5:V$3360,"Cutters",'J Book Items Cons.'!R$5:R$3360,"",'J Book Items Cons.'!N$5:N$3360,"&lt;&gt;")+SUMIFS('J Book Items Cons.'!L$5:L$3360,'J Book Items Cons.'!E$5:E$3360,3,'J Book Items Cons.'!S$5:S$3360,"",'J Book Items Cons.'!U$5:U$3360,"USCG",'J Book Items Cons.'!V$5:V$3360,"Cutters",'J Book Items Cons.'!R$5:R$3360,"",'J Book Items Cons.'!N$5:N$3360,"")+SUMIFS('J Book Items Cons.'!R$5:R$3360,'J Book Items Cons.'!E$5:E$3360,3,'J Book Items Cons.'!S$5:S$3360,"[PARENT]",'J Book Items Cons.'!U$5:U$3360,"USCG",'J Book Items Cons.'!V$5:V$3360,"Cutters",'J Book Items Cons.'!R$5:R$3360,"&lt;&gt;")+SUMIFS('J Book Items Cons.'!N$5:N$3360,'J Book Items Cons.'!E$5:E$3360,3,'J Book Items Cons.'!S$5:S$3360,"[PARENT]",'J Book Items Cons.'!U$5:U$3360,"USCG",'J Book Items Cons.'!V$5:V$3360,"Cutters",'J Book Items Cons.'!R$5:R$3360,"",'J Book Items Cons.'!N$5:N$3360,"&lt;&gt;")+SUMIFS('J Book Items Cons.'!L$5:L$3360,'J Book Items Cons.'!E$5:E$3360,3,'J Book Items Cons.'!S$5:S$3360,"[PARENT]",'J Book Items Cons.'!U$5:U$3360,"USCG",'J Book Items Cons.'!V$5:V$3360,"Cutters",'J Book Items Cons.'!R$5:R$3360,"",'J Book Items Cons.'!N$5:N$3360,"")</f>
        <v>0</v>
      </c>
      <c r="J33" s="14">
        <f t="shared" si="1"/>
        <v>215890</v>
      </c>
      <c r="K33" s="7"/>
      <c r="L33" s="7"/>
      <c r="M33" s="7"/>
      <c r="N33" s="7"/>
      <c r="O33" s="7"/>
      <c r="P33" s="7"/>
      <c r="Q33" s="7"/>
      <c r="R33" s="7"/>
      <c r="S33" s="7"/>
      <c r="T33" s="7"/>
      <c r="U33" s="7"/>
      <c r="V33" s="7"/>
      <c r="W33" s="7"/>
      <c r="X33" s="7"/>
      <c r="Y33" s="7"/>
      <c r="AD33" s="7"/>
      <c r="AE33" s="7"/>
      <c r="AF33" s="7"/>
      <c r="AG33" s="7"/>
      <c r="AH33" s="7"/>
      <c r="AI33" s="7"/>
      <c r="AJ33" s="7"/>
      <c r="AK33" s="7"/>
      <c r="AL33" s="7"/>
      <c r="AM33" s="7"/>
      <c r="AN33" s="7"/>
      <c r="AO33" s="7"/>
      <c r="AP33" s="7"/>
    </row>
    <row r="34" spans="1:42" ht="9.75" customHeight="1" x14ac:dyDescent="0.15">
      <c r="A34" s="7" t="s">
        <v>8825</v>
      </c>
      <c r="B34" s="25">
        <f>SUMIFS('J Book Items Cons.'!R$5:R$3360,'J Book Items Cons.'!E$5:E$3360,4,'J Book Items Cons.'!S$5:S$3360,"",'J Book Items Cons.'!U$5:U$3360,"USN",'J Book Items Cons.'!V$5:V$3360,"Combatant Ships",'J Book Items Cons.'!R$5:R$3360,"&lt;&gt;")+SUMIFS('J Book Items Cons.'!N$5:N$3360,'J Book Items Cons.'!E$5:E$3360,4,'J Book Items Cons.'!S$5:S$3360,"",'J Book Items Cons.'!U$5:U$3360,"USN",'J Book Items Cons.'!V$5:V$3360,"Combatant Ships",'J Book Items Cons.'!R$5:R$3360,"",'J Book Items Cons.'!N$5:N$3360,"&lt;&gt;")+SUMIFS('J Book Items Cons.'!L$5:L$3360,'J Book Items Cons.'!E$5:E$3360,4,'J Book Items Cons.'!S$5:S$3360,"",'J Book Items Cons.'!U$5:U$3360,"USN",'J Book Items Cons.'!V$5:V$3360,"Combatant Ships",'J Book Items Cons.'!R$5:R$3360,"",'J Book Items Cons.'!N$5:N$3360,"")+SUMIFS('J Book Items Cons.'!R$5:R$3360,'J Book Items Cons.'!E$5:E$3360,4,'J Book Items Cons.'!S$5:S$3360,"[PARENT]",'J Book Items Cons.'!U$5:U$3360,"USN",'J Book Items Cons.'!V$5:V$3360,"Combatant Ships",'J Book Items Cons.'!R$5:R$3360,"&lt;&gt;")+SUMIFS('J Book Items Cons.'!N$5:N$3360,'J Book Items Cons.'!E$5:E$3360,4,'J Book Items Cons.'!S$5:S$3360,"[PARENT]",'J Book Items Cons.'!U$5:U$3360,"USN",'J Book Items Cons.'!V$5:V$3360,"Combatant Ships",'J Book Items Cons.'!R$5:R$3360,"",'J Book Items Cons.'!N$5:N$3360,"&lt;&gt;")+SUMIFS('J Book Items Cons.'!L$5:L$3360,'J Book Items Cons.'!E$5:E$3360,4,'J Book Items Cons.'!S$5:S$3360,"[PARENT]",'J Book Items Cons.'!U$5:U$3360,"USN",'J Book Items Cons.'!V$5:V$3360,"Combatant Ships",'J Book Items Cons.'!R$5:R$3360,"",'J Book Items Cons.'!N$5:N$3360,"")</f>
        <v>10782066</v>
      </c>
      <c r="C34" s="14">
        <f>SUMIFS('J Book Items Cons.'!R$5:R$3360,'J Book Items Cons.'!E$5:E$3360,4,'J Book Items Cons.'!S$5:S$3360,"",'J Book Items Cons.'!U$5:U$3360,"MSC",'J Book Items Cons.'!V$5:V$3360,"Combatant Ships",'J Book Items Cons.'!R$5:R$3360,"&lt;&gt;")+SUMIFS('J Book Items Cons.'!N$5:N$3360,'J Book Items Cons.'!E$5:E$3360,4,'J Book Items Cons.'!S$5:S$3360,"",'J Book Items Cons.'!U$5:U$3360,"MSC",'J Book Items Cons.'!V$5:V$3360,"Combatant Ships",'J Book Items Cons.'!R$5:R$3360,"",'J Book Items Cons.'!N$5:N$3360,"&lt;&gt;")+SUMIFS('J Book Items Cons.'!L$5:L$3360,'J Book Items Cons.'!E$5:E$3360,4,'J Book Items Cons.'!S$5:S$3360,"",'J Book Items Cons.'!U$5:U$3360,"MSC",'J Book Items Cons.'!V$5:V$3360,"Combatant Ships",'J Book Items Cons.'!R$5:R$3360,"",'J Book Items Cons.'!N$5:N$3360,"")+SUMIFS('J Book Items Cons.'!R$5:R$3360,'J Book Items Cons.'!E$5:E$3360,4,'J Book Items Cons.'!S$5:S$3360,"[PARENT]",'J Book Items Cons.'!U$5:U$3360,"MSC",'J Book Items Cons.'!V$5:V$3360,"Combatant Ships",'J Book Items Cons.'!R$5:R$3360,"&lt;&gt;")+SUMIFS('J Book Items Cons.'!N$5:N$3360,'J Book Items Cons.'!E$5:E$3360,4,'J Book Items Cons.'!S$5:S$3360,"[PARENT]",'J Book Items Cons.'!U$5:U$3360,"MSC",'J Book Items Cons.'!V$5:V$3360,"Combatant Ships",'J Book Items Cons.'!R$5:R$3360,"",'J Book Items Cons.'!N$5:N$3360,"&lt;&gt;")+SUMIFS('J Book Items Cons.'!L$5:L$3360,'J Book Items Cons.'!E$5:E$3360,4,'J Book Items Cons.'!S$5:S$3360,"[PARENT]",'J Book Items Cons.'!U$5:U$3360,"MSC",'J Book Items Cons.'!V$5:V$3360,"Combatant Ships",'J Book Items Cons.'!R$5:R$3360,"",'J Book Items Cons.'!N$5:N$3360,"")</f>
        <v>31169</v>
      </c>
      <c r="D34" s="14">
        <f>SUMIFS('J Book Items Cons.'!R$5:R$3360,'J Book Items Cons.'!E$5:E$3360,4,'J Book Items Cons.'!S$5:S$3360,"",'J Book Items Cons.'!U$5:U$3360,"USN",'J Book Items Cons.'!V$5:V$3360,"Unmanned Maritime Platforms",'J Book Items Cons.'!R$5:R$3360,"&lt;&gt;")+SUMIFS('J Book Items Cons.'!N$5:N$3360,'J Book Items Cons.'!E$5:E$3360,4,'J Book Items Cons.'!S$5:S$3360,"",'J Book Items Cons.'!U$5:U$3360,"USN",'J Book Items Cons.'!V$5:V$3360,"Unmanned Maritime Platforms",'J Book Items Cons.'!R$5:R$3360,"",'J Book Items Cons.'!N$5:N$3360,"&lt;&gt;")+SUMIFS('J Book Items Cons.'!L$5:L$3360,'J Book Items Cons.'!E$5:E$3360,4,'J Book Items Cons.'!S$5:S$3360,"",'J Book Items Cons.'!U$5:U$3360,"USN",'J Book Items Cons.'!V$5:V$3360,"Unmanned Maritime Platforms",'J Book Items Cons.'!R$5:R$3360,"",'J Book Items Cons.'!N$5:N$3360,"")+SUMIFS('J Book Items Cons.'!R$5:R$3360,'J Book Items Cons.'!E$5:E$3360,4,'J Book Items Cons.'!S$5:S$3360,"[PARENT]",'J Book Items Cons.'!U$5:U$3360,"USN",'J Book Items Cons.'!V$5:V$3360,"Unmanned Maritime Platforms",'J Book Items Cons.'!R$5:R$3360,"&lt;&gt;")+SUMIFS('J Book Items Cons.'!N$5:N$3360,'J Book Items Cons.'!E$5:E$3360,4,'J Book Items Cons.'!S$5:S$3360,"[PARENT]",'J Book Items Cons.'!U$5:U$3360,"USN",'J Book Items Cons.'!V$5:V$3360,"Unmanned Maritime Platforms",'J Book Items Cons.'!R$5:R$3360,"",'J Book Items Cons.'!N$5:N$3360,"&lt;&gt;")+SUMIFS('J Book Items Cons.'!L$5:L$3360,'J Book Items Cons.'!E$5:E$3360,4,'J Book Items Cons.'!S$5:S$3360,"[PARENT]",'J Book Items Cons.'!U$5:U$3360,"USN",'J Book Items Cons.'!V$5:V$3360,"Unmanned Maritime Platforms",'J Book Items Cons.'!R$5:R$3360,"",'J Book Items Cons.'!N$5:N$3360,"")</f>
        <v>0</v>
      </c>
      <c r="E34" s="14">
        <f>SUMIFS('J Book Items Cons.'!R$5:R$3360,'J Book Items Cons.'!E$5:E$3360,4,'J Book Items Cons.'!S$5:S$3360,"",'J Book Items Cons.'!U$5:U$3360,"USN",'J Book Items Cons.'!V$5:V$3360,"Combatant Crafts",'J Book Items Cons.'!R$5:R$3360,"&lt;&gt;")+SUMIFS('J Book Items Cons.'!N$5:N$3360,'J Book Items Cons.'!E$5:E$3360,4,'J Book Items Cons.'!S$5:S$3360,"",'J Book Items Cons.'!U$5:U$3360,"USN",'J Book Items Cons.'!V$5:V$3360,"Combatant Crafts",'J Book Items Cons.'!R$5:R$3360,"",'J Book Items Cons.'!N$5:N$3360,"&lt;&gt;")+SUMIFS('J Book Items Cons.'!L$5:L$3360,'J Book Items Cons.'!E$5:E$3360,4,'J Book Items Cons.'!S$5:S$3360,"",'J Book Items Cons.'!U$5:U$3360,"USN",'J Book Items Cons.'!V$5:V$3360,"Combatant Crafts",'J Book Items Cons.'!R$5:R$3360,"",'J Book Items Cons.'!N$5:N$3360,"")+SUMIFS('J Book Items Cons.'!R$5:R$3360,'J Book Items Cons.'!E$5:E$3360,4,'J Book Items Cons.'!S$5:S$3360,"[PARENT]",'J Book Items Cons.'!U$5:U$3360,"USN",'J Book Items Cons.'!V$5:V$3360,"Combatant Crafts",'J Book Items Cons.'!R$5:R$3360,"&lt;&gt;")+SUMIFS('J Book Items Cons.'!N$5:N$3360,'J Book Items Cons.'!E$5:E$3360,4,'J Book Items Cons.'!S$5:S$3360,"[PARENT]",'J Book Items Cons.'!U$5:U$3360,"USN",'J Book Items Cons.'!V$5:V$3360,"Combatant Crafts",'J Book Items Cons.'!R$5:R$3360,"",'J Book Items Cons.'!N$5:N$3360,"&lt;&gt;")+SUMIFS('J Book Items Cons.'!L$5:L$3360,'J Book Items Cons.'!E$5:E$3360,4,'J Book Items Cons.'!S$5:S$3360,"[PARENT]",'J Book Items Cons.'!U$5:U$3360,"USN",'J Book Items Cons.'!V$5:V$3360,"Combatant Crafts",'J Book Items Cons.'!R$5:R$3360,"",'J Book Items Cons.'!N$5:N$3360,"")</f>
        <v>20321</v>
      </c>
      <c r="F34" s="14">
        <f>SUMIFS('J Book Items Cons.'!R$5:R$3360,'J Book Items Cons.'!E$5:E$3360,4,'J Book Items Cons.'!S$5:S$3360,"",'J Book Items Cons.'!U$5:U$3360,"MSC",'J Book Items Cons.'!V$5:V$3360,"Auxiliary Ships",'J Book Items Cons.'!R$5:R$3360,"&lt;&gt;")+SUMIFS('J Book Items Cons.'!N$5:N$3360,'J Book Items Cons.'!E$5:E$3360,4,'J Book Items Cons.'!S$5:S$3360,"",'J Book Items Cons.'!U$5:U$3360,"MSC",'J Book Items Cons.'!V$5:V$3360,"Auxiliary Ships",'J Book Items Cons.'!R$5:R$3360,"",'J Book Items Cons.'!N$5:N$3360,"&lt;&gt;")+SUMIFS('J Book Items Cons.'!L$5:L$3360,'J Book Items Cons.'!E$5:E$3360,4,'J Book Items Cons.'!S$5:S$3360,"",'J Book Items Cons.'!U$5:U$3360,"MSC",'J Book Items Cons.'!V$5:V$3360,"Auxiliary Ships",'J Book Items Cons.'!R$5:R$3360,"",'J Book Items Cons.'!N$5:N$3360,"")+SUMIFS('J Book Items Cons.'!R$5:R$3360,'J Book Items Cons.'!E$5:E$3360,4,'J Book Items Cons.'!S$5:S$3360,"[PARENT]",'J Book Items Cons.'!U$5:U$3360,"MSC",'J Book Items Cons.'!V$5:V$3360,"Auxiliary Ships",'J Book Items Cons.'!R$5:R$3360,"&lt;&gt;")+SUMIFS('J Book Items Cons.'!N$5:N$3360,'J Book Items Cons.'!E$5:E$3360,4,'J Book Items Cons.'!S$5:S$3360,"[PARENT]",'J Book Items Cons.'!U$5:U$3360,"MSC",'J Book Items Cons.'!V$5:V$3360,"Auxiliary Ships",'J Book Items Cons.'!R$5:R$3360,"",'J Book Items Cons.'!N$5:N$3360,"&lt;&gt;")+SUMIFS('J Book Items Cons.'!L$5:L$3360,'J Book Items Cons.'!E$5:E$3360,4,'J Book Items Cons.'!S$5:S$3360,"[PARENT]",'J Book Items Cons.'!U$5:U$3360,"MSC",'J Book Items Cons.'!V$5:V$3360,"Auxiliary Ships",'J Book Items Cons.'!R$5:R$3360,"",'J Book Items Cons.'!N$5:N$3360,"")</f>
        <v>0</v>
      </c>
      <c r="G34" s="14">
        <f>SUMIFS('J Book Items Cons.'!R$5:R$3360,'J Book Items Cons.'!E$5:E$3360,4,'J Book Items Cons.'!S$5:S$3360,"",'J Book Items Cons.'!U$5:U$3360,"USN",'J Book Items Cons.'!V$5:V$3360,"Support Crafts",'J Book Items Cons.'!R$5:R$3360,"&lt;&gt;")+SUMIFS('J Book Items Cons.'!N$5:N$3360,'J Book Items Cons.'!E$5:E$3360,4,'J Book Items Cons.'!S$5:S$3360,"",'J Book Items Cons.'!U$5:U$3360,"USN",'J Book Items Cons.'!V$5:V$3360,"Support Crafts",'J Book Items Cons.'!R$5:R$3360,"",'J Book Items Cons.'!N$5:N$3360,"&lt;&gt;")+SUMIFS('J Book Items Cons.'!L$5:L$3360,'J Book Items Cons.'!E$5:E$3360,4,'J Book Items Cons.'!S$5:S$3360,"",'J Book Items Cons.'!U$5:U$3360,"USN",'J Book Items Cons.'!V$5:V$3360,"Support Crafts",'J Book Items Cons.'!R$5:R$3360,"",'J Book Items Cons.'!N$5:N$3360,"")+SUMIFS('J Book Items Cons.'!R$5:R$3360,'J Book Items Cons.'!E$5:E$3360,4,'J Book Items Cons.'!S$5:S$3360,"[PARENT]",'J Book Items Cons.'!U$5:U$3360,"USN",'J Book Items Cons.'!V$5:V$3360,"Support Crafts",'J Book Items Cons.'!R$5:R$3360,"&lt;&gt;")+SUMIFS('J Book Items Cons.'!N$5:N$3360,'J Book Items Cons.'!E$5:E$3360,4,'J Book Items Cons.'!S$5:S$3360,"[PARENT]",'J Book Items Cons.'!U$5:U$3360,"USN",'J Book Items Cons.'!V$5:V$3360,"Support Crafts",'J Book Items Cons.'!R$5:R$3360,"",'J Book Items Cons.'!N$5:N$3360,"&lt;&gt;")+SUMIFS('J Book Items Cons.'!L$5:L$3360,'J Book Items Cons.'!E$5:E$3360,4,'J Book Items Cons.'!S$5:S$3360,"[PARENT]",'J Book Items Cons.'!U$5:U$3360,"USN",'J Book Items Cons.'!V$5:V$3360,"Support Crafts",'J Book Items Cons.'!R$5:R$3360,"",'J Book Items Cons.'!N$5:N$3360,"")</f>
        <v>0</v>
      </c>
      <c r="H34" s="26">
        <f>SUMIFS('J Book Items Cons.'!R$5:R$3360,'J Book Items Cons.'!E$5:E$3360,4,'J Book Items Cons.'!S$5:S$3360,"",'J Book Items Cons.'!U$5:U$3360,"USN",'J Book Items Cons.'!V$5:V$3360,"Auxiliary Ships",'J Book Items Cons.'!R$5:R$3360,"&lt;&gt;")+SUMIFS('J Book Items Cons.'!N$5:N$3360,'J Book Items Cons.'!E$5:E$3360,4,'J Book Items Cons.'!S$5:S$3360,"",'J Book Items Cons.'!U$5:U$3360,"USN",'J Book Items Cons.'!V$5:V$3360,"Auxiliary Ships",'J Book Items Cons.'!R$5:R$3360,"",'J Book Items Cons.'!N$5:N$3360,"&lt;&gt;")+SUMIFS('J Book Items Cons.'!L$5:L$3360,'J Book Items Cons.'!E$5:E$3360,4,'J Book Items Cons.'!S$5:S$3360,"",'J Book Items Cons.'!U$5:U$3360,"USN",'J Book Items Cons.'!V$5:V$3360,"Auxiliary Ships",'J Book Items Cons.'!R$5:R$3360,"",'J Book Items Cons.'!N$5:N$3360,"")+SUMIFS('J Book Items Cons.'!R$5:R$3360,'J Book Items Cons.'!E$5:E$3360,4,'J Book Items Cons.'!S$5:S$3360,"[PARENT]",'J Book Items Cons.'!U$5:U$3360,"USN",'J Book Items Cons.'!V$5:V$3360,"Auxiliary Ships",'J Book Items Cons.'!R$5:R$3360,"&lt;&gt;")+SUMIFS('J Book Items Cons.'!N$5:N$3360,'J Book Items Cons.'!E$5:E$3360,4,'J Book Items Cons.'!S$5:S$3360,"[PARENT]",'J Book Items Cons.'!U$5:U$3360,"USN",'J Book Items Cons.'!V$5:V$3360,"Auxiliary Ships",'J Book Items Cons.'!R$5:R$3360,"",'J Book Items Cons.'!N$5:N$3360,"&lt;&gt;")+SUMIFS('J Book Items Cons.'!L$5:L$3360,'J Book Items Cons.'!E$5:E$3360,4,'J Book Items Cons.'!S$5:S$3360,"[PARENT]",'J Book Items Cons.'!U$5:U$3360,"USN",'J Book Items Cons.'!V$5:V$3360,"Auxiliary Ships",'J Book Items Cons.'!R$5:R$3360,"",'J Book Items Cons.'!N$5:N$3360,"")</f>
        <v>0</v>
      </c>
      <c r="I34" s="27">
        <f>SUMIFS('J Book Items Cons.'!R$5:R$3360,'J Book Items Cons.'!E$5:E$3360,4,'J Book Items Cons.'!S$5:S$3360,"",'J Book Items Cons.'!U$5:U$3360,"USCG",'J Book Items Cons.'!V$5:V$3360,"Cutters",'J Book Items Cons.'!R$5:R$3360,"&lt;&gt;")+SUMIFS('J Book Items Cons.'!N$5:N$3360,'J Book Items Cons.'!E$5:E$3360,4,'J Book Items Cons.'!S$5:S$3360,"",'J Book Items Cons.'!U$5:U$3360,"USCG",'J Book Items Cons.'!V$5:V$3360,"Cutters",'J Book Items Cons.'!R$5:R$3360,"",'J Book Items Cons.'!N$5:N$3360,"&lt;&gt;")+SUMIFS('J Book Items Cons.'!L$5:L$3360,'J Book Items Cons.'!E$5:E$3360,4,'J Book Items Cons.'!S$5:S$3360,"",'J Book Items Cons.'!U$5:U$3360,"USCG",'J Book Items Cons.'!V$5:V$3360,"Cutters",'J Book Items Cons.'!R$5:R$3360,"",'J Book Items Cons.'!N$5:N$3360,"")+SUMIFS('J Book Items Cons.'!R$5:R$3360,'J Book Items Cons.'!E$5:E$3360,4,'J Book Items Cons.'!S$5:S$3360,"[PARENT]",'J Book Items Cons.'!U$5:U$3360,"USCG",'J Book Items Cons.'!V$5:V$3360,"Cutters",'J Book Items Cons.'!R$5:R$3360,"&lt;&gt;")+SUMIFS('J Book Items Cons.'!N$5:N$3360,'J Book Items Cons.'!E$5:E$3360,4,'J Book Items Cons.'!S$5:S$3360,"[PARENT]",'J Book Items Cons.'!U$5:U$3360,"USCG",'J Book Items Cons.'!V$5:V$3360,"Cutters",'J Book Items Cons.'!R$5:R$3360,"",'J Book Items Cons.'!N$5:N$3360,"&lt;&gt;")+SUMIFS('J Book Items Cons.'!L$5:L$3360,'J Book Items Cons.'!E$5:E$3360,4,'J Book Items Cons.'!S$5:S$3360,"[PARENT]",'J Book Items Cons.'!U$5:U$3360,"USCG",'J Book Items Cons.'!V$5:V$3360,"Cutters",'J Book Items Cons.'!R$5:R$3360,"",'J Book Items Cons.'!N$5:N$3360,"")</f>
        <v>31000</v>
      </c>
      <c r="J34" s="14">
        <f t="shared" si="1"/>
        <v>10864556</v>
      </c>
      <c r="K34" s="7"/>
      <c r="L34" s="7"/>
      <c r="M34" s="7"/>
      <c r="N34" s="7"/>
      <c r="O34" s="7"/>
      <c r="P34" s="7"/>
      <c r="Q34" s="7"/>
      <c r="R34" s="7"/>
      <c r="S34" s="7"/>
      <c r="T34" s="7"/>
      <c r="U34" s="7"/>
      <c r="V34" s="7"/>
      <c r="W34" s="7"/>
      <c r="X34" s="7"/>
      <c r="Y34" s="7"/>
      <c r="AD34" s="7"/>
      <c r="AE34" s="7"/>
      <c r="AF34" s="7"/>
      <c r="AG34" s="7"/>
      <c r="AH34" s="7"/>
      <c r="AI34" s="7"/>
      <c r="AJ34" s="7"/>
      <c r="AK34" s="7"/>
      <c r="AL34" s="7"/>
      <c r="AM34" s="7"/>
      <c r="AN34" s="7"/>
      <c r="AO34" s="7"/>
      <c r="AP34" s="7"/>
    </row>
    <row r="35" spans="1:42" ht="9.75" customHeight="1" x14ac:dyDescent="0.15">
      <c r="A35" s="7" t="s">
        <v>8826</v>
      </c>
      <c r="B35" s="25">
        <f>SUMIFS('J Book Items Cons.'!R$5:R$3360,'J Book Items Cons.'!E$5:E$3360,5,'J Book Items Cons.'!S$5:S$3360,"",'J Book Items Cons.'!U$5:U$3360,"USN",'J Book Items Cons.'!V$5:V$3360,"Combatant Ships",'J Book Items Cons.'!R$5:R$3360,"&lt;&gt;")+SUMIFS('J Book Items Cons.'!N$5:N$3360,'J Book Items Cons.'!E$5:E$3360,5,'J Book Items Cons.'!S$5:S$3360,"",'J Book Items Cons.'!U$5:U$3360,"USN",'J Book Items Cons.'!V$5:V$3360,"Combatant Ships",'J Book Items Cons.'!R$5:R$3360,"",'J Book Items Cons.'!N$5:N$3360,"&lt;&gt;")+SUMIFS('J Book Items Cons.'!L$5:L$3360,'J Book Items Cons.'!E$5:E$3360,5,'J Book Items Cons.'!S$5:S$3360,"",'J Book Items Cons.'!U$5:U$3360,"USN",'J Book Items Cons.'!V$5:V$3360,"Combatant Ships",'J Book Items Cons.'!R$5:R$3360,"",'J Book Items Cons.'!N$5:N$3360,"")+SUMIFS('J Book Items Cons.'!R$5:R$3360,'J Book Items Cons.'!E$5:E$3360,5,'J Book Items Cons.'!S$5:S$3360,"[PARENT]",'J Book Items Cons.'!U$5:U$3360,"USN",'J Book Items Cons.'!V$5:V$3360,"Combatant Ships",'J Book Items Cons.'!R$5:R$3360,"&lt;&gt;")+SUMIFS('J Book Items Cons.'!N$5:N$3360,'J Book Items Cons.'!E$5:E$3360,5,'J Book Items Cons.'!S$5:S$3360,"[PARENT]",'J Book Items Cons.'!U$5:U$3360,"USN",'J Book Items Cons.'!V$5:V$3360,"Combatant Ships",'J Book Items Cons.'!R$5:R$3360,"",'J Book Items Cons.'!N$5:N$3360,"&lt;&gt;")+SUMIFS('J Book Items Cons.'!L$5:L$3360,'J Book Items Cons.'!E$5:E$3360,5,'J Book Items Cons.'!S$5:S$3360,"[PARENT]",'J Book Items Cons.'!U$5:U$3360,"USN",'J Book Items Cons.'!V$5:V$3360,"Combatant Ships",'J Book Items Cons.'!R$5:R$3360,"",'J Book Items Cons.'!N$5:N$3360,"")</f>
        <v>1598287</v>
      </c>
      <c r="C35" s="14">
        <f>SUMIFS('J Book Items Cons.'!R$5:R$3360,'J Book Items Cons.'!E$5:E$3360,5,'J Book Items Cons.'!S$5:S$3360,"",'J Book Items Cons.'!U$5:U$3360,"MSC",'J Book Items Cons.'!V$5:V$3360,"Combatant Ships",'J Book Items Cons.'!R$5:R$3360,"&lt;&gt;")+SUMIFS('J Book Items Cons.'!N$5:N$3360,'J Book Items Cons.'!E$5:E$3360,5,'J Book Items Cons.'!S$5:S$3360,"",'J Book Items Cons.'!U$5:U$3360,"MSC",'J Book Items Cons.'!V$5:V$3360,"Combatant Ships",'J Book Items Cons.'!R$5:R$3360,"",'J Book Items Cons.'!N$5:N$3360,"&lt;&gt;")+SUMIFS('J Book Items Cons.'!L$5:L$3360,'J Book Items Cons.'!E$5:E$3360,5,'J Book Items Cons.'!S$5:S$3360,"",'J Book Items Cons.'!U$5:U$3360,"MSC",'J Book Items Cons.'!V$5:V$3360,"Combatant Ships",'J Book Items Cons.'!R$5:R$3360,"",'J Book Items Cons.'!N$5:N$3360,"")+SUMIFS('J Book Items Cons.'!R$5:R$3360,'J Book Items Cons.'!E$5:E$3360,5,'J Book Items Cons.'!S$5:S$3360,"[PARENT]",'J Book Items Cons.'!U$5:U$3360,"MSC",'J Book Items Cons.'!V$5:V$3360,"Combatant Ships",'J Book Items Cons.'!R$5:R$3360,"&lt;&gt;")+SUMIFS('J Book Items Cons.'!N$5:N$3360,'J Book Items Cons.'!E$5:E$3360,5,'J Book Items Cons.'!S$5:S$3360,"[PARENT]",'J Book Items Cons.'!U$5:U$3360,"MSC",'J Book Items Cons.'!V$5:V$3360,"Combatant Ships",'J Book Items Cons.'!R$5:R$3360,"",'J Book Items Cons.'!N$5:N$3360,"&lt;&gt;")+SUMIFS('J Book Items Cons.'!L$5:L$3360,'J Book Items Cons.'!E$5:E$3360,5,'J Book Items Cons.'!S$5:S$3360,"[PARENT]",'J Book Items Cons.'!U$5:U$3360,"MSC",'J Book Items Cons.'!V$5:V$3360,"Combatant Ships",'J Book Items Cons.'!R$5:R$3360,"",'J Book Items Cons.'!N$5:N$3360,"")</f>
        <v>0</v>
      </c>
      <c r="D35" s="14">
        <f>SUMIFS('J Book Items Cons.'!R$5:R$3360,'J Book Items Cons.'!E$5:E$3360,5,'J Book Items Cons.'!S$5:S$3360,"",'J Book Items Cons.'!U$5:U$3360,"USN",'J Book Items Cons.'!V$5:V$3360,"Unmanned Maritime Platforms",'J Book Items Cons.'!R$5:R$3360,"&lt;&gt;")+SUMIFS('J Book Items Cons.'!N$5:N$3360,'J Book Items Cons.'!E$5:E$3360,5,'J Book Items Cons.'!S$5:S$3360,"",'J Book Items Cons.'!U$5:U$3360,"USN",'J Book Items Cons.'!V$5:V$3360,"Unmanned Maritime Platforms",'J Book Items Cons.'!R$5:R$3360,"",'J Book Items Cons.'!N$5:N$3360,"&lt;&gt;")+SUMIFS('J Book Items Cons.'!L$5:L$3360,'J Book Items Cons.'!E$5:E$3360,5,'J Book Items Cons.'!S$5:S$3360,"",'J Book Items Cons.'!U$5:U$3360,"USN",'J Book Items Cons.'!V$5:V$3360,"Unmanned Maritime Platforms",'J Book Items Cons.'!R$5:R$3360,"",'J Book Items Cons.'!N$5:N$3360,"")+SUMIFS('J Book Items Cons.'!R$5:R$3360,'J Book Items Cons.'!E$5:E$3360,5,'J Book Items Cons.'!S$5:S$3360,"[PARENT]",'J Book Items Cons.'!U$5:U$3360,"USN",'J Book Items Cons.'!V$5:V$3360,"Unmanned Maritime Platforms",'J Book Items Cons.'!R$5:R$3360,"&lt;&gt;")+SUMIFS('J Book Items Cons.'!N$5:N$3360,'J Book Items Cons.'!E$5:E$3360,5,'J Book Items Cons.'!S$5:S$3360,"[PARENT]",'J Book Items Cons.'!U$5:U$3360,"USN",'J Book Items Cons.'!V$5:V$3360,"Unmanned Maritime Platforms",'J Book Items Cons.'!R$5:R$3360,"",'J Book Items Cons.'!N$5:N$3360,"&lt;&gt;")+SUMIFS('J Book Items Cons.'!L$5:L$3360,'J Book Items Cons.'!E$5:E$3360,5,'J Book Items Cons.'!S$5:S$3360,"[PARENT]",'J Book Items Cons.'!U$5:U$3360,"USN",'J Book Items Cons.'!V$5:V$3360,"Unmanned Maritime Platforms",'J Book Items Cons.'!R$5:R$3360,"",'J Book Items Cons.'!N$5:N$3360,"")</f>
        <v>0</v>
      </c>
      <c r="E35" s="14">
        <f>SUMIFS('J Book Items Cons.'!R$5:R$3360,'J Book Items Cons.'!E$5:E$3360,5,'J Book Items Cons.'!S$5:S$3360,"",'J Book Items Cons.'!U$5:U$3360,"USN",'J Book Items Cons.'!V$5:V$3360,"Combatant Crafts",'J Book Items Cons.'!R$5:R$3360,"&lt;&gt;")+SUMIFS('J Book Items Cons.'!N$5:N$3360,'J Book Items Cons.'!E$5:E$3360,5,'J Book Items Cons.'!S$5:S$3360,"",'J Book Items Cons.'!U$5:U$3360,"USN",'J Book Items Cons.'!V$5:V$3360,"Combatant Crafts",'J Book Items Cons.'!R$5:R$3360,"",'J Book Items Cons.'!N$5:N$3360,"&lt;&gt;")+SUMIFS('J Book Items Cons.'!L$5:L$3360,'J Book Items Cons.'!E$5:E$3360,5,'J Book Items Cons.'!S$5:S$3360,"",'J Book Items Cons.'!U$5:U$3360,"USN",'J Book Items Cons.'!V$5:V$3360,"Combatant Crafts",'J Book Items Cons.'!R$5:R$3360,"",'J Book Items Cons.'!N$5:N$3360,"")+SUMIFS('J Book Items Cons.'!R$5:R$3360,'J Book Items Cons.'!E$5:E$3360,5,'J Book Items Cons.'!S$5:S$3360,"[PARENT]",'J Book Items Cons.'!U$5:U$3360,"USN",'J Book Items Cons.'!V$5:V$3360,"Combatant Crafts",'J Book Items Cons.'!R$5:R$3360,"&lt;&gt;")+SUMIFS('J Book Items Cons.'!N$5:N$3360,'J Book Items Cons.'!E$5:E$3360,5,'J Book Items Cons.'!S$5:S$3360,"[PARENT]",'J Book Items Cons.'!U$5:U$3360,"USN",'J Book Items Cons.'!V$5:V$3360,"Combatant Crafts",'J Book Items Cons.'!R$5:R$3360,"",'J Book Items Cons.'!N$5:N$3360,"&lt;&gt;")+SUMIFS('J Book Items Cons.'!L$5:L$3360,'J Book Items Cons.'!E$5:E$3360,5,'J Book Items Cons.'!S$5:S$3360,"[PARENT]",'J Book Items Cons.'!U$5:U$3360,"USN",'J Book Items Cons.'!V$5:V$3360,"Combatant Crafts",'J Book Items Cons.'!R$5:R$3360,"",'J Book Items Cons.'!N$5:N$3360,"")</f>
        <v>37390</v>
      </c>
      <c r="F35" s="14">
        <f>SUMIFS('J Book Items Cons.'!R$5:R$3360,'J Book Items Cons.'!E$5:E$3360,5,'J Book Items Cons.'!S$5:S$3360,"",'J Book Items Cons.'!U$5:U$3360,"MSC",'J Book Items Cons.'!V$5:V$3360,"Auxiliary Ships",'J Book Items Cons.'!R$5:R$3360,"&lt;&gt;")+SUMIFS('J Book Items Cons.'!N$5:N$3360,'J Book Items Cons.'!E$5:E$3360,5,'J Book Items Cons.'!S$5:S$3360,"",'J Book Items Cons.'!U$5:U$3360,"MSC",'J Book Items Cons.'!V$5:V$3360,"Auxiliary Ships",'J Book Items Cons.'!R$5:R$3360,"",'J Book Items Cons.'!N$5:N$3360,"&lt;&gt;")+SUMIFS('J Book Items Cons.'!L$5:L$3360,'J Book Items Cons.'!E$5:E$3360,5,'J Book Items Cons.'!S$5:S$3360,"",'J Book Items Cons.'!U$5:U$3360,"MSC",'J Book Items Cons.'!V$5:V$3360,"Auxiliary Ships",'J Book Items Cons.'!R$5:R$3360,"",'J Book Items Cons.'!N$5:N$3360,"")+SUMIFS('J Book Items Cons.'!R$5:R$3360,'J Book Items Cons.'!E$5:E$3360,5,'J Book Items Cons.'!S$5:S$3360,"[PARENT]",'J Book Items Cons.'!U$5:U$3360,"MSC",'J Book Items Cons.'!V$5:V$3360,"Auxiliary Ships",'J Book Items Cons.'!R$5:R$3360,"&lt;&gt;")+SUMIFS('J Book Items Cons.'!N$5:N$3360,'J Book Items Cons.'!E$5:E$3360,5,'J Book Items Cons.'!S$5:S$3360,"[PARENT]",'J Book Items Cons.'!U$5:U$3360,"MSC",'J Book Items Cons.'!V$5:V$3360,"Auxiliary Ships",'J Book Items Cons.'!R$5:R$3360,"",'J Book Items Cons.'!N$5:N$3360,"&lt;&gt;")+SUMIFS('J Book Items Cons.'!L$5:L$3360,'J Book Items Cons.'!E$5:E$3360,5,'J Book Items Cons.'!S$5:S$3360,"[PARENT]",'J Book Items Cons.'!U$5:U$3360,"MSC",'J Book Items Cons.'!V$5:V$3360,"Auxiliary Ships",'J Book Items Cons.'!R$5:R$3360,"",'J Book Items Cons.'!N$5:N$3360,"")</f>
        <v>0</v>
      </c>
      <c r="G35" s="14">
        <f>SUMIFS('J Book Items Cons.'!R$5:R$3360,'J Book Items Cons.'!E$5:E$3360,5,'J Book Items Cons.'!S$5:S$3360,"",'J Book Items Cons.'!U$5:U$3360,"USN",'J Book Items Cons.'!V$5:V$3360,"Support Crafts",'J Book Items Cons.'!R$5:R$3360,"&lt;&gt;")+SUMIFS('J Book Items Cons.'!N$5:N$3360,'J Book Items Cons.'!E$5:E$3360,5,'J Book Items Cons.'!S$5:S$3360,"",'J Book Items Cons.'!U$5:U$3360,"USN",'J Book Items Cons.'!V$5:V$3360,"Support Crafts",'J Book Items Cons.'!R$5:R$3360,"",'J Book Items Cons.'!N$5:N$3360,"&lt;&gt;")+SUMIFS('J Book Items Cons.'!L$5:L$3360,'J Book Items Cons.'!E$5:E$3360,5,'J Book Items Cons.'!S$5:S$3360,"",'J Book Items Cons.'!U$5:U$3360,"USN",'J Book Items Cons.'!V$5:V$3360,"Support Crafts",'J Book Items Cons.'!R$5:R$3360,"",'J Book Items Cons.'!N$5:N$3360,"")+SUMIFS('J Book Items Cons.'!R$5:R$3360,'J Book Items Cons.'!E$5:E$3360,5,'J Book Items Cons.'!S$5:S$3360,"[PARENT]",'J Book Items Cons.'!U$5:U$3360,"USN",'J Book Items Cons.'!V$5:V$3360,"Support Crafts",'J Book Items Cons.'!R$5:R$3360,"&lt;&gt;")+SUMIFS('J Book Items Cons.'!N$5:N$3360,'J Book Items Cons.'!E$5:E$3360,5,'J Book Items Cons.'!S$5:S$3360,"[PARENT]",'J Book Items Cons.'!U$5:U$3360,"USN",'J Book Items Cons.'!V$5:V$3360,"Support Crafts",'J Book Items Cons.'!R$5:R$3360,"",'J Book Items Cons.'!N$5:N$3360,"&lt;&gt;")+SUMIFS('J Book Items Cons.'!L$5:L$3360,'J Book Items Cons.'!E$5:E$3360,5,'J Book Items Cons.'!S$5:S$3360,"[PARENT]",'J Book Items Cons.'!U$5:U$3360,"USN",'J Book Items Cons.'!V$5:V$3360,"Support Crafts",'J Book Items Cons.'!R$5:R$3360,"",'J Book Items Cons.'!N$5:N$3360,"")</f>
        <v>0</v>
      </c>
      <c r="H35" s="26">
        <f>SUMIFS('J Book Items Cons.'!R$5:R$3360,'J Book Items Cons.'!E$5:E$3360,5,'J Book Items Cons.'!S$5:S$3360,"",'J Book Items Cons.'!U$5:U$3360,"USN",'J Book Items Cons.'!V$5:V$3360,"Auxiliary Ships",'J Book Items Cons.'!R$5:R$3360,"&lt;&gt;")+SUMIFS('J Book Items Cons.'!N$5:N$3360,'J Book Items Cons.'!E$5:E$3360,5,'J Book Items Cons.'!S$5:S$3360,"",'J Book Items Cons.'!U$5:U$3360,"USN",'J Book Items Cons.'!V$5:V$3360,"Auxiliary Ships",'J Book Items Cons.'!R$5:R$3360,"",'J Book Items Cons.'!N$5:N$3360,"&lt;&gt;")+SUMIFS('J Book Items Cons.'!L$5:L$3360,'J Book Items Cons.'!E$5:E$3360,5,'J Book Items Cons.'!S$5:S$3360,"",'J Book Items Cons.'!U$5:U$3360,"USN",'J Book Items Cons.'!V$5:V$3360,"Auxiliary Ships",'J Book Items Cons.'!R$5:R$3360,"",'J Book Items Cons.'!N$5:N$3360,"")+SUMIFS('J Book Items Cons.'!R$5:R$3360,'J Book Items Cons.'!E$5:E$3360,5,'J Book Items Cons.'!S$5:S$3360,"[PARENT]",'J Book Items Cons.'!U$5:U$3360,"USN",'J Book Items Cons.'!V$5:V$3360,"Auxiliary Ships",'J Book Items Cons.'!R$5:R$3360,"&lt;&gt;")+SUMIFS('J Book Items Cons.'!N$5:N$3360,'J Book Items Cons.'!E$5:E$3360,5,'J Book Items Cons.'!S$5:S$3360,"[PARENT]",'J Book Items Cons.'!U$5:U$3360,"USN",'J Book Items Cons.'!V$5:V$3360,"Auxiliary Ships",'J Book Items Cons.'!R$5:R$3360,"",'J Book Items Cons.'!N$5:N$3360,"&lt;&gt;")+SUMIFS('J Book Items Cons.'!L$5:L$3360,'J Book Items Cons.'!E$5:E$3360,5,'J Book Items Cons.'!S$5:S$3360,"[PARENT]",'J Book Items Cons.'!U$5:U$3360,"USN",'J Book Items Cons.'!V$5:V$3360,"Auxiliary Ships",'J Book Items Cons.'!R$5:R$3360,"",'J Book Items Cons.'!N$5:N$3360,"")</f>
        <v>0</v>
      </c>
      <c r="I35" s="27">
        <f>SUMIFS('J Book Items Cons.'!R$5:R$3360,'J Book Items Cons.'!E$5:E$3360,5,'J Book Items Cons.'!S$5:S$3360,"",'J Book Items Cons.'!U$5:U$3360,"USCG",'J Book Items Cons.'!V$5:V$3360,"Cutters",'J Book Items Cons.'!R$5:R$3360,"&lt;&gt;")+SUMIFS('J Book Items Cons.'!N$5:N$3360,'J Book Items Cons.'!E$5:E$3360,5,'J Book Items Cons.'!S$5:S$3360,"",'J Book Items Cons.'!U$5:U$3360,"USCG",'J Book Items Cons.'!V$5:V$3360,"Cutters",'J Book Items Cons.'!R$5:R$3360,"",'J Book Items Cons.'!N$5:N$3360,"&lt;&gt;")+SUMIFS('J Book Items Cons.'!L$5:L$3360,'J Book Items Cons.'!E$5:E$3360,5,'J Book Items Cons.'!S$5:S$3360,"",'J Book Items Cons.'!U$5:U$3360,"USCG",'J Book Items Cons.'!V$5:V$3360,"Cutters",'J Book Items Cons.'!R$5:R$3360,"",'J Book Items Cons.'!N$5:N$3360,"")+SUMIFS('J Book Items Cons.'!R$5:R$3360,'J Book Items Cons.'!E$5:E$3360,5,'J Book Items Cons.'!S$5:S$3360,"[PARENT]",'J Book Items Cons.'!U$5:U$3360,"USCG",'J Book Items Cons.'!V$5:V$3360,"Cutters",'J Book Items Cons.'!R$5:R$3360,"&lt;&gt;")+SUMIFS('J Book Items Cons.'!N$5:N$3360,'J Book Items Cons.'!E$5:E$3360,5,'J Book Items Cons.'!S$5:S$3360,"[PARENT]",'J Book Items Cons.'!U$5:U$3360,"USCG",'J Book Items Cons.'!V$5:V$3360,"Cutters",'J Book Items Cons.'!R$5:R$3360,"",'J Book Items Cons.'!N$5:N$3360,"&lt;&gt;")+SUMIFS('J Book Items Cons.'!L$5:L$3360,'J Book Items Cons.'!E$5:E$3360,5,'J Book Items Cons.'!S$5:S$3360,"[PARENT]",'J Book Items Cons.'!U$5:U$3360,"USCG",'J Book Items Cons.'!V$5:V$3360,"Cutters",'J Book Items Cons.'!R$5:R$3360,"",'J Book Items Cons.'!N$5:N$3360,"")</f>
        <v>0</v>
      </c>
      <c r="J35" s="14">
        <f t="shared" si="1"/>
        <v>1635677</v>
      </c>
      <c r="K35" s="7"/>
      <c r="L35" s="7"/>
      <c r="M35" s="7"/>
      <c r="N35" s="7"/>
      <c r="O35" s="7"/>
      <c r="P35" s="7"/>
      <c r="Q35" s="7"/>
      <c r="R35" s="7"/>
      <c r="S35" s="7"/>
      <c r="T35" s="7"/>
      <c r="U35" s="7"/>
      <c r="V35" s="7"/>
      <c r="W35" s="7"/>
      <c r="X35" s="7"/>
      <c r="Y35" s="7"/>
      <c r="AD35" s="7"/>
      <c r="AE35" s="7"/>
      <c r="AF35" s="7"/>
      <c r="AG35" s="7"/>
      <c r="AH35" s="7"/>
      <c r="AI35" s="7"/>
      <c r="AJ35" s="7"/>
      <c r="AK35" s="7"/>
      <c r="AL35" s="7"/>
      <c r="AM35" s="7"/>
      <c r="AN35" s="7"/>
      <c r="AO35" s="7"/>
      <c r="AP35" s="7"/>
    </row>
    <row r="36" spans="1:42" ht="9.75" customHeight="1" x14ac:dyDescent="0.15">
      <c r="A36" s="7" t="s">
        <v>8827</v>
      </c>
      <c r="B36" s="25">
        <f>SUMIFS('J Book Items Cons.'!R$5:R$3360,'J Book Items Cons.'!E$5:E$3360,6,'J Book Items Cons.'!S$5:S$3360,"",'J Book Items Cons.'!U$5:U$3360,"USN",'J Book Items Cons.'!V$5:V$3360,"Combatant Ships",'J Book Items Cons.'!R$5:R$3360,"&lt;&gt;")+SUMIFS('J Book Items Cons.'!N$5:N$3360,'J Book Items Cons.'!E$5:E$3360,6,'J Book Items Cons.'!S$5:S$3360,"",'J Book Items Cons.'!U$5:U$3360,"USN",'J Book Items Cons.'!V$5:V$3360,"Combatant Ships",'J Book Items Cons.'!R$5:R$3360,"",'J Book Items Cons.'!N$5:N$3360,"&lt;&gt;")+SUMIFS('J Book Items Cons.'!L$5:L$3360,'J Book Items Cons.'!E$5:E$3360,6,'J Book Items Cons.'!S$5:S$3360,"",'J Book Items Cons.'!U$5:U$3360,"USN",'J Book Items Cons.'!V$5:V$3360,"Combatant Ships",'J Book Items Cons.'!R$5:R$3360,"",'J Book Items Cons.'!N$5:N$3360,"")+SUMIFS('J Book Items Cons.'!R$5:R$3360,'J Book Items Cons.'!E$5:E$3360,6,'J Book Items Cons.'!S$5:S$3360,"[PARENT]",'J Book Items Cons.'!U$5:U$3360,"USN",'J Book Items Cons.'!V$5:V$3360,"Combatant Ships",'J Book Items Cons.'!R$5:R$3360,"&lt;&gt;")+SUMIFS('J Book Items Cons.'!N$5:N$3360,'J Book Items Cons.'!E$5:E$3360,6,'J Book Items Cons.'!S$5:S$3360,"[PARENT]",'J Book Items Cons.'!U$5:U$3360,"USN",'J Book Items Cons.'!V$5:V$3360,"Combatant Ships",'J Book Items Cons.'!R$5:R$3360,"",'J Book Items Cons.'!N$5:N$3360,"&lt;&gt;")+SUMIFS('J Book Items Cons.'!L$5:L$3360,'J Book Items Cons.'!E$5:E$3360,6,'J Book Items Cons.'!S$5:S$3360,"[PARENT]",'J Book Items Cons.'!U$5:U$3360,"USN",'J Book Items Cons.'!V$5:V$3360,"Combatant Ships",'J Book Items Cons.'!R$5:R$3360,"",'J Book Items Cons.'!N$5:N$3360,"")</f>
        <v>156196</v>
      </c>
      <c r="C36" s="14">
        <f>SUMIFS('J Book Items Cons.'!R$5:R$3360,'J Book Items Cons.'!E$5:E$3360,6,'J Book Items Cons.'!S$5:S$3360,"",'J Book Items Cons.'!U$5:U$3360,"MSC",'J Book Items Cons.'!V$5:V$3360,"Combatant Ships",'J Book Items Cons.'!R$5:R$3360,"&lt;&gt;")+SUMIFS('J Book Items Cons.'!N$5:N$3360,'J Book Items Cons.'!E$5:E$3360,6,'J Book Items Cons.'!S$5:S$3360,"",'J Book Items Cons.'!U$5:U$3360,"MSC",'J Book Items Cons.'!V$5:V$3360,"Combatant Ships",'J Book Items Cons.'!R$5:R$3360,"",'J Book Items Cons.'!N$5:N$3360,"&lt;&gt;")+SUMIFS('J Book Items Cons.'!L$5:L$3360,'J Book Items Cons.'!E$5:E$3360,6,'J Book Items Cons.'!S$5:S$3360,"",'J Book Items Cons.'!U$5:U$3360,"MSC",'J Book Items Cons.'!V$5:V$3360,"Combatant Ships",'J Book Items Cons.'!R$5:R$3360,"",'J Book Items Cons.'!N$5:N$3360,"")+SUMIFS('J Book Items Cons.'!R$5:R$3360,'J Book Items Cons.'!E$5:E$3360,6,'J Book Items Cons.'!S$5:S$3360,"[PARENT]",'J Book Items Cons.'!U$5:U$3360,"MSC",'J Book Items Cons.'!V$5:V$3360,"Combatant Ships",'J Book Items Cons.'!R$5:R$3360,"&lt;&gt;")+SUMIFS('J Book Items Cons.'!N$5:N$3360,'J Book Items Cons.'!E$5:E$3360,6,'J Book Items Cons.'!S$5:S$3360,"[PARENT]",'J Book Items Cons.'!U$5:U$3360,"MSC",'J Book Items Cons.'!V$5:V$3360,"Combatant Ships",'J Book Items Cons.'!R$5:R$3360,"",'J Book Items Cons.'!N$5:N$3360,"&lt;&gt;")+SUMIFS('J Book Items Cons.'!L$5:L$3360,'J Book Items Cons.'!E$5:E$3360,6,'J Book Items Cons.'!S$5:S$3360,"[PARENT]",'J Book Items Cons.'!U$5:U$3360,"MSC",'J Book Items Cons.'!V$5:V$3360,"Combatant Ships",'J Book Items Cons.'!R$5:R$3360,"",'J Book Items Cons.'!N$5:N$3360,"")</f>
        <v>0</v>
      </c>
      <c r="D36" s="14">
        <f>SUMIFS('J Book Items Cons.'!R$5:R$3360,'J Book Items Cons.'!E$5:E$3360,6,'J Book Items Cons.'!S$5:S$3360,"",'J Book Items Cons.'!U$5:U$3360,"USN",'J Book Items Cons.'!V$5:V$3360,"Unmanned Maritime Platforms",'J Book Items Cons.'!R$5:R$3360,"&lt;&gt;")+SUMIFS('J Book Items Cons.'!N$5:N$3360,'J Book Items Cons.'!E$5:E$3360,6,'J Book Items Cons.'!S$5:S$3360,"",'J Book Items Cons.'!U$5:U$3360,"USN",'J Book Items Cons.'!V$5:V$3360,"Unmanned Maritime Platforms",'J Book Items Cons.'!R$5:R$3360,"",'J Book Items Cons.'!N$5:N$3360,"&lt;&gt;")+SUMIFS('J Book Items Cons.'!L$5:L$3360,'J Book Items Cons.'!E$5:E$3360,6,'J Book Items Cons.'!S$5:S$3360,"",'J Book Items Cons.'!U$5:U$3360,"USN",'J Book Items Cons.'!V$5:V$3360,"Unmanned Maritime Platforms",'J Book Items Cons.'!R$5:R$3360,"",'J Book Items Cons.'!N$5:N$3360,"")+SUMIFS('J Book Items Cons.'!R$5:R$3360,'J Book Items Cons.'!E$5:E$3360,6,'J Book Items Cons.'!S$5:S$3360,"[PARENT]",'J Book Items Cons.'!U$5:U$3360,"USN",'J Book Items Cons.'!V$5:V$3360,"Unmanned Maritime Platforms",'J Book Items Cons.'!R$5:R$3360,"&lt;&gt;")+SUMIFS('J Book Items Cons.'!N$5:N$3360,'J Book Items Cons.'!E$5:E$3360,6,'J Book Items Cons.'!S$5:S$3360,"[PARENT]",'J Book Items Cons.'!U$5:U$3360,"USN",'J Book Items Cons.'!V$5:V$3360,"Unmanned Maritime Platforms",'J Book Items Cons.'!R$5:R$3360,"",'J Book Items Cons.'!N$5:N$3360,"&lt;&gt;")+SUMIFS('J Book Items Cons.'!L$5:L$3360,'J Book Items Cons.'!E$5:E$3360,6,'J Book Items Cons.'!S$5:S$3360,"[PARENT]",'J Book Items Cons.'!U$5:U$3360,"USN",'J Book Items Cons.'!V$5:V$3360,"Unmanned Maritime Platforms",'J Book Items Cons.'!R$5:R$3360,"",'J Book Items Cons.'!N$5:N$3360,"")</f>
        <v>0</v>
      </c>
      <c r="E36" s="14">
        <f>SUMIFS('J Book Items Cons.'!R$5:R$3360,'J Book Items Cons.'!E$5:E$3360,6,'J Book Items Cons.'!S$5:S$3360,"",'J Book Items Cons.'!U$5:U$3360,"USN",'J Book Items Cons.'!V$5:V$3360,"Combatant Crafts",'J Book Items Cons.'!R$5:R$3360,"&lt;&gt;")+SUMIFS('J Book Items Cons.'!N$5:N$3360,'J Book Items Cons.'!E$5:E$3360,6,'J Book Items Cons.'!S$5:S$3360,"",'J Book Items Cons.'!U$5:U$3360,"USN",'J Book Items Cons.'!V$5:V$3360,"Combatant Crafts",'J Book Items Cons.'!R$5:R$3360,"",'J Book Items Cons.'!N$5:N$3360,"&lt;&gt;")+SUMIFS('J Book Items Cons.'!L$5:L$3360,'J Book Items Cons.'!E$5:E$3360,6,'J Book Items Cons.'!S$5:S$3360,"",'J Book Items Cons.'!U$5:U$3360,"USN",'J Book Items Cons.'!V$5:V$3360,"Combatant Crafts",'J Book Items Cons.'!R$5:R$3360,"",'J Book Items Cons.'!N$5:N$3360,"")+SUMIFS('J Book Items Cons.'!R$5:R$3360,'J Book Items Cons.'!E$5:E$3360,6,'J Book Items Cons.'!S$5:S$3360,"[PARENT]",'J Book Items Cons.'!U$5:U$3360,"USN",'J Book Items Cons.'!V$5:V$3360,"Combatant Crafts",'J Book Items Cons.'!R$5:R$3360,"&lt;&gt;")+SUMIFS('J Book Items Cons.'!N$5:N$3360,'J Book Items Cons.'!E$5:E$3360,6,'J Book Items Cons.'!S$5:S$3360,"[PARENT]",'J Book Items Cons.'!U$5:U$3360,"USN",'J Book Items Cons.'!V$5:V$3360,"Combatant Crafts",'J Book Items Cons.'!R$5:R$3360,"",'J Book Items Cons.'!N$5:N$3360,"&lt;&gt;")+SUMIFS('J Book Items Cons.'!L$5:L$3360,'J Book Items Cons.'!E$5:E$3360,6,'J Book Items Cons.'!S$5:S$3360,"[PARENT]",'J Book Items Cons.'!U$5:U$3360,"USN",'J Book Items Cons.'!V$5:V$3360,"Combatant Crafts",'J Book Items Cons.'!R$5:R$3360,"",'J Book Items Cons.'!N$5:N$3360,"")</f>
        <v>0</v>
      </c>
      <c r="F36" s="14">
        <f>SUMIFS('J Book Items Cons.'!R$5:R$3360,'J Book Items Cons.'!E$5:E$3360,6,'J Book Items Cons.'!S$5:S$3360,"",'J Book Items Cons.'!U$5:U$3360,"MSC",'J Book Items Cons.'!V$5:V$3360,"Auxiliary Ships",'J Book Items Cons.'!R$5:R$3360,"&lt;&gt;")+SUMIFS('J Book Items Cons.'!N$5:N$3360,'J Book Items Cons.'!E$5:E$3360,6,'J Book Items Cons.'!S$5:S$3360,"",'J Book Items Cons.'!U$5:U$3360,"MSC",'J Book Items Cons.'!V$5:V$3360,"Auxiliary Ships",'J Book Items Cons.'!R$5:R$3360,"",'J Book Items Cons.'!N$5:N$3360,"&lt;&gt;")+SUMIFS('J Book Items Cons.'!L$5:L$3360,'J Book Items Cons.'!E$5:E$3360,6,'J Book Items Cons.'!S$5:S$3360,"",'J Book Items Cons.'!U$5:U$3360,"MSC",'J Book Items Cons.'!V$5:V$3360,"Auxiliary Ships",'J Book Items Cons.'!R$5:R$3360,"",'J Book Items Cons.'!N$5:N$3360,"")+SUMIFS('J Book Items Cons.'!R$5:R$3360,'J Book Items Cons.'!E$5:E$3360,6,'J Book Items Cons.'!S$5:S$3360,"[PARENT]",'J Book Items Cons.'!U$5:U$3360,"MSC",'J Book Items Cons.'!V$5:V$3360,"Auxiliary Ships",'J Book Items Cons.'!R$5:R$3360,"&lt;&gt;")+SUMIFS('J Book Items Cons.'!N$5:N$3360,'J Book Items Cons.'!E$5:E$3360,6,'J Book Items Cons.'!S$5:S$3360,"[PARENT]",'J Book Items Cons.'!U$5:U$3360,"MSC",'J Book Items Cons.'!V$5:V$3360,"Auxiliary Ships",'J Book Items Cons.'!R$5:R$3360,"",'J Book Items Cons.'!N$5:N$3360,"&lt;&gt;")+SUMIFS('J Book Items Cons.'!L$5:L$3360,'J Book Items Cons.'!E$5:E$3360,6,'J Book Items Cons.'!S$5:S$3360,"[PARENT]",'J Book Items Cons.'!U$5:U$3360,"MSC",'J Book Items Cons.'!V$5:V$3360,"Auxiliary Ships",'J Book Items Cons.'!R$5:R$3360,"",'J Book Items Cons.'!N$5:N$3360,"")</f>
        <v>0</v>
      </c>
      <c r="G36" s="14">
        <f>SUMIFS('J Book Items Cons.'!R$5:R$3360,'J Book Items Cons.'!E$5:E$3360,6,'J Book Items Cons.'!S$5:S$3360,"",'J Book Items Cons.'!U$5:U$3360,"USN",'J Book Items Cons.'!V$5:V$3360,"Support Crafts",'J Book Items Cons.'!R$5:R$3360,"&lt;&gt;")+SUMIFS('J Book Items Cons.'!N$5:N$3360,'J Book Items Cons.'!E$5:E$3360,6,'J Book Items Cons.'!S$5:S$3360,"",'J Book Items Cons.'!U$5:U$3360,"USN",'J Book Items Cons.'!V$5:V$3360,"Support Crafts",'J Book Items Cons.'!R$5:R$3360,"",'J Book Items Cons.'!N$5:N$3360,"&lt;&gt;")+SUMIFS('J Book Items Cons.'!L$5:L$3360,'J Book Items Cons.'!E$5:E$3360,6,'J Book Items Cons.'!S$5:S$3360,"",'J Book Items Cons.'!U$5:U$3360,"USN",'J Book Items Cons.'!V$5:V$3360,"Support Crafts",'J Book Items Cons.'!R$5:R$3360,"",'J Book Items Cons.'!N$5:N$3360,"")+SUMIFS('J Book Items Cons.'!R$5:R$3360,'J Book Items Cons.'!E$5:E$3360,6,'J Book Items Cons.'!S$5:S$3360,"[PARENT]",'J Book Items Cons.'!U$5:U$3360,"USN",'J Book Items Cons.'!V$5:V$3360,"Support Crafts",'J Book Items Cons.'!R$5:R$3360,"&lt;&gt;")+SUMIFS('J Book Items Cons.'!N$5:N$3360,'J Book Items Cons.'!E$5:E$3360,6,'J Book Items Cons.'!S$5:S$3360,"[PARENT]",'J Book Items Cons.'!U$5:U$3360,"USN",'J Book Items Cons.'!V$5:V$3360,"Support Crafts",'J Book Items Cons.'!R$5:R$3360,"",'J Book Items Cons.'!N$5:N$3360,"&lt;&gt;")+SUMIFS('J Book Items Cons.'!L$5:L$3360,'J Book Items Cons.'!E$5:E$3360,6,'J Book Items Cons.'!S$5:S$3360,"[PARENT]",'J Book Items Cons.'!U$5:U$3360,"USN",'J Book Items Cons.'!V$5:V$3360,"Support Crafts",'J Book Items Cons.'!R$5:R$3360,"",'J Book Items Cons.'!N$5:N$3360,"")</f>
        <v>0</v>
      </c>
      <c r="H36" s="26">
        <f>SUMIFS('J Book Items Cons.'!R$5:R$3360,'J Book Items Cons.'!E$5:E$3360,6,'J Book Items Cons.'!S$5:S$3360,"",'J Book Items Cons.'!U$5:U$3360,"USN",'J Book Items Cons.'!V$5:V$3360,"Auxiliary Ships",'J Book Items Cons.'!R$5:R$3360,"&lt;&gt;")+SUMIFS('J Book Items Cons.'!N$5:N$3360,'J Book Items Cons.'!E$5:E$3360,6,'J Book Items Cons.'!S$5:S$3360,"",'J Book Items Cons.'!U$5:U$3360,"USN",'J Book Items Cons.'!V$5:V$3360,"Auxiliary Ships",'J Book Items Cons.'!R$5:R$3360,"",'J Book Items Cons.'!N$5:N$3360,"&lt;&gt;")+SUMIFS('J Book Items Cons.'!L$5:L$3360,'J Book Items Cons.'!E$5:E$3360,6,'J Book Items Cons.'!S$5:S$3360,"",'J Book Items Cons.'!U$5:U$3360,"USN",'J Book Items Cons.'!V$5:V$3360,"Auxiliary Ships",'J Book Items Cons.'!R$5:R$3360,"",'J Book Items Cons.'!N$5:N$3360,"")+SUMIFS('J Book Items Cons.'!R$5:R$3360,'J Book Items Cons.'!E$5:E$3360,6,'J Book Items Cons.'!S$5:S$3360,"[PARENT]",'J Book Items Cons.'!U$5:U$3360,"USN",'J Book Items Cons.'!V$5:V$3360,"Auxiliary Ships",'J Book Items Cons.'!R$5:R$3360,"&lt;&gt;")+SUMIFS('J Book Items Cons.'!N$5:N$3360,'J Book Items Cons.'!E$5:E$3360,6,'J Book Items Cons.'!S$5:S$3360,"[PARENT]",'J Book Items Cons.'!U$5:U$3360,"USN",'J Book Items Cons.'!V$5:V$3360,"Auxiliary Ships",'J Book Items Cons.'!R$5:R$3360,"",'J Book Items Cons.'!N$5:N$3360,"&lt;&gt;")+SUMIFS('J Book Items Cons.'!L$5:L$3360,'J Book Items Cons.'!E$5:E$3360,6,'J Book Items Cons.'!S$5:S$3360,"[PARENT]",'J Book Items Cons.'!U$5:U$3360,"USN",'J Book Items Cons.'!V$5:V$3360,"Auxiliary Ships",'J Book Items Cons.'!R$5:R$3360,"",'J Book Items Cons.'!N$5:N$3360,"")</f>
        <v>0</v>
      </c>
      <c r="I36" s="27">
        <f>SUMIFS('J Book Items Cons.'!R$5:R$3360,'J Book Items Cons.'!E$5:E$3360,6,'J Book Items Cons.'!S$5:S$3360,"",'J Book Items Cons.'!U$5:U$3360,"USCG",'J Book Items Cons.'!V$5:V$3360,"Cutters",'J Book Items Cons.'!R$5:R$3360,"&lt;&gt;")+SUMIFS('J Book Items Cons.'!N$5:N$3360,'J Book Items Cons.'!E$5:E$3360,6,'J Book Items Cons.'!S$5:S$3360,"",'J Book Items Cons.'!U$5:U$3360,"USCG",'J Book Items Cons.'!V$5:V$3360,"Cutters",'J Book Items Cons.'!R$5:R$3360,"",'J Book Items Cons.'!N$5:N$3360,"&lt;&gt;")+SUMIFS('J Book Items Cons.'!L$5:L$3360,'J Book Items Cons.'!E$5:E$3360,6,'J Book Items Cons.'!S$5:S$3360,"",'J Book Items Cons.'!U$5:U$3360,"USCG",'J Book Items Cons.'!V$5:V$3360,"Cutters",'J Book Items Cons.'!R$5:R$3360,"",'J Book Items Cons.'!N$5:N$3360,"")+SUMIFS('J Book Items Cons.'!R$5:R$3360,'J Book Items Cons.'!E$5:E$3360,6,'J Book Items Cons.'!S$5:S$3360,"[PARENT]",'J Book Items Cons.'!U$5:U$3360,"USCG",'J Book Items Cons.'!V$5:V$3360,"Cutters",'J Book Items Cons.'!R$5:R$3360,"&lt;&gt;")+SUMIFS('J Book Items Cons.'!N$5:N$3360,'J Book Items Cons.'!E$5:E$3360,6,'J Book Items Cons.'!S$5:S$3360,"[PARENT]",'J Book Items Cons.'!U$5:U$3360,"USCG",'J Book Items Cons.'!V$5:V$3360,"Cutters",'J Book Items Cons.'!R$5:R$3360,"",'J Book Items Cons.'!N$5:N$3360,"&lt;&gt;")+SUMIFS('J Book Items Cons.'!L$5:L$3360,'J Book Items Cons.'!E$5:E$3360,6,'J Book Items Cons.'!S$5:S$3360,"[PARENT]",'J Book Items Cons.'!U$5:U$3360,"USCG",'J Book Items Cons.'!V$5:V$3360,"Cutters",'J Book Items Cons.'!R$5:R$3360,"",'J Book Items Cons.'!N$5:N$3360,"")</f>
        <v>0</v>
      </c>
      <c r="J36" s="14">
        <f t="shared" si="1"/>
        <v>156196</v>
      </c>
      <c r="K36" s="7"/>
      <c r="L36" s="7"/>
      <c r="M36" s="7"/>
      <c r="N36" s="7"/>
      <c r="O36" s="7"/>
      <c r="P36" s="7"/>
      <c r="Q36" s="7"/>
      <c r="R36" s="7"/>
      <c r="S36" s="7"/>
      <c r="T36" s="7"/>
      <c r="U36" s="7"/>
      <c r="V36" s="7"/>
      <c r="W36" s="7"/>
      <c r="X36" s="7"/>
      <c r="Y36" s="7"/>
      <c r="AD36" s="7"/>
      <c r="AE36" s="7"/>
      <c r="AF36" s="7"/>
      <c r="AG36" s="7"/>
      <c r="AH36" s="7"/>
      <c r="AI36" s="7"/>
      <c r="AJ36" s="7"/>
      <c r="AK36" s="7"/>
      <c r="AL36" s="7"/>
      <c r="AM36" s="7"/>
      <c r="AN36" s="7"/>
      <c r="AO36" s="7"/>
      <c r="AP36" s="7"/>
    </row>
    <row r="37" spans="1:42" ht="10.5" customHeight="1" x14ac:dyDescent="0.15">
      <c r="A37" s="7" t="s">
        <v>8828</v>
      </c>
      <c r="B37" s="25">
        <f>SUMIFS('J Book Items Cons.'!R$5:R$3360,'J Book Items Cons.'!E$5:E$3360,7,'J Book Items Cons.'!S$5:S$3360,"",'J Book Items Cons.'!U$5:U$3360,"USN",'J Book Items Cons.'!V$5:V$3360,"Combatant Ships",'J Book Items Cons.'!R$5:R$3360,"&lt;&gt;")+SUMIFS('J Book Items Cons.'!N$5:N$3360,'J Book Items Cons.'!E$5:E$3360,7,'J Book Items Cons.'!S$5:S$3360,"",'J Book Items Cons.'!U$5:U$3360,"USN",'J Book Items Cons.'!V$5:V$3360,"Combatant Ships",'J Book Items Cons.'!R$5:R$3360,"",'J Book Items Cons.'!N$5:N$3360,"&lt;&gt;")+SUMIFS('J Book Items Cons.'!L$5:L$3360,'J Book Items Cons.'!E$5:E$3360,7,'J Book Items Cons.'!S$5:S$3360,"",'J Book Items Cons.'!U$5:U$3360,"USN",'J Book Items Cons.'!V$5:V$3360,"Combatant Ships",'J Book Items Cons.'!R$5:R$3360,"",'J Book Items Cons.'!N$5:N$3360,"")+SUMIFS('J Book Items Cons.'!R$5:R$3360,'J Book Items Cons.'!E$5:E$3360,7,'J Book Items Cons.'!S$5:S$3360,"[PARENT]",'J Book Items Cons.'!U$5:U$3360,"USN",'J Book Items Cons.'!V$5:V$3360,"Combatant Ships",'J Book Items Cons.'!R$5:R$3360,"&lt;&gt;")+SUMIFS('J Book Items Cons.'!N$5:N$3360,'J Book Items Cons.'!E$5:E$3360,7,'J Book Items Cons.'!S$5:S$3360,"[PARENT]",'J Book Items Cons.'!U$5:U$3360,"USN",'J Book Items Cons.'!V$5:V$3360,"Combatant Ships",'J Book Items Cons.'!R$5:R$3360,"",'J Book Items Cons.'!N$5:N$3360,"&lt;&gt;")+SUMIFS('J Book Items Cons.'!L$5:L$3360,'J Book Items Cons.'!E$5:E$3360,7,'J Book Items Cons.'!S$5:S$3360,"[PARENT]",'J Book Items Cons.'!U$5:U$3360,"USN",'J Book Items Cons.'!V$5:V$3360,"Combatant Ships",'J Book Items Cons.'!R$5:R$3360,"",'J Book Items Cons.'!N$5:N$3360,"")</f>
        <v>38073</v>
      </c>
      <c r="C37" s="14">
        <f>SUMIFS('J Book Items Cons.'!R$5:R$3360,'J Book Items Cons.'!E$5:E$3360,7,'J Book Items Cons.'!S$5:S$3360,"",'J Book Items Cons.'!U$5:U$3360,"MSC",'J Book Items Cons.'!V$5:V$3360,"Combatant Ships",'J Book Items Cons.'!R$5:R$3360,"&lt;&gt;")+SUMIFS('J Book Items Cons.'!N$5:N$3360,'J Book Items Cons.'!E$5:E$3360,7,'J Book Items Cons.'!S$5:S$3360,"",'J Book Items Cons.'!U$5:U$3360,"MSC",'J Book Items Cons.'!V$5:V$3360,"Combatant Ships",'J Book Items Cons.'!R$5:R$3360,"",'J Book Items Cons.'!N$5:N$3360,"&lt;&gt;")+SUMIFS('J Book Items Cons.'!L$5:L$3360,'J Book Items Cons.'!E$5:E$3360,7,'J Book Items Cons.'!S$5:S$3360,"",'J Book Items Cons.'!U$5:U$3360,"MSC",'J Book Items Cons.'!V$5:V$3360,"Combatant Ships",'J Book Items Cons.'!R$5:R$3360,"",'J Book Items Cons.'!N$5:N$3360,"")+SUMIFS('J Book Items Cons.'!R$5:R$3360,'J Book Items Cons.'!E$5:E$3360,7,'J Book Items Cons.'!S$5:S$3360,"[PARENT]",'J Book Items Cons.'!U$5:U$3360,"MSC",'J Book Items Cons.'!V$5:V$3360,"Combatant Ships",'J Book Items Cons.'!R$5:R$3360,"&lt;&gt;")+SUMIFS('J Book Items Cons.'!N$5:N$3360,'J Book Items Cons.'!E$5:E$3360,7,'J Book Items Cons.'!S$5:S$3360,"[PARENT]",'J Book Items Cons.'!U$5:U$3360,"MSC",'J Book Items Cons.'!V$5:V$3360,"Combatant Ships",'J Book Items Cons.'!R$5:R$3360,"",'J Book Items Cons.'!N$5:N$3360,"&lt;&gt;")+SUMIFS('J Book Items Cons.'!L$5:L$3360,'J Book Items Cons.'!E$5:E$3360,7,'J Book Items Cons.'!S$5:S$3360,"[PARENT]",'J Book Items Cons.'!U$5:U$3360,"MSC",'J Book Items Cons.'!V$5:V$3360,"Combatant Ships",'J Book Items Cons.'!R$5:R$3360,"",'J Book Items Cons.'!N$5:N$3360,"")</f>
        <v>0</v>
      </c>
      <c r="D37" s="14">
        <f>SUMIFS('J Book Items Cons.'!R$5:R$3360,'J Book Items Cons.'!E$5:E$3360,7,'J Book Items Cons.'!S$5:S$3360,"",'J Book Items Cons.'!U$5:U$3360,"USN",'J Book Items Cons.'!V$5:V$3360,"Unmanned Maritime Platforms",'J Book Items Cons.'!R$5:R$3360,"&lt;&gt;")+SUMIFS('J Book Items Cons.'!N$5:N$3360,'J Book Items Cons.'!E$5:E$3360,7,'J Book Items Cons.'!S$5:S$3360,"",'J Book Items Cons.'!U$5:U$3360,"USN",'J Book Items Cons.'!V$5:V$3360,"Unmanned Maritime Platforms",'J Book Items Cons.'!R$5:R$3360,"",'J Book Items Cons.'!N$5:N$3360,"&lt;&gt;")+SUMIFS('J Book Items Cons.'!L$5:L$3360,'J Book Items Cons.'!E$5:E$3360,7,'J Book Items Cons.'!S$5:S$3360,"",'J Book Items Cons.'!U$5:U$3360,"USN",'J Book Items Cons.'!V$5:V$3360,"Unmanned Maritime Platforms",'J Book Items Cons.'!R$5:R$3360,"",'J Book Items Cons.'!N$5:N$3360,"")+SUMIFS('J Book Items Cons.'!R$5:R$3360,'J Book Items Cons.'!E$5:E$3360,7,'J Book Items Cons.'!S$5:S$3360,"[PARENT]",'J Book Items Cons.'!U$5:U$3360,"USN",'J Book Items Cons.'!V$5:V$3360,"Unmanned Maritime Platforms",'J Book Items Cons.'!R$5:R$3360,"&lt;&gt;")+SUMIFS('J Book Items Cons.'!N$5:N$3360,'J Book Items Cons.'!E$5:E$3360,7,'J Book Items Cons.'!S$5:S$3360,"[PARENT]",'J Book Items Cons.'!U$5:U$3360,"USN",'J Book Items Cons.'!V$5:V$3360,"Unmanned Maritime Platforms",'J Book Items Cons.'!R$5:R$3360,"",'J Book Items Cons.'!N$5:N$3360,"&lt;&gt;")+SUMIFS('J Book Items Cons.'!L$5:L$3360,'J Book Items Cons.'!E$5:E$3360,7,'J Book Items Cons.'!S$5:S$3360,"[PARENT]",'J Book Items Cons.'!U$5:U$3360,"USN",'J Book Items Cons.'!V$5:V$3360,"Unmanned Maritime Platforms",'J Book Items Cons.'!R$5:R$3360,"",'J Book Items Cons.'!N$5:N$3360,"")</f>
        <v>0</v>
      </c>
      <c r="E37" s="14">
        <f>SUMIFS('J Book Items Cons.'!R$5:R$3360,'J Book Items Cons.'!E$5:E$3360,7,'J Book Items Cons.'!S$5:S$3360,"",'J Book Items Cons.'!U$5:U$3360,"USN",'J Book Items Cons.'!V$5:V$3360,"Combatant Crafts",'J Book Items Cons.'!R$5:R$3360,"&lt;&gt;")+SUMIFS('J Book Items Cons.'!N$5:N$3360,'J Book Items Cons.'!E$5:E$3360,7,'J Book Items Cons.'!S$5:S$3360,"",'J Book Items Cons.'!U$5:U$3360,"USN",'J Book Items Cons.'!V$5:V$3360,"Combatant Crafts",'J Book Items Cons.'!R$5:R$3360,"",'J Book Items Cons.'!N$5:N$3360,"&lt;&gt;")+SUMIFS('J Book Items Cons.'!L$5:L$3360,'J Book Items Cons.'!E$5:E$3360,7,'J Book Items Cons.'!S$5:S$3360,"",'J Book Items Cons.'!U$5:U$3360,"USN",'J Book Items Cons.'!V$5:V$3360,"Combatant Crafts",'J Book Items Cons.'!R$5:R$3360,"",'J Book Items Cons.'!N$5:N$3360,"")+SUMIFS('J Book Items Cons.'!R$5:R$3360,'J Book Items Cons.'!E$5:E$3360,7,'J Book Items Cons.'!S$5:S$3360,"[PARENT]",'J Book Items Cons.'!U$5:U$3360,"USN",'J Book Items Cons.'!V$5:V$3360,"Combatant Crafts",'J Book Items Cons.'!R$5:R$3360,"&lt;&gt;")+SUMIFS('J Book Items Cons.'!N$5:N$3360,'J Book Items Cons.'!E$5:E$3360,7,'J Book Items Cons.'!S$5:S$3360,"[PARENT]",'J Book Items Cons.'!U$5:U$3360,"USN",'J Book Items Cons.'!V$5:V$3360,"Combatant Crafts",'J Book Items Cons.'!R$5:R$3360,"",'J Book Items Cons.'!N$5:N$3360,"&lt;&gt;")+SUMIFS('J Book Items Cons.'!L$5:L$3360,'J Book Items Cons.'!E$5:E$3360,7,'J Book Items Cons.'!S$5:S$3360,"[PARENT]",'J Book Items Cons.'!U$5:U$3360,"USN",'J Book Items Cons.'!V$5:V$3360,"Combatant Crafts",'J Book Items Cons.'!R$5:R$3360,"",'J Book Items Cons.'!N$5:N$3360,"")</f>
        <v>0</v>
      </c>
      <c r="F37" s="14">
        <f>SUMIFS('J Book Items Cons.'!R$5:R$3360,'J Book Items Cons.'!E$5:E$3360,7,'J Book Items Cons.'!S$5:S$3360,"",'J Book Items Cons.'!U$5:U$3360,"MSC",'J Book Items Cons.'!V$5:V$3360,"Auxiliary Ships",'J Book Items Cons.'!R$5:R$3360,"&lt;&gt;")+SUMIFS('J Book Items Cons.'!N$5:N$3360,'J Book Items Cons.'!E$5:E$3360,7,'J Book Items Cons.'!S$5:S$3360,"",'J Book Items Cons.'!U$5:U$3360,"MSC",'J Book Items Cons.'!V$5:V$3360,"Auxiliary Ships",'J Book Items Cons.'!R$5:R$3360,"",'J Book Items Cons.'!N$5:N$3360,"&lt;&gt;")+SUMIFS('J Book Items Cons.'!L$5:L$3360,'J Book Items Cons.'!E$5:E$3360,7,'J Book Items Cons.'!S$5:S$3360,"",'J Book Items Cons.'!U$5:U$3360,"MSC",'J Book Items Cons.'!V$5:V$3360,"Auxiliary Ships",'J Book Items Cons.'!R$5:R$3360,"",'J Book Items Cons.'!N$5:N$3360,"")+SUMIFS('J Book Items Cons.'!R$5:R$3360,'J Book Items Cons.'!E$5:E$3360,7,'J Book Items Cons.'!S$5:S$3360,"[PARENT]",'J Book Items Cons.'!U$5:U$3360,"MSC",'J Book Items Cons.'!V$5:V$3360,"Auxiliary Ships",'J Book Items Cons.'!R$5:R$3360,"&lt;&gt;")+SUMIFS('J Book Items Cons.'!N$5:N$3360,'J Book Items Cons.'!E$5:E$3360,7,'J Book Items Cons.'!S$5:S$3360,"[PARENT]",'J Book Items Cons.'!U$5:U$3360,"MSC",'J Book Items Cons.'!V$5:V$3360,"Auxiliary Ships",'J Book Items Cons.'!R$5:R$3360,"",'J Book Items Cons.'!N$5:N$3360,"&lt;&gt;")+SUMIFS('J Book Items Cons.'!L$5:L$3360,'J Book Items Cons.'!E$5:E$3360,7,'J Book Items Cons.'!S$5:S$3360,"[PARENT]",'J Book Items Cons.'!U$5:U$3360,"MSC",'J Book Items Cons.'!V$5:V$3360,"Auxiliary Ships",'J Book Items Cons.'!R$5:R$3360,"",'J Book Items Cons.'!N$5:N$3360,"")</f>
        <v>0</v>
      </c>
      <c r="G37" s="14">
        <f>SUMIFS('J Book Items Cons.'!R$5:R$3360,'J Book Items Cons.'!E$5:E$3360,7,'J Book Items Cons.'!S$5:S$3360,"",'J Book Items Cons.'!U$5:U$3360,"USN",'J Book Items Cons.'!V$5:V$3360,"Support Crafts",'J Book Items Cons.'!R$5:R$3360,"&lt;&gt;")+SUMIFS('J Book Items Cons.'!N$5:N$3360,'J Book Items Cons.'!E$5:E$3360,7,'J Book Items Cons.'!S$5:S$3360,"",'J Book Items Cons.'!U$5:U$3360,"USN",'J Book Items Cons.'!V$5:V$3360,"Support Crafts",'J Book Items Cons.'!R$5:R$3360,"",'J Book Items Cons.'!N$5:N$3360,"&lt;&gt;")+SUMIFS('J Book Items Cons.'!L$5:L$3360,'J Book Items Cons.'!E$5:E$3360,7,'J Book Items Cons.'!S$5:S$3360,"",'J Book Items Cons.'!U$5:U$3360,"USN",'J Book Items Cons.'!V$5:V$3360,"Support Crafts",'J Book Items Cons.'!R$5:R$3360,"",'J Book Items Cons.'!N$5:N$3360,"")+SUMIFS('J Book Items Cons.'!R$5:R$3360,'J Book Items Cons.'!E$5:E$3360,7,'J Book Items Cons.'!S$5:S$3360,"[PARENT]",'J Book Items Cons.'!U$5:U$3360,"USN",'J Book Items Cons.'!V$5:V$3360,"Support Crafts",'J Book Items Cons.'!R$5:R$3360,"&lt;&gt;")+SUMIFS('J Book Items Cons.'!N$5:N$3360,'J Book Items Cons.'!E$5:E$3360,7,'J Book Items Cons.'!S$5:S$3360,"[PARENT]",'J Book Items Cons.'!U$5:U$3360,"USN",'J Book Items Cons.'!V$5:V$3360,"Support Crafts",'J Book Items Cons.'!R$5:R$3360,"",'J Book Items Cons.'!N$5:N$3360,"&lt;&gt;")+SUMIFS('J Book Items Cons.'!L$5:L$3360,'J Book Items Cons.'!E$5:E$3360,7,'J Book Items Cons.'!S$5:S$3360,"[PARENT]",'J Book Items Cons.'!U$5:U$3360,"USN",'J Book Items Cons.'!V$5:V$3360,"Support Crafts",'J Book Items Cons.'!R$5:R$3360,"",'J Book Items Cons.'!N$5:N$3360,"")</f>
        <v>0</v>
      </c>
      <c r="H37" s="26">
        <f>SUMIFS('J Book Items Cons.'!R$5:R$3360,'J Book Items Cons.'!E$5:E$3360,7,'J Book Items Cons.'!S$5:S$3360,"",'J Book Items Cons.'!U$5:U$3360,"USN",'J Book Items Cons.'!V$5:V$3360,"Auxiliary Ships",'J Book Items Cons.'!R$5:R$3360,"&lt;&gt;")+SUMIFS('J Book Items Cons.'!N$5:N$3360,'J Book Items Cons.'!E$5:E$3360,7,'J Book Items Cons.'!S$5:S$3360,"",'J Book Items Cons.'!U$5:U$3360,"USN",'J Book Items Cons.'!V$5:V$3360,"Auxiliary Ships",'J Book Items Cons.'!R$5:R$3360,"",'J Book Items Cons.'!N$5:N$3360,"&lt;&gt;")+SUMIFS('J Book Items Cons.'!L$5:L$3360,'J Book Items Cons.'!E$5:E$3360,7,'J Book Items Cons.'!S$5:S$3360,"",'J Book Items Cons.'!U$5:U$3360,"USN",'J Book Items Cons.'!V$5:V$3360,"Auxiliary Ships",'J Book Items Cons.'!R$5:R$3360,"",'J Book Items Cons.'!N$5:N$3360,"")+SUMIFS('J Book Items Cons.'!R$5:R$3360,'J Book Items Cons.'!E$5:E$3360,7,'J Book Items Cons.'!S$5:S$3360,"[PARENT]",'J Book Items Cons.'!U$5:U$3360,"USN",'J Book Items Cons.'!V$5:V$3360,"Auxiliary Ships",'J Book Items Cons.'!R$5:R$3360,"&lt;&gt;")+SUMIFS('J Book Items Cons.'!N$5:N$3360,'J Book Items Cons.'!E$5:E$3360,7,'J Book Items Cons.'!S$5:S$3360,"[PARENT]",'J Book Items Cons.'!U$5:U$3360,"USN",'J Book Items Cons.'!V$5:V$3360,"Auxiliary Ships",'J Book Items Cons.'!R$5:R$3360,"",'J Book Items Cons.'!N$5:N$3360,"&lt;&gt;")+SUMIFS('J Book Items Cons.'!L$5:L$3360,'J Book Items Cons.'!E$5:E$3360,7,'J Book Items Cons.'!S$5:S$3360,"[PARENT]",'J Book Items Cons.'!U$5:U$3360,"USN",'J Book Items Cons.'!V$5:V$3360,"Auxiliary Ships",'J Book Items Cons.'!R$5:R$3360,"",'J Book Items Cons.'!N$5:N$3360,"")</f>
        <v>0</v>
      </c>
      <c r="I37" s="27">
        <f>SUMIFS('J Book Items Cons.'!R$5:R$3360,'J Book Items Cons.'!E$5:E$3360,7,'J Book Items Cons.'!S$5:S$3360,"",'J Book Items Cons.'!U$5:U$3360,"USCG",'J Book Items Cons.'!V$5:V$3360,"Cutters",'J Book Items Cons.'!R$5:R$3360,"&lt;&gt;")+SUMIFS('J Book Items Cons.'!N$5:N$3360,'J Book Items Cons.'!E$5:E$3360,7,'J Book Items Cons.'!S$5:S$3360,"",'J Book Items Cons.'!U$5:U$3360,"USCG",'J Book Items Cons.'!V$5:V$3360,"Cutters",'J Book Items Cons.'!R$5:R$3360,"",'J Book Items Cons.'!N$5:N$3360,"&lt;&gt;")+SUMIFS('J Book Items Cons.'!L$5:L$3360,'J Book Items Cons.'!E$5:E$3360,7,'J Book Items Cons.'!S$5:S$3360,"",'J Book Items Cons.'!U$5:U$3360,"USCG",'J Book Items Cons.'!V$5:V$3360,"Cutters",'J Book Items Cons.'!R$5:R$3360,"",'J Book Items Cons.'!N$5:N$3360,"")+SUMIFS('J Book Items Cons.'!R$5:R$3360,'J Book Items Cons.'!E$5:E$3360,7,'J Book Items Cons.'!S$5:S$3360,"[PARENT]",'J Book Items Cons.'!U$5:U$3360,"USCG",'J Book Items Cons.'!V$5:V$3360,"Cutters",'J Book Items Cons.'!R$5:R$3360,"&lt;&gt;")+SUMIFS('J Book Items Cons.'!N$5:N$3360,'J Book Items Cons.'!E$5:E$3360,7,'J Book Items Cons.'!S$5:S$3360,"[PARENT]",'J Book Items Cons.'!U$5:U$3360,"USCG",'J Book Items Cons.'!V$5:V$3360,"Cutters",'J Book Items Cons.'!R$5:R$3360,"",'J Book Items Cons.'!N$5:N$3360,"&lt;&gt;")+SUMIFS('J Book Items Cons.'!L$5:L$3360,'J Book Items Cons.'!E$5:E$3360,7,'J Book Items Cons.'!S$5:S$3360,"[PARENT]",'J Book Items Cons.'!U$5:U$3360,"USCG",'J Book Items Cons.'!V$5:V$3360,"Cutters",'J Book Items Cons.'!R$5:R$3360,"",'J Book Items Cons.'!N$5:N$3360,"")</f>
        <v>0</v>
      </c>
      <c r="J37" s="14">
        <f t="shared" si="1"/>
        <v>38073</v>
      </c>
      <c r="K37" s="7"/>
      <c r="L37" s="7"/>
      <c r="M37" s="7"/>
      <c r="N37" s="7"/>
      <c r="O37" s="7"/>
      <c r="P37" s="7"/>
      <c r="Q37" s="7"/>
      <c r="R37" s="7"/>
      <c r="S37" s="7"/>
      <c r="T37" s="7"/>
      <c r="U37" s="7"/>
      <c r="V37" s="7"/>
      <c r="W37" s="7"/>
      <c r="X37" s="7"/>
      <c r="Y37" s="7"/>
      <c r="AD37" s="7"/>
      <c r="AE37" s="7"/>
      <c r="AF37" s="7"/>
      <c r="AG37" s="7"/>
      <c r="AH37" s="7"/>
      <c r="AI37" s="7"/>
      <c r="AJ37" s="7"/>
      <c r="AK37" s="7"/>
      <c r="AL37" s="7"/>
      <c r="AM37" s="7"/>
      <c r="AN37" s="7"/>
      <c r="AO37" s="7"/>
      <c r="AP37" s="7"/>
    </row>
    <row r="38" spans="1:42" ht="10.5" customHeight="1" x14ac:dyDescent="0.15">
      <c r="A38" s="15" t="s">
        <v>8831</v>
      </c>
      <c r="B38" s="28">
        <f t="shared" ref="B38:J38" si="2">SUM(B31:B37)</f>
        <v>59745679</v>
      </c>
      <c r="C38" s="16">
        <f t="shared" si="2"/>
        <v>2646579</v>
      </c>
      <c r="D38" s="16">
        <f t="shared" si="2"/>
        <v>1534948</v>
      </c>
      <c r="E38" s="16">
        <f t="shared" si="2"/>
        <v>921390</v>
      </c>
      <c r="F38" s="16">
        <f t="shared" si="2"/>
        <v>890000</v>
      </c>
      <c r="G38" s="16">
        <f t="shared" si="2"/>
        <v>79000</v>
      </c>
      <c r="H38" s="29">
        <f t="shared" si="2"/>
        <v>0</v>
      </c>
      <c r="I38" s="30">
        <f t="shared" si="2"/>
        <v>1287400</v>
      </c>
      <c r="J38" s="16">
        <f t="shared" si="2"/>
        <v>67104996</v>
      </c>
    </row>
    <row r="40" spans="1:42" ht="10.5" customHeight="1" x14ac:dyDescent="0.15">
      <c r="AN40" s="17"/>
      <c r="AO40" s="17"/>
      <c r="AP40" s="17"/>
    </row>
    <row r="41" spans="1:42" ht="10.5" customHeight="1" x14ac:dyDescent="0.15">
      <c r="A41" s="11" t="s">
        <v>8835</v>
      </c>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row>
    <row r="42" spans="1:42" ht="10.5" customHeight="1" x14ac:dyDescent="0.15">
      <c r="A42" s="31"/>
      <c r="B42" s="32" t="s">
        <v>44</v>
      </c>
      <c r="C42" s="33"/>
      <c r="D42" s="33"/>
      <c r="E42" s="33"/>
      <c r="F42" s="33"/>
      <c r="G42" s="33"/>
      <c r="H42" s="33"/>
      <c r="I42" s="33"/>
      <c r="J42" s="33"/>
      <c r="K42" s="33"/>
      <c r="L42" s="33"/>
      <c r="M42" s="33"/>
      <c r="N42" s="33"/>
      <c r="O42" s="33"/>
      <c r="P42" s="33"/>
      <c r="Q42" s="33"/>
      <c r="R42" s="33"/>
      <c r="S42" s="33"/>
      <c r="T42" s="33"/>
      <c r="U42" s="33"/>
      <c r="V42" s="33"/>
      <c r="W42" s="33"/>
      <c r="X42" s="33"/>
      <c r="Y42" s="33"/>
      <c r="Z42" s="33"/>
      <c r="AA42" s="33"/>
      <c r="AB42" s="33"/>
      <c r="AC42" s="33"/>
      <c r="AD42" s="33"/>
      <c r="AE42" s="34"/>
      <c r="AF42" s="32" t="s">
        <v>7086</v>
      </c>
      <c r="AG42" s="33"/>
      <c r="AH42" s="33"/>
      <c r="AI42" s="33"/>
      <c r="AJ42" s="33"/>
      <c r="AK42" s="33"/>
      <c r="AL42" s="34"/>
      <c r="AM42" s="35"/>
    </row>
    <row r="43" spans="1:42" ht="10.5" customHeight="1" x14ac:dyDescent="0.15">
      <c r="A43" s="12" t="s">
        <v>8820</v>
      </c>
      <c r="B43" s="22" t="s">
        <v>46</v>
      </c>
      <c r="C43" s="12" t="s">
        <v>130</v>
      </c>
      <c r="D43" s="12" t="s">
        <v>67</v>
      </c>
      <c r="E43" s="12" t="s">
        <v>171</v>
      </c>
      <c r="F43" s="12" t="s">
        <v>211</v>
      </c>
      <c r="G43" s="12" t="s">
        <v>8836</v>
      </c>
      <c r="H43" s="12" t="s">
        <v>5560</v>
      </c>
      <c r="I43" s="12" t="s">
        <v>282</v>
      </c>
      <c r="J43" s="12" t="s">
        <v>8837</v>
      </c>
      <c r="K43" s="12" t="s">
        <v>8838</v>
      </c>
      <c r="L43" s="12" t="s">
        <v>4768</v>
      </c>
      <c r="M43" s="12" t="s">
        <v>8839</v>
      </c>
      <c r="N43" s="12" t="s">
        <v>356</v>
      </c>
      <c r="O43" s="12" t="s">
        <v>4977</v>
      </c>
      <c r="P43" s="12" t="s">
        <v>4779</v>
      </c>
      <c r="Q43" s="12" t="s">
        <v>6240</v>
      </c>
      <c r="R43" s="12" t="s">
        <v>5400</v>
      </c>
      <c r="S43" s="12" t="s">
        <v>288</v>
      </c>
      <c r="T43" s="12" t="s">
        <v>235</v>
      </c>
      <c r="U43" s="12" t="s">
        <v>5405</v>
      </c>
      <c r="V43" s="12" t="s">
        <v>4722</v>
      </c>
      <c r="W43" s="12" t="s">
        <v>5103</v>
      </c>
      <c r="X43" s="12" t="s">
        <v>5084</v>
      </c>
      <c r="Y43" s="12" t="s">
        <v>264</v>
      </c>
      <c r="Z43" s="12" t="s">
        <v>5380</v>
      </c>
      <c r="AA43" s="12" t="s">
        <v>6609</v>
      </c>
      <c r="AB43" s="12" t="s">
        <v>5137</v>
      </c>
      <c r="AC43" s="12" t="s">
        <v>8840</v>
      </c>
      <c r="AD43" s="12" t="s">
        <v>8841</v>
      </c>
      <c r="AE43" s="23" t="s">
        <v>8842</v>
      </c>
      <c r="AF43" s="22" t="s">
        <v>8649</v>
      </c>
      <c r="AG43" s="12" t="s">
        <v>8657</v>
      </c>
      <c r="AH43" s="12" t="s">
        <v>8668</v>
      </c>
      <c r="AI43" s="12" t="s">
        <v>8682</v>
      </c>
      <c r="AJ43" s="12" t="s">
        <v>7088</v>
      </c>
      <c r="AK43" s="12" t="s">
        <v>8633</v>
      </c>
      <c r="AL43" s="23" t="s">
        <v>8677</v>
      </c>
      <c r="AM43" s="13" t="s">
        <v>8831</v>
      </c>
    </row>
    <row r="44" spans="1:42" x14ac:dyDescent="0.15">
      <c r="A44" s="7" t="s">
        <v>8822</v>
      </c>
      <c r="B44" s="25">
        <f>SUMIFS('J Book Items Cons.'!R$5:R$3360,'J Book Items Cons.'!E$5:E$3360,1,'J Book Items Cons.'!S$5:S$3360,"",'J Book Items Cons.'!U$5:U$3360,"USN",'J Book Items Cons.'!W$5:W$3360,"Submarines",'J Book Items Cons.'!R$5:R$3360,"&lt;&gt;")+SUMIFS('J Book Items Cons.'!N$5:N$3360,'J Book Items Cons.'!E$5:E$3360,1,'J Book Items Cons.'!S$5:S$3360,"",'J Book Items Cons.'!U$5:U$3360,"USN",'J Book Items Cons.'!W$5:W$3360,"Submarines",'J Book Items Cons.'!R$5:R$3360,"",'J Book Items Cons.'!N$5:N$3360,"&lt;&gt;")+SUMIFS('J Book Items Cons.'!L$5:L$3360,'J Book Items Cons.'!E$5:E$3360,1,'J Book Items Cons.'!S$5:S$3360,"",'J Book Items Cons.'!U$5:U$3360,"USN",'J Book Items Cons.'!W$5:W$3360,"Submarines",'J Book Items Cons.'!R$5:R$3360,"",'J Book Items Cons.'!N$5:N$3360,"")+SUMIFS('J Book Items Cons.'!R$5:R$3360,'J Book Items Cons.'!E$5:E$3360,1,'J Book Items Cons.'!S$5:S$3360,"[PARENT]",'J Book Items Cons.'!U$5:U$3360,"USN",'J Book Items Cons.'!W$5:W$3360,"Submarines",'J Book Items Cons.'!R$5:R$3360,"&lt;&gt;")+SUMIFS('J Book Items Cons.'!N$5:N$3360,'J Book Items Cons.'!E$5:E$3360,1,'J Book Items Cons.'!S$5:S$3360,"[PARENT]",'J Book Items Cons.'!U$5:U$3360,"USN",'J Book Items Cons.'!W$5:W$3360,"Submarines",'J Book Items Cons.'!R$5:R$3360,"",'J Book Items Cons.'!N$5:N$3360,"&lt;&gt;")+SUMIFS('J Book Items Cons.'!L$5:L$3360,'J Book Items Cons.'!E$5:E$3360,1,'J Book Items Cons.'!S$5:S$3360,"[PARENT]",'J Book Items Cons.'!U$5:U$3360,"USN",'J Book Items Cons.'!W$5:W$3360,"Submarines",'J Book Items Cons.'!R$5:R$3360,"",'J Book Items Cons.'!N$5:N$3360,"")</f>
        <v>19940315</v>
      </c>
      <c r="C44" s="14">
        <f>SUMIFS('J Book Items Cons.'!R$5:R$3360,'J Book Items Cons.'!E$5:E$3360,1,'J Book Items Cons.'!S$5:S$3360,"",'J Book Items Cons.'!U$5:U$3360,"USN",'J Book Items Cons.'!W$5:W$3360,"Surface Combatants",'J Book Items Cons.'!R$5:R$3360,"&lt;&gt;")+SUMIFS('J Book Items Cons.'!N$5:N$3360,'J Book Items Cons.'!E$5:E$3360,1,'J Book Items Cons.'!S$5:S$3360,"",'J Book Items Cons.'!U$5:U$3360,"USN",'J Book Items Cons.'!W$5:W$3360,"Surface Combatants",'J Book Items Cons.'!R$5:R$3360,"",'J Book Items Cons.'!N$5:N$3360,"&lt;&gt;")+SUMIFS('J Book Items Cons.'!L$5:L$3360,'J Book Items Cons.'!E$5:E$3360,1,'J Book Items Cons.'!S$5:S$3360,"",'J Book Items Cons.'!U$5:U$3360,"USN",'J Book Items Cons.'!W$5:W$3360,"Surface Combatants",'J Book Items Cons.'!R$5:R$3360,"",'J Book Items Cons.'!N$5:N$3360,"")+SUMIFS('J Book Items Cons.'!R$5:R$3360,'J Book Items Cons.'!E$5:E$3360,1,'J Book Items Cons.'!S$5:S$3360,"[PARENT]",'J Book Items Cons.'!U$5:U$3360,"USN",'J Book Items Cons.'!W$5:W$3360,"Surface Combatants",'J Book Items Cons.'!R$5:R$3360,"&lt;&gt;")+SUMIFS('J Book Items Cons.'!N$5:N$3360,'J Book Items Cons.'!E$5:E$3360,1,'J Book Items Cons.'!S$5:S$3360,"[PARENT]",'J Book Items Cons.'!U$5:U$3360,"USN",'J Book Items Cons.'!W$5:W$3360,"Surface Combatants",'J Book Items Cons.'!R$5:R$3360,"",'J Book Items Cons.'!N$5:N$3360,"&lt;&gt;")+SUMIFS('J Book Items Cons.'!L$5:L$3360,'J Book Items Cons.'!E$5:E$3360,1,'J Book Items Cons.'!S$5:S$3360,"[PARENT]",'J Book Items Cons.'!U$5:U$3360,"USN",'J Book Items Cons.'!W$5:W$3360,"Surface Combatants",'J Book Items Cons.'!R$5:R$3360,"",'J Book Items Cons.'!N$5:N$3360,"")</f>
        <v>7455131</v>
      </c>
      <c r="D44" s="14">
        <f>SUMIFS('J Book Items Cons.'!R$5:R$3360,'J Book Items Cons.'!E$5:E$3360,1,'J Book Items Cons.'!S$5:S$3360,"",'J Book Items Cons.'!U$5:U$3360,"USN",'J Book Items Cons.'!W$5:W$3360,"Aircraft Carriers",'J Book Items Cons.'!R$5:R$3360,"&lt;&gt;")+SUMIFS('J Book Items Cons.'!N$5:N$3360,'J Book Items Cons.'!E$5:E$3360,1,'J Book Items Cons.'!S$5:S$3360,"",'J Book Items Cons.'!U$5:U$3360,"USN",'J Book Items Cons.'!W$5:W$3360,"Aircraft Carriers",'J Book Items Cons.'!R$5:R$3360,"",'J Book Items Cons.'!N$5:N$3360,"&lt;&gt;")+SUMIFS('J Book Items Cons.'!L$5:L$3360,'J Book Items Cons.'!E$5:E$3360,1,'J Book Items Cons.'!S$5:S$3360,"",'J Book Items Cons.'!U$5:U$3360,"USN",'J Book Items Cons.'!W$5:W$3360,"Aircraft Carriers",'J Book Items Cons.'!R$5:R$3360,"",'J Book Items Cons.'!N$5:N$3360,"")+SUMIFS('J Book Items Cons.'!R$5:R$3360,'J Book Items Cons.'!E$5:E$3360,1,'J Book Items Cons.'!S$5:S$3360,"[PARENT]",'J Book Items Cons.'!U$5:U$3360,"USN",'J Book Items Cons.'!W$5:W$3360,"Aircraft Carriers",'J Book Items Cons.'!R$5:R$3360,"&lt;&gt;")+SUMIFS('J Book Items Cons.'!N$5:N$3360,'J Book Items Cons.'!E$5:E$3360,1,'J Book Items Cons.'!S$5:S$3360,"[PARENT]",'J Book Items Cons.'!U$5:U$3360,"USN",'J Book Items Cons.'!W$5:W$3360,"Aircraft Carriers",'J Book Items Cons.'!R$5:R$3360,"",'J Book Items Cons.'!N$5:N$3360,"&lt;&gt;")+SUMIFS('J Book Items Cons.'!L$5:L$3360,'J Book Items Cons.'!E$5:E$3360,1,'J Book Items Cons.'!S$5:S$3360,"[PARENT]",'J Book Items Cons.'!U$5:U$3360,"USN",'J Book Items Cons.'!W$5:W$3360,"Aircraft Carriers",'J Book Items Cons.'!R$5:R$3360,"",'J Book Items Cons.'!N$5:N$3360,"")</f>
        <v>3281673</v>
      </c>
      <c r="E44" s="14">
        <f>SUMIFS('J Book Items Cons.'!R$5:R$3360,'J Book Items Cons.'!E$5:E$3360,1,'J Book Items Cons.'!S$5:S$3360,"",'J Book Items Cons.'!U$5:U$3360,"USN",'J Book Items Cons.'!W$5:W$3360,"Amphibious Warfare Ships",'J Book Items Cons.'!R$5:R$3360,"&lt;&gt;")+SUMIFS('J Book Items Cons.'!N$5:N$3360,'J Book Items Cons.'!E$5:E$3360,1,'J Book Items Cons.'!S$5:S$3360,"",'J Book Items Cons.'!U$5:U$3360,"USN",'J Book Items Cons.'!W$5:W$3360,"Amphibious Warfare Ships",'J Book Items Cons.'!R$5:R$3360,"",'J Book Items Cons.'!N$5:N$3360,"&lt;&gt;")+SUMIFS('J Book Items Cons.'!L$5:L$3360,'J Book Items Cons.'!E$5:E$3360,1,'J Book Items Cons.'!S$5:S$3360,"",'J Book Items Cons.'!U$5:U$3360,"USN",'J Book Items Cons.'!W$5:W$3360,"Amphibious Warfare Ships",'J Book Items Cons.'!R$5:R$3360,"",'J Book Items Cons.'!N$5:N$3360,"")+SUMIFS('J Book Items Cons.'!R$5:R$3360,'J Book Items Cons.'!E$5:E$3360,1,'J Book Items Cons.'!S$5:S$3360,"[PARENT]",'J Book Items Cons.'!U$5:U$3360,"USN",'J Book Items Cons.'!W$5:W$3360,"Amphibious Warfare Ships",'J Book Items Cons.'!R$5:R$3360,"&lt;&gt;")+SUMIFS('J Book Items Cons.'!N$5:N$3360,'J Book Items Cons.'!E$5:E$3360,1,'J Book Items Cons.'!S$5:S$3360,"[PARENT]",'J Book Items Cons.'!U$5:U$3360,"USN",'J Book Items Cons.'!W$5:W$3360,"Amphibious Warfare Ships",'J Book Items Cons.'!R$5:R$3360,"",'J Book Items Cons.'!N$5:N$3360,"&lt;&gt;")+SUMIFS('J Book Items Cons.'!L$5:L$3360,'J Book Items Cons.'!E$5:E$3360,1,'J Book Items Cons.'!S$5:S$3360,"[PARENT]",'J Book Items Cons.'!U$5:U$3360,"USN",'J Book Items Cons.'!W$5:W$3360,"Amphibious Warfare Ships",'J Book Items Cons.'!R$5:R$3360,"",'J Book Items Cons.'!N$5:N$3360,"")</f>
        <v>1745000</v>
      </c>
      <c r="F44" s="14">
        <f>SUMIFS('J Book Items Cons.'!R$5:R$3360,'J Book Items Cons.'!E$5:E$3360,1,'J Book Items Cons.'!S$5:S$3360,"",'J Book Items Cons.'!U$5:U$3360,"USN",'J Book Items Cons.'!W$5:W$3360,"Expeditionary &amp; Seabasing Ships",'J Book Items Cons.'!R$5:R$3360,"&lt;&gt;")+SUMIFS('J Book Items Cons.'!N$5:N$3360,'J Book Items Cons.'!E$5:E$3360,1,'J Book Items Cons.'!S$5:S$3360,"",'J Book Items Cons.'!U$5:U$3360,"USN",'J Book Items Cons.'!W$5:W$3360,"Expeditionary &amp; Seabasing Ships",'J Book Items Cons.'!R$5:R$3360,"",'J Book Items Cons.'!N$5:N$3360,"&lt;&gt;")+SUMIFS('J Book Items Cons.'!L$5:L$3360,'J Book Items Cons.'!E$5:E$3360,1,'J Book Items Cons.'!S$5:S$3360,"",'J Book Items Cons.'!U$5:U$3360,"USN",'J Book Items Cons.'!W$5:W$3360,"Expeditionary &amp; Seabasing Ships",'J Book Items Cons.'!R$5:R$3360,"",'J Book Items Cons.'!N$5:N$3360,"")+SUMIFS('J Book Items Cons.'!R$5:R$3360,'J Book Items Cons.'!E$5:E$3360,1,'J Book Items Cons.'!S$5:S$3360,"[PARENT]",'J Book Items Cons.'!U$5:U$3360,"USN",'J Book Items Cons.'!W$5:W$3360,"Expeditionary &amp; Seabasing Ships",'J Book Items Cons.'!R$5:R$3360,"&lt;&gt;")+SUMIFS('J Book Items Cons.'!N$5:N$3360,'J Book Items Cons.'!E$5:E$3360,1,'J Book Items Cons.'!S$5:S$3360,"[PARENT]",'J Book Items Cons.'!U$5:U$3360,"USN",'J Book Items Cons.'!W$5:W$3360,"Expeditionary &amp; Seabasing Ships",'J Book Items Cons.'!R$5:R$3360,"",'J Book Items Cons.'!N$5:N$3360,"&lt;&gt;")+SUMIFS('J Book Items Cons.'!L$5:L$3360,'J Book Items Cons.'!E$5:E$3360,1,'J Book Items Cons.'!S$5:S$3360,"[PARENT]",'J Book Items Cons.'!U$5:U$3360,"USN",'J Book Items Cons.'!W$5:W$3360,"Expeditionary &amp; Seabasing Ships",'J Book Items Cons.'!R$5:R$3360,"",'J Book Items Cons.'!N$5:N$3360,"")</f>
        <v>2763941</v>
      </c>
      <c r="G44" s="14">
        <f>SUMIFS('J Book Items Cons.'!R$5:R$3360,'J Book Items Cons.'!E$5:E$3360,1,'J Book Items Cons.'!S$5:S$3360,"",'J Book Items Cons.'!U$5:U$3360,"MSC",'J Book Items Cons.'!W$5:W$3360,"Combat Logistics Ships",'J Book Items Cons.'!R$5:R$3360,"&lt;&gt;")+SUMIFS('J Book Items Cons.'!N$5:N$3360,'J Book Items Cons.'!E$5:E$3360,1,'J Book Items Cons.'!S$5:S$3360,"",'J Book Items Cons.'!U$5:U$3360,"MSC",'J Book Items Cons.'!W$5:W$3360,"Combat Logistics Ships",'J Book Items Cons.'!R$5:R$3360,"",'J Book Items Cons.'!N$5:N$3360,"&lt;&gt;")+SUMIFS('J Book Items Cons.'!L$5:L$3360,'J Book Items Cons.'!E$5:E$3360,1,'J Book Items Cons.'!S$5:S$3360,"",'J Book Items Cons.'!U$5:U$3360,"MSC",'J Book Items Cons.'!W$5:W$3360,"Combat Logistics Ships",'J Book Items Cons.'!R$5:R$3360,"",'J Book Items Cons.'!N$5:N$3360,"")+SUMIFS('J Book Items Cons.'!R$5:R$3360,'J Book Items Cons.'!E$5:E$3360,1,'J Book Items Cons.'!S$5:S$3360,"[PARENT]",'J Book Items Cons.'!U$5:U$3360,"MSC",'J Book Items Cons.'!W$5:W$3360,"Combat Logistics Ships",'J Book Items Cons.'!R$5:R$3360,"&lt;&gt;")+SUMIFS('J Book Items Cons.'!N$5:N$3360,'J Book Items Cons.'!E$5:E$3360,1,'J Book Items Cons.'!S$5:S$3360,"[PARENT]",'J Book Items Cons.'!U$5:U$3360,"MSC",'J Book Items Cons.'!W$5:W$3360,"Combat Logistics Ships",'J Book Items Cons.'!R$5:R$3360,"",'J Book Items Cons.'!N$5:N$3360,"&lt;&gt;")+SUMIFS('J Book Items Cons.'!L$5:L$3360,'J Book Items Cons.'!E$5:E$3360,1,'J Book Items Cons.'!S$5:S$3360,"[PARENT]",'J Book Items Cons.'!U$5:U$3360,"MSC",'J Book Items Cons.'!W$5:W$3360,"Combat Logistics Ships",'J Book Items Cons.'!R$5:R$3360,"",'J Book Items Cons.'!N$5:N$3360,"")</f>
        <v>1861705</v>
      </c>
      <c r="H44" s="14">
        <f>SUMIFS('J Book Items Cons.'!R$5:R$3360,'J Book Items Cons.'!E$5:E$3360,1,'J Book Items Cons.'!S$5:S$3360,"",'J Book Items Cons.'!U$5:U$3360,"USN",'J Book Items Cons.'!W$5:W$3360,"Unmanned Surface Vehicles",'J Book Items Cons.'!R$5:R$3360,"&lt;&gt;")+SUMIFS('J Book Items Cons.'!N$5:N$3360,'J Book Items Cons.'!E$5:E$3360,1,'J Book Items Cons.'!S$5:S$3360,"",'J Book Items Cons.'!U$5:U$3360,"USN",'J Book Items Cons.'!W$5:W$3360,"Unmanned Surface Vehicles",'J Book Items Cons.'!R$5:R$3360,"",'J Book Items Cons.'!N$5:N$3360,"&lt;&gt;")+SUMIFS('J Book Items Cons.'!L$5:L$3360,'J Book Items Cons.'!E$5:E$3360,1,'J Book Items Cons.'!S$5:S$3360,"",'J Book Items Cons.'!U$5:U$3360,"USN",'J Book Items Cons.'!W$5:W$3360,"Unmanned Surface Vehicles",'J Book Items Cons.'!R$5:R$3360,"",'J Book Items Cons.'!N$5:N$3360,"")+SUMIFS('J Book Items Cons.'!R$5:R$3360,'J Book Items Cons.'!E$5:E$3360,1,'J Book Items Cons.'!S$5:S$3360,"[PARENT]",'J Book Items Cons.'!U$5:U$3360,"USN",'J Book Items Cons.'!W$5:W$3360,"Unmanned Surface Vehicles",'J Book Items Cons.'!R$5:R$3360,"&lt;&gt;")+SUMIFS('J Book Items Cons.'!N$5:N$3360,'J Book Items Cons.'!E$5:E$3360,1,'J Book Items Cons.'!S$5:S$3360,"[PARENT]",'J Book Items Cons.'!U$5:U$3360,"USN",'J Book Items Cons.'!W$5:W$3360,"Unmanned Surface Vehicles",'J Book Items Cons.'!R$5:R$3360,"",'J Book Items Cons.'!N$5:N$3360,"&lt;&gt;")+SUMIFS('J Book Items Cons.'!L$5:L$3360,'J Book Items Cons.'!E$5:E$3360,1,'J Book Items Cons.'!S$5:S$3360,"[PARENT]",'J Book Items Cons.'!U$5:U$3360,"USN",'J Book Items Cons.'!W$5:W$3360,"Unmanned Surface Vehicles",'J Book Items Cons.'!R$5:R$3360,"",'J Book Items Cons.'!N$5:N$3360,"")</f>
        <v>1325714</v>
      </c>
      <c r="I44" s="14">
        <f>SUMIFS('J Book Items Cons.'!R$5:R$3360,'J Book Items Cons.'!E$5:E$3360,1,'J Book Items Cons.'!S$5:S$3360,"",'J Book Items Cons.'!U$5:U$3360,"USN",'J Book Items Cons.'!W$5:W$3360,"Amphibious Warfare Craft",'J Book Items Cons.'!R$5:R$3360,"&lt;&gt;")+SUMIFS('J Book Items Cons.'!N$5:N$3360,'J Book Items Cons.'!E$5:E$3360,1,'J Book Items Cons.'!S$5:S$3360,"",'J Book Items Cons.'!U$5:U$3360,"USN",'J Book Items Cons.'!W$5:W$3360,"Amphibious Warfare Craft",'J Book Items Cons.'!R$5:R$3360,"",'J Book Items Cons.'!N$5:N$3360,"&lt;&gt;")+SUMIFS('J Book Items Cons.'!L$5:L$3360,'J Book Items Cons.'!E$5:E$3360,1,'J Book Items Cons.'!S$5:S$3360,"",'J Book Items Cons.'!U$5:U$3360,"USN",'J Book Items Cons.'!W$5:W$3360,"Amphibious Warfare Craft",'J Book Items Cons.'!R$5:R$3360,"",'J Book Items Cons.'!N$5:N$3360,"")+SUMIFS('J Book Items Cons.'!R$5:R$3360,'J Book Items Cons.'!E$5:E$3360,1,'J Book Items Cons.'!S$5:S$3360,"[PARENT]",'J Book Items Cons.'!U$5:U$3360,"USN",'J Book Items Cons.'!W$5:W$3360,"Amphibious Warfare Craft",'J Book Items Cons.'!R$5:R$3360,"&lt;&gt;")+SUMIFS('J Book Items Cons.'!N$5:N$3360,'J Book Items Cons.'!E$5:E$3360,1,'J Book Items Cons.'!S$5:S$3360,"[PARENT]",'J Book Items Cons.'!U$5:U$3360,"USN",'J Book Items Cons.'!W$5:W$3360,"Amphibious Warfare Craft",'J Book Items Cons.'!R$5:R$3360,"",'J Book Items Cons.'!N$5:N$3360,"&lt;&gt;")+SUMIFS('J Book Items Cons.'!L$5:L$3360,'J Book Items Cons.'!E$5:E$3360,1,'J Book Items Cons.'!S$5:S$3360,"[PARENT]",'J Book Items Cons.'!U$5:U$3360,"USN",'J Book Items Cons.'!W$5:W$3360,"Amphibious Warfare Craft",'J Book Items Cons.'!R$5:R$3360,"",'J Book Items Cons.'!N$5:N$3360,"")</f>
        <v>854095</v>
      </c>
      <c r="J44" s="14">
        <f>SUMIFS('J Book Items Cons.'!R$5:R$3360,'J Book Items Cons.'!E$5:E$3360,1,'J Book Items Cons.'!S$5:S$3360,"",'J Book Items Cons.'!U$5:U$3360,"MSC",'J Book Items Cons.'!W$5:W$3360,"Cargo &amp; Vehicle Cargo Ships",'J Book Items Cons.'!R$5:R$3360,"&lt;&gt;")+SUMIFS('J Book Items Cons.'!N$5:N$3360,'J Book Items Cons.'!E$5:E$3360,1,'J Book Items Cons.'!S$5:S$3360,"",'J Book Items Cons.'!U$5:U$3360,"MSC",'J Book Items Cons.'!W$5:W$3360,"Cargo &amp; Vehicle Cargo Ships",'J Book Items Cons.'!R$5:R$3360,"",'J Book Items Cons.'!N$5:N$3360,"&lt;&gt;")+SUMIFS('J Book Items Cons.'!L$5:L$3360,'J Book Items Cons.'!E$5:E$3360,1,'J Book Items Cons.'!S$5:S$3360,"",'J Book Items Cons.'!U$5:U$3360,"MSC",'J Book Items Cons.'!W$5:W$3360,"Cargo &amp; Vehicle Cargo Ships",'J Book Items Cons.'!R$5:R$3360,"",'J Book Items Cons.'!N$5:N$3360,"")+SUMIFS('J Book Items Cons.'!R$5:R$3360,'J Book Items Cons.'!E$5:E$3360,1,'J Book Items Cons.'!S$5:S$3360,"[PARENT]",'J Book Items Cons.'!U$5:U$3360,"MSC",'J Book Items Cons.'!W$5:W$3360,"Cargo &amp; Vehicle Cargo Ships",'J Book Items Cons.'!R$5:R$3360,"&lt;&gt;")+SUMIFS('J Book Items Cons.'!N$5:N$3360,'J Book Items Cons.'!E$5:E$3360,1,'J Book Items Cons.'!S$5:S$3360,"[PARENT]",'J Book Items Cons.'!U$5:U$3360,"MSC",'J Book Items Cons.'!W$5:W$3360,"Cargo &amp; Vehicle Cargo Ships",'J Book Items Cons.'!R$5:R$3360,"",'J Book Items Cons.'!N$5:N$3360,"&lt;&gt;")+SUMIFS('J Book Items Cons.'!L$5:L$3360,'J Book Items Cons.'!E$5:E$3360,1,'J Book Items Cons.'!S$5:S$3360,"[PARENT]",'J Book Items Cons.'!U$5:U$3360,"MSC",'J Book Items Cons.'!W$5:W$3360,"Cargo &amp; Vehicle Cargo Ships",'J Book Items Cons.'!R$5:R$3360,"",'J Book Items Cons.'!N$5:N$3360,"")</f>
        <v>890000</v>
      </c>
      <c r="K44" s="14">
        <f>SUMIFS('J Book Items Cons.'!R$5:R$3360,'J Book Items Cons.'!E$5:E$3360,1,'J Book Items Cons.'!S$5:S$3360,"",'J Book Items Cons.'!U$5:U$3360,"MSC",'J Book Items Cons.'!W$5:W$3360,"Surveillance Ships",'J Book Items Cons.'!R$5:R$3360,"&lt;&gt;")+SUMIFS('J Book Items Cons.'!N$5:N$3360,'J Book Items Cons.'!E$5:E$3360,1,'J Book Items Cons.'!S$5:S$3360,"",'J Book Items Cons.'!U$5:U$3360,"MSC",'J Book Items Cons.'!W$5:W$3360,"Surveillance Ships",'J Book Items Cons.'!R$5:R$3360,"",'J Book Items Cons.'!N$5:N$3360,"&lt;&gt;")+SUMIFS('J Book Items Cons.'!L$5:L$3360,'J Book Items Cons.'!E$5:E$3360,1,'J Book Items Cons.'!S$5:S$3360,"",'J Book Items Cons.'!U$5:U$3360,"MSC",'J Book Items Cons.'!W$5:W$3360,"Surveillance Ships",'J Book Items Cons.'!R$5:R$3360,"",'J Book Items Cons.'!N$5:N$3360,"")+SUMIFS('J Book Items Cons.'!R$5:R$3360,'J Book Items Cons.'!E$5:E$3360,1,'J Book Items Cons.'!S$5:S$3360,"[PARENT]",'J Book Items Cons.'!U$5:U$3360,"MSC",'J Book Items Cons.'!W$5:W$3360,"Surveillance Ships",'J Book Items Cons.'!R$5:R$3360,"&lt;&gt;")+SUMIFS('J Book Items Cons.'!N$5:N$3360,'J Book Items Cons.'!E$5:E$3360,1,'J Book Items Cons.'!S$5:S$3360,"[PARENT]",'J Book Items Cons.'!U$5:U$3360,"MSC",'J Book Items Cons.'!W$5:W$3360,"Surveillance Ships",'J Book Items Cons.'!R$5:R$3360,"",'J Book Items Cons.'!N$5:N$3360,"&lt;&gt;")+SUMIFS('J Book Items Cons.'!L$5:L$3360,'J Book Items Cons.'!E$5:E$3360,1,'J Book Items Cons.'!S$5:S$3360,"[PARENT]",'J Book Items Cons.'!U$5:U$3360,"MSC",'J Book Items Cons.'!W$5:W$3360,"Surveillance Ships",'J Book Items Cons.'!R$5:R$3360,"",'J Book Items Cons.'!N$5:N$3360,"")</f>
        <v>612205</v>
      </c>
      <c r="L44" s="14">
        <f>SUMIFS('J Book Items Cons.'!R$5:R$3360,'J Book Items Cons.'!E$5:E$3360,1,'J Book Items Cons.'!S$5:S$3360,"",'J Book Items Cons.'!U$5:U$3360,"USN",'J Book Items Cons.'!W$5:W$3360,"Unmanned Undersea Vehicles",'J Book Items Cons.'!R$5:R$3360,"&lt;&gt;")+SUMIFS('J Book Items Cons.'!N$5:N$3360,'J Book Items Cons.'!E$5:E$3360,1,'J Book Items Cons.'!S$5:S$3360,"",'J Book Items Cons.'!U$5:U$3360,"USN",'J Book Items Cons.'!W$5:W$3360,"Unmanned Undersea Vehicles",'J Book Items Cons.'!R$5:R$3360,"",'J Book Items Cons.'!N$5:N$3360,"&lt;&gt;")+SUMIFS('J Book Items Cons.'!L$5:L$3360,'J Book Items Cons.'!E$5:E$3360,1,'J Book Items Cons.'!S$5:S$3360,"",'J Book Items Cons.'!U$5:U$3360,"USN",'J Book Items Cons.'!W$5:W$3360,"Unmanned Undersea Vehicles",'J Book Items Cons.'!R$5:R$3360,"",'J Book Items Cons.'!N$5:N$3360,"")+SUMIFS('J Book Items Cons.'!R$5:R$3360,'J Book Items Cons.'!E$5:E$3360,1,'J Book Items Cons.'!S$5:S$3360,"[PARENT]",'J Book Items Cons.'!U$5:U$3360,"USN",'J Book Items Cons.'!W$5:W$3360,"Unmanned Undersea Vehicles",'J Book Items Cons.'!R$5:R$3360,"&lt;&gt;")+SUMIFS('J Book Items Cons.'!N$5:N$3360,'J Book Items Cons.'!E$5:E$3360,1,'J Book Items Cons.'!S$5:S$3360,"[PARENT]",'J Book Items Cons.'!U$5:U$3360,"USN",'J Book Items Cons.'!W$5:W$3360,"Unmanned Undersea Vehicles",'J Book Items Cons.'!R$5:R$3360,"",'J Book Items Cons.'!N$5:N$3360,"&lt;&gt;")+SUMIFS('J Book Items Cons.'!L$5:L$3360,'J Book Items Cons.'!E$5:E$3360,1,'J Book Items Cons.'!S$5:S$3360,"[PARENT]",'J Book Items Cons.'!U$5:U$3360,"USN",'J Book Items Cons.'!W$5:W$3360,"Unmanned Undersea Vehicles",'J Book Items Cons.'!R$5:R$3360,"",'J Book Items Cons.'!N$5:N$3360,"")</f>
        <v>209234</v>
      </c>
      <c r="M44" s="14">
        <f>SUMIFS('J Book Items Cons.'!R$5:R$3360,'J Book Items Cons.'!E$5:E$3360,1,'J Book Items Cons.'!S$5:S$3360,"",'J Book Items Cons.'!U$5:U$3360,"MSC",'J Book Items Cons.'!W$5:W$3360,"Salvage Ships &amp; Fleet Ocean Tugs",'J Book Items Cons.'!R$5:R$3360,"&lt;&gt;")+SUMIFS('J Book Items Cons.'!N$5:N$3360,'J Book Items Cons.'!E$5:E$3360,1,'J Book Items Cons.'!S$5:S$3360,"",'J Book Items Cons.'!U$5:U$3360,"MSC",'J Book Items Cons.'!W$5:W$3360,"Salvage Ships &amp; Fleet Ocean Tugs",'J Book Items Cons.'!R$5:R$3360,"",'J Book Items Cons.'!N$5:N$3360,"&lt;&gt;")+SUMIFS('J Book Items Cons.'!L$5:L$3360,'J Book Items Cons.'!E$5:E$3360,1,'J Book Items Cons.'!S$5:S$3360,"",'J Book Items Cons.'!U$5:U$3360,"MSC",'J Book Items Cons.'!W$5:W$3360,"Salvage Ships &amp; Fleet Ocean Tugs",'J Book Items Cons.'!R$5:R$3360,"",'J Book Items Cons.'!N$5:N$3360,"")+SUMIFS('J Book Items Cons.'!R$5:R$3360,'J Book Items Cons.'!E$5:E$3360,1,'J Book Items Cons.'!S$5:S$3360,"[PARENT]",'J Book Items Cons.'!U$5:U$3360,"MSC",'J Book Items Cons.'!W$5:W$3360,"Salvage Ships &amp; Fleet Ocean Tugs",'J Book Items Cons.'!R$5:R$3360,"&lt;&gt;")+SUMIFS('J Book Items Cons.'!N$5:N$3360,'J Book Items Cons.'!E$5:E$3360,1,'J Book Items Cons.'!S$5:S$3360,"[PARENT]",'J Book Items Cons.'!U$5:U$3360,"MSC",'J Book Items Cons.'!W$5:W$3360,"Salvage Ships &amp; Fleet Ocean Tugs",'J Book Items Cons.'!R$5:R$3360,"",'J Book Items Cons.'!N$5:N$3360,"&lt;&gt;")+SUMIFS('J Book Items Cons.'!L$5:L$3360,'J Book Items Cons.'!E$5:E$3360,1,'J Book Items Cons.'!S$5:S$3360,"[PARENT]",'J Book Items Cons.'!U$5:U$3360,"MSC",'J Book Items Cons.'!W$5:W$3360,"Salvage Ships &amp; Fleet Ocean Tugs",'J Book Items Cons.'!R$5:R$3360,"",'J Book Items Cons.'!N$5:N$3360,"")</f>
        <v>141500</v>
      </c>
      <c r="N44" s="14">
        <f>SUMIFS('J Book Items Cons.'!R$5:R$3360,'J Book Items Cons.'!E$5:E$3360,1,'J Book Items Cons.'!S$5:S$3360,"",'J Book Items Cons.'!U$5:U$3360,"USN",'J Book Items Cons.'!W$5:W$3360,"Other Craft, Non-Self-Propelled",'J Book Items Cons.'!R$5:R$3360,"&lt;&gt;")+SUMIFS('J Book Items Cons.'!N$5:N$3360,'J Book Items Cons.'!E$5:E$3360,1,'J Book Items Cons.'!S$5:S$3360,"",'J Book Items Cons.'!U$5:U$3360,"USN",'J Book Items Cons.'!W$5:W$3360,"Other Craft, Non-Self-Propelled",'J Book Items Cons.'!R$5:R$3360,"",'J Book Items Cons.'!N$5:N$3360,"&lt;&gt;")+SUMIFS('J Book Items Cons.'!L$5:L$3360,'J Book Items Cons.'!E$5:E$3360,1,'J Book Items Cons.'!S$5:S$3360,"",'J Book Items Cons.'!U$5:U$3360,"USN",'J Book Items Cons.'!W$5:W$3360,"Other Craft, Non-Self-Propelled",'J Book Items Cons.'!R$5:R$3360,"",'J Book Items Cons.'!N$5:N$3360,"")+SUMIFS('J Book Items Cons.'!R$5:R$3360,'J Book Items Cons.'!E$5:E$3360,1,'J Book Items Cons.'!S$5:S$3360,"[PARENT]",'J Book Items Cons.'!U$5:U$3360,"USN",'J Book Items Cons.'!W$5:W$3360,"Other Craft, Non-Self-Propelled",'J Book Items Cons.'!R$5:R$3360,"&lt;&gt;")+SUMIFS('J Book Items Cons.'!N$5:N$3360,'J Book Items Cons.'!E$5:E$3360,1,'J Book Items Cons.'!S$5:S$3360,"[PARENT]",'J Book Items Cons.'!U$5:U$3360,"USN",'J Book Items Cons.'!W$5:W$3360,"Other Craft, Non-Self-Propelled",'J Book Items Cons.'!R$5:R$3360,"",'J Book Items Cons.'!N$5:N$3360,"&lt;&gt;")+SUMIFS('J Book Items Cons.'!L$5:L$3360,'J Book Items Cons.'!E$5:E$3360,1,'J Book Items Cons.'!S$5:S$3360,"[PARENT]",'J Book Items Cons.'!U$5:U$3360,"USN",'J Book Items Cons.'!W$5:W$3360,"Other Craft, Non-Self-Propelled",'J Book Items Cons.'!R$5:R$3360,"",'J Book Items Cons.'!N$5:N$3360,"")</f>
        <v>79000</v>
      </c>
      <c r="O44" s="14">
        <f>SUMIFS('J Book Items Cons.'!R$5:R$3360,'J Book Items Cons.'!E$5:E$3360,1,'J Book Items Cons.'!S$5:S$3360,"",'J Book Items Cons.'!U$5:U$3360,"USN",'J Book Items Cons.'!W$5:W$3360,"Command Ships",'J Book Items Cons.'!R$5:R$3360,"&lt;&gt;")+SUMIFS('J Book Items Cons.'!N$5:N$3360,'J Book Items Cons.'!E$5:E$3360,1,'J Book Items Cons.'!S$5:S$3360,"",'J Book Items Cons.'!U$5:U$3360,"USN",'J Book Items Cons.'!W$5:W$3360,"Command Ships",'J Book Items Cons.'!R$5:R$3360,"",'J Book Items Cons.'!N$5:N$3360,"&lt;&gt;")+SUMIFS('J Book Items Cons.'!L$5:L$3360,'J Book Items Cons.'!E$5:E$3360,1,'J Book Items Cons.'!S$5:S$3360,"",'J Book Items Cons.'!U$5:U$3360,"USN",'J Book Items Cons.'!W$5:W$3360,"Command Ships",'J Book Items Cons.'!R$5:R$3360,"",'J Book Items Cons.'!N$5:N$3360,"")+SUMIFS('J Book Items Cons.'!R$5:R$3360,'J Book Items Cons.'!E$5:E$3360,1,'J Book Items Cons.'!S$5:S$3360,"[PARENT]",'J Book Items Cons.'!U$5:U$3360,"USN",'J Book Items Cons.'!W$5:W$3360,"Command Ships",'J Book Items Cons.'!R$5:R$3360,"&lt;&gt;")+SUMIFS('J Book Items Cons.'!N$5:N$3360,'J Book Items Cons.'!E$5:E$3360,1,'J Book Items Cons.'!S$5:S$3360,"[PARENT]",'J Book Items Cons.'!U$5:U$3360,"USN",'J Book Items Cons.'!W$5:W$3360,"Command Ships",'J Book Items Cons.'!R$5:R$3360,"",'J Book Items Cons.'!N$5:N$3360,"&lt;&gt;")+SUMIFS('J Book Items Cons.'!L$5:L$3360,'J Book Items Cons.'!E$5:E$3360,1,'J Book Items Cons.'!S$5:S$3360,"[PARENT]",'J Book Items Cons.'!U$5:U$3360,"USN",'J Book Items Cons.'!W$5:W$3360,"Command Ships",'J Book Items Cons.'!R$5:R$3360,"",'J Book Items Cons.'!N$5:N$3360,"")</f>
        <v>0</v>
      </c>
      <c r="P44" s="14">
        <f>SUMIFS('J Book Items Cons.'!R$5:R$3360,'J Book Items Cons.'!E$5:E$3360,1,'J Book Items Cons.'!S$5:S$3360,"",'J Book Items Cons.'!U$5:U$3360,"USN",'J Book Items Cons.'!W$5:W$3360,"Mine Warfare",'J Book Items Cons.'!R$5:R$3360,"&lt;&gt;")+SUMIFS('J Book Items Cons.'!N$5:N$3360,'J Book Items Cons.'!E$5:E$3360,1,'J Book Items Cons.'!S$5:S$3360,"",'J Book Items Cons.'!U$5:U$3360,"USN",'J Book Items Cons.'!W$5:W$3360,"Mine Warfare",'J Book Items Cons.'!R$5:R$3360,"",'J Book Items Cons.'!N$5:N$3360,"&lt;&gt;")+SUMIFS('J Book Items Cons.'!L$5:L$3360,'J Book Items Cons.'!E$5:E$3360,1,'J Book Items Cons.'!S$5:S$3360,"",'J Book Items Cons.'!U$5:U$3360,"USN",'J Book Items Cons.'!W$5:W$3360,"Mine Warfare",'J Book Items Cons.'!R$5:R$3360,"",'J Book Items Cons.'!N$5:N$3360,"")+SUMIFS('J Book Items Cons.'!R$5:R$3360,'J Book Items Cons.'!E$5:E$3360,1,'J Book Items Cons.'!S$5:S$3360,"[PARENT]",'J Book Items Cons.'!U$5:U$3360,"USN",'J Book Items Cons.'!W$5:W$3360,"Mine Warfare",'J Book Items Cons.'!R$5:R$3360,"&lt;&gt;")+SUMIFS('J Book Items Cons.'!N$5:N$3360,'J Book Items Cons.'!E$5:E$3360,1,'J Book Items Cons.'!S$5:S$3360,"[PARENT]",'J Book Items Cons.'!U$5:U$3360,"USN",'J Book Items Cons.'!W$5:W$3360,"Mine Warfare",'J Book Items Cons.'!R$5:R$3360,"",'J Book Items Cons.'!N$5:N$3360,"&lt;&gt;")+SUMIFS('J Book Items Cons.'!L$5:L$3360,'J Book Items Cons.'!E$5:E$3360,1,'J Book Items Cons.'!S$5:S$3360,"[PARENT]",'J Book Items Cons.'!U$5:U$3360,"USN",'J Book Items Cons.'!W$5:W$3360,"Mine Warfare",'J Book Items Cons.'!R$5:R$3360,"",'J Book Items Cons.'!N$5:N$3360,"")</f>
        <v>0</v>
      </c>
      <c r="Q44" s="14">
        <f>SUMIFS('J Book Items Cons.'!R$5:R$3360,'J Book Items Cons.'!E$5:E$3360,1,'J Book Items Cons.'!S$5:S$3360,"",'J Book Items Cons.'!U$5:U$3360,"USN",'J Book Items Cons.'!W$5:W$3360,"Patrol Combatant",'J Book Items Cons.'!R$5:R$3360,"&lt;&gt;")+SUMIFS('J Book Items Cons.'!N$5:N$3360,'J Book Items Cons.'!E$5:E$3360,1,'J Book Items Cons.'!S$5:S$3360,"",'J Book Items Cons.'!U$5:U$3360,"USN",'J Book Items Cons.'!W$5:W$3360,"Patrol Combatant",'J Book Items Cons.'!R$5:R$3360,"",'J Book Items Cons.'!N$5:N$3360,"&lt;&gt;")+SUMIFS('J Book Items Cons.'!L$5:L$3360,'J Book Items Cons.'!E$5:E$3360,1,'J Book Items Cons.'!S$5:S$3360,"",'J Book Items Cons.'!U$5:U$3360,"USN",'J Book Items Cons.'!W$5:W$3360,"Patrol Combatant",'J Book Items Cons.'!R$5:R$3360,"",'J Book Items Cons.'!N$5:N$3360,"")+SUMIFS('J Book Items Cons.'!R$5:R$3360,'J Book Items Cons.'!E$5:E$3360,1,'J Book Items Cons.'!S$5:S$3360,"[PARENT]",'J Book Items Cons.'!U$5:U$3360,"USN",'J Book Items Cons.'!W$5:W$3360,"Patrol Combatant",'J Book Items Cons.'!R$5:R$3360,"&lt;&gt;")+SUMIFS('J Book Items Cons.'!N$5:N$3360,'J Book Items Cons.'!E$5:E$3360,1,'J Book Items Cons.'!S$5:S$3360,"[PARENT]",'J Book Items Cons.'!U$5:U$3360,"USN",'J Book Items Cons.'!W$5:W$3360,"Patrol Combatant",'J Book Items Cons.'!R$5:R$3360,"",'J Book Items Cons.'!N$5:N$3360,"&lt;&gt;")+SUMIFS('J Book Items Cons.'!L$5:L$3360,'J Book Items Cons.'!E$5:E$3360,1,'J Book Items Cons.'!S$5:S$3360,"[PARENT]",'J Book Items Cons.'!U$5:U$3360,"USN",'J Book Items Cons.'!W$5:W$3360,"Patrol Combatant",'J Book Items Cons.'!R$5:R$3360,"",'J Book Items Cons.'!N$5:N$3360,"")</f>
        <v>0</v>
      </c>
      <c r="R44" s="14">
        <f>SUMIFS('J Book Items Cons.'!R$5:R$3360,'J Book Items Cons.'!E$5:E$3360,1,'J Book Items Cons.'!S$5:S$3360,"",'J Book Items Cons.'!U$5:U$3360,"USN",'J Book Items Cons.'!W$5:W$3360,"Aviation Logistics Support Ship",'J Book Items Cons.'!R$5:R$3360,"&lt;&gt;")+SUMIFS('J Book Items Cons.'!N$5:N$3360,'J Book Items Cons.'!E$5:E$3360,1,'J Book Items Cons.'!S$5:S$3360,"",'J Book Items Cons.'!U$5:U$3360,"USN",'J Book Items Cons.'!W$5:W$3360,"Aviation Logistics Support Ship",'J Book Items Cons.'!R$5:R$3360,"",'J Book Items Cons.'!N$5:N$3360,"&lt;&gt;")+SUMIFS('J Book Items Cons.'!L$5:L$3360,'J Book Items Cons.'!E$5:E$3360,1,'J Book Items Cons.'!S$5:S$3360,"",'J Book Items Cons.'!U$5:U$3360,"USN",'J Book Items Cons.'!W$5:W$3360,"Aviation Logistics Support Ship",'J Book Items Cons.'!R$5:R$3360,"",'J Book Items Cons.'!N$5:N$3360,"")+SUMIFS('J Book Items Cons.'!R$5:R$3360,'J Book Items Cons.'!E$5:E$3360,1,'J Book Items Cons.'!S$5:S$3360,"[PARENT]",'J Book Items Cons.'!U$5:U$3360,"USN",'J Book Items Cons.'!W$5:W$3360,"Aviation Logistics Support Ship",'J Book Items Cons.'!R$5:R$3360,"&lt;&gt;")+SUMIFS('J Book Items Cons.'!N$5:N$3360,'J Book Items Cons.'!E$5:E$3360,1,'J Book Items Cons.'!S$5:S$3360,"[PARENT]",'J Book Items Cons.'!U$5:U$3360,"USN",'J Book Items Cons.'!W$5:W$3360,"Aviation Logistics Support Ship",'J Book Items Cons.'!R$5:R$3360,"",'J Book Items Cons.'!N$5:N$3360,"&lt;&gt;")+SUMIFS('J Book Items Cons.'!L$5:L$3360,'J Book Items Cons.'!E$5:E$3360,1,'J Book Items Cons.'!S$5:S$3360,"[PARENT]",'J Book Items Cons.'!U$5:U$3360,"USN",'J Book Items Cons.'!W$5:W$3360,"Aviation Logistics Support Ship",'J Book Items Cons.'!R$5:R$3360,"",'J Book Items Cons.'!N$5:N$3360,"")</f>
        <v>0</v>
      </c>
      <c r="S44" s="14">
        <f>SUMIFS('J Book Items Cons.'!R$5:R$3360,'J Book Items Cons.'!E$5:E$3360,1,'J Book Items Cons.'!S$5:S$3360,"",'J Book Items Cons.'!U$5:U$3360,"USN",'J Book Items Cons.'!W$5:W$3360,"Cargo &amp; Vehicle Cargo Ships",'J Book Items Cons.'!R$5:R$3360,"&lt;&gt;")+SUMIFS('J Book Items Cons.'!N$5:N$3360,'J Book Items Cons.'!E$5:E$3360,1,'J Book Items Cons.'!S$5:S$3360,"",'J Book Items Cons.'!U$5:U$3360,"USN",'J Book Items Cons.'!W$5:W$3360,"Cargo &amp; Vehicle Cargo Ships",'J Book Items Cons.'!R$5:R$3360,"",'J Book Items Cons.'!N$5:N$3360,"&lt;&gt;")+SUMIFS('J Book Items Cons.'!L$5:L$3360,'J Book Items Cons.'!E$5:E$3360,1,'J Book Items Cons.'!S$5:S$3360,"",'J Book Items Cons.'!U$5:U$3360,"USN",'J Book Items Cons.'!W$5:W$3360,"Cargo &amp; Vehicle Cargo Ships",'J Book Items Cons.'!R$5:R$3360,"",'J Book Items Cons.'!N$5:N$3360,"")+SUMIFS('J Book Items Cons.'!R$5:R$3360,'J Book Items Cons.'!E$5:E$3360,1,'J Book Items Cons.'!S$5:S$3360,"[PARENT]",'J Book Items Cons.'!U$5:U$3360,"USN",'J Book Items Cons.'!W$5:W$3360,"Cargo &amp; Vehicle Cargo Ships",'J Book Items Cons.'!R$5:R$3360,"&lt;&gt;")+SUMIFS('J Book Items Cons.'!N$5:N$3360,'J Book Items Cons.'!E$5:E$3360,1,'J Book Items Cons.'!S$5:S$3360,"[PARENT]",'J Book Items Cons.'!U$5:U$3360,"USN",'J Book Items Cons.'!W$5:W$3360,"Cargo &amp; Vehicle Cargo Ships",'J Book Items Cons.'!R$5:R$3360,"",'J Book Items Cons.'!N$5:N$3360,"&lt;&gt;")+SUMIFS('J Book Items Cons.'!L$5:L$3360,'J Book Items Cons.'!E$5:E$3360,1,'J Book Items Cons.'!S$5:S$3360,"[PARENT]",'J Book Items Cons.'!U$5:U$3360,"USN",'J Book Items Cons.'!W$5:W$3360,"Cargo &amp; Vehicle Cargo Ships",'J Book Items Cons.'!R$5:R$3360,"",'J Book Items Cons.'!N$5:N$3360,"")</f>
        <v>0</v>
      </c>
      <c r="T44" s="14">
        <f>SUMIFS('J Book Items Cons.'!R$5:R$3360,'J Book Items Cons.'!E$5:E$3360,1,'J Book Items Cons.'!S$5:S$3360,"",'J Book Items Cons.'!U$5:U$3360,"USN",'J Book Items Cons.'!W$5:W$3360,"Combat Logistics Ships",'J Book Items Cons.'!R$5:R$3360,"&lt;&gt;")+SUMIFS('J Book Items Cons.'!N$5:N$3360,'J Book Items Cons.'!E$5:E$3360,1,'J Book Items Cons.'!S$5:S$3360,"",'J Book Items Cons.'!U$5:U$3360,"USN",'J Book Items Cons.'!W$5:W$3360,"Combat Logistics Ships",'J Book Items Cons.'!R$5:R$3360,"",'J Book Items Cons.'!N$5:N$3360,"&lt;&gt;")+SUMIFS('J Book Items Cons.'!L$5:L$3360,'J Book Items Cons.'!E$5:E$3360,1,'J Book Items Cons.'!S$5:S$3360,"",'J Book Items Cons.'!U$5:U$3360,"USN",'J Book Items Cons.'!W$5:W$3360,"Combat Logistics Ships",'J Book Items Cons.'!R$5:R$3360,"",'J Book Items Cons.'!N$5:N$3360,"")+SUMIFS('J Book Items Cons.'!R$5:R$3360,'J Book Items Cons.'!E$5:E$3360,1,'J Book Items Cons.'!S$5:S$3360,"[PARENT]",'J Book Items Cons.'!U$5:U$3360,"USN",'J Book Items Cons.'!W$5:W$3360,"Combat Logistics Ships",'J Book Items Cons.'!R$5:R$3360,"&lt;&gt;")+SUMIFS('J Book Items Cons.'!N$5:N$3360,'J Book Items Cons.'!E$5:E$3360,1,'J Book Items Cons.'!S$5:S$3360,"[PARENT]",'J Book Items Cons.'!U$5:U$3360,"USN",'J Book Items Cons.'!W$5:W$3360,"Combat Logistics Ships",'J Book Items Cons.'!R$5:R$3360,"",'J Book Items Cons.'!N$5:N$3360,"&lt;&gt;")+SUMIFS('J Book Items Cons.'!L$5:L$3360,'J Book Items Cons.'!E$5:E$3360,1,'J Book Items Cons.'!S$5:S$3360,"[PARENT]",'J Book Items Cons.'!U$5:U$3360,"USN",'J Book Items Cons.'!W$5:W$3360,"Combat Logistics Ships",'J Book Items Cons.'!R$5:R$3360,"",'J Book Items Cons.'!N$5:N$3360,"")</f>
        <v>0</v>
      </c>
      <c r="U44" s="14">
        <f>SUMIFS('J Book Items Cons.'!R$5:R$3360,'J Book Items Cons.'!E$5:E$3360,1,'J Book Items Cons.'!S$5:S$3360,"",'J Book Items Cons.'!U$5:U$3360,"USN",'J Book Items Cons.'!W$5:W$3360,"Crane Ship",'J Book Items Cons.'!R$5:R$3360,"&lt;&gt;")+SUMIFS('J Book Items Cons.'!N$5:N$3360,'J Book Items Cons.'!E$5:E$3360,1,'J Book Items Cons.'!S$5:S$3360,"",'J Book Items Cons.'!U$5:U$3360,"USN",'J Book Items Cons.'!W$5:W$3360,"Crane Ship",'J Book Items Cons.'!R$5:R$3360,"",'J Book Items Cons.'!N$5:N$3360,"&lt;&gt;")+SUMIFS('J Book Items Cons.'!L$5:L$3360,'J Book Items Cons.'!E$5:E$3360,1,'J Book Items Cons.'!S$5:S$3360,"",'J Book Items Cons.'!U$5:U$3360,"USN",'J Book Items Cons.'!W$5:W$3360,"Crane Ship",'J Book Items Cons.'!R$5:R$3360,"",'J Book Items Cons.'!N$5:N$3360,"")+SUMIFS('J Book Items Cons.'!R$5:R$3360,'J Book Items Cons.'!E$5:E$3360,1,'J Book Items Cons.'!S$5:S$3360,"[PARENT]",'J Book Items Cons.'!U$5:U$3360,"USN",'J Book Items Cons.'!W$5:W$3360,"Crane Ship",'J Book Items Cons.'!R$5:R$3360,"&lt;&gt;")+SUMIFS('J Book Items Cons.'!N$5:N$3360,'J Book Items Cons.'!E$5:E$3360,1,'J Book Items Cons.'!S$5:S$3360,"[PARENT]",'J Book Items Cons.'!U$5:U$3360,"USN",'J Book Items Cons.'!W$5:W$3360,"Crane Ship",'J Book Items Cons.'!R$5:R$3360,"",'J Book Items Cons.'!N$5:N$3360,"&lt;&gt;")+SUMIFS('J Book Items Cons.'!L$5:L$3360,'J Book Items Cons.'!E$5:E$3360,1,'J Book Items Cons.'!S$5:S$3360,"[PARENT]",'J Book Items Cons.'!U$5:U$3360,"USN",'J Book Items Cons.'!W$5:W$3360,"Crane Ship",'J Book Items Cons.'!R$5:R$3360,"",'J Book Items Cons.'!N$5:N$3360,"")</f>
        <v>0</v>
      </c>
      <c r="V44" s="14">
        <f>SUMIFS('J Book Items Cons.'!R$5:R$3360,'J Book Items Cons.'!E$5:E$3360,1,'J Book Items Cons.'!S$5:S$3360,"",'J Book Items Cons.'!U$5:U$3360,"USN",'J Book Items Cons.'!W$5:W$3360,"General Auxiliary",'J Book Items Cons.'!R$5:R$3360,"&lt;&gt;")+SUMIFS('J Book Items Cons.'!N$5:N$3360,'J Book Items Cons.'!E$5:E$3360,1,'J Book Items Cons.'!S$5:S$3360,"",'J Book Items Cons.'!U$5:U$3360,"USN",'J Book Items Cons.'!W$5:W$3360,"General Auxiliary",'J Book Items Cons.'!R$5:R$3360,"",'J Book Items Cons.'!N$5:N$3360,"&lt;&gt;")+SUMIFS('J Book Items Cons.'!L$5:L$3360,'J Book Items Cons.'!E$5:E$3360,1,'J Book Items Cons.'!S$5:S$3360,"",'J Book Items Cons.'!U$5:U$3360,"USN",'J Book Items Cons.'!W$5:W$3360,"General Auxiliary",'J Book Items Cons.'!R$5:R$3360,"",'J Book Items Cons.'!N$5:N$3360,"")+SUMIFS('J Book Items Cons.'!R$5:R$3360,'J Book Items Cons.'!E$5:E$3360,1,'J Book Items Cons.'!S$5:S$3360,"[PARENT]",'J Book Items Cons.'!U$5:U$3360,"USN",'J Book Items Cons.'!W$5:W$3360,"General Auxiliary",'J Book Items Cons.'!R$5:R$3360,"&lt;&gt;")+SUMIFS('J Book Items Cons.'!N$5:N$3360,'J Book Items Cons.'!E$5:E$3360,1,'J Book Items Cons.'!S$5:S$3360,"[PARENT]",'J Book Items Cons.'!U$5:U$3360,"USN",'J Book Items Cons.'!W$5:W$3360,"General Auxiliary",'J Book Items Cons.'!R$5:R$3360,"",'J Book Items Cons.'!N$5:N$3360,"&lt;&gt;")+SUMIFS('J Book Items Cons.'!L$5:L$3360,'J Book Items Cons.'!E$5:E$3360,1,'J Book Items Cons.'!S$5:S$3360,"[PARENT]",'J Book Items Cons.'!U$5:U$3360,"USN",'J Book Items Cons.'!W$5:W$3360,"General Auxiliary",'J Book Items Cons.'!R$5:R$3360,"",'J Book Items Cons.'!N$5:N$3360,"")</f>
        <v>0</v>
      </c>
      <c r="W44" s="14">
        <f>SUMIFS('J Book Items Cons.'!R$5:R$3360,'J Book Items Cons.'!E$5:E$3360,1,'J Book Items Cons.'!S$5:S$3360,"",'J Book Items Cons.'!U$5:U$3360,"USN",'J Book Items Cons.'!W$5:W$3360,"High Speed Transport",'J Book Items Cons.'!R$5:R$3360,"&lt;&gt;")+SUMIFS('J Book Items Cons.'!N$5:N$3360,'J Book Items Cons.'!E$5:E$3360,1,'J Book Items Cons.'!S$5:S$3360,"",'J Book Items Cons.'!U$5:U$3360,"USN",'J Book Items Cons.'!W$5:W$3360,"High Speed Transport",'J Book Items Cons.'!R$5:R$3360,"",'J Book Items Cons.'!N$5:N$3360,"&lt;&gt;")+SUMIFS('J Book Items Cons.'!L$5:L$3360,'J Book Items Cons.'!E$5:E$3360,1,'J Book Items Cons.'!S$5:S$3360,"",'J Book Items Cons.'!U$5:U$3360,"USN",'J Book Items Cons.'!W$5:W$3360,"High Speed Transport",'J Book Items Cons.'!R$5:R$3360,"",'J Book Items Cons.'!N$5:N$3360,"")+SUMIFS('J Book Items Cons.'!R$5:R$3360,'J Book Items Cons.'!E$5:E$3360,1,'J Book Items Cons.'!S$5:S$3360,"[PARENT]",'J Book Items Cons.'!U$5:U$3360,"USN",'J Book Items Cons.'!W$5:W$3360,"High Speed Transport",'J Book Items Cons.'!R$5:R$3360,"&lt;&gt;")+SUMIFS('J Book Items Cons.'!N$5:N$3360,'J Book Items Cons.'!E$5:E$3360,1,'J Book Items Cons.'!S$5:S$3360,"[PARENT]",'J Book Items Cons.'!U$5:U$3360,"USN",'J Book Items Cons.'!W$5:W$3360,"High Speed Transport",'J Book Items Cons.'!R$5:R$3360,"",'J Book Items Cons.'!N$5:N$3360,"&lt;&gt;")+SUMIFS('J Book Items Cons.'!L$5:L$3360,'J Book Items Cons.'!E$5:E$3360,1,'J Book Items Cons.'!S$5:S$3360,"[PARENT]",'J Book Items Cons.'!U$5:U$3360,"USN",'J Book Items Cons.'!W$5:W$3360,"High Speed Transport",'J Book Items Cons.'!R$5:R$3360,"",'J Book Items Cons.'!N$5:N$3360,"")</f>
        <v>0</v>
      </c>
      <c r="X44" s="14">
        <f>SUMIFS('J Book Items Cons.'!R$5:R$3360,'J Book Items Cons.'!E$5:E$3360,1,'J Book Items Cons.'!S$5:S$3360,"",'J Book Items Cons.'!U$5:U$3360,"USN",'J Book Items Cons.'!W$5:W$3360,"Material Support Ships",'J Book Items Cons.'!R$5:R$3360,"&lt;&gt;")+SUMIFS('J Book Items Cons.'!N$5:N$3360,'J Book Items Cons.'!E$5:E$3360,1,'J Book Items Cons.'!S$5:S$3360,"",'J Book Items Cons.'!U$5:U$3360,"USN",'J Book Items Cons.'!W$5:W$3360,"Material Support Ships",'J Book Items Cons.'!R$5:R$3360,"",'J Book Items Cons.'!N$5:N$3360,"&lt;&gt;")+SUMIFS('J Book Items Cons.'!L$5:L$3360,'J Book Items Cons.'!E$5:E$3360,1,'J Book Items Cons.'!S$5:S$3360,"",'J Book Items Cons.'!U$5:U$3360,"USN",'J Book Items Cons.'!W$5:W$3360,"Material Support Ships",'J Book Items Cons.'!R$5:R$3360,"",'J Book Items Cons.'!N$5:N$3360,"")+SUMIFS('J Book Items Cons.'!R$5:R$3360,'J Book Items Cons.'!E$5:E$3360,1,'J Book Items Cons.'!S$5:S$3360,"[PARENT]",'J Book Items Cons.'!U$5:U$3360,"USN",'J Book Items Cons.'!W$5:W$3360,"Material Support Ships",'J Book Items Cons.'!R$5:R$3360,"&lt;&gt;")+SUMIFS('J Book Items Cons.'!N$5:N$3360,'J Book Items Cons.'!E$5:E$3360,1,'J Book Items Cons.'!S$5:S$3360,"[PARENT]",'J Book Items Cons.'!U$5:U$3360,"USN",'J Book Items Cons.'!W$5:W$3360,"Material Support Ships",'J Book Items Cons.'!R$5:R$3360,"",'J Book Items Cons.'!N$5:N$3360,"&lt;&gt;")+SUMIFS('J Book Items Cons.'!L$5:L$3360,'J Book Items Cons.'!E$5:E$3360,1,'J Book Items Cons.'!S$5:S$3360,"[PARENT]",'J Book Items Cons.'!U$5:U$3360,"USN",'J Book Items Cons.'!W$5:W$3360,"Material Support Ships",'J Book Items Cons.'!R$5:R$3360,"",'J Book Items Cons.'!N$5:N$3360,"")</f>
        <v>0</v>
      </c>
      <c r="Y44" s="14">
        <f>SUMIFS('J Book Items Cons.'!R$5:R$3360,'J Book Items Cons.'!E$5:E$3360,1,'J Book Items Cons.'!S$5:S$3360,"",'J Book Items Cons.'!U$5:U$3360,"USN",'J Book Items Cons.'!W$5:W$3360,"Salvage Ships &amp; Fleet Ocean Tugs",'J Book Items Cons.'!R$5:R$3360,"&lt;&gt;")+SUMIFS('J Book Items Cons.'!N$5:N$3360,'J Book Items Cons.'!E$5:E$3360,1,'J Book Items Cons.'!S$5:S$3360,"",'J Book Items Cons.'!U$5:U$3360,"USN",'J Book Items Cons.'!W$5:W$3360,"Salvage Ships &amp; Fleet Ocean Tugs",'J Book Items Cons.'!R$5:R$3360,"",'J Book Items Cons.'!N$5:N$3360,"&lt;&gt;")+SUMIFS('J Book Items Cons.'!L$5:L$3360,'J Book Items Cons.'!E$5:E$3360,1,'J Book Items Cons.'!S$5:S$3360,"",'J Book Items Cons.'!U$5:U$3360,"USN",'J Book Items Cons.'!W$5:W$3360,"Salvage Ships &amp; Fleet Ocean Tugs",'J Book Items Cons.'!R$5:R$3360,"",'J Book Items Cons.'!N$5:N$3360,"")+SUMIFS('J Book Items Cons.'!R$5:R$3360,'J Book Items Cons.'!E$5:E$3360,1,'J Book Items Cons.'!S$5:S$3360,"[PARENT]",'J Book Items Cons.'!U$5:U$3360,"USN",'J Book Items Cons.'!W$5:W$3360,"Salvage Ships &amp; Fleet Ocean Tugs",'J Book Items Cons.'!R$5:R$3360,"&lt;&gt;")+SUMIFS('J Book Items Cons.'!N$5:N$3360,'J Book Items Cons.'!E$5:E$3360,1,'J Book Items Cons.'!S$5:S$3360,"[PARENT]",'J Book Items Cons.'!U$5:U$3360,"USN",'J Book Items Cons.'!W$5:W$3360,"Salvage Ships &amp; Fleet Ocean Tugs",'J Book Items Cons.'!R$5:R$3360,"",'J Book Items Cons.'!N$5:N$3360,"&lt;&gt;")+SUMIFS('J Book Items Cons.'!L$5:L$3360,'J Book Items Cons.'!E$5:E$3360,1,'J Book Items Cons.'!S$5:S$3360,"[PARENT]",'J Book Items Cons.'!U$5:U$3360,"USN",'J Book Items Cons.'!W$5:W$3360,"Salvage Ships &amp; Fleet Ocean Tugs",'J Book Items Cons.'!R$5:R$3360,"",'J Book Items Cons.'!N$5:N$3360,"")</f>
        <v>0</v>
      </c>
      <c r="Z44" s="14">
        <f>SUMIFS('J Book Items Cons.'!R$5:R$3360,'J Book Items Cons.'!E$5:E$3360,1,'J Book Items Cons.'!S$5:S$3360,"",'J Book Items Cons.'!U$5:U$3360,"USN",'J Book Items Cons.'!W$5:W$3360,"Sealift Support Craft",'J Book Items Cons.'!R$5:R$3360,"&lt;&gt;")+SUMIFS('J Book Items Cons.'!N$5:N$3360,'J Book Items Cons.'!E$5:E$3360,1,'J Book Items Cons.'!S$5:S$3360,"",'J Book Items Cons.'!U$5:U$3360,"USN",'J Book Items Cons.'!W$5:W$3360,"Sealift Support Craft",'J Book Items Cons.'!R$5:R$3360,"",'J Book Items Cons.'!N$5:N$3360,"&lt;&gt;")+SUMIFS('J Book Items Cons.'!L$5:L$3360,'J Book Items Cons.'!E$5:E$3360,1,'J Book Items Cons.'!S$5:S$3360,"",'J Book Items Cons.'!U$5:U$3360,"USN",'J Book Items Cons.'!W$5:W$3360,"Sealift Support Craft",'J Book Items Cons.'!R$5:R$3360,"",'J Book Items Cons.'!N$5:N$3360,"")+SUMIFS('J Book Items Cons.'!R$5:R$3360,'J Book Items Cons.'!E$5:E$3360,1,'J Book Items Cons.'!S$5:S$3360,"[PARENT]",'J Book Items Cons.'!U$5:U$3360,"USN",'J Book Items Cons.'!W$5:W$3360,"Sealift Support Craft",'J Book Items Cons.'!R$5:R$3360,"&lt;&gt;")+SUMIFS('J Book Items Cons.'!N$5:N$3360,'J Book Items Cons.'!E$5:E$3360,1,'J Book Items Cons.'!S$5:S$3360,"[PARENT]",'J Book Items Cons.'!U$5:U$3360,"USN",'J Book Items Cons.'!W$5:W$3360,"Sealift Support Craft",'J Book Items Cons.'!R$5:R$3360,"",'J Book Items Cons.'!N$5:N$3360,"&lt;&gt;")+SUMIFS('J Book Items Cons.'!L$5:L$3360,'J Book Items Cons.'!E$5:E$3360,1,'J Book Items Cons.'!S$5:S$3360,"[PARENT]",'J Book Items Cons.'!U$5:U$3360,"USN",'J Book Items Cons.'!W$5:W$3360,"Sealift Support Craft",'J Book Items Cons.'!R$5:R$3360,"",'J Book Items Cons.'!N$5:N$3360,"")</f>
        <v>0</v>
      </c>
      <c r="AA44" s="14">
        <f>SUMIFS('J Book Items Cons.'!R$5:R$3360,'J Book Items Cons.'!E$5:E$3360,1,'J Book Items Cons.'!S$5:S$3360,"",'J Book Items Cons.'!U$5:U$3360,"USN",'J Book Items Cons.'!W$5:W$3360,"Special Warfare Craft",'J Book Items Cons.'!R$5:R$3360,"&lt;&gt;")+SUMIFS('J Book Items Cons.'!N$5:N$3360,'J Book Items Cons.'!E$5:E$3360,1,'J Book Items Cons.'!S$5:S$3360,"",'J Book Items Cons.'!U$5:U$3360,"USN",'J Book Items Cons.'!W$5:W$3360,"Special Warfare Craft",'J Book Items Cons.'!R$5:R$3360,"",'J Book Items Cons.'!N$5:N$3360,"&lt;&gt;")+SUMIFS('J Book Items Cons.'!L$5:L$3360,'J Book Items Cons.'!E$5:E$3360,1,'J Book Items Cons.'!S$5:S$3360,"",'J Book Items Cons.'!U$5:U$3360,"USN",'J Book Items Cons.'!W$5:W$3360,"Special Warfare Craft",'J Book Items Cons.'!R$5:R$3360,"",'J Book Items Cons.'!N$5:N$3360,"")+SUMIFS('J Book Items Cons.'!R$5:R$3360,'J Book Items Cons.'!E$5:E$3360,1,'J Book Items Cons.'!S$5:S$3360,"[PARENT]",'J Book Items Cons.'!U$5:U$3360,"USN",'J Book Items Cons.'!W$5:W$3360,"Special Warfare Craft",'J Book Items Cons.'!R$5:R$3360,"&lt;&gt;")+SUMIFS('J Book Items Cons.'!N$5:N$3360,'J Book Items Cons.'!E$5:E$3360,1,'J Book Items Cons.'!S$5:S$3360,"[PARENT]",'J Book Items Cons.'!U$5:U$3360,"USN",'J Book Items Cons.'!W$5:W$3360,"Special Warfare Craft",'J Book Items Cons.'!R$5:R$3360,"",'J Book Items Cons.'!N$5:N$3360,"&lt;&gt;")+SUMIFS('J Book Items Cons.'!L$5:L$3360,'J Book Items Cons.'!E$5:E$3360,1,'J Book Items Cons.'!S$5:S$3360,"[PARENT]",'J Book Items Cons.'!U$5:U$3360,"USN",'J Book Items Cons.'!W$5:W$3360,"Special Warfare Craft",'J Book Items Cons.'!R$5:R$3360,"",'J Book Items Cons.'!N$5:N$3360,"")</f>
        <v>0</v>
      </c>
      <c r="AB44" s="14">
        <f>SUMIFS('J Book Items Cons.'!R$5:R$3360,'J Book Items Cons.'!E$5:E$3360,1,'J Book Items Cons.'!S$5:S$3360,"",'J Book Items Cons.'!U$5:U$3360,"USN",'J Book Items Cons.'!W$5:W$3360,"Submarine Escort Ship",'J Book Items Cons.'!R$5:R$3360,"&lt;&gt;")+SUMIFS('J Book Items Cons.'!N$5:N$3360,'J Book Items Cons.'!E$5:E$3360,1,'J Book Items Cons.'!S$5:S$3360,"",'J Book Items Cons.'!U$5:U$3360,"USN",'J Book Items Cons.'!W$5:W$3360,"Submarine Escort Ship",'J Book Items Cons.'!R$5:R$3360,"",'J Book Items Cons.'!N$5:N$3360,"&lt;&gt;")+SUMIFS('J Book Items Cons.'!L$5:L$3360,'J Book Items Cons.'!E$5:E$3360,1,'J Book Items Cons.'!S$5:S$3360,"",'J Book Items Cons.'!U$5:U$3360,"USN",'J Book Items Cons.'!W$5:W$3360,"Submarine Escort Ship",'J Book Items Cons.'!R$5:R$3360,"",'J Book Items Cons.'!N$5:N$3360,"")+SUMIFS('J Book Items Cons.'!R$5:R$3360,'J Book Items Cons.'!E$5:E$3360,1,'J Book Items Cons.'!S$5:S$3360,"[PARENT]",'J Book Items Cons.'!U$5:U$3360,"USN",'J Book Items Cons.'!W$5:W$3360,"Submarine Escort Ship",'J Book Items Cons.'!R$5:R$3360,"&lt;&gt;")+SUMIFS('J Book Items Cons.'!N$5:N$3360,'J Book Items Cons.'!E$5:E$3360,1,'J Book Items Cons.'!S$5:S$3360,"[PARENT]",'J Book Items Cons.'!U$5:U$3360,"USN",'J Book Items Cons.'!W$5:W$3360,"Submarine Escort Ship",'J Book Items Cons.'!R$5:R$3360,"",'J Book Items Cons.'!N$5:N$3360,"&lt;&gt;")+SUMIFS('J Book Items Cons.'!L$5:L$3360,'J Book Items Cons.'!E$5:E$3360,1,'J Book Items Cons.'!S$5:S$3360,"[PARENT]",'J Book Items Cons.'!U$5:U$3360,"USN",'J Book Items Cons.'!W$5:W$3360,"Submarine Escort Ship",'J Book Items Cons.'!R$5:R$3360,"",'J Book Items Cons.'!N$5:N$3360,"")</f>
        <v>0</v>
      </c>
      <c r="AC44" s="14">
        <f>SUMIFS('J Book Items Cons.'!R$5:R$3360,'J Book Items Cons.'!E$5:E$3360,1,'J Book Items Cons.'!S$5:S$3360,"",'J Book Items Cons.'!U$5:U$3360,"MSC",'J Book Items Cons.'!W$5:W$3360,"Expeditionary &amp; Seabasing Ships",'J Book Items Cons.'!R$5:R$3360,"&lt;&gt;")+SUMIFS('J Book Items Cons.'!N$5:N$3360,'J Book Items Cons.'!E$5:E$3360,1,'J Book Items Cons.'!S$5:S$3360,"",'J Book Items Cons.'!U$5:U$3360,"MSC",'J Book Items Cons.'!W$5:W$3360,"Expeditionary &amp; Seabasing Ships",'J Book Items Cons.'!R$5:R$3360,"",'J Book Items Cons.'!N$5:N$3360,"&lt;&gt;")+SUMIFS('J Book Items Cons.'!L$5:L$3360,'J Book Items Cons.'!E$5:E$3360,1,'J Book Items Cons.'!S$5:S$3360,"",'J Book Items Cons.'!U$5:U$3360,"MSC",'J Book Items Cons.'!W$5:W$3360,"Expeditionary &amp; Seabasing Ships",'J Book Items Cons.'!R$5:R$3360,"",'J Book Items Cons.'!N$5:N$3360,"")+SUMIFS('J Book Items Cons.'!R$5:R$3360,'J Book Items Cons.'!E$5:E$3360,1,'J Book Items Cons.'!S$5:S$3360,"[PARENT]",'J Book Items Cons.'!U$5:U$3360,"MSC",'J Book Items Cons.'!W$5:W$3360,"Expeditionary &amp; Seabasing Ships",'J Book Items Cons.'!R$5:R$3360,"&lt;&gt;")+SUMIFS('J Book Items Cons.'!N$5:N$3360,'J Book Items Cons.'!E$5:E$3360,1,'J Book Items Cons.'!S$5:S$3360,"[PARENT]",'J Book Items Cons.'!U$5:U$3360,"MSC",'J Book Items Cons.'!W$5:W$3360,"Expeditionary &amp; Seabasing Ships",'J Book Items Cons.'!R$5:R$3360,"",'J Book Items Cons.'!N$5:N$3360,"&lt;&gt;")+SUMIFS('J Book Items Cons.'!L$5:L$3360,'J Book Items Cons.'!E$5:E$3360,1,'J Book Items Cons.'!S$5:S$3360,"[PARENT]",'J Book Items Cons.'!U$5:U$3360,"MSC",'J Book Items Cons.'!W$5:W$3360,"Expeditionary &amp; Seabasing Ships",'J Book Items Cons.'!R$5:R$3360,"",'J Book Items Cons.'!N$5:N$3360,"")</f>
        <v>0</v>
      </c>
      <c r="AD44" s="14">
        <f>SUMIFS('J Book Items Cons.'!R$5:R$3360,'J Book Items Cons.'!E$5:E$3360,1,'J Book Items Cons.'!S$5:S$3360,"",'J Book Items Cons.'!U$5:U$3360,"MSC",'J Book Items Cons.'!W$5:W$3360,"Hospital Ship",'J Book Items Cons.'!R$5:R$3360,"&lt;&gt;")+SUMIFS('J Book Items Cons.'!N$5:N$3360,'J Book Items Cons.'!E$5:E$3360,1,'J Book Items Cons.'!S$5:S$3360,"",'J Book Items Cons.'!U$5:U$3360,"MSC",'J Book Items Cons.'!W$5:W$3360,"Hospital Ship",'J Book Items Cons.'!R$5:R$3360,"",'J Book Items Cons.'!N$5:N$3360,"&lt;&gt;")+SUMIFS('J Book Items Cons.'!L$5:L$3360,'J Book Items Cons.'!E$5:E$3360,1,'J Book Items Cons.'!S$5:S$3360,"",'J Book Items Cons.'!U$5:U$3360,"MSC",'J Book Items Cons.'!W$5:W$3360,"Hospital Ship",'J Book Items Cons.'!R$5:R$3360,"",'J Book Items Cons.'!N$5:N$3360,"")+SUMIFS('J Book Items Cons.'!R$5:R$3360,'J Book Items Cons.'!E$5:E$3360,1,'J Book Items Cons.'!S$5:S$3360,"[PARENT]",'J Book Items Cons.'!U$5:U$3360,"MSC",'J Book Items Cons.'!W$5:W$3360,"Hospital Ship",'J Book Items Cons.'!R$5:R$3360,"&lt;&gt;")+SUMIFS('J Book Items Cons.'!N$5:N$3360,'J Book Items Cons.'!E$5:E$3360,1,'J Book Items Cons.'!S$5:S$3360,"[PARENT]",'J Book Items Cons.'!U$5:U$3360,"MSC",'J Book Items Cons.'!W$5:W$3360,"Hospital Ship",'J Book Items Cons.'!R$5:R$3360,"",'J Book Items Cons.'!N$5:N$3360,"&lt;&gt;")+SUMIFS('J Book Items Cons.'!L$5:L$3360,'J Book Items Cons.'!E$5:E$3360,1,'J Book Items Cons.'!S$5:S$3360,"[PARENT]",'J Book Items Cons.'!U$5:U$3360,"MSC",'J Book Items Cons.'!W$5:W$3360,"Hospital Ship",'J Book Items Cons.'!R$5:R$3360,"",'J Book Items Cons.'!N$5:N$3360,"")</f>
        <v>0</v>
      </c>
      <c r="AE44" s="26">
        <f>SUMIFS('J Book Items Cons.'!R$5:R$3360,'J Book Items Cons.'!E$5:E$3360,1,'J Book Items Cons.'!S$5:S$3360,"",'J Book Items Cons.'!U$5:U$3360,"MSC",'J Book Items Cons.'!W$5:W$3360,"Research, Survey &amp; Instrumentation Ships",'J Book Items Cons.'!R$5:R$3360,"&lt;&gt;")+SUMIFS('J Book Items Cons.'!N$5:N$3360,'J Book Items Cons.'!E$5:E$3360,1,'J Book Items Cons.'!S$5:S$3360,"",'J Book Items Cons.'!U$5:U$3360,"MSC",'J Book Items Cons.'!W$5:W$3360,"Research, Survey &amp; Instrumentation Ships",'J Book Items Cons.'!R$5:R$3360,"",'J Book Items Cons.'!N$5:N$3360,"&lt;&gt;")+SUMIFS('J Book Items Cons.'!L$5:L$3360,'J Book Items Cons.'!E$5:E$3360,1,'J Book Items Cons.'!S$5:S$3360,"",'J Book Items Cons.'!U$5:U$3360,"MSC",'J Book Items Cons.'!W$5:W$3360,"Research, Survey &amp; Instrumentation Ships",'J Book Items Cons.'!R$5:R$3360,"",'J Book Items Cons.'!N$5:N$3360,"")+SUMIFS('J Book Items Cons.'!R$5:R$3360,'J Book Items Cons.'!E$5:E$3360,1,'J Book Items Cons.'!S$5:S$3360,"[PARENT]",'J Book Items Cons.'!U$5:U$3360,"MSC",'J Book Items Cons.'!W$5:W$3360,"Research, Survey &amp; Instrumentation Ships",'J Book Items Cons.'!R$5:R$3360,"&lt;&gt;")+SUMIFS('J Book Items Cons.'!N$5:N$3360,'J Book Items Cons.'!E$5:E$3360,1,'J Book Items Cons.'!S$5:S$3360,"[PARENT]",'J Book Items Cons.'!U$5:U$3360,"MSC",'J Book Items Cons.'!W$5:W$3360,"Research, Survey &amp; Instrumentation Ships",'J Book Items Cons.'!R$5:R$3360,"",'J Book Items Cons.'!N$5:N$3360,"&lt;&gt;")+SUMIFS('J Book Items Cons.'!L$5:L$3360,'J Book Items Cons.'!E$5:E$3360,1,'J Book Items Cons.'!S$5:S$3360,"[PARENT]",'J Book Items Cons.'!U$5:U$3360,"MSC",'J Book Items Cons.'!W$5:W$3360,"Research, Survey &amp; Instrumentation Ships",'J Book Items Cons.'!R$5:R$3360,"",'J Book Items Cons.'!N$5:N$3360,"")</f>
        <v>0</v>
      </c>
      <c r="AF44" s="25">
        <f>SUMIFS('J Book Items Cons.'!R$5:R$3360,'J Book Items Cons.'!E$5:E$3360,1,'J Book Items Cons.'!S$5:S$3360,"",'J Book Items Cons.'!U$5:U$3360,"USCG",'J Book Items Cons.'!W$5:W$3360,"Offshore Patrol Cutter",'J Book Items Cons.'!R$5:R$3360,"&lt;&gt;")+SUMIFS('J Book Items Cons.'!N$5:N$3360,'J Book Items Cons.'!E$5:E$3360,1,'J Book Items Cons.'!S$5:S$3360,"",'J Book Items Cons.'!U$5:U$3360,"USCG",'J Book Items Cons.'!W$5:W$3360,"Offshore Patrol Cutter",'J Book Items Cons.'!R$5:R$3360,"",'J Book Items Cons.'!N$5:N$3360,"&lt;&gt;")+SUMIFS('J Book Items Cons.'!L$5:L$3360,'J Book Items Cons.'!E$5:E$3360,1,'J Book Items Cons.'!S$5:S$3360,"",'J Book Items Cons.'!U$5:U$3360,"USCG",'J Book Items Cons.'!W$5:W$3360,"Offshore Patrol Cutter",'J Book Items Cons.'!R$5:R$3360,"",'J Book Items Cons.'!N$5:N$3360,"")+SUMIFS('J Book Items Cons.'!R$5:R$3360,'J Book Items Cons.'!E$5:E$3360,1,'J Book Items Cons.'!S$5:S$3360,"[PARENT]",'J Book Items Cons.'!U$5:U$3360,"USCG",'J Book Items Cons.'!W$5:W$3360,"Offshore Patrol Cutter",'J Book Items Cons.'!R$5:R$3360,"&lt;&gt;")+SUMIFS('J Book Items Cons.'!N$5:N$3360,'J Book Items Cons.'!E$5:E$3360,1,'J Book Items Cons.'!S$5:S$3360,"[PARENT]",'J Book Items Cons.'!U$5:U$3360,"USCG",'J Book Items Cons.'!W$5:W$3360,"Offshore Patrol Cutter",'J Book Items Cons.'!R$5:R$3360,"",'J Book Items Cons.'!N$5:N$3360,"&lt;&gt;")+SUMIFS('J Book Items Cons.'!L$5:L$3360,'J Book Items Cons.'!E$5:E$3360,1,'J Book Items Cons.'!S$5:S$3360,"[PARENT]",'J Book Items Cons.'!U$5:U$3360,"USCG",'J Book Items Cons.'!W$5:W$3360,"Offshore Patrol Cutter",'J Book Items Cons.'!R$5:R$3360,"",'J Book Items Cons.'!N$5:N$3360,"")</f>
        <v>812400</v>
      </c>
      <c r="AG44" s="14">
        <f>SUMIFS('J Book Items Cons.'!R$5:R$3360,'J Book Items Cons.'!E$5:E$3360,1,'J Book Items Cons.'!S$5:S$3360,"",'J Book Items Cons.'!U$5:U$3360,"USCG",'J Book Items Cons.'!W$5:W$3360,"Fast Response Cutters",'J Book Items Cons.'!R$5:R$3360,"&lt;&gt;")+SUMIFS('J Book Items Cons.'!N$5:N$3360,'J Book Items Cons.'!E$5:E$3360,1,'J Book Items Cons.'!S$5:S$3360,"",'J Book Items Cons.'!U$5:U$3360,"USCG",'J Book Items Cons.'!W$5:W$3360,"Fast Response Cutters",'J Book Items Cons.'!R$5:R$3360,"",'J Book Items Cons.'!N$5:N$3360,"&lt;&gt;")+SUMIFS('J Book Items Cons.'!L$5:L$3360,'J Book Items Cons.'!E$5:E$3360,1,'J Book Items Cons.'!S$5:S$3360,"",'J Book Items Cons.'!U$5:U$3360,"USCG",'J Book Items Cons.'!W$5:W$3360,"Fast Response Cutters",'J Book Items Cons.'!R$5:R$3360,"",'J Book Items Cons.'!N$5:N$3360,"")+SUMIFS('J Book Items Cons.'!R$5:R$3360,'J Book Items Cons.'!E$5:E$3360,1,'J Book Items Cons.'!S$5:S$3360,"[PARENT]",'J Book Items Cons.'!U$5:U$3360,"USCG",'J Book Items Cons.'!W$5:W$3360,"Fast Response Cutters",'J Book Items Cons.'!R$5:R$3360,"&lt;&gt;")+SUMIFS('J Book Items Cons.'!N$5:N$3360,'J Book Items Cons.'!E$5:E$3360,1,'J Book Items Cons.'!S$5:S$3360,"[PARENT]",'J Book Items Cons.'!U$5:U$3360,"USCG",'J Book Items Cons.'!W$5:W$3360,"Fast Response Cutters",'J Book Items Cons.'!R$5:R$3360,"",'J Book Items Cons.'!N$5:N$3360,"&lt;&gt;")+SUMIFS('J Book Items Cons.'!L$5:L$3360,'J Book Items Cons.'!E$5:E$3360,1,'J Book Items Cons.'!S$5:S$3360,"[PARENT]",'J Book Items Cons.'!U$5:U$3360,"USCG",'J Book Items Cons.'!W$5:W$3360,"Fast Response Cutters",'J Book Items Cons.'!R$5:R$3360,"",'J Book Items Cons.'!N$5:N$3360,"")</f>
        <v>216000</v>
      </c>
      <c r="AH44" s="14">
        <f>SUMIFS('J Book Items Cons.'!R$5:R$3360,'J Book Items Cons.'!E$5:E$3360,1,'J Book Items Cons.'!S$5:S$3360,"",'J Book Items Cons.'!U$5:U$3360,"USCG",'J Book Items Cons.'!W$5:W$3360,"Icebreakers, Oceangoing",'J Book Items Cons.'!R$5:R$3360,"&lt;&gt;")+SUMIFS('J Book Items Cons.'!N$5:N$3360,'J Book Items Cons.'!E$5:E$3360,1,'J Book Items Cons.'!S$5:S$3360,"",'J Book Items Cons.'!U$5:U$3360,"USCG",'J Book Items Cons.'!W$5:W$3360,"Icebreakers, Oceangoing",'J Book Items Cons.'!R$5:R$3360,"",'J Book Items Cons.'!N$5:N$3360,"&lt;&gt;")+SUMIFS('J Book Items Cons.'!L$5:L$3360,'J Book Items Cons.'!E$5:E$3360,1,'J Book Items Cons.'!S$5:S$3360,"",'J Book Items Cons.'!U$5:U$3360,"USCG",'J Book Items Cons.'!W$5:W$3360,"Icebreakers, Oceangoing",'J Book Items Cons.'!R$5:R$3360,"",'J Book Items Cons.'!N$5:N$3360,"")+SUMIFS('J Book Items Cons.'!R$5:R$3360,'J Book Items Cons.'!E$5:E$3360,1,'J Book Items Cons.'!S$5:S$3360,"[PARENT]",'J Book Items Cons.'!U$5:U$3360,"USCG",'J Book Items Cons.'!W$5:W$3360,"Icebreakers, Oceangoing",'J Book Items Cons.'!R$5:R$3360,"&lt;&gt;")+SUMIFS('J Book Items Cons.'!N$5:N$3360,'J Book Items Cons.'!E$5:E$3360,1,'J Book Items Cons.'!S$5:S$3360,"[PARENT]",'J Book Items Cons.'!U$5:U$3360,"USCG",'J Book Items Cons.'!W$5:W$3360,"Icebreakers, Oceangoing",'J Book Items Cons.'!R$5:R$3360,"",'J Book Items Cons.'!N$5:N$3360,"&lt;&gt;")+SUMIFS('J Book Items Cons.'!L$5:L$3360,'J Book Items Cons.'!E$5:E$3360,1,'J Book Items Cons.'!S$5:S$3360,"[PARENT]",'J Book Items Cons.'!U$5:U$3360,"USCG",'J Book Items Cons.'!W$5:W$3360,"Icebreakers, Oceangoing",'J Book Items Cons.'!R$5:R$3360,"",'J Book Items Cons.'!N$5:N$3360,"")</f>
        <v>130000</v>
      </c>
      <c r="AI44" s="14">
        <f>SUMIFS('J Book Items Cons.'!R$5:R$3360,'J Book Items Cons.'!E$5:E$3360,1,'J Book Items Cons.'!S$5:S$3360,"",'J Book Items Cons.'!U$5:U$3360,"USCG",'J Book Items Cons.'!W$5:W$3360,"Waterways Commerce Cutters",'J Book Items Cons.'!R$5:R$3360,"&lt;&gt;")+SUMIFS('J Book Items Cons.'!N$5:N$3360,'J Book Items Cons.'!E$5:E$3360,1,'J Book Items Cons.'!S$5:S$3360,"",'J Book Items Cons.'!U$5:U$3360,"USCG",'J Book Items Cons.'!W$5:W$3360,"Waterways Commerce Cutters",'J Book Items Cons.'!R$5:R$3360,"",'J Book Items Cons.'!N$5:N$3360,"&lt;&gt;")+SUMIFS('J Book Items Cons.'!L$5:L$3360,'J Book Items Cons.'!E$5:E$3360,1,'J Book Items Cons.'!S$5:S$3360,"",'J Book Items Cons.'!U$5:U$3360,"USCG",'J Book Items Cons.'!W$5:W$3360,"Waterways Commerce Cutters",'J Book Items Cons.'!R$5:R$3360,"",'J Book Items Cons.'!N$5:N$3360,"")+SUMIFS('J Book Items Cons.'!R$5:R$3360,'J Book Items Cons.'!E$5:E$3360,1,'J Book Items Cons.'!S$5:S$3360,"[PARENT]",'J Book Items Cons.'!U$5:U$3360,"USCG",'J Book Items Cons.'!W$5:W$3360,"Waterways Commerce Cutters",'J Book Items Cons.'!R$5:R$3360,"&lt;&gt;")+SUMIFS('J Book Items Cons.'!N$5:N$3360,'J Book Items Cons.'!E$5:E$3360,1,'J Book Items Cons.'!S$5:S$3360,"[PARENT]",'J Book Items Cons.'!U$5:U$3360,"USCG",'J Book Items Cons.'!W$5:W$3360,"Waterways Commerce Cutters",'J Book Items Cons.'!R$5:R$3360,"",'J Book Items Cons.'!N$5:N$3360,"&lt;&gt;")+SUMIFS('J Book Items Cons.'!L$5:L$3360,'J Book Items Cons.'!E$5:E$3360,1,'J Book Items Cons.'!S$5:S$3360,"[PARENT]",'J Book Items Cons.'!U$5:U$3360,"USCG",'J Book Items Cons.'!W$5:W$3360,"Waterways Commerce Cutters",'J Book Items Cons.'!R$5:R$3360,"",'J Book Items Cons.'!N$5:N$3360,"")</f>
        <v>98000</v>
      </c>
      <c r="AJ44" s="14">
        <f>SUMIFS('J Book Items Cons.'!R$5:R$3360,'J Book Items Cons.'!E$5:E$3360,1,'J Book Items Cons.'!S$5:S$3360,"",'J Book Items Cons.'!U$5:U$3360,"USCG",'J Book Items Cons.'!W$5:W$3360,"National Security Cutters",'J Book Items Cons.'!R$5:R$3360,"&lt;&gt;")+SUMIFS('J Book Items Cons.'!N$5:N$3360,'J Book Items Cons.'!E$5:E$3360,1,'J Book Items Cons.'!S$5:S$3360,"",'J Book Items Cons.'!U$5:U$3360,"USCG",'J Book Items Cons.'!W$5:W$3360,"National Security Cutters",'J Book Items Cons.'!R$5:R$3360,"",'J Book Items Cons.'!N$5:N$3360,"&lt;&gt;")+SUMIFS('J Book Items Cons.'!L$5:L$3360,'J Book Items Cons.'!E$5:E$3360,1,'J Book Items Cons.'!S$5:S$3360,"",'J Book Items Cons.'!U$5:U$3360,"USCG",'J Book Items Cons.'!W$5:W$3360,"National Security Cutters",'J Book Items Cons.'!R$5:R$3360,"",'J Book Items Cons.'!N$5:N$3360,"")+SUMIFS('J Book Items Cons.'!R$5:R$3360,'J Book Items Cons.'!E$5:E$3360,1,'J Book Items Cons.'!S$5:S$3360,"[PARENT]",'J Book Items Cons.'!U$5:U$3360,"USCG",'J Book Items Cons.'!W$5:W$3360,"National Security Cutters",'J Book Items Cons.'!R$5:R$3360,"&lt;&gt;")+SUMIFS('J Book Items Cons.'!N$5:N$3360,'J Book Items Cons.'!E$5:E$3360,1,'J Book Items Cons.'!S$5:S$3360,"[PARENT]",'J Book Items Cons.'!U$5:U$3360,"USCG",'J Book Items Cons.'!W$5:W$3360,"National Security Cutters",'J Book Items Cons.'!R$5:R$3360,"",'J Book Items Cons.'!N$5:N$3360,"&lt;&gt;")+SUMIFS('J Book Items Cons.'!L$5:L$3360,'J Book Items Cons.'!E$5:E$3360,1,'J Book Items Cons.'!S$5:S$3360,"[PARENT]",'J Book Items Cons.'!U$5:U$3360,"USCG",'J Book Items Cons.'!W$5:W$3360,"National Security Cutters",'J Book Items Cons.'!R$5:R$3360,"",'J Book Items Cons.'!N$5:N$3360,"")</f>
        <v>0</v>
      </c>
      <c r="AK44" s="14">
        <f>SUMIFS('J Book Items Cons.'!R$5:R$3360,'J Book Items Cons.'!E$5:E$3360,1,'J Book Items Cons.'!S$5:S$3360,"",'J Book Items Cons.'!U$5:U$3360,"USCG",'J Book Items Cons.'!W$5:W$3360,"Coastal Buoy Tenders",'J Book Items Cons.'!R$5:R$3360,"&lt;&gt;")+SUMIFS('J Book Items Cons.'!N$5:N$3360,'J Book Items Cons.'!E$5:E$3360,1,'J Book Items Cons.'!S$5:S$3360,"",'J Book Items Cons.'!U$5:U$3360,"USCG",'J Book Items Cons.'!W$5:W$3360,"Coastal Buoy Tenders",'J Book Items Cons.'!R$5:R$3360,"",'J Book Items Cons.'!N$5:N$3360,"&lt;&gt;")+SUMIFS('J Book Items Cons.'!L$5:L$3360,'J Book Items Cons.'!E$5:E$3360,1,'J Book Items Cons.'!S$5:S$3360,"",'J Book Items Cons.'!U$5:U$3360,"USCG",'J Book Items Cons.'!W$5:W$3360,"Coastal Buoy Tenders",'J Book Items Cons.'!R$5:R$3360,"",'J Book Items Cons.'!N$5:N$3360,"")+SUMIFS('J Book Items Cons.'!R$5:R$3360,'J Book Items Cons.'!E$5:E$3360,1,'J Book Items Cons.'!S$5:S$3360,"[PARENT]",'J Book Items Cons.'!U$5:U$3360,"USCG",'J Book Items Cons.'!W$5:W$3360,"Coastal Buoy Tenders",'J Book Items Cons.'!R$5:R$3360,"&lt;&gt;")+SUMIFS('J Book Items Cons.'!N$5:N$3360,'J Book Items Cons.'!E$5:E$3360,1,'J Book Items Cons.'!S$5:S$3360,"[PARENT]",'J Book Items Cons.'!U$5:U$3360,"USCG",'J Book Items Cons.'!W$5:W$3360,"Coastal Buoy Tenders",'J Book Items Cons.'!R$5:R$3360,"",'J Book Items Cons.'!N$5:N$3360,"&lt;&gt;")+SUMIFS('J Book Items Cons.'!L$5:L$3360,'J Book Items Cons.'!E$5:E$3360,1,'J Book Items Cons.'!S$5:S$3360,"[PARENT]",'J Book Items Cons.'!U$5:U$3360,"USCG",'J Book Items Cons.'!W$5:W$3360,"Coastal Buoy Tenders",'J Book Items Cons.'!R$5:R$3360,"",'J Book Items Cons.'!N$5:N$3360,"")</f>
        <v>0</v>
      </c>
      <c r="AL44" s="26">
        <f>SUMIFS('J Book Items Cons.'!R$5:R$3360,'J Book Items Cons.'!E$5:E$3360,1,'J Book Items Cons.'!S$5:S$3360,"",'J Book Items Cons.'!U$5:U$3360,"USCG",'J Book Items Cons.'!W$5:W$3360,"Icebreakers, Great Lakes",'J Book Items Cons.'!R$5:R$3360,"&lt;&gt;")+SUMIFS('J Book Items Cons.'!N$5:N$3360,'J Book Items Cons.'!E$5:E$3360,1,'J Book Items Cons.'!S$5:S$3360,"",'J Book Items Cons.'!U$5:U$3360,"USCG",'J Book Items Cons.'!W$5:W$3360,"Icebreakers, Great Lakes",'J Book Items Cons.'!R$5:R$3360,"",'J Book Items Cons.'!N$5:N$3360,"&lt;&gt;")+SUMIFS('J Book Items Cons.'!L$5:L$3360,'J Book Items Cons.'!E$5:E$3360,1,'J Book Items Cons.'!S$5:S$3360,"",'J Book Items Cons.'!U$5:U$3360,"USCG",'J Book Items Cons.'!W$5:W$3360,"Icebreakers, Great Lakes",'J Book Items Cons.'!R$5:R$3360,"",'J Book Items Cons.'!N$5:N$3360,"")+SUMIFS('J Book Items Cons.'!R$5:R$3360,'J Book Items Cons.'!E$5:E$3360,1,'J Book Items Cons.'!S$5:S$3360,"[PARENT]",'J Book Items Cons.'!U$5:U$3360,"USCG",'J Book Items Cons.'!W$5:W$3360,"Icebreakers, Great Lakes",'J Book Items Cons.'!R$5:R$3360,"&lt;&gt;")+SUMIFS('J Book Items Cons.'!N$5:N$3360,'J Book Items Cons.'!E$5:E$3360,1,'J Book Items Cons.'!S$5:S$3360,"[PARENT]",'J Book Items Cons.'!U$5:U$3360,"USCG",'J Book Items Cons.'!W$5:W$3360,"Icebreakers, Great Lakes",'J Book Items Cons.'!R$5:R$3360,"",'J Book Items Cons.'!N$5:N$3360,"&lt;&gt;")+SUMIFS('J Book Items Cons.'!L$5:L$3360,'J Book Items Cons.'!E$5:E$3360,1,'J Book Items Cons.'!S$5:S$3360,"[PARENT]",'J Book Items Cons.'!U$5:U$3360,"USCG",'J Book Items Cons.'!W$5:W$3360,"Icebreakers, Great Lakes",'J Book Items Cons.'!R$5:R$3360,"",'J Book Items Cons.'!N$5:N$3360,"")</f>
        <v>0</v>
      </c>
      <c r="AM44" s="14">
        <f t="shared" ref="AM44:AM50" si="3">SUM(B44:AL44)</f>
        <v>42415913</v>
      </c>
    </row>
    <row r="45" spans="1:42" x14ac:dyDescent="0.15">
      <c r="A45" s="7" t="s">
        <v>8823</v>
      </c>
      <c r="B45" s="25">
        <f>SUMIFS('J Book Items Cons.'!R$5:R$3360,'J Book Items Cons.'!E$5:E$3360,2,'J Book Items Cons.'!S$5:S$3360,"",'J Book Items Cons.'!U$5:U$3360,"USN",'J Book Items Cons.'!W$5:W$3360,"Submarines",'J Book Items Cons.'!R$5:R$3360,"&lt;&gt;")+SUMIFS('J Book Items Cons.'!N$5:N$3360,'J Book Items Cons.'!E$5:E$3360,2,'J Book Items Cons.'!S$5:S$3360,"",'J Book Items Cons.'!U$5:U$3360,"USN",'J Book Items Cons.'!W$5:W$3360,"Submarines",'J Book Items Cons.'!R$5:R$3360,"",'J Book Items Cons.'!N$5:N$3360,"&lt;&gt;")+SUMIFS('J Book Items Cons.'!L$5:L$3360,'J Book Items Cons.'!E$5:E$3360,2,'J Book Items Cons.'!S$5:S$3360,"",'J Book Items Cons.'!U$5:U$3360,"USN",'J Book Items Cons.'!W$5:W$3360,"Submarines",'J Book Items Cons.'!R$5:R$3360,"",'J Book Items Cons.'!N$5:N$3360,"")+SUMIFS('J Book Items Cons.'!R$5:R$3360,'J Book Items Cons.'!E$5:E$3360,2,'J Book Items Cons.'!S$5:S$3360,"[PARENT]",'J Book Items Cons.'!U$5:U$3360,"USN",'J Book Items Cons.'!W$5:W$3360,"Submarines",'J Book Items Cons.'!R$5:R$3360,"&lt;&gt;")+SUMIFS('J Book Items Cons.'!N$5:N$3360,'J Book Items Cons.'!E$5:E$3360,2,'J Book Items Cons.'!S$5:S$3360,"[PARENT]",'J Book Items Cons.'!U$5:U$3360,"USN",'J Book Items Cons.'!W$5:W$3360,"Submarines",'J Book Items Cons.'!R$5:R$3360,"",'J Book Items Cons.'!N$5:N$3360,"&lt;&gt;")+SUMIFS('J Book Items Cons.'!L$5:L$3360,'J Book Items Cons.'!E$5:E$3360,2,'J Book Items Cons.'!S$5:S$3360,"[PARENT]",'J Book Items Cons.'!U$5:U$3360,"USN",'J Book Items Cons.'!W$5:W$3360,"Submarines",'J Book Items Cons.'!R$5:R$3360,"",'J Book Items Cons.'!N$5:N$3360,"")</f>
        <v>6318221</v>
      </c>
      <c r="C45" s="14">
        <f>SUMIFS('J Book Items Cons.'!R$5:R$3360,'J Book Items Cons.'!E$5:E$3360,2,'J Book Items Cons.'!S$5:S$3360,"",'J Book Items Cons.'!U$5:U$3360,"USN",'J Book Items Cons.'!W$5:W$3360,"Surface Combatants",'J Book Items Cons.'!R$5:R$3360,"&lt;&gt;")+SUMIFS('J Book Items Cons.'!N$5:N$3360,'J Book Items Cons.'!E$5:E$3360,2,'J Book Items Cons.'!S$5:S$3360,"",'J Book Items Cons.'!U$5:U$3360,"USN",'J Book Items Cons.'!W$5:W$3360,"Surface Combatants",'J Book Items Cons.'!R$5:R$3360,"",'J Book Items Cons.'!N$5:N$3360,"&lt;&gt;")+SUMIFS('J Book Items Cons.'!L$5:L$3360,'J Book Items Cons.'!E$5:E$3360,2,'J Book Items Cons.'!S$5:S$3360,"",'J Book Items Cons.'!U$5:U$3360,"USN",'J Book Items Cons.'!W$5:W$3360,"Surface Combatants",'J Book Items Cons.'!R$5:R$3360,"",'J Book Items Cons.'!N$5:N$3360,"")+SUMIFS('J Book Items Cons.'!R$5:R$3360,'J Book Items Cons.'!E$5:E$3360,2,'J Book Items Cons.'!S$5:S$3360,"[PARENT]",'J Book Items Cons.'!U$5:U$3360,"USN",'J Book Items Cons.'!W$5:W$3360,"Surface Combatants",'J Book Items Cons.'!R$5:R$3360,"&lt;&gt;")+SUMIFS('J Book Items Cons.'!N$5:N$3360,'J Book Items Cons.'!E$5:E$3360,2,'J Book Items Cons.'!S$5:S$3360,"[PARENT]",'J Book Items Cons.'!U$5:U$3360,"USN",'J Book Items Cons.'!W$5:W$3360,"Surface Combatants",'J Book Items Cons.'!R$5:R$3360,"",'J Book Items Cons.'!N$5:N$3360,"&lt;&gt;")+SUMIFS('J Book Items Cons.'!L$5:L$3360,'J Book Items Cons.'!E$5:E$3360,2,'J Book Items Cons.'!S$5:S$3360,"[PARENT]",'J Book Items Cons.'!U$5:U$3360,"USN",'J Book Items Cons.'!W$5:W$3360,"Surface Combatants",'J Book Items Cons.'!R$5:R$3360,"",'J Book Items Cons.'!N$5:N$3360,"")</f>
        <v>1651698</v>
      </c>
      <c r="D45" s="14">
        <f>SUMIFS('J Book Items Cons.'!R$5:R$3360,'J Book Items Cons.'!E$5:E$3360,2,'J Book Items Cons.'!S$5:S$3360,"",'J Book Items Cons.'!U$5:U$3360,"USN",'J Book Items Cons.'!W$5:W$3360,"Aircraft Carriers",'J Book Items Cons.'!R$5:R$3360,"&lt;&gt;")+SUMIFS('J Book Items Cons.'!N$5:N$3360,'J Book Items Cons.'!E$5:E$3360,2,'J Book Items Cons.'!S$5:S$3360,"",'J Book Items Cons.'!U$5:U$3360,"USN",'J Book Items Cons.'!W$5:W$3360,"Aircraft Carriers",'J Book Items Cons.'!R$5:R$3360,"",'J Book Items Cons.'!N$5:N$3360,"&lt;&gt;")+SUMIFS('J Book Items Cons.'!L$5:L$3360,'J Book Items Cons.'!E$5:E$3360,2,'J Book Items Cons.'!S$5:S$3360,"",'J Book Items Cons.'!U$5:U$3360,"USN",'J Book Items Cons.'!W$5:W$3360,"Aircraft Carriers",'J Book Items Cons.'!R$5:R$3360,"",'J Book Items Cons.'!N$5:N$3360,"")+SUMIFS('J Book Items Cons.'!R$5:R$3360,'J Book Items Cons.'!E$5:E$3360,2,'J Book Items Cons.'!S$5:S$3360,"[PARENT]",'J Book Items Cons.'!U$5:U$3360,"USN",'J Book Items Cons.'!W$5:W$3360,"Aircraft Carriers",'J Book Items Cons.'!R$5:R$3360,"&lt;&gt;")+SUMIFS('J Book Items Cons.'!N$5:N$3360,'J Book Items Cons.'!E$5:E$3360,2,'J Book Items Cons.'!S$5:S$3360,"[PARENT]",'J Book Items Cons.'!U$5:U$3360,"USN",'J Book Items Cons.'!W$5:W$3360,"Aircraft Carriers",'J Book Items Cons.'!R$5:R$3360,"",'J Book Items Cons.'!N$5:N$3360,"&lt;&gt;")+SUMIFS('J Book Items Cons.'!L$5:L$3360,'J Book Items Cons.'!E$5:E$3360,2,'J Book Items Cons.'!S$5:S$3360,"[PARENT]",'J Book Items Cons.'!U$5:U$3360,"USN",'J Book Items Cons.'!W$5:W$3360,"Aircraft Carriers",'J Book Items Cons.'!R$5:R$3360,"",'J Book Items Cons.'!N$5:N$3360,"")</f>
        <v>3102554</v>
      </c>
      <c r="E45" s="14">
        <f>SUMIFS('J Book Items Cons.'!R$5:R$3360,'J Book Items Cons.'!E$5:E$3360,2,'J Book Items Cons.'!S$5:S$3360,"",'J Book Items Cons.'!U$5:U$3360,"USN",'J Book Items Cons.'!W$5:W$3360,"Amphibious Warfare Ships",'J Book Items Cons.'!R$5:R$3360,"&lt;&gt;")+SUMIFS('J Book Items Cons.'!N$5:N$3360,'J Book Items Cons.'!E$5:E$3360,2,'J Book Items Cons.'!S$5:S$3360,"",'J Book Items Cons.'!U$5:U$3360,"USN",'J Book Items Cons.'!W$5:W$3360,"Amphibious Warfare Ships",'J Book Items Cons.'!R$5:R$3360,"",'J Book Items Cons.'!N$5:N$3360,"&lt;&gt;")+SUMIFS('J Book Items Cons.'!L$5:L$3360,'J Book Items Cons.'!E$5:E$3360,2,'J Book Items Cons.'!S$5:S$3360,"",'J Book Items Cons.'!U$5:U$3360,"USN",'J Book Items Cons.'!W$5:W$3360,"Amphibious Warfare Ships",'J Book Items Cons.'!R$5:R$3360,"",'J Book Items Cons.'!N$5:N$3360,"")+SUMIFS('J Book Items Cons.'!R$5:R$3360,'J Book Items Cons.'!E$5:E$3360,2,'J Book Items Cons.'!S$5:S$3360,"[PARENT]",'J Book Items Cons.'!U$5:U$3360,"USN",'J Book Items Cons.'!W$5:W$3360,"Amphibious Warfare Ships",'J Book Items Cons.'!R$5:R$3360,"&lt;&gt;")+SUMIFS('J Book Items Cons.'!N$5:N$3360,'J Book Items Cons.'!E$5:E$3360,2,'J Book Items Cons.'!S$5:S$3360,"[PARENT]",'J Book Items Cons.'!U$5:U$3360,"USN",'J Book Items Cons.'!W$5:W$3360,"Amphibious Warfare Ships",'J Book Items Cons.'!R$5:R$3360,"",'J Book Items Cons.'!N$5:N$3360,"&lt;&gt;")+SUMIFS('J Book Items Cons.'!L$5:L$3360,'J Book Items Cons.'!E$5:E$3360,2,'J Book Items Cons.'!S$5:S$3360,"[PARENT]",'J Book Items Cons.'!U$5:U$3360,"USN",'J Book Items Cons.'!W$5:W$3360,"Amphibious Warfare Ships",'J Book Items Cons.'!R$5:R$3360,"",'J Book Items Cons.'!N$5:N$3360,"")</f>
        <v>635471</v>
      </c>
      <c r="F45" s="14">
        <f>SUMIFS('J Book Items Cons.'!R$5:R$3360,'J Book Items Cons.'!E$5:E$3360,2,'J Book Items Cons.'!S$5:S$3360,"",'J Book Items Cons.'!U$5:U$3360,"USN",'J Book Items Cons.'!W$5:W$3360,"Expeditionary &amp; Seabasing Ships",'J Book Items Cons.'!R$5:R$3360,"&lt;&gt;")+SUMIFS('J Book Items Cons.'!N$5:N$3360,'J Book Items Cons.'!E$5:E$3360,2,'J Book Items Cons.'!S$5:S$3360,"",'J Book Items Cons.'!U$5:U$3360,"USN",'J Book Items Cons.'!W$5:W$3360,"Expeditionary &amp; Seabasing Ships",'J Book Items Cons.'!R$5:R$3360,"",'J Book Items Cons.'!N$5:N$3360,"&lt;&gt;")+SUMIFS('J Book Items Cons.'!L$5:L$3360,'J Book Items Cons.'!E$5:E$3360,2,'J Book Items Cons.'!S$5:S$3360,"",'J Book Items Cons.'!U$5:U$3360,"USN",'J Book Items Cons.'!W$5:W$3360,"Expeditionary &amp; Seabasing Ships",'J Book Items Cons.'!R$5:R$3360,"",'J Book Items Cons.'!N$5:N$3360,"")+SUMIFS('J Book Items Cons.'!R$5:R$3360,'J Book Items Cons.'!E$5:E$3360,2,'J Book Items Cons.'!S$5:S$3360,"[PARENT]",'J Book Items Cons.'!U$5:U$3360,"USN",'J Book Items Cons.'!W$5:W$3360,"Expeditionary &amp; Seabasing Ships",'J Book Items Cons.'!R$5:R$3360,"&lt;&gt;")+SUMIFS('J Book Items Cons.'!N$5:N$3360,'J Book Items Cons.'!E$5:E$3360,2,'J Book Items Cons.'!S$5:S$3360,"[PARENT]",'J Book Items Cons.'!U$5:U$3360,"USN",'J Book Items Cons.'!W$5:W$3360,"Expeditionary &amp; Seabasing Ships",'J Book Items Cons.'!R$5:R$3360,"",'J Book Items Cons.'!N$5:N$3360,"&lt;&gt;")+SUMIFS('J Book Items Cons.'!L$5:L$3360,'J Book Items Cons.'!E$5:E$3360,2,'J Book Items Cons.'!S$5:S$3360,"[PARENT]",'J Book Items Cons.'!U$5:U$3360,"USN",'J Book Items Cons.'!W$5:W$3360,"Expeditionary &amp; Seabasing Ships",'J Book Items Cons.'!R$5:R$3360,"",'J Book Items Cons.'!N$5:N$3360,"")</f>
        <v>23662</v>
      </c>
      <c r="G45" s="14">
        <f>SUMIFS('J Book Items Cons.'!R$5:R$3360,'J Book Items Cons.'!E$5:E$3360,2,'J Book Items Cons.'!S$5:S$3360,"",'J Book Items Cons.'!U$5:U$3360,"MSC",'J Book Items Cons.'!W$5:W$3360,"Combat Logistics Ships",'J Book Items Cons.'!R$5:R$3360,"&lt;&gt;")+SUMIFS('J Book Items Cons.'!N$5:N$3360,'J Book Items Cons.'!E$5:E$3360,2,'J Book Items Cons.'!S$5:S$3360,"",'J Book Items Cons.'!U$5:U$3360,"MSC",'J Book Items Cons.'!W$5:W$3360,"Combat Logistics Ships",'J Book Items Cons.'!R$5:R$3360,"",'J Book Items Cons.'!N$5:N$3360,"&lt;&gt;")+SUMIFS('J Book Items Cons.'!L$5:L$3360,'J Book Items Cons.'!E$5:E$3360,2,'J Book Items Cons.'!S$5:S$3360,"",'J Book Items Cons.'!U$5:U$3360,"MSC",'J Book Items Cons.'!W$5:W$3360,"Combat Logistics Ships",'J Book Items Cons.'!R$5:R$3360,"",'J Book Items Cons.'!N$5:N$3360,"")+SUMIFS('J Book Items Cons.'!R$5:R$3360,'J Book Items Cons.'!E$5:E$3360,2,'J Book Items Cons.'!S$5:S$3360,"[PARENT]",'J Book Items Cons.'!U$5:U$3360,"MSC",'J Book Items Cons.'!W$5:W$3360,"Combat Logistics Ships",'J Book Items Cons.'!R$5:R$3360,"&lt;&gt;")+SUMIFS('J Book Items Cons.'!N$5:N$3360,'J Book Items Cons.'!E$5:E$3360,2,'J Book Items Cons.'!S$5:S$3360,"[PARENT]",'J Book Items Cons.'!U$5:U$3360,"MSC",'J Book Items Cons.'!W$5:W$3360,"Combat Logistics Ships",'J Book Items Cons.'!R$5:R$3360,"",'J Book Items Cons.'!N$5:N$3360,"&lt;&gt;")+SUMIFS('J Book Items Cons.'!L$5:L$3360,'J Book Items Cons.'!E$5:E$3360,2,'J Book Items Cons.'!S$5:S$3360,"[PARENT]",'J Book Items Cons.'!U$5:U$3360,"MSC",'J Book Items Cons.'!W$5:W$3360,"Combat Logistics Ships",'J Book Items Cons.'!R$5:R$3360,"",'J Book Items Cons.'!N$5:N$3360,"")</f>
        <v>0</v>
      </c>
      <c r="H45" s="14">
        <f>SUMIFS('J Book Items Cons.'!R$5:R$3360,'J Book Items Cons.'!E$5:E$3360,2,'J Book Items Cons.'!S$5:S$3360,"",'J Book Items Cons.'!U$5:U$3360,"USN",'J Book Items Cons.'!W$5:W$3360,"Unmanned Surface Vehicles",'J Book Items Cons.'!R$5:R$3360,"&lt;&gt;")+SUMIFS('J Book Items Cons.'!N$5:N$3360,'J Book Items Cons.'!E$5:E$3360,2,'J Book Items Cons.'!S$5:S$3360,"",'J Book Items Cons.'!U$5:U$3360,"USN",'J Book Items Cons.'!W$5:W$3360,"Unmanned Surface Vehicles",'J Book Items Cons.'!R$5:R$3360,"",'J Book Items Cons.'!N$5:N$3360,"&lt;&gt;")+SUMIFS('J Book Items Cons.'!L$5:L$3360,'J Book Items Cons.'!E$5:E$3360,2,'J Book Items Cons.'!S$5:S$3360,"",'J Book Items Cons.'!U$5:U$3360,"USN",'J Book Items Cons.'!W$5:W$3360,"Unmanned Surface Vehicles",'J Book Items Cons.'!R$5:R$3360,"",'J Book Items Cons.'!N$5:N$3360,"")+SUMIFS('J Book Items Cons.'!R$5:R$3360,'J Book Items Cons.'!E$5:E$3360,2,'J Book Items Cons.'!S$5:S$3360,"[PARENT]",'J Book Items Cons.'!U$5:U$3360,"USN",'J Book Items Cons.'!W$5:W$3360,"Unmanned Surface Vehicles",'J Book Items Cons.'!R$5:R$3360,"&lt;&gt;")+SUMIFS('J Book Items Cons.'!N$5:N$3360,'J Book Items Cons.'!E$5:E$3360,2,'J Book Items Cons.'!S$5:S$3360,"[PARENT]",'J Book Items Cons.'!U$5:U$3360,"USN",'J Book Items Cons.'!W$5:W$3360,"Unmanned Surface Vehicles",'J Book Items Cons.'!R$5:R$3360,"",'J Book Items Cons.'!N$5:N$3360,"&lt;&gt;")+SUMIFS('J Book Items Cons.'!L$5:L$3360,'J Book Items Cons.'!E$5:E$3360,2,'J Book Items Cons.'!S$5:S$3360,"[PARENT]",'J Book Items Cons.'!U$5:U$3360,"USN",'J Book Items Cons.'!W$5:W$3360,"Unmanned Surface Vehicles",'J Book Items Cons.'!R$5:R$3360,"",'J Book Items Cons.'!N$5:N$3360,"")</f>
        <v>0</v>
      </c>
      <c r="I45" s="14">
        <f>SUMIFS('J Book Items Cons.'!R$5:R$3360,'J Book Items Cons.'!E$5:E$3360,2,'J Book Items Cons.'!S$5:S$3360,"",'J Book Items Cons.'!U$5:U$3360,"USN",'J Book Items Cons.'!W$5:W$3360,"Amphibious Warfare Craft",'J Book Items Cons.'!R$5:R$3360,"&lt;&gt;")+SUMIFS('J Book Items Cons.'!N$5:N$3360,'J Book Items Cons.'!E$5:E$3360,2,'J Book Items Cons.'!S$5:S$3360,"",'J Book Items Cons.'!U$5:U$3360,"USN",'J Book Items Cons.'!W$5:W$3360,"Amphibious Warfare Craft",'J Book Items Cons.'!R$5:R$3360,"",'J Book Items Cons.'!N$5:N$3360,"&lt;&gt;")+SUMIFS('J Book Items Cons.'!L$5:L$3360,'J Book Items Cons.'!E$5:E$3360,2,'J Book Items Cons.'!S$5:S$3360,"",'J Book Items Cons.'!U$5:U$3360,"USN",'J Book Items Cons.'!W$5:W$3360,"Amphibious Warfare Craft",'J Book Items Cons.'!R$5:R$3360,"",'J Book Items Cons.'!N$5:N$3360,"")+SUMIFS('J Book Items Cons.'!R$5:R$3360,'J Book Items Cons.'!E$5:E$3360,2,'J Book Items Cons.'!S$5:S$3360,"[PARENT]",'J Book Items Cons.'!U$5:U$3360,"USN",'J Book Items Cons.'!W$5:W$3360,"Amphibious Warfare Craft",'J Book Items Cons.'!R$5:R$3360,"&lt;&gt;")+SUMIFS('J Book Items Cons.'!N$5:N$3360,'J Book Items Cons.'!E$5:E$3360,2,'J Book Items Cons.'!S$5:S$3360,"[PARENT]",'J Book Items Cons.'!U$5:U$3360,"USN",'J Book Items Cons.'!W$5:W$3360,"Amphibious Warfare Craft",'J Book Items Cons.'!R$5:R$3360,"",'J Book Items Cons.'!N$5:N$3360,"&lt;&gt;")+SUMIFS('J Book Items Cons.'!L$5:L$3360,'J Book Items Cons.'!E$5:E$3360,2,'J Book Items Cons.'!S$5:S$3360,"[PARENT]",'J Book Items Cons.'!U$5:U$3360,"USN",'J Book Items Cons.'!W$5:W$3360,"Amphibious Warfare Craft",'J Book Items Cons.'!R$5:R$3360,"",'J Book Items Cons.'!N$5:N$3360,"")</f>
        <v>1623</v>
      </c>
      <c r="J45" s="14">
        <f>SUMIFS('J Book Items Cons.'!R$5:R$3360,'J Book Items Cons.'!E$5:E$3360,2,'J Book Items Cons.'!S$5:S$3360,"",'J Book Items Cons.'!U$5:U$3360,"MSC",'J Book Items Cons.'!W$5:W$3360,"Cargo &amp; Vehicle Cargo Ships",'J Book Items Cons.'!R$5:R$3360,"&lt;&gt;")+SUMIFS('J Book Items Cons.'!N$5:N$3360,'J Book Items Cons.'!E$5:E$3360,2,'J Book Items Cons.'!S$5:S$3360,"",'J Book Items Cons.'!U$5:U$3360,"MSC",'J Book Items Cons.'!W$5:W$3360,"Cargo &amp; Vehicle Cargo Ships",'J Book Items Cons.'!R$5:R$3360,"",'J Book Items Cons.'!N$5:N$3360,"&lt;&gt;")+SUMIFS('J Book Items Cons.'!L$5:L$3360,'J Book Items Cons.'!E$5:E$3360,2,'J Book Items Cons.'!S$5:S$3360,"",'J Book Items Cons.'!U$5:U$3360,"MSC",'J Book Items Cons.'!W$5:W$3360,"Cargo &amp; Vehicle Cargo Ships",'J Book Items Cons.'!R$5:R$3360,"",'J Book Items Cons.'!N$5:N$3360,"")+SUMIFS('J Book Items Cons.'!R$5:R$3360,'J Book Items Cons.'!E$5:E$3360,2,'J Book Items Cons.'!S$5:S$3360,"[PARENT]",'J Book Items Cons.'!U$5:U$3360,"MSC",'J Book Items Cons.'!W$5:W$3360,"Cargo &amp; Vehicle Cargo Ships",'J Book Items Cons.'!R$5:R$3360,"&lt;&gt;")+SUMIFS('J Book Items Cons.'!N$5:N$3360,'J Book Items Cons.'!E$5:E$3360,2,'J Book Items Cons.'!S$5:S$3360,"[PARENT]",'J Book Items Cons.'!U$5:U$3360,"MSC",'J Book Items Cons.'!W$5:W$3360,"Cargo &amp; Vehicle Cargo Ships",'J Book Items Cons.'!R$5:R$3360,"",'J Book Items Cons.'!N$5:N$3360,"&lt;&gt;")+SUMIFS('J Book Items Cons.'!L$5:L$3360,'J Book Items Cons.'!E$5:E$3360,2,'J Book Items Cons.'!S$5:S$3360,"[PARENT]",'J Book Items Cons.'!U$5:U$3360,"MSC",'J Book Items Cons.'!W$5:W$3360,"Cargo &amp; Vehicle Cargo Ships",'J Book Items Cons.'!R$5:R$3360,"",'J Book Items Cons.'!N$5:N$3360,"")</f>
        <v>0</v>
      </c>
      <c r="K45" s="14">
        <f>SUMIFS('J Book Items Cons.'!R$5:R$3360,'J Book Items Cons.'!E$5:E$3360,2,'J Book Items Cons.'!S$5:S$3360,"",'J Book Items Cons.'!U$5:U$3360,"MSC",'J Book Items Cons.'!W$5:W$3360,"Surveillance Ships",'J Book Items Cons.'!R$5:R$3360,"&lt;&gt;")+SUMIFS('J Book Items Cons.'!N$5:N$3360,'J Book Items Cons.'!E$5:E$3360,2,'J Book Items Cons.'!S$5:S$3360,"",'J Book Items Cons.'!U$5:U$3360,"MSC",'J Book Items Cons.'!W$5:W$3360,"Surveillance Ships",'J Book Items Cons.'!R$5:R$3360,"",'J Book Items Cons.'!N$5:N$3360,"&lt;&gt;")+SUMIFS('J Book Items Cons.'!L$5:L$3360,'J Book Items Cons.'!E$5:E$3360,2,'J Book Items Cons.'!S$5:S$3360,"",'J Book Items Cons.'!U$5:U$3360,"MSC",'J Book Items Cons.'!W$5:W$3360,"Surveillance Ships",'J Book Items Cons.'!R$5:R$3360,"",'J Book Items Cons.'!N$5:N$3360,"")+SUMIFS('J Book Items Cons.'!R$5:R$3360,'J Book Items Cons.'!E$5:E$3360,2,'J Book Items Cons.'!S$5:S$3360,"[PARENT]",'J Book Items Cons.'!U$5:U$3360,"MSC",'J Book Items Cons.'!W$5:W$3360,"Surveillance Ships",'J Book Items Cons.'!R$5:R$3360,"&lt;&gt;")+SUMIFS('J Book Items Cons.'!N$5:N$3360,'J Book Items Cons.'!E$5:E$3360,2,'J Book Items Cons.'!S$5:S$3360,"[PARENT]",'J Book Items Cons.'!U$5:U$3360,"MSC",'J Book Items Cons.'!W$5:W$3360,"Surveillance Ships",'J Book Items Cons.'!R$5:R$3360,"",'J Book Items Cons.'!N$5:N$3360,"&lt;&gt;")+SUMIFS('J Book Items Cons.'!L$5:L$3360,'J Book Items Cons.'!E$5:E$3360,2,'J Book Items Cons.'!S$5:S$3360,"[PARENT]",'J Book Items Cons.'!U$5:U$3360,"MSC",'J Book Items Cons.'!W$5:W$3360,"Surveillance Ships",'J Book Items Cons.'!R$5:R$3360,"",'J Book Items Cons.'!N$5:N$3360,"")</f>
        <v>0</v>
      </c>
      <c r="L45" s="14">
        <f>SUMIFS('J Book Items Cons.'!R$5:R$3360,'J Book Items Cons.'!E$5:E$3360,2,'J Book Items Cons.'!S$5:S$3360,"",'J Book Items Cons.'!U$5:U$3360,"USN",'J Book Items Cons.'!W$5:W$3360,"Unmanned Undersea Vehicles",'J Book Items Cons.'!R$5:R$3360,"&lt;&gt;")+SUMIFS('J Book Items Cons.'!N$5:N$3360,'J Book Items Cons.'!E$5:E$3360,2,'J Book Items Cons.'!S$5:S$3360,"",'J Book Items Cons.'!U$5:U$3360,"USN",'J Book Items Cons.'!W$5:W$3360,"Unmanned Undersea Vehicles",'J Book Items Cons.'!R$5:R$3360,"",'J Book Items Cons.'!N$5:N$3360,"&lt;&gt;")+SUMIFS('J Book Items Cons.'!L$5:L$3360,'J Book Items Cons.'!E$5:E$3360,2,'J Book Items Cons.'!S$5:S$3360,"",'J Book Items Cons.'!U$5:U$3360,"USN",'J Book Items Cons.'!W$5:W$3360,"Unmanned Undersea Vehicles",'J Book Items Cons.'!R$5:R$3360,"",'J Book Items Cons.'!N$5:N$3360,"")+SUMIFS('J Book Items Cons.'!R$5:R$3360,'J Book Items Cons.'!E$5:E$3360,2,'J Book Items Cons.'!S$5:S$3360,"[PARENT]",'J Book Items Cons.'!U$5:U$3360,"USN",'J Book Items Cons.'!W$5:W$3360,"Unmanned Undersea Vehicles",'J Book Items Cons.'!R$5:R$3360,"&lt;&gt;")+SUMIFS('J Book Items Cons.'!N$5:N$3360,'J Book Items Cons.'!E$5:E$3360,2,'J Book Items Cons.'!S$5:S$3360,"[PARENT]",'J Book Items Cons.'!U$5:U$3360,"USN",'J Book Items Cons.'!W$5:W$3360,"Unmanned Undersea Vehicles",'J Book Items Cons.'!R$5:R$3360,"",'J Book Items Cons.'!N$5:N$3360,"&lt;&gt;")+SUMIFS('J Book Items Cons.'!L$5:L$3360,'J Book Items Cons.'!E$5:E$3360,2,'J Book Items Cons.'!S$5:S$3360,"[PARENT]",'J Book Items Cons.'!U$5:U$3360,"USN",'J Book Items Cons.'!W$5:W$3360,"Unmanned Undersea Vehicles",'J Book Items Cons.'!R$5:R$3360,"",'J Book Items Cons.'!N$5:N$3360,"")</f>
        <v>0</v>
      </c>
      <c r="M45" s="14">
        <f>SUMIFS('J Book Items Cons.'!R$5:R$3360,'J Book Items Cons.'!E$5:E$3360,2,'J Book Items Cons.'!S$5:S$3360,"",'J Book Items Cons.'!U$5:U$3360,"MSC",'J Book Items Cons.'!W$5:W$3360,"Salvage Ships &amp; Fleet Ocean Tugs",'J Book Items Cons.'!R$5:R$3360,"&lt;&gt;")+SUMIFS('J Book Items Cons.'!N$5:N$3360,'J Book Items Cons.'!E$5:E$3360,2,'J Book Items Cons.'!S$5:S$3360,"",'J Book Items Cons.'!U$5:U$3360,"MSC",'J Book Items Cons.'!W$5:W$3360,"Salvage Ships &amp; Fleet Ocean Tugs",'J Book Items Cons.'!R$5:R$3360,"",'J Book Items Cons.'!N$5:N$3360,"&lt;&gt;")+SUMIFS('J Book Items Cons.'!L$5:L$3360,'J Book Items Cons.'!E$5:E$3360,2,'J Book Items Cons.'!S$5:S$3360,"",'J Book Items Cons.'!U$5:U$3360,"MSC",'J Book Items Cons.'!W$5:W$3360,"Salvage Ships &amp; Fleet Ocean Tugs",'J Book Items Cons.'!R$5:R$3360,"",'J Book Items Cons.'!N$5:N$3360,"")+SUMIFS('J Book Items Cons.'!R$5:R$3360,'J Book Items Cons.'!E$5:E$3360,2,'J Book Items Cons.'!S$5:S$3360,"[PARENT]",'J Book Items Cons.'!U$5:U$3360,"MSC",'J Book Items Cons.'!W$5:W$3360,"Salvage Ships &amp; Fleet Ocean Tugs",'J Book Items Cons.'!R$5:R$3360,"&lt;&gt;")+SUMIFS('J Book Items Cons.'!N$5:N$3360,'J Book Items Cons.'!E$5:E$3360,2,'J Book Items Cons.'!S$5:S$3360,"[PARENT]",'J Book Items Cons.'!U$5:U$3360,"MSC",'J Book Items Cons.'!W$5:W$3360,"Salvage Ships &amp; Fleet Ocean Tugs",'J Book Items Cons.'!R$5:R$3360,"",'J Book Items Cons.'!N$5:N$3360,"&lt;&gt;")+SUMIFS('J Book Items Cons.'!L$5:L$3360,'J Book Items Cons.'!E$5:E$3360,2,'J Book Items Cons.'!S$5:S$3360,"[PARENT]",'J Book Items Cons.'!U$5:U$3360,"MSC",'J Book Items Cons.'!W$5:W$3360,"Salvage Ships &amp; Fleet Ocean Tugs",'J Book Items Cons.'!R$5:R$3360,"",'J Book Items Cons.'!N$5:N$3360,"")</f>
        <v>0</v>
      </c>
      <c r="N45" s="14">
        <f>SUMIFS('J Book Items Cons.'!R$5:R$3360,'J Book Items Cons.'!E$5:E$3360,2,'J Book Items Cons.'!S$5:S$3360,"",'J Book Items Cons.'!U$5:U$3360,"USN",'J Book Items Cons.'!W$5:W$3360,"Other Craft, Non-Self-Propelled",'J Book Items Cons.'!R$5:R$3360,"&lt;&gt;")+SUMIFS('J Book Items Cons.'!N$5:N$3360,'J Book Items Cons.'!E$5:E$3360,2,'J Book Items Cons.'!S$5:S$3360,"",'J Book Items Cons.'!U$5:U$3360,"USN",'J Book Items Cons.'!W$5:W$3360,"Other Craft, Non-Self-Propelled",'J Book Items Cons.'!R$5:R$3360,"",'J Book Items Cons.'!N$5:N$3360,"&lt;&gt;")+SUMIFS('J Book Items Cons.'!L$5:L$3360,'J Book Items Cons.'!E$5:E$3360,2,'J Book Items Cons.'!S$5:S$3360,"",'J Book Items Cons.'!U$5:U$3360,"USN",'J Book Items Cons.'!W$5:W$3360,"Other Craft, Non-Self-Propelled",'J Book Items Cons.'!R$5:R$3360,"",'J Book Items Cons.'!N$5:N$3360,"")+SUMIFS('J Book Items Cons.'!R$5:R$3360,'J Book Items Cons.'!E$5:E$3360,2,'J Book Items Cons.'!S$5:S$3360,"[PARENT]",'J Book Items Cons.'!U$5:U$3360,"USN",'J Book Items Cons.'!W$5:W$3360,"Other Craft, Non-Self-Propelled",'J Book Items Cons.'!R$5:R$3360,"&lt;&gt;")+SUMIFS('J Book Items Cons.'!N$5:N$3360,'J Book Items Cons.'!E$5:E$3360,2,'J Book Items Cons.'!S$5:S$3360,"[PARENT]",'J Book Items Cons.'!U$5:U$3360,"USN",'J Book Items Cons.'!W$5:W$3360,"Other Craft, Non-Self-Propelled",'J Book Items Cons.'!R$5:R$3360,"",'J Book Items Cons.'!N$5:N$3360,"&lt;&gt;")+SUMIFS('J Book Items Cons.'!L$5:L$3360,'J Book Items Cons.'!E$5:E$3360,2,'J Book Items Cons.'!S$5:S$3360,"[PARENT]",'J Book Items Cons.'!U$5:U$3360,"USN",'J Book Items Cons.'!W$5:W$3360,"Other Craft, Non-Self-Propelled",'J Book Items Cons.'!R$5:R$3360,"",'J Book Items Cons.'!N$5:N$3360,"")</f>
        <v>0</v>
      </c>
      <c r="O45" s="14">
        <f>SUMIFS('J Book Items Cons.'!R$5:R$3360,'J Book Items Cons.'!E$5:E$3360,2,'J Book Items Cons.'!S$5:S$3360,"",'J Book Items Cons.'!U$5:U$3360,"USN",'J Book Items Cons.'!W$5:W$3360,"Command Ships",'J Book Items Cons.'!R$5:R$3360,"&lt;&gt;")+SUMIFS('J Book Items Cons.'!N$5:N$3360,'J Book Items Cons.'!E$5:E$3360,2,'J Book Items Cons.'!S$5:S$3360,"",'J Book Items Cons.'!U$5:U$3360,"USN",'J Book Items Cons.'!W$5:W$3360,"Command Ships",'J Book Items Cons.'!R$5:R$3360,"",'J Book Items Cons.'!N$5:N$3360,"&lt;&gt;")+SUMIFS('J Book Items Cons.'!L$5:L$3360,'J Book Items Cons.'!E$5:E$3360,2,'J Book Items Cons.'!S$5:S$3360,"",'J Book Items Cons.'!U$5:U$3360,"USN",'J Book Items Cons.'!W$5:W$3360,"Command Ships",'J Book Items Cons.'!R$5:R$3360,"",'J Book Items Cons.'!N$5:N$3360,"")+SUMIFS('J Book Items Cons.'!R$5:R$3360,'J Book Items Cons.'!E$5:E$3360,2,'J Book Items Cons.'!S$5:S$3360,"[PARENT]",'J Book Items Cons.'!U$5:U$3360,"USN",'J Book Items Cons.'!W$5:W$3360,"Command Ships",'J Book Items Cons.'!R$5:R$3360,"&lt;&gt;")+SUMIFS('J Book Items Cons.'!N$5:N$3360,'J Book Items Cons.'!E$5:E$3360,2,'J Book Items Cons.'!S$5:S$3360,"[PARENT]",'J Book Items Cons.'!U$5:U$3360,"USN",'J Book Items Cons.'!W$5:W$3360,"Command Ships",'J Book Items Cons.'!R$5:R$3360,"",'J Book Items Cons.'!N$5:N$3360,"&lt;&gt;")+SUMIFS('J Book Items Cons.'!L$5:L$3360,'J Book Items Cons.'!E$5:E$3360,2,'J Book Items Cons.'!S$5:S$3360,"[PARENT]",'J Book Items Cons.'!U$5:U$3360,"USN",'J Book Items Cons.'!W$5:W$3360,"Command Ships",'J Book Items Cons.'!R$5:R$3360,"",'J Book Items Cons.'!N$5:N$3360,"")</f>
        <v>22172</v>
      </c>
      <c r="P45" s="14">
        <f>SUMIFS('J Book Items Cons.'!R$5:R$3360,'J Book Items Cons.'!E$5:E$3360,2,'J Book Items Cons.'!S$5:S$3360,"",'J Book Items Cons.'!U$5:U$3360,"USN",'J Book Items Cons.'!W$5:W$3360,"Mine Warfare",'J Book Items Cons.'!R$5:R$3360,"&lt;&gt;")+SUMIFS('J Book Items Cons.'!N$5:N$3360,'J Book Items Cons.'!E$5:E$3360,2,'J Book Items Cons.'!S$5:S$3360,"",'J Book Items Cons.'!U$5:U$3360,"USN",'J Book Items Cons.'!W$5:W$3360,"Mine Warfare",'J Book Items Cons.'!R$5:R$3360,"",'J Book Items Cons.'!N$5:N$3360,"&lt;&gt;")+SUMIFS('J Book Items Cons.'!L$5:L$3360,'J Book Items Cons.'!E$5:E$3360,2,'J Book Items Cons.'!S$5:S$3360,"",'J Book Items Cons.'!U$5:U$3360,"USN",'J Book Items Cons.'!W$5:W$3360,"Mine Warfare",'J Book Items Cons.'!R$5:R$3360,"",'J Book Items Cons.'!N$5:N$3360,"")+SUMIFS('J Book Items Cons.'!R$5:R$3360,'J Book Items Cons.'!E$5:E$3360,2,'J Book Items Cons.'!S$5:S$3360,"[PARENT]",'J Book Items Cons.'!U$5:U$3360,"USN",'J Book Items Cons.'!W$5:W$3360,"Mine Warfare",'J Book Items Cons.'!R$5:R$3360,"&lt;&gt;")+SUMIFS('J Book Items Cons.'!N$5:N$3360,'J Book Items Cons.'!E$5:E$3360,2,'J Book Items Cons.'!S$5:S$3360,"[PARENT]",'J Book Items Cons.'!U$5:U$3360,"USN",'J Book Items Cons.'!W$5:W$3360,"Mine Warfare",'J Book Items Cons.'!R$5:R$3360,"",'J Book Items Cons.'!N$5:N$3360,"&lt;&gt;")+SUMIFS('J Book Items Cons.'!L$5:L$3360,'J Book Items Cons.'!E$5:E$3360,2,'J Book Items Cons.'!S$5:S$3360,"[PARENT]",'J Book Items Cons.'!U$5:U$3360,"USN",'J Book Items Cons.'!W$5:W$3360,"Mine Warfare",'J Book Items Cons.'!R$5:R$3360,"",'J Book Items Cons.'!N$5:N$3360,"")</f>
        <v>23281</v>
      </c>
      <c r="Q45" s="14">
        <f>SUMIFS('J Book Items Cons.'!R$5:R$3360,'J Book Items Cons.'!E$5:E$3360,2,'J Book Items Cons.'!S$5:S$3360,"",'J Book Items Cons.'!U$5:U$3360,"USN",'J Book Items Cons.'!W$5:W$3360,"Patrol Combatant",'J Book Items Cons.'!R$5:R$3360,"&lt;&gt;")+SUMIFS('J Book Items Cons.'!N$5:N$3360,'J Book Items Cons.'!E$5:E$3360,2,'J Book Items Cons.'!S$5:S$3360,"",'J Book Items Cons.'!U$5:U$3360,"USN",'J Book Items Cons.'!W$5:W$3360,"Patrol Combatant",'J Book Items Cons.'!R$5:R$3360,"",'J Book Items Cons.'!N$5:N$3360,"&lt;&gt;")+SUMIFS('J Book Items Cons.'!L$5:L$3360,'J Book Items Cons.'!E$5:E$3360,2,'J Book Items Cons.'!S$5:S$3360,"",'J Book Items Cons.'!U$5:U$3360,"USN",'J Book Items Cons.'!W$5:W$3360,"Patrol Combatant",'J Book Items Cons.'!R$5:R$3360,"",'J Book Items Cons.'!N$5:N$3360,"")+SUMIFS('J Book Items Cons.'!R$5:R$3360,'J Book Items Cons.'!E$5:E$3360,2,'J Book Items Cons.'!S$5:S$3360,"[PARENT]",'J Book Items Cons.'!U$5:U$3360,"USN",'J Book Items Cons.'!W$5:W$3360,"Patrol Combatant",'J Book Items Cons.'!R$5:R$3360,"&lt;&gt;")+SUMIFS('J Book Items Cons.'!N$5:N$3360,'J Book Items Cons.'!E$5:E$3360,2,'J Book Items Cons.'!S$5:S$3360,"[PARENT]",'J Book Items Cons.'!U$5:U$3360,"USN",'J Book Items Cons.'!W$5:W$3360,"Patrol Combatant",'J Book Items Cons.'!R$5:R$3360,"",'J Book Items Cons.'!N$5:N$3360,"&lt;&gt;")+SUMIFS('J Book Items Cons.'!L$5:L$3360,'J Book Items Cons.'!E$5:E$3360,2,'J Book Items Cons.'!S$5:S$3360,"[PARENT]",'J Book Items Cons.'!U$5:U$3360,"USN",'J Book Items Cons.'!W$5:W$3360,"Patrol Combatant",'J Book Items Cons.'!R$5:R$3360,"",'J Book Items Cons.'!N$5:N$3360,"")</f>
        <v>9</v>
      </c>
      <c r="R45" s="14">
        <f>SUMIFS('J Book Items Cons.'!R$5:R$3360,'J Book Items Cons.'!E$5:E$3360,2,'J Book Items Cons.'!S$5:S$3360,"",'J Book Items Cons.'!U$5:U$3360,"USN",'J Book Items Cons.'!W$5:W$3360,"Aviation Logistics Support Ship",'J Book Items Cons.'!R$5:R$3360,"&lt;&gt;")+SUMIFS('J Book Items Cons.'!N$5:N$3360,'J Book Items Cons.'!E$5:E$3360,2,'J Book Items Cons.'!S$5:S$3360,"",'J Book Items Cons.'!U$5:U$3360,"USN",'J Book Items Cons.'!W$5:W$3360,"Aviation Logistics Support Ship",'J Book Items Cons.'!R$5:R$3360,"",'J Book Items Cons.'!N$5:N$3360,"&lt;&gt;")+SUMIFS('J Book Items Cons.'!L$5:L$3360,'J Book Items Cons.'!E$5:E$3360,2,'J Book Items Cons.'!S$5:S$3360,"",'J Book Items Cons.'!U$5:U$3360,"USN",'J Book Items Cons.'!W$5:W$3360,"Aviation Logistics Support Ship",'J Book Items Cons.'!R$5:R$3360,"",'J Book Items Cons.'!N$5:N$3360,"")+SUMIFS('J Book Items Cons.'!R$5:R$3360,'J Book Items Cons.'!E$5:E$3360,2,'J Book Items Cons.'!S$5:S$3360,"[PARENT]",'J Book Items Cons.'!U$5:U$3360,"USN",'J Book Items Cons.'!W$5:W$3360,"Aviation Logistics Support Ship",'J Book Items Cons.'!R$5:R$3360,"&lt;&gt;")+SUMIFS('J Book Items Cons.'!N$5:N$3360,'J Book Items Cons.'!E$5:E$3360,2,'J Book Items Cons.'!S$5:S$3360,"[PARENT]",'J Book Items Cons.'!U$5:U$3360,"USN",'J Book Items Cons.'!W$5:W$3360,"Aviation Logistics Support Ship",'J Book Items Cons.'!R$5:R$3360,"",'J Book Items Cons.'!N$5:N$3360,"&lt;&gt;")+SUMIFS('J Book Items Cons.'!L$5:L$3360,'J Book Items Cons.'!E$5:E$3360,2,'J Book Items Cons.'!S$5:S$3360,"[PARENT]",'J Book Items Cons.'!U$5:U$3360,"USN",'J Book Items Cons.'!W$5:W$3360,"Aviation Logistics Support Ship",'J Book Items Cons.'!R$5:R$3360,"",'J Book Items Cons.'!N$5:N$3360,"")</f>
        <v>0</v>
      </c>
      <c r="S45" s="14">
        <f>SUMIFS('J Book Items Cons.'!R$5:R$3360,'J Book Items Cons.'!E$5:E$3360,2,'J Book Items Cons.'!S$5:S$3360,"",'J Book Items Cons.'!U$5:U$3360,"USN",'J Book Items Cons.'!W$5:W$3360,"Cargo &amp; Vehicle Cargo Ships",'J Book Items Cons.'!R$5:R$3360,"&lt;&gt;")+SUMIFS('J Book Items Cons.'!N$5:N$3360,'J Book Items Cons.'!E$5:E$3360,2,'J Book Items Cons.'!S$5:S$3360,"",'J Book Items Cons.'!U$5:U$3360,"USN",'J Book Items Cons.'!W$5:W$3360,"Cargo &amp; Vehicle Cargo Ships",'J Book Items Cons.'!R$5:R$3360,"",'J Book Items Cons.'!N$5:N$3360,"&lt;&gt;")+SUMIFS('J Book Items Cons.'!L$5:L$3360,'J Book Items Cons.'!E$5:E$3360,2,'J Book Items Cons.'!S$5:S$3360,"",'J Book Items Cons.'!U$5:U$3360,"USN",'J Book Items Cons.'!W$5:W$3360,"Cargo &amp; Vehicle Cargo Ships",'J Book Items Cons.'!R$5:R$3360,"",'J Book Items Cons.'!N$5:N$3360,"")+SUMIFS('J Book Items Cons.'!R$5:R$3360,'J Book Items Cons.'!E$5:E$3360,2,'J Book Items Cons.'!S$5:S$3360,"[PARENT]",'J Book Items Cons.'!U$5:U$3360,"USN",'J Book Items Cons.'!W$5:W$3360,"Cargo &amp; Vehicle Cargo Ships",'J Book Items Cons.'!R$5:R$3360,"&lt;&gt;")+SUMIFS('J Book Items Cons.'!N$5:N$3360,'J Book Items Cons.'!E$5:E$3360,2,'J Book Items Cons.'!S$5:S$3360,"[PARENT]",'J Book Items Cons.'!U$5:U$3360,"USN",'J Book Items Cons.'!W$5:W$3360,"Cargo &amp; Vehicle Cargo Ships",'J Book Items Cons.'!R$5:R$3360,"",'J Book Items Cons.'!N$5:N$3360,"&lt;&gt;")+SUMIFS('J Book Items Cons.'!L$5:L$3360,'J Book Items Cons.'!E$5:E$3360,2,'J Book Items Cons.'!S$5:S$3360,"[PARENT]",'J Book Items Cons.'!U$5:U$3360,"USN",'J Book Items Cons.'!W$5:W$3360,"Cargo &amp; Vehicle Cargo Ships",'J Book Items Cons.'!R$5:R$3360,"",'J Book Items Cons.'!N$5:N$3360,"")</f>
        <v>0</v>
      </c>
      <c r="T45" s="14">
        <f>SUMIFS('J Book Items Cons.'!R$5:R$3360,'J Book Items Cons.'!E$5:E$3360,2,'J Book Items Cons.'!S$5:S$3360,"",'J Book Items Cons.'!U$5:U$3360,"USN",'J Book Items Cons.'!W$5:W$3360,"Combat Logistics Ships",'J Book Items Cons.'!R$5:R$3360,"&lt;&gt;")+SUMIFS('J Book Items Cons.'!N$5:N$3360,'J Book Items Cons.'!E$5:E$3360,2,'J Book Items Cons.'!S$5:S$3360,"",'J Book Items Cons.'!U$5:U$3360,"USN",'J Book Items Cons.'!W$5:W$3360,"Combat Logistics Ships",'J Book Items Cons.'!R$5:R$3360,"",'J Book Items Cons.'!N$5:N$3360,"&lt;&gt;")+SUMIFS('J Book Items Cons.'!L$5:L$3360,'J Book Items Cons.'!E$5:E$3360,2,'J Book Items Cons.'!S$5:S$3360,"",'J Book Items Cons.'!U$5:U$3360,"USN",'J Book Items Cons.'!W$5:W$3360,"Combat Logistics Ships",'J Book Items Cons.'!R$5:R$3360,"",'J Book Items Cons.'!N$5:N$3360,"")+SUMIFS('J Book Items Cons.'!R$5:R$3360,'J Book Items Cons.'!E$5:E$3360,2,'J Book Items Cons.'!S$5:S$3360,"[PARENT]",'J Book Items Cons.'!U$5:U$3360,"USN",'J Book Items Cons.'!W$5:W$3360,"Combat Logistics Ships",'J Book Items Cons.'!R$5:R$3360,"&lt;&gt;")+SUMIFS('J Book Items Cons.'!N$5:N$3360,'J Book Items Cons.'!E$5:E$3360,2,'J Book Items Cons.'!S$5:S$3360,"[PARENT]",'J Book Items Cons.'!U$5:U$3360,"USN",'J Book Items Cons.'!W$5:W$3360,"Combat Logistics Ships",'J Book Items Cons.'!R$5:R$3360,"",'J Book Items Cons.'!N$5:N$3360,"&lt;&gt;")+SUMIFS('J Book Items Cons.'!L$5:L$3360,'J Book Items Cons.'!E$5:E$3360,2,'J Book Items Cons.'!S$5:S$3360,"[PARENT]",'J Book Items Cons.'!U$5:U$3360,"USN",'J Book Items Cons.'!W$5:W$3360,"Combat Logistics Ships",'J Book Items Cons.'!R$5:R$3360,"",'J Book Items Cons.'!N$5:N$3360,"")</f>
        <v>0</v>
      </c>
      <c r="U45" s="14">
        <f>SUMIFS('J Book Items Cons.'!R$5:R$3360,'J Book Items Cons.'!E$5:E$3360,2,'J Book Items Cons.'!S$5:S$3360,"",'J Book Items Cons.'!U$5:U$3360,"USN",'J Book Items Cons.'!W$5:W$3360,"Crane Ship",'J Book Items Cons.'!R$5:R$3360,"&lt;&gt;")+SUMIFS('J Book Items Cons.'!N$5:N$3360,'J Book Items Cons.'!E$5:E$3360,2,'J Book Items Cons.'!S$5:S$3360,"",'J Book Items Cons.'!U$5:U$3360,"USN",'J Book Items Cons.'!W$5:W$3360,"Crane Ship",'J Book Items Cons.'!R$5:R$3360,"",'J Book Items Cons.'!N$5:N$3360,"&lt;&gt;")+SUMIFS('J Book Items Cons.'!L$5:L$3360,'J Book Items Cons.'!E$5:E$3360,2,'J Book Items Cons.'!S$5:S$3360,"",'J Book Items Cons.'!U$5:U$3360,"USN",'J Book Items Cons.'!W$5:W$3360,"Crane Ship",'J Book Items Cons.'!R$5:R$3360,"",'J Book Items Cons.'!N$5:N$3360,"")+SUMIFS('J Book Items Cons.'!R$5:R$3360,'J Book Items Cons.'!E$5:E$3360,2,'J Book Items Cons.'!S$5:S$3360,"[PARENT]",'J Book Items Cons.'!U$5:U$3360,"USN",'J Book Items Cons.'!W$5:W$3360,"Crane Ship",'J Book Items Cons.'!R$5:R$3360,"&lt;&gt;")+SUMIFS('J Book Items Cons.'!N$5:N$3360,'J Book Items Cons.'!E$5:E$3360,2,'J Book Items Cons.'!S$5:S$3360,"[PARENT]",'J Book Items Cons.'!U$5:U$3360,"USN",'J Book Items Cons.'!W$5:W$3360,"Crane Ship",'J Book Items Cons.'!R$5:R$3360,"",'J Book Items Cons.'!N$5:N$3360,"&lt;&gt;")+SUMIFS('J Book Items Cons.'!L$5:L$3360,'J Book Items Cons.'!E$5:E$3360,2,'J Book Items Cons.'!S$5:S$3360,"[PARENT]",'J Book Items Cons.'!U$5:U$3360,"USN",'J Book Items Cons.'!W$5:W$3360,"Crane Ship",'J Book Items Cons.'!R$5:R$3360,"",'J Book Items Cons.'!N$5:N$3360,"")</f>
        <v>0</v>
      </c>
      <c r="V45" s="14">
        <f>SUMIFS('J Book Items Cons.'!R$5:R$3360,'J Book Items Cons.'!E$5:E$3360,2,'J Book Items Cons.'!S$5:S$3360,"",'J Book Items Cons.'!U$5:U$3360,"USN",'J Book Items Cons.'!W$5:W$3360,"General Auxiliary",'J Book Items Cons.'!R$5:R$3360,"&lt;&gt;")+SUMIFS('J Book Items Cons.'!N$5:N$3360,'J Book Items Cons.'!E$5:E$3360,2,'J Book Items Cons.'!S$5:S$3360,"",'J Book Items Cons.'!U$5:U$3360,"USN",'J Book Items Cons.'!W$5:W$3360,"General Auxiliary",'J Book Items Cons.'!R$5:R$3360,"",'J Book Items Cons.'!N$5:N$3360,"&lt;&gt;")+SUMIFS('J Book Items Cons.'!L$5:L$3360,'J Book Items Cons.'!E$5:E$3360,2,'J Book Items Cons.'!S$5:S$3360,"",'J Book Items Cons.'!U$5:U$3360,"USN",'J Book Items Cons.'!W$5:W$3360,"General Auxiliary",'J Book Items Cons.'!R$5:R$3360,"",'J Book Items Cons.'!N$5:N$3360,"")+SUMIFS('J Book Items Cons.'!R$5:R$3360,'J Book Items Cons.'!E$5:E$3360,2,'J Book Items Cons.'!S$5:S$3360,"[PARENT]",'J Book Items Cons.'!U$5:U$3360,"USN",'J Book Items Cons.'!W$5:W$3360,"General Auxiliary",'J Book Items Cons.'!R$5:R$3360,"&lt;&gt;")+SUMIFS('J Book Items Cons.'!N$5:N$3360,'J Book Items Cons.'!E$5:E$3360,2,'J Book Items Cons.'!S$5:S$3360,"[PARENT]",'J Book Items Cons.'!U$5:U$3360,"USN",'J Book Items Cons.'!W$5:W$3360,"General Auxiliary",'J Book Items Cons.'!R$5:R$3360,"",'J Book Items Cons.'!N$5:N$3360,"&lt;&gt;")+SUMIFS('J Book Items Cons.'!L$5:L$3360,'J Book Items Cons.'!E$5:E$3360,2,'J Book Items Cons.'!S$5:S$3360,"[PARENT]",'J Book Items Cons.'!U$5:U$3360,"USN",'J Book Items Cons.'!W$5:W$3360,"General Auxiliary",'J Book Items Cons.'!R$5:R$3360,"",'J Book Items Cons.'!N$5:N$3360,"")</f>
        <v>0</v>
      </c>
      <c r="W45" s="14">
        <f>SUMIFS('J Book Items Cons.'!R$5:R$3360,'J Book Items Cons.'!E$5:E$3360,2,'J Book Items Cons.'!S$5:S$3360,"",'J Book Items Cons.'!U$5:U$3360,"USN",'J Book Items Cons.'!W$5:W$3360,"High Speed Transport",'J Book Items Cons.'!R$5:R$3360,"&lt;&gt;")+SUMIFS('J Book Items Cons.'!N$5:N$3360,'J Book Items Cons.'!E$5:E$3360,2,'J Book Items Cons.'!S$5:S$3360,"",'J Book Items Cons.'!U$5:U$3360,"USN",'J Book Items Cons.'!W$5:W$3360,"High Speed Transport",'J Book Items Cons.'!R$5:R$3360,"",'J Book Items Cons.'!N$5:N$3360,"&lt;&gt;")+SUMIFS('J Book Items Cons.'!L$5:L$3360,'J Book Items Cons.'!E$5:E$3360,2,'J Book Items Cons.'!S$5:S$3360,"",'J Book Items Cons.'!U$5:U$3360,"USN",'J Book Items Cons.'!W$5:W$3360,"High Speed Transport",'J Book Items Cons.'!R$5:R$3360,"",'J Book Items Cons.'!N$5:N$3360,"")+SUMIFS('J Book Items Cons.'!R$5:R$3360,'J Book Items Cons.'!E$5:E$3360,2,'J Book Items Cons.'!S$5:S$3360,"[PARENT]",'J Book Items Cons.'!U$5:U$3360,"USN",'J Book Items Cons.'!W$5:W$3360,"High Speed Transport",'J Book Items Cons.'!R$5:R$3360,"&lt;&gt;")+SUMIFS('J Book Items Cons.'!N$5:N$3360,'J Book Items Cons.'!E$5:E$3360,2,'J Book Items Cons.'!S$5:S$3360,"[PARENT]",'J Book Items Cons.'!U$5:U$3360,"USN",'J Book Items Cons.'!W$5:W$3360,"High Speed Transport",'J Book Items Cons.'!R$5:R$3360,"",'J Book Items Cons.'!N$5:N$3360,"&lt;&gt;")+SUMIFS('J Book Items Cons.'!L$5:L$3360,'J Book Items Cons.'!E$5:E$3360,2,'J Book Items Cons.'!S$5:S$3360,"[PARENT]",'J Book Items Cons.'!U$5:U$3360,"USN",'J Book Items Cons.'!W$5:W$3360,"High Speed Transport",'J Book Items Cons.'!R$5:R$3360,"",'J Book Items Cons.'!N$5:N$3360,"")</f>
        <v>0</v>
      </c>
      <c r="X45" s="14">
        <f>SUMIFS('J Book Items Cons.'!R$5:R$3360,'J Book Items Cons.'!E$5:E$3360,2,'J Book Items Cons.'!S$5:S$3360,"",'J Book Items Cons.'!U$5:U$3360,"USN",'J Book Items Cons.'!W$5:W$3360,"Material Support Ships",'J Book Items Cons.'!R$5:R$3360,"&lt;&gt;")+SUMIFS('J Book Items Cons.'!N$5:N$3360,'J Book Items Cons.'!E$5:E$3360,2,'J Book Items Cons.'!S$5:S$3360,"",'J Book Items Cons.'!U$5:U$3360,"USN",'J Book Items Cons.'!W$5:W$3360,"Material Support Ships",'J Book Items Cons.'!R$5:R$3360,"",'J Book Items Cons.'!N$5:N$3360,"&lt;&gt;")+SUMIFS('J Book Items Cons.'!L$5:L$3360,'J Book Items Cons.'!E$5:E$3360,2,'J Book Items Cons.'!S$5:S$3360,"",'J Book Items Cons.'!U$5:U$3360,"USN",'J Book Items Cons.'!W$5:W$3360,"Material Support Ships",'J Book Items Cons.'!R$5:R$3360,"",'J Book Items Cons.'!N$5:N$3360,"")+SUMIFS('J Book Items Cons.'!R$5:R$3360,'J Book Items Cons.'!E$5:E$3360,2,'J Book Items Cons.'!S$5:S$3360,"[PARENT]",'J Book Items Cons.'!U$5:U$3360,"USN",'J Book Items Cons.'!W$5:W$3360,"Material Support Ships",'J Book Items Cons.'!R$5:R$3360,"&lt;&gt;")+SUMIFS('J Book Items Cons.'!N$5:N$3360,'J Book Items Cons.'!E$5:E$3360,2,'J Book Items Cons.'!S$5:S$3360,"[PARENT]",'J Book Items Cons.'!U$5:U$3360,"USN",'J Book Items Cons.'!W$5:W$3360,"Material Support Ships",'J Book Items Cons.'!R$5:R$3360,"",'J Book Items Cons.'!N$5:N$3360,"&lt;&gt;")+SUMIFS('J Book Items Cons.'!L$5:L$3360,'J Book Items Cons.'!E$5:E$3360,2,'J Book Items Cons.'!S$5:S$3360,"[PARENT]",'J Book Items Cons.'!U$5:U$3360,"USN",'J Book Items Cons.'!W$5:W$3360,"Material Support Ships",'J Book Items Cons.'!R$5:R$3360,"",'J Book Items Cons.'!N$5:N$3360,"")</f>
        <v>0</v>
      </c>
      <c r="Y45" s="14">
        <f>SUMIFS('J Book Items Cons.'!R$5:R$3360,'J Book Items Cons.'!E$5:E$3360,2,'J Book Items Cons.'!S$5:S$3360,"",'J Book Items Cons.'!U$5:U$3360,"USN",'J Book Items Cons.'!W$5:W$3360,"Salvage Ships &amp; Fleet Ocean Tugs",'J Book Items Cons.'!R$5:R$3360,"&lt;&gt;")+SUMIFS('J Book Items Cons.'!N$5:N$3360,'J Book Items Cons.'!E$5:E$3360,2,'J Book Items Cons.'!S$5:S$3360,"",'J Book Items Cons.'!U$5:U$3360,"USN",'J Book Items Cons.'!W$5:W$3360,"Salvage Ships &amp; Fleet Ocean Tugs",'J Book Items Cons.'!R$5:R$3360,"",'J Book Items Cons.'!N$5:N$3360,"&lt;&gt;")+SUMIFS('J Book Items Cons.'!L$5:L$3360,'J Book Items Cons.'!E$5:E$3360,2,'J Book Items Cons.'!S$5:S$3360,"",'J Book Items Cons.'!U$5:U$3360,"USN",'J Book Items Cons.'!W$5:W$3360,"Salvage Ships &amp; Fleet Ocean Tugs",'J Book Items Cons.'!R$5:R$3360,"",'J Book Items Cons.'!N$5:N$3360,"")+SUMIFS('J Book Items Cons.'!R$5:R$3360,'J Book Items Cons.'!E$5:E$3360,2,'J Book Items Cons.'!S$5:S$3360,"[PARENT]",'J Book Items Cons.'!U$5:U$3360,"USN",'J Book Items Cons.'!W$5:W$3360,"Salvage Ships &amp; Fleet Ocean Tugs",'J Book Items Cons.'!R$5:R$3360,"&lt;&gt;")+SUMIFS('J Book Items Cons.'!N$5:N$3360,'J Book Items Cons.'!E$5:E$3360,2,'J Book Items Cons.'!S$5:S$3360,"[PARENT]",'J Book Items Cons.'!U$5:U$3360,"USN",'J Book Items Cons.'!W$5:W$3360,"Salvage Ships &amp; Fleet Ocean Tugs",'J Book Items Cons.'!R$5:R$3360,"",'J Book Items Cons.'!N$5:N$3360,"&lt;&gt;")+SUMIFS('J Book Items Cons.'!L$5:L$3360,'J Book Items Cons.'!E$5:E$3360,2,'J Book Items Cons.'!S$5:S$3360,"[PARENT]",'J Book Items Cons.'!U$5:U$3360,"USN",'J Book Items Cons.'!W$5:W$3360,"Salvage Ships &amp; Fleet Ocean Tugs",'J Book Items Cons.'!R$5:R$3360,"",'J Book Items Cons.'!N$5:N$3360,"")</f>
        <v>0</v>
      </c>
      <c r="Z45" s="14">
        <f>SUMIFS('J Book Items Cons.'!R$5:R$3360,'J Book Items Cons.'!E$5:E$3360,2,'J Book Items Cons.'!S$5:S$3360,"",'J Book Items Cons.'!U$5:U$3360,"USN",'J Book Items Cons.'!W$5:W$3360,"Sealift Support Craft",'J Book Items Cons.'!R$5:R$3360,"&lt;&gt;")+SUMIFS('J Book Items Cons.'!N$5:N$3360,'J Book Items Cons.'!E$5:E$3360,2,'J Book Items Cons.'!S$5:S$3360,"",'J Book Items Cons.'!U$5:U$3360,"USN",'J Book Items Cons.'!W$5:W$3360,"Sealift Support Craft",'J Book Items Cons.'!R$5:R$3360,"",'J Book Items Cons.'!N$5:N$3360,"&lt;&gt;")+SUMIFS('J Book Items Cons.'!L$5:L$3360,'J Book Items Cons.'!E$5:E$3360,2,'J Book Items Cons.'!S$5:S$3360,"",'J Book Items Cons.'!U$5:U$3360,"USN",'J Book Items Cons.'!W$5:W$3360,"Sealift Support Craft",'J Book Items Cons.'!R$5:R$3360,"",'J Book Items Cons.'!N$5:N$3360,"")+SUMIFS('J Book Items Cons.'!R$5:R$3360,'J Book Items Cons.'!E$5:E$3360,2,'J Book Items Cons.'!S$5:S$3360,"[PARENT]",'J Book Items Cons.'!U$5:U$3360,"USN",'J Book Items Cons.'!W$5:W$3360,"Sealift Support Craft",'J Book Items Cons.'!R$5:R$3360,"&lt;&gt;")+SUMIFS('J Book Items Cons.'!N$5:N$3360,'J Book Items Cons.'!E$5:E$3360,2,'J Book Items Cons.'!S$5:S$3360,"[PARENT]",'J Book Items Cons.'!U$5:U$3360,"USN",'J Book Items Cons.'!W$5:W$3360,"Sealift Support Craft",'J Book Items Cons.'!R$5:R$3360,"",'J Book Items Cons.'!N$5:N$3360,"&lt;&gt;")+SUMIFS('J Book Items Cons.'!L$5:L$3360,'J Book Items Cons.'!E$5:E$3360,2,'J Book Items Cons.'!S$5:S$3360,"[PARENT]",'J Book Items Cons.'!U$5:U$3360,"USN",'J Book Items Cons.'!W$5:W$3360,"Sealift Support Craft",'J Book Items Cons.'!R$5:R$3360,"",'J Book Items Cons.'!N$5:N$3360,"")</f>
        <v>0</v>
      </c>
      <c r="AA45" s="14">
        <f>SUMIFS('J Book Items Cons.'!R$5:R$3360,'J Book Items Cons.'!E$5:E$3360,2,'J Book Items Cons.'!S$5:S$3360,"",'J Book Items Cons.'!U$5:U$3360,"USN",'J Book Items Cons.'!W$5:W$3360,"Special Warfare Craft",'J Book Items Cons.'!R$5:R$3360,"&lt;&gt;")+SUMIFS('J Book Items Cons.'!N$5:N$3360,'J Book Items Cons.'!E$5:E$3360,2,'J Book Items Cons.'!S$5:S$3360,"",'J Book Items Cons.'!U$5:U$3360,"USN",'J Book Items Cons.'!W$5:W$3360,"Special Warfare Craft",'J Book Items Cons.'!R$5:R$3360,"",'J Book Items Cons.'!N$5:N$3360,"&lt;&gt;")+SUMIFS('J Book Items Cons.'!L$5:L$3360,'J Book Items Cons.'!E$5:E$3360,2,'J Book Items Cons.'!S$5:S$3360,"",'J Book Items Cons.'!U$5:U$3360,"USN",'J Book Items Cons.'!W$5:W$3360,"Special Warfare Craft",'J Book Items Cons.'!R$5:R$3360,"",'J Book Items Cons.'!N$5:N$3360,"")+SUMIFS('J Book Items Cons.'!R$5:R$3360,'J Book Items Cons.'!E$5:E$3360,2,'J Book Items Cons.'!S$5:S$3360,"[PARENT]",'J Book Items Cons.'!U$5:U$3360,"USN",'J Book Items Cons.'!W$5:W$3360,"Special Warfare Craft",'J Book Items Cons.'!R$5:R$3360,"&lt;&gt;")+SUMIFS('J Book Items Cons.'!N$5:N$3360,'J Book Items Cons.'!E$5:E$3360,2,'J Book Items Cons.'!S$5:S$3360,"[PARENT]",'J Book Items Cons.'!U$5:U$3360,"USN",'J Book Items Cons.'!W$5:W$3360,"Special Warfare Craft",'J Book Items Cons.'!R$5:R$3360,"",'J Book Items Cons.'!N$5:N$3360,"&lt;&gt;")+SUMIFS('J Book Items Cons.'!L$5:L$3360,'J Book Items Cons.'!E$5:E$3360,2,'J Book Items Cons.'!S$5:S$3360,"[PARENT]",'J Book Items Cons.'!U$5:U$3360,"USN",'J Book Items Cons.'!W$5:W$3360,"Special Warfare Craft",'J Book Items Cons.'!R$5:R$3360,"",'J Book Items Cons.'!N$5:N$3360,"")</f>
        <v>0</v>
      </c>
      <c r="AB45" s="14">
        <f>SUMIFS('J Book Items Cons.'!R$5:R$3360,'J Book Items Cons.'!E$5:E$3360,2,'J Book Items Cons.'!S$5:S$3360,"",'J Book Items Cons.'!U$5:U$3360,"USN",'J Book Items Cons.'!W$5:W$3360,"Submarine Escort Ship",'J Book Items Cons.'!R$5:R$3360,"&lt;&gt;")+SUMIFS('J Book Items Cons.'!N$5:N$3360,'J Book Items Cons.'!E$5:E$3360,2,'J Book Items Cons.'!S$5:S$3360,"",'J Book Items Cons.'!U$5:U$3360,"USN",'J Book Items Cons.'!W$5:W$3360,"Submarine Escort Ship",'J Book Items Cons.'!R$5:R$3360,"",'J Book Items Cons.'!N$5:N$3360,"&lt;&gt;")+SUMIFS('J Book Items Cons.'!L$5:L$3360,'J Book Items Cons.'!E$5:E$3360,2,'J Book Items Cons.'!S$5:S$3360,"",'J Book Items Cons.'!U$5:U$3360,"USN",'J Book Items Cons.'!W$5:W$3360,"Submarine Escort Ship",'J Book Items Cons.'!R$5:R$3360,"",'J Book Items Cons.'!N$5:N$3360,"")+SUMIFS('J Book Items Cons.'!R$5:R$3360,'J Book Items Cons.'!E$5:E$3360,2,'J Book Items Cons.'!S$5:S$3360,"[PARENT]",'J Book Items Cons.'!U$5:U$3360,"USN",'J Book Items Cons.'!W$5:W$3360,"Submarine Escort Ship",'J Book Items Cons.'!R$5:R$3360,"&lt;&gt;")+SUMIFS('J Book Items Cons.'!N$5:N$3360,'J Book Items Cons.'!E$5:E$3360,2,'J Book Items Cons.'!S$5:S$3360,"[PARENT]",'J Book Items Cons.'!U$5:U$3360,"USN",'J Book Items Cons.'!W$5:W$3360,"Submarine Escort Ship",'J Book Items Cons.'!R$5:R$3360,"",'J Book Items Cons.'!N$5:N$3360,"&lt;&gt;")+SUMIFS('J Book Items Cons.'!L$5:L$3360,'J Book Items Cons.'!E$5:E$3360,2,'J Book Items Cons.'!S$5:S$3360,"[PARENT]",'J Book Items Cons.'!U$5:U$3360,"USN",'J Book Items Cons.'!W$5:W$3360,"Submarine Escort Ship",'J Book Items Cons.'!R$5:R$3360,"",'J Book Items Cons.'!N$5:N$3360,"")</f>
        <v>0</v>
      </c>
      <c r="AC45" s="14">
        <f>SUMIFS('J Book Items Cons.'!R$5:R$3360,'J Book Items Cons.'!E$5:E$3360,2,'J Book Items Cons.'!S$5:S$3360,"",'J Book Items Cons.'!U$5:U$3360,"MSC",'J Book Items Cons.'!W$5:W$3360,"Expeditionary &amp; Seabasing Ships",'J Book Items Cons.'!R$5:R$3360,"&lt;&gt;")+SUMIFS('J Book Items Cons.'!N$5:N$3360,'J Book Items Cons.'!E$5:E$3360,2,'J Book Items Cons.'!S$5:S$3360,"",'J Book Items Cons.'!U$5:U$3360,"MSC",'J Book Items Cons.'!W$5:W$3360,"Expeditionary &amp; Seabasing Ships",'J Book Items Cons.'!R$5:R$3360,"",'J Book Items Cons.'!N$5:N$3360,"&lt;&gt;")+SUMIFS('J Book Items Cons.'!L$5:L$3360,'J Book Items Cons.'!E$5:E$3360,2,'J Book Items Cons.'!S$5:S$3360,"",'J Book Items Cons.'!U$5:U$3360,"MSC",'J Book Items Cons.'!W$5:W$3360,"Expeditionary &amp; Seabasing Ships",'J Book Items Cons.'!R$5:R$3360,"",'J Book Items Cons.'!N$5:N$3360,"")+SUMIFS('J Book Items Cons.'!R$5:R$3360,'J Book Items Cons.'!E$5:E$3360,2,'J Book Items Cons.'!S$5:S$3360,"[PARENT]",'J Book Items Cons.'!U$5:U$3360,"MSC",'J Book Items Cons.'!W$5:W$3360,"Expeditionary &amp; Seabasing Ships",'J Book Items Cons.'!R$5:R$3360,"&lt;&gt;")+SUMIFS('J Book Items Cons.'!N$5:N$3360,'J Book Items Cons.'!E$5:E$3360,2,'J Book Items Cons.'!S$5:S$3360,"[PARENT]",'J Book Items Cons.'!U$5:U$3360,"MSC",'J Book Items Cons.'!W$5:W$3360,"Expeditionary &amp; Seabasing Ships",'J Book Items Cons.'!R$5:R$3360,"",'J Book Items Cons.'!N$5:N$3360,"&lt;&gt;")+SUMIFS('J Book Items Cons.'!L$5:L$3360,'J Book Items Cons.'!E$5:E$3360,2,'J Book Items Cons.'!S$5:S$3360,"[PARENT]",'J Book Items Cons.'!U$5:U$3360,"MSC",'J Book Items Cons.'!W$5:W$3360,"Expeditionary &amp; Seabasing Ships",'J Book Items Cons.'!R$5:R$3360,"",'J Book Items Cons.'!N$5:N$3360,"")</f>
        <v>0</v>
      </c>
      <c r="AD45" s="14">
        <f>SUMIFS('J Book Items Cons.'!R$5:R$3360,'J Book Items Cons.'!E$5:E$3360,2,'J Book Items Cons.'!S$5:S$3360,"",'J Book Items Cons.'!U$5:U$3360,"MSC",'J Book Items Cons.'!W$5:W$3360,"Hospital Ship",'J Book Items Cons.'!R$5:R$3360,"&lt;&gt;")+SUMIFS('J Book Items Cons.'!N$5:N$3360,'J Book Items Cons.'!E$5:E$3360,2,'J Book Items Cons.'!S$5:S$3360,"",'J Book Items Cons.'!U$5:U$3360,"MSC",'J Book Items Cons.'!W$5:W$3360,"Hospital Ship",'J Book Items Cons.'!R$5:R$3360,"",'J Book Items Cons.'!N$5:N$3360,"&lt;&gt;")+SUMIFS('J Book Items Cons.'!L$5:L$3360,'J Book Items Cons.'!E$5:E$3360,2,'J Book Items Cons.'!S$5:S$3360,"",'J Book Items Cons.'!U$5:U$3360,"MSC",'J Book Items Cons.'!W$5:W$3360,"Hospital Ship",'J Book Items Cons.'!R$5:R$3360,"",'J Book Items Cons.'!N$5:N$3360,"")+SUMIFS('J Book Items Cons.'!R$5:R$3360,'J Book Items Cons.'!E$5:E$3360,2,'J Book Items Cons.'!S$5:S$3360,"[PARENT]",'J Book Items Cons.'!U$5:U$3360,"MSC",'J Book Items Cons.'!W$5:W$3360,"Hospital Ship",'J Book Items Cons.'!R$5:R$3360,"&lt;&gt;")+SUMIFS('J Book Items Cons.'!N$5:N$3360,'J Book Items Cons.'!E$5:E$3360,2,'J Book Items Cons.'!S$5:S$3360,"[PARENT]",'J Book Items Cons.'!U$5:U$3360,"MSC",'J Book Items Cons.'!W$5:W$3360,"Hospital Ship",'J Book Items Cons.'!R$5:R$3360,"",'J Book Items Cons.'!N$5:N$3360,"&lt;&gt;")+SUMIFS('J Book Items Cons.'!L$5:L$3360,'J Book Items Cons.'!E$5:E$3360,2,'J Book Items Cons.'!S$5:S$3360,"[PARENT]",'J Book Items Cons.'!U$5:U$3360,"MSC",'J Book Items Cons.'!W$5:W$3360,"Hospital Ship",'J Book Items Cons.'!R$5:R$3360,"",'J Book Items Cons.'!N$5:N$3360,"")</f>
        <v>0</v>
      </c>
      <c r="AE45" s="26">
        <f>SUMIFS('J Book Items Cons.'!R$5:R$3360,'J Book Items Cons.'!E$5:E$3360,2,'J Book Items Cons.'!S$5:S$3360,"",'J Book Items Cons.'!U$5:U$3360,"MSC",'J Book Items Cons.'!W$5:W$3360,"Research, Survey &amp; Instrumentation Ships",'J Book Items Cons.'!R$5:R$3360,"&lt;&gt;")+SUMIFS('J Book Items Cons.'!N$5:N$3360,'J Book Items Cons.'!E$5:E$3360,2,'J Book Items Cons.'!S$5:S$3360,"",'J Book Items Cons.'!U$5:U$3360,"MSC",'J Book Items Cons.'!W$5:W$3360,"Research, Survey &amp; Instrumentation Ships",'J Book Items Cons.'!R$5:R$3360,"",'J Book Items Cons.'!N$5:N$3360,"&lt;&gt;")+SUMIFS('J Book Items Cons.'!L$5:L$3360,'J Book Items Cons.'!E$5:E$3360,2,'J Book Items Cons.'!S$5:S$3360,"",'J Book Items Cons.'!U$5:U$3360,"MSC",'J Book Items Cons.'!W$5:W$3360,"Research, Survey &amp; Instrumentation Ships",'J Book Items Cons.'!R$5:R$3360,"",'J Book Items Cons.'!N$5:N$3360,"")+SUMIFS('J Book Items Cons.'!R$5:R$3360,'J Book Items Cons.'!E$5:E$3360,2,'J Book Items Cons.'!S$5:S$3360,"[PARENT]",'J Book Items Cons.'!U$5:U$3360,"MSC",'J Book Items Cons.'!W$5:W$3360,"Research, Survey &amp; Instrumentation Ships",'J Book Items Cons.'!R$5:R$3360,"&lt;&gt;")+SUMIFS('J Book Items Cons.'!N$5:N$3360,'J Book Items Cons.'!E$5:E$3360,2,'J Book Items Cons.'!S$5:S$3360,"[PARENT]",'J Book Items Cons.'!U$5:U$3360,"MSC",'J Book Items Cons.'!W$5:W$3360,"Research, Survey &amp; Instrumentation Ships",'J Book Items Cons.'!R$5:R$3360,"",'J Book Items Cons.'!N$5:N$3360,"&lt;&gt;")+SUMIFS('J Book Items Cons.'!L$5:L$3360,'J Book Items Cons.'!E$5:E$3360,2,'J Book Items Cons.'!S$5:S$3360,"[PARENT]",'J Book Items Cons.'!U$5:U$3360,"MSC",'J Book Items Cons.'!W$5:W$3360,"Research, Survey &amp; Instrumentation Ships",'J Book Items Cons.'!R$5:R$3360,"",'J Book Items Cons.'!N$5:N$3360,"")</f>
        <v>0</v>
      </c>
      <c r="AF45" s="25">
        <f>SUMIFS('J Book Items Cons.'!R$5:R$3360,'J Book Items Cons.'!E$5:E$3360,2,'J Book Items Cons.'!S$5:S$3360,"",'J Book Items Cons.'!U$5:U$3360,"USCG",'J Book Items Cons.'!W$5:W$3360,"Offshore Patrol Cutter",'J Book Items Cons.'!R$5:R$3360,"&lt;&gt;")+SUMIFS('J Book Items Cons.'!N$5:N$3360,'J Book Items Cons.'!E$5:E$3360,2,'J Book Items Cons.'!S$5:S$3360,"",'J Book Items Cons.'!U$5:U$3360,"USCG",'J Book Items Cons.'!W$5:W$3360,"Offshore Patrol Cutter",'J Book Items Cons.'!R$5:R$3360,"",'J Book Items Cons.'!N$5:N$3360,"&lt;&gt;")+SUMIFS('J Book Items Cons.'!L$5:L$3360,'J Book Items Cons.'!E$5:E$3360,2,'J Book Items Cons.'!S$5:S$3360,"",'J Book Items Cons.'!U$5:U$3360,"USCG",'J Book Items Cons.'!W$5:W$3360,"Offshore Patrol Cutter",'J Book Items Cons.'!R$5:R$3360,"",'J Book Items Cons.'!N$5:N$3360,"")+SUMIFS('J Book Items Cons.'!R$5:R$3360,'J Book Items Cons.'!E$5:E$3360,2,'J Book Items Cons.'!S$5:S$3360,"[PARENT]",'J Book Items Cons.'!U$5:U$3360,"USCG",'J Book Items Cons.'!W$5:W$3360,"Offshore Patrol Cutter",'J Book Items Cons.'!R$5:R$3360,"&lt;&gt;")+SUMIFS('J Book Items Cons.'!N$5:N$3360,'J Book Items Cons.'!E$5:E$3360,2,'J Book Items Cons.'!S$5:S$3360,"[PARENT]",'J Book Items Cons.'!U$5:U$3360,"USCG",'J Book Items Cons.'!W$5:W$3360,"Offshore Patrol Cutter",'J Book Items Cons.'!R$5:R$3360,"",'J Book Items Cons.'!N$5:N$3360,"&lt;&gt;")+SUMIFS('J Book Items Cons.'!L$5:L$3360,'J Book Items Cons.'!E$5:E$3360,2,'J Book Items Cons.'!S$5:S$3360,"[PARENT]",'J Book Items Cons.'!U$5:U$3360,"USCG",'J Book Items Cons.'!W$5:W$3360,"Offshore Patrol Cutter",'J Book Items Cons.'!R$5:R$3360,"",'J Book Items Cons.'!N$5:N$3360,"")</f>
        <v>0</v>
      </c>
      <c r="AG45" s="14">
        <f>SUMIFS('J Book Items Cons.'!R$5:R$3360,'J Book Items Cons.'!E$5:E$3360,2,'J Book Items Cons.'!S$5:S$3360,"",'J Book Items Cons.'!U$5:U$3360,"USCG",'J Book Items Cons.'!W$5:W$3360,"Fast Response Cutters",'J Book Items Cons.'!R$5:R$3360,"&lt;&gt;")+SUMIFS('J Book Items Cons.'!N$5:N$3360,'J Book Items Cons.'!E$5:E$3360,2,'J Book Items Cons.'!S$5:S$3360,"",'J Book Items Cons.'!U$5:U$3360,"USCG",'J Book Items Cons.'!W$5:W$3360,"Fast Response Cutters",'J Book Items Cons.'!R$5:R$3360,"",'J Book Items Cons.'!N$5:N$3360,"&lt;&gt;")+SUMIFS('J Book Items Cons.'!L$5:L$3360,'J Book Items Cons.'!E$5:E$3360,2,'J Book Items Cons.'!S$5:S$3360,"",'J Book Items Cons.'!U$5:U$3360,"USCG",'J Book Items Cons.'!W$5:W$3360,"Fast Response Cutters",'J Book Items Cons.'!R$5:R$3360,"",'J Book Items Cons.'!N$5:N$3360,"")+SUMIFS('J Book Items Cons.'!R$5:R$3360,'J Book Items Cons.'!E$5:E$3360,2,'J Book Items Cons.'!S$5:S$3360,"[PARENT]",'J Book Items Cons.'!U$5:U$3360,"USCG",'J Book Items Cons.'!W$5:W$3360,"Fast Response Cutters",'J Book Items Cons.'!R$5:R$3360,"&lt;&gt;")+SUMIFS('J Book Items Cons.'!N$5:N$3360,'J Book Items Cons.'!E$5:E$3360,2,'J Book Items Cons.'!S$5:S$3360,"[PARENT]",'J Book Items Cons.'!U$5:U$3360,"USCG",'J Book Items Cons.'!W$5:W$3360,"Fast Response Cutters",'J Book Items Cons.'!R$5:R$3360,"",'J Book Items Cons.'!N$5:N$3360,"&lt;&gt;")+SUMIFS('J Book Items Cons.'!L$5:L$3360,'J Book Items Cons.'!E$5:E$3360,2,'J Book Items Cons.'!S$5:S$3360,"[PARENT]",'J Book Items Cons.'!U$5:U$3360,"USCG",'J Book Items Cons.'!W$5:W$3360,"Fast Response Cutters",'J Book Items Cons.'!R$5:R$3360,"",'J Book Items Cons.'!N$5:N$3360,"")</f>
        <v>0</v>
      </c>
      <c r="AH45" s="14">
        <f>SUMIFS('J Book Items Cons.'!R$5:R$3360,'J Book Items Cons.'!E$5:E$3360,2,'J Book Items Cons.'!S$5:S$3360,"",'J Book Items Cons.'!U$5:U$3360,"USCG",'J Book Items Cons.'!W$5:W$3360,"Icebreakers, Oceangoing",'J Book Items Cons.'!R$5:R$3360,"&lt;&gt;")+SUMIFS('J Book Items Cons.'!N$5:N$3360,'J Book Items Cons.'!E$5:E$3360,2,'J Book Items Cons.'!S$5:S$3360,"",'J Book Items Cons.'!U$5:U$3360,"USCG",'J Book Items Cons.'!W$5:W$3360,"Icebreakers, Oceangoing",'J Book Items Cons.'!R$5:R$3360,"",'J Book Items Cons.'!N$5:N$3360,"&lt;&gt;")+SUMIFS('J Book Items Cons.'!L$5:L$3360,'J Book Items Cons.'!E$5:E$3360,2,'J Book Items Cons.'!S$5:S$3360,"",'J Book Items Cons.'!U$5:U$3360,"USCG",'J Book Items Cons.'!W$5:W$3360,"Icebreakers, Oceangoing",'J Book Items Cons.'!R$5:R$3360,"",'J Book Items Cons.'!N$5:N$3360,"")+SUMIFS('J Book Items Cons.'!R$5:R$3360,'J Book Items Cons.'!E$5:E$3360,2,'J Book Items Cons.'!S$5:S$3360,"[PARENT]",'J Book Items Cons.'!U$5:U$3360,"USCG",'J Book Items Cons.'!W$5:W$3360,"Icebreakers, Oceangoing",'J Book Items Cons.'!R$5:R$3360,"&lt;&gt;")+SUMIFS('J Book Items Cons.'!N$5:N$3360,'J Book Items Cons.'!E$5:E$3360,2,'J Book Items Cons.'!S$5:S$3360,"[PARENT]",'J Book Items Cons.'!U$5:U$3360,"USCG",'J Book Items Cons.'!W$5:W$3360,"Icebreakers, Oceangoing",'J Book Items Cons.'!R$5:R$3360,"",'J Book Items Cons.'!N$5:N$3360,"&lt;&gt;")+SUMIFS('J Book Items Cons.'!L$5:L$3360,'J Book Items Cons.'!E$5:E$3360,2,'J Book Items Cons.'!S$5:S$3360,"[PARENT]",'J Book Items Cons.'!U$5:U$3360,"USCG",'J Book Items Cons.'!W$5:W$3360,"Icebreakers, Oceangoing",'J Book Items Cons.'!R$5:R$3360,"",'J Book Items Cons.'!N$5:N$3360,"")</f>
        <v>0</v>
      </c>
      <c r="AI45" s="14">
        <f>SUMIFS('J Book Items Cons.'!R$5:R$3360,'J Book Items Cons.'!E$5:E$3360,2,'J Book Items Cons.'!S$5:S$3360,"",'J Book Items Cons.'!U$5:U$3360,"USCG",'J Book Items Cons.'!W$5:W$3360,"Waterways Commerce Cutters",'J Book Items Cons.'!R$5:R$3360,"&lt;&gt;")+SUMIFS('J Book Items Cons.'!N$5:N$3360,'J Book Items Cons.'!E$5:E$3360,2,'J Book Items Cons.'!S$5:S$3360,"",'J Book Items Cons.'!U$5:U$3360,"USCG",'J Book Items Cons.'!W$5:W$3360,"Waterways Commerce Cutters",'J Book Items Cons.'!R$5:R$3360,"",'J Book Items Cons.'!N$5:N$3360,"&lt;&gt;")+SUMIFS('J Book Items Cons.'!L$5:L$3360,'J Book Items Cons.'!E$5:E$3360,2,'J Book Items Cons.'!S$5:S$3360,"",'J Book Items Cons.'!U$5:U$3360,"USCG",'J Book Items Cons.'!W$5:W$3360,"Waterways Commerce Cutters",'J Book Items Cons.'!R$5:R$3360,"",'J Book Items Cons.'!N$5:N$3360,"")+SUMIFS('J Book Items Cons.'!R$5:R$3360,'J Book Items Cons.'!E$5:E$3360,2,'J Book Items Cons.'!S$5:S$3360,"[PARENT]",'J Book Items Cons.'!U$5:U$3360,"USCG",'J Book Items Cons.'!W$5:W$3360,"Waterways Commerce Cutters",'J Book Items Cons.'!R$5:R$3360,"&lt;&gt;")+SUMIFS('J Book Items Cons.'!N$5:N$3360,'J Book Items Cons.'!E$5:E$3360,2,'J Book Items Cons.'!S$5:S$3360,"[PARENT]",'J Book Items Cons.'!U$5:U$3360,"USCG",'J Book Items Cons.'!W$5:W$3360,"Waterways Commerce Cutters",'J Book Items Cons.'!R$5:R$3360,"",'J Book Items Cons.'!N$5:N$3360,"&lt;&gt;")+SUMIFS('J Book Items Cons.'!L$5:L$3360,'J Book Items Cons.'!E$5:E$3360,2,'J Book Items Cons.'!S$5:S$3360,"[PARENT]",'J Book Items Cons.'!U$5:U$3360,"USCG",'J Book Items Cons.'!W$5:W$3360,"Waterways Commerce Cutters",'J Book Items Cons.'!R$5:R$3360,"",'J Book Items Cons.'!N$5:N$3360,"")</f>
        <v>0</v>
      </c>
      <c r="AJ45" s="14">
        <f>SUMIFS('J Book Items Cons.'!R$5:R$3360,'J Book Items Cons.'!E$5:E$3360,2,'J Book Items Cons.'!S$5:S$3360,"",'J Book Items Cons.'!U$5:U$3360,"USCG",'J Book Items Cons.'!W$5:W$3360,"National Security Cutters",'J Book Items Cons.'!R$5:R$3360,"&lt;&gt;")+SUMIFS('J Book Items Cons.'!N$5:N$3360,'J Book Items Cons.'!E$5:E$3360,2,'J Book Items Cons.'!S$5:S$3360,"",'J Book Items Cons.'!U$5:U$3360,"USCG",'J Book Items Cons.'!W$5:W$3360,"National Security Cutters",'J Book Items Cons.'!R$5:R$3360,"",'J Book Items Cons.'!N$5:N$3360,"&lt;&gt;")+SUMIFS('J Book Items Cons.'!L$5:L$3360,'J Book Items Cons.'!E$5:E$3360,2,'J Book Items Cons.'!S$5:S$3360,"",'J Book Items Cons.'!U$5:U$3360,"USCG",'J Book Items Cons.'!W$5:W$3360,"National Security Cutters",'J Book Items Cons.'!R$5:R$3360,"",'J Book Items Cons.'!N$5:N$3360,"")+SUMIFS('J Book Items Cons.'!R$5:R$3360,'J Book Items Cons.'!E$5:E$3360,2,'J Book Items Cons.'!S$5:S$3360,"[PARENT]",'J Book Items Cons.'!U$5:U$3360,"USCG",'J Book Items Cons.'!W$5:W$3360,"National Security Cutters",'J Book Items Cons.'!R$5:R$3360,"&lt;&gt;")+SUMIFS('J Book Items Cons.'!N$5:N$3360,'J Book Items Cons.'!E$5:E$3360,2,'J Book Items Cons.'!S$5:S$3360,"[PARENT]",'J Book Items Cons.'!U$5:U$3360,"USCG",'J Book Items Cons.'!W$5:W$3360,"National Security Cutters",'J Book Items Cons.'!R$5:R$3360,"",'J Book Items Cons.'!N$5:N$3360,"&lt;&gt;")+SUMIFS('J Book Items Cons.'!L$5:L$3360,'J Book Items Cons.'!E$5:E$3360,2,'J Book Items Cons.'!S$5:S$3360,"[PARENT]",'J Book Items Cons.'!U$5:U$3360,"USCG",'J Book Items Cons.'!W$5:W$3360,"National Security Cutters",'J Book Items Cons.'!R$5:R$3360,"",'J Book Items Cons.'!N$5:N$3360,"")</f>
        <v>0</v>
      </c>
      <c r="AK45" s="14">
        <f>SUMIFS('J Book Items Cons.'!R$5:R$3360,'J Book Items Cons.'!E$5:E$3360,2,'J Book Items Cons.'!S$5:S$3360,"",'J Book Items Cons.'!U$5:U$3360,"USCG",'J Book Items Cons.'!W$5:W$3360,"Coastal Buoy Tenders",'J Book Items Cons.'!R$5:R$3360,"&lt;&gt;")+SUMIFS('J Book Items Cons.'!N$5:N$3360,'J Book Items Cons.'!E$5:E$3360,2,'J Book Items Cons.'!S$5:S$3360,"",'J Book Items Cons.'!U$5:U$3360,"USCG",'J Book Items Cons.'!W$5:W$3360,"Coastal Buoy Tenders",'J Book Items Cons.'!R$5:R$3360,"",'J Book Items Cons.'!N$5:N$3360,"&lt;&gt;")+SUMIFS('J Book Items Cons.'!L$5:L$3360,'J Book Items Cons.'!E$5:E$3360,2,'J Book Items Cons.'!S$5:S$3360,"",'J Book Items Cons.'!U$5:U$3360,"USCG",'J Book Items Cons.'!W$5:W$3360,"Coastal Buoy Tenders",'J Book Items Cons.'!R$5:R$3360,"",'J Book Items Cons.'!N$5:N$3360,"")+SUMIFS('J Book Items Cons.'!R$5:R$3360,'J Book Items Cons.'!E$5:E$3360,2,'J Book Items Cons.'!S$5:S$3360,"[PARENT]",'J Book Items Cons.'!U$5:U$3360,"USCG",'J Book Items Cons.'!W$5:W$3360,"Coastal Buoy Tenders",'J Book Items Cons.'!R$5:R$3360,"&lt;&gt;")+SUMIFS('J Book Items Cons.'!N$5:N$3360,'J Book Items Cons.'!E$5:E$3360,2,'J Book Items Cons.'!S$5:S$3360,"[PARENT]",'J Book Items Cons.'!U$5:U$3360,"USCG",'J Book Items Cons.'!W$5:W$3360,"Coastal Buoy Tenders",'J Book Items Cons.'!R$5:R$3360,"",'J Book Items Cons.'!N$5:N$3360,"&lt;&gt;")+SUMIFS('J Book Items Cons.'!L$5:L$3360,'J Book Items Cons.'!E$5:E$3360,2,'J Book Items Cons.'!S$5:S$3360,"[PARENT]",'J Book Items Cons.'!U$5:U$3360,"USCG",'J Book Items Cons.'!W$5:W$3360,"Coastal Buoy Tenders",'J Book Items Cons.'!R$5:R$3360,"",'J Book Items Cons.'!N$5:N$3360,"")</f>
        <v>0</v>
      </c>
      <c r="AL45" s="26">
        <f>SUMIFS('J Book Items Cons.'!R$5:R$3360,'J Book Items Cons.'!E$5:E$3360,2,'J Book Items Cons.'!S$5:S$3360,"",'J Book Items Cons.'!U$5:U$3360,"USCG",'J Book Items Cons.'!W$5:W$3360,"Icebreakers, Great Lakes",'J Book Items Cons.'!R$5:R$3360,"&lt;&gt;")+SUMIFS('J Book Items Cons.'!N$5:N$3360,'J Book Items Cons.'!E$5:E$3360,2,'J Book Items Cons.'!S$5:S$3360,"",'J Book Items Cons.'!U$5:U$3360,"USCG",'J Book Items Cons.'!W$5:W$3360,"Icebreakers, Great Lakes",'J Book Items Cons.'!R$5:R$3360,"",'J Book Items Cons.'!N$5:N$3360,"&lt;&gt;")+SUMIFS('J Book Items Cons.'!L$5:L$3360,'J Book Items Cons.'!E$5:E$3360,2,'J Book Items Cons.'!S$5:S$3360,"",'J Book Items Cons.'!U$5:U$3360,"USCG",'J Book Items Cons.'!W$5:W$3360,"Icebreakers, Great Lakes",'J Book Items Cons.'!R$5:R$3360,"",'J Book Items Cons.'!N$5:N$3360,"")+SUMIFS('J Book Items Cons.'!R$5:R$3360,'J Book Items Cons.'!E$5:E$3360,2,'J Book Items Cons.'!S$5:S$3360,"[PARENT]",'J Book Items Cons.'!U$5:U$3360,"USCG",'J Book Items Cons.'!W$5:W$3360,"Icebreakers, Great Lakes",'J Book Items Cons.'!R$5:R$3360,"&lt;&gt;")+SUMIFS('J Book Items Cons.'!N$5:N$3360,'J Book Items Cons.'!E$5:E$3360,2,'J Book Items Cons.'!S$5:S$3360,"[PARENT]",'J Book Items Cons.'!U$5:U$3360,"USCG",'J Book Items Cons.'!W$5:W$3360,"Icebreakers, Great Lakes",'J Book Items Cons.'!R$5:R$3360,"",'J Book Items Cons.'!N$5:N$3360,"&lt;&gt;")+SUMIFS('J Book Items Cons.'!L$5:L$3360,'J Book Items Cons.'!E$5:E$3360,2,'J Book Items Cons.'!S$5:S$3360,"[PARENT]",'J Book Items Cons.'!U$5:U$3360,"USCG",'J Book Items Cons.'!W$5:W$3360,"Icebreakers, Great Lakes",'J Book Items Cons.'!R$5:R$3360,"",'J Book Items Cons.'!N$5:N$3360,"")</f>
        <v>0</v>
      </c>
      <c r="AM45" s="14">
        <f t="shared" si="3"/>
        <v>11778691</v>
      </c>
    </row>
    <row r="46" spans="1:42" x14ac:dyDescent="0.15">
      <c r="A46" s="7" t="s">
        <v>8824</v>
      </c>
      <c r="B46" s="25">
        <f>SUMIFS('J Book Items Cons.'!R$5:R$3360,'J Book Items Cons.'!E$5:E$3360,3,'J Book Items Cons.'!S$5:S$3360,"",'J Book Items Cons.'!U$5:U$3360,"USN",'J Book Items Cons.'!W$5:W$3360,"Submarines",'J Book Items Cons.'!R$5:R$3360,"&lt;&gt;")+SUMIFS('J Book Items Cons.'!N$5:N$3360,'J Book Items Cons.'!E$5:E$3360,3,'J Book Items Cons.'!S$5:S$3360,"",'J Book Items Cons.'!U$5:U$3360,"USN",'J Book Items Cons.'!W$5:W$3360,"Submarines",'J Book Items Cons.'!R$5:R$3360,"",'J Book Items Cons.'!N$5:N$3360,"&lt;&gt;")+SUMIFS('J Book Items Cons.'!L$5:L$3360,'J Book Items Cons.'!E$5:E$3360,3,'J Book Items Cons.'!S$5:S$3360,"",'J Book Items Cons.'!U$5:U$3360,"USN",'J Book Items Cons.'!W$5:W$3360,"Submarines",'J Book Items Cons.'!R$5:R$3360,"",'J Book Items Cons.'!N$5:N$3360,"")+SUMIFS('J Book Items Cons.'!R$5:R$3360,'J Book Items Cons.'!E$5:E$3360,3,'J Book Items Cons.'!S$5:S$3360,"[PARENT]",'J Book Items Cons.'!U$5:U$3360,"USN",'J Book Items Cons.'!W$5:W$3360,"Submarines",'J Book Items Cons.'!R$5:R$3360,"&lt;&gt;")+SUMIFS('J Book Items Cons.'!N$5:N$3360,'J Book Items Cons.'!E$5:E$3360,3,'J Book Items Cons.'!S$5:S$3360,"[PARENT]",'J Book Items Cons.'!U$5:U$3360,"USN",'J Book Items Cons.'!W$5:W$3360,"Submarines",'J Book Items Cons.'!R$5:R$3360,"",'J Book Items Cons.'!N$5:N$3360,"&lt;&gt;")+SUMIFS('J Book Items Cons.'!L$5:L$3360,'J Book Items Cons.'!E$5:E$3360,3,'J Book Items Cons.'!S$5:S$3360,"[PARENT]",'J Book Items Cons.'!U$5:U$3360,"USN",'J Book Items Cons.'!W$5:W$3360,"Submarines",'J Book Items Cons.'!R$5:R$3360,"",'J Book Items Cons.'!N$5:N$3360,"")</f>
        <v>0</v>
      </c>
      <c r="C46" s="14">
        <f>SUMIFS('J Book Items Cons.'!R$5:R$3360,'J Book Items Cons.'!E$5:E$3360,3,'J Book Items Cons.'!S$5:S$3360,"",'J Book Items Cons.'!U$5:U$3360,"USN",'J Book Items Cons.'!W$5:W$3360,"Surface Combatants",'J Book Items Cons.'!R$5:R$3360,"&lt;&gt;")+SUMIFS('J Book Items Cons.'!N$5:N$3360,'J Book Items Cons.'!E$5:E$3360,3,'J Book Items Cons.'!S$5:S$3360,"",'J Book Items Cons.'!U$5:U$3360,"USN",'J Book Items Cons.'!W$5:W$3360,"Surface Combatants",'J Book Items Cons.'!R$5:R$3360,"",'J Book Items Cons.'!N$5:N$3360,"&lt;&gt;")+SUMIFS('J Book Items Cons.'!L$5:L$3360,'J Book Items Cons.'!E$5:E$3360,3,'J Book Items Cons.'!S$5:S$3360,"",'J Book Items Cons.'!U$5:U$3360,"USN",'J Book Items Cons.'!W$5:W$3360,"Surface Combatants",'J Book Items Cons.'!R$5:R$3360,"",'J Book Items Cons.'!N$5:N$3360,"")+SUMIFS('J Book Items Cons.'!R$5:R$3360,'J Book Items Cons.'!E$5:E$3360,3,'J Book Items Cons.'!S$5:S$3360,"[PARENT]",'J Book Items Cons.'!U$5:U$3360,"USN",'J Book Items Cons.'!W$5:W$3360,"Surface Combatants",'J Book Items Cons.'!R$5:R$3360,"&lt;&gt;")+SUMIFS('J Book Items Cons.'!N$5:N$3360,'J Book Items Cons.'!E$5:E$3360,3,'J Book Items Cons.'!S$5:S$3360,"[PARENT]",'J Book Items Cons.'!U$5:U$3360,"USN",'J Book Items Cons.'!W$5:W$3360,"Surface Combatants",'J Book Items Cons.'!R$5:R$3360,"",'J Book Items Cons.'!N$5:N$3360,"&lt;&gt;")+SUMIFS('J Book Items Cons.'!L$5:L$3360,'J Book Items Cons.'!E$5:E$3360,3,'J Book Items Cons.'!S$5:S$3360,"[PARENT]",'J Book Items Cons.'!U$5:U$3360,"USN",'J Book Items Cons.'!W$5:W$3360,"Surface Combatants",'J Book Items Cons.'!R$5:R$3360,"",'J Book Items Cons.'!N$5:N$3360,"")</f>
        <v>206870</v>
      </c>
      <c r="D46" s="14">
        <f>SUMIFS('J Book Items Cons.'!R$5:R$3360,'J Book Items Cons.'!E$5:E$3360,3,'J Book Items Cons.'!S$5:S$3360,"",'J Book Items Cons.'!U$5:U$3360,"USN",'J Book Items Cons.'!W$5:W$3360,"Aircraft Carriers",'J Book Items Cons.'!R$5:R$3360,"&lt;&gt;")+SUMIFS('J Book Items Cons.'!N$5:N$3360,'J Book Items Cons.'!E$5:E$3360,3,'J Book Items Cons.'!S$5:S$3360,"",'J Book Items Cons.'!U$5:U$3360,"USN",'J Book Items Cons.'!W$5:W$3360,"Aircraft Carriers",'J Book Items Cons.'!R$5:R$3360,"",'J Book Items Cons.'!N$5:N$3360,"&lt;&gt;")+SUMIFS('J Book Items Cons.'!L$5:L$3360,'J Book Items Cons.'!E$5:E$3360,3,'J Book Items Cons.'!S$5:S$3360,"",'J Book Items Cons.'!U$5:U$3360,"USN",'J Book Items Cons.'!W$5:W$3360,"Aircraft Carriers",'J Book Items Cons.'!R$5:R$3360,"",'J Book Items Cons.'!N$5:N$3360,"")+SUMIFS('J Book Items Cons.'!R$5:R$3360,'J Book Items Cons.'!E$5:E$3360,3,'J Book Items Cons.'!S$5:S$3360,"[PARENT]",'J Book Items Cons.'!U$5:U$3360,"USN",'J Book Items Cons.'!W$5:W$3360,"Aircraft Carriers",'J Book Items Cons.'!R$5:R$3360,"&lt;&gt;")+SUMIFS('J Book Items Cons.'!N$5:N$3360,'J Book Items Cons.'!E$5:E$3360,3,'J Book Items Cons.'!S$5:S$3360,"[PARENT]",'J Book Items Cons.'!U$5:U$3360,"USN",'J Book Items Cons.'!W$5:W$3360,"Aircraft Carriers",'J Book Items Cons.'!R$5:R$3360,"",'J Book Items Cons.'!N$5:N$3360,"&lt;&gt;")+SUMIFS('J Book Items Cons.'!L$5:L$3360,'J Book Items Cons.'!E$5:E$3360,3,'J Book Items Cons.'!S$5:S$3360,"[PARENT]",'J Book Items Cons.'!U$5:U$3360,"USN",'J Book Items Cons.'!W$5:W$3360,"Aircraft Carriers",'J Book Items Cons.'!R$5:R$3360,"",'J Book Items Cons.'!N$5:N$3360,"")</f>
        <v>0</v>
      </c>
      <c r="E46" s="14">
        <f>SUMIFS('J Book Items Cons.'!R$5:R$3360,'J Book Items Cons.'!E$5:E$3360,3,'J Book Items Cons.'!S$5:S$3360,"",'J Book Items Cons.'!U$5:U$3360,"USN",'J Book Items Cons.'!W$5:W$3360,"Amphibious Warfare Ships",'J Book Items Cons.'!R$5:R$3360,"&lt;&gt;")+SUMIFS('J Book Items Cons.'!N$5:N$3360,'J Book Items Cons.'!E$5:E$3360,3,'J Book Items Cons.'!S$5:S$3360,"",'J Book Items Cons.'!U$5:U$3360,"USN",'J Book Items Cons.'!W$5:W$3360,"Amphibious Warfare Ships",'J Book Items Cons.'!R$5:R$3360,"",'J Book Items Cons.'!N$5:N$3360,"&lt;&gt;")+SUMIFS('J Book Items Cons.'!L$5:L$3360,'J Book Items Cons.'!E$5:E$3360,3,'J Book Items Cons.'!S$5:S$3360,"",'J Book Items Cons.'!U$5:U$3360,"USN",'J Book Items Cons.'!W$5:W$3360,"Amphibious Warfare Ships",'J Book Items Cons.'!R$5:R$3360,"",'J Book Items Cons.'!N$5:N$3360,"")+SUMIFS('J Book Items Cons.'!R$5:R$3360,'J Book Items Cons.'!E$5:E$3360,3,'J Book Items Cons.'!S$5:S$3360,"[PARENT]",'J Book Items Cons.'!U$5:U$3360,"USN",'J Book Items Cons.'!W$5:W$3360,"Amphibious Warfare Ships",'J Book Items Cons.'!R$5:R$3360,"&lt;&gt;")+SUMIFS('J Book Items Cons.'!N$5:N$3360,'J Book Items Cons.'!E$5:E$3360,3,'J Book Items Cons.'!S$5:S$3360,"[PARENT]",'J Book Items Cons.'!U$5:U$3360,"USN",'J Book Items Cons.'!W$5:W$3360,"Amphibious Warfare Ships",'J Book Items Cons.'!R$5:R$3360,"",'J Book Items Cons.'!N$5:N$3360,"&lt;&gt;")+SUMIFS('J Book Items Cons.'!L$5:L$3360,'J Book Items Cons.'!E$5:E$3360,3,'J Book Items Cons.'!S$5:S$3360,"[PARENT]",'J Book Items Cons.'!U$5:U$3360,"USN",'J Book Items Cons.'!W$5:W$3360,"Amphibious Warfare Ships",'J Book Items Cons.'!R$5:R$3360,"",'J Book Items Cons.'!N$5:N$3360,"")</f>
        <v>0</v>
      </c>
      <c r="F46" s="14">
        <f>SUMIFS('J Book Items Cons.'!R$5:R$3360,'J Book Items Cons.'!E$5:E$3360,3,'J Book Items Cons.'!S$5:S$3360,"",'J Book Items Cons.'!U$5:U$3360,"USN",'J Book Items Cons.'!W$5:W$3360,"Expeditionary &amp; Seabasing Ships",'J Book Items Cons.'!R$5:R$3360,"&lt;&gt;")+SUMIFS('J Book Items Cons.'!N$5:N$3360,'J Book Items Cons.'!E$5:E$3360,3,'J Book Items Cons.'!S$5:S$3360,"",'J Book Items Cons.'!U$5:U$3360,"USN",'J Book Items Cons.'!W$5:W$3360,"Expeditionary &amp; Seabasing Ships",'J Book Items Cons.'!R$5:R$3360,"",'J Book Items Cons.'!N$5:N$3360,"&lt;&gt;")+SUMIFS('J Book Items Cons.'!L$5:L$3360,'J Book Items Cons.'!E$5:E$3360,3,'J Book Items Cons.'!S$5:S$3360,"",'J Book Items Cons.'!U$5:U$3360,"USN",'J Book Items Cons.'!W$5:W$3360,"Expeditionary &amp; Seabasing Ships",'J Book Items Cons.'!R$5:R$3360,"",'J Book Items Cons.'!N$5:N$3360,"")+SUMIFS('J Book Items Cons.'!R$5:R$3360,'J Book Items Cons.'!E$5:E$3360,3,'J Book Items Cons.'!S$5:S$3360,"[PARENT]",'J Book Items Cons.'!U$5:U$3360,"USN",'J Book Items Cons.'!W$5:W$3360,"Expeditionary &amp; Seabasing Ships",'J Book Items Cons.'!R$5:R$3360,"&lt;&gt;")+SUMIFS('J Book Items Cons.'!N$5:N$3360,'J Book Items Cons.'!E$5:E$3360,3,'J Book Items Cons.'!S$5:S$3360,"[PARENT]",'J Book Items Cons.'!U$5:U$3360,"USN",'J Book Items Cons.'!W$5:W$3360,"Expeditionary &amp; Seabasing Ships",'J Book Items Cons.'!R$5:R$3360,"",'J Book Items Cons.'!N$5:N$3360,"&lt;&gt;")+SUMIFS('J Book Items Cons.'!L$5:L$3360,'J Book Items Cons.'!E$5:E$3360,3,'J Book Items Cons.'!S$5:S$3360,"[PARENT]",'J Book Items Cons.'!U$5:U$3360,"USN",'J Book Items Cons.'!W$5:W$3360,"Expeditionary &amp; Seabasing Ships",'J Book Items Cons.'!R$5:R$3360,"",'J Book Items Cons.'!N$5:N$3360,"")</f>
        <v>0</v>
      </c>
      <c r="G46" s="14">
        <f>SUMIFS('J Book Items Cons.'!R$5:R$3360,'J Book Items Cons.'!E$5:E$3360,3,'J Book Items Cons.'!S$5:S$3360,"",'J Book Items Cons.'!U$5:U$3360,"MSC",'J Book Items Cons.'!W$5:W$3360,"Combat Logistics Ships",'J Book Items Cons.'!R$5:R$3360,"&lt;&gt;")+SUMIFS('J Book Items Cons.'!N$5:N$3360,'J Book Items Cons.'!E$5:E$3360,3,'J Book Items Cons.'!S$5:S$3360,"",'J Book Items Cons.'!U$5:U$3360,"MSC",'J Book Items Cons.'!W$5:W$3360,"Combat Logistics Ships",'J Book Items Cons.'!R$5:R$3360,"",'J Book Items Cons.'!N$5:N$3360,"&lt;&gt;")+SUMIFS('J Book Items Cons.'!L$5:L$3360,'J Book Items Cons.'!E$5:E$3360,3,'J Book Items Cons.'!S$5:S$3360,"",'J Book Items Cons.'!U$5:U$3360,"MSC",'J Book Items Cons.'!W$5:W$3360,"Combat Logistics Ships",'J Book Items Cons.'!R$5:R$3360,"",'J Book Items Cons.'!N$5:N$3360,"")+SUMIFS('J Book Items Cons.'!R$5:R$3360,'J Book Items Cons.'!E$5:E$3360,3,'J Book Items Cons.'!S$5:S$3360,"[PARENT]",'J Book Items Cons.'!U$5:U$3360,"MSC",'J Book Items Cons.'!W$5:W$3360,"Combat Logistics Ships",'J Book Items Cons.'!R$5:R$3360,"&lt;&gt;")+SUMIFS('J Book Items Cons.'!N$5:N$3360,'J Book Items Cons.'!E$5:E$3360,3,'J Book Items Cons.'!S$5:S$3360,"[PARENT]",'J Book Items Cons.'!U$5:U$3360,"MSC",'J Book Items Cons.'!W$5:W$3360,"Combat Logistics Ships",'J Book Items Cons.'!R$5:R$3360,"",'J Book Items Cons.'!N$5:N$3360,"&lt;&gt;")+SUMIFS('J Book Items Cons.'!L$5:L$3360,'J Book Items Cons.'!E$5:E$3360,3,'J Book Items Cons.'!S$5:S$3360,"[PARENT]",'J Book Items Cons.'!U$5:U$3360,"MSC",'J Book Items Cons.'!W$5:W$3360,"Combat Logistics Ships",'J Book Items Cons.'!R$5:R$3360,"",'J Book Items Cons.'!N$5:N$3360,"")</f>
        <v>0</v>
      </c>
      <c r="H46" s="14">
        <f>SUMIFS('J Book Items Cons.'!R$5:R$3360,'J Book Items Cons.'!E$5:E$3360,3,'J Book Items Cons.'!S$5:S$3360,"",'J Book Items Cons.'!U$5:U$3360,"USN",'J Book Items Cons.'!W$5:W$3360,"Unmanned Surface Vehicles",'J Book Items Cons.'!R$5:R$3360,"&lt;&gt;")+SUMIFS('J Book Items Cons.'!N$5:N$3360,'J Book Items Cons.'!E$5:E$3360,3,'J Book Items Cons.'!S$5:S$3360,"",'J Book Items Cons.'!U$5:U$3360,"USN",'J Book Items Cons.'!W$5:W$3360,"Unmanned Surface Vehicles",'J Book Items Cons.'!R$5:R$3360,"",'J Book Items Cons.'!N$5:N$3360,"&lt;&gt;")+SUMIFS('J Book Items Cons.'!L$5:L$3360,'J Book Items Cons.'!E$5:E$3360,3,'J Book Items Cons.'!S$5:S$3360,"",'J Book Items Cons.'!U$5:U$3360,"USN",'J Book Items Cons.'!W$5:W$3360,"Unmanned Surface Vehicles",'J Book Items Cons.'!R$5:R$3360,"",'J Book Items Cons.'!N$5:N$3360,"")+SUMIFS('J Book Items Cons.'!R$5:R$3360,'J Book Items Cons.'!E$5:E$3360,3,'J Book Items Cons.'!S$5:S$3360,"[PARENT]",'J Book Items Cons.'!U$5:U$3360,"USN",'J Book Items Cons.'!W$5:W$3360,"Unmanned Surface Vehicles",'J Book Items Cons.'!R$5:R$3360,"&lt;&gt;")+SUMIFS('J Book Items Cons.'!N$5:N$3360,'J Book Items Cons.'!E$5:E$3360,3,'J Book Items Cons.'!S$5:S$3360,"[PARENT]",'J Book Items Cons.'!U$5:U$3360,"USN",'J Book Items Cons.'!W$5:W$3360,"Unmanned Surface Vehicles",'J Book Items Cons.'!R$5:R$3360,"",'J Book Items Cons.'!N$5:N$3360,"&lt;&gt;")+SUMIFS('J Book Items Cons.'!L$5:L$3360,'J Book Items Cons.'!E$5:E$3360,3,'J Book Items Cons.'!S$5:S$3360,"[PARENT]",'J Book Items Cons.'!U$5:U$3360,"USN",'J Book Items Cons.'!W$5:W$3360,"Unmanned Surface Vehicles",'J Book Items Cons.'!R$5:R$3360,"",'J Book Items Cons.'!N$5:N$3360,"")</f>
        <v>0</v>
      </c>
      <c r="I46" s="14">
        <f>SUMIFS('J Book Items Cons.'!R$5:R$3360,'J Book Items Cons.'!E$5:E$3360,3,'J Book Items Cons.'!S$5:S$3360,"",'J Book Items Cons.'!U$5:U$3360,"USN",'J Book Items Cons.'!W$5:W$3360,"Amphibious Warfare Craft",'J Book Items Cons.'!R$5:R$3360,"&lt;&gt;")+SUMIFS('J Book Items Cons.'!N$5:N$3360,'J Book Items Cons.'!E$5:E$3360,3,'J Book Items Cons.'!S$5:S$3360,"",'J Book Items Cons.'!U$5:U$3360,"USN",'J Book Items Cons.'!W$5:W$3360,"Amphibious Warfare Craft",'J Book Items Cons.'!R$5:R$3360,"",'J Book Items Cons.'!N$5:N$3360,"&lt;&gt;")+SUMIFS('J Book Items Cons.'!L$5:L$3360,'J Book Items Cons.'!E$5:E$3360,3,'J Book Items Cons.'!S$5:S$3360,"",'J Book Items Cons.'!U$5:U$3360,"USN",'J Book Items Cons.'!W$5:W$3360,"Amphibious Warfare Craft",'J Book Items Cons.'!R$5:R$3360,"",'J Book Items Cons.'!N$5:N$3360,"")+SUMIFS('J Book Items Cons.'!R$5:R$3360,'J Book Items Cons.'!E$5:E$3360,3,'J Book Items Cons.'!S$5:S$3360,"[PARENT]",'J Book Items Cons.'!U$5:U$3360,"USN",'J Book Items Cons.'!W$5:W$3360,"Amphibious Warfare Craft",'J Book Items Cons.'!R$5:R$3360,"&lt;&gt;")+SUMIFS('J Book Items Cons.'!N$5:N$3360,'J Book Items Cons.'!E$5:E$3360,3,'J Book Items Cons.'!S$5:S$3360,"[PARENT]",'J Book Items Cons.'!U$5:U$3360,"USN",'J Book Items Cons.'!W$5:W$3360,"Amphibious Warfare Craft",'J Book Items Cons.'!R$5:R$3360,"",'J Book Items Cons.'!N$5:N$3360,"&lt;&gt;")+SUMIFS('J Book Items Cons.'!L$5:L$3360,'J Book Items Cons.'!E$5:E$3360,3,'J Book Items Cons.'!S$5:S$3360,"[PARENT]",'J Book Items Cons.'!U$5:U$3360,"USN",'J Book Items Cons.'!W$5:W$3360,"Amphibious Warfare Craft",'J Book Items Cons.'!R$5:R$3360,"",'J Book Items Cons.'!N$5:N$3360,"")</f>
        <v>7952</v>
      </c>
      <c r="J46" s="14">
        <f>SUMIFS('J Book Items Cons.'!R$5:R$3360,'J Book Items Cons.'!E$5:E$3360,3,'J Book Items Cons.'!S$5:S$3360,"",'J Book Items Cons.'!U$5:U$3360,"MSC",'J Book Items Cons.'!W$5:W$3360,"Cargo &amp; Vehicle Cargo Ships",'J Book Items Cons.'!R$5:R$3360,"&lt;&gt;")+SUMIFS('J Book Items Cons.'!N$5:N$3360,'J Book Items Cons.'!E$5:E$3360,3,'J Book Items Cons.'!S$5:S$3360,"",'J Book Items Cons.'!U$5:U$3360,"MSC",'J Book Items Cons.'!W$5:W$3360,"Cargo &amp; Vehicle Cargo Ships",'J Book Items Cons.'!R$5:R$3360,"",'J Book Items Cons.'!N$5:N$3360,"&lt;&gt;")+SUMIFS('J Book Items Cons.'!L$5:L$3360,'J Book Items Cons.'!E$5:E$3360,3,'J Book Items Cons.'!S$5:S$3360,"",'J Book Items Cons.'!U$5:U$3360,"MSC",'J Book Items Cons.'!W$5:W$3360,"Cargo &amp; Vehicle Cargo Ships",'J Book Items Cons.'!R$5:R$3360,"",'J Book Items Cons.'!N$5:N$3360,"")+SUMIFS('J Book Items Cons.'!R$5:R$3360,'J Book Items Cons.'!E$5:E$3360,3,'J Book Items Cons.'!S$5:S$3360,"[PARENT]",'J Book Items Cons.'!U$5:U$3360,"MSC",'J Book Items Cons.'!W$5:W$3360,"Cargo &amp; Vehicle Cargo Ships",'J Book Items Cons.'!R$5:R$3360,"&lt;&gt;")+SUMIFS('J Book Items Cons.'!N$5:N$3360,'J Book Items Cons.'!E$5:E$3360,3,'J Book Items Cons.'!S$5:S$3360,"[PARENT]",'J Book Items Cons.'!U$5:U$3360,"MSC",'J Book Items Cons.'!W$5:W$3360,"Cargo &amp; Vehicle Cargo Ships",'J Book Items Cons.'!R$5:R$3360,"",'J Book Items Cons.'!N$5:N$3360,"&lt;&gt;")+SUMIFS('J Book Items Cons.'!L$5:L$3360,'J Book Items Cons.'!E$5:E$3360,3,'J Book Items Cons.'!S$5:S$3360,"[PARENT]",'J Book Items Cons.'!U$5:U$3360,"MSC",'J Book Items Cons.'!W$5:W$3360,"Cargo &amp; Vehicle Cargo Ships",'J Book Items Cons.'!R$5:R$3360,"",'J Book Items Cons.'!N$5:N$3360,"")</f>
        <v>0</v>
      </c>
      <c r="K46" s="14">
        <f>SUMIFS('J Book Items Cons.'!R$5:R$3360,'J Book Items Cons.'!E$5:E$3360,3,'J Book Items Cons.'!S$5:S$3360,"",'J Book Items Cons.'!U$5:U$3360,"MSC",'J Book Items Cons.'!W$5:W$3360,"Surveillance Ships",'J Book Items Cons.'!R$5:R$3360,"&lt;&gt;")+SUMIFS('J Book Items Cons.'!N$5:N$3360,'J Book Items Cons.'!E$5:E$3360,3,'J Book Items Cons.'!S$5:S$3360,"",'J Book Items Cons.'!U$5:U$3360,"MSC",'J Book Items Cons.'!W$5:W$3360,"Surveillance Ships",'J Book Items Cons.'!R$5:R$3360,"",'J Book Items Cons.'!N$5:N$3360,"&lt;&gt;")+SUMIFS('J Book Items Cons.'!L$5:L$3360,'J Book Items Cons.'!E$5:E$3360,3,'J Book Items Cons.'!S$5:S$3360,"",'J Book Items Cons.'!U$5:U$3360,"MSC",'J Book Items Cons.'!W$5:W$3360,"Surveillance Ships",'J Book Items Cons.'!R$5:R$3360,"",'J Book Items Cons.'!N$5:N$3360,"")+SUMIFS('J Book Items Cons.'!R$5:R$3360,'J Book Items Cons.'!E$5:E$3360,3,'J Book Items Cons.'!S$5:S$3360,"[PARENT]",'J Book Items Cons.'!U$5:U$3360,"MSC",'J Book Items Cons.'!W$5:W$3360,"Surveillance Ships",'J Book Items Cons.'!R$5:R$3360,"&lt;&gt;")+SUMIFS('J Book Items Cons.'!N$5:N$3360,'J Book Items Cons.'!E$5:E$3360,3,'J Book Items Cons.'!S$5:S$3360,"[PARENT]",'J Book Items Cons.'!U$5:U$3360,"MSC",'J Book Items Cons.'!W$5:W$3360,"Surveillance Ships",'J Book Items Cons.'!R$5:R$3360,"",'J Book Items Cons.'!N$5:N$3360,"&lt;&gt;")+SUMIFS('J Book Items Cons.'!L$5:L$3360,'J Book Items Cons.'!E$5:E$3360,3,'J Book Items Cons.'!S$5:S$3360,"[PARENT]",'J Book Items Cons.'!U$5:U$3360,"MSC",'J Book Items Cons.'!W$5:W$3360,"Surveillance Ships",'J Book Items Cons.'!R$5:R$3360,"",'J Book Items Cons.'!N$5:N$3360,"")</f>
        <v>0</v>
      </c>
      <c r="L46" s="14">
        <f>SUMIFS('J Book Items Cons.'!R$5:R$3360,'J Book Items Cons.'!E$5:E$3360,3,'J Book Items Cons.'!S$5:S$3360,"",'J Book Items Cons.'!U$5:U$3360,"USN",'J Book Items Cons.'!W$5:W$3360,"Unmanned Undersea Vehicles",'J Book Items Cons.'!R$5:R$3360,"&lt;&gt;")+SUMIFS('J Book Items Cons.'!N$5:N$3360,'J Book Items Cons.'!E$5:E$3360,3,'J Book Items Cons.'!S$5:S$3360,"",'J Book Items Cons.'!U$5:U$3360,"USN",'J Book Items Cons.'!W$5:W$3360,"Unmanned Undersea Vehicles",'J Book Items Cons.'!R$5:R$3360,"",'J Book Items Cons.'!N$5:N$3360,"&lt;&gt;")+SUMIFS('J Book Items Cons.'!L$5:L$3360,'J Book Items Cons.'!E$5:E$3360,3,'J Book Items Cons.'!S$5:S$3360,"",'J Book Items Cons.'!U$5:U$3360,"USN",'J Book Items Cons.'!W$5:W$3360,"Unmanned Undersea Vehicles",'J Book Items Cons.'!R$5:R$3360,"",'J Book Items Cons.'!N$5:N$3360,"")+SUMIFS('J Book Items Cons.'!R$5:R$3360,'J Book Items Cons.'!E$5:E$3360,3,'J Book Items Cons.'!S$5:S$3360,"[PARENT]",'J Book Items Cons.'!U$5:U$3360,"USN",'J Book Items Cons.'!W$5:W$3360,"Unmanned Undersea Vehicles",'J Book Items Cons.'!R$5:R$3360,"&lt;&gt;")+SUMIFS('J Book Items Cons.'!N$5:N$3360,'J Book Items Cons.'!E$5:E$3360,3,'J Book Items Cons.'!S$5:S$3360,"[PARENT]",'J Book Items Cons.'!U$5:U$3360,"USN",'J Book Items Cons.'!W$5:W$3360,"Unmanned Undersea Vehicles",'J Book Items Cons.'!R$5:R$3360,"",'J Book Items Cons.'!N$5:N$3360,"&lt;&gt;")+SUMIFS('J Book Items Cons.'!L$5:L$3360,'J Book Items Cons.'!E$5:E$3360,3,'J Book Items Cons.'!S$5:S$3360,"[PARENT]",'J Book Items Cons.'!U$5:U$3360,"USN",'J Book Items Cons.'!W$5:W$3360,"Unmanned Undersea Vehicles",'J Book Items Cons.'!R$5:R$3360,"",'J Book Items Cons.'!N$5:N$3360,"")</f>
        <v>0</v>
      </c>
      <c r="M46" s="14">
        <f>SUMIFS('J Book Items Cons.'!R$5:R$3360,'J Book Items Cons.'!E$5:E$3360,3,'J Book Items Cons.'!S$5:S$3360,"",'J Book Items Cons.'!U$5:U$3360,"MSC",'J Book Items Cons.'!W$5:W$3360,"Salvage Ships &amp; Fleet Ocean Tugs",'J Book Items Cons.'!R$5:R$3360,"&lt;&gt;")+SUMIFS('J Book Items Cons.'!N$5:N$3360,'J Book Items Cons.'!E$5:E$3360,3,'J Book Items Cons.'!S$5:S$3360,"",'J Book Items Cons.'!U$5:U$3360,"MSC",'J Book Items Cons.'!W$5:W$3360,"Salvage Ships &amp; Fleet Ocean Tugs",'J Book Items Cons.'!R$5:R$3360,"",'J Book Items Cons.'!N$5:N$3360,"&lt;&gt;")+SUMIFS('J Book Items Cons.'!L$5:L$3360,'J Book Items Cons.'!E$5:E$3360,3,'J Book Items Cons.'!S$5:S$3360,"",'J Book Items Cons.'!U$5:U$3360,"MSC",'J Book Items Cons.'!W$5:W$3360,"Salvage Ships &amp; Fleet Ocean Tugs",'J Book Items Cons.'!R$5:R$3360,"",'J Book Items Cons.'!N$5:N$3360,"")+SUMIFS('J Book Items Cons.'!R$5:R$3360,'J Book Items Cons.'!E$5:E$3360,3,'J Book Items Cons.'!S$5:S$3360,"[PARENT]",'J Book Items Cons.'!U$5:U$3360,"MSC",'J Book Items Cons.'!W$5:W$3360,"Salvage Ships &amp; Fleet Ocean Tugs",'J Book Items Cons.'!R$5:R$3360,"&lt;&gt;")+SUMIFS('J Book Items Cons.'!N$5:N$3360,'J Book Items Cons.'!E$5:E$3360,3,'J Book Items Cons.'!S$5:S$3360,"[PARENT]",'J Book Items Cons.'!U$5:U$3360,"MSC",'J Book Items Cons.'!W$5:W$3360,"Salvage Ships &amp; Fleet Ocean Tugs",'J Book Items Cons.'!R$5:R$3360,"",'J Book Items Cons.'!N$5:N$3360,"&lt;&gt;")+SUMIFS('J Book Items Cons.'!L$5:L$3360,'J Book Items Cons.'!E$5:E$3360,3,'J Book Items Cons.'!S$5:S$3360,"[PARENT]",'J Book Items Cons.'!U$5:U$3360,"MSC",'J Book Items Cons.'!W$5:W$3360,"Salvage Ships &amp; Fleet Ocean Tugs",'J Book Items Cons.'!R$5:R$3360,"",'J Book Items Cons.'!N$5:N$3360,"")</f>
        <v>0</v>
      </c>
      <c r="N46" s="14">
        <f>SUMIFS('J Book Items Cons.'!R$5:R$3360,'J Book Items Cons.'!E$5:E$3360,3,'J Book Items Cons.'!S$5:S$3360,"",'J Book Items Cons.'!U$5:U$3360,"USN",'J Book Items Cons.'!W$5:W$3360,"Other Craft, Non-Self-Propelled",'J Book Items Cons.'!R$5:R$3360,"&lt;&gt;")+SUMIFS('J Book Items Cons.'!N$5:N$3360,'J Book Items Cons.'!E$5:E$3360,3,'J Book Items Cons.'!S$5:S$3360,"",'J Book Items Cons.'!U$5:U$3360,"USN",'J Book Items Cons.'!W$5:W$3360,"Other Craft, Non-Self-Propelled",'J Book Items Cons.'!R$5:R$3360,"",'J Book Items Cons.'!N$5:N$3360,"&lt;&gt;")+SUMIFS('J Book Items Cons.'!L$5:L$3360,'J Book Items Cons.'!E$5:E$3360,3,'J Book Items Cons.'!S$5:S$3360,"",'J Book Items Cons.'!U$5:U$3360,"USN",'J Book Items Cons.'!W$5:W$3360,"Other Craft, Non-Self-Propelled",'J Book Items Cons.'!R$5:R$3360,"",'J Book Items Cons.'!N$5:N$3360,"")+SUMIFS('J Book Items Cons.'!R$5:R$3360,'J Book Items Cons.'!E$5:E$3360,3,'J Book Items Cons.'!S$5:S$3360,"[PARENT]",'J Book Items Cons.'!U$5:U$3360,"USN",'J Book Items Cons.'!W$5:W$3360,"Other Craft, Non-Self-Propelled",'J Book Items Cons.'!R$5:R$3360,"&lt;&gt;")+SUMIFS('J Book Items Cons.'!N$5:N$3360,'J Book Items Cons.'!E$5:E$3360,3,'J Book Items Cons.'!S$5:S$3360,"[PARENT]",'J Book Items Cons.'!U$5:U$3360,"USN",'J Book Items Cons.'!W$5:W$3360,"Other Craft, Non-Self-Propelled",'J Book Items Cons.'!R$5:R$3360,"",'J Book Items Cons.'!N$5:N$3360,"&lt;&gt;")+SUMIFS('J Book Items Cons.'!L$5:L$3360,'J Book Items Cons.'!E$5:E$3360,3,'J Book Items Cons.'!S$5:S$3360,"[PARENT]",'J Book Items Cons.'!U$5:U$3360,"USN",'J Book Items Cons.'!W$5:W$3360,"Other Craft, Non-Self-Propelled",'J Book Items Cons.'!R$5:R$3360,"",'J Book Items Cons.'!N$5:N$3360,"")</f>
        <v>0</v>
      </c>
      <c r="O46" s="14">
        <f>SUMIFS('J Book Items Cons.'!R$5:R$3360,'J Book Items Cons.'!E$5:E$3360,3,'J Book Items Cons.'!S$5:S$3360,"",'J Book Items Cons.'!U$5:U$3360,"USN",'J Book Items Cons.'!W$5:W$3360,"Command Ships",'J Book Items Cons.'!R$5:R$3360,"&lt;&gt;")+SUMIFS('J Book Items Cons.'!N$5:N$3360,'J Book Items Cons.'!E$5:E$3360,3,'J Book Items Cons.'!S$5:S$3360,"",'J Book Items Cons.'!U$5:U$3360,"USN",'J Book Items Cons.'!W$5:W$3360,"Command Ships",'J Book Items Cons.'!R$5:R$3360,"",'J Book Items Cons.'!N$5:N$3360,"&lt;&gt;")+SUMIFS('J Book Items Cons.'!L$5:L$3360,'J Book Items Cons.'!E$5:E$3360,3,'J Book Items Cons.'!S$5:S$3360,"",'J Book Items Cons.'!U$5:U$3360,"USN",'J Book Items Cons.'!W$5:W$3360,"Command Ships",'J Book Items Cons.'!R$5:R$3360,"",'J Book Items Cons.'!N$5:N$3360,"")+SUMIFS('J Book Items Cons.'!R$5:R$3360,'J Book Items Cons.'!E$5:E$3360,3,'J Book Items Cons.'!S$5:S$3360,"[PARENT]",'J Book Items Cons.'!U$5:U$3360,"USN",'J Book Items Cons.'!W$5:W$3360,"Command Ships",'J Book Items Cons.'!R$5:R$3360,"&lt;&gt;")+SUMIFS('J Book Items Cons.'!N$5:N$3360,'J Book Items Cons.'!E$5:E$3360,3,'J Book Items Cons.'!S$5:S$3360,"[PARENT]",'J Book Items Cons.'!U$5:U$3360,"USN",'J Book Items Cons.'!W$5:W$3360,"Command Ships",'J Book Items Cons.'!R$5:R$3360,"",'J Book Items Cons.'!N$5:N$3360,"&lt;&gt;")+SUMIFS('J Book Items Cons.'!L$5:L$3360,'J Book Items Cons.'!E$5:E$3360,3,'J Book Items Cons.'!S$5:S$3360,"[PARENT]",'J Book Items Cons.'!U$5:U$3360,"USN",'J Book Items Cons.'!W$5:W$3360,"Command Ships",'J Book Items Cons.'!R$5:R$3360,"",'J Book Items Cons.'!N$5:N$3360,"")</f>
        <v>0</v>
      </c>
      <c r="P46" s="14">
        <f>SUMIFS('J Book Items Cons.'!R$5:R$3360,'J Book Items Cons.'!E$5:E$3360,3,'J Book Items Cons.'!S$5:S$3360,"",'J Book Items Cons.'!U$5:U$3360,"USN",'J Book Items Cons.'!W$5:W$3360,"Mine Warfare",'J Book Items Cons.'!R$5:R$3360,"&lt;&gt;")+SUMIFS('J Book Items Cons.'!N$5:N$3360,'J Book Items Cons.'!E$5:E$3360,3,'J Book Items Cons.'!S$5:S$3360,"",'J Book Items Cons.'!U$5:U$3360,"USN",'J Book Items Cons.'!W$5:W$3360,"Mine Warfare",'J Book Items Cons.'!R$5:R$3360,"",'J Book Items Cons.'!N$5:N$3360,"&lt;&gt;")+SUMIFS('J Book Items Cons.'!L$5:L$3360,'J Book Items Cons.'!E$5:E$3360,3,'J Book Items Cons.'!S$5:S$3360,"",'J Book Items Cons.'!U$5:U$3360,"USN",'J Book Items Cons.'!W$5:W$3360,"Mine Warfare",'J Book Items Cons.'!R$5:R$3360,"",'J Book Items Cons.'!N$5:N$3360,"")+SUMIFS('J Book Items Cons.'!R$5:R$3360,'J Book Items Cons.'!E$5:E$3360,3,'J Book Items Cons.'!S$5:S$3360,"[PARENT]",'J Book Items Cons.'!U$5:U$3360,"USN",'J Book Items Cons.'!W$5:W$3360,"Mine Warfare",'J Book Items Cons.'!R$5:R$3360,"&lt;&gt;")+SUMIFS('J Book Items Cons.'!N$5:N$3360,'J Book Items Cons.'!E$5:E$3360,3,'J Book Items Cons.'!S$5:S$3360,"[PARENT]",'J Book Items Cons.'!U$5:U$3360,"USN",'J Book Items Cons.'!W$5:W$3360,"Mine Warfare",'J Book Items Cons.'!R$5:R$3360,"",'J Book Items Cons.'!N$5:N$3360,"&lt;&gt;")+SUMIFS('J Book Items Cons.'!L$5:L$3360,'J Book Items Cons.'!E$5:E$3360,3,'J Book Items Cons.'!S$5:S$3360,"[PARENT]",'J Book Items Cons.'!U$5:U$3360,"USN",'J Book Items Cons.'!W$5:W$3360,"Mine Warfare",'J Book Items Cons.'!R$5:R$3360,"",'J Book Items Cons.'!N$5:N$3360,"")</f>
        <v>1068</v>
      </c>
      <c r="Q46" s="14">
        <f>SUMIFS('J Book Items Cons.'!R$5:R$3360,'J Book Items Cons.'!E$5:E$3360,3,'J Book Items Cons.'!S$5:S$3360,"",'J Book Items Cons.'!U$5:U$3360,"USN",'J Book Items Cons.'!W$5:W$3360,"Patrol Combatant",'J Book Items Cons.'!R$5:R$3360,"&lt;&gt;")+SUMIFS('J Book Items Cons.'!N$5:N$3360,'J Book Items Cons.'!E$5:E$3360,3,'J Book Items Cons.'!S$5:S$3360,"",'J Book Items Cons.'!U$5:U$3360,"USN",'J Book Items Cons.'!W$5:W$3360,"Patrol Combatant",'J Book Items Cons.'!R$5:R$3360,"",'J Book Items Cons.'!N$5:N$3360,"&lt;&gt;")+SUMIFS('J Book Items Cons.'!L$5:L$3360,'J Book Items Cons.'!E$5:E$3360,3,'J Book Items Cons.'!S$5:S$3360,"",'J Book Items Cons.'!U$5:U$3360,"USN",'J Book Items Cons.'!W$5:W$3360,"Patrol Combatant",'J Book Items Cons.'!R$5:R$3360,"",'J Book Items Cons.'!N$5:N$3360,"")+SUMIFS('J Book Items Cons.'!R$5:R$3360,'J Book Items Cons.'!E$5:E$3360,3,'J Book Items Cons.'!S$5:S$3360,"[PARENT]",'J Book Items Cons.'!U$5:U$3360,"USN",'J Book Items Cons.'!W$5:W$3360,"Patrol Combatant",'J Book Items Cons.'!R$5:R$3360,"&lt;&gt;")+SUMIFS('J Book Items Cons.'!N$5:N$3360,'J Book Items Cons.'!E$5:E$3360,3,'J Book Items Cons.'!S$5:S$3360,"[PARENT]",'J Book Items Cons.'!U$5:U$3360,"USN",'J Book Items Cons.'!W$5:W$3360,"Patrol Combatant",'J Book Items Cons.'!R$5:R$3360,"",'J Book Items Cons.'!N$5:N$3360,"&lt;&gt;")+SUMIFS('J Book Items Cons.'!L$5:L$3360,'J Book Items Cons.'!E$5:E$3360,3,'J Book Items Cons.'!S$5:S$3360,"[PARENT]",'J Book Items Cons.'!U$5:U$3360,"USN",'J Book Items Cons.'!W$5:W$3360,"Patrol Combatant",'J Book Items Cons.'!R$5:R$3360,"",'J Book Items Cons.'!N$5:N$3360,"")</f>
        <v>0</v>
      </c>
      <c r="R46" s="14">
        <f>SUMIFS('J Book Items Cons.'!R$5:R$3360,'J Book Items Cons.'!E$5:E$3360,3,'J Book Items Cons.'!S$5:S$3360,"",'J Book Items Cons.'!U$5:U$3360,"USN",'J Book Items Cons.'!W$5:W$3360,"Aviation Logistics Support Ship",'J Book Items Cons.'!R$5:R$3360,"&lt;&gt;")+SUMIFS('J Book Items Cons.'!N$5:N$3360,'J Book Items Cons.'!E$5:E$3360,3,'J Book Items Cons.'!S$5:S$3360,"",'J Book Items Cons.'!U$5:U$3360,"USN",'J Book Items Cons.'!W$5:W$3360,"Aviation Logistics Support Ship",'J Book Items Cons.'!R$5:R$3360,"",'J Book Items Cons.'!N$5:N$3360,"&lt;&gt;")+SUMIFS('J Book Items Cons.'!L$5:L$3360,'J Book Items Cons.'!E$5:E$3360,3,'J Book Items Cons.'!S$5:S$3360,"",'J Book Items Cons.'!U$5:U$3360,"USN",'J Book Items Cons.'!W$5:W$3360,"Aviation Logistics Support Ship",'J Book Items Cons.'!R$5:R$3360,"",'J Book Items Cons.'!N$5:N$3360,"")+SUMIFS('J Book Items Cons.'!R$5:R$3360,'J Book Items Cons.'!E$5:E$3360,3,'J Book Items Cons.'!S$5:S$3360,"[PARENT]",'J Book Items Cons.'!U$5:U$3360,"USN",'J Book Items Cons.'!W$5:W$3360,"Aviation Logistics Support Ship",'J Book Items Cons.'!R$5:R$3360,"&lt;&gt;")+SUMIFS('J Book Items Cons.'!N$5:N$3360,'J Book Items Cons.'!E$5:E$3360,3,'J Book Items Cons.'!S$5:S$3360,"[PARENT]",'J Book Items Cons.'!U$5:U$3360,"USN",'J Book Items Cons.'!W$5:W$3360,"Aviation Logistics Support Ship",'J Book Items Cons.'!R$5:R$3360,"",'J Book Items Cons.'!N$5:N$3360,"&lt;&gt;")+SUMIFS('J Book Items Cons.'!L$5:L$3360,'J Book Items Cons.'!E$5:E$3360,3,'J Book Items Cons.'!S$5:S$3360,"[PARENT]",'J Book Items Cons.'!U$5:U$3360,"USN",'J Book Items Cons.'!W$5:W$3360,"Aviation Logistics Support Ship",'J Book Items Cons.'!R$5:R$3360,"",'J Book Items Cons.'!N$5:N$3360,"")</f>
        <v>0</v>
      </c>
      <c r="S46" s="14">
        <f>SUMIFS('J Book Items Cons.'!R$5:R$3360,'J Book Items Cons.'!E$5:E$3360,3,'J Book Items Cons.'!S$5:S$3360,"",'J Book Items Cons.'!U$5:U$3360,"USN",'J Book Items Cons.'!W$5:W$3360,"Cargo &amp; Vehicle Cargo Ships",'J Book Items Cons.'!R$5:R$3360,"&lt;&gt;")+SUMIFS('J Book Items Cons.'!N$5:N$3360,'J Book Items Cons.'!E$5:E$3360,3,'J Book Items Cons.'!S$5:S$3360,"",'J Book Items Cons.'!U$5:U$3360,"USN",'J Book Items Cons.'!W$5:W$3360,"Cargo &amp; Vehicle Cargo Ships",'J Book Items Cons.'!R$5:R$3360,"",'J Book Items Cons.'!N$5:N$3360,"&lt;&gt;")+SUMIFS('J Book Items Cons.'!L$5:L$3360,'J Book Items Cons.'!E$5:E$3360,3,'J Book Items Cons.'!S$5:S$3360,"",'J Book Items Cons.'!U$5:U$3360,"USN",'J Book Items Cons.'!W$5:W$3360,"Cargo &amp; Vehicle Cargo Ships",'J Book Items Cons.'!R$5:R$3360,"",'J Book Items Cons.'!N$5:N$3360,"")+SUMIFS('J Book Items Cons.'!R$5:R$3360,'J Book Items Cons.'!E$5:E$3360,3,'J Book Items Cons.'!S$5:S$3360,"[PARENT]",'J Book Items Cons.'!U$5:U$3360,"USN",'J Book Items Cons.'!W$5:W$3360,"Cargo &amp; Vehicle Cargo Ships",'J Book Items Cons.'!R$5:R$3360,"&lt;&gt;")+SUMIFS('J Book Items Cons.'!N$5:N$3360,'J Book Items Cons.'!E$5:E$3360,3,'J Book Items Cons.'!S$5:S$3360,"[PARENT]",'J Book Items Cons.'!U$5:U$3360,"USN",'J Book Items Cons.'!W$5:W$3360,"Cargo &amp; Vehicle Cargo Ships",'J Book Items Cons.'!R$5:R$3360,"",'J Book Items Cons.'!N$5:N$3360,"&lt;&gt;")+SUMIFS('J Book Items Cons.'!L$5:L$3360,'J Book Items Cons.'!E$5:E$3360,3,'J Book Items Cons.'!S$5:S$3360,"[PARENT]",'J Book Items Cons.'!U$5:U$3360,"USN",'J Book Items Cons.'!W$5:W$3360,"Cargo &amp; Vehicle Cargo Ships",'J Book Items Cons.'!R$5:R$3360,"",'J Book Items Cons.'!N$5:N$3360,"")</f>
        <v>0</v>
      </c>
      <c r="T46" s="14">
        <f>SUMIFS('J Book Items Cons.'!R$5:R$3360,'J Book Items Cons.'!E$5:E$3360,3,'J Book Items Cons.'!S$5:S$3360,"",'J Book Items Cons.'!U$5:U$3360,"USN",'J Book Items Cons.'!W$5:W$3360,"Combat Logistics Ships",'J Book Items Cons.'!R$5:R$3360,"&lt;&gt;")+SUMIFS('J Book Items Cons.'!N$5:N$3360,'J Book Items Cons.'!E$5:E$3360,3,'J Book Items Cons.'!S$5:S$3360,"",'J Book Items Cons.'!U$5:U$3360,"USN",'J Book Items Cons.'!W$5:W$3360,"Combat Logistics Ships",'J Book Items Cons.'!R$5:R$3360,"",'J Book Items Cons.'!N$5:N$3360,"&lt;&gt;")+SUMIFS('J Book Items Cons.'!L$5:L$3360,'J Book Items Cons.'!E$5:E$3360,3,'J Book Items Cons.'!S$5:S$3360,"",'J Book Items Cons.'!U$5:U$3360,"USN",'J Book Items Cons.'!W$5:W$3360,"Combat Logistics Ships",'J Book Items Cons.'!R$5:R$3360,"",'J Book Items Cons.'!N$5:N$3360,"")+SUMIFS('J Book Items Cons.'!R$5:R$3360,'J Book Items Cons.'!E$5:E$3360,3,'J Book Items Cons.'!S$5:S$3360,"[PARENT]",'J Book Items Cons.'!U$5:U$3360,"USN",'J Book Items Cons.'!W$5:W$3360,"Combat Logistics Ships",'J Book Items Cons.'!R$5:R$3360,"&lt;&gt;")+SUMIFS('J Book Items Cons.'!N$5:N$3360,'J Book Items Cons.'!E$5:E$3360,3,'J Book Items Cons.'!S$5:S$3360,"[PARENT]",'J Book Items Cons.'!U$5:U$3360,"USN",'J Book Items Cons.'!W$5:W$3360,"Combat Logistics Ships",'J Book Items Cons.'!R$5:R$3360,"",'J Book Items Cons.'!N$5:N$3360,"&lt;&gt;")+SUMIFS('J Book Items Cons.'!L$5:L$3360,'J Book Items Cons.'!E$5:E$3360,3,'J Book Items Cons.'!S$5:S$3360,"[PARENT]",'J Book Items Cons.'!U$5:U$3360,"USN",'J Book Items Cons.'!W$5:W$3360,"Combat Logistics Ships",'J Book Items Cons.'!R$5:R$3360,"",'J Book Items Cons.'!N$5:N$3360,"")</f>
        <v>0</v>
      </c>
      <c r="U46" s="14">
        <f>SUMIFS('J Book Items Cons.'!R$5:R$3360,'J Book Items Cons.'!E$5:E$3360,3,'J Book Items Cons.'!S$5:S$3360,"",'J Book Items Cons.'!U$5:U$3360,"USN",'J Book Items Cons.'!W$5:W$3360,"Crane Ship",'J Book Items Cons.'!R$5:R$3360,"&lt;&gt;")+SUMIFS('J Book Items Cons.'!N$5:N$3360,'J Book Items Cons.'!E$5:E$3360,3,'J Book Items Cons.'!S$5:S$3360,"",'J Book Items Cons.'!U$5:U$3360,"USN",'J Book Items Cons.'!W$5:W$3360,"Crane Ship",'J Book Items Cons.'!R$5:R$3360,"",'J Book Items Cons.'!N$5:N$3360,"&lt;&gt;")+SUMIFS('J Book Items Cons.'!L$5:L$3360,'J Book Items Cons.'!E$5:E$3360,3,'J Book Items Cons.'!S$5:S$3360,"",'J Book Items Cons.'!U$5:U$3360,"USN",'J Book Items Cons.'!W$5:W$3360,"Crane Ship",'J Book Items Cons.'!R$5:R$3360,"",'J Book Items Cons.'!N$5:N$3360,"")+SUMIFS('J Book Items Cons.'!R$5:R$3360,'J Book Items Cons.'!E$5:E$3360,3,'J Book Items Cons.'!S$5:S$3360,"[PARENT]",'J Book Items Cons.'!U$5:U$3360,"USN",'J Book Items Cons.'!W$5:W$3360,"Crane Ship",'J Book Items Cons.'!R$5:R$3360,"&lt;&gt;")+SUMIFS('J Book Items Cons.'!N$5:N$3360,'J Book Items Cons.'!E$5:E$3360,3,'J Book Items Cons.'!S$5:S$3360,"[PARENT]",'J Book Items Cons.'!U$5:U$3360,"USN",'J Book Items Cons.'!W$5:W$3360,"Crane Ship",'J Book Items Cons.'!R$5:R$3360,"",'J Book Items Cons.'!N$5:N$3360,"&lt;&gt;")+SUMIFS('J Book Items Cons.'!L$5:L$3360,'J Book Items Cons.'!E$5:E$3360,3,'J Book Items Cons.'!S$5:S$3360,"[PARENT]",'J Book Items Cons.'!U$5:U$3360,"USN",'J Book Items Cons.'!W$5:W$3360,"Crane Ship",'J Book Items Cons.'!R$5:R$3360,"",'J Book Items Cons.'!N$5:N$3360,"")</f>
        <v>0</v>
      </c>
      <c r="V46" s="14">
        <f>SUMIFS('J Book Items Cons.'!R$5:R$3360,'J Book Items Cons.'!E$5:E$3360,3,'J Book Items Cons.'!S$5:S$3360,"",'J Book Items Cons.'!U$5:U$3360,"USN",'J Book Items Cons.'!W$5:W$3360,"General Auxiliary",'J Book Items Cons.'!R$5:R$3360,"&lt;&gt;")+SUMIFS('J Book Items Cons.'!N$5:N$3360,'J Book Items Cons.'!E$5:E$3360,3,'J Book Items Cons.'!S$5:S$3360,"",'J Book Items Cons.'!U$5:U$3360,"USN",'J Book Items Cons.'!W$5:W$3360,"General Auxiliary",'J Book Items Cons.'!R$5:R$3360,"",'J Book Items Cons.'!N$5:N$3360,"&lt;&gt;")+SUMIFS('J Book Items Cons.'!L$5:L$3360,'J Book Items Cons.'!E$5:E$3360,3,'J Book Items Cons.'!S$5:S$3360,"",'J Book Items Cons.'!U$5:U$3360,"USN",'J Book Items Cons.'!W$5:W$3360,"General Auxiliary",'J Book Items Cons.'!R$5:R$3360,"",'J Book Items Cons.'!N$5:N$3360,"")+SUMIFS('J Book Items Cons.'!R$5:R$3360,'J Book Items Cons.'!E$5:E$3360,3,'J Book Items Cons.'!S$5:S$3360,"[PARENT]",'J Book Items Cons.'!U$5:U$3360,"USN",'J Book Items Cons.'!W$5:W$3360,"General Auxiliary",'J Book Items Cons.'!R$5:R$3360,"&lt;&gt;")+SUMIFS('J Book Items Cons.'!N$5:N$3360,'J Book Items Cons.'!E$5:E$3360,3,'J Book Items Cons.'!S$5:S$3360,"[PARENT]",'J Book Items Cons.'!U$5:U$3360,"USN",'J Book Items Cons.'!W$5:W$3360,"General Auxiliary",'J Book Items Cons.'!R$5:R$3360,"",'J Book Items Cons.'!N$5:N$3360,"&lt;&gt;")+SUMIFS('J Book Items Cons.'!L$5:L$3360,'J Book Items Cons.'!E$5:E$3360,3,'J Book Items Cons.'!S$5:S$3360,"[PARENT]",'J Book Items Cons.'!U$5:U$3360,"USN",'J Book Items Cons.'!W$5:W$3360,"General Auxiliary",'J Book Items Cons.'!R$5:R$3360,"",'J Book Items Cons.'!N$5:N$3360,"")</f>
        <v>0</v>
      </c>
      <c r="W46" s="14">
        <f>SUMIFS('J Book Items Cons.'!R$5:R$3360,'J Book Items Cons.'!E$5:E$3360,3,'J Book Items Cons.'!S$5:S$3360,"",'J Book Items Cons.'!U$5:U$3360,"USN",'J Book Items Cons.'!W$5:W$3360,"High Speed Transport",'J Book Items Cons.'!R$5:R$3360,"&lt;&gt;")+SUMIFS('J Book Items Cons.'!N$5:N$3360,'J Book Items Cons.'!E$5:E$3360,3,'J Book Items Cons.'!S$5:S$3360,"",'J Book Items Cons.'!U$5:U$3360,"USN",'J Book Items Cons.'!W$5:W$3360,"High Speed Transport",'J Book Items Cons.'!R$5:R$3360,"",'J Book Items Cons.'!N$5:N$3360,"&lt;&gt;")+SUMIFS('J Book Items Cons.'!L$5:L$3360,'J Book Items Cons.'!E$5:E$3360,3,'J Book Items Cons.'!S$5:S$3360,"",'J Book Items Cons.'!U$5:U$3360,"USN",'J Book Items Cons.'!W$5:W$3360,"High Speed Transport",'J Book Items Cons.'!R$5:R$3360,"",'J Book Items Cons.'!N$5:N$3360,"")+SUMIFS('J Book Items Cons.'!R$5:R$3360,'J Book Items Cons.'!E$5:E$3360,3,'J Book Items Cons.'!S$5:S$3360,"[PARENT]",'J Book Items Cons.'!U$5:U$3360,"USN",'J Book Items Cons.'!W$5:W$3360,"High Speed Transport",'J Book Items Cons.'!R$5:R$3360,"&lt;&gt;")+SUMIFS('J Book Items Cons.'!N$5:N$3360,'J Book Items Cons.'!E$5:E$3360,3,'J Book Items Cons.'!S$5:S$3360,"[PARENT]",'J Book Items Cons.'!U$5:U$3360,"USN",'J Book Items Cons.'!W$5:W$3360,"High Speed Transport",'J Book Items Cons.'!R$5:R$3360,"",'J Book Items Cons.'!N$5:N$3360,"&lt;&gt;")+SUMIFS('J Book Items Cons.'!L$5:L$3360,'J Book Items Cons.'!E$5:E$3360,3,'J Book Items Cons.'!S$5:S$3360,"[PARENT]",'J Book Items Cons.'!U$5:U$3360,"USN",'J Book Items Cons.'!W$5:W$3360,"High Speed Transport",'J Book Items Cons.'!R$5:R$3360,"",'J Book Items Cons.'!N$5:N$3360,"")</f>
        <v>0</v>
      </c>
      <c r="X46" s="14">
        <f>SUMIFS('J Book Items Cons.'!R$5:R$3360,'J Book Items Cons.'!E$5:E$3360,3,'J Book Items Cons.'!S$5:S$3360,"",'J Book Items Cons.'!U$5:U$3360,"USN",'J Book Items Cons.'!W$5:W$3360,"Material Support Ships",'J Book Items Cons.'!R$5:R$3360,"&lt;&gt;")+SUMIFS('J Book Items Cons.'!N$5:N$3360,'J Book Items Cons.'!E$5:E$3360,3,'J Book Items Cons.'!S$5:S$3360,"",'J Book Items Cons.'!U$5:U$3360,"USN",'J Book Items Cons.'!W$5:W$3360,"Material Support Ships",'J Book Items Cons.'!R$5:R$3360,"",'J Book Items Cons.'!N$5:N$3360,"&lt;&gt;")+SUMIFS('J Book Items Cons.'!L$5:L$3360,'J Book Items Cons.'!E$5:E$3360,3,'J Book Items Cons.'!S$5:S$3360,"",'J Book Items Cons.'!U$5:U$3360,"USN",'J Book Items Cons.'!W$5:W$3360,"Material Support Ships",'J Book Items Cons.'!R$5:R$3360,"",'J Book Items Cons.'!N$5:N$3360,"")+SUMIFS('J Book Items Cons.'!R$5:R$3360,'J Book Items Cons.'!E$5:E$3360,3,'J Book Items Cons.'!S$5:S$3360,"[PARENT]",'J Book Items Cons.'!U$5:U$3360,"USN",'J Book Items Cons.'!W$5:W$3360,"Material Support Ships",'J Book Items Cons.'!R$5:R$3360,"&lt;&gt;")+SUMIFS('J Book Items Cons.'!N$5:N$3360,'J Book Items Cons.'!E$5:E$3360,3,'J Book Items Cons.'!S$5:S$3360,"[PARENT]",'J Book Items Cons.'!U$5:U$3360,"USN",'J Book Items Cons.'!W$5:W$3360,"Material Support Ships",'J Book Items Cons.'!R$5:R$3360,"",'J Book Items Cons.'!N$5:N$3360,"&lt;&gt;")+SUMIFS('J Book Items Cons.'!L$5:L$3360,'J Book Items Cons.'!E$5:E$3360,3,'J Book Items Cons.'!S$5:S$3360,"[PARENT]",'J Book Items Cons.'!U$5:U$3360,"USN",'J Book Items Cons.'!W$5:W$3360,"Material Support Ships",'J Book Items Cons.'!R$5:R$3360,"",'J Book Items Cons.'!N$5:N$3360,"")</f>
        <v>0</v>
      </c>
      <c r="Y46" s="14">
        <f>SUMIFS('J Book Items Cons.'!R$5:R$3360,'J Book Items Cons.'!E$5:E$3360,3,'J Book Items Cons.'!S$5:S$3360,"",'J Book Items Cons.'!U$5:U$3360,"USN",'J Book Items Cons.'!W$5:W$3360,"Salvage Ships &amp; Fleet Ocean Tugs",'J Book Items Cons.'!R$5:R$3360,"&lt;&gt;")+SUMIFS('J Book Items Cons.'!N$5:N$3360,'J Book Items Cons.'!E$5:E$3360,3,'J Book Items Cons.'!S$5:S$3360,"",'J Book Items Cons.'!U$5:U$3360,"USN",'J Book Items Cons.'!W$5:W$3360,"Salvage Ships &amp; Fleet Ocean Tugs",'J Book Items Cons.'!R$5:R$3360,"",'J Book Items Cons.'!N$5:N$3360,"&lt;&gt;")+SUMIFS('J Book Items Cons.'!L$5:L$3360,'J Book Items Cons.'!E$5:E$3360,3,'J Book Items Cons.'!S$5:S$3360,"",'J Book Items Cons.'!U$5:U$3360,"USN",'J Book Items Cons.'!W$5:W$3360,"Salvage Ships &amp; Fleet Ocean Tugs",'J Book Items Cons.'!R$5:R$3360,"",'J Book Items Cons.'!N$5:N$3360,"")+SUMIFS('J Book Items Cons.'!R$5:R$3360,'J Book Items Cons.'!E$5:E$3360,3,'J Book Items Cons.'!S$5:S$3360,"[PARENT]",'J Book Items Cons.'!U$5:U$3360,"USN",'J Book Items Cons.'!W$5:W$3360,"Salvage Ships &amp; Fleet Ocean Tugs",'J Book Items Cons.'!R$5:R$3360,"&lt;&gt;")+SUMIFS('J Book Items Cons.'!N$5:N$3360,'J Book Items Cons.'!E$5:E$3360,3,'J Book Items Cons.'!S$5:S$3360,"[PARENT]",'J Book Items Cons.'!U$5:U$3360,"USN",'J Book Items Cons.'!W$5:W$3360,"Salvage Ships &amp; Fleet Ocean Tugs",'J Book Items Cons.'!R$5:R$3360,"",'J Book Items Cons.'!N$5:N$3360,"&lt;&gt;")+SUMIFS('J Book Items Cons.'!L$5:L$3360,'J Book Items Cons.'!E$5:E$3360,3,'J Book Items Cons.'!S$5:S$3360,"[PARENT]",'J Book Items Cons.'!U$5:U$3360,"USN",'J Book Items Cons.'!W$5:W$3360,"Salvage Ships &amp; Fleet Ocean Tugs",'J Book Items Cons.'!R$5:R$3360,"",'J Book Items Cons.'!N$5:N$3360,"")</f>
        <v>0</v>
      </c>
      <c r="Z46" s="14">
        <f>SUMIFS('J Book Items Cons.'!R$5:R$3360,'J Book Items Cons.'!E$5:E$3360,3,'J Book Items Cons.'!S$5:S$3360,"",'J Book Items Cons.'!U$5:U$3360,"USN",'J Book Items Cons.'!W$5:W$3360,"Sealift Support Craft",'J Book Items Cons.'!R$5:R$3360,"&lt;&gt;")+SUMIFS('J Book Items Cons.'!N$5:N$3360,'J Book Items Cons.'!E$5:E$3360,3,'J Book Items Cons.'!S$5:S$3360,"",'J Book Items Cons.'!U$5:U$3360,"USN",'J Book Items Cons.'!W$5:W$3360,"Sealift Support Craft",'J Book Items Cons.'!R$5:R$3360,"",'J Book Items Cons.'!N$5:N$3360,"&lt;&gt;")+SUMIFS('J Book Items Cons.'!L$5:L$3360,'J Book Items Cons.'!E$5:E$3360,3,'J Book Items Cons.'!S$5:S$3360,"",'J Book Items Cons.'!U$5:U$3360,"USN",'J Book Items Cons.'!W$5:W$3360,"Sealift Support Craft",'J Book Items Cons.'!R$5:R$3360,"",'J Book Items Cons.'!N$5:N$3360,"")+SUMIFS('J Book Items Cons.'!R$5:R$3360,'J Book Items Cons.'!E$5:E$3360,3,'J Book Items Cons.'!S$5:S$3360,"[PARENT]",'J Book Items Cons.'!U$5:U$3360,"USN",'J Book Items Cons.'!W$5:W$3360,"Sealift Support Craft",'J Book Items Cons.'!R$5:R$3360,"&lt;&gt;")+SUMIFS('J Book Items Cons.'!N$5:N$3360,'J Book Items Cons.'!E$5:E$3360,3,'J Book Items Cons.'!S$5:S$3360,"[PARENT]",'J Book Items Cons.'!U$5:U$3360,"USN",'J Book Items Cons.'!W$5:W$3360,"Sealift Support Craft",'J Book Items Cons.'!R$5:R$3360,"",'J Book Items Cons.'!N$5:N$3360,"&lt;&gt;")+SUMIFS('J Book Items Cons.'!L$5:L$3360,'J Book Items Cons.'!E$5:E$3360,3,'J Book Items Cons.'!S$5:S$3360,"[PARENT]",'J Book Items Cons.'!U$5:U$3360,"USN",'J Book Items Cons.'!W$5:W$3360,"Sealift Support Craft",'J Book Items Cons.'!R$5:R$3360,"",'J Book Items Cons.'!N$5:N$3360,"")</f>
        <v>0</v>
      </c>
      <c r="AA46" s="14">
        <f>SUMIFS('J Book Items Cons.'!R$5:R$3360,'J Book Items Cons.'!E$5:E$3360,3,'J Book Items Cons.'!S$5:S$3360,"",'J Book Items Cons.'!U$5:U$3360,"USN",'J Book Items Cons.'!W$5:W$3360,"Special Warfare Craft",'J Book Items Cons.'!R$5:R$3360,"&lt;&gt;")+SUMIFS('J Book Items Cons.'!N$5:N$3360,'J Book Items Cons.'!E$5:E$3360,3,'J Book Items Cons.'!S$5:S$3360,"",'J Book Items Cons.'!U$5:U$3360,"USN",'J Book Items Cons.'!W$5:W$3360,"Special Warfare Craft",'J Book Items Cons.'!R$5:R$3360,"",'J Book Items Cons.'!N$5:N$3360,"&lt;&gt;")+SUMIFS('J Book Items Cons.'!L$5:L$3360,'J Book Items Cons.'!E$5:E$3360,3,'J Book Items Cons.'!S$5:S$3360,"",'J Book Items Cons.'!U$5:U$3360,"USN",'J Book Items Cons.'!W$5:W$3360,"Special Warfare Craft",'J Book Items Cons.'!R$5:R$3360,"",'J Book Items Cons.'!N$5:N$3360,"")+SUMIFS('J Book Items Cons.'!R$5:R$3360,'J Book Items Cons.'!E$5:E$3360,3,'J Book Items Cons.'!S$5:S$3360,"[PARENT]",'J Book Items Cons.'!U$5:U$3360,"USN",'J Book Items Cons.'!W$5:W$3360,"Special Warfare Craft",'J Book Items Cons.'!R$5:R$3360,"&lt;&gt;")+SUMIFS('J Book Items Cons.'!N$5:N$3360,'J Book Items Cons.'!E$5:E$3360,3,'J Book Items Cons.'!S$5:S$3360,"[PARENT]",'J Book Items Cons.'!U$5:U$3360,"USN",'J Book Items Cons.'!W$5:W$3360,"Special Warfare Craft",'J Book Items Cons.'!R$5:R$3360,"",'J Book Items Cons.'!N$5:N$3360,"&lt;&gt;")+SUMIFS('J Book Items Cons.'!L$5:L$3360,'J Book Items Cons.'!E$5:E$3360,3,'J Book Items Cons.'!S$5:S$3360,"[PARENT]",'J Book Items Cons.'!U$5:U$3360,"USN",'J Book Items Cons.'!W$5:W$3360,"Special Warfare Craft",'J Book Items Cons.'!R$5:R$3360,"",'J Book Items Cons.'!N$5:N$3360,"")</f>
        <v>0</v>
      </c>
      <c r="AB46" s="14">
        <f>SUMIFS('J Book Items Cons.'!R$5:R$3360,'J Book Items Cons.'!E$5:E$3360,3,'J Book Items Cons.'!S$5:S$3360,"",'J Book Items Cons.'!U$5:U$3360,"USN",'J Book Items Cons.'!W$5:W$3360,"Submarine Escort Ship",'J Book Items Cons.'!R$5:R$3360,"&lt;&gt;")+SUMIFS('J Book Items Cons.'!N$5:N$3360,'J Book Items Cons.'!E$5:E$3360,3,'J Book Items Cons.'!S$5:S$3360,"",'J Book Items Cons.'!U$5:U$3360,"USN",'J Book Items Cons.'!W$5:W$3360,"Submarine Escort Ship",'J Book Items Cons.'!R$5:R$3360,"",'J Book Items Cons.'!N$5:N$3360,"&lt;&gt;")+SUMIFS('J Book Items Cons.'!L$5:L$3360,'J Book Items Cons.'!E$5:E$3360,3,'J Book Items Cons.'!S$5:S$3360,"",'J Book Items Cons.'!U$5:U$3360,"USN",'J Book Items Cons.'!W$5:W$3360,"Submarine Escort Ship",'J Book Items Cons.'!R$5:R$3360,"",'J Book Items Cons.'!N$5:N$3360,"")+SUMIFS('J Book Items Cons.'!R$5:R$3360,'J Book Items Cons.'!E$5:E$3360,3,'J Book Items Cons.'!S$5:S$3360,"[PARENT]",'J Book Items Cons.'!U$5:U$3360,"USN",'J Book Items Cons.'!W$5:W$3360,"Submarine Escort Ship",'J Book Items Cons.'!R$5:R$3360,"&lt;&gt;")+SUMIFS('J Book Items Cons.'!N$5:N$3360,'J Book Items Cons.'!E$5:E$3360,3,'J Book Items Cons.'!S$5:S$3360,"[PARENT]",'J Book Items Cons.'!U$5:U$3360,"USN",'J Book Items Cons.'!W$5:W$3360,"Submarine Escort Ship",'J Book Items Cons.'!R$5:R$3360,"",'J Book Items Cons.'!N$5:N$3360,"&lt;&gt;")+SUMIFS('J Book Items Cons.'!L$5:L$3360,'J Book Items Cons.'!E$5:E$3360,3,'J Book Items Cons.'!S$5:S$3360,"[PARENT]",'J Book Items Cons.'!U$5:U$3360,"USN",'J Book Items Cons.'!W$5:W$3360,"Submarine Escort Ship",'J Book Items Cons.'!R$5:R$3360,"",'J Book Items Cons.'!N$5:N$3360,"")</f>
        <v>0</v>
      </c>
      <c r="AC46" s="14">
        <f>SUMIFS('J Book Items Cons.'!R$5:R$3360,'J Book Items Cons.'!E$5:E$3360,3,'J Book Items Cons.'!S$5:S$3360,"",'J Book Items Cons.'!U$5:U$3360,"MSC",'J Book Items Cons.'!W$5:W$3360,"Expeditionary &amp; Seabasing Ships",'J Book Items Cons.'!R$5:R$3360,"&lt;&gt;")+SUMIFS('J Book Items Cons.'!N$5:N$3360,'J Book Items Cons.'!E$5:E$3360,3,'J Book Items Cons.'!S$5:S$3360,"",'J Book Items Cons.'!U$5:U$3360,"MSC",'J Book Items Cons.'!W$5:W$3360,"Expeditionary &amp; Seabasing Ships",'J Book Items Cons.'!R$5:R$3360,"",'J Book Items Cons.'!N$5:N$3360,"&lt;&gt;")+SUMIFS('J Book Items Cons.'!L$5:L$3360,'J Book Items Cons.'!E$5:E$3360,3,'J Book Items Cons.'!S$5:S$3360,"",'J Book Items Cons.'!U$5:U$3360,"MSC",'J Book Items Cons.'!W$5:W$3360,"Expeditionary &amp; Seabasing Ships",'J Book Items Cons.'!R$5:R$3360,"",'J Book Items Cons.'!N$5:N$3360,"")+SUMIFS('J Book Items Cons.'!R$5:R$3360,'J Book Items Cons.'!E$5:E$3360,3,'J Book Items Cons.'!S$5:S$3360,"[PARENT]",'J Book Items Cons.'!U$5:U$3360,"MSC",'J Book Items Cons.'!W$5:W$3360,"Expeditionary &amp; Seabasing Ships",'J Book Items Cons.'!R$5:R$3360,"&lt;&gt;")+SUMIFS('J Book Items Cons.'!N$5:N$3360,'J Book Items Cons.'!E$5:E$3360,3,'J Book Items Cons.'!S$5:S$3360,"[PARENT]",'J Book Items Cons.'!U$5:U$3360,"MSC",'J Book Items Cons.'!W$5:W$3360,"Expeditionary &amp; Seabasing Ships",'J Book Items Cons.'!R$5:R$3360,"",'J Book Items Cons.'!N$5:N$3360,"&lt;&gt;")+SUMIFS('J Book Items Cons.'!L$5:L$3360,'J Book Items Cons.'!E$5:E$3360,3,'J Book Items Cons.'!S$5:S$3360,"[PARENT]",'J Book Items Cons.'!U$5:U$3360,"MSC",'J Book Items Cons.'!W$5:W$3360,"Expeditionary &amp; Seabasing Ships",'J Book Items Cons.'!R$5:R$3360,"",'J Book Items Cons.'!N$5:N$3360,"")</f>
        <v>0</v>
      </c>
      <c r="AD46" s="14">
        <f>SUMIFS('J Book Items Cons.'!R$5:R$3360,'J Book Items Cons.'!E$5:E$3360,3,'J Book Items Cons.'!S$5:S$3360,"",'J Book Items Cons.'!U$5:U$3360,"MSC",'J Book Items Cons.'!W$5:W$3360,"Hospital Ship",'J Book Items Cons.'!R$5:R$3360,"&lt;&gt;")+SUMIFS('J Book Items Cons.'!N$5:N$3360,'J Book Items Cons.'!E$5:E$3360,3,'J Book Items Cons.'!S$5:S$3360,"",'J Book Items Cons.'!U$5:U$3360,"MSC",'J Book Items Cons.'!W$5:W$3360,"Hospital Ship",'J Book Items Cons.'!R$5:R$3360,"",'J Book Items Cons.'!N$5:N$3360,"&lt;&gt;")+SUMIFS('J Book Items Cons.'!L$5:L$3360,'J Book Items Cons.'!E$5:E$3360,3,'J Book Items Cons.'!S$5:S$3360,"",'J Book Items Cons.'!U$5:U$3360,"MSC",'J Book Items Cons.'!W$5:W$3360,"Hospital Ship",'J Book Items Cons.'!R$5:R$3360,"",'J Book Items Cons.'!N$5:N$3360,"")+SUMIFS('J Book Items Cons.'!R$5:R$3360,'J Book Items Cons.'!E$5:E$3360,3,'J Book Items Cons.'!S$5:S$3360,"[PARENT]",'J Book Items Cons.'!U$5:U$3360,"MSC",'J Book Items Cons.'!W$5:W$3360,"Hospital Ship",'J Book Items Cons.'!R$5:R$3360,"&lt;&gt;")+SUMIFS('J Book Items Cons.'!N$5:N$3360,'J Book Items Cons.'!E$5:E$3360,3,'J Book Items Cons.'!S$5:S$3360,"[PARENT]",'J Book Items Cons.'!U$5:U$3360,"MSC",'J Book Items Cons.'!W$5:W$3360,"Hospital Ship",'J Book Items Cons.'!R$5:R$3360,"",'J Book Items Cons.'!N$5:N$3360,"&lt;&gt;")+SUMIFS('J Book Items Cons.'!L$5:L$3360,'J Book Items Cons.'!E$5:E$3360,3,'J Book Items Cons.'!S$5:S$3360,"[PARENT]",'J Book Items Cons.'!U$5:U$3360,"MSC",'J Book Items Cons.'!W$5:W$3360,"Hospital Ship",'J Book Items Cons.'!R$5:R$3360,"",'J Book Items Cons.'!N$5:N$3360,"")</f>
        <v>0</v>
      </c>
      <c r="AE46" s="26">
        <f>SUMIFS('J Book Items Cons.'!R$5:R$3360,'J Book Items Cons.'!E$5:E$3360,3,'J Book Items Cons.'!S$5:S$3360,"",'J Book Items Cons.'!U$5:U$3360,"MSC",'J Book Items Cons.'!W$5:W$3360,"Research, Survey &amp; Instrumentation Ships",'J Book Items Cons.'!R$5:R$3360,"&lt;&gt;")+SUMIFS('J Book Items Cons.'!N$5:N$3360,'J Book Items Cons.'!E$5:E$3360,3,'J Book Items Cons.'!S$5:S$3360,"",'J Book Items Cons.'!U$5:U$3360,"MSC",'J Book Items Cons.'!W$5:W$3360,"Research, Survey &amp; Instrumentation Ships",'J Book Items Cons.'!R$5:R$3360,"",'J Book Items Cons.'!N$5:N$3360,"&lt;&gt;")+SUMIFS('J Book Items Cons.'!L$5:L$3360,'J Book Items Cons.'!E$5:E$3360,3,'J Book Items Cons.'!S$5:S$3360,"",'J Book Items Cons.'!U$5:U$3360,"MSC",'J Book Items Cons.'!W$5:W$3360,"Research, Survey &amp; Instrumentation Ships",'J Book Items Cons.'!R$5:R$3360,"",'J Book Items Cons.'!N$5:N$3360,"")+SUMIFS('J Book Items Cons.'!R$5:R$3360,'J Book Items Cons.'!E$5:E$3360,3,'J Book Items Cons.'!S$5:S$3360,"[PARENT]",'J Book Items Cons.'!U$5:U$3360,"MSC",'J Book Items Cons.'!W$5:W$3360,"Research, Survey &amp; Instrumentation Ships",'J Book Items Cons.'!R$5:R$3360,"&lt;&gt;")+SUMIFS('J Book Items Cons.'!N$5:N$3360,'J Book Items Cons.'!E$5:E$3360,3,'J Book Items Cons.'!S$5:S$3360,"[PARENT]",'J Book Items Cons.'!U$5:U$3360,"MSC",'J Book Items Cons.'!W$5:W$3360,"Research, Survey &amp; Instrumentation Ships",'J Book Items Cons.'!R$5:R$3360,"",'J Book Items Cons.'!N$5:N$3360,"&lt;&gt;")+SUMIFS('J Book Items Cons.'!L$5:L$3360,'J Book Items Cons.'!E$5:E$3360,3,'J Book Items Cons.'!S$5:S$3360,"[PARENT]",'J Book Items Cons.'!U$5:U$3360,"MSC",'J Book Items Cons.'!W$5:W$3360,"Research, Survey &amp; Instrumentation Ships",'J Book Items Cons.'!R$5:R$3360,"",'J Book Items Cons.'!N$5:N$3360,"")</f>
        <v>0</v>
      </c>
      <c r="AF46" s="25">
        <f>SUMIFS('J Book Items Cons.'!R$5:R$3360,'J Book Items Cons.'!E$5:E$3360,3,'J Book Items Cons.'!S$5:S$3360,"",'J Book Items Cons.'!U$5:U$3360,"USCG",'J Book Items Cons.'!W$5:W$3360,"Offshore Patrol Cutter",'J Book Items Cons.'!R$5:R$3360,"&lt;&gt;")+SUMIFS('J Book Items Cons.'!N$5:N$3360,'J Book Items Cons.'!E$5:E$3360,3,'J Book Items Cons.'!S$5:S$3360,"",'J Book Items Cons.'!U$5:U$3360,"USCG",'J Book Items Cons.'!W$5:W$3360,"Offshore Patrol Cutter",'J Book Items Cons.'!R$5:R$3360,"",'J Book Items Cons.'!N$5:N$3360,"&lt;&gt;")+SUMIFS('J Book Items Cons.'!L$5:L$3360,'J Book Items Cons.'!E$5:E$3360,3,'J Book Items Cons.'!S$5:S$3360,"",'J Book Items Cons.'!U$5:U$3360,"USCG",'J Book Items Cons.'!W$5:W$3360,"Offshore Patrol Cutter",'J Book Items Cons.'!R$5:R$3360,"",'J Book Items Cons.'!N$5:N$3360,"")+SUMIFS('J Book Items Cons.'!R$5:R$3360,'J Book Items Cons.'!E$5:E$3360,3,'J Book Items Cons.'!S$5:S$3360,"[PARENT]",'J Book Items Cons.'!U$5:U$3360,"USCG",'J Book Items Cons.'!W$5:W$3360,"Offshore Patrol Cutter",'J Book Items Cons.'!R$5:R$3360,"&lt;&gt;")+SUMIFS('J Book Items Cons.'!N$5:N$3360,'J Book Items Cons.'!E$5:E$3360,3,'J Book Items Cons.'!S$5:S$3360,"[PARENT]",'J Book Items Cons.'!U$5:U$3360,"USCG",'J Book Items Cons.'!W$5:W$3360,"Offshore Patrol Cutter",'J Book Items Cons.'!R$5:R$3360,"",'J Book Items Cons.'!N$5:N$3360,"&lt;&gt;")+SUMIFS('J Book Items Cons.'!L$5:L$3360,'J Book Items Cons.'!E$5:E$3360,3,'J Book Items Cons.'!S$5:S$3360,"[PARENT]",'J Book Items Cons.'!U$5:U$3360,"USCG",'J Book Items Cons.'!W$5:W$3360,"Offshore Patrol Cutter",'J Book Items Cons.'!R$5:R$3360,"",'J Book Items Cons.'!N$5:N$3360,"")</f>
        <v>0</v>
      </c>
      <c r="AG46" s="14">
        <f>SUMIFS('J Book Items Cons.'!R$5:R$3360,'J Book Items Cons.'!E$5:E$3360,3,'J Book Items Cons.'!S$5:S$3360,"",'J Book Items Cons.'!U$5:U$3360,"USCG",'J Book Items Cons.'!W$5:W$3360,"Fast Response Cutters",'J Book Items Cons.'!R$5:R$3360,"&lt;&gt;")+SUMIFS('J Book Items Cons.'!N$5:N$3360,'J Book Items Cons.'!E$5:E$3360,3,'J Book Items Cons.'!S$5:S$3360,"",'J Book Items Cons.'!U$5:U$3360,"USCG",'J Book Items Cons.'!W$5:W$3360,"Fast Response Cutters",'J Book Items Cons.'!R$5:R$3360,"",'J Book Items Cons.'!N$5:N$3360,"&lt;&gt;")+SUMIFS('J Book Items Cons.'!L$5:L$3360,'J Book Items Cons.'!E$5:E$3360,3,'J Book Items Cons.'!S$5:S$3360,"",'J Book Items Cons.'!U$5:U$3360,"USCG",'J Book Items Cons.'!W$5:W$3360,"Fast Response Cutters",'J Book Items Cons.'!R$5:R$3360,"",'J Book Items Cons.'!N$5:N$3360,"")+SUMIFS('J Book Items Cons.'!R$5:R$3360,'J Book Items Cons.'!E$5:E$3360,3,'J Book Items Cons.'!S$5:S$3360,"[PARENT]",'J Book Items Cons.'!U$5:U$3360,"USCG",'J Book Items Cons.'!W$5:W$3360,"Fast Response Cutters",'J Book Items Cons.'!R$5:R$3360,"&lt;&gt;")+SUMIFS('J Book Items Cons.'!N$5:N$3360,'J Book Items Cons.'!E$5:E$3360,3,'J Book Items Cons.'!S$5:S$3360,"[PARENT]",'J Book Items Cons.'!U$5:U$3360,"USCG",'J Book Items Cons.'!W$5:W$3360,"Fast Response Cutters",'J Book Items Cons.'!R$5:R$3360,"",'J Book Items Cons.'!N$5:N$3360,"&lt;&gt;")+SUMIFS('J Book Items Cons.'!L$5:L$3360,'J Book Items Cons.'!E$5:E$3360,3,'J Book Items Cons.'!S$5:S$3360,"[PARENT]",'J Book Items Cons.'!U$5:U$3360,"USCG",'J Book Items Cons.'!W$5:W$3360,"Fast Response Cutters",'J Book Items Cons.'!R$5:R$3360,"",'J Book Items Cons.'!N$5:N$3360,"")</f>
        <v>0</v>
      </c>
      <c r="AH46" s="14">
        <f>SUMIFS('J Book Items Cons.'!R$5:R$3360,'J Book Items Cons.'!E$5:E$3360,3,'J Book Items Cons.'!S$5:S$3360,"",'J Book Items Cons.'!U$5:U$3360,"USCG",'J Book Items Cons.'!W$5:W$3360,"Icebreakers, Oceangoing",'J Book Items Cons.'!R$5:R$3360,"&lt;&gt;")+SUMIFS('J Book Items Cons.'!N$5:N$3360,'J Book Items Cons.'!E$5:E$3360,3,'J Book Items Cons.'!S$5:S$3360,"",'J Book Items Cons.'!U$5:U$3360,"USCG",'J Book Items Cons.'!W$5:W$3360,"Icebreakers, Oceangoing",'J Book Items Cons.'!R$5:R$3360,"",'J Book Items Cons.'!N$5:N$3360,"&lt;&gt;")+SUMIFS('J Book Items Cons.'!L$5:L$3360,'J Book Items Cons.'!E$5:E$3360,3,'J Book Items Cons.'!S$5:S$3360,"",'J Book Items Cons.'!U$5:U$3360,"USCG",'J Book Items Cons.'!W$5:W$3360,"Icebreakers, Oceangoing",'J Book Items Cons.'!R$5:R$3360,"",'J Book Items Cons.'!N$5:N$3360,"")+SUMIFS('J Book Items Cons.'!R$5:R$3360,'J Book Items Cons.'!E$5:E$3360,3,'J Book Items Cons.'!S$5:S$3360,"[PARENT]",'J Book Items Cons.'!U$5:U$3360,"USCG",'J Book Items Cons.'!W$5:W$3360,"Icebreakers, Oceangoing",'J Book Items Cons.'!R$5:R$3360,"&lt;&gt;")+SUMIFS('J Book Items Cons.'!N$5:N$3360,'J Book Items Cons.'!E$5:E$3360,3,'J Book Items Cons.'!S$5:S$3360,"[PARENT]",'J Book Items Cons.'!U$5:U$3360,"USCG",'J Book Items Cons.'!W$5:W$3360,"Icebreakers, Oceangoing",'J Book Items Cons.'!R$5:R$3360,"",'J Book Items Cons.'!N$5:N$3360,"&lt;&gt;")+SUMIFS('J Book Items Cons.'!L$5:L$3360,'J Book Items Cons.'!E$5:E$3360,3,'J Book Items Cons.'!S$5:S$3360,"[PARENT]",'J Book Items Cons.'!U$5:U$3360,"USCG",'J Book Items Cons.'!W$5:W$3360,"Icebreakers, Oceangoing",'J Book Items Cons.'!R$5:R$3360,"",'J Book Items Cons.'!N$5:N$3360,"")</f>
        <v>0</v>
      </c>
      <c r="AI46" s="14">
        <f>SUMIFS('J Book Items Cons.'!R$5:R$3360,'J Book Items Cons.'!E$5:E$3360,3,'J Book Items Cons.'!S$5:S$3360,"",'J Book Items Cons.'!U$5:U$3360,"USCG",'J Book Items Cons.'!W$5:W$3360,"Waterways Commerce Cutters",'J Book Items Cons.'!R$5:R$3360,"&lt;&gt;")+SUMIFS('J Book Items Cons.'!N$5:N$3360,'J Book Items Cons.'!E$5:E$3360,3,'J Book Items Cons.'!S$5:S$3360,"",'J Book Items Cons.'!U$5:U$3360,"USCG",'J Book Items Cons.'!W$5:W$3360,"Waterways Commerce Cutters",'J Book Items Cons.'!R$5:R$3360,"",'J Book Items Cons.'!N$5:N$3360,"&lt;&gt;")+SUMIFS('J Book Items Cons.'!L$5:L$3360,'J Book Items Cons.'!E$5:E$3360,3,'J Book Items Cons.'!S$5:S$3360,"",'J Book Items Cons.'!U$5:U$3360,"USCG",'J Book Items Cons.'!W$5:W$3360,"Waterways Commerce Cutters",'J Book Items Cons.'!R$5:R$3360,"",'J Book Items Cons.'!N$5:N$3360,"")+SUMIFS('J Book Items Cons.'!R$5:R$3360,'J Book Items Cons.'!E$5:E$3360,3,'J Book Items Cons.'!S$5:S$3360,"[PARENT]",'J Book Items Cons.'!U$5:U$3360,"USCG",'J Book Items Cons.'!W$5:W$3360,"Waterways Commerce Cutters",'J Book Items Cons.'!R$5:R$3360,"&lt;&gt;")+SUMIFS('J Book Items Cons.'!N$5:N$3360,'J Book Items Cons.'!E$5:E$3360,3,'J Book Items Cons.'!S$5:S$3360,"[PARENT]",'J Book Items Cons.'!U$5:U$3360,"USCG",'J Book Items Cons.'!W$5:W$3360,"Waterways Commerce Cutters",'J Book Items Cons.'!R$5:R$3360,"",'J Book Items Cons.'!N$5:N$3360,"&lt;&gt;")+SUMIFS('J Book Items Cons.'!L$5:L$3360,'J Book Items Cons.'!E$5:E$3360,3,'J Book Items Cons.'!S$5:S$3360,"[PARENT]",'J Book Items Cons.'!U$5:U$3360,"USCG",'J Book Items Cons.'!W$5:W$3360,"Waterways Commerce Cutters",'J Book Items Cons.'!R$5:R$3360,"",'J Book Items Cons.'!N$5:N$3360,"")</f>
        <v>0</v>
      </c>
      <c r="AJ46" s="14">
        <f>SUMIFS('J Book Items Cons.'!R$5:R$3360,'J Book Items Cons.'!E$5:E$3360,3,'J Book Items Cons.'!S$5:S$3360,"",'J Book Items Cons.'!U$5:U$3360,"USCG",'J Book Items Cons.'!W$5:W$3360,"National Security Cutters",'J Book Items Cons.'!R$5:R$3360,"&lt;&gt;")+SUMIFS('J Book Items Cons.'!N$5:N$3360,'J Book Items Cons.'!E$5:E$3360,3,'J Book Items Cons.'!S$5:S$3360,"",'J Book Items Cons.'!U$5:U$3360,"USCG",'J Book Items Cons.'!W$5:W$3360,"National Security Cutters",'J Book Items Cons.'!R$5:R$3360,"",'J Book Items Cons.'!N$5:N$3360,"&lt;&gt;")+SUMIFS('J Book Items Cons.'!L$5:L$3360,'J Book Items Cons.'!E$5:E$3360,3,'J Book Items Cons.'!S$5:S$3360,"",'J Book Items Cons.'!U$5:U$3360,"USCG",'J Book Items Cons.'!W$5:W$3360,"National Security Cutters",'J Book Items Cons.'!R$5:R$3360,"",'J Book Items Cons.'!N$5:N$3360,"")+SUMIFS('J Book Items Cons.'!R$5:R$3360,'J Book Items Cons.'!E$5:E$3360,3,'J Book Items Cons.'!S$5:S$3360,"[PARENT]",'J Book Items Cons.'!U$5:U$3360,"USCG",'J Book Items Cons.'!W$5:W$3360,"National Security Cutters",'J Book Items Cons.'!R$5:R$3360,"&lt;&gt;")+SUMIFS('J Book Items Cons.'!N$5:N$3360,'J Book Items Cons.'!E$5:E$3360,3,'J Book Items Cons.'!S$5:S$3360,"[PARENT]",'J Book Items Cons.'!U$5:U$3360,"USCG",'J Book Items Cons.'!W$5:W$3360,"National Security Cutters",'J Book Items Cons.'!R$5:R$3360,"",'J Book Items Cons.'!N$5:N$3360,"&lt;&gt;")+SUMIFS('J Book Items Cons.'!L$5:L$3360,'J Book Items Cons.'!E$5:E$3360,3,'J Book Items Cons.'!S$5:S$3360,"[PARENT]",'J Book Items Cons.'!U$5:U$3360,"USCG",'J Book Items Cons.'!W$5:W$3360,"National Security Cutters",'J Book Items Cons.'!R$5:R$3360,"",'J Book Items Cons.'!N$5:N$3360,"")</f>
        <v>0</v>
      </c>
      <c r="AK46" s="14">
        <f>SUMIFS('J Book Items Cons.'!R$5:R$3360,'J Book Items Cons.'!E$5:E$3360,3,'J Book Items Cons.'!S$5:S$3360,"",'J Book Items Cons.'!U$5:U$3360,"USCG",'J Book Items Cons.'!W$5:W$3360,"Coastal Buoy Tenders",'J Book Items Cons.'!R$5:R$3360,"&lt;&gt;")+SUMIFS('J Book Items Cons.'!N$5:N$3360,'J Book Items Cons.'!E$5:E$3360,3,'J Book Items Cons.'!S$5:S$3360,"",'J Book Items Cons.'!U$5:U$3360,"USCG",'J Book Items Cons.'!W$5:W$3360,"Coastal Buoy Tenders",'J Book Items Cons.'!R$5:R$3360,"",'J Book Items Cons.'!N$5:N$3360,"&lt;&gt;")+SUMIFS('J Book Items Cons.'!L$5:L$3360,'J Book Items Cons.'!E$5:E$3360,3,'J Book Items Cons.'!S$5:S$3360,"",'J Book Items Cons.'!U$5:U$3360,"USCG",'J Book Items Cons.'!W$5:W$3360,"Coastal Buoy Tenders",'J Book Items Cons.'!R$5:R$3360,"",'J Book Items Cons.'!N$5:N$3360,"")+SUMIFS('J Book Items Cons.'!R$5:R$3360,'J Book Items Cons.'!E$5:E$3360,3,'J Book Items Cons.'!S$5:S$3360,"[PARENT]",'J Book Items Cons.'!U$5:U$3360,"USCG",'J Book Items Cons.'!W$5:W$3360,"Coastal Buoy Tenders",'J Book Items Cons.'!R$5:R$3360,"&lt;&gt;")+SUMIFS('J Book Items Cons.'!N$5:N$3360,'J Book Items Cons.'!E$5:E$3360,3,'J Book Items Cons.'!S$5:S$3360,"[PARENT]",'J Book Items Cons.'!U$5:U$3360,"USCG",'J Book Items Cons.'!W$5:W$3360,"Coastal Buoy Tenders",'J Book Items Cons.'!R$5:R$3360,"",'J Book Items Cons.'!N$5:N$3360,"&lt;&gt;")+SUMIFS('J Book Items Cons.'!L$5:L$3360,'J Book Items Cons.'!E$5:E$3360,3,'J Book Items Cons.'!S$5:S$3360,"[PARENT]",'J Book Items Cons.'!U$5:U$3360,"USCG",'J Book Items Cons.'!W$5:W$3360,"Coastal Buoy Tenders",'J Book Items Cons.'!R$5:R$3360,"",'J Book Items Cons.'!N$5:N$3360,"")</f>
        <v>0</v>
      </c>
      <c r="AL46" s="26">
        <f>SUMIFS('J Book Items Cons.'!R$5:R$3360,'J Book Items Cons.'!E$5:E$3360,3,'J Book Items Cons.'!S$5:S$3360,"",'J Book Items Cons.'!U$5:U$3360,"USCG",'J Book Items Cons.'!W$5:W$3360,"Icebreakers, Great Lakes",'J Book Items Cons.'!R$5:R$3360,"&lt;&gt;")+SUMIFS('J Book Items Cons.'!N$5:N$3360,'J Book Items Cons.'!E$5:E$3360,3,'J Book Items Cons.'!S$5:S$3360,"",'J Book Items Cons.'!U$5:U$3360,"USCG",'J Book Items Cons.'!W$5:W$3360,"Icebreakers, Great Lakes",'J Book Items Cons.'!R$5:R$3360,"",'J Book Items Cons.'!N$5:N$3360,"&lt;&gt;")+SUMIFS('J Book Items Cons.'!L$5:L$3360,'J Book Items Cons.'!E$5:E$3360,3,'J Book Items Cons.'!S$5:S$3360,"",'J Book Items Cons.'!U$5:U$3360,"USCG",'J Book Items Cons.'!W$5:W$3360,"Icebreakers, Great Lakes",'J Book Items Cons.'!R$5:R$3360,"",'J Book Items Cons.'!N$5:N$3360,"")+SUMIFS('J Book Items Cons.'!R$5:R$3360,'J Book Items Cons.'!E$5:E$3360,3,'J Book Items Cons.'!S$5:S$3360,"[PARENT]",'J Book Items Cons.'!U$5:U$3360,"USCG",'J Book Items Cons.'!W$5:W$3360,"Icebreakers, Great Lakes",'J Book Items Cons.'!R$5:R$3360,"&lt;&gt;")+SUMIFS('J Book Items Cons.'!N$5:N$3360,'J Book Items Cons.'!E$5:E$3360,3,'J Book Items Cons.'!S$5:S$3360,"[PARENT]",'J Book Items Cons.'!U$5:U$3360,"USCG",'J Book Items Cons.'!W$5:W$3360,"Icebreakers, Great Lakes",'J Book Items Cons.'!R$5:R$3360,"",'J Book Items Cons.'!N$5:N$3360,"&lt;&gt;")+SUMIFS('J Book Items Cons.'!L$5:L$3360,'J Book Items Cons.'!E$5:E$3360,3,'J Book Items Cons.'!S$5:S$3360,"[PARENT]",'J Book Items Cons.'!U$5:U$3360,"USCG",'J Book Items Cons.'!W$5:W$3360,"Icebreakers, Great Lakes",'J Book Items Cons.'!R$5:R$3360,"",'J Book Items Cons.'!N$5:N$3360,"")</f>
        <v>0</v>
      </c>
      <c r="AM46" s="14">
        <f t="shared" si="3"/>
        <v>215890</v>
      </c>
    </row>
    <row r="47" spans="1:42" x14ac:dyDescent="0.15">
      <c r="A47" s="7" t="s">
        <v>8825</v>
      </c>
      <c r="B47" s="25">
        <f>SUMIFS('J Book Items Cons.'!R$5:R$3360,'J Book Items Cons.'!E$5:E$3360,4,'J Book Items Cons.'!S$5:S$3360,"",'J Book Items Cons.'!U$5:U$3360,"USN",'J Book Items Cons.'!W$5:W$3360,"Submarines",'J Book Items Cons.'!R$5:R$3360,"&lt;&gt;")+SUMIFS('J Book Items Cons.'!N$5:N$3360,'J Book Items Cons.'!E$5:E$3360,4,'J Book Items Cons.'!S$5:S$3360,"",'J Book Items Cons.'!U$5:U$3360,"USN",'J Book Items Cons.'!W$5:W$3360,"Submarines",'J Book Items Cons.'!R$5:R$3360,"",'J Book Items Cons.'!N$5:N$3360,"&lt;&gt;")+SUMIFS('J Book Items Cons.'!L$5:L$3360,'J Book Items Cons.'!E$5:E$3360,4,'J Book Items Cons.'!S$5:S$3360,"",'J Book Items Cons.'!U$5:U$3360,"USN",'J Book Items Cons.'!W$5:W$3360,"Submarines",'J Book Items Cons.'!R$5:R$3360,"",'J Book Items Cons.'!N$5:N$3360,"")+SUMIFS('J Book Items Cons.'!R$5:R$3360,'J Book Items Cons.'!E$5:E$3360,4,'J Book Items Cons.'!S$5:S$3360,"[PARENT]",'J Book Items Cons.'!U$5:U$3360,"USN",'J Book Items Cons.'!W$5:W$3360,"Submarines",'J Book Items Cons.'!R$5:R$3360,"&lt;&gt;")+SUMIFS('J Book Items Cons.'!N$5:N$3360,'J Book Items Cons.'!E$5:E$3360,4,'J Book Items Cons.'!S$5:S$3360,"[PARENT]",'J Book Items Cons.'!U$5:U$3360,"USN",'J Book Items Cons.'!W$5:W$3360,"Submarines",'J Book Items Cons.'!R$5:R$3360,"",'J Book Items Cons.'!N$5:N$3360,"&lt;&gt;")+SUMIFS('J Book Items Cons.'!L$5:L$3360,'J Book Items Cons.'!E$5:E$3360,4,'J Book Items Cons.'!S$5:S$3360,"[PARENT]",'J Book Items Cons.'!U$5:U$3360,"USN",'J Book Items Cons.'!W$5:W$3360,"Submarines",'J Book Items Cons.'!R$5:R$3360,"",'J Book Items Cons.'!N$5:N$3360,"")</f>
        <v>5098116</v>
      </c>
      <c r="C47" s="14">
        <f>SUMIFS('J Book Items Cons.'!R$5:R$3360,'J Book Items Cons.'!E$5:E$3360,4,'J Book Items Cons.'!S$5:S$3360,"",'J Book Items Cons.'!U$5:U$3360,"USN",'J Book Items Cons.'!W$5:W$3360,"Surface Combatants",'J Book Items Cons.'!R$5:R$3360,"&lt;&gt;")+SUMIFS('J Book Items Cons.'!N$5:N$3360,'J Book Items Cons.'!E$5:E$3360,4,'J Book Items Cons.'!S$5:S$3360,"",'J Book Items Cons.'!U$5:U$3360,"USN",'J Book Items Cons.'!W$5:W$3360,"Surface Combatants",'J Book Items Cons.'!R$5:R$3360,"",'J Book Items Cons.'!N$5:N$3360,"&lt;&gt;")+SUMIFS('J Book Items Cons.'!L$5:L$3360,'J Book Items Cons.'!E$5:E$3360,4,'J Book Items Cons.'!S$5:S$3360,"",'J Book Items Cons.'!U$5:U$3360,"USN",'J Book Items Cons.'!W$5:W$3360,"Surface Combatants",'J Book Items Cons.'!R$5:R$3360,"",'J Book Items Cons.'!N$5:N$3360,"")+SUMIFS('J Book Items Cons.'!R$5:R$3360,'J Book Items Cons.'!E$5:E$3360,4,'J Book Items Cons.'!S$5:S$3360,"[PARENT]",'J Book Items Cons.'!U$5:U$3360,"USN",'J Book Items Cons.'!W$5:W$3360,"Surface Combatants",'J Book Items Cons.'!R$5:R$3360,"&lt;&gt;")+SUMIFS('J Book Items Cons.'!N$5:N$3360,'J Book Items Cons.'!E$5:E$3360,4,'J Book Items Cons.'!S$5:S$3360,"[PARENT]",'J Book Items Cons.'!U$5:U$3360,"USN",'J Book Items Cons.'!W$5:W$3360,"Surface Combatants",'J Book Items Cons.'!R$5:R$3360,"",'J Book Items Cons.'!N$5:N$3360,"&lt;&gt;")+SUMIFS('J Book Items Cons.'!L$5:L$3360,'J Book Items Cons.'!E$5:E$3360,4,'J Book Items Cons.'!S$5:S$3360,"[PARENT]",'J Book Items Cons.'!U$5:U$3360,"USN",'J Book Items Cons.'!W$5:W$3360,"Surface Combatants",'J Book Items Cons.'!R$5:R$3360,"",'J Book Items Cons.'!N$5:N$3360,"")</f>
        <v>4267312</v>
      </c>
      <c r="D47" s="14">
        <f>SUMIFS('J Book Items Cons.'!R$5:R$3360,'J Book Items Cons.'!E$5:E$3360,4,'J Book Items Cons.'!S$5:S$3360,"",'J Book Items Cons.'!U$5:U$3360,"USN",'J Book Items Cons.'!W$5:W$3360,"Aircraft Carriers",'J Book Items Cons.'!R$5:R$3360,"&lt;&gt;")+SUMIFS('J Book Items Cons.'!N$5:N$3360,'J Book Items Cons.'!E$5:E$3360,4,'J Book Items Cons.'!S$5:S$3360,"",'J Book Items Cons.'!U$5:U$3360,"USN",'J Book Items Cons.'!W$5:W$3360,"Aircraft Carriers",'J Book Items Cons.'!R$5:R$3360,"",'J Book Items Cons.'!N$5:N$3360,"&lt;&gt;")+SUMIFS('J Book Items Cons.'!L$5:L$3360,'J Book Items Cons.'!E$5:E$3360,4,'J Book Items Cons.'!S$5:S$3360,"",'J Book Items Cons.'!U$5:U$3360,"USN",'J Book Items Cons.'!W$5:W$3360,"Aircraft Carriers",'J Book Items Cons.'!R$5:R$3360,"",'J Book Items Cons.'!N$5:N$3360,"")+SUMIFS('J Book Items Cons.'!R$5:R$3360,'J Book Items Cons.'!E$5:E$3360,4,'J Book Items Cons.'!S$5:S$3360,"[PARENT]",'J Book Items Cons.'!U$5:U$3360,"USN",'J Book Items Cons.'!W$5:W$3360,"Aircraft Carriers",'J Book Items Cons.'!R$5:R$3360,"&lt;&gt;")+SUMIFS('J Book Items Cons.'!N$5:N$3360,'J Book Items Cons.'!E$5:E$3360,4,'J Book Items Cons.'!S$5:S$3360,"[PARENT]",'J Book Items Cons.'!U$5:U$3360,"USN",'J Book Items Cons.'!W$5:W$3360,"Aircraft Carriers",'J Book Items Cons.'!R$5:R$3360,"",'J Book Items Cons.'!N$5:N$3360,"&lt;&gt;")+SUMIFS('J Book Items Cons.'!L$5:L$3360,'J Book Items Cons.'!E$5:E$3360,4,'J Book Items Cons.'!S$5:S$3360,"[PARENT]",'J Book Items Cons.'!U$5:U$3360,"USN",'J Book Items Cons.'!W$5:W$3360,"Aircraft Carriers",'J Book Items Cons.'!R$5:R$3360,"",'J Book Items Cons.'!N$5:N$3360,"")</f>
        <v>481926</v>
      </c>
      <c r="E47" s="14">
        <f>SUMIFS('J Book Items Cons.'!R$5:R$3360,'J Book Items Cons.'!E$5:E$3360,4,'J Book Items Cons.'!S$5:S$3360,"",'J Book Items Cons.'!U$5:U$3360,"USN",'J Book Items Cons.'!W$5:W$3360,"Amphibious Warfare Ships",'J Book Items Cons.'!R$5:R$3360,"&lt;&gt;")+SUMIFS('J Book Items Cons.'!N$5:N$3360,'J Book Items Cons.'!E$5:E$3360,4,'J Book Items Cons.'!S$5:S$3360,"",'J Book Items Cons.'!U$5:U$3360,"USN",'J Book Items Cons.'!W$5:W$3360,"Amphibious Warfare Ships",'J Book Items Cons.'!R$5:R$3360,"",'J Book Items Cons.'!N$5:N$3360,"&lt;&gt;")+SUMIFS('J Book Items Cons.'!L$5:L$3360,'J Book Items Cons.'!E$5:E$3360,4,'J Book Items Cons.'!S$5:S$3360,"",'J Book Items Cons.'!U$5:U$3360,"USN",'J Book Items Cons.'!W$5:W$3360,"Amphibious Warfare Ships",'J Book Items Cons.'!R$5:R$3360,"",'J Book Items Cons.'!N$5:N$3360,"")+SUMIFS('J Book Items Cons.'!R$5:R$3360,'J Book Items Cons.'!E$5:E$3360,4,'J Book Items Cons.'!S$5:S$3360,"[PARENT]",'J Book Items Cons.'!U$5:U$3360,"USN",'J Book Items Cons.'!W$5:W$3360,"Amphibious Warfare Ships",'J Book Items Cons.'!R$5:R$3360,"&lt;&gt;")+SUMIFS('J Book Items Cons.'!N$5:N$3360,'J Book Items Cons.'!E$5:E$3360,4,'J Book Items Cons.'!S$5:S$3360,"[PARENT]",'J Book Items Cons.'!U$5:U$3360,"USN",'J Book Items Cons.'!W$5:W$3360,"Amphibious Warfare Ships",'J Book Items Cons.'!R$5:R$3360,"",'J Book Items Cons.'!N$5:N$3360,"&lt;&gt;")+SUMIFS('J Book Items Cons.'!L$5:L$3360,'J Book Items Cons.'!E$5:E$3360,4,'J Book Items Cons.'!S$5:S$3360,"[PARENT]",'J Book Items Cons.'!U$5:U$3360,"USN",'J Book Items Cons.'!W$5:W$3360,"Amphibious Warfare Ships",'J Book Items Cons.'!R$5:R$3360,"",'J Book Items Cons.'!N$5:N$3360,"")</f>
        <v>934712</v>
      </c>
      <c r="F47" s="14">
        <f>SUMIFS('J Book Items Cons.'!R$5:R$3360,'J Book Items Cons.'!E$5:E$3360,4,'J Book Items Cons.'!S$5:S$3360,"",'J Book Items Cons.'!U$5:U$3360,"USN",'J Book Items Cons.'!W$5:W$3360,"Expeditionary &amp; Seabasing Ships",'J Book Items Cons.'!R$5:R$3360,"&lt;&gt;")+SUMIFS('J Book Items Cons.'!N$5:N$3360,'J Book Items Cons.'!E$5:E$3360,4,'J Book Items Cons.'!S$5:S$3360,"",'J Book Items Cons.'!U$5:U$3360,"USN",'J Book Items Cons.'!W$5:W$3360,"Expeditionary &amp; Seabasing Ships",'J Book Items Cons.'!R$5:R$3360,"",'J Book Items Cons.'!N$5:N$3360,"&lt;&gt;")+SUMIFS('J Book Items Cons.'!L$5:L$3360,'J Book Items Cons.'!E$5:E$3360,4,'J Book Items Cons.'!S$5:S$3360,"",'J Book Items Cons.'!U$5:U$3360,"USN",'J Book Items Cons.'!W$5:W$3360,"Expeditionary &amp; Seabasing Ships",'J Book Items Cons.'!R$5:R$3360,"",'J Book Items Cons.'!N$5:N$3360,"")+SUMIFS('J Book Items Cons.'!R$5:R$3360,'J Book Items Cons.'!E$5:E$3360,4,'J Book Items Cons.'!S$5:S$3360,"[PARENT]",'J Book Items Cons.'!U$5:U$3360,"USN",'J Book Items Cons.'!W$5:W$3360,"Expeditionary &amp; Seabasing Ships",'J Book Items Cons.'!R$5:R$3360,"&lt;&gt;")+SUMIFS('J Book Items Cons.'!N$5:N$3360,'J Book Items Cons.'!E$5:E$3360,4,'J Book Items Cons.'!S$5:S$3360,"[PARENT]",'J Book Items Cons.'!U$5:U$3360,"USN",'J Book Items Cons.'!W$5:W$3360,"Expeditionary &amp; Seabasing Ships",'J Book Items Cons.'!R$5:R$3360,"",'J Book Items Cons.'!N$5:N$3360,"&lt;&gt;")+SUMIFS('J Book Items Cons.'!L$5:L$3360,'J Book Items Cons.'!E$5:E$3360,4,'J Book Items Cons.'!S$5:S$3360,"[PARENT]",'J Book Items Cons.'!U$5:U$3360,"USN",'J Book Items Cons.'!W$5:W$3360,"Expeditionary &amp; Seabasing Ships",'J Book Items Cons.'!R$5:R$3360,"",'J Book Items Cons.'!N$5:N$3360,"")</f>
        <v>0</v>
      </c>
      <c r="G47" s="14">
        <f>SUMIFS('J Book Items Cons.'!R$5:R$3360,'J Book Items Cons.'!E$5:E$3360,4,'J Book Items Cons.'!S$5:S$3360,"",'J Book Items Cons.'!U$5:U$3360,"MSC",'J Book Items Cons.'!W$5:W$3360,"Combat Logistics Ships",'J Book Items Cons.'!R$5:R$3360,"&lt;&gt;")+SUMIFS('J Book Items Cons.'!N$5:N$3360,'J Book Items Cons.'!E$5:E$3360,4,'J Book Items Cons.'!S$5:S$3360,"",'J Book Items Cons.'!U$5:U$3360,"MSC",'J Book Items Cons.'!W$5:W$3360,"Combat Logistics Ships",'J Book Items Cons.'!R$5:R$3360,"",'J Book Items Cons.'!N$5:N$3360,"&lt;&gt;")+SUMIFS('J Book Items Cons.'!L$5:L$3360,'J Book Items Cons.'!E$5:E$3360,4,'J Book Items Cons.'!S$5:S$3360,"",'J Book Items Cons.'!U$5:U$3360,"MSC",'J Book Items Cons.'!W$5:W$3360,"Combat Logistics Ships",'J Book Items Cons.'!R$5:R$3360,"",'J Book Items Cons.'!N$5:N$3360,"")+SUMIFS('J Book Items Cons.'!R$5:R$3360,'J Book Items Cons.'!E$5:E$3360,4,'J Book Items Cons.'!S$5:S$3360,"[PARENT]",'J Book Items Cons.'!U$5:U$3360,"MSC",'J Book Items Cons.'!W$5:W$3360,"Combat Logistics Ships",'J Book Items Cons.'!R$5:R$3360,"&lt;&gt;")+SUMIFS('J Book Items Cons.'!N$5:N$3360,'J Book Items Cons.'!E$5:E$3360,4,'J Book Items Cons.'!S$5:S$3360,"[PARENT]",'J Book Items Cons.'!U$5:U$3360,"MSC",'J Book Items Cons.'!W$5:W$3360,"Combat Logistics Ships",'J Book Items Cons.'!R$5:R$3360,"",'J Book Items Cons.'!N$5:N$3360,"&lt;&gt;")+SUMIFS('J Book Items Cons.'!L$5:L$3360,'J Book Items Cons.'!E$5:E$3360,4,'J Book Items Cons.'!S$5:S$3360,"[PARENT]",'J Book Items Cons.'!U$5:U$3360,"MSC",'J Book Items Cons.'!W$5:W$3360,"Combat Logistics Ships",'J Book Items Cons.'!R$5:R$3360,"",'J Book Items Cons.'!N$5:N$3360,"")</f>
        <v>0</v>
      </c>
      <c r="H47" s="14">
        <f>SUMIFS('J Book Items Cons.'!R$5:R$3360,'J Book Items Cons.'!E$5:E$3360,4,'J Book Items Cons.'!S$5:S$3360,"",'J Book Items Cons.'!U$5:U$3360,"USN",'J Book Items Cons.'!W$5:W$3360,"Unmanned Surface Vehicles",'J Book Items Cons.'!R$5:R$3360,"&lt;&gt;")+SUMIFS('J Book Items Cons.'!N$5:N$3360,'J Book Items Cons.'!E$5:E$3360,4,'J Book Items Cons.'!S$5:S$3360,"",'J Book Items Cons.'!U$5:U$3360,"USN",'J Book Items Cons.'!W$5:W$3360,"Unmanned Surface Vehicles",'J Book Items Cons.'!R$5:R$3360,"",'J Book Items Cons.'!N$5:N$3360,"&lt;&gt;")+SUMIFS('J Book Items Cons.'!L$5:L$3360,'J Book Items Cons.'!E$5:E$3360,4,'J Book Items Cons.'!S$5:S$3360,"",'J Book Items Cons.'!U$5:U$3360,"USN",'J Book Items Cons.'!W$5:W$3360,"Unmanned Surface Vehicles",'J Book Items Cons.'!R$5:R$3360,"",'J Book Items Cons.'!N$5:N$3360,"")+SUMIFS('J Book Items Cons.'!R$5:R$3360,'J Book Items Cons.'!E$5:E$3360,4,'J Book Items Cons.'!S$5:S$3360,"[PARENT]",'J Book Items Cons.'!U$5:U$3360,"USN",'J Book Items Cons.'!W$5:W$3360,"Unmanned Surface Vehicles",'J Book Items Cons.'!R$5:R$3360,"&lt;&gt;")+SUMIFS('J Book Items Cons.'!N$5:N$3360,'J Book Items Cons.'!E$5:E$3360,4,'J Book Items Cons.'!S$5:S$3360,"[PARENT]",'J Book Items Cons.'!U$5:U$3360,"USN",'J Book Items Cons.'!W$5:W$3360,"Unmanned Surface Vehicles",'J Book Items Cons.'!R$5:R$3360,"",'J Book Items Cons.'!N$5:N$3360,"&lt;&gt;")+SUMIFS('J Book Items Cons.'!L$5:L$3360,'J Book Items Cons.'!E$5:E$3360,4,'J Book Items Cons.'!S$5:S$3360,"[PARENT]",'J Book Items Cons.'!U$5:U$3360,"USN",'J Book Items Cons.'!W$5:W$3360,"Unmanned Surface Vehicles",'J Book Items Cons.'!R$5:R$3360,"",'J Book Items Cons.'!N$5:N$3360,"")</f>
        <v>0</v>
      </c>
      <c r="I47" s="14">
        <f>SUMIFS('J Book Items Cons.'!R$5:R$3360,'J Book Items Cons.'!E$5:E$3360,4,'J Book Items Cons.'!S$5:S$3360,"",'J Book Items Cons.'!U$5:U$3360,"USN",'J Book Items Cons.'!W$5:W$3360,"Amphibious Warfare Craft",'J Book Items Cons.'!R$5:R$3360,"&lt;&gt;")+SUMIFS('J Book Items Cons.'!N$5:N$3360,'J Book Items Cons.'!E$5:E$3360,4,'J Book Items Cons.'!S$5:S$3360,"",'J Book Items Cons.'!U$5:U$3360,"USN",'J Book Items Cons.'!W$5:W$3360,"Amphibious Warfare Craft",'J Book Items Cons.'!R$5:R$3360,"",'J Book Items Cons.'!N$5:N$3360,"&lt;&gt;")+SUMIFS('J Book Items Cons.'!L$5:L$3360,'J Book Items Cons.'!E$5:E$3360,4,'J Book Items Cons.'!S$5:S$3360,"",'J Book Items Cons.'!U$5:U$3360,"USN",'J Book Items Cons.'!W$5:W$3360,"Amphibious Warfare Craft",'J Book Items Cons.'!R$5:R$3360,"",'J Book Items Cons.'!N$5:N$3360,"")+SUMIFS('J Book Items Cons.'!R$5:R$3360,'J Book Items Cons.'!E$5:E$3360,4,'J Book Items Cons.'!S$5:S$3360,"[PARENT]",'J Book Items Cons.'!U$5:U$3360,"USN",'J Book Items Cons.'!W$5:W$3360,"Amphibious Warfare Craft",'J Book Items Cons.'!R$5:R$3360,"&lt;&gt;")+SUMIFS('J Book Items Cons.'!N$5:N$3360,'J Book Items Cons.'!E$5:E$3360,4,'J Book Items Cons.'!S$5:S$3360,"[PARENT]",'J Book Items Cons.'!U$5:U$3360,"USN",'J Book Items Cons.'!W$5:W$3360,"Amphibious Warfare Craft",'J Book Items Cons.'!R$5:R$3360,"",'J Book Items Cons.'!N$5:N$3360,"&lt;&gt;")+SUMIFS('J Book Items Cons.'!L$5:L$3360,'J Book Items Cons.'!E$5:E$3360,4,'J Book Items Cons.'!S$5:S$3360,"[PARENT]",'J Book Items Cons.'!U$5:U$3360,"USN",'J Book Items Cons.'!W$5:W$3360,"Amphibious Warfare Craft",'J Book Items Cons.'!R$5:R$3360,"",'J Book Items Cons.'!N$5:N$3360,"")</f>
        <v>20321</v>
      </c>
      <c r="J47" s="14">
        <f>SUMIFS('J Book Items Cons.'!R$5:R$3360,'J Book Items Cons.'!E$5:E$3360,4,'J Book Items Cons.'!S$5:S$3360,"",'J Book Items Cons.'!U$5:U$3360,"MSC",'J Book Items Cons.'!W$5:W$3360,"Cargo &amp; Vehicle Cargo Ships",'J Book Items Cons.'!R$5:R$3360,"&lt;&gt;")+SUMIFS('J Book Items Cons.'!N$5:N$3360,'J Book Items Cons.'!E$5:E$3360,4,'J Book Items Cons.'!S$5:S$3360,"",'J Book Items Cons.'!U$5:U$3360,"MSC",'J Book Items Cons.'!W$5:W$3360,"Cargo &amp; Vehicle Cargo Ships",'J Book Items Cons.'!R$5:R$3360,"",'J Book Items Cons.'!N$5:N$3360,"&lt;&gt;")+SUMIFS('J Book Items Cons.'!L$5:L$3360,'J Book Items Cons.'!E$5:E$3360,4,'J Book Items Cons.'!S$5:S$3360,"",'J Book Items Cons.'!U$5:U$3360,"MSC",'J Book Items Cons.'!W$5:W$3360,"Cargo &amp; Vehicle Cargo Ships",'J Book Items Cons.'!R$5:R$3360,"",'J Book Items Cons.'!N$5:N$3360,"")+SUMIFS('J Book Items Cons.'!R$5:R$3360,'J Book Items Cons.'!E$5:E$3360,4,'J Book Items Cons.'!S$5:S$3360,"[PARENT]",'J Book Items Cons.'!U$5:U$3360,"MSC",'J Book Items Cons.'!W$5:W$3360,"Cargo &amp; Vehicle Cargo Ships",'J Book Items Cons.'!R$5:R$3360,"&lt;&gt;")+SUMIFS('J Book Items Cons.'!N$5:N$3360,'J Book Items Cons.'!E$5:E$3360,4,'J Book Items Cons.'!S$5:S$3360,"[PARENT]",'J Book Items Cons.'!U$5:U$3360,"MSC",'J Book Items Cons.'!W$5:W$3360,"Cargo &amp; Vehicle Cargo Ships",'J Book Items Cons.'!R$5:R$3360,"",'J Book Items Cons.'!N$5:N$3360,"&lt;&gt;")+SUMIFS('J Book Items Cons.'!L$5:L$3360,'J Book Items Cons.'!E$5:E$3360,4,'J Book Items Cons.'!S$5:S$3360,"[PARENT]",'J Book Items Cons.'!U$5:U$3360,"MSC",'J Book Items Cons.'!W$5:W$3360,"Cargo &amp; Vehicle Cargo Ships",'J Book Items Cons.'!R$5:R$3360,"",'J Book Items Cons.'!N$5:N$3360,"")</f>
        <v>0</v>
      </c>
      <c r="K47" s="14">
        <f>SUMIFS('J Book Items Cons.'!R$5:R$3360,'J Book Items Cons.'!E$5:E$3360,4,'J Book Items Cons.'!S$5:S$3360,"",'J Book Items Cons.'!U$5:U$3360,"MSC",'J Book Items Cons.'!W$5:W$3360,"Surveillance Ships",'J Book Items Cons.'!R$5:R$3360,"&lt;&gt;")+SUMIFS('J Book Items Cons.'!N$5:N$3360,'J Book Items Cons.'!E$5:E$3360,4,'J Book Items Cons.'!S$5:S$3360,"",'J Book Items Cons.'!U$5:U$3360,"MSC",'J Book Items Cons.'!W$5:W$3360,"Surveillance Ships",'J Book Items Cons.'!R$5:R$3360,"",'J Book Items Cons.'!N$5:N$3360,"&lt;&gt;")+SUMIFS('J Book Items Cons.'!L$5:L$3360,'J Book Items Cons.'!E$5:E$3360,4,'J Book Items Cons.'!S$5:S$3360,"",'J Book Items Cons.'!U$5:U$3360,"MSC",'J Book Items Cons.'!W$5:W$3360,"Surveillance Ships",'J Book Items Cons.'!R$5:R$3360,"",'J Book Items Cons.'!N$5:N$3360,"")+SUMIFS('J Book Items Cons.'!R$5:R$3360,'J Book Items Cons.'!E$5:E$3360,4,'J Book Items Cons.'!S$5:S$3360,"[PARENT]",'J Book Items Cons.'!U$5:U$3360,"MSC",'J Book Items Cons.'!W$5:W$3360,"Surveillance Ships",'J Book Items Cons.'!R$5:R$3360,"&lt;&gt;")+SUMIFS('J Book Items Cons.'!N$5:N$3360,'J Book Items Cons.'!E$5:E$3360,4,'J Book Items Cons.'!S$5:S$3360,"[PARENT]",'J Book Items Cons.'!U$5:U$3360,"MSC",'J Book Items Cons.'!W$5:W$3360,"Surveillance Ships",'J Book Items Cons.'!R$5:R$3360,"",'J Book Items Cons.'!N$5:N$3360,"&lt;&gt;")+SUMIFS('J Book Items Cons.'!L$5:L$3360,'J Book Items Cons.'!E$5:E$3360,4,'J Book Items Cons.'!S$5:S$3360,"[PARENT]",'J Book Items Cons.'!U$5:U$3360,"MSC",'J Book Items Cons.'!W$5:W$3360,"Surveillance Ships",'J Book Items Cons.'!R$5:R$3360,"",'J Book Items Cons.'!N$5:N$3360,"")</f>
        <v>31169</v>
      </c>
      <c r="L47" s="14">
        <f>SUMIFS('J Book Items Cons.'!R$5:R$3360,'J Book Items Cons.'!E$5:E$3360,4,'J Book Items Cons.'!S$5:S$3360,"",'J Book Items Cons.'!U$5:U$3360,"USN",'J Book Items Cons.'!W$5:W$3360,"Unmanned Undersea Vehicles",'J Book Items Cons.'!R$5:R$3360,"&lt;&gt;")+SUMIFS('J Book Items Cons.'!N$5:N$3360,'J Book Items Cons.'!E$5:E$3360,4,'J Book Items Cons.'!S$5:S$3360,"",'J Book Items Cons.'!U$5:U$3360,"USN",'J Book Items Cons.'!W$5:W$3360,"Unmanned Undersea Vehicles",'J Book Items Cons.'!R$5:R$3360,"",'J Book Items Cons.'!N$5:N$3360,"&lt;&gt;")+SUMIFS('J Book Items Cons.'!L$5:L$3360,'J Book Items Cons.'!E$5:E$3360,4,'J Book Items Cons.'!S$5:S$3360,"",'J Book Items Cons.'!U$5:U$3360,"USN",'J Book Items Cons.'!W$5:W$3360,"Unmanned Undersea Vehicles",'J Book Items Cons.'!R$5:R$3360,"",'J Book Items Cons.'!N$5:N$3360,"")+SUMIFS('J Book Items Cons.'!R$5:R$3360,'J Book Items Cons.'!E$5:E$3360,4,'J Book Items Cons.'!S$5:S$3360,"[PARENT]",'J Book Items Cons.'!U$5:U$3360,"USN",'J Book Items Cons.'!W$5:W$3360,"Unmanned Undersea Vehicles",'J Book Items Cons.'!R$5:R$3360,"&lt;&gt;")+SUMIFS('J Book Items Cons.'!N$5:N$3360,'J Book Items Cons.'!E$5:E$3360,4,'J Book Items Cons.'!S$5:S$3360,"[PARENT]",'J Book Items Cons.'!U$5:U$3360,"USN",'J Book Items Cons.'!W$5:W$3360,"Unmanned Undersea Vehicles",'J Book Items Cons.'!R$5:R$3360,"",'J Book Items Cons.'!N$5:N$3360,"&lt;&gt;")+SUMIFS('J Book Items Cons.'!L$5:L$3360,'J Book Items Cons.'!E$5:E$3360,4,'J Book Items Cons.'!S$5:S$3360,"[PARENT]",'J Book Items Cons.'!U$5:U$3360,"USN",'J Book Items Cons.'!W$5:W$3360,"Unmanned Undersea Vehicles",'J Book Items Cons.'!R$5:R$3360,"",'J Book Items Cons.'!N$5:N$3360,"")</f>
        <v>0</v>
      </c>
      <c r="M47" s="14">
        <f>SUMIFS('J Book Items Cons.'!R$5:R$3360,'J Book Items Cons.'!E$5:E$3360,4,'J Book Items Cons.'!S$5:S$3360,"",'J Book Items Cons.'!U$5:U$3360,"MSC",'J Book Items Cons.'!W$5:W$3360,"Salvage Ships &amp; Fleet Ocean Tugs",'J Book Items Cons.'!R$5:R$3360,"&lt;&gt;")+SUMIFS('J Book Items Cons.'!N$5:N$3360,'J Book Items Cons.'!E$5:E$3360,4,'J Book Items Cons.'!S$5:S$3360,"",'J Book Items Cons.'!U$5:U$3360,"MSC",'J Book Items Cons.'!W$5:W$3360,"Salvage Ships &amp; Fleet Ocean Tugs",'J Book Items Cons.'!R$5:R$3360,"",'J Book Items Cons.'!N$5:N$3360,"&lt;&gt;")+SUMIFS('J Book Items Cons.'!L$5:L$3360,'J Book Items Cons.'!E$5:E$3360,4,'J Book Items Cons.'!S$5:S$3360,"",'J Book Items Cons.'!U$5:U$3360,"MSC",'J Book Items Cons.'!W$5:W$3360,"Salvage Ships &amp; Fleet Ocean Tugs",'J Book Items Cons.'!R$5:R$3360,"",'J Book Items Cons.'!N$5:N$3360,"")+SUMIFS('J Book Items Cons.'!R$5:R$3360,'J Book Items Cons.'!E$5:E$3360,4,'J Book Items Cons.'!S$5:S$3360,"[PARENT]",'J Book Items Cons.'!U$5:U$3360,"MSC",'J Book Items Cons.'!W$5:W$3360,"Salvage Ships &amp; Fleet Ocean Tugs",'J Book Items Cons.'!R$5:R$3360,"&lt;&gt;")+SUMIFS('J Book Items Cons.'!N$5:N$3360,'J Book Items Cons.'!E$5:E$3360,4,'J Book Items Cons.'!S$5:S$3360,"[PARENT]",'J Book Items Cons.'!U$5:U$3360,"MSC",'J Book Items Cons.'!W$5:W$3360,"Salvage Ships &amp; Fleet Ocean Tugs",'J Book Items Cons.'!R$5:R$3360,"",'J Book Items Cons.'!N$5:N$3360,"&lt;&gt;")+SUMIFS('J Book Items Cons.'!L$5:L$3360,'J Book Items Cons.'!E$5:E$3360,4,'J Book Items Cons.'!S$5:S$3360,"[PARENT]",'J Book Items Cons.'!U$5:U$3360,"MSC",'J Book Items Cons.'!W$5:W$3360,"Salvage Ships &amp; Fleet Ocean Tugs",'J Book Items Cons.'!R$5:R$3360,"",'J Book Items Cons.'!N$5:N$3360,"")</f>
        <v>0</v>
      </c>
      <c r="N47" s="14">
        <f>SUMIFS('J Book Items Cons.'!R$5:R$3360,'J Book Items Cons.'!E$5:E$3360,4,'J Book Items Cons.'!S$5:S$3360,"",'J Book Items Cons.'!U$5:U$3360,"USN",'J Book Items Cons.'!W$5:W$3360,"Other Craft, Non-Self-Propelled",'J Book Items Cons.'!R$5:R$3360,"&lt;&gt;")+SUMIFS('J Book Items Cons.'!N$5:N$3360,'J Book Items Cons.'!E$5:E$3360,4,'J Book Items Cons.'!S$5:S$3360,"",'J Book Items Cons.'!U$5:U$3360,"USN",'J Book Items Cons.'!W$5:W$3360,"Other Craft, Non-Self-Propelled",'J Book Items Cons.'!R$5:R$3360,"",'J Book Items Cons.'!N$5:N$3360,"&lt;&gt;")+SUMIFS('J Book Items Cons.'!L$5:L$3360,'J Book Items Cons.'!E$5:E$3360,4,'J Book Items Cons.'!S$5:S$3360,"",'J Book Items Cons.'!U$5:U$3360,"USN",'J Book Items Cons.'!W$5:W$3360,"Other Craft, Non-Self-Propelled",'J Book Items Cons.'!R$5:R$3360,"",'J Book Items Cons.'!N$5:N$3360,"")+SUMIFS('J Book Items Cons.'!R$5:R$3360,'J Book Items Cons.'!E$5:E$3360,4,'J Book Items Cons.'!S$5:S$3360,"[PARENT]",'J Book Items Cons.'!U$5:U$3360,"USN",'J Book Items Cons.'!W$5:W$3360,"Other Craft, Non-Self-Propelled",'J Book Items Cons.'!R$5:R$3360,"&lt;&gt;")+SUMIFS('J Book Items Cons.'!N$5:N$3360,'J Book Items Cons.'!E$5:E$3360,4,'J Book Items Cons.'!S$5:S$3360,"[PARENT]",'J Book Items Cons.'!U$5:U$3360,"USN",'J Book Items Cons.'!W$5:W$3360,"Other Craft, Non-Self-Propelled",'J Book Items Cons.'!R$5:R$3360,"",'J Book Items Cons.'!N$5:N$3360,"&lt;&gt;")+SUMIFS('J Book Items Cons.'!L$5:L$3360,'J Book Items Cons.'!E$5:E$3360,4,'J Book Items Cons.'!S$5:S$3360,"[PARENT]",'J Book Items Cons.'!U$5:U$3360,"USN",'J Book Items Cons.'!W$5:W$3360,"Other Craft, Non-Self-Propelled",'J Book Items Cons.'!R$5:R$3360,"",'J Book Items Cons.'!N$5:N$3360,"")</f>
        <v>0</v>
      </c>
      <c r="O47" s="14">
        <f>SUMIFS('J Book Items Cons.'!R$5:R$3360,'J Book Items Cons.'!E$5:E$3360,4,'J Book Items Cons.'!S$5:S$3360,"",'J Book Items Cons.'!U$5:U$3360,"USN",'J Book Items Cons.'!W$5:W$3360,"Command Ships",'J Book Items Cons.'!R$5:R$3360,"&lt;&gt;")+SUMIFS('J Book Items Cons.'!N$5:N$3360,'J Book Items Cons.'!E$5:E$3360,4,'J Book Items Cons.'!S$5:S$3360,"",'J Book Items Cons.'!U$5:U$3360,"USN",'J Book Items Cons.'!W$5:W$3360,"Command Ships",'J Book Items Cons.'!R$5:R$3360,"",'J Book Items Cons.'!N$5:N$3360,"&lt;&gt;")+SUMIFS('J Book Items Cons.'!L$5:L$3360,'J Book Items Cons.'!E$5:E$3360,4,'J Book Items Cons.'!S$5:S$3360,"",'J Book Items Cons.'!U$5:U$3360,"USN",'J Book Items Cons.'!W$5:W$3360,"Command Ships",'J Book Items Cons.'!R$5:R$3360,"",'J Book Items Cons.'!N$5:N$3360,"")+SUMIFS('J Book Items Cons.'!R$5:R$3360,'J Book Items Cons.'!E$5:E$3360,4,'J Book Items Cons.'!S$5:S$3360,"[PARENT]",'J Book Items Cons.'!U$5:U$3360,"USN",'J Book Items Cons.'!W$5:W$3360,"Command Ships",'J Book Items Cons.'!R$5:R$3360,"&lt;&gt;")+SUMIFS('J Book Items Cons.'!N$5:N$3360,'J Book Items Cons.'!E$5:E$3360,4,'J Book Items Cons.'!S$5:S$3360,"[PARENT]",'J Book Items Cons.'!U$5:U$3360,"USN",'J Book Items Cons.'!W$5:W$3360,"Command Ships",'J Book Items Cons.'!R$5:R$3360,"",'J Book Items Cons.'!N$5:N$3360,"&lt;&gt;")+SUMIFS('J Book Items Cons.'!L$5:L$3360,'J Book Items Cons.'!E$5:E$3360,4,'J Book Items Cons.'!S$5:S$3360,"[PARENT]",'J Book Items Cons.'!U$5:U$3360,"USN",'J Book Items Cons.'!W$5:W$3360,"Command Ships",'J Book Items Cons.'!R$5:R$3360,"",'J Book Items Cons.'!N$5:N$3360,"")</f>
        <v>0</v>
      </c>
      <c r="P47" s="14">
        <f>SUMIFS('J Book Items Cons.'!R$5:R$3360,'J Book Items Cons.'!E$5:E$3360,4,'J Book Items Cons.'!S$5:S$3360,"",'J Book Items Cons.'!U$5:U$3360,"USN",'J Book Items Cons.'!W$5:W$3360,"Mine Warfare",'J Book Items Cons.'!R$5:R$3360,"&lt;&gt;")+SUMIFS('J Book Items Cons.'!N$5:N$3360,'J Book Items Cons.'!E$5:E$3360,4,'J Book Items Cons.'!S$5:S$3360,"",'J Book Items Cons.'!U$5:U$3360,"USN",'J Book Items Cons.'!W$5:W$3360,"Mine Warfare",'J Book Items Cons.'!R$5:R$3360,"",'J Book Items Cons.'!N$5:N$3360,"&lt;&gt;")+SUMIFS('J Book Items Cons.'!L$5:L$3360,'J Book Items Cons.'!E$5:E$3360,4,'J Book Items Cons.'!S$5:S$3360,"",'J Book Items Cons.'!U$5:U$3360,"USN",'J Book Items Cons.'!W$5:W$3360,"Mine Warfare",'J Book Items Cons.'!R$5:R$3360,"",'J Book Items Cons.'!N$5:N$3360,"")+SUMIFS('J Book Items Cons.'!R$5:R$3360,'J Book Items Cons.'!E$5:E$3360,4,'J Book Items Cons.'!S$5:S$3360,"[PARENT]",'J Book Items Cons.'!U$5:U$3360,"USN",'J Book Items Cons.'!W$5:W$3360,"Mine Warfare",'J Book Items Cons.'!R$5:R$3360,"&lt;&gt;")+SUMIFS('J Book Items Cons.'!N$5:N$3360,'J Book Items Cons.'!E$5:E$3360,4,'J Book Items Cons.'!S$5:S$3360,"[PARENT]",'J Book Items Cons.'!U$5:U$3360,"USN",'J Book Items Cons.'!W$5:W$3360,"Mine Warfare",'J Book Items Cons.'!R$5:R$3360,"",'J Book Items Cons.'!N$5:N$3360,"&lt;&gt;")+SUMIFS('J Book Items Cons.'!L$5:L$3360,'J Book Items Cons.'!E$5:E$3360,4,'J Book Items Cons.'!S$5:S$3360,"[PARENT]",'J Book Items Cons.'!U$5:U$3360,"USN",'J Book Items Cons.'!W$5:W$3360,"Mine Warfare",'J Book Items Cons.'!R$5:R$3360,"",'J Book Items Cons.'!N$5:N$3360,"")</f>
        <v>0</v>
      </c>
      <c r="Q47" s="14">
        <f>SUMIFS('J Book Items Cons.'!R$5:R$3360,'J Book Items Cons.'!E$5:E$3360,4,'J Book Items Cons.'!S$5:S$3360,"",'J Book Items Cons.'!U$5:U$3360,"USN",'J Book Items Cons.'!W$5:W$3360,"Patrol Combatant",'J Book Items Cons.'!R$5:R$3360,"&lt;&gt;")+SUMIFS('J Book Items Cons.'!N$5:N$3360,'J Book Items Cons.'!E$5:E$3360,4,'J Book Items Cons.'!S$5:S$3360,"",'J Book Items Cons.'!U$5:U$3360,"USN",'J Book Items Cons.'!W$5:W$3360,"Patrol Combatant",'J Book Items Cons.'!R$5:R$3360,"",'J Book Items Cons.'!N$5:N$3360,"&lt;&gt;")+SUMIFS('J Book Items Cons.'!L$5:L$3360,'J Book Items Cons.'!E$5:E$3360,4,'J Book Items Cons.'!S$5:S$3360,"",'J Book Items Cons.'!U$5:U$3360,"USN",'J Book Items Cons.'!W$5:W$3360,"Patrol Combatant",'J Book Items Cons.'!R$5:R$3360,"",'J Book Items Cons.'!N$5:N$3360,"")+SUMIFS('J Book Items Cons.'!R$5:R$3360,'J Book Items Cons.'!E$5:E$3360,4,'J Book Items Cons.'!S$5:S$3360,"[PARENT]",'J Book Items Cons.'!U$5:U$3360,"USN",'J Book Items Cons.'!W$5:W$3360,"Patrol Combatant",'J Book Items Cons.'!R$5:R$3360,"&lt;&gt;")+SUMIFS('J Book Items Cons.'!N$5:N$3360,'J Book Items Cons.'!E$5:E$3360,4,'J Book Items Cons.'!S$5:S$3360,"[PARENT]",'J Book Items Cons.'!U$5:U$3360,"USN",'J Book Items Cons.'!W$5:W$3360,"Patrol Combatant",'J Book Items Cons.'!R$5:R$3360,"",'J Book Items Cons.'!N$5:N$3360,"&lt;&gt;")+SUMIFS('J Book Items Cons.'!L$5:L$3360,'J Book Items Cons.'!E$5:E$3360,4,'J Book Items Cons.'!S$5:S$3360,"[PARENT]",'J Book Items Cons.'!U$5:U$3360,"USN",'J Book Items Cons.'!W$5:W$3360,"Patrol Combatant",'J Book Items Cons.'!R$5:R$3360,"",'J Book Items Cons.'!N$5:N$3360,"")</f>
        <v>0</v>
      </c>
      <c r="R47" s="14">
        <f>SUMIFS('J Book Items Cons.'!R$5:R$3360,'J Book Items Cons.'!E$5:E$3360,4,'J Book Items Cons.'!S$5:S$3360,"",'J Book Items Cons.'!U$5:U$3360,"USN",'J Book Items Cons.'!W$5:W$3360,"Aviation Logistics Support Ship",'J Book Items Cons.'!R$5:R$3360,"&lt;&gt;")+SUMIFS('J Book Items Cons.'!N$5:N$3360,'J Book Items Cons.'!E$5:E$3360,4,'J Book Items Cons.'!S$5:S$3360,"",'J Book Items Cons.'!U$5:U$3360,"USN",'J Book Items Cons.'!W$5:W$3360,"Aviation Logistics Support Ship",'J Book Items Cons.'!R$5:R$3360,"",'J Book Items Cons.'!N$5:N$3360,"&lt;&gt;")+SUMIFS('J Book Items Cons.'!L$5:L$3360,'J Book Items Cons.'!E$5:E$3360,4,'J Book Items Cons.'!S$5:S$3360,"",'J Book Items Cons.'!U$5:U$3360,"USN",'J Book Items Cons.'!W$5:W$3360,"Aviation Logistics Support Ship",'J Book Items Cons.'!R$5:R$3360,"",'J Book Items Cons.'!N$5:N$3360,"")+SUMIFS('J Book Items Cons.'!R$5:R$3360,'J Book Items Cons.'!E$5:E$3360,4,'J Book Items Cons.'!S$5:S$3360,"[PARENT]",'J Book Items Cons.'!U$5:U$3360,"USN",'J Book Items Cons.'!W$5:W$3360,"Aviation Logistics Support Ship",'J Book Items Cons.'!R$5:R$3360,"&lt;&gt;")+SUMIFS('J Book Items Cons.'!N$5:N$3360,'J Book Items Cons.'!E$5:E$3360,4,'J Book Items Cons.'!S$5:S$3360,"[PARENT]",'J Book Items Cons.'!U$5:U$3360,"USN",'J Book Items Cons.'!W$5:W$3360,"Aviation Logistics Support Ship",'J Book Items Cons.'!R$5:R$3360,"",'J Book Items Cons.'!N$5:N$3360,"&lt;&gt;")+SUMIFS('J Book Items Cons.'!L$5:L$3360,'J Book Items Cons.'!E$5:E$3360,4,'J Book Items Cons.'!S$5:S$3360,"[PARENT]",'J Book Items Cons.'!U$5:U$3360,"USN",'J Book Items Cons.'!W$5:W$3360,"Aviation Logistics Support Ship",'J Book Items Cons.'!R$5:R$3360,"",'J Book Items Cons.'!N$5:N$3360,"")</f>
        <v>0</v>
      </c>
      <c r="S47" s="14">
        <f>SUMIFS('J Book Items Cons.'!R$5:R$3360,'J Book Items Cons.'!E$5:E$3360,4,'J Book Items Cons.'!S$5:S$3360,"",'J Book Items Cons.'!U$5:U$3360,"USN",'J Book Items Cons.'!W$5:W$3360,"Cargo &amp; Vehicle Cargo Ships",'J Book Items Cons.'!R$5:R$3360,"&lt;&gt;")+SUMIFS('J Book Items Cons.'!N$5:N$3360,'J Book Items Cons.'!E$5:E$3360,4,'J Book Items Cons.'!S$5:S$3360,"",'J Book Items Cons.'!U$5:U$3360,"USN",'J Book Items Cons.'!W$5:W$3360,"Cargo &amp; Vehicle Cargo Ships",'J Book Items Cons.'!R$5:R$3360,"",'J Book Items Cons.'!N$5:N$3360,"&lt;&gt;")+SUMIFS('J Book Items Cons.'!L$5:L$3360,'J Book Items Cons.'!E$5:E$3360,4,'J Book Items Cons.'!S$5:S$3360,"",'J Book Items Cons.'!U$5:U$3360,"USN",'J Book Items Cons.'!W$5:W$3360,"Cargo &amp; Vehicle Cargo Ships",'J Book Items Cons.'!R$5:R$3360,"",'J Book Items Cons.'!N$5:N$3360,"")+SUMIFS('J Book Items Cons.'!R$5:R$3360,'J Book Items Cons.'!E$5:E$3360,4,'J Book Items Cons.'!S$5:S$3360,"[PARENT]",'J Book Items Cons.'!U$5:U$3360,"USN",'J Book Items Cons.'!W$5:W$3360,"Cargo &amp; Vehicle Cargo Ships",'J Book Items Cons.'!R$5:R$3360,"&lt;&gt;")+SUMIFS('J Book Items Cons.'!N$5:N$3360,'J Book Items Cons.'!E$5:E$3360,4,'J Book Items Cons.'!S$5:S$3360,"[PARENT]",'J Book Items Cons.'!U$5:U$3360,"USN",'J Book Items Cons.'!W$5:W$3360,"Cargo &amp; Vehicle Cargo Ships",'J Book Items Cons.'!R$5:R$3360,"",'J Book Items Cons.'!N$5:N$3360,"&lt;&gt;")+SUMIFS('J Book Items Cons.'!L$5:L$3360,'J Book Items Cons.'!E$5:E$3360,4,'J Book Items Cons.'!S$5:S$3360,"[PARENT]",'J Book Items Cons.'!U$5:U$3360,"USN",'J Book Items Cons.'!W$5:W$3360,"Cargo &amp; Vehicle Cargo Ships",'J Book Items Cons.'!R$5:R$3360,"",'J Book Items Cons.'!N$5:N$3360,"")</f>
        <v>0</v>
      </c>
      <c r="T47" s="14">
        <f>SUMIFS('J Book Items Cons.'!R$5:R$3360,'J Book Items Cons.'!E$5:E$3360,4,'J Book Items Cons.'!S$5:S$3360,"",'J Book Items Cons.'!U$5:U$3360,"USN",'J Book Items Cons.'!W$5:W$3360,"Combat Logistics Ships",'J Book Items Cons.'!R$5:R$3360,"&lt;&gt;")+SUMIFS('J Book Items Cons.'!N$5:N$3360,'J Book Items Cons.'!E$5:E$3360,4,'J Book Items Cons.'!S$5:S$3360,"",'J Book Items Cons.'!U$5:U$3360,"USN",'J Book Items Cons.'!W$5:W$3360,"Combat Logistics Ships",'J Book Items Cons.'!R$5:R$3360,"",'J Book Items Cons.'!N$5:N$3360,"&lt;&gt;")+SUMIFS('J Book Items Cons.'!L$5:L$3360,'J Book Items Cons.'!E$5:E$3360,4,'J Book Items Cons.'!S$5:S$3360,"",'J Book Items Cons.'!U$5:U$3360,"USN",'J Book Items Cons.'!W$5:W$3360,"Combat Logistics Ships",'J Book Items Cons.'!R$5:R$3360,"",'J Book Items Cons.'!N$5:N$3360,"")+SUMIFS('J Book Items Cons.'!R$5:R$3360,'J Book Items Cons.'!E$5:E$3360,4,'J Book Items Cons.'!S$5:S$3360,"[PARENT]",'J Book Items Cons.'!U$5:U$3360,"USN",'J Book Items Cons.'!W$5:W$3360,"Combat Logistics Ships",'J Book Items Cons.'!R$5:R$3360,"&lt;&gt;")+SUMIFS('J Book Items Cons.'!N$5:N$3360,'J Book Items Cons.'!E$5:E$3360,4,'J Book Items Cons.'!S$5:S$3360,"[PARENT]",'J Book Items Cons.'!U$5:U$3360,"USN",'J Book Items Cons.'!W$5:W$3360,"Combat Logistics Ships",'J Book Items Cons.'!R$5:R$3360,"",'J Book Items Cons.'!N$5:N$3360,"&lt;&gt;")+SUMIFS('J Book Items Cons.'!L$5:L$3360,'J Book Items Cons.'!E$5:E$3360,4,'J Book Items Cons.'!S$5:S$3360,"[PARENT]",'J Book Items Cons.'!U$5:U$3360,"USN",'J Book Items Cons.'!W$5:W$3360,"Combat Logistics Ships",'J Book Items Cons.'!R$5:R$3360,"",'J Book Items Cons.'!N$5:N$3360,"")</f>
        <v>0</v>
      </c>
      <c r="U47" s="14">
        <f>SUMIFS('J Book Items Cons.'!R$5:R$3360,'J Book Items Cons.'!E$5:E$3360,4,'J Book Items Cons.'!S$5:S$3360,"",'J Book Items Cons.'!U$5:U$3360,"USN",'J Book Items Cons.'!W$5:W$3360,"Crane Ship",'J Book Items Cons.'!R$5:R$3360,"&lt;&gt;")+SUMIFS('J Book Items Cons.'!N$5:N$3360,'J Book Items Cons.'!E$5:E$3360,4,'J Book Items Cons.'!S$5:S$3360,"",'J Book Items Cons.'!U$5:U$3360,"USN",'J Book Items Cons.'!W$5:W$3360,"Crane Ship",'J Book Items Cons.'!R$5:R$3360,"",'J Book Items Cons.'!N$5:N$3360,"&lt;&gt;")+SUMIFS('J Book Items Cons.'!L$5:L$3360,'J Book Items Cons.'!E$5:E$3360,4,'J Book Items Cons.'!S$5:S$3360,"",'J Book Items Cons.'!U$5:U$3360,"USN",'J Book Items Cons.'!W$5:W$3360,"Crane Ship",'J Book Items Cons.'!R$5:R$3360,"",'J Book Items Cons.'!N$5:N$3360,"")+SUMIFS('J Book Items Cons.'!R$5:R$3360,'J Book Items Cons.'!E$5:E$3360,4,'J Book Items Cons.'!S$5:S$3360,"[PARENT]",'J Book Items Cons.'!U$5:U$3360,"USN",'J Book Items Cons.'!W$5:W$3360,"Crane Ship",'J Book Items Cons.'!R$5:R$3360,"&lt;&gt;")+SUMIFS('J Book Items Cons.'!N$5:N$3360,'J Book Items Cons.'!E$5:E$3360,4,'J Book Items Cons.'!S$5:S$3360,"[PARENT]",'J Book Items Cons.'!U$5:U$3360,"USN",'J Book Items Cons.'!W$5:W$3360,"Crane Ship",'J Book Items Cons.'!R$5:R$3360,"",'J Book Items Cons.'!N$5:N$3360,"&lt;&gt;")+SUMIFS('J Book Items Cons.'!L$5:L$3360,'J Book Items Cons.'!E$5:E$3360,4,'J Book Items Cons.'!S$5:S$3360,"[PARENT]",'J Book Items Cons.'!U$5:U$3360,"USN",'J Book Items Cons.'!W$5:W$3360,"Crane Ship",'J Book Items Cons.'!R$5:R$3360,"",'J Book Items Cons.'!N$5:N$3360,"")</f>
        <v>0</v>
      </c>
      <c r="V47" s="14">
        <f>SUMIFS('J Book Items Cons.'!R$5:R$3360,'J Book Items Cons.'!E$5:E$3360,4,'J Book Items Cons.'!S$5:S$3360,"",'J Book Items Cons.'!U$5:U$3360,"USN",'J Book Items Cons.'!W$5:W$3360,"General Auxiliary",'J Book Items Cons.'!R$5:R$3360,"&lt;&gt;")+SUMIFS('J Book Items Cons.'!N$5:N$3360,'J Book Items Cons.'!E$5:E$3360,4,'J Book Items Cons.'!S$5:S$3360,"",'J Book Items Cons.'!U$5:U$3360,"USN",'J Book Items Cons.'!W$5:W$3360,"General Auxiliary",'J Book Items Cons.'!R$5:R$3360,"",'J Book Items Cons.'!N$5:N$3360,"&lt;&gt;")+SUMIFS('J Book Items Cons.'!L$5:L$3360,'J Book Items Cons.'!E$5:E$3360,4,'J Book Items Cons.'!S$5:S$3360,"",'J Book Items Cons.'!U$5:U$3360,"USN",'J Book Items Cons.'!W$5:W$3360,"General Auxiliary",'J Book Items Cons.'!R$5:R$3360,"",'J Book Items Cons.'!N$5:N$3360,"")+SUMIFS('J Book Items Cons.'!R$5:R$3360,'J Book Items Cons.'!E$5:E$3360,4,'J Book Items Cons.'!S$5:S$3360,"[PARENT]",'J Book Items Cons.'!U$5:U$3360,"USN",'J Book Items Cons.'!W$5:W$3360,"General Auxiliary",'J Book Items Cons.'!R$5:R$3360,"&lt;&gt;")+SUMIFS('J Book Items Cons.'!N$5:N$3360,'J Book Items Cons.'!E$5:E$3360,4,'J Book Items Cons.'!S$5:S$3360,"[PARENT]",'J Book Items Cons.'!U$5:U$3360,"USN",'J Book Items Cons.'!W$5:W$3360,"General Auxiliary",'J Book Items Cons.'!R$5:R$3360,"",'J Book Items Cons.'!N$5:N$3360,"&lt;&gt;")+SUMIFS('J Book Items Cons.'!L$5:L$3360,'J Book Items Cons.'!E$5:E$3360,4,'J Book Items Cons.'!S$5:S$3360,"[PARENT]",'J Book Items Cons.'!U$5:U$3360,"USN",'J Book Items Cons.'!W$5:W$3360,"General Auxiliary",'J Book Items Cons.'!R$5:R$3360,"",'J Book Items Cons.'!N$5:N$3360,"")</f>
        <v>0</v>
      </c>
      <c r="W47" s="14">
        <f>SUMIFS('J Book Items Cons.'!R$5:R$3360,'J Book Items Cons.'!E$5:E$3360,4,'J Book Items Cons.'!S$5:S$3360,"",'J Book Items Cons.'!U$5:U$3360,"USN",'J Book Items Cons.'!W$5:W$3360,"High Speed Transport",'J Book Items Cons.'!R$5:R$3360,"&lt;&gt;")+SUMIFS('J Book Items Cons.'!N$5:N$3360,'J Book Items Cons.'!E$5:E$3360,4,'J Book Items Cons.'!S$5:S$3360,"",'J Book Items Cons.'!U$5:U$3360,"USN",'J Book Items Cons.'!W$5:W$3360,"High Speed Transport",'J Book Items Cons.'!R$5:R$3360,"",'J Book Items Cons.'!N$5:N$3360,"&lt;&gt;")+SUMIFS('J Book Items Cons.'!L$5:L$3360,'J Book Items Cons.'!E$5:E$3360,4,'J Book Items Cons.'!S$5:S$3360,"",'J Book Items Cons.'!U$5:U$3360,"USN",'J Book Items Cons.'!W$5:W$3360,"High Speed Transport",'J Book Items Cons.'!R$5:R$3360,"",'J Book Items Cons.'!N$5:N$3360,"")+SUMIFS('J Book Items Cons.'!R$5:R$3360,'J Book Items Cons.'!E$5:E$3360,4,'J Book Items Cons.'!S$5:S$3360,"[PARENT]",'J Book Items Cons.'!U$5:U$3360,"USN",'J Book Items Cons.'!W$5:W$3360,"High Speed Transport",'J Book Items Cons.'!R$5:R$3360,"&lt;&gt;")+SUMIFS('J Book Items Cons.'!N$5:N$3360,'J Book Items Cons.'!E$5:E$3360,4,'J Book Items Cons.'!S$5:S$3360,"[PARENT]",'J Book Items Cons.'!U$5:U$3360,"USN",'J Book Items Cons.'!W$5:W$3360,"High Speed Transport",'J Book Items Cons.'!R$5:R$3360,"",'J Book Items Cons.'!N$5:N$3360,"&lt;&gt;")+SUMIFS('J Book Items Cons.'!L$5:L$3360,'J Book Items Cons.'!E$5:E$3360,4,'J Book Items Cons.'!S$5:S$3360,"[PARENT]",'J Book Items Cons.'!U$5:U$3360,"USN",'J Book Items Cons.'!W$5:W$3360,"High Speed Transport",'J Book Items Cons.'!R$5:R$3360,"",'J Book Items Cons.'!N$5:N$3360,"")</f>
        <v>0</v>
      </c>
      <c r="X47" s="14">
        <f>SUMIFS('J Book Items Cons.'!R$5:R$3360,'J Book Items Cons.'!E$5:E$3360,4,'J Book Items Cons.'!S$5:S$3360,"",'J Book Items Cons.'!U$5:U$3360,"USN",'J Book Items Cons.'!W$5:W$3360,"Material Support Ships",'J Book Items Cons.'!R$5:R$3360,"&lt;&gt;")+SUMIFS('J Book Items Cons.'!N$5:N$3360,'J Book Items Cons.'!E$5:E$3360,4,'J Book Items Cons.'!S$5:S$3360,"",'J Book Items Cons.'!U$5:U$3360,"USN",'J Book Items Cons.'!W$5:W$3360,"Material Support Ships",'J Book Items Cons.'!R$5:R$3360,"",'J Book Items Cons.'!N$5:N$3360,"&lt;&gt;")+SUMIFS('J Book Items Cons.'!L$5:L$3360,'J Book Items Cons.'!E$5:E$3360,4,'J Book Items Cons.'!S$5:S$3360,"",'J Book Items Cons.'!U$5:U$3360,"USN",'J Book Items Cons.'!W$5:W$3360,"Material Support Ships",'J Book Items Cons.'!R$5:R$3360,"",'J Book Items Cons.'!N$5:N$3360,"")+SUMIFS('J Book Items Cons.'!R$5:R$3360,'J Book Items Cons.'!E$5:E$3360,4,'J Book Items Cons.'!S$5:S$3360,"[PARENT]",'J Book Items Cons.'!U$5:U$3360,"USN",'J Book Items Cons.'!W$5:W$3360,"Material Support Ships",'J Book Items Cons.'!R$5:R$3360,"&lt;&gt;")+SUMIFS('J Book Items Cons.'!N$5:N$3360,'J Book Items Cons.'!E$5:E$3360,4,'J Book Items Cons.'!S$5:S$3360,"[PARENT]",'J Book Items Cons.'!U$5:U$3360,"USN",'J Book Items Cons.'!W$5:W$3360,"Material Support Ships",'J Book Items Cons.'!R$5:R$3360,"",'J Book Items Cons.'!N$5:N$3360,"&lt;&gt;")+SUMIFS('J Book Items Cons.'!L$5:L$3360,'J Book Items Cons.'!E$5:E$3360,4,'J Book Items Cons.'!S$5:S$3360,"[PARENT]",'J Book Items Cons.'!U$5:U$3360,"USN",'J Book Items Cons.'!W$5:W$3360,"Material Support Ships",'J Book Items Cons.'!R$5:R$3360,"",'J Book Items Cons.'!N$5:N$3360,"")</f>
        <v>0</v>
      </c>
      <c r="Y47" s="14">
        <f>SUMIFS('J Book Items Cons.'!R$5:R$3360,'J Book Items Cons.'!E$5:E$3360,4,'J Book Items Cons.'!S$5:S$3360,"",'J Book Items Cons.'!U$5:U$3360,"USN",'J Book Items Cons.'!W$5:W$3360,"Salvage Ships &amp; Fleet Ocean Tugs",'J Book Items Cons.'!R$5:R$3360,"&lt;&gt;")+SUMIFS('J Book Items Cons.'!N$5:N$3360,'J Book Items Cons.'!E$5:E$3360,4,'J Book Items Cons.'!S$5:S$3360,"",'J Book Items Cons.'!U$5:U$3360,"USN",'J Book Items Cons.'!W$5:W$3360,"Salvage Ships &amp; Fleet Ocean Tugs",'J Book Items Cons.'!R$5:R$3360,"",'J Book Items Cons.'!N$5:N$3360,"&lt;&gt;")+SUMIFS('J Book Items Cons.'!L$5:L$3360,'J Book Items Cons.'!E$5:E$3360,4,'J Book Items Cons.'!S$5:S$3360,"",'J Book Items Cons.'!U$5:U$3360,"USN",'J Book Items Cons.'!W$5:W$3360,"Salvage Ships &amp; Fleet Ocean Tugs",'J Book Items Cons.'!R$5:R$3360,"",'J Book Items Cons.'!N$5:N$3360,"")+SUMIFS('J Book Items Cons.'!R$5:R$3360,'J Book Items Cons.'!E$5:E$3360,4,'J Book Items Cons.'!S$5:S$3360,"[PARENT]",'J Book Items Cons.'!U$5:U$3360,"USN",'J Book Items Cons.'!W$5:W$3360,"Salvage Ships &amp; Fleet Ocean Tugs",'J Book Items Cons.'!R$5:R$3360,"&lt;&gt;")+SUMIFS('J Book Items Cons.'!N$5:N$3360,'J Book Items Cons.'!E$5:E$3360,4,'J Book Items Cons.'!S$5:S$3360,"[PARENT]",'J Book Items Cons.'!U$5:U$3360,"USN",'J Book Items Cons.'!W$5:W$3360,"Salvage Ships &amp; Fleet Ocean Tugs",'J Book Items Cons.'!R$5:R$3360,"",'J Book Items Cons.'!N$5:N$3360,"&lt;&gt;")+SUMIFS('J Book Items Cons.'!L$5:L$3360,'J Book Items Cons.'!E$5:E$3360,4,'J Book Items Cons.'!S$5:S$3360,"[PARENT]",'J Book Items Cons.'!U$5:U$3360,"USN",'J Book Items Cons.'!W$5:W$3360,"Salvage Ships &amp; Fleet Ocean Tugs",'J Book Items Cons.'!R$5:R$3360,"",'J Book Items Cons.'!N$5:N$3360,"")</f>
        <v>0</v>
      </c>
      <c r="Z47" s="14">
        <f>SUMIFS('J Book Items Cons.'!R$5:R$3360,'J Book Items Cons.'!E$5:E$3360,4,'J Book Items Cons.'!S$5:S$3360,"",'J Book Items Cons.'!U$5:U$3360,"USN",'J Book Items Cons.'!W$5:W$3360,"Sealift Support Craft",'J Book Items Cons.'!R$5:R$3360,"&lt;&gt;")+SUMIFS('J Book Items Cons.'!N$5:N$3360,'J Book Items Cons.'!E$5:E$3360,4,'J Book Items Cons.'!S$5:S$3360,"",'J Book Items Cons.'!U$5:U$3360,"USN",'J Book Items Cons.'!W$5:W$3360,"Sealift Support Craft",'J Book Items Cons.'!R$5:R$3360,"",'J Book Items Cons.'!N$5:N$3360,"&lt;&gt;")+SUMIFS('J Book Items Cons.'!L$5:L$3360,'J Book Items Cons.'!E$5:E$3360,4,'J Book Items Cons.'!S$5:S$3360,"",'J Book Items Cons.'!U$5:U$3360,"USN",'J Book Items Cons.'!W$5:W$3360,"Sealift Support Craft",'J Book Items Cons.'!R$5:R$3360,"",'J Book Items Cons.'!N$5:N$3360,"")+SUMIFS('J Book Items Cons.'!R$5:R$3360,'J Book Items Cons.'!E$5:E$3360,4,'J Book Items Cons.'!S$5:S$3360,"[PARENT]",'J Book Items Cons.'!U$5:U$3360,"USN",'J Book Items Cons.'!W$5:W$3360,"Sealift Support Craft",'J Book Items Cons.'!R$5:R$3360,"&lt;&gt;")+SUMIFS('J Book Items Cons.'!N$5:N$3360,'J Book Items Cons.'!E$5:E$3360,4,'J Book Items Cons.'!S$5:S$3360,"[PARENT]",'J Book Items Cons.'!U$5:U$3360,"USN",'J Book Items Cons.'!W$5:W$3360,"Sealift Support Craft",'J Book Items Cons.'!R$5:R$3360,"",'J Book Items Cons.'!N$5:N$3360,"&lt;&gt;")+SUMIFS('J Book Items Cons.'!L$5:L$3360,'J Book Items Cons.'!E$5:E$3360,4,'J Book Items Cons.'!S$5:S$3360,"[PARENT]",'J Book Items Cons.'!U$5:U$3360,"USN",'J Book Items Cons.'!W$5:W$3360,"Sealift Support Craft",'J Book Items Cons.'!R$5:R$3360,"",'J Book Items Cons.'!N$5:N$3360,"")</f>
        <v>0</v>
      </c>
      <c r="AA47" s="14">
        <f>SUMIFS('J Book Items Cons.'!R$5:R$3360,'J Book Items Cons.'!E$5:E$3360,4,'J Book Items Cons.'!S$5:S$3360,"",'J Book Items Cons.'!U$5:U$3360,"USN",'J Book Items Cons.'!W$5:W$3360,"Special Warfare Craft",'J Book Items Cons.'!R$5:R$3360,"&lt;&gt;")+SUMIFS('J Book Items Cons.'!N$5:N$3360,'J Book Items Cons.'!E$5:E$3360,4,'J Book Items Cons.'!S$5:S$3360,"",'J Book Items Cons.'!U$5:U$3360,"USN",'J Book Items Cons.'!W$5:W$3360,"Special Warfare Craft",'J Book Items Cons.'!R$5:R$3360,"",'J Book Items Cons.'!N$5:N$3360,"&lt;&gt;")+SUMIFS('J Book Items Cons.'!L$5:L$3360,'J Book Items Cons.'!E$5:E$3360,4,'J Book Items Cons.'!S$5:S$3360,"",'J Book Items Cons.'!U$5:U$3360,"USN",'J Book Items Cons.'!W$5:W$3360,"Special Warfare Craft",'J Book Items Cons.'!R$5:R$3360,"",'J Book Items Cons.'!N$5:N$3360,"")+SUMIFS('J Book Items Cons.'!R$5:R$3360,'J Book Items Cons.'!E$5:E$3360,4,'J Book Items Cons.'!S$5:S$3360,"[PARENT]",'J Book Items Cons.'!U$5:U$3360,"USN",'J Book Items Cons.'!W$5:W$3360,"Special Warfare Craft",'J Book Items Cons.'!R$5:R$3360,"&lt;&gt;")+SUMIFS('J Book Items Cons.'!N$5:N$3360,'J Book Items Cons.'!E$5:E$3360,4,'J Book Items Cons.'!S$5:S$3360,"[PARENT]",'J Book Items Cons.'!U$5:U$3360,"USN",'J Book Items Cons.'!W$5:W$3360,"Special Warfare Craft",'J Book Items Cons.'!R$5:R$3360,"",'J Book Items Cons.'!N$5:N$3360,"&lt;&gt;")+SUMIFS('J Book Items Cons.'!L$5:L$3360,'J Book Items Cons.'!E$5:E$3360,4,'J Book Items Cons.'!S$5:S$3360,"[PARENT]",'J Book Items Cons.'!U$5:U$3360,"USN",'J Book Items Cons.'!W$5:W$3360,"Special Warfare Craft",'J Book Items Cons.'!R$5:R$3360,"",'J Book Items Cons.'!N$5:N$3360,"")</f>
        <v>0</v>
      </c>
      <c r="AB47" s="14">
        <f>SUMIFS('J Book Items Cons.'!R$5:R$3360,'J Book Items Cons.'!E$5:E$3360,4,'J Book Items Cons.'!S$5:S$3360,"",'J Book Items Cons.'!U$5:U$3360,"USN",'J Book Items Cons.'!W$5:W$3360,"Submarine Escort Ship",'J Book Items Cons.'!R$5:R$3360,"&lt;&gt;")+SUMIFS('J Book Items Cons.'!N$5:N$3360,'J Book Items Cons.'!E$5:E$3360,4,'J Book Items Cons.'!S$5:S$3360,"",'J Book Items Cons.'!U$5:U$3360,"USN",'J Book Items Cons.'!W$5:W$3360,"Submarine Escort Ship",'J Book Items Cons.'!R$5:R$3360,"",'J Book Items Cons.'!N$5:N$3360,"&lt;&gt;")+SUMIFS('J Book Items Cons.'!L$5:L$3360,'J Book Items Cons.'!E$5:E$3360,4,'J Book Items Cons.'!S$5:S$3360,"",'J Book Items Cons.'!U$5:U$3360,"USN",'J Book Items Cons.'!W$5:W$3360,"Submarine Escort Ship",'J Book Items Cons.'!R$5:R$3360,"",'J Book Items Cons.'!N$5:N$3360,"")+SUMIFS('J Book Items Cons.'!R$5:R$3360,'J Book Items Cons.'!E$5:E$3360,4,'J Book Items Cons.'!S$5:S$3360,"[PARENT]",'J Book Items Cons.'!U$5:U$3360,"USN",'J Book Items Cons.'!W$5:W$3360,"Submarine Escort Ship",'J Book Items Cons.'!R$5:R$3360,"&lt;&gt;")+SUMIFS('J Book Items Cons.'!N$5:N$3360,'J Book Items Cons.'!E$5:E$3360,4,'J Book Items Cons.'!S$5:S$3360,"[PARENT]",'J Book Items Cons.'!U$5:U$3360,"USN",'J Book Items Cons.'!W$5:W$3360,"Submarine Escort Ship",'J Book Items Cons.'!R$5:R$3360,"",'J Book Items Cons.'!N$5:N$3360,"&lt;&gt;")+SUMIFS('J Book Items Cons.'!L$5:L$3360,'J Book Items Cons.'!E$5:E$3360,4,'J Book Items Cons.'!S$5:S$3360,"[PARENT]",'J Book Items Cons.'!U$5:U$3360,"USN",'J Book Items Cons.'!W$5:W$3360,"Submarine Escort Ship",'J Book Items Cons.'!R$5:R$3360,"",'J Book Items Cons.'!N$5:N$3360,"")</f>
        <v>0</v>
      </c>
      <c r="AC47" s="14">
        <f>SUMIFS('J Book Items Cons.'!R$5:R$3360,'J Book Items Cons.'!E$5:E$3360,4,'J Book Items Cons.'!S$5:S$3360,"",'J Book Items Cons.'!U$5:U$3360,"MSC",'J Book Items Cons.'!W$5:W$3360,"Expeditionary &amp; Seabasing Ships",'J Book Items Cons.'!R$5:R$3360,"&lt;&gt;")+SUMIFS('J Book Items Cons.'!N$5:N$3360,'J Book Items Cons.'!E$5:E$3360,4,'J Book Items Cons.'!S$5:S$3360,"",'J Book Items Cons.'!U$5:U$3360,"MSC",'J Book Items Cons.'!W$5:W$3360,"Expeditionary &amp; Seabasing Ships",'J Book Items Cons.'!R$5:R$3360,"",'J Book Items Cons.'!N$5:N$3360,"&lt;&gt;")+SUMIFS('J Book Items Cons.'!L$5:L$3360,'J Book Items Cons.'!E$5:E$3360,4,'J Book Items Cons.'!S$5:S$3360,"",'J Book Items Cons.'!U$5:U$3360,"MSC",'J Book Items Cons.'!W$5:W$3360,"Expeditionary &amp; Seabasing Ships",'J Book Items Cons.'!R$5:R$3360,"",'J Book Items Cons.'!N$5:N$3360,"")+SUMIFS('J Book Items Cons.'!R$5:R$3360,'J Book Items Cons.'!E$5:E$3360,4,'J Book Items Cons.'!S$5:S$3360,"[PARENT]",'J Book Items Cons.'!U$5:U$3360,"MSC",'J Book Items Cons.'!W$5:W$3360,"Expeditionary &amp; Seabasing Ships",'J Book Items Cons.'!R$5:R$3360,"&lt;&gt;")+SUMIFS('J Book Items Cons.'!N$5:N$3360,'J Book Items Cons.'!E$5:E$3360,4,'J Book Items Cons.'!S$5:S$3360,"[PARENT]",'J Book Items Cons.'!U$5:U$3360,"MSC",'J Book Items Cons.'!W$5:W$3360,"Expeditionary &amp; Seabasing Ships",'J Book Items Cons.'!R$5:R$3360,"",'J Book Items Cons.'!N$5:N$3360,"&lt;&gt;")+SUMIFS('J Book Items Cons.'!L$5:L$3360,'J Book Items Cons.'!E$5:E$3360,4,'J Book Items Cons.'!S$5:S$3360,"[PARENT]",'J Book Items Cons.'!U$5:U$3360,"MSC",'J Book Items Cons.'!W$5:W$3360,"Expeditionary &amp; Seabasing Ships",'J Book Items Cons.'!R$5:R$3360,"",'J Book Items Cons.'!N$5:N$3360,"")</f>
        <v>0</v>
      </c>
      <c r="AD47" s="14">
        <f>SUMIFS('J Book Items Cons.'!R$5:R$3360,'J Book Items Cons.'!E$5:E$3360,4,'J Book Items Cons.'!S$5:S$3360,"",'J Book Items Cons.'!U$5:U$3360,"MSC",'J Book Items Cons.'!W$5:W$3360,"Hospital Ship",'J Book Items Cons.'!R$5:R$3360,"&lt;&gt;")+SUMIFS('J Book Items Cons.'!N$5:N$3360,'J Book Items Cons.'!E$5:E$3360,4,'J Book Items Cons.'!S$5:S$3360,"",'J Book Items Cons.'!U$5:U$3360,"MSC",'J Book Items Cons.'!W$5:W$3360,"Hospital Ship",'J Book Items Cons.'!R$5:R$3360,"",'J Book Items Cons.'!N$5:N$3360,"&lt;&gt;")+SUMIFS('J Book Items Cons.'!L$5:L$3360,'J Book Items Cons.'!E$5:E$3360,4,'J Book Items Cons.'!S$5:S$3360,"",'J Book Items Cons.'!U$5:U$3360,"MSC",'J Book Items Cons.'!W$5:W$3360,"Hospital Ship",'J Book Items Cons.'!R$5:R$3360,"",'J Book Items Cons.'!N$5:N$3360,"")+SUMIFS('J Book Items Cons.'!R$5:R$3360,'J Book Items Cons.'!E$5:E$3360,4,'J Book Items Cons.'!S$5:S$3360,"[PARENT]",'J Book Items Cons.'!U$5:U$3360,"MSC",'J Book Items Cons.'!W$5:W$3360,"Hospital Ship",'J Book Items Cons.'!R$5:R$3360,"&lt;&gt;")+SUMIFS('J Book Items Cons.'!N$5:N$3360,'J Book Items Cons.'!E$5:E$3360,4,'J Book Items Cons.'!S$5:S$3360,"[PARENT]",'J Book Items Cons.'!U$5:U$3360,"MSC",'J Book Items Cons.'!W$5:W$3360,"Hospital Ship",'J Book Items Cons.'!R$5:R$3360,"",'J Book Items Cons.'!N$5:N$3360,"&lt;&gt;")+SUMIFS('J Book Items Cons.'!L$5:L$3360,'J Book Items Cons.'!E$5:E$3360,4,'J Book Items Cons.'!S$5:S$3360,"[PARENT]",'J Book Items Cons.'!U$5:U$3360,"MSC",'J Book Items Cons.'!W$5:W$3360,"Hospital Ship",'J Book Items Cons.'!R$5:R$3360,"",'J Book Items Cons.'!N$5:N$3360,"")</f>
        <v>0</v>
      </c>
      <c r="AE47" s="26">
        <f>SUMIFS('J Book Items Cons.'!R$5:R$3360,'J Book Items Cons.'!E$5:E$3360,4,'J Book Items Cons.'!S$5:S$3360,"",'J Book Items Cons.'!U$5:U$3360,"MSC",'J Book Items Cons.'!W$5:W$3360,"Research, Survey &amp; Instrumentation Ships",'J Book Items Cons.'!R$5:R$3360,"&lt;&gt;")+SUMIFS('J Book Items Cons.'!N$5:N$3360,'J Book Items Cons.'!E$5:E$3360,4,'J Book Items Cons.'!S$5:S$3360,"",'J Book Items Cons.'!U$5:U$3360,"MSC",'J Book Items Cons.'!W$5:W$3360,"Research, Survey &amp; Instrumentation Ships",'J Book Items Cons.'!R$5:R$3360,"",'J Book Items Cons.'!N$5:N$3360,"&lt;&gt;")+SUMIFS('J Book Items Cons.'!L$5:L$3360,'J Book Items Cons.'!E$5:E$3360,4,'J Book Items Cons.'!S$5:S$3360,"",'J Book Items Cons.'!U$5:U$3360,"MSC",'J Book Items Cons.'!W$5:W$3360,"Research, Survey &amp; Instrumentation Ships",'J Book Items Cons.'!R$5:R$3360,"",'J Book Items Cons.'!N$5:N$3360,"")+SUMIFS('J Book Items Cons.'!R$5:R$3360,'J Book Items Cons.'!E$5:E$3360,4,'J Book Items Cons.'!S$5:S$3360,"[PARENT]",'J Book Items Cons.'!U$5:U$3360,"MSC",'J Book Items Cons.'!W$5:W$3360,"Research, Survey &amp; Instrumentation Ships",'J Book Items Cons.'!R$5:R$3360,"&lt;&gt;")+SUMIFS('J Book Items Cons.'!N$5:N$3360,'J Book Items Cons.'!E$5:E$3360,4,'J Book Items Cons.'!S$5:S$3360,"[PARENT]",'J Book Items Cons.'!U$5:U$3360,"MSC",'J Book Items Cons.'!W$5:W$3360,"Research, Survey &amp; Instrumentation Ships",'J Book Items Cons.'!R$5:R$3360,"",'J Book Items Cons.'!N$5:N$3360,"&lt;&gt;")+SUMIFS('J Book Items Cons.'!L$5:L$3360,'J Book Items Cons.'!E$5:E$3360,4,'J Book Items Cons.'!S$5:S$3360,"[PARENT]",'J Book Items Cons.'!U$5:U$3360,"MSC",'J Book Items Cons.'!W$5:W$3360,"Research, Survey &amp; Instrumentation Ships",'J Book Items Cons.'!R$5:R$3360,"",'J Book Items Cons.'!N$5:N$3360,"")</f>
        <v>0</v>
      </c>
      <c r="AF47" s="25">
        <f>SUMIFS('J Book Items Cons.'!R$5:R$3360,'J Book Items Cons.'!E$5:E$3360,4,'J Book Items Cons.'!S$5:S$3360,"",'J Book Items Cons.'!U$5:U$3360,"USCG",'J Book Items Cons.'!W$5:W$3360,"Offshore Patrol Cutter",'J Book Items Cons.'!R$5:R$3360,"&lt;&gt;")+SUMIFS('J Book Items Cons.'!N$5:N$3360,'J Book Items Cons.'!E$5:E$3360,4,'J Book Items Cons.'!S$5:S$3360,"",'J Book Items Cons.'!U$5:U$3360,"USCG",'J Book Items Cons.'!W$5:W$3360,"Offshore Patrol Cutter",'J Book Items Cons.'!R$5:R$3360,"",'J Book Items Cons.'!N$5:N$3360,"&lt;&gt;")+SUMIFS('J Book Items Cons.'!L$5:L$3360,'J Book Items Cons.'!E$5:E$3360,4,'J Book Items Cons.'!S$5:S$3360,"",'J Book Items Cons.'!U$5:U$3360,"USCG",'J Book Items Cons.'!W$5:W$3360,"Offshore Patrol Cutter",'J Book Items Cons.'!R$5:R$3360,"",'J Book Items Cons.'!N$5:N$3360,"")+SUMIFS('J Book Items Cons.'!R$5:R$3360,'J Book Items Cons.'!E$5:E$3360,4,'J Book Items Cons.'!S$5:S$3360,"[PARENT]",'J Book Items Cons.'!U$5:U$3360,"USCG",'J Book Items Cons.'!W$5:W$3360,"Offshore Patrol Cutter",'J Book Items Cons.'!R$5:R$3360,"&lt;&gt;")+SUMIFS('J Book Items Cons.'!N$5:N$3360,'J Book Items Cons.'!E$5:E$3360,4,'J Book Items Cons.'!S$5:S$3360,"[PARENT]",'J Book Items Cons.'!U$5:U$3360,"USCG",'J Book Items Cons.'!W$5:W$3360,"Offshore Patrol Cutter",'J Book Items Cons.'!R$5:R$3360,"",'J Book Items Cons.'!N$5:N$3360,"&lt;&gt;")+SUMIFS('J Book Items Cons.'!L$5:L$3360,'J Book Items Cons.'!E$5:E$3360,4,'J Book Items Cons.'!S$5:S$3360,"[PARENT]",'J Book Items Cons.'!U$5:U$3360,"USCG",'J Book Items Cons.'!W$5:W$3360,"Offshore Patrol Cutter",'J Book Items Cons.'!R$5:R$3360,"",'J Book Items Cons.'!N$5:N$3360,"")</f>
        <v>0</v>
      </c>
      <c r="AG47" s="14">
        <f>SUMIFS('J Book Items Cons.'!R$5:R$3360,'J Book Items Cons.'!E$5:E$3360,4,'J Book Items Cons.'!S$5:S$3360,"",'J Book Items Cons.'!U$5:U$3360,"USCG",'J Book Items Cons.'!W$5:W$3360,"Fast Response Cutters",'J Book Items Cons.'!R$5:R$3360,"&lt;&gt;")+SUMIFS('J Book Items Cons.'!N$5:N$3360,'J Book Items Cons.'!E$5:E$3360,4,'J Book Items Cons.'!S$5:S$3360,"",'J Book Items Cons.'!U$5:U$3360,"USCG",'J Book Items Cons.'!W$5:W$3360,"Fast Response Cutters",'J Book Items Cons.'!R$5:R$3360,"",'J Book Items Cons.'!N$5:N$3360,"&lt;&gt;")+SUMIFS('J Book Items Cons.'!L$5:L$3360,'J Book Items Cons.'!E$5:E$3360,4,'J Book Items Cons.'!S$5:S$3360,"",'J Book Items Cons.'!U$5:U$3360,"USCG",'J Book Items Cons.'!W$5:W$3360,"Fast Response Cutters",'J Book Items Cons.'!R$5:R$3360,"",'J Book Items Cons.'!N$5:N$3360,"")+SUMIFS('J Book Items Cons.'!R$5:R$3360,'J Book Items Cons.'!E$5:E$3360,4,'J Book Items Cons.'!S$5:S$3360,"[PARENT]",'J Book Items Cons.'!U$5:U$3360,"USCG",'J Book Items Cons.'!W$5:W$3360,"Fast Response Cutters",'J Book Items Cons.'!R$5:R$3360,"&lt;&gt;")+SUMIFS('J Book Items Cons.'!N$5:N$3360,'J Book Items Cons.'!E$5:E$3360,4,'J Book Items Cons.'!S$5:S$3360,"[PARENT]",'J Book Items Cons.'!U$5:U$3360,"USCG",'J Book Items Cons.'!W$5:W$3360,"Fast Response Cutters",'J Book Items Cons.'!R$5:R$3360,"",'J Book Items Cons.'!N$5:N$3360,"&lt;&gt;")+SUMIFS('J Book Items Cons.'!L$5:L$3360,'J Book Items Cons.'!E$5:E$3360,4,'J Book Items Cons.'!S$5:S$3360,"[PARENT]",'J Book Items Cons.'!U$5:U$3360,"USCG",'J Book Items Cons.'!W$5:W$3360,"Fast Response Cutters",'J Book Items Cons.'!R$5:R$3360,"",'J Book Items Cons.'!N$5:N$3360,"")</f>
        <v>0</v>
      </c>
      <c r="AH47" s="14">
        <f>SUMIFS('J Book Items Cons.'!R$5:R$3360,'J Book Items Cons.'!E$5:E$3360,4,'J Book Items Cons.'!S$5:S$3360,"",'J Book Items Cons.'!U$5:U$3360,"USCG",'J Book Items Cons.'!W$5:W$3360,"Icebreakers, Oceangoing",'J Book Items Cons.'!R$5:R$3360,"&lt;&gt;")+SUMIFS('J Book Items Cons.'!N$5:N$3360,'J Book Items Cons.'!E$5:E$3360,4,'J Book Items Cons.'!S$5:S$3360,"",'J Book Items Cons.'!U$5:U$3360,"USCG",'J Book Items Cons.'!W$5:W$3360,"Icebreakers, Oceangoing",'J Book Items Cons.'!R$5:R$3360,"",'J Book Items Cons.'!N$5:N$3360,"&lt;&gt;")+SUMIFS('J Book Items Cons.'!L$5:L$3360,'J Book Items Cons.'!E$5:E$3360,4,'J Book Items Cons.'!S$5:S$3360,"",'J Book Items Cons.'!U$5:U$3360,"USCG",'J Book Items Cons.'!W$5:W$3360,"Icebreakers, Oceangoing",'J Book Items Cons.'!R$5:R$3360,"",'J Book Items Cons.'!N$5:N$3360,"")+SUMIFS('J Book Items Cons.'!R$5:R$3360,'J Book Items Cons.'!E$5:E$3360,4,'J Book Items Cons.'!S$5:S$3360,"[PARENT]",'J Book Items Cons.'!U$5:U$3360,"USCG",'J Book Items Cons.'!W$5:W$3360,"Icebreakers, Oceangoing",'J Book Items Cons.'!R$5:R$3360,"&lt;&gt;")+SUMIFS('J Book Items Cons.'!N$5:N$3360,'J Book Items Cons.'!E$5:E$3360,4,'J Book Items Cons.'!S$5:S$3360,"[PARENT]",'J Book Items Cons.'!U$5:U$3360,"USCG",'J Book Items Cons.'!W$5:W$3360,"Icebreakers, Oceangoing",'J Book Items Cons.'!R$5:R$3360,"",'J Book Items Cons.'!N$5:N$3360,"&lt;&gt;")+SUMIFS('J Book Items Cons.'!L$5:L$3360,'J Book Items Cons.'!E$5:E$3360,4,'J Book Items Cons.'!S$5:S$3360,"[PARENT]",'J Book Items Cons.'!U$5:U$3360,"USCG",'J Book Items Cons.'!W$5:W$3360,"Icebreakers, Oceangoing",'J Book Items Cons.'!R$5:R$3360,"",'J Book Items Cons.'!N$5:N$3360,"")</f>
        <v>0</v>
      </c>
      <c r="AI47" s="14">
        <f>SUMIFS('J Book Items Cons.'!R$5:R$3360,'J Book Items Cons.'!E$5:E$3360,4,'J Book Items Cons.'!S$5:S$3360,"",'J Book Items Cons.'!U$5:U$3360,"USCG",'J Book Items Cons.'!W$5:W$3360,"Waterways Commerce Cutters",'J Book Items Cons.'!R$5:R$3360,"&lt;&gt;")+SUMIFS('J Book Items Cons.'!N$5:N$3360,'J Book Items Cons.'!E$5:E$3360,4,'J Book Items Cons.'!S$5:S$3360,"",'J Book Items Cons.'!U$5:U$3360,"USCG",'J Book Items Cons.'!W$5:W$3360,"Waterways Commerce Cutters",'J Book Items Cons.'!R$5:R$3360,"",'J Book Items Cons.'!N$5:N$3360,"&lt;&gt;")+SUMIFS('J Book Items Cons.'!L$5:L$3360,'J Book Items Cons.'!E$5:E$3360,4,'J Book Items Cons.'!S$5:S$3360,"",'J Book Items Cons.'!U$5:U$3360,"USCG",'J Book Items Cons.'!W$5:W$3360,"Waterways Commerce Cutters",'J Book Items Cons.'!R$5:R$3360,"",'J Book Items Cons.'!N$5:N$3360,"")+SUMIFS('J Book Items Cons.'!R$5:R$3360,'J Book Items Cons.'!E$5:E$3360,4,'J Book Items Cons.'!S$5:S$3360,"[PARENT]",'J Book Items Cons.'!U$5:U$3360,"USCG",'J Book Items Cons.'!W$5:W$3360,"Waterways Commerce Cutters",'J Book Items Cons.'!R$5:R$3360,"&lt;&gt;")+SUMIFS('J Book Items Cons.'!N$5:N$3360,'J Book Items Cons.'!E$5:E$3360,4,'J Book Items Cons.'!S$5:S$3360,"[PARENT]",'J Book Items Cons.'!U$5:U$3360,"USCG",'J Book Items Cons.'!W$5:W$3360,"Waterways Commerce Cutters",'J Book Items Cons.'!R$5:R$3360,"",'J Book Items Cons.'!N$5:N$3360,"&lt;&gt;")+SUMIFS('J Book Items Cons.'!L$5:L$3360,'J Book Items Cons.'!E$5:E$3360,4,'J Book Items Cons.'!S$5:S$3360,"[PARENT]",'J Book Items Cons.'!U$5:U$3360,"USCG",'J Book Items Cons.'!W$5:W$3360,"Waterways Commerce Cutters",'J Book Items Cons.'!R$5:R$3360,"",'J Book Items Cons.'!N$5:N$3360,"")</f>
        <v>0</v>
      </c>
      <c r="AJ47" s="14">
        <f>SUMIFS('J Book Items Cons.'!R$5:R$3360,'J Book Items Cons.'!E$5:E$3360,4,'J Book Items Cons.'!S$5:S$3360,"",'J Book Items Cons.'!U$5:U$3360,"USCG",'J Book Items Cons.'!W$5:W$3360,"National Security Cutters",'J Book Items Cons.'!R$5:R$3360,"&lt;&gt;")+SUMIFS('J Book Items Cons.'!N$5:N$3360,'J Book Items Cons.'!E$5:E$3360,4,'J Book Items Cons.'!S$5:S$3360,"",'J Book Items Cons.'!U$5:U$3360,"USCG",'J Book Items Cons.'!W$5:W$3360,"National Security Cutters",'J Book Items Cons.'!R$5:R$3360,"",'J Book Items Cons.'!N$5:N$3360,"&lt;&gt;")+SUMIFS('J Book Items Cons.'!L$5:L$3360,'J Book Items Cons.'!E$5:E$3360,4,'J Book Items Cons.'!S$5:S$3360,"",'J Book Items Cons.'!U$5:U$3360,"USCG",'J Book Items Cons.'!W$5:W$3360,"National Security Cutters",'J Book Items Cons.'!R$5:R$3360,"",'J Book Items Cons.'!N$5:N$3360,"")+SUMIFS('J Book Items Cons.'!R$5:R$3360,'J Book Items Cons.'!E$5:E$3360,4,'J Book Items Cons.'!S$5:S$3360,"[PARENT]",'J Book Items Cons.'!U$5:U$3360,"USCG",'J Book Items Cons.'!W$5:W$3360,"National Security Cutters",'J Book Items Cons.'!R$5:R$3360,"&lt;&gt;")+SUMIFS('J Book Items Cons.'!N$5:N$3360,'J Book Items Cons.'!E$5:E$3360,4,'J Book Items Cons.'!S$5:S$3360,"[PARENT]",'J Book Items Cons.'!U$5:U$3360,"USCG",'J Book Items Cons.'!W$5:W$3360,"National Security Cutters",'J Book Items Cons.'!R$5:R$3360,"",'J Book Items Cons.'!N$5:N$3360,"&lt;&gt;")+SUMIFS('J Book Items Cons.'!L$5:L$3360,'J Book Items Cons.'!E$5:E$3360,4,'J Book Items Cons.'!S$5:S$3360,"[PARENT]",'J Book Items Cons.'!U$5:U$3360,"USCG",'J Book Items Cons.'!W$5:W$3360,"National Security Cutters",'J Book Items Cons.'!R$5:R$3360,"",'J Book Items Cons.'!N$5:N$3360,"")</f>
        <v>31000</v>
      </c>
      <c r="AK47" s="14">
        <f>SUMIFS('J Book Items Cons.'!R$5:R$3360,'J Book Items Cons.'!E$5:E$3360,4,'J Book Items Cons.'!S$5:S$3360,"",'J Book Items Cons.'!U$5:U$3360,"USCG",'J Book Items Cons.'!W$5:W$3360,"Coastal Buoy Tenders",'J Book Items Cons.'!R$5:R$3360,"&lt;&gt;")+SUMIFS('J Book Items Cons.'!N$5:N$3360,'J Book Items Cons.'!E$5:E$3360,4,'J Book Items Cons.'!S$5:S$3360,"",'J Book Items Cons.'!U$5:U$3360,"USCG",'J Book Items Cons.'!W$5:W$3360,"Coastal Buoy Tenders",'J Book Items Cons.'!R$5:R$3360,"",'J Book Items Cons.'!N$5:N$3360,"&lt;&gt;")+SUMIFS('J Book Items Cons.'!L$5:L$3360,'J Book Items Cons.'!E$5:E$3360,4,'J Book Items Cons.'!S$5:S$3360,"",'J Book Items Cons.'!U$5:U$3360,"USCG",'J Book Items Cons.'!W$5:W$3360,"Coastal Buoy Tenders",'J Book Items Cons.'!R$5:R$3360,"",'J Book Items Cons.'!N$5:N$3360,"")+SUMIFS('J Book Items Cons.'!R$5:R$3360,'J Book Items Cons.'!E$5:E$3360,4,'J Book Items Cons.'!S$5:S$3360,"[PARENT]",'J Book Items Cons.'!U$5:U$3360,"USCG",'J Book Items Cons.'!W$5:W$3360,"Coastal Buoy Tenders",'J Book Items Cons.'!R$5:R$3360,"&lt;&gt;")+SUMIFS('J Book Items Cons.'!N$5:N$3360,'J Book Items Cons.'!E$5:E$3360,4,'J Book Items Cons.'!S$5:S$3360,"[PARENT]",'J Book Items Cons.'!U$5:U$3360,"USCG",'J Book Items Cons.'!W$5:W$3360,"Coastal Buoy Tenders",'J Book Items Cons.'!R$5:R$3360,"",'J Book Items Cons.'!N$5:N$3360,"&lt;&gt;")+SUMIFS('J Book Items Cons.'!L$5:L$3360,'J Book Items Cons.'!E$5:E$3360,4,'J Book Items Cons.'!S$5:S$3360,"[PARENT]",'J Book Items Cons.'!U$5:U$3360,"USCG",'J Book Items Cons.'!W$5:W$3360,"Coastal Buoy Tenders",'J Book Items Cons.'!R$5:R$3360,"",'J Book Items Cons.'!N$5:N$3360,"")</f>
        <v>0</v>
      </c>
      <c r="AL47" s="26">
        <f>SUMIFS('J Book Items Cons.'!R$5:R$3360,'J Book Items Cons.'!E$5:E$3360,4,'J Book Items Cons.'!S$5:S$3360,"",'J Book Items Cons.'!U$5:U$3360,"USCG",'J Book Items Cons.'!W$5:W$3360,"Icebreakers, Great Lakes",'J Book Items Cons.'!R$5:R$3360,"&lt;&gt;")+SUMIFS('J Book Items Cons.'!N$5:N$3360,'J Book Items Cons.'!E$5:E$3360,4,'J Book Items Cons.'!S$5:S$3360,"",'J Book Items Cons.'!U$5:U$3360,"USCG",'J Book Items Cons.'!W$5:W$3360,"Icebreakers, Great Lakes",'J Book Items Cons.'!R$5:R$3360,"",'J Book Items Cons.'!N$5:N$3360,"&lt;&gt;")+SUMIFS('J Book Items Cons.'!L$5:L$3360,'J Book Items Cons.'!E$5:E$3360,4,'J Book Items Cons.'!S$5:S$3360,"",'J Book Items Cons.'!U$5:U$3360,"USCG",'J Book Items Cons.'!W$5:W$3360,"Icebreakers, Great Lakes",'J Book Items Cons.'!R$5:R$3360,"",'J Book Items Cons.'!N$5:N$3360,"")+SUMIFS('J Book Items Cons.'!R$5:R$3360,'J Book Items Cons.'!E$5:E$3360,4,'J Book Items Cons.'!S$5:S$3360,"[PARENT]",'J Book Items Cons.'!U$5:U$3360,"USCG",'J Book Items Cons.'!W$5:W$3360,"Icebreakers, Great Lakes",'J Book Items Cons.'!R$5:R$3360,"&lt;&gt;")+SUMIFS('J Book Items Cons.'!N$5:N$3360,'J Book Items Cons.'!E$5:E$3360,4,'J Book Items Cons.'!S$5:S$3360,"[PARENT]",'J Book Items Cons.'!U$5:U$3360,"USCG",'J Book Items Cons.'!W$5:W$3360,"Icebreakers, Great Lakes",'J Book Items Cons.'!R$5:R$3360,"",'J Book Items Cons.'!N$5:N$3360,"&lt;&gt;")+SUMIFS('J Book Items Cons.'!L$5:L$3360,'J Book Items Cons.'!E$5:E$3360,4,'J Book Items Cons.'!S$5:S$3360,"[PARENT]",'J Book Items Cons.'!U$5:U$3360,"USCG",'J Book Items Cons.'!W$5:W$3360,"Icebreakers, Great Lakes",'J Book Items Cons.'!R$5:R$3360,"",'J Book Items Cons.'!N$5:N$3360,"")</f>
        <v>0</v>
      </c>
      <c r="AM47" s="14">
        <f t="shared" si="3"/>
        <v>10864556</v>
      </c>
    </row>
    <row r="48" spans="1:42" x14ac:dyDescent="0.15">
      <c r="A48" s="7" t="s">
        <v>8826</v>
      </c>
      <c r="B48" s="25">
        <f>SUMIFS('J Book Items Cons.'!R$5:R$3360,'J Book Items Cons.'!E$5:E$3360,5,'J Book Items Cons.'!S$5:S$3360,"",'J Book Items Cons.'!U$5:U$3360,"USN",'J Book Items Cons.'!W$5:W$3360,"Submarines",'J Book Items Cons.'!R$5:R$3360,"&lt;&gt;")+SUMIFS('J Book Items Cons.'!N$5:N$3360,'J Book Items Cons.'!E$5:E$3360,5,'J Book Items Cons.'!S$5:S$3360,"",'J Book Items Cons.'!U$5:U$3360,"USN",'J Book Items Cons.'!W$5:W$3360,"Submarines",'J Book Items Cons.'!R$5:R$3360,"",'J Book Items Cons.'!N$5:N$3360,"&lt;&gt;")+SUMIFS('J Book Items Cons.'!L$5:L$3360,'J Book Items Cons.'!E$5:E$3360,5,'J Book Items Cons.'!S$5:S$3360,"",'J Book Items Cons.'!U$5:U$3360,"USN",'J Book Items Cons.'!W$5:W$3360,"Submarines",'J Book Items Cons.'!R$5:R$3360,"",'J Book Items Cons.'!N$5:N$3360,"")+SUMIFS('J Book Items Cons.'!R$5:R$3360,'J Book Items Cons.'!E$5:E$3360,5,'J Book Items Cons.'!S$5:S$3360,"[PARENT]",'J Book Items Cons.'!U$5:U$3360,"USN",'J Book Items Cons.'!W$5:W$3360,"Submarines",'J Book Items Cons.'!R$5:R$3360,"&lt;&gt;")+SUMIFS('J Book Items Cons.'!N$5:N$3360,'J Book Items Cons.'!E$5:E$3360,5,'J Book Items Cons.'!S$5:S$3360,"[PARENT]",'J Book Items Cons.'!U$5:U$3360,"USN",'J Book Items Cons.'!W$5:W$3360,"Submarines",'J Book Items Cons.'!R$5:R$3360,"",'J Book Items Cons.'!N$5:N$3360,"&lt;&gt;")+SUMIFS('J Book Items Cons.'!L$5:L$3360,'J Book Items Cons.'!E$5:E$3360,5,'J Book Items Cons.'!S$5:S$3360,"[PARENT]",'J Book Items Cons.'!U$5:U$3360,"USN",'J Book Items Cons.'!W$5:W$3360,"Submarines",'J Book Items Cons.'!R$5:R$3360,"",'J Book Items Cons.'!N$5:N$3360,"")</f>
        <v>0</v>
      </c>
      <c r="C48" s="14">
        <f>SUMIFS('J Book Items Cons.'!R$5:R$3360,'J Book Items Cons.'!E$5:E$3360,5,'J Book Items Cons.'!S$5:S$3360,"",'J Book Items Cons.'!U$5:U$3360,"USN",'J Book Items Cons.'!W$5:W$3360,"Surface Combatants",'J Book Items Cons.'!R$5:R$3360,"&lt;&gt;")+SUMIFS('J Book Items Cons.'!N$5:N$3360,'J Book Items Cons.'!E$5:E$3360,5,'J Book Items Cons.'!S$5:S$3360,"",'J Book Items Cons.'!U$5:U$3360,"USN",'J Book Items Cons.'!W$5:W$3360,"Surface Combatants",'J Book Items Cons.'!R$5:R$3360,"",'J Book Items Cons.'!N$5:N$3360,"&lt;&gt;")+SUMIFS('J Book Items Cons.'!L$5:L$3360,'J Book Items Cons.'!E$5:E$3360,5,'J Book Items Cons.'!S$5:S$3360,"",'J Book Items Cons.'!U$5:U$3360,"USN",'J Book Items Cons.'!W$5:W$3360,"Surface Combatants",'J Book Items Cons.'!R$5:R$3360,"",'J Book Items Cons.'!N$5:N$3360,"")+SUMIFS('J Book Items Cons.'!R$5:R$3360,'J Book Items Cons.'!E$5:E$3360,5,'J Book Items Cons.'!S$5:S$3360,"[PARENT]",'J Book Items Cons.'!U$5:U$3360,"USN",'J Book Items Cons.'!W$5:W$3360,"Surface Combatants",'J Book Items Cons.'!R$5:R$3360,"&lt;&gt;")+SUMIFS('J Book Items Cons.'!N$5:N$3360,'J Book Items Cons.'!E$5:E$3360,5,'J Book Items Cons.'!S$5:S$3360,"[PARENT]",'J Book Items Cons.'!U$5:U$3360,"USN",'J Book Items Cons.'!W$5:W$3360,"Surface Combatants",'J Book Items Cons.'!R$5:R$3360,"",'J Book Items Cons.'!N$5:N$3360,"&lt;&gt;")+SUMIFS('J Book Items Cons.'!L$5:L$3360,'J Book Items Cons.'!E$5:E$3360,5,'J Book Items Cons.'!S$5:S$3360,"[PARENT]",'J Book Items Cons.'!U$5:U$3360,"USN",'J Book Items Cons.'!W$5:W$3360,"Surface Combatants",'J Book Items Cons.'!R$5:R$3360,"",'J Book Items Cons.'!N$5:N$3360,"")</f>
        <v>0</v>
      </c>
      <c r="D48" s="14">
        <f>SUMIFS('J Book Items Cons.'!R$5:R$3360,'J Book Items Cons.'!E$5:E$3360,5,'J Book Items Cons.'!S$5:S$3360,"",'J Book Items Cons.'!U$5:U$3360,"USN",'J Book Items Cons.'!W$5:W$3360,"Aircraft Carriers",'J Book Items Cons.'!R$5:R$3360,"&lt;&gt;")+SUMIFS('J Book Items Cons.'!N$5:N$3360,'J Book Items Cons.'!E$5:E$3360,5,'J Book Items Cons.'!S$5:S$3360,"",'J Book Items Cons.'!U$5:U$3360,"USN",'J Book Items Cons.'!W$5:W$3360,"Aircraft Carriers",'J Book Items Cons.'!R$5:R$3360,"",'J Book Items Cons.'!N$5:N$3360,"&lt;&gt;")+SUMIFS('J Book Items Cons.'!L$5:L$3360,'J Book Items Cons.'!E$5:E$3360,5,'J Book Items Cons.'!S$5:S$3360,"",'J Book Items Cons.'!U$5:U$3360,"USN",'J Book Items Cons.'!W$5:W$3360,"Aircraft Carriers",'J Book Items Cons.'!R$5:R$3360,"",'J Book Items Cons.'!N$5:N$3360,"")+SUMIFS('J Book Items Cons.'!R$5:R$3360,'J Book Items Cons.'!E$5:E$3360,5,'J Book Items Cons.'!S$5:S$3360,"[PARENT]",'J Book Items Cons.'!U$5:U$3360,"USN",'J Book Items Cons.'!W$5:W$3360,"Aircraft Carriers",'J Book Items Cons.'!R$5:R$3360,"&lt;&gt;")+SUMIFS('J Book Items Cons.'!N$5:N$3360,'J Book Items Cons.'!E$5:E$3360,5,'J Book Items Cons.'!S$5:S$3360,"[PARENT]",'J Book Items Cons.'!U$5:U$3360,"USN",'J Book Items Cons.'!W$5:W$3360,"Aircraft Carriers",'J Book Items Cons.'!R$5:R$3360,"",'J Book Items Cons.'!N$5:N$3360,"&lt;&gt;")+SUMIFS('J Book Items Cons.'!L$5:L$3360,'J Book Items Cons.'!E$5:E$3360,5,'J Book Items Cons.'!S$5:S$3360,"[PARENT]",'J Book Items Cons.'!U$5:U$3360,"USN",'J Book Items Cons.'!W$5:W$3360,"Aircraft Carriers",'J Book Items Cons.'!R$5:R$3360,"",'J Book Items Cons.'!N$5:N$3360,"")</f>
        <v>1579011</v>
      </c>
      <c r="E48" s="14">
        <f>SUMIFS('J Book Items Cons.'!R$5:R$3360,'J Book Items Cons.'!E$5:E$3360,5,'J Book Items Cons.'!S$5:S$3360,"",'J Book Items Cons.'!U$5:U$3360,"USN",'J Book Items Cons.'!W$5:W$3360,"Amphibious Warfare Ships",'J Book Items Cons.'!R$5:R$3360,"&lt;&gt;")+SUMIFS('J Book Items Cons.'!N$5:N$3360,'J Book Items Cons.'!E$5:E$3360,5,'J Book Items Cons.'!S$5:S$3360,"",'J Book Items Cons.'!U$5:U$3360,"USN",'J Book Items Cons.'!W$5:W$3360,"Amphibious Warfare Ships",'J Book Items Cons.'!R$5:R$3360,"",'J Book Items Cons.'!N$5:N$3360,"&lt;&gt;")+SUMIFS('J Book Items Cons.'!L$5:L$3360,'J Book Items Cons.'!E$5:E$3360,5,'J Book Items Cons.'!S$5:S$3360,"",'J Book Items Cons.'!U$5:U$3360,"USN",'J Book Items Cons.'!W$5:W$3360,"Amphibious Warfare Ships",'J Book Items Cons.'!R$5:R$3360,"",'J Book Items Cons.'!N$5:N$3360,"")+SUMIFS('J Book Items Cons.'!R$5:R$3360,'J Book Items Cons.'!E$5:E$3360,5,'J Book Items Cons.'!S$5:S$3360,"[PARENT]",'J Book Items Cons.'!U$5:U$3360,"USN",'J Book Items Cons.'!W$5:W$3360,"Amphibious Warfare Ships",'J Book Items Cons.'!R$5:R$3360,"&lt;&gt;")+SUMIFS('J Book Items Cons.'!N$5:N$3360,'J Book Items Cons.'!E$5:E$3360,5,'J Book Items Cons.'!S$5:S$3360,"[PARENT]",'J Book Items Cons.'!U$5:U$3360,"USN",'J Book Items Cons.'!W$5:W$3360,"Amphibious Warfare Ships",'J Book Items Cons.'!R$5:R$3360,"",'J Book Items Cons.'!N$5:N$3360,"&lt;&gt;")+SUMIFS('J Book Items Cons.'!L$5:L$3360,'J Book Items Cons.'!E$5:E$3360,5,'J Book Items Cons.'!S$5:S$3360,"[PARENT]",'J Book Items Cons.'!U$5:U$3360,"USN",'J Book Items Cons.'!W$5:W$3360,"Amphibious Warfare Ships",'J Book Items Cons.'!R$5:R$3360,"",'J Book Items Cons.'!N$5:N$3360,"")</f>
        <v>0</v>
      </c>
      <c r="F48" s="14">
        <f>SUMIFS('J Book Items Cons.'!R$5:R$3360,'J Book Items Cons.'!E$5:E$3360,5,'J Book Items Cons.'!S$5:S$3360,"",'J Book Items Cons.'!U$5:U$3360,"USN",'J Book Items Cons.'!W$5:W$3360,"Expeditionary &amp; Seabasing Ships",'J Book Items Cons.'!R$5:R$3360,"&lt;&gt;")+SUMIFS('J Book Items Cons.'!N$5:N$3360,'J Book Items Cons.'!E$5:E$3360,5,'J Book Items Cons.'!S$5:S$3360,"",'J Book Items Cons.'!U$5:U$3360,"USN",'J Book Items Cons.'!W$5:W$3360,"Expeditionary &amp; Seabasing Ships",'J Book Items Cons.'!R$5:R$3360,"",'J Book Items Cons.'!N$5:N$3360,"&lt;&gt;")+SUMIFS('J Book Items Cons.'!L$5:L$3360,'J Book Items Cons.'!E$5:E$3360,5,'J Book Items Cons.'!S$5:S$3360,"",'J Book Items Cons.'!U$5:U$3360,"USN",'J Book Items Cons.'!W$5:W$3360,"Expeditionary &amp; Seabasing Ships",'J Book Items Cons.'!R$5:R$3360,"",'J Book Items Cons.'!N$5:N$3360,"")+SUMIFS('J Book Items Cons.'!R$5:R$3360,'J Book Items Cons.'!E$5:E$3360,5,'J Book Items Cons.'!S$5:S$3360,"[PARENT]",'J Book Items Cons.'!U$5:U$3360,"USN",'J Book Items Cons.'!W$5:W$3360,"Expeditionary &amp; Seabasing Ships",'J Book Items Cons.'!R$5:R$3360,"&lt;&gt;")+SUMIFS('J Book Items Cons.'!N$5:N$3360,'J Book Items Cons.'!E$5:E$3360,5,'J Book Items Cons.'!S$5:S$3360,"[PARENT]",'J Book Items Cons.'!U$5:U$3360,"USN",'J Book Items Cons.'!W$5:W$3360,"Expeditionary &amp; Seabasing Ships",'J Book Items Cons.'!R$5:R$3360,"",'J Book Items Cons.'!N$5:N$3360,"&lt;&gt;")+SUMIFS('J Book Items Cons.'!L$5:L$3360,'J Book Items Cons.'!E$5:E$3360,5,'J Book Items Cons.'!S$5:S$3360,"[PARENT]",'J Book Items Cons.'!U$5:U$3360,"USN",'J Book Items Cons.'!W$5:W$3360,"Expeditionary &amp; Seabasing Ships",'J Book Items Cons.'!R$5:R$3360,"",'J Book Items Cons.'!N$5:N$3360,"")</f>
        <v>0</v>
      </c>
      <c r="G48" s="14">
        <f>SUMIFS('J Book Items Cons.'!R$5:R$3360,'J Book Items Cons.'!E$5:E$3360,5,'J Book Items Cons.'!S$5:S$3360,"",'J Book Items Cons.'!U$5:U$3360,"MSC",'J Book Items Cons.'!W$5:W$3360,"Combat Logistics Ships",'J Book Items Cons.'!R$5:R$3360,"&lt;&gt;")+SUMIFS('J Book Items Cons.'!N$5:N$3360,'J Book Items Cons.'!E$5:E$3360,5,'J Book Items Cons.'!S$5:S$3360,"",'J Book Items Cons.'!U$5:U$3360,"MSC",'J Book Items Cons.'!W$5:W$3360,"Combat Logistics Ships",'J Book Items Cons.'!R$5:R$3360,"",'J Book Items Cons.'!N$5:N$3360,"&lt;&gt;")+SUMIFS('J Book Items Cons.'!L$5:L$3360,'J Book Items Cons.'!E$5:E$3360,5,'J Book Items Cons.'!S$5:S$3360,"",'J Book Items Cons.'!U$5:U$3360,"MSC",'J Book Items Cons.'!W$5:W$3360,"Combat Logistics Ships",'J Book Items Cons.'!R$5:R$3360,"",'J Book Items Cons.'!N$5:N$3360,"")+SUMIFS('J Book Items Cons.'!R$5:R$3360,'J Book Items Cons.'!E$5:E$3360,5,'J Book Items Cons.'!S$5:S$3360,"[PARENT]",'J Book Items Cons.'!U$5:U$3360,"MSC",'J Book Items Cons.'!W$5:W$3360,"Combat Logistics Ships",'J Book Items Cons.'!R$5:R$3360,"&lt;&gt;")+SUMIFS('J Book Items Cons.'!N$5:N$3360,'J Book Items Cons.'!E$5:E$3360,5,'J Book Items Cons.'!S$5:S$3360,"[PARENT]",'J Book Items Cons.'!U$5:U$3360,"MSC",'J Book Items Cons.'!W$5:W$3360,"Combat Logistics Ships",'J Book Items Cons.'!R$5:R$3360,"",'J Book Items Cons.'!N$5:N$3360,"&lt;&gt;")+SUMIFS('J Book Items Cons.'!L$5:L$3360,'J Book Items Cons.'!E$5:E$3360,5,'J Book Items Cons.'!S$5:S$3360,"[PARENT]",'J Book Items Cons.'!U$5:U$3360,"MSC",'J Book Items Cons.'!W$5:W$3360,"Combat Logistics Ships",'J Book Items Cons.'!R$5:R$3360,"",'J Book Items Cons.'!N$5:N$3360,"")</f>
        <v>0</v>
      </c>
      <c r="H48" s="14">
        <f>SUMIFS('J Book Items Cons.'!R$5:R$3360,'J Book Items Cons.'!E$5:E$3360,5,'J Book Items Cons.'!S$5:S$3360,"",'J Book Items Cons.'!U$5:U$3360,"USN",'J Book Items Cons.'!W$5:W$3360,"Unmanned Surface Vehicles",'J Book Items Cons.'!R$5:R$3360,"&lt;&gt;")+SUMIFS('J Book Items Cons.'!N$5:N$3360,'J Book Items Cons.'!E$5:E$3360,5,'J Book Items Cons.'!S$5:S$3360,"",'J Book Items Cons.'!U$5:U$3360,"USN",'J Book Items Cons.'!W$5:W$3360,"Unmanned Surface Vehicles",'J Book Items Cons.'!R$5:R$3360,"",'J Book Items Cons.'!N$5:N$3360,"&lt;&gt;")+SUMIFS('J Book Items Cons.'!L$5:L$3360,'J Book Items Cons.'!E$5:E$3360,5,'J Book Items Cons.'!S$5:S$3360,"",'J Book Items Cons.'!U$5:U$3360,"USN",'J Book Items Cons.'!W$5:W$3360,"Unmanned Surface Vehicles",'J Book Items Cons.'!R$5:R$3360,"",'J Book Items Cons.'!N$5:N$3360,"")+SUMIFS('J Book Items Cons.'!R$5:R$3360,'J Book Items Cons.'!E$5:E$3360,5,'J Book Items Cons.'!S$5:S$3360,"[PARENT]",'J Book Items Cons.'!U$5:U$3360,"USN",'J Book Items Cons.'!W$5:W$3360,"Unmanned Surface Vehicles",'J Book Items Cons.'!R$5:R$3360,"&lt;&gt;")+SUMIFS('J Book Items Cons.'!N$5:N$3360,'J Book Items Cons.'!E$5:E$3360,5,'J Book Items Cons.'!S$5:S$3360,"[PARENT]",'J Book Items Cons.'!U$5:U$3360,"USN",'J Book Items Cons.'!W$5:W$3360,"Unmanned Surface Vehicles",'J Book Items Cons.'!R$5:R$3360,"",'J Book Items Cons.'!N$5:N$3360,"&lt;&gt;")+SUMIFS('J Book Items Cons.'!L$5:L$3360,'J Book Items Cons.'!E$5:E$3360,5,'J Book Items Cons.'!S$5:S$3360,"[PARENT]",'J Book Items Cons.'!U$5:U$3360,"USN",'J Book Items Cons.'!W$5:W$3360,"Unmanned Surface Vehicles",'J Book Items Cons.'!R$5:R$3360,"",'J Book Items Cons.'!N$5:N$3360,"")</f>
        <v>0</v>
      </c>
      <c r="I48" s="14">
        <f>SUMIFS('J Book Items Cons.'!R$5:R$3360,'J Book Items Cons.'!E$5:E$3360,5,'J Book Items Cons.'!S$5:S$3360,"",'J Book Items Cons.'!U$5:U$3360,"USN",'J Book Items Cons.'!W$5:W$3360,"Amphibious Warfare Craft",'J Book Items Cons.'!R$5:R$3360,"&lt;&gt;")+SUMIFS('J Book Items Cons.'!N$5:N$3360,'J Book Items Cons.'!E$5:E$3360,5,'J Book Items Cons.'!S$5:S$3360,"",'J Book Items Cons.'!U$5:U$3360,"USN",'J Book Items Cons.'!W$5:W$3360,"Amphibious Warfare Craft",'J Book Items Cons.'!R$5:R$3360,"",'J Book Items Cons.'!N$5:N$3360,"&lt;&gt;")+SUMIFS('J Book Items Cons.'!L$5:L$3360,'J Book Items Cons.'!E$5:E$3360,5,'J Book Items Cons.'!S$5:S$3360,"",'J Book Items Cons.'!U$5:U$3360,"USN",'J Book Items Cons.'!W$5:W$3360,"Amphibious Warfare Craft",'J Book Items Cons.'!R$5:R$3360,"",'J Book Items Cons.'!N$5:N$3360,"")+SUMIFS('J Book Items Cons.'!R$5:R$3360,'J Book Items Cons.'!E$5:E$3360,5,'J Book Items Cons.'!S$5:S$3360,"[PARENT]",'J Book Items Cons.'!U$5:U$3360,"USN",'J Book Items Cons.'!W$5:W$3360,"Amphibious Warfare Craft",'J Book Items Cons.'!R$5:R$3360,"&lt;&gt;")+SUMIFS('J Book Items Cons.'!N$5:N$3360,'J Book Items Cons.'!E$5:E$3360,5,'J Book Items Cons.'!S$5:S$3360,"[PARENT]",'J Book Items Cons.'!U$5:U$3360,"USN",'J Book Items Cons.'!W$5:W$3360,"Amphibious Warfare Craft",'J Book Items Cons.'!R$5:R$3360,"",'J Book Items Cons.'!N$5:N$3360,"&lt;&gt;")+SUMIFS('J Book Items Cons.'!L$5:L$3360,'J Book Items Cons.'!E$5:E$3360,5,'J Book Items Cons.'!S$5:S$3360,"[PARENT]",'J Book Items Cons.'!U$5:U$3360,"USN",'J Book Items Cons.'!W$5:W$3360,"Amphibious Warfare Craft",'J Book Items Cons.'!R$5:R$3360,"",'J Book Items Cons.'!N$5:N$3360,"")</f>
        <v>37390</v>
      </c>
      <c r="J48" s="14">
        <f>SUMIFS('J Book Items Cons.'!R$5:R$3360,'J Book Items Cons.'!E$5:E$3360,5,'J Book Items Cons.'!S$5:S$3360,"",'J Book Items Cons.'!U$5:U$3360,"MSC",'J Book Items Cons.'!W$5:W$3360,"Cargo &amp; Vehicle Cargo Ships",'J Book Items Cons.'!R$5:R$3360,"&lt;&gt;")+SUMIFS('J Book Items Cons.'!N$5:N$3360,'J Book Items Cons.'!E$5:E$3360,5,'J Book Items Cons.'!S$5:S$3360,"",'J Book Items Cons.'!U$5:U$3360,"MSC",'J Book Items Cons.'!W$5:W$3360,"Cargo &amp; Vehicle Cargo Ships",'J Book Items Cons.'!R$5:R$3360,"",'J Book Items Cons.'!N$5:N$3360,"&lt;&gt;")+SUMIFS('J Book Items Cons.'!L$5:L$3360,'J Book Items Cons.'!E$5:E$3360,5,'J Book Items Cons.'!S$5:S$3360,"",'J Book Items Cons.'!U$5:U$3360,"MSC",'J Book Items Cons.'!W$5:W$3360,"Cargo &amp; Vehicle Cargo Ships",'J Book Items Cons.'!R$5:R$3360,"",'J Book Items Cons.'!N$5:N$3360,"")+SUMIFS('J Book Items Cons.'!R$5:R$3360,'J Book Items Cons.'!E$5:E$3360,5,'J Book Items Cons.'!S$5:S$3360,"[PARENT]",'J Book Items Cons.'!U$5:U$3360,"MSC",'J Book Items Cons.'!W$5:W$3360,"Cargo &amp; Vehicle Cargo Ships",'J Book Items Cons.'!R$5:R$3360,"&lt;&gt;")+SUMIFS('J Book Items Cons.'!N$5:N$3360,'J Book Items Cons.'!E$5:E$3360,5,'J Book Items Cons.'!S$5:S$3360,"[PARENT]",'J Book Items Cons.'!U$5:U$3360,"MSC",'J Book Items Cons.'!W$5:W$3360,"Cargo &amp; Vehicle Cargo Ships",'J Book Items Cons.'!R$5:R$3360,"",'J Book Items Cons.'!N$5:N$3360,"&lt;&gt;")+SUMIFS('J Book Items Cons.'!L$5:L$3360,'J Book Items Cons.'!E$5:E$3360,5,'J Book Items Cons.'!S$5:S$3360,"[PARENT]",'J Book Items Cons.'!U$5:U$3360,"MSC",'J Book Items Cons.'!W$5:W$3360,"Cargo &amp; Vehicle Cargo Ships",'J Book Items Cons.'!R$5:R$3360,"",'J Book Items Cons.'!N$5:N$3360,"")</f>
        <v>0</v>
      </c>
      <c r="K48" s="14">
        <f>SUMIFS('J Book Items Cons.'!R$5:R$3360,'J Book Items Cons.'!E$5:E$3360,5,'J Book Items Cons.'!S$5:S$3360,"",'J Book Items Cons.'!U$5:U$3360,"MSC",'J Book Items Cons.'!W$5:W$3360,"Surveillance Ships",'J Book Items Cons.'!R$5:R$3360,"&lt;&gt;")+SUMIFS('J Book Items Cons.'!N$5:N$3360,'J Book Items Cons.'!E$5:E$3360,5,'J Book Items Cons.'!S$5:S$3360,"",'J Book Items Cons.'!U$5:U$3360,"MSC",'J Book Items Cons.'!W$5:W$3360,"Surveillance Ships",'J Book Items Cons.'!R$5:R$3360,"",'J Book Items Cons.'!N$5:N$3360,"&lt;&gt;")+SUMIFS('J Book Items Cons.'!L$5:L$3360,'J Book Items Cons.'!E$5:E$3360,5,'J Book Items Cons.'!S$5:S$3360,"",'J Book Items Cons.'!U$5:U$3360,"MSC",'J Book Items Cons.'!W$5:W$3360,"Surveillance Ships",'J Book Items Cons.'!R$5:R$3360,"",'J Book Items Cons.'!N$5:N$3360,"")+SUMIFS('J Book Items Cons.'!R$5:R$3360,'J Book Items Cons.'!E$5:E$3360,5,'J Book Items Cons.'!S$5:S$3360,"[PARENT]",'J Book Items Cons.'!U$5:U$3360,"MSC",'J Book Items Cons.'!W$5:W$3360,"Surveillance Ships",'J Book Items Cons.'!R$5:R$3360,"&lt;&gt;")+SUMIFS('J Book Items Cons.'!N$5:N$3360,'J Book Items Cons.'!E$5:E$3360,5,'J Book Items Cons.'!S$5:S$3360,"[PARENT]",'J Book Items Cons.'!U$5:U$3360,"MSC",'J Book Items Cons.'!W$5:W$3360,"Surveillance Ships",'J Book Items Cons.'!R$5:R$3360,"",'J Book Items Cons.'!N$5:N$3360,"&lt;&gt;")+SUMIFS('J Book Items Cons.'!L$5:L$3360,'J Book Items Cons.'!E$5:E$3360,5,'J Book Items Cons.'!S$5:S$3360,"[PARENT]",'J Book Items Cons.'!U$5:U$3360,"MSC",'J Book Items Cons.'!W$5:W$3360,"Surveillance Ships",'J Book Items Cons.'!R$5:R$3360,"",'J Book Items Cons.'!N$5:N$3360,"")</f>
        <v>0</v>
      </c>
      <c r="L48" s="14">
        <f>SUMIFS('J Book Items Cons.'!R$5:R$3360,'J Book Items Cons.'!E$5:E$3360,5,'J Book Items Cons.'!S$5:S$3360,"",'J Book Items Cons.'!U$5:U$3360,"USN",'J Book Items Cons.'!W$5:W$3360,"Unmanned Undersea Vehicles",'J Book Items Cons.'!R$5:R$3360,"&lt;&gt;")+SUMIFS('J Book Items Cons.'!N$5:N$3360,'J Book Items Cons.'!E$5:E$3360,5,'J Book Items Cons.'!S$5:S$3360,"",'J Book Items Cons.'!U$5:U$3360,"USN",'J Book Items Cons.'!W$5:W$3360,"Unmanned Undersea Vehicles",'J Book Items Cons.'!R$5:R$3360,"",'J Book Items Cons.'!N$5:N$3360,"&lt;&gt;")+SUMIFS('J Book Items Cons.'!L$5:L$3360,'J Book Items Cons.'!E$5:E$3360,5,'J Book Items Cons.'!S$5:S$3360,"",'J Book Items Cons.'!U$5:U$3360,"USN",'J Book Items Cons.'!W$5:W$3360,"Unmanned Undersea Vehicles",'J Book Items Cons.'!R$5:R$3360,"",'J Book Items Cons.'!N$5:N$3360,"")+SUMIFS('J Book Items Cons.'!R$5:R$3360,'J Book Items Cons.'!E$5:E$3360,5,'J Book Items Cons.'!S$5:S$3360,"[PARENT]",'J Book Items Cons.'!U$5:U$3360,"USN",'J Book Items Cons.'!W$5:W$3360,"Unmanned Undersea Vehicles",'J Book Items Cons.'!R$5:R$3360,"&lt;&gt;")+SUMIFS('J Book Items Cons.'!N$5:N$3360,'J Book Items Cons.'!E$5:E$3360,5,'J Book Items Cons.'!S$5:S$3360,"[PARENT]",'J Book Items Cons.'!U$5:U$3360,"USN",'J Book Items Cons.'!W$5:W$3360,"Unmanned Undersea Vehicles",'J Book Items Cons.'!R$5:R$3360,"",'J Book Items Cons.'!N$5:N$3360,"&lt;&gt;")+SUMIFS('J Book Items Cons.'!L$5:L$3360,'J Book Items Cons.'!E$5:E$3360,5,'J Book Items Cons.'!S$5:S$3360,"[PARENT]",'J Book Items Cons.'!U$5:U$3360,"USN",'J Book Items Cons.'!W$5:W$3360,"Unmanned Undersea Vehicles",'J Book Items Cons.'!R$5:R$3360,"",'J Book Items Cons.'!N$5:N$3360,"")</f>
        <v>0</v>
      </c>
      <c r="M48" s="14">
        <f>SUMIFS('J Book Items Cons.'!R$5:R$3360,'J Book Items Cons.'!E$5:E$3360,5,'J Book Items Cons.'!S$5:S$3360,"",'J Book Items Cons.'!U$5:U$3360,"MSC",'J Book Items Cons.'!W$5:W$3360,"Salvage Ships &amp; Fleet Ocean Tugs",'J Book Items Cons.'!R$5:R$3360,"&lt;&gt;")+SUMIFS('J Book Items Cons.'!N$5:N$3360,'J Book Items Cons.'!E$5:E$3360,5,'J Book Items Cons.'!S$5:S$3360,"",'J Book Items Cons.'!U$5:U$3360,"MSC",'J Book Items Cons.'!W$5:W$3360,"Salvage Ships &amp; Fleet Ocean Tugs",'J Book Items Cons.'!R$5:R$3360,"",'J Book Items Cons.'!N$5:N$3360,"&lt;&gt;")+SUMIFS('J Book Items Cons.'!L$5:L$3360,'J Book Items Cons.'!E$5:E$3360,5,'J Book Items Cons.'!S$5:S$3360,"",'J Book Items Cons.'!U$5:U$3360,"MSC",'J Book Items Cons.'!W$5:W$3360,"Salvage Ships &amp; Fleet Ocean Tugs",'J Book Items Cons.'!R$5:R$3360,"",'J Book Items Cons.'!N$5:N$3360,"")+SUMIFS('J Book Items Cons.'!R$5:R$3360,'J Book Items Cons.'!E$5:E$3360,5,'J Book Items Cons.'!S$5:S$3360,"[PARENT]",'J Book Items Cons.'!U$5:U$3360,"MSC",'J Book Items Cons.'!W$5:W$3360,"Salvage Ships &amp; Fleet Ocean Tugs",'J Book Items Cons.'!R$5:R$3360,"&lt;&gt;")+SUMIFS('J Book Items Cons.'!N$5:N$3360,'J Book Items Cons.'!E$5:E$3360,5,'J Book Items Cons.'!S$5:S$3360,"[PARENT]",'J Book Items Cons.'!U$5:U$3360,"MSC",'J Book Items Cons.'!W$5:W$3360,"Salvage Ships &amp; Fleet Ocean Tugs",'J Book Items Cons.'!R$5:R$3360,"",'J Book Items Cons.'!N$5:N$3360,"&lt;&gt;")+SUMIFS('J Book Items Cons.'!L$5:L$3360,'J Book Items Cons.'!E$5:E$3360,5,'J Book Items Cons.'!S$5:S$3360,"[PARENT]",'J Book Items Cons.'!U$5:U$3360,"MSC",'J Book Items Cons.'!W$5:W$3360,"Salvage Ships &amp; Fleet Ocean Tugs",'J Book Items Cons.'!R$5:R$3360,"",'J Book Items Cons.'!N$5:N$3360,"")</f>
        <v>0</v>
      </c>
      <c r="N48" s="14">
        <f>SUMIFS('J Book Items Cons.'!R$5:R$3360,'J Book Items Cons.'!E$5:E$3360,5,'J Book Items Cons.'!S$5:S$3360,"",'J Book Items Cons.'!U$5:U$3360,"USN",'J Book Items Cons.'!W$5:W$3360,"Other Craft, Non-Self-Propelled",'J Book Items Cons.'!R$5:R$3360,"&lt;&gt;")+SUMIFS('J Book Items Cons.'!N$5:N$3360,'J Book Items Cons.'!E$5:E$3360,5,'J Book Items Cons.'!S$5:S$3360,"",'J Book Items Cons.'!U$5:U$3360,"USN",'J Book Items Cons.'!W$5:W$3360,"Other Craft, Non-Self-Propelled",'J Book Items Cons.'!R$5:R$3360,"",'J Book Items Cons.'!N$5:N$3360,"&lt;&gt;")+SUMIFS('J Book Items Cons.'!L$5:L$3360,'J Book Items Cons.'!E$5:E$3360,5,'J Book Items Cons.'!S$5:S$3360,"",'J Book Items Cons.'!U$5:U$3360,"USN",'J Book Items Cons.'!W$5:W$3360,"Other Craft, Non-Self-Propelled",'J Book Items Cons.'!R$5:R$3360,"",'J Book Items Cons.'!N$5:N$3360,"")+SUMIFS('J Book Items Cons.'!R$5:R$3360,'J Book Items Cons.'!E$5:E$3360,5,'J Book Items Cons.'!S$5:S$3360,"[PARENT]",'J Book Items Cons.'!U$5:U$3360,"USN",'J Book Items Cons.'!W$5:W$3360,"Other Craft, Non-Self-Propelled",'J Book Items Cons.'!R$5:R$3360,"&lt;&gt;")+SUMIFS('J Book Items Cons.'!N$5:N$3360,'J Book Items Cons.'!E$5:E$3360,5,'J Book Items Cons.'!S$5:S$3360,"[PARENT]",'J Book Items Cons.'!U$5:U$3360,"USN",'J Book Items Cons.'!W$5:W$3360,"Other Craft, Non-Self-Propelled",'J Book Items Cons.'!R$5:R$3360,"",'J Book Items Cons.'!N$5:N$3360,"&lt;&gt;")+SUMIFS('J Book Items Cons.'!L$5:L$3360,'J Book Items Cons.'!E$5:E$3360,5,'J Book Items Cons.'!S$5:S$3360,"[PARENT]",'J Book Items Cons.'!U$5:U$3360,"USN",'J Book Items Cons.'!W$5:W$3360,"Other Craft, Non-Self-Propelled",'J Book Items Cons.'!R$5:R$3360,"",'J Book Items Cons.'!N$5:N$3360,"")</f>
        <v>0</v>
      </c>
      <c r="O48" s="14">
        <f>SUMIFS('J Book Items Cons.'!R$5:R$3360,'J Book Items Cons.'!E$5:E$3360,5,'J Book Items Cons.'!S$5:S$3360,"",'J Book Items Cons.'!U$5:U$3360,"USN",'J Book Items Cons.'!W$5:W$3360,"Command Ships",'J Book Items Cons.'!R$5:R$3360,"&lt;&gt;")+SUMIFS('J Book Items Cons.'!N$5:N$3360,'J Book Items Cons.'!E$5:E$3360,5,'J Book Items Cons.'!S$5:S$3360,"",'J Book Items Cons.'!U$5:U$3360,"USN",'J Book Items Cons.'!W$5:W$3360,"Command Ships",'J Book Items Cons.'!R$5:R$3360,"",'J Book Items Cons.'!N$5:N$3360,"&lt;&gt;")+SUMIFS('J Book Items Cons.'!L$5:L$3360,'J Book Items Cons.'!E$5:E$3360,5,'J Book Items Cons.'!S$5:S$3360,"",'J Book Items Cons.'!U$5:U$3360,"USN",'J Book Items Cons.'!W$5:W$3360,"Command Ships",'J Book Items Cons.'!R$5:R$3360,"",'J Book Items Cons.'!N$5:N$3360,"")+SUMIFS('J Book Items Cons.'!R$5:R$3360,'J Book Items Cons.'!E$5:E$3360,5,'J Book Items Cons.'!S$5:S$3360,"[PARENT]",'J Book Items Cons.'!U$5:U$3360,"USN",'J Book Items Cons.'!W$5:W$3360,"Command Ships",'J Book Items Cons.'!R$5:R$3360,"&lt;&gt;")+SUMIFS('J Book Items Cons.'!N$5:N$3360,'J Book Items Cons.'!E$5:E$3360,5,'J Book Items Cons.'!S$5:S$3360,"[PARENT]",'J Book Items Cons.'!U$5:U$3360,"USN",'J Book Items Cons.'!W$5:W$3360,"Command Ships",'J Book Items Cons.'!R$5:R$3360,"",'J Book Items Cons.'!N$5:N$3360,"&lt;&gt;")+SUMIFS('J Book Items Cons.'!L$5:L$3360,'J Book Items Cons.'!E$5:E$3360,5,'J Book Items Cons.'!S$5:S$3360,"[PARENT]",'J Book Items Cons.'!U$5:U$3360,"USN",'J Book Items Cons.'!W$5:W$3360,"Command Ships",'J Book Items Cons.'!R$5:R$3360,"",'J Book Items Cons.'!N$5:N$3360,"")</f>
        <v>19276</v>
      </c>
      <c r="P48" s="14">
        <f>SUMIFS('J Book Items Cons.'!R$5:R$3360,'J Book Items Cons.'!E$5:E$3360,5,'J Book Items Cons.'!S$5:S$3360,"",'J Book Items Cons.'!U$5:U$3360,"USN",'J Book Items Cons.'!W$5:W$3360,"Mine Warfare",'J Book Items Cons.'!R$5:R$3360,"&lt;&gt;")+SUMIFS('J Book Items Cons.'!N$5:N$3360,'J Book Items Cons.'!E$5:E$3360,5,'J Book Items Cons.'!S$5:S$3360,"",'J Book Items Cons.'!U$5:U$3360,"USN",'J Book Items Cons.'!W$5:W$3360,"Mine Warfare",'J Book Items Cons.'!R$5:R$3360,"",'J Book Items Cons.'!N$5:N$3360,"&lt;&gt;")+SUMIFS('J Book Items Cons.'!L$5:L$3360,'J Book Items Cons.'!E$5:E$3360,5,'J Book Items Cons.'!S$5:S$3360,"",'J Book Items Cons.'!U$5:U$3360,"USN",'J Book Items Cons.'!W$5:W$3360,"Mine Warfare",'J Book Items Cons.'!R$5:R$3360,"",'J Book Items Cons.'!N$5:N$3360,"")+SUMIFS('J Book Items Cons.'!R$5:R$3360,'J Book Items Cons.'!E$5:E$3360,5,'J Book Items Cons.'!S$5:S$3360,"[PARENT]",'J Book Items Cons.'!U$5:U$3360,"USN",'J Book Items Cons.'!W$5:W$3360,"Mine Warfare",'J Book Items Cons.'!R$5:R$3360,"&lt;&gt;")+SUMIFS('J Book Items Cons.'!N$5:N$3360,'J Book Items Cons.'!E$5:E$3360,5,'J Book Items Cons.'!S$5:S$3360,"[PARENT]",'J Book Items Cons.'!U$5:U$3360,"USN",'J Book Items Cons.'!W$5:W$3360,"Mine Warfare",'J Book Items Cons.'!R$5:R$3360,"",'J Book Items Cons.'!N$5:N$3360,"&lt;&gt;")+SUMIFS('J Book Items Cons.'!L$5:L$3360,'J Book Items Cons.'!E$5:E$3360,5,'J Book Items Cons.'!S$5:S$3360,"[PARENT]",'J Book Items Cons.'!U$5:U$3360,"USN",'J Book Items Cons.'!W$5:W$3360,"Mine Warfare",'J Book Items Cons.'!R$5:R$3360,"",'J Book Items Cons.'!N$5:N$3360,"")</f>
        <v>0</v>
      </c>
      <c r="Q48" s="14">
        <f>SUMIFS('J Book Items Cons.'!R$5:R$3360,'J Book Items Cons.'!E$5:E$3360,5,'J Book Items Cons.'!S$5:S$3360,"",'J Book Items Cons.'!U$5:U$3360,"USN",'J Book Items Cons.'!W$5:W$3360,"Patrol Combatant",'J Book Items Cons.'!R$5:R$3360,"&lt;&gt;")+SUMIFS('J Book Items Cons.'!N$5:N$3360,'J Book Items Cons.'!E$5:E$3360,5,'J Book Items Cons.'!S$5:S$3360,"",'J Book Items Cons.'!U$5:U$3360,"USN",'J Book Items Cons.'!W$5:W$3360,"Patrol Combatant",'J Book Items Cons.'!R$5:R$3360,"",'J Book Items Cons.'!N$5:N$3360,"&lt;&gt;")+SUMIFS('J Book Items Cons.'!L$5:L$3360,'J Book Items Cons.'!E$5:E$3360,5,'J Book Items Cons.'!S$5:S$3360,"",'J Book Items Cons.'!U$5:U$3360,"USN",'J Book Items Cons.'!W$5:W$3360,"Patrol Combatant",'J Book Items Cons.'!R$5:R$3360,"",'J Book Items Cons.'!N$5:N$3360,"")+SUMIFS('J Book Items Cons.'!R$5:R$3360,'J Book Items Cons.'!E$5:E$3360,5,'J Book Items Cons.'!S$5:S$3360,"[PARENT]",'J Book Items Cons.'!U$5:U$3360,"USN",'J Book Items Cons.'!W$5:W$3360,"Patrol Combatant",'J Book Items Cons.'!R$5:R$3360,"&lt;&gt;")+SUMIFS('J Book Items Cons.'!N$5:N$3360,'J Book Items Cons.'!E$5:E$3360,5,'J Book Items Cons.'!S$5:S$3360,"[PARENT]",'J Book Items Cons.'!U$5:U$3360,"USN",'J Book Items Cons.'!W$5:W$3360,"Patrol Combatant",'J Book Items Cons.'!R$5:R$3360,"",'J Book Items Cons.'!N$5:N$3360,"&lt;&gt;")+SUMIFS('J Book Items Cons.'!L$5:L$3360,'J Book Items Cons.'!E$5:E$3360,5,'J Book Items Cons.'!S$5:S$3360,"[PARENT]",'J Book Items Cons.'!U$5:U$3360,"USN",'J Book Items Cons.'!W$5:W$3360,"Patrol Combatant",'J Book Items Cons.'!R$5:R$3360,"",'J Book Items Cons.'!N$5:N$3360,"")</f>
        <v>0</v>
      </c>
      <c r="R48" s="14">
        <f>SUMIFS('J Book Items Cons.'!R$5:R$3360,'J Book Items Cons.'!E$5:E$3360,5,'J Book Items Cons.'!S$5:S$3360,"",'J Book Items Cons.'!U$5:U$3360,"USN",'J Book Items Cons.'!W$5:W$3360,"Aviation Logistics Support Ship",'J Book Items Cons.'!R$5:R$3360,"&lt;&gt;")+SUMIFS('J Book Items Cons.'!N$5:N$3360,'J Book Items Cons.'!E$5:E$3360,5,'J Book Items Cons.'!S$5:S$3360,"",'J Book Items Cons.'!U$5:U$3360,"USN",'J Book Items Cons.'!W$5:W$3360,"Aviation Logistics Support Ship",'J Book Items Cons.'!R$5:R$3360,"",'J Book Items Cons.'!N$5:N$3360,"&lt;&gt;")+SUMIFS('J Book Items Cons.'!L$5:L$3360,'J Book Items Cons.'!E$5:E$3360,5,'J Book Items Cons.'!S$5:S$3360,"",'J Book Items Cons.'!U$5:U$3360,"USN",'J Book Items Cons.'!W$5:W$3360,"Aviation Logistics Support Ship",'J Book Items Cons.'!R$5:R$3360,"",'J Book Items Cons.'!N$5:N$3360,"")+SUMIFS('J Book Items Cons.'!R$5:R$3360,'J Book Items Cons.'!E$5:E$3360,5,'J Book Items Cons.'!S$5:S$3360,"[PARENT]",'J Book Items Cons.'!U$5:U$3360,"USN",'J Book Items Cons.'!W$5:W$3360,"Aviation Logistics Support Ship",'J Book Items Cons.'!R$5:R$3360,"&lt;&gt;")+SUMIFS('J Book Items Cons.'!N$5:N$3360,'J Book Items Cons.'!E$5:E$3360,5,'J Book Items Cons.'!S$5:S$3360,"[PARENT]",'J Book Items Cons.'!U$5:U$3360,"USN",'J Book Items Cons.'!W$5:W$3360,"Aviation Logistics Support Ship",'J Book Items Cons.'!R$5:R$3360,"",'J Book Items Cons.'!N$5:N$3360,"&lt;&gt;")+SUMIFS('J Book Items Cons.'!L$5:L$3360,'J Book Items Cons.'!E$5:E$3360,5,'J Book Items Cons.'!S$5:S$3360,"[PARENT]",'J Book Items Cons.'!U$5:U$3360,"USN",'J Book Items Cons.'!W$5:W$3360,"Aviation Logistics Support Ship",'J Book Items Cons.'!R$5:R$3360,"",'J Book Items Cons.'!N$5:N$3360,"")</f>
        <v>0</v>
      </c>
      <c r="S48" s="14">
        <f>SUMIFS('J Book Items Cons.'!R$5:R$3360,'J Book Items Cons.'!E$5:E$3360,5,'J Book Items Cons.'!S$5:S$3360,"",'J Book Items Cons.'!U$5:U$3360,"USN",'J Book Items Cons.'!W$5:W$3360,"Cargo &amp; Vehicle Cargo Ships",'J Book Items Cons.'!R$5:R$3360,"&lt;&gt;")+SUMIFS('J Book Items Cons.'!N$5:N$3360,'J Book Items Cons.'!E$5:E$3360,5,'J Book Items Cons.'!S$5:S$3360,"",'J Book Items Cons.'!U$5:U$3360,"USN",'J Book Items Cons.'!W$5:W$3360,"Cargo &amp; Vehicle Cargo Ships",'J Book Items Cons.'!R$5:R$3360,"",'J Book Items Cons.'!N$5:N$3360,"&lt;&gt;")+SUMIFS('J Book Items Cons.'!L$5:L$3360,'J Book Items Cons.'!E$5:E$3360,5,'J Book Items Cons.'!S$5:S$3360,"",'J Book Items Cons.'!U$5:U$3360,"USN",'J Book Items Cons.'!W$5:W$3360,"Cargo &amp; Vehicle Cargo Ships",'J Book Items Cons.'!R$5:R$3360,"",'J Book Items Cons.'!N$5:N$3360,"")+SUMIFS('J Book Items Cons.'!R$5:R$3360,'J Book Items Cons.'!E$5:E$3360,5,'J Book Items Cons.'!S$5:S$3360,"[PARENT]",'J Book Items Cons.'!U$5:U$3360,"USN",'J Book Items Cons.'!W$5:W$3360,"Cargo &amp; Vehicle Cargo Ships",'J Book Items Cons.'!R$5:R$3360,"&lt;&gt;")+SUMIFS('J Book Items Cons.'!N$5:N$3360,'J Book Items Cons.'!E$5:E$3360,5,'J Book Items Cons.'!S$5:S$3360,"[PARENT]",'J Book Items Cons.'!U$5:U$3360,"USN",'J Book Items Cons.'!W$5:W$3360,"Cargo &amp; Vehicle Cargo Ships",'J Book Items Cons.'!R$5:R$3360,"",'J Book Items Cons.'!N$5:N$3360,"&lt;&gt;")+SUMIFS('J Book Items Cons.'!L$5:L$3360,'J Book Items Cons.'!E$5:E$3360,5,'J Book Items Cons.'!S$5:S$3360,"[PARENT]",'J Book Items Cons.'!U$5:U$3360,"USN",'J Book Items Cons.'!W$5:W$3360,"Cargo &amp; Vehicle Cargo Ships",'J Book Items Cons.'!R$5:R$3360,"",'J Book Items Cons.'!N$5:N$3360,"")</f>
        <v>0</v>
      </c>
      <c r="T48" s="14">
        <f>SUMIFS('J Book Items Cons.'!R$5:R$3360,'J Book Items Cons.'!E$5:E$3360,5,'J Book Items Cons.'!S$5:S$3360,"",'J Book Items Cons.'!U$5:U$3360,"USN",'J Book Items Cons.'!W$5:W$3360,"Combat Logistics Ships",'J Book Items Cons.'!R$5:R$3360,"&lt;&gt;")+SUMIFS('J Book Items Cons.'!N$5:N$3360,'J Book Items Cons.'!E$5:E$3360,5,'J Book Items Cons.'!S$5:S$3360,"",'J Book Items Cons.'!U$5:U$3360,"USN",'J Book Items Cons.'!W$5:W$3360,"Combat Logistics Ships",'J Book Items Cons.'!R$5:R$3360,"",'J Book Items Cons.'!N$5:N$3360,"&lt;&gt;")+SUMIFS('J Book Items Cons.'!L$5:L$3360,'J Book Items Cons.'!E$5:E$3360,5,'J Book Items Cons.'!S$5:S$3360,"",'J Book Items Cons.'!U$5:U$3360,"USN",'J Book Items Cons.'!W$5:W$3360,"Combat Logistics Ships",'J Book Items Cons.'!R$5:R$3360,"",'J Book Items Cons.'!N$5:N$3360,"")+SUMIFS('J Book Items Cons.'!R$5:R$3360,'J Book Items Cons.'!E$5:E$3360,5,'J Book Items Cons.'!S$5:S$3360,"[PARENT]",'J Book Items Cons.'!U$5:U$3360,"USN",'J Book Items Cons.'!W$5:W$3360,"Combat Logistics Ships",'J Book Items Cons.'!R$5:R$3360,"&lt;&gt;")+SUMIFS('J Book Items Cons.'!N$5:N$3360,'J Book Items Cons.'!E$5:E$3360,5,'J Book Items Cons.'!S$5:S$3360,"[PARENT]",'J Book Items Cons.'!U$5:U$3360,"USN",'J Book Items Cons.'!W$5:W$3360,"Combat Logistics Ships",'J Book Items Cons.'!R$5:R$3360,"",'J Book Items Cons.'!N$5:N$3360,"&lt;&gt;")+SUMIFS('J Book Items Cons.'!L$5:L$3360,'J Book Items Cons.'!E$5:E$3360,5,'J Book Items Cons.'!S$5:S$3360,"[PARENT]",'J Book Items Cons.'!U$5:U$3360,"USN",'J Book Items Cons.'!W$5:W$3360,"Combat Logistics Ships",'J Book Items Cons.'!R$5:R$3360,"",'J Book Items Cons.'!N$5:N$3360,"")</f>
        <v>0</v>
      </c>
      <c r="U48" s="14">
        <f>SUMIFS('J Book Items Cons.'!R$5:R$3360,'J Book Items Cons.'!E$5:E$3360,5,'J Book Items Cons.'!S$5:S$3360,"",'J Book Items Cons.'!U$5:U$3360,"USN",'J Book Items Cons.'!W$5:W$3360,"Crane Ship",'J Book Items Cons.'!R$5:R$3360,"&lt;&gt;")+SUMIFS('J Book Items Cons.'!N$5:N$3360,'J Book Items Cons.'!E$5:E$3360,5,'J Book Items Cons.'!S$5:S$3360,"",'J Book Items Cons.'!U$5:U$3360,"USN",'J Book Items Cons.'!W$5:W$3360,"Crane Ship",'J Book Items Cons.'!R$5:R$3360,"",'J Book Items Cons.'!N$5:N$3360,"&lt;&gt;")+SUMIFS('J Book Items Cons.'!L$5:L$3360,'J Book Items Cons.'!E$5:E$3360,5,'J Book Items Cons.'!S$5:S$3360,"",'J Book Items Cons.'!U$5:U$3360,"USN",'J Book Items Cons.'!W$5:W$3360,"Crane Ship",'J Book Items Cons.'!R$5:R$3360,"",'J Book Items Cons.'!N$5:N$3360,"")+SUMIFS('J Book Items Cons.'!R$5:R$3360,'J Book Items Cons.'!E$5:E$3360,5,'J Book Items Cons.'!S$5:S$3360,"[PARENT]",'J Book Items Cons.'!U$5:U$3360,"USN",'J Book Items Cons.'!W$5:W$3360,"Crane Ship",'J Book Items Cons.'!R$5:R$3360,"&lt;&gt;")+SUMIFS('J Book Items Cons.'!N$5:N$3360,'J Book Items Cons.'!E$5:E$3360,5,'J Book Items Cons.'!S$5:S$3360,"[PARENT]",'J Book Items Cons.'!U$5:U$3360,"USN",'J Book Items Cons.'!W$5:W$3360,"Crane Ship",'J Book Items Cons.'!R$5:R$3360,"",'J Book Items Cons.'!N$5:N$3360,"&lt;&gt;")+SUMIFS('J Book Items Cons.'!L$5:L$3360,'J Book Items Cons.'!E$5:E$3360,5,'J Book Items Cons.'!S$5:S$3360,"[PARENT]",'J Book Items Cons.'!U$5:U$3360,"USN",'J Book Items Cons.'!W$5:W$3360,"Crane Ship",'J Book Items Cons.'!R$5:R$3360,"",'J Book Items Cons.'!N$5:N$3360,"")</f>
        <v>0</v>
      </c>
      <c r="V48" s="14">
        <f>SUMIFS('J Book Items Cons.'!R$5:R$3360,'J Book Items Cons.'!E$5:E$3360,5,'J Book Items Cons.'!S$5:S$3360,"",'J Book Items Cons.'!U$5:U$3360,"USN",'J Book Items Cons.'!W$5:W$3360,"General Auxiliary",'J Book Items Cons.'!R$5:R$3360,"&lt;&gt;")+SUMIFS('J Book Items Cons.'!N$5:N$3360,'J Book Items Cons.'!E$5:E$3360,5,'J Book Items Cons.'!S$5:S$3360,"",'J Book Items Cons.'!U$5:U$3360,"USN",'J Book Items Cons.'!W$5:W$3360,"General Auxiliary",'J Book Items Cons.'!R$5:R$3360,"",'J Book Items Cons.'!N$5:N$3360,"&lt;&gt;")+SUMIFS('J Book Items Cons.'!L$5:L$3360,'J Book Items Cons.'!E$5:E$3360,5,'J Book Items Cons.'!S$5:S$3360,"",'J Book Items Cons.'!U$5:U$3360,"USN",'J Book Items Cons.'!W$5:W$3360,"General Auxiliary",'J Book Items Cons.'!R$5:R$3360,"",'J Book Items Cons.'!N$5:N$3360,"")+SUMIFS('J Book Items Cons.'!R$5:R$3360,'J Book Items Cons.'!E$5:E$3360,5,'J Book Items Cons.'!S$5:S$3360,"[PARENT]",'J Book Items Cons.'!U$5:U$3360,"USN",'J Book Items Cons.'!W$5:W$3360,"General Auxiliary",'J Book Items Cons.'!R$5:R$3360,"&lt;&gt;")+SUMIFS('J Book Items Cons.'!N$5:N$3360,'J Book Items Cons.'!E$5:E$3360,5,'J Book Items Cons.'!S$5:S$3360,"[PARENT]",'J Book Items Cons.'!U$5:U$3360,"USN",'J Book Items Cons.'!W$5:W$3360,"General Auxiliary",'J Book Items Cons.'!R$5:R$3360,"",'J Book Items Cons.'!N$5:N$3360,"&lt;&gt;")+SUMIFS('J Book Items Cons.'!L$5:L$3360,'J Book Items Cons.'!E$5:E$3360,5,'J Book Items Cons.'!S$5:S$3360,"[PARENT]",'J Book Items Cons.'!U$5:U$3360,"USN",'J Book Items Cons.'!W$5:W$3360,"General Auxiliary",'J Book Items Cons.'!R$5:R$3360,"",'J Book Items Cons.'!N$5:N$3360,"")</f>
        <v>0</v>
      </c>
      <c r="W48" s="14">
        <f>SUMIFS('J Book Items Cons.'!R$5:R$3360,'J Book Items Cons.'!E$5:E$3360,5,'J Book Items Cons.'!S$5:S$3360,"",'J Book Items Cons.'!U$5:U$3360,"USN",'J Book Items Cons.'!W$5:W$3360,"High Speed Transport",'J Book Items Cons.'!R$5:R$3360,"&lt;&gt;")+SUMIFS('J Book Items Cons.'!N$5:N$3360,'J Book Items Cons.'!E$5:E$3360,5,'J Book Items Cons.'!S$5:S$3360,"",'J Book Items Cons.'!U$5:U$3360,"USN",'J Book Items Cons.'!W$5:W$3360,"High Speed Transport",'J Book Items Cons.'!R$5:R$3360,"",'J Book Items Cons.'!N$5:N$3360,"&lt;&gt;")+SUMIFS('J Book Items Cons.'!L$5:L$3360,'J Book Items Cons.'!E$5:E$3360,5,'J Book Items Cons.'!S$5:S$3360,"",'J Book Items Cons.'!U$5:U$3360,"USN",'J Book Items Cons.'!W$5:W$3360,"High Speed Transport",'J Book Items Cons.'!R$5:R$3360,"",'J Book Items Cons.'!N$5:N$3360,"")+SUMIFS('J Book Items Cons.'!R$5:R$3360,'J Book Items Cons.'!E$5:E$3360,5,'J Book Items Cons.'!S$5:S$3360,"[PARENT]",'J Book Items Cons.'!U$5:U$3360,"USN",'J Book Items Cons.'!W$5:W$3360,"High Speed Transport",'J Book Items Cons.'!R$5:R$3360,"&lt;&gt;")+SUMIFS('J Book Items Cons.'!N$5:N$3360,'J Book Items Cons.'!E$5:E$3360,5,'J Book Items Cons.'!S$5:S$3360,"[PARENT]",'J Book Items Cons.'!U$5:U$3360,"USN",'J Book Items Cons.'!W$5:W$3360,"High Speed Transport",'J Book Items Cons.'!R$5:R$3360,"",'J Book Items Cons.'!N$5:N$3360,"&lt;&gt;")+SUMIFS('J Book Items Cons.'!L$5:L$3360,'J Book Items Cons.'!E$5:E$3360,5,'J Book Items Cons.'!S$5:S$3360,"[PARENT]",'J Book Items Cons.'!U$5:U$3360,"USN",'J Book Items Cons.'!W$5:W$3360,"High Speed Transport",'J Book Items Cons.'!R$5:R$3360,"",'J Book Items Cons.'!N$5:N$3360,"")</f>
        <v>0</v>
      </c>
      <c r="X48" s="14">
        <f>SUMIFS('J Book Items Cons.'!R$5:R$3360,'J Book Items Cons.'!E$5:E$3360,5,'J Book Items Cons.'!S$5:S$3360,"",'J Book Items Cons.'!U$5:U$3360,"USN",'J Book Items Cons.'!W$5:W$3360,"Material Support Ships",'J Book Items Cons.'!R$5:R$3360,"&lt;&gt;")+SUMIFS('J Book Items Cons.'!N$5:N$3360,'J Book Items Cons.'!E$5:E$3360,5,'J Book Items Cons.'!S$5:S$3360,"",'J Book Items Cons.'!U$5:U$3360,"USN",'J Book Items Cons.'!W$5:W$3360,"Material Support Ships",'J Book Items Cons.'!R$5:R$3360,"",'J Book Items Cons.'!N$5:N$3360,"&lt;&gt;")+SUMIFS('J Book Items Cons.'!L$5:L$3360,'J Book Items Cons.'!E$5:E$3360,5,'J Book Items Cons.'!S$5:S$3360,"",'J Book Items Cons.'!U$5:U$3360,"USN",'J Book Items Cons.'!W$5:W$3360,"Material Support Ships",'J Book Items Cons.'!R$5:R$3360,"",'J Book Items Cons.'!N$5:N$3360,"")+SUMIFS('J Book Items Cons.'!R$5:R$3360,'J Book Items Cons.'!E$5:E$3360,5,'J Book Items Cons.'!S$5:S$3360,"[PARENT]",'J Book Items Cons.'!U$5:U$3360,"USN",'J Book Items Cons.'!W$5:W$3360,"Material Support Ships",'J Book Items Cons.'!R$5:R$3360,"&lt;&gt;")+SUMIFS('J Book Items Cons.'!N$5:N$3360,'J Book Items Cons.'!E$5:E$3360,5,'J Book Items Cons.'!S$5:S$3360,"[PARENT]",'J Book Items Cons.'!U$5:U$3360,"USN",'J Book Items Cons.'!W$5:W$3360,"Material Support Ships",'J Book Items Cons.'!R$5:R$3360,"",'J Book Items Cons.'!N$5:N$3360,"&lt;&gt;")+SUMIFS('J Book Items Cons.'!L$5:L$3360,'J Book Items Cons.'!E$5:E$3360,5,'J Book Items Cons.'!S$5:S$3360,"[PARENT]",'J Book Items Cons.'!U$5:U$3360,"USN",'J Book Items Cons.'!W$5:W$3360,"Material Support Ships",'J Book Items Cons.'!R$5:R$3360,"",'J Book Items Cons.'!N$5:N$3360,"")</f>
        <v>0</v>
      </c>
      <c r="Y48" s="14">
        <f>SUMIFS('J Book Items Cons.'!R$5:R$3360,'J Book Items Cons.'!E$5:E$3360,5,'J Book Items Cons.'!S$5:S$3360,"",'J Book Items Cons.'!U$5:U$3360,"USN",'J Book Items Cons.'!W$5:W$3360,"Salvage Ships &amp; Fleet Ocean Tugs",'J Book Items Cons.'!R$5:R$3360,"&lt;&gt;")+SUMIFS('J Book Items Cons.'!N$5:N$3360,'J Book Items Cons.'!E$5:E$3360,5,'J Book Items Cons.'!S$5:S$3360,"",'J Book Items Cons.'!U$5:U$3360,"USN",'J Book Items Cons.'!W$5:W$3360,"Salvage Ships &amp; Fleet Ocean Tugs",'J Book Items Cons.'!R$5:R$3360,"",'J Book Items Cons.'!N$5:N$3360,"&lt;&gt;")+SUMIFS('J Book Items Cons.'!L$5:L$3360,'J Book Items Cons.'!E$5:E$3360,5,'J Book Items Cons.'!S$5:S$3360,"",'J Book Items Cons.'!U$5:U$3360,"USN",'J Book Items Cons.'!W$5:W$3360,"Salvage Ships &amp; Fleet Ocean Tugs",'J Book Items Cons.'!R$5:R$3360,"",'J Book Items Cons.'!N$5:N$3360,"")+SUMIFS('J Book Items Cons.'!R$5:R$3360,'J Book Items Cons.'!E$5:E$3360,5,'J Book Items Cons.'!S$5:S$3360,"[PARENT]",'J Book Items Cons.'!U$5:U$3360,"USN",'J Book Items Cons.'!W$5:W$3360,"Salvage Ships &amp; Fleet Ocean Tugs",'J Book Items Cons.'!R$5:R$3360,"&lt;&gt;")+SUMIFS('J Book Items Cons.'!N$5:N$3360,'J Book Items Cons.'!E$5:E$3360,5,'J Book Items Cons.'!S$5:S$3360,"[PARENT]",'J Book Items Cons.'!U$5:U$3360,"USN",'J Book Items Cons.'!W$5:W$3360,"Salvage Ships &amp; Fleet Ocean Tugs",'J Book Items Cons.'!R$5:R$3360,"",'J Book Items Cons.'!N$5:N$3360,"&lt;&gt;")+SUMIFS('J Book Items Cons.'!L$5:L$3360,'J Book Items Cons.'!E$5:E$3360,5,'J Book Items Cons.'!S$5:S$3360,"[PARENT]",'J Book Items Cons.'!U$5:U$3360,"USN",'J Book Items Cons.'!W$5:W$3360,"Salvage Ships &amp; Fleet Ocean Tugs",'J Book Items Cons.'!R$5:R$3360,"",'J Book Items Cons.'!N$5:N$3360,"")</f>
        <v>0</v>
      </c>
      <c r="Z48" s="14">
        <f>SUMIFS('J Book Items Cons.'!R$5:R$3360,'J Book Items Cons.'!E$5:E$3360,5,'J Book Items Cons.'!S$5:S$3360,"",'J Book Items Cons.'!U$5:U$3360,"USN",'J Book Items Cons.'!W$5:W$3360,"Sealift Support Craft",'J Book Items Cons.'!R$5:R$3360,"&lt;&gt;")+SUMIFS('J Book Items Cons.'!N$5:N$3360,'J Book Items Cons.'!E$5:E$3360,5,'J Book Items Cons.'!S$5:S$3360,"",'J Book Items Cons.'!U$5:U$3360,"USN",'J Book Items Cons.'!W$5:W$3360,"Sealift Support Craft",'J Book Items Cons.'!R$5:R$3360,"",'J Book Items Cons.'!N$5:N$3360,"&lt;&gt;")+SUMIFS('J Book Items Cons.'!L$5:L$3360,'J Book Items Cons.'!E$5:E$3360,5,'J Book Items Cons.'!S$5:S$3360,"",'J Book Items Cons.'!U$5:U$3360,"USN",'J Book Items Cons.'!W$5:W$3360,"Sealift Support Craft",'J Book Items Cons.'!R$5:R$3360,"",'J Book Items Cons.'!N$5:N$3360,"")+SUMIFS('J Book Items Cons.'!R$5:R$3360,'J Book Items Cons.'!E$5:E$3360,5,'J Book Items Cons.'!S$5:S$3360,"[PARENT]",'J Book Items Cons.'!U$5:U$3360,"USN",'J Book Items Cons.'!W$5:W$3360,"Sealift Support Craft",'J Book Items Cons.'!R$5:R$3360,"&lt;&gt;")+SUMIFS('J Book Items Cons.'!N$5:N$3360,'J Book Items Cons.'!E$5:E$3360,5,'J Book Items Cons.'!S$5:S$3360,"[PARENT]",'J Book Items Cons.'!U$5:U$3360,"USN",'J Book Items Cons.'!W$5:W$3360,"Sealift Support Craft",'J Book Items Cons.'!R$5:R$3360,"",'J Book Items Cons.'!N$5:N$3360,"&lt;&gt;")+SUMIFS('J Book Items Cons.'!L$5:L$3360,'J Book Items Cons.'!E$5:E$3360,5,'J Book Items Cons.'!S$5:S$3360,"[PARENT]",'J Book Items Cons.'!U$5:U$3360,"USN",'J Book Items Cons.'!W$5:W$3360,"Sealift Support Craft",'J Book Items Cons.'!R$5:R$3360,"",'J Book Items Cons.'!N$5:N$3360,"")</f>
        <v>0</v>
      </c>
      <c r="AA48" s="14">
        <f>SUMIFS('J Book Items Cons.'!R$5:R$3360,'J Book Items Cons.'!E$5:E$3360,5,'J Book Items Cons.'!S$5:S$3360,"",'J Book Items Cons.'!U$5:U$3360,"USN",'J Book Items Cons.'!W$5:W$3360,"Special Warfare Craft",'J Book Items Cons.'!R$5:R$3360,"&lt;&gt;")+SUMIFS('J Book Items Cons.'!N$5:N$3360,'J Book Items Cons.'!E$5:E$3360,5,'J Book Items Cons.'!S$5:S$3360,"",'J Book Items Cons.'!U$5:U$3360,"USN",'J Book Items Cons.'!W$5:W$3360,"Special Warfare Craft",'J Book Items Cons.'!R$5:R$3360,"",'J Book Items Cons.'!N$5:N$3360,"&lt;&gt;")+SUMIFS('J Book Items Cons.'!L$5:L$3360,'J Book Items Cons.'!E$5:E$3360,5,'J Book Items Cons.'!S$5:S$3360,"",'J Book Items Cons.'!U$5:U$3360,"USN",'J Book Items Cons.'!W$5:W$3360,"Special Warfare Craft",'J Book Items Cons.'!R$5:R$3360,"",'J Book Items Cons.'!N$5:N$3360,"")+SUMIFS('J Book Items Cons.'!R$5:R$3360,'J Book Items Cons.'!E$5:E$3360,5,'J Book Items Cons.'!S$5:S$3360,"[PARENT]",'J Book Items Cons.'!U$5:U$3360,"USN",'J Book Items Cons.'!W$5:W$3360,"Special Warfare Craft",'J Book Items Cons.'!R$5:R$3360,"&lt;&gt;")+SUMIFS('J Book Items Cons.'!N$5:N$3360,'J Book Items Cons.'!E$5:E$3360,5,'J Book Items Cons.'!S$5:S$3360,"[PARENT]",'J Book Items Cons.'!U$5:U$3360,"USN",'J Book Items Cons.'!W$5:W$3360,"Special Warfare Craft",'J Book Items Cons.'!R$5:R$3360,"",'J Book Items Cons.'!N$5:N$3360,"&lt;&gt;")+SUMIFS('J Book Items Cons.'!L$5:L$3360,'J Book Items Cons.'!E$5:E$3360,5,'J Book Items Cons.'!S$5:S$3360,"[PARENT]",'J Book Items Cons.'!U$5:U$3360,"USN",'J Book Items Cons.'!W$5:W$3360,"Special Warfare Craft",'J Book Items Cons.'!R$5:R$3360,"",'J Book Items Cons.'!N$5:N$3360,"")</f>
        <v>0</v>
      </c>
      <c r="AB48" s="14">
        <f>SUMIFS('J Book Items Cons.'!R$5:R$3360,'J Book Items Cons.'!E$5:E$3360,5,'J Book Items Cons.'!S$5:S$3360,"",'J Book Items Cons.'!U$5:U$3360,"USN",'J Book Items Cons.'!W$5:W$3360,"Submarine Escort Ship",'J Book Items Cons.'!R$5:R$3360,"&lt;&gt;")+SUMIFS('J Book Items Cons.'!N$5:N$3360,'J Book Items Cons.'!E$5:E$3360,5,'J Book Items Cons.'!S$5:S$3360,"",'J Book Items Cons.'!U$5:U$3360,"USN",'J Book Items Cons.'!W$5:W$3360,"Submarine Escort Ship",'J Book Items Cons.'!R$5:R$3360,"",'J Book Items Cons.'!N$5:N$3360,"&lt;&gt;")+SUMIFS('J Book Items Cons.'!L$5:L$3360,'J Book Items Cons.'!E$5:E$3360,5,'J Book Items Cons.'!S$5:S$3360,"",'J Book Items Cons.'!U$5:U$3360,"USN",'J Book Items Cons.'!W$5:W$3360,"Submarine Escort Ship",'J Book Items Cons.'!R$5:R$3360,"",'J Book Items Cons.'!N$5:N$3360,"")+SUMIFS('J Book Items Cons.'!R$5:R$3360,'J Book Items Cons.'!E$5:E$3360,5,'J Book Items Cons.'!S$5:S$3360,"[PARENT]",'J Book Items Cons.'!U$5:U$3360,"USN",'J Book Items Cons.'!W$5:W$3360,"Submarine Escort Ship",'J Book Items Cons.'!R$5:R$3360,"&lt;&gt;")+SUMIFS('J Book Items Cons.'!N$5:N$3360,'J Book Items Cons.'!E$5:E$3360,5,'J Book Items Cons.'!S$5:S$3360,"[PARENT]",'J Book Items Cons.'!U$5:U$3360,"USN",'J Book Items Cons.'!W$5:W$3360,"Submarine Escort Ship",'J Book Items Cons.'!R$5:R$3360,"",'J Book Items Cons.'!N$5:N$3360,"&lt;&gt;")+SUMIFS('J Book Items Cons.'!L$5:L$3360,'J Book Items Cons.'!E$5:E$3360,5,'J Book Items Cons.'!S$5:S$3360,"[PARENT]",'J Book Items Cons.'!U$5:U$3360,"USN",'J Book Items Cons.'!W$5:W$3360,"Submarine Escort Ship",'J Book Items Cons.'!R$5:R$3360,"",'J Book Items Cons.'!N$5:N$3360,"")</f>
        <v>0</v>
      </c>
      <c r="AC48" s="14">
        <f>SUMIFS('J Book Items Cons.'!R$5:R$3360,'J Book Items Cons.'!E$5:E$3360,5,'J Book Items Cons.'!S$5:S$3360,"",'J Book Items Cons.'!U$5:U$3360,"MSC",'J Book Items Cons.'!W$5:W$3360,"Expeditionary &amp; Seabasing Ships",'J Book Items Cons.'!R$5:R$3360,"&lt;&gt;")+SUMIFS('J Book Items Cons.'!N$5:N$3360,'J Book Items Cons.'!E$5:E$3360,5,'J Book Items Cons.'!S$5:S$3360,"",'J Book Items Cons.'!U$5:U$3360,"MSC",'J Book Items Cons.'!W$5:W$3360,"Expeditionary &amp; Seabasing Ships",'J Book Items Cons.'!R$5:R$3360,"",'J Book Items Cons.'!N$5:N$3360,"&lt;&gt;")+SUMIFS('J Book Items Cons.'!L$5:L$3360,'J Book Items Cons.'!E$5:E$3360,5,'J Book Items Cons.'!S$5:S$3360,"",'J Book Items Cons.'!U$5:U$3360,"MSC",'J Book Items Cons.'!W$5:W$3360,"Expeditionary &amp; Seabasing Ships",'J Book Items Cons.'!R$5:R$3360,"",'J Book Items Cons.'!N$5:N$3360,"")+SUMIFS('J Book Items Cons.'!R$5:R$3360,'J Book Items Cons.'!E$5:E$3360,5,'J Book Items Cons.'!S$5:S$3360,"[PARENT]",'J Book Items Cons.'!U$5:U$3360,"MSC",'J Book Items Cons.'!W$5:W$3360,"Expeditionary &amp; Seabasing Ships",'J Book Items Cons.'!R$5:R$3360,"&lt;&gt;")+SUMIFS('J Book Items Cons.'!N$5:N$3360,'J Book Items Cons.'!E$5:E$3360,5,'J Book Items Cons.'!S$5:S$3360,"[PARENT]",'J Book Items Cons.'!U$5:U$3360,"MSC",'J Book Items Cons.'!W$5:W$3360,"Expeditionary &amp; Seabasing Ships",'J Book Items Cons.'!R$5:R$3360,"",'J Book Items Cons.'!N$5:N$3360,"&lt;&gt;")+SUMIFS('J Book Items Cons.'!L$5:L$3360,'J Book Items Cons.'!E$5:E$3360,5,'J Book Items Cons.'!S$5:S$3360,"[PARENT]",'J Book Items Cons.'!U$5:U$3360,"MSC",'J Book Items Cons.'!W$5:W$3360,"Expeditionary &amp; Seabasing Ships",'J Book Items Cons.'!R$5:R$3360,"",'J Book Items Cons.'!N$5:N$3360,"")</f>
        <v>0</v>
      </c>
      <c r="AD48" s="14">
        <f>SUMIFS('J Book Items Cons.'!R$5:R$3360,'J Book Items Cons.'!E$5:E$3360,5,'J Book Items Cons.'!S$5:S$3360,"",'J Book Items Cons.'!U$5:U$3360,"MSC",'J Book Items Cons.'!W$5:W$3360,"Hospital Ship",'J Book Items Cons.'!R$5:R$3360,"&lt;&gt;")+SUMIFS('J Book Items Cons.'!N$5:N$3360,'J Book Items Cons.'!E$5:E$3360,5,'J Book Items Cons.'!S$5:S$3360,"",'J Book Items Cons.'!U$5:U$3360,"MSC",'J Book Items Cons.'!W$5:W$3360,"Hospital Ship",'J Book Items Cons.'!R$5:R$3360,"",'J Book Items Cons.'!N$5:N$3360,"&lt;&gt;")+SUMIFS('J Book Items Cons.'!L$5:L$3360,'J Book Items Cons.'!E$5:E$3360,5,'J Book Items Cons.'!S$5:S$3360,"",'J Book Items Cons.'!U$5:U$3360,"MSC",'J Book Items Cons.'!W$5:W$3360,"Hospital Ship",'J Book Items Cons.'!R$5:R$3360,"",'J Book Items Cons.'!N$5:N$3360,"")+SUMIFS('J Book Items Cons.'!R$5:R$3360,'J Book Items Cons.'!E$5:E$3360,5,'J Book Items Cons.'!S$5:S$3360,"[PARENT]",'J Book Items Cons.'!U$5:U$3360,"MSC",'J Book Items Cons.'!W$5:W$3360,"Hospital Ship",'J Book Items Cons.'!R$5:R$3360,"&lt;&gt;")+SUMIFS('J Book Items Cons.'!N$5:N$3360,'J Book Items Cons.'!E$5:E$3360,5,'J Book Items Cons.'!S$5:S$3360,"[PARENT]",'J Book Items Cons.'!U$5:U$3360,"MSC",'J Book Items Cons.'!W$5:W$3360,"Hospital Ship",'J Book Items Cons.'!R$5:R$3360,"",'J Book Items Cons.'!N$5:N$3360,"&lt;&gt;")+SUMIFS('J Book Items Cons.'!L$5:L$3360,'J Book Items Cons.'!E$5:E$3360,5,'J Book Items Cons.'!S$5:S$3360,"[PARENT]",'J Book Items Cons.'!U$5:U$3360,"MSC",'J Book Items Cons.'!W$5:W$3360,"Hospital Ship",'J Book Items Cons.'!R$5:R$3360,"",'J Book Items Cons.'!N$5:N$3360,"")</f>
        <v>0</v>
      </c>
      <c r="AE48" s="26">
        <f>SUMIFS('J Book Items Cons.'!R$5:R$3360,'J Book Items Cons.'!E$5:E$3360,5,'J Book Items Cons.'!S$5:S$3360,"",'J Book Items Cons.'!U$5:U$3360,"MSC",'J Book Items Cons.'!W$5:W$3360,"Research, Survey &amp; Instrumentation Ships",'J Book Items Cons.'!R$5:R$3360,"&lt;&gt;")+SUMIFS('J Book Items Cons.'!N$5:N$3360,'J Book Items Cons.'!E$5:E$3360,5,'J Book Items Cons.'!S$5:S$3360,"",'J Book Items Cons.'!U$5:U$3360,"MSC",'J Book Items Cons.'!W$5:W$3360,"Research, Survey &amp; Instrumentation Ships",'J Book Items Cons.'!R$5:R$3360,"",'J Book Items Cons.'!N$5:N$3360,"&lt;&gt;")+SUMIFS('J Book Items Cons.'!L$5:L$3360,'J Book Items Cons.'!E$5:E$3360,5,'J Book Items Cons.'!S$5:S$3360,"",'J Book Items Cons.'!U$5:U$3360,"MSC",'J Book Items Cons.'!W$5:W$3360,"Research, Survey &amp; Instrumentation Ships",'J Book Items Cons.'!R$5:R$3360,"",'J Book Items Cons.'!N$5:N$3360,"")+SUMIFS('J Book Items Cons.'!R$5:R$3360,'J Book Items Cons.'!E$5:E$3360,5,'J Book Items Cons.'!S$5:S$3360,"[PARENT]",'J Book Items Cons.'!U$5:U$3360,"MSC",'J Book Items Cons.'!W$5:W$3360,"Research, Survey &amp; Instrumentation Ships",'J Book Items Cons.'!R$5:R$3360,"&lt;&gt;")+SUMIFS('J Book Items Cons.'!N$5:N$3360,'J Book Items Cons.'!E$5:E$3360,5,'J Book Items Cons.'!S$5:S$3360,"[PARENT]",'J Book Items Cons.'!U$5:U$3360,"MSC",'J Book Items Cons.'!W$5:W$3360,"Research, Survey &amp; Instrumentation Ships",'J Book Items Cons.'!R$5:R$3360,"",'J Book Items Cons.'!N$5:N$3360,"&lt;&gt;")+SUMIFS('J Book Items Cons.'!L$5:L$3360,'J Book Items Cons.'!E$5:E$3360,5,'J Book Items Cons.'!S$5:S$3360,"[PARENT]",'J Book Items Cons.'!U$5:U$3360,"MSC",'J Book Items Cons.'!W$5:W$3360,"Research, Survey &amp; Instrumentation Ships",'J Book Items Cons.'!R$5:R$3360,"",'J Book Items Cons.'!N$5:N$3360,"")</f>
        <v>0</v>
      </c>
      <c r="AF48" s="25">
        <f>SUMIFS('J Book Items Cons.'!R$5:R$3360,'J Book Items Cons.'!E$5:E$3360,5,'J Book Items Cons.'!S$5:S$3360,"",'J Book Items Cons.'!U$5:U$3360,"USCG",'J Book Items Cons.'!W$5:W$3360,"Offshore Patrol Cutter",'J Book Items Cons.'!R$5:R$3360,"&lt;&gt;")+SUMIFS('J Book Items Cons.'!N$5:N$3360,'J Book Items Cons.'!E$5:E$3360,5,'J Book Items Cons.'!S$5:S$3360,"",'J Book Items Cons.'!U$5:U$3360,"USCG",'J Book Items Cons.'!W$5:W$3360,"Offshore Patrol Cutter",'J Book Items Cons.'!R$5:R$3360,"",'J Book Items Cons.'!N$5:N$3360,"&lt;&gt;")+SUMIFS('J Book Items Cons.'!L$5:L$3360,'J Book Items Cons.'!E$5:E$3360,5,'J Book Items Cons.'!S$5:S$3360,"",'J Book Items Cons.'!U$5:U$3360,"USCG",'J Book Items Cons.'!W$5:W$3360,"Offshore Patrol Cutter",'J Book Items Cons.'!R$5:R$3360,"",'J Book Items Cons.'!N$5:N$3360,"")+SUMIFS('J Book Items Cons.'!R$5:R$3360,'J Book Items Cons.'!E$5:E$3360,5,'J Book Items Cons.'!S$5:S$3360,"[PARENT]",'J Book Items Cons.'!U$5:U$3360,"USCG",'J Book Items Cons.'!W$5:W$3360,"Offshore Patrol Cutter",'J Book Items Cons.'!R$5:R$3360,"&lt;&gt;")+SUMIFS('J Book Items Cons.'!N$5:N$3360,'J Book Items Cons.'!E$5:E$3360,5,'J Book Items Cons.'!S$5:S$3360,"[PARENT]",'J Book Items Cons.'!U$5:U$3360,"USCG",'J Book Items Cons.'!W$5:W$3360,"Offshore Patrol Cutter",'J Book Items Cons.'!R$5:R$3360,"",'J Book Items Cons.'!N$5:N$3360,"&lt;&gt;")+SUMIFS('J Book Items Cons.'!L$5:L$3360,'J Book Items Cons.'!E$5:E$3360,5,'J Book Items Cons.'!S$5:S$3360,"[PARENT]",'J Book Items Cons.'!U$5:U$3360,"USCG",'J Book Items Cons.'!W$5:W$3360,"Offshore Patrol Cutter",'J Book Items Cons.'!R$5:R$3360,"",'J Book Items Cons.'!N$5:N$3360,"")</f>
        <v>0</v>
      </c>
      <c r="AG48" s="14">
        <f>SUMIFS('J Book Items Cons.'!R$5:R$3360,'J Book Items Cons.'!E$5:E$3360,5,'J Book Items Cons.'!S$5:S$3360,"",'J Book Items Cons.'!U$5:U$3360,"USCG",'J Book Items Cons.'!W$5:W$3360,"Fast Response Cutters",'J Book Items Cons.'!R$5:R$3360,"&lt;&gt;")+SUMIFS('J Book Items Cons.'!N$5:N$3360,'J Book Items Cons.'!E$5:E$3360,5,'J Book Items Cons.'!S$5:S$3360,"",'J Book Items Cons.'!U$5:U$3360,"USCG",'J Book Items Cons.'!W$5:W$3360,"Fast Response Cutters",'J Book Items Cons.'!R$5:R$3360,"",'J Book Items Cons.'!N$5:N$3360,"&lt;&gt;")+SUMIFS('J Book Items Cons.'!L$5:L$3360,'J Book Items Cons.'!E$5:E$3360,5,'J Book Items Cons.'!S$5:S$3360,"",'J Book Items Cons.'!U$5:U$3360,"USCG",'J Book Items Cons.'!W$5:W$3360,"Fast Response Cutters",'J Book Items Cons.'!R$5:R$3360,"",'J Book Items Cons.'!N$5:N$3360,"")+SUMIFS('J Book Items Cons.'!R$5:R$3360,'J Book Items Cons.'!E$5:E$3360,5,'J Book Items Cons.'!S$5:S$3360,"[PARENT]",'J Book Items Cons.'!U$5:U$3360,"USCG",'J Book Items Cons.'!W$5:W$3360,"Fast Response Cutters",'J Book Items Cons.'!R$5:R$3360,"&lt;&gt;")+SUMIFS('J Book Items Cons.'!N$5:N$3360,'J Book Items Cons.'!E$5:E$3360,5,'J Book Items Cons.'!S$5:S$3360,"[PARENT]",'J Book Items Cons.'!U$5:U$3360,"USCG",'J Book Items Cons.'!W$5:W$3360,"Fast Response Cutters",'J Book Items Cons.'!R$5:R$3360,"",'J Book Items Cons.'!N$5:N$3360,"&lt;&gt;")+SUMIFS('J Book Items Cons.'!L$5:L$3360,'J Book Items Cons.'!E$5:E$3360,5,'J Book Items Cons.'!S$5:S$3360,"[PARENT]",'J Book Items Cons.'!U$5:U$3360,"USCG",'J Book Items Cons.'!W$5:W$3360,"Fast Response Cutters",'J Book Items Cons.'!R$5:R$3360,"",'J Book Items Cons.'!N$5:N$3360,"")</f>
        <v>0</v>
      </c>
      <c r="AH48" s="14">
        <f>SUMIFS('J Book Items Cons.'!R$5:R$3360,'J Book Items Cons.'!E$5:E$3360,5,'J Book Items Cons.'!S$5:S$3360,"",'J Book Items Cons.'!U$5:U$3360,"USCG",'J Book Items Cons.'!W$5:W$3360,"Icebreakers, Oceangoing",'J Book Items Cons.'!R$5:R$3360,"&lt;&gt;")+SUMIFS('J Book Items Cons.'!N$5:N$3360,'J Book Items Cons.'!E$5:E$3360,5,'J Book Items Cons.'!S$5:S$3360,"",'J Book Items Cons.'!U$5:U$3360,"USCG",'J Book Items Cons.'!W$5:W$3360,"Icebreakers, Oceangoing",'J Book Items Cons.'!R$5:R$3360,"",'J Book Items Cons.'!N$5:N$3360,"&lt;&gt;")+SUMIFS('J Book Items Cons.'!L$5:L$3360,'J Book Items Cons.'!E$5:E$3360,5,'J Book Items Cons.'!S$5:S$3360,"",'J Book Items Cons.'!U$5:U$3360,"USCG",'J Book Items Cons.'!W$5:W$3360,"Icebreakers, Oceangoing",'J Book Items Cons.'!R$5:R$3360,"",'J Book Items Cons.'!N$5:N$3360,"")+SUMIFS('J Book Items Cons.'!R$5:R$3360,'J Book Items Cons.'!E$5:E$3360,5,'J Book Items Cons.'!S$5:S$3360,"[PARENT]",'J Book Items Cons.'!U$5:U$3360,"USCG",'J Book Items Cons.'!W$5:W$3360,"Icebreakers, Oceangoing",'J Book Items Cons.'!R$5:R$3360,"&lt;&gt;")+SUMIFS('J Book Items Cons.'!N$5:N$3360,'J Book Items Cons.'!E$5:E$3360,5,'J Book Items Cons.'!S$5:S$3360,"[PARENT]",'J Book Items Cons.'!U$5:U$3360,"USCG",'J Book Items Cons.'!W$5:W$3360,"Icebreakers, Oceangoing",'J Book Items Cons.'!R$5:R$3360,"",'J Book Items Cons.'!N$5:N$3360,"&lt;&gt;")+SUMIFS('J Book Items Cons.'!L$5:L$3360,'J Book Items Cons.'!E$5:E$3360,5,'J Book Items Cons.'!S$5:S$3360,"[PARENT]",'J Book Items Cons.'!U$5:U$3360,"USCG",'J Book Items Cons.'!W$5:W$3360,"Icebreakers, Oceangoing",'J Book Items Cons.'!R$5:R$3360,"",'J Book Items Cons.'!N$5:N$3360,"")</f>
        <v>0</v>
      </c>
      <c r="AI48" s="14">
        <f>SUMIFS('J Book Items Cons.'!R$5:R$3360,'J Book Items Cons.'!E$5:E$3360,5,'J Book Items Cons.'!S$5:S$3360,"",'J Book Items Cons.'!U$5:U$3360,"USCG",'J Book Items Cons.'!W$5:W$3360,"Waterways Commerce Cutters",'J Book Items Cons.'!R$5:R$3360,"&lt;&gt;")+SUMIFS('J Book Items Cons.'!N$5:N$3360,'J Book Items Cons.'!E$5:E$3360,5,'J Book Items Cons.'!S$5:S$3360,"",'J Book Items Cons.'!U$5:U$3360,"USCG",'J Book Items Cons.'!W$5:W$3360,"Waterways Commerce Cutters",'J Book Items Cons.'!R$5:R$3360,"",'J Book Items Cons.'!N$5:N$3360,"&lt;&gt;")+SUMIFS('J Book Items Cons.'!L$5:L$3360,'J Book Items Cons.'!E$5:E$3360,5,'J Book Items Cons.'!S$5:S$3360,"",'J Book Items Cons.'!U$5:U$3360,"USCG",'J Book Items Cons.'!W$5:W$3360,"Waterways Commerce Cutters",'J Book Items Cons.'!R$5:R$3360,"",'J Book Items Cons.'!N$5:N$3360,"")+SUMIFS('J Book Items Cons.'!R$5:R$3360,'J Book Items Cons.'!E$5:E$3360,5,'J Book Items Cons.'!S$5:S$3360,"[PARENT]",'J Book Items Cons.'!U$5:U$3360,"USCG",'J Book Items Cons.'!W$5:W$3360,"Waterways Commerce Cutters",'J Book Items Cons.'!R$5:R$3360,"&lt;&gt;")+SUMIFS('J Book Items Cons.'!N$5:N$3360,'J Book Items Cons.'!E$5:E$3360,5,'J Book Items Cons.'!S$5:S$3360,"[PARENT]",'J Book Items Cons.'!U$5:U$3360,"USCG",'J Book Items Cons.'!W$5:W$3360,"Waterways Commerce Cutters",'J Book Items Cons.'!R$5:R$3360,"",'J Book Items Cons.'!N$5:N$3360,"&lt;&gt;")+SUMIFS('J Book Items Cons.'!L$5:L$3360,'J Book Items Cons.'!E$5:E$3360,5,'J Book Items Cons.'!S$5:S$3360,"[PARENT]",'J Book Items Cons.'!U$5:U$3360,"USCG",'J Book Items Cons.'!W$5:W$3360,"Waterways Commerce Cutters",'J Book Items Cons.'!R$5:R$3360,"",'J Book Items Cons.'!N$5:N$3360,"")</f>
        <v>0</v>
      </c>
      <c r="AJ48" s="14">
        <f>SUMIFS('J Book Items Cons.'!R$5:R$3360,'J Book Items Cons.'!E$5:E$3360,5,'J Book Items Cons.'!S$5:S$3360,"",'J Book Items Cons.'!U$5:U$3360,"USCG",'J Book Items Cons.'!W$5:W$3360,"National Security Cutters",'J Book Items Cons.'!R$5:R$3360,"&lt;&gt;")+SUMIFS('J Book Items Cons.'!N$5:N$3360,'J Book Items Cons.'!E$5:E$3360,5,'J Book Items Cons.'!S$5:S$3360,"",'J Book Items Cons.'!U$5:U$3360,"USCG",'J Book Items Cons.'!W$5:W$3360,"National Security Cutters",'J Book Items Cons.'!R$5:R$3360,"",'J Book Items Cons.'!N$5:N$3360,"&lt;&gt;")+SUMIFS('J Book Items Cons.'!L$5:L$3360,'J Book Items Cons.'!E$5:E$3360,5,'J Book Items Cons.'!S$5:S$3360,"",'J Book Items Cons.'!U$5:U$3360,"USCG",'J Book Items Cons.'!W$5:W$3360,"National Security Cutters",'J Book Items Cons.'!R$5:R$3360,"",'J Book Items Cons.'!N$5:N$3360,"")+SUMIFS('J Book Items Cons.'!R$5:R$3360,'J Book Items Cons.'!E$5:E$3360,5,'J Book Items Cons.'!S$5:S$3360,"[PARENT]",'J Book Items Cons.'!U$5:U$3360,"USCG",'J Book Items Cons.'!W$5:W$3360,"National Security Cutters",'J Book Items Cons.'!R$5:R$3360,"&lt;&gt;")+SUMIFS('J Book Items Cons.'!N$5:N$3360,'J Book Items Cons.'!E$5:E$3360,5,'J Book Items Cons.'!S$5:S$3360,"[PARENT]",'J Book Items Cons.'!U$5:U$3360,"USCG",'J Book Items Cons.'!W$5:W$3360,"National Security Cutters",'J Book Items Cons.'!R$5:R$3360,"",'J Book Items Cons.'!N$5:N$3360,"&lt;&gt;")+SUMIFS('J Book Items Cons.'!L$5:L$3360,'J Book Items Cons.'!E$5:E$3360,5,'J Book Items Cons.'!S$5:S$3360,"[PARENT]",'J Book Items Cons.'!U$5:U$3360,"USCG",'J Book Items Cons.'!W$5:W$3360,"National Security Cutters",'J Book Items Cons.'!R$5:R$3360,"",'J Book Items Cons.'!N$5:N$3360,"")</f>
        <v>0</v>
      </c>
      <c r="AK48" s="14">
        <f>SUMIFS('J Book Items Cons.'!R$5:R$3360,'J Book Items Cons.'!E$5:E$3360,5,'J Book Items Cons.'!S$5:S$3360,"",'J Book Items Cons.'!U$5:U$3360,"USCG",'J Book Items Cons.'!W$5:W$3360,"Coastal Buoy Tenders",'J Book Items Cons.'!R$5:R$3360,"&lt;&gt;")+SUMIFS('J Book Items Cons.'!N$5:N$3360,'J Book Items Cons.'!E$5:E$3360,5,'J Book Items Cons.'!S$5:S$3360,"",'J Book Items Cons.'!U$5:U$3360,"USCG",'J Book Items Cons.'!W$5:W$3360,"Coastal Buoy Tenders",'J Book Items Cons.'!R$5:R$3360,"",'J Book Items Cons.'!N$5:N$3360,"&lt;&gt;")+SUMIFS('J Book Items Cons.'!L$5:L$3360,'J Book Items Cons.'!E$5:E$3360,5,'J Book Items Cons.'!S$5:S$3360,"",'J Book Items Cons.'!U$5:U$3360,"USCG",'J Book Items Cons.'!W$5:W$3360,"Coastal Buoy Tenders",'J Book Items Cons.'!R$5:R$3360,"",'J Book Items Cons.'!N$5:N$3360,"")+SUMIFS('J Book Items Cons.'!R$5:R$3360,'J Book Items Cons.'!E$5:E$3360,5,'J Book Items Cons.'!S$5:S$3360,"[PARENT]",'J Book Items Cons.'!U$5:U$3360,"USCG",'J Book Items Cons.'!W$5:W$3360,"Coastal Buoy Tenders",'J Book Items Cons.'!R$5:R$3360,"&lt;&gt;")+SUMIFS('J Book Items Cons.'!N$5:N$3360,'J Book Items Cons.'!E$5:E$3360,5,'J Book Items Cons.'!S$5:S$3360,"[PARENT]",'J Book Items Cons.'!U$5:U$3360,"USCG",'J Book Items Cons.'!W$5:W$3360,"Coastal Buoy Tenders",'J Book Items Cons.'!R$5:R$3360,"",'J Book Items Cons.'!N$5:N$3360,"&lt;&gt;")+SUMIFS('J Book Items Cons.'!L$5:L$3360,'J Book Items Cons.'!E$5:E$3360,5,'J Book Items Cons.'!S$5:S$3360,"[PARENT]",'J Book Items Cons.'!U$5:U$3360,"USCG",'J Book Items Cons.'!W$5:W$3360,"Coastal Buoy Tenders",'J Book Items Cons.'!R$5:R$3360,"",'J Book Items Cons.'!N$5:N$3360,"")</f>
        <v>0</v>
      </c>
      <c r="AL48" s="26">
        <f>SUMIFS('J Book Items Cons.'!R$5:R$3360,'J Book Items Cons.'!E$5:E$3360,5,'J Book Items Cons.'!S$5:S$3360,"",'J Book Items Cons.'!U$5:U$3360,"USCG",'J Book Items Cons.'!W$5:W$3360,"Icebreakers, Great Lakes",'J Book Items Cons.'!R$5:R$3360,"&lt;&gt;")+SUMIFS('J Book Items Cons.'!N$5:N$3360,'J Book Items Cons.'!E$5:E$3360,5,'J Book Items Cons.'!S$5:S$3360,"",'J Book Items Cons.'!U$5:U$3360,"USCG",'J Book Items Cons.'!W$5:W$3360,"Icebreakers, Great Lakes",'J Book Items Cons.'!R$5:R$3360,"",'J Book Items Cons.'!N$5:N$3360,"&lt;&gt;")+SUMIFS('J Book Items Cons.'!L$5:L$3360,'J Book Items Cons.'!E$5:E$3360,5,'J Book Items Cons.'!S$5:S$3360,"",'J Book Items Cons.'!U$5:U$3360,"USCG",'J Book Items Cons.'!W$5:W$3360,"Icebreakers, Great Lakes",'J Book Items Cons.'!R$5:R$3360,"",'J Book Items Cons.'!N$5:N$3360,"")+SUMIFS('J Book Items Cons.'!R$5:R$3360,'J Book Items Cons.'!E$5:E$3360,5,'J Book Items Cons.'!S$5:S$3360,"[PARENT]",'J Book Items Cons.'!U$5:U$3360,"USCG",'J Book Items Cons.'!W$5:W$3360,"Icebreakers, Great Lakes",'J Book Items Cons.'!R$5:R$3360,"&lt;&gt;")+SUMIFS('J Book Items Cons.'!N$5:N$3360,'J Book Items Cons.'!E$5:E$3360,5,'J Book Items Cons.'!S$5:S$3360,"[PARENT]",'J Book Items Cons.'!U$5:U$3360,"USCG",'J Book Items Cons.'!W$5:W$3360,"Icebreakers, Great Lakes",'J Book Items Cons.'!R$5:R$3360,"",'J Book Items Cons.'!N$5:N$3360,"&lt;&gt;")+SUMIFS('J Book Items Cons.'!L$5:L$3360,'J Book Items Cons.'!E$5:E$3360,5,'J Book Items Cons.'!S$5:S$3360,"[PARENT]",'J Book Items Cons.'!U$5:U$3360,"USCG",'J Book Items Cons.'!W$5:W$3360,"Icebreakers, Great Lakes",'J Book Items Cons.'!R$5:R$3360,"",'J Book Items Cons.'!N$5:N$3360,"")</f>
        <v>0</v>
      </c>
      <c r="AM48" s="14">
        <f t="shared" si="3"/>
        <v>1635677</v>
      </c>
    </row>
    <row r="49" spans="1:42" ht="10.5" customHeight="1" x14ac:dyDescent="0.15">
      <c r="A49" s="7" t="s">
        <v>8827</v>
      </c>
      <c r="B49" s="25">
        <f>SUMIFS('J Book Items Cons.'!R$5:R$3360,'J Book Items Cons.'!E$5:E$3360,6,'J Book Items Cons.'!S$5:S$3360,"",'J Book Items Cons.'!U$5:U$3360,"USN",'J Book Items Cons.'!W$5:W$3360,"Submarines",'J Book Items Cons.'!R$5:R$3360,"&lt;&gt;")+SUMIFS('J Book Items Cons.'!N$5:N$3360,'J Book Items Cons.'!E$5:E$3360,6,'J Book Items Cons.'!S$5:S$3360,"",'J Book Items Cons.'!U$5:U$3360,"USN",'J Book Items Cons.'!W$5:W$3360,"Submarines",'J Book Items Cons.'!R$5:R$3360,"",'J Book Items Cons.'!N$5:N$3360,"&lt;&gt;")+SUMIFS('J Book Items Cons.'!L$5:L$3360,'J Book Items Cons.'!E$5:E$3360,6,'J Book Items Cons.'!S$5:S$3360,"",'J Book Items Cons.'!U$5:U$3360,"USN",'J Book Items Cons.'!W$5:W$3360,"Submarines",'J Book Items Cons.'!R$5:R$3360,"",'J Book Items Cons.'!N$5:N$3360,"")+SUMIFS('J Book Items Cons.'!R$5:R$3360,'J Book Items Cons.'!E$5:E$3360,6,'J Book Items Cons.'!S$5:S$3360,"[PARENT]",'J Book Items Cons.'!U$5:U$3360,"USN",'J Book Items Cons.'!W$5:W$3360,"Submarines",'J Book Items Cons.'!R$5:R$3360,"&lt;&gt;")+SUMIFS('J Book Items Cons.'!N$5:N$3360,'J Book Items Cons.'!E$5:E$3360,6,'J Book Items Cons.'!S$5:S$3360,"[PARENT]",'J Book Items Cons.'!U$5:U$3360,"USN",'J Book Items Cons.'!W$5:W$3360,"Submarines",'J Book Items Cons.'!R$5:R$3360,"",'J Book Items Cons.'!N$5:N$3360,"&lt;&gt;")+SUMIFS('J Book Items Cons.'!L$5:L$3360,'J Book Items Cons.'!E$5:E$3360,6,'J Book Items Cons.'!S$5:S$3360,"[PARENT]",'J Book Items Cons.'!U$5:U$3360,"USN",'J Book Items Cons.'!W$5:W$3360,"Submarines",'J Book Items Cons.'!R$5:R$3360,"",'J Book Items Cons.'!N$5:N$3360,"")</f>
        <v>150155</v>
      </c>
      <c r="C49" s="14">
        <f>SUMIFS('J Book Items Cons.'!R$5:R$3360,'J Book Items Cons.'!E$5:E$3360,6,'J Book Items Cons.'!S$5:S$3360,"",'J Book Items Cons.'!U$5:U$3360,"USN",'J Book Items Cons.'!W$5:W$3360,"Surface Combatants",'J Book Items Cons.'!R$5:R$3360,"&lt;&gt;")+SUMIFS('J Book Items Cons.'!N$5:N$3360,'J Book Items Cons.'!E$5:E$3360,6,'J Book Items Cons.'!S$5:S$3360,"",'J Book Items Cons.'!U$5:U$3360,"USN",'J Book Items Cons.'!W$5:W$3360,"Surface Combatants",'J Book Items Cons.'!R$5:R$3360,"",'J Book Items Cons.'!N$5:N$3360,"&lt;&gt;")+SUMIFS('J Book Items Cons.'!L$5:L$3360,'J Book Items Cons.'!E$5:E$3360,6,'J Book Items Cons.'!S$5:S$3360,"",'J Book Items Cons.'!U$5:U$3360,"USN",'J Book Items Cons.'!W$5:W$3360,"Surface Combatants",'J Book Items Cons.'!R$5:R$3360,"",'J Book Items Cons.'!N$5:N$3360,"")+SUMIFS('J Book Items Cons.'!R$5:R$3360,'J Book Items Cons.'!E$5:E$3360,6,'J Book Items Cons.'!S$5:S$3360,"[PARENT]",'J Book Items Cons.'!U$5:U$3360,"USN",'J Book Items Cons.'!W$5:W$3360,"Surface Combatants",'J Book Items Cons.'!R$5:R$3360,"&lt;&gt;")+SUMIFS('J Book Items Cons.'!N$5:N$3360,'J Book Items Cons.'!E$5:E$3360,6,'J Book Items Cons.'!S$5:S$3360,"[PARENT]",'J Book Items Cons.'!U$5:U$3360,"USN",'J Book Items Cons.'!W$5:W$3360,"Surface Combatants",'J Book Items Cons.'!R$5:R$3360,"",'J Book Items Cons.'!N$5:N$3360,"&lt;&gt;")+SUMIFS('J Book Items Cons.'!L$5:L$3360,'J Book Items Cons.'!E$5:E$3360,6,'J Book Items Cons.'!S$5:S$3360,"[PARENT]",'J Book Items Cons.'!U$5:U$3360,"USN",'J Book Items Cons.'!W$5:W$3360,"Surface Combatants",'J Book Items Cons.'!R$5:R$3360,"",'J Book Items Cons.'!N$5:N$3360,"")</f>
        <v>6041</v>
      </c>
      <c r="D49" s="14">
        <f>SUMIFS('J Book Items Cons.'!R$5:R$3360,'J Book Items Cons.'!E$5:E$3360,6,'J Book Items Cons.'!S$5:S$3360,"",'J Book Items Cons.'!U$5:U$3360,"USN",'J Book Items Cons.'!W$5:W$3360,"Aircraft Carriers",'J Book Items Cons.'!R$5:R$3360,"&lt;&gt;")+SUMIFS('J Book Items Cons.'!N$5:N$3360,'J Book Items Cons.'!E$5:E$3360,6,'J Book Items Cons.'!S$5:S$3360,"",'J Book Items Cons.'!U$5:U$3360,"USN",'J Book Items Cons.'!W$5:W$3360,"Aircraft Carriers",'J Book Items Cons.'!R$5:R$3360,"",'J Book Items Cons.'!N$5:N$3360,"&lt;&gt;")+SUMIFS('J Book Items Cons.'!L$5:L$3360,'J Book Items Cons.'!E$5:E$3360,6,'J Book Items Cons.'!S$5:S$3360,"",'J Book Items Cons.'!U$5:U$3360,"USN",'J Book Items Cons.'!W$5:W$3360,"Aircraft Carriers",'J Book Items Cons.'!R$5:R$3360,"",'J Book Items Cons.'!N$5:N$3360,"")+SUMIFS('J Book Items Cons.'!R$5:R$3360,'J Book Items Cons.'!E$5:E$3360,6,'J Book Items Cons.'!S$5:S$3360,"[PARENT]",'J Book Items Cons.'!U$5:U$3360,"USN",'J Book Items Cons.'!W$5:W$3360,"Aircraft Carriers",'J Book Items Cons.'!R$5:R$3360,"&lt;&gt;")+SUMIFS('J Book Items Cons.'!N$5:N$3360,'J Book Items Cons.'!E$5:E$3360,6,'J Book Items Cons.'!S$5:S$3360,"[PARENT]",'J Book Items Cons.'!U$5:U$3360,"USN",'J Book Items Cons.'!W$5:W$3360,"Aircraft Carriers",'J Book Items Cons.'!R$5:R$3360,"",'J Book Items Cons.'!N$5:N$3360,"&lt;&gt;")+SUMIFS('J Book Items Cons.'!L$5:L$3360,'J Book Items Cons.'!E$5:E$3360,6,'J Book Items Cons.'!S$5:S$3360,"[PARENT]",'J Book Items Cons.'!U$5:U$3360,"USN",'J Book Items Cons.'!W$5:W$3360,"Aircraft Carriers",'J Book Items Cons.'!R$5:R$3360,"",'J Book Items Cons.'!N$5:N$3360,"")</f>
        <v>0</v>
      </c>
      <c r="E49" s="14">
        <f>SUMIFS('J Book Items Cons.'!R$5:R$3360,'J Book Items Cons.'!E$5:E$3360,6,'J Book Items Cons.'!S$5:S$3360,"",'J Book Items Cons.'!U$5:U$3360,"USN",'J Book Items Cons.'!W$5:W$3360,"Amphibious Warfare Ships",'J Book Items Cons.'!R$5:R$3360,"&lt;&gt;")+SUMIFS('J Book Items Cons.'!N$5:N$3360,'J Book Items Cons.'!E$5:E$3360,6,'J Book Items Cons.'!S$5:S$3360,"",'J Book Items Cons.'!U$5:U$3360,"USN",'J Book Items Cons.'!W$5:W$3360,"Amphibious Warfare Ships",'J Book Items Cons.'!R$5:R$3360,"",'J Book Items Cons.'!N$5:N$3360,"&lt;&gt;")+SUMIFS('J Book Items Cons.'!L$5:L$3360,'J Book Items Cons.'!E$5:E$3360,6,'J Book Items Cons.'!S$5:S$3360,"",'J Book Items Cons.'!U$5:U$3360,"USN",'J Book Items Cons.'!W$5:W$3360,"Amphibious Warfare Ships",'J Book Items Cons.'!R$5:R$3360,"",'J Book Items Cons.'!N$5:N$3360,"")+SUMIFS('J Book Items Cons.'!R$5:R$3360,'J Book Items Cons.'!E$5:E$3360,6,'J Book Items Cons.'!S$5:S$3360,"[PARENT]",'J Book Items Cons.'!U$5:U$3360,"USN",'J Book Items Cons.'!W$5:W$3360,"Amphibious Warfare Ships",'J Book Items Cons.'!R$5:R$3360,"&lt;&gt;")+SUMIFS('J Book Items Cons.'!N$5:N$3360,'J Book Items Cons.'!E$5:E$3360,6,'J Book Items Cons.'!S$5:S$3360,"[PARENT]",'J Book Items Cons.'!U$5:U$3360,"USN",'J Book Items Cons.'!W$5:W$3360,"Amphibious Warfare Ships",'J Book Items Cons.'!R$5:R$3360,"",'J Book Items Cons.'!N$5:N$3360,"&lt;&gt;")+SUMIFS('J Book Items Cons.'!L$5:L$3360,'J Book Items Cons.'!E$5:E$3360,6,'J Book Items Cons.'!S$5:S$3360,"[PARENT]",'J Book Items Cons.'!U$5:U$3360,"USN",'J Book Items Cons.'!W$5:W$3360,"Amphibious Warfare Ships",'J Book Items Cons.'!R$5:R$3360,"",'J Book Items Cons.'!N$5:N$3360,"")</f>
        <v>0</v>
      </c>
      <c r="F49" s="14">
        <f>SUMIFS('J Book Items Cons.'!R$5:R$3360,'J Book Items Cons.'!E$5:E$3360,6,'J Book Items Cons.'!S$5:S$3360,"",'J Book Items Cons.'!U$5:U$3360,"USN",'J Book Items Cons.'!W$5:W$3360,"Expeditionary &amp; Seabasing Ships",'J Book Items Cons.'!R$5:R$3360,"&lt;&gt;")+SUMIFS('J Book Items Cons.'!N$5:N$3360,'J Book Items Cons.'!E$5:E$3360,6,'J Book Items Cons.'!S$5:S$3360,"",'J Book Items Cons.'!U$5:U$3360,"USN",'J Book Items Cons.'!W$5:W$3360,"Expeditionary &amp; Seabasing Ships",'J Book Items Cons.'!R$5:R$3360,"",'J Book Items Cons.'!N$5:N$3360,"&lt;&gt;")+SUMIFS('J Book Items Cons.'!L$5:L$3360,'J Book Items Cons.'!E$5:E$3360,6,'J Book Items Cons.'!S$5:S$3360,"",'J Book Items Cons.'!U$5:U$3360,"USN",'J Book Items Cons.'!W$5:W$3360,"Expeditionary &amp; Seabasing Ships",'J Book Items Cons.'!R$5:R$3360,"",'J Book Items Cons.'!N$5:N$3360,"")+SUMIFS('J Book Items Cons.'!R$5:R$3360,'J Book Items Cons.'!E$5:E$3360,6,'J Book Items Cons.'!S$5:S$3360,"[PARENT]",'J Book Items Cons.'!U$5:U$3360,"USN",'J Book Items Cons.'!W$5:W$3360,"Expeditionary &amp; Seabasing Ships",'J Book Items Cons.'!R$5:R$3360,"&lt;&gt;")+SUMIFS('J Book Items Cons.'!N$5:N$3360,'J Book Items Cons.'!E$5:E$3360,6,'J Book Items Cons.'!S$5:S$3360,"[PARENT]",'J Book Items Cons.'!U$5:U$3360,"USN",'J Book Items Cons.'!W$5:W$3360,"Expeditionary &amp; Seabasing Ships",'J Book Items Cons.'!R$5:R$3360,"",'J Book Items Cons.'!N$5:N$3360,"&lt;&gt;")+SUMIFS('J Book Items Cons.'!L$5:L$3360,'J Book Items Cons.'!E$5:E$3360,6,'J Book Items Cons.'!S$5:S$3360,"[PARENT]",'J Book Items Cons.'!U$5:U$3360,"USN",'J Book Items Cons.'!W$5:W$3360,"Expeditionary &amp; Seabasing Ships",'J Book Items Cons.'!R$5:R$3360,"",'J Book Items Cons.'!N$5:N$3360,"")</f>
        <v>0</v>
      </c>
      <c r="G49" s="14">
        <f>SUMIFS('J Book Items Cons.'!R$5:R$3360,'J Book Items Cons.'!E$5:E$3360,6,'J Book Items Cons.'!S$5:S$3360,"",'J Book Items Cons.'!U$5:U$3360,"MSC",'J Book Items Cons.'!W$5:W$3360,"Combat Logistics Ships",'J Book Items Cons.'!R$5:R$3360,"&lt;&gt;")+SUMIFS('J Book Items Cons.'!N$5:N$3360,'J Book Items Cons.'!E$5:E$3360,6,'J Book Items Cons.'!S$5:S$3360,"",'J Book Items Cons.'!U$5:U$3360,"MSC",'J Book Items Cons.'!W$5:W$3360,"Combat Logistics Ships",'J Book Items Cons.'!R$5:R$3360,"",'J Book Items Cons.'!N$5:N$3360,"&lt;&gt;")+SUMIFS('J Book Items Cons.'!L$5:L$3360,'J Book Items Cons.'!E$5:E$3360,6,'J Book Items Cons.'!S$5:S$3360,"",'J Book Items Cons.'!U$5:U$3360,"MSC",'J Book Items Cons.'!W$5:W$3360,"Combat Logistics Ships",'J Book Items Cons.'!R$5:R$3360,"",'J Book Items Cons.'!N$5:N$3360,"")+SUMIFS('J Book Items Cons.'!R$5:R$3360,'J Book Items Cons.'!E$5:E$3360,6,'J Book Items Cons.'!S$5:S$3360,"[PARENT]",'J Book Items Cons.'!U$5:U$3360,"MSC",'J Book Items Cons.'!W$5:W$3360,"Combat Logistics Ships",'J Book Items Cons.'!R$5:R$3360,"&lt;&gt;")+SUMIFS('J Book Items Cons.'!N$5:N$3360,'J Book Items Cons.'!E$5:E$3360,6,'J Book Items Cons.'!S$5:S$3360,"[PARENT]",'J Book Items Cons.'!U$5:U$3360,"MSC",'J Book Items Cons.'!W$5:W$3360,"Combat Logistics Ships",'J Book Items Cons.'!R$5:R$3360,"",'J Book Items Cons.'!N$5:N$3360,"&lt;&gt;")+SUMIFS('J Book Items Cons.'!L$5:L$3360,'J Book Items Cons.'!E$5:E$3360,6,'J Book Items Cons.'!S$5:S$3360,"[PARENT]",'J Book Items Cons.'!U$5:U$3360,"MSC",'J Book Items Cons.'!W$5:W$3360,"Combat Logistics Ships",'J Book Items Cons.'!R$5:R$3360,"",'J Book Items Cons.'!N$5:N$3360,"")</f>
        <v>0</v>
      </c>
      <c r="H49" s="14">
        <f>SUMIFS('J Book Items Cons.'!R$5:R$3360,'J Book Items Cons.'!E$5:E$3360,6,'J Book Items Cons.'!S$5:S$3360,"",'J Book Items Cons.'!U$5:U$3360,"USN",'J Book Items Cons.'!W$5:W$3360,"Unmanned Surface Vehicles",'J Book Items Cons.'!R$5:R$3360,"&lt;&gt;")+SUMIFS('J Book Items Cons.'!N$5:N$3360,'J Book Items Cons.'!E$5:E$3360,6,'J Book Items Cons.'!S$5:S$3360,"",'J Book Items Cons.'!U$5:U$3360,"USN",'J Book Items Cons.'!W$5:W$3360,"Unmanned Surface Vehicles",'J Book Items Cons.'!R$5:R$3360,"",'J Book Items Cons.'!N$5:N$3360,"&lt;&gt;")+SUMIFS('J Book Items Cons.'!L$5:L$3360,'J Book Items Cons.'!E$5:E$3360,6,'J Book Items Cons.'!S$5:S$3360,"",'J Book Items Cons.'!U$5:U$3360,"USN",'J Book Items Cons.'!W$5:W$3360,"Unmanned Surface Vehicles",'J Book Items Cons.'!R$5:R$3360,"",'J Book Items Cons.'!N$5:N$3360,"")+SUMIFS('J Book Items Cons.'!R$5:R$3360,'J Book Items Cons.'!E$5:E$3360,6,'J Book Items Cons.'!S$5:S$3360,"[PARENT]",'J Book Items Cons.'!U$5:U$3360,"USN",'J Book Items Cons.'!W$5:W$3360,"Unmanned Surface Vehicles",'J Book Items Cons.'!R$5:R$3360,"&lt;&gt;")+SUMIFS('J Book Items Cons.'!N$5:N$3360,'J Book Items Cons.'!E$5:E$3360,6,'J Book Items Cons.'!S$5:S$3360,"[PARENT]",'J Book Items Cons.'!U$5:U$3360,"USN",'J Book Items Cons.'!W$5:W$3360,"Unmanned Surface Vehicles",'J Book Items Cons.'!R$5:R$3360,"",'J Book Items Cons.'!N$5:N$3360,"&lt;&gt;")+SUMIFS('J Book Items Cons.'!L$5:L$3360,'J Book Items Cons.'!E$5:E$3360,6,'J Book Items Cons.'!S$5:S$3360,"[PARENT]",'J Book Items Cons.'!U$5:U$3360,"USN",'J Book Items Cons.'!W$5:W$3360,"Unmanned Surface Vehicles",'J Book Items Cons.'!R$5:R$3360,"",'J Book Items Cons.'!N$5:N$3360,"")</f>
        <v>0</v>
      </c>
      <c r="I49" s="14">
        <f>SUMIFS('J Book Items Cons.'!R$5:R$3360,'J Book Items Cons.'!E$5:E$3360,6,'J Book Items Cons.'!S$5:S$3360,"",'J Book Items Cons.'!U$5:U$3360,"USN",'J Book Items Cons.'!W$5:W$3360,"Amphibious Warfare Craft",'J Book Items Cons.'!R$5:R$3360,"&lt;&gt;")+SUMIFS('J Book Items Cons.'!N$5:N$3360,'J Book Items Cons.'!E$5:E$3360,6,'J Book Items Cons.'!S$5:S$3360,"",'J Book Items Cons.'!U$5:U$3360,"USN",'J Book Items Cons.'!W$5:W$3360,"Amphibious Warfare Craft",'J Book Items Cons.'!R$5:R$3360,"",'J Book Items Cons.'!N$5:N$3360,"&lt;&gt;")+SUMIFS('J Book Items Cons.'!L$5:L$3360,'J Book Items Cons.'!E$5:E$3360,6,'J Book Items Cons.'!S$5:S$3360,"",'J Book Items Cons.'!U$5:U$3360,"USN",'J Book Items Cons.'!W$5:W$3360,"Amphibious Warfare Craft",'J Book Items Cons.'!R$5:R$3360,"",'J Book Items Cons.'!N$5:N$3360,"")+SUMIFS('J Book Items Cons.'!R$5:R$3360,'J Book Items Cons.'!E$5:E$3360,6,'J Book Items Cons.'!S$5:S$3360,"[PARENT]",'J Book Items Cons.'!U$5:U$3360,"USN",'J Book Items Cons.'!W$5:W$3360,"Amphibious Warfare Craft",'J Book Items Cons.'!R$5:R$3360,"&lt;&gt;")+SUMIFS('J Book Items Cons.'!N$5:N$3360,'J Book Items Cons.'!E$5:E$3360,6,'J Book Items Cons.'!S$5:S$3360,"[PARENT]",'J Book Items Cons.'!U$5:U$3360,"USN",'J Book Items Cons.'!W$5:W$3360,"Amphibious Warfare Craft",'J Book Items Cons.'!R$5:R$3360,"",'J Book Items Cons.'!N$5:N$3360,"&lt;&gt;")+SUMIFS('J Book Items Cons.'!L$5:L$3360,'J Book Items Cons.'!E$5:E$3360,6,'J Book Items Cons.'!S$5:S$3360,"[PARENT]",'J Book Items Cons.'!U$5:U$3360,"USN",'J Book Items Cons.'!W$5:W$3360,"Amphibious Warfare Craft",'J Book Items Cons.'!R$5:R$3360,"",'J Book Items Cons.'!N$5:N$3360,"")</f>
        <v>0</v>
      </c>
      <c r="J49" s="14">
        <f>SUMIFS('J Book Items Cons.'!R$5:R$3360,'J Book Items Cons.'!E$5:E$3360,6,'J Book Items Cons.'!S$5:S$3360,"",'J Book Items Cons.'!U$5:U$3360,"MSC",'J Book Items Cons.'!W$5:W$3360,"Cargo &amp; Vehicle Cargo Ships",'J Book Items Cons.'!R$5:R$3360,"&lt;&gt;")+SUMIFS('J Book Items Cons.'!N$5:N$3360,'J Book Items Cons.'!E$5:E$3360,6,'J Book Items Cons.'!S$5:S$3360,"",'J Book Items Cons.'!U$5:U$3360,"MSC",'J Book Items Cons.'!W$5:W$3360,"Cargo &amp; Vehicle Cargo Ships",'J Book Items Cons.'!R$5:R$3360,"",'J Book Items Cons.'!N$5:N$3360,"&lt;&gt;")+SUMIFS('J Book Items Cons.'!L$5:L$3360,'J Book Items Cons.'!E$5:E$3360,6,'J Book Items Cons.'!S$5:S$3360,"",'J Book Items Cons.'!U$5:U$3360,"MSC",'J Book Items Cons.'!W$5:W$3360,"Cargo &amp; Vehicle Cargo Ships",'J Book Items Cons.'!R$5:R$3360,"",'J Book Items Cons.'!N$5:N$3360,"")+SUMIFS('J Book Items Cons.'!R$5:R$3360,'J Book Items Cons.'!E$5:E$3360,6,'J Book Items Cons.'!S$5:S$3360,"[PARENT]",'J Book Items Cons.'!U$5:U$3360,"MSC",'J Book Items Cons.'!W$5:W$3360,"Cargo &amp; Vehicle Cargo Ships",'J Book Items Cons.'!R$5:R$3360,"&lt;&gt;")+SUMIFS('J Book Items Cons.'!N$5:N$3360,'J Book Items Cons.'!E$5:E$3360,6,'J Book Items Cons.'!S$5:S$3360,"[PARENT]",'J Book Items Cons.'!U$5:U$3360,"MSC",'J Book Items Cons.'!W$5:W$3360,"Cargo &amp; Vehicle Cargo Ships",'J Book Items Cons.'!R$5:R$3360,"",'J Book Items Cons.'!N$5:N$3360,"&lt;&gt;")+SUMIFS('J Book Items Cons.'!L$5:L$3360,'J Book Items Cons.'!E$5:E$3360,6,'J Book Items Cons.'!S$5:S$3360,"[PARENT]",'J Book Items Cons.'!U$5:U$3360,"MSC",'J Book Items Cons.'!W$5:W$3360,"Cargo &amp; Vehicle Cargo Ships",'J Book Items Cons.'!R$5:R$3360,"",'J Book Items Cons.'!N$5:N$3360,"")</f>
        <v>0</v>
      </c>
      <c r="K49" s="14">
        <f>SUMIFS('J Book Items Cons.'!R$5:R$3360,'J Book Items Cons.'!E$5:E$3360,6,'J Book Items Cons.'!S$5:S$3360,"",'J Book Items Cons.'!U$5:U$3360,"MSC",'J Book Items Cons.'!W$5:W$3360,"Surveillance Ships",'J Book Items Cons.'!R$5:R$3360,"&lt;&gt;")+SUMIFS('J Book Items Cons.'!N$5:N$3360,'J Book Items Cons.'!E$5:E$3360,6,'J Book Items Cons.'!S$5:S$3360,"",'J Book Items Cons.'!U$5:U$3360,"MSC",'J Book Items Cons.'!W$5:W$3360,"Surveillance Ships",'J Book Items Cons.'!R$5:R$3360,"",'J Book Items Cons.'!N$5:N$3360,"&lt;&gt;")+SUMIFS('J Book Items Cons.'!L$5:L$3360,'J Book Items Cons.'!E$5:E$3360,6,'J Book Items Cons.'!S$5:S$3360,"",'J Book Items Cons.'!U$5:U$3360,"MSC",'J Book Items Cons.'!W$5:W$3360,"Surveillance Ships",'J Book Items Cons.'!R$5:R$3360,"",'J Book Items Cons.'!N$5:N$3360,"")+SUMIFS('J Book Items Cons.'!R$5:R$3360,'J Book Items Cons.'!E$5:E$3360,6,'J Book Items Cons.'!S$5:S$3360,"[PARENT]",'J Book Items Cons.'!U$5:U$3360,"MSC",'J Book Items Cons.'!W$5:W$3360,"Surveillance Ships",'J Book Items Cons.'!R$5:R$3360,"&lt;&gt;")+SUMIFS('J Book Items Cons.'!N$5:N$3360,'J Book Items Cons.'!E$5:E$3360,6,'J Book Items Cons.'!S$5:S$3360,"[PARENT]",'J Book Items Cons.'!U$5:U$3360,"MSC",'J Book Items Cons.'!W$5:W$3360,"Surveillance Ships",'J Book Items Cons.'!R$5:R$3360,"",'J Book Items Cons.'!N$5:N$3360,"&lt;&gt;")+SUMIFS('J Book Items Cons.'!L$5:L$3360,'J Book Items Cons.'!E$5:E$3360,6,'J Book Items Cons.'!S$5:S$3360,"[PARENT]",'J Book Items Cons.'!U$5:U$3360,"MSC",'J Book Items Cons.'!W$5:W$3360,"Surveillance Ships",'J Book Items Cons.'!R$5:R$3360,"",'J Book Items Cons.'!N$5:N$3360,"")</f>
        <v>0</v>
      </c>
      <c r="L49" s="14">
        <f>SUMIFS('J Book Items Cons.'!R$5:R$3360,'J Book Items Cons.'!E$5:E$3360,6,'J Book Items Cons.'!S$5:S$3360,"",'J Book Items Cons.'!U$5:U$3360,"USN",'J Book Items Cons.'!W$5:W$3360,"Unmanned Undersea Vehicles",'J Book Items Cons.'!R$5:R$3360,"&lt;&gt;")+SUMIFS('J Book Items Cons.'!N$5:N$3360,'J Book Items Cons.'!E$5:E$3360,6,'J Book Items Cons.'!S$5:S$3360,"",'J Book Items Cons.'!U$5:U$3360,"USN",'J Book Items Cons.'!W$5:W$3360,"Unmanned Undersea Vehicles",'J Book Items Cons.'!R$5:R$3360,"",'J Book Items Cons.'!N$5:N$3360,"&lt;&gt;")+SUMIFS('J Book Items Cons.'!L$5:L$3360,'J Book Items Cons.'!E$5:E$3360,6,'J Book Items Cons.'!S$5:S$3360,"",'J Book Items Cons.'!U$5:U$3360,"USN",'J Book Items Cons.'!W$5:W$3360,"Unmanned Undersea Vehicles",'J Book Items Cons.'!R$5:R$3360,"",'J Book Items Cons.'!N$5:N$3360,"")+SUMIFS('J Book Items Cons.'!R$5:R$3360,'J Book Items Cons.'!E$5:E$3360,6,'J Book Items Cons.'!S$5:S$3360,"[PARENT]",'J Book Items Cons.'!U$5:U$3360,"USN",'J Book Items Cons.'!W$5:W$3360,"Unmanned Undersea Vehicles",'J Book Items Cons.'!R$5:R$3360,"&lt;&gt;")+SUMIFS('J Book Items Cons.'!N$5:N$3360,'J Book Items Cons.'!E$5:E$3360,6,'J Book Items Cons.'!S$5:S$3360,"[PARENT]",'J Book Items Cons.'!U$5:U$3360,"USN",'J Book Items Cons.'!W$5:W$3360,"Unmanned Undersea Vehicles",'J Book Items Cons.'!R$5:R$3360,"",'J Book Items Cons.'!N$5:N$3360,"&lt;&gt;")+SUMIFS('J Book Items Cons.'!L$5:L$3360,'J Book Items Cons.'!E$5:E$3360,6,'J Book Items Cons.'!S$5:S$3360,"[PARENT]",'J Book Items Cons.'!U$5:U$3360,"USN",'J Book Items Cons.'!W$5:W$3360,"Unmanned Undersea Vehicles",'J Book Items Cons.'!R$5:R$3360,"",'J Book Items Cons.'!N$5:N$3360,"")</f>
        <v>0</v>
      </c>
      <c r="M49" s="14">
        <f>SUMIFS('J Book Items Cons.'!R$5:R$3360,'J Book Items Cons.'!E$5:E$3360,6,'J Book Items Cons.'!S$5:S$3360,"",'J Book Items Cons.'!U$5:U$3360,"MSC",'J Book Items Cons.'!W$5:W$3360,"Salvage Ships &amp; Fleet Ocean Tugs",'J Book Items Cons.'!R$5:R$3360,"&lt;&gt;")+SUMIFS('J Book Items Cons.'!N$5:N$3360,'J Book Items Cons.'!E$5:E$3360,6,'J Book Items Cons.'!S$5:S$3360,"",'J Book Items Cons.'!U$5:U$3360,"MSC",'J Book Items Cons.'!W$5:W$3360,"Salvage Ships &amp; Fleet Ocean Tugs",'J Book Items Cons.'!R$5:R$3360,"",'J Book Items Cons.'!N$5:N$3360,"&lt;&gt;")+SUMIFS('J Book Items Cons.'!L$5:L$3360,'J Book Items Cons.'!E$5:E$3360,6,'J Book Items Cons.'!S$5:S$3360,"",'J Book Items Cons.'!U$5:U$3360,"MSC",'J Book Items Cons.'!W$5:W$3360,"Salvage Ships &amp; Fleet Ocean Tugs",'J Book Items Cons.'!R$5:R$3360,"",'J Book Items Cons.'!N$5:N$3360,"")+SUMIFS('J Book Items Cons.'!R$5:R$3360,'J Book Items Cons.'!E$5:E$3360,6,'J Book Items Cons.'!S$5:S$3360,"[PARENT]",'J Book Items Cons.'!U$5:U$3360,"MSC",'J Book Items Cons.'!W$5:W$3360,"Salvage Ships &amp; Fleet Ocean Tugs",'J Book Items Cons.'!R$5:R$3360,"&lt;&gt;")+SUMIFS('J Book Items Cons.'!N$5:N$3360,'J Book Items Cons.'!E$5:E$3360,6,'J Book Items Cons.'!S$5:S$3360,"[PARENT]",'J Book Items Cons.'!U$5:U$3360,"MSC",'J Book Items Cons.'!W$5:W$3360,"Salvage Ships &amp; Fleet Ocean Tugs",'J Book Items Cons.'!R$5:R$3360,"",'J Book Items Cons.'!N$5:N$3360,"&lt;&gt;")+SUMIFS('J Book Items Cons.'!L$5:L$3360,'J Book Items Cons.'!E$5:E$3360,6,'J Book Items Cons.'!S$5:S$3360,"[PARENT]",'J Book Items Cons.'!U$5:U$3360,"MSC",'J Book Items Cons.'!W$5:W$3360,"Salvage Ships &amp; Fleet Ocean Tugs",'J Book Items Cons.'!R$5:R$3360,"",'J Book Items Cons.'!N$5:N$3360,"")</f>
        <v>0</v>
      </c>
      <c r="N49" s="14">
        <f>SUMIFS('J Book Items Cons.'!R$5:R$3360,'J Book Items Cons.'!E$5:E$3360,6,'J Book Items Cons.'!S$5:S$3360,"",'J Book Items Cons.'!U$5:U$3360,"USN",'J Book Items Cons.'!W$5:W$3360,"Other Craft, Non-Self-Propelled",'J Book Items Cons.'!R$5:R$3360,"&lt;&gt;")+SUMIFS('J Book Items Cons.'!N$5:N$3360,'J Book Items Cons.'!E$5:E$3360,6,'J Book Items Cons.'!S$5:S$3360,"",'J Book Items Cons.'!U$5:U$3360,"USN",'J Book Items Cons.'!W$5:W$3360,"Other Craft, Non-Self-Propelled",'J Book Items Cons.'!R$5:R$3360,"",'J Book Items Cons.'!N$5:N$3360,"&lt;&gt;")+SUMIFS('J Book Items Cons.'!L$5:L$3360,'J Book Items Cons.'!E$5:E$3360,6,'J Book Items Cons.'!S$5:S$3360,"",'J Book Items Cons.'!U$5:U$3360,"USN",'J Book Items Cons.'!W$5:W$3360,"Other Craft, Non-Self-Propelled",'J Book Items Cons.'!R$5:R$3360,"",'J Book Items Cons.'!N$5:N$3360,"")+SUMIFS('J Book Items Cons.'!R$5:R$3360,'J Book Items Cons.'!E$5:E$3360,6,'J Book Items Cons.'!S$5:S$3360,"[PARENT]",'J Book Items Cons.'!U$5:U$3360,"USN",'J Book Items Cons.'!W$5:W$3360,"Other Craft, Non-Self-Propelled",'J Book Items Cons.'!R$5:R$3360,"&lt;&gt;")+SUMIFS('J Book Items Cons.'!N$5:N$3360,'J Book Items Cons.'!E$5:E$3360,6,'J Book Items Cons.'!S$5:S$3360,"[PARENT]",'J Book Items Cons.'!U$5:U$3360,"USN",'J Book Items Cons.'!W$5:W$3360,"Other Craft, Non-Self-Propelled",'J Book Items Cons.'!R$5:R$3360,"",'J Book Items Cons.'!N$5:N$3360,"&lt;&gt;")+SUMIFS('J Book Items Cons.'!L$5:L$3360,'J Book Items Cons.'!E$5:E$3360,6,'J Book Items Cons.'!S$5:S$3360,"[PARENT]",'J Book Items Cons.'!U$5:U$3360,"USN",'J Book Items Cons.'!W$5:W$3360,"Other Craft, Non-Self-Propelled",'J Book Items Cons.'!R$5:R$3360,"",'J Book Items Cons.'!N$5:N$3360,"")</f>
        <v>0</v>
      </c>
      <c r="O49" s="14">
        <f>SUMIFS('J Book Items Cons.'!R$5:R$3360,'J Book Items Cons.'!E$5:E$3360,6,'J Book Items Cons.'!S$5:S$3360,"",'J Book Items Cons.'!U$5:U$3360,"USN",'J Book Items Cons.'!W$5:W$3360,"Command Ships",'J Book Items Cons.'!R$5:R$3360,"&lt;&gt;")+SUMIFS('J Book Items Cons.'!N$5:N$3360,'J Book Items Cons.'!E$5:E$3360,6,'J Book Items Cons.'!S$5:S$3360,"",'J Book Items Cons.'!U$5:U$3360,"USN",'J Book Items Cons.'!W$5:W$3360,"Command Ships",'J Book Items Cons.'!R$5:R$3360,"",'J Book Items Cons.'!N$5:N$3360,"&lt;&gt;")+SUMIFS('J Book Items Cons.'!L$5:L$3360,'J Book Items Cons.'!E$5:E$3360,6,'J Book Items Cons.'!S$5:S$3360,"",'J Book Items Cons.'!U$5:U$3360,"USN",'J Book Items Cons.'!W$5:W$3360,"Command Ships",'J Book Items Cons.'!R$5:R$3360,"",'J Book Items Cons.'!N$5:N$3360,"")+SUMIFS('J Book Items Cons.'!R$5:R$3360,'J Book Items Cons.'!E$5:E$3360,6,'J Book Items Cons.'!S$5:S$3360,"[PARENT]",'J Book Items Cons.'!U$5:U$3360,"USN",'J Book Items Cons.'!W$5:W$3360,"Command Ships",'J Book Items Cons.'!R$5:R$3360,"&lt;&gt;")+SUMIFS('J Book Items Cons.'!N$5:N$3360,'J Book Items Cons.'!E$5:E$3360,6,'J Book Items Cons.'!S$5:S$3360,"[PARENT]",'J Book Items Cons.'!U$5:U$3360,"USN",'J Book Items Cons.'!W$5:W$3360,"Command Ships",'J Book Items Cons.'!R$5:R$3360,"",'J Book Items Cons.'!N$5:N$3360,"&lt;&gt;")+SUMIFS('J Book Items Cons.'!L$5:L$3360,'J Book Items Cons.'!E$5:E$3360,6,'J Book Items Cons.'!S$5:S$3360,"[PARENT]",'J Book Items Cons.'!U$5:U$3360,"USN",'J Book Items Cons.'!W$5:W$3360,"Command Ships",'J Book Items Cons.'!R$5:R$3360,"",'J Book Items Cons.'!N$5:N$3360,"")</f>
        <v>0</v>
      </c>
      <c r="P49" s="14">
        <f>SUMIFS('J Book Items Cons.'!R$5:R$3360,'J Book Items Cons.'!E$5:E$3360,6,'J Book Items Cons.'!S$5:S$3360,"",'J Book Items Cons.'!U$5:U$3360,"USN",'J Book Items Cons.'!W$5:W$3360,"Mine Warfare",'J Book Items Cons.'!R$5:R$3360,"&lt;&gt;")+SUMIFS('J Book Items Cons.'!N$5:N$3360,'J Book Items Cons.'!E$5:E$3360,6,'J Book Items Cons.'!S$5:S$3360,"",'J Book Items Cons.'!U$5:U$3360,"USN",'J Book Items Cons.'!W$5:W$3360,"Mine Warfare",'J Book Items Cons.'!R$5:R$3360,"",'J Book Items Cons.'!N$5:N$3360,"&lt;&gt;")+SUMIFS('J Book Items Cons.'!L$5:L$3360,'J Book Items Cons.'!E$5:E$3360,6,'J Book Items Cons.'!S$5:S$3360,"",'J Book Items Cons.'!U$5:U$3360,"USN",'J Book Items Cons.'!W$5:W$3360,"Mine Warfare",'J Book Items Cons.'!R$5:R$3360,"",'J Book Items Cons.'!N$5:N$3360,"")+SUMIFS('J Book Items Cons.'!R$5:R$3360,'J Book Items Cons.'!E$5:E$3360,6,'J Book Items Cons.'!S$5:S$3360,"[PARENT]",'J Book Items Cons.'!U$5:U$3360,"USN",'J Book Items Cons.'!W$5:W$3360,"Mine Warfare",'J Book Items Cons.'!R$5:R$3360,"&lt;&gt;")+SUMIFS('J Book Items Cons.'!N$5:N$3360,'J Book Items Cons.'!E$5:E$3360,6,'J Book Items Cons.'!S$5:S$3360,"[PARENT]",'J Book Items Cons.'!U$5:U$3360,"USN",'J Book Items Cons.'!W$5:W$3360,"Mine Warfare",'J Book Items Cons.'!R$5:R$3360,"",'J Book Items Cons.'!N$5:N$3360,"&lt;&gt;")+SUMIFS('J Book Items Cons.'!L$5:L$3360,'J Book Items Cons.'!E$5:E$3360,6,'J Book Items Cons.'!S$5:S$3360,"[PARENT]",'J Book Items Cons.'!U$5:U$3360,"USN",'J Book Items Cons.'!W$5:W$3360,"Mine Warfare",'J Book Items Cons.'!R$5:R$3360,"",'J Book Items Cons.'!N$5:N$3360,"")</f>
        <v>0</v>
      </c>
      <c r="Q49" s="14">
        <f>SUMIFS('J Book Items Cons.'!R$5:R$3360,'J Book Items Cons.'!E$5:E$3360,6,'J Book Items Cons.'!S$5:S$3360,"",'J Book Items Cons.'!U$5:U$3360,"USN",'J Book Items Cons.'!W$5:W$3360,"Patrol Combatant",'J Book Items Cons.'!R$5:R$3360,"&lt;&gt;")+SUMIFS('J Book Items Cons.'!N$5:N$3360,'J Book Items Cons.'!E$5:E$3360,6,'J Book Items Cons.'!S$5:S$3360,"",'J Book Items Cons.'!U$5:U$3360,"USN",'J Book Items Cons.'!W$5:W$3360,"Patrol Combatant",'J Book Items Cons.'!R$5:R$3360,"",'J Book Items Cons.'!N$5:N$3360,"&lt;&gt;")+SUMIFS('J Book Items Cons.'!L$5:L$3360,'J Book Items Cons.'!E$5:E$3360,6,'J Book Items Cons.'!S$5:S$3360,"",'J Book Items Cons.'!U$5:U$3360,"USN",'J Book Items Cons.'!W$5:W$3360,"Patrol Combatant",'J Book Items Cons.'!R$5:R$3360,"",'J Book Items Cons.'!N$5:N$3360,"")+SUMIFS('J Book Items Cons.'!R$5:R$3360,'J Book Items Cons.'!E$5:E$3360,6,'J Book Items Cons.'!S$5:S$3360,"[PARENT]",'J Book Items Cons.'!U$5:U$3360,"USN",'J Book Items Cons.'!W$5:W$3360,"Patrol Combatant",'J Book Items Cons.'!R$5:R$3360,"&lt;&gt;")+SUMIFS('J Book Items Cons.'!N$5:N$3360,'J Book Items Cons.'!E$5:E$3360,6,'J Book Items Cons.'!S$5:S$3360,"[PARENT]",'J Book Items Cons.'!U$5:U$3360,"USN",'J Book Items Cons.'!W$5:W$3360,"Patrol Combatant",'J Book Items Cons.'!R$5:R$3360,"",'J Book Items Cons.'!N$5:N$3360,"&lt;&gt;")+SUMIFS('J Book Items Cons.'!L$5:L$3360,'J Book Items Cons.'!E$5:E$3360,6,'J Book Items Cons.'!S$5:S$3360,"[PARENT]",'J Book Items Cons.'!U$5:U$3360,"USN",'J Book Items Cons.'!W$5:W$3360,"Patrol Combatant",'J Book Items Cons.'!R$5:R$3360,"",'J Book Items Cons.'!N$5:N$3360,"")</f>
        <v>0</v>
      </c>
      <c r="R49" s="14">
        <f>SUMIFS('J Book Items Cons.'!R$5:R$3360,'J Book Items Cons.'!E$5:E$3360,6,'J Book Items Cons.'!S$5:S$3360,"",'J Book Items Cons.'!U$5:U$3360,"USN",'J Book Items Cons.'!W$5:W$3360,"Aviation Logistics Support Ship",'J Book Items Cons.'!R$5:R$3360,"&lt;&gt;")+SUMIFS('J Book Items Cons.'!N$5:N$3360,'J Book Items Cons.'!E$5:E$3360,6,'J Book Items Cons.'!S$5:S$3360,"",'J Book Items Cons.'!U$5:U$3360,"USN",'J Book Items Cons.'!W$5:W$3360,"Aviation Logistics Support Ship",'J Book Items Cons.'!R$5:R$3360,"",'J Book Items Cons.'!N$5:N$3360,"&lt;&gt;")+SUMIFS('J Book Items Cons.'!L$5:L$3360,'J Book Items Cons.'!E$5:E$3360,6,'J Book Items Cons.'!S$5:S$3360,"",'J Book Items Cons.'!U$5:U$3360,"USN",'J Book Items Cons.'!W$5:W$3360,"Aviation Logistics Support Ship",'J Book Items Cons.'!R$5:R$3360,"",'J Book Items Cons.'!N$5:N$3360,"")+SUMIFS('J Book Items Cons.'!R$5:R$3360,'J Book Items Cons.'!E$5:E$3360,6,'J Book Items Cons.'!S$5:S$3360,"[PARENT]",'J Book Items Cons.'!U$5:U$3360,"USN",'J Book Items Cons.'!W$5:W$3360,"Aviation Logistics Support Ship",'J Book Items Cons.'!R$5:R$3360,"&lt;&gt;")+SUMIFS('J Book Items Cons.'!N$5:N$3360,'J Book Items Cons.'!E$5:E$3360,6,'J Book Items Cons.'!S$5:S$3360,"[PARENT]",'J Book Items Cons.'!U$5:U$3360,"USN",'J Book Items Cons.'!W$5:W$3360,"Aviation Logistics Support Ship",'J Book Items Cons.'!R$5:R$3360,"",'J Book Items Cons.'!N$5:N$3360,"&lt;&gt;")+SUMIFS('J Book Items Cons.'!L$5:L$3360,'J Book Items Cons.'!E$5:E$3360,6,'J Book Items Cons.'!S$5:S$3360,"[PARENT]",'J Book Items Cons.'!U$5:U$3360,"USN",'J Book Items Cons.'!W$5:W$3360,"Aviation Logistics Support Ship",'J Book Items Cons.'!R$5:R$3360,"",'J Book Items Cons.'!N$5:N$3360,"")</f>
        <v>0</v>
      </c>
      <c r="S49" s="14">
        <f>SUMIFS('J Book Items Cons.'!R$5:R$3360,'J Book Items Cons.'!E$5:E$3360,6,'J Book Items Cons.'!S$5:S$3360,"",'J Book Items Cons.'!U$5:U$3360,"USN",'J Book Items Cons.'!W$5:W$3360,"Cargo &amp; Vehicle Cargo Ships",'J Book Items Cons.'!R$5:R$3360,"&lt;&gt;")+SUMIFS('J Book Items Cons.'!N$5:N$3360,'J Book Items Cons.'!E$5:E$3360,6,'J Book Items Cons.'!S$5:S$3360,"",'J Book Items Cons.'!U$5:U$3360,"USN",'J Book Items Cons.'!W$5:W$3360,"Cargo &amp; Vehicle Cargo Ships",'J Book Items Cons.'!R$5:R$3360,"",'J Book Items Cons.'!N$5:N$3360,"&lt;&gt;")+SUMIFS('J Book Items Cons.'!L$5:L$3360,'J Book Items Cons.'!E$5:E$3360,6,'J Book Items Cons.'!S$5:S$3360,"",'J Book Items Cons.'!U$5:U$3360,"USN",'J Book Items Cons.'!W$5:W$3360,"Cargo &amp; Vehicle Cargo Ships",'J Book Items Cons.'!R$5:R$3360,"",'J Book Items Cons.'!N$5:N$3360,"")+SUMIFS('J Book Items Cons.'!R$5:R$3360,'J Book Items Cons.'!E$5:E$3360,6,'J Book Items Cons.'!S$5:S$3360,"[PARENT]",'J Book Items Cons.'!U$5:U$3360,"USN",'J Book Items Cons.'!W$5:W$3360,"Cargo &amp; Vehicle Cargo Ships",'J Book Items Cons.'!R$5:R$3360,"&lt;&gt;")+SUMIFS('J Book Items Cons.'!N$5:N$3360,'J Book Items Cons.'!E$5:E$3360,6,'J Book Items Cons.'!S$5:S$3360,"[PARENT]",'J Book Items Cons.'!U$5:U$3360,"USN",'J Book Items Cons.'!W$5:W$3360,"Cargo &amp; Vehicle Cargo Ships",'J Book Items Cons.'!R$5:R$3360,"",'J Book Items Cons.'!N$5:N$3360,"&lt;&gt;")+SUMIFS('J Book Items Cons.'!L$5:L$3360,'J Book Items Cons.'!E$5:E$3360,6,'J Book Items Cons.'!S$5:S$3360,"[PARENT]",'J Book Items Cons.'!U$5:U$3360,"USN",'J Book Items Cons.'!W$5:W$3360,"Cargo &amp; Vehicle Cargo Ships",'J Book Items Cons.'!R$5:R$3360,"",'J Book Items Cons.'!N$5:N$3360,"")</f>
        <v>0</v>
      </c>
      <c r="T49" s="14">
        <f>SUMIFS('J Book Items Cons.'!R$5:R$3360,'J Book Items Cons.'!E$5:E$3360,6,'J Book Items Cons.'!S$5:S$3360,"",'J Book Items Cons.'!U$5:U$3360,"USN",'J Book Items Cons.'!W$5:W$3360,"Combat Logistics Ships",'J Book Items Cons.'!R$5:R$3360,"&lt;&gt;")+SUMIFS('J Book Items Cons.'!N$5:N$3360,'J Book Items Cons.'!E$5:E$3360,6,'J Book Items Cons.'!S$5:S$3360,"",'J Book Items Cons.'!U$5:U$3360,"USN",'J Book Items Cons.'!W$5:W$3360,"Combat Logistics Ships",'J Book Items Cons.'!R$5:R$3360,"",'J Book Items Cons.'!N$5:N$3360,"&lt;&gt;")+SUMIFS('J Book Items Cons.'!L$5:L$3360,'J Book Items Cons.'!E$5:E$3360,6,'J Book Items Cons.'!S$5:S$3360,"",'J Book Items Cons.'!U$5:U$3360,"USN",'J Book Items Cons.'!W$5:W$3360,"Combat Logistics Ships",'J Book Items Cons.'!R$5:R$3360,"",'J Book Items Cons.'!N$5:N$3360,"")+SUMIFS('J Book Items Cons.'!R$5:R$3360,'J Book Items Cons.'!E$5:E$3360,6,'J Book Items Cons.'!S$5:S$3360,"[PARENT]",'J Book Items Cons.'!U$5:U$3360,"USN",'J Book Items Cons.'!W$5:W$3360,"Combat Logistics Ships",'J Book Items Cons.'!R$5:R$3360,"&lt;&gt;")+SUMIFS('J Book Items Cons.'!N$5:N$3360,'J Book Items Cons.'!E$5:E$3360,6,'J Book Items Cons.'!S$5:S$3360,"[PARENT]",'J Book Items Cons.'!U$5:U$3360,"USN",'J Book Items Cons.'!W$5:W$3360,"Combat Logistics Ships",'J Book Items Cons.'!R$5:R$3360,"",'J Book Items Cons.'!N$5:N$3360,"&lt;&gt;")+SUMIFS('J Book Items Cons.'!L$5:L$3360,'J Book Items Cons.'!E$5:E$3360,6,'J Book Items Cons.'!S$5:S$3360,"[PARENT]",'J Book Items Cons.'!U$5:U$3360,"USN",'J Book Items Cons.'!W$5:W$3360,"Combat Logistics Ships",'J Book Items Cons.'!R$5:R$3360,"",'J Book Items Cons.'!N$5:N$3360,"")</f>
        <v>0</v>
      </c>
      <c r="U49" s="14">
        <f>SUMIFS('J Book Items Cons.'!R$5:R$3360,'J Book Items Cons.'!E$5:E$3360,6,'J Book Items Cons.'!S$5:S$3360,"",'J Book Items Cons.'!U$5:U$3360,"USN",'J Book Items Cons.'!W$5:W$3360,"Crane Ship",'J Book Items Cons.'!R$5:R$3360,"&lt;&gt;")+SUMIFS('J Book Items Cons.'!N$5:N$3360,'J Book Items Cons.'!E$5:E$3360,6,'J Book Items Cons.'!S$5:S$3360,"",'J Book Items Cons.'!U$5:U$3360,"USN",'J Book Items Cons.'!W$5:W$3360,"Crane Ship",'J Book Items Cons.'!R$5:R$3360,"",'J Book Items Cons.'!N$5:N$3360,"&lt;&gt;")+SUMIFS('J Book Items Cons.'!L$5:L$3360,'J Book Items Cons.'!E$5:E$3360,6,'J Book Items Cons.'!S$5:S$3360,"",'J Book Items Cons.'!U$5:U$3360,"USN",'J Book Items Cons.'!W$5:W$3360,"Crane Ship",'J Book Items Cons.'!R$5:R$3360,"",'J Book Items Cons.'!N$5:N$3360,"")+SUMIFS('J Book Items Cons.'!R$5:R$3360,'J Book Items Cons.'!E$5:E$3360,6,'J Book Items Cons.'!S$5:S$3360,"[PARENT]",'J Book Items Cons.'!U$5:U$3360,"USN",'J Book Items Cons.'!W$5:W$3360,"Crane Ship",'J Book Items Cons.'!R$5:R$3360,"&lt;&gt;")+SUMIFS('J Book Items Cons.'!N$5:N$3360,'J Book Items Cons.'!E$5:E$3360,6,'J Book Items Cons.'!S$5:S$3360,"[PARENT]",'J Book Items Cons.'!U$5:U$3360,"USN",'J Book Items Cons.'!W$5:W$3360,"Crane Ship",'J Book Items Cons.'!R$5:R$3360,"",'J Book Items Cons.'!N$5:N$3360,"&lt;&gt;")+SUMIFS('J Book Items Cons.'!L$5:L$3360,'J Book Items Cons.'!E$5:E$3360,6,'J Book Items Cons.'!S$5:S$3360,"[PARENT]",'J Book Items Cons.'!U$5:U$3360,"USN",'J Book Items Cons.'!W$5:W$3360,"Crane Ship",'J Book Items Cons.'!R$5:R$3360,"",'J Book Items Cons.'!N$5:N$3360,"")</f>
        <v>0</v>
      </c>
      <c r="V49" s="14">
        <f>SUMIFS('J Book Items Cons.'!R$5:R$3360,'J Book Items Cons.'!E$5:E$3360,6,'J Book Items Cons.'!S$5:S$3360,"",'J Book Items Cons.'!U$5:U$3360,"USN",'J Book Items Cons.'!W$5:W$3360,"General Auxiliary",'J Book Items Cons.'!R$5:R$3360,"&lt;&gt;")+SUMIFS('J Book Items Cons.'!N$5:N$3360,'J Book Items Cons.'!E$5:E$3360,6,'J Book Items Cons.'!S$5:S$3360,"",'J Book Items Cons.'!U$5:U$3360,"USN",'J Book Items Cons.'!W$5:W$3360,"General Auxiliary",'J Book Items Cons.'!R$5:R$3360,"",'J Book Items Cons.'!N$5:N$3360,"&lt;&gt;")+SUMIFS('J Book Items Cons.'!L$5:L$3360,'J Book Items Cons.'!E$5:E$3360,6,'J Book Items Cons.'!S$5:S$3360,"",'J Book Items Cons.'!U$5:U$3360,"USN",'J Book Items Cons.'!W$5:W$3360,"General Auxiliary",'J Book Items Cons.'!R$5:R$3360,"",'J Book Items Cons.'!N$5:N$3360,"")+SUMIFS('J Book Items Cons.'!R$5:R$3360,'J Book Items Cons.'!E$5:E$3360,6,'J Book Items Cons.'!S$5:S$3360,"[PARENT]",'J Book Items Cons.'!U$5:U$3360,"USN",'J Book Items Cons.'!W$5:W$3360,"General Auxiliary",'J Book Items Cons.'!R$5:R$3360,"&lt;&gt;")+SUMIFS('J Book Items Cons.'!N$5:N$3360,'J Book Items Cons.'!E$5:E$3360,6,'J Book Items Cons.'!S$5:S$3360,"[PARENT]",'J Book Items Cons.'!U$5:U$3360,"USN",'J Book Items Cons.'!W$5:W$3360,"General Auxiliary",'J Book Items Cons.'!R$5:R$3360,"",'J Book Items Cons.'!N$5:N$3360,"&lt;&gt;")+SUMIFS('J Book Items Cons.'!L$5:L$3360,'J Book Items Cons.'!E$5:E$3360,6,'J Book Items Cons.'!S$5:S$3360,"[PARENT]",'J Book Items Cons.'!U$5:U$3360,"USN",'J Book Items Cons.'!W$5:W$3360,"General Auxiliary",'J Book Items Cons.'!R$5:R$3360,"",'J Book Items Cons.'!N$5:N$3360,"")</f>
        <v>0</v>
      </c>
      <c r="W49" s="14">
        <f>SUMIFS('J Book Items Cons.'!R$5:R$3360,'J Book Items Cons.'!E$5:E$3360,6,'J Book Items Cons.'!S$5:S$3360,"",'J Book Items Cons.'!U$5:U$3360,"USN",'J Book Items Cons.'!W$5:W$3360,"High Speed Transport",'J Book Items Cons.'!R$5:R$3360,"&lt;&gt;")+SUMIFS('J Book Items Cons.'!N$5:N$3360,'J Book Items Cons.'!E$5:E$3360,6,'J Book Items Cons.'!S$5:S$3360,"",'J Book Items Cons.'!U$5:U$3360,"USN",'J Book Items Cons.'!W$5:W$3360,"High Speed Transport",'J Book Items Cons.'!R$5:R$3360,"",'J Book Items Cons.'!N$5:N$3360,"&lt;&gt;")+SUMIFS('J Book Items Cons.'!L$5:L$3360,'J Book Items Cons.'!E$5:E$3360,6,'J Book Items Cons.'!S$5:S$3360,"",'J Book Items Cons.'!U$5:U$3360,"USN",'J Book Items Cons.'!W$5:W$3360,"High Speed Transport",'J Book Items Cons.'!R$5:R$3360,"",'J Book Items Cons.'!N$5:N$3360,"")+SUMIFS('J Book Items Cons.'!R$5:R$3360,'J Book Items Cons.'!E$5:E$3360,6,'J Book Items Cons.'!S$5:S$3360,"[PARENT]",'J Book Items Cons.'!U$5:U$3360,"USN",'J Book Items Cons.'!W$5:W$3360,"High Speed Transport",'J Book Items Cons.'!R$5:R$3360,"&lt;&gt;")+SUMIFS('J Book Items Cons.'!N$5:N$3360,'J Book Items Cons.'!E$5:E$3360,6,'J Book Items Cons.'!S$5:S$3360,"[PARENT]",'J Book Items Cons.'!U$5:U$3360,"USN",'J Book Items Cons.'!W$5:W$3360,"High Speed Transport",'J Book Items Cons.'!R$5:R$3360,"",'J Book Items Cons.'!N$5:N$3360,"&lt;&gt;")+SUMIFS('J Book Items Cons.'!L$5:L$3360,'J Book Items Cons.'!E$5:E$3360,6,'J Book Items Cons.'!S$5:S$3360,"[PARENT]",'J Book Items Cons.'!U$5:U$3360,"USN",'J Book Items Cons.'!W$5:W$3360,"High Speed Transport",'J Book Items Cons.'!R$5:R$3360,"",'J Book Items Cons.'!N$5:N$3360,"")</f>
        <v>0</v>
      </c>
      <c r="X49" s="14">
        <f>SUMIFS('J Book Items Cons.'!R$5:R$3360,'J Book Items Cons.'!E$5:E$3360,6,'J Book Items Cons.'!S$5:S$3360,"",'J Book Items Cons.'!U$5:U$3360,"USN",'J Book Items Cons.'!W$5:W$3360,"Material Support Ships",'J Book Items Cons.'!R$5:R$3360,"&lt;&gt;")+SUMIFS('J Book Items Cons.'!N$5:N$3360,'J Book Items Cons.'!E$5:E$3360,6,'J Book Items Cons.'!S$5:S$3360,"",'J Book Items Cons.'!U$5:U$3360,"USN",'J Book Items Cons.'!W$5:W$3360,"Material Support Ships",'J Book Items Cons.'!R$5:R$3360,"",'J Book Items Cons.'!N$5:N$3360,"&lt;&gt;")+SUMIFS('J Book Items Cons.'!L$5:L$3360,'J Book Items Cons.'!E$5:E$3360,6,'J Book Items Cons.'!S$5:S$3360,"",'J Book Items Cons.'!U$5:U$3360,"USN",'J Book Items Cons.'!W$5:W$3360,"Material Support Ships",'J Book Items Cons.'!R$5:R$3360,"",'J Book Items Cons.'!N$5:N$3360,"")+SUMIFS('J Book Items Cons.'!R$5:R$3360,'J Book Items Cons.'!E$5:E$3360,6,'J Book Items Cons.'!S$5:S$3360,"[PARENT]",'J Book Items Cons.'!U$5:U$3360,"USN",'J Book Items Cons.'!W$5:W$3360,"Material Support Ships",'J Book Items Cons.'!R$5:R$3360,"&lt;&gt;")+SUMIFS('J Book Items Cons.'!N$5:N$3360,'J Book Items Cons.'!E$5:E$3360,6,'J Book Items Cons.'!S$5:S$3360,"[PARENT]",'J Book Items Cons.'!U$5:U$3360,"USN",'J Book Items Cons.'!W$5:W$3360,"Material Support Ships",'J Book Items Cons.'!R$5:R$3360,"",'J Book Items Cons.'!N$5:N$3360,"&lt;&gt;")+SUMIFS('J Book Items Cons.'!L$5:L$3360,'J Book Items Cons.'!E$5:E$3360,6,'J Book Items Cons.'!S$5:S$3360,"[PARENT]",'J Book Items Cons.'!U$5:U$3360,"USN",'J Book Items Cons.'!W$5:W$3360,"Material Support Ships",'J Book Items Cons.'!R$5:R$3360,"",'J Book Items Cons.'!N$5:N$3360,"")</f>
        <v>0</v>
      </c>
      <c r="Y49" s="14">
        <f>SUMIFS('J Book Items Cons.'!R$5:R$3360,'J Book Items Cons.'!E$5:E$3360,6,'J Book Items Cons.'!S$5:S$3360,"",'J Book Items Cons.'!U$5:U$3360,"USN",'J Book Items Cons.'!W$5:W$3360,"Salvage Ships &amp; Fleet Ocean Tugs",'J Book Items Cons.'!R$5:R$3360,"&lt;&gt;")+SUMIFS('J Book Items Cons.'!N$5:N$3360,'J Book Items Cons.'!E$5:E$3360,6,'J Book Items Cons.'!S$5:S$3360,"",'J Book Items Cons.'!U$5:U$3360,"USN",'J Book Items Cons.'!W$5:W$3360,"Salvage Ships &amp; Fleet Ocean Tugs",'J Book Items Cons.'!R$5:R$3360,"",'J Book Items Cons.'!N$5:N$3360,"&lt;&gt;")+SUMIFS('J Book Items Cons.'!L$5:L$3360,'J Book Items Cons.'!E$5:E$3360,6,'J Book Items Cons.'!S$5:S$3360,"",'J Book Items Cons.'!U$5:U$3360,"USN",'J Book Items Cons.'!W$5:W$3360,"Salvage Ships &amp; Fleet Ocean Tugs",'J Book Items Cons.'!R$5:R$3360,"",'J Book Items Cons.'!N$5:N$3360,"")+SUMIFS('J Book Items Cons.'!R$5:R$3360,'J Book Items Cons.'!E$5:E$3360,6,'J Book Items Cons.'!S$5:S$3360,"[PARENT]",'J Book Items Cons.'!U$5:U$3360,"USN",'J Book Items Cons.'!W$5:W$3360,"Salvage Ships &amp; Fleet Ocean Tugs",'J Book Items Cons.'!R$5:R$3360,"&lt;&gt;")+SUMIFS('J Book Items Cons.'!N$5:N$3360,'J Book Items Cons.'!E$5:E$3360,6,'J Book Items Cons.'!S$5:S$3360,"[PARENT]",'J Book Items Cons.'!U$5:U$3360,"USN",'J Book Items Cons.'!W$5:W$3360,"Salvage Ships &amp; Fleet Ocean Tugs",'J Book Items Cons.'!R$5:R$3360,"",'J Book Items Cons.'!N$5:N$3360,"&lt;&gt;")+SUMIFS('J Book Items Cons.'!L$5:L$3360,'J Book Items Cons.'!E$5:E$3360,6,'J Book Items Cons.'!S$5:S$3360,"[PARENT]",'J Book Items Cons.'!U$5:U$3360,"USN",'J Book Items Cons.'!W$5:W$3360,"Salvage Ships &amp; Fleet Ocean Tugs",'J Book Items Cons.'!R$5:R$3360,"",'J Book Items Cons.'!N$5:N$3360,"")</f>
        <v>0</v>
      </c>
      <c r="Z49" s="14">
        <f>SUMIFS('J Book Items Cons.'!R$5:R$3360,'J Book Items Cons.'!E$5:E$3360,6,'J Book Items Cons.'!S$5:S$3360,"",'J Book Items Cons.'!U$5:U$3360,"USN",'J Book Items Cons.'!W$5:W$3360,"Sealift Support Craft",'J Book Items Cons.'!R$5:R$3360,"&lt;&gt;")+SUMIFS('J Book Items Cons.'!N$5:N$3360,'J Book Items Cons.'!E$5:E$3360,6,'J Book Items Cons.'!S$5:S$3360,"",'J Book Items Cons.'!U$5:U$3360,"USN",'J Book Items Cons.'!W$5:W$3360,"Sealift Support Craft",'J Book Items Cons.'!R$5:R$3360,"",'J Book Items Cons.'!N$5:N$3360,"&lt;&gt;")+SUMIFS('J Book Items Cons.'!L$5:L$3360,'J Book Items Cons.'!E$5:E$3360,6,'J Book Items Cons.'!S$5:S$3360,"",'J Book Items Cons.'!U$5:U$3360,"USN",'J Book Items Cons.'!W$5:W$3360,"Sealift Support Craft",'J Book Items Cons.'!R$5:R$3360,"",'J Book Items Cons.'!N$5:N$3360,"")+SUMIFS('J Book Items Cons.'!R$5:R$3360,'J Book Items Cons.'!E$5:E$3360,6,'J Book Items Cons.'!S$5:S$3360,"[PARENT]",'J Book Items Cons.'!U$5:U$3360,"USN",'J Book Items Cons.'!W$5:W$3360,"Sealift Support Craft",'J Book Items Cons.'!R$5:R$3360,"&lt;&gt;")+SUMIFS('J Book Items Cons.'!N$5:N$3360,'J Book Items Cons.'!E$5:E$3360,6,'J Book Items Cons.'!S$5:S$3360,"[PARENT]",'J Book Items Cons.'!U$5:U$3360,"USN",'J Book Items Cons.'!W$5:W$3360,"Sealift Support Craft",'J Book Items Cons.'!R$5:R$3360,"",'J Book Items Cons.'!N$5:N$3360,"&lt;&gt;")+SUMIFS('J Book Items Cons.'!L$5:L$3360,'J Book Items Cons.'!E$5:E$3360,6,'J Book Items Cons.'!S$5:S$3360,"[PARENT]",'J Book Items Cons.'!U$5:U$3360,"USN",'J Book Items Cons.'!W$5:W$3360,"Sealift Support Craft",'J Book Items Cons.'!R$5:R$3360,"",'J Book Items Cons.'!N$5:N$3360,"")</f>
        <v>0</v>
      </c>
      <c r="AA49" s="14">
        <f>SUMIFS('J Book Items Cons.'!R$5:R$3360,'J Book Items Cons.'!E$5:E$3360,6,'J Book Items Cons.'!S$5:S$3360,"",'J Book Items Cons.'!U$5:U$3360,"USN",'J Book Items Cons.'!W$5:W$3360,"Special Warfare Craft",'J Book Items Cons.'!R$5:R$3360,"&lt;&gt;")+SUMIFS('J Book Items Cons.'!N$5:N$3360,'J Book Items Cons.'!E$5:E$3360,6,'J Book Items Cons.'!S$5:S$3360,"",'J Book Items Cons.'!U$5:U$3360,"USN",'J Book Items Cons.'!W$5:W$3360,"Special Warfare Craft",'J Book Items Cons.'!R$5:R$3360,"",'J Book Items Cons.'!N$5:N$3360,"&lt;&gt;")+SUMIFS('J Book Items Cons.'!L$5:L$3360,'J Book Items Cons.'!E$5:E$3360,6,'J Book Items Cons.'!S$5:S$3360,"",'J Book Items Cons.'!U$5:U$3360,"USN",'J Book Items Cons.'!W$5:W$3360,"Special Warfare Craft",'J Book Items Cons.'!R$5:R$3360,"",'J Book Items Cons.'!N$5:N$3360,"")+SUMIFS('J Book Items Cons.'!R$5:R$3360,'J Book Items Cons.'!E$5:E$3360,6,'J Book Items Cons.'!S$5:S$3360,"[PARENT]",'J Book Items Cons.'!U$5:U$3360,"USN",'J Book Items Cons.'!W$5:W$3360,"Special Warfare Craft",'J Book Items Cons.'!R$5:R$3360,"&lt;&gt;")+SUMIFS('J Book Items Cons.'!N$5:N$3360,'J Book Items Cons.'!E$5:E$3360,6,'J Book Items Cons.'!S$5:S$3360,"[PARENT]",'J Book Items Cons.'!U$5:U$3360,"USN",'J Book Items Cons.'!W$5:W$3360,"Special Warfare Craft",'J Book Items Cons.'!R$5:R$3360,"",'J Book Items Cons.'!N$5:N$3360,"&lt;&gt;")+SUMIFS('J Book Items Cons.'!L$5:L$3360,'J Book Items Cons.'!E$5:E$3360,6,'J Book Items Cons.'!S$5:S$3360,"[PARENT]",'J Book Items Cons.'!U$5:U$3360,"USN",'J Book Items Cons.'!W$5:W$3360,"Special Warfare Craft",'J Book Items Cons.'!R$5:R$3360,"",'J Book Items Cons.'!N$5:N$3360,"")</f>
        <v>0</v>
      </c>
      <c r="AB49" s="14">
        <f>SUMIFS('J Book Items Cons.'!R$5:R$3360,'J Book Items Cons.'!E$5:E$3360,6,'J Book Items Cons.'!S$5:S$3360,"",'J Book Items Cons.'!U$5:U$3360,"USN",'J Book Items Cons.'!W$5:W$3360,"Submarine Escort Ship",'J Book Items Cons.'!R$5:R$3360,"&lt;&gt;")+SUMIFS('J Book Items Cons.'!N$5:N$3360,'J Book Items Cons.'!E$5:E$3360,6,'J Book Items Cons.'!S$5:S$3360,"",'J Book Items Cons.'!U$5:U$3360,"USN",'J Book Items Cons.'!W$5:W$3360,"Submarine Escort Ship",'J Book Items Cons.'!R$5:R$3360,"",'J Book Items Cons.'!N$5:N$3360,"&lt;&gt;")+SUMIFS('J Book Items Cons.'!L$5:L$3360,'J Book Items Cons.'!E$5:E$3360,6,'J Book Items Cons.'!S$5:S$3360,"",'J Book Items Cons.'!U$5:U$3360,"USN",'J Book Items Cons.'!W$5:W$3360,"Submarine Escort Ship",'J Book Items Cons.'!R$5:R$3360,"",'J Book Items Cons.'!N$5:N$3360,"")+SUMIFS('J Book Items Cons.'!R$5:R$3360,'J Book Items Cons.'!E$5:E$3360,6,'J Book Items Cons.'!S$5:S$3360,"[PARENT]",'J Book Items Cons.'!U$5:U$3360,"USN",'J Book Items Cons.'!W$5:W$3360,"Submarine Escort Ship",'J Book Items Cons.'!R$5:R$3360,"&lt;&gt;")+SUMIFS('J Book Items Cons.'!N$5:N$3360,'J Book Items Cons.'!E$5:E$3360,6,'J Book Items Cons.'!S$5:S$3360,"[PARENT]",'J Book Items Cons.'!U$5:U$3360,"USN",'J Book Items Cons.'!W$5:W$3360,"Submarine Escort Ship",'J Book Items Cons.'!R$5:R$3360,"",'J Book Items Cons.'!N$5:N$3360,"&lt;&gt;")+SUMIFS('J Book Items Cons.'!L$5:L$3360,'J Book Items Cons.'!E$5:E$3360,6,'J Book Items Cons.'!S$5:S$3360,"[PARENT]",'J Book Items Cons.'!U$5:U$3360,"USN",'J Book Items Cons.'!W$5:W$3360,"Submarine Escort Ship",'J Book Items Cons.'!R$5:R$3360,"",'J Book Items Cons.'!N$5:N$3360,"")</f>
        <v>0</v>
      </c>
      <c r="AC49" s="14">
        <f>SUMIFS('J Book Items Cons.'!R$5:R$3360,'J Book Items Cons.'!E$5:E$3360,6,'J Book Items Cons.'!S$5:S$3360,"",'J Book Items Cons.'!U$5:U$3360,"MSC",'J Book Items Cons.'!W$5:W$3360,"Expeditionary &amp; Seabasing Ships",'J Book Items Cons.'!R$5:R$3360,"&lt;&gt;")+SUMIFS('J Book Items Cons.'!N$5:N$3360,'J Book Items Cons.'!E$5:E$3360,6,'J Book Items Cons.'!S$5:S$3360,"",'J Book Items Cons.'!U$5:U$3360,"MSC",'J Book Items Cons.'!W$5:W$3360,"Expeditionary &amp; Seabasing Ships",'J Book Items Cons.'!R$5:R$3360,"",'J Book Items Cons.'!N$5:N$3360,"&lt;&gt;")+SUMIFS('J Book Items Cons.'!L$5:L$3360,'J Book Items Cons.'!E$5:E$3360,6,'J Book Items Cons.'!S$5:S$3360,"",'J Book Items Cons.'!U$5:U$3360,"MSC",'J Book Items Cons.'!W$5:W$3360,"Expeditionary &amp; Seabasing Ships",'J Book Items Cons.'!R$5:R$3360,"",'J Book Items Cons.'!N$5:N$3360,"")+SUMIFS('J Book Items Cons.'!R$5:R$3360,'J Book Items Cons.'!E$5:E$3360,6,'J Book Items Cons.'!S$5:S$3360,"[PARENT]",'J Book Items Cons.'!U$5:U$3360,"MSC",'J Book Items Cons.'!W$5:W$3360,"Expeditionary &amp; Seabasing Ships",'J Book Items Cons.'!R$5:R$3360,"&lt;&gt;")+SUMIFS('J Book Items Cons.'!N$5:N$3360,'J Book Items Cons.'!E$5:E$3360,6,'J Book Items Cons.'!S$5:S$3360,"[PARENT]",'J Book Items Cons.'!U$5:U$3360,"MSC",'J Book Items Cons.'!W$5:W$3360,"Expeditionary &amp; Seabasing Ships",'J Book Items Cons.'!R$5:R$3360,"",'J Book Items Cons.'!N$5:N$3360,"&lt;&gt;")+SUMIFS('J Book Items Cons.'!L$5:L$3360,'J Book Items Cons.'!E$5:E$3360,6,'J Book Items Cons.'!S$5:S$3360,"[PARENT]",'J Book Items Cons.'!U$5:U$3360,"MSC",'J Book Items Cons.'!W$5:W$3360,"Expeditionary &amp; Seabasing Ships",'J Book Items Cons.'!R$5:R$3360,"",'J Book Items Cons.'!N$5:N$3360,"")</f>
        <v>0</v>
      </c>
      <c r="AD49" s="14">
        <f>SUMIFS('J Book Items Cons.'!R$5:R$3360,'J Book Items Cons.'!E$5:E$3360,6,'J Book Items Cons.'!S$5:S$3360,"",'J Book Items Cons.'!U$5:U$3360,"MSC",'J Book Items Cons.'!W$5:W$3360,"Hospital Ship",'J Book Items Cons.'!R$5:R$3360,"&lt;&gt;")+SUMIFS('J Book Items Cons.'!N$5:N$3360,'J Book Items Cons.'!E$5:E$3360,6,'J Book Items Cons.'!S$5:S$3360,"",'J Book Items Cons.'!U$5:U$3360,"MSC",'J Book Items Cons.'!W$5:W$3360,"Hospital Ship",'J Book Items Cons.'!R$5:R$3360,"",'J Book Items Cons.'!N$5:N$3360,"&lt;&gt;")+SUMIFS('J Book Items Cons.'!L$5:L$3360,'J Book Items Cons.'!E$5:E$3360,6,'J Book Items Cons.'!S$5:S$3360,"",'J Book Items Cons.'!U$5:U$3360,"MSC",'J Book Items Cons.'!W$5:W$3360,"Hospital Ship",'J Book Items Cons.'!R$5:R$3360,"",'J Book Items Cons.'!N$5:N$3360,"")+SUMIFS('J Book Items Cons.'!R$5:R$3360,'J Book Items Cons.'!E$5:E$3360,6,'J Book Items Cons.'!S$5:S$3360,"[PARENT]",'J Book Items Cons.'!U$5:U$3360,"MSC",'J Book Items Cons.'!W$5:W$3360,"Hospital Ship",'J Book Items Cons.'!R$5:R$3360,"&lt;&gt;")+SUMIFS('J Book Items Cons.'!N$5:N$3360,'J Book Items Cons.'!E$5:E$3360,6,'J Book Items Cons.'!S$5:S$3360,"[PARENT]",'J Book Items Cons.'!U$5:U$3360,"MSC",'J Book Items Cons.'!W$5:W$3360,"Hospital Ship",'J Book Items Cons.'!R$5:R$3360,"",'J Book Items Cons.'!N$5:N$3360,"&lt;&gt;")+SUMIFS('J Book Items Cons.'!L$5:L$3360,'J Book Items Cons.'!E$5:E$3360,6,'J Book Items Cons.'!S$5:S$3360,"[PARENT]",'J Book Items Cons.'!U$5:U$3360,"MSC",'J Book Items Cons.'!W$5:W$3360,"Hospital Ship",'J Book Items Cons.'!R$5:R$3360,"",'J Book Items Cons.'!N$5:N$3360,"")</f>
        <v>0</v>
      </c>
      <c r="AE49" s="26">
        <f>SUMIFS('J Book Items Cons.'!R$5:R$3360,'J Book Items Cons.'!E$5:E$3360,6,'J Book Items Cons.'!S$5:S$3360,"",'J Book Items Cons.'!U$5:U$3360,"MSC",'J Book Items Cons.'!W$5:W$3360,"Research, Survey &amp; Instrumentation Ships",'J Book Items Cons.'!R$5:R$3360,"&lt;&gt;")+SUMIFS('J Book Items Cons.'!N$5:N$3360,'J Book Items Cons.'!E$5:E$3360,6,'J Book Items Cons.'!S$5:S$3360,"",'J Book Items Cons.'!U$5:U$3360,"MSC",'J Book Items Cons.'!W$5:W$3360,"Research, Survey &amp; Instrumentation Ships",'J Book Items Cons.'!R$5:R$3360,"",'J Book Items Cons.'!N$5:N$3360,"&lt;&gt;")+SUMIFS('J Book Items Cons.'!L$5:L$3360,'J Book Items Cons.'!E$5:E$3360,6,'J Book Items Cons.'!S$5:S$3360,"",'J Book Items Cons.'!U$5:U$3360,"MSC",'J Book Items Cons.'!W$5:W$3360,"Research, Survey &amp; Instrumentation Ships",'J Book Items Cons.'!R$5:R$3360,"",'J Book Items Cons.'!N$5:N$3360,"")+SUMIFS('J Book Items Cons.'!R$5:R$3360,'J Book Items Cons.'!E$5:E$3360,6,'J Book Items Cons.'!S$5:S$3360,"[PARENT]",'J Book Items Cons.'!U$5:U$3360,"MSC",'J Book Items Cons.'!W$5:W$3360,"Research, Survey &amp; Instrumentation Ships",'J Book Items Cons.'!R$5:R$3360,"&lt;&gt;")+SUMIFS('J Book Items Cons.'!N$5:N$3360,'J Book Items Cons.'!E$5:E$3360,6,'J Book Items Cons.'!S$5:S$3360,"[PARENT]",'J Book Items Cons.'!U$5:U$3360,"MSC",'J Book Items Cons.'!W$5:W$3360,"Research, Survey &amp; Instrumentation Ships",'J Book Items Cons.'!R$5:R$3360,"",'J Book Items Cons.'!N$5:N$3360,"&lt;&gt;")+SUMIFS('J Book Items Cons.'!L$5:L$3360,'J Book Items Cons.'!E$5:E$3360,6,'J Book Items Cons.'!S$5:S$3360,"[PARENT]",'J Book Items Cons.'!U$5:U$3360,"MSC",'J Book Items Cons.'!W$5:W$3360,"Research, Survey &amp; Instrumentation Ships",'J Book Items Cons.'!R$5:R$3360,"",'J Book Items Cons.'!N$5:N$3360,"")</f>
        <v>0</v>
      </c>
      <c r="AF49" s="25">
        <f>SUMIFS('J Book Items Cons.'!R$5:R$3360,'J Book Items Cons.'!E$5:E$3360,6,'J Book Items Cons.'!S$5:S$3360,"",'J Book Items Cons.'!U$5:U$3360,"USCG",'J Book Items Cons.'!W$5:W$3360,"Offshore Patrol Cutter",'J Book Items Cons.'!R$5:R$3360,"&lt;&gt;")+SUMIFS('J Book Items Cons.'!N$5:N$3360,'J Book Items Cons.'!E$5:E$3360,6,'J Book Items Cons.'!S$5:S$3360,"",'J Book Items Cons.'!U$5:U$3360,"USCG",'J Book Items Cons.'!W$5:W$3360,"Offshore Patrol Cutter",'J Book Items Cons.'!R$5:R$3360,"",'J Book Items Cons.'!N$5:N$3360,"&lt;&gt;")+SUMIFS('J Book Items Cons.'!L$5:L$3360,'J Book Items Cons.'!E$5:E$3360,6,'J Book Items Cons.'!S$5:S$3360,"",'J Book Items Cons.'!U$5:U$3360,"USCG",'J Book Items Cons.'!W$5:W$3360,"Offshore Patrol Cutter",'J Book Items Cons.'!R$5:R$3360,"",'J Book Items Cons.'!N$5:N$3360,"")+SUMIFS('J Book Items Cons.'!R$5:R$3360,'J Book Items Cons.'!E$5:E$3360,6,'J Book Items Cons.'!S$5:S$3360,"[PARENT]",'J Book Items Cons.'!U$5:U$3360,"USCG",'J Book Items Cons.'!W$5:W$3360,"Offshore Patrol Cutter",'J Book Items Cons.'!R$5:R$3360,"&lt;&gt;")+SUMIFS('J Book Items Cons.'!N$5:N$3360,'J Book Items Cons.'!E$5:E$3360,6,'J Book Items Cons.'!S$5:S$3360,"[PARENT]",'J Book Items Cons.'!U$5:U$3360,"USCG",'J Book Items Cons.'!W$5:W$3360,"Offshore Patrol Cutter",'J Book Items Cons.'!R$5:R$3360,"",'J Book Items Cons.'!N$5:N$3360,"&lt;&gt;")+SUMIFS('J Book Items Cons.'!L$5:L$3360,'J Book Items Cons.'!E$5:E$3360,6,'J Book Items Cons.'!S$5:S$3360,"[PARENT]",'J Book Items Cons.'!U$5:U$3360,"USCG",'J Book Items Cons.'!W$5:W$3360,"Offshore Patrol Cutter",'J Book Items Cons.'!R$5:R$3360,"",'J Book Items Cons.'!N$5:N$3360,"")</f>
        <v>0</v>
      </c>
      <c r="AG49" s="14">
        <f>SUMIFS('J Book Items Cons.'!R$5:R$3360,'J Book Items Cons.'!E$5:E$3360,6,'J Book Items Cons.'!S$5:S$3360,"",'J Book Items Cons.'!U$5:U$3360,"USCG",'J Book Items Cons.'!W$5:W$3360,"Fast Response Cutters",'J Book Items Cons.'!R$5:R$3360,"&lt;&gt;")+SUMIFS('J Book Items Cons.'!N$5:N$3360,'J Book Items Cons.'!E$5:E$3360,6,'J Book Items Cons.'!S$5:S$3360,"",'J Book Items Cons.'!U$5:U$3360,"USCG",'J Book Items Cons.'!W$5:W$3360,"Fast Response Cutters",'J Book Items Cons.'!R$5:R$3360,"",'J Book Items Cons.'!N$5:N$3360,"&lt;&gt;")+SUMIFS('J Book Items Cons.'!L$5:L$3360,'J Book Items Cons.'!E$5:E$3360,6,'J Book Items Cons.'!S$5:S$3360,"",'J Book Items Cons.'!U$5:U$3360,"USCG",'J Book Items Cons.'!W$5:W$3360,"Fast Response Cutters",'J Book Items Cons.'!R$5:R$3360,"",'J Book Items Cons.'!N$5:N$3360,"")+SUMIFS('J Book Items Cons.'!R$5:R$3360,'J Book Items Cons.'!E$5:E$3360,6,'J Book Items Cons.'!S$5:S$3360,"[PARENT]",'J Book Items Cons.'!U$5:U$3360,"USCG",'J Book Items Cons.'!W$5:W$3360,"Fast Response Cutters",'J Book Items Cons.'!R$5:R$3360,"&lt;&gt;")+SUMIFS('J Book Items Cons.'!N$5:N$3360,'J Book Items Cons.'!E$5:E$3360,6,'J Book Items Cons.'!S$5:S$3360,"[PARENT]",'J Book Items Cons.'!U$5:U$3360,"USCG",'J Book Items Cons.'!W$5:W$3360,"Fast Response Cutters",'J Book Items Cons.'!R$5:R$3360,"",'J Book Items Cons.'!N$5:N$3360,"&lt;&gt;")+SUMIFS('J Book Items Cons.'!L$5:L$3360,'J Book Items Cons.'!E$5:E$3360,6,'J Book Items Cons.'!S$5:S$3360,"[PARENT]",'J Book Items Cons.'!U$5:U$3360,"USCG",'J Book Items Cons.'!W$5:W$3360,"Fast Response Cutters",'J Book Items Cons.'!R$5:R$3360,"",'J Book Items Cons.'!N$5:N$3360,"")</f>
        <v>0</v>
      </c>
      <c r="AH49" s="14">
        <f>SUMIFS('J Book Items Cons.'!R$5:R$3360,'J Book Items Cons.'!E$5:E$3360,6,'J Book Items Cons.'!S$5:S$3360,"",'J Book Items Cons.'!U$5:U$3360,"USCG",'J Book Items Cons.'!W$5:W$3360,"Icebreakers, Oceangoing",'J Book Items Cons.'!R$5:R$3360,"&lt;&gt;")+SUMIFS('J Book Items Cons.'!N$5:N$3360,'J Book Items Cons.'!E$5:E$3360,6,'J Book Items Cons.'!S$5:S$3360,"",'J Book Items Cons.'!U$5:U$3360,"USCG",'J Book Items Cons.'!W$5:W$3360,"Icebreakers, Oceangoing",'J Book Items Cons.'!R$5:R$3360,"",'J Book Items Cons.'!N$5:N$3360,"&lt;&gt;")+SUMIFS('J Book Items Cons.'!L$5:L$3360,'J Book Items Cons.'!E$5:E$3360,6,'J Book Items Cons.'!S$5:S$3360,"",'J Book Items Cons.'!U$5:U$3360,"USCG",'J Book Items Cons.'!W$5:W$3360,"Icebreakers, Oceangoing",'J Book Items Cons.'!R$5:R$3360,"",'J Book Items Cons.'!N$5:N$3360,"")+SUMIFS('J Book Items Cons.'!R$5:R$3360,'J Book Items Cons.'!E$5:E$3360,6,'J Book Items Cons.'!S$5:S$3360,"[PARENT]",'J Book Items Cons.'!U$5:U$3360,"USCG",'J Book Items Cons.'!W$5:W$3360,"Icebreakers, Oceangoing",'J Book Items Cons.'!R$5:R$3360,"&lt;&gt;")+SUMIFS('J Book Items Cons.'!N$5:N$3360,'J Book Items Cons.'!E$5:E$3360,6,'J Book Items Cons.'!S$5:S$3360,"[PARENT]",'J Book Items Cons.'!U$5:U$3360,"USCG",'J Book Items Cons.'!W$5:W$3360,"Icebreakers, Oceangoing",'J Book Items Cons.'!R$5:R$3360,"",'J Book Items Cons.'!N$5:N$3360,"&lt;&gt;")+SUMIFS('J Book Items Cons.'!L$5:L$3360,'J Book Items Cons.'!E$5:E$3360,6,'J Book Items Cons.'!S$5:S$3360,"[PARENT]",'J Book Items Cons.'!U$5:U$3360,"USCG",'J Book Items Cons.'!W$5:W$3360,"Icebreakers, Oceangoing",'J Book Items Cons.'!R$5:R$3360,"",'J Book Items Cons.'!N$5:N$3360,"")</f>
        <v>0</v>
      </c>
      <c r="AI49" s="14">
        <f>SUMIFS('J Book Items Cons.'!R$5:R$3360,'J Book Items Cons.'!E$5:E$3360,6,'J Book Items Cons.'!S$5:S$3360,"",'J Book Items Cons.'!U$5:U$3360,"USCG",'J Book Items Cons.'!W$5:W$3360,"Waterways Commerce Cutters",'J Book Items Cons.'!R$5:R$3360,"&lt;&gt;")+SUMIFS('J Book Items Cons.'!N$5:N$3360,'J Book Items Cons.'!E$5:E$3360,6,'J Book Items Cons.'!S$5:S$3360,"",'J Book Items Cons.'!U$5:U$3360,"USCG",'J Book Items Cons.'!W$5:W$3360,"Waterways Commerce Cutters",'J Book Items Cons.'!R$5:R$3360,"",'J Book Items Cons.'!N$5:N$3360,"&lt;&gt;")+SUMIFS('J Book Items Cons.'!L$5:L$3360,'J Book Items Cons.'!E$5:E$3360,6,'J Book Items Cons.'!S$5:S$3360,"",'J Book Items Cons.'!U$5:U$3360,"USCG",'J Book Items Cons.'!W$5:W$3360,"Waterways Commerce Cutters",'J Book Items Cons.'!R$5:R$3360,"",'J Book Items Cons.'!N$5:N$3360,"")+SUMIFS('J Book Items Cons.'!R$5:R$3360,'J Book Items Cons.'!E$5:E$3360,6,'J Book Items Cons.'!S$5:S$3360,"[PARENT]",'J Book Items Cons.'!U$5:U$3360,"USCG",'J Book Items Cons.'!W$5:W$3360,"Waterways Commerce Cutters",'J Book Items Cons.'!R$5:R$3360,"&lt;&gt;")+SUMIFS('J Book Items Cons.'!N$5:N$3360,'J Book Items Cons.'!E$5:E$3360,6,'J Book Items Cons.'!S$5:S$3360,"[PARENT]",'J Book Items Cons.'!U$5:U$3360,"USCG",'J Book Items Cons.'!W$5:W$3360,"Waterways Commerce Cutters",'J Book Items Cons.'!R$5:R$3360,"",'J Book Items Cons.'!N$5:N$3360,"&lt;&gt;")+SUMIFS('J Book Items Cons.'!L$5:L$3360,'J Book Items Cons.'!E$5:E$3360,6,'J Book Items Cons.'!S$5:S$3360,"[PARENT]",'J Book Items Cons.'!U$5:U$3360,"USCG",'J Book Items Cons.'!W$5:W$3360,"Waterways Commerce Cutters",'J Book Items Cons.'!R$5:R$3360,"",'J Book Items Cons.'!N$5:N$3360,"")</f>
        <v>0</v>
      </c>
      <c r="AJ49" s="14">
        <f>SUMIFS('J Book Items Cons.'!R$5:R$3360,'J Book Items Cons.'!E$5:E$3360,6,'J Book Items Cons.'!S$5:S$3360,"",'J Book Items Cons.'!U$5:U$3360,"USCG",'J Book Items Cons.'!W$5:W$3360,"National Security Cutters",'J Book Items Cons.'!R$5:R$3360,"&lt;&gt;")+SUMIFS('J Book Items Cons.'!N$5:N$3360,'J Book Items Cons.'!E$5:E$3360,6,'J Book Items Cons.'!S$5:S$3360,"",'J Book Items Cons.'!U$5:U$3360,"USCG",'J Book Items Cons.'!W$5:W$3360,"National Security Cutters",'J Book Items Cons.'!R$5:R$3360,"",'J Book Items Cons.'!N$5:N$3360,"&lt;&gt;")+SUMIFS('J Book Items Cons.'!L$5:L$3360,'J Book Items Cons.'!E$5:E$3360,6,'J Book Items Cons.'!S$5:S$3360,"",'J Book Items Cons.'!U$5:U$3360,"USCG",'J Book Items Cons.'!W$5:W$3360,"National Security Cutters",'J Book Items Cons.'!R$5:R$3360,"",'J Book Items Cons.'!N$5:N$3360,"")+SUMIFS('J Book Items Cons.'!R$5:R$3360,'J Book Items Cons.'!E$5:E$3360,6,'J Book Items Cons.'!S$5:S$3360,"[PARENT]",'J Book Items Cons.'!U$5:U$3360,"USCG",'J Book Items Cons.'!W$5:W$3360,"National Security Cutters",'J Book Items Cons.'!R$5:R$3360,"&lt;&gt;")+SUMIFS('J Book Items Cons.'!N$5:N$3360,'J Book Items Cons.'!E$5:E$3360,6,'J Book Items Cons.'!S$5:S$3360,"[PARENT]",'J Book Items Cons.'!U$5:U$3360,"USCG",'J Book Items Cons.'!W$5:W$3360,"National Security Cutters",'J Book Items Cons.'!R$5:R$3360,"",'J Book Items Cons.'!N$5:N$3360,"&lt;&gt;")+SUMIFS('J Book Items Cons.'!L$5:L$3360,'J Book Items Cons.'!E$5:E$3360,6,'J Book Items Cons.'!S$5:S$3360,"[PARENT]",'J Book Items Cons.'!U$5:U$3360,"USCG",'J Book Items Cons.'!W$5:W$3360,"National Security Cutters",'J Book Items Cons.'!R$5:R$3360,"",'J Book Items Cons.'!N$5:N$3360,"")</f>
        <v>0</v>
      </c>
      <c r="AK49" s="14">
        <f>SUMIFS('J Book Items Cons.'!R$5:R$3360,'J Book Items Cons.'!E$5:E$3360,6,'J Book Items Cons.'!S$5:S$3360,"",'J Book Items Cons.'!U$5:U$3360,"USCG",'J Book Items Cons.'!W$5:W$3360,"Coastal Buoy Tenders",'J Book Items Cons.'!R$5:R$3360,"&lt;&gt;")+SUMIFS('J Book Items Cons.'!N$5:N$3360,'J Book Items Cons.'!E$5:E$3360,6,'J Book Items Cons.'!S$5:S$3360,"",'J Book Items Cons.'!U$5:U$3360,"USCG",'J Book Items Cons.'!W$5:W$3360,"Coastal Buoy Tenders",'J Book Items Cons.'!R$5:R$3360,"",'J Book Items Cons.'!N$5:N$3360,"&lt;&gt;")+SUMIFS('J Book Items Cons.'!L$5:L$3360,'J Book Items Cons.'!E$5:E$3360,6,'J Book Items Cons.'!S$5:S$3360,"",'J Book Items Cons.'!U$5:U$3360,"USCG",'J Book Items Cons.'!W$5:W$3360,"Coastal Buoy Tenders",'J Book Items Cons.'!R$5:R$3360,"",'J Book Items Cons.'!N$5:N$3360,"")+SUMIFS('J Book Items Cons.'!R$5:R$3360,'J Book Items Cons.'!E$5:E$3360,6,'J Book Items Cons.'!S$5:S$3360,"[PARENT]",'J Book Items Cons.'!U$5:U$3360,"USCG",'J Book Items Cons.'!W$5:W$3360,"Coastal Buoy Tenders",'J Book Items Cons.'!R$5:R$3360,"&lt;&gt;")+SUMIFS('J Book Items Cons.'!N$5:N$3360,'J Book Items Cons.'!E$5:E$3360,6,'J Book Items Cons.'!S$5:S$3360,"[PARENT]",'J Book Items Cons.'!U$5:U$3360,"USCG",'J Book Items Cons.'!W$5:W$3360,"Coastal Buoy Tenders",'J Book Items Cons.'!R$5:R$3360,"",'J Book Items Cons.'!N$5:N$3360,"&lt;&gt;")+SUMIFS('J Book Items Cons.'!L$5:L$3360,'J Book Items Cons.'!E$5:E$3360,6,'J Book Items Cons.'!S$5:S$3360,"[PARENT]",'J Book Items Cons.'!U$5:U$3360,"USCG",'J Book Items Cons.'!W$5:W$3360,"Coastal Buoy Tenders",'J Book Items Cons.'!R$5:R$3360,"",'J Book Items Cons.'!N$5:N$3360,"")</f>
        <v>0</v>
      </c>
      <c r="AL49" s="26">
        <f>SUMIFS('J Book Items Cons.'!R$5:R$3360,'J Book Items Cons.'!E$5:E$3360,6,'J Book Items Cons.'!S$5:S$3360,"",'J Book Items Cons.'!U$5:U$3360,"USCG",'J Book Items Cons.'!W$5:W$3360,"Icebreakers, Great Lakes",'J Book Items Cons.'!R$5:R$3360,"&lt;&gt;")+SUMIFS('J Book Items Cons.'!N$5:N$3360,'J Book Items Cons.'!E$5:E$3360,6,'J Book Items Cons.'!S$5:S$3360,"",'J Book Items Cons.'!U$5:U$3360,"USCG",'J Book Items Cons.'!W$5:W$3360,"Icebreakers, Great Lakes",'J Book Items Cons.'!R$5:R$3360,"",'J Book Items Cons.'!N$5:N$3360,"&lt;&gt;")+SUMIFS('J Book Items Cons.'!L$5:L$3360,'J Book Items Cons.'!E$5:E$3360,6,'J Book Items Cons.'!S$5:S$3360,"",'J Book Items Cons.'!U$5:U$3360,"USCG",'J Book Items Cons.'!W$5:W$3360,"Icebreakers, Great Lakes",'J Book Items Cons.'!R$5:R$3360,"",'J Book Items Cons.'!N$5:N$3360,"")+SUMIFS('J Book Items Cons.'!R$5:R$3360,'J Book Items Cons.'!E$5:E$3360,6,'J Book Items Cons.'!S$5:S$3360,"[PARENT]",'J Book Items Cons.'!U$5:U$3360,"USCG",'J Book Items Cons.'!W$5:W$3360,"Icebreakers, Great Lakes",'J Book Items Cons.'!R$5:R$3360,"&lt;&gt;")+SUMIFS('J Book Items Cons.'!N$5:N$3360,'J Book Items Cons.'!E$5:E$3360,6,'J Book Items Cons.'!S$5:S$3360,"[PARENT]",'J Book Items Cons.'!U$5:U$3360,"USCG",'J Book Items Cons.'!W$5:W$3360,"Icebreakers, Great Lakes",'J Book Items Cons.'!R$5:R$3360,"",'J Book Items Cons.'!N$5:N$3360,"&lt;&gt;")+SUMIFS('J Book Items Cons.'!L$5:L$3360,'J Book Items Cons.'!E$5:E$3360,6,'J Book Items Cons.'!S$5:S$3360,"[PARENT]",'J Book Items Cons.'!U$5:U$3360,"USCG",'J Book Items Cons.'!W$5:W$3360,"Icebreakers, Great Lakes",'J Book Items Cons.'!R$5:R$3360,"",'J Book Items Cons.'!N$5:N$3360,"")</f>
        <v>0</v>
      </c>
      <c r="AM49" s="14">
        <f t="shared" si="3"/>
        <v>156196</v>
      </c>
    </row>
    <row r="50" spans="1:42" ht="10.5" customHeight="1" x14ac:dyDescent="0.15">
      <c r="A50" s="7" t="s">
        <v>8828</v>
      </c>
      <c r="B50" s="25">
        <f>SUMIFS('J Book Items Cons.'!R$5:R$3360,'J Book Items Cons.'!E$5:E$3360,7,'J Book Items Cons.'!S$5:S$3360,"",'J Book Items Cons.'!U$5:U$3360,"USN",'J Book Items Cons.'!W$5:W$3360,"Submarines",'J Book Items Cons.'!R$5:R$3360,"&lt;&gt;")+SUMIFS('J Book Items Cons.'!N$5:N$3360,'J Book Items Cons.'!E$5:E$3360,7,'J Book Items Cons.'!S$5:S$3360,"",'J Book Items Cons.'!U$5:U$3360,"USN",'J Book Items Cons.'!W$5:W$3360,"Submarines",'J Book Items Cons.'!R$5:R$3360,"",'J Book Items Cons.'!N$5:N$3360,"&lt;&gt;")+SUMIFS('J Book Items Cons.'!L$5:L$3360,'J Book Items Cons.'!E$5:E$3360,7,'J Book Items Cons.'!S$5:S$3360,"",'J Book Items Cons.'!U$5:U$3360,"USN",'J Book Items Cons.'!W$5:W$3360,"Submarines",'J Book Items Cons.'!R$5:R$3360,"",'J Book Items Cons.'!N$5:N$3360,"")+SUMIFS('J Book Items Cons.'!R$5:R$3360,'J Book Items Cons.'!E$5:E$3360,7,'J Book Items Cons.'!S$5:S$3360,"[PARENT]",'J Book Items Cons.'!U$5:U$3360,"USN",'J Book Items Cons.'!W$5:W$3360,"Submarines",'J Book Items Cons.'!R$5:R$3360,"&lt;&gt;")+SUMIFS('J Book Items Cons.'!N$5:N$3360,'J Book Items Cons.'!E$5:E$3360,7,'J Book Items Cons.'!S$5:S$3360,"[PARENT]",'J Book Items Cons.'!U$5:U$3360,"USN",'J Book Items Cons.'!W$5:W$3360,"Submarines",'J Book Items Cons.'!R$5:R$3360,"",'J Book Items Cons.'!N$5:N$3360,"&lt;&gt;")+SUMIFS('J Book Items Cons.'!L$5:L$3360,'J Book Items Cons.'!E$5:E$3360,7,'J Book Items Cons.'!S$5:S$3360,"[PARENT]",'J Book Items Cons.'!U$5:U$3360,"USN",'J Book Items Cons.'!W$5:W$3360,"Submarines",'J Book Items Cons.'!R$5:R$3360,"",'J Book Items Cons.'!N$5:N$3360,"")</f>
        <v>0</v>
      </c>
      <c r="C50" s="14">
        <f>SUMIFS('J Book Items Cons.'!R$5:R$3360,'J Book Items Cons.'!E$5:E$3360,7,'J Book Items Cons.'!S$5:S$3360,"",'J Book Items Cons.'!U$5:U$3360,"USN",'J Book Items Cons.'!W$5:W$3360,"Surface Combatants",'J Book Items Cons.'!R$5:R$3360,"&lt;&gt;")+SUMIFS('J Book Items Cons.'!N$5:N$3360,'J Book Items Cons.'!E$5:E$3360,7,'J Book Items Cons.'!S$5:S$3360,"",'J Book Items Cons.'!U$5:U$3360,"USN",'J Book Items Cons.'!W$5:W$3360,"Surface Combatants",'J Book Items Cons.'!R$5:R$3360,"",'J Book Items Cons.'!N$5:N$3360,"&lt;&gt;")+SUMIFS('J Book Items Cons.'!L$5:L$3360,'J Book Items Cons.'!E$5:E$3360,7,'J Book Items Cons.'!S$5:S$3360,"",'J Book Items Cons.'!U$5:U$3360,"USN",'J Book Items Cons.'!W$5:W$3360,"Surface Combatants",'J Book Items Cons.'!R$5:R$3360,"",'J Book Items Cons.'!N$5:N$3360,"")+SUMIFS('J Book Items Cons.'!R$5:R$3360,'J Book Items Cons.'!E$5:E$3360,7,'J Book Items Cons.'!S$5:S$3360,"[PARENT]",'J Book Items Cons.'!U$5:U$3360,"USN",'J Book Items Cons.'!W$5:W$3360,"Surface Combatants",'J Book Items Cons.'!R$5:R$3360,"&lt;&gt;")+SUMIFS('J Book Items Cons.'!N$5:N$3360,'J Book Items Cons.'!E$5:E$3360,7,'J Book Items Cons.'!S$5:S$3360,"[PARENT]",'J Book Items Cons.'!U$5:U$3360,"USN",'J Book Items Cons.'!W$5:W$3360,"Surface Combatants",'J Book Items Cons.'!R$5:R$3360,"",'J Book Items Cons.'!N$5:N$3360,"&lt;&gt;")+SUMIFS('J Book Items Cons.'!L$5:L$3360,'J Book Items Cons.'!E$5:E$3360,7,'J Book Items Cons.'!S$5:S$3360,"[PARENT]",'J Book Items Cons.'!U$5:U$3360,"USN",'J Book Items Cons.'!W$5:W$3360,"Surface Combatants",'J Book Items Cons.'!R$5:R$3360,"",'J Book Items Cons.'!N$5:N$3360,"")</f>
        <v>0</v>
      </c>
      <c r="D50" s="14">
        <f>SUMIFS('J Book Items Cons.'!R$5:R$3360,'J Book Items Cons.'!E$5:E$3360,7,'J Book Items Cons.'!S$5:S$3360,"",'J Book Items Cons.'!U$5:U$3360,"USN",'J Book Items Cons.'!W$5:W$3360,"Aircraft Carriers",'J Book Items Cons.'!R$5:R$3360,"&lt;&gt;")+SUMIFS('J Book Items Cons.'!N$5:N$3360,'J Book Items Cons.'!E$5:E$3360,7,'J Book Items Cons.'!S$5:S$3360,"",'J Book Items Cons.'!U$5:U$3360,"USN",'J Book Items Cons.'!W$5:W$3360,"Aircraft Carriers",'J Book Items Cons.'!R$5:R$3360,"",'J Book Items Cons.'!N$5:N$3360,"&lt;&gt;")+SUMIFS('J Book Items Cons.'!L$5:L$3360,'J Book Items Cons.'!E$5:E$3360,7,'J Book Items Cons.'!S$5:S$3360,"",'J Book Items Cons.'!U$5:U$3360,"USN",'J Book Items Cons.'!W$5:W$3360,"Aircraft Carriers",'J Book Items Cons.'!R$5:R$3360,"",'J Book Items Cons.'!N$5:N$3360,"")+SUMIFS('J Book Items Cons.'!R$5:R$3360,'J Book Items Cons.'!E$5:E$3360,7,'J Book Items Cons.'!S$5:S$3360,"[PARENT]",'J Book Items Cons.'!U$5:U$3360,"USN",'J Book Items Cons.'!W$5:W$3360,"Aircraft Carriers",'J Book Items Cons.'!R$5:R$3360,"&lt;&gt;")+SUMIFS('J Book Items Cons.'!N$5:N$3360,'J Book Items Cons.'!E$5:E$3360,7,'J Book Items Cons.'!S$5:S$3360,"[PARENT]",'J Book Items Cons.'!U$5:U$3360,"USN",'J Book Items Cons.'!W$5:W$3360,"Aircraft Carriers",'J Book Items Cons.'!R$5:R$3360,"",'J Book Items Cons.'!N$5:N$3360,"&lt;&gt;")+SUMIFS('J Book Items Cons.'!L$5:L$3360,'J Book Items Cons.'!E$5:E$3360,7,'J Book Items Cons.'!S$5:S$3360,"[PARENT]",'J Book Items Cons.'!U$5:U$3360,"USN",'J Book Items Cons.'!W$5:W$3360,"Aircraft Carriers",'J Book Items Cons.'!R$5:R$3360,"",'J Book Items Cons.'!N$5:N$3360,"")</f>
        <v>0</v>
      </c>
      <c r="E50" s="14">
        <f>SUMIFS('J Book Items Cons.'!R$5:R$3360,'J Book Items Cons.'!E$5:E$3360,7,'J Book Items Cons.'!S$5:S$3360,"",'J Book Items Cons.'!U$5:U$3360,"USN",'J Book Items Cons.'!W$5:W$3360,"Amphibious Warfare Ships",'J Book Items Cons.'!R$5:R$3360,"&lt;&gt;")+SUMIFS('J Book Items Cons.'!N$5:N$3360,'J Book Items Cons.'!E$5:E$3360,7,'J Book Items Cons.'!S$5:S$3360,"",'J Book Items Cons.'!U$5:U$3360,"USN",'J Book Items Cons.'!W$5:W$3360,"Amphibious Warfare Ships",'J Book Items Cons.'!R$5:R$3360,"",'J Book Items Cons.'!N$5:N$3360,"&lt;&gt;")+SUMIFS('J Book Items Cons.'!L$5:L$3360,'J Book Items Cons.'!E$5:E$3360,7,'J Book Items Cons.'!S$5:S$3360,"",'J Book Items Cons.'!U$5:U$3360,"USN",'J Book Items Cons.'!W$5:W$3360,"Amphibious Warfare Ships",'J Book Items Cons.'!R$5:R$3360,"",'J Book Items Cons.'!N$5:N$3360,"")+SUMIFS('J Book Items Cons.'!R$5:R$3360,'J Book Items Cons.'!E$5:E$3360,7,'J Book Items Cons.'!S$5:S$3360,"[PARENT]",'J Book Items Cons.'!U$5:U$3360,"USN",'J Book Items Cons.'!W$5:W$3360,"Amphibious Warfare Ships",'J Book Items Cons.'!R$5:R$3360,"&lt;&gt;")+SUMIFS('J Book Items Cons.'!N$5:N$3360,'J Book Items Cons.'!E$5:E$3360,7,'J Book Items Cons.'!S$5:S$3360,"[PARENT]",'J Book Items Cons.'!U$5:U$3360,"USN",'J Book Items Cons.'!W$5:W$3360,"Amphibious Warfare Ships",'J Book Items Cons.'!R$5:R$3360,"",'J Book Items Cons.'!N$5:N$3360,"&lt;&gt;")+SUMIFS('J Book Items Cons.'!L$5:L$3360,'J Book Items Cons.'!E$5:E$3360,7,'J Book Items Cons.'!S$5:S$3360,"[PARENT]",'J Book Items Cons.'!U$5:U$3360,"USN",'J Book Items Cons.'!W$5:W$3360,"Amphibious Warfare Ships",'J Book Items Cons.'!R$5:R$3360,"",'J Book Items Cons.'!N$5:N$3360,"")</f>
        <v>0</v>
      </c>
      <c r="F50" s="14">
        <f>SUMIFS('J Book Items Cons.'!R$5:R$3360,'J Book Items Cons.'!E$5:E$3360,7,'J Book Items Cons.'!S$5:S$3360,"",'J Book Items Cons.'!U$5:U$3360,"USN",'J Book Items Cons.'!W$5:W$3360,"Expeditionary &amp; Seabasing Ships",'J Book Items Cons.'!R$5:R$3360,"&lt;&gt;")+SUMIFS('J Book Items Cons.'!N$5:N$3360,'J Book Items Cons.'!E$5:E$3360,7,'J Book Items Cons.'!S$5:S$3360,"",'J Book Items Cons.'!U$5:U$3360,"USN",'J Book Items Cons.'!W$5:W$3360,"Expeditionary &amp; Seabasing Ships",'J Book Items Cons.'!R$5:R$3360,"",'J Book Items Cons.'!N$5:N$3360,"&lt;&gt;")+SUMIFS('J Book Items Cons.'!L$5:L$3360,'J Book Items Cons.'!E$5:E$3360,7,'J Book Items Cons.'!S$5:S$3360,"",'J Book Items Cons.'!U$5:U$3360,"USN",'J Book Items Cons.'!W$5:W$3360,"Expeditionary &amp; Seabasing Ships",'J Book Items Cons.'!R$5:R$3360,"",'J Book Items Cons.'!N$5:N$3360,"")+SUMIFS('J Book Items Cons.'!R$5:R$3360,'J Book Items Cons.'!E$5:E$3360,7,'J Book Items Cons.'!S$5:S$3360,"[PARENT]",'J Book Items Cons.'!U$5:U$3360,"USN",'J Book Items Cons.'!W$5:W$3360,"Expeditionary &amp; Seabasing Ships",'J Book Items Cons.'!R$5:R$3360,"&lt;&gt;")+SUMIFS('J Book Items Cons.'!N$5:N$3360,'J Book Items Cons.'!E$5:E$3360,7,'J Book Items Cons.'!S$5:S$3360,"[PARENT]",'J Book Items Cons.'!U$5:U$3360,"USN",'J Book Items Cons.'!W$5:W$3360,"Expeditionary &amp; Seabasing Ships",'J Book Items Cons.'!R$5:R$3360,"",'J Book Items Cons.'!N$5:N$3360,"&lt;&gt;")+SUMIFS('J Book Items Cons.'!L$5:L$3360,'J Book Items Cons.'!E$5:E$3360,7,'J Book Items Cons.'!S$5:S$3360,"[PARENT]",'J Book Items Cons.'!U$5:U$3360,"USN",'J Book Items Cons.'!W$5:W$3360,"Expeditionary &amp; Seabasing Ships",'J Book Items Cons.'!R$5:R$3360,"",'J Book Items Cons.'!N$5:N$3360,"")</f>
        <v>38073</v>
      </c>
      <c r="G50" s="14">
        <f>SUMIFS('J Book Items Cons.'!R$5:R$3360,'J Book Items Cons.'!E$5:E$3360,7,'J Book Items Cons.'!S$5:S$3360,"",'J Book Items Cons.'!U$5:U$3360,"MSC",'J Book Items Cons.'!W$5:W$3360,"Combat Logistics Ships",'J Book Items Cons.'!R$5:R$3360,"&lt;&gt;")+SUMIFS('J Book Items Cons.'!N$5:N$3360,'J Book Items Cons.'!E$5:E$3360,7,'J Book Items Cons.'!S$5:S$3360,"",'J Book Items Cons.'!U$5:U$3360,"MSC",'J Book Items Cons.'!W$5:W$3360,"Combat Logistics Ships",'J Book Items Cons.'!R$5:R$3360,"",'J Book Items Cons.'!N$5:N$3360,"&lt;&gt;")+SUMIFS('J Book Items Cons.'!L$5:L$3360,'J Book Items Cons.'!E$5:E$3360,7,'J Book Items Cons.'!S$5:S$3360,"",'J Book Items Cons.'!U$5:U$3360,"MSC",'J Book Items Cons.'!W$5:W$3360,"Combat Logistics Ships",'J Book Items Cons.'!R$5:R$3360,"",'J Book Items Cons.'!N$5:N$3360,"")+SUMIFS('J Book Items Cons.'!R$5:R$3360,'J Book Items Cons.'!E$5:E$3360,7,'J Book Items Cons.'!S$5:S$3360,"[PARENT]",'J Book Items Cons.'!U$5:U$3360,"MSC",'J Book Items Cons.'!W$5:W$3360,"Combat Logistics Ships",'J Book Items Cons.'!R$5:R$3360,"&lt;&gt;")+SUMIFS('J Book Items Cons.'!N$5:N$3360,'J Book Items Cons.'!E$5:E$3360,7,'J Book Items Cons.'!S$5:S$3360,"[PARENT]",'J Book Items Cons.'!U$5:U$3360,"MSC",'J Book Items Cons.'!W$5:W$3360,"Combat Logistics Ships",'J Book Items Cons.'!R$5:R$3360,"",'J Book Items Cons.'!N$5:N$3360,"&lt;&gt;")+SUMIFS('J Book Items Cons.'!L$5:L$3360,'J Book Items Cons.'!E$5:E$3360,7,'J Book Items Cons.'!S$5:S$3360,"[PARENT]",'J Book Items Cons.'!U$5:U$3360,"MSC",'J Book Items Cons.'!W$5:W$3360,"Combat Logistics Ships",'J Book Items Cons.'!R$5:R$3360,"",'J Book Items Cons.'!N$5:N$3360,"")</f>
        <v>0</v>
      </c>
      <c r="H50" s="14">
        <f>SUMIFS('J Book Items Cons.'!R$5:R$3360,'J Book Items Cons.'!E$5:E$3360,7,'J Book Items Cons.'!S$5:S$3360,"",'J Book Items Cons.'!U$5:U$3360,"USN",'J Book Items Cons.'!W$5:W$3360,"Unmanned Surface Vehicles",'J Book Items Cons.'!R$5:R$3360,"&lt;&gt;")+SUMIFS('J Book Items Cons.'!N$5:N$3360,'J Book Items Cons.'!E$5:E$3360,7,'J Book Items Cons.'!S$5:S$3360,"",'J Book Items Cons.'!U$5:U$3360,"USN",'J Book Items Cons.'!W$5:W$3360,"Unmanned Surface Vehicles",'J Book Items Cons.'!R$5:R$3360,"",'J Book Items Cons.'!N$5:N$3360,"&lt;&gt;")+SUMIFS('J Book Items Cons.'!L$5:L$3360,'J Book Items Cons.'!E$5:E$3360,7,'J Book Items Cons.'!S$5:S$3360,"",'J Book Items Cons.'!U$5:U$3360,"USN",'J Book Items Cons.'!W$5:W$3360,"Unmanned Surface Vehicles",'J Book Items Cons.'!R$5:R$3360,"",'J Book Items Cons.'!N$5:N$3360,"")+SUMIFS('J Book Items Cons.'!R$5:R$3360,'J Book Items Cons.'!E$5:E$3360,7,'J Book Items Cons.'!S$5:S$3360,"[PARENT]",'J Book Items Cons.'!U$5:U$3360,"USN",'J Book Items Cons.'!W$5:W$3360,"Unmanned Surface Vehicles",'J Book Items Cons.'!R$5:R$3360,"&lt;&gt;")+SUMIFS('J Book Items Cons.'!N$5:N$3360,'J Book Items Cons.'!E$5:E$3360,7,'J Book Items Cons.'!S$5:S$3360,"[PARENT]",'J Book Items Cons.'!U$5:U$3360,"USN",'J Book Items Cons.'!W$5:W$3360,"Unmanned Surface Vehicles",'J Book Items Cons.'!R$5:R$3360,"",'J Book Items Cons.'!N$5:N$3360,"&lt;&gt;")+SUMIFS('J Book Items Cons.'!L$5:L$3360,'J Book Items Cons.'!E$5:E$3360,7,'J Book Items Cons.'!S$5:S$3360,"[PARENT]",'J Book Items Cons.'!U$5:U$3360,"USN",'J Book Items Cons.'!W$5:W$3360,"Unmanned Surface Vehicles",'J Book Items Cons.'!R$5:R$3360,"",'J Book Items Cons.'!N$5:N$3360,"")</f>
        <v>0</v>
      </c>
      <c r="I50" s="14">
        <f>SUMIFS('J Book Items Cons.'!R$5:R$3360,'J Book Items Cons.'!E$5:E$3360,7,'J Book Items Cons.'!S$5:S$3360,"",'J Book Items Cons.'!U$5:U$3360,"USN",'J Book Items Cons.'!W$5:W$3360,"Amphibious Warfare Craft",'J Book Items Cons.'!R$5:R$3360,"&lt;&gt;")+SUMIFS('J Book Items Cons.'!N$5:N$3360,'J Book Items Cons.'!E$5:E$3360,7,'J Book Items Cons.'!S$5:S$3360,"",'J Book Items Cons.'!U$5:U$3360,"USN",'J Book Items Cons.'!W$5:W$3360,"Amphibious Warfare Craft",'J Book Items Cons.'!R$5:R$3360,"",'J Book Items Cons.'!N$5:N$3360,"&lt;&gt;")+SUMIFS('J Book Items Cons.'!L$5:L$3360,'J Book Items Cons.'!E$5:E$3360,7,'J Book Items Cons.'!S$5:S$3360,"",'J Book Items Cons.'!U$5:U$3360,"USN",'J Book Items Cons.'!W$5:W$3360,"Amphibious Warfare Craft",'J Book Items Cons.'!R$5:R$3360,"",'J Book Items Cons.'!N$5:N$3360,"")+SUMIFS('J Book Items Cons.'!R$5:R$3360,'J Book Items Cons.'!E$5:E$3360,7,'J Book Items Cons.'!S$5:S$3360,"[PARENT]",'J Book Items Cons.'!U$5:U$3360,"USN",'J Book Items Cons.'!W$5:W$3360,"Amphibious Warfare Craft",'J Book Items Cons.'!R$5:R$3360,"&lt;&gt;")+SUMIFS('J Book Items Cons.'!N$5:N$3360,'J Book Items Cons.'!E$5:E$3360,7,'J Book Items Cons.'!S$5:S$3360,"[PARENT]",'J Book Items Cons.'!U$5:U$3360,"USN",'J Book Items Cons.'!W$5:W$3360,"Amphibious Warfare Craft",'J Book Items Cons.'!R$5:R$3360,"",'J Book Items Cons.'!N$5:N$3360,"&lt;&gt;")+SUMIFS('J Book Items Cons.'!L$5:L$3360,'J Book Items Cons.'!E$5:E$3360,7,'J Book Items Cons.'!S$5:S$3360,"[PARENT]",'J Book Items Cons.'!U$5:U$3360,"USN",'J Book Items Cons.'!W$5:W$3360,"Amphibious Warfare Craft",'J Book Items Cons.'!R$5:R$3360,"",'J Book Items Cons.'!N$5:N$3360,"")</f>
        <v>0</v>
      </c>
      <c r="J50" s="14">
        <f>SUMIFS('J Book Items Cons.'!R$5:R$3360,'J Book Items Cons.'!E$5:E$3360,7,'J Book Items Cons.'!S$5:S$3360,"",'J Book Items Cons.'!U$5:U$3360,"MSC",'J Book Items Cons.'!W$5:W$3360,"Cargo &amp; Vehicle Cargo Ships",'J Book Items Cons.'!R$5:R$3360,"&lt;&gt;")+SUMIFS('J Book Items Cons.'!N$5:N$3360,'J Book Items Cons.'!E$5:E$3360,7,'J Book Items Cons.'!S$5:S$3360,"",'J Book Items Cons.'!U$5:U$3360,"MSC",'J Book Items Cons.'!W$5:W$3360,"Cargo &amp; Vehicle Cargo Ships",'J Book Items Cons.'!R$5:R$3360,"",'J Book Items Cons.'!N$5:N$3360,"&lt;&gt;")+SUMIFS('J Book Items Cons.'!L$5:L$3360,'J Book Items Cons.'!E$5:E$3360,7,'J Book Items Cons.'!S$5:S$3360,"",'J Book Items Cons.'!U$5:U$3360,"MSC",'J Book Items Cons.'!W$5:W$3360,"Cargo &amp; Vehicle Cargo Ships",'J Book Items Cons.'!R$5:R$3360,"",'J Book Items Cons.'!N$5:N$3360,"")+SUMIFS('J Book Items Cons.'!R$5:R$3360,'J Book Items Cons.'!E$5:E$3360,7,'J Book Items Cons.'!S$5:S$3360,"[PARENT]",'J Book Items Cons.'!U$5:U$3360,"MSC",'J Book Items Cons.'!W$5:W$3360,"Cargo &amp; Vehicle Cargo Ships",'J Book Items Cons.'!R$5:R$3360,"&lt;&gt;")+SUMIFS('J Book Items Cons.'!N$5:N$3360,'J Book Items Cons.'!E$5:E$3360,7,'J Book Items Cons.'!S$5:S$3360,"[PARENT]",'J Book Items Cons.'!U$5:U$3360,"MSC",'J Book Items Cons.'!W$5:W$3360,"Cargo &amp; Vehicle Cargo Ships",'J Book Items Cons.'!R$5:R$3360,"",'J Book Items Cons.'!N$5:N$3360,"&lt;&gt;")+SUMIFS('J Book Items Cons.'!L$5:L$3360,'J Book Items Cons.'!E$5:E$3360,7,'J Book Items Cons.'!S$5:S$3360,"[PARENT]",'J Book Items Cons.'!U$5:U$3360,"MSC",'J Book Items Cons.'!W$5:W$3360,"Cargo &amp; Vehicle Cargo Ships",'J Book Items Cons.'!R$5:R$3360,"",'J Book Items Cons.'!N$5:N$3360,"")</f>
        <v>0</v>
      </c>
      <c r="K50" s="14">
        <f>SUMIFS('J Book Items Cons.'!R$5:R$3360,'J Book Items Cons.'!E$5:E$3360,7,'J Book Items Cons.'!S$5:S$3360,"",'J Book Items Cons.'!U$5:U$3360,"MSC",'J Book Items Cons.'!W$5:W$3360,"Surveillance Ships",'J Book Items Cons.'!R$5:R$3360,"&lt;&gt;")+SUMIFS('J Book Items Cons.'!N$5:N$3360,'J Book Items Cons.'!E$5:E$3360,7,'J Book Items Cons.'!S$5:S$3360,"",'J Book Items Cons.'!U$5:U$3360,"MSC",'J Book Items Cons.'!W$5:W$3360,"Surveillance Ships",'J Book Items Cons.'!R$5:R$3360,"",'J Book Items Cons.'!N$5:N$3360,"&lt;&gt;")+SUMIFS('J Book Items Cons.'!L$5:L$3360,'J Book Items Cons.'!E$5:E$3360,7,'J Book Items Cons.'!S$5:S$3360,"",'J Book Items Cons.'!U$5:U$3360,"MSC",'J Book Items Cons.'!W$5:W$3360,"Surveillance Ships",'J Book Items Cons.'!R$5:R$3360,"",'J Book Items Cons.'!N$5:N$3360,"")+SUMIFS('J Book Items Cons.'!R$5:R$3360,'J Book Items Cons.'!E$5:E$3360,7,'J Book Items Cons.'!S$5:S$3360,"[PARENT]",'J Book Items Cons.'!U$5:U$3360,"MSC",'J Book Items Cons.'!W$5:W$3360,"Surveillance Ships",'J Book Items Cons.'!R$5:R$3360,"&lt;&gt;")+SUMIFS('J Book Items Cons.'!N$5:N$3360,'J Book Items Cons.'!E$5:E$3360,7,'J Book Items Cons.'!S$5:S$3360,"[PARENT]",'J Book Items Cons.'!U$5:U$3360,"MSC",'J Book Items Cons.'!W$5:W$3360,"Surveillance Ships",'J Book Items Cons.'!R$5:R$3360,"",'J Book Items Cons.'!N$5:N$3360,"&lt;&gt;")+SUMIFS('J Book Items Cons.'!L$5:L$3360,'J Book Items Cons.'!E$5:E$3360,7,'J Book Items Cons.'!S$5:S$3360,"[PARENT]",'J Book Items Cons.'!U$5:U$3360,"MSC",'J Book Items Cons.'!W$5:W$3360,"Surveillance Ships",'J Book Items Cons.'!R$5:R$3360,"",'J Book Items Cons.'!N$5:N$3360,"")</f>
        <v>0</v>
      </c>
      <c r="L50" s="14">
        <f>SUMIFS('J Book Items Cons.'!R$5:R$3360,'J Book Items Cons.'!E$5:E$3360,7,'J Book Items Cons.'!S$5:S$3360,"",'J Book Items Cons.'!U$5:U$3360,"USN",'J Book Items Cons.'!W$5:W$3360,"Unmanned Undersea Vehicles",'J Book Items Cons.'!R$5:R$3360,"&lt;&gt;")+SUMIFS('J Book Items Cons.'!N$5:N$3360,'J Book Items Cons.'!E$5:E$3360,7,'J Book Items Cons.'!S$5:S$3360,"",'J Book Items Cons.'!U$5:U$3360,"USN",'J Book Items Cons.'!W$5:W$3360,"Unmanned Undersea Vehicles",'J Book Items Cons.'!R$5:R$3360,"",'J Book Items Cons.'!N$5:N$3360,"&lt;&gt;")+SUMIFS('J Book Items Cons.'!L$5:L$3360,'J Book Items Cons.'!E$5:E$3360,7,'J Book Items Cons.'!S$5:S$3360,"",'J Book Items Cons.'!U$5:U$3360,"USN",'J Book Items Cons.'!W$5:W$3360,"Unmanned Undersea Vehicles",'J Book Items Cons.'!R$5:R$3360,"",'J Book Items Cons.'!N$5:N$3360,"")+SUMIFS('J Book Items Cons.'!R$5:R$3360,'J Book Items Cons.'!E$5:E$3360,7,'J Book Items Cons.'!S$5:S$3360,"[PARENT]",'J Book Items Cons.'!U$5:U$3360,"USN",'J Book Items Cons.'!W$5:W$3360,"Unmanned Undersea Vehicles",'J Book Items Cons.'!R$5:R$3360,"&lt;&gt;")+SUMIFS('J Book Items Cons.'!N$5:N$3360,'J Book Items Cons.'!E$5:E$3360,7,'J Book Items Cons.'!S$5:S$3360,"[PARENT]",'J Book Items Cons.'!U$5:U$3360,"USN",'J Book Items Cons.'!W$5:W$3360,"Unmanned Undersea Vehicles",'J Book Items Cons.'!R$5:R$3360,"",'J Book Items Cons.'!N$5:N$3360,"&lt;&gt;")+SUMIFS('J Book Items Cons.'!L$5:L$3360,'J Book Items Cons.'!E$5:E$3360,7,'J Book Items Cons.'!S$5:S$3360,"[PARENT]",'J Book Items Cons.'!U$5:U$3360,"USN",'J Book Items Cons.'!W$5:W$3360,"Unmanned Undersea Vehicles",'J Book Items Cons.'!R$5:R$3360,"",'J Book Items Cons.'!N$5:N$3360,"")</f>
        <v>0</v>
      </c>
      <c r="M50" s="14">
        <f>SUMIFS('J Book Items Cons.'!R$5:R$3360,'J Book Items Cons.'!E$5:E$3360,7,'J Book Items Cons.'!S$5:S$3360,"",'J Book Items Cons.'!U$5:U$3360,"MSC",'J Book Items Cons.'!W$5:W$3360,"Salvage Ships &amp; Fleet Ocean Tugs",'J Book Items Cons.'!R$5:R$3360,"&lt;&gt;")+SUMIFS('J Book Items Cons.'!N$5:N$3360,'J Book Items Cons.'!E$5:E$3360,7,'J Book Items Cons.'!S$5:S$3360,"",'J Book Items Cons.'!U$5:U$3360,"MSC",'J Book Items Cons.'!W$5:W$3360,"Salvage Ships &amp; Fleet Ocean Tugs",'J Book Items Cons.'!R$5:R$3360,"",'J Book Items Cons.'!N$5:N$3360,"&lt;&gt;")+SUMIFS('J Book Items Cons.'!L$5:L$3360,'J Book Items Cons.'!E$5:E$3360,7,'J Book Items Cons.'!S$5:S$3360,"",'J Book Items Cons.'!U$5:U$3360,"MSC",'J Book Items Cons.'!W$5:W$3360,"Salvage Ships &amp; Fleet Ocean Tugs",'J Book Items Cons.'!R$5:R$3360,"",'J Book Items Cons.'!N$5:N$3360,"")+SUMIFS('J Book Items Cons.'!R$5:R$3360,'J Book Items Cons.'!E$5:E$3360,7,'J Book Items Cons.'!S$5:S$3360,"[PARENT]",'J Book Items Cons.'!U$5:U$3360,"MSC",'J Book Items Cons.'!W$5:W$3360,"Salvage Ships &amp; Fleet Ocean Tugs",'J Book Items Cons.'!R$5:R$3360,"&lt;&gt;")+SUMIFS('J Book Items Cons.'!N$5:N$3360,'J Book Items Cons.'!E$5:E$3360,7,'J Book Items Cons.'!S$5:S$3360,"[PARENT]",'J Book Items Cons.'!U$5:U$3360,"MSC",'J Book Items Cons.'!W$5:W$3360,"Salvage Ships &amp; Fleet Ocean Tugs",'J Book Items Cons.'!R$5:R$3360,"",'J Book Items Cons.'!N$5:N$3360,"&lt;&gt;")+SUMIFS('J Book Items Cons.'!L$5:L$3360,'J Book Items Cons.'!E$5:E$3360,7,'J Book Items Cons.'!S$5:S$3360,"[PARENT]",'J Book Items Cons.'!U$5:U$3360,"MSC",'J Book Items Cons.'!W$5:W$3360,"Salvage Ships &amp; Fleet Ocean Tugs",'J Book Items Cons.'!R$5:R$3360,"",'J Book Items Cons.'!N$5:N$3360,"")</f>
        <v>0</v>
      </c>
      <c r="N50" s="14">
        <f>SUMIFS('J Book Items Cons.'!R$5:R$3360,'J Book Items Cons.'!E$5:E$3360,7,'J Book Items Cons.'!S$5:S$3360,"",'J Book Items Cons.'!U$5:U$3360,"USN",'J Book Items Cons.'!W$5:W$3360,"Other Craft, Non-Self-Propelled",'J Book Items Cons.'!R$5:R$3360,"&lt;&gt;")+SUMIFS('J Book Items Cons.'!N$5:N$3360,'J Book Items Cons.'!E$5:E$3360,7,'J Book Items Cons.'!S$5:S$3360,"",'J Book Items Cons.'!U$5:U$3360,"USN",'J Book Items Cons.'!W$5:W$3360,"Other Craft, Non-Self-Propelled",'J Book Items Cons.'!R$5:R$3360,"",'J Book Items Cons.'!N$5:N$3360,"&lt;&gt;")+SUMIFS('J Book Items Cons.'!L$5:L$3360,'J Book Items Cons.'!E$5:E$3360,7,'J Book Items Cons.'!S$5:S$3360,"",'J Book Items Cons.'!U$5:U$3360,"USN",'J Book Items Cons.'!W$5:W$3360,"Other Craft, Non-Self-Propelled",'J Book Items Cons.'!R$5:R$3360,"",'J Book Items Cons.'!N$5:N$3360,"")+SUMIFS('J Book Items Cons.'!R$5:R$3360,'J Book Items Cons.'!E$5:E$3360,7,'J Book Items Cons.'!S$5:S$3360,"[PARENT]",'J Book Items Cons.'!U$5:U$3360,"USN",'J Book Items Cons.'!W$5:W$3360,"Other Craft, Non-Self-Propelled",'J Book Items Cons.'!R$5:R$3360,"&lt;&gt;")+SUMIFS('J Book Items Cons.'!N$5:N$3360,'J Book Items Cons.'!E$5:E$3360,7,'J Book Items Cons.'!S$5:S$3360,"[PARENT]",'J Book Items Cons.'!U$5:U$3360,"USN",'J Book Items Cons.'!W$5:W$3360,"Other Craft, Non-Self-Propelled",'J Book Items Cons.'!R$5:R$3360,"",'J Book Items Cons.'!N$5:N$3360,"&lt;&gt;")+SUMIFS('J Book Items Cons.'!L$5:L$3360,'J Book Items Cons.'!E$5:E$3360,7,'J Book Items Cons.'!S$5:S$3360,"[PARENT]",'J Book Items Cons.'!U$5:U$3360,"USN",'J Book Items Cons.'!W$5:W$3360,"Other Craft, Non-Self-Propelled",'J Book Items Cons.'!R$5:R$3360,"",'J Book Items Cons.'!N$5:N$3360,"")</f>
        <v>0</v>
      </c>
      <c r="O50" s="14">
        <f>SUMIFS('J Book Items Cons.'!R$5:R$3360,'J Book Items Cons.'!E$5:E$3360,7,'J Book Items Cons.'!S$5:S$3360,"",'J Book Items Cons.'!U$5:U$3360,"USN",'J Book Items Cons.'!W$5:W$3360,"Command Ships",'J Book Items Cons.'!R$5:R$3360,"&lt;&gt;")+SUMIFS('J Book Items Cons.'!N$5:N$3360,'J Book Items Cons.'!E$5:E$3360,7,'J Book Items Cons.'!S$5:S$3360,"",'J Book Items Cons.'!U$5:U$3360,"USN",'J Book Items Cons.'!W$5:W$3360,"Command Ships",'J Book Items Cons.'!R$5:R$3360,"",'J Book Items Cons.'!N$5:N$3360,"&lt;&gt;")+SUMIFS('J Book Items Cons.'!L$5:L$3360,'J Book Items Cons.'!E$5:E$3360,7,'J Book Items Cons.'!S$5:S$3360,"",'J Book Items Cons.'!U$5:U$3360,"USN",'J Book Items Cons.'!W$5:W$3360,"Command Ships",'J Book Items Cons.'!R$5:R$3360,"",'J Book Items Cons.'!N$5:N$3360,"")+SUMIFS('J Book Items Cons.'!R$5:R$3360,'J Book Items Cons.'!E$5:E$3360,7,'J Book Items Cons.'!S$5:S$3360,"[PARENT]",'J Book Items Cons.'!U$5:U$3360,"USN",'J Book Items Cons.'!W$5:W$3360,"Command Ships",'J Book Items Cons.'!R$5:R$3360,"&lt;&gt;")+SUMIFS('J Book Items Cons.'!N$5:N$3360,'J Book Items Cons.'!E$5:E$3360,7,'J Book Items Cons.'!S$5:S$3360,"[PARENT]",'J Book Items Cons.'!U$5:U$3360,"USN",'J Book Items Cons.'!W$5:W$3360,"Command Ships",'J Book Items Cons.'!R$5:R$3360,"",'J Book Items Cons.'!N$5:N$3360,"&lt;&gt;")+SUMIFS('J Book Items Cons.'!L$5:L$3360,'J Book Items Cons.'!E$5:E$3360,7,'J Book Items Cons.'!S$5:S$3360,"[PARENT]",'J Book Items Cons.'!U$5:U$3360,"USN",'J Book Items Cons.'!W$5:W$3360,"Command Ships",'J Book Items Cons.'!R$5:R$3360,"",'J Book Items Cons.'!N$5:N$3360,"")</f>
        <v>0</v>
      </c>
      <c r="P50" s="14">
        <f>SUMIFS('J Book Items Cons.'!R$5:R$3360,'J Book Items Cons.'!E$5:E$3360,7,'J Book Items Cons.'!S$5:S$3360,"",'J Book Items Cons.'!U$5:U$3360,"USN",'J Book Items Cons.'!W$5:W$3360,"Mine Warfare",'J Book Items Cons.'!R$5:R$3360,"&lt;&gt;")+SUMIFS('J Book Items Cons.'!N$5:N$3360,'J Book Items Cons.'!E$5:E$3360,7,'J Book Items Cons.'!S$5:S$3360,"",'J Book Items Cons.'!U$5:U$3360,"USN",'J Book Items Cons.'!W$5:W$3360,"Mine Warfare",'J Book Items Cons.'!R$5:R$3360,"",'J Book Items Cons.'!N$5:N$3360,"&lt;&gt;")+SUMIFS('J Book Items Cons.'!L$5:L$3360,'J Book Items Cons.'!E$5:E$3360,7,'J Book Items Cons.'!S$5:S$3360,"",'J Book Items Cons.'!U$5:U$3360,"USN",'J Book Items Cons.'!W$5:W$3360,"Mine Warfare",'J Book Items Cons.'!R$5:R$3360,"",'J Book Items Cons.'!N$5:N$3360,"")+SUMIFS('J Book Items Cons.'!R$5:R$3360,'J Book Items Cons.'!E$5:E$3360,7,'J Book Items Cons.'!S$5:S$3360,"[PARENT]",'J Book Items Cons.'!U$5:U$3360,"USN",'J Book Items Cons.'!W$5:W$3360,"Mine Warfare",'J Book Items Cons.'!R$5:R$3360,"&lt;&gt;")+SUMIFS('J Book Items Cons.'!N$5:N$3360,'J Book Items Cons.'!E$5:E$3360,7,'J Book Items Cons.'!S$5:S$3360,"[PARENT]",'J Book Items Cons.'!U$5:U$3360,"USN",'J Book Items Cons.'!W$5:W$3360,"Mine Warfare",'J Book Items Cons.'!R$5:R$3360,"",'J Book Items Cons.'!N$5:N$3360,"&lt;&gt;")+SUMIFS('J Book Items Cons.'!L$5:L$3360,'J Book Items Cons.'!E$5:E$3360,7,'J Book Items Cons.'!S$5:S$3360,"[PARENT]",'J Book Items Cons.'!U$5:U$3360,"USN",'J Book Items Cons.'!W$5:W$3360,"Mine Warfare",'J Book Items Cons.'!R$5:R$3360,"",'J Book Items Cons.'!N$5:N$3360,"")</f>
        <v>0</v>
      </c>
      <c r="Q50" s="14">
        <f>SUMIFS('J Book Items Cons.'!R$5:R$3360,'J Book Items Cons.'!E$5:E$3360,7,'J Book Items Cons.'!S$5:S$3360,"",'J Book Items Cons.'!U$5:U$3360,"USN",'J Book Items Cons.'!W$5:W$3360,"Patrol Combatant",'J Book Items Cons.'!R$5:R$3360,"&lt;&gt;")+SUMIFS('J Book Items Cons.'!N$5:N$3360,'J Book Items Cons.'!E$5:E$3360,7,'J Book Items Cons.'!S$5:S$3360,"",'J Book Items Cons.'!U$5:U$3360,"USN",'J Book Items Cons.'!W$5:W$3360,"Patrol Combatant",'J Book Items Cons.'!R$5:R$3360,"",'J Book Items Cons.'!N$5:N$3360,"&lt;&gt;")+SUMIFS('J Book Items Cons.'!L$5:L$3360,'J Book Items Cons.'!E$5:E$3360,7,'J Book Items Cons.'!S$5:S$3360,"",'J Book Items Cons.'!U$5:U$3360,"USN",'J Book Items Cons.'!W$5:W$3360,"Patrol Combatant",'J Book Items Cons.'!R$5:R$3360,"",'J Book Items Cons.'!N$5:N$3360,"")+SUMIFS('J Book Items Cons.'!R$5:R$3360,'J Book Items Cons.'!E$5:E$3360,7,'J Book Items Cons.'!S$5:S$3360,"[PARENT]",'J Book Items Cons.'!U$5:U$3360,"USN",'J Book Items Cons.'!W$5:W$3360,"Patrol Combatant",'J Book Items Cons.'!R$5:R$3360,"&lt;&gt;")+SUMIFS('J Book Items Cons.'!N$5:N$3360,'J Book Items Cons.'!E$5:E$3360,7,'J Book Items Cons.'!S$5:S$3360,"[PARENT]",'J Book Items Cons.'!U$5:U$3360,"USN",'J Book Items Cons.'!W$5:W$3360,"Patrol Combatant",'J Book Items Cons.'!R$5:R$3360,"",'J Book Items Cons.'!N$5:N$3360,"&lt;&gt;")+SUMIFS('J Book Items Cons.'!L$5:L$3360,'J Book Items Cons.'!E$5:E$3360,7,'J Book Items Cons.'!S$5:S$3360,"[PARENT]",'J Book Items Cons.'!U$5:U$3360,"USN",'J Book Items Cons.'!W$5:W$3360,"Patrol Combatant",'J Book Items Cons.'!R$5:R$3360,"",'J Book Items Cons.'!N$5:N$3360,"")</f>
        <v>0</v>
      </c>
      <c r="R50" s="14">
        <f>SUMIFS('J Book Items Cons.'!R$5:R$3360,'J Book Items Cons.'!E$5:E$3360,7,'J Book Items Cons.'!S$5:S$3360,"",'J Book Items Cons.'!U$5:U$3360,"USN",'J Book Items Cons.'!W$5:W$3360,"Aviation Logistics Support Ship",'J Book Items Cons.'!R$5:R$3360,"&lt;&gt;")+SUMIFS('J Book Items Cons.'!N$5:N$3360,'J Book Items Cons.'!E$5:E$3360,7,'J Book Items Cons.'!S$5:S$3360,"",'J Book Items Cons.'!U$5:U$3360,"USN",'J Book Items Cons.'!W$5:W$3360,"Aviation Logistics Support Ship",'J Book Items Cons.'!R$5:R$3360,"",'J Book Items Cons.'!N$5:N$3360,"&lt;&gt;")+SUMIFS('J Book Items Cons.'!L$5:L$3360,'J Book Items Cons.'!E$5:E$3360,7,'J Book Items Cons.'!S$5:S$3360,"",'J Book Items Cons.'!U$5:U$3360,"USN",'J Book Items Cons.'!W$5:W$3360,"Aviation Logistics Support Ship",'J Book Items Cons.'!R$5:R$3360,"",'J Book Items Cons.'!N$5:N$3360,"")+SUMIFS('J Book Items Cons.'!R$5:R$3360,'J Book Items Cons.'!E$5:E$3360,7,'J Book Items Cons.'!S$5:S$3360,"[PARENT]",'J Book Items Cons.'!U$5:U$3360,"USN",'J Book Items Cons.'!W$5:W$3360,"Aviation Logistics Support Ship",'J Book Items Cons.'!R$5:R$3360,"&lt;&gt;")+SUMIFS('J Book Items Cons.'!N$5:N$3360,'J Book Items Cons.'!E$5:E$3360,7,'J Book Items Cons.'!S$5:S$3360,"[PARENT]",'J Book Items Cons.'!U$5:U$3360,"USN",'J Book Items Cons.'!W$5:W$3360,"Aviation Logistics Support Ship",'J Book Items Cons.'!R$5:R$3360,"",'J Book Items Cons.'!N$5:N$3360,"&lt;&gt;")+SUMIFS('J Book Items Cons.'!L$5:L$3360,'J Book Items Cons.'!E$5:E$3360,7,'J Book Items Cons.'!S$5:S$3360,"[PARENT]",'J Book Items Cons.'!U$5:U$3360,"USN",'J Book Items Cons.'!W$5:W$3360,"Aviation Logistics Support Ship",'J Book Items Cons.'!R$5:R$3360,"",'J Book Items Cons.'!N$5:N$3360,"")</f>
        <v>0</v>
      </c>
      <c r="S50" s="14">
        <f>SUMIFS('J Book Items Cons.'!R$5:R$3360,'J Book Items Cons.'!E$5:E$3360,7,'J Book Items Cons.'!S$5:S$3360,"",'J Book Items Cons.'!U$5:U$3360,"USN",'J Book Items Cons.'!W$5:W$3360,"Cargo &amp; Vehicle Cargo Ships",'J Book Items Cons.'!R$5:R$3360,"&lt;&gt;")+SUMIFS('J Book Items Cons.'!N$5:N$3360,'J Book Items Cons.'!E$5:E$3360,7,'J Book Items Cons.'!S$5:S$3360,"",'J Book Items Cons.'!U$5:U$3360,"USN",'J Book Items Cons.'!W$5:W$3360,"Cargo &amp; Vehicle Cargo Ships",'J Book Items Cons.'!R$5:R$3360,"",'J Book Items Cons.'!N$5:N$3360,"&lt;&gt;")+SUMIFS('J Book Items Cons.'!L$5:L$3360,'J Book Items Cons.'!E$5:E$3360,7,'J Book Items Cons.'!S$5:S$3360,"",'J Book Items Cons.'!U$5:U$3360,"USN",'J Book Items Cons.'!W$5:W$3360,"Cargo &amp; Vehicle Cargo Ships",'J Book Items Cons.'!R$5:R$3360,"",'J Book Items Cons.'!N$5:N$3360,"")+SUMIFS('J Book Items Cons.'!R$5:R$3360,'J Book Items Cons.'!E$5:E$3360,7,'J Book Items Cons.'!S$5:S$3360,"[PARENT]",'J Book Items Cons.'!U$5:U$3360,"USN",'J Book Items Cons.'!W$5:W$3360,"Cargo &amp; Vehicle Cargo Ships",'J Book Items Cons.'!R$5:R$3360,"&lt;&gt;")+SUMIFS('J Book Items Cons.'!N$5:N$3360,'J Book Items Cons.'!E$5:E$3360,7,'J Book Items Cons.'!S$5:S$3360,"[PARENT]",'J Book Items Cons.'!U$5:U$3360,"USN",'J Book Items Cons.'!W$5:W$3360,"Cargo &amp; Vehicle Cargo Ships",'J Book Items Cons.'!R$5:R$3360,"",'J Book Items Cons.'!N$5:N$3360,"&lt;&gt;")+SUMIFS('J Book Items Cons.'!L$5:L$3360,'J Book Items Cons.'!E$5:E$3360,7,'J Book Items Cons.'!S$5:S$3360,"[PARENT]",'J Book Items Cons.'!U$5:U$3360,"USN",'J Book Items Cons.'!W$5:W$3360,"Cargo &amp; Vehicle Cargo Ships",'J Book Items Cons.'!R$5:R$3360,"",'J Book Items Cons.'!N$5:N$3360,"")</f>
        <v>0</v>
      </c>
      <c r="T50" s="14">
        <f>SUMIFS('J Book Items Cons.'!R$5:R$3360,'J Book Items Cons.'!E$5:E$3360,7,'J Book Items Cons.'!S$5:S$3360,"",'J Book Items Cons.'!U$5:U$3360,"USN",'J Book Items Cons.'!W$5:W$3360,"Combat Logistics Ships",'J Book Items Cons.'!R$5:R$3360,"&lt;&gt;")+SUMIFS('J Book Items Cons.'!N$5:N$3360,'J Book Items Cons.'!E$5:E$3360,7,'J Book Items Cons.'!S$5:S$3360,"",'J Book Items Cons.'!U$5:U$3360,"USN",'J Book Items Cons.'!W$5:W$3360,"Combat Logistics Ships",'J Book Items Cons.'!R$5:R$3360,"",'J Book Items Cons.'!N$5:N$3360,"&lt;&gt;")+SUMIFS('J Book Items Cons.'!L$5:L$3360,'J Book Items Cons.'!E$5:E$3360,7,'J Book Items Cons.'!S$5:S$3360,"",'J Book Items Cons.'!U$5:U$3360,"USN",'J Book Items Cons.'!W$5:W$3360,"Combat Logistics Ships",'J Book Items Cons.'!R$5:R$3360,"",'J Book Items Cons.'!N$5:N$3360,"")+SUMIFS('J Book Items Cons.'!R$5:R$3360,'J Book Items Cons.'!E$5:E$3360,7,'J Book Items Cons.'!S$5:S$3360,"[PARENT]",'J Book Items Cons.'!U$5:U$3360,"USN",'J Book Items Cons.'!W$5:W$3360,"Combat Logistics Ships",'J Book Items Cons.'!R$5:R$3360,"&lt;&gt;")+SUMIFS('J Book Items Cons.'!N$5:N$3360,'J Book Items Cons.'!E$5:E$3360,7,'J Book Items Cons.'!S$5:S$3360,"[PARENT]",'J Book Items Cons.'!U$5:U$3360,"USN",'J Book Items Cons.'!W$5:W$3360,"Combat Logistics Ships",'J Book Items Cons.'!R$5:R$3360,"",'J Book Items Cons.'!N$5:N$3360,"&lt;&gt;")+SUMIFS('J Book Items Cons.'!L$5:L$3360,'J Book Items Cons.'!E$5:E$3360,7,'J Book Items Cons.'!S$5:S$3360,"[PARENT]",'J Book Items Cons.'!U$5:U$3360,"USN",'J Book Items Cons.'!W$5:W$3360,"Combat Logistics Ships",'J Book Items Cons.'!R$5:R$3360,"",'J Book Items Cons.'!N$5:N$3360,"")</f>
        <v>0</v>
      </c>
      <c r="U50" s="14">
        <f>SUMIFS('J Book Items Cons.'!R$5:R$3360,'J Book Items Cons.'!E$5:E$3360,7,'J Book Items Cons.'!S$5:S$3360,"",'J Book Items Cons.'!U$5:U$3360,"USN",'J Book Items Cons.'!W$5:W$3360,"Crane Ship",'J Book Items Cons.'!R$5:R$3360,"&lt;&gt;")+SUMIFS('J Book Items Cons.'!N$5:N$3360,'J Book Items Cons.'!E$5:E$3360,7,'J Book Items Cons.'!S$5:S$3360,"",'J Book Items Cons.'!U$5:U$3360,"USN",'J Book Items Cons.'!W$5:W$3360,"Crane Ship",'J Book Items Cons.'!R$5:R$3360,"",'J Book Items Cons.'!N$5:N$3360,"&lt;&gt;")+SUMIFS('J Book Items Cons.'!L$5:L$3360,'J Book Items Cons.'!E$5:E$3360,7,'J Book Items Cons.'!S$5:S$3360,"",'J Book Items Cons.'!U$5:U$3360,"USN",'J Book Items Cons.'!W$5:W$3360,"Crane Ship",'J Book Items Cons.'!R$5:R$3360,"",'J Book Items Cons.'!N$5:N$3360,"")+SUMIFS('J Book Items Cons.'!R$5:R$3360,'J Book Items Cons.'!E$5:E$3360,7,'J Book Items Cons.'!S$5:S$3360,"[PARENT]",'J Book Items Cons.'!U$5:U$3360,"USN",'J Book Items Cons.'!W$5:W$3360,"Crane Ship",'J Book Items Cons.'!R$5:R$3360,"&lt;&gt;")+SUMIFS('J Book Items Cons.'!N$5:N$3360,'J Book Items Cons.'!E$5:E$3360,7,'J Book Items Cons.'!S$5:S$3360,"[PARENT]",'J Book Items Cons.'!U$5:U$3360,"USN",'J Book Items Cons.'!W$5:W$3360,"Crane Ship",'J Book Items Cons.'!R$5:R$3360,"",'J Book Items Cons.'!N$5:N$3360,"&lt;&gt;")+SUMIFS('J Book Items Cons.'!L$5:L$3360,'J Book Items Cons.'!E$5:E$3360,7,'J Book Items Cons.'!S$5:S$3360,"[PARENT]",'J Book Items Cons.'!U$5:U$3360,"USN",'J Book Items Cons.'!W$5:W$3360,"Crane Ship",'J Book Items Cons.'!R$5:R$3360,"",'J Book Items Cons.'!N$5:N$3360,"")</f>
        <v>0</v>
      </c>
      <c r="V50" s="14">
        <f>SUMIFS('J Book Items Cons.'!R$5:R$3360,'J Book Items Cons.'!E$5:E$3360,7,'J Book Items Cons.'!S$5:S$3360,"",'J Book Items Cons.'!U$5:U$3360,"USN",'J Book Items Cons.'!W$5:W$3360,"General Auxiliary",'J Book Items Cons.'!R$5:R$3360,"&lt;&gt;")+SUMIFS('J Book Items Cons.'!N$5:N$3360,'J Book Items Cons.'!E$5:E$3360,7,'J Book Items Cons.'!S$5:S$3360,"",'J Book Items Cons.'!U$5:U$3360,"USN",'J Book Items Cons.'!W$5:W$3360,"General Auxiliary",'J Book Items Cons.'!R$5:R$3360,"",'J Book Items Cons.'!N$5:N$3360,"&lt;&gt;")+SUMIFS('J Book Items Cons.'!L$5:L$3360,'J Book Items Cons.'!E$5:E$3360,7,'J Book Items Cons.'!S$5:S$3360,"",'J Book Items Cons.'!U$5:U$3360,"USN",'J Book Items Cons.'!W$5:W$3360,"General Auxiliary",'J Book Items Cons.'!R$5:R$3360,"",'J Book Items Cons.'!N$5:N$3360,"")+SUMIFS('J Book Items Cons.'!R$5:R$3360,'J Book Items Cons.'!E$5:E$3360,7,'J Book Items Cons.'!S$5:S$3360,"[PARENT]",'J Book Items Cons.'!U$5:U$3360,"USN",'J Book Items Cons.'!W$5:W$3360,"General Auxiliary",'J Book Items Cons.'!R$5:R$3360,"&lt;&gt;")+SUMIFS('J Book Items Cons.'!N$5:N$3360,'J Book Items Cons.'!E$5:E$3360,7,'J Book Items Cons.'!S$5:S$3360,"[PARENT]",'J Book Items Cons.'!U$5:U$3360,"USN",'J Book Items Cons.'!W$5:W$3360,"General Auxiliary",'J Book Items Cons.'!R$5:R$3360,"",'J Book Items Cons.'!N$5:N$3360,"&lt;&gt;")+SUMIFS('J Book Items Cons.'!L$5:L$3360,'J Book Items Cons.'!E$5:E$3360,7,'J Book Items Cons.'!S$5:S$3360,"[PARENT]",'J Book Items Cons.'!U$5:U$3360,"USN",'J Book Items Cons.'!W$5:W$3360,"General Auxiliary",'J Book Items Cons.'!R$5:R$3360,"",'J Book Items Cons.'!N$5:N$3360,"")</f>
        <v>0</v>
      </c>
      <c r="W50" s="14">
        <f>SUMIFS('J Book Items Cons.'!R$5:R$3360,'J Book Items Cons.'!E$5:E$3360,7,'J Book Items Cons.'!S$5:S$3360,"",'J Book Items Cons.'!U$5:U$3360,"USN",'J Book Items Cons.'!W$5:W$3360,"High Speed Transport",'J Book Items Cons.'!R$5:R$3360,"&lt;&gt;")+SUMIFS('J Book Items Cons.'!N$5:N$3360,'J Book Items Cons.'!E$5:E$3360,7,'J Book Items Cons.'!S$5:S$3360,"",'J Book Items Cons.'!U$5:U$3360,"USN",'J Book Items Cons.'!W$5:W$3360,"High Speed Transport",'J Book Items Cons.'!R$5:R$3360,"",'J Book Items Cons.'!N$5:N$3360,"&lt;&gt;")+SUMIFS('J Book Items Cons.'!L$5:L$3360,'J Book Items Cons.'!E$5:E$3360,7,'J Book Items Cons.'!S$5:S$3360,"",'J Book Items Cons.'!U$5:U$3360,"USN",'J Book Items Cons.'!W$5:W$3360,"High Speed Transport",'J Book Items Cons.'!R$5:R$3360,"",'J Book Items Cons.'!N$5:N$3360,"")+SUMIFS('J Book Items Cons.'!R$5:R$3360,'J Book Items Cons.'!E$5:E$3360,7,'J Book Items Cons.'!S$5:S$3360,"[PARENT]",'J Book Items Cons.'!U$5:U$3360,"USN",'J Book Items Cons.'!W$5:W$3360,"High Speed Transport",'J Book Items Cons.'!R$5:R$3360,"&lt;&gt;")+SUMIFS('J Book Items Cons.'!N$5:N$3360,'J Book Items Cons.'!E$5:E$3360,7,'J Book Items Cons.'!S$5:S$3360,"[PARENT]",'J Book Items Cons.'!U$5:U$3360,"USN",'J Book Items Cons.'!W$5:W$3360,"High Speed Transport",'J Book Items Cons.'!R$5:R$3360,"",'J Book Items Cons.'!N$5:N$3360,"&lt;&gt;")+SUMIFS('J Book Items Cons.'!L$5:L$3360,'J Book Items Cons.'!E$5:E$3360,7,'J Book Items Cons.'!S$5:S$3360,"[PARENT]",'J Book Items Cons.'!U$5:U$3360,"USN",'J Book Items Cons.'!W$5:W$3360,"High Speed Transport",'J Book Items Cons.'!R$5:R$3360,"",'J Book Items Cons.'!N$5:N$3360,"")</f>
        <v>0</v>
      </c>
      <c r="X50" s="14">
        <f>SUMIFS('J Book Items Cons.'!R$5:R$3360,'J Book Items Cons.'!E$5:E$3360,7,'J Book Items Cons.'!S$5:S$3360,"",'J Book Items Cons.'!U$5:U$3360,"USN",'J Book Items Cons.'!W$5:W$3360,"Material Support Ships",'J Book Items Cons.'!R$5:R$3360,"&lt;&gt;")+SUMIFS('J Book Items Cons.'!N$5:N$3360,'J Book Items Cons.'!E$5:E$3360,7,'J Book Items Cons.'!S$5:S$3360,"",'J Book Items Cons.'!U$5:U$3360,"USN",'J Book Items Cons.'!W$5:W$3360,"Material Support Ships",'J Book Items Cons.'!R$5:R$3360,"",'J Book Items Cons.'!N$5:N$3360,"&lt;&gt;")+SUMIFS('J Book Items Cons.'!L$5:L$3360,'J Book Items Cons.'!E$5:E$3360,7,'J Book Items Cons.'!S$5:S$3360,"",'J Book Items Cons.'!U$5:U$3360,"USN",'J Book Items Cons.'!W$5:W$3360,"Material Support Ships",'J Book Items Cons.'!R$5:R$3360,"",'J Book Items Cons.'!N$5:N$3360,"")+SUMIFS('J Book Items Cons.'!R$5:R$3360,'J Book Items Cons.'!E$5:E$3360,7,'J Book Items Cons.'!S$5:S$3360,"[PARENT]",'J Book Items Cons.'!U$5:U$3360,"USN",'J Book Items Cons.'!W$5:W$3360,"Material Support Ships",'J Book Items Cons.'!R$5:R$3360,"&lt;&gt;")+SUMIFS('J Book Items Cons.'!N$5:N$3360,'J Book Items Cons.'!E$5:E$3360,7,'J Book Items Cons.'!S$5:S$3360,"[PARENT]",'J Book Items Cons.'!U$5:U$3360,"USN",'J Book Items Cons.'!W$5:W$3360,"Material Support Ships",'J Book Items Cons.'!R$5:R$3360,"",'J Book Items Cons.'!N$5:N$3360,"&lt;&gt;")+SUMIFS('J Book Items Cons.'!L$5:L$3360,'J Book Items Cons.'!E$5:E$3360,7,'J Book Items Cons.'!S$5:S$3360,"[PARENT]",'J Book Items Cons.'!U$5:U$3360,"USN",'J Book Items Cons.'!W$5:W$3360,"Material Support Ships",'J Book Items Cons.'!R$5:R$3360,"",'J Book Items Cons.'!N$5:N$3360,"")</f>
        <v>0</v>
      </c>
      <c r="Y50" s="14">
        <f>SUMIFS('J Book Items Cons.'!R$5:R$3360,'J Book Items Cons.'!E$5:E$3360,7,'J Book Items Cons.'!S$5:S$3360,"",'J Book Items Cons.'!U$5:U$3360,"USN",'J Book Items Cons.'!W$5:W$3360,"Salvage Ships &amp; Fleet Ocean Tugs",'J Book Items Cons.'!R$5:R$3360,"&lt;&gt;")+SUMIFS('J Book Items Cons.'!N$5:N$3360,'J Book Items Cons.'!E$5:E$3360,7,'J Book Items Cons.'!S$5:S$3360,"",'J Book Items Cons.'!U$5:U$3360,"USN",'J Book Items Cons.'!W$5:W$3360,"Salvage Ships &amp; Fleet Ocean Tugs",'J Book Items Cons.'!R$5:R$3360,"",'J Book Items Cons.'!N$5:N$3360,"&lt;&gt;")+SUMIFS('J Book Items Cons.'!L$5:L$3360,'J Book Items Cons.'!E$5:E$3360,7,'J Book Items Cons.'!S$5:S$3360,"",'J Book Items Cons.'!U$5:U$3360,"USN",'J Book Items Cons.'!W$5:W$3360,"Salvage Ships &amp; Fleet Ocean Tugs",'J Book Items Cons.'!R$5:R$3360,"",'J Book Items Cons.'!N$5:N$3360,"")+SUMIFS('J Book Items Cons.'!R$5:R$3360,'J Book Items Cons.'!E$5:E$3360,7,'J Book Items Cons.'!S$5:S$3360,"[PARENT]",'J Book Items Cons.'!U$5:U$3360,"USN",'J Book Items Cons.'!W$5:W$3360,"Salvage Ships &amp; Fleet Ocean Tugs",'J Book Items Cons.'!R$5:R$3360,"&lt;&gt;")+SUMIFS('J Book Items Cons.'!N$5:N$3360,'J Book Items Cons.'!E$5:E$3360,7,'J Book Items Cons.'!S$5:S$3360,"[PARENT]",'J Book Items Cons.'!U$5:U$3360,"USN",'J Book Items Cons.'!W$5:W$3360,"Salvage Ships &amp; Fleet Ocean Tugs",'J Book Items Cons.'!R$5:R$3360,"",'J Book Items Cons.'!N$5:N$3360,"&lt;&gt;")+SUMIFS('J Book Items Cons.'!L$5:L$3360,'J Book Items Cons.'!E$5:E$3360,7,'J Book Items Cons.'!S$5:S$3360,"[PARENT]",'J Book Items Cons.'!U$5:U$3360,"USN",'J Book Items Cons.'!W$5:W$3360,"Salvage Ships &amp; Fleet Ocean Tugs",'J Book Items Cons.'!R$5:R$3360,"",'J Book Items Cons.'!N$5:N$3360,"")</f>
        <v>0</v>
      </c>
      <c r="Z50" s="14">
        <f>SUMIFS('J Book Items Cons.'!R$5:R$3360,'J Book Items Cons.'!E$5:E$3360,7,'J Book Items Cons.'!S$5:S$3360,"",'J Book Items Cons.'!U$5:U$3360,"USN",'J Book Items Cons.'!W$5:W$3360,"Sealift Support Craft",'J Book Items Cons.'!R$5:R$3360,"&lt;&gt;")+SUMIFS('J Book Items Cons.'!N$5:N$3360,'J Book Items Cons.'!E$5:E$3360,7,'J Book Items Cons.'!S$5:S$3360,"",'J Book Items Cons.'!U$5:U$3360,"USN",'J Book Items Cons.'!W$5:W$3360,"Sealift Support Craft",'J Book Items Cons.'!R$5:R$3360,"",'J Book Items Cons.'!N$5:N$3360,"&lt;&gt;")+SUMIFS('J Book Items Cons.'!L$5:L$3360,'J Book Items Cons.'!E$5:E$3360,7,'J Book Items Cons.'!S$5:S$3360,"",'J Book Items Cons.'!U$5:U$3360,"USN",'J Book Items Cons.'!W$5:W$3360,"Sealift Support Craft",'J Book Items Cons.'!R$5:R$3360,"",'J Book Items Cons.'!N$5:N$3360,"")+SUMIFS('J Book Items Cons.'!R$5:R$3360,'J Book Items Cons.'!E$5:E$3360,7,'J Book Items Cons.'!S$5:S$3360,"[PARENT]",'J Book Items Cons.'!U$5:U$3360,"USN",'J Book Items Cons.'!W$5:W$3360,"Sealift Support Craft",'J Book Items Cons.'!R$5:R$3360,"&lt;&gt;")+SUMIFS('J Book Items Cons.'!N$5:N$3360,'J Book Items Cons.'!E$5:E$3360,7,'J Book Items Cons.'!S$5:S$3360,"[PARENT]",'J Book Items Cons.'!U$5:U$3360,"USN",'J Book Items Cons.'!W$5:W$3360,"Sealift Support Craft",'J Book Items Cons.'!R$5:R$3360,"",'J Book Items Cons.'!N$5:N$3360,"&lt;&gt;")+SUMIFS('J Book Items Cons.'!L$5:L$3360,'J Book Items Cons.'!E$5:E$3360,7,'J Book Items Cons.'!S$5:S$3360,"[PARENT]",'J Book Items Cons.'!U$5:U$3360,"USN",'J Book Items Cons.'!W$5:W$3360,"Sealift Support Craft",'J Book Items Cons.'!R$5:R$3360,"",'J Book Items Cons.'!N$5:N$3360,"")</f>
        <v>0</v>
      </c>
      <c r="AA50" s="14">
        <f>SUMIFS('J Book Items Cons.'!R$5:R$3360,'J Book Items Cons.'!E$5:E$3360,7,'J Book Items Cons.'!S$5:S$3360,"",'J Book Items Cons.'!U$5:U$3360,"USN",'J Book Items Cons.'!W$5:W$3360,"Special Warfare Craft",'J Book Items Cons.'!R$5:R$3360,"&lt;&gt;")+SUMIFS('J Book Items Cons.'!N$5:N$3360,'J Book Items Cons.'!E$5:E$3360,7,'J Book Items Cons.'!S$5:S$3360,"",'J Book Items Cons.'!U$5:U$3360,"USN",'J Book Items Cons.'!W$5:W$3360,"Special Warfare Craft",'J Book Items Cons.'!R$5:R$3360,"",'J Book Items Cons.'!N$5:N$3360,"&lt;&gt;")+SUMIFS('J Book Items Cons.'!L$5:L$3360,'J Book Items Cons.'!E$5:E$3360,7,'J Book Items Cons.'!S$5:S$3360,"",'J Book Items Cons.'!U$5:U$3360,"USN",'J Book Items Cons.'!W$5:W$3360,"Special Warfare Craft",'J Book Items Cons.'!R$5:R$3360,"",'J Book Items Cons.'!N$5:N$3360,"")+SUMIFS('J Book Items Cons.'!R$5:R$3360,'J Book Items Cons.'!E$5:E$3360,7,'J Book Items Cons.'!S$5:S$3360,"[PARENT]",'J Book Items Cons.'!U$5:U$3360,"USN",'J Book Items Cons.'!W$5:W$3360,"Special Warfare Craft",'J Book Items Cons.'!R$5:R$3360,"&lt;&gt;")+SUMIFS('J Book Items Cons.'!N$5:N$3360,'J Book Items Cons.'!E$5:E$3360,7,'J Book Items Cons.'!S$5:S$3360,"[PARENT]",'J Book Items Cons.'!U$5:U$3360,"USN",'J Book Items Cons.'!W$5:W$3360,"Special Warfare Craft",'J Book Items Cons.'!R$5:R$3360,"",'J Book Items Cons.'!N$5:N$3360,"&lt;&gt;")+SUMIFS('J Book Items Cons.'!L$5:L$3360,'J Book Items Cons.'!E$5:E$3360,7,'J Book Items Cons.'!S$5:S$3360,"[PARENT]",'J Book Items Cons.'!U$5:U$3360,"USN",'J Book Items Cons.'!W$5:W$3360,"Special Warfare Craft",'J Book Items Cons.'!R$5:R$3360,"",'J Book Items Cons.'!N$5:N$3360,"")</f>
        <v>0</v>
      </c>
      <c r="AB50" s="14">
        <f>SUMIFS('J Book Items Cons.'!R$5:R$3360,'J Book Items Cons.'!E$5:E$3360,7,'J Book Items Cons.'!S$5:S$3360,"",'J Book Items Cons.'!U$5:U$3360,"USN",'J Book Items Cons.'!W$5:W$3360,"Submarine Escort Ship",'J Book Items Cons.'!R$5:R$3360,"&lt;&gt;")+SUMIFS('J Book Items Cons.'!N$5:N$3360,'J Book Items Cons.'!E$5:E$3360,7,'J Book Items Cons.'!S$5:S$3360,"",'J Book Items Cons.'!U$5:U$3360,"USN",'J Book Items Cons.'!W$5:W$3360,"Submarine Escort Ship",'J Book Items Cons.'!R$5:R$3360,"",'J Book Items Cons.'!N$5:N$3360,"&lt;&gt;")+SUMIFS('J Book Items Cons.'!L$5:L$3360,'J Book Items Cons.'!E$5:E$3360,7,'J Book Items Cons.'!S$5:S$3360,"",'J Book Items Cons.'!U$5:U$3360,"USN",'J Book Items Cons.'!W$5:W$3360,"Submarine Escort Ship",'J Book Items Cons.'!R$5:R$3360,"",'J Book Items Cons.'!N$5:N$3360,"")+SUMIFS('J Book Items Cons.'!R$5:R$3360,'J Book Items Cons.'!E$5:E$3360,7,'J Book Items Cons.'!S$5:S$3360,"[PARENT]",'J Book Items Cons.'!U$5:U$3360,"USN",'J Book Items Cons.'!W$5:W$3360,"Submarine Escort Ship",'J Book Items Cons.'!R$5:R$3360,"&lt;&gt;")+SUMIFS('J Book Items Cons.'!N$5:N$3360,'J Book Items Cons.'!E$5:E$3360,7,'J Book Items Cons.'!S$5:S$3360,"[PARENT]",'J Book Items Cons.'!U$5:U$3360,"USN",'J Book Items Cons.'!W$5:W$3360,"Submarine Escort Ship",'J Book Items Cons.'!R$5:R$3360,"",'J Book Items Cons.'!N$5:N$3360,"&lt;&gt;")+SUMIFS('J Book Items Cons.'!L$5:L$3360,'J Book Items Cons.'!E$5:E$3360,7,'J Book Items Cons.'!S$5:S$3360,"[PARENT]",'J Book Items Cons.'!U$5:U$3360,"USN",'J Book Items Cons.'!W$5:W$3360,"Submarine Escort Ship",'J Book Items Cons.'!R$5:R$3360,"",'J Book Items Cons.'!N$5:N$3360,"")</f>
        <v>0</v>
      </c>
      <c r="AC50" s="14">
        <f>SUMIFS('J Book Items Cons.'!R$5:R$3360,'J Book Items Cons.'!E$5:E$3360,7,'J Book Items Cons.'!S$5:S$3360,"",'J Book Items Cons.'!U$5:U$3360,"MSC",'J Book Items Cons.'!W$5:W$3360,"Expeditionary &amp; Seabasing Ships",'J Book Items Cons.'!R$5:R$3360,"&lt;&gt;")+SUMIFS('J Book Items Cons.'!N$5:N$3360,'J Book Items Cons.'!E$5:E$3360,7,'J Book Items Cons.'!S$5:S$3360,"",'J Book Items Cons.'!U$5:U$3360,"MSC",'J Book Items Cons.'!W$5:W$3360,"Expeditionary &amp; Seabasing Ships",'J Book Items Cons.'!R$5:R$3360,"",'J Book Items Cons.'!N$5:N$3360,"&lt;&gt;")+SUMIFS('J Book Items Cons.'!L$5:L$3360,'J Book Items Cons.'!E$5:E$3360,7,'J Book Items Cons.'!S$5:S$3360,"",'J Book Items Cons.'!U$5:U$3360,"MSC",'J Book Items Cons.'!W$5:W$3360,"Expeditionary &amp; Seabasing Ships",'J Book Items Cons.'!R$5:R$3360,"",'J Book Items Cons.'!N$5:N$3360,"")+SUMIFS('J Book Items Cons.'!R$5:R$3360,'J Book Items Cons.'!E$5:E$3360,7,'J Book Items Cons.'!S$5:S$3360,"[PARENT]",'J Book Items Cons.'!U$5:U$3360,"MSC",'J Book Items Cons.'!W$5:W$3360,"Expeditionary &amp; Seabasing Ships",'J Book Items Cons.'!R$5:R$3360,"&lt;&gt;")+SUMIFS('J Book Items Cons.'!N$5:N$3360,'J Book Items Cons.'!E$5:E$3360,7,'J Book Items Cons.'!S$5:S$3360,"[PARENT]",'J Book Items Cons.'!U$5:U$3360,"MSC",'J Book Items Cons.'!W$5:W$3360,"Expeditionary &amp; Seabasing Ships",'J Book Items Cons.'!R$5:R$3360,"",'J Book Items Cons.'!N$5:N$3360,"&lt;&gt;")+SUMIFS('J Book Items Cons.'!L$5:L$3360,'J Book Items Cons.'!E$5:E$3360,7,'J Book Items Cons.'!S$5:S$3360,"[PARENT]",'J Book Items Cons.'!U$5:U$3360,"MSC",'J Book Items Cons.'!W$5:W$3360,"Expeditionary &amp; Seabasing Ships",'J Book Items Cons.'!R$5:R$3360,"",'J Book Items Cons.'!N$5:N$3360,"")</f>
        <v>0</v>
      </c>
      <c r="AD50" s="14">
        <f>SUMIFS('J Book Items Cons.'!R$5:R$3360,'J Book Items Cons.'!E$5:E$3360,7,'J Book Items Cons.'!S$5:S$3360,"",'J Book Items Cons.'!U$5:U$3360,"MSC",'J Book Items Cons.'!W$5:W$3360,"Hospital Ship",'J Book Items Cons.'!R$5:R$3360,"&lt;&gt;")+SUMIFS('J Book Items Cons.'!N$5:N$3360,'J Book Items Cons.'!E$5:E$3360,7,'J Book Items Cons.'!S$5:S$3360,"",'J Book Items Cons.'!U$5:U$3360,"MSC",'J Book Items Cons.'!W$5:W$3360,"Hospital Ship",'J Book Items Cons.'!R$5:R$3360,"",'J Book Items Cons.'!N$5:N$3360,"&lt;&gt;")+SUMIFS('J Book Items Cons.'!L$5:L$3360,'J Book Items Cons.'!E$5:E$3360,7,'J Book Items Cons.'!S$5:S$3360,"",'J Book Items Cons.'!U$5:U$3360,"MSC",'J Book Items Cons.'!W$5:W$3360,"Hospital Ship",'J Book Items Cons.'!R$5:R$3360,"",'J Book Items Cons.'!N$5:N$3360,"")+SUMIFS('J Book Items Cons.'!R$5:R$3360,'J Book Items Cons.'!E$5:E$3360,7,'J Book Items Cons.'!S$5:S$3360,"[PARENT]",'J Book Items Cons.'!U$5:U$3360,"MSC",'J Book Items Cons.'!W$5:W$3360,"Hospital Ship",'J Book Items Cons.'!R$5:R$3360,"&lt;&gt;")+SUMIFS('J Book Items Cons.'!N$5:N$3360,'J Book Items Cons.'!E$5:E$3360,7,'J Book Items Cons.'!S$5:S$3360,"[PARENT]",'J Book Items Cons.'!U$5:U$3360,"MSC",'J Book Items Cons.'!W$5:W$3360,"Hospital Ship",'J Book Items Cons.'!R$5:R$3360,"",'J Book Items Cons.'!N$5:N$3360,"&lt;&gt;")+SUMIFS('J Book Items Cons.'!L$5:L$3360,'J Book Items Cons.'!E$5:E$3360,7,'J Book Items Cons.'!S$5:S$3360,"[PARENT]",'J Book Items Cons.'!U$5:U$3360,"MSC",'J Book Items Cons.'!W$5:W$3360,"Hospital Ship",'J Book Items Cons.'!R$5:R$3360,"",'J Book Items Cons.'!N$5:N$3360,"")</f>
        <v>0</v>
      </c>
      <c r="AE50" s="26">
        <f>SUMIFS('J Book Items Cons.'!R$5:R$3360,'J Book Items Cons.'!E$5:E$3360,7,'J Book Items Cons.'!S$5:S$3360,"",'J Book Items Cons.'!U$5:U$3360,"MSC",'J Book Items Cons.'!W$5:W$3360,"Research, Survey &amp; Instrumentation Ships",'J Book Items Cons.'!R$5:R$3360,"&lt;&gt;")+SUMIFS('J Book Items Cons.'!N$5:N$3360,'J Book Items Cons.'!E$5:E$3360,7,'J Book Items Cons.'!S$5:S$3360,"",'J Book Items Cons.'!U$5:U$3360,"MSC",'J Book Items Cons.'!W$5:W$3360,"Research, Survey &amp; Instrumentation Ships",'J Book Items Cons.'!R$5:R$3360,"",'J Book Items Cons.'!N$5:N$3360,"&lt;&gt;")+SUMIFS('J Book Items Cons.'!L$5:L$3360,'J Book Items Cons.'!E$5:E$3360,7,'J Book Items Cons.'!S$5:S$3360,"",'J Book Items Cons.'!U$5:U$3360,"MSC",'J Book Items Cons.'!W$5:W$3360,"Research, Survey &amp; Instrumentation Ships",'J Book Items Cons.'!R$5:R$3360,"",'J Book Items Cons.'!N$5:N$3360,"")+SUMIFS('J Book Items Cons.'!R$5:R$3360,'J Book Items Cons.'!E$5:E$3360,7,'J Book Items Cons.'!S$5:S$3360,"[PARENT]",'J Book Items Cons.'!U$5:U$3360,"MSC",'J Book Items Cons.'!W$5:W$3360,"Research, Survey &amp; Instrumentation Ships",'J Book Items Cons.'!R$5:R$3360,"&lt;&gt;")+SUMIFS('J Book Items Cons.'!N$5:N$3360,'J Book Items Cons.'!E$5:E$3360,7,'J Book Items Cons.'!S$5:S$3360,"[PARENT]",'J Book Items Cons.'!U$5:U$3360,"MSC",'J Book Items Cons.'!W$5:W$3360,"Research, Survey &amp; Instrumentation Ships",'J Book Items Cons.'!R$5:R$3360,"",'J Book Items Cons.'!N$5:N$3360,"&lt;&gt;")+SUMIFS('J Book Items Cons.'!L$5:L$3360,'J Book Items Cons.'!E$5:E$3360,7,'J Book Items Cons.'!S$5:S$3360,"[PARENT]",'J Book Items Cons.'!U$5:U$3360,"MSC",'J Book Items Cons.'!W$5:W$3360,"Research, Survey &amp; Instrumentation Ships",'J Book Items Cons.'!R$5:R$3360,"",'J Book Items Cons.'!N$5:N$3360,"")</f>
        <v>0</v>
      </c>
      <c r="AF50" s="25">
        <f>SUMIFS('J Book Items Cons.'!R$5:R$3360,'J Book Items Cons.'!E$5:E$3360,7,'J Book Items Cons.'!S$5:S$3360,"",'J Book Items Cons.'!U$5:U$3360,"USCG",'J Book Items Cons.'!W$5:W$3360,"Offshore Patrol Cutter",'J Book Items Cons.'!R$5:R$3360,"&lt;&gt;")+SUMIFS('J Book Items Cons.'!N$5:N$3360,'J Book Items Cons.'!E$5:E$3360,7,'J Book Items Cons.'!S$5:S$3360,"",'J Book Items Cons.'!U$5:U$3360,"USCG",'J Book Items Cons.'!W$5:W$3360,"Offshore Patrol Cutter",'J Book Items Cons.'!R$5:R$3360,"",'J Book Items Cons.'!N$5:N$3360,"&lt;&gt;")+SUMIFS('J Book Items Cons.'!L$5:L$3360,'J Book Items Cons.'!E$5:E$3360,7,'J Book Items Cons.'!S$5:S$3360,"",'J Book Items Cons.'!U$5:U$3360,"USCG",'J Book Items Cons.'!W$5:W$3360,"Offshore Patrol Cutter",'J Book Items Cons.'!R$5:R$3360,"",'J Book Items Cons.'!N$5:N$3360,"")+SUMIFS('J Book Items Cons.'!R$5:R$3360,'J Book Items Cons.'!E$5:E$3360,7,'J Book Items Cons.'!S$5:S$3360,"[PARENT]",'J Book Items Cons.'!U$5:U$3360,"USCG",'J Book Items Cons.'!W$5:W$3360,"Offshore Patrol Cutter",'J Book Items Cons.'!R$5:R$3360,"&lt;&gt;")+SUMIFS('J Book Items Cons.'!N$5:N$3360,'J Book Items Cons.'!E$5:E$3360,7,'J Book Items Cons.'!S$5:S$3360,"[PARENT]",'J Book Items Cons.'!U$5:U$3360,"USCG",'J Book Items Cons.'!W$5:W$3360,"Offshore Patrol Cutter",'J Book Items Cons.'!R$5:R$3360,"",'J Book Items Cons.'!N$5:N$3360,"&lt;&gt;")+SUMIFS('J Book Items Cons.'!L$5:L$3360,'J Book Items Cons.'!E$5:E$3360,7,'J Book Items Cons.'!S$5:S$3360,"[PARENT]",'J Book Items Cons.'!U$5:U$3360,"USCG",'J Book Items Cons.'!W$5:W$3360,"Offshore Patrol Cutter",'J Book Items Cons.'!R$5:R$3360,"",'J Book Items Cons.'!N$5:N$3360,"")</f>
        <v>0</v>
      </c>
      <c r="AG50" s="14">
        <f>SUMIFS('J Book Items Cons.'!R$5:R$3360,'J Book Items Cons.'!E$5:E$3360,7,'J Book Items Cons.'!S$5:S$3360,"",'J Book Items Cons.'!U$5:U$3360,"USCG",'J Book Items Cons.'!W$5:W$3360,"Fast Response Cutters",'J Book Items Cons.'!R$5:R$3360,"&lt;&gt;")+SUMIFS('J Book Items Cons.'!N$5:N$3360,'J Book Items Cons.'!E$5:E$3360,7,'J Book Items Cons.'!S$5:S$3360,"",'J Book Items Cons.'!U$5:U$3360,"USCG",'J Book Items Cons.'!W$5:W$3360,"Fast Response Cutters",'J Book Items Cons.'!R$5:R$3360,"",'J Book Items Cons.'!N$5:N$3360,"&lt;&gt;")+SUMIFS('J Book Items Cons.'!L$5:L$3360,'J Book Items Cons.'!E$5:E$3360,7,'J Book Items Cons.'!S$5:S$3360,"",'J Book Items Cons.'!U$5:U$3360,"USCG",'J Book Items Cons.'!W$5:W$3360,"Fast Response Cutters",'J Book Items Cons.'!R$5:R$3360,"",'J Book Items Cons.'!N$5:N$3360,"")+SUMIFS('J Book Items Cons.'!R$5:R$3360,'J Book Items Cons.'!E$5:E$3360,7,'J Book Items Cons.'!S$5:S$3360,"[PARENT]",'J Book Items Cons.'!U$5:U$3360,"USCG",'J Book Items Cons.'!W$5:W$3360,"Fast Response Cutters",'J Book Items Cons.'!R$5:R$3360,"&lt;&gt;")+SUMIFS('J Book Items Cons.'!N$5:N$3360,'J Book Items Cons.'!E$5:E$3360,7,'J Book Items Cons.'!S$5:S$3360,"[PARENT]",'J Book Items Cons.'!U$5:U$3360,"USCG",'J Book Items Cons.'!W$5:W$3360,"Fast Response Cutters",'J Book Items Cons.'!R$5:R$3360,"",'J Book Items Cons.'!N$5:N$3360,"&lt;&gt;")+SUMIFS('J Book Items Cons.'!L$5:L$3360,'J Book Items Cons.'!E$5:E$3360,7,'J Book Items Cons.'!S$5:S$3360,"[PARENT]",'J Book Items Cons.'!U$5:U$3360,"USCG",'J Book Items Cons.'!W$5:W$3360,"Fast Response Cutters",'J Book Items Cons.'!R$5:R$3360,"",'J Book Items Cons.'!N$5:N$3360,"")</f>
        <v>0</v>
      </c>
      <c r="AH50" s="14">
        <f>SUMIFS('J Book Items Cons.'!R$5:R$3360,'J Book Items Cons.'!E$5:E$3360,7,'J Book Items Cons.'!S$5:S$3360,"",'J Book Items Cons.'!U$5:U$3360,"USCG",'J Book Items Cons.'!W$5:W$3360,"Icebreakers, Oceangoing",'J Book Items Cons.'!R$5:R$3360,"&lt;&gt;")+SUMIFS('J Book Items Cons.'!N$5:N$3360,'J Book Items Cons.'!E$5:E$3360,7,'J Book Items Cons.'!S$5:S$3360,"",'J Book Items Cons.'!U$5:U$3360,"USCG",'J Book Items Cons.'!W$5:W$3360,"Icebreakers, Oceangoing",'J Book Items Cons.'!R$5:R$3360,"",'J Book Items Cons.'!N$5:N$3360,"&lt;&gt;")+SUMIFS('J Book Items Cons.'!L$5:L$3360,'J Book Items Cons.'!E$5:E$3360,7,'J Book Items Cons.'!S$5:S$3360,"",'J Book Items Cons.'!U$5:U$3360,"USCG",'J Book Items Cons.'!W$5:W$3360,"Icebreakers, Oceangoing",'J Book Items Cons.'!R$5:R$3360,"",'J Book Items Cons.'!N$5:N$3360,"")+SUMIFS('J Book Items Cons.'!R$5:R$3360,'J Book Items Cons.'!E$5:E$3360,7,'J Book Items Cons.'!S$5:S$3360,"[PARENT]",'J Book Items Cons.'!U$5:U$3360,"USCG",'J Book Items Cons.'!W$5:W$3360,"Icebreakers, Oceangoing",'J Book Items Cons.'!R$5:R$3360,"&lt;&gt;")+SUMIFS('J Book Items Cons.'!N$5:N$3360,'J Book Items Cons.'!E$5:E$3360,7,'J Book Items Cons.'!S$5:S$3360,"[PARENT]",'J Book Items Cons.'!U$5:U$3360,"USCG",'J Book Items Cons.'!W$5:W$3360,"Icebreakers, Oceangoing",'J Book Items Cons.'!R$5:R$3360,"",'J Book Items Cons.'!N$5:N$3360,"&lt;&gt;")+SUMIFS('J Book Items Cons.'!L$5:L$3360,'J Book Items Cons.'!E$5:E$3360,7,'J Book Items Cons.'!S$5:S$3360,"[PARENT]",'J Book Items Cons.'!U$5:U$3360,"USCG",'J Book Items Cons.'!W$5:W$3360,"Icebreakers, Oceangoing",'J Book Items Cons.'!R$5:R$3360,"",'J Book Items Cons.'!N$5:N$3360,"")</f>
        <v>0</v>
      </c>
      <c r="AI50" s="14">
        <f>SUMIFS('J Book Items Cons.'!R$5:R$3360,'J Book Items Cons.'!E$5:E$3360,7,'J Book Items Cons.'!S$5:S$3360,"",'J Book Items Cons.'!U$5:U$3360,"USCG",'J Book Items Cons.'!W$5:W$3360,"Waterways Commerce Cutters",'J Book Items Cons.'!R$5:R$3360,"&lt;&gt;")+SUMIFS('J Book Items Cons.'!N$5:N$3360,'J Book Items Cons.'!E$5:E$3360,7,'J Book Items Cons.'!S$5:S$3360,"",'J Book Items Cons.'!U$5:U$3360,"USCG",'J Book Items Cons.'!W$5:W$3360,"Waterways Commerce Cutters",'J Book Items Cons.'!R$5:R$3360,"",'J Book Items Cons.'!N$5:N$3360,"&lt;&gt;")+SUMIFS('J Book Items Cons.'!L$5:L$3360,'J Book Items Cons.'!E$5:E$3360,7,'J Book Items Cons.'!S$5:S$3360,"",'J Book Items Cons.'!U$5:U$3360,"USCG",'J Book Items Cons.'!W$5:W$3360,"Waterways Commerce Cutters",'J Book Items Cons.'!R$5:R$3360,"",'J Book Items Cons.'!N$5:N$3360,"")+SUMIFS('J Book Items Cons.'!R$5:R$3360,'J Book Items Cons.'!E$5:E$3360,7,'J Book Items Cons.'!S$5:S$3360,"[PARENT]",'J Book Items Cons.'!U$5:U$3360,"USCG",'J Book Items Cons.'!W$5:W$3360,"Waterways Commerce Cutters",'J Book Items Cons.'!R$5:R$3360,"&lt;&gt;")+SUMIFS('J Book Items Cons.'!N$5:N$3360,'J Book Items Cons.'!E$5:E$3360,7,'J Book Items Cons.'!S$5:S$3360,"[PARENT]",'J Book Items Cons.'!U$5:U$3360,"USCG",'J Book Items Cons.'!W$5:W$3360,"Waterways Commerce Cutters",'J Book Items Cons.'!R$5:R$3360,"",'J Book Items Cons.'!N$5:N$3360,"&lt;&gt;")+SUMIFS('J Book Items Cons.'!L$5:L$3360,'J Book Items Cons.'!E$5:E$3360,7,'J Book Items Cons.'!S$5:S$3360,"[PARENT]",'J Book Items Cons.'!U$5:U$3360,"USCG",'J Book Items Cons.'!W$5:W$3360,"Waterways Commerce Cutters",'J Book Items Cons.'!R$5:R$3360,"",'J Book Items Cons.'!N$5:N$3360,"")</f>
        <v>0</v>
      </c>
      <c r="AJ50" s="14">
        <f>SUMIFS('J Book Items Cons.'!R$5:R$3360,'J Book Items Cons.'!E$5:E$3360,7,'J Book Items Cons.'!S$5:S$3360,"",'J Book Items Cons.'!U$5:U$3360,"USCG",'J Book Items Cons.'!W$5:W$3360,"National Security Cutters",'J Book Items Cons.'!R$5:R$3360,"&lt;&gt;")+SUMIFS('J Book Items Cons.'!N$5:N$3360,'J Book Items Cons.'!E$5:E$3360,7,'J Book Items Cons.'!S$5:S$3360,"",'J Book Items Cons.'!U$5:U$3360,"USCG",'J Book Items Cons.'!W$5:W$3360,"National Security Cutters",'J Book Items Cons.'!R$5:R$3360,"",'J Book Items Cons.'!N$5:N$3360,"&lt;&gt;")+SUMIFS('J Book Items Cons.'!L$5:L$3360,'J Book Items Cons.'!E$5:E$3360,7,'J Book Items Cons.'!S$5:S$3360,"",'J Book Items Cons.'!U$5:U$3360,"USCG",'J Book Items Cons.'!W$5:W$3360,"National Security Cutters",'J Book Items Cons.'!R$5:R$3360,"",'J Book Items Cons.'!N$5:N$3360,"")+SUMIFS('J Book Items Cons.'!R$5:R$3360,'J Book Items Cons.'!E$5:E$3360,7,'J Book Items Cons.'!S$5:S$3360,"[PARENT]",'J Book Items Cons.'!U$5:U$3360,"USCG",'J Book Items Cons.'!W$5:W$3360,"National Security Cutters",'J Book Items Cons.'!R$5:R$3360,"&lt;&gt;")+SUMIFS('J Book Items Cons.'!N$5:N$3360,'J Book Items Cons.'!E$5:E$3360,7,'J Book Items Cons.'!S$5:S$3360,"[PARENT]",'J Book Items Cons.'!U$5:U$3360,"USCG",'J Book Items Cons.'!W$5:W$3360,"National Security Cutters",'J Book Items Cons.'!R$5:R$3360,"",'J Book Items Cons.'!N$5:N$3360,"&lt;&gt;")+SUMIFS('J Book Items Cons.'!L$5:L$3360,'J Book Items Cons.'!E$5:E$3360,7,'J Book Items Cons.'!S$5:S$3360,"[PARENT]",'J Book Items Cons.'!U$5:U$3360,"USCG",'J Book Items Cons.'!W$5:W$3360,"National Security Cutters",'J Book Items Cons.'!R$5:R$3360,"",'J Book Items Cons.'!N$5:N$3360,"")</f>
        <v>0</v>
      </c>
      <c r="AK50" s="14">
        <f>SUMIFS('J Book Items Cons.'!R$5:R$3360,'J Book Items Cons.'!E$5:E$3360,7,'J Book Items Cons.'!S$5:S$3360,"",'J Book Items Cons.'!U$5:U$3360,"USCG",'J Book Items Cons.'!W$5:W$3360,"Coastal Buoy Tenders",'J Book Items Cons.'!R$5:R$3360,"&lt;&gt;")+SUMIFS('J Book Items Cons.'!N$5:N$3360,'J Book Items Cons.'!E$5:E$3360,7,'J Book Items Cons.'!S$5:S$3360,"",'J Book Items Cons.'!U$5:U$3360,"USCG",'J Book Items Cons.'!W$5:W$3360,"Coastal Buoy Tenders",'J Book Items Cons.'!R$5:R$3360,"",'J Book Items Cons.'!N$5:N$3360,"&lt;&gt;")+SUMIFS('J Book Items Cons.'!L$5:L$3360,'J Book Items Cons.'!E$5:E$3360,7,'J Book Items Cons.'!S$5:S$3360,"",'J Book Items Cons.'!U$5:U$3360,"USCG",'J Book Items Cons.'!W$5:W$3360,"Coastal Buoy Tenders",'J Book Items Cons.'!R$5:R$3360,"",'J Book Items Cons.'!N$5:N$3360,"")+SUMIFS('J Book Items Cons.'!R$5:R$3360,'J Book Items Cons.'!E$5:E$3360,7,'J Book Items Cons.'!S$5:S$3360,"[PARENT]",'J Book Items Cons.'!U$5:U$3360,"USCG",'J Book Items Cons.'!W$5:W$3360,"Coastal Buoy Tenders",'J Book Items Cons.'!R$5:R$3360,"&lt;&gt;")+SUMIFS('J Book Items Cons.'!N$5:N$3360,'J Book Items Cons.'!E$5:E$3360,7,'J Book Items Cons.'!S$5:S$3360,"[PARENT]",'J Book Items Cons.'!U$5:U$3360,"USCG",'J Book Items Cons.'!W$5:W$3360,"Coastal Buoy Tenders",'J Book Items Cons.'!R$5:R$3360,"",'J Book Items Cons.'!N$5:N$3360,"&lt;&gt;")+SUMIFS('J Book Items Cons.'!L$5:L$3360,'J Book Items Cons.'!E$5:E$3360,7,'J Book Items Cons.'!S$5:S$3360,"[PARENT]",'J Book Items Cons.'!U$5:U$3360,"USCG",'J Book Items Cons.'!W$5:W$3360,"Coastal Buoy Tenders",'J Book Items Cons.'!R$5:R$3360,"",'J Book Items Cons.'!N$5:N$3360,"")</f>
        <v>0</v>
      </c>
      <c r="AL50" s="26">
        <f>SUMIFS('J Book Items Cons.'!R$5:R$3360,'J Book Items Cons.'!E$5:E$3360,7,'J Book Items Cons.'!S$5:S$3360,"",'J Book Items Cons.'!U$5:U$3360,"USCG",'J Book Items Cons.'!W$5:W$3360,"Icebreakers, Great Lakes",'J Book Items Cons.'!R$5:R$3360,"&lt;&gt;")+SUMIFS('J Book Items Cons.'!N$5:N$3360,'J Book Items Cons.'!E$5:E$3360,7,'J Book Items Cons.'!S$5:S$3360,"",'J Book Items Cons.'!U$5:U$3360,"USCG",'J Book Items Cons.'!W$5:W$3360,"Icebreakers, Great Lakes",'J Book Items Cons.'!R$5:R$3360,"",'J Book Items Cons.'!N$5:N$3360,"&lt;&gt;")+SUMIFS('J Book Items Cons.'!L$5:L$3360,'J Book Items Cons.'!E$5:E$3360,7,'J Book Items Cons.'!S$5:S$3360,"",'J Book Items Cons.'!U$5:U$3360,"USCG",'J Book Items Cons.'!W$5:W$3360,"Icebreakers, Great Lakes",'J Book Items Cons.'!R$5:R$3360,"",'J Book Items Cons.'!N$5:N$3360,"")+SUMIFS('J Book Items Cons.'!R$5:R$3360,'J Book Items Cons.'!E$5:E$3360,7,'J Book Items Cons.'!S$5:S$3360,"[PARENT]",'J Book Items Cons.'!U$5:U$3360,"USCG",'J Book Items Cons.'!W$5:W$3360,"Icebreakers, Great Lakes",'J Book Items Cons.'!R$5:R$3360,"&lt;&gt;")+SUMIFS('J Book Items Cons.'!N$5:N$3360,'J Book Items Cons.'!E$5:E$3360,7,'J Book Items Cons.'!S$5:S$3360,"[PARENT]",'J Book Items Cons.'!U$5:U$3360,"USCG",'J Book Items Cons.'!W$5:W$3360,"Icebreakers, Great Lakes",'J Book Items Cons.'!R$5:R$3360,"",'J Book Items Cons.'!N$5:N$3360,"&lt;&gt;")+SUMIFS('J Book Items Cons.'!L$5:L$3360,'J Book Items Cons.'!E$5:E$3360,7,'J Book Items Cons.'!S$5:S$3360,"[PARENT]",'J Book Items Cons.'!U$5:U$3360,"USCG",'J Book Items Cons.'!W$5:W$3360,"Icebreakers, Great Lakes",'J Book Items Cons.'!R$5:R$3360,"",'J Book Items Cons.'!N$5:N$3360,"")</f>
        <v>0</v>
      </c>
      <c r="AM50" s="14">
        <f t="shared" si="3"/>
        <v>38073</v>
      </c>
    </row>
    <row r="51" spans="1:42" ht="10.5" customHeight="1" x14ac:dyDescent="0.15">
      <c r="A51" s="15" t="s">
        <v>8831</v>
      </c>
      <c r="B51" s="28">
        <f t="shared" ref="B51:AM51" si="4">SUM(B44:B50)</f>
        <v>31506807</v>
      </c>
      <c r="C51" s="16">
        <f t="shared" si="4"/>
        <v>13587052</v>
      </c>
      <c r="D51" s="16">
        <f t="shared" si="4"/>
        <v>8445164</v>
      </c>
      <c r="E51" s="16">
        <f t="shared" si="4"/>
        <v>3315183</v>
      </c>
      <c r="F51" s="16">
        <f t="shared" si="4"/>
        <v>2825676</v>
      </c>
      <c r="G51" s="16">
        <f t="shared" si="4"/>
        <v>1861705</v>
      </c>
      <c r="H51" s="16">
        <f t="shared" si="4"/>
        <v>1325714</v>
      </c>
      <c r="I51" s="16">
        <f t="shared" si="4"/>
        <v>921381</v>
      </c>
      <c r="J51" s="16">
        <f t="shared" si="4"/>
        <v>890000</v>
      </c>
      <c r="K51" s="16">
        <f t="shared" si="4"/>
        <v>643374</v>
      </c>
      <c r="L51" s="16">
        <f t="shared" si="4"/>
        <v>209234</v>
      </c>
      <c r="M51" s="16">
        <f t="shared" si="4"/>
        <v>141500</v>
      </c>
      <c r="N51" s="16">
        <f t="shared" si="4"/>
        <v>79000</v>
      </c>
      <c r="O51" s="16">
        <f t="shared" si="4"/>
        <v>41448</v>
      </c>
      <c r="P51" s="16">
        <f t="shared" si="4"/>
        <v>24349</v>
      </c>
      <c r="Q51" s="16">
        <f t="shared" si="4"/>
        <v>9</v>
      </c>
      <c r="R51" s="16">
        <f t="shared" si="4"/>
        <v>0</v>
      </c>
      <c r="S51" s="16">
        <f t="shared" si="4"/>
        <v>0</v>
      </c>
      <c r="T51" s="16">
        <f t="shared" si="4"/>
        <v>0</v>
      </c>
      <c r="U51" s="16">
        <f t="shared" si="4"/>
        <v>0</v>
      </c>
      <c r="V51" s="16">
        <f t="shared" si="4"/>
        <v>0</v>
      </c>
      <c r="W51" s="16">
        <f t="shared" si="4"/>
        <v>0</v>
      </c>
      <c r="X51" s="16">
        <f t="shared" si="4"/>
        <v>0</v>
      </c>
      <c r="Y51" s="16">
        <f t="shared" si="4"/>
        <v>0</v>
      </c>
      <c r="Z51" s="16">
        <f t="shared" si="4"/>
        <v>0</v>
      </c>
      <c r="AA51" s="16">
        <f t="shared" si="4"/>
        <v>0</v>
      </c>
      <c r="AB51" s="16">
        <f t="shared" si="4"/>
        <v>0</v>
      </c>
      <c r="AC51" s="16">
        <f t="shared" si="4"/>
        <v>0</v>
      </c>
      <c r="AD51" s="16">
        <f t="shared" si="4"/>
        <v>0</v>
      </c>
      <c r="AE51" s="29">
        <f t="shared" si="4"/>
        <v>0</v>
      </c>
      <c r="AF51" s="28">
        <f t="shared" si="4"/>
        <v>812400</v>
      </c>
      <c r="AG51" s="16">
        <f t="shared" si="4"/>
        <v>216000</v>
      </c>
      <c r="AH51" s="16">
        <f t="shared" si="4"/>
        <v>130000</v>
      </c>
      <c r="AI51" s="16">
        <f t="shared" si="4"/>
        <v>98000</v>
      </c>
      <c r="AJ51" s="16">
        <f t="shared" si="4"/>
        <v>31000</v>
      </c>
      <c r="AK51" s="16">
        <f t="shared" si="4"/>
        <v>0</v>
      </c>
      <c r="AL51" s="29">
        <f t="shared" si="4"/>
        <v>0</v>
      </c>
      <c r="AM51" s="16">
        <f t="shared" si="4"/>
        <v>67104996</v>
      </c>
    </row>
    <row r="52" spans="1:42" ht="10.5" customHeight="1" x14ac:dyDescent="0.15"/>
    <row r="53" spans="1:42" ht="10.5" customHeight="1" x14ac:dyDescent="0.15"/>
    <row r="54" spans="1:42" ht="10.5" customHeight="1" x14ac:dyDescent="0.15">
      <c r="A54" s="11" t="s">
        <v>8843</v>
      </c>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row>
    <row r="55" spans="1:42" ht="10.5" customHeight="1" x14ac:dyDescent="0.15">
      <c r="A55" s="31"/>
      <c r="B55" s="32" t="s">
        <v>44</v>
      </c>
      <c r="C55" s="33"/>
      <c r="D55" s="33"/>
      <c r="E55" s="33"/>
      <c r="F55" s="33"/>
      <c r="G55" s="33"/>
      <c r="H55" s="33"/>
      <c r="I55" s="33"/>
      <c r="J55" s="33"/>
      <c r="K55" s="33"/>
      <c r="L55" s="33"/>
      <c r="M55" s="33"/>
      <c r="N55" s="33"/>
      <c r="O55" s="33"/>
      <c r="P55" s="33"/>
      <c r="Q55" s="33"/>
      <c r="R55" s="33"/>
      <c r="S55" s="33"/>
      <c r="T55" s="33"/>
      <c r="U55" s="33"/>
      <c r="V55" s="33"/>
      <c r="W55" s="33"/>
      <c r="X55" s="34"/>
      <c r="Y55" s="32" t="s">
        <v>7086</v>
      </c>
      <c r="Z55" s="33"/>
      <c r="AA55" s="33"/>
      <c r="AB55" s="33"/>
      <c r="AC55" s="34"/>
      <c r="AD55" s="31"/>
    </row>
    <row r="56" spans="1:42" ht="10.5" customHeight="1" x14ac:dyDescent="0.15">
      <c r="A56" s="12" t="s">
        <v>8820</v>
      </c>
      <c r="B56" s="22" t="s">
        <v>90</v>
      </c>
      <c r="C56" s="12" t="s">
        <v>47</v>
      </c>
      <c r="D56" s="12" t="s">
        <v>131</v>
      </c>
      <c r="E56" s="12" t="s">
        <v>68</v>
      </c>
      <c r="F56" s="12" t="s">
        <v>212</v>
      </c>
      <c r="G56" s="12" t="s">
        <v>8844</v>
      </c>
      <c r="H56" s="12" t="s">
        <v>156</v>
      </c>
      <c r="I56" s="12" t="s">
        <v>172</v>
      </c>
      <c r="J56" s="12" t="s">
        <v>5561</v>
      </c>
      <c r="K56" s="12" t="s">
        <v>5027</v>
      </c>
      <c r="L56" s="12" t="s">
        <v>8845</v>
      </c>
      <c r="M56" s="12" t="s">
        <v>194</v>
      </c>
      <c r="N56" s="12" t="s">
        <v>8846</v>
      </c>
      <c r="O56" s="12" t="s">
        <v>333</v>
      </c>
      <c r="P56" s="12" t="s">
        <v>283</v>
      </c>
      <c r="Q56" s="12" t="s">
        <v>6251</v>
      </c>
      <c r="R56" s="12" t="s">
        <v>6645</v>
      </c>
      <c r="S56" s="12" t="s">
        <v>5077</v>
      </c>
      <c r="T56" s="12" t="s">
        <v>5021</v>
      </c>
      <c r="U56" s="12" t="s">
        <v>8847</v>
      </c>
      <c r="V56" s="12" t="s">
        <v>4978</v>
      </c>
      <c r="W56" s="12" t="s">
        <v>4780</v>
      </c>
      <c r="X56" s="23" t="s">
        <v>6239</v>
      </c>
      <c r="Y56" s="22" t="s">
        <v>8652</v>
      </c>
      <c r="Z56" s="12" t="s">
        <v>8658</v>
      </c>
      <c r="AA56" s="12" t="s">
        <v>8669</v>
      </c>
      <c r="AB56" s="12" t="s">
        <v>8683</v>
      </c>
      <c r="AC56" s="23" t="s">
        <v>7089</v>
      </c>
      <c r="AD56" s="13" t="s">
        <v>8831</v>
      </c>
    </row>
    <row r="57" spans="1:42" x14ac:dyDescent="0.15">
      <c r="A57" s="7" t="s">
        <v>8822</v>
      </c>
      <c r="B57" s="25">
        <f>SUMIFS('J Book Items Cons.'!R$5:R$3360,'J Book Items Cons.'!E$5:E$3360,1,'J Book Items Cons.'!S$5:S$3360,"",'J Book Items Cons.'!X$5:X$3360,"SSN",'J Book Items Cons.'!R$5:R$3360,"&lt;&gt;")+SUMIFS('J Book Items Cons.'!N$5:N$3360,'J Book Items Cons.'!E$5:E$3360,1,'J Book Items Cons.'!S$5:S$3360,"",'J Book Items Cons.'!X$5:X$3360,"SSN",'J Book Items Cons.'!R$5:R$3360,"",'J Book Items Cons.'!N$5:N$3360,"&lt;&gt;")+SUMIFS('J Book Items Cons.'!L$5:L$3360,'J Book Items Cons.'!E$5:E$3360,1,'J Book Items Cons.'!S$5:S$3360,"",'J Book Items Cons.'!X$5:X$3360,"SSN",'J Book Items Cons.'!R$5:R$3360,"",'J Book Items Cons.'!N$5:N$3360,"")+SUMIFS('J Book Items Cons.'!R$5:R$3360,'J Book Items Cons.'!E$5:E$3360,1,'J Book Items Cons.'!S$5:S$3360,"[PARENT]",'J Book Items Cons.'!X$5:X$3360,"SSN",'J Book Items Cons.'!R$5:R$3360,"&lt;&gt;")+SUMIFS('J Book Items Cons.'!N$5:N$3360,'J Book Items Cons.'!E$5:E$3360,1,'J Book Items Cons.'!S$5:S$3360,"[PARENT]",'J Book Items Cons.'!X$5:X$3360,"SSN",'J Book Items Cons.'!R$5:R$3360,"",'J Book Items Cons.'!N$5:N$3360,"&lt;&gt;")+SUMIFS('J Book Items Cons.'!L$5:L$3360,'J Book Items Cons.'!E$5:E$3360,1,'J Book Items Cons.'!S$5:S$3360,"[PARENT]",'J Book Items Cons.'!X$5:X$3360,"SSN",'J Book Items Cons.'!R$5:R$3360,"",'J Book Items Cons.'!N$5:N$3360,"")</f>
        <v>10467121</v>
      </c>
      <c r="C57" s="14">
        <f>SUMIFS('J Book Items Cons.'!R$5:R$3360,'J Book Items Cons.'!E$5:E$3360,1,'J Book Items Cons.'!S$5:S$3360,"",'J Book Items Cons.'!X$5:X$3360,"SSBN",'J Book Items Cons.'!R$5:R$3360,"&lt;&gt;")+SUMIFS('J Book Items Cons.'!N$5:N$3360,'J Book Items Cons.'!E$5:E$3360,1,'J Book Items Cons.'!S$5:S$3360,"",'J Book Items Cons.'!X$5:X$3360,"SSBN",'J Book Items Cons.'!R$5:R$3360,"",'J Book Items Cons.'!N$5:N$3360,"&lt;&gt;")+SUMIFS('J Book Items Cons.'!L$5:L$3360,'J Book Items Cons.'!E$5:E$3360,1,'J Book Items Cons.'!S$5:S$3360,"",'J Book Items Cons.'!X$5:X$3360,"SSBN",'J Book Items Cons.'!R$5:R$3360,"",'J Book Items Cons.'!N$5:N$3360,"")+SUMIFS('J Book Items Cons.'!R$5:R$3360,'J Book Items Cons.'!E$5:E$3360,1,'J Book Items Cons.'!S$5:S$3360,"[PARENT]",'J Book Items Cons.'!X$5:X$3360,"SSBN",'J Book Items Cons.'!R$5:R$3360,"&lt;&gt;")+SUMIFS('J Book Items Cons.'!N$5:N$3360,'J Book Items Cons.'!E$5:E$3360,1,'J Book Items Cons.'!S$5:S$3360,"[PARENT]",'J Book Items Cons.'!X$5:X$3360,"SSBN",'J Book Items Cons.'!R$5:R$3360,"",'J Book Items Cons.'!N$5:N$3360,"&lt;&gt;")+SUMIFS('J Book Items Cons.'!L$5:L$3360,'J Book Items Cons.'!E$5:E$3360,1,'J Book Items Cons.'!S$5:S$3360,"[PARENT]",'J Book Items Cons.'!X$5:X$3360,"SSBN",'J Book Items Cons.'!R$5:R$3360,"",'J Book Items Cons.'!N$5:N$3360,"")</f>
        <v>9473194</v>
      </c>
      <c r="D57" s="14">
        <f>SUMIFS('J Book Items Cons.'!R$5:R$3360,'J Book Items Cons.'!E$5:E$3360,1,'J Book Items Cons.'!S$5:S$3360,"",'J Book Items Cons.'!X$5:X$3360,"DDG",'J Book Items Cons.'!R$5:R$3360,"&lt;&gt;")+SUMIFS('J Book Items Cons.'!N$5:N$3360,'J Book Items Cons.'!E$5:E$3360,1,'J Book Items Cons.'!S$5:S$3360,"",'J Book Items Cons.'!X$5:X$3360,"DDG",'J Book Items Cons.'!R$5:R$3360,"",'J Book Items Cons.'!N$5:N$3360,"&lt;&gt;")+SUMIFS('J Book Items Cons.'!L$5:L$3360,'J Book Items Cons.'!E$5:E$3360,1,'J Book Items Cons.'!S$5:S$3360,"",'J Book Items Cons.'!X$5:X$3360,"DDG",'J Book Items Cons.'!R$5:R$3360,"",'J Book Items Cons.'!N$5:N$3360,"")+SUMIFS('J Book Items Cons.'!R$5:R$3360,'J Book Items Cons.'!E$5:E$3360,1,'J Book Items Cons.'!S$5:S$3360,"[PARENT]",'J Book Items Cons.'!X$5:X$3360,"DDG",'J Book Items Cons.'!R$5:R$3360,"&lt;&gt;")+SUMIFS('J Book Items Cons.'!N$5:N$3360,'J Book Items Cons.'!E$5:E$3360,1,'J Book Items Cons.'!S$5:S$3360,"[PARENT]",'J Book Items Cons.'!X$5:X$3360,"DDG",'J Book Items Cons.'!R$5:R$3360,"",'J Book Items Cons.'!N$5:N$3360,"&lt;&gt;")+SUMIFS('J Book Items Cons.'!L$5:L$3360,'J Book Items Cons.'!E$5:E$3360,1,'J Book Items Cons.'!S$5:S$3360,"[PARENT]",'J Book Items Cons.'!X$5:X$3360,"DDG",'J Book Items Cons.'!R$5:R$3360,"",'J Book Items Cons.'!N$5:N$3360,"")</f>
        <v>7213131</v>
      </c>
      <c r="E57" s="14">
        <f>SUMIFS('J Book Items Cons.'!R$5:R$3360,'J Book Items Cons.'!E$5:E$3360,1,'J Book Items Cons.'!S$5:S$3360,"",'J Book Items Cons.'!X$5:X$3360,"CVN",'J Book Items Cons.'!R$5:R$3360,"&lt;&gt;")+SUMIFS('J Book Items Cons.'!N$5:N$3360,'J Book Items Cons.'!E$5:E$3360,1,'J Book Items Cons.'!S$5:S$3360,"",'J Book Items Cons.'!X$5:X$3360,"CVN",'J Book Items Cons.'!R$5:R$3360,"",'J Book Items Cons.'!N$5:N$3360,"&lt;&gt;")+SUMIFS('J Book Items Cons.'!L$5:L$3360,'J Book Items Cons.'!E$5:E$3360,1,'J Book Items Cons.'!S$5:S$3360,"",'J Book Items Cons.'!X$5:X$3360,"CVN",'J Book Items Cons.'!R$5:R$3360,"",'J Book Items Cons.'!N$5:N$3360,"")+SUMIFS('J Book Items Cons.'!R$5:R$3360,'J Book Items Cons.'!E$5:E$3360,1,'J Book Items Cons.'!S$5:S$3360,"[PARENT]",'J Book Items Cons.'!X$5:X$3360,"CVN",'J Book Items Cons.'!R$5:R$3360,"&lt;&gt;")+SUMIFS('J Book Items Cons.'!N$5:N$3360,'J Book Items Cons.'!E$5:E$3360,1,'J Book Items Cons.'!S$5:S$3360,"[PARENT]",'J Book Items Cons.'!X$5:X$3360,"CVN",'J Book Items Cons.'!R$5:R$3360,"",'J Book Items Cons.'!N$5:N$3360,"&lt;&gt;")+SUMIFS('J Book Items Cons.'!L$5:L$3360,'J Book Items Cons.'!E$5:E$3360,1,'J Book Items Cons.'!S$5:S$3360,"[PARENT]",'J Book Items Cons.'!X$5:X$3360,"CVN",'J Book Items Cons.'!R$5:R$3360,"",'J Book Items Cons.'!N$5:N$3360,"")</f>
        <v>3281673</v>
      </c>
      <c r="F57" s="14">
        <f>SUMIFS('J Book Items Cons.'!R$5:R$3360,'J Book Items Cons.'!E$5:E$3360,1,'J Book Items Cons.'!S$5:S$3360,"",'J Book Items Cons.'!X$5:X$3360,"LSM",'J Book Items Cons.'!R$5:R$3360,"&lt;&gt;")+SUMIFS('J Book Items Cons.'!N$5:N$3360,'J Book Items Cons.'!E$5:E$3360,1,'J Book Items Cons.'!S$5:S$3360,"",'J Book Items Cons.'!X$5:X$3360,"LSM",'J Book Items Cons.'!R$5:R$3360,"",'J Book Items Cons.'!N$5:N$3360,"&lt;&gt;")+SUMIFS('J Book Items Cons.'!L$5:L$3360,'J Book Items Cons.'!E$5:E$3360,1,'J Book Items Cons.'!S$5:S$3360,"",'J Book Items Cons.'!X$5:X$3360,"LSM",'J Book Items Cons.'!R$5:R$3360,"",'J Book Items Cons.'!N$5:N$3360,"")+SUMIFS('J Book Items Cons.'!R$5:R$3360,'J Book Items Cons.'!E$5:E$3360,1,'J Book Items Cons.'!S$5:S$3360,"[PARENT]",'J Book Items Cons.'!X$5:X$3360,"LSM",'J Book Items Cons.'!R$5:R$3360,"&lt;&gt;")+SUMIFS('J Book Items Cons.'!N$5:N$3360,'J Book Items Cons.'!E$5:E$3360,1,'J Book Items Cons.'!S$5:S$3360,"[PARENT]",'J Book Items Cons.'!X$5:X$3360,"LSM",'J Book Items Cons.'!R$5:R$3360,"",'J Book Items Cons.'!N$5:N$3360,"&lt;&gt;")+SUMIFS('J Book Items Cons.'!L$5:L$3360,'J Book Items Cons.'!E$5:E$3360,1,'J Book Items Cons.'!S$5:S$3360,"[PARENT]",'J Book Items Cons.'!X$5:X$3360,"LSM",'J Book Items Cons.'!R$5:R$3360,"",'J Book Items Cons.'!N$5:N$3360,"")</f>
        <v>2763941</v>
      </c>
      <c r="G57" s="14">
        <f>SUMIFS('J Book Items Cons.'!R$5:R$3360,'J Book Items Cons.'!E$5:E$3360,1,'J Book Items Cons.'!S$5:S$3360,"",'J Book Items Cons.'!X$5:X$3360,"T-AO",'J Book Items Cons.'!R$5:R$3360,"&lt;&gt;")+SUMIFS('J Book Items Cons.'!N$5:N$3360,'J Book Items Cons.'!E$5:E$3360,1,'J Book Items Cons.'!S$5:S$3360,"",'J Book Items Cons.'!X$5:X$3360,"T-AO",'J Book Items Cons.'!R$5:R$3360,"",'J Book Items Cons.'!N$5:N$3360,"&lt;&gt;")+SUMIFS('J Book Items Cons.'!L$5:L$3360,'J Book Items Cons.'!E$5:E$3360,1,'J Book Items Cons.'!S$5:S$3360,"",'J Book Items Cons.'!X$5:X$3360,"T-AO",'J Book Items Cons.'!R$5:R$3360,"",'J Book Items Cons.'!N$5:N$3360,"")+SUMIFS('J Book Items Cons.'!R$5:R$3360,'J Book Items Cons.'!E$5:E$3360,1,'J Book Items Cons.'!S$5:S$3360,"[PARENT]",'J Book Items Cons.'!X$5:X$3360,"T-AO",'J Book Items Cons.'!R$5:R$3360,"&lt;&gt;")+SUMIFS('J Book Items Cons.'!N$5:N$3360,'J Book Items Cons.'!E$5:E$3360,1,'J Book Items Cons.'!S$5:S$3360,"[PARENT]",'J Book Items Cons.'!X$5:X$3360,"T-AO",'J Book Items Cons.'!R$5:R$3360,"",'J Book Items Cons.'!N$5:N$3360,"&lt;&gt;")+SUMIFS('J Book Items Cons.'!L$5:L$3360,'J Book Items Cons.'!E$5:E$3360,1,'J Book Items Cons.'!S$5:S$3360,"[PARENT]",'J Book Items Cons.'!X$5:X$3360,"T-AO",'J Book Items Cons.'!R$5:R$3360,"",'J Book Items Cons.'!N$5:N$3360,"")</f>
        <v>1861705</v>
      </c>
      <c r="H57" s="14">
        <f>SUMIFS('J Book Items Cons.'!R$5:R$3360,'J Book Items Cons.'!E$5:E$3360,1,'J Book Items Cons.'!S$5:S$3360,"",'J Book Items Cons.'!X$5:X$3360,"LCS",'J Book Items Cons.'!R$5:R$3360,"&lt;&gt;")+SUMIFS('J Book Items Cons.'!N$5:N$3360,'J Book Items Cons.'!E$5:E$3360,1,'J Book Items Cons.'!S$5:S$3360,"",'J Book Items Cons.'!X$5:X$3360,"LCS",'J Book Items Cons.'!R$5:R$3360,"",'J Book Items Cons.'!N$5:N$3360,"&lt;&gt;")+SUMIFS('J Book Items Cons.'!L$5:L$3360,'J Book Items Cons.'!E$5:E$3360,1,'J Book Items Cons.'!S$5:S$3360,"",'J Book Items Cons.'!X$5:X$3360,"LCS",'J Book Items Cons.'!R$5:R$3360,"",'J Book Items Cons.'!N$5:N$3360,"")+SUMIFS('J Book Items Cons.'!R$5:R$3360,'J Book Items Cons.'!E$5:E$3360,1,'J Book Items Cons.'!S$5:S$3360,"[PARENT]",'J Book Items Cons.'!X$5:X$3360,"LCS",'J Book Items Cons.'!R$5:R$3360,"&lt;&gt;")+SUMIFS('J Book Items Cons.'!N$5:N$3360,'J Book Items Cons.'!E$5:E$3360,1,'J Book Items Cons.'!S$5:S$3360,"[PARENT]",'J Book Items Cons.'!X$5:X$3360,"LCS",'J Book Items Cons.'!R$5:R$3360,"",'J Book Items Cons.'!N$5:N$3360,"&lt;&gt;")+SUMIFS('J Book Items Cons.'!L$5:L$3360,'J Book Items Cons.'!E$5:E$3360,1,'J Book Items Cons.'!S$5:S$3360,"[PARENT]",'J Book Items Cons.'!X$5:X$3360,"LCS",'J Book Items Cons.'!R$5:R$3360,"",'J Book Items Cons.'!N$5:N$3360,"")</f>
        <v>0</v>
      </c>
      <c r="I57" s="14">
        <f>SUMIFS('J Book Items Cons.'!R$5:R$3360,'J Book Items Cons.'!E$5:E$3360,1,'J Book Items Cons.'!S$5:S$3360,"",'J Book Items Cons.'!X$5:X$3360,"LPD",'J Book Items Cons.'!R$5:R$3360,"&lt;&gt;")+SUMIFS('J Book Items Cons.'!N$5:N$3360,'J Book Items Cons.'!E$5:E$3360,1,'J Book Items Cons.'!S$5:S$3360,"",'J Book Items Cons.'!X$5:X$3360,"LPD",'J Book Items Cons.'!R$5:R$3360,"",'J Book Items Cons.'!N$5:N$3360,"&lt;&gt;")+SUMIFS('J Book Items Cons.'!L$5:L$3360,'J Book Items Cons.'!E$5:E$3360,1,'J Book Items Cons.'!S$5:S$3360,"",'J Book Items Cons.'!X$5:X$3360,"LPD",'J Book Items Cons.'!R$5:R$3360,"",'J Book Items Cons.'!N$5:N$3360,"")+SUMIFS('J Book Items Cons.'!R$5:R$3360,'J Book Items Cons.'!E$5:E$3360,1,'J Book Items Cons.'!S$5:S$3360,"[PARENT]",'J Book Items Cons.'!X$5:X$3360,"LPD",'J Book Items Cons.'!R$5:R$3360,"&lt;&gt;")+SUMIFS('J Book Items Cons.'!N$5:N$3360,'J Book Items Cons.'!E$5:E$3360,1,'J Book Items Cons.'!S$5:S$3360,"[PARENT]",'J Book Items Cons.'!X$5:X$3360,"LPD",'J Book Items Cons.'!R$5:R$3360,"",'J Book Items Cons.'!N$5:N$3360,"&lt;&gt;")+SUMIFS('J Book Items Cons.'!L$5:L$3360,'J Book Items Cons.'!E$5:E$3360,1,'J Book Items Cons.'!S$5:S$3360,"[PARENT]",'J Book Items Cons.'!X$5:X$3360,"LPD",'J Book Items Cons.'!R$5:R$3360,"",'J Book Items Cons.'!N$5:N$3360,"")</f>
        <v>1110037</v>
      </c>
      <c r="J57" s="14">
        <f>SUMIFS('J Book Items Cons.'!R$5:R$3360,'J Book Items Cons.'!E$5:E$3360,1,'J Book Items Cons.'!S$5:S$3360,"",'J Book Items Cons.'!X$5:X$3360,"MUSV",'J Book Items Cons.'!R$5:R$3360,"&lt;&gt;")+SUMIFS('J Book Items Cons.'!N$5:N$3360,'J Book Items Cons.'!E$5:E$3360,1,'J Book Items Cons.'!S$5:S$3360,"",'J Book Items Cons.'!X$5:X$3360,"MUSV",'J Book Items Cons.'!R$5:R$3360,"",'J Book Items Cons.'!N$5:N$3360,"&lt;&gt;")+SUMIFS('J Book Items Cons.'!L$5:L$3360,'J Book Items Cons.'!E$5:E$3360,1,'J Book Items Cons.'!S$5:S$3360,"",'J Book Items Cons.'!X$5:X$3360,"MUSV",'J Book Items Cons.'!R$5:R$3360,"",'J Book Items Cons.'!N$5:N$3360,"")+SUMIFS('J Book Items Cons.'!R$5:R$3360,'J Book Items Cons.'!E$5:E$3360,1,'J Book Items Cons.'!S$5:S$3360,"[PARENT]",'J Book Items Cons.'!X$5:X$3360,"MUSV",'J Book Items Cons.'!R$5:R$3360,"&lt;&gt;")+SUMIFS('J Book Items Cons.'!N$5:N$3360,'J Book Items Cons.'!E$5:E$3360,1,'J Book Items Cons.'!S$5:S$3360,"[PARENT]",'J Book Items Cons.'!X$5:X$3360,"MUSV",'J Book Items Cons.'!R$5:R$3360,"",'J Book Items Cons.'!N$5:N$3360,"&lt;&gt;")+SUMIFS('J Book Items Cons.'!L$5:L$3360,'J Book Items Cons.'!E$5:E$3360,1,'J Book Items Cons.'!S$5:S$3360,"[PARENT]",'J Book Items Cons.'!X$5:X$3360,"MUSV",'J Book Items Cons.'!R$5:R$3360,"",'J Book Items Cons.'!N$5:N$3360,"")</f>
        <v>1325714</v>
      </c>
      <c r="K57" s="14">
        <f>SUMIFS('J Book Items Cons.'!R$5:R$3360,'J Book Items Cons.'!E$5:E$3360,1,'J Book Items Cons.'!S$5:S$3360,"",'J Book Items Cons.'!X$5:X$3360,"LHD",'J Book Items Cons.'!R$5:R$3360,"&lt;&gt;")+SUMIFS('J Book Items Cons.'!N$5:N$3360,'J Book Items Cons.'!E$5:E$3360,1,'J Book Items Cons.'!S$5:S$3360,"",'J Book Items Cons.'!X$5:X$3360,"LHD",'J Book Items Cons.'!R$5:R$3360,"",'J Book Items Cons.'!N$5:N$3360,"&lt;&gt;")+SUMIFS('J Book Items Cons.'!L$5:L$3360,'J Book Items Cons.'!E$5:E$3360,1,'J Book Items Cons.'!S$5:S$3360,"",'J Book Items Cons.'!X$5:X$3360,"LHD",'J Book Items Cons.'!R$5:R$3360,"",'J Book Items Cons.'!N$5:N$3360,"")+SUMIFS('J Book Items Cons.'!R$5:R$3360,'J Book Items Cons.'!E$5:E$3360,1,'J Book Items Cons.'!S$5:S$3360,"[PARENT]",'J Book Items Cons.'!X$5:X$3360,"LHD",'J Book Items Cons.'!R$5:R$3360,"&lt;&gt;")+SUMIFS('J Book Items Cons.'!N$5:N$3360,'J Book Items Cons.'!E$5:E$3360,1,'J Book Items Cons.'!S$5:S$3360,"[PARENT]",'J Book Items Cons.'!X$5:X$3360,"LHD",'J Book Items Cons.'!R$5:R$3360,"",'J Book Items Cons.'!N$5:N$3360,"&lt;&gt;")+SUMIFS('J Book Items Cons.'!L$5:L$3360,'J Book Items Cons.'!E$5:E$3360,1,'J Book Items Cons.'!S$5:S$3360,"[PARENT]",'J Book Items Cons.'!X$5:X$3360,"LHD",'J Book Items Cons.'!R$5:R$3360,"",'J Book Items Cons.'!N$5:N$3360,"")</f>
        <v>0</v>
      </c>
      <c r="L57" s="14">
        <f>SUMIFS('J Book Items Cons.'!R$5:R$3360,'J Book Items Cons.'!E$5:E$3360,1,'J Book Items Cons.'!S$5:S$3360,"",'J Book Items Cons.'!X$5:X$3360,"T-AK / T-AKR",'J Book Items Cons.'!R$5:R$3360,"&lt;&gt;")+SUMIFS('J Book Items Cons.'!N$5:N$3360,'J Book Items Cons.'!E$5:E$3360,1,'J Book Items Cons.'!S$5:S$3360,"",'J Book Items Cons.'!X$5:X$3360,"T-AK / T-AKR",'J Book Items Cons.'!R$5:R$3360,"",'J Book Items Cons.'!N$5:N$3360,"&lt;&gt;")+SUMIFS('J Book Items Cons.'!L$5:L$3360,'J Book Items Cons.'!E$5:E$3360,1,'J Book Items Cons.'!S$5:S$3360,"",'J Book Items Cons.'!X$5:X$3360,"T-AK / T-AKR",'J Book Items Cons.'!R$5:R$3360,"",'J Book Items Cons.'!N$5:N$3360,"")+SUMIFS('J Book Items Cons.'!R$5:R$3360,'J Book Items Cons.'!E$5:E$3360,1,'J Book Items Cons.'!S$5:S$3360,"[PARENT]",'J Book Items Cons.'!X$5:X$3360,"T-AK / T-AKR",'J Book Items Cons.'!R$5:R$3360,"&lt;&gt;")+SUMIFS('J Book Items Cons.'!N$5:N$3360,'J Book Items Cons.'!E$5:E$3360,1,'J Book Items Cons.'!S$5:S$3360,"[PARENT]",'J Book Items Cons.'!X$5:X$3360,"T-AK / T-AKR",'J Book Items Cons.'!R$5:R$3360,"",'J Book Items Cons.'!N$5:N$3360,"&lt;&gt;")+SUMIFS('J Book Items Cons.'!L$5:L$3360,'J Book Items Cons.'!E$5:E$3360,1,'J Book Items Cons.'!S$5:S$3360,"[PARENT]",'J Book Items Cons.'!X$5:X$3360,"T-AK / T-AKR",'J Book Items Cons.'!R$5:R$3360,"",'J Book Items Cons.'!N$5:N$3360,"")</f>
        <v>890000</v>
      </c>
      <c r="M57" s="14">
        <f>SUMIFS('J Book Items Cons.'!R$5:R$3360,'J Book Items Cons.'!E$5:E$3360,1,'J Book Items Cons.'!S$5:S$3360,"",'J Book Items Cons.'!X$5:X$3360,"LHA",'J Book Items Cons.'!R$5:R$3360,"&lt;&gt;")+SUMIFS('J Book Items Cons.'!N$5:N$3360,'J Book Items Cons.'!E$5:E$3360,1,'J Book Items Cons.'!S$5:S$3360,"",'J Book Items Cons.'!X$5:X$3360,"LHA",'J Book Items Cons.'!R$5:R$3360,"",'J Book Items Cons.'!N$5:N$3360,"&lt;&gt;")+SUMIFS('J Book Items Cons.'!L$5:L$3360,'J Book Items Cons.'!E$5:E$3360,1,'J Book Items Cons.'!S$5:S$3360,"",'J Book Items Cons.'!X$5:X$3360,"LHA",'J Book Items Cons.'!R$5:R$3360,"",'J Book Items Cons.'!N$5:N$3360,"")+SUMIFS('J Book Items Cons.'!R$5:R$3360,'J Book Items Cons.'!E$5:E$3360,1,'J Book Items Cons.'!S$5:S$3360,"[PARENT]",'J Book Items Cons.'!X$5:X$3360,"LHA",'J Book Items Cons.'!R$5:R$3360,"&lt;&gt;")+SUMIFS('J Book Items Cons.'!N$5:N$3360,'J Book Items Cons.'!E$5:E$3360,1,'J Book Items Cons.'!S$5:S$3360,"[PARENT]",'J Book Items Cons.'!X$5:X$3360,"LHA",'J Book Items Cons.'!R$5:R$3360,"",'J Book Items Cons.'!N$5:N$3360,"&lt;&gt;")+SUMIFS('J Book Items Cons.'!L$5:L$3360,'J Book Items Cons.'!E$5:E$3360,1,'J Book Items Cons.'!S$5:S$3360,"[PARENT]",'J Book Items Cons.'!X$5:X$3360,"LHA",'J Book Items Cons.'!R$5:R$3360,"",'J Book Items Cons.'!N$5:N$3360,"")</f>
        <v>634963</v>
      </c>
      <c r="N57" s="14">
        <f>SUMIFS('J Book Items Cons.'!R$5:R$3360,'J Book Items Cons.'!E$5:E$3360,1,'J Book Items Cons.'!S$5:S$3360,"",'J Book Items Cons.'!X$5:X$3360,"T-AGOS",'J Book Items Cons.'!R$5:R$3360,"&lt;&gt;")+SUMIFS('J Book Items Cons.'!N$5:N$3360,'J Book Items Cons.'!E$5:E$3360,1,'J Book Items Cons.'!S$5:S$3360,"",'J Book Items Cons.'!X$5:X$3360,"T-AGOS",'J Book Items Cons.'!R$5:R$3360,"",'J Book Items Cons.'!N$5:N$3360,"&lt;&gt;")+SUMIFS('J Book Items Cons.'!L$5:L$3360,'J Book Items Cons.'!E$5:E$3360,1,'J Book Items Cons.'!S$5:S$3360,"",'J Book Items Cons.'!X$5:X$3360,"T-AGOS",'J Book Items Cons.'!R$5:R$3360,"",'J Book Items Cons.'!N$5:N$3360,"")+SUMIFS('J Book Items Cons.'!R$5:R$3360,'J Book Items Cons.'!E$5:E$3360,1,'J Book Items Cons.'!S$5:S$3360,"[PARENT]",'J Book Items Cons.'!X$5:X$3360,"T-AGOS",'J Book Items Cons.'!R$5:R$3360,"&lt;&gt;")+SUMIFS('J Book Items Cons.'!N$5:N$3360,'J Book Items Cons.'!E$5:E$3360,1,'J Book Items Cons.'!S$5:S$3360,"[PARENT]",'J Book Items Cons.'!X$5:X$3360,"T-AGOS",'J Book Items Cons.'!R$5:R$3360,"",'J Book Items Cons.'!N$5:N$3360,"&lt;&gt;")+SUMIFS('J Book Items Cons.'!L$5:L$3360,'J Book Items Cons.'!E$5:E$3360,1,'J Book Items Cons.'!S$5:S$3360,"[PARENT]",'J Book Items Cons.'!X$5:X$3360,"T-AGOS",'J Book Items Cons.'!R$5:R$3360,"",'J Book Items Cons.'!N$5:N$3360,"")</f>
        <v>612205</v>
      </c>
      <c r="O57" s="14">
        <f>SUMIFS('J Book Items Cons.'!R$5:R$3360,'J Book Items Cons.'!E$5:E$3360,1,'J Book Items Cons.'!S$5:S$3360,"",'J Book Items Cons.'!X$5:X$3360,"LCAC",'J Book Items Cons.'!R$5:R$3360,"&lt;&gt;")+SUMIFS('J Book Items Cons.'!N$5:N$3360,'J Book Items Cons.'!E$5:E$3360,1,'J Book Items Cons.'!S$5:S$3360,"",'J Book Items Cons.'!X$5:X$3360,"LCAC",'J Book Items Cons.'!R$5:R$3360,"",'J Book Items Cons.'!N$5:N$3360,"&lt;&gt;")+SUMIFS('J Book Items Cons.'!L$5:L$3360,'J Book Items Cons.'!E$5:E$3360,1,'J Book Items Cons.'!S$5:S$3360,"",'J Book Items Cons.'!X$5:X$3360,"LCAC",'J Book Items Cons.'!R$5:R$3360,"",'J Book Items Cons.'!N$5:N$3360,"")+SUMIFS('J Book Items Cons.'!R$5:R$3360,'J Book Items Cons.'!E$5:E$3360,1,'J Book Items Cons.'!S$5:S$3360,"[PARENT]",'J Book Items Cons.'!X$5:X$3360,"LCAC",'J Book Items Cons.'!R$5:R$3360,"&lt;&gt;")+SUMIFS('J Book Items Cons.'!N$5:N$3360,'J Book Items Cons.'!E$5:E$3360,1,'J Book Items Cons.'!S$5:S$3360,"[PARENT]",'J Book Items Cons.'!X$5:X$3360,"LCAC",'J Book Items Cons.'!R$5:R$3360,"",'J Book Items Cons.'!N$5:N$3360,"&lt;&gt;")+SUMIFS('J Book Items Cons.'!L$5:L$3360,'J Book Items Cons.'!E$5:E$3360,1,'J Book Items Cons.'!S$5:S$3360,"[PARENT]",'J Book Items Cons.'!X$5:X$3360,"LCAC",'J Book Items Cons.'!R$5:R$3360,"",'J Book Items Cons.'!N$5:N$3360,"")</f>
        <v>559095</v>
      </c>
      <c r="P57" s="14">
        <f>SUMIFS('J Book Items Cons.'!R$5:R$3360,'J Book Items Cons.'!E$5:E$3360,1,'J Book Items Cons.'!S$5:S$3360,"",'J Book Items Cons.'!X$5:X$3360,"LCU",'J Book Items Cons.'!R$5:R$3360,"&lt;&gt;")+SUMIFS('J Book Items Cons.'!N$5:N$3360,'J Book Items Cons.'!E$5:E$3360,1,'J Book Items Cons.'!S$5:S$3360,"",'J Book Items Cons.'!X$5:X$3360,"LCU",'J Book Items Cons.'!R$5:R$3360,"",'J Book Items Cons.'!N$5:N$3360,"&lt;&gt;")+SUMIFS('J Book Items Cons.'!L$5:L$3360,'J Book Items Cons.'!E$5:E$3360,1,'J Book Items Cons.'!S$5:S$3360,"",'J Book Items Cons.'!X$5:X$3360,"LCU",'J Book Items Cons.'!R$5:R$3360,"",'J Book Items Cons.'!N$5:N$3360,"")+SUMIFS('J Book Items Cons.'!R$5:R$3360,'J Book Items Cons.'!E$5:E$3360,1,'J Book Items Cons.'!S$5:S$3360,"[PARENT]",'J Book Items Cons.'!X$5:X$3360,"LCU",'J Book Items Cons.'!R$5:R$3360,"&lt;&gt;")+SUMIFS('J Book Items Cons.'!N$5:N$3360,'J Book Items Cons.'!E$5:E$3360,1,'J Book Items Cons.'!S$5:S$3360,"[PARENT]",'J Book Items Cons.'!X$5:X$3360,"LCU",'J Book Items Cons.'!R$5:R$3360,"",'J Book Items Cons.'!N$5:N$3360,"&lt;&gt;")+SUMIFS('J Book Items Cons.'!L$5:L$3360,'J Book Items Cons.'!E$5:E$3360,1,'J Book Items Cons.'!S$5:S$3360,"[PARENT]",'J Book Items Cons.'!X$5:X$3360,"LCU",'J Book Items Cons.'!R$5:R$3360,"",'J Book Items Cons.'!N$5:N$3360,"")</f>
        <v>295000</v>
      </c>
      <c r="Q57" s="14">
        <f>SUMIFS('J Book Items Cons.'!R$5:R$3360,'J Book Items Cons.'!E$5:E$3360,1,'J Book Items Cons.'!S$5:S$3360,"",'J Book Items Cons.'!X$5:X$3360,"SSGN",'J Book Items Cons.'!R$5:R$3360,"&lt;&gt;")+SUMIFS('J Book Items Cons.'!N$5:N$3360,'J Book Items Cons.'!E$5:E$3360,1,'J Book Items Cons.'!S$5:S$3360,"",'J Book Items Cons.'!X$5:X$3360,"SSGN",'J Book Items Cons.'!R$5:R$3360,"",'J Book Items Cons.'!N$5:N$3360,"&lt;&gt;")+SUMIFS('J Book Items Cons.'!L$5:L$3360,'J Book Items Cons.'!E$5:E$3360,1,'J Book Items Cons.'!S$5:S$3360,"",'J Book Items Cons.'!X$5:X$3360,"SSGN",'J Book Items Cons.'!R$5:R$3360,"",'J Book Items Cons.'!N$5:N$3360,"")+SUMIFS('J Book Items Cons.'!R$5:R$3360,'J Book Items Cons.'!E$5:E$3360,1,'J Book Items Cons.'!S$5:S$3360,"[PARENT]",'J Book Items Cons.'!X$5:X$3360,"SSGN",'J Book Items Cons.'!R$5:R$3360,"&lt;&gt;")+SUMIFS('J Book Items Cons.'!N$5:N$3360,'J Book Items Cons.'!E$5:E$3360,1,'J Book Items Cons.'!S$5:S$3360,"[PARENT]",'J Book Items Cons.'!X$5:X$3360,"SSGN",'J Book Items Cons.'!R$5:R$3360,"",'J Book Items Cons.'!N$5:N$3360,"&lt;&gt;")+SUMIFS('J Book Items Cons.'!L$5:L$3360,'J Book Items Cons.'!E$5:E$3360,1,'J Book Items Cons.'!S$5:S$3360,"[PARENT]",'J Book Items Cons.'!X$5:X$3360,"SSGN",'J Book Items Cons.'!R$5:R$3360,"",'J Book Items Cons.'!N$5:N$3360,"")</f>
        <v>0</v>
      </c>
      <c r="R57" s="14">
        <f>SUMIFS('J Book Items Cons.'!R$5:R$3360,'J Book Items Cons.'!E$5:E$3360,1,'J Book Items Cons.'!S$5:S$3360,"",'J Book Items Cons.'!X$5:X$3360,"UUV",'J Book Items Cons.'!R$5:R$3360,"&lt;&gt;")+SUMIFS('J Book Items Cons.'!N$5:N$3360,'J Book Items Cons.'!E$5:E$3360,1,'J Book Items Cons.'!S$5:S$3360,"",'J Book Items Cons.'!X$5:X$3360,"UUV",'J Book Items Cons.'!R$5:R$3360,"",'J Book Items Cons.'!N$5:N$3360,"&lt;&gt;")+SUMIFS('J Book Items Cons.'!L$5:L$3360,'J Book Items Cons.'!E$5:E$3360,1,'J Book Items Cons.'!S$5:S$3360,"",'J Book Items Cons.'!X$5:X$3360,"UUV",'J Book Items Cons.'!R$5:R$3360,"",'J Book Items Cons.'!N$5:N$3360,"")+SUMIFS('J Book Items Cons.'!R$5:R$3360,'J Book Items Cons.'!E$5:E$3360,1,'J Book Items Cons.'!S$5:S$3360,"[PARENT]",'J Book Items Cons.'!X$5:X$3360,"UUV",'J Book Items Cons.'!R$5:R$3360,"&lt;&gt;")+SUMIFS('J Book Items Cons.'!N$5:N$3360,'J Book Items Cons.'!E$5:E$3360,1,'J Book Items Cons.'!S$5:S$3360,"[PARENT]",'J Book Items Cons.'!X$5:X$3360,"UUV",'J Book Items Cons.'!R$5:R$3360,"",'J Book Items Cons.'!N$5:N$3360,"&lt;&gt;")+SUMIFS('J Book Items Cons.'!L$5:L$3360,'J Book Items Cons.'!E$5:E$3360,1,'J Book Items Cons.'!S$5:S$3360,"[PARENT]",'J Book Items Cons.'!X$5:X$3360,"UUV",'J Book Items Cons.'!R$5:R$3360,"",'J Book Items Cons.'!N$5:N$3360,"")</f>
        <v>209234</v>
      </c>
      <c r="S57" s="14">
        <f>SUMIFS('J Book Items Cons.'!R$5:R$3360,'J Book Items Cons.'!E$5:E$3360,1,'J Book Items Cons.'!S$5:S$3360,"",'J Book Items Cons.'!X$5:X$3360,"CG",'J Book Items Cons.'!R$5:R$3360,"&lt;&gt;")+SUMIFS('J Book Items Cons.'!N$5:N$3360,'J Book Items Cons.'!E$5:E$3360,1,'J Book Items Cons.'!S$5:S$3360,"",'J Book Items Cons.'!X$5:X$3360,"CG",'J Book Items Cons.'!R$5:R$3360,"",'J Book Items Cons.'!N$5:N$3360,"&lt;&gt;")+SUMIFS('J Book Items Cons.'!L$5:L$3360,'J Book Items Cons.'!E$5:E$3360,1,'J Book Items Cons.'!S$5:S$3360,"",'J Book Items Cons.'!X$5:X$3360,"CG",'J Book Items Cons.'!R$5:R$3360,"",'J Book Items Cons.'!N$5:N$3360,"")+SUMIFS('J Book Items Cons.'!R$5:R$3360,'J Book Items Cons.'!E$5:E$3360,1,'J Book Items Cons.'!S$5:S$3360,"[PARENT]",'J Book Items Cons.'!X$5:X$3360,"CG",'J Book Items Cons.'!R$5:R$3360,"&lt;&gt;")+SUMIFS('J Book Items Cons.'!N$5:N$3360,'J Book Items Cons.'!E$5:E$3360,1,'J Book Items Cons.'!S$5:S$3360,"[PARENT]",'J Book Items Cons.'!X$5:X$3360,"CG",'J Book Items Cons.'!R$5:R$3360,"",'J Book Items Cons.'!N$5:N$3360,"&lt;&gt;")+SUMIFS('J Book Items Cons.'!L$5:L$3360,'J Book Items Cons.'!E$5:E$3360,1,'J Book Items Cons.'!S$5:S$3360,"[PARENT]",'J Book Items Cons.'!X$5:X$3360,"CG",'J Book Items Cons.'!R$5:R$3360,"",'J Book Items Cons.'!N$5:N$3360,"")</f>
        <v>0</v>
      </c>
      <c r="T57" s="14">
        <f>SUMIFS('J Book Items Cons.'!R$5:R$3360,'J Book Items Cons.'!E$5:E$3360,1,'J Book Items Cons.'!S$5:S$3360,"",'J Book Items Cons.'!X$5:X$3360,"LSD",'J Book Items Cons.'!R$5:R$3360,"&lt;&gt;")+SUMIFS('J Book Items Cons.'!N$5:N$3360,'J Book Items Cons.'!E$5:E$3360,1,'J Book Items Cons.'!S$5:S$3360,"",'J Book Items Cons.'!X$5:X$3360,"LSD",'J Book Items Cons.'!R$5:R$3360,"",'J Book Items Cons.'!N$5:N$3360,"&lt;&gt;")+SUMIFS('J Book Items Cons.'!L$5:L$3360,'J Book Items Cons.'!E$5:E$3360,1,'J Book Items Cons.'!S$5:S$3360,"",'J Book Items Cons.'!X$5:X$3360,"LSD",'J Book Items Cons.'!R$5:R$3360,"",'J Book Items Cons.'!N$5:N$3360,"")+SUMIFS('J Book Items Cons.'!R$5:R$3360,'J Book Items Cons.'!E$5:E$3360,1,'J Book Items Cons.'!S$5:S$3360,"[PARENT]",'J Book Items Cons.'!X$5:X$3360,"LSD",'J Book Items Cons.'!R$5:R$3360,"&lt;&gt;")+SUMIFS('J Book Items Cons.'!N$5:N$3360,'J Book Items Cons.'!E$5:E$3360,1,'J Book Items Cons.'!S$5:S$3360,"[PARENT]",'J Book Items Cons.'!X$5:X$3360,"LSD",'J Book Items Cons.'!R$5:R$3360,"",'J Book Items Cons.'!N$5:N$3360,"&lt;&gt;")+SUMIFS('J Book Items Cons.'!L$5:L$3360,'J Book Items Cons.'!E$5:E$3360,1,'J Book Items Cons.'!S$5:S$3360,"[PARENT]",'J Book Items Cons.'!X$5:X$3360,"LSD",'J Book Items Cons.'!R$5:R$3360,"",'J Book Items Cons.'!N$5:N$3360,"")</f>
        <v>0</v>
      </c>
      <c r="U57" s="14">
        <f>SUMIFS('J Book Items Cons.'!R$5:R$3360,'J Book Items Cons.'!E$5:E$3360,1,'J Book Items Cons.'!S$5:S$3360,"",'J Book Items Cons.'!X$5:X$3360,"ESB",'J Book Items Cons.'!R$5:R$3360,"&lt;&gt;")+SUMIFS('J Book Items Cons.'!N$5:N$3360,'J Book Items Cons.'!E$5:E$3360,1,'J Book Items Cons.'!S$5:S$3360,"",'J Book Items Cons.'!X$5:X$3360,"ESB",'J Book Items Cons.'!R$5:R$3360,"",'J Book Items Cons.'!N$5:N$3360,"&lt;&gt;")+SUMIFS('J Book Items Cons.'!L$5:L$3360,'J Book Items Cons.'!E$5:E$3360,1,'J Book Items Cons.'!S$5:S$3360,"",'J Book Items Cons.'!X$5:X$3360,"ESB",'J Book Items Cons.'!R$5:R$3360,"",'J Book Items Cons.'!N$5:N$3360,"")+SUMIFS('J Book Items Cons.'!R$5:R$3360,'J Book Items Cons.'!E$5:E$3360,1,'J Book Items Cons.'!S$5:S$3360,"[PARENT]",'J Book Items Cons.'!X$5:X$3360,"ESB",'J Book Items Cons.'!R$5:R$3360,"&lt;&gt;")+SUMIFS('J Book Items Cons.'!N$5:N$3360,'J Book Items Cons.'!E$5:E$3360,1,'J Book Items Cons.'!S$5:S$3360,"[PARENT]",'J Book Items Cons.'!X$5:X$3360,"ESB",'J Book Items Cons.'!R$5:R$3360,"",'J Book Items Cons.'!N$5:N$3360,"&lt;&gt;")+SUMIFS('J Book Items Cons.'!L$5:L$3360,'J Book Items Cons.'!E$5:E$3360,1,'J Book Items Cons.'!S$5:S$3360,"[PARENT]",'J Book Items Cons.'!X$5:X$3360,"ESB",'J Book Items Cons.'!R$5:R$3360,"",'J Book Items Cons.'!N$5:N$3360,"")</f>
        <v>0</v>
      </c>
      <c r="V57" s="14">
        <f>SUMIFS('J Book Items Cons.'!R$5:R$3360,'J Book Items Cons.'!E$5:E$3360,1,'J Book Items Cons.'!S$5:S$3360,"",'J Book Items Cons.'!X$5:X$3360,"LCC",'J Book Items Cons.'!R$5:R$3360,"&lt;&gt;")+SUMIFS('J Book Items Cons.'!N$5:N$3360,'J Book Items Cons.'!E$5:E$3360,1,'J Book Items Cons.'!S$5:S$3360,"",'J Book Items Cons.'!X$5:X$3360,"LCC",'J Book Items Cons.'!R$5:R$3360,"",'J Book Items Cons.'!N$5:N$3360,"&lt;&gt;")+SUMIFS('J Book Items Cons.'!L$5:L$3360,'J Book Items Cons.'!E$5:E$3360,1,'J Book Items Cons.'!S$5:S$3360,"",'J Book Items Cons.'!X$5:X$3360,"LCC",'J Book Items Cons.'!R$5:R$3360,"",'J Book Items Cons.'!N$5:N$3360,"")+SUMIFS('J Book Items Cons.'!R$5:R$3360,'J Book Items Cons.'!E$5:E$3360,1,'J Book Items Cons.'!S$5:S$3360,"[PARENT]",'J Book Items Cons.'!X$5:X$3360,"LCC",'J Book Items Cons.'!R$5:R$3360,"&lt;&gt;")+SUMIFS('J Book Items Cons.'!N$5:N$3360,'J Book Items Cons.'!E$5:E$3360,1,'J Book Items Cons.'!S$5:S$3360,"[PARENT]",'J Book Items Cons.'!X$5:X$3360,"LCC",'J Book Items Cons.'!R$5:R$3360,"",'J Book Items Cons.'!N$5:N$3360,"&lt;&gt;")+SUMIFS('J Book Items Cons.'!L$5:L$3360,'J Book Items Cons.'!E$5:E$3360,1,'J Book Items Cons.'!S$5:S$3360,"[PARENT]",'J Book Items Cons.'!X$5:X$3360,"LCC",'J Book Items Cons.'!R$5:R$3360,"",'J Book Items Cons.'!N$5:N$3360,"")</f>
        <v>0</v>
      </c>
      <c r="W57" s="14">
        <f>SUMIFS('J Book Items Cons.'!R$5:R$3360,'J Book Items Cons.'!E$5:E$3360,1,'J Book Items Cons.'!S$5:S$3360,"",'J Book Items Cons.'!X$5:X$3360,"MCM",'J Book Items Cons.'!R$5:R$3360,"&lt;&gt;")+SUMIFS('J Book Items Cons.'!N$5:N$3360,'J Book Items Cons.'!E$5:E$3360,1,'J Book Items Cons.'!S$5:S$3360,"",'J Book Items Cons.'!X$5:X$3360,"MCM",'J Book Items Cons.'!R$5:R$3360,"",'J Book Items Cons.'!N$5:N$3360,"&lt;&gt;")+SUMIFS('J Book Items Cons.'!L$5:L$3360,'J Book Items Cons.'!E$5:E$3360,1,'J Book Items Cons.'!S$5:S$3360,"",'J Book Items Cons.'!X$5:X$3360,"MCM",'J Book Items Cons.'!R$5:R$3360,"",'J Book Items Cons.'!N$5:N$3360,"")+SUMIFS('J Book Items Cons.'!R$5:R$3360,'J Book Items Cons.'!E$5:E$3360,1,'J Book Items Cons.'!S$5:S$3360,"[PARENT]",'J Book Items Cons.'!X$5:X$3360,"MCM",'J Book Items Cons.'!R$5:R$3360,"&lt;&gt;")+SUMIFS('J Book Items Cons.'!N$5:N$3360,'J Book Items Cons.'!E$5:E$3360,1,'J Book Items Cons.'!S$5:S$3360,"[PARENT]",'J Book Items Cons.'!X$5:X$3360,"MCM",'J Book Items Cons.'!R$5:R$3360,"",'J Book Items Cons.'!N$5:N$3360,"&lt;&gt;")+SUMIFS('J Book Items Cons.'!L$5:L$3360,'J Book Items Cons.'!E$5:E$3360,1,'J Book Items Cons.'!S$5:S$3360,"[PARENT]",'J Book Items Cons.'!X$5:X$3360,"MCM",'J Book Items Cons.'!R$5:R$3360,"",'J Book Items Cons.'!N$5:N$3360,"")</f>
        <v>0</v>
      </c>
      <c r="X57" s="26">
        <f>SUMIFS('J Book Items Cons.'!R$5:R$3360,'J Book Items Cons.'!E$5:E$3360,1,'J Book Items Cons.'!S$5:S$3360,"",'J Book Items Cons.'!X$5:X$3360,"PC",'J Book Items Cons.'!R$5:R$3360,"&lt;&gt;")+SUMIFS('J Book Items Cons.'!N$5:N$3360,'J Book Items Cons.'!E$5:E$3360,1,'J Book Items Cons.'!S$5:S$3360,"",'J Book Items Cons.'!X$5:X$3360,"PC",'J Book Items Cons.'!R$5:R$3360,"",'J Book Items Cons.'!N$5:N$3360,"&lt;&gt;")+SUMIFS('J Book Items Cons.'!L$5:L$3360,'J Book Items Cons.'!E$5:E$3360,1,'J Book Items Cons.'!S$5:S$3360,"",'J Book Items Cons.'!X$5:X$3360,"PC",'J Book Items Cons.'!R$5:R$3360,"",'J Book Items Cons.'!N$5:N$3360,"")+SUMIFS('J Book Items Cons.'!R$5:R$3360,'J Book Items Cons.'!E$5:E$3360,1,'J Book Items Cons.'!S$5:S$3360,"[PARENT]",'J Book Items Cons.'!X$5:X$3360,"PC",'J Book Items Cons.'!R$5:R$3360,"&lt;&gt;")+SUMIFS('J Book Items Cons.'!N$5:N$3360,'J Book Items Cons.'!E$5:E$3360,1,'J Book Items Cons.'!S$5:S$3360,"[PARENT]",'J Book Items Cons.'!X$5:X$3360,"PC",'J Book Items Cons.'!R$5:R$3360,"",'J Book Items Cons.'!N$5:N$3360,"&lt;&gt;")+SUMIFS('J Book Items Cons.'!L$5:L$3360,'J Book Items Cons.'!E$5:E$3360,1,'J Book Items Cons.'!S$5:S$3360,"[PARENT]",'J Book Items Cons.'!X$5:X$3360,"PC",'J Book Items Cons.'!R$5:R$3360,"",'J Book Items Cons.'!N$5:N$3360,"")</f>
        <v>0</v>
      </c>
      <c r="Y57" s="25">
        <f>SUMIFS('J Book Items Cons.'!R$5:R$3360,'J Book Items Cons.'!E$5:E$3360,1,'J Book Items Cons.'!S$5:S$3360,"",'J Book Items Cons.'!X$5:X$3360,"WMSM",'J Book Items Cons.'!R$5:R$3360,"&lt;&gt;")+SUMIFS('J Book Items Cons.'!N$5:N$3360,'J Book Items Cons.'!E$5:E$3360,1,'J Book Items Cons.'!S$5:S$3360,"",'J Book Items Cons.'!X$5:X$3360,"WMSM",'J Book Items Cons.'!R$5:R$3360,"",'J Book Items Cons.'!N$5:N$3360,"&lt;&gt;")+SUMIFS('J Book Items Cons.'!L$5:L$3360,'J Book Items Cons.'!E$5:E$3360,1,'J Book Items Cons.'!S$5:S$3360,"",'J Book Items Cons.'!X$5:X$3360,"WMSM",'J Book Items Cons.'!R$5:R$3360,"",'J Book Items Cons.'!N$5:N$3360,"")+SUMIFS('J Book Items Cons.'!R$5:R$3360,'J Book Items Cons.'!E$5:E$3360,1,'J Book Items Cons.'!S$5:S$3360,"[PARENT]",'J Book Items Cons.'!X$5:X$3360,"WMSM",'J Book Items Cons.'!R$5:R$3360,"&lt;&gt;")+SUMIFS('J Book Items Cons.'!N$5:N$3360,'J Book Items Cons.'!E$5:E$3360,1,'J Book Items Cons.'!S$5:S$3360,"[PARENT]",'J Book Items Cons.'!X$5:X$3360,"WMSM",'J Book Items Cons.'!R$5:R$3360,"",'J Book Items Cons.'!N$5:N$3360,"&lt;&gt;")+SUMIFS('J Book Items Cons.'!L$5:L$3360,'J Book Items Cons.'!E$5:E$3360,1,'J Book Items Cons.'!S$5:S$3360,"[PARENT]",'J Book Items Cons.'!X$5:X$3360,"WMSM",'J Book Items Cons.'!R$5:R$3360,"",'J Book Items Cons.'!N$5:N$3360,"")</f>
        <v>812400</v>
      </c>
      <c r="Z57" s="14">
        <f>SUMIFS('J Book Items Cons.'!R$5:R$3360,'J Book Items Cons.'!E$5:E$3360,1,'J Book Items Cons.'!S$5:S$3360,"",'J Book Items Cons.'!X$5:X$3360,"WPC",'J Book Items Cons.'!R$5:R$3360,"&lt;&gt;")+SUMIFS('J Book Items Cons.'!N$5:N$3360,'J Book Items Cons.'!E$5:E$3360,1,'J Book Items Cons.'!S$5:S$3360,"",'J Book Items Cons.'!X$5:X$3360,"WPC",'J Book Items Cons.'!R$5:R$3360,"",'J Book Items Cons.'!N$5:N$3360,"&lt;&gt;")+SUMIFS('J Book Items Cons.'!L$5:L$3360,'J Book Items Cons.'!E$5:E$3360,1,'J Book Items Cons.'!S$5:S$3360,"",'J Book Items Cons.'!X$5:X$3360,"WPC",'J Book Items Cons.'!R$5:R$3360,"",'J Book Items Cons.'!N$5:N$3360,"")+SUMIFS('J Book Items Cons.'!R$5:R$3360,'J Book Items Cons.'!E$5:E$3360,1,'J Book Items Cons.'!S$5:S$3360,"[PARENT]",'J Book Items Cons.'!X$5:X$3360,"WPC",'J Book Items Cons.'!R$5:R$3360,"&lt;&gt;")+SUMIFS('J Book Items Cons.'!N$5:N$3360,'J Book Items Cons.'!E$5:E$3360,1,'J Book Items Cons.'!S$5:S$3360,"[PARENT]",'J Book Items Cons.'!X$5:X$3360,"WPC",'J Book Items Cons.'!R$5:R$3360,"",'J Book Items Cons.'!N$5:N$3360,"&lt;&gt;")+SUMIFS('J Book Items Cons.'!L$5:L$3360,'J Book Items Cons.'!E$5:E$3360,1,'J Book Items Cons.'!S$5:S$3360,"[PARENT]",'J Book Items Cons.'!X$5:X$3360,"WPC",'J Book Items Cons.'!R$5:R$3360,"",'J Book Items Cons.'!N$5:N$3360,"")</f>
        <v>216000</v>
      </c>
      <c r="AA57" s="14">
        <f>SUMIFS('J Book Items Cons.'!R$5:R$3360,'J Book Items Cons.'!E$5:E$3360,1,'J Book Items Cons.'!S$5:S$3360,"",'J Book Items Cons.'!X$5:X$3360,"WAGB",'J Book Items Cons.'!R$5:R$3360,"&lt;&gt;")+SUMIFS('J Book Items Cons.'!N$5:N$3360,'J Book Items Cons.'!E$5:E$3360,1,'J Book Items Cons.'!S$5:S$3360,"",'J Book Items Cons.'!X$5:X$3360,"WAGB",'J Book Items Cons.'!R$5:R$3360,"",'J Book Items Cons.'!N$5:N$3360,"&lt;&gt;")+SUMIFS('J Book Items Cons.'!L$5:L$3360,'J Book Items Cons.'!E$5:E$3360,1,'J Book Items Cons.'!S$5:S$3360,"",'J Book Items Cons.'!X$5:X$3360,"WAGB",'J Book Items Cons.'!R$5:R$3360,"",'J Book Items Cons.'!N$5:N$3360,"")+SUMIFS('J Book Items Cons.'!R$5:R$3360,'J Book Items Cons.'!E$5:E$3360,1,'J Book Items Cons.'!S$5:S$3360,"[PARENT]",'J Book Items Cons.'!X$5:X$3360,"WAGB",'J Book Items Cons.'!R$5:R$3360,"&lt;&gt;")+SUMIFS('J Book Items Cons.'!N$5:N$3360,'J Book Items Cons.'!E$5:E$3360,1,'J Book Items Cons.'!S$5:S$3360,"[PARENT]",'J Book Items Cons.'!X$5:X$3360,"WAGB",'J Book Items Cons.'!R$5:R$3360,"",'J Book Items Cons.'!N$5:N$3360,"&lt;&gt;")+SUMIFS('J Book Items Cons.'!L$5:L$3360,'J Book Items Cons.'!E$5:E$3360,1,'J Book Items Cons.'!S$5:S$3360,"[PARENT]",'J Book Items Cons.'!X$5:X$3360,"WAGB",'J Book Items Cons.'!R$5:R$3360,"",'J Book Items Cons.'!N$5:N$3360,"")</f>
        <v>130000</v>
      </c>
      <c r="AB57" s="14">
        <f>SUMIFS('J Book Items Cons.'!R$5:R$3360,'J Book Items Cons.'!E$5:E$3360,1,'J Book Items Cons.'!S$5:S$3360,"",'J Book Items Cons.'!X$5:X$3360,"WCC",'J Book Items Cons.'!R$5:R$3360,"&lt;&gt;")+SUMIFS('J Book Items Cons.'!N$5:N$3360,'J Book Items Cons.'!E$5:E$3360,1,'J Book Items Cons.'!S$5:S$3360,"",'J Book Items Cons.'!X$5:X$3360,"WCC",'J Book Items Cons.'!R$5:R$3360,"",'J Book Items Cons.'!N$5:N$3360,"&lt;&gt;")+SUMIFS('J Book Items Cons.'!L$5:L$3360,'J Book Items Cons.'!E$5:E$3360,1,'J Book Items Cons.'!S$5:S$3360,"",'J Book Items Cons.'!X$5:X$3360,"WCC",'J Book Items Cons.'!R$5:R$3360,"",'J Book Items Cons.'!N$5:N$3360,"")+SUMIFS('J Book Items Cons.'!R$5:R$3360,'J Book Items Cons.'!E$5:E$3360,1,'J Book Items Cons.'!S$5:S$3360,"[PARENT]",'J Book Items Cons.'!X$5:X$3360,"WCC",'J Book Items Cons.'!R$5:R$3360,"&lt;&gt;")+SUMIFS('J Book Items Cons.'!N$5:N$3360,'J Book Items Cons.'!E$5:E$3360,1,'J Book Items Cons.'!S$5:S$3360,"[PARENT]",'J Book Items Cons.'!X$5:X$3360,"WCC",'J Book Items Cons.'!R$5:R$3360,"",'J Book Items Cons.'!N$5:N$3360,"&lt;&gt;")+SUMIFS('J Book Items Cons.'!L$5:L$3360,'J Book Items Cons.'!E$5:E$3360,1,'J Book Items Cons.'!S$5:S$3360,"[PARENT]",'J Book Items Cons.'!X$5:X$3360,"WCC",'J Book Items Cons.'!R$5:R$3360,"",'J Book Items Cons.'!N$5:N$3360,"")</f>
        <v>98000</v>
      </c>
      <c r="AC57" s="26">
        <f>SUMIFS('J Book Items Cons.'!R$5:R$3360,'J Book Items Cons.'!E$5:E$3360,1,'J Book Items Cons.'!S$5:S$3360,"",'J Book Items Cons.'!X$5:X$3360,"WMSL",'J Book Items Cons.'!R$5:R$3360,"&lt;&gt;")+SUMIFS('J Book Items Cons.'!N$5:N$3360,'J Book Items Cons.'!E$5:E$3360,1,'J Book Items Cons.'!S$5:S$3360,"",'J Book Items Cons.'!X$5:X$3360,"WMSL",'J Book Items Cons.'!R$5:R$3360,"",'J Book Items Cons.'!N$5:N$3360,"&lt;&gt;")+SUMIFS('J Book Items Cons.'!L$5:L$3360,'J Book Items Cons.'!E$5:E$3360,1,'J Book Items Cons.'!S$5:S$3360,"",'J Book Items Cons.'!X$5:X$3360,"WMSL",'J Book Items Cons.'!R$5:R$3360,"",'J Book Items Cons.'!N$5:N$3360,"")+SUMIFS('J Book Items Cons.'!R$5:R$3360,'J Book Items Cons.'!E$5:E$3360,1,'J Book Items Cons.'!S$5:S$3360,"[PARENT]",'J Book Items Cons.'!X$5:X$3360,"WMSL",'J Book Items Cons.'!R$5:R$3360,"&lt;&gt;")+SUMIFS('J Book Items Cons.'!N$5:N$3360,'J Book Items Cons.'!E$5:E$3360,1,'J Book Items Cons.'!S$5:S$3360,"[PARENT]",'J Book Items Cons.'!X$5:X$3360,"WMSL",'J Book Items Cons.'!R$5:R$3360,"",'J Book Items Cons.'!N$5:N$3360,"&lt;&gt;")+SUMIFS('J Book Items Cons.'!L$5:L$3360,'J Book Items Cons.'!E$5:E$3360,1,'J Book Items Cons.'!S$5:S$3360,"[PARENT]",'J Book Items Cons.'!X$5:X$3360,"WMSL",'J Book Items Cons.'!R$5:R$3360,"",'J Book Items Cons.'!N$5:N$3360,"")</f>
        <v>0</v>
      </c>
      <c r="AD57" s="14">
        <f t="shared" ref="AD57:AD63" si="5">SUM(B57:AC57)</f>
        <v>41953413</v>
      </c>
    </row>
    <row r="58" spans="1:42" x14ac:dyDescent="0.15">
      <c r="A58" s="7" t="s">
        <v>8823</v>
      </c>
      <c r="B58" s="25">
        <f>SUMIFS('J Book Items Cons.'!R$5:R$3360,'J Book Items Cons.'!E$5:E$3360,2,'J Book Items Cons.'!S$5:S$3360,"",'J Book Items Cons.'!X$5:X$3360,"SSN",'J Book Items Cons.'!R$5:R$3360,"&lt;&gt;")+SUMIFS('J Book Items Cons.'!N$5:N$3360,'J Book Items Cons.'!E$5:E$3360,2,'J Book Items Cons.'!S$5:S$3360,"",'J Book Items Cons.'!X$5:X$3360,"SSN",'J Book Items Cons.'!R$5:R$3360,"",'J Book Items Cons.'!N$5:N$3360,"&lt;&gt;")+SUMIFS('J Book Items Cons.'!L$5:L$3360,'J Book Items Cons.'!E$5:E$3360,2,'J Book Items Cons.'!S$5:S$3360,"",'J Book Items Cons.'!X$5:X$3360,"SSN",'J Book Items Cons.'!R$5:R$3360,"",'J Book Items Cons.'!N$5:N$3360,"")+SUMIFS('J Book Items Cons.'!R$5:R$3360,'J Book Items Cons.'!E$5:E$3360,2,'J Book Items Cons.'!S$5:S$3360,"[PARENT]",'J Book Items Cons.'!X$5:X$3360,"SSN",'J Book Items Cons.'!R$5:R$3360,"&lt;&gt;")+SUMIFS('J Book Items Cons.'!N$5:N$3360,'J Book Items Cons.'!E$5:E$3360,2,'J Book Items Cons.'!S$5:S$3360,"[PARENT]",'J Book Items Cons.'!X$5:X$3360,"SSN",'J Book Items Cons.'!R$5:R$3360,"",'J Book Items Cons.'!N$5:N$3360,"&lt;&gt;")+SUMIFS('J Book Items Cons.'!L$5:L$3360,'J Book Items Cons.'!E$5:E$3360,2,'J Book Items Cons.'!S$5:S$3360,"[PARENT]",'J Book Items Cons.'!X$5:X$3360,"SSN",'J Book Items Cons.'!R$5:R$3360,"",'J Book Items Cons.'!N$5:N$3360,"")</f>
        <v>5214667</v>
      </c>
      <c r="C58" s="14">
        <f>SUMIFS('J Book Items Cons.'!R$5:R$3360,'J Book Items Cons.'!E$5:E$3360,2,'J Book Items Cons.'!S$5:S$3360,"",'J Book Items Cons.'!X$5:X$3360,"SSBN",'J Book Items Cons.'!R$5:R$3360,"&lt;&gt;")+SUMIFS('J Book Items Cons.'!N$5:N$3360,'J Book Items Cons.'!E$5:E$3360,2,'J Book Items Cons.'!S$5:S$3360,"",'J Book Items Cons.'!X$5:X$3360,"SSBN",'J Book Items Cons.'!R$5:R$3360,"",'J Book Items Cons.'!N$5:N$3360,"&lt;&gt;")+SUMIFS('J Book Items Cons.'!L$5:L$3360,'J Book Items Cons.'!E$5:E$3360,2,'J Book Items Cons.'!S$5:S$3360,"",'J Book Items Cons.'!X$5:X$3360,"SSBN",'J Book Items Cons.'!R$5:R$3360,"",'J Book Items Cons.'!N$5:N$3360,"")+SUMIFS('J Book Items Cons.'!R$5:R$3360,'J Book Items Cons.'!E$5:E$3360,2,'J Book Items Cons.'!S$5:S$3360,"[PARENT]",'J Book Items Cons.'!X$5:X$3360,"SSBN",'J Book Items Cons.'!R$5:R$3360,"&lt;&gt;")+SUMIFS('J Book Items Cons.'!N$5:N$3360,'J Book Items Cons.'!E$5:E$3360,2,'J Book Items Cons.'!S$5:S$3360,"[PARENT]",'J Book Items Cons.'!X$5:X$3360,"SSBN",'J Book Items Cons.'!R$5:R$3360,"",'J Book Items Cons.'!N$5:N$3360,"&lt;&gt;")+SUMIFS('J Book Items Cons.'!L$5:L$3360,'J Book Items Cons.'!E$5:E$3360,2,'J Book Items Cons.'!S$5:S$3360,"[PARENT]",'J Book Items Cons.'!X$5:X$3360,"SSBN",'J Book Items Cons.'!R$5:R$3360,"",'J Book Items Cons.'!N$5:N$3360,"")</f>
        <v>878403</v>
      </c>
      <c r="D58" s="14">
        <f>SUMIFS('J Book Items Cons.'!R$5:R$3360,'J Book Items Cons.'!E$5:E$3360,2,'J Book Items Cons.'!S$5:S$3360,"",'J Book Items Cons.'!X$5:X$3360,"DDG",'J Book Items Cons.'!R$5:R$3360,"&lt;&gt;")+SUMIFS('J Book Items Cons.'!N$5:N$3360,'J Book Items Cons.'!E$5:E$3360,2,'J Book Items Cons.'!S$5:S$3360,"",'J Book Items Cons.'!X$5:X$3360,"DDG",'J Book Items Cons.'!R$5:R$3360,"",'J Book Items Cons.'!N$5:N$3360,"&lt;&gt;")+SUMIFS('J Book Items Cons.'!L$5:L$3360,'J Book Items Cons.'!E$5:E$3360,2,'J Book Items Cons.'!S$5:S$3360,"",'J Book Items Cons.'!X$5:X$3360,"DDG",'J Book Items Cons.'!R$5:R$3360,"",'J Book Items Cons.'!N$5:N$3360,"")+SUMIFS('J Book Items Cons.'!R$5:R$3360,'J Book Items Cons.'!E$5:E$3360,2,'J Book Items Cons.'!S$5:S$3360,"[PARENT]",'J Book Items Cons.'!X$5:X$3360,"DDG",'J Book Items Cons.'!R$5:R$3360,"&lt;&gt;")+SUMIFS('J Book Items Cons.'!N$5:N$3360,'J Book Items Cons.'!E$5:E$3360,2,'J Book Items Cons.'!S$5:S$3360,"[PARENT]",'J Book Items Cons.'!X$5:X$3360,"DDG",'J Book Items Cons.'!R$5:R$3360,"",'J Book Items Cons.'!N$5:N$3360,"&lt;&gt;")+SUMIFS('J Book Items Cons.'!L$5:L$3360,'J Book Items Cons.'!E$5:E$3360,2,'J Book Items Cons.'!S$5:S$3360,"[PARENT]",'J Book Items Cons.'!X$5:X$3360,"DDG",'J Book Items Cons.'!R$5:R$3360,"",'J Book Items Cons.'!N$5:N$3360,"")</f>
        <v>959808</v>
      </c>
      <c r="E58" s="14">
        <f>SUMIFS('J Book Items Cons.'!R$5:R$3360,'J Book Items Cons.'!E$5:E$3360,2,'J Book Items Cons.'!S$5:S$3360,"",'J Book Items Cons.'!X$5:X$3360,"CVN",'J Book Items Cons.'!R$5:R$3360,"&lt;&gt;")+SUMIFS('J Book Items Cons.'!N$5:N$3360,'J Book Items Cons.'!E$5:E$3360,2,'J Book Items Cons.'!S$5:S$3360,"",'J Book Items Cons.'!X$5:X$3360,"CVN",'J Book Items Cons.'!R$5:R$3360,"",'J Book Items Cons.'!N$5:N$3360,"&lt;&gt;")+SUMIFS('J Book Items Cons.'!L$5:L$3360,'J Book Items Cons.'!E$5:E$3360,2,'J Book Items Cons.'!S$5:S$3360,"",'J Book Items Cons.'!X$5:X$3360,"CVN",'J Book Items Cons.'!R$5:R$3360,"",'J Book Items Cons.'!N$5:N$3360,"")+SUMIFS('J Book Items Cons.'!R$5:R$3360,'J Book Items Cons.'!E$5:E$3360,2,'J Book Items Cons.'!S$5:S$3360,"[PARENT]",'J Book Items Cons.'!X$5:X$3360,"CVN",'J Book Items Cons.'!R$5:R$3360,"&lt;&gt;")+SUMIFS('J Book Items Cons.'!N$5:N$3360,'J Book Items Cons.'!E$5:E$3360,2,'J Book Items Cons.'!S$5:S$3360,"[PARENT]",'J Book Items Cons.'!X$5:X$3360,"CVN",'J Book Items Cons.'!R$5:R$3360,"",'J Book Items Cons.'!N$5:N$3360,"&lt;&gt;")+SUMIFS('J Book Items Cons.'!L$5:L$3360,'J Book Items Cons.'!E$5:E$3360,2,'J Book Items Cons.'!S$5:S$3360,"[PARENT]",'J Book Items Cons.'!X$5:X$3360,"CVN",'J Book Items Cons.'!R$5:R$3360,"",'J Book Items Cons.'!N$5:N$3360,"")</f>
        <v>3102554</v>
      </c>
      <c r="F58" s="14">
        <f>SUMIFS('J Book Items Cons.'!R$5:R$3360,'J Book Items Cons.'!E$5:E$3360,2,'J Book Items Cons.'!S$5:S$3360,"",'J Book Items Cons.'!X$5:X$3360,"LSM",'J Book Items Cons.'!R$5:R$3360,"&lt;&gt;")+SUMIFS('J Book Items Cons.'!N$5:N$3360,'J Book Items Cons.'!E$5:E$3360,2,'J Book Items Cons.'!S$5:S$3360,"",'J Book Items Cons.'!X$5:X$3360,"LSM",'J Book Items Cons.'!R$5:R$3360,"",'J Book Items Cons.'!N$5:N$3360,"&lt;&gt;")+SUMIFS('J Book Items Cons.'!L$5:L$3360,'J Book Items Cons.'!E$5:E$3360,2,'J Book Items Cons.'!S$5:S$3360,"",'J Book Items Cons.'!X$5:X$3360,"LSM",'J Book Items Cons.'!R$5:R$3360,"",'J Book Items Cons.'!N$5:N$3360,"")+SUMIFS('J Book Items Cons.'!R$5:R$3360,'J Book Items Cons.'!E$5:E$3360,2,'J Book Items Cons.'!S$5:S$3360,"[PARENT]",'J Book Items Cons.'!X$5:X$3360,"LSM",'J Book Items Cons.'!R$5:R$3360,"&lt;&gt;")+SUMIFS('J Book Items Cons.'!N$5:N$3360,'J Book Items Cons.'!E$5:E$3360,2,'J Book Items Cons.'!S$5:S$3360,"[PARENT]",'J Book Items Cons.'!X$5:X$3360,"LSM",'J Book Items Cons.'!R$5:R$3360,"",'J Book Items Cons.'!N$5:N$3360,"&lt;&gt;")+SUMIFS('J Book Items Cons.'!L$5:L$3360,'J Book Items Cons.'!E$5:E$3360,2,'J Book Items Cons.'!S$5:S$3360,"[PARENT]",'J Book Items Cons.'!X$5:X$3360,"LSM",'J Book Items Cons.'!R$5:R$3360,"",'J Book Items Cons.'!N$5:N$3360,"")</f>
        <v>0</v>
      </c>
      <c r="G58" s="14">
        <f>SUMIFS('J Book Items Cons.'!R$5:R$3360,'J Book Items Cons.'!E$5:E$3360,2,'J Book Items Cons.'!S$5:S$3360,"",'J Book Items Cons.'!X$5:X$3360,"T-AO",'J Book Items Cons.'!R$5:R$3360,"&lt;&gt;")+SUMIFS('J Book Items Cons.'!N$5:N$3360,'J Book Items Cons.'!E$5:E$3360,2,'J Book Items Cons.'!S$5:S$3360,"",'J Book Items Cons.'!X$5:X$3360,"T-AO",'J Book Items Cons.'!R$5:R$3360,"",'J Book Items Cons.'!N$5:N$3360,"&lt;&gt;")+SUMIFS('J Book Items Cons.'!L$5:L$3360,'J Book Items Cons.'!E$5:E$3360,2,'J Book Items Cons.'!S$5:S$3360,"",'J Book Items Cons.'!X$5:X$3360,"T-AO",'J Book Items Cons.'!R$5:R$3360,"",'J Book Items Cons.'!N$5:N$3360,"")+SUMIFS('J Book Items Cons.'!R$5:R$3360,'J Book Items Cons.'!E$5:E$3360,2,'J Book Items Cons.'!S$5:S$3360,"[PARENT]",'J Book Items Cons.'!X$5:X$3360,"T-AO",'J Book Items Cons.'!R$5:R$3360,"&lt;&gt;")+SUMIFS('J Book Items Cons.'!N$5:N$3360,'J Book Items Cons.'!E$5:E$3360,2,'J Book Items Cons.'!S$5:S$3360,"[PARENT]",'J Book Items Cons.'!X$5:X$3360,"T-AO",'J Book Items Cons.'!R$5:R$3360,"",'J Book Items Cons.'!N$5:N$3360,"&lt;&gt;")+SUMIFS('J Book Items Cons.'!L$5:L$3360,'J Book Items Cons.'!E$5:E$3360,2,'J Book Items Cons.'!S$5:S$3360,"[PARENT]",'J Book Items Cons.'!X$5:X$3360,"T-AO",'J Book Items Cons.'!R$5:R$3360,"",'J Book Items Cons.'!N$5:N$3360,"")</f>
        <v>0</v>
      </c>
      <c r="H58" s="14">
        <f>SUMIFS('J Book Items Cons.'!R$5:R$3360,'J Book Items Cons.'!E$5:E$3360,2,'J Book Items Cons.'!S$5:S$3360,"",'J Book Items Cons.'!X$5:X$3360,"LCS",'J Book Items Cons.'!R$5:R$3360,"&lt;&gt;")+SUMIFS('J Book Items Cons.'!N$5:N$3360,'J Book Items Cons.'!E$5:E$3360,2,'J Book Items Cons.'!S$5:S$3360,"",'J Book Items Cons.'!X$5:X$3360,"LCS",'J Book Items Cons.'!R$5:R$3360,"",'J Book Items Cons.'!N$5:N$3360,"&lt;&gt;")+SUMIFS('J Book Items Cons.'!L$5:L$3360,'J Book Items Cons.'!E$5:E$3360,2,'J Book Items Cons.'!S$5:S$3360,"",'J Book Items Cons.'!X$5:X$3360,"LCS",'J Book Items Cons.'!R$5:R$3360,"",'J Book Items Cons.'!N$5:N$3360,"")+SUMIFS('J Book Items Cons.'!R$5:R$3360,'J Book Items Cons.'!E$5:E$3360,2,'J Book Items Cons.'!S$5:S$3360,"[PARENT]",'J Book Items Cons.'!X$5:X$3360,"LCS",'J Book Items Cons.'!R$5:R$3360,"&lt;&gt;")+SUMIFS('J Book Items Cons.'!N$5:N$3360,'J Book Items Cons.'!E$5:E$3360,2,'J Book Items Cons.'!S$5:S$3360,"[PARENT]",'J Book Items Cons.'!X$5:X$3360,"LCS",'J Book Items Cons.'!R$5:R$3360,"",'J Book Items Cons.'!N$5:N$3360,"&lt;&gt;")+SUMIFS('J Book Items Cons.'!L$5:L$3360,'J Book Items Cons.'!E$5:E$3360,2,'J Book Items Cons.'!S$5:S$3360,"[PARENT]",'J Book Items Cons.'!X$5:X$3360,"LCS",'J Book Items Cons.'!R$5:R$3360,"",'J Book Items Cons.'!N$5:N$3360,"")</f>
        <v>576389</v>
      </c>
      <c r="I58" s="14">
        <f>SUMIFS('J Book Items Cons.'!R$5:R$3360,'J Book Items Cons.'!E$5:E$3360,2,'J Book Items Cons.'!S$5:S$3360,"",'J Book Items Cons.'!X$5:X$3360,"LPD",'J Book Items Cons.'!R$5:R$3360,"&lt;&gt;")+SUMIFS('J Book Items Cons.'!N$5:N$3360,'J Book Items Cons.'!E$5:E$3360,2,'J Book Items Cons.'!S$5:S$3360,"",'J Book Items Cons.'!X$5:X$3360,"LPD",'J Book Items Cons.'!R$5:R$3360,"",'J Book Items Cons.'!N$5:N$3360,"&lt;&gt;")+SUMIFS('J Book Items Cons.'!L$5:L$3360,'J Book Items Cons.'!E$5:E$3360,2,'J Book Items Cons.'!S$5:S$3360,"",'J Book Items Cons.'!X$5:X$3360,"LPD",'J Book Items Cons.'!R$5:R$3360,"",'J Book Items Cons.'!N$5:N$3360,"")+SUMIFS('J Book Items Cons.'!R$5:R$3360,'J Book Items Cons.'!E$5:E$3360,2,'J Book Items Cons.'!S$5:S$3360,"[PARENT]",'J Book Items Cons.'!X$5:X$3360,"LPD",'J Book Items Cons.'!R$5:R$3360,"&lt;&gt;")+SUMIFS('J Book Items Cons.'!N$5:N$3360,'J Book Items Cons.'!E$5:E$3360,2,'J Book Items Cons.'!S$5:S$3360,"[PARENT]",'J Book Items Cons.'!X$5:X$3360,"LPD",'J Book Items Cons.'!R$5:R$3360,"",'J Book Items Cons.'!N$5:N$3360,"&lt;&gt;")+SUMIFS('J Book Items Cons.'!L$5:L$3360,'J Book Items Cons.'!E$5:E$3360,2,'J Book Items Cons.'!S$5:S$3360,"[PARENT]",'J Book Items Cons.'!X$5:X$3360,"LPD",'J Book Items Cons.'!R$5:R$3360,"",'J Book Items Cons.'!N$5:N$3360,"")</f>
        <v>149595</v>
      </c>
      <c r="J58" s="14">
        <f>SUMIFS('J Book Items Cons.'!R$5:R$3360,'J Book Items Cons.'!E$5:E$3360,2,'J Book Items Cons.'!S$5:S$3360,"",'J Book Items Cons.'!X$5:X$3360,"MUSV",'J Book Items Cons.'!R$5:R$3360,"&lt;&gt;")+SUMIFS('J Book Items Cons.'!N$5:N$3360,'J Book Items Cons.'!E$5:E$3360,2,'J Book Items Cons.'!S$5:S$3360,"",'J Book Items Cons.'!X$5:X$3360,"MUSV",'J Book Items Cons.'!R$5:R$3360,"",'J Book Items Cons.'!N$5:N$3360,"&lt;&gt;")+SUMIFS('J Book Items Cons.'!L$5:L$3360,'J Book Items Cons.'!E$5:E$3360,2,'J Book Items Cons.'!S$5:S$3360,"",'J Book Items Cons.'!X$5:X$3360,"MUSV",'J Book Items Cons.'!R$5:R$3360,"",'J Book Items Cons.'!N$5:N$3360,"")+SUMIFS('J Book Items Cons.'!R$5:R$3360,'J Book Items Cons.'!E$5:E$3360,2,'J Book Items Cons.'!S$5:S$3360,"[PARENT]",'J Book Items Cons.'!X$5:X$3360,"MUSV",'J Book Items Cons.'!R$5:R$3360,"&lt;&gt;")+SUMIFS('J Book Items Cons.'!N$5:N$3360,'J Book Items Cons.'!E$5:E$3360,2,'J Book Items Cons.'!S$5:S$3360,"[PARENT]",'J Book Items Cons.'!X$5:X$3360,"MUSV",'J Book Items Cons.'!R$5:R$3360,"",'J Book Items Cons.'!N$5:N$3360,"&lt;&gt;")+SUMIFS('J Book Items Cons.'!L$5:L$3360,'J Book Items Cons.'!E$5:E$3360,2,'J Book Items Cons.'!S$5:S$3360,"[PARENT]",'J Book Items Cons.'!X$5:X$3360,"MUSV",'J Book Items Cons.'!R$5:R$3360,"",'J Book Items Cons.'!N$5:N$3360,"")</f>
        <v>0</v>
      </c>
      <c r="K58" s="14">
        <f>SUMIFS('J Book Items Cons.'!R$5:R$3360,'J Book Items Cons.'!E$5:E$3360,2,'J Book Items Cons.'!S$5:S$3360,"",'J Book Items Cons.'!X$5:X$3360,"LHD",'J Book Items Cons.'!R$5:R$3360,"&lt;&gt;")+SUMIFS('J Book Items Cons.'!N$5:N$3360,'J Book Items Cons.'!E$5:E$3360,2,'J Book Items Cons.'!S$5:S$3360,"",'J Book Items Cons.'!X$5:X$3360,"LHD",'J Book Items Cons.'!R$5:R$3360,"",'J Book Items Cons.'!N$5:N$3360,"&lt;&gt;")+SUMIFS('J Book Items Cons.'!L$5:L$3360,'J Book Items Cons.'!E$5:E$3360,2,'J Book Items Cons.'!S$5:S$3360,"",'J Book Items Cons.'!X$5:X$3360,"LHD",'J Book Items Cons.'!R$5:R$3360,"",'J Book Items Cons.'!N$5:N$3360,"")+SUMIFS('J Book Items Cons.'!R$5:R$3360,'J Book Items Cons.'!E$5:E$3360,2,'J Book Items Cons.'!S$5:S$3360,"[PARENT]",'J Book Items Cons.'!X$5:X$3360,"LHD",'J Book Items Cons.'!R$5:R$3360,"&lt;&gt;")+SUMIFS('J Book Items Cons.'!N$5:N$3360,'J Book Items Cons.'!E$5:E$3360,2,'J Book Items Cons.'!S$5:S$3360,"[PARENT]",'J Book Items Cons.'!X$5:X$3360,"LHD",'J Book Items Cons.'!R$5:R$3360,"",'J Book Items Cons.'!N$5:N$3360,"&lt;&gt;")+SUMIFS('J Book Items Cons.'!L$5:L$3360,'J Book Items Cons.'!E$5:E$3360,2,'J Book Items Cons.'!S$5:S$3360,"[PARENT]",'J Book Items Cons.'!X$5:X$3360,"LHD",'J Book Items Cons.'!R$5:R$3360,"",'J Book Items Cons.'!N$5:N$3360,"")</f>
        <v>346443</v>
      </c>
      <c r="L58" s="14">
        <f>SUMIFS('J Book Items Cons.'!R$5:R$3360,'J Book Items Cons.'!E$5:E$3360,2,'J Book Items Cons.'!S$5:S$3360,"",'J Book Items Cons.'!X$5:X$3360,"T-AK / T-AKR",'J Book Items Cons.'!R$5:R$3360,"&lt;&gt;")+SUMIFS('J Book Items Cons.'!N$5:N$3360,'J Book Items Cons.'!E$5:E$3360,2,'J Book Items Cons.'!S$5:S$3360,"",'J Book Items Cons.'!X$5:X$3360,"T-AK / T-AKR",'J Book Items Cons.'!R$5:R$3360,"",'J Book Items Cons.'!N$5:N$3360,"&lt;&gt;")+SUMIFS('J Book Items Cons.'!L$5:L$3360,'J Book Items Cons.'!E$5:E$3360,2,'J Book Items Cons.'!S$5:S$3360,"",'J Book Items Cons.'!X$5:X$3360,"T-AK / T-AKR",'J Book Items Cons.'!R$5:R$3360,"",'J Book Items Cons.'!N$5:N$3360,"")+SUMIFS('J Book Items Cons.'!R$5:R$3360,'J Book Items Cons.'!E$5:E$3360,2,'J Book Items Cons.'!S$5:S$3360,"[PARENT]",'J Book Items Cons.'!X$5:X$3360,"T-AK / T-AKR",'J Book Items Cons.'!R$5:R$3360,"&lt;&gt;")+SUMIFS('J Book Items Cons.'!N$5:N$3360,'J Book Items Cons.'!E$5:E$3360,2,'J Book Items Cons.'!S$5:S$3360,"[PARENT]",'J Book Items Cons.'!X$5:X$3360,"T-AK / T-AKR",'J Book Items Cons.'!R$5:R$3360,"",'J Book Items Cons.'!N$5:N$3360,"&lt;&gt;")+SUMIFS('J Book Items Cons.'!L$5:L$3360,'J Book Items Cons.'!E$5:E$3360,2,'J Book Items Cons.'!S$5:S$3360,"[PARENT]",'J Book Items Cons.'!X$5:X$3360,"T-AK / T-AKR",'J Book Items Cons.'!R$5:R$3360,"",'J Book Items Cons.'!N$5:N$3360,"")</f>
        <v>0</v>
      </c>
      <c r="M58" s="14">
        <f>SUMIFS('J Book Items Cons.'!R$5:R$3360,'J Book Items Cons.'!E$5:E$3360,2,'J Book Items Cons.'!S$5:S$3360,"",'J Book Items Cons.'!X$5:X$3360,"LHA",'J Book Items Cons.'!R$5:R$3360,"&lt;&gt;")+SUMIFS('J Book Items Cons.'!N$5:N$3360,'J Book Items Cons.'!E$5:E$3360,2,'J Book Items Cons.'!S$5:S$3360,"",'J Book Items Cons.'!X$5:X$3360,"LHA",'J Book Items Cons.'!R$5:R$3360,"",'J Book Items Cons.'!N$5:N$3360,"&lt;&gt;")+SUMIFS('J Book Items Cons.'!L$5:L$3360,'J Book Items Cons.'!E$5:E$3360,2,'J Book Items Cons.'!S$5:S$3360,"",'J Book Items Cons.'!X$5:X$3360,"LHA",'J Book Items Cons.'!R$5:R$3360,"",'J Book Items Cons.'!N$5:N$3360,"")+SUMIFS('J Book Items Cons.'!R$5:R$3360,'J Book Items Cons.'!E$5:E$3360,2,'J Book Items Cons.'!S$5:S$3360,"[PARENT]",'J Book Items Cons.'!X$5:X$3360,"LHA",'J Book Items Cons.'!R$5:R$3360,"&lt;&gt;")+SUMIFS('J Book Items Cons.'!N$5:N$3360,'J Book Items Cons.'!E$5:E$3360,2,'J Book Items Cons.'!S$5:S$3360,"[PARENT]",'J Book Items Cons.'!X$5:X$3360,"LHA",'J Book Items Cons.'!R$5:R$3360,"",'J Book Items Cons.'!N$5:N$3360,"&lt;&gt;")+SUMIFS('J Book Items Cons.'!L$5:L$3360,'J Book Items Cons.'!E$5:E$3360,2,'J Book Items Cons.'!S$5:S$3360,"[PARENT]",'J Book Items Cons.'!X$5:X$3360,"LHA",'J Book Items Cons.'!R$5:R$3360,"",'J Book Items Cons.'!N$5:N$3360,"")</f>
        <v>45012</v>
      </c>
      <c r="N58" s="14">
        <f>SUMIFS('J Book Items Cons.'!R$5:R$3360,'J Book Items Cons.'!E$5:E$3360,2,'J Book Items Cons.'!S$5:S$3360,"",'J Book Items Cons.'!X$5:X$3360,"T-AGOS",'J Book Items Cons.'!R$5:R$3360,"&lt;&gt;")+SUMIFS('J Book Items Cons.'!N$5:N$3360,'J Book Items Cons.'!E$5:E$3360,2,'J Book Items Cons.'!S$5:S$3360,"",'J Book Items Cons.'!X$5:X$3360,"T-AGOS",'J Book Items Cons.'!R$5:R$3360,"",'J Book Items Cons.'!N$5:N$3360,"&lt;&gt;")+SUMIFS('J Book Items Cons.'!L$5:L$3360,'J Book Items Cons.'!E$5:E$3360,2,'J Book Items Cons.'!S$5:S$3360,"",'J Book Items Cons.'!X$5:X$3360,"T-AGOS",'J Book Items Cons.'!R$5:R$3360,"",'J Book Items Cons.'!N$5:N$3360,"")+SUMIFS('J Book Items Cons.'!R$5:R$3360,'J Book Items Cons.'!E$5:E$3360,2,'J Book Items Cons.'!S$5:S$3360,"[PARENT]",'J Book Items Cons.'!X$5:X$3360,"T-AGOS",'J Book Items Cons.'!R$5:R$3360,"&lt;&gt;")+SUMIFS('J Book Items Cons.'!N$5:N$3360,'J Book Items Cons.'!E$5:E$3360,2,'J Book Items Cons.'!S$5:S$3360,"[PARENT]",'J Book Items Cons.'!X$5:X$3360,"T-AGOS",'J Book Items Cons.'!R$5:R$3360,"",'J Book Items Cons.'!N$5:N$3360,"&lt;&gt;")+SUMIFS('J Book Items Cons.'!L$5:L$3360,'J Book Items Cons.'!E$5:E$3360,2,'J Book Items Cons.'!S$5:S$3360,"[PARENT]",'J Book Items Cons.'!X$5:X$3360,"T-AGOS",'J Book Items Cons.'!R$5:R$3360,"",'J Book Items Cons.'!N$5:N$3360,"")</f>
        <v>0</v>
      </c>
      <c r="O58" s="14">
        <f>SUMIFS('J Book Items Cons.'!R$5:R$3360,'J Book Items Cons.'!E$5:E$3360,2,'J Book Items Cons.'!S$5:S$3360,"",'J Book Items Cons.'!X$5:X$3360,"LCAC",'J Book Items Cons.'!R$5:R$3360,"&lt;&gt;")+SUMIFS('J Book Items Cons.'!N$5:N$3360,'J Book Items Cons.'!E$5:E$3360,2,'J Book Items Cons.'!S$5:S$3360,"",'J Book Items Cons.'!X$5:X$3360,"LCAC",'J Book Items Cons.'!R$5:R$3360,"",'J Book Items Cons.'!N$5:N$3360,"&lt;&gt;")+SUMIFS('J Book Items Cons.'!L$5:L$3360,'J Book Items Cons.'!E$5:E$3360,2,'J Book Items Cons.'!S$5:S$3360,"",'J Book Items Cons.'!X$5:X$3360,"LCAC",'J Book Items Cons.'!R$5:R$3360,"",'J Book Items Cons.'!N$5:N$3360,"")+SUMIFS('J Book Items Cons.'!R$5:R$3360,'J Book Items Cons.'!E$5:E$3360,2,'J Book Items Cons.'!S$5:S$3360,"[PARENT]",'J Book Items Cons.'!X$5:X$3360,"LCAC",'J Book Items Cons.'!R$5:R$3360,"&lt;&gt;")+SUMIFS('J Book Items Cons.'!N$5:N$3360,'J Book Items Cons.'!E$5:E$3360,2,'J Book Items Cons.'!S$5:S$3360,"[PARENT]",'J Book Items Cons.'!X$5:X$3360,"LCAC",'J Book Items Cons.'!R$5:R$3360,"",'J Book Items Cons.'!N$5:N$3360,"&lt;&gt;")+SUMIFS('J Book Items Cons.'!L$5:L$3360,'J Book Items Cons.'!E$5:E$3360,2,'J Book Items Cons.'!S$5:S$3360,"[PARENT]",'J Book Items Cons.'!X$5:X$3360,"LCAC",'J Book Items Cons.'!R$5:R$3360,"",'J Book Items Cons.'!N$5:N$3360,"")</f>
        <v>0</v>
      </c>
      <c r="P58" s="14">
        <f>SUMIFS('J Book Items Cons.'!R$5:R$3360,'J Book Items Cons.'!E$5:E$3360,2,'J Book Items Cons.'!S$5:S$3360,"",'J Book Items Cons.'!X$5:X$3360,"LCU",'J Book Items Cons.'!R$5:R$3360,"&lt;&gt;")+SUMIFS('J Book Items Cons.'!N$5:N$3360,'J Book Items Cons.'!E$5:E$3360,2,'J Book Items Cons.'!S$5:S$3360,"",'J Book Items Cons.'!X$5:X$3360,"LCU",'J Book Items Cons.'!R$5:R$3360,"",'J Book Items Cons.'!N$5:N$3360,"&lt;&gt;")+SUMIFS('J Book Items Cons.'!L$5:L$3360,'J Book Items Cons.'!E$5:E$3360,2,'J Book Items Cons.'!S$5:S$3360,"",'J Book Items Cons.'!X$5:X$3360,"LCU",'J Book Items Cons.'!R$5:R$3360,"",'J Book Items Cons.'!N$5:N$3360,"")+SUMIFS('J Book Items Cons.'!R$5:R$3360,'J Book Items Cons.'!E$5:E$3360,2,'J Book Items Cons.'!S$5:S$3360,"[PARENT]",'J Book Items Cons.'!X$5:X$3360,"LCU",'J Book Items Cons.'!R$5:R$3360,"&lt;&gt;")+SUMIFS('J Book Items Cons.'!N$5:N$3360,'J Book Items Cons.'!E$5:E$3360,2,'J Book Items Cons.'!S$5:S$3360,"[PARENT]",'J Book Items Cons.'!X$5:X$3360,"LCU",'J Book Items Cons.'!R$5:R$3360,"",'J Book Items Cons.'!N$5:N$3360,"&lt;&gt;")+SUMIFS('J Book Items Cons.'!L$5:L$3360,'J Book Items Cons.'!E$5:E$3360,2,'J Book Items Cons.'!S$5:S$3360,"[PARENT]",'J Book Items Cons.'!X$5:X$3360,"LCU",'J Book Items Cons.'!R$5:R$3360,"",'J Book Items Cons.'!N$5:N$3360,"")</f>
        <v>1623</v>
      </c>
      <c r="Q58" s="14">
        <f>SUMIFS('J Book Items Cons.'!R$5:R$3360,'J Book Items Cons.'!E$5:E$3360,2,'J Book Items Cons.'!S$5:S$3360,"",'J Book Items Cons.'!X$5:X$3360,"SSGN",'J Book Items Cons.'!R$5:R$3360,"&lt;&gt;")+SUMIFS('J Book Items Cons.'!N$5:N$3360,'J Book Items Cons.'!E$5:E$3360,2,'J Book Items Cons.'!S$5:S$3360,"",'J Book Items Cons.'!X$5:X$3360,"SSGN",'J Book Items Cons.'!R$5:R$3360,"",'J Book Items Cons.'!N$5:N$3360,"&lt;&gt;")+SUMIFS('J Book Items Cons.'!L$5:L$3360,'J Book Items Cons.'!E$5:E$3360,2,'J Book Items Cons.'!S$5:S$3360,"",'J Book Items Cons.'!X$5:X$3360,"SSGN",'J Book Items Cons.'!R$5:R$3360,"",'J Book Items Cons.'!N$5:N$3360,"")+SUMIFS('J Book Items Cons.'!R$5:R$3360,'J Book Items Cons.'!E$5:E$3360,2,'J Book Items Cons.'!S$5:S$3360,"[PARENT]",'J Book Items Cons.'!X$5:X$3360,"SSGN",'J Book Items Cons.'!R$5:R$3360,"&lt;&gt;")+SUMIFS('J Book Items Cons.'!N$5:N$3360,'J Book Items Cons.'!E$5:E$3360,2,'J Book Items Cons.'!S$5:S$3360,"[PARENT]",'J Book Items Cons.'!X$5:X$3360,"SSGN",'J Book Items Cons.'!R$5:R$3360,"",'J Book Items Cons.'!N$5:N$3360,"&lt;&gt;")+SUMIFS('J Book Items Cons.'!L$5:L$3360,'J Book Items Cons.'!E$5:E$3360,2,'J Book Items Cons.'!S$5:S$3360,"[PARENT]",'J Book Items Cons.'!X$5:X$3360,"SSGN",'J Book Items Cons.'!R$5:R$3360,"",'J Book Items Cons.'!N$5:N$3360,"")</f>
        <v>225151</v>
      </c>
      <c r="R58" s="14">
        <f>SUMIFS('J Book Items Cons.'!R$5:R$3360,'J Book Items Cons.'!E$5:E$3360,2,'J Book Items Cons.'!S$5:S$3360,"",'J Book Items Cons.'!X$5:X$3360,"UUV",'J Book Items Cons.'!R$5:R$3360,"&lt;&gt;")+SUMIFS('J Book Items Cons.'!N$5:N$3360,'J Book Items Cons.'!E$5:E$3360,2,'J Book Items Cons.'!S$5:S$3360,"",'J Book Items Cons.'!X$5:X$3360,"UUV",'J Book Items Cons.'!R$5:R$3360,"",'J Book Items Cons.'!N$5:N$3360,"&lt;&gt;")+SUMIFS('J Book Items Cons.'!L$5:L$3360,'J Book Items Cons.'!E$5:E$3360,2,'J Book Items Cons.'!S$5:S$3360,"",'J Book Items Cons.'!X$5:X$3360,"UUV",'J Book Items Cons.'!R$5:R$3360,"",'J Book Items Cons.'!N$5:N$3360,"")+SUMIFS('J Book Items Cons.'!R$5:R$3360,'J Book Items Cons.'!E$5:E$3360,2,'J Book Items Cons.'!S$5:S$3360,"[PARENT]",'J Book Items Cons.'!X$5:X$3360,"UUV",'J Book Items Cons.'!R$5:R$3360,"&lt;&gt;")+SUMIFS('J Book Items Cons.'!N$5:N$3360,'J Book Items Cons.'!E$5:E$3360,2,'J Book Items Cons.'!S$5:S$3360,"[PARENT]",'J Book Items Cons.'!X$5:X$3360,"UUV",'J Book Items Cons.'!R$5:R$3360,"",'J Book Items Cons.'!N$5:N$3360,"&lt;&gt;")+SUMIFS('J Book Items Cons.'!L$5:L$3360,'J Book Items Cons.'!E$5:E$3360,2,'J Book Items Cons.'!S$5:S$3360,"[PARENT]",'J Book Items Cons.'!X$5:X$3360,"UUV",'J Book Items Cons.'!R$5:R$3360,"",'J Book Items Cons.'!N$5:N$3360,"")</f>
        <v>0</v>
      </c>
      <c r="S58" s="14">
        <f>SUMIFS('J Book Items Cons.'!R$5:R$3360,'J Book Items Cons.'!E$5:E$3360,2,'J Book Items Cons.'!S$5:S$3360,"",'J Book Items Cons.'!X$5:X$3360,"CG",'J Book Items Cons.'!R$5:R$3360,"&lt;&gt;")+SUMIFS('J Book Items Cons.'!N$5:N$3360,'J Book Items Cons.'!E$5:E$3360,2,'J Book Items Cons.'!S$5:S$3360,"",'J Book Items Cons.'!X$5:X$3360,"CG",'J Book Items Cons.'!R$5:R$3360,"",'J Book Items Cons.'!N$5:N$3360,"&lt;&gt;")+SUMIFS('J Book Items Cons.'!L$5:L$3360,'J Book Items Cons.'!E$5:E$3360,2,'J Book Items Cons.'!S$5:S$3360,"",'J Book Items Cons.'!X$5:X$3360,"CG",'J Book Items Cons.'!R$5:R$3360,"",'J Book Items Cons.'!N$5:N$3360,"")+SUMIFS('J Book Items Cons.'!R$5:R$3360,'J Book Items Cons.'!E$5:E$3360,2,'J Book Items Cons.'!S$5:S$3360,"[PARENT]",'J Book Items Cons.'!X$5:X$3360,"CG",'J Book Items Cons.'!R$5:R$3360,"&lt;&gt;")+SUMIFS('J Book Items Cons.'!N$5:N$3360,'J Book Items Cons.'!E$5:E$3360,2,'J Book Items Cons.'!S$5:S$3360,"[PARENT]",'J Book Items Cons.'!X$5:X$3360,"CG",'J Book Items Cons.'!R$5:R$3360,"",'J Book Items Cons.'!N$5:N$3360,"&lt;&gt;")+SUMIFS('J Book Items Cons.'!L$5:L$3360,'J Book Items Cons.'!E$5:E$3360,2,'J Book Items Cons.'!S$5:S$3360,"[PARENT]",'J Book Items Cons.'!X$5:X$3360,"CG",'J Book Items Cons.'!R$5:R$3360,"",'J Book Items Cons.'!N$5:N$3360,"")</f>
        <v>115501</v>
      </c>
      <c r="T58" s="14">
        <f>SUMIFS('J Book Items Cons.'!R$5:R$3360,'J Book Items Cons.'!E$5:E$3360,2,'J Book Items Cons.'!S$5:S$3360,"",'J Book Items Cons.'!X$5:X$3360,"LSD",'J Book Items Cons.'!R$5:R$3360,"&lt;&gt;")+SUMIFS('J Book Items Cons.'!N$5:N$3360,'J Book Items Cons.'!E$5:E$3360,2,'J Book Items Cons.'!S$5:S$3360,"",'J Book Items Cons.'!X$5:X$3360,"LSD",'J Book Items Cons.'!R$5:R$3360,"",'J Book Items Cons.'!N$5:N$3360,"&lt;&gt;")+SUMIFS('J Book Items Cons.'!L$5:L$3360,'J Book Items Cons.'!E$5:E$3360,2,'J Book Items Cons.'!S$5:S$3360,"",'J Book Items Cons.'!X$5:X$3360,"LSD",'J Book Items Cons.'!R$5:R$3360,"",'J Book Items Cons.'!N$5:N$3360,"")+SUMIFS('J Book Items Cons.'!R$5:R$3360,'J Book Items Cons.'!E$5:E$3360,2,'J Book Items Cons.'!S$5:S$3360,"[PARENT]",'J Book Items Cons.'!X$5:X$3360,"LSD",'J Book Items Cons.'!R$5:R$3360,"&lt;&gt;")+SUMIFS('J Book Items Cons.'!N$5:N$3360,'J Book Items Cons.'!E$5:E$3360,2,'J Book Items Cons.'!S$5:S$3360,"[PARENT]",'J Book Items Cons.'!X$5:X$3360,"LSD",'J Book Items Cons.'!R$5:R$3360,"",'J Book Items Cons.'!N$5:N$3360,"&lt;&gt;")+SUMIFS('J Book Items Cons.'!L$5:L$3360,'J Book Items Cons.'!E$5:E$3360,2,'J Book Items Cons.'!S$5:S$3360,"[PARENT]",'J Book Items Cons.'!X$5:X$3360,"LSD",'J Book Items Cons.'!R$5:R$3360,"",'J Book Items Cons.'!N$5:N$3360,"")</f>
        <v>94421</v>
      </c>
      <c r="U58" s="14">
        <f>SUMIFS('J Book Items Cons.'!R$5:R$3360,'J Book Items Cons.'!E$5:E$3360,2,'J Book Items Cons.'!S$5:S$3360,"",'J Book Items Cons.'!X$5:X$3360,"ESB",'J Book Items Cons.'!R$5:R$3360,"&lt;&gt;")+SUMIFS('J Book Items Cons.'!N$5:N$3360,'J Book Items Cons.'!E$5:E$3360,2,'J Book Items Cons.'!S$5:S$3360,"",'J Book Items Cons.'!X$5:X$3360,"ESB",'J Book Items Cons.'!R$5:R$3360,"",'J Book Items Cons.'!N$5:N$3360,"&lt;&gt;")+SUMIFS('J Book Items Cons.'!L$5:L$3360,'J Book Items Cons.'!E$5:E$3360,2,'J Book Items Cons.'!S$5:S$3360,"",'J Book Items Cons.'!X$5:X$3360,"ESB",'J Book Items Cons.'!R$5:R$3360,"",'J Book Items Cons.'!N$5:N$3360,"")+SUMIFS('J Book Items Cons.'!R$5:R$3360,'J Book Items Cons.'!E$5:E$3360,2,'J Book Items Cons.'!S$5:S$3360,"[PARENT]",'J Book Items Cons.'!X$5:X$3360,"ESB",'J Book Items Cons.'!R$5:R$3360,"&lt;&gt;")+SUMIFS('J Book Items Cons.'!N$5:N$3360,'J Book Items Cons.'!E$5:E$3360,2,'J Book Items Cons.'!S$5:S$3360,"[PARENT]",'J Book Items Cons.'!X$5:X$3360,"ESB",'J Book Items Cons.'!R$5:R$3360,"",'J Book Items Cons.'!N$5:N$3360,"&lt;&gt;")+SUMIFS('J Book Items Cons.'!L$5:L$3360,'J Book Items Cons.'!E$5:E$3360,2,'J Book Items Cons.'!S$5:S$3360,"[PARENT]",'J Book Items Cons.'!X$5:X$3360,"ESB",'J Book Items Cons.'!R$5:R$3360,"",'J Book Items Cons.'!N$5:N$3360,"")</f>
        <v>23662</v>
      </c>
      <c r="V58" s="14">
        <f>SUMIFS('J Book Items Cons.'!R$5:R$3360,'J Book Items Cons.'!E$5:E$3360,2,'J Book Items Cons.'!S$5:S$3360,"",'J Book Items Cons.'!X$5:X$3360,"LCC",'J Book Items Cons.'!R$5:R$3360,"&lt;&gt;")+SUMIFS('J Book Items Cons.'!N$5:N$3360,'J Book Items Cons.'!E$5:E$3360,2,'J Book Items Cons.'!S$5:S$3360,"",'J Book Items Cons.'!X$5:X$3360,"LCC",'J Book Items Cons.'!R$5:R$3360,"",'J Book Items Cons.'!N$5:N$3360,"&lt;&gt;")+SUMIFS('J Book Items Cons.'!L$5:L$3360,'J Book Items Cons.'!E$5:E$3360,2,'J Book Items Cons.'!S$5:S$3360,"",'J Book Items Cons.'!X$5:X$3360,"LCC",'J Book Items Cons.'!R$5:R$3360,"",'J Book Items Cons.'!N$5:N$3360,"")+SUMIFS('J Book Items Cons.'!R$5:R$3360,'J Book Items Cons.'!E$5:E$3360,2,'J Book Items Cons.'!S$5:S$3360,"[PARENT]",'J Book Items Cons.'!X$5:X$3360,"LCC",'J Book Items Cons.'!R$5:R$3360,"&lt;&gt;")+SUMIFS('J Book Items Cons.'!N$5:N$3360,'J Book Items Cons.'!E$5:E$3360,2,'J Book Items Cons.'!S$5:S$3360,"[PARENT]",'J Book Items Cons.'!X$5:X$3360,"LCC",'J Book Items Cons.'!R$5:R$3360,"",'J Book Items Cons.'!N$5:N$3360,"&lt;&gt;")+SUMIFS('J Book Items Cons.'!L$5:L$3360,'J Book Items Cons.'!E$5:E$3360,2,'J Book Items Cons.'!S$5:S$3360,"[PARENT]",'J Book Items Cons.'!X$5:X$3360,"LCC",'J Book Items Cons.'!R$5:R$3360,"",'J Book Items Cons.'!N$5:N$3360,"")</f>
        <v>22172</v>
      </c>
      <c r="W58" s="14">
        <f>SUMIFS('J Book Items Cons.'!R$5:R$3360,'J Book Items Cons.'!E$5:E$3360,2,'J Book Items Cons.'!S$5:S$3360,"",'J Book Items Cons.'!X$5:X$3360,"MCM",'J Book Items Cons.'!R$5:R$3360,"&lt;&gt;")+SUMIFS('J Book Items Cons.'!N$5:N$3360,'J Book Items Cons.'!E$5:E$3360,2,'J Book Items Cons.'!S$5:S$3360,"",'J Book Items Cons.'!X$5:X$3360,"MCM",'J Book Items Cons.'!R$5:R$3360,"",'J Book Items Cons.'!N$5:N$3360,"&lt;&gt;")+SUMIFS('J Book Items Cons.'!L$5:L$3360,'J Book Items Cons.'!E$5:E$3360,2,'J Book Items Cons.'!S$5:S$3360,"",'J Book Items Cons.'!X$5:X$3360,"MCM",'J Book Items Cons.'!R$5:R$3360,"",'J Book Items Cons.'!N$5:N$3360,"")+SUMIFS('J Book Items Cons.'!R$5:R$3360,'J Book Items Cons.'!E$5:E$3360,2,'J Book Items Cons.'!S$5:S$3360,"[PARENT]",'J Book Items Cons.'!X$5:X$3360,"MCM",'J Book Items Cons.'!R$5:R$3360,"&lt;&gt;")+SUMIFS('J Book Items Cons.'!N$5:N$3360,'J Book Items Cons.'!E$5:E$3360,2,'J Book Items Cons.'!S$5:S$3360,"[PARENT]",'J Book Items Cons.'!X$5:X$3360,"MCM",'J Book Items Cons.'!R$5:R$3360,"",'J Book Items Cons.'!N$5:N$3360,"&lt;&gt;")+SUMIFS('J Book Items Cons.'!L$5:L$3360,'J Book Items Cons.'!E$5:E$3360,2,'J Book Items Cons.'!S$5:S$3360,"[PARENT]",'J Book Items Cons.'!X$5:X$3360,"MCM",'J Book Items Cons.'!R$5:R$3360,"",'J Book Items Cons.'!N$5:N$3360,"")</f>
        <v>23281</v>
      </c>
      <c r="X58" s="26">
        <f>SUMIFS('J Book Items Cons.'!R$5:R$3360,'J Book Items Cons.'!E$5:E$3360,2,'J Book Items Cons.'!S$5:S$3360,"",'J Book Items Cons.'!X$5:X$3360,"PC",'J Book Items Cons.'!R$5:R$3360,"&lt;&gt;")+SUMIFS('J Book Items Cons.'!N$5:N$3360,'J Book Items Cons.'!E$5:E$3360,2,'J Book Items Cons.'!S$5:S$3360,"",'J Book Items Cons.'!X$5:X$3360,"PC",'J Book Items Cons.'!R$5:R$3360,"",'J Book Items Cons.'!N$5:N$3360,"&lt;&gt;")+SUMIFS('J Book Items Cons.'!L$5:L$3360,'J Book Items Cons.'!E$5:E$3360,2,'J Book Items Cons.'!S$5:S$3360,"",'J Book Items Cons.'!X$5:X$3360,"PC",'J Book Items Cons.'!R$5:R$3360,"",'J Book Items Cons.'!N$5:N$3360,"")+SUMIFS('J Book Items Cons.'!R$5:R$3360,'J Book Items Cons.'!E$5:E$3360,2,'J Book Items Cons.'!S$5:S$3360,"[PARENT]",'J Book Items Cons.'!X$5:X$3360,"PC",'J Book Items Cons.'!R$5:R$3360,"&lt;&gt;")+SUMIFS('J Book Items Cons.'!N$5:N$3360,'J Book Items Cons.'!E$5:E$3360,2,'J Book Items Cons.'!S$5:S$3360,"[PARENT]",'J Book Items Cons.'!X$5:X$3360,"PC",'J Book Items Cons.'!R$5:R$3360,"",'J Book Items Cons.'!N$5:N$3360,"&lt;&gt;")+SUMIFS('J Book Items Cons.'!L$5:L$3360,'J Book Items Cons.'!E$5:E$3360,2,'J Book Items Cons.'!S$5:S$3360,"[PARENT]",'J Book Items Cons.'!X$5:X$3360,"PC",'J Book Items Cons.'!R$5:R$3360,"",'J Book Items Cons.'!N$5:N$3360,"")</f>
        <v>9</v>
      </c>
      <c r="Y58" s="25">
        <f>SUMIFS('J Book Items Cons.'!R$5:R$3360,'J Book Items Cons.'!E$5:E$3360,2,'J Book Items Cons.'!S$5:S$3360,"",'J Book Items Cons.'!X$5:X$3360,"WMSM",'J Book Items Cons.'!R$5:R$3360,"&lt;&gt;")+SUMIFS('J Book Items Cons.'!N$5:N$3360,'J Book Items Cons.'!E$5:E$3360,2,'J Book Items Cons.'!S$5:S$3360,"",'J Book Items Cons.'!X$5:X$3360,"WMSM",'J Book Items Cons.'!R$5:R$3360,"",'J Book Items Cons.'!N$5:N$3360,"&lt;&gt;")+SUMIFS('J Book Items Cons.'!L$5:L$3360,'J Book Items Cons.'!E$5:E$3360,2,'J Book Items Cons.'!S$5:S$3360,"",'J Book Items Cons.'!X$5:X$3360,"WMSM",'J Book Items Cons.'!R$5:R$3360,"",'J Book Items Cons.'!N$5:N$3360,"")+SUMIFS('J Book Items Cons.'!R$5:R$3360,'J Book Items Cons.'!E$5:E$3360,2,'J Book Items Cons.'!S$5:S$3360,"[PARENT]",'J Book Items Cons.'!X$5:X$3360,"WMSM",'J Book Items Cons.'!R$5:R$3360,"&lt;&gt;")+SUMIFS('J Book Items Cons.'!N$5:N$3360,'J Book Items Cons.'!E$5:E$3360,2,'J Book Items Cons.'!S$5:S$3360,"[PARENT]",'J Book Items Cons.'!X$5:X$3360,"WMSM",'J Book Items Cons.'!R$5:R$3360,"",'J Book Items Cons.'!N$5:N$3360,"&lt;&gt;")+SUMIFS('J Book Items Cons.'!L$5:L$3360,'J Book Items Cons.'!E$5:E$3360,2,'J Book Items Cons.'!S$5:S$3360,"[PARENT]",'J Book Items Cons.'!X$5:X$3360,"WMSM",'J Book Items Cons.'!R$5:R$3360,"",'J Book Items Cons.'!N$5:N$3360,"")</f>
        <v>0</v>
      </c>
      <c r="Z58" s="14">
        <f>SUMIFS('J Book Items Cons.'!R$5:R$3360,'J Book Items Cons.'!E$5:E$3360,2,'J Book Items Cons.'!S$5:S$3360,"",'J Book Items Cons.'!X$5:X$3360,"WPC",'J Book Items Cons.'!R$5:R$3360,"&lt;&gt;")+SUMIFS('J Book Items Cons.'!N$5:N$3360,'J Book Items Cons.'!E$5:E$3360,2,'J Book Items Cons.'!S$5:S$3360,"",'J Book Items Cons.'!X$5:X$3360,"WPC",'J Book Items Cons.'!R$5:R$3360,"",'J Book Items Cons.'!N$5:N$3360,"&lt;&gt;")+SUMIFS('J Book Items Cons.'!L$5:L$3360,'J Book Items Cons.'!E$5:E$3360,2,'J Book Items Cons.'!S$5:S$3360,"",'J Book Items Cons.'!X$5:X$3360,"WPC",'J Book Items Cons.'!R$5:R$3360,"",'J Book Items Cons.'!N$5:N$3360,"")+SUMIFS('J Book Items Cons.'!R$5:R$3360,'J Book Items Cons.'!E$5:E$3360,2,'J Book Items Cons.'!S$5:S$3360,"[PARENT]",'J Book Items Cons.'!X$5:X$3360,"WPC",'J Book Items Cons.'!R$5:R$3360,"&lt;&gt;")+SUMIFS('J Book Items Cons.'!N$5:N$3360,'J Book Items Cons.'!E$5:E$3360,2,'J Book Items Cons.'!S$5:S$3360,"[PARENT]",'J Book Items Cons.'!X$5:X$3360,"WPC",'J Book Items Cons.'!R$5:R$3360,"",'J Book Items Cons.'!N$5:N$3360,"&lt;&gt;")+SUMIFS('J Book Items Cons.'!L$5:L$3360,'J Book Items Cons.'!E$5:E$3360,2,'J Book Items Cons.'!S$5:S$3360,"[PARENT]",'J Book Items Cons.'!X$5:X$3360,"WPC",'J Book Items Cons.'!R$5:R$3360,"",'J Book Items Cons.'!N$5:N$3360,"")</f>
        <v>0</v>
      </c>
      <c r="AA58" s="14">
        <f>SUMIFS('J Book Items Cons.'!R$5:R$3360,'J Book Items Cons.'!E$5:E$3360,2,'J Book Items Cons.'!S$5:S$3360,"",'J Book Items Cons.'!X$5:X$3360,"WAGB",'J Book Items Cons.'!R$5:R$3360,"&lt;&gt;")+SUMIFS('J Book Items Cons.'!N$5:N$3360,'J Book Items Cons.'!E$5:E$3360,2,'J Book Items Cons.'!S$5:S$3360,"",'J Book Items Cons.'!X$5:X$3360,"WAGB",'J Book Items Cons.'!R$5:R$3360,"",'J Book Items Cons.'!N$5:N$3360,"&lt;&gt;")+SUMIFS('J Book Items Cons.'!L$5:L$3360,'J Book Items Cons.'!E$5:E$3360,2,'J Book Items Cons.'!S$5:S$3360,"",'J Book Items Cons.'!X$5:X$3360,"WAGB",'J Book Items Cons.'!R$5:R$3360,"",'J Book Items Cons.'!N$5:N$3360,"")+SUMIFS('J Book Items Cons.'!R$5:R$3360,'J Book Items Cons.'!E$5:E$3360,2,'J Book Items Cons.'!S$5:S$3360,"[PARENT]",'J Book Items Cons.'!X$5:X$3360,"WAGB",'J Book Items Cons.'!R$5:R$3360,"&lt;&gt;")+SUMIFS('J Book Items Cons.'!N$5:N$3360,'J Book Items Cons.'!E$5:E$3360,2,'J Book Items Cons.'!S$5:S$3360,"[PARENT]",'J Book Items Cons.'!X$5:X$3360,"WAGB",'J Book Items Cons.'!R$5:R$3360,"",'J Book Items Cons.'!N$5:N$3360,"&lt;&gt;")+SUMIFS('J Book Items Cons.'!L$5:L$3360,'J Book Items Cons.'!E$5:E$3360,2,'J Book Items Cons.'!S$5:S$3360,"[PARENT]",'J Book Items Cons.'!X$5:X$3360,"WAGB",'J Book Items Cons.'!R$5:R$3360,"",'J Book Items Cons.'!N$5:N$3360,"")</f>
        <v>0</v>
      </c>
      <c r="AB58" s="14">
        <f>SUMIFS('J Book Items Cons.'!R$5:R$3360,'J Book Items Cons.'!E$5:E$3360,2,'J Book Items Cons.'!S$5:S$3360,"",'J Book Items Cons.'!X$5:X$3360,"WCC",'J Book Items Cons.'!R$5:R$3360,"&lt;&gt;")+SUMIFS('J Book Items Cons.'!N$5:N$3360,'J Book Items Cons.'!E$5:E$3360,2,'J Book Items Cons.'!S$5:S$3360,"",'J Book Items Cons.'!X$5:X$3360,"WCC",'J Book Items Cons.'!R$5:R$3360,"",'J Book Items Cons.'!N$5:N$3360,"&lt;&gt;")+SUMIFS('J Book Items Cons.'!L$5:L$3360,'J Book Items Cons.'!E$5:E$3360,2,'J Book Items Cons.'!S$5:S$3360,"",'J Book Items Cons.'!X$5:X$3360,"WCC",'J Book Items Cons.'!R$5:R$3360,"",'J Book Items Cons.'!N$5:N$3360,"")+SUMIFS('J Book Items Cons.'!R$5:R$3360,'J Book Items Cons.'!E$5:E$3360,2,'J Book Items Cons.'!S$5:S$3360,"[PARENT]",'J Book Items Cons.'!X$5:X$3360,"WCC",'J Book Items Cons.'!R$5:R$3360,"&lt;&gt;")+SUMIFS('J Book Items Cons.'!N$5:N$3360,'J Book Items Cons.'!E$5:E$3360,2,'J Book Items Cons.'!S$5:S$3360,"[PARENT]",'J Book Items Cons.'!X$5:X$3360,"WCC",'J Book Items Cons.'!R$5:R$3360,"",'J Book Items Cons.'!N$5:N$3360,"&lt;&gt;")+SUMIFS('J Book Items Cons.'!L$5:L$3360,'J Book Items Cons.'!E$5:E$3360,2,'J Book Items Cons.'!S$5:S$3360,"[PARENT]",'J Book Items Cons.'!X$5:X$3360,"WCC",'J Book Items Cons.'!R$5:R$3360,"",'J Book Items Cons.'!N$5:N$3360,"")</f>
        <v>0</v>
      </c>
      <c r="AC58" s="26">
        <f>SUMIFS('J Book Items Cons.'!R$5:R$3360,'J Book Items Cons.'!E$5:E$3360,2,'J Book Items Cons.'!S$5:S$3360,"",'J Book Items Cons.'!X$5:X$3360,"WMSL",'J Book Items Cons.'!R$5:R$3360,"&lt;&gt;")+SUMIFS('J Book Items Cons.'!N$5:N$3360,'J Book Items Cons.'!E$5:E$3360,2,'J Book Items Cons.'!S$5:S$3360,"",'J Book Items Cons.'!X$5:X$3360,"WMSL",'J Book Items Cons.'!R$5:R$3360,"",'J Book Items Cons.'!N$5:N$3360,"&lt;&gt;")+SUMIFS('J Book Items Cons.'!L$5:L$3360,'J Book Items Cons.'!E$5:E$3360,2,'J Book Items Cons.'!S$5:S$3360,"",'J Book Items Cons.'!X$5:X$3360,"WMSL",'J Book Items Cons.'!R$5:R$3360,"",'J Book Items Cons.'!N$5:N$3360,"")+SUMIFS('J Book Items Cons.'!R$5:R$3360,'J Book Items Cons.'!E$5:E$3360,2,'J Book Items Cons.'!S$5:S$3360,"[PARENT]",'J Book Items Cons.'!X$5:X$3360,"WMSL",'J Book Items Cons.'!R$5:R$3360,"&lt;&gt;")+SUMIFS('J Book Items Cons.'!N$5:N$3360,'J Book Items Cons.'!E$5:E$3360,2,'J Book Items Cons.'!S$5:S$3360,"[PARENT]",'J Book Items Cons.'!X$5:X$3360,"WMSL",'J Book Items Cons.'!R$5:R$3360,"",'J Book Items Cons.'!N$5:N$3360,"&lt;&gt;")+SUMIFS('J Book Items Cons.'!L$5:L$3360,'J Book Items Cons.'!E$5:E$3360,2,'J Book Items Cons.'!S$5:S$3360,"[PARENT]",'J Book Items Cons.'!X$5:X$3360,"WMSL",'J Book Items Cons.'!R$5:R$3360,"",'J Book Items Cons.'!N$5:N$3360,"")</f>
        <v>0</v>
      </c>
      <c r="AD58" s="14">
        <f t="shared" si="5"/>
        <v>11778691</v>
      </c>
    </row>
    <row r="59" spans="1:42" x14ac:dyDescent="0.15">
      <c r="A59" s="7" t="s">
        <v>8824</v>
      </c>
      <c r="B59" s="25">
        <f>SUMIFS('J Book Items Cons.'!R$5:R$3360,'J Book Items Cons.'!E$5:E$3360,3,'J Book Items Cons.'!S$5:S$3360,"",'J Book Items Cons.'!X$5:X$3360,"SSN",'J Book Items Cons.'!R$5:R$3360,"&lt;&gt;")+SUMIFS('J Book Items Cons.'!N$5:N$3360,'J Book Items Cons.'!E$5:E$3360,3,'J Book Items Cons.'!S$5:S$3360,"",'J Book Items Cons.'!X$5:X$3360,"SSN",'J Book Items Cons.'!R$5:R$3360,"",'J Book Items Cons.'!N$5:N$3360,"&lt;&gt;")+SUMIFS('J Book Items Cons.'!L$5:L$3360,'J Book Items Cons.'!E$5:E$3360,3,'J Book Items Cons.'!S$5:S$3360,"",'J Book Items Cons.'!X$5:X$3360,"SSN",'J Book Items Cons.'!R$5:R$3360,"",'J Book Items Cons.'!N$5:N$3360,"")+SUMIFS('J Book Items Cons.'!R$5:R$3360,'J Book Items Cons.'!E$5:E$3360,3,'J Book Items Cons.'!S$5:S$3360,"[PARENT]",'J Book Items Cons.'!X$5:X$3360,"SSN",'J Book Items Cons.'!R$5:R$3360,"&lt;&gt;")+SUMIFS('J Book Items Cons.'!N$5:N$3360,'J Book Items Cons.'!E$5:E$3360,3,'J Book Items Cons.'!S$5:S$3360,"[PARENT]",'J Book Items Cons.'!X$5:X$3360,"SSN",'J Book Items Cons.'!R$5:R$3360,"",'J Book Items Cons.'!N$5:N$3360,"&lt;&gt;")+SUMIFS('J Book Items Cons.'!L$5:L$3360,'J Book Items Cons.'!E$5:E$3360,3,'J Book Items Cons.'!S$5:S$3360,"[PARENT]",'J Book Items Cons.'!X$5:X$3360,"SSN",'J Book Items Cons.'!R$5:R$3360,"",'J Book Items Cons.'!N$5:N$3360,"")</f>
        <v>0</v>
      </c>
      <c r="C59" s="14">
        <f>SUMIFS('J Book Items Cons.'!R$5:R$3360,'J Book Items Cons.'!E$5:E$3360,3,'J Book Items Cons.'!S$5:S$3360,"",'J Book Items Cons.'!X$5:X$3360,"SSBN",'J Book Items Cons.'!R$5:R$3360,"&lt;&gt;")+SUMIFS('J Book Items Cons.'!N$5:N$3360,'J Book Items Cons.'!E$5:E$3360,3,'J Book Items Cons.'!S$5:S$3360,"",'J Book Items Cons.'!X$5:X$3360,"SSBN",'J Book Items Cons.'!R$5:R$3360,"",'J Book Items Cons.'!N$5:N$3360,"&lt;&gt;")+SUMIFS('J Book Items Cons.'!L$5:L$3360,'J Book Items Cons.'!E$5:E$3360,3,'J Book Items Cons.'!S$5:S$3360,"",'J Book Items Cons.'!X$5:X$3360,"SSBN",'J Book Items Cons.'!R$5:R$3360,"",'J Book Items Cons.'!N$5:N$3360,"")+SUMIFS('J Book Items Cons.'!R$5:R$3360,'J Book Items Cons.'!E$5:E$3360,3,'J Book Items Cons.'!S$5:S$3360,"[PARENT]",'J Book Items Cons.'!X$5:X$3360,"SSBN",'J Book Items Cons.'!R$5:R$3360,"&lt;&gt;")+SUMIFS('J Book Items Cons.'!N$5:N$3360,'J Book Items Cons.'!E$5:E$3360,3,'J Book Items Cons.'!S$5:S$3360,"[PARENT]",'J Book Items Cons.'!X$5:X$3360,"SSBN",'J Book Items Cons.'!R$5:R$3360,"",'J Book Items Cons.'!N$5:N$3360,"&lt;&gt;")+SUMIFS('J Book Items Cons.'!L$5:L$3360,'J Book Items Cons.'!E$5:E$3360,3,'J Book Items Cons.'!S$5:S$3360,"[PARENT]",'J Book Items Cons.'!X$5:X$3360,"SSBN",'J Book Items Cons.'!R$5:R$3360,"",'J Book Items Cons.'!N$5:N$3360,"")</f>
        <v>0</v>
      </c>
      <c r="D59" s="14">
        <f>SUMIFS('J Book Items Cons.'!R$5:R$3360,'J Book Items Cons.'!E$5:E$3360,3,'J Book Items Cons.'!S$5:S$3360,"",'J Book Items Cons.'!X$5:X$3360,"DDG",'J Book Items Cons.'!R$5:R$3360,"&lt;&gt;")+SUMIFS('J Book Items Cons.'!N$5:N$3360,'J Book Items Cons.'!E$5:E$3360,3,'J Book Items Cons.'!S$5:S$3360,"",'J Book Items Cons.'!X$5:X$3360,"DDG",'J Book Items Cons.'!R$5:R$3360,"",'J Book Items Cons.'!N$5:N$3360,"&lt;&gt;")+SUMIFS('J Book Items Cons.'!L$5:L$3360,'J Book Items Cons.'!E$5:E$3360,3,'J Book Items Cons.'!S$5:S$3360,"",'J Book Items Cons.'!X$5:X$3360,"DDG",'J Book Items Cons.'!R$5:R$3360,"",'J Book Items Cons.'!N$5:N$3360,"")+SUMIFS('J Book Items Cons.'!R$5:R$3360,'J Book Items Cons.'!E$5:E$3360,3,'J Book Items Cons.'!S$5:S$3360,"[PARENT]",'J Book Items Cons.'!X$5:X$3360,"DDG",'J Book Items Cons.'!R$5:R$3360,"&lt;&gt;")+SUMIFS('J Book Items Cons.'!N$5:N$3360,'J Book Items Cons.'!E$5:E$3360,3,'J Book Items Cons.'!S$5:S$3360,"[PARENT]",'J Book Items Cons.'!X$5:X$3360,"DDG",'J Book Items Cons.'!R$5:R$3360,"",'J Book Items Cons.'!N$5:N$3360,"&lt;&gt;")+SUMIFS('J Book Items Cons.'!L$5:L$3360,'J Book Items Cons.'!E$5:E$3360,3,'J Book Items Cons.'!S$5:S$3360,"[PARENT]",'J Book Items Cons.'!X$5:X$3360,"DDG",'J Book Items Cons.'!R$5:R$3360,"",'J Book Items Cons.'!N$5:N$3360,"")</f>
        <v>131142</v>
      </c>
      <c r="E59" s="14">
        <f>SUMIFS('J Book Items Cons.'!R$5:R$3360,'J Book Items Cons.'!E$5:E$3360,3,'J Book Items Cons.'!S$5:S$3360,"",'J Book Items Cons.'!X$5:X$3360,"CVN",'J Book Items Cons.'!R$5:R$3360,"&lt;&gt;")+SUMIFS('J Book Items Cons.'!N$5:N$3360,'J Book Items Cons.'!E$5:E$3360,3,'J Book Items Cons.'!S$5:S$3360,"",'J Book Items Cons.'!X$5:X$3360,"CVN",'J Book Items Cons.'!R$5:R$3360,"",'J Book Items Cons.'!N$5:N$3360,"&lt;&gt;")+SUMIFS('J Book Items Cons.'!L$5:L$3360,'J Book Items Cons.'!E$5:E$3360,3,'J Book Items Cons.'!S$5:S$3360,"",'J Book Items Cons.'!X$5:X$3360,"CVN",'J Book Items Cons.'!R$5:R$3360,"",'J Book Items Cons.'!N$5:N$3360,"")+SUMIFS('J Book Items Cons.'!R$5:R$3360,'J Book Items Cons.'!E$5:E$3360,3,'J Book Items Cons.'!S$5:S$3360,"[PARENT]",'J Book Items Cons.'!X$5:X$3360,"CVN",'J Book Items Cons.'!R$5:R$3360,"&lt;&gt;")+SUMIFS('J Book Items Cons.'!N$5:N$3360,'J Book Items Cons.'!E$5:E$3360,3,'J Book Items Cons.'!S$5:S$3360,"[PARENT]",'J Book Items Cons.'!X$5:X$3360,"CVN",'J Book Items Cons.'!R$5:R$3360,"",'J Book Items Cons.'!N$5:N$3360,"&lt;&gt;")+SUMIFS('J Book Items Cons.'!L$5:L$3360,'J Book Items Cons.'!E$5:E$3360,3,'J Book Items Cons.'!S$5:S$3360,"[PARENT]",'J Book Items Cons.'!X$5:X$3360,"CVN",'J Book Items Cons.'!R$5:R$3360,"",'J Book Items Cons.'!N$5:N$3360,"")</f>
        <v>0</v>
      </c>
      <c r="F59" s="14">
        <f>SUMIFS('J Book Items Cons.'!R$5:R$3360,'J Book Items Cons.'!E$5:E$3360,3,'J Book Items Cons.'!S$5:S$3360,"",'J Book Items Cons.'!X$5:X$3360,"LSM",'J Book Items Cons.'!R$5:R$3360,"&lt;&gt;")+SUMIFS('J Book Items Cons.'!N$5:N$3360,'J Book Items Cons.'!E$5:E$3360,3,'J Book Items Cons.'!S$5:S$3360,"",'J Book Items Cons.'!X$5:X$3360,"LSM",'J Book Items Cons.'!R$5:R$3360,"",'J Book Items Cons.'!N$5:N$3360,"&lt;&gt;")+SUMIFS('J Book Items Cons.'!L$5:L$3360,'J Book Items Cons.'!E$5:E$3360,3,'J Book Items Cons.'!S$5:S$3360,"",'J Book Items Cons.'!X$5:X$3360,"LSM",'J Book Items Cons.'!R$5:R$3360,"",'J Book Items Cons.'!N$5:N$3360,"")+SUMIFS('J Book Items Cons.'!R$5:R$3360,'J Book Items Cons.'!E$5:E$3360,3,'J Book Items Cons.'!S$5:S$3360,"[PARENT]",'J Book Items Cons.'!X$5:X$3360,"LSM",'J Book Items Cons.'!R$5:R$3360,"&lt;&gt;")+SUMIFS('J Book Items Cons.'!N$5:N$3360,'J Book Items Cons.'!E$5:E$3360,3,'J Book Items Cons.'!S$5:S$3360,"[PARENT]",'J Book Items Cons.'!X$5:X$3360,"LSM",'J Book Items Cons.'!R$5:R$3360,"",'J Book Items Cons.'!N$5:N$3360,"&lt;&gt;")+SUMIFS('J Book Items Cons.'!L$5:L$3360,'J Book Items Cons.'!E$5:E$3360,3,'J Book Items Cons.'!S$5:S$3360,"[PARENT]",'J Book Items Cons.'!X$5:X$3360,"LSM",'J Book Items Cons.'!R$5:R$3360,"",'J Book Items Cons.'!N$5:N$3360,"")</f>
        <v>0</v>
      </c>
      <c r="G59" s="14">
        <f>SUMIFS('J Book Items Cons.'!R$5:R$3360,'J Book Items Cons.'!E$5:E$3360,3,'J Book Items Cons.'!S$5:S$3360,"",'J Book Items Cons.'!X$5:X$3360,"T-AO",'J Book Items Cons.'!R$5:R$3360,"&lt;&gt;")+SUMIFS('J Book Items Cons.'!N$5:N$3360,'J Book Items Cons.'!E$5:E$3360,3,'J Book Items Cons.'!S$5:S$3360,"",'J Book Items Cons.'!X$5:X$3360,"T-AO",'J Book Items Cons.'!R$5:R$3360,"",'J Book Items Cons.'!N$5:N$3360,"&lt;&gt;")+SUMIFS('J Book Items Cons.'!L$5:L$3360,'J Book Items Cons.'!E$5:E$3360,3,'J Book Items Cons.'!S$5:S$3360,"",'J Book Items Cons.'!X$5:X$3360,"T-AO",'J Book Items Cons.'!R$5:R$3360,"",'J Book Items Cons.'!N$5:N$3360,"")+SUMIFS('J Book Items Cons.'!R$5:R$3360,'J Book Items Cons.'!E$5:E$3360,3,'J Book Items Cons.'!S$5:S$3360,"[PARENT]",'J Book Items Cons.'!X$5:X$3360,"T-AO",'J Book Items Cons.'!R$5:R$3360,"&lt;&gt;")+SUMIFS('J Book Items Cons.'!N$5:N$3360,'J Book Items Cons.'!E$5:E$3360,3,'J Book Items Cons.'!S$5:S$3360,"[PARENT]",'J Book Items Cons.'!X$5:X$3360,"T-AO",'J Book Items Cons.'!R$5:R$3360,"",'J Book Items Cons.'!N$5:N$3360,"&lt;&gt;")+SUMIFS('J Book Items Cons.'!L$5:L$3360,'J Book Items Cons.'!E$5:E$3360,3,'J Book Items Cons.'!S$5:S$3360,"[PARENT]",'J Book Items Cons.'!X$5:X$3360,"T-AO",'J Book Items Cons.'!R$5:R$3360,"",'J Book Items Cons.'!N$5:N$3360,"")</f>
        <v>0</v>
      </c>
      <c r="H59" s="14">
        <f>SUMIFS('J Book Items Cons.'!R$5:R$3360,'J Book Items Cons.'!E$5:E$3360,3,'J Book Items Cons.'!S$5:S$3360,"",'J Book Items Cons.'!X$5:X$3360,"LCS",'J Book Items Cons.'!R$5:R$3360,"&lt;&gt;")+SUMIFS('J Book Items Cons.'!N$5:N$3360,'J Book Items Cons.'!E$5:E$3360,3,'J Book Items Cons.'!S$5:S$3360,"",'J Book Items Cons.'!X$5:X$3360,"LCS",'J Book Items Cons.'!R$5:R$3360,"",'J Book Items Cons.'!N$5:N$3360,"&lt;&gt;")+SUMIFS('J Book Items Cons.'!L$5:L$3360,'J Book Items Cons.'!E$5:E$3360,3,'J Book Items Cons.'!S$5:S$3360,"",'J Book Items Cons.'!X$5:X$3360,"LCS",'J Book Items Cons.'!R$5:R$3360,"",'J Book Items Cons.'!N$5:N$3360,"")+SUMIFS('J Book Items Cons.'!R$5:R$3360,'J Book Items Cons.'!E$5:E$3360,3,'J Book Items Cons.'!S$5:S$3360,"[PARENT]",'J Book Items Cons.'!X$5:X$3360,"LCS",'J Book Items Cons.'!R$5:R$3360,"&lt;&gt;")+SUMIFS('J Book Items Cons.'!N$5:N$3360,'J Book Items Cons.'!E$5:E$3360,3,'J Book Items Cons.'!S$5:S$3360,"[PARENT]",'J Book Items Cons.'!X$5:X$3360,"LCS",'J Book Items Cons.'!R$5:R$3360,"",'J Book Items Cons.'!N$5:N$3360,"&lt;&gt;")+SUMIFS('J Book Items Cons.'!L$5:L$3360,'J Book Items Cons.'!E$5:E$3360,3,'J Book Items Cons.'!S$5:S$3360,"[PARENT]",'J Book Items Cons.'!X$5:X$3360,"LCS",'J Book Items Cons.'!R$5:R$3360,"",'J Book Items Cons.'!N$5:N$3360,"")</f>
        <v>69759</v>
      </c>
      <c r="I59" s="14">
        <f>SUMIFS('J Book Items Cons.'!R$5:R$3360,'J Book Items Cons.'!E$5:E$3360,3,'J Book Items Cons.'!S$5:S$3360,"",'J Book Items Cons.'!X$5:X$3360,"LPD",'J Book Items Cons.'!R$5:R$3360,"&lt;&gt;")+SUMIFS('J Book Items Cons.'!N$5:N$3360,'J Book Items Cons.'!E$5:E$3360,3,'J Book Items Cons.'!S$5:S$3360,"",'J Book Items Cons.'!X$5:X$3360,"LPD",'J Book Items Cons.'!R$5:R$3360,"",'J Book Items Cons.'!N$5:N$3360,"&lt;&gt;")+SUMIFS('J Book Items Cons.'!L$5:L$3360,'J Book Items Cons.'!E$5:E$3360,3,'J Book Items Cons.'!S$5:S$3360,"",'J Book Items Cons.'!X$5:X$3360,"LPD",'J Book Items Cons.'!R$5:R$3360,"",'J Book Items Cons.'!N$5:N$3360,"")+SUMIFS('J Book Items Cons.'!R$5:R$3360,'J Book Items Cons.'!E$5:E$3360,3,'J Book Items Cons.'!S$5:S$3360,"[PARENT]",'J Book Items Cons.'!X$5:X$3360,"LPD",'J Book Items Cons.'!R$5:R$3360,"&lt;&gt;")+SUMIFS('J Book Items Cons.'!N$5:N$3360,'J Book Items Cons.'!E$5:E$3360,3,'J Book Items Cons.'!S$5:S$3360,"[PARENT]",'J Book Items Cons.'!X$5:X$3360,"LPD",'J Book Items Cons.'!R$5:R$3360,"",'J Book Items Cons.'!N$5:N$3360,"&lt;&gt;")+SUMIFS('J Book Items Cons.'!L$5:L$3360,'J Book Items Cons.'!E$5:E$3360,3,'J Book Items Cons.'!S$5:S$3360,"[PARENT]",'J Book Items Cons.'!X$5:X$3360,"LPD",'J Book Items Cons.'!R$5:R$3360,"",'J Book Items Cons.'!N$5:N$3360,"")</f>
        <v>0</v>
      </c>
      <c r="J59" s="14">
        <f>SUMIFS('J Book Items Cons.'!R$5:R$3360,'J Book Items Cons.'!E$5:E$3360,3,'J Book Items Cons.'!S$5:S$3360,"",'J Book Items Cons.'!X$5:X$3360,"MUSV",'J Book Items Cons.'!R$5:R$3360,"&lt;&gt;")+SUMIFS('J Book Items Cons.'!N$5:N$3360,'J Book Items Cons.'!E$5:E$3360,3,'J Book Items Cons.'!S$5:S$3360,"",'J Book Items Cons.'!X$5:X$3360,"MUSV",'J Book Items Cons.'!R$5:R$3360,"",'J Book Items Cons.'!N$5:N$3360,"&lt;&gt;")+SUMIFS('J Book Items Cons.'!L$5:L$3360,'J Book Items Cons.'!E$5:E$3360,3,'J Book Items Cons.'!S$5:S$3360,"",'J Book Items Cons.'!X$5:X$3360,"MUSV",'J Book Items Cons.'!R$5:R$3360,"",'J Book Items Cons.'!N$5:N$3360,"")+SUMIFS('J Book Items Cons.'!R$5:R$3360,'J Book Items Cons.'!E$5:E$3360,3,'J Book Items Cons.'!S$5:S$3360,"[PARENT]",'J Book Items Cons.'!X$5:X$3360,"MUSV",'J Book Items Cons.'!R$5:R$3360,"&lt;&gt;")+SUMIFS('J Book Items Cons.'!N$5:N$3360,'J Book Items Cons.'!E$5:E$3360,3,'J Book Items Cons.'!S$5:S$3360,"[PARENT]",'J Book Items Cons.'!X$5:X$3360,"MUSV",'J Book Items Cons.'!R$5:R$3360,"",'J Book Items Cons.'!N$5:N$3360,"&lt;&gt;")+SUMIFS('J Book Items Cons.'!L$5:L$3360,'J Book Items Cons.'!E$5:E$3360,3,'J Book Items Cons.'!S$5:S$3360,"[PARENT]",'J Book Items Cons.'!X$5:X$3360,"MUSV",'J Book Items Cons.'!R$5:R$3360,"",'J Book Items Cons.'!N$5:N$3360,"")</f>
        <v>0</v>
      </c>
      <c r="K59" s="14">
        <f>SUMIFS('J Book Items Cons.'!R$5:R$3360,'J Book Items Cons.'!E$5:E$3360,3,'J Book Items Cons.'!S$5:S$3360,"",'J Book Items Cons.'!X$5:X$3360,"LHD",'J Book Items Cons.'!R$5:R$3360,"&lt;&gt;")+SUMIFS('J Book Items Cons.'!N$5:N$3360,'J Book Items Cons.'!E$5:E$3360,3,'J Book Items Cons.'!S$5:S$3360,"",'J Book Items Cons.'!X$5:X$3360,"LHD",'J Book Items Cons.'!R$5:R$3360,"",'J Book Items Cons.'!N$5:N$3360,"&lt;&gt;")+SUMIFS('J Book Items Cons.'!L$5:L$3360,'J Book Items Cons.'!E$5:E$3360,3,'J Book Items Cons.'!S$5:S$3360,"",'J Book Items Cons.'!X$5:X$3360,"LHD",'J Book Items Cons.'!R$5:R$3360,"",'J Book Items Cons.'!N$5:N$3360,"")+SUMIFS('J Book Items Cons.'!R$5:R$3360,'J Book Items Cons.'!E$5:E$3360,3,'J Book Items Cons.'!S$5:S$3360,"[PARENT]",'J Book Items Cons.'!X$5:X$3360,"LHD",'J Book Items Cons.'!R$5:R$3360,"&lt;&gt;")+SUMIFS('J Book Items Cons.'!N$5:N$3360,'J Book Items Cons.'!E$5:E$3360,3,'J Book Items Cons.'!S$5:S$3360,"[PARENT]",'J Book Items Cons.'!X$5:X$3360,"LHD",'J Book Items Cons.'!R$5:R$3360,"",'J Book Items Cons.'!N$5:N$3360,"&lt;&gt;")+SUMIFS('J Book Items Cons.'!L$5:L$3360,'J Book Items Cons.'!E$5:E$3360,3,'J Book Items Cons.'!S$5:S$3360,"[PARENT]",'J Book Items Cons.'!X$5:X$3360,"LHD",'J Book Items Cons.'!R$5:R$3360,"",'J Book Items Cons.'!N$5:N$3360,"")</f>
        <v>0</v>
      </c>
      <c r="L59" s="14">
        <f>SUMIFS('J Book Items Cons.'!R$5:R$3360,'J Book Items Cons.'!E$5:E$3360,3,'J Book Items Cons.'!S$5:S$3360,"",'J Book Items Cons.'!X$5:X$3360,"T-AK / T-AKR",'J Book Items Cons.'!R$5:R$3360,"&lt;&gt;")+SUMIFS('J Book Items Cons.'!N$5:N$3360,'J Book Items Cons.'!E$5:E$3360,3,'J Book Items Cons.'!S$5:S$3360,"",'J Book Items Cons.'!X$5:X$3360,"T-AK / T-AKR",'J Book Items Cons.'!R$5:R$3360,"",'J Book Items Cons.'!N$5:N$3360,"&lt;&gt;")+SUMIFS('J Book Items Cons.'!L$5:L$3360,'J Book Items Cons.'!E$5:E$3360,3,'J Book Items Cons.'!S$5:S$3360,"",'J Book Items Cons.'!X$5:X$3360,"T-AK / T-AKR",'J Book Items Cons.'!R$5:R$3360,"",'J Book Items Cons.'!N$5:N$3360,"")+SUMIFS('J Book Items Cons.'!R$5:R$3360,'J Book Items Cons.'!E$5:E$3360,3,'J Book Items Cons.'!S$5:S$3360,"[PARENT]",'J Book Items Cons.'!X$5:X$3360,"T-AK / T-AKR",'J Book Items Cons.'!R$5:R$3360,"&lt;&gt;")+SUMIFS('J Book Items Cons.'!N$5:N$3360,'J Book Items Cons.'!E$5:E$3360,3,'J Book Items Cons.'!S$5:S$3360,"[PARENT]",'J Book Items Cons.'!X$5:X$3360,"T-AK / T-AKR",'J Book Items Cons.'!R$5:R$3360,"",'J Book Items Cons.'!N$5:N$3360,"&lt;&gt;")+SUMIFS('J Book Items Cons.'!L$5:L$3360,'J Book Items Cons.'!E$5:E$3360,3,'J Book Items Cons.'!S$5:S$3360,"[PARENT]",'J Book Items Cons.'!X$5:X$3360,"T-AK / T-AKR",'J Book Items Cons.'!R$5:R$3360,"",'J Book Items Cons.'!N$5:N$3360,"")</f>
        <v>0</v>
      </c>
      <c r="M59" s="14">
        <f>SUMIFS('J Book Items Cons.'!R$5:R$3360,'J Book Items Cons.'!E$5:E$3360,3,'J Book Items Cons.'!S$5:S$3360,"",'J Book Items Cons.'!X$5:X$3360,"LHA",'J Book Items Cons.'!R$5:R$3360,"&lt;&gt;")+SUMIFS('J Book Items Cons.'!N$5:N$3360,'J Book Items Cons.'!E$5:E$3360,3,'J Book Items Cons.'!S$5:S$3360,"",'J Book Items Cons.'!X$5:X$3360,"LHA",'J Book Items Cons.'!R$5:R$3360,"",'J Book Items Cons.'!N$5:N$3360,"&lt;&gt;")+SUMIFS('J Book Items Cons.'!L$5:L$3360,'J Book Items Cons.'!E$5:E$3360,3,'J Book Items Cons.'!S$5:S$3360,"",'J Book Items Cons.'!X$5:X$3360,"LHA",'J Book Items Cons.'!R$5:R$3360,"",'J Book Items Cons.'!N$5:N$3360,"")+SUMIFS('J Book Items Cons.'!R$5:R$3360,'J Book Items Cons.'!E$5:E$3360,3,'J Book Items Cons.'!S$5:S$3360,"[PARENT]",'J Book Items Cons.'!X$5:X$3360,"LHA",'J Book Items Cons.'!R$5:R$3360,"&lt;&gt;")+SUMIFS('J Book Items Cons.'!N$5:N$3360,'J Book Items Cons.'!E$5:E$3360,3,'J Book Items Cons.'!S$5:S$3360,"[PARENT]",'J Book Items Cons.'!X$5:X$3360,"LHA",'J Book Items Cons.'!R$5:R$3360,"",'J Book Items Cons.'!N$5:N$3360,"&lt;&gt;")+SUMIFS('J Book Items Cons.'!L$5:L$3360,'J Book Items Cons.'!E$5:E$3360,3,'J Book Items Cons.'!S$5:S$3360,"[PARENT]",'J Book Items Cons.'!X$5:X$3360,"LHA",'J Book Items Cons.'!R$5:R$3360,"",'J Book Items Cons.'!N$5:N$3360,"")</f>
        <v>0</v>
      </c>
      <c r="N59" s="14">
        <f>SUMIFS('J Book Items Cons.'!R$5:R$3360,'J Book Items Cons.'!E$5:E$3360,3,'J Book Items Cons.'!S$5:S$3360,"",'J Book Items Cons.'!X$5:X$3360,"T-AGOS",'J Book Items Cons.'!R$5:R$3360,"&lt;&gt;")+SUMIFS('J Book Items Cons.'!N$5:N$3360,'J Book Items Cons.'!E$5:E$3360,3,'J Book Items Cons.'!S$5:S$3360,"",'J Book Items Cons.'!X$5:X$3360,"T-AGOS",'J Book Items Cons.'!R$5:R$3360,"",'J Book Items Cons.'!N$5:N$3360,"&lt;&gt;")+SUMIFS('J Book Items Cons.'!L$5:L$3360,'J Book Items Cons.'!E$5:E$3360,3,'J Book Items Cons.'!S$5:S$3360,"",'J Book Items Cons.'!X$5:X$3360,"T-AGOS",'J Book Items Cons.'!R$5:R$3360,"",'J Book Items Cons.'!N$5:N$3360,"")+SUMIFS('J Book Items Cons.'!R$5:R$3360,'J Book Items Cons.'!E$5:E$3360,3,'J Book Items Cons.'!S$5:S$3360,"[PARENT]",'J Book Items Cons.'!X$5:X$3360,"T-AGOS",'J Book Items Cons.'!R$5:R$3360,"&lt;&gt;")+SUMIFS('J Book Items Cons.'!N$5:N$3360,'J Book Items Cons.'!E$5:E$3360,3,'J Book Items Cons.'!S$5:S$3360,"[PARENT]",'J Book Items Cons.'!X$5:X$3360,"T-AGOS",'J Book Items Cons.'!R$5:R$3360,"",'J Book Items Cons.'!N$5:N$3360,"&lt;&gt;")+SUMIFS('J Book Items Cons.'!L$5:L$3360,'J Book Items Cons.'!E$5:E$3360,3,'J Book Items Cons.'!S$5:S$3360,"[PARENT]",'J Book Items Cons.'!X$5:X$3360,"T-AGOS",'J Book Items Cons.'!R$5:R$3360,"",'J Book Items Cons.'!N$5:N$3360,"")</f>
        <v>0</v>
      </c>
      <c r="O59" s="14">
        <f>SUMIFS('J Book Items Cons.'!R$5:R$3360,'J Book Items Cons.'!E$5:E$3360,3,'J Book Items Cons.'!S$5:S$3360,"",'J Book Items Cons.'!X$5:X$3360,"LCAC",'J Book Items Cons.'!R$5:R$3360,"&lt;&gt;")+SUMIFS('J Book Items Cons.'!N$5:N$3360,'J Book Items Cons.'!E$5:E$3360,3,'J Book Items Cons.'!S$5:S$3360,"",'J Book Items Cons.'!X$5:X$3360,"LCAC",'J Book Items Cons.'!R$5:R$3360,"",'J Book Items Cons.'!N$5:N$3360,"&lt;&gt;")+SUMIFS('J Book Items Cons.'!L$5:L$3360,'J Book Items Cons.'!E$5:E$3360,3,'J Book Items Cons.'!S$5:S$3360,"",'J Book Items Cons.'!X$5:X$3360,"LCAC",'J Book Items Cons.'!R$5:R$3360,"",'J Book Items Cons.'!N$5:N$3360,"")+SUMIFS('J Book Items Cons.'!R$5:R$3360,'J Book Items Cons.'!E$5:E$3360,3,'J Book Items Cons.'!S$5:S$3360,"[PARENT]",'J Book Items Cons.'!X$5:X$3360,"LCAC",'J Book Items Cons.'!R$5:R$3360,"&lt;&gt;")+SUMIFS('J Book Items Cons.'!N$5:N$3360,'J Book Items Cons.'!E$5:E$3360,3,'J Book Items Cons.'!S$5:S$3360,"[PARENT]",'J Book Items Cons.'!X$5:X$3360,"LCAC",'J Book Items Cons.'!R$5:R$3360,"",'J Book Items Cons.'!N$5:N$3360,"&lt;&gt;")+SUMIFS('J Book Items Cons.'!L$5:L$3360,'J Book Items Cons.'!E$5:E$3360,3,'J Book Items Cons.'!S$5:S$3360,"[PARENT]",'J Book Items Cons.'!X$5:X$3360,"LCAC",'J Book Items Cons.'!R$5:R$3360,"",'J Book Items Cons.'!N$5:N$3360,"")</f>
        <v>7952</v>
      </c>
      <c r="P59" s="14">
        <f>SUMIFS('J Book Items Cons.'!R$5:R$3360,'J Book Items Cons.'!E$5:E$3360,3,'J Book Items Cons.'!S$5:S$3360,"",'J Book Items Cons.'!X$5:X$3360,"LCU",'J Book Items Cons.'!R$5:R$3360,"&lt;&gt;")+SUMIFS('J Book Items Cons.'!N$5:N$3360,'J Book Items Cons.'!E$5:E$3360,3,'J Book Items Cons.'!S$5:S$3360,"",'J Book Items Cons.'!X$5:X$3360,"LCU",'J Book Items Cons.'!R$5:R$3360,"",'J Book Items Cons.'!N$5:N$3360,"&lt;&gt;")+SUMIFS('J Book Items Cons.'!L$5:L$3360,'J Book Items Cons.'!E$5:E$3360,3,'J Book Items Cons.'!S$5:S$3360,"",'J Book Items Cons.'!X$5:X$3360,"LCU",'J Book Items Cons.'!R$5:R$3360,"",'J Book Items Cons.'!N$5:N$3360,"")+SUMIFS('J Book Items Cons.'!R$5:R$3360,'J Book Items Cons.'!E$5:E$3360,3,'J Book Items Cons.'!S$5:S$3360,"[PARENT]",'J Book Items Cons.'!X$5:X$3360,"LCU",'J Book Items Cons.'!R$5:R$3360,"&lt;&gt;")+SUMIFS('J Book Items Cons.'!N$5:N$3360,'J Book Items Cons.'!E$5:E$3360,3,'J Book Items Cons.'!S$5:S$3360,"[PARENT]",'J Book Items Cons.'!X$5:X$3360,"LCU",'J Book Items Cons.'!R$5:R$3360,"",'J Book Items Cons.'!N$5:N$3360,"&lt;&gt;")+SUMIFS('J Book Items Cons.'!L$5:L$3360,'J Book Items Cons.'!E$5:E$3360,3,'J Book Items Cons.'!S$5:S$3360,"[PARENT]",'J Book Items Cons.'!X$5:X$3360,"LCU",'J Book Items Cons.'!R$5:R$3360,"",'J Book Items Cons.'!N$5:N$3360,"")</f>
        <v>0</v>
      </c>
      <c r="Q59" s="14">
        <f>SUMIFS('J Book Items Cons.'!R$5:R$3360,'J Book Items Cons.'!E$5:E$3360,3,'J Book Items Cons.'!S$5:S$3360,"",'J Book Items Cons.'!X$5:X$3360,"SSGN",'J Book Items Cons.'!R$5:R$3360,"&lt;&gt;")+SUMIFS('J Book Items Cons.'!N$5:N$3360,'J Book Items Cons.'!E$5:E$3360,3,'J Book Items Cons.'!S$5:S$3360,"",'J Book Items Cons.'!X$5:X$3360,"SSGN",'J Book Items Cons.'!R$5:R$3360,"",'J Book Items Cons.'!N$5:N$3360,"&lt;&gt;")+SUMIFS('J Book Items Cons.'!L$5:L$3360,'J Book Items Cons.'!E$5:E$3360,3,'J Book Items Cons.'!S$5:S$3360,"",'J Book Items Cons.'!X$5:X$3360,"SSGN",'J Book Items Cons.'!R$5:R$3360,"",'J Book Items Cons.'!N$5:N$3360,"")+SUMIFS('J Book Items Cons.'!R$5:R$3360,'J Book Items Cons.'!E$5:E$3360,3,'J Book Items Cons.'!S$5:S$3360,"[PARENT]",'J Book Items Cons.'!X$5:X$3360,"SSGN",'J Book Items Cons.'!R$5:R$3360,"&lt;&gt;")+SUMIFS('J Book Items Cons.'!N$5:N$3360,'J Book Items Cons.'!E$5:E$3360,3,'J Book Items Cons.'!S$5:S$3360,"[PARENT]",'J Book Items Cons.'!X$5:X$3360,"SSGN",'J Book Items Cons.'!R$5:R$3360,"",'J Book Items Cons.'!N$5:N$3360,"&lt;&gt;")+SUMIFS('J Book Items Cons.'!L$5:L$3360,'J Book Items Cons.'!E$5:E$3360,3,'J Book Items Cons.'!S$5:S$3360,"[PARENT]",'J Book Items Cons.'!X$5:X$3360,"SSGN",'J Book Items Cons.'!R$5:R$3360,"",'J Book Items Cons.'!N$5:N$3360,"")</f>
        <v>0</v>
      </c>
      <c r="R59" s="14">
        <f>SUMIFS('J Book Items Cons.'!R$5:R$3360,'J Book Items Cons.'!E$5:E$3360,3,'J Book Items Cons.'!S$5:S$3360,"",'J Book Items Cons.'!X$5:X$3360,"UUV",'J Book Items Cons.'!R$5:R$3360,"&lt;&gt;")+SUMIFS('J Book Items Cons.'!N$5:N$3360,'J Book Items Cons.'!E$5:E$3360,3,'J Book Items Cons.'!S$5:S$3360,"",'J Book Items Cons.'!X$5:X$3360,"UUV",'J Book Items Cons.'!R$5:R$3360,"",'J Book Items Cons.'!N$5:N$3360,"&lt;&gt;")+SUMIFS('J Book Items Cons.'!L$5:L$3360,'J Book Items Cons.'!E$5:E$3360,3,'J Book Items Cons.'!S$5:S$3360,"",'J Book Items Cons.'!X$5:X$3360,"UUV",'J Book Items Cons.'!R$5:R$3360,"",'J Book Items Cons.'!N$5:N$3360,"")+SUMIFS('J Book Items Cons.'!R$5:R$3360,'J Book Items Cons.'!E$5:E$3360,3,'J Book Items Cons.'!S$5:S$3360,"[PARENT]",'J Book Items Cons.'!X$5:X$3360,"UUV",'J Book Items Cons.'!R$5:R$3360,"&lt;&gt;")+SUMIFS('J Book Items Cons.'!N$5:N$3360,'J Book Items Cons.'!E$5:E$3360,3,'J Book Items Cons.'!S$5:S$3360,"[PARENT]",'J Book Items Cons.'!X$5:X$3360,"UUV",'J Book Items Cons.'!R$5:R$3360,"",'J Book Items Cons.'!N$5:N$3360,"&lt;&gt;")+SUMIFS('J Book Items Cons.'!L$5:L$3360,'J Book Items Cons.'!E$5:E$3360,3,'J Book Items Cons.'!S$5:S$3360,"[PARENT]",'J Book Items Cons.'!X$5:X$3360,"UUV",'J Book Items Cons.'!R$5:R$3360,"",'J Book Items Cons.'!N$5:N$3360,"")</f>
        <v>0</v>
      </c>
      <c r="S59" s="14">
        <f>SUMIFS('J Book Items Cons.'!R$5:R$3360,'J Book Items Cons.'!E$5:E$3360,3,'J Book Items Cons.'!S$5:S$3360,"",'J Book Items Cons.'!X$5:X$3360,"CG",'J Book Items Cons.'!R$5:R$3360,"&lt;&gt;")+SUMIFS('J Book Items Cons.'!N$5:N$3360,'J Book Items Cons.'!E$5:E$3360,3,'J Book Items Cons.'!S$5:S$3360,"",'J Book Items Cons.'!X$5:X$3360,"CG",'J Book Items Cons.'!R$5:R$3360,"",'J Book Items Cons.'!N$5:N$3360,"&lt;&gt;")+SUMIFS('J Book Items Cons.'!L$5:L$3360,'J Book Items Cons.'!E$5:E$3360,3,'J Book Items Cons.'!S$5:S$3360,"",'J Book Items Cons.'!X$5:X$3360,"CG",'J Book Items Cons.'!R$5:R$3360,"",'J Book Items Cons.'!N$5:N$3360,"")+SUMIFS('J Book Items Cons.'!R$5:R$3360,'J Book Items Cons.'!E$5:E$3360,3,'J Book Items Cons.'!S$5:S$3360,"[PARENT]",'J Book Items Cons.'!X$5:X$3360,"CG",'J Book Items Cons.'!R$5:R$3360,"&lt;&gt;")+SUMIFS('J Book Items Cons.'!N$5:N$3360,'J Book Items Cons.'!E$5:E$3360,3,'J Book Items Cons.'!S$5:S$3360,"[PARENT]",'J Book Items Cons.'!X$5:X$3360,"CG",'J Book Items Cons.'!R$5:R$3360,"",'J Book Items Cons.'!N$5:N$3360,"&lt;&gt;")+SUMIFS('J Book Items Cons.'!L$5:L$3360,'J Book Items Cons.'!E$5:E$3360,3,'J Book Items Cons.'!S$5:S$3360,"[PARENT]",'J Book Items Cons.'!X$5:X$3360,"CG",'J Book Items Cons.'!R$5:R$3360,"",'J Book Items Cons.'!N$5:N$3360,"")</f>
        <v>5969</v>
      </c>
      <c r="T59" s="14">
        <f>SUMIFS('J Book Items Cons.'!R$5:R$3360,'J Book Items Cons.'!E$5:E$3360,3,'J Book Items Cons.'!S$5:S$3360,"",'J Book Items Cons.'!X$5:X$3360,"LSD",'J Book Items Cons.'!R$5:R$3360,"&lt;&gt;")+SUMIFS('J Book Items Cons.'!N$5:N$3360,'J Book Items Cons.'!E$5:E$3360,3,'J Book Items Cons.'!S$5:S$3360,"",'J Book Items Cons.'!X$5:X$3360,"LSD",'J Book Items Cons.'!R$5:R$3360,"",'J Book Items Cons.'!N$5:N$3360,"&lt;&gt;")+SUMIFS('J Book Items Cons.'!L$5:L$3360,'J Book Items Cons.'!E$5:E$3360,3,'J Book Items Cons.'!S$5:S$3360,"",'J Book Items Cons.'!X$5:X$3360,"LSD",'J Book Items Cons.'!R$5:R$3360,"",'J Book Items Cons.'!N$5:N$3360,"")+SUMIFS('J Book Items Cons.'!R$5:R$3360,'J Book Items Cons.'!E$5:E$3360,3,'J Book Items Cons.'!S$5:S$3360,"[PARENT]",'J Book Items Cons.'!X$5:X$3360,"LSD",'J Book Items Cons.'!R$5:R$3360,"&lt;&gt;")+SUMIFS('J Book Items Cons.'!N$5:N$3360,'J Book Items Cons.'!E$5:E$3360,3,'J Book Items Cons.'!S$5:S$3360,"[PARENT]",'J Book Items Cons.'!X$5:X$3360,"LSD",'J Book Items Cons.'!R$5:R$3360,"",'J Book Items Cons.'!N$5:N$3360,"&lt;&gt;")+SUMIFS('J Book Items Cons.'!L$5:L$3360,'J Book Items Cons.'!E$5:E$3360,3,'J Book Items Cons.'!S$5:S$3360,"[PARENT]",'J Book Items Cons.'!X$5:X$3360,"LSD",'J Book Items Cons.'!R$5:R$3360,"",'J Book Items Cons.'!N$5:N$3360,"")</f>
        <v>0</v>
      </c>
      <c r="U59" s="14">
        <f>SUMIFS('J Book Items Cons.'!R$5:R$3360,'J Book Items Cons.'!E$5:E$3360,3,'J Book Items Cons.'!S$5:S$3360,"",'J Book Items Cons.'!X$5:X$3360,"ESB",'J Book Items Cons.'!R$5:R$3360,"&lt;&gt;")+SUMIFS('J Book Items Cons.'!N$5:N$3360,'J Book Items Cons.'!E$5:E$3360,3,'J Book Items Cons.'!S$5:S$3360,"",'J Book Items Cons.'!X$5:X$3360,"ESB",'J Book Items Cons.'!R$5:R$3360,"",'J Book Items Cons.'!N$5:N$3360,"&lt;&gt;")+SUMIFS('J Book Items Cons.'!L$5:L$3360,'J Book Items Cons.'!E$5:E$3360,3,'J Book Items Cons.'!S$5:S$3360,"",'J Book Items Cons.'!X$5:X$3360,"ESB",'J Book Items Cons.'!R$5:R$3360,"",'J Book Items Cons.'!N$5:N$3360,"")+SUMIFS('J Book Items Cons.'!R$5:R$3360,'J Book Items Cons.'!E$5:E$3360,3,'J Book Items Cons.'!S$5:S$3360,"[PARENT]",'J Book Items Cons.'!X$5:X$3360,"ESB",'J Book Items Cons.'!R$5:R$3360,"&lt;&gt;")+SUMIFS('J Book Items Cons.'!N$5:N$3360,'J Book Items Cons.'!E$5:E$3360,3,'J Book Items Cons.'!S$5:S$3360,"[PARENT]",'J Book Items Cons.'!X$5:X$3360,"ESB",'J Book Items Cons.'!R$5:R$3360,"",'J Book Items Cons.'!N$5:N$3360,"&lt;&gt;")+SUMIFS('J Book Items Cons.'!L$5:L$3360,'J Book Items Cons.'!E$5:E$3360,3,'J Book Items Cons.'!S$5:S$3360,"[PARENT]",'J Book Items Cons.'!X$5:X$3360,"ESB",'J Book Items Cons.'!R$5:R$3360,"",'J Book Items Cons.'!N$5:N$3360,"")</f>
        <v>0</v>
      </c>
      <c r="V59" s="14">
        <f>SUMIFS('J Book Items Cons.'!R$5:R$3360,'J Book Items Cons.'!E$5:E$3360,3,'J Book Items Cons.'!S$5:S$3360,"",'J Book Items Cons.'!X$5:X$3360,"LCC",'J Book Items Cons.'!R$5:R$3360,"&lt;&gt;")+SUMIFS('J Book Items Cons.'!N$5:N$3360,'J Book Items Cons.'!E$5:E$3360,3,'J Book Items Cons.'!S$5:S$3360,"",'J Book Items Cons.'!X$5:X$3360,"LCC",'J Book Items Cons.'!R$5:R$3360,"",'J Book Items Cons.'!N$5:N$3360,"&lt;&gt;")+SUMIFS('J Book Items Cons.'!L$5:L$3360,'J Book Items Cons.'!E$5:E$3360,3,'J Book Items Cons.'!S$5:S$3360,"",'J Book Items Cons.'!X$5:X$3360,"LCC",'J Book Items Cons.'!R$5:R$3360,"",'J Book Items Cons.'!N$5:N$3360,"")+SUMIFS('J Book Items Cons.'!R$5:R$3360,'J Book Items Cons.'!E$5:E$3360,3,'J Book Items Cons.'!S$5:S$3360,"[PARENT]",'J Book Items Cons.'!X$5:X$3360,"LCC",'J Book Items Cons.'!R$5:R$3360,"&lt;&gt;")+SUMIFS('J Book Items Cons.'!N$5:N$3360,'J Book Items Cons.'!E$5:E$3360,3,'J Book Items Cons.'!S$5:S$3360,"[PARENT]",'J Book Items Cons.'!X$5:X$3360,"LCC",'J Book Items Cons.'!R$5:R$3360,"",'J Book Items Cons.'!N$5:N$3360,"&lt;&gt;")+SUMIFS('J Book Items Cons.'!L$5:L$3360,'J Book Items Cons.'!E$5:E$3360,3,'J Book Items Cons.'!S$5:S$3360,"[PARENT]",'J Book Items Cons.'!X$5:X$3360,"LCC",'J Book Items Cons.'!R$5:R$3360,"",'J Book Items Cons.'!N$5:N$3360,"")</f>
        <v>0</v>
      </c>
      <c r="W59" s="14">
        <f>SUMIFS('J Book Items Cons.'!R$5:R$3360,'J Book Items Cons.'!E$5:E$3360,3,'J Book Items Cons.'!S$5:S$3360,"",'J Book Items Cons.'!X$5:X$3360,"MCM",'J Book Items Cons.'!R$5:R$3360,"&lt;&gt;")+SUMIFS('J Book Items Cons.'!N$5:N$3360,'J Book Items Cons.'!E$5:E$3360,3,'J Book Items Cons.'!S$5:S$3360,"",'J Book Items Cons.'!X$5:X$3360,"MCM",'J Book Items Cons.'!R$5:R$3360,"",'J Book Items Cons.'!N$5:N$3360,"&lt;&gt;")+SUMIFS('J Book Items Cons.'!L$5:L$3360,'J Book Items Cons.'!E$5:E$3360,3,'J Book Items Cons.'!S$5:S$3360,"",'J Book Items Cons.'!X$5:X$3360,"MCM",'J Book Items Cons.'!R$5:R$3360,"",'J Book Items Cons.'!N$5:N$3360,"")+SUMIFS('J Book Items Cons.'!R$5:R$3360,'J Book Items Cons.'!E$5:E$3360,3,'J Book Items Cons.'!S$5:S$3360,"[PARENT]",'J Book Items Cons.'!X$5:X$3360,"MCM",'J Book Items Cons.'!R$5:R$3360,"&lt;&gt;")+SUMIFS('J Book Items Cons.'!N$5:N$3360,'J Book Items Cons.'!E$5:E$3360,3,'J Book Items Cons.'!S$5:S$3360,"[PARENT]",'J Book Items Cons.'!X$5:X$3360,"MCM",'J Book Items Cons.'!R$5:R$3360,"",'J Book Items Cons.'!N$5:N$3360,"&lt;&gt;")+SUMIFS('J Book Items Cons.'!L$5:L$3360,'J Book Items Cons.'!E$5:E$3360,3,'J Book Items Cons.'!S$5:S$3360,"[PARENT]",'J Book Items Cons.'!X$5:X$3360,"MCM",'J Book Items Cons.'!R$5:R$3360,"",'J Book Items Cons.'!N$5:N$3360,"")</f>
        <v>1068</v>
      </c>
      <c r="X59" s="26">
        <f>SUMIFS('J Book Items Cons.'!R$5:R$3360,'J Book Items Cons.'!E$5:E$3360,3,'J Book Items Cons.'!S$5:S$3360,"",'J Book Items Cons.'!X$5:X$3360,"PC",'J Book Items Cons.'!R$5:R$3360,"&lt;&gt;")+SUMIFS('J Book Items Cons.'!N$5:N$3360,'J Book Items Cons.'!E$5:E$3360,3,'J Book Items Cons.'!S$5:S$3360,"",'J Book Items Cons.'!X$5:X$3360,"PC",'J Book Items Cons.'!R$5:R$3360,"",'J Book Items Cons.'!N$5:N$3360,"&lt;&gt;")+SUMIFS('J Book Items Cons.'!L$5:L$3360,'J Book Items Cons.'!E$5:E$3360,3,'J Book Items Cons.'!S$5:S$3360,"",'J Book Items Cons.'!X$5:X$3360,"PC",'J Book Items Cons.'!R$5:R$3360,"",'J Book Items Cons.'!N$5:N$3360,"")+SUMIFS('J Book Items Cons.'!R$5:R$3360,'J Book Items Cons.'!E$5:E$3360,3,'J Book Items Cons.'!S$5:S$3360,"[PARENT]",'J Book Items Cons.'!X$5:X$3360,"PC",'J Book Items Cons.'!R$5:R$3360,"&lt;&gt;")+SUMIFS('J Book Items Cons.'!N$5:N$3360,'J Book Items Cons.'!E$5:E$3360,3,'J Book Items Cons.'!S$5:S$3360,"[PARENT]",'J Book Items Cons.'!X$5:X$3360,"PC",'J Book Items Cons.'!R$5:R$3360,"",'J Book Items Cons.'!N$5:N$3360,"&lt;&gt;")+SUMIFS('J Book Items Cons.'!L$5:L$3360,'J Book Items Cons.'!E$5:E$3360,3,'J Book Items Cons.'!S$5:S$3360,"[PARENT]",'J Book Items Cons.'!X$5:X$3360,"PC",'J Book Items Cons.'!R$5:R$3360,"",'J Book Items Cons.'!N$5:N$3360,"")</f>
        <v>0</v>
      </c>
      <c r="Y59" s="25">
        <f>SUMIFS('J Book Items Cons.'!R$5:R$3360,'J Book Items Cons.'!E$5:E$3360,3,'J Book Items Cons.'!S$5:S$3360,"",'J Book Items Cons.'!X$5:X$3360,"WMSM",'J Book Items Cons.'!R$5:R$3360,"&lt;&gt;")+SUMIFS('J Book Items Cons.'!N$5:N$3360,'J Book Items Cons.'!E$5:E$3360,3,'J Book Items Cons.'!S$5:S$3360,"",'J Book Items Cons.'!X$5:X$3360,"WMSM",'J Book Items Cons.'!R$5:R$3360,"",'J Book Items Cons.'!N$5:N$3360,"&lt;&gt;")+SUMIFS('J Book Items Cons.'!L$5:L$3360,'J Book Items Cons.'!E$5:E$3360,3,'J Book Items Cons.'!S$5:S$3360,"",'J Book Items Cons.'!X$5:X$3360,"WMSM",'J Book Items Cons.'!R$5:R$3360,"",'J Book Items Cons.'!N$5:N$3360,"")+SUMIFS('J Book Items Cons.'!R$5:R$3360,'J Book Items Cons.'!E$5:E$3360,3,'J Book Items Cons.'!S$5:S$3360,"[PARENT]",'J Book Items Cons.'!X$5:X$3360,"WMSM",'J Book Items Cons.'!R$5:R$3360,"&lt;&gt;")+SUMIFS('J Book Items Cons.'!N$5:N$3360,'J Book Items Cons.'!E$5:E$3360,3,'J Book Items Cons.'!S$5:S$3360,"[PARENT]",'J Book Items Cons.'!X$5:X$3360,"WMSM",'J Book Items Cons.'!R$5:R$3360,"",'J Book Items Cons.'!N$5:N$3360,"&lt;&gt;")+SUMIFS('J Book Items Cons.'!L$5:L$3360,'J Book Items Cons.'!E$5:E$3360,3,'J Book Items Cons.'!S$5:S$3360,"[PARENT]",'J Book Items Cons.'!X$5:X$3360,"WMSM",'J Book Items Cons.'!R$5:R$3360,"",'J Book Items Cons.'!N$5:N$3360,"")</f>
        <v>0</v>
      </c>
      <c r="Z59" s="14">
        <f>SUMIFS('J Book Items Cons.'!R$5:R$3360,'J Book Items Cons.'!E$5:E$3360,3,'J Book Items Cons.'!S$5:S$3360,"",'J Book Items Cons.'!X$5:X$3360,"WPC",'J Book Items Cons.'!R$5:R$3360,"&lt;&gt;")+SUMIFS('J Book Items Cons.'!N$5:N$3360,'J Book Items Cons.'!E$5:E$3360,3,'J Book Items Cons.'!S$5:S$3360,"",'J Book Items Cons.'!X$5:X$3360,"WPC",'J Book Items Cons.'!R$5:R$3360,"",'J Book Items Cons.'!N$5:N$3360,"&lt;&gt;")+SUMIFS('J Book Items Cons.'!L$5:L$3360,'J Book Items Cons.'!E$5:E$3360,3,'J Book Items Cons.'!S$5:S$3360,"",'J Book Items Cons.'!X$5:X$3360,"WPC",'J Book Items Cons.'!R$5:R$3360,"",'J Book Items Cons.'!N$5:N$3360,"")+SUMIFS('J Book Items Cons.'!R$5:R$3360,'J Book Items Cons.'!E$5:E$3360,3,'J Book Items Cons.'!S$5:S$3360,"[PARENT]",'J Book Items Cons.'!X$5:X$3360,"WPC",'J Book Items Cons.'!R$5:R$3360,"&lt;&gt;")+SUMIFS('J Book Items Cons.'!N$5:N$3360,'J Book Items Cons.'!E$5:E$3360,3,'J Book Items Cons.'!S$5:S$3360,"[PARENT]",'J Book Items Cons.'!X$5:X$3360,"WPC",'J Book Items Cons.'!R$5:R$3360,"",'J Book Items Cons.'!N$5:N$3360,"&lt;&gt;")+SUMIFS('J Book Items Cons.'!L$5:L$3360,'J Book Items Cons.'!E$5:E$3360,3,'J Book Items Cons.'!S$5:S$3360,"[PARENT]",'J Book Items Cons.'!X$5:X$3360,"WPC",'J Book Items Cons.'!R$5:R$3360,"",'J Book Items Cons.'!N$5:N$3360,"")</f>
        <v>0</v>
      </c>
      <c r="AA59" s="14">
        <f>SUMIFS('J Book Items Cons.'!R$5:R$3360,'J Book Items Cons.'!E$5:E$3360,3,'J Book Items Cons.'!S$5:S$3360,"",'J Book Items Cons.'!X$5:X$3360,"WAGB",'J Book Items Cons.'!R$5:R$3360,"&lt;&gt;")+SUMIFS('J Book Items Cons.'!N$5:N$3360,'J Book Items Cons.'!E$5:E$3360,3,'J Book Items Cons.'!S$5:S$3360,"",'J Book Items Cons.'!X$5:X$3360,"WAGB",'J Book Items Cons.'!R$5:R$3360,"",'J Book Items Cons.'!N$5:N$3360,"&lt;&gt;")+SUMIFS('J Book Items Cons.'!L$5:L$3360,'J Book Items Cons.'!E$5:E$3360,3,'J Book Items Cons.'!S$5:S$3360,"",'J Book Items Cons.'!X$5:X$3360,"WAGB",'J Book Items Cons.'!R$5:R$3360,"",'J Book Items Cons.'!N$5:N$3360,"")+SUMIFS('J Book Items Cons.'!R$5:R$3360,'J Book Items Cons.'!E$5:E$3360,3,'J Book Items Cons.'!S$5:S$3360,"[PARENT]",'J Book Items Cons.'!X$5:X$3360,"WAGB",'J Book Items Cons.'!R$5:R$3360,"&lt;&gt;")+SUMIFS('J Book Items Cons.'!N$5:N$3360,'J Book Items Cons.'!E$5:E$3360,3,'J Book Items Cons.'!S$5:S$3360,"[PARENT]",'J Book Items Cons.'!X$5:X$3360,"WAGB",'J Book Items Cons.'!R$5:R$3360,"",'J Book Items Cons.'!N$5:N$3360,"&lt;&gt;")+SUMIFS('J Book Items Cons.'!L$5:L$3360,'J Book Items Cons.'!E$5:E$3360,3,'J Book Items Cons.'!S$5:S$3360,"[PARENT]",'J Book Items Cons.'!X$5:X$3360,"WAGB",'J Book Items Cons.'!R$5:R$3360,"",'J Book Items Cons.'!N$5:N$3360,"")</f>
        <v>0</v>
      </c>
      <c r="AB59" s="14">
        <f>SUMIFS('J Book Items Cons.'!R$5:R$3360,'J Book Items Cons.'!E$5:E$3360,3,'J Book Items Cons.'!S$5:S$3360,"",'J Book Items Cons.'!X$5:X$3360,"WCC",'J Book Items Cons.'!R$5:R$3360,"&lt;&gt;")+SUMIFS('J Book Items Cons.'!N$5:N$3360,'J Book Items Cons.'!E$5:E$3360,3,'J Book Items Cons.'!S$5:S$3360,"",'J Book Items Cons.'!X$5:X$3360,"WCC",'J Book Items Cons.'!R$5:R$3360,"",'J Book Items Cons.'!N$5:N$3360,"&lt;&gt;")+SUMIFS('J Book Items Cons.'!L$5:L$3360,'J Book Items Cons.'!E$5:E$3360,3,'J Book Items Cons.'!S$5:S$3360,"",'J Book Items Cons.'!X$5:X$3360,"WCC",'J Book Items Cons.'!R$5:R$3360,"",'J Book Items Cons.'!N$5:N$3360,"")+SUMIFS('J Book Items Cons.'!R$5:R$3360,'J Book Items Cons.'!E$5:E$3360,3,'J Book Items Cons.'!S$5:S$3360,"[PARENT]",'J Book Items Cons.'!X$5:X$3360,"WCC",'J Book Items Cons.'!R$5:R$3360,"&lt;&gt;")+SUMIFS('J Book Items Cons.'!N$5:N$3360,'J Book Items Cons.'!E$5:E$3360,3,'J Book Items Cons.'!S$5:S$3360,"[PARENT]",'J Book Items Cons.'!X$5:X$3360,"WCC",'J Book Items Cons.'!R$5:R$3360,"",'J Book Items Cons.'!N$5:N$3360,"&lt;&gt;")+SUMIFS('J Book Items Cons.'!L$5:L$3360,'J Book Items Cons.'!E$5:E$3360,3,'J Book Items Cons.'!S$5:S$3360,"[PARENT]",'J Book Items Cons.'!X$5:X$3360,"WCC",'J Book Items Cons.'!R$5:R$3360,"",'J Book Items Cons.'!N$5:N$3360,"")</f>
        <v>0</v>
      </c>
      <c r="AC59" s="26">
        <f>SUMIFS('J Book Items Cons.'!R$5:R$3360,'J Book Items Cons.'!E$5:E$3360,3,'J Book Items Cons.'!S$5:S$3360,"",'J Book Items Cons.'!X$5:X$3360,"WMSL",'J Book Items Cons.'!R$5:R$3360,"&lt;&gt;")+SUMIFS('J Book Items Cons.'!N$5:N$3360,'J Book Items Cons.'!E$5:E$3360,3,'J Book Items Cons.'!S$5:S$3360,"",'J Book Items Cons.'!X$5:X$3360,"WMSL",'J Book Items Cons.'!R$5:R$3360,"",'J Book Items Cons.'!N$5:N$3360,"&lt;&gt;")+SUMIFS('J Book Items Cons.'!L$5:L$3360,'J Book Items Cons.'!E$5:E$3360,3,'J Book Items Cons.'!S$5:S$3360,"",'J Book Items Cons.'!X$5:X$3360,"WMSL",'J Book Items Cons.'!R$5:R$3360,"",'J Book Items Cons.'!N$5:N$3360,"")+SUMIFS('J Book Items Cons.'!R$5:R$3360,'J Book Items Cons.'!E$5:E$3360,3,'J Book Items Cons.'!S$5:S$3360,"[PARENT]",'J Book Items Cons.'!X$5:X$3360,"WMSL",'J Book Items Cons.'!R$5:R$3360,"&lt;&gt;")+SUMIFS('J Book Items Cons.'!N$5:N$3360,'J Book Items Cons.'!E$5:E$3360,3,'J Book Items Cons.'!S$5:S$3360,"[PARENT]",'J Book Items Cons.'!X$5:X$3360,"WMSL",'J Book Items Cons.'!R$5:R$3360,"",'J Book Items Cons.'!N$5:N$3360,"&lt;&gt;")+SUMIFS('J Book Items Cons.'!L$5:L$3360,'J Book Items Cons.'!E$5:E$3360,3,'J Book Items Cons.'!S$5:S$3360,"[PARENT]",'J Book Items Cons.'!X$5:X$3360,"WMSL",'J Book Items Cons.'!R$5:R$3360,"",'J Book Items Cons.'!N$5:N$3360,"")</f>
        <v>0</v>
      </c>
      <c r="AD59" s="14">
        <f t="shared" si="5"/>
        <v>215890</v>
      </c>
    </row>
    <row r="60" spans="1:42" x14ac:dyDescent="0.15">
      <c r="A60" s="7" t="s">
        <v>8825</v>
      </c>
      <c r="B60" s="25">
        <f>SUMIFS('J Book Items Cons.'!R$5:R$3360,'J Book Items Cons.'!E$5:E$3360,4,'J Book Items Cons.'!S$5:S$3360,"",'J Book Items Cons.'!X$5:X$3360,"SSN",'J Book Items Cons.'!R$5:R$3360,"&lt;&gt;")+SUMIFS('J Book Items Cons.'!N$5:N$3360,'J Book Items Cons.'!E$5:E$3360,4,'J Book Items Cons.'!S$5:S$3360,"",'J Book Items Cons.'!X$5:X$3360,"SSN",'J Book Items Cons.'!R$5:R$3360,"",'J Book Items Cons.'!N$5:N$3360,"&lt;&gt;")+SUMIFS('J Book Items Cons.'!L$5:L$3360,'J Book Items Cons.'!E$5:E$3360,4,'J Book Items Cons.'!S$5:S$3360,"",'J Book Items Cons.'!X$5:X$3360,"SSN",'J Book Items Cons.'!R$5:R$3360,"",'J Book Items Cons.'!N$5:N$3360,"")+SUMIFS('J Book Items Cons.'!R$5:R$3360,'J Book Items Cons.'!E$5:E$3360,4,'J Book Items Cons.'!S$5:S$3360,"[PARENT]",'J Book Items Cons.'!X$5:X$3360,"SSN",'J Book Items Cons.'!R$5:R$3360,"&lt;&gt;")+SUMIFS('J Book Items Cons.'!N$5:N$3360,'J Book Items Cons.'!E$5:E$3360,4,'J Book Items Cons.'!S$5:S$3360,"[PARENT]",'J Book Items Cons.'!X$5:X$3360,"SSN",'J Book Items Cons.'!R$5:R$3360,"",'J Book Items Cons.'!N$5:N$3360,"&lt;&gt;")+SUMIFS('J Book Items Cons.'!L$5:L$3360,'J Book Items Cons.'!E$5:E$3360,4,'J Book Items Cons.'!S$5:S$3360,"[PARENT]",'J Book Items Cons.'!X$5:X$3360,"SSN",'J Book Items Cons.'!R$5:R$3360,"",'J Book Items Cons.'!N$5:N$3360,"")</f>
        <v>1923736</v>
      </c>
      <c r="C60" s="14">
        <f>SUMIFS('J Book Items Cons.'!R$5:R$3360,'J Book Items Cons.'!E$5:E$3360,4,'J Book Items Cons.'!S$5:S$3360,"",'J Book Items Cons.'!X$5:X$3360,"SSBN",'J Book Items Cons.'!R$5:R$3360,"&lt;&gt;")+SUMIFS('J Book Items Cons.'!N$5:N$3360,'J Book Items Cons.'!E$5:E$3360,4,'J Book Items Cons.'!S$5:S$3360,"",'J Book Items Cons.'!X$5:X$3360,"SSBN",'J Book Items Cons.'!R$5:R$3360,"",'J Book Items Cons.'!N$5:N$3360,"&lt;&gt;")+SUMIFS('J Book Items Cons.'!L$5:L$3360,'J Book Items Cons.'!E$5:E$3360,4,'J Book Items Cons.'!S$5:S$3360,"",'J Book Items Cons.'!X$5:X$3360,"SSBN",'J Book Items Cons.'!R$5:R$3360,"",'J Book Items Cons.'!N$5:N$3360,"")+SUMIFS('J Book Items Cons.'!R$5:R$3360,'J Book Items Cons.'!E$5:E$3360,4,'J Book Items Cons.'!S$5:S$3360,"[PARENT]",'J Book Items Cons.'!X$5:X$3360,"SSBN",'J Book Items Cons.'!R$5:R$3360,"&lt;&gt;")+SUMIFS('J Book Items Cons.'!N$5:N$3360,'J Book Items Cons.'!E$5:E$3360,4,'J Book Items Cons.'!S$5:S$3360,"[PARENT]",'J Book Items Cons.'!X$5:X$3360,"SSBN",'J Book Items Cons.'!R$5:R$3360,"",'J Book Items Cons.'!N$5:N$3360,"&lt;&gt;")+SUMIFS('J Book Items Cons.'!L$5:L$3360,'J Book Items Cons.'!E$5:E$3360,4,'J Book Items Cons.'!S$5:S$3360,"[PARENT]",'J Book Items Cons.'!X$5:X$3360,"SSBN",'J Book Items Cons.'!R$5:R$3360,"",'J Book Items Cons.'!N$5:N$3360,"")</f>
        <v>3174380</v>
      </c>
      <c r="D60" s="14">
        <f>SUMIFS('J Book Items Cons.'!R$5:R$3360,'J Book Items Cons.'!E$5:E$3360,4,'J Book Items Cons.'!S$5:S$3360,"",'J Book Items Cons.'!X$5:X$3360,"DDG",'J Book Items Cons.'!R$5:R$3360,"&lt;&gt;")+SUMIFS('J Book Items Cons.'!N$5:N$3360,'J Book Items Cons.'!E$5:E$3360,4,'J Book Items Cons.'!S$5:S$3360,"",'J Book Items Cons.'!X$5:X$3360,"DDG",'J Book Items Cons.'!R$5:R$3360,"",'J Book Items Cons.'!N$5:N$3360,"&lt;&gt;")+SUMIFS('J Book Items Cons.'!L$5:L$3360,'J Book Items Cons.'!E$5:E$3360,4,'J Book Items Cons.'!S$5:S$3360,"",'J Book Items Cons.'!X$5:X$3360,"DDG",'J Book Items Cons.'!R$5:R$3360,"",'J Book Items Cons.'!N$5:N$3360,"")+SUMIFS('J Book Items Cons.'!R$5:R$3360,'J Book Items Cons.'!E$5:E$3360,4,'J Book Items Cons.'!S$5:S$3360,"[PARENT]",'J Book Items Cons.'!X$5:X$3360,"DDG",'J Book Items Cons.'!R$5:R$3360,"&lt;&gt;")+SUMIFS('J Book Items Cons.'!N$5:N$3360,'J Book Items Cons.'!E$5:E$3360,4,'J Book Items Cons.'!S$5:S$3360,"[PARENT]",'J Book Items Cons.'!X$5:X$3360,"DDG",'J Book Items Cons.'!R$5:R$3360,"",'J Book Items Cons.'!N$5:N$3360,"&lt;&gt;")+SUMIFS('J Book Items Cons.'!L$5:L$3360,'J Book Items Cons.'!E$5:E$3360,4,'J Book Items Cons.'!S$5:S$3360,"[PARENT]",'J Book Items Cons.'!X$5:X$3360,"DDG",'J Book Items Cons.'!R$5:R$3360,"",'J Book Items Cons.'!N$5:N$3360,"")</f>
        <v>3471430</v>
      </c>
      <c r="E60" s="14">
        <f>SUMIFS('J Book Items Cons.'!R$5:R$3360,'J Book Items Cons.'!E$5:E$3360,4,'J Book Items Cons.'!S$5:S$3360,"",'J Book Items Cons.'!X$5:X$3360,"CVN",'J Book Items Cons.'!R$5:R$3360,"&lt;&gt;")+SUMIFS('J Book Items Cons.'!N$5:N$3360,'J Book Items Cons.'!E$5:E$3360,4,'J Book Items Cons.'!S$5:S$3360,"",'J Book Items Cons.'!X$5:X$3360,"CVN",'J Book Items Cons.'!R$5:R$3360,"",'J Book Items Cons.'!N$5:N$3360,"&lt;&gt;")+SUMIFS('J Book Items Cons.'!L$5:L$3360,'J Book Items Cons.'!E$5:E$3360,4,'J Book Items Cons.'!S$5:S$3360,"",'J Book Items Cons.'!X$5:X$3360,"CVN",'J Book Items Cons.'!R$5:R$3360,"",'J Book Items Cons.'!N$5:N$3360,"")+SUMIFS('J Book Items Cons.'!R$5:R$3360,'J Book Items Cons.'!E$5:E$3360,4,'J Book Items Cons.'!S$5:S$3360,"[PARENT]",'J Book Items Cons.'!X$5:X$3360,"CVN",'J Book Items Cons.'!R$5:R$3360,"&lt;&gt;")+SUMIFS('J Book Items Cons.'!N$5:N$3360,'J Book Items Cons.'!E$5:E$3360,4,'J Book Items Cons.'!S$5:S$3360,"[PARENT]",'J Book Items Cons.'!X$5:X$3360,"CVN",'J Book Items Cons.'!R$5:R$3360,"",'J Book Items Cons.'!N$5:N$3360,"&lt;&gt;")+SUMIFS('J Book Items Cons.'!L$5:L$3360,'J Book Items Cons.'!E$5:E$3360,4,'J Book Items Cons.'!S$5:S$3360,"[PARENT]",'J Book Items Cons.'!X$5:X$3360,"CVN",'J Book Items Cons.'!R$5:R$3360,"",'J Book Items Cons.'!N$5:N$3360,"")</f>
        <v>481926</v>
      </c>
      <c r="F60" s="14">
        <f>SUMIFS('J Book Items Cons.'!R$5:R$3360,'J Book Items Cons.'!E$5:E$3360,4,'J Book Items Cons.'!S$5:S$3360,"",'J Book Items Cons.'!X$5:X$3360,"LSM",'J Book Items Cons.'!R$5:R$3360,"&lt;&gt;")+SUMIFS('J Book Items Cons.'!N$5:N$3360,'J Book Items Cons.'!E$5:E$3360,4,'J Book Items Cons.'!S$5:S$3360,"",'J Book Items Cons.'!X$5:X$3360,"LSM",'J Book Items Cons.'!R$5:R$3360,"",'J Book Items Cons.'!N$5:N$3360,"&lt;&gt;")+SUMIFS('J Book Items Cons.'!L$5:L$3360,'J Book Items Cons.'!E$5:E$3360,4,'J Book Items Cons.'!S$5:S$3360,"",'J Book Items Cons.'!X$5:X$3360,"LSM",'J Book Items Cons.'!R$5:R$3360,"",'J Book Items Cons.'!N$5:N$3360,"")+SUMIFS('J Book Items Cons.'!R$5:R$3360,'J Book Items Cons.'!E$5:E$3360,4,'J Book Items Cons.'!S$5:S$3360,"[PARENT]",'J Book Items Cons.'!X$5:X$3360,"LSM",'J Book Items Cons.'!R$5:R$3360,"&lt;&gt;")+SUMIFS('J Book Items Cons.'!N$5:N$3360,'J Book Items Cons.'!E$5:E$3360,4,'J Book Items Cons.'!S$5:S$3360,"[PARENT]",'J Book Items Cons.'!X$5:X$3360,"LSM",'J Book Items Cons.'!R$5:R$3360,"",'J Book Items Cons.'!N$5:N$3360,"&lt;&gt;")+SUMIFS('J Book Items Cons.'!L$5:L$3360,'J Book Items Cons.'!E$5:E$3360,4,'J Book Items Cons.'!S$5:S$3360,"[PARENT]",'J Book Items Cons.'!X$5:X$3360,"LSM",'J Book Items Cons.'!R$5:R$3360,"",'J Book Items Cons.'!N$5:N$3360,"")</f>
        <v>0</v>
      </c>
      <c r="G60" s="14">
        <f>SUMIFS('J Book Items Cons.'!R$5:R$3360,'J Book Items Cons.'!E$5:E$3360,4,'J Book Items Cons.'!S$5:S$3360,"",'J Book Items Cons.'!X$5:X$3360,"T-AO",'J Book Items Cons.'!R$5:R$3360,"&lt;&gt;")+SUMIFS('J Book Items Cons.'!N$5:N$3360,'J Book Items Cons.'!E$5:E$3360,4,'J Book Items Cons.'!S$5:S$3360,"",'J Book Items Cons.'!X$5:X$3360,"T-AO",'J Book Items Cons.'!R$5:R$3360,"",'J Book Items Cons.'!N$5:N$3360,"&lt;&gt;")+SUMIFS('J Book Items Cons.'!L$5:L$3360,'J Book Items Cons.'!E$5:E$3360,4,'J Book Items Cons.'!S$5:S$3360,"",'J Book Items Cons.'!X$5:X$3360,"T-AO",'J Book Items Cons.'!R$5:R$3360,"",'J Book Items Cons.'!N$5:N$3360,"")+SUMIFS('J Book Items Cons.'!R$5:R$3360,'J Book Items Cons.'!E$5:E$3360,4,'J Book Items Cons.'!S$5:S$3360,"[PARENT]",'J Book Items Cons.'!X$5:X$3360,"T-AO",'J Book Items Cons.'!R$5:R$3360,"&lt;&gt;")+SUMIFS('J Book Items Cons.'!N$5:N$3360,'J Book Items Cons.'!E$5:E$3360,4,'J Book Items Cons.'!S$5:S$3360,"[PARENT]",'J Book Items Cons.'!X$5:X$3360,"T-AO",'J Book Items Cons.'!R$5:R$3360,"",'J Book Items Cons.'!N$5:N$3360,"&lt;&gt;")+SUMIFS('J Book Items Cons.'!L$5:L$3360,'J Book Items Cons.'!E$5:E$3360,4,'J Book Items Cons.'!S$5:S$3360,"[PARENT]",'J Book Items Cons.'!X$5:X$3360,"T-AO",'J Book Items Cons.'!R$5:R$3360,"",'J Book Items Cons.'!N$5:N$3360,"")</f>
        <v>0</v>
      </c>
      <c r="H60" s="14">
        <f>SUMIFS('J Book Items Cons.'!R$5:R$3360,'J Book Items Cons.'!E$5:E$3360,4,'J Book Items Cons.'!S$5:S$3360,"",'J Book Items Cons.'!X$5:X$3360,"LCS",'J Book Items Cons.'!R$5:R$3360,"&lt;&gt;")+SUMIFS('J Book Items Cons.'!N$5:N$3360,'J Book Items Cons.'!E$5:E$3360,4,'J Book Items Cons.'!S$5:S$3360,"",'J Book Items Cons.'!X$5:X$3360,"LCS",'J Book Items Cons.'!R$5:R$3360,"",'J Book Items Cons.'!N$5:N$3360,"&lt;&gt;")+SUMIFS('J Book Items Cons.'!L$5:L$3360,'J Book Items Cons.'!E$5:E$3360,4,'J Book Items Cons.'!S$5:S$3360,"",'J Book Items Cons.'!X$5:X$3360,"LCS",'J Book Items Cons.'!R$5:R$3360,"",'J Book Items Cons.'!N$5:N$3360,"")+SUMIFS('J Book Items Cons.'!R$5:R$3360,'J Book Items Cons.'!E$5:E$3360,4,'J Book Items Cons.'!S$5:S$3360,"[PARENT]",'J Book Items Cons.'!X$5:X$3360,"LCS",'J Book Items Cons.'!R$5:R$3360,"&lt;&gt;")+SUMIFS('J Book Items Cons.'!N$5:N$3360,'J Book Items Cons.'!E$5:E$3360,4,'J Book Items Cons.'!S$5:S$3360,"[PARENT]",'J Book Items Cons.'!X$5:X$3360,"LCS",'J Book Items Cons.'!R$5:R$3360,"",'J Book Items Cons.'!N$5:N$3360,"&lt;&gt;")+SUMIFS('J Book Items Cons.'!L$5:L$3360,'J Book Items Cons.'!E$5:E$3360,4,'J Book Items Cons.'!S$5:S$3360,"[PARENT]",'J Book Items Cons.'!X$5:X$3360,"LCS",'J Book Items Cons.'!R$5:R$3360,"",'J Book Items Cons.'!N$5:N$3360,"")</f>
        <v>750942</v>
      </c>
      <c r="I60" s="14">
        <f>SUMIFS('J Book Items Cons.'!R$5:R$3360,'J Book Items Cons.'!E$5:E$3360,4,'J Book Items Cons.'!S$5:S$3360,"",'J Book Items Cons.'!X$5:X$3360,"LPD",'J Book Items Cons.'!R$5:R$3360,"&lt;&gt;")+SUMIFS('J Book Items Cons.'!N$5:N$3360,'J Book Items Cons.'!E$5:E$3360,4,'J Book Items Cons.'!S$5:S$3360,"",'J Book Items Cons.'!X$5:X$3360,"LPD",'J Book Items Cons.'!R$5:R$3360,"",'J Book Items Cons.'!N$5:N$3360,"&lt;&gt;")+SUMIFS('J Book Items Cons.'!L$5:L$3360,'J Book Items Cons.'!E$5:E$3360,4,'J Book Items Cons.'!S$5:S$3360,"",'J Book Items Cons.'!X$5:X$3360,"LPD",'J Book Items Cons.'!R$5:R$3360,"",'J Book Items Cons.'!N$5:N$3360,"")+SUMIFS('J Book Items Cons.'!R$5:R$3360,'J Book Items Cons.'!E$5:E$3360,4,'J Book Items Cons.'!S$5:S$3360,"[PARENT]",'J Book Items Cons.'!X$5:X$3360,"LPD",'J Book Items Cons.'!R$5:R$3360,"&lt;&gt;")+SUMIFS('J Book Items Cons.'!N$5:N$3360,'J Book Items Cons.'!E$5:E$3360,4,'J Book Items Cons.'!S$5:S$3360,"[PARENT]",'J Book Items Cons.'!X$5:X$3360,"LPD",'J Book Items Cons.'!R$5:R$3360,"",'J Book Items Cons.'!N$5:N$3360,"&lt;&gt;")+SUMIFS('J Book Items Cons.'!L$5:L$3360,'J Book Items Cons.'!E$5:E$3360,4,'J Book Items Cons.'!S$5:S$3360,"[PARENT]",'J Book Items Cons.'!X$5:X$3360,"LPD",'J Book Items Cons.'!R$5:R$3360,"",'J Book Items Cons.'!N$5:N$3360,"")</f>
        <v>137394</v>
      </c>
      <c r="J60" s="14">
        <f>SUMIFS('J Book Items Cons.'!R$5:R$3360,'J Book Items Cons.'!E$5:E$3360,4,'J Book Items Cons.'!S$5:S$3360,"",'J Book Items Cons.'!X$5:X$3360,"MUSV",'J Book Items Cons.'!R$5:R$3360,"&lt;&gt;")+SUMIFS('J Book Items Cons.'!N$5:N$3360,'J Book Items Cons.'!E$5:E$3360,4,'J Book Items Cons.'!S$5:S$3360,"",'J Book Items Cons.'!X$5:X$3360,"MUSV",'J Book Items Cons.'!R$5:R$3360,"",'J Book Items Cons.'!N$5:N$3360,"&lt;&gt;")+SUMIFS('J Book Items Cons.'!L$5:L$3360,'J Book Items Cons.'!E$5:E$3360,4,'J Book Items Cons.'!S$5:S$3360,"",'J Book Items Cons.'!X$5:X$3360,"MUSV",'J Book Items Cons.'!R$5:R$3360,"",'J Book Items Cons.'!N$5:N$3360,"")+SUMIFS('J Book Items Cons.'!R$5:R$3360,'J Book Items Cons.'!E$5:E$3360,4,'J Book Items Cons.'!S$5:S$3360,"[PARENT]",'J Book Items Cons.'!X$5:X$3360,"MUSV",'J Book Items Cons.'!R$5:R$3360,"&lt;&gt;")+SUMIFS('J Book Items Cons.'!N$5:N$3360,'J Book Items Cons.'!E$5:E$3360,4,'J Book Items Cons.'!S$5:S$3360,"[PARENT]",'J Book Items Cons.'!X$5:X$3360,"MUSV",'J Book Items Cons.'!R$5:R$3360,"",'J Book Items Cons.'!N$5:N$3360,"&lt;&gt;")+SUMIFS('J Book Items Cons.'!L$5:L$3360,'J Book Items Cons.'!E$5:E$3360,4,'J Book Items Cons.'!S$5:S$3360,"[PARENT]",'J Book Items Cons.'!X$5:X$3360,"MUSV",'J Book Items Cons.'!R$5:R$3360,"",'J Book Items Cons.'!N$5:N$3360,"")</f>
        <v>0</v>
      </c>
      <c r="K60" s="14">
        <f>SUMIFS('J Book Items Cons.'!R$5:R$3360,'J Book Items Cons.'!E$5:E$3360,4,'J Book Items Cons.'!S$5:S$3360,"",'J Book Items Cons.'!X$5:X$3360,"LHD",'J Book Items Cons.'!R$5:R$3360,"&lt;&gt;")+SUMIFS('J Book Items Cons.'!N$5:N$3360,'J Book Items Cons.'!E$5:E$3360,4,'J Book Items Cons.'!S$5:S$3360,"",'J Book Items Cons.'!X$5:X$3360,"LHD",'J Book Items Cons.'!R$5:R$3360,"",'J Book Items Cons.'!N$5:N$3360,"&lt;&gt;")+SUMIFS('J Book Items Cons.'!L$5:L$3360,'J Book Items Cons.'!E$5:E$3360,4,'J Book Items Cons.'!S$5:S$3360,"",'J Book Items Cons.'!X$5:X$3360,"LHD",'J Book Items Cons.'!R$5:R$3360,"",'J Book Items Cons.'!N$5:N$3360,"")+SUMIFS('J Book Items Cons.'!R$5:R$3360,'J Book Items Cons.'!E$5:E$3360,4,'J Book Items Cons.'!S$5:S$3360,"[PARENT]",'J Book Items Cons.'!X$5:X$3360,"LHD",'J Book Items Cons.'!R$5:R$3360,"&lt;&gt;")+SUMIFS('J Book Items Cons.'!N$5:N$3360,'J Book Items Cons.'!E$5:E$3360,4,'J Book Items Cons.'!S$5:S$3360,"[PARENT]",'J Book Items Cons.'!X$5:X$3360,"LHD",'J Book Items Cons.'!R$5:R$3360,"",'J Book Items Cons.'!N$5:N$3360,"&lt;&gt;")+SUMIFS('J Book Items Cons.'!L$5:L$3360,'J Book Items Cons.'!E$5:E$3360,4,'J Book Items Cons.'!S$5:S$3360,"[PARENT]",'J Book Items Cons.'!X$5:X$3360,"LHD",'J Book Items Cons.'!R$5:R$3360,"",'J Book Items Cons.'!N$5:N$3360,"")</f>
        <v>755243</v>
      </c>
      <c r="L60" s="14">
        <f>SUMIFS('J Book Items Cons.'!R$5:R$3360,'J Book Items Cons.'!E$5:E$3360,4,'J Book Items Cons.'!S$5:S$3360,"",'J Book Items Cons.'!X$5:X$3360,"T-AK / T-AKR",'J Book Items Cons.'!R$5:R$3360,"&lt;&gt;")+SUMIFS('J Book Items Cons.'!N$5:N$3360,'J Book Items Cons.'!E$5:E$3360,4,'J Book Items Cons.'!S$5:S$3360,"",'J Book Items Cons.'!X$5:X$3360,"T-AK / T-AKR",'J Book Items Cons.'!R$5:R$3360,"",'J Book Items Cons.'!N$5:N$3360,"&lt;&gt;")+SUMIFS('J Book Items Cons.'!L$5:L$3360,'J Book Items Cons.'!E$5:E$3360,4,'J Book Items Cons.'!S$5:S$3360,"",'J Book Items Cons.'!X$5:X$3360,"T-AK / T-AKR",'J Book Items Cons.'!R$5:R$3360,"",'J Book Items Cons.'!N$5:N$3360,"")+SUMIFS('J Book Items Cons.'!R$5:R$3360,'J Book Items Cons.'!E$5:E$3360,4,'J Book Items Cons.'!S$5:S$3360,"[PARENT]",'J Book Items Cons.'!X$5:X$3360,"T-AK / T-AKR",'J Book Items Cons.'!R$5:R$3360,"&lt;&gt;")+SUMIFS('J Book Items Cons.'!N$5:N$3360,'J Book Items Cons.'!E$5:E$3360,4,'J Book Items Cons.'!S$5:S$3360,"[PARENT]",'J Book Items Cons.'!X$5:X$3360,"T-AK / T-AKR",'J Book Items Cons.'!R$5:R$3360,"",'J Book Items Cons.'!N$5:N$3360,"&lt;&gt;")+SUMIFS('J Book Items Cons.'!L$5:L$3360,'J Book Items Cons.'!E$5:E$3360,4,'J Book Items Cons.'!S$5:S$3360,"[PARENT]",'J Book Items Cons.'!X$5:X$3360,"T-AK / T-AKR",'J Book Items Cons.'!R$5:R$3360,"",'J Book Items Cons.'!N$5:N$3360,"")</f>
        <v>0</v>
      </c>
      <c r="M60" s="14">
        <f>SUMIFS('J Book Items Cons.'!R$5:R$3360,'J Book Items Cons.'!E$5:E$3360,4,'J Book Items Cons.'!S$5:S$3360,"",'J Book Items Cons.'!X$5:X$3360,"LHA",'J Book Items Cons.'!R$5:R$3360,"&lt;&gt;")+SUMIFS('J Book Items Cons.'!N$5:N$3360,'J Book Items Cons.'!E$5:E$3360,4,'J Book Items Cons.'!S$5:S$3360,"",'J Book Items Cons.'!X$5:X$3360,"LHA",'J Book Items Cons.'!R$5:R$3360,"",'J Book Items Cons.'!N$5:N$3360,"&lt;&gt;")+SUMIFS('J Book Items Cons.'!L$5:L$3360,'J Book Items Cons.'!E$5:E$3360,4,'J Book Items Cons.'!S$5:S$3360,"",'J Book Items Cons.'!X$5:X$3360,"LHA",'J Book Items Cons.'!R$5:R$3360,"",'J Book Items Cons.'!N$5:N$3360,"")+SUMIFS('J Book Items Cons.'!R$5:R$3360,'J Book Items Cons.'!E$5:E$3360,4,'J Book Items Cons.'!S$5:S$3360,"[PARENT]",'J Book Items Cons.'!X$5:X$3360,"LHA",'J Book Items Cons.'!R$5:R$3360,"&lt;&gt;")+SUMIFS('J Book Items Cons.'!N$5:N$3360,'J Book Items Cons.'!E$5:E$3360,4,'J Book Items Cons.'!S$5:S$3360,"[PARENT]",'J Book Items Cons.'!X$5:X$3360,"LHA",'J Book Items Cons.'!R$5:R$3360,"",'J Book Items Cons.'!N$5:N$3360,"&lt;&gt;")+SUMIFS('J Book Items Cons.'!L$5:L$3360,'J Book Items Cons.'!E$5:E$3360,4,'J Book Items Cons.'!S$5:S$3360,"[PARENT]",'J Book Items Cons.'!X$5:X$3360,"LHA",'J Book Items Cons.'!R$5:R$3360,"",'J Book Items Cons.'!N$5:N$3360,"")</f>
        <v>12065</v>
      </c>
      <c r="N60" s="14">
        <f>SUMIFS('J Book Items Cons.'!R$5:R$3360,'J Book Items Cons.'!E$5:E$3360,4,'J Book Items Cons.'!S$5:S$3360,"",'J Book Items Cons.'!X$5:X$3360,"T-AGOS",'J Book Items Cons.'!R$5:R$3360,"&lt;&gt;")+SUMIFS('J Book Items Cons.'!N$5:N$3360,'J Book Items Cons.'!E$5:E$3360,4,'J Book Items Cons.'!S$5:S$3360,"",'J Book Items Cons.'!X$5:X$3360,"T-AGOS",'J Book Items Cons.'!R$5:R$3360,"",'J Book Items Cons.'!N$5:N$3360,"&lt;&gt;")+SUMIFS('J Book Items Cons.'!L$5:L$3360,'J Book Items Cons.'!E$5:E$3360,4,'J Book Items Cons.'!S$5:S$3360,"",'J Book Items Cons.'!X$5:X$3360,"T-AGOS",'J Book Items Cons.'!R$5:R$3360,"",'J Book Items Cons.'!N$5:N$3360,"")+SUMIFS('J Book Items Cons.'!R$5:R$3360,'J Book Items Cons.'!E$5:E$3360,4,'J Book Items Cons.'!S$5:S$3360,"[PARENT]",'J Book Items Cons.'!X$5:X$3360,"T-AGOS",'J Book Items Cons.'!R$5:R$3360,"&lt;&gt;")+SUMIFS('J Book Items Cons.'!N$5:N$3360,'J Book Items Cons.'!E$5:E$3360,4,'J Book Items Cons.'!S$5:S$3360,"[PARENT]",'J Book Items Cons.'!X$5:X$3360,"T-AGOS",'J Book Items Cons.'!R$5:R$3360,"",'J Book Items Cons.'!N$5:N$3360,"&lt;&gt;")+SUMIFS('J Book Items Cons.'!L$5:L$3360,'J Book Items Cons.'!E$5:E$3360,4,'J Book Items Cons.'!S$5:S$3360,"[PARENT]",'J Book Items Cons.'!X$5:X$3360,"T-AGOS",'J Book Items Cons.'!R$5:R$3360,"",'J Book Items Cons.'!N$5:N$3360,"")</f>
        <v>31169</v>
      </c>
      <c r="O60" s="14">
        <f>SUMIFS('J Book Items Cons.'!R$5:R$3360,'J Book Items Cons.'!E$5:E$3360,4,'J Book Items Cons.'!S$5:S$3360,"",'J Book Items Cons.'!X$5:X$3360,"LCAC",'J Book Items Cons.'!R$5:R$3360,"&lt;&gt;")+SUMIFS('J Book Items Cons.'!N$5:N$3360,'J Book Items Cons.'!E$5:E$3360,4,'J Book Items Cons.'!S$5:S$3360,"",'J Book Items Cons.'!X$5:X$3360,"LCAC",'J Book Items Cons.'!R$5:R$3360,"",'J Book Items Cons.'!N$5:N$3360,"&lt;&gt;")+SUMIFS('J Book Items Cons.'!L$5:L$3360,'J Book Items Cons.'!E$5:E$3360,4,'J Book Items Cons.'!S$5:S$3360,"",'J Book Items Cons.'!X$5:X$3360,"LCAC",'J Book Items Cons.'!R$5:R$3360,"",'J Book Items Cons.'!N$5:N$3360,"")+SUMIFS('J Book Items Cons.'!R$5:R$3360,'J Book Items Cons.'!E$5:E$3360,4,'J Book Items Cons.'!S$5:S$3360,"[PARENT]",'J Book Items Cons.'!X$5:X$3360,"LCAC",'J Book Items Cons.'!R$5:R$3360,"&lt;&gt;")+SUMIFS('J Book Items Cons.'!N$5:N$3360,'J Book Items Cons.'!E$5:E$3360,4,'J Book Items Cons.'!S$5:S$3360,"[PARENT]",'J Book Items Cons.'!X$5:X$3360,"LCAC",'J Book Items Cons.'!R$5:R$3360,"",'J Book Items Cons.'!N$5:N$3360,"&lt;&gt;")+SUMIFS('J Book Items Cons.'!L$5:L$3360,'J Book Items Cons.'!E$5:E$3360,4,'J Book Items Cons.'!S$5:S$3360,"[PARENT]",'J Book Items Cons.'!X$5:X$3360,"LCAC",'J Book Items Cons.'!R$5:R$3360,"",'J Book Items Cons.'!N$5:N$3360,"")</f>
        <v>20321</v>
      </c>
      <c r="P60" s="14">
        <f>SUMIFS('J Book Items Cons.'!R$5:R$3360,'J Book Items Cons.'!E$5:E$3360,4,'J Book Items Cons.'!S$5:S$3360,"",'J Book Items Cons.'!X$5:X$3360,"LCU",'J Book Items Cons.'!R$5:R$3360,"&lt;&gt;")+SUMIFS('J Book Items Cons.'!N$5:N$3360,'J Book Items Cons.'!E$5:E$3360,4,'J Book Items Cons.'!S$5:S$3360,"",'J Book Items Cons.'!X$5:X$3360,"LCU",'J Book Items Cons.'!R$5:R$3360,"",'J Book Items Cons.'!N$5:N$3360,"&lt;&gt;")+SUMIFS('J Book Items Cons.'!L$5:L$3360,'J Book Items Cons.'!E$5:E$3360,4,'J Book Items Cons.'!S$5:S$3360,"",'J Book Items Cons.'!X$5:X$3360,"LCU",'J Book Items Cons.'!R$5:R$3360,"",'J Book Items Cons.'!N$5:N$3360,"")+SUMIFS('J Book Items Cons.'!R$5:R$3360,'J Book Items Cons.'!E$5:E$3360,4,'J Book Items Cons.'!S$5:S$3360,"[PARENT]",'J Book Items Cons.'!X$5:X$3360,"LCU",'J Book Items Cons.'!R$5:R$3360,"&lt;&gt;")+SUMIFS('J Book Items Cons.'!N$5:N$3360,'J Book Items Cons.'!E$5:E$3360,4,'J Book Items Cons.'!S$5:S$3360,"[PARENT]",'J Book Items Cons.'!X$5:X$3360,"LCU",'J Book Items Cons.'!R$5:R$3360,"",'J Book Items Cons.'!N$5:N$3360,"&lt;&gt;")+SUMIFS('J Book Items Cons.'!L$5:L$3360,'J Book Items Cons.'!E$5:E$3360,4,'J Book Items Cons.'!S$5:S$3360,"[PARENT]",'J Book Items Cons.'!X$5:X$3360,"LCU",'J Book Items Cons.'!R$5:R$3360,"",'J Book Items Cons.'!N$5:N$3360,"")</f>
        <v>0</v>
      </c>
      <c r="Q60" s="14">
        <f>SUMIFS('J Book Items Cons.'!R$5:R$3360,'J Book Items Cons.'!E$5:E$3360,4,'J Book Items Cons.'!S$5:S$3360,"",'J Book Items Cons.'!X$5:X$3360,"SSGN",'J Book Items Cons.'!R$5:R$3360,"&lt;&gt;")+SUMIFS('J Book Items Cons.'!N$5:N$3360,'J Book Items Cons.'!E$5:E$3360,4,'J Book Items Cons.'!S$5:S$3360,"",'J Book Items Cons.'!X$5:X$3360,"SSGN",'J Book Items Cons.'!R$5:R$3360,"",'J Book Items Cons.'!N$5:N$3360,"&lt;&gt;")+SUMIFS('J Book Items Cons.'!L$5:L$3360,'J Book Items Cons.'!E$5:E$3360,4,'J Book Items Cons.'!S$5:S$3360,"",'J Book Items Cons.'!X$5:X$3360,"SSGN",'J Book Items Cons.'!R$5:R$3360,"",'J Book Items Cons.'!N$5:N$3360,"")+SUMIFS('J Book Items Cons.'!R$5:R$3360,'J Book Items Cons.'!E$5:E$3360,4,'J Book Items Cons.'!S$5:S$3360,"[PARENT]",'J Book Items Cons.'!X$5:X$3360,"SSGN",'J Book Items Cons.'!R$5:R$3360,"&lt;&gt;")+SUMIFS('J Book Items Cons.'!N$5:N$3360,'J Book Items Cons.'!E$5:E$3360,4,'J Book Items Cons.'!S$5:S$3360,"[PARENT]",'J Book Items Cons.'!X$5:X$3360,"SSGN",'J Book Items Cons.'!R$5:R$3360,"",'J Book Items Cons.'!N$5:N$3360,"&lt;&gt;")+SUMIFS('J Book Items Cons.'!L$5:L$3360,'J Book Items Cons.'!E$5:E$3360,4,'J Book Items Cons.'!S$5:S$3360,"[PARENT]",'J Book Items Cons.'!X$5:X$3360,"SSGN",'J Book Items Cons.'!R$5:R$3360,"",'J Book Items Cons.'!N$5:N$3360,"")</f>
        <v>0</v>
      </c>
      <c r="R60" s="14">
        <f>SUMIFS('J Book Items Cons.'!R$5:R$3360,'J Book Items Cons.'!E$5:E$3360,4,'J Book Items Cons.'!S$5:S$3360,"",'J Book Items Cons.'!X$5:X$3360,"UUV",'J Book Items Cons.'!R$5:R$3360,"&lt;&gt;")+SUMIFS('J Book Items Cons.'!N$5:N$3360,'J Book Items Cons.'!E$5:E$3360,4,'J Book Items Cons.'!S$5:S$3360,"",'J Book Items Cons.'!X$5:X$3360,"UUV",'J Book Items Cons.'!R$5:R$3360,"",'J Book Items Cons.'!N$5:N$3360,"&lt;&gt;")+SUMIFS('J Book Items Cons.'!L$5:L$3360,'J Book Items Cons.'!E$5:E$3360,4,'J Book Items Cons.'!S$5:S$3360,"",'J Book Items Cons.'!X$5:X$3360,"UUV",'J Book Items Cons.'!R$5:R$3360,"",'J Book Items Cons.'!N$5:N$3360,"")+SUMIFS('J Book Items Cons.'!R$5:R$3360,'J Book Items Cons.'!E$5:E$3360,4,'J Book Items Cons.'!S$5:S$3360,"[PARENT]",'J Book Items Cons.'!X$5:X$3360,"UUV",'J Book Items Cons.'!R$5:R$3360,"&lt;&gt;")+SUMIFS('J Book Items Cons.'!N$5:N$3360,'J Book Items Cons.'!E$5:E$3360,4,'J Book Items Cons.'!S$5:S$3360,"[PARENT]",'J Book Items Cons.'!X$5:X$3360,"UUV",'J Book Items Cons.'!R$5:R$3360,"",'J Book Items Cons.'!N$5:N$3360,"&lt;&gt;")+SUMIFS('J Book Items Cons.'!L$5:L$3360,'J Book Items Cons.'!E$5:E$3360,4,'J Book Items Cons.'!S$5:S$3360,"[PARENT]",'J Book Items Cons.'!X$5:X$3360,"UUV",'J Book Items Cons.'!R$5:R$3360,"",'J Book Items Cons.'!N$5:N$3360,"")</f>
        <v>0</v>
      </c>
      <c r="S60" s="14">
        <f>SUMIFS('J Book Items Cons.'!R$5:R$3360,'J Book Items Cons.'!E$5:E$3360,4,'J Book Items Cons.'!S$5:S$3360,"",'J Book Items Cons.'!X$5:X$3360,"CG",'J Book Items Cons.'!R$5:R$3360,"&lt;&gt;")+SUMIFS('J Book Items Cons.'!N$5:N$3360,'J Book Items Cons.'!E$5:E$3360,4,'J Book Items Cons.'!S$5:S$3360,"",'J Book Items Cons.'!X$5:X$3360,"CG",'J Book Items Cons.'!R$5:R$3360,"",'J Book Items Cons.'!N$5:N$3360,"&lt;&gt;")+SUMIFS('J Book Items Cons.'!L$5:L$3360,'J Book Items Cons.'!E$5:E$3360,4,'J Book Items Cons.'!S$5:S$3360,"",'J Book Items Cons.'!X$5:X$3360,"CG",'J Book Items Cons.'!R$5:R$3360,"",'J Book Items Cons.'!N$5:N$3360,"")+SUMIFS('J Book Items Cons.'!R$5:R$3360,'J Book Items Cons.'!E$5:E$3360,4,'J Book Items Cons.'!S$5:S$3360,"[PARENT]",'J Book Items Cons.'!X$5:X$3360,"CG",'J Book Items Cons.'!R$5:R$3360,"&lt;&gt;")+SUMIFS('J Book Items Cons.'!N$5:N$3360,'J Book Items Cons.'!E$5:E$3360,4,'J Book Items Cons.'!S$5:S$3360,"[PARENT]",'J Book Items Cons.'!X$5:X$3360,"CG",'J Book Items Cons.'!R$5:R$3360,"",'J Book Items Cons.'!N$5:N$3360,"&lt;&gt;")+SUMIFS('J Book Items Cons.'!L$5:L$3360,'J Book Items Cons.'!E$5:E$3360,4,'J Book Items Cons.'!S$5:S$3360,"[PARENT]",'J Book Items Cons.'!X$5:X$3360,"CG",'J Book Items Cons.'!R$5:R$3360,"",'J Book Items Cons.'!N$5:N$3360,"")</f>
        <v>44940</v>
      </c>
      <c r="T60" s="14">
        <f>SUMIFS('J Book Items Cons.'!R$5:R$3360,'J Book Items Cons.'!E$5:E$3360,4,'J Book Items Cons.'!S$5:S$3360,"",'J Book Items Cons.'!X$5:X$3360,"LSD",'J Book Items Cons.'!R$5:R$3360,"&lt;&gt;")+SUMIFS('J Book Items Cons.'!N$5:N$3360,'J Book Items Cons.'!E$5:E$3360,4,'J Book Items Cons.'!S$5:S$3360,"",'J Book Items Cons.'!X$5:X$3360,"LSD",'J Book Items Cons.'!R$5:R$3360,"",'J Book Items Cons.'!N$5:N$3360,"&lt;&gt;")+SUMIFS('J Book Items Cons.'!L$5:L$3360,'J Book Items Cons.'!E$5:E$3360,4,'J Book Items Cons.'!S$5:S$3360,"",'J Book Items Cons.'!X$5:X$3360,"LSD",'J Book Items Cons.'!R$5:R$3360,"",'J Book Items Cons.'!N$5:N$3360,"")+SUMIFS('J Book Items Cons.'!R$5:R$3360,'J Book Items Cons.'!E$5:E$3360,4,'J Book Items Cons.'!S$5:S$3360,"[PARENT]",'J Book Items Cons.'!X$5:X$3360,"LSD",'J Book Items Cons.'!R$5:R$3360,"&lt;&gt;")+SUMIFS('J Book Items Cons.'!N$5:N$3360,'J Book Items Cons.'!E$5:E$3360,4,'J Book Items Cons.'!S$5:S$3360,"[PARENT]",'J Book Items Cons.'!X$5:X$3360,"LSD",'J Book Items Cons.'!R$5:R$3360,"",'J Book Items Cons.'!N$5:N$3360,"&lt;&gt;")+SUMIFS('J Book Items Cons.'!L$5:L$3360,'J Book Items Cons.'!E$5:E$3360,4,'J Book Items Cons.'!S$5:S$3360,"[PARENT]",'J Book Items Cons.'!X$5:X$3360,"LSD",'J Book Items Cons.'!R$5:R$3360,"",'J Book Items Cons.'!N$5:N$3360,"")</f>
        <v>30010</v>
      </c>
      <c r="U60" s="14">
        <f>SUMIFS('J Book Items Cons.'!R$5:R$3360,'J Book Items Cons.'!E$5:E$3360,4,'J Book Items Cons.'!S$5:S$3360,"",'J Book Items Cons.'!X$5:X$3360,"ESB",'J Book Items Cons.'!R$5:R$3360,"&lt;&gt;")+SUMIFS('J Book Items Cons.'!N$5:N$3360,'J Book Items Cons.'!E$5:E$3360,4,'J Book Items Cons.'!S$5:S$3360,"",'J Book Items Cons.'!X$5:X$3360,"ESB",'J Book Items Cons.'!R$5:R$3360,"",'J Book Items Cons.'!N$5:N$3360,"&lt;&gt;")+SUMIFS('J Book Items Cons.'!L$5:L$3360,'J Book Items Cons.'!E$5:E$3360,4,'J Book Items Cons.'!S$5:S$3360,"",'J Book Items Cons.'!X$5:X$3360,"ESB",'J Book Items Cons.'!R$5:R$3360,"",'J Book Items Cons.'!N$5:N$3360,"")+SUMIFS('J Book Items Cons.'!R$5:R$3360,'J Book Items Cons.'!E$5:E$3360,4,'J Book Items Cons.'!S$5:S$3360,"[PARENT]",'J Book Items Cons.'!X$5:X$3360,"ESB",'J Book Items Cons.'!R$5:R$3360,"&lt;&gt;")+SUMIFS('J Book Items Cons.'!N$5:N$3360,'J Book Items Cons.'!E$5:E$3360,4,'J Book Items Cons.'!S$5:S$3360,"[PARENT]",'J Book Items Cons.'!X$5:X$3360,"ESB",'J Book Items Cons.'!R$5:R$3360,"",'J Book Items Cons.'!N$5:N$3360,"&lt;&gt;")+SUMIFS('J Book Items Cons.'!L$5:L$3360,'J Book Items Cons.'!E$5:E$3360,4,'J Book Items Cons.'!S$5:S$3360,"[PARENT]",'J Book Items Cons.'!X$5:X$3360,"ESB",'J Book Items Cons.'!R$5:R$3360,"",'J Book Items Cons.'!N$5:N$3360,"")</f>
        <v>0</v>
      </c>
      <c r="V60" s="14">
        <f>SUMIFS('J Book Items Cons.'!R$5:R$3360,'J Book Items Cons.'!E$5:E$3360,4,'J Book Items Cons.'!S$5:S$3360,"",'J Book Items Cons.'!X$5:X$3360,"LCC",'J Book Items Cons.'!R$5:R$3360,"&lt;&gt;")+SUMIFS('J Book Items Cons.'!N$5:N$3360,'J Book Items Cons.'!E$5:E$3360,4,'J Book Items Cons.'!S$5:S$3360,"",'J Book Items Cons.'!X$5:X$3360,"LCC",'J Book Items Cons.'!R$5:R$3360,"",'J Book Items Cons.'!N$5:N$3360,"&lt;&gt;")+SUMIFS('J Book Items Cons.'!L$5:L$3360,'J Book Items Cons.'!E$5:E$3360,4,'J Book Items Cons.'!S$5:S$3360,"",'J Book Items Cons.'!X$5:X$3360,"LCC",'J Book Items Cons.'!R$5:R$3360,"",'J Book Items Cons.'!N$5:N$3360,"")+SUMIFS('J Book Items Cons.'!R$5:R$3360,'J Book Items Cons.'!E$5:E$3360,4,'J Book Items Cons.'!S$5:S$3360,"[PARENT]",'J Book Items Cons.'!X$5:X$3360,"LCC",'J Book Items Cons.'!R$5:R$3360,"&lt;&gt;")+SUMIFS('J Book Items Cons.'!N$5:N$3360,'J Book Items Cons.'!E$5:E$3360,4,'J Book Items Cons.'!S$5:S$3360,"[PARENT]",'J Book Items Cons.'!X$5:X$3360,"LCC",'J Book Items Cons.'!R$5:R$3360,"",'J Book Items Cons.'!N$5:N$3360,"&lt;&gt;")+SUMIFS('J Book Items Cons.'!L$5:L$3360,'J Book Items Cons.'!E$5:E$3360,4,'J Book Items Cons.'!S$5:S$3360,"[PARENT]",'J Book Items Cons.'!X$5:X$3360,"LCC",'J Book Items Cons.'!R$5:R$3360,"",'J Book Items Cons.'!N$5:N$3360,"")</f>
        <v>0</v>
      </c>
      <c r="W60" s="14">
        <f>SUMIFS('J Book Items Cons.'!R$5:R$3360,'J Book Items Cons.'!E$5:E$3360,4,'J Book Items Cons.'!S$5:S$3360,"",'J Book Items Cons.'!X$5:X$3360,"MCM",'J Book Items Cons.'!R$5:R$3360,"&lt;&gt;")+SUMIFS('J Book Items Cons.'!N$5:N$3360,'J Book Items Cons.'!E$5:E$3360,4,'J Book Items Cons.'!S$5:S$3360,"",'J Book Items Cons.'!X$5:X$3360,"MCM",'J Book Items Cons.'!R$5:R$3360,"",'J Book Items Cons.'!N$5:N$3360,"&lt;&gt;")+SUMIFS('J Book Items Cons.'!L$5:L$3360,'J Book Items Cons.'!E$5:E$3360,4,'J Book Items Cons.'!S$5:S$3360,"",'J Book Items Cons.'!X$5:X$3360,"MCM",'J Book Items Cons.'!R$5:R$3360,"",'J Book Items Cons.'!N$5:N$3360,"")+SUMIFS('J Book Items Cons.'!R$5:R$3360,'J Book Items Cons.'!E$5:E$3360,4,'J Book Items Cons.'!S$5:S$3360,"[PARENT]",'J Book Items Cons.'!X$5:X$3360,"MCM",'J Book Items Cons.'!R$5:R$3360,"&lt;&gt;")+SUMIFS('J Book Items Cons.'!N$5:N$3360,'J Book Items Cons.'!E$5:E$3360,4,'J Book Items Cons.'!S$5:S$3360,"[PARENT]",'J Book Items Cons.'!X$5:X$3360,"MCM",'J Book Items Cons.'!R$5:R$3360,"",'J Book Items Cons.'!N$5:N$3360,"&lt;&gt;")+SUMIFS('J Book Items Cons.'!L$5:L$3360,'J Book Items Cons.'!E$5:E$3360,4,'J Book Items Cons.'!S$5:S$3360,"[PARENT]",'J Book Items Cons.'!X$5:X$3360,"MCM",'J Book Items Cons.'!R$5:R$3360,"",'J Book Items Cons.'!N$5:N$3360,"")</f>
        <v>0</v>
      </c>
      <c r="X60" s="26">
        <f>SUMIFS('J Book Items Cons.'!R$5:R$3360,'J Book Items Cons.'!E$5:E$3360,4,'J Book Items Cons.'!S$5:S$3360,"",'J Book Items Cons.'!X$5:X$3360,"PC",'J Book Items Cons.'!R$5:R$3360,"&lt;&gt;")+SUMIFS('J Book Items Cons.'!N$5:N$3360,'J Book Items Cons.'!E$5:E$3360,4,'J Book Items Cons.'!S$5:S$3360,"",'J Book Items Cons.'!X$5:X$3360,"PC",'J Book Items Cons.'!R$5:R$3360,"",'J Book Items Cons.'!N$5:N$3360,"&lt;&gt;")+SUMIFS('J Book Items Cons.'!L$5:L$3360,'J Book Items Cons.'!E$5:E$3360,4,'J Book Items Cons.'!S$5:S$3360,"",'J Book Items Cons.'!X$5:X$3360,"PC",'J Book Items Cons.'!R$5:R$3360,"",'J Book Items Cons.'!N$5:N$3360,"")+SUMIFS('J Book Items Cons.'!R$5:R$3360,'J Book Items Cons.'!E$5:E$3360,4,'J Book Items Cons.'!S$5:S$3360,"[PARENT]",'J Book Items Cons.'!X$5:X$3360,"PC",'J Book Items Cons.'!R$5:R$3360,"&lt;&gt;")+SUMIFS('J Book Items Cons.'!N$5:N$3360,'J Book Items Cons.'!E$5:E$3360,4,'J Book Items Cons.'!S$5:S$3360,"[PARENT]",'J Book Items Cons.'!X$5:X$3360,"PC",'J Book Items Cons.'!R$5:R$3360,"",'J Book Items Cons.'!N$5:N$3360,"&lt;&gt;")+SUMIFS('J Book Items Cons.'!L$5:L$3360,'J Book Items Cons.'!E$5:E$3360,4,'J Book Items Cons.'!S$5:S$3360,"[PARENT]",'J Book Items Cons.'!X$5:X$3360,"PC",'J Book Items Cons.'!R$5:R$3360,"",'J Book Items Cons.'!N$5:N$3360,"")</f>
        <v>0</v>
      </c>
      <c r="Y60" s="25">
        <f>SUMIFS('J Book Items Cons.'!R$5:R$3360,'J Book Items Cons.'!E$5:E$3360,4,'J Book Items Cons.'!S$5:S$3360,"",'J Book Items Cons.'!X$5:X$3360,"WMSM",'J Book Items Cons.'!R$5:R$3360,"&lt;&gt;")+SUMIFS('J Book Items Cons.'!N$5:N$3360,'J Book Items Cons.'!E$5:E$3360,4,'J Book Items Cons.'!S$5:S$3360,"",'J Book Items Cons.'!X$5:X$3360,"WMSM",'J Book Items Cons.'!R$5:R$3360,"",'J Book Items Cons.'!N$5:N$3360,"&lt;&gt;")+SUMIFS('J Book Items Cons.'!L$5:L$3360,'J Book Items Cons.'!E$5:E$3360,4,'J Book Items Cons.'!S$5:S$3360,"",'J Book Items Cons.'!X$5:X$3360,"WMSM",'J Book Items Cons.'!R$5:R$3360,"",'J Book Items Cons.'!N$5:N$3360,"")+SUMIFS('J Book Items Cons.'!R$5:R$3360,'J Book Items Cons.'!E$5:E$3360,4,'J Book Items Cons.'!S$5:S$3360,"[PARENT]",'J Book Items Cons.'!X$5:X$3360,"WMSM",'J Book Items Cons.'!R$5:R$3360,"&lt;&gt;")+SUMIFS('J Book Items Cons.'!N$5:N$3360,'J Book Items Cons.'!E$5:E$3360,4,'J Book Items Cons.'!S$5:S$3360,"[PARENT]",'J Book Items Cons.'!X$5:X$3360,"WMSM",'J Book Items Cons.'!R$5:R$3360,"",'J Book Items Cons.'!N$5:N$3360,"&lt;&gt;")+SUMIFS('J Book Items Cons.'!L$5:L$3360,'J Book Items Cons.'!E$5:E$3360,4,'J Book Items Cons.'!S$5:S$3360,"[PARENT]",'J Book Items Cons.'!X$5:X$3360,"WMSM",'J Book Items Cons.'!R$5:R$3360,"",'J Book Items Cons.'!N$5:N$3360,"")</f>
        <v>0</v>
      </c>
      <c r="Z60" s="14">
        <f>SUMIFS('J Book Items Cons.'!R$5:R$3360,'J Book Items Cons.'!E$5:E$3360,4,'J Book Items Cons.'!S$5:S$3360,"",'J Book Items Cons.'!X$5:X$3360,"WPC",'J Book Items Cons.'!R$5:R$3360,"&lt;&gt;")+SUMIFS('J Book Items Cons.'!N$5:N$3360,'J Book Items Cons.'!E$5:E$3360,4,'J Book Items Cons.'!S$5:S$3360,"",'J Book Items Cons.'!X$5:X$3360,"WPC",'J Book Items Cons.'!R$5:R$3360,"",'J Book Items Cons.'!N$5:N$3360,"&lt;&gt;")+SUMIFS('J Book Items Cons.'!L$5:L$3360,'J Book Items Cons.'!E$5:E$3360,4,'J Book Items Cons.'!S$5:S$3360,"",'J Book Items Cons.'!X$5:X$3360,"WPC",'J Book Items Cons.'!R$5:R$3360,"",'J Book Items Cons.'!N$5:N$3360,"")+SUMIFS('J Book Items Cons.'!R$5:R$3360,'J Book Items Cons.'!E$5:E$3360,4,'J Book Items Cons.'!S$5:S$3360,"[PARENT]",'J Book Items Cons.'!X$5:X$3360,"WPC",'J Book Items Cons.'!R$5:R$3360,"&lt;&gt;")+SUMIFS('J Book Items Cons.'!N$5:N$3360,'J Book Items Cons.'!E$5:E$3360,4,'J Book Items Cons.'!S$5:S$3360,"[PARENT]",'J Book Items Cons.'!X$5:X$3360,"WPC",'J Book Items Cons.'!R$5:R$3360,"",'J Book Items Cons.'!N$5:N$3360,"&lt;&gt;")+SUMIFS('J Book Items Cons.'!L$5:L$3360,'J Book Items Cons.'!E$5:E$3360,4,'J Book Items Cons.'!S$5:S$3360,"[PARENT]",'J Book Items Cons.'!X$5:X$3360,"WPC",'J Book Items Cons.'!R$5:R$3360,"",'J Book Items Cons.'!N$5:N$3360,"")</f>
        <v>0</v>
      </c>
      <c r="AA60" s="14">
        <f>SUMIFS('J Book Items Cons.'!R$5:R$3360,'J Book Items Cons.'!E$5:E$3360,4,'J Book Items Cons.'!S$5:S$3360,"",'J Book Items Cons.'!X$5:X$3360,"WAGB",'J Book Items Cons.'!R$5:R$3360,"&lt;&gt;")+SUMIFS('J Book Items Cons.'!N$5:N$3360,'J Book Items Cons.'!E$5:E$3360,4,'J Book Items Cons.'!S$5:S$3360,"",'J Book Items Cons.'!X$5:X$3360,"WAGB",'J Book Items Cons.'!R$5:R$3360,"",'J Book Items Cons.'!N$5:N$3360,"&lt;&gt;")+SUMIFS('J Book Items Cons.'!L$5:L$3360,'J Book Items Cons.'!E$5:E$3360,4,'J Book Items Cons.'!S$5:S$3360,"",'J Book Items Cons.'!X$5:X$3360,"WAGB",'J Book Items Cons.'!R$5:R$3360,"",'J Book Items Cons.'!N$5:N$3360,"")+SUMIFS('J Book Items Cons.'!R$5:R$3360,'J Book Items Cons.'!E$5:E$3360,4,'J Book Items Cons.'!S$5:S$3360,"[PARENT]",'J Book Items Cons.'!X$5:X$3360,"WAGB",'J Book Items Cons.'!R$5:R$3360,"&lt;&gt;")+SUMIFS('J Book Items Cons.'!N$5:N$3360,'J Book Items Cons.'!E$5:E$3360,4,'J Book Items Cons.'!S$5:S$3360,"[PARENT]",'J Book Items Cons.'!X$5:X$3360,"WAGB",'J Book Items Cons.'!R$5:R$3360,"",'J Book Items Cons.'!N$5:N$3360,"&lt;&gt;")+SUMIFS('J Book Items Cons.'!L$5:L$3360,'J Book Items Cons.'!E$5:E$3360,4,'J Book Items Cons.'!S$5:S$3360,"[PARENT]",'J Book Items Cons.'!X$5:X$3360,"WAGB",'J Book Items Cons.'!R$5:R$3360,"",'J Book Items Cons.'!N$5:N$3360,"")</f>
        <v>0</v>
      </c>
      <c r="AB60" s="14">
        <f>SUMIFS('J Book Items Cons.'!R$5:R$3360,'J Book Items Cons.'!E$5:E$3360,4,'J Book Items Cons.'!S$5:S$3360,"",'J Book Items Cons.'!X$5:X$3360,"WCC",'J Book Items Cons.'!R$5:R$3360,"&lt;&gt;")+SUMIFS('J Book Items Cons.'!N$5:N$3360,'J Book Items Cons.'!E$5:E$3360,4,'J Book Items Cons.'!S$5:S$3360,"",'J Book Items Cons.'!X$5:X$3360,"WCC",'J Book Items Cons.'!R$5:R$3360,"",'J Book Items Cons.'!N$5:N$3360,"&lt;&gt;")+SUMIFS('J Book Items Cons.'!L$5:L$3360,'J Book Items Cons.'!E$5:E$3360,4,'J Book Items Cons.'!S$5:S$3360,"",'J Book Items Cons.'!X$5:X$3360,"WCC",'J Book Items Cons.'!R$5:R$3360,"",'J Book Items Cons.'!N$5:N$3360,"")+SUMIFS('J Book Items Cons.'!R$5:R$3360,'J Book Items Cons.'!E$5:E$3360,4,'J Book Items Cons.'!S$5:S$3360,"[PARENT]",'J Book Items Cons.'!X$5:X$3360,"WCC",'J Book Items Cons.'!R$5:R$3360,"&lt;&gt;")+SUMIFS('J Book Items Cons.'!N$5:N$3360,'J Book Items Cons.'!E$5:E$3360,4,'J Book Items Cons.'!S$5:S$3360,"[PARENT]",'J Book Items Cons.'!X$5:X$3360,"WCC",'J Book Items Cons.'!R$5:R$3360,"",'J Book Items Cons.'!N$5:N$3360,"&lt;&gt;")+SUMIFS('J Book Items Cons.'!L$5:L$3360,'J Book Items Cons.'!E$5:E$3360,4,'J Book Items Cons.'!S$5:S$3360,"[PARENT]",'J Book Items Cons.'!X$5:X$3360,"WCC",'J Book Items Cons.'!R$5:R$3360,"",'J Book Items Cons.'!N$5:N$3360,"")</f>
        <v>0</v>
      </c>
      <c r="AC60" s="26">
        <f>SUMIFS('J Book Items Cons.'!R$5:R$3360,'J Book Items Cons.'!E$5:E$3360,4,'J Book Items Cons.'!S$5:S$3360,"",'J Book Items Cons.'!X$5:X$3360,"WMSL",'J Book Items Cons.'!R$5:R$3360,"&lt;&gt;")+SUMIFS('J Book Items Cons.'!N$5:N$3360,'J Book Items Cons.'!E$5:E$3360,4,'J Book Items Cons.'!S$5:S$3360,"",'J Book Items Cons.'!X$5:X$3360,"WMSL",'J Book Items Cons.'!R$5:R$3360,"",'J Book Items Cons.'!N$5:N$3360,"&lt;&gt;")+SUMIFS('J Book Items Cons.'!L$5:L$3360,'J Book Items Cons.'!E$5:E$3360,4,'J Book Items Cons.'!S$5:S$3360,"",'J Book Items Cons.'!X$5:X$3360,"WMSL",'J Book Items Cons.'!R$5:R$3360,"",'J Book Items Cons.'!N$5:N$3360,"")+SUMIFS('J Book Items Cons.'!R$5:R$3360,'J Book Items Cons.'!E$5:E$3360,4,'J Book Items Cons.'!S$5:S$3360,"[PARENT]",'J Book Items Cons.'!X$5:X$3360,"WMSL",'J Book Items Cons.'!R$5:R$3360,"&lt;&gt;")+SUMIFS('J Book Items Cons.'!N$5:N$3360,'J Book Items Cons.'!E$5:E$3360,4,'J Book Items Cons.'!S$5:S$3360,"[PARENT]",'J Book Items Cons.'!X$5:X$3360,"WMSL",'J Book Items Cons.'!R$5:R$3360,"",'J Book Items Cons.'!N$5:N$3360,"&lt;&gt;")+SUMIFS('J Book Items Cons.'!L$5:L$3360,'J Book Items Cons.'!E$5:E$3360,4,'J Book Items Cons.'!S$5:S$3360,"[PARENT]",'J Book Items Cons.'!X$5:X$3360,"WMSL",'J Book Items Cons.'!R$5:R$3360,"",'J Book Items Cons.'!N$5:N$3360,"")</f>
        <v>31000</v>
      </c>
      <c r="AD60" s="14">
        <f t="shared" si="5"/>
        <v>10864556</v>
      </c>
    </row>
    <row r="61" spans="1:42" ht="10.5" customHeight="1" x14ac:dyDescent="0.15">
      <c r="A61" s="7" t="s">
        <v>8826</v>
      </c>
      <c r="B61" s="25">
        <f>SUMIFS('J Book Items Cons.'!R$5:R$3360,'J Book Items Cons.'!E$5:E$3360,5,'J Book Items Cons.'!S$5:S$3360,"",'J Book Items Cons.'!X$5:X$3360,"SSN",'J Book Items Cons.'!R$5:R$3360,"&lt;&gt;")+SUMIFS('J Book Items Cons.'!N$5:N$3360,'J Book Items Cons.'!E$5:E$3360,5,'J Book Items Cons.'!S$5:S$3360,"",'J Book Items Cons.'!X$5:X$3360,"SSN",'J Book Items Cons.'!R$5:R$3360,"",'J Book Items Cons.'!N$5:N$3360,"&lt;&gt;")+SUMIFS('J Book Items Cons.'!L$5:L$3360,'J Book Items Cons.'!E$5:E$3360,5,'J Book Items Cons.'!S$5:S$3360,"",'J Book Items Cons.'!X$5:X$3360,"SSN",'J Book Items Cons.'!R$5:R$3360,"",'J Book Items Cons.'!N$5:N$3360,"")+SUMIFS('J Book Items Cons.'!R$5:R$3360,'J Book Items Cons.'!E$5:E$3360,5,'J Book Items Cons.'!S$5:S$3360,"[PARENT]",'J Book Items Cons.'!X$5:X$3360,"SSN",'J Book Items Cons.'!R$5:R$3360,"&lt;&gt;")+SUMIFS('J Book Items Cons.'!N$5:N$3360,'J Book Items Cons.'!E$5:E$3360,5,'J Book Items Cons.'!S$5:S$3360,"[PARENT]",'J Book Items Cons.'!X$5:X$3360,"SSN",'J Book Items Cons.'!R$5:R$3360,"",'J Book Items Cons.'!N$5:N$3360,"&lt;&gt;")+SUMIFS('J Book Items Cons.'!L$5:L$3360,'J Book Items Cons.'!E$5:E$3360,5,'J Book Items Cons.'!S$5:S$3360,"[PARENT]",'J Book Items Cons.'!X$5:X$3360,"SSN",'J Book Items Cons.'!R$5:R$3360,"",'J Book Items Cons.'!N$5:N$3360,"")</f>
        <v>0</v>
      </c>
      <c r="C61" s="14">
        <f>SUMIFS('J Book Items Cons.'!R$5:R$3360,'J Book Items Cons.'!E$5:E$3360,5,'J Book Items Cons.'!S$5:S$3360,"",'J Book Items Cons.'!X$5:X$3360,"SSBN",'J Book Items Cons.'!R$5:R$3360,"&lt;&gt;")+SUMIFS('J Book Items Cons.'!N$5:N$3360,'J Book Items Cons.'!E$5:E$3360,5,'J Book Items Cons.'!S$5:S$3360,"",'J Book Items Cons.'!X$5:X$3360,"SSBN",'J Book Items Cons.'!R$5:R$3360,"",'J Book Items Cons.'!N$5:N$3360,"&lt;&gt;")+SUMIFS('J Book Items Cons.'!L$5:L$3360,'J Book Items Cons.'!E$5:E$3360,5,'J Book Items Cons.'!S$5:S$3360,"",'J Book Items Cons.'!X$5:X$3360,"SSBN",'J Book Items Cons.'!R$5:R$3360,"",'J Book Items Cons.'!N$5:N$3360,"")+SUMIFS('J Book Items Cons.'!R$5:R$3360,'J Book Items Cons.'!E$5:E$3360,5,'J Book Items Cons.'!S$5:S$3360,"[PARENT]",'J Book Items Cons.'!X$5:X$3360,"SSBN",'J Book Items Cons.'!R$5:R$3360,"&lt;&gt;")+SUMIFS('J Book Items Cons.'!N$5:N$3360,'J Book Items Cons.'!E$5:E$3360,5,'J Book Items Cons.'!S$5:S$3360,"[PARENT]",'J Book Items Cons.'!X$5:X$3360,"SSBN",'J Book Items Cons.'!R$5:R$3360,"",'J Book Items Cons.'!N$5:N$3360,"&lt;&gt;")+SUMIFS('J Book Items Cons.'!L$5:L$3360,'J Book Items Cons.'!E$5:E$3360,5,'J Book Items Cons.'!S$5:S$3360,"[PARENT]",'J Book Items Cons.'!X$5:X$3360,"SSBN",'J Book Items Cons.'!R$5:R$3360,"",'J Book Items Cons.'!N$5:N$3360,"")</f>
        <v>0</v>
      </c>
      <c r="D61" s="14">
        <f>SUMIFS('J Book Items Cons.'!R$5:R$3360,'J Book Items Cons.'!E$5:E$3360,5,'J Book Items Cons.'!S$5:S$3360,"",'J Book Items Cons.'!X$5:X$3360,"DDG",'J Book Items Cons.'!R$5:R$3360,"&lt;&gt;")+SUMIFS('J Book Items Cons.'!N$5:N$3360,'J Book Items Cons.'!E$5:E$3360,5,'J Book Items Cons.'!S$5:S$3360,"",'J Book Items Cons.'!X$5:X$3360,"DDG",'J Book Items Cons.'!R$5:R$3360,"",'J Book Items Cons.'!N$5:N$3360,"&lt;&gt;")+SUMIFS('J Book Items Cons.'!L$5:L$3360,'J Book Items Cons.'!E$5:E$3360,5,'J Book Items Cons.'!S$5:S$3360,"",'J Book Items Cons.'!X$5:X$3360,"DDG",'J Book Items Cons.'!R$5:R$3360,"",'J Book Items Cons.'!N$5:N$3360,"")+SUMIFS('J Book Items Cons.'!R$5:R$3360,'J Book Items Cons.'!E$5:E$3360,5,'J Book Items Cons.'!S$5:S$3360,"[PARENT]",'J Book Items Cons.'!X$5:X$3360,"DDG",'J Book Items Cons.'!R$5:R$3360,"&lt;&gt;")+SUMIFS('J Book Items Cons.'!N$5:N$3360,'J Book Items Cons.'!E$5:E$3360,5,'J Book Items Cons.'!S$5:S$3360,"[PARENT]",'J Book Items Cons.'!X$5:X$3360,"DDG",'J Book Items Cons.'!R$5:R$3360,"",'J Book Items Cons.'!N$5:N$3360,"&lt;&gt;")+SUMIFS('J Book Items Cons.'!L$5:L$3360,'J Book Items Cons.'!E$5:E$3360,5,'J Book Items Cons.'!S$5:S$3360,"[PARENT]",'J Book Items Cons.'!X$5:X$3360,"DDG",'J Book Items Cons.'!R$5:R$3360,"",'J Book Items Cons.'!N$5:N$3360,"")</f>
        <v>0</v>
      </c>
      <c r="E61" s="14">
        <f>SUMIFS('J Book Items Cons.'!R$5:R$3360,'J Book Items Cons.'!E$5:E$3360,5,'J Book Items Cons.'!S$5:S$3360,"",'J Book Items Cons.'!X$5:X$3360,"CVN",'J Book Items Cons.'!R$5:R$3360,"&lt;&gt;")+SUMIFS('J Book Items Cons.'!N$5:N$3360,'J Book Items Cons.'!E$5:E$3360,5,'J Book Items Cons.'!S$5:S$3360,"",'J Book Items Cons.'!X$5:X$3360,"CVN",'J Book Items Cons.'!R$5:R$3360,"",'J Book Items Cons.'!N$5:N$3360,"&lt;&gt;")+SUMIFS('J Book Items Cons.'!L$5:L$3360,'J Book Items Cons.'!E$5:E$3360,5,'J Book Items Cons.'!S$5:S$3360,"",'J Book Items Cons.'!X$5:X$3360,"CVN",'J Book Items Cons.'!R$5:R$3360,"",'J Book Items Cons.'!N$5:N$3360,"")+SUMIFS('J Book Items Cons.'!R$5:R$3360,'J Book Items Cons.'!E$5:E$3360,5,'J Book Items Cons.'!S$5:S$3360,"[PARENT]",'J Book Items Cons.'!X$5:X$3360,"CVN",'J Book Items Cons.'!R$5:R$3360,"&lt;&gt;")+SUMIFS('J Book Items Cons.'!N$5:N$3360,'J Book Items Cons.'!E$5:E$3360,5,'J Book Items Cons.'!S$5:S$3360,"[PARENT]",'J Book Items Cons.'!X$5:X$3360,"CVN",'J Book Items Cons.'!R$5:R$3360,"",'J Book Items Cons.'!N$5:N$3360,"&lt;&gt;")+SUMIFS('J Book Items Cons.'!L$5:L$3360,'J Book Items Cons.'!E$5:E$3360,5,'J Book Items Cons.'!S$5:S$3360,"[PARENT]",'J Book Items Cons.'!X$5:X$3360,"CVN",'J Book Items Cons.'!R$5:R$3360,"",'J Book Items Cons.'!N$5:N$3360,"")</f>
        <v>1579011</v>
      </c>
      <c r="F61" s="14">
        <f>SUMIFS('J Book Items Cons.'!R$5:R$3360,'J Book Items Cons.'!E$5:E$3360,5,'J Book Items Cons.'!S$5:S$3360,"",'J Book Items Cons.'!X$5:X$3360,"LSM",'J Book Items Cons.'!R$5:R$3360,"&lt;&gt;")+SUMIFS('J Book Items Cons.'!N$5:N$3360,'J Book Items Cons.'!E$5:E$3360,5,'J Book Items Cons.'!S$5:S$3360,"",'J Book Items Cons.'!X$5:X$3360,"LSM",'J Book Items Cons.'!R$5:R$3360,"",'J Book Items Cons.'!N$5:N$3360,"&lt;&gt;")+SUMIFS('J Book Items Cons.'!L$5:L$3360,'J Book Items Cons.'!E$5:E$3360,5,'J Book Items Cons.'!S$5:S$3360,"",'J Book Items Cons.'!X$5:X$3360,"LSM",'J Book Items Cons.'!R$5:R$3360,"",'J Book Items Cons.'!N$5:N$3360,"")+SUMIFS('J Book Items Cons.'!R$5:R$3360,'J Book Items Cons.'!E$5:E$3360,5,'J Book Items Cons.'!S$5:S$3360,"[PARENT]",'J Book Items Cons.'!X$5:X$3360,"LSM",'J Book Items Cons.'!R$5:R$3360,"&lt;&gt;")+SUMIFS('J Book Items Cons.'!N$5:N$3360,'J Book Items Cons.'!E$5:E$3360,5,'J Book Items Cons.'!S$5:S$3360,"[PARENT]",'J Book Items Cons.'!X$5:X$3360,"LSM",'J Book Items Cons.'!R$5:R$3360,"",'J Book Items Cons.'!N$5:N$3360,"&lt;&gt;")+SUMIFS('J Book Items Cons.'!L$5:L$3360,'J Book Items Cons.'!E$5:E$3360,5,'J Book Items Cons.'!S$5:S$3360,"[PARENT]",'J Book Items Cons.'!X$5:X$3360,"LSM",'J Book Items Cons.'!R$5:R$3360,"",'J Book Items Cons.'!N$5:N$3360,"")</f>
        <v>0</v>
      </c>
      <c r="G61" s="14">
        <f>SUMIFS('J Book Items Cons.'!R$5:R$3360,'J Book Items Cons.'!E$5:E$3360,5,'J Book Items Cons.'!S$5:S$3360,"",'J Book Items Cons.'!X$5:X$3360,"T-AO",'J Book Items Cons.'!R$5:R$3360,"&lt;&gt;")+SUMIFS('J Book Items Cons.'!N$5:N$3360,'J Book Items Cons.'!E$5:E$3360,5,'J Book Items Cons.'!S$5:S$3360,"",'J Book Items Cons.'!X$5:X$3360,"T-AO",'J Book Items Cons.'!R$5:R$3360,"",'J Book Items Cons.'!N$5:N$3360,"&lt;&gt;")+SUMIFS('J Book Items Cons.'!L$5:L$3360,'J Book Items Cons.'!E$5:E$3360,5,'J Book Items Cons.'!S$5:S$3360,"",'J Book Items Cons.'!X$5:X$3360,"T-AO",'J Book Items Cons.'!R$5:R$3360,"",'J Book Items Cons.'!N$5:N$3360,"")+SUMIFS('J Book Items Cons.'!R$5:R$3360,'J Book Items Cons.'!E$5:E$3360,5,'J Book Items Cons.'!S$5:S$3360,"[PARENT]",'J Book Items Cons.'!X$5:X$3360,"T-AO",'J Book Items Cons.'!R$5:R$3360,"&lt;&gt;")+SUMIFS('J Book Items Cons.'!N$5:N$3360,'J Book Items Cons.'!E$5:E$3360,5,'J Book Items Cons.'!S$5:S$3360,"[PARENT]",'J Book Items Cons.'!X$5:X$3360,"T-AO",'J Book Items Cons.'!R$5:R$3360,"",'J Book Items Cons.'!N$5:N$3360,"&lt;&gt;")+SUMIFS('J Book Items Cons.'!L$5:L$3360,'J Book Items Cons.'!E$5:E$3360,5,'J Book Items Cons.'!S$5:S$3360,"[PARENT]",'J Book Items Cons.'!X$5:X$3360,"T-AO",'J Book Items Cons.'!R$5:R$3360,"",'J Book Items Cons.'!N$5:N$3360,"")</f>
        <v>0</v>
      </c>
      <c r="H61" s="14">
        <f>SUMIFS('J Book Items Cons.'!R$5:R$3360,'J Book Items Cons.'!E$5:E$3360,5,'J Book Items Cons.'!S$5:S$3360,"",'J Book Items Cons.'!X$5:X$3360,"LCS",'J Book Items Cons.'!R$5:R$3360,"&lt;&gt;")+SUMIFS('J Book Items Cons.'!N$5:N$3360,'J Book Items Cons.'!E$5:E$3360,5,'J Book Items Cons.'!S$5:S$3360,"",'J Book Items Cons.'!X$5:X$3360,"LCS",'J Book Items Cons.'!R$5:R$3360,"",'J Book Items Cons.'!N$5:N$3360,"&lt;&gt;")+SUMIFS('J Book Items Cons.'!L$5:L$3360,'J Book Items Cons.'!E$5:E$3360,5,'J Book Items Cons.'!S$5:S$3360,"",'J Book Items Cons.'!X$5:X$3360,"LCS",'J Book Items Cons.'!R$5:R$3360,"",'J Book Items Cons.'!N$5:N$3360,"")+SUMIFS('J Book Items Cons.'!R$5:R$3360,'J Book Items Cons.'!E$5:E$3360,5,'J Book Items Cons.'!S$5:S$3360,"[PARENT]",'J Book Items Cons.'!X$5:X$3360,"LCS",'J Book Items Cons.'!R$5:R$3360,"&lt;&gt;")+SUMIFS('J Book Items Cons.'!N$5:N$3360,'J Book Items Cons.'!E$5:E$3360,5,'J Book Items Cons.'!S$5:S$3360,"[PARENT]",'J Book Items Cons.'!X$5:X$3360,"LCS",'J Book Items Cons.'!R$5:R$3360,"",'J Book Items Cons.'!N$5:N$3360,"&lt;&gt;")+SUMIFS('J Book Items Cons.'!L$5:L$3360,'J Book Items Cons.'!E$5:E$3360,5,'J Book Items Cons.'!S$5:S$3360,"[PARENT]",'J Book Items Cons.'!X$5:X$3360,"LCS",'J Book Items Cons.'!R$5:R$3360,"",'J Book Items Cons.'!N$5:N$3360,"")</f>
        <v>0</v>
      </c>
      <c r="I61" s="14">
        <f>SUMIFS('J Book Items Cons.'!R$5:R$3360,'J Book Items Cons.'!E$5:E$3360,5,'J Book Items Cons.'!S$5:S$3360,"",'J Book Items Cons.'!X$5:X$3360,"LPD",'J Book Items Cons.'!R$5:R$3360,"&lt;&gt;")+SUMIFS('J Book Items Cons.'!N$5:N$3360,'J Book Items Cons.'!E$5:E$3360,5,'J Book Items Cons.'!S$5:S$3360,"",'J Book Items Cons.'!X$5:X$3360,"LPD",'J Book Items Cons.'!R$5:R$3360,"",'J Book Items Cons.'!N$5:N$3360,"&lt;&gt;")+SUMIFS('J Book Items Cons.'!L$5:L$3360,'J Book Items Cons.'!E$5:E$3360,5,'J Book Items Cons.'!S$5:S$3360,"",'J Book Items Cons.'!X$5:X$3360,"LPD",'J Book Items Cons.'!R$5:R$3360,"",'J Book Items Cons.'!N$5:N$3360,"")+SUMIFS('J Book Items Cons.'!R$5:R$3360,'J Book Items Cons.'!E$5:E$3360,5,'J Book Items Cons.'!S$5:S$3360,"[PARENT]",'J Book Items Cons.'!X$5:X$3360,"LPD",'J Book Items Cons.'!R$5:R$3360,"&lt;&gt;")+SUMIFS('J Book Items Cons.'!N$5:N$3360,'J Book Items Cons.'!E$5:E$3360,5,'J Book Items Cons.'!S$5:S$3360,"[PARENT]",'J Book Items Cons.'!X$5:X$3360,"LPD",'J Book Items Cons.'!R$5:R$3360,"",'J Book Items Cons.'!N$5:N$3360,"&lt;&gt;")+SUMIFS('J Book Items Cons.'!L$5:L$3360,'J Book Items Cons.'!E$5:E$3360,5,'J Book Items Cons.'!S$5:S$3360,"[PARENT]",'J Book Items Cons.'!X$5:X$3360,"LPD",'J Book Items Cons.'!R$5:R$3360,"",'J Book Items Cons.'!N$5:N$3360,"")</f>
        <v>0</v>
      </c>
      <c r="J61" s="14">
        <f>SUMIFS('J Book Items Cons.'!R$5:R$3360,'J Book Items Cons.'!E$5:E$3360,5,'J Book Items Cons.'!S$5:S$3360,"",'J Book Items Cons.'!X$5:X$3360,"MUSV",'J Book Items Cons.'!R$5:R$3360,"&lt;&gt;")+SUMIFS('J Book Items Cons.'!N$5:N$3360,'J Book Items Cons.'!E$5:E$3360,5,'J Book Items Cons.'!S$5:S$3360,"",'J Book Items Cons.'!X$5:X$3360,"MUSV",'J Book Items Cons.'!R$5:R$3360,"",'J Book Items Cons.'!N$5:N$3360,"&lt;&gt;")+SUMIFS('J Book Items Cons.'!L$5:L$3360,'J Book Items Cons.'!E$5:E$3360,5,'J Book Items Cons.'!S$5:S$3360,"",'J Book Items Cons.'!X$5:X$3360,"MUSV",'J Book Items Cons.'!R$5:R$3360,"",'J Book Items Cons.'!N$5:N$3360,"")+SUMIFS('J Book Items Cons.'!R$5:R$3360,'J Book Items Cons.'!E$5:E$3360,5,'J Book Items Cons.'!S$5:S$3360,"[PARENT]",'J Book Items Cons.'!X$5:X$3360,"MUSV",'J Book Items Cons.'!R$5:R$3360,"&lt;&gt;")+SUMIFS('J Book Items Cons.'!N$5:N$3360,'J Book Items Cons.'!E$5:E$3360,5,'J Book Items Cons.'!S$5:S$3360,"[PARENT]",'J Book Items Cons.'!X$5:X$3360,"MUSV",'J Book Items Cons.'!R$5:R$3360,"",'J Book Items Cons.'!N$5:N$3360,"&lt;&gt;")+SUMIFS('J Book Items Cons.'!L$5:L$3360,'J Book Items Cons.'!E$5:E$3360,5,'J Book Items Cons.'!S$5:S$3360,"[PARENT]",'J Book Items Cons.'!X$5:X$3360,"MUSV",'J Book Items Cons.'!R$5:R$3360,"",'J Book Items Cons.'!N$5:N$3360,"")</f>
        <v>0</v>
      </c>
      <c r="K61" s="14">
        <f>SUMIFS('J Book Items Cons.'!R$5:R$3360,'J Book Items Cons.'!E$5:E$3360,5,'J Book Items Cons.'!S$5:S$3360,"",'J Book Items Cons.'!X$5:X$3360,"LHD",'J Book Items Cons.'!R$5:R$3360,"&lt;&gt;")+SUMIFS('J Book Items Cons.'!N$5:N$3360,'J Book Items Cons.'!E$5:E$3360,5,'J Book Items Cons.'!S$5:S$3360,"",'J Book Items Cons.'!X$5:X$3360,"LHD",'J Book Items Cons.'!R$5:R$3360,"",'J Book Items Cons.'!N$5:N$3360,"&lt;&gt;")+SUMIFS('J Book Items Cons.'!L$5:L$3360,'J Book Items Cons.'!E$5:E$3360,5,'J Book Items Cons.'!S$5:S$3360,"",'J Book Items Cons.'!X$5:X$3360,"LHD",'J Book Items Cons.'!R$5:R$3360,"",'J Book Items Cons.'!N$5:N$3360,"")+SUMIFS('J Book Items Cons.'!R$5:R$3360,'J Book Items Cons.'!E$5:E$3360,5,'J Book Items Cons.'!S$5:S$3360,"[PARENT]",'J Book Items Cons.'!X$5:X$3360,"LHD",'J Book Items Cons.'!R$5:R$3360,"&lt;&gt;")+SUMIFS('J Book Items Cons.'!N$5:N$3360,'J Book Items Cons.'!E$5:E$3360,5,'J Book Items Cons.'!S$5:S$3360,"[PARENT]",'J Book Items Cons.'!X$5:X$3360,"LHD",'J Book Items Cons.'!R$5:R$3360,"",'J Book Items Cons.'!N$5:N$3360,"&lt;&gt;")+SUMIFS('J Book Items Cons.'!L$5:L$3360,'J Book Items Cons.'!E$5:E$3360,5,'J Book Items Cons.'!S$5:S$3360,"[PARENT]",'J Book Items Cons.'!X$5:X$3360,"LHD",'J Book Items Cons.'!R$5:R$3360,"",'J Book Items Cons.'!N$5:N$3360,"")</f>
        <v>0</v>
      </c>
      <c r="L61" s="14">
        <f>SUMIFS('J Book Items Cons.'!R$5:R$3360,'J Book Items Cons.'!E$5:E$3360,5,'J Book Items Cons.'!S$5:S$3360,"",'J Book Items Cons.'!X$5:X$3360,"T-AK / T-AKR",'J Book Items Cons.'!R$5:R$3360,"&lt;&gt;")+SUMIFS('J Book Items Cons.'!N$5:N$3360,'J Book Items Cons.'!E$5:E$3360,5,'J Book Items Cons.'!S$5:S$3360,"",'J Book Items Cons.'!X$5:X$3360,"T-AK / T-AKR",'J Book Items Cons.'!R$5:R$3360,"",'J Book Items Cons.'!N$5:N$3360,"&lt;&gt;")+SUMIFS('J Book Items Cons.'!L$5:L$3360,'J Book Items Cons.'!E$5:E$3360,5,'J Book Items Cons.'!S$5:S$3360,"",'J Book Items Cons.'!X$5:X$3360,"T-AK / T-AKR",'J Book Items Cons.'!R$5:R$3360,"",'J Book Items Cons.'!N$5:N$3360,"")+SUMIFS('J Book Items Cons.'!R$5:R$3360,'J Book Items Cons.'!E$5:E$3360,5,'J Book Items Cons.'!S$5:S$3360,"[PARENT]",'J Book Items Cons.'!X$5:X$3360,"T-AK / T-AKR",'J Book Items Cons.'!R$5:R$3360,"&lt;&gt;")+SUMIFS('J Book Items Cons.'!N$5:N$3360,'J Book Items Cons.'!E$5:E$3360,5,'J Book Items Cons.'!S$5:S$3360,"[PARENT]",'J Book Items Cons.'!X$5:X$3360,"T-AK / T-AKR",'J Book Items Cons.'!R$5:R$3360,"",'J Book Items Cons.'!N$5:N$3360,"&lt;&gt;")+SUMIFS('J Book Items Cons.'!L$5:L$3360,'J Book Items Cons.'!E$5:E$3360,5,'J Book Items Cons.'!S$5:S$3360,"[PARENT]",'J Book Items Cons.'!X$5:X$3360,"T-AK / T-AKR",'J Book Items Cons.'!R$5:R$3360,"",'J Book Items Cons.'!N$5:N$3360,"")</f>
        <v>0</v>
      </c>
      <c r="M61" s="14">
        <f>SUMIFS('J Book Items Cons.'!R$5:R$3360,'J Book Items Cons.'!E$5:E$3360,5,'J Book Items Cons.'!S$5:S$3360,"",'J Book Items Cons.'!X$5:X$3360,"LHA",'J Book Items Cons.'!R$5:R$3360,"&lt;&gt;")+SUMIFS('J Book Items Cons.'!N$5:N$3360,'J Book Items Cons.'!E$5:E$3360,5,'J Book Items Cons.'!S$5:S$3360,"",'J Book Items Cons.'!X$5:X$3360,"LHA",'J Book Items Cons.'!R$5:R$3360,"",'J Book Items Cons.'!N$5:N$3360,"&lt;&gt;")+SUMIFS('J Book Items Cons.'!L$5:L$3360,'J Book Items Cons.'!E$5:E$3360,5,'J Book Items Cons.'!S$5:S$3360,"",'J Book Items Cons.'!X$5:X$3360,"LHA",'J Book Items Cons.'!R$5:R$3360,"",'J Book Items Cons.'!N$5:N$3360,"")+SUMIFS('J Book Items Cons.'!R$5:R$3360,'J Book Items Cons.'!E$5:E$3360,5,'J Book Items Cons.'!S$5:S$3360,"[PARENT]",'J Book Items Cons.'!X$5:X$3360,"LHA",'J Book Items Cons.'!R$5:R$3360,"&lt;&gt;")+SUMIFS('J Book Items Cons.'!N$5:N$3360,'J Book Items Cons.'!E$5:E$3360,5,'J Book Items Cons.'!S$5:S$3360,"[PARENT]",'J Book Items Cons.'!X$5:X$3360,"LHA",'J Book Items Cons.'!R$5:R$3360,"",'J Book Items Cons.'!N$5:N$3360,"&lt;&gt;")+SUMIFS('J Book Items Cons.'!L$5:L$3360,'J Book Items Cons.'!E$5:E$3360,5,'J Book Items Cons.'!S$5:S$3360,"[PARENT]",'J Book Items Cons.'!X$5:X$3360,"LHA",'J Book Items Cons.'!R$5:R$3360,"",'J Book Items Cons.'!N$5:N$3360,"")</f>
        <v>0</v>
      </c>
      <c r="N61" s="14">
        <f>SUMIFS('J Book Items Cons.'!R$5:R$3360,'J Book Items Cons.'!E$5:E$3360,5,'J Book Items Cons.'!S$5:S$3360,"",'J Book Items Cons.'!X$5:X$3360,"T-AGOS",'J Book Items Cons.'!R$5:R$3360,"&lt;&gt;")+SUMIFS('J Book Items Cons.'!N$5:N$3360,'J Book Items Cons.'!E$5:E$3360,5,'J Book Items Cons.'!S$5:S$3360,"",'J Book Items Cons.'!X$5:X$3360,"T-AGOS",'J Book Items Cons.'!R$5:R$3360,"",'J Book Items Cons.'!N$5:N$3360,"&lt;&gt;")+SUMIFS('J Book Items Cons.'!L$5:L$3360,'J Book Items Cons.'!E$5:E$3360,5,'J Book Items Cons.'!S$5:S$3360,"",'J Book Items Cons.'!X$5:X$3360,"T-AGOS",'J Book Items Cons.'!R$5:R$3360,"",'J Book Items Cons.'!N$5:N$3360,"")+SUMIFS('J Book Items Cons.'!R$5:R$3360,'J Book Items Cons.'!E$5:E$3360,5,'J Book Items Cons.'!S$5:S$3360,"[PARENT]",'J Book Items Cons.'!X$5:X$3360,"T-AGOS",'J Book Items Cons.'!R$5:R$3360,"&lt;&gt;")+SUMIFS('J Book Items Cons.'!N$5:N$3360,'J Book Items Cons.'!E$5:E$3360,5,'J Book Items Cons.'!S$5:S$3360,"[PARENT]",'J Book Items Cons.'!X$5:X$3360,"T-AGOS",'J Book Items Cons.'!R$5:R$3360,"",'J Book Items Cons.'!N$5:N$3360,"&lt;&gt;")+SUMIFS('J Book Items Cons.'!L$5:L$3360,'J Book Items Cons.'!E$5:E$3360,5,'J Book Items Cons.'!S$5:S$3360,"[PARENT]",'J Book Items Cons.'!X$5:X$3360,"T-AGOS",'J Book Items Cons.'!R$5:R$3360,"",'J Book Items Cons.'!N$5:N$3360,"")</f>
        <v>0</v>
      </c>
      <c r="O61" s="14">
        <f>SUMIFS('J Book Items Cons.'!R$5:R$3360,'J Book Items Cons.'!E$5:E$3360,5,'J Book Items Cons.'!S$5:S$3360,"",'J Book Items Cons.'!X$5:X$3360,"LCAC",'J Book Items Cons.'!R$5:R$3360,"&lt;&gt;")+SUMIFS('J Book Items Cons.'!N$5:N$3360,'J Book Items Cons.'!E$5:E$3360,5,'J Book Items Cons.'!S$5:S$3360,"",'J Book Items Cons.'!X$5:X$3360,"LCAC",'J Book Items Cons.'!R$5:R$3360,"",'J Book Items Cons.'!N$5:N$3360,"&lt;&gt;")+SUMIFS('J Book Items Cons.'!L$5:L$3360,'J Book Items Cons.'!E$5:E$3360,5,'J Book Items Cons.'!S$5:S$3360,"",'J Book Items Cons.'!X$5:X$3360,"LCAC",'J Book Items Cons.'!R$5:R$3360,"",'J Book Items Cons.'!N$5:N$3360,"")+SUMIFS('J Book Items Cons.'!R$5:R$3360,'J Book Items Cons.'!E$5:E$3360,5,'J Book Items Cons.'!S$5:S$3360,"[PARENT]",'J Book Items Cons.'!X$5:X$3360,"LCAC",'J Book Items Cons.'!R$5:R$3360,"&lt;&gt;")+SUMIFS('J Book Items Cons.'!N$5:N$3360,'J Book Items Cons.'!E$5:E$3360,5,'J Book Items Cons.'!S$5:S$3360,"[PARENT]",'J Book Items Cons.'!X$5:X$3360,"LCAC",'J Book Items Cons.'!R$5:R$3360,"",'J Book Items Cons.'!N$5:N$3360,"&lt;&gt;")+SUMIFS('J Book Items Cons.'!L$5:L$3360,'J Book Items Cons.'!E$5:E$3360,5,'J Book Items Cons.'!S$5:S$3360,"[PARENT]",'J Book Items Cons.'!X$5:X$3360,"LCAC",'J Book Items Cons.'!R$5:R$3360,"",'J Book Items Cons.'!N$5:N$3360,"")</f>
        <v>37390</v>
      </c>
      <c r="P61" s="14">
        <f>SUMIFS('J Book Items Cons.'!R$5:R$3360,'J Book Items Cons.'!E$5:E$3360,5,'J Book Items Cons.'!S$5:S$3360,"",'J Book Items Cons.'!X$5:X$3360,"LCU",'J Book Items Cons.'!R$5:R$3360,"&lt;&gt;")+SUMIFS('J Book Items Cons.'!N$5:N$3360,'J Book Items Cons.'!E$5:E$3360,5,'J Book Items Cons.'!S$5:S$3360,"",'J Book Items Cons.'!X$5:X$3360,"LCU",'J Book Items Cons.'!R$5:R$3360,"",'J Book Items Cons.'!N$5:N$3360,"&lt;&gt;")+SUMIFS('J Book Items Cons.'!L$5:L$3360,'J Book Items Cons.'!E$5:E$3360,5,'J Book Items Cons.'!S$5:S$3360,"",'J Book Items Cons.'!X$5:X$3360,"LCU",'J Book Items Cons.'!R$5:R$3360,"",'J Book Items Cons.'!N$5:N$3360,"")+SUMIFS('J Book Items Cons.'!R$5:R$3360,'J Book Items Cons.'!E$5:E$3360,5,'J Book Items Cons.'!S$5:S$3360,"[PARENT]",'J Book Items Cons.'!X$5:X$3360,"LCU",'J Book Items Cons.'!R$5:R$3360,"&lt;&gt;")+SUMIFS('J Book Items Cons.'!N$5:N$3360,'J Book Items Cons.'!E$5:E$3360,5,'J Book Items Cons.'!S$5:S$3360,"[PARENT]",'J Book Items Cons.'!X$5:X$3360,"LCU",'J Book Items Cons.'!R$5:R$3360,"",'J Book Items Cons.'!N$5:N$3360,"&lt;&gt;")+SUMIFS('J Book Items Cons.'!L$5:L$3360,'J Book Items Cons.'!E$5:E$3360,5,'J Book Items Cons.'!S$5:S$3360,"[PARENT]",'J Book Items Cons.'!X$5:X$3360,"LCU",'J Book Items Cons.'!R$5:R$3360,"",'J Book Items Cons.'!N$5:N$3360,"")</f>
        <v>0</v>
      </c>
      <c r="Q61" s="14">
        <f>SUMIFS('J Book Items Cons.'!R$5:R$3360,'J Book Items Cons.'!E$5:E$3360,5,'J Book Items Cons.'!S$5:S$3360,"",'J Book Items Cons.'!X$5:X$3360,"SSGN",'J Book Items Cons.'!R$5:R$3360,"&lt;&gt;")+SUMIFS('J Book Items Cons.'!N$5:N$3360,'J Book Items Cons.'!E$5:E$3360,5,'J Book Items Cons.'!S$5:S$3360,"",'J Book Items Cons.'!X$5:X$3360,"SSGN",'J Book Items Cons.'!R$5:R$3360,"",'J Book Items Cons.'!N$5:N$3360,"&lt;&gt;")+SUMIFS('J Book Items Cons.'!L$5:L$3360,'J Book Items Cons.'!E$5:E$3360,5,'J Book Items Cons.'!S$5:S$3360,"",'J Book Items Cons.'!X$5:X$3360,"SSGN",'J Book Items Cons.'!R$5:R$3360,"",'J Book Items Cons.'!N$5:N$3360,"")+SUMIFS('J Book Items Cons.'!R$5:R$3360,'J Book Items Cons.'!E$5:E$3360,5,'J Book Items Cons.'!S$5:S$3360,"[PARENT]",'J Book Items Cons.'!X$5:X$3360,"SSGN",'J Book Items Cons.'!R$5:R$3360,"&lt;&gt;")+SUMIFS('J Book Items Cons.'!N$5:N$3360,'J Book Items Cons.'!E$5:E$3360,5,'J Book Items Cons.'!S$5:S$3360,"[PARENT]",'J Book Items Cons.'!X$5:X$3360,"SSGN",'J Book Items Cons.'!R$5:R$3360,"",'J Book Items Cons.'!N$5:N$3360,"&lt;&gt;")+SUMIFS('J Book Items Cons.'!L$5:L$3360,'J Book Items Cons.'!E$5:E$3360,5,'J Book Items Cons.'!S$5:S$3360,"[PARENT]",'J Book Items Cons.'!X$5:X$3360,"SSGN",'J Book Items Cons.'!R$5:R$3360,"",'J Book Items Cons.'!N$5:N$3360,"")</f>
        <v>0</v>
      </c>
      <c r="R61" s="14">
        <f>SUMIFS('J Book Items Cons.'!R$5:R$3360,'J Book Items Cons.'!E$5:E$3360,5,'J Book Items Cons.'!S$5:S$3360,"",'J Book Items Cons.'!X$5:X$3360,"UUV",'J Book Items Cons.'!R$5:R$3360,"&lt;&gt;")+SUMIFS('J Book Items Cons.'!N$5:N$3360,'J Book Items Cons.'!E$5:E$3360,5,'J Book Items Cons.'!S$5:S$3360,"",'J Book Items Cons.'!X$5:X$3360,"UUV",'J Book Items Cons.'!R$5:R$3360,"",'J Book Items Cons.'!N$5:N$3360,"&lt;&gt;")+SUMIFS('J Book Items Cons.'!L$5:L$3360,'J Book Items Cons.'!E$5:E$3360,5,'J Book Items Cons.'!S$5:S$3360,"",'J Book Items Cons.'!X$5:X$3360,"UUV",'J Book Items Cons.'!R$5:R$3360,"",'J Book Items Cons.'!N$5:N$3360,"")+SUMIFS('J Book Items Cons.'!R$5:R$3360,'J Book Items Cons.'!E$5:E$3360,5,'J Book Items Cons.'!S$5:S$3360,"[PARENT]",'J Book Items Cons.'!X$5:X$3360,"UUV",'J Book Items Cons.'!R$5:R$3360,"&lt;&gt;")+SUMIFS('J Book Items Cons.'!N$5:N$3360,'J Book Items Cons.'!E$5:E$3360,5,'J Book Items Cons.'!S$5:S$3360,"[PARENT]",'J Book Items Cons.'!X$5:X$3360,"UUV",'J Book Items Cons.'!R$5:R$3360,"",'J Book Items Cons.'!N$5:N$3360,"&lt;&gt;")+SUMIFS('J Book Items Cons.'!L$5:L$3360,'J Book Items Cons.'!E$5:E$3360,5,'J Book Items Cons.'!S$5:S$3360,"[PARENT]",'J Book Items Cons.'!X$5:X$3360,"UUV",'J Book Items Cons.'!R$5:R$3360,"",'J Book Items Cons.'!N$5:N$3360,"")</f>
        <v>0</v>
      </c>
      <c r="S61" s="14">
        <f>SUMIFS('J Book Items Cons.'!R$5:R$3360,'J Book Items Cons.'!E$5:E$3360,5,'J Book Items Cons.'!S$5:S$3360,"",'J Book Items Cons.'!X$5:X$3360,"CG",'J Book Items Cons.'!R$5:R$3360,"&lt;&gt;")+SUMIFS('J Book Items Cons.'!N$5:N$3360,'J Book Items Cons.'!E$5:E$3360,5,'J Book Items Cons.'!S$5:S$3360,"",'J Book Items Cons.'!X$5:X$3360,"CG",'J Book Items Cons.'!R$5:R$3360,"",'J Book Items Cons.'!N$5:N$3360,"&lt;&gt;")+SUMIFS('J Book Items Cons.'!L$5:L$3360,'J Book Items Cons.'!E$5:E$3360,5,'J Book Items Cons.'!S$5:S$3360,"",'J Book Items Cons.'!X$5:X$3360,"CG",'J Book Items Cons.'!R$5:R$3360,"",'J Book Items Cons.'!N$5:N$3360,"")+SUMIFS('J Book Items Cons.'!R$5:R$3360,'J Book Items Cons.'!E$5:E$3360,5,'J Book Items Cons.'!S$5:S$3360,"[PARENT]",'J Book Items Cons.'!X$5:X$3360,"CG",'J Book Items Cons.'!R$5:R$3360,"&lt;&gt;")+SUMIFS('J Book Items Cons.'!N$5:N$3360,'J Book Items Cons.'!E$5:E$3360,5,'J Book Items Cons.'!S$5:S$3360,"[PARENT]",'J Book Items Cons.'!X$5:X$3360,"CG",'J Book Items Cons.'!R$5:R$3360,"",'J Book Items Cons.'!N$5:N$3360,"&lt;&gt;")+SUMIFS('J Book Items Cons.'!L$5:L$3360,'J Book Items Cons.'!E$5:E$3360,5,'J Book Items Cons.'!S$5:S$3360,"[PARENT]",'J Book Items Cons.'!X$5:X$3360,"CG",'J Book Items Cons.'!R$5:R$3360,"",'J Book Items Cons.'!N$5:N$3360,"")</f>
        <v>0</v>
      </c>
      <c r="T61" s="14">
        <f>SUMIFS('J Book Items Cons.'!R$5:R$3360,'J Book Items Cons.'!E$5:E$3360,5,'J Book Items Cons.'!S$5:S$3360,"",'J Book Items Cons.'!X$5:X$3360,"LSD",'J Book Items Cons.'!R$5:R$3360,"&lt;&gt;")+SUMIFS('J Book Items Cons.'!N$5:N$3360,'J Book Items Cons.'!E$5:E$3360,5,'J Book Items Cons.'!S$5:S$3360,"",'J Book Items Cons.'!X$5:X$3360,"LSD",'J Book Items Cons.'!R$5:R$3360,"",'J Book Items Cons.'!N$5:N$3360,"&lt;&gt;")+SUMIFS('J Book Items Cons.'!L$5:L$3360,'J Book Items Cons.'!E$5:E$3360,5,'J Book Items Cons.'!S$5:S$3360,"",'J Book Items Cons.'!X$5:X$3360,"LSD",'J Book Items Cons.'!R$5:R$3360,"",'J Book Items Cons.'!N$5:N$3360,"")+SUMIFS('J Book Items Cons.'!R$5:R$3360,'J Book Items Cons.'!E$5:E$3360,5,'J Book Items Cons.'!S$5:S$3360,"[PARENT]",'J Book Items Cons.'!X$5:X$3360,"LSD",'J Book Items Cons.'!R$5:R$3360,"&lt;&gt;")+SUMIFS('J Book Items Cons.'!N$5:N$3360,'J Book Items Cons.'!E$5:E$3360,5,'J Book Items Cons.'!S$5:S$3360,"[PARENT]",'J Book Items Cons.'!X$5:X$3360,"LSD",'J Book Items Cons.'!R$5:R$3360,"",'J Book Items Cons.'!N$5:N$3360,"&lt;&gt;")+SUMIFS('J Book Items Cons.'!L$5:L$3360,'J Book Items Cons.'!E$5:E$3360,5,'J Book Items Cons.'!S$5:S$3360,"[PARENT]",'J Book Items Cons.'!X$5:X$3360,"LSD",'J Book Items Cons.'!R$5:R$3360,"",'J Book Items Cons.'!N$5:N$3360,"")</f>
        <v>0</v>
      </c>
      <c r="U61" s="14">
        <f>SUMIFS('J Book Items Cons.'!R$5:R$3360,'J Book Items Cons.'!E$5:E$3360,5,'J Book Items Cons.'!S$5:S$3360,"",'J Book Items Cons.'!X$5:X$3360,"ESB",'J Book Items Cons.'!R$5:R$3360,"&lt;&gt;")+SUMIFS('J Book Items Cons.'!N$5:N$3360,'J Book Items Cons.'!E$5:E$3360,5,'J Book Items Cons.'!S$5:S$3360,"",'J Book Items Cons.'!X$5:X$3360,"ESB",'J Book Items Cons.'!R$5:R$3360,"",'J Book Items Cons.'!N$5:N$3360,"&lt;&gt;")+SUMIFS('J Book Items Cons.'!L$5:L$3360,'J Book Items Cons.'!E$5:E$3360,5,'J Book Items Cons.'!S$5:S$3360,"",'J Book Items Cons.'!X$5:X$3360,"ESB",'J Book Items Cons.'!R$5:R$3360,"",'J Book Items Cons.'!N$5:N$3360,"")+SUMIFS('J Book Items Cons.'!R$5:R$3360,'J Book Items Cons.'!E$5:E$3360,5,'J Book Items Cons.'!S$5:S$3360,"[PARENT]",'J Book Items Cons.'!X$5:X$3360,"ESB",'J Book Items Cons.'!R$5:R$3360,"&lt;&gt;")+SUMIFS('J Book Items Cons.'!N$5:N$3360,'J Book Items Cons.'!E$5:E$3360,5,'J Book Items Cons.'!S$5:S$3360,"[PARENT]",'J Book Items Cons.'!X$5:X$3360,"ESB",'J Book Items Cons.'!R$5:R$3360,"",'J Book Items Cons.'!N$5:N$3360,"&lt;&gt;")+SUMIFS('J Book Items Cons.'!L$5:L$3360,'J Book Items Cons.'!E$5:E$3360,5,'J Book Items Cons.'!S$5:S$3360,"[PARENT]",'J Book Items Cons.'!X$5:X$3360,"ESB",'J Book Items Cons.'!R$5:R$3360,"",'J Book Items Cons.'!N$5:N$3360,"")</f>
        <v>0</v>
      </c>
      <c r="V61" s="14">
        <f>SUMIFS('J Book Items Cons.'!R$5:R$3360,'J Book Items Cons.'!E$5:E$3360,5,'J Book Items Cons.'!S$5:S$3360,"",'J Book Items Cons.'!X$5:X$3360,"LCC",'J Book Items Cons.'!R$5:R$3360,"&lt;&gt;")+SUMIFS('J Book Items Cons.'!N$5:N$3360,'J Book Items Cons.'!E$5:E$3360,5,'J Book Items Cons.'!S$5:S$3360,"",'J Book Items Cons.'!X$5:X$3360,"LCC",'J Book Items Cons.'!R$5:R$3360,"",'J Book Items Cons.'!N$5:N$3360,"&lt;&gt;")+SUMIFS('J Book Items Cons.'!L$5:L$3360,'J Book Items Cons.'!E$5:E$3360,5,'J Book Items Cons.'!S$5:S$3360,"",'J Book Items Cons.'!X$5:X$3360,"LCC",'J Book Items Cons.'!R$5:R$3360,"",'J Book Items Cons.'!N$5:N$3360,"")+SUMIFS('J Book Items Cons.'!R$5:R$3360,'J Book Items Cons.'!E$5:E$3360,5,'J Book Items Cons.'!S$5:S$3360,"[PARENT]",'J Book Items Cons.'!X$5:X$3360,"LCC",'J Book Items Cons.'!R$5:R$3360,"&lt;&gt;")+SUMIFS('J Book Items Cons.'!N$5:N$3360,'J Book Items Cons.'!E$5:E$3360,5,'J Book Items Cons.'!S$5:S$3360,"[PARENT]",'J Book Items Cons.'!X$5:X$3360,"LCC",'J Book Items Cons.'!R$5:R$3360,"",'J Book Items Cons.'!N$5:N$3360,"&lt;&gt;")+SUMIFS('J Book Items Cons.'!L$5:L$3360,'J Book Items Cons.'!E$5:E$3360,5,'J Book Items Cons.'!S$5:S$3360,"[PARENT]",'J Book Items Cons.'!X$5:X$3360,"LCC",'J Book Items Cons.'!R$5:R$3360,"",'J Book Items Cons.'!N$5:N$3360,"")</f>
        <v>19276</v>
      </c>
      <c r="W61" s="14">
        <f>SUMIFS('J Book Items Cons.'!R$5:R$3360,'J Book Items Cons.'!E$5:E$3360,5,'J Book Items Cons.'!S$5:S$3360,"",'J Book Items Cons.'!X$5:X$3360,"MCM",'J Book Items Cons.'!R$5:R$3360,"&lt;&gt;")+SUMIFS('J Book Items Cons.'!N$5:N$3360,'J Book Items Cons.'!E$5:E$3360,5,'J Book Items Cons.'!S$5:S$3360,"",'J Book Items Cons.'!X$5:X$3360,"MCM",'J Book Items Cons.'!R$5:R$3360,"",'J Book Items Cons.'!N$5:N$3360,"&lt;&gt;")+SUMIFS('J Book Items Cons.'!L$5:L$3360,'J Book Items Cons.'!E$5:E$3360,5,'J Book Items Cons.'!S$5:S$3360,"",'J Book Items Cons.'!X$5:X$3360,"MCM",'J Book Items Cons.'!R$5:R$3360,"",'J Book Items Cons.'!N$5:N$3360,"")+SUMIFS('J Book Items Cons.'!R$5:R$3360,'J Book Items Cons.'!E$5:E$3360,5,'J Book Items Cons.'!S$5:S$3360,"[PARENT]",'J Book Items Cons.'!X$5:X$3360,"MCM",'J Book Items Cons.'!R$5:R$3360,"&lt;&gt;")+SUMIFS('J Book Items Cons.'!N$5:N$3360,'J Book Items Cons.'!E$5:E$3360,5,'J Book Items Cons.'!S$5:S$3360,"[PARENT]",'J Book Items Cons.'!X$5:X$3360,"MCM",'J Book Items Cons.'!R$5:R$3360,"",'J Book Items Cons.'!N$5:N$3360,"&lt;&gt;")+SUMIFS('J Book Items Cons.'!L$5:L$3360,'J Book Items Cons.'!E$5:E$3360,5,'J Book Items Cons.'!S$5:S$3360,"[PARENT]",'J Book Items Cons.'!X$5:X$3360,"MCM",'J Book Items Cons.'!R$5:R$3360,"",'J Book Items Cons.'!N$5:N$3360,"")</f>
        <v>0</v>
      </c>
      <c r="X61" s="26">
        <f>SUMIFS('J Book Items Cons.'!R$5:R$3360,'J Book Items Cons.'!E$5:E$3360,5,'J Book Items Cons.'!S$5:S$3360,"",'J Book Items Cons.'!X$5:X$3360,"PC",'J Book Items Cons.'!R$5:R$3360,"&lt;&gt;")+SUMIFS('J Book Items Cons.'!N$5:N$3360,'J Book Items Cons.'!E$5:E$3360,5,'J Book Items Cons.'!S$5:S$3360,"",'J Book Items Cons.'!X$5:X$3360,"PC",'J Book Items Cons.'!R$5:R$3360,"",'J Book Items Cons.'!N$5:N$3360,"&lt;&gt;")+SUMIFS('J Book Items Cons.'!L$5:L$3360,'J Book Items Cons.'!E$5:E$3360,5,'J Book Items Cons.'!S$5:S$3360,"",'J Book Items Cons.'!X$5:X$3360,"PC",'J Book Items Cons.'!R$5:R$3360,"",'J Book Items Cons.'!N$5:N$3360,"")+SUMIFS('J Book Items Cons.'!R$5:R$3360,'J Book Items Cons.'!E$5:E$3360,5,'J Book Items Cons.'!S$5:S$3360,"[PARENT]",'J Book Items Cons.'!X$5:X$3360,"PC",'J Book Items Cons.'!R$5:R$3360,"&lt;&gt;")+SUMIFS('J Book Items Cons.'!N$5:N$3360,'J Book Items Cons.'!E$5:E$3360,5,'J Book Items Cons.'!S$5:S$3360,"[PARENT]",'J Book Items Cons.'!X$5:X$3360,"PC",'J Book Items Cons.'!R$5:R$3360,"",'J Book Items Cons.'!N$5:N$3360,"&lt;&gt;")+SUMIFS('J Book Items Cons.'!L$5:L$3360,'J Book Items Cons.'!E$5:E$3360,5,'J Book Items Cons.'!S$5:S$3360,"[PARENT]",'J Book Items Cons.'!X$5:X$3360,"PC",'J Book Items Cons.'!R$5:R$3360,"",'J Book Items Cons.'!N$5:N$3360,"")</f>
        <v>0</v>
      </c>
      <c r="Y61" s="25">
        <f>SUMIFS('J Book Items Cons.'!R$5:R$3360,'J Book Items Cons.'!E$5:E$3360,5,'J Book Items Cons.'!S$5:S$3360,"",'J Book Items Cons.'!X$5:X$3360,"WMSM",'J Book Items Cons.'!R$5:R$3360,"&lt;&gt;")+SUMIFS('J Book Items Cons.'!N$5:N$3360,'J Book Items Cons.'!E$5:E$3360,5,'J Book Items Cons.'!S$5:S$3360,"",'J Book Items Cons.'!X$5:X$3360,"WMSM",'J Book Items Cons.'!R$5:R$3360,"",'J Book Items Cons.'!N$5:N$3360,"&lt;&gt;")+SUMIFS('J Book Items Cons.'!L$5:L$3360,'J Book Items Cons.'!E$5:E$3360,5,'J Book Items Cons.'!S$5:S$3360,"",'J Book Items Cons.'!X$5:X$3360,"WMSM",'J Book Items Cons.'!R$5:R$3360,"",'J Book Items Cons.'!N$5:N$3360,"")+SUMIFS('J Book Items Cons.'!R$5:R$3360,'J Book Items Cons.'!E$5:E$3360,5,'J Book Items Cons.'!S$5:S$3360,"[PARENT]",'J Book Items Cons.'!X$5:X$3360,"WMSM",'J Book Items Cons.'!R$5:R$3360,"&lt;&gt;")+SUMIFS('J Book Items Cons.'!N$5:N$3360,'J Book Items Cons.'!E$5:E$3360,5,'J Book Items Cons.'!S$5:S$3360,"[PARENT]",'J Book Items Cons.'!X$5:X$3360,"WMSM",'J Book Items Cons.'!R$5:R$3360,"",'J Book Items Cons.'!N$5:N$3360,"&lt;&gt;")+SUMIFS('J Book Items Cons.'!L$5:L$3360,'J Book Items Cons.'!E$5:E$3360,5,'J Book Items Cons.'!S$5:S$3360,"[PARENT]",'J Book Items Cons.'!X$5:X$3360,"WMSM",'J Book Items Cons.'!R$5:R$3360,"",'J Book Items Cons.'!N$5:N$3360,"")</f>
        <v>0</v>
      </c>
      <c r="Z61" s="14">
        <f>SUMIFS('J Book Items Cons.'!R$5:R$3360,'J Book Items Cons.'!E$5:E$3360,5,'J Book Items Cons.'!S$5:S$3360,"",'J Book Items Cons.'!X$5:X$3360,"WPC",'J Book Items Cons.'!R$5:R$3360,"&lt;&gt;")+SUMIFS('J Book Items Cons.'!N$5:N$3360,'J Book Items Cons.'!E$5:E$3360,5,'J Book Items Cons.'!S$5:S$3360,"",'J Book Items Cons.'!X$5:X$3360,"WPC",'J Book Items Cons.'!R$5:R$3360,"",'J Book Items Cons.'!N$5:N$3360,"&lt;&gt;")+SUMIFS('J Book Items Cons.'!L$5:L$3360,'J Book Items Cons.'!E$5:E$3360,5,'J Book Items Cons.'!S$5:S$3360,"",'J Book Items Cons.'!X$5:X$3360,"WPC",'J Book Items Cons.'!R$5:R$3360,"",'J Book Items Cons.'!N$5:N$3360,"")+SUMIFS('J Book Items Cons.'!R$5:R$3360,'J Book Items Cons.'!E$5:E$3360,5,'J Book Items Cons.'!S$5:S$3360,"[PARENT]",'J Book Items Cons.'!X$5:X$3360,"WPC",'J Book Items Cons.'!R$5:R$3360,"&lt;&gt;")+SUMIFS('J Book Items Cons.'!N$5:N$3360,'J Book Items Cons.'!E$5:E$3360,5,'J Book Items Cons.'!S$5:S$3360,"[PARENT]",'J Book Items Cons.'!X$5:X$3360,"WPC",'J Book Items Cons.'!R$5:R$3360,"",'J Book Items Cons.'!N$5:N$3360,"&lt;&gt;")+SUMIFS('J Book Items Cons.'!L$5:L$3360,'J Book Items Cons.'!E$5:E$3360,5,'J Book Items Cons.'!S$5:S$3360,"[PARENT]",'J Book Items Cons.'!X$5:X$3360,"WPC",'J Book Items Cons.'!R$5:R$3360,"",'J Book Items Cons.'!N$5:N$3360,"")</f>
        <v>0</v>
      </c>
      <c r="AA61" s="14">
        <f>SUMIFS('J Book Items Cons.'!R$5:R$3360,'J Book Items Cons.'!E$5:E$3360,5,'J Book Items Cons.'!S$5:S$3360,"",'J Book Items Cons.'!X$5:X$3360,"WAGB",'J Book Items Cons.'!R$5:R$3360,"&lt;&gt;")+SUMIFS('J Book Items Cons.'!N$5:N$3360,'J Book Items Cons.'!E$5:E$3360,5,'J Book Items Cons.'!S$5:S$3360,"",'J Book Items Cons.'!X$5:X$3360,"WAGB",'J Book Items Cons.'!R$5:R$3360,"",'J Book Items Cons.'!N$5:N$3360,"&lt;&gt;")+SUMIFS('J Book Items Cons.'!L$5:L$3360,'J Book Items Cons.'!E$5:E$3360,5,'J Book Items Cons.'!S$5:S$3360,"",'J Book Items Cons.'!X$5:X$3360,"WAGB",'J Book Items Cons.'!R$5:R$3360,"",'J Book Items Cons.'!N$5:N$3360,"")+SUMIFS('J Book Items Cons.'!R$5:R$3360,'J Book Items Cons.'!E$5:E$3360,5,'J Book Items Cons.'!S$5:S$3360,"[PARENT]",'J Book Items Cons.'!X$5:X$3360,"WAGB",'J Book Items Cons.'!R$5:R$3360,"&lt;&gt;")+SUMIFS('J Book Items Cons.'!N$5:N$3360,'J Book Items Cons.'!E$5:E$3360,5,'J Book Items Cons.'!S$5:S$3360,"[PARENT]",'J Book Items Cons.'!X$5:X$3360,"WAGB",'J Book Items Cons.'!R$5:R$3360,"",'J Book Items Cons.'!N$5:N$3360,"&lt;&gt;")+SUMIFS('J Book Items Cons.'!L$5:L$3360,'J Book Items Cons.'!E$5:E$3360,5,'J Book Items Cons.'!S$5:S$3360,"[PARENT]",'J Book Items Cons.'!X$5:X$3360,"WAGB",'J Book Items Cons.'!R$5:R$3360,"",'J Book Items Cons.'!N$5:N$3360,"")</f>
        <v>0</v>
      </c>
      <c r="AB61" s="14">
        <f>SUMIFS('J Book Items Cons.'!R$5:R$3360,'J Book Items Cons.'!E$5:E$3360,5,'J Book Items Cons.'!S$5:S$3360,"",'J Book Items Cons.'!X$5:X$3360,"WCC",'J Book Items Cons.'!R$5:R$3360,"&lt;&gt;")+SUMIFS('J Book Items Cons.'!N$5:N$3360,'J Book Items Cons.'!E$5:E$3360,5,'J Book Items Cons.'!S$5:S$3360,"",'J Book Items Cons.'!X$5:X$3360,"WCC",'J Book Items Cons.'!R$5:R$3360,"",'J Book Items Cons.'!N$5:N$3360,"&lt;&gt;")+SUMIFS('J Book Items Cons.'!L$5:L$3360,'J Book Items Cons.'!E$5:E$3360,5,'J Book Items Cons.'!S$5:S$3360,"",'J Book Items Cons.'!X$5:X$3360,"WCC",'J Book Items Cons.'!R$5:R$3360,"",'J Book Items Cons.'!N$5:N$3360,"")+SUMIFS('J Book Items Cons.'!R$5:R$3360,'J Book Items Cons.'!E$5:E$3360,5,'J Book Items Cons.'!S$5:S$3360,"[PARENT]",'J Book Items Cons.'!X$5:X$3360,"WCC",'J Book Items Cons.'!R$5:R$3360,"&lt;&gt;")+SUMIFS('J Book Items Cons.'!N$5:N$3360,'J Book Items Cons.'!E$5:E$3360,5,'J Book Items Cons.'!S$5:S$3360,"[PARENT]",'J Book Items Cons.'!X$5:X$3360,"WCC",'J Book Items Cons.'!R$5:R$3360,"",'J Book Items Cons.'!N$5:N$3360,"&lt;&gt;")+SUMIFS('J Book Items Cons.'!L$5:L$3360,'J Book Items Cons.'!E$5:E$3360,5,'J Book Items Cons.'!S$5:S$3360,"[PARENT]",'J Book Items Cons.'!X$5:X$3360,"WCC",'J Book Items Cons.'!R$5:R$3360,"",'J Book Items Cons.'!N$5:N$3360,"")</f>
        <v>0</v>
      </c>
      <c r="AC61" s="26">
        <f>SUMIFS('J Book Items Cons.'!R$5:R$3360,'J Book Items Cons.'!E$5:E$3360,5,'J Book Items Cons.'!S$5:S$3360,"",'J Book Items Cons.'!X$5:X$3360,"WMSL",'J Book Items Cons.'!R$5:R$3360,"&lt;&gt;")+SUMIFS('J Book Items Cons.'!N$5:N$3360,'J Book Items Cons.'!E$5:E$3360,5,'J Book Items Cons.'!S$5:S$3360,"",'J Book Items Cons.'!X$5:X$3360,"WMSL",'J Book Items Cons.'!R$5:R$3360,"",'J Book Items Cons.'!N$5:N$3360,"&lt;&gt;")+SUMIFS('J Book Items Cons.'!L$5:L$3360,'J Book Items Cons.'!E$5:E$3360,5,'J Book Items Cons.'!S$5:S$3360,"",'J Book Items Cons.'!X$5:X$3360,"WMSL",'J Book Items Cons.'!R$5:R$3360,"",'J Book Items Cons.'!N$5:N$3360,"")+SUMIFS('J Book Items Cons.'!R$5:R$3360,'J Book Items Cons.'!E$5:E$3360,5,'J Book Items Cons.'!S$5:S$3360,"[PARENT]",'J Book Items Cons.'!X$5:X$3360,"WMSL",'J Book Items Cons.'!R$5:R$3360,"&lt;&gt;")+SUMIFS('J Book Items Cons.'!N$5:N$3360,'J Book Items Cons.'!E$5:E$3360,5,'J Book Items Cons.'!S$5:S$3360,"[PARENT]",'J Book Items Cons.'!X$5:X$3360,"WMSL",'J Book Items Cons.'!R$5:R$3360,"",'J Book Items Cons.'!N$5:N$3360,"&lt;&gt;")+SUMIFS('J Book Items Cons.'!L$5:L$3360,'J Book Items Cons.'!E$5:E$3360,5,'J Book Items Cons.'!S$5:S$3360,"[PARENT]",'J Book Items Cons.'!X$5:X$3360,"WMSL",'J Book Items Cons.'!R$5:R$3360,"",'J Book Items Cons.'!N$5:N$3360,"")</f>
        <v>0</v>
      </c>
      <c r="AD61" s="14">
        <f t="shared" si="5"/>
        <v>1635677</v>
      </c>
    </row>
    <row r="62" spans="1:42" x14ac:dyDescent="0.15">
      <c r="A62" s="7" t="s">
        <v>8827</v>
      </c>
      <c r="B62" s="25">
        <f>SUMIFS('J Book Items Cons.'!R$5:R$3360,'J Book Items Cons.'!E$5:E$3360,6,'J Book Items Cons.'!S$5:S$3360,"",'J Book Items Cons.'!X$5:X$3360,"SSN",'J Book Items Cons.'!R$5:R$3360,"&lt;&gt;")+SUMIFS('J Book Items Cons.'!N$5:N$3360,'J Book Items Cons.'!E$5:E$3360,6,'J Book Items Cons.'!S$5:S$3360,"",'J Book Items Cons.'!X$5:X$3360,"SSN",'J Book Items Cons.'!R$5:R$3360,"",'J Book Items Cons.'!N$5:N$3360,"&lt;&gt;")+SUMIFS('J Book Items Cons.'!L$5:L$3360,'J Book Items Cons.'!E$5:E$3360,6,'J Book Items Cons.'!S$5:S$3360,"",'J Book Items Cons.'!X$5:X$3360,"SSN",'J Book Items Cons.'!R$5:R$3360,"",'J Book Items Cons.'!N$5:N$3360,"")+SUMIFS('J Book Items Cons.'!R$5:R$3360,'J Book Items Cons.'!E$5:E$3360,6,'J Book Items Cons.'!S$5:S$3360,"[PARENT]",'J Book Items Cons.'!X$5:X$3360,"SSN",'J Book Items Cons.'!R$5:R$3360,"&lt;&gt;")+SUMIFS('J Book Items Cons.'!N$5:N$3360,'J Book Items Cons.'!E$5:E$3360,6,'J Book Items Cons.'!S$5:S$3360,"[PARENT]",'J Book Items Cons.'!X$5:X$3360,"SSN",'J Book Items Cons.'!R$5:R$3360,"",'J Book Items Cons.'!N$5:N$3360,"&lt;&gt;")+SUMIFS('J Book Items Cons.'!L$5:L$3360,'J Book Items Cons.'!E$5:E$3360,6,'J Book Items Cons.'!S$5:S$3360,"[PARENT]",'J Book Items Cons.'!X$5:X$3360,"SSN",'J Book Items Cons.'!R$5:R$3360,"",'J Book Items Cons.'!N$5:N$3360,"")</f>
        <v>112116</v>
      </c>
      <c r="C62" s="14">
        <f>SUMIFS('J Book Items Cons.'!R$5:R$3360,'J Book Items Cons.'!E$5:E$3360,6,'J Book Items Cons.'!S$5:S$3360,"",'J Book Items Cons.'!X$5:X$3360,"SSBN",'J Book Items Cons.'!R$5:R$3360,"&lt;&gt;")+SUMIFS('J Book Items Cons.'!N$5:N$3360,'J Book Items Cons.'!E$5:E$3360,6,'J Book Items Cons.'!S$5:S$3360,"",'J Book Items Cons.'!X$5:X$3360,"SSBN",'J Book Items Cons.'!R$5:R$3360,"",'J Book Items Cons.'!N$5:N$3360,"&lt;&gt;")+SUMIFS('J Book Items Cons.'!L$5:L$3360,'J Book Items Cons.'!E$5:E$3360,6,'J Book Items Cons.'!S$5:S$3360,"",'J Book Items Cons.'!X$5:X$3360,"SSBN",'J Book Items Cons.'!R$5:R$3360,"",'J Book Items Cons.'!N$5:N$3360,"")+SUMIFS('J Book Items Cons.'!R$5:R$3360,'J Book Items Cons.'!E$5:E$3360,6,'J Book Items Cons.'!S$5:S$3360,"[PARENT]",'J Book Items Cons.'!X$5:X$3360,"SSBN",'J Book Items Cons.'!R$5:R$3360,"&lt;&gt;")+SUMIFS('J Book Items Cons.'!N$5:N$3360,'J Book Items Cons.'!E$5:E$3360,6,'J Book Items Cons.'!S$5:S$3360,"[PARENT]",'J Book Items Cons.'!X$5:X$3360,"SSBN",'J Book Items Cons.'!R$5:R$3360,"",'J Book Items Cons.'!N$5:N$3360,"&lt;&gt;")+SUMIFS('J Book Items Cons.'!L$5:L$3360,'J Book Items Cons.'!E$5:E$3360,6,'J Book Items Cons.'!S$5:S$3360,"[PARENT]",'J Book Items Cons.'!X$5:X$3360,"SSBN",'J Book Items Cons.'!R$5:R$3360,"",'J Book Items Cons.'!N$5:N$3360,"")</f>
        <v>38039</v>
      </c>
      <c r="D62" s="14">
        <f>SUMIFS('J Book Items Cons.'!R$5:R$3360,'J Book Items Cons.'!E$5:E$3360,6,'J Book Items Cons.'!S$5:S$3360,"",'J Book Items Cons.'!X$5:X$3360,"DDG",'J Book Items Cons.'!R$5:R$3360,"&lt;&gt;")+SUMIFS('J Book Items Cons.'!N$5:N$3360,'J Book Items Cons.'!E$5:E$3360,6,'J Book Items Cons.'!S$5:S$3360,"",'J Book Items Cons.'!X$5:X$3360,"DDG",'J Book Items Cons.'!R$5:R$3360,"",'J Book Items Cons.'!N$5:N$3360,"&lt;&gt;")+SUMIFS('J Book Items Cons.'!L$5:L$3360,'J Book Items Cons.'!E$5:E$3360,6,'J Book Items Cons.'!S$5:S$3360,"",'J Book Items Cons.'!X$5:X$3360,"DDG",'J Book Items Cons.'!R$5:R$3360,"",'J Book Items Cons.'!N$5:N$3360,"")+SUMIFS('J Book Items Cons.'!R$5:R$3360,'J Book Items Cons.'!E$5:E$3360,6,'J Book Items Cons.'!S$5:S$3360,"[PARENT]",'J Book Items Cons.'!X$5:X$3360,"DDG",'J Book Items Cons.'!R$5:R$3360,"&lt;&gt;")+SUMIFS('J Book Items Cons.'!N$5:N$3360,'J Book Items Cons.'!E$5:E$3360,6,'J Book Items Cons.'!S$5:S$3360,"[PARENT]",'J Book Items Cons.'!X$5:X$3360,"DDG",'J Book Items Cons.'!R$5:R$3360,"",'J Book Items Cons.'!N$5:N$3360,"&lt;&gt;")+SUMIFS('J Book Items Cons.'!L$5:L$3360,'J Book Items Cons.'!E$5:E$3360,6,'J Book Items Cons.'!S$5:S$3360,"[PARENT]",'J Book Items Cons.'!X$5:X$3360,"DDG",'J Book Items Cons.'!R$5:R$3360,"",'J Book Items Cons.'!N$5:N$3360,"")</f>
        <v>3490</v>
      </c>
      <c r="E62" s="14">
        <f>SUMIFS('J Book Items Cons.'!R$5:R$3360,'J Book Items Cons.'!E$5:E$3360,6,'J Book Items Cons.'!S$5:S$3360,"",'J Book Items Cons.'!X$5:X$3360,"CVN",'J Book Items Cons.'!R$5:R$3360,"&lt;&gt;")+SUMIFS('J Book Items Cons.'!N$5:N$3360,'J Book Items Cons.'!E$5:E$3360,6,'J Book Items Cons.'!S$5:S$3360,"",'J Book Items Cons.'!X$5:X$3360,"CVN",'J Book Items Cons.'!R$5:R$3360,"",'J Book Items Cons.'!N$5:N$3360,"&lt;&gt;")+SUMIFS('J Book Items Cons.'!L$5:L$3360,'J Book Items Cons.'!E$5:E$3360,6,'J Book Items Cons.'!S$5:S$3360,"",'J Book Items Cons.'!X$5:X$3360,"CVN",'J Book Items Cons.'!R$5:R$3360,"",'J Book Items Cons.'!N$5:N$3360,"")+SUMIFS('J Book Items Cons.'!R$5:R$3360,'J Book Items Cons.'!E$5:E$3360,6,'J Book Items Cons.'!S$5:S$3360,"[PARENT]",'J Book Items Cons.'!X$5:X$3360,"CVN",'J Book Items Cons.'!R$5:R$3360,"&lt;&gt;")+SUMIFS('J Book Items Cons.'!N$5:N$3360,'J Book Items Cons.'!E$5:E$3360,6,'J Book Items Cons.'!S$5:S$3360,"[PARENT]",'J Book Items Cons.'!X$5:X$3360,"CVN",'J Book Items Cons.'!R$5:R$3360,"",'J Book Items Cons.'!N$5:N$3360,"&lt;&gt;")+SUMIFS('J Book Items Cons.'!L$5:L$3360,'J Book Items Cons.'!E$5:E$3360,6,'J Book Items Cons.'!S$5:S$3360,"[PARENT]",'J Book Items Cons.'!X$5:X$3360,"CVN",'J Book Items Cons.'!R$5:R$3360,"",'J Book Items Cons.'!N$5:N$3360,"")</f>
        <v>0</v>
      </c>
      <c r="F62" s="14">
        <f>SUMIFS('J Book Items Cons.'!R$5:R$3360,'J Book Items Cons.'!E$5:E$3360,6,'J Book Items Cons.'!S$5:S$3360,"",'J Book Items Cons.'!X$5:X$3360,"LSM",'J Book Items Cons.'!R$5:R$3360,"&lt;&gt;")+SUMIFS('J Book Items Cons.'!N$5:N$3360,'J Book Items Cons.'!E$5:E$3360,6,'J Book Items Cons.'!S$5:S$3360,"",'J Book Items Cons.'!X$5:X$3360,"LSM",'J Book Items Cons.'!R$5:R$3360,"",'J Book Items Cons.'!N$5:N$3360,"&lt;&gt;")+SUMIFS('J Book Items Cons.'!L$5:L$3360,'J Book Items Cons.'!E$5:E$3360,6,'J Book Items Cons.'!S$5:S$3360,"",'J Book Items Cons.'!X$5:X$3360,"LSM",'J Book Items Cons.'!R$5:R$3360,"",'J Book Items Cons.'!N$5:N$3360,"")+SUMIFS('J Book Items Cons.'!R$5:R$3360,'J Book Items Cons.'!E$5:E$3360,6,'J Book Items Cons.'!S$5:S$3360,"[PARENT]",'J Book Items Cons.'!X$5:X$3360,"LSM",'J Book Items Cons.'!R$5:R$3360,"&lt;&gt;")+SUMIFS('J Book Items Cons.'!N$5:N$3360,'J Book Items Cons.'!E$5:E$3360,6,'J Book Items Cons.'!S$5:S$3360,"[PARENT]",'J Book Items Cons.'!X$5:X$3360,"LSM",'J Book Items Cons.'!R$5:R$3360,"",'J Book Items Cons.'!N$5:N$3360,"&lt;&gt;")+SUMIFS('J Book Items Cons.'!L$5:L$3360,'J Book Items Cons.'!E$5:E$3360,6,'J Book Items Cons.'!S$5:S$3360,"[PARENT]",'J Book Items Cons.'!X$5:X$3360,"LSM",'J Book Items Cons.'!R$5:R$3360,"",'J Book Items Cons.'!N$5:N$3360,"")</f>
        <v>0</v>
      </c>
      <c r="G62" s="14">
        <f>SUMIFS('J Book Items Cons.'!R$5:R$3360,'J Book Items Cons.'!E$5:E$3360,6,'J Book Items Cons.'!S$5:S$3360,"",'J Book Items Cons.'!X$5:X$3360,"T-AO",'J Book Items Cons.'!R$5:R$3360,"&lt;&gt;")+SUMIFS('J Book Items Cons.'!N$5:N$3360,'J Book Items Cons.'!E$5:E$3360,6,'J Book Items Cons.'!S$5:S$3360,"",'J Book Items Cons.'!X$5:X$3360,"T-AO",'J Book Items Cons.'!R$5:R$3360,"",'J Book Items Cons.'!N$5:N$3360,"&lt;&gt;")+SUMIFS('J Book Items Cons.'!L$5:L$3360,'J Book Items Cons.'!E$5:E$3360,6,'J Book Items Cons.'!S$5:S$3360,"",'J Book Items Cons.'!X$5:X$3360,"T-AO",'J Book Items Cons.'!R$5:R$3360,"",'J Book Items Cons.'!N$5:N$3360,"")+SUMIFS('J Book Items Cons.'!R$5:R$3360,'J Book Items Cons.'!E$5:E$3360,6,'J Book Items Cons.'!S$5:S$3360,"[PARENT]",'J Book Items Cons.'!X$5:X$3360,"T-AO",'J Book Items Cons.'!R$5:R$3360,"&lt;&gt;")+SUMIFS('J Book Items Cons.'!N$5:N$3360,'J Book Items Cons.'!E$5:E$3360,6,'J Book Items Cons.'!S$5:S$3360,"[PARENT]",'J Book Items Cons.'!X$5:X$3360,"T-AO",'J Book Items Cons.'!R$5:R$3360,"",'J Book Items Cons.'!N$5:N$3360,"&lt;&gt;")+SUMIFS('J Book Items Cons.'!L$5:L$3360,'J Book Items Cons.'!E$5:E$3360,6,'J Book Items Cons.'!S$5:S$3360,"[PARENT]",'J Book Items Cons.'!X$5:X$3360,"T-AO",'J Book Items Cons.'!R$5:R$3360,"",'J Book Items Cons.'!N$5:N$3360,"")</f>
        <v>0</v>
      </c>
      <c r="H62" s="14">
        <f>SUMIFS('J Book Items Cons.'!R$5:R$3360,'J Book Items Cons.'!E$5:E$3360,6,'J Book Items Cons.'!S$5:S$3360,"",'J Book Items Cons.'!X$5:X$3360,"LCS",'J Book Items Cons.'!R$5:R$3360,"&lt;&gt;")+SUMIFS('J Book Items Cons.'!N$5:N$3360,'J Book Items Cons.'!E$5:E$3360,6,'J Book Items Cons.'!S$5:S$3360,"",'J Book Items Cons.'!X$5:X$3360,"LCS",'J Book Items Cons.'!R$5:R$3360,"",'J Book Items Cons.'!N$5:N$3360,"&lt;&gt;")+SUMIFS('J Book Items Cons.'!L$5:L$3360,'J Book Items Cons.'!E$5:E$3360,6,'J Book Items Cons.'!S$5:S$3360,"",'J Book Items Cons.'!X$5:X$3360,"LCS",'J Book Items Cons.'!R$5:R$3360,"",'J Book Items Cons.'!N$5:N$3360,"")+SUMIFS('J Book Items Cons.'!R$5:R$3360,'J Book Items Cons.'!E$5:E$3360,6,'J Book Items Cons.'!S$5:S$3360,"[PARENT]",'J Book Items Cons.'!X$5:X$3360,"LCS",'J Book Items Cons.'!R$5:R$3360,"&lt;&gt;")+SUMIFS('J Book Items Cons.'!N$5:N$3360,'J Book Items Cons.'!E$5:E$3360,6,'J Book Items Cons.'!S$5:S$3360,"[PARENT]",'J Book Items Cons.'!X$5:X$3360,"LCS",'J Book Items Cons.'!R$5:R$3360,"",'J Book Items Cons.'!N$5:N$3360,"&lt;&gt;")+SUMIFS('J Book Items Cons.'!L$5:L$3360,'J Book Items Cons.'!E$5:E$3360,6,'J Book Items Cons.'!S$5:S$3360,"[PARENT]",'J Book Items Cons.'!X$5:X$3360,"LCS",'J Book Items Cons.'!R$5:R$3360,"",'J Book Items Cons.'!N$5:N$3360,"")</f>
        <v>2551</v>
      </c>
      <c r="I62" s="14">
        <f>SUMIFS('J Book Items Cons.'!R$5:R$3360,'J Book Items Cons.'!E$5:E$3360,6,'J Book Items Cons.'!S$5:S$3360,"",'J Book Items Cons.'!X$5:X$3360,"LPD",'J Book Items Cons.'!R$5:R$3360,"&lt;&gt;")+SUMIFS('J Book Items Cons.'!N$5:N$3360,'J Book Items Cons.'!E$5:E$3360,6,'J Book Items Cons.'!S$5:S$3360,"",'J Book Items Cons.'!X$5:X$3360,"LPD",'J Book Items Cons.'!R$5:R$3360,"",'J Book Items Cons.'!N$5:N$3360,"&lt;&gt;")+SUMIFS('J Book Items Cons.'!L$5:L$3360,'J Book Items Cons.'!E$5:E$3360,6,'J Book Items Cons.'!S$5:S$3360,"",'J Book Items Cons.'!X$5:X$3360,"LPD",'J Book Items Cons.'!R$5:R$3360,"",'J Book Items Cons.'!N$5:N$3360,"")+SUMIFS('J Book Items Cons.'!R$5:R$3360,'J Book Items Cons.'!E$5:E$3360,6,'J Book Items Cons.'!S$5:S$3360,"[PARENT]",'J Book Items Cons.'!X$5:X$3360,"LPD",'J Book Items Cons.'!R$5:R$3360,"&lt;&gt;")+SUMIFS('J Book Items Cons.'!N$5:N$3360,'J Book Items Cons.'!E$5:E$3360,6,'J Book Items Cons.'!S$5:S$3360,"[PARENT]",'J Book Items Cons.'!X$5:X$3360,"LPD",'J Book Items Cons.'!R$5:R$3360,"",'J Book Items Cons.'!N$5:N$3360,"&lt;&gt;")+SUMIFS('J Book Items Cons.'!L$5:L$3360,'J Book Items Cons.'!E$5:E$3360,6,'J Book Items Cons.'!S$5:S$3360,"[PARENT]",'J Book Items Cons.'!X$5:X$3360,"LPD",'J Book Items Cons.'!R$5:R$3360,"",'J Book Items Cons.'!N$5:N$3360,"")</f>
        <v>0</v>
      </c>
      <c r="J62" s="14">
        <f>SUMIFS('J Book Items Cons.'!R$5:R$3360,'J Book Items Cons.'!E$5:E$3360,6,'J Book Items Cons.'!S$5:S$3360,"",'J Book Items Cons.'!X$5:X$3360,"MUSV",'J Book Items Cons.'!R$5:R$3360,"&lt;&gt;")+SUMIFS('J Book Items Cons.'!N$5:N$3360,'J Book Items Cons.'!E$5:E$3360,6,'J Book Items Cons.'!S$5:S$3360,"",'J Book Items Cons.'!X$5:X$3360,"MUSV",'J Book Items Cons.'!R$5:R$3360,"",'J Book Items Cons.'!N$5:N$3360,"&lt;&gt;")+SUMIFS('J Book Items Cons.'!L$5:L$3360,'J Book Items Cons.'!E$5:E$3360,6,'J Book Items Cons.'!S$5:S$3360,"",'J Book Items Cons.'!X$5:X$3360,"MUSV",'J Book Items Cons.'!R$5:R$3360,"",'J Book Items Cons.'!N$5:N$3360,"")+SUMIFS('J Book Items Cons.'!R$5:R$3360,'J Book Items Cons.'!E$5:E$3360,6,'J Book Items Cons.'!S$5:S$3360,"[PARENT]",'J Book Items Cons.'!X$5:X$3360,"MUSV",'J Book Items Cons.'!R$5:R$3360,"&lt;&gt;")+SUMIFS('J Book Items Cons.'!N$5:N$3360,'J Book Items Cons.'!E$5:E$3360,6,'J Book Items Cons.'!S$5:S$3360,"[PARENT]",'J Book Items Cons.'!X$5:X$3360,"MUSV",'J Book Items Cons.'!R$5:R$3360,"",'J Book Items Cons.'!N$5:N$3360,"&lt;&gt;")+SUMIFS('J Book Items Cons.'!L$5:L$3360,'J Book Items Cons.'!E$5:E$3360,6,'J Book Items Cons.'!S$5:S$3360,"[PARENT]",'J Book Items Cons.'!X$5:X$3360,"MUSV",'J Book Items Cons.'!R$5:R$3360,"",'J Book Items Cons.'!N$5:N$3360,"")</f>
        <v>0</v>
      </c>
      <c r="K62" s="14">
        <f>SUMIFS('J Book Items Cons.'!R$5:R$3360,'J Book Items Cons.'!E$5:E$3360,6,'J Book Items Cons.'!S$5:S$3360,"",'J Book Items Cons.'!X$5:X$3360,"LHD",'J Book Items Cons.'!R$5:R$3360,"&lt;&gt;")+SUMIFS('J Book Items Cons.'!N$5:N$3360,'J Book Items Cons.'!E$5:E$3360,6,'J Book Items Cons.'!S$5:S$3360,"",'J Book Items Cons.'!X$5:X$3360,"LHD",'J Book Items Cons.'!R$5:R$3360,"",'J Book Items Cons.'!N$5:N$3360,"&lt;&gt;")+SUMIFS('J Book Items Cons.'!L$5:L$3360,'J Book Items Cons.'!E$5:E$3360,6,'J Book Items Cons.'!S$5:S$3360,"",'J Book Items Cons.'!X$5:X$3360,"LHD",'J Book Items Cons.'!R$5:R$3360,"",'J Book Items Cons.'!N$5:N$3360,"")+SUMIFS('J Book Items Cons.'!R$5:R$3360,'J Book Items Cons.'!E$5:E$3360,6,'J Book Items Cons.'!S$5:S$3360,"[PARENT]",'J Book Items Cons.'!X$5:X$3360,"LHD",'J Book Items Cons.'!R$5:R$3360,"&lt;&gt;")+SUMIFS('J Book Items Cons.'!N$5:N$3360,'J Book Items Cons.'!E$5:E$3360,6,'J Book Items Cons.'!S$5:S$3360,"[PARENT]",'J Book Items Cons.'!X$5:X$3360,"LHD",'J Book Items Cons.'!R$5:R$3360,"",'J Book Items Cons.'!N$5:N$3360,"&lt;&gt;")+SUMIFS('J Book Items Cons.'!L$5:L$3360,'J Book Items Cons.'!E$5:E$3360,6,'J Book Items Cons.'!S$5:S$3360,"[PARENT]",'J Book Items Cons.'!X$5:X$3360,"LHD",'J Book Items Cons.'!R$5:R$3360,"",'J Book Items Cons.'!N$5:N$3360,"")</f>
        <v>0</v>
      </c>
      <c r="L62" s="14">
        <f>SUMIFS('J Book Items Cons.'!R$5:R$3360,'J Book Items Cons.'!E$5:E$3360,6,'J Book Items Cons.'!S$5:S$3360,"",'J Book Items Cons.'!X$5:X$3360,"T-AK / T-AKR",'J Book Items Cons.'!R$5:R$3360,"&lt;&gt;")+SUMIFS('J Book Items Cons.'!N$5:N$3360,'J Book Items Cons.'!E$5:E$3360,6,'J Book Items Cons.'!S$5:S$3360,"",'J Book Items Cons.'!X$5:X$3360,"T-AK / T-AKR",'J Book Items Cons.'!R$5:R$3360,"",'J Book Items Cons.'!N$5:N$3360,"&lt;&gt;")+SUMIFS('J Book Items Cons.'!L$5:L$3360,'J Book Items Cons.'!E$5:E$3360,6,'J Book Items Cons.'!S$5:S$3360,"",'J Book Items Cons.'!X$5:X$3360,"T-AK / T-AKR",'J Book Items Cons.'!R$5:R$3360,"",'J Book Items Cons.'!N$5:N$3360,"")+SUMIFS('J Book Items Cons.'!R$5:R$3360,'J Book Items Cons.'!E$5:E$3360,6,'J Book Items Cons.'!S$5:S$3360,"[PARENT]",'J Book Items Cons.'!X$5:X$3360,"T-AK / T-AKR",'J Book Items Cons.'!R$5:R$3360,"&lt;&gt;")+SUMIFS('J Book Items Cons.'!N$5:N$3360,'J Book Items Cons.'!E$5:E$3360,6,'J Book Items Cons.'!S$5:S$3360,"[PARENT]",'J Book Items Cons.'!X$5:X$3360,"T-AK / T-AKR",'J Book Items Cons.'!R$5:R$3360,"",'J Book Items Cons.'!N$5:N$3360,"&lt;&gt;")+SUMIFS('J Book Items Cons.'!L$5:L$3360,'J Book Items Cons.'!E$5:E$3360,6,'J Book Items Cons.'!S$5:S$3360,"[PARENT]",'J Book Items Cons.'!X$5:X$3360,"T-AK / T-AKR",'J Book Items Cons.'!R$5:R$3360,"",'J Book Items Cons.'!N$5:N$3360,"")</f>
        <v>0</v>
      </c>
      <c r="M62" s="14">
        <f>SUMIFS('J Book Items Cons.'!R$5:R$3360,'J Book Items Cons.'!E$5:E$3360,6,'J Book Items Cons.'!S$5:S$3360,"",'J Book Items Cons.'!X$5:X$3360,"LHA",'J Book Items Cons.'!R$5:R$3360,"&lt;&gt;")+SUMIFS('J Book Items Cons.'!N$5:N$3360,'J Book Items Cons.'!E$5:E$3360,6,'J Book Items Cons.'!S$5:S$3360,"",'J Book Items Cons.'!X$5:X$3360,"LHA",'J Book Items Cons.'!R$5:R$3360,"",'J Book Items Cons.'!N$5:N$3360,"&lt;&gt;")+SUMIFS('J Book Items Cons.'!L$5:L$3360,'J Book Items Cons.'!E$5:E$3360,6,'J Book Items Cons.'!S$5:S$3360,"",'J Book Items Cons.'!X$5:X$3360,"LHA",'J Book Items Cons.'!R$5:R$3360,"",'J Book Items Cons.'!N$5:N$3360,"")+SUMIFS('J Book Items Cons.'!R$5:R$3360,'J Book Items Cons.'!E$5:E$3360,6,'J Book Items Cons.'!S$5:S$3360,"[PARENT]",'J Book Items Cons.'!X$5:X$3360,"LHA",'J Book Items Cons.'!R$5:R$3360,"&lt;&gt;")+SUMIFS('J Book Items Cons.'!N$5:N$3360,'J Book Items Cons.'!E$5:E$3360,6,'J Book Items Cons.'!S$5:S$3360,"[PARENT]",'J Book Items Cons.'!X$5:X$3360,"LHA",'J Book Items Cons.'!R$5:R$3360,"",'J Book Items Cons.'!N$5:N$3360,"&lt;&gt;")+SUMIFS('J Book Items Cons.'!L$5:L$3360,'J Book Items Cons.'!E$5:E$3360,6,'J Book Items Cons.'!S$5:S$3360,"[PARENT]",'J Book Items Cons.'!X$5:X$3360,"LHA",'J Book Items Cons.'!R$5:R$3360,"",'J Book Items Cons.'!N$5:N$3360,"")</f>
        <v>0</v>
      </c>
      <c r="N62" s="14">
        <f>SUMIFS('J Book Items Cons.'!R$5:R$3360,'J Book Items Cons.'!E$5:E$3360,6,'J Book Items Cons.'!S$5:S$3360,"",'J Book Items Cons.'!X$5:X$3360,"T-AGOS",'J Book Items Cons.'!R$5:R$3360,"&lt;&gt;")+SUMIFS('J Book Items Cons.'!N$5:N$3360,'J Book Items Cons.'!E$5:E$3360,6,'J Book Items Cons.'!S$5:S$3360,"",'J Book Items Cons.'!X$5:X$3360,"T-AGOS",'J Book Items Cons.'!R$5:R$3360,"",'J Book Items Cons.'!N$5:N$3360,"&lt;&gt;")+SUMIFS('J Book Items Cons.'!L$5:L$3360,'J Book Items Cons.'!E$5:E$3360,6,'J Book Items Cons.'!S$5:S$3360,"",'J Book Items Cons.'!X$5:X$3360,"T-AGOS",'J Book Items Cons.'!R$5:R$3360,"",'J Book Items Cons.'!N$5:N$3360,"")+SUMIFS('J Book Items Cons.'!R$5:R$3360,'J Book Items Cons.'!E$5:E$3360,6,'J Book Items Cons.'!S$5:S$3360,"[PARENT]",'J Book Items Cons.'!X$5:X$3360,"T-AGOS",'J Book Items Cons.'!R$5:R$3360,"&lt;&gt;")+SUMIFS('J Book Items Cons.'!N$5:N$3360,'J Book Items Cons.'!E$5:E$3360,6,'J Book Items Cons.'!S$5:S$3360,"[PARENT]",'J Book Items Cons.'!X$5:X$3360,"T-AGOS",'J Book Items Cons.'!R$5:R$3360,"",'J Book Items Cons.'!N$5:N$3360,"&lt;&gt;")+SUMIFS('J Book Items Cons.'!L$5:L$3360,'J Book Items Cons.'!E$5:E$3360,6,'J Book Items Cons.'!S$5:S$3360,"[PARENT]",'J Book Items Cons.'!X$5:X$3360,"T-AGOS",'J Book Items Cons.'!R$5:R$3360,"",'J Book Items Cons.'!N$5:N$3360,"")</f>
        <v>0</v>
      </c>
      <c r="O62" s="14">
        <f>SUMIFS('J Book Items Cons.'!R$5:R$3360,'J Book Items Cons.'!E$5:E$3360,6,'J Book Items Cons.'!S$5:S$3360,"",'J Book Items Cons.'!X$5:X$3360,"LCAC",'J Book Items Cons.'!R$5:R$3360,"&lt;&gt;")+SUMIFS('J Book Items Cons.'!N$5:N$3360,'J Book Items Cons.'!E$5:E$3360,6,'J Book Items Cons.'!S$5:S$3360,"",'J Book Items Cons.'!X$5:X$3360,"LCAC",'J Book Items Cons.'!R$5:R$3360,"",'J Book Items Cons.'!N$5:N$3360,"&lt;&gt;")+SUMIFS('J Book Items Cons.'!L$5:L$3360,'J Book Items Cons.'!E$5:E$3360,6,'J Book Items Cons.'!S$5:S$3360,"",'J Book Items Cons.'!X$5:X$3360,"LCAC",'J Book Items Cons.'!R$5:R$3360,"",'J Book Items Cons.'!N$5:N$3360,"")+SUMIFS('J Book Items Cons.'!R$5:R$3360,'J Book Items Cons.'!E$5:E$3360,6,'J Book Items Cons.'!S$5:S$3360,"[PARENT]",'J Book Items Cons.'!X$5:X$3360,"LCAC",'J Book Items Cons.'!R$5:R$3360,"&lt;&gt;")+SUMIFS('J Book Items Cons.'!N$5:N$3360,'J Book Items Cons.'!E$5:E$3360,6,'J Book Items Cons.'!S$5:S$3360,"[PARENT]",'J Book Items Cons.'!X$5:X$3360,"LCAC",'J Book Items Cons.'!R$5:R$3360,"",'J Book Items Cons.'!N$5:N$3360,"&lt;&gt;")+SUMIFS('J Book Items Cons.'!L$5:L$3360,'J Book Items Cons.'!E$5:E$3360,6,'J Book Items Cons.'!S$5:S$3360,"[PARENT]",'J Book Items Cons.'!X$5:X$3360,"LCAC",'J Book Items Cons.'!R$5:R$3360,"",'J Book Items Cons.'!N$5:N$3360,"")</f>
        <v>0</v>
      </c>
      <c r="P62" s="14">
        <f>SUMIFS('J Book Items Cons.'!R$5:R$3360,'J Book Items Cons.'!E$5:E$3360,6,'J Book Items Cons.'!S$5:S$3360,"",'J Book Items Cons.'!X$5:X$3360,"LCU",'J Book Items Cons.'!R$5:R$3360,"&lt;&gt;")+SUMIFS('J Book Items Cons.'!N$5:N$3360,'J Book Items Cons.'!E$5:E$3360,6,'J Book Items Cons.'!S$5:S$3360,"",'J Book Items Cons.'!X$5:X$3360,"LCU",'J Book Items Cons.'!R$5:R$3360,"",'J Book Items Cons.'!N$5:N$3360,"&lt;&gt;")+SUMIFS('J Book Items Cons.'!L$5:L$3360,'J Book Items Cons.'!E$5:E$3360,6,'J Book Items Cons.'!S$5:S$3360,"",'J Book Items Cons.'!X$5:X$3360,"LCU",'J Book Items Cons.'!R$5:R$3360,"",'J Book Items Cons.'!N$5:N$3360,"")+SUMIFS('J Book Items Cons.'!R$5:R$3360,'J Book Items Cons.'!E$5:E$3360,6,'J Book Items Cons.'!S$5:S$3360,"[PARENT]",'J Book Items Cons.'!X$5:X$3360,"LCU",'J Book Items Cons.'!R$5:R$3360,"&lt;&gt;")+SUMIFS('J Book Items Cons.'!N$5:N$3360,'J Book Items Cons.'!E$5:E$3360,6,'J Book Items Cons.'!S$5:S$3360,"[PARENT]",'J Book Items Cons.'!X$5:X$3360,"LCU",'J Book Items Cons.'!R$5:R$3360,"",'J Book Items Cons.'!N$5:N$3360,"&lt;&gt;")+SUMIFS('J Book Items Cons.'!L$5:L$3360,'J Book Items Cons.'!E$5:E$3360,6,'J Book Items Cons.'!S$5:S$3360,"[PARENT]",'J Book Items Cons.'!X$5:X$3360,"LCU",'J Book Items Cons.'!R$5:R$3360,"",'J Book Items Cons.'!N$5:N$3360,"")</f>
        <v>0</v>
      </c>
      <c r="Q62" s="14">
        <f>SUMIFS('J Book Items Cons.'!R$5:R$3360,'J Book Items Cons.'!E$5:E$3360,6,'J Book Items Cons.'!S$5:S$3360,"",'J Book Items Cons.'!X$5:X$3360,"SSGN",'J Book Items Cons.'!R$5:R$3360,"&lt;&gt;")+SUMIFS('J Book Items Cons.'!N$5:N$3360,'J Book Items Cons.'!E$5:E$3360,6,'J Book Items Cons.'!S$5:S$3360,"",'J Book Items Cons.'!X$5:X$3360,"SSGN",'J Book Items Cons.'!R$5:R$3360,"",'J Book Items Cons.'!N$5:N$3360,"&lt;&gt;")+SUMIFS('J Book Items Cons.'!L$5:L$3360,'J Book Items Cons.'!E$5:E$3360,6,'J Book Items Cons.'!S$5:S$3360,"",'J Book Items Cons.'!X$5:X$3360,"SSGN",'J Book Items Cons.'!R$5:R$3360,"",'J Book Items Cons.'!N$5:N$3360,"")+SUMIFS('J Book Items Cons.'!R$5:R$3360,'J Book Items Cons.'!E$5:E$3360,6,'J Book Items Cons.'!S$5:S$3360,"[PARENT]",'J Book Items Cons.'!X$5:X$3360,"SSGN",'J Book Items Cons.'!R$5:R$3360,"&lt;&gt;")+SUMIFS('J Book Items Cons.'!N$5:N$3360,'J Book Items Cons.'!E$5:E$3360,6,'J Book Items Cons.'!S$5:S$3360,"[PARENT]",'J Book Items Cons.'!X$5:X$3360,"SSGN",'J Book Items Cons.'!R$5:R$3360,"",'J Book Items Cons.'!N$5:N$3360,"&lt;&gt;")+SUMIFS('J Book Items Cons.'!L$5:L$3360,'J Book Items Cons.'!E$5:E$3360,6,'J Book Items Cons.'!S$5:S$3360,"[PARENT]",'J Book Items Cons.'!X$5:X$3360,"SSGN",'J Book Items Cons.'!R$5:R$3360,"",'J Book Items Cons.'!N$5:N$3360,"")</f>
        <v>0</v>
      </c>
      <c r="R62" s="14">
        <f>SUMIFS('J Book Items Cons.'!R$5:R$3360,'J Book Items Cons.'!E$5:E$3360,6,'J Book Items Cons.'!S$5:S$3360,"",'J Book Items Cons.'!X$5:X$3360,"UUV",'J Book Items Cons.'!R$5:R$3360,"&lt;&gt;")+SUMIFS('J Book Items Cons.'!N$5:N$3360,'J Book Items Cons.'!E$5:E$3360,6,'J Book Items Cons.'!S$5:S$3360,"",'J Book Items Cons.'!X$5:X$3360,"UUV",'J Book Items Cons.'!R$5:R$3360,"",'J Book Items Cons.'!N$5:N$3360,"&lt;&gt;")+SUMIFS('J Book Items Cons.'!L$5:L$3360,'J Book Items Cons.'!E$5:E$3360,6,'J Book Items Cons.'!S$5:S$3360,"",'J Book Items Cons.'!X$5:X$3360,"UUV",'J Book Items Cons.'!R$5:R$3360,"",'J Book Items Cons.'!N$5:N$3360,"")+SUMIFS('J Book Items Cons.'!R$5:R$3360,'J Book Items Cons.'!E$5:E$3360,6,'J Book Items Cons.'!S$5:S$3360,"[PARENT]",'J Book Items Cons.'!X$5:X$3360,"UUV",'J Book Items Cons.'!R$5:R$3360,"&lt;&gt;")+SUMIFS('J Book Items Cons.'!N$5:N$3360,'J Book Items Cons.'!E$5:E$3360,6,'J Book Items Cons.'!S$5:S$3360,"[PARENT]",'J Book Items Cons.'!X$5:X$3360,"UUV",'J Book Items Cons.'!R$5:R$3360,"",'J Book Items Cons.'!N$5:N$3360,"&lt;&gt;")+SUMIFS('J Book Items Cons.'!L$5:L$3360,'J Book Items Cons.'!E$5:E$3360,6,'J Book Items Cons.'!S$5:S$3360,"[PARENT]",'J Book Items Cons.'!X$5:X$3360,"UUV",'J Book Items Cons.'!R$5:R$3360,"",'J Book Items Cons.'!N$5:N$3360,"")</f>
        <v>0</v>
      </c>
      <c r="S62" s="14">
        <f>SUMIFS('J Book Items Cons.'!R$5:R$3360,'J Book Items Cons.'!E$5:E$3360,6,'J Book Items Cons.'!S$5:S$3360,"",'J Book Items Cons.'!X$5:X$3360,"CG",'J Book Items Cons.'!R$5:R$3360,"&lt;&gt;")+SUMIFS('J Book Items Cons.'!N$5:N$3360,'J Book Items Cons.'!E$5:E$3360,6,'J Book Items Cons.'!S$5:S$3360,"",'J Book Items Cons.'!X$5:X$3360,"CG",'J Book Items Cons.'!R$5:R$3360,"",'J Book Items Cons.'!N$5:N$3360,"&lt;&gt;")+SUMIFS('J Book Items Cons.'!L$5:L$3360,'J Book Items Cons.'!E$5:E$3360,6,'J Book Items Cons.'!S$5:S$3360,"",'J Book Items Cons.'!X$5:X$3360,"CG",'J Book Items Cons.'!R$5:R$3360,"",'J Book Items Cons.'!N$5:N$3360,"")+SUMIFS('J Book Items Cons.'!R$5:R$3360,'J Book Items Cons.'!E$5:E$3360,6,'J Book Items Cons.'!S$5:S$3360,"[PARENT]",'J Book Items Cons.'!X$5:X$3360,"CG",'J Book Items Cons.'!R$5:R$3360,"&lt;&gt;")+SUMIFS('J Book Items Cons.'!N$5:N$3360,'J Book Items Cons.'!E$5:E$3360,6,'J Book Items Cons.'!S$5:S$3360,"[PARENT]",'J Book Items Cons.'!X$5:X$3360,"CG",'J Book Items Cons.'!R$5:R$3360,"",'J Book Items Cons.'!N$5:N$3360,"&lt;&gt;")+SUMIFS('J Book Items Cons.'!L$5:L$3360,'J Book Items Cons.'!E$5:E$3360,6,'J Book Items Cons.'!S$5:S$3360,"[PARENT]",'J Book Items Cons.'!X$5:X$3360,"CG",'J Book Items Cons.'!R$5:R$3360,"",'J Book Items Cons.'!N$5:N$3360,"")</f>
        <v>0</v>
      </c>
      <c r="T62" s="14">
        <f>SUMIFS('J Book Items Cons.'!R$5:R$3360,'J Book Items Cons.'!E$5:E$3360,6,'J Book Items Cons.'!S$5:S$3360,"",'J Book Items Cons.'!X$5:X$3360,"LSD",'J Book Items Cons.'!R$5:R$3360,"&lt;&gt;")+SUMIFS('J Book Items Cons.'!N$5:N$3360,'J Book Items Cons.'!E$5:E$3360,6,'J Book Items Cons.'!S$5:S$3360,"",'J Book Items Cons.'!X$5:X$3360,"LSD",'J Book Items Cons.'!R$5:R$3360,"",'J Book Items Cons.'!N$5:N$3360,"&lt;&gt;")+SUMIFS('J Book Items Cons.'!L$5:L$3360,'J Book Items Cons.'!E$5:E$3360,6,'J Book Items Cons.'!S$5:S$3360,"",'J Book Items Cons.'!X$5:X$3360,"LSD",'J Book Items Cons.'!R$5:R$3360,"",'J Book Items Cons.'!N$5:N$3360,"")+SUMIFS('J Book Items Cons.'!R$5:R$3360,'J Book Items Cons.'!E$5:E$3360,6,'J Book Items Cons.'!S$5:S$3360,"[PARENT]",'J Book Items Cons.'!X$5:X$3360,"LSD",'J Book Items Cons.'!R$5:R$3360,"&lt;&gt;")+SUMIFS('J Book Items Cons.'!N$5:N$3360,'J Book Items Cons.'!E$5:E$3360,6,'J Book Items Cons.'!S$5:S$3360,"[PARENT]",'J Book Items Cons.'!X$5:X$3360,"LSD",'J Book Items Cons.'!R$5:R$3360,"",'J Book Items Cons.'!N$5:N$3360,"&lt;&gt;")+SUMIFS('J Book Items Cons.'!L$5:L$3360,'J Book Items Cons.'!E$5:E$3360,6,'J Book Items Cons.'!S$5:S$3360,"[PARENT]",'J Book Items Cons.'!X$5:X$3360,"LSD",'J Book Items Cons.'!R$5:R$3360,"",'J Book Items Cons.'!N$5:N$3360,"")</f>
        <v>0</v>
      </c>
      <c r="U62" s="14">
        <f>SUMIFS('J Book Items Cons.'!R$5:R$3360,'J Book Items Cons.'!E$5:E$3360,6,'J Book Items Cons.'!S$5:S$3360,"",'J Book Items Cons.'!X$5:X$3360,"ESB",'J Book Items Cons.'!R$5:R$3360,"&lt;&gt;")+SUMIFS('J Book Items Cons.'!N$5:N$3360,'J Book Items Cons.'!E$5:E$3360,6,'J Book Items Cons.'!S$5:S$3360,"",'J Book Items Cons.'!X$5:X$3360,"ESB",'J Book Items Cons.'!R$5:R$3360,"",'J Book Items Cons.'!N$5:N$3360,"&lt;&gt;")+SUMIFS('J Book Items Cons.'!L$5:L$3360,'J Book Items Cons.'!E$5:E$3360,6,'J Book Items Cons.'!S$5:S$3360,"",'J Book Items Cons.'!X$5:X$3360,"ESB",'J Book Items Cons.'!R$5:R$3360,"",'J Book Items Cons.'!N$5:N$3360,"")+SUMIFS('J Book Items Cons.'!R$5:R$3360,'J Book Items Cons.'!E$5:E$3360,6,'J Book Items Cons.'!S$5:S$3360,"[PARENT]",'J Book Items Cons.'!X$5:X$3360,"ESB",'J Book Items Cons.'!R$5:R$3360,"&lt;&gt;")+SUMIFS('J Book Items Cons.'!N$5:N$3360,'J Book Items Cons.'!E$5:E$3360,6,'J Book Items Cons.'!S$5:S$3360,"[PARENT]",'J Book Items Cons.'!X$5:X$3360,"ESB",'J Book Items Cons.'!R$5:R$3360,"",'J Book Items Cons.'!N$5:N$3360,"&lt;&gt;")+SUMIFS('J Book Items Cons.'!L$5:L$3360,'J Book Items Cons.'!E$5:E$3360,6,'J Book Items Cons.'!S$5:S$3360,"[PARENT]",'J Book Items Cons.'!X$5:X$3360,"ESB",'J Book Items Cons.'!R$5:R$3360,"",'J Book Items Cons.'!N$5:N$3360,"")</f>
        <v>0</v>
      </c>
      <c r="V62" s="14">
        <f>SUMIFS('J Book Items Cons.'!R$5:R$3360,'J Book Items Cons.'!E$5:E$3360,6,'J Book Items Cons.'!S$5:S$3360,"",'J Book Items Cons.'!X$5:X$3360,"LCC",'J Book Items Cons.'!R$5:R$3360,"&lt;&gt;")+SUMIFS('J Book Items Cons.'!N$5:N$3360,'J Book Items Cons.'!E$5:E$3360,6,'J Book Items Cons.'!S$5:S$3360,"",'J Book Items Cons.'!X$5:X$3360,"LCC",'J Book Items Cons.'!R$5:R$3360,"",'J Book Items Cons.'!N$5:N$3360,"&lt;&gt;")+SUMIFS('J Book Items Cons.'!L$5:L$3360,'J Book Items Cons.'!E$5:E$3360,6,'J Book Items Cons.'!S$5:S$3360,"",'J Book Items Cons.'!X$5:X$3360,"LCC",'J Book Items Cons.'!R$5:R$3360,"",'J Book Items Cons.'!N$5:N$3360,"")+SUMIFS('J Book Items Cons.'!R$5:R$3360,'J Book Items Cons.'!E$5:E$3360,6,'J Book Items Cons.'!S$5:S$3360,"[PARENT]",'J Book Items Cons.'!X$5:X$3360,"LCC",'J Book Items Cons.'!R$5:R$3360,"&lt;&gt;")+SUMIFS('J Book Items Cons.'!N$5:N$3360,'J Book Items Cons.'!E$5:E$3360,6,'J Book Items Cons.'!S$5:S$3360,"[PARENT]",'J Book Items Cons.'!X$5:X$3360,"LCC",'J Book Items Cons.'!R$5:R$3360,"",'J Book Items Cons.'!N$5:N$3360,"&lt;&gt;")+SUMIFS('J Book Items Cons.'!L$5:L$3360,'J Book Items Cons.'!E$5:E$3360,6,'J Book Items Cons.'!S$5:S$3360,"[PARENT]",'J Book Items Cons.'!X$5:X$3360,"LCC",'J Book Items Cons.'!R$5:R$3360,"",'J Book Items Cons.'!N$5:N$3360,"")</f>
        <v>0</v>
      </c>
      <c r="W62" s="14">
        <f>SUMIFS('J Book Items Cons.'!R$5:R$3360,'J Book Items Cons.'!E$5:E$3360,6,'J Book Items Cons.'!S$5:S$3360,"",'J Book Items Cons.'!X$5:X$3360,"MCM",'J Book Items Cons.'!R$5:R$3360,"&lt;&gt;")+SUMIFS('J Book Items Cons.'!N$5:N$3360,'J Book Items Cons.'!E$5:E$3360,6,'J Book Items Cons.'!S$5:S$3360,"",'J Book Items Cons.'!X$5:X$3360,"MCM",'J Book Items Cons.'!R$5:R$3360,"",'J Book Items Cons.'!N$5:N$3360,"&lt;&gt;")+SUMIFS('J Book Items Cons.'!L$5:L$3360,'J Book Items Cons.'!E$5:E$3360,6,'J Book Items Cons.'!S$5:S$3360,"",'J Book Items Cons.'!X$5:X$3360,"MCM",'J Book Items Cons.'!R$5:R$3360,"",'J Book Items Cons.'!N$5:N$3360,"")+SUMIFS('J Book Items Cons.'!R$5:R$3360,'J Book Items Cons.'!E$5:E$3360,6,'J Book Items Cons.'!S$5:S$3360,"[PARENT]",'J Book Items Cons.'!X$5:X$3360,"MCM",'J Book Items Cons.'!R$5:R$3360,"&lt;&gt;")+SUMIFS('J Book Items Cons.'!N$5:N$3360,'J Book Items Cons.'!E$5:E$3360,6,'J Book Items Cons.'!S$5:S$3360,"[PARENT]",'J Book Items Cons.'!X$5:X$3360,"MCM",'J Book Items Cons.'!R$5:R$3360,"",'J Book Items Cons.'!N$5:N$3360,"&lt;&gt;")+SUMIFS('J Book Items Cons.'!L$5:L$3360,'J Book Items Cons.'!E$5:E$3360,6,'J Book Items Cons.'!S$5:S$3360,"[PARENT]",'J Book Items Cons.'!X$5:X$3360,"MCM",'J Book Items Cons.'!R$5:R$3360,"",'J Book Items Cons.'!N$5:N$3360,"")</f>
        <v>0</v>
      </c>
      <c r="X62" s="26">
        <f>SUMIFS('J Book Items Cons.'!R$5:R$3360,'J Book Items Cons.'!E$5:E$3360,6,'J Book Items Cons.'!S$5:S$3360,"",'J Book Items Cons.'!X$5:X$3360,"PC",'J Book Items Cons.'!R$5:R$3360,"&lt;&gt;")+SUMIFS('J Book Items Cons.'!N$5:N$3360,'J Book Items Cons.'!E$5:E$3360,6,'J Book Items Cons.'!S$5:S$3360,"",'J Book Items Cons.'!X$5:X$3360,"PC",'J Book Items Cons.'!R$5:R$3360,"",'J Book Items Cons.'!N$5:N$3360,"&lt;&gt;")+SUMIFS('J Book Items Cons.'!L$5:L$3360,'J Book Items Cons.'!E$5:E$3360,6,'J Book Items Cons.'!S$5:S$3360,"",'J Book Items Cons.'!X$5:X$3360,"PC",'J Book Items Cons.'!R$5:R$3360,"",'J Book Items Cons.'!N$5:N$3360,"")+SUMIFS('J Book Items Cons.'!R$5:R$3360,'J Book Items Cons.'!E$5:E$3360,6,'J Book Items Cons.'!S$5:S$3360,"[PARENT]",'J Book Items Cons.'!X$5:X$3360,"PC",'J Book Items Cons.'!R$5:R$3360,"&lt;&gt;")+SUMIFS('J Book Items Cons.'!N$5:N$3360,'J Book Items Cons.'!E$5:E$3360,6,'J Book Items Cons.'!S$5:S$3360,"[PARENT]",'J Book Items Cons.'!X$5:X$3360,"PC",'J Book Items Cons.'!R$5:R$3360,"",'J Book Items Cons.'!N$5:N$3360,"&lt;&gt;")+SUMIFS('J Book Items Cons.'!L$5:L$3360,'J Book Items Cons.'!E$5:E$3360,6,'J Book Items Cons.'!S$5:S$3360,"[PARENT]",'J Book Items Cons.'!X$5:X$3360,"PC",'J Book Items Cons.'!R$5:R$3360,"",'J Book Items Cons.'!N$5:N$3360,"")</f>
        <v>0</v>
      </c>
      <c r="Y62" s="25">
        <f>SUMIFS('J Book Items Cons.'!R$5:R$3360,'J Book Items Cons.'!E$5:E$3360,6,'J Book Items Cons.'!S$5:S$3360,"",'J Book Items Cons.'!X$5:X$3360,"WMSM",'J Book Items Cons.'!R$5:R$3360,"&lt;&gt;")+SUMIFS('J Book Items Cons.'!N$5:N$3360,'J Book Items Cons.'!E$5:E$3360,6,'J Book Items Cons.'!S$5:S$3360,"",'J Book Items Cons.'!X$5:X$3360,"WMSM",'J Book Items Cons.'!R$5:R$3360,"",'J Book Items Cons.'!N$5:N$3360,"&lt;&gt;")+SUMIFS('J Book Items Cons.'!L$5:L$3360,'J Book Items Cons.'!E$5:E$3360,6,'J Book Items Cons.'!S$5:S$3360,"",'J Book Items Cons.'!X$5:X$3360,"WMSM",'J Book Items Cons.'!R$5:R$3360,"",'J Book Items Cons.'!N$5:N$3360,"")+SUMIFS('J Book Items Cons.'!R$5:R$3360,'J Book Items Cons.'!E$5:E$3360,6,'J Book Items Cons.'!S$5:S$3360,"[PARENT]",'J Book Items Cons.'!X$5:X$3360,"WMSM",'J Book Items Cons.'!R$5:R$3360,"&lt;&gt;")+SUMIFS('J Book Items Cons.'!N$5:N$3360,'J Book Items Cons.'!E$5:E$3360,6,'J Book Items Cons.'!S$5:S$3360,"[PARENT]",'J Book Items Cons.'!X$5:X$3360,"WMSM",'J Book Items Cons.'!R$5:R$3360,"",'J Book Items Cons.'!N$5:N$3360,"&lt;&gt;")+SUMIFS('J Book Items Cons.'!L$5:L$3360,'J Book Items Cons.'!E$5:E$3360,6,'J Book Items Cons.'!S$5:S$3360,"[PARENT]",'J Book Items Cons.'!X$5:X$3360,"WMSM",'J Book Items Cons.'!R$5:R$3360,"",'J Book Items Cons.'!N$5:N$3360,"")</f>
        <v>0</v>
      </c>
      <c r="Z62" s="14">
        <f>SUMIFS('J Book Items Cons.'!R$5:R$3360,'J Book Items Cons.'!E$5:E$3360,6,'J Book Items Cons.'!S$5:S$3360,"",'J Book Items Cons.'!X$5:X$3360,"WPC",'J Book Items Cons.'!R$5:R$3360,"&lt;&gt;")+SUMIFS('J Book Items Cons.'!N$5:N$3360,'J Book Items Cons.'!E$5:E$3360,6,'J Book Items Cons.'!S$5:S$3360,"",'J Book Items Cons.'!X$5:X$3360,"WPC",'J Book Items Cons.'!R$5:R$3360,"",'J Book Items Cons.'!N$5:N$3360,"&lt;&gt;")+SUMIFS('J Book Items Cons.'!L$5:L$3360,'J Book Items Cons.'!E$5:E$3360,6,'J Book Items Cons.'!S$5:S$3360,"",'J Book Items Cons.'!X$5:X$3360,"WPC",'J Book Items Cons.'!R$5:R$3360,"",'J Book Items Cons.'!N$5:N$3360,"")+SUMIFS('J Book Items Cons.'!R$5:R$3360,'J Book Items Cons.'!E$5:E$3360,6,'J Book Items Cons.'!S$5:S$3360,"[PARENT]",'J Book Items Cons.'!X$5:X$3360,"WPC",'J Book Items Cons.'!R$5:R$3360,"&lt;&gt;")+SUMIFS('J Book Items Cons.'!N$5:N$3360,'J Book Items Cons.'!E$5:E$3360,6,'J Book Items Cons.'!S$5:S$3360,"[PARENT]",'J Book Items Cons.'!X$5:X$3360,"WPC",'J Book Items Cons.'!R$5:R$3360,"",'J Book Items Cons.'!N$5:N$3360,"&lt;&gt;")+SUMIFS('J Book Items Cons.'!L$5:L$3360,'J Book Items Cons.'!E$5:E$3360,6,'J Book Items Cons.'!S$5:S$3360,"[PARENT]",'J Book Items Cons.'!X$5:X$3360,"WPC",'J Book Items Cons.'!R$5:R$3360,"",'J Book Items Cons.'!N$5:N$3360,"")</f>
        <v>0</v>
      </c>
      <c r="AA62" s="14">
        <f>SUMIFS('J Book Items Cons.'!R$5:R$3360,'J Book Items Cons.'!E$5:E$3360,6,'J Book Items Cons.'!S$5:S$3360,"",'J Book Items Cons.'!X$5:X$3360,"WAGB",'J Book Items Cons.'!R$5:R$3360,"&lt;&gt;")+SUMIFS('J Book Items Cons.'!N$5:N$3360,'J Book Items Cons.'!E$5:E$3360,6,'J Book Items Cons.'!S$5:S$3360,"",'J Book Items Cons.'!X$5:X$3360,"WAGB",'J Book Items Cons.'!R$5:R$3360,"",'J Book Items Cons.'!N$5:N$3360,"&lt;&gt;")+SUMIFS('J Book Items Cons.'!L$5:L$3360,'J Book Items Cons.'!E$5:E$3360,6,'J Book Items Cons.'!S$5:S$3360,"",'J Book Items Cons.'!X$5:X$3360,"WAGB",'J Book Items Cons.'!R$5:R$3360,"",'J Book Items Cons.'!N$5:N$3360,"")+SUMIFS('J Book Items Cons.'!R$5:R$3360,'J Book Items Cons.'!E$5:E$3360,6,'J Book Items Cons.'!S$5:S$3360,"[PARENT]",'J Book Items Cons.'!X$5:X$3360,"WAGB",'J Book Items Cons.'!R$5:R$3360,"&lt;&gt;")+SUMIFS('J Book Items Cons.'!N$5:N$3360,'J Book Items Cons.'!E$5:E$3360,6,'J Book Items Cons.'!S$5:S$3360,"[PARENT]",'J Book Items Cons.'!X$5:X$3360,"WAGB",'J Book Items Cons.'!R$5:R$3360,"",'J Book Items Cons.'!N$5:N$3360,"&lt;&gt;")+SUMIFS('J Book Items Cons.'!L$5:L$3360,'J Book Items Cons.'!E$5:E$3360,6,'J Book Items Cons.'!S$5:S$3360,"[PARENT]",'J Book Items Cons.'!X$5:X$3360,"WAGB",'J Book Items Cons.'!R$5:R$3360,"",'J Book Items Cons.'!N$5:N$3360,"")</f>
        <v>0</v>
      </c>
      <c r="AB62" s="14">
        <f>SUMIFS('J Book Items Cons.'!R$5:R$3360,'J Book Items Cons.'!E$5:E$3360,6,'J Book Items Cons.'!S$5:S$3360,"",'J Book Items Cons.'!X$5:X$3360,"WCC",'J Book Items Cons.'!R$5:R$3360,"&lt;&gt;")+SUMIFS('J Book Items Cons.'!N$5:N$3360,'J Book Items Cons.'!E$5:E$3360,6,'J Book Items Cons.'!S$5:S$3360,"",'J Book Items Cons.'!X$5:X$3360,"WCC",'J Book Items Cons.'!R$5:R$3360,"",'J Book Items Cons.'!N$5:N$3360,"&lt;&gt;")+SUMIFS('J Book Items Cons.'!L$5:L$3360,'J Book Items Cons.'!E$5:E$3360,6,'J Book Items Cons.'!S$5:S$3360,"",'J Book Items Cons.'!X$5:X$3360,"WCC",'J Book Items Cons.'!R$5:R$3360,"",'J Book Items Cons.'!N$5:N$3360,"")+SUMIFS('J Book Items Cons.'!R$5:R$3360,'J Book Items Cons.'!E$5:E$3360,6,'J Book Items Cons.'!S$5:S$3360,"[PARENT]",'J Book Items Cons.'!X$5:X$3360,"WCC",'J Book Items Cons.'!R$5:R$3360,"&lt;&gt;")+SUMIFS('J Book Items Cons.'!N$5:N$3360,'J Book Items Cons.'!E$5:E$3360,6,'J Book Items Cons.'!S$5:S$3360,"[PARENT]",'J Book Items Cons.'!X$5:X$3360,"WCC",'J Book Items Cons.'!R$5:R$3360,"",'J Book Items Cons.'!N$5:N$3360,"&lt;&gt;")+SUMIFS('J Book Items Cons.'!L$5:L$3360,'J Book Items Cons.'!E$5:E$3360,6,'J Book Items Cons.'!S$5:S$3360,"[PARENT]",'J Book Items Cons.'!X$5:X$3360,"WCC",'J Book Items Cons.'!R$5:R$3360,"",'J Book Items Cons.'!N$5:N$3360,"")</f>
        <v>0</v>
      </c>
      <c r="AC62" s="26">
        <f>SUMIFS('J Book Items Cons.'!R$5:R$3360,'J Book Items Cons.'!E$5:E$3360,6,'J Book Items Cons.'!S$5:S$3360,"",'J Book Items Cons.'!X$5:X$3360,"WMSL",'J Book Items Cons.'!R$5:R$3360,"&lt;&gt;")+SUMIFS('J Book Items Cons.'!N$5:N$3360,'J Book Items Cons.'!E$5:E$3360,6,'J Book Items Cons.'!S$5:S$3360,"",'J Book Items Cons.'!X$5:X$3360,"WMSL",'J Book Items Cons.'!R$5:R$3360,"",'J Book Items Cons.'!N$5:N$3360,"&lt;&gt;")+SUMIFS('J Book Items Cons.'!L$5:L$3360,'J Book Items Cons.'!E$5:E$3360,6,'J Book Items Cons.'!S$5:S$3360,"",'J Book Items Cons.'!X$5:X$3360,"WMSL",'J Book Items Cons.'!R$5:R$3360,"",'J Book Items Cons.'!N$5:N$3360,"")+SUMIFS('J Book Items Cons.'!R$5:R$3360,'J Book Items Cons.'!E$5:E$3360,6,'J Book Items Cons.'!S$5:S$3360,"[PARENT]",'J Book Items Cons.'!X$5:X$3360,"WMSL",'J Book Items Cons.'!R$5:R$3360,"&lt;&gt;")+SUMIFS('J Book Items Cons.'!N$5:N$3360,'J Book Items Cons.'!E$5:E$3360,6,'J Book Items Cons.'!S$5:S$3360,"[PARENT]",'J Book Items Cons.'!X$5:X$3360,"WMSL",'J Book Items Cons.'!R$5:R$3360,"",'J Book Items Cons.'!N$5:N$3360,"&lt;&gt;")+SUMIFS('J Book Items Cons.'!L$5:L$3360,'J Book Items Cons.'!E$5:E$3360,6,'J Book Items Cons.'!S$5:S$3360,"[PARENT]",'J Book Items Cons.'!X$5:X$3360,"WMSL",'J Book Items Cons.'!R$5:R$3360,"",'J Book Items Cons.'!N$5:N$3360,"")</f>
        <v>0</v>
      </c>
      <c r="AD62" s="14">
        <f t="shared" si="5"/>
        <v>156196</v>
      </c>
    </row>
    <row r="63" spans="1:42" ht="10.5" customHeight="1" x14ac:dyDescent="0.15">
      <c r="A63" s="7" t="s">
        <v>8828</v>
      </c>
      <c r="B63" s="25">
        <f>SUMIFS('J Book Items Cons.'!R$5:R$3360,'J Book Items Cons.'!E$5:E$3360,7,'J Book Items Cons.'!S$5:S$3360,"",'J Book Items Cons.'!X$5:X$3360,"SSN",'J Book Items Cons.'!R$5:R$3360,"&lt;&gt;")+SUMIFS('J Book Items Cons.'!N$5:N$3360,'J Book Items Cons.'!E$5:E$3360,7,'J Book Items Cons.'!S$5:S$3360,"",'J Book Items Cons.'!X$5:X$3360,"SSN",'J Book Items Cons.'!R$5:R$3360,"",'J Book Items Cons.'!N$5:N$3360,"&lt;&gt;")+SUMIFS('J Book Items Cons.'!L$5:L$3360,'J Book Items Cons.'!E$5:E$3360,7,'J Book Items Cons.'!S$5:S$3360,"",'J Book Items Cons.'!X$5:X$3360,"SSN",'J Book Items Cons.'!R$5:R$3360,"",'J Book Items Cons.'!N$5:N$3360,"")+SUMIFS('J Book Items Cons.'!R$5:R$3360,'J Book Items Cons.'!E$5:E$3360,7,'J Book Items Cons.'!S$5:S$3360,"[PARENT]",'J Book Items Cons.'!X$5:X$3360,"SSN",'J Book Items Cons.'!R$5:R$3360,"&lt;&gt;")+SUMIFS('J Book Items Cons.'!N$5:N$3360,'J Book Items Cons.'!E$5:E$3360,7,'J Book Items Cons.'!S$5:S$3360,"[PARENT]",'J Book Items Cons.'!X$5:X$3360,"SSN",'J Book Items Cons.'!R$5:R$3360,"",'J Book Items Cons.'!N$5:N$3360,"&lt;&gt;")+SUMIFS('J Book Items Cons.'!L$5:L$3360,'J Book Items Cons.'!E$5:E$3360,7,'J Book Items Cons.'!S$5:S$3360,"[PARENT]",'J Book Items Cons.'!X$5:X$3360,"SSN",'J Book Items Cons.'!R$5:R$3360,"",'J Book Items Cons.'!N$5:N$3360,"")</f>
        <v>0</v>
      </c>
      <c r="C63" s="14">
        <f>SUMIFS('J Book Items Cons.'!R$5:R$3360,'J Book Items Cons.'!E$5:E$3360,7,'J Book Items Cons.'!S$5:S$3360,"",'J Book Items Cons.'!X$5:X$3360,"SSBN",'J Book Items Cons.'!R$5:R$3360,"&lt;&gt;")+SUMIFS('J Book Items Cons.'!N$5:N$3360,'J Book Items Cons.'!E$5:E$3360,7,'J Book Items Cons.'!S$5:S$3360,"",'J Book Items Cons.'!X$5:X$3360,"SSBN",'J Book Items Cons.'!R$5:R$3360,"",'J Book Items Cons.'!N$5:N$3360,"&lt;&gt;")+SUMIFS('J Book Items Cons.'!L$5:L$3360,'J Book Items Cons.'!E$5:E$3360,7,'J Book Items Cons.'!S$5:S$3360,"",'J Book Items Cons.'!X$5:X$3360,"SSBN",'J Book Items Cons.'!R$5:R$3360,"",'J Book Items Cons.'!N$5:N$3360,"")+SUMIFS('J Book Items Cons.'!R$5:R$3360,'J Book Items Cons.'!E$5:E$3360,7,'J Book Items Cons.'!S$5:S$3360,"[PARENT]",'J Book Items Cons.'!X$5:X$3360,"SSBN",'J Book Items Cons.'!R$5:R$3360,"&lt;&gt;")+SUMIFS('J Book Items Cons.'!N$5:N$3360,'J Book Items Cons.'!E$5:E$3360,7,'J Book Items Cons.'!S$5:S$3360,"[PARENT]",'J Book Items Cons.'!X$5:X$3360,"SSBN",'J Book Items Cons.'!R$5:R$3360,"",'J Book Items Cons.'!N$5:N$3360,"&lt;&gt;")+SUMIFS('J Book Items Cons.'!L$5:L$3360,'J Book Items Cons.'!E$5:E$3360,7,'J Book Items Cons.'!S$5:S$3360,"[PARENT]",'J Book Items Cons.'!X$5:X$3360,"SSBN",'J Book Items Cons.'!R$5:R$3360,"",'J Book Items Cons.'!N$5:N$3360,"")</f>
        <v>0</v>
      </c>
      <c r="D63" s="14">
        <f>SUMIFS('J Book Items Cons.'!R$5:R$3360,'J Book Items Cons.'!E$5:E$3360,7,'J Book Items Cons.'!S$5:S$3360,"",'J Book Items Cons.'!X$5:X$3360,"DDG",'J Book Items Cons.'!R$5:R$3360,"&lt;&gt;")+SUMIFS('J Book Items Cons.'!N$5:N$3360,'J Book Items Cons.'!E$5:E$3360,7,'J Book Items Cons.'!S$5:S$3360,"",'J Book Items Cons.'!X$5:X$3360,"DDG",'J Book Items Cons.'!R$5:R$3360,"",'J Book Items Cons.'!N$5:N$3360,"&lt;&gt;")+SUMIFS('J Book Items Cons.'!L$5:L$3360,'J Book Items Cons.'!E$5:E$3360,7,'J Book Items Cons.'!S$5:S$3360,"",'J Book Items Cons.'!X$5:X$3360,"DDG",'J Book Items Cons.'!R$5:R$3360,"",'J Book Items Cons.'!N$5:N$3360,"")+SUMIFS('J Book Items Cons.'!R$5:R$3360,'J Book Items Cons.'!E$5:E$3360,7,'J Book Items Cons.'!S$5:S$3360,"[PARENT]",'J Book Items Cons.'!X$5:X$3360,"DDG",'J Book Items Cons.'!R$5:R$3360,"&lt;&gt;")+SUMIFS('J Book Items Cons.'!N$5:N$3360,'J Book Items Cons.'!E$5:E$3360,7,'J Book Items Cons.'!S$5:S$3360,"[PARENT]",'J Book Items Cons.'!X$5:X$3360,"DDG",'J Book Items Cons.'!R$5:R$3360,"",'J Book Items Cons.'!N$5:N$3360,"&lt;&gt;")+SUMIFS('J Book Items Cons.'!L$5:L$3360,'J Book Items Cons.'!E$5:E$3360,7,'J Book Items Cons.'!S$5:S$3360,"[PARENT]",'J Book Items Cons.'!X$5:X$3360,"DDG",'J Book Items Cons.'!R$5:R$3360,"",'J Book Items Cons.'!N$5:N$3360,"")</f>
        <v>0</v>
      </c>
      <c r="E63" s="14">
        <f>SUMIFS('J Book Items Cons.'!R$5:R$3360,'J Book Items Cons.'!E$5:E$3360,7,'J Book Items Cons.'!S$5:S$3360,"",'J Book Items Cons.'!X$5:X$3360,"CVN",'J Book Items Cons.'!R$5:R$3360,"&lt;&gt;")+SUMIFS('J Book Items Cons.'!N$5:N$3360,'J Book Items Cons.'!E$5:E$3360,7,'J Book Items Cons.'!S$5:S$3360,"",'J Book Items Cons.'!X$5:X$3360,"CVN",'J Book Items Cons.'!R$5:R$3360,"",'J Book Items Cons.'!N$5:N$3360,"&lt;&gt;")+SUMIFS('J Book Items Cons.'!L$5:L$3360,'J Book Items Cons.'!E$5:E$3360,7,'J Book Items Cons.'!S$5:S$3360,"",'J Book Items Cons.'!X$5:X$3360,"CVN",'J Book Items Cons.'!R$5:R$3360,"",'J Book Items Cons.'!N$5:N$3360,"")+SUMIFS('J Book Items Cons.'!R$5:R$3360,'J Book Items Cons.'!E$5:E$3360,7,'J Book Items Cons.'!S$5:S$3360,"[PARENT]",'J Book Items Cons.'!X$5:X$3360,"CVN",'J Book Items Cons.'!R$5:R$3360,"&lt;&gt;")+SUMIFS('J Book Items Cons.'!N$5:N$3360,'J Book Items Cons.'!E$5:E$3360,7,'J Book Items Cons.'!S$5:S$3360,"[PARENT]",'J Book Items Cons.'!X$5:X$3360,"CVN",'J Book Items Cons.'!R$5:R$3360,"",'J Book Items Cons.'!N$5:N$3360,"&lt;&gt;")+SUMIFS('J Book Items Cons.'!L$5:L$3360,'J Book Items Cons.'!E$5:E$3360,7,'J Book Items Cons.'!S$5:S$3360,"[PARENT]",'J Book Items Cons.'!X$5:X$3360,"CVN",'J Book Items Cons.'!R$5:R$3360,"",'J Book Items Cons.'!N$5:N$3360,"")</f>
        <v>0</v>
      </c>
      <c r="F63" s="14">
        <f>SUMIFS('J Book Items Cons.'!R$5:R$3360,'J Book Items Cons.'!E$5:E$3360,7,'J Book Items Cons.'!S$5:S$3360,"",'J Book Items Cons.'!X$5:X$3360,"LSM",'J Book Items Cons.'!R$5:R$3360,"&lt;&gt;")+SUMIFS('J Book Items Cons.'!N$5:N$3360,'J Book Items Cons.'!E$5:E$3360,7,'J Book Items Cons.'!S$5:S$3360,"",'J Book Items Cons.'!X$5:X$3360,"LSM",'J Book Items Cons.'!R$5:R$3360,"",'J Book Items Cons.'!N$5:N$3360,"&lt;&gt;")+SUMIFS('J Book Items Cons.'!L$5:L$3360,'J Book Items Cons.'!E$5:E$3360,7,'J Book Items Cons.'!S$5:S$3360,"",'J Book Items Cons.'!X$5:X$3360,"LSM",'J Book Items Cons.'!R$5:R$3360,"",'J Book Items Cons.'!N$5:N$3360,"")+SUMIFS('J Book Items Cons.'!R$5:R$3360,'J Book Items Cons.'!E$5:E$3360,7,'J Book Items Cons.'!S$5:S$3360,"[PARENT]",'J Book Items Cons.'!X$5:X$3360,"LSM",'J Book Items Cons.'!R$5:R$3360,"&lt;&gt;")+SUMIFS('J Book Items Cons.'!N$5:N$3360,'J Book Items Cons.'!E$5:E$3360,7,'J Book Items Cons.'!S$5:S$3360,"[PARENT]",'J Book Items Cons.'!X$5:X$3360,"LSM",'J Book Items Cons.'!R$5:R$3360,"",'J Book Items Cons.'!N$5:N$3360,"&lt;&gt;")+SUMIFS('J Book Items Cons.'!L$5:L$3360,'J Book Items Cons.'!E$5:E$3360,7,'J Book Items Cons.'!S$5:S$3360,"[PARENT]",'J Book Items Cons.'!X$5:X$3360,"LSM",'J Book Items Cons.'!R$5:R$3360,"",'J Book Items Cons.'!N$5:N$3360,"")</f>
        <v>0</v>
      </c>
      <c r="G63" s="14">
        <f>SUMIFS('J Book Items Cons.'!R$5:R$3360,'J Book Items Cons.'!E$5:E$3360,7,'J Book Items Cons.'!S$5:S$3360,"",'J Book Items Cons.'!X$5:X$3360,"T-AO",'J Book Items Cons.'!R$5:R$3360,"&lt;&gt;")+SUMIFS('J Book Items Cons.'!N$5:N$3360,'J Book Items Cons.'!E$5:E$3360,7,'J Book Items Cons.'!S$5:S$3360,"",'J Book Items Cons.'!X$5:X$3360,"T-AO",'J Book Items Cons.'!R$5:R$3360,"",'J Book Items Cons.'!N$5:N$3360,"&lt;&gt;")+SUMIFS('J Book Items Cons.'!L$5:L$3360,'J Book Items Cons.'!E$5:E$3360,7,'J Book Items Cons.'!S$5:S$3360,"",'J Book Items Cons.'!X$5:X$3360,"T-AO",'J Book Items Cons.'!R$5:R$3360,"",'J Book Items Cons.'!N$5:N$3360,"")+SUMIFS('J Book Items Cons.'!R$5:R$3360,'J Book Items Cons.'!E$5:E$3360,7,'J Book Items Cons.'!S$5:S$3360,"[PARENT]",'J Book Items Cons.'!X$5:X$3360,"T-AO",'J Book Items Cons.'!R$5:R$3360,"&lt;&gt;")+SUMIFS('J Book Items Cons.'!N$5:N$3360,'J Book Items Cons.'!E$5:E$3360,7,'J Book Items Cons.'!S$5:S$3360,"[PARENT]",'J Book Items Cons.'!X$5:X$3360,"T-AO",'J Book Items Cons.'!R$5:R$3360,"",'J Book Items Cons.'!N$5:N$3360,"&lt;&gt;")+SUMIFS('J Book Items Cons.'!L$5:L$3360,'J Book Items Cons.'!E$5:E$3360,7,'J Book Items Cons.'!S$5:S$3360,"[PARENT]",'J Book Items Cons.'!X$5:X$3360,"T-AO",'J Book Items Cons.'!R$5:R$3360,"",'J Book Items Cons.'!N$5:N$3360,"")</f>
        <v>0</v>
      </c>
      <c r="H63" s="14">
        <f>SUMIFS('J Book Items Cons.'!R$5:R$3360,'J Book Items Cons.'!E$5:E$3360,7,'J Book Items Cons.'!S$5:S$3360,"",'J Book Items Cons.'!X$5:X$3360,"LCS",'J Book Items Cons.'!R$5:R$3360,"&lt;&gt;")+SUMIFS('J Book Items Cons.'!N$5:N$3360,'J Book Items Cons.'!E$5:E$3360,7,'J Book Items Cons.'!S$5:S$3360,"",'J Book Items Cons.'!X$5:X$3360,"LCS",'J Book Items Cons.'!R$5:R$3360,"",'J Book Items Cons.'!N$5:N$3360,"&lt;&gt;")+SUMIFS('J Book Items Cons.'!L$5:L$3360,'J Book Items Cons.'!E$5:E$3360,7,'J Book Items Cons.'!S$5:S$3360,"",'J Book Items Cons.'!X$5:X$3360,"LCS",'J Book Items Cons.'!R$5:R$3360,"",'J Book Items Cons.'!N$5:N$3360,"")+SUMIFS('J Book Items Cons.'!R$5:R$3360,'J Book Items Cons.'!E$5:E$3360,7,'J Book Items Cons.'!S$5:S$3360,"[PARENT]",'J Book Items Cons.'!X$5:X$3360,"LCS",'J Book Items Cons.'!R$5:R$3360,"&lt;&gt;")+SUMIFS('J Book Items Cons.'!N$5:N$3360,'J Book Items Cons.'!E$5:E$3360,7,'J Book Items Cons.'!S$5:S$3360,"[PARENT]",'J Book Items Cons.'!X$5:X$3360,"LCS",'J Book Items Cons.'!R$5:R$3360,"",'J Book Items Cons.'!N$5:N$3360,"&lt;&gt;")+SUMIFS('J Book Items Cons.'!L$5:L$3360,'J Book Items Cons.'!E$5:E$3360,7,'J Book Items Cons.'!S$5:S$3360,"[PARENT]",'J Book Items Cons.'!X$5:X$3360,"LCS",'J Book Items Cons.'!R$5:R$3360,"",'J Book Items Cons.'!N$5:N$3360,"")</f>
        <v>0</v>
      </c>
      <c r="I63" s="14">
        <f>SUMIFS('J Book Items Cons.'!R$5:R$3360,'J Book Items Cons.'!E$5:E$3360,7,'J Book Items Cons.'!S$5:S$3360,"",'J Book Items Cons.'!X$5:X$3360,"LPD",'J Book Items Cons.'!R$5:R$3360,"&lt;&gt;")+SUMIFS('J Book Items Cons.'!N$5:N$3360,'J Book Items Cons.'!E$5:E$3360,7,'J Book Items Cons.'!S$5:S$3360,"",'J Book Items Cons.'!X$5:X$3360,"LPD",'J Book Items Cons.'!R$5:R$3360,"",'J Book Items Cons.'!N$5:N$3360,"&lt;&gt;")+SUMIFS('J Book Items Cons.'!L$5:L$3360,'J Book Items Cons.'!E$5:E$3360,7,'J Book Items Cons.'!S$5:S$3360,"",'J Book Items Cons.'!X$5:X$3360,"LPD",'J Book Items Cons.'!R$5:R$3360,"",'J Book Items Cons.'!N$5:N$3360,"")+SUMIFS('J Book Items Cons.'!R$5:R$3360,'J Book Items Cons.'!E$5:E$3360,7,'J Book Items Cons.'!S$5:S$3360,"[PARENT]",'J Book Items Cons.'!X$5:X$3360,"LPD",'J Book Items Cons.'!R$5:R$3360,"&lt;&gt;")+SUMIFS('J Book Items Cons.'!N$5:N$3360,'J Book Items Cons.'!E$5:E$3360,7,'J Book Items Cons.'!S$5:S$3360,"[PARENT]",'J Book Items Cons.'!X$5:X$3360,"LPD",'J Book Items Cons.'!R$5:R$3360,"",'J Book Items Cons.'!N$5:N$3360,"&lt;&gt;")+SUMIFS('J Book Items Cons.'!L$5:L$3360,'J Book Items Cons.'!E$5:E$3360,7,'J Book Items Cons.'!S$5:S$3360,"[PARENT]",'J Book Items Cons.'!X$5:X$3360,"LPD",'J Book Items Cons.'!R$5:R$3360,"",'J Book Items Cons.'!N$5:N$3360,"")</f>
        <v>0</v>
      </c>
      <c r="J63" s="14">
        <f>SUMIFS('J Book Items Cons.'!R$5:R$3360,'J Book Items Cons.'!E$5:E$3360,7,'J Book Items Cons.'!S$5:S$3360,"",'J Book Items Cons.'!X$5:X$3360,"MUSV",'J Book Items Cons.'!R$5:R$3360,"&lt;&gt;")+SUMIFS('J Book Items Cons.'!N$5:N$3360,'J Book Items Cons.'!E$5:E$3360,7,'J Book Items Cons.'!S$5:S$3360,"",'J Book Items Cons.'!X$5:X$3360,"MUSV",'J Book Items Cons.'!R$5:R$3360,"",'J Book Items Cons.'!N$5:N$3360,"&lt;&gt;")+SUMIFS('J Book Items Cons.'!L$5:L$3360,'J Book Items Cons.'!E$5:E$3360,7,'J Book Items Cons.'!S$5:S$3360,"",'J Book Items Cons.'!X$5:X$3360,"MUSV",'J Book Items Cons.'!R$5:R$3360,"",'J Book Items Cons.'!N$5:N$3360,"")+SUMIFS('J Book Items Cons.'!R$5:R$3360,'J Book Items Cons.'!E$5:E$3360,7,'J Book Items Cons.'!S$5:S$3360,"[PARENT]",'J Book Items Cons.'!X$5:X$3360,"MUSV",'J Book Items Cons.'!R$5:R$3360,"&lt;&gt;")+SUMIFS('J Book Items Cons.'!N$5:N$3360,'J Book Items Cons.'!E$5:E$3360,7,'J Book Items Cons.'!S$5:S$3360,"[PARENT]",'J Book Items Cons.'!X$5:X$3360,"MUSV",'J Book Items Cons.'!R$5:R$3360,"",'J Book Items Cons.'!N$5:N$3360,"&lt;&gt;")+SUMIFS('J Book Items Cons.'!L$5:L$3360,'J Book Items Cons.'!E$5:E$3360,7,'J Book Items Cons.'!S$5:S$3360,"[PARENT]",'J Book Items Cons.'!X$5:X$3360,"MUSV",'J Book Items Cons.'!R$5:R$3360,"",'J Book Items Cons.'!N$5:N$3360,"")</f>
        <v>0</v>
      </c>
      <c r="K63" s="14">
        <f>SUMIFS('J Book Items Cons.'!R$5:R$3360,'J Book Items Cons.'!E$5:E$3360,7,'J Book Items Cons.'!S$5:S$3360,"",'J Book Items Cons.'!X$5:X$3360,"LHD",'J Book Items Cons.'!R$5:R$3360,"&lt;&gt;")+SUMIFS('J Book Items Cons.'!N$5:N$3360,'J Book Items Cons.'!E$5:E$3360,7,'J Book Items Cons.'!S$5:S$3360,"",'J Book Items Cons.'!X$5:X$3360,"LHD",'J Book Items Cons.'!R$5:R$3360,"",'J Book Items Cons.'!N$5:N$3360,"&lt;&gt;")+SUMIFS('J Book Items Cons.'!L$5:L$3360,'J Book Items Cons.'!E$5:E$3360,7,'J Book Items Cons.'!S$5:S$3360,"",'J Book Items Cons.'!X$5:X$3360,"LHD",'J Book Items Cons.'!R$5:R$3360,"",'J Book Items Cons.'!N$5:N$3360,"")+SUMIFS('J Book Items Cons.'!R$5:R$3360,'J Book Items Cons.'!E$5:E$3360,7,'J Book Items Cons.'!S$5:S$3360,"[PARENT]",'J Book Items Cons.'!X$5:X$3360,"LHD",'J Book Items Cons.'!R$5:R$3360,"&lt;&gt;")+SUMIFS('J Book Items Cons.'!N$5:N$3360,'J Book Items Cons.'!E$5:E$3360,7,'J Book Items Cons.'!S$5:S$3360,"[PARENT]",'J Book Items Cons.'!X$5:X$3360,"LHD",'J Book Items Cons.'!R$5:R$3360,"",'J Book Items Cons.'!N$5:N$3360,"&lt;&gt;")+SUMIFS('J Book Items Cons.'!L$5:L$3360,'J Book Items Cons.'!E$5:E$3360,7,'J Book Items Cons.'!S$5:S$3360,"[PARENT]",'J Book Items Cons.'!X$5:X$3360,"LHD",'J Book Items Cons.'!R$5:R$3360,"",'J Book Items Cons.'!N$5:N$3360,"")</f>
        <v>0</v>
      </c>
      <c r="L63" s="14">
        <f>SUMIFS('J Book Items Cons.'!R$5:R$3360,'J Book Items Cons.'!E$5:E$3360,7,'J Book Items Cons.'!S$5:S$3360,"",'J Book Items Cons.'!X$5:X$3360,"T-AK / T-AKR",'J Book Items Cons.'!R$5:R$3360,"&lt;&gt;")+SUMIFS('J Book Items Cons.'!N$5:N$3360,'J Book Items Cons.'!E$5:E$3360,7,'J Book Items Cons.'!S$5:S$3360,"",'J Book Items Cons.'!X$5:X$3360,"T-AK / T-AKR",'J Book Items Cons.'!R$5:R$3360,"",'J Book Items Cons.'!N$5:N$3360,"&lt;&gt;")+SUMIFS('J Book Items Cons.'!L$5:L$3360,'J Book Items Cons.'!E$5:E$3360,7,'J Book Items Cons.'!S$5:S$3360,"",'J Book Items Cons.'!X$5:X$3360,"T-AK / T-AKR",'J Book Items Cons.'!R$5:R$3360,"",'J Book Items Cons.'!N$5:N$3360,"")+SUMIFS('J Book Items Cons.'!R$5:R$3360,'J Book Items Cons.'!E$5:E$3360,7,'J Book Items Cons.'!S$5:S$3360,"[PARENT]",'J Book Items Cons.'!X$5:X$3360,"T-AK / T-AKR",'J Book Items Cons.'!R$5:R$3360,"&lt;&gt;")+SUMIFS('J Book Items Cons.'!N$5:N$3360,'J Book Items Cons.'!E$5:E$3360,7,'J Book Items Cons.'!S$5:S$3360,"[PARENT]",'J Book Items Cons.'!X$5:X$3360,"T-AK / T-AKR",'J Book Items Cons.'!R$5:R$3360,"",'J Book Items Cons.'!N$5:N$3360,"&lt;&gt;")+SUMIFS('J Book Items Cons.'!L$5:L$3360,'J Book Items Cons.'!E$5:E$3360,7,'J Book Items Cons.'!S$5:S$3360,"[PARENT]",'J Book Items Cons.'!X$5:X$3360,"T-AK / T-AKR",'J Book Items Cons.'!R$5:R$3360,"",'J Book Items Cons.'!N$5:N$3360,"")</f>
        <v>0</v>
      </c>
      <c r="M63" s="14">
        <f>SUMIFS('J Book Items Cons.'!R$5:R$3360,'J Book Items Cons.'!E$5:E$3360,7,'J Book Items Cons.'!S$5:S$3360,"",'J Book Items Cons.'!X$5:X$3360,"LHA",'J Book Items Cons.'!R$5:R$3360,"&lt;&gt;")+SUMIFS('J Book Items Cons.'!N$5:N$3360,'J Book Items Cons.'!E$5:E$3360,7,'J Book Items Cons.'!S$5:S$3360,"",'J Book Items Cons.'!X$5:X$3360,"LHA",'J Book Items Cons.'!R$5:R$3360,"",'J Book Items Cons.'!N$5:N$3360,"&lt;&gt;")+SUMIFS('J Book Items Cons.'!L$5:L$3360,'J Book Items Cons.'!E$5:E$3360,7,'J Book Items Cons.'!S$5:S$3360,"",'J Book Items Cons.'!X$5:X$3360,"LHA",'J Book Items Cons.'!R$5:R$3360,"",'J Book Items Cons.'!N$5:N$3360,"")+SUMIFS('J Book Items Cons.'!R$5:R$3360,'J Book Items Cons.'!E$5:E$3360,7,'J Book Items Cons.'!S$5:S$3360,"[PARENT]",'J Book Items Cons.'!X$5:X$3360,"LHA",'J Book Items Cons.'!R$5:R$3360,"&lt;&gt;")+SUMIFS('J Book Items Cons.'!N$5:N$3360,'J Book Items Cons.'!E$5:E$3360,7,'J Book Items Cons.'!S$5:S$3360,"[PARENT]",'J Book Items Cons.'!X$5:X$3360,"LHA",'J Book Items Cons.'!R$5:R$3360,"",'J Book Items Cons.'!N$5:N$3360,"&lt;&gt;")+SUMIFS('J Book Items Cons.'!L$5:L$3360,'J Book Items Cons.'!E$5:E$3360,7,'J Book Items Cons.'!S$5:S$3360,"[PARENT]",'J Book Items Cons.'!X$5:X$3360,"LHA",'J Book Items Cons.'!R$5:R$3360,"",'J Book Items Cons.'!N$5:N$3360,"")</f>
        <v>0</v>
      </c>
      <c r="N63" s="14">
        <f>SUMIFS('J Book Items Cons.'!R$5:R$3360,'J Book Items Cons.'!E$5:E$3360,7,'J Book Items Cons.'!S$5:S$3360,"",'J Book Items Cons.'!X$5:X$3360,"T-AGOS",'J Book Items Cons.'!R$5:R$3360,"&lt;&gt;")+SUMIFS('J Book Items Cons.'!N$5:N$3360,'J Book Items Cons.'!E$5:E$3360,7,'J Book Items Cons.'!S$5:S$3360,"",'J Book Items Cons.'!X$5:X$3360,"T-AGOS",'J Book Items Cons.'!R$5:R$3360,"",'J Book Items Cons.'!N$5:N$3360,"&lt;&gt;")+SUMIFS('J Book Items Cons.'!L$5:L$3360,'J Book Items Cons.'!E$5:E$3360,7,'J Book Items Cons.'!S$5:S$3360,"",'J Book Items Cons.'!X$5:X$3360,"T-AGOS",'J Book Items Cons.'!R$5:R$3360,"",'J Book Items Cons.'!N$5:N$3360,"")+SUMIFS('J Book Items Cons.'!R$5:R$3360,'J Book Items Cons.'!E$5:E$3360,7,'J Book Items Cons.'!S$5:S$3360,"[PARENT]",'J Book Items Cons.'!X$5:X$3360,"T-AGOS",'J Book Items Cons.'!R$5:R$3360,"&lt;&gt;")+SUMIFS('J Book Items Cons.'!N$5:N$3360,'J Book Items Cons.'!E$5:E$3360,7,'J Book Items Cons.'!S$5:S$3360,"[PARENT]",'J Book Items Cons.'!X$5:X$3360,"T-AGOS",'J Book Items Cons.'!R$5:R$3360,"",'J Book Items Cons.'!N$5:N$3360,"&lt;&gt;")+SUMIFS('J Book Items Cons.'!L$5:L$3360,'J Book Items Cons.'!E$5:E$3360,7,'J Book Items Cons.'!S$5:S$3360,"[PARENT]",'J Book Items Cons.'!X$5:X$3360,"T-AGOS",'J Book Items Cons.'!R$5:R$3360,"",'J Book Items Cons.'!N$5:N$3360,"")</f>
        <v>0</v>
      </c>
      <c r="O63" s="14">
        <f>SUMIFS('J Book Items Cons.'!R$5:R$3360,'J Book Items Cons.'!E$5:E$3360,7,'J Book Items Cons.'!S$5:S$3360,"",'J Book Items Cons.'!X$5:X$3360,"LCAC",'J Book Items Cons.'!R$5:R$3360,"&lt;&gt;")+SUMIFS('J Book Items Cons.'!N$5:N$3360,'J Book Items Cons.'!E$5:E$3360,7,'J Book Items Cons.'!S$5:S$3360,"",'J Book Items Cons.'!X$5:X$3360,"LCAC",'J Book Items Cons.'!R$5:R$3360,"",'J Book Items Cons.'!N$5:N$3360,"&lt;&gt;")+SUMIFS('J Book Items Cons.'!L$5:L$3360,'J Book Items Cons.'!E$5:E$3360,7,'J Book Items Cons.'!S$5:S$3360,"",'J Book Items Cons.'!X$5:X$3360,"LCAC",'J Book Items Cons.'!R$5:R$3360,"",'J Book Items Cons.'!N$5:N$3360,"")+SUMIFS('J Book Items Cons.'!R$5:R$3360,'J Book Items Cons.'!E$5:E$3360,7,'J Book Items Cons.'!S$5:S$3360,"[PARENT]",'J Book Items Cons.'!X$5:X$3360,"LCAC",'J Book Items Cons.'!R$5:R$3360,"&lt;&gt;")+SUMIFS('J Book Items Cons.'!N$5:N$3360,'J Book Items Cons.'!E$5:E$3360,7,'J Book Items Cons.'!S$5:S$3360,"[PARENT]",'J Book Items Cons.'!X$5:X$3360,"LCAC",'J Book Items Cons.'!R$5:R$3360,"",'J Book Items Cons.'!N$5:N$3360,"&lt;&gt;")+SUMIFS('J Book Items Cons.'!L$5:L$3360,'J Book Items Cons.'!E$5:E$3360,7,'J Book Items Cons.'!S$5:S$3360,"[PARENT]",'J Book Items Cons.'!X$5:X$3360,"LCAC",'J Book Items Cons.'!R$5:R$3360,"",'J Book Items Cons.'!N$5:N$3360,"")</f>
        <v>0</v>
      </c>
      <c r="P63" s="14">
        <f>SUMIFS('J Book Items Cons.'!R$5:R$3360,'J Book Items Cons.'!E$5:E$3360,7,'J Book Items Cons.'!S$5:S$3360,"",'J Book Items Cons.'!X$5:X$3360,"LCU",'J Book Items Cons.'!R$5:R$3360,"&lt;&gt;")+SUMIFS('J Book Items Cons.'!N$5:N$3360,'J Book Items Cons.'!E$5:E$3360,7,'J Book Items Cons.'!S$5:S$3360,"",'J Book Items Cons.'!X$5:X$3360,"LCU",'J Book Items Cons.'!R$5:R$3360,"",'J Book Items Cons.'!N$5:N$3360,"&lt;&gt;")+SUMIFS('J Book Items Cons.'!L$5:L$3360,'J Book Items Cons.'!E$5:E$3360,7,'J Book Items Cons.'!S$5:S$3360,"",'J Book Items Cons.'!X$5:X$3360,"LCU",'J Book Items Cons.'!R$5:R$3360,"",'J Book Items Cons.'!N$5:N$3360,"")+SUMIFS('J Book Items Cons.'!R$5:R$3360,'J Book Items Cons.'!E$5:E$3360,7,'J Book Items Cons.'!S$5:S$3360,"[PARENT]",'J Book Items Cons.'!X$5:X$3360,"LCU",'J Book Items Cons.'!R$5:R$3360,"&lt;&gt;")+SUMIFS('J Book Items Cons.'!N$5:N$3360,'J Book Items Cons.'!E$5:E$3360,7,'J Book Items Cons.'!S$5:S$3360,"[PARENT]",'J Book Items Cons.'!X$5:X$3360,"LCU",'J Book Items Cons.'!R$5:R$3360,"",'J Book Items Cons.'!N$5:N$3360,"&lt;&gt;")+SUMIFS('J Book Items Cons.'!L$5:L$3360,'J Book Items Cons.'!E$5:E$3360,7,'J Book Items Cons.'!S$5:S$3360,"[PARENT]",'J Book Items Cons.'!X$5:X$3360,"LCU",'J Book Items Cons.'!R$5:R$3360,"",'J Book Items Cons.'!N$5:N$3360,"")</f>
        <v>0</v>
      </c>
      <c r="Q63" s="14">
        <f>SUMIFS('J Book Items Cons.'!R$5:R$3360,'J Book Items Cons.'!E$5:E$3360,7,'J Book Items Cons.'!S$5:S$3360,"",'J Book Items Cons.'!X$5:X$3360,"SSGN",'J Book Items Cons.'!R$5:R$3360,"&lt;&gt;")+SUMIFS('J Book Items Cons.'!N$5:N$3360,'J Book Items Cons.'!E$5:E$3360,7,'J Book Items Cons.'!S$5:S$3360,"",'J Book Items Cons.'!X$5:X$3360,"SSGN",'J Book Items Cons.'!R$5:R$3360,"",'J Book Items Cons.'!N$5:N$3360,"&lt;&gt;")+SUMIFS('J Book Items Cons.'!L$5:L$3360,'J Book Items Cons.'!E$5:E$3360,7,'J Book Items Cons.'!S$5:S$3360,"",'J Book Items Cons.'!X$5:X$3360,"SSGN",'J Book Items Cons.'!R$5:R$3360,"",'J Book Items Cons.'!N$5:N$3360,"")+SUMIFS('J Book Items Cons.'!R$5:R$3360,'J Book Items Cons.'!E$5:E$3360,7,'J Book Items Cons.'!S$5:S$3360,"[PARENT]",'J Book Items Cons.'!X$5:X$3360,"SSGN",'J Book Items Cons.'!R$5:R$3360,"&lt;&gt;")+SUMIFS('J Book Items Cons.'!N$5:N$3360,'J Book Items Cons.'!E$5:E$3360,7,'J Book Items Cons.'!S$5:S$3360,"[PARENT]",'J Book Items Cons.'!X$5:X$3360,"SSGN",'J Book Items Cons.'!R$5:R$3360,"",'J Book Items Cons.'!N$5:N$3360,"&lt;&gt;")+SUMIFS('J Book Items Cons.'!L$5:L$3360,'J Book Items Cons.'!E$5:E$3360,7,'J Book Items Cons.'!S$5:S$3360,"[PARENT]",'J Book Items Cons.'!X$5:X$3360,"SSGN",'J Book Items Cons.'!R$5:R$3360,"",'J Book Items Cons.'!N$5:N$3360,"")</f>
        <v>0</v>
      </c>
      <c r="R63" s="14">
        <f>SUMIFS('J Book Items Cons.'!R$5:R$3360,'J Book Items Cons.'!E$5:E$3360,7,'J Book Items Cons.'!S$5:S$3360,"",'J Book Items Cons.'!X$5:X$3360,"UUV",'J Book Items Cons.'!R$5:R$3360,"&lt;&gt;")+SUMIFS('J Book Items Cons.'!N$5:N$3360,'J Book Items Cons.'!E$5:E$3360,7,'J Book Items Cons.'!S$5:S$3360,"",'J Book Items Cons.'!X$5:X$3360,"UUV",'J Book Items Cons.'!R$5:R$3360,"",'J Book Items Cons.'!N$5:N$3360,"&lt;&gt;")+SUMIFS('J Book Items Cons.'!L$5:L$3360,'J Book Items Cons.'!E$5:E$3360,7,'J Book Items Cons.'!S$5:S$3360,"",'J Book Items Cons.'!X$5:X$3360,"UUV",'J Book Items Cons.'!R$5:R$3360,"",'J Book Items Cons.'!N$5:N$3360,"")+SUMIFS('J Book Items Cons.'!R$5:R$3360,'J Book Items Cons.'!E$5:E$3360,7,'J Book Items Cons.'!S$5:S$3360,"[PARENT]",'J Book Items Cons.'!X$5:X$3360,"UUV",'J Book Items Cons.'!R$5:R$3360,"&lt;&gt;")+SUMIFS('J Book Items Cons.'!N$5:N$3360,'J Book Items Cons.'!E$5:E$3360,7,'J Book Items Cons.'!S$5:S$3360,"[PARENT]",'J Book Items Cons.'!X$5:X$3360,"UUV",'J Book Items Cons.'!R$5:R$3360,"",'J Book Items Cons.'!N$5:N$3360,"&lt;&gt;")+SUMIFS('J Book Items Cons.'!L$5:L$3360,'J Book Items Cons.'!E$5:E$3360,7,'J Book Items Cons.'!S$5:S$3360,"[PARENT]",'J Book Items Cons.'!X$5:X$3360,"UUV",'J Book Items Cons.'!R$5:R$3360,"",'J Book Items Cons.'!N$5:N$3360,"")</f>
        <v>0</v>
      </c>
      <c r="S63" s="14">
        <f>SUMIFS('J Book Items Cons.'!R$5:R$3360,'J Book Items Cons.'!E$5:E$3360,7,'J Book Items Cons.'!S$5:S$3360,"",'J Book Items Cons.'!X$5:X$3360,"CG",'J Book Items Cons.'!R$5:R$3360,"&lt;&gt;")+SUMIFS('J Book Items Cons.'!N$5:N$3360,'J Book Items Cons.'!E$5:E$3360,7,'J Book Items Cons.'!S$5:S$3360,"",'J Book Items Cons.'!X$5:X$3360,"CG",'J Book Items Cons.'!R$5:R$3360,"",'J Book Items Cons.'!N$5:N$3360,"&lt;&gt;")+SUMIFS('J Book Items Cons.'!L$5:L$3360,'J Book Items Cons.'!E$5:E$3360,7,'J Book Items Cons.'!S$5:S$3360,"",'J Book Items Cons.'!X$5:X$3360,"CG",'J Book Items Cons.'!R$5:R$3360,"",'J Book Items Cons.'!N$5:N$3360,"")+SUMIFS('J Book Items Cons.'!R$5:R$3360,'J Book Items Cons.'!E$5:E$3360,7,'J Book Items Cons.'!S$5:S$3360,"[PARENT]",'J Book Items Cons.'!X$5:X$3360,"CG",'J Book Items Cons.'!R$5:R$3360,"&lt;&gt;")+SUMIFS('J Book Items Cons.'!N$5:N$3360,'J Book Items Cons.'!E$5:E$3360,7,'J Book Items Cons.'!S$5:S$3360,"[PARENT]",'J Book Items Cons.'!X$5:X$3360,"CG",'J Book Items Cons.'!R$5:R$3360,"",'J Book Items Cons.'!N$5:N$3360,"&lt;&gt;")+SUMIFS('J Book Items Cons.'!L$5:L$3360,'J Book Items Cons.'!E$5:E$3360,7,'J Book Items Cons.'!S$5:S$3360,"[PARENT]",'J Book Items Cons.'!X$5:X$3360,"CG",'J Book Items Cons.'!R$5:R$3360,"",'J Book Items Cons.'!N$5:N$3360,"")</f>
        <v>0</v>
      </c>
      <c r="T63" s="14">
        <f>SUMIFS('J Book Items Cons.'!R$5:R$3360,'J Book Items Cons.'!E$5:E$3360,7,'J Book Items Cons.'!S$5:S$3360,"",'J Book Items Cons.'!X$5:X$3360,"LSD",'J Book Items Cons.'!R$5:R$3360,"&lt;&gt;")+SUMIFS('J Book Items Cons.'!N$5:N$3360,'J Book Items Cons.'!E$5:E$3360,7,'J Book Items Cons.'!S$5:S$3360,"",'J Book Items Cons.'!X$5:X$3360,"LSD",'J Book Items Cons.'!R$5:R$3360,"",'J Book Items Cons.'!N$5:N$3360,"&lt;&gt;")+SUMIFS('J Book Items Cons.'!L$5:L$3360,'J Book Items Cons.'!E$5:E$3360,7,'J Book Items Cons.'!S$5:S$3360,"",'J Book Items Cons.'!X$5:X$3360,"LSD",'J Book Items Cons.'!R$5:R$3360,"",'J Book Items Cons.'!N$5:N$3360,"")+SUMIFS('J Book Items Cons.'!R$5:R$3360,'J Book Items Cons.'!E$5:E$3360,7,'J Book Items Cons.'!S$5:S$3360,"[PARENT]",'J Book Items Cons.'!X$5:X$3360,"LSD",'J Book Items Cons.'!R$5:R$3360,"&lt;&gt;")+SUMIFS('J Book Items Cons.'!N$5:N$3360,'J Book Items Cons.'!E$5:E$3360,7,'J Book Items Cons.'!S$5:S$3360,"[PARENT]",'J Book Items Cons.'!X$5:X$3360,"LSD",'J Book Items Cons.'!R$5:R$3360,"",'J Book Items Cons.'!N$5:N$3360,"&lt;&gt;")+SUMIFS('J Book Items Cons.'!L$5:L$3360,'J Book Items Cons.'!E$5:E$3360,7,'J Book Items Cons.'!S$5:S$3360,"[PARENT]",'J Book Items Cons.'!X$5:X$3360,"LSD",'J Book Items Cons.'!R$5:R$3360,"",'J Book Items Cons.'!N$5:N$3360,"")</f>
        <v>0</v>
      </c>
      <c r="U63" s="14">
        <f>SUMIFS('J Book Items Cons.'!R$5:R$3360,'J Book Items Cons.'!E$5:E$3360,7,'J Book Items Cons.'!S$5:S$3360,"",'J Book Items Cons.'!X$5:X$3360,"ESB",'J Book Items Cons.'!R$5:R$3360,"&lt;&gt;")+SUMIFS('J Book Items Cons.'!N$5:N$3360,'J Book Items Cons.'!E$5:E$3360,7,'J Book Items Cons.'!S$5:S$3360,"",'J Book Items Cons.'!X$5:X$3360,"ESB",'J Book Items Cons.'!R$5:R$3360,"",'J Book Items Cons.'!N$5:N$3360,"&lt;&gt;")+SUMIFS('J Book Items Cons.'!L$5:L$3360,'J Book Items Cons.'!E$5:E$3360,7,'J Book Items Cons.'!S$5:S$3360,"",'J Book Items Cons.'!X$5:X$3360,"ESB",'J Book Items Cons.'!R$5:R$3360,"",'J Book Items Cons.'!N$5:N$3360,"")+SUMIFS('J Book Items Cons.'!R$5:R$3360,'J Book Items Cons.'!E$5:E$3360,7,'J Book Items Cons.'!S$5:S$3360,"[PARENT]",'J Book Items Cons.'!X$5:X$3360,"ESB",'J Book Items Cons.'!R$5:R$3360,"&lt;&gt;")+SUMIFS('J Book Items Cons.'!N$5:N$3360,'J Book Items Cons.'!E$5:E$3360,7,'J Book Items Cons.'!S$5:S$3360,"[PARENT]",'J Book Items Cons.'!X$5:X$3360,"ESB",'J Book Items Cons.'!R$5:R$3360,"",'J Book Items Cons.'!N$5:N$3360,"&lt;&gt;")+SUMIFS('J Book Items Cons.'!L$5:L$3360,'J Book Items Cons.'!E$5:E$3360,7,'J Book Items Cons.'!S$5:S$3360,"[PARENT]",'J Book Items Cons.'!X$5:X$3360,"ESB",'J Book Items Cons.'!R$5:R$3360,"",'J Book Items Cons.'!N$5:N$3360,"")</f>
        <v>38073</v>
      </c>
      <c r="V63" s="14">
        <f>SUMIFS('J Book Items Cons.'!R$5:R$3360,'J Book Items Cons.'!E$5:E$3360,7,'J Book Items Cons.'!S$5:S$3360,"",'J Book Items Cons.'!X$5:X$3360,"LCC",'J Book Items Cons.'!R$5:R$3360,"&lt;&gt;")+SUMIFS('J Book Items Cons.'!N$5:N$3360,'J Book Items Cons.'!E$5:E$3360,7,'J Book Items Cons.'!S$5:S$3360,"",'J Book Items Cons.'!X$5:X$3360,"LCC",'J Book Items Cons.'!R$5:R$3360,"",'J Book Items Cons.'!N$5:N$3360,"&lt;&gt;")+SUMIFS('J Book Items Cons.'!L$5:L$3360,'J Book Items Cons.'!E$5:E$3360,7,'J Book Items Cons.'!S$5:S$3360,"",'J Book Items Cons.'!X$5:X$3360,"LCC",'J Book Items Cons.'!R$5:R$3360,"",'J Book Items Cons.'!N$5:N$3360,"")+SUMIFS('J Book Items Cons.'!R$5:R$3360,'J Book Items Cons.'!E$5:E$3360,7,'J Book Items Cons.'!S$5:S$3360,"[PARENT]",'J Book Items Cons.'!X$5:X$3360,"LCC",'J Book Items Cons.'!R$5:R$3360,"&lt;&gt;")+SUMIFS('J Book Items Cons.'!N$5:N$3360,'J Book Items Cons.'!E$5:E$3360,7,'J Book Items Cons.'!S$5:S$3360,"[PARENT]",'J Book Items Cons.'!X$5:X$3360,"LCC",'J Book Items Cons.'!R$5:R$3360,"",'J Book Items Cons.'!N$5:N$3360,"&lt;&gt;")+SUMIFS('J Book Items Cons.'!L$5:L$3360,'J Book Items Cons.'!E$5:E$3360,7,'J Book Items Cons.'!S$5:S$3360,"[PARENT]",'J Book Items Cons.'!X$5:X$3360,"LCC",'J Book Items Cons.'!R$5:R$3360,"",'J Book Items Cons.'!N$5:N$3360,"")</f>
        <v>0</v>
      </c>
      <c r="W63" s="14">
        <f>SUMIFS('J Book Items Cons.'!R$5:R$3360,'J Book Items Cons.'!E$5:E$3360,7,'J Book Items Cons.'!S$5:S$3360,"",'J Book Items Cons.'!X$5:X$3360,"MCM",'J Book Items Cons.'!R$5:R$3360,"&lt;&gt;")+SUMIFS('J Book Items Cons.'!N$5:N$3360,'J Book Items Cons.'!E$5:E$3360,7,'J Book Items Cons.'!S$5:S$3360,"",'J Book Items Cons.'!X$5:X$3360,"MCM",'J Book Items Cons.'!R$5:R$3360,"",'J Book Items Cons.'!N$5:N$3360,"&lt;&gt;")+SUMIFS('J Book Items Cons.'!L$5:L$3360,'J Book Items Cons.'!E$5:E$3360,7,'J Book Items Cons.'!S$5:S$3360,"",'J Book Items Cons.'!X$5:X$3360,"MCM",'J Book Items Cons.'!R$5:R$3360,"",'J Book Items Cons.'!N$5:N$3360,"")+SUMIFS('J Book Items Cons.'!R$5:R$3360,'J Book Items Cons.'!E$5:E$3360,7,'J Book Items Cons.'!S$5:S$3360,"[PARENT]",'J Book Items Cons.'!X$5:X$3360,"MCM",'J Book Items Cons.'!R$5:R$3360,"&lt;&gt;")+SUMIFS('J Book Items Cons.'!N$5:N$3360,'J Book Items Cons.'!E$5:E$3360,7,'J Book Items Cons.'!S$5:S$3360,"[PARENT]",'J Book Items Cons.'!X$5:X$3360,"MCM",'J Book Items Cons.'!R$5:R$3360,"",'J Book Items Cons.'!N$5:N$3360,"&lt;&gt;")+SUMIFS('J Book Items Cons.'!L$5:L$3360,'J Book Items Cons.'!E$5:E$3360,7,'J Book Items Cons.'!S$5:S$3360,"[PARENT]",'J Book Items Cons.'!X$5:X$3360,"MCM",'J Book Items Cons.'!R$5:R$3360,"",'J Book Items Cons.'!N$5:N$3360,"")</f>
        <v>0</v>
      </c>
      <c r="X63" s="26">
        <f>SUMIFS('J Book Items Cons.'!R$5:R$3360,'J Book Items Cons.'!E$5:E$3360,7,'J Book Items Cons.'!S$5:S$3360,"",'J Book Items Cons.'!X$5:X$3360,"PC",'J Book Items Cons.'!R$5:R$3360,"&lt;&gt;")+SUMIFS('J Book Items Cons.'!N$5:N$3360,'J Book Items Cons.'!E$5:E$3360,7,'J Book Items Cons.'!S$5:S$3360,"",'J Book Items Cons.'!X$5:X$3360,"PC",'J Book Items Cons.'!R$5:R$3360,"",'J Book Items Cons.'!N$5:N$3360,"&lt;&gt;")+SUMIFS('J Book Items Cons.'!L$5:L$3360,'J Book Items Cons.'!E$5:E$3360,7,'J Book Items Cons.'!S$5:S$3360,"",'J Book Items Cons.'!X$5:X$3360,"PC",'J Book Items Cons.'!R$5:R$3360,"",'J Book Items Cons.'!N$5:N$3360,"")+SUMIFS('J Book Items Cons.'!R$5:R$3360,'J Book Items Cons.'!E$5:E$3360,7,'J Book Items Cons.'!S$5:S$3360,"[PARENT]",'J Book Items Cons.'!X$5:X$3360,"PC",'J Book Items Cons.'!R$5:R$3360,"&lt;&gt;")+SUMIFS('J Book Items Cons.'!N$5:N$3360,'J Book Items Cons.'!E$5:E$3360,7,'J Book Items Cons.'!S$5:S$3360,"[PARENT]",'J Book Items Cons.'!X$5:X$3360,"PC",'J Book Items Cons.'!R$5:R$3360,"",'J Book Items Cons.'!N$5:N$3360,"&lt;&gt;")+SUMIFS('J Book Items Cons.'!L$5:L$3360,'J Book Items Cons.'!E$5:E$3360,7,'J Book Items Cons.'!S$5:S$3360,"[PARENT]",'J Book Items Cons.'!X$5:X$3360,"PC",'J Book Items Cons.'!R$5:R$3360,"",'J Book Items Cons.'!N$5:N$3360,"")</f>
        <v>0</v>
      </c>
      <c r="Y63" s="25">
        <f>SUMIFS('J Book Items Cons.'!R$5:R$3360,'J Book Items Cons.'!E$5:E$3360,7,'J Book Items Cons.'!S$5:S$3360,"",'J Book Items Cons.'!X$5:X$3360,"WMSM",'J Book Items Cons.'!R$5:R$3360,"&lt;&gt;")+SUMIFS('J Book Items Cons.'!N$5:N$3360,'J Book Items Cons.'!E$5:E$3360,7,'J Book Items Cons.'!S$5:S$3360,"",'J Book Items Cons.'!X$5:X$3360,"WMSM",'J Book Items Cons.'!R$5:R$3360,"",'J Book Items Cons.'!N$5:N$3360,"&lt;&gt;")+SUMIFS('J Book Items Cons.'!L$5:L$3360,'J Book Items Cons.'!E$5:E$3360,7,'J Book Items Cons.'!S$5:S$3360,"",'J Book Items Cons.'!X$5:X$3360,"WMSM",'J Book Items Cons.'!R$5:R$3360,"",'J Book Items Cons.'!N$5:N$3360,"")+SUMIFS('J Book Items Cons.'!R$5:R$3360,'J Book Items Cons.'!E$5:E$3360,7,'J Book Items Cons.'!S$5:S$3360,"[PARENT]",'J Book Items Cons.'!X$5:X$3360,"WMSM",'J Book Items Cons.'!R$5:R$3360,"&lt;&gt;")+SUMIFS('J Book Items Cons.'!N$5:N$3360,'J Book Items Cons.'!E$5:E$3360,7,'J Book Items Cons.'!S$5:S$3360,"[PARENT]",'J Book Items Cons.'!X$5:X$3360,"WMSM",'J Book Items Cons.'!R$5:R$3360,"",'J Book Items Cons.'!N$5:N$3360,"&lt;&gt;")+SUMIFS('J Book Items Cons.'!L$5:L$3360,'J Book Items Cons.'!E$5:E$3360,7,'J Book Items Cons.'!S$5:S$3360,"[PARENT]",'J Book Items Cons.'!X$5:X$3360,"WMSM",'J Book Items Cons.'!R$5:R$3360,"",'J Book Items Cons.'!N$5:N$3360,"")</f>
        <v>0</v>
      </c>
      <c r="Z63" s="14">
        <f>SUMIFS('J Book Items Cons.'!R$5:R$3360,'J Book Items Cons.'!E$5:E$3360,7,'J Book Items Cons.'!S$5:S$3360,"",'J Book Items Cons.'!X$5:X$3360,"WPC",'J Book Items Cons.'!R$5:R$3360,"&lt;&gt;")+SUMIFS('J Book Items Cons.'!N$5:N$3360,'J Book Items Cons.'!E$5:E$3360,7,'J Book Items Cons.'!S$5:S$3360,"",'J Book Items Cons.'!X$5:X$3360,"WPC",'J Book Items Cons.'!R$5:R$3360,"",'J Book Items Cons.'!N$5:N$3360,"&lt;&gt;")+SUMIFS('J Book Items Cons.'!L$5:L$3360,'J Book Items Cons.'!E$5:E$3360,7,'J Book Items Cons.'!S$5:S$3360,"",'J Book Items Cons.'!X$5:X$3360,"WPC",'J Book Items Cons.'!R$5:R$3360,"",'J Book Items Cons.'!N$5:N$3360,"")+SUMIFS('J Book Items Cons.'!R$5:R$3360,'J Book Items Cons.'!E$5:E$3360,7,'J Book Items Cons.'!S$5:S$3360,"[PARENT]",'J Book Items Cons.'!X$5:X$3360,"WPC",'J Book Items Cons.'!R$5:R$3360,"&lt;&gt;")+SUMIFS('J Book Items Cons.'!N$5:N$3360,'J Book Items Cons.'!E$5:E$3360,7,'J Book Items Cons.'!S$5:S$3360,"[PARENT]",'J Book Items Cons.'!X$5:X$3360,"WPC",'J Book Items Cons.'!R$5:R$3360,"",'J Book Items Cons.'!N$5:N$3360,"&lt;&gt;")+SUMIFS('J Book Items Cons.'!L$5:L$3360,'J Book Items Cons.'!E$5:E$3360,7,'J Book Items Cons.'!S$5:S$3360,"[PARENT]",'J Book Items Cons.'!X$5:X$3360,"WPC",'J Book Items Cons.'!R$5:R$3360,"",'J Book Items Cons.'!N$5:N$3360,"")</f>
        <v>0</v>
      </c>
      <c r="AA63" s="14">
        <f>SUMIFS('J Book Items Cons.'!R$5:R$3360,'J Book Items Cons.'!E$5:E$3360,7,'J Book Items Cons.'!S$5:S$3360,"",'J Book Items Cons.'!X$5:X$3360,"WAGB",'J Book Items Cons.'!R$5:R$3360,"&lt;&gt;")+SUMIFS('J Book Items Cons.'!N$5:N$3360,'J Book Items Cons.'!E$5:E$3360,7,'J Book Items Cons.'!S$5:S$3360,"",'J Book Items Cons.'!X$5:X$3360,"WAGB",'J Book Items Cons.'!R$5:R$3360,"",'J Book Items Cons.'!N$5:N$3360,"&lt;&gt;")+SUMIFS('J Book Items Cons.'!L$5:L$3360,'J Book Items Cons.'!E$5:E$3360,7,'J Book Items Cons.'!S$5:S$3360,"",'J Book Items Cons.'!X$5:X$3360,"WAGB",'J Book Items Cons.'!R$5:R$3360,"",'J Book Items Cons.'!N$5:N$3360,"")+SUMIFS('J Book Items Cons.'!R$5:R$3360,'J Book Items Cons.'!E$5:E$3360,7,'J Book Items Cons.'!S$5:S$3360,"[PARENT]",'J Book Items Cons.'!X$5:X$3360,"WAGB",'J Book Items Cons.'!R$5:R$3360,"&lt;&gt;")+SUMIFS('J Book Items Cons.'!N$5:N$3360,'J Book Items Cons.'!E$5:E$3360,7,'J Book Items Cons.'!S$5:S$3360,"[PARENT]",'J Book Items Cons.'!X$5:X$3360,"WAGB",'J Book Items Cons.'!R$5:R$3360,"",'J Book Items Cons.'!N$5:N$3360,"&lt;&gt;")+SUMIFS('J Book Items Cons.'!L$5:L$3360,'J Book Items Cons.'!E$5:E$3360,7,'J Book Items Cons.'!S$5:S$3360,"[PARENT]",'J Book Items Cons.'!X$5:X$3360,"WAGB",'J Book Items Cons.'!R$5:R$3360,"",'J Book Items Cons.'!N$5:N$3360,"")</f>
        <v>0</v>
      </c>
      <c r="AB63" s="14">
        <f>SUMIFS('J Book Items Cons.'!R$5:R$3360,'J Book Items Cons.'!E$5:E$3360,7,'J Book Items Cons.'!S$5:S$3360,"",'J Book Items Cons.'!X$5:X$3360,"WCC",'J Book Items Cons.'!R$5:R$3360,"&lt;&gt;")+SUMIFS('J Book Items Cons.'!N$5:N$3360,'J Book Items Cons.'!E$5:E$3360,7,'J Book Items Cons.'!S$5:S$3360,"",'J Book Items Cons.'!X$5:X$3360,"WCC",'J Book Items Cons.'!R$5:R$3360,"",'J Book Items Cons.'!N$5:N$3360,"&lt;&gt;")+SUMIFS('J Book Items Cons.'!L$5:L$3360,'J Book Items Cons.'!E$5:E$3360,7,'J Book Items Cons.'!S$5:S$3360,"",'J Book Items Cons.'!X$5:X$3360,"WCC",'J Book Items Cons.'!R$5:R$3360,"",'J Book Items Cons.'!N$5:N$3360,"")+SUMIFS('J Book Items Cons.'!R$5:R$3360,'J Book Items Cons.'!E$5:E$3360,7,'J Book Items Cons.'!S$5:S$3360,"[PARENT]",'J Book Items Cons.'!X$5:X$3360,"WCC",'J Book Items Cons.'!R$5:R$3360,"&lt;&gt;")+SUMIFS('J Book Items Cons.'!N$5:N$3360,'J Book Items Cons.'!E$5:E$3360,7,'J Book Items Cons.'!S$5:S$3360,"[PARENT]",'J Book Items Cons.'!X$5:X$3360,"WCC",'J Book Items Cons.'!R$5:R$3360,"",'J Book Items Cons.'!N$5:N$3360,"&lt;&gt;")+SUMIFS('J Book Items Cons.'!L$5:L$3360,'J Book Items Cons.'!E$5:E$3360,7,'J Book Items Cons.'!S$5:S$3360,"[PARENT]",'J Book Items Cons.'!X$5:X$3360,"WCC",'J Book Items Cons.'!R$5:R$3360,"",'J Book Items Cons.'!N$5:N$3360,"")</f>
        <v>0</v>
      </c>
      <c r="AC63" s="26">
        <f>SUMIFS('J Book Items Cons.'!R$5:R$3360,'J Book Items Cons.'!E$5:E$3360,7,'J Book Items Cons.'!S$5:S$3360,"",'J Book Items Cons.'!X$5:X$3360,"WMSL",'J Book Items Cons.'!R$5:R$3360,"&lt;&gt;")+SUMIFS('J Book Items Cons.'!N$5:N$3360,'J Book Items Cons.'!E$5:E$3360,7,'J Book Items Cons.'!S$5:S$3360,"",'J Book Items Cons.'!X$5:X$3360,"WMSL",'J Book Items Cons.'!R$5:R$3360,"",'J Book Items Cons.'!N$5:N$3360,"&lt;&gt;")+SUMIFS('J Book Items Cons.'!L$5:L$3360,'J Book Items Cons.'!E$5:E$3360,7,'J Book Items Cons.'!S$5:S$3360,"",'J Book Items Cons.'!X$5:X$3360,"WMSL",'J Book Items Cons.'!R$5:R$3360,"",'J Book Items Cons.'!N$5:N$3360,"")+SUMIFS('J Book Items Cons.'!R$5:R$3360,'J Book Items Cons.'!E$5:E$3360,7,'J Book Items Cons.'!S$5:S$3360,"[PARENT]",'J Book Items Cons.'!X$5:X$3360,"WMSL",'J Book Items Cons.'!R$5:R$3360,"&lt;&gt;")+SUMIFS('J Book Items Cons.'!N$5:N$3360,'J Book Items Cons.'!E$5:E$3360,7,'J Book Items Cons.'!S$5:S$3360,"[PARENT]",'J Book Items Cons.'!X$5:X$3360,"WMSL",'J Book Items Cons.'!R$5:R$3360,"",'J Book Items Cons.'!N$5:N$3360,"&lt;&gt;")+SUMIFS('J Book Items Cons.'!L$5:L$3360,'J Book Items Cons.'!E$5:E$3360,7,'J Book Items Cons.'!S$5:S$3360,"[PARENT]",'J Book Items Cons.'!X$5:X$3360,"WMSL",'J Book Items Cons.'!R$5:R$3360,"",'J Book Items Cons.'!N$5:N$3360,"")</f>
        <v>0</v>
      </c>
      <c r="AD63" s="14">
        <f t="shared" si="5"/>
        <v>38073</v>
      </c>
    </row>
    <row r="64" spans="1:42" ht="10.5" customHeight="1" x14ac:dyDescent="0.15">
      <c r="A64" s="15" t="s">
        <v>8831</v>
      </c>
      <c r="B64" s="28">
        <f t="shared" ref="B64:AD64" si="6">SUM(B57:B63)</f>
        <v>17717640</v>
      </c>
      <c r="C64" s="16">
        <f t="shared" si="6"/>
        <v>13564016</v>
      </c>
      <c r="D64" s="16">
        <f t="shared" si="6"/>
        <v>11779001</v>
      </c>
      <c r="E64" s="16">
        <f t="shared" si="6"/>
        <v>8445164</v>
      </c>
      <c r="F64" s="16">
        <f t="shared" si="6"/>
        <v>2763941</v>
      </c>
      <c r="G64" s="16">
        <f t="shared" si="6"/>
        <v>1861705</v>
      </c>
      <c r="H64" s="16">
        <f t="shared" si="6"/>
        <v>1399641</v>
      </c>
      <c r="I64" s="16">
        <f t="shared" si="6"/>
        <v>1397026</v>
      </c>
      <c r="J64" s="16">
        <f t="shared" si="6"/>
        <v>1325714</v>
      </c>
      <c r="K64" s="16">
        <f t="shared" si="6"/>
        <v>1101686</v>
      </c>
      <c r="L64" s="16">
        <f t="shared" si="6"/>
        <v>890000</v>
      </c>
      <c r="M64" s="16">
        <f t="shared" si="6"/>
        <v>692040</v>
      </c>
      <c r="N64" s="16">
        <f t="shared" si="6"/>
        <v>643374</v>
      </c>
      <c r="O64" s="16">
        <f t="shared" si="6"/>
        <v>624758</v>
      </c>
      <c r="P64" s="16">
        <f t="shared" si="6"/>
        <v>296623</v>
      </c>
      <c r="Q64" s="16">
        <f t="shared" si="6"/>
        <v>225151</v>
      </c>
      <c r="R64" s="16">
        <f t="shared" si="6"/>
        <v>209234</v>
      </c>
      <c r="S64" s="16">
        <f t="shared" si="6"/>
        <v>166410</v>
      </c>
      <c r="T64" s="16">
        <f t="shared" si="6"/>
        <v>124431</v>
      </c>
      <c r="U64" s="16">
        <f t="shared" si="6"/>
        <v>61735</v>
      </c>
      <c r="V64" s="16">
        <f t="shared" si="6"/>
        <v>41448</v>
      </c>
      <c r="W64" s="16">
        <f t="shared" si="6"/>
        <v>24349</v>
      </c>
      <c r="X64" s="29">
        <f t="shared" si="6"/>
        <v>9</v>
      </c>
      <c r="Y64" s="28">
        <f t="shared" si="6"/>
        <v>812400</v>
      </c>
      <c r="Z64" s="16">
        <f t="shared" si="6"/>
        <v>216000</v>
      </c>
      <c r="AA64" s="16">
        <f t="shared" si="6"/>
        <v>130000</v>
      </c>
      <c r="AB64" s="16">
        <f t="shared" si="6"/>
        <v>98000</v>
      </c>
      <c r="AC64" s="29">
        <f t="shared" si="6"/>
        <v>31000</v>
      </c>
      <c r="AD64" s="16">
        <f t="shared" si="6"/>
        <v>66642496</v>
      </c>
      <c r="AE64" s="36"/>
      <c r="AF64" s="36"/>
      <c r="AG64" s="36"/>
      <c r="AH64" s="36"/>
      <c r="AI64" s="36"/>
      <c r="AJ64" s="36"/>
      <c r="AK64" s="36"/>
      <c r="AL64" s="36"/>
      <c r="AM64" s="36"/>
      <c r="AN64" s="36"/>
      <c r="AO64" s="36"/>
      <c r="AP64" s="36"/>
    </row>
    <row r="65" spans="1:42" ht="10.5" customHeight="1" x14ac:dyDescent="0.15">
      <c r="U65" s="36"/>
      <c r="V65" s="36"/>
      <c r="W65" s="36"/>
      <c r="X65" s="36"/>
      <c r="Y65" s="36"/>
      <c r="AD65" s="36"/>
      <c r="AE65" s="36"/>
      <c r="AF65" s="36"/>
      <c r="AG65" s="36"/>
      <c r="AH65" s="36"/>
      <c r="AI65" s="36"/>
      <c r="AJ65" s="36"/>
      <c r="AK65" s="36"/>
      <c r="AL65" s="36"/>
      <c r="AM65" s="36"/>
      <c r="AN65" s="36"/>
      <c r="AO65" s="36"/>
      <c r="AP65" s="36"/>
    </row>
    <row r="66" spans="1:42" ht="9.75" customHeight="1" x14ac:dyDescent="0.15">
      <c r="U66" s="36"/>
      <c r="V66" s="36"/>
      <c r="W66" s="36"/>
      <c r="X66" s="36"/>
      <c r="Y66" s="36"/>
      <c r="AD66" s="36"/>
      <c r="AE66" s="36"/>
      <c r="AF66" s="36"/>
      <c r="AG66" s="36"/>
      <c r="AH66" s="36"/>
      <c r="AI66" s="36"/>
      <c r="AJ66" s="36"/>
      <c r="AK66" s="36"/>
      <c r="AL66" s="36"/>
      <c r="AM66" s="36"/>
      <c r="AN66" s="36"/>
      <c r="AO66" s="36"/>
      <c r="AP66" s="36"/>
    </row>
    <row r="67" spans="1:42" ht="9.75" customHeight="1" x14ac:dyDescent="0.15">
      <c r="A67" s="11" t="s">
        <v>8848</v>
      </c>
      <c r="B67" s="11"/>
      <c r="C67" s="11"/>
      <c r="D67" s="11"/>
      <c r="E67" s="11"/>
      <c r="F67" s="11"/>
      <c r="G67" s="11"/>
      <c r="H67" s="11"/>
      <c r="I67" s="11"/>
      <c r="J67" s="11"/>
      <c r="K67" s="11"/>
      <c r="L67" s="11"/>
      <c r="M67" s="11"/>
      <c r="N67" s="11"/>
      <c r="O67" s="11"/>
      <c r="P67" s="11"/>
      <c r="Q67" s="11"/>
      <c r="R67" s="11"/>
      <c r="S67" s="11"/>
      <c r="T67" s="11"/>
      <c r="U67" s="36"/>
      <c r="V67" s="36"/>
      <c r="W67" s="36"/>
      <c r="X67" s="36"/>
      <c r="Y67" s="36"/>
      <c r="AD67" s="36"/>
      <c r="AE67" s="36"/>
      <c r="AF67" s="36"/>
      <c r="AG67" s="36"/>
      <c r="AH67" s="36"/>
      <c r="AI67" s="36"/>
      <c r="AJ67" s="36"/>
      <c r="AK67" s="36"/>
      <c r="AL67" s="36"/>
      <c r="AM67" s="36"/>
      <c r="AN67" s="36"/>
      <c r="AO67" s="36"/>
      <c r="AP67" s="36"/>
    </row>
    <row r="68" spans="1:42" ht="9.75" customHeight="1" x14ac:dyDescent="0.15">
      <c r="A68" s="31"/>
      <c r="B68" s="32" t="s">
        <v>44</v>
      </c>
      <c r="C68" s="33"/>
      <c r="D68" s="33"/>
      <c r="E68" s="33"/>
      <c r="F68" s="33"/>
      <c r="G68" s="33"/>
      <c r="H68" s="33"/>
      <c r="I68" s="33"/>
      <c r="J68" s="33"/>
      <c r="K68" s="33"/>
      <c r="L68" s="33"/>
      <c r="M68" s="33"/>
      <c r="N68" s="34"/>
      <c r="O68" s="32" t="s">
        <v>7086</v>
      </c>
      <c r="P68" s="33"/>
      <c r="Q68" s="33"/>
      <c r="R68" s="33"/>
      <c r="S68" s="34"/>
      <c r="T68" s="31"/>
      <c r="U68" s="36"/>
      <c r="V68" s="36"/>
      <c r="W68" s="36"/>
      <c r="X68" s="36"/>
      <c r="Y68" s="36"/>
      <c r="AD68" s="36"/>
      <c r="AE68" s="36"/>
      <c r="AF68" s="36"/>
      <c r="AG68" s="36"/>
      <c r="AH68" s="36"/>
      <c r="AI68" s="36"/>
      <c r="AJ68" s="36"/>
      <c r="AK68" s="36"/>
      <c r="AL68" s="36"/>
      <c r="AM68" s="36"/>
      <c r="AN68" s="36"/>
      <c r="AO68" s="36"/>
      <c r="AP68" s="36"/>
    </row>
    <row r="69" spans="1:42" ht="9.75" customHeight="1" x14ac:dyDescent="0.15">
      <c r="A69" s="12" t="s">
        <v>8820</v>
      </c>
      <c r="B69" s="22" t="s">
        <v>46</v>
      </c>
      <c r="C69" s="12" t="s">
        <v>130</v>
      </c>
      <c r="D69" s="12" t="s">
        <v>67</v>
      </c>
      <c r="E69" s="12" t="s">
        <v>171</v>
      </c>
      <c r="F69" s="12" t="s">
        <v>211</v>
      </c>
      <c r="G69" s="12" t="s">
        <v>8836</v>
      </c>
      <c r="H69" s="12" t="s">
        <v>5560</v>
      </c>
      <c r="I69" s="12" t="s">
        <v>282</v>
      </c>
      <c r="J69" s="12" t="s">
        <v>8837</v>
      </c>
      <c r="K69" s="12" t="s">
        <v>8838</v>
      </c>
      <c r="L69" s="12" t="s">
        <v>4768</v>
      </c>
      <c r="M69" s="12" t="s">
        <v>4977</v>
      </c>
      <c r="N69" s="23" t="s">
        <v>4779</v>
      </c>
      <c r="O69" s="22" t="s">
        <v>8649</v>
      </c>
      <c r="P69" s="12" t="s">
        <v>8657</v>
      </c>
      <c r="Q69" s="12" t="s">
        <v>8668</v>
      </c>
      <c r="R69" s="12" t="s">
        <v>8682</v>
      </c>
      <c r="S69" s="23" t="s">
        <v>7088</v>
      </c>
      <c r="T69" s="13" t="s">
        <v>8831</v>
      </c>
      <c r="U69" s="36"/>
      <c r="V69" s="36"/>
      <c r="W69" s="36"/>
      <c r="X69" s="36"/>
      <c r="Y69" s="36"/>
      <c r="AD69" s="36"/>
      <c r="AE69" s="36"/>
      <c r="AF69" s="36"/>
      <c r="AG69" s="36"/>
      <c r="AH69" s="36"/>
      <c r="AI69" s="36"/>
      <c r="AJ69" s="36"/>
      <c r="AK69" s="36"/>
      <c r="AL69" s="36"/>
      <c r="AM69" s="36"/>
      <c r="AN69" s="36"/>
      <c r="AO69" s="36"/>
      <c r="AP69" s="36"/>
    </row>
    <row r="70" spans="1:42" ht="9.75" customHeight="1" x14ac:dyDescent="0.15">
      <c r="A70" s="7" t="s">
        <v>8822</v>
      </c>
      <c r="B70" s="37">
        <f>IF(B79=0,0,(SUMIFS('J Book Items Cons.'!R$5:R$3360,'J Book Items Cons.'!E$5:E$3360,1,'J Book Items Cons.'!S$5:S$3360,"",'J Book Items Cons.'!U$5:U$3360,"USN",'J Book Items Cons.'!W$5:W$3360,"Submarines",'J Book Items Cons.'!R$5:R$3360,"&lt;&gt;")+SUMIFS('J Book Items Cons.'!N$5:N$3360,'J Book Items Cons.'!E$5:E$3360,1,'J Book Items Cons.'!S$5:S$3360,"",'J Book Items Cons.'!U$5:U$3360,"USN",'J Book Items Cons.'!W$5:W$3360,"Submarines",'J Book Items Cons.'!R$5:R$3360,"",'J Book Items Cons.'!N$5:N$3360,"&lt;&gt;")+SUMIFS('J Book Items Cons.'!L$5:L$3360,'J Book Items Cons.'!E$5:E$3360,1,'J Book Items Cons.'!S$5:S$3360,"",'J Book Items Cons.'!U$5:U$3360,"USN",'J Book Items Cons.'!W$5:W$3360,"Submarines",'J Book Items Cons.'!R$5:R$3360,"",'J Book Items Cons.'!N$5:N$3360,"")+SUMIFS('J Book Items Cons.'!R$5:R$3360,'J Book Items Cons.'!E$5:E$3360,1,'J Book Items Cons.'!S$5:S$3360,"[PARENT]",'J Book Items Cons.'!U$5:U$3360,"USN",'J Book Items Cons.'!W$5:W$3360,"Submarines",'J Book Items Cons.'!R$5:R$3360,"&lt;&gt;")+SUMIFS('J Book Items Cons.'!N$5:N$3360,'J Book Items Cons.'!E$5:E$3360,1,'J Book Items Cons.'!S$5:S$3360,"[PARENT]",'J Book Items Cons.'!U$5:U$3360,"USN",'J Book Items Cons.'!W$5:W$3360,"Submarines",'J Book Items Cons.'!R$5:R$3360,"",'J Book Items Cons.'!N$5:N$3360,"&lt;&gt;")+SUMIFS('J Book Items Cons.'!L$5:L$3360,'J Book Items Cons.'!E$5:E$3360,1,'J Book Items Cons.'!S$5:S$3360,"[PARENT]",'J Book Items Cons.'!U$5:U$3360,"USN",'J Book Items Cons.'!W$5:W$3360,"Submarines",'J Book Items Cons.'!R$5:R$3360,"",'J Book Items Cons.'!N$5:N$3360,""))/B79)</f>
        <v>0.63288910869324211</v>
      </c>
      <c r="C70" s="38">
        <f>IF(C79=0,0,(SUMIFS('J Book Items Cons.'!R$5:R$3360,'J Book Items Cons.'!E$5:E$3360,1,'J Book Items Cons.'!S$5:S$3360,"",'J Book Items Cons.'!U$5:U$3360,"USN",'J Book Items Cons.'!W$5:W$3360,"Surface Combatants",'J Book Items Cons.'!R$5:R$3360,"&lt;&gt;")+SUMIFS('J Book Items Cons.'!N$5:N$3360,'J Book Items Cons.'!E$5:E$3360,1,'J Book Items Cons.'!S$5:S$3360,"",'J Book Items Cons.'!U$5:U$3360,"USN",'J Book Items Cons.'!W$5:W$3360,"Surface Combatants",'J Book Items Cons.'!R$5:R$3360,"",'J Book Items Cons.'!N$5:N$3360,"&lt;&gt;")+SUMIFS('J Book Items Cons.'!L$5:L$3360,'J Book Items Cons.'!E$5:E$3360,1,'J Book Items Cons.'!S$5:S$3360,"",'J Book Items Cons.'!U$5:U$3360,"USN",'J Book Items Cons.'!W$5:W$3360,"Surface Combatants",'J Book Items Cons.'!R$5:R$3360,"",'J Book Items Cons.'!N$5:N$3360,"")+SUMIFS('J Book Items Cons.'!R$5:R$3360,'J Book Items Cons.'!E$5:E$3360,1,'J Book Items Cons.'!S$5:S$3360,"[PARENT]",'J Book Items Cons.'!U$5:U$3360,"USN",'J Book Items Cons.'!W$5:W$3360,"Surface Combatants",'J Book Items Cons.'!R$5:R$3360,"&lt;&gt;")+SUMIFS('J Book Items Cons.'!N$5:N$3360,'J Book Items Cons.'!E$5:E$3360,1,'J Book Items Cons.'!S$5:S$3360,"[PARENT]",'J Book Items Cons.'!U$5:U$3360,"USN",'J Book Items Cons.'!W$5:W$3360,"Surface Combatants",'J Book Items Cons.'!R$5:R$3360,"",'J Book Items Cons.'!N$5:N$3360,"&lt;&gt;")+SUMIFS('J Book Items Cons.'!L$5:L$3360,'J Book Items Cons.'!E$5:E$3360,1,'J Book Items Cons.'!S$5:S$3360,"[PARENT]",'J Book Items Cons.'!U$5:U$3360,"USN",'J Book Items Cons.'!W$5:W$3360,"Surface Combatants",'J Book Items Cons.'!R$5:R$3360,"",'J Book Items Cons.'!N$5:N$3360,""))/C79)</f>
        <v>0.54869378581902828</v>
      </c>
      <c r="D70" s="38">
        <f>IF(D79=0,0,(SUMIFS('J Book Items Cons.'!R$5:R$3360,'J Book Items Cons.'!E$5:E$3360,1,'J Book Items Cons.'!S$5:S$3360,"",'J Book Items Cons.'!U$5:U$3360,"USN",'J Book Items Cons.'!W$5:W$3360,"Aircraft Carriers",'J Book Items Cons.'!R$5:R$3360,"&lt;&gt;")+SUMIFS('J Book Items Cons.'!N$5:N$3360,'J Book Items Cons.'!E$5:E$3360,1,'J Book Items Cons.'!S$5:S$3360,"",'J Book Items Cons.'!U$5:U$3360,"USN",'J Book Items Cons.'!W$5:W$3360,"Aircraft Carriers",'J Book Items Cons.'!R$5:R$3360,"",'J Book Items Cons.'!N$5:N$3360,"&lt;&gt;")+SUMIFS('J Book Items Cons.'!L$5:L$3360,'J Book Items Cons.'!E$5:E$3360,1,'J Book Items Cons.'!S$5:S$3360,"",'J Book Items Cons.'!U$5:U$3360,"USN",'J Book Items Cons.'!W$5:W$3360,"Aircraft Carriers",'J Book Items Cons.'!R$5:R$3360,"",'J Book Items Cons.'!N$5:N$3360,"")+SUMIFS('J Book Items Cons.'!R$5:R$3360,'J Book Items Cons.'!E$5:E$3360,1,'J Book Items Cons.'!S$5:S$3360,"[PARENT]",'J Book Items Cons.'!U$5:U$3360,"USN",'J Book Items Cons.'!W$5:W$3360,"Aircraft Carriers",'J Book Items Cons.'!R$5:R$3360,"&lt;&gt;")+SUMIFS('J Book Items Cons.'!N$5:N$3360,'J Book Items Cons.'!E$5:E$3360,1,'J Book Items Cons.'!S$5:S$3360,"[PARENT]",'J Book Items Cons.'!U$5:U$3360,"USN",'J Book Items Cons.'!W$5:W$3360,"Aircraft Carriers",'J Book Items Cons.'!R$5:R$3360,"",'J Book Items Cons.'!N$5:N$3360,"&lt;&gt;")+SUMIFS('J Book Items Cons.'!L$5:L$3360,'J Book Items Cons.'!E$5:E$3360,1,'J Book Items Cons.'!S$5:S$3360,"[PARENT]",'J Book Items Cons.'!U$5:U$3360,"USN",'J Book Items Cons.'!W$5:W$3360,"Aircraft Carriers",'J Book Items Cons.'!R$5:R$3360,"",'J Book Items Cons.'!N$5:N$3360,""))/D79)</f>
        <v>0.38858605942998858</v>
      </c>
      <c r="E70" s="38">
        <f>IF(E79=0,0,(SUMIFS('J Book Items Cons.'!R$5:R$3360,'J Book Items Cons.'!E$5:E$3360,1,'J Book Items Cons.'!S$5:S$3360,"",'J Book Items Cons.'!U$5:U$3360,"USN",'J Book Items Cons.'!W$5:W$3360,"Amphibious Warfare Ships",'J Book Items Cons.'!R$5:R$3360,"&lt;&gt;")+SUMIFS('J Book Items Cons.'!N$5:N$3360,'J Book Items Cons.'!E$5:E$3360,1,'J Book Items Cons.'!S$5:S$3360,"",'J Book Items Cons.'!U$5:U$3360,"USN",'J Book Items Cons.'!W$5:W$3360,"Amphibious Warfare Ships",'J Book Items Cons.'!R$5:R$3360,"",'J Book Items Cons.'!N$5:N$3360,"&lt;&gt;")+SUMIFS('J Book Items Cons.'!L$5:L$3360,'J Book Items Cons.'!E$5:E$3360,1,'J Book Items Cons.'!S$5:S$3360,"",'J Book Items Cons.'!U$5:U$3360,"USN",'J Book Items Cons.'!W$5:W$3360,"Amphibious Warfare Ships",'J Book Items Cons.'!R$5:R$3360,"",'J Book Items Cons.'!N$5:N$3360,"")+SUMIFS('J Book Items Cons.'!R$5:R$3360,'J Book Items Cons.'!E$5:E$3360,1,'J Book Items Cons.'!S$5:S$3360,"[PARENT]",'J Book Items Cons.'!U$5:U$3360,"USN",'J Book Items Cons.'!W$5:W$3360,"Amphibious Warfare Ships",'J Book Items Cons.'!R$5:R$3360,"&lt;&gt;")+SUMIFS('J Book Items Cons.'!N$5:N$3360,'J Book Items Cons.'!E$5:E$3360,1,'J Book Items Cons.'!S$5:S$3360,"[PARENT]",'J Book Items Cons.'!U$5:U$3360,"USN",'J Book Items Cons.'!W$5:W$3360,"Amphibious Warfare Ships",'J Book Items Cons.'!R$5:R$3360,"",'J Book Items Cons.'!N$5:N$3360,"&lt;&gt;")+SUMIFS('J Book Items Cons.'!L$5:L$3360,'J Book Items Cons.'!E$5:E$3360,1,'J Book Items Cons.'!S$5:S$3360,"[PARENT]",'J Book Items Cons.'!U$5:U$3360,"USN",'J Book Items Cons.'!W$5:W$3360,"Amphibious Warfare Ships",'J Book Items Cons.'!R$5:R$3360,"",'J Book Items Cons.'!N$5:N$3360,""))/E79)</f>
        <v>0.52636611613898843</v>
      </c>
      <c r="F70" s="38">
        <f>IF(F79=0,0,(SUMIFS('J Book Items Cons.'!R$5:R$3360,'J Book Items Cons.'!E$5:E$3360,1,'J Book Items Cons.'!S$5:S$3360,"",'J Book Items Cons.'!U$5:U$3360,"USN",'J Book Items Cons.'!W$5:W$3360,"Expeditionary &amp; Seabasing Ships",'J Book Items Cons.'!R$5:R$3360,"&lt;&gt;")+SUMIFS('J Book Items Cons.'!N$5:N$3360,'J Book Items Cons.'!E$5:E$3360,1,'J Book Items Cons.'!S$5:S$3360,"",'J Book Items Cons.'!U$5:U$3360,"USN",'J Book Items Cons.'!W$5:W$3360,"Expeditionary &amp; Seabasing Ships",'J Book Items Cons.'!R$5:R$3360,"",'J Book Items Cons.'!N$5:N$3360,"&lt;&gt;")+SUMIFS('J Book Items Cons.'!L$5:L$3360,'J Book Items Cons.'!E$5:E$3360,1,'J Book Items Cons.'!S$5:S$3360,"",'J Book Items Cons.'!U$5:U$3360,"USN",'J Book Items Cons.'!W$5:W$3360,"Expeditionary &amp; Seabasing Ships",'J Book Items Cons.'!R$5:R$3360,"",'J Book Items Cons.'!N$5:N$3360,"")+SUMIFS('J Book Items Cons.'!R$5:R$3360,'J Book Items Cons.'!E$5:E$3360,1,'J Book Items Cons.'!S$5:S$3360,"[PARENT]",'J Book Items Cons.'!U$5:U$3360,"USN",'J Book Items Cons.'!W$5:W$3360,"Expeditionary &amp; Seabasing Ships",'J Book Items Cons.'!R$5:R$3360,"&lt;&gt;")+SUMIFS('J Book Items Cons.'!N$5:N$3360,'J Book Items Cons.'!E$5:E$3360,1,'J Book Items Cons.'!S$5:S$3360,"[PARENT]",'J Book Items Cons.'!U$5:U$3360,"USN",'J Book Items Cons.'!W$5:W$3360,"Expeditionary &amp; Seabasing Ships",'J Book Items Cons.'!R$5:R$3360,"",'J Book Items Cons.'!N$5:N$3360,"&lt;&gt;")+SUMIFS('J Book Items Cons.'!L$5:L$3360,'J Book Items Cons.'!E$5:E$3360,1,'J Book Items Cons.'!S$5:S$3360,"[PARENT]",'J Book Items Cons.'!U$5:U$3360,"USN",'J Book Items Cons.'!W$5:W$3360,"Expeditionary &amp; Seabasing Ships",'J Book Items Cons.'!R$5:R$3360,"",'J Book Items Cons.'!N$5:N$3360,""))/F79)</f>
        <v>0.97815213067598694</v>
      </c>
      <c r="G70" s="38">
        <f>IF(G79=0,0,(SUMIFS('J Book Items Cons.'!R$5:R$3360,'J Book Items Cons.'!E$5:E$3360,1,'J Book Items Cons.'!S$5:S$3360,"",'J Book Items Cons.'!U$5:U$3360,"MSC",'J Book Items Cons.'!W$5:W$3360,"Combat Logistics Ships",'J Book Items Cons.'!R$5:R$3360,"&lt;&gt;")+SUMIFS('J Book Items Cons.'!N$5:N$3360,'J Book Items Cons.'!E$5:E$3360,1,'J Book Items Cons.'!S$5:S$3360,"",'J Book Items Cons.'!U$5:U$3360,"MSC",'J Book Items Cons.'!W$5:W$3360,"Combat Logistics Ships",'J Book Items Cons.'!R$5:R$3360,"",'J Book Items Cons.'!N$5:N$3360,"&lt;&gt;")+SUMIFS('J Book Items Cons.'!L$5:L$3360,'J Book Items Cons.'!E$5:E$3360,1,'J Book Items Cons.'!S$5:S$3360,"",'J Book Items Cons.'!U$5:U$3360,"MSC",'J Book Items Cons.'!W$5:W$3360,"Combat Logistics Ships",'J Book Items Cons.'!R$5:R$3360,"",'J Book Items Cons.'!N$5:N$3360,"")+SUMIFS('J Book Items Cons.'!R$5:R$3360,'J Book Items Cons.'!E$5:E$3360,1,'J Book Items Cons.'!S$5:S$3360,"[PARENT]",'J Book Items Cons.'!U$5:U$3360,"MSC",'J Book Items Cons.'!W$5:W$3360,"Combat Logistics Ships",'J Book Items Cons.'!R$5:R$3360,"&lt;&gt;")+SUMIFS('J Book Items Cons.'!N$5:N$3360,'J Book Items Cons.'!E$5:E$3360,1,'J Book Items Cons.'!S$5:S$3360,"[PARENT]",'J Book Items Cons.'!U$5:U$3360,"MSC",'J Book Items Cons.'!W$5:W$3360,"Combat Logistics Ships",'J Book Items Cons.'!R$5:R$3360,"",'J Book Items Cons.'!N$5:N$3360,"&lt;&gt;")+SUMIFS('J Book Items Cons.'!L$5:L$3360,'J Book Items Cons.'!E$5:E$3360,1,'J Book Items Cons.'!S$5:S$3360,"[PARENT]",'J Book Items Cons.'!U$5:U$3360,"MSC",'J Book Items Cons.'!W$5:W$3360,"Combat Logistics Ships",'J Book Items Cons.'!R$5:R$3360,"",'J Book Items Cons.'!N$5:N$3360,""))/G79)</f>
        <v>1</v>
      </c>
      <c r="H70" s="38">
        <f>IF(H79=0,0,(SUMIFS('J Book Items Cons.'!R$5:R$3360,'J Book Items Cons.'!E$5:E$3360,1,'J Book Items Cons.'!S$5:S$3360,"",'J Book Items Cons.'!U$5:U$3360,"USN",'J Book Items Cons.'!W$5:W$3360,"Unmanned Surface Vehicles",'J Book Items Cons.'!R$5:R$3360,"&lt;&gt;")+SUMIFS('J Book Items Cons.'!N$5:N$3360,'J Book Items Cons.'!E$5:E$3360,1,'J Book Items Cons.'!S$5:S$3360,"",'J Book Items Cons.'!U$5:U$3360,"USN",'J Book Items Cons.'!W$5:W$3360,"Unmanned Surface Vehicles",'J Book Items Cons.'!R$5:R$3360,"",'J Book Items Cons.'!N$5:N$3360,"&lt;&gt;")+SUMIFS('J Book Items Cons.'!L$5:L$3360,'J Book Items Cons.'!E$5:E$3360,1,'J Book Items Cons.'!S$5:S$3360,"",'J Book Items Cons.'!U$5:U$3360,"USN",'J Book Items Cons.'!W$5:W$3360,"Unmanned Surface Vehicles",'J Book Items Cons.'!R$5:R$3360,"",'J Book Items Cons.'!N$5:N$3360,"")+SUMIFS('J Book Items Cons.'!R$5:R$3360,'J Book Items Cons.'!E$5:E$3360,1,'J Book Items Cons.'!S$5:S$3360,"[PARENT]",'J Book Items Cons.'!U$5:U$3360,"USN",'J Book Items Cons.'!W$5:W$3360,"Unmanned Surface Vehicles",'J Book Items Cons.'!R$5:R$3360,"&lt;&gt;")+SUMIFS('J Book Items Cons.'!N$5:N$3360,'J Book Items Cons.'!E$5:E$3360,1,'J Book Items Cons.'!S$5:S$3360,"[PARENT]",'J Book Items Cons.'!U$5:U$3360,"USN",'J Book Items Cons.'!W$5:W$3360,"Unmanned Surface Vehicles",'J Book Items Cons.'!R$5:R$3360,"",'J Book Items Cons.'!N$5:N$3360,"&lt;&gt;")+SUMIFS('J Book Items Cons.'!L$5:L$3360,'J Book Items Cons.'!E$5:E$3360,1,'J Book Items Cons.'!S$5:S$3360,"[PARENT]",'J Book Items Cons.'!U$5:U$3360,"USN",'J Book Items Cons.'!W$5:W$3360,"Unmanned Surface Vehicles",'J Book Items Cons.'!R$5:R$3360,"",'J Book Items Cons.'!N$5:N$3360,""))/H79)</f>
        <v>1</v>
      </c>
      <c r="I70" s="38">
        <f>IF(I79=0,0,(SUMIFS('J Book Items Cons.'!R$5:R$3360,'J Book Items Cons.'!E$5:E$3360,1,'J Book Items Cons.'!S$5:S$3360,"",'J Book Items Cons.'!U$5:U$3360,"USN",'J Book Items Cons.'!W$5:W$3360,"Amphibious Warfare Craft",'J Book Items Cons.'!R$5:R$3360,"&lt;&gt;")+SUMIFS('J Book Items Cons.'!N$5:N$3360,'J Book Items Cons.'!E$5:E$3360,1,'J Book Items Cons.'!S$5:S$3360,"",'J Book Items Cons.'!U$5:U$3360,"USN",'J Book Items Cons.'!W$5:W$3360,"Amphibious Warfare Craft",'J Book Items Cons.'!R$5:R$3360,"",'J Book Items Cons.'!N$5:N$3360,"&lt;&gt;")+SUMIFS('J Book Items Cons.'!L$5:L$3360,'J Book Items Cons.'!E$5:E$3360,1,'J Book Items Cons.'!S$5:S$3360,"",'J Book Items Cons.'!U$5:U$3360,"USN",'J Book Items Cons.'!W$5:W$3360,"Amphibious Warfare Craft",'J Book Items Cons.'!R$5:R$3360,"",'J Book Items Cons.'!N$5:N$3360,"")+SUMIFS('J Book Items Cons.'!R$5:R$3360,'J Book Items Cons.'!E$5:E$3360,1,'J Book Items Cons.'!S$5:S$3360,"[PARENT]",'J Book Items Cons.'!U$5:U$3360,"USN",'J Book Items Cons.'!W$5:W$3360,"Amphibious Warfare Craft",'J Book Items Cons.'!R$5:R$3360,"&lt;&gt;")+SUMIFS('J Book Items Cons.'!N$5:N$3360,'J Book Items Cons.'!E$5:E$3360,1,'J Book Items Cons.'!S$5:S$3360,"[PARENT]",'J Book Items Cons.'!U$5:U$3360,"USN",'J Book Items Cons.'!W$5:W$3360,"Amphibious Warfare Craft",'J Book Items Cons.'!R$5:R$3360,"",'J Book Items Cons.'!N$5:N$3360,"&lt;&gt;")+SUMIFS('J Book Items Cons.'!L$5:L$3360,'J Book Items Cons.'!E$5:E$3360,1,'J Book Items Cons.'!S$5:S$3360,"[PARENT]",'J Book Items Cons.'!U$5:U$3360,"USN",'J Book Items Cons.'!W$5:W$3360,"Amphibious Warfare Craft",'J Book Items Cons.'!R$5:R$3360,"",'J Book Items Cons.'!N$5:N$3360,""))/I79)</f>
        <v>0.92697266386001009</v>
      </c>
      <c r="J70" s="38">
        <f>IF(J79=0,0,(SUMIFS('J Book Items Cons.'!R$5:R$3360,'J Book Items Cons.'!E$5:E$3360,1,'J Book Items Cons.'!S$5:S$3360,"",'J Book Items Cons.'!U$5:U$3360,"MSC",'J Book Items Cons.'!W$5:W$3360,"Cargo &amp; Vehicle Cargo Ships",'J Book Items Cons.'!R$5:R$3360,"&lt;&gt;")+SUMIFS('J Book Items Cons.'!N$5:N$3360,'J Book Items Cons.'!E$5:E$3360,1,'J Book Items Cons.'!S$5:S$3360,"",'J Book Items Cons.'!U$5:U$3360,"MSC",'J Book Items Cons.'!W$5:W$3360,"Cargo &amp; Vehicle Cargo Ships",'J Book Items Cons.'!R$5:R$3360,"",'J Book Items Cons.'!N$5:N$3360,"&lt;&gt;")+SUMIFS('J Book Items Cons.'!L$5:L$3360,'J Book Items Cons.'!E$5:E$3360,1,'J Book Items Cons.'!S$5:S$3360,"",'J Book Items Cons.'!U$5:U$3360,"MSC",'J Book Items Cons.'!W$5:W$3360,"Cargo &amp; Vehicle Cargo Ships",'J Book Items Cons.'!R$5:R$3360,"",'J Book Items Cons.'!N$5:N$3360,"")+SUMIFS('J Book Items Cons.'!R$5:R$3360,'J Book Items Cons.'!E$5:E$3360,1,'J Book Items Cons.'!S$5:S$3360,"[PARENT]",'J Book Items Cons.'!U$5:U$3360,"MSC",'J Book Items Cons.'!W$5:W$3360,"Cargo &amp; Vehicle Cargo Ships",'J Book Items Cons.'!R$5:R$3360,"&lt;&gt;")+SUMIFS('J Book Items Cons.'!N$5:N$3360,'J Book Items Cons.'!E$5:E$3360,1,'J Book Items Cons.'!S$5:S$3360,"[PARENT]",'J Book Items Cons.'!U$5:U$3360,"MSC",'J Book Items Cons.'!W$5:W$3360,"Cargo &amp; Vehicle Cargo Ships",'J Book Items Cons.'!R$5:R$3360,"",'J Book Items Cons.'!N$5:N$3360,"&lt;&gt;")+SUMIFS('J Book Items Cons.'!L$5:L$3360,'J Book Items Cons.'!E$5:E$3360,1,'J Book Items Cons.'!S$5:S$3360,"[PARENT]",'J Book Items Cons.'!U$5:U$3360,"MSC",'J Book Items Cons.'!W$5:W$3360,"Cargo &amp; Vehicle Cargo Ships",'J Book Items Cons.'!R$5:R$3360,"",'J Book Items Cons.'!N$5:N$3360,""))/J79)</f>
        <v>1</v>
      </c>
      <c r="K70" s="38">
        <f>IF(K79=0,0,(SUMIFS('J Book Items Cons.'!R$5:R$3360,'J Book Items Cons.'!E$5:E$3360,1,'J Book Items Cons.'!S$5:S$3360,"",'J Book Items Cons.'!U$5:U$3360,"MSC",'J Book Items Cons.'!W$5:W$3360,"Surveillance Ships",'J Book Items Cons.'!R$5:R$3360,"&lt;&gt;")+SUMIFS('J Book Items Cons.'!N$5:N$3360,'J Book Items Cons.'!E$5:E$3360,1,'J Book Items Cons.'!S$5:S$3360,"",'J Book Items Cons.'!U$5:U$3360,"MSC",'J Book Items Cons.'!W$5:W$3360,"Surveillance Ships",'J Book Items Cons.'!R$5:R$3360,"",'J Book Items Cons.'!N$5:N$3360,"&lt;&gt;")+SUMIFS('J Book Items Cons.'!L$5:L$3360,'J Book Items Cons.'!E$5:E$3360,1,'J Book Items Cons.'!S$5:S$3360,"",'J Book Items Cons.'!U$5:U$3360,"MSC",'J Book Items Cons.'!W$5:W$3360,"Surveillance Ships",'J Book Items Cons.'!R$5:R$3360,"",'J Book Items Cons.'!N$5:N$3360,"")+SUMIFS('J Book Items Cons.'!R$5:R$3360,'J Book Items Cons.'!E$5:E$3360,1,'J Book Items Cons.'!S$5:S$3360,"[PARENT]",'J Book Items Cons.'!U$5:U$3360,"MSC",'J Book Items Cons.'!W$5:W$3360,"Surveillance Ships",'J Book Items Cons.'!R$5:R$3360,"&lt;&gt;")+SUMIFS('J Book Items Cons.'!N$5:N$3360,'J Book Items Cons.'!E$5:E$3360,1,'J Book Items Cons.'!S$5:S$3360,"[PARENT]",'J Book Items Cons.'!U$5:U$3360,"MSC",'J Book Items Cons.'!W$5:W$3360,"Surveillance Ships",'J Book Items Cons.'!R$5:R$3360,"",'J Book Items Cons.'!N$5:N$3360,"&lt;&gt;")+SUMIFS('J Book Items Cons.'!L$5:L$3360,'J Book Items Cons.'!E$5:E$3360,1,'J Book Items Cons.'!S$5:S$3360,"[PARENT]",'J Book Items Cons.'!U$5:U$3360,"MSC",'J Book Items Cons.'!W$5:W$3360,"Surveillance Ships",'J Book Items Cons.'!R$5:R$3360,"",'J Book Items Cons.'!N$5:N$3360,""))/K79)</f>
        <v>0.95155383960184903</v>
      </c>
      <c r="L70" s="38">
        <f>IF(L79=0,0,(SUMIFS('J Book Items Cons.'!R$5:R$3360,'J Book Items Cons.'!E$5:E$3360,1,'J Book Items Cons.'!S$5:S$3360,"",'J Book Items Cons.'!U$5:U$3360,"USN",'J Book Items Cons.'!W$5:W$3360,"Unmanned Undersea Vehicles",'J Book Items Cons.'!R$5:R$3360,"&lt;&gt;")+SUMIFS('J Book Items Cons.'!N$5:N$3360,'J Book Items Cons.'!E$5:E$3360,1,'J Book Items Cons.'!S$5:S$3360,"",'J Book Items Cons.'!U$5:U$3360,"USN",'J Book Items Cons.'!W$5:W$3360,"Unmanned Undersea Vehicles",'J Book Items Cons.'!R$5:R$3360,"",'J Book Items Cons.'!N$5:N$3360,"&lt;&gt;")+SUMIFS('J Book Items Cons.'!L$5:L$3360,'J Book Items Cons.'!E$5:E$3360,1,'J Book Items Cons.'!S$5:S$3360,"",'J Book Items Cons.'!U$5:U$3360,"USN",'J Book Items Cons.'!W$5:W$3360,"Unmanned Undersea Vehicles",'J Book Items Cons.'!R$5:R$3360,"",'J Book Items Cons.'!N$5:N$3360,"")+SUMIFS('J Book Items Cons.'!R$5:R$3360,'J Book Items Cons.'!E$5:E$3360,1,'J Book Items Cons.'!S$5:S$3360,"[PARENT]",'J Book Items Cons.'!U$5:U$3360,"USN",'J Book Items Cons.'!W$5:W$3360,"Unmanned Undersea Vehicles",'J Book Items Cons.'!R$5:R$3360,"&lt;&gt;")+SUMIFS('J Book Items Cons.'!N$5:N$3360,'J Book Items Cons.'!E$5:E$3360,1,'J Book Items Cons.'!S$5:S$3360,"[PARENT]",'J Book Items Cons.'!U$5:U$3360,"USN",'J Book Items Cons.'!W$5:W$3360,"Unmanned Undersea Vehicles",'J Book Items Cons.'!R$5:R$3360,"",'J Book Items Cons.'!N$5:N$3360,"&lt;&gt;")+SUMIFS('J Book Items Cons.'!L$5:L$3360,'J Book Items Cons.'!E$5:E$3360,1,'J Book Items Cons.'!S$5:S$3360,"[PARENT]",'J Book Items Cons.'!U$5:U$3360,"USN",'J Book Items Cons.'!W$5:W$3360,"Unmanned Undersea Vehicles",'J Book Items Cons.'!R$5:R$3360,"",'J Book Items Cons.'!N$5:N$3360,""))/L79)</f>
        <v>1</v>
      </c>
      <c r="M70" s="38">
        <f>IF(M79=0,0,(SUMIFS('J Book Items Cons.'!R$5:R$3360,'J Book Items Cons.'!E$5:E$3360,1,'J Book Items Cons.'!S$5:S$3360,"",'J Book Items Cons.'!U$5:U$3360,"USN",'J Book Items Cons.'!W$5:W$3360,"Command Ships",'J Book Items Cons.'!R$5:R$3360,"&lt;&gt;")+SUMIFS('J Book Items Cons.'!N$5:N$3360,'J Book Items Cons.'!E$5:E$3360,1,'J Book Items Cons.'!S$5:S$3360,"",'J Book Items Cons.'!U$5:U$3360,"USN",'J Book Items Cons.'!W$5:W$3360,"Command Ships",'J Book Items Cons.'!R$5:R$3360,"",'J Book Items Cons.'!N$5:N$3360,"&lt;&gt;")+SUMIFS('J Book Items Cons.'!L$5:L$3360,'J Book Items Cons.'!E$5:E$3360,1,'J Book Items Cons.'!S$5:S$3360,"",'J Book Items Cons.'!U$5:U$3360,"USN",'J Book Items Cons.'!W$5:W$3360,"Command Ships",'J Book Items Cons.'!R$5:R$3360,"",'J Book Items Cons.'!N$5:N$3360,"")+SUMIFS('J Book Items Cons.'!R$5:R$3360,'J Book Items Cons.'!E$5:E$3360,1,'J Book Items Cons.'!S$5:S$3360,"[PARENT]",'J Book Items Cons.'!U$5:U$3360,"USN",'J Book Items Cons.'!W$5:W$3360,"Command Ships",'J Book Items Cons.'!R$5:R$3360,"&lt;&gt;")+SUMIFS('J Book Items Cons.'!N$5:N$3360,'J Book Items Cons.'!E$5:E$3360,1,'J Book Items Cons.'!S$5:S$3360,"[PARENT]",'J Book Items Cons.'!U$5:U$3360,"USN",'J Book Items Cons.'!W$5:W$3360,"Command Ships",'J Book Items Cons.'!R$5:R$3360,"",'J Book Items Cons.'!N$5:N$3360,"&lt;&gt;")+SUMIFS('J Book Items Cons.'!L$5:L$3360,'J Book Items Cons.'!E$5:E$3360,1,'J Book Items Cons.'!S$5:S$3360,"[PARENT]",'J Book Items Cons.'!U$5:U$3360,"USN",'J Book Items Cons.'!W$5:W$3360,"Command Ships",'J Book Items Cons.'!R$5:R$3360,"",'J Book Items Cons.'!N$5:N$3360,""))/M79)</f>
        <v>0</v>
      </c>
      <c r="N70" s="39">
        <f>IF(N79=0,0,(SUMIFS('J Book Items Cons.'!R$5:R$3360,'J Book Items Cons.'!E$5:E$3360,1,'J Book Items Cons.'!S$5:S$3360,"",'J Book Items Cons.'!U$5:U$3360,"USN",'J Book Items Cons.'!W$5:W$3360,"Mine Warfare",'J Book Items Cons.'!R$5:R$3360,"&lt;&gt;")+SUMIFS('J Book Items Cons.'!N$5:N$3360,'J Book Items Cons.'!E$5:E$3360,1,'J Book Items Cons.'!S$5:S$3360,"",'J Book Items Cons.'!U$5:U$3360,"USN",'J Book Items Cons.'!W$5:W$3360,"Mine Warfare",'J Book Items Cons.'!R$5:R$3360,"",'J Book Items Cons.'!N$5:N$3360,"&lt;&gt;")+SUMIFS('J Book Items Cons.'!L$5:L$3360,'J Book Items Cons.'!E$5:E$3360,1,'J Book Items Cons.'!S$5:S$3360,"",'J Book Items Cons.'!U$5:U$3360,"USN",'J Book Items Cons.'!W$5:W$3360,"Mine Warfare",'J Book Items Cons.'!R$5:R$3360,"",'J Book Items Cons.'!N$5:N$3360,"")+SUMIFS('J Book Items Cons.'!R$5:R$3360,'J Book Items Cons.'!E$5:E$3360,1,'J Book Items Cons.'!S$5:S$3360,"[PARENT]",'J Book Items Cons.'!U$5:U$3360,"USN",'J Book Items Cons.'!W$5:W$3360,"Mine Warfare",'J Book Items Cons.'!R$5:R$3360,"&lt;&gt;")+SUMIFS('J Book Items Cons.'!N$5:N$3360,'J Book Items Cons.'!E$5:E$3360,1,'J Book Items Cons.'!S$5:S$3360,"[PARENT]",'J Book Items Cons.'!U$5:U$3360,"USN",'J Book Items Cons.'!W$5:W$3360,"Mine Warfare",'J Book Items Cons.'!R$5:R$3360,"",'J Book Items Cons.'!N$5:N$3360,"&lt;&gt;")+SUMIFS('J Book Items Cons.'!L$5:L$3360,'J Book Items Cons.'!E$5:E$3360,1,'J Book Items Cons.'!S$5:S$3360,"[PARENT]",'J Book Items Cons.'!U$5:U$3360,"USN",'J Book Items Cons.'!W$5:W$3360,"Mine Warfare",'J Book Items Cons.'!R$5:R$3360,"",'J Book Items Cons.'!N$5:N$3360,""))/N79)</f>
        <v>0</v>
      </c>
      <c r="O70" s="37">
        <f>IF(O79=0,0,(SUMIFS('J Book Items Cons.'!R$5:R$3360,'J Book Items Cons.'!E$5:E$3360,1,'J Book Items Cons.'!S$5:S$3360,"",'J Book Items Cons.'!U$5:U$3360,"USCG",'J Book Items Cons.'!W$5:W$3360,"Offshore Patrol Cutter",'J Book Items Cons.'!R$5:R$3360,"&lt;&gt;")+SUMIFS('J Book Items Cons.'!N$5:N$3360,'J Book Items Cons.'!E$5:E$3360,1,'J Book Items Cons.'!S$5:S$3360,"",'J Book Items Cons.'!U$5:U$3360,"USCG",'J Book Items Cons.'!W$5:W$3360,"Offshore Patrol Cutter",'J Book Items Cons.'!R$5:R$3360,"",'J Book Items Cons.'!N$5:N$3360,"&lt;&gt;")+SUMIFS('J Book Items Cons.'!L$5:L$3360,'J Book Items Cons.'!E$5:E$3360,1,'J Book Items Cons.'!S$5:S$3360,"",'J Book Items Cons.'!U$5:U$3360,"USCG",'J Book Items Cons.'!W$5:W$3360,"Offshore Patrol Cutter",'J Book Items Cons.'!R$5:R$3360,"",'J Book Items Cons.'!N$5:N$3360,"")+SUMIFS('J Book Items Cons.'!R$5:R$3360,'J Book Items Cons.'!E$5:E$3360,1,'J Book Items Cons.'!S$5:S$3360,"[PARENT]",'J Book Items Cons.'!U$5:U$3360,"USCG",'J Book Items Cons.'!W$5:W$3360,"Offshore Patrol Cutter",'J Book Items Cons.'!R$5:R$3360,"&lt;&gt;")+SUMIFS('J Book Items Cons.'!N$5:N$3360,'J Book Items Cons.'!E$5:E$3360,1,'J Book Items Cons.'!S$5:S$3360,"[PARENT]",'J Book Items Cons.'!U$5:U$3360,"USCG",'J Book Items Cons.'!W$5:W$3360,"Offshore Patrol Cutter",'J Book Items Cons.'!R$5:R$3360,"",'J Book Items Cons.'!N$5:N$3360,"&lt;&gt;")+SUMIFS('J Book Items Cons.'!L$5:L$3360,'J Book Items Cons.'!E$5:E$3360,1,'J Book Items Cons.'!S$5:S$3360,"[PARENT]",'J Book Items Cons.'!U$5:U$3360,"USCG",'J Book Items Cons.'!W$5:W$3360,"Offshore Patrol Cutter",'J Book Items Cons.'!R$5:R$3360,"",'J Book Items Cons.'!N$5:N$3360,""))/O79)</f>
        <v>1</v>
      </c>
      <c r="P70" s="38">
        <f>IF(P79=0,0,(SUMIFS('J Book Items Cons.'!R$5:R$3360,'J Book Items Cons.'!E$5:E$3360,1,'J Book Items Cons.'!S$5:S$3360,"",'J Book Items Cons.'!U$5:U$3360,"USCG",'J Book Items Cons.'!W$5:W$3360,"Fast Response Cutters",'J Book Items Cons.'!R$5:R$3360,"&lt;&gt;")+SUMIFS('J Book Items Cons.'!N$5:N$3360,'J Book Items Cons.'!E$5:E$3360,1,'J Book Items Cons.'!S$5:S$3360,"",'J Book Items Cons.'!U$5:U$3360,"USCG",'J Book Items Cons.'!W$5:W$3360,"Fast Response Cutters",'J Book Items Cons.'!R$5:R$3360,"",'J Book Items Cons.'!N$5:N$3360,"&lt;&gt;")+SUMIFS('J Book Items Cons.'!L$5:L$3360,'J Book Items Cons.'!E$5:E$3360,1,'J Book Items Cons.'!S$5:S$3360,"",'J Book Items Cons.'!U$5:U$3360,"USCG",'J Book Items Cons.'!W$5:W$3360,"Fast Response Cutters",'J Book Items Cons.'!R$5:R$3360,"",'J Book Items Cons.'!N$5:N$3360,"")+SUMIFS('J Book Items Cons.'!R$5:R$3360,'J Book Items Cons.'!E$5:E$3360,1,'J Book Items Cons.'!S$5:S$3360,"[PARENT]",'J Book Items Cons.'!U$5:U$3360,"USCG",'J Book Items Cons.'!W$5:W$3360,"Fast Response Cutters",'J Book Items Cons.'!R$5:R$3360,"&lt;&gt;")+SUMIFS('J Book Items Cons.'!N$5:N$3360,'J Book Items Cons.'!E$5:E$3360,1,'J Book Items Cons.'!S$5:S$3360,"[PARENT]",'J Book Items Cons.'!U$5:U$3360,"USCG",'J Book Items Cons.'!W$5:W$3360,"Fast Response Cutters",'J Book Items Cons.'!R$5:R$3360,"",'J Book Items Cons.'!N$5:N$3360,"&lt;&gt;")+SUMIFS('J Book Items Cons.'!L$5:L$3360,'J Book Items Cons.'!E$5:E$3360,1,'J Book Items Cons.'!S$5:S$3360,"[PARENT]",'J Book Items Cons.'!U$5:U$3360,"USCG",'J Book Items Cons.'!W$5:W$3360,"Fast Response Cutters",'J Book Items Cons.'!R$5:R$3360,"",'J Book Items Cons.'!N$5:N$3360,""))/P79)</f>
        <v>1</v>
      </c>
      <c r="Q70" s="38">
        <f>IF(Q79=0,0,(SUMIFS('J Book Items Cons.'!R$5:R$3360,'J Book Items Cons.'!E$5:E$3360,1,'J Book Items Cons.'!S$5:S$3360,"",'J Book Items Cons.'!U$5:U$3360,"USCG",'J Book Items Cons.'!W$5:W$3360,"Icebreakers, Oceangoing",'J Book Items Cons.'!R$5:R$3360,"&lt;&gt;")+SUMIFS('J Book Items Cons.'!N$5:N$3360,'J Book Items Cons.'!E$5:E$3360,1,'J Book Items Cons.'!S$5:S$3360,"",'J Book Items Cons.'!U$5:U$3360,"USCG",'J Book Items Cons.'!W$5:W$3360,"Icebreakers, Oceangoing",'J Book Items Cons.'!R$5:R$3360,"",'J Book Items Cons.'!N$5:N$3360,"&lt;&gt;")+SUMIFS('J Book Items Cons.'!L$5:L$3360,'J Book Items Cons.'!E$5:E$3360,1,'J Book Items Cons.'!S$5:S$3360,"",'J Book Items Cons.'!U$5:U$3360,"USCG",'J Book Items Cons.'!W$5:W$3360,"Icebreakers, Oceangoing",'J Book Items Cons.'!R$5:R$3360,"",'J Book Items Cons.'!N$5:N$3360,"")+SUMIFS('J Book Items Cons.'!R$5:R$3360,'J Book Items Cons.'!E$5:E$3360,1,'J Book Items Cons.'!S$5:S$3360,"[PARENT]",'J Book Items Cons.'!U$5:U$3360,"USCG",'J Book Items Cons.'!W$5:W$3360,"Icebreakers, Oceangoing",'J Book Items Cons.'!R$5:R$3360,"&lt;&gt;")+SUMIFS('J Book Items Cons.'!N$5:N$3360,'J Book Items Cons.'!E$5:E$3360,1,'J Book Items Cons.'!S$5:S$3360,"[PARENT]",'J Book Items Cons.'!U$5:U$3360,"USCG",'J Book Items Cons.'!W$5:W$3360,"Icebreakers, Oceangoing",'J Book Items Cons.'!R$5:R$3360,"",'J Book Items Cons.'!N$5:N$3360,"&lt;&gt;")+SUMIFS('J Book Items Cons.'!L$5:L$3360,'J Book Items Cons.'!E$5:E$3360,1,'J Book Items Cons.'!S$5:S$3360,"[PARENT]",'J Book Items Cons.'!U$5:U$3360,"USCG",'J Book Items Cons.'!W$5:W$3360,"Icebreakers, Oceangoing",'J Book Items Cons.'!R$5:R$3360,"",'J Book Items Cons.'!N$5:N$3360,""))/Q79)</f>
        <v>1</v>
      </c>
      <c r="R70" s="38">
        <f>IF(R79=0,0,(SUMIFS('J Book Items Cons.'!R$5:R$3360,'J Book Items Cons.'!E$5:E$3360,1,'J Book Items Cons.'!S$5:S$3360,"",'J Book Items Cons.'!U$5:U$3360,"USCG",'J Book Items Cons.'!W$5:W$3360,"Waterways Commerce Cutters",'J Book Items Cons.'!R$5:R$3360,"&lt;&gt;")+SUMIFS('J Book Items Cons.'!N$5:N$3360,'J Book Items Cons.'!E$5:E$3360,1,'J Book Items Cons.'!S$5:S$3360,"",'J Book Items Cons.'!U$5:U$3360,"USCG",'J Book Items Cons.'!W$5:W$3360,"Waterways Commerce Cutters",'J Book Items Cons.'!R$5:R$3360,"",'J Book Items Cons.'!N$5:N$3360,"&lt;&gt;")+SUMIFS('J Book Items Cons.'!L$5:L$3360,'J Book Items Cons.'!E$5:E$3360,1,'J Book Items Cons.'!S$5:S$3360,"",'J Book Items Cons.'!U$5:U$3360,"USCG",'J Book Items Cons.'!W$5:W$3360,"Waterways Commerce Cutters",'J Book Items Cons.'!R$5:R$3360,"",'J Book Items Cons.'!N$5:N$3360,"")+SUMIFS('J Book Items Cons.'!R$5:R$3360,'J Book Items Cons.'!E$5:E$3360,1,'J Book Items Cons.'!S$5:S$3360,"[PARENT]",'J Book Items Cons.'!U$5:U$3360,"USCG",'J Book Items Cons.'!W$5:W$3360,"Waterways Commerce Cutters",'J Book Items Cons.'!R$5:R$3360,"&lt;&gt;")+SUMIFS('J Book Items Cons.'!N$5:N$3360,'J Book Items Cons.'!E$5:E$3360,1,'J Book Items Cons.'!S$5:S$3360,"[PARENT]",'J Book Items Cons.'!U$5:U$3360,"USCG",'J Book Items Cons.'!W$5:W$3360,"Waterways Commerce Cutters",'J Book Items Cons.'!R$5:R$3360,"",'J Book Items Cons.'!N$5:N$3360,"&lt;&gt;")+SUMIFS('J Book Items Cons.'!L$5:L$3360,'J Book Items Cons.'!E$5:E$3360,1,'J Book Items Cons.'!S$5:S$3360,"[PARENT]",'J Book Items Cons.'!U$5:U$3360,"USCG",'J Book Items Cons.'!W$5:W$3360,"Waterways Commerce Cutters",'J Book Items Cons.'!R$5:R$3360,"",'J Book Items Cons.'!N$5:N$3360,""))/R79)</f>
        <v>1</v>
      </c>
      <c r="S70" s="39">
        <f>IF(S79=0,0,(SUMIFS('J Book Items Cons.'!R$5:R$3360,'J Book Items Cons.'!E$5:E$3360,1,'J Book Items Cons.'!S$5:S$3360,"",'J Book Items Cons.'!U$5:U$3360,"USCG",'J Book Items Cons.'!W$5:W$3360,"National Security Cutters",'J Book Items Cons.'!R$5:R$3360,"&lt;&gt;")+SUMIFS('J Book Items Cons.'!N$5:N$3360,'J Book Items Cons.'!E$5:E$3360,1,'J Book Items Cons.'!S$5:S$3360,"",'J Book Items Cons.'!U$5:U$3360,"USCG",'J Book Items Cons.'!W$5:W$3360,"National Security Cutters",'J Book Items Cons.'!R$5:R$3360,"",'J Book Items Cons.'!N$5:N$3360,"&lt;&gt;")+SUMIFS('J Book Items Cons.'!L$5:L$3360,'J Book Items Cons.'!E$5:E$3360,1,'J Book Items Cons.'!S$5:S$3360,"",'J Book Items Cons.'!U$5:U$3360,"USCG",'J Book Items Cons.'!W$5:W$3360,"National Security Cutters",'J Book Items Cons.'!R$5:R$3360,"",'J Book Items Cons.'!N$5:N$3360,"")+SUMIFS('J Book Items Cons.'!R$5:R$3360,'J Book Items Cons.'!E$5:E$3360,1,'J Book Items Cons.'!S$5:S$3360,"[PARENT]",'J Book Items Cons.'!U$5:U$3360,"USCG",'J Book Items Cons.'!W$5:W$3360,"National Security Cutters",'J Book Items Cons.'!R$5:R$3360,"&lt;&gt;")+SUMIFS('J Book Items Cons.'!N$5:N$3360,'J Book Items Cons.'!E$5:E$3360,1,'J Book Items Cons.'!S$5:S$3360,"[PARENT]",'J Book Items Cons.'!U$5:U$3360,"USCG",'J Book Items Cons.'!W$5:W$3360,"National Security Cutters",'J Book Items Cons.'!R$5:R$3360,"",'J Book Items Cons.'!N$5:N$3360,"&lt;&gt;")+SUMIFS('J Book Items Cons.'!L$5:L$3360,'J Book Items Cons.'!E$5:E$3360,1,'J Book Items Cons.'!S$5:S$3360,"[PARENT]",'J Book Items Cons.'!U$5:U$3360,"USCG",'J Book Items Cons.'!W$5:W$3360,"National Security Cutters",'J Book Items Cons.'!R$5:R$3360,"",'J Book Items Cons.'!N$5:N$3360,""))/S79)</f>
        <v>0</v>
      </c>
      <c r="T70" s="38">
        <f t="shared" ref="T70:T78" si="7">IF(T$79=0,0,SUMPRODUCT(B70:S70,B$79:S$79)/T$79)</f>
        <v>0.63086995045652361</v>
      </c>
      <c r="U70" s="36"/>
      <c r="V70" s="36"/>
      <c r="W70" s="36"/>
      <c r="X70" s="36"/>
      <c r="Y70" s="36"/>
      <c r="AD70" s="36"/>
      <c r="AE70" s="36"/>
      <c r="AF70" s="36"/>
      <c r="AG70" s="36"/>
      <c r="AH70" s="36"/>
      <c r="AI70" s="36"/>
      <c r="AJ70" s="36"/>
      <c r="AK70" s="36"/>
      <c r="AL70" s="36"/>
      <c r="AM70" s="36"/>
      <c r="AN70" s="36"/>
      <c r="AO70" s="36"/>
      <c r="AP70" s="36"/>
    </row>
    <row r="71" spans="1:42" s="40" customFormat="1" ht="9.75" customHeight="1" x14ac:dyDescent="0.15">
      <c r="A71" s="4" t="s">
        <v>8849</v>
      </c>
      <c r="B71" s="37">
        <f>IF(B79=0,0,(SUMIFS('J Book Items Cons.'!R$5:R$3360,'J Book Items Cons.'!E$5:E$3360,1,'J Book Items Cons.'!F$5:F$3360,"Full ship DD&amp;C",'J Book Items Cons.'!S$5:S$3360,"",'J Book Items Cons.'!U$5:U$3360,"USN",'J Book Items Cons.'!W$5:W$3360,"Submarines",'J Book Items Cons.'!R$5:R$3360,"&lt;&gt;")+SUMIFS('J Book Items Cons.'!N$5:N$3360,'J Book Items Cons.'!E$5:E$3360,1,'J Book Items Cons.'!F$5:F$3360,"Full ship DD&amp;C",'J Book Items Cons.'!S$5:S$3360,"",'J Book Items Cons.'!U$5:U$3360,"USN",'J Book Items Cons.'!W$5:W$3360,"Submarines",'J Book Items Cons.'!R$5:R$3360,"",'J Book Items Cons.'!N$5:N$3360,"&lt;&gt;")+SUMIFS('J Book Items Cons.'!L$5:L$3360,'J Book Items Cons.'!E$5:E$3360,1,'J Book Items Cons.'!F$5:F$3360,"Full ship DD&amp;C",'J Book Items Cons.'!S$5:S$3360,"",'J Book Items Cons.'!U$5:U$3360,"USN",'J Book Items Cons.'!W$5:W$3360,"Submarines",'J Book Items Cons.'!R$5:R$3360,"",'J Book Items Cons.'!N$5:N$3360,"")+SUMIFS('J Book Items Cons.'!R$5:R$3360,'J Book Items Cons.'!E$5:E$3360,1,'J Book Items Cons.'!F$5:F$3360,"Full ship DD&amp;C",'J Book Items Cons.'!S$5:S$3360,"[PARENT]",'J Book Items Cons.'!U$5:U$3360,"USN",'J Book Items Cons.'!W$5:W$3360,"Submarines",'J Book Items Cons.'!R$5:R$3360,"&lt;&gt;")+SUMIFS('J Book Items Cons.'!N$5:N$3360,'J Book Items Cons.'!E$5:E$3360,1,'J Book Items Cons.'!F$5:F$3360,"Full ship DD&amp;C",'J Book Items Cons.'!S$5:S$3360,"[PARENT]",'J Book Items Cons.'!U$5:U$3360,"USN",'J Book Items Cons.'!W$5:W$3360,"Submarines",'J Book Items Cons.'!R$5:R$3360,"",'J Book Items Cons.'!N$5:N$3360,"&lt;&gt;")+SUMIFS('J Book Items Cons.'!L$5:L$3360,'J Book Items Cons.'!E$5:E$3360,1,'J Book Items Cons.'!F$5:F$3360,"Full ship DD&amp;C",'J Book Items Cons.'!S$5:S$3360,"[PARENT]",'J Book Items Cons.'!U$5:U$3360,"USN",'J Book Items Cons.'!W$5:W$3360,"Submarines",'J Book Items Cons.'!R$5:R$3360,"",'J Book Items Cons.'!N$5:N$3360,""))/B79)</f>
        <v>0.35767296254425274</v>
      </c>
      <c r="C71" s="38">
        <f>IF(C79=0,0,(SUMIFS('J Book Items Cons.'!R$5:R$3360,'J Book Items Cons.'!E$5:E$3360,1,'J Book Items Cons.'!F$5:F$3360,"Full ship DD&amp;C",'J Book Items Cons.'!S$5:S$3360,"",'J Book Items Cons.'!U$5:U$3360,"USN",'J Book Items Cons.'!W$5:W$3360,"Surface Combatants",'J Book Items Cons.'!R$5:R$3360,"&lt;&gt;")+SUMIFS('J Book Items Cons.'!N$5:N$3360,'J Book Items Cons.'!E$5:E$3360,1,'J Book Items Cons.'!F$5:F$3360,"Full ship DD&amp;C",'J Book Items Cons.'!S$5:S$3360,"",'J Book Items Cons.'!U$5:U$3360,"USN",'J Book Items Cons.'!W$5:W$3360,"Surface Combatants",'J Book Items Cons.'!R$5:R$3360,"",'J Book Items Cons.'!N$5:N$3360,"&lt;&gt;")+SUMIFS('J Book Items Cons.'!L$5:L$3360,'J Book Items Cons.'!E$5:E$3360,1,'J Book Items Cons.'!F$5:F$3360,"Full ship DD&amp;C",'J Book Items Cons.'!S$5:S$3360,"",'J Book Items Cons.'!U$5:U$3360,"USN",'J Book Items Cons.'!W$5:W$3360,"Surface Combatants",'J Book Items Cons.'!R$5:R$3360,"",'J Book Items Cons.'!N$5:N$3360,"")+SUMIFS('J Book Items Cons.'!R$5:R$3360,'J Book Items Cons.'!E$5:E$3360,1,'J Book Items Cons.'!F$5:F$3360,"Full ship DD&amp;C",'J Book Items Cons.'!S$5:S$3360,"[PARENT]",'J Book Items Cons.'!U$5:U$3360,"USN",'J Book Items Cons.'!W$5:W$3360,"Surface Combatants",'J Book Items Cons.'!R$5:R$3360,"&lt;&gt;")+SUMIFS('J Book Items Cons.'!N$5:N$3360,'J Book Items Cons.'!E$5:E$3360,1,'J Book Items Cons.'!F$5:F$3360,"Full ship DD&amp;C",'J Book Items Cons.'!S$5:S$3360,"[PARENT]",'J Book Items Cons.'!U$5:U$3360,"USN",'J Book Items Cons.'!W$5:W$3360,"Surface Combatants",'J Book Items Cons.'!R$5:R$3360,"",'J Book Items Cons.'!N$5:N$3360,"&lt;&gt;")+SUMIFS('J Book Items Cons.'!L$5:L$3360,'J Book Items Cons.'!E$5:E$3360,1,'J Book Items Cons.'!F$5:F$3360,"Full ship DD&amp;C",'J Book Items Cons.'!S$5:S$3360,"[PARENT]",'J Book Items Cons.'!U$5:U$3360,"USN",'J Book Items Cons.'!W$5:W$3360,"Surface Combatants",'J Book Items Cons.'!R$5:R$3360,"",'J Book Items Cons.'!N$5:N$3360,""))/C79)</f>
        <v>0.41989469091602799</v>
      </c>
      <c r="D71" s="38">
        <f>IF(D79=0,0,(SUMIFS('J Book Items Cons.'!R$5:R$3360,'J Book Items Cons.'!E$5:E$3360,1,'J Book Items Cons.'!F$5:F$3360,"Full ship DD&amp;C",'J Book Items Cons.'!S$5:S$3360,"",'J Book Items Cons.'!U$5:U$3360,"USN",'J Book Items Cons.'!W$5:W$3360,"Aircraft Carriers",'J Book Items Cons.'!R$5:R$3360,"&lt;&gt;")+SUMIFS('J Book Items Cons.'!N$5:N$3360,'J Book Items Cons.'!E$5:E$3360,1,'J Book Items Cons.'!F$5:F$3360,"Full ship DD&amp;C",'J Book Items Cons.'!S$5:S$3360,"",'J Book Items Cons.'!U$5:U$3360,"USN",'J Book Items Cons.'!W$5:W$3360,"Aircraft Carriers",'J Book Items Cons.'!R$5:R$3360,"",'J Book Items Cons.'!N$5:N$3360,"&lt;&gt;")+SUMIFS('J Book Items Cons.'!L$5:L$3360,'J Book Items Cons.'!E$5:E$3360,1,'J Book Items Cons.'!F$5:F$3360,"Full ship DD&amp;C",'J Book Items Cons.'!S$5:S$3360,"",'J Book Items Cons.'!U$5:U$3360,"USN",'J Book Items Cons.'!W$5:W$3360,"Aircraft Carriers",'J Book Items Cons.'!R$5:R$3360,"",'J Book Items Cons.'!N$5:N$3360,"")+SUMIFS('J Book Items Cons.'!R$5:R$3360,'J Book Items Cons.'!E$5:E$3360,1,'J Book Items Cons.'!F$5:F$3360,"Full ship DD&amp;C",'J Book Items Cons.'!S$5:S$3360,"[PARENT]",'J Book Items Cons.'!U$5:U$3360,"USN",'J Book Items Cons.'!W$5:W$3360,"Aircraft Carriers",'J Book Items Cons.'!R$5:R$3360,"&lt;&gt;")+SUMIFS('J Book Items Cons.'!N$5:N$3360,'J Book Items Cons.'!E$5:E$3360,1,'J Book Items Cons.'!F$5:F$3360,"Full ship DD&amp;C",'J Book Items Cons.'!S$5:S$3360,"[PARENT]",'J Book Items Cons.'!U$5:U$3360,"USN",'J Book Items Cons.'!W$5:W$3360,"Aircraft Carriers",'J Book Items Cons.'!R$5:R$3360,"",'J Book Items Cons.'!N$5:N$3360,"&lt;&gt;")+SUMIFS('J Book Items Cons.'!L$5:L$3360,'J Book Items Cons.'!E$5:E$3360,1,'J Book Items Cons.'!F$5:F$3360,"Full ship DD&amp;C",'J Book Items Cons.'!S$5:S$3360,"[PARENT]",'J Book Items Cons.'!U$5:U$3360,"USN",'J Book Items Cons.'!W$5:W$3360,"Aircraft Carriers",'J Book Items Cons.'!R$5:R$3360,"",'J Book Items Cons.'!N$5:N$3360,""))/D79)</f>
        <v>0.31611405059747805</v>
      </c>
      <c r="E71" s="38">
        <f>IF(E79=0,0,(SUMIFS('J Book Items Cons.'!R$5:R$3360,'J Book Items Cons.'!E$5:E$3360,1,'J Book Items Cons.'!F$5:F$3360,"Full ship DD&amp;C",'J Book Items Cons.'!S$5:S$3360,"",'J Book Items Cons.'!U$5:U$3360,"USN",'J Book Items Cons.'!W$5:W$3360,"Amphibious Warfare Ships",'J Book Items Cons.'!R$5:R$3360,"&lt;&gt;")+SUMIFS('J Book Items Cons.'!N$5:N$3360,'J Book Items Cons.'!E$5:E$3360,1,'J Book Items Cons.'!F$5:F$3360,"Full ship DD&amp;C",'J Book Items Cons.'!S$5:S$3360,"",'J Book Items Cons.'!U$5:U$3360,"USN",'J Book Items Cons.'!W$5:W$3360,"Amphibious Warfare Ships",'J Book Items Cons.'!R$5:R$3360,"",'J Book Items Cons.'!N$5:N$3360,"&lt;&gt;")+SUMIFS('J Book Items Cons.'!L$5:L$3360,'J Book Items Cons.'!E$5:E$3360,1,'J Book Items Cons.'!F$5:F$3360,"Full ship DD&amp;C",'J Book Items Cons.'!S$5:S$3360,"",'J Book Items Cons.'!U$5:U$3360,"USN",'J Book Items Cons.'!W$5:W$3360,"Amphibious Warfare Ships",'J Book Items Cons.'!R$5:R$3360,"",'J Book Items Cons.'!N$5:N$3360,"")+SUMIFS('J Book Items Cons.'!R$5:R$3360,'J Book Items Cons.'!E$5:E$3360,1,'J Book Items Cons.'!F$5:F$3360,"Full ship DD&amp;C",'J Book Items Cons.'!S$5:S$3360,"[PARENT]",'J Book Items Cons.'!U$5:U$3360,"USN",'J Book Items Cons.'!W$5:W$3360,"Amphibious Warfare Ships",'J Book Items Cons.'!R$5:R$3360,"&lt;&gt;")+SUMIFS('J Book Items Cons.'!N$5:N$3360,'J Book Items Cons.'!E$5:E$3360,1,'J Book Items Cons.'!F$5:F$3360,"Full ship DD&amp;C",'J Book Items Cons.'!S$5:S$3360,"[PARENT]",'J Book Items Cons.'!U$5:U$3360,"USN",'J Book Items Cons.'!W$5:W$3360,"Amphibious Warfare Ships",'J Book Items Cons.'!R$5:R$3360,"",'J Book Items Cons.'!N$5:N$3360,"&lt;&gt;")+SUMIFS('J Book Items Cons.'!L$5:L$3360,'J Book Items Cons.'!E$5:E$3360,1,'J Book Items Cons.'!F$5:F$3360,"Full ship DD&amp;C",'J Book Items Cons.'!S$5:S$3360,"[PARENT]",'J Book Items Cons.'!U$5:U$3360,"USN",'J Book Items Cons.'!W$5:W$3360,"Amphibious Warfare Ships",'J Book Items Cons.'!R$5:R$3360,"",'J Book Items Cons.'!N$5:N$3360,""))/E79)</f>
        <v>0.443414435945165</v>
      </c>
      <c r="F71" s="38">
        <f>IF(F79=0,0,(SUMIFS('J Book Items Cons.'!R$5:R$3360,'J Book Items Cons.'!E$5:E$3360,1,'J Book Items Cons.'!F$5:F$3360,"Full ship DD&amp;C",'J Book Items Cons.'!S$5:S$3360,"",'J Book Items Cons.'!U$5:U$3360,"USN",'J Book Items Cons.'!W$5:W$3360,"Expeditionary &amp; Seabasing Ships",'J Book Items Cons.'!R$5:R$3360,"&lt;&gt;")+SUMIFS('J Book Items Cons.'!N$5:N$3360,'J Book Items Cons.'!E$5:E$3360,1,'J Book Items Cons.'!F$5:F$3360,"Full ship DD&amp;C",'J Book Items Cons.'!S$5:S$3360,"",'J Book Items Cons.'!U$5:U$3360,"USN",'J Book Items Cons.'!W$5:W$3360,"Expeditionary &amp; Seabasing Ships",'J Book Items Cons.'!R$5:R$3360,"",'J Book Items Cons.'!N$5:N$3360,"&lt;&gt;")+SUMIFS('J Book Items Cons.'!L$5:L$3360,'J Book Items Cons.'!E$5:E$3360,1,'J Book Items Cons.'!F$5:F$3360,"Full ship DD&amp;C",'J Book Items Cons.'!S$5:S$3360,"",'J Book Items Cons.'!U$5:U$3360,"USN",'J Book Items Cons.'!W$5:W$3360,"Expeditionary &amp; Seabasing Ships",'J Book Items Cons.'!R$5:R$3360,"",'J Book Items Cons.'!N$5:N$3360,"")+SUMIFS('J Book Items Cons.'!R$5:R$3360,'J Book Items Cons.'!E$5:E$3360,1,'J Book Items Cons.'!F$5:F$3360,"Full ship DD&amp;C",'J Book Items Cons.'!S$5:S$3360,"[PARENT]",'J Book Items Cons.'!U$5:U$3360,"USN",'J Book Items Cons.'!W$5:W$3360,"Expeditionary &amp; Seabasing Ships",'J Book Items Cons.'!R$5:R$3360,"&lt;&gt;")+SUMIFS('J Book Items Cons.'!N$5:N$3360,'J Book Items Cons.'!E$5:E$3360,1,'J Book Items Cons.'!F$5:F$3360,"Full ship DD&amp;C",'J Book Items Cons.'!S$5:S$3360,"[PARENT]",'J Book Items Cons.'!U$5:U$3360,"USN",'J Book Items Cons.'!W$5:W$3360,"Expeditionary &amp; Seabasing Ships",'J Book Items Cons.'!R$5:R$3360,"",'J Book Items Cons.'!N$5:N$3360,"&lt;&gt;")+SUMIFS('J Book Items Cons.'!L$5:L$3360,'J Book Items Cons.'!E$5:E$3360,1,'J Book Items Cons.'!F$5:F$3360,"Full ship DD&amp;C",'J Book Items Cons.'!S$5:S$3360,"[PARENT]",'J Book Items Cons.'!U$5:U$3360,"USN",'J Book Items Cons.'!W$5:W$3360,"Expeditionary &amp; Seabasing Ships",'J Book Items Cons.'!R$5:R$3360,"",'J Book Items Cons.'!N$5:N$3360,""))/F79)</f>
        <v>0.97815213067598694</v>
      </c>
      <c r="G71" s="38">
        <f>IF(G79=0,0,(SUMIFS('J Book Items Cons.'!R$5:R$3360,'J Book Items Cons.'!E$5:E$3360,1,'J Book Items Cons.'!F$5:F$3360,"Full ship DD&amp;C",'J Book Items Cons.'!S$5:S$3360,"",'J Book Items Cons.'!U$5:U$3360,"MSC",'J Book Items Cons.'!W$5:W$3360,"Combat Logistics Ships",'J Book Items Cons.'!R$5:R$3360,"&lt;&gt;")+SUMIFS('J Book Items Cons.'!N$5:N$3360,'J Book Items Cons.'!E$5:E$3360,1,'J Book Items Cons.'!F$5:F$3360,"Full ship DD&amp;C",'J Book Items Cons.'!S$5:S$3360,"",'J Book Items Cons.'!U$5:U$3360,"MSC",'J Book Items Cons.'!W$5:W$3360,"Combat Logistics Ships",'J Book Items Cons.'!R$5:R$3360,"",'J Book Items Cons.'!N$5:N$3360,"&lt;&gt;")+SUMIFS('J Book Items Cons.'!L$5:L$3360,'J Book Items Cons.'!E$5:E$3360,1,'J Book Items Cons.'!F$5:F$3360,"Full ship DD&amp;C",'J Book Items Cons.'!S$5:S$3360,"",'J Book Items Cons.'!U$5:U$3360,"MSC",'J Book Items Cons.'!W$5:W$3360,"Combat Logistics Ships",'J Book Items Cons.'!R$5:R$3360,"",'J Book Items Cons.'!N$5:N$3360,"")+SUMIFS('J Book Items Cons.'!R$5:R$3360,'J Book Items Cons.'!E$5:E$3360,1,'J Book Items Cons.'!F$5:F$3360,"Full ship DD&amp;C",'J Book Items Cons.'!S$5:S$3360,"[PARENT]",'J Book Items Cons.'!U$5:U$3360,"MSC",'J Book Items Cons.'!W$5:W$3360,"Combat Logistics Ships",'J Book Items Cons.'!R$5:R$3360,"&lt;&gt;")+SUMIFS('J Book Items Cons.'!N$5:N$3360,'J Book Items Cons.'!E$5:E$3360,1,'J Book Items Cons.'!F$5:F$3360,"Full ship DD&amp;C",'J Book Items Cons.'!S$5:S$3360,"[PARENT]",'J Book Items Cons.'!U$5:U$3360,"MSC",'J Book Items Cons.'!W$5:W$3360,"Combat Logistics Ships",'J Book Items Cons.'!R$5:R$3360,"",'J Book Items Cons.'!N$5:N$3360,"&lt;&gt;")+SUMIFS('J Book Items Cons.'!L$5:L$3360,'J Book Items Cons.'!E$5:E$3360,1,'J Book Items Cons.'!F$5:F$3360,"Full ship DD&amp;C",'J Book Items Cons.'!S$5:S$3360,"[PARENT]",'J Book Items Cons.'!U$5:U$3360,"MSC",'J Book Items Cons.'!W$5:W$3360,"Combat Logistics Ships",'J Book Items Cons.'!R$5:R$3360,"",'J Book Items Cons.'!N$5:N$3360,""))/G79)</f>
        <v>1</v>
      </c>
      <c r="H71" s="38"/>
      <c r="I71" s="38">
        <f>IF(I79=0,0,(SUMIFS('J Book Items Cons.'!R$5:R$3360,'J Book Items Cons.'!E$5:E$3360,1,'J Book Items Cons.'!F$5:F$3360,"Full ship DD&amp;C",'J Book Items Cons.'!S$5:S$3360,"",'J Book Items Cons.'!U$5:U$3360,"USN",'J Book Items Cons.'!W$5:W$3360,"Amphibious Warfare Craft",'J Book Items Cons.'!R$5:R$3360,"&lt;&gt;")+SUMIFS('J Book Items Cons.'!N$5:N$3360,'J Book Items Cons.'!E$5:E$3360,1,'J Book Items Cons.'!F$5:F$3360,"Full ship DD&amp;C",'J Book Items Cons.'!S$5:S$3360,"",'J Book Items Cons.'!U$5:U$3360,"USN",'J Book Items Cons.'!W$5:W$3360,"Amphibious Warfare Craft",'J Book Items Cons.'!R$5:R$3360,"",'J Book Items Cons.'!N$5:N$3360,"&lt;&gt;")+SUMIFS('J Book Items Cons.'!L$5:L$3360,'J Book Items Cons.'!E$5:E$3360,1,'J Book Items Cons.'!F$5:F$3360,"Full ship DD&amp;C",'J Book Items Cons.'!S$5:S$3360,"",'J Book Items Cons.'!U$5:U$3360,"USN",'J Book Items Cons.'!W$5:W$3360,"Amphibious Warfare Craft",'J Book Items Cons.'!R$5:R$3360,"",'J Book Items Cons.'!N$5:N$3360,"")+SUMIFS('J Book Items Cons.'!R$5:R$3360,'J Book Items Cons.'!E$5:E$3360,1,'J Book Items Cons.'!F$5:F$3360,"Full ship DD&amp;C",'J Book Items Cons.'!S$5:S$3360,"[PARENT]",'J Book Items Cons.'!U$5:U$3360,"USN",'J Book Items Cons.'!W$5:W$3360,"Amphibious Warfare Craft",'J Book Items Cons.'!R$5:R$3360,"&lt;&gt;")+SUMIFS('J Book Items Cons.'!N$5:N$3360,'J Book Items Cons.'!E$5:E$3360,1,'J Book Items Cons.'!F$5:F$3360,"Full ship DD&amp;C",'J Book Items Cons.'!S$5:S$3360,"[PARENT]",'J Book Items Cons.'!U$5:U$3360,"USN",'J Book Items Cons.'!W$5:W$3360,"Amphibious Warfare Craft",'J Book Items Cons.'!R$5:R$3360,"",'J Book Items Cons.'!N$5:N$3360,"&lt;&gt;")+SUMIFS('J Book Items Cons.'!L$5:L$3360,'J Book Items Cons.'!E$5:E$3360,1,'J Book Items Cons.'!F$5:F$3360,"Full ship DD&amp;C",'J Book Items Cons.'!S$5:S$3360,"[PARENT]",'J Book Items Cons.'!U$5:U$3360,"USN",'J Book Items Cons.'!W$5:W$3360,"Amphibious Warfare Craft",'J Book Items Cons.'!R$5:R$3360,"",'J Book Items Cons.'!N$5:N$3360,""))/I79)</f>
        <v>0.92697266386001009</v>
      </c>
      <c r="J71" s="38">
        <f>IF(J79=0,0,(SUMIFS('J Book Items Cons.'!R$5:R$3360,'J Book Items Cons.'!E$5:E$3360,1,'J Book Items Cons.'!F$5:F$3360,"Full ship DD&amp;C",'J Book Items Cons.'!S$5:S$3360,"",'J Book Items Cons.'!U$5:U$3360,"MSC",'J Book Items Cons.'!W$5:W$3360,"Cargo &amp; Vehicle Cargo Ships",'J Book Items Cons.'!R$5:R$3360,"&lt;&gt;")+SUMIFS('J Book Items Cons.'!N$5:N$3360,'J Book Items Cons.'!E$5:E$3360,1,'J Book Items Cons.'!F$5:F$3360,"Full ship DD&amp;C",'J Book Items Cons.'!S$5:S$3360,"",'J Book Items Cons.'!U$5:U$3360,"MSC",'J Book Items Cons.'!W$5:W$3360,"Cargo &amp; Vehicle Cargo Ships",'J Book Items Cons.'!R$5:R$3360,"",'J Book Items Cons.'!N$5:N$3360,"&lt;&gt;")+SUMIFS('J Book Items Cons.'!L$5:L$3360,'J Book Items Cons.'!E$5:E$3360,1,'J Book Items Cons.'!F$5:F$3360,"Full ship DD&amp;C",'J Book Items Cons.'!S$5:S$3360,"",'J Book Items Cons.'!U$5:U$3360,"MSC",'J Book Items Cons.'!W$5:W$3360,"Cargo &amp; Vehicle Cargo Ships",'J Book Items Cons.'!R$5:R$3360,"",'J Book Items Cons.'!N$5:N$3360,"")+SUMIFS('J Book Items Cons.'!R$5:R$3360,'J Book Items Cons.'!E$5:E$3360,1,'J Book Items Cons.'!F$5:F$3360,"Full ship DD&amp;C",'J Book Items Cons.'!S$5:S$3360,"[PARENT]",'J Book Items Cons.'!U$5:U$3360,"MSC",'J Book Items Cons.'!W$5:W$3360,"Cargo &amp; Vehicle Cargo Ships",'J Book Items Cons.'!R$5:R$3360,"&lt;&gt;")+SUMIFS('J Book Items Cons.'!N$5:N$3360,'J Book Items Cons.'!E$5:E$3360,1,'J Book Items Cons.'!F$5:F$3360,"Full ship DD&amp;C",'J Book Items Cons.'!S$5:S$3360,"[PARENT]",'J Book Items Cons.'!U$5:U$3360,"MSC",'J Book Items Cons.'!W$5:W$3360,"Cargo &amp; Vehicle Cargo Ships",'J Book Items Cons.'!R$5:R$3360,"",'J Book Items Cons.'!N$5:N$3360,"&lt;&gt;")+SUMIFS('J Book Items Cons.'!L$5:L$3360,'J Book Items Cons.'!E$5:E$3360,1,'J Book Items Cons.'!F$5:F$3360,"Full ship DD&amp;C",'J Book Items Cons.'!S$5:S$3360,"[PARENT]",'J Book Items Cons.'!U$5:U$3360,"MSC",'J Book Items Cons.'!W$5:W$3360,"Cargo &amp; Vehicle Cargo Ships",'J Book Items Cons.'!R$5:R$3360,"",'J Book Items Cons.'!N$5:N$3360,""))/J79)</f>
        <v>1</v>
      </c>
      <c r="K71" s="38">
        <f>IF(K79=0,0,(SUMIFS('J Book Items Cons.'!R$5:R$3360,'J Book Items Cons.'!E$5:E$3360,1,'J Book Items Cons.'!F$5:F$3360,"Full ship DD&amp;C",'J Book Items Cons.'!S$5:S$3360,"",'J Book Items Cons.'!U$5:U$3360,"MSC",'J Book Items Cons.'!W$5:W$3360,"Surveillance Ships",'J Book Items Cons.'!R$5:R$3360,"&lt;&gt;")+SUMIFS('J Book Items Cons.'!N$5:N$3360,'J Book Items Cons.'!E$5:E$3360,1,'J Book Items Cons.'!F$5:F$3360,"Full ship DD&amp;C",'J Book Items Cons.'!S$5:S$3360,"",'J Book Items Cons.'!U$5:U$3360,"MSC",'J Book Items Cons.'!W$5:W$3360,"Surveillance Ships",'J Book Items Cons.'!R$5:R$3360,"",'J Book Items Cons.'!N$5:N$3360,"&lt;&gt;")+SUMIFS('J Book Items Cons.'!L$5:L$3360,'J Book Items Cons.'!E$5:E$3360,1,'J Book Items Cons.'!F$5:F$3360,"Full ship DD&amp;C",'J Book Items Cons.'!S$5:S$3360,"",'J Book Items Cons.'!U$5:U$3360,"MSC",'J Book Items Cons.'!W$5:W$3360,"Surveillance Ships",'J Book Items Cons.'!R$5:R$3360,"",'J Book Items Cons.'!N$5:N$3360,"")+SUMIFS('J Book Items Cons.'!R$5:R$3360,'J Book Items Cons.'!E$5:E$3360,1,'J Book Items Cons.'!F$5:F$3360,"Full ship DD&amp;C",'J Book Items Cons.'!S$5:S$3360,"[PARENT]",'J Book Items Cons.'!U$5:U$3360,"MSC",'J Book Items Cons.'!W$5:W$3360,"Surveillance Ships",'J Book Items Cons.'!R$5:R$3360,"&lt;&gt;")+SUMIFS('J Book Items Cons.'!N$5:N$3360,'J Book Items Cons.'!E$5:E$3360,1,'J Book Items Cons.'!F$5:F$3360,"Full ship DD&amp;C",'J Book Items Cons.'!S$5:S$3360,"[PARENT]",'J Book Items Cons.'!U$5:U$3360,"MSC",'J Book Items Cons.'!W$5:W$3360,"Surveillance Ships",'J Book Items Cons.'!R$5:R$3360,"",'J Book Items Cons.'!N$5:N$3360,"&lt;&gt;")+SUMIFS('J Book Items Cons.'!L$5:L$3360,'J Book Items Cons.'!E$5:E$3360,1,'J Book Items Cons.'!F$5:F$3360,"Full ship DD&amp;C",'J Book Items Cons.'!S$5:S$3360,"[PARENT]",'J Book Items Cons.'!U$5:U$3360,"MSC",'J Book Items Cons.'!W$5:W$3360,"Surveillance Ships",'J Book Items Cons.'!R$5:R$3360,"",'J Book Items Cons.'!N$5:N$3360,""))/K79)</f>
        <v>0.95155383960184903</v>
      </c>
      <c r="L71" s="38"/>
      <c r="M71" s="38">
        <f>IF(M79=0,0,(SUMIFS('J Book Items Cons.'!R$5:R$3360,'J Book Items Cons.'!E$5:E$3360,1,'J Book Items Cons.'!F$5:F$3360,"Full ship DD&amp;C",'J Book Items Cons.'!S$5:S$3360,"",'J Book Items Cons.'!U$5:U$3360,"USN",'J Book Items Cons.'!W$5:W$3360,"Command Ships",'J Book Items Cons.'!R$5:R$3360,"&lt;&gt;")+SUMIFS('J Book Items Cons.'!N$5:N$3360,'J Book Items Cons.'!E$5:E$3360,1,'J Book Items Cons.'!F$5:F$3360,"Full ship DD&amp;C",'J Book Items Cons.'!S$5:S$3360,"",'J Book Items Cons.'!U$5:U$3360,"USN",'J Book Items Cons.'!W$5:W$3360,"Command Ships",'J Book Items Cons.'!R$5:R$3360,"",'J Book Items Cons.'!N$5:N$3360,"&lt;&gt;")+SUMIFS('J Book Items Cons.'!L$5:L$3360,'J Book Items Cons.'!E$5:E$3360,1,'J Book Items Cons.'!F$5:F$3360,"Full ship DD&amp;C",'J Book Items Cons.'!S$5:S$3360,"",'J Book Items Cons.'!U$5:U$3360,"USN",'J Book Items Cons.'!W$5:W$3360,"Command Ships",'J Book Items Cons.'!R$5:R$3360,"",'J Book Items Cons.'!N$5:N$3360,"")+SUMIFS('J Book Items Cons.'!R$5:R$3360,'J Book Items Cons.'!E$5:E$3360,1,'J Book Items Cons.'!F$5:F$3360,"Full ship DD&amp;C",'J Book Items Cons.'!S$5:S$3360,"[PARENT]",'J Book Items Cons.'!U$5:U$3360,"USN",'J Book Items Cons.'!W$5:W$3360,"Command Ships",'J Book Items Cons.'!R$5:R$3360,"&lt;&gt;")+SUMIFS('J Book Items Cons.'!N$5:N$3360,'J Book Items Cons.'!E$5:E$3360,1,'J Book Items Cons.'!F$5:F$3360,"Full ship DD&amp;C",'J Book Items Cons.'!S$5:S$3360,"[PARENT]",'J Book Items Cons.'!U$5:U$3360,"USN",'J Book Items Cons.'!W$5:W$3360,"Command Ships",'J Book Items Cons.'!R$5:R$3360,"",'J Book Items Cons.'!N$5:N$3360,"&lt;&gt;")+SUMIFS('J Book Items Cons.'!L$5:L$3360,'J Book Items Cons.'!E$5:E$3360,1,'J Book Items Cons.'!F$5:F$3360,"Full ship DD&amp;C",'J Book Items Cons.'!S$5:S$3360,"[PARENT]",'J Book Items Cons.'!U$5:U$3360,"USN",'J Book Items Cons.'!W$5:W$3360,"Command Ships",'J Book Items Cons.'!R$5:R$3360,"",'J Book Items Cons.'!N$5:N$3360,""))/M79)</f>
        <v>0</v>
      </c>
      <c r="N71" s="39">
        <f>IF(N79=0,0,(SUMIFS('J Book Items Cons.'!R$5:R$3360,'J Book Items Cons.'!E$5:E$3360,1,'J Book Items Cons.'!F$5:F$3360,"Full ship DD&amp;C",'J Book Items Cons.'!S$5:S$3360,"",'J Book Items Cons.'!U$5:U$3360,"USN",'J Book Items Cons.'!W$5:W$3360,"Mine Warfare",'J Book Items Cons.'!R$5:R$3360,"&lt;&gt;")+SUMIFS('J Book Items Cons.'!N$5:N$3360,'J Book Items Cons.'!E$5:E$3360,1,'J Book Items Cons.'!F$5:F$3360,"Full ship DD&amp;C",'J Book Items Cons.'!S$5:S$3360,"",'J Book Items Cons.'!U$5:U$3360,"USN",'J Book Items Cons.'!W$5:W$3360,"Mine Warfare",'J Book Items Cons.'!R$5:R$3360,"",'J Book Items Cons.'!N$5:N$3360,"&lt;&gt;")+SUMIFS('J Book Items Cons.'!L$5:L$3360,'J Book Items Cons.'!E$5:E$3360,1,'J Book Items Cons.'!F$5:F$3360,"Full ship DD&amp;C",'J Book Items Cons.'!S$5:S$3360,"",'J Book Items Cons.'!U$5:U$3360,"USN",'J Book Items Cons.'!W$5:W$3360,"Mine Warfare",'J Book Items Cons.'!R$5:R$3360,"",'J Book Items Cons.'!N$5:N$3360,"")+SUMIFS('J Book Items Cons.'!R$5:R$3360,'J Book Items Cons.'!E$5:E$3360,1,'J Book Items Cons.'!F$5:F$3360,"Full ship DD&amp;C",'J Book Items Cons.'!S$5:S$3360,"[PARENT]",'J Book Items Cons.'!U$5:U$3360,"USN",'J Book Items Cons.'!W$5:W$3360,"Mine Warfare",'J Book Items Cons.'!R$5:R$3360,"&lt;&gt;")+SUMIFS('J Book Items Cons.'!N$5:N$3360,'J Book Items Cons.'!E$5:E$3360,1,'J Book Items Cons.'!F$5:F$3360,"Full ship DD&amp;C",'J Book Items Cons.'!S$5:S$3360,"[PARENT]",'J Book Items Cons.'!U$5:U$3360,"USN",'J Book Items Cons.'!W$5:W$3360,"Mine Warfare",'J Book Items Cons.'!R$5:R$3360,"",'J Book Items Cons.'!N$5:N$3360,"&lt;&gt;")+SUMIFS('J Book Items Cons.'!L$5:L$3360,'J Book Items Cons.'!E$5:E$3360,1,'J Book Items Cons.'!F$5:F$3360,"Full ship DD&amp;C",'J Book Items Cons.'!S$5:S$3360,"[PARENT]",'J Book Items Cons.'!U$5:U$3360,"USN",'J Book Items Cons.'!W$5:W$3360,"Mine Warfare",'J Book Items Cons.'!R$5:R$3360,"",'J Book Items Cons.'!N$5:N$3360,""))/N79)</f>
        <v>0</v>
      </c>
      <c r="O71" s="37"/>
      <c r="P71" s="38">
        <f>IF(P79=0,0,(SUMIFS('J Book Items Cons.'!R$5:R$3360,'J Book Items Cons.'!E$5:E$3360,1,'J Book Items Cons.'!F$5:F$3360,"Full ship DD&amp;C",'J Book Items Cons.'!S$5:S$3360,"",'J Book Items Cons.'!U$5:U$3360,"USCG",'J Book Items Cons.'!W$5:W$3360,"Fast Response Cutters",'J Book Items Cons.'!R$5:R$3360,"&lt;&gt;")+SUMIFS('J Book Items Cons.'!N$5:N$3360,'J Book Items Cons.'!E$5:E$3360,1,'J Book Items Cons.'!F$5:F$3360,"Full ship DD&amp;C",'J Book Items Cons.'!S$5:S$3360,"",'J Book Items Cons.'!U$5:U$3360,"USCG",'J Book Items Cons.'!W$5:W$3360,"Fast Response Cutters",'J Book Items Cons.'!R$5:R$3360,"",'J Book Items Cons.'!N$5:N$3360,"&lt;&gt;")+SUMIFS('J Book Items Cons.'!L$5:L$3360,'J Book Items Cons.'!E$5:E$3360,1,'J Book Items Cons.'!F$5:F$3360,"Full ship DD&amp;C",'J Book Items Cons.'!S$5:S$3360,"",'J Book Items Cons.'!U$5:U$3360,"USCG",'J Book Items Cons.'!W$5:W$3360,"Fast Response Cutters",'J Book Items Cons.'!R$5:R$3360,"",'J Book Items Cons.'!N$5:N$3360,"")+SUMIFS('J Book Items Cons.'!R$5:R$3360,'J Book Items Cons.'!E$5:E$3360,1,'J Book Items Cons.'!F$5:F$3360,"Full ship DD&amp;C",'J Book Items Cons.'!S$5:S$3360,"[PARENT]",'J Book Items Cons.'!U$5:U$3360,"USCG",'J Book Items Cons.'!W$5:W$3360,"Fast Response Cutters",'J Book Items Cons.'!R$5:R$3360,"&lt;&gt;")+SUMIFS('J Book Items Cons.'!N$5:N$3360,'J Book Items Cons.'!E$5:E$3360,1,'J Book Items Cons.'!F$5:F$3360,"Full ship DD&amp;C",'J Book Items Cons.'!S$5:S$3360,"[PARENT]",'J Book Items Cons.'!U$5:U$3360,"USCG",'J Book Items Cons.'!W$5:W$3360,"Fast Response Cutters",'J Book Items Cons.'!R$5:R$3360,"",'J Book Items Cons.'!N$5:N$3360,"&lt;&gt;")+SUMIFS('J Book Items Cons.'!L$5:L$3360,'J Book Items Cons.'!E$5:E$3360,1,'J Book Items Cons.'!F$5:F$3360,"Full ship DD&amp;C",'J Book Items Cons.'!S$5:S$3360,"[PARENT]",'J Book Items Cons.'!U$5:U$3360,"USCG",'J Book Items Cons.'!W$5:W$3360,"Fast Response Cutters",'J Book Items Cons.'!R$5:R$3360,"",'J Book Items Cons.'!N$5:N$3360,""))/P79)</f>
        <v>1</v>
      </c>
      <c r="Q71" s="38"/>
      <c r="R71" s="38"/>
      <c r="S71" s="39">
        <f>IF(S79=0,0,(SUMIFS('J Book Items Cons.'!R$5:R$3360,'J Book Items Cons.'!E$5:E$3360,1,'J Book Items Cons.'!F$5:F$3360,"Full ship DD&amp;C",'J Book Items Cons.'!S$5:S$3360,"",'J Book Items Cons.'!U$5:U$3360,"USCG",'J Book Items Cons.'!W$5:W$3360,"National Security Cutters",'J Book Items Cons.'!R$5:R$3360,"&lt;&gt;")+SUMIFS('J Book Items Cons.'!N$5:N$3360,'J Book Items Cons.'!E$5:E$3360,1,'J Book Items Cons.'!F$5:F$3360,"Full ship DD&amp;C",'J Book Items Cons.'!S$5:S$3360,"",'J Book Items Cons.'!U$5:U$3360,"USCG",'J Book Items Cons.'!W$5:W$3360,"National Security Cutters",'J Book Items Cons.'!R$5:R$3360,"",'J Book Items Cons.'!N$5:N$3360,"&lt;&gt;")+SUMIFS('J Book Items Cons.'!L$5:L$3360,'J Book Items Cons.'!E$5:E$3360,1,'J Book Items Cons.'!F$5:F$3360,"Full ship DD&amp;C",'J Book Items Cons.'!S$5:S$3360,"",'J Book Items Cons.'!U$5:U$3360,"USCG",'J Book Items Cons.'!W$5:W$3360,"National Security Cutters",'J Book Items Cons.'!R$5:R$3360,"",'J Book Items Cons.'!N$5:N$3360,"")+SUMIFS('J Book Items Cons.'!R$5:R$3360,'J Book Items Cons.'!E$5:E$3360,1,'J Book Items Cons.'!F$5:F$3360,"Full ship DD&amp;C",'J Book Items Cons.'!S$5:S$3360,"[PARENT]",'J Book Items Cons.'!U$5:U$3360,"USCG",'J Book Items Cons.'!W$5:W$3360,"National Security Cutters",'J Book Items Cons.'!R$5:R$3360,"&lt;&gt;")+SUMIFS('J Book Items Cons.'!N$5:N$3360,'J Book Items Cons.'!E$5:E$3360,1,'J Book Items Cons.'!F$5:F$3360,"Full ship DD&amp;C",'J Book Items Cons.'!S$5:S$3360,"[PARENT]",'J Book Items Cons.'!U$5:U$3360,"USCG",'J Book Items Cons.'!W$5:W$3360,"National Security Cutters",'J Book Items Cons.'!R$5:R$3360,"",'J Book Items Cons.'!N$5:N$3360,"&lt;&gt;")+SUMIFS('J Book Items Cons.'!L$5:L$3360,'J Book Items Cons.'!E$5:E$3360,1,'J Book Items Cons.'!F$5:F$3360,"Full ship DD&amp;C",'J Book Items Cons.'!S$5:S$3360,"[PARENT]",'J Book Items Cons.'!U$5:U$3360,"USCG",'J Book Items Cons.'!W$5:W$3360,"National Security Cutters",'J Book Items Cons.'!R$5:R$3360,"",'J Book Items Cons.'!N$5:N$3360,""))/S79)</f>
        <v>0</v>
      </c>
      <c r="T71" s="38">
        <f t="shared" si="7"/>
        <v>0.42329464229874408</v>
      </c>
    </row>
    <row r="72" spans="1:42" s="40" customFormat="1" ht="9.75" customHeight="1" x14ac:dyDescent="0.15">
      <c r="A72" s="4" t="s">
        <v>8850</v>
      </c>
      <c r="B72" s="37">
        <f>IF(B79=0,0,(SUMIFS('J Book Items Cons.'!R$5:R$3360,'J Book Items Cons.'!E$5:E$3360,1,'J Book Items Cons.'!F$5:F$3360,"Advance procurement / LLTM",'J Book Items Cons.'!S$5:S$3360,"",'J Book Items Cons.'!U$5:U$3360,"USN",'J Book Items Cons.'!W$5:W$3360,"Submarines",'J Book Items Cons.'!R$5:R$3360,"&lt;&gt;")+SUMIFS('J Book Items Cons.'!N$5:N$3360,'J Book Items Cons.'!E$5:E$3360,1,'J Book Items Cons.'!F$5:F$3360,"Advance procurement / LLTM",'J Book Items Cons.'!S$5:S$3360,"",'J Book Items Cons.'!U$5:U$3360,"USN",'J Book Items Cons.'!W$5:W$3360,"Submarines",'J Book Items Cons.'!R$5:R$3360,"",'J Book Items Cons.'!N$5:N$3360,"&lt;&gt;")+SUMIFS('J Book Items Cons.'!L$5:L$3360,'J Book Items Cons.'!E$5:E$3360,1,'J Book Items Cons.'!F$5:F$3360,"Advance procurement / LLTM",'J Book Items Cons.'!S$5:S$3360,"",'J Book Items Cons.'!U$5:U$3360,"USN",'J Book Items Cons.'!W$5:W$3360,"Submarines",'J Book Items Cons.'!R$5:R$3360,"",'J Book Items Cons.'!N$5:N$3360,"")+SUMIFS('J Book Items Cons.'!R$5:R$3360,'J Book Items Cons.'!E$5:E$3360,1,'J Book Items Cons.'!F$5:F$3360,"Advance procurement / LLTM",'J Book Items Cons.'!S$5:S$3360,"[PARENT]",'J Book Items Cons.'!U$5:U$3360,"USN",'J Book Items Cons.'!W$5:W$3360,"Submarines",'J Book Items Cons.'!R$5:R$3360,"&lt;&gt;")+SUMIFS('J Book Items Cons.'!N$5:N$3360,'J Book Items Cons.'!E$5:E$3360,1,'J Book Items Cons.'!F$5:F$3360,"Advance procurement / LLTM",'J Book Items Cons.'!S$5:S$3360,"[PARENT]",'J Book Items Cons.'!U$5:U$3360,"USN",'J Book Items Cons.'!W$5:W$3360,"Submarines",'J Book Items Cons.'!R$5:R$3360,"",'J Book Items Cons.'!N$5:N$3360,"&lt;&gt;")+SUMIFS('J Book Items Cons.'!L$5:L$3360,'J Book Items Cons.'!E$5:E$3360,1,'J Book Items Cons.'!F$5:F$3360,"Advance procurement / LLTM",'J Book Items Cons.'!S$5:S$3360,"[PARENT]",'J Book Items Cons.'!U$5:U$3360,"USN",'J Book Items Cons.'!W$5:W$3360,"Submarines",'J Book Items Cons.'!R$5:R$3360,"",'J Book Items Cons.'!N$5:N$3360,""))/B79)</f>
        <v>0.26907144224421092</v>
      </c>
      <c r="C72" s="38">
        <f>IF(C79=0,0,(SUMIFS('J Book Items Cons.'!R$5:R$3360,'J Book Items Cons.'!E$5:E$3360,1,'J Book Items Cons.'!F$5:F$3360,"Advance procurement / LLTM",'J Book Items Cons.'!S$5:S$3360,"",'J Book Items Cons.'!U$5:U$3360,"USN",'J Book Items Cons.'!W$5:W$3360,"Surface Combatants",'J Book Items Cons.'!R$5:R$3360,"&lt;&gt;")+SUMIFS('J Book Items Cons.'!N$5:N$3360,'J Book Items Cons.'!E$5:E$3360,1,'J Book Items Cons.'!F$5:F$3360,"Advance procurement / LLTM",'J Book Items Cons.'!S$5:S$3360,"",'J Book Items Cons.'!U$5:U$3360,"USN",'J Book Items Cons.'!W$5:W$3360,"Surface Combatants",'J Book Items Cons.'!R$5:R$3360,"",'J Book Items Cons.'!N$5:N$3360,"&lt;&gt;")+SUMIFS('J Book Items Cons.'!L$5:L$3360,'J Book Items Cons.'!E$5:E$3360,1,'J Book Items Cons.'!F$5:F$3360,"Advance procurement / LLTM",'J Book Items Cons.'!S$5:S$3360,"",'J Book Items Cons.'!U$5:U$3360,"USN",'J Book Items Cons.'!W$5:W$3360,"Surface Combatants",'J Book Items Cons.'!R$5:R$3360,"",'J Book Items Cons.'!N$5:N$3360,"")+SUMIFS('J Book Items Cons.'!R$5:R$3360,'J Book Items Cons.'!E$5:E$3360,1,'J Book Items Cons.'!F$5:F$3360,"Advance procurement / LLTM",'J Book Items Cons.'!S$5:S$3360,"[PARENT]",'J Book Items Cons.'!U$5:U$3360,"USN",'J Book Items Cons.'!W$5:W$3360,"Surface Combatants",'J Book Items Cons.'!R$5:R$3360,"&lt;&gt;")+SUMIFS('J Book Items Cons.'!N$5:N$3360,'J Book Items Cons.'!E$5:E$3360,1,'J Book Items Cons.'!F$5:F$3360,"Advance procurement / LLTM",'J Book Items Cons.'!S$5:S$3360,"[PARENT]",'J Book Items Cons.'!U$5:U$3360,"USN",'J Book Items Cons.'!W$5:W$3360,"Surface Combatants",'J Book Items Cons.'!R$5:R$3360,"",'J Book Items Cons.'!N$5:N$3360,"&lt;&gt;")+SUMIFS('J Book Items Cons.'!L$5:L$3360,'J Book Items Cons.'!E$5:E$3360,1,'J Book Items Cons.'!F$5:F$3360,"Advance procurement / LLTM",'J Book Items Cons.'!S$5:S$3360,"[PARENT]",'J Book Items Cons.'!U$5:U$3360,"USN",'J Book Items Cons.'!W$5:W$3360,"Surface Combatants",'J Book Items Cons.'!R$5:R$3360,"",'J Book Items Cons.'!N$5:N$3360,""))/C79)</f>
        <v>0.12879909490300029</v>
      </c>
      <c r="D72" s="38">
        <f>IF(D79=0,0,(SUMIFS('J Book Items Cons.'!R$5:R$3360,'J Book Items Cons.'!E$5:E$3360,1,'J Book Items Cons.'!F$5:F$3360,"Advance procurement / LLTM",'J Book Items Cons.'!S$5:S$3360,"",'J Book Items Cons.'!U$5:U$3360,"USN",'J Book Items Cons.'!W$5:W$3360,"Aircraft Carriers",'J Book Items Cons.'!R$5:R$3360,"&lt;&gt;")+SUMIFS('J Book Items Cons.'!N$5:N$3360,'J Book Items Cons.'!E$5:E$3360,1,'J Book Items Cons.'!F$5:F$3360,"Advance procurement / LLTM",'J Book Items Cons.'!S$5:S$3360,"",'J Book Items Cons.'!U$5:U$3360,"USN",'J Book Items Cons.'!W$5:W$3360,"Aircraft Carriers",'J Book Items Cons.'!R$5:R$3360,"",'J Book Items Cons.'!N$5:N$3360,"&lt;&gt;")+SUMIFS('J Book Items Cons.'!L$5:L$3360,'J Book Items Cons.'!E$5:E$3360,1,'J Book Items Cons.'!F$5:F$3360,"Advance procurement / LLTM",'J Book Items Cons.'!S$5:S$3360,"",'J Book Items Cons.'!U$5:U$3360,"USN",'J Book Items Cons.'!W$5:W$3360,"Aircraft Carriers",'J Book Items Cons.'!R$5:R$3360,"",'J Book Items Cons.'!N$5:N$3360,"")+SUMIFS('J Book Items Cons.'!R$5:R$3360,'J Book Items Cons.'!E$5:E$3360,1,'J Book Items Cons.'!F$5:F$3360,"Advance procurement / LLTM",'J Book Items Cons.'!S$5:S$3360,"[PARENT]",'J Book Items Cons.'!U$5:U$3360,"USN",'J Book Items Cons.'!W$5:W$3360,"Aircraft Carriers",'J Book Items Cons.'!R$5:R$3360,"&lt;&gt;")+SUMIFS('J Book Items Cons.'!N$5:N$3360,'J Book Items Cons.'!E$5:E$3360,1,'J Book Items Cons.'!F$5:F$3360,"Advance procurement / LLTM",'J Book Items Cons.'!S$5:S$3360,"[PARENT]",'J Book Items Cons.'!U$5:U$3360,"USN",'J Book Items Cons.'!W$5:W$3360,"Aircraft Carriers",'J Book Items Cons.'!R$5:R$3360,"",'J Book Items Cons.'!N$5:N$3360,"&lt;&gt;")+SUMIFS('J Book Items Cons.'!L$5:L$3360,'J Book Items Cons.'!E$5:E$3360,1,'J Book Items Cons.'!F$5:F$3360,"Advance procurement / LLTM",'J Book Items Cons.'!S$5:S$3360,"[PARENT]",'J Book Items Cons.'!U$5:U$3360,"USN",'J Book Items Cons.'!W$5:W$3360,"Aircraft Carriers",'J Book Items Cons.'!R$5:R$3360,"",'J Book Items Cons.'!N$5:N$3360,""))/D79)</f>
        <v>7.2472008832510537E-2</v>
      </c>
      <c r="E72" s="38">
        <f>IF(E79=0,0,(SUMIFS('J Book Items Cons.'!R$5:R$3360,'J Book Items Cons.'!E$5:E$3360,1,'J Book Items Cons.'!F$5:F$3360,"Advance procurement / LLTM",'J Book Items Cons.'!S$5:S$3360,"",'J Book Items Cons.'!U$5:U$3360,"USN",'J Book Items Cons.'!W$5:W$3360,"Amphibious Warfare Ships",'J Book Items Cons.'!R$5:R$3360,"&lt;&gt;")+SUMIFS('J Book Items Cons.'!N$5:N$3360,'J Book Items Cons.'!E$5:E$3360,1,'J Book Items Cons.'!F$5:F$3360,"Advance procurement / LLTM",'J Book Items Cons.'!S$5:S$3360,"",'J Book Items Cons.'!U$5:U$3360,"USN",'J Book Items Cons.'!W$5:W$3360,"Amphibious Warfare Ships",'J Book Items Cons.'!R$5:R$3360,"",'J Book Items Cons.'!N$5:N$3360,"&lt;&gt;")+SUMIFS('J Book Items Cons.'!L$5:L$3360,'J Book Items Cons.'!E$5:E$3360,1,'J Book Items Cons.'!F$5:F$3360,"Advance procurement / LLTM",'J Book Items Cons.'!S$5:S$3360,"",'J Book Items Cons.'!U$5:U$3360,"USN",'J Book Items Cons.'!W$5:W$3360,"Amphibious Warfare Ships",'J Book Items Cons.'!R$5:R$3360,"",'J Book Items Cons.'!N$5:N$3360,"")+SUMIFS('J Book Items Cons.'!R$5:R$3360,'J Book Items Cons.'!E$5:E$3360,1,'J Book Items Cons.'!F$5:F$3360,"Advance procurement / LLTM",'J Book Items Cons.'!S$5:S$3360,"[PARENT]",'J Book Items Cons.'!U$5:U$3360,"USN",'J Book Items Cons.'!W$5:W$3360,"Amphibious Warfare Ships",'J Book Items Cons.'!R$5:R$3360,"&lt;&gt;")+SUMIFS('J Book Items Cons.'!N$5:N$3360,'J Book Items Cons.'!E$5:E$3360,1,'J Book Items Cons.'!F$5:F$3360,"Advance procurement / LLTM",'J Book Items Cons.'!S$5:S$3360,"[PARENT]",'J Book Items Cons.'!U$5:U$3360,"USN",'J Book Items Cons.'!W$5:W$3360,"Amphibious Warfare Ships",'J Book Items Cons.'!R$5:R$3360,"",'J Book Items Cons.'!N$5:N$3360,"&lt;&gt;")+SUMIFS('J Book Items Cons.'!L$5:L$3360,'J Book Items Cons.'!E$5:E$3360,1,'J Book Items Cons.'!F$5:F$3360,"Advance procurement / LLTM",'J Book Items Cons.'!S$5:S$3360,"[PARENT]",'J Book Items Cons.'!U$5:U$3360,"USN",'J Book Items Cons.'!W$5:W$3360,"Amphibious Warfare Ships",'J Book Items Cons.'!R$5:R$3360,"",'J Book Items Cons.'!N$5:N$3360,""))/E79)</f>
        <v>8.2951680193823388E-2</v>
      </c>
      <c r="F72" s="38">
        <f>IF(F79=0,0,(SUMIFS('J Book Items Cons.'!R$5:R$3360,'J Book Items Cons.'!E$5:E$3360,1,'J Book Items Cons.'!F$5:F$3360,"Advance procurement / LLTM",'J Book Items Cons.'!S$5:S$3360,"",'J Book Items Cons.'!U$5:U$3360,"USN",'J Book Items Cons.'!W$5:W$3360,"Expeditionary &amp; Seabasing Ships",'J Book Items Cons.'!R$5:R$3360,"&lt;&gt;")+SUMIFS('J Book Items Cons.'!N$5:N$3360,'J Book Items Cons.'!E$5:E$3360,1,'J Book Items Cons.'!F$5:F$3360,"Advance procurement / LLTM",'J Book Items Cons.'!S$5:S$3360,"",'J Book Items Cons.'!U$5:U$3360,"USN",'J Book Items Cons.'!W$5:W$3360,"Expeditionary &amp; Seabasing Ships",'J Book Items Cons.'!R$5:R$3360,"",'J Book Items Cons.'!N$5:N$3360,"&lt;&gt;")+SUMIFS('J Book Items Cons.'!L$5:L$3360,'J Book Items Cons.'!E$5:E$3360,1,'J Book Items Cons.'!F$5:F$3360,"Advance procurement / LLTM",'J Book Items Cons.'!S$5:S$3360,"",'J Book Items Cons.'!U$5:U$3360,"USN",'J Book Items Cons.'!W$5:W$3360,"Expeditionary &amp; Seabasing Ships",'J Book Items Cons.'!R$5:R$3360,"",'J Book Items Cons.'!N$5:N$3360,"")+SUMIFS('J Book Items Cons.'!R$5:R$3360,'J Book Items Cons.'!E$5:E$3360,1,'J Book Items Cons.'!F$5:F$3360,"Advance procurement / LLTM",'J Book Items Cons.'!S$5:S$3360,"[PARENT]",'J Book Items Cons.'!U$5:U$3360,"USN",'J Book Items Cons.'!W$5:W$3360,"Expeditionary &amp; Seabasing Ships",'J Book Items Cons.'!R$5:R$3360,"&lt;&gt;")+SUMIFS('J Book Items Cons.'!N$5:N$3360,'J Book Items Cons.'!E$5:E$3360,1,'J Book Items Cons.'!F$5:F$3360,"Advance procurement / LLTM",'J Book Items Cons.'!S$5:S$3360,"[PARENT]",'J Book Items Cons.'!U$5:U$3360,"USN",'J Book Items Cons.'!W$5:W$3360,"Expeditionary &amp; Seabasing Ships",'J Book Items Cons.'!R$5:R$3360,"",'J Book Items Cons.'!N$5:N$3360,"&lt;&gt;")+SUMIFS('J Book Items Cons.'!L$5:L$3360,'J Book Items Cons.'!E$5:E$3360,1,'J Book Items Cons.'!F$5:F$3360,"Advance procurement / LLTM",'J Book Items Cons.'!S$5:S$3360,"[PARENT]",'J Book Items Cons.'!U$5:U$3360,"USN",'J Book Items Cons.'!W$5:W$3360,"Expeditionary &amp; Seabasing Ships",'J Book Items Cons.'!R$5:R$3360,"",'J Book Items Cons.'!N$5:N$3360,""))/F79)</f>
        <v>0</v>
      </c>
      <c r="G72" s="38">
        <f>IF(G79=0,0,(SUMIFS('J Book Items Cons.'!R$5:R$3360,'J Book Items Cons.'!E$5:E$3360,1,'J Book Items Cons.'!F$5:F$3360,"Advance procurement / LLTM",'J Book Items Cons.'!S$5:S$3360,"",'J Book Items Cons.'!U$5:U$3360,"MSC",'J Book Items Cons.'!W$5:W$3360,"Combat Logistics Ships",'J Book Items Cons.'!R$5:R$3360,"&lt;&gt;")+SUMIFS('J Book Items Cons.'!N$5:N$3360,'J Book Items Cons.'!E$5:E$3360,1,'J Book Items Cons.'!F$5:F$3360,"Advance procurement / LLTM",'J Book Items Cons.'!S$5:S$3360,"",'J Book Items Cons.'!U$5:U$3360,"MSC",'J Book Items Cons.'!W$5:W$3360,"Combat Logistics Ships",'J Book Items Cons.'!R$5:R$3360,"",'J Book Items Cons.'!N$5:N$3360,"&lt;&gt;")+SUMIFS('J Book Items Cons.'!L$5:L$3360,'J Book Items Cons.'!E$5:E$3360,1,'J Book Items Cons.'!F$5:F$3360,"Advance procurement / LLTM",'J Book Items Cons.'!S$5:S$3360,"",'J Book Items Cons.'!U$5:U$3360,"MSC",'J Book Items Cons.'!W$5:W$3360,"Combat Logistics Ships",'J Book Items Cons.'!R$5:R$3360,"",'J Book Items Cons.'!N$5:N$3360,"")+SUMIFS('J Book Items Cons.'!R$5:R$3360,'J Book Items Cons.'!E$5:E$3360,1,'J Book Items Cons.'!F$5:F$3360,"Advance procurement / LLTM",'J Book Items Cons.'!S$5:S$3360,"[PARENT]",'J Book Items Cons.'!U$5:U$3360,"MSC",'J Book Items Cons.'!W$5:W$3360,"Combat Logistics Ships",'J Book Items Cons.'!R$5:R$3360,"&lt;&gt;")+SUMIFS('J Book Items Cons.'!N$5:N$3360,'J Book Items Cons.'!E$5:E$3360,1,'J Book Items Cons.'!F$5:F$3360,"Advance procurement / LLTM",'J Book Items Cons.'!S$5:S$3360,"[PARENT]",'J Book Items Cons.'!U$5:U$3360,"MSC",'J Book Items Cons.'!W$5:W$3360,"Combat Logistics Ships",'J Book Items Cons.'!R$5:R$3360,"",'J Book Items Cons.'!N$5:N$3360,"&lt;&gt;")+SUMIFS('J Book Items Cons.'!L$5:L$3360,'J Book Items Cons.'!E$5:E$3360,1,'J Book Items Cons.'!F$5:F$3360,"Advance procurement / LLTM",'J Book Items Cons.'!S$5:S$3360,"[PARENT]",'J Book Items Cons.'!U$5:U$3360,"MSC",'J Book Items Cons.'!W$5:W$3360,"Combat Logistics Ships",'J Book Items Cons.'!R$5:R$3360,"",'J Book Items Cons.'!N$5:N$3360,""))/G79)</f>
        <v>0</v>
      </c>
      <c r="H72" s="38"/>
      <c r="I72" s="38">
        <f>IF(I79=0,0,(SUMIFS('J Book Items Cons.'!R$5:R$3360,'J Book Items Cons.'!E$5:E$3360,1,'J Book Items Cons.'!F$5:F$3360,"Advance procurement / LLTM",'J Book Items Cons.'!S$5:S$3360,"",'J Book Items Cons.'!U$5:U$3360,"USN",'J Book Items Cons.'!W$5:W$3360,"Amphibious Warfare Craft",'J Book Items Cons.'!R$5:R$3360,"&lt;&gt;")+SUMIFS('J Book Items Cons.'!N$5:N$3360,'J Book Items Cons.'!E$5:E$3360,1,'J Book Items Cons.'!F$5:F$3360,"Advance procurement / LLTM",'J Book Items Cons.'!S$5:S$3360,"",'J Book Items Cons.'!U$5:U$3360,"USN",'J Book Items Cons.'!W$5:W$3360,"Amphibious Warfare Craft",'J Book Items Cons.'!R$5:R$3360,"",'J Book Items Cons.'!N$5:N$3360,"&lt;&gt;")+SUMIFS('J Book Items Cons.'!L$5:L$3360,'J Book Items Cons.'!E$5:E$3360,1,'J Book Items Cons.'!F$5:F$3360,"Advance procurement / LLTM",'J Book Items Cons.'!S$5:S$3360,"",'J Book Items Cons.'!U$5:U$3360,"USN",'J Book Items Cons.'!W$5:W$3360,"Amphibious Warfare Craft",'J Book Items Cons.'!R$5:R$3360,"",'J Book Items Cons.'!N$5:N$3360,"")+SUMIFS('J Book Items Cons.'!R$5:R$3360,'J Book Items Cons.'!E$5:E$3360,1,'J Book Items Cons.'!F$5:F$3360,"Advance procurement / LLTM",'J Book Items Cons.'!S$5:S$3360,"[PARENT]",'J Book Items Cons.'!U$5:U$3360,"USN",'J Book Items Cons.'!W$5:W$3360,"Amphibious Warfare Craft",'J Book Items Cons.'!R$5:R$3360,"&lt;&gt;")+SUMIFS('J Book Items Cons.'!N$5:N$3360,'J Book Items Cons.'!E$5:E$3360,1,'J Book Items Cons.'!F$5:F$3360,"Advance procurement / LLTM",'J Book Items Cons.'!S$5:S$3360,"[PARENT]",'J Book Items Cons.'!U$5:U$3360,"USN",'J Book Items Cons.'!W$5:W$3360,"Amphibious Warfare Craft",'J Book Items Cons.'!R$5:R$3360,"",'J Book Items Cons.'!N$5:N$3360,"&lt;&gt;")+SUMIFS('J Book Items Cons.'!L$5:L$3360,'J Book Items Cons.'!E$5:E$3360,1,'J Book Items Cons.'!F$5:F$3360,"Advance procurement / LLTM",'J Book Items Cons.'!S$5:S$3360,"[PARENT]",'J Book Items Cons.'!U$5:U$3360,"USN",'J Book Items Cons.'!W$5:W$3360,"Amphibious Warfare Craft",'J Book Items Cons.'!R$5:R$3360,"",'J Book Items Cons.'!N$5:N$3360,""))/I79)</f>
        <v>0</v>
      </c>
      <c r="J72" s="38">
        <f>IF(J79=0,0,(SUMIFS('J Book Items Cons.'!R$5:R$3360,'J Book Items Cons.'!E$5:E$3360,1,'J Book Items Cons.'!F$5:F$3360,"Advance procurement / LLTM",'J Book Items Cons.'!S$5:S$3360,"",'J Book Items Cons.'!U$5:U$3360,"MSC",'J Book Items Cons.'!W$5:W$3360,"Cargo &amp; Vehicle Cargo Ships",'J Book Items Cons.'!R$5:R$3360,"&lt;&gt;")+SUMIFS('J Book Items Cons.'!N$5:N$3360,'J Book Items Cons.'!E$5:E$3360,1,'J Book Items Cons.'!F$5:F$3360,"Advance procurement / LLTM",'J Book Items Cons.'!S$5:S$3360,"",'J Book Items Cons.'!U$5:U$3360,"MSC",'J Book Items Cons.'!W$5:W$3360,"Cargo &amp; Vehicle Cargo Ships",'J Book Items Cons.'!R$5:R$3360,"",'J Book Items Cons.'!N$5:N$3360,"&lt;&gt;")+SUMIFS('J Book Items Cons.'!L$5:L$3360,'J Book Items Cons.'!E$5:E$3360,1,'J Book Items Cons.'!F$5:F$3360,"Advance procurement / LLTM",'J Book Items Cons.'!S$5:S$3360,"",'J Book Items Cons.'!U$5:U$3360,"MSC",'J Book Items Cons.'!W$5:W$3360,"Cargo &amp; Vehicle Cargo Ships",'J Book Items Cons.'!R$5:R$3360,"",'J Book Items Cons.'!N$5:N$3360,"")+SUMIFS('J Book Items Cons.'!R$5:R$3360,'J Book Items Cons.'!E$5:E$3360,1,'J Book Items Cons.'!F$5:F$3360,"Advance procurement / LLTM",'J Book Items Cons.'!S$5:S$3360,"[PARENT]",'J Book Items Cons.'!U$5:U$3360,"MSC",'J Book Items Cons.'!W$5:W$3360,"Cargo &amp; Vehicle Cargo Ships",'J Book Items Cons.'!R$5:R$3360,"&lt;&gt;")+SUMIFS('J Book Items Cons.'!N$5:N$3360,'J Book Items Cons.'!E$5:E$3360,1,'J Book Items Cons.'!F$5:F$3360,"Advance procurement / LLTM",'J Book Items Cons.'!S$5:S$3360,"[PARENT]",'J Book Items Cons.'!U$5:U$3360,"MSC",'J Book Items Cons.'!W$5:W$3360,"Cargo &amp; Vehicle Cargo Ships",'J Book Items Cons.'!R$5:R$3360,"",'J Book Items Cons.'!N$5:N$3360,"&lt;&gt;")+SUMIFS('J Book Items Cons.'!L$5:L$3360,'J Book Items Cons.'!E$5:E$3360,1,'J Book Items Cons.'!F$5:F$3360,"Advance procurement / LLTM",'J Book Items Cons.'!S$5:S$3360,"[PARENT]",'J Book Items Cons.'!U$5:U$3360,"MSC",'J Book Items Cons.'!W$5:W$3360,"Cargo &amp; Vehicle Cargo Ships",'J Book Items Cons.'!R$5:R$3360,"",'J Book Items Cons.'!N$5:N$3360,""))/J79)</f>
        <v>0</v>
      </c>
      <c r="K72" s="38">
        <f>IF(K79=0,0,(SUMIFS('J Book Items Cons.'!R$5:R$3360,'J Book Items Cons.'!E$5:E$3360,1,'J Book Items Cons.'!F$5:F$3360,"Advance procurement / LLTM",'J Book Items Cons.'!S$5:S$3360,"",'J Book Items Cons.'!U$5:U$3360,"MSC",'J Book Items Cons.'!W$5:W$3360,"Surveillance Ships",'J Book Items Cons.'!R$5:R$3360,"&lt;&gt;")+SUMIFS('J Book Items Cons.'!N$5:N$3360,'J Book Items Cons.'!E$5:E$3360,1,'J Book Items Cons.'!F$5:F$3360,"Advance procurement / LLTM",'J Book Items Cons.'!S$5:S$3360,"",'J Book Items Cons.'!U$5:U$3360,"MSC",'J Book Items Cons.'!W$5:W$3360,"Surveillance Ships",'J Book Items Cons.'!R$5:R$3360,"",'J Book Items Cons.'!N$5:N$3360,"&lt;&gt;")+SUMIFS('J Book Items Cons.'!L$5:L$3360,'J Book Items Cons.'!E$5:E$3360,1,'J Book Items Cons.'!F$5:F$3360,"Advance procurement / LLTM",'J Book Items Cons.'!S$5:S$3360,"",'J Book Items Cons.'!U$5:U$3360,"MSC",'J Book Items Cons.'!W$5:W$3360,"Surveillance Ships",'J Book Items Cons.'!R$5:R$3360,"",'J Book Items Cons.'!N$5:N$3360,"")+SUMIFS('J Book Items Cons.'!R$5:R$3360,'J Book Items Cons.'!E$5:E$3360,1,'J Book Items Cons.'!F$5:F$3360,"Advance procurement / LLTM",'J Book Items Cons.'!S$5:S$3360,"[PARENT]",'J Book Items Cons.'!U$5:U$3360,"MSC",'J Book Items Cons.'!W$5:W$3360,"Surveillance Ships",'J Book Items Cons.'!R$5:R$3360,"&lt;&gt;")+SUMIFS('J Book Items Cons.'!N$5:N$3360,'J Book Items Cons.'!E$5:E$3360,1,'J Book Items Cons.'!F$5:F$3360,"Advance procurement / LLTM",'J Book Items Cons.'!S$5:S$3360,"[PARENT]",'J Book Items Cons.'!U$5:U$3360,"MSC",'J Book Items Cons.'!W$5:W$3360,"Surveillance Ships",'J Book Items Cons.'!R$5:R$3360,"",'J Book Items Cons.'!N$5:N$3360,"&lt;&gt;")+SUMIFS('J Book Items Cons.'!L$5:L$3360,'J Book Items Cons.'!E$5:E$3360,1,'J Book Items Cons.'!F$5:F$3360,"Advance procurement / LLTM",'J Book Items Cons.'!S$5:S$3360,"[PARENT]",'J Book Items Cons.'!U$5:U$3360,"MSC",'J Book Items Cons.'!W$5:W$3360,"Surveillance Ships",'J Book Items Cons.'!R$5:R$3360,"",'J Book Items Cons.'!N$5:N$3360,""))/K79)</f>
        <v>0</v>
      </c>
      <c r="L72" s="38"/>
      <c r="M72" s="38">
        <f>IF(M79=0,0,(SUMIFS('J Book Items Cons.'!R$5:R$3360,'J Book Items Cons.'!E$5:E$3360,1,'J Book Items Cons.'!F$5:F$3360,"Advance procurement / LLTM",'J Book Items Cons.'!S$5:S$3360,"",'J Book Items Cons.'!U$5:U$3360,"USN",'J Book Items Cons.'!W$5:W$3360,"Command Ships",'J Book Items Cons.'!R$5:R$3360,"&lt;&gt;")+SUMIFS('J Book Items Cons.'!N$5:N$3360,'J Book Items Cons.'!E$5:E$3360,1,'J Book Items Cons.'!F$5:F$3360,"Advance procurement / LLTM",'J Book Items Cons.'!S$5:S$3360,"",'J Book Items Cons.'!U$5:U$3360,"USN",'J Book Items Cons.'!W$5:W$3360,"Command Ships",'J Book Items Cons.'!R$5:R$3360,"",'J Book Items Cons.'!N$5:N$3360,"&lt;&gt;")+SUMIFS('J Book Items Cons.'!L$5:L$3360,'J Book Items Cons.'!E$5:E$3360,1,'J Book Items Cons.'!F$5:F$3360,"Advance procurement / LLTM",'J Book Items Cons.'!S$5:S$3360,"",'J Book Items Cons.'!U$5:U$3360,"USN",'J Book Items Cons.'!W$5:W$3360,"Command Ships",'J Book Items Cons.'!R$5:R$3360,"",'J Book Items Cons.'!N$5:N$3360,"")+SUMIFS('J Book Items Cons.'!R$5:R$3360,'J Book Items Cons.'!E$5:E$3360,1,'J Book Items Cons.'!F$5:F$3360,"Advance procurement / LLTM",'J Book Items Cons.'!S$5:S$3360,"[PARENT]",'J Book Items Cons.'!U$5:U$3360,"USN",'J Book Items Cons.'!W$5:W$3360,"Command Ships",'J Book Items Cons.'!R$5:R$3360,"&lt;&gt;")+SUMIFS('J Book Items Cons.'!N$5:N$3360,'J Book Items Cons.'!E$5:E$3360,1,'J Book Items Cons.'!F$5:F$3360,"Advance procurement / LLTM",'J Book Items Cons.'!S$5:S$3360,"[PARENT]",'J Book Items Cons.'!U$5:U$3360,"USN",'J Book Items Cons.'!W$5:W$3360,"Command Ships",'J Book Items Cons.'!R$5:R$3360,"",'J Book Items Cons.'!N$5:N$3360,"&lt;&gt;")+SUMIFS('J Book Items Cons.'!L$5:L$3360,'J Book Items Cons.'!E$5:E$3360,1,'J Book Items Cons.'!F$5:F$3360,"Advance procurement / LLTM",'J Book Items Cons.'!S$5:S$3360,"[PARENT]",'J Book Items Cons.'!U$5:U$3360,"USN",'J Book Items Cons.'!W$5:W$3360,"Command Ships",'J Book Items Cons.'!R$5:R$3360,"",'J Book Items Cons.'!N$5:N$3360,""))/M79)</f>
        <v>0</v>
      </c>
      <c r="N72" s="39">
        <f>IF(N79=0,0,(SUMIFS('J Book Items Cons.'!R$5:R$3360,'J Book Items Cons.'!E$5:E$3360,1,'J Book Items Cons.'!F$5:F$3360,"Advance procurement / LLTM",'J Book Items Cons.'!S$5:S$3360,"",'J Book Items Cons.'!U$5:U$3360,"USN",'J Book Items Cons.'!W$5:W$3360,"Mine Warfare",'J Book Items Cons.'!R$5:R$3360,"&lt;&gt;")+SUMIFS('J Book Items Cons.'!N$5:N$3360,'J Book Items Cons.'!E$5:E$3360,1,'J Book Items Cons.'!F$5:F$3360,"Advance procurement / LLTM",'J Book Items Cons.'!S$5:S$3360,"",'J Book Items Cons.'!U$5:U$3360,"USN",'J Book Items Cons.'!W$5:W$3360,"Mine Warfare",'J Book Items Cons.'!R$5:R$3360,"",'J Book Items Cons.'!N$5:N$3360,"&lt;&gt;")+SUMIFS('J Book Items Cons.'!L$5:L$3360,'J Book Items Cons.'!E$5:E$3360,1,'J Book Items Cons.'!F$5:F$3360,"Advance procurement / LLTM",'J Book Items Cons.'!S$5:S$3360,"",'J Book Items Cons.'!U$5:U$3360,"USN",'J Book Items Cons.'!W$5:W$3360,"Mine Warfare",'J Book Items Cons.'!R$5:R$3360,"",'J Book Items Cons.'!N$5:N$3360,"")+SUMIFS('J Book Items Cons.'!R$5:R$3360,'J Book Items Cons.'!E$5:E$3360,1,'J Book Items Cons.'!F$5:F$3360,"Advance procurement / LLTM",'J Book Items Cons.'!S$5:S$3360,"[PARENT]",'J Book Items Cons.'!U$5:U$3360,"USN",'J Book Items Cons.'!W$5:W$3360,"Mine Warfare",'J Book Items Cons.'!R$5:R$3360,"&lt;&gt;")+SUMIFS('J Book Items Cons.'!N$5:N$3360,'J Book Items Cons.'!E$5:E$3360,1,'J Book Items Cons.'!F$5:F$3360,"Advance procurement / LLTM",'J Book Items Cons.'!S$5:S$3360,"[PARENT]",'J Book Items Cons.'!U$5:U$3360,"USN",'J Book Items Cons.'!W$5:W$3360,"Mine Warfare",'J Book Items Cons.'!R$5:R$3360,"",'J Book Items Cons.'!N$5:N$3360,"&lt;&gt;")+SUMIFS('J Book Items Cons.'!L$5:L$3360,'J Book Items Cons.'!E$5:E$3360,1,'J Book Items Cons.'!F$5:F$3360,"Advance procurement / LLTM",'J Book Items Cons.'!S$5:S$3360,"[PARENT]",'J Book Items Cons.'!U$5:U$3360,"USN",'J Book Items Cons.'!W$5:W$3360,"Mine Warfare",'J Book Items Cons.'!R$5:R$3360,"",'J Book Items Cons.'!N$5:N$3360,""))/N79)</f>
        <v>0</v>
      </c>
      <c r="O72" s="37"/>
      <c r="P72" s="38">
        <f>IF(P79=0,0,(SUMIFS('J Book Items Cons.'!R$5:R$3360,'J Book Items Cons.'!E$5:E$3360,1,'J Book Items Cons.'!F$5:F$3360,"Advance procurement / LLTM",'J Book Items Cons.'!S$5:S$3360,"",'J Book Items Cons.'!U$5:U$3360,"USCG",'J Book Items Cons.'!W$5:W$3360,"Fast Response Cutters",'J Book Items Cons.'!R$5:R$3360,"&lt;&gt;")+SUMIFS('J Book Items Cons.'!N$5:N$3360,'J Book Items Cons.'!E$5:E$3360,1,'J Book Items Cons.'!F$5:F$3360,"Advance procurement / LLTM",'J Book Items Cons.'!S$5:S$3360,"",'J Book Items Cons.'!U$5:U$3360,"USCG",'J Book Items Cons.'!W$5:W$3360,"Fast Response Cutters",'J Book Items Cons.'!R$5:R$3360,"",'J Book Items Cons.'!N$5:N$3360,"&lt;&gt;")+SUMIFS('J Book Items Cons.'!L$5:L$3360,'J Book Items Cons.'!E$5:E$3360,1,'J Book Items Cons.'!F$5:F$3360,"Advance procurement / LLTM",'J Book Items Cons.'!S$5:S$3360,"",'J Book Items Cons.'!U$5:U$3360,"USCG",'J Book Items Cons.'!W$5:W$3360,"Fast Response Cutters",'J Book Items Cons.'!R$5:R$3360,"",'J Book Items Cons.'!N$5:N$3360,"")+SUMIFS('J Book Items Cons.'!R$5:R$3360,'J Book Items Cons.'!E$5:E$3360,1,'J Book Items Cons.'!F$5:F$3360,"Advance procurement / LLTM",'J Book Items Cons.'!S$5:S$3360,"[PARENT]",'J Book Items Cons.'!U$5:U$3360,"USCG",'J Book Items Cons.'!W$5:W$3360,"Fast Response Cutters",'J Book Items Cons.'!R$5:R$3360,"&lt;&gt;")+SUMIFS('J Book Items Cons.'!N$5:N$3360,'J Book Items Cons.'!E$5:E$3360,1,'J Book Items Cons.'!F$5:F$3360,"Advance procurement / LLTM",'J Book Items Cons.'!S$5:S$3360,"[PARENT]",'J Book Items Cons.'!U$5:U$3360,"USCG",'J Book Items Cons.'!W$5:W$3360,"Fast Response Cutters",'J Book Items Cons.'!R$5:R$3360,"",'J Book Items Cons.'!N$5:N$3360,"&lt;&gt;")+SUMIFS('J Book Items Cons.'!L$5:L$3360,'J Book Items Cons.'!E$5:E$3360,1,'J Book Items Cons.'!F$5:F$3360,"Advance procurement / LLTM",'J Book Items Cons.'!S$5:S$3360,"[PARENT]",'J Book Items Cons.'!U$5:U$3360,"USCG",'J Book Items Cons.'!W$5:W$3360,"Fast Response Cutters",'J Book Items Cons.'!R$5:R$3360,"",'J Book Items Cons.'!N$5:N$3360,""))/P79)</f>
        <v>0</v>
      </c>
      <c r="Q72" s="38"/>
      <c r="R72" s="38"/>
      <c r="S72" s="39">
        <f>IF(S79=0,0,(SUMIFS('J Book Items Cons.'!R$5:R$3360,'J Book Items Cons.'!E$5:E$3360,1,'J Book Items Cons.'!F$5:F$3360,"Advance procurement / LLTM",'J Book Items Cons.'!S$5:S$3360,"",'J Book Items Cons.'!U$5:U$3360,"USCG",'J Book Items Cons.'!W$5:W$3360,"National Security Cutters",'J Book Items Cons.'!R$5:R$3360,"&lt;&gt;")+SUMIFS('J Book Items Cons.'!N$5:N$3360,'J Book Items Cons.'!E$5:E$3360,1,'J Book Items Cons.'!F$5:F$3360,"Advance procurement / LLTM",'J Book Items Cons.'!S$5:S$3360,"",'J Book Items Cons.'!U$5:U$3360,"USCG",'J Book Items Cons.'!W$5:W$3360,"National Security Cutters",'J Book Items Cons.'!R$5:R$3360,"",'J Book Items Cons.'!N$5:N$3360,"&lt;&gt;")+SUMIFS('J Book Items Cons.'!L$5:L$3360,'J Book Items Cons.'!E$5:E$3360,1,'J Book Items Cons.'!F$5:F$3360,"Advance procurement / LLTM",'J Book Items Cons.'!S$5:S$3360,"",'J Book Items Cons.'!U$5:U$3360,"USCG",'J Book Items Cons.'!W$5:W$3360,"National Security Cutters",'J Book Items Cons.'!R$5:R$3360,"",'J Book Items Cons.'!N$5:N$3360,"")+SUMIFS('J Book Items Cons.'!R$5:R$3360,'J Book Items Cons.'!E$5:E$3360,1,'J Book Items Cons.'!F$5:F$3360,"Advance procurement / LLTM",'J Book Items Cons.'!S$5:S$3360,"[PARENT]",'J Book Items Cons.'!U$5:U$3360,"USCG",'J Book Items Cons.'!W$5:W$3360,"National Security Cutters",'J Book Items Cons.'!R$5:R$3360,"&lt;&gt;")+SUMIFS('J Book Items Cons.'!N$5:N$3360,'J Book Items Cons.'!E$5:E$3360,1,'J Book Items Cons.'!F$5:F$3360,"Advance procurement / LLTM",'J Book Items Cons.'!S$5:S$3360,"[PARENT]",'J Book Items Cons.'!U$5:U$3360,"USCG",'J Book Items Cons.'!W$5:W$3360,"National Security Cutters",'J Book Items Cons.'!R$5:R$3360,"",'J Book Items Cons.'!N$5:N$3360,"&lt;&gt;")+SUMIFS('J Book Items Cons.'!L$5:L$3360,'J Book Items Cons.'!E$5:E$3360,1,'J Book Items Cons.'!F$5:F$3360,"Advance procurement / LLTM",'J Book Items Cons.'!S$5:S$3360,"[PARENT]",'J Book Items Cons.'!U$5:U$3360,"USCG",'J Book Items Cons.'!W$5:W$3360,"National Security Cutters",'J Book Items Cons.'!R$5:R$3360,"",'J Book Items Cons.'!N$5:N$3360,""))/S79)</f>
        <v>0</v>
      </c>
      <c r="T72" s="38">
        <f t="shared" si="7"/>
        <v>0.1661763511769179</v>
      </c>
    </row>
    <row r="73" spans="1:42" ht="10.5" customHeight="1" x14ac:dyDescent="0.15">
      <c r="A73" s="7" t="s">
        <v>4383</v>
      </c>
      <c r="B73" s="37">
        <f>IF(B79=0,0,(SUMIFS('J Book Items Cons.'!R$5:R$3360,'J Book Items Cons.'!E$5:E$3360,2,'J Book Items Cons.'!S$5:S$3360,"",'J Book Items Cons.'!U$5:U$3360,"USN",'J Book Items Cons.'!W$5:W$3360,"Submarines",'J Book Items Cons.'!R$5:R$3360,"&lt;&gt;")+SUMIFS('J Book Items Cons.'!N$5:N$3360,'J Book Items Cons.'!E$5:E$3360,2,'J Book Items Cons.'!S$5:S$3360,"",'J Book Items Cons.'!U$5:U$3360,"USN",'J Book Items Cons.'!W$5:W$3360,"Submarines",'J Book Items Cons.'!R$5:R$3360,"",'J Book Items Cons.'!N$5:N$3360,"&lt;&gt;")+SUMIFS('J Book Items Cons.'!L$5:L$3360,'J Book Items Cons.'!E$5:E$3360,2,'J Book Items Cons.'!S$5:S$3360,"",'J Book Items Cons.'!U$5:U$3360,"USN",'J Book Items Cons.'!W$5:W$3360,"Submarines",'J Book Items Cons.'!R$5:R$3360,"",'J Book Items Cons.'!N$5:N$3360,"")+SUMIFS('J Book Items Cons.'!R$5:R$3360,'J Book Items Cons.'!E$5:E$3360,2,'J Book Items Cons.'!S$5:S$3360,"[PARENT]",'J Book Items Cons.'!U$5:U$3360,"USN",'J Book Items Cons.'!W$5:W$3360,"Submarines",'J Book Items Cons.'!R$5:R$3360,"&lt;&gt;")+SUMIFS('J Book Items Cons.'!N$5:N$3360,'J Book Items Cons.'!E$5:E$3360,2,'J Book Items Cons.'!S$5:S$3360,"[PARENT]",'J Book Items Cons.'!U$5:U$3360,"USN",'J Book Items Cons.'!W$5:W$3360,"Submarines",'J Book Items Cons.'!R$5:R$3360,"",'J Book Items Cons.'!N$5:N$3360,"&lt;&gt;")+SUMIFS('J Book Items Cons.'!L$5:L$3360,'J Book Items Cons.'!E$5:E$3360,2,'J Book Items Cons.'!S$5:S$3360,"[PARENT]",'J Book Items Cons.'!U$5:U$3360,"USN",'J Book Items Cons.'!W$5:W$3360,"Submarines",'J Book Items Cons.'!R$5:R$3360,"",'J Book Items Cons.'!N$5:N$3360,""))/B79)</f>
        <v>0.20053510976215394</v>
      </c>
      <c r="C73" s="38">
        <f>IF(C79=0,0,(SUMIFS('J Book Items Cons.'!R$5:R$3360,'J Book Items Cons.'!E$5:E$3360,2,'J Book Items Cons.'!S$5:S$3360,"",'J Book Items Cons.'!U$5:U$3360,"USN",'J Book Items Cons.'!W$5:W$3360,"Surface Combatants",'J Book Items Cons.'!R$5:R$3360,"&lt;&gt;")+SUMIFS('J Book Items Cons.'!N$5:N$3360,'J Book Items Cons.'!E$5:E$3360,2,'J Book Items Cons.'!S$5:S$3360,"",'J Book Items Cons.'!U$5:U$3360,"USN",'J Book Items Cons.'!W$5:W$3360,"Surface Combatants",'J Book Items Cons.'!R$5:R$3360,"",'J Book Items Cons.'!N$5:N$3360,"&lt;&gt;")+SUMIFS('J Book Items Cons.'!L$5:L$3360,'J Book Items Cons.'!E$5:E$3360,2,'J Book Items Cons.'!S$5:S$3360,"",'J Book Items Cons.'!U$5:U$3360,"USN",'J Book Items Cons.'!W$5:W$3360,"Surface Combatants",'J Book Items Cons.'!R$5:R$3360,"",'J Book Items Cons.'!N$5:N$3360,"")+SUMIFS('J Book Items Cons.'!R$5:R$3360,'J Book Items Cons.'!E$5:E$3360,2,'J Book Items Cons.'!S$5:S$3360,"[PARENT]",'J Book Items Cons.'!U$5:U$3360,"USN",'J Book Items Cons.'!W$5:W$3360,"Surface Combatants",'J Book Items Cons.'!R$5:R$3360,"&lt;&gt;")+SUMIFS('J Book Items Cons.'!N$5:N$3360,'J Book Items Cons.'!E$5:E$3360,2,'J Book Items Cons.'!S$5:S$3360,"[PARENT]",'J Book Items Cons.'!U$5:U$3360,"USN",'J Book Items Cons.'!W$5:W$3360,"Surface Combatants",'J Book Items Cons.'!R$5:R$3360,"",'J Book Items Cons.'!N$5:N$3360,"&lt;&gt;")+SUMIFS('J Book Items Cons.'!L$5:L$3360,'J Book Items Cons.'!E$5:E$3360,2,'J Book Items Cons.'!S$5:S$3360,"[PARENT]",'J Book Items Cons.'!U$5:U$3360,"USN",'J Book Items Cons.'!W$5:W$3360,"Surface Combatants",'J Book Items Cons.'!R$5:R$3360,"",'J Book Items Cons.'!N$5:N$3360,""))/C79)</f>
        <v>0.12156411854462616</v>
      </c>
      <c r="D73" s="38">
        <f>IF(D79=0,0,(SUMIFS('J Book Items Cons.'!R$5:R$3360,'J Book Items Cons.'!E$5:E$3360,2,'J Book Items Cons.'!S$5:S$3360,"",'J Book Items Cons.'!U$5:U$3360,"USN",'J Book Items Cons.'!W$5:W$3360,"Aircraft Carriers",'J Book Items Cons.'!R$5:R$3360,"&lt;&gt;")+SUMIFS('J Book Items Cons.'!N$5:N$3360,'J Book Items Cons.'!E$5:E$3360,2,'J Book Items Cons.'!S$5:S$3360,"",'J Book Items Cons.'!U$5:U$3360,"USN",'J Book Items Cons.'!W$5:W$3360,"Aircraft Carriers",'J Book Items Cons.'!R$5:R$3360,"",'J Book Items Cons.'!N$5:N$3360,"&lt;&gt;")+SUMIFS('J Book Items Cons.'!L$5:L$3360,'J Book Items Cons.'!E$5:E$3360,2,'J Book Items Cons.'!S$5:S$3360,"",'J Book Items Cons.'!U$5:U$3360,"USN",'J Book Items Cons.'!W$5:W$3360,"Aircraft Carriers",'J Book Items Cons.'!R$5:R$3360,"",'J Book Items Cons.'!N$5:N$3360,"")+SUMIFS('J Book Items Cons.'!R$5:R$3360,'J Book Items Cons.'!E$5:E$3360,2,'J Book Items Cons.'!S$5:S$3360,"[PARENT]",'J Book Items Cons.'!U$5:U$3360,"USN",'J Book Items Cons.'!W$5:W$3360,"Aircraft Carriers",'J Book Items Cons.'!R$5:R$3360,"&lt;&gt;")+SUMIFS('J Book Items Cons.'!N$5:N$3360,'J Book Items Cons.'!E$5:E$3360,2,'J Book Items Cons.'!S$5:S$3360,"[PARENT]",'J Book Items Cons.'!U$5:U$3360,"USN",'J Book Items Cons.'!W$5:W$3360,"Aircraft Carriers",'J Book Items Cons.'!R$5:R$3360,"",'J Book Items Cons.'!N$5:N$3360,"&lt;&gt;")+SUMIFS('J Book Items Cons.'!L$5:L$3360,'J Book Items Cons.'!E$5:E$3360,2,'J Book Items Cons.'!S$5:S$3360,"[PARENT]",'J Book Items Cons.'!U$5:U$3360,"USN",'J Book Items Cons.'!W$5:W$3360,"Aircraft Carriers",'J Book Items Cons.'!R$5:R$3360,"",'J Book Items Cons.'!N$5:N$3360,""))/D79)</f>
        <v>0.36737640618938838</v>
      </c>
      <c r="E73" s="38">
        <f>IF(E79=0,0,(SUMIFS('J Book Items Cons.'!R$5:R$3360,'J Book Items Cons.'!E$5:E$3360,2,'J Book Items Cons.'!S$5:S$3360,"",'J Book Items Cons.'!U$5:U$3360,"USN",'J Book Items Cons.'!W$5:W$3360,"Amphibious Warfare Ships",'J Book Items Cons.'!R$5:R$3360,"&lt;&gt;")+SUMIFS('J Book Items Cons.'!N$5:N$3360,'J Book Items Cons.'!E$5:E$3360,2,'J Book Items Cons.'!S$5:S$3360,"",'J Book Items Cons.'!U$5:U$3360,"USN",'J Book Items Cons.'!W$5:W$3360,"Amphibious Warfare Ships",'J Book Items Cons.'!R$5:R$3360,"",'J Book Items Cons.'!N$5:N$3360,"&lt;&gt;")+SUMIFS('J Book Items Cons.'!L$5:L$3360,'J Book Items Cons.'!E$5:E$3360,2,'J Book Items Cons.'!S$5:S$3360,"",'J Book Items Cons.'!U$5:U$3360,"USN",'J Book Items Cons.'!W$5:W$3360,"Amphibious Warfare Ships",'J Book Items Cons.'!R$5:R$3360,"",'J Book Items Cons.'!N$5:N$3360,"")+SUMIFS('J Book Items Cons.'!R$5:R$3360,'J Book Items Cons.'!E$5:E$3360,2,'J Book Items Cons.'!S$5:S$3360,"[PARENT]",'J Book Items Cons.'!U$5:U$3360,"USN",'J Book Items Cons.'!W$5:W$3360,"Amphibious Warfare Ships",'J Book Items Cons.'!R$5:R$3360,"&lt;&gt;")+SUMIFS('J Book Items Cons.'!N$5:N$3360,'J Book Items Cons.'!E$5:E$3360,2,'J Book Items Cons.'!S$5:S$3360,"[PARENT]",'J Book Items Cons.'!U$5:U$3360,"USN",'J Book Items Cons.'!W$5:W$3360,"Amphibious Warfare Ships",'J Book Items Cons.'!R$5:R$3360,"",'J Book Items Cons.'!N$5:N$3360,"&lt;&gt;")+SUMIFS('J Book Items Cons.'!L$5:L$3360,'J Book Items Cons.'!E$5:E$3360,2,'J Book Items Cons.'!S$5:S$3360,"[PARENT]",'J Book Items Cons.'!U$5:U$3360,"USN",'J Book Items Cons.'!W$5:W$3360,"Amphibious Warfare Ships",'J Book Items Cons.'!R$5:R$3360,"",'J Book Items Cons.'!N$5:N$3360,""))/E79)</f>
        <v>0.19168504423436053</v>
      </c>
      <c r="F73" s="38">
        <f>IF(F79=0,0,(SUMIFS('J Book Items Cons.'!R$5:R$3360,'J Book Items Cons.'!E$5:E$3360,2,'J Book Items Cons.'!S$5:S$3360,"",'J Book Items Cons.'!U$5:U$3360,"USN",'J Book Items Cons.'!W$5:W$3360,"Expeditionary &amp; Seabasing Ships",'J Book Items Cons.'!R$5:R$3360,"&lt;&gt;")+SUMIFS('J Book Items Cons.'!N$5:N$3360,'J Book Items Cons.'!E$5:E$3360,2,'J Book Items Cons.'!S$5:S$3360,"",'J Book Items Cons.'!U$5:U$3360,"USN",'J Book Items Cons.'!W$5:W$3360,"Expeditionary &amp; Seabasing Ships",'J Book Items Cons.'!R$5:R$3360,"",'J Book Items Cons.'!N$5:N$3360,"&lt;&gt;")+SUMIFS('J Book Items Cons.'!L$5:L$3360,'J Book Items Cons.'!E$5:E$3360,2,'J Book Items Cons.'!S$5:S$3360,"",'J Book Items Cons.'!U$5:U$3360,"USN",'J Book Items Cons.'!W$5:W$3360,"Expeditionary &amp; Seabasing Ships",'J Book Items Cons.'!R$5:R$3360,"",'J Book Items Cons.'!N$5:N$3360,"")+SUMIFS('J Book Items Cons.'!R$5:R$3360,'J Book Items Cons.'!E$5:E$3360,2,'J Book Items Cons.'!S$5:S$3360,"[PARENT]",'J Book Items Cons.'!U$5:U$3360,"USN",'J Book Items Cons.'!W$5:W$3360,"Expeditionary &amp; Seabasing Ships",'J Book Items Cons.'!R$5:R$3360,"&lt;&gt;")+SUMIFS('J Book Items Cons.'!N$5:N$3360,'J Book Items Cons.'!E$5:E$3360,2,'J Book Items Cons.'!S$5:S$3360,"[PARENT]",'J Book Items Cons.'!U$5:U$3360,"USN",'J Book Items Cons.'!W$5:W$3360,"Expeditionary &amp; Seabasing Ships",'J Book Items Cons.'!R$5:R$3360,"",'J Book Items Cons.'!N$5:N$3360,"&lt;&gt;")+SUMIFS('J Book Items Cons.'!L$5:L$3360,'J Book Items Cons.'!E$5:E$3360,2,'J Book Items Cons.'!S$5:S$3360,"[PARENT]",'J Book Items Cons.'!U$5:U$3360,"USN",'J Book Items Cons.'!W$5:W$3360,"Expeditionary &amp; Seabasing Ships",'J Book Items Cons.'!R$5:R$3360,"",'J Book Items Cons.'!N$5:N$3360,""))/F79)</f>
        <v>8.3739253898890038E-3</v>
      </c>
      <c r="G73" s="38">
        <f>IF(G79=0,0,(SUMIFS('J Book Items Cons.'!R$5:R$3360,'J Book Items Cons.'!E$5:E$3360,2,'J Book Items Cons.'!S$5:S$3360,"",'J Book Items Cons.'!U$5:U$3360,"MSC",'J Book Items Cons.'!W$5:W$3360,"Combat Logistics Ships",'J Book Items Cons.'!R$5:R$3360,"&lt;&gt;")+SUMIFS('J Book Items Cons.'!N$5:N$3360,'J Book Items Cons.'!E$5:E$3360,2,'J Book Items Cons.'!S$5:S$3360,"",'J Book Items Cons.'!U$5:U$3360,"MSC",'J Book Items Cons.'!W$5:W$3360,"Combat Logistics Ships",'J Book Items Cons.'!R$5:R$3360,"",'J Book Items Cons.'!N$5:N$3360,"&lt;&gt;")+SUMIFS('J Book Items Cons.'!L$5:L$3360,'J Book Items Cons.'!E$5:E$3360,2,'J Book Items Cons.'!S$5:S$3360,"",'J Book Items Cons.'!U$5:U$3360,"MSC",'J Book Items Cons.'!W$5:W$3360,"Combat Logistics Ships",'J Book Items Cons.'!R$5:R$3360,"",'J Book Items Cons.'!N$5:N$3360,"")+SUMIFS('J Book Items Cons.'!R$5:R$3360,'J Book Items Cons.'!E$5:E$3360,2,'J Book Items Cons.'!S$5:S$3360,"[PARENT]",'J Book Items Cons.'!U$5:U$3360,"MSC",'J Book Items Cons.'!W$5:W$3360,"Combat Logistics Ships",'J Book Items Cons.'!R$5:R$3360,"&lt;&gt;")+SUMIFS('J Book Items Cons.'!N$5:N$3360,'J Book Items Cons.'!E$5:E$3360,2,'J Book Items Cons.'!S$5:S$3360,"[PARENT]",'J Book Items Cons.'!U$5:U$3360,"MSC",'J Book Items Cons.'!W$5:W$3360,"Combat Logistics Ships",'J Book Items Cons.'!R$5:R$3360,"",'J Book Items Cons.'!N$5:N$3360,"&lt;&gt;")+SUMIFS('J Book Items Cons.'!L$5:L$3360,'J Book Items Cons.'!E$5:E$3360,2,'J Book Items Cons.'!S$5:S$3360,"[PARENT]",'J Book Items Cons.'!U$5:U$3360,"MSC",'J Book Items Cons.'!W$5:W$3360,"Combat Logistics Ships",'J Book Items Cons.'!R$5:R$3360,"",'J Book Items Cons.'!N$5:N$3360,""))/G79)</f>
        <v>0</v>
      </c>
      <c r="H73" s="38">
        <f>IF(H79=0,0,(SUMIFS('J Book Items Cons.'!R$5:R$3360,'J Book Items Cons.'!E$5:E$3360,2,'J Book Items Cons.'!S$5:S$3360,"",'J Book Items Cons.'!U$5:U$3360,"USN",'J Book Items Cons.'!W$5:W$3360,"Unmanned Surface Vehicles",'J Book Items Cons.'!R$5:R$3360,"&lt;&gt;")+SUMIFS('J Book Items Cons.'!N$5:N$3360,'J Book Items Cons.'!E$5:E$3360,2,'J Book Items Cons.'!S$5:S$3360,"",'J Book Items Cons.'!U$5:U$3360,"USN",'J Book Items Cons.'!W$5:W$3360,"Unmanned Surface Vehicles",'J Book Items Cons.'!R$5:R$3360,"",'J Book Items Cons.'!N$5:N$3360,"&lt;&gt;")+SUMIFS('J Book Items Cons.'!L$5:L$3360,'J Book Items Cons.'!E$5:E$3360,2,'J Book Items Cons.'!S$5:S$3360,"",'J Book Items Cons.'!U$5:U$3360,"USN",'J Book Items Cons.'!W$5:W$3360,"Unmanned Surface Vehicles",'J Book Items Cons.'!R$5:R$3360,"",'J Book Items Cons.'!N$5:N$3360,"")+SUMIFS('J Book Items Cons.'!R$5:R$3360,'J Book Items Cons.'!E$5:E$3360,2,'J Book Items Cons.'!S$5:S$3360,"[PARENT]",'J Book Items Cons.'!U$5:U$3360,"USN",'J Book Items Cons.'!W$5:W$3360,"Unmanned Surface Vehicles",'J Book Items Cons.'!R$5:R$3360,"&lt;&gt;")+SUMIFS('J Book Items Cons.'!N$5:N$3360,'J Book Items Cons.'!E$5:E$3360,2,'J Book Items Cons.'!S$5:S$3360,"[PARENT]",'J Book Items Cons.'!U$5:U$3360,"USN",'J Book Items Cons.'!W$5:W$3360,"Unmanned Surface Vehicles",'J Book Items Cons.'!R$5:R$3360,"",'J Book Items Cons.'!N$5:N$3360,"&lt;&gt;")+SUMIFS('J Book Items Cons.'!L$5:L$3360,'J Book Items Cons.'!E$5:E$3360,2,'J Book Items Cons.'!S$5:S$3360,"[PARENT]",'J Book Items Cons.'!U$5:U$3360,"USN",'J Book Items Cons.'!W$5:W$3360,"Unmanned Surface Vehicles",'J Book Items Cons.'!R$5:R$3360,"",'J Book Items Cons.'!N$5:N$3360,""))/H79)</f>
        <v>0</v>
      </c>
      <c r="I73" s="38">
        <f>IF(I79=0,0,(SUMIFS('J Book Items Cons.'!R$5:R$3360,'J Book Items Cons.'!E$5:E$3360,2,'J Book Items Cons.'!S$5:S$3360,"",'J Book Items Cons.'!U$5:U$3360,"USN",'J Book Items Cons.'!W$5:W$3360,"Amphibious Warfare Craft",'J Book Items Cons.'!R$5:R$3360,"&lt;&gt;")+SUMIFS('J Book Items Cons.'!N$5:N$3360,'J Book Items Cons.'!E$5:E$3360,2,'J Book Items Cons.'!S$5:S$3360,"",'J Book Items Cons.'!U$5:U$3360,"USN",'J Book Items Cons.'!W$5:W$3360,"Amphibious Warfare Craft",'J Book Items Cons.'!R$5:R$3360,"",'J Book Items Cons.'!N$5:N$3360,"&lt;&gt;")+SUMIFS('J Book Items Cons.'!L$5:L$3360,'J Book Items Cons.'!E$5:E$3360,2,'J Book Items Cons.'!S$5:S$3360,"",'J Book Items Cons.'!U$5:U$3360,"USN",'J Book Items Cons.'!W$5:W$3360,"Amphibious Warfare Craft",'J Book Items Cons.'!R$5:R$3360,"",'J Book Items Cons.'!N$5:N$3360,"")+SUMIFS('J Book Items Cons.'!R$5:R$3360,'J Book Items Cons.'!E$5:E$3360,2,'J Book Items Cons.'!S$5:S$3360,"[PARENT]",'J Book Items Cons.'!U$5:U$3360,"USN",'J Book Items Cons.'!W$5:W$3360,"Amphibious Warfare Craft",'J Book Items Cons.'!R$5:R$3360,"&lt;&gt;")+SUMIFS('J Book Items Cons.'!N$5:N$3360,'J Book Items Cons.'!E$5:E$3360,2,'J Book Items Cons.'!S$5:S$3360,"[PARENT]",'J Book Items Cons.'!U$5:U$3360,"USN",'J Book Items Cons.'!W$5:W$3360,"Amphibious Warfare Craft",'J Book Items Cons.'!R$5:R$3360,"",'J Book Items Cons.'!N$5:N$3360,"&lt;&gt;")+SUMIFS('J Book Items Cons.'!L$5:L$3360,'J Book Items Cons.'!E$5:E$3360,2,'J Book Items Cons.'!S$5:S$3360,"[PARENT]",'J Book Items Cons.'!U$5:U$3360,"USN",'J Book Items Cons.'!W$5:W$3360,"Amphibious Warfare Craft",'J Book Items Cons.'!R$5:R$3360,"",'J Book Items Cons.'!N$5:N$3360,""))/I79)</f>
        <v>1.7614862906875656E-3</v>
      </c>
      <c r="J73" s="38">
        <f>IF(J79=0,0,(SUMIFS('J Book Items Cons.'!R$5:R$3360,'J Book Items Cons.'!E$5:E$3360,2,'J Book Items Cons.'!S$5:S$3360,"",'J Book Items Cons.'!U$5:U$3360,"MSC",'J Book Items Cons.'!W$5:W$3360,"Cargo &amp; Vehicle Cargo Ships",'J Book Items Cons.'!R$5:R$3360,"&lt;&gt;")+SUMIFS('J Book Items Cons.'!N$5:N$3360,'J Book Items Cons.'!E$5:E$3360,2,'J Book Items Cons.'!S$5:S$3360,"",'J Book Items Cons.'!U$5:U$3360,"MSC",'J Book Items Cons.'!W$5:W$3360,"Cargo &amp; Vehicle Cargo Ships",'J Book Items Cons.'!R$5:R$3360,"",'J Book Items Cons.'!N$5:N$3360,"&lt;&gt;")+SUMIFS('J Book Items Cons.'!L$5:L$3360,'J Book Items Cons.'!E$5:E$3360,2,'J Book Items Cons.'!S$5:S$3360,"",'J Book Items Cons.'!U$5:U$3360,"MSC",'J Book Items Cons.'!W$5:W$3360,"Cargo &amp; Vehicle Cargo Ships",'J Book Items Cons.'!R$5:R$3360,"",'J Book Items Cons.'!N$5:N$3360,"")+SUMIFS('J Book Items Cons.'!R$5:R$3360,'J Book Items Cons.'!E$5:E$3360,2,'J Book Items Cons.'!S$5:S$3360,"[PARENT]",'J Book Items Cons.'!U$5:U$3360,"MSC",'J Book Items Cons.'!W$5:W$3360,"Cargo &amp; Vehicle Cargo Ships",'J Book Items Cons.'!R$5:R$3360,"&lt;&gt;")+SUMIFS('J Book Items Cons.'!N$5:N$3360,'J Book Items Cons.'!E$5:E$3360,2,'J Book Items Cons.'!S$5:S$3360,"[PARENT]",'J Book Items Cons.'!U$5:U$3360,"MSC",'J Book Items Cons.'!W$5:W$3360,"Cargo &amp; Vehicle Cargo Ships",'J Book Items Cons.'!R$5:R$3360,"",'J Book Items Cons.'!N$5:N$3360,"&lt;&gt;")+SUMIFS('J Book Items Cons.'!L$5:L$3360,'J Book Items Cons.'!E$5:E$3360,2,'J Book Items Cons.'!S$5:S$3360,"[PARENT]",'J Book Items Cons.'!U$5:U$3360,"MSC",'J Book Items Cons.'!W$5:W$3360,"Cargo &amp; Vehicle Cargo Ships",'J Book Items Cons.'!R$5:R$3360,"",'J Book Items Cons.'!N$5:N$3360,""))/J79)</f>
        <v>0</v>
      </c>
      <c r="K73" s="38">
        <f>IF(K79=0,0,(SUMIFS('J Book Items Cons.'!R$5:R$3360,'J Book Items Cons.'!E$5:E$3360,2,'J Book Items Cons.'!S$5:S$3360,"",'J Book Items Cons.'!U$5:U$3360,"MSC",'J Book Items Cons.'!W$5:W$3360,"Surveillance Ships",'J Book Items Cons.'!R$5:R$3360,"&lt;&gt;")+SUMIFS('J Book Items Cons.'!N$5:N$3360,'J Book Items Cons.'!E$5:E$3360,2,'J Book Items Cons.'!S$5:S$3360,"",'J Book Items Cons.'!U$5:U$3360,"MSC",'J Book Items Cons.'!W$5:W$3360,"Surveillance Ships",'J Book Items Cons.'!R$5:R$3360,"",'J Book Items Cons.'!N$5:N$3360,"&lt;&gt;")+SUMIFS('J Book Items Cons.'!L$5:L$3360,'J Book Items Cons.'!E$5:E$3360,2,'J Book Items Cons.'!S$5:S$3360,"",'J Book Items Cons.'!U$5:U$3360,"MSC",'J Book Items Cons.'!W$5:W$3360,"Surveillance Ships",'J Book Items Cons.'!R$5:R$3360,"",'J Book Items Cons.'!N$5:N$3360,"")+SUMIFS('J Book Items Cons.'!R$5:R$3360,'J Book Items Cons.'!E$5:E$3360,2,'J Book Items Cons.'!S$5:S$3360,"[PARENT]",'J Book Items Cons.'!U$5:U$3360,"MSC",'J Book Items Cons.'!W$5:W$3360,"Surveillance Ships",'J Book Items Cons.'!R$5:R$3360,"&lt;&gt;")+SUMIFS('J Book Items Cons.'!N$5:N$3360,'J Book Items Cons.'!E$5:E$3360,2,'J Book Items Cons.'!S$5:S$3360,"[PARENT]",'J Book Items Cons.'!U$5:U$3360,"MSC",'J Book Items Cons.'!W$5:W$3360,"Surveillance Ships",'J Book Items Cons.'!R$5:R$3360,"",'J Book Items Cons.'!N$5:N$3360,"&lt;&gt;")+SUMIFS('J Book Items Cons.'!L$5:L$3360,'J Book Items Cons.'!E$5:E$3360,2,'J Book Items Cons.'!S$5:S$3360,"[PARENT]",'J Book Items Cons.'!U$5:U$3360,"MSC",'J Book Items Cons.'!W$5:W$3360,"Surveillance Ships",'J Book Items Cons.'!R$5:R$3360,"",'J Book Items Cons.'!N$5:N$3360,""))/K79)</f>
        <v>0</v>
      </c>
      <c r="L73" s="38">
        <f>IF(L79=0,0,(SUMIFS('J Book Items Cons.'!R$5:R$3360,'J Book Items Cons.'!E$5:E$3360,2,'J Book Items Cons.'!S$5:S$3360,"",'J Book Items Cons.'!U$5:U$3360,"USN",'J Book Items Cons.'!W$5:W$3360,"Unmanned Undersea Vehicles",'J Book Items Cons.'!R$5:R$3360,"&lt;&gt;")+SUMIFS('J Book Items Cons.'!N$5:N$3360,'J Book Items Cons.'!E$5:E$3360,2,'J Book Items Cons.'!S$5:S$3360,"",'J Book Items Cons.'!U$5:U$3360,"USN",'J Book Items Cons.'!W$5:W$3360,"Unmanned Undersea Vehicles",'J Book Items Cons.'!R$5:R$3360,"",'J Book Items Cons.'!N$5:N$3360,"&lt;&gt;")+SUMIFS('J Book Items Cons.'!L$5:L$3360,'J Book Items Cons.'!E$5:E$3360,2,'J Book Items Cons.'!S$5:S$3360,"",'J Book Items Cons.'!U$5:U$3360,"USN",'J Book Items Cons.'!W$5:W$3360,"Unmanned Undersea Vehicles",'J Book Items Cons.'!R$5:R$3360,"",'J Book Items Cons.'!N$5:N$3360,"")+SUMIFS('J Book Items Cons.'!R$5:R$3360,'J Book Items Cons.'!E$5:E$3360,2,'J Book Items Cons.'!S$5:S$3360,"[PARENT]",'J Book Items Cons.'!U$5:U$3360,"USN",'J Book Items Cons.'!W$5:W$3360,"Unmanned Undersea Vehicles",'J Book Items Cons.'!R$5:R$3360,"&lt;&gt;")+SUMIFS('J Book Items Cons.'!N$5:N$3360,'J Book Items Cons.'!E$5:E$3360,2,'J Book Items Cons.'!S$5:S$3360,"[PARENT]",'J Book Items Cons.'!U$5:U$3360,"USN",'J Book Items Cons.'!W$5:W$3360,"Unmanned Undersea Vehicles",'J Book Items Cons.'!R$5:R$3360,"",'J Book Items Cons.'!N$5:N$3360,"&lt;&gt;")+SUMIFS('J Book Items Cons.'!L$5:L$3360,'J Book Items Cons.'!E$5:E$3360,2,'J Book Items Cons.'!S$5:S$3360,"[PARENT]",'J Book Items Cons.'!U$5:U$3360,"USN",'J Book Items Cons.'!W$5:W$3360,"Unmanned Undersea Vehicles",'J Book Items Cons.'!R$5:R$3360,"",'J Book Items Cons.'!N$5:N$3360,""))/L79)</f>
        <v>0</v>
      </c>
      <c r="M73" s="38">
        <f>IF(M79=0,0,(SUMIFS('J Book Items Cons.'!R$5:R$3360,'J Book Items Cons.'!E$5:E$3360,2,'J Book Items Cons.'!S$5:S$3360,"",'J Book Items Cons.'!U$5:U$3360,"USN",'J Book Items Cons.'!W$5:W$3360,"Command Ships",'J Book Items Cons.'!R$5:R$3360,"&lt;&gt;")+SUMIFS('J Book Items Cons.'!N$5:N$3360,'J Book Items Cons.'!E$5:E$3360,2,'J Book Items Cons.'!S$5:S$3360,"",'J Book Items Cons.'!U$5:U$3360,"USN",'J Book Items Cons.'!W$5:W$3360,"Command Ships",'J Book Items Cons.'!R$5:R$3360,"",'J Book Items Cons.'!N$5:N$3360,"&lt;&gt;")+SUMIFS('J Book Items Cons.'!L$5:L$3360,'J Book Items Cons.'!E$5:E$3360,2,'J Book Items Cons.'!S$5:S$3360,"",'J Book Items Cons.'!U$5:U$3360,"USN",'J Book Items Cons.'!W$5:W$3360,"Command Ships",'J Book Items Cons.'!R$5:R$3360,"",'J Book Items Cons.'!N$5:N$3360,"")+SUMIFS('J Book Items Cons.'!R$5:R$3360,'J Book Items Cons.'!E$5:E$3360,2,'J Book Items Cons.'!S$5:S$3360,"[PARENT]",'J Book Items Cons.'!U$5:U$3360,"USN",'J Book Items Cons.'!W$5:W$3360,"Command Ships",'J Book Items Cons.'!R$5:R$3360,"&lt;&gt;")+SUMIFS('J Book Items Cons.'!N$5:N$3360,'J Book Items Cons.'!E$5:E$3360,2,'J Book Items Cons.'!S$5:S$3360,"[PARENT]",'J Book Items Cons.'!U$5:U$3360,"USN",'J Book Items Cons.'!W$5:W$3360,"Command Ships",'J Book Items Cons.'!R$5:R$3360,"",'J Book Items Cons.'!N$5:N$3360,"&lt;&gt;")+SUMIFS('J Book Items Cons.'!L$5:L$3360,'J Book Items Cons.'!E$5:E$3360,2,'J Book Items Cons.'!S$5:S$3360,"[PARENT]",'J Book Items Cons.'!U$5:U$3360,"USN",'J Book Items Cons.'!W$5:W$3360,"Command Ships",'J Book Items Cons.'!R$5:R$3360,"",'J Book Items Cons.'!N$5:N$3360,""))/M79)</f>
        <v>0.53493534066782478</v>
      </c>
      <c r="N73" s="39">
        <f>IF(N79=0,0,(SUMIFS('J Book Items Cons.'!R$5:R$3360,'J Book Items Cons.'!E$5:E$3360,2,'J Book Items Cons.'!S$5:S$3360,"",'J Book Items Cons.'!U$5:U$3360,"USN",'J Book Items Cons.'!W$5:W$3360,"Mine Warfare",'J Book Items Cons.'!R$5:R$3360,"&lt;&gt;")+SUMIFS('J Book Items Cons.'!N$5:N$3360,'J Book Items Cons.'!E$5:E$3360,2,'J Book Items Cons.'!S$5:S$3360,"",'J Book Items Cons.'!U$5:U$3360,"USN",'J Book Items Cons.'!W$5:W$3360,"Mine Warfare",'J Book Items Cons.'!R$5:R$3360,"",'J Book Items Cons.'!N$5:N$3360,"&lt;&gt;")+SUMIFS('J Book Items Cons.'!L$5:L$3360,'J Book Items Cons.'!E$5:E$3360,2,'J Book Items Cons.'!S$5:S$3360,"",'J Book Items Cons.'!U$5:U$3360,"USN",'J Book Items Cons.'!W$5:W$3360,"Mine Warfare",'J Book Items Cons.'!R$5:R$3360,"",'J Book Items Cons.'!N$5:N$3360,"")+SUMIFS('J Book Items Cons.'!R$5:R$3360,'J Book Items Cons.'!E$5:E$3360,2,'J Book Items Cons.'!S$5:S$3360,"[PARENT]",'J Book Items Cons.'!U$5:U$3360,"USN",'J Book Items Cons.'!W$5:W$3360,"Mine Warfare",'J Book Items Cons.'!R$5:R$3360,"&lt;&gt;")+SUMIFS('J Book Items Cons.'!N$5:N$3360,'J Book Items Cons.'!E$5:E$3360,2,'J Book Items Cons.'!S$5:S$3360,"[PARENT]",'J Book Items Cons.'!U$5:U$3360,"USN",'J Book Items Cons.'!W$5:W$3360,"Mine Warfare",'J Book Items Cons.'!R$5:R$3360,"",'J Book Items Cons.'!N$5:N$3360,"&lt;&gt;")+SUMIFS('J Book Items Cons.'!L$5:L$3360,'J Book Items Cons.'!E$5:E$3360,2,'J Book Items Cons.'!S$5:S$3360,"[PARENT]",'J Book Items Cons.'!U$5:U$3360,"USN",'J Book Items Cons.'!W$5:W$3360,"Mine Warfare",'J Book Items Cons.'!R$5:R$3360,"",'J Book Items Cons.'!N$5:N$3360,""))/N79)</f>
        <v>0.95613782906895561</v>
      </c>
      <c r="O73" s="37">
        <f>IF(O79=0,0,(SUMIFS('J Book Items Cons.'!R$5:R$3360,'J Book Items Cons.'!E$5:E$3360,2,'J Book Items Cons.'!S$5:S$3360,"",'J Book Items Cons.'!U$5:U$3360,"USCG",'J Book Items Cons.'!W$5:W$3360,"Offshore Patrol Cutter",'J Book Items Cons.'!R$5:R$3360,"&lt;&gt;")+SUMIFS('J Book Items Cons.'!N$5:N$3360,'J Book Items Cons.'!E$5:E$3360,2,'J Book Items Cons.'!S$5:S$3360,"",'J Book Items Cons.'!U$5:U$3360,"USCG",'J Book Items Cons.'!W$5:W$3360,"Offshore Patrol Cutter",'J Book Items Cons.'!R$5:R$3360,"",'J Book Items Cons.'!N$5:N$3360,"&lt;&gt;")+SUMIFS('J Book Items Cons.'!L$5:L$3360,'J Book Items Cons.'!E$5:E$3360,2,'J Book Items Cons.'!S$5:S$3360,"",'J Book Items Cons.'!U$5:U$3360,"USCG",'J Book Items Cons.'!W$5:W$3360,"Offshore Patrol Cutter",'J Book Items Cons.'!R$5:R$3360,"",'J Book Items Cons.'!N$5:N$3360,"")+SUMIFS('J Book Items Cons.'!R$5:R$3360,'J Book Items Cons.'!E$5:E$3360,2,'J Book Items Cons.'!S$5:S$3360,"[PARENT]",'J Book Items Cons.'!U$5:U$3360,"USCG",'J Book Items Cons.'!W$5:W$3360,"Offshore Patrol Cutter",'J Book Items Cons.'!R$5:R$3360,"&lt;&gt;")+SUMIFS('J Book Items Cons.'!N$5:N$3360,'J Book Items Cons.'!E$5:E$3360,2,'J Book Items Cons.'!S$5:S$3360,"[PARENT]",'J Book Items Cons.'!U$5:U$3360,"USCG",'J Book Items Cons.'!W$5:W$3360,"Offshore Patrol Cutter",'J Book Items Cons.'!R$5:R$3360,"",'J Book Items Cons.'!N$5:N$3360,"&lt;&gt;")+SUMIFS('J Book Items Cons.'!L$5:L$3360,'J Book Items Cons.'!E$5:E$3360,2,'J Book Items Cons.'!S$5:S$3360,"[PARENT]",'J Book Items Cons.'!U$5:U$3360,"USCG",'J Book Items Cons.'!W$5:W$3360,"Offshore Patrol Cutter",'J Book Items Cons.'!R$5:R$3360,"",'J Book Items Cons.'!N$5:N$3360,""))/O79)</f>
        <v>0</v>
      </c>
      <c r="P73" s="38">
        <f>IF(P79=0,0,(SUMIFS('J Book Items Cons.'!R$5:R$3360,'J Book Items Cons.'!E$5:E$3360,2,'J Book Items Cons.'!S$5:S$3360,"",'J Book Items Cons.'!U$5:U$3360,"USCG",'J Book Items Cons.'!W$5:W$3360,"Fast Response Cutters",'J Book Items Cons.'!R$5:R$3360,"&lt;&gt;")+SUMIFS('J Book Items Cons.'!N$5:N$3360,'J Book Items Cons.'!E$5:E$3360,2,'J Book Items Cons.'!S$5:S$3360,"",'J Book Items Cons.'!U$5:U$3360,"USCG",'J Book Items Cons.'!W$5:W$3360,"Fast Response Cutters",'J Book Items Cons.'!R$5:R$3360,"",'J Book Items Cons.'!N$5:N$3360,"&lt;&gt;")+SUMIFS('J Book Items Cons.'!L$5:L$3360,'J Book Items Cons.'!E$5:E$3360,2,'J Book Items Cons.'!S$5:S$3360,"",'J Book Items Cons.'!U$5:U$3360,"USCG",'J Book Items Cons.'!W$5:W$3360,"Fast Response Cutters",'J Book Items Cons.'!R$5:R$3360,"",'J Book Items Cons.'!N$5:N$3360,"")+SUMIFS('J Book Items Cons.'!R$5:R$3360,'J Book Items Cons.'!E$5:E$3360,2,'J Book Items Cons.'!S$5:S$3360,"[PARENT]",'J Book Items Cons.'!U$5:U$3360,"USCG",'J Book Items Cons.'!W$5:W$3360,"Fast Response Cutters",'J Book Items Cons.'!R$5:R$3360,"&lt;&gt;")+SUMIFS('J Book Items Cons.'!N$5:N$3360,'J Book Items Cons.'!E$5:E$3360,2,'J Book Items Cons.'!S$5:S$3360,"[PARENT]",'J Book Items Cons.'!U$5:U$3360,"USCG",'J Book Items Cons.'!W$5:W$3360,"Fast Response Cutters",'J Book Items Cons.'!R$5:R$3360,"",'J Book Items Cons.'!N$5:N$3360,"&lt;&gt;")+SUMIFS('J Book Items Cons.'!L$5:L$3360,'J Book Items Cons.'!E$5:E$3360,2,'J Book Items Cons.'!S$5:S$3360,"[PARENT]",'J Book Items Cons.'!U$5:U$3360,"USCG",'J Book Items Cons.'!W$5:W$3360,"Fast Response Cutters",'J Book Items Cons.'!R$5:R$3360,"",'J Book Items Cons.'!N$5:N$3360,""))/P79)</f>
        <v>0</v>
      </c>
      <c r="Q73" s="38">
        <f>IF(Q79=0,0,(SUMIFS('J Book Items Cons.'!R$5:R$3360,'J Book Items Cons.'!E$5:E$3360,2,'J Book Items Cons.'!S$5:S$3360,"",'J Book Items Cons.'!U$5:U$3360,"USCG",'J Book Items Cons.'!W$5:W$3360,"Icebreakers, Oceangoing",'J Book Items Cons.'!R$5:R$3360,"&lt;&gt;")+SUMIFS('J Book Items Cons.'!N$5:N$3360,'J Book Items Cons.'!E$5:E$3360,2,'J Book Items Cons.'!S$5:S$3360,"",'J Book Items Cons.'!U$5:U$3360,"USCG",'J Book Items Cons.'!W$5:W$3360,"Icebreakers, Oceangoing",'J Book Items Cons.'!R$5:R$3360,"",'J Book Items Cons.'!N$5:N$3360,"&lt;&gt;")+SUMIFS('J Book Items Cons.'!L$5:L$3360,'J Book Items Cons.'!E$5:E$3360,2,'J Book Items Cons.'!S$5:S$3360,"",'J Book Items Cons.'!U$5:U$3360,"USCG",'J Book Items Cons.'!W$5:W$3360,"Icebreakers, Oceangoing",'J Book Items Cons.'!R$5:R$3360,"",'J Book Items Cons.'!N$5:N$3360,"")+SUMIFS('J Book Items Cons.'!R$5:R$3360,'J Book Items Cons.'!E$5:E$3360,2,'J Book Items Cons.'!S$5:S$3360,"[PARENT]",'J Book Items Cons.'!U$5:U$3360,"USCG",'J Book Items Cons.'!W$5:W$3360,"Icebreakers, Oceangoing",'J Book Items Cons.'!R$5:R$3360,"&lt;&gt;")+SUMIFS('J Book Items Cons.'!N$5:N$3360,'J Book Items Cons.'!E$5:E$3360,2,'J Book Items Cons.'!S$5:S$3360,"[PARENT]",'J Book Items Cons.'!U$5:U$3360,"USCG",'J Book Items Cons.'!W$5:W$3360,"Icebreakers, Oceangoing",'J Book Items Cons.'!R$5:R$3360,"",'J Book Items Cons.'!N$5:N$3360,"&lt;&gt;")+SUMIFS('J Book Items Cons.'!L$5:L$3360,'J Book Items Cons.'!E$5:E$3360,2,'J Book Items Cons.'!S$5:S$3360,"[PARENT]",'J Book Items Cons.'!U$5:U$3360,"USCG",'J Book Items Cons.'!W$5:W$3360,"Icebreakers, Oceangoing",'J Book Items Cons.'!R$5:R$3360,"",'J Book Items Cons.'!N$5:N$3360,""))/Q79)</f>
        <v>0</v>
      </c>
      <c r="R73" s="38">
        <f>IF(R79=0,0,(SUMIFS('J Book Items Cons.'!R$5:R$3360,'J Book Items Cons.'!E$5:E$3360,2,'J Book Items Cons.'!S$5:S$3360,"",'J Book Items Cons.'!U$5:U$3360,"USCG",'J Book Items Cons.'!W$5:W$3360,"Waterways Commerce Cutters",'J Book Items Cons.'!R$5:R$3360,"&lt;&gt;")+SUMIFS('J Book Items Cons.'!N$5:N$3360,'J Book Items Cons.'!E$5:E$3360,2,'J Book Items Cons.'!S$5:S$3360,"",'J Book Items Cons.'!U$5:U$3360,"USCG",'J Book Items Cons.'!W$5:W$3360,"Waterways Commerce Cutters",'J Book Items Cons.'!R$5:R$3360,"",'J Book Items Cons.'!N$5:N$3360,"&lt;&gt;")+SUMIFS('J Book Items Cons.'!L$5:L$3360,'J Book Items Cons.'!E$5:E$3360,2,'J Book Items Cons.'!S$5:S$3360,"",'J Book Items Cons.'!U$5:U$3360,"USCG",'J Book Items Cons.'!W$5:W$3360,"Waterways Commerce Cutters",'J Book Items Cons.'!R$5:R$3360,"",'J Book Items Cons.'!N$5:N$3360,"")+SUMIFS('J Book Items Cons.'!R$5:R$3360,'J Book Items Cons.'!E$5:E$3360,2,'J Book Items Cons.'!S$5:S$3360,"[PARENT]",'J Book Items Cons.'!U$5:U$3360,"USCG",'J Book Items Cons.'!W$5:W$3360,"Waterways Commerce Cutters",'J Book Items Cons.'!R$5:R$3360,"&lt;&gt;")+SUMIFS('J Book Items Cons.'!N$5:N$3360,'J Book Items Cons.'!E$5:E$3360,2,'J Book Items Cons.'!S$5:S$3360,"[PARENT]",'J Book Items Cons.'!U$5:U$3360,"USCG",'J Book Items Cons.'!W$5:W$3360,"Waterways Commerce Cutters",'J Book Items Cons.'!R$5:R$3360,"",'J Book Items Cons.'!N$5:N$3360,"&lt;&gt;")+SUMIFS('J Book Items Cons.'!L$5:L$3360,'J Book Items Cons.'!E$5:E$3360,2,'J Book Items Cons.'!S$5:S$3360,"[PARENT]",'J Book Items Cons.'!U$5:U$3360,"USCG",'J Book Items Cons.'!W$5:W$3360,"Waterways Commerce Cutters",'J Book Items Cons.'!R$5:R$3360,"",'J Book Items Cons.'!N$5:N$3360,""))/R79)</f>
        <v>0</v>
      </c>
      <c r="S73" s="39">
        <f>IF(S79=0,0,(SUMIFS('J Book Items Cons.'!R$5:R$3360,'J Book Items Cons.'!E$5:E$3360,2,'J Book Items Cons.'!S$5:S$3360,"",'J Book Items Cons.'!U$5:U$3360,"USCG",'J Book Items Cons.'!W$5:W$3360,"National Security Cutters",'J Book Items Cons.'!R$5:R$3360,"&lt;&gt;")+SUMIFS('J Book Items Cons.'!N$5:N$3360,'J Book Items Cons.'!E$5:E$3360,2,'J Book Items Cons.'!S$5:S$3360,"",'J Book Items Cons.'!U$5:U$3360,"USCG",'J Book Items Cons.'!W$5:W$3360,"National Security Cutters",'J Book Items Cons.'!R$5:R$3360,"",'J Book Items Cons.'!N$5:N$3360,"&lt;&gt;")+SUMIFS('J Book Items Cons.'!L$5:L$3360,'J Book Items Cons.'!E$5:E$3360,2,'J Book Items Cons.'!S$5:S$3360,"",'J Book Items Cons.'!U$5:U$3360,"USCG",'J Book Items Cons.'!W$5:W$3360,"National Security Cutters",'J Book Items Cons.'!R$5:R$3360,"",'J Book Items Cons.'!N$5:N$3360,"")+SUMIFS('J Book Items Cons.'!R$5:R$3360,'J Book Items Cons.'!E$5:E$3360,2,'J Book Items Cons.'!S$5:S$3360,"[PARENT]",'J Book Items Cons.'!U$5:U$3360,"USCG",'J Book Items Cons.'!W$5:W$3360,"National Security Cutters",'J Book Items Cons.'!R$5:R$3360,"&lt;&gt;")+SUMIFS('J Book Items Cons.'!N$5:N$3360,'J Book Items Cons.'!E$5:E$3360,2,'J Book Items Cons.'!S$5:S$3360,"[PARENT]",'J Book Items Cons.'!U$5:U$3360,"USCG",'J Book Items Cons.'!W$5:W$3360,"National Security Cutters",'J Book Items Cons.'!R$5:R$3360,"",'J Book Items Cons.'!N$5:N$3360,"&lt;&gt;")+SUMIFS('J Book Items Cons.'!L$5:L$3360,'J Book Items Cons.'!E$5:E$3360,2,'J Book Items Cons.'!S$5:S$3360,"[PARENT]",'J Book Items Cons.'!U$5:U$3360,"USCG",'J Book Items Cons.'!W$5:W$3360,"National Security Cutters",'J Book Items Cons.'!R$5:R$3360,"",'J Book Items Cons.'!N$5:N$3360,""))/S79)</f>
        <v>0</v>
      </c>
      <c r="T73" s="38">
        <f t="shared" si="7"/>
        <v>0.1761048417699608</v>
      </c>
      <c r="U73" s="36"/>
      <c r="V73" s="36"/>
      <c r="W73" s="36"/>
      <c r="X73" s="36"/>
      <c r="Y73" s="36"/>
      <c r="AD73" s="36"/>
      <c r="AE73" s="36"/>
      <c r="AF73" s="36"/>
      <c r="AG73" s="36"/>
      <c r="AH73" s="36"/>
      <c r="AI73" s="36"/>
      <c r="AJ73" s="36"/>
      <c r="AK73" s="36"/>
      <c r="AL73" s="36"/>
      <c r="AM73" s="36"/>
      <c r="AN73" s="36"/>
      <c r="AO73" s="36"/>
      <c r="AP73" s="36"/>
    </row>
    <row r="74" spans="1:42" x14ac:dyDescent="0.15">
      <c r="A74" s="7" t="s">
        <v>8851</v>
      </c>
      <c r="B74" s="37">
        <f>IF(B79=0,0,(SUMIFS('J Book Items Cons.'!R$5:R$3360,'J Book Items Cons.'!E$5:E$3360,3,'J Book Items Cons.'!S$5:S$3360,"",'J Book Items Cons.'!U$5:U$3360,"USN",'J Book Items Cons.'!W$5:W$3360,"Submarines",'J Book Items Cons.'!R$5:R$3360,"&lt;&gt;")+SUMIFS('J Book Items Cons.'!N$5:N$3360,'J Book Items Cons.'!E$5:E$3360,3,'J Book Items Cons.'!S$5:S$3360,"",'J Book Items Cons.'!U$5:U$3360,"USN",'J Book Items Cons.'!W$5:W$3360,"Submarines",'J Book Items Cons.'!R$5:R$3360,"",'J Book Items Cons.'!N$5:N$3360,"&lt;&gt;")+SUMIFS('J Book Items Cons.'!L$5:L$3360,'J Book Items Cons.'!E$5:E$3360,3,'J Book Items Cons.'!S$5:S$3360,"",'J Book Items Cons.'!U$5:U$3360,"USN",'J Book Items Cons.'!W$5:W$3360,"Submarines",'J Book Items Cons.'!R$5:R$3360,"",'J Book Items Cons.'!N$5:N$3360,"")+SUMIFS('J Book Items Cons.'!R$5:R$3360,'J Book Items Cons.'!E$5:E$3360,3,'J Book Items Cons.'!S$5:S$3360,"[PARENT]",'J Book Items Cons.'!U$5:U$3360,"USN",'J Book Items Cons.'!W$5:W$3360,"Submarines",'J Book Items Cons.'!R$5:R$3360,"&lt;&gt;")+SUMIFS('J Book Items Cons.'!N$5:N$3360,'J Book Items Cons.'!E$5:E$3360,3,'J Book Items Cons.'!S$5:S$3360,"[PARENT]",'J Book Items Cons.'!U$5:U$3360,"USN",'J Book Items Cons.'!W$5:W$3360,"Submarines",'J Book Items Cons.'!R$5:R$3360,"",'J Book Items Cons.'!N$5:N$3360,"&lt;&gt;")+SUMIFS('J Book Items Cons.'!L$5:L$3360,'J Book Items Cons.'!E$5:E$3360,3,'J Book Items Cons.'!S$5:S$3360,"[PARENT]",'J Book Items Cons.'!U$5:U$3360,"USN",'J Book Items Cons.'!W$5:W$3360,"Submarines",'J Book Items Cons.'!R$5:R$3360,"",'J Book Items Cons.'!N$5:N$3360,""))/B79)</f>
        <v>0</v>
      </c>
      <c r="C74" s="38">
        <f>IF(C79=0,0,(SUMIFS('J Book Items Cons.'!R$5:R$3360,'J Book Items Cons.'!E$5:E$3360,3,'J Book Items Cons.'!S$5:S$3360,"",'J Book Items Cons.'!U$5:U$3360,"USN",'J Book Items Cons.'!W$5:W$3360,"Surface Combatants",'J Book Items Cons.'!R$5:R$3360,"&lt;&gt;")+SUMIFS('J Book Items Cons.'!N$5:N$3360,'J Book Items Cons.'!E$5:E$3360,3,'J Book Items Cons.'!S$5:S$3360,"",'J Book Items Cons.'!U$5:U$3360,"USN",'J Book Items Cons.'!W$5:W$3360,"Surface Combatants",'J Book Items Cons.'!R$5:R$3360,"",'J Book Items Cons.'!N$5:N$3360,"&lt;&gt;")+SUMIFS('J Book Items Cons.'!L$5:L$3360,'J Book Items Cons.'!E$5:E$3360,3,'J Book Items Cons.'!S$5:S$3360,"",'J Book Items Cons.'!U$5:U$3360,"USN",'J Book Items Cons.'!W$5:W$3360,"Surface Combatants",'J Book Items Cons.'!R$5:R$3360,"",'J Book Items Cons.'!N$5:N$3360,"")+SUMIFS('J Book Items Cons.'!R$5:R$3360,'J Book Items Cons.'!E$5:E$3360,3,'J Book Items Cons.'!S$5:S$3360,"[PARENT]",'J Book Items Cons.'!U$5:U$3360,"USN",'J Book Items Cons.'!W$5:W$3360,"Surface Combatants",'J Book Items Cons.'!R$5:R$3360,"&lt;&gt;")+SUMIFS('J Book Items Cons.'!N$5:N$3360,'J Book Items Cons.'!E$5:E$3360,3,'J Book Items Cons.'!S$5:S$3360,"[PARENT]",'J Book Items Cons.'!U$5:U$3360,"USN",'J Book Items Cons.'!W$5:W$3360,"Surface Combatants",'J Book Items Cons.'!R$5:R$3360,"",'J Book Items Cons.'!N$5:N$3360,"&lt;&gt;")+SUMIFS('J Book Items Cons.'!L$5:L$3360,'J Book Items Cons.'!E$5:E$3360,3,'J Book Items Cons.'!S$5:S$3360,"[PARENT]",'J Book Items Cons.'!U$5:U$3360,"USN",'J Book Items Cons.'!W$5:W$3360,"Surface Combatants",'J Book Items Cons.'!R$5:R$3360,"",'J Book Items Cons.'!N$5:N$3360,""))/C79)</f>
        <v>1.522552500719067E-2</v>
      </c>
      <c r="D74" s="38">
        <f>IF(D79=0,0,(SUMIFS('J Book Items Cons.'!R$5:R$3360,'J Book Items Cons.'!E$5:E$3360,3,'J Book Items Cons.'!S$5:S$3360,"",'J Book Items Cons.'!U$5:U$3360,"USN",'J Book Items Cons.'!W$5:W$3360,"Aircraft Carriers",'J Book Items Cons.'!R$5:R$3360,"&lt;&gt;")+SUMIFS('J Book Items Cons.'!N$5:N$3360,'J Book Items Cons.'!E$5:E$3360,3,'J Book Items Cons.'!S$5:S$3360,"",'J Book Items Cons.'!U$5:U$3360,"USN",'J Book Items Cons.'!W$5:W$3360,"Aircraft Carriers",'J Book Items Cons.'!R$5:R$3360,"",'J Book Items Cons.'!N$5:N$3360,"&lt;&gt;")+SUMIFS('J Book Items Cons.'!L$5:L$3360,'J Book Items Cons.'!E$5:E$3360,3,'J Book Items Cons.'!S$5:S$3360,"",'J Book Items Cons.'!U$5:U$3360,"USN",'J Book Items Cons.'!W$5:W$3360,"Aircraft Carriers",'J Book Items Cons.'!R$5:R$3360,"",'J Book Items Cons.'!N$5:N$3360,"")+SUMIFS('J Book Items Cons.'!R$5:R$3360,'J Book Items Cons.'!E$5:E$3360,3,'J Book Items Cons.'!S$5:S$3360,"[PARENT]",'J Book Items Cons.'!U$5:U$3360,"USN",'J Book Items Cons.'!W$5:W$3360,"Aircraft Carriers",'J Book Items Cons.'!R$5:R$3360,"&lt;&gt;")+SUMIFS('J Book Items Cons.'!N$5:N$3360,'J Book Items Cons.'!E$5:E$3360,3,'J Book Items Cons.'!S$5:S$3360,"[PARENT]",'J Book Items Cons.'!U$5:U$3360,"USN",'J Book Items Cons.'!W$5:W$3360,"Aircraft Carriers",'J Book Items Cons.'!R$5:R$3360,"",'J Book Items Cons.'!N$5:N$3360,"&lt;&gt;")+SUMIFS('J Book Items Cons.'!L$5:L$3360,'J Book Items Cons.'!E$5:E$3360,3,'J Book Items Cons.'!S$5:S$3360,"[PARENT]",'J Book Items Cons.'!U$5:U$3360,"USN",'J Book Items Cons.'!W$5:W$3360,"Aircraft Carriers",'J Book Items Cons.'!R$5:R$3360,"",'J Book Items Cons.'!N$5:N$3360,""))/D79)</f>
        <v>0</v>
      </c>
      <c r="E74" s="38">
        <f>IF(E79=0,0,(SUMIFS('J Book Items Cons.'!R$5:R$3360,'J Book Items Cons.'!E$5:E$3360,3,'J Book Items Cons.'!S$5:S$3360,"",'J Book Items Cons.'!U$5:U$3360,"USN",'J Book Items Cons.'!W$5:W$3360,"Amphibious Warfare Ships",'J Book Items Cons.'!R$5:R$3360,"&lt;&gt;")+SUMIFS('J Book Items Cons.'!N$5:N$3360,'J Book Items Cons.'!E$5:E$3360,3,'J Book Items Cons.'!S$5:S$3360,"",'J Book Items Cons.'!U$5:U$3360,"USN",'J Book Items Cons.'!W$5:W$3360,"Amphibious Warfare Ships",'J Book Items Cons.'!R$5:R$3360,"",'J Book Items Cons.'!N$5:N$3360,"&lt;&gt;")+SUMIFS('J Book Items Cons.'!L$5:L$3360,'J Book Items Cons.'!E$5:E$3360,3,'J Book Items Cons.'!S$5:S$3360,"",'J Book Items Cons.'!U$5:U$3360,"USN",'J Book Items Cons.'!W$5:W$3360,"Amphibious Warfare Ships",'J Book Items Cons.'!R$5:R$3360,"",'J Book Items Cons.'!N$5:N$3360,"")+SUMIFS('J Book Items Cons.'!R$5:R$3360,'J Book Items Cons.'!E$5:E$3360,3,'J Book Items Cons.'!S$5:S$3360,"[PARENT]",'J Book Items Cons.'!U$5:U$3360,"USN",'J Book Items Cons.'!W$5:W$3360,"Amphibious Warfare Ships",'J Book Items Cons.'!R$5:R$3360,"&lt;&gt;")+SUMIFS('J Book Items Cons.'!N$5:N$3360,'J Book Items Cons.'!E$5:E$3360,3,'J Book Items Cons.'!S$5:S$3360,"[PARENT]",'J Book Items Cons.'!U$5:U$3360,"USN",'J Book Items Cons.'!W$5:W$3360,"Amphibious Warfare Ships",'J Book Items Cons.'!R$5:R$3360,"",'J Book Items Cons.'!N$5:N$3360,"&lt;&gt;")+SUMIFS('J Book Items Cons.'!L$5:L$3360,'J Book Items Cons.'!E$5:E$3360,3,'J Book Items Cons.'!S$5:S$3360,"[PARENT]",'J Book Items Cons.'!U$5:U$3360,"USN",'J Book Items Cons.'!W$5:W$3360,"Amphibious Warfare Ships",'J Book Items Cons.'!R$5:R$3360,"",'J Book Items Cons.'!N$5:N$3360,""))/E79)</f>
        <v>0</v>
      </c>
      <c r="F74" s="38">
        <f>IF(F79=0,0,(SUMIFS('J Book Items Cons.'!R$5:R$3360,'J Book Items Cons.'!E$5:E$3360,3,'J Book Items Cons.'!S$5:S$3360,"",'J Book Items Cons.'!U$5:U$3360,"USN",'J Book Items Cons.'!W$5:W$3360,"Expeditionary &amp; Seabasing Ships",'J Book Items Cons.'!R$5:R$3360,"&lt;&gt;")+SUMIFS('J Book Items Cons.'!N$5:N$3360,'J Book Items Cons.'!E$5:E$3360,3,'J Book Items Cons.'!S$5:S$3360,"",'J Book Items Cons.'!U$5:U$3360,"USN",'J Book Items Cons.'!W$5:W$3360,"Expeditionary &amp; Seabasing Ships",'J Book Items Cons.'!R$5:R$3360,"",'J Book Items Cons.'!N$5:N$3360,"&lt;&gt;")+SUMIFS('J Book Items Cons.'!L$5:L$3360,'J Book Items Cons.'!E$5:E$3360,3,'J Book Items Cons.'!S$5:S$3360,"",'J Book Items Cons.'!U$5:U$3360,"USN",'J Book Items Cons.'!W$5:W$3360,"Expeditionary &amp; Seabasing Ships",'J Book Items Cons.'!R$5:R$3360,"",'J Book Items Cons.'!N$5:N$3360,"")+SUMIFS('J Book Items Cons.'!R$5:R$3360,'J Book Items Cons.'!E$5:E$3360,3,'J Book Items Cons.'!S$5:S$3360,"[PARENT]",'J Book Items Cons.'!U$5:U$3360,"USN",'J Book Items Cons.'!W$5:W$3360,"Expeditionary &amp; Seabasing Ships",'J Book Items Cons.'!R$5:R$3360,"&lt;&gt;")+SUMIFS('J Book Items Cons.'!N$5:N$3360,'J Book Items Cons.'!E$5:E$3360,3,'J Book Items Cons.'!S$5:S$3360,"[PARENT]",'J Book Items Cons.'!U$5:U$3360,"USN",'J Book Items Cons.'!W$5:W$3360,"Expeditionary &amp; Seabasing Ships",'J Book Items Cons.'!R$5:R$3360,"",'J Book Items Cons.'!N$5:N$3360,"&lt;&gt;")+SUMIFS('J Book Items Cons.'!L$5:L$3360,'J Book Items Cons.'!E$5:E$3360,3,'J Book Items Cons.'!S$5:S$3360,"[PARENT]",'J Book Items Cons.'!U$5:U$3360,"USN",'J Book Items Cons.'!W$5:W$3360,"Expeditionary &amp; Seabasing Ships",'J Book Items Cons.'!R$5:R$3360,"",'J Book Items Cons.'!N$5:N$3360,""))/F79)</f>
        <v>0</v>
      </c>
      <c r="G74" s="38">
        <f>IF(G79=0,0,(SUMIFS('J Book Items Cons.'!R$5:R$3360,'J Book Items Cons.'!E$5:E$3360,3,'J Book Items Cons.'!S$5:S$3360,"",'J Book Items Cons.'!U$5:U$3360,"MSC",'J Book Items Cons.'!W$5:W$3360,"Combat Logistics Ships",'J Book Items Cons.'!R$5:R$3360,"&lt;&gt;")+SUMIFS('J Book Items Cons.'!N$5:N$3360,'J Book Items Cons.'!E$5:E$3360,3,'J Book Items Cons.'!S$5:S$3360,"",'J Book Items Cons.'!U$5:U$3360,"MSC",'J Book Items Cons.'!W$5:W$3360,"Combat Logistics Ships",'J Book Items Cons.'!R$5:R$3360,"",'J Book Items Cons.'!N$5:N$3360,"&lt;&gt;")+SUMIFS('J Book Items Cons.'!L$5:L$3360,'J Book Items Cons.'!E$5:E$3360,3,'J Book Items Cons.'!S$5:S$3360,"",'J Book Items Cons.'!U$5:U$3360,"MSC",'J Book Items Cons.'!W$5:W$3360,"Combat Logistics Ships",'J Book Items Cons.'!R$5:R$3360,"",'J Book Items Cons.'!N$5:N$3360,"")+SUMIFS('J Book Items Cons.'!R$5:R$3360,'J Book Items Cons.'!E$5:E$3360,3,'J Book Items Cons.'!S$5:S$3360,"[PARENT]",'J Book Items Cons.'!U$5:U$3360,"MSC",'J Book Items Cons.'!W$5:W$3360,"Combat Logistics Ships",'J Book Items Cons.'!R$5:R$3360,"&lt;&gt;")+SUMIFS('J Book Items Cons.'!N$5:N$3360,'J Book Items Cons.'!E$5:E$3360,3,'J Book Items Cons.'!S$5:S$3360,"[PARENT]",'J Book Items Cons.'!U$5:U$3360,"MSC",'J Book Items Cons.'!W$5:W$3360,"Combat Logistics Ships",'J Book Items Cons.'!R$5:R$3360,"",'J Book Items Cons.'!N$5:N$3360,"&lt;&gt;")+SUMIFS('J Book Items Cons.'!L$5:L$3360,'J Book Items Cons.'!E$5:E$3360,3,'J Book Items Cons.'!S$5:S$3360,"[PARENT]",'J Book Items Cons.'!U$5:U$3360,"MSC",'J Book Items Cons.'!W$5:W$3360,"Combat Logistics Ships",'J Book Items Cons.'!R$5:R$3360,"",'J Book Items Cons.'!N$5:N$3360,""))/G79)</f>
        <v>0</v>
      </c>
      <c r="H74" s="38">
        <f>IF(H79=0,0,(SUMIFS('J Book Items Cons.'!R$5:R$3360,'J Book Items Cons.'!E$5:E$3360,3,'J Book Items Cons.'!S$5:S$3360,"",'J Book Items Cons.'!U$5:U$3360,"USN",'J Book Items Cons.'!W$5:W$3360,"Unmanned Surface Vehicles",'J Book Items Cons.'!R$5:R$3360,"&lt;&gt;")+SUMIFS('J Book Items Cons.'!N$5:N$3360,'J Book Items Cons.'!E$5:E$3360,3,'J Book Items Cons.'!S$5:S$3360,"",'J Book Items Cons.'!U$5:U$3360,"USN",'J Book Items Cons.'!W$5:W$3360,"Unmanned Surface Vehicles",'J Book Items Cons.'!R$5:R$3360,"",'J Book Items Cons.'!N$5:N$3360,"&lt;&gt;")+SUMIFS('J Book Items Cons.'!L$5:L$3360,'J Book Items Cons.'!E$5:E$3360,3,'J Book Items Cons.'!S$5:S$3360,"",'J Book Items Cons.'!U$5:U$3360,"USN",'J Book Items Cons.'!W$5:W$3360,"Unmanned Surface Vehicles",'J Book Items Cons.'!R$5:R$3360,"",'J Book Items Cons.'!N$5:N$3360,"")+SUMIFS('J Book Items Cons.'!R$5:R$3360,'J Book Items Cons.'!E$5:E$3360,3,'J Book Items Cons.'!S$5:S$3360,"[PARENT]",'J Book Items Cons.'!U$5:U$3360,"USN",'J Book Items Cons.'!W$5:W$3360,"Unmanned Surface Vehicles",'J Book Items Cons.'!R$5:R$3360,"&lt;&gt;")+SUMIFS('J Book Items Cons.'!N$5:N$3360,'J Book Items Cons.'!E$5:E$3360,3,'J Book Items Cons.'!S$5:S$3360,"[PARENT]",'J Book Items Cons.'!U$5:U$3360,"USN",'J Book Items Cons.'!W$5:W$3360,"Unmanned Surface Vehicles",'J Book Items Cons.'!R$5:R$3360,"",'J Book Items Cons.'!N$5:N$3360,"&lt;&gt;")+SUMIFS('J Book Items Cons.'!L$5:L$3360,'J Book Items Cons.'!E$5:E$3360,3,'J Book Items Cons.'!S$5:S$3360,"[PARENT]",'J Book Items Cons.'!U$5:U$3360,"USN",'J Book Items Cons.'!W$5:W$3360,"Unmanned Surface Vehicles",'J Book Items Cons.'!R$5:R$3360,"",'J Book Items Cons.'!N$5:N$3360,""))/H79)</f>
        <v>0</v>
      </c>
      <c r="I74" s="38">
        <f>IF(I79=0,0,(SUMIFS('J Book Items Cons.'!R$5:R$3360,'J Book Items Cons.'!E$5:E$3360,3,'J Book Items Cons.'!S$5:S$3360,"",'J Book Items Cons.'!U$5:U$3360,"USN",'J Book Items Cons.'!W$5:W$3360,"Amphibious Warfare Craft",'J Book Items Cons.'!R$5:R$3360,"&lt;&gt;")+SUMIFS('J Book Items Cons.'!N$5:N$3360,'J Book Items Cons.'!E$5:E$3360,3,'J Book Items Cons.'!S$5:S$3360,"",'J Book Items Cons.'!U$5:U$3360,"USN",'J Book Items Cons.'!W$5:W$3360,"Amphibious Warfare Craft",'J Book Items Cons.'!R$5:R$3360,"",'J Book Items Cons.'!N$5:N$3360,"&lt;&gt;")+SUMIFS('J Book Items Cons.'!L$5:L$3360,'J Book Items Cons.'!E$5:E$3360,3,'J Book Items Cons.'!S$5:S$3360,"",'J Book Items Cons.'!U$5:U$3360,"USN",'J Book Items Cons.'!W$5:W$3360,"Amphibious Warfare Craft",'J Book Items Cons.'!R$5:R$3360,"",'J Book Items Cons.'!N$5:N$3360,"")+SUMIFS('J Book Items Cons.'!R$5:R$3360,'J Book Items Cons.'!E$5:E$3360,3,'J Book Items Cons.'!S$5:S$3360,"[PARENT]",'J Book Items Cons.'!U$5:U$3360,"USN",'J Book Items Cons.'!W$5:W$3360,"Amphibious Warfare Craft",'J Book Items Cons.'!R$5:R$3360,"&lt;&gt;")+SUMIFS('J Book Items Cons.'!N$5:N$3360,'J Book Items Cons.'!E$5:E$3360,3,'J Book Items Cons.'!S$5:S$3360,"[PARENT]",'J Book Items Cons.'!U$5:U$3360,"USN",'J Book Items Cons.'!W$5:W$3360,"Amphibious Warfare Craft",'J Book Items Cons.'!R$5:R$3360,"",'J Book Items Cons.'!N$5:N$3360,"&lt;&gt;")+SUMIFS('J Book Items Cons.'!L$5:L$3360,'J Book Items Cons.'!E$5:E$3360,3,'J Book Items Cons.'!S$5:S$3360,"[PARENT]",'J Book Items Cons.'!U$5:U$3360,"USN",'J Book Items Cons.'!W$5:W$3360,"Amphibious Warfare Craft",'J Book Items Cons.'!R$5:R$3360,"",'J Book Items Cons.'!N$5:N$3360,""))/I79)</f>
        <v>8.630523095223365E-3</v>
      </c>
      <c r="J74" s="38">
        <f>IF(J79=0,0,(SUMIFS('J Book Items Cons.'!R$5:R$3360,'J Book Items Cons.'!E$5:E$3360,3,'J Book Items Cons.'!S$5:S$3360,"",'J Book Items Cons.'!U$5:U$3360,"MSC",'J Book Items Cons.'!W$5:W$3360,"Cargo &amp; Vehicle Cargo Ships",'J Book Items Cons.'!R$5:R$3360,"&lt;&gt;")+SUMIFS('J Book Items Cons.'!N$5:N$3360,'J Book Items Cons.'!E$5:E$3360,3,'J Book Items Cons.'!S$5:S$3360,"",'J Book Items Cons.'!U$5:U$3360,"MSC",'J Book Items Cons.'!W$5:W$3360,"Cargo &amp; Vehicle Cargo Ships",'J Book Items Cons.'!R$5:R$3360,"",'J Book Items Cons.'!N$5:N$3360,"&lt;&gt;")+SUMIFS('J Book Items Cons.'!L$5:L$3360,'J Book Items Cons.'!E$5:E$3360,3,'J Book Items Cons.'!S$5:S$3360,"",'J Book Items Cons.'!U$5:U$3360,"MSC",'J Book Items Cons.'!W$5:W$3360,"Cargo &amp; Vehicle Cargo Ships",'J Book Items Cons.'!R$5:R$3360,"",'J Book Items Cons.'!N$5:N$3360,"")+SUMIFS('J Book Items Cons.'!R$5:R$3360,'J Book Items Cons.'!E$5:E$3360,3,'J Book Items Cons.'!S$5:S$3360,"[PARENT]",'J Book Items Cons.'!U$5:U$3360,"MSC",'J Book Items Cons.'!W$5:W$3360,"Cargo &amp; Vehicle Cargo Ships",'J Book Items Cons.'!R$5:R$3360,"&lt;&gt;")+SUMIFS('J Book Items Cons.'!N$5:N$3360,'J Book Items Cons.'!E$5:E$3360,3,'J Book Items Cons.'!S$5:S$3360,"[PARENT]",'J Book Items Cons.'!U$5:U$3360,"MSC",'J Book Items Cons.'!W$5:W$3360,"Cargo &amp; Vehicle Cargo Ships",'J Book Items Cons.'!R$5:R$3360,"",'J Book Items Cons.'!N$5:N$3360,"&lt;&gt;")+SUMIFS('J Book Items Cons.'!L$5:L$3360,'J Book Items Cons.'!E$5:E$3360,3,'J Book Items Cons.'!S$5:S$3360,"[PARENT]",'J Book Items Cons.'!U$5:U$3360,"MSC",'J Book Items Cons.'!W$5:W$3360,"Cargo &amp; Vehicle Cargo Ships",'J Book Items Cons.'!R$5:R$3360,"",'J Book Items Cons.'!N$5:N$3360,""))/J79)</f>
        <v>0</v>
      </c>
      <c r="K74" s="38">
        <f>IF(K79=0,0,(SUMIFS('J Book Items Cons.'!R$5:R$3360,'J Book Items Cons.'!E$5:E$3360,3,'J Book Items Cons.'!S$5:S$3360,"",'J Book Items Cons.'!U$5:U$3360,"MSC",'J Book Items Cons.'!W$5:W$3360,"Surveillance Ships",'J Book Items Cons.'!R$5:R$3360,"&lt;&gt;")+SUMIFS('J Book Items Cons.'!N$5:N$3360,'J Book Items Cons.'!E$5:E$3360,3,'J Book Items Cons.'!S$5:S$3360,"",'J Book Items Cons.'!U$5:U$3360,"MSC",'J Book Items Cons.'!W$5:W$3360,"Surveillance Ships",'J Book Items Cons.'!R$5:R$3360,"",'J Book Items Cons.'!N$5:N$3360,"&lt;&gt;")+SUMIFS('J Book Items Cons.'!L$5:L$3360,'J Book Items Cons.'!E$5:E$3360,3,'J Book Items Cons.'!S$5:S$3360,"",'J Book Items Cons.'!U$5:U$3360,"MSC",'J Book Items Cons.'!W$5:W$3360,"Surveillance Ships",'J Book Items Cons.'!R$5:R$3360,"",'J Book Items Cons.'!N$5:N$3360,"")+SUMIFS('J Book Items Cons.'!R$5:R$3360,'J Book Items Cons.'!E$5:E$3360,3,'J Book Items Cons.'!S$5:S$3360,"[PARENT]",'J Book Items Cons.'!U$5:U$3360,"MSC",'J Book Items Cons.'!W$5:W$3360,"Surveillance Ships",'J Book Items Cons.'!R$5:R$3360,"&lt;&gt;")+SUMIFS('J Book Items Cons.'!N$5:N$3360,'J Book Items Cons.'!E$5:E$3360,3,'J Book Items Cons.'!S$5:S$3360,"[PARENT]",'J Book Items Cons.'!U$5:U$3360,"MSC",'J Book Items Cons.'!W$5:W$3360,"Surveillance Ships",'J Book Items Cons.'!R$5:R$3360,"",'J Book Items Cons.'!N$5:N$3360,"&lt;&gt;")+SUMIFS('J Book Items Cons.'!L$5:L$3360,'J Book Items Cons.'!E$5:E$3360,3,'J Book Items Cons.'!S$5:S$3360,"[PARENT]",'J Book Items Cons.'!U$5:U$3360,"MSC",'J Book Items Cons.'!W$5:W$3360,"Surveillance Ships",'J Book Items Cons.'!R$5:R$3360,"",'J Book Items Cons.'!N$5:N$3360,""))/K79)</f>
        <v>0</v>
      </c>
      <c r="L74" s="38">
        <f>IF(L79=0,0,(SUMIFS('J Book Items Cons.'!R$5:R$3360,'J Book Items Cons.'!E$5:E$3360,3,'J Book Items Cons.'!S$5:S$3360,"",'J Book Items Cons.'!U$5:U$3360,"USN",'J Book Items Cons.'!W$5:W$3360,"Unmanned Undersea Vehicles",'J Book Items Cons.'!R$5:R$3360,"&lt;&gt;")+SUMIFS('J Book Items Cons.'!N$5:N$3360,'J Book Items Cons.'!E$5:E$3360,3,'J Book Items Cons.'!S$5:S$3360,"",'J Book Items Cons.'!U$5:U$3360,"USN",'J Book Items Cons.'!W$5:W$3360,"Unmanned Undersea Vehicles",'J Book Items Cons.'!R$5:R$3360,"",'J Book Items Cons.'!N$5:N$3360,"&lt;&gt;")+SUMIFS('J Book Items Cons.'!L$5:L$3360,'J Book Items Cons.'!E$5:E$3360,3,'J Book Items Cons.'!S$5:S$3360,"",'J Book Items Cons.'!U$5:U$3360,"USN",'J Book Items Cons.'!W$5:W$3360,"Unmanned Undersea Vehicles",'J Book Items Cons.'!R$5:R$3360,"",'J Book Items Cons.'!N$5:N$3360,"")+SUMIFS('J Book Items Cons.'!R$5:R$3360,'J Book Items Cons.'!E$5:E$3360,3,'J Book Items Cons.'!S$5:S$3360,"[PARENT]",'J Book Items Cons.'!U$5:U$3360,"USN",'J Book Items Cons.'!W$5:W$3360,"Unmanned Undersea Vehicles",'J Book Items Cons.'!R$5:R$3360,"&lt;&gt;")+SUMIFS('J Book Items Cons.'!N$5:N$3360,'J Book Items Cons.'!E$5:E$3360,3,'J Book Items Cons.'!S$5:S$3360,"[PARENT]",'J Book Items Cons.'!U$5:U$3360,"USN",'J Book Items Cons.'!W$5:W$3360,"Unmanned Undersea Vehicles",'J Book Items Cons.'!R$5:R$3360,"",'J Book Items Cons.'!N$5:N$3360,"&lt;&gt;")+SUMIFS('J Book Items Cons.'!L$5:L$3360,'J Book Items Cons.'!E$5:E$3360,3,'J Book Items Cons.'!S$5:S$3360,"[PARENT]",'J Book Items Cons.'!U$5:U$3360,"USN",'J Book Items Cons.'!W$5:W$3360,"Unmanned Undersea Vehicles",'J Book Items Cons.'!R$5:R$3360,"",'J Book Items Cons.'!N$5:N$3360,""))/L79)</f>
        <v>0</v>
      </c>
      <c r="M74" s="38">
        <f>IF(M79=0,0,(SUMIFS('J Book Items Cons.'!R$5:R$3360,'J Book Items Cons.'!E$5:E$3360,3,'J Book Items Cons.'!S$5:S$3360,"",'J Book Items Cons.'!U$5:U$3360,"USN",'J Book Items Cons.'!W$5:W$3360,"Command Ships",'J Book Items Cons.'!R$5:R$3360,"&lt;&gt;")+SUMIFS('J Book Items Cons.'!N$5:N$3360,'J Book Items Cons.'!E$5:E$3360,3,'J Book Items Cons.'!S$5:S$3360,"",'J Book Items Cons.'!U$5:U$3360,"USN",'J Book Items Cons.'!W$5:W$3360,"Command Ships",'J Book Items Cons.'!R$5:R$3360,"",'J Book Items Cons.'!N$5:N$3360,"&lt;&gt;")+SUMIFS('J Book Items Cons.'!L$5:L$3360,'J Book Items Cons.'!E$5:E$3360,3,'J Book Items Cons.'!S$5:S$3360,"",'J Book Items Cons.'!U$5:U$3360,"USN",'J Book Items Cons.'!W$5:W$3360,"Command Ships",'J Book Items Cons.'!R$5:R$3360,"",'J Book Items Cons.'!N$5:N$3360,"")+SUMIFS('J Book Items Cons.'!R$5:R$3360,'J Book Items Cons.'!E$5:E$3360,3,'J Book Items Cons.'!S$5:S$3360,"[PARENT]",'J Book Items Cons.'!U$5:U$3360,"USN",'J Book Items Cons.'!W$5:W$3360,"Command Ships",'J Book Items Cons.'!R$5:R$3360,"&lt;&gt;")+SUMIFS('J Book Items Cons.'!N$5:N$3360,'J Book Items Cons.'!E$5:E$3360,3,'J Book Items Cons.'!S$5:S$3360,"[PARENT]",'J Book Items Cons.'!U$5:U$3360,"USN",'J Book Items Cons.'!W$5:W$3360,"Command Ships",'J Book Items Cons.'!R$5:R$3360,"",'J Book Items Cons.'!N$5:N$3360,"&lt;&gt;")+SUMIFS('J Book Items Cons.'!L$5:L$3360,'J Book Items Cons.'!E$5:E$3360,3,'J Book Items Cons.'!S$5:S$3360,"[PARENT]",'J Book Items Cons.'!U$5:U$3360,"USN",'J Book Items Cons.'!W$5:W$3360,"Command Ships",'J Book Items Cons.'!R$5:R$3360,"",'J Book Items Cons.'!N$5:N$3360,""))/M79)</f>
        <v>0</v>
      </c>
      <c r="N74" s="39">
        <f>IF(N79=0,0,(SUMIFS('J Book Items Cons.'!R$5:R$3360,'J Book Items Cons.'!E$5:E$3360,3,'J Book Items Cons.'!S$5:S$3360,"",'J Book Items Cons.'!U$5:U$3360,"USN",'J Book Items Cons.'!W$5:W$3360,"Mine Warfare",'J Book Items Cons.'!R$5:R$3360,"&lt;&gt;")+SUMIFS('J Book Items Cons.'!N$5:N$3360,'J Book Items Cons.'!E$5:E$3360,3,'J Book Items Cons.'!S$5:S$3360,"",'J Book Items Cons.'!U$5:U$3360,"USN",'J Book Items Cons.'!W$5:W$3360,"Mine Warfare",'J Book Items Cons.'!R$5:R$3360,"",'J Book Items Cons.'!N$5:N$3360,"&lt;&gt;")+SUMIFS('J Book Items Cons.'!L$5:L$3360,'J Book Items Cons.'!E$5:E$3360,3,'J Book Items Cons.'!S$5:S$3360,"",'J Book Items Cons.'!U$5:U$3360,"USN",'J Book Items Cons.'!W$5:W$3360,"Mine Warfare",'J Book Items Cons.'!R$5:R$3360,"",'J Book Items Cons.'!N$5:N$3360,"")+SUMIFS('J Book Items Cons.'!R$5:R$3360,'J Book Items Cons.'!E$5:E$3360,3,'J Book Items Cons.'!S$5:S$3360,"[PARENT]",'J Book Items Cons.'!U$5:U$3360,"USN",'J Book Items Cons.'!W$5:W$3360,"Mine Warfare",'J Book Items Cons.'!R$5:R$3360,"&lt;&gt;")+SUMIFS('J Book Items Cons.'!N$5:N$3360,'J Book Items Cons.'!E$5:E$3360,3,'J Book Items Cons.'!S$5:S$3360,"[PARENT]",'J Book Items Cons.'!U$5:U$3360,"USN",'J Book Items Cons.'!W$5:W$3360,"Mine Warfare",'J Book Items Cons.'!R$5:R$3360,"",'J Book Items Cons.'!N$5:N$3360,"&lt;&gt;")+SUMIFS('J Book Items Cons.'!L$5:L$3360,'J Book Items Cons.'!E$5:E$3360,3,'J Book Items Cons.'!S$5:S$3360,"[PARENT]",'J Book Items Cons.'!U$5:U$3360,"USN",'J Book Items Cons.'!W$5:W$3360,"Mine Warfare",'J Book Items Cons.'!R$5:R$3360,"",'J Book Items Cons.'!N$5:N$3360,""))/N79)</f>
        <v>4.3862170931044393E-2</v>
      </c>
      <c r="O74" s="37">
        <f>IF(O79=0,0,(SUMIFS('J Book Items Cons.'!R$5:R$3360,'J Book Items Cons.'!E$5:E$3360,3,'J Book Items Cons.'!S$5:S$3360,"",'J Book Items Cons.'!U$5:U$3360,"USCG",'J Book Items Cons.'!W$5:W$3360,"Offshore Patrol Cutter",'J Book Items Cons.'!R$5:R$3360,"&lt;&gt;")+SUMIFS('J Book Items Cons.'!N$5:N$3360,'J Book Items Cons.'!E$5:E$3360,3,'J Book Items Cons.'!S$5:S$3360,"",'J Book Items Cons.'!U$5:U$3360,"USCG",'J Book Items Cons.'!W$5:W$3360,"Offshore Patrol Cutter",'J Book Items Cons.'!R$5:R$3360,"",'J Book Items Cons.'!N$5:N$3360,"&lt;&gt;")+SUMIFS('J Book Items Cons.'!L$5:L$3360,'J Book Items Cons.'!E$5:E$3360,3,'J Book Items Cons.'!S$5:S$3360,"",'J Book Items Cons.'!U$5:U$3360,"USCG",'J Book Items Cons.'!W$5:W$3360,"Offshore Patrol Cutter",'J Book Items Cons.'!R$5:R$3360,"",'J Book Items Cons.'!N$5:N$3360,"")+SUMIFS('J Book Items Cons.'!R$5:R$3360,'J Book Items Cons.'!E$5:E$3360,3,'J Book Items Cons.'!S$5:S$3360,"[PARENT]",'J Book Items Cons.'!U$5:U$3360,"USCG",'J Book Items Cons.'!W$5:W$3360,"Offshore Patrol Cutter",'J Book Items Cons.'!R$5:R$3360,"&lt;&gt;")+SUMIFS('J Book Items Cons.'!N$5:N$3360,'J Book Items Cons.'!E$5:E$3360,3,'J Book Items Cons.'!S$5:S$3360,"[PARENT]",'J Book Items Cons.'!U$5:U$3360,"USCG",'J Book Items Cons.'!W$5:W$3360,"Offshore Patrol Cutter",'J Book Items Cons.'!R$5:R$3360,"",'J Book Items Cons.'!N$5:N$3360,"&lt;&gt;")+SUMIFS('J Book Items Cons.'!L$5:L$3360,'J Book Items Cons.'!E$5:E$3360,3,'J Book Items Cons.'!S$5:S$3360,"[PARENT]",'J Book Items Cons.'!U$5:U$3360,"USCG",'J Book Items Cons.'!W$5:W$3360,"Offshore Patrol Cutter",'J Book Items Cons.'!R$5:R$3360,"",'J Book Items Cons.'!N$5:N$3360,""))/O79)</f>
        <v>0</v>
      </c>
      <c r="P74" s="38">
        <f>IF(P79=0,0,(SUMIFS('J Book Items Cons.'!R$5:R$3360,'J Book Items Cons.'!E$5:E$3360,3,'J Book Items Cons.'!S$5:S$3360,"",'J Book Items Cons.'!U$5:U$3360,"USCG",'J Book Items Cons.'!W$5:W$3360,"Fast Response Cutters",'J Book Items Cons.'!R$5:R$3360,"&lt;&gt;")+SUMIFS('J Book Items Cons.'!N$5:N$3360,'J Book Items Cons.'!E$5:E$3360,3,'J Book Items Cons.'!S$5:S$3360,"",'J Book Items Cons.'!U$5:U$3360,"USCG",'J Book Items Cons.'!W$5:W$3360,"Fast Response Cutters",'J Book Items Cons.'!R$5:R$3360,"",'J Book Items Cons.'!N$5:N$3360,"&lt;&gt;")+SUMIFS('J Book Items Cons.'!L$5:L$3360,'J Book Items Cons.'!E$5:E$3360,3,'J Book Items Cons.'!S$5:S$3360,"",'J Book Items Cons.'!U$5:U$3360,"USCG",'J Book Items Cons.'!W$5:W$3360,"Fast Response Cutters",'J Book Items Cons.'!R$5:R$3360,"",'J Book Items Cons.'!N$5:N$3360,"")+SUMIFS('J Book Items Cons.'!R$5:R$3360,'J Book Items Cons.'!E$5:E$3360,3,'J Book Items Cons.'!S$5:S$3360,"[PARENT]",'J Book Items Cons.'!U$5:U$3360,"USCG",'J Book Items Cons.'!W$5:W$3360,"Fast Response Cutters",'J Book Items Cons.'!R$5:R$3360,"&lt;&gt;")+SUMIFS('J Book Items Cons.'!N$5:N$3360,'J Book Items Cons.'!E$5:E$3360,3,'J Book Items Cons.'!S$5:S$3360,"[PARENT]",'J Book Items Cons.'!U$5:U$3360,"USCG",'J Book Items Cons.'!W$5:W$3360,"Fast Response Cutters",'J Book Items Cons.'!R$5:R$3360,"",'J Book Items Cons.'!N$5:N$3360,"&lt;&gt;")+SUMIFS('J Book Items Cons.'!L$5:L$3360,'J Book Items Cons.'!E$5:E$3360,3,'J Book Items Cons.'!S$5:S$3360,"[PARENT]",'J Book Items Cons.'!U$5:U$3360,"USCG",'J Book Items Cons.'!W$5:W$3360,"Fast Response Cutters",'J Book Items Cons.'!R$5:R$3360,"",'J Book Items Cons.'!N$5:N$3360,""))/P79)</f>
        <v>0</v>
      </c>
      <c r="Q74" s="38">
        <f>IF(Q79=0,0,(SUMIFS('J Book Items Cons.'!R$5:R$3360,'J Book Items Cons.'!E$5:E$3360,3,'J Book Items Cons.'!S$5:S$3360,"",'J Book Items Cons.'!U$5:U$3360,"USCG",'J Book Items Cons.'!W$5:W$3360,"Icebreakers, Oceangoing",'J Book Items Cons.'!R$5:R$3360,"&lt;&gt;")+SUMIFS('J Book Items Cons.'!N$5:N$3360,'J Book Items Cons.'!E$5:E$3360,3,'J Book Items Cons.'!S$5:S$3360,"",'J Book Items Cons.'!U$5:U$3360,"USCG",'J Book Items Cons.'!W$5:W$3360,"Icebreakers, Oceangoing",'J Book Items Cons.'!R$5:R$3360,"",'J Book Items Cons.'!N$5:N$3360,"&lt;&gt;")+SUMIFS('J Book Items Cons.'!L$5:L$3360,'J Book Items Cons.'!E$5:E$3360,3,'J Book Items Cons.'!S$5:S$3360,"",'J Book Items Cons.'!U$5:U$3360,"USCG",'J Book Items Cons.'!W$5:W$3360,"Icebreakers, Oceangoing",'J Book Items Cons.'!R$5:R$3360,"",'J Book Items Cons.'!N$5:N$3360,"")+SUMIFS('J Book Items Cons.'!R$5:R$3360,'J Book Items Cons.'!E$5:E$3360,3,'J Book Items Cons.'!S$5:S$3360,"[PARENT]",'J Book Items Cons.'!U$5:U$3360,"USCG",'J Book Items Cons.'!W$5:W$3360,"Icebreakers, Oceangoing",'J Book Items Cons.'!R$5:R$3360,"&lt;&gt;")+SUMIFS('J Book Items Cons.'!N$5:N$3360,'J Book Items Cons.'!E$5:E$3360,3,'J Book Items Cons.'!S$5:S$3360,"[PARENT]",'J Book Items Cons.'!U$5:U$3360,"USCG",'J Book Items Cons.'!W$5:W$3360,"Icebreakers, Oceangoing",'J Book Items Cons.'!R$5:R$3360,"",'J Book Items Cons.'!N$5:N$3360,"&lt;&gt;")+SUMIFS('J Book Items Cons.'!L$5:L$3360,'J Book Items Cons.'!E$5:E$3360,3,'J Book Items Cons.'!S$5:S$3360,"[PARENT]",'J Book Items Cons.'!U$5:U$3360,"USCG",'J Book Items Cons.'!W$5:W$3360,"Icebreakers, Oceangoing",'J Book Items Cons.'!R$5:R$3360,"",'J Book Items Cons.'!N$5:N$3360,""))/Q79)</f>
        <v>0</v>
      </c>
      <c r="R74" s="38">
        <f>IF(R79=0,0,(SUMIFS('J Book Items Cons.'!R$5:R$3360,'J Book Items Cons.'!E$5:E$3360,3,'J Book Items Cons.'!S$5:S$3360,"",'J Book Items Cons.'!U$5:U$3360,"USCG",'J Book Items Cons.'!W$5:W$3360,"Waterways Commerce Cutters",'J Book Items Cons.'!R$5:R$3360,"&lt;&gt;")+SUMIFS('J Book Items Cons.'!N$5:N$3360,'J Book Items Cons.'!E$5:E$3360,3,'J Book Items Cons.'!S$5:S$3360,"",'J Book Items Cons.'!U$5:U$3360,"USCG",'J Book Items Cons.'!W$5:W$3360,"Waterways Commerce Cutters",'J Book Items Cons.'!R$5:R$3360,"",'J Book Items Cons.'!N$5:N$3360,"&lt;&gt;")+SUMIFS('J Book Items Cons.'!L$5:L$3360,'J Book Items Cons.'!E$5:E$3360,3,'J Book Items Cons.'!S$5:S$3360,"",'J Book Items Cons.'!U$5:U$3360,"USCG",'J Book Items Cons.'!W$5:W$3360,"Waterways Commerce Cutters",'J Book Items Cons.'!R$5:R$3360,"",'J Book Items Cons.'!N$5:N$3360,"")+SUMIFS('J Book Items Cons.'!R$5:R$3360,'J Book Items Cons.'!E$5:E$3360,3,'J Book Items Cons.'!S$5:S$3360,"[PARENT]",'J Book Items Cons.'!U$5:U$3360,"USCG",'J Book Items Cons.'!W$5:W$3360,"Waterways Commerce Cutters",'J Book Items Cons.'!R$5:R$3360,"&lt;&gt;")+SUMIFS('J Book Items Cons.'!N$5:N$3360,'J Book Items Cons.'!E$5:E$3360,3,'J Book Items Cons.'!S$5:S$3360,"[PARENT]",'J Book Items Cons.'!U$5:U$3360,"USCG",'J Book Items Cons.'!W$5:W$3360,"Waterways Commerce Cutters",'J Book Items Cons.'!R$5:R$3360,"",'J Book Items Cons.'!N$5:N$3360,"&lt;&gt;")+SUMIFS('J Book Items Cons.'!L$5:L$3360,'J Book Items Cons.'!E$5:E$3360,3,'J Book Items Cons.'!S$5:S$3360,"[PARENT]",'J Book Items Cons.'!U$5:U$3360,"USCG",'J Book Items Cons.'!W$5:W$3360,"Waterways Commerce Cutters",'J Book Items Cons.'!R$5:R$3360,"",'J Book Items Cons.'!N$5:N$3360,""))/R79)</f>
        <v>0</v>
      </c>
      <c r="S74" s="39">
        <f>IF(S79=0,0,(SUMIFS('J Book Items Cons.'!R$5:R$3360,'J Book Items Cons.'!E$5:E$3360,3,'J Book Items Cons.'!S$5:S$3360,"",'J Book Items Cons.'!U$5:U$3360,"USCG",'J Book Items Cons.'!W$5:W$3360,"National Security Cutters",'J Book Items Cons.'!R$5:R$3360,"&lt;&gt;")+SUMIFS('J Book Items Cons.'!N$5:N$3360,'J Book Items Cons.'!E$5:E$3360,3,'J Book Items Cons.'!S$5:S$3360,"",'J Book Items Cons.'!U$5:U$3360,"USCG",'J Book Items Cons.'!W$5:W$3360,"National Security Cutters",'J Book Items Cons.'!R$5:R$3360,"",'J Book Items Cons.'!N$5:N$3360,"&lt;&gt;")+SUMIFS('J Book Items Cons.'!L$5:L$3360,'J Book Items Cons.'!E$5:E$3360,3,'J Book Items Cons.'!S$5:S$3360,"",'J Book Items Cons.'!U$5:U$3360,"USCG",'J Book Items Cons.'!W$5:W$3360,"National Security Cutters",'J Book Items Cons.'!R$5:R$3360,"",'J Book Items Cons.'!N$5:N$3360,"")+SUMIFS('J Book Items Cons.'!R$5:R$3360,'J Book Items Cons.'!E$5:E$3360,3,'J Book Items Cons.'!S$5:S$3360,"[PARENT]",'J Book Items Cons.'!U$5:U$3360,"USCG",'J Book Items Cons.'!W$5:W$3360,"National Security Cutters",'J Book Items Cons.'!R$5:R$3360,"&lt;&gt;")+SUMIFS('J Book Items Cons.'!N$5:N$3360,'J Book Items Cons.'!E$5:E$3360,3,'J Book Items Cons.'!S$5:S$3360,"[PARENT]",'J Book Items Cons.'!U$5:U$3360,"USCG",'J Book Items Cons.'!W$5:W$3360,"National Security Cutters",'J Book Items Cons.'!R$5:R$3360,"",'J Book Items Cons.'!N$5:N$3360,"&lt;&gt;")+SUMIFS('J Book Items Cons.'!L$5:L$3360,'J Book Items Cons.'!E$5:E$3360,3,'J Book Items Cons.'!S$5:S$3360,"[PARENT]",'J Book Items Cons.'!U$5:U$3360,"USCG",'J Book Items Cons.'!W$5:W$3360,"National Security Cutters",'J Book Items Cons.'!R$5:R$3360,"",'J Book Items Cons.'!N$5:N$3360,""))/S79)</f>
        <v>0</v>
      </c>
      <c r="T74" s="38">
        <f t="shared" si="7"/>
        <v>3.227803780568729E-3</v>
      </c>
      <c r="U74" s="36"/>
      <c r="V74" s="36"/>
      <c r="W74" s="36"/>
      <c r="X74" s="36"/>
      <c r="Y74" s="36"/>
      <c r="AD74" s="36"/>
      <c r="AE74" s="36"/>
      <c r="AF74" s="36"/>
      <c r="AG74" s="36"/>
      <c r="AH74" s="36"/>
      <c r="AI74" s="36"/>
      <c r="AJ74" s="36"/>
      <c r="AK74" s="36"/>
      <c r="AL74" s="36"/>
      <c r="AM74" s="36"/>
      <c r="AN74" s="36"/>
      <c r="AO74" s="36"/>
      <c r="AP74" s="36"/>
    </row>
    <row r="75" spans="1:42" x14ac:dyDescent="0.15">
      <c r="A75" s="7" t="s">
        <v>8852</v>
      </c>
      <c r="B75" s="37">
        <f>IF(B79=0,0,(SUMIFS('J Book Items Cons.'!R$5:R$3360,'J Book Items Cons.'!E$5:E$3360,4,'J Book Items Cons.'!S$5:S$3360,"",'J Book Items Cons.'!U$5:U$3360,"USN",'J Book Items Cons.'!W$5:W$3360,"Submarines",'J Book Items Cons.'!R$5:R$3360,"&lt;&gt;")+SUMIFS('J Book Items Cons.'!N$5:N$3360,'J Book Items Cons.'!E$5:E$3360,4,'J Book Items Cons.'!S$5:S$3360,"",'J Book Items Cons.'!U$5:U$3360,"USN",'J Book Items Cons.'!W$5:W$3360,"Submarines",'J Book Items Cons.'!R$5:R$3360,"",'J Book Items Cons.'!N$5:N$3360,"&lt;&gt;")+SUMIFS('J Book Items Cons.'!L$5:L$3360,'J Book Items Cons.'!E$5:E$3360,4,'J Book Items Cons.'!S$5:S$3360,"",'J Book Items Cons.'!U$5:U$3360,"USN",'J Book Items Cons.'!W$5:W$3360,"Submarines",'J Book Items Cons.'!R$5:R$3360,"",'J Book Items Cons.'!N$5:N$3360,"")+SUMIFS('J Book Items Cons.'!R$5:R$3360,'J Book Items Cons.'!E$5:E$3360,4,'J Book Items Cons.'!S$5:S$3360,"[PARENT]",'J Book Items Cons.'!U$5:U$3360,"USN",'J Book Items Cons.'!W$5:W$3360,"Submarines",'J Book Items Cons.'!R$5:R$3360,"&lt;&gt;")+SUMIFS('J Book Items Cons.'!N$5:N$3360,'J Book Items Cons.'!E$5:E$3360,4,'J Book Items Cons.'!S$5:S$3360,"[PARENT]",'J Book Items Cons.'!U$5:U$3360,"USN",'J Book Items Cons.'!W$5:W$3360,"Submarines",'J Book Items Cons.'!R$5:R$3360,"",'J Book Items Cons.'!N$5:N$3360,"&lt;&gt;")+SUMIFS('J Book Items Cons.'!L$5:L$3360,'J Book Items Cons.'!E$5:E$3360,4,'J Book Items Cons.'!S$5:S$3360,"[PARENT]",'J Book Items Cons.'!U$5:U$3360,"USN",'J Book Items Cons.'!W$5:W$3360,"Submarines",'J Book Items Cons.'!R$5:R$3360,"",'J Book Items Cons.'!N$5:N$3360,""))/B79)</f>
        <v>0.16180998601349861</v>
      </c>
      <c r="C75" s="38">
        <f>IF(C79=0,0,(SUMIFS('J Book Items Cons.'!R$5:R$3360,'J Book Items Cons.'!E$5:E$3360,4,'J Book Items Cons.'!S$5:S$3360,"",'J Book Items Cons.'!U$5:U$3360,"USN",'J Book Items Cons.'!W$5:W$3360,"Surface Combatants",'J Book Items Cons.'!R$5:R$3360,"&lt;&gt;")+SUMIFS('J Book Items Cons.'!N$5:N$3360,'J Book Items Cons.'!E$5:E$3360,4,'J Book Items Cons.'!S$5:S$3360,"",'J Book Items Cons.'!U$5:U$3360,"USN",'J Book Items Cons.'!W$5:W$3360,"Surface Combatants",'J Book Items Cons.'!R$5:R$3360,"",'J Book Items Cons.'!N$5:N$3360,"&lt;&gt;")+SUMIFS('J Book Items Cons.'!L$5:L$3360,'J Book Items Cons.'!E$5:E$3360,4,'J Book Items Cons.'!S$5:S$3360,"",'J Book Items Cons.'!U$5:U$3360,"USN",'J Book Items Cons.'!W$5:W$3360,"Surface Combatants",'J Book Items Cons.'!R$5:R$3360,"",'J Book Items Cons.'!N$5:N$3360,"")+SUMIFS('J Book Items Cons.'!R$5:R$3360,'J Book Items Cons.'!E$5:E$3360,4,'J Book Items Cons.'!S$5:S$3360,"[PARENT]",'J Book Items Cons.'!U$5:U$3360,"USN",'J Book Items Cons.'!W$5:W$3360,"Surface Combatants",'J Book Items Cons.'!R$5:R$3360,"&lt;&gt;")+SUMIFS('J Book Items Cons.'!N$5:N$3360,'J Book Items Cons.'!E$5:E$3360,4,'J Book Items Cons.'!S$5:S$3360,"[PARENT]",'J Book Items Cons.'!U$5:U$3360,"USN",'J Book Items Cons.'!W$5:W$3360,"Surface Combatants",'J Book Items Cons.'!R$5:R$3360,"",'J Book Items Cons.'!N$5:N$3360,"&lt;&gt;")+SUMIFS('J Book Items Cons.'!L$5:L$3360,'J Book Items Cons.'!E$5:E$3360,4,'J Book Items Cons.'!S$5:S$3360,"[PARENT]",'J Book Items Cons.'!U$5:U$3360,"USN",'J Book Items Cons.'!W$5:W$3360,"Surface Combatants",'J Book Items Cons.'!R$5:R$3360,"",'J Book Items Cons.'!N$5:N$3360,""))/C79)</f>
        <v>0.31407195615354971</v>
      </c>
      <c r="D75" s="38">
        <f>IF(D79=0,0,(SUMIFS('J Book Items Cons.'!R$5:R$3360,'J Book Items Cons.'!E$5:E$3360,4,'J Book Items Cons.'!S$5:S$3360,"",'J Book Items Cons.'!U$5:U$3360,"USN",'J Book Items Cons.'!W$5:W$3360,"Aircraft Carriers",'J Book Items Cons.'!R$5:R$3360,"&lt;&gt;")+SUMIFS('J Book Items Cons.'!N$5:N$3360,'J Book Items Cons.'!E$5:E$3360,4,'J Book Items Cons.'!S$5:S$3360,"",'J Book Items Cons.'!U$5:U$3360,"USN",'J Book Items Cons.'!W$5:W$3360,"Aircraft Carriers",'J Book Items Cons.'!R$5:R$3360,"",'J Book Items Cons.'!N$5:N$3360,"&lt;&gt;")+SUMIFS('J Book Items Cons.'!L$5:L$3360,'J Book Items Cons.'!E$5:E$3360,4,'J Book Items Cons.'!S$5:S$3360,"",'J Book Items Cons.'!U$5:U$3360,"USN",'J Book Items Cons.'!W$5:W$3360,"Aircraft Carriers",'J Book Items Cons.'!R$5:R$3360,"",'J Book Items Cons.'!N$5:N$3360,"")+SUMIFS('J Book Items Cons.'!R$5:R$3360,'J Book Items Cons.'!E$5:E$3360,4,'J Book Items Cons.'!S$5:S$3360,"[PARENT]",'J Book Items Cons.'!U$5:U$3360,"USN",'J Book Items Cons.'!W$5:W$3360,"Aircraft Carriers",'J Book Items Cons.'!R$5:R$3360,"&lt;&gt;")+SUMIFS('J Book Items Cons.'!N$5:N$3360,'J Book Items Cons.'!E$5:E$3360,4,'J Book Items Cons.'!S$5:S$3360,"[PARENT]",'J Book Items Cons.'!U$5:U$3360,"USN",'J Book Items Cons.'!W$5:W$3360,"Aircraft Carriers",'J Book Items Cons.'!R$5:R$3360,"",'J Book Items Cons.'!N$5:N$3360,"&lt;&gt;")+SUMIFS('J Book Items Cons.'!L$5:L$3360,'J Book Items Cons.'!E$5:E$3360,4,'J Book Items Cons.'!S$5:S$3360,"[PARENT]",'J Book Items Cons.'!U$5:U$3360,"USN",'J Book Items Cons.'!W$5:W$3360,"Aircraft Carriers",'J Book Items Cons.'!R$5:R$3360,"",'J Book Items Cons.'!N$5:N$3360,""))/D79)</f>
        <v>5.7065321644434612E-2</v>
      </c>
      <c r="E75" s="38">
        <f>IF(E79=0,0,(SUMIFS('J Book Items Cons.'!R$5:R$3360,'J Book Items Cons.'!E$5:E$3360,4,'J Book Items Cons.'!S$5:S$3360,"",'J Book Items Cons.'!U$5:U$3360,"USN",'J Book Items Cons.'!W$5:W$3360,"Amphibious Warfare Ships",'J Book Items Cons.'!R$5:R$3360,"&lt;&gt;")+SUMIFS('J Book Items Cons.'!N$5:N$3360,'J Book Items Cons.'!E$5:E$3360,4,'J Book Items Cons.'!S$5:S$3360,"",'J Book Items Cons.'!U$5:U$3360,"USN",'J Book Items Cons.'!W$5:W$3360,"Amphibious Warfare Ships",'J Book Items Cons.'!R$5:R$3360,"",'J Book Items Cons.'!N$5:N$3360,"&lt;&gt;")+SUMIFS('J Book Items Cons.'!L$5:L$3360,'J Book Items Cons.'!E$5:E$3360,4,'J Book Items Cons.'!S$5:S$3360,"",'J Book Items Cons.'!U$5:U$3360,"USN",'J Book Items Cons.'!W$5:W$3360,"Amphibious Warfare Ships",'J Book Items Cons.'!R$5:R$3360,"",'J Book Items Cons.'!N$5:N$3360,"")+SUMIFS('J Book Items Cons.'!R$5:R$3360,'J Book Items Cons.'!E$5:E$3360,4,'J Book Items Cons.'!S$5:S$3360,"[PARENT]",'J Book Items Cons.'!U$5:U$3360,"USN",'J Book Items Cons.'!W$5:W$3360,"Amphibious Warfare Ships",'J Book Items Cons.'!R$5:R$3360,"&lt;&gt;")+SUMIFS('J Book Items Cons.'!N$5:N$3360,'J Book Items Cons.'!E$5:E$3360,4,'J Book Items Cons.'!S$5:S$3360,"[PARENT]",'J Book Items Cons.'!U$5:U$3360,"USN",'J Book Items Cons.'!W$5:W$3360,"Amphibious Warfare Ships",'J Book Items Cons.'!R$5:R$3360,"",'J Book Items Cons.'!N$5:N$3360,"&lt;&gt;")+SUMIFS('J Book Items Cons.'!L$5:L$3360,'J Book Items Cons.'!E$5:E$3360,4,'J Book Items Cons.'!S$5:S$3360,"[PARENT]",'J Book Items Cons.'!U$5:U$3360,"USN",'J Book Items Cons.'!W$5:W$3360,"Amphibious Warfare Ships",'J Book Items Cons.'!R$5:R$3360,"",'J Book Items Cons.'!N$5:N$3360,""))/E79)</f>
        <v>0.28194883962665107</v>
      </c>
      <c r="F75" s="38">
        <f>IF(F79=0,0,(SUMIFS('J Book Items Cons.'!R$5:R$3360,'J Book Items Cons.'!E$5:E$3360,4,'J Book Items Cons.'!S$5:S$3360,"",'J Book Items Cons.'!U$5:U$3360,"USN",'J Book Items Cons.'!W$5:W$3360,"Expeditionary &amp; Seabasing Ships",'J Book Items Cons.'!R$5:R$3360,"&lt;&gt;")+SUMIFS('J Book Items Cons.'!N$5:N$3360,'J Book Items Cons.'!E$5:E$3360,4,'J Book Items Cons.'!S$5:S$3360,"",'J Book Items Cons.'!U$5:U$3360,"USN",'J Book Items Cons.'!W$5:W$3360,"Expeditionary &amp; Seabasing Ships",'J Book Items Cons.'!R$5:R$3360,"",'J Book Items Cons.'!N$5:N$3360,"&lt;&gt;")+SUMIFS('J Book Items Cons.'!L$5:L$3360,'J Book Items Cons.'!E$5:E$3360,4,'J Book Items Cons.'!S$5:S$3360,"",'J Book Items Cons.'!U$5:U$3360,"USN",'J Book Items Cons.'!W$5:W$3360,"Expeditionary &amp; Seabasing Ships",'J Book Items Cons.'!R$5:R$3360,"",'J Book Items Cons.'!N$5:N$3360,"")+SUMIFS('J Book Items Cons.'!R$5:R$3360,'J Book Items Cons.'!E$5:E$3360,4,'J Book Items Cons.'!S$5:S$3360,"[PARENT]",'J Book Items Cons.'!U$5:U$3360,"USN",'J Book Items Cons.'!W$5:W$3360,"Expeditionary &amp; Seabasing Ships",'J Book Items Cons.'!R$5:R$3360,"&lt;&gt;")+SUMIFS('J Book Items Cons.'!N$5:N$3360,'J Book Items Cons.'!E$5:E$3360,4,'J Book Items Cons.'!S$5:S$3360,"[PARENT]",'J Book Items Cons.'!U$5:U$3360,"USN",'J Book Items Cons.'!W$5:W$3360,"Expeditionary &amp; Seabasing Ships",'J Book Items Cons.'!R$5:R$3360,"",'J Book Items Cons.'!N$5:N$3360,"&lt;&gt;")+SUMIFS('J Book Items Cons.'!L$5:L$3360,'J Book Items Cons.'!E$5:E$3360,4,'J Book Items Cons.'!S$5:S$3360,"[PARENT]",'J Book Items Cons.'!U$5:U$3360,"USN",'J Book Items Cons.'!W$5:W$3360,"Expeditionary &amp; Seabasing Ships",'J Book Items Cons.'!R$5:R$3360,"",'J Book Items Cons.'!N$5:N$3360,""))/F79)</f>
        <v>0</v>
      </c>
      <c r="G75" s="38">
        <f>IF(G79=0,0,(SUMIFS('J Book Items Cons.'!R$5:R$3360,'J Book Items Cons.'!E$5:E$3360,4,'J Book Items Cons.'!S$5:S$3360,"",'J Book Items Cons.'!U$5:U$3360,"MSC",'J Book Items Cons.'!W$5:W$3360,"Combat Logistics Ships",'J Book Items Cons.'!R$5:R$3360,"&lt;&gt;")+SUMIFS('J Book Items Cons.'!N$5:N$3360,'J Book Items Cons.'!E$5:E$3360,4,'J Book Items Cons.'!S$5:S$3360,"",'J Book Items Cons.'!U$5:U$3360,"MSC",'J Book Items Cons.'!W$5:W$3360,"Combat Logistics Ships",'J Book Items Cons.'!R$5:R$3360,"",'J Book Items Cons.'!N$5:N$3360,"&lt;&gt;")+SUMIFS('J Book Items Cons.'!L$5:L$3360,'J Book Items Cons.'!E$5:E$3360,4,'J Book Items Cons.'!S$5:S$3360,"",'J Book Items Cons.'!U$5:U$3360,"MSC",'J Book Items Cons.'!W$5:W$3360,"Combat Logistics Ships",'J Book Items Cons.'!R$5:R$3360,"",'J Book Items Cons.'!N$5:N$3360,"")+SUMIFS('J Book Items Cons.'!R$5:R$3360,'J Book Items Cons.'!E$5:E$3360,4,'J Book Items Cons.'!S$5:S$3360,"[PARENT]",'J Book Items Cons.'!U$5:U$3360,"MSC",'J Book Items Cons.'!W$5:W$3360,"Combat Logistics Ships",'J Book Items Cons.'!R$5:R$3360,"&lt;&gt;")+SUMIFS('J Book Items Cons.'!N$5:N$3360,'J Book Items Cons.'!E$5:E$3360,4,'J Book Items Cons.'!S$5:S$3360,"[PARENT]",'J Book Items Cons.'!U$5:U$3360,"MSC",'J Book Items Cons.'!W$5:W$3360,"Combat Logistics Ships",'J Book Items Cons.'!R$5:R$3360,"",'J Book Items Cons.'!N$5:N$3360,"&lt;&gt;")+SUMIFS('J Book Items Cons.'!L$5:L$3360,'J Book Items Cons.'!E$5:E$3360,4,'J Book Items Cons.'!S$5:S$3360,"[PARENT]",'J Book Items Cons.'!U$5:U$3360,"MSC",'J Book Items Cons.'!W$5:W$3360,"Combat Logistics Ships",'J Book Items Cons.'!R$5:R$3360,"",'J Book Items Cons.'!N$5:N$3360,""))/G79)</f>
        <v>0</v>
      </c>
      <c r="H75" s="38">
        <f>IF(H79=0,0,(SUMIFS('J Book Items Cons.'!R$5:R$3360,'J Book Items Cons.'!E$5:E$3360,4,'J Book Items Cons.'!S$5:S$3360,"",'J Book Items Cons.'!U$5:U$3360,"USN",'J Book Items Cons.'!W$5:W$3360,"Unmanned Surface Vehicles",'J Book Items Cons.'!R$5:R$3360,"&lt;&gt;")+SUMIFS('J Book Items Cons.'!N$5:N$3360,'J Book Items Cons.'!E$5:E$3360,4,'J Book Items Cons.'!S$5:S$3360,"",'J Book Items Cons.'!U$5:U$3360,"USN",'J Book Items Cons.'!W$5:W$3360,"Unmanned Surface Vehicles",'J Book Items Cons.'!R$5:R$3360,"",'J Book Items Cons.'!N$5:N$3360,"&lt;&gt;")+SUMIFS('J Book Items Cons.'!L$5:L$3360,'J Book Items Cons.'!E$5:E$3360,4,'J Book Items Cons.'!S$5:S$3360,"",'J Book Items Cons.'!U$5:U$3360,"USN",'J Book Items Cons.'!W$5:W$3360,"Unmanned Surface Vehicles",'J Book Items Cons.'!R$5:R$3360,"",'J Book Items Cons.'!N$5:N$3360,"")+SUMIFS('J Book Items Cons.'!R$5:R$3360,'J Book Items Cons.'!E$5:E$3360,4,'J Book Items Cons.'!S$5:S$3360,"[PARENT]",'J Book Items Cons.'!U$5:U$3360,"USN",'J Book Items Cons.'!W$5:W$3360,"Unmanned Surface Vehicles",'J Book Items Cons.'!R$5:R$3360,"&lt;&gt;")+SUMIFS('J Book Items Cons.'!N$5:N$3360,'J Book Items Cons.'!E$5:E$3360,4,'J Book Items Cons.'!S$5:S$3360,"[PARENT]",'J Book Items Cons.'!U$5:U$3360,"USN",'J Book Items Cons.'!W$5:W$3360,"Unmanned Surface Vehicles",'J Book Items Cons.'!R$5:R$3360,"",'J Book Items Cons.'!N$5:N$3360,"&lt;&gt;")+SUMIFS('J Book Items Cons.'!L$5:L$3360,'J Book Items Cons.'!E$5:E$3360,4,'J Book Items Cons.'!S$5:S$3360,"[PARENT]",'J Book Items Cons.'!U$5:U$3360,"USN",'J Book Items Cons.'!W$5:W$3360,"Unmanned Surface Vehicles",'J Book Items Cons.'!R$5:R$3360,"",'J Book Items Cons.'!N$5:N$3360,""))/H79)</f>
        <v>0</v>
      </c>
      <c r="I75" s="38">
        <f>IF(I79=0,0,(SUMIFS('J Book Items Cons.'!R$5:R$3360,'J Book Items Cons.'!E$5:E$3360,4,'J Book Items Cons.'!S$5:S$3360,"",'J Book Items Cons.'!U$5:U$3360,"USN",'J Book Items Cons.'!W$5:W$3360,"Amphibious Warfare Craft",'J Book Items Cons.'!R$5:R$3360,"&lt;&gt;")+SUMIFS('J Book Items Cons.'!N$5:N$3360,'J Book Items Cons.'!E$5:E$3360,4,'J Book Items Cons.'!S$5:S$3360,"",'J Book Items Cons.'!U$5:U$3360,"USN",'J Book Items Cons.'!W$5:W$3360,"Amphibious Warfare Craft",'J Book Items Cons.'!R$5:R$3360,"",'J Book Items Cons.'!N$5:N$3360,"&lt;&gt;")+SUMIFS('J Book Items Cons.'!L$5:L$3360,'J Book Items Cons.'!E$5:E$3360,4,'J Book Items Cons.'!S$5:S$3360,"",'J Book Items Cons.'!U$5:U$3360,"USN",'J Book Items Cons.'!W$5:W$3360,"Amphibious Warfare Craft",'J Book Items Cons.'!R$5:R$3360,"",'J Book Items Cons.'!N$5:N$3360,"")+SUMIFS('J Book Items Cons.'!R$5:R$3360,'J Book Items Cons.'!E$5:E$3360,4,'J Book Items Cons.'!S$5:S$3360,"[PARENT]",'J Book Items Cons.'!U$5:U$3360,"USN",'J Book Items Cons.'!W$5:W$3360,"Amphibious Warfare Craft",'J Book Items Cons.'!R$5:R$3360,"&lt;&gt;")+SUMIFS('J Book Items Cons.'!N$5:N$3360,'J Book Items Cons.'!E$5:E$3360,4,'J Book Items Cons.'!S$5:S$3360,"[PARENT]",'J Book Items Cons.'!U$5:U$3360,"USN",'J Book Items Cons.'!W$5:W$3360,"Amphibious Warfare Craft",'J Book Items Cons.'!R$5:R$3360,"",'J Book Items Cons.'!N$5:N$3360,"&lt;&gt;")+SUMIFS('J Book Items Cons.'!L$5:L$3360,'J Book Items Cons.'!E$5:E$3360,4,'J Book Items Cons.'!S$5:S$3360,"[PARENT]",'J Book Items Cons.'!U$5:U$3360,"USN",'J Book Items Cons.'!W$5:W$3360,"Amphibious Warfare Craft",'J Book Items Cons.'!R$5:R$3360,"",'J Book Items Cons.'!N$5:N$3360,""))/I79)</f>
        <v>2.2054937099853372E-2</v>
      </c>
      <c r="J75" s="38">
        <f>IF(J79=0,0,(SUMIFS('J Book Items Cons.'!R$5:R$3360,'J Book Items Cons.'!E$5:E$3360,4,'J Book Items Cons.'!S$5:S$3360,"",'J Book Items Cons.'!U$5:U$3360,"MSC",'J Book Items Cons.'!W$5:W$3360,"Cargo &amp; Vehicle Cargo Ships",'J Book Items Cons.'!R$5:R$3360,"&lt;&gt;")+SUMIFS('J Book Items Cons.'!N$5:N$3360,'J Book Items Cons.'!E$5:E$3360,4,'J Book Items Cons.'!S$5:S$3360,"",'J Book Items Cons.'!U$5:U$3360,"MSC",'J Book Items Cons.'!W$5:W$3360,"Cargo &amp; Vehicle Cargo Ships",'J Book Items Cons.'!R$5:R$3360,"",'J Book Items Cons.'!N$5:N$3360,"&lt;&gt;")+SUMIFS('J Book Items Cons.'!L$5:L$3360,'J Book Items Cons.'!E$5:E$3360,4,'J Book Items Cons.'!S$5:S$3360,"",'J Book Items Cons.'!U$5:U$3360,"MSC",'J Book Items Cons.'!W$5:W$3360,"Cargo &amp; Vehicle Cargo Ships",'J Book Items Cons.'!R$5:R$3360,"",'J Book Items Cons.'!N$5:N$3360,"")+SUMIFS('J Book Items Cons.'!R$5:R$3360,'J Book Items Cons.'!E$5:E$3360,4,'J Book Items Cons.'!S$5:S$3360,"[PARENT]",'J Book Items Cons.'!U$5:U$3360,"MSC",'J Book Items Cons.'!W$5:W$3360,"Cargo &amp; Vehicle Cargo Ships",'J Book Items Cons.'!R$5:R$3360,"&lt;&gt;")+SUMIFS('J Book Items Cons.'!N$5:N$3360,'J Book Items Cons.'!E$5:E$3360,4,'J Book Items Cons.'!S$5:S$3360,"[PARENT]",'J Book Items Cons.'!U$5:U$3360,"MSC",'J Book Items Cons.'!W$5:W$3360,"Cargo &amp; Vehicle Cargo Ships",'J Book Items Cons.'!R$5:R$3360,"",'J Book Items Cons.'!N$5:N$3360,"&lt;&gt;")+SUMIFS('J Book Items Cons.'!L$5:L$3360,'J Book Items Cons.'!E$5:E$3360,4,'J Book Items Cons.'!S$5:S$3360,"[PARENT]",'J Book Items Cons.'!U$5:U$3360,"MSC",'J Book Items Cons.'!W$5:W$3360,"Cargo &amp; Vehicle Cargo Ships",'J Book Items Cons.'!R$5:R$3360,"",'J Book Items Cons.'!N$5:N$3360,""))/J79)</f>
        <v>0</v>
      </c>
      <c r="K75" s="38">
        <f>IF(K79=0,0,(SUMIFS('J Book Items Cons.'!R$5:R$3360,'J Book Items Cons.'!E$5:E$3360,4,'J Book Items Cons.'!S$5:S$3360,"",'J Book Items Cons.'!U$5:U$3360,"MSC",'J Book Items Cons.'!W$5:W$3360,"Surveillance Ships",'J Book Items Cons.'!R$5:R$3360,"&lt;&gt;")+SUMIFS('J Book Items Cons.'!N$5:N$3360,'J Book Items Cons.'!E$5:E$3360,4,'J Book Items Cons.'!S$5:S$3360,"",'J Book Items Cons.'!U$5:U$3360,"MSC",'J Book Items Cons.'!W$5:W$3360,"Surveillance Ships",'J Book Items Cons.'!R$5:R$3360,"",'J Book Items Cons.'!N$5:N$3360,"&lt;&gt;")+SUMIFS('J Book Items Cons.'!L$5:L$3360,'J Book Items Cons.'!E$5:E$3360,4,'J Book Items Cons.'!S$5:S$3360,"",'J Book Items Cons.'!U$5:U$3360,"MSC",'J Book Items Cons.'!W$5:W$3360,"Surveillance Ships",'J Book Items Cons.'!R$5:R$3360,"",'J Book Items Cons.'!N$5:N$3360,"")+SUMIFS('J Book Items Cons.'!R$5:R$3360,'J Book Items Cons.'!E$5:E$3360,4,'J Book Items Cons.'!S$5:S$3360,"[PARENT]",'J Book Items Cons.'!U$5:U$3360,"MSC",'J Book Items Cons.'!W$5:W$3360,"Surveillance Ships",'J Book Items Cons.'!R$5:R$3360,"&lt;&gt;")+SUMIFS('J Book Items Cons.'!N$5:N$3360,'J Book Items Cons.'!E$5:E$3360,4,'J Book Items Cons.'!S$5:S$3360,"[PARENT]",'J Book Items Cons.'!U$5:U$3360,"MSC",'J Book Items Cons.'!W$5:W$3360,"Surveillance Ships",'J Book Items Cons.'!R$5:R$3360,"",'J Book Items Cons.'!N$5:N$3360,"&lt;&gt;")+SUMIFS('J Book Items Cons.'!L$5:L$3360,'J Book Items Cons.'!E$5:E$3360,4,'J Book Items Cons.'!S$5:S$3360,"[PARENT]",'J Book Items Cons.'!U$5:U$3360,"MSC",'J Book Items Cons.'!W$5:W$3360,"Surveillance Ships",'J Book Items Cons.'!R$5:R$3360,"",'J Book Items Cons.'!N$5:N$3360,""))/K79)</f>
        <v>4.8446160398151E-2</v>
      </c>
      <c r="L75" s="38">
        <f>IF(L79=0,0,(SUMIFS('J Book Items Cons.'!R$5:R$3360,'J Book Items Cons.'!E$5:E$3360,4,'J Book Items Cons.'!S$5:S$3360,"",'J Book Items Cons.'!U$5:U$3360,"USN",'J Book Items Cons.'!W$5:W$3360,"Unmanned Undersea Vehicles",'J Book Items Cons.'!R$5:R$3360,"&lt;&gt;")+SUMIFS('J Book Items Cons.'!N$5:N$3360,'J Book Items Cons.'!E$5:E$3360,4,'J Book Items Cons.'!S$5:S$3360,"",'J Book Items Cons.'!U$5:U$3360,"USN",'J Book Items Cons.'!W$5:W$3360,"Unmanned Undersea Vehicles",'J Book Items Cons.'!R$5:R$3360,"",'J Book Items Cons.'!N$5:N$3360,"&lt;&gt;")+SUMIFS('J Book Items Cons.'!L$5:L$3360,'J Book Items Cons.'!E$5:E$3360,4,'J Book Items Cons.'!S$5:S$3360,"",'J Book Items Cons.'!U$5:U$3360,"USN",'J Book Items Cons.'!W$5:W$3360,"Unmanned Undersea Vehicles",'J Book Items Cons.'!R$5:R$3360,"",'J Book Items Cons.'!N$5:N$3360,"")+SUMIFS('J Book Items Cons.'!R$5:R$3360,'J Book Items Cons.'!E$5:E$3360,4,'J Book Items Cons.'!S$5:S$3360,"[PARENT]",'J Book Items Cons.'!U$5:U$3360,"USN",'J Book Items Cons.'!W$5:W$3360,"Unmanned Undersea Vehicles",'J Book Items Cons.'!R$5:R$3360,"&lt;&gt;")+SUMIFS('J Book Items Cons.'!N$5:N$3360,'J Book Items Cons.'!E$5:E$3360,4,'J Book Items Cons.'!S$5:S$3360,"[PARENT]",'J Book Items Cons.'!U$5:U$3360,"USN",'J Book Items Cons.'!W$5:W$3360,"Unmanned Undersea Vehicles",'J Book Items Cons.'!R$5:R$3360,"",'J Book Items Cons.'!N$5:N$3360,"&lt;&gt;")+SUMIFS('J Book Items Cons.'!L$5:L$3360,'J Book Items Cons.'!E$5:E$3360,4,'J Book Items Cons.'!S$5:S$3360,"[PARENT]",'J Book Items Cons.'!U$5:U$3360,"USN",'J Book Items Cons.'!W$5:W$3360,"Unmanned Undersea Vehicles",'J Book Items Cons.'!R$5:R$3360,"",'J Book Items Cons.'!N$5:N$3360,""))/L79)</f>
        <v>0</v>
      </c>
      <c r="M75" s="38">
        <f>IF(M79=0,0,(SUMIFS('J Book Items Cons.'!R$5:R$3360,'J Book Items Cons.'!E$5:E$3360,4,'J Book Items Cons.'!S$5:S$3360,"",'J Book Items Cons.'!U$5:U$3360,"USN",'J Book Items Cons.'!W$5:W$3360,"Command Ships",'J Book Items Cons.'!R$5:R$3360,"&lt;&gt;")+SUMIFS('J Book Items Cons.'!N$5:N$3360,'J Book Items Cons.'!E$5:E$3360,4,'J Book Items Cons.'!S$5:S$3360,"",'J Book Items Cons.'!U$5:U$3360,"USN",'J Book Items Cons.'!W$5:W$3360,"Command Ships",'J Book Items Cons.'!R$5:R$3360,"",'J Book Items Cons.'!N$5:N$3360,"&lt;&gt;")+SUMIFS('J Book Items Cons.'!L$5:L$3360,'J Book Items Cons.'!E$5:E$3360,4,'J Book Items Cons.'!S$5:S$3360,"",'J Book Items Cons.'!U$5:U$3360,"USN",'J Book Items Cons.'!W$5:W$3360,"Command Ships",'J Book Items Cons.'!R$5:R$3360,"",'J Book Items Cons.'!N$5:N$3360,"")+SUMIFS('J Book Items Cons.'!R$5:R$3360,'J Book Items Cons.'!E$5:E$3360,4,'J Book Items Cons.'!S$5:S$3360,"[PARENT]",'J Book Items Cons.'!U$5:U$3360,"USN",'J Book Items Cons.'!W$5:W$3360,"Command Ships",'J Book Items Cons.'!R$5:R$3360,"&lt;&gt;")+SUMIFS('J Book Items Cons.'!N$5:N$3360,'J Book Items Cons.'!E$5:E$3360,4,'J Book Items Cons.'!S$5:S$3360,"[PARENT]",'J Book Items Cons.'!U$5:U$3360,"USN",'J Book Items Cons.'!W$5:W$3360,"Command Ships",'J Book Items Cons.'!R$5:R$3360,"",'J Book Items Cons.'!N$5:N$3360,"&lt;&gt;")+SUMIFS('J Book Items Cons.'!L$5:L$3360,'J Book Items Cons.'!E$5:E$3360,4,'J Book Items Cons.'!S$5:S$3360,"[PARENT]",'J Book Items Cons.'!U$5:U$3360,"USN",'J Book Items Cons.'!W$5:W$3360,"Command Ships",'J Book Items Cons.'!R$5:R$3360,"",'J Book Items Cons.'!N$5:N$3360,""))/M79)</f>
        <v>0</v>
      </c>
      <c r="N75" s="39">
        <f>IF(N79=0,0,(SUMIFS('J Book Items Cons.'!R$5:R$3360,'J Book Items Cons.'!E$5:E$3360,4,'J Book Items Cons.'!S$5:S$3360,"",'J Book Items Cons.'!U$5:U$3360,"USN",'J Book Items Cons.'!W$5:W$3360,"Mine Warfare",'J Book Items Cons.'!R$5:R$3360,"&lt;&gt;")+SUMIFS('J Book Items Cons.'!N$5:N$3360,'J Book Items Cons.'!E$5:E$3360,4,'J Book Items Cons.'!S$5:S$3360,"",'J Book Items Cons.'!U$5:U$3360,"USN",'J Book Items Cons.'!W$5:W$3360,"Mine Warfare",'J Book Items Cons.'!R$5:R$3360,"",'J Book Items Cons.'!N$5:N$3360,"&lt;&gt;")+SUMIFS('J Book Items Cons.'!L$5:L$3360,'J Book Items Cons.'!E$5:E$3360,4,'J Book Items Cons.'!S$5:S$3360,"",'J Book Items Cons.'!U$5:U$3360,"USN",'J Book Items Cons.'!W$5:W$3360,"Mine Warfare",'J Book Items Cons.'!R$5:R$3360,"",'J Book Items Cons.'!N$5:N$3360,"")+SUMIFS('J Book Items Cons.'!R$5:R$3360,'J Book Items Cons.'!E$5:E$3360,4,'J Book Items Cons.'!S$5:S$3360,"[PARENT]",'J Book Items Cons.'!U$5:U$3360,"USN",'J Book Items Cons.'!W$5:W$3360,"Mine Warfare",'J Book Items Cons.'!R$5:R$3360,"&lt;&gt;")+SUMIFS('J Book Items Cons.'!N$5:N$3360,'J Book Items Cons.'!E$5:E$3360,4,'J Book Items Cons.'!S$5:S$3360,"[PARENT]",'J Book Items Cons.'!U$5:U$3360,"USN",'J Book Items Cons.'!W$5:W$3360,"Mine Warfare",'J Book Items Cons.'!R$5:R$3360,"",'J Book Items Cons.'!N$5:N$3360,"&lt;&gt;")+SUMIFS('J Book Items Cons.'!L$5:L$3360,'J Book Items Cons.'!E$5:E$3360,4,'J Book Items Cons.'!S$5:S$3360,"[PARENT]",'J Book Items Cons.'!U$5:U$3360,"USN",'J Book Items Cons.'!W$5:W$3360,"Mine Warfare",'J Book Items Cons.'!R$5:R$3360,"",'J Book Items Cons.'!N$5:N$3360,""))/N79)</f>
        <v>0</v>
      </c>
      <c r="O75" s="37">
        <f>IF(O79=0,0,(SUMIFS('J Book Items Cons.'!R$5:R$3360,'J Book Items Cons.'!E$5:E$3360,4,'J Book Items Cons.'!S$5:S$3360,"",'J Book Items Cons.'!U$5:U$3360,"USCG",'J Book Items Cons.'!W$5:W$3360,"Offshore Patrol Cutter",'J Book Items Cons.'!R$5:R$3360,"&lt;&gt;")+SUMIFS('J Book Items Cons.'!N$5:N$3360,'J Book Items Cons.'!E$5:E$3360,4,'J Book Items Cons.'!S$5:S$3360,"",'J Book Items Cons.'!U$5:U$3360,"USCG",'J Book Items Cons.'!W$5:W$3360,"Offshore Patrol Cutter",'J Book Items Cons.'!R$5:R$3360,"",'J Book Items Cons.'!N$5:N$3360,"&lt;&gt;")+SUMIFS('J Book Items Cons.'!L$5:L$3360,'J Book Items Cons.'!E$5:E$3360,4,'J Book Items Cons.'!S$5:S$3360,"",'J Book Items Cons.'!U$5:U$3360,"USCG",'J Book Items Cons.'!W$5:W$3360,"Offshore Patrol Cutter",'J Book Items Cons.'!R$5:R$3360,"",'J Book Items Cons.'!N$5:N$3360,"")+SUMIFS('J Book Items Cons.'!R$5:R$3360,'J Book Items Cons.'!E$5:E$3360,4,'J Book Items Cons.'!S$5:S$3360,"[PARENT]",'J Book Items Cons.'!U$5:U$3360,"USCG",'J Book Items Cons.'!W$5:W$3360,"Offshore Patrol Cutter",'J Book Items Cons.'!R$5:R$3360,"&lt;&gt;")+SUMIFS('J Book Items Cons.'!N$5:N$3360,'J Book Items Cons.'!E$5:E$3360,4,'J Book Items Cons.'!S$5:S$3360,"[PARENT]",'J Book Items Cons.'!U$5:U$3360,"USCG",'J Book Items Cons.'!W$5:W$3360,"Offshore Patrol Cutter",'J Book Items Cons.'!R$5:R$3360,"",'J Book Items Cons.'!N$5:N$3360,"&lt;&gt;")+SUMIFS('J Book Items Cons.'!L$5:L$3360,'J Book Items Cons.'!E$5:E$3360,4,'J Book Items Cons.'!S$5:S$3360,"[PARENT]",'J Book Items Cons.'!U$5:U$3360,"USCG",'J Book Items Cons.'!W$5:W$3360,"Offshore Patrol Cutter",'J Book Items Cons.'!R$5:R$3360,"",'J Book Items Cons.'!N$5:N$3360,""))/O79)</f>
        <v>0</v>
      </c>
      <c r="P75" s="38">
        <f>IF(P79=0,0,(SUMIFS('J Book Items Cons.'!R$5:R$3360,'J Book Items Cons.'!E$5:E$3360,4,'J Book Items Cons.'!S$5:S$3360,"",'J Book Items Cons.'!U$5:U$3360,"USCG",'J Book Items Cons.'!W$5:W$3360,"Fast Response Cutters",'J Book Items Cons.'!R$5:R$3360,"&lt;&gt;")+SUMIFS('J Book Items Cons.'!N$5:N$3360,'J Book Items Cons.'!E$5:E$3360,4,'J Book Items Cons.'!S$5:S$3360,"",'J Book Items Cons.'!U$5:U$3360,"USCG",'J Book Items Cons.'!W$5:W$3360,"Fast Response Cutters",'J Book Items Cons.'!R$5:R$3360,"",'J Book Items Cons.'!N$5:N$3360,"&lt;&gt;")+SUMIFS('J Book Items Cons.'!L$5:L$3360,'J Book Items Cons.'!E$5:E$3360,4,'J Book Items Cons.'!S$5:S$3360,"",'J Book Items Cons.'!U$5:U$3360,"USCG",'J Book Items Cons.'!W$5:W$3360,"Fast Response Cutters",'J Book Items Cons.'!R$5:R$3360,"",'J Book Items Cons.'!N$5:N$3360,"")+SUMIFS('J Book Items Cons.'!R$5:R$3360,'J Book Items Cons.'!E$5:E$3360,4,'J Book Items Cons.'!S$5:S$3360,"[PARENT]",'J Book Items Cons.'!U$5:U$3360,"USCG",'J Book Items Cons.'!W$5:W$3360,"Fast Response Cutters",'J Book Items Cons.'!R$5:R$3360,"&lt;&gt;")+SUMIFS('J Book Items Cons.'!N$5:N$3360,'J Book Items Cons.'!E$5:E$3360,4,'J Book Items Cons.'!S$5:S$3360,"[PARENT]",'J Book Items Cons.'!U$5:U$3360,"USCG",'J Book Items Cons.'!W$5:W$3360,"Fast Response Cutters",'J Book Items Cons.'!R$5:R$3360,"",'J Book Items Cons.'!N$5:N$3360,"&lt;&gt;")+SUMIFS('J Book Items Cons.'!L$5:L$3360,'J Book Items Cons.'!E$5:E$3360,4,'J Book Items Cons.'!S$5:S$3360,"[PARENT]",'J Book Items Cons.'!U$5:U$3360,"USCG",'J Book Items Cons.'!W$5:W$3360,"Fast Response Cutters",'J Book Items Cons.'!R$5:R$3360,"",'J Book Items Cons.'!N$5:N$3360,""))/P79)</f>
        <v>0</v>
      </c>
      <c r="Q75" s="38">
        <f>IF(Q79=0,0,(SUMIFS('J Book Items Cons.'!R$5:R$3360,'J Book Items Cons.'!E$5:E$3360,4,'J Book Items Cons.'!S$5:S$3360,"",'J Book Items Cons.'!U$5:U$3360,"USCG",'J Book Items Cons.'!W$5:W$3360,"Icebreakers, Oceangoing",'J Book Items Cons.'!R$5:R$3360,"&lt;&gt;")+SUMIFS('J Book Items Cons.'!N$5:N$3360,'J Book Items Cons.'!E$5:E$3360,4,'J Book Items Cons.'!S$5:S$3360,"",'J Book Items Cons.'!U$5:U$3360,"USCG",'J Book Items Cons.'!W$5:W$3360,"Icebreakers, Oceangoing",'J Book Items Cons.'!R$5:R$3360,"",'J Book Items Cons.'!N$5:N$3360,"&lt;&gt;")+SUMIFS('J Book Items Cons.'!L$5:L$3360,'J Book Items Cons.'!E$5:E$3360,4,'J Book Items Cons.'!S$5:S$3360,"",'J Book Items Cons.'!U$5:U$3360,"USCG",'J Book Items Cons.'!W$5:W$3360,"Icebreakers, Oceangoing",'J Book Items Cons.'!R$5:R$3360,"",'J Book Items Cons.'!N$5:N$3360,"")+SUMIFS('J Book Items Cons.'!R$5:R$3360,'J Book Items Cons.'!E$5:E$3360,4,'J Book Items Cons.'!S$5:S$3360,"[PARENT]",'J Book Items Cons.'!U$5:U$3360,"USCG",'J Book Items Cons.'!W$5:W$3360,"Icebreakers, Oceangoing",'J Book Items Cons.'!R$5:R$3360,"&lt;&gt;")+SUMIFS('J Book Items Cons.'!N$5:N$3360,'J Book Items Cons.'!E$5:E$3360,4,'J Book Items Cons.'!S$5:S$3360,"[PARENT]",'J Book Items Cons.'!U$5:U$3360,"USCG",'J Book Items Cons.'!W$5:W$3360,"Icebreakers, Oceangoing",'J Book Items Cons.'!R$5:R$3360,"",'J Book Items Cons.'!N$5:N$3360,"&lt;&gt;")+SUMIFS('J Book Items Cons.'!L$5:L$3360,'J Book Items Cons.'!E$5:E$3360,4,'J Book Items Cons.'!S$5:S$3360,"[PARENT]",'J Book Items Cons.'!U$5:U$3360,"USCG",'J Book Items Cons.'!W$5:W$3360,"Icebreakers, Oceangoing",'J Book Items Cons.'!R$5:R$3360,"",'J Book Items Cons.'!N$5:N$3360,""))/Q79)</f>
        <v>0</v>
      </c>
      <c r="R75" s="38">
        <f>IF(R79=0,0,(SUMIFS('J Book Items Cons.'!R$5:R$3360,'J Book Items Cons.'!E$5:E$3360,4,'J Book Items Cons.'!S$5:S$3360,"",'J Book Items Cons.'!U$5:U$3360,"USCG",'J Book Items Cons.'!W$5:W$3360,"Waterways Commerce Cutters",'J Book Items Cons.'!R$5:R$3360,"&lt;&gt;")+SUMIFS('J Book Items Cons.'!N$5:N$3360,'J Book Items Cons.'!E$5:E$3360,4,'J Book Items Cons.'!S$5:S$3360,"",'J Book Items Cons.'!U$5:U$3360,"USCG",'J Book Items Cons.'!W$5:W$3360,"Waterways Commerce Cutters",'J Book Items Cons.'!R$5:R$3360,"",'J Book Items Cons.'!N$5:N$3360,"&lt;&gt;")+SUMIFS('J Book Items Cons.'!L$5:L$3360,'J Book Items Cons.'!E$5:E$3360,4,'J Book Items Cons.'!S$5:S$3360,"",'J Book Items Cons.'!U$5:U$3360,"USCG",'J Book Items Cons.'!W$5:W$3360,"Waterways Commerce Cutters",'J Book Items Cons.'!R$5:R$3360,"",'J Book Items Cons.'!N$5:N$3360,"")+SUMIFS('J Book Items Cons.'!R$5:R$3360,'J Book Items Cons.'!E$5:E$3360,4,'J Book Items Cons.'!S$5:S$3360,"[PARENT]",'J Book Items Cons.'!U$5:U$3360,"USCG",'J Book Items Cons.'!W$5:W$3360,"Waterways Commerce Cutters",'J Book Items Cons.'!R$5:R$3360,"&lt;&gt;")+SUMIFS('J Book Items Cons.'!N$5:N$3360,'J Book Items Cons.'!E$5:E$3360,4,'J Book Items Cons.'!S$5:S$3360,"[PARENT]",'J Book Items Cons.'!U$5:U$3360,"USCG",'J Book Items Cons.'!W$5:W$3360,"Waterways Commerce Cutters",'J Book Items Cons.'!R$5:R$3360,"",'J Book Items Cons.'!N$5:N$3360,"&lt;&gt;")+SUMIFS('J Book Items Cons.'!L$5:L$3360,'J Book Items Cons.'!E$5:E$3360,4,'J Book Items Cons.'!S$5:S$3360,"[PARENT]",'J Book Items Cons.'!U$5:U$3360,"USCG",'J Book Items Cons.'!W$5:W$3360,"Waterways Commerce Cutters",'J Book Items Cons.'!R$5:R$3360,"",'J Book Items Cons.'!N$5:N$3360,""))/R79)</f>
        <v>0</v>
      </c>
      <c r="S75" s="39">
        <f>IF(S79=0,0,(SUMIFS('J Book Items Cons.'!R$5:R$3360,'J Book Items Cons.'!E$5:E$3360,4,'J Book Items Cons.'!S$5:S$3360,"",'J Book Items Cons.'!U$5:U$3360,"USCG",'J Book Items Cons.'!W$5:W$3360,"National Security Cutters",'J Book Items Cons.'!R$5:R$3360,"&lt;&gt;")+SUMIFS('J Book Items Cons.'!N$5:N$3360,'J Book Items Cons.'!E$5:E$3360,4,'J Book Items Cons.'!S$5:S$3360,"",'J Book Items Cons.'!U$5:U$3360,"USCG",'J Book Items Cons.'!W$5:W$3360,"National Security Cutters",'J Book Items Cons.'!R$5:R$3360,"",'J Book Items Cons.'!N$5:N$3360,"&lt;&gt;")+SUMIFS('J Book Items Cons.'!L$5:L$3360,'J Book Items Cons.'!E$5:E$3360,4,'J Book Items Cons.'!S$5:S$3360,"",'J Book Items Cons.'!U$5:U$3360,"USCG",'J Book Items Cons.'!W$5:W$3360,"National Security Cutters",'J Book Items Cons.'!R$5:R$3360,"",'J Book Items Cons.'!N$5:N$3360,"")+SUMIFS('J Book Items Cons.'!R$5:R$3360,'J Book Items Cons.'!E$5:E$3360,4,'J Book Items Cons.'!S$5:S$3360,"[PARENT]",'J Book Items Cons.'!U$5:U$3360,"USCG",'J Book Items Cons.'!W$5:W$3360,"National Security Cutters",'J Book Items Cons.'!R$5:R$3360,"&lt;&gt;")+SUMIFS('J Book Items Cons.'!N$5:N$3360,'J Book Items Cons.'!E$5:E$3360,4,'J Book Items Cons.'!S$5:S$3360,"[PARENT]",'J Book Items Cons.'!U$5:U$3360,"USCG",'J Book Items Cons.'!W$5:W$3360,"National Security Cutters",'J Book Items Cons.'!R$5:R$3360,"",'J Book Items Cons.'!N$5:N$3360,"&lt;&gt;")+SUMIFS('J Book Items Cons.'!L$5:L$3360,'J Book Items Cons.'!E$5:E$3360,4,'J Book Items Cons.'!S$5:S$3360,"[PARENT]",'J Book Items Cons.'!U$5:U$3360,"USCG",'J Book Items Cons.'!W$5:W$3360,"National Security Cutters",'J Book Items Cons.'!R$5:R$3360,"",'J Book Items Cons.'!N$5:N$3360,""))/S79)</f>
        <v>1</v>
      </c>
      <c r="T75" s="38">
        <f t="shared" si="7"/>
        <v>0.16243760679513022</v>
      </c>
      <c r="U75" s="36"/>
      <c r="V75" s="36"/>
      <c r="W75" s="36"/>
      <c r="X75" s="36"/>
      <c r="Y75" s="36"/>
      <c r="AD75" s="36"/>
      <c r="AE75" s="36"/>
      <c r="AF75" s="36"/>
      <c r="AG75" s="36"/>
      <c r="AH75" s="36"/>
      <c r="AI75" s="36"/>
      <c r="AJ75" s="36"/>
      <c r="AK75" s="36"/>
      <c r="AL75" s="36"/>
      <c r="AM75" s="36"/>
      <c r="AN75" s="36"/>
      <c r="AO75" s="36"/>
      <c r="AP75" s="36"/>
    </row>
    <row r="76" spans="1:42" ht="10.5" customHeight="1" x14ac:dyDescent="0.15">
      <c r="A76" s="7" t="s">
        <v>8853</v>
      </c>
      <c r="B76" s="37">
        <f>IF(B79=0,0,(SUMIFS('J Book Items Cons.'!R$5:R$3360,'J Book Items Cons.'!E$5:E$3360,5,'J Book Items Cons.'!S$5:S$3360,"",'J Book Items Cons.'!U$5:U$3360,"USN",'J Book Items Cons.'!W$5:W$3360,"Submarines",'J Book Items Cons.'!R$5:R$3360,"&lt;&gt;")+SUMIFS('J Book Items Cons.'!N$5:N$3360,'J Book Items Cons.'!E$5:E$3360,5,'J Book Items Cons.'!S$5:S$3360,"",'J Book Items Cons.'!U$5:U$3360,"USN",'J Book Items Cons.'!W$5:W$3360,"Submarines",'J Book Items Cons.'!R$5:R$3360,"",'J Book Items Cons.'!N$5:N$3360,"&lt;&gt;")+SUMIFS('J Book Items Cons.'!L$5:L$3360,'J Book Items Cons.'!E$5:E$3360,5,'J Book Items Cons.'!S$5:S$3360,"",'J Book Items Cons.'!U$5:U$3360,"USN",'J Book Items Cons.'!W$5:W$3360,"Submarines",'J Book Items Cons.'!R$5:R$3360,"",'J Book Items Cons.'!N$5:N$3360,"")+SUMIFS('J Book Items Cons.'!R$5:R$3360,'J Book Items Cons.'!E$5:E$3360,5,'J Book Items Cons.'!S$5:S$3360,"[PARENT]",'J Book Items Cons.'!U$5:U$3360,"USN",'J Book Items Cons.'!W$5:W$3360,"Submarines",'J Book Items Cons.'!R$5:R$3360,"&lt;&gt;")+SUMIFS('J Book Items Cons.'!N$5:N$3360,'J Book Items Cons.'!E$5:E$3360,5,'J Book Items Cons.'!S$5:S$3360,"[PARENT]",'J Book Items Cons.'!U$5:U$3360,"USN",'J Book Items Cons.'!W$5:W$3360,"Submarines",'J Book Items Cons.'!R$5:R$3360,"",'J Book Items Cons.'!N$5:N$3360,"&lt;&gt;")+SUMIFS('J Book Items Cons.'!L$5:L$3360,'J Book Items Cons.'!E$5:E$3360,5,'J Book Items Cons.'!S$5:S$3360,"[PARENT]",'J Book Items Cons.'!U$5:U$3360,"USN",'J Book Items Cons.'!W$5:W$3360,"Submarines",'J Book Items Cons.'!R$5:R$3360,"",'J Book Items Cons.'!N$5:N$3360,""))/B79)</f>
        <v>0</v>
      </c>
      <c r="C76" s="38">
        <f>IF(C79=0,0,(SUMIFS('J Book Items Cons.'!R$5:R$3360,'J Book Items Cons.'!E$5:E$3360,5,'J Book Items Cons.'!S$5:S$3360,"",'J Book Items Cons.'!U$5:U$3360,"USN",'J Book Items Cons.'!W$5:W$3360,"Surface Combatants",'J Book Items Cons.'!R$5:R$3360,"&lt;&gt;")+SUMIFS('J Book Items Cons.'!N$5:N$3360,'J Book Items Cons.'!E$5:E$3360,5,'J Book Items Cons.'!S$5:S$3360,"",'J Book Items Cons.'!U$5:U$3360,"USN",'J Book Items Cons.'!W$5:W$3360,"Surface Combatants",'J Book Items Cons.'!R$5:R$3360,"",'J Book Items Cons.'!N$5:N$3360,"&lt;&gt;")+SUMIFS('J Book Items Cons.'!L$5:L$3360,'J Book Items Cons.'!E$5:E$3360,5,'J Book Items Cons.'!S$5:S$3360,"",'J Book Items Cons.'!U$5:U$3360,"USN",'J Book Items Cons.'!W$5:W$3360,"Surface Combatants",'J Book Items Cons.'!R$5:R$3360,"",'J Book Items Cons.'!N$5:N$3360,"")+SUMIFS('J Book Items Cons.'!R$5:R$3360,'J Book Items Cons.'!E$5:E$3360,5,'J Book Items Cons.'!S$5:S$3360,"[PARENT]",'J Book Items Cons.'!U$5:U$3360,"USN",'J Book Items Cons.'!W$5:W$3360,"Surface Combatants",'J Book Items Cons.'!R$5:R$3360,"&lt;&gt;")+SUMIFS('J Book Items Cons.'!N$5:N$3360,'J Book Items Cons.'!E$5:E$3360,5,'J Book Items Cons.'!S$5:S$3360,"[PARENT]",'J Book Items Cons.'!U$5:U$3360,"USN",'J Book Items Cons.'!W$5:W$3360,"Surface Combatants",'J Book Items Cons.'!R$5:R$3360,"",'J Book Items Cons.'!N$5:N$3360,"&lt;&gt;")+SUMIFS('J Book Items Cons.'!L$5:L$3360,'J Book Items Cons.'!E$5:E$3360,5,'J Book Items Cons.'!S$5:S$3360,"[PARENT]",'J Book Items Cons.'!U$5:U$3360,"USN",'J Book Items Cons.'!W$5:W$3360,"Surface Combatants",'J Book Items Cons.'!R$5:R$3360,"",'J Book Items Cons.'!N$5:N$3360,""))/C79)</f>
        <v>0</v>
      </c>
      <c r="D76" s="38">
        <f>IF(D79=0,0,(SUMIFS('J Book Items Cons.'!R$5:R$3360,'J Book Items Cons.'!E$5:E$3360,5,'J Book Items Cons.'!S$5:S$3360,"",'J Book Items Cons.'!U$5:U$3360,"USN",'J Book Items Cons.'!W$5:W$3360,"Aircraft Carriers",'J Book Items Cons.'!R$5:R$3360,"&lt;&gt;")+SUMIFS('J Book Items Cons.'!N$5:N$3360,'J Book Items Cons.'!E$5:E$3360,5,'J Book Items Cons.'!S$5:S$3360,"",'J Book Items Cons.'!U$5:U$3360,"USN",'J Book Items Cons.'!W$5:W$3360,"Aircraft Carriers",'J Book Items Cons.'!R$5:R$3360,"",'J Book Items Cons.'!N$5:N$3360,"&lt;&gt;")+SUMIFS('J Book Items Cons.'!L$5:L$3360,'J Book Items Cons.'!E$5:E$3360,5,'J Book Items Cons.'!S$5:S$3360,"",'J Book Items Cons.'!U$5:U$3360,"USN",'J Book Items Cons.'!W$5:W$3360,"Aircraft Carriers",'J Book Items Cons.'!R$5:R$3360,"",'J Book Items Cons.'!N$5:N$3360,"")+SUMIFS('J Book Items Cons.'!R$5:R$3360,'J Book Items Cons.'!E$5:E$3360,5,'J Book Items Cons.'!S$5:S$3360,"[PARENT]",'J Book Items Cons.'!U$5:U$3360,"USN",'J Book Items Cons.'!W$5:W$3360,"Aircraft Carriers",'J Book Items Cons.'!R$5:R$3360,"&lt;&gt;")+SUMIFS('J Book Items Cons.'!N$5:N$3360,'J Book Items Cons.'!E$5:E$3360,5,'J Book Items Cons.'!S$5:S$3360,"[PARENT]",'J Book Items Cons.'!U$5:U$3360,"USN",'J Book Items Cons.'!W$5:W$3360,"Aircraft Carriers",'J Book Items Cons.'!R$5:R$3360,"",'J Book Items Cons.'!N$5:N$3360,"&lt;&gt;")+SUMIFS('J Book Items Cons.'!L$5:L$3360,'J Book Items Cons.'!E$5:E$3360,5,'J Book Items Cons.'!S$5:S$3360,"[PARENT]",'J Book Items Cons.'!U$5:U$3360,"USN",'J Book Items Cons.'!W$5:W$3360,"Aircraft Carriers",'J Book Items Cons.'!R$5:R$3360,"",'J Book Items Cons.'!N$5:N$3360,""))/D79)</f>
        <v>0.18697221273618841</v>
      </c>
      <c r="E76" s="38">
        <f>IF(E79=0,0,(SUMIFS('J Book Items Cons.'!R$5:R$3360,'J Book Items Cons.'!E$5:E$3360,5,'J Book Items Cons.'!S$5:S$3360,"",'J Book Items Cons.'!U$5:U$3360,"USN",'J Book Items Cons.'!W$5:W$3360,"Amphibious Warfare Ships",'J Book Items Cons.'!R$5:R$3360,"&lt;&gt;")+SUMIFS('J Book Items Cons.'!N$5:N$3360,'J Book Items Cons.'!E$5:E$3360,5,'J Book Items Cons.'!S$5:S$3360,"",'J Book Items Cons.'!U$5:U$3360,"USN",'J Book Items Cons.'!W$5:W$3360,"Amphibious Warfare Ships",'J Book Items Cons.'!R$5:R$3360,"",'J Book Items Cons.'!N$5:N$3360,"&lt;&gt;")+SUMIFS('J Book Items Cons.'!L$5:L$3360,'J Book Items Cons.'!E$5:E$3360,5,'J Book Items Cons.'!S$5:S$3360,"",'J Book Items Cons.'!U$5:U$3360,"USN",'J Book Items Cons.'!W$5:W$3360,"Amphibious Warfare Ships",'J Book Items Cons.'!R$5:R$3360,"",'J Book Items Cons.'!N$5:N$3360,"")+SUMIFS('J Book Items Cons.'!R$5:R$3360,'J Book Items Cons.'!E$5:E$3360,5,'J Book Items Cons.'!S$5:S$3360,"[PARENT]",'J Book Items Cons.'!U$5:U$3360,"USN",'J Book Items Cons.'!W$5:W$3360,"Amphibious Warfare Ships",'J Book Items Cons.'!R$5:R$3360,"&lt;&gt;")+SUMIFS('J Book Items Cons.'!N$5:N$3360,'J Book Items Cons.'!E$5:E$3360,5,'J Book Items Cons.'!S$5:S$3360,"[PARENT]",'J Book Items Cons.'!U$5:U$3360,"USN",'J Book Items Cons.'!W$5:W$3360,"Amphibious Warfare Ships",'J Book Items Cons.'!R$5:R$3360,"",'J Book Items Cons.'!N$5:N$3360,"&lt;&gt;")+SUMIFS('J Book Items Cons.'!L$5:L$3360,'J Book Items Cons.'!E$5:E$3360,5,'J Book Items Cons.'!S$5:S$3360,"[PARENT]",'J Book Items Cons.'!U$5:U$3360,"USN",'J Book Items Cons.'!W$5:W$3360,"Amphibious Warfare Ships",'J Book Items Cons.'!R$5:R$3360,"",'J Book Items Cons.'!N$5:N$3360,""))/E79)</f>
        <v>0</v>
      </c>
      <c r="F76" s="38">
        <f>IF(F79=0,0,(SUMIFS('J Book Items Cons.'!R$5:R$3360,'J Book Items Cons.'!E$5:E$3360,5,'J Book Items Cons.'!S$5:S$3360,"",'J Book Items Cons.'!U$5:U$3360,"USN",'J Book Items Cons.'!W$5:W$3360,"Expeditionary &amp; Seabasing Ships",'J Book Items Cons.'!R$5:R$3360,"&lt;&gt;")+SUMIFS('J Book Items Cons.'!N$5:N$3360,'J Book Items Cons.'!E$5:E$3360,5,'J Book Items Cons.'!S$5:S$3360,"",'J Book Items Cons.'!U$5:U$3360,"USN",'J Book Items Cons.'!W$5:W$3360,"Expeditionary &amp; Seabasing Ships",'J Book Items Cons.'!R$5:R$3360,"",'J Book Items Cons.'!N$5:N$3360,"&lt;&gt;")+SUMIFS('J Book Items Cons.'!L$5:L$3360,'J Book Items Cons.'!E$5:E$3360,5,'J Book Items Cons.'!S$5:S$3360,"",'J Book Items Cons.'!U$5:U$3360,"USN",'J Book Items Cons.'!W$5:W$3360,"Expeditionary &amp; Seabasing Ships",'J Book Items Cons.'!R$5:R$3360,"",'J Book Items Cons.'!N$5:N$3360,"")+SUMIFS('J Book Items Cons.'!R$5:R$3360,'J Book Items Cons.'!E$5:E$3360,5,'J Book Items Cons.'!S$5:S$3360,"[PARENT]",'J Book Items Cons.'!U$5:U$3360,"USN",'J Book Items Cons.'!W$5:W$3360,"Expeditionary &amp; Seabasing Ships",'J Book Items Cons.'!R$5:R$3360,"&lt;&gt;")+SUMIFS('J Book Items Cons.'!N$5:N$3360,'J Book Items Cons.'!E$5:E$3360,5,'J Book Items Cons.'!S$5:S$3360,"[PARENT]",'J Book Items Cons.'!U$5:U$3360,"USN",'J Book Items Cons.'!W$5:W$3360,"Expeditionary &amp; Seabasing Ships",'J Book Items Cons.'!R$5:R$3360,"",'J Book Items Cons.'!N$5:N$3360,"&lt;&gt;")+SUMIFS('J Book Items Cons.'!L$5:L$3360,'J Book Items Cons.'!E$5:E$3360,5,'J Book Items Cons.'!S$5:S$3360,"[PARENT]",'J Book Items Cons.'!U$5:U$3360,"USN",'J Book Items Cons.'!W$5:W$3360,"Expeditionary &amp; Seabasing Ships",'J Book Items Cons.'!R$5:R$3360,"",'J Book Items Cons.'!N$5:N$3360,""))/F79)</f>
        <v>0</v>
      </c>
      <c r="G76" s="38">
        <f>IF(G79=0,0,(SUMIFS('J Book Items Cons.'!R$5:R$3360,'J Book Items Cons.'!E$5:E$3360,5,'J Book Items Cons.'!S$5:S$3360,"",'J Book Items Cons.'!U$5:U$3360,"MSC",'J Book Items Cons.'!W$5:W$3360,"Combat Logistics Ships",'J Book Items Cons.'!R$5:R$3360,"&lt;&gt;")+SUMIFS('J Book Items Cons.'!N$5:N$3360,'J Book Items Cons.'!E$5:E$3360,5,'J Book Items Cons.'!S$5:S$3360,"",'J Book Items Cons.'!U$5:U$3360,"MSC",'J Book Items Cons.'!W$5:W$3360,"Combat Logistics Ships",'J Book Items Cons.'!R$5:R$3360,"",'J Book Items Cons.'!N$5:N$3360,"&lt;&gt;")+SUMIFS('J Book Items Cons.'!L$5:L$3360,'J Book Items Cons.'!E$5:E$3360,5,'J Book Items Cons.'!S$5:S$3360,"",'J Book Items Cons.'!U$5:U$3360,"MSC",'J Book Items Cons.'!W$5:W$3360,"Combat Logistics Ships",'J Book Items Cons.'!R$5:R$3360,"",'J Book Items Cons.'!N$5:N$3360,"")+SUMIFS('J Book Items Cons.'!R$5:R$3360,'J Book Items Cons.'!E$5:E$3360,5,'J Book Items Cons.'!S$5:S$3360,"[PARENT]",'J Book Items Cons.'!U$5:U$3360,"MSC",'J Book Items Cons.'!W$5:W$3360,"Combat Logistics Ships",'J Book Items Cons.'!R$5:R$3360,"&lt;&gt;")+SUMIFS('J Book Items Cons.'!N$5:N$3360,'J Book Items Cons.'!E$5:E$3360,5,'J Book Items Cons.'!S$5:S$3360,"[PARENT]",'J Book Items Cons.'!U$5:U$3360,"MSC",'J Book Items Cons.'!W$5:W$3360,"Combat Logistics Ships",'J Book Items Cons.'!R$5:R$3360,"",'J Book Items Cons.'!N$5:N$3360,"&lt;&gt;")+SUMIFS('J Book Items Cons.'!L$5:L$3360,'J Book Items Cons.'!E$5:E$3360,5,'J Book Items Cons.'!S$5:S$3360,"[PARENT]",'J Book Items Cons.'!U$5:U$3360,"MSC",'J Book Items Cons.'!W$5:W$3360,"Combat Logistics Ships",'J Book Items Cons.'!R$5:R$3360,"",'J Book Items Cons.'!N$5:N$3360,""))/G79)</f>
        <v>0</v>
      </c>
      <c r="H76" s="38">
        <f>IF(H79=0,0,(SUMIFS('J Book Items Cons.'!R$5:R$3360,'J Book Items Cons.'!E$5:E$3360,5,'J Book Items Cons.'!S$5:S$3360,"",'J Book Items Cons.'!U$5:U$3360,"USN",'J Book Items Cons.'!W$5:W$3360,"Unmanned Surface Vehicles",'J Book Items Cons.'!R$5:R$3360,"&lt;&gt;")+SUMIFS('J Book Items Cons.'!N$5:N$3360,'J Book Items Cons.'!E$5:E$3360,5,'J Book Items Cons.'!S$5:S$3360,"",'J Book Items Cons.'!U$5:U$3360,"USN",'J Book Items Cons.'!W$5:W$3360,"Unmanned Surface Vehicles",'J Book Items Cons.'!R$5:R$3360,"",'J Book Items Cons.'!N$5:N$3360,"&lt;&gt;")+SUMIFS('J Book Items Cons.'!L$5:L$3360,'J Book Items Cons.'!E$5:E$3360,5,'J Book Items Cons.'!S$5:S$3360,"",'J Book Items Cons.'!U$5:U$3360,"USN",'J Book Items Cons.'!W$5:W$3360,"Unmanned Surface Vehicles",'J Book Items Cons.'!R$5:R$3360,"",'J Book Items Cons.'!N$5:N$3360,"")+SUMIFS('J Book Items Cons.'!R$5:R$3360,'J Book Items Cons.'!E$5:E$3360,5,'J Book Items Cons.'!S$5:S$3360,"[PARENT]",'J Book Items Cons.'!U$5:U$3360,"USN",'J Book Items Cons.'!W$5:W$3360,"Unmanned Surface Vehicles",'J Book Items Cons.'!R$5:R$3360,"&lt;&gt;")+SUMIFS('J Book Items Cons.'!N$5:N$3360,'J Book Items Cons.'!E$5:E$3360,5,'J Book Items Cons.'!S$5:S$3360,"[PARENT]",'J Book Items Cons.'!U$5:U$3360,"USN",'J Book Items Cons.'!W$5:W$3360,"Unmanned Surface Vehicles",'J Book Items Cons.'!R$5:R$3360,"",'J Book Items Cons.'!N$5:N$3360,"&lt;&gt;")+SUMIFS('J Book Items Cons.'!L$5:L$3360,'J Book Items Cons.'!E$5:E$3360,5,'J Book Items Cons.'!S$5:S$3360,"[PARENT]",'J Book Items Cons.'!U$5:U$3360,"USN",'J Book Items Cons.'!W$5:W$3360,"Unmanned Surface Vehicles",'J Book Items Cons.'!R$5:R$3360,"",'J Book Items Cons.'!N$5:N$3360,""))/H79)</f>
        <v>0</v>
      </c>
      <c r="I76" s="38">
        <f>IF(I79=0,0,(SUMIFS('J Book Items Cons.'!R$5:R$3360,'J Book Items Cons.'!E$5:E$3360,5,'J Book Items Cons.'!S$5:S$3360,"",'J Book Items Cons.'!U$5:U$3360,"USN",'J Book Items Cons.'!W$5:W$3360,"Amphibious Warfare Craft",'J Book Items Cons.'!R$5:R$3360,"&lt;&gt;")+SUMIFS('J Book Items Cons.'!N$5:N$3360,'J Book Items Cons.'!E$5:E$3360,5,'J Book Items Cons.'!S$5:S$3360,"",'J Book Items Cons.'!U$5:U$3360,"USN",'J Book Items Cons.'!W$5:W$3360,"Amphibious Warfare Craft",'J Book Items Cons.'!R$5:R$3360,"",'J Book Items Cons.'!N$5:N$3360,"&lt;&gt;")+SUMIFS('J Book Items Cons.'!L$5:L$3360,'J Book Items Cons.'!E$5:E$3360,5,'J Book Items Cons.'!S$5:S$3360,"",'J Book Items Cons.'!U$5:U$3360,"USN",'J Book Items Cons.'!W$5:W$3360,"Amphibious Warfare Craft",'J Book Items Cons.'!R$5:R$3360,"",'J Book Items Cons.'!N$5:N$3360,"")+SUMIFS('J Book Items Cons.'!R$5:R$3360,'J Book Items Cons.'!E$5:E$3360,5,'J Book Items Cons.'!S$5:S$3360,"[PARENT]",'J Book Items Cons.'!U$5:U$3360,"USN",'J Book Items Cons.'!W$5:W$3360,"Amphibious Warfare Craft",'J Book Items Cons.'!R$5:R$3360,"&lt;&gt;")+SUMIFS('J Book Items Cons.'!N$5:N$3360,'J Book Items Cons.'!E$5:E$3360,5,'J Book Items Cons.'!S$5:S$3360,"[PARENT]",'J Book Items Cons.'!U$5:U$3360,"USN",'J Book Items Cons.'!W$5:W$3360,"Amphibious Warfare Craft",'J Book Items Cons.'!R$5:R$3360,"",'J Book Items Cons.'!N$5:N$3360,"&lt;&gt;")+SUMIFS('J Book Items Cons.'!L$5:L$3360,'J Book Items Cons.'!E$5:E$3360,5,'J Book Items Cons.'!S$5:S$3360,"[PARENT]",'J Book Items Cons.'!U$5:U$3360,"USN",'J Book Items Cons.'!W$5:W$3360,"Amphibious Warfare Craft",'J Book Items Cons.'!R$5:R$3360,"",'J Book Items Cons.'!N$5:N$3360,""))/I79)</f>
        <v>4.0580389654225557E-2</v>
      </c>
      <c r="J76" s="38">
        <f>IF(J79=0,0,(SUMIFS('J Book Items Cons.'!R$5:R$3360,'J Book Items Cons.'!E$5:E$3360,5,'J Book Items Cons.'!S$5:S$3360,"",'J Book Items Cons.'!U$5:U$3360,"MSC",'J Book Items Cons.'!W$5:W$3360,"Cargo &amp; Vehicle Cargo Ships",'J Book Items Cons.'!R$5:R$3360,"&lt;&gt;")+SUMIFS('J Book Items Cons.'!N$5:N$3360,'J Book Items Cons.'!E$5:E$3360,5,'J Book Items Cons.'!S$5:S$3360,"",'J Book Items Cons.'!U$5:U$3360,"MSC",'J Book Items Cons.'!W$5:W$3360,"Cargo &amp; Vehicle Cargo Ships",'J Book Items Cons.'!R$5:R$3360,"",'J Book Items Cons.'!N$5:N$3360,"&lt;&gt;")+SUMIFS('J Book Items Cons.'!L$5:L$3360,'J Book Items Cons.'!E$5:E$3360,5,'J Book Items Cons.'!S$5:S$3360,"",'J Book Items Cons.'!U$5:U$3360,"MSC",'J Book Items Cons.'!W$5:W$3360,"Cargo &amp; Vehicle Cargo Ships",'J Book Items Cons.'!R$5:R$3360,"",'J Book Items Cons.'!N$5:N$3360,"")+SUMIFS('J Book Items Cons.'!R$5:R$3360,'J Book Items Cons.'!E$5:E$3360,5,'J Book Items Cons.'!S$5:S$3360,"[PARENT]",'J Book Items Cons.'!U$5:U$3360,"MSC",'J Book Items Cons.'!W$5:W$3360,"Cargo &amp; Vehicle Cargo Ships",'J Book Items Cons.'!R$5:R$3360,"&lt;&gt;")+SUMIFS('J Book Items Cons.'!N$5:N$3360,'J Book Items Cons.'!E$5:E$3360,5,'J Book Items Cons.'!S$5:S$3360,"[PARENT]",'J Book Items Cons.'!U$5:U$3360,"MSC",'J Book Items Cons.'!W$5:W$3360,"Cargo &amp; Vehicle Cargo Ships",'J Book Items Cons.'!R$5:R$3360,"",'J Book Items Cons.'!N$5:N$3360,"&lt;&gt;")+SUMIFS('J Book Items Cons.'!L$5:L$3360,'J Book Items Cons.'!E$5:E$3360,5,'J Book Items Cons.'!S$5:S$3360,"[PARENT]",'J Book Items Cons.'!U$5:U$3360,"MSC",'J Book Items Cons.'!W$5:W$3360,"Cargo &amp; Vehicle Cargo Ships",'J Book Items Cons.'!R$5:R$3360,"",'J Book Items Cons.'!N$5:N$3360,""))/J79)</f>
        <v>0</v>
      </c>
      <c r="K76" s="38">
        <f>IF(K79=0,0,(SUMIFS('J Book Items Cons.'!R$5:R$3360,'J Book Items Cons.'!E$5:E$3360,5,'J Book Items Cons.'!S$5:S$3360,"",'J Book Items Cons.'!U$5:U$3360,"MSC",'J Book Items Cons.'!W$5:W$3360,"Surveillance Ships",'J Book Items Cons.'!R$5:R$3360,"&lt;&gt;")+SUMIFS('J Book Items Cons.'!N$5:N$3360,'J Book Items Cons.'!E$5:E$3360,5,'J Book Items Cons.'!S$5:S$3360,"",'J Book Items Cons.'!U$5:U$3360,"MSC",'J Book Items Cons.'!W$5:W$3360,"Surveillance Ships",'J Book Items Cons.'!R$5:R$3360,"",'J Book Items Cons.'!N$5:N$3360,"&lt;&gt;")+SUMIFS('J Book Items Cons.'!L$5:L$3360,'J Book Items Cons.'!E$5:E$3360,5,'J Book Items Cons.'!S$5:S$3360,"",'J Book Items Cons.'!U$5:U$3360,"MSC",'J Book Items Cons.'!W$5:W$3360,"Surveillance Ships",'J Book Items Cons.'!R$5:R$3360,"",'J Book Items Cons.'!N$5:N$3360,"")+SUMIFS('J Book Items Cons.'!R$5:R$3360,'J Book Items Cons.'!E$5:E$3360,5,'J Book Items Cons.'!S$5:S$3360,"[PARENT]",'J Book Items Cons.'!U$5:U$3360,"MSC",'J Book Items Cons.'!W$5:W$3360,"Surveillance Ships",'J Book Items Cons.'!R$5:R$3360,"&lt;&gt;")+SUMIFS('J Book Items Cons.'!N$5:N$3360,'J Book Items Cons.'!E$5:E$3360,5,'J Book Items Cons.'!S$5:S$3360,"[PARENT]",'J Book Items Cons.'!U$5:U$3360,"MSC",'J Book Items Cons.'!W$5:W$3360,"Surveillance Ships",'J Book Items Cons.'!R$5:R$3360,"",'J Book Items Cons.'!N$5:N$3360,"&lt;&gt;")+SUMIFS('J Book Items Cons.'!L$5:L$3360,'J Book Items Cons.'!E$5:E$3360,5,'J Book Items Cons.'!S$5:S$3360,"[PARENT]",'J Book Items Cons.'!U$5:U$3360,"MSC",'J Book Items Cons.'!W$5:W$3360,"Surveillance Ships",'J Book Items Cons.'!R$5:R$3360,"",'J Book Items Cons.'!N$5:N$3360,""))/K79)</f>
        <v>0</v>
      </c>
      <c r="L76" s="38">
        <f>IF(L79=0,0,(SUMIFS('J Book Items Cons.'!R$5:R$3360,'J Book Items Cons.'!E$5:E$3360,5,'J Book Items Cons.'!S$5:S$3360,"",'J Book Items Cons.'!U$5:U$3360,"USN",'J Book Items Cons.'!W$5:W$3360,"Unmanned Undersea Vehicles",'J Book Items Cons.'!R$5:R$3360,"&lt;&gt;")+SUMIFS('J Book Items Cons.'!N$5:N$3360,'J Book Items Cons.'!E$5:E$3360,5,'J Book Items Cons.'!S$5:S$3360,"",'J Book Items Cons.'!U$5:U$3360,"USN",'J Book Items Cons.'!W$5:W$3360,"Unmanned Undersea Vehicles",'J Book Items Cons.'!R$5:R$3360,"",'J Book Items Cons.'!N$5:N$3360,"&lt;&gt;")+SUMIFS('J Book Items Cons.'!L$5:L$3360,'J Book Items Cons.'!E$5:E$3360,5,'J Book Items Cons.'!S$5:S$3360,"",'J Book Items Cons.'!U$5:U$3360,"USN",'J Book Items Cons.'!W$5:W$3360,"Unmanned Undersea Vehicles",'J Book Items Cons.'!R$5:R$3360,"",'J Book Items Cons.'!N$5:N$3360,"")+SUMIFS('J Book Items Cons.'!R$5:R$3360,'J Book Items Cons.'!E$5:E$3360,5,'J Book Items Cons.'!S$5:S$3360,"[PARENT]",'J Book Items Cons.'!U$5:U$3360,"USN",'J Book Items Cons.'!W$5:W$3360,"Unmanned Undersea Vehicles",'J Book Items Cons.'!R$5:R$3360,"&lt;&gt;")+SUMIFS('J Book Items Cons.'!N$5:N$3360,'J Book Items Cons.'!E$5:E$3360,5,'J Book Items Cons.'!S$5:S$3360,"[PARENT]",'J Book Items Cons.'!U$5:U$3360,"USN",'J Book Items Cons.'!W$5:W$3360,"Unmanned Undersea Vehicles",'J Book Items Cons.'!R$5:R$3360,"",'J Book Items Cons.'!N$5:N$3360,"&lt;&gt;")+SUMIFS('J Book Items Cons.'!L$5:L$3360,'J Book Items Cons.'!E$5:E$3360,5,'J Book Items Cons.'!S$5:S$3360,"[PARENT]",'J Book Items Cons.'!U$5:U$3360,"USN",'J Book Items Cons.'!W$5:W$3360,"Unmanned Undersea Vehicles",'J Book Items Cons.'!R$5:R$3360,"",'J Book Items Cons.'!N$5:N$3360,""))/L79)</f>
        <v>0</v>
      </c>
      <c r="M76" s="38">
        <f>IF(M79=0,0,(SUMIFS('J Book Items Cons.'!R$5:R$3360,'J Book Items Cons.'!E$5:E$3360,5,'J Book Items Cons.'!S$5:S$3360,"",'J Book Items Cons.'!U$5:U$3360,"USN",'J Book Items Cons.'!W$5:W$3360,"Command Ships",'J Book Items Cons.'!R$5:R$3360,"&lt;&gt;")+SUMIFS('J Book Items Cons.'!N$5:N$3360,'J Book Items Cons.'!E$5:E$3360,5,'J Book Items Cons.'!S$5:S$3360,"",'J Book Items Cons.'!U$5:U$3360,"USN",'J Book Items Cons.'!W$5:W$3360,"Command Ships",'J Book Items Cons.'!R$5:R$3360,"",'J Book Items Cons.'!N$5:N$3360,"&lt;&gt;")+SUMIFS('J Book Items Cons.'!L$5:L$3360,'J Book Items Cons.'!E$5:E$3360,5,'J Book Items Cons.'!S$5:S$3360,"",'J Book Items Cons.'!U$5:U$3360,"USN",'J Book Items Cons.'!W$5:W$3360,"Command Ships",'J Book Items Cons.'!R$5:R$3360,"",'J Book Items Cons.'!N$5:N$3360,"")+SUMIFS('J Book Items Cons.'!R$5:R$3360,'J Book Items Cons.'!E$5:E$3360,5,'J Book Items Cons.'!S$5:S$3360,"[PARENT]",'J Book Items Cons.'!U$5:U$3360,"USN",'J Book Items Cons.'!W$5:W$3360,"Command Ships",'J Book Items Cons.'!R$5:R$3360,"&lt;&gt;")+SUMIFS('J Book Items Cons.'!N$5:N$3360,'J Book Items Cons.'!E$5:E$3360,5,'J Book Items Cons.'!S$5:S$3360,"[PARENT]",'J Book Items Cons.'!U$5:U$3360,"USN",'J Book Items Cons.'!W$5:W$3360,"Command Ships",'J Book Items Cons.'!R$5:R$3360,"",'J Book Items Cons.'!N$5:N$3360,"&lt;&gt;")+SUMIFS('J Book Items Cons.'!L$5:L$3360,'J Book Items Cons.'!E$5:E$3360,5,'J Book Items Cons.'!S$5:S$3360,"[PARENT]",'J Book Items Cons.'!U$5:U$3360,"USN",'J Book Items Cons.'!W$5:W$3360,"Command Ships",'J Book Items Cons.'!R$5:R$3360,"",'J Book Items Cons.'!N$5:N$3360,""))/M79)</f>
        <v>0.46506465933217528</v>
      </c>
      <c r="N76" s="39">
        <f>IF(N79=0,0,(SUMIFS('J Book Items Cons.'!R$5:R$3360,'J Book Items Cons.'!E$5:E$3360,5,'J Book Items Cons.'!S$5:S$3360,"",'J Book Items Cons.'!U$5:U$3360,"USN",'J Book Items Cons.'!W$5:W$3360,"Mine Warfare",'J Book Items Cons.'!R$5:R$3360,"&lt;&gt;")+SUMIFS('J Book Items Cons.'!N$5:N$3360,'J Book Items Cons.'!E$5:E$3360,5,'J Book Items Cons.'!S$5:S$3360,"",'J Book Items Cons.'!U$5:U$3360,"USN",'J Book Items Cons.'!W$5:W$3360,"Mine Warfare",'J Book Items Cons.'!R$5:R$3360,"",'J Book Items Cons.'!N$5:N$3360,"&lt;&gt;")+SUMIFS('J Book Items Cons.'!L$5:L$3360,'J Book Items Cons.'!E$5:E$3360,5,'J Book Items Cons.'!S$5:S$3360,"",'J Book Items Cons.'!U$5:U$3360,"USN",'J Book Items Cons.'!W$5:W$3360,"Mine Warfare",'J Book Items Cons.'!R$5:R$3360,"",'J Book Items Cons.'!N$5:N$3360,"")+SUMIFS('J Book Items Cons.'!R$5:R$3360,'J Book Items Cons.'!E$5:E$3360,5,'J Book Items Cons.'!S$5:S$3360,"[PARENT]",'J Book Items Cons.'!U$5:U$3360,"USN",'J Book Items Cons.'!W$5:W$3360,"Mine Warfare",'J Book Items Cons.'!R$5:R$3360,"&lt;&gt;")+SUMIFS('J Book Items Cons.'!N$5:N$3360,'J Book Items Cons.'!E$5:E$3360,5,'J Book Items Cons.'!S$5:S$3360,"[PARENT]",'J Book Items Cons.'!U$5:U$3360,"USN",'J Book Items Cons.'!W$5:W$3360,"Mine Warfare",'J Book Items Cons.'!R$5:R$3360,"",'J Book Items Cons.'!N$5:N$3360,"&lt;&gt;")+SUMIFS('J Book Items Cons.'!L$5:L$3360,'J Book Items Cons.'!E$5:E$3360,5,'J Book Items Cons.'!S$5:S$3360,"[PARENT]",'J Book Items Cons.'!U$5:U$3360,"USN",'J Book Items Cons.'!W$5:W$3360,"Mine Warfare",'J Book Items Cons.'!R$5:R$3360,"",'J Book Items Cons.'!N$5:N$3360,""))/N79)</f>
        <v>0</v>
      </c>
      <c r="O76" s="37">
        <f>IF(O79=0,0,(SUMIFS('J Book Items Cons.'!R$5:R$3360,'J Book Items Cons.'!E$5:E$3360,5,'J Book Items Cons.'!S$5:S$3360,"",'J Book Items Cons.'!U$5:U$3360,"USCG",'J Book Items Cons.'!W$5:W$3360,"Offshore Patrol Cutter",'J Book Items Cons.'!R$5:R$3360,"&lt;&gt;")+SUMIFS('J Book Items Cons.'!N$5:N$3360,'J Book Items Cons.'!E$5:E$3360,5,'J Book Items Cons.'!S$5:S$3360,"",'J Book Items Cons.'!U$5:U$3360,"USCG",'J Book Items Cons.'!W$5:W$3360,"Offshore Patrol Cutter",'J Book Items Cons.'!R$5:R$3360,"",'J Book Items Cons.'!N$5:N$3360,"&lt;&gt;")+SUMIFS('J Book Items Cons.'!L$5:L$3360,'J Book Items Cons.'!E$5:E$3360,5,'J Book Items Cons.'!S$5:S$3360,"",'J Book Items Cons.'!U$5:U$3360,"USCG",'J Book Items Cons.'!W$5:W$3360,"Offshore Patrol Cutter",'J Book Items Cons.'!R$5:R$3360,"",'J Book Items Cons.'!N$5:N$3360,"")+SUMIFS('J Book Items Cons.'!R$5:R$3360,'J Book Items Cons.'!E$5:E$3360,5,'J Book Items Cons.'!S$5:S$3360,"[PARENT]",'J Book Items Cons.'!U$5:U$3360,"USCG",'J Book Items Cons.'!W$5:W$3360,"Offshore Patrol Cutter",'J Book Items Cons.'!R$5:R$3360,"&lt;&gt;")+SUMIFS('J Book Items Cons.'!N$5:N$3360,'J Book Items Cons.'!E$5:E$3360,5,'J Book Items Cons.'!S$5:S$3360,"[PARENT]",'J Book Items Cons.'!U$5:U$3360,"USCG",'J Book Items Cons.'!W$5:W$3360,"Offshore Patrol Cutter",'J Book Items Cons.'!R$5:R$3360,"",'J Book Items Cons.'!N$5:N$3360,"&lt;&gt;")+SUMIFS('J Book Items Cons.'!L$5:L$3360,'J Book Items Cons.'!E$5:E$3360,5,'J Book Items Cons.'!S$5:S$3360,"[PARENT]",'J Book Items Cons.'!U$5:U$3360,"USCG",'J Book Items Cons.'!W$5:W$3360,"Offshore Patrol Cutter",'J Book Items Cons.'!R$5:R$3360,"",'J Book Items Cons.'!N$5:N$3360,""))/O79)</f>
        <v>0</v>
      </c>
      <c r="P76" s="38">
        <f>IF(P79=0,0,(SUMIFS('J Book Items Cons.'!R$5:R$3360,'J Book Items Cons.'!E$5:E$3360,5,'J Book Items Cons.'!S$5:S$3360,"",'J Book Items Cons.'!U$5:U$3360,"USCG",'J Book Items Cons.'!W$5:W$3360,"Fast Response Cutters",'J Book Items Cons.'!R$5:R$3360,"&lt;&gt;")+SUMIFS('J Book Items Cons.'!N$5:N$3360,'J Book Items Cons.'!E$5:E$3360,5,'J Book Items Cons.'!S$5:S$3360,"",'J Book Items Cons.'!U$5:U$3360,"USCG",'J Book Items Cons.'!W$5:W$3360,"Fast Response Cutters",'J Book Items Cons.'!R$5:R$3360,"",'J Book Items Cons.'!N$5:N$3360,"&lt;&gt;")+SUMIFS('J Book Items Cons.'!L$5:L$3360,'J Book Items Cons.'!E$5:E$3360,5,'J Book Items Cons.'!S$5:S$3360,"",'J Book Items Cons.'!U$5:U$3360,"USCG",'J Book Items Cons.'!W$5:W$3360,"Fast Response Cutters",'J Book Items Cons.'!R$5:R$3360,"",'J Book Items Cons.'!N$5:N$3360,"")+SUMIFS('J Book Items Cons.'!R$5:R$3360,'J Book Items Cons.'!E$5:E$3360,5,'J Book Items Cons.'!S$5:S$3360,"[PARENT]",'J Book Items Cons.'!U$5:U$3360,"USCG",'J Book Items Cons.'!W$5:W$3360,"Fast Response Cutters",'J Book Items Cons.'!R$5:R$3360,"&lt;&gt;")+SUMIFS('J Book Items Cons.'!N$5:N$3360,'J Book Items Cons.'!E$5:E$3360,5,'J Book Items Cons.'!S$5:S$3360,"[PARENT]",'J Book Items Cons.'!U$5:U$3360,"USCG",'J Book Items Cons.'!W$5:W$3360,"Fast Response Cutters",'J Book Items Cons.'!R$5:R$3360,"",'J Book Items Cons.'!N$5:N$3360,"&lt;&gt;")+SUMIFS('J Book Items Cons.'!L$5:L$3360,'J Book Items Cons.'!E$5:E$3360,5,'J Book Items Cons.'!S$5:S$3360,"[PARENT]",'J Book Items Cons.'!U$5:U$3360,"USCG",'J Book Items Cons.'!W$5:W$3360,"Fast Response Cutters",'J Book Items Cons.'!R$5:R$3360,"",'J Book Items Cons.'!N$5:N$3360,""))/P79)</f>
        <v>0</v>
      </c>
      <c r="Q76" s="38">
        <f>IF(Q79=0,0,(SUMIFS('J Book Items Cons.'!R$5:R$3360,'J Book Items Cons.'!E$5:E$3360,5,'J Book Items Cons.'!S$5:S$3360,"",'J Book Items Cons.'!U$5:U$3360,"USCG",'J Book Items Cons.'!W$5:W$3360,"Icebreakers, Oceangoing",'J Book Items Cons.'!R$5:R$3360,"&lt;&gt;")+SUMIFS('J Book Items Cons.'!N$5:N$3360,'J Book Items Cons.'!E$5:E$3360,5,'J Book Items Cons.'!S$5:S$3360,"",'J Book Items Cons.'!U$5:U$3360,"USCG",'J Book Items Cons.'!W$5:W$3360,"Icebreakers, Oceangoing",'J Book Items Cons.'!R$5:R$3360,"",'J Book Items Cons.'!N$5:N$3360,"&lt;&gt;")+SUMIFS('J Book Items Cons.'!L$5:L$3360,'J Book Items Cons.'!E$5:E$3360,5,'J Book Items Cons.'!S$5:S$3360,"",'J Book Items Cons.'!U$5:U$3360,"USCG",'J Book Items Cons.'!W$5:W$3360,"Icebreakers, Oceangoing",'J Book Items Cons.'!R$5:R$3360,"",'J Book Items Cons.'!N$5:N$3360,"")+SUMIFS('J Book Items Cons.'!R$5:R$3360,'J Book Items Cons.'!E$5:E$3360,5,'J Book Items Cons.'!S$5:S$3360,"[PARENT]",'J Book Items Cons.'!U$5:U$3360,"USCG",'J Book Items Cons.'!W$5:W$3360,"Icebreakers, Oceangoing",'J Book Items Cons.'!R$5:R$3360,"&lt;&gt;")+SUMIFS('J Book Items Cons.'!N$5:N$3360,'J Book Items Cons.'!E$5:E$3360,5,'J Book Items Cons.'!S$5:S$3360,"[PARENT]",'J Book Items Cons.'!U$5:U$3360,"USCG",'J Book Items Cons.'!W$5:W$3360,"Icebreakers, Oceangoing",'J Book Items Cons.'!R$5:R$3360,"",'J Book Items Cons.'!N$5:N$3360,"&lt;&gt;")+SUMIFS('J Book Items Cons.'!L$5:L$3360,'J Book Items Cons.'!E$5:E$3360,5,'J Book Items Cons.'!S$5:S$3360,"[PARENT]",'J Book Items Cons.'!U$5:U$3360,"USCG",'J Book Items Cons.'!W$5:W$3360,"Icebreakers, Oceangoing",'J Book Items Cons.'!R$5:R$3360,"",'J Book Items Cons.'!N$5:N$3360,""))/Q79)</f>
        <v>0</v>
      </c>
      <c r="R76" s="38">
        <f>IF(R79=0,0,(SUMIFS('J Book Items Cons.'!R$5:R$3360,'J Book Items Cons.'!E$5:E$3360,5,'J Book Items Cons.'!S$5:S$3360,"",'J Book Items Cons.'!U$5:U$3360,"USCG",'J Book Items Cons.'!W$5:W$3360,"Waterways Commerce Cutters",'J Book Items Cons.'!R$5:R$3360,"&lt;&gt;")+SUMIFS('J Book Items Cons.'!N$5:N$3360,'J Book Items Cons.'!E$5:E$3360,5,'J Book Items Cons.'!S$5:S$3360,"",'J Book Items Cons.'!U$5:U$3360,"USCG",'J Book Items Cons.'!W$5:W$3360,"Waterways Commerce Cutters",'J Book Items Cons.'!R$5:R$3360,"",'J Book Items Cons.'!N$5:N$3360,"&lt;&gt;")+SUMIFS('J Book Items Cons.'!L$5:L$3360,'J Book Items Cons.'!E$5:E$3360,5,'J Book Items Cons.'!S$5:S$3360,"",'J Book Items Cons.'!U$5:U$3360,"USCG",'J Book Items Cons.'!W$5:W$3360,"Waterways Commerce Cutters",'J Book Items Cons.'!R$5:R$3360,"",'J Book Items Cons.'!N$5:N$3360,"")+SUMIFS('J Book Items Cons.'!R$5:R$3360,'J Book Items Cons.'!E$5:E$3360,5,'J Book Items Cons.'!S$5:S$3360,"[PARENT]",'J Book Items Cons.'!U$5:U$3360,"USCG",'J Book Items Cons.'!W$5:W$3360,"Waterways Commerce Cutters",'J Book Items Cons.'!R$5:R$3360,"&lt;&gt;")+SUMIFS('J Book Items Cons.'!N$5:N$3360,'J Book Items Cons.'!E$5:E$3360,5,'J Book Items Cons.'!S$5:S$3360,"[PARENT]",'J Book Items Cons.'!U$5:U$3360,"USCG",'J Book Items Cons.'!W$5:W$3360,"Waterways Commerce Cutters",'J Book Items Cons.'!R$5:R$3360,"",'J Book Items Cons.'!N$5:N$3360,"&lt;&gt;")+SUMIFS('J Book Items Cons.'!L$5:L$3360,'J Book Items Cons.'!E$5:E$3360,5,'J Book Items Cons.'!S$5:S$3360,"[PARENT]",'J Book Items Cons.'!U$5:U$3360,"USCG",'J Book Items Cons.'!W$5:W$3360,"Waterways Commerce Cutters",'J Book Items Cons.'!R$5:R$3360,"",'J Book Items Cons.'!N$5:N$3360,""))/R79)</f>
        <v>0</v>
      </c>
      <c r="S76" s="39">
        <f>IF(S79=0,0,(SUMIFS('J Book Items Cons.'!R$5:R$3360,'J Book Items Cons.'!E$5:E$3360,5,'J Book Items Cons.'!S$5:S$3360,"",'J Book Items Cons.'!U$5:U$3360,"USCG",'J Book Items Cons.'!W$5:W$3360,"National Security Cutters",'J Book Items Cons.'!R$5:R$3360,"&lt;&gt;")+SUMIFS('J Book Items Cons.'!N$5:N$3360,'J Book Items Cons.'!E$5:E$3360,5,'J Book Items Cons.'!S$5:S$3360,"",'J Book Items Cons.'!U$5:U$3360,"USCG",'J Book Items Cons.'!W$5:W$3360,"National Security Cutters",'J Book Items Cons.'!R$5:R$3360,"",'J Book Items Cons.'!N$5:N$3360,"&lt;&gt;")+SUMIFS('J Book Items Cons.'!L$5:L$3360,'J Book Items Cons.'!E$5:E$3360,5,'J Book Items Cons.'!S$5:S$3360,"",'J Book Items Cons.'!U$5:U$3360,"USCG",'J Book Items Cons.'!W$5:W$3360,"National Security Cutters",'J Book Items Cons.'!R$5:R$3360,"",'J Book Items Cons.'!N$5:N$3360,"")+SUMIFS('J Book Items Cons.'!R$5:R$3360,'J Book Items Cons.'!E$5:E$3360,5,'J Book Items Cons.'!S$5:S$3360,"[PARENT]",'J Book Items Cons.'!U$5:U$3360,"USCG",'J Book Items Cons.'!W$5:W$3360,"National Security Cutters",'J Book Items Cons.'!R$5:R$3360,"&lt;&gt;")+SUMIFS('J Book Items Cons.'!N$5:N$3360,'J Book Items Cons.'!E$5:E$3360,5,'J Book Items Cons.'!S$5:S$3360,"[PARENT]",'J Book Items Cons.'!U$5:U$3360,"USCG",'J Book Items Cons.'!W$5:W$3360,"National Security Cutters",'J Book Items Cons.'!R$5:R$3360,"",'J Book Items Cons.'!N$5:N$3360,"&lt;&gt;")+SUMIFS('J Book Items Cons.'!L$5:L$3360,'J Book Items Cons.'!E$5:E$3360,5,'J Book Items Cons.'!S$5:S$3360,"[PARENT]",'J Book Items Cons.'!U$5:U$3360,"USCG",'J Book Items Cons.'!W$5:W$3360,"National Security Cutters",'J Book Items Cons.'!R$5:R$3360,"",'J Book Items Cons.'!N$5:N$3360,""))/S79)</f>
        <v>0</v>
      </c>
      <c r="T76" s="38">
        <f t="shared" si="7"/>
        <v>2.4455252232105779E-2</v>
      </c>
    </row>
    <row r="77" spans="1:42" ht="10.5" customHeight="1" x14ac:dyDescent="0.15">
      <c r="A77" s="7" t="s">
        <v>8854</v>
      </c>
      <c r="B77" s="37">
        <f>IF(B79=0,0,(SUMIFS('J Book Items Cons.'!R$5:R$3360,'J Book Items Cons.'!E$5:E$3360,6,'J Book Items Cons.'!S$5:S$3360,"",'J Book Items Cons.'!U$5:U$3360,"USN",'J Book Items Cons.'!W$5:W$3360,"Submarines",'J Book Items Cons.'!R$5:R$3360,"&lt;&gt;")+SUMIFS('J Book Items Cons.'!N$5:N$3360,'J Book Items Cons.'!E$5:E$3360,6,'J Book Items Cons.'!S$5:S$3360,"",'J Book Items Cons.'!U$5:U$3360,"USN",'J Book Items Cons.'!W$5:W$3360,"Submarines",'J Book Items Cons.'!R$5:R$3360,"",'J Book Items Cons.'!N$5:N$3360,"&lt;&gt;")+SUMIFS('J Book Items Cons.'!L$5:L$3360,'J Book Items Cons.'!E$5:E$3360,6,'J Book Items Cons.'!S$5:S$3360,"",'J Book Items Cons.'!U$5:U$3360,"USN",'J Book Items Cons.'!W$5:W$3360,"Submarines",'J Book Items Cons.'!R$5:R$3360,"",'J Book Items Cons.'!N$5:N$3360,"")+SUMIFS('J Book Items Cons.'!R$5:R$3360,'J Book Items Cons.'!E$5:E$3360,6,'J Book Items Cons.'!S$5:S$3360,"[PARENT]",'J Book Items Cons.'!U$5:U$3360,"USN",'J Book Items Cons.'!W$5:W$3360,"Submarines",'J Book Items Cons.'!R$5:R$3360,"&lt;&gt;")+SUMIFS('J Book Items Cons.'!N$5:N$3360,'J Book Items Cons.'!E$5:E$3360,6,'J Book Items Cons.'!S$5:S$3360,"[PARENT]",'J Book Items Cons.'!U$5:U$3360,"USN",'J Book Items Cons.'!W$5:W$3360,"Submarines",'J Book Items Cons.'!R$5:R$3360,"",'J Book Items Cons.'!N$5:N$3360,"&lt;&gt;")+SUMIFS('J Book Items Cons.'!L$5:L$3360,'J Book Items Cons.'!E$5:E$3360,6,'J Book Items Cons.'!S$5:S$3360,"[PARENT]",'J Book Items Cons.'!U$5:U$3360,"USN",'J Book Items Cons.'!W$5:W$3360,"Submarines",'J Book Items Cons.'!R$5:R$3360,"",'J Book Items Cons.'!N$5:N$3360,""))/B79)</f>
        <v>4.7657955311053895E-3</v>
      </c>
      <c r="C77" s="38">
        <f>IF(C79=0,0,(SUMIFS('J Book Items Cons.'!R$5:R$3360,'J Book Items Cons.'!E$5:E$3360,6,'J Book Items Cons.'!S$5:S$3360,"",'J Book Items Cons.'!U$5:U$3360,"USN",'J Book Items Cons.'!W$5:W$3360,"Surface Combatants",'J Book Items Cons.'!R$5:R$3360,"&lt;&gt;")+SUMIFS('J Book Items Cons.'!N$5:N$3360,'J Book Items Cons.'!E$5:E$3360,6,'J Book Items Cons.'!S$5:S$3360,"",'J Book Items Cons.'!U$5:U$3360,"USN",'J Book Items Cons.'!W$5:W$3360,"Surface Combatants",'J Book Items Cons.'!R$5:R$3360,"",'J Book Items Cons.'!N$5:N$3360,"&lt;&gt;")+SUMIFS('J Book Items Cons.'!L$5:L$3360,'J Book Items Cons.'!E$5:E$3360,6,'J Book Items Cons.'!S$5:S$3360,"",'J Book Items Cons.'!U$5:U$3360,"USN",'J Book Items Cons.'!W$5:W$3360,"Surface Combatants",'J Book Items Cons.'!R$5:R$3360,"",'J Book Items Cons.'!N$5:N$3360,"")+SUMIFS('J Book Items Cons.'!R$5:R$3360,'J Book Items Cons.'!E$5:E$3360,6,'J Book Items Cons.'!S$5:S$3360,"[PARENT]",'J Book Items Cons.'!U$5:U$3360,"USN",'J Book Items Cons.'!W$5:W$3360,"Surface Combatants",'J Book Items Cons.'!R$5:R$3360,"&lt;&gt;")+SUMIFS('J Book Items Cons.'!N$5:N$3360,'J Book Items Cons.'!E$5:E$3360,6,'J Book Items Cons.'!S$5:S$3360,"[PARENT]",'J Book Items Cons.'!U$5:U$3360,"USN",'J Book Items Cons.'!W$5:W$3360,"Surface Combatants",'J Book Items Cons.'!R$5:R$3360,"",'J Book Items Cons.'!N$5:N$3360,"&lt;&gt;")+SUMIFS('J Book Items Cons.'!L$5:L$3360,'J Book Items Cons.'!E$5:E$3360,6,'J Book Items Cons.'!S$5:S$3360,"[PARENT]",'J Book Items Cons.'!U$5:U$3360,"USN",'J Book Items Cons.'!W$5:W$3360,"Surface Combatants",'J Book Items Cons.'!R$5:R$3360,"",'J Book Items Cons.'!N$5:N$3360,""))/C79)</f>
        <v>4.4461447560515701E-4</v>
      </c>
      <c r="D77" s="38">
        <f>IF(D79=0,0,(SUMIFS('J Book Items Cons.'!R$5:R$3360,'J Book Items Cons.'!E$5:E$3360,6,'J Book Items Cons.'!S$5:S$3360,"",'J Book Items Cons.'!U$5:U$3360,"USN",'J Book Items Cons.'!W$5:W$3360,"Aircraft Carriers",'J Book Items Cons.'!R$5:R$3360,"&lt;&gt;")+SUMIFS('J Book Items Cons.'!N$5:N$3360,'J Book Items Cons.'!E$5:E$3360,6,'J Book Items Cons.'!S$5:S$3360,"",'J Book Items Cons.'!U$5:U$3360,"USN",'J Book Items Cons.'!W$5:W$3360,"Aircraft Carriers",'J Book Items Cons.'!R$5:R$3360,"",'J Book Items Cons.'!N$5:N$3360,"&lt;&gt;")+SUMIFS('J Book Items Cons.'!L$5:L$3360,'J Book Items Cons.'!E$5:E$3360,6,'J Book Items Cons.'!S$5:S$3360,"",'J Book Items Cons.'!U$5:U$3360,"USN",'J Book Items Cons.'!W$5:W$3360,"Aircraft Carriers",'J Book Items Cons.'!R$5:R$3360,"",'J Book Items Cons.'!N$5:N$3360,"")+SUMIFS('J Book Items Cons.'!R$5:R$3360,'J Book Items Cons.'!E$5:E$3360,6,'J Book Items Cons.'!S$5:S$3360,"[PARENT]",'J Book Items Cons.'!U$5:U$3360,"USN",'J Book Items Cons.'!W$5:W$3360,"Aircraft Carriers",'J Book Items Cons.'!R$5:R$3360,"&lt;&gt;")+SUMIFS('J Book Items Cons.'!N$5:N$3360,'J Book Items Cons.'!E$5:E$3360,6,'J Book Items Cons.'!S$5:S$3360,"[PARENT]",'J Book Items Cons.'!U$5:U$3360,"USN",'J Book Items Cons.'!W$5:W$3360,"Aircraft Carriers",'J Book Items Cons.'!R$5:R$3360,"",'J Book Items Cons.'!N$5:N$3360,"&lt;&gt;")+SUMIFS('J Book Items Cons.'!L$5:L$3360,'J Book Items Cons.'!E$5:E$3360,6,'J Book Items Cons.'!S$5:S$3360,"[PARENT]",'J Book Items Cons.'!U$5:U$3360,"USN",'J Book Items Cons.'!W$5:W$3360,"Aircraft Carriers",'J Book Items Cons.'!R$5:R$3360,"",'J Book Items Cons.'!N$5:N$3360,""))/D79)</f>
        <v>0</v>
      </c>
      <c r="E77" s="38">
        <f>IF(E79=0,0,(SUMIFS('J Book Items Cons.'!R$5:R$3360,'J Book Items Cons.'!E$5:E$3360,6,'J Book Items Cons.'!S$5:S$3360,"",'J Book Items Cons.'!U$5:U$3360,"USN",'J Book Items Cons.'!W$5:W$3360,"Amphibious Warfare Ships",'J Book Items Cons.'!R$5:R$3360,"&lt;&gt;")+SUMIFS('J Book Items Cons.'!N$5:N$3360,'J Book Items Cons.'!E$5:E$3360,6,'J Book Items Cons.'!S$5:S$3360,"",'J Book Items Cons.'!U$5:U$3360,"USN",'J Book Items Cons.'!W$5:W$3360,"Amphibious Warfare Ships",'J Book Items Cons.'!R$5:R$3360,"",'J Book Items Cons.'!N$5:N$3360,"&lt;&gt;")+SUMIFS('J Book Items Cons.'!L$5:L$3360,'J Book Items Cons.'!E$5:E$3360,6,'J Book Items Cons.'!S$5:S$3360,"",'J Book Items Cons.'!U$5:U$3360,"USN",'J Book Items Cons.'!W$5:W$3360,"Amphibious Warfare Ships",'J Book Items Cons.'!R$5:R$3360,"",'J Book Items Cons.'!N$5:N$3360,"")+SUMIFS('J Book Items Cons.'!R$5:R$3360,'J Book Items Cons.'!E$5:E$3360,6,'J Book Items Cons.'!S$5:S$3360,"[PARENT]",'J Book Items Cons.'!U$5:U$3360,"USN",'J Book Items Cons.'!W$5:W$3360,"Amphibious Warfare Ships",'J Book Items Cons.'!R$5:R$3360,"&lt;&gt;")+SUMIFS('J Book Items Cons.'!N$5:N$3360,'J Book Items Cons.'!E$5:E$3360,6,'J Book Items Cons.'!S$5:S$3360,"[PARENT]",'J Book Items Cons.'!U$5:U$3360,"USN",'J Book Items Cons.'!W$5:W$3360,"Amphibious Warfare Ships",'J Book Items Cons.'!R$5:R$3360,"",'J Book Items Cons.'!N$5:N$3360,"&lt;&gt;")+SUMIFS('J Book Items Cons.'!L$5:L$3360,'J Book Items Cons.'!E$5:E$3360,6,'J Book Items Cons.'!S$5:S$3360,"[PARENT]",'J Book Items Cons.'!U$5:U$3360,"USN",'J Book Items Cons.'!W$5:W$3360,"Amphibious Warfare Ships",'J Book Items Cons.'!R$5:R$3360,"",'J Book Items Cons.'!N$5:N$3360,""))/E79)</f>
        <v>0</v>
      </c>
      <c r="F77" s="38">
        <f>IF(F79=0,0,(SUMIFS('J Book Items Cons.'!R$5:R$3360,'J Book Items Cons.'!E$5:E$3360,6,'J Book Items Cons.'!S$5:S$3360,"",'J Book Items Cons.'!U$5:U$3360,"USN",'J Book Items Cons.'!W$5:W$3360,"Expeditionary &amp; Seabasing Ships",'J Book Items Cons.'!R$5:R$3360,"&lt;&gt;")+SUMIFS('J Book Items Cons.'!N$5:N$3360,'J Book Items Cons.'!E$5:E$3360,6,'J Book Items Cons.'!S$5:S$3360,"",'J Book Items Cons.'!U$5:U$3360,"USN",'J Book Items Cons.'!W$5:W$3360,"Expeditionary &amp; Seabasing Ships",'J Book Items Cons.'!R$5:R$3360,"",'J Book Items Cons.'!N$5:N$3360,"&lt;&gt;")+SUMIFS('J Book Items Cons.'!L$5:L$3360,'J Book Items Cons.'!E$5:E$3360,6,'J Book Items Cons.'!S$5:S$3360,"",'J Book Items Cons.'!U$5:U$3360,"USN",'J Book Items Cons.'!W$5:W$3360,"Expeditionary &amp; Seabasing Ships",'J Book Items Cons.'!R$5:R$3360,"",'J Book Items Cons.'!N$5:N$3360,"")+SUMIFS('J Book Items Cons.'!R$5:R$3360,'J Book Items Cons.'!E$5:E$3360,6,'J Book Items Cons.'!S$5:S$3360,"[PARENT]",'J Book Items Cons.'!U$5:U$3360,"USN",'J Book Items Cons.'!W$5:W$3360,"Expeditionary &amp; Seabasing Ships",'J Book Items Cons.'!R$5:R$3360,"&lt;&gt;")+SUMIFS('J Book Items Cons.'!N$5:N$3360,'J Book Items Cons.'!E$5:E$3360,6,'J Book Items Cons.'!S$5:S$3360,"[PARENT]",'J Book Items Cons.'!U$5:U$3360,"USN",'J Book Items Cons.'!W$5:W$3360,"Expeditionary &amp; Seabasing Ships",'J Book Items Cons.'!R$5:R$3360,"",'J Book Items Cons.'!N$5:N$3360,"&lt;&gt;")+SUMIFS('J Book Items Cons.'!L$5:L$3360,'J Book Items Cons.'!E$5:E$3360,6,'J Book Items Cons.'!S$5:S$3360,"[PARENT]",'J Book Items Cons.'!U$5:U$3360,"USN",'J Book Items Cons.'!W$5:W$3360,"Expeditionary &amp; Seabasing Ships",'J Book Items Cons.'!R$5:R$3360,"",'J Book Items Cons.'!N$5:N$3360,""))/F79)</f>
        <v>0</v>
      </c>
      <c r="G77" s="38">
        <f>IF(G79=0,0,(SUMIFS('J Book Items Cons.'!R$5:R$3360,'J Book Items Cons.'!E$5:E$3360,6,'J Book Items Cons.'!S$5:S$3360,"",'J Book Items Cons.'!U$5:U$3360,"MSC",'J Book Items Cons.'!W$5:W$3360,"Combat Logistics Ships",'J Book Items Cons.'!R$5:R$3360,"&lt;&gt;")+SUMIFS('J Book Items Cons.'!N$5:N$3360,'J Book Items Cons.'!E$5:E$3360,6,'J Book Items Cons.'!S$5:S$3360,"",'J Book Items Cons.'!U$5:U$3360,"MSC",'J Book Items Cons.'!W$5:W$3360,"Combat Logistics Ships",'J Book Items Cons.'!R$5:R$3360,"",'J Book Items Cons.'!N$5:N$3360,"&lt;&gt;")+SUMIFS('J Book Items Cons.'!L$5:L$3360,'J Book Items Cons.'!E$5:E$3360,6,'J Book Items Cons.'!S$5:S$3360,"",'J Book Items Cons.'!U$5:U$3360,"MSC",'J Book Items Cons.'!W$5:W$3360,"Combat Logistics Ships",'J Book Items Cons.'!R$5:R$3360,"",'J Book Items Cons.'!N$5:N$3360,"")+SUMIFS('J Book Items Cons.'!R$5:R$3360,'J Book Items Cons.'!E$5:E$3360,6,'J Book Items Cons.'!S$5:S$3360,"[PARENT]",'J Book Items Cons.'!U$5:U$3360,"MSC",'J Book Items Cons.'!W$5:W$3360,"Combat Logistics Ships",'J Book Items Cons.'!R$5:R$3360,"&lt;&gt;")+SUMIFS('J Book Items Cons.'!N$5:N$3360,'J Book Items Cons.'!E$5:E$3360,6,'J Book Items Cons.'!S$5:S$3360,"[PARENT]",'J Book Items Cons.'!U$5:U$3360,"MSC",'J Book Items Cons.'!W$5:W$3360,"Combat Logistics Ships",'J Book Items Cons.'!R$5:R$3360,"",'J Book Items Cons.'!N$5:N$3360,"&lt;&gt;")+SUMIFS('J Book Items Cons.'!L$5:L$3360,'J Book Items Cons.'!E$5:E$3360,6,'J Book Items Cons.'!S$5:S$3360,"[PARENT]",'J Book Items Cons.'!U$5:U$3360,"MSC",'J Book Items Cons.'!W$5:W$3360,"Combat Logistics Ships",'J Book Items Cons.'!R$5:R$3360,"",'J Book Items Cons.'!N$5:N$3360,""))/G79)</f>
        <v>0</v>
      </c>
      <c r="H77" s="38">
        <f>IF(H79=0,0,(SUMIFS('J Book Items Cons.'!R$5:R$3360,'J Book Items Cons.'!E$5:E$3360,6,'J Book Items Cons.'!S$5:S$3360,"",'J Book Items Cons.'!U$5:U$3360,"USN",'J Book Items Cons.'!W$5:W$3360,"Unmanned Surface Vehicles",'J Book Items Cons.'!R$5:R$3360,"&lt;&gt;")+SUMIFS('J Book Items Cons.'!N$5:N$3360,'J Book Items Cons.'!E$5:E$3360,6,'J Book Items Cons.'!S$5:S$3360,"",'J Book Items Cons.'!U$5:U$3360,"USN",'J Book Items Cons.'!W$5:W$3360,"Unmanned Surface Vehicles",'J Book Items Cons.'!R$5:R$3360,"",'J Book Items Cons.'!N$5:N$3360,"&lt;&gt;")+SUMIFS('J Book Items Cons.'!L$5:L$3360,'J Book Items Cons.'!E$5:E$3360,6,'J Book Items Cons.'!S$5:S$3360,"",'J Book Items Cons.'!U$5:U$3360,"USN",'J Book Items Cons.'!W$5:W$3360,"Unmanned Surface Vehicles",'J Book Items Cons.'!R$5:R$3360,"",'J Book Items Cons.'!N$5:N$3360,"")+SUMIFS('J Book Items Cons.'!R$5:R$3360,'J Book Items Cons.'!E$5:E$3360,6,'J Book Items Cons.'!S$5:S$3360,"[PARENT]",'J Book Items Cons.'!U$5:U$3360,"USN",'J Book Items Cons.'!W$5:W$3360,"Unmanned Surface Vehicles",'J Book Items Cons.'!R$5:R$3360,"&lt;&gt;")+SUMIFS('J Book Items Cons.'!N$5:N$3360,'J Book Items Cons.'!E$5:E$3360,6,'J Book Items Cons.'!S$5:S$3360,"[PARENT]",'J Book Items Cons.'!U$5:U$3360,"USN",'J Book Items Cons.'!W$5:W$3360,"Unmanned Surface Vehicles",'J Book Items Cons.'!R$5:R$3360,"",'J Book Items Cons.'!N$5:N$3360,"&lt;&gt;")+SUMIFS('J Book Items Cons.'!L$5:L$3360,'J Book Items Cons.'!E$5:E$3360,6,'J Book Items Cons.'!S$5:S$3360,"[PARENT]",'J Book Items Cons.'!U$5:U$3360,"USN",'J Book Items Cons.'!W$5:W$3360,"Unmanned Surface Vehicles",'J Book Items Cons.'!R$5:R$3360,"",'J Book Items Cons.'!N$5:N$3360,""))/H79)</f>
        <v>0</v>
      </c>
      <c r="I77" s="38">
        <f>IF(I79=0,0,(SUMIFS('J Book Items Cons.'!R$5:R$3360,'J Book Items Cons.'!E$5:E$3360,6,'J Book Items Cons.'!S$5:S$3360,"",'J Book Items Cons.'!U$5:U$3360,"USN",'J Book Items Cons.'!W$5:W$3360,"Amphibious Warfare Craft",'J Book Items Cons.'!R$5:R$3360,"&lt;&gt;")+SUMIFS('J Book Items Cons.'!N$5:N$3360,'J Book Items Cons.'!E$5:E$3360,6,'J Book Items Cons.'!S$5:S$3360,"",'J Book Items Cons.'!U$5:U$3360,"USN",'J Book Items Cons.'!W$5:W$3360,"Amphibious Warfare Craft",'J Book Items Cons.'!R$5:R$3360,"",'J Book Items Cons.'!N$5:N$3360,"&lt;&gt;")+SUMIFS('J Book Items Cons.'!L$5:L$3360,'J Book Items Cons.'!E$5:E$3360,6,'J Book Items Cons.'!S$5:S$3360,"",'J Book Items Cons.'!U$5:U$3360,"USN",'J Book Items Cons.'!W$5:W$3360,"Amphibious Warfare Craft",'J Book Items Cons.'!R$5:R$3360,"",'J Book Items Cons.'!N$5:N$3360,"")+SUMIFS('J Book Items Cons.'!R$5:R$3360,'J Book Items Cons.'!E$5:E$3360,6,'J Book Items Cons.'!S$5:S$3360,"[PARENT]",'J Book Items Cons.'!U$5:U$3360,"USN",'J Book Items Cons.'!W$5:W$3360,"Amphibious Warfare Craft",'J Book Items Cons.'!R$5:R$3360,"&lt;&gt;")+SUMIFS('J Book Items Cons.'!N$5:N$3360,'J Book Items Cons.'!E$5:E$3360,6,'J Book Items Cons.'!S$5:S$3360,"[PARENT]",'J Book Items Cons.'!U$5:U$3360,"USN",'J Book Items Cons.'!W$5:W$3360,"Amphibious Warfare Craft",'J Book Items Cons.'!R$5:R$3360,"",'J Book Items Cons.'!N$5:N$3360,"&lt;&gt;")+SUMIFS('J Book Items Cons.'!L$5:L$3360,'J Book Items Cons.'!E$5:E$3360,6,'J Book Items Cons.'!S$5:S$3360,"[PARENT]",'J Book Items Cons.'!U$5:U$3360,"USN",'J Book Items Cons.'!W$5:W$3360,"Amphibious Warfare Craft",'J Book Items Cons.'!R$5:R$3360,"",'J Book Items Cons.'!N$5:N$3360,""))/I79)</f>
        <v>0</v>
      </c>
      <c r="J77" s="38">
        <f>IF(J79=0,0,(SUMIFS('J Book Items Cons.'!R$5:R$3360,'J Book Items Cons.'!E$5:E$3360,6,'J Book Items Cons.'!S$5:S$3360,"",'J Book Items Cons.'!U$5:U$3360,"MSC",'J Book Items Cons.'!W$5:W$3360,"Cargo &amp; Vehicle Cargo Ships",'J Book Items Cons.'!R$5:R$3360,"&lt;&gt;")+SUMIFS('J Book Items Cons.'!N$5:N$3360,'J Book Items Cons.'!E$5:E$3360,6,'J Book Items Cons.'!S$5:S$3360,"",'J Book Items Cons.'!U$5:U$3360,"MSC",'J Book Items Cons.'!W$5:W$3360,"Cargo &amp; Vehicle Cargo Ships",'J Book Items Cons.'!R$5:R$3360,"",'J Book Items Cons.'!N$5:N$3360,"&lt;&gt;")+SUMIFS('J Book Items Cons.'!L$5:L$3360,'J Book Items Cons.'!E$5:E$3360,6,'J Book Items Cons.'!S$5:S$3360,"",'J Book Items Cons.'!U$5:U$3360,"MSC",'J Book Items Cons.'!W$5:W$3360,"Cargo &amp; Vehicle Cargo Ships",'J Book Items Cons.'!R$5:R$3360,"",'J Book Items Cons.'!N$5:N$3360,"")+SUMIFS('J Book Items Cons.'!R$5:R$3360,'J Book Items Cons.'!E$5:E$3360,6,'J Book Items Cons.'!S$5:S$3360,"[PARENT]",'J Book Items Cons.'!U$5:U$3360,"MSC",'J Book Items Cons.'!W$5:W$3360,"Cargo &amp; Vehicle Cargo Ships",'J Book Items Cons.'!R$5:R$3360,"&lt;&gt;")+SUMIFS('J Book Items Cons.'!N$5:N$3360,'J Book Items Cons.'!E$5:E$3360,6,'J Book Items Cons.'!S$5:S$3360,"[PARENT]",'J Book Items Cons.'!U$5:U$3360,"MSC",'J Book Items Cons.'!W$5:W$3360,"Cargo &amp; Vehicle Cargo Ships",'J Book Items Cons.'!R$5:R$3360,"",'J Book Items Cons.'!N$5:N$3360,"&lt;&gt;")+SUMIFS('J Book Items Cons.'!L$5:L$3360,'J Book Items Cons.'!E$5:E$3360,6,'J Book Items Cons.'!S$5:S$3360,"[PARENT]",'J Book Items Cons.'!U$5:U$3360,"MSC",'J Book Items Cons.'!W$5:W$3360,"Cargo &amp; Vehicle Cargo Ships",'J Book Items Cons.'!R$5:R$3360,"",'J Book Items Cons.'!N$5:N$3360,""))/J79)</f>
        <v>0</v>
      </c>
      <c r="K77" s="38">
        <f>IF(K79=0,0,(SUMIFS('J Book Items Cons.'!R$5:R$3360,'J Book Items Cons.'!E$5:E$3360,6,'J Book Items Cons.'!S$5:S$3360,"",'J Book Items Cons.'!U$5:U$3360,"MSC",'J Book Items Cons.'!W$5:W$3360,"Surveillance Ships",'J Book Items Cons.'!R$5:R$3360,"&lt;&gt;")+SUMIFS('J Book Items Cons.'!N$5:N$3360,'J Book Items Cons.'!E$5:E$3360,6,'J Book Items Cons.'!S$5:S$3360,"",'J Book Items Cons.'!U$5:U$3360,"MSC",'J Book Items Cons.'!W$5:W$3360,"Surveillance Ships",'J Book Items Cons.'!R$5:R$3360,"",'J Book Items Cons.'!N$5:N$3360,"&lt;&gt;")+SUMIFS('J Book Items Cons.'!L$5:L$3360,'J Book Items Cons.'!E$5:E$3360,6,'J Book Items Cons.'!S$5:S$3360,"",'J Book Items Cons.'!U$5:U$3360,"MSC",'J Book Items Cons.'!W$5:W$3360,"Surveillance Ships",'J Book Items Cons.'!R$5:R$3360,"",'J Book Items Cons.'!N$5:N$3360,"")+SUMIFS('J Book Items Cons.'!R$5:R$3360,'J Book Items Cons.'!E$5:E$3360,6,'J Book Items Cons.'!S$5:S$3360,"[PARENT]",'J Book Items Cons.'!U$5:U$3360,"MSC",'J Book Items Cons.'!W$5:W$3360,"Surveillance Ships",'J Book Items Cons.'!R$5:R$3360,"&lt;&gt;")+SUMIFS('J Book Items Cons.'!N$5:N$3360,'J Book Items Cons.'!E$5:E$3360,6,'J Book Items Cons.'!S$5:S$3360,"[PARENT]",'J Book Items Cons.'!U$5:U$3360,"MSC",'J Book Items Cons.'!W$5:W$3360,"Surveillance Ships",'J Book Items Cons.'!R$5:R$3360,"",'J Book Items Cons.'!N$5:N$3360,"&lt;&gt;")+SUMIFS('J Book Items Cons.'!L$5:L$3360,'J Book Items Cons.'!E$5:E$3360,6,'J Book Items Cons.'!S$5:S$3360,"[PARENT]",'J Book Items Cons.'!U$5:U$3360,"MSC",'J Book Items Cons.'!W$5:W$3360,"Surveillance Ships",'J Book Items Cons.'!R$5:R$3360,"",'J Book Items Cons.'!N$5:N$3360,""))/K79)</f>
        <v>0</v>
      </c>
      <c r="L77" s="38">
        <f>IF(L79=0,0,(SUMIFS('J Book Items Cons.'!R$5:R$3360,'J Book Items Cons.'!E$5:E$3360,6,'J Book Items Cons.'!S$5:S$3360,"",'J Book Items Cons.'!U$5:U$3360,"USN",'J Book Items Cons.'!W$5:W$3360,"Unmanned Undersea Vehicles",'J Book Items Cons.'!R$5:R$3360,"&lt;&gt;")+SUMIFS('J Book Items Cons.'!N$5:N$3360,'J Book Items Cons.'!E$5:E$3360,6,'J Book Items Cons.'!S$5:S$3360,"",'J Book Items Cons.'!U$5:U$3360,"USN",'J Book Items Cons.'!W$5:W$3360,"Unmanned Undersea Vehicles",'J Book Items Cons.'!R$5:R$3360,"",'J Book Items Cons.'!N$5:N$3360,"&lt;&gt;")+SUMIFS('J Book Items Cons.'!L$5:L$3360,'J Book Items Cons.'!E$5:E$3360,6,'J Book Items Cons.'!S$5:S$3360,"",'J Book Items Cons.'!U$5:U$3360,"USN",'J Book Items Cons.'!W$5:W$3360,"Unmanned Undersea Vehicles",'J Book Items Cons.'!R$5:R$3360,"",'J Book Items Cons.'!N$5:N$3360,"")+SUMIFS('J Book Items Cons.'!R$5:R$3360,'J Book Items Cons.'!E$5:E$3360,6,'J Book Items Cons.'!S$5:S$3360,"[PARENT]",'J Book Items Cons.'!U$5:U$3360,"USN",'J Book Items Cons.'!W$5:W$3360,"Unmanned Undersea Vehicles",'J Book Items Cons.'!R$5:R$3360,"&lt;&gt;")+SUMIFS('J Book Items Cons.'!N$5:N$3360,'J Book Items Cons.'!E$5:E$3360,6,'J Book Items Cons.'!S$5:S$3360,"[PARENT]",'J Book Items Cons.'!U$5:U$3360,"USN",'J Book Items Cons.'!W$5:W$3360,"Unmanned Undersea Vehicles",'J Book Items Cons.'!R$5:R$3360,"",'J Book Items Cons.'!N$5:N$3360,"&lt;&gt;")+SUMIFS('J Book Items Cons.'!L$5:L$3360,'J Book Items Cons.'!E$5:E$3360,6,'J Book Items Cons.'!S$5:S$3360,"[PARENT]",'J Book Items Cons.'!U$5:U$3360,"USN",'J Book Items Cons.'!W$5:W$3360,"Unmanned Undersea Vehicles",'J Book Items Cons.'!R$5:R$3360,"",'J Book Items Cons.'!N$5:N$3360,""))/L79)</f>
        <v>0</v>
      </c>
      <c r="M77" s="38">
        <f>IF(M79=0,0,(SUMIFS('J Book Items Cons.'!R$5:R$3360,'J Book Items Cons.'!E$5:E$3360,6,'J Book Items Cons.'!S$5:S$3360,"",'J Book Items Cons.'!U$5:U$3360,"USN",'J Book Items Cons.'!W$5:W$3360,"Command Ships",'J Book Items Cons.'!R$5:R$3360,"&lt;&gt;")+SUMIFS('J Book Items Cons.'!N$5:N$3360,'J Book Items Cons.'!E$5:E$3360,6,'J Book Items Cons.'!S$5:S$3360,"",'J Book Items Cons.'!U$5:U$3360,"USN",'J Book Items Cons.'!W$5:W$3360,"Command Ships",'J Book Items Cons.'!R$5:R$3360,"",'J Book Items Cons.'!N$5:N$3360,"&lt;&gt;")+SUMIFS('J Book Items Cons.'!L$5:L$3360,'J Book Items Cons.'!E$5:E$3360,6,'J Book Items Cons.'!S$5:S$3360,"",'J Book Items Cons.'!U$5:U$3360,"USN",'J Book Items Cons.'!W$5:W$3360,"Command Ships",'J Book Items Cons.'!R$5:R$3360,"",'J Book Items Cons.'!N$5:N$3360,"")+SUMIFS('J Book Items Cons.'!R$5:R$3360,'J Book Items Cons.'!E$5:E$3360,6,'J Book Items Cons.'!S$5:S$3360,"[PARENT]",'J Book Items Cons.'!U$5:U$3360,"USN",'J Book Items Cons.'!W$5:W$3360,"Command Ships",'J Book Items Cons.'!R$5:R$3360,"&lt;&gt;")+SUMIFS('J Book Items Cons.'!N$5:N$3360,'J Book Items Cons.'!E$5:E$3360,6,'J Book Items Cons.'!S$5:S$3360,"[PARENT]",'J Book Items Cons.'!U$5:U$3360,"USN",'J Book Items Cons.'!W$5:W$3360,"Command Ships",'J Book Items Cons.'!R$5:R$3360,"",'J Book Items Cons.'!N$5:N$3360,"&lt;&gt;")+SUMIFS('J Book Items Cons.'!L$5:L$3360,'J Book Items Cons.'!E$5:E$3360,6,'J Book Items Cons.'!S$5:S$3360,"[PARENT]",'J Book Items Cons.'!U$5:U$3360,"USN",'J Book Items Cons.'!W$5:W$3360,"Command Ships",'J Book Items Cons.'!R$5:R$3360,"",'J Book Items Cons.'!N$5:N$3360,""))/M79)</f>
        <v>0</v>
      </c>
      <c r="N77" s="39">
        <f>IF(N79=0,0,(SUMIFS('J Book Items Cons.'!R$5:R$3360,'J Book Items Cons.'!E$5:E$3360,6,'J Book Items Cons.'!S$5:S$3360,"",'J Book Items Cons.'!U$5:U$3360,"USN",'J Book Items Cons.'!W$5:W$3360,"Mine Warfare",'J Book Items Cons.'!R$5:R$3360,"&lt;&gt;")+SUMIFS('J Book Items Cons.'!N$5:N$3360,'J Book Items Cons.'!E$5:E$3360,6,'J Book Items Cons.'!S$5:S$3360,"",'J Book Items Cons.'!U$5:U$3360,"USN",'J Book Items Cons.'!W$5:W$3360,"Mine Warfare",'J Book Items Cons.'!R$5:R$3360,"",'J Book Items Cons.'!N$5:N$3360,"&lt;&gt;")+SUMIFS('J Book Items Cons.'!L$5:L$3360,'J Book Items Cons.'!E$5:E$3360,6,'J Book Items Cons.'!S$5:S$3360,"",'J Book Items Cons.'!U$5:U$3360,"USN",'J Book Items Cons.'!W$5:W$3360,"Mine Warfare",'J Book Items Cons.'!R$5:R$3360,"",'J Book Items Cons.'!N$5:N$3360,"")+SUMIFS('J Book Items Cons.'!R$5:R$3360,'J Book Items Cons.'!E$5:E$3360,6,'J Book Items Cons.'!S$5:S$3360,"[PARENT]",'J Book Items Cons.'!U$5:U$3360,"USN",'J Book Items Cons.'!W$5:W$3360,"Mine Warfare",'J Book Items Cons.'!R$5:R$3360,"&lt;&gt;")+SUMIFS('J Book Items Cons.'!N$5:N$3360,'J Book Items Cons.'!E$5:E$3360,6,'J Book Items Cons.'!S$5:S$3360,"[PARENT]",'J Book Items Cons.'!U$5:U$3360,"USN",'J Book Items Cons.'!W$5:W$3360,"Mine Warfare",'J Book Items Cons.'!R$5:R$3360,"",'J Book Items Cons.'!N$5:N$3360,"&lt;&gt;")+SUMIFS('J Book Items Cons.'!L$5:L$3360,'J Book Items Cons.'!E$5:E$3360,6,'J Book Items Cons.'!S$5:S$3360,"[PARENT]",'J Book Items Cons.'!U$5:U$3360,"USN",'J Book Items Cons.'!W$5:W$3360,"Mine Warfare",'J Book Items Cons.'!R$5:R$3360,"",'J Book Items Cons.'!N$5:N$3360,""))/N79)</f>
        <v>0</v>
      </c>
      <c r="O77" s="37">
        <f>IF(O79=0,0,(SUMIFS('J Book Items Cons.'!R$5:R$3360,'J Book Items Cons.'!E$5:E$3360,6,'J Book Items Cons.'!S$5:S$3360,"",'J Book Items Cons.'!U$5:U$3360,"USCG",'J Book Items Cons.'!W$5:W$3360,"Offshore Patrol Cutter",'J Book Items Cons.'!R$5:R$3360,"&lt;&gt;")+SUMIFS('J Book Items Cons.'!N$5:N$3360,'J Book Items Cons.'!E$5:E$3360,6,'J Book Items Cons.'!S$5:S$3360,"",'J Book Items Cons.'!U$5:U$3360,"USCG",'J Book Items Cons.'!W$5:W$3360,"Offshore Patrol Cutter",'J Book Items Cons.'!R$5:R$3360,"",'J Book Items Cons.'!N$5:N$3360,"&lt;&gt;")+SUMIFS('J Book Items Cons.'!L$5:L$3360,'J Book Items Cons.'!E$5:E$3360,6,'J Book Items Cons.'!S$5:S$3360,"",'J Book Items Cons.'!U$5:U$3360,"USCG",'J Book Items Cons.'!W$5:W$3360,"Offshore Patrol Cutter",'J Book Items Cons.'!R$5:R$3360,"",'J Book Items Cons.'!N$5:N$3360,"")+SUMIFS('J Book Items Cons.'!R$5:R$3360,'J Book Items Cons.'!E$5:E$3360,6,'J Book Items Cons.'!S$5:S$3360,"[PARENT]",'J Book Items Cons.'!U$5:U$3360,"USCG",'J Book Items Cons.'!W$5:W$3360,"Offshore Patrol Cutter",'J Book Items Cons.'!R$5:R$3360,"&lt;&gt;")+SUMIFS('J Book Items Cons.'!N$5:N$3360,'J Book Items Cons.'!E$5:E$3360,6,'J Book Items Cons.'!S$5:S$3360,"[PARENT]",'J Book Items Cons.'!U$5:U$3360,"USCG",'J Book Items Cons.'!W$5:W$3360,"Offshore Patrol Cutter",'J Book Items Cons.'!R$5:R$3360,"",'J Book Items Cons.'!N$5:N$3360,"&lt;&gt;")+SUMIFS('J Book Items Cons.'!L$5:L$3360,'J Book Items Cons.'!E$5:E$3360,6,'J Book Items Cons.'!S$5:S$3360,"[PARENT]",'J Book Items Cons.'!U$5:U$3360,"USCG",'J Book Items Cons.'!W$5:W$3360,"Offshore Patrol Cutter",'J Book Items Cons.'!R$5:R$3360,"",'J Book Items Cons.'!N$5:N$3360,""))/O79)</f>
        <v>0</v>
      </c>
      <c r="P77" s="38">
        <f>IF(P79=0,0,(SUMIFS('J Book Items Cons.'!R$5:R$3360,'J Book Items Cons.'!E$5:E$3360,6,'J Book Items Cons.'!S$5:S$3360,"",'J Book Items Cons.'!U$5:U$3360,"USCG",'J Book Items Cons.'!W$5:W$3360,"Fast Response Cutters",'J Book Items Cons.'!R$5:R$3360,"&lt;&gt;")+SUMIFS('J Book Items Cons.'!N$5:N$3360,'J Book Items Cons.'!E$5:E$3360,6,'J Book Items Cons.'!S$5:S$3360,"",'J Book Items Cons.'!U$5:U$3360,"USCG",'J Book Items Cons.'!W$5:W$3360,"Fast Response Cutters",'J Book Items Cons.'!R$5:R$3360,"",'J Book Items Cons.'!N$5:N$3360,"&lt;&gt;")+SUMIFS('J Book Items Cons.'!L$5:L$3360,'J Book Items Cons.'!E$5:E$3360,6,'J Book Items Cons.'!S$5:S$3360,"",'J Book Items Cons.'!U$5:U$3360,"USCG",'J Book Items Cons.'!W$5:W$3360,"Fast Response Cutters",'J Book Items Cons.'!R$5:R$3360,"",'J Book Items Cons.'!N$5:N$3360,"")+SUMIFS('J Book Items Cons.'!R$5:R$3360,'J Book Items Cons.'!E$5:E$3360,6,'J Book Items Cons.'!S$5:S$3360,"[PARENT]",'J Book Items Cons.'!U$5:U$3360,"USCG",'J Book Items Cons.'!W$5:W$3360,"Fast Response Cutters",'J Book Items Cons.'!R$5:R$3360,"&lt;&gt;")+SUMIFS('J Book Items Cons.'!N$5:N$3360,'J Book Items Cons.'!E$5:E$3360,6,'J Book Items Cons.'!S$5:S$3360,"[PARENT]",'J Book Items Cons.'!U$5:U$3360,"USCG",'J Book Items Cons.'!W$5:W$3360,"Fast Response Cutters",'J Book Items Cons.'!R$5:R$3360,"",'J Book Items Cons.'!N$5:N$3360,"&lt;&gt;")+SUMIFS('J Book Items Cons.'!L$5:L$3360,'J Book Items Cons.'!E$5:E$3360,6,'J Book Items Cons.'!S$5:S$3360,"[PARENT]",'J Book Items Cons.'!U$5:U$3360,"USCG",'J Book Items Cons.'!W$5:W$3360,"Fast Response Cutters",'J Book Items Cons.'!R$5:R$3360,"",'J Book Items Cons.'!N$5:N$3360,""))/P79)</f>
        <v>0</v>
      </c>
      <c r="Q77" s="38">
        <f>IF(Q79=0,0,(SUMIFS('J Book Items Cons.'!R$5:R$3360,'J Book Items Cons.'!E$5:E$3360,6,'J Book Items Cons.'!S$5:S$3360,"",'J Book Items Cons.'!U$5:U$3360,"USCG",'J Book Items Cons.'!W$5:W$3360,"Icebreakers, Oceangoing",'J Book Items Cons.'!R$5:R$3360,"&lt;&gt;")+SUMIFS('J Book Items Cons.'!N$5:N$3360,'J Book Items Cons.'!E$5:E$3360,6,'J Book Items Cons.'!S$5:S$3360,"",'J Book Items Cons.'!U$5:U$3360,"USCG",'J Book Items Cons.'!W$5:W$3360,"Icebreakers, Oceangoing",'J Book Items Cons.'!R$5:R$3360,"",'J Book Items Cons.'!N$5:N$3360,"&lt;&gt;")+SUMIFS('J Book Items Cons.'!L$5:L$3360,'J Book Items Cons.'!E$5:E$3360,6,'J Book Items Cons.'!S$5:S$3360,"",'J Book Items Cons.'!U$5:U$3360,"USCG",'J Book Items Cons.'!W$5:W$3360,"Icebreakers, Oceangoing",'J Book Items Cons.'!R$5:R$3360,"",'J Book Items Cons.'!N$5:N$3360,"")+SUMIFS('J Book Items Cons.'!R$5:R$3360,'J Book Items Cons.'!E$5:E$3360,6,'J Book Items Cons.'!S$5:S$3360,"[PARENT]",'J Book Items Cons.'!U$5:U$3360,"USCG",'J Book Items Cons.'!W$5:W$3360,"Icebreakers, Oceangoing",'J Book Items Cons.'!R$5:R$3360,"&lt;&gt;")+SUMIFS('J Book Items Cons.'!N$5:N$3360,'J Book Items Cons.'!E$5:E$3360,6,'J Book Items Cons.'!S$5:S$3360,"[PARENT]",'J Book Items Cons.'!U$5:U$3360,"USCG",'J Book Items Cons.'!W$5:W$3360,"Icebreakers, Oceangoing",'J Book Items Cons.'!R$5:R$3360,"",'J Book Items Cons.'!N$5:N$3360,"&lt;&gt;")+SUMIFS('J Book Items Cons.'!L$5:L$3360,'J Book Items Cons.'!E$5:E$3360,6,'J Book Items Cons.'!S$5:S$3360,"[PARENT]",'J Book Items Cons.'!U$5:U$3360,"USCG",'J Book Items Cons.'!W$5:W$3360,"Icebreakers, Oceangoing",'J Book Items Cons.'!R$5:R$3360,"",'J Book Items Cons.'!N$5:N$3360,""))/Q79)</f>
        <v>0</v>
      </c>
      <c r="R77" s="38">
        <f>IF(R79=0,0,(SUMIFS('J Book Items Cons.'!R$5:R$3360,'J Book Items Cons.'!E$5:E$3360,6,'J Book Items Cons.'!S$5:S$3360,"",'J Book Items Cons.'!U$5:U$3360,"USCG",'J Book Items Cons.'!W$5:W$3360,"Waterways Commerce Cutters",'J Book Items Cons.'!R$5:R$3360,"&lt;&gt;")+SUMIFS('J Book Items Cons.'!N$5:N$3360,'J Book Items Cons.'!E$5:E$3360,6,'J Book Items Cons.'!S$5:S$3360,"",'J Book Items Cons.'!U$5:U$3360,"USCG",'J Book Items Cons.'!W$5:W$3360,"Waterways Commerce Cutters",'J Book Items Cons.'!R$5:R$3360,"",'J Book Items Cons.'!N$5:N$3360,"&lt;&gt;")+SUMIFS('J Book Items Cons.'!L$5:L$3360,'J Book Items Cons.'!E$5:E$3360,6,'J Book Items Cons.'!S$5:S$3360,"",'J Book Items Cons.'!U$5:U$3360,"USCG",'J Book Items Cons.'!W$5:W$3360,"Waterways Commerce Cutters",'J Book Items Cons.'!R$5:R$3360,"",'J Book Items Cons.'!N$5:N$3360,"")+SUMIFS('J Book Items Cons.'!R$5:R$3360,'J Book Items Cons.'!E$5:E$3360,6,'J Book Items Cons.'!S$5:S$3360,"[PARENT]",'J Book Items Cons.'!U$5:U$3360,"USCG",'J Book Items Cons.'!W$5:W$3360,"Waterways Commerce Cutters",'J Book Items Cons.'!R$5:R$3360,"&lt;&gt;")+SUMIFS('J Book Items Cons.'!N$5:N$3360,'J Book Items Cons.'!E$5:E$3360,6,'J Book Items Cons.'!S$5:S$3360,"[PARENT]",'J Book Items Cons.'!U$5:U$3360,"USCG",'J Book Items Cons.'!W$5:W$3360,"Waterways Commerce Cutters",'J Book Items Cons.'!R$5:R$3360,"",'J Book Items Cons.'!N$5:N$3360,"&lt;&gt;")+SUMIFS('J Book Items Cons.'!L$5:L$3360,'J Book Items Cons.'!E$5:E$3360,6,'J Book Items Cons.'!S$5:S$3360,"[PARENT]",'J Book Items Cons.'!U$5:U$3360,"USCG",'J Book Items Cons.'!W$5:W$3360,"Waterways Commerce Cutters",'J Book Items Cons.'!R$5:R$3360,"",'J Book Items Cons.'!N$5:N$3360,""))/R79)</f>
        <v>0</v>
      </c>
      <c r="S77" s="39">
        <f>IF(S79=0,0,(SUMIFS('J Book Items Cons.'!R$5:R$3360,'J Book Items Cons.'!E$5:E$3360,6,'J Book Items Cons.'!S$5:S$3360,"",'J Book Items Cons.'!U$5:U$3360,"USCG",'J Book Items Cons.'!W$5:W$3360,"National Security Cutters",'J Book Items Cons.'!R$5:R$3360,"&lt;&gt;")+SUMIFS('J Book Items Cons.'!N$5:N$3360,'J Book Items Cons.'!E$5:E$3360,6,'J Book Items Cons.'!S$5:S$3360,"",'J Book Items Cons.'!U$5:U$3360,"USCG",'J Book Items Cons.'!W$5:W$3360,"National Security Cutters",'J Book Items Cons.'!R$5:R$3360,"",'J Book Items Cons.'!N$5:N$3360,"&lt;&gt;")+SUMIFS('J Book Items Cons.'!L$5:L$3360,'J Book Items Cons.'!E$5:E$3360,6,'J Book Items Cons.'!S$5:S$3360,"",'J Book Items Cons.'!U$5:U$3360,"USCG",'J Book Items Cons.'!W$5:W$3360,"National Security Cutters",'J Book Items Cons.'!R$5:R$3360,"",'J Book Items Cons.'!N$5:N$3360,"")+SUMIFS('J Book Items Cons.'!R$5:R$3360,'J Book Items Cons.'!E$5:E$3360,6,'J Book Items Cons.'!S$5:S$3360,"[PARENT]",'J Book Items Cons.'!U$5:U$3360,"USCG",'J Book Items Cons.'!W$5:W$3360,"National Security Cutters",'J Book Items Cons.'!R$5:R$3360,"&lt;&gt;")+SUMIFS('J Book Items Cons.'!N$5:N$3360,'J Book Items Cons.'!E$5:E$3360,6,'J Book Items Cons.'!S$5:S$3360,"[PARENT]",'J Book Items Cons.'!U$5:U$3360,"USCG",'J Book Items Cons.'!W$5:W$3360,"National Security Cutters",'J Book Items Cons.'!R$5:R$3360,"",'J Book Items Cons.'!N$5:N$3360,"&lt;&gt;")+SUMIFS('J Book Items Cons.'!L$5:L$3360,'J Book Items Cons.'!E$5:E$3360,6,'J Book Items Cons.'!S$5:S$3360,"[PARENT]",'J Book Items Cons.'!U$5:U$3360,"USCG",'J Book Items Cons.'!W$5:W$3360,"National Security Cutters",'J Book Items Cons.'!R$5:R$3360,"",'J Book Items Cons.'!N$5:N$3360,""))/S79)</f>
        <v>0</v>
      </c>
      <c r="T77" s="38">
        <f t="shared" si="7"/>
        <v>2.3353098305142119E-3</v>
      </c>
    </row>
    <row r="78" spans="1:42" x14ac:dyDescent="0.15">
      <c r="A78" s="7" t="s">
        <v>5665</v>
      </c>
      <c r="B78" s="37">
        <f>IF(B79=0,0,(SUMIFS('J Book Items Cons.'!R$5:R$3360,'J Book Items Cons.'!E$5:E$3360,7,'J Book Items Cons.'!S$5:S$3360,"",'J Book Items Cons.'!U$5:U$3360,"USN",'J Book Items Cons.'!W$5:W$3360,"Submarines",'J Book Items Cons.'!R$5:R$3360,"&lt;&gt;")+SUMIFS('J Book Items Cons.'!N$5:N$3360,'J Book Items Cons.'!E$5:E$3360,7,'J Book Items Cons.'!S$5:S$3360,"",'J Book Items Cons.'!U$5:U$3360,"USN",'J Book Items Cons.'!W$5:W$3360,"Submarines",'J Book Items Cons.'!R$5:R$3360,"",'J Book Items Cons.'!N$5:N$3360,"&lt;&gt;")+SUMIFS('J Book Items Cons.'!L$5:L$3360,'J Book Items Cons.'!E$5:E$3360,7,'J Book Items Cons.'!S$5:S$3360,"",'J Book Items Cons.'!U$5:U$3360,"USN",'J Book Items Cons.'!W$5:W$3360,"Submarines",'J Book Items Cons.'!R$5:R$3360,"",'J Book Items Cons.'!N$5:N$3360,"")+SUMIFS('J Book Items Cons.'!R$5:R$3360,'J Book Items Cons.'!E$5:E$3360,7,'J Book Items Cons.'!S$5:S$3360,"[PARENT]",'J Book Items Cons.'!U$5:U$3360,"USN",'J Book Items Cons.'!W$5:W$3360,"Submarines",'J Book Items Cons.'!R$5:R$3360,"&lt;&gt;")+SUMIFS('J Book Items Cons.'!N$5:N$3360,'J Book Items Cons.'!E$5:E$3360,7,'J Book Items Cons.'!S$5:S$3360,"[PARENT]",'J Book Items Cons.'!U$5:U$3360,"USN",'J Book Items Cons.'!W$5:W$3360,"Submarines",'J Book Items Cons.'!R$5:R$3360,"",'J Book Items Cons.'!N$5:N$3360,"&lt;&gt;")+SUMIFS('J Book Items Cons.'!L$5:L$3360,'J Book Items Cons.'!E$5:E$3360,7,'J Book Items Cons.'!S$5:S$3360,"[PARENT]",'J Book Items Cons.'!U$5:U$3360,"USN",'J Book Items Cons.'!W$5:W$3360,"Submarines",'J Book Items Cons.'!R$5:R$3360,"",'J Book Items Cons.'!N$5:N$3360,""))/B79)</f>
        <v>0</v>
      </c>
      <c r="C78" s="38">
        <f>IF(C79=0,0,(SUMIFS('J Book Items Cons.'!R$5:R$3360,'J Book Items Cons.'!E$5:E$3360,7,'J Book Items Cons.'!S$5:S$3360,"",'J Book Items Cons.'!U$5:U$3360,"USN",'J Book Items Cons.'!W$5:W$3360,"Surface Combatants",'J Book Items Cons.'!R$5:R$3360,"&lt;&gt;")+SUMIFS('J Book Items Cons.'!N$5:N$3360,'J Book Items Cons.'!E$5:E$3360,7,'J Book Items Cons.'!S$5:S$3360,"",'J Book Items Cons.'!U$5:U$3360,"USN",'J Book Items Cons.'!W$5:W$3360,"Surface Combatants",'J Book Items Cons.'!R$5:R$3360,"",'J Book Items Cons.'!N$5:N$3360,"&lt;&gt;")+SUMIFS('J Book Items Cons.'!L$5:L$3360,'J Book Items Cons.'!E$5:E$3360,7,'J Book Items Cons.'!S$5:S$3360,"",'J Book Items Cons.'!U$5:U$3360,"USN",'J Book Items Cons.'!W$5:W$3360,"Surface Combatants",'J Book Items Cons.'!R$5:R$3360,"",'J Book Items Cons.'!N$5:N$3360,"")+SUMIFS('J Book Items Cons.'!R$5:R$3360,'J Book Items Cons.'!E$5:E$3360,7,'J Book Items Cons.'!S$5:S$3360,"[PARENT]",'J Book Items Cons.'!U$5:U$3360,"USN",'J Book Items Cons.'!W$5:W$3360,"Surface Combatants",'J Book Items Cons.'!R$5:R$3360,"&lt;&gt;")+SUMIFS('J Book Items Cons.'!N$5:N$3360,'J Book Items Cons.'!E$5:E$3360,7,'J Book Items Cons.'!S$5:S$3360,"[PARENT]",'J Book Items Cons.'!U$5:U$3360,"USN",'J Book Items Cons.'!W$5:W$3360,"Surface Combatants",'J Book Items Cons.'!R$5:R$3360,"",'J Book Items Cons.'!N$5:N$3360,"&lt;&gt;")+SUMIFS('J Book Items Cons.'!L$5:L$3360,'J Book Items Cons.'!E$5:E$3360,7,'J Book Items Cons.'!S$5:S$3360,"[PARENT]",'J Book Items Cons.'!U$5:U$3360,"USN",'J Book Items Cons.'!W$5:W$3360,"Surface Combatants",'J Book Items Cons.'!R$5:R$3360,"",'J Book Items Cons.'!N$5:N$3360,""))/C79)</f>
        <v>0</v>
      </c>
      <c r="D78" s="38">
        <f>IF(D79=0,0,(SUMIFS('J Book Items Cons.'!R$5:R$3360,'J Book Items Cons.'!E$5:E$3360,7,'J Book Items Cons.'!S$5:S$3360,"",'J Book Items Cons.'!U$5:U$3360,"USN",'J Book Items Cons.'!W$5:W$3360,"Aircraft Carriers",'J Book Items Cons.'!R$5:R$3360,"&lt;&gt;")+SUMIFS('J Book Items Cons.'!N$5:N$3360,'J Book Items Cons.'!E$5:E$3360,7,'J Book Items Cons.'!S$5:S$3360,"",'J Book Items Cons.'!U$5:U$3360,"USN",'J Book Items Cons.'!W$5:W$3360,"Aircraft Carriers",'J Book Items Cons.'!R$5:R$3360,"",'J Book Items Cons.'!N$5:N$3360,"&lt;&gt;")+SUMIFS('J Book Items Cons.'!L$5:L$3360,'J Book Items Cons.'!E$5:E$3360,7,'J Book Items Cons.'!S$5:S$3360,"",'J Book Items Cons.'!U$5:U$3360,"USN",'J Book Items Cons.'!W$5:W$3360,"Aircraft Carriers",'J Book Items Cons.'!R$5:R$3360,"",'J Book Items Cons.'!N$5:N$3360,"")+SUMIFS('J Book Items Cons.'!R$5:R$3360,'J Book Items Cons.'!E$5:E$3360,7,'J Book Items Cons.'!S$5:S$3360,"[PARENT]",'J Book Items Cons.'!U$5:U$3360,"USN",'J Book Items Cons.'!W$5:W$3360,"Aircraft Carriers",'J Book Items Cons.'!R$5:R$3360,"&lt;&gt;")+SUMIFS('J Book Items Cons.'!N$5:N$3360,'J Book Items Cons.'!E$5:E$3360,7,'J Book Items Cons.'!S$5:S$3360,"[PARENT]",'J Book Items Cons.'!U$5:U$3360,"USN",'J Book Items Cons.'!W$5:W$3360,"Aircraft Carriers",'J Book Items Cons.'!R$5:R$3360,"",'J Book Items Cons.'!N$5:N$3360,"&lt;&gt;")+SUMIFS('J Book Items Cons.'!L$5:L$3360,'J Book Items Cons.'!E$5:E$3360,7,'J Book Items Cons.'!S$5:S$3360,"[PARENT]",'J Book Items Cons.'!U$5:U$3360,"USN",'J Book Items Cons.'!W$5:W$3360,"Aircraft Carriers",'J Book Items Cons.'!R$5:R$3360,"",'J Book Items Cons.'!N$5:N$3360,""))/D79)</f>
        <v>0</v>
      </c>
      <c r="E78" s="38">
        <f>IF(E79=0,0,(SUMIFS('J Book Items Cons.'!R$5:R$3360,'J Book Items Cons.'!E$5:E$3360,7,'J Book Items Cons.'!S$5:S$3360,"",'J Book Items Cons.'!U$5:U$3360,"USN",'J Book Items Cons.'!W$5:W$3360,"Amphibious Warfare Ships",'J Book Items Cons.'!R$5:R$3360,"&lt;&gt;")+SUMIFS('J Book Items Cons.'!N$5:N$3360,'J Book Items Cons.'!E$5:E$3360,7,'J Book Items Cons.'!S$5:S$3360,"",'J Book Items Cons.'!U$5:U$3360,"USN",'J Book Items Cons.'!W$5:W$3360,"Amphibious Warfare Ships",'J Book Items Cons.'!R$5:R$3360,"",'J Book Items Cons.'!N$5:N$3360,"&lt;&gt;")+SUMIFS('J Book Items Cons.'!L$5:L$3360,'J Book Items Cons.'!E$5:E$3360,7,'J Book Items Cons.'!S$5:S$3360,"",'J Book Items Cons.'!U$5:U$3360,"USN",'J Book Items Cons.'!W$5:W$3360,"Amphibious Warfare Ships",'J Book Items Cons.'!R$5:R$3360,"",'J Book Items Cons.'!N$5:N$3360,"")+SUMIFS('J Book Items Cons.'!R$5:R$3360,'J Book Items Cons.'!E$5:E$3360,7,'J Book Items Cons.'!S$5:S$3360,"[PARENT]",'J Book Items Cons.'!U$5:U$3360,"USN",'J Book Items Cons.'!W$5:W$3360,"Amphibious Warfare Ships",'J Book Items Cons.'!R$5:R$3360,"&lt;&gt;")+SUMIFS('J Book Items Cons.'!N$5:N$3360,'J Book Items Cons.'!E$5:E$3360,7,'J Book Items Cons.'!S$5:S$3360,"[PARENT]",'J Book Items Cons.'!U$5:U$3360,"USN",'J Book Items Cons.'!W$5:W$3360,"Amphibious Warfare Ships",'J Book Items Cons.'!R$5:R$3360,"",'J Book Items Cons.'!N$5:N$3360,"&lt;&gt;")+SUMIFS('J Book Items Cons.'!L$5:L$3360,'J Book Items Cons.'!E$5:E$3360,7,'J Book Items Cons.'!S$5:S$3360,"[PARENT]",'J Book Items Cons.'!U$5:U$3360,"USN",'J Book Items Cons.'!W$5:W$3360,"Amphibious Warfare Ships",'J Book Items Cons.'!R$5:R$3360,"",'J Book Items Cons.'!N$5:N$3360,""))/E79)</f>
        <v>0</v>
      </c>
      <c r="F78" s="38">
        <f>IF(F79=0,0,(SUMIFS('J Book Items Cons.'!R$5:R$3360,'J Book Items Cons.'!E$5:E$3360,7,'J Book Items Cons.'!S$5:S$3360,"",'J Book Items Cons.'!U$5:U$3360,"USN",'J Book Items Cons.'!W$5:W$3360,"Expeditionary &amp; Seabasing Ships",'J Book Items Cons.'!R$5:R$3360,"&lt;&gt;")+SUMIFS('J Book Items Cons.'!N$5:N$3360,'J Book Items Cons.'!E$5:E$3360,7,'J Book Items Cons.'!S$5:S$3360,"",'J Book Items Cons.'!U$5:U$3360,"USN",'J Book Items Cons.'!W$5:W$3360,"Expeditionary &amp; Seabasing Ships",'J Book Items Cons.'!R$5:R$3360,"",'J Book Items Cons.'!N$5:N$3360,"&lt;&gt;")+SUMIFS('J Book Items Cons.'!L$5:L$3360,'J Book Items Cons.'!E$5:E$3360,7,'J Book Items Cons.'!S$5:S$3360,"",'J Book Items Cons.'!U$5:U$3360,"USN",'J Book Items Cons.'!W$5:W$3360,"Expeditionary &amp; Seabasing Ships",'J Book Items Cons.'!R$5:R$3360,"",'J Book Items Cons.'!N$5:N$3360,"")+SUMIFS('J Book Items Cons.'!R$5:R$3360,'J Book Items Cons.'!E$5:E$3360,7,'J Book Items Cons.'!S$5:S$3360,"[PARENT]",'J Book Items Cons.'!U$5:U$3360,"USN",'J Book Items Cons.'!W$5:W$3360,"Expeditionary &amp; Seabasing Ships",'J Book Items Cons.'!R$5:R$3360,"&lt;&gt;")+SUMIFS('J Book Items Cons.'!N$5:N$3360,'J Book Items Cons.'!E$5:E$3360,7,'J Book Items Cons.'!S$5:S$3360,"[PARENT]",'J Book Items Cons.'!U$5:U$3360,"USN",'J Book Items Cons.'!W$5:W$3360,"Expeditionary &amp; Seabasing Ships",'J Book Items Cons.'!R$5:R$3360,"",'J Book Items Cons.'!N$5:N$3360,"&lt;&gt;")+SUMIFS('J Book Items Cons.'!L$5:L$3360,'J Book Items Cons.'!E$5:E$3360,7,'J Book Items Cons.'!S$5:S$3360,"[PARENT]",'J Book Items Cons.'!U$5:U$3360,"USN",'J Book Items Cons.'!W$5:W$3360,"Expeditionary &amp; Seabasing Ships",'J Book Items Cons.'!R$5:R$3360,"",'J Book Items Cons.'!N$5:N$3360,""))/F79)</f>
        <v>1.3473943934124082E-2</v>
      </c>
      <c r="G78" s="38">
        <f>IF(G79=0,0,(SUMIFS('J Book Items Cons.'!R$5:R$3360,'J Book Items Cons.'!E$5:E$3360,7,'J Book Items Cons.'!S$5:S$3360,"",'J Book Items Cons.'!U$5:U$3360,"MSC",'J Book Items Cons.'!W$5:W$3360,"Combat Logistics Ships",'J Book Items Cons.'!R$5:R$3360,"&lt;&gt;")+SUMIFS('J Book Items Cons.'!N$5:N$3360,'J Book Items Cons.'!E$5:E$3360,7,'J Book Items Cons.'!S$5:S$3360,"",'J Book Items Cons.'!U$5:U$3360,"MSC",'J Book Items Cons.'!W$5:W$3360,"Combat Logistics Ships",'J Book Items Cons.'!R$5:R$3360,"",'J Book Items Cons.'!N$5:N$3360,"&lt;&gt;")+SUMIFS('J Book Items Cons.'!L$5:L$3360,'J Book Items Cons.'!E$5:E$3360,7,'J Book Items Cons.'!S$5:S$3360,"",'J Book Items Cons.'!U$5:U$3360,"MSC",'J Book Items Cons.'!W$5:W$3360,"Combat Logistics Ships",'J Book Items Cons.'!R$5:R$3360,"",'J Book Items Cons.'!N$5:N$3360,"")+SUMIFS('J Book Items Cons.'!R$5:R$3360,'J Book Items Cons.'!E$5:E$3360,7,'J Book Items Cons.'!S$5:S$3360,"[PARENT]",'J Book Items Cons.'!U$5:U$3360,"MSC",'J Book Items Cons.'!W$5:W$3360,"Combat Logistics Ships",'J Book Items Cons.'!R$5:R$3360,"&lt;&gt;")+SUMIFS('J Book Items Cons.'!N$5:N$3360,'J Book Items Cons.'!E$5:E$3360,7,'J Book Items Cons.'!S$5:S$3360,"[PARENT]",'J Book Items Cons.'!U$5:U$3360,"MSC",'J Book Items Cons.'!W$5:W$3360,"Combat Logistics Ships",'J Book Items Cons.'!R$5:R$3360,"",'J Book Items Cons.'!N$5:N$3360,"&lt;&gt;")+SUMIFS('J Book Items Cons.'!L$5:L$3360,'J Book Items Cons.'!E$5:E$3360,7,'J Book Items Cons.'!S$5:S$3360,"[PARENT]",'J Book Items Cons.'!U$5:U$3360,"MSC",'J Book Items Cons.'!W$5:W$3360,"Combat Logistics Ships",'J Book Items Cons.'!R$5:R$3360,"",'J Book Items Cons.'!N$5:N$3360,""))/G79)</f>
        <v>0</v>
      </c>
      <c r="H78" s="38">
        <f>IF(H79=0,0,(SUMIFS('J Book Items Cons.'!R$5:R$3360,'J Book Items Cons.'!E$5:E$3360,7,'J Book Items Cons.'!S$5:S$3360,"",'J Book Items Cons.'!U$5:U$3360,"USN",'J Book Items Cons.'!W$5:W$3360,"Unmanned Surface Vehicles",'J Book Items Cons.'!R$5:R$3360,"&lt;&gt;")+SUMIFS('J Book Items Cons.'!N$5:N$3360,'J Book Items Cons.'!E$5:E$3360,7,'J Book Items Cons.'!S$5:S$3360,"",'J Book Items Cons.'!U$5:U$3360,"USN",'J Book Items Cons.'!W$5:W$3360,"Unmanned Surface Vehicles",'J Book Items Cons.'!R$5:R$3360,"",'J Book Items Cons.'!N$5:N$3360,"&lt;&gt;")+SUMIFS('J Book Items Cons.'!L$5:L$3360,'J Book Items Cons.'!E$5:E$3360,7,'J Book Items Cons.'!S$5:S$3360,"",'J Book Items Cons.'!U$5:U$3360,"USN",'J Book Items Cons.'!W$5:W$3360,"Unmanned Surface Vehicles",'J Book Items Cons.'!R$5:R$3360,"",'J Book Items Cons.'!N$5:N$3360,"")+SUMIFS('J Book Items Cons.'!R$5:R$3360,'J Book Items Cons.'!E$5:E$3360,7,'J Book Items Cons.'!S$5:S$3360,"[PARENT]",'J Book Items Cons.'!U$5:U$3360,"USN",'J Book Items Cons.'!W$5:W$3360,"Unmanned Surface Vehicles",'J Book Items Cons.'!R$5:R$3360,"&lt;&gt;")+SUMIFS('J Book Items Cons.'!N$5:N$3360,'J Book Items Cons.'!E$5:E$3360,7,'J Book Items Cons.'!S$5:S$3360,"[PARENT]",'J Book Items Cons.'!U$5:U$3360,"USN",'J Book Items Cons.'!W$5:W$3360,"Unmanned Surface Vehicles",'J Book Items Cons.'!R$5:R$3360,"",'J Book Items Cons.'!N$5:N$3360,"&lt;&gt;")+SUMIFS('J Book Items Cons.'!L$5:L$3360,'J Book Items Cons.'!E$5:E$3360,7,'J Book Items Cons.'!S$5:S$3360,"[PARENT]",'J Book Items Cons.'!U$5:U$3360,"USN",'J Book Items Cons.'!W$5:W$3360,"Unmanned Surface Vehicles",'J Book Items Cons.'!R$5:R$3360,"",'J Book Items Cons.'!N$5:N$3360,""))/H79)</f>
        <v>0</v>
      </c>
      <c r="I78" s="38">
        <f>IF(I79=0,0,(SUMIFS('J Book Items Cons.'!R$5:R$3360,'J Book Items Cons.'!E$5:E$3360,7,'J Book Items Cons.'!S$5:S$3360,"",'J Book Items Cons.'!U$5:U$3360,"USN",'J Book Items Cons.'!W$5:W$3360,"Amphibious Warfare Craft",'J Book Items Cons.'!R$5:R$3360,"&lt;&gt;")+SUMIFS('J Book Items Cons.'!N$5:N$3360,'J Book Items Cons.'!E$5:E$3360,7,'J Book Items Cons.'!S$5:S$3360,"",'J Book Items Cons.'!U$5:U$3360,"USN",'J Book Items Cons.'!W$5:W$3360,"Amphibious Warfare Craft",'J Book Items Cons.'!R$5:R$3360,"",'J Book Items Cons.'!N$5:N$3360,"&lt;&gt;")+SUMIFS('J Book Items Cons.'!L$5:L$3360,'J Book Items Cons.'!E$5:E$3360,7,'J Book Items Cons.'!S$5:S$3360,"",'J Book Items Cons.'!U$5:U$3360,"USN",'J Book Items Cons.'!W$5:W$3360,"Amphibious Warfare Craft",'J Book Items Cons.'!R$5:R$3360,"",'J Book Items Cons.'!N$5:N$3360,"")+SUMIFS('J Book Items Cons.'!R$5:R$3360,'J Book Items Cons.'!E$5:E$3360,7,'J Book Items Cons.'!S$5:S$3360,"[PARENT]",'J Book Items Cons.'!U$5:U$3360,"USN",'J Book Items Cons.'!W$5:W$3360,"Amphibious Warfare Craft",'J Book Items Cons.'!R$5:R$3360,"&lt;&gt;")+SUMIFS('J Book Items Cons.'!N$5:N$3360,'J Book Items Cons.'!E$5:E$3360,7,'J Book Items Cons.'!S$5:S$3360,"[PARENT]",'J Book Items Cons.'!U$5:U$3360,"USN",'J Book Items Cons.'!W$5:W$3360,"Amphibious Warfare Craft",'J Book Items Cons.'!R$5:R$3360,"",'J Book Items Cons.'!N$5:N$3360,"&lt;&gt;")+SUMIFS('J Book Items Cons.'!L$5:L$3360,'J Book Items Cons.'!E$5:E$3360,7,'J Book Items Cons.'!S$5:S$3360,"[PARENT]",'J Book Items Cons.'!U$5:U$3360,"USN",'J Book Items Cons.'!W$5:W$3360,"Amphibious Warfare Craft",'J Book Items Cons.'!R$5:R$3360,"",'J Book Items Cons.'!N$5:N$3360,""))/I79)</f>
        <v>0</v>
      </c>
      <c r="J78" s="38">
        <f>IF(J79=0,0,(SUMIFS('J Book Items Cons.'!R$5:R$3360,'J Book Items Cons.'!E$5:E$3360,7,'J Book Items Cons.'!S$5:S$3360,"",'J Book Items Cons.'!U$5:U$3360,"MSC",'J Book Items Cons.'!W$5:W$3360,"Cargo &amp; Vehicle Cargo Ships",'J Book Items Cons.'!R$5:R$3360,"&lt;&gt;")+SUMIFS('J Book Items Cons.'!N$5:N$3360,'J Book Items Cons.'!E$5:E$3360,7,'J Book Items Cons.'!S$5:S$3360,"",'J Book Items Cons.'!U$5:U$3360,"MSC",'J Book Items Cons.'!W$5:W$3360,"Cargo &amp; Vehicle Cargo Ships",'J Book Items Cons.'!R$5:R$3360,"",'J Book Items Cons.'!N$5:N$3360,"&lt;&gt;")+SUMIFS('J Book Items Cons.'!L$5:L$3360,'J Book Items Cons.'!E$5:E$3360,7,'J Book Items Cons.'!S$5:S$3360,"",'J Book Items Cons.'!U$5:U$3360,"MSC",'J Book Items Cons.'!W$5:W$3360,"Cargo &amp; Vehicle Cargo Ships",'J Book Items Cons.'!R$5:R$3360,"",'J Book Items Cons.'!N$5:N$3360,"")+SUMIFS('J Book Items Cons.'!R$5:R$3360,'J Book Items Cons.'!E$5:E$3360,7,'J Book Items Cons.'!S$5:S$3360,"[PARENT]",'J Book Items Cons.'!U$5:U$3360,"MSC",'J Book Items Cons.'!W$5:W$3360,"Cargo &amp; Vehicle Cargo Ships",'J Book Items Cons.'!R$5:R$3360,"&lt;&gt;")+SUMIFS('J Book Items Cons.'!N$5:N$3360,'J Book Items Cons.'!E$5:E$3360,7,'J Book Items Cons.'!S$5:S$3360,"[PARENT]",'J Book Items Cons.'!U$5:U$3360,"MSC",'J Book Items Cons.'!W$5:W$3360,"Cargo &amp; Vehicle Cargo Ships",'J Book Items Cons.'!R$5:R$3360,"",'J Book Items Cons.'!N$5:N$3360,"&lt;&gt;")+SUMIFS('J Book Items Cons.'!L$5:L$3360,'J Book Items Cons.'!E$5:E$3360,7,'J Book Items Cons.'!S$5:S$3360,"[PARENT]",'J Book Items Cons.'!U$5:U$3360,"MSC",'J Book Items Cons.'!W$5:W$3360,"Cargo &amp; Vehicle Cargo Ships",'J Book Items Cons.'!R$5:R$3360,"",'J Book Items Cons.'!N$5:N$3360,""))/J79)</f>
        <v>0</v>
      </c>
      <c r="K78" s="38">
        <f>IF(K79=0,0,(SUMIFS('J Book Items Cons.'!R$5:R$3360,'J Book Items Cons.'!E$5:E$3360,7,'J Book Items Cons.'!S$5:S$3360,"",'J Book Items Cons.'!U$5:U$3360,"MSC",'J Book Items Cons.'!W$5:W$3360,"Surveillance Ships",'J Book Items Cons.'!R$5:R$3360,"&lt;&gt;")+SUMIFS('J Book Items Cons.'!N$5:N$3360,'J Book Items Cons.'!E$5:E$3360,7,'J Book Items Cons.'!S$5:S$3360,"",'J Book Items Cons.'!U$5:U$3360,"MSC",'J Book Items Cons.'!W$5:W$3360,"Surveillance Ships",'J Book Items Cons.'!R$5:R$3360,"",'J Book Items Cons.'!N$5:N$3360,"&lt;&gt;")+SUMIFS('J Book Items Cons.'!L$5:L$3360,'J Book Items Cons.'!E$5:E$3360,7,'J Book Items Cons.'!S$5:S$3360,"",'J Book Items Cons.'!U$5:U$3360,"MSC",'J Book Items Cons.'!W$5:W$3360,"Surveillance Ships",'J Book Items Cons.'!R$5:R$3360,"",'J Book Items Cons.'!N$5:N$3360,"")+SUMIFS('J Book Items Cons.'!R$5:R$3360,'J Book Items Cons.'!E$5:E$3360,7,'J Book Items Cons.'!S$5:S$3360,"[PARENT]",'J Book Items Cons.'!U$5:U$3360,"MSC",'J Book Items Cons.'!W$5:W$3360,"Surveillance Ships",'J Book Items Cons.'!R$5:R$3360,"&lt;&gt;")+SUMIFS('J Book Items Cons.'!N$5:N$3360,'J Book Items Cons.'!E$5:E$3360,7,'J Book Items Cons.'!S$5:S$3360,"[PARENT]",'J Book Items Cons.'!U$5:U$3360,"MSC",'J Book Items Cons.'!W$5:W$3360,"Surveillance Ships",'J Book Items Cons.'!R$5:R$3360,"",'J Book Items Cons.'!N$5:N$3360,"&lt;&gt;")+SUMIFS('J Book Items Cons.'!L$5:L$3360,'J Book Items Cons.'!E$5:E$3360,7,'J Book Items Cons.'!S$5:S$3360,"[PARENT]",'J Book Items Cons.'!U$5:U$3360,"MSC",'J Book Items Cons.'!W$5:W$3360,"Surveillance Ships",'J Book Items Cons.'!R$5:R$3360,"",'J Book Items Cons.'!N$5:N$3360,""))/K79)</f>
        <v>0</v>
      </c>
      <c r="L78" s="38">
        <f>IF(L79=0,0,(SUMIFS('J Book Items Cons.'!R$5:R$3360,'J Book Items Cons.'!E$5:E$3360,7,'J Book Items Cons.'!S$5:S$3360,"",'J Book Items Cons.'!U$5:U$3360,"USN",'J Book Items Cons.'!W$5:W$3360,"Unmanned Undersea Vehicles",'J Book Items Cons.'!R$5:R$3360,"&lt;&gt;")+SUMIFS('J Book Items Cons.'!N$5:N$3360,'J Book Items Cons.'!E$5:E$3360,7,'J Book Items Cons.'!S$5:S$3360,"",'J Book Items Cons.'!U$5:U$3360,"USN",'J Book Items Cons.'!W$5:W$3360,"Unmanned Undersea Vehicles",'J Book Items Cons.'!R$5:R$3360,"",'J Book Items Cons.'!N$5:N$3360,"&lt;&gt;")+SUMIFS('J Book Items Cons.'!L$5:L$3360,'J Book Items Cons.'!E$5:E$3360,7,'J Book Items Cons.'!S$5:S$3360,"",'J Book Items Cons.'!U$5:U$3360,"USN",'J Book Items Cons.'!W$5:W$3360,"Unmanned Undersea Vehicles",'J Book Items Cons.'!R$5:R$3360,"",'J Book Items Cons.'!N$5:N$3360,"")+SUMIFS('J Book Items Cons.'!R$5:R$3360,'J Book Items Cons.'!E$5:E$3360,7,'J Book Items Cons.'!S$5:S$3360,"[PARENT]",'J Book Items Cons.'!U$5:U$3360,"USN",'J Book Items Cons.'!W$5:W$3360,"Unmanned Undersea Vehicles",'J Book Items Cons.'!R$5:R$3360,"&lt;&gt;")+SUMIFS('J Book Items Cons.'!N$5:N$3360,'J Book Items Cons.'!E$5:E$3360,7,'J Book Items Cons.'!S$5:S$3360,"[PARENT]",'J Book Items Cons.'!U$5:U$3360,"USN",'J Book Items Cons.'!W$5:W$3360,"Unmanned Undersea Vehicles",'J Book Items Cons.'!R$5:R$3360,"",'J Book Items Cons.'!N$5:N$3360,"&lt;&gt;")+SUMIFS('J Book Items Cons.'!L$5:L$3360,'J Book Items Cons.'!E$5:E$3360,7,'J Book Items Cons.'!S$5:S$3360,"[PARENT]",'J Book Items Cons.'!U$5:U$3360,"USN",'J Book Items Cons.'!W$5:W$3360,"Unmanned Undersea Vehicles",'J Book Items Cons.'!R$5:R$3360,"",'J Book Items Cons.'!N$5:N$3360,""))/L79)</f>
        <v>0</v>
      </c>
      <c r="M78" s="38">
        <f>IF(M79=0,0,(SUMIFS('J Book Items Cons.'!R$5:R$3360,'J Book Items Cons.'!E$5:E$3360,7,'J Book Items Cons.'!S$5:S$3360,"",'J Book Items Cons.'!U$5:U$3360,"USN",'J Book Items Cons.'!W$5:W$3360,"Command Ships",'J Book Items Cons.'!R$5:R$3360,"&lt;&gt;")+SUMIFS('J Book Items Cons.'!N$5:N$3360,'J Book Items Cons.'!E$5:E$3360,7,'J Book Items Cons.'!S$5:S$3360,"",'J Book Items Cons.'!U$5:U$3360,"USN",'J Book Items Cons.'!W$5:W$3360,"Command Ships",'J Book Items Cons.'!R$5:R$3360,"",'J Book Items Cons.'!N$5:N$3360,"&lt;&gt;")+SUMIFS('J Book Items Cons.'!L$5:L$3360,'J Book Items Cons.'!E$5:E$3360,7,'J Book Items Cons.'!S$5:S$3360,"",'J Book Items Cons.'!U$5:U$3360,"USN",'J Book Items Cons.'!W$5:W$3360,"Command Ships",'J Book Items Cons.'!R$5:R$3360,"",'J Book Items Cons.'!N$5:N$3360,"")+SUMIFS('J Book Items Cons.'!R$5:R$3360,'J Book Items Cons.'!E$5:E$3360,7,'J Book Items Cons.'!S$5:S$3360,"[PARENT]",'J Book Items Cons.'!U$5:U$3360,"USN",'J Book Items Cons.'!W$5:W$3360,"Command Ships",'J Book Items Cons.'!R$5:R$3360,"&lt;&gt;")+SUMIFS('J Book Items Cons.'!N$5:N$3360,'J Book Items Cons.'!E$5:E$3360,7,'J Book Items Cons.'!S$5:S$3360,"[PARENT]",'J Book Items Cons.'!U$5:U$3360,"USN",'J Book Items Cons.'!W$5:W$3360,"Command Ships",'J Book Items Cons.'!R$5:R$3360,"",'J Book Items Cons.'!N$5:N$3360,"&lt;&gt;")+SUMIFS('J Book Items Cons.'!L$5:L$3360,'J Book Items Cons.'!E$5:E$3360,7,'J Book Items Cons.'!S$5:S$3360,"[PARENT]",'J Book Items Cons.'!U$5:U$3360,"USN",'J Book Items Cons.'!W$5:W$3360,"Command Ships",'J Book Items Cons.'!R$5:R$3360,"",'J Book Items Cons.'!N$5:N$3360,""))/M79)</f>
        <v>0</v>
      </c>
      <c r="N78" s="39">
        <f>IF(N79=0,0,(SUMIFS('J Book Items Cons.'!R$5:R$3360,'J Book Items Cons.'!E$5:E$3360,7,'J Book Items Cons.'!S$5:S$3360,"",'J Book Items Cons.'!U$5:U$3360,"USN",'J Book Items Cons.'!W$5:W$3360,"Mine Warfare",'J Book Items Cons.'!R$5:R$3360,"&lt;&gt;")+SUMIFS('J Book Items Cons.'!N$5:N$3360,'J Book Items Cons.'!E$5:E$3360,7,'J Book Items Cons.'!S$5:S$3360,"",'J Book Items Cons.'!U$5:U$3360,"USN",'J Book Items Cons.'!W$5:W$3360,"Mine Warfare",'J Book Items Cons.'!R$5:R$3360,"",'J Book Items Cons.'!N$5:N$3360,"&lt;&gt;")+SUMIFS('J Book Items Cons.'!L$5:L$3360,'J Book Items Cons.'!E$5:E$3360,7,'J Book Items Cons.'!S$5:S$3360,"",'J Book Items Cons.'!U$5:U$3360,"USN",'J Book Items Cons.'!W$5:W$3360,"Mine Warfare",'J Book Items Cons.'!R$5:R$3360,"",'J Book Items Cons.'!N$5:N$3360,"")+SUMIFS('J Book Items Cons.'!R$5:R$3360,'J Book Items Cons.'!E$5:E$3360,7,'J Book Items Cons.'!S$5:S$3360,"[PARENT]",'J Book Items Cons.'!U$5:U$3360,"USN",'J Book Items Cons.'!W$5:W$3360,"Mine Warfare",'J Book Items Cons.'!R$5:R$3360,"&lt;&gt;")+SUMIFS('J Book Items Cons.'!N$5:N$3360,'J Book Items Cons.'!E$5:E$3360,7,'J Book Items Cons.'!S$5:S$3360,"[PARENT]",'J Book Items Cons.'!U$5:U$3360,"USN",'J Book Items Cons.'!W$5:W$3360,"Mine Warfare",'J Book Items Cons.'!R$5:R$3360,"",'J Book Items Cons.'!N$5:N$3360,"&lt;&gt;")+SUMIFS('J Book Items Cons.'!L$5:L$3360,'J Book Items Cons.'!E$5:E$3360,7,'J Book Items Cons.'!S$5:S$3360,"[PARENT]",'J Book Items Cons.'!U$5:U$3360,"USN",'J Book Items Cons.'!W$5:W$3360,"Mine Warfare",'J Book Items Cons.'!R$5:R$3360,"",'J Book Items Cons.'!N$5:N$3360,""))/N79)</f>
        <v>0</v>
      </c>
      <c r="O78" s="37">
        <f>IF(O79=0,0,(SUMIFS('J Book Items Cons.'!R$5:R$3360,'J Book Items Cons.'!E$5:E$3360,7,'J Book Items Cons.'!S$5:S$3360,"",'J Book Items Cons.'!U$5:U$3360,"USCG",'J Book Items Cons.'!W$5:W$3360,"Offshore Patrol Cutter",'J Book Items Cons.'!R$5:R$3360,"&lt;&gt;")+SUMIFS('J Book Items Cons.'!N$5:N$3360,'J Book Items Cons.'!E$5:E$3360,7,'J Book Items Cons.'!S$5:S$3360,"",'J Book Items Cons.'!U$5:U$3360,"USCG",'J Book Items Cons.'!W$5:W$3360,"Offshore Patrol Cutter",'J Book Items Cons.'!R$5:R$3360,"",'J Book Items Cons.'!N$5:N$3360,"&lt;&gt;")+SUMIFS('J Book Items Cons.'!L$5:L$3360,'J Book Items Cons.'!E$5:E$3360,7,'J Book Items Cons.'!S$5:S$3360,"",'J Book Items Cons.'!U$5:U$3360,"USCG",'J Book Items Cons.'!W$5:W$3360,"Offshore Patrol Cutter",'J Book Items Cons.'!R$5:R$3360,"",'J Book Items Cons.'!N$5:N$3360,"")+SUMIFS('J Book Items Cons.'!R$5:R$3360,'J Book Items Cons.'!E$5:E$3360,7,'J Book Items Cons.'!S$5:S$3360,"[PARENT]",'J Book Items Cons.'!U$5:U$3360,"USCG",'J Book Items Cons.'!W$5:W$3360,"Offshore Patrol Cutter",'J Book Items Cons.'!R$5:R$3360,"&lt;&gt;")+SUMIFS('J Book Items Cons.'!N$5:N$3360,'J Book Items Cons.'!E$5:E$3360,7,'J Book Items Cons.'!S$5:S$3360,"[PARENT]",'J Book Items Cons.'!U$5:U$3360,"USCG",'J Book Items Cons.'!W$5:W$3360,"Offshore Patrol Cutter",'J Book Items Cons.'!R$5:R$3360,"",'J Book Items Cons.'!N$5:N$3360,"&lt;&gt;")+SUMIFS('J Book Items Cons.'!L$5:L$3360,'J Book Items Cons.'!E$5:E$3360,7,'J Book Items Cons.'!S$5:S$3360,"[PARENT]",'J Book Items Cons.'!U$5:U$3360,"USCG",'J Book Items Cons.'!W$5:W$3360,"Offshore Patrol Cutter",'J Book Items Cons.'!R$5:R$3360,"",'J Book Items Cons.'!N$5:N$3360,""))/O79)</f>
        <v>0</v>
      </c>
      <c r="P78" s="38">
        <f>IF(P79=0,0,(SUMIFS('J Book Items Cons.'!R$5:R$3360,'J Book Items Cons.'!E$5:E$3360,7,'J Book Items Cons.'!S$5:S$3360,"",'J Book Items Cons.'!U$5:U$3360,"USCG",'J Book Items Cons.'!W$5:W$3360,"Fast Response Cutters",'J Book Items Cons.'!R$5:R$3360,"&lt;&gt;")+SUMIFS('J Book Items Cons.'!N$5:N$3360,'J Book Items Cons.'!E$5:E$3360,7,'J Book Items Cons.'!S$5:S$3360,"",'J Book Items Cons.'!U$5:U$3360,"USCG",'J Book Items Cons.'!W$5:W$3360,"Fast Response Cutters",'J Book Items Cons.'!R$5:R$3360,"",'J Book Items Cons.'!N$5:N$3360,"&lt;&gt;")+SUMIFS('J Book Items Cons.'!L$5:L$3360,'J Book Items Cons.'!E$5:E$3360,7,'J Book Items Cons.'!S$5:S$3360,"",'J Book Items Cons.'!U$5:U$3360,"USCG",'J Book Items Cons.'!W$5:W$3360,"Fast Response Cutters",'J Book Items Cons.'!R$5:R$3360,"",'J Book Items Cons.'!N$5:N$3360,"")+SUMIFS('J Book Items Cons.'!R$5:R$3360,'J Book Items Cons.'!E$5:E$3360,7,'J Book Items Cons.'!S$5:S$3360,"[PARENT]",'J Book Items Cons.'!U$5:U$3360,"USCG",'J Book Items Cons.'!W$5:W$3360,"Fast Response Cutters",'J Book Items Cons.'!R$5:R$3360,"&lt;&gt;")+SUMIFS('J Book Items Cons.'!N$5:N$3360,'J Book Items Cons.'!E$5:E$3360,7,'J Book Items Cons.'!S$5:S$3360,"[PARENT]",'J Book Items Cons.'!U$5:U$3360,"USCG",'J Book Items Cons.'!W$5:W$3360,"Fast Response Cutters",'J Book Items Cons.'!R$5:R$3360,"",'J Book Items Cons.'!N$5:N$3360,"&lt;&gt;")+SUMIFS('J Book Items Cons.'!L$5:L$3360,'J Book Items Cons.'!E$5:E$3360,7,'J Book Items Cons.'!S$5:S$3360,"[PARENT]",'J Book Items Cons.'!U$5:U$3360,"USCG",'J Book Items Cons.'!W$5:W$3360,"Fast Response Cutters",'J Book Items Cons.'!R$5:R$3360,"",'J Book Items Cons.'!N$5:N$3360,""))/P79)</f>
        <v>0</v>
      </c>
      <c r="Q78" s="38">
        <f>IF(Q79=0,0,(SUMIFS('J Book Items Cons.'!R$5:R$3360,'J Book Items Cons.'!E$5:E$3360,7,'J Book Items Cons.'!S$5:S$3360,"",'J Book Items Cons.'!U$5:U$3360,"USCG",'J Book Items Cons.'!W$5:W$3360,"Icebreakers, Oceangoing",'J Book Items Cons.'!R$5:R$3360,"&lt;&gt;")+SUMIFS('J Book Items Cons.'!N$5:N$3360,'J Book Items Cons.'!E$5:E$3360,7,'J Book Items Cons.'!S$5:S$3360,"",'J Book Items Cons.'!U$5:U$3360,"USCG",'J Book Items Cons.'!W$5:W$3360,"Icebreakers, Oceangoing",'J Book Items Cons.'!R$5:R$3360,"",'J Book Items Cons.'!N$5:N$3360,"&lt;&gt;")+SUMIFS('J Book Items Cons.'!L$5:L$3360,'J Book Items Cons.'!E$5:E$3360,7,'J Book Items Cons.'!S$5:S$3360,"",'J Book Items Cons.'!U$5:U$3360,"USCG",'J Book Items Cons.'!W$5:W$3360,"Icebreakers, Oceangoing",'J Book Items Cons.'!R$5:R$3360,"",'J Book Items Cons.'!N$5:N$3360,"")+SUMIFS('J Book Items Cons.'!R$5:R$3360,'J Book Items Cons.'!E$5:E$3360,7,'J Book Items Cons.'!S$5:S$3360,"[PARENT]",'J Book Items Cons.'!U$5:U$3360,"USCG",'J Book Items Cons.'!W$5:W$3360,"Icebreakers, Oceangoing",'J Book Items Cons.'!R$5:R$3360,"&lt;&gt;")+SUMIFS('J Book Items Cons.'!N$5:N$3360,'J Book Items Cons.'!E$5:E$3360,7,'J Book Items Cons.'!S$5:S$3360,"[PARENT]",'J Book Items Cons.'!U$5:U$3360,"USCG",'J Book Items Cons.'!W$5:W$3360,"Icebreakers, Oceangoing",'J Book Items Cons.'!R$5:R$3360,"",'J Book Items Cons.'!N$5:N$3360,"&lt;&gt;")+SUMIFS('J Book Items Cons.'!L$5:L$3360,'J Book Items Cons.'!E$5:E$3360,7,'J Book Items Cons.'!S$5:S$3360,"[PARENT]",'J Book Items Cons.'!U$5:U$3360,"USCG",'J Book Items Cons.'!W$5:W$3360,"Icebreakers, Oceangoing",'J Book Items Cons.'!R$5:R$3360,"",'J Book Items Cons.'!N$5:N$3360,""))/Q79)</f>
        <v>0</v>
      </c>
      <c r="R78" s="38">
        <f>IF(R79=0,0,(SUMIFS('J Book Items Cons.'!R$5:R$3360,'J Book Items Cons.'!E$5:E$3360,7,'J Book Items Cons.'!S$5:S$3360,"",'J Book Items Cons.'!U$5:U$3360,"USCG",'J Book Items Cons.'!W$5:W$3360,"Waterways Commerce Cutters",'J Book Items Cons.'!R$5:R$3360,"&lt;&gt;")+SUMIFS('J Book Items Cons.'!N$5:N$3360,'J Book Items Cons.'!E$5:E$3360,7,'J Book Items Cons.'!S$5:S$3360,"",'J Book Items Cons.'!U$5:U$3360,"USCG",'J Book Items Cons.'!W$5:W$3360,"Waterways Commerce Cutters",'J Book Items Cons.'!R$5:R$3360,"",'J Book Items Cons.'!N$5:N$3360,"&lt;&gt;")+SUMIFS('J Book Items Cons.'!L$5:L$3360,'J Book Items Cons.'!E$5:E$3360,7,'J Book Items Cons.'!S$5:S$3360,"",'J Book Items Cons.'!U$5:U$3360,"USCG",'J Book Items Cons.'!W$5:W$3360,"Waterways Commerce Cutters",'J Book Items Cons.'!R$5:R$3360,"",'J Book Items Cons.'!N$5:N$3360,"")+SUMIFS('J Book Items Cons.'!R$5:R$3360,'J Book Items Cons.'!E$5:E$3360,7,'J Book Items Cons.'!S$5:S$3360,"[PARENT]",'J Book Items Cons.'!U$5:U$3360,"USCG",'J Book Items Cons.'!W$5:W$3360,"Waterways Commerce Cutters",'J Book Items Cons.'!R$5:R$3360,"&lt;&gt;")+SUMIFS('J Book Items Cons.'!N$5:N$3360,'J Book Items Cons.'!E$5:E$3360,7,'J Book Items Cons.'!S$5:S$3360,"[PARENT]",'J Book Items Cons.'!U$5:U$3360,"USCG",'J Book Items Cons.'!W$5:W$3360,"Waterways Commerce Cutters",'J Book Items Cons.'!R$5:R$3360,"",'J Book Items Cons.'!N$5:N$3360,"&lt;&gt;")+SUMIFS('J Book Items Cons.'!L$5:L$3360,'J Book Items Cons.'!E$5:E$3360,7,'J Book Items Cons.'!S$5:S$3360,"[PARENT]",'J Book Items Cons.'!U$5:U$3360,"USCG",'J Book Items Cons.'!W$5:W$3360,"Waterways Commerce Cutters",'J Book Items Cons.'!R$5:R$3360,"",'J Book Items Cons.'!N$5:N$3360,""))/R79)</f>
        <v>0</v>
      </c>
      <c r="S78" s="39">
        <f>IF(S79=0,0,(SUMIFS('J Book Items Cons.'!R$5:R$3360,'J Book Items Cons.'!E$5:E$3360,7,'J Book Items Cons.'!S$5:S$3360,"",'J Book Items Cons.'!U$5:U$3360,"USCG",'J Book Items Cons.'!W$5:W$3360,"National Security Cutters",'J Book Items Cons.'!R$5:R$3360,"&lt;&gt;")+SUMIFS('J Book Items Cons.'!N$5:N$3360,'J Book Items Cons.'!E$5:E$3360,7,'J Book Items Cons.'!S$5:S$3360,"",'J Book Items Cons.'!U$5:U$3360,"USCG",'J Book Items Cons.'!W$5:W$3360,"National Security Cutters",'J Book Items Cons.'!R$5:R$3360,"",'J Book Items Cons.'!N$5:N$3360,"&lt;&gt;")+SUMIFS('J Book Items Cons.'!L$5:L$3360,'J Book Items Cons.'!E$5:E$3360,7,'J Book Items Cons.'!S$5:S$3360,"",'J Book Items Cons.'!U$5:U$3360,"USCG",'J Book Items Cons.'!W$5:W$3360,"National Security Cutters",'J Book Items Cons.'!R$5:R$3360,"",'J Book Items Cons.'!N$5:N$3360,"")+SUMIFS('J Book Items Cons.'!R$5:R$3360,'J Book Items Cons.'!E$5:E$3360,7,'J Book Items Cons.'!S$5:S$3360,"[PARENT]",'J Book Items Cons.'!U$5:U$3360,"USCG",'J Book Items Cons.'!W$5:W$3360,"National Security Cutters",'J Book Items Cons.'!R$5:R$3360,"&lt;&gt;")+SUMIFS('J Book Items Cons.'!N$5:N$3360,'J Book Items Cons.'!E$5:E$3360,7,'J Book Items Cons.'!S$5:S$3360,"[PARENT]",'J Book Items Cons.'!U$5:U$3360,"USCG",'J Book Items Cons.'!W$5:W$3360,"National Security Cutters",'J Book Items Cons.'!R$5:R$3360,"",'J Book Items Cons.'!N$5:N$3360,"&lt;&gt;")+SUMIFS('J Book Items Cons.'!L$5:L$3360,'J Book Items Cons.'!E$5:E$3360,7,'J Book Items Cons.'!S$5:S$3360,"[PARENT]",'J Book Items Cons.'!U$5:U$3360,"USCG",'J Book Items Cons.'!W$5:W$3360,"National Security Cutters",'J Book Items Cons.'!R$5:R$3360,"",'J Book Items Cons.'!N$5:N$3360,""))/S79)</f>
        <v>0</v>
      </c>
      <c r="T78" s="38">
        <f t="shared" si="7"/>
        <v>5.6923513519659651E-4</v>
      </c>
    </row>
    <row r="79" spans="1:42" ht="10.5" customHeight="1" x14ac:dyDescent="0.15">
      <c r="A79" s="15" t="s">
        <v>8831</v>
      </c>
      <c r="B79" s="28">
        <f>SUMIFS('J Book Items Cons.'!R$5:R$3360,'J Book Items Cons.'!S$5:S$3360,"",'J Book Items Cons.'!U$5:U$3360,"USN",'J Book Items Cons.'!W$5:W$3360,"Submarines",'J Book Items Cons.'!R$5:R$3360,"&lt;&gt;")+SUMIFS('J Book Items Cons.'!N$5:N$3360,'J Book Items Cons.'!S$5:S$3360,"",'J Book Items Cons.'!U$5:U$3360,"USN",'J Book Items Cons.'!W$5:W$3360,"Submarines",'J Book Items Cons.'!R$5:R$3360,"",'J Book Items Cons.'!N$5:N$3360,"&lt;&gt;")+SUMIFS('J Book Items Cons.'!L$5:L$3360,'J Book Items Cons.'!S$5:S$3360,"",'J Book Items Cons.'!U$5:U$3360,"USN",'J Book Items Cons.'!W$5:W$3360,"Submarines",'J Book Items Cons.'!R$5:R$3360,"",'J Book Items Cons.'!N$5:N$3360,"")+SUMIFS('J Book Items Cons.'!R$5:R$3360,'J Book Items Cons.'!S$5:S$3360,"[PARENT]",'J Book Items Cons.'!U$5:U$3360,"USN",'J Book Items Cons.'!W$5:W$3360,"Submarines",'J Book Items Cons.'!R$5:R$3360,"&lt;&gt;")+SUMIFS('J Book Items Cons.'!N$5:N$3360,'J Book Items Cons.'!S$5:S$3360,"[PARENT]",'J Book Items Cons.'!U$5:U$3360,"USN",'J Book Items Cons.'!W$5:W$3360,"Submarines",'J Book Items Cons.'!R$5:R$3360,"",'J Book Items Cons.'!N$5:N$3360,"&lt;&gt;")+SUMIFS('J Book Items Cons.'!L$5:L$3360,'J Book Items Cons.'!S$5:S$3360,"[PARENT]",'J Book Items Cons.'!U$5:U$3360,"USN",'J Book Items Cons.'!W$5:W$3360,"Submarines",'J Book Items Cons.'!R$5:R$3360,"",'J Book Items Cons.'!N$5:N$3360,"")</f>
        <v>31506807</v>
      </c>
      <c r="C79" s="16">
        <f>SUMIFS('J Book Items Cons.'!R$5:R$3360,'J Book Items Cons.'!S$5:S$3360,"",'J Book Items Cons.'!U$5:U$3360,"USN",'J Book Items Cons.'!W$5:W$3360,"Surface Combatants",'J Book Items Cons.'!R$5:R$3360,"&lt;&gt;")+SUMIFS('J Book Items Cons.'!N$5:N$3360,'J Book Items Cons.'!S$5:S$3360,"",'J Book Items Cons.'!U$5:U$3360,"USN",'J Book Items Cons.'!W$5:W$3360,"Surface Combatants",'J Book Items Cons.'!R$5:R$3360,"",'J Book Items Cons.'!N$5:N$3360,"&lt;&gt;")+SUMIFS('J Book Items Cons.'!L$5:L$3360,'J Book Items Cons.'!S$5:S$3360,"",'J Book Items Cons.'!U$5:U$3360,"USN",'J Book Items Cons.'!W$5:W$3360,"Surface Combatants",'J Book Items Cons.'!R$5:R$3360,"",'J Book Items Cons.'!N$5:N$3360,"")+SUMIFS('J Book Items Cons.'!R$5:R$3360,'J Book Items Cons.'!S$5:S$3360,"[PARENT]",'J Book Items Cons.'!U$5:U$3360,"USN",'J Book Items Cons.'!W$5:W$3360,"Surface Combatants",'J Book Items Cons.'!R$5:R$3360,"&lt;&gt;")+SUMIFS('J Book Items Cons.'!N$5:N$3360,'J Book Items Cons.'!S$5:S$3360,"[PARENT]",'J Book Items Cons.'!U$5:U$3360,"USN",'J Book Items Cons.'!W$5:W$3360,"Surface Combatants",'J Book Items Cons.'!R$5:R$3360,"",'J Book Items Cons.'!N$5:N$3360,"&lt;&gt;")+SUMIFS('J Book Items Cons.'!L$5:L$3360,'J Book Items Cons.'!S$5:S$3360,"[PARENT]",'J Book Items Cons.'!U$5:U$3360,"USN",'J Book Items Cons.'!W$5:W$3360,"Surface Combatants",'J Book Items Cons.'!R$5:R$3360,"",'J Book Items Cons.'!N$5:N$3360,"")</f>
        <v>13587052</v>
      </c>
      <c r="D79" s="16">
        <f>SUMIFS('J Book Items Cons.'!R$5:R$3360,'J Book Items Cons.'!S$5:S$3360,"",'J Book Items Cons.'!U$5:U$3360,"USN",'J Book Items Cons.'!W$5:W$3360,"Aircraft Carriers",'J Book Items Cons.'!R$5:R$3360,"&lt;&gt;")+SUMIFS('J Book Items Cons.'!N$5:N$3360,'J Book Items Cons.'!S$5:S$3360,"",'J Book Items Cons.'!U$5:U$3360,"USN",'J Book Items Cons.'!W$5:W$3360,"Aircraft Carriers",'J Book Items Cons.'!R$5:R$3360,"",'J Book Items Cons.'!N$5:N$3360,"&lt;&gt;")+SUMIFS('J Book Items Cons.'!L$5:L$3360,'J Book Items Cons.'!S$5:S$3360,"",'J Book Items Cons.'!U$5:U$3360,"USN",'J Book Items Cons.'!W$5:W$3360,"Aircraft Carriers",'J Book Items Cons.'!R$5:R$3360,"",'J Book Items Cons.'!N$5:N$3360,"")+SUMIFS('J Book Items Cons.'!R$5:R$3360,'J Book Items Cons.'!S$5:S$3360,"[PARENT]",'J Book Items Cons.'!U$5:U$3360,"USN",'J Book Items Cons.'!W$5:W$3360,"Aircraft Carriers",'J Book Items Cons.'!R$5:R$3360,"&lt;&gt;")+SUMIFS('J Book Items Cons.'!N$5:N$3360,'J Book Items Cons.'!S$5:S$3360,"[PARENT]",'J Book Items Cons.'!U$5:U$3360,"USN",'J Book Items Cons.'!W$5:W$3360,"Aircraft Carriers",'J Book Items Cons.'!R$5:R$3360,"",'J Book Items Cons.'!N$5:N$3360,"&lt;&gt;")+SUMIFS('J Book Items Cons.'!L$5:L$3360,'J Book Items Cons.'!S$5:S$3360,"[PARENT]",'J Book Items Cons.'!U$5:U$3360,"USN",'J Book Items Cons.'!W$5:W$3360,"Aircraft Carriers",'J Book Items Cons.'!R$5:R$3360,"",'J Book Items Cons.'!N$5:N$3360,"")</f>
        <v>8445164</v>
      </c>
      <c r="E79" s="16">
        <f>SUMIFS('J Book Items Cons.'!R$5:R$3360,'J Book Items Cons.'!S$5:S$3360,"",'J Book Items Cons.'!U$5:U$3360,"USN",'J Book Items Cons.'!W$5:W$3360,"Amphibious Warfare Ships",'J Book Items Cons.'!R$5:R$3360,"&lt;&gt;")+SUMIFS('J Book Items Cons.'!N$5:N$3360,'J Book Items Cons.'!S$5:S$3360,"",'J Book Items Cons.'!U$5:U$3360,"USN",'J Book Items Cons.'!W$5:W$3360,"Amphibious Warfare Ships",'J Book Items Cons.'!R$5:R$3360,"",'J Book Items Cons.'!N$5:N$3360,"&lt;&gt;")+SUMIFS('J Book Items Cons.'!L$5:L$3360,'J Book Items Cons.'!S$5:S$3360,"",'J Book Items Cons.'!U$5:U$3360,"USN",'J Book Items Cons.'!W$5:W$3360,"Amphibious Warfare Ships",'J Book Items Cons.'!R$5:R$3360,"",'J Book Items Cons.'!N$5:N$3360,"")+SUMIFS('J Book Items Cons.'!R$5:R$3360,'J Book Items Cons.'!S$5:S$3360,"[PARENT]",'J Book Items Cons.'!U$5:U$3360,"USN",'J Book Items Cons.'!W$5:W$3360,"Amphibious Warfare Ships",'J Book Items Cons.'!R$5:R$3360,"&lt;&gt;")+SUMIFS('J Book Items Cons.'!N$5:N$3360,'J Book Items Cons.'!S$5:S$3360,"[PARENT]",'J Book Items Cons.'!U$5:U$3360,"USN",'J Book Items Cons.'!W$5:W$3360,"Amphibious Warfare Ships",'J Book Items Cons.'!R$5:R$3360,"",'J Book Items Cons.'!N$5:N$3360,"&lt;&gt;")+SUMIFS('J Book Items Cons.'!L$5:L$3360,'J Book Items Cons.'!S$5:S$3360,"[PARENT]",'J Book Items Cons.'!U$5:U$3360,"USN",'J Book Items Cons.'!W$5:W$3360,"Amphibious Warfare Ships",'J Book Items Cons.'!R$5:R$3360,"",'J Book Items Cons.'!N$5:N$3360,"")</f>
        <v>3315183</v>
      </c>
      <c r="F79" s="16">
        <f>SUMIFS('J Book Items Cons.'!R$5:R$3360,'J Book Items Cons.'!S$5:S$3360,"",'J Book Items Cons.'!U$5:U$3360,"USN",'J Book Items Cons.'!W$5:W$3360,"Expeditionary &amp; Seabasing Ships",'J Book Items Cons.'!R$5:R$3360,"&lt;&gt;")+SUMIFS('J Book Items Cons.'!N$5:N$3360,'J Book Items Cons.'!S$5:S$3360,"",'J Book Items Cons.'!U$5:U$3360,"USN",'J Book Items Cons.'!W$5:W$3360,"Expeditionary &amp; Seabasing Ships",'J Book Items Cons.'!R$5:R$3360,"",'J Book Items Cons.'!N$5:N$3360,"&lt;&gt;")+SUMIFS('J Book Items Cons.'!L$5:L$3360,'J Book Items Cons.'!S$5:S$3360,"",'J Book Items Cons.'!U$5:U$3360,"USN",'J Book Items Cons.'!W$5:W$3360,"Expeditionary &amp; Seabasing Ships",'J Book Items Cons.'!R$5:R$3360,"",'J Book Items Cons.'!N$5:N$3360,"")+SUMIFS('J Book Items Cons.'!R$5:R$3360,'J Book Items Cons.'!S$5:S$3360,"[PARENT]",'J Book Items Cons.'!U$5:U$3360,"USN",'J Book Items Cons.'!W$5:W$3360,"Expeditionary &amp; Seabasing Ships",'J Book Items Cons.'!R$5:R$3360,"&lt;&gt;")+SUMIFS('J Book Items Cons.'!N$5:N$3360,'J Book Items Cons.'!S$5:S$3360,"[PARENT]",'J Book Items Cons.'!U$5:U$3360,"USN",'J Book Items Cons.'!W$5:W$3360,"Expeditionary &amp; Seabasing Ships",'J Book Items Cons.'!R$5:R$3360,"",'J Book Items Cons.'!N$5:N$3360,"&lt;&gt;")+SUMIFS('J Book Items Cons.'!L$5:L$3360,'J Book Items Cons.'!S$5:S$3360,"[PARENT]",'J Book Items Cons.'!U$5:U$3360,"USN",'J Book Items Cons.'!W$5:W$3360,"Expeditionary &amp; Seabasing Ships",'J Book Items Cons.'!R$5:R$3360,"",'J Book Items Cons.'!N$5:N$3360,"")</f>
        <v>2825676</v>
      </c>
      <c r="G79" s="16">
        <f>SUMIFS('J Book Items Cons.'!R$5:R$3360,'J Book Items Cons.'!S$5:S$3360,"",'J Book Items Cons.'!U$5:U$3360,"MSC",'J Book Items Cons.'!W$5:W$3360,"Combat Logistics Ships",'J Book Items Cons.'!R$5:R$3360,"&lt;&gt;")+SUMIFS('J Book Items Cons.'!N$5:N$3360,'J Book Items Cons.'!S$5:S$3360,"",'J Book Items Cons.'!U$5:U$3360,"MSC",'J Book Items Cons.'!W$5:W$3360,"Combat Logistics Ships",'J Book Items Cons.'!R$5:R$3360,"",'J Book Items Cons.'!N$5:N$3360,"&lt;&gt;")+SUMIFS('J Book Items Cons.'!L$5:L$3360,'J Book Items Cons.'!S$5:S$3360,"",'J Book Items Cons.'!U$5:U$3360,"MSC",'J Book Items Cons.'!W$5:W$3360,"Combat Logistics Ships",'J Book Items Cons.'!R$5:R$3360,"",'J Book Items Cons.'!N$5:N$3360,"")+SUMIFS('J Book Items Cons.'!R$5:R$3360,'J Book Items Cons.'!S$5:S$3360,"[PARENT]",'J Book Items Cons.'!U$5:U$3360,"MSC",'J Book Items Cons.'!W$5:W$3360,"Combat Logistics Ships",'J Book Items Cons.'!R$5:R$3360,"&lt;&gt;")+SUMIFS('J Book Items Cons.'!N$5:N$3360,'J Book Items Cons.'!S$5:S$3360,"[PARENT]",'J Book Items Cons.'!U$5:U$3360,"MSC",'J Book Items Cons.'!W$5:W$3360,"Combat Logistics Ships",'J Book Items Cons.'!R$5:R$3360,"",'J Book Items Cons.'!N$5:N$3360,"&lt;&gt;")+SUMIFS('J Book Items Cons.'!L$5:L$3360,'J Book Items Cons.'!S$5:S$3360,"[PARENT]",'J Book Items Cons.'!U$5:U$3360,"MSC",'J Book Items Cons.'!W$5:W$3360,"Combat Logistics Ships",'J Book Items Cons.'!R$5:R$3360,"",'J Book Items Cons.'!N$5:N$3360,"")</f>
        <v>1861705</v>
      </c>
      <c r="H79" s="16">
        <f>SUMIFS('J Book Items Cons.'!R$5:R$3360,'J Book Items Cons.'!S$5:S$3360,"",'J Book Items Cons.'!U$5:U$3360,"USN",'J Book Items Cons.'!W$5:W$3360,"Unmanned Surface Vehicles",'J Book Items Cons.'!R$5:R$3360,"&lt;&gt;")+SUMIFS('J Book Items Cons.'!N$5:N$3360,'J Book Items Cons.'!S$5:S$3360,"",'J Book Items Cons.'!U$5:U$3360,"USN",'J Book Items Cons.'!W$5:W$3360,"Unmanned Surface Vehicles",'J Book Items Cons.'!R$5:R$3360,"",'J Book Items Cons.'!N$5:N$3360,"&lt;&gt;")+SUMIFS('J Book Items Cons.'!L$5:L$3360,'J Book Items Cons.'!S$5:S$3360,"",'J Book Items Cons.'!U$5:U$3360,"USN",'J Book Items Cons.'!W$5:W$3360,"Unmanned Surface Vehicles",'J Book Items Cons.'!R$5:R$3360,"",'J Book Items Cons.'!N$5:N$3360,"")+SUMIFS('J Book Items Cons.'!R$5:R$3360,'J Book Items Cons.'!S$5:S$3360,"[PARENT]",'J Book Items Cons.'!U$5:U$3360,"USN",'J Book Items Cons.'!W$5:W$3360,"Unmanned Surface Vehicles",'J Book Items Cons.'!R$5:R$3360,"&lt;&gt;")+SUMIFS('J Book Items Cons.'!N$5:N$3360,'J Book Items Cons.'!S$5:S$3360,"[PARENT]",'J Book Items Cons.'!U$5:U$3360,"USN",'J Book Items Cons.'!W$5:W$3360,"Unmanned Surface Vehicles",'J Book Items Cons.'!R$5:R$3360,"",'J Book Items Cons.'!N$5:N$3360,"&lt;&gt;")+SUMIFS('J Book Items Cons.'!L$5:L$3360,'J Book Items Cons.'!S$5:S$3360,"[PARENT]",'J Book Items Cons.'!U$5:U$3360,"USN",'J Book Items Cons.'!W$5:W$3360,"Unmanned Surface Vehicles",'J Book Items Cons.'!R$5:R$3360,"",'J Book Items Cons.'!N$5:N$3360,"")</f>
        <v>1325714</v>
      </c>
      <c r="I79" s="16">
        <f>SUMIFS('J Book Items Cons.'!R$5:R$3360,'J Book Items Cons.'!S$5:S$3360,"",'J Book Items Cons.'!U$5:U$3360,"USN",'J Book Items Cons.'!W$5:W$3360,"Amphibious Warfare Craft",'J Book Items Cons.'!R$5:R$3360,"&lt;&gt;")+SUMIFS('J Book Items Cons.'!N$5:N$3360,'J Book Items Cons.'!S$5:S$3360,"",'J Book Items Cons.'!U$5:U$3360,"USN",'J Book Items Cons.'!W$5:W$3360,"Amphibious Warfare Craft",'J Book Items Cons.'!R$5:R$3360,"",'J Book Items Cons.'!N$5:N$3360,"&lt;&gt;")+SUMIFS('J Book Items Cons.'!L$5:L$3360,'J Book Items Cons.'!S$5:S$3360,"",'J Book Items Cons.'!U$5:U$3360,"USN",'J Book Items Cons.'!W$5:W$3360,"Amphibious Warfare Craft",'J Book Items Cons.'!R$5:R$3360,"",'J Book Items Cons.'!N$5:N$3360,"")+SUMIFS('J Book Items Cons.'!R$5:R$3360,'J Book Items Cons.'!S$5:S$3360,"[PARENT]",'J Book Items Cons.'!U$5:U$3360,"USN",'J Book Items Cons.'!W$5:W$3360,"Amphibious Warfare Craft",'J Book Items Cons.'!R$5:R$3360,"&lt;&gt;")+SUMIFS('J Book Items Cons.'!N$5:N$3360,'J Book Items Cons.'!S$5:S$3360,"[PARENT]",'J Book Items Cons.'!U$5:U$3360,"USN",'J Book Items Cons.'!W$5:W$3360,"Amphibious Warfare Craft",'J Book Items Cons.'!R$5:R$3360,"",'J Book Items Cons.'!N$5:N$3360,"&lt;&gt;")+SUMIFS('J Book Items Cons.'!L$5:L$3360,'J Book Items Cons.'!S$5:S$3360,"[PARENT]",'J Book Items Cons.'!U$5:U$3360,"USN",'J Book Items Cons.'!W$5:W$3360,"Amphibious Warfare Craft",'J Book Items Cons.'!R$5:R$3360,"",'J Book Items Cons.'!N$5:N$3360,"")</f>
        <v>921381</v>
      </c>
      <c r="J79" s="16">
        <f>SUMIFS('J Book Items Cons.'!R$5:R$3360,'J Book Items Cons.'!S$5:S$3360,"",'J Book Items Cons.'!U$5:U$3360,"MSC",'J Book Items Cons.'!W$5:W$3360,"Cargo &amp; Vehicle Cargo Ships",'J Book Items Cons.'!R$5:R$3360,"&lt;&gt;")+SUMIFS('J Book Items Cons.'!N$5:N$3360,'J Book Items Cons.'!S$5:S$3360,"",'J Book Items Cons.'!U$5:U$3360,"MSC",'J Book Items Cons.'!W$5:W$3360,"Cargo &amp; Vehicle Cargo Ships",'J Book Items Cons.'!R$5:R$3360,"",'J Book Items Cons.'!N$5:N$3360,"&lt;&gt;")+SUMIFS('J Book Items Cons.'!L$5:L$3360,'J Book Items Cons.'!S$5:S$3360,"",'J Book Items Cons.'!U$5:U$3360,"MSC",'J Book Items Cons.'!W$5:W$3360,"Cargo &amp; Vehicle Cargo Ships",'J Book Items Cons.'!R$5:R$3360,"",'J Book Items Cons.'!N$5:N$3360,"")+SUMIFS('J Book Items Cons.'!R$5:R$3360,'J Book Items Cons.'!S$5:S$3360,"[PARENT]",'J Book Items Cons.'!U$5:U$3360,"MSC",'J Book Items Cons.'!W$5:W$3360,"Cargo &amp; Vehicle Cargo Ships",'J Book Items Cons.'!R$5:R$3360,"&lt;&gt;")+SUMIFS('J Book Items Cons.'!N$5:N$3360,'J Book Items Cons.'!S$5:S$3360,"[PARENT]",'J Book Items Cons.'!U$5:U$3360,"MSC",'J Book Items Cons.'!W$5:W$3360,"Cargo &amp; Vehicle Cargo Ships",'J Book Items Cons.'!R$5:R$3360,"",'J Book Items Cons.'!N$5:N$3360,"&lt;&gt;")+SUMIFS('J Book Items Cons.'!L$5:L$3360,'J Book Items Cons.'!S$5:S$3360,"[PARENT]",'J Book Items Cons.'!U$5:U$3360,"MSC",'J Book Items Cons.'!W$5:W$3360,"Cargo &amp; Vehicle Cargo Ships",'J Book Items Cons.'!R$5:R$3360,"",'J Book Items Cons.'!N$5:N$3360,"")</f>
        <v>890000</v>
      </c>
      <c r="K79" s="16">
        <f>SUMIFS('J Book Items Cons.'!R$5:R$3360,'J Book Items Cons.'!S$5:S$3360,"",'J Book Items Cons.'!U$5:U$3360,"MSC",'J Book Items Cons.'!W$5:W$3360,"Surveillance Ships",'J Book Items Cons.'!R$5:R$3360,"&lt;&gt;")+SUMIFS('J Book Items Cons.'!N$5:N$3360,'J Book Items Cons.'!S$5:S$3360,"",'J Book Items Cons.'!U$5:U$3360,"MSC",'J Book Items Cons.'!W$5:W$3360,"Surveillance Ships",'J Book Items Cons.'!R$5:R$3360,"",'J Book Items Cons.'!N$5:N$3360,"&lt;&gt;")+SUMIFS('J Book Items Cons.'!L$5:L$3360,'J Book Items Cons.'!S$5:S$3360,"",'J Book Items Cons.'!U$5:U$3360,"MSC",'J Book Items Cons.'!W$5:W$3360,"Surveillance Ships",'J Book Items Cons.'!R$5:R$3360,"",'J Book Items Cons.'!N$5:N$3360,"")+SUMIFS('J Book Items Cons.'!R$5:R$3360,'J Book Items Cons.'!S$5:S$3360,"[PARENT]",'J Book Items Cons.'!U$5:U$3360,"MSC",'J Book Items Cons.'!W$5:W$3360,"Surveillance Ships",'J Book Items Cons.'!R$5:R$3360,"&lt;&gt;")+SUMIFS('J Book Items Cons.'!N$5:N$3360,'J Book Items Cons.'!S$5:S$3360,"[PARENT]",'J Book Items Cons.'!U$5:U$3360,"MSC",'J Book Items Cons.'!W$5:W$3360,"Surveillance Ships",'J Book Items Cons.'!R$5:R$3360,"",'J Book Items Cons.'!N$5:N$3360,"&lt;&gt;")+SUMIFS('J Book Items Cons.'!L$5:L$3360,'J Book Items Cons.'!S$5:S$3360,"[PARENT]",'J Book Items Cons.'!U$5:U$3360,"MSC",'J Book Items Cons.'!W$5:W$3360,"Surveillance Ships",'J Book Items Cons.'!R$5:R$3360,"",'J Book Items Cons.'!N$5:N$3360,"")</f>
        <v>643374</v>
      </c>
      <c r="L79" s="16">
        <f>SUMIFS('J Book Items Cons.'!R$5:R$3360,'J Book Items Cons.'!S$5:S$3360,"",'J Book Items Cons.'!U$5:U$3360,"USN",'J Book Items Cons.'!W$5:W$3360,"Unmanned Undersea Vehicles",'J Book Items Cons.'!R$5:R$3360,"&lt;&gt;")+SUMIFS('J Book Items Cons.'!N$5:N$3360,'J Book Items Cons.'!S$5:S$3360,"",'J Book Items Cons.'!U$5:U$3360,"USN",'J Book Items Cons.'!W$5:W$3360,"Unmanned Undersea Vehicles",'J Book Items Cons.'!R$5:R$3360,"",'J Book Items Cons.'!N$5:N$3360,"&lt;&gt;")+SUMIFS('J Book Items Cons.'!L$5:L$3360,'J Book Items Cons.'!S$5:S$3360,"",'J Book Items Cons.'!U$5:U$3360,"USN",'J Book Items Cons.'!W$5:W$3360,"Unmanned Undersea Vehicles",'J Book Items Cons.'!R$5:R$3360,"",'J Book Items Cons.'!N$5:N$3360,"")+SUMIFS('J Book Items Cons.'!R$5:R$3360,'J Book Items Cons.'!S$5:S$3360,"[PARENT]",'J Book Items Cons.'!U$5:U$3360,"USN",'J Book Items Cons.'!W$5:W$3360,"Unmanned Undersea Vehicles",'J Book Items Cons.'!R$5:R$3360,"&lt;&gt;")+SUMIFS('J Book Items Cons.'!N$5:N$3360,'J Book Items Cons.'!S$5:S$3360,"[PARENT]",'J Book Items Cons.'!U$5:U$3360,"USN",'J Book Items Cons.'!W$5:W$3360,"Unmanned Undersea Vehicles",'J Book Items Cons.'!R$5:R$3360,"",'J Book Items Cons.'!N$5:N$3360,"&lt;&gt;")+SUMIFS('J Book Items Cons.'!L$5:L$3360,'J Book Items Cons.'!S$5:S$3360,"[PARENT]",'J Book Items Cons.'!U$5:U$3360,"USN",'J Book Items Cons.'!W$5:W$3360,"Unmanned Undersea Vehicles",'J Book Items Cons.'!R$5:R$3360,"",'J Book Items Cons.'!N$5:N$3360,"")</f>
        <v>209234</v>
      </c>
      <c r="M79" s="16">
        <f>SUMIFS('J Book Items Cons.'!R$5:R$3360,'J Book Items Cons.'!S$5:S$3360,"",'J Book Items Cons.'!U$5:U$3360,"USN",'J Book Items Cons.'!W$5:W$3360,"Command Ships",'J Book Items Cons.'!R$5:R$3360,"&lt;&gt;")+SUMIFS('J Book Items Cons.'!N$5:N$3360,'J Book Items Cons.'!S$5:S$3360,"",'J Book Items Cons.'!U$5:U$3360,"USN",'J Book Items Cons.'!W$5:W$3360,"Command Ships",'J Book Items Cons.'!R$5:R$3360,"",'J Book Items Cons.'!N$5:N$3360,"&lt;&gt;")+SUMIFS('J Book Items Cons.'!L$5:L$3360,'J Book Items Cons.'!S$5:S$3360,"",'J Book Items Cons.'!U$5:U$3360,"USN",'J Book Items Cons.'!W$5:W$3360,"Command Ships",'J Book Items Cons.'!R$5:R$3360,"",'J Book Items Cons.'!N$5:N$3360,"")+SUMIFS('J Book Items Cons.'!R$5:R$3360,'J Book Items Cons.'!S$5:S$3360,"[PARENT]",'J Book Items Cons.'!U$5:U$3360,"USN",'J Book Items Cons.'!W$5:W$3360,"Command Ships",'J Book Items Cons.'!R$5:R$3360,"&lt;&gt;")+SUMIFS('J Book Items Cons.'!N$5:N$3360,'J Book Items Cons.'!S$5:S$3360,"[PARENT]",'J Book Items Cons.'!U$5:U$3360,"USN",'J Book Items Cons.'!W$5:W$3360,"Command Ships",'J Book Items Cons.'!R$5:R$3360,"",'J Book Items Cons.'!N$5:N$3360,"&lt;&gt;")+SUMIFS('J Book Items Cons.'!L$5:L$3360,'J Book Items Cons.'!S$5:S$3360,"[PARENT]",'J Book Items Cons.'!U$5:U$3360,"USN",'J Book Items Cons.'!W$5:W$3360,"Command Ships",'J Book Items Cons.'!R$5:R$3360,"",'J Book Items Cons.'!N$5:N$3360,"")</f>
        <v>41448</v>
      </c>
      <c r="N79" s="29">
        <f>SUMIFS('J Book Items Cons.'!R$5:R$3360,'J Book Items Cons.'!S$5:S$3360,"",'J Book Items Cons.'!U$5:U$3360,"USN",'J Book Items Cons.'!W$5:W$3360,"Mine Warfare",'J Book Items Cons.'!R$5:R$3360,"&lt;&gt;")+SUMIFS('J Book Items Cons.'!N$5:N$3360,'J Book Items Cons.'!S$5:S$3360,"",'J Book Items Cons.'!U$5:U$3360,"USN",'J Book Items Cons.'!W$5:W$3360,"Mine Warfare",'J Book Items Cons.'!R$5:R$3360,"",'J Book Items Cons.'!N$5:N$3360,"&lt;&gt;")+SUMIFS('J Book Items Cons.'!L$5:L$3360,'J Book Items Cons.'!S$5:S$3360,"",'J Book Items Cons.'!U$5:U$3360,"USN",'J Book Items Cons.'!W$5:W$3360,"Mine Warfare",'J Book Items Cons.'!R$5:R$3360,"",'J Book Items Cons.'!N$5:N$3360,"")+SUMIFS('J Book Items Cons.'!R$5:R$3360,'J Book Items Cons.'!S$5:S$3360,"[PARENT]",'J Book Items Cons.'!U$5:U$3360,"USN",'J Book Items Cons.'!W$5:W$3360,"Mine Warfare",'J Book Items Cons.'!R$5:R$3360,"&lt;&gt;")+SUMIFS('J Book Items Cons.'!N$5:N$3360,'J Book Items Cons.'!S$5:S$3360,"[PARENT]",'J Book Items Cons.'!U$5:U$3360,"USN",'J Book Items Cons.'!W$5:W$3360,"Mine Warfare",'J Book Items Cons.'!R$5:R$3360,"",'J Book Items Cons.'!N$5:N$3360,"&lt;&gt;")+SUMIFS('J Book Items Cons.'!L$5:L$3360,'J Book Items Cons.'!S$5:S$3360,"[PARENT]",'J Book Items Cons.'!U$5:U$3360,"USN",'J Book Items Cons.'!W$5:W$3360,"Mine Warfare",'J Book Items Cons.'!R$5:R$3360,"",'J Book Items Cons.'!N$5:N$3360,"")</f>
        <v>24349</v>
      </c>
      <c r="O79" s="28">
        <f>SUMIFS('J Book Items Cons.'!R$5:R$3360,'J Book Items Cons.'!S$5:S$3360,"",'J Book Items Cons.'!U$5:U$3360,"USCG",'J Book Items Cons.'!W$5:W$3360,"Offshore Patrol Cutter",'J Book Items Cons.'!R$5:R$3360,"&lt;&gt;")+SUMIFS('J Book Items Cons.'!N$5:N$3360,'J Book Items Cons.'!S$5:S$3360,"",'J Book Items Cons.'!U$5:U$3360,"USCG",'J Book Items Cons.'!W$5:W$3360,"Offshore Patrol Cutter",'J Book Items Cons.'!R$5:R$3360,"",'J Book Items Cons.'!N$5:N$3360,"&lt;&gt;")+SUMIFS('J Book Items Cons.'!L$5:L$3360,'J Book Items Cons.'!S$5:S$3360,"",'J Book Items Cons.'!U$5:U$3360,"USCG",'J Book Items Cons.'!W$5:W$3360,"Offshore Patrol Cutter",'J Book Items Cons.'!R$5:R$3360,"",'J Book Items Cons.'!N$5:N$3360,"")+SUMIFS('J Book Items Cons.'!R$5:R$3360,'J Book Items Cons.'!S$5:S$3360,"[PARENT]",'J Book Items Cons.'!U$5:U$3360,"USCG",'J Book Items Cons.'!W$5:W$3360,"Offshore Patrol Cutter",'J Book Items Cons.'!R$5:R$3360,"&lt;&gt;")+SUMIFS('J Book Items Cons.'!N$5:N$3360,'J Book Items Cons.'!S$5:S$3360,"[PARENT]",'J Book Items Cons.'!U$5:U$3360,"USCG",'J Book Items Cons.'!W$5:W$3360,"Offshore Patrol Cutter",'J Book Items Cons.'!R$5:R$3360,"",'J Book Items Cons.'!N$5:N$3360,"&lt;&gt;")+SUMIFS('J Book Items Cons.'!L$5:L$3360,'J Book Items Cons.'!S$5:S$3360,"[PARENT]",'J Book Items Cons.'!U$5:U$3360,"USCG",'J Book Items Cons.'!W$5:W$3360,"Offshore Patrol Cutter",'J Book Items Cons.'!R$5:R$3360,"",'J Book Items Cons.'!N$5:N$3360,"")</f>
        <v>812400</v>
      </c>
      <c r="P79" s="16">
        <f>SUMIFS('J Book Items Cons.'!R$5:R$3360,'J Book Items Cons.'!S$5:S$3360,"",'J Book Items Cons.'!U$5:U$3360,"USCG",'J Book Items Cons.'!W$5:W$3360,"Fast Response Cutters",'J Book Items Cons.'!R$5:R$3360,"&lt;&gt;")+SUMIFS('J Book Items Cons.'!N$5:N$3360,'J Book Items Cons.'!S$5:S$3360,"",'J Book Items Cons.'!U$5:U$3360,"USCG",'J Book Items Cons.'!W$5:W$3360,"Fast Response Cutters",'J Book Items Cons.'!R$5:R$3360,"",'J Book Items Cons.'!N$5:N$3360,"&lt;&gt;")+SUMIFS('J Book Items Cons.'!L$5:L$3360,'J Book Items Cons.'!S$5:S$3360,"",'J Book Items Cons.'!U$5:U$3360,"USCG",'J Book Items Cons.'!W$5:W$3360,"Fast Response Cutters",'J Book Items Cons.'!R$5:R$3360,"",'J Book Items Cons.'!N$5:N$3360,"")+SUMIFS('J Book Items Cons.'!R$5:R$3360,'J Book Items Cons.'!S$5:S$3360,"[PARENT]",'J Book Items Cons.'!U$5:U$3360,"USCG",'J Book Items Cons.'!W$5:W$3360,"Fast Response Cutters",'J Book Items Cons.'!R$5:R$3360,"&lt;&gt;")+SUMIFS('J Book Items Cons.'!N$5:N$3360,'J Book Items Cons.'!S$5:S$3360,"[PARENT]",'J Book Items Cons.'!U$5:U$3360,"USCG",'J Book Items Cons.'!W$5:W$3360,"Fast Response Cutters",'J Book Items Cons.'!R$5:R$3360,"",'J Book Items Cons.'!N$5:N$3360,"&lt;&gt;")+SUMIFS('J Book Items Cons.'!L$5:L$3360,'J Book Items Cons.'!S$5:S$3360,"[PARENT]",'J Book Items Cons.'!U$5:U$3360,"USCG",'J Book Items Cons.'!W$5:W$3360,"Fast Response Cutters",'J Book Items Cons.'!R$5:R$3360,"",'J Book Items Cons.'!N$5:N$3360,"")</f>
        <v>216000</v>
      </c>
      <c r="Q79" s="16">
        <f>SUMIFS('J Book Items Cons.'!R$5:R$3360,'J Book Items Cons.'!S$5:S$3360,"",'J Book Items Cons.'!U$5:U$3360,"USCG",'J Book Items Cons.'!W$5:W$3360,"Icebreakers, Oceangoing",'J Book Items Cons.'!R$5:R$3360,"&lt;&gt;")+SUMIFS('J Book Items Cons.'!N$5:N$3360,'J Book Items Cons.'!S$5:S$3360,"",'J Book Items Cons.'!U$5:U$3360,"USCG",'J Book Items Cons.'!W$5:W$3360,"Icebreakers, Oceangoing",'J Book Items Cons.'!R$5:R$3360,"",'J Book Items Cons.'!N$5:N$3360,"&lt;&gt;")+SUMIFS('J Book Items Cons.'!L$5:L$3360,'J Book Items Cons.'!S$5:S$3360,"",'J Book Items Cons.'!U$5:U$3360,"USCG",'J Book Items Cons.'!W$5:W$3360,"Icebreakers, Oceangoing",'J Book Items Cons.'!R$5:R$3360,"",'J Book Items Cons.'!N$5:N$3360,"")+SUMIFS('J Book Items Cons.'!R$5:R$3360,'J Book Items Cons.'!S$5:S$3360,"[PARENT]",'J Book Items Cons.'!U$5:U$3360,"USCG",'J Book Items Cons.'!W$5:W$3360,"Icebreakers, Oceangoing",'J Book Items Cons.'!R$5:R$3360,"&lt;&gt;")+SUMIFS('J Book Items Cons.'!N$5:N$3360,'J Book Items Cons.'!S$5:S$3360,"[PARENT]",'J Book Items Cons.'!U$5:U$3360,"USCG",'J Book Items Cons.'!W$5:W$3360,"Icebreakers, Oceangoing",'J Book Items Cons.'!R$5:R$3360,"",'J Book Items Cons.'!N$5:N$3360,"&lt;&gt;")+SUMIFS('J Book Items Cons.'!L$5:L$3360,'J Book Items Cons.'!S$5:S$3360,"[PARENT]",'J Book Items Cons.'!U$5:U$3360,"USCG",'J Book Items Cons.'!W$5:W$3360,"Icebreakers, Oceangoing",'J Book Items Cons.'!R$5:R$3360,"",'J Book Items Cons.'!N$5:N$3360,"")</f>
        <v>130000</v>
      </c>
      <c r="R79" s="16">
        <f>SUMIFS('J Book Items Cons.'!R$5:R$3360,'J Book Items Cons.'!S$5:S$3360,"",'J Book Items Cons.'!U$5:U$3360,"USCG",'J Book Items Cons.'!W$5:W$3360,"Waterways Commerce Cutters",'J Book Items Cons.'!R$5:R$3360,"&lt;&gt;")+SUMIFS('J Book Items Cons.'!N$5:N$3360,'J Book Items Cons.'!S$5:S$3360,"",'J Book Items Cons.'!U$5:U$3360,"USCG",'J Book Items Cons.'!W$5:W$3360,"Waterways Commerce Cutters",'J Book Items Cons.'!R$5:R$3360,"",'J Book Items Cons.'!N$5:N$3360,"&lt;&gt;")+SUMIFS('J Book Items Cons.'!L$5:L$3360,'J Book Items Cons.'!S$5:S$3360,"",'J Book Items Cons.'!U$5:U$3360,"USCG",'J Book Items Cons.'!W$5:W$3360,"Waterways Commerce Cutters",'J Book Items Cons.'!R$5:R$3360,"",'J Book Items Cons.'!N$5:N$3360,"")+SUMIFS('J Book Items Cons.'!R$5:R$3360,'J Book Items Cons.'!S$5:S$3360,"[PARENT]",'J Book Items Cons.'!U$5:U$3360,"USCG",'J Book Items Cons.'!W$5:W$3360,"Waterways Commerce Cutters",'J Book Items Cons.'!R$5:R$3360,"&lt;&gt;")+SUMIFS('J Book Items Cons.'!N$5:N$3360,'J Book Items Cons.'!S$5:S$3360,"[PARENT]",'J Book Items Cons.'!U$5:U$3360,"USCG",'J Book Items Cons.'!W$5:W$3360,"Waterways Commerce Cutters",'J Book Items Cons.'!R$5:R$3360,"",'J Book Items Cons.'!N$5:N$3360,"&lt;&gt;")+SUMIFS('J Book Items Cons.'!L$5:L$3360,'J Book Items Cons.'!S$5:S$3360,"[PARENT]",'J Book Items Cons.'!U$5:U$3360,"USCG",'J Book Items Cons.'!W$5:W$3360,"Waterways Commerce Cutters",'J Book Items Cons.'!R$5:R$3360,"",'J Book Items Cons.'!N$5:N$3360,"")</f>
        <v>98000</v>
      </c>
      <c r="S79" s="29">
        <f>SUMIFS('J Book Items Cons.'!R$5:R$3360,'J Book Items Cons.'!S$5:S$3360,"",'J Book Items Cons.'!U$5:U$3360,"USCG",'J Book Items Cons.'!W$5:W$3360,"National Security Cutters",'J Book Items Cons.'!R$5:R$3360,"&lt;&gt;")+SUMIFS('J Book Items Cons.'!N$5:N$3360,'J Book Items Cons.'!S$5:S$3360,"",'J Book Items Cons.'!U$5:U$3360,"USCG",'J Book Items Cons.'!W$5:W$3360,"National Security Cutters",'J Book Items Cons.'!R$5:R$3360,"",'J Book Items Cons.'!N$5:N$3360,"&lt;&gt;")+SUMIFS('J Book Items Cons.'!L$5:L$3360,'J Book Items Cons.'!S$5:S$3360,"",'J Book Items Cons.'!U$5:U$3360,"USCG",'J Book Items Cons.'!W$5:W$3360,"National Security Cutters",'J Book Items Cons.'!R$5:R$3360,"",'J Book Items Cons.'!N$5:N$3360,"")+SUMIFS('J Book Items Cons.'!R$5:R$3360,'J Book Items Cons.'!S$5:S$3360,"[PARENT]",'J Book Items Cons.'!U$5:U$3360,"USCG",'J Book Items Cons.'!W$5:W$3360,"National Security Cutters",'J Book Items Cons.'!R$5:R$3360,"&lt;&gt;")+SUMIFS('J Book Items Cons.'!N$5:N$3360,'J Book Items Cons.'!S$5:S$3360,"[PARENT]",'J Book Items Cons.'!U$5:U$3360,"USCG",'J Book Items Cons.'!W$5:W$3360,"National Security Cutters",'J Book Items Cons.'!R$5:R$3360,"",'J Book Items Cons.'!N$5:N$3360,"&lt;&gt;")+SUMIFS('J Book Items Cons.'!L$5:L$3360,'J Book Items Cons.'!S$5:S$3360,"[PARENT]",'J Book Items Cons.'!U$5:U$3360,"USCG",'J Book Items Cons.'!W$5:W$3360,"National Security Cutters",'J Book Items Cons.'!R$5:R$3360,"",'J Book Items Cons.'!N$5:N$3360,"")</f>
        <v>31000</v>
      </c>
      <c r="T79" s="16">
        <f>SUM(B79:S79)</f>
        <v>66884487</v>
      </c>
    </row>
    <row r="82" spans="1:20" x14ac:dyDescent="0.15">
      <c r="A82" s="11" t="s">
        <v>8855</v>
      </c>
      <c r="B82" s="11"/>
      <c r="C82" s="11"/>
      <c r="D82" s="11"/>
      <c r="E82" s="11"/>
      <c r="F82" s="11"/>
      <c r="G82" s="11"/>
      <c r="H82" s="11"/>
      <c r="I82" s="11"/>
      <c r="J82" s="11"/>
      <c r="K82" s="11"/>
      <c r="L82" s="11"/>
      <c r="M82" s="11"/>
      <c r="N82" s="11"/>
      <c r="O82" s="11"/>
      <c r="P82" s="11"/>
      <c r="Q82" s="11"/>
      <c r="R82" s="11"/>
      <c r="S82" s="11"/>
      <c r="T82" s="11"/>
    </row>
    <row r="83" spans="1:20" x14ac:dyDescent="0.15">
      <c r="A83" s="31"/>
      <c r="B83" s="32" t="s">
        <v>44</v>
      </c>
      <c r="C83" s="33"/>
      <c r="D83" s="33"/>
      <c r="E83" s="33"/>
      <c r="F83" s="33"/>
      <c r="G83" s="33"/>
      <c r="H83" s="33"/>
      <c r="I83" s="33"/>
      <c r="J83" s="33"/>
      <c r="K83" s="33"/>
      <c r="L83" s="33"/>
      <c r="M83" s="33"/>
      <c r="N83" s="34"/>
      <c r="O83" s="32" t="s">
        <v>7086</v>
      </c>
      <c r="P83" s="33"/>
      <c r="Q83" s="33"/>
      <c r="R83" s="33"/>
      <c r="S83" s="34"/>
      <c r="T83" s="31"/>
    </row>
    <row r="84" spans="1:20" x14ac:dyDescent="0.15">
      <c r="A84" s="12" t="s">
        <v>8820</v>
      </c>
      <c r="B84" s="22" t="s">
        <v>46</v>
      </c>
      <c r="C84" s="12" t="s">
        <v>130</v>
      </c>
      <c r="D84" s="12" t="s">
        <v>67</v>
      </c>
      <c r="E84" s="12" t="s">
        <v>171</v>
      </c>
      <c r="F84" s="12" t="s">
        <v>211</v>
      </c>
      <c r="G84" s="12" t="s">
        <v>235</v>
      </c>
      <c r="H84" s="12" t="s">
        <v>5560</v>
      </c>
      <c r="I84" s="12" t="s">
        <v>282</v>
      </c>
      <c r="J84" s="12" t="s">
        <v>288</v>
      </c>
      <c r="K84" s="12" t="s">
        <v>249</v>
      </c>
      <c r="L84" s="12" t="s">
        <v>4768</v>
      </c>
      <c r="M84" s="12" t="s">
        <v>4977</v>
      </c>
      <c r="N84" s="23" t="s">
        <v>4779</v>
      </c>
      <c r="O84" s="22" t="s">
        <v>8649</v>
      </c>
      <c r="P84" s="12" t="s">
        <v>8657</v>
      </c>
      <c r="Q84" s="12" t="s">
        <v>8668</v>
      </c>
      <c r="R84" s="12" t="s">
        <v>8682</v>
      </c>
      <c r="S84" s="23" t="s">
        <v>7088</v>
      </c>
      <c r="T84" s="13" t="s">
        <v>8831</v>
      </c>
    </row>
    <row r="85" spans="1:20" x14ac:dyDescent="0.15">
      <c r="A85" s="7" t="s">
        <v>8822</v>
      </c>
      <c r="B85" s="37">
        <f t="shared" ref="B85:S85" si="8">IF(B88=0,0,1)</f>
        <v>1</v>
      </c>
      <c r="C85" s="38">
        <f t="shared" si="8"/>
        <v>1</v>
      </c>
      <c r="D85" s="38">
        <f t="shared" si="8"/>
        <v>1</v>
      </c>
      <c r="E85" s="38">
        <f t="shared" si="8"/>
        <v>1</v>
      </c>
      <c r="F85" s="38">
        <f t="shared" si="8"/>
        <v>1</v>
      </c>
      <c r="G85" s="38">
        <f t="shared" si="8"/>
        <v>1</v>
      </c>
      <c r="H85" s="38">
        <f t="shared" si="8"/>
        <v>1</v>
      </c>
      <c r="I85" s="38">
        <f t="shared" si="8"/>
        <v>1</v>
      </c>
      <c r="J85" s="38">
        <f t="shared" si="8"/>
        <v>1</v>
      </c>
      <c r="K85" s="38">
        <f t="shared" si="8"/>
        <v>1</v>
      </c>
      <c r="L85" s="38">
        <f t="shared" si="8"/>
        <v>1</v>
      </c>
      <c r="M85" s="38">
        <f t="shared" si="8"/>
        <v>0</v>
      </c>
      <c r="N85" s="39">
        <f t="shared" si="8"/>
        <v>0</v>
      </c>
      <c r="O85" s="37">
        <f t="shared" si="8"/>
        <v>1</v>
      </c>
      <c r="P85" s="38">
        <f t="shared" si="8"/>
        <v>1</v>
      </c>
      <c r="Q85" s="38">
        <f t="shared" si="8"/>
        <v>1</v>
      </c>
      <c r="R85" s="38">
        <f t="shared" si="8"/>
        <v>1</v>
      </c>
      <c r="S85" s="39">
        <f t="shared" si="8"/>
        <v>0</v>
      </c>
      <c r="T85" s="38">
        <f>IF(T88=0,0,SUMPRODUCT(B85:S85,B$88:S$88)/T$88)</f>
        <v>1</v>
      </c>
    </row>
    <row r="86" spans="1:20" x14ac:dyDescent="0.15">
      <c r="A86" s="4" t="s">
        <v>8849</v>
      </c>
      <c r="B86" s="37">
        <f>IF(B88=0,0,(SUMIFS('J Book Items Cons.'!R$5:R$3360,'J Book Items Cons.'!S$5:S$3360,"",'J Book Items Cons.'!E$5:E$3360,1,'J Book Items Cons.'!F$5:F$3360,"Full ship DD&amp;C",'J Book Items Cons.'!U$5:U$3360,"USN",'J Book Items Cons.'!W$5:W$3360,"Submarines",'J Book Items Cons.'!R$5:R$3360,"&lt;&gt;")+SUMIFS('J Book Items Cons.'!N$5:N$3360,'J Book Items Cons.'!S$5:S$3360,"",'J Book Items Cons.'!E$5:E$3360,1,'J Book Items Cons.'!F$5:F$3360,"Full ship DD&amp;C",'J Book Items Cons.'!U$5:U$3360,"USN",'J Book Items Cons.'!W$5:W$3360,"Submarines",'J Book Items Cons.'!R$5:R$3360,"",'J Book Items Cons.'!N$5:N$3360,"&lt;&gt;")+SUMIFS('J Book Items Cons.'!L$5:L$3360,'J Book Items Cons.'!S$5:S$3360,"",'J Book Items Cons.'!E$5:E$3360,1,'J Book Items Cons.'!F$5:F$3360,"Full ship DD&amp;C",'J Book Items Cons.'!U$5:U$3360,"USN",'J Book Items Cons.'!W$5:W$3360,"Submarines",'J Book Items Cons.'!R$5:R$3360,"",'J Book Items Cons.'!N$5:N$3360,"")+SUMIFS('J Book Items Cons.'!R$5:R$3360,'J Book Items Cons.'!S$5:S$3360,"[PARENT]",'J Book Items Cons.'!E$5:E$3360,1,'J Book Items Cons.'!F$5:F$3360,"Full ship DD&amp;C",'J Book Items Cons.'!U$5:U$3360,"USN",'J Book Items Cons.'!W$5:W$3360,"Submarines",'J Book Items Cons.'!R$5:R$3360,"&lt;&gt;")+SUMIFS('J Book Items Cons.'!N$5:N$3360,'J Book Items Cons.'!S$5:S$3360,"[PARENT]",'J Book Items Cons.'!E$5:E$3360,1,'J Book Items Cons.'!F$5:F$3360,"Full ship DD&amp;C",'J Book Items Cons.'!U$5:U$3360,"USN",'J Book Items Cons.'!W$5:W$3360,"Submarines",'J Book Items Cons.'!R$5:R$3360,"",'J Book Items Cons.'!N$5:N$3360,"&lt;&gt;")+SUMIFS('J Book Items Cons.'!L$5:L$3360,'J Book Items Cons.'!S$5:S$3360,"[PARENT]",'J Book Items Cons.'!E$5:E$3360,1,'J Book Items Cons.'!F$5:F$3360,"Full ship DD&amp;C",'J Book Items Cons.'!U$5:U$3360,"USN",'J Book Items Cons.'!W$5:W$3360,"Submarines",'J Book Items Cons.'!R$5:R$3360,"",'J Book Items Cons.'!N$5:N$3360,""))/B88)</f>
        <v>0.56514317853052976</v>
      </c>
      <c r="C86" s="38">
        <f>IF(C88=0,0,(SUMIFS('J Book Items Cons.'!R$5:R$3360,'J Book Items Cons.'!S$5:S$3360,"",'J Book Items Cons.'!E$5:E$3360,1,'J Book Items Cons.'!F$5:F$3360,"Full ship DD&amp;C",'J Book Items Cons.'!U$5:U$3360,"USN",'J Book Items Cons.'!W$5:W$3360,"Surface Combatants",'J Book Items Cons.'!R$5:R$3360,"&lt;&gt;")+SUMIFS('J Book Items Cons.'!N$5:N$3360,'J Book Items Cons.'!S$5:S$3360,"",'J Book Items Cons.'!E$5:E$3360,1,'J Book Items Cons.'!F$5:F$3360,"Full ship DD&amp;C",'J Book Items Cons.'!U$5:U$3360,"USN",'J Book Items Cons.'!W$5:W$3360,"Surface Combatants",'J Book Items Cons.'!R$5:R$3360,"",'J Book Items Cons.'!N$5:N$3360,"&lt;&gt;")+SUMIFS('J Book Items Cons.'!L$5:L$3360,'J Book Items Cons.'!S$5:S$3360,"",'J Book Items Cons.'!E$5:E$3360,1,'J Book Items Cons.'!F$5:F$3360,"Full ship DD&amp;C",'J Book Items Cons.'!U$5:U$3360,"USN",'J Book Items Cons.'!W$5:W$3360,"Surface Combatants",'J Book Items Cons.'!R$5:R$3360,"",'J Book Items Cons.'!N$5:N$3360,"")+SUMIFS('J Book Items Cons.'!R$5:R$3360,'J Book Items Cons.'!S$5:S$3360,"[PARENT]",'J Book Items Cons.'!E$5:E$3360,1,'J Book Items Cons.'!F$5:F$3360,"Full ship DD&amp;C",'J Book Items Cons.'!U$5:U$3360,"USN",'J Book Items Cons.'!W$5:W$3360,"Surface Combatants",'J Book Items Cons.'!R$5:R$3360,"&lt;&gt;")+SUMIFS('J Book Items Cons.'!N$5:N$3360,'J Book Items Cons.'!S$5:S$3360,"[PARENT]",'J Book Items Cons.'!E$5:E$3360,1,'J Book Items Cons.'!F$5:F$3360,"Full ship DD&amp;C",'J Book Items Cons.'!U$5:U$3360,"USN",'J Book Items Cons.'!W$5:W$3360,"Surface Combatants",'J Book Items Cons.'!R$5:R$3360,"",'J Book Items Cons.'!N$5:N$3360,"&lt;&gt;")+SUMIFS('J Book Items Cons.'!L$5:L$3360,'J Book Items Cons.'!S$5:S$3360,"[PARENT]",'J Book Items Cons.'!E$5:E$3360,1,'J Book Items Cons.'!F$5:F$3360,"Full ship DD&amp;C",'J Book Items Cons.'!U$5:U$3360,"USN",'J Book Items Cons.'!W$5:W$3360,"Surface Combatants",'J Book Items Cons.'!R$5:R$3360,"",'J Book Items Cons.'!N$5:N$3360,""))/C88)</f>
        <v>0.7652623407958894</v>
      </c>
      <c r="D86" s="38">
        <f>IF(D88=0,0,(SUMIFS('J Book Items Cons.'!R$5:R$3360,'J Book Items Cons.'!S$5:S$3360,"",'J Book Items Cons.'!E$5:E$3360,1,'J Book Items Cons.'!F$5:F$3360,"Full ship DD&amp;C",'J Book Items Cons.'!U$5:U$3360,"USN",'J Book Items Cons.'!W$5:W$3360,"Aircraft Carriers",'J Book Items Cons.'!R$5:R$3360,"&lt;&gt;")+SUMIFS('J Book Items Cons.'!N$5:N$3360,'J Book Items Cons.'!S$5:S$3360,"",'J Book Items Cons.'!E$5:E$3360,1,'J Book Items Cons.'!F$5:F$3360,"Full ship DD&amp;C",'J Book Items Cons.'!U$5:U$3360,"USN",'J Book Items Cons.'!W$5:W$3360,"Aircraft Carriers",'J Book Items Cons.'!R$5:R$3360,"",'J Book Items Cons.'!N$5:N$3360,"&lt;&gt;")+SUMIFS('J Book Items Cons.'!L$5:L$3360,'J Book Items Cons.'!S$5:S$3360,"",'J Book Items Cons.'!E$5:E$3360,1,'J Book Items Cons.'!F$5:F$3360,"Full ship DD&amp;C",'J Book Items Cons.'!U$5:U$3360,"USN",'J Book Items Cons.'!W$5:W$3360,"Aircraft Carriers",'J Book Items Cons.'!R$5:R$3360,"",'J Book Items Cons.'!N$5:N$3360,"")+SUMIFS('J Book Items Cons.'!R$5:R$3360,'J Book Items Cons.'!S$5:S$3360,"[PARENT]",'J Book Items Cons.'!E$5:E$3360,1,'J Book Items Cons.'!F$5:F$3360,"Full ship DD&amp;C",'J Book Items Cons.'!U$5:U$3360,"USN",'J Book Items Cons.'!W$5:W$3360,"Aircraft Carriers",'J Book Items Cons.'!R$5:R$3360,"&lt;&gt;")+SUMIFS('J Book Items Cons.'!N$5:N$3360,'J Book Items Cons.'!S$5:S$3360,"[PARENT]",'J Book Items Cons.'!E$5:E$3360,1,'J Book Items Cons.'!F$5:F$3360,"Full ship DD&amp;C",'J Book Items Cons.'!U$5:U$3360,"USN",'J Book Items Cons.'!W$5:W$3360,"Aircraft Carriers",'J Book Items Cons.'!R$5:R$3360,"",'J Book Items Cons.'!N$5:N$3360,"&lt;&gt;")+SUMIFS('J Book Items Cons.'!L$5:L$3360,'J Book Items Cons.'!S$5:S$3360,"[PARENT]",'J Book Items Cons.'!E$5:E$3360,1,'J Book Items Cons.'!F$5:F$3360,"Full ship DD&amp;C",'J Book Items Cons.'!U$5:U$3360,"USN",'J Book Items Cons.'!W$5:W$3360,"Aircraft Carriers",'J Book Items Cons.'!R$5:R$3360,"",'J Book Items Cons.'!N$5:N$3360,""))/D88)</f>
        <v>0.81349817608274799</v>
      </c>
      <c r="E86" s="38">
        <f>IF(E88=0,0,(SUMIFS('J Book Items Cons.'!R$5:R$3360,'J Book Items Cons.'!S$5:S$3360,"",'J Book Items Cons.'!E$5:E$3360,1,'J Book Items Cons.'!F$5:F$3360,"Full ship DD&amp;C",'J Book Items Cons.'!U$5:U$3360,"USN",'J Book Items Cons.'!W$5:W$3360,"Amphibious Warfare Ships",'J Book Items Cons.'!R$5:R$3360,"&lt;&gt;")+SUMIFS('J Book Items Cons.'!N$5:N$3360,'J Book Items Cons.'!S$5:S$3360,"",'J Book Items Cons.'!E$5:E$3360,1,'J Book Items Cons.'!F$5:F$3360,"Full ship DD&amp;C",'J Book Items Cons.'!U$5:U$3360,"USN",'J Book Items Cons.'!W$5:W$3360,"Amphibious Warfare Ships",'J Book Items Cons.'!R$5:R$3360,"",'J Book Items Cons.'!N$5:N$3360,"&lt;&gt;")+SUMIFS('J Book Items Cons.'!L$5:L$3360,'J Book Items Cons.'!S$5:S$3360,"",'J Book Items Cons.'!E$5:E$3360,1,'J Book Items Cons.'!F$5:F$3360,"Full ship DD&amp;C",'J Book Items Cons.'!U$5:U$3360,"USN",'J Book Items Cons.'!W$5:W$3360,"Amphibious Warfare Ships",'J Book Items Cons.'!R$5:R$3360,"",'J Book Items Cons.'!N$5:N$3360,"")+SUMIFS('J Book Items Cons.'!R$5:R$3360,'J Book Items Cons.'!S$5:S$3360,"[PARENT]",'J Book Items Cons.'!E$5:E$3360,1,'J Book Items Cons.'!F$5:F$3360,"Full ship DD&amp;C",'J Book Items Cons.'!U$5:U$3360,"USN",'J Book Items Cons.'!W$5:W$3360,"Amphibious Warfare Ships",'J Book Items Cons.'!R$5:R$3360,"&lt;&gt;")+SUMIFS('J Book Items Cons.'!N$5:N$3360,'J Book Items Cons.'!S$5:S$3360,"[PARENT]",'J Book Items Cons.'!E$5:E$3360,1,'J Book Items Cons.'!F$5:F$3360,"Full ship DD&amp;C",'J Book Items Cons.'!U$5:U$3360,"USN",'J Book Items Cons.'!W$5:W$3360,"Amphibious Warfare Ships",'J Book Items Cons.'!R$5:R$3360,"",'J Book Items Cons.'!N$5:N$3360,"&lt;&gt;")+SUMIFS('J Book Items Cons.'!L$5:L$3360,'J Book Items Cons.'!S$5:S$3360,"[PARENT]",'J Book Items Cons.'!E$5:E$3360,1,'J Book Items Cons.'!F$5:F$3360,"Full ship DD&amp;C",'J Book Items Cons.'!U$5:U$3360,"USN",'J Book Items Cons.'!W$5:W$3360,"Amphibious Warfare Ships",'J Book Items Cons.'!R$5:R$3360,"",'J Book Items Cons.'!N$5:N$3360,""))/E88)</f>
        <v>0.84240687679083093</v>
      </c>
      <c r="F86" s="38">
        <f>IF(F88=0,0,(SUMIFS('J Book Items Cons.'!R$5:R$3360,'J Book Items Cons.'!S$5:S$3360,"",'J Book Items Cons.'!E$5:E$3360,1,'J Book Items Cons.'!F$5:F$3360,"Full ship DD&amp;C",'J Book Items Cons.'!U$5:U$3360,"USN",'J Book Items Cons.'!W$5:W$3360,"Expeditionary &amp; Seabasing Ships",'J Book Items Cons.'!R$5:R$3360,"&lt;&gt;")+SUMIFS('J Book Items Cons.'!N$5:N$3360,'J Book Items Cons.'!S$5:S$3360,"",'J Book Items Cons.'!E$5:E$3360,1,'J Book Items Cons.'!F$5:F$3360,"Full ship DD&amp;C",'J Book Items Cons.'!U$5:U$3360,"USN",'J Book Items Cons.'!W$5:W$3360,"Expeditionary &amp; Seabasing Ships",'J Book Items Cons.'!R$5:R$3360,"",'J Book Items Cons.'!N$5:N$3360,"&lt;&gt;")+SUMIFS('J Book Items Cons.'!L$5:L$3360,'J Book Items Cons.'!S$5:S$3360,"",'J Book Items Cons.'!E$5:E$3360,1,'J Book Items Cons.'!F$5:F$3360,"Full ship DD&amp;C",'J Book Items Cons.'!U$5:U$3360,"USN",'J Book Items Cons.'!W$5:W$3360,"Expeditionary &amp; Seabasing Ships",'J Book Items Cons.'!R$5:R$3360,"",'J Book Items Cons.'!N$5:N$3360,"")+SUMIFS('J Book Items Cons.'!R$5:R$3360,'J Book Items Cons.'!S$5:S$3360,"[PARENT]",'J Book Items Cons.'!E$5:E$3360,1,'J Book Items Cons.'!F$5:F$3360,"Full ship DD&amp;C",'J Book Items Cons.'!U$5:U$3360,"USN",'J Book Items Cons.'!W$5:W$3360,"Expeditionary &amp; Seabasing Ships",'J Book Items Cons.'!R$5:R$3360,"&lt;&gt;")+SUMIFS('J Book Items Cons.'!N$5:N$3360,'J Book Items Cons.'!S$5:S$3360,"[PARENT]",'J Book Items Cons.'!E$5:E$3360,1,'J Book Items Cons.'!F$5:F$3360,"Full ship DD&amp;C",'J Book Items Cons.'!U$5:U$3360,"USN",'J Book Items Cons.'!W$5:W$3360,"Expeditionary &amp; Seabasing Ships",'J Book Items Cons.'!R$5:R$3360,"",'J Book Items Cons.'!N$5:N$3360,"&lt;&gt;")+SUMIFS('J Book Items Cons.'!L$5:L$3360,'J Book Items Cons.'!S$5:S$3360,"[PARENT]",'J Book Items Cons.'!E$5:E$3360,1,'J Book Items Cons.'!F$5:F$3360,"Full ship DD&amp;C",'J Book Items Cons.'!U$5:U$3360,"USN",'J Book Items Cons.'!W$5:W$3360,"Expeditionary &amp; Seabasing Ships",'J Book Items Cons.'!R$5:R$3360,"",'J Book Items Cons.'!N$5:N$3360,""))/F88)</f>
        <v>1</v>
      </c>
      <c r="G86" s="38">
        <f>IF(G88=0,0,(SUMIFS('J Book Items Cons.'!R$5:R$3360,'J Book Items Cons.'!S$5:S$3360,"",'J Book Items Cons.'!E$5:E$3360,1,'J Book Items Cons.'!F$5:F$3360,"Full ship DD&amp;C",'J Book Items Cons.'!U$5:U$3360,"MSC",'J Book Items Cons.'!W$5:W$3360,"Combat Logistics Ships",'J Book Items Cons.'!R$5:R$3360,"&lt;&gt;")+SUMIFS('J Book Items Cons.'!N$5:N$3360,'J Book Items Cons.'!S$5:S$3360,"",'J Book Items Cons.'!E$5:E$3360,1,'J Book Items Cons.'!F$5:F$3360,"Full ship DD&amp;C",'J Book Items Cons.'!U$5:U$3360,"MSC",'J Book Items Cons.'!W$5:W$3360,"Combat Logistics Ships",'J Book Items Cons.'!R$5:R$3360,"",'J Book Items Cons.'!N$5:N$3360,"&lt;&gt;")+SUMIFS('J Book Items Cons.'!L$5:L$3360,'J Book Items Cons.'!S$5:S$3360,"",'J Book Items Cons.'!E$5:E$3360,1,'J Book Items Cons.'!F$5:F$3360,"Full ship DD&amp;C",'J Book Items Cons.'!U$5:U$3360,"MSC",'J Book Items Cons.'!W$5:W$3360,"Combat Logistics Ships",'J Book Items Cons.'!R$5:R$3360,"",'J Book Items Cons.'!N$5:N$3360,"")+SUMIFS('J Book Items Cons.'!R$5:R$3360,'J Book Items Cons.'!S$5:S$3360,"[PARENT]",'J Book Items Cons.'!E$5:E$3360,1,'J Book Items Cons.'!F$5:F$3360,"Full ship DD&amp;C",'J Book Items Cons.'!U$5:U$3360,"MSC",'J Book Items Cons.'!W$5:W$3360,"Combat Logistics Ships",'J Book Items Cons.'!R$5:R$3360,"&lt;&gt;")+SUMIFS('J Book Items Cons.'!N$5:N$3360,'J Book Items Cons.'!S$5:S$3360,"[PARENT]",'J Book Items Cons.'!E$5:E$3360,1,'J Book Items Cons.'!F$5:F$3360,"Full ship DD&amp;C",'J Book Items Cons.'!U$5:U$3360,"MSC",'J Book Items Cons.'!W$5:W$3360,"Combat Logistics Ships",'J Book Items Cons.'!R$5:R$3360,"",'J Book Items Cons.'!N$5:N$3360,"&lt;&gt;")+SUMIFS('J Book Items Cons.'!L$5:L$3360,'J Book Items Cons.'!S$5:S$3360,"[PARENT]",'J Book Items Cons.'!E$5:E$3360,1,'J Book Items Cons.'!F$5:F$3360,"Full ship DD&amp;C",'J Book Items Cons.'!U$5:U$3360,"MSC",'J Book Items Cons.'!W$5:W$3360,"Combat Logistics Ships",'J Book Items Cons.'!R$5:R$3360,"",'J Book Items Cons.'!N$5:N$3360,""))/G88)</f>
        <v>1</v>
      </c>
      <c r="H86" s="38">
        <f>IF(H88=0,0,(SUMIFS('J Book Items Cons.'!R$5:R$3360,'J Book Items Cons.'!S$5:S$3360,"",'J Book Items Cons.'!E$5:E$3360,1,'J Book Items Cons.'!F$5:F$3360,"Full ship DD&amp;C",'J Book Items Cons.'!U$5:U$3360,"USN",'J Book Items Cons.'!W$5:W$3360,"Unmanned Surface Vehicles",'J Book Items Cons.'!R$5:R$3360,"&lt;&gt;")+SUMIFS('J Book Items Cons.'!N$5:N$3360,'J Book Items Cons.'!S$5:S$3360,"",'J Book Items Cons.'!E$5:E$3360,1,'J Book Items Cons.'!F$5:F$3360,"Full ship DD&amp;C",'J Book Items Cons.'!U$5:U$3360,"USN",'J Book Items Cons.'!W$5:W$3360,"Unmanned Surface Vehicles",'J Book Items Cons.'!R$5:R$3360,"",'J Book Items Cons.'!N$5:N$3360,"&lt;&gt;")+SUMIFS('J Book Items Cons.'!L$5:L$3360,'J Book Items Cons.'!S$5:S$3360,"",'J Book Items Cons.'!E$5:E$3360,1,'J Book Items Cons.'!F$5:F$3360,"Full ship DD&amp;C",'J Book Items Cons.'!U$5:U$3360,"USN",'J Book Items Cons.'!W$5:W$3360,"Unmanned Surface Vehicles",'J Book Items Cons.'!R$5:R$3360,"",'J Book Items Cons.'!N$5:N$3360,"")+SUMIFS('J Book Items Cons.'!R$5:R$3360,'J Book Items Cons.'!S$5:S$3360,"[PARENT]",'J Book Items Cons.'!E$5:E$3360,1,'J Book Items Cons.'!F$5:F$3360,"Full ship DD&amp;C",'J Book Items Cons.'!U$5:U$3360,"USN",'J Book Items Cons.'!W$5:W$3360,"Unmanned Surface Vehicles",'J Book Items Cons.'!R$5:R$3360,"&lt;&gt;")+SUMIFS('J Book Items Cons.'!N$5:N$3360,'J Book Items Cons.'!S$5:S$3360,"[PARENT]",'J Book Items Cons.'!E$5:E$3360,1,'J Book Items Cons.'!F$5:F$3360,"Full ship DD&amp;C",'J Book Items Cons.'!U$5:U$3360,"USN",'J Book Items Cons.'!W$5:W$3360,"Unmanned Surface Vehicles",'J Book Items Cons.'!R$5:R$3360,"",'J Book Items Cons.'!N$5:N$3360,"&lt;&gt;")+SUMIFS('J Book Items Cons.'!L$5:L$3360,'J Book Items Cons.'!S$5:S$3360,"[PARENT]",'J Book Items Cons.'!E$5:E$3360,1,'J Book Items Cons.'!F$5:F$3360,"Full ship DD&amp;C",'J Book Items Cons.'!U$5:U$3360,"USN",'J Book Items Cons.'!W$5:W$3360,"Unmanned Surface Vehicles",'J Book Items Cons.'!R$5:R$3360,"",'J Book Items Cons.'!N$5:N$3360,""))/H88)</f>
        <v>0</v>
      </c>
      <c r="I86" s="38">
        <f>IF(I88=0,0,(SUMIFS('J Book Items Cons.'!R$5:R$3360,'J Book Items Cons.'!S$5:S$3360,"",'J Book Items Cons.'!E$5:E$3360,1,'J Book Items Cons.'!F$5:F$3360,"Full ship DD&amp;C",'J Book Items Cons.'!U$5:U$3360,"USN",'J Book Items Cons.'!W$5:W$3360,"Amphibious Warfare Craft",'J Book Items Cons.'!R$5:R$3360,"&lt;&gt;")+SUMIFS('J Book Items Cons.'!N$5:N$3360,'J Book Items Cons.'!S$5:S$3360,"",'J Book Items Cons.'!E$5:E$3360,1,'J Book Items Cons.'!F$5:F$3360,"Full ship DD&amp;C",'J Book Items Cons.'!U$5:U$3360,"USN",'J Book Items Cons.'!W$5:W$3360,"Amphibious Warfare Craft",'J Book Items Cons.'!R$5:R$3360,"",'J Book Items Cons.'!N$5:N$3360,"&lt;&gt;")+SUMIFS('J Book Items Cons.'!L$5:L$3360,'J Book Items Cons.'!S$5:S$3360,"",'J Book Items Cons.'!E$5:E$3360,1,'J Book Items Cons.'!F$5:F$3360,"Full ship DD&amp;C",'J Book Items Cons.'!U$5:U$3360,"USN",'J Book Items Cons.'!W$5:W$3360,"Amphibious Warfare Craft",'J Book Items Cons.'!R$5:R$3360,"",'J Book Items Cons.'!N$5:N$3360,"")+SUMIFS('J Book Items Cons.'!R$5:R$3360,'J Book Items Cons.'!S$5:S$3360,"[PARENT]",'J Book Items Cons.'!E$5:E$3360,1,'J Book Items Cons.'!F$5:F$3360,"Full ship DD&amp;C",'J Book Items Cons.'!U$5:U$3360,"USN",'J Book Items Cons.'!W$5:W$3360,"Amphibious Warfare Craft",'J Book Items Cons.'!R$5:R$3360,"&lt;&gt;")+SUMIFS('J Book Items Cons.'!N$5:N$3360,'J Book Items Cons.'!S$5:S$3360,"[PARENT]",'J Book Items Cons.'!E$5:E$3360,1,'J Book Items Cons.'!F$5:F$3360,"Full ship DD&amp;C",'J Book Items Cons.'!U$5:U$3360,"USN",'J Book Items Cons.'!W$5:W$3360,"Amphibious Warfare Craft",'J Book Items Cons.'!R$5:R$3360,"",'J Book Items Cons.'!N$5:N$3360,"&lt;&gt;")+SUMIFS('J Book Items Cons.'!L$5:L$3360,'J Book Items Cons.'!S$5:S$3360,"[PARENT]",'J Book Items Cons.'!E$5:E$3360,1,'J Book Items Cons.'!F$5:F$3360,"Full ship DD&amp;C",'J Book Items Cons.'!U$5:U$3360,"USN",'J Book Items Cons.'!W$5:W$3360,"Amphibious Warfare Craft",'J Book Items Cons.'!R$5:R$3360,"",'J Book Items Cons.'!N$5:N$3360,""))/I88)</f>
        <v>1</v>
      </c>
      <c r="J86" s="38">
        <f>IF(J88=0,0,(SUMIFS('J Book Items Cons.'!R$5:R$3360,'J Book Items Cons.'!S$5:S$3360,"",'J Book Items Cons.'!E$5:E$3360,1,'J Book Items Cons.'!F$5:F$3360,"Full ship DD&amp;C",'J Book Items Cons.'!U$5:U$3360,"MSC",'J Book Items Cons.'!W$5:W$3360,"Cargo &amp; Vehicle Cargo Ships",'J Book Items Cons.'!R$5:R$3360,"&lt;&gt;")+SUMIFS('J Book Items Cons.'!N$5:N$3360,'J Book Items Cons.'!S$5:S$3360,"",'J Book Items Cons.'!E$5:E$3360,1,'J Book Items Cons.'!F$5:F$3360,"Full ship DD&amp;C",'J Book Items Cons.'!U$5:U$3360,"MSC",'J Book Items Cons.'!W$5:W$3360,"Cargo &amp; Vehicle Cargo Ships",'J Book Items Cons.'!R$5:R$3360,"",'J Book Items Cons.'!N$5:N$3360,"&lt;&gt;")+SUMIFS('J Book Items Cons.'!L$5:L$3360,'J Book Items Cons.'!S$5:S$3360,"",'J Book Items Cons.'!E$5:E$3360,1,'J Book Items Cons.'!F$5:F$3360,"Full ship DD&amp;C",'J Book Items Cons.'!U$5:U$3360,"MSC",'J Book Items Cons.'!W$5:W$3360,"Cargo &amp; Vehicle Cargo Ships",'J Book Items Cons.'!R$5:R$3360,"",'J Book Items Cons.'!N$5:N$3360,"")+SUMIFS('J Book Items Cons.'!R$5:R$3360,'J Book Items Cons.'!S$5:S$3360,"[PARENT]",'J Book Items Cons.'!E$5:E$3360,1,'J Book Items Cons.'!F$5:F$3360,"Full ship DD&amp;C",'J Book Items Cons.'!U$5:U$3360,"MSC",'J Book Items Cons.'!W$5:W$3360,"Cargo &amp; Vehicle Cargo Ships",'J Book Items Cons.'!R$5:R$3360,"&lt;&gt;")+SUMIFS('J Book Items Cons.'!N$5:N$3360,'J Book Items Cons.'!S$5:S$3360,"[PARENT]",'J Book Items Cons.'!E$5:E$3360,1,'J Book Items Cons.'!F$5:F$3360,"Full ship DD&amp;C",'J Book Items Cons.'!U$5:U$3360,"MSC",'J Book Items Cons.'!W$5:W$3360,"Cargo &amp; Vehicle Cargo Ships",'J Book Items Cons.'!R$5:R$3360,"",'J Book Items Cons.'!N$5:N$3360,"&lt;&gt;")+SUMIFS('J Book Items Cons.'!L$5:L$3360,'J Book Items Cons.'!S$5:S$3360,"[PARENT]",'J Book Items Cons.'!E$5:E$3360,1,'J Book Items Cons.'!F$5:F$3360,"Full ship DD&amp;C",'J Book Items Cons.'!U$5:U$3360,"MSC",'J Book Items Cons.'!W$5:W$3360,"Cargo &amp; Vehicle Cargo Ships",'J Book Items Cons.'!R$5:R$3360,"",'J Book Items Cons.'!N$5:N$3360,""))/J88)</f>
        <v>1</v>
      </c>
      <c r="K86" s="38">
        <f>IF(K88=0,0,(SUMIFS('J Book Items Cons.'!R$5:R$3360,'J Book Items Cons.'!S$5:S$3360,"",'J Book Items Cons.'!E$5:E$3360,1,'J Book Items Cons.'!F$5:F$3360,"Full ship DD&amp;C",'J Book Items Cons.'!U$5:U$3360,"MSC",'J Book Items Cons.'!W$5:W$3360,"Surveillance Ships",'J Book Items Cons.'!R$5:R$3360,"&lt;&gt;")+SUMIFS('J Book Items Cons.'!N$5:N$3360,'J Book Items Cons.'!S$5:S$3360,"",'J Book Items Cons.'!E$5:E$3360,1,'J Book Items Cons.'!F$5:F$3360,"Full ship DD&amp;C",'J Book Items Cons.'!U$5:U$3360,"MSC",'J Book Items Cons.'!W$5:W$3360,"Surveillance Ships",'J Book Items Cons.'!R$5:R$3360,"",'J Book Items Cons.'!N$5:N$3360,"&lt;&gt;")+SUMIFS('J Book Items Cons.'!L$5:L$3360,'J Book Items Cons.'!S$5:S$3360,"",'J Book Items Cons.'!E$5:E$3360,1,'J Book Items Cons.'!F$5:F$3360,"Full ship DD&amp;C",'J Book Items Cons.'!U$5:U$3360,"MSC",'J Book Items Cons.'!W$5:W$3360,"Surveillance Ships",'J Book Items Cons.'!R$5:R$3360,"",'J Book Items Cons.'!N$5:N$3360,"")+SUMIFS('J Book Items Cons.'!R$5:R$3360,'J Book Items Cons.'!S$5:S$3360,"[PARENT]",'J Book Items Cons.'!E$5:E$3360,1,'J Book Items Cons.'!F$5:F$3360,"Full ship DD&amp;C",'J Book Items Cons.'!U$5:U$3360,"MSC",'J Book Items Cons.'!W$5:W$3360,"Surveillance Ships",'J Book Items Cons.'!R$5:R$3360,"&lt;&gt;")+SUMIFS('J Book Items Cons.'!N$5:N$3360,'J Book Items Cons.'!S$5:S$3360,"[PARENT]",'J Book Items Cons.'!E$5:E$3360,1,'J Book Items Cons.'!F$5:F$3360,"Full ship DD&amp;C",'J Book Items Cons.'!U$5:U$3360,"MSC",'J Book Items Cons.'!W$5:W$3360,"Surveillance Ships",'J Book Items Cons.'!R$5:R$3360,"",'J Book Items Cons.'!N$5:N$3360,"&lt;&gt;")+SUMIFS('J Book Items Cons.'!L$5:L$3360,'J Book Items Cons.'!S$5:S$3360,"[PARENT]",'J Book Items Cons.'!E$5:E$3360,1,'J Book Items Cons.'!F$5:F$3360,"Full ship DD&amp;C",'J Book Items Cons.'!U$5:U$3360,"MSC",'J Book Items Cons.'!W$5:W$3360,"Surveillance Ships",'J Book Items Cons.'!R$5:R$3360,"",'J Book Items Cons.'!N$5:N$3360,""))/K88)</f>
        <v>1</v>
      </c>
      <c r="L86" s="38">
        <f>IF(L88=0,0,(SUMIFS('J Book Items Cons.'!R$5:R$3360,'J Book Items Cons.'!S$5:S$3360,"",'J Book Items Cons.'!E$5:E$3360,1,'J Book Items Cons.'!F$5:F$3360,"Full ship DD&amp;C",'J Book Items Cons.'!U$5:U$3360,"USN",'J Book Items Cons.'!W$5:W$3360,"Unmanned Undersea Vehicles",'J Book Items Cons.'!R$5:R$3360,"&lt;&gt;")+SUMIFS('J Book Items Cons.'!N$5:N$3360,'J Book Items Cons.'!S$5:S$3360,"",'J Book Items Cons.'!E$5:E$3360,1,'J Book Items Cons.'!F$5:F$3360,"Full ship DD&amp;C",'J Book Items Cons.'!U$5:U$3360,"USN",'J Book Items Cons.'!W$5:W$3360,"Unmanned Undersea Vehicles",'J Book Items Cons.'!R$5:R$3360,"",'J Book Items Cons.'!N$5:N$3360,"&lt;&gt;")+SUMIFS('J Book Items Cons.'!L$5:L$3360,'J Book Items Cons.'!S$5:S$3360,"",'J Book Items Cons.'!E$5:E$3360,1,'J Book Items Cons.'!F$5:F$3360,"Full ship DD&amp;C",'J Book Items Cons.'!U$5:U$3360,"USN",'J Book Items Cons.'!W$5:W$3360,"Unmanned Undersea Vehicles",'J Book Items Cons.'!R$5:R$3360,"",'J Book Items Cons.'!N$5:N$3360,"")+SUMIFS('J Book Items Cons.'!R$5:R$3360,'J Book Items Cons.'!S$5:S$3360,"[PARENT]",'J Book Items Cons.'!E$5:E$3360,1,'J Book Items Cons.'!F$5:F$3360,"Full ship DD&amp;C",'J Book Items Cons.'!U$5:U$3360,"USN",'J Book Items Cons.'!W$5:W$3360,"Unmanned Undersea Vehicles",'J Book Items Cons.'!R$5:R$3360,"&lt;&gt;")+SUMIFS('J Book Items Cons.'!N$5:N$3360,'J Book Items Cons.'!S$5:S$3360,"[PARENT]",'J Book Items Cons.'!E$5:E$3360,1,'J Book Items Cons.'!F$5:F$3360,"Full ship DD&amp;C",'J Book Items Cons.'!U$5:U$3360,"USN",'J Book Items Cons.'!W$5:W$3360,"Unmanned Undersea Vehicles",'J Book Items Cons.'!R$5:R$3360,"",'J Book Items Cons.'!N$5:N$3360,"&lt;&gt;")+SUMIFS('J Book Items Cons.'!L$5:L$3360,'J Book Items Cons.'!S$5:S$3360,"[PARENT]",'J Book Items Cons.'!E$5:E$3360,1,'J Book Items Cons.'!F$5:F$3360,"Full ship DD&amp;C",'J Book Items Cons.'!U$5:U$3360,"USN",'J Book Items Cons.'!W$5:W$3360,"Unmanned Undersea Vehicles",'J Book Items Cons.'!R$5:R$3360,"",'J Book Items Cons.'!N$5:N$3360,""))/L88)</f>
        <v>0</v>
      </c>
      <c r="M86" s="38">
        <f>IF(M88=0,0,(SUMIFS('J Book Items Cons.'!R$5:R$3360,'J Book Items Cons.'!S$5:S$3360,"",'J Book Items Cons.'!E$5:E$3360,1,'J Book Items Cons.'!F$5:F$3360,"Full ship DD&amp;C",'J Book Items Cons.'!U$5:U$3360,"USN",'J Book Items Cons.'!W$5:W$3360,"Command Ships",'J Book Items Cons.'!R$5:R$3360,"&lt;&gt;")+SUMIFS('J Book Items Cons.'!N$5:N$3360,'J Book Items Cons.'!S$5:S$3360,"",'J Book Items Cons.'!E$5:E$3360,1,'J Book Items Cons.'!F$5:F$3360,"Full ship DD&amp;C",'J Book Items Cons.'!U$5:U$3360,"USN",'J Book Items Cons.'!W$5:W$3360,"Command Ships",'J Book Items Cons.'!R$5:R$3360,"",'J Book Items Cons.'!N$5:N$3360,"&lt;&gt;")+SUMIFS('J Book Items Cons.'!L$5:L$3360,'J Book Items Cons.'!S$5:S$3360,"",'J Book Items Cons.'!E$5:E$3360,1,'J Book Items Cons.'!F$5:F$3360,"Full ship DD&amp;C",'J Book Items Cons.'!U$5:U$3360,"USN",'J Book Items Cons.'!W$5:W$3360,"Command Ships",'J Book Items Cons.'!R$5:R$3360,"",'J Book Items Cons.'!N$5:N$3360,"")+SUMIFS('J Book Items Cons.'!R$5:R$3360,'J Book Items Cons.'!S$5:S$3360,"[PARENT]",'J Book Items Cons.'!E$5:E$3360,1,'J Book Items Cons.'!F$5:F$3360,"Full ship DD&amp;C",'J Book Items Cons.'!U$5:U$3360,"USN",'J Book Items Cons.'!W$5:W$3360,"Command Ships",'J Book Items Cons.'!R$5:R$3360,"&lt;&gt;")+SUMIFS('J Book Items Cons.'!N$5:N$3360,'J Book Items Cons.'!S$5:S$3360,"[PARENT]",'J Book Items Cons.'!E$5:E$3360,1,'J Book Items Cons.'!F$5:F$3360,"Full ship DD&amp;C",'J Book Items Cons.'!U$5:U$3360,"USN",'J Book Items Cons.'!W$5:W$3360,"Command Ships",'J Book Items Cons.'!R$5:R$3360,"",'J Book Items Cons.'!N$5:N$3360,"&lt;&gt;")+SUMIFS('J Book Items Cons.'!L$5:L$3360,'J Book Items Cons.'!S$5:S$3360,"[PARENT]",'J Book Items Cons.'!E$5:E$3360,1,'J Book Items Cons.'!F$5:F$3360,"Full ship DD&amp;C",'J Book Items Cons.'!U$5:U$3360,"USN",'J Book Items Cons.'!W$5:W$3360,"Command Ships",'J Book Items Cons.'!R$5:R$3360,"",'J Book Items Cons.'!N$5:N$3360,""))/M88)</f>
        <v>0</v>
      </c>
      <c r="N86" s="39">
        <f>IF(N88=0,0,(SUMIFS('J Book Items Cons.'!R$5:R$3360,'J Book Items Cons.'!S$5:S$3360,"",'J Book Items Cons.'!E$5:E$3360,1,'J Book Items Cons.'!F$5:F$3360,"Full ship DD&amp;C",'J Book Items Cons.'!U$5:U$3360,"USN",'J Book Items Cons.'!W$5:W$3360,"Mine Warfare",'J Book Items Cons.'!R$5:R$3360,"&lt;&gt;")+SUMIFS('J Book Items Cons.'!N$5:N$3360,'J Book Items Cons.'!S$5:S$3360,"",'J Book Items Cons.'!E$5:E$3360,1,'J Book Items Cons.'!F$5:F$3360,"Full ship DD&amp;C",'J Book Items Cons.'!U$5:U$3360,"USN",'J Book Items Cons.'!W$5:W$3360,"Mine Warfare",'J Book Items Cons.'!R$5:R$3360,"",'J Book Items Cons.'!N$5:N$3360,"&lt;&gt;")+SUMIFS('J Book Items Cons.'!L$5:L$3360,'J Book Items Cons.'!S$5:S$3360,"",'J Book Items Cons.'!E$5:E$3360,1,'J Book Items Cons.'!F$5:F$3360,"Full ship DD&amp;C",'J Book Items Cons.'!U$5:U$3360,"USN",'J Book Items Cons.'!W$5:W$3360,"Mine Warfare",'J Book Items Cons.'!R$5:R$3360,"",'J Book Items Cons.'!N$5:N$3360,"")+SUMIFS('J Book Items Cons.'!R$5:R$3360,'J Book Items Cons.'!S$5:S$3360,"[PARENT]",'J Book Items Cons.'!E$5:E$3360,1,'J Book Items Cons.'!F$5:F$3360,"Full ship DD&amp;C",'J Book Items Cons.'!U$5:U$3360,"USN",'J Book Items Cons.'!W$5:W$3360,"Mine Warfare",'J Book Items Cons.'!R$5:R$3360,"&lt;&gt;")+SUMIFS('J Book Items Cons.'!N$5:N$3360,'J Book Items Cons.'!S$5:S$3360,"[PARENT]",'J Book Items Cons.'!E$5:E$3360,1,'J Book Items Cons.'!F$5:F$3360,"Full ship DD&amp;C",'J Book Items Cons.'!U$5:U$3360,"USN",'J Book Items Cons.'!W$5:W$3360,"Mine Warfare",'J Book Items Cons.'!R$5:R$3360,"",'J Book Items Cons.'!N$5:N$3360,"&lt;&gt;")+SUMIFS('J Book Items Cons.'!L$5:L$3360,'J Book Items Cons.'!S$5:S$3360,"[PARENT]",'J Book Items Cons.'!E$5:E$3360,1,'J Book Items Cons.'!F$5:F$3360,"Full ship DD&amp;C",'J Book Items Cons.'!U$5:U$3360,"USN",'J Book Items Cons.'!W$5:W$3360,"Mine Warfare",'J Book Items Cons.'!R$5:R$3360,"",'J Book Items Cons.'!N$5:N$3360,""))/N88)</f>
        <v>0</v>
      </c>
      <c r="O86" s="37">
        <f>IF(O88=0,0,(SUMIFS('J Book Items Cons.'!R$5:R$3360,'J Book Items Cons.'!S$5:S$3360,"",'J Book Items Cons.'!E$5:E$3360,1,'J Book Items Cons.'!F$5:F$3360,"Full ship DD&amp;C",'J Book Items Cons.'!U$5:U$3360,"USCG",'J Book Items Cons.'!W$5:W$3360,"Offshore Patrol Cutter",'J Book Items Cons.'!R$5:R$3360,"&lt;&gt;")+SUMIFS('J Book Items Cons.'!N$5:N$3360,'J Book Items Cons.'!S$5:S$3360,"",'J Book Items Cons.'!E$5:E$3360,1,'J Book Items Cons.'!F$5:F$3360,"Full ship DD&amp;C",'J Book Items Cons.'!U$5:U$3360,"USCG",'J Book Items Cons.'!W$5:W$3360,"Offshore Patrol Cutter",'J Book Items Cons.'!R$5:R$3360,"",'J Book Items Cons.'!N$5:N$3360,"&lt;&gt;")+SUMIFS('J Book Items Cons.'!L$5:L$3360,'J Book Items Cons.'!S$5:S$3360,"",'J Book Items Cons.'!E$5:E$3360,1,'J Book Items Cons.'!F$5:F$3360,"Full ship DD&amp;C",'J Book Items Cons.'!U$5:U$3360,"USCG",'J Book Items Cons.'!W$5:W$3360,"Offshore Patrol Cutter",'J Book Items Cons.'!R$5:R$3360,"",'J Book Items Cons.'!N$5:N$3360,"")+SUMIFS('J Book Items Cons.'!R$5:R$3360,'J Book Items Cons.'!S$5:S$3360,"[PARENT]",'J Book Items Cons.'!E$5:E$3360,1,'J Book Items Cons.'!F$5:F$3360,"Full ship DD&amp;C",'J Book Items Cons.'!U$5:U$3360,"USCG",'J Book Items Cons.'!W$5:W$3360,"Offshore Patrol Cutter",'J Book Items Cons.'!R$5:R$3360,"&lt;&gt;")+SUMIFS('J Book Items Cons.'!N$5:N$3360,'J Book Items Cons.'!S$5:S$3360,"[PARENT]",'J Book Items Cons.'!E$5:E$3360,1,'J Book Items Cons.'!F$5:F$3360,"Full ship DD&amp;C",'J Book Items Cons.'!U$5:U$3360,"USCG",'J Book Items Cons.'!W$5:W$3360,"Offshore Patrol Cutter",'J Book Items Cons.'!R$5:R$3360,"",'J Book Items Cons.'!N$5:N$3360,"&lt;&gt;")+SUMIFS('J Book Items Cons.'!L$5:L$3360,'J Book Items Cons.'!S$5:S$3360,"[PARENT]",'J Book Items Cons.'!E$5:E$3360,1,'J Book Items Cons.'!F$5:F$3360,"Full ship DD&amp;C",'J Book Items Cons.'!U$5:U$3360,"USCG",'J Book Items Cons.'!W$5:W$3360,"Offshore Patrol Cutter",'J Book Items Cons.'!R$5:R$3360,"",'J Book Items Cons.'!N$5:N$3360,""))/O88)</f>
        <v>0</v>
      </c>
      <c r="P86" s="38">
        <f>IF(P88=0,0,(SUMIFS('J Book Items Cons.'!R$5:R$3360,'J Book Items Cons.'!S$5:S$3360,"",'J Book Items Cons.'!E$5:E$3360,1,'J Book Items Cons.'!F$5:F$3360,"Full ship DD&amp;C",'J Book Items Cons.'!U$5:U$3360,"USCG",'J Book Items Cons.'!W$5:W$3360,"Fast Response Cutters",'J Book Items Cons.'!R$5:R$3360,"&lt;&gt;")+SUMIFS('J Book Items Cons.'!N$5:N$3360,'J Book Items Cons.'!S$5:S$3360,"",'J Book Items Cons.'!E$5:E$3360,1,'J Book Items Cons.'!F$5:F$3360,"Full ship DD&amp;C",'J Book Items Cons.'!U$5:U$3360,"USCG",'J Book Items Cons.'!W$5:W$3360,"Fast Response Cutters",'J Book Items Cons.'!R$5:R$3360,"",'J Book Items Cons.'!N$5:N$3360,"&lt;&gt;")+SUMIFS('J Book Items Cons.'!L$5:L$3360,'J Book Items Cons.'!S$5:S$3360,"",'J Book Items Cons.'!E$5:E$3360,1,'J Book Items Cons.'!F$5:F$3360,"Full ship DD&amp;C",'J Book Items Cons.'!U$5:U$3360,"USCG",'J Book Items Cons.'!W$5:W$3360,"Fast Response Cutters",'J Book Items Cons.'!R$5:R$3360,"",'J Book Items Cons.'!N$5:N$3360,"")+SUMIFS('J Book Items Cons.'!R$5:R$3360,'J Book Items Cons.'!S$5:S$3360,"[PARENT]",'J Book Items Cons.'!E$5:E$3360,1,'J Book Items Cons.'!F$5:F$3360,"Full ship DD&amp;C",'J Book Items Cons.'!U$5:U$3360,"USCG",'J Book Items Cons.'!W$5:W$3360,"Fast Response Cutters",'J Book Items Cons.'!R$5:R$3360,"&lt;&gt;")+SUMIFS('J Book Items Cons.'!N$5:N$3360,'J Book Items Cons.'!S$5:S$3360,"[PARENT]",'J Book Items Cons.'!E$5:E$3360,1,'J Book Items Cons.'!F$5:F$3360,"Full ship DD&amp;C",'J Book Items Cons.'!U$5:U$3360,"USCG",'J Book Items Cons.'!W$5:W$3360,"Fast Response Cutters",'J Book Items Cons.'!R$5:R$3360,"",'J Book Items Cons.'!N$5:N$3360,"&lt;&gt;")+SUMIFS('J Book Items Cons.'!L$5:L$3360,'J Book Items Cons.'!S$5:S$3360,"[PARENT]",'J Book Items Cons.'!E$5:E$3360,1,'J Book Items Cons.'!F$5:F$3360,"Full ship DD&amp;C",'J Book Items Cons.'!U$5:U$3360,"USCG",'J Book Items Cons.'!W$5:W$3360,"Fast Response Cutters",'J Book Items Cons.'!R$5:R$3360,"",'J Book Items Cons.'!N$5:N$3360,""))/P88)</f>
        <v>1</v>
      </c>
      <c r="Q86" s="38">
        <f>IF(Q88=0,0,(SUMIFS('J Book Items Cons.'!R$5:R$3360,'J Book Items Cons.'!S$5:S$3360,"",'J Book Items Cons.'!E$5:E$3360,1,'J Book Items Cons.'!F$5:F$3360,"Full ship DD&amp;C",'J Book Items Cons.'!U$5:U$3360,"USCG",'J Book Items Cons.'!W$5:W$3360,"Icebreakers, Oceangoing",'J Book Items Cons.'!R$5:R$3360,"&lt;&gt;")+SUMIFS('J Book Items Cons.'!N$5:N$3360,'J Book Items Cons.'!S$5:S$3360,"",'J Book Items Cons.'!E$5:E$3360,1,'J Book Items Cons.'!F$5:F$3360,"Full ship DD&amp;C",'J Book Items Cons.'!U$5:U$3360,"USCG",'J Book Items Cons.'!W$5:W$3360,"Icebreakers, Oceangoing",'J Book Items Cons.'!R$5:R$3360,"",'J Book Items Cons.'!N$5:N$3360,"&lt;&gt;")+SUMIFS('J Book Items Cons.'!L$5:L$3360,'J Book Items Cons.'!S$5:S$3360,"",'J Book Items Cons.'!E$5:E$3360,1,'J Book Items Cons.'!F$5:F$3360,"Full ship DD&amp;C",'J Book Items Cons.'!U$5:U$3360,"USCG",'J Book Items Cons.'!W$5:W$3360,"Icebreakers, Oceangoing",'J Book Items Cons.'!R$5:R$3360,"",'J Book Items Cons.'!N$5:N$3360,"")+SUMIFS('J Book Items Cons.'!R$5:R$3360,'J Book Items Cons.'!S$5:S$3360,"[PARENT]",'J Book Items Cons.'!E$5:E$3360,1,'J Book Items Cons.'!F$5:F$3360,"Full ship DD&amp;C",'J Book Items Cons.'!U$5:U$3360,"USCG",'J Book Items Cons.'!W$5:W$3360,"Icebreakers, Oceangoing",'J Book Items Cons.'!R$5:R$3360,"&lt;&gt;")+SUMIFS('J Book Items Cons.'!N$5:N$3360,'J Book Items Cons.'!S$5:S$3360,"[PARENT]",'J Book Items Cons.'!E$5:E$3360,1,'J Book Items Cons.'!F$5:F$3360,"Full ship DD&amp;C",'J Book Items Cons.'!U$5:U$3360,"USCG",'J Book Items Cons.'!W$5:W$3360,"Icebreakers, Oceangoing",'J Book Items Cons.'!R$5:R$3360,"",'J Book Items Cons.'!N$5:N$3360,"&lt;&gt;")+SUMIFS('J Book Items Cons.'!L$5:L$3360,'J Book Items Cons.'!S$5:S$3360,"[PARENT]",'J Book Items Cons.'!E$5:E$3360,1,'J Book Items Cons.'!F$5:F$3360,"Full ship DD&amp;C",'J Book Items Cons.'!U$5:U$3360,"USCG",'J Book Items Cons.'!W$5:W$3360,"Icebreakers, Oceangoing",'J Book Items Cons.'!R$5:R$3360,"",'J Book Items Cons.'!N$5:N$3360,""))/Q88)</f>
        <v>0</v>
      </c>
      <c r="R86" s="38">
        <f>IF(R88=0,0,(SUMIFS('J Book Items Cons.'!R$5:R$3360,'J Book Items Cons.'!S$5:S$3360,"",'J Book Items Cons.'!E$5:E$3360,1,'J Book Items Cons.'!F$5:F$3360,"Full ship DD&amp;C",'J Book Items Cons.'!U$5:U$3360,"USCG",'J Book Items Cons.'!W$5:W$3360,"Waterways Commerce Cutters",'J Book Items Cons.'!R$5:R$3360,"&lt;&gt;")+SUMIFS('J Book Items Cons.'!N$5:N$3360,'J Book Items Cons.'!S$5:S$3360,"",'J Book Items Cons.'!E$5:E$3360,1,'J Book Items Cons.'!F$5:F$3360,"Full ship DD&amp;C",'J Book Items Cons.'!U$5:U$3360,"USCG",'J Book Items Cons.'!W$5:W$3360,"Waterways Commerce Cutters",'J Book Items Cons.'!R$5:R$3360,"",'J Book Items Cons.'!N$5:N$3360,"&lt;&gt;")+SUMIFS('J Book Items Cons.'!L$5:L$3360,'J Book Items Cons.'!S$5:S$3360,"",'J Book Items Cons.'!E$5:E$3360,1,'J Book Items Cons.'!F$5:F$3360,"Full ship DD&amp;C",'J Book Items Cons.'!U$5:U$3360,"USCG",'J Book Items Cons.'!W$5:W$3360,"Waterways Commerce Cutters",'J Book Items Cons.'!R$5:R$3360,"",'J Book Items Cons.'!N$5:N$3360,"")+SUMIFS('J Book Items Cons.'!R$5:R$3360,'J Book Items Cons.'!S$5:S$3360,"[PARENT]",'J Book Items Cons.'!E$5:E$3360,1,'J Book Items Cons.'!F$5:F$3360,"Full ship DD&amp;C",'J Book Items Cons.'!U$5:U$3360,"USCG",'J Book Items Cons.'!W$5:W$3360,"Waterways Commerce Cutters",'J Book Items Cons.'!R$5:R$3360,"&lt;&gt;")+SUMIFS('J Book Items Cons.'!N$5:N$3360,'J Book Items Cons.'!S$5:S$3360,"[PARENT]",'J Book Items Cons.'!E$5:E$3360,1,'J Book Items Cons.'!F$5:F$3360,"Full ship DD&amp;C",'J Book Items Cons.'!U$5:U$3360,"USCG",'J Book Items Cons.'!W$5:W$3360,"Waterways Commerce Cutters",'J Book Items Cons.'!R$5:R$3360,"",'J Book Items Cons.'!N$5:N$3360,"&lt;&gt;")+SUMIFS('J Book Items Cons.'!L$5:L$3360,'J Book Items Cons.'!S$5:S$3360,"[PARENT]",'J Book Items Cons.'!E$5:E$3360,1,'J Book Items Cons.'!F$5:F$3360,"Full ship DD&amp;C",'J Book Items Cons.'!U$5:U$3360,"USCG",'J Book Items Cons.'!W$5:W$3360,"Waterways Commerce Cutters",'J Book Items Cons.'!R$5:R$3360,"",'J Book Items Cons.'!N$5:N$3360,""))/R88)</f>
        <v>0</v>
      </c>
      <c r="S86" s="39">
        <f>IF(S88=0,0,(SUMIFS('J Book Items Cons.'!R$5:R$3360,'J Book Items Cons.'!S$5:S$3360,"",'J Book Items Cons.'!E$5:E$3360,1,'J Book Items Cons.'!F$5:F$3360,"Full ship DD&amp;C",'J Book Items Cons.'!U$5:U$3360,"USCG",'J Book Items Cons.'!W$5:W$3360,"National Security Cutters",'J Book Items Cons.'!R$5:R$3360,"&lt;&gt;")+SUMIFS('J Book Items Cons.'!N$5:N$3360,'J Book Items Cons.'!S$5:S$3360,"",'J Book Items Cons.'!E$5:E$3360,1,'J Book Items Cons.'!F$5:F$3360,"Full ship DD&amp;C",'J Book Items Cons.'!U$5:U$3360,"USCG",'J Book Items Cons.'!W$5:W$3360,"National Security Cutters",'J Book Items Cons.'!R$5:R$3360,"",'J Book Items Cons.'!N$5:N$3360,"&lt;&gt;")+SUMIFS('J Book Items Cons.'!L$5:L$3360,'J Book Items Cons.'!S$5:S$3360,"",'J Book Items Cons.'!E$5:E$3360,1,'J Book Items Cons.'!F$5:F$3360,"Full ship DD&amp;C",'J Book Items Cons.'!U$5:U$3360,"USCG",'J Book Items Cons.'!W$5:W$3360,"National Security Cutters",'J Book Items Cons.'!R$5:R$3360,"",'J Book Items Cons.'!N$5:N$3360,"")+SUMIFS('J Book Items Cons.'!R$5:R$3360,'J Book Items Cons.'!S$5:S$3360,"[PARENT]",'J Book Items Cons.'!E$5:E$3360,1,'J Book Items Cons.'!F$5:F$3360,"Full ship DD&amp;C",'J Book Items Cons.'!U$5:U$3360,"USCG",'J Book Items Cons.'!W$5:W$3360,"National Security Cutters",'J Book Items Cons.'!R$5:R$3360,"&lt;&gt;")+SUMIFS('J Book Items Cons.'!N$5:N$3360,'J Book Items Cons.'!S$5:S$3360,"[PARENT]",'J Book Items Cons.'!E$5:E$3360,1,'J Book Items Cons.'!F$5:F$3360,"Full ship DD&amp;C",'J Book Items Cons.'!U$5:U$3360,"USCG",'J Book Items Cons.'!W$5:W$3360,"National Security Cutters",'J Book Items Cons.'!R$5:R$3360,"",'J Book Items Cons.'!N$5:N$3360,"&lt;&gt;")+SUMIFS('J Book Items Cons.'!L$5:L$3360,'J Book Items Cons.'!S$5:S$3360,"[PARENT]",'J Book Items Cons.'!E$5:E$3360,1,'J Book Items Cons.'!F$5:F$3360,"Full ship DD&amp;C",'J Book Items Cons.'!U$5:U$3360,"USCG",'J Book Items Cons.'!W$5:W$3360,"National Security Cutters",'J Book Items Cons.'!R$5:R$3360,"",'J Book Items Cons.'!N$5:N$3360,""))/S88)</f>
        <v>0</v>
      </c>
      <c r="T86" s="38">
        <f>IF(T88=0,0,SUMPRODUCT(B86:S86,B$88:S$88)/T$88)</f>
        <v>0.67096973313189279</v>
      </c>
    </row>
    <row r="87" spans="1:20" ht="12" customHeight="1" thickBot="1" x14ac:dyDescent="0.2">
      <c r="A87" s="4" t="s">
        <v>8850</v>
      </c>
      <c r="B87" s="37">
        <f>IF(B88=0,0,(SUMIFS('J Book Items Cons.'!R$5:R$3360,'J Book Items Cons.'!S$5:S$3360,"",'J Book Items Cons.'!E$5:E$3360,1,'J Book Items Cons.'!F$5:F$3360,"Advance procurement / LLTM",'J Book Items Cons.'!U$5:U$3360,"USN",'J Book Items Cons.'!W$5:W$3360,"Submarines",'J Book Items Cons.'!R$5:R$3360,"&lt;&gt;")+SUMIFS('J Book Items Cons.'!N$5:N$3360,'J Book Items Cons.'!S$5:S$3360,"",'J Book Items Cons.'!E$5:E$3360,1,'J Book Items Cons.'!F$5:F$3360,"Advance procurement / LLTM",'J Book Items Cons.'!U$5:U$3360,"USN",'J Book Items Cons.'!W$5:W$3360,"Submarines",'J Book Items Cons.'!R$5:R$3360,"",'J Book Items Cons.'!N$5:N$3360,"&lt;&gt;")+SUMIFS('J Book Items Cons.'!L$5:L$3360,'J Book Items Cons.'!S$5:S$3360,"",'J Book Items Cons.'!E$5:E$3360,1,'J Book Items Cons.'!F$5:F$3360,"Advance procurement / LLTM",'J Book Items Cons.'!U$5:U$3360,"USN",'J Book Items Cons.'!W$5:W$3360,"Submarines",'J Book Items Cons.'!R$5:R$3360,"",'J Book Items Cons.'!N$5:N$3360,"")+SUMIFS('J Book Items Cons.'!R$5:R$3360,'J Book Items Cons.'!S$5:S$3360,"[PARENT]",'J Book Items Cons.'!E$5:E$3360,1,'J Book Items Cons.'!F$5:F$3360,"Advance procurement / LLTM",'J Book Items Cons.'!U$5:U$3360,"USN",'J Book Items Cons.'!W$5:W$3360,"Submarines",'J Book Items Cons.'!R$5:R$3360,"&lt;&gt;")+SUMIFS('J Book Items Cons.'!N$5:N$3360,'J Book Items Cons.'!S$5:S$3360,"[PARENT]",'J Book Items Cons.'!E$5:E$3360,1,'J Book Items Cons.'!F$5:F$3360,"Advance procurement / LLTM",'J Book Items Cons.'!U$5:U$3360,"USN",'J Book Items Cons.'!W$5:W$3360,"Submarines",'J Book Items Cons.'!R$5:R$3360,"",'J Book Items Cons.'!N$5:N$3360,"&lt;&gt;")+SUMIFS('J Book Items Cons.'!L$5:L$3360,'J Book Items Cons.'!S$5:S$3360,"[PARENT]",'J Book Items Cons.'!E$5:E$3360,1,'J Book Items Cons.'!F$5:F$3360,"Advance procurement / LLTM",'J Book Items Cons.'!U$5:U$3360,"USN",'J Book Items Cons.'!W$5:W$3360,"Submarines",'J Book Items Cons.'!R$5:R$3360,"",'J Book Items Cons.'!N$5:N$3360,""))/B88)</f>
        <v>0.4251478474637938</v>
      </c>
      <c r="C87" s="38">
        <f>IF(C88=0,0,(SUMIFS('J Book Items Cons.'!R$5:R$3360,'J Book Items Cons.'!S$5:S$3360,"",'J Book Items Cons.'!E$5:E$3360,1,'J Book Items Cons.'!F$5:F$3360,"Advance procurement / LLTM",'J Book Items Cons.'!U$5:U$3360,"USN",'J Book Items Cons.'!W$5:W$3360,"Surface Combatants",'J Book Items Cons.'!R$5:R$3360,"&lt;&gt;")+SUMIFS('J Book Items Cons.'!N$5:N$3360,'J Book Items Cons.'!S$5:S$3360,"",'J Book Items Cons.'!E$5:E$3360,1,'J Book Items Cons.'!F$5:F$3360,"Advance procurement / LLTM",'J Book Items Cons.'!U$5:U$3360,"USN",'J Book Items Cons.'!W$5:W$3360,"Surface Combatants",'J Book Items Cons.'!R$5:R$3360,"",'J Book Items Cons.'!N$5:N$3360,"&lt;&gt;")+SUMIFS('J Book Items Cons.'!L$5:L$3360,'J Book Items Cons.'!S$5:S$3360,"",'J Book Items Cons.'!E$5:E$3360,1,'J Book Items Cons.'!F$5:F$3360,"Advance procurement / LLTM",'J Book Items Cons.'!U$5:U$3360,"USN",'J Book Items Cons.'!W$5:W$3360,"Surface Combatants",'J Book Items Cons.'!R$5:R$3360,"",'J Book Items Cons.'!N$5:N$3360,"")+SUMIFS('J Book Items Cons.'!R$5:R$3360,'J Book Items Cons.'!S$5:S$3360,"[PARENT]",'J Book Items Cons.'!E$5:E$3360,1,'J Book Items Cons.'!F$5:F$3360,"Advance procurement / LLTM",'J Book Items Cons.'!U$5:U$3360,"USN",'J Book Items Cons.'!W$5:W$3360,"Surface Combatants",'J Book Items Cons.'!R$5:R$3360,"&lt;&gt;")+SUMIFS('J Book Items Cons.'!N$5:N$3360,'J Book Items Cons.'!S$5:S$3360,"[PARENT]",'J Book Items Cons.'!E$5:E$3360,1,'J Book Items Cons.'!F$5:F$3360,"Advance procurement / LLTM",'J Book Items Cons.'!U$5:U$3360,"USN",'J Book Items Cons.'!W$5:W$3360,"Surface Combatants",'J Book Items Cons.'!R$5:R$3360,"",'J Book Items Cons.'!N$5:N$3360,"&lt;&gt;")+SUMIFS('J Book Items Cons.'!L$5:L$3360,'J Book Items Cons.'!S$5:S$3360,"[PARENT]",'J Book Items Cons.'!E$5:E$3360,1,'J Book Items Cons.'!F$5:F$3360,"Advance procurement / LLTM",'J Book Items Cons.'!U$5:U$3360,"USN",'J Book Items Cons.'!W$5:W$3360,"Surface Combatants",'J Book Items Cons.'!R$5:R$3360,"",'J Book Items Cons.'!N$5:N$3360,""))/C88)</f>
        <v>0.23473765920411058</v>
      </c>
      <c r="D87" s="38">
        <f>IF(D88=0,0,(SUMIFS('J Book Items Cons.'!R$5:R$3360,'J Book Items Cons.'!S$5:S$3360,"",'J Book Items Cons.'!E$5:E$3360,1,'J Book Items Cons.'!F$5:F$3360,"Advance procurement / LLTM",'J Book Items Cons.'!U$5:U$3360,"USN",'J Book Items Cons.'!W$5:W$3360,"Aircraft Carriers",'J Book Items Cons.'!R$5:R$3360,"&lt;&gt;")+SUMIFS('J Book Items Cons.'!N$5:N$3360,'J Book Items Cons.'!S$5:S$3360,"",'J Book Items Cons.'!E$5:E$3360,1,'J Book Items Cons.'!F$5:F$3360,"Advance procurement / LLTM",'J Book Items Cons.'!U$5:U$3360,"USN",'J Book Items Cons.'!W$5:W$3360,"Aircraft Carriers",'J Book Items Cons.'!R$5:R$3360,"",'J Book Items Cons.'!N$5:N$3360,"&lt;&gt;")+SUMIFS('J Book Items Cons.'!L$5:L$3360,'J Book Items Cons.'!S$5:S$3360,"",'J Book Items Cons.'!E$5:E$3360,1,'J Book Items Cons.'!F$5:F$3360,"Advance procurement / LLTM",'J Book Items Cons.'!U$5:U$3360,"USN",'J Book Items Cons.'!W$5:W$3360,"Aircraft Carriers",'J Book Items Cons.'!R$5:R$3360,"",'J Book Items Cons.'!N$5:N$3360,"")+SUMIFS('J Book Items Cons.'!R$5:R$3360,'J Book Items Cons.'!S$5:S$3360,"[PARENT]",'J Book Items Cons.'!E$5:E$3360,1,'J Book Items Cons.'!F$5:F$3360,"Advance procurement / LLTM",'J Book Items Cons.'!U$5:U$3360,"USN",'J Book Items Cons.'!W$5:W$3360,"Aircraft Carriers",'J Book Items Cons.'!R$5:R$3360,"&lt;&gt;")+SUMIFS('J Book Items Cons.'!N$5:N$3360,'J Book Items Cons.'!S$5:S$3360,"[PARENT]",'J Book Items Cons.'!E$5:E$3360,1,'J Book Items Cons.'!F$5:F$3360,"Advance procurement / LLTM",'J Book Items Cons.'!U$5:U$3360,"USN",'J Book Items Cons.'!W$5:W$3360,"Aircraft Carriers",'J Book Items Cons.'!R$5:R$3360,"",'J Book Items Cons.'!N$5:N$3360,"&lt;&gt;")+SUMIFS('J Book Items Cons.'!L$5:L$3360,'J Book Items Cons.'!S$5:S$3360,"[PARENT]",'J Book Items Cons.'!E$5:E$3360,1,'J Book Items Cons.'!F$5:F$3360,"Advance procurement / LLTM",'J Book Items Cons.'!U$5:U$3360,"USN",'J Book Items Cons.'!W$5:W$3360,"Aircraft Carriers",'J Book Items Cons.'!R$5:R$3360,"",'J Book Items Cons.'!N$5:N$3360,""))/D88)</f>
        <v>0.18650182391725195</v>
      </c>
      <c r="E87" s="38">
        <f>IF(E88=0,0,(SUMIFS('J Book Items Cons.'!R$5:R$3360,'J Book Items Cons.'!S$5:S$3360,"",'J Book Items Cons.'!E$5:E$3360,1,'J Book Items Cons.'!F$5:F$3360,"Advance procurement / LLTM",'J Book Items Cons.'!U$5:U$3360,"USN",'J Book Items Cons.'!W$5:W$3360,"Amphibious Warfare Ships",'J Book Items Cons.'!R$5:R$3360,"&lt;&gt;")+SUMIFS('J Book Items Cons.'!N$5:N$3360,'J Book Items Cons.'!S$5:S$3360,"",'J Book Items Cons.'!E$5:E$3360,1,'J Book Items Cons.'!F$5:F$3360,"Advance procurement / LLTM",'J Book Items Cons.'!U$5:U$3360,"USN",'J Book Items Cons.'!W$5:W$3360,"Amphibious Warfare Ships",'J Book Items Cons.'!R$5:R$3360,"",'J Book Items Cons.'!N$5:N$3360,"&lt;&gt;")+SUMIFS('J Book Items Cons.'!L$5:L$3360,'J Book Items Cons.'!S$5:S$3360,"",'J Book Items Cons.'!E$5:E$3360,1,'J Book Items Cons.'!F$5:F$3360,"Advance procurement / LLTM",'J Book Items Cons.'!U$5:U$3360,"USN",'J Book Items Cons.'!W$5:W$3360,"Amphibious Warfare Ships",'J Book Items Cons.'!R$5:R$3360,"",'J Book Items Cons.'!N$5:N$3360,"")+SUMIFS('J Book Items Cons.'!R$5:R$3360,'J Book Items Cons.'!S$5:S$3360,"[PARENT]",'J Book Items Cons.'!E$5:E$3360,1,'J Book Items Cons.'!F$5:F$3360,"Advance procurement / LLTM",'J Book Items Cons.'!U$5:U$3360,"USN",'J Book Items Cons.'!W$5:W$3360,"Amphibious Warfare Ships",'J Book Items Cons.'!R$5:R$3360,"&lt;&gt;")+SUMIFS('J Book Items Cons.'!N$5:N$3360,'J Book Items Cons.'!S$5:S$3360,"[PARENT]",'J Book Items Cons.'!E$5:E$3360,1,'J Book Items Cons.'!F$5:F$3360,"Advance procurement / LLTM",'J Book Items Cons.'!U$5:U$3360,"USN",'J Book Items Cons.'!W$5:W$3360,"Amphibious Warfare Ships",'J Book Items Cons.'!R$5:R$3360,"",'J Book Items Cons.'!N$5:N$3360,"&lt;&gt;")+SUMIFS('J Book Items Cons.'!L$5:L$3360,'J Book Items Cons.'!S$5:S$3360,"[PARENT]",'J Book Items Cons.'!E$5:E$3360,1,'J Book Items Cons.'!F$5:F$3360,"Advance procurement / LLTM",'J Book Items Cons.'!U$5:U$3360,"USN",'J Book Items Cons.'!W$5:W$3360,"Amphibious Warfare Ships",'J Book Items Cons.'!R$5:R$3360,"",'J Book Items Cons.'!N$5:N$3360,""))/E88)</f>
        <v>0.15759312320916904</v>
      </c>
      <c r="F87" s="38">
        <f>IF(F88=0,0,(SUMIFS('J Book Items Cons.'!R$5:R$3360,'J Book Items Cons.'!S$5:S$3360,"",'J Book Items Cons.'!E$5:E$3360,1,'J Book Items Cons.'!F$5:F$3360,"Advance procurement / LLTM",'J Book Items Cons.'!U$5:U$3360,"USN",'J Book Items Cons.'!W$5:W$3360,"Expeditionary &amp; Seabasing Ships",'J Book Items Cons.'!R$5:R$3360,"&lt;&gt;")+SUMIFS('J Book Items Cons.'!N$5:N$3360,'J Book Items Cons.'!S$5:S$3360,"",'J Book Items Cons.'!E$5:E$3360,1,'J Book Items Cons.'!F$5:F$3360,"Advance procurement / LLTM",'J Book Items Cons.'!U$5:U$3360,"USN",'J Book Items Cons.'!W$5:W$3360,"Expeditionary &amp; Seabasing Ships",'J Book Items Cons.'!R$5:R$3360,"",'J Book Items Cons.'!N$5:N$3360,"&lt;&gt;")+SUMIFS('J Book Items Cons.'!L$5:L$3360,'J Book Items Cons.'!S$5:S$3360,"",'J Book Items Cons.'!E$5:E$3360,1,'J Book Items Cons.'!F$5:F$3360,"Advance procurement / LLTM",'J Book Items Cons.'!U$5:U$3360,"USN",'J Book Items Cons.'!W$5:W$3360,"Expeditionary &amp; Seabasing Ships",'J Book Items Cons.'!R$5:R$3360,"",'J Book Items Cons.'!N$5:N$3360,"")+SUMIFS('J Book Items Cons.'!R$5:R$3360,'J Book Items Cons.'!S$5:S$3360,"[PARENT]",'J Book Items Cons.'!E$5:E$3360,1,'J Book Items Cons.'!F$5:F$3360,"Advance procurement / LLTM",'J Book Items Cons.'!U$5:U$3360,"USN",'J Book Items Cons.'!W$5:W$3360,"Expeditionary &amp; Seabasing Ships",'J Book Items Cons.'!R$5:R$3360,"&lt;&gt;")+SUMIFS('J Book Items Cons.'!N$5:N$3360,'J Book Items Cons.'!S$5:S$3360,"[PARENT]",'J Book Items Cons.'!E$5:E$3360,1,'J Book Items Cons.'!F$5:F$3360,"Advance procurement / LLTM",'J Book Items Cons.'!U$5:U$3360,"USN",'J Book Items Cons.'!W$5:W$3360,"Expeditionary &amp; Seabasing Ships",'J Book Items Cons.'!R$5:R$3360,"",'J Book Items Cons.'!N$5:N$3360,"&lt;&gt;")+SUMIFS('J Book Items Cons.'!L$5:L$3360,'J Book Items Cons.'!S$5:S$3360,"[PARENT]",'J Book Items Cons.'!E$5:E$3360,1,'J Book Items Cons.'!F$5:F$3360,"Advance procurement / LLTM",'J Book Items Cons.'!U$5:U$3360,"USN",'J Book Items Cons.'!W$5:W$3360,"Expeditionary &amp; Seabasing Ships",'J Book Items Cons.'!R$5:R$3360,"",'J Book Items Cons.'!N$5:N$3360,""))/F88)</f>
        <v>0</v>
      </c>
      <c r="G87" s="38">
        <f>IF(G88=0,0,(SUMIFS('J Book Items Cons.'!R$5:R$3360,'J Book Items Cons.'!S$5:S$3360,"",'J Book Items Cons.'!E$5:E$3360,1,'J Book Items Cons.'!F$5:F$3360,"Advance procurement / LLTM",'J Book Items Cons.'!U$5:U$3360,"MSC",'J Book Items Cons.'!W$5:W$3360,"Combat Logistics Ships",'J Book Items Cons.'!R$5:R$3360,"&lt;&gt;")+SUMIFS('J Book Items Cons.'!N$5:N$3360,'J Book Items Cons.'!S$5:S$3360,"",'J Book Items Cons.'!E$5:E$3360,1,'J Book Items Cons.'!F$5:F$3360,"Advance procurement / LLTM",'J Book Items Cons.'!U$5:U$3360,"MSC",'J Book Items Cons.'!W$5:W$3360,"Combat Logistics Ships",'J Book Items Cons.'!R$5:R$3360,"",'J Book Items Cons.'!N$5:N$3360,"&lt;&gt;")+SUMIFS('J Book Items Cons.'!L$5:L$3360,'J Book Items Cons.'!S$5:S$3360,"",'J Book Items Cons.'!E$5:E$3360,1,'J Book Items Cons.'!F$5:F$3360,"Advance procurement / LLTM",'J Book Items Cons.'!U$5:U$3360,"MSC",'J Book Items Cons.'!W$5:W$3360,"Combat Logistics Ships",'J Book Items Cons.'!R$5:R$3360,"",'J Book Items Cons.'!N$5:N$3360,"")+SUMIFS('J Book Items Cons.'!R$5:R$3360,'J Book Items Cons.'!S$5:S$3360,"[PARENT]",'J Book Items Cons.'!E$5:E$3360,1,'J Book Items Cons.'!F$5:F$3360,"Advance procurement / LLTM",'J Book Items Cons.'!U$5:U$3360,"MSC",'J Book Items Cons.'!W$5:W$3360,"Combat Logistics Ships",'J Book Items Cons.'!R$5:R$3360,"&lt;&gt;")+SUMIFS('J Book Items Cons.'!N$5:N$3360,'J Book Items Cons.'!S$5:S$3360,"[PARENT]",'J Book Items Cons.'!E$5:E$3360,1,'J Book Items Cons.'!F$5:F$3360,"Advance procurement / LLTM",'J Book Items Cons.'!U$5:U$3360,"MSC",'J Book Items Cons.'!W$5:W$3360,"Combat Logistics Ships",'J Book Items Cons.'!R$5:R$3360,"",'J Book Items Cons.'!N$5:N$3360,"&lt;&gt;")+SUMIFS('J Book Items Cons.'!L$5:L$3360,'J Book Items Cons.'!S$5:S$3360,"[PARENT]",'J Book Items Cons.'!E$5:E$3360,1,'J Book Items Cons.'!F$5:F$3360,"Advance procurement / LLTM",'J Book Items Cons.'!U$5:U$3360,"MSC",'J Book Items Cons.'!W$5:W$3360,"Combat Logistics Ships",'J Book Items Cons.'!R$5:R$3360,"",'J Book Items Cons.'!N$5:N$3360,""))/G88)</f>
        <v>0</v>
      </c>
      <c r="H87" s="38">
        <f>IF(H88=0,0,(SUMIFS('J Book Items Cons.'!R$5:R$3360,'J Book Items Cons.'!S$5:S$3360,"",'J Book Items Cons.'!E$5:E$3360,1,'J Book Items Cons.'!F$5:F$3360,"Advance procurement / LLTM",'J Book Items Cons.'!U$5:U$3360,"USN",'J Book Items Cons.'!W$5:W$3360,"Unmanned Surface Vehicles",'J Book Items Cons.'!R$5:R$3360,"&lt;&gt;")+SUMIFS('J Book Items Cons.'!N$5:N$3360,'J Book Items Cons.'!S$5:S$3360,"",'J Book Items Cons.'!E$5:E$3360,1,'J Book Items Cons.'!F$5:F$3360,"Advance procurement / LLTM",'J Book Items Cons.'!U$5:U$3360,"USN",'J Book Items Cons.'!W$5:W$3360,"Unmanned Surface Vehicles",'J Book Items Cons.'!R$5:R$3360,"",'J Book Items Cons.'!N$5:N$3360,"&lt;&gt;")+SUMIFS('J Book Items Cons.'!L$5:L$3360,'J Book Items Cons.'!S$5:S$3360,"",'J Book Items Cons.'!E$5:E$3360,1,'J Book Items Cons.'!F$5:F$3360,"Advance procurement / LLTM",'J Book Items Cons.'!U$5:U$3360,"USN",'J Book Items Cons.'!W$5:W$3360,"Unmanned Surface Vehicles",'J Book Items Cons.'!R$5:R$3360,"",'J Book Items Cons.'!N$5:N$3360,"")+SUMIFS('J Book Items Cons.'!R$5:R$3360,'J Book Items Cons.'!S$5:S$3360,"[PARENT]",'J Book Items Cons.'!E$5:E$3360,1,'J Book Items Cons.'!F$5:F$3360,"Advance procurement / LLTM",'J Book Items Cons.'!U$5:U$3360,"USN",'J Book Items Cons.'!W$5:W$3360,"Unmanned Surface Vehicles",'J Book Items Cons.'!R$5:R$3360,"&lt;&gt;")+SUMIFS('J Book Items Cons.'!N$5:N$3360,'J Book Items Cons.'!S$5:S$3360,"[PARENT]",'J Book Items Cons.'!E$5:E$3360,1,'J Book Items Cons.'!F$5:F$3360,"Advance procurement / LLTM",'J Book Items Cons.'!U$5:U$3360,"USN",'J Book Items Cons.'!W$5:W$3360,"Unmanned Surface Vehicles",'J Book Items Cons.'!R$5:R$3360,"",'J Book Items Cons.'!N$5:N$3360,"&lt;&gt;")+SUMIFS('J Book Items Cons.'!L$5:L$3360,'J Book Items Cons.'!S$5:S$3360,"[PARENT]",'J Book Items Cons.'!E$5:E$3360,1,'J Book Items Cons.'!F$5:F$3360,"Advance procurement / LLTM",'J Book Items Cons.'!U$5:U$3360,"USN",'J Book Items Cons.'!W$5:W$3360,"Unmanned Surface Vehicles",'J Book Items Cons.'!R$5:R$3360,"",'J Book Items Cons.'!N$5:N$3360,""))/H88)</f>
        <v>0</v>
      </c>
      <c r="I87" s="38">
        <f>IF(I88=0,0,(SUMIFS('J Book Items Cons.'!R$5:R$3360,'J Book Items Cons.'!S$5:S$3360,"",'J Book Items Cons.'!E$5:E$3360,1,'J Book Items Cons.'!F$5:F$3360,"Advance procurement / LLTM",'J Book Items Cons.'!U$5:U$3360,"USN",'J Book Items Cons.'!W$5:W$3360,"Amphibious Warfare Craft",'J Book Items Cons.'!R$5:R$3360,"&lt;&gt;")+SUMIFS('J Book Items Cons.'!N$5:N$3360,'J Book Items Cons.'!S$5:S$3360,"",'J Book Items Cons.'!E$5:E$3360,1,'J Book Items Cons.'!F$5:F$3360,"Advance procurement / LLTM",'J Book Items Cons.'!U$5:U$3360,"USN",'J Book Items Cons.'!W$5:W$3360,"Amphibious Warfare Craft",'J Book Items Cons.'!R$5:R$3360,"",'J Book Items Cons.'!N$5:N$3360,"&lt;&gt;")+SUMIFS('J Book Items Cons.'!L$5:L$3360,'J Book Items Cons.'!S$5:S$3360,"",'J Book Items Cons.'!E$5:E$3360,1,'J Book Items Cons.'!F$5:F$3360,"Advance procurement / LLTM",'J Book Items Cons.'!U$5:U$3360,"USN",'J Book Items Cons.'!W$5:W$3360,"Amphibious Warfare Craft",'J Book Items Cons.'!R$5:R$3360,"",'J Book Items Cons.'!N$5:N$3360,"")+SUMIFS('J Book Items Cons.'!R$5:R$3360,'J Book Items Cons.'!S$5:S$3360,"[PARENT]",'J Book Items Cons.'!E$5:E$3360,1,'J Book Items Cons.'!F$5:F$3360,"Advance procurement / LLTM",'J Book Items Cons.'!U$5:U$3360,"USN",'J Book Items Cons.'!W$5:W$3360,"Amphibious Warfare Craft",'J Book Items Cons.'!R$5:R$3360,"&lt;&gt;")+SUMIFS('J Book Items Cons.'!N$5:N$3360,'J Book Items Cons.'!S$5:S$3360,"[PARENT]",'J Book Items Cons.'!E$5:E$3360,1,'J Book Items Cons.'!F$5:F$3360,"Advance procurement / LLTM",'J Book Items Cons.'!U$5:U$3360,"USN",'J Book Items Cons.'!W$5:W$3360,"Amphibious Warfare Craft",'J Book Items Cons.'!R$5:R$3360,"",'J Book Items Cons.'!N$5:N$3360,"&lt;&gt;")+SUMIFS('J Book Items Cons.'!L$5:L$3360,'J Book Items Cons.'!S$5:S$3360,"[PARENT]",'J Book Items Cons.'!E$5:E$3360,1,'J Book Items Cons.'!F$5:F$3360,"Advance procurement / LLTM",'J Book Items Cons.'!U$5:U$3360,"USN",'J Book Items Cons.'!W$5:W$3360,"Amphibious Warfare Craft",'J Book Items Cons.'!R$5:R$3360,"",'J Book Items Cons.'!N$5:N$3360,""))/I88)</f>
        <v>0</v>
      </c>
      <c r="J87" s="38">
        <f>IF(J88=0,0,(SUMIFS('J Book Items Cons.'!R$5:R$3360,'J Book Items Cons.'!S$5:S$3360,"",'J Book Items Cons.'!E$5:E$3360,1,'J Book Items Cons.'!F$5:F$3360,"Advance procurement / LLTM",'J Book Items Cons.'!U$5:U$3360,"MSC",'J Book Items Cons.'!W$5:W$3360,"Cargo &amp; Vehicle Cargo Ships",'J Book Items Cons.'!R$5:R$3360,"&lt;&gt;")+SUMIFS('J Book Items Cons.'!N$5:N$3360,'J Book Items Cons.'!S$5:S$3360,"",'J Book Items Cons.'!E$5:E$3360,1,'J Book Items Cons.'!F$5:F$3360,"Advance procurement / LLTM",'J Book Items Cons.'!U$5:U$3360,"MSC",'J Book Items Cons.'!W$5:W$3360,"Cargo &amp; Vehicle Cargo Ships",'J Book Items Cons.'!R$5:R$3360,"",'J Book Items Cons.'!N$5:N$3360,"&lt;&gt;")+SUMIFS('J Book Items Cons.'!L$5:L$3360,'J Book Items Cons.'!S$5:S$3360,"",'J Book Items Cons.'!E$5:E$3360,1,'J Book Items Cons.'!F$5:F$3360,"Advance procurement / LLTM",'J Book Items Cons.'!U$5:U$3360,"MSC",'J Book Items Cons.'!W$5:W$3360,"Cargo &amp; Vehicle Cargo Ships",'J Book Items Cons.'!R$5:R$3360,"",'J Book Items Cons.'!N$5:N$3360,"")+SUMIFS('J Book Items Cons.'!R$5:R$3360,'J Book Items Cons.'!S$5:S$3360,"[PARENT]",'J Book Items Cons.'!E$5:E$3360,1,'J Book Items Cons.'!F$5:F$3360,"Advance procurement / LLTM",'J Book Items Cons.'!U$5:U$3360,"MSC",'J Book Items Cons.'!W$5:W$3360,"Cargo &amp; Vehicle Cargo Ships",'J Book Items Cons.'!R$5:R$3360,"&lt;&gt;")+SUMIFS('J Book Items Cons.'!N$5:N$3360,'J Book Items Cons.'!S$5:S$3360,"[PARENT]",'J Book Items Cons.'!E$5:E$3360,1,'J Book Items Cons.'!F$5:F$3360,"Advance procurement / LLTM",'J Book Items Cons.'!U$5:U$3360,"MSC",'J Book Items Cons.'!W$5:W$3360,"Cargo &amp; Vehicle Cargo Ships",'J Book Items Cons.'!R$5:R$3360,"",'J Book Items Cons.'!N$5:N$3360,"&lt;&gt;")+SUMIFS('J Book Items Cons.'!L$5:L$3360,'J Book Items Cons.'!S$5:S$3360,"[PARENT]",'J Book Items Cons.'!E$5:E$3360,1,'J Book Items Cons.'!F$5:F$3360,"Advance procurement / LLTM",'J Book Items Cons.'!U$5:U$3360,"MSC",'J Book Items Cons.'!W$5:W$3360,"Cargo &amp; Vehicle Cargo Ships",'J Book Items Cons.'!R$5:R$3360,"",'J Book Items Cons.'!N$5:N$3360,""))/J88)</f>
        <v>0</v>
      </c>
      <c r="K87" s="38">
        <f>IF(K88=0,0,(SUMIFS('J Book Items Cons.'!R$5:R$3360,'J Book Items Cons.'!S$5:S$3360,"",'J Book Items Cons.'!E$5:E$3360,1,'J Book Items Cons.'!F$5:F$3360,"Advance procurement / LLTM",'J Book Items Cons.'!U$5:U$3360,"MSC",'J Book Items Cons.'!W$5:W$3360,"Surveillance Ships",'J Book Items Cons.'!R$5:R$3360,"&lt;&gt;")+SUMIFS('J Book Items Cons.'!N$5:N$3360,'J Book Items Cons.'!S$5:S$3360,"",'J Book Items Cons.'!E$5:E$3360,1,'J Book Items Cons.'!F$5:F$3360,"Advance procurement / LLTM",'J Book Items Cons.'!U$5:U$3360,"MSC",'J Book Items Cons.'!W$5:W$3360,"Surveillance Ships",'J Book Items Cons.'!R$5:R$3360,"",'J Book Items Cons.'!N$5:N$3360,"&lt;&gt;")+SUMIFS('J Book Items Cons.'!L$5:L$3360,'J Book Items Cons.'!S$5:S$3360,"",'J Book Items Cons.'!E$5:E$3360,1,'J Book Items Cons.'!F$5:F$3360,"Advance procurement / LLTM",'J Book Items Cons.'!U$5:U$3360,"MSC",'J Book Items Cons.'!W$5:W$3360,"Surveillance Ships",'J Book Items Cons.'!R$5:R$3360,"",'J Book Items Cons.'!N$5:N$3360,"")+SUMIFS('J Book Items Cons.'!R$5:R$3360,'J Book Items Cons.'!S$5:S$3360,"[PARENT]",'J Book Items Cons.'!E$5:E$3360,1,'J Book Items Cons.'!F$5:F$3360,"Advance procurement / LLTM",'J Book Items Cons.'!U$5:U$3360,"MSC",'J Book Items Cons.'!W$5:W$3360,"Surveillance Ships",'J Book Items Cons.'!R$5:R$3360,"&lt;&gt;")+SUMIFS('J Book Items Cons.'!N$5:N$3360,'J Book Items Cons.'!S$5:S$3360,"[PARENT]",'J Book Items Cons.'!E$5:E$3360,1,'J Book Items Cons.'!F$5:F$3360,"Advance procurement / LLTM",'J Book Items Cons.'!U$5:U$3360,"MSC",'J Book Items Cons.'!W$5:W$3360,"Surveillance Ships",'J Book Items Cons.'!R$5:R$3360,"",'J Book Items Cons.'!N$5:N$3360,"&lt;&gt;")+SUMIFS('J Book Items Cons.'!L$5:L$3360,'J Book Items Cons.'!S$5:S$3360,"[PARENT]",'J Book Items Cons.'!E$5:E$3360,1,'J Book Items Cons.'!F$5:F$3360,"Advance procurement / LLTM",'J Book Items Cons.'!U$5:U$3360,"MSC",'J Book Items Cons.'!W$5:W$3360,"Surveillance Ships",'J Book Items Cons.'!R$5:R$3360,"",'J Book Items Cons.'!N$5:N$3360,""))/K88)</f>
        <v>0</v>
      </c>
      <c r="L87" s="38">
        <f>IF(L88=0,0,(SUMIFS('J Book Items Cons.'!R$5:R$3360,'J Book Items Cons.'!S$5:S$3360,"",'J Book Items Cons.'!E$5:E$3360,1,'J Book Items Cons.'!F$5:F$3360,"Advance procurement / LLTM",'J Book Items Cons.'!U$5:U$3360,"USN",'J Book Items Cons.'!W$5:W$3360,"Unmanned Undersea Vehicles",'J Book Items Cons.'!R$5:R$3360,"&lt;&gt;")+SUMIFS('J Book Items Cons.'!N$5:N$3360,'J Book Items Cons.'!S$5:S$3360,"",'J Book Items Cons.'!E$5:E$3360,1,'J Book Items Cons.'!F$5:F$3360,"Advance procurement / LLTM",'J Book Items Cons.'!U$5:U$3360,"USN",'J Book Items Cons.'!W$5:W$3360,"Unmanned Undersea Vehicles",'J Book Items Cons.'!R$5:R$3360,"",'J Book Items Cons.'!N$5:N$3360,"&lt;&gt;")+SUMIFS('J Book Items Cons.'!L$5:L$3360,'J Book Items Cons.'!S$5:S$3360,"",'J Book Items Cons.'!E$5:E$3360,1,'J Book Items Cons.'!F$5:F$3360,"Advance procurement / LLTM",'J Book Items Cons.'!U$5:U$3360,"USN",'J Book Items Cons.'!W$5:W$3360,"Unmanned Undersea Vehicles",'J Book Items Cons.'!R$5:R$3360,"",'J Book Items Cons.'!N$5:N$3360,"")+SUMIFS('J Book Items Cons.'!R$5:R$3360,'J Book Items Cons.'!S$5:S$3360,"[PARENT]",'J Book Items Cons.'!E$5:E$3360,1,'J Book Items Cons.'!F$5:F$3360,"Advance procurement / LLTM",'J Book Items Cons.'!U$5:U$3360,"USN",'J Book Items Cons.'!W$5:W$3360,"Unmanned Undersea Vehicles",'J Book Items Cons.'!R$5:R$3360,"&lt;&gt;")+SUMIFS('J Book Items Cons.'!N$5:N$3360,'J Book Items Cons.'!S$5:S$3360,"[PARENT]",'J Book Items Cons.'!E$5:E$3360,1,'J Book Items Cons.'!F$5:F$3360,"Advance procurement / LLTM",'J Book Items Cons.'!U$5:U$3360,"USN",'J Book Items Cons.'!W$5:W$3360,"Unmanned Undersea Vehicles",'J Book Items Cons.'!R$5:R$3360,"",'J Book Items Cons.'!N$5:N$3360,"&lt;&gt;")+SUMIFS('J Book Items Cons.'!L$5:L$3360,'J Book Items Cons.'!S$5:S$3360,"[PARENT]",'J Book Items Cons.'!E$5:E$3360,1,'J Book Items Cons.'!F$5:F$3360,"Advance procurement / LLTM",'J Book Items Cons.'!U$5:U$3360,"USN",'J Book Items Cons.'!W$5:W$3360,"Unmanned Undersea Vehicles",'J Book Items Cons.'!R$5:R$3360,"",'J Book Items Cons.'!N$5:N$3360,""))/L88)</f>
        <v>0</v>
      </c>
      <c r="M87" s="38">
        <f>IF(M88=0,0,(SUMIFS('J Book Items Cons.'!R$5:R$3360,'J Book Items Cons.'!S$5:S$3360,"",'J Book Items Cons.'!E$5:E$3360,1,'J Book Items Cons.'!F$5:F$3360,"Advance procurement / LLTM",'J Book Items Cons.'!U$5:U$3360,"USN",'J Book Items Cons.'!W$5:W$3360,"Command Ships",'J Book Items Cons.'!R$5:R$3360,"&lt;&gt;")+SUMIFS('J Book Items Cons.'!N$5:N$3360,'J Book Items Cons.'!S$5:S$3360,"",'J Book Items Cons.'!E$5:E$3360,1,'J Book Items Cons.'!F$5:F$3360,"Advance procurement / LLTM",'J Book Items Cons.'!U$5:U$3360,"USN",'J Book Items Cons.'!W$5:W$3360,"Command Ships",'J Book Items Cons.'!R$5:R$3360,"",'J Book Items Cons.'!N$5:N$3360,"&lt;&gt;")+SUMIFS('J Book Items Cons.'!L$5:L$3360,'J Book Items Cons.'!S$5:S$3360,"",'J Book Items Cons.'!E$5:E$3360,1,'J Book Items Cons.'!F$5:F$3360,"Advance procurement / LLTM",'J Book Items Cons.'!U$5:U$3360,"USN",'J Book Items Cons.'!W$5:W$3360,"Command Ships",'J Book Items Cons.'!R$5:R$3360,"",'J Book Items Cons.'!N$5:N$3360,"")+SUMIFS('J Book Items Cons.'!R$5:R$3360,'J Book Items Cons.'!S$5:S$3360,"[PARENT]",'J Book Items Cons.'!E$5:E$3360,1,'J Book Items Cons.'!F$5:F$3360,"Advance procurement / LLTM",'J Book Items Cons.'!U$5:U$3360,"USN",'J Book Items Cons.'!W$5:W$3360,"Command Ships",'J Book Items Cons.'!R$5:R$3360,"&lt;&gt;")+SUMIFS('J Book Items Cons.'!N$5:N$3360,'J Book Items Cons.'!S$5:S$3360,"[PARENT]",'J Book Items Cons.'!E$5:E$3360,1,'J Book Items Cons.'!F$5:F$3360,"Advance procurement / LLTM",'J Book Items Cons.'!U$5:U$3360,"USN",'J Book Items Cons.'!W$5:W$3360,"Command Ships",'J Book Items Cons.'!R$5:R$3360,"",'J Book Items Cons.'!N$5:N$3360,"&lt;&gt;")+SUMIFS('J Book Items Cons.'!L$5:L$3360,'J Book Items Cons.'!S$5:S$3360,"[PARENT]",'J Book Items Cons.'!E$5:E$3360,1,'J Book Items Cons.'!F$5:F$3360,"Advance procurement / LLTM",'J Book Items Cons.'!U$5:U$3360,"USN",'J Book Items Cons.'!W$5:W$3360,"Command Ships",'J Book Items Cons.'!R$5:R$3360,"",'J Book Items Cons.'!N$5:N$3360,""))/M88)</f>
        <v>0</v>
      </c>
      <c r="N87" s="39">
        <f>IF(N88=0,0,(SUMIFS('J Book Items Cons.'!R$5:R$3360,'J Book Items Cons.'!S$5:S$3360,"",'J Book Items Cons.'!E$5:E$3360,1,'J Book Items Cons.'!F$5:F$3360,"Advance procurement / LLTM",'J Book Items Cons.'!U$5:U$3360,"USN",'J Book Items Cons.'!W$5:W$3360,"Mine Warfare",'J Book Items Cons.'!R$5:R$3360,"&lt;&gt;")+SUMIFS('J Book Items Cons.'!N$5:N$3360,'J Book Items Cons.'!S$5:S$3360,"",'J Book Items Cons.'!E$5:E$3360,1,'J Book Items Cons.'!F$5:F$3360,"Advance procurement / LLTM",'J Book Items Cons.'!U$5:U$3360,"USN",'J Book Items Cons.'!W$5:W$3360,"Mine Warfare",'J Book Items Cons.'!R$5:R$3360,"",'J Book Items Cons.'!N$5:N$3360,"&lt;&gt;")+SUMIFS('J Book Items Cons.'!L$5:L$3360,'J Book Items Cons.'!S$5:S$3360,"",'J Book Items Cons.'!E$5:E$3360,1,'J Book Items Cons.'!F$5:F$3360,"Advance procurement / LLTM",'J Book Items Cons.'!U$5:U$3360,"USN",'J Book Items Cons.'!W$5:W$3360,"Mine Warfare",'J Book Items Cons.'!R$5:R$3360,"",'J Book Items Cons.'!N$5:N$3360,"")+SUMIFS('J Book Items Cons.'!R$5:R$3360,'J Book Items Cons.'!S$5:S$3360,"[PARENT]",'J Book Items Cons.'!E$5:E$3360,1,'J Book Items Cons.'!F$5:F$3360,"Advance procurement / LLTM",'J Book Items Cons.'!U$5:U$3360,"USN",'J Book Items Cons.'!W$5:W$3360,"Mine Warfare",'J Book Items Cons.'!R$5:R$3360,"&lt;&gt;")+SUMIFS('J Book Items Cons.'!N$5:N$3360,'J Book Items Cons.'!S$5:S$3360,"[PARENT]",'J Book Items Cons.'!E$5:E$3360,1,'J Book Items Cons.'!F$5:F$3360,"Advance procurement / LLTM",'J Book Items Cons.'!U$5:U$3360,"USN",'J Book Items Cons.'!W$5:W$3360,"Mine Warfare",'J Book Items Cons.'!R$5:R$3360,"",'J Book Items Cons.'!N$5:N$3360,"&lt;&gt;")+SUMIFS('J Book Items Cons.'!L$5:L$3360,'J Book Items Cons.'!S$5:S$3360,"[PARENT]",'J Book Items Cons.'!E$5:E$3360,1,'J Book Items Cons.'!F$5:F$3360,"Advance procurement / LLTM",'J Book Items Cons.'!U$5:U$3360,"USN",'J Book Items Cons.'!W$5:W$3360,"Mine Warfare",'J Book Items Cons.'!R$5:R$3360,"",'J Book Items Cons.'!N$5:N$3360,""))/N88)</f>
        <v>0</v>
      </c>
      <c r="O87" s="37">
        <f>IF(O88=0,0,(SUMIFS('J Book Items Cons.'!R$5:R$3360,'J Book Items Cons.'!S$5:S$3360,"",'J Book Items Cons.'!E$5:E$3360,1,'J Book Items Cons.'!F$5:F$3360,"Advance procurement / LLTM",'J Book Items Cons.'!U$5:U$3360,"USCG",'J Book Items Cons.'!W$5:W$3360,"Offshore Patrol Cutter",'J Book Items Cons.'!R$5:R$3360,"&lt;&gt;")+SUMIFS('J Book Items Cons.'!N$5:N$3360,'J Book Items Cons.'!S$5:S$3360,"",'J Book Items Cons.'!E$5:E$3360,1,'J Book Items Cons.'!F$5:F$3360,"Advance procurement / LLTM",'J Book Items Cons.'!U$5:U$3360,"USCG",'J Book Items Cons.'!W$5:W$3360,"Offshore Patrol Cutter",'J Book Items Cons.'!R$5:R$3360,"",'J Book Items Cons.'!N$5:N$3360,"&lt;&gt;")+SUMIFS('J Book Items Cons.'!L$5:L$3360,'J Book Items Cons.'!S$5:S$3360,"",'J Book Items Cons.'!E$5:E$3360,1,'J Book Items Cons.'!F$5:F$3360,"Advance procurement / LLTM",'J Book Items Cons.'!U$5:U$3360,"USCG",'J Book Items Cons.'!W$5:W$3360,"Offshore Patrol Cutter",'J Book Items Cons.'!R$5:R$3360,"",'J Book Items Cons.'!N$5:N$3360,"")+SUMIFS('J Book Items Cons.'!R$5:R$3360,'J Book Items Cons.'!S$5:S$3360,"[PARENT]",'J Book Items Cons.'!E$5:E$3360,1,'J Book Items Cons.'!F$5:F$3360,"Advance procurement / LLTM",'J Book Items Cons.'!U$5:U$3360,"USCG",'J Book Items Cons.'!W$5:W$3360,"Offshore Patrol Cutter",'J Book Items Cons.'!R$5:R$3360,"&lt;&gt;")+SUMIFS('J Book Items Cons.'!N$5:N$3360,'J Book Items Cons.'!S$5:S$3360,"[PARENT]",'J Book Items Cons.'!E$5:E$3360,1,'J Book Items Cons.'!F$5:F$3360,"Advance procurement / LLTM",'J Book Items Cons.'!U$5:U$3360,"USCG",'J Book Items Cons.'!W$5:W$3360,"Offshore Patrol Cutter",'J Book Items Cons.'!R$5:R$3360,"",'J Book Items Cons.'!N$5:N$3360,"&lt;&gt;")+SUMIFS('J Book Items Cons.'!L$5:L$3360,'J Book Items Cons.'!S$5:S$3360,"[PARENT]",'J Book Items Cons.'!E$5:E$3360,1,'J Book Items Cons.'!F$5:F$3360,"Advance procurement / LLTM",'J Book Items Cons.'!U$5:U$3360,"USCG",'J Book Items Cons.'!W$5:W$3360,"Offshore Patrol Cutter",'J Book Items Cons.'!R$5:R$3360,"",'J Book Items Cons.'!N$5:N$3360,""))/O88)</f>
        <v>0</v>
      </c>
      <c r="P87" s="38">
        <f>IF(P88=0,0,(SUMIFS('J Book Items Cons.'!R$5:R$3360,'J Book Items Cons.'!S$5:S$3360,"",'J Book Items Cons.'!E$5:E$3360,1,'J Book Items Cons.'!F$5:F$3360,"Advance procurement / LLTM",'J Book Items Cons.'!U$5:U$3360,"USCG",'J Book Items Cons.'!W$5:W$3360,"Fast Response Cutters",'J Book Items Cons.'!R$5:R$3360,"&lt;&gt;")+SUMIFS('J Book Items Cons.'!N$5:N$3360,'J Book Items Cons.'!S$5:S$3360,"",'J Book Items Cons.'!E$5:E$3360,1,'J Book Items Cons.'!F$5:F$3360,"Advance procurement / LLTM",'J Book Items Cons.'!U$5:U$3360,"USCG",'J Book Items Cons.'!W$5:W$3360,"Fast Response Cutters",'J Book Items Cons.'!R$5:R$3360,"",'J Book Items Cons.'!N$5:N$3360,"&lt;&gt;")+SUMIFS('J Book Items Cons.'!L$5:L$3360,'J Book Items Cons.'!S$5:S$3360,"",'J Book Items Cons.'!E$5:E$3360,1,'J Book Items Cons.'!F$5:F$3360,"Advance procurement / LLTM",'J Book Items Cons.'!U$5:U$3360,"USCG",'J Book Items Cons.'!W$5:W$3360,"Fast Response Cutters",'J Book Items Cons.'!R$5:R$3360,"",'J Book Items Cons.'!N$5:N$3360,"")+SUMIFS('J Book Items Cons.'!R$5:R$3360,'J Book Items Cons.'!S$5:S$3360,"[PARENT]",'J Book Items Cons.'!E$5:E$3360,1,'J Book Items Cons.'!F$5:F$3360,"Advance procurement / LLTM",'J Book Items Cons.'!U$5:U$3360,"USCG",'J Book Items Cons.'!W$5:W$3360,"Fast Response Cutters",'J Book Items Cons.'!R$5:R$3360,"&lt;&gt;")+SUMIFS('J Book Items Cons.'!N$5:N$3360,'J Book Items Cons.'!S$5:S$3360,"[PARENT]",'J Book Items Cons.'!E$5:E$3360,1,'J Book Items Cons.'!F$5:F$3360,"Advance procurement / LLTM",'J Book Items Cons.'!U$5:U$3360,"USCG",'J Book Items Cons.'!W$5:W$3360,"Fast Response Cutters",'J Book Items Cons.'!R$5:R$3360,"",'J Book Items Cons.'!N$5:N$3360,"&lt;&gt;")+SUMIFS('J Book Items Cons.'!L$5:L$3360,'J Book Items Cons.'!S$5:S$3360,"[PARENT]",'J Book Items Cons.'!E$5:E$3360,1,'J Book Items Cons.'!F$5:F$3360,"Advance procurement / LLTM",'J Book Items Cons.'!U$5:U$3360,"USCG",'J Book Items Cons.'!W$5:W$3360,"Fast Response Cutters",'J Book Items Cons.'!R$5:R$3360,"",'J Book Items Cons.'!N$5:N$3360,""))/P88)</f>
        <v>0</v>
      </c>
      <c r="Q87" s="38">
        <f>IF(Q88=0,0,(SUMIFS('J Book Items Cons.'!R$5:R$3360,'J Book Items Cons.'!S$5:S$3360,"",'J Book Items Cons.'!E$5:E$3360,1,'J Book Items Cons.'!F$5:F$3360,"Advance procurement / LLTM",'J Book Items Cons.'!U$5:U$3360,"USCG",'J Book Items Cons.'!W$5:W$3360,"Icebreakers, Oceangoing",'J Book Items Cons.'!R$5:R$3360,"&lt;&gt;")+SUMIFS('J Book Items Cons.'!N$5:N$3360,'J Book Items Cons.'!S$5:S$3360,"",'J Book Items Cons.'!E$5:E$3360,1,'J Book Items Cons.'!F$5:F$3360,"Advance procurement / LLTM",'J Book Items Cons.'!U$5:U$3360,"USCG",'J Book Items Cons.'!W$5:W$3360,"Icebreakers, Oceangoing",'J Book Items Cons.'!R$5:R$3360,"",'J Book Items Cons.'!N$5:N$3360,"&lt;&gt;")+SUMIFS('J Book Items Cons.'!L$5:L$3360,'J Book Items Cons.'!S$5:S$3360,"",'J Book Items Cons.'!E$5:E$3360,1,'J Book Items Cons.'!F$5:F$3360,"Advance procurement / LLTM",'J Book Items Cons.'!U$5:U$3360,"USCG",'J Book Items Cons.'!W$5:W$3360,"Icebreakers, Oceangoing",'J Book Items Cons.'!R$5:R$3360,"",'J Book Items Cons.'!N$5:N$3360,"")+SUMIFS('J Book Items Cons.'!R$5:R$3360,'J Book Items Cons.'!S$5:S$3360,"[PARENT]",'J Book Items Cons.'!E$5:E$3360,1,'J Book Items Cons.'!F$5:F$3360,"Advance procurement / LLTM",'J Book Items Cons.'!U$5:U$3360,"USCG",'J Book Items Cons.'!W$5:W$3360,"Icebreakers, Oceangoing",'J Book Items Cons.'!R$5:R$3360,"&lt;&gt;")+SUMIFS('J Book Items Cons.'!N$5:N$3360,'J Book Items Cons.'!S$5:S$3360,"[PARENT]",'J Book Items Cons.'!E$5:E$3360,1,'J Book Items Cons.'!F$5:F$3360,"Advance procurement / LLTM",'J Book Items Cons.'!U$5:U$3360,"USCG",'J Book Items Cons.'!W$5:W$3360,"Icebreakers, Oceangoing",'J Book Items Cons.'!R$5:R$3360,"",'J Book Items Cons.'!N$5:N$3360,"&lt;&gt;")+SUMIFS('J Book Items Cons.'!L$5:L$3360,'J Book Items Cons.'!S$5:S$3360,"[PARENT]",'J Book Items Cons.'!E$5:E$3360,1,'J Book Items Cons.'!F$5:F$3360,"Advance procurement / LLTM",'J Book Items Cons.'!U$5:U$3360,"USCG",'J Book Items Cons.'!W$5:W$3360,"Icebreakers, Oceangoing",'J Book Items Cons.'!R$5:R$3360,"",'J Book Items Cons.'!N$5:N$3360,""))/Q88)</f>
        <v>0</v>
      </c>
      <c r="R87" s="38">
        <f>IF(R88=0,0,(SUMIFS('J Book Items Cons.'!R$5:R$3360,'J Book Items Cons.'!S$5:S$3360,"",'J Book Items Cons.'!E$5:E$3360,1,'J Book Items Cons.'!F$5:F$3360,"Advance procurement / LLTM",'J Book Items Cons.'!U$5:U$3360,"USCG",'J Book Items Cons.'!W$5:W$3360,"Waterways Commerce Cutters",'J Book Items Cons.'!R$5:R$3360,"&lt;&gt;")+SUMIFS('J Book Items Cons.'!N$5:N$3360,'J Book Items Cons.'!S$5:S$3360,"",'J Book Items Cons.'!E$5:E$3360,1,'J Book Items Cons.'!F$5:F$3360,"Advance procurement / LLTM",'J Book Items Cons.'!U$5:U$3360,"USCG",'J Book Items Cons.'!W$5:W$3360,"Waterways Commerce Cutters",'J Book Items Cons.'!R$5:R$3360,"",'J Book Items Cons.'!N$5:N$3360,"&lt;&gt;")+SUMIFS('J Book Items Cons.'!L$5:L$3360,'J Book Items Cons.'!S$5:S$3360,"",'J Book Items Cons.'!E$5:E$3360,1,'J Book Items Cons.'!F$5:F$3360,"Advance procurement / LLTM",'J Book Items Cons.'!U$5:U$3360,"USCG",'J Book Items Cons.'!W$5:W$3360,"Waterways Commerce Cutters",'J Book Items Cons.'!R$5:R$3360,"",'J Book Items Cons.'!N$5:N$3360,"")+SUMIFS('J Book Items Cons.'!R$5:R$3360,'J Book Items Cons.'!S$5:S$3360,"[PARENT]",'J Book Items Cons.'!E$5:E$3360,1,'J Book Items Cons.'!F$5:F$3360,"Advance procurement / LLTM",'J Book Items Cons.'!U$5:U$3360,"USCG",'J Book Items Cons.'!W$5:W$3360,"Waterways Commerce Cutters",'J Book Items Cons.'!R$5:R$3360,"&lt;&gt;")+SUMIFS('J Book Items Cons.'!N$5:N$3360,'J Book Items Cons.'!S$5:S$3360,"[PARENT]",'J Book Items Cons.'!E$5:E$3360,1,'J Book Items Cons.'!F$5:F$3360,"Advance procurement / LLTM",'J Book Items Cons.'!U$5:U$3360,"USCG",'J Book Items Cons.'!W$5:W$3360,"Waterways Commerce Cutters",'J Book Items Cons.'!R$5:R$3360,"",'J Book Items Cons.'!N$5:N$3360,"&lt;&gt;")+SUMIFS('J Book Items Cons.'!L$5:L$3360,'J Book Items Cons.'!S$5:S$3360,"[PARENT]",'J Book Items Cons.'!E$5:E$3360,1,'J Book Items Cons.'!F$5:F$3360,"Advance procurement / LLTM",'J Book Items Cons.'!U$5:U$3360,"USCG",'J Book Items Cons.'!W$5:W$3360,"Waterways Commerce Cutters",'J Book Items Cons.'!R$5:R$3360,"",'J Book Items Cons.'!N$5:N$3360,""))/R88)</f>
        <v>0</v>
      </c>
      <c r="S87" s="39">
        <f>IF(S88=0,0,(SUMIFS('J Book Items Cons.'!R$5:R$3360,'J Book Items Cons.'!S$5:S$3360,"",'J Book Items Cons.'!E$5:E$3360,1,'J Book Items Cons.'!F$5:F$3360,"Advance procurement / LLTM",'J Book Items Cons.'!U$5:U$3360,"USCG",'J Book Items Cons.'!W$5:W$3360,"National Security Cutters",'J Book Items Cons.'!R$5:R$3360,"&lt;&gt;")+SUMIFS('J Book Items Cons.'!N$5:N$3360,'J Book Items Cons.'!S$5:S$3360,"",'J Book Items Cons.'!E$5:E$3360,1,'J Book Items Cons.'!F$5:F$3360,"Advance procurement / LLTM",'J Book Items Cons.'!U$5:U$3360,"USCG",'J Book Items Cons.'!W$5:W$3360,"National Security Cutters",'J Book Items Cons.'!R$5:R$3360,"",'J Book Items Cons.'!N$5:N$3360,"&lt;&gt;")+SUMIFS('J Book Items Cons.'!L$5:L$3360,'J Book Items Cons.'!S$5:S$3360,"",'J Book Items Cons.'!E$5:E$3360,1,'J Book Items Cons.'!F$5:F$3360,"Advance procurement / LLTM",'J Book Items Cons.'!U$5:U$3360,"USCG",'J Book Items Cons.'!W$5:W$3360,"National Security Cutters",'J Book Items Cons.'!R$5:R$3360,"",'J Book Items Cons.'!N$5:N$3360,"")+SUMIFS('J Book Items Cons.'!R$5:R$3360,'J Book Items Cons.'!S$5:S$3360,"[PARENT]",'J Book Items Cons.'!E$5:E$3360,1,'J Book Items Cons.'!F$5:F$3360,"Advance procurement / LLTM",'J Book Items Cons.'!U$5:U$3360,"USCG",'J Book Items Cons.'!W$5:W$3360,"National Security Cutters",'J Book Items Cons.'!R$5:R$3360,"&lt;&gt;")+SUMIFS('J Book Items Cons.'!N$5:N$3360,'J Book Items Cons.'!S$5:S$3360,"[PARENT]",'J Book Items Cons.'!E$5:E$3360,1,'J Book Items Cons.'!F$5:F$3360,"Advance procurement / LLTM",'J Book Items Cons.'!U$5:U$3360,"USCG",'J Book Items Cons.'!W$5:W$3360,"National Security Cutters",'J Book Items Cons.'!R$5:R$3360,"",'J Book Items Cons.'!N$5:N$3360,"&lt;&gt;")+SUMIFS('J Book Items Cons.'!L$5:L$3360,'J Book Items Cons.'!S$5:S$3360,"[PARENT]",'J Book Items Cons.'!E$5:E$3360,1,'J Book Items Cons.'!F$5:F$3360,"Advance procurement / LLTM",'J Book Items Cons.'!U$5:U$3360,"USCG",'J Book Items Cons.'!W$5:W$3360,"National Security Cutters",'J Book Items Cons.'!R$5:R$3360,"",'J Book Items Cons.'!N$5:N$3360,""))/S88)</f>
        <v>0</v>
      </c>
      <c r="T87" s="38">
        <f>IF(T88=0,0,SUMPRODUCT(B87:S87,B$88:S$88)/T$88)</f>
        <v>0.26340825245625632</v>
      </c>
    </row>
    <row r="88" spans="1:20" x14ac:dyDescent="0.15">
      <c r="A88" s="15" t="s">
        <v>8831</v>
      </c>
      <c r="B88" s="28">
        <f>SUMIFS('J Book Items Cons.'!R$5:R$3360,'J Book Items Cons.'!S$5:S$3360,"",'J Book Items Cons.'!E$5:E$3360,1,'J Book Items Cons.'!U$5:U$3360,"USN",'J Book Items Cons.'!W$5:W$3360,"Submarines",'J Book Items Cons.'!R$5:R$3360,"&lt;&gt;")+SUMIFS('J Book Items Cons.'!N$5:N$3360,'J Book Items Cons.'!S$5:S$3360,"",'J Book Items Cons.'!E$5:E$3360,1,'J Book Items Cons.'!U$5:U$3360,"USN",'J Book Items Cons.'!W$5:W$3360,"Submarines",'J Book Items Cons.'!R$5:R$3360,"",'J Book Items Cons.'!N$5:N$3360,"&lt;&gt;")+SUMIFS('J Book Items Cons.'!L$5:L$3360,'J Book Items Cons.'!S$5:S$3360,"",'J Book Items Cons.'!E$5:E$3360,1,'J Book Items Cons.'!U$5:U$3360,"USN",'J Book Items Cons.'!W$5:W$3360,"Submarines",'J Book Items Cons.'!R$5:R$3360,"",'J Book Items Cons.'!N$5:N$3360,"")+SUMIFS('J Book Items Cons.'!R$5:R$3360,'J Book Items Cons.'!S$5:S$3360,"[PARENT]",'J Book Items Cons.'!E$5:E$3360,1,'J Book Items Cons.'!U$5:U$3360,"USN",'J Book Items Cons.'!W$5:W$3360,"Submarines",'J Book Items Cons.'!R$5:R$3360,"&lt;&gt;")+SUMIFS('J Book Items Cons.'!N$5:N$3360,'J Book Items Cons.'!S$5:S$3360,"[PARENT]",'J Book Items Cons.'!E$5:E$3360,1,'J Book Items Cons.'!U$5:U$3360,"USN",'J Book Items Cons.'!W$5:W$3360,"Submarines",'J Book Items Cons.'!R$5:R$3360,"",'J Book Items Cons.'!N$5:N$3360,"&lt;&gt;")+SUMIFS('J Book Items Cons.'!L$5:L$3360,'J Book Items Cons.'!S$5:S$3360,"[PARENT]",'J Book Items Cons.'!E$5:E$3360,1,'J Book Items Cons.'!U$5:U$3360,"USN",'J Book Items Cons.'!W$5:W$3360,"Submarines",'J Book Items Cons.'!R$5:R$3360,"",'J Book Items Cons.'!N$5:N$3360,"")</f>
        <v>19940315</v>
      </c>
      <c r="C88" s="16">
        <f>SUMIFS('J Book Items Cons.'!R$5:R$3360,'J Book Items Cons.'!S$5:S$3360,"",'J Book Items Cons.'!E$5:E$3360,1,'J Book Items Cons.'!U$5:U$3360,"USN",'J Book Items Cons.'!W$5:W$3360,"Surface Combatants",'J Book Items Cons.'!R$5:R$3360,"&lt;&gt;")+SUMIFS('J Book Items Cons.'!N$5:N$3360,'J Book Items Cons.'!S$5:S$3360,"",'J Book Items Cons.'!E$5:E$3360,1,'J Book Items Cons.'!U$5:U$3360,"USN",'J Book Items Cons.'!W$5:W$3360,"Surface Combatants",'J Book Items Cons.'!R$5:R$3360,"",'J Book Items Cons.'!N$5:N$3360,"&lt;&gt;")+SUMIFS('J Book Items Cons.'!L$5:L$3360,'J Book Items Cons.'!S$5:S$3360,"",'J Book Items Cons.'!E$5:E$3360,1,'J Book Items Cons.'!U$5:U$3360,"USN",'J Book Items Cons.'!W$5:W$3360,"Surface Combatants",'J Book Items Cons.'!R$5:R$3360,"",'J Book Items Cons.'!N$5:N$3360,"")+SUMIFS('J Book Items Cons.'!R$5:R$3360,'J Book Items Cons.'!S$5:S$3360,"[PARENT]",'J Book Items Cons.'!E$5:E$3360,1,'J Book Items Cons.'!U$5:U$3360,"USN",'J Book Items Cons.'!W$5:W$3360,"Surface Combatants",'J Book Items Cons.'!R$5:R$3360,"&lt;&gt;")+SUMIFS('J Book Items Cons.'!N$5:N$3360,'J Book Items Cons.'!S$5:S$3360,"[PARENT]",'J Book Items Cons.'!E$5:E$3360,1,'J Book Items Cons.'!U$5:U$3360,"USN",'J Book Items Cons.'!W$5:W$3360,"Surface Combatants",'J Book Items Cons.'!R$5:R$3360,"",'J Book Items Cons.'!N$5:N$3360,"&lt;&gt;")+SUMIFS('J Book Items Cons.'!L$5:L$3360,'J Book Items Cons.'!S$5:S$3360,"[PARENT]",'J Book Items Cons.'!E$5:E$3360,1,'J Book Items Cons.'!U$5:U$3360,"USN",'J Book Items Cons.'!W$5:W$3360,"Surface Combatants",'J Book Items Cons.'!R$5:R$3360,"",'J Book Items Cons.'!N$5:N$3360,"")</f>
        <v>7455131</v>
      </c>
      <c r="D88" s="16">
        <f>SUMIFS('J Book Items Cons.'!R$5:R$3360,'J Book Items Cons.'!S$5:S$3360,"",'J Book Items Cons.'!E$5:E$3360,1,'J Book Items Cons.'!U$5:U$3360,"USN",'J Book Items Cons.'!W$5:W$3360,"Aircraft Carriers",'J Book Items Cons.'!R$5:R$3360,"&lt;&gt;")+SUMIFS('J Book Items Cons.'!N$5:N$3360,'J Book Items Cons.'!S$5:S$3360,"",'J Book Items Cons.'!E$5:E$3360,1,'J Book Items Cons.'!U$5:U$3360,"USN",'J Book Items Cons.'!W$5:W$3360,"Aircraft Carriers",'J Book Items Cons.'!R$5:R$3360,"",'J Book Items Cons.'!N$5:N$3360,"&lt;&gt;")+SUMIFS('J Book Items Cons.'!L$5:L$3360,'J Book Items Cons.'!S$5:S$3360,"",'J Book Items Cons.'!E$5:E$3360,1,'J Book Items Cons.'!U$5:U$3360,"USN",'J Book Items Cons.'!W$5:W$3360,"Aircraft Carriers",'J Book Items Cons.'!R$5:R$3360,"",'J Book Items Cons.'!N$5:N$3360,"")+SUMIFS('J Book Items Cons.'!R$5:R$3360,'J Book Items Cons.'!S$5:S$3360,"[PARENT]",'J Book Items Cons.'!E$5:E$3360,1,'J Book Items Cons.'!U$5:U$3360,"USN",'J Book Items Cons.'!W$5:W$3360,"Aircraft Carriers",'J Book Items Cons.'!R$5:R$3360,"&lt;&gt;")+SUMIFS('J Book Items Cons.'!N$5:N$3360,'J Book Items Cons.'!S$5:S$3360,"[PARENT]",'J Book Items Cons.'!E$5:E$3360,1,'J Book Items Cons.'!U$5:U$3360,"USN",'J Book Items Cons.'!W$5:W$3360,"Aircraft Carriers",'J Book Items Cons.'!R$5:R$3360,"",'J Book Items Cons.'!N$5:N$3360,"&lt;&gt;")+SUMIFS('J Book Items Cons.'!L$5:L$3360,'J Book Items Cons.'!S$5:S$3360,"[PARENT]",'J Book Items Cons.'!E$5:E$3360,1,'J Book Items Cons.'!U$5:U$3360,"USN",'J Book Items Cons.'!W$5:W$3360,"Aircraft Carriers",'J Book Items Cons.'!R$5:R$3360,"",'J Book Items Cons.'!N$5:N$3360,"")</f>
        <v>3281673</v>
      </c>
      <c r="E88" s="16">
        <f>SUMIFS('J Book Items Cons.'!R$5:R$3360,'J Book Items Cons.'!S$5:S$3360,"",'J Book Items Cons.'!E$5:E$3360,1,'J Book Items Cons.'!U$5:U$3360,"USN",'J Book Items Cons.'!W$5:W$3360,"Amphibious Warfare Ships",'J Book Items Cons.'!R$5:R$3360,"&lt;&gt;")+SUMIFS('J Book Items Cons.'!N$5:N$3360,'J Book Items Cons.'!S$5:S$3360,"",'J Book Items Cons.'!E$5:E$3360,1,'J Book Items Cons.'!U$5:U$3360,"USN",'J Book Items Cons.'!W$5:W$3360,"Amphibious Warfare Ships",'J Book Items Cons.'!R$5:R$3360,"",'J Book Items Cons.'!N$5:N$3360,"&lt;&gt;")+SUMIFS('J Book Items Cons.'!L$5:L$3360,'J Book Items Cons.'!S$5:S$3360,"",'J Book Items Cons.'!E$5:E$3360,1,'J Book Items Cons.'!U$5:U$3360,"USN",'J Book Items Cons.'!W$5:W$3360,"Amphibious Warfare Ships",'J Book Items Cons.'!R$5:R$3360,"",'J Book Items Cons.'!N$5:N$3360,"")+SUMIFS('J Book Items Cons.'!R$5:R$3360,'J Book Items Cons.'!S$5:S$3360,"[PARENT]",'J Book Items Cons.'!E$5:E$3360,1,'J Book Items Cons.'!U$5:U$3360,"USN",'J Book Items Cons.'!W$5:W$3360,"Amphibious Warfare Ships",'J Book Items Cons.'!R$5:R$3360,"&lt;&gt;")+SUMIFS('J Book Items Cons.'!N$5:N$3360,'J Book Items Cons.'!S$5:S$3360,"[PARENT]",'J Book Items Cons.'!E$5:E$3360,1,'J Book Items Cons.'!U$5:U$3360,"USN",'J Book Items Cons.'!W$5:W$3360,"Amphibious Warfare Ships",'J Book Items Cons.'!R$5:R$3360,"",'J Book Items Cons.'!N$5:N$3360,"&lt;&gt;")+SUMIFS('J Book Items Cons.'!L$5:L$3360,'J Book Items Cons.'!S$5:S$3360,"[PARENT]",'J Book Items Cons.'!E$5:E$3360,1,'J Book Items Cons.'!U$5:U$3360,"USN",'J Book Items Cons.'!W$5:W$3360,"Amphibious Warfare Ships",'J Book Items Cons.'!R$5:R$3360,"",'J Book Items Cons.'!N$5:N$3360,"")</f>
        <v>1745000</v>
      </c>
      <c r="F88" s="16">
        <f>SUMIFS('J Book Items Cons.'!R$5:R$3360,'J Book Items Cons.'!S$5:S$3360,"",'J Book Items Cons.'!E$5:E$3360,1,'J Book Items Cons.'!U$5:U$3360,"USN",'J Book Items Cons.'!W$5:W$3360,"Expeditionary &amp; Seabasing Ships",'J Book Items Cons.'!R$5:R$3360,"&lt;&gt;")+SUMIFS('J Book Items Cons.'!N$5:N$3360,'J Book Items Cons.'!S$5:S$3360,"",'J Book Items Cons.'!E$5:E$3360,1,'J Book Items Cons.'!U$5:U$3360,"USN",'J Book Items Cons.'!W$5:W$3360,"Expeditionary &amp; Seabasing Ships",'J Book Items Cons.'!R$5:R$3360,"",'J Book Items Cons.'!N$5:N$3360,"&lt;&gt;")+SUMIFS('J Book Items Cons.'!L$5:L$3360,'J Book Items Cons.'!S$5:S$3360,"",'J Book Items Cons.'!E$5:E$3360,1,'J Book Items Cons.'!U$5:U$3360,"USN",'J Book Items Cons.'!W$5:W$3360,"Expeditionary &amp; Seabasing Ships",'J Book Items Cons.'!R$5:R$3360,"",'J Book Items Cons.'!N$5:N$3360,"")+SUMIFS('J Book Items Cons.'!R$5:R$3360,'J Book Items Cons.'!S$5:S$3360,"[PARENT]",'J Book Items Cons.'!E$5:E$3360,1,'J Book Items Cons.'!U$5:U$3360,"USN",'J Book Items Cons.'!W$5:W$3360,"Expeditionary &amp; Seabasing Ships",'J Book Items Cons.'!R$5:R$3360,"&lt;&gt;")+SUMIFS('J Book Items Cons.'!N$5:N$3360,'J Book Items Cons.'!S$5:S$3360,"[PARENT]",'J Book Items Cons.'!E$5:E$3360,1,'J Book Items Cons.'!U$5:U$3360,"USN",'J Book Items Cons.'!W$5:W$3360,"Expeditionary &amp; Seabasing Ships",'J Book Items Cons.'!R$5:R$3360,"",'J Book Items Cons.'!N$5:N$3360,"&lt;&gt;")+SUMIFS('J Book Items Cons.'!L$5:L$3360,'J Book Items Cons.'!S$5:S$3360,"[PARENT]",'J Book Items Cons.'!E$5:E$3360,1,'J Book Items Cons.'!U$5:U$3360,"USN",'J Book Items Cons.'!W$5:W$3360,"Expeditionary &amp; Seabasing Ships",'J Book Items Cons.'!R$5:R$3360,"",'J Book Items Cons.'!N$5:N$3360,"")</f>
        <v>2763941</v>
      </c>
      <c r="G88" s="16">
        <f>SUMIFS('J Book Items Cons.'!R$5:R$3360,'J Book Items Cons.'!S$5:S$3360,"",'J Book Items Cons.'!E$5:E$3360,1,'J Book Items Cons.'!U$5:U$3360,"MSC",'J Book Items Cons.'!W$5:W$3360,"Combat Logistics Ships",'J Book Items Cons.'!R$5:R$3360,"&lt;&gt;")+SUMIFS('J Book Items Cons.'!N$5:N$3360,'J Book Items Cons.'!S$5:S$3360,"",'J Book Items Cons.'!E$5:E$3360,1,'J Book Items Cons.'!U$5:U$3360,"MSC",'J Book Items Cons.'!W$5:W$3360,"Combat Logistics Ships",'J Book Items Cons.'!R$5:R$3360,"",'J Book Items Cons.'!N$5:N$3360,"&lt;&gt;")+SUMIFS('J Book Items Cons.'!L$5:L$3360,'J Book Items Cons.'!S$5:S$3360,"",'J Book Items Cons.'!E$5:E$3360,1,'J Book Items Cons.'!U$5:U$3360,"MSC",'J Book Items Cons.'!W$5:W$3360,"Combat Logistics Ships",'J Book Items Cons.'!R$5:R$3360,"",'J Book Items Cons.'!N$5:N$3360,"")+SUMIFS('J Book Items Cons.'!R$5:R$3360,'J Book Items Cons.'!S$5:S$3360,"[PARENT]",'J Book Items Cons.'!E$5:E$3360,1,'J Book Items Cons.'!U$5:U$3360,"MSC",'J Book Items Cons.'!W$5:W$3360,"Combat Logistics Ships",'J Book Items Cons.'!R$5:R$3360,"&lt;&gt;")+SUMIFS('J Book Items Cons.'!N$5:N$3360,'J Book Items Cons.'!S$5:S$3360,"[PARENT]",'J Book Items Cons.'!E$5:E$3360,1,'J Book Items Cons.'!U$5:U$3360,"MSC",'J Book Items Cons.'!W$5:W$3360,"Combat Logistics Ships",'J Book Items Cons.'!R$5:R$3360,"",'J Book Items Cons.'!N$5:N$3360,"&lt;&gt;")+SUMIFS('J Book Items Cons.'!L$5:L$3360,'J Book Items Cons.'!S$5:S$3360,"[PARENT]",'J Book Items Cons.'!E$5:E$3360,1,'J Book Items Cons.'!U$5:U$3360,"MSC",'J Book Items Cons.'!W$5:W$3360,"Combat Logistics Ships",'J Book Items Cons.'!R$5:R$3360,"",'J Book Items Cons.'!N$5:N$3360,"")</f>
        <v>1861705</v>
      </c>
      <c r="H88" s="16">
        <f>SUMIFS('J Book Items Cons.'!R$5:R$3360,'J Book Items Cons.'!S$5:S$3360,"",'J Book Items Cons.'!E$5:E$3360,1,'J Book Items Cons.'!U$5:U$3360,"USN",'J Book Items Cons.'!W$5:W$3360,"Unmanned Surface Vehicles",'J Book Items Cons.'!R$5:R$3360,"&lt;&gt;")+SUMIFS('J Book Items Cons.'!N$5:N$3360,'J Book Items Cons.'!S$5:S$3360,"",'J Book Items Cons.'!E$5:E$3360,1,'J Book Items Cons.'!U$5:U$3360,"USN",'J Book Items Cons.'!W$5:W$3360,"Unmanned Surface Vehicles",'J Book Items Cons.'!R$5:R$3360,"",'J Book Items Cons.'!N$5:N$3360,"&lt;&gt;")+SUMIFS('J Book Items Cons.'!L$5:L$3360,'J Book Items Cons.'!S$5:S$3360,"",'J Book Items Cons.'!E$5:E$3360,1,'J Book Items Cons.'!U$5:U$3360,"USN",'J Book Items Cons.'!W$5:W$3360,"Unmanned Surface Vehicles",'J Book Items Cons.'!R$5:R$3360,"",'J Book Items Cons.'!N$5:N$3360,"")+SUMIFS('J Book Items Cons.'!R$5:R$3360,'J Book Items Cons.'!S$5:S$3360,"[PARENT]",'J Book Items Cons.'!E$5:E$3360,1,'J Book Items Cons.'!U$5:U$3360,"USN",'J Book Items Cons.'!W$5:W$3360,"Unmanned Surface Vehicles",'J Book Items Cons.'!R$5:R$3360,"&lt;&gt;")+SUMIFS('J Book Items Cons.'!N$5:N$3360,'J Book Items Cons.'!S$5:S$3360,"[PARENT]",'J Book Items Cons.'!E$5:E$3360,1,'J Book Items Cons.'!U$5:U$3360,"USN",'J Book Items Cons.'!W$5:W$3360,"Unmanned Surface Vehicles",'J Book Items Cons.'!R$5:R$3360,"",'J Book Items Cons.'!N$5:N$3360,"&lt;&gt;")+SUMIFS('J Book Items Cons.'!L$5:L$3360,'J Book Items Cons.'!S$5:S$3360,"[PARENT]",'J Book Items Cons.'!E$5:E$3360,1,'J Book Items Cons.'!U$5:U$3360,"USN",'J Book Items Cons.'!W$5:W$3360,"Unmanned Surface Vehicles",'J Book Items Cons.'!R$5:R$3360,"",'J Book Items Cons.'!N$5:N$3360,"")</f>
        <v>1325714</v>
      </c>
      <c r="I88" s="16">
        <f>SUMIFS('J Book Items Cons.'!R$5:R$3360,'J Book Items Cons.'!S$5:S$3360,"",'J Book Items Cons.'!E$5:E$3360,1,'J Book Items Cons.'!U$5:U$3360,"USN",'J Book Items Cons.'!W$5:W$3360,"Amphibious Warfare Craft",'J Book Items Cons.'!R$5:R$3360,"&lt;&gt;")+SUMIFS('J Book Items Cons.'!N$5:N$3360,'J Book Items Cons.'!S$5:S$3360,"",'J Book Items Cons.'!E$5:E$3360,1,'J Book Items Cons.'!U$5:U$3360,"USN",'J Book Items Cons.'!W$5:W$3360,"Amphibious Warfare Craft",'J Book Items Cons.'!R$5:R$3360,"",'J Book Items Cons.'!N$5:N$3360,"&lt;&gt;")+SUMIFS('J Book Items Cons.'!L$5:L$3360,'J Book Items Cons.'!S$5:S$3360,"",'J Book Items Cons.'!E$5:E$3360,1,'J Book Items Cons.'!U$5:U$3360,"USN",'J Book Items Cons.'!W$5:W$3360,"Amphibious Warfare Craft",'J Book Items Cons.'!R$5:R$3360,"",'J Book Items Cons.'!N$5:N$3360,"")+SUMIFS('J Book Items Cons.'!R$5:R$3360,'J Book Items Cons.'!S$5:S$3360,"[PARENT]",'J Book Items Cons.'!E$5:E$3360,1,'J Book Items Cons.'!U$5:U$3360,"USN",'J Book Items Cons.'!W$5:W$3360,"Amphibious Warfare Craft",'J Book Items Cons.'!R$5:R$3360,"&lt;&gt;")+SUMIFS('J Book Items Cons.'!N$5:N$3360,'J Book Items Cons.'!S$5:S$3360,"[PARENT]",'J Book Items Cons.'!E$5:E$3360,1,'J Book Items Cons.'!U$5:U$3360,"USN",'J Book Items Cons.'!W$5:W$3360,"Amphibious Warfare Craft",'J Book Items Cons.'!R$5:R$3360,"",'J Book Items Cons.'!N$5:N$3360,"&lt;&gt;")+SUMIFS('J Book Items Cons.'!L$5:L$3360,'J Book Items Cons.'!S$5:S$3360,"[PARENT]",'J Book Items Cons.'!E$5:E$3360,1,'J Book Items Cons.'!U$5:U$3360,"USN",'J Book Items Cons.'!W$5:W$3360,"Amphibious Warfare Craft",'J Book Items Cons.'!R$5:R$3360,"",'J Book Items Cons.'!N$5:N$3360,"")</f>
        <v>854095</v>
      </c>
      <c r="J88" s="16">
        <f>SUMIFS('J Book Items Cons.'!R$5:R$3360,'J Book Items Cons.'!S$5:S$3360,"",'J Book Items Cons.'!E$5:E$3360,1,'J Book Items Cons.'!U$5:U$3360,"MSC",'J Book Items Cons.'!W$5:W$3360,"Cargo &amp; Vehicle Cargo Ships",'J Book Items Cons.'!R$5:R$3360,"&lt;&gt;")+SUMIFS('J Book Items Cons.'!N$5:N$3360,'J Book Items Cons.'!S$5:S$3360,"",'J Book Items Cons.'!E$5:E$3360,1,'J Book Items Cons.'!U$5:U$3360,"MSC",'J Book Items Cons.'!W$5:W$3360,"Cargo &amp; Vehicle Cargo Ships",'J Book Items Cons.'!R$5:R$3360,"",'J Book Items Cons.'!N$5:N$3360,"&lt;&gt;")+SUMIFS('J Book Items Cons.'!L$5:L$3360,'J Book Items Cons.'!S$5:S$3360,"",'J Book Items Cons.'!E$5:E$3360,1,'J Book Items Cons.'!U$5:U$3360,"MSC",'J Book Items Cons.'!W$5:W$3360,"Cargo &amp; Vehicle Cargo Ships",'J Book Items Cons.'!R$5:R$3360,"",'J Book Items Cons.'!N$5:N$3360,"")+SUMIFS('J Book Items Cons.'!R$5:R$3360,'J Book Items Cons.'!S$5:S$3360,"[PARENT]",'J Book Items Cons.'!E$5:E$3360,1,'J Book Items Cons.'!U$5:U$3360,"MSC",'J Book Items Cons.'!W$5:W$3360,"Cargo &amp; Vehicle Cargo Ships",'J Book Items Cons.'!R$5:R$3360,"&lt;&gt;")+SUMIFS('J Book Items Cons.'!N$5:N$3360,'J Book Items Cons.'!S$5:S$3360,"[PARENT]",'J Book Items Cons.'!E$5:E$3360,1,'J Book Items Cons.'!U$5:U$3360,"MSC",'J Book Items Cons.'!W$5:W$3360,"Cargo &amp; Vehicle Cargo Ships",'J Book Items Cons.'!R$5:R$3360,"",'J Book Items Cons.'!N$5:N$3360,"&lt;&gt;")+SUMIFS('J Book Items Cons.'!L$5:L$3360,'J Book Items Cons.'!S$5:S$3360,"[PARENT]",'J Book Items Cons.'!E$5:E$3360,1,'J Book Items Cons.'!U$5:U$3360,"MSC",'J Book Items Cons.'!W$5:W$3360,"Cargo &amp; Vehicle Cargo Ships",'J Book Items Cons.'!R$5:R$3360,"",'J Book Items Cons.'!N$5:N$3360,"")</f>
        <v>890000</v>
      </c>
      <c r="K88" s="16">
        <f>SUMIFS('J Book Items Cons.'!R$5:R$3360,'J Book Items Cons.'!S$5:S$3360,"",'J Book Items Cons.'!E$5:E$3360,1,'J Book Items Cons.'!U$5:U$3360,"MSC",'J Book Items Cons.'!W$5:W$3360,"Surveillance Ships",'J Book Items Cons.'!R$5:R$3360,"&lt;&gt;")+SUMIFS('J Book Items Cons.'!N$5:N$3360,'J Book Items Cons.'!S$5:S$3360,"",'J Book Items Cons.'!E$5:E$3360,1,'J Book Items Cons.'!U$5:U$3360,"MSC",'J Book Items Cons.'!W$5:W$3360,"Surveillance Ships",'J Book Items Cons.'!R$5:R$3360,"",'J Book Items Cons.'!N$5:N$3360,"&lt;&gt;")+SUMIFS('J Book Items Cons.'!L$5:L$3360,'J Book Items Cons.'!S$5:S$3360,"",'J Book Items Cons.'!E$5:E$3360,1,'J Book Items Cons.'!U$5:U$3360,"MSC",'J Book Items Cons.'!W$5:W$3360,"Surveillance Ships",'J Book Items Cons.'!R$5:R$3360,"",'J Book Items Cons.'!N$5:N$3360,"")+SUMIFS('J Book Items Cons.'!R$5:R$3360,'J Book Items Cons.'!S$5:S$3360,"[PARENT]",'J Book Items Cons.'!E$5:E$3360,1,'J Book Items Cons.'!U$5:U$3360,"MSC",'J Book Items Cons.'!W$5:W$3360,"Surveillance Ships",'J Book Items Cons.'!R$5:R$3360,"&lt;&gt;")+SUMIFS('J Book Items Cons.'!N$5:N$3360,'J Book Items Cons.'!S$5:S$3360,"[PARENT]",'J Book Items Cons.'!E$5:E$3360,1,'J Book Items Cons.'!U$5:U$3360,"MSC",'J Book Items Cons.'!W$5:W$3360,"Surveillance Ships",'J Book Items Cons.'!R$5:R$3360,"",'J Book Items Cons.'!N$5:N$3360,"&lt;&gt;")+SUMIFS('J Book Items Cons.'!L$5:L$3360,'J Book Items Cons.'!S$5:S$3360,"[PARENT]",'J Book Items Cons.'!E$5:E$3360,1,'J Book Items Cons.'!U$5:U$3360,"MSC",'J Book Items Cons.'!W$5:W$3360,"Surveillance Ships",'J Book Items Cons.'!R$5:R$3360,"",'J Book Items Cons.'!N$5:N$3360,"")</f>
        <v>612205</v>
      </c>
      <c r="L88" s="16">
        <f>SUMIFS('J Book Items Cons.'!R$5:R$3360,'J Book Items Cons.'!S$5:S$3360,"",'J Book Items Cons.'!E$5:E$3360,1,'J Book Items Cons.'!U$5:U$3360,"USN",'J Book Items Cons.'!W$5:W$3360,"Unmanned Undersea Vehicles",'J Book Items Cons.'!R$5:R$3360,"&lt;&gt;")+SUMIFS('J Book Items Cons.'!N$5:N$3360,'J Book Items Cons.'!S$5:S$3360,"",'J Book Items Cons.'!E$5:E$3360,1,'J Book Items Cons.'!U$5:U$3360,"USN",'J Book Items Cons.'!W$5:W$3360,"Unmanned Undersea Vehicles",'J Book Items Cons.'!R$5:R$3360,"",'J Book Items Cons.'!N$5:N$3360,"&lt;&gt;")+SUMIFS('J Book Items Cons.'!L$5:L$3360,'J Book Items Cons.'!S$5:S$3360,"",'J Book Items Cons.'!E$5:E$3360,1,'J Book Items Cons.'!U$5:U$3360,"USN",'J Book Items Cons.'!W$5:W$3360,"Unmanned Undersea Vehicles",'J Book Items Cons.'!R$5:R$3360,"",'J Book Items Cons.'!N$5:N$3360,"")+SUMIFS('J Book Items Cons.'!R$5:R$3360,'J Book Items Cons.'!S$5:S$3360,"[PARENT]",'J Book Items Cons.'!E$5:E$3360,1,'J Book Items Cons.'!U$5:U$3360,"USN",'J Book Items Cons.'!W$5:W$3360,"Unmanned Undersea Vehicles",'J Book Items Cons.'!R$5:R$3360,"&lt;&gt;")+SUMIFS('J Book Items Cons.'!N$5:N$3360,'J Book Items Cons.'!S$5:S$3360,"[PARENT]",'J Book Items Cons.'!E$5:E$3360,1,'J Book Items Cons.'!U$5:U$3360,"USN",'J Book Items Cons.'!W$5:W$3360,"Unmanned Undersea Vehicles",'J Book Items Cons.'!R$5:R$3360,"",'J Book Items Cons.'!N$5:N$3360,"&lt;&gt;")+SUMIFS('J Book Items Cons.'!L$5:L$3360,'J Book Items Cons.'!S$5:S$3360,"[PARENT]",'J Book Items Cons.'!E$5:E$3360,1,'J Book Items Cons.'!U$5:U$3360,"USN",'J Book Items Cons.'!W$5:W$3360,"Unmanned Undersea Vehicles",'J Book Items Cons.'!R$5:R$3360,"",'J Book Items Cons.'!N$5:N$3360,"")</f>
        <v>209234</v>
      </c>
      <c r="M88" s="16">
        <f>SUMIFS('J Book Items Cons.'!R$5:R$3360,'J Book Items Cons.'!S$5:S$3360,"",'J Book Items Cons.'!E$5:E$3360,1,'J Book Items Cons.'!U$5:U$3360,"USN",'J Book Items Cons.'!W$5:W$3360,"Command Ships",'J Book Items Cons.'!R$5:R$3360,"&lt;&gt;")+SUMIFS('J Book Items Cons.'!N$5:N$3360,'J Book Items Cons.'!S$5:S$3360,"",'J Book Items Cons.'!E$5:E$3360,1,'J Book Items Cons.'!U$5:U$3360,"USN",'J Book Items Cons.'!W$5:W$3360,"Command Ships",'J Book Items Cons.'!R$5:R$3360,"",'J Book Items Cons.'!N$5:N$3360,"&lt;&gt;")+SUMIFS('J Book Items Cons.'!L$5:L$3360,'J Book Items Cons.'!S$5:S$3360,"",'J Book Items Cons.'!E$5:E$3360,1,'J Book Items Cons.'!U$5:U$3360,"USN",'J Book Items Cons.'!W$5:W$3360,"Command Ships",'J Book Items Cons.'!R$5:R$3360,"",'J Book Items Cons.'!N$5:N$3360,"")+SUMIFS('J Book Items Cons.'!R$5:R$3360,'J Book Items Cons.'!S$5:S$3360,"[PARENT]",'J Book Items Cons.'!E$5:E$3360,1,'J Book Items Cons.'!U$5:U$3360,"USN",'J Book Items Cons.'!W$5:W$3360,"Command Ships",'J Book Items Cons.'!R$5:R$3360,"&lt;&gt;")+SUMIFS('J Book Items Cons.'!N$5:N$3360,'J Book Items Cons.'!S$5:S$3360,"[PARENT]",'J Book Items Cons.'!E$5:E$3360,1,'J Book Items Cons.'!U$5:U$3360,"USN",'J Book Items Cons.'!W$5:W$3360,"Command Ships",'J Book Items Cons.'!R$5:R$3360,"",'J Book Items Cons.'!N$5:N$3360,"&lt;&gt;")+SUMIFS('J Book Items Cons.'!L$5:L$3360,'J Book Items Cons.'!S$5:S$3360,"[PARENT]",'J Book Items Cons.'!E$5:E$3360,1,'J Book Items Cons.'!U$5:U$3360,"USN",'J Book Items Cons.'!W$5:W$3360,"Command Ships",'J Book Items Cons.'!R$5:R$3360,"",'J Book Items Cons.'!N$5:N$3360,"")</f>
        <v>0</v>
      </c>
      <c r="N88" s="29">
        <f>SUMIFS('J Book Items Cons.'!R$5:R$3360,'J Book Items Cons.'!S$5:S$3360,"",'J Book Items Cons.'!E$5:E$3360,1,'J Book Items Cons.'!U$5:U$3360,"USN",'J Book Items Cons.'!W$5:W$3360,"Mine Warfare",'J Book Items Cons.'!R$5:R$3360,"&lt;&gt;")+SUMIFS('J Book Items Cons.'!N$5:N$3360,'J Book Items Cons.'!S$5:S$3360,"",'J Book Items Cons.'!E$5:E$3360,1,'J Book Items Cons.'!U$5:U$3360,"USN",'J Book Items Cons.'!W$5:W$3360,"Mine Warfare",'J Book Items Cons.'!R$5:R$3360,"",'J Book Items Cons.'!N$5:N$3360,"&lt;&gt;")+SUMIFS('J Book Items Cons.'!L$5:L$3360,'J Book Items Cons.'!S$5:S$3360,"",'J Book Items Cons.'!E$5:E$3360,1,'J Book Items Cons.'!U$5:U$3360,"USN",'J Book Items Cons.'!W$5:W$3360,"Mine Warfare",'J Book Items Cons.'!R$5:R$3360,"",'J Book Items Cons.'!N$5:N$3360,"")+SUMIFS('J Book Items Cons.'!R$5:R$3360,'J Book Items Cons.'!S$5:S$3360,"[PARENT]",'J Book Items Cons.'!E$5:E$3360,1,'J Book Items Cons.'!U$5:U$3360,"USN",'J Book Items Cons.'!W$5:W$3360,"Mine Warfare",'J Book Items Cons.'!R$5:R$3360,"&lt;&gt;")+SUMIFS('J Book Items Cons.'!N$5:N$3360,'J Book Items Cons.'!S$5:S$3360,"[PARENT]",'J Book Items Cons.'!E$5:E$3360,1,'J Book Items Cons.'!U$5:U$3360,"USN",'J Book Items Cons.'!W$5:W$3360,"Mine Warfare",'J Book Items Cons.'!R$5:R$3360,"",'J Book Items Cons.'!N$5:N$3360,"&lt;&gt;")+SUMIFS('J Book Items Cons.'!L$5:L$3360,'J Book Items Cons.'!S$5:S$3360,"[PARENT]",'J Book Items Cons.'!E$5:E$3360,1,'J Book Items Cons.'!U$5:U$3360,"USN",'J Book Items Cons.'!W$5:W$3360,"Mine Warfare",'J Book Items Cons.'!R$5:R$3360,"",'J Book Items Cons.'!N$5:N$3360,"")</f>
        <v>0</v>
      </c>
      <c r="O88" s="28">
        <f>SUMIFS('J Book Items Cons.'!R$5:R$3360,'J Book Items Cons.'!S$5:S$3360,"",'J Book Items Cons.'!E$5:E$3360,1,'J Book Items Cons.'!U$5:U$3360,"USCG",'J Book Items Cons.'!W$5:W$3360,"Offshore Patrol Cutter",'J Book Items Cons.'!R$5:R$3360,"&lt;&gt;")+SUMIFS('J Book Items Cons.'!N$5:N$3360,'J Book Items Cons.'!S$5:S$3360,"",'J Book Items Cons.'!E$5:E$3360,1,'J Book Items Cons.'!U$5:U$3360,"USCG",'J Book Items Cons.'!W$5:W$3360,"Offshore Patrol Cutter",'J Book Items Cons.'!R$5:R$3360,"",'J Book Items Cons.'!N$5:N$3360,"&lt;&gt;")+SUMIFS('J Book Items Cons.'!L$5:L$3360,'J Book Items Cons.'!S$5:S$3360,"",'J Book Items Cons.'!E$5:E$3360,1,'J Book Items Cons.'!U$5:U$3360,"USCG",'J Book Items Cons.'!W$5:W$3360,"Offshore Patrol Cutter",'J Book Items Cons.'!R$5:R$3360,"",'J Book Items Cons.'!N$5:N$3360,"")+SUMIFS('J Book Items Cons.'!R$5:R$3360,'J Book Items Cons.'!S$5:S$3360,"[PARENT]",'J Book Items Cons.'!E$5:E$3360,1,'J Book Items Cons.'!U$5:U$3360,"USCG",'J Book Items Cons.'!W$5:W$3360,"Offshore Patrol Cutter",'J Book Items Cons.'!R$5:R$3360,"&lt;&gt;")+SUMIFS('J Book Items Cons.'!N$5:N$3360,'J Book Items Cons.'!S$5:S$3360,"[PARENT]",'J Book Items Cons.'!E$5:E$3360,1,'J Book Items Cons.'!U$5:U$3360,"USCG",'J Book Items Cons.'!W$5:W$3360,"Offshore Patrol Cutter",'J Book Items Cons.'!R$5:R$3360,"",'J Book Items Cons.'!N$5:N$3360,"&lt;&gt;")+SUMIFS('J Book Items Cons.'!L$5:L$3360,'J Book Items Cons.'!S$5:S$3360,"[PARENT]",'J Book Items Cons.'!E$5:E$3360,1,'J Book Items Cons.'!U$5:U$3360,"USCG",'J Book Items Cons.'!W$5:W$3360,"Offshore Patrol Cutter",'J Book Items Cons.'!R$5:R$3360,"",'J Book Items Cons.'!N$5:N$3360,"")</f>
        <v>812400</v>
      </c>
      <c r="P88" s="16">
        <f>SUMIFS('J Book Items Cons.'!R$5:R$3360,'J Book Items Cons.'!S$5:S$3360,"",'J Book Items Cons.'!E$5:E$3360,1,'J Book Items Cons.'!U$5:U$3360,"USCG",'J Book Items Cons.'!W$5:W$3360,"Fast Response Cutters",'J Book Items Cons.'!R$5:R$3360,"&lt;&gt;")+SUMIFS('J Book Items Cons.'!N$5:N$3360,'J Book Items Cons.'!S$5:S$3360,"",'J Book Items Cons.'!E$5:E$3360,1,'J Book Items Cons.'!U$5:U$3360,"USCG",'J Book Items Cons.'!W$5:W$3360,"Fast Response Cutters",'J Book Items Cons.'!R$5:R$3360,"",'J Book Items Cons.'!N$5:N$3360,"&lt;&gt;")+SUMIFS('J Book Items Cons.'!L$5:L$3360,'J Book Items Cons.'!S$5:S$3360,"",'J Book Items Cons.'!E$5:E$3360,1,'J Book Items Cons.'!U$5:U$3360,"USCG",'J Book Items Cons.'!W$5:W$3360,"Fast Response Cutters",'J Book Items Cons.'!R$5:R$3360,"",'J Book Items Cons.'!N$5:N$3360,"")+SUMIFS('J Book Items Cons.'!R$5:R$3360,'J Book Items Cons.'!S$5:S$3360,"[PARENT]",'J Book Items Cons.'!E$5:E$3360,1,'J Book Items Cons.'!U$5:U$3360,"USCG",'J Book Items Cons.'!W$5:W$3360,"Fast Response Cutters",'J Book Items Cons.'!R$5:R$3360,"&lt;&gt;")+SUMIFS('J Book Items Cons.'!N$5:N$3360,'J Book Items Cons.'!S$5:S$3360,"[PARENT]",'J Book Items Cons.'!E$5:E$3360,1,'J Book Items Cons.'!U$5:U$3360,"USCG",'J Book Items Cons.'!W$5:W$3360,"Fast Response Cutters",'J Book Items Cons.'!R$5:R$3360,"",'J Book Items Cons.'!N$5:N$3360,"&lt;&gt;")+SUMIFS('J Book Items Cons.'!L$5:L$3360,'J Book Items Cons.'!S$5:S$3360,"[PARENT]",'J Book Items Cons.'!E$5:E$3360,1,'J Book Items Cons.'!U$5:U$3360,"USCG",'J Book Items Cons.'!W$5:W$3360,"Fast Response Cutters",'J Book Items Cons.'!R$5:R$3360,"",'J Book Items Cons.'!N$5:N$3360,"")</f>
        <v>216000</v>
      </c>
      <c r="Q88" s="16">
        <f>SUMIFS('J Book Items Cons.'!R$5:R$3360,'J Book Items Cons.'!S$5:S$3360,"",'J Book Items Cons.'!E$5:E$3360,1,'J Book Items Cons.'!U$5:U$3360,"USCG",'J Book Items Cons.'!W$5:W$3360,"Icebreakers, Oceangoing",'J Book Items Cons.'!R$5:R$3360,"&lt;&gt;")+SUMIFS('J Book Items Cons.'!N$5:N$3360,'J Book Items Cons.'!S$5:S$3360,"",'J Book Items Cons.'!E$5:E$3360,1,'J Book Items Cons.'!U$5:U$3360,"USCG",'J Book Items Cons.'!W$5:W$3360,"Icebreakers, Oceangoing",'J Book Items Cons.'!R$5:R$3360,"",'J Book Items Cons.'!N$5:N$3360,"&lt;&gt;")+SUMIFS('J Book Items Cons.'!L$5:L$3360,'J Book Items Cons.'!S$5:S$3360,"",'J Book Items Cons.'!E$5:E$3360,1,'J Book Items Cons.'!U$5:U$3360,"USCG",'J Book Items Cons.'!W$5:W$3360,"Icebreakers, Oceangoing",'J Book Items Cons.'!R$5:R$3360,"",'J Book Items Cons.'!N$5:N$3360,"")+SUMIFS('J Book Items Cons.'!R$5:R$3360,'J Book Items Cons.'!S$5:S$3360,"[PARENT]",'J Book Items Cons.'!E$5:E$3360,1,'J Book Items Cons.'!U$5:U$3360,"USCG",'J Book Items Cons.'!W$5:W$3360,"Icebreakers, Oceangoing",'J Book Items Cons.'!R$5:R$3360,"&lt;&gt;")+SUMIFS('J Book Items Cons.'!N$5:N$3360,'J Book Items Cons.'!S$5:S$3360,"[PARENT]",'J Book Items Cons.'!E$5:E$3360,1,'J Book Items Cons.'!U$5:U$3360,"USCG",'J Book Items Cons.'!W$5:W$3360,"Icebreakers, Oceangoing",'J Book Items Cons.'!R$5:R$3360,"",'J Book Items Cons.'!N$5:N$3360,"&lt;&gt;")+SUMIFS('J Book Items Cons.'!L$5:L$3360,'J Book Items Cons.'!S$5:S$3360,"[PARENT]",'J Book Items Cons.'!E$5:E$3360,1,'J Book Items Cons.'!U$5:U$3360,"USCG",'J Book Items Cons.'!W$5:W$3360,"Icebreakers, Oceangoing",'J Book Items Cons.'!R$5:R$3360,"",'J Book Items Cons.'!N$5:N$3360,"")</f>
        <v>130000</v>
      </c>
      <c r="R88" s="16">
        <f>SUMIFS('J Book Items Cons.'!R$5:R$3360,'J Book Items Cons.'!S$5:S$3360,"",'J Book Items Cons.'!E$5:E$3360,1,'J Book Items Cons.'!U$5:U$3360,"USCG",'J Book Items Cons.'!W$5:W$3360,"Waterways Commerce Cutters",'J Book Items Cons.'!R$5:R$3360,"&lt;&gt;")+SUMIFS('J Book Items Cons.'!N$5:N$3360,'J Book Items Cons.'!S$5:S$3360,"",'J Book Items Cons.'!E$5:E$3360,1,'J Book Items Cons.'!U$5:U$3360,"USCG",'J Book Items Cons.'!W$5:W$3360,"Waterways Commerce Cutters",'J Book Items Cons.'!R$5:R$3360,"",'J Book Items Cons.'!N$5:N$3360,"&lt;&gt;")+SUMIFS('J Book Items Cons.'!L$5:L$3360,'J Book Items Cons.'!S$5:S$3360,"",'J Book Items Cons.'!E$5:E$3360,1,'J Book Items Cons.'!U$5:U$3360,"USCG",'J Book Items Cons.'!W$5:W$3360,"Waterways Commerce Cutters",'J Book Items Cons.'!R$5:R$3360,"",'J Book Items Cons.'!N$5:N$3360,"")+SUMIFS('J Book Items Cons.'!R$5:R$3360,'J Book Items Cons.'!S$5:S$3360,"[PARENT]",'J Book Items Cons.'!E$5:E$3360,1,'J Book Items Cons.'!U$5:U$3360,"USCG",'J Book Items Cons.'!W$5:W$3360,"Waterways Commerce Cutters",'J Book Items Cons.'!R$5:R$3360,"&lt;&gt;")+SUMIFS('J Book Items Cons.'!N$5:N$3360,'J Book Items Cons.'!S$5:S$3360,"[PARENT]",'J Book Items Cons.'!E$5:E$3360,1,'J Book Items Cons.'!U$5:U$3360,"USCG",'J Book Items Cons.'!W$5:W$3360,"Waterways Commerce Cutters",'J Book Items Cons.'!R$5:R$3360,"",'J Book Items Cons.'!N$5:N$3360,"&lt;&gt;")+SUMIFS('J Book Items Cons.'!L$5:L$3360,'J Book Items Cons.'!S$5:S$3360,"[PARENT]",'J Book Items Cons.'!E$5:E$3360,1,'J Book Items Cons.'!U$5:U$3360,"USCG",'J Book Items Cons.'!W$5:W$3360,"Waterways Commerce Cutters",'J Book Items Cons.'!R$5:R$3360,"",'J Book Items Cons.'!N$5:N$3360,"")</f>
        <v>98000</v>
      </c>
      <c r="S88" s="29">
        <f>SUMIFS('J Book Items Cons.'!R$5:R$3360,'J Book Items Cons.'!S$5:S$3360,"",'J Book Items Cons.'!E$5:E$3360,1,'J Book Items Cons.'!U$5:U$3360,"USCG",'J Book Items Cons.'!W$5:W$3360,"National Security Cutters",'J Book Items Cons.'!R$5:R$3360,"&lt;&gt;")+SUMIFS('J Book Items Cons.'!N$5:N$3360,'J Book Items Cons.'!S$5:S$3360,"",'J Book Items Cons.'!E$5:E$3360,1,'J Book Items Cons.'!U$5:U$3360,"USCG",'J Book Items Cons.'!W$5:W$3360,"National Security Cutters",'J Book Items Cons.'!R$5:R$3360,"",'J Book Items Cons.'!N$5:N$3360,"&lt;&gt;")+SUMIFS('J Book Items Cons.'!L$5:L$3360,'J Book Items Cons.'!S$5:S$3360,"",'J Book Items Cons.'!E$5:E$3360,1,'J Book Items Cons.'!U$5:U$3360,"USCG",'J Book Items Cons.'!W$5:W$3360,"National Security Cutters",'J Book Items Cons.'!R$5:R$3360,"",'J Book Items Cons.'!N$5:N$3360,"")+SUMIFS('J Book Items Cons.'!R$5:R$3360,'J Book Items Cons.'!S$5:S$3360,"[PARENT]",'J Book Items Cons.'!E$5:E$3360,1,'J Book Items Cons.'!U$5:U$3360,"USCG",'J Book Items Cons.'!W$5:W$3360,"National Security Cutters",'J Book Items Cons.'!R$5:R$3360,"&lt;&gt;")+SUMIFS('J Book Items Cons.'!N$5:N$3360,'J Book Items Cons.'!S$5:S$3360,"[PARENT]",'J Book Items Cons.'!E$5:E$3360,1,'J Book Items Cons.'!U$5:U$3360,"USCG",'J Book Items Cons.'!W$5:W$3360,"National Security Cutters",'J Book Items Cons.'!R$5:R$3360,"",'J Book Items Cons.'!N$5:N$3360,"&lt;&gt;")+SUMIFS('J Book Items Cons.'!L$5:L$3360,'J Book Items Cons.'!S$5:S$3360,"[PARENT]",'J Book Items Cons.'!E$5:E$3360,1,'J Book Items Cons.'!U$5:U$3360,"USCG",'J Book Items Cons.'!W$5:W$3360,"National Security Cutters",'J Book Items Cons.'!R$5:R$3360,"",'J Book Items Cons.'!N$5:N$3360,"")</f>
        <v>0</v>
      </c>
      <c r="T88" s="16">
        <f>SUM(B88:S88)</f>
        <v>42195413</v>
      </c>
    </row>
    <row r="89" spans="1:20" x14ac:dyDescent="0.15">
      <c r="A89" s="17"/>
      <c r="B89" s="94"/>
      <c r="C89" s="94"/>
      <c r="D89" s="94"/>
      <c r="E89" s="94"/>
      <c r="F89" s="94"/>
      <c r="G89" s="94"/>
      <c r="H89" s="94"/>
      <c r="I89" s="94"/>
      <c r="J89" s="94"/>
      <c r="K89" s="94"/>
      <c r="L89" s="94"/>
      <c r="M89" s="94"/>
      <c r="N89" s="94"/>
      <c r="O89" s="94"/>
      <c r="P89" s="94"/>
      <c r="Q89" s="94"/>
      <c r="R89" s="94"/>
      <c r="S89" s="94"/>
      <c r="T89" s="94"/>
    </row>
    <row r="91" spans="1:20" x14ac:dyDescent="0.15">
      <c r="A91" s="11" t="s">
        <v>8856</v>
      </c>
      <c r="B91" s="11"/>
      <c r="C91" s="11"/>
      <c r="D91" s="11"/>
      <c r="E91" s="11"/>
      <c r="F91" s="11"/>
      <c r="G91" s="11"/>
      <c r="H91" s="11"/>
      <c r="I91" s="11"/>
      <c r="J91" s="11"/>
      <c r="K91" s="11"/>
      <c r="L91" s="11"/>
      <c r="M91" s="11"/>
      <c r="N91" s="11"/>
      <c r="O91" s="11"/>
      <c r="P91" s="11"/>
      <c r="Q91" s="11"/>
      <c r="R91" s="11"/>
      <c r="S91" s="11"/>
      <c r="T91" s="11"/>
    </row>
    <row r="92" spans="1:20" x14ac:dyDescent="0.15">
      <c r="A92" s="31"/>
      <c r="B92" s="32" t="s">
        <v>44</v>
      </c>
      <c r="C92" s="33"/>
      <c r="D92" s="33"/>
      <c r="E92" s="33"/>
      <c r="F92" s="33"/>
      <c r="G92" s="33"/>
      <c r="H92" s="33"/>
      <c r="I92" s="33"/>
      <c r="J92" s="33"/>
      <c r="K92" s="33"/>
      <c r="L92" s="33"/>
      <c r="M92" s="33"/>
      <c r="N92" s="34"/>
      <c r="O92" s="32" t="s">
        <v>7086</v>
      </c>
      <c r="P92" s="33"/>
      <c r="Q92" s="33"/>
      <c r="R92" s="33"/>
      <c r="S92" s="34"/>
      <c r="T92" s="31"/>
    </row>
    <row r="93" spans="1:20" x14ac:dyDescent="0.15">
      <c r="A93" s="12" t="s">
        <v>8820</v>
      </c>
      <c r="B93" s="22" t="s">
        <v>46</v>
      </c>
      <c r="C93" s="12" t="s">
        <v>130</v>
      </c>
      <c r="D93" s="12" t="s">
        <v>67</v>
      </c>
      <c r="E93" s="12" t="s">
        <v>171</v>
      </c>
      <c r="F93" s="12" t="s">
        <v>211</v>
      </c>
      <c r="G93" s="12" t="s">
        <v>235</v>
      </c>
      <c r="H93" s="12" t="s">
        <v>5560</v>
      </c>
      <c r="I93" s="12" t="s">
        <v>282</v>
      </c>
      <c r="J93" s="12" t="s">
        <v>288</v>
      </c>
      <c r="K93" s="12" t="s">
        <v>249</v>
      </c>
      <c r="L93" s="12" t="s">
        <v>4768</v>
      </c>
      <c r="M93" s="12" t="s">
        <v>4977</v>
      </c>
      <c r="N93" s="23" t="s">
        <v>4779</v>
      </c>
      <c r="O93" s="22" t="s">
        <v>8649</v>
      </c>
      <c r="P93" s="12" t="s">
        <v>8657</v>
      </c>
      <c r="Q93" s="12" t="s">
        <v>8668</v>
      </c>
      <c r="R93" s="12" t="s">
        <v>8682</v>
      </c>
      <c r="S93" s="23" t="s">
        <v>7088</v>
      </c>
      <c r="T93" s="13" t="s">
        <v>8831</v>
      </c>
    </row>
    <row r="94" spans="1:20" x14ac:dyDescent="0.15">
      <c r="A94" s="7" t="s">
        <v>4383</v>
      </c>
      <c r="B94" s="37">
        <f>IF(B100=0,0,(SUMIFS('J Book Items Cons.'!R$5:R$3360,'J Book Items Cons.'!S$5:S$3360,"",'J Book Items Cons.'!E$5:E$3360,2,'J Book Items Cons.'!U$5:U$3360,"USN",'J Book Items Cons.'!W$5:W$3360,"Submarines",'J Book Items Cons.'!R$5:R$3360,"&lt;&gt;")+SUMIFS('J Book Items Cons.'!N$5:N$3360,'J Book Items Cons.'!S$5:S$3360,"",'J Book Items Cons.'!E$5:E$3360,2,'J Book Items Cons.'!U$5:U$3360,"USN",'J Book Items Cons.'!W$5:W$3360,"Submarines",'J Book Items Cons.'!R$5:R$3360,"",'J Book Items Cons.'!N$5:N$3360,"&lt;&gt;")+SUMIFS('J Book Items Cons.'!L$5:L$3360,'J Book Items Cons.'!S$5:S$3360,"",'J Book Items Cons.'!E$5:E$3360,2,'J Book Items Cons.'!U$5:U$3360,"USN",'J Book Items Cons.'!W$5:W$3360,"Submarines",'J Book Items Cons.'!R$5:R$3360,"",'J Book Items Cons.'!N$5:N$3360,"")+SUMIFS('J Book Items Cons.'!R$5:R$3360,'J Book Items Cons.'!S$5:S$3360,"[PARENT]",'J Book Items Cons.'!E$5:E$3360,2,'J Book Items Cons.'!U$5:U$3360,"USN",'J Book Items Cons.'!W$5:W$3360,"Submarines",'J Book Items Cons.'!R$5:R$3360,"&lt;&gt;")+SUMIFS('J Book Items Cons.'!N$5:N$3360,'J Book Items Cons.'!S$5:S$3360,"[PARENT]",'J Book Items Cons.'!E$5:E$3360,2,'J Book Items Cons.'!U$5:U$3360,"USN",'J Book Items Cons.'!W$5:W$3360,"Submarines",'J Book Items Cons.'!R$5:R$3360,"",'J Book Items Cons.'!N$5:N$3360,"&lt;&gt;")+SUMIFS('J Book Items Cons.'!L$5:L$3360,'J Book Items Cons.'!S$5:S$3360,"[PARENT]",'J Book Items Cons.'!E$5:E$3360,2,'J Book Items Cons.'!U$5:U$3360,"USN",'J Book Items Cons.'!W$5:W$3360,"Submarines",'J Book Items Cons.'!R$5:R$3360,"",'J Book Items Cons.'!N$5:N$3360,""))/B100)</f>
        <v>0.54625213936948214</v>
      </c>
      <c r="C94" s="38">
        <f>IF(C100=0,0,(SUMIFS('J Book Items Cons.'!R$5:R$3360,'J Book Items Cons.'!S$5:S$3360,"",'J Book Items Cons.'!E$5:E$3360,2,'J Book Items Cons.'!U$5:U$3360,"USN",'J Book Items Cons.'!W$5:W$3360,"Surface Combatants",'J Book Items Cons.'!R$5:R$3360,"&lt;&gt;")+SUMIFS('J Book Items Cons.'!N$5:N$3360,'J Book Items Cons.'!S$5:S$3360,"",'J Book Items Cons.'!E$5:E$3360,2,'J Book Items Cons.'!U$5:U$3360,"USN",'J Book Items Cons.'!W$5:W$3360,"Surface Combatants",'J Book Items Cons.'!R$5:R$3360,"",'J Book Items Cons.'!N$5:N$3360,"&lt;&gt;")+SUMIFS('J Book Items Cons.'!L$5:L$3360,'J Book Items Cons.'!S$5:S$3360,"",'J Book Items Cons.'!E$5:E$3360,2,'J Book Items Cons.'!U$5:U$3360,"USN",'J Book Items Cons.'!W$5:W$3360,"Surface Combatants",'J Book Items Cons.'!R$5:R$3360,"",'J Book Items Cons.'!N$5:N$3360,"")+SUMIFS('J Book Items Cons.'!R$5:R$3360,'J Book Items Cons.'!S$5:S$3360,"[PARENT]",'J Book Items Cons.'!E$5:E$3360,2,'J Book Items Cons.'!U$5:U$3360,"USN",'J Book Items Cons.'!W$5:W$3360,"Surface Combatants",'J Book Items Cons.'!R$5:R$3360,"&lt;&gt;")+SUMIFS('J Book Items Cons.'!N$5:N$3360,'J Book Items Cons.'!S$5:S$3360,"[PARENT]",'J Book Items Cons.'!E$5:E$3360,2,'J Book Items Cons.'!U$5:U$3360,"USN",'J Book Items Cons.'!W$5:W$3360,"Surface Combatants",'J Book Items Cons.'!R$5:R$3360,"",'J Book Items Cons.'!N$5:N$3360,"&lt;&gt;")+SUMIFS('J Book Items Cons.'!L$5:L$3360,'J Book Items Cons.'!S$5:S$3360,"[PARENT]",'J Book Items Cons.'!E$5:E$3360,2,'J Book Items Cons.'!U$5:U$3360,"USN",'J Book Items Cons.'!W$5:W$3360,"Surface Combatants",'J Book Items Cons.'!R$5:R$3360,"",'J Book Items Cons.'!N$5:N$3360,""))/C100)</f>
        <v>0.26936061309335196</v>
      </c>
      <c r="D94" s="38">
        <f>IF(D100=0,0,(SUMIFS('J Book Items Cons.'!R$5:R$3360,'J Book Items Cons.'!S$5:S$3360,"",'J Book Items Cons.'!E$5:E$3360,2,'J Book Items Cons.'!U$5:U$3360,"USN",'J Book Items Cons.'!W$5:W$3360,"Aircraft Carriers",'J Book Items Cons.'!R$5:R$3360,"&lt;&gt;")+SUMIFS('J Book Items Cons.'!N$5:N$3360,'J Book Items Cons.'!S$5:S$3360,"",'J Book Items Cons.'!E$5:E$3360,2,'J Book Items Cons.'!U$5:U$3360,"USN",'J Book Items Cons.'!W$5:W$3360,"Aircraft Carriers",'J Book Items Cons.'!R$5:R$3360,"",'J Book Items Cons.'!N$5:N$3360,"&lt;&gt;")+SUMIFS('J Book Items Cons.'!L$5:L$3360,'J Book Items Cons.'!S$5:S$3360,"",'J Book Items Cons.'!E$5:E$3360,2,'J Book Items Cons.'!U$5:U$3360,"USN",'J Book Items Cons.'!W$5:W$3360,"Aircraft Carriers",'J Book Items Cons.'!R$5:R$3360,"",'J Book Items Cons.'!N$5:N$3360,"")+SUMIFS('J Book Items Cons.'!R$5:R$3360,'J Book Items Cons.'!S$5:S$3360,"[PARENT]",'J Book Items Cons.'!E$5:E$3360,2,'J Book Items Cons.'!U$5:U$3360,"USN",'J Book Items Cons.'!W$5:W$3360,"Aircraft Carriers",'J Book Items Cons.'!R$5:R$3360,"&lt;&gt;")+SUMIFS('J Book Items Cons.'!N$5:N$3360,'J Book Items Cons.'!S$5:S$3360,"[PARENT]",'J Book Items Cons.'!E$5:E$3360,2,'J Book Items Cons.'!U$5:U$3360,"USN",'J Book Items Cons.'!W$5:W$3360,"Aircraft Carriers",'J Book Items Cons.'!R$5:R$3360,"",'J Book Items Cons.'!N$5:N$3360,"&lt;&gt;")+SUMIFS('J Book Items Cons.'!L$5:L$3360,'J Book Items Cons.'!S$5:S$3360,"[PARENT]",'J Book Items Cons.'!E$5:E$3360,2,'J Book Items Cons.'!U$5:U$3360,"USN",'J Book Items Cons.'!W$5:W$3360,"Aircraft Carriers",'J Book Items Cons.'!R$5:R$3360,"",'J Book Items Cons.'!N$5:N$3360,""))/D100)</f>
        <v>0.60086364050987984</v>
      </c>
      <c r="E94" s="38">
        <f>IF(E100=0,0,(SUMIFS('J Book Items Cons.'!R$5:R$3360,'J Book Items Cons.'!S$5:S$3360,"",'J Book Items Cons.'!E$5:E$3360,2,'J Book Items Cons.'!U$5:U$3360,"USN",'J Book Items Cons.'!W$5:W$3360,"Amphibious Warfare Ships",'J Book Items Cons.'!R$5:R$3360,"&lt;&gt;")+SUMIFS('J Book Items Cons.'!N$5:N$3360,'J Book Items Cons.'!S$5:S$3360,"",'J Book Items Cons.'!E$5:E$3360,2,'J Book Items Cons.'!U$5:U$3360,"USN",'J Book Items Cons.'!W$5:W$3360,"Amphibious Warfare Ships",'J Book Items Cons.'!R$5:R$3360,"",'J Book Items Cons.'!N$5:N$3360,"&lt;&gt;")+SUMIFS('J Book Items Cons.'!L$5:L$3360,'J Book Items Cons.'!S$5:S$3360,"",'J Book Items Cons.'!E$5:E$3360,2,'J Book Items Cons.'!U$5:U$3360,"USN",'J Book Items Cons.'!W$5:W$3360,"Amphibious Warfare Ships",'J Book Items Cons.'!R$5:R$3360,"",'J Book Items Cons.'!N$5:N$3360,"")+SUMIFS('J Book Items Cons.'!R$5:R$3360,'J Book Items Cons.'!S$5:S$3360,"[PARENT]",'J Book Items Cons.'!E$5:E$3360,2,'J Book Items Cons.'!U$5:U$3360,"USN",'J Book Items Cons.'!W$5:W$3360,"Amphibious Warfare Ships",'J Book Items Cons.'!R$5:R$3360,"&lt;&gt;")+SUMIFS('J Book Items Cons.'!N$5:N$3360,'J Book Items Cons.'!S$5:S$3360,"[PARENT]",'J Book Items Cons.'!E$5:E$3360,2,'J Book Items Cons.'!U$5:U$3360,"USN",'J Book Items Cons.'!W$5:W$3360,"Amphibious Warfare Ships",'J Book Items Cons.'!R$5:R$3360,"",'J Book Items Cons.'!N$5:N$3360,"&lt;&gt;")+SUMIFS('J Book Items Cons.'!L$5:L$3360,'J Book Items Cons.'!S$5:S$3360,"[PARENT]",'J Book Items Cons.'!E$5:E$3360,2,'J Book Items Cons.'!U$5:U$3360,"USN",'J Book Items Cons.'!W$5:W$3360,"Amphibious Warfare Ships",'J Book Items Cons.'!R$5:R$3360,"",'J Book Items Cons.'!N$5:N$3360,""))/E100)</f>
        <v>0.40471142535615273</v>
      </c>
      <c r="F94" s="38">
        <f>IF(F100=0,0,(SUMIFS('J Book Items Cons.'!R$5:R$3360,'J Book Items Cons.'!S$5:S$3360,"",'J Book Items Cons.'!E$5:E$3360,2,'J Book Items Cons.'!U$5:U$3360,"USN",'J Book Items Cons.'!W$5:W$3360,"Expeditionary &amp; Seabasing Ships",'J Book Items Cons.'!R$5:R$3360,"&lt;&gt;")+SUMIFS('J Book Items Cons.'!N$5:N$3360,'J Book Items Cons.'!S$5:S$3360,"",'J Book Items Cons.'!E$5:E$3360,2,'J Book Items Cons.'!U$5:U$3360,"USN",'J Book Items Cons.'!W$5:W$3360,"Expeditionary &amp; Seabasing Ships",'J Book Items Cons.'!R$5:R$3360,"",'J Book Items Cons.'!N$5:N$3360,"&lt;&gt;")+SUMIFS('J Book Items Cons.'!L$5:L$3360,'J Book Items Cons.'!S$5:S$3360,"",'J Book Items Cons.'!E$5:E$3360,2,'J Book Items Cons.'!U$5:U$3360,"USN",'J Book Items Cons.'!W$5:W$3360,"Expeditionary &amp; Seabasing Ships",'J Book Items Cons.'!R$5:R$3360,"",'J Book Items Cons.'!N$5:N$3360,"")+SUMIFS('J Book Items Cons.'!R$5:R$3360,'J Book Items Cons.'!S$5:S$3360,"[PARENT]",'J Book Items Cons.'!E$5:E$3360,2,'J Book Items Cons.'!U$5:U$3360,"USN",'J Book Items Cons.'!W$5:W$3360,"Expeditionary &amp; Seabasing Ships",'J Book Items Cons.'!R$5:R$3360,"&lt;&gt;")+SUMIFS('J Book Items Cons.'!N$5:N$3360,'J Book Items Cons.'!S$5:S$3360,"[PARENT]",'J Book Items Cons.'!E$5:E$3360,2,'J Book Items Cons.'!U$5:U$3360,"USN",'J Book Items Cons.'!W$5:W$3360,"Expeditionary &amp; Seabasing Ships",'J Book Items Cons.'!R$5:R$3360,"",'J Book Items Cons.'!N$5:N$3360,"&lt;&gt;")+SUMIFS('J Book Items Cons.'!L$5:L$3360,'J Book Items Cons.'!S$5:S$3360,"[PARENT]",'J Book Items Cons.'!E$5:E$3360,2,'J Book Items Cons.'!U$5:U$3360,"USN",'J Book Items Cons.'!W$5:W$3360,"Expeditionary &amp; Seabasing Ships",'J Book Items Cons.'!R$5:R$3360,"",'J Book Items Cons.'!N$5:N$3360,""))/F100)</f>
        <v>0.38328338867741152</v>
      </c>
      <c r="G94" s="38">
        <f>IF(G100=0,0,(SUMIFS('J Book Items Cons.'!R$5:R$3360,'J Book Items Cons.'!S$5:S$3360,"",'J Book Items Cons.'!E$5:E$3360,2,'J Book Items Cons.'!U$5:U$3360,"MSC",'J Book Items Cons.'!W$5:W$3360,"Combat Logistics Ships",'J Book Items Cons.'!R$5:R$3360,"&lt;&gt;")+SUMIFS('J Book Items Cons.'!N$5:N$3360,'J Book Items Cons.'!S$5:S$3360,"",'J Book Items Cons.'!E$5:E$3360,2,'J Book Items Cons.'!U$5:U$3360,"MSC",'J Book Items Cons.'!W$5:W$3360,"Combat Logistics Ships",'J Book Items Cons.'!R$5:R$3360,"",'J Book Items Cons.'!N$5:N$3360,"&lt;&gt;")+SUMIFS('J Book Items Cons.'!L$5:L$3360,'J Book Items Cons.'!S$5:S$3360,"",'J Book Items Cons.'!E$5:E$3360,2,'J Book Items Cons.'!U$5:U$3360,"MSC",'J Book Items Cons.'!W$5:W$3360,"Combat Logistics Ships",'J Book Items Cons.'!R$5:R$3360,"",'J Book Items Cons.'!N$5:N$3360,"")+SUMIFS('J Book Items Cons.'!R$5:R$3360,'J Book Items Cons.'!S$5:S$3360,"[PARENT]",'J Book Items Cons.'!E$5:E$3360,2,'J Book Items Cons.'!U$5:U$3360,"MSC",'J Book Items Cons.'!W$5:W$3360,"Combat Logistics Ships",'J Book Items Cons.'!R$5:R$3360,"&lt;&gt;")+SUMIFS('J Book Items Cons.'!N$5:N$3360,'J Book Items Cons.'!S$5:S$3360,"[PARENT]",'J Book Items Cons.'!E$5:E$3360,2,'J Book Items Cons.'!U$5:U$3360,"MSC",'J Book Items Cons.'!W$5:W$3360,"Combat Logistics Ships",'J Book Items Cons.'!R$5:R$3360,"",'J Book Items Cons.'!N$5:N$3360,"&lt;&gt;")+SUMIFS('J Book Items Cons.'!L$5:L$3360,'J Book Items Cons.'!S$5:S$3360,"[PARENT]",'J Book Items Cons.'!E$5:E$3360,2,'J Book Items Cons.'!U$5:U$3360,"MSC",'J Book Items Cons.'!W$5:W$3360,"Combat Logistics Ships",'J Book Items Cons.'!R$5:R$3360,"",'J Book Items Cons.'!N$5:N$3360,""))/G100)</f>
        <v>0</v>
      </c>
      <c r="H94" s="38">
        <f>IF(H100=0,0,(SUMIFS('J Book Items Cons.'!R$5:R$3360,'J Book Items Cons.'!S$5:S$3360,"",'J Book Items Cons.'!E$5:E$3360,2,'J Book Items Cons.'!U$5:U$3360,"USN",'J Book Items Cons.'!W$5:W$3360,"Unmanned Surface Vehicles",'J Book Items Cons.'!R$5:R$3360,"&lt;&gt;")+SUMIFS('J Book Items Cons.'!N$5:N$3360,'J Book Items Cons.'!S$5:S$3360,"",'J Book Items Cons.'!E$5:E$3360,2,'J Book Items Cons.'!U$5:U$3360,"USN",'J Book Items Cons.'!W$5:W$3360,"Unmanned Surface Vehicles",'J Book Items Cons.'!R$5:R$3360,"",'J Book Items Cons.'!N$5:N$3360,"&lt;&gt;")+SUMIFS('J Book Items Cons.'!L$5:L$3360,'J Book Items Cons.'!S$5:S$3360,"",'J Book Items Cons.'!E$5:E$3360,2,'J Book Items Cons.'!U$5:U$3360,"USN",'J Book Items Cons.'!W$5:W$3360,"Unmanned Surface Vehicles",'J Book Items Cons.'!R$5:R$3360,"",'J Book Items Cons.'!N$5:N$3360,"")+SUMIFS('J Book Items Cons.'!R$5:R$3360,'J Book Items Cons.'!S$5:S$3360,"[PARENT]",'J Book Items Cons.'!E$5:E$3360,2,'J Book Items Cons.'!U$5:U$3360,"USN",'J Book Items Cons.'!W$5:W$3360,"Unmanned Surface Vehicles",'J Book Items Cons.'!R$5:R$3360,"&lt;&gt;")+SUMIFS('J Book Items Cons.'!N$5:N$3360,'J Book Items Cons.'!S$5:S$3360,"[PARENT]",'J Book Items Cons.'!E$5:E$3360,2,'J Book Items Cons.'!U$5:U$3360,"USN",'J Book Items Cons.'!W$5:W$3360,"Unmanned Surface Vehicles",'J Book Items Cons.'!R$5:R$3360,"",'J Book Items Cons.'!N$5:N$3360,"&lt;&gt;")+SUMIFS('J Book Items Cons.'!L$5:L$3360,'J Book Items Cons.'!S$5:S$3360,"[PARENT]",'J Book Items Cons.'!E$5:E$3360,2,'J Book Items Cons.'!U$5:U$3360,"USN",'J Book Items Cons.'!W$5:W$3360,"Unmanned Surface Vehicles",'J Book Items Cons.'!R$5:R$3360,"",'J Book Items Cons.'!N$5:N$3360,""))/H100)</f>
        <v>0</v>
      </c>
      <c r="I94" s="38">
        <f>IF(I100=0,0,(SUMIFS('J Book Items Cons.'!R$5:R$3360,'J Book Items Cons.'!S$5:S$3360,"",'J Book Items Cons.'!E$5:E$3360,2,'J Book Items Cons.'!U$5:U$3360,"USN",'J Book Items Cons.'!W$5:W$3360,"Amphibious Warfare Craft",'J Book Items Cons.'!R$5:R$3360,"&lt;&gt;")+SUMIFS('J Book Items Cons.'!N$5:N$3360,'J Book Items Cons.'!S$5:S$3360,"",'J Book Items Cons.'!E$5:E$3360,2,'J Book Items Cons.'!U$5:U$3360,"USN",'J Book Items Cons.'!W$5:W$3360,"Amphibious Warfare Craft",'J Book Items Cons.'!R$5:R$3360,"",'J Book Items Cons.'!N$5:N$3360,"&lt;&gt;")+SUMIFS('J Book Items Cons.'!L$5:L$3360,'J Book Items Cons.'!S$5:S$3360,"",'J Book Items Cons.'!E$5:E$3360,2,'J Book Items Cons.'!U$5:U$3360,"USN",'J Book Items Cons.'!W$5:W$3360,"Amphibious Warfare Craft",'J Book Items Cons.'!R$5:R$3360,"",'J Book Items Cons.'!N$5:N$3360,"")+SUMIFS('J Book Items Cons.'!R$5:R$3360,'J Book Items Cons.'!S$5:S$3360,"[PARENT]",'J Book Items Cons.'!E$5:E$3360,2,'J Book Items Cons.'!U$5:U$3360,"USN",'J Book Items Cons.'!W$5:W$3360,"Amphibious Warfare Craft",'J Book Items Cons.'!R$5:R$3360,"&lt;&gt;")+SUMIFS('J Book Items Cons.'!N$5:N$3360,'J Book Items Cons.'!S$5:S$3360,"[PARENT]",'J Book Items Cons.'!E$5:E$3360,2,'J Book Items Cons.'!U$5:U$3360,"USN",'J Book Items Cons.'!W$5:W$3360,"Amphibious Warfare Craft",'J Book Items Cons.'!R$5:R$3360,"",'J Book Items Cons.'!N$5:N$3360,"&lt;&gt;")+SUMIFS('J Book Items Cons.'!L$5:L$3360,'J Book Items Cons.'!S$5:S$3360,"[PARENT]",'J Book Items Cons.'!E$5:E$3360,2,'J Book Items Cons.'!U$5:U$3360,"USN",'J Book Items Cons.'!W$5:W$3360,"Amphibious Warfare Craft",'J Book Items Cons.'!R$5:R$3360,"",'J Book Items Cons.'!N$5:N$3360,""))/I100)</f>
        <v>2.4120916684005587E-2</v>
      </c>
      <c r="J94" s="38">
        <f>IF(J100=0,0,(SUMIFS('J Book Items Cons.'!R$5:R$3360,'J Book Items Cons.'!S$5:S$3360,"",'J Book Items Cons.'!E$5:E$3360,2,'J Book Items Cons.'!U$5:U$3360,"MSC",'J Book Items Cons.'!W$5:W$3360,"Cargo &amp; Vehicle Cargo Ships",'J Book Items Cons.'!R$5:R$3360,"&lt;&gt;")+SUMIFS('J Book Items Cons.'!N$5:N$3360,'J Book Items Cons.'!S$5:S$3360,"",'J Book Items Cons.'!E$5:E$3360,2,'J Book Items Cons.'!U$5:U$3360,"MSC",'J Book Items Cons.'!W$5:W$3360,"Cargo &amp; Vehicle Cargo Ships",'J Book Items Cons.'!R$5:R$3360,"",'J Book Items Cons.'!N$5:N$3360,"&lt;&gt;")+SUMIFS('J Book Items Cons.'!L$5:L$3360,'J Book Items Cons.'!S$5:S$3360,"",'J Book Items Cons.'!E$5:E$3360,2,'J Book Items Cons.'!U$5:U$3360,"MSC",'J Book Items Cons.'!W$5:W$3360,"Cargo &amp; Vehicle Cargo Ships",'J Book Items Cons.'!R$5:R$3360,"",'J Book Items Cons.'!N$5:N$3360,"")+SUMIFS('J Book Items Cons.'!R$5:R$3360,'J Book Items Cons.'!S$5:S$3360,"[PARENT]",'J Book Items Cons.'!E$5:E$3360,2,'J Book Items Cons.'!U$5:U$3360,"MSC",'J Book Items Cons.'!W$5:W$3360,"Cargo &amp; Vehicle Cargo Ships",'J Book Items Cons.'!R$5:R$3360,"&lt;&gt;")+SUMIFS('J Book Items Cons.'!N$5:N$3360,'J Book Items Cons.'!S$5:S$3360,"[PARENT]",'J Book Items Cons.'!E$5:E$3360,2,'J Book Items Cons.'!U$5:U$3360,"MSC",'J Book Items Cons.'!W$5:W$3360,"Cargo &amp; Vehicle Cargo Ships",'J Book Items Cons.'!R$5:R$3360,"",'J Book Items Cons.'!N$5:N$3360,"&lt;&gt;")+SUMIFS('J Book Items Cons.'!L$5:L$3360,'J Book Items Cons.'!S$5:S$3360,"[PARENT]",'J Book Items Cons.'!E$5:E$3360,2,'J Book Items Cons.'!U$5:U$3360,"MSC",'J Book Items Cons.'!W$5:W$3360,"Cargo &amp; Vehicle Cargo Ships",'J Book Items Cons.'!R$5:R$3360,"",'J Book Items Cons.'!N$5:N$3360,""))/J100)</f>
        <v>0</v>
      </c>
      <c r="K94" s="38">
        <f>IF(K100=0,0,(SUMIFS('J Book Items Cons.'!R$5:R$3360,'J Book Items Cons.'!S$5:S$3360,"",'J Book Items Cons.'!E$5:E$3360,2,'J Book Items Cons.'!U$5:U$3360,"MSC",'J Book Items Cons.'!W$5:W$3360,"Surveillance Ships",'J Book Items Cons.'!R$5:R$3360,"&lt;&gt;")+SUMIFS('J Book Items Cons.'!N$5:N$3360,'J Book Items Cons.'!S$5:S$3360,"",'J Book Items Cons.'!E$5:E$3360,2,'J Book Items Cons.'!U$5:U$3360,"MSC",'J Book Items Cons.'!W$5:W$3360,"Surveillance Ships",'J Book Items Cons.'!R$5:R$3360,"",'J Book Items Cons.'!N$5:N$3360,"&lt;&gt;")+SUMIFS('J Book Items Cons.'!L$5:L$3360,'J Book Items Cons.'!S$5:S$3360,"",'J Book Items Cons.'!E$5:E$3360,2,'J Book Items Cons.'!U$5:U$3360,"MSC",'J Book Items Cons.'!W$5:W$3360,"Surveillance Ships",'J Book Items Cons.'!R$5:R$3360,"",'J Book Items Cons.'!N$5:N$3360,"")+SUMIFS('J Book Items Cons.'!R$5:R$3360,'J Book Items Cons.'!S$5:S$3360,"[PARENT]",'J Book Items Cons.'!E$5:E$3360,2,'J Book Items Cons.'!U$5:U$3360,"MSC",'J Book Items Cons.'!W$5:W$3360,"Surveillance Ships",'J Book Items Cons.'!R$5:R$3360,"&lt;&gt;")+SUMIFS('J Book Items Cons.'!N$5:N$3360,'J Book Items Cons.'!S$5:S$3360,"[PARENT]",'J Book Items Cons.'!E$5:E$3360,2,'J Book Items Cons.'!U$5:U$3360,"MSC",'J Book Items Cons.'!W$5:W$3360,"Surveillance Ships",'J Book Items Cons.'!R$5:R$3360,"",'J Book Items Cons.'!N$5:N$3360,"&lt;&gt;")+SUMIFS('J Book Items Cons.'!L$5:L$3360,'J Book Items Cons.'!S$5:S$3360,"[PARENT]",'J Book Items Cons.'!E$5:E$3360,2,'J Book Items Cons.'!U$5:U$3360,"MSC",'J Book Items Cons.'!W$5:W$3360,"Surveillance Ships",'J Book Items Cons.'!R$5:R$3360,"",'J Book Items Cons.'!N$5:N$3360,""))/K100)</f>
        <v>0</v>
      </c>
      <c r="L94" s="38">
        <f>IF(L100=0,0,(SUMIFS('J Book Items Cons.'!R$5:R$3360,'J Book Items Cons.'!S$5:S$3360,"",'J Book Items Cons.'!E$5:E$3360,2,'J Book Items Cons.'!U$5:U$3360,"USN",'J Book Items Cons.'!W$5:W$3360,"Unmanned Undersea Vehicles",'J Book Items Cons.'!R$5:R$3360,"&lt;&gt;")+SUMIFS('J Book Items Cons.'!N$5:N$3360,'J Book Items Cons.'!S$5:S$3360,"",'J Book Items Cons.'!E$5:E$3360,2,'J Book Items Cons.'!U$5:U$3360,"USN",'J Book Items Cons.'!W$5:W$3360,"Unmanned Undersea Vehicles",'J Book Items Cons.'!R$5:R$3360,"",'J Book Items Cons.'!N$5:N$3360,"&lt;&gt;")+SUMIFS('J Book Items Cons.'!L$5:L$3360,'J Book Items Cons.'!S$5:S$3360,"",'J Book Items Cons.'!E$5:E$3360,2,'J Book Items Cons.'!U$5:U$3360,"USN",'J Book Items Cons.'!W$5:W$3360,"Unmanned Undersea Vehicles",'J Book Items Cons.'!R$5:R$3360,"",'J Book Items Cons.'!N$5:N$3360,"")+SUMIFS('J Book Items Cons.'!R$5:R$3360,'J Book Items Cons.'!S$5:S$3360,"[PARENT]",'J Book Items Cons.'!E$5:E$3360,2,'J Book Items Cons.'!U$5:U$3360,"USN",'J Book Items Cons.'!W$5:W$3360,"Unmanned Undersea Vehicles",'J Book Items Cons.'!R$5:R$3360,"&lt;&gt;")+SUMIFS('J Book Items Cons.'!N$5:N$3360,'J Book Items Cons.'!S$5:S$3360,"[PARENT]",'J Book Items Cons.'!E$5:E$3360,2,'J Book Items Cons.'!U$5:U$3360,"USN",'J Book Items Cons.'!W$5:W$3360,"Unmanned Undersea Vehicles",'J Book Items Cons.'!R$5:R$3360,"",'J Book Items Cons.'!N$5:N$3360,"&lt;&gt;")+SUMIFS('J Book Items Cons.'!L$5:L$3360,'J Book Items Cons.'!S$5:S$3360,"[PARENT]",'J Book Items Cons.'!E$5:E$3360,2,'J Book Items Cons.'!U$5:U$3360,"USN",'J Book Items Cons.'!W$5:W$3360,"Unmanned Undersea Vehicles",'J Book Items Cons.'!R$5:R$3360,"",'J Book Items Cons.'!N$5:N$3360,""))/L100)</f>
        <v>0</v>
      </c>
      <c r="M94" s="38">
        <f>IF(M100=0,0,(SUMIFS('J Book Items Cons.'!R$5:R$3360,'J Book Items Cons.'!S$5:S$3360,"",'J Book Items Cons.'!E$5:E$3360,2,'J Book Items Cons.'!U$5:U$3360,"USN",'J Book Items Cons.'!W$5:W$3360,"Command Ships",'J Book Items Cons.'!R$5:R$3360,"&lt;&gt;")+SUMIFS('J Book Items Cons.'!N$5:N$3360,'J Book Items Cons.'!S$5:S$3360,"",'J Book Items Cons.'!E$5:E$3360,2,'J Book Items Cons.'!U$5:U$3360,"USN",'J Book Items Cons.'!W$5:W$3360,"Command Ships",'J Book Items Cons.'!R$5:R$3360,"",'J Book Items Cons.'!N$5:N$3360,"&lt;&gt;")+SUMIFS('J Book Items Cons.'!L$5:L$3360,'J Book Items Cons.'!S$5:S$3360,"",'J Book Items Cons.'!E$5:E$3360,2,'J Book Items Cons.'!U$5:U$3360,"USN",'J Book Items Cons.'!W$5:W$3360,"Command Ships",'J Book Items Cons.'!R$5:R$3360,"",'J Book Items Cons.'!N$5:N$3360,"")+SUMIFS('J Book Items Cons.'!R$5:R$3360,'J Book Items Cons.'!S$5:S$3360,"[PARENT]",'J Book Items Cons.'!E$5:E$3360,2,'J Book Items Cons.'!U$5:U$3360,"USN",'J Book Items Cons.'!W$5:W$3360,"Command Ships",'J Book Items Cons.'!R$5:R$3360,"&lt;&gt;")+SUMIFS('J Book Items Cons.'!N$5:N$3360,'J Book Items Cons.'!S$5:S$3360,"[PARENT]",'J Book Items Cons.'!E$5:E$3360,2,'J Book Items Cons.'!U$5:U$3360,"USN",'J Book Items Cons.'!W$5:W$3360,"Command Ships",'J Book Items Cons.'!R$5:R$3360,"",'J Book Items Cons.'!N$5:N$3360,"&lt;&gt;")+SUMIFS('J Book Items Cons.'!L$5:L$3360,'J Book Items Cons.'!S$5:S$3360,"[PARENT]",'J Book Items Cons.'!E$5:E$3360,2,'J Book Items Cons.'!U$5:U$3360,"USN",'J Book Items Cons.'!W$5:W$3360,"Command Ships",'J Book Items Cons.'!R$5:R$3360,"",'J Book Items Cons.'!N$5:N$3360,""))/M100)</f>
        <v>0.53493534066782478</v>
      </c>
      <c r="N94" s="39">
        <f>IF(N100=0,0,(SUMIFS('J Book Items Cons.'!R$5:R$3360,'J Book Items Cons.'!S$5:S$3360,"",'J Book Items Cons.'!E$5:E$3360,2,'J Book Items Cons.'!U$5:U$3360,"USN",'J Book Items Cons.'!W$5:W$3360,"Mine Warfare",'J Book Items Cons.'!R$5:R$3360,"&lt;&gt;")+SUMIFS('J Book Items Cons.'!N$5:N$3360,'J Book Items Cons.'!S$5:S$3360,"",'J Book Items Cons.'!E$5:E$3360,2,'J Book Items Cons.'!U$5:U$3360,"USN",'J Book Items Cons.'!W$5:W$3360,"Mine Warfare",'J Book Items Cons.'!R$5:R$3360,"",'J Book Items Cons.'!N$5:N$3360,"&lt;&gt;")+SUMIFS('J Book Items Cons.'!L$5:L$3360,'J Book Items Cons.'!S$5:S$3360,"",'J Book Items Cons.'!E$5:E$3360,2,'J Book Items Cons.'!U$5:U$3360,"USN",'J Book Items Cons.'!W$5:W$3360,"Mine Warfare",'J Book Items Cons.'!R$5:R$3360,"",'J Book Items Cons.'!N$5:N$3360,"")+SUMIFS('J Book Items Cons.'!R$5:R$3360,'J Book Items Cons.'!S$5:S$3360,"[PARENT]",'J Book Items Cons.'!E$5:E$3360,2,'J Book Items Cons.'!U$5:U$3360,"USN",'J Book Items Cons.'!W$5:W$3360,"Mine Warfare",'J Book Items Cons.'!R$5:R$3360,"&lt;&gt;")+SUMIFS('J Book Items Cons.'!N$5:N$3360,'J Book Items Cons.'!S$5:S$3360,"[PARENT]",'J Book Items Cons.'!E$5:E$3360,2,'J Book Items Cons.'!U$5:U$3360,"USN",'J Book Items Cons.'!W$5:W$3360,"Mine Warfare",'J Book Items Cons.'!R$5:R$3360,"",'J Book Items Cons.'!N$5:N$3360,"&lt;&gt;")+SUMIFS('J Book Items Cons.'!L$5:L$3360,'J Book Items Cons.'!S$5:S$3360,"[PARENT]",'J Book Items Cons.'!E$5:E$3360,2,'J Book Items Cons.'!U$5:U$3360,"USN",'J Book Items Cons.'!W$5:W$3360,"Mine Warfare",'J Book Items Cons.'!R$5:R$3360,"",'J Book Items Cons.'!N$5:N$3360,""))/N100)</f>
        <v>0.95613782906895561</v>
      </c>
      <c r="O94" s="37">
        <f>IF(O100=0,0,(SUMIFS('J Book Items Cons.'!R$5:R$3360,'J Book Items Cons.'!S$5:S$3360,"",'J Book Items Cons.'!E$5:E$3360,2,'J Book Items Cons.'!U$5:U$3360,"USCG",'J Book Items Cons.'!W$5:W$3360,"Offshore Patrol Cutter",'J Book Items Cons.'!R$5:R$3360,"&lt;&gt;")+SUMIFS('J Book Items Cons.'!N$5:N$3360,'J Book Items Cons.'!S$5:S$3360,"",'J Book Items Cons.'!E$5:E$3360,2,'J Book Items Cons.'!U$5:U$3360,"USCG",'J Book Items Cons.'!W$5:W$3360,"Offshore Patrol Cutter",'J Book Items Cons.'!R$5:R$3360,"",'J Book Items Cons.'!N$5:N$3360,"&lt;&gt;")+SUMIFS('J Book Items Cons.'!L$5:L$3360,'J Book Items Cons.'!S$5:S$3360,"",'J Book Items Cons.'!E$5:E$3360,2,'J Book Items Cons.'!U$5:U$3360,"USCG",'J Book Items Cons.'!W$5:W$3360,"Offshore Patrol Cutter",'J Book Items Cons.'!R$5:R$3360,"",'J Book Items Cons.'!N$5:N$3360,"")+SUMIFS('J Book Items Cons.'!R$5:R$3360,'J Book Items Cons.'!S$5:S$3360,"[PARENT]",'J Book Items Cons.'!E$5:E$3360,2,'J Book Items Cons.'!U$5:U$3360,"USCG",'J Book Items Cons.'!W$5:W$3360,"Offshore Patrol Cutter",'J Book Items Cons.'!R$5:R$3360,"&lt;&gt;")+SUMIFS('J Book Items Cons.'!N$5:N$3360,'J Book Items Cons.'!S$5:S$3360,"[PARENT]",'J Book Items Cons.'!E$5:E$3360,2,'J Book Items Cons.'!U$5:U$3360,"USCG",'J Book Items Cons.'!W$5:W$3360,"Offshore Patrol Cutter",'J Book Items Cons.'!R$5:R$3360,"",'J Book Items Cons.'!N$5:N$3360,"&lt;&gt;")+SUMIFS('J Book Items Cons.'!L$5:L$3360,'J Book Items Cons.'!S$5:S$3360,"[PARENT]",'J Book Items Cons.'!E$5:E$3360,2,'J Book Items Cons.'!U$5:U$3360,"USCG",'J Book Items Cons.'!W$5:W$3360,"Offshore Patrol Cutter",'J Book Items Cons.'!R$5:R$3360,"",'J Book Items Cons.'!N$5:N$3360,""))/O100)</f>
        <v>0</v>
      </c>
      <c r="P94" s="38">
        <f>IF(P100=0,0,(SUMIFS('J Book Items Cons.'!R$5:R$3360,'J Book Items Cons.'!S$5:S$3360,"",'J Book Items Cons.'!E$5:E$3360,2,'J Book Items Cons.'!U$5:U$3360,"USCG",'J Book Items Cons.'!W$5:W$3360,"Fast Response Cutters",'J Book Items Cons.'!R$5:R$3360,"&lt;&gt;")+SUMIFS('J Book Items Cons.'!N$5:N$3360,'J Book Items Cons.'!S$5:S$3360,"",'J Book Items Cons.'!E$5:E$3360,2,'J Book Items Cons.'!U$5:U$3360,"USCG",'J Book Items Cons.'!W$5:W$3360,"Fast Response Cutters",'J Book Items Cons.'!R$5:R$3360,"",'J Book Items Cons.'!N$5:N$3360,"&lt;&gt;")+SUMIFS('J Book Items Cons.'!L$5:L$3360,'J Book Items Cons.'!S$5:S$3360,"",'J Book Items Cons.'!E$5:E$3360,2,'J Book Items Cons.'!U$5:U$3360,"USCG",'J Book Items Cons.'!W$5:W$3360,"Fast Response Cutters",'J Book Items Cons.'!R$5:R$3360,"",'J Book Items Cons.'!N$5:N$3360,"")+SUMIFS('J Book Items Cons.'!R$5:R$3360,'J Book Items Cons.'!S$5:S$3360,"[PARENT]",'J Book Items Cons.'!E$5:E$3360,2,'J Book Items Cons.'!U$5:U$3360,"USCG",'J Book Items Cons.'!W$5:W$3360,"Fast Response Cutters",'J Book Items Cons.'!R$5:R$3360,"&lt;&gt;")+SUMIFS('J Book Items Cons.'!N$5:N$3360,'J Book Items Cons.'!S$5:S$3360,"[PARENT]",'J Book Items Cons.'!E$5:E$3360,2,'J Book Items Cons.'!U$5:U$3360,"USCG",'J Book Items Cons.'!W$5:W$3360,"Fast Response Cutters",'J Book Items Cons.'!R$5:R$3360,"",'J Book Items Cons.'!N$5:N$3360,"&lt;&gt;")+SUMIFS('J Book Items Cons.'!L$5:L$3360,'J Book Items Cons.'!S$5:S$3360,"[PARENT]",'J Book Items Cons.'!E$5:E$3360,2,'J Book Items Cons.'!U$5:U$3360,"USCG",'J Book Items Cons.'!W$5:W$3360,"Fast Response Cutters",'J Book Items Cons.'!R$5:R$3360,"",'J Book Items Cons.'!N$5:N$3360,""))/P100)</f>
        <v>0</v>
      </c>
      <c r="Q94" s="38">
        <f>IF(Q100=0,0,(SUMIFS('J Book Items Cons.'!R$5:R$3360,'J Book Items Cons.'!S$5:S$3360,"",'J Book Items Cons.'!E$5:E$3360,2,'J Book Items Cons.'!U$5:U$3360,"USCG",'J Book Items Cons.'!W$5:W$3360,"Icebreakers, Oceangoing",'J Book Items Cons.'!R$5:R$3360,"&lt;&gt;")+SUMIFS('J Book Items Cons.'!N$5:N$3360,'J Book Items Cons.'!S$5:S$3360,"",'J Book Items Cons.'!E$5:E$3360,2,'J Book Items Cons.'!U$5:U$3360,"USCG",'J Book Items Cons.'!W$5:W$3360,"Icebreakers, Oceangoing",'J Book Items Cons.'!R$5:R$3360,"",'J Book Items Cons.'!N$5:N$3360,"&lt;&gt;")+SUMIFS('J Book Items Cons.'!L$5:L$3360,'J Book Items Cons.'!S$5:S$3360,"",'J Book Items Cons.'!E$5:E$3360,2,'J Book Items Cons.'!U$5:U$3360,"USCG",'J Book Items Cons.'!W$5:W$3360,"Icebreakers, Oceangoing",'J Book Items Cons.'!R$5:R$3360,"",'J Book Items Cons.'!N$5:N$3360,"")+SUMIFS('J Book Items Cons.'!R$5:R$3360,'J Book Items Cons.'!S$5:S$3360,"[PARENT]",'J Book Items Cons.'!E$5:E$3360,2,'J Book Items Cons.'!U$5:U$3360,"USCG",'J Book Items Cons.'!W$5:W$3360,"Icebreakers, Oceangoing",'J Book Items Cons.'!R$5:R$3360,"&lt;&gt;")+SUMIFS('J Book Items Cons.'!N$5:N$3360,'J Book Items Cons.'!S$5:S$3360,"[PARENT]",'J Book Items Cons.'!E$5:E$3360,2,'J Book Items Cons.'!U$5:U$3360,"USCG",'J Book Items Cons.'!W$5:W$3360,"Icebreakers, Oceangoing",'J Book Items Cons.'!R$5:R$3360,"",'J Book Items Cons.'!N$5:N$3360,"&lt;&gt;")+SUMIFS('J Book Items Cons.'!L$5:L$3360,'J Book Items Cons.'!S$5:S$3360,"[PARENT]",'J Book Items Cons.'!E$5:E$3360,2,'J Book Items Cons.'!U$5:U$3360,"USCG",'J Book Items Cons.'!W$5:W$3360,"Icebreakers, Oceangoing",'J Book Items Cons.'!R$5:R$3360,"",'J Book Items Cons.'!N$5:N$3360,""))/Q100)</f>
        <v>0</v>
      </c>
      <c r="R94" s="38">
        <f>IF(R100=0,0,(SUMIFS('J Book Items Cons.'!R$5:R$3360,'J Book Items Cons.'!S$5:S$3360,"",'J Book Items Cons.'!E$5:E$3360,2,'J Book Items Cons.'!U$5:U$3360,"USCG",'J Book Items Cons.'!W$5:W$3360,"Waterways Commerce Cutters",'J Book Items Cons.'!R$5:R$3360,"&lt;&gt;")+SUMIFS('J Book Items Cons.'!N$5:N$3360,'J Book Items Cons.'!S$5:S$3360,"",'J Book Items Cons.'!E$5:E$3360,2,'J Book Items Cons.'!U$5:U$3360,"USCG",'J Book Items Cons.'!W$5:W$3360,"Waterways Commerce Cutters",'J Book Items Cons.'!R$5:R$3360,"",'J Book Items Cons.'!N$5:N$3360,"&lt;&gt;")+SUMIFS('J Book Items Cons.'!L$5:L$3360,'J Book Items Cons.'!S$5:S$3360,"",'J Book Items Cons.'!E$5:E$3360,2,'J Book Items Cons.'!U$5:U$3360,"USCG",'J Book Items Cons.'!W$5:W$3360,"Waterways Commerce Cutters",'J Book Items Cons.'!R$5:R$3360,"",'J Book Items Cons.'!N$5:N$3360,"")+SUMIFS('J Book Items Cons.'!R$5:R$3360,'J Book Items Cons.'!S$5:S$3360,"[PARENT]",'J Book Items Cons.'!E$5:E$3360,2,'J Book Items Cons.'!U$5:U$3360,"USCG",'J Book Items Cons.'!W$5:W$3360,"Waterways Commerce Cutters",'J Book Items Cons.'!R$5:R$3360,"&lt;&gt;")+SUMIFS('J Book Items Cons.'!N$5:N$3360,'J Book Items Cons.'!S$5:S$3360,"[PARENT]",'J Book Items Cons.'!E$5:E$3360,2,'J Book Items Cons.'!U$5:U$3360,"USCG",'J Book Items Cons.'!W$5:W$3360,"Waterways Commerce Cutters",'J Book Items Cons.'!R$5:R$3360,"",'J Book Items Cons.'!N$5:N$3360,"&lt;&gt;")+SUMIFS('J Book Items Cons.'!L$5:L$3360,'J Book Items Cons.'!S$5:S$3360,"[PARENT]",'J Book Items Cons.'!E$5:E$3360,2,'J Book Items Cons.'!U$5:U$3360,"USCG",'J Book Items Cons.'!W$5:W$3360,"Waterways Commerce Cutters",'J Book Items Cons.'!R$5:R$3360,"",'J Book Items Cons.'!N$5:N$3360,""))/R100)</f>
        <v>0</v>
      </c>
      <c r="S94" s="39">
        <f>IF(S100=0,0,(SUMIFS('J Book Items Cons.'!R$5:R$3360,'J Book Items Cons.'!S$5:S$3360,"",'J Book Items Cons.'!E$5:E$3360,2,'J Book Items Cons.'!U$5:U$3360,"USCG",'J Book Items Cons.'!W$5:W$3360,"National Security Cutters",'J Book Items Cons.'!R$5:R$3360,"&lt;&gt;")+SUMIFS('J Book Items Cons.'!N$5:N$3360,'J Book Items Cons.'!S$5:S$3360,"",'J Book Items Cons.'!E$5:E$3360,2,'J Book Items Cons.'!U$5:U$3360,"USCG",'J Book Items Cons.'!W$5:W$3360,"National Security Cutters",'J Book Items Cons.'!R$5:R$3360,"",'J Book Items Cons.'!N$5:N$3360,"&lt;&gt;")+SUMIFS('J Book Items Cons.'!L$5:L$3360,'J Book Items Cons.'!S$5:S$3360,"",'J Book Items Cons.'!E$5:E$3360,2,'J Book Items Cons.'!U$5:U$3360,"USCG",'J Book Items Cons.'!W$5:W$3360,"National Security Cutters",'J Book Items Cons.'!R$5:R$3360,"",'J Book Items Cons.'!N$5:N$3360,"")+SUMIFS('J Book Items Cons.'!R$5:R$3360,'J Book Items Cons.'!S$5:S$3360,"[PARENT]",'J Book Items Cons.'!E$5:E$3360,2,'J Book Items Cons.'!U$5:U$3360,"USCG",'J Book Items Cons.'!W$5:W$3360,"National Security Cutters",'J Book Items Cons.'!R$5:R$3360,"&lt;&gt;")+SUMIFS('J Book Items Cons.'!N$5:N$3360,'J Book Items Cons.'!S$5:S$3360,"[PARENT]",'J Book Items Cons.'!E$5:E$3360,2,'J Book Items Cons.'!U$5:U$3360,"USCG",'J Book Items Cons.'!W$5:W$3360,"National Security Cutters",'J Book Items Cons.'!R$5:R$3360,"",'J Book Items Cons.'!N$5:N$3360,"&lt;&gt;")+SUMIFS('J Book Items Cons.'!L$5:L$3360,'J Book Items Cons.'!S$5:S$3360,"[PARENT]",'J Book Items Cons.'!E$5:E$3360,2,'J Book Items Cons.'!U$5:U$3360,"USCG",'J Book Items Cons.'!W$5:W$3360,"National Security Cutters",'J Book Items Cons.'!R$5:R$3360,"",'J Book Items Cons.'!N$5:N$3360,""))/S100)</f>
        <v>0</v>
      </c>
      <c r="T94" s="38">
        <f>IF(T100=0,0,SUMPRODUCT(B94:S94,B$100:S$100)/T$100)</f>
        <v>0.47708075240083936</v>
      </c>
    </row>
    <row r="95" spans="1:20" x14ac:dyDescent="0.15">
      <c r="A95" s="7" t="s">
        <v>8851</v>
      </c>
      <c r="B95" s="37">
        <f>IF(B100=0,0,(SUMIFS('J Book Items Cons.'!R$5:R$3360,'J Book Items Cons.'!S$5:S$3360,"",'J Book Items Cons.'!E$5:E$3360,3,'J Book Items Cons.'!U$5:U$3360,"USN",'J Book Items Cons.'!W$5:W$3360,"Submarines",'J Book Items Cons.'!R$5:R$3360,"&lt;&gt;")+SUMIFS('J Book Items Cons.'!N$5:N$3360,'J Book Items Cons.'!S$5:S$3360,"",'J Book Items Cons.'!E$5:E$3360,3,'J Book Items Cons.'!U$5:U$3360,"USN",'J Book Items Cons.'!W$5:W$3360,"Submarines",'J Book Items Cons.'!R$5:R$3360,"",'J Book Items Cons.'!N$5:N$3360,"&lt;&gt;")+SUMIFS('J Book Items Cons.'!L$5:L$3360,'J Book Items Cons.'!S$5:S$3360,"",'J Book Items Cons.'!E$5:E$3360,3,'J Book Items Cons.'!U$5:U$3360,"USN",'J Book Items Cons.'!W$5:W$3360,"Submarines",'J Book Items Cons.'!R$5:R$3360,"",'J Book Items Cons.'!N$5:N$3360,"")+SUMIFS('J Book Items Cons.'!R$5:R$3360,'J Book Items Cons.'!S$5:S$3360,"[PARENT]",'J Book Items Cons.'!E$5:E$3360,3,'J Book Items Cons.'!U$5:U$3360,"USN",'J Book Items Cons.'!W$5:W$3360,"Submarines",'J Book Items Cons.'!R$5:R$3360,"&lt;&gt;")+SUMIFS('J Book Items Cons.'!N$5:N$3360,'J Book Items Cons.'!S$5:S$3360,"[PARENT]",'J Book Items Cons.'!E$5:E$3360,3,'J Book Items Cons.'!U$5:U$3360,"USN",'J Book Items Cons.'!W$5:W$3360,"Submarines",'J Book Items Cons.'!R$5:R$3360,"",'J Book Items Cons.'!N$5:N$3360,"&lt;&gt;")+SUMIFS('J Book Items Cons.'!L$5:L$3360,'J Book Items Cons.'!S$5:S$3360,"[PARENT]",'J Book Items Cons.'!E$5:E$3360,3,'J Book Items Cons.'!U$5:U$3360,"USN",'J Book Items Cons.'!W$5:W$3360,"Submarines",'J Book Items Cons.'!R$5:R$3360,"",'J Book Items Cons.'!N$5:N$3360,""))/B100)</f>
        <v>0</v>
      </c>
      <c r="C95" s="38">
        <f>IF(C100=0,0,(SUMIFS('J Book Items Cons.'!R$5:R$3360,'J Book Items Cons.'!S$5:S$3360,"",'J Book Items Cons.'!E$5:E$3360,3,'J Book Items Cons.'!U$5:U$3360,"USN",'J Book Items Cons.'!W$5:W$3360,"Surface Combatants",'J Book Items Cons.'!R$5:R$3360,"&lt;&gt;")+SUMIFS('J Book Items Cons.'!N$5:N$3360,'J Book Items Cons.'!S$5:S$3360,"",'J Book Items Cons.'!E$5:E$3360,3,'J Book Items Cons.'!U$5:U$3360,"USN",'J Book Items Cons.'!W$5:W$3360,"Surface Combatants",'J Book Items Cons.'!R$5:R$3360,"",'J Book Items Cons.'!N$5:N$3360,"&lt;&gt;")+SUMIFS('J Book Items Cons.'!L$5:L$3360,'J Book Items Cons.'!S$5:S$3360,"",'J Book Items Cons.'!E$5:E$3360,3,'J Book Items Cons.'!U$5:U$3360,"USN",'J Book Items Cons.'!W$5:W$3360,"Surface Combatants",'J Book Items Cons.'!R$5:R$3360,"",'J Book Items Cons.'!N$5:N$3360,"")+SUMIFS('J Book Items Cons.'!R$5:R$3360,'J Book Items Cons.'!S$5:S$3360,"[PARENT]",'J Book Items Cons.'!E$5:E$3360,3,'J Book Items Cons.'!U$5:U$3360,"USN",'J Book Items Cons.'!W$5:W$3360,"Surface Combatants",'J Book Items Cons.'!R$5:R$3360,"&lt;&gt;")+SUMIFS('J Book Items Cons.'!N$5:N$3360,'J Book Items Cons.'!S$5:S$3360,"[PARENT]",'J Book Items Cons.'!E$5:E$3360,3,'J Book Items Cons.'!U$5:U$3360,"USN",'J Book Items Cons.'!W$5:W$3360,"Surface Combatants",'J Book Items Cons.'!R$5:R$3360,"",'J Book Items Cons.'!N$5:N$3360,"&lt;&gt;")+SUMIFS('J Book Items Cons.'!L$5:L$3360,'J Book Items Cons.'!S$5:S$3360,"[PARENT]",'J Book Items Cons.'!E$5:E$3360,3,'J Book Items Cons.'!U$5:U$3360,"USN",'J Book Items Cons.'!W$5:W$3360,"Surface Combatants",'J Book Items Cons.'!R$5:R$3360,"",'J Book Items Cons.'!N$5:N$3360,""))/C100)</f>
        <v>3.3736572927146324E-2</v>
      </c>
      <c r="D95" s="38">
        <f>IF(D100=0,0,(SUMIFS('J Book Items Cons.'!R$5:R$3360,'J Book Items Cons.'!S$5:S$3360,"",'J Book Items Cons.'!E$5:E$3360,3,'J Book Items Cons.'!U$5:U$3360,"USN",'J Book Items Cons.'!W$5:W$3360,"Aircraft Carriers",'J Book Items Cons.'!R$5:R$3360,"&lt;&gt;")+SUMIFS('J Book Items Cons.'!N$5:N$3360,'J Book Items Cons.'!S$5:S$3360,"",'J Book Items Cons.'!E$5:E$3360,3,'J Book Items Cons.'!U$5:U$3360,"USN",'J Book Items Cons.'!W$5:W$3360,"Aircraft Carriers",'J Book Items Cons.'!R$5:R$3360,"",'J Book Items Cons.'!N$5:N$3360,"&lt;&gt;")+SUMIFS('J Book Items Cons.'!L$5:L$3360,'J Book Items Cons.'!S$5:S$3360,"",'J Book Items Cons.'!E$5:E$3360,3,'J Book Items Cons.'!U$5:U$3360,"USN",'J Book Items Cons.'!W$5:W$3360,"Aircraft Carriers",'J Book Items Cons.'!R$5:R$3360,"",'J Book Items Cons.'!N$5:N$3360,"")+SUMIFS('J Book Items Cons.'!R$5:R$3360,'J Book Items Cons.'!S$5:S$3360,"[PARENT]",'J Book Items Cons.'!E$5:E$3360,3,'J Book Items Cons.'!U$5:U$3360,"USN",'J Book Items Cons.'!W$5:W$3360,"Aircraft Carriers",'J Book Items Cons.'!R$5:R$3360,"&lt;&gt;")+SUMIFS('J Book Items Cons.'!N$5:N$3360,'J Book Items Cons.'!S$5:S$3360,"[PARENT]",'J Book Items Cons.'!E$5:E$3360,3,'J Book Items Cons.'!U$5:U$3360,"USN",'J Book Items Cons.'!W$5:W$3360,"Aircraft Carriers",'J Book Items Cons.'!R$5:R$3360,"",'J Book Items Cons.'!N$5:N$3360,"&lt;&gt;")+SUMIFS('J Book Items Cons.'!L$5:L$3360,'J Book Items Cons.'!S$5:S$3360,"[PARENT]",'J Book Items Cons.'!E$5:E$3360,3,'J Book Items Cons.'!U$5:U$3360,"USN",'J Book Items Cons.'!W$5:W$3360,"Aircraft Carriers",'J Book Items Cons.'!R$5:R$3360,"",'J Book Items Cons.'!N$5:N$3360,""))/D100)</f>
        <v>0</v>
      </c>
      <c r="E95" s="38">
        <f>IF(E100=0,0,(SUMIFS('J Book Items Cons.'!R$5:R$3360,'J Book Items Cons.'!S$5:S$3360,"",'J Book Items Cons.'!E$5:E$3360,3,'J Book Items Cons.'!U$5:U$3360,"USN",'J Book Items Cons.'!W$5:W$3360,"Amphibious Warfare Ships",'J Book Items Cons.'!R$5:R$3360,"&lt;&gt;")+SUMIFS('J Book Items Cons.'!N$5:N$3360,'J Book Items Cons.'!S$5:S$3360,"",'J Book Items Cons.'!E$5:E$3360,3,'J Book Items Cons.'!U$5:U$3360,"USN",'J Book Items Cons.'!W$5:W$3360,"Amphibious Warfare Ships",'J Book Items Cons.'!R$5:R$3360,"",'J Book Items Cons.'!N$5:N$3360,"&lt;&gt;")+SUMIFS('J Book Items Cons.'!L$5:L$3360,'J Book Items Cons.'!S$5:S$3360,"",'J Book Items Cons.'!E$5:E$3360,3,'J Book Items Cons.'!U$5:U$3360,"USN",'J Book Items Cons.'!W$5:W$3360,"Amphibious Warfare Ships",'J Book Items Cons.'!R$5:R$3360,"",'J Book Items Cons.'!N$5:N$3360,"")+SUMIFS('J Book Items Cons.'!R$5:R$3360,'J Book Items Cons.'!S$5:S$3360,"[PARENT]",'J Book Items Cons.'!E$5:E$3360,3,'J Book Items Cons.'!U$5:U$3360,"USN",'J Book Items Cons.'!W$5:W$3360,"Amphibious Warfare Ships",'J Book Items Cons.'!R$5:R$3360,"&lt;&gt;")+SUMIFS('J Book Items Cons.'!N$5:N$3360,'J Book Items Cons.'!S$5:S$3360,"[PARENT]",'J Book Items Cons.'!E$5:E$3360,3,'J Book Items Cons.'!U$5:U$3360,"USN",'J Book Items Cons.'!W$5:W$3360,"Amphibious Warfare Ships",'J Book Items Cons.'!R$5:R$3360,"",'J Book Items Cons.'!N$5:N$3360,"&lt;&gt;")+SUMIFS('J Book Items Cons.'!L$5:L$3360,'J Book Items Cons.'!S$5:S$3360,"[PARENT]",'J Book Items Cons.'!E$5:E$3360,3,'J Book Items Cons.'!U$5:U$3360,"USN",'J Book Items Cons.'!W$5:W$3360,"Amphibious Warfare Ships",'J Book Items Cons.'!R$5:R$3360,"",'J Book Items Cons.'!N$5:N$3360,""))/E100)</f>
        <v>0</v>
      </c>
      <c r="F95" s="38">
        <f>IF(F100=0,0,(SUMIFS('J Book Items Cons.'!R$5:R$3360,'J Book Items Cons.'!S$5:S$3360,"",'J Book Items Cons.'!E$5:E$3360,3,'J Book Items Cons.'!U$5:U$3360,"USN",'J Book Items Cons.'!W$5:W$3360,"Expeditionary &amp; Seabasing Ships",'J Book Items Cons.'!R$5:R$3360,"&lt;&gt;")+SUMIFS('J Book Items Cons.'!N$5:N$3360,'J Book Items Cons.'!S$5:S$3360,"",'J Book Items Cons.'!E$5:E$3360,3,'J Book Items Cons.'!U$5:U$3360,"USN",'J Book Items Cons.'!W$5:W$3360,"Expeditionary &amp; Seabasing Ships",'J Book Items Cons.'!R$5:R$3360,"",'J Book Items Cons.'!N$5:N$3360,"&lt;&gt;")+SUMIFS('J Book Items Cons.'!L$5:L$3360,'J Book Items Cons.'!S$5:S$3360,"",'J Book Items Cons.'!E$5:E$3360,3,'J Book Items Cons.'!U$5:U$3360,"USN",'J Book Items Cons.'!W$5:W$3360,"Expeditionary &amp; Seabasing Ships",'J Book Items Cons.'!R$5:R$3360,"",'J Book Items Cons.'!N$5:N$3360,"")+SUMIFS('J Book Items Cons.'!R$5:R$3360,'J Book Items Cons.'!S$5:S$3360,"[PARENT]",'J Book Items Cons.'!E$5:E$3360,3,'J Book Items Cons.'!U$5:U$3360,"USN",'J Book Items Cons.'!W$5:W$3360,"Expeditionary &amp; Seabasing Ships",'J Book Items Cons.'!R$5:R$3360,"&lt;&gt;")+SUMIFS('J Book Items Cons.'!N$5:N$3360,'J Book Items Cons.'!S$5:S$3360,"[PARENT]",'J Book Items Cons.'!E$5:E$3360,3,'J Book Items Cons.'!U$5:U$3360,"USN",'J Book Items Cons.'!W$5:W$3360,"Expeditionary &amp; Seabasing Ships",'J Book Items Cons.'!R$5:R$3360,"",'J Book Items Cons.'!N$5:N$3360,"&lt;&gt;")+SUMIFS('J Book Items Cons.'!L$5:L$3360,'J Book Items Cons.'!S$5:S$3360,"[PARENT]",'J Book Items Cons.'!E$5:E$3360,3,'J Book Items Cons.'!U$5:U$3360,"USN",'J Book Items Cons.'!W$5:W$3360,"Expeditionary &amp; Seabasing Ships",'J Book Items Cons.'!R$5:R$3360,"",'J Book Items Cons.'!N$5:N$3360,""))/F100)</f>
        <v>0</v>
      </c>
      <c r="G95" s="38">
        <f>IF(G100=0,0,(SUMIFS('J Book Items Cons.'!R$5:R$3360,'J Book Items Cons.'!S$5:S$3360,"",'J Book Items Cons.'!E$5:E$3360,3,'J Book Items Cons.'!U$5:U$3360,"MSC",'J Book Items Cons.'!W$5:W$3360,"Combat Logistics Ships",'J Book Items Cons.'!R$5:R$3360,"&lt;&gt;")+SUMIFS('J Book Items Cons.'!N$5:N$3360,'J Book Items Cons.'!S$5:S$3360,"",'J Book Items Cons.'!E$5:E$3360,3,'J Book Items Cons.'!U$5:U$3360,"MSC",'J Book Items Cons.'!W$5:W$3360,"Combat Logistics Ships",'J Book Items Cons.'!R$5:R$3360,"",'J Book Items Cons.'!N$5:N$3360,"&lt;&gt;")+SUMIFS('J Book Items Cons.'!L$5:L$3360,'J Book Items Cons.'!S$5:S$3360,"",'J Book Items Cons.'!E$5:E$3360,3,'J Book Items Cons.'!U$5:U$3360,"MSC",'J Book Items Cons.'!W$5:W$3360,"Combat Logistics Ships",'J Book Items Cons.'!R$5:R$3360,"",'J Book Items Cons.'!N$5:N$3360,"")+SUMIFS('J Book Items Cons.'!R$5:R$3360,'J Book Items Cons.'!S$5:S$3360,"[PARENT]",'J Book Items Cons.'!E$5:E$3360,3,'J Book Items Cons.'!U$5:U$3360,"MSC",'J Book Items Cons.'!W$5:W$3360,"Combat Logistics Ships",'J Book Items Cons.'!R$5:R$3360,"&lt;&gt;")+SUMIFS('J Book Items Cons.'!N$5:N$3360,'J Book Items Cons.'!S$5:S$3360,"[PARENT]",'J Book Items Cons.'!E$5:E$3360,3,'J Book Items Cons.'!U$5:U$3360,"MSC",'J Book Items Cons.'!W$5:W$3360,"Combat Logistics Ships",'J Book Items Cons.'!R$5:R$3360,"",'J Book Items Cons.'!N$5:N$3360,"&lt;&gt;")+SUMIFS('J Book Items Cons.'!L$5:L$3360,'J Book Items Cons.'!S$5:S$3360,"[PARENT]",'J Book Items Cons.'!E$5:E$3360,3,'J Book Items Cons.'!U$5:U$3360,"MSC",'J Book Items Cons.'!W$5:W$3360,"Combat Logistics Ships",'J Book Items Cons.'!R$5:R$3360,"",'J Book Items Cons.'!N$5:N$3360,""))/G100)</f>
        <v>0</v>
      </c>
      <c r="H95" s="38">
        <f>IF(H100=0,0,(SUMIFS('J Book Items Cons.'!R$5:R$3360,'J Book Items Cons.'!S$5:S$3360,"",'J Book Items Cons.'!E$5:E$3360,3,'J Book Items Cons.'!U$5:U$3360,"USN",'J Book Items Cons.'!W$5:W$3360,"Unmanned Surface Vehicles",'J Book Items Cons.'!R$5:R$3360,"&lt;&gt;")+SUMIFS('J Book Items Cons.'!N$5:N$3360,'J Book Items Cons.'!S$5:S$3360,"",'J Book Items Cons.'!E$5:E$3360,3,'J Book Items Cons.'!U$5:U$3360,"USN",'J Book Items Cons.'!W$5:W$3360,"Unmanned Surface Vehicles",'J Book Items Cons.'!R$5:R$3360,"",'J Book Items Cons.'!N$5:N$3360,"&lt;&gt;")+SUMIFS('J Book Items Cons.'!L$5:L$3360,'J Book Items Cons.'!S$5:S$3360,"",'J Book Items Cons.'!E$5:E$3360,3,'J Book Items Cons.'!U$5:U$3360,"USN",'J Book Items Cons.'!W$5:W$3360,"Unmanned Surface Vehicles",'J Book Items Cons.'!R$5:R$3360,"",'J Book Items Cons.'!N$5:N$3360,"")+SUMIFS('J Book Items Cons.'!R$5:R$3360,'J Book Items Cons.'!S$5:S$3360,"[PARENT]",'J Book Items Cons.'!E$5:E$3360,3,'J Book Items Cons.'!U$5:U$3360,"USN",'J Book Items Cons.'!W$5:W$3360,"Unmanned Surface Vehicles",'J Book Items Cons.'!R$5:R$3360,"&lt;&gt;")+SUMIFS('J Book Items Cons.'!N$5:N$3360,'J Book Items Cons.'!S$5:S$3360,"[PARENT]",'J Book Items Cons.'!E$5:E$3360,3,'J Book Items Cons.'!U$5:U$3360,"USN",'J Book Items Cons.'!W$5:W$3360,"Unmanned Surface Vehicles",'J Book Items Cons.'!R$5:R$3360,"",'J Book Items Cons.'!N$5:N$3360,"&lt;&gt;")+SUMIFS('J Book Items Cons.'!L$5:L$3360,'J Book Items Cons.'!S$5:S$3360,"[PARENT]",'J Book Items Cons.'!E$5:E$3360,3,'J Book Items Cons.'!U$5:U$3360,"USN",'J Book Items Cons.'!W$5:W$3360,"Unmanned Surface Vehicles",'J Book Items Cons.'!R$5:R$3360,"",'J Book Items Cons.'!N$5:N$3360,""))/H100)</f>
        <v>0</v>
      </c>
      <c r="I95" s="38">
        <f>IF(I100=0,0,(SUMIFS('J Book Items Cons.'!R$5:R$3360,'J Book Items Cons.'!S$5:S$3360,"",'J Book Items Cons.'!E$5:E$3360,3,'J Book Items Cons.'!U$5:U$3360,"USN",'J Book Items Cons.'!W$5:W$3360,"Amphibious Warfare Craft",'J Book Items Cons.'!R$5:R$3360,"&lt;&gt;")+SUMIFS('J Book Items Cons.'!N$5:N$3360,'J Book Items Cons.'!S$5:S$3360,"",'J Book Items Cons.'!E$5:E$3360,3,'J Book Items Cons.'!U$5:U$3360,"USN",'J Book Items Cons.'!W$5:W$3360,"Amphibious Warfare Craft",'J Book Items Cons.'!R$5:R$3360,"",'J Book Items Cons.'!N$5:N$3360,"&lt;&gt;")+SUMIFS('J Book Items Cons.'!L$5:L$3360,'J Book Items Cons.'!S$5:S$3360,"",'J Book Items Cons.'!E$5:E$3360,3,'J Book Items Cons.'!U$5:U$3360,"USN",'J Book Items Cons.'!W$5:W$3360,"Amphibious Warfare Craft",'J Book Items Cons.'!R$5:R$3360,"",'J Book Items Cons.'!N$5:N$3360,"")+SUMIFS('J Book Items Cons.'!R$5:R$3360,'J Book Items Cons.'!S$5:S$3360,"[PARENT]",'J Book Items Cons.'!E$5:E$3360,3,'J Book Items Cons.'!U$5:U$3360,"USN",'J Book Items Cons.'!W$5:W$3360,"Amphibious Warfare Craft",'J Book Items Cons.'!R$5:R$3360,"&lt;&gt;")+SUMIFS('J Book Items Cons.'!N$5:N$3360,'J Book Items Cons.'!S$5:S$3360,"[PARENT]",'J Book Items Cons.'!E$5:E$3360,3,'J Book Items Cons.'!U$5:U$3360,"USN",'J Book Items Cons.'!W$5:W$3360,"Amphibious Warfare Craft",'J Book Items Cons.'!R$5:R$3360,"",'J Book Items Cons.'!N$5:N$3360,"&lt;&gt;")+SUMIFS('J Book Items Cons.'!L$5:L$3360,'J Book Items Cons.'!S$5:S$3360,"[PARENT]",'J Book Items Cons.'!E$5:E$3360,3,'J Book Items Cons.'!U$5:U$3360,"USN",'J Book Items Cons.'!W$5:W$3360,"Amphibious Warfare Craft",'J Book Items Cons.'!R$5:R$3360,"",'J Book Items Cons.'!N$5:N$3360,""))/I100)</f>
        <v>0.11818208839877538</v>
      </c>
      <c r="J95" s="38">
        <f>IF(J100=0,0,(SUMIFS('J Book Items Cons.'!R$5:R$3360,'J Book Items Cons.'!S$5:S$3360,"",'J Book Items Cons.'!E$5:E$3360,3,'J Book Items Cons.'!U$5:U$3360,"MSC",'J Book Items Cons.'!W$5:W$3360,"Cargo &amp; Vehicle Cargo Ships",'J Book Items Cons.'!R$5:R$3360,"&lt;&gt;")+SUMIFS('J Book Items Cons.'!N$5:N$3360,'J Book Items Cons.'!S$5:S$3360,"",'J Book Items Cons.'!E$5:E$3360,3,'J Book Items Cons.'!U$5:U$3360,"MSC",'J Book Items Cons.'!W$5:W$3360,"Cargo &amp; Vehicle Cargo Ships",'J Book Items Cons.'!R$5:R$3360,"",'J Book Items Cons.'!N$5:N$3360,"&lt;&gt;")+SUMIFS('J Book Items Cons.'!L$5:L$3360,'J Book Items Cons.'!S$5:S$3360,"",'J Book Items Cons.'!E$5:E$3360,3,'J Book Items Cons.'!U$5:U$3360,"MSC",'J Book Items Cons.'!W$5:W$3360,"Cargo &amp; Vehicle Cargo Ships",'J Book Items Cons.'!R$5:R$3360,"",'J Book Items Cons.'!N$5:N$3360,"")+SUMIFS('J Book Items Cons.'!R$5:R$3360,'J Book Items Cons.'!S$5:S$3360,"[PARENT]",'J Book Items Cons.'!E$5:E$3360,3,'J Book Items Cons.'!U$5:U$3360,"MSC",'J Book Items Cons.'!W$5:W$3360,"Cargo &amp; Vehicle Cargo Ships",'J Book Items Cons.'!R$5:R$3360,"&lt;&gt;")+SUMIFS('J Book Items Cons.'!N$5:N$3360,'J Book Items Cons.'!S$5:S$3360,"[PARENT]",'J Book Items Cons.'!E$5:E$3360,3,'J Book Items Cons.'!U$5:U$3360,"MSC",'J Book Items Cons.'!W$5:W$3360,"Cargo &amp; Vehicle Cargo Ships",'J Book Items Cons.'!R$5:R$3360,"",'J Book Items Cons.'!N$5:N$3360,"&lt;&gt;")+SUMIFS('J Book Items Cons.'!L$5:L$3360,'J Book Items Cons.'!S$5:S$3360,"[PARENT]",'J Book Items Cons.'!E$5:E$3360,3,'J Book Items Cons.'!U$5:U$3360,"MSC",'J Book Items Cons.'!W$5:W$3360,"Cargo &amp; Vehicle Cargo Ships",'J Book Items Cons.'!R$5:R$3360,"",'J Book Items Cons.'!N$5:N$3360,""))/J100)</f>
        <v>0</v>
      </c>
      <c r="K95" s="38">
        <f>IF(K100=0,0,(SUMIFS('J Book Items Cons.'!R$5:R$3360,'J Book Items Cons.'!S$5:S$3360,"",'J Book Items Cons.'!E$5:E$3360,3,'J Book Items Cons.'!U$5:U$3360,"MSC",'J Book Items Cons.'!W$5:W$3360,"Surveillance Ships",'J Book Items Cons.'!R$5:R$3360,"&lt;&gt;")+SUMIFS('J Book Items Cons.'!N$5:N$3360,'J Book Items Cons.'!S$5:S$3360,"",'J Book Items Cons.'!E$5:E$3360,3,'J Book Items Cons.'!U$5:U$3360,"MSC",'J Book Items Cons.'!W$5:W$3360,"Surveillance Ships",'J Book Items Cons.'!R$5:R$3360,"",'J Book Items Cons.'!N$5:N$3360,"&lt;&gt;")+SUMIFS('J Book Items Cons.'!L$5:L$3360,'J Book Items Cons.'!S$5:S$3360,"",'J Book Items Cons.'!E$5:E$3360,3,'J Book Items Cons.'!U$5:U$3360,"MSC",'J Book Items Cons.'!W$5:W$3360,"Surveillance Ships",'J Book Items Cons.'!R$5:R$3360,"",'J Book Items Cons.'!N$5:N$3360,"")+SUMIFS('J Book Items Cons.'!R$5:R$3360,'J Book Items Cons.'!S$5:S$3360,"[PARENT]",'J Book Items Cons.'!E$5:E$3360,3,'J Book Items Cons.'!U$5:U$3360,"MSC",'J Book Items Cons.'!W$5:W$3360,"Surveillance Ships",'J Book Items Cons.'!R$5:R$3360,"&lt;&gt;")+SUMIFS('J Book Items Cons.'!N$5:N$3360,'J Book Items Cons.'!S$5:S$3360,"[PARENT]",'J Book Items Cons.'!E$5:E$3360,3,'J Book Items Cons.'!U$5:U$3360,"MSC",'J Book Items Cons.'!W$5:W$3360,"Surveillance Ships",'J Book Items Cons.'!R$5:R$3360,"",'J Book Items Cons.'!N$5:N$3360,"&lt;&gt;")+SUMIFS('J Book Items Cons.'!L$5:L$3360,'J Book Items Cons.'!S$5:S$3360,"[PARENT]",'J Book Items Cons.'!E$5:E$3360,3,'J Book Items Cons.'!U$5:U$3360,"MSC",'J Book Items Cons.'!W$5:W$3360,"Surveillance Ships",'J Book Items Cons.'!R$5:R$3360,"",'J Book Items Cons.'!N$5:N$3360,""))/K100)</f>
        <v>0</v>
      </c>
      <c r="L95" s="38">
        <f>IF(L100=0,0,(SUMIFS('J Book Items Cons.'!R$5:R$3360,'J Book Items Cons.'!S$5:S$3360,"",'J Book Items Cons.'!E$5:E$3360,3,'J Book Items Cons.'!U$5:U$3360,"USN",'J Book Items Cons.'!W$5:W$3360,"Unmanned Undersea Vehicles",'J Book Items Cons.'!R$5:R$3360,"&lt;&gt;")+SUMIFS('J Book Items Cons.'!N$5:N$3360,'J Book Items Cons.'!S$5:S$3360,"",'J Book Items Cons.'!E$5:E$3360,3,'J Book Items Cons.'!U$5:U$3360,"USN",'J Book Items Cons.'!W$5:W$3360,"Unmanned Undersea Vehicles",'J Book Items Cons.'!R$5:R$3360,"",'J Book Items Cons.'!N$5:N$3360,"&lt;&gt;")+SUMIFS('J Book Items Cons.'!L$5:L$3360,'J Book Items Cons.'!S$5:S$3360,"",'J Book Items Cons.'!E$5:E$3360,3,'J Book Items Cons.'!U$5:U$3360,"USN",'J Book Items Cons.'!W$5:W$3360,"Unmanned Undersea Vehicles",'J Book Items Cons.'!R$5:R$3360,"",'J Book Items Cons.'!N$5:N$3360,"")+SUMIFS('J Book Items Cons.'!R$5:R$3360,'J Book Items Cons.'!S$5:S$3360,"[PARENT]",'J Book Items Cons.'!E$5:E$3360,3,'J Book Items Cons.'!U$5:U$3360,"USN",'J Book Items Cons.'!W$5:W$3360,"Unmanned Undersea Vehicles",'J Book Items Cons.'!R$5:R$3360,"&lt;&gt;")+SUMIFS('J Book Items Cons.'!N$5:N$3360,'J Book Items Cons.'!S$5:S$3360,"[PARENT]",'J Book Items Cons.'!E$5:E$3360,3,'J Book Items Cons.'!U$5:U$3360,"USN",'J Book Items Cons.'!W$5:W$3360,"Unmanned Undersea Vehicles",'J Book Items Cons.'!R$5:R$3360,"",'J Book Items Cons.'!N$5:N$3360,"&lt;&gt;")+SUMIFS('J Book Items Cons.'!L$5:L$3360,'J Book Items Cons.'!S$5:S$3360,"[PARENT]",'J Book Items Cons.'!E$5:E$3360,3,'J Book Items Cons.'!U$5:U$3360,"USN",'J Book Items Cons.'!W$5:W$3360,"Unmanned Undersea Vehicles",'J Book Items Cons.'!R$5:R$3360,"",'J Book Items Cons.'!N$5:N$3360,""))/L100)</f>
        <v>0</v>
      </c>
      <c r="M95" s="38">
        <f>IF(M100=0,0,(SUMIFS('J Book Items Cons.'!R$5:R$3360,'J Book Items Cons.'!S$5:S$3360,"",'J Book Items Cons.'!E$5:E$3360,3,'J Book Items Cons.'!U$5:U$3360,"USN",'J Book Items Cons.'!W$5:W$3360,"Command Ships",'J Book Items Cons.'!R$5:R$3360,"&lt;&gt;")+SUMIFS('J Book Items Cons.'!N$5:N$3360,'J Book Items Cons.'!S$5:S$3360,"",'J Book Items Cons.'!E$5:E$3360,3,'J Book Items Cons.'!U$5:U$3360,"USN",'J Book Items Cons.'!W$5:W$3360,"Command Ships",'J Book Items Cons.'!R$5:R$3360,"",'J Book Items Cons.'!N$5:N$3360,"&lt;&gt;")+SUMIFS('J Book Items Cons.'!L$5:L$3360,'J Book Items Cons.'!S$5:S$3360,"",'J Book Items Cons.'!E$5:E$3360,3,'J Book Items Cons.'!U$5:U$3360,"USN",'J Book Items Cons.'!W$5:W$3360,"Command Ships",'J Book Items Cons.'!R$5:R$3360,"",'J Book Items Cons.'!N$5:N$3360,"")+SUMIFS('J Book Items Cons.'!R$5:R$3360,'J Book Items Cons.'!S$5:S$3360,"[PARENT]",'J Book Items Cons.'!E$5:E$3360,3,'J Book Items Cons.'!U$5:U$3360,"USN",'J Book Items Cons.'!W$5:W$3360,"Command Ships",'J Book Items Cons.'!R$5:R$3360,"&lt;&gt;")+SUMIFS('J Book Items Cons.'!N$5:N$3360,'J Book Items Cons.'!S$5:S$3360,"[PARENT]",'J Book Items Cons.'!E$5:E$3360,3,'J Book Items Cons.'!U$5:U$3360,"USN",'J Book Items Cons.'!W$5:W$3360,"Command Ships",'J Book Items Cons.'!R$5:R$3360,"",'J Book Items Cons.'!N$5:N$3360,"&lt;&gt;")+SUMIFS('J Book Items Cons.'!L$5:L$3360,'J Book Items Cons.'!S$5:S$3360,"[PARENT]",'J Book Items Cons.'!E$5:E$3360,3,'J Book Items Cons.'!U$5:U$3360,"USN",'J Book Items Cons.'!W$5:W$3360,"Command Ships",'J Book Items Cons.'!R$5:R$3360,"",'J Book Items Cons.'!N$5:N$3360,""))/M100)</f>
        <v>0</v>
      </c>
      <c r="N95" s="39">
        <f>IF(N100=0,0,(SUMIFS('J Book Items Cons.'!R$5:R$3360,'J Book Items Cons.'!S$5:S$3360,"",'J Book Items Cons.'!E$5:E$3360,3,'J Book Items Cons.'!U$5:U$3360,"USN",'J Book Items Cons.'!W$5:W$3360,"Mine Warfare",'J Book Items Cons.'!R$5:R$3360,"&lt;&gt;")+SUMIFS('J Book Items Cons.'!N$5:N$3360,'J Book Items Cons.'!S$5:S$3360,"",'J Book Items Cons.'!E$5:E$3360,3,'J Book Items Cons.'!U$5:U$3360,"USN",'J Book Items Cons.'!W$5:W$3360,"Mine Warfare",'J Book Items Cons.'!R$5:R$3360,"",'J Book Items Cons.'!N$5:N$3360,"&lt;&gt;")+SUMIFS('J Book Items Cons.'!L$5:L$3360,'J Book Items Cons.'!S$5:S$3360,"",'J Book Items Cons.'!E$5:E$3360,3,'J Book Items Cons.'!U$5:U$3360,"USN",'J Book Items Cons.'!W$5:W$3360,"Mine Warfare",'J Book Items Cons.'!R$5:R$3360,"",'J Book Items Cons.'!N$5:N$3360,"")+SUMIFS('J Book Items Cons.'!R$5:R$3360,'J Book Items Cons.'!S$5:S$3360,"[PARENT]",'J Book Items Cons.'!E$5:E$3360,3,'J Book Items Cons.'!U$5:U$3360,"USN",'J Book Items Cons.'!W$5:W$3360,"Mine Warfare",'J Book Items Cons.'!R$5:R$3360,"&lt;&gt;")+SUMIFS('J Book Items Cons.'!N$5:N$3360,'J Book Items Cons.'!S$5:S$3360,"[PARENT]",'J Book Items Cons.'!E$5:E$3360,3,'J Book Items Cons.'!U$5:U$3360,"USN",'J Book Items Cons.'!W$5:W$3360,"Mine Warfare",'J Book Items Cons.'!R$5:R$3360,"",'J Book Items Cons.'!N$5:N$3360,"&lt;&gt;")+SUMIFS('J Book Items Cons.'!L$5:L$3360,'J Book Items Cons.'!S$5:S$3360,"[PARENT]",'J Book Items Cons.'!E$5:E$3360,3,'J Book Items Cons.'!U$5:U$3360,"USN",'J Book Items Cons.'!W$5:W$3360,"Mine Warfare",'J Book Items Cons.'!R$5:R$3360,"",'J Book Items Cons.'!N$5:N$3360,""))/N100)</f>
        <v>4.3862170931044393E-2</v>
      </c>
      <c r="O95" s="37">
        <f>IF(O100=0,0,(SUMIFS('J Book Items Cons.'!R$5:R$3360,'J Book Items Cons.'!S$5:S$3360,"",'J Book Items Cons.'!E$5:E$3360,3,'J Book Items Cons.'!U$5:U$3360,"USCG",'J Book Items Cons.'!W$5:W$3360,"Offshore Patrol Cutter",'J Book Items Cons.'!R$5:R$3360,"&lt;&gt;")+SUMIFS('J Book Items Cons.'!N$5:N$3360,'J Book Items Cons.'!S$5:S$3360,"",'J Book Items Cons.'!E$5:E$3360,3,'J Book Items Cons.'!U$5:U$3360,"USCG",'J Book Items Cons.'!W$5:W$3360,"Offshore Patrol Cutter",'J Book Items Cons.'!R$5:R$3360,"",'J Book Items Cons.'!N$5:N$3360,"&lt;&gt;")+SUMIFS('J Book Items Cons.'!L$5:L$3360,'J Book Items Cons.'!S$5:S$3360,"",'J Book Items Cons.'!E$5:E$3360,3,'J Book Items Cons.'!U$5:U$3360,"USCG",'J Book Items Cons.'!W$5:W$3360,"Offshore Patrol Cutter",'J Book Items Cons.'!R$5:R$3360,"",'J Book Items Cons.'!N$5:N$3360,"")+SUMIFS('J Book Items Cons.'!R$5:R$3360,'J Book Items Cons.'!S$5:S$3360,"[PARENT]",'J Book Items Cons.'!E$5:E$3360,3,'J Book Items Cons.'!U$5:U$3360,"USCG",'J Book Items Cons.'!W$5:W$3360,"Offshore Patrol Cutter",'J Book Items Cons.'!R$5:R$3360,"&lt;&gt;")+SUMIFS('J Book Items Cons.'!N$5:N$3360,'J Book Items Cons.'!S$5:S$3360,"[PARENT]",'J Book Items Cons.'!E$5:E$3360,3,'J Book Items Cons.'!U$5:U$3360,"USCG",'J Book Items Cons.'!W$5:W$3360,"Offshore Patrol Cutter",'J Book Items Cons.'!R$5:R$3360,"",'J Book Items Cons.'!N$5:N$3360,"&lt;&gt;")+SUMIFS('J Book Items Cons.'!L$5:L$3360,'J Book Items Cons.'!S$5:S$3360,"[PARENT]",'J Book Items Cons.'!E$5:E$3360,3,'J Book Items Cons.'!U$5:U$3360,"USCG",'J Book Items Cons.'!W$5:W$3360,"Offshore Patrol Cutter",'J Book Items Cons.'!R$5:R$3360,"",'J Book Items Cons.'!N$5:N$3360,""))/O100)</f>
        <v>0</v>
      </c>
      <c r="P95" s="38">
        <f>IF(P100=0,0,(SUMIFS('J Book Items Cons.'!R$5:R$3360,'J Book Items Cons.'!S$5:S$3360,"",'J Book Items Cons.'!E$5:E$3360,3,'J Book Items Cons.'!U$5:U$3360,"USCG",'J Book Items Cons.'!W$5:W$3360,"Fast Response Cutters",'J Book Items Cons.'!R$5:R$3360,"&lt;&gt;")+SUMIFS('J Book Items Cons.'!N$5:N$3360,'J Book Items Cons.'!S$5:S$3360,"",'J Book Items Cons.'!E$5:E$3360,3,'J Book Items Cons.'!U$5:U$3360,"USCG",'J Book Items Cons.'!W$5:W$3360,"Fast Response Cutters",'J Book Items Cons.'!R$5:R$3360,"",'J Book Items Cons.'!N$5:N$3360,"&lt;&gt;")+SUMIFS('J Book Items Cons.'!L$5:L$3360,'J Book Items Cons.'!S$5:S$3360,"",'J Book Items Cons.'!E$5:E$3360,3,'J Book Items Cons.'!U$5:U$3360,"USCG",'J Book Items Cons.'!W$5:W$3360,"Fast Response Cutters",'J Book Items Cons.'!R$5:R$3360,"",'J Book Items Cons.'!N$5:N$3360,"")+SUMIFS('J Book Items Cons.'!R$5:R$3360,'J Book Items Cons.'!S$5:S$3360,"[PARENT]",'J Book Items Cons.'!E$5:E$3360,3,'J Book Items Cons.'!U$5:U$3360,"USCG",'J Book Items Cons.'!W$5:W$3360,"Fast Response Cutters",'J Book Items Cons.'!R$5:R$3360,"&lt;&gt;")+SUMIFS('J Book Items Cons.'!N$5:N$3360,'J Book Items Cons.'!S$5:S$3360,"[PARENT]",'J Book Items Cons.'!E$5:E$3360,3,'J Book Items Cons.'!U$5:U$3360,"USCG",'J Book Items Cons.'!W$5:W$3360,"Fast Response Cutters",'J Book Items Cons.'!R$5:R$3360,"",'J Book Items Cons.'!N$5:N$3360,"&lt;&gt;")+SUMIFS('J Book Items Cons.'!L$5:L$3360,'J Book Items Cons.'!S$5:S$3360,"[PARENT]",'J Book Items Cons.'!E$5:E$3360,3,'J Book Items Cons.'!U$5:U$3360,"USCG",'J Book Items Cons.'!W$5:W$3360,"Fast Response Cutters",'J Book Items Cons.'!R$5:R$3360,"",'J Book Items Cons.'!N$5:N$3360,""))/P100)</f>
        <v>0</v>
      </c>
      <c r="Q95" s="38">
        <f>IF(Q100=0,0,(SUMIFS('J Book Items Cons.'!R$5:R$3360,'J Book Items Cons.'!S$5:S$3360,"",'J Book Items Cons.'!E$5:E$3360,3,'J Book Items Cons.'!U$5:U$3360,"USCG",'J Book Items Cons.'!W$5:W$3360,"Icebreakers, Oceangoing",'J Book Items Cons.'!R$5:R$3360,"&lt;&gt;")+SUMIFS('J Book Items Cons.'!N$5:N$3360,'J Book Items Cons.'!S$5:S$3360,"",'J Book Items Cons.'!E$5:E$3360,3,'J Book Items Cons.'!U$5:U$3360,"USCG",'J Book Items Cons.'!W$5:W$3360,"Icebreakers, Oceangoing",'J Book Items Cons.'!R$5:R$3360,"",'J Book Items Cons.'!N$5:N$3360,"&lt;&gt;")+SUMIFS('J Book Items Cons.'!L$5:L$3360,'J Book Items Cons.'!S$5:S$3360,"",'J Book Items Cons.'!E$5:E$3360,3,'J Book Items Cons.'!U$5:U$3360,"USCG",'J Book Items Cons.'!W$5:W$3360,"Icebreakers, Oceangoing",'J Book Items Cons.'!R$5:R$3360,"",'J Book Items Cons.'!N$5:N$3360,"")+SUMIFS('J Book Items Cons.'!R$5:R$3360,'J Book Items Cons.'!S$5:S$3360,"[PARENT]",'J Book Items Cons.'!E$5:E$3360,3,'J Book Items Cons.'!U$5:U$3360,"USCG",'J Book Items Cons.'!W$5:W$3360,"Icebreakers, Oceangoing",'J Book Items Cons.'!R$5:R$3360,"&lt;&gt;")+SUMIFS('J Book Items Cons.'!N$5:N$3360,'J Book Items Cons.'!S$5:S$3360,"[PARENT]",'J Book Items Cons.'!E$5:E$3360,3,'J Book Items Cons.'!U$5:U$3360,"USCG",'J Book Items Cons.'!W$5:W$3360,"Icebreakers, Oceangoing",'J Book Items Cons.'!R$5:R$3360,"",'J Book Items Cons.'!N$5:N$3360,"&lt;&gt;")+SUMIFS('J Book Items Cons.'!L$5:L$3360,'J Book Items Cons.'!S$5:S$3360,"[PARENT]",'J Book Items Cons.'!E$5:E$3360,3,'J Book Items Cons.'!U$5:U$3360,"USCG",'J Book Items Cons.'!W$5:W$3360,"Icebreakers, Oceangoing",'J Book Items Cons.'!R$5:R$3360,"",'J Book Items Cons.'!N$5:N$3360,""))/Q100)</f>
        <v>0</v>
      </c>
      <c r="R95" s="38">
        <f>IF(R100=0,0,(SUMIFS('J Book Items Cons.'!R$5:R$3360,'J Book Items Cons.'!S$5:S$3360,"",'J Book Items Cons.'!E$5:E$3360,3,'J Book Items Cons.'!U$5:U$3360,"USCG",'J Book Items Cons.'!W$5:W$3360,"Waterways Commerce Cutters",'J Book Items Cons.'!R$5:R$3360,"&lt;&gt;")+SUMIFS('J Book Items Cons.'!N$5:N$3360,'J Book Items Cons.'!S$5:S$3360,"",'J Book Items Cons.'!E$5:E$3360,3,'J Book Items Cons.'!U$5:U$3360,"USCG",'J Book Items Cons.'!W$5:W$3360,"Waterways Commerce Cutters",'J Book Items Cons.'!R$5:R$3360,"",'J Book Items Cons.'!N$5:N$3360,"&lt;&gt;")+SUMIFS('J Book Items Cons.'!L$5:L$3360,'J Book Items Cons.'!S$5:S$3360,"",'J Book Items Cons.'!E$5:E$3360,3,'J Book Items Cons.'!U$5:U$3360,"USCG",'J Book Items Cons.'!W$5:W$3360,"Waterways Commerce Cutters",'J Book Items Cons.'!R$5:R$3360,"",'J Book Items Cons.'!N$5:N$3360,"")+SUMIFS('J Book Items Cons.'!R$5:R$3360,'J Book Items Cons.'!S$5:S$3360,"[PARENT]",'J Book Items Cons.'!E$5:E$3360,3,'J Book Items Cons.'!U$5:U$3360,"USCG",'J Book Items Cons.'!W$5:W$3360,"Waterways Commerce Cutters",'J Book Items Cons.'!R$5:R$3360,"&lt;&gt;")+SUMIFS('J Book Items Cons.'!N$5:N$3360,'J Book Items Cons.'!S$5:S$3360,"[PARENT]",'J Book Items Cons.'!E$5:E$3360,3,'J Book Items Cons.'!U$5:U$3360,"USCG",'J Book Items Cons.'!W$5:W$3360,"Waterways Commerce Cutters",'J Book Items Cons.'!R$5:R$3360,"",'J Book Items Cons.'!N$5:N$3360,"&lt;&gt;")+SUMIFS('J Book Items Cons.'!L$5:L$3360,'J Book Items Cons.'!S$5:S$3360,"[PARENT]",'J Book Items Cons.'!E$5:E$3360,3,'J Book Items Cons.'!U$5:U$3360,"USCG",'J Book Items Cons.'!W$5:W$3360,"Waterways Commerce Cutters",'J Book Items Cons.'!R$5:R$3360,"",'J Book Items Cons.'!N$5:N$3360,""))/R100)</f>
        <v>0</v>
      </c>
      <c r="S95" s="39">
        <f>IF(S100=0,0,(SUMIFS('J Book Items Cons.'!R$5:R$3360,'J Book Items Cons.'!S$5:S$3360,"",'J Book Items Cons.'!E$5:E$3360,3,'J Book Items Cons.'!U$5:U$3360,"USCG",'J Book Items Cons.'!W$5:W$3360,"National Security Cutters",'J Book Items Cons.'!R$5:R$3360,"&lt;&gt;")+SUMIFS('J Book Items Cons.'!N$5:N$3360,'J Book Items Cons.'!S$5:S$3360,"",'J Book Items Cons.'!E$5:E$3360,3,'J Book Items Cons.'!U$5:U$3360,"USCG",'J Book Items Cons.'!W$5:W$3360,"National Security Cutters",'J Book Items Cons.'!R$5:R$3360,"",'J Book Items Cons.'!N$5:N$3360,"&lt;&gt;")+SUMIFS('J Book Items Cons.'!L$5:L$3360,'J Book Items Cons.'!S$5:S$3360,"",'J Book Items Cons.'!E$5:E$3360,3,'J Book Items Cons.'!U$5:U$3360,"USCG",'J Book Items Cons.'!W$5:W$3360,"National Security Cutters",'J Book Items Cons.'!R$5:R$3360,"",'J Book Items Cons.'!N$5:N$3360,"")+SUMIFS('J Book Items Cons.'!R$5:R$3360,'J Book Items Cons.'!S$5:S$3360,"[PARENT]",'J Book Items Cons.'!E$5:E$3360,3,'J Book Items Cons.'!U$5:U$3360,"USCG",'J Book Items Cons.'!W$5:W$3360,"National Security Cutters",'J Book Items Cons.'!R$5:R$3360,"&lt;&gt;")+SUMIFS('J Book Items Cons.'!N$5:N$3360,'J Book Items Cons.'!S$5:S$3360,"[PARENT]",'J Book Items Cons.'!E$5:E$3360,3,'J Book Items Cons.'!U$5:U$3360,"USCG",'J Book Items Cons.'!W$5:W$3360,"National Security Cutters",'J Book Items Cons.'!R$5:R$3360,"",'J Book Items Cons.'!N$5:N$3360,"&lt;&gt;")+SUMIFS('J Book Items Cons.'!L$5:L$3360,'J Book Items Cons.'!S$5:S$3360,"[PARENT]",'J Book Items Cons.'!E$5:E$3360,3,'J Book Items Cons.'!U$5:U$3360,"USCG",'J Book Items Cons.'!W$5:W$3360,"National Security Cutters",'J Book Items Cons.'!R$5:R$3360,"",'J Book Items Cons.'!N$5:N$3360,""))/S100)</f>
        <v>0</v>
      </c>
      <c r="T95" s="38">
        <f>IF(T100=0,0,SUMPRODUCT(B95:S95,B$100:S$100)/T$100)</f>
        <v>8.7443538789668679E-3</v>
      </c>
    </row>
    <row r="96" spans="1:20" x14ac:dyDescent="0.15">
      <c r="A96" s="7" t="s">
        <v>8852</v>
      </c>
      <c r="B96" s="37">
        <f>IF(B100=0,0,(SUMIFS('J Book Items Cons.'!R$5:R$3360,'J Book Items Cons.'!S$5:S$3360,"",'J Book Items Cons.'!E$5:E$3360,4,'J Book Items Cons.'!U$5:U$3360,"USN",'J Book Items Cons.'!W$5:W$3360,"Submarines",'J Book Items Cons.'!R$5:R$3360,"&lt;&gt;")+SUMIFS('J Book Items Cons.'!N$5:N$3360,'J Book Items Cons.'!S$5:S$3360,"",'J Book Items Cons.'!E$5:E$3360,4,'J Book Items Cons.'!U$5:U$3360,"USN",'J Book Items Cons.'!W$5:W$3360,"Submarines",'J Book Items Cons.'!R$5:R$3360,"",'J Book Items Cons.'!N$5:N$3360,"&lt;&gt;")+SUMIFS('J Book Items Cons.'!L$5:L$3360,'J Book Items Cons.'!S$5:S$3360,"",'J Book Items Cons.'!E$5:E$3360,4,'J Book Items Cons.'!U$5:U$3360,"USN",'J Book Items Cons.'!W$5:W$3360,"Submarines",'J Book Items Cons.'!R$5:R$3360,"",'J Book Items Cons.'!N$5:N$3360,"")+SUMIFS('J Book Items Cons.'!R$5:R$3360,'J Book Items Cons.'!S$5:S$3360,"[PARENT]",'J Book Items Cons.'!E$5:E$3360,4,'J Book Items Cons.'!U$5:U$3360,"USN",'J Book Items Cons.'!W$5:W$3360,"Submarines",'J Book Items Cons.'!R$5:R$3360,"&lt;&gt;")+SUMIFS('J Book Items Cons.'!N$5:N$3360,'J Book Items Cons.'!S$5:S$3360,"[PARENT]",'J Book Items Cons.'!E$5:E$3360,4,'J Book Items Cons.'!U$5:U$3360,"USN",'J Book Items Cons.'!W$5:W$3360,"Submarines",'J Book Items Cons.'!R$5:R$3360,"",'J Book Items Cons.'!N$5:N$3360,"&lt;&gt;")+SUMIFS('J Book Items Cons.'!L$5:L$3360,'J Book Items Cons.'!S$5:S$3360,"[PARENT]",'J Book Items Cons.'!E$5:E$3360,4,'J Book Items Cons.'!U$5:U$3360,"USN",'J Book Items Cons.'!W$5:W$3360,"Submarines",'J Book Items Cons.'!R$5:R$3360,"",'J Book Items Cons.'!N$5:N$3360,""))/B100)</f>
        <v>0.4407659643044754</v>
      </c>
      <c r="C96" s="38">
        <f>IF(C100=0,0,(SUMIFS('J Book Items Cons.'!R$5:R$3360,'J Book Items Cons.'!S$5:S$3360,"",'J Book Items Cons.'!E$5:E$3360,4,'J Book Items Cons.'!U$5:U$3360,"USN",'J Book Items Cons.'!W$5:W$3360,"Surface Combatants",'J Book Items Cons.'!R$5:R$3360,"&lt;&gt;")+SUMIFS('J Book Items Cons.'!N$5:N$3360,'J Book Items Cons.'!S$5:S$3360,"",'J Book Items Cons.'!E$5:E$3360,4,'J Book Items Cons.'!U$5:U$3360,"USN",'J Book Items Cons.'!W$5:W$3360,"Surface Combatants",'J Book Items Cons.'!R$5:R$3360,"",'J Book Items Cons.'!N$5:N$3360,"&lt;&gt;")+SUMIFS('J Book Items Cons.'!L$5:L$3360,'J Book Items Cons.'!S$5:S$3360,"",'J Book Items Cons.'!E$5:E$3360,4,'J Book Items Cons.'!U$5:U$3360,"USN",'J Book Items Cons.'!W$5:W$3360,"Surface Combatants",'J Book Items Cons.'!R$5:R$3360,"",'J Book Items Cons.'!N$5:N$3360,"")+SUMIFS('J Book Items Cons.'!R$5:R$3360,'J Book Items Cons.'!S$5:S$3360,"[PARENT]",'J Book Items Cons.'!E$5:E$3360,4,'J Book Items Cons.'!U$5:U$3360,"USN",'J Book Items Cons.'!W$5:W$3360,"Surface Combatants",'J Book Items Cons.'!R$5:R$3360,"&lt;&gt;")+SUMIFS('J Book Items Cons.'!N$5:N$3360,'J Book Items Cons.'!S$5:S$3360,"[PARENT]",'J Book Items Cons.'!E$5:E$3360,4,'J Book Items Cons.'!U$5:U$3360,"USN",'J Book Items Cons.'!W$5:W$3360,"Surface Combatants",'J Book Items Cons.'!R$5:R$3360,"",'J Book Items Cons.'!N$5:N$3360,"&lt;&gt;")+SUMIFS('J Book Items Cons.'!L$5:L$3360,'J Book Items Cons.'!S$5:S$3360,"[PARENT]",'J Book Items Cons.'!E$5:E$3360,4,'J Book Items Cons.'!U$5:U$3360,"USN",'J Book Items Cons.'!W$5:W$3360,"Surface Combatants",'J Book Items Cons.'!R$5:R$3360,"",'J Book Items Cons.'!N$5:N$3360,""))/C100)</f>
        <v>0.69591764146994062</v>
      </c>
      <c r="D96" s="38">
        <f>IF(D100=0,0,(SUMIFS('J Book Items Cons.'!R$5:R$3360,'J Book Items Cons.'!S$5:S$3360,"",'J Book Items Cons.'!E$5:E$3360,4,'J Book Items Cons.'!U$5:U$3360,"USN",'J Book Items Cons.'!W$5:W$3360,"Aircraft Carriers",'J Book Items Cons.'!R$5:R$3360,"&lt;&gt;")+SUMIFS('J Book Items Cons.'!N$5:N$3360,'J Book Items Cons.'!S$5:S$3360,"",'J Book Items Cons.'!E$5:E$3360,4,'J Book Items Cons.'!U$5:U$3360,"USN",'J Book Items Cons.'!W$5:W$3360,"Aircraft Carriers",'J Book Items Cons.'!R$5:R$3360,"",'J Book Items Cons.'!N$5:N$3360,"&lt;&gt;")+SUMIFS('J Book Items Cons.'!L$5:L$3360,'J Book Items Cons.'!S$5:S$3360,"",'J Book Items Cons.'!E$5:E$3360,4,'J Book Items Cons.'!U$5:U$3360,"USN",'J Book Items Cons.'!W$5:W$3360,"Aircraft Carriers",'J Book Items Cons.'!R$5:R$3360,"",'J Book Items Cons.'!N$5:N$3360,"")+SUMIFS('J Book Items Cons.'!R$5:R$3360,'J Book Items Cons.'!S$5:S$3360,"[PARENT]",'J Book Items Cons.'!E$5:E$3360,4,'J Book Items Cons.'!U$5:U$3360,"USN",'J Book Items Cons.'!W$5:W$3360,"Aircraft Carriers",'J Book Items Cons.'!R$5:R$3360,"&lt;&gt;")+SUMIFS('J Book Items Cons.'!N$5:N$3360,'J Book Items Cons.'!S$5:S$3360,"[PARENT]",'J Book Items Cons.'!E$5:E$3360,4,'J Book Items Cons.'!U$5:U$3360,"USN",'J Book Items Cons.'!W$5:W$3360,"Aircraft Carriers",'J Book Items Cons.'!R$5:R$3360,"",'J Book Items Cons.'!N$5:N$3360,"&lt;&gt;")+SUMIFS('J Book Items Cons.'!L$5:L$3360,'J Book Items Cons.'!S$5:S$3360,"[PARENT]",'J Book Items Cons.'!E$5:E$3360,4,'J Book Items Cons.'!U$5:U$3360,"USN",'J Book Items Cons.'!W$5:W$3360,"Aircraft Carriers",'J Book Items Cons.'!R$5:R$3360,"",'J Book Items Cons.'!N$5:N$3360,""))/D100)</f>
        <v>9.3333366902353471E-2</v>
      </c>
      <c r="E96" s="38">
        <f>IF(E100=0,0,(SUMIFS('J Book Items Cons.'!R$5:R$3360,'J Book Items Cons.'!S$5:S$3360,"",'J Book Items Cons.'!E$5:E$3360,4,'J Book Items Cons.'!U$5:U$3360,"USN",'J Book Items Cons.'!W$5:W$3360,"Amphibious Warfare Ships",'J Book Items Cons.'!R$5:R$3360,"&lt;&gt;")+SUMIFS('J Book Items Cons.'!N$5:N$3360,'J Book Items Cons.'!S$5:S$3360,"",'J Book Items Cons.'!E$5:E$3360,4,'J Book Items Cons.'!U$5:U$3360,"USN",'J Book Items Cons.'!W$5:W$3360,"Amphibious Warfare Ships",'J Book Items Cons.'!R$5:R$3360,"",'J Book Items Cons.'!N$5:N$3360,"&lt;&gt;")+SUMIFS('J Book Items Cons.'!L$5:L$3360,'J Book Items Cons.'!S$5:S$3360,"",'J Book Items Cons.'!E$5:E$3360,4,'J Book Items Cons.'!U$5:U$3360,"USN",'J Book Items Cons.'!W$5:W$3360,"Amphibious Warfare Ships",'J Book Items Cons.'!R$5:R$3360,"",'J Book Items Cons.'!N$5:N$3360,"")+SUMIFS('J Book Items Cons.'!R$5:R$3360,'J Book Items Cons.'!S$5:S$3360,"[PARENT]",'J Book Items Cons.'!E$5:E$3360,4,'J Book Items Cons.'!U$5:U$3360,"USN",'J Book Items Cons.'!W$5:W$3360,"Amphibious Warfare Ships",'J Book Items Cons.'!R$5:R$3360,"&lt;&gt;")+SUMIFS('J Book Items Cons.'!N$5:N$3360,'J Book Items Cons.'!S$5:S$3360,"[PARENT]",'J Book Items Cons.'!E$5:E$3360,4,'J Book Items Cons.'!U$5:U$3360,"USN",'J Book Items Cons.'!W$5:W$3360,"Amphibious Warfare Ships",'J Book Items Cons.'!R$5:R$3360,"",'J Book Items Cons.'!N$5:N$3360,"&lt;&gt;")+SUMIFS('J Book Items Cons.'!L$5:L$3360,'J Book Items Cons.'!S$5:S$3360,"[PARENT]",'J Book Items Cons.'!E$5:E$3360,4,'J Book Items Cons.'!U$5:U$3360,"USN",'J Book Items Cons.'!W$5:W$3360,"Amphibious Warfare Ships",'J Book Items Cons.'!R$5:R$3360,"",'J Book Items Cons.'!N$5:N$3360,""))/E100)</f>
        <v>0.59528857464384721</v>
      </c>
      <c r="F96" s="38">
        <f>IF(F100=0,0,(SUMIFS('J Book Items Cons.'!R$5:R$3360,'J Book Items Cons.'!S$5:S$3360,"",'J Book Items Cons.'!E$5:E$3360,4,'J Book Items Cons.'!U$5:U$3360,"USN",'J Book Items Cons.'!W$5:W$3360,"Expeditionary &amp; Seabasing Ships",'J Book Items Cons.'!R$5:R$3360,"&lt;&gt;")+SUMIFS('J Book Items Cons.'!N$5:N$3360,'J Book Items Cons.'!S$5:S$3360,"",'J Book Items Cons.'!E$5:E$3360,4,'J Book Items Cons.'!U$5:U$3360,"USN",'J Book Items Cons.'!W$5:W$3360,"Expeditionary &amp; Seabasing Ships",'J Book Items Cons.'!R$5:R$3360,"",'J Book Items Cons.'!N$5:N$3360,"&lt;&gt;")+SUMIFS('J Book Items Cons.'!L$5:L$3360,'J Book Items Cons.'!S$5:S$3360,"",'J Book Items Cons.'!E$5:E$3360,4,'J Book Items Cons.'!U$5:U$3360,"USN",'J Book Items Cons.'!W$5:W$3360,"Expeditionary &amp; Seabasing Ships",'J Book Items Cons.'!R$5:R$3360,"",'J Book Items Cons.'!N$5:N$3360,"")+SUMIFS('J Book Items Cons.'!R$5:R$3360,'J Book Items Cons.'!S$5:S$3360,"[PARENT]",'J Book Items Cons.'!E$5:E$3360,4,'J Book Items Cons.'!U$5:U$3360,"USN",'J Book Items Cons.'!W$5:W$3360,"Expeditionary &amp; Seabasing Ships",'J Book Items Cons.'!R$5:R$3360,"&lt;&gt;")+SUMIFS('J Book Items Cons.'!N$5:N$3360,'J Book Items Cons.'!S$5:S$3360,"[PARENT]",'J Book Items Cons.'!E$5:E$3360,4,'J Book Items Cons.'!U$5:U$3360,"USN",'J Book Items Cons.'!W$5:W$3360,"Expeditionary &amp; Seabasing Ships",'J Book Items Cons.'!R$5:R$3360,"",'J Book Items Cons.'!N$5:N$3360,"&lt;&gt;")+SUMIFS('J Book Items Cons.'!L$5:L$3360,'J Book Items Cons.'!S$5:S$3360,"[PARENT]",'J Book Items Cons.'!E$5:E$3360,4,'J Book Items Cons.'!U$5:U$3360,"USN",'J Book Items Cons.'!W$5:W$3360,"Expeditionary &amp; Seabasing Ships",'J Book Items Cons.'!R$5:R$3360,"",'J Book Items Cons.'!N$5:N$3360,""))/F100)</f>
        <v>0</v>
      </c>
      <c r="G96" s="38">
        <f>IF(G100=0,0,(SUMIFS('J Book Items Cons.'!R$5:R$3360,'J Book Items Cons.'!S$5:S$3360,"",'J Book Items Cons.'!E$5:E$3360,4,'J Book Items Cons.'!U$5:U$3360,"MSC",'J Book Items Cons.'!W$5:W$3360,"Combat Logistics Ships",'J Book Items Cons.'!R$5:R$3360,"&lt;&gt;")+SUMIFS('J Book Items Cons.'!N$5:N$3360,'J Book Items Cons.'!S$5:S$3360,"",'J Book Items Cons.'!E$5:E$3360,4,'J Book Items Cons.'!U$5:U$3360,"MSC",'J Book Items Cons.'!W$5:W$3360,"Combat Logistics Ships",'J Book Items Cons.'!R$5:R$3360,"",'J Book Items Cons.'!N$5:N$3360,"&lt;&gt;")+SUMIFS('J Book Items Cons.'!L$5:L$3360,'J Book Items Cons.'!S$5:S$3360,"",'J Book Items Cons.'!E$5:E$3360,4,'J Book Items Cons.'!U$5:U$3360,"MSC",'J Book Items Cons.'!W$5:W$3360,"Combat Logistics Ships",'J Book Items Cons.'!R$5:R$3360,"",'J Book Items Cons.'!N$5:N$3360,"")+SUMIFS('J Book Items Cons.'!R$5:R$3360,'J Book Items Cons.'!S$5:S$3360,"[PARENT]",'J Book Items Cons.'!E$5:E$3360,4,'J Book Items Cons.'!U$5:U$3360,"MSC",'J Book Items Cons.'!W$5:W$3360,"Combat Logistics Ships",'J Book Items Cons.'!R$5:R$3360,"&lt;&gt;")+SUMIFS('J Book Items Cons.'!N$5:N$3360,'J Book Items Cons.'!S$5:S$3360,"[PARENT]",'J Book Items Cons.'!E$5:E$3360,4,'J Book Items Cons.'!U$5:U$3360,"MSC",'J Book Items Cons.'!W$5:W$3360,"Combat Logistics Ships",'J Book Items Cons.'!R$5:R$3360,"",'J Book Items Cons.'!N$5:N$3360,"&lt;&gt;")+SUMIFS('J Book Items Cons.'!L$5:L$3360,'J Book Items Cons.'!S$5:S$3360,"[PARENT]",'J Book Items Cons.'!E$5:E$3360,4,'J Book Items Cons.'!U$5:U$3360,"MSC",'J Book Items Cons.'!W$5:W$3360,"Combat Logistics Ships",'J Book Items Cons.'!R$5:R$3360,"",'J Book Items Cons.'!N$5:N$3360,""))/G100)</f>
        <v>0</v>
      </c>
      <c r="H96" s="38">
        <f>IF(H100=0,0,(SUMIFS('J Book Items Cons.'!R$5:R$3360,'J Book Items Cons.'!S$5:S$3360,"",'J Book Items Cons.'!E$5:E$3360,4,'J Book Items Cons.'!U$5:U$3360,"USN",'J Book Items Cons.'!W$5:W$3360,"Unmanned Surface Vehicles",'J Book Items Cons.'!R$5:R$3360,"&lt;&gt;")+SUMIFS('J Book Items Cons.'!N$5:N$3360,'J Book Items Cons.'!S$5:S$3360,"",'J Book Items Cons.'!E$5:E$3360,4,'J Book Items Cons.'!U$5:U$3360,"USN",'J Book Items Cons.'!W$5:W$3360,"Unmanned Surface Vehicles",'J Book Items Cons.'!R$5:R$3360,"",'J Book Items Cons.'!N$5:N$3360,"&lt;&gt;")+SUMIFS('J Book Items Cons.'!L$5:L$3360,'J Book Items Cons.'!S$5:S$3360,"",'J Book Items Cons.'!E$5:E$3360,4,'J Book Items Cons.'!U$5:U$3360,"USN",'J Book Items Cons.'!W$5:W$3360,"Unmanned Surface Vehicles",'J Book Items Cons.'!R$5:R$3360,"",'J Book Items Cons.'!N$5:N$3360,"")+SUMIFS('J Book Items Cons.'!R$5:R$3360,'J Book Items Cons.'!S$5:S$3360,"[PARENT]",'J Book Items Cons.'!E$5:E$3360,4,'J Book Items Cons.'!U$5:U$3360,"USN",'J Book Items Cons.'!W$5:W$3360,"Unmanned Surface Vehicles",'J Book Items Cons.'!R$5:R$3360,"&lt;&gt;")+SUMIFS('J Book Items Cons.'!N$5:N$3360,'J Book Items Cons.'!S$5:S$3360,"[PARENT]",'J Book Items Cons.'!E$5:E$3360,4,'J Book Items Cons.'!U$5:U$3360,"USN",'J Book Items Cons.'!W$5:W$3360,"Unmanned Surface Vehicles",'J Book Items Cons.'!R$5:R$3360,"",'J Book Items Cons.'!N$5:N$3360,"&lt;&gt;")+SUMIFS('J Book Items Cons.'!L$5:L$3360,'J Book Items Cons.'!S$5:S$3360,"[PARENT]",'J Book Items Cons.'!E$5:E$3360,4,'J Book Items Cons.'!U$5:U$3360,"USN",'J Book Items Cons.'!W$5:W$3360,"Unmanned Surface Vehicles",'J Book Items Cons.'!R$5:R$3360,"",'J Book Items Cons.'!N$5:N$3360,""))/H100)</f>
        <v>0</v>
      </c>
      <c r="I96" s="38">
        <f>IF(I100=0,0,(SUMIFS('J Book Items Cons.'!R$5:R$3360,'J Book Items Cons.'!S$5:S$3360,"",'J Book Items Cons.'!E$5:E$3360,4,'J Book Items Cons.'!U$5:U$3360,"USN",'J Book Items Cons.'!W$5:W$3360,"Amphibious Warfare Craft",'J Book Items Cons.'!R$5:R$3360,"&lt;&gt;")+SUMIFS('J Book Items Cons.'!N$5:N$3360,'J Book Items Cons.'!S$5:S$3360,"",'J Book Items Cons.'!E$5:E$3360,4,'J Book Items Cons.'!U$5:U$3360,"USN",'J Book Items Cons.'!W$5:W$3360,"Amphibious Warfare Craft",'J Book Items Cons.'!R$5:R$3360,"",'J Book Items Cons.'!N$5:N$3360,"&lt;&gt;")+SUMIFS('J Book Items Cons.'!L$5:L$3360,'J Book Items Cons.'!S$5:S$3360,"",'J Book Items Cons.'!E$5:E$3360,4,'J Book Items Cons.'!U$5:U$3360,"USN",'J Book Items Cons.'!W$5:W$3360,"Amphibious Warfare Craft",'J Book Items Cons.'!R$5:R$3360,"",'J Book Items Cons.'!N$5:N$3360,"")+SUMIFS('J Book Items Cons.'!R$5:R$3360,'J Book Items Cons.'!S$5:S$3360,"[PARENT]",'J Book Items Cons.'!E$5:E$3360,4,'J Book Items Cons.'!U$5:U$3360,"USN",'J Book Items Cons.'!W$5:W$3360,"Amphibious Warfare Craft",'J Book Items Cons.'!R$5:R$3360,"&lt;&gt;")+SUMIFS('J Book Items Cons.'!N$5:N$3360,'J Book Items Cons.'!S$5:S$3360,"[PARENT]",'J Book Items Cons.'!E$5:E$3360,4,'J Book Items Cons.'!U$5:U$3360,"USN",'J Book Items Cons.'!W$5:W$3360,"Amphibious Warfare Craft",'J Book Items Cons.'!R$5:R$3360,"",'J Book Items Cons.'!N$5:N$3360,"&lt;&gt;")+SUMIFS('J Book Items Cons.'!L$5:L$3360,'J Book Items Cons.'!S$5:S$3360,"[PARENT]",'J Book Items Cons.'!E$5:E$3360,4,'J Book Items Cons.'!U$5:U$3360,"USN",'J Book Items Cons.'!W$5:W$3360,"Amphibious Warfare Craft",'J Book Items Cons.'!R$5:R$3360,"",'J Book Items Cons.'!N$5:N$3360,""))/I100)</f>
        <v>0.3020093332937015</v>
      </c>
      <c r="J96" s="38">
        <f>IF(J100=0,0,(SUMIFS('J Book Items Cons.'!R$5:R$3360,'J Book Items Cons.'!S$5:S$3360,"",'J Book Items Cons.'!E$5:E$3360,4,'J Book Items Cons.'!U$5:U$3360,"MSC",'J Book Items Cons.'!W$5:W$3360,"Cargo &amp; Vehicle Cargo Ships",'J Book Items Cons.'!R$5:R$3360,"&lt;&gt;")+SUMIFS('J Book Items Cons.'!N$5:N$3360,'J Book Items Cons.'!S$5:S$3360,"",'J Book Items Cons.'!E$5:E$3360,4,'J Book Items Cons.'!U$5:U$3360,"MSC",'J Book Items Cons.'!W$5:W$3360,"Cargo &amp; Vehicle Cargo Ships",'J Book Items Cons.'!R$5:R$3360,"",'J Book Items Cons.'!N$5:N$3360,"&lt;&gt;")+SUMIFS('J Book Items Cons.'!L$5:L$3360,'J Book Items Cons.'!S$5:S$3360,"",'J Book Items Cons.'!E$5:E$3360,4,'J Book Items Cons.'!U$5:U$3360,"MSC",'J Book Items Cons.'!W$5:W$3360,"Cargo &amp; Vehicle Cargo Ships",'J Book Items Cons.'!R$5:R$3360,"",'J Book Items Cons.'!N$5:N$3360,"")+SUMIFS('J Book Items Cons.'!R$5:R$3360,'J Book Items Cons.'!S$5:S$3360,"[PARENT]",'J Book Items Cons.'!E$5:E$3360,4,'J Book Items Cons.'!U$5:U$3360,"MSC",'J Book Items Cons.'!W$5:W$3360,"Cargo &amp; Vehicle Cargo Ships",'J Book Items Cons.'!R$5:R$3360,"&lt;&gt;")+SUMIFS('J Book Items Cons.'!N$5:N$3360,'J Book Items Cons.'!S$5:S$3360,"[PARENT]",'J Book Items Cons.'!E$5:E$3360,4,'J Book Items Cons.'!U$5:U$3360,"MSC",'J Book Items Cons.'!W$5:W$3360,"Cargo &amp; Vehicle Cargo Ships",'J Book Items Cons.'!R$5:R$3360,"",'J Book Items Cons.'!N$5:N$3360,"&lt;&gt;")+SUMIFS('J Book Items Cons.'!L$5:L$3360,'J Book Items Cons.'!S$5:S$3360,"[PARENT]",'J Book Items Cons.'!E$5:E$3360,4,'J Book Items Cons.'!U$5:U$3360,"MSC",'J Book Items Cons.'!W$5:W$3360,"Cargo &amp; Vehicle Cargo Ships",'J Book Items Cons.'!R$5:R$3360,"",'J Book Items Cons.'!N$5:N$3360,""))/J100)</f>
        <v>0</v>
      </c>
      <c r="K96" s="38">
        <f>IF(K100=0,0,(SUMIFS('J Book Items Cons.'!R$5:R$3360,'J Book Items Cons.'!S$5:S$3360,"",'J Book Items Cons.'!E$5:E$3360,4,'J Book Items Cons.'!U$5:U$3360,"MSC",'J Book Items Cons.'!W$5:W$3360,"Surveillance Ships",'J Book Items Cons.'!R$5:R$3360,"&lt;&gt;")+SUMIFS('J Book Items Cons.'!N$5:N$3360,'J Book Items Cons.'!S$5:S$3360,"",'J Book Items Cons.'!E$5:E$3360,4,'J Book Items Cons.'!U$5:U$3360,"MSC",'J Book Items Cons.'!W$5:W$3360,"Surveillance Ships",'J Book Items Cons.'!R$5:R$3360,"",'J Book Items Cons.'!N$5:N$3360,"&lt;&gt;")+SUMIFS('J Book Items Cons.'!L$5:L$3360,'J Book Items Cons.'!S$5:S$3360,"",'J Book Items Cons.'!E$5:E$3360,4,'J Book Items Cons.'!U$5:U$3360,"MSC",'J Book Items Cons.'!W$5:W$3360,"Surveillance Ships",'J Book Items Cons.'!R$5:R$3360,"",'J Book Items Cons.'!N$5:N$3360,"")+SUMIFS('J Book Items Cons.'!R$5:R$3360,'J Book Items Cons.'!S$5:S$3360,"[PARENT]",'J Book Items Cons.'!E$5:E$3360,4,'J Book Items Cons.'!U$5:U$3360,"MSC",'J Book Items Cons.'!W$5:W$3360,"Surveillance Ships",'J Book Items Cons.'!R$5:R$3360,"&lt;&gt;")+SUMIFS('J Book Items Cons.'!N$5:N$3360,'J Book Items Cons.'!S$5:S$3360,"[PARENT]",'J Book Items Cons.'!E$5:E$3360,4,'J Book Items Cons.'!U$5:U$3360,"MSC",'J Book Items Cons.'!W$5:W$3360,"Surveillance Ships",'J Book Items Cons.'!R$5:R$3360,"",'J Book Items Cons.'!N$5:N$3360,"&lt;&gt;")+SUMIFS('J Book Items Cons.'!L$5:L$3360,'J Book Items Cons.'!S$5:S$3360,"[PARENT]",'J Book Items Cons.'!E$5:E$3360,4,'J Book Items Cons.'!U$5:U$3360,"MSC",'J Book Items Cons.'!W$5:W$3360,"Surveillance Ships",'J Book Items Cons.'!R$5:R$3360,"",'J Book Items Cons.'!N$5:N$3360,""))/K100)</f>
        <v>1</v>
      </c>
      <c r="L96" s="38">
        <f>IF(L100=0,0,(SUMIFS('J Book Items Cons.'!R$5:R$3360,'J Book Items Cons.'!S$5:S$3360,"",'J Book Items Cons.'!E$5:E$3360,4,'J Book Items Cons.'!U$5:U$3360,"USN",'J Book Items Cons.'!W$5:W$3360,"Unmanned Undersea Vehicles",'J Book Items Cons.'!R$5:R$3360,"&lt;&gt;")+SUMIFS('J Book Items Cons.'!N$5:N$3360,'J Book Items Cons.'!S$5:S$3360,"",'J Book Items Cons.'!E$5:E$3360,4,'J Book Items Cons.'!U$5:U$3360,"USN",'J Book Items Cons.'!W$5:W$3360,"Unmanned Undersea Vehicles",'J Book Items Cons.'!R$5:R$3360,"",'J Book Items Cons.'!N$5:N$3360,"&lt;&gt;")+SUMIFS('J Book Items Cons.'!L$5:L$3360,'J Book Items Cons.'!S$5:S$3360,"",'J Book Items Cons.'!E$5:E$3360,4,'J Book Items Cons.'!U$5:U$3360,"USN",'J Book Items Cons.'!W$5:W$3360,"Unmanned Undersea Vehicles",'J Book Items Cons.'!R$5:R$3360,"",'J Book Items Cons.'!N$5:N$3360,"")+SUMIFS('J Book Items Cons.'!R$5:R$3360,'J Book Items Cons.'!S$5:S$3360,"[PARENT]",'J Book Items Cons.'!E$5:E$3360,4,'J Book Items Cons.'!U$5:U$3360,"USN",'J Book Items Cons.'!W$5:W$3360,"Unmanned Undersea Vehicles",'J Book Items Cons.'!R$5:R$3360,"&lt;&gt;")+SUMIFS('J Book Items Cons.'!N$5:N$3360,'J Book Items Cons.'!S$5:S$3360,"[PARENT]",'J Book Items Cons.'!E$5:E$3360,4,'J Book Items Cons.'!U$5:U$3360,"USN",'J Book Items Cons.'!W$5:W$3360,"Unmanned Undersea Vehicles",'J Book Items Cons.'!R$5:R$3360,"",'J Book Items Cons.'!N$5:N$3360,"&lt;&gt;")+SUMIFS('J Book Items Cons.'!L$5:L$3360,'J Book Items Cons.'!S$5:S$3360,"[PARENT]",'J Book Items Cons.'!E$5:E$3360,4,'J Book Items Cons.'!U$5:U$3360,"USN",'J Book Items Cons.'!W$5:W$3360,"Unmanned Undersea Vehicles",'J Book Items Cons.'!R$5:R$3360,"",'J Book Items Cons.'!N$5:N$3360,""))/L100)</f>
        <v>0</v>
      </c>
      <c r="M96" s="38">
        <f>IF(M100=0,0,(SUMIFS('J Book Items Cons.'!R$5:R$3360,'J Book Items Cons.'!S$5:S$3360,"",'J Book Items Cons.'!E$5:E$3360,4,'J Book Items Cons.'!U$5:U$3360,"USN",'J Book Items Cons.'!W$5:W$3360,"Command Ships",'J Book Items Cons.'!R$5:R$3360,"&lt;&gt;")+SUMIFS('J Book Items Cons.'!N$5:N$3360,'J Book Items Cons.'!S$5:S$3360,"",'J Book Items Cons.'!E$5:E$3360,4,'J Book Items Cons.'!U$5:U$3360,"USN",'J Book Items Cons.'!W$5:W$3360,"Command Ships",'J Book Items Cons.'!R$5:R$3360,"",'J Book Items Cons.'!N$5:N$3360,"&lt;&gt;")+SUMIFS('J Book Items Cons.'!L$5:L$3360,'J Book Items Cons.'!S$5:S$3360,"",'J Book Items Cons.'!E$5:E$3360,4,'J Book Items Cons.'!U$5:U$3360,"USN",'J Book Items Cons.'!W$5:W$3360,"Command Ships",'J Book Items Cons.'!R$5:R$3360,"",'J Book Items Cons.'!N$5:N$3360,"")+SUMIFS('J Book Items Cons.'!R$5:R$3360,'J Book Items Cons.'!S$5:S$3360,"[PARENT]",'J Book Items Cons.'!E$5:E$3360,4,'J Book Items Cons.'!U$5:U$3360,"USN",'J Book Items Cons.'!W$5:W$3360,"Command Ships",'J Book Items Cons.'!R$5:R$3360,"&lt;&gt;")+SUMIFS('J Book Items Cons.'!N$5:N$3360,'J Book Items Cons.'!S$5:S$3360,"[PARENT]",'J Book Items Cons.'!E$5:E$3360,4,'J Book Items Cons.'!U$5:U$3360,"USN",'J Book Items Cons.'!W$5:W$3360,"Command Ships",'J Book Items Cons.'!R$5:R$3360,"",'J Book Items Cons.'!N$5:N$3360,"&lt;&gt;")+SUMIFS('J Book Items Cons.'!L$5:L$3360,'J Book Items Cons.'!S$5:S$3360,"[PARENT]",'J Book Items Cons.'!E$5:E$3360,4,'J Book Items Cons.'!U$5:U$3360,"USN",'J Book Items Cons.'!W$5:W$3360,"Command Ships",'J Book Items Cons.'!R$5:R$3360,"",'J Book Items Cons.'!N$5:N$3360,""))/M100)</f>
        <v>0</v>
      </c>
      <c r="N96" s="39">
        <f>IF(N100=0,0,(SUMIFS('J Book Items Cons.'!R$5:R$3360,'J Book Items Cons.'!S$5:S$3360,"",'J Book Items Cons.'!E$5:E$3360,4,'J Book Items Cons.'!U$5:U$3360,"USN",'J Book Items Cons.'!W$5:W$3360,"Mine Warfare",'J Book Items Cons.'!R$5:R$3360,"&lt;&gt;")+SUMIFS('J Book Items Cons.'!N$5:N$3360,'J Book Items Cons.'!S$5:S$3360,"",'J Book Items Cons.'!E$5:E$3360,4,'J Book Items Cons.'!U$5:U$3360,"USN",'J Book Items Cons.'!W$5:W$3360,"Mine Warfare",'J Book Items Cons.'!R$5:R$3360,"",'J Book Items Cons.'!N$5:N$3360,"&lt;&gt;")+SUMIFS('J Book Items Cons.'!L$5:L$3360,'J Book Items Cons.'!S$5:S$3360,"",'J Book Items Cons.'!E$5:E$3360,4,'J Book Items Cons.'!U$5:U$3360,"USN",'J Book Items Cons.'!W$5:W$3360,"Mine Warfare",'J Book Items Cons.'!R$5:R$3360,"",'J Book Items Cons.'!N$5:N$3360,"")+SUMIFS('J Book Items Cons.'!R$5:R$3360,'J Book Items Cons.'!S$5:S$3360,"[PARENT]",'J Book Items Cons.'!E$5:E$3360,4,'J Book Items Cons.'!U$5:U$3360,"USN",'J Book Items Cons.'!W$5:W$3360,"Mine Warfare",'J Book Items Cons.'!R$5:R$3360,"&lt;&gt;")+SUMIFS('J Book Items Cons.'!N$5:N$3360,'J Book Items Cons.'!S$5:S$3360,"[PARENT]",'J Book Items Cons.'!E$5:E$3360,4,'J Book Items Cons.'!U$5:U$3360,"USN",'J Book Items Cons.'!W$5:W$3360,"Mine Warfare",'J Book Items Cons.'!R$5:R$3360,"",'J Book Items Cons.'!N$5:N$3360,"&lt;&gt;")+SUMIFS('J Book Items Cons.'!L$5:L$3360,'J Book Items Cons.'!S$5:S$3360,"[PARENT]",'J Book Items Cons.'!E$5:E$3360,4,'J Book Items Cons.'!U$5:U$3360,"USN",'J Book Items Cons.'!W$5:W$3360,"Mine Warfare",'J Book Items Cons.'!R$5:R$3360,"",'J Book Items Cons.'!N$5:N$3360,""))/N100)</f>
        <v>0</v>
      </c>
      <c r="O96" s="37">
        <f>IF(O100=0,0,(SUMIFS('J Book Items Cons.'!R$5:R$3360,'J Book Items Cons.'!S$5:S$3360,"",'J Book Items Cons.'!E$5:E$3360,4,'J Book Items Cons.'!U$5:U$3360,"USCG",'J Book Items Cons.'!W$5:W$3360,"Offshore Patrol Cutter",'J Book Items Cons.'!R$5:R$3360,"&lt;&gt;")+SUMIFS('J Book Items Cons.'!N$5:N$3360,'J Book Items Cons.'!S$5:S$3360,"",'J Book Items Cons.'!E$5:E$3360,4,'J Book Items Cons.'!U$5:U$3360,"USCG",'J Book Items Cons.'!W$5:W$3360,"Offshore Patrol Cutter",'J Book Items Cons.'!R$5:R$3360,"",'J Book Items Cons.'!N$5:N$3360,"&lt;&gt;")+SUMIFS('J Book Items Cons.'!L$5:L$3360,'J Book Items Cons.'!S$5:S$3360,"",'J Book Items Cons.'!E$5:E$3360,4,'J Book Items Cons.'!U$5:U$3360,"USCG",'J Book Items Cons.'!W$5:W$3360,"Offshore Patrol Cutter",'J Book Items Cons.'!R$5:R$3360,"",'J Book Items Cons.'!N$5:N$3360,"")+SUMIFS('J Book Items Cons.'!R$5:R$3360,'J Book Items Cons.'!S$5:S$3360,"[PARENT]",'J Book Items Cons.'!E$5:E$3360,4,'J Book Items Cons.'!U$5:U$3360,"USCG",'J Book Items Cons.'!W$5:W$3360,"Offshore Patrol Cutter",'J Book Items Cons.'!R$5:R$3360,"&lt;&gt;")+SUMIFS('J Book Items Cons.'!N$5:N$3360,'J Book Items Cons.'!S$5:S$3360,"[PARENT]",'J Book Items Cons.'!E$5:E$3360,4,'J Book Items Cons.'!U$5:U$3360,"USCG",'J Book Items Cons.'!W$5:W$3360,"Offshore Patrol Cutter",'J Book Items Cons.'!R$5:R$3360,"",'J Book Items Cons.'!N$5:N$3360,"&lt;&gt;")+SUMIFS('J Book Items Cons.'!L$5:L$3360,'J Book Items Cons.'!S$5:S$3360,"[PARENT]",'J Book Items Cons.'!E$5:E$3360,4,'J Book Items Cons.'!U$5:U$3360,"USCG",'J Book Items Cons.'!W$5:W$3360,"Offshore Patrol Cutter",'J Book Items Cons.'!R$5:R$3360,"",'J Book Items Cons.'!N$5:N$3360,""))/O100)</f>
        <v>0</v>
      </c>
      <c r="P96" s="38">
        <f>IF(P100=0,0,(SUMIFS('J Book Items Cons.'!R$5:R$3360,'J Book Items Cons.'!S$5:S$3360,"",'J Book Items Cons.'!E$5:E$3360,4,'J Book Items Cons.'!U$5:U$3360,"USCG",'J Book Items Cons.'!W$5:W$3360,"Fast Response Cutters",'J Book Items Cons.'!R$5:R$3360,"&lt;&gt;")+SUMIFS('J Book Items Cons.'!N$5:N$3360,'J Book Items Cons.'!S$5:S$3360,"",'J Book Items Cons.'!E$5:E$3360,4,'J Book Items Cons.'!U$5:U$3360,"USCG",'J Book Items Cons.'!W$5:W$3360,"Fast Response Cutters",'J Book Items Cons.'!R$5:R$3360,"",'J Book Items Cons.'!N$5:N$3360,"&lt;&gt;")+SUMIFS('J Book Items Cons.'!L$5:L$3360,'J Book Items Cons.'!S$5:S$3360,"",'J Book Items Cons.'!E$5:E$3360,4,'J Book Items Cons.'!U$5:U$3360,"USCG",'J Book Items Cons.'!W$5:W$3360,"Fast Response Cutters",'J Book Items Cons.'!R$5:R$3360,"",'J Book Items Cons.'!N$5:N$3360,"")+SUMIFS('J Book Items Cons.'!R$5:R$3360,'J Book Items Cons.'!S$5:S$3360,"[PARENT]",'J Book Items Cons.'!E$5:E$3360,4,'J Book Items Cons.'!U$5:U$3360,"USCG",'J Book Items Cons.'!W$5:W$3360,"Fast Response Cutters",'J Book Items Cons.'!R$5:R$3360,"&lt;&gt;")+SUMIFS('J Book Items Cons.'!N$5:N$3360,'J Book Items Cons.'!S$5:S$3360,"[PARENT]",'J Book Items Cons.'!E$5:E$3360,4,'J Book Items Cons.'!U$5:U$3360,"USCG",'J Book Items Cons.'!W$5:W$3360,"Fast Response Cutters",'J Book Items Cons.'!R$5:R$3360,"",'J Book Items Cons.'!N$5:N$3360,"&lt;&gt;")+SUMIFS('J Book Items Cons.'!L$5:L$3360,'J Book Items Cons.'!S$5:S$3360,"[PARENT]",'J Book Items Cons.'!E$5:E$3360,4,'J Book Items Cons.'!U$5:U$3360,"USCG",'J Book Items Cons.'!W$5:W$3360,"Fast Response Cutters",'J Book Items Cons.'!R$5:R$3360,"",'J Book Items Cons.'!N$5:N$3360,""))/P100)</f>
        <v>0</v>
      </c>
      <c r="Q96" s="38">
        <f>IF(Q100=0,0,(SUMIFS('J Book Items Cons.'!R$5:R$3360,'J Book Items Cons.'!S$5:S$3360,"",'J Book Items Cons.'!E$5:E$3360,4,'J Book Items Cons.'!U$5:U$3360,"USCG",'J Book Items Cons.'!W$5:W$3360,"Icebreakers, Oceangoing",'J Book Items Cons.'!R$5:R$3360,"&lt;&gt;")+SUMIFS('J Book Items Cons.'!N$5:N$3360,'J Book Items Cons.'!S$5:S$3360,"",'J Book Items Cons.'!E$5:E$3360,4,'J Book Items Cons.'!U$5:U$3360,"USCG",'J Book Items Cons.'!W$5:W$3360,"Icebreakers, Oceangoing",'J Book Items Cons.'!R$5:R$3360,"",'J Book Items Cons.'!N$5:N$3360,"&lt;&gt;")+SUMIFS('J Book Items Cons.'!L$5:L$3360,'J Book Items Cons.'!S$5:S$3360,"",'J Book Items Cons.'!E$5:E$3360,4,'J Book Items Cons.'!U$5:U$3360,"USCG",'J Book Items Cons.'!W$5:W$3360,"Icebreakers, Oceangoing",'J Book Items Cons.'!R$5:R$3360,"",'J Book Items Cons.'!N$5:N$3360,"")+SUMIFS('J Book Items Cons.'!R$5:R$3360,'J Book Items Cons.'!S$5:S$3360,"[PARENT]",'J Book Items Cons.'!E$5:E$3360,4,'J Book Items Cons.'!U$5:U$3360,"USCG",'J Book Items Cons.'!W$5:W$3360,"Icebreakers, Oceangoing",'J Book Items Cons.'!R$5:R$3360,"&lt;&gt;")+SUMIFS('J Book Items Cons.'!N$5:N$3360,'J Book Items Cons.'!S$5:S$3360,"[PARENT]",'J Book Items Cons.'!E$5:E$3360,4,'J Book Items Cons.'!U$5:U$3360,"USCG",'J Book Items Cons.'!W$5:W$3360,"Icebreakers, Oceangoing",'J Book Items Cons.'!R$5:R$3360,"",'J Book Items Cons.'!N$5:N$3360,"&lt;&gt;")+SUMIFS('J Book Items Cons.'!L$5:L$3360,'J Book Items Cons.'!S$5:S$3360,"[PARENT]",'J Book Items Cons.'!E$5:E$3360,4,'J Book Items Cons.'!U$5:U$3360,"USCG",'J Book Items Cons.'!W$5:W$3360,"Icebreakers, Oceangoing",'J Book Items Cons.'!R$5:R$3360,"",'J Book Items Cons.'!N$5:N$3360,""))/Q100)</f>
        <v>0</v>
      </c>
      <c r="R96" s="38">
        <f>IF(R100=0,0,(SUMIFS('J Book Items Cons.'!R$5:R$3360,'J Book Items Cons.'!S$5:S$3360,"",'J Book Items Cons.'!E$5:E$3360,4,'J Book Items Cons.'!U$5:U$3360,"USCG",'J Book Items Cons.'!W$5:W$3360,"Waterways Commerce Cutters",'J Book Items Cons.'!R$5:R$3360,"&lt;&gt;")+SUMIFS('J Book Items Cons.'!N$5:N$3360,'J Book Items Cons.'!S$5:S$3360,"",'J Book Items Cons.'!E$5:E$3360,4,'J Book Items Cons.'!U$5:U$3360,"USCG",'J Book Items Cons.'!W$5:W$3360,"Waterways Commerce Cutters",'J Book Items Cons.'!R$5:R$3360,"",'J Book Items Cons.'!N$5:N$3360,"&lt;&gt;")+SUMIFS('J Book Items Cons.'!L$5:L$3360,'J Book Items Cons.'!S$5:S$3360,"",'J Book Items Cons.'!E$5:E$3360,4,'J Book Items Cons.'!U$5:U$3360,"USCG",'J Book Items Cons.'!W$5:W$3360,"Waterways Commerce Cutters",'J Book Items Cons.'!R$5:R$3360,"",'J Book Items Cons.'!N$5:N$3360,"")+SUMIFS('J Book Items Cons.'!R$5:R$3360,'J Book Items Cons.'!S$5:S$3360,"[PARENT]",'J Book Items Cons.'!E$5:E$3360,4,'J Book Items Cons.'!U$5:U$3360,"USCG",'J Book Items Cons.'!W$5:W$3360,"Waterways Commerce Cutters",'J Book Items Cons.'!R$5:R$3360,"&lt;&gt;")+SUMIFS('J Book Items Cons.'!N$5:N$3360,'J Book Items Cons.'!S$5:S$3360,"[PARENT]",'J Book Items Cons.'!E$5:E$3360,4,'J Book Items Cons.'!U$5:U$3360,"USCG",'J Book Items Cons.'!W$5:W$3360,"Waterways Commerce Cutters",'J Book Items Cons.'!R$5:R$3360,"",'J Book Items Cons.'!N$5:N$3360,"&lt;&gt;")+SUMIFS('J Book Items Cons.'!L$5:L$3360,'J Book Items Cons.'!S$5:S$3360,"[PARENT]",'J Book Items Cons.'!E$5:E$3360,4,'J Book Items Cons.'!U$5:U$3360,"USCG",'J Book Items Cons.'!W$5:W$3360,"Waterways Commerce Cutters",'J Book Items Cons.'!R$5:R$3360,"",'J Book Items Cons.'!N$5:N$3360,""))/R100)</f>
        <v>0</v>
      </c>
      <c r="S96" s="39">
        <f>IF(S100=0,0,(SUMIFS('J Book Items Cons.'!R$5:R$3360,'J Book Items Cons.'!S$5:S$3360,"",'J Book Items Cons.'!E$5:E$3360,4,'J Book Items Cons.'!U$5:U$3360,"USCG",'J Book Items Cons.'!W$5:W$3360,"National Security Cutters",'J Book Items Cons.'!R$5:R$3360,"&lt;&gt;")+SUMIFS('J Book Items Cons.'!N$5:N$3360,'J Book Items Cons.'!S$5:S$3360,"",'J Book Items Cons.'!E$5:E$3360,4,'J Book Items Cons.'!U$5:U$3360,"USCG",'J Book Items Cons.'!W$5:W$3360,"National Security Cutters",'J Book Items Cons.'!R$5:R$3360,"",'J Book Items Cons.'!N$5:N$3360,"&lt;&gt;")+SUMIFS('J Book Items Cons.'!L$5:L$3360,'J Book Items Cons.'!S$5:S$3360,"",'J Book Items Cons.'!E$5:E$3360,4,'J Book Items Cons.'!U$5:U$3360,"USCG",'J Book Items Cons.'!W$5:W$3360,"National Security Cutters",'J Book Items Cons.'!R$5:R$3360,"",'J Book Items Cons.'!N$5:N$3360,"")+SUMIFS('J Book Items Cons.'!R$5:R$3360,'J Book Items Cons.'!S$5:S$3360,"[PARENT]",'J Book Items Cons.'!E$5:E$3360,4,'J Book Items Cons.'!U$5:U$3360,"USCG",'J Book Items Cons.'!W$5:W$3360,"National Security Cutters",'J Book Items Cons.'!R$5:R$3360,"&lt;&gt;")+SUMIFS('J Book Items Cons.'!N$5:N$3360,'J Book Items Cons.'!S$5:S$3360,"[PARENT]",'J Book Items Cons.'!E$5:E$3360,4,'J Book Items Cons.'!U$5:U$3360,"USCG",'J Book Items Cons.'!W$5:W$3360,"National Security Cutters",'J Book Items Cons.'!R$5:R$3360,"",'J Book Items Cons.'!N$5:N$3360,"&lt;&gt;")+SUMIFS('J Book Items Cons.'!L$5:L$3360,'J Book Items Cons.'!S$5:S$3360,"[PARENT]",'J Book Items Cons.'!E$5:E$3360,4,'J Book Items Cons.'!U$5:U$3360,"USCG",'J Book Items Cons.'!W$5:W$3360,"National Security Cutters",'J Book Items Cons.'!R$5:R$3360,"",'J Book Items Cons.'!N$5:N$3360,""))/S100)</f>
        <v>1</v>
      </c>
      <c r="T96" s="38">
        <f>IF(T100=0,0,SUMPRODUCT(B96:S96,B$100:S$100)/T$100)</f>
        <v>0.44005522442842532</v>
      </c>
    </row>
    <row r="97" spans="1:20" x14ac:dyDescent="0.15">
      <c r="A97" s="7" t="s">
        <v>8853</v>
      </c>
      <c r="B97" s="37">
        <f>IF(B100=0,0,(SUMIFS('J Book Items Cons.'!R$5:R$3360,'J Book Items Cons.'!S$5:S$3360,"",'J Book Items Cons.'!E$5:E$3360,5,'J Book Items Cons.'!U$5:U$3360,"USN",'J Book Items Cons.'!W$5:W$3360,"Submarines",'J Book Items Cons.'!R$5:R$3360,"&lt;&gt;")+SUMIFS('J Book Items Cons.'!N$5:N$3360,'J Book Items Cons.'!S$5:S$3360,"",'J Book Items Cons.'!E$5:E$3360,5,'J Book Items Cons.'!U$5:U$3360,"USN",'J Book Items Cons.'!W$5:W$3360,"Submarines",'J Book Items Cons.'!R$5:R$3360,"",'J Book Items Cons.'!N$5:N$3360,"&lt;&gt;")+SUMIFS('J Book Items Cons.'!L$5:L$3360,'J Book Items Cons.'!S$5:S$3360,"",'J Book Items Cons.'!E$5:E$3360,5,'J Book Items Cons.'!U$5:U$3360,"USN",'J Book Items Cons.'!W$5:W$3360,"Submarines",'J Book Items Cons.'!R$5:R$3360,"",'J Book Items Cons.'!N$5:N$3360,"")+SUMIFS('J Book Items Cons.'!R$5:R$3360,'J Book Items Cons.'!S$5:S$3360,"[PARENT]",'J Book Items Cons.'!E$5:E$3360,5,'J Book Items Cons.'!U$5:U$3360,"USN",'J Book Items Cons.'!W$5:W$3360,"Submarines",'J Book Items Cons.'!R$5:R$3360,"&lt;&gt;")+SUMIFS('J Book Items Cons.'!N$5:N$3360,'J Book Items Cons.'!S$5:S$3360,"[PARENT]",'J Book Items Cons.'!E$5:E$3360,5,'J Book Items Cons.'!U$5:U$3360,"USN",'J Book Items Cons.'!W$5:W$3360,"Submarines",'J Book Items Cons.'!R$5:R$3360,"",'J Book Items Cons.'!N$5:N$3360,"&lt;&gt;")+SUMIFS('J Book Items Cons.'!L$5:L$3360,'J Book Items Cons.'!S$5:S$3360,"[PARENT]",'J Book Items Cons.'!E$5:E$3360,5,'J Book Items Cons.'!U$5:U$3360,"USN",'J Book Items Cons.'!W$5:W$3360,"Submarines",'J Book Items Cons.'!R$5:R$3360,"",'J Book Items Cons.'!N$5:N$3360,""))/B100)</f>
        <v>0</v>
      </c>
      <c r="C97" s="38">
        <f>IF(C100=0,0,(SUMIFS('J Book Items Cons.'!R$5:R$3360,'J Book Items Cons.'!S$5:S$3360,"",'J Book Items Cons.'!E$5:E$3360,5,'J Book Items Cons.'!U$5:U$3360,"USN",'J Book Items Cons.'!W$5:W$3360,"Surface Combatants",'J Book Items Cons.'!R$5:R$3360,"&lt;&gt;")+SUMIFS('J Book Items Cons.'!N$5:N$3360,'J Book Items Cons.'!S$5:S$3360,"",'J Book Items Cons.'!E$5:E$3360,5,'J Book Items Cons.'!U$5:U$3360,"USN",'J Book Items Cons.'!W$5:W$3360,"Surface Combatants",'J Book Items Cons.'!R$5:R$3360,"",'J Book Items Cons.'!N$5:N$3360,"&lt;&gt;")+SUMIFS('J Book Items Cons.'!L$5:L$3360,'J Book Items Cons.'!S$5:S$3360,"",'J Book Items Cons.'!E$5:E$3360,5,'J Book Items Cons.'!U$5:U$3360,"USN",'J Book Items Cons.'!W$5:W$3360,"Surface Combatants",'J Book Items Cons.'!R$5:R$3360,"",'J Book Items Cons.'!N$5:N$3360,"")+SUMIFS('J Book Items Cons.'!R$5:R$3360,'J Book Items Cons.'!S$5:S$3360,"[PARENT]",'J Book Items Cons.'!E$5:E$3360,5,'J Book Items Cons.'!U$5:U$3360,"USN",'J Book Items Cons.'!W$5:W$3360,"Surface Combatants",'J Book Items Cons.'!R$5:R$3360,"&lt;&gt;")+SUMIFS('J Book Items Cons.'!N$5:N$3360,'J Book Items Cons.'!S$5:S$3360,"[PARENT]",'J Book Items Cons.'!E$5:E$3360,5,'J Book Items Cons.'!U$5:U$3360,"USN",'J Book Items Cons.'!W$5:W$3360,"Surface Combatants",'J Book Items Cons.'!R$5:R$3360,"",'J Book Items Cons.'!N$5:N$3360,"&lt;&gt;")+SUMIFS('J Book Items Cons.'!L$5:L$3360,'J Book Items Cons.'!S$5:S$3360,"[PARENT]",'J Book Items Cons.'!E$5:E$3360,5,'J Book Items Cons.'!U$5:U$3360,"USN",'J Book Items Cons.'!W$5:W$3360,"Surface Combatants",'J Book Items Cons.'!R$5:R$3360,"",'J Book Items Cons.'!N$5:N$3360,""))/C100)</f>
        <v>0</v>
      </c>
      <c r="D97" s="38">
        <f>IF(D100=0,0,(SUMIFS('J Book Items Cons.'!R$5:R$3360,'J Book Items Cons.'!S$5:S$3360,"",'J Book Items Cons.'!E$5:E$3360,5,'J Book Items Cons.'!U$5:U$3360,"USN",'J Book Items Cons.'!W$5:W$3360,"Aircraft Carriers",'J Book Items Cons.'!R$5:R$3360,"&lt;&gt;")+SUMIFS('J Book Items Cons.'!N$5:N$3360,'J Book Items Cons.'!S$5:S$3360,"",'J Book Items Cons.'!E$5:E$3360,5,'J Book Items Cons.'!U$5:U$3360,"USN",'J Book Items Cons.'!W$5:W$3360,"Aircraft Carriers",'J Book Items Cons.'!R$5:R$3360,"",'J Book Items Cons.'!N$5:N$3360,"&lt;&gt;")+SUMIFS('J Book Items Cons.'!L$5:L$3360,'J Book Items Cons.'!S$5:S$3360,"",'J Book Items Cons.'!E$5:E$3360,5,'J Book Items Cons.'!U$5:U$3360,"USN",'J Book Items Cons.'!W$5:W$3360,"Aircraft Carriers",'J Book Items Cons.'!R$5:R$3360,"",'J Book Items Cons.'!N$5:N$3360,"")+SUMIFS('J Book Items Cons.'!R$5:R$3360,'J Book Items Cons.'!S$5:S$3360,"[PARENT]",'J Book Items Cons.'!E$5:E$3360,5,'J Book Items Cons.'!U$5:U$3360,"USN",'J Book Items Cons.'!W$5:W$3360,"Aircraft Carriers",'J Book Items Cons.'!R$5:R$3360,"&lt;&gt;")+SUMIFS('J Book Items Cons.'!N$5:N$3360,'J Book Items Cons.'!S$5:S$3360,"[PARENT]",'J Book Items Cons.'!E$5:E$3360,5,'J Book Items Cons.'!U$5:U$3360,"USN",'J Book Items Cons.'!W$5:W$3360,"Aircraft Carriers",'J Book Items Cons.'!R$5:R$3360,"",'J Book Items Cons.'!N$5:N$3360,"&lt;&gt;")+SUMIFS('J Book Items Cons.'!L$5:L$3360,'J Book Items Cons.'!S$5:S$3360,"[PARENT]",'J Book Items Cons.'!E$5:E$3360,5,'J Book Items Cons.'!U$5:U$3360,"USN",'J Book Items Cons.'!W$5:W$3360,"Aircraft Carriers",'J Book Items Cons.'!R$5:R$3360,"",'J Book Items Cons.'!N$5:N$3360,""))/D100)</f>
        <v>0.30580299258776666</v>
      </c>
      <c r="E97" s="38">
        <f>IF(E100=0,0,(SUMIFS('J Book Items Cons.'!R$5:R$3360,'J Book Items Cons.'!S$5:S$3360,"",'J Book Items Cons.'!E$5:E$3360,5,'J Book Items Cons.'!U$5:U$3360,"USN",'J Book Items Cons.'!W$5:W$3360,"Amphibious Warfare Ships",'J Book Items Cons.'!R$5:R$3360,"&lt;&gt;")+SUMIFS('J Book Items Cons.'!N$5:N$3360,'J Book Items Cons.'!S$5:S$3360,"",'J Book Items Cons.'!E$5:E$3360,5,'J Book Items Cons.'!U$5:U$3360,"USN",'J Book Items Cons.'!W$5:W$3360,"Amphibious Warfare Ships",'J Book Items Cons.'!R$5:R$3360,"",'J Book Items Cons.'!N$5:N$3360,"&lt;&gt;")+SUMIFS('J Book Items Cons.'!L$5:L$3360,'J Book Items Cons.'!S$5:S$3360,"",'J Book Items Cons.'!E$5:E$3360,5,'J Book Items Cons.'!U$5:U$3360,"USN",'J Book Items Cons.'!W$5:W$3360,"Amphibious Warfare Ships",'J Book Items Cons.'!R$5:R$3360,"",'J Book Items Cons.'!N$5:N$3360,"")+SUMIFS('J Book Items Cons.'!R$5:R$3360,'J Book Items Cons.'!S$5:S$3360,"[PARENT]",'J Book Items Cons.'!E$5:E$3360,5,'J Book Items Cons.'!U$5:U$3360,"USN",'J Book Items Cons.'!W$5:W$3360,"Amphibious Warfare Ships",'J Book Items Cons.'!R$5:R$3360,"&lt;&gt;")+SUMIFS('J Book Items Cons.'!N$5:N$3360,'J Book Items Cons.'!S$5:S$3360,"[PARENT]",'J Book Items Cons.'!E$5:E$3360,5,'J Book Items Cons.'!U$5:U$3360,"USN",'J Book Items Cons.'!W$5:W$3360,"Amphibious Warfare Ships",'J Book Items Cons.'!R$5:R$3360,"",'J Book Items Cons.'!N$5:N$3360,"&lt;&gt;")+SUMIFS('J Book Items Cons.'!L$5:L$3360,'J Book Items Cons.'!S$5:S$3360,"[PARENT]",'J Book Items Cons.'!E$5:E$3360,5,'J Book Items Cons.'!U$5:U$3360,"USN",'J Book Items Cons.'!W$5:W$3360,"Amphibious Warfare Ships",'J Book Items Cons.'!R$5:R$3360,"",'J Book Items Cons.'!N$5:N$3360,""))/E100)</f>
        <v>0</v>
      </c>
      <c r="F97" s="38">
        <f>IF(F100=0,0,(SUMIFS('J Book Items Cons.'!R$5:R$3360,'J Book Items Cons.'!S$5:S$3360,"",'J Book Items Cons.'!E$5:E$3360,5,'J Book Items Cons.'!U$5:U$3360,"USN",'J Book Items Cons.'!W$5:W$3360,"Expeditionary &amp; Seabasing Ships",'J Book Items Cons.'!R$5:R$3360,"&lt;&gt;")+SUMIFS('J Book Items Cons.'!N$5:N$3360,'J Book Items Cons.'!S$5:S$3360,"",'J Book Items Cons.'!E$5:E$3360,5,'J Book Items Cons.'!U$5:U$3360,"USN",'J Book Items Cons.'!W$5:W$3360,"Expeditionary &amp; Seabasing Ships",'J Book Items Cons.'!R$5:R$3360,"",'J Book Items Cons.'!N$5:N$3360,"&lt;&gt;")+SUMIFS('J Book Items Cons.'!L$5:L$3360,'J Book Items Cons.'!S$5:S$3360,"",'J Book Items Cons.'!E$5:E$3360,5,'J Book Items Cons.'!U$5:U$3360,"USN",'J Book Items Cons.'!W$5:W$3360,"Expeditionary &amp; Seabasing Ships",'J Book Items Cons.'!R$5:R$3360,"",'J Book Items Cons.'!N$5:N$3360,"")+SUMIFS('J Book Items Cons.'!R$5:R$3360,'J Book Items Cons.'!S$5:S$3360,"[PARENT]",'J Book Items Cons.'!E$5:E$3360,5,'J Book Items Cons.'!U$5:U$3360,"USN",'J Book Items Cons.'!W$5:W$3360,"Expeditionary &amp; Seabasing Ships",'J Book Items Cons.'!R$5:R$3360,"&lt;&gt;")+SUMIFS('J Book Items Cons.'!N$5:N$3360,'J Book Items Cons.'!S$5:S$3360,"[PARENT]",'J Book Items Cons.'!E$5:E$3360,5,'J Book Items Cons.'!U$5:U$3360,"USN",'J Book Items Cons.'!W$5:W$3360,"Expeditionary &amp; Seabasing Ships",'J Book Items Cons.'!R$5:R$3360,"",'J Book Items Cons.'!N$5:N$3360,"&lt;&gt;")+SUMIFS('J Book Items Cons.'!L$5:L$3360,'J Book Items Cons.'!S$5:S$3360,"[PARENT]",'J Book Items Cons.'!E$5:E$3360,5,'J Book Items Cons.'!U$5:U$3360,"USN",'J Book Items Cons.'!W$5:W$3360,"Expeditionary &amp; Seabasing Ships",'J Book Items Cons.'!R$5:R$3360,"",'J Book Items Cons.'!N$5:N$3360,""))/F100)</f>
        <v>0</v>
      </c>
      <c r="G97" s="38">
        <f>IF(G100=0,0,(SUMIFS('J Book Items Cons.'!R$5:R$3360,'J Book Items Cons.'!S$5:S$3360,"",'J Book Items Cons.'!E$5:E$3360,5,'J Book Items Cons.'!U$5:U$3360,"MSC",'J Book Items Cons.'!W$5:W$3360,"Combat Logistics Ships",'J Book Items Cons.'!R$5:R$3360,"&lt;&gt;")+SUMIFS('J Book Items Cons.'!N$5:N$3360,'J Book Items Cons.'!S$5:S$3360,"",'J Book Items Cons.'!E$5:E$3360,5,'J Book Items Cons.'!U$5:U$3360,"MSC",'J Book Items Cons.'!W$5:W$3360,"Combat Logistics Ships",'J Book Items Cons.'!R$5:R$3360,"",'J Book Items Cons.'!N$5:N$3360,"&lt;&gt;")+SUMIFS('J Book Items Cons.'!L$5:L$3360,'J Book Items Cons.'!S$5:S$3360,"",'J Book Items Cons.'!E$5:E$3360,5,'J Book Items Cons.'!U$5:U$3360,"MSC",'J Book Items Cons.'!W$5:W$3360,"Combat Logistics Ships",'J Book Items Cons.'!R$5:R$3360,"",'J Book Items Cons.'!N$5:N$3360,"")+SUMIFS('J Book Items Cons.'!R$5:R$3360,'J Book Items Cons.'!S$5:S$3360,"[PARENT]",'J Book Items Cons.'!E$5:E$3360,5,'J Book Items Cons.'!U$5:U$3360,"MSC",'J Book Items Cons.'!W$5:W$3360,"Combat Logistics Ships",'J Book Items Cons.'!R$5:R$3360,"&lt;&gt;")+SUMIFS('J Book Items Cons.'!N$5:N$3360,'J Book Items Cons.'!S$5:S$3360,"[PARENT]",'J Book Items Cons.'!E$5:E$3360,5,'J Book Items Cons.'!U$5:U$3360,"MSC",'J Book Items Cons.'!W$5:W$3360,"Combat Logistics Ships",'J Book Items Cons.'!R$5:R$3360,"",'J Book Items Cons.'!N$5:N$3360,"&lt;&gt;")+SUMIFS('J Book Items Cons.'!L$5:L$3360,'J Book Items Cons.'!S$5:S$3360,"[PARENT]",'J Book Items Cons.'!E$5:E$3360,5,'J Book Items Cons.'!U$5:U$3360,"MSC",'J Book Items Cons.'!W$5:W$3360,"Combat Logistics Ships",'J Book Items Cons.'!R$5:R$3360,"",'J Book Items Cons.'!N$5:N$3360,""))/G100)</f>
        <v>0</v>
      </c>
      <c r="H97" s="38">
        <f>IF(H100=0,0,(SUMIFS('J Book Items Cons.'!R$5:R$3360,'J Book Items Cons.'!S$5:S$3360,"",'J Book Items Cons.'!E$5:E$3360,5,'J Book Items Cons.'!U$5:U$3360,"USN",'J Book Items Cons.'!W$5:W$3360,"Unmanned Surface Vehicles",'J Book Items Cons.'!R$5:R$3360,"&lt;&gt;")+SUMIFS('J Book Items Cons.'!N$5:N$3360,'J Book Items Cons.'!S$5:S$3360,"",'J Book Items Cons.'!E$5:E$3360,5,'J Book Items Cons.'!U$5:U$3360,"USN",'J Book Items Cons.'!W$5:W$3360,"Unmanned Surface Vehicles",'J Book Items Cons.'!R$5:R$3360,"",'J Book Items Cons.'!N$5:N$3360,"&lt;&gt;")+SUMIFS('J Book Items Cons.'!L$5:L$3360,'J Book Items Cons.'!S$5:S$3360,"",'J Book Items Cons.'!E$5:E$3360,5,'J Book Items Cons.'!U$5:U$3360,"USN",'J Book Items Cons.'!W$5:W$3360,"Unmanned Surface Vehicles",'J Book Items Cons.'!R$5:R$3360,"",'J Book Items Cons.'!N$5:N$3360,"")+SUMIFS('J Book Items Cons.'!R$5:R$3360,'J Book Items Cons.'!S$5:S$3360,"[PARENT]",'J Book Items Cons.'!E$5:E$3360,5,'J Book Items Cons.'!U$5:U$3360,"USN",'J Book Items Cons.'!W$5:W$3360,"Unmanned Surface Vehicles",'J Book Items Cons.'!R$5:R$3360,"&lt;&gt;")+SUMIFS('J Book Items Cons.'!N$5:N$3360,'J Book Items Cons.'!S$5:S$3360,"[PARENT]",'J Book Items Cons.'!E$5:E$3360,5,'J Book Items Cons.'!U$5:U$3360,"USN",'J Book Items Cons.'!W$5:W$3360,"Unmanned Surface Vehicles",'J Book Items Cons.'!R$5:R$3360,"",'J Book Items Cons.'!N$5:N$3360,"&lt;&gt;")+SUMIFS('J Book Items Cons.'!L$5:L$3360,'J Book Items Cons.'!S$5:S$3360,"[PARENT]",'J Book Items Cons.'!E$5:E$3360,5,'J Book Items Cons.'!U$5:U$3360,"USN",'J Book Items Cons.'!W$5:W$3360,"Unmanned Surface Vehicles",'J Book Items Cons.'!R$5:R$3360,"",'J Book Items Cons.'!N$5:N$3360,""))/H100)</f>
        <v>0</v>
      </c>
      <c r="I97" s="38">
        <f>IF(I100=0,0,(SUMIFS('J Book Items Cons.'!R$5:R$3360,'J Book Items Cons.'!S$5:S$3360,"",'J Book Items Cons.'!E$5:E$3360,5,'J Book Items Cons.'!U$5:U$3360,"USN",'J Book Items Cons.'!W$5:W$3360,"Amphibious Warfare Craft",'J Book Items Cons.'!R$5:R$3360,"&lt;&gt;")+SUMIFS('J Book Items Cons.'!N$5:N$3360,'J Book Items Cons.'!S$5:S$3360,"",'J Book Items Cons.'!E$5:E$3360,5,'J Book Items Cons.'!U$5:U$3360,"USN",'J Book Items Cons.'!W$5:W$3360,"Amphibious Warfare Craft",'J Book Items Cons.'!R$5:R$3360,"",'J Book Items Cons.'!N$5:N$3360,"&lt;&gt;")+SUMIFS('J Book Items Cons.'!L$5:L$3360,'J Book Items Cons.'!S$5:S$3360,"",'J Book Items Cons.'!E$5:E$3360,5,'J Book Items Cons.'!U$5:U$3360,"USN",'J Book Items Cons.'!W$5:W$3360,"Amphibious Warfare Craft",'J Book Items Cons.'!R$5:R$3360,"",'J Book Items Cons.'!N$5:N$3360,"")+SUMIFS('J Book Items Cons.'!R$5:R$3360,'J Book Items Cons.'!S$5:S$3360,"[PARENT]",'J Book Items Cons.'!E$5:E$3360,5,'J Book Items Cons.'!U$5:U$3360,"USN",'J Book Items Cons.'!W$5:W$3360,"Amphibious Warfare Craft",'J Book Items Cons.'!R$5:R$3360,"&lt;&gt;")+SUMIFS('J Book Items Cons.'!N$5:N$3360,'J Book Items Cons.'!S$5:S$3360,"[PARENT]",'J Book Items Cons.'!E$5:E$3360,5,'J Book Items Cons.'!U$5:U$3360,"USN",'J Book Items Cons.'!W$5:W$3360,"Amphibious Warfare Craft",'J Book Items Cons.'!R$5:R$3360,"",'J Book Items Cons.'!N$5:N$3360,"&lt;&gt;")+SUMIFS('J Book Items Cons.'!L$5:L$3360,'J Book Items Cons.'!S$5:S$3360,"[PARENT]",'J Book Items Cons.'!E$5:E$3360,5,'J Book Items Cons.'!U$5:U$3360,"USN",'J Book Items Cons.'!W$5:W$3360,"Amphibious Warfare Craft",'J Book Items Cons.'!R$5:R$3360,"",'J Book Items Cons.'!N$5:N$3360,""))/I100)</f>
        <v>0.55568766162351757</v>
      </c>
      <c r="J97" s="38">
        <f>IF(J100=0,0,(SUMIFS('J Book Items Cons.'!R$5:R$3360,'J Book Items Cons.'!S$5:S$3360,"",'J Book Items Cons.'!E$5:E$3360,5,'J Book Items Cons.'!U$5:U$3360,"MSC",'J Book Items Cons.'!W$5:W$3360,"Cargo &amp; Vehicle Cargo Ships",'J Book Items Cons.'!R$5:R$3360,"&lt;&gt;")+SUMIFS('J Book Items Cons.'!N$5:N$3360,'J Book Items Cons.'!S$5:S$3360,"",'J Book Items Cons.'!E$5:E$3360,5,'J Book Items Cons.'!U$5:U$3360,"MSC",'J Book Items Cons.'!W$5:W$3360,"Cargo &amp; Vehicle Cargo Ships",'J Book Items Cons.'!R$5:R$3360,"",'J Book Items Cons.'!N$5:N$3360,"&lt;&gt;")+SUMIFS('J Book Items Cons.'!L$5:L$3360,'J Book Items Cons.'!S$5:S$3360,"",'J Book Items Cons.'!E$5:E$3360,5,'J Book Items Cons.'!U$5:U$3360,"MSC",'J Book Items Cons.'!W$5:W$3360,"Cargo &amp; Vehicle Cargo Ships",'J Book Items Cons.'!R$5:R$3360,"",'J Book Items Cons.'!N$5:N$3360,"")+SUMIFS('J Book Items Cons.'!R$5:R$3360,'J Book Items Cons.'!S$5:S$3360,"[PARENT]",'J Book Items Cons.'!E$5:E$3360,5,'J Book Items Cons.'!U$5:U$3360,"MSC",'J Book Items Cons.'!W$5:W$3360,"Cargo &amp; Vehicle Cargo Ships",'J Book Items Cons.'!R$5:R$3360,"&lt;&gt;")+SUMIFS('J Book Items Cons.'!N$5:N$3360,'J Book Items Cons.'!S$5:S$3360,"[PARENT]",'J Book Items Cons.'!E$5:E$3360,5,'J Book Items Cons.'!U$5:U$3360,"MSC",'J Book Items Cons.'!W$5:W$3360,"Cargo &amp; Vehicle Cargo Ships",'J Book Items Cons.'!R$5:R$3360,"",'J Book Items Cons.'!N$5:N$3360,"&lt;&gt;")+SUMIFS('J Book Items Cons.'!L$5:L$3360,'J Book Items Cons.'!S$5:S$3360,"[PARENT]",'J Book Items Cons.'!E$5:E$3360,5,'J Book Items Cons.'!U$5:U$3360,"MSC",'J Book Items Cons.'!W$5:W$3360,"Cargo &amp; Vehicle Cargo Ships",'J Book Items Cons.'!R$5:R$3360,"",'J Book Items Cons.'!N$5:N$3360,""))/J100)</f>
        <v>0</v>
      </c>
      <c r="K97" s="38">
        <f>IF(K100=0,0,(SUMIFS('J Book Items Cons.'!R$5:R$3360,'J Book Items Cons.'!S$5:S$3360,"",'J Book Items Cons.'!E$5:E$3360,5,'J Book Items Cons.'!U$5:U$3360,"MSC",'J Book Items Cons.'!W$5:W$3360,"Surveillance Ships",'J Book Items Cons.'!R$5:R$3360,"&lt;&gt;")+SUMIFS('J Book Items Cons.'!N$5:N$3360,'J Book Items Cons.'!S$5:S$3360,"",'J Book Items Cons.'!E$5:E$3360,5,'J Book Items Cons.'!U$5:U$3360,"MSC",'J Book Items Cons.'!W$5:W$3360,"Surveillance Ships",'J Book Items Cons.'!R$5:R$3360,"",'J Book Items Cons.'!N$5:N$3360,"&lt;&gt;")+SUMIFS('J Book Items Cons.'!L$5:L$3360,'J Book Items Cons.'!S$5:S$3360,"",'J Book Items Cons.'!E$5:E$3360,5,'J Book Items Cons.'!U$5:U$3360,"MSC",'J Book Items Cons.'!W$5:W$3360,"Surveillance Ships",'J Book Items Cons.'!R$5:R$3360,"",'J Book Items Cons.'!N$5:N$3360,"")+SUMIFS('J Book Items Cons.'!R$5:R$3360,'J Book Items Cons.'!S$5:S$3360,"[PARENT]",'J Book Items Cons.'!E$5:E$3360,5,'J Book Items Cons.'!U$5:U$3360,"MSC",'J Book Items Cons.'!W$5:W$3360,"Surveillance Ships",'J Book Items Cons.'!R$5:R$3360,"&lt;&gt;")+SUMIFS('J Book Items Cons.'!N$5:N$3360,'J Book Items Cons.'!S$5:S$3360,"[PARENT]",'J Book Items Cons.'!E$5:E$3360,5,'J Book Items Cons.'!U$5:U$3360,"MSC",'J Book Items Cons.'!W$5:W$3360,"Surveillance Ships",'J Book Items Cons.'!R$5:R$3360,"",'J Book Items Cons.'!N$5:N$3360,"&lt;&gt;")+SUMIFS('J Book Items Cons.'!L$5:L$3360,'J Book Items Cons.'!S$5:S$3360,"[PARENT]",'J Book Items Cons.'!E$5:E$3360,5,'J Book Items Cons.'!U$5:U$3360,"MSC",'J Book Items Cons.'!W$5:W$3360,"Surveillance Ships",'J Book Items Cons.'!R$5:R$3360,"",'J Book Items Cons.'!N$5:N$3360,""))/K100)</f>
        <v>0</v>
      </c>
      <c r="L97" s="38">
        <f>IF(L100=0,0,(SUMIFS('J Book Items Cons.'!R$5:R$3360,'J Book Items Cons.'!S$5:S$3360,"",'J Book Items Cons.'!E$5:E$3360,5,'J Book Items Cons.'!U$5:U$3360,"USN",'J Book Items Cons.'!W$5:W$3360,"Unmanned Undersea Vehicles",'J Book Items Cons.'!R$5:R$3360,"&lt;&gt;")+SUMIFS('J Book Items Cons.'!N$5:N$3360,'J Book Items Cons.'!S$5:S$3360,"",'J Book Items Cons.'!E$5:E$3360,5,'J Book Items Cons.'!U$5:U$3360,"USN",'J Book Items Cons.'!W$5:W$3360,"Unmanned Undersea Vehicles",'J Book Items Cons.'!R$5:R$3360,"",'J Book Items Cons.'!N$5:N$3360,"&lt;&gt;")+SUMIFS('J Book Items Cons.'!L$5:L$3360,'J Book Items Cons.'!S$5:S$3360,"",'J Book Items Cons.'!E$5:E$3360,5,'J Book Items Cons.'!U$5:U$3360,"USN",'J Book Items Cons.'!W$5:W$3360,"Unmanned Undersea Vehicles",'J Book Items Cons.'!R$5:R$3360,"",'J Book Items Cons.'!N$5:N$3360,"")+SUMIFS('J Book Items Cons.'!R$5:R$3360,'J Book Items Cons.'!S$5:S$3360,"[PARENT]",'J Book Items Cons.'!E$5:E$3360,5,'J Book Items Cons.'!U$5:U$3360,"USN",'J Book Items Cons.'!W$5:W$3360,"Unmanned Undersea Vehicles",'J Book Items Cons.'!R$5:R$3360,"&lt;&gt;")+SUMIFS('J Book Items Cons.'!N$5:N$3360,'J Book Items Cons.'!S$5:S$3360,"[PARENT]",'J Book Items Cons.'!E$5:E$3360,5,'J Book Items Cons.'!U$5:U$3360,"USN",'J Book Items Cons.'!W$5:W$3360,"Unmanned Undersea Vehicles",'J Book Items Cons.'!R$5:R$3360,"",'J Book Items Cons.'!N$5:N$3360,"&lt;&gt;")+SUMIFS('J Book Items Cons.'!L$5:L$3360,'J Book Items Cons.'!S$5:S$3360,"[PARENT]",'J Book Items Cons.'!E$5:E$3360,5,'J Book Items Cons.'!U$5:U$3360,"USN",'J Book Items Cons.'!W$5:W$3360,"Unmanned Undersea Vehicles",'J Book Items Cons.'!R$5:R$3360,"",'J Book Items Cons.'!N$5:N$3360,""))/L100)</f>
        <v>0</v>
      </c>
      <c r="M97" s="38">
        <f>IF(M100=0,0,(SUMIFS('J Book Items Cons.'!R$5:R$3360,'J Book Items Cons.'!S$5:S$3360,"",'J Book Items Cons.'!E$5:E$3360,5,'J Book Items Cons.'!U$5:U$3360,"USN",'J Book Items Cons.'!W$5:W$3360,"Command Ships",'J Book Items Cons.'!R$5:R$3360,"&lt;&gt;")+SUMIFS('J Book Items Cons.'!N$5:N$3360,'J Book Items Cons.'!S$5:S$3360,"",'J Book Items Cons.'!E$5:E$3360,5,'J Book Items Cons.'!U$5:U$3360,"USN",'J Book Items Cons.'!W$5:W$3360,"Command Ships",'J Book Items Cons.'!R$5:R$3360,"",'J Book Items Cons.'!N$5:N$3360,"&lt;&gt;")+SUMIFS('J Book Items Cons.'!L$5:L$3360,'J Book Items Cons.'!S$5:S$3360,"",'J Book Items Cons.'!E$5:E$3360,5,'J Book Items Cons.'!U$5:U$3360,"USN",'J Book Items Cons.'!W$5:W$3360,"Command Ships",'J Book Items Cons.'!R$5:R$3360,"",'J Book Items Cons.'!N$5:N$3360,"")+SUMIFS('J Book Items Cons.'!R$5:R$3360,'J Book Items Cons.'!S$5:S$3360,"[PARENT]",'J Book Items Cons.'!E$5:E$3360,5,'J Book Items Cons.'!U$5:U$3360,"USN",'J Book Items Cons.'!W$5:W$3360,"Command Ships",'J Book Items Cons.'!R$5:R$3360,"&lt;&gt;")+SUMIFS('J Book Items Cons.'!N$5:N$3360,'J Book Items Cons.'!S$5:S$3360,"[PARENT]",'J Book Items Cons.'!E$5:E$3360,5,'J Book Items Cons.'!U$5:U$3360,"USN",'J Book Items Cons.'!W$5:W$3360,"Command Ships",'J Book Items Cons.'!R$5:R$3360,"",'J Book Items Cons.'!N$5:N$3360,"&lt;&gt;")+SUMIFS('J Book Items Cons.'!L$5:L$3360,'J Book Items Cons.'!S$5:S$3360,"[PARENT]",'J Book Items Cons.'!E$5:E$3360,5,'J Book Items Cons.'!U$5:U$3360,"USN",'J Book Items Cons.'!W$5:W$3360,"Command Ships",'J Book Items Cons.'!R$5:R$3360,"",'J Book Items Cons.'!N$5:N$3360,""))/M100)</f>
        <v>0.46506465933217528</v>
      </c>
      <c r="N97" s="39">
        <f>IF(N100=0,0,(SUMIFS('J Book Items Cons.'!R$5:R$3360,'J Book Items Cons.'!S$5:S$3360,"",'J Book Items Cons.'!E$5:E$3360,5,'J Book Items Cons.'!U$5:U$3360,"USN",'J Book Items Cons.'!W$5:W$3360,"Mine Warfare",'J Book Items Cons.'!R$5:R$3360,"&lt;&gt;")+SUMIFS('J Book Items Cons.'!N$5:N$3360,'J Book Items Cons.'!S$5:S$3360,"",'J Book Items Cons.'!E$5:E$3360,5,'J Book Items Cons.'!U$5:U$3360,"USN",'J Book Items Cons.'!W$5:W$3360,"Mine Warfare",'J Book Items Cons.'!R$5:R$3360,"",'J Book Items Cons.'!N$5:N$3360,"&lt;&gt;")+SUMIFS('J Book Items Cons.'!L$5:L$3360,'J Book Items Cons.'!S$5:S$3360,"",'J Book Items Cons.'!E$5:E$3360,5,'J Book Items Cons.'!U$5:U$3360,"USN",'J Book Items Cons.'!W$5:W$3360,"Mine Warfare",'J Book Items Cons.'!R$5:R$3360,"",'J Book Items Cons.'!N$5:N$3360,"")+SUMIFS('J Book Items Cons.'!R$5:R$3360,'J Book Items Cons.'!S$5:S$3360,"[PARENT]",'J Book Items Cons.'!E$5:E$3360,5,'J Book Items Cons.'!U$5:U$3360,"USN",'J Book Items Cons.'!W$5:W$3360,"Mine Warfare",'J Book Items Cons.'!R$5:R$3360,"&lt;&gt;")+SUMIFS('J Book Items Cons.'!N$5:N$3360,'J Book Items Cons.'!S$5:S$3360,"[PARENT]",'J Book Items Cons.'!E$5:E$3360,5,'J Book Items Cons.'!U$5:U$3360,"USN",'J Book Items Cons.'!W$5:W$3360,"Mine Warfare",'J Book Items Cons.'!R$5:R$3360,"",'J Book Items Cons.'!N$5:N$3360,"&lt;&gt;")+SUMIFS('J Book Items Cons.'!L$5:L$3360,'J Book Items Cons.'!S$5:S$3360,"[PARENT]",'J Book Items Cons.'!E$5:E$3360,5,'J Book Items Cons.'!U$5:U$3360,"USN",'J Book Items Cons.'!W$5:W$3360,"Mine Warfare",'J Book Items Cons.'!R$5:R$3360,"",'J Book Items Cons.'!N$5:N$3360,""))/N100)</f>
        <v>0</v>
      </c>
      <c r="O97" s="37">
        <f>IF(O100=0,0,(SUMIFS('J Book Items Cons.'!R$5:R$3360,'J Book Items Cons.'!S$5:S$3360,"",'J Book Items Cons.'!E$5:E$3360,5,'J Book Items Cons.'!U$5:U$3360,"USCG",'J Book Items Cons.'!W$5:W$3360,"Offshore Patrol Cutter",'J Book Items Cons.'!R$5:R$3360,"&lt;&gt;")+SUMIFS('J Book Items Cons.'!N$5:N$3360,'J Book Items Cons.'!S$5:S$3360,"",'J Book Items Cons.'!E$5:E$3360,5,'J Book Items Cons.'!U$5:U$3360,"USCG",'J Book Items Cons.'!W$5:W$3360,"Offshore Patrol Cutter",'J Book Items Cons.'!R$5:R$3360,"",'J Book Items Cons.'!N$5:N$3360,"&lt;&gt;")+SUMIFS('J Book Items Cons.'!L$5:L$3360,'J Book Items Cons.'!S$5:S$3360,"",'J Book Items Cons.'!E$5:E$3360,5,'J Book Items Cons.'!U$5:U$3360,"USCG",'J Book Items Cons.'!W$5:W$3360,"Offshore Patrol Cutter",'J Book Items Cons.'!R$5:R$3360,"",'J Book Items Cons.'!N$5:N$3360,"")+SUMIFS('J Book Items Cons.'!R$5:R$3360,'J Book Items Cons.'!S$5:S$3360,"[PARENT]",'J Book Items Cons.'!E$5:E$3360,5,'J Book Items Cons.'!U$5:U$3360,"USCG",'J Book Items Cons.'!W$5:W$3360,"Offshore Patrol Cutter",'J Book Items Cons.'!R$5:R$3360,"&lt;&gt;")+SUMIFS('J Book Items Cons.'!N$5:N$3360,'J Book Items Cons.'!S$5:S$3360,"[PARENT]",'J Book Items Cons.'!E$5:E$3360,5,'J Book Items Cons.'!U$5:U$3360,"USCG",'J Book Items Cons.'!W$5:W$3360,"Offshore Patrol Cutter",'J Book Items Cons.'!R$5:R$3360,"",'J Book Items Cons.'!N$5:N$3360,"&lt;&gt;")+SUMIFS('J Book Items Cons.'!L$5:L$3360,'J Book Items Cons.'!S$5:S$3360,"[PARENT]",'J Book Items Cons.'!E$5:E$3360,5,'J Book Items Cons.'!U$5:U$3360,"USCG",'J Book Items Cons.'!W$5:W$3360,"Offshore Patrol Cutter",'J Book Items Cons.'!R$5:R$3360,"",'J Book Items Cons.'!N$5:N$3360,""))/O100)</f>
        <v>0</v>
      </c>
      <c r="P97" s="38">
        <f>IF(P100=0,0,(SUMIFS('J Book Items Cons.'!R$5:R$3360,'J Book Items Cons.'!S$5:S$3360,"",'J Book Items Cons.'!E$5:E$3360,5,'J Book Items Cons.'!U$5:U$3360,"USCG",'J Book Items Cons.'!W$5:W$3360,"Fast Response Cutters",'J Book Items Cons.'!R$5:R$3360,"&lt;&gt;")+SUMIFS('J Book Items Cons.'!N$5:N$3360,'J Book Items Cons.'!S$5:S$3360,"",'J Book Items Cons.'!E$5:E$3360,5,'J Book Items Cons.'!U$5:U$3360,"USCG",'J Book Items Cons.'!W$5:W$3360,"Fast Response Cutters",'J Book Items Cons.'!R$5:R$3360,"",'J Book Items Cons.'!N$5:N$3360,"&lt;&gt;")+SUMIFS('J Book Items Cons.'!L$5:L$3360,'J Book Items Cons.'!S$5:S$3360,"",'J Book Items Cons.'!E$5:E$3360,5,'J Book Items Cons.'!U$5:U$3360,"USCG",'J Book Items Cons.'!W$5:W$3360,"Fast Response Cutters",'J Book Items Cons.'!R$5:R$3360,"",'J Book Items Cons.'!N$5:N$3360,"")+SUMIFS('J Book Items Cons.'!R$5:R$3360,'J Book Items Cons.'!S$5:S$3360,"[PARENT]",'J Book Items Cons.'!E$5:E$3360,5,'J Book Items Cons.'!U$5:U$3360,"USCG",'J Book Items Cons.'!W$5:W$3360,"Fast Response Cutters",'J Book Items Cons.'!R$5:R$3360,"&lt;&gt;")+SUMIFS('J Book Items Cons.'!N$5:N$3360,'J Book Items Cons.'!S$5:S$3360,"[PARENT]",'J Book Items Cons.'!E$5:E$3360,5,'J Book Items Cons.'!U$5:U$3360,"USCG",'J Book Items Cons.'!W$5:W$3360,"Fast Response Cutters",'J Book Items Cons.'!R$5:R$3360,"",'J Book Items Cons.'!N$5:N$3360,"&lt;&gt;")+SUMIFS('J Book Items Cons.'!L$5:L$3360,'J Book Items Cons.'!S$5:S$3360,"[PARENT]",'J Book Items Cons.'!E$5:E$3360,5,'J Book Items Cons.'!U$5:U$3360,"USCG",'J Book Items Cons.'!W$5:W$3360,"Fast Response Cutters",'J Book Items Cons.'!R$5:R$3360,"",'J Book Items Cons.'!N$5:N$3360,""))/P100)</f>
        <v>0</v>
      </c>
      <c r="Q97" s="38">
        <f>IF(Q100=0,0,(SUMIFS('J Book Items Cons.'!R$5:R$3360,'J Book Items Cons.'!S$5:S$3360,"",'J Book Items Cons.'!E$5:E$3360,5,'J Book Items Cons.'!U$5:U$3360,"USCG",'J Book Items Cons.'!W$5:W$3360,"Icebreakers, Oceangoing",'J Book Items Cons.'!R$5:R$3360,"&lt;&gt;")+SUMIFS('J Book Items Cons.'!N$5:N$3360,'J Book Items Cons.'!S$5:S$3360,"",'J Book Items Cons.'!E$5:E$3360,5,'J Book Items Cons.'!U$5:U$3360,"USCG",'J Book Items Cons.'!W$5:W$3360,"Icebreakers, Oceangoing",'J Book Items Cons.'!R$5:R$3360,"",'J Book Items Cons.'!N$5:N$3360,"&lt;&gt;")+SUMIFS('J Book Items Cons.'!L$5:L$3360,'J Book Items Cons.'!S$5:S$3360,"",'J Book Items Cons.'!E$5:E$3360,5,'J Book Items Cons.'!U$5:U$3360,"USCG",'J Book Items Cons.'!W$5:W$3360,"Icebreakers, Oceangoing",'J Book Items Cons.'!R$5:R$3360,"",'J Book Items Cons.'!N$5:N$3360,"")+SUMIFS('J Book Items Cons.'!R$5:R$3360,'J Book Items Cons.'!S$5:S$3360,"[PARENT]",'J Book Items Cons.'!E$5:E$3360,5,'J Book Items Cons.'!U$5:U$3360,"USCG",'J Book Items Cons.'!W$5:W$3360,"Icebreakers, Oceangoing",'J Book Items Cons.'!R$5:R$3360,"&lt;&gt;")+SUMIFS('J Book Items Cons.'!N$5:N$3360,'J Book Items Cons.'!S$5:S$3360,"[PARENT]",'J Book Items Cons.'!E$5:E$3360,5,'J Book Items Cons.'!U$5:U$3360,"USCG",'J Book Items Cons.'!W$5:W$3360,"Icebreakers, Oceangoing",'J Book Items Cons.'!R$5:R$3360,"",'J Book Items Cons.'!N$5:N$3360,"&lt;&gt;")+SUMIFS('J Book Items Cons.'!L$5:L$3360,'J Book Items Cons.'!S$5:S$3360,"[PARENT]",'J Book Items Cons.'!E$5:E$3360,5,'J Book Items Cons.'!U$5:U$3360,"USCG",'J Book Items Cons.'!W$5:W$3360,"Icebreakers, Oceangoing",'J Book Items Cons.'!R$5:R$3360,"",'J Book Items Cons.'!N$5:N$3360,""))/Q100)</f>
        <v>0</v>
      </c>
      <c r="R97" s="38">
        <f>IF(R100=0,0,(SUMIFS('J Book Items Cons.'!R$5:R$3360,'J Book Items Cons.'!S$5:S$3360,"",'J Book Items Cons.'!E$5:E$3360,5,'J Book Items Cons.'!U$5:U$3360,"USCG",'J Book Items Cons.'!W$5:W$3360,"Waterways Commerce Cutters",'J Book Items Cons.'!R$5:R$3360,"&lt;&gt;")+SUMIFS('J Book Items Cons.'!N$5:N$3360,'J Book Items Cons.'!S$5:S$3360,"",'J Book Items Cons.'!E$5:E$3360,5,'J Book Items Cons.'!U$5:U$3360,"USCG",'J Book Items Cons.'!W$5:W$3360,"Waterways Commerce Cutters",'J Book Items Cons.'!R$5:R$3360,"",'J Book Items Cons.'!N$5:N$3360,"&lt;&gt;")+SUMIFS('J Book Items Cons.'!L$5:L$3360,'J Book Items Cons.'!S$5:S$3360,"",'J Book Items Cons.'!E$5:E$3360,5,'J Book Items Cons.'!U$5:U$3360,"USCG",'J Book Items Cons.'!W$5:W$3360,"Waterways Commerce Cutters",'J Book Items Cons.'!R$5:R$3360,"",'J Book Items Cons.'!N$5:N$3360,"")+SUMIFS('J Book Items Cons.'!R$5:R$3360,'J Book Items Cons.'!S$5:S$3360,"[PARENT]",'J Book Items Cons.'!E$5:E$3360,5,'J Book Items Cons.'!U$5:U$3360,"USCG",'J Book Items Cons.'!W$5:W$3360,"Waterways Commerce Cutters",'J Book Items Cons.'!R$5:R$3360,"&lt;&gt;")+SUMIFS('J Book Items Cons.'!N$5:N$3360,'J Book Items Cons.'!S$5:S$3360,"[PARENT]",'J Book Items Cons.'!E$5:E$3360,5,'J Book Items Cons.'!U$5:U$3360,"USCG",'J Book Items Cons.'!W$5:W$3360,"Waterways Commerce Cutters",'J Book Items Cons.'!R$5:R$3360,"",'J Book Items Cons.'!N$5:N$3360,"&lt;&gt;")+SUMIFS('J Book Items Cons.'!L$5:L$3360,'J Book Items Cons.'!S$5:S$3360,"[PARENT]",'J Book Items Cons.'!E$5:E$3360,5,'J Book Items Cons.'!U$5:U$3360,"USCG",'J Book Items Cons.'!W$5:W$3360,"Waterways Commerce Cutters",'J Book Items Cons.'!R$5:R$3360,"",'J Book Items Cons.'!N$5:N$3360,""))/R100)</f>
        <v>0</v>
      </c>
      <c r="S97" s="39">
        <f>IF(S100=0,0,(SUMIFS('J Book Items Cons.'!R$5:R$3360,'J Book Items Cons.'!S$5:S$3360,"",'J Book Items Cons.'!E$5:E$3360,5,'J Book Items Cons.'!U$5:U$3360,"USCG",'J Book Items Cons.'!W$5:W$3360,"National Security Cutters",'J Book Items Cons.'!R$5:R$3360,"&lt;&gt;")+SUMIFS('J Book Items Cons.'!N$5:N$3360,'J Book Items Cons.'!S$5:S$3360,"",'J Book Items Cons.'!E$5:E$3360,5,'J Book Items Cons.'!U$5:U$3360,"USCG",'J Book Items Cons.'!W$5:W$3360,"National Security Cutters",'J Book Items Cons.'!R$5:R$3360,"",'J Book Items Cons.'!N$5:N$3360,"&lt;&gt;")+SUMIFS('J Book Items Cons.'!L$5:L$3360,'J Book Items Cons.'!S$5:S$3360,"",'J Book Items Cons.'!E$5:E$3360,5,'J Book Items Cons.'!U$5:U$3360,"USCG",'J Book Items Cons.'!W$5:W$3360,"National Security Cutters",'J Book Items Cons.'!R$5:R$3360,"",'J Book Items Cons.'!N$5:N$3360,"")+SUMIFS('J Book Items Cons.'!R$5:R$3360,'J Book Items Cons.'!S$5:S$3360,"[PARENT]",'J Book Items Cons.'!E$5:E$3360,5,'J Book Items Cons.'!U$5:U$3360,"USCG",'J Book Items Cons.'!W$5:W$3360,"National Security Cutters",'J Book Items Cons.'!R$5:R$3360,"&lt;&gt;")+SUMIFS('J Book Items Cons.'!N$5:N$3360,'J Book Items Cons.'!S$5:S$3360,"[PARENT]",'J Book Items Cons.'!E$5:E$3360,5,'J Book Items Cons.'!U$5:U$3360,"USCG",'J Book Items Cons.'!W$5:W$3360,"National Security Cutters",'J Book Items Cons.'!R$5:R$3360,"",'J Book Items Cons.'!N$5:N$3360,"&lt;&gt;")+SUMIFS('J Book Items Cons.'!L$5:L$3360,'J Book Items Cons.'!S$5:S$3360,"[PARENT]",'J Book Items Cons.'!E$5:E$3360,5,'J Book Items Cons.'!U$5:U$3360,"USCG",'J Book Items Cons.'!W$5:W$3360,"National Security Cutters",'J Book Items Cons.'!R$5:R$3360,"",'J Book Items Cons.'!N$5:N$3360,""))/S100)</f>
        <v>0</v>
      </c>
      <c r="T97" s="38">
        <f>IF(T100=0,0,SUMPRODUCT(B97:S97,B$100:S$100)/T$100)</f>
        <v>6.625104692059329E-2</v>
      </c>
    </row>
    <row r="98" spans="1:20" x14ac:dyDescent="0.15">
      <c r="A98" s="7" t="s">
        <v>8854</v>
      </c>
      <c r="B98" s="37">
        <f>IF(B100=0,0,(SUMIFS('J Book Items Cons.'!R$5:R$3360,'J Book Items Cons.'!S$5:S$3360,"",'J Book Items Cons.'!E$5:E$3360,6,'J Book Items Cons.'!U$5:U$3360,"USN",'J Book Items Cons.'!W$5:W$3360,"Submarines",'J Book Items Cons.'!R$5:R$3360,"&lt;&gt;")+SUMIFS('J Book Items Cons.'!N$5:N$3360,'J Book Items Cons.'!S$5:S$3360,"",'J Book Items Cons.'!E$5:E$3360,6,'J Book Items Cons.'!U$5:U$3360,"USN",'J Book Items Cons.'!W$5:W$3360,"Submarines",'J Book Items Cons.'!R$5:R$3360,"",'J Book Items Cons.'!N$5:N$3360,"&lt;&gt;")+SUMIFS('J Book Items Cons.'!L$5:L$3360,'J Book Items Cons.'!S$5:S$3360,"",'J Book Items Cons.'!E$5:E$3360,6,'J Book Items Cons.'!U$5:U$3360,"USN",'J Book Items Cons.'!W$5:W$3360,"Submarines",'J Book Items Cons.'!R$5:R$3360,"",'J Book Items Cons.'!N$5:N$3360,"")+SUMIFS('J Book Items Cons.'!R$5:R$3360,'J Book Items Cons.'!S$5:S$3360,"[PARENT]",'J Book Items Cons.'!E$5:E$3360,6,'J Book Items Cons.'!U$5:U$3360,"USN",'J Book Items Cons.'!W$5:W$3360,"Submarines",'J Book Items Cons.'!R$5:R$3360,"&lt;&gt;")+SUMIFS('J Book Items Cons.'!N$5:N$3360,'J Book Items Cons.'!S$5:S$3360,"[PARENT]",'J Book Items Cons.'!E$5:E$3360,6,'J Book Items Cons.'!U$5:U$3360,"USN",'J Book Items Cons.'!W$5:W$3360,"Submarines",'J Book Items Cons.'!R$5:R$3360,"",'J Book Items Cons.'!N$5:N$3360,"&lt;&gt;")+SUMIFS('J Book Items Cons.'!L$5:L$3360,'J Book Items Cons.'!S$5:S$3360,"[PARENT]",'J Book Items Cons.'!E$5:E$3360,6,'J Book Items Cons.'!U$5:U$3360,"USN",'J Book Items Cons.'!W$5:W$3360,"Submarines",'J Book Items Cons.'!R$5:R$3360,"",'J Book Items Cons.'!N$5:N$3360,""))/B100)</f>
        <v>1.2981896326042503E-2</v>
      </c>
      <c r="C98" s="38">
        <f>IF(C100=0,0,(SUMIFS('J Book Items Cons.'!R$5:R$3360,'J Book Items Cons.'!S$5:S$3360,"",'J Book Items Cons.'!E$5:E$3360,6,'J Book Items Cons.'!U$5:U$3360,"USN",'J Book Items Cons.'!W$5:W$3360,"Surface Combatants",'J Book Items Cons.'!R$5:R$3360,"&lt;&gt;")+SUMIFS('J Book Items Cons.'!N$5:N$3360,'J Book Items Cons.'!S$5:S$3360,"",'J Book Items Cons.'!E$5:E$3360,6,'J Book Items Cons.'!U$5:U$3360,"USN",'J Book Items Cons.'!W$5:W$3360,"Surface Combatants",'J Book Items Cons.'!R$5:R$3360,"",'J Book Items Cons.'!N$5:N$3360,"&lt;&gt;")+SUMIFS('J Book Items Cons.'!L$5:L$3360,'J Book Items Cons.'!S$5:S$3360,"",'J Book Items Cons.'!E$5:E$3360,6,'J Book Items Cons.'!U$5:U$3360,"USN",'J Book Items Cons.'!W$5:W$3360,"Surface Combatants",'J Book Items Cons.'!R$5:R$3360,"",'J Book Items Cons.'!N$5:N$3360,"")+SUMIFS('J Book Items Cons.'!R$5:R$3360,'J Book Items Cons.'!S$5:S$3360,"[PARENT]",'J Book Items Cons.'!E$5:E$3360,6,'J Book Items Cons.'!U$5:U$3360,"USN",'J Book Items Cons.'!W$5:W$3360,"Surface Combatants",'J Book Items Cons.'!R$5:R$3360,"&lt;&gt;")+SUMIFS('J Book Items Cons.'!N$5:N$3360,'J Book Items Cons.'!S$5:S$3360,"[PARENT]",'J Book Items Cons.'!E$5:E$3360,6,'J Book Items Cons.'!U$5:U$3360,"USN",'J Book Items Cons.'!W$5:W$3360,"Surface Combatants",'J Book Items Cons.'!R$5:R$3360,"",'J Book Items Cons.'!N$5:N$3360,"&lt;&gt;")+SUMIFS('J Book Items Cons.'!L$5:L$3360,'J Book Items Cons.'!S$5:S$3360,"[PARENT]",'J Book Items Cons.'!E$5:E$3360,6,'J Book Items Cons.'!U$5:U$3360,"USN",'J Book Items Cons.'!W$5:W$3360,"Surface Combatants",'J Book Items Cons.'!R$5:R$3360,"",'J Book Items Cons.'!N$5:N$3360,""))/C100)</f>
        <v>9.8517250956103321E-4</v>
      </c>
      <c r="D98" s="38">
        <f>IF(D100=0,0,(SUMIFS('J Book Items Cons.'!R$5:R$3360,'J Book Items Cons.'!S$5:S$3360,"",'J Book Items Cons.'!E$5:E$3360,6,'J Book Items Cons.'!U$5:U$3360,"USN",'J Book Items Cons.'!W$5:W$3360,"Aircraft Carriers",'J Book Items Cons.'!R$5:R$3360,"&lt;&gt;")+SUMIFS('J Book Items Cons.'!N$5:N$3360,'J Book Items Cons.'!S$5:S$3360,"",'J Book Items Cons.'!E$5:E$3360,6,'J Book Items Cons.'!U$5:U$3360,"USN",'J Book Items Cons.'!W$5:W$3360,"Aircraft Carriers",'J Book Items Cons.'!R$5:R$3360,"",'J Book Items Cons.'!N$5:N$3360,"&lt;&gt;")+SUMIFS('J Book Items Cons.'!L$5:L$3360,'J Book Items Cons.'!S$5:S$3360,"",'J Book Items Cons.'!E$5:E$3360,6,'J Book Items Cons.'!U$5:U$3360,"USN",'J Book Items Cons.'!W$5:W$3360,"Aircraft Carriers",'J Book Items Cons.'!R$5:R$3360,"",'J Book Items Cons.'!N$5:N$3360,"")+SUMIFS('J Book Items Cons.'!R$5:R$3360,'J Book Items Cons.'!S$5:S$3360,"[PARENT]",'J Book Items Cons.'!E$5:E$3360,6,'J Book Items Cons.'!U$5:U$3360,"USN",'J Book Items Cons.'!W$5:W$3360,"Aircraft Carriers",'J Book Items Cons.'!R$5:R$3360,"&lt;&gt;")+SUMIFS('J Book Items Cons.'!N$5:N$3360,'J Book Items Cons.'!S$5:S$3360,"[PARENT]",'J Book Items Cons.'!E$5:E$3360,6,'J Book Items Cons.'!U$5:U$3360,"USN",'J Book Items Cons.'!W$5:W$3360,"Aircraft Carriers",'J Book Items Cons.'!R$5:R$3360,"",'J Book Items Cons.'!N$5:N$3360,"&lt;&gt;")+SUMIFS('J Book Items Cons.'!L$5:L$3360,'J Book Items Cons.'!S$5:S$3360,"[PARENT]",'J Book Items Cons.'!E$5:E$3360,6,'J Book Items Cons.'!U$5:U$3360,"USN",'J Book Items Cons.'!W$5:W$3360,"Aircraft Carriers",'J Book Items Cons.'!R$5:R$3360,"",'J Book Items Cons.'!N$5:N$3360,""))/D100)</f>
        <v>0</v>
      </c>
      <c r="E98" s="38">
        <f>IF(E100=0,0,(SUMIFS('J Book Items Cons.'!R$5:R$3360,'J Book Items Cons.'!S$5:S$3360,"",'J Book Items Cons.'!E$5:E$3360,6,'J Book Items Cons.'!U$5:U$3360,"USN",'J Book Items Cons.'!W$5:W$3360,"Amphibious Warfare Ships",'J Book Items Cons.'!R$5:R$3360,"&lt;&gt;")+SUMIFS('J Book Items Cons.'!N$5:N$3360,'J Book Items Cons.'!S$5:S$3360,"",'J Book Items Cons.'!E$5:E$3360,6,'J Book Items Cons.'!U$5:U$3360,"USN",'J Book Items Cons.'!W$5:W$3360,"Amphibious Warfare Ships",'J Book Items Cons.'!R$5:R$3360,"",'J Book Items Cons.'!N$5:N$3360,"&lt;&gt;")+SUMIFS('J Book Items Cons.'!L$5:L$3360,'J Book Items Cons.'!S$5:S$3360,"",'J Book Items Cons.'!E$5:E$3360,6,'J Book Items Cons.'!U$5:U$3360,"USN",'J Book Items Cons.'!W$5:W$3360,"Amphibious Warfare Ships",'J Book Items Cons.'!R$5:R$3360,"",'J Book Items Cons.'!N$5:N$3360,"")+SUMIFS('J Book Items Cons.'!R$5:R$3360,'J Book Items Cons.'!S$5:S$3360,"[PARENT]",'J Book Items Cons.'!E$5:E$3360,6,'J Book Items Cons.'!U$5:U$3360,"USN",'J Book Items Cons.'!W$5:W$3360,"Amphibious Warfare Ships",'J Book Items Cons.'!R$5:R$3360,"&lt;&gt;")+SUMIFS('J Book Items Cons.'!N$5:N$3360,'J Book Items Cons.'!S$5:S$3360,"[PARENT]",'J Book Items Cons.'!E$5:E$3360,6,'J Book Items Cons.'!U$5:U$3360,"USN",'J Book Items Cons.'!W$5:W$3360,"Amphibious Warfare Ships",'J Book Items Cons.'!R$5:R$3360,"",'J Book Items Cons.'!N$5:N$3360,"&lt;&gt;")+SUMIFS('J Book Items Cons.'!L$5:L$3360,'J Book Items Cons.'!S$5:S$3360,"[PARENT]",'J Book Items Cons.'!E$5:E$3360,6,'J Book Items Cons.'!U$5:U$3360,"USN",'J Book Items Cons.'!W$5:W$3360,"Amphibious Warfare Ships",'J Book Items Cons.'!R$5:R$3360,"",'J Book Items Cons.'!N$5:N$3360,""))/E100)</f>
        <v>0</v>
      </c>
      <c r="F98" s="38">
        <f>IF(F100=0,0,(SUMIFS('J Book Items Cons.'!R$5:R$3360,'J Book Items Cons.'!S$5:S$3360,"",'J Book Items Cons.'!E$5:E$3360,6,'J Book Items Cons.'!U$5:U$3360,"USN",'J Book Items Cons.'!W$5:W$3360,"Expeditionary &amp; Seabasing Ships",'J Book Items Cons.'!R$5:R$3360,"&lt;&gt;")+SUMIFS('J Book Items Cons.'!N$5:N$3360,'J Book Items Cons.'!S$5:S$3360,"",'J Book Items Cons.'!E$5:E$3360,6,'J Book Items Cons.'!U$5:U$3360,"USN",'J Book Items Cons.'!W$5:W$3360,"Expeditionary &amp; Seabasing Ships",'J Book Items Cons.'!R$5:R$3360,"",'J Book Items Cons.'!N$5:N$3360,"&lt;&gt;")+SUMIFS('J Book Items Cons.'!L$5:L$3360,'J Book Items Cons.'!S$5:S$3360,"",'J Book Items Cons.'!E$5:E$3360,6,'J Book Items Cons.'!U$5:U$3360,"USN",'J Book Items Cons.'!W$5:W$3360,"Expeditionary &amp; Seabasing Ships",'J Book Items Cons.'!R$5:R$3360,"",'J Book Items Cons.'!N$5:N$3360,"")+SUMIFS('J Book Items Cons.'!R$5:R$3360,'J Book Items Cons.'!S$5:S$3360,"[PARENT]",'J Book Items Cons.'!E$5:E$3360,6,'J Book Items Cons.'!U$5:U$3360,"USN",'J Book Items Cons.'!W$5:W$3360,"Expeditionary &amp; Seabasing Ships",'J Book Items Cons.'!R$5:R$3360,"&lt;&gt;")+SUMIFS('J Book Items Cons.'!N$5:N$3360,'J Book Items Cons.'!S$5:S$3360,"[PARENT]",'J Book Items Cons.'!E$5:E$3360,6,'J Book Items Cons.'!U$5:U$3360,"USN",'J Book Items Cons.'!W$5:W$3360,"Expeditionary &amp; Seabasing Ships",'J Book Items Cons.'!R$5:R$3360,"",'J Book Items Cons.'!N$5:N$3360,"&lt;&gt;")+SUMIFS('J Book Items Cons.'!L$5:L$3360,'J Book Items Cons.'!S$5:S$3360,"[PARENT]",'J Book Items Cons.'!E$5:E$3360,6,'J Book Items Cons.'!U$5:U$3360,"USN",'J Book Items Cons.'!W$5:W$3360,"Expeditionary &amp; Seabasing Ships",'J Book Items Cons.'!R$5:R$3360,"",'J Book Items Cons.'!N$5:N$3360,""))/F100)</f>
        <v>0</v>
      </c>
      <c r="G98" s="38">
        <f>IF(G100=0,0,(SUMIFS('J Book Items Cons.'!R$5:R$3360,'J Book Items Cons.'!S$5:S$3360,"",'J Book Items Cons.'!E$5:E$3360,6,'J Book Items Cons.'!U$5:U$3360,"MSC",'J Book Items Cons.'!W$5:W$3360,"Combat Logistics Ships",'J Book Items Cons.'!R$5:R$3360,"&lt;&gt;")+SUMIFS('J Book Items Cons.'!N$5:N$3360,'J Book Items Cons.'!S$5:S$3360,"",'J Book Items Cons.'!E$5:E$3360,6,'J Book Items Cons.'!U$5:U$3360,"MSC",'J Book Items Cons.'!W$5:W$3360,"Combat Logistics Ships",'J Book Items Cons.'!R$5:R$3360,"",'J Book Items Cons.'!N$5:N$3360,"&lt;&gt;")+SUMIFS('J Book Items Cons.'!L$5:L$3360,'J Book Items Cons.'!S$5:S$3360,"",'J Book Items Cons.'!E$5:E$3360,6,'J Book Items Cons.'!U$5:U$3360,"MSC",'J Book Items Cons.'!W$5:W$3360,"Combat Logistics Ships",'J Book Items Cons.'!R$5:R$3360,"",'J Book Items Cons.'!N$5:N$3360,"")+SUMIFS('J Book Items Cons.'!R$5:R$3360,'J Book Items Cons.'!S$5:S$3360,"[PARENT]",'J Book Items Cons.'!E$5:E$3360,6,'J Book Items Cons.'!U$5:U$3360,"MSC",'J Book Items Cons.'!W$5:W$3360,"Combat Logistics Ships",'J Book Items Cons.'!R$5:R$3360,"&lt;&gt;")+SUMIFS('J Book Items Cons.'!N$5:N$3360,'J Book Items Cons.'!S$5:S$3360,"[PARENT]",'J Book Items Cons.'!E$5:E$3360,6,'J Book Items Cons.'!U$5:U$3360,"MSC",'J Book Items Cons.'!W$5:W$3360,"Combat Logistics Ships",'J Book Items Cons.'!R$5:R$3360,"",'J Book Items Cons.'!N$5:N$3360,"&lt;&gt;")+SUMIFS('J Book Items Cons.'!L$5:L$3360,'J Book Items Cons.'!S$5:S$3360,"[PARENT]",'J Book Items Cons.'!E$5:E$3360,6,'J Book Items Cons.'!U$5:U$3360,"MSC",'J Book Items Cons.'!W$5:W$3360,"Combat Logistics Ships",'J Book Items Cons.'!R$5:R$3360,"",'J Book Items Cons.'!N$5:N$3360,""))/G100)</f>
        <v>0</v>
      </c>
      <c r="H98" s="38">
        <f>IF(H100=0,0,(SUMIFS('J Book Items Cons.'!R$5:R$3360,'J Book Items Cons.'!S$5:S$3360,"",'J Book Items Cons.'!E$5:E$3360,6,'J Book Items Cons.'!U$5:U$3360,"USN",'J Book Items Cons.'!W$5:W$3360,"Unmanned Surface Vehicles",'J Book Items Cons.'!R$5:R$3360,"&lt;&gt;")+SUMIFS('J Book Items Cons.'!N$5:N$3360,'J Book Items Cons.'!S$5:S$3360,"",'J Book Items Cons.'!E$5:E$3360,6,'J Book Items Cons.'!U$5:U$3360,"USN",'J Book Items Cons.'!W$5:W$3360,"Unmanned Surface Vehicles",'J Book Items Cons.'!R$5:R$3360,"",'J Book Items Cons.'!N$5:N$3360,"&lt;&gt;")+SUMIFS('J Book Items Cons.'!L$5:L$3360,'J Book Items Cons.'!S$5:S$3360,"",'J Book Items Cons.'!E$5:E$3360,6,'J Book Items Cons.'!U$5:U$3360,"USN",'J Book Items Cons.'!W$5:W$3360,"Unmanned Surface Vehicles",'J Book Items Cons.'!R$5:R$3360,"",'J Book Items Cons.'!N$5:N$3360,"")+SUMIFS('J Book Items Cons.'!R$5:R$3360,'J Book Items Cons.'!S$5:S$3360,"[PARENT]",'J Book Items Cons.'!E$5:E$3360,6,'J Book Items Cons.'!U$5:U$3360,"USN",'J Book Items Cons.'!W$5:W$3360,"Unmanned Surface Vehicles",'J Book Items Cons.'!R$5:R$3360,"&lt;&gt;")+SUMIFS('J Book Items Cons.'!N$5:N$3360,'J Book Items Cons.'!S$5:S$3360,"[PARENT]",'J Book Items Cons.'!E$5:E$3360,6,'J Book Items Cons.'!U$5:U$3360,"USN",'J Book Items Cons.'!W$5:W$3360,"Unmanned Surface Vehicles",'J Book Items Cons.'!R$5:R$3360,"",'J Book Items Cons.'!N$5:N$3360,"&lt;&gt;")+SUMIFS('J Book Items Cons.'!L$5:L$3360,'J Book Items Cons.'!S$5:S$3360,"[PARENT]",'J Book Items Cons.'!E$5:E$3360,6,'J Book Items Cons.'!U$5:U$3360,"USN",'J Book Items Cons.'!W$5:W$3360,"Unmanned Surface Vehicles",'J Book Items Cons.'!R$5:R$3360,"",'J Book Items Cons.'!N$5:N$3360,""))/H100)</f>
        <v>0</v>
      </c>
      <c r="I98" s="38">
        <f>IF(I100=0,0,(SUMIFS('J Book Items Cons.'!R$5:R$3360,'J Book Items Cons.'!S$5:S$3360,"",'J Book Items Cons.'!E$5:E$3360,6,'J Book Items Cons.'!U$5:U$3360,"USN",'J Book Items Cons.'!W$5:W$3360,"Amphibious Warfare Craft",'J Book Items Cons.'!R$5:R$3360,"&lt;&gt;")+SUMIFS('J Book Items Cons.'!N$5:N$3360,'J Book Items Cons.'!S$5:S$3360,"",'J Book Items Cons.'!E$5:E$3360,6,'J Book Items Cons.'!U$5:U$3360,"USN",'J Book Items Cons.'!W$5:W$3360,"Amphibious Warfare Craft",'J Book Items Cons.'!R$5:R$3360,"",'J Book Items Cons.'!N$5:N$3360,"&lt;&gt;")+SUMIFS('J Book Items Cons.'!L$5:L$3360,'J Book Items Cons.'!S$5:S$3360,"",'J Book Items Cons.'!E$5:E$3360,6,'J Book Items Cons.'!U$5:U$3360,"USN",'J Book Items Cons.'!W$5:W$3360,"Amphibious Warfare Craft",'J Book Items Cons.'!R$5:R$3360,"",'J Book Items Cons.'!N$5:N$3360,"")+SUMIFS('J Book Items Cons.'!R$5:R$3360,'J Book Items Cons.'!S$5:S$3360,"[PARENT]",'J Book Items Cons.'!E$5:E$3360,6,'J Book Items Cons.'!U$5:U$3360,"USN",'J Book Items Cons.'!W$5:W$3360,"Amphibious Warfare Craft",'J Book Items Cons.'!R$5:R$3360,"&lt;&gt;")+SUMIFS('J Book Items Cons.'!N$5:N$3360,'J Book Items Cons.'!S$5:S$3360,"[PARENT]",'J Book Items Cons.'!E$5:E$3360,6,'J Book Items Cons.'!U$5:U$3360,"USN",'J Book Items Cons.'!W$5:W$3360,"Amphibious Warfare Craft",'J Book Items Cons.'!R$5:R$3360,"",'J Book Items Cons.'!N$5:N$3360,"&lt;&gt;")+SUMIFS('J Book Items Cons.'!L$5:L$3360,'J Book Items Cons.'!S$5:S$3360,"[PARENT]",'J Book Items Cons.'!E$5:E$3360,6,'J Book Items Cons.'!U$5:U$3360,"USN",'J Book Items Cons.'!W$5:W$3360,"Amphibious Warfare Craft",'J Book Items Cons.'!R$5:R$3360,"",'J Book Items Cons.'!N$5:N$3360,""))/I100)</f>
        <v>0</v>
      </c>
      <c r="J98" s="38">
        <f>IF(J100=0,0,(SUMIFS('J Book Items Cons.'!R$5:R$3360,'J Book Items Cons.'!S$5:S$3360,"",'J Book Items Cons.'!E$5:E$3360,6,'J Book Items Cons.'!U$5:U$3360,"MSC",'J Book Items Cons.'!W$5:W$3360,"Cargo &amp; Vehicle Cargo Ships",'J Book Items Cons.'!R$5:R$3360,"&lt;&gt;")+SUMIFS('J Book Items Cons.'!N$5:N$3360,'J Book Items Cons.'!S$5:S$3360,"",'J Book Items Cons.'!E$5:E$3360,6,'J Book Items Cons.'!U$5:U$3360,"MSC",'J Book Items Cons.'!W$5:W$3360,"Cargo &amp; Vehicle Cargo Ships",'J Book Items Cons.'!R$5:R$3360,"",'J Book Items Cons.'!N$5:N$3360,"&lt;&gt;")+SUMIFS('J Book Items Cons.'!L$5:L$3360,'J Book Items Cons.'!S$5:S$3360,"",'J Book Items Cons.'!E$5:E$3360,6,'J Book Items Cons.'!U$5:U$3360,"MSC",'J Book Items Cons.'!W$5:W$3360,"Cargo &amp; Vehicle Cargo Ships",'J Book Items Cons.'!R$5:R$3360,"",'J Book Items Cons.'!N$5:N$3360,"")+SUMIFS('J Book Items Cons.'!R$5:R$3360,'J Book Items Cons.'!S$5:S$3360,"[PARENT]",'J Book Items Cons.'!E$5:E$3360,6,'J Book Items Cons.'!U$5:U$3360,"MSC",'J Book Items Cons.'!W$5:W$3360,"Cargo &amp; Vehicle Cargo Ships",'J Book Items Cons.'!R$5:R$3360,"&lt;&gt;")+SUMIFS('J Book Items Cons.'!N$5:N$3360,'J Book Items Cons.'!S$5:S$3360,"[PARENT]",'J Book Items Cons.'!E$5:E$3360,6,'J Book Items Cons.'!U$5:U$3360,"MSC",'J Book Items Cons.'!W$5:W$3360,"Cargo &amp; Vehicle Cargo Ships",'J Book Items Cons.'!R$5:R$3360,"",'J Book Items Cons.'!N$5:N$3360,"&lt;&gt;")+SUMIFS('J Book Items Cons.'!L$5:L$3360,'J Book Items Cons.'!S$5:S$3360,"[PARENT]",'J Book Items Cons.'!E$5:E$3360,6,'J Book Items Cons.'!U$5:U$3360,"MSC",'J Book Items Cons.'!W$5:W$3360,"Cargo &amp; Vehicle Cargo Ships",'J Book Items Cons.'!R$5:R$3360,"",'J Book Items Cons.'!N$5:N$3360,""))/J100)</f>
        <v>0</v>
      </c>
      <c r="K98" s="38">
        <f>IF(K100=0,0,(SUMIFS('J Book Items Cons.'!R$5:R$3360,'J Book Items Cons.'!S$5:S$3360,"",'J Book Items Cons.'!E$5:E$3360,6,'J Book Items Cons.'!U$5:U$3360,"MSC",'J Book Items Cons.'!W$5:W$3360,"Surveillance Ships",'J Book Items Cons.'!R$5:R$3360,"&lt;&gt;")+SUMIFS('J Book Items Cons.'!N$5:N$3360,'J Book Items Cons.'!S$5:S$3360,"",'J Book Items Cons.'!E$5:E$3360,6,'J Book Items Cons.'!U$5:U$3360,"MSC",'J Book Items Cons.'!W$5:W$3360,"Surveillance Ships",'J Book Items Cons.'!R$5:R$3360,"",'J Book Items Cons.'!N$5:N$3360,"&lt;&gt;")+SUMIFS('J Book Items Cons.'!L$5:L$3360,'J Book Items Cons.'!S$5:S$3360,"",'J Book Items Cons.'!E$5:E$3360,6,'J Book Items Cons.'!U$5:U$3360,"MSC",'J Book Items Cons.'!W$5:W$3360,"Surveillance Ships",'J Book Items Cons.'!R$5:R$3360,"",'J Book Items Cons.'!N$5:N$3360,"")+SUMIFS('J Book Items Cons.'!R$5:R$3360,'J Book Items Cons.'!S$5:S$3360,"[PARENT]",'J Book Items Cons.'!E$5:E$3360,6,'J Book Items Cons.'!U$5:U$3360,"MSC",'J Book Items Cons.'!W$5:W$3360,"Surveillance Ships",'J Book Items Cons.'!R$5:R$3360,"&lt;&gt;")+SUMIFS('J Book Items Cons.'!N$5:N$3360,'J Book Items Cons.'!S$5:S$3360,"[PARENT]",'J Book Items Cons.'!E$5:E$3360,6,'J Book Items Cons.'!U$5:U$3360,"MSC",'J Book Items Cons.'!W$5:W$3360,"Surveillance Ships",'J Book Items Cons.'!R$5:R$3360,"",'J Book Items Cons.'!N$5:N$3360,"&lt;&gt;")+SUMIFS('J Book Items Cons.'!L$5:L$3360,'J Book Items Cons.'!S$5:S$3360,"[PARENT]",'J Book Items Cons.'!E$5:E$3360,6,'J Book Items Cons.'!U$5:U$3360,"MSC",'J Book Items Cons.'!W$5:W$3360,"Surveillance Ships",'J Book Items Cons.'!R$5:R$3360,"",'J Book Items Cons.'!N$5:N$3360,""))/K100)</f>
        <v>0</v>
      </c>
      <c r="L98" s="38">
        <f>IF(L100=0,0,(SUMIFS('J Book Items Cons.'!R$5:R$3360,'J Book Items Cons.'!S$5:S$3360,"",'J Book Items Cons.'!E$5:E$3360,6,'J Book Items Cons.'!U$5:U$3360,"USN",'J Book Items Cons.'!W$5:W$3360,"Unmanned Undersea Vehicles",'J Book Items Cons.'!R$5:R$3360,"&lt;&gt;")+SUMIFS('J Book Items Cons.'!N$5:N$3360,'J Book Items Cons.'!S$5:S$3360,"",'J Book Items Cons.'!E$5:E$3360,6,'J Book Items Cons.'!U$5:U$3360,"USN",'J Book Items Cons.'!W$5:W$3360,"Unmanned Undersea Vehicles",'J Book Items Cons.'!R$5:R$3360,"",'J Book Items Cons.'!N$5:N$3360,"&lt;&gt;")+SUMIFS('J Book Items Cons.'!L$5:L$3360,'J Book Items Cons.'!S$5:S$3360,"",'J Book Items Cons.'!E$5:E$3360,6,'J Book Items Cons.'!U$5:U$3360,"USN",'J Book Items Cons.'!W$5:W$3360,"Unmanned Undersea Vehicles",'J Book Items Cons.'!R$5:R$3360,"",'J Book Items Cons.'!N$5:N$3360,"")+SUMIFS('J Book Items Cons.'!R$5:R$3360,'J Book Items Cons.'!S$5:S$3360,"[PARENT]",'J Book Items Cons.'!E$5:E$3360,6,'J Book Items Cons.'!U$5:U$3360,"USN",'J Book Items Cons.'!W$5:W$3360,"Unmanned Undersea Vehicles",'J Book Items Cons.'!R$5:R$3360,"&lt;&gt;")+SUMIFS('J Book Items Cons.'!N$5:N$3360,'J Book Items Cons.'!S$5:S$3360,"[PARENT]",'J Book Items Cons.'!E$5:E$3360,6,'J Book Items Cons.'!U$5:U$3360,"USN",'J Book Items Cons.'!W$5:W$3360,"Unmanned Undersea Vehicles",'J Book Items Cons.'!R$5:R$3360,"",'J Book Items Cons.'!N$5:N$3360,"&lt;&gt;")+SUMIFS('J Book Items Cons.'!L$5:L$3360,'J Book Items Cons.'!S$5:S$3360,"[PARENT]",'J Book Items Cons.'!E$5:E$3360,6,'J Book Items Cons.'!U$5:U$3360,"USN",'J Book Items Cons.'!W$5:W$3360,"Unmanned Undersea Vehicles",'J Book Items Cons.'!R$5:R$3360,"",'J Book Items Cons.'!N$5:N$3360,""))/L100)</f>
        <v>0</v>
      </c>
      <c r="M98" s="38">
        <f>IF(M100=0,0,(SUMIFS('J Book Items Cons.'!R$5:R$3360,'J Book Items Cons.'!S$5:S$3360,"",'J Book Items Cons.'!E$5:E$3360,6,'J Book Items Cons.'!U$5:U$3360,"USN",'J Book Items Cons.'!W$5:W$3360,"Command Ships",'J Book Items Cons.'!R$5:R$3360,"&lt;&gt;")+SUMIFS('J Book Items Cons.'!N$5:N$3360,'J Book Items Cons.'!S$5:S$3360,"",'J Book Items Cons.'!E$5:E$3360,6,'J Book Items Cons.'!U$5:U$3360,"USN",'J Book Items Cons.'!W$5:W$3360,"Command Ships",'J Book Items Cons.'!R$5:R$3360,"",'J Book Items Cons.'!N$5:N$3360,"&lt;&gt;")+SUMIFS('J Book Items Cons.'!L$5:L$3360,'J Book Items Cons.'!S$5:S$3360,"",'J Book Items Cons.'!E$5:E$3360,6,'J Book Items Cons.'!U$5:U$3360,"USN",'J Book Items Cons.'!W$5:W$3360,"Command Ships",'J Book Items Cons.'!R$5:R$3360,"",'J Book Items Cons.'!N$5:N$3360,"")+SUMIFS('J Book Items Cons.'!R$5:R$3360,'J Book Items Cons.'!S$5:S$3360,"[PARENT]",'J Book Items Cons.'!E$5:E$3360,6,'J Book Items Cons.'!U$5:U$3360,"USN",'J Book Items Cons.'!W$5:W$3360,"Command Ships",'J Book Items Cons.'!R$5:R$3360,"&lt;&gt;")+SUMIFS('J Book Items Cons.'!N$5:N$3360,'J Book Items Cons.'!S$5:S$3360,"[PARENT]",'J Book Items Cons.'!E$5:E$3360,6,'J Book Items Cons.'!U$5:U$3360,"USN",'J Book Items Cons.'!W$5:W$3360,"Command Ships",'J Book Items Cons.'!R$5:R$3360,"",'J Book Items Cons.'!N$5:N$3360,"&lt;&gt;")+SUMIFS('J Book Items Cons.'!L$5:L$3360,'J Book Items Cons.'!S$5:S$3360,"[PARENT]",'J Book Items Cons.'!E$5:E$3360,6,'J Book Items Cons.'!U$5:U$3360,"USN",'J Book Items Cons.'!W$5:W$3360,"Command Ships",'J Book Items Cons.'!R$5:R$3360,"",'J Book Items Cons.'!N$5:N$3360,""))/M100)</f>
        <v>0</v>
      </c>
      <c r="N98" s="39">
        <f>IF(N100=0,0,(SUMIFS('J Book Items Cons.'!R$5:R$3360,'J Book Items Cons.'!S$5:S$3360,"",'J Book Items Cons.'!E$5:E$3360,6,'J Book Items Cons.'!U$5:U$3360,"USN",'J Book Items Cons.'!W$5:W$3360,"Mine Warfare",'J Book Items Cons.'!R$5:R$3360,"&lt;&gt;")+SUMIFS('J Book Items Cons.'!N$5:N$3360,'J Book Items Cons.'!S$5:S$3360,"",'J Book Items Cons.'!E$5:E$3360,6,'J Book Items Cons.'!U$5:U$3360,"USN",'J Book Items Cons.'!W$5:W$3360,"Mine Warfare",'J Book Items Cons.'!R$5:R$3360,"",'J Book Items Cons.'!N$5:N$3360,"&lt;&gt;")+SUMIFS('J Book Items Cons.'!L$5:L$3360,'J Book Items Cons.'!S$5:S$3360,"",'J Book Items Cons.'!E$5:E$3360,6,'J Book Items Cons.'!U$5:U$3360,"USN",'J Book Items Cons.'!W$5:W$3360,"Mine Warfare",'J Book Items Cons.'!R$5:R$3360,"",'J Book Items Cons.'!N$5:N$3360,"")+SUMIFS('J Book Items Cons.'!R$5:R$3360,'J Book Items Cons.'!S$5:S$3360,"[PARENT]",'J Book Items Cons.'!E$5:E$3360,6,'J Book Items Cons.'!U$5:U$3360,"USN",'J Book Items Cons.'!W$5:W$3360,"Mine Warfare",'J Book Items Cons.'!R$5:R$3360,"&lt;&gt;")+SUMIFS('J Book Items Cons.'!N$5:N$3360,'J Book Items Cons.'!S$5:S$3360,"[PARENT]",'J Book Items Cons.'!E$5:E$3360,6,'J Book Items Cons.'!U$5:U$3360,"USN",'J Book Items Cons.'!W$5:W$3360,"Mine Warfare",'J Book Items Cons.'!R$5:R$3360,"",'J Book Items Cons.'!N$5:N$3360,"&lt;&gt;")+SUMIFS('J Book Items Cons.'!L$5:L$3360,'J Book Items Cons.'!S$5:S$3360,"[PARENT]",'J Book Items Cons.'!E$5:E$3360,6,'J Book Items Cons.'!U$5:U$3360,"USN",'J Book Items Cons.'!W$5:W$3360,"Mine Warfare",'J Book Items Cons.'!R$5:R$3360,"",'J Book Items Cons.'!N$5:N$3360,""))/N100)</f>
        <v>0</v>
      </c>
      <c r="O98" s="37">
        <f>IF(O100=0,0,(SUMIFS('J Book Items Cons.'!R$5:R$3360,'J Book Items Cons.'!S$5:S$3360,"",'J Book Items Cons.'!E$5:E$3360,6,'J Book Items Cons.'!U$5:U$3360,"USCG",'J Book Items Cons.'!W$5:W$3360,"Offshore Patrol Cutter",'J Book Items Cons.'!R$5:R$3360,"&lt;&gt;")+SUMIFS('J Book Items Cons.'!N$5:N$3360,'J Book Items Cons.'!S$5:S$3360,"",'J Book Items Cons.'!E$5:E$3360,6,'J Book Items Cons.'!U$5:U$3360,"USCG",'J Book Items Cons.'!W$5:W$3360,"Offshore Patrol Cutter",'J Book Items Cons.'!R$5:R$3360,"",'J Book Items Cons.'!N$5:N$3360,"&lt;&gt;")+SUMIFS('J Book Items Cons.'!L$5:L$3360,'J Book Items Cons.'!S$5:S$3360,"",'J Book Items Cons.'!E$5:E$3360,6,'J Book Items Cons.'!U$5:U$3360,"USCG",'J Book Items Cons.'!W$5:W$3360,"Offshore Patrol Cutter",'J Book Items Cons.'!R$5:R$3360,"",'J Book Items Cons.'!N$5:N$3360,"")+SUMIFS('J Book Items Cons.'!R$5:R$3360,'J Book Items Cons.'!S$5:S$3360,"[PARENT]",'J Book Items Cons.'!E$5:E$3360,6,'J Book Items Cons.'!U$5:U$3360,"USCG",'J Book Items Cons.'!W$5:W$3360,"Offshore Patrol Cutter",'J Book Items Cons.'!R$5:R$3360,"&lt;&gt;")+SUMIFS('J Book Items Cons.'!N$5:N$3360,'J Book Items Cons.'!S$5:S$3360,"[PARENT]",'J Book Items Cons.'!E$5:E$3360,6,'J Book Items Cons.'!U$5:U$3360,"USCG",'J Book Items Cons.'!W$5:W$3360,"Offshore Patrol Cutter",'J Book Items Cons.'!R$5:R$3360,"",'J Book Items Cons.'!N$5:N$3360,"&lt;&gt;")+SUMIFS('J Book Items Cons.'!L$5:L$3360,'J Book Items Cons.'!S$5:S$3360,"[PARENT]",'J Book Items Cons.'!E$5:E$3360,6,'J Book Items Cons.'!U$5:U$3360,"USCG",'J Book Items Cons.'!W$5:W$3360,"Offshore Patrol Cutter",'J Book Items Cons.'!R$5:R$3360,"",'J Book Items Cons.'!N$5:N$3360,""))/O100)</f>
        <v>0</v>
      </c>
      <c r="P98" s="38">
        <f>IF(P100=0,0,(SUMIFS('J Book Items Cons.'!R$5:R$3360,'J Book Items Cons.'!S$5:S$3360,"",'J Book Items Cons.'!E$5:E$3360,6,'J Book Items Cons.'!U$5:U$3360,"USCG",'J Book Items Cons.'!W$5:W$3360,"Fast Response Cutters",'J Book Items Cons.'!R$5:R$3360,"&lt;&gt;")+SUMIFS('J Book Items Cons.'!N$5:N$3360,'J Book Items Cons.'!S$5:S$3360,"",'J Book Items Cons.'!E$5:E$3360,6,'J Book Items Cons.'!U$5:U$3360,"USCG",'J Book Items Cons.'!W$5:W$3360,"Fast Response Cutters",'J Book Items Cons.'!R$5:R$3360,"",'J Book Items Cons.'!N$5:N$3360,"&lt;&gt;")+SUMIFS('J Book Items Cons.'!L$5:L$3360,'J Book Items Cons.'!S$5:S$3360,"",'J Book Items Cons.'!E$5:E$3360,6,'J Book Items Cons.'!U$5:U$3360,"USCG",'J Book Items Cons.'!W$5:W$3360,"Fast Response Cutters",'J Book Items Cons.'!R$5:R$3360,"",'J Book Items Cons.'!N$5:N$3360,"")+SUMIFS('J Book Items Cons.'!R$5:R$3360,'J Book Items Cons.'!S$5:S$3360,"[PARENT]",'J Book Items Cons.'!E$5:E$3360,6,'J Book Items Cons.'!U$5:U$3360,"USCG",'J Book Items Cons.'!W$5:W$3360,"Fast Response Cutters",'J Book Items Cons.'!R$5:R$3360,"&lt;&gt;")+SUMIFS('J Book Items Cons.'!N$5:N$3360,'J Book Items Cons.'!S$5:S$3360,"[PARENT]",'J Book Items Cons.'!E$5:E$3360,6,'J Book Items Cons.'!U$5:U$3360,"USCG",'J Book Items Cons.'!W$5:W$3360,"Fast Response Cutters",'J Book Items Cons.'!R$5:R$3360,"",'J Book Items Cons.'!N$5:N$3360,"&lt;&gt;")+SUMIFS('J Book Items Cons.'!L$5:L$3360,'J Book Items Cons.'!S$5:S$3360,"[PARENT]",'J Book Items Cons.'!E$5:E$3360,6,'J Book Items Cons.'!U$5:U$3360,"USCG",'J Book Items Cons.'!W$5:W$3360,"Fast Response Cutters",'J Book Items Cons.'!R$5:R$3360,"",'J Book Items Cons.'!N$5:N$3360,""))/P100)</f>
        <v>0</v>
      </c>
      <c r="Q98" s="38">
        <f>IF(Q100=0,0,(SUMIFS('J Book Items Cons.'!R$5:R$3360,'J Book Items Cons.'!S$5:S$3360,"",'J Book Items Cons.'!E$5:E$3360,6,'J Book Items Cons.'!U$5:U$3360,"USCG",'J Book Items Cons.'!W$5:W$3360,"Icebreakers, Oceangoing",'J Book Items Cons.'!R$5:R$3360,"&lt;&gt;")+SUMIFS('J Book Items Cons.'!N$5:N$3360,'J Book Items Cons.'!S$5:S$3360,"",'J Book Items Cons.'!E$5:E$3360,6,'J Book Items Cons.'!U$5:U$3360,"USCG",'J Book Items Cons.'!W$5:W$3360,"Icebreakers, Oceangoing",'J Book Items Cons.'!R$5:R$3360,"",'J Book Items Cons.'!N$5:N$3360,"&lt;&gt;")+SUMIFS('J Book Items Cons.'!L$5:L$3360,'J Book Items Cons.'!S$5:S$3360,"",'J Book Items Cons.'!E$5:E$3360,6,'J Book Items Cons.'!U$5:U$3360,"USCG",'J Book Items Cons.'!W$5:W$3360,"Icebreakers, Oceangoing",'J Book Items Cons.'!R$5:R$3360,"",'J Book Items Cons.'!N$5:N$3360,"")+SUMIFS('J Book Items Cons.'!R$5:R$3360,'J Book Items Cons.'!S$5:S$3360,"[PARENT]",'J Book Items Cons.'!E$5:E$3360,6,'J Book Items Cons.'!U$5:U$3360,"USCG",'J Book Items Cons.'!W$5:W$3360,"Icebreakers, Oceangoing",'J Book Items Cons.'!R$5:R$3360,"&lt;&gt;")+SUMIFS('J Book Items Cons.'!N$5:N$3360,'J Book Items Cons.'!S$5:S$3360,"[PARENT]",'J Book Items Cons.'!E$5:E$3360,6,'J Book Items Cons.'!U$5:U$3360,"USCG",'J Book Items Cons.'!W$5:W$3360,"Icebreakers, Oceangoing",'J Book Items Cons.'!R$5:R$3360,"",'J Book Items Cons.'!N$5:N$3360,"&lt;&gt;")+SUMIFS('J Book Items Cons.'!L$5:L$3360,'J Book Items Cons.'!S$5:S$3360,"[PARENT]",'J Book Items Cons.'!E$5:E$3360,6,'J Book Items Cons.'!U$5:U$3360,"USCG",'J Book Items Cons.'!W$5:W$3360,"Icebreakers, Oceangoing",'J Book Items Cons.'!R$5:R$3360,"",'J Book Items Cons.'!N$5:N$3360,""))/Q100)</f>
        <v>0</v>
      </c>
      <c r="R98" s="38">
        <f>IF(R100=0,0,(SUMIFS('J Book Items Cons.'!R$5:R$3360,'J Book Items Cons.'!S$5:S$3360,"",'J Book Items Cons.'!E$5:E$3360,6,'J Book Items Cons.'!U$5:U$3360,"USCG",'J Book Items Cons.'!W$5:W$3360,"Waterways Commerce Cutters",'J Book Items Cons.'!R$5:R$3360,"&lt;&gt;")+SUMIFS('J Book Items Cons.'!N$5:N$3360,'J Book Items Cons.'!S$5:S$3360,"",'J Book Items Cons.'!E$5:E$3360,6,'J Book Items Cons.'!U$5:U$3360,"USCG",'J Book Items Cons.'!W$5:W$3360,"Waterways Commerce Cutters",'J Book Items Cons.'!R$5:R$3360,"",'J Book Items Cons.'!N$5:N$3360,"&lt;&gt;")+SUMIFS('J Book Items Cons.'!L$5:L$3360,'J Book Items Cons.'!S$5:S$3360,"",'J Book Items Cons.'!E$5:E$3360,6,'J Book Items Cons.'!U$5:U$3360,"USCG",'J Book Items Cons.'!W$5:W$3360,"Waterways Commerce Cutters",'J Book Items Cons.'!R$5:R$3360,"",'J Book Items Cons.'!N$5:N$3360,"")+SUMIFS('J Book Items Cons.'!R$5:R$3360,'J Book Items Cons.'!S$5:S$3360,"[PARENT]",'J Book Items Cons.'!E$5:E$3360,6,'J Book Items Cons.'!U$5:U$3360,"USCG",'J Book Items Cons.'!W$5:W$3360,"Waterways Commerce Cutters",'J Book Items Cons.'!R$5:R$3360,"&lt;&gt;")+SUMIFS('J Book Items Cons.'!N$5:N$3360,'J Book Items Cons.'!S$5:S$3360,"[PARENT]",'J Book Items Cons.'!E$5:E$3360,6,'J Book Items Cons.'!U$5:U$3360,"USCG",'J Book Items Cons.'!W$5:W$3360,"Waterways Commerce Cutters",'J Book Items Cons.'!R$5:R$3360,"",'J Book Items Cons.'!N$5:N$3360,"&lt;&gt;")+SUMIFS('J Book Items Cons.'!L$5:L$3360,'J Book Items Cons.'!S$5:S$3360,"[PARENT]",'J Book Items Cons.'!E$5:E$3360,6,'J Book Items Cons.'!U$5:U$3360,"USCG",'J Book Items Cons.'!W$5:W$3360,"Waterways Commerce Cutters",'J Book Items Cons.'!R$5:R$3360,"",'J Book Items Cons.'!N$5:N$3360,""))/R100)</f>
        <v>0</v>
      </c>
      <c r="S98" s="39">
        <f>IF(S100=0,0,(SUMIFS('J Book Items Cons.'!R$5:R$3360,'J Book Items Cons.'!S$5:S$3360,"",'J Book Items Cons.'!E$5:E$3360,6,'J Book Items Cons.'!U$5:U$3360,"USCG",'J Book Items Cons.'!W$5:W$3360,"National Security Cutters",'J Book Items Cons.'!R$5:R$3360,"&lt;&gt;")+SUMIFS('J Book Items Cons.'!N$5:N$3360,'J Book Items Cons.'!S$5:S$3360,"",'J Book Items Cons.'!E$5:E$3360,6,'J Book Items Cons.'!U$5:U$3360,"USCG",'J Book Items Cons.'!W$5:W$3360,"National Security Cutters",'J Book Items Cons.'!R$5:R$3360,"",'J Book Items Cons.'!N$5:N$3360,"&lt;&gt;")+SUMIFS('J Book Items Cons.'!L$5:L$3360,'J Book Items Cons.'!S$5:S$3360,"",'J Book Items Cons.'!E$5:E$3360,6,'J Book Items Cons.'!U$5:U$3360,"USCG",'J Book Items Cons.'!W$5:W$3360,"National Security Cutters",'J Book Items Cons.'!R$5:R$3360,"",'J Book Items Cons.'!N$5:N$3360,"")+SUMIFS('J Book Items Cons.'!R$5:R$3360,'J Book Items Cons.'!S$5:S$3360,"[PARENT]",'J Book Items Cons.'!E$5:E$3360,6,'J Book Items Cons.'!U$5:U$3360,"USCG",'J Book Items Cons.'!W$5:W$3360,"National Security Cutters",'J Book Items Cons.'!R$5:R$3360,"&lt;&gt;")+SUMIFS('J Book Items Cons.'!N$5:N$3360,'J Book Items Cons.'!S$5:S$3360,"[PARENT]",'J Book Items Cons.'!E$5:E$3360,6,'J Book Items Cons.'!U$5:U$3360,"USCG",'J Book Items Cons.'!W$5:W$3360,"National Security Cutters",'J Book Items Cons.'!R$5:R$3360,"",'J Book Items Cons.'!N$5:N$3360,"&lt;&gt;")+SUMIFS('J Book Items Cons.'!L$5:L$3360,'J Book Items Cons.'!S$5:S$3360,"[PARENT]",'J Book Items Cons.'!E$5:E$3360,6,'J Book Items Cons.'!U$5:U$3360,"USCG",'J Book Items Cons.'!W$5:W$3360,"National Security Cutters",'J Book Items Cons.'!R$5:R$3360,"",'J Book Items Cons.'!N$5:N$3360,""))/S100)</f>
        <v>0</v>
      </c>
      <c r="T98" s="38">
        <f>IF(T100=0,0,SUMPRODUCT(B98:S98,B$100:S$100)/T$100)</f>
        <v>6.3265232223776394E-3</v>
      </c>
    </row>
    <row r="99" spans="1:20" ht="12" customHeight="1" thickBot="1" x14ac:dyDescent="0.2">
      <c r="A99" s="7" t="s">
        <v>5665</v>
      </c>
      <c r="B99" s="37">
        <f>IF(B100=0,0,(SUMIFS('J Book Items Cons.'!R$5:R$3360,'J Book Items Cons.'!S$5:S$3360,"",'J Book Items Cons.'!E$5:E$3360,7,'J Book Items Cons.'!U$5:U$3360,"USN",'J Book Items Cons.'!W$5:W$3360,"Submarines",'J Book Items Cons.'!R$5:R$3360,"&lt;&gt;")+SUMIFS('J Book Items Cons.'!N$5:N$3360,'J Book Items Cons.'!S$5:S$3360,"",'J Book Items Cons.'!E$5:E$3360,7,'J Book Items Cons.'!U$5:U$3360,"USN",'J Book Items Cons.'!W$5:W$3360,"Submarines",'J Book Items Cons.'!R$5:R$3360,"",'J Book Items Cons.'!N$5:N$3360,"&lt;&gt;")+SUMIFS('J Book Items Cons.'!L$5:L$3360,'J Book Items Cons.'!S$5:S$3360,"",'J Book Items Cons.'!E$5:E$3360,7,'J Book Items Cons.'!U$5:U$3360,"USN",'J Book Items Cons.'!W$5:W$3360,"Submarines",'J Book Items Cons.'!R$5:R$3360,"",'J Book Items Cons.'!N$5:N$3360,"")+SUMIFS('J Book Items Cons.'!R$5:R$3360,'J Book Items Cons.'!S$5:S$3360,"[PARENT]",'J Book Items Cons.'!E$5:E$3360,7,'J Book Items Cons.'!U$5:U$3360,"USN",'J Book Items Cons.'!W$5:W$3360,"Submarines",'J Book Items Cons.'!R$5:R$3360,"&lt;&gt;")+SUMIFS('J Book Items Cons.'!N$5:N$3360,'J Book Items Cons.'!S$5:S$3360,"[PARENT]",'J Book Items Cons.'!E$5:E$3360,7,'J Book Items Cons.'!U$5:U$3360,"USN",'J Book Items Cons.'!W$5:W$3360,"Submarines",'J Book Items Cons.'!R$5:R$3360,"",'J Book Items Cons.'!N$5:N$3360,"&lt;&gt;")+SUMIFS('J Book Items Cons.'!L$5:L$3360,'J Book Items Cons.'!S$5:S$3360,"[PARENT]",'J Book Items Cons.'!E$5:E$3360,7,'J Book Items Cons.'!U$5:U$3360,"USN",'J Book Items Cons.'!W$5:W$3360,"Submarines",'J Book Items Cons.'!R$5:R$3360,"",'J Book Items Cons.'!N$5:N$3360,""))/B100)</f>
        <v>0</v>
      </c>
      <c r="C99" s="38">
        <f>IF(C100=0,0,(SUMIFS('J Book Items Cons.'!R$5:R$3360,'J Book Items Cons.'!S$5:S$3360,"",'J Book Items Cons.'!E$5:E$3360,7,'J Book Items Cons.'!U$5:U$3360,"USN",'J Book Items Cons.'!W$5:W$3360,"Surface Combatants",'J Book Items Cons.'!R$5:R$3360,"&lt;&gt;")+SUMIFS('J Book Items Cons.'!N$5:N$3360,'J Book Items Cons.'!S$5:S$3360,"",'J Book Items Cons.'!E$5:E$3360,7,'J Book Items Cons.'!U$5:U$3360,"USN",'J Book Items Cons.'!W$5:W$3360,"Surface Combatants",'J Book Items Cons.'!R$5:R$3360,"",'J Book Items Cons.'!N$5:N$3360,"&lt;&gt;")+SUMIFS('J Book Items Cons.'!L$5:L$3360,'J Book Items Cons.'!S$5:S$3360,"",'J Book Items Cons.'!E$5:E$3360,7,'J Book Items Cons.'!U$5:U$3360,"USN",'J Book Items Cons.'!W$5:W$3360,"Surface Combatants",'J Book Items Cons.'!R$5:R$3360,"",'J Book Items Cons.'!N$5:N$3360,"")+SUMIFS('J Book Items Cons.'!R$5:R$3360,'J Book Items Cons.'!S$5:S$3360,"[PARENT]",'J Book Items Cons.'!E$5:E$3360,7,'J Book Items Cons.'!U$5:U$3360,"USN",'J Book Items Cons.'!W$5:W$3360,"Surface Combatants",'J Book Items Cons.'!R$5:R$3360,"&lt;&gt;")+SUMIFS('J Book Items Cons.'!N$5:N$3360,'J Book Items Cons.'!S$5:S$3360,"[PARENT]",'J Book Items Cons.'!E$5:E$3360,7,'J Book Items Cons.'!U$5:U$3360,"USN",'J Book Items Cons.'!W$5:W$3360,"Surface Combatants",'J Book Items Cons.'!R$5:R$3360,"",'J Book Items Cons.'!N$5:N$3360,"&lt;&gt;")+SUMIFS('J Book Items Cons.'!L$5:L$3360,'J Book Items Cons.'!S$5:S$3360,"[PARENT]",'J Book Items Cons.'!E$5:E$3360,7,'J Book Items Cons.'!U$5:U$3360,"USN",'J Book Items Cons.'!W$5:W$3360,"Surface Combatants",'J Book Items Cons.'!R$5:R$3360,"",'J Book Items Cons.'!N$5:N$3360,""))/C100)</f>
        <v>0</v>
      </c>
      <c r="D99" s="38">
        <f>IF(D100=0,0,(SUMIFS('J Book Items Cons.'!R$5:R$3360,'J Book Items Cons.'!S$5:S$3360,"",'J Book Items Cons.'!E$5:E$3360,7,'J Book Items Cons.'!U$5:U$3360,"USN",'J Book Items Cons.'!W$5:W$3360,"Aircraft Carriers",'J Book Items Cons.'!R$5:R$3360,"&lt;&gt;")+SUMIFS('J Book Items Cons.'!N$5:N$3360,'J Book Items Cons.'!S$5:S$3360,"",'J Book Items Cons.'!E$5:E$3360,7,'J Book Items Cons.'!U$5:U$3360,"USN",'J Book Items Cons.'!W$5:W$3360,"Aircraft Carriers",'J Book Items Cons.'!R$5:R$3360,"",'J Book Items Cons.'!N$5:N$3360,"&lt;&gt;")+SUMIFS('J Book Items Cons.'!L$5:L$3360,'J Book Items Cons.'!S$5:S$3360,"",'J Book Items Cons.'!E$5:E$3360,7,'J Book Items Cons.'!U$5:U$3360,"USN",'J Book Items Cons.'!W$5:W$3360,"Aircraft Carriers",'J Book Items Cons.'!R$5:R$3360,"",'J Book Items Cons.'!N$5:N$3360,"")+SUMIFS('J Book Items Cons.'!R$5:R$3360,'J Book Items Cons.'!S$5:S$3360,"[PARENT]",'J Book Items Cons.'!E$5:E$3360,7,'J Book Items Cons.'!U$5:U$3360,"USN",'J Book Items Cons.'!W$5:W$3360,"Aircraft Carriers",'J Book Items Cons.'!R$5:R$3360,"&lt;&gt;")+SUMIFS('J Book Items Cons.'!N$5:N$3360,'J Book Items Cons.'!S$5:S$3360,"[PARENT]",'J Book Items Cons.'!E$5:E$3360,7,'J Book Items Cons.'!U$5:U$3360,"USN",'J Book Items Cons.'!W$5:W$3360,"Aircraft Carriers",'J Book Items Cons.'!R$5:R$3360,"",'J Book Items Cons.'!N$5:N$3360,"&lt;&gt;")+SUMIFS('J Book Items Cons.'!L$5:L$3360,'J Book Items Cons.'!S$5:S$3360,"[PARENT]",'J Book Items Cons.'!E$5:E$3360,7,'J Book Items Cons.'!U$5:U$3360,"USN",'J Book Items Cons.'!W$5:W$3360,"Aircraft Carriers",'J Book Items Cons.'!R$5:R$3360,"",'J Book Items Cons.'!N$5:N$3360,""))/D100)</f>
        <v>0</v>
      </c>
      <c r="E99" s="38">
        <f>IF(E100=0,0,(SUMIFS('J Book Items Cons.'!R$5:R$3360,'J Book Items Cons.'!S$5:S$3360,"",'J Book Items Cons.'!E$5:E$3360,7,'J Book Items Cons.'!U$5:U$3360,"USN",'J Book Items Cons.'!W$5:W$3360,"Amphibious Warfare Ships",'J Book Items Cons.'!R$5:R$3360,"&lt;&gt;")+SUMIFS('J Book Items Cons.'!N$5:N$3360,'J Book Items Cons.'!S$5:S$3360,"",'J Book Items Cons.'!E$5:E$3360,7,'J Book Items Cons.'!U$5:U$3360,"USN",'J Book Items Cons.'!W$5:W$3360,"Amphibious Warfare Ships",'J Book Items Cons.'!R$5:R$3360,"",'J Book Items Cons.'!N$5:N$3360,"&lt;&gt;")+SUMIFS('J Book Items Cons.'!L$5:L$3360,'J Book Items Cons.'!S$5:S$3360,"",'J Book Items Cons.'!E$5:E$3360,7,'J Book Items Cons.'!U$5:U$3360,"USN",'J Book Items Cons.'!W$5:W$3360,"Amphibious Warfare Ships",'J Book Items Cons.'!R$5:R$3360,"",'J Book Items Cons.'!N$5:N$3360,"")+SUMIFS('J Book Items Cons.'!R$5:R$3360,'J Book Items Cons.'!S$5:S$3360,"[PARENT]",'J Book Items Cons.'!E$5:E$3360,7,'J Book Items Cons.'!U$5:U$3360,"USN",'J Book Items Cons.'!W$5:W$3360,"Amphibious Warfare Ships",'J Book Items Cons.'!R$5:R$3360,"&lt;&gt;")+SUMIFS('J Book Items Cons.'!N$5:N$3360,'J Book Items Cons.'!S$5:S$3360,"[PARENT]",'J Book Items Cons.'!E$5:E$3360,7,'J Book Items Cons.'!U$5:U$3360,"USN",'J Book Items Cons.'!W$5:W$3360,"Amphibious Warfare Ships",'J Book Items Cons.'!R$5:R$3360,"",'J Book Items Cons.'!N$5:N$3360,"&lt;&gt;")+SUMIFS('J Book Items Cons.'!L$5:L$3360,'J Book Items Cons.'!S$5:S$3360,"[PARENT]",'J Book Items Cons.'!E$5:E$3360,7,'J Book Items Cons.'!U$5:U$3360,"USN",'J Book Items Cons.'!W$5:W$3360,"Amphibious Warfare Ships",'J Book Items Cons.'!R$5:R$3360,"",'J Book Items Cons.'!N$5:N$3360,""))/E100)</f>
        <v>0</v>
      </c>
      <c r="F99" s="38">
        <f>IF(F100=0,0,(SUMIFS('J Book Items Cons.'!R$5:R$3360,'J Book Items Cons.'!S$5:S$3360,"",'J Book Items Cons.'!E$5:E$3360,7,'J Book Items Cons.'!U$5:U$3360,"USN",'J Book Items Cons.'!W$5:W$3360,"Expeditionary &amp; Seabasing Ships",'J Book Items Cons.'!R$5:R$3360,"&lt;&gt;")+SUMIFS('J Book Items Cons.'!N$5:N$3360,'J Book Items Cons.'!S$5:S$3360,"",'J Book Items Cons.'!E$5:E$3360,7,'J Book Items Cons.'!U$5:U$3360,"USN",'J Book Items Cons.'!W$5:W$3360,"Expeditionary &amp; Seabasing Ships",'J Book Items Cons.'!R$5:R$3360,"",'J Book Items Cons.'!N$5:N$3360,"&lt;&gt;")+SUMIFS('J Book Items Cons.'!L$5:L$3360,'J Book Items Cons.'!S$5:S$3360,"",'J Book Items Cons.'!E$5:E$3360,7,'J Book Items Cons.'!U$5:U$3360,"USN",'J Book Items Cons.'!W$5:W$3360,"Expeditionary &amp; Seabasing Ships",'J Book Items Cons.'!R$5:R$3360,"",'J Book Items Cons.'!N$5:N$3360,"")+SUMIFS('J Book Items Cons.'!R$5:R$3360,'J Book Items Cons.'!S$5:S$3360,"[PARENT]",'J Book Items Cons.'!E$5:E$3360,7,'J Book Items Cons.'!U$5:U$3360,"USN",'J Book Items Cons.'!W$5:W$3360,"Expeditionary &amp; Seabasing Ships",'J Book Items Cons.'!R$5:R$3360,"&lt;&gt;")+SUMIFS('J Book Items Cons.'!N$5:N$3360,'J Book Items Cons.'!S$5:S$3360,"[PARENT]",'J Book Items Cons.'!E$5:E$3360,7,'J Book Items Cons.'!U$5:U$3360,"USN",'J Book Items Cons.'!W$5:W$3360,"Expeditionary &amp; Seabasing Ships",'J Book Items Cons.'!R$5:R$3360,"",'J Book Items Cons.'!N$5:N$3360,"&lt;&gt;")+SUMIFS('J Book Items Cons.'!L$5:L$3360,'J Book Items Cons.'!S$5:S$3360,"[PARENT]",'J Book Items Cons.'!E$5:E$3360,7,'J Book Items Cons.'!U$5:U$3360,"USN",'J Book Items Cons.'!W$5:W$3360,"Expeditionary &amp; Seabasing Ships",'J Book Items Cons.'!R$5:R$3360,"",'J Book Items Cons.'!N$5:N$3360,""))/F100)</f>
        <v>0.61671661132258848</v>
      </c>
      <c r="G99" s="38">
        <f>IF(G100=0,0,(SUMIFS('J Book Items Cons.'!R$5:R$3360,'J Book Items Cons.'!S$5:S$3360,"",'J Book Items Cons.'!E$5:E$3360,7,'J Book Items Cons.'!U$5:U$3360,"MSC",'J Book Items Cons.'!W$5:W$3360,"Combat Logistics Ships",'J Book Items Cons.'!R$5:R$3360,"&lt;&gt;")+SUMIFS('J Book Items Cons.'!N$5:N$3360,'J Book Items Cons.'!S$5:S$3360,"",'J Book Items Cons.'!E$5:E$3360,7,'J Book Items Cons.'!U$5:U$3360,"MSC",'J Book Items Cons.'!W$5:W$3360,"Combat Logistics Ships",'J Book Items Cons.'!R$5:R$3360,"",'J Book Items Cons.'!N$5:N$3360,"&lt;&gt;")+SUMIFS('J Book Items Cons.'!L$5:L$3360,'J Book Items Cons.'!S$5:S$3360,"",'J Book Items Cons.'!E$5:E$3360,7,'J Book Items Cons.'!U$5:U$3360,"MSC",'J Book Items Cons.'!W$5:W$3360,"Combat Logistics Ships",'J Book Items Cons.'!R$5:R$3360,"",'J Book Items Cons.'!N$5:N$3360,"")+SUMIFS('J Book Items Cons.'!R$5:R$3360,'J Book Items Cons.'!S$5:S$3360,"[PARENT]",'J Book Items Cons.'!E$5:E$3360,7,'J Book Items Cons.'!U$5:U$3360,"MSC",'J Book Items Cons.'!W$5:W$3360,"Combat Logistics Ships",'J Book Items Cons.'!R$5:R$3360,"&lt;&gt;")+SUMIFS('J Book Items Cons.'!N$5:N$3360,'J Book Items Cons.'!S$5:S$3360,"[PARENT]",'J Book Items Cons.'!E$5:E$3360,7,'J Book Items Cons.'!U$5:U$3360,"MSC",'J Book Items Cons.'!W$5:W$3360,"Combat Logistics Ships",'J Book Items Cons.'!R$5:R$3360,"",'J Book Items Cons.'!N$5:N$3360,"&lt;&gt;")+SUMIFS('J Book Items Cons.'!L$5:L$3360,'J Book Items Cons.'!S$5:S$3360,"[PARENT]",'J Book Items Cons.'!E$5:E$3360,7,'J Book Items Cons.'!U$5:U$3360,"MSC",'J Book Items Cons.'!W$5:W$3360,"Combat Logistics Ships",'J Book Items Cons.'!R$5:R$3360,"",'J Book Items Cons.'!N$5:N$3360,""))/G100)</f>
        <v>0</v>
      </c>
      <c r="H99" s="38">
        <f>IF(H100=0,0,(SUMIFS('J Book Items Cons.'!R$5:R$3360,'J Book Items Cons.'!S$5:S$3360,"",'J Book Items Cons.'!E$5:E$3360,7,'J Book Items Cons.'!U$5:U$3360,"USN",'J Book Items Cons.'!W$5:W$3360,"Unmanned Surface Vehicles",'J Book Items Cons.'!R$5:R$3360,"&lt;&gt;")+SUMIFS('J Book Items Cons.'!N$5:N$3360,'J Book Items Cons.'!S$5:S$3360,"",'J Book Items Cons.'!E$5:E$3360,7,'J Book Items Cons.'!U$5:U$3360,"USN",'J Book Items Cons.'!W$5:W$3360,"Unmanned Surface Vehicles",'J Book Items Cons.'!R$5:R$3360,"",'J Book Items Cons.'!N$5:N$3360,"&lt;&gt;")+SUMIFS('J Book Items Cons.'!L$5:L$3360,'J Book Items Cons.'!S$5:S$3360,"",'J Book Items Cons.'!E$5:E$3360,7,'J Book Items Cons.'!U$5:U$3360,"USN",'J Book Items Cons.'!W$5:W$3360,"Unmanned Surface Vehicles",'J Book Items Cons.'!R$5:R$3360,"",'J Book Items Cons.'!N$5:N$3360,"")+SUMIFS('J Book Items Cons.'!R$5:R$3360,'J Book Items Cons.'!S$5:S$3360,"[PARENT]",'J Book Items Cons.'!E$5:E$3360,7,'J Book Items Cons.'!U$5:U$3360,"USN",'J Book Items Cons.'!W$5:W$3360,"Unmanned Surface Vehicles",'J Book Items Cons.'!R$5:R$3360,"&lt;&gt;")+SUMIFS('J Book Items Cons.'!N$5:N$3360,'J Book Items Cons.'!S$5:S$3360,"[PARENT]",'J Book Items Cons.'!E$5:E$3360,7,'J Book Items Cons.'!U$5:U$3360,"USN",'J Book Items Cons.'!W$5:W$3360,"Unmanned Surface Vehicles",'J Book Items Cons.'!R$5:R$3360,"",'J Book Items Cons.'!N$5:N$3360,"&lt;&gt;")+SUMIFS('J Book Items Cons.'!L$5:L$3360,'J Book Items Cons.'!S$5:S$3360,"[PARENT]",'J Book Items Cons.'!E$5:E$3360,7,'J Book Items Cons.'!U$5:U$3360,"USN",'J Book Items Cons.'!W$5:W$3360,"Unmanned Surface Vehicles",'J Book Items Cons.'!R$5:R$3360,"",'J Book Items Cons.'!N$5:N$3360,""))/H100)</f>
        <v>0</v>
      </c>
      <c r="I99" s="38">
        <f>IF(I100=0,0,(SUMIFS('J Book Items Cons.'!R$5:R$3360,'J Book Items Cons.'!S$5:S$3360,"",'J Book Items Cons.'!E$5:E$3360,7,'J Book Items Cons.'!U$5:U$3360,"USN",'J Book Items Cons.'!W$5:W$3360,"Amphibious Warfare Craft",'J Book Items Cons.'!R$5:R$3360,"&lt;&gt;")+SUMIFS('J Book Items Cons.'!N$5:N$3360,'J Book Items Cons.'!S$5:S$3360,"",'J Book Items Cons.'!E$5:E$3360,7,'J Book Items Cons.'!U$5:U$3360,"USN",'J Book Items Cons.'!W$5:W$3360,"Amphibious Warfare Craft",'J Book Items Cons.'!R$5:R$3360,"",'J Book Items Cons.'!N$5:N$3360,"&lt;&gt;")+SUMIFS('J Book Items Cons.'!L$5:L$3360,'J Book Items Cons.'!S$5:S$3360,"",'J Book Items Cons.'!E$5:E$3360,7,'J Book Items Cons.'!U$5:U$3360,"USN",'J Book Items Cons.'!W$5:W$3360,"Amphibious Warfare Craft",'J Book Items Cons.'!R$5:R$3360,"",'J Book Items Cons.'!N$5:N$3360,"")+SUMIFS('J Book Items Cons.'!R$5:R$3360,'J Book Items Cons.'!S$5:S$3360,"[PARENT]",'J Book Items Cons.'!E$5:E$3360,7,'J Book Items Cons.'!U$5:U$3360,"USN",'J Book Items Cons.'!W$5:W$3360,"Amphibious Warfare Craft",'J Book Items Cons.'!R$5:R$3360,"&lt;&gt;")+SUMIFS('J Book Items Cons.'!N$5:N$3360,'J Book Items Cons.'!S$5:S$3360,"[PARENT]",'J Book Items Cons.'!E$5:E$3360,7,'J Book Items Cons.'!U$5:U$3360,"USN",'J Book Items Cons.'!W$5:W$3360,"Amphibious Warfare Craft",'J Book Items Cons.'!R$5:R$3360,"",'J Book Items Cons.'!N$5:N$3360,"&lt;&gt;")+SUMIFS('J Book Items Cons.'!L$5:L$3360,'J Book Items Cons.'!S$5:S$3360,"[PARENT]",'J Book Items Cons.'!E$5:E$3360,7,'J Book Items Cons.'!U$5:U$3360,"USN",'J Book Items Cons.'!W$5:W$3360,"Amphibious Warfare Craft",'J Book Items Cons.'!R$5:R$3360,"",'J Book Items Cons.'!N$5:N$3360,""))/I100)</f>
        <v>0</v>
      </c>
      <c r="J99" s="38">
        <f>IF(J100=0,0,(SUMIFS('J Book Items Cons.'!R$5:R$3360,'J Book Items Cons.'!S$5:S$3360,"",'J Book Items Cons.'!E$5:E$3360,7,'J Book Items Cons.'!U$5:U$3360,"MSC",'J Book Items Cons.'!W$5:W$3360,"Cargo &amp; Vehicle Cargo Ships",'J Book Items Cons.'!R$5:R$3360,"&lt;&gt;")+SUMIFS('J Book Items Cons.'!N$5:N$3360,'J Book Items Cons.'!S$5:S$3360,"",'J Book Items Cons.'!E$5:E$3360,7,'J Book Items Cons.'!U$5:U$3360,"MSC",'J Book Items Cons.'!W$5:W$3360,"Cargo &amp; Vehicle Cargo Ships",'J Book Items Cons.'!R$5:R$3360,"",'J Book Items Cons.'!N$5:N$3360,"&lt;&gt;")+SUMIFS('J Book Items Cons.'!L$5:L$3360,'J Book Items Cons.'!S$5:S$3360,"",'J Book Items Cons.'!E$5:E$3360,7,'J Book Items Cons.'!U$5:U$3360,"MSC",'J Book Items Cons.'!W$5:W$3360,"Cargo &amp; Vehicle Cargo Ships",'J Book Items Cons.'!R$5:R$3360,"",'J Book Items Cons.'!N$5:N$3360,"")+SUMIFS('J Book Items Cons.'!R$5:R$3360,'J Book Items Cons.'!S$5:S$3360,"[PARENT]",'J Book Items Cons.'!E$5:E$3360,7,'J Book Items Cons.'!U$5:U$3360,"MSC",'J Book Items Cons.'!W$5:W$3360,"Cargo &amp; Vehicle Cargo Ships",'J Book Items Cons.'!R$5:R$3360,"&lt;&gt;")+SUMIFS('J Book Items Cons.'!N$5:N$3360,'J Book Items Cons.'!S$5:S$3360,"[PARENT]",'J Book Items Cons.'!E$5:E$3360,7,'J Book Items Cons.'!U$5:U$3360,"MSC",'J Book Items Cons.'!W$5:W$3360,"Cargo &amp; Vehicle Cargo Ships",'J Book Items Cons.'!R$5:R$3360,"",'J Book Items Cons.'!N$5:N$3360,"&lt;&gt;")+SUMIFS('J Book Items Cons.'!L$5:L$3360,'J Book Items Cons.'!S$5:S$3360,"[PARENT]",'J Book Items Cons.'!E$5:E$3360,7,'J Book Items Cons.'!U$5:U$3360,"MSC",'J Book Items Cons.'!W$5:W$3360,"Cargo &amp; Vehicle Cargo Ships",'J Book Items Cons.'!R$5:R$3360,"",'J Book Items Cons.'!N$5:N$3360,""))/J100)</f>
        <v>0</v>
      </c>
      <c r="K99" s="38">
        <f>IF(K100=0,0,(SUMIFS('J Book Items Cons.'!R$5:R$3360,'J Book Items Cons.'!S$5:S$3360,"",'J Book Items Cons.'!E$5:E$3360,7,'J Book Items Cons.'!U$5:U$3360,"MSC",'J Book Items Cons.'!W$5:W$3360,"Surveillance Ships",'J Book Items Cons.'!R$5:R$3360,"&lt;&gt;")+SUMIFS('J Book Items Cons.'!N$5:N$3360,'J Book Items Cons.'!S$5:S$3360,"",'J Book Items Cons.'!E$5:E$3360,7,'J Book Items Cons.'!U$5:U$3360,"MSC",'J Book Items Cons.'!W$5:W$3360,"Surveillance Ships",'J Book Items Cons.'!R$5:R$3360,"",'J Book Items Cons.'!N$5:N$3360,"&lt;&gt;")+SUMIFS('J Book Items Cons.'!L$5:L$3360,'J Book Items Cons.'!S$5:S$3360,"",'J Book Items Cons.'!E$5:E$3360,7,'J Book Items Cons.'!U$5:U$3360,"MSC",'J Book Items Cons.'!W$5:W$3360,"Surveillance Ships",'J Book Items Cons.'!R$5:R$3360,"",'J Book Items Cons.'!N$5:N$3360,"")+SUMIFS('J Book Items Cons.'!R$5:R$3360,'J Book Items Cons.'!S$5:S$3360,"[PARENT]",'J Book Items Cons.'!E$5:E$3360,7,'J Book Items Cons.'!U$5:U$3360,"MSC",'J Book Items Cons.'!W$5:W$3360,"Surveillance Ships",'J Book Items Cons.'!R$5:R$3360,"&lt;&gt;")+SUMIFS('J Book Items Cons.'!N$5:N$3360,'J Book Items Cons.'!S$5:S$3360,"[PARENT]",'J Book Items Cons.'!E$5:E$3360,7,'J Book Items Cons.'!U$5:U$3360,"MSC",'J Book Items Cons.'!W$5:W$3360,"Surveillance Ships",'J Book Items Cons.'!R$5:R$3360,"",'J Book Items Cons.'!N$5:N$3360,"&lt;&gt;")+SUMIFS('J Book Items Cons.'!L$5:L$3360,'J Book Items Cons.'!S$5:S$3360,"[PARENT]",'J Book Items Cons.'!E$5:E$3360,7,'J Book Items Cons.'!U$5:U$3360,"MSC",'J Book Items Cons.'!W$5:W$3360,"Surveillance Ships",'J Book Items Cons.'!R$5:R$3360,"",'J Book Items Cons.'!N$5:N$3360,""))/K100)</f>
        <v>0</v>
      </c>
      <c r="L99" s="38">
        <f>IF(L100=0,0,(SUMIFS('J Book Items Cons.'!R$5:R$3360,'J Book Items Cons.'!S$5:S$3360,"",'J Book Items Cons.'!E$5:E$3360,7,'J Book Items Cons.'!U$5:U$3360,"USN",'J Book Items Cons.'!W$5:W$3360,"Unmanned Undersea Vehicles",'J Book Items Cons.'!R$5:R$3360,"&lt;&gt;")+SUMIFS('J Book Items Cons.'!N$5:N$3360,'J Book Items Cons.'!S$5:S$3360,"",'J Book Items Cons.'!E$5:E$3360,7,'J Book Items Cons.'!U$5:U$3360,"USN",'J Book Items Cons.'!W$5:W$3360,"Unmanned Undersea Vehicles",'J Book Items Cons.'!R$5:R$3360,"",'J Book Items Cons.'!N$5:N$3360,"&lt;&gt;")+SUMIFS('J Book Items Cons.'!L$5:L$3360,'J Book Items Cons.'!S$5:S$3360,"",'J Book Items Cons.'!E$5:E$3360,7,'J Book Items Cons.'!U$5:U$3360,"USN",'J Book Items Cons.'!W$5:W$3360,"Unmanned Undersea Vehicles",'J Book Items Cons.'!R$5:R$3360,"",'J Book Items Cons.'!N$5:N$3360,"")+SUMIFS('J Book Items Cons.'!R$5:R$3360,'J Book Items Cons.'!S$5:S$3360,"[PARENT]",'J Book Items Cons.'!E$5:E$3360,7,'J Book Items Cons.'!U$5:U$3360,"USN",'J Book Items Cons.'!W$5:W$3360,"Unmanned Undersea Vehicles",'J Book Items Cons.'!R$5:R$3360,"&lt;&gt;")+SUMIFS('J Book Items Cons.'!N$5:N$3360,'J Book Items Cons.'!S$5:S$3360,"[PARENT]",'J Book Items Cons.'!E$5:E$3360,7,'J Book Items Cons.'!U$5:U$3360,"USN",'J Book Items Cons.'!W$5:W$3360,"Unmanned Undersea Vehicles",'J Book Items Cons.'!R$5:R$3360,"",'J Book Items Cons.'!N$5:N$3360,"&lt;&gt;")+SUMIFS('J Book Items Cons.'!L$5:L$3360,'J Book Items Cons.'!S$5:S$3360,"[PARENT]",'J Book Items Cons.'!E$5:E$3360,7,'J Book Items Cons.'!U$5:U$3360,"USN",'J Book Items Cons.'!W$5:W$3360,"Unmanned Undersea Vehicles",'J Book Items Cons.'!R$5:R$3360,"",'J Book Items Cons.'!N$5:N$3360,""))/L100)</f>
        <v>0</v>
      </c>
      <c r="M99" s="38">
        <f>IF(M100=0,0,(SUMIFS('J Book Items Cons.'!R$5:R$3360,'J Book Items Cons.'!S$5:S$3360,"",'J Book Items Cons.'!E$5:E$3360,7,'J Book Items Cons.'!U$5:U$3360,"USN",'J Book Items Cons.'!W$5:W$3360,"Command Ships",'J Book Items Cons.'!R$5:R$3360,"&lt;&gt;")+SUMIFS('J Book Items Cons.'!N$5:N$3360,'J Book Items Cons.'!S$5:S$3360,"",'J Book Items Cons.'!E$5:E$3360,7,'J Book Items Cons.'!U$5:U$3360,"USN",'J Book Items Cons.'!W$5:W$3360,"Command Ships",'J Book Items Cons.'!R$5:R$3360,"",'J Book Items Cons.'!N$5:N$3360,"&lt;&gt;")+SUMIFS('J Book Items Cons.'!L$5:L$3360,'J Book Items Cons.'!S$5:S$3360,"",'J Book Items Cons.'!E$5:E$3360,7,'J Book Items Cons.'!U$5:U$3360,"USN",'J Book Items Cons.'!W$5:W$3360,"Command Ships",'J Book Items Cons.'!R$5:R$3360,"",'J Book Items Cons.'!N$5:N$3360,"")+SUMIFS('J Book Items Cons.'!R$5:R$3360,'J Book Items Cons.'!S$5:S$3360,"[PARENT]",'J Book Items Cons.'!E$5:E$3360,7,'J Book Items Cons.'!U$5:U$3360,"USN",'J Book Items Cons.'!W$5:W$3360,"Command Ships",'J Book Items Cons.'!R$5:R$3360,"&lt;&gt;")+SUMIFS('J Book Items Cons.'!N$5:N$3360,'J Book Items Cons.'!S$5:S$3360,"[PARENT]",'J Book Items Cons.'!E$5:E$3360,7,'J Book Items Cons.'!U$5:U$3360,"USN",'J Book Items Cons.'!W$5:W$3360,"Command Ships",'J Book Items Cons.'!R$5:R$3360,"",'J Book Items Cons.'!N$5:N$3360,"&lt;&gt;")+SUMIFS('J Book Items Cons.'!L$5:L$3360,'J Book Items Cons.'!S$5:S$3360,"[PARENT]",'J Book Items Cons.'!E$5:E$3360,7,'J Book Items Cons.'!U$5:U$3360,"USN",'J Book Items Cons.'!W$5:W$3360,"Command Ships",'J Book Items Cons.'!R$5:R$3360,"",'J Book Items Cons.'!N$5:N$3360,""))/M100)</f>
        <v>0</v>
      </c>
      <c r="N99" s="39">
        <f>IF(N100=0,0,(SUMIFS('J Book Items Cons.'!R$5:R$3360,'J Book Items Cons.'!S$5:S$3360,"",'J Book Items Cons.'!E$5:E$3360,7,'J Book Items Cons.'!U$5:U$3360,"USN",'J Book Items Cons.'!W$5:W$3360,"Mine Warfare",'J Book Items Cons.'!R$5:R$3360,"&lt;&gt;")+SUMIFS('J Book Items Cons.'!N$5:N$3360,'J Book Items Cons.'!S$5:S$3360,"",'J Book Items Cons.'!E$5:E$3360,7,'J Book Items Cons.'!U$5:U$3360,"USN",'J Book Items Cons.'!W$5:W$3360,"Mine Warfare",'J Book Items Cons.'!R$5:R$3360,"",'J Book Items Cons.'!N$5:N$3360,"&lt;&gt;")+SUMIFS('J Book Items Cons.'!L$5:L$3360,'J Book Items Cons.'!S$5:S$3360,"",'J Book Items Cons.'!E$5:E$3360,7,'J Book Items Cons.'!U$5:U$3360,"USN",'J Book Items Cons.'!W$5:W$3360,"Mine Warfare",'J Book Items Cons.'!R$5:R$3360,"",'J Book Items Cons.'!N$5:N$3360,"")+SUMIFS('J Book Items Cons.'!R$5:R$3360,'J Book Items Cons.'!S$5:S$3360,"[PARENT]",'J Book Items Cons.'!E$5:E$3360,7,'J Book Items Cons.'!U$5:U$3360,"USN",'J Book Items Cons.'!W$5:W$3360,"Mine Warfare",'J Book Items Cons.'!R$5:R$3360,"&lt;&gt;")+SUMIFS('J Book Items Cons.'!N$5:N$3360,'J Book Items Cons.'!S$5:S$3360,"[PARENT]",'J Book Items Cons.'!E$5:E$3360,7,'J Book Items Cons.'!U$5:U$3360,"USN",'J Book Items Cons.'!W$5:W$3360,"Mine Warfare",'J Book Items Cons.'!R$5:R$3360,"",'J Book Items Cons.'!N$5:N$3360,"&lt;&gt;")+SUMIFS('J Book Items Cons.'!L$5:L$3360,'J Book Items Cons.'!S$5:S$3360,"[PARENT]",'J Book Items Cons.'!E$5:E$3360,7,'J Book Items Cons.'!U$5:U$3360,"USN",'J Book Items Cons.'!W$5:W$3360,"Mine Warfare",'J Book Items Cons.'!R$5:R$3360,"",'J Book Items Cons.'!N$5:N$3360,""))/N100)</f>
        <v>0</v>
      </c>
      <c r="O99" s="37">
        <f>IF(O100=0,0,(SUMIFS('J Book Items Cons.'!R$5:R$3360,'J Book Items Cons.'!S$5:S$3360,"",'J Book Items Cons.'!E$5:E$3360,7,'J Book Items Cons.'!U$5:U$3360,"USCG",'J Book Items Cons.'!W$5:W$3360,"Offshore Patrol Cutter",'J Book Items Cons.'!R$5:R$3360,"&lt;&gt;")+SUMIFS('J Book Items Cons.'!N$5:N$3360,'J Book Items Cons.'!S$5:S$3360,"",'J Book Items Cons.'!E$5:E$3360,7,'J Book Items Cons.'!U$5:U$3360,"USCG",'J Book Items Cons.'!W$5:W$3360,"Offshore Patrol Cutter",'J Book Items Cons.'!R$5:R$3360,"",'J Book Items Cons.'!N$5:N$3360,"&lt;&gt;")+SUMIFS('J Book Items Cons.'!L$5:L$3360,'J Book Items Cons.'!S$5:S$3360,"",'J Book Items Cons.'!E$5:E$3360,7,'J Book Items Cons.'!U$5:U$3360,"USCG",'J Book Items Cons.'!W$5:W$3360,"Offshore Patrol Cutter",'J Book Items Cons.'!R$5:R$3360,"",'J Book Items Cons.'!N$5:N$3360,"")+SUMIFS('J Book Items Cons.'!R$5:R$3360,'J Book Items Cons.'!S$5:S$3360,"[PARENT]",'J Book Items Cons.'!E$5:E$3360,7,'J Book Items Cons.'!U$5:U$3360,"USCG",'J Book Items Cons.'!W$5:W$3360,"Offshore Patrol Cutter",'J Book Items Cons.'!R$5:R$3360,"&lt;&gt;")+SUMIFS('J Book Items Cons.'!N$5:N$3360,'J Book Items Cons.'!S$5:S$3360,"[PARENT]",'J Book Items Cons.'!E$5:E$3360,7,'J Book Items Cons.'!U$5:U$3360,"USCG",'J Book Items Cons.'!W$5:W$3360,"Offshore Patrol Cutter",'J Book Items Cons.'!R$5:R$3360,"",'J Book Items Cons.'!N$5:N$3360,"&lt;&gt;")+SUMIFS('J Book Items Cons.'!L$5:L$3360,'J Book Items Cons.'!S$5:S$3360,"[PARENT]",'J Book Items Cons.'!E$5:E$3360,7,'J Book Items Cons.'!U$5:U$3360,"USCG",'J Book Items Cons.'!W$5:W$3360,"Offshore Patrol Cutter",'J Book Items Cons.'!R$5:R$3360,"",'J Book Items Cons.'!N$5:N$3360,""))/O100)</f>
        <v>0</v>
      </c>
      <c r="P99" s="38">
        <f>IF(P100=0,0,(SUMIFS('J Book Items Cons.'!R$5:R$3360,'J Book Items Cons.'!S$5:S$3360,"",'J Book Items Cons.'!E$5:E$3360,7,'J Book Items Cons.'!U$5:U$3360,"USCG",'J Book Items Cons.'!W$5:W$3360,"Fast Response Cutters",'J Book Items Cons.'!R$5:R$3360,"&lt;&gt;")+SUMIFS('J Book Items Cons.'!N$5:N$3360,'J Book Items Cons.'!S$5:S$3360,"",'J Book Items Cons.'!E$5:E$3360,7,'J Book Items Cons.'!U$5:U$3360,"USCG",'J Book Items Cons.'!W$5:W$3360,"Fast Response Cutters",'J Book Items Cons.'!R$5:R$3360,"",'J Book Items Cons.'!N$5:N$3360,"&lt;&gt;")+SUMIFS('J Book Items Cons.'!L$5:L$3360,'J Book Items Cons.'!S$5:S$3360,"",'J Book Items Cons.'!E$5:E$3360,7,'J Book Items Cons.'!U$5:U$3360,"USCG",'J Book Items Cons.'!W$5:W$3360,"Fast Response Cutters",'J Book Items Cons.'!R$5:R$3360,"",'J Book Items Cons.'!N$5:N$3360,"")+SUMIFS('J Book Items Cons.'!R$5:R$3360,'J Book Items Cons.'!S$5:S$3360,"[PARENT]",'J Book Items Cons.'!E$5:E$3360,7,'J Book Items Cons.'!U$5:U$3360,"USCG",'J Book Items Cons.'!W$5:W$3360,"Fast Response Cutters",'J Book Items Cons.'!R$5:R$3360,"&lt;&gt;")+SUMIFS('J Book Items Cons.'!N$5:N$3360,'J Book Items Cons.'!S$5:S$3360,"[PARENT]",'J Book Items Cons.'!E$5:E$3360,7,'J Book Items Cons.'!U$5:U$3360,"USCG",'J Book Items Cons.'!W$5:W$3360,"Fast Response Cutters",'J Book Items Cons.'!R$5:R$3360,"",'J Book Items Cons.'!N$5:N$3360,"&lt;&gt;")+SUMIFS('J Book Items Cons.'!L$5:L$3360,'J Book Items Cons.'!S$5:S$3360,"[PARENT]",'J Book Items Cons.'!E$5:E$3360,7,'J Book Items Cons.'!U$5:U$3360,"USCG",'J Book Items Cons.'!W$5:W$3360,"Fast Response Cutters",'J Book Items Cons.'!R$5:R$3360,"",'J Book Items Cons.'!N$5:N$3360,""))/P100)</f>
        <v>0</v>
      </c>
      <c r="Q99" s="38">
        <f>IF(Q100=0,0,(SUMIFS('J Book Items Cons.'!R$5:R$3360,'J Book Items Cons.'!S$5:S$3360,"",'J Book Items Cons.'!E$5:E$3360,7,'J Book Items Cons.'!U$5:U$3360,"USCG",'J Book Items Cons.'!W$5:W$3360,"Icebreakers, Oceangoing",'J Book Items Cons.'!R$5:R$3360,"&lt;&gt;")+SUMIFS('J Book Items Cons.'!N$5:N$3360,'J Book Items Cons.'!S$5:S$3360,"",'J Book Items Cons.'!E$5:E$3360,7,'J Book Items Cons.'!U$5:U$3360,"USCG",'J Book Items Cons.'!W$5:W$3360,"Icebreakers, Oceangoing",'J Book Items Cons.'!R$5:R$3360,"",'J Book Items Cons.'!N$5:N$3360,"&lt;&gt;")+SUMIFS('J Book Items Cons.'!L$5:L$3360,'J Book Items Cons.'!S$5:S$3360,"",'J Book Items Cons.'!E$5:E$3360,7,'J Book Items Cons.'!U$5:U$3360,"USCG",'J Book Items Cons.'!W$5:W$3360,"Icebreakers, Oceangoing",'J Book Items Cons.'!R$5:R$3360,"",'J Book Items Cons.'!N$5:N$3360,"")+SUMIFS('J Book Items Cons.'!R$5:R$3360,'J Book Items Cons.'!S$5:S$3360,"[PARENT]",'J Book Items Cons.'!E$5:E$3360,7,'J Book Items Cons.'!U$5:U$3360,"USCG",'J Book Items Cons.'!W$5:W$3360,"Icebreakers, Oceangoing",'J Book Items Cons.'!R$5:R$3360,"&lt;&gt;")+SUMIFS('J Book Items Cons.'!N$5:N$3360,'J Book Items Cons.'!S$5:S$3360,"[PARENT]",'J Book Items Cons.'!E$5:E$3360,7,'J Book Items Cons.'!U$5:U$3360,"USCG",'J Book Items Cons.'!W$5:W$3360,"Icebreakers, Oceangoing",'J Book Items Cons.'!R$5:R$3360,"",'J Book Items Cons.'!N$5:N$3360,"&lt;&gt;")+SUMIFS('J Book Items Cons.'!L$5:L$3360,'J Book Items Cons.'!S$5:S$3360,"[PARENT]",'J Book Items Cons.'!E$5:E$3360,7,'J Book Items Cons.'!U$5:U$3360,"USCG",'J Book Items Cons.'!W$5:W$3360,"Icebreakers, Oceangoing",'J Book Items Cons.'!R$5:R$3360,"",'J Book Items Cons.'!N$5:N$3360,""))/Q100)</f>
        <v>0</v>
      </c>
      <c r="R99" s="38">
        <f>IF(R100=0,0,(SUMIFS('J Book Items Cons.'!R$5:R$3360,'J Book Items Cons.'!S$5:S$3360,"",'J Book Items Cons.'!E$5:E$3360,7,'J Book Items Cons.'!U$5:U$3360,"USCG",'J Book Items Cons.'!W$5:W$3360,"Waterways Commerce Cutters",'J Book Items Cons.'!R$5:R$3360,"&lt;&gt;")+SUMIFS('J Book Items Cons.'!N$5:N$3360,'J Book Items Cons.'!S$5:S$3360,"",'J Book Items Cons.'!E$5:E$3360,7,'J Book Items Cons.'!U$5:U$3360,"USCG",'J Book Items Cons.'!W$5:W$3360,"Waterways Commerce Cutters",'J Book Items Cons.'!R$5:R$3360,"",'J Book Items Cons.'!N$5:N$3360,"&lt;&gt;")+SUMIFS('J Book Items Cons.'!L$5:L$3360,'J Book Items Cons.'!S$5:S$3360,"",'J Book Items Cons.'!E$5:E$3360,7,'J Book Items Cons.'!U$5:U$3360,"USCG",'J Book Items Cons.'!W$5:W$3360,"Waterways Commerce Cutters",'J Book Items Cons.'!R$5:R$3360,"",'J Book Items Cons.'!N$5:N$3360,"")+SUMIFS('J Book Items Cons.'!R$5:R$3360,'J Book Items Cons.'!S$5:S$3360,"[PARENT]",'J Book Items Cons.'!E$5:E$3360,7,'J Book Items Cons.'!U$5:U$3360,"USCG",'J Book Items Cons.'!W$5:W$3360,"Waterways Commerce Cutters",'J Book Items Cons.'!R$5:R$3360,"&lt;&gt;")+SUMIFS('J Book Items Cons.'!N$5:N$3360,'J Book Items Cons.'!S$5:S$3360,"[PARENT]",'J Book Items Cons.'!E$5:E$3360,7,'J Book Items Cons.'!U$5:U$3360,"USCG",'J Book Items Cons.'!W$5:W$3360,"Waterways Commerce Cutters",'J Book Items Cons.'!R$5:R$3360,"",'J Book Items Cons.'!N$5:N$3360,"&lt;&gt;")+SUMIFS('J Book Items Cons.'!L$5:L$3360,'J Book Items Cons.'!S$5:S$3360,"[PARENT]",'J Book Items Cons.'!E$5:E$3360,7,'J Book Items Cons.'!U$5:U$3360,"USCG",'J Book Items Cons.'!W$5:W$3360,"Waterways Commerce Cutters",'J Book Items Cons.'!R$5:R$3360,"",'J Book Items Cons.'!N$5:N$3360,""))/R100)</f>
        <v>0</v>
      </c>
      <c r="S99" s="39">
        <f>IF(S100=0,0,(SUMIFS('J Book Items Cons.'!R$5:R$3360,'J Book Items Cons.'!S$5:S$3360,"",'J Book Items Cons.'!E$5:E$3360,7,'J Book Items Cons.'!U$5:U$3360,"USCG",'J Book Items Cons.'!W$5:W$3360,"National Security Cutters",'J Book Items Cons.'!R$5:R$3360,"&lt;&gt;")+SUMIFS('J Book Items Cons.'!N$5:N$3360,'J Book Items Cons.'!S$5:S$3360,"",'J Book Items Cons.'!E$5:E$3360,7,'J Book Items Cons.'!U$5:U$3360,"USCG",'J Book Items Cons.'!W$5:W$3360,"National Security Cutters",'J Book Items Cons.'!R$5:R$3360,"",'J Book Items Cons.'!N$5:N$3360,"&lt;&gt;")+SUMIFS('J Book Items Cons.'!L$5:L$3360,'J Book Items Cons.'!S$5:S$3360,"",'J Book Items Cons.'!E$5:E$3360,7,'J Book Items Cons.'!U$5:U$3360,"USCG",'J Book Items Cons.'!W$5:W$3360,"National Security Cutters",'J Book Items Cons.'!R$5:R$3360,"",'J Book Items Cons.'!N$5:N$3360,"")+SUMIFS('J Book Items Cons.'!R$5:R$3360,'J Book Items Cons.'!S$5:S$3360,"[PARENT]",'J Book Items Cons.'!E$5:E$3360,7,'J Book Items Cons.'!U$5:U$3360,"USCG",'J Book Items Cons.'!W$5:W$3360,"National Security Cutters",'J Book Items Cons.'!R$5:R$3360,"&lt;&gt;")+SUMIFS('J Book Items Cons.'!N$5:N$3360,'J Book Items Cons.'!S$5:S$3360,"[PARENT]",'J Book Items Cons.'!E$5:E$3360,7,'J Book Items Cons.'!U$5:U$3360,"USCG",'J Book Items Cons.'!W$5:W$3360,"National Security Cutters",'J Book Items Cons.'!R$5:R$3360,"",'J Book Items Cons.'!N$5:N$3360,"&lt;&gt;")+SUMIFS('J Book Items Cons.'!L$5:L$3360,'J Book Items Cons.'!S$5:S$3360,"[PARENT]",'J Book Items Cons.'!E$5:E$3360,7,'J Book Items Cons.'!U$5:U$3360,"USCG",'J Book Items Cons.'!W$5:W$3360,"National Security Cutters",'J Book Items Cons.'!R$5:R$3360,"",'J Book Items Cons.'!N$5:N$3360,""))/S100)</f>
        <v>0</v>
      </c>
      <c r="T99" s="38">
        <f>IF(T100=0,0,SUMPRODUCT(B99:S99,B$100:S$100)/T$100)</f>
        <v>1.5420991487975612E-3</v>
      </c>
    </row>
    <row r="100" spans="1:20" x14ac:dyDescent="0.15">
      <c r="A100" s="15" t="s">
        <v>8831</v>
      </c>
      <c r="B100" s="28">
        <f>SUMIFS('J Book Items Cons.'!R$5:R$3360,'J Book Items Cons.'!S$5:S$3360,"",'J Book Items Cons.'!E$5:E$3360,"&gt;1",'J Book Items Cons.'!U$5:U$3360,"USN",'J Book Items Cons.'!W$5:W$3360,"Submarines",'J Book Items Cons.'!R$5:R$3360,"&lt;&gt;")+SUMIFS('J Book Items Cons.'!N$5:N$3360,'J Book Items Cons.'!S$5:S$3360,"",'J Book Items Cons.'!E$5:E$3360,"&gt;1",'J Book Items Cons.'!U$5:U$3360,"USN",'J Book Items Cons.'!W$5:W$3360,"Submarines",'J Book Items Cons.'!R$5:R$3360,"",'J Book Items Cons.'!N$5:N$3360,"&lt;&gt;")+SUMIFS('J Book Items Cons.'!L$5:L$3360,'J Book Items Cons.'!S$5:S$3360,"",'J Book Items Cons.'!E$5:E$3360,"&gt;1",'J Book Items Cons.'!U$5:U$3360,"USN",'J Book Items Cons.'!W$5:W$3360,"Submarines",'J Book Items Cons.'!R$5:R$3360,"",'J Book Items Cons.'!N$5:N$3360,"")+SUMIFS('J Book Items Cons.'!R$5:R$3360,'J Book Items Cons.'!S$5:S$3360,"[PARENT]",'J Book Items Cons.'!E$5:E$3360,"&gt;1",'J Book Items Cons.'!U$5:U$3360,"USN",'J Book Items Cons.'!W$5:W$3360,"Submarines",'J Book Items Cons.'!R$5:R$3360,"&lt;&gt;")+SUMIFS('J Book Items Cons.'!N$5:N$3360,'J Book Items Cons.'!S$5:S$3360,"[PARENT]",'J Book Items Cons.'!E$5:E$3360,"&gt;1",'J Book Items Cons.'!U$5:U$3360,"USN",'J Book Items Cons.'!W$5:W$3360,"Submarines",'J Book Items Cons.'!R$5:R$3360,"",'J Book Items Cons.'!N$5:N$3360,"&lt;&gt;")+SUMIFS('J Book Items Cons.'!L$5:L$3360,'J Book Items Cons.'!S$5:S$3360,"[PARENT]",'J Book Items Cons.'!E$5:E$3360,"&gt;1",'J Book Items Cons.'!U$5:U$3360,"USN",'J Book Items Cons.'!W$5:W$3360,"Submarines",'J Book Items Cons.'!R$5:R$3360,"",'J Book Items Cons.'!N$5:N$3360,"")</f>
        <v>11566492</v>
      </c>
      <c r="C100" s="16">
        <f>SUMIFS('J Book Items Cons.'!R$5:R$3360,'J Book Items Cons.'!S$5:S$3360,"",'J Book Items Cons.'!E$5:E$3360,"&gt;1",'J Book Items Cons.'!U$5:U$3360,"USN",'J Book Items Cons.'!W$5:W$3360,"Surface Combatants",'J Book Items Cons.'!R$5:R$3360,"&lt;&gt;")+SUMIFS('J Book Items Cons.'!N$5:N$3360,'J Book Items Cons.'!S$5:S$3360,"",'J Book Items Cons.'!E$5:E$3360,"&gt;1",'J Book Items Cons.'!U$5:U$3360,"USN",'J Book Items Cons.'!W$5:W$3360,"Surface Combatants",'J Book Items Cons.'!R$5:R$3360,"",'J Book Items Cons.'!N$5:N$3360,"&lt;&gt;")+SUMIFS('J Book Items Cons.'!L$5:L$3360,'J Book Items Cons.'!S$5:S$3360,"",'J Book Items Cons.'!E$5:E$3360,"&gt;1",'J Book Items Cons.'!U$5:U$3360,"USN",'J Book Items Cons.'!W$5:W$3360,"Surface Combatants",'J Book Items Cons.'!R$5:R$3360,"",'J Book Items Cons.'!N$5:N$3360,"")+SUMIFS('J Book Items Cons.'!R$5:R$3360,'J Book Items Cons.'!S$5:S$3360,"[PARENT]",'J Book Items Cons.'!E$5:E$3360,"&gt;1",'J Book Items Cons.'!U$5:U$3360,"USN",'J Book Items Cons.'!W$5:W$3360,"Surface Combatants",'J Book Items Cons.'!R$5:R$3360,"&lt;&gt;")+SUMIFS('J Book Items Cons.'!N$5:N$3360,'J Book Items Cons.'!S$5:S$3360,"[PARENT]",'J Book Items Cons.'!E$5:E$3360,"&gt;1",'J Book Items Cons.'!U$5:U$3360,"USN",'J Book Items Cons.'!W$5:W$3360,"Surface Combatants",'J Book Items Cons.'!R$5:R$3360,"",'J Book Items Cons.'!N$5:N$3360,"&lt;&gt;")+SUMIFS('J Book Items Cons.'!L$5:L$3360,'J Book Items Cons.'!S$5:S$3360,"[PARENT]",'J Book Items Cons.'!E$5:E$3360,"&gt;1",'J Book Items Cons.'!U$5:U$3360,"USN",'J Book Items Cons.'!W$5:W$3360,"Surface Combatants",'J Book Items Cons.'!R$5:R$3360,"",'J Book Items Cons.'!N$5:N$3360,"")</f>
        <v>6131921</v>
      </c>
      <c r="D100" s="16">
        <f>SUMIFS('J Book Items Cons.'!R$5:R$3360,'J Book Items Cons.'!S$5:S$3360,"",'J Book Items Cons.'!E$5:E$3360,"&gt;1",'J Book Items Cons.'!U$5:U$3360,"USN",'J Book Items Cons.'!W$5:W$3360,"Aircraft Carriers",'J Book Items Cons.'!R$5:R$3360,"&lt;&gt;")+SUMIFS('J Book Items Cons.'!N$5:N$3360,'J Book Items Cons.'!S$5:S$3360,"",'J Book Items Cons.'!E$5:E$3360,"&gt;1",'J Book Items Cons.'!U$5:U$3360,"USN",'J Book Items Cons.'!W$5:W$3360,"Aircraft Carriers",'J Book Items Cons.'!R$5:R$3360,"",'J Book Items Cons.'!N$5:N$3360,"&lt;&gt;")+SUMIFS('J Book Items Cons.'!L$5:L$3360,'J Book Items Cons.'!S$5:S$3360,"",'J Book Items Cons.'!E$5:E$3360,"&gt;1",'J Book Items Cons.'!U$5:U$3360,"USN",'J Book Items Cons.'!W$5:W$3360,"Aircraft Carriers",'J Book Items Cons.'!R$5:R$3360,"",'J Book Items Cons.'!N$5:N$3360,"")+SUMIFS('J Book Items Cons.'!R$5:R$3360,'J Book Items Cons.'!S$5:S$3360,"[PARENT]",'J Book Items Cons.'!E$5:E$3360,"&gt;1",'J Book Items Cons.'!U$5:U$3360,"USN",'J Book Items Cons.'!W$5:W$3360,"Aircraft Carriers",'J Book Items Cons.'!R$5:R$3360,"&lt;&gt;")+SUMIFS('J Book Items Cons.'!N$5:N$3360,'J Book Items Cons.'!S$5:S$3360,"[PARENT]",'J Book Items Cons.'!E$5:E$3360,"&gt;1",'J Book Items Cons.'!U$5:U$3360,"USN",'J Book Items Cons.'!W$5:W$3360,"Aircraft Carriers",'J Book Items Cons.'!R$5:R$3360,"",'J Book Items Cons.'!N$5:N$3360,"&lt;&gt;")+SUMIFS('J Book Items Cons.'!L$5:L$3360,'J Book Items Cons.'!S$5:S$3360,"[PARENT]",'J Book Items Cons.'!E$5:E$3360,"&gt;1",'J Book Items Cons.'!U$5:U$3360,"USN",'J Book Items Cons.'!W$5:W$3360,"Aircraft Carriers",'J Book Items Cons.'!R$5:R$3360,"",'J Book Items Cons.'!N$5:N$3360,"")</f>
        <v>5163491</v>
      </c>
      <c r="E100" s="16">
        <f>SUMIFS('J Book Items Cons.'!R$5:R$3360,'J Book Items Cons.'!S$5:S$3360,"",'J Book Items Cons.'!E$5:E$3360,"&gt;1",'J Book Items Cons.'!U$5:U$3360,"USN",'J Book Items Cons.'!W$5:W$3360,"Amphibious Warfare Ships",'J Book Items Cons.'!R$5:R$3360,"&lt;&gt;")+SUMIFS('J Book Items Cons.'!N$5:N$3360,'J Book Items Cons.'!S$5:S$3360,"",'J Book Items Cons.'!E$5:E$3360,"&gt;1",'J Book Items Cons.'!U$5:U$3360,"USN",'J Book Items Cons.'!W$5:W$3360,"Amphibious Warfare Ships",'J Book Items Cons.'!R$5:R$3360,"",'J Book Items Cons.'!N$5:N$3360,"&lt;&gt;")+SUMIFS('J Book Items Cons.'!L$5:L$3360,'J Book Items Cons.'!S$5:S$3360,"",'J Book Items Cons.'!E$5:E$3360,"&gt;1",'J Book Items Cons.'!U$5:U$3360,"USN",'J Book Items Cons.'!W$5:W$3360,"Amphibious Warfare Ships",'J Book Items Cons.'!R$5:R$3360,"",'J Book Items Cons.'!N$5:N$3360,"")+SUMIFS('J Book Items Cons.'!R$5:R$3360,'J Book Items Cons.'!S$5:S$3360,"[PARENT]",'J Book Items Cons.'!E$5:E$3360,"&gt;1",'J Book Items Cons.'!U$5:U$3360,"USN",'J Book Items Cons.'!W$5:W$3360,"Amphibious Warfare Ships",'J Book Items Cons.'!R$5:R$3360,"&lt;&gt;")+SUMIFS('J Book Items Cons.'!N$5:N$3360,'J Book Items Cons.'!S$5:S$3360,"[PARENT]",'J Book Items Cons.'!E$5:E$3360,"&gt;1",'J Book Items Cons.'!U$5:U$3360,"USN",'J Book Items Cons.'!W$5:W$3360,"Amphibious Warfare Ships",'J Book Items Cons.'!R$5:R$3360,"",'J Book Items Cons.'!N$5:N$3360,"&lt;&gt;")+SUMIFS('J Book Items Cons.'!L$5:L$3360,'J Book Items Cons.'!S$5:S$3360,"[PARENT]",'J Book Items Cons.'!E$5:E$3360,"&gt;1",'J Book Items Cons.'!U$5:U$3360,"USN",'J Book Items Cons.'!W$5:W$3360,"Amphibious Warfare Ships",'J Book Items Cons.'!R$5:R$3360,"",'J Book Items Cons.'!N$5:N$3360,"")</f>
        <v>1570183</v>
      </c>
      <c r="F100" s="16">
        <f>SUMIFS('J Book Items Cons.'!R$5:R$3360,'J Book Items Cons.'!S$5:S$3360,"",'J Book Items Cons.'!E$5:E$3360,"&gt;1",'J Book Items Cons.'!U$5:U$3360,"USN",'J Book Items Cons.'!W$5:W$3360,"Expeditionary &amp; Seabasing Ships",'J Book Items Cons.'!R$5:R$3360,"&lt;&gt;")+SUMIFS('J Book Items Cons.'!N$5:N$3360,'J Book Items Cons.'!S$5:S$3360,"",'J Book Items Cons.'!E$5:E$3360,"&gt;1",'J Book Items Cons.'!U$5:U$3360,"USN",'J Book Items Cons.'!W$5:W$3360,"Expeditionary &amp; Seabasing Ships",'J Book Items Cons.'!R$5:R$3360,"",'J Book Items Cons.'!N$5:N$3360,"&lt;&gt;")+SUMIFS('J Book Items Cons.'!L$5:L$3360,'J Book Items Cons.'!S$5:S$3360,"",'J Book Items Cons.'!E$5:E$3360,"&gt;1",'J Book Items Cons.'!U$5:U$3360,"USN",'J Book Items Cons.'!W$5:W$3360,"Expeditionary &amp; Seabasing Ships",'J Book Items Cons.'!R$5:R$3360,"",'J Book Items Cons.'!N$5:N$3360,"")+SUMIFS('J Book Items Cons.'!R$5:R$3360,'J Book Items Cons.'!S$5:S$3360,"[PARENT]",'J Book Items Cons.'!E$5:E$3360,"&gt;1",'J Book Items Cons.'!U$5:U$3360,"USN",'J Book Items Cons.'!W$5:W$3360,"Expeditionary &amp; Seabasing Ships",'J Book Items Cons.'!R$5:R$3360,"&lt;&gt;")+SUMIFS('J Book Items Cons.'!N$5:N$3360,'J Book Items Cons.'!S$5:S$3360,"[PARENT]",'J Book Items Cons.'!E$5:E$3360,"&gt;1",'J Book Items Cons.'!U$5:U$3360,"USN",'J Book Items Cons.'!W$5:W$3360,"Expeditionary &amp; Seabasing Ships",'J Book Items Cons.'!R$5:R$3360,"",'J Book Items Cons.'!N$5:N$3360,"&lt;&gt;")+SUMIFS('J Book Items Cons.'!L$5:L$3360,'J Book Items Cons.'!S$5:S$3360,"[PARENT]",'J Book Items Cons.'!E$5:E$3360,"&gt;1",'J Book Items Cons.'!U$5:U$3360,"USN",'J Book Items Cons.'!W$5:W$3360,"Expeditionary &amp; Seabasing Ships",'J Book Items Cons.'!R$5:R$3360,"",'J Book Items Cons.'!N$5:N$3360,"")</f>
        <v>61735</v>
      </c>
      <c r="G100" s="16">
        <f>SUMIFS('J Book Items Cons.'!R$5:R$3360,'J Book Items Cons.'!S$5:S$3360,"",'J Book Items Cons.'!E$5:E$3360,"&gt;1",'J Book Items Cons.'!U$5:U$3360,"MSC",'J Book Items Cons.'!W$5:W$3360,"Combat Logistics Ships",'J Book Items Cons.'!R$5:R$3360,"&lt;&gt;")+SUMIFS('J Book Items Cons.'!N$5:N$3360,'J Book Items Cons.'!S$5:S$3360,"",'J Book Items Cons.'!E$5:E$3360,"&gt;1",'J Book Items Cons.'!U$5:U$3360,"MSC",'J Book Items Cons.'!W$5:W$3360,"Combat Logistics Ships",'J Book Items Cons.'!R$5:R$3360,"",'J Book Items Cons.'!N$5:N$3360,"&lt;&gt;")+SUMIFS('J Book Items Cons.'!L$5:L$3360,'J Book Items Cons.'!S$5:S$3360,"",'J Book Items Cons.'!E$5:E$3360,"&gt;1",'J Book Items Cons.'!U$5:U$3360,"MSC",'J Book Items Cons.'!W$5:W$3360,"Combat Logistics Ships",'J Book Items Cons.'!R$5:R$3360,"",'J Book Items Cons.'!N$5:N$3360,"")+SUMIFS('J Book Items Cons.'!R$5:R$3360,'J Book Items Cons.'!S$5:S$3360,"[PARENT]",'J Book Items Cons.'!E$5:E$3360,"&gt;1",'J Book Items Cons.'!U$5:U$3360,"MSC",'J Book Items Cons.'!W$5:W$3360,"Combat Logistics Ships",'J Book Items Cons.'!R$5:R$3360,"&lt;&gt;")+SUMIFS('J Book Items Cons.'!N$5:N$3360,'J Book Items Cons.'!S$5:S$3360,"[PARENT]",'J Book Items Cons.'!E$5:E$3360,"&gt;1",'J Book Items Cons.'!U$5:U$3360,"MSC",'J Book Items Cons.'!W$5:W$3360,"Combat Logistics Ships",'J Book Items Cons.'!R$5:R$3360,"",'J Book Items Cons.'!N$5:N$3360,"&lt;&gt;")+SUMIFS('J Book Items Cons.'!L$5:L$3360,'J Book Items Cons.'!S$5:S$3360,"[PARENT]",'J Book Items Cons.'!E$5:E$3360,"&gt;1",'J Book Items Cons.'!U$5:U$3360,"MSC",'J Book Items Cons.'!W$5:W$3360,"Combat Logistics Ships",'J Book Items Cons.'!R$5:R$3360,"",'J Book Items Cons.'!N$5:N$3360,"")</f>
        <v>0</v>
      </c>
      <c r="H100" s="16">
        <f>SUMIFS('J Book Items Cons.'!R$5:R$3360,'J Book Items Cons.'!S$5:S$3360,"",'J Book Items Cons.'!E$5:E$3360,"&gt;1",'J Book Items Cons.'!U$5:U$3360,"USN",'J Book Items Cons.'!W$5:W$3360,"Unmanned Surface Vehicles",'J Book Items Cons.'!R$5:R$3360,"&lt;&gt;")+SUMIFS('J Book Items Cons.'!N$5:N$3360,'J Book Items Cons.'!S$5:S$3360,"",'J Book Items Cons.'!E$5:E$3360,"&gt;1",'J Book Items Cons.'!U$5:U$3360,"USN",'J Book Items Cons.'!W$5:W$3360,"Unmanned Surface Vehicles",'J Book Items Cons.'!R$5:R$3360,"",'J Book Items Cons.'!N$5:N$3360,"&lt;&gt;")+SUMIFS('J Book Items Cons.'!L$5:L$3360,'J Book Items Cons.'!S$5:S$3360,"",'J Book Items Cons.'!E$5:E$3360,"&gt;1",'J Book Items Cons.'!U$5:U$3360,"USN",'J Book Items Cons.'!W$5:W$3360,"Unmanned Surface Vehicles",'J Book Items Cons.'!R$5:R$3360,"",'J Book Items Cons.'!N$5:N$3360,"")+SUMIFS('J Book Items Cons.'!R$5:R$3360,'J Book Items Cons.'!S$5:S$3360,"[PARENT]",'J Book Items Cons.'!E$5:E$3360,"&gt;1",'J Book Items Cons.'!U$5:U$3360,"USN",'J Book Items Cons.'!W$5:W$3360,"Unmanned Surface Vehicles",'J Book Items Cons.'!R$5:R$3360,"&lt;&gt;")+SUMIFS('J Book Items Cons.'!N$5:N$3360,'J Book Items Cons.'!S$5:S$3360,"[PARENT]",'J Book Items Cons.'!E$5:E$3360,"&gt;1",'J Book Items Cons.'!U$5:U$3360,"USN",'J Book Items Cons.'!W$5:W$3360,"Unmanned Surface Vehicles",'J Book Items Cons.'!R$5:R$3360,"",'J Book Items Cons.'!N$5:N$3360,"&lt;&gt;")+SUMIFS('J Book Items Cons.'!L$5:L$3360,'J Book Items Cons.'!S$5:S$3360,"[PARENT]",'J Book Items Cons.'!E$5:E$3360,"&gt;1",'J Book Items Cons.'!U$5:U$3360,"USN",'J Book Items Cons.'!W$5:W$3360,"Unmanned Surface Vehicles",'J Book Items Cons.'!R$5:R$3360,"",'J Book Items Cons.'!N$5:N$3360,"")</f>
        <v>0</v>
      </c>
      <c r="I100" s="16">
        <f>SUMIFS('J Book Items Cons.'!R$5:R$3360,'J Book Items Cons.'!S$5:S$3360,"",'J Book Items Cons.'!E$5:E$3360,"&gt;1",'J Book Items Cons.'!U$5:U$3360,"USN",'J Book Items Cons.'!W$5:W$3360,"Amphibious Warfare Craft",'J Book Items Cons.'!R$5:R$3360,"&lt;&gt;")+SUMIFS('J Book Items Cons.'!N$5:N$3360,'J Book Items Cons.'!S$5:S$3360,"",'J Book Items Cons.'!E$5:E$3360,"&gt;1",'J Book Items Cons.'!U$5:U$3360,"USN",'J Book Items Cons.'!W$5:W$3360,"Amphibious Warfare Craft",'J Book Items Cons.'!R$5:R$3360,"",'J Book Items Cons.'!N$5:N$3360,"&lt;&gt;")+SUMIFS('J Book Items Cons.'!L$5:L$3360,'J Book Items Cons.'!S$5:S$3360,"",'J Book Items Cons.'!E$5:E$3360,"&gt;1",'J Book Items Cons.'!U$5:U$3360,"USN",'J Book Items Cons.'!W$5:W$3360,"Amphibious Warfare Craft",'J Book Items Cons.'!R$5:R$3360,"",'J Book Items Cons.'!N$5:N$3360,"")+SUMIFS('J Book Items Cons.'!R$5:R$3360,'J Book Items Cons.'!S$5:S$3360,"[PARENT]",'J Book Items Cons.'!E$5:E$3360,"&gt;1",'J Book Items Cons.'!U$5:U$3360,"USN",'J Book Items Cons.'!W$5:W$3360,"Amphibious Warfare Craft",'J Book Items Cons.'!R$5:R$3360,"&lt;&gt;")+SUMIFS('J Book Items Cons.'!N$5:N$3360,'J Book Items Cons.'!S$5:S$3360,"[PARENT]",'J Book Items Cons.'!E$5:E$3360,"&gt;1",'J Book Items Cons.'!U$5:U$3360,"USN",'J Book Items Cons.'!W$5:W$3360,"Amphibious Warfare Craft",'J Book Items Cons.'!R$5:R$3360,"",'J Book Items Cons.'!N$5:N$3360,"&lt;&gt;")+SUMIFS('J Book Items Cons.'!L$5:L$3360,'J Book Items Cons.'!S$5:S$3360,"[PARENT]",'J Book Items Cons.'!E$5:E$3360,"&gt;1",'J Book Items Cons.'!U$5:U$3360,"USN",'J Book Items Cons.'!W$5:W$3360,"Amphibious Warfare Craft",'J Book Items Cons.'!R$5:R$3360,"",'J Book Items Cons.'!N$5:N$3360,"")</f>
        <v>67286</v>
      </c>
      <c r="J100" s="16">
        <f>SUMIFS('J Book Items Cons.'!R$5:R$3360,'J Book Items Cons.'!S$5:S$3360,"",'J Book Items Cons.'!E$5:E$3360,"&gt;1",'J Book Items Cons.'!U$5:U$3360,"MSC",'J Book Items Cons.'!W$5:W$3360,"Cargo &amp; Vehicle Cargo Ships",'J Book Items Cons.'!R$5:R$3360,"&lt;&gt;")+SUMIFS('J Book Items Cons.'!N$5:N$3360,'J Book Items Cons.'!S$5:S$3360,"",'J Book Items Cons.'!E$5:E$3360,"&gt;1",'J Book Items Cons.'!U$5:U$3360,"MSC",'J Book Items Cons.'!W$5:W$3360,"Cargo &amp; Vehicle Cargo Ships",'J Book Items Cons.'!R$5:R$3360,"",'J Book Items Cons.'!N$5:N$3360,"&lt;&gt;")+SUMIFS('J Book Items Cons.'!L$5:L$3360,'J Book Items Cons.'!S$5:S$3360,"",'J Book Items Cons.'!E$5:E$3360,"&gt;1",'J Book Items Cons.'!U$5:U$3360,"MSC",'J Book Items Cons.'!W$5:W$3360,"Cargo &amp; Vehicle Cargo Ships",'J Book Items Cons.'!R$5:R$3360,"",'J Book Items Cons.'!N$5:N$3360,"")+SUMIFS('J Book Items Cons.'!R$5:R$3360,'J Book Items Cons.'!S$5:S$3360,"[PARENT]",'J Book Items Cons.'!E$5:E$3360,"&gt;1",'J Book Items Cons.'!U$5:U$3360,"MSC",'J Book Items Cons.'!W$5:W$3360,"Cargo &amp; Vehicle Cargo Ships",'J Book Items Cons.'!R$5:R$3360,"&lt;&gt;")+SUMIFS('J Book Items Cons.'!N$5:N$3360,'J Book Items Cons.'!S$5:S$3360,"[PARENT]",'J Book Items Cons.'!E$5:E$3360,"&gt;1",'J Book Items Cons.'!U$5:U$3360,"MSC",'J Book Items Cons.'!W$5:W$3360,"Cargo &amp; Vehicle Cargo Ships",'J Book Items Cons.'!R$5:R$3360,"",'J Book Items Cons.'!N$5:N$3360,"&lt;&gt;")+SUMIFS('J Book Items Cons.'!L$5:L$3360,'J Book Items Cons.'!S$5:S$3360,"[PARENT]",'J Book Items Cons.'!E$5:E$3360,"&gt;1",'J Book Items Cons.'!U$5:U$3360,"MSC",'J Book Items Cons.'!W$5:W$3360,"Cargo &amp; Vehicle Cargo Ships",'J Book Items Cons.'!R$5:R$3360,"",'J Book Items Cons.'!N$5:N$3360,"")</f>
        <v>0</v>
      </c>
      <c r="K100" s="16">
        <f>SUMIFS('J Book Items Cons.'!R$5:R$3360,'J Book Items Cons.'!S$5:S$3360,"",'J Book Items Cons.'!E$5:E$3360,"&gt;1",'J Book Items Cons.'!U$5:U$3360,"MSC",'J Book Items Cons.'!W$5:W$3360,"Surveillance Ships",'J Book Items Cons.'!R$5:R$3360,"&lt;&gt;")+SUMIFS('J Book Items Cons.'!N$5:N$3360,'J Book Items Cons.'!S$5:S$3360,"",'J Book Items Cons.'!E$5:E$3360,"&gt;1",'J Book Items Cons.'!U$5:U$3360,"MSC",'J Book Items Cons.'!W$5:W$3360,"Surveillance Ships",'J Book Items Cons.'!R$5:R$3360,"",'J Book Items Cons.'!N$5:N$3360,"&lt;&gt;")+SUMIFS('J Book Items Cons.'!L$5:L$3360,'J Book Items Cons.'!S$5:S$3360,"",'J Book Items Cons.'!E$5:E$3360,"&gt;1",'J Book Items Cons.'!U$5:U$3360,"MSC",'J Book Items Cons.'!W$5:W$3360,"Surveillance Ships",'J Book Items Cons.'!R$5:R$3360,"",'J Book Items Cons.'!N$5:N$3360,"")+SUMIFS('J Book Items Cons.'!R$5:R$3360,'J Book Items Cons.'!S$5:S$3360,"[PARENT]",'J Book Items Cons.'!E$5:E$3360,"&gt;1",'J Book Items Cons.'!U$5:U$3360,"MSC",'J Book Items Cons.'!W$5:W$3360,"Surveillance Ships",'J Book Items Cons.'!R$5:R$3360,"&lt;&gt;")+SUMIFS('J Book Items Cons.'!N$5:N$3360,'J Book Items Cons.'!S$5:S$3360,"[PARENT]",'J Book Items Cons.'!E$5:E$3360,"&gt;1",'J Book Items Cons.'!U$5:U$3360,"MSC",'J Book Items Cons.'!W$5:W$3360,"Surveillance Ships",'J Book Items Cons.'!R$5:R$3360,"",'J Book Items Cons.'!N$5:N$3360,"&lt;&gt;")+SUMIFS('J Book Items Cons.'!L$5:L$3360,'J Book Items Cons.'!S$5:S$3360,"[PARENT]",'J Book Items Cons.'!E$5:E$3360,"&gt;1",'J Book Items Cons.'!U$5:U$3360,"MSC",'J Book Items Cons.'!W$5:W$3360,"Surveillance Ships",'J Book Items Cons.'!R$5:R$3360,"",'J Book Items Cons.'!N$5:N$3360,"")</f>
        <v>31169</v>
      </c>
      <c r="L100" s="16">
        <f>SUMIFS('J Book Items Cons.'!R$5:R$3360,'J Book Items Cons.'!S$5:S$3360,"",'J Book Items Cons.'!E$5:E$3360,"&gt;1",'J Book Items Cons.'!U$5:U$3360,"USN",'J Book Items Cons.'!W$5:W$3360,"Unmanned Undersea Vehicles",'J Book Items Cons.'!R$5:R$3360,"&lt;&gt;")+SUMIFS('J Book Items Cons.'!N$5:N$3360,'J Book Items Cons.'!S$5:S$3360,"",'J Book Items Cons.'!E$5:E$3360,"&gt;1",'J Book Items Cons.'!U$5:U$3360,"USN",'J Book Items Cons.'!W$5:W$3360,"Unmanned Undersea Vehicles",'J Book Items Cons.'!R$5:R$3360,"",'J Book Items Cons.'!N$5:N$3360,"&lt;&gt;")+SUMIFS('J Book Items Cons.'!L$5:L$3360,'J Book Items Cons.'!S$5:S$3360,"",'J Book Items Cons.'!E$5:E$3360,"&gt;1",'J Book Items Cons.'!U$5:U$3360,"USN",'J Book Items Cons.'!W$5:W$3360,"Unmanned Undersea Vehicles",'J Book Items Cons.'!R$5:R$3360,"",'J Book Items Cons.'!N$5:N$3360,"")+SUMIFS('J Book Items Cons.'!R$5:R$3360,'J Book Items Cons.'!S$5:S$3360,"[PARENT]",'J Book Items Cons.'!E$5:E$3360,"&gt;1",'J Book Items Cons.'!U$5:U$3360,"USN",'J Book Items Cons.'!W$5:W$3360,"Unmanned Undersea Vehicles",'J Book Items Cons.'!R$5:R$3360,"&lt;&gt;")+SUMIFS('J Book Items Cons.'!N$5:N$3360,'J Book Items Cons.'!S$5:S$3360,"[PARENT]",'J Book Items Cons.'!E$5:E$3360,"&gt;1",'J Book Items Cons.'!U$5:U$3360,"USN",'J Book Items Cons.'!W$5:W$3360,"Unmanned Undersea Vehicles",'J Book Items Cons.'!R$5:R$3360,"",'J Book Items Cons.'!N$5:N$3360,"&lt;&gt;")+SUMIFS('J Book Items Cons.'!L$5:L$3360,'J Book Items Cons.'!S$5:S$3360,"[PARENT]",'J Book Items Cons.'!E$5:E$3360,"&gt;1",'J Book Items Cons.'!U$5:U$3360,"USN",'J Book Items Cons.'!W$5:W$3360,"Unmanned Undersea Vehicles",'J Book Items Cons.'!R$5:R$3360,"",'J Book Items Cons.'!N$5:N$3360,"")</f>
        <v>0</v>
      </c>
      <c r="M100" s="16">
        <f>SUMIFS('J Book Items Cons.'!R$5:R$3360,'J Book Items Cons.'!S$5:S$3360,"",'J Book Items Cons.'!E$5:E$3360,"&gt;1",'J Book Items Cons.'!U$5:U$3360,"USN",'J Book Items Cons.'!W$5:W$3360,"Command Ships",'J Book Items Cons.'!R$5:R$3360,"&lt;&gt;")+SUMIFS('J Book Items Cons.'!N$5:N$3360,'J Book Items Cons.'!S$5:S$3360,"",'J Book Items Cons.'!E$5:E$3360,"&gt;1",'J Book Items Cons.'!U$5:U$3360,"USN",'J Book Items Cons.'!W$5:W$3360,"Command Ships",'J Book Items Cons.'!R$5:R$3360,"",'J Book Items Cons.'!N$5:N$3360,"&lt;&gt;")+SUMIFS('J Book Items Cons.'!L$5:L$3360,'J Book Items Cons.'!S$5:S$3360,"",'J Book Items Cons.'!E$5:E$3360,"&gt;1",'J Book Items Cons.'!U$5:U$3360,"USN",'J Book Items Cons.'!W$5:W$3360,"Command Ships",'J Book Items Cons.'!R$5:R$3360,"",'J Book Items Cons.'!N$5:N$3360,"")+SUMIFS('J Book Items Cons.'!R$5:R$3360,'J Book Items Cons.'!S$5:S$3360,"[PARENT]",'J Book Items Cons.'!E$5:E$3360,"&gt;1",'J Book Items Cons.'!U$5:U$3360,"USN",'J Book Items Cons.'!W$5:W$3360,"Command Ships",'J Book Items Cons.'!R$5:R$3360,"&lt;&gt;")+SUMIFS('J Book Items Cons.'!N$5:N$3360,'J Book Items Cons.'!S$5:S$3360,"[PARENT]",'J Book Items Cons.'!E$5:E$3360,"&gt;1",'J Book Items Cons.'!U$5:U$3360,"USN",'J Book Items Cons.'!W$5:W$3360,"Command Ships",'J Book Items Cons.'!R$5:R$3360,"",'J Book Items Cons.'!N$5:N$3360,"&lt;&gt;")+SUMIFS('J Book Items Cons.'!L$5:L$3360,'J Book Items Cons.'!S$5:S$3360,"[PARENT]",'J Book Items Cons.'!E$5:E$3360,"&gt;1",'J Book Items Cons.'!U$5:U$3360,"USN",'J Book Items Cons.'!W$5:W$3360,"Command Ships",'J Book Items Cons.'!R$5:R$3360,"",'J Book Items Cons.'!N$5:N$3360,"")</f>
        <v>41448</v>
      </c>
      <c r="N100" s="29">
        <f>SUMIFS('J Book Items Cons.'!R$5:R$3360,'J Book Items Cons.'!S$5:S$3360,"",'J Book Items Cons.'!E$5:E$3360,"&gt;1",'J Book Items Cons.'!U$5:U$3360,"USN",'J Book Items Cons.'!W$5:W$3360,"Mine Warfare",'J Book Items Cons.'!R$5:R$3360,"&lt;&gt;")+SUMIFS('J Book Items Cons.'!N$5:N$3360,'J Book Items Cons.'!S$5:S$3360,"",'J Book Items Cons.'!E$5:E$3360,"&gt;1",'J Book Items Cons.'!U$5:U$3360,"USN",'J Book Items Cons.'!W$5:W$3360,"Mine Warfare",'J Book Items Cons.'!R$5:R$3360,"",'J Book Items Cons.'!N$5:N$3360,"&lt;&gt;")+SUMIFS('J Book Items Cons.'!L$5:L$3360,'J Book Items Cons.'!S$5:S$3360,"",'J Book Items Cons.'!E$5:E$3360,"&gt;1",'J Book Items Cons.'!U$5:U$3360,"USN",'J Book Items Cons.'!W$5:W$3360,"Mine Warfare",'J Book Items Cons.'!R$5:R$3360,"",'J Book Items Cons.'!N$5:N$3360,"")+SUMIFS('J Book Items Cons.'!R$5:R$3360,'J Book Items Cons.'!S$5:S$3360,"[PARENT]",'J Book Items Cons.'!E$5:E$3360,"&gt;1",'J Book Items Cons.'!U$5:U$3360,"USN",'J Book Items Cons.'!W$5:W$3360,"Mine Warfare",'J Book Items Cons.'!R$5:R$3360,"&lt;&gt;")+SUMIFS('J Book Items Cons.'!N$5:N$3360,'J Book Items Cons.'!S$5:S$3360,"[PARENT]",'J Book Items Cons.'!E$5:E$3360,"&gt;1",'J Book Items Cons.'!U$5:U$3360,"USN",'J Book Items Cons.'!W$5:W$3360,"Mine Warfare",'J Book Items Cons.'!R$5:R$3360,"",'J Book Items Cons.'!N$5:N$3360,"&lt;&gt;")+SUMIFS('J Book Items Cons.'!L$5:L$3360,'J Book Items Cons.'!S$5:S$3360,"[PARENT]",'J Book Items Cons.'!E$5:E$3360,"&gt;1",'J Book Items Cons.'!U$5:U$3360,"USN",'J Book Items Cons.'!W$5:W$3360,"Mine Warfare",'J Book Items Cons.'!R$5:R$3360,"",'J Book Items Cons.'!N$5:N$3360,"")</f>
        <v>24349</v>
      </c>
      <c r="O100" s="28">
        <f>SUMIFS('J Book Items Cons.'!R$5:R$3360,'J Book Items Cons.'!S$5:S$3360,"",'J Book Items Cons.'!E$5:E$3360,"&gt;1",'J Book Items Cons.'!U$5:U$3360,"USCG",'J Book Items Cons.'!W$5:W$3360,"Offshore Patrol Cutter",'J Book Items Cons.'!R$5:R$3360,"&lt;&gt;")+SUMIFS('J Book Items Cons.'!N$5:N$3360,'J Book Items Cons.'!S$5:S$3360,"",'J Book Items Cons.'!E$5:E$3360,"&gt;1",'J Book Items Cons.'!U$5:U$3360,"USCG",'J Book Items Cons.'!W$5:W$3360,"Offshore Patrol Cutter",'J Book Items Cons.'!R$5:R$3360,"",'J Book Items Cons.'!N$5:N$3360,"&lt;&gt;")+SUMIFS('J Book Items Cons.'!L$5:L$3360,'J Book Items Cons.'!S$5:S$3360,"",'J Book Items Cons.'!E$5:E$3360,"&gt;1",'J Book Items Cons.'!U$5:U$3360,"USCG",'J Book Items Cons.'!W$5:W$3360,"Offshore Patrol Cutter",'J Book Items Cons.'!R$5:R$3360,"",'J Book Items Cons.'!N$5:N$3360,"")+SUMIFS('J Book Items Cons.'!R$5:R$3360,'J Book Items Cons.'!S$5:S$3360,"[PARENT]",'J Book Items Cons.'!E$5:E$3360,"&gt;1",'J Book Items Cons.'!U$5:U$3360,"USCG",'J Book Items Cons.'!W$5:W$3360,"Offshore Patrol Cutter",'J Book Items Cons.'!R$5:R$3360,"&lt;&gt;")+SUMIFS('J Book Items Cons.'!N$5:N$3360,'J Book Items Cons.'!S$5:S$3360,"[PARENT]",'J Book Items Cons.'!E$5:E$3360,"&gt;1",'J Book Items Cons.'!U$5:U$3360,"USCG",'J Book Items Cons.'!W$5:W$3360,"Offshore Patrol Cutter",'J Book Items Cons.'!R$5:R$3360,"",'J Book Items Cons.'!N$5:N$3360,"&lt;&gt;")+SUMIFS('J Book Items Cons.'!L$5:L$3360,'J Book Items Cons.'!S$5:S$3360,"[PARENT]",'J Book Items Cons.'!E$5:E$3360,"&gt;1",'J Book Items Cons.'!U$5:U$3360,"USCG",'J Book Items Cons.'!W$5:W$3360,"Offshore Patrol Cutter",'J Book Items Cons.'!R$5:R$3360,"",'J Book Items Cons.'!N$5:N$3360,"")</f>
        <v>0</v>
      </c>
      <c r="P100" s="16">
        <f>SUMIFS('J Book Items Cons.'!R$5:R$3360,'J Book Items Cons.'!S$5:S$3360,"",'J Book Items Cons.'!E$5:E$3360,"&gt;1",'J Book Items Cons.'!U$5:U$3360,"USCG",'J Book Items Cons.'!W$5:W$3360,"Fast Response Cutters",'J Book Items Cons.'!R$5:R$3360,"&lt;&gt;")+SUMIFS('J Book Items Cons.'!N$5:N$3360,'J Book Items Cons.'!S$5:S$3360,"",'J Book Items Cons.'!E$5:E$3360,"&gt;1",'J Book Items Cons.'!U$5:U$3360,"USCG",'J Book Items Cons.'!W$5:W$3360,"Fast Response Cutters",'J Book Items Cons.'!R$5:R$3360,"",'J Book Items Cons.'!N$5:N$3360,"&lt;&gt;")+SUMIFS('J Book Items Cons.'!L$5:L$3360,'J Book Items Cons.'!S$5:S$3360,"",'J Book Items Cons.'!E$5:E$3360,"&gt;1",'J Book Items Cons.'!U$5:U$3360,"USCG",'J Book Items Cons.'!W$5:W$3360,"Fast Response Cutters",'J Book Items Cons.'!R$5:R$3360,"",'J Book Items Cons.'!N$5:N$3360,"")+SUMIFS('J Book Items Cons.'!R$5:R$3360,'J Book Items Cons.'!S$5:S$3360,"[PARENT]",'J Book Items Cons.'!E$5:E$3360,"&gt;1",'J Book Items Cons.'!U$5:U$3360,"USCG",'J Book Items Cons.'!W$5:W$3360,"Fast Response Cutters",'J Book Items Cons.'!R$5:R$3360,"&lt;&gt;")+SUMIFS('J Book Items Cons.'!N$5:N$3360,'J Book Items Cons.'!S$5:S$3360,"[PARENT]",'J Book Items Cons.'!E$5:E$3360,"&gt;1",'J Book Items Cons.'!U$5:U$3360,"USCG",'J Book Items Cons.'!W$5:W$3360,"Fast Response Cutters",'J Book Items Cons.'!R$5:R$3360,"",'J Book Items Cons.'!N$5:N$3360,"&lt;&gt;")+SUMIFS('J Book Items Cons.'!L$5:L$3360,'J Book Items Cons.'!S$5:S$3360,"[PARENT]",'J Book Items Cons.'!E$5:E$3360,"&gt;1",'J Book Items Cons.'!U$5:U$3360,"USCG",'J Book Items Cons.'!W$5:W$3360,"Fast Response Cutters",'J Book Items Cons.'!R$5:R$3360,"",'J Book Items Cons.'!N$5:N$3360,"")</f>
        <v>0</v>
      </c>
      <c r="Q100" s="16">
        <f>SUMIFS('J Book Items Cons.'!R$5:R$3360,'J Book Items Cons.'!S$5:S$3360,"",'J Book Items Cons.'!E$5:E$3360,"&gt;1",'J Book Items Cons.'!U$5:U$3360,"USCG",'J Book Items Cons.'!W$5:W$3360,"Icebreakers, Oceangoing",'J Book Items Cons.'!R$5:R$3360,"&lt;&gt;")+SUMIFS('J Book Items Cons.'!N$5:N$3360,'J Book Items Cons.'!S$5:S$3360,"",'J Book Items Cons.'!E$5:E$3360,"&gt;1",'J Book Items Cons.'!U$5:U$3360,"USCG",'J Book Items Cons.'!W$5:W$3360,"Icebreakers, Oceangoing",'J Book Items Cons.'!R$5:R$3360,"",'J Book Items Cons.'!N$5:N$3360,"&lt;&gt;")+SUMIFS('J Book Items Cons.'!L$5:L$3360,'J Book Items Cons.'!S$5:S$3360,"",'J Book Items Cons.'!E$5:E$3360,"&gt;1",'J Book Items Cons.'!U$5:U$3360,"USCG",'J Book Items Cons.'!W$5:W$3360,"Icebreakers, Oceangoing",'J Book Items Cons.'!R$5:R$3360,"",'J Book Items Cons.'!N$5:N$3360,"")+SUMIFS('J Book Items Cons.'!R$5:R$3360,'J Book Items Cons.'!S$5:S$3360,"[PARENT]",'J Book Items Cons.'!E$5:E$3360,"&gt;1",'J Book Items Cons.'!U$5:U$3360,"USCG",'J Book Items Cons.'!W$5:W$3360,"Icebreakers, Oceangoing",'J Book Items Cons.'!R$5:R$3360,"&lt;&gt;")+SUMIFS('J Book Items Cons.'!N$5:N$3360,'J Book Items Cons.'!S$5:S$3360,"[PARENT]",'J Book Items Cons.'!E$5:E$3360,"&gt;1",'J Book Items Cons.'!U$5:U$3360,"USCG",'J Book Items Cons.'!W$5:W$3360,"Icebreakers, Oceangoing",'J Book Items Cons.'!R$5:R$3360,"",'J Book Items Cons.'!N$5:N$3360,"&lt;&gt;")+SUMIFS('J Book Items Cons.'!L$5:L$3360,'J Book Items Cons.'!S$5:S$3360,"[PARENT]",'J Book Items Cons.'!E$5:E$3360,"&gt;1",'J Book Items Cons.'!U$5:U$3360,"USCG",'J Book Items Cons.'!W$5:W$3360,"Icebreakers, Oceangoing",'J Book Items Cons.'!R$5:R$3360,"",'J Book Items Cons.'!N$5:N$3360,"")</f>
        <v>0</v>
      </c>
      <c r="R100" s="16">
        <f>SUMIFS('J Book Items Cons.'!R$5:R$3360,'J Book Items Cons.'!S$5:S$3360,"",'J Book Items Cons.'!E$5:E$3360,"&gt;1",'J Book Items Cons.'!U$5:U$3360,"USCG",'J Book Items Cons.'!W$5:W$3360,"Waterways Commerce Cutters",'J Book Items Cons.'!R$5:R$3360,"&lt;&gt;")+SUMIFS('J Book Items Cons.'!N$5:N$3360,'J Book Items Cons.'!S$5:S$3360,"",'J Book Items Cons.'!E$5:E$3360,"&gt;1",'J Book Items Cons.'!U$5:U$3360,"USCG",'J Book Items Cons.'!W$5:W$3360,"Waterways Commerce Cutters",'J Book Items Cons.'!R$5:R$3360,"",'J Book Items Cons.'!N$5:N$3360,"&lt;&gt;")+SUMIFS('J Book Items Cons.'!L$5:L$3360,'J Book Items Cons.'!S$5:S$3360,"",'J Book Items Cons.'!E$5:E$3360,"&gt;1",'J Book Items Cons.'!U$5:U$3360,"USCG",'J Book Items Cons.'!W$5:W$3360,"Waterways Commerce Cutters",'J Book Items Cons.'!R$5:R$3360,"",'J Book Items Cons.'!N$5:N$3360,"")+SUMIFS('J Book Items Cons.'!R$5:R$3360,'J Book Items Cons.'!S$5:S$3360,"[PARENT]",'J Book Items Cons.'!E$5:E$3360,"&gt;1",'J Book Items Cons.'!U$5:U$3360,"USCG",'J Book Items Cons.'!W$5:W$3360,"Waterways Commerce Cutters",'J Book Items Cons.'!R$5:R$3360,"&lt;&gt;")+SUMIFS('J Book Items Cons.'!N$5:N$3360,'J Book Items Cons.'!S$5:S$3360,"[PARENT]",'J Book Items Cons.'!E$5:E$3360,"&gt;1",'J Book Items Cons.'!U$5:U$3360,"USCG",'J Book Items Cons.'!W$5:W$3360,"Waterways Commerce Cutters",'J Book Items Cons.'!R$5:R$3360,"",'J Book Items Cons.'!N$5:N$3360,"&lt;&gt;")+SUMIFS('J Book Items Cons.'!L$5:L$3360,'J Book Items Cons.'!S$5:S$3360,"[PARENT]",'J Book Items Cons.'!E$5:E$3360,"&gt;1",'J Book Items Cons.'!U$5:U$3360,"USCG",'J Book Items Cons.'!W$5:W$3360,"Waterways Commerce Cutters",'J Book Items Cons.'!R$5:R$3360,"",'J Book Items Cons.'!N$5:N$3360,"")</f>
        <v>0</v>
      </c>
      <c r="S100" s="29">
        <f>SUMIFS('J Book Items Cons.'!R$5:R$3360,'J Book Items Cons.'!S$5:S$3360,"",'J Book Items Cons.'!E$5:E$3360,"&gt;1",'J Book Items Cons.'!U$5:U$3360,"USCG",'J Book Items Cons.'!W$5:W$3360,"National Security Cutters",'J Book Items Cons.'!R$5:R$3360,"&lt;&gt;")+SUMIFS('J Book Items Cons.'!N$5:N$3360,'J Book Items Cons.'!S$5:S$3360,"",'J Book Items Cons.'!E$5:E$3360,"&gt;1",'J Book Items Cons.'!U$5:U$3360,"USCG",'J Book Items Cons.'!W$5:W$3360,"National Security Cutters",'J Book Items Cons.'!R$5:R$3360,"",'J Book Items Cons.'!N$5:N$3360,"&lt;&gt;")+SUMIFS('J Book Items Cons.'!L$5:L$3360,'J Book Items Cons.'!S$5:S$3360,"",'J Book Items Cons.'!E$5:E$3360,"&gt;1",'J Book Items Cons.'!U$5:U$3360,"USCG",'J Book Items Cons.'!W$5:W$3360,"National Security Cutters",'J Book Items Cons.'!R$5:R$3360,"",'J Book Items Cons.'!N$5:N$3360,"")+SUMIFS('J Book Items Cons.'!R$5:R$3360,'J Book Items Cons.'!S$5:S$3360,"[PARENT]",'J Book Items Cons.'!E$5:E$3360,"&gt;1",'J Book Items Cons.'!U$5:U$3360,"USCG",'J Book Items Cons.'!W$5:W$3360,"National Security Cutters",'J Book Items Cons.'!R$5:R$3360,"&lt;&gt;")+SUMIFS('J Book Items Cons.'!N$5:N$3360,'J Book Items Cons.'!S$5:S$3360,"[PARENT]",'J Book Items Cons.'!E$5:E$3360,"&gt;1",'J Book Items Cons.'!U$5:U$3360,"USCG",'J Book Items Cons.'!W$5:W$3360,"National Security Cutters",'J Book Items Cons.'!R$5:R$3360,"",'J Book Items Cons.'!N$5:N$3360,"&lt;&gt;")+SUMIFS('J Book Items Cons.'!L$5:L$3360,'J Book Items Cons.'!S$5:S$3360,"[PARENT]",'J Book Items Cons.'!E$5:E$3360,"&gt;1",'J Book Items Cons.'!U$5:U$3360,"USCG",'J Book Items Cons.'!W$5:W$3360,"National Security Cutters",'J Book Items Cons.'!R$5:R$3360,"",'J Book Items Cons.'!N$5:N$3360,"")</f>
        <v>31000</v>
      </c>
      <c r="T100" s="16">
        <f>SUM(B100:S100)</f>
        <v>24689074</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14F"/>
  </sheetPr>
  <dimension ref="A1:AI198"/>
  <sheetViews>
    <sheetView showGridLines="0" zoomScaleNormal="100" workbookViewId="0">
      <selection activeCell="B36" sqref="B36"/>
    </sheetView>
  </sheetViews>
  <sheetFormatPr baseColWidth="10" defaultColWidth="8.83203125" defaultRowHeight="11" x14ac:dyDescent="0.15"/>
  <cols>
    <col min="1" max="1" width="34" style="1" customWidth="1"/>
    <col min="2" max="7" width="16.1640625" style="1" customWidth="1"/>
    <col min="8" max="17" width="16.1640625" style="41" customWidth="1"/>
    <col min="18" max="38" width="8.83203125" style="1" customWidth="1"/>
    <col min="39" max="39" width="16.1640625" style="1" customWidth="1"/>
    <col min="40" max="41" width="8.6640625" style="1" customWidth="1"/>
    <col min="42" max="42" width="8.83203125" style="1" customWidth="1"/>
    <col min="43" max="16384" width="8.83203125" style="1"/>
  </cols>
  <sheetData>
    <row r="1" spans="1:35" ht="9.75" customHeight="1" x14ac:dyDescent="0.15">
      <c r="A1" s="2" t="s">
        <v>8857</v>
      </c>
      <c r="B1" s="2"/>
      <c r="C1" s="2"/>
      <c r="D1" s="2"/>
      <c r="E1" s="2"/>
      <c r="F1" s="2"/>
      <c r="G1" s="2"/>
      <c r="H1" s="2"/>
      <c r="I1" s="2"/>
      <c r="J1" s="2"/>
      <c r="K1" s="2"/>
      <c r="L1" s="2"/>
      <c r="M1" s="2"/>
      <c r="N1" s="2"/>
      <c r="O1" s="2"/>
      <c r="P1" s="2"/>
      <c r="Q1" s="2"/>
    </row>
    <row r="2" spans="1:35" ht="9.75" customHeight="1" x14ac:dyDescent="0.15">
      <c r="A2" s="3" t="s">
        <v>8858</v>
      </c>
      <c r="B2" s="42"/>
      <c r="C2" s="42"/>
      <c r="D2" s="42"/>
      <c r="E2" s="42"/>
      <c r="F2" s="42"/>
      <c r="G2" s="42"/>
      <c r="H2" s="42"/>
      <c r="I2" s="42"/>
      <c r="J2" s="42"/>
      <c r="K2" s="42"/>
      <c r="L2" s="42"/>
      <c r="M2" s="42"/>
      <c r="N2" s="42"/>
      <c r="O2" s="42"/>
      <c r="P2" s="42"/>
      <c r="Q2" s="42"/>
    </row>
    <row r="3" spans="1:35" ht="9.75" customHeight="1" x14ac:dyDescent="0.15">
      <c r="A3" s="43"/>
      <c r="B3" s="43"/>
      <c r="C3" s="43"/>
      <c r="D3" s="43"/>
      <c r="E3" s="43"/>
      <c r="F3" s="43"/>
      <c r="G3" s="43"/>
      <c r="H3" s="43"/>
      <c r="I3" s="43"/>
      <c r="J3" s="43"/>
      <c r="K3" s="43"/>
      <c r="L3" s="43"/>
      <c r="M3" s="43"/>
      <c r="N3" s="43"/>
      <c r="O3" s="43"/>
      <c r="P3" s="43"/>
      <c r="Q3" s="43"/>
    </row>
    <row r="4" spans="1:35" ht="9.75" customHeight="1" x14ac:dyDescent="0.15">
      <c r="A4" s="11" t="s">
        <v>8859</v>
      </c>
      <c r="B4" s="11"/>
      <c r="C4" s="11"/>
      <c r="D4" s="11"/>
      <c r="E4" s="11"/>
      <c r="F4" s="11"/>
      <c r="G4" s="11"/>
      <c r="H4" s="11"/>
      <c r="I4" s="11"/>
      <c r="J4" s="11"/>
      <c r="K4" s="11"/>
      <c r="L4" s="11"/>
      <c r="M4" s="11"/>
      <c r="N4" s="11"/>
      <c r="O4" s="11"/>
      <c r="P4" s="11"/>
      <c r="Q4" s="11"/>
      <c r="S4" s="11" t="s">
        <v>8860</v>
      </c>
      <c r="T4" s="11"/>
      <c r="U4" s="11"/>
      <c r="V4" s="11"/>
      <c r="W4" s="11"/>
      <c r="X4" s="11"/>
      <c r="Y4" s="11"/>
      <c r="Z4" s="11"/>
      <c r="AA4" s="11"/>
      <c r="AB4" s="11"/>
      <c r="AC4" s="11"/>
      <c r="AD4" s="11"/>
      <c r="AE4" s="11"/>
      <c r="AF4" s="11"/>
      <c r="AG4" s="11"/>
      <c r="AH4" s="11"/>
      <c r="AI4" s="11"/>
    </row>
    <row r="5" spans="1:35" ht="9.75" customHeight="1" x14ac:dyDescent="0.15">
      <c r="A5" s="18"/>
      <c r="B5" s="44" t="s">
        <v>44</v>
      </c>
      <c r="C5" s="45"/>
      <c r="D5" s="45"/>
      <c r="E5" s="45"/>
      <c r="F5" s="45"/>
      <c r="G5" s="45"/>
      <c r="H5" s="45"/>
      <c r="I5" s="45"/>
      <c r="J5" s="45"/>
      <c r="K5" s="46"/>
      <c r="L5" s="44" t="s">
        <v>7086</v>
      </c>
      <c r="M5" s="45"/>
      <c r="N5" s="45"/>
      <c r="O5" s="45"/>
      <c r="P5" s="46"/>
      <c r="Q5" s="18"/>
      <c r="S5" s="18"/>
      <c r="T5" s="44" t="s">
        <v>44</v>
      </c>
      <c r="U5" s="45"/>
      <c r="V5" s="45"/>
      <c r="W5" s="45"/>
      <c r="X5" s="45"/>
      <c r="Y5" s="45"/>
      <c r="Z5" s="45"/>
      <c r="AA5" s="45"/>
      <c r="AB5" s="45"/>
      <c r="AC5" s="46"/>
      <c r="AD5" s="44" t="s">
        <v>7086</v>
      </c>
      <c r="AE5" s="45"/>
      <c r="AF5" s="45"/>
      <c r="AG5" s="45"/>
      <c r="AH5" s="46"/>
      <c r="AI5" s="18"/>
    </row>
    <row r="6" spans="1:35" ht="9.75" customHeight="1" x14ac:dyDescent="0.15">
      <c r="A6" s="47" t="s">
        <v>8820</v>
      </c>
      <c r="B6" s="48" t="s">
        <v>130</v>
      </c>
      <c r="C6" s="47" t="s">
        <v>171</v>
      </c>
      <c r="D6" s="47" t="s">
        <v>211</v>
      </c>
      <c r="E6" s="47" t="s">
        <v>8836</v>
      </c>
      <c r="F6" s="47" t="s">
        <v>5560</v>
      </c>
      <c r="G6" s="47" t="s">
        <v>282</v>
      </c>
      <c r="H6" s="47" t="s">
        <v>8837</v>
      </c>
      <c r="I6" s="47" t="s">
        <v>8838</v>
      </c>
      <c r="J6" s="47" t="s">
        <v>4977</v>
      </c>
      <c r="K6" s="49" t="s">
        <v>4779</v>
      </c>
      <c r="L6" s="48" t="s">
        <v>8649</v>
      </c>
      <c r="M6" s="47" t="s">
        <v>8657</v>
      </c>
      <c r="N6" s="47" t="s">
        <v>8668</v>
      </c>
      <c r="O6" s="47" t="s">
        <v>8682</v>
      </c>
      <c r="P6" s="49" t="s">
        <v>7088</v>
      </c>
      <c r="Q6" s="47" t="s">
        <v>8831</v>
      </c>
      <c r="S6" s="47" t="s">
        <v>8820</v>
      </c>
      <c r="T6" s="50" t="s">
        <v>90</v>
      </c>
      <c r="U6" s="51" t="s">
        <v>47</v>
      </c>
      <c r="V6" s="51" t="s">
        <v>131</v>
      </c>
      <c r="W6" s="51" t="s">
        <v>172</v>
      </c>
      <c r="X6" s="51" t="s">
        <v>156</v>
      </c>
      <c r="Y6" s="51" t="s">
        <v>5027</v>
      </c>
      <c r="Z6" s="51" t="s">
        <v>194</v>
      </c>
      <c r="AA6" s="51" t="s">
        <v>6251</v>
      </c>
      <c r="AB6" s="51" t="s">
        <v>5077</v>
      </c>
      <c r="AC6" s="52" t="s">
        <v>5021</v>
      </c>
      <c r="AD6" s="50" t="s">
        <v>8652</v>
      </c>
      <c r="AE6" s="51" t="s">
        <v>8658</v>
      </c>
      <c r="AF6" s="51" t="s">
        <v>8669</v>
      </c>
      <c r="AG6" s="51" t="s">
        <v>8683</v>
      </c>
      <c r="AH6" s="52" t="s">
        <v>7089</v>
      </c>
      <c r="AI6" s="51" t="s">
        <v>8831</v>
      </c>
    </row>
    <row r="7" spans="1:35" ht="9.75" customHeight="1" x14ac:dyDescent="0.15">
      <c r="A7" s="7" t="s">
        <v>8822</v>
      </c>
      <c r="B7" s="53">
        <f>IF(B16=0,0,(SUMIFS('J Book Items Cons.'!R$5:R$3360,'J Book Items Cons.'!E$5:E$3360,1,'J Book Items Cons.'!S$5:S$3360,"",'J Book Items Cons.'!U$5:U$3360,"USN",'J Book Items Cons.'!W$5:W$3360,"Surface Combatants",'J Book Items Cons.'!R$5:R$3360,"&lt;&gt;")+SUMIFS('J Book Items Cons.'!N$5:N$3360,'J Book Items Cons.'!E$5:E$3360,1,'J Book Items Cons.'!S$5:S$3360,"",'J Book Items Cons.'!U$5:U$3360,"USN",'J Book Items Cons.'!W$5:W$3360,"Surface Combatants",'J Book Items Cons.'!R$5:R$3360,"",'J Book Items Cons.'!N$5:N$3360,"&lt;&gt;")+SUMIFS('J Book Items Cons.'!L$5:L$3360,'J Book Items Cons.'!E$5:E$3360,1,'J Book Items Cons.'!S$5:S$3360,"",'J Book Items Cons.'!U$5:U$3360,"USN",'J Book Items Cons.'!W$5:W$3360,"Surface Combatants",'J Book Items Cons.'!R$5:R$3360,"",'J Book Items Cons.'!N$5:N$3360,"")+SUMIFS('J Book Items Cons.'!R$5:R$3360,'J Book Items Cons.'!E$5:E$3360,1,'J Book Items Cons.'!S$5:S$3360,"[PARENT]",'J Book Items Cons.'!U$5:U$3360,"USN",'J Book Items Cons.'!W$5:W$3360,"Surface Combatants",'J Book Items Cons.'!R$5:R$3360,"&lt;&gt;")+SUMIFS('J Book Items Cons.'!N$5:N$3360,'J Book Items Cons.'!E$5:E$3360,1,'J Book Items Cons.'!S$5:S$3360,"[PARENT]",'J Book Items Cons.'!U$5:U$3360,"USN",'J Book Items Cons.'!W$5:W$3360,"Surface Combatants",'J Book Items Cons.'!R$5:R$3360,"",'J Book Items Cons.'!N$5:N$3360,"&lt;&gt;")+SUMIFS('J Book Items Cons.'!L$5:L$3360,'J Book Items Cons.'!E$5:E$3360,1,'J Book Items Cons.'!S$5:S$3360,"[PARENT]",'J Book Items Cons.'!U$5:U$3360,"USN",'J Book Items Cons.'!W$5:W$3360,"Surface Combatants",'J Book Items Cons.'!R$5:R$3360,"",'J Book Items Cons.'!N$5:N$3360,""))/B16)</f>
        <v>0.54869378581902828</v>
      </c>
      <c r="C7" s="54">
        <f>IF(C16=0,0,(SUMIFS('J Book Items Cons.'!R$5:R$3360,'J Book Items Cons.'!E$5:E$3360,1,'J Book Items Cons.'!S$5:S$3360,"",'J Book Items Cons.'!U$5:U$3360,"USN",'J Book Items Cons.'!W$5:W$3360,"Amphibious Warfare Ships",'J Book Items Cons.'!R$5:R$3360,"&lt;&gt;")+SUMIFS('J Book Items Cons.'!N$5:N$3360,'J Book Items Cons.'!E$5:E$3360,1,'J Book Items Cons.'!S$5:S$3360,"",'J Book Items Cons.'!U$5:U$3360,"USN",'J Book Items Cons.'!W$5:W$3360,"Amphibious Warfare Ships",'J Book Items Cons.'!R$5:R$3360,"",'J Book Items Cons.'!N$5:N$3360,"&lt;&gt;")+SUMIFS('J Book Items Cons.'!L$5:L$3360,'J Book Items Cons.'!E$5:E$3360,1,'J Book Items Cons.'!S$5:S$3360,"",'J Book Items Cons.'!U$5:U$3360,"USN",'J Book Items Cons.'!W$5:W$3360,"Amphibious Warfare Ships",'J Book Items Cons.'!R$5:R$3360,"",'J Book Items Cons.'!N$5:N$3360,"")+SUMIFS('J Book Items Cons.'!R$5:R$3360,'J Book Items Cons.'!E$5:E$3360,1,'J Book Items Cons.'!S$5:S$3360,"[PARENT]",'J Book Items Cons.'!U$5:U$3360,"USN",'J Book Items Cons.'!W$5:W$3360,"Amphibious Warfare Ships",'J Book Items Cons.'!R$5:R$3360,"&lt;&gt;")+SUMIFS('J Book Items Cons.'!N$5:N$3360,'J Book Items Cons.'!E$5:E$3360,1,'J Book Items Cons.'!S$5:S$3360,"[PARENT]",'J Book Items Cons.'!U$5:U$3360,"USN",'J Book Items Cons.'!W$5:W$3360,"Amphibious Warfare Ships",'J Book Items Cons.'!R$5:R$3360,"",'J Book Items Cons.'!N$5:N$3360,"&lt;&gt;")+SUMIFS('J Book Items Cons.'!L$5:L$3360,'J Book Items Cons.'!E$5:E$3360,1,'J Book Items Cons.'!S$5:S$3360,"[PARENT]",'J Book Items Cons.'!U$5:U$3360,"USN",'J Book Items Cons.'!W$5:W$3360,"Amphibious Warfare Ships",'J Book Items Cons.'!R$5:R$3360,"",'J Book Items Cons.'!N$5:N$3360,""))/C16)</f>
        <v>0.52636611613898843</v>
      </c>
      <c r="D7" s="54">
        <f>IF(D16=0,0,(SUMIFS('J Book Items Cons.'!R$5:R$3360,'J Book Items Cons.'!E$5:E$3360,1,'J Book Items Cons.'!S$5:S$3360,"",'J Book Items Cons.'!U$5:U$3360,"USN",'J Book Items Cons.'!W$5:W$3360,"Expeditionary &amp; Seabasing Ships",'J Book Items Cons.'!R$5:R$3360,"&lt;&gt;")+SUMIFS('J Book Items Cons.'!N$5:N$3360,'J Book Items Cons.'!E$5:E$3360,1,'J Book Items Cons.'!S$5:S$3360,"",'J Book Items Cons.'!U$5:U$3360,"USN",'J Book Items Cons.'!W$5:W$3360,"Expeditionary &amp; Seabasing Ships",'J Book Items Cons.'!R$5:R$3360,"",'J Book Items Cons.'!N$5:N$3360,"&lt;&gt;")+SUMIFS('J Book Items Cons.'!L$5:L$3360,'J Book Items Cons.'!E$5:E$3360,1,'J Book Items Cons.'!S$5:S$3360,"",'J Book Items Cons.'!U$5:U$3360,"USN",'J Book Items Cons.'!W$5:W$3360,"Expeditionary &amp; Seabasing Ships",'J Book Items Cons.'!R$5:R$3360,"",'J Book Items Cons.'!N$5:N$3360,"")+SUMIFS('J Book Items Cons.'!R$5:R$3360,'J Book Items Cons.'!E$5:E$3360,1,'J Book Items Cons.'!S$5:S$3360,"[PARENT]",'J Book Items Cons.'!U$5:U$3360,"USN",'J Book Items Cons.'!W$5:W$3360,"Expeditionary &amp; Seabasing Ships",'J Book Items Cons.'!R$5:R$3360,"&lt;&gt;")+SUMIFS('J Book Items Cons.'!N$5:N$3360,'J Book Items Cons.'!E$5:E$3360,1,'J Book Items Cons.'!S$5:S$3360,"[PARENT]",'J Book Items Cons.'!U$5:U$3360,"USN",'J Book Items Cons.'!W$5:W$3360,"Expeditionary &amp; Seabasing Ships",'J Book Items Cons.'!R$5:R$3360,"",'J Book Items Cons.'!N$5:N$3360,"&lt;&gt;")+SUMIFS('J Book Items Cons.'!L$5:L$3360,'J Book Items Cons.'!E$5:E$3360,1,'J Book Items Cons.'!S$5:S$3360,"[PARENT]",'J Book Items Cons.'!U$5:U$3360,"USN",'J Book Items Cons.'!W$5:W$3360,"Expeditionary &amp; Seabasing Ships",'J Book Items Cons.'!R$5:R$3360,"",'J Book Items Cons.'!N$5:N$3360,""))/D16)</f>
        <v>0.97815213067598694</v>
      </c>
      <c r="E7" s="54">
        <f>IF(E16=0,0,(SUMIFS('J Book Items Cons.'!R$5:R$3360,'J Book Items Cons.'!E$5:E$3360,1,'J Book Items Cons.'!S$5:S$3360,"",'J Book Items Cons.'!U$5:U$3360,"MSC",'J Book Items Cons.'!W$5:W$3360,"Combat Logistics Ships",'J Book Items Cons.'!R$5:R$3360,"&lt;&gt;")+SUMIFS('J Book Items Cons.'!N$5:N$3360,'J Book Items Cons.'!E$5:E$3360,1,'J Book Items Cons.'!S$5:S$3360,"",'J Book Items Cons.'!U$5:U$3360,"MSC",'J Book Items Cons.'!W$5:W$3360,"Combat Logistics Ships",'J Book Items Cons.'!R$5:R$3360,"",'J Book Items Cons.'!N$5:N$3360,"&lt;&gt;")+SUMIFS('J Book Items Cons.'!L$5:L$3360,'J Book Items Cons.'!E$5:E$3360,1,'J Book Items Cons.'!S$5:S$3360,"",'J Book Items Cons.'!U$5:U$3360,"MSC",'J Book Items Cons.'!W$5:W$3360,"Combat Logistics Ships",'J Book Items Cons.'!R$5:R$3360,"",'J Book Items Cons.'!N$5:N$3360,"")+SUMIFS('J Book Items Cons.'!R$5:R$3360,'J Book Items Cons.'!E$5:E$3360,1,'J Book Items Cons.'!S$5:S$3360,"[PARENT]",'J Book Items Cons.'!U$5:U$3360,"MSC",'J Book Items Cons.'!W$5:W$3360,"Combat Logistics Ships",'J Book Items Cons.'!R$5:R$3360,"&lt;&gt;")+SUMIFS('J Book Items Cons.'!N$5:N$3360,'J Book Items Cons.'!E$5:E$3360,1,'J Book Items Cons.'!S$5:S$3360,"[PARENT]",'J Book Items Cons.'!U$5:U$3360,"MSC",'J Book Items Cons.'!W$5:W$3360,"Combat Logistics Ships",'J Book Items Cons.'!R$5:R$3360,"",'J Book Items Cons.'!N$5:N$3360,"&lt;&gt;")+SUMIFS('J Book Items Cons.'!L$5:L$3360,'J Book Items Cons.'!E$5:E$3360,1,'J Book Items Cons.'!S$5:S$3360,"[PARENT]",'J Book Items Cons.'!U$5:U$3360,"MSC",'J Book Items Cons.'!W$5:W$3360,"Combat Logistics Ships",'J Book Items Cons.'!R$5:R$3360,"",'J Book Items Cons.'!N$5:N$3360,""))/E16)</f>
        <v>1</v>
      </c>
      <c r="F7" s="54">
        <f>IF(F16=0,0,(SUMIFS('J Book Items Cons.'!R$5:R$3360,'J Book Items Cons.'!E$5:E$3360,1,'J Book Items Cons.'!S$5:S$3360,"",'J Book Items Cons.'!U$5:U$3360,"USN",'J Book Items Cons.'!W$5:W$3360,"Unmanned Surface Vehicles",'J Book Items Cons.'!R$5:R$3360,"&lt;&gt;")+SUMIFS('J Book Items Cons.'!N$5:N$3360,'J Book Items Cons.'!E$5:E$3360,1,'J Book Items Cons.'!S$5:S$3360,"",'J Book Items Cons.'!U$5:U$3360,"USN",'J Book Items Cons.'!W$5:W$3360,"Unmanned Surface Vehicles",'J Book Items Cons.'!R$5:R$3360,"",'J Book Items Cons.'!N$5:N$3360,"&lt;&gt;")+SUMIFS('J Book Items Cons.'!L$5:L$3360,'J Book Items Cons.'!E$5:E$3360,1,'J Book Items Cons.'!S$5:S$3360,"",'J Book Items Cons.'!U$5:U$3360,"USN",'J Book Items Cons.'!W$5:W$3360,"Unmanned Surface Vehicles",'J Book Items Cons.'!R$5:R$3360,"",'J Book Items Cons.'!N$5:N$3360,"")+SUMIFS('J Book Items Cons.'!R$5:R$3360,'J Book Items Cons.'!E$5:E$3360,1,'J Book Items Cons.'!S$5:S$3360,"[PARENT]",'J Book Items Cons.'!U$5:U$3360,"USN",'J Book Items Cons.'!W$5:W$3360,"Unmanned Surface Vehicles",'J Book Items Cons.'!R$5:R$3360,"&lt;&gt;")+SUMIFS('J Book Items Cons.'!N$5:N$3360,'J Book Items Cons.'!E$5:E$3360,1,'J Book Items Cons.'!S$5:S$3360,"[PARENT]",'J Book Items Cons.'!U$5:U$3360,"USN",'J Book Items Cons.'!W$5:W$3360,"Unmanned Surface Vehicles",'J Book Items Cons.'!R$5:R$3360,"",'J Book Items Cons.'!N$5:N$3360,"&lt;&gt;")+SUMIFS('J Book Items Cons.'!L$5:L$3360,'J Book Items Cons.'!E$5:E$3360,1,'J Book Items Cons.'!S$5:S$3360,"[PARENT]",'J Book Items Cons.'!U$5:U$3360,"USN",'J Book Items Cons.'!W$5:W$3360,"Unmanned Surface Vehicles",'J Book Items Cons.'!R$5:R$3360,"",'J Book Items Cons.'!N$5:N$3360,""))/F16)</f>
        <v>1</v>
      </c>
      <c r="G7" s="54">
        <f>IF(G16=0,0,(SUMIFS('J Book Items Cons.'!R$5:R$3360,'J Book Items Cons.'!E$5:E$3360,1,'J Book Items Cons.'!S$5:S$3360,"",'J Book Items Cons.'!U$5:U$3360,"USN",'J Book Items Cons.'!W$5:W$3360,"Amphibious Warfare Craft",'J Book Items Cons.'!R$5:R$3360,"&lt;&gt;")+SUMIFS('J Book Items Cons.'!N$5:N$3360,'J Book Items Cons.'!E$5:E$3360,1,'J Book Items Cons.'!S$5:S$3360,"",'J Book Items Cons.'!U$5:U$3360,"USN",'J Book Items Cons.'!W$5:W$3360,"Amphibious Warfare Craft",'J Book Items Cons.'!R$5:R$3360,"",'J Book Items Cons.'!N$5:N$3360,"&lt;&gt;")+SUMIFS('J Book Items Cons.'!L$5:L$3360,'J Book Items Cons.'!E$5:E$3360,1,'J Book Items Cons.'!S$5:S$3360,"",'J Book Items Cons.'!U$5:U$3360,"USN",'J Book Items Cons.'!W$5:W$3360,"Amphibious Warfare Craft",'J Book Items Cons.'!R$5:R$3360,"",'J Book Items Cons.'!N$5:N$3360,"")+SUMIFS('J Book Items Cons.'!R$5:R$3360,'J Book Items Cons.'!E$5:E$3360,1,'J Book Items Cons.'!S$5:S$3360,"[PARENT]",'J Book Items Cons.'!U$5:U$3360,"USN",'J Book Items Cons.'!W$5:W$3360,"Amphibious Warfare Craft",'J Book Items Cons.'!R$5:R$3360,"&lt;&gt;")+SUMIFS('J Book Items Cons.'!N$5:N$3360,'J Book Items Cons.'!E$5:E$3360,1,'J Book Items Cons.'!S$5:S$3360,"[PARENT]",'J Book Items Cons.'!U$5:U$3360,"USN",'J Book Items Cons.'!W$5:W$3360,"Amphibious Warfare Craft",'J Book Items Cons.'!R$5:R$3360,"",'J Book Items Cons.'!N$5:N$3360,"&lt;&gt;")+SUMIFS('J Book Items Cons.'!L$5:L$3360,'J Book Items Cons.'!E$5:E$3360,1,'J Book Items Cons.'!S$5:S$3360,"[PARENT]",'J Book Items Cons.'!U$5:U$3360,"USN",'J Book Items Cons.'!W$5:W$3360,"Amphibious Warfare Craft",'J Book Items Cons.'!R$5:R$3360,"",'J Book Items Cons.'!N$5:N$3360,""))/G16)</f>
        <v>0.92697266386001009</v>
      </c>
      <c r="H7" s="54">
        <f>IF(H16=0,0,(SUMIFS('J Book Items Cons.'!R$5:R$3360,'J Book Items Cons.'!E$5:E$3360,1,'J Book Items Cons.'!S$5:S$3360,"",'J Book Items Cons.'!U$5:U$3360,"MSC",'J Book Items Cons.'!W$5:W$3360,"Cargo &amp; Vehicle Cargo Ships",'J Book Items Cons.'!R$5:R$3360,"&lt;&gt;")+SUMIFS('J Book Items Cons.'!N$5:N$3360,'J Book Items Cons.'!E$5:E$3360,1,'J Book Items Cons.'!S$5:S$3360,"",'J Book Items Cons.'!U$5:U$3360,"MSC",'J Book Items Cons.'!W$5:W$3360,"Cargo &amp; Vehicle Cargo Ships",'J Book Items Cons.'!R$5:R$3360,"",'J Book Items Cons.'!N$5:N$3360,"&lt;&gt;")+SUMIFS('J Book Items Cons.'!L$5:L$3360,'J Book Items Cons.'!E$5:E$3360,1,'J Book Items Cons.'!S$5:S$3360,"",'J Book Items Cons.'!U$5:U$3360,"MSC",'J Book Items Cons.'!W$5:W$3360,"Cargo &amp; Vehicle Cargo Ships",'J Book Items Cons.'!R$5:R$3360,"",'J Book Items Cons.'!N$5:N$3360,"")+SUMIFS('J Book Items Cons.'!R$5:R$3360,'J Book Items Cons.'!E$5:E$3360,1,'J Book Items Cons.'!S$5:S$3360,"[PARENT]",'J Book Items Cons.'!U$5:U$3360,"MSC",'J Book Items Cons.'!W$5:W$3360,"Cargo &amp; Vehicle Cargo Ships",'J Book Items Cons.'!R$5:R$3360,"&lt;&gt;")+SUMIFS('J Book Items Cons.'!N$5:N$3360,'J Book Items Cons.'!E$5:E$3360,1,'J Book Items Cons.'!S$5:S$3360,"[PARENT]",'J Book Items Cons.'!U$5:U$3360,"MSC",'J Book Items Cons.'!W$5:W$3360,"Cargo &amp; Vehicle Cargo Ships",'J Book Items Cons.'!R$5:R$3360,"",'J Book Items Cons.'!N$5:N$3360,"&lt;&gt;")+SUMIFS('J Book Items Cons.'!L$5:L$3360,'J Book Items Cons.'!E$5:E$3360,1,'J Book Items Cons.'!S$5:S$3360,"[PARENT]",'J Book Items Cons.'!U$5:U$3360,"MSC",'J Book Items Cons.'!W$5:W$3360,"Cargo &amp; Vehicle Cargo Ships",'J Book Items Cons.'!R$5:R$3360,"",'J Book Items Cons.'!N$5:N$3360,""))/H16)</f>
        <v>1</v>
      </c>
      <c r="I7" s="54">
        <f>IF(I16=0,0,(SUMIFS('J Book Items Cons.'!R$5:R$3360,'J Book Items Cons.'!E$5:E$3360,1,'J Book Items Cons.'!S$5:S$3360,"",'J Book Items Cons.'!U$5:U$3360,"MSC",'J Book Items Cons.'!W$5:W$3360,"Surveillance Ships",'J Book Items Cons.'!R$5:R$3360,"&lt;&gt;")+SUMIFS('J Book Items Cons.'!N$5:N$3360,'J Book Items Cons.'!E$5:E$3360,1,'J Book Items Cons.'!S$5:S$3360,"",'J Book Items Cons.'!U$5:U$3360,"MSC",'J Book Items Cons.'!W$5:W$3360,"Surveillance Ships",'J Book Items Cons.'!R$5:R$3360,"",'J Book Items Cons.'!N$5:N$3360,"&lt;&gt;")+SUMIFS('J Book Items Cons.'!L$5:L$3360,'J Book Items Cons.'!E$5:E$3360,1,'J Book Items Cons.'!S$5:S$3360,"",'J Book Items Cons.'!U$5:U$3360,"MSC",'J Book Items Cons.'!W$5:W$3360,"Surveillance Ships",'J Book Items Cons.'!R$5:R$3360,"",'J Book Items Cons.'!N$5:N$3360,"")+SUMIFS('J Book Items Cons.'!R$5:R$3360,'J Book Items Cons.'!E$5:E$3360,1,'J Book Items Cons.'!S$5:S$3360,"[PARENT]",'J Book Items Cons.'!U$5:U$3360,"MSC",'J Book Items Cons.'!W$5:W$3360,"Surveillance Ships",'J Book Items Cons.'!R$5:R$3360,"&lt;&gt;")+SUMIFS('J Book Items Cons.'!N$5:N$3360,'J Book Items Cons.'!E$5:E$3360,1,'J Book Items Cons.'!S$5:S$3360,"[PARENT]",'J Book Items Cons.'!U$5:U$3360,"MSC",'J Book Items Cons.'!W$5:W$3360,"Surveillance Ships",'J Book Items Cons.'!R$5:R$3360,"",'J Book Items Cons.'!N$5:N$3360,"&lt;&gt;")+SUMIFS('J Book Items Cons.'!L$5:L$3360,'J Book Items Cons.'!E$5:E$3360,1,'J Book Items Cons.'!S$5:S$3360,"[PARENT]",'J Book Items Cons.'!U$5:U$3360,"MSC",'J Book Items Cons.'!W$5:W$3360,"Surveillance Ships",'J Book Items Cons.'!R$5:R$3360,"",'J Book Items Cons.'!N$5:N$3360,""))/I16)</f>
        <v>0.95155383960184903</v>
      </c>
      <c r="J7" s="54">
        <f>IF(J16=0,0,(SUMIFS('J Book Items Cons.'!R$5:R$3360,'J Book Items Cons.'!E$5:E$3360,1,'J Book Items Cons.'!S$5:S$3360,"",'J Book Items Cons.'!U$5:U$3360,"USN",'J Book Items Cons.'!W$5:W$3360,"Command Ships",'J Book Items Cons.'!R$5:R$3360,"&lt;&gt;")+SUMIFS('J Book Items Cons.'!N$5:N$3360,'J Book Items Cons.'!E$5:E$3360,1,'J Book Items Cons.'!S$5:S$3360,"",'J Book Items Cons.'!U$5:U$3360,"USN",'J Book Items Cons.'!W$5:W$3360,"Command Ships",'J Book Items Cons.'!R$5:R$3360,"",'J Book Items Cons.'!N$5:N$3360,"&lt;&gt;")+SUMIFS('J Book Items Cons.'!L$5:L$3360,'J Book Items Cons.'!E$5:E$3360,1,'J Book Items Cons.'!S$5:S$3360,"",'J Book Items Cons.'!U$5:U$3360,"USN",'J Book Items Cons.'!W$5:W$3360,"Command Ships",'J Book Items Cons.'!R$5:R$3360,"",'J Book Items Cons.'!N$5:N$3360,"")+SUMIFS('J Book Items Cons.'!R$5:R$3360,'J Book Items Cons.'!E$5:E$3360,1,'J Book Items Cons.'!S$5:S$3360,"[PARENT]",'J Book Items Cons.'!U$5:U$3360,"USN",'J Book Items Cons.'!W$5:W$3360,"Command Ships",'J Book Items Cons.'!R$5:R$3360,"&lt;&gt;")+SUMIFS('J Book Items Cons.'!N$5:N$3360,'J Book Items Cons.'!E$5:E$3360,1,'J Book Items Cons.'!S$5:S$3360,"[PARENT]",'J Book Items Cons.'!U$5:U$3360,"USN",'J Book Items Cons.'!W$5:W$3360,"Command Ships",'J Book Items Cons.'!R$5:R$3360,"",'J Book Items Cons.'!N$5:N$3360,"&lt;&gt;")+SUMIFS('J Book Items Cons.'!L$5:L$3360,'J Book Items Cons.'!E$5:E$3360,1,'J Book Items Cons.'!S$5:S$3360,"[PARENT]",'J Book Items Cons.'!U$5:U$3360,"USN",'J Book Items Cons.'!W$5:W$3360,"Command Ships",'J Book Items Cons.'!R$5:R$3360,"",'J Book Items Cons.'!N$5:N$3360,""))/J16)</f>
        <v>0</v>
      </c>
      <c r="K7" s="55">
        <f>IF(K16=0,0,(SUMIFS('J Book Items Cons.'!R$5:R$3360,'J Book Items Cons.'!E$5:E$3360,1,'J Book Items Cons.'!S$5:S$3360,"",'J Book Items Cons.'!U$5:U$3360,"USN",'J Book Items Cons.'!W$5:W$3360,"Mine Warfare",'J Book Items Cons.'!R$5:R$3360,"&lt;&gt;")+SUMIFS('J Book Items Cons.'!N$5:N$3360,'J Book Items Cons.'!E$5:E$3360,1,'J Book Items Cons.'!S$5:S$3360,"",'J Book Items Cons.'!U$5:U$3360,"USN",'J Book Items Cons.'!W$5:W$3360,"Mine Warfare",'J Book Items Cons.'!R$5:R$3360,"",'J Book Items Cons.'!N$5:N$3360,"&lt;&gt;")+SUMIFS('J Book Items Cons.'!L$5:L$3360,'J Book Items Cons.'!E$5:E$3360,1,'J Book Items Cons.'!S$5:S$3360,"",'J Book Items Cons.'!U$5:U$3360,"USN",'J Book Items Cons.'!W$5:W$3360,"Mine Warfare",'J Book Items Cons.'!R$5:R$3360,"",'J Book Items Cons.'!N$5:N$3360,"")+SUMIFS('J Book Items Cons.'!R$5:R$3360,'J Book Items Cons.'!E$5:E$3360,1,'J Book Items Cons.'!S$5:S$3360,"[PARENT]",'J Book Items Cons.'!U$5:U$3360,"USN",'J Book Items Cons.'!W$5:W$3360,"Mine Warfare",'J Book Items Cons.'!R$5:R$3360,"&lt;&gt;")+SUMIFS('J Book Items Cons.'!N$5:N$3360,'J Book Items Cons.'!E$5:E$3360,1,'J Book Items Cons.'!S$5:S$3360,"[PARENT]",'J Book Items Cons.'!U$5:U$3360,"USN",'J Book Items Cons.'!W$5:W$3360,"Mine Warfare",'J Book Items Cons.'!R$5:R$3360,"",'J Book Items Cons.'!N$5:N$3360,"&lt;&gt;")+SUMIFS('J Book Items Cons.'!L$5:L$3360,'J Book Items Cons.'!E$5:E$3360,1,'J Book Items Cons.'!S$5:S$3360,"[PARENT]",'J Book Items Cons.'!U$5:U$3360,"USN",'J Book Items Cons.'!W$5:W$3360,"Mine Warfare",'J Book Items Cons.'!R$5:R$3360,"",'J Book Items Cons.'!N$5:N$3360,""))/K16)</f>
        <v>0</v>
      </c>
      <c r="L7" s="53">
        <f>IF(L16=0,0,(SUMIFS('J Book Items Cons.'!R$5:R$3360,'J Book Items Cons.'!E$5:E$3360,1,'J Book Items Cons.'!S$5:S$3360,"",'J Book Items Cons.'!U$5:U$3360,"USCG",'J Book Items Cons.'!W$5:W$3360,"Offshore Patrol Cutter",'J Book Items Cons.'!R$5:R$3360,"&lt;&gt;")+SUMIFS('J Book Items Cons.'!N$5:N$3360,'J Book Items Cons.'!E$5:E$3360,1,'J Book Items Cons.'!S$5:S$3360,"",'J Book Items Cons.'!U$5:U$3360,"USCG",'J Book Items Cons.'!W$5:W$3360,"Offshore Patrol Cutter",'J Book Items Cons.'!R$5:R$3360,"",'J Book Items Cons.'!N$5:N$3360,"&lt;&gt;")+SUMIFS('J Book Items Cons.'!L$5:L$3360,'J Book Items Cons.'!E$5:E$3360,1,'J Book Items Cons.'!S$5:S$3360,"",'J Book Items Cons.'!U$5:U$3360,"USCG",'J Book Items Cons.'!W$5:W$3360,"Offshore Patrol Cutter",'J Book Items Cons.'!R$5:R$3360,"",'J Book Items Cons.'!N$5:N$3360,"")+SUMIFS('J Book Items Cons.'!R$5:R$3360,'J Book Items Cons.'!E$5:E$3360,1,'J Book Items Cons.'!S$5:S$3360,"[PARENT]",'J Book Items Cons.'!U$5:U$3360,"USCG",'J Book Items Cons.'!W$5:W$3360,"Offshore Patrol Cutter",'J Book Items Cons.'!R$5:R$3360,"&lt;&gt;")+SUMIFS('J Book Items Cons.'!N$5:N$3360,'J Book Items Cons.'!E$5:E$3360,1,'J Book Items Cons.'!S$5:S$3360,"[PARENT]",'J Book Items Cons.'!U$5:U$3360,"USCG",'J Book Items Cons.'!W$5:W$3360,"Offshore Patrol Cutter",'J Book Items Cons.'!R$5:R$3360,"",'J Book Items Cons.'!N$5:N$3360,"&lt;&gt;")+SUMIFS('J Book Items Cons.'!L$5:L$3360,'J Book Items Cons.'!E$5:E$3360,1,'J Book Items Cons.'!S$5:S$3360,"[PARENT]",'J Book Items Cons.'!U$5:U$3360,"USCG",'J Book Items Cons.'!W$5:W$3360,"Offshore Patrol Cutter",'J Book Items Cons.'!R$5:R$3360,"",'J Book Items Cons.'!N$5:N$3360,""))/L16)</f>
        <v>1</v>
      </c>
      <c r="M7" s="54">
        <f>IF(M16=0,0,(SUMIFS('J Book Items Cons.'!R$5:R$3360,'J Book Items Cons.'!E$5:E$3360,1,'J Book Items Cons.'!S$5:S$3360,"",'J Book Items Cons.'!U$5:U$3360,"USCG",'J Book Items Cons.'!W$5:W$3360,"Fast Response Cutters",'J Book Items Cons.'!R$5:R$3360,"&lt;&gt;")+SUMIFS('J Book Items Cons.'!N$5:N$3360,'J Book Items Cons.'!E$5:E$3360,1,'J Book Items Cons.'!S$5:S$3360,"",'J Book Items Cons.'!U$5:U$3360,"USCG",'J Book Items Cons.'!W$5:W$3360,"Fast Response Cutters",'J Book Items Cons.'!R$5:R$3360,"",'J Book Items Cons.'!N$5:N$3360,"&lt;&gt;")+SUMIFS('J Book Items Cons.'!L$5:L$3360,'J Book Items Cons.'!E$5:E$3360,1,'J Book Items Cons.'!S$5:S$3360,"",'J Book Items Cons.'!U$5:U$3360,"USCG",'J Book Items Cons.'!W$5:W$3360,"Fast Response Cutters",'J Book Items Cons.'!R$5:R$3360,"",'J Book Items Cons.'!N$5:N$3360,"")+SUMIFS('J Book Items Cons.'!R$5:R$3360,'J Book Items Cons.'!E$5:E$3360,1,'J Book Items Cons.'!S$5:S$3360,"[PARENT]",'J Book Items Cons.'!U$5:U$3360,"USCG",'J Book Items Cons.'!W$5:W$3360,"Fast Response Cutters",'J Book Items Cons.'!R$5:R$3360,"&lt;&gt;")+SUMIFS('J Book Items Cons.'!N$5:N$3360,'J Book Items Cons.'!E$5:E$3360,1,'J Book Items Cons.'!S$5:S$3360,"[PARENT]",'J Book Items Cons.'!U$5:U$3360,"USCG",'J Book Items Cons.'!W$5:W$3360,"Fast Response Cutters",'J Book Items Cons.'!R$5:R$3360,"",'J Book Items Cons.'!N$5:N$3360,"&lt;&gt;")+SUMIFS('J Book Items Cons.'!L$5:L$3360,'J Book Items Cons.'!E$5:E$3360,1,'J Book Items Cons.'!S$5:S$3360,"[PARENT]",'J Book Items Cons.'!U$5:U$3360,"USCG",'J Book Items Cons.'!W$5:W$3360,"Fast Response Cutters",'J Book Items Cons.'!R$5:R$3360,"",'J Book Items Cons.'!N$5:N$3360,""))/M16)</f>
        <v>1</v>
      </c>
      <c r="N7" s="54">
        <f>IF(N16=0,0,(SUMIFS('J Book Items Cons.'!R$5:R$3360,'J Book Items Cons.'!E$5:E$3360,1,'J Book Items Cons.'!S$5:S$3360,"",'J Book Items Cons.'!U$5:U$3360,"USCG",'J Book Items Cons.'!W$5:W$3360,"Icebreakers, Oceangoing",'J Book Items Cons.'!R$5:R$3360,"&lt;&gt;")+SUMIFS('J Book Items Cons.'!N$5:N$3360,'J Book Items Cons.'!E$5:E$3360,1,'J Book Items Cons.'!S$5:S$3360,"",'J Book Items Cons.'!U$5:U$3360,"USCG",'J Book Items Cons.'!W$5:W$3360,"Icebreakers, Oceangoing",'J Book Items Cons.'!R$5:R$3360,"",'J Book Items Cons.'!N$5:N$3360,"&lt;&gt;")+SUMIFS('J Book Items Cons.'!L$5:L$3360,'J Book Items Cons.'!E$5:E$3360,1,'J Book Items Cons.'!S$5:S$3360,"",'J Book Items Cons.'!U$5:U$3360,"USCG",'J Book Items Cons.'!W$5:W$3360,"Icebreakers, Oceangoing",'J Book Items Cons.'!R$5:R$3360,"",'J Book Items Cons.'!N$5:N$3360,"")+SUMIFS('J Book Items Cons.'!R$5:R$3360,'J Book Items Cons.'!E$5:E$3360,1,'J Book Items Cons.'!S$5:S$3360,"[PARENT]",'J Book Items Cons.'!U$5:U$3360,"USCG",'J Book Items Cons.'!W$5:W$3360,"Icebreakers, Oceangoing",'J Book Items Cons.'!R$5:R$3360,"&lt;&gt;")+SUMIFS('J Book Items Cons.'!N$5:N$3360,'J Book Items Cons.'!E$5:E$3360,1,'J Book Items Cons.'!S$5:S$3360,"[PARENT]",'J Book Items Cons.'!U$5:U$3360,"USCG",'J Book Items Cons.'!W$5:W$3360,"Icebreakers, Oceangoing",'J Book Items Cons.'!R$5:R$3360,"",'J Book Items Cons.'!N$5:N$3360,"&lt;&gt;")+SUMIFS('J Book Items Cons.'!L$5:L$3360,'J Book Items Cons.'!E$5:E$3360,1,'J Book Items Cons.'!S$5:S$3360,"[PARENT]",'J Book Items Cons.'!U$5:U$3360,"USCG",'J Book Items Cons.'!W$5:W$3360,"Icebreakers, Oceangoing",'J Book Items Cons.'!R$5:R$3360,"",'J Book Items Cons.'!N$5:N$3360,""))/N16)</f>
        <v>1</v>
      </c>
      <c r="O7" s="54">
        <f>IF(O16=0,0,(SUMIFS('J Book Items Cons.'!R$5:R$3360,'J Book Items Cons.'!E$5:E$3360,1,'J Book Items Cons.'!S$5:S$3360,"",'J Book Items Cons.'!U$5:U$3360,"USCG",'J Book Items Cons.'!W$5:W$3360,"Waterways Commerce Cutters",'J Book Items Cons.'!R$5:R$3360,"&lt;&gt;")+SUMIFS('J Book Items Cons.'!N$5:N$3360,'J Book Items Cons.'!E$5:E$3360,1,'J Book Items Cons.'!S$5:S$3360,"",'J Book Items Cons.'!U$5:U$3360,"USCG",'J Book Items Cons.'!W$5:W$3360,"Waterways Commerce Cutters",'J Book Items Cons.'!R$5:R$3360,"",'J Book Items Cons.'!N$5:N$3360,"&lt;&gt;")+SUMIFS('J Book Items Cons.'!L$5:L$3360,'J Book Items Cons.'!E$5:E$3360,1,'J Book Items Cons.'!S$5:S$3360,"",'J Book Items Cons.'!U$5:U$3360,"USCG",'J Book Items Cons.'!W$5:W$3360,"Waterways Commerce Cutters",'J Book Items Cons.'!R$5:R$3360,"",'J Book Items Cons.'!N$5:N$3360,"")+SUMIFS('J Book Items Cons.'!R$5:R$3360,'J Book Items Cons.'!E$5:E$3360,1,'J Book Items Cons.'!S$5:S$3360,"[PARENT]",'J Book Items Cons.'!U$5:U$3360,"USCG",'J Book Items Cons.'!W$5:W$3360,"Waterways Commerce Cutters",'J Book Items Cons.'!R$5:R$3360,"&lt;&gt;")+SUMIFS('J Book Items Cons.'!N$5:N$3360,'J Book Items Cons.'!E$5:E$3360,1,'J Book Items Cons.'!S$5:S$3360,"[PARENT]",'J Book Items Cons.'!U$5:U$3360,"USCG",'J Book Items Cons.'!W$5:W$3360,"Waterways Commerce Cutters",'J Book Items Cons.'!R$5:R$3360,"",'J Book Items Cons.'!N$5:N$3360,"&lt;&gt;")+SUMIFS('J Book Items Cons.'!L$5:L$3360,'J Book Items Cons.'!E$5:E$3360,1,'J Book Items Cons.'!S$5:S$3360,"[PARENT]",'J Book Items Cons.'!U$5:U$3360,"USCG",'J Book Items Cons.'!W$5:W$3360,"Waterways Commerce Cutters",'J Book Items Cons.'!R$5:R$3360,"",'J Book Items Cons.'!N$5:N$3360,""))/O16)</f>
        <v>1</v>
      </c>
      <c r="P7" s="55">
        <f>IF(P16=0,0,(SUMIFS('J Book Items Cons.'!R$5:R$3360,'J Book Items Cons.'!E$5:E$3360,1,'J Book Items Cons.'!S$5:S$3360,"",'J Book Items Cons.'!U$5:U$3360,"USCG",'J Book Items Cons.'!W$5:W$3360,"National Security Cutters",'J Book Items Cons.'!R$5:R$3360,"&lt;&gt;")+SUMIFS('J Book Items Cons.'!N$5:N$3360,'J Book Items Cons.'!E$5:E$3360,1,'J Book Items Cons.'!S$5:S$3360,"",'J Book Items Cons.'!U$5:U$3360,"USCG",'J Book Items Cons.'!W$5:W$3360,"National Security Cutters",'J Book Items Cons.'!R$5:R$3360,"",'J Book Items Cons.'!N$5:N$3360,"&lt;&gt;")+SUMIFS('J Book Items Cons.'!L$5:L$3360,'J Book Items Cons.'!E$5:E$3360,1,'J Book Items Cons.'!S$5:S$3360,"",'J Book Items Cons.'!U$5:U$3360,"USCG",'J Book Items Cons.'!W$5:W$3360,"National Security Cutters",'J Book Items Cons.'!R$5:R$3360,"",'J Book Items Cons.'!N$5:N$3360,"")+SUMIFS('J Book Items Cons.'!R$5:R$3360,'J Book Items Cons.'!E$5:E$3360,1,'J Book Items Cons.'!S$5:S$3360,"[PARENT]",'J Book Items Cons.'!U$5:U$3360,"USCG",'J Book Items Cons.'!W$5:W$3360,"National Security Cutters",'J Book Items Cons.'!R$5:R$3360,"&lt;&gt;")+SUMIFS('J Book Items Cons.'!N$5:N$3360,'J Book Items Cons.'!E$5:E$3360,1,'J Book Items Cons.'!S$5:S$3360,"[PARENT]",'J Book Items Cons.'!U$5:U$3360,"USCG",'J Book Items Cons.'!W$5:W$3360,"National Security Cutters",'J Book Items Cons.'!R$5:R$3360,"",'J Book Items Cons.'!N$5:N$3360,"&lt;&gt;")+SUMIFS('J Book Items Cons.'!L$5:L$3360,'J Book Items Cons.'!E$5:E$3360,1,'J Book Items Cons.'!S$5:S$3360,"[PARENT]",'J Book Items Cons.'!U$5:U$3360,"USCG",'J Book Items Cons.'!W$5:W$3360,"National Security Cutters",'J Book Items Cons.'!R$5:R$3360,"",'J Book Items Cons.'!N$5:N$3360,""))/P16)</f>
        <v>0</v>
      </c>
      <c r="Q7" s="38">
        <f t="shared" ref="Q7:Q15" si="0">IF(Q$16=0,0,SUMPRODUCT(B7:P7,B$16:P$16)/Q$16)</f>
        <v>0.70216641054792595</v>
      </c>
      <c r="S7" s="56" t="s">
        <v>8822</v>
      </c>
      <c r="T7" s="57">
        <f>SUMIFS('J Book Items Cons.'!R$5:R$3360,'J Book Items Cons.'!E$5:E$3360,1,'J Book Items Cons.'!S$5:S$3360,"",'J Book Items Cons.'!X$5:X$3360,"SSN",'J Book Items Cons.'!R$5:R$3360,"&lt;&gt;")+SUMIFS('J Book Items Cons.'!N$5:N$3360,'J Book Items Cons.'!E$5:E$3360,1,'J Book Items Cons.'!S$5:S$3360,"",'J Book Items Cons.'!X$5:X$3360,"SSN",'J Book Items Cons.'!R$5:R$3360,"",'J Book Items Cons.'!N$5:N$3360,"&lt;&gt;")+SUMIFS('J Book Items Cons.'!L$5:L$3360,'J Book Items Cons.'!E$5:E$3360,1,'J Book Items Cons.'!S$5:S$3360,"",'J Book Items Cons.'!X$5:X$3360,"SSN",'J Book Items Cons.'!R$5:R$3360,"",'J Book Items Cons.'!N$5:N$3360,"")+SUMIFS('J Book Items Cons.'!R$5:R$3360,'J Book Items Cons.'!E$5:E$3360,1,'J Book Items Cons.'!S$5:S$3360,"[PARENT]",'J Book Items Cons.'!X$5:X$3360,"SSN",'J Book Items Cons.'!R$5:R$3360,"&lt;&gt;")+SUMIFS('J Book Items Cons.'!N$5:N$3360,'J Book Items Cons.'!E$5:E$3360,1,'J Book Items Cons.'!S$5:S$3360,"[PARENT]",'J Book Items Cons.'!X$5:X$3360,"SSN",'J Book Items Cons.'!R$5:R$3360,"",'J Book Items Cons.'!N$5:N$3360,"&lt;&gt;")+SUMIFS('J Book Items Cons.'!L$5:L$3360,'J Book Items Cons.'!E$5:E$3360,1,'J Book Items Cons.'!S$5:S$3360,"[PARENT]",'J Book Items Cons.'!X$5:X$3360,"SSN",'J Book Items Cons.'!R$5:R$3360,"",'J Book Items Cons.'!N$5:N$3360,"")</f>
        <v>10467121</v>
      </c>
      <c r="U7" s="58">
        <f>SUMIFS('J Book Items Cons.'!R$5:R$3360,'J Book Items Cons.'!E$5:E$3360,1,'J Book Items Cons.'!S$5:S$3360,"",'J Book Items Cons.'!X$5:X$3360,"SSBN",'J Book Items Cons.'!R$5:R$3360,"&lt;&gt;")+SUMIFS('J Book Items Cons.'!N$5:N$3360,'J Book Items Cons.'!E$5:E$3360,1,'J Book Items Cons.'!S$5:S$3360,"",'J Book Items Cons.'!X$5:X$3360,"SSBN",'J Book Items Cons.'!R$5:R$3360,"",'J Book Items Cons.'!N$5:N$3360,"&lt;&gt;")+SUMIFS('J Book Items Cons.'!L$5:L$3360,'J Book Items Cons.'!E$5:E$3360,1,'J Book Items Cons.'!S$5:S$3360,"",'J Book Items Cons.'!X$5:X$3360,"SSBN",'J Book Items Cons.'!R$5:R$3360,"",'J Book Items Cons.'!N$5:N$3360,"")+SUMIFS('J Book Items Cons.'!R$5:R$3360,'J Book Items Cons.'!E$5:E$3360,1,'J Book Items Cons.'!S$5:S$3360,"[PARENT]",'J Book Items Cons.'!X$5:X$3360,"SSBN",'J Book Items Cons.'!R$5:R$3360,"&lt;&gt;")+SUMIFS('J Book Items Cons.'!N$5:N$3360,'J Book Items Cons.'!E$5:E$3360,1,'J Book Items Cons.'!S$5:S$3360,"[PARENT]",'J Book Items Cons.'!X$5:X$3360,"SSBN",'J Book Items Cons.'!R$5:R$3360,"",'J Book Items Cons.'!N$5:N$3360,"&lt;&gt;")+SUMIFS('J Book Items Cons.'!L$5:L$3360,'J Book Items Cons.'!E$5:E$3360,1,'J Book Items Cons.'!S$5:S$3360,"[PARENT]",'J Book Items Cons.'!X$5:X$3360,"SSBN",'J Book Items Cons.'!R$5:R$3360,"",'J Book Items Cons.'!N$5:N$3360,"")</f>
        <v>9473194</v>
      </c>
      <c r="V7" s="58">
        <f>SUM(V8:V9)</f>
        <v>7213131</v>
      </c>
      <c r="W7" s="58">
        <f>SUM(W8:W9)</f>
        <v>1110037</v>
      </c>
      <c r="X7" s="58">
        <f>SUM(X8:X9)</f>
        <v>0</v>
      </c>
      <c r="Y7" s="58">
        <f>SUM(Y8:Y9)</f>
        <v>0</v>
      </c>
      <c r="Z7" s="58">
        <f>SUM(Z8:Z9)</f>
        <v>634963</v>
      </c>
      <c r="AA7" s="58">
        <f>SUMIFS('J Book Items Cons.'!R$5:R$3360,'J Book Items Cons.'!E$5:E$3360,1,'J Book Items Cons.'!S$5:S$3360,"",'J Book Items Cons.'!X$5:X$3360,"SSGN",'J Book Items Cons.'!R$5:R$3360,"&lt;&gt;")+SUMIFS('J Book Items Cons.'!N$5:N$3360,'J Book Items Cons.'!E$5:E$3360,1,'J Book Items Cons.'!S$5:S$3360,"",'J Book Items Cons.'!X$5:X$3360,"SSGN",'J Book Items Cons.'!R$5:R$3360,"",'J Book Items Cons.'!N$5:N$3360,"&lt;&gt;")+SUMIFS('J Book Items Cons.'!L$5:L$3360,'J Book Items Cons.'!E$5:E$3360,1,'J Book Items Cons.'!S$5:S$3360,"",'J Book Items Cons.'!X$5:X$3360,"SSGN",'J Book Items Cons.'!R$5:R$3360,"",'J Book Items Cons.'!N$5:N$3360,"")+SUMIFS('J Book Items Cons.'!R$5:R$3360,'J Book Items Cons.'!E$5:E$3360,1,'J Book Items Cons.'!S$5:S$3360,"[PARENT]",'J Book Items Cons.'!X$5:X$3360,"SSGN",'J Book Items Cons.'!R$5:R$3360,"&lt;&gt;")+SUMIFS('J Book Items Cons.'!N$5:N$3360,'J Book Items Cons.'!E$5:E$3360,1,'J Book Items Cons.'!S$5:S$3360,"[PARENT]",'J Book Items Cons.'!X$5:X$3360,"SSGN",'J Book Items Cons.'!R$5:R$3360,"",'J Book Items Cons.'!N$5:N$3360,"&lt;&gt;")+SUMIFS('J Book Items Cons.'!L$5:L$3360,'J Book Items Cons.'!E$5:E$3360,1,'J Book Items Cons.'!S$5:S$3360,"[PARENT]",'J Book Items Cons.'!X$5:X$3360,"SSGN",'J Book Items Cons.'!R$5:R$3360,"",'J Book Items Cons.'!N$5:N$3360,"")</f>
        <v>0</v>
      </c>
      <c r="AB7" s="58">
        <f>SUM(AB8:AB9)</f>
        <v>0</v>
      </c>
      <c r="AC7" s="59">
        <f>SUM(AC8:AC9)</f>
        <v>0</v>
      </c>
      <c r="AD7" s="57">
        <f>SUMIFS('J Book Items Cons.'!R$5:R$3360,'J Book Items Cons.'!E$5:E$3360,1,'J Book Items Cons.'!S$5:S$3360,"",'J Book Items Cons.'!X$5:X$3360,"WMSM",'J Book Items Cons.'!R$5:R$3360,"&lt;&gt;")+SUMIFS('J Book Items Cons.'!N$5:N$3360,'J Book Items Cons.'!E$5:E$3360,1,'J Book Items Cons.'!S$5:S$3360,"",'J Book Items Cons.'!X$5:X$3360,"WMSM",'J Book Items Cons.'!R$5:R$3360,"",'J Book Items Cons.'!N$5:N$3360,"&lt;&gt;")+SUMIFS('J Book Items Cons.'!L$5:L$3360,'J Book Items Cons.'!E$5:E$3360,1,'J Book Items Cons.'!S$5:S$3360,"",'J Book Items Cons.'!X$5:X$3360,"WMSM",'J Book Items Cons.'!R$5:R$3360,"",'J Book Items Cons.'!N$5:N$3360,"")+SUMIFS('J Book Items Cons.'!R$5:R$3360,'J Book Items Cons.'!E$5:E$3360,1,'J Book Items Cons.'!S$5:S$3360,"[PARENT]",'J Book Items Cons.'!X$5:X$3360,"WMSM",'J Book Items Cons.'!R$5:R$3360,"&lt;&gt;")+SUMIFS('J Book Items Cons.'!N$5:N$3360,'J Book Items Cons.'!E$5:E$3360,1,'J Book Items Cons.'!S$5:S$3360,"[PARENT]",'J Book Items Cons.'!X$5:X$3360,"WMSM",'J Book Items Cons.'!R$5:R$3360,"",'J Book Items Cons.'!N$5:N$3360,"&lt;&gt;")+SUMIFS('J Book Items Cons.'!L$5:L$3360,'J Book Items Cons.'!E$5:E$3360,1,'J Book Items Cons.'!S$5:S$3360,"[PARENT]",'J Book Items Cons.'!X$5:X$3360,"WMSM",'J Book Items Cons.'!R$5:R$3360,"",'J Book Items Cons.'!N$5:N$3360,"")</f>
        <v>812400</v>
      </c>
      <c r="AE7" s="58">
        <f>SUMIFS('J Book Items Cons.'!R$5:R$3360,'J Book Items Cons.'!E$5:E$3360,1,'J Book Items Cons.'!S$5:S$3360,"",'J Book Items Cons.'!X$5:X$3360,"WPC",'J Book Items Cons.'!R$5:R$3360,"&lt;&gt;")+SUMIFS('J Book Items Cons.'!N$5:N$3360,'J Book Items Cons.'!E$5:E$3360,1,'J Book Items Cons.'!S$5:S$3360,"",'J Book Items Cons.'!X$5:X$3360,"WPC",'J Book Items Cons.'!R$5:R$3360,"",'J Book Items Cons.'!N$5:N$3360,"&lt;&gt;")+SUMIFS('J Book Items Cons.'!L$5:L$3360,'J Book Items Cons.'!E$5:E$3360,1,'J Book Items Cons.'!S$5:S$3360,"",'J Book Items Cons.'!X$5:X$3360,"WPC",'J Book Items Cons.'!R$5:R$3360,"",'J Book Items Cons.'!N$5:N$3360,"")+SUMIFS('J Book Items Cons.'!R$5:R$3360,'J Book Items Cons.'!E$5:E$3360,1,'J Book Items Cons.'!S$5:S$3360,"[PARENT]",'J Book Items Cons.'!X$5:X$3360,"WPC",'J Book Items Cons.'!R$5:R$3360,"&lt;&gt;")+SUMIFS('J Book Items Cons.'!N$5:N$3360,'J Book Items Cons.'!E$5:E$3360,1,'J Book Items Cons.'!S$5:S$3360,"[PARENT]",'J Book Items Cons.'!X$5:X$3360,"WPC",'J Book Items Cons.'!R$5:R$3360,"",'J Book Items Cons.'!N$5:N$3360,"&lt;&gt;")+SUMIFS('J Book Items Cons.'!L$5:L$3360,'J Book Items Cons.'!E$5:E$3360,1,'J Book Items Cons.'!S$5:S$3360,"[PARENT]",'J Book Items Cons.'!X$5:X$3360,"WPC",'J Book Items Cons.'!R$5:R$3360,"",'J Book Items Cons.'!N$5:N$3360,"")</f>
        <v>216000</v>
      </c>
      <c r="AF7" s="58">
        <f>SUMIFS('J Book Items Cons.'!R$5:R$3360,'J Book Items Cons.'!E$5:E$3360,1,'J Book Items Cons.'!S$5:S$3360,"",'J Book Items Cons.'!X$5:X$3360,"WAGB",'J Book Items Cons.'!R$5:R$3360,"&lt;&gt;")+SUMIFS('J Book Items Cons.'!N$5:N$3360,'J Book Items Cons.'!E$5:E$3360,1,'J Book Items Cons.'!S$5:S$3360,"",'J Book Items Cons.'!X$5:X$3360,"WAGB",'J Book Items Cons.'!R$5:R$3360,"",'J Book Items Cons.'!N$5:N$3360,"&lt;&gt;")+SUMIFS('J Book Items Cons.'!L$5:L$3360,'J Book Items Cons.'!E$5:E$3360,1,'J Book Items Cons.'!S$5:S$3360,"",'J Book Items Cons.'!X$5:X$3360,"WAGB",'J Book Items Cons.'!R$5:R$3360,"",'J Book Items Cons.'!N$5:N$3360,"")+SUMIFS('J Book Items Cons.'!R$5:R$3360,'J Book Items Cons.'!E$5:E$3360,1,'J Book Items Cons.'!S$5:S$3360,"[PARENT]",'J Book Items Cons.'!X$5:X$3360,"WAGB",'J Book Items Cons.'!R$5:R$3360,"&lt;&gt;")+SUMIFS('J Book Items Cons.'!N$5:N$3360,'J Book Items Cons.'!E$5:E$3360,1,'J Book Items Cons.'!S$5:S$3360,"[PARENT]",'J Book Items Cons.'!X$5:X$3360,"WAGB",'J Book Items Cons.'!R$5:R$3360,"",'J Book Items Cons.'!N$5:N$3360,"&lt;&gt;")+SUMIFS('J Book Items Cons.'!L$5:L$3360,'J Book Items Cons.'!E$5:E$3360,1,'J Book Items Cons.'!S$5:S$3360,"[PARENT]",'J Book Items Cons.'!X$5:X$3360,"WAGB",'J Book Items Cons.'!R$5:R$3360,"",'J Book Items Cons.'!N$5:N$3360,"")</f>
        <v>130000</v>
      </c>
      <c r="AG7" s="58">
        <f>SUMIFS('J Book Items Cons.'!R$5:R$3360,'J Book Items Cons.'!E$5:E$3360,1,'J Book Items Cons.'!S$5:S$3360,"",'J Book Items Cons.'!X$5:X$3360,"WCC",'J Book Items Cons.'!R$5:R$3360,"&lt;&gt;")+SUMIFS('J Book Items Cons.'!N$5:N$3360,'J Book Items Cons.'!E$5:E$3360,1,'J Book Items Cons.'!S$5:S$3360,"",'J Book Items Cons.'!X$5:X$3360,"WCC",'J Book Items Cons.'!R$5:R$3360,"",'J Book Items Cons.'!N$5:N$3360,"&lt;&gt;")+SUMIFS('J Book Items Cons.'!L$5:L$3360,'J Book Items Cons.'!E$5:E$3360,1,'J Book Items Cons.'!S$5:S$3360,"",'J Book Items Cons.'!X$5:X$3360,"WCC",'J Book Items Cons.'!R$5:R$3360,"",'J Book Items Cons.'!N$5:N$3360,"")+SUMIFS('J Book Items Cons.'!R$5:R$3360,'J Book Items Cons.'!E$5:E$3360,1,'J Book Items Cons.'!S$5:S$3360,"[PARENT]",'J Book Items Cons.'!X$5:X$3360,"WCC",'J Book Items Cons.'!R$5:R$3360,"&lt;&gt;")+SUMIFS('J Book Items Cons.'!N$5:N$3360,'J Book Items Cons.'!E$5:E$3360,1,'J Book Items Cons.'!S$5:S$3360,"[PARENT]",'J Book Items Cons.'!X$5:X$3360,"WCC",'J Book Items Cons.'!R$5:R$3360,"",'J Book Items Cons.'!N$5:N$3360,"&lt;&gt;")+SUMIFS('J Book Items Cons.'!L$5:L$3360,'J Book Items Cons.'!E$5:E$3360,1,'J Book Items Cons.'!S$5:S$3360,"[PARENT]",'J Book Items Cons.'!X$5:X$3360,"WCC",'J Book Items Cons.'!R$5:R$3360,"",'J Book Items Cons.'!N$5:N$3360,"")</f>
        <v>98000</v>
      </c>
      <c r="AH7" s="59">
        <f>SUMIFS('J Book Items Cons.'!R$5:R$3360,'J Book Items Cons.'!E$5:E$3360,1,'J Book Items Cons.'!S$5:S$3360,"",'J Book Items Cons.'!X$5:X$3360,"WMSL",'J Book Items Cons.'!R$5:R$3360,"&lt;&gt;")+SUMIFS('J Book Items Cons.'!N$5:N$3360,'J Book Items Cons.'!E$5:E$3360,1,'J Book Items Cons.'!S$5:S$3360,"",'J Book Items Cons.'!X$5:X$3360,"WMSL",'J Book Items Cons.'!R$5:R$3360,"",'J Book Items Cons.'!N$5:N$3360,"&lt;&gt;")+SUMIFS('J Book Items Cons.'!L$5:L$3360,'J Book Items Cons.'!E$5:E$3360,1,'J Book Items Cons.'!S$5:S$3360,"",'J Book Items Cons.'!X$5:X$3360,"WMSL",'J Book Items Cons.'!R$5:R$3360,"",'J Book Items Cons.'!N$5:N$3360,"")+SUMIFS('J Book Items Cons.'!R$5:R$3360,'J Book Items Cons.'!E$5:E$3360,1,'J Book Items Cons.'!S$5:S$3360,"[PARENT]",'J Book Items Cons.'!X$5:X$3360,"WMSL",'J Book Items Cons.'!R$5:R$3360,"&lt;&gt;")+SUMIFS('J Book Items Cons.'!N$5:N$3360,'J Book Items Cons.'!E$5:E$3360,1,'J Book Items Cons.'!S$5:S$3360,"[PARENT]",'J Book Items Cons.'!X$5:X$3360,"WMSL",'J Book Items Cons.'!R$5:R$3360,"",'J Book Items Cons.'!N$5:N$3360,"&lt;&gt;")+SUMIFS('J Book Items Cons.'!L$5:L$3360,'J Book Items Cons.'!E$5:E$3360,1,'J Book Items Cons.'!S$5:S$3360,"[PARENT]",'J Book Items Cons.'!X$5:X$3360,"WMSL",'J Book Items Cons.'!R$5:R$3360,"",'J Book Items Cons.'!N$5:N$3360,"")</f>
        <v>0</v>
      </c>
      <c r="AI7" s="58">
        <f t="shared" ref="AI7:AI12" si="1">SUM(T7:AH7)</f>
        <v>30154846</v>
      </c>
    </row>
    <row r="8" spans="1:35" s="40" customFormat="1" ht="9.75" customHeight="1" x14ac:dyDescent="0.15">
      <c r="A8" s="4" t="s">
        <v>8849</v>
      </c>
      <c r="B8" s="37">
        <f>IF(B16=0,0,(SUMIFS('J Book Items Cons.'!R$5:R$3360,'J Book Items Cons.'!E$5:E$3360,1,'J Book Items Cons.'!F$5:F$3360,"Full ship DD&amp;C",'J Book Items Cons.'!S$5:S$3360,"",'J Book Items Cons.'!U$5:U$3360,"USN",'J Book Items Cons.'!W$5:W$3360,"Surface Combatants",'J Book Items Cons.'!R$5:R$3360,"&lt;&gt;")+SUMIFS('J Book Items Cons.'!N$5:N$3360,'J Book Items Cons.'!E$5:E$3360,1,'J Book Items Cons.'!F$5:F$3360,"Full ship DD&amp;C",'J Book Items Cons.'!S$5:S$3360,"",'J Book Items Cons.'!U$5:U$3360,"USN",'J Book Items Cons.'!W$5:W$3360,"Surface Combatants",'J Book Items Cons.'!R$5:R$3360,"",'J Book Items Cons.'!N$5:N$3360,"&lt;&gt;")+SUMIFS('J Book Items Cons.'!L$5:L$3360,'J Book Items Cons.'!E$5:E$3360,1,'J Book Items Cons.'!F$5:F$3360,"Full ship DD&amp;C",'J Book Items Cons.'!S$5:S$3360,"",'J Book Items Cons.'!U$5:U$3360,"USN",'J Book Items Cons.'!W$5:W$3360,"Surface Combatants",'J Book Items Cons.'!R$5:R$3360,"",'J Book Items Cons.'!N$5:N$3360,"")+SUMIFS('J Book Items Cons.'!R$5:R$3360,'J Book Items Cons.'!E$5:E$3360,1,'J Book Items Cons.'!F$5:F$3360,"Full ship DD&amp;C",'J Book Items Cons.'!S$5:S$3360,"[PARENT]",'J Book Items Cons.'!U$5:U$3360,"USN",'J Book Items Cons.'!W$5:W$3360,"Surface Combatants",'J Book Items Cons.'!R$5:R$3360,"&lt;&gt;")+SUMIFS('J Book Items Cons.'!N$5:N$3360,'J Book Items Cons.'!E$5:E$3360,1,'J Book Items Cons.'!F$5:F$3360,"Full ship DD&amp;C",'J Book Items Cons.'!S$5:S$3360,"[PARENT]",'J Book Items Cons.'!U$5:U$3360,"USN",'J Book Items Cons.'!W$5:W$3360,"Surface Combatants",'J Book Items Cons.'!R$5:R$3360,"",'J Book Items Cons.'!N$5:N$3360,"&lt;&gt;")+SUMIFS('J Book Items Cons.'!L$5:L$3360,'J Book Items Cons.'!E$5:E$3360,1,'J Book Items Cons.'!F$5:F$3360,"Full ship DD&amp;C",'J Book Items Cons.'!S$5:S$3360,"[PARENT]",'J Book Items Cons.'!U$5:U$3360,"USN",'J Book Items Cons.'!W$5:W$3360,"Surface Combatants",'J Book Items Cons.'!R$5:R$3360,"",'J Book Items Cons.'!N$5:N$3360,""))/B16)</f>
        <v>0.41989469091602799</v>
      </c>
      <c r="C8" s="38">
        <f>IF(C16=0,0,(SUMIFS('J Book Items Cons.'!R$5:R$3360,'J Book Items Cons.'!E$5:E$3360,1,'J Book Items Cons.'!F$5:F$3360,"Full ship DD&amp;C",'J Book Items Cons.'!S$5:S$3360,"",'J Book Items Cons.'!U$5:U$3360,"USN",'J Book Items Cons.'!W$5:W$3360,"Amphibious Warfare Ships",'J Book Items Cons.'!R$5:R$3360,"&lt;&gt;")+SUMIFS('J Book Items Cons.'!N$5:N$3360,'J Book Items Cons.'!E$5:E$3360,1,'J Book Items Cons.'!F$5:F$3360,"Full ship DD&amp;C",'J Book Items Cons.'!S$5:S$3360,"",'J Book Items Cons.'!U$5:U$3360,"USN",'J Book Items Cons.'!W$5:W$3360,"Amphibious Warfare Ships",'J Book Items Cons.'!R$5:R$3360,"",'J Book Items Cons.'!N$5:N$3360,"&lt;&gt;")+SUMIFS('J Book Items Cons.'!L$5:L$3360,'J Book Items Cons.'!E$5:E$3360,1,'J Book Items Cons.'!F$5:F$3360,"Full ship DD&amp;C",'J Book Items Cons.'!S$5:S$3360,"",'J Book Items Cons.'!U$5:U$3360,"USN",'J Book Items Cons.'!W$5:W$3360,"Amphibious Warfare Ships",'J Book Items Cons.'!R$5:R$3360,"",'J Book Items Cons.'!N$5:N$3360,"")+SUMIFS('J Book Items Cons.'!R$5:R$3360,'J Book Items Cons.'!E$5:E$3360,1,'J Book Items Cons.'!F$5:F$3360,"Full ship DD&amp;C",'J Book Items Cons.'!S$5:S$3360,"[PARENT]",'J Book Items Cons.'!U$5:U$3360,"USN",'J Book Items Cons.'!W$5:W$3360,"Amphibious Warfare Ships",'J Book Items Cons.'!R$5:R$3360,"&lt;&gt;")+SUMIFS('J Book Items Cons.'!N$5:N$3360,'J Book Items Cons.'!E$5:E$3360,1,'J Book Items Cons.'!F$5:F$3360,"Full ship DD&amp;C",'J Book Items Cons.'!S$5:S$3360,"[PARENT]",'J Book Items Cons.'!U$5:U$3360,"USN",'J Book Items Cons.'!W$5:W$3360,"Amphibious Warfare Ships",'J Book Items Cons.'!R$5:R$3360,"",'J Book Items Cons.'!N$5:N$3360,"&lt;&gt;")+SUMIFS('J Book Items Cons.'!L$5:L$3360,'J Book Items Cons.'!E$5:E$3360,1,'J Book Items Cons.'!F$5:F$3360,"Full ship DD&amp;C",'J Book Items Cons.'!S$5:S$3360,"[PARENT]",'J Book Items Cons.'!U$5:U$3360,"USN",'J Book Items Cons.'!W$5:W$3360,"Amphibious Warfare Ships",'J Book Items Cons.'!R$5:R$3360,"",'J Book Items Cons.'!N$5:N$3360,""))/C16)</f>
        <v>0.443414435945165</v>
      </c>
      <c r="D8" s="38">
        <f>IF(D16=0,0,(SUMIFS('J Book Items Cons.'!R$5:R$3360,'J Book Items Cons.'!E$5:E$3360,1,'J Book Items Cons.'!F$5:F$3360,"Full ship DD&amp;C",'J Book Items Cons.'!S$5:S$3360,"",'J Book Items Cons.'!U$5:U$3360,"USN",'J Book Items Cons.'!W$5:W$3360,"Expeditionary &amp; Seabasing Ships",'J Book Items Cons.'!R$5:R$3360,"&lt;&gt;")+SUMIFS('J Book Items Cons.'!N$5:N$3360,'J Book Items Cons.'!E$5:E$3360,1,'J Book Items Cons.'!F$5:F$3360,"Full ship DD&amp;C",'J Book Items Cons.'!S$5:S$3360,"",'J Book Items Cons.'!U$5:U$3360,"USN",'J Book Items Cons.'!W$5:W$3360,"Expeditionary &amp; Seabasing Ships",'J Book Items Cons.'!R$5:R$3360,"",'J Book Items Cons.'!N$5:N$3360,"&lt;&gt;")+SUMIFS('J Book Items Cons.'!L$5:L$3360,'J Book Items Cons.'!E$5:E$3360,1,'J Book Items Cons.'!F$5:F$3360,"Full ship DD&amp;C",'J Book Items Cons.'!S$5:S$3360,"",'J Book Items Cons.'!U$5:U$3360,"USN",'J Book Items Cons.'!W$5:W$3360,"Expeditionary &amp; Seabasing Ships",'J Book Items Cons.'!R$5:R$3360,"",'J Book Items Cons.'!N$5:N$3360,"")+SUMIFS('J Book Items Cons.'!R$5:R$3360,'J Book Items Cons.'!E$5:E$3360,1,'J Book Items Cons.'!F$5:F$3360,"Full ship DD&amp;C",'J Book Items Cons.'!S$5:S$3360,"[PARENT]",'J Book Items Cons.'!U$5:U$3360,"USN",'J Book Items Cons.'!W$5:W$3360,"Expeditionary &amp; Seabasing Ships",'J Book Items Cons.'!R$5:R$3360,"&lt;&gt;")+SUMIFS('J Book Items Cons.'!N$5:N$3360,'J Book Items Cons.'!E$5:E$3360,1,'J Book Items Cons.'!F$5:F$3360,"Full ship DD&amp;C",'J Book Items Cons.'!S$5:S$3360,"[PARENT]",'J Book Items Cons.'!U$5:U$3360,"USN",'J Book Items Cons.'!W$5:W$3360,"Expeditionary &amp; Seabasing Ships",'J Book Items Cons.'!R$5:R$3360,"",'J Book Items Cons.'!N$5:N$3360,"&lt;&gt;")+SUMIFS('J Book Items Cons.'!L$5:L$3360,'J Book Items Cons.'!E$5:E$3360,1,'J Book Items Cons.'!F$5:F$3360,"Full ship DD&amp;C",'J Book Items Cons.'!S$5:S$3360,"[PARENT]",'J Book Items Cons.'!U$5:U$3360,"USN",'J Book Items Cons.'!W$5:W$3360,"Expeditionary &amp; Seabasing Ships",'J Book Items Cons.'!R$5:R$3360,"",'J Book Items Cons.'!N$5:N$3360,""))/D16)</f>
        <v>0.97815213067598694</v>
      </c>
      <c r="E8" s="38">
        <f>IF(E16=0,0,(SUMIFS('J Book Items Cons.'!R$5:R$3360,'J Book Items Cons.'!E$5:E$3360,1,'J Book Items Cons.'!F$5:F$3360,"Full ship DD&amp;C",'J Book Items Cons.'!S$5:S$3360,"",'J Book Items Cons.'!U$5:U$3360,"MSC",'J Book Items Cons.'!W$5:W$3360,"Combat Logistics Ships",'J Book Items Cons.'!R$5:R$3360,"&lt;&gt;")+SUMIFS('J Book Items Cons.'!N$5:N$3360,'J Book Items Cons.'!E$5:E$3360,1,'J Book Items Cons.'!F$5:F$3360,"Full ship DD&amp;C",'J Book Items Cons.'!S$5:S$3360,"",'J Book Items Cons.'!U$5:U$3360,"MSC",'J Book Items Cons.'!W$5:W$3360,"Combat Logistics Ships",'J Book Items Cons.'!R$5:R$3360,"",'J Book Items Cons.'!N$5:N$3360,"&lt;&gt;")+SUMIFS('J Book Items Cons.'!L$5:L$3360,'J Book Items Cons.'!E$5:E$3360,1,'J Book Items Cons.'!F$5:F$3360,"Full ship DD&amp;C",'J Book Items Cons.'!S$5:S$3360,"",'J Book Items Cons.'!U$5:U$3360,"MSC",'J Book Items Cons.'!W$5:W$3360,"Combat Logistics Ships",'J Book Items Cons.'!R$5:R$3360,"",'J Book Items Cons.'!N$5:N$3360,"")+SUMIFS('J Book Items Cons.'!R$5:R$3360,'J Book Items Cons.'!E$5:E$3360,1,'J Book Items Cons.'!F$5:F$3360,"Full ship DD&amp;C",'J Book Items Cons.'!S$5:S$3360,"[PARENT]",'J Book Items Cons.'!U$5:U$3360,"MSC",'J Book Items Cons.'!W$5:W$3360,"Combat Logistics Ships",'J Book Items Cons.'!R$5:R$3360,"&lt;&gt;")+SUMIFS('J Book Items Cons.'!N$5:N$3360,'J Book Items Cons.'!E$5:E$3360,1,'J Book Items Cons.'!F$5:F$3360,"Full ship DD&amp;C",'J Book Items Cons.'!S$5:S$3360,"[PARENT]",'J Book Items Cons.'!U$5:U$3360,"MSC",'J Book Items Cons.'!W$5:W$3360,"Combat Logistics Ships",'J Book Items Cons.'!R$5:R$3360,"",'J Book Items Cons.'!N$5:N$3360,"&lt;&gt;")+SUMIFS('J Book Items Cons.'!L$5:L$3360,'J Book Items Cons.'!E$5:E$3360,1,'J Book Items Cons.'!F$5:F$3360,"Full ship DD&amp;C",'J Book Items Cons.'!S$5:S$3360,"[PARENT]",'J Book Items Cons.'!U$5:U$3360,"MSC",'J Book Items Cons.'!W$5:W$3360,"Combat Logistics Ships",'J Book Items Cons.'!R$5:R$3360,"",'J Book Items Cons.'!N$5:N$3360,""))/E16)</f>
        <v>1</v>
      </c>
      <c r="F8" s="38"/>
      <c r="G8" s="38">
        <f>IF(G16=0,0,(SUMIFS('J Book Items Cons.'!R$5:R$3360,'J Book Items Cons.'!E$5:E$3360,1,'J Book Items Cons.'!F$5:F$3360,"Full ship DD&amp;C",'J Book Items Cons.'!S$5:S$3360,"",'J Book Items Cons.'!U$5:U$3360,"USN",'J Book Items Cons.'!W$5:W$3360,"Amphibious Warfare Craft",'J Book Items Cons.'!R$5:R$3360,"&lt;&gt;")+SUMIFS('J Book Items Cons.'!N$5:N$3360,'J Book Items Cons.'!E$5:E$3360,1,'J Book Items Cons.'!F$5:F$3360,"Full ship DD&amp;C",'J Book Items Cons.'!S$5:S$3360,"",'J Book Items Cons.'!U$5:U$3360,"USN",'J Book Items Cons.'!W$5:W$3360,"Amphibious Warfare Craft",'J Book Items Cons.'!R$5:R$3360,"",'J Book Items Cons.'!N$5:N$3360,"&lt;&gt;")+SUMIFS('J Book Items Cons.'!L$5:L$3360,'J Book Items Cons.'!E$5:E$3360,1,'J Book Items Cons.'!F$5:F$3360,"Full ship DD&amp;C",'J Book Items Cons.'!S$5:S$3360,"",'J Book Items Cons.'!U$5:U$3360,"USN",'J Book Items Cons.'!W$5:W$3360,"Amphibious Warfare Craft",'J Book Items Cons.'!R$5:R$3360,"",'J Book Items Cons.'!N$5:N$3360,"")+SUMIFS('J Book Items Cons.'!R$5:R$3360,'J Book Items Cons.'!E$5:E$3360,1,'J Book Items Cons.'!F$5:F$3360,"Full ship DD&amp;C",'J Book Items Cons.'!S$5:S$3360,"[PARENT]",'J Book Items Cons.'!U$5:U$3360,"USN",'J Book Items Cons.'!W$5:W$3360,"Amphibious Warfare Craft",'J Book Items Cons.'!R$5:R$3360,"&lt;&gt;")+SUMIFS('J Book Items Cons.'!N$5:N$3360,'J Book Items Cons.'!E$5:E$3360,1,'J Book Items Cons.'!F$5:F$3360,"Full ship DD&amp;C",'J Book Items Cons.'!S$5:S$3360,"[PARENT]",'J Book Items Cons.'!U$5:U$3360,"USN",'J Book Items Cons.'!W$5:W$3360,"Amphibious Warfare Craft",'J Book Items Cons.'!R$5:R$3360,"",'J Book Items Cons.'!N$5:N$3360,"&lt;&gt;")+SUMIFS('J Book Items Cons.'!L$5:L$3360,'J Book Items Cons.'!E$5:E$3360,1,'J Book Items Cons.'!F$5:F$3360,"Full ship DD&amp;C",'J Book Items Cons.'!S$5:S$3360,"[PARENT]",'J Book Items Cons.'!U$5:U$3360,"USN",'J Book Items Cons.'!W$5:W$3360,"Amphibious Warfare Craft",'J Book Items Cons.'!R$5:R$3360,"",'J Book Items Cons.'!N$5:N$3360,""))/G16)</f>
        <v>0.92697266386001009</v>
      </c>
      <c r="H8" s="38">
        <f>IF(H16=0,0,(SUMIFS('J Book Items Cons.'!R$5:R$3360,'J Book Items Cons.'!E$5:E$3360,1,'J Book Items Cons.'!F$5:F$3360,"Full ship DD&amp;C",'J Book Items Cons.'!S$5:S$3360,"",'J Book Items Cons.'!U$5:U$3360,"MSC",'J Book Items Cons.'!W$5:W$3360,"Cargo &amp; Vehicle Cargo Ships",'J Book Items Cons.'!R$5:R$3360,"&lt;&gt;")+SUMIFS('J Book Items Cons.'!N$5:N$3360,'J Book Items Cons.'!E$5:E$3360,1,'J Book Items Cons.'!F$5:F$3360,"Full ship DD&amp;C",'J Book Items Cons.'!S$5:S$3360,"",'J Book Items Cons.'!U$5:U$3360,"MSC",'J Book Items Cons.'!W$5:W$3360,"Cargo &amp; Vehicle Cargo Ships",'J Book Items Cons.'!R$5:R$3360,"",'J Book Items Cons.'!N$5:N$3360,"&lt;&gt;")+SUMIFS('J Book Items Cons.'!L$5:L$3360,'J Book Items Cons.'!E$5:E$3360,1,'J Book Items Cons.'!F$5:F$3360,"Full ship DD&amp;C",'J Book Items Cons.'!S$5:S$3360,"",'J Book Items Cons.'!U$5:U$3360,"MSC",'J Book Items Cons.'!W$5:W$3360,"Cargo &amp; Vehicle Cargo Ships",'J Book Items Cons.'!R$5:R$3360,"",'J Book Items Cons.'!N$5:N$3360,"")+SUMIFS('J Book Items Cons.'!R$5:R$3360,'J Book Items Cons.'!E$5:E$3360,1,'J Book Items Cons.'!F$5:F$3360,"Full ship DD&amp;C",'J Book Items Cons.'!S$5:S$3360,"[PARENT]",'J Book Items Cons.'!U$5:U$3360,"MSC",'J Book Items Cons.'!W$5:W$3360,"Cargo &amp; Vehicle Cargo Ships",'J Book Items Cons.'!R$5:R$3360,"&lt;&gt;")+SUMIFS('J Book Items Cons.'!N$5:N$3360,'J Book Items Cons.'!E$5:E$3360,1,'J Book Items Cons.'!F$5:F$3360,"Full ship DD&amp;C",'J Book Items Cons.'!S$5:S$3360,"[PARENT]",'J Book Items Cons.'!U$5:U$3360,"MSC",'J Book Items Cons.'!W$5:W$3360,"Cargo &amp; Vehicle Cargo Ships",'J Book Items Cons.'!R$5:R$3360,"",'J Book Items Cons.'!N$5:N$3360,"&lt;&gt;")+SUMIFS('J Book Items Cons.'!L$5:L$3360,'J Book Items Cons.'!E$5:E$3360,1,'J Book Items Cons.'!F$5:F$3360,"Full ship DD&amp;C",'J Book Items Cons.'!S$5:S$3360,"[PARENT]",'J Book Items Cons.'!U$5:U$3360,"MSC",'J Book Items Cons.'!W$5:W$3360,"Cargo &amp; Vehicle Cargo Ships",'J Book Items Cons.'!R$5:R$3360,"",'J Book Items Cons.'!N$5:N$3360,""))/H16)</f>
        <v>1</v>
      </c>
      <c r="I8" s="38">
        <f>IF(I16=0,0,(SUMIFS('J Book Items Cons.'!R$5:R$3360,'J Book Items Cons.'!E$5:E$3360,1,'J Book Items Cons.'!F$5:F$3360,"Full ship DD&amp;C",'J Book Items Cons.'!S$5:S$3360,"",'J Book Items Cons.'!U$5:U$3360,"MSC",'J Book Items Cons.'!W$5:W$3360,"Surveillance Ships",'J Book Items Cons.'!R$5:R$3360,"&lt;&gt;")+SUMIFS('J Book Items Cons.'!N$5:N$3360,'J Book Items Cons.'!E$5:E$3360,1,'J Book Items Cons.'!F$5:F$3360,"Full ship DD&amp;C",'J Book Items Cons.'!S$5:S$3360,"",'J Book Items Cons.'!U$5:U$3360,"MSC",'J Book Items Cons.'!W$5:W$3360,"Surveillance Ships",'J Book Items Cons.'!R$5:R$3360,"",'J Book Items Cons.'!N$5:N$3360,"&lt;&gt;")+SUMIFS('J Book Items Cons.'!L$5:L$3360,'J Book Items Cons.'!E$5:E$3360,1,'J Book Items Cons.'!F$5:F$3360,"Full ship DD&amp;C",'J Book Items Cons.'!S$5:S$3360,"",'J Book Items Cons.'!U$5:U$3360,"MSC",'J Book Items Cons.'!W$5:W$3360,"Surveillance Ships",'J Book Items Cons.'!R$5:R$3360,"",'J Book Items Cons.'!N$5:N$3360,"")+SUMIFS('J Book Items Cons.'!R$5:R$3360,'J Book Items Cons.'!E$5:E$3360,1,'J Book Items Cons.'!F$5:F$3360,"Full ship DD&amp;C",'J Book Items Cons.'!S$5:S$3360,"[PARENT]",'J Book Items Cons.'!U$5:U$3360,"MSC",'J Book Items Cons.'!W$5:W$3360,"Surveillance Ships",'J Book Items Cons.'!R$5:R$3360,"&lt;&gt;")+SUMIFS('J Book Items Cons.'!N$5:N$3360,'J Book Items Cons.'!E$5:E$3360,1,'J Book Items Cons.'!F$5:F$3360,"Full ship DD&amp;C",'J Book Items Cons.'!S$5:S$3360,"[PARENT]",'J Book Items Cons.'!U$5:U$3360,"MSC",'J Book Items Cons.'!W$5:W$3360,"Surveillance Ships",'J Book Items Cons.'!R$5:R$3360,"",'J Book Items Cons.'!N$5:N$3360,"&lt;&gt;")+SUMIFS('J Book Items Cons.'!L$5:L$3360,'J Book Items Cons.'!E$5:E$3360,1,'J Book Items Cons.'!F$5:F$3360,"Full ship DD&amp;C",'J Book Items Cons.'!S$5:S$3360,"[PARENT]",'J Book Items Cons.'!U$5:U$3360,"MSC",'J Book Items Cons.'!W$5:W$3360,"Surveillance Ships",'J Book Items Cons.'!R$5:R$3360,"",'J Book Items Cons.'!N$5:N$3360,""))/I16)</f>
        <v>0.95155383960184903</v>
      </c>
      <c r="J8" s="38">
        <f>IF(J16=0,0,(SUMIFS('J Book Items Cons.'!R$5:R$3360,'J Book Items Cons.'!E$5:E$3360,1,'J Book Items Cons.'!F$5:F$3360,"Full ship DD&amp;C",'J Book Items Cons.'!S$5:S$3360,"",'J Book Items Cons.'!U$5:U$3360,"USN",'J Book Items Cons.'!W$5:W$3360,"Command Ships",'J Book Items Cons.'!R$5:R$3360,"&lt;&gt;")+SUMIFS('J Book Items Cons.'!N$5:N$3360,'J Book Items Cons.'!E$5:E$3360,1,'J Book Items Cons.'!F$5:F$3360,"Full ship DD&amp;C",'J Book Items Cons.'!S$5:S$3360,"",'J Book Items Cons.'!U$5:U$3360,"USN",'J Book Items Cons.'!W$5:W$3360,"Command Ships",'J Book Items Cons.'!R$5:R$3360,"",'J Book Items Cons.'!N$5:N$3360,"&lt;&gt;")+SUMIFS('J Book Items Cons.'!L$5:L$3360,'J Book Items Cons.'!E$5:E$3360,1,'J Book Items Cons.'!F$5:F$3360,"Full ship DD&amp;C",'J Book Items Cons.'!S$5:S$3360,"",'J Book Items Cons.'!U$5:U$3360,"USN",'J Book Items Cons.'!W$5:W$3360,"Command Ships",'J Book Items Cons.'!R$5:R$3360,"",'J Book Items Cons.'!N$5:N$3360,"")+SUMIFS('J Book Items Cons.'!R$5:R$3360,'J Book Items Cons.'!E$5:E$3360,1,'J Book Items Cons.'!F$5:F$3360,"Full ship DD&amp;C",'J Book Items Cons.'!S$5:S$3360,"[PARENT]",'J Book Items Cons.'!U$5:U$3360,"USN",'J Book Items Cons.'!W$5:W$3360,"Command Ships",'J Book Items Cons.'!R$5:R$3360,"&lt;&gt;")+SUMIFS('J Book Items Cons.'!N$5:N$3360,'J Book Items Cons.'!E$5:E$3360,1,'J Book Items Cons.'!F$5:F$3360,"Full ship DD&amp;C",'J Book Items Cons.'!S$5:S$3360,"[PARENT]",'J Book Items Cons.'!U$5:U$3360,"USN",'J Book Items Cons.'!W$5:W$3360,"Command Ships",'J Book Items Cons.'!R$5:R$3360,"",'J Book Items Cons.'!N$5:N$3360,"&lt;&gt;")+SUMIFS('J Book Items Cons.'!L$5:L$3360,'J Book Items Cons.'!E$5:E$3360,1,'J Book Items Cons.'!F$5:F$3360,"Full ship DD&amp;C",'J Book Items Cons.'!S$5:S$3360,"[PARENT]",'J Book Items Cons.'!U$5:U$3360,"USN",'J Book Items Cons.'!W$5:W$3360,"Command Ships",'J Book Items Cons.'!R$5:R$3360,"",'J Book Items Cons.'!N$5:N$3360,""))/J16)</f>
        <v>0</v>
      </c>
      <c r="K8" s="39">
        <f>IF(K16=0,0,(SUMIFS('J Book Items Cons.'!R$5:R$3360,'J Book Items Cons.'!E$5:E$3360,1,'J Book Items Cons.'!F$5:F$3360,"Full ship DD&amp;C",'J Book Items Cons.'!S$5:S$3360,"",'J Book Items Cons.'!U$5:U$3360,"USN",'J Book Items Cons.'!W$5:W$3360,"Mine Warfare",'J Book Items Cons.'!R$5:R$3360,"&lt;&gt;")+SUMIFS('J Book Items Cons.'!N$5:N$3360,'J Book Items Cons.'!E$5:E$3360,1,'J Book Items Cons.'!F$5:F$3360,"Full ship DD&amp;C",'J Book Items Cons.'!S$5:S$3360,"",'J Book Items Cons.'!U$5:U$3360,"USN",'J Book Items Cons.'!W$5:W$3360,"Mine Warfare",'J Book Items Cons.'!R$5:R$3360,"",'J Book Items Cons.'!N$5:N$3360,"&lt;&gt;")+SUMIFS('J Book Items Cons.'!L$5:L$3360,'J Book Items Cons.'!E$5:E$3360,1,'J Book Items Cons.'!F$5:F$3360,"Full ship DD&amp;C",'J Book Items Cons.'!S$5:S$3360,"",'J Book Items Cons.'!U$5:U$3360,"USN",'J Book Items Cons.'!W$5:W$3360,"Mine Warfare",'J Book Items Cons.'!R$5:R$3360,"",'J Book Items Cons.'!N$5:N$3360,"")+SUMIFS('J Book Items Cons.'!R$5:R$3360,'J Book Items Cons.'!E$5:E$3360,1,'J Book Items Cons.'!F$5:F$3360,"Full ship DD&amp;C",'J Book Items Cons.'!S$5:S$3360,"[PARENT]",'J Book Items Cons.'!U$5:U$3360,"USN",'J Book Items Cons.'!W$5:W$3360,"Mine Warfare",'J Book Items Cons.'!R$5:R$3360,"&lt;&gt;")+SUMIFS('J Book Items Cons.'!N$5:N$3360,'J Book Items Cons.'!E$5:E$3360,1,'J Book Items Cons.'!F$5:F$3360,"Full ship DD&amp;C",'J Book Items Cons.'!S$5:S$3360,"[PARENT]",'J Book Items Cons.'!U$5:U$3360,"USN",'J Book Items Cons.'!W$5:W$3360,"Mine Warfare",'J Book Items Cons.'!R$5:R$3360,"",'J Book Items Cons.'!N$5:N$3360,"&lt;&gt;")+SUMIFS('J Book Items Cons.'!L$5:L$3360,'J Book Items Cons.'!E$5:E$3360,1,'J Book Items Cons.'!F$5:F$3360,"Full ship DD&amp;C",'J Book Items Cons.'!S$5:S$3360,"[PARENT]",'J Book Items Cons.'!U$5:U$3360,"USN",'J Book Items Cons.'!W$5:W$3360,"Mine Warfare",'J Book Items Cons.'!R$5:R$3360,"",'J Book Items Cons.'!N$5:N$3360,""))/K16)</f>
        <v>0</v>
      </c>
      <c r="L8" s="38"/>
      <c r="M8" s="38">
        <f>IF(M16=0,0,(SUMIFS('J Book Items Cons.'!R$5:R$3360,'J Book Items Cons.'!E$5:E$3360,1,'J Book Items Cons.'!F$5:F$3360,"Full ship DD&amp;C",'J Book Items Cons.'!S$5:S$3360,"",'J Book Items Cons.'!U$5:U$3360,"USCG",'J Book Items Cons.'!W$5:W$3360,"Fast Response Cutters",'J Book Items Cons.'!R$5:R$3360,"&lt;&gt;")+SUMIFS('J Book Items Cons.'!N$5:N$3360,'J Book Items Cons.'!E$5:E$3360,1,'J Book Items Cons.'!F$5:F$3360,"Full ship DD&amp;C",'J Book Items Cons.'!S$5:S$3360,"",'J Book Items Cons.'!U$5:U$3360,"USCG",'J Book Items Cons.'!W$5:W$3360,"Fast Response Cutters",'J Book Items Cons.'!R$5:R$3360,"",'J Book Items Cons.'!N$5:N$3360,"&lt;&gt;")+SUMIFS('J Book Items Cons.'!L$5:L$3360,'J Book Items Cons.'!E$5:E$3360,1,'J Book Items Cons.'!F$5:F$3360,"Full ship DD&amp;C",'J Book Items Cons.'!S$5:S$3360,"",'J Book Items Cons.'!U$5:U$3360,"USCG",'J Book Items Cons.'!W$5:W$3360,"Fast Response Cutters",'J Book Items Cons.'!R$5:R$3360,"",'J Book Items Cons.'!N$5:N$3360,"")+SUMIFS('J Book Items Cons.'!R$5:R$3360,'J Book Items Cons.'!E$5:E$3360,1,'J Book Items Cons.'!F$5:F$3360,"Full ship DD&amp;C",'J Book Items Cons.'!S$5:S$3360,"[PARENT]",'J Book Items Cons.'!U$5:U$3360,"USCG",'J Book Items Cons.'!W$5:W$3360,"Fast Response Cutters",'J Book Items Cons.'!R$5:R$3360,"&lt;&gt;")+SUMIFS('J Book Items Cons.'!N$5:N$3360,'J Book Items Cons.'!E$5:E$3360,1,'J Book Items Cons.'!F$5:F$3360,"Full ship DD&amp;C",'J Book Items Cons.'!S$5:S$3360,"[PARENT]",'J Book Items Cons.'!U$5:U$3360,"USCG",'J Book Items Cons.'!W$5:W$3360,"Fast Response Cutters",'J Book Items Cons.'!R$5:R$3360,"",'J Book Items Cons.'!N$5:N$3360,"&lt;&gt;")+SUMIFS('J Book Items Cons.'!L$5:L$3360,'J Book Items Cons.'!E$5:E$3360,1,'J Book Items Cons.'!F$5:F$3360,"Full ship DD&amp;C",'J Book Items Cons.'!S$5:S$3360,"[PARENT]",'J Book Items Cons.'!U$5:U$3360,"USCG",'J Book Items Cons.'!W$5:W$3360,"Fast Response Cutters",'J Book Items Cons.'!R$5:R$3360,"",'J Book Items Cons.'!N$5:N$3360,""))/M16)</f>
        <v>1</v>
      </c>
      <c r="N8" s="38"/>
      <c r="O8" s="38"/>
      <c r="P8" s="39">
        <f>IF(P16=0,0,(SUMIFS('J Book Items Cons.'!R$5:R$3360,'J Book Items Cons.'!E$5:E$3360,1,'J Book Items Cons.'!F$5:F$3360,"Full ship DD&amp;C",'J Book Items Cons.'!S$5:S$3360,"",'J Book Items Cons.'!U$5:U$3360,"USCG",'J Book Items Cons.'!W$5:W$3360,"National Security Cutters",'J Book Items Cons.'!R$5:R$3360,"&lt;&gt;")+SUMIFS('J Book Items Cons.'!N$5:N$3360,'J Book Items Cons.'!E$5:E$3360,1,'J Book Items Cons.'!F$5:F$3360,"Full ship DD&amp;C",'J Book Items Cons.'!S$5:S$3360,"",'J Book Items Cons.'!U$5:U$3360,"USCG",'J Book Items Cons.'!W$5:W$3360,"National Security Cutters",'J Book Items Cons.'!R$5:R$3360,"",'J Book Items Cons.'!N$5:N$3360,"&lt;&gt;")+SUMIFS('J Book Items Cons.'!L$5:L$3360,'J Book Items Cons.'!E$5:E$3360,1,'J Book Items Cons.'!F$5:F$3360,"Full ship DD&amp;C",'J Book Items Cons.'!S$5:S$3360,"",'J Book Items Cons.'!U$5:U$3360,"USCG",'J Book Items Cons.'!W$5:W$3360,"National Security Cutters",'J Book Items Cons.'!R$5:R$3360,"",'J Book Items Cons.'!N$5:N$3360,"")+SUMIFS('J Book Items Cons.'!R$5:R$3360,'J Book Items Cons.'!E$5:E$3360,1,'J Book Items Cons.'!F$5:F$3360,"Full ship DD&amp;C",'J Book Items Cons.'!S$5:S$3360,"[PARENT]",'J Book Items Cons.'!U$5:U$3360,"USCG",'J Book Items Cons.'!W$5:W$3360,"National Security Cutters",'J Book Items Cons.'!R$5:R$3360,"&lt;&gt;")+SUMIFS('J Book Items Cons.'!N$5:N$3360,'J Book Items Cons.'!E$5:E$3360,1,'J Book Items Cons.'!F$5:F$3360,"Full ship DD&amp;C",'J Book Items Cons.'!S$5:S$3360,"[PARENT]",'J Book Items Cons.'!U$5:U$3360,"USCG",'J Book Items Cons.'!W$5:W$3360,"National Security Cutters",'J Book Items Cons.'!R$5:R$3360,"",'J Book Items Cons.'!N$5:N$3360,"&lt;&gt;")+SUMIFS('J Book Items Cons.'!L$5:L$3360,'J Book Items Cons.'!E$5:E$3360,1,'J Book Items Cons.'!F$5:F$3360,"Full ship DD&amp;C",'J Book Items Cons.'!S$5:S$3360,"[PARENT]",'J Book Items Cons.'!U$5:U$3360,"USCG",'J Book Items Cons.'!W$5:W$3360,"National Security Cutters",'J Book Items Cons.'!R$5:R$3360,"",'J Book Items Cons.'!N$5:N$3360,""))/P16)</f>
        <v>0</v>
      </c>
      <c r="Q8" s="38">
        <f t="shared" si="0"/>
        <v>0.5378484948068879</v>
      </c>
      <c r="S8" s="4" t="s">
        <v>8849</v>
      </c>
      <c r="T8" s="25">
        <f>SUMIFS('J Book Items Cons.'!R$5:R$3360,'J Book Items Cons.'!E$5:E$3360,1,'J Book Items Cons.'!S$5:S$3360,"",'J Book Items Cons.'!X$5:X$3360,"SSN",'J Book Items Cons.'!R$5:R$3360,"&lt;&gt;",'J Book Items Cons.'!F$5:F$3360,"Full ship DD&amp;C")+SUMIFS('J Book Items Cons.'!N$5:N$3360,'J Book Items Cons.'!E$5:E$3360,1,'J Book Items Cons.'!S$5:S$3360,"",'J Book Items Cons.'!X$5:X$3360,"SSN",'J Book Items Cons.'!R$5:R$3360,"",'J Book Items Cons.'!F$5:F$3360,"Full ship DD&amp;C",'J Book Items Cons.'!N$5:N$3360,"&lt;&gt;")+SUMIFS('J Book Items Cons.'!L$5:L$3360,'J Book Items Cons.'!E$5:E$3360,1,'J Book Items Cons.'!S$5:S$3360,"",'J Book Items Cons.'!X$5:X$3360,"SSN",'J Book Items Cons.'!R$5:R$3360,"",'J Book Items Cons.'!F$5:F$3360,"Full ship DD&amp;C",'J Book Items Cons.'!N$5:N$3360,"")+SUMIFS('J Book Items Cons.'!R$5:R$3360,'J Book Items Cons.'!E$5:E$3360,1,'J Book Items Cons.'!S$5:S$3360,"[PARENT]",'J Book Items Cons.'!X$5:X$3360,"SSN",'J Book Items Cons.'!R$5:R$3360,"&lt;&gt;",'J Book Items Cons.'!F$5:F$3360,"Full ship DD&amp;C")+SUMIFS('J Book Items Cons.'!N$5:N$3360,'J Book Items Cons.'!E$5:E$3360,1,'J Book Items Cons.'!S$5:S$3360,"[PARENT]",'J Book Items Cons.'!X$5:X$3360,"SSN",'J Book Items Cons.'!R$5:R$3360,"",'J Book Items Cons.'!F$5:F$3360,"Full ship DD&amp;C",'J Book Items Cons.'!N$5:N$3360,"&lt;&gt;")+SUMIFS('J Book Items Cons.'!L$5:L$3360,'J Book Items Cons.'!E$5:E$3360,1,'J Book Items Cons.'!S$5:S$3360,"[PARENT]",'J Book Items Cons.'!X$5:X$3360,"SSN",'J Book Items Cons.'!R$5:R$3360,"",'J Book Items Cons.'!F$5:F$3360,"Full ship DD&amp;C",'J Book Items Cons.'!N$5:N$3360,"")</f>
        <v>7340305</v>
      </c>
      <c r="U8" s="14">
        <f>SUMIFS('J Book Items Cons.'!R$5:R$3360,'J Book Items Cons.'!E$5:E$3360,1,'J Book Items Cons.'!S$5:S$3360,"",'J Book Items Cons.'!X$5:X$3360,"SSBN",'J Book Items Cons.'!R$5:R$3360,"&lt;&gt;",'J Book Items Cons.'!F$5:F$3360,"Full ship DD&amp;C")+SUMIFS('J Book Items Cons.'!N$5:N$3360,'J Book Items Cons.'!E$5:E$3360,1,'J Book Items Cons.'!S$5:S$3360,"",'J Book Items Cons.'!X$5:X$3360,"SSBN",'J Book Items Cons.'!R$5:R$3360,"",'J Book Items Cons.'!F$5:F$3360,"Full ship DD&amp;C",'J Book Items Cons.'!N$5:N$3360,"&lt;&gt;")+SUMIFS('J Book Items Cons.'!L$5:L$3360,'J Book Items Cons.'!E$5:E$3360,1,'J Book Items Cons.'!S$5:S$3360,"",'J Book Items Cons.'!X$5:X$3360,"SSBN",'J Book Items Cons.'!R$5:R$3360,"",'J Book Items Cons.'!F$5:F$3360,"Full ship DD&amp;C",'J Book Items Cons.'!N$5:N$3360,"")+SUMIFS('J Book Items Cons.'!R$5:R$3360,'J Book Items Cons.'!E$5:E$3360,1,'J Book Items Cons.'!S$5:S$3360,"[PARENT]",'J Book Items Cons.'!X$5:X$3360,"SSBN",'J Book Items Cons.'!R$5:R$3360,"&lt;&gt;",'J Book Items Cons.'!F$5:F$3360,"Full ship DD&amp;C")+SUMIFS('J Book Items Cons.'!N$5:N$3360,'J Book Items Cons.'!E$5:E$3360,1,'J Book Items Cons.'!S$5:S$3360,"[PARENT]",'J Book Items Cons.'!X$5:X$3360,"SSBN",'J Book Items Cons.'!R$5:R$3360,"",'J Book Items Cons.'!F$5:F$3360,"Full ship DD&amp;C",'J Book Items Cons.'!N$5:N$3360,"&lt;&gt;")+SUMIFS('J Book Items Cons.'!L$5:L$3360,'J Book Items Cons.'!E$5:E$3360,1,'J Book Items Cons.'!S$5:S$3360,"[PARENT]",'J Book Items Cons.'!X$5:X$3360,"SSBN",'J Book Items Cons.'!R$5:R$3360,"",'J Book Items Cons.'!F$5:F$3360,"Full ship DD&amp;C",'J Book Items Cons.'!N$5:N$3360,"")</f>
        <v>3928828</v>
      </c>
      <c r="V8" s="14">
        <f>SUMIFS('J Book Items Cons.'!R$5:R$3360,'J Book Items Cons.'!E$5:E$3360,1,'J Book Items Cons.'!S$5:S$3360,"",'J Book Items Cons.'!X$5:X$3360,"DDG",'J Book Items Cons.'!R$5:R$3360,"&lt;&gt;",'J Book Items Cons.'!F$5:F$3360,"Full ship DD&amp;C")+SUMIFS('J Book Items Cons.'!N$5:N$3360,'J Book Items Cons.'!E$5:E$3360,1,'J Book Items Cons.'!S$5:S$3360,"",'J Book Items Cons.'!X$5:X$3360,"DDG",'J Book Items Cons.'!R$5:R$3360,"",'J Book Items Cons.'!F$5:F$3360,"Full ship DD&amp;C",'J Book Items Cons.'!N$5:N$3360,"&lt;&gt;")+SUMIFS('J Book Items Cons.'!L$5:L$3360,'J Book Items Cons.'!E$5:E$3360,1,'J Book Items Cons.'!S$5:S$3360,"",'J Book Items Cons.'!X$5:X$3360,"DDG",'J Book Items Cons.'!R$5:R$3360,"",'J Book Items Cons.'!F$5:F$3360,"Full ship DD&amp;C",'J Book Items Cons.'!N$5:N$3360,"")+SUMIFS('J Book Items Cons.'!R$5:R$3360,'J Book Items Cons.'!E$5:E$3360,1,'J Book Items Cons.'!S$5:S$3360,"[PARENT]",'J Book Items Cons.'!X$5:X$3360,"DDG",'J Book Items Cons.'!R$5:R$3360,"&lt;&gt;",'J Book Items Cons.'!F$5:F$3360,"Full ship DD&amp;C")+SUMIFS('J Book Items Cons.'!N$5:N$3360,'J Book Items Cons.'!E$5:E$3360,1,'J Book Items Cons.'!S$5:S$3360,"[PARENT]",'J Book Items Cons.'!X$5:X$3360,"DDG",'J Book Items Cons.'!R$5:R$3360,"",'J Book Items Cons.'!F$5:F$3360,"Full ship DD&amp;C",'J Book Items Cons.'!N$5:N$3360,"&lt;&gt;")+SUMIFS('J Book Items Cons.'!L$5:L$3360,'J Book Items Cons.'!E$5:E$3360,1,'J Book Items Cons.'!S$5:S$3360,"[PARENT]",'J Book Items Cons.'!X$5:X$3360,"DDG",'J Book Items Cons.'!R$5:R$3360,"",'J Book Items Cons.'!F$5:F$3360,"Full ship DD&amp;C",'J Book Items Cons.'!N$5:N$3360,"")</f>
        <v>5463131</v>
      </c>
      <c r="W8" s="14">
        <f>SUMIFS('J Book Items Cons.'!R$5:R$3360,'J Book Items Cons.'!E$5:E$3360,1,'J Book Items Cons.'!S$5:S$3360,"",'J Book Items Cons.'!X$5:X$3360,"LPD",'J Book Items Cons.'!R$5:R$3360,"&lt;&gt;",'J Book Items Cons.'!F$5:F$3360,"Full ship DD&amp;C")+SUMIFS('J Book Items Cons.'!N$5:N$3360,'J Book Items Cons.'!E$5:E$3360,1,'J Book Items Cons.'!S$5:S$3360,"",'J Book Items Cons.'!X$5:X$3360,"LPD",'J Book Items Cons.'!R$5:R$3360,"",'J Book Items Cons.'!F$5:F$3360,"Full ship DD&amp;C",'J Book Items Cons.'!N$5:N$3360,"&lt;&gt;")+SUMIFS('J Book Items Cons.'!L$5:L$3360,'J Book Items Cons.'!E$5:E$3360,1,'J Book Items Cons.'!S$5:S$3360,"",'J Book Items Cons.'!X$5:X$3360,"LPD",'J Book Items Cons.'!R$5:R$3360,"",'J Book Items Cons.'!F$5:F$3360,"Full ship DD&amp;C",'J Book Items Cons.'!N$5:N$3360,"")+SUMIFS('J Book Items Cons.'!R$5:R$3360,'J Book Items Cons.'!E$5:E$3360,1,'J Book Items Cons.'!S$5:S$3360,"[PARENT]",'J Book Items Cons.'!X$5:X$3360,"LPD",'J Book Items Cons.'!R$5:R$3360,"&lt;&gt;",'J Book Items Cons.'!F$5:F$3360,"Full ship DD&amp;C")+SUMIFS('J Book Items Cons.'!N$5:N$3360,'J Book Items Cons.'!E$5:E$3360,1,'J Book Items Cons.'!S$5:S$3360,"[PARENT]",'J Book Items Cons.'!X$5:X$3360,"LPD",'J Book Items Cons.'!R$5:R$3360,"",'J Book Items Cons.'!F$5:F$3360,"Full ship DD&amp;C",'J Book Items Cons.'!N$5:N$3360,"&lt;&gt;")+SUMIFS('J Book Items Cons.'!L$5:L$3360,'J Book Items Cons.'!E$5:E$3360,1,'J Book Items Cons.'!S$5:S$3360,"[PARENT]",'J Book Items Cons.'!X$5:X$3360,"LPD",'J Book Items Cons.'!R$5:R$3360,"",'J Book Items Cons.'!F$5:F$3360,"Full ship DD&amp;C",'J Book Items Cons.'!N$5:N$3360,"")</f>
        <v>835037</v>
      </c>
      <c r="X8" s="14">
        <f>SUMIFS('J Book Items Cons.'!R$5:R$3360,'J Book Items Cons.'!E$5:E$3360,1,'J Book Items Cons.'!S$5:S$3360,"",'J Book Items Cons.'!X$5:X$3360,"LCS",'J Book Items Cons.'!R$5:R$3360,"&lt;&gt;",'J Book Items Cons.'!F$5:F$3360,"Full ship DD&amp;C")+SUMIFS('J Book Items Cons.'!N$5:N$3360,'J Book Items Cons.'!E$5:E$3360,1,'J Book Items Cons.'!S$5:S$3360,"",'J Book Items Cons.'!X$5:X$3360,"LCS",'J Book Items Cons.'!R$5:R$3360,"",'J Book Items Cons.'!F$5:F$3360,"Full ship DD&amp;C",'J Book Items Cons.'!N$5:N$3360,"&lt;&gt;")+SUMIFS('J Book Items Cons.'!L$5:L$3360,'J Book Items Cons.'!E$5:E$3360,1,'J Book Items Cons.'!S$5:S$3360,"",'J Book Items Cons.'!X$5:X$3360,"LCS",'J Book Items Cons.'!R$5:R$3360,"",'J Book Items Cons.'!F$5:F$3360,"Full ship DD&amp;C",'J Book Items Cons.'!N$5:N$3360,"")+SUMIFS('J Book Items Cons.'!R$5:R$3360,'J Book Items Cons.'!E$5:E$3360,1,'J Book Items Cons.'!S$5:S$3360,"[PARENT]",'J Book Items Cons.'!X$5:X$3360,"LCS",'J Book Items Cons.'!R$5:R$3360,"&lt;&gt;",'J Book Items Cons.'!F$5:F$3360,"Full ship DD&amp;C")+SUMIFS('J Book Items Cons.'!N$5:N$3360,'J Book Items Cons.'!E$5:E$3360,1,'J Book Items Cons.'!S$5:S$3360,"[PARENT]",'J Book Items Cons.'!X$5:X$3360,"LCS",'J Book Items Cons.'!R$5:R$3360,"",'J Book Items Cons.'!F$5:F$3360,"Full ship DD&amp;C",'J Book Items Cons.'!N$5:N$3360,"&lt;&gt;")+SUMIFS('J Book Items Cons.'!L$5:L$3360,'J Book Items Cons.'!E$5:E$3360,1,'J Book Items Cons.'!S$5:S$3360,"[PARENT]",'J Book Items Cons.'!X$5:X$3360,"LCS",'J Book Items Cons.'!R$5:R$3360,"",'J Book Items Cons.'!F$5:F$3360,"Full ship DD&amp;C",'J Book Items Cons.'!N$5:N$3360,"")</f>
        <v>0</v>
      </c>
      <c r="Y8" s="14">
        <f>SUMIFS('J Book Items Cons.'!R$5:R$3360,'J Book Items Cons.'!E$5:E$3360,1,'J Book Items Cons.'!S$5:S$3360,"",'J Book Items Cons.'!X$5:X$3360,"LHD",'J Book Items Cons.'!R$5:R$3360,"&lt;&gt;",'J Book Items Cons.'!F$5:F$3360,"Full ship DD&amp;C")+SUMIFS('J Book Items Cons.'!N$5:N$3360,'J Book Items Cons.'!E$5:E$3360,1,'J Book Items Cons.'!S$5:S$3360,"",'J Book Items Cons.'!X$5:X$3360,"LHD",'J Book Items Cons.'!R$5:R$3360,"",'J Book Items Cons.'!F$5:F$3360,"Full ship DD&amp;C",'J Book Items Cons.'!N$5:N$3360,"&lt;&gt;")+SUMIFS('J Book Items Cons.'!L$5:L$3360,'J Book Items Cons.'!E$5:E$3360,1,'J Book Items Cons.'!S$5:S$3360,"",'J Book Items Cons.'!X$5:X$3360,"LHD",'J Book Items Cons.'!R$5:R$3360,"",'J Book Items Cons.'!F$5:F$3360,"Full ship DD&amp;C",'J Book Items Cons.'!N$5:N$3360,"")+SUMIFS('J Book Items Cons.'!R$5:R$3360,'J Book Items Cons.'!E$5:E$3360,1,'J Book Items Cons.'!S$5:S$3360,"[PARENT]",'J Book Items Cons.'!X$5:X$3360,"LHD",'J Book Items Cons.'!R$5:R$3360,"&lt;&gt;",'J Book Items Cons.'!F$5:F$3360,"Full ship DD&amp;C")+SUMIFS('J Book Items Cons.'!N$5:N$3360,'J Book Items Cons.'!E$5:E$3360,1,'J Book Items Cons.'!S$5:S$3360,"[PARENT]",'J Book Items Cons.'!X$5:X$3360,"LHD",'J Book Items Cons.'!R$5:R$3360,"",'J Book Items Cons.'!F$5:F$3360,"Full ship DD&amp;C",'J Book Items Cons.'!N$5:N$3360,"&lt;&gt;")+SUMIFS('J Book Items Cons.'!L$5:L$3360,'J Book Items Cons.'!E$5:E$3360,1,'J Book Items Cons.'!S$5:S$3360,"[PARENT]",'J Book Items Cons.'!X$5:X$3360,"LHD",'J Book Items Cons.'!R$5:R$3360,"",'J Book Items Cons.'!F$5:F$3360,"Full ship DD&amp;C",'J Book Items Cons.'!N$5:N$3360,"")</f>
        <v>0</v>
      </c>
      <c r="Z8" s="14">
        <f>SUMIFS('J Book Items Cons.'!R$5:R$3360,'J Book Items Cons.'!E$5:E$3360,1,'J Book Items Cons.'!S$5:S$3360,"",'J Book Items Cons.'!X$5:X$3360,"LHA",'J Book Items Cons.'!R$5:R$3360,"&lt;&gt;",'J Book Items Cons.'!F$5:F$3360,"Full ship DD&amp;C")+SUMIFS('J Book Items Cons.'!N$5:N$3360,'J Book Items Cons.'!E$5:E$3360,1,'J Book Items Cons.'!S$5:S$3360,"",'J Book Items Cons.'!X$5:X$3360,"LHA",'J Book Items Cons.'!R$5:R$3360,"",'J Book Items Cons.'!F$5:F$3360,"Full ship DD&amp;C",'J Book Items Cons.'!N$5:N$3360,"&lt;&gt;")+SUMIFS('J Book Items Cons.'!L$5:L$3360,'J Book Items Cons.'!E$5:E$3360,1,'J Book Items Cons.'!S$5:S$3360,"",'J Book Items Cons.'!X$5:X$3360,"LHA",'J Book Items Cons.'!R$5:R$3360,"",'J Book Items Cons.'!F$5:F$3360,"Full ship DD&amp;C",'J Book Items Cons.'!N$5:N$3360,"")+SUMIFS('J Book Items Cons.'!R$5:R$3360,'J Book Items Cons.'!E$5:E$3360,1,'J Book Items Cons.'!S$5:S$3360,"[PARENT]",'J Book Items Cons.'!X$5:X$3360,"LHA",'J Book Items Cons.'!R$5:R$3360,"&lt;&gt;",'J Book Items Cons.'!F$5:F$3360,"Full ship DD&amp;C")+SUMIFS('J Book Items Cons.'!N$5:N$3360,'J Book Items Cons.'!E$5:E$3360,1,'J Book Items Cons.'!S$5:S$3360,"[PARENT]",'J Book Items Cons.'!X$5:X$3360,"LHA",'J Book Items Cons.'!R$5:R$3360,"",'J Book Items Cons.'!F$5:F$3360,"Full ship DD&amp;C",'J Book Items Cons.'!N$5:N$3360,"&lt;&gt;")+SUMIFS('J Book Items Cons.'!L$5:L$3360,'J Book Items Cons.'!E$5:E$3360,1,'J Book Items Cons.'!S$5:S$3360,"[PARENT]",'J Book Items Cons.'!X$5:X$3360,"LHA",'J Book Items Cons.'!R$5:R$3360,"",'J Book Items Cons.'!F$5:F$3360,"Full ship DD&amp;C",'J Book Items Cons.'!N$5:N$3360,"")</f>
        <v>634963</v>
      </c>
      <c r="AA8" s="14">
        <f>SUMIFS('J Book Items Cons.'!R$5:R$3360,'J Book Items Cons.'!E$5:E$3360,1,'J Book Items Cons.'!S$5:S$3360,"",'J Book Items Cons.'!X$5:X$3360,"SSGN",'J Book Items Cons.'!R$5:R$3360,"&lt;&gt;",'J Book Items Cons.'!F$5:F$3360,"Full ship DD&amp;C")+SUMIFS('J Book Items Cons.'!N$5:N$3360,'J Book Items Cons.'!E$5:E$3360,1,'J Book Items Cons.'!S$5:S$3360,"",'J Book Items Cons.'!X$5:X$3360,"SSGN",'J Book Items Cons.'!R$5:R$3360,"",'J Book Items Cons.'!F$5:F$3360,"Full ship DD&amp;C",'J Book Items Cons.'!N$5:N$3360,"&lt;&gt;")+SUMIFS('J Book Items Cons.'!L$5:L$3360,'J Book Items Cons.'!E$5:E$3360,1,'J Book Items Cons.'!S$5:S$3360,"",'J Book Items Cons.'!X$5:X$3360,"SSGN",'J Book Items Cons.'!R$5:R$3360,"",'J Book Items Cons.'!F$5:F$3360,"Full ship DD&amp;C",'J Book Items Cons.'!N$5:N$3360,"")+SUMIFS('J Book Items Cons.'!R$5:R$3360,'J Book Items Cons.'!E$5:E$3360,1,'J Book Items Cons.'!S$5:S$3360,"[PARENT]",'J Book Items Cons.'!X$5:X$3360,"SSGN",'J Book Items Cons.'!R$5:R$3360,"&lt;&gt;",'J Book Items Cons.'!F$5:F$3360,"Full ship DD&amp;C")+SUMIFS('J Book Items Cons.'!N$5:N$3360,'J Book Items Cons.'!E$5:E$3360,1,'J Book Items Cons.'!S$5:S$3360,"[PARENT]",'J Book Items Cons.'!X$5:X$3360,"SSGN",'J Book Items Cons.'!R$5:R$3360,"",'J Book Items Cons.'!F$5:F$3360,"Full ship DD&amp;C",'J Book Items Cons.'!N$5:N$3360,"&lt;&gt;")+SUMIFS('J Book Items Cons.'!L$5:L$3360,'J Book Items Cons.'!E$5:E$3360,1,'J Book Items Cons.'!S$5:S$3360,"[PARENT]",'J Book Items Cons.'!X$5:X$3360,"SSGN",'J Book Items Cons.'!R$5:R$3360,"",'J Book Items Cons.'!F$5:F$3360,"Full ship DD&amp;C",'J Book Items Cons.'!N$5:N$3360,"")</f>
        <v>0</v>
      </c>
      <c r="AB8" s="14">
        <f>SUMIFS('J Book Items Cons.'!R$5:R$3360,'J Book Items Cons.'!E$5:E$3360,1,'J Book Items Cons.'!S$5:S$3360,"",'J Book Items Cons.'!X$5:X$3360,"CG",'J Book Items Cons.'!R$5:R$3360,"&lt;&gt;",'J Book Items Cons.'!F$5:F$3360,"Full ship DD&amp;C")+SUMIFS('J Book Items Cons.'!N$5:N$3360,'J Book Items Cons.'!E$5:E$3360,1,'J Book Items Cons.'!S$5:S$3360,"",'J Book Items Cons.'!X$5:X$3360,"CG",'J Book Items Cons.'!R$5:R$3360,"",'J Book Items Cons.'!F$5:F$3360,"Full ship DD&amp;C",'J Book Items Cons.'!N$5:N$3360,"&lt;&gt;")+SUMIFS('J Book Items Cons.'!L$5:L$3360,'J Book Items Cons.'!E$5:E$3360,1,'J Book Items Cons.'!S$5:S$3360,"",'J Book Items Cons.'!X$5:X$3360,"CG",'J Book Items Cons.'!R$5:R$3360,"",'J Book Items Cons.'!F$5:F$3360,"Full ship DD&amp;C",'J Book Items Cons.'!N$5:N$3360,"")+SUMIFS('J Book Items Cons.'!R$5:R$3360,'J Book Items Cons.'!E$5:E$3360,1,'J Book Items Cons.'!S$5:S$3360,"[PARENT]",'J Book Items Cons.'!X$5:X$3360,"CG",'J Book Items Cons.'!R$5:R$3360,"&lt;&gt;",'J Book Items Cons.'!F$5:F$3360,"Full ship DD&amp;C")+SUMIFS('J Book Items Cons.'!N$5:N$3360,'J Book Items Cons.'!E$5:E$3360,1,'J Book Items Cons.'!S$5:S$3360,"[PARENT]",'J Book Items Cons.'!X$5:X$3360,"CG",'J Book Items Cons.'!R$5:R$3360,"",'J Book Items Cons.'!F$5:F$3360,"Full ship DD&amp;C",'J Book Items Cons.'!N$5:N$3360,"&lt;&gt;")+SUMIFS('J Book Items Cons.'!L$5:L$3360,'J Book Items Cons.'!E$5:E$3360,1,'J Book Items Cons.'!S$5:S$3360,"[PARENT]",'J Book Items Cons.'!X$5:X$3360,"CG",'J Book Items Cons.'!R$5:R$3360,"",'J Book Items Cons.'!F$5:F$3360,"Full ship DD&amp;C",'J Book Items Cons.'!N$5:N$3360,"")</f>
        <v>0</v>
      </c>
      <c r="AC8" s="26">
        <f>SUMIFS('J Book Items Cons.'!R$5:R$3360,'J Book Items Cons.'!E$5:E$3360,1,'J Book Items Cons.'!S$5:S$3360,"",'J Book Items Cons.'!X$5:X$3360,"LSD",'J Book Items Cons.'!R$5:R$3360,"&lt;&gt;",'J Book Items Cons.'!F$5:F$3360,"Full ship DD&amp;C")+SUMIFS('J Book Items Cons.'!N$5:N$3360,'J Book Items Cons.'!E$5:E$3360,1,'J Book Items Cons.'!S$5:S$3360,"",'J Book Items Cons.'!X$5:X$3360,"LSD",'J Book Items Cons.'!R$5:R$3360,"",'J Book Items Cons.'!F$5:F$3360,"Full ship DD&amp;C",'J Book Items Cons.'!N$5:N$3360,"&lt;&gt;")+SUMIFS('J Book Items Cons.'!L$5:L$3360,'J Book Items Cons.'!E$5:E$3360,1,'J Book Items Cons.'!S$5:S$3360,"",'J Book Items Cons.'!X$5:X$3360,"LSD",'J Book Items Cons.'!R$5:R$3360,"",'J Book Items Cons.'!F$5:F$3360,"Full ship DD&amp;C",'J Book Items Cons.'!N$5:N$3360,"")+SUMIFS('J Book Items Cons.'!R$5:R$3360,'J Book Items Cons.'!E$5:E$3360,1,'J Book Items Cons.'!S$5:S$3360,"[PARENT]",'J Book Items Cons.'!X$5:X$3360,"LSD",'J Book Items Cons.'!R$5:R$3360,"&lt;&gt;",'J Book Items Cons.'!F$5:F$3360,"Full ship DD&amp;C")+SUMIFS('J Book Items Cons.'!N$5:N$3360,'J Book Items Cons.'!E$5:E$3360,1,'J Book Items Cons.'!S$5:S$3360,"[PARENT]",'J Book Items Cons.'!X$5:X$3360,"LSD",'J Book Items Cons.'!R$5:R$3360,"",'J Book Items Cons.'!F$5:F$3360,"Full ship DD&amp;C",'J Book Items Cons.'!N$5:N$3360,"&lt;&gt;")+SUMIFS('J Book Items Cons.'!L$5:L$3360,'J Book Items Cons.'!E$5:E$3360,1,'J Book Items Cons.'!S$5:S$3360,"[PARENT]",'J Book Items Cons.'!X$5:X$3360,"LSD",'J Book Items Cons.'!R$5:R$3360,"",'J Book Items Cons.'!F$5:F$3360,"Full ship DD&amp;C",'J Book Items Cons.'!N$5:N$3360,"")</f>
        <v>0</v>
      </c>
      <c r="AD8" s="25">
        <f>SUMIFS('J Book Items Cons.'!R$5:R$3360,'J Book Items Cons.'!E$5:E$3360,1,'J Book Items Cons.'!S$5:S$3360,"",'J Book Items Cons.'!X$5:X$3360,"WMSM",'J Book Items Cons.'!R$5:R$3360,"&lt;&gt;",'J Book Items Cons.'!F$5:F$3360,"Full ship DD&amp;C")+SUMIFS('J Book Items Cons.'!N$5:N$3360,'J Book Items Cons.'!E$5:E$3360,1,'J Book Items Cons.'!S$5:S$3360,"",'J Book Items Cons.'!X$5:X$3360,"WMSM",'J Book Items Cons.'!R$5:R$3360,"",'J Book Items Cons.'!F$5:F$3360,"Full ship DD&amp;C",'J Book Items Cons.'!N$5:N$3360,"&lt;&gt;")+SUMIFS('J Book Items Cons.'!L$5:L$3360,'J Book Items Cons.'!E$5:E$3360,1,'J Book Items Cons.'!S$5:S$3360,"",'J Book Items Cons.'!X$5:X$3360,"WMSM",'J Book Items Cons.'!R$5:R$3360,"",'J Book Items Cons.'!F$5:F$3360,"Full ship DD&amp;C",'J Book Items Cons.'!N$5:N$3360,"")+SUMIFS('J Book Items Cons.'!R$5:R$3360,'J Book Items Cons.'!E$5:E$3360,1,'J Book Items Cons.'!S$5:S$3360,"[PARENT]",'J Book Items Cons.'!X$5:X$3360,"WMSM",'J Book Items Cons.'!R$5:R$3360,"&lt;&gt;",'J Book Items Cons.'!F$5:F$3360,"Full ship DD&amp;C")+SUMIFS('J Book Items Cons.'!N$5:N$3360,'J Book Items Cons.'!E$5:E$3360,1,'J Book Items Cons.'!S$5:S$3360,"[PARENT]",'J Book Items Cons.'!X$5:X$3360,"WMSM",'J Book Items Cons.'!R$5:R$3360,"",'J Book Items Cons.'!F$5:F$3360,"Full ship DD&amp;C",'J Book Items Cons.'!N$5:N$3360,"&lt;&gt;")+SUMIFS('J Book Items Cons.'!L$5:L$3360,'J Book Items Cons.'!E$5:E$3360,1,'J Book Items Cons.'!S$5:S$3360,"[PARENT]",'J Book Items Cons.'!X$5:X$3360,"WMSM",'J Book Items Cons.'!R$5:R$3360,"",'J Book Items Cons.'!F$5:F$3360,"Full ship DD&amp;C",'J Book Items Cons.'!N$5:N$3360,"")</f>
        <v>0</v>
      </c>
      <c r="AE8" s="14">
        <f>SUMIFS('J Book Items Cons.'!R$5:R$3360,'J Book Items Cons.'!E$5:E$3360,1,'J Book Items Cons.'!S$5:S$3360,"",'J Book Items Cons.'!X$5:X$3360,"WPC",'J Book Items Cons.'!R$5:R$3360,"&lt;&gt;",'J Book Items Cons.'!F$5:F$3360,"Full ship DD&amp;C")+SUMIFS('J Book Items Cons.'!N$5:N$3360,'J Book Items Cons.'!E$5:E$3360,1,'J Book Items Cons.'!S$5:S$3360,"",'J Book Items Cons.'!X$5:X$3360,"WPC",'J Book Items Cons.'!R$5:R$3360,"",'J Book Items Cons.'!F$5:F$3360,"Full ship DD&amp;C",'J Book Items Cons.'!N$5:N$3360,"&lt;&gt;")+SUMIFS('J Book Items Cons.'!L$5:L$3360,'J Book Items Cons.'!E$5:E$3360,1,'J Book Items Cons.'!S$5:S$3360,"",'J Book Items Cons.'!X$5:X$3360,"WPC",'J Book Items Cons.'!R$5:R$3360,"",'J Book Items Cons.'!F$5:F$3360,"Full ship DD&amp;C",'J Book Items Cons.'!N$5:N$3360,"")+SUMIFS('J Book Items Cons.'!R$5:R$3360,'J Book Items Cons.'!E$5:E$3360,1,'J Book Items Cons.'!S$5:S$3360,"[PARENT]",'J Book Items Cons.'!X$5:X$3360,"WPC",'J Book Items Cons.'!R$5:R$3360,"&lt;&gt;",'J Book Items Cons.'!F$5:F$3360,"Full ship DD&amp;C")+SUMIFS('J Book Items Cons.'!N$5:N$3360,'J Book Items Cons.'!E$5:E$3360,1,'J Book Items Cons.'!S$5:S$3360,"[PARENT]",'J Book Items Cons.'!X$5:X$3360,"WPC",'J Book Items Cons.'!R$5:R$3360,"",'J Book Items Cons.'!F$5:F$3360,"Full ship DD&amp;C",'J Book Items Cons.'!N$5:N$3360,"&lt;&gt;")+SUMIFS('J Book Items Cons.'!L$5:L$3360,'J Book Items Cons.'!E$5:E$3360,1,'J Book Items Cons.'!S$5:S$3360,"[PARENT]",'J Book Items Cons.'!X$5:X$3360,"WPC",'J Book Items Cons.'!R$5:R$3360,"",'J Book Items Cons.'!F$5:F$3360,"Full ship DD&amp;C",'J Book Items Cons.'!N$5:N$3360,"")</f>
        <v>216000</v>
      </c>
      <c r="AF8" s="14">
        <f>SUMIFS('J Book Items Cons.'!R$5:R$3360,'J Book Items Cons.'!E$5:E$3360,1,'J Book Items Cons.'!S$5:S$3360,"",'J Book Items Cons.'!X$5:X$3360,"WAGB",'J Book Items Cons.'!R$5:R$3360,"&lt;&gt;",'J Book Items Cons.'!F$5:F$3360,"Full ship DD&amp;C")+SUMIFS('J Book Items Cons.'!N$5:N$3360,'J Book Items Cons.'!E$5:E$3360,1,'J Book Items Cons.'!S$5:S$3360,"",'J Book Items Cons.'!X$5:X$3360,"WAGB",'J Book Items Cons.'!R$5:R$3360,"",'J Book Items Cons.'!F$5:F$3360,"Full ship DD&amp;C",'J Book Items Cons.'!N$5:N$3360,"&lt;&gt;")+SUMIFS('J Book Items Cons.'!L$5:L$3360,'J Book Items Cons.'!E$5:E$3360,1,'J Book Items Cons.'!S$5:S$3360,"",'J Book Items Cons.'!X$5:X$3360,"WAGB",'J Book Items Cons.'!R$5:R$3360,"",'J Book Items Cons.'!F$5:F$3360,"Full ship DD&amp;C",'J Book Items Cons.'!N$5:N$3360,"")+SUMIFS('J Book Items Cons.'!R$5:R$3360,'J Book Items Cons.'!E$5:E$3360,1,'J Book Items Cons.'!S$5:S$3360,"[PARENT]",'J Book Items Cons.'!X$5:X$3360,"WAGB",'J Book Items Cons.'!R$5:R$3360,"&lt;&gt;",'J Book Items Cons.'!F$5:F$3360,"Full ship DD&amp;C")+SUMIFS('J Book Items Cons.'!N$5:N$3360,'J Book Items Cons.'!E$5:E$3360,1,'J Book Items Cons.'!S$5:S$3360,"[PARENT]",'J Book Items Cons.'!X$5:X$3360,"WAGB",'J Book Items Cons.'!R$5:R$3360,"",'J Book Items Cons.'!F$5:F$3360,"Full ship DD&amp;C",'J Book Items Cons.'!N$5:N$3360,"&lt;&gt;")+SUMIFS('J Book Items Cons.'!L$5:L$3360,'J Book Items Cons.'!E$5:E$3360,1,'J Book Items Cons.'!S$5:S$3360,"[PARENT]",'J Book Items Cons.'!X$5:X$3360,"WAGB",'J Book Items Cons.'!R$5:R$3360,"",'J Book Items Cons.'!F$5:F$3360,"Full ship DD&amp;C",'J Book Items Cons.'!N$5:N$3360,"")</f>
        <v>0</v>
      </c>
      <c r="AG8" s="14">
        <f>SUMIFS('J Book Items Cons.'!R$5:R$3360,'J Book Items Cons.'!E$5:E$3360,1,'J Book Items Cons.'!S$5:S$3360,"",'J Book Items Cons.'!X$5:X$3360,"WCC",'J Book Items Cons.'!R$5:R$3360,"&lt;&gt;",'J Book Items Cons.'!F$5:F$3360,"Full ship DD&amp;C")+SUMIFS('J Book Items Cons.'!N$5:N$3360,'J Book Items Cons.'!E$5:E$3360,1,'J Book Items Cons.'!S$5:S$3360,"",'J Book Items Cons.'!X$5:X$3360,"WCC",'J Book Items Cons.'!R$5:R$3360,"",'J Book Items Cons.'!F$5:F$3360,"Full ship DD&amp;C",'J Book Items Cons.'!N$5:N$3360,"&lt;&gt;")+SUMIFS('J Book Items Cons.'!L$5:L$3360,'J Book Items Cons.'!E$5:E$3360,1,'J Book Items Cons.'!S$5:S$3360,"",'J Book Items Cons.'!X$5:X$3360,"WCC",'J Book Items Cons.'!R$5:R$3360,"",'J Book Items Cons.'!F$5:F$3360,"Full ship DD&amp;C",'J Book Items Cons.'!N$5:N$3360,"")+SUMIFS('J Book Items Cons.'!R$5:R$3360,'J Book Items Cons.'!E$5:E$3360,1,'J Book Items Cons.'!S$5:S$3360,"[PARENT]",'J Book Items Cons.'!X$5:X$3360,"WCC",'J Book Items Cons.'!R$5:R$3360,"&lt;&gt;",'J Book Items Cons.'!F$5:F$3360,"Full ship DD&amp;C")+SUMIFS('J Book Items Cons.'!N$5:N$3360,'J Book Items Cons.'!E$5:E$3360,1,'J Book Items Cons.'!S$5:S$3360,"[PARENT]",'J Book Items Cons.'!X$5:X$3360,"WCC",'J Book Items Cons.'!R$5:R$3360,"",'J Book Items Cons.'!F$5:F$3360,"Full ship DD&amp;C",'J Book Items Cons.'!N$5:N$3360,"&lt;&gt;")+SUMIFS('J Book Items Cons.'!L$5:L$3360,'J Book Items Cons.'!E$5:E$3360,1,'J Book Items Cons.'!S$5:S$3360,"[PARENT]",'J Book Items Cons.'!X$5:X$3360,"WCC",'J Book Items Cons.'!R$5:R$3360,"",'J Book Items Cons.'!F$5:F$3360,"Full ship DD&amp;C",'J Book Items Cons.'!N$5:N$3360,"")</f>
        <v>0</v>
      </c>
      <c r="AH8" s="26">
        <f>SUMIFS('J Book Items Cons.'!R$5:R$3360,'J Book Items Cons.'!E$5:E$3360,1,'J Book Items Cons.'!S$5:S$3360,"",'J Book Items Cons.'!X$5:X$3360,"WMSL",'J Book Items Cons.'!R$5:R$3360,"&lt;&gt;",'J Book Items Cons.'!F$5:F$3360,"Full ship DD&amp;C")+SUMIFS('J Book Items Cons.'!N$5:N$3360,'J Book Items Cons.'!E$5:E$3360,1,'J Book Items Cons.'!S$5:S$3360,"",'J Book Items Cons.'!X$5:X$3360,"WMSL",'J Book Items Cons.'!R$5:R$3360,"",'J Book Items Cons.'!F$5:F$3360,"Full ship DD&amp;C",'J Book Items Cons.'!N$5:N$3360,"&lt;&gt;")+SUMIFS('J Book Items Cons.'!L$5:L$3360,'J Book Items Cons.'!E$5:E$3360,1,'J Book Items Cons.'!S$5:S$3360,"",'J Book Items Cons.'!X$5:X$3360,"WMSL",'J Book Items Cons.'!R$5:R$3360,"",'J Book Items Cons.'!F$5:F$3360,"Full ship DD&amp;C",'J Book Items Cons.'!N$5:N$3360,"")+SUMIFS('J Book Items Cons.'!R$5:R$3360,'J Book Items Cons.'!E$5:E$3360,1,'J Book Items Cons.'!S$5:S$3360,"[PARENT]",'J Book Items Cons.'!X$5:X$3360,"WMSL",'J Book Items Cons.'!R$5:R$3360,"&lt;&gt;",'J Book Items Cons.'!F$5:F$3360,"Full ship DD&amp;C")+SUMIFS('J Book Items Cons.'!N$5:N$3360,'J Book Items Cons.'!E$5:E$3360,1,'J Book Items Cons.'!S$5:S$3360,"[PARENT]",'J Book Items Cons.'!X$5:X$3360,"WMSL",'J Book Items Cons.'!R$5:R$3360,"",'J Book Items Cons.'!F$5:F$3360,"Full ship DD&amp;C",'J Book Items Cons.'!N$5:N$3360,"&lt;&gt;")+SUMIFS('J Book Items Cons.'!L$5:L$3360,'J Book Items Cons.'!E$5:E$3360,1,'J Book Items Cons.'!S$5:S$3360,"[PARENT]",'J Book Items Cons.'!X$5:X$3360,"WMSL",'J Book Items Cons.'!R$5:R$3360,"",'J Book Items Cons.'!F$5:F$3360,"Full ship DD&amp;C",'J Book Items Cons.'!N$5:N$3360,"")</f>
        <v>0</v>
      </c>
      <c r="AI8" s="60">
        <f t="shared" si="1"/>
        <v>18418264</v>
      </c>
    </row>
    <row r="9" spans="1:35" s="40" customFormat="1" ht="9.75" customHeight="1" x14ac:dyDescent="0.15">
      <c r="A9" s="4" t="s">
        <v>8850</v>
      </c>
      <c r="B9" s="37">
        <f>IF(B16=0,0,(SUMIFS('J Book Items Cons.'!R$5:R$3360,'J Book Items Cons.'!E$5:E$3360,1,'J Book Items Cons.'!F$5:F$3360,"Advance procurement / LLTM",'J Book Items Cons.'!S$5:S$3360,"",'J Book Items Cons.'!U$5:U$3360,"USN",'J Book Items Cons.'!W$5:W$3360,"Surface Combatants",'J Book Items Cons.'!R$5:R$3360,"&lt;&gt;")+SUMIFS('J Book Items Cons.'!N$5:N$3360,'J Book Items Cons.'!E$5:E$3360,1,'J Book Items Cons.'!F$5:F$3360,"Advance procurement / LLTM",'J Book Items Cons.'!S$5:S$3360,"",'J Book Items Cons.'!U$5:U$3360,"USN",'J Book Items Cons.'!W$5:W$3360,"Surface Combatants",'J Book Items Cons.'!R$5:R$3360,"",'J Book Items Cons.'!N$5:N$3360,"&lt;&gt;")+SUMIFS('J Book Items Cons.'!L$5:L$3360,'J Book Items Cons.'!E$5:E$3360,1,'J Book Items Cons.'!F$5:F$3360,"Advance procurement / LLTM",'J Book Items Cons.'!S$5:S$3360,"",'J Book Items Cons.'!U$5:U$3360,"USN",'J Book Items Cons.'!W$5:W$3360,"Surface Combatants",'J Book Items Cons.'!R$5:R$3360,"",'J Book Items Cons.'!N$5:N$3360,"")+SUMIFS('J Book Items Cons.'!R$5:R$3360,'J Book Items Cons.'!E$5:E$3360,1,'J Book Items Cons.'!F$5:F$3360,"Advance procurement / LLTM",'J Book Items Cons.'!S$5:S$3360,"[PARENT]",'J Book Items Cons.'!U$5:U$3360,"USN",'J Book Items Cons.'!W$5:W$3360,"Surface Combatants",'J Book Items Cons.'!R$5:R$3360,"&lt;&gt;")+SUMIFS('J Book Items Cons.'!N$5:N$3360,'J Book Items Cons.'!E$5:E$3360,1,'J Book Items Cons.'!F$5:F$3360,"Advance procurement / LLTM",'J Book Items Cons.'!S$5:S$3360,"[PARENT]",'J Book Items Cons.'!U$5:U$3360,"USN",'J Book Items Cons.'!W$5:W$3360,"Surface Combatants",'J Book Items Cons.'!R$5:R$3360,"",'J Book Items Cons.'!N$5:N$3360,"&lt;&gt;")+SUMIFS('J Book Items Cons.'!L$5:L$3360,'J Book Items Cons.'!E$5:E$3360,1,'J Book Items Cons.'!F$5:F$3360,"Advance procurement / LLTM",'J Book Items Cons.'!S$5:S$3360,"[PARENT]",'J Book Items Cons.'!U$5:U$3360,"USN",'J Book Items Cons.'!W$5:W$3360,"Surface Combatants",'J Book Items Cons.'!R$5:R$3360,"",'J Book Items Cons.'!N$5:N$3360,""))/B16)</f>
        <v>0.12879909490300029</v>
      </c>
      <c r="C9" s="38">
        <f>IF(C16=0,0,(SUMIFS('J Book Items Cons.'!R$5:R$3360,'J Book Items Cons.'!E$5:E$3360,1,'J Book Items Cons.'!F$5:F$3360,"Advance procurement / LLTM",'J Book Items Cons.'!S$5:S$3360,"",'J Book Items Cons.'!U$5:U$3360,"USN",'J Book Items Cons.'!W$5:W$3360,"Amphibious Warfare Ships",'J Book Items Cons.'!R$5:R$3360,"&lt;&gt;")+SUMIFS('J Book Items Cons.'!N$5:N$3360,'J Book Items Cons.'!E$5:E$3360,1,'J Book Items Cons.'!F$5:F$3360,"Advance procurement / LLTM",'J Book Items Cons.'!S$5:S$3360,"",'J Book Items Cons.'!U$5:U$3360,"USN",'J Book Items Cons.'!W$5:W$3360,"Amphibious Warfare Ships",'J Book Items Cons.'!R$5:R$3360,"",'J Book Items Cons.'!N$5:N$3360,"&lt;&gt;")+SUMIFS('J Book Items Cons.'!L$5:L$3360,'J Book Items Cons.'!E$5:E$3360,1,'J Book Items Cons.'!F$5:F$3360,"Advance procurement / LLTM",'J Book Items Cons.'!S$5:S$3360,"",'J Book Items Cons.'!U$5:U$3360,"USN",'J Book Items Cons.'!W$5:W$3360,"Amphibious Warfare Ships",'J Book Items Cons.'!R$5:R$3360,"",'J Book Items Cons.'!N$5:N$3360,"")+SUMIFS('J Book Items Cons.'!R$5:R$3360,'J Book Items Cons.'!E$5:E$3360,1,'J Book Items Cons.'!F$5:F$3360,"Advance procurement / LLTM",'J Book Items Cons.'!S$5:S$3360,"[PARENT]",'J Book Items Cons.'!U$5:U$3360,"USN",'J Book Items Cons.'!W$5:W$3360,"Amphibious Warfare Ships",'J Book Items Cons.'!R$5:R$3360,"&lt;&gt;")+SUMIFS('J Book Items Cons.'!N$5:N$3360,'J Book Items Cons.'!E$5:E$3360,1,'J Book Items Cons.'!F$5:F$3360,"Advance procurement / LLTM",'J Book Items Cons.'!S$5:S$3360,"[PARENT]",'J Book Items Cons.'!U$5:U$3360,"USN",'J Book Items Cons.'!W$5:W$3360,"Amphibious Warfare Ships",'J Book Items Cons.'!R$5:R$3360,"",'J Book Items Cons.'!N$5:N$3360,"&lt;&gt;")+SUMIFS('J Book Items Cons.'!L$5:L$3360,'J Book Items Cons.'!E$5:E$3360,1,'J Book Items Cons.'!F$5:F$3360,"Advance procurement / LLTM",'J Book Items Cons.'!S$5:S$3360,"[PARENT]",'J Book Items Cons.'!U$5:U$3360,"USN",'J Book Items Cons.'!W$5:W$3360,"Amphibious Warfare Ships",'J Book Items Cons.'!R$5:R$3360,"",'J Book Items Cons.'!N$5:N$3360,""))/C16)</f>
        <v>8.2951680193823388E-2</v>
      </c>
      <c r="D9" s="38">
        <f>IF(D16=0,0,(SUMIFS('J Book Items Cons.'!R$5:R$3360,'J Book Items Cons.'!E$5:E$3360,1,'J Book Items Cons.'!F$5:F$3360,"Advance procurement / LLTM",'J Book Items Cons.'!S$5:S$3360,"",'J Book Items Cons.'!U$5:U$3360,"USN",'J Book Items Cons.'!W$5:W$3360,"Expeditionary &amp; Seabasing Ships",'J Book Items Cons.'!R$5:R$3360,"&lt;&gt;")+SUMIFS('J Book Items Cons.'!N$5:N$3360,'J Book Items Cons.'!E$5:E$3360,1,'J Book Items Cons.'!F$5:F$3360,"Advance procurement / LLTM",'J Book Items Cons.'!S$5:S$3360,"",'J Book Items Cons.'!U$5:U$3360,"USN",'J Book Items Cons.'!W$5:W$3360,"Expeditionary &amp; Seabasing Ships",'J Book Items Cons.'!R$5:R$3360,"",'J Book Items Cons.'!N$5:N$3360,"&lt;&gt;")+SUMIFS('J Book Items Cons.'!L$5:L$3360,'J Book Items Cons.'!E$5:E$3360,1,'J Book Items Cons.'!F$5:F$3360,"Advance procurement / LLTM",'J Book Items Cons.'!S$5:S$3360,"",'J Book Items Cons.'!U$5:U$3360,"USN",'J Book Items Cons.'!W$5:W$3360,"Expeditionary &amp; Seabasing Ships",'J Book Items Cons.'!R$5:R$3360,"",'J Book Items Cons.'!N$5:N$3360,"")+SUMIFS('J Book Items Cons.'!R$5:R$3360,'J Book Items Cons.'!E$5:E$3360,1,'J Book Items Cons.'!F$5:F$3360,"Advance procurement / LLTM",'J Book Items Cons.'!S$5:S$3360,"[PARENT]",'J Book Items Cons.'!U$5:U$3360,"USN",'J Book Items Cons.'!W$5:W$3360,"Expeditionary &amp; Seabasing Ships",'J Book Items Cons.'!R$5:R$3360,"&lt;&gt;")+SUMIFS('J Book Items Cons.'!N$5:N$3360,'J Book Items Cons.'!E$5:E$3360,1,'J Book Items Cons.'!F$5:F$3360,"Advance procurement / LLTM",'J Book Items Cons.'!S$5:S$3360,"[PARENT]",'J Book Items Cons.'!U$5:U$3360,"USN",'J Book Items Cons.'!W$5:W$3360,"Expeditionary &amp; Seabasing Ships",'J Book Items Cons.'!R$5:R$3360,"",'J Book Items Cons.'!N$5:N$3360,"&lt;&gt;")+SUMIFS('J Book Items Cons.'!L$5:L$3360,'J Book Items Cons.'!E$5:E$3360,1,'J Book Items Cons.'!F$5:F$3360,"Advance procurement / LLTM",'J Book Items Cons.'!S$5:S$3360,"[PARENT]",'J Book Items Cons.'!U$5:U$3360,"USN",'J Book Items Cons.'!W$5:W$3360,"Expeditionary &amp; Seabasing Ships",'J Book Items Cons.'!R$5:R$3360,"",'J Book Items Cons.'!N$5:N$3360,""))/D16)</f>
        <v>0</v>
      </c>
      <c r="E9" s="38">
        <f>IF(E16=0,0,(SUMIFS('J Book Items Cons.'!R$5:R$3360,'J Book Items Cons.'!E$5:E$3360,1,'J Book Items Cons.'!F$5:F$3360,"Advance procurement / LLTM",'J Book Items Cons.'!S$5:S$3360,"",'J Book Items Cons.'!U$5:U$3360,"MSC",'J Book Items Cons.'!W$5:W$3360,"Combat Logistics Ships",'J Book Items Cons.'!R$5:R$3360,"&lt;&gt;")+SUMIFS('J Book Items Cons.'!N$5:N$3360,'J Book Items Cons.'!E$5:E$3360,1,'J Book Items Cons.'!F$5:F$3360,"Advance procurement / LLTM",'J Book Items Cons.'!S$5:S$3360,"",'J Book Items Cons.'!U$5:U$3360,"MSC",'J Book Items Cons.'!W$5:W$3360,"Combat Logistics Ships",'J Book Items Cons.'!R$5:R$3360,"",'J Book Items Cons.'!N$5:N$3360,"&lt;&gt;")+SUMIFS('J Book Items Cons.'!L$5:L$3360,'J Book Items Cons.'!E$5:E$3360,1,'J Book Items Cons.'!F$5:F$3360,"Advance procurement / LLTM",'J Book Items Cons.'!S$5:S$3360,"",'J Book Items Cons.'!U$5:U$3360,"MSC",'J Book Items Cons.'!W$5:W$3360,"Combat Logistics Ships",'J Book Items Cons.'!R$5:R$3360,"",'J Book Items Cons.'!N$5:N$3360,"")+SUMIFS('J Book Items Cons.'!R$5:R$3360,'J Book Items Cons.'!E$5:E$3360,1,'J Book Items Cons.'!F$5:F$3360,"Advance procurement / LLTM",'J Book Items Cons.'!S$5:S$3360,"[PARENT]",'J Book Items Cons.'!U$5:U$3360,"MSC",'J Book Items Cons.'!W$5:W$3360,"Combat Logistics Ships",'J Book Items Cons.'!R$5:R$3360,"&lt;&gt;")+SUMIFS('J Book Items Cons.'!N$5:N$3360,'J Book Items Cons.'!E$5:E$3360,1,'J Book Items Cons.'!F$5:F$3360,"Advance procurement / LLTM",'J Book Items Cons.'!S$5:S$3360,"[PARENT]",'J Book Items Cons.'!U$5:U$3360,"MSC",'J Book Items Cons.'!W$5:W$3360,"Combat Logistics Ships",'J Book Items Cons.'!R$5:R$3360,"",'J Book Items Cons.'!N$5:N$3360,"&lt;&gt;")+SUMIFS('J Book Items Cons.'!L$5:L$3360,'J Book Items Cons.'!E$5:E$3360,1,'J Book Items Cons.'!F$5:F$3360,"Advance procurement / LLTM",'J Book Items Cons.'!S$5:S$3360,"[PARENT]",'J Book Items Cons.'!U$5:U$3360,"MSC",'J Book Items Cons.'!W$5:W$3360,"Combat Logistics Ships",'J Book Items Cons.'!R$5:R$3360,"",'J Book Items Cons.'!N$5:N$3360,""))/E16)</f>
        <v>0</v>
      </c>
      <c r="F9" s="38"/>
      <c r="G9" s="38">
        <f>IF(G16=0,0,(SUMIFS('J Book Items Cons.'!R$5:R$3360,'J Book Items Cons.'!E$5:E$3360,1,'J Book Items Cons.'!F$5:F$3360,"Advance procurement / LLTM",'J Book Items Cons.'!S$5:S$3360,"",'J Book Items Cons.'!U$5:U$3360,"USN",'J Book Items Cons.'!W$5:W$3360,"Amphibious Warfare Craft",'J Book Items Cons.'!R$5:R$3360,"&lt;&gt;")+SUMIFS('J Book Items Cons.'!N$5:N$3360,'J Book Items Cons.'!E$5:E$3360,1,'J Book Items Cons.'!F$5:F$3360,"Advance procurement / LLTM",'J Book Items Cons.'!S$5:S$3360,"",'J Book Items Cons.'!U$5:U$3360,"USN",'J Book Items Cons.'!W$5:W$3360,"Amphibious Warfare Craft",'J Book Items Cons.'!R$5:R$3360,"",'J Book Items Cons.'!N$5:N$3360,"&lt;&gt;")+SUMIFS('J Book Items Cons.'!L$5:L$3360,'J Book Items Cons.'!E$5:E$3360,1,'J Book Items Cons.'!F$5:F$3360,"Advance procurement / LLTM",'J Book Items Cons.'!S$5:S$3360,"",'J Book Items Cons.'!U$5:U$3360,"USN",'J Book Items Cons.'!W$5:W$3360,"Amphibious Warfare Craft",'J Book Items Cons.'!R$5:R$3360,"",'J Book Items Cons.'!N$5:N$3360,"")+SUMIFS('J Book Items Cons.'!R$5:R$3360,'J Book Items Cons.'!E$5:E$3360,1,'J Book Items Cons.'!F$5:F$3360,"Advance procurement / LLTM",'J Book Items Cons.'!S$5:S$3360,"[PARENT]",'J Book Items Cons.'!U$5:U$3360,"USN",'J Book Items Cons.'!W$5:W$3360,"Amphibious Warfare Craft",'J Book Items Cons.'!R$5:R$3360,"&lt;&gt;")+SUMIFS('J Book Items Cons.'!N$5:N$3360,'J Book Items Cons.'!E$5:E$3360,1,'J Book Items Cons.'!F$5:F$3360,"Advance procurement / LLTM",'J Book Items Cons.'!S$5:S$3360,"[PARENT]",'J Book Items Cons.'!U$5:U$3360,"USN",'J Book Items Cons.'!W$5:W$3360,"Amphibious Warfare Craft",'J Book Items Cons.'!R$5:R$3360,"",'J Book Items Cons.'!N$5:N$3360,"&lt;&gt;")+SUMIFS('J Book Items Cons.'!L$5:L$3360,'J Book Items Cons.'!E$5:E$3360,1,'J Book Items Cons.'!F$5:F$3360,"Advance procurement / LLTM",'J Book Items Cons.'!S$5:S$3360,"[PARENT]",'J Book Items Cons.'!U$5:U$3360,"USN",'J Book Items Cons.'!W$5:W$3360,"Amphibious Warfare Craft",'J Book Items Cons.'!R$5:R$3360,"",'J Book Items Cons.'!N$5:N$3360,""))/G16)</f>
        <v>0</v>
      </c>
      <c r="H9" s="38">
        <f>IF(H16=0,0,(SUMIFS('J Book Items Cons.'!R$5:R$3360,'J Book Items Cons.'!E$5:E$3360,1,'J Book Items Cons.'!F$5:F$3360,"Advance procurement / LLTM",'J Book Items Cons.'!S$5:S$3360,"",'J Book Items Cons.'!U$5:U$3360,"MSC",'J Book Items Cons.'!W$5:W$3360,"Cargo &amp; Vehicle Cargo Ships",'J Book Items Cons.'!R$5:R$3360,"&lt;&gt;")+SUMIFS('J Book Items Cons.'!N$5:N$3360,'J Book Items Cons.'!E$5:E$3360,1,'J Book Items Cons.'!F$5:F$3360,"Advance procurement / LLTM",'J Book Items Cons.'!S$5:S$3360,"",'J Book Items Cons.'!U$5:U$3360,"MSC",'J Book Items Cons.'!W$5:W$3360,"Cargo &amp; Vehicle Cargo Ships",'J Book Items Cons.'!R$5:R$3360,"",'J Book Items Cons.'!N$5:N$3360,"&lt;&gt;")+SUMIFS('J Book Items Cons.'!L$5:L$3360,'J Book Items Cons.'!E$5:E$3360,1,'J Book Items Cons.'!F$5:F$3360,"Advance procurement / LLTM",'J Book Items Cons.'!S$5:S$3360,"",'J Book Items Cons.'!U$5:U$3360,"MSC",'J Book Items Cons.'!W$5:W$3360,"Cargo &amp; Vehicle Cargo Ships",'J Book Items Cons.'!R$5:R$3360,"",'J Book Items Cons.'!N$5:N$3360,"")+SUMIFS('J Book Items Cons.'!R$5:R$3360,'J Book Items Cons.'!E$5:E$3360,1,'J Book Items Cons.'!F$5:F$3360,"Advance procurement / LLTM",'J Book Items Cons.'!S$5:S$3360,"[PARENT]",'J Book Items Cons.'!U$5:U$3360,"MSC",'J Book Items Cons.'!W$5:W$3360,"Cargo &amp; Vehicle Cargo Ships",'J Book Items Cons.'!R$5:R$3360,"&lt;&gt;")+SUMIFS('J Book Items Cons.'!N$5:N$3360,'J Book Items Cons.'!E$5:E$3360,1,'J Book Items Cons.'!F$5:F$3360,"Advance procurement / LLTM",'J Book Items Cons.'!S$5:S$3360,"[PARENT]",'J Book Items Cons.'!U$5:U$3360,"MSC",'J Book Items Cons.'!W$5:W$3360,"Cargo &amp; Vehicle Cargo Ships",'J Book Items Cons.'!R$5:R$3360,"",'J Book Items Cons.'!N$5:N$3360,"&lt;&gt;")+SUMIFS('J Book Items Cons.'!L$5:L$3360,'J Book Items Cons.'!E$5:E$3360,1,'J Book Items Cons.'!F$5:F$3360,"Advance procurement / LLTM",'J Book Items Cons.'!S$5:S$3360,"[PARENT]",'J Book Items Cons.'!U$5:U$3360,"MSC",'J Book Items Cons.'!W$5:W$3360,"Cargo &amp; Vehicle Cargo Ships",'J Book Items Cons.'!R$5:R$3360,"",'J Book Items Cons.'!N$5:N$3360,""))/H16)</f>
        <v>0</v>
      </c>
      <c r="I9" s="38">
        <f>IF(I16=0,0,(SUMIFS('J Book Items Cons.'!R$5:R$3360,'J Book Items Cons.'!E$5:E$3360,1,'J Book Items Cons.'!F$5:F$3360,"Advance procurement / LLTM",'J Book Items Cons.'!S$5:S$3360,"",'J Book Items Cons.'!U$5:U$3360,"MSC",'J Book Items Cons.'!W$5:W$3360,"Surveillance Ships",'J Book Items Cons.'!R$5:R$3360,"&lt;&gt;")+SUMIFS('J Book Items Cons.'!N$5:N$3360,'J Book Items Cons.'!E$5:E$3360,1,'J Book Items Cons.'!F$5:F$3360,"Advance procurement / LLTM",'J Book Items Cons.'!S$5:S$3360,"",'J Book Items Cons.'!U$5:U$3360,"MSC",'J Book Items Cons.'!W$5:W$3360,"Surveillance Ships",'J Book Items Cons.'!R$5:R$3360,"",'J Book Items Cons.'!N$5:N$3360,"&lt;&gt;")+SUMIFS('J Book Items Cons.'!L$5:L$3360,'J Book Items Cons.'!E$5:E$3360,1,'J Book Items Cons.'!F$5:F$3360,"Advance procurement / LLTM",'J Book Items Cons.'!S$5:S$3360,"",'J Book Items Cons.'!U$5:U$3360,"MSC",'J Book Items Cons.'!W$5:W$3360,"Surveillance Ships",'J Book Items Cons.'!R$5:R$3360,"",'J Book Items Cons.'!N$5:N$3360,"")+SUMIFS('J Book Items Cons.'!R$5:R$3360,'J Book Items Cons.'!E$5:E$3360,1,'J Book Items Cons.'!F$5:F$3360,"Advance procurement / LLTM",'J Book Items Cons.'!S$5:S$3360,"[PARENT]",'J Book Items Cons.'!U$5:U$3360,"MSC",'J Book Items Cons.'!W$5:W$3360,"Surveillance Ships",'J Book Items Cons.'!R$5:R$3360,"&lt;&gt;")+SUMIFS('J Book Items Cons.'!N$5:N$3360,'J Book Items Cons.'!E$5:E$3360,1,'J Book Items Cons.'!F$5:F$3360,"Advance procurement / LLTM",'J Book Items Cons.'!S$5:S$3360,"[PARENT]",'J Book Items Cons.'!U$5:U$3360,"MSC",'J Book Items Cons.'!W$5:W$3360,"Surveillance Ships",'J Book Items Cons.'!R$5:R$3360,"",'J Book Items Cons.'!N$5:N$3360,"&lt;&gt;")+SUMIFS('J Book Items Cons.'!L$5:L$3360,'J Book Items Cons.'!E$5:E$3360,1,'J Book Items Cons.'!F$5:F$3360,"Advance procurement / LLTM",'J Book Items Cons.'!S$5:S$3360,"[PARENT]",'J Book Items Cons.'!U$5:U$3360,"MSC",'J Book Items Cons.'!W$5:W$3360,"Surveillance Ships",'J Book Items Cons.'!R$5:R$3360,"",'J Book Items Cons.'!N$5:N$3360,""))/I16)</f>
        <v>0</v>
      </c>
      <c r="J9" s="38">
        <f>IF(J16=0,0,(SUMIFS('J Book Items Cons.'!R$5:R$3360,'J Book Items Cons.'!E$5:E$3360,1,'J Book Items Cons.'!F$5:F$3360,"Advance procurement / LLTM",'J Book Items Cons.'!S$5:S$3360,"",'J Book Items Cons.'!U$5:U$3360,"USN",'J Book Items Cons.'!W$5:W$3360,"Command Ships",'J Book Items Cons.'!R$5:R$3360,"&lt;&gt;")+SUMIFS('J Book Items Cons.'!N$5:N$3360,'J Book Items Cons.'!E$5:E$3360,1,'J Book Items Cons.'!F$5:F$3360,"Advance procurement / LLTM",'J Book Items Cons.'!S$5:S$3360,"",'J Book Items Cons.'!U$5:U$3360,"USN",'J Book Items Cons.'!W$5:W$3360,"Command Ships",'J Book Items Cons.'!R$5:R$3360,"",'J Book Items Cons.'!N$5:N$3360,"&lt;&gt;")+SUMIFS('J Book Items Cons.'!L$5:L$3360,'J Book Items Cons.'!E$5:E$3360,1,'J Book Items Cons.'!F$5:F$3360,"Advance procurement / LLTM",'J Book Items Cons.'!S$5:S$3360,"",'J Book Items Cons.'!U$5:U$3360,"USN",'J Book Items Cons.'!W$5:W$3360,"Command Ships",'J Book Items Cons.'!R$5:R$3360,"",'J Book Items Cons.'!N$5:N$3360,"")+SUMIFS('J Book Items Cons.'!R$5:R$3360,'J Book Items Cons.'!E$5:E$3360,1,'J Book Items Cons.'!F$5:F$3360,"Advance procurement / LLTM",'J Book Items Cons.'!S$5:S$3360,"[PARENT]",'J Book Items Cons.'!U$5:U$3360,"USN",'J Book Items Cons.'!W$5:W$3360,"Command Ships",'J Book Items Cons.'!R$5:R$3360,"&lt;&gt;")+SUMIFS('J Book Items Cons.'!N$5:N$3360,'J Book Items Cons.'!E$5:E$3360,1,'J Book Items Cons.'!F$5:F$3360,"Advance procurement / LLTM",'J Book Items Cons.'!S$5:S$3360,"[PARENT]",'J Book Items Cons.'!U$5:U$3360,"USN",'J Book Items Cons.'!W$5:W$3360,"Command Ships",'J Book Items Cons.'!R$5:R$3360,"",'J Book Items Cons.'!N$5:N$3360,"&lt;&gt;")+SUMIFS('J Book Items Cons.'!L$5:L$3360,'J Book Items Cons.'!E$5:E$3360,1,'J Book Items Cons.'!F$5:F$3360,"Advance procurement / LLTM",'J Book Items Cons.'!S$5:S$3360,"[PARENT]",'J Book Items Cons.'!U$5:U$3360,"USN",'J Book Items Cons.'!W$5:W$3360,"Command Ships",'J Book Items Cons.'!R$5:R$3360,"",'J Book Items Cons.'!N$5:N$3360,""))/J16)</f>
        <v>0</v>
      </c>
      <c r="K9" s="39">
        <f>IF(K16=0,0,(SUMIFS('J Book Items Cons.'!R$5:R$3360,'J Book Items Cons.'!E$5:E$3360,1,'J Book Items Cons.'!F$5:F$3360,"Advance procurement / LLTM",'J Book Items Cons.'!S$5:S$3360,"",'J Book Items Cons.'!U$5:U$3360,"USN",'J Book Items Cons.'!W$5:W$3360,"Mine Warfare",'J Book Items Cons.'!R$5:R$3360,"&lt;&gt;")+SUMIFS('J Book Items Cons.'!N$5:N$3360,'J Book Items Cons.'!E$5:E$3360,1,'J Book Items Cons.'!F$5:F$3360,"Advance procurement / LLTM",'J Book Items Cons.'!S$5:S$3360,"",'J Book Items Cons.'!U$5:U$3360,"USN",'J Book Items Cons.'!W$5:W$3360,"Mine Warfare",'J Book Items Cons.'!R$5:R$3360,"",'J Book Items Cons.'!N$5:N$3360,"&lt;&gt;")+SUMIFS('J Book Items Cons.'!L$5:L$3360,'J Book Items Cons.'!E$5:E$3360,1,'J Book Items Cons.'!F$5:F$3360,"Advance procurement / LLTM",'J Book Items Cons.'!S$5:S$3360,"",'J Book Items Cons.'!U$5:U$3360,"USN",'J Book Items Cons.'!W$5:W$3360,"Mine Warfare",'J Book Items Cons.'!R$5:R$3360,"",'J Book Items Cons.'!N$5:N$3360,"")+SUMIFS('J Book Items Cons.'!R$5:R$3360,'J Book Items Cons.'!E$5:E$3360,1,'J Book Items Cons.'!F$5:F$3360,"Advance procurement / LLTM",'J Book Items Cons.'!S$5:S$3360,"[PARENT]",'J Book Items Cons.'!U$5:U$3360,"USN",'J Book Items Cons.'!W$5:W$3360,"Mine Warfare",'J Book Items Cons.'!R$5:R$3360,"&lt;&gt;")+SUMIFS('J Book Items Cons.'!N$5:N$3360,'J Book Items Cons.'!E$5:E$3360,1,'J Book Items Cons.'!F$5:F$3360,"Advance procurement / LLTM",'J Book Items Cons.'!S$5:S$3360,"[PARENT]",'J Book Items Cons.'!U$5:U$3360,"USN",'J Book Items Cons.'!W$5:W$3360,"Mine Warfare",'J Book Items Cons.'!R$5:R$3360,"",'J Book Items Cons.'!N$5:N$3360,"&lt;&gt;")+SUMIFS('J Book Items Cons.'!L$5:L$3360,'J Book Items Cons.'!E$5:E$3360,1,'J Book Items Cons.'!F$5:F$3360,"Advance procurement / LLTM",'J Book Items Cons.'!S$5:S$3360,"[PARENT]",'J Book Items Cons.'!U$5:U$3360,"USN",'J Book Items Cons.'!W$5:W$3360,"Mine Warfare",'J Book Items Cons.'!R$5:R$3360,"",'J Book Items Cons.'!N$5:N$3360,""))/K16)</f>
        <v>0</v>
      </c>
      <c r="L9" s="37"/>
      <c r="M9" s="38">
        <f>IF(M16=0,0,(SUMIFS('J Book Items Cons.'!R$5:R$3360,'J Book Items Cons.'!E$5:E$3360,1,'J Book Items Cons.'!F$5:F$3360,"Advance procurement / LLTM",'J Book Items Cons.'!S$5:S$3360,"",'J Book Items Cons.'!U$5:U$3360,"USCG",'J Book Items Cons.'!W$5:W$3360,"Fast Response Cutters",'J Book Items Cons.'!R$5:R$3360,"&lt;&gt;")+SUMIFS('J Book Items Cons.'!N$5:N$3360,'J Book Items Cons.'!E$5:E$3360,1,'J Book Items Cons.'!F$5:F$3360,"Advance procurement / LLTM",'J Book Items Cons.'!S$5:S$3360,"",'J Book Items Cons.'!U$5:U$3360,"USCG",'J Book Items Cons.'!W$5:W$3360,"Fast Response Cutters",'J Book Items Cons.'!R$5:R$3360,"",'J Book Items Cons.'!N$5:N$3360,"&lt;&gt;")+SUMIFS('J Book Items Cons.'!L$5:L$3360,'J Book Items Cons.'!E$5:E$3360,1,'J Book Items Cons.'!F$5:F$3360,"Advance procurement / LLTM",'J Book Items Cons.'!S$5:S$3360,"",'J Book Items Cons.'!U$5:U$3360,"USCG",'J Book Items Cons.'!W$5:W$3360,"Fast Response Cutters",'J Book Items Cons.'!R$5:R$3360,"",'J Book Items Cons.'!N$5:N$3360,"")+SUMIFS('J Book Items Cons.'!R$5:R$3360,'J Book Items Cons.'!E$5:E$3360,1,'J Book Items Cons.'!F$5:F$3360,"Advance procurement / LLTM",'J Book Items Cons.'!S$5:S$3360,"[PARENT]",'J Book Items Cons.'!U$5:U$3360,"USCG",'J Book Items Cons.'!W$5:W$3360,"Fast Response Cutters",'J Book Items Cons.'!R$5:R$3360,"&lt;&gt;")+SUMIFS('J Book Items Cons.'!N$5:N$3360,'J Book Items Cons.'!E$5:E$3360,1,'J Book Items Cons.'!F$5:F$3360,"Advance procurement / LLTM",'J Book Items Cons.'!S$5:S$3360,"[PARENT]",'J Book Items Cons.'!U$5:U$3360,"USCG",'J Book Items Cons.'!W$5:W$3360,"Fast Response Cutters",'J Book Items Cons.'!R$5:R$3360,"",'J Book Items Cons.'!N$5:N$3360,"&lt;&gt;")+SUMIFS('J Book Items Cons.'!L$5:L$3360,'J Book Items Cons.'!E$5:E$3360,1,'J Book Items Cons.'!F$5:F$3360,"Advance procurement / LLTM",'J Book Items Cons.'!S$5:S$3360,"[PARENT]",'J Book Items Cons.'!U$5:U$3360,"USCG",'J Book Items Cons.'!W$5:W$3360,"Fast Response Cutters",'J Book Items Cons.'!R$5:R$3360,"",'J Book Items Cons.'!N$5:N$3360,""))/M16)</f>
        <v>0</v>
      </c>
      <c r="N9" s="38"/>
      <c r="O9" s="38"/>
      <c r="P9" s="39">
        <f>IF(P16=0,0,(SUMIFS('J Book Items Cons.'!R$5:R$3360,'J Book Items Cons.'!E$5:E$3360,1,'J Book Items Cons.'!F$5:F$3360,"Advance procurement / LLTM",'J Book Items Cons.'!S$5:S$3360,"",'J Book Items Cons.'!U$5:U$3360,"USCG",'J Book Items Cons.'!W$5:W$3360,"National Security Cutters",'J Book Items Cons.'!R$5:R$3360,"&lt;&gt;")+SUMIFS('J Book Items Cons.'!N$5:N$3360,'J Book Items Cons.'!E$5:E$3360,1,'J Book Items Cons.'!F$5:F$3360,"Advance procurement / LLTM",'J Book Items Cons.'!S$5:S$3360,"",'J Book Items Cons.'!U$5:U$3360,"USCG",'J Book Items Cons.'!W$5:W$3360,"National Security Cutters",'J Book Items Cons.'!R$5:R$3360,"",'J Book Items Cons.'!N$5:N$3360,"&lt;&gt;")+SUMIFS('J Book Items Cons.'!L$5:L$3360,'J Book Items Cons.'!E$5:E$3360,1,'J Book Items Cons.'!F$5:F$3360,"Advance procurement / LLTM",'J Book Items Cons.'!S$5:S$3360,"",'J Book Items Cons.'!U$5:U$3360,"USCG",'J Book Items Cons.'!W$5:W$3360,"National Security Cutters",'J Book Items Cons.'!R$5:R$3360,"",'J Book Items Cons.'!N$5:N$3360,"")+SUMIFS('J Book Items Cons.'!R$5:R$3360,'J Book Items Cons.'!E$5:E$3360,1,'J Book Items Cons.'!F$5:F$3360,"Advance procurement / LLTM",'J Book Items Cons.'!S$5:S$3360,"[PARENT]",'J Book Items Cons.'!U$5:U$3360,"USCG",'J Book Items Cons.'!W$5:W$3360,"National Security Cutters",'J Book Items Cons.'!R$5:R$3360,"&lt;&gt;")+SUMIFS('J Book Items Cons.'!N$5:N$3360,'J Book Items Cons.'!E$5:E$3360,1,'J Book Items Cons.'!F$5:F$3360,"Advance procurement / LLTM",'J Book Items Cons.'!S$5:S$3360,"[PARENT]",'J Book Items Cons.'!U$5:U$3360,"USCG",'J Book Items Cons.'!W$5:W$3360,"National Security Cutters",'J Book Items Cons.'!R$5:R$3360,"",'J Book Items Cons.'!N$5:N$3360,"&lt;&gt;")+SUMIFS('J Book Items Cons.'!L$5:L$3360,'J Book Items Cons.'!E$5:E$3360,1,'J Book Items Cons.'!F$5:F$3360,"Advance procurement / LLTM",'J Book Items Cons.'!S$5:S$3360,"[PARENT]",'J Book Items Cons.'!U$5:U$3360,"USCG",'J Book Items Cons.'!W$5:W$3360,"National Security Cutters",'J Book Items Cons.'!R$5:R$3360,"",'J Book Items Cons.'!N$5:N$3360,""))/P16)</f>
        <v>0</v>
      </c>
      <c r="Q9" s="38">
        <f t="shared" si="0"/>
        <v>7.577662055132299E-2</v>
      </c>
      <c r="S9" s="4" t="s">
        <v>8850</v>
      </c>
      <c r="T9" s="25">
        <f>SUMIFS('J Book Items Cons.'!R$5:R$3360,'J Book Items Cons.'!E$5:E$3360,1,'J Book Items Cons.'!S$5:S$3360,"",'J Book Items Cons.'!X$5:X$3360,"SSN",'J Book Items Cons.'!R$5:R$3360,"&lt;&gt;",'J Book Items Cons.'!F$5:F$3360,"Advance procurement / LLTM")+SUMIFS('J Book Items Cons.'!N$5:N$3360,'J Book Items Cons.'!E$5:E$3360,1,'J Book Items Cons.'!S$5:S$3360,"",'J Book Items Cons.'!X$5:X$3360,"SSN",'J Book Items Cons.'!R$5:R$3360,"",'J Book Items Cons.'!F$5:F$3360,"Advance procurement / LLTM",'J Book Items Cons.'!N$5:N$3360,"&lt;&gt;")+SUMIFS('J Book Items Cons.'!L$5:L$3360,'J Book Items Cons.'!E$5:E$3360,1,'J Book Items Cons.'!S$5:S$3360,"",'J Book Items Cons.'!X$5:X$3360,"SSN",'J Book Items Cons.'!R$5:R$3360,"",'J Book Items Cons.'!F$5:F$3360,"Advance procurement / LLTM",'J Book Items Cons.'!N$5:N$3360,"")+SUMIFS('J Book Items Cons.'!R$5:R$3360,'J Book Items Cons.'!E$5:E$3360,1,'J Book Items Cons.'!S$5:S$3360,"[PARENT]",'J Book Items Cons.'!X$5:X$3360,"SSN",'J Book Items Cons.'!R$5:R$3360,"&lt;&gt;",'J Book Items Cons.'!F$5:F$3360,"Advance procurement / LLTM")+SUMIFS('J Book Items Cons.'!N$5:N$3360,'J Book Items Cons.'!E$5:E$3360,1,'J Book Items Cons.'!S$5:S$3360,"[PARENT]",'J Book Items Cons.'!X$5:X$3360,"SSN",'J Book Items Cons.'!R$5:R$3360,"",'J Book Items Cons.'!F$5:F$3360,"Advance procurement / LLTM",'J Book Items Cons.'!N$5:N$3360,"&lt;&gt;")+SUMIFS('J Book Items Cons.'!L$5:L$3360,'J Book Items Cons.'!E$5:E$3360,1,'J Book Items Cons.'!S$5:S$3360,"[PARENT]",'J Book Items Cons.'!X$5:X$3360,"SSN",'J Book Items Cons.'!R$5:R$3360,"",'J Book Items Cons.'!F$5:F$3360,"Advance procurement / LLTM",'J Book Items Cons.'!N$5:N$3360,"")</f>
        <v>3126816</v>
      </c>
      <c r="U9" s="14">
        <f>SUMIFS('J Book Items Cons.'!R$5:R$3360,'J Book Items Cons.'!E$5:E$3360,1,'J Book Items Cons.'!S$5:S$3360,"",'J Book Items Cons.'!X$5:X$3360,"SSBN",'J Book Items Cons.'!R$5:R$3360,"&lt;&gt;",'J Book Items Cons.'!F$5:F$3360,"Advance procurement / LLTM")+SUMIFS('J Book Items Cons.'!N$5:N$3360,'J Book Items Cons.'!E$5:E$3360,1,'J Book Items Cons.'!S$5:S$3360,"",'J Book Items Cons.'!X$5:X$3360,"SSBN",'J Book Items Cons.'!R$5:R$3360,"",'J Book Items Cons.'!F$5:F$3360,"Advance procurement / LLTM",'J Book Items Cons.'!N$5:N$3360,"&lt;&gt;")+SUMIFS('J Book Items Cons.'!L$5:L$3360,'J Book Items Cons.'!E$5:E$3360,1,'J Book Items Cons.'!S$5:S$3360,"",'J Book Items Cons.'!X$5:X$3360,"SSBN",'J Book Items Cons.'!R$5:R$3360,"",'J Book Items Cons.'!F$5:F$3360,"Advance procurement / LLTM",'J Book Items Cons.'!N$5:N$3360,"")+SUMIFS('J Book Items Cons.'!R$5:R$3360,'J Book Items Cons.'!E$5:E$3360,1,'J Book Items Cons.'!S$5:S$3360,"[PARENT]",'J Book Items Cons.'!X$5:X$3360,"SSBN",'J Book Items Cons.'!R$5:R$3360,"&lt;&gt;",'J Book Items Cons.'!F$5:F$3360,"Advance procurement / LLTM")+SUMIFS('J Book Items Cons.'!N$5:N$3360,'J Book Items Cons.'!E$5:E$3360,1,'J Book Items Cons.'!S$5:S$3360,"[PARENT]",'J Book Items Cons.'!X$5:X$3360,"SSBN",'J Book Items Cons.'!R$5:R$3360,"",'J Book Items Cons.'!F$5:F$3360,"Advance procurement / LLTM",'J Book Items Cons.'!N$5:N$3360,"&lt;&gt;")+SUMIFS('J Book Items Cons.'!L$5:L$3360,'J Book Items Cons.'!E$5:E$3360,1,'J Book Items Cons.'!S$5:S$3360,"[PARENT]",'J Book Items Cons.'!X$5:X$3360,"SSBN",'J Book Items Cons.'!R$5:R$3360,"",'J Book Items Cons.'!F$5:F$3360,"Advance procurement / LLTM",'J Book Items Cons.'!N$5:N$3360,"")</f>
        <v>5350766</v>
      </c>
      <c r="V9" s="14">
        <f>SUMIFS('J Book Items Cons.'!R$5:R$3360,'J Book Items Cons.'!E$5:E$3360,1,'J Book Items Cons.'!S$5:S$3360,"",'J Book Items Cons.'!X$5:X$3360,"DDG",'J Book Items Cons.'!R$5:R$3360,"&lt;&gt;",'J Book Items Cons.'!F$5:F$3360,"Advance procurement / LLTM")+SUMIFS('J Book Items Cons.'!N$5:N$3360,'J Book Items Cons.'!E$5:E$3360,1,'J Book Items Cons.'!S$5:S$3360,"",'J Book Items Cons.'!X$5:X$3360,"DDG",'J Book Items Cons.'!R$5:R$3360,"",'J Book Items Cons.'!F$5:F$3360,"Advance procurement / LLTM",'J Book Items Cons.'!N$5:N$3360,"&lt;&gt;")+SUMIFS('J Book Items Cons.'!L$5:L$3360,'J Book Items Cons.'!E$5:E$3360,1,'J Book Items Cons.'!S$5:S$3360,"",'J Book Items Cons.'!X$5:X$3360,"DDG",'J Book Items Cons.'!R$5:R$3360,"",'J Book Items Cons.'!F$5:F$3360,"Advance procurement / LLTM",'J Book Items Cons.'!N$5:N$3360,"")+SUMIFS('J Book Items Cons.'!R$5:R$3360,'J Book Items Cons.'!E$5:E$3360,1,'J Book Items Cons.'!S$5:S$3360,"[PARENT]",'J Book Items Cons.'!X$5:X$3360,"DDG",'J Book Items Cons.'!R$5:R$3360,"&lt;&gt;",'J Book Items Cons.'!F$5:F$3360,"Advance procurement / LLTM")+SUMIFS('J Book Items Cons.'!N$5:N$3360,'J Book Items Cons.'!E$5:E$3360,1,'J Book Items Cons.'!S$5:S$3360,"[PARENT]",'J Book Items Cons.'!X$5:X$3360,"DDG",'J Book Items Cons.'!R$5:R$3360,"",'J Book Items Cons.'!F$5:F$3360,"Advance procurement / LLTM",'J Book Items Cons.'!N$5:N$3360,"&lt;&gt;")+SUMIFS('J Book Items Cons.'!L$5:L$3360,'J Book Items Cons.'!E$5:E$3360,1,'J Book Items Cons.'!S$5:S$3360,"[PARENT]",'J Book Items Cons.'!X$5:X$3360,"DDG",'J Book Items Cons.'!R$5:R$3360,"",'J Book Items Cons.'!F$5:F$3360,"Advance procurement / LLTM",'J Book Items Cons.'!N$5:N$3360,"")</f>
        <v>1750000</v>
      </c>
      <c r="W9" s="14">
        <f>SUMIFS('J Book Items Cons.'!R$5:R$3360,'J Book Items Cons.'!E$5:E$3360,1,'J Book Items Cons.'!S$5:S$3360,"",'J Book Items Cons.'!X$5:X$3360,"LPD",'J Book Items Cons.'!R$5:R$3360,"&lt;&gt;",'J Book Items Cons.'!F$5:F$3360,"Advance procurement / LLTM")+SUMIFS('J Book Items Cons.'!N$5:N$3360,'J Book Items Cons.'!E$5:E$3360,1,'J Book Items Cons.'!S$5:S$3360,"",'J Book Items Cons.'!X$5:X$3360,"LPD",'J Book Items Cons.'!R$5:R$3360,"",'J Book Items Cons.'!F$5:F$3360,"Advance procurement / LLTM",'J Book Items Cons.'!N$5:N$3360,"&lt;&gt;")+SUMIFS('J Book Items Cons.'!L$5:L$3360,'J Book Items Cons.'!E$5:E$3360,1,'J Book Items Cons.'!S$5:S$3360,"",'J Book Items Cons.'!X$5:X$3360,"LPD",'J Book Items Cons.'!R$5:R$3360,"",'J Book Items Cons.'!F$5:F$3360,"Advance procurement / LLTM",'J Book Items Cons.'!N$5:N$3360,"")+SUMIFS('J Book Items Cons.'!R$5:R$3360,'J Book Items Cons.'!E$5:E$3360,1,'J Book Items Cons.'!S$5:S$3360,"[PARENT]",'J Book Items Cons.'!X$5:X$3360,"LPD",'J Book Items Cons.'!R$5:R$3360,"&lt;&gt;",'J Book Items Cons.'!F$5:F$3360,"Advance procurement / LLTM")+SUMIFS('J Book Items Cons.'!N$5:N$3360,'J Book Items Cons.'!E$5:E$3360,1,'J Book Items Cons.'!S$5:S$3360,"[PARENT]",'J Book Items Cons.'!X$5:X$3360,"LPD",'J Book Items Cons.'!R$5:R$3360,"",'J Book Items Cons.'!F$5:F$3360,"Advance procurement / LLTM",'J Book Items Cons.'!N$5:N$3360,"&lt;&gt;")+SUMIFS('J Book Items Cons.'!L$5:L$3360,'J Book Items Cons.'!E$5:E$3360,1,'J Book Items Cons.'!S$5:S$3360,"[PARENT]",'J Book Items Cons.'!X$5:X$3360,"LPD",'J Book Items Cons.'!R$5:R$3360,"",'J Book Items Cons.'!F$5:F$3360,"Advance procurement / LLTM",'J Book Items Cons.'!N$5:N$3360,"")</f>
        <v>275000</v>
      </c>
      <c r="X9" s="14">
        <f>SUMIFS('J Book Items Cons.'!R$5:R$3360,'J Book Items Cons.'!E$5:E$3360,1,'J Book Items Cons.'!S$5:S$3360,"",'J Book Items Cons.'!X$5:X$3360,"LCS",'J Book Items Cons.'!R$5:R$3360,"&lt;&gt;",'J Book Items Cons.'!F$5:F$3360,"Advance procurement / LLTM")+SUMIFS('J Book Items Cons.'!N$5:N$3360,'J Book Items Cons.'!E$5:E$3360,1,'J Book Items Cons.'!S$5:S$3360,"",'J Book Items Cons.'!X$5:X$3360,"LCS",'J Book Items Cons.'!R$5:R$3360,"",'J Book Items Cons.'!F$5:F$3360,"Advance procurement / LLTM",'J Book Items Cons.'!N$5:N$3360,"&lt;&gt;")+SUMIFS('J Book Items Cons.'!L$5:L$3360,'J Book Items Cons.'!E$5:E$3360,1,'J Book Items Cons.'!S$5:S$3360,"",'J Book Items Cons.'!X$5:X$3360,"LCS",'J Book Items Cons.'!R$5:R$3360,"",'J Book Items Cons.'!F$5:F$3360,"Advance procurement / LLTM",'J Book Items Cons.'!N$5:N$3360,"")+SUMIFS('J Book Items Cons.'!R$5:R$3360,'J Book Items Cons.'!E$5:E$3360,1,'J Book Items Cons.'!S$5:S$3360,"[PARENT]",'J Book Items Cons.'!X$5:X$3360,"LCS",'J Book Items Cons.'!R$5:R$3360,"&lt;&gt;",'J Book Items Cons.'!F$5:F$3360,"Advance procurement / LLTM")+SUMIFS('J Book Items Cons.'!N$5:N$3360,'J Book Items Cons.'!E$5:E$3360,1,'J Book Items Cons.'!S$5:S$3360,"[PARENT]",'J Book Items Cons.'!X$5:X$3360,"LCS",'J Book Items Cons.'!R$5:R$3360,"",'J Book Items Cons.'!F$5:F$3360,"Advance procurement / LLTM",'J Book Items Cons.'!N$5:N$3360,"&lt;&gt;")+SUMIFS('J Book Items Cons.'!L$5:L$3360,'J Book Items Cons.'!E$5:E$3360,1,'J Book Items Cons.'!S$5:S$3360,"[PARENT]",'J Book Items Cons.'!X$5:X$3360,"LCS",'J Book Items Cons.'!R$5:R$3360,"",'J Book Items Cons.'!F$5:F$3360,"Advance procurement / LLTM",'J Book Items Cons.'!N$5:N$3360,"")</f>
        <v>0</v>
      </c>
      <c r="Y9" s="14">
        <f>SUMIFS('J Book Items Cons.'!R$5:R$3360,'J Book Items Cons.'!E$5:E$3360,1,'J Book Items Cons.'!S$5:S$3360,"",'J Book Items Cons.'!X$5:X$3360,"LHD",'J Book Items Cons.'!R$5:R$3360,"&lt;&gt;",'J Book Items Cons.'!F$5:F$3360,"Advance procurement / LLTM")+SUMIFS('J Book Items Cons.'!N$5:N$3360,'J Book Items Cons.'!E$5:E$3360,1,'J Book Items Cons.'!S$5:S$3360,"",'J Book Items Cons.'!X$5:X$3360,"LHD",'J Book Items Cons.'!R$5:R$3360,"",'J Book Items Cons.'!F$5:F$3360,"Advance procurement / LLTM",'J Book Items Cons.'!N$5:N$3360,"&lt;&gt;")+SUMIFS('J Book Items Cons.'!L$5:L$3360,'J Book Items Cons.'!E$5:E$3360,1,'J Book Items Cons.'!S$5:S$3360,"",'J Book Items Cons.'!X$5:X$3360,"LHD",'J Book Items Cons.'!R$5:R$3360,"",'J Book Items Cons.'!F$5:F$3360,"Advance procurement / LLTM",'J Book Items Cons.'!N$5:N$3360,"")+SUMIFS('J Book Items Cons.'!R$5:R$3360,'J Book Items Cons.'!E$5:E$3360,1,'J Book Items Cons.'!S$5:S$3360,"[PARENT]",'J Book Items Cons.'!X$5:X$3360,"LHD",'J Book Items Cons.'!R$5:R$3360,"&lt;&gt;",'J Book Items Cons.'!F$5:F$3360,"Advance procurement / LLTM")+SUMIFS('J Book Items Cons.'!N$5:N$3360,'J Book Items Cons.'!E$5:E$3360,1,'J Book Items Cons.'!S$5:S$3360,"[PARENT]",'J Book Items Cons.'!X$5:X$3360,"LHD",'J Book Items Cons.'!R$5:R$3360,"",'J Book Items Cons.'!F$5:F$3360,"Advance procurement / LLTM",'J Book Items Cons.'!N$5:N$3360,"&lt;&gt;")+SUMIFS('J Book Items Cons.'!L$5:L$3360,'J Book Items Cons.'!E$5:E$3360,1,'J Book Items Cons.'!S$5:S$3360,"[PARENT]",'J Book Items Cons.'!X$5:X$3360,"LHD",'J Book Items Cons.'!R$5:R$3360,"",'J Book Items Cons.'!F$5:F$3360,"Advance procurement / LLTM",'J Book Items Cons.'!N$5:N$3360,"")</f>
        <v>0</v>
      </c>
      <c r="Z9" s="14">
        <f>SUMIFS('J Book Items Cons.'!R$5:R$3360,'J Book Items Cons.'!E$5:E$3360,1,'J Book Items Cons.'!S$5:S$3360,"",'J Book Items Cons.'!X$5:X$3360,"LHA",'J Book Items Cons.'!R$5:R$3360,"&lt;&gt;",'J Book Items Cons.'!F$5:F$3360,"Advance procurement / LLTM")+SUMIFS('J Book Items Cons.'!N$5:N$3360,'J Book Items Cons.'!E$5:E$3360,1,'J Book Items Cons.'!S$5:S$3360,"",'J Book Items Cons.'!X$5:X$3360,"LHA",'J Book Items Cons.'!R$5:R$3360,"",'J Book Items Cons.'!F$5:F$3360,"Advance procurement / LLTM",'J Book Items Cons.'!N$5:N$3360,"&lt;&gt;")+SUMIFS('J Book Items Cons.'!L$5:L$3360,'J Book Items Cons.'!E$5:E$3360,1,'J Book Items Cons.'!S$5:S$3360,"",'J Book Items Cons.'!X$5:X$3360,"LHA",'J Book Items Cons.'!R$5:R$3360,"",'J Book Items Cons.'!F$5:F$3360,"Advance procurement / LLTM",'J Book Items Cons.'!N$5:N$3360,"")+SUMIFS('J Book Items Cons.'!R$5:R$3360,'J Book Items Cons.'!E$5:E$3360,1,'J Book Items Cons.'!S$5:S$3360,"[PARENT]",'J Book Items Cons.'!X$5:X$3360,"LHA",'J Book Items Cons.'!R$5:R$3360,"&lt;&gt;",'J Book Items Cons.'!F$5:F$3360,"Advance procurement / LLTM")+SUMIFS('J Book Items Cons.'!N$5:N$3360,'J Book Items Cons.'!E$5:E$3360,1,'J Book Items Cons.'!S$5:S$3360,"[PARENT]",'J Book Items Cons.'!X$5:X$3360,"LHA",'J Book Items Cons.'!R$5:R$3360,"",'J Book Items Cons.'!F$5:F$3360,"Advance procurement / LLTM",'J Book Items Cons.'!N$5:N$3360,"&lt;&gt;")+SUMIFS('J Book Items Cons.'!L$5:L$3360,'J Book Items Cons.'!E$5:E$3360,1,'J Book Items Cons.'!S$5:S$3360,"[PARENT]",'J Book Items Cons.'!X$5:X$3360,"LHA",'J Book Items Cons.'!R$5:R$3360,"",'J Book Items Cons.'!F$5:F$3360,"Advance procurement / LLTM",'J Book Items Cons.'!N$5:N$3360,"")</f>
        <v>0</v>
      </c>
      <c r="AA9" s="14">
        <f>SUMIFS('J Book Items Cons.'!R$5:R$3360,'J Book Items Cons.'!E$5:E$3360,1,'J Book Items Cons.'!S$5:S$3360,"",'J Book Items Cons.'!X$5:X$3360,"SSGN",'J Book Items Cons.'!R$5:R$3360,"&lt;&gt;",'J Book Items Cons.'!F$5:F$3360,"Advance procurement / LLTM")+SUMIFS('J Book Items Cons.'!N$5:N$3360,'J Book Items Cons.'!E$5:E$3360,1,'J Book Items Cons.'!S$5:S$3360,"",'J Book Items Cons.'!X$5:X$3360,"SSGN",'J Book Items Cons.'!R$5:R$3360,"",'J Book Items Cons.'!F$5:F$3360,"Advance procurement / LLTM",'J Book Items Cons.'!N$5:N$3360,"&lt;&gt;")+SUMIFS('J Book Items Cons.'!L$5:L$3360,'J Book Items Cons.'!E$5:E$3360,1,'J Book Items Cons.'!S$5:S$3360,"",'J Book Items Cons.'!X$5:X$3360,"SSGN",'J Book Items Cons.'!R$5:R$3360,"",'J Book Items Cons.'!F$5:F$3360,"Advance procurement / LLTM",'J Book Items Cons.'!N$5:N$3360,"")+SUMIFS('J Book Items Cons.'!R$5:R$3360,'J Book Items Cons.'!E$5:E$3360,1,'J Book Items Cons.'!S$5:S$3360,"[PARENT]",'J Book Items Cons.'!X$5:X$3360,"SSGN",'J Book Items Cons.'!R$5:R$3360,"&lt;&gt;",'J Book Items Cons.'!F$5:F$3360,"Advance procurement / LLTM")+SUMIFS('J Book Items Cons.'!N$5:N$3360,'J Book Items Cons.'!E$5:E$3360,1,'J Book Items Cons.'!S$5:S$3360,"[PARENT]",'J Book Items Cons.'!X$5:X$3360,"SSGN",'J Book Items Cons.'!R$5:R$3360,"",'J Book Items Cons.'!F$5:F$3360,"Advance procurement / LLTM",'J Book Items Cons.'!N$5:N$3360,"&lt;&gt;")+SUMIFS('J Book Items Cons.'!L$5:L$3360,'J Book Items Cons.'!E$5:E$3360,1,'J Book Items Cons.'!S$5:S$3360,"[PARENT]",'J Book Items Cons.'!X$5:X$3360,"SSGN",'J Book Items Cons.'!R$5:R$3360,"",'J Book Items Cons.'!F$5:F$3360,"Advance procurement / LLTM",'J Book Items Cons.'!N$5:N$3360,"")</f>
        <v>0</v>
      </c>
      <c r="AB9" s="14">
        <f>SUMIFS('J Book Items Cons.'!R$5:R$3360,'J Book Items Cons.'!E$5:E$3360,1,'J Book Items Cons.'!S$5:S$3360,"",'J Book Items Cons.'!X$5:X$3360,"CG",'J Book Items Cons.'!R$5:R$3360,"&lt;&gt;",'J Book Items Cons.'!F$5:F$3360,"Advance procurement / LLTM")+SUMIFS('J Book Items Cons.'!N$5:N$3360,'J Book Items Cons.'!E$5:E$3360,1,'J Book Items Cons.'!S$5:S$3360,"",'J Book Items Cons.'!X$5:X$3360,"CG",'J Book Items Cons.'!R$5:R$3360,"",'J Book Items Cons.'!F$5:F$3360,"Advance procurement / LLTM",'J Book Items Cons.'!N$5:N$3360,"&lt;&gt;")+SUMIFS('J Book Items Cons.'!L$5:L$3360,'J Book Items Cons.'!E$5:E$3360,1,'J Book Items Cons.'!S$5:S$3360,"",'J Book Items Cons.'!X$5:X$3360,"CG",'J Book Items Cons.'!R$5:R$3360,"",'J Book Items Cons.'!F$5:F$3360,"Advance procurement / LLTM",'J Book Items Cons.'!N$5:N$3360,"")+SUMIFS('J Book Items Cons.'!R$5:R$3360,'J Book Items Cons.'!E$5:E$3360,1,'J Book Items Cons.'!S$5:S$3360,"[PARENT]",'J Book Items Cons.'!X$5:X$3360,"CG",'J Book Items Cons.'!R$5:R$3360,"&lt;&gt;",'J Book Items Cons.'!F$5:F$3360,"Advance procurement / LLTM")+SUMIFS('J Book Items Cons.'!N$5:N$3360,'J Book Items Cons.'!E$5:E$3360,1,'J Book Items Cons.'!S$5:S$3360,"[PARENT]",'J Book Items Cons.'!X$5:X$3360,"CG",'J Book Items Cons.'!R$5:R$3360,"",'J Book Items Cons.'!F$5:F$3360,"Advance procurement / LLTM",'J Book Items Cons.'!N$5:N$3360,"&lt;&gt;")+SUMIFS('J Book Items Cons.'!L$5:L$3360,'J Book Items Cons.'!E$5:E$3360,1,'J Book Items Cons.'!S$5:S$3360,"[PARENT]",'J Book Items Cons.'!X$5:X$3360,"CG",'J Book Items Cons.'!R$5:R$3360,"",'J Book Items Cons.'!F$5:F$3360,"Advance procurement / LLTM",'J Book Items Cons.'!N$5:N$3360,"")</f>
        <v>0</v>
      </c>
      <c r="AC9" s="26">
        <f>SUMIFS('J Book Items Cons.'!R$5:R$3360,'J Book Items Cons.'!E$5:E$3360,1,'J Book Items Cons.'!S$5:S$3360,"",'J Book Items Cons.'!X$5:X$3360,"LSD",'J Book Items Cons.'!R$5:R$3360,"&lt;&gt;",'J Book Items Cons.'!F$5:F$3360,"Advance procurement / LLTM")+SUMIFS('J Book Items Cons.'!N$5:N$3360,'J Book Items Cons.'!E$5:E$3360,1,'J Book Items Cons.'!S$5:S$3360,"",'J Book Items Cons.'!X$5:X$3360,"LSD",'J Book Items Cons.'!R$5:R$3360,"",'J Book Items Cons.'!F$5:F$3360,"Advance procurement / LLTM",'J Book Items Cons.'!N$5:N$3360,"&lt;&gt;")+SUMIFS('J Book Items Cons.'!L$5:L$3360,'J Book Items Cons.'!E$5:E$3360,1,'J Book Items Cons.'!S$5:S$3360,"",'J Book Items Cons.'!X$5:X$3360,"LSD",'J Book Items Cons.'!R$5:R$3360,"",'J Book Items Cons.'!F$5:F$3360,"Advance procurement / LLTM",'J Book Items Cons.'!N$5:N$3360,"")+SUMIFS('J Book Items Cons.'!R$5:R$3360,'J Book Items Cons.'!E$5:E$3360,1,'J Book Items Cons.'!S$5:S$3360,"[PARENT]",'J Book Items Cons.'!X$5:X$3360,"LSD",'J Book Items Cons.'!R$5:R$3360,"&lt;&gt;",'J Book Items Cons.'!F$5:F$3360,"Advance procurement / LLTM")+SUMIFS('J Book Items Cons.'!N$5:N$3360,'J Book Items Cons.'!E$5:E$3360,1,'J Book Items Cons.'!S$5:S$3360,"[PARENT]",'J Book Items Cons.'!X$5:X$3360,"LSD",'J Book Items Cons.'!R$5:R$3360,"",'J Book Items Cons.'!F$5:F$3360,"Advance procurement / LLTM",'J Book Items Cons.'!N$5:N$3360,"&lt;&gt;")+SUMIFS('J Book Items Cons.'!L$5:L$3360,'J Book Items Cons.'!E$5:E$3360,1,'J Book Items Cons.'!S$5:S$3360,"[PARENT]",'J Book Items Cons.'!X$5:X$3360,"LSD",'J Book Items Cons.'!R$5:R$3360,"",'J Book Items Cons.'!F$5:F$3360,"Advance procurement / LLTM",'J Book Items Cons.'!N$5:N$3360,"")</f>
        <v>0</v>
      </c>
      <c r="AD9" s="25">
        <f>SUMIFS('J Book Items Cons.'!R$5:R$3360,'J Book Items Cons.'!E$5:E$3360,1,'J Book Items Cons.'!S$5:S$3360,"",'J Book Items Cons.'!X$5:X$3360,"WMSM",'J Book Items Cons.'!R$5:R$3360,"&lt;&gt;",'J Book Items Cons.'!F$5:F$3360,"Advance procurement / LLTM")+SUMIFS('J Book Items Cons.'!N$5:N$3360,'J Book Items Cons.'!E$5:E$3360,1,'J Book Items Cons.'!S$5:S$3360,"",'J Book Items Cons.'!X$5:X$3360,"WMSM",'J Book Items Cons.'!R$5:R$3360,"",'J Book Items Cons.'!F$5:F$3360,"Advance procurement / LLTM",'J Book Items Cons.'!N$5:N$3360,"&lt;&gt;")+SUMIFS('J Book Items Cons.'!L$5:L$3360,'J Book Items Cons.'!E$5:E$3360,1,'J Book Items Cons.'!S$5:S$3360,"",'J Book Items Cons.'!X$5:X$3360,"WMSM",'J Book Items Cons.'!R$5:R$3360,"",'J Book Items Cons.'!F$5:F$3360,"Advance procurement / LLTM",'J Book Items Cons.'!N$5:N$3360,"")+SUMIFS('J Book Items Cons.'!R$5:R$3360,'J Book Items Cons.'!E$5:E$3360,1,'J Book Items Cons.'!S$5:S$3360,"[PARENT]",'J Book Items Cons.'!X$5:X$3360,"WMSM",'J Book Items Cons.'!R$5:R$3360,"&lt;&gt;",'J Book Items Cons.'!F$5:F$3360,"Advance procurement / LLTM")+SUMIFS('J Book Items Cons.'!N$5:N$3360,'J Book Items Cons.'!E$5:E$3360,1,'J Book Items Cons.'!S$5:S$3360,"[PARENT]",'J Book Items Cons.'!X$5:X$3360,"WMSM",'J Book Items Cons.'!R$5:R$3360,"",'J Book Items Cons.'!F$5:F$3360,"Advance procurement / LLTM",'J Book Items Cons.'!N$5:N$3360,"&lt;&gt;")+SUMIFS('J Book Items Cons.'!L$5:L$3360,'J Book Items Cons.'!E$5:E$3360,1,'J Book Items Cons.'!S$5:S$3360,"[PARENT]",'J Book Items Cons.'!X$5:X$3360,"WMSM",'J Book Items Cons.'!R$5:R$3360,"",'J Book Items Cons.'!F$5:F$3360,"Advance procurement / LLTM",'J Book Items Cons.'!N$5:N$3360,"")</f>
        <v>0</v>
      </c>
      <c r="AE9" s="14">
        <f>SUMIFS('J Book Items Cons.'!R$5:R$3360,'J Book Items Cons.'!E$5:E$3360,1,'J Book Items Cons.'!S$5:S$3360,"",'J Book Items Cons.'!X$5:X$3360,"WPC",'J Book Items Cons.'!R$5:R$3360,"&lt;&gt;",'J Book Items Cons.'!F$5:F$3360,"Advance procurement / LLTM")+SUMIFS('J Book Items Cons.'!N$5:N$3360,'J Book Items Cons.'!E$5:E$3360,1,'J Book Items Cons.'!S$5:S$3360,"",'J Book Items Cons.'!X$5:X$3360,"WPC",'J Book Items Cons.'!R$5:R$3360,"",'J Book Items Cons.'!F$5:F$3360,"Advance procurement / LLTM",'J Book Items Cons.'!N$5:N$3360,"&lt;&gt;")+SUMIFS('J Book Items Cons.'!L$5:L$3360,'J Book Items Cons.'!E$5:E$3360,1,'J Book Items Cons.'!S$5:S$3360,"",'J Book Items Cons.'!X$5:X$3360,"WPC",'J Book Items Cons.'!R$5:R$3360,"",'J Book Items Cons.'!F$5:F$3360,"Advance procurement / LLTM",'J Book Items Cons.'!N$5:N$3360,"")+SUMIFS('J Book Items Cons.'!R$5:R$3360,'J Book Items Cons.'!E$5:E$3360,1,'J Book Items Cons.'!S$5:S$3360,"[PARENT]",'J Book Items Cons.'!X$5:X$3360,"WPC",'J Book Items Cons.'!R$5:R$3360,"&lt;&gt;",'J Book Items Cons.'!F$5:F$3360,"Advance procurement / LLTM")+SUMIFS('J Book Items Cons.'!N$5:N$3360,'J Book Items Cons.'!E$5:E$3360,1,'J Book Items Cons.'!S$5:S$3360,"[PARENT]",'J Book Items Cons.'!X$5:X$3360,"WPC",'J Book Items Cons.'!R$5:R$3360,"",'J Book Items Cons.'!F$5:F$3360,"Advance procurement / LLTM",'J Book Items Cons.'!N$5:N$3360,"&lt;&gt;")+SUMIFS('J Book Items Cons.'!L$5:L$3360,'J Book Items Cons.'!E$5:E$3360,1,'J Book Items Cons.'!S$5:S$3360,"[PARENT]",'J Book Items Cons.'!X$5:X$3360,"WPC",'J Book Items Cons.'!R$5:R$3360,"",'J Book Items Cons.'!F$5:F$3360,"Advance procurement / LLTM",'J Book Items Cons.'!N$5:N$3360,"")</f>
        <v>0</v>
      </c>
      <c r="AF9" s="14">
        <f>SUMIFS('J Book Items Cons.'!R$5:R$3360,'J Book Items Cons.'!E$5:E$3360,1,'J Book Items Cons.'!S$5:S$3360,"",'J Book Items Cons.'!X$5:X$3360,"WAGB",'J Book Items Cons.'!R$5:R$3360,"&lt;&gt;",'J Book Items Cons.'!F$5:F$3360,"Advance procurement / LLTM")+SUMIFS('J Book Items Cons.'!N$5:N$3360,'J Book Items Cons.'!E$5:E$3360,1,'J Book Items Cons.'!S$5:S$3360,"",'J Book Items Cons.'!X$5:X$3360,"WAGB",'J Book Items Cons.'!R$5:R$3360,"",'J Book Items Cons.'!F$5:F$3360,"Advance procurement / LLTM",'J Book Items Cons.'!N$5:N$3360,"&lt;&gt;")+SUMIFS('J Book Items Cons.'!L$5:L$3360,'J Book Items Cons.'!E$5:E$3360,1,'J Book Items Cons.'!S$5:S$3360,"",'J Book Items Cons.'!X$5:X$3360,"WAGB",'J Book Items Cons.'!R$5:R$3360,"",'J Book Items Cons.'!F$5:F$3360,"Advance procurement / LLTM",'J Book Items Cons.'!N$5:N$3360,"")+SUMIFS('J Book Items Cons.'!R$5:R$3360,'J Book Items Cons.'!E$5:E$3360,1,'J Book Items Cons.'!S$5:S$3360,"[PARENT]",'J Book Items Cons.'!X$5:X$3360,"WAGB",'J Book Items Cons.'!R$5:R$3360,"&lt;&gt;",'J Book Items Cons.'!F$5:F$3360,"Advance procurement / LLTM")+SUMIFS('J Book Items Cons.'!N$5:N$3360,'J Book Items Cons.'!E$5:E$3360,1,'J Book Items Cons.'!S$5:S$3360,"[PARENT]",'J Book Items Cons.'!X$5:X$3360,"WAGB",'J Book Items Cons.'!R$5:R$3360,"",'J Book Items Cons.'!F$5:F$3360,"Advance procurement / LLTM",'J Book Items Cons.'!N$5:N$3360,"&lt;&gt;")+SUMIFS('J Book Items Cons.'!L$5:L$3360,'J Book Items Cons.'!E$5:E$3360,1,'J Book Items Cons.'!S$5:S$3360,"[PARENT]",'J Book Items Cons.'!X$5:X$3360,"WAGB",'J Book Items Cons.'!R$5:R$3360,"",'J Book Items Cons.'!F$5:F$3360,"Advance procurement / LLTM",'J Book Items Cons.'!N$5:N$3360,"")</f>
        <v>0</v>
      </c>
      <c r="AG9" s="14">
        <f>SUMIFS('J Book Items Cons.'!R$5:R$3360,'J Book Items Cons.'!E$5:E$3360,1,'J Book Items Cons.'!S$5:S$3360,"",'J Book Items Cons.'!X$5:X$3360,"WCC",'J Book Items Cons.'!R$5:R$3360,"&lt;&gt;",'J Book Items Cons.'!F$5:F$3360,"Advance procurement / LLTM")+SUMIFS('J Book Items Cons.'!N$5:N$3360,'J Book Items Cons.'!E$5:E$3360,1,'J Book Items Cons.'!S$5:S$3360,"",'J Book Items Cons.'!X$5:X$3360,"WCC",'J Book Items Cons.'!R$5:R$3360,"",'J Book Items Cons.'!F$5:F$3360,"Advance procurement / LLTM",'J Book Items Cons.'!N$5:N$3360,"&lt;&gt;")+SUMIFS('J Book Items Cons.'!L$5:L$3360,'J Book Items Cons.'!E$5:E$3360,1,'J Book Items Cons.'!S$5:S$3360,"",'J Book Items Cons.'!X$5:X$3360,"WCC",'J Book Items Cons.'!R$5:R$3360,"",'J Book Items Cons.'!F$5:F$3360,"Advance procurement / LLTM",'J Book Items Cons.'!N$5:N$3360,"")+SUMIFS('J Book Items Cons.'!R$5:R$3360,'J Book Items Cons.'!E$5:E$3360,1,'J Book Items Cons.'!S$5:S$3360,"[PARENT]",'J Book Items Cons.'!X$5:X$3360,"WCC",'J Book Items Cons.'!R$5:R$3360,"&lt;&gt;",'J Book Items Cons.'!F$5:F$3360,"Advance procurement / LLTM")+SUMIFS('J Book Items Cons.'!N$5:N$3360,'J Book Items Cons.'!E$5:E$3360,1,'J Book Items Cons.'!S$5:S$3360,"[PARENT]",'J Book Items Cons.'!X$5:X$3360,"WCC",'J Book Items Cons.'!R$5:R$3360,"",'J Book Items Cons.'!F$5:F$3360,"Advance procurement / LLTM",'J Book Items Cons.'!N$5:N$3360,"&lt;&gt;")+SUMIFS('J Book Items Cons.'!L$5:L$3360,'J Book Items Cons.'!E$5:E$3360,1,'J Book Items Cons.'!S$5:S$3360,"[PARENT]",'J Book Items Cons.'!X$5:X$3360,"WCC",'J Book Items Cons.'!R$5:R$3360,"",'J Book Items Cons.'!F$5:F$3360,"Advance procurement / LLTM",'J Book Items Cons.'!N$5:N$3360,"")</f>
        <v>0</v>
      </c>
      <c r="AH9" s="26">
        <f>SUMIFS('J Book Items Cons.'!R$5:R$3360,'J Book Items Cons.'!E$5:E$3360,1,'J Book Items Cons.'!S$5:S$3360,"",'J Book Items Cons.'!X$5:X$3360,"WMSL",'J Book Items Cons.'!R$5:R$3360,"&lt;&gt;",'J Book Items Cons.'!F$5:F$3360,"Advance procurement / LLTM")+SUMIFS('J Book Items Cons.'!N$5:N$3360,'J Book Items Cons.'!E$5:E$3360,1,'J Book Items Cons.'!S$5:S$3360,"",'J Book Items Cons.'!X$5:X$3360,"WMSL",'J Book Items Cons.'!R$5:R$3360,"",'J Book Items Cons.'!F$5:F$3360,"Advance procurement / LLTM",'J Book Items Cons.'!N$5:N$3360,"&lt;&gt;")+SUMIFS('J Book Items Cons.'!L$5:L$3360,'J Book Items Cons.'!E$5:E$3360,1,'J Book Items Cons.'!S$5:S$3360,"",'J Book Items Cons.'!X$5:X$3360,"WMSL",'J Book Items Cons.'!R$5:R$3360,"",'J Book Items Cons.'!F$5:F$3360,"Advance procurement / LLTM",'J Book Items Cons.'!N$5:N$3360,"")+SUMIFS('J Book Items Cons.'!R$5:R$3360,'J Book Items Cons.'!E$5:E$3360,1,'J Book Items Cons.'!S$5:S$3360,"[PARENT]",'J Book Items Cons.'!X$5:X$3360,"WMSL",'J Book Items Cons.'!R$5:R$3360,"&lt;&gt;",'J Book Items Cons.'!F$5:F$3360,"Advance procurement / LLTM")+SUMIFS('J Book Items Cons.'!N$5:N$3360,'J Book Items Cons.'!E$5:E$3360,1,'J Book Items Cons.'!S$5:S$3360,"[PARENT]",'J Book Items Cons.'!X$5:X$3360,"WMSL",'J Book Items Cons.'!R$5:R$3360,"",'J Book Items Cons.'!F$5:F$3360,"Advance procurement / LLTM",'J Book Items Cons.'!N$5:N$3360,"&lt;&gt;")+SUMIFS('J Book Items Cons.'!L$5:L$3360,'J Book Items Cons.'!E$5:E$3360,1,'J Book Items Cons.'!S$5:S$3360,"[PARENT]",'J Book Items Cons.'!X$5:X$3360,"WMSL",'J Book Items Cons.'!R$5:R$3360,"",'J Book Items Cons.'!F$5:F$3360,"Advance procurement / LLTM",'J Book Items Cons.'!N$5:N$3360,"")</f>
        <v>0</v>
      </c>
      <c r="AI9" s="60">
        <f t="shared" si="1"/>
        <v>10502582</v>
      </c>
    </row>
    <row r="10" spans="1:35" ht="9.75" customHeight="1" x14ac:dyDescent="0.15">
      <c r="A10" s="7" t="s">
        <v>4383</v>
      </c>
      <c r="B10" s="37">
        <f>IF(B16=0,0,(SUMIFS('J Book Items Cons.'!R$5:R$3360,'J Book Items Cons.'!E$5:E$3360,2,'J Book Items Cons.'!S$5:S$3360,"",'J Book Items Cons.'!U$5:U$3360,"USN",'J Book Items Cons.'!W$5:W$3360,"Surface Combatants",'J Book Items Cons.'!R$5:R$3360,"&lt;&gt;")+SUMIFS('J Book Items Cons.'!N$5:N$3360,'J Book Items Cons.'!E$5:E$3360,2,'J Book Items Cons.'!S$5:S$3360,"",'J Book Items Cons.'!U$5:U$3360,"USN",'J Book Items Cons.'!W$5:W$3360,"Surface Combatants",'J Book Items Cons.'!R$5:R$3360,"",'J Book Items Cons.'!N$5:N$3360,"&lt;&gt;")+SUMIFS('J Book Items Cons.'!L$5:L$3360,'J Book Items Cons.'!E$5:E$3360,2,'J Book Items Cons.'!S$5:S$3360,"",'J Book Items Cons.'!U$5:U$3360,"USN",'J Book Items Cons.'!W$5:W$3360,"Surface Combatants",'J Book Items Cons.'!R$5:R$3360,"",'J Book Items Cons.'!N$5:N$3360,"")+SUMIFS('J Book Items Cons.'!R$5:R$3360,'J Book Items Cons.'!E$5:E$3360,2,'J Book Items Cons.'!S$5:S$3360,"[PARENT]",'J Book Items Cons.'!U$5:U$3360,"USN",'J Book Items Cons.'!W$5:W$3360,"Surface Combatants",'J Book Items Cons.'!R$5:R$3360,"&lt;&gt;")+SUMIFS('J Book Items Cons.'!N$5:N$3360,'J Book Items Cons.'!E$5:E$3360,2,'J Book Items Cons.'!S$5:S$3360,"[PARENT]",'J Book Items Cons.'!U$5:U$3360,"USN",'J Book Items Cons.'!W$5:W$3360,"Surface Combatants",'J Book Items Cons.'!R$5:R$3360,"",'J Book Items Cons.'!N$5:N$3360,"&lt;&gt;")+SUMIFS('J Book Items Cons.'!L$5:L$3360,'J Book Items Cons.'!E$5:E$3360,2,'J Book Items Cons.'!S$5:S$3360,"[PARENT]",'J Book Items Cons.'!U$5:U$3360,"USN",'J Book Items Cons.'!W$5:W$3360,"Surface Combatants",'J Book Items Cons.'!R$5:R$3360,"",'J Book Items Cons.'!N$5:N$3360,""))/B16)</f>
        <v>0.12156411854462616</v>
      </c>
      <c r="C10" s="38">
        <f>IF(C16=0,0,(SUMIFS('J Book Items Cons.'!R$5:R$3360,'J Book Items Cons.'!E$5:E$3360,2,'J Book Items Cons.'!S$5:S$3360,"",'J Book Items Cons.'!U$5:U$3360,"USN",'J Book Items Cons.'!W$5:W$3360,"Amphibious Warfare Ships",'J Book Items Cons.'!R$5:R$3360,"&lt;&gt;")+SUMIFS('J Book Items Cons.'!N$5:N$3360,'J Book Items Cons.'!E$5:E$3360,2,'J Book Items Cons.'!S$5:S$3360,"",'J Book Items Cons.'!U$5:U$3360,"USN",'J Book Items Cons.'!W$5:W$3360,"Amphibious Warfare Ships",'J Book Items Cons.'!R$5:R$3360,"",'J Book Items Cons.'!N$5:N$3360,"&lt;&gt;")+SUMIFS('J Book Items Cons.'!L$5:L$3360,'J Book Items Cons.'!E$5:E$3360,2,'J Book Items Cons.'!S$5:S$3360,"",'J Book Items Cons.'!U$5:U$3360,"USN",'J Book Items Cons.'!W$5:W$3360,"Amphibious Warfare Ships",'J Book Items Cons.'!R$5:R$3360,"",'J Book Items Cons.'!N$5:N$3360,"")+SUMIFS('J Book Items Cons.'!R$5:R$3360,'J Book Items Cons.'!E$5:E$3360,2,'J Book Items Cons.'!S$5:S$3360,"[PARENT]",'J Book Items Cons.'!U$5:U$3360,"USN",'J Book Items Cons.'!W$5:W$3360,"Amphibious Warfare Ships",'J Book Items Cons.'!R$5:R$3360,"&lt;&gt;")+SUMIFS('J Book Items Cons.'!N$5:N$3360,'J Book Items Cons.'!E$5:E$3360,2,'J Book Items Cons.'!S$5:S$3360,"[PARENT]",'J Book Items Cons.'!U$5:U$3360,"USN",'J Book Items Cons.'!W$5:W$3360,"Amphibious Warfare Ships",'J Book Items Cons.'!R$5:R$3360,"",'J Book Items Cons.'!N$5:N$3360,"&lt;&gt;")+SUMIFS('J Book Items Cons.'!L$5:L$3360,'J Book Items Cons.'!E$5:E$3360,2,'J Book Items Cons.'!S$5:S$3360,"[PARENT]",'J Book Items Cons.'!U$5:U$3360,"USN",'J Book Items Cons.'!W$5:W$3360,"Amphibious Warfare Ships",'J Book Items Cons.'!R$5:R$3360,"",'J Book Items Cons.'!N$5:N$3360,""))/C16)</f>
        <v>0.19168504423436053</v>
      </c>
      <c r="D10" s="38">
        <f>IF(D16=0,0,(SUMIFS('J Book Items Cons.'!R$5:R$3360,'J Book Items Cons.'!E$5:E$3360,2,'J Book Items Cons.'!S$5:S$3360,"",'J Book Items Cons.'!U$5:U$3360,"USN",'J Book Items Cons.'!W$5:W$3360,"Expeditionary &amp; Seabasing Ships",'J Book Items Cons.'!R$5:R$3360,"&lt;&gt;")+SUMIFS('J Book Items Cons.'!N$5:N$3360,'J Book Items Cons.'!E$5:E$3360,2,'J Book Items Cons.'!S$5:S$3360,"",'J Book Items Cons.'!U$5:U$3360,"USN",'J Book Items Cons.'!W$5:W$3360,"Expeditionary &amp; Seabasing Ships",'J Book Items Cons.'!R$5:R$3360,"",'J Book Items Cons.'!N$5:N$3360,"&lt;&gt;")+SUMIFS('J Book Items Cons.'!L$5:L$3360,'J Book Items Cons.'!E$5:E$3360,2,'J Book Items Cons.'!S$5:S$3360,"",'J Book Items Cons.'!U$5:U$3360,"USN",'J Book Items Cons.'!W$5:W$3360,"Expeditionary &amp; Seabasing Ships",'J Book Items Cons.'!R$5:R$3360,"",'J Book Items Cons.'!N$5:N$3360,"")+SUMIFS('J Book Items Cons.'!R$5:R$3360,'J Book Items Cons.'!E$5:E$3360,2,'J Book Items Cons.'!S$5:S$3360,"[PARENT]",'J Book Items Cons.'!U$5:U$3360,"USN",'J Book Items Cons.'!W$5:W$3360,"Expeditionary &amp; Seabasing Ships",'J Book Items Cons.'!R$5:R$3360,"&lt;&gt;")+SUMIFS('J Book Items Cons.'!N$5:N$3360,'J Book Items Cons.'!E$5:E$3360,2,'J Book Items Cons.'!S$5:S$3360,"[PARENT]",'J Book Items Cons.'!U$5:U$3360,"USN",'J Book Items Cons.'!W$5:W$3360,"Expeditionary &amp; Seabasing Ships",'J Book Items Cons.'!R$5:R$3360,"",'J Book Items Cons.'!N$5:N$3360,"&lt;&gt;")+SUMIFS('J Book Items Cons.'!L$5:L$3360,'J Book Items Cons.'!E$5:E$3360,2,'J Book Items Cons.'!S$5:S$3360,"[PARENT]",'J Book Items Cons.'!U$5:U$3360,"USN",'J Book Items Cons.'!W$5:W$3360,"Expeditionary &amp; Seabasing Ships",'J Book Items Cons.'!R$5:R$3360,"",'J Book Items Cons.'!N$5:N$3360,""))/D16)</f>
        <v>8.3739253898890038E-3</v>
      </c>
      <c r="E10" s="38">
        <f>IF(E16=0,0,(SUMIFS('J Book Items Cons.'!R$5:R$3360,'J Book Items Cons.'!E$5:E$3360,2,'J Book Items Cons.'!S$5:S$3360,"",'J Book Items Cons.'!U$5:U$3360,"MSC",'J Book Items Cons.'!W$5:W$3360,"Combat Logistics Ships",'J Book Items Cons.'!R$5:R$3360,"&lt;&gt;")+SUMIFS('J Book Items Cons.'!N$5:N$3360,'J Book Items Cons.'!E$5:E$3360,2,'J Book Items Cons.'!S$5:S$3360,"",'J Book Items Cons.'!U$5:U$3360,"MSC",'J Book Items Cons.'!W$5:W$3360,"Combat Logistics Ships",'J Book Items Cons.'!R$5:R$3360,"",'J Book Items Cons.'!N$5:N$3360,"&lt;&gt;")+SUMIFS('J Book Items Cons.'!L$5:L$3360,'J Book Items Cons.'!E$5:E$3360,2,'J Book Items Cons.'!S$5:S$3360,"",'J Book Items Cons.'!U$5:U$3360,"MSC",'J Book Items Cons.'!W$5:W$3360,"Combat Logistics Ships",'J Book Items Cons.'!R$5:R$3360,"",'J Book Items Cons.'!N$5:N$3360,"")+SUMIFS('J Book Items Cons.'!R$5:R$3360,'J Book Items Cons.'!E$5:E$3360,2,'J Book Items Cons.'!S$5:S$3360,"[PARENT]",'J Book Items Cons.'!U$5:U$3360,"MSC",'J Book Items Cons.'!W$5:W$3360,"Combat Logistics Ships",'J Book Items Cons.'!R$5:R$3360,"&lt;&gt;")+SUMIFS('J Book Items Cons.'!N$5:N$3360,'J Book Items Cons.'!E$5:E$3360,2,'J Book Items Cons.'!S$5:S$3360,"[PARENT]",'J Book Items Cons.'!U$5:U$3360,"MSC",'J Book Items Cons.'!W$5:W$3360,"Combat Logistics Ships",'J Book Items Cons.'!R$5:R$3360,"",'J Book Items Cons.'!N$5:N$3360,"&lt;&gt;")+SUMIFS('J Book Items Cons.'!L$5:L$3360,'J Book Items Cons.'!E$5:E$3360,2,'J Book Items Cons.'!S$5:S$3360,"[PARENT]",'J Book Items Cons.'!U$5:U$3360,"MSC",'J Book Items Cons.'!W$5:W$3360,"Combat Logistics Ships",'J Book Items Cons.'!R$5:R$3360,"",'J Book Items Cons.'!N$5:N$3360,""))/E16)</f>
        <v>0</v>
      </c>
      <c r="F10" s="38"/>
      <c r="G10" s="38">
        <f>IF(G16=0,0,(SUMIFS('J Book Items Cons.'!R$5:R$3360,'J Book Items Cons.'!E$5:E$3360,2,'J Book Items Cons.'!S$5:S$3360,"",'J Book Items Cons.'!U$5:U$3360,"USN",'J Book Items Cons.'!W$5:W$3360,"Amphibious Warfare Craft",'J Book Items Cons.'!R$5:R$3360,"&lt;&gt;")+SUMIFS('J Book Items Cons.'!N$5:N$3360,'J Book Items Cons.'!E$5:E$3360,2,'J Book Items Cons.'!S$5:S$3360,"",'J Book Items Cons.'!U$5:U$3360,"USN",'J Book Items Cons.'!W$5:W$3360,"Amphibious Warfare Craft",'J Book Items Cons.'!R$5:R$3360,"",'J Book Items Cons.'!N$5:N$3360,"&lt;&gt;")+SUMIFS('J Book Items Cons.'!L$5:L$3360,'J Book Items Cons.'!E$5:E$3360,2,'J Book Items Cons.'!S$5:S$3360,"",'J Book Items Cons.'!U$5:U$3360,"USN",'J Book Items Cons.'!W$5:W$3360,"Amphibious Warfare Craft",'J Book Items Cons.'!R$5:R$3360,"",'J Book Items Cons.'!N$5:N$3360,"")+SUMIFS('J Book Items Cons.'!R$5:R$3360,'J Book Items Cons.'!E$5:E$3360,2,'J Book Items Cons.'!S$5:S$3360,"[PARENT]",'J Book Items Cons.'!U$5:U$3360,"USN",'J Book Items Cons.'!W$5:W$3360,"Amphibious Warfare Craft",'J Book Items Cons.'!R$5:R$3360,"&lt;&gt;")+SUMIFS('J Book Items Cons.'!N$5:N$3360,'J Book Items Cons.'!E$5:E$3360,2,'J Book Items Cons.'!S$5:S$3360,"[PARENT]",'J Book Items Cons.'!U$5:U$3360,"USN",'J Book Items Cons.'!W$5:W$3360,"Amphibious Warfare Craft",'J Book Items Cons.'!R$5:R$3360,"",'J Book Items Cons.'!N$5:N$3360,"&lt;&gt;")+SUMIFS('J Book Items Cons.'!L$5:L$3360,'J Book Items Cons.'!E$5:E$3360,2,'J Book Items Cons.'!S$5:S$3360,"[PARENT]",'J Book Items Cons.'!U$5:U$3360,"USN",'J Book Items Cons.'!W$5:W$3360,"Amphibious Warfare Craft",'J Book Items Cons.'!R$5:R$3360,"",'J Book Items Cons.'!N$5:N$3360,""))/G16)</f>
        <v>1.7614862906875656E-3</v>
      </c>
      <c r="H10" s="38">
        <f>IF(H16=0,0,(SUMIFS('J Book Items Cons.'!R$5:R$3360,'J Book Items Cons.'!E$5:E$3360,2,'J Book Items Cons.'!S$5:S$3360,"",'J Book Items Cons.'!U$5:U$3360,"MSC",'J Book Items Cons.'!W$5:W$3360,"Cargo &amp; Vehicle Cargo Ships",'J Book Items Cons.'!R$5:R$3360,"&lt;&gt;")+SUMIFS('J Book Items Cons.'!N$5:N$3360,'J Book Items Cons.'!E$5:E$3360,2,'J Book Items Cons.'!S$5:S$3360,"",'J Book Items Cons.'!U$5:U$3360,"MSC",'J Book Items Cons.'!W$5:W$3360,"Cargo &amp; Vehicle Cargo Ships",'J Book Items Cons.'!R$5:R$3360,"",'J Book Items Cons.'!N$5:N$3360,"&lt;&gt;")+SUMIFS('J Book Items Cons.'!L$5:L$3360,'J Book Items Cons.'!E$5:E$3360,2,'J Book Items Cons.'!S$5:S$3360,"",'J Book Items Cons.'!U$5:U$3360,"MSC",'J Book Items Cons.'!W$5:W$3360,"Cargo &amp; Vehicle Cargo Ships",'J Book Items Cons.'!R$5:R$3360,"",'J Book Items Cons.'!N$5:N$3360,"")+SUMIFS('J Book Items Cons.'!R$5:R$3360,'J Book Items Cons.'!E$5:E$3360,2,'J Book Items Cons.'!S$5:S$3360,"[PARENT]",'J Book Items Cons.'!U$5:U$3360,"MSC",'J Book Items Cons.'!W$5:W$3360,"Cargo &amp; Vehicle Cargo Ships",'J Book Items Cons.'!R$5:R$3360,"&lt;&gt;")+SUMIFS('J Book Items Cons.'!N$5:N$3360,'J Book Items Cons.'!E$5:E$3360,2,'J Book Items Cons.'!S$5:S$3360,"[PARENT]",'J Book Items Cons.'!U$5:U$3360,"MSC",'J Book Items Cons.'!W$5:W$3360,"Cargo &amp; Vehicle Cargo Ships",'J Book Items Cons.'!R$5:R$3360,"",'J Book Items Cons.'!N$5:N$3360,"&lt;&gt;")+SUMIFS('J Book Items Cons.'!L$5:L$3360,'J Book Items Cons.'!E$5:E$3360,2,'J Book Items Cons.'!S$5:S$3360,"[PARENT]",'J Book Items Cons.'!U$5:U$3360,"MSC",'J Book Items Cons.'!W$5:W$3360,"Cargo &amp; Vehicle Cargo Ships",'J Book Items Cons.'!R$5:R$3360,"",'J Book Items Cons.'!N$5:N$3360,""))/H16)</f>
        <v>0</v>
      </c>
      <c r="I10" s="38">
        <f>IF(I16=0,0,(SUMIFS('J Book Items Cons.'!R$5:R$3360,'J Book Items Cons.'!E$5:E$3360,2,'J Book Items Cons.'!S$5:S$3360,"",'J Book Items Cons.'!U$5:U$3360,"MSC",'J Book Items Cons.'!W$5:W$3360,"Surveillance Ships",'J Book Items Cons.'!R$5:R$3360,"&lt;&gt;")+SUMIFS('J Book Items Cons.'!N$5:N$3360,'J Book Items Cons.'!E$5:E$3360,2,'J Book Items Cons.'!S$5:S$3360,"",'J Book Items Cons.'!U$5:U$3360,"MSC",'J Book Items Cons.'!W$5:W$3360,"Surveillance Ships",'J Book Items Cons.'!R$5:R$3360,"",'J Book Items Cons.'!N$5:N$3360,"&lt;&gt;")+SUMIFS('J Book Items Cons.'!L$5:L$3360,'J Book Items Cons.'!E$5:E$3360,2,'J Book Items Cons.'!S$5:S$3360,"",'J Book Items Cons.'!U$5:U$3360,"MSC",'J Book Items Cons.'!W$5:W$3360,"Surveillance Ships",'J Book Items Cons.'!R$5:R$3360,"",'J Book Items Cons.'!N$5:N$3360,"")+SUMIFS('J Book Items Cons.'!R$5:R$3360,'J Book Items Cons.'!E$5:E$3360,2,'J Book Items Cons.'!S$5:S$3360,"[PARENT]",'J Book Items Cons.'!U$5:U$3360,"MSC",'J Book Items Cons.'!W$5:W$3360,"Surveillance Ships",'J Book Items Cons.'!R$5:R$3360,"&lt;&gt;")+SUMIFS('J Book Items Cons.'!N$5:N$3360,'J Book Items Cons.'!E$5:E$3360,2,'J Book Items Cons.'!S$5:S$3360,"[PARENT]",'J Book Items Cons.'!U$5:U$3360,"MSC",'J Book Items Cons.'!W$5:W$3360,"Surveillance Ships",'J Book Items Cons.'!R$5:R$3360,"",'J Book Items Cons.'!N$5:N$3360,"&lt;&gt;")+SUMIFS('J Book Items Cons.'!L$5:L$3360,'J Book Items Cons.'!E$5:E$3360,2,'J Book Items Cons.'!S$5:S$3360,"[PARENT]",'J Book Items Cons.'!U$5:U$3360,"MSC",'J Book Items Cons.'!W$5:W$3360,"Surveillance Ships",'J Book Items Cons.'!R$5:R$3360,"",'J Book Items Cons.'!N$5:N$3360,""))/I16)</f>
        <v>0</v>
      </c>
      <c r="J10" s="38">
        <f>IF(J16=0,0,(SUMIFS('J Book Items Cons.'!R$5:R$3360,'J Book Items Cons.'!E$5:E$3360,2,'J Book Items Cons.'!S$5:S$3360,"",'J Book Items Cons.'!U$5:U$3360,"USN",'J Book Items Cons.'!W$5:W$3360,"Command Ships",'J Book Items Cons.'!R$5:R$3360,"&lt;&gt;")+SUMIFS('J Book Items Cons.'!N$5:N$3360,'J Book Items Cons.'!E$5:E$3360,2,'J Book Items Cons.'!S$5:S$3360,"",'J Book Items Cons.'!U$5:U$3360,"USN",'J Book Items Cons.'!W$5:W$3360,"Command Ships",'J Book Items Cons.'!R$5:R$3360,"",'J Book Items Cons.'!N$5:N$3360,"&lt;&gt;")+SUMIFS('J Book Items Cons.'!L$5:L$3360,'J Book Items Cons.'!E$5:E$3360,2,'J Book Items Cons.'!S$5:S$3360,"",'J Book Items Cons.'!U$5:U$3360,"USN",'J Book Items Cons.'!W$5:W$3360,"Command Ships",'J Book Items Cons.'!R$5:R$3360,"",'J Book Items Cons.'!N$5:N$3360,"")+SUMIFS('J Book Items Cons.'!R$5:R$3360,'J Book Items Cons.'!E$5:E$3360,2,'J Book Items Cons.'!S$5:S$3360,"[PARENT]",'J Book Items Cons.'!U$5:U$3360,"USN",'J Book Items Cons.'!W$5:W$3360,"Command Ships",'J Book Items Cons.'!R$5:R$3360,"&lt;&gt;")+SUMIFS('J Book Items Cons.'!N$5:N$3360,'J Book Items Cons.'!E$5:E$3360,2,'J Book Items Cons.'!S$5:S$3360,"[PARENT]",'J Book Items Cons.'!U$5:U$3360,"USN",'J Book Items Cons.'!W$5:W$3360,"Command Ships",'J Book Items Cons.'!R$5:R$3360,"",'J Book Items Cons.'!N$5:N$3360,"&lt;&gt;")+SUMIFS('J Book Items Cons.'!L$5:L$3360,'J Book Items Cons.'!E$5:E$3360,2,'J Book Items Cons.'!S$5:S$3360,"[PARENT]",'J Book Items Cons.'!U$5:U$3360,"USN",'J Book Items Cons.'!W$5:W$3360,"Command Ships",'J Book Items Cons.'!R$5:R$3360,"",'J Book Items Cons.'!N$5:N$3360,""))/J16)</f>
        <v>0.53493534066782478</v>
      </c>
      <c r="K10" s="39">
        <f>IF(K16=0,0,(SUMIFS('J Book Items Cons.'!R$5:R$3360,'J Book Items Cons.'!E$5:E$3360,2,'J Book Items Cons.'!S$5:S$3360,"",'J Book Items Cons.'!U$5:U$3360,"USN",'J Book Items Cons.'!W$5:W$3360,"Mine Warfare",'J Book Items Cons.'!R$5:R$3360,"&lt;&gt;")+SUMIFS('J Book Items Cons.'!N$5:N$3360,'J Book Items Cons.'!E$5:E$3360,2,'J Book Items Cons.'!S$5:S$3360,"",'J Book Items Cons.'!U$5:U$3360,"USN",'J Book Items Cons.'!W$5:W$3360,"Mine Warfare",'J Book Items Cons.'!R$5:R$3360,"",'J Book Items Cons.'!N$5:N$3360,"&lt;&gt;")+SUMIFS('J Book Items Cons.'!L$5:L$3360,'J Book Items Cons.'!E$5:E$3360,2,'J Book Items Cons.'!S$5:S$3360,"",'J Book Items Cons.'!U$5:U$3360,"USN",'J Book Items Cons.'!W$5:W$3360,"Mine Warfare",'J Book Items Cons.'!R$5:R$3360,"",'J Book Items Cons.'!N$5:N$3360,"")+SUMIFS('J Book Items Cons.'!R$5:R$3360,'J Book Items Cons.'!E$5:E$3360,2,'J Book Items Cons.'!S$5:S$3360,"[PARENT]",'J Book Items Cons.'!U$5:U$3360,"USN",'J Book Items Cons.'!W$5:W$3360,"Mine Warfare",'J Book Items Cons.'!R$5:R$3360,"&lt;&gt;")+SUMIFS('J Book Items Cons.'!N$5:N$3360,'J Book Items Cons.'!E$5:E$3360,2,'J Book Items Cons.'!S$5:S$3360,"[PARENT]",'J Book Items Cons.'!U$5:U$3360,"USN",'J Book Items Cons.'!W$5:W$3360,"Mine Warfare",'J Book Items Cons.'!R$5:R$3360,"",'J Book Items Cons.'!N$5:N$3360,"&lt;&gt;")+SUMIFS('J Book Items Cons.'!L$5:L$3360,'J Book Items Cons.'!E$5:E$3360,2,'J Book Items Cons.'!S$5:S$3360,"[PARENT]",'J Book Items Cons.'!U$5:U$3360,"USN",'J Book Items Cons.'!W$5:W$3360,"Mine Warfare",'J Book Items Cons.'!R$5:R$3360,"",'J Book Items Cons.'!N$5:N$3360,""))/K16)</f>
        <v>0.95613782906895561</v>
      </c>
      <c r="L10" s="37">
        <f>IF(L16=0,0,(SUMIFS('J Book Items Cons.'!R$5:R$3360,'J Book Items Cons.'!E$5:E$3360,2,'J Book Items Cons.'!S$5:S$3360,"",'J Book Items Cons.'!U$5:U$3360,"USCG",'J Book Items Cons.'!W$5:W$3360,"Offshore Patrol Cutter",'J Book Items Cons.'!R$5:R$3360,"&lt;&gt;")+SUMIFS('J Book Items Cons.'!N$5:N$3360,'J Book Items Cons.'!E$5:E$3360,2,'J Book Items Cons.'!S$5:S$3360,"",'J Book Items Cons.'!U$5:U$3360,"USCG",'J Book Items Cons.'!W$5:W$3360,"Offshore Patrol Cutter",'J Book Items Cons.'!R$5:R$3360,"",'J Book Items Cons.'!N$5:N$3360,"&lt;&gt;")+SUMIFS('J Book Items Cons.'!L$5:L$3360,'J Book Items Cons.'!E$5:E$3360,2,'J Book Items Cons.'!S$5:S$3360,"",'J Book Items Cons.'!U$5:U$3360,"USCG",'J Book Items Cons.'!W$5:W$3360,"Offshore Patrol Cutter",'J Book Items Cons.'!R$5:R$3360,"",'J Book Items Cons.'!N$5:N$3360,"")+SUMIFS('J Book Items Cons.'!R$5:R$3360,'J Book Items Cons.'!E$5:E$3360,2,'J Book Items Cons.'!S$5:S$3360,"[PARENT]",'J Book Items Cons.'!U$5:U$3360,"USCG",'J Book Items Cons.'!W$5:W$3360,"Offshore Patrol Cutter",'J Book Items Cons.'!R$5:R$3360,"&lt;&gt;")+SUMIFS('J Book Items Cons.'!N$5:N$3360,'J Book Items Cons.'!E$5:E$3360,2,'J Book Items Cons.'!S$5:S$3360,"[PARENT]",'J Book Items Cons.'!U$5:U$3360,"USCG",'J Book Items Cons.'!W$5:W$3360,"Offshore Patrol Cutter",'J Book Items Cons.'!R$5:R$3360,"",'J Book Items Cons.'!N$5:N$3360,"&lt;&gt;")+SUMIFS('J Book Items Cons.'!L$5:L$3360,'J Book Items Cons.'!E$5:E$3360,2,'J Book Items Cons.'!S$5:S$3360,"[PARENT]",'J Book Items Cons.'!U$5:U$3360,"USCG",'J Book Items Cons.'!W$5:W$3360,"Offshore Patrol Cutter",'J Book Items Cons.'!R$5:R$3360,"",'J Book Items Cons.'!N$5:N$3360,""))/L16)</f>
        <v>0</v>
      </c>
      <c r="M10" s="38">
        <f>IF(M16=0,0,(SUMIFS('J Book Items Cons.'!R$5:R$3360,'J Book Items Cons.'!E$5:E$3360,2,'J Book Items Cons.'!S$5:S$3360,"",'J Book Items Cons.'!U$5:U$3360,"USCG",'J Book Items Cons.'!W$5:W$3360,"Fast Response Cutters",'J Book Items Cons.'!R$5:R$3360,"&lt;&gt;")+SUMIFS('J Book Items Cons.'!N$5:N$3360,'J Book Items Cons.'!E$5:E$3360,2,'J Book Items Cons.'!S$5:S$3360,"",'J Book Items Cons.'!U$5:U$3360,"USCG",'J Book Items Cons.'!W$5:W$3360,"Fast Response Cutters",'J Book Items Cons.'!R$5:R$3360,"",'J Book Items Cons.'!N$5:N$3360,"&lt;&gt;")+SUMIFS('J Book Items Cons.'!L$5:L$3360,'J Book Items Cons.'!E$5:E$3360,2,'J Book Items Cons.'!S$5:S$3360,"",'J Book Items Cons.'!U$5:U$3360,"USCG",'J Book Items Cons.'!W$5:W$3360,"Fast Response Cutters",'J Book Items Cons.'!R$5:R$3360,"",'J Book Items Cons.'!N$5:N$3360,"")+SUMIFS('J Book Items Cons.'!R$5:R$3360,'J Book Items Cons.'!E$5:E$3360,2,'J Book Items Cons.'!S$5:S$3360,"[PARENT]",'J Book Items Cons.'!U$5:U$3360,"USCG",'J Book Items Cons.'!W$5:W$3360,"Fast Response Cutters",'J Book Items Cons.'!R$5:R$3360,"&lt;&gt;")+SUMIFS('J Book Items Cons.'!N$5:N$3360,'J Book Items Cons.'!E$5:E$3360,2,'J Book Items Cons.'!S$5:S$3360,"[PARENT]",'J Book Items Cons.'!U$5:U$3360,"USCG",'J Book Items Cons.'!W$5:W$3360,"Fast Response Cutters",'J Book Items Cons.'!R$5:R$3360,"",'J Book Items Cons.'!N$5:N$3360,"&lt;&gt;")+SUMIFS('J Book Items Cons.'!L$5:L$3360,'J Book Items Cons.'!E$5:E$3360,2,'J Book Items Cons.'!S$5:S$3360,"[PARENT]",'J Book Items Cons.'!U$5:U$3360,"USCG",'J Book Items Cons.'!W$5:W$3360,"Fast Response Cutters",'J Book Items Cons.'!R$5:R$3360,"",'J Book Items Cons.'!N$5:N$3360,""))/M16)</f>
        <v>0</v>
      </c>
      <c r="N10" s="38">
        <f>IF(N16=0,0,(SUMIFS('J Book Items Cons.'!R$5:R$3360,'J Book Items Cons.'!E$5:E$3360,2,'J Book Items Cons.'!S$5:S$3360,"",'J Book Items Cons.'!U$5:U$3360,"USCG",'J Book Items Cons.'!W$5:W$3360,"Icebreakers, Oceangoing",'J Book Items Cons.'!R$5:R$3360,"&lt;&gt;")+SUMIFS('J Book Items Cons.'!N$5:N$3360,'J Book Items Cons.'!E$5:E$3360,2,'J Book Items Cons.'!S$5:S$3360,"",'J Book Items Cons.'!U$5:U$3360,"USCG",'J Book Items Cons.'!W$5:W$3360,"Icebreakers, Oceangoing",'J Book Items Cons.'!R$5:R$3360,"",'J Book Items Cons.'!N$5:N$3360,"&lt;&gt;")+SUMIFS('J Book Items Cons.'!L$5:L$3360,'J Book Items Cons.'!E$5:E$3360,2,'J Book Items Cons.'!S$5:S$3360,"",'J Book Items Cons.'!U$5:U$3360,"USCG",'J Book Items Cons.'!W$5:W$3360,"Icebreakers, Oceangoing",'J Book Items Cons.'!R$5:R$3360,"",'J Book Items Cons.'!N$5:N$3360,"")+SUMIFS('J Book Items Cons.'!R$5:R$3360,'J Book Items Cons.'!E$5:E$3360,2,'J Book Items Cons.'!S$5:S$3360,"[PARENT]",'J Book Items Cons.'!U$5:U$3360,"USCG",'J Book Items Cons.'!W$5:W$3360,"Icebreakers, Oceangoing",'J Book Items Cons.'!R$5:R$3360,"&lt;&gt;")+SUMIFS('J Book Items Cons.'!N$5:N$3360,'J Book Items Cons.'!E$5:E$3360,2,'J Book Items Cons.'!S$5:S$3360,"[PARENT]",'J Book Items Cons.'!U$5:U$3360,"USCG",'J Book Items Cons.'!W$5:W$3360,"Icebreakers, Oceangoing",'J Book Items Cons.'!R$5:R$3360,"",'J Book Items Cons.'!N$5:N$3360,"&lt;&gt;")+SUMIFS('J Book Items Cons.'!L$5:L$3360,'J Book Items Cons.'!E$5:E$3360,2,'J Book Items Cons.'!S$5:S$3360,"[PARENT]",'J Book Items Cons.'!U$5:U$3360,"USCG",'J Book Items Cons.'!W$5:W$3360,"Icebreakers, Oceangoing",'J Book Items Cons.'!R$5:R$3360,"",'J Book Items Cons.'!N$5:N$3360,""))/N16)</f>
        <v>0</v>
      </c>
      <c r="O10" s="38"/>
      <c r="P10" s="39">
        <f>IF(P16=0,0,(SUMIFS('J Book Items Cons.'!R$5:R$3360,'J Book Items Cons.'!E$5:E$3360,2,'J Book Items Cons.'!S$5:S$3360,"",'J Book Items Cons.'!U$5:U$3360,"USCG",'J Book Items Cons.'!W$5:W$3360,"National Security Cutters",'J Book Items Cons.'!R$5:R$3360,"&lt;&gt;")+SUMIFS('J Book Items Cons.'!N$5:N$3360,'J Book Items Cons.'!E$5:E$3360,2,'J Book Items Cons.'!S$5:S$3360,"",'J Book Items Cons.'!U$5:U$3360,"USCG",'J Book Items Cons.'!W$5:W$3360,"National Security Cutters",'J Book Items Cons.'!R$5:R$3360,"",'J Book Items Cons.'!N$5:N$3360,"&lt;&gt;")+SUMIFS('J Book Items Cons.'!L$5:L$3360,'J Book Items Cons.'!E$5:E$3360,2,'J Book Items Cons.'!S$5:S$3360,"",'J Book Items Cons.'!U$5:U$3360,"USCG",'J Book Items Cons.'!W$5:W$3360,"National Security Cutters",'J Book Items Cons.'!R$5:R$3360,"",'J Book Items Cons.'!N$5:N$3360,"")+SUMIFS('J Book Items Cons.'!R$5:R$3360,'J Book Items Cons.'!E$5:E$3360,2,'J Book Items Cons.'!S$5:S$3360,"[PARENT]",'J Book Items Cons.'!U$5:U$3360,"USCG",'J Book Items Cons.'!W$5:W$3360,"National Security Cutters",'J Book Items Cons.'!R$5:R$3360,"&lt;&gt;")+SUMIFS('J Book Items Cons.'!N$5:N$3360,'J Book Items Cons.'!E$5:E$3360,2,'J Book Items Cons.'!S$5:S$3360,"[PARENT]",'J Book Items Cons.'!U$5:U$3360,"USCG",'J Book Items Cons.'!W$5:W$3360,"National Security Cutters",'J Book Items Cons.'!R$5:R$3360,"",'J Book Items Cons.'!N$5:N$3360,"&lt;&gt;")+SUMIFS('J Book Items Cons.'!L$5:L$3360,'J Book Items Cons.'!E$5:E$3360,2,'J Book Items Cons.'!S$5:S$3360,"[PARENT]",'J Book Items Cons.'!U$5:U$3360,"USCG",'J Book Items Cons.'!W$5:W$3360,"National Security Cutters",'J Book Items Cons.'!R$5:R$3360,"",'J Book Items Cons.'!N$5:N$3360,""))/P16)</f>
        <v>0</v>
      </c>
      <c r="Q10" s="38">
        <f t="shared" si="0"/>
        <v>8.8234184708300425E-2</v>
      </c>
      <c r="S10" s="7" t="s">
        <v>8823</v>
      </c>
      <c r="T10" s="25">
        <f>SUMIFS('J Book Items Cons.'!R$5:R$3360,'J Book Items Cons.'!E$5:E$3360,2,'J Book Items Cons.'!S$5:S$3360,"",'J Book Items Cons.'!X$5:X$3360,"SSN",'J Book Items Cons.'!R$5:R$3360,"&lt;&gt;")+SUMIFS('J Book Items Cons.'!N$5:N$3360,'J Book Items Cons.'!E$5:E$3360,2,'J Book Items Cons.'!S$5:S$3360,"",'J Book Items Cons.'!X$5:X$3360,"SSN",'J Book Items Cons.'!R$5:R$3360,"",'J Book Items Cons.'!N$5:N$3360,"&lt;&gt;")+SUMIFS('J Book Items Cons.'!L$5:L$3360,'J Book Items Cons.'!E$5:E$3360,2,'J Book Items Cons.'!S$5:S$3360,"",'J Book Items Cons.'!X$5:X$3360,"SSN",'J Book Items Cons.'!R$5:R$3360,"",'J Book Items Cons.'!N$5:N$3360,"")+SUMIFS('J Book Items Cons.'!R$5:R$3360,'J Book Items Cons.'!E$5:E$3360,2,'J Book Items Cons.'!S$5:S$3360,"[PARENT]",'J Book Items Cons.'!X$5:X$3360,"SSN",'J Book Items Cons.'!R$5:R$3360,"&lt;&gt;")+SUMIFS('J Book Items Cons.'!N$5:N$3360,'J Book Items Cons.'!E$5:E$3360,2,'J Book Items Cons.'!S$5:S$3360,"[PARENT]",'J Book Items Cons.'!X$5:X$3360,"SSN",'J Book Items Cons.'!R$5:R$3360,"",'J Book Items Cons.'!N$5:N$3360,"&lt;&gt;")+SUMIFS('J Book Items Cons.'!L$5:L$3360,'J Book Items Cons.'!E$5:E$3360,2,'J Book Items Cons.'!S$5:S$3360,"[PARENT]",'J Book Items Cons.'!X$5:X$3360,"SSN",'J Book Items Cons.'!R$5:R$3360,"",'J Book Items Cons.'!N$5:N$3360,"")</f>
        <v>5214667</v>
      </c>
      <c r="U10" s="14">
        <f>SUMIFS('J Book Items Cons.'!R$5:R$3360,'J Book Items Cons.'!E$5:E$3360,2,'J Book Items Cons.'!S$5:S$3360,"",'J Book Items Cons.'!X$5:X$3360,"SSBN",'J Book Items Cons.'!R$5:R$3360,"&lt;&gt;")+SUMIFS('J Book Items Cons.'!N$5:N$3360,'J Book Items Cons.'!E$5:E$3360,2,'J Book Items Cons.'!S$5:S$3360,"",'J Book Items Cons.'!X$5:X$3360,"SSBN",'J Book Items Cons.'!R$5:R$3360,"",'J Book Items Cons.'!N$5:N$3360,"&lt;&gt;")+SUMIFS('J Book Items Cons.'!L$5:L$3360,'J Book Items Cons.'!E$5:E$3360,2,'J Book Items Cons.'!S$5:S$3360,"",'J Book Items Cons.'!X$5:X$3360,"SSBN",'J Book Items Cons.'!R$5:R$3360,"",'J Book Items Cons.'!N$5:N$3360,"")+SUMIFS('J Book Items Cons.'!R$5:R$3360,'J Book Items Cons.'!E$5:E$3360,2,'J Book Items Cons.'!S$5:S$3360,"[PARENT]",'J Book Items Cons.'!X$5:X$3360,"SSBN",'J Book Items Cons.'!R$5:R$3360,"&lt;&gt;")+SUMIFS('J Book Items Cons.'!N$5:N$3360,'J Book Items Cons.'!E$5:E$3360,2,'J Book Items Cons.'!S$5:S$3360,"[PARENT]",'J Book Items Cons.'!X$5:X$3360,"SSBN",'J Book Items Cons.'!R$5:R$3360,"",'J Book Items Cons.'!N$5:N$3360,"&lt;&gt;")+SUMIFS('J Book Items Cons.'!L$5:L$3360,'J Book Items Cons.'!E$5:E$3360,2,'J Book Items Cons.'!S$5:S$3360,"[PARENT]",'J Book Items Cons.'!X$5:X$3360,"SSBN",'J Book Items Cons.'!R$5:R$3360,"",'J Book Items Cons.'!N$5:N$3360,"")</f>
        <v>878403</v>
      </c>
      <c r="V10" s="14">
        <f>SUMIFS('J Book Items Cons.'!R$5:R$3360,'J Book Items Cons.'!E$5:E$3360,2,'J Book Items Cons.'!S$5:S$3360,"",'J Book Items Cons.'!X$5:X$3360,"DDG",'J Book Items Cons.'!R$5:R$3360,"&lt;&gt;")+SUMIFS('J Book Items Cons.'!N$5:N$3360,'J Book Items Cons.'!E$5:E$3360,2,'J Book Items Cons.'!S$5:S$3360,"",'J Book Items Cons.'!X$5:X$3360,"DDG",'J Book Items Cons.'!R$5:R$3360,"",'J Book Items Cons.'!N$5:N$3360,"&lt;&gt;")+SUMIFS('J Book Items Cons.'!L$5:L$3360,'J Book Items Cons.'!E$5:E$3360,2,'J Book Items Cons.'!S$5:S$3360,"",'J Book Items Cons.'!X$5:X$3360,"DDG",'J Book Items Cons.'!R$5:R$3360,"",'J Book Items Cons.'!N$5:N$3360,"")+SUMIFS('J Book Items Cons.'!R$5:R$3360,'J Book Items Cons.'!E$5:E$3360,2,'J Book Items Cons.'!S$5:S$3360,"[PARENT]",'J Book Items Cons.'!X$5:X$3360,"DDG",'J Book Items Cons.'!R$5:R$3360,"&lt;&gt;")+SUMIFS('J Book Items Cons.'!N$5:N$3360,'J Book Items Cons.'!E$5:E$3360,2,'J Book Items Cons.'!S$5:S$3360,"[PARENT]",'J Book Items Cons.'!X$5:X$3360,"DDG",'J Book Items Cons.'!R$5:R$3360,"",'J Book Items Cons.'!N$5:N$3360,"&lt;&gt;")+SUMIFS('J Book Items Cons.'!L$5:L$3360,'J Book Items Cons.'!E$5:E$3360,2,'J Book Items Cons.'!S$5:S$3360,"[PARENT]",'J Book Items Cons.'!X$5:X$3360,"DDG",'J Book Items Cons.'!R$5:R$3360,"",'J Book Items Cons.'!N$5:N$3360,"")</f>
        <v>959808</v>
      </c>
      <c r="W10" s="14">
        <f>SUMIFS('J Book Items Cons.'!R$5:R$3360,'J Book Items Cons.'!E$5:E$3360,2,'J Book Items Cons.'!S$5:S$3360,"",'J Book Items Cons.'!X$5:X$3360,"LPD",'J Book Items Cons.'!R$5:R$3360,"&lt;&gt;")+SUMIFS('J Book Items Cons.'!N$5:N$3360,'J Book Items Cons.'!E$5:E$3360,2,'J Book Items Cons.'!S$5:S$3360,"",'J Book Items Cons.'!X$5:X$3360,"LPD",'J Book Items Cons.'!R$5:R$3360,"",'J Book Items Cons.'!N$5:N$3360,"&lt;&gt;")+SUMIFS('J Book Items Cons.'!L$5:L$3360,'J Book Items Cons.'!E$5:E$3360,2,'J Book Items Cons.'!S$5:S$3360,"",'J Book Items Cons.'!X$5:X$3360,"LPD",'J Book Items Cons.'!R$5:R$3360,"",'J Book Items Cons.'!N$5:N$3360,"")+SUMIFS('J Book Items Cons.'!R$5:R$3360,'J Book Items Cons.'!E$5:E$3360,2,'J Book Items Cons.'!S$5:S$3360,"[PARENT]",'J Book Items Cons.'!X$5:X$3360,"LPD",'J Book Items Cons.'!R$5:R$3360,"&lt;&gt;")+SUMIFS('J Book Items Cons.'!N$5:N$3360,'J Book Items Cons.'!E$5:E$3360,2,'J Book Items Cons.'!S$5:S$3360,"[PARENT]",'J Book Items Cons.'!X$5:X$3360,"LPD",'J Book Items Cons.'!R$5:R$3360,"",'J Book Items Cons.'!N$5:N$3360,"&lt;&gt;")+SUMIFS('J Book Items Cons.'!L$5:L$3360,'J Book Items Cons.'!E$5:E$3360,2,'J Book Items Cons.'!S$5:S$3360,"[PARENT]",'J Book Items Cons.'!X$5:X$3360,"LPD",'J Book Items Cons.'!R$5:R$3360,"",'J Book Items Cons.'!N$5:N$3360,"")</f>
        <v>149595</v>
      </c>
      <c r="X10" s="14">
        <f>SUMIFS('J Book Items Cons.'!R$5:R$3360,'J Book Items Cons.'!E$5:E$3360,2,'J Book Items Cons.'!S$5:S$3360,"",'J Book Items Cons.'!X$5:X$3360,"LCS",'J Book Items Cons.'!R$5:R$3360,"&lt;&gt;")+SUMIFS('J Book Items Cons.'!N$5:N$3360,'J Book Items Cons.'!E$5:E$3360,2,'J Book Items Cons.'!S$5:S$3360,"",'J Book Items Cons.'!X$5:X$3360,"LCS",'J Book Items Cons.'!R$5:R$3360,"",'J Book Items Cons.'!N$5:N$3360,"&lt;&gt;")+SUMIFS('J Book Items Cons.'!L$5:L$3360,'J Book Items Cons.'!E$5:E$3360,2,'J Book Items Cons.'!S$5:S$3360,"",'J Book Items Cons.'!X$5:X$3360,"LCS",'J Book Items Cons.'!R$5:R$3360,"",'J Book Items Cons.'!N$5:N$3360,"")+SUMIFS('J Book Items Cons.'!R$5:R$3360,'J Book Items Cons.'!E$5:E$3360,2,'J Book Items Cons.'!S$5:S$3360,"[PARENT]",'J Book Items Cons.'!X$5:X$3360,"LCS",'J Book Items Cons.'!R$5:R$3360,"&lt;&gt;")+SUMIFS('J Book Items Cons.'!N$5:N$3360,'J Book Items Cons.'!E$5:E$3360,2,'J Book Items Cons.'!S$5:S$3360,"[PARENT]",'J Book Items Cons.'!X$5:X$3360,"LCS",'J Book Items Cons.'!R$5:R$3360,"",'J Book Items Cons.'!N$5:N$3360,"&lt;&gt;")+SUMIFS('J Book Items Cons.'!L$5:L$3360,'J Book Items Cons.'!E$5:E$3360,2,'J Book Items Cons.'!S$5:S$3360,"[PARENT]",'J Book Items Cons.'!X$5:X$3360,"LCS",'J Book Items Cons.'!R$5:R$3360,"",'J Book Items Cons.'!N$5:N$3360,"")</f>
        <v>576389</v>
      </c>
      <c r="Y10" s="14">
        <f>SUMIFS('J Book Items Cons.'!R$5:R$3360,'J Book Items Cons.'!E$5:E$3360,2,'J Book Items Cons.'!S$5:S$3360,"",'J Book Items Cons.'!X$5:X$3360,"LHD",'J Book Items Cons.'!R$5:R$3360,"&lt;&gt;")+SUMIFS('J Book Items Cons.'!N$5:N$3360,'J Book Items Cons.'!E$5:E$3360,2,'J Book Items Cons.'!S$5:S$3360,"",'J Book Items Cons.'!X$5:X$3360,"LHD",'J Book Items Cons.'!R$5:R$3360,"",'J Book Items Cons.'!N$5:N$3360,"&lt;&gt;")+SUMIFS('J Book Items Cons.'!L$5:L$3360,'J Book Items Cons.'!E$5:E$3360,2,'J Book Items Cons.'!S$5:S$3360,"",'J Book Items Cons.'!X$5:X$3360,"LHD",'J Book Items Cons.'!R$5:R$3360,"",'J Book Items Cons.'!N$5:N$3360,"")+SUMIFS('J Book Items Cons.'!R$5:R$3360,'J Book Items Cons.'!E$5:E$3360,2,'J Book Items Cons.'!S$5:S$3360,"[PARENT]",'J Book Items Cons.'!X$5:X$3360,"LHD",'J Book Items Cons.'!R$5:R$3360,"&lt;&gt;")+SUMIFS('J Book Items Cons.'!N$5:N$3360,'J Book Items Cons.'!E$5:E$3360,2,'J Book Items Cons.'!S$5:S$3360,"[PARENT]",'J Book Items Cons.'!X$5:X$3360,"LHD",'J Book Items Cons.'!R$5:R$3360,"",'J Book Items Cons.'!N$5:N$3360,"&lt;&gt;")+SUMIFS('J Book Items Cons.'!L$5:L$3360,'J Book Items Cons.'!E$5:E$3360,2,'J Book Items Cons.'!S$5:S$3360,"[PARENT]",'J Book Items Cons.'!X$5:X$3360,"LHD",'J Book Items Cons.'!R$5:R$3360,"",'J Book Items Cons.'!N$5:N$3360,"")</f>
        <v>346443</v>
      </c>
      <c r="Z10" s="14">
        <f>SUMIFS('J Book Items Cons.'!R$5:R$3360,'J Book Items Cons.'!E$5:E$3360,2,'J Book Items Cons.'!S$5:S$3360,"",'J Book Items Cons.'!X$5:X$3360,"LHA",'J Book Items Cons.'!R$5:R$3360,"&lt;&gt;")+SUMIFS('J Book Items Cons.'!N$5:N$3360,'J Book Items Cons.'!E$5:E$3360,2,'J Book Items Cons.'!S$5:S$3360,"",'J Book Items Cons.'!X$5:X$3360,"LHA",'J Book Items Cons.'!R$5:R$3360,"",'J Book Items Cons.'!N$5:N$3360,"&lt;&gt;")+SUMIFS('J Book Items Cons.'!L$5:L$3360,'J Book Items Cons.'!E$5:E$3360,2,'J Book Items Cons.'!S$5:S$3360,"",'J Book Items Cons.'!X$5:X$3360,"LHA",'J Book Items Cons.'!R$5:R$3360,"",'J Book Items Cons.'!N$5:N$3360,"")+SUMIFS('J Book Items Cons.'!R$5:R$3360,'J Book Items Cons.'!E$5:E$3360,2,'J Book Items Cons.'!S$5:S$3360,"[PARENT]",'J Book Items Cons.'!X$5:X$3360,"LHA",'J Book Items Cons.'!R$5:R$3360,"&lt;&gt;")+SUMIFS('J Book Items Cons.'!N$5:N$3360,'J Book Items Cons.'!E$5:E$3360,2,'J Book Items Cons.'!S$5:S$3360,"[PARENT]",'J Book Items Cons.'!X$5:X$3360,"LHA",'J Book Items Cons.'!R$5:R$3360,"",'J Book Items Cons.'!N$5:N$3360,"&lt;&gt;")+SUMIFS('J Book Items Cons.'!L$5:L$3360,'J Book Items Cons.'!E$5:E$3360,2,'J Book Items Cons.'!S$5:S$3360,"[PARENT]",'J Book Items Cons.'!X$5:X$3360,"LHA",'J Book Items Cons.'!R$5:R$3360,"",'J Book Items Cons.'!N$5:N$3360,"")</f>
        <v>45012</v>
      </c>
      <c r="AA10" s="14">
        <f>SUMIFS('J Book Items Cons.'!R$5:R$3360,'J Book Items Cons.'!E$5:E$3360,2,'J Book Items Cons.'!S$5:S$3360,"",'J Book Items Cons.'!X$5:X$3360,"SSGN",'J Book Items Cons.'!R$5:R$3360,"&lt;&gt;")+SUMIFS('J Book Items Cons.'!N$5:N$3360,'J Book Items Cons.'!E$5:E$3360,2,'J Book Items Cons.'!S$5:S$3360,"",'J Book Items Cons.'!X$5:X$3360,"SSGN",'J Book Items Cons.'!R$5:R$3360,"",'J Book Items Cons.'!N$5:N$3360,"&lt;&gt;")+SUMIFS('J Book Items Cons.'!L$5:L$3360,'J Book Items Cons.'!E$5:E$3360,2,'J Book Items Cons.'!S$5:S$3360,"",'J Book Items Cons.'!X$5:X$3360,"SSGN",'J Book Items Cons.'!R$5:R$3360,"",'J Book Items Cons.'!N$5:N$3360,"")+SUMIFS('J Book Items Cons.'!R$5:R$3360,'J Book Items Cons.'!E$5:E$3360,2,'J Book Items Cons.'!S$5:S$3360,"[PARENT]",'J Book Items Cons.'!X$5:X$3360,"SSGN",'J Book Items Cons.'!R$5:R$3360,"&lt;&gt;")+SUMIFS('J Book Items Cons.'!N$5:N$3360,'J Book Items Cons.'!E$5:E$3360,2,'J Book Items Cons.'!S$5:S$3360,"[PARENT]",'J Book Items Cons.'!X$5:X$3360,"SSGN",'J Book Items Cons.'!R$5:R$3360,"",'J Book Items Cons.'!N$5:N$3360,"&lt;&gt;")+SUMIFS('J Book Items Cons.'!L$5:L$3360,'J Book Items Cons.'!E$5:E$3360,2,'J Book Items Cons.'!S$5:S$3360,"[PARENT]",'J Book Items Cons.'!X$5:X$3360,"SSGN",'J Book Items Cons.'!R$5:R$3360,"",'J Book Items Cons.'!N$5:N$3360,"")</f>
        <v>225151</v>
      </c>
      <c r="AB10" s="14">
        <f>SUMIFS('J Book Items Cons.'!R$5:R$3360,'J Book Items Cons.'!E$5:E$3360,2,'J Book Items Cons.'!S$5:S$3360,"",'J Book Items Cons.'!X$5:X$3360,"CG",'J Book Items Cons.'!R$5:R$3360,"&lt;&gt;")+SUMIFS('J Book Items Cons.'!N$5:N$3360,'J Book Items Cons.'!E$5:E$3360,2,'J Book Items Cons.'!S$5:S$3360,"",'J Book Items Cons.'!X$5:X$3360,"CG",'J Book Items Cons.'!R$5:R$3360,"",'J Book Items Cons.'!N$5:N$3360,"&lt;&gt;")+SUMIFS('J Book Items Cons.'!L$5:L$3360,'J Book Items Cons.'!E$5:E$3360,2,'J Book Items Cons.'!S$5:S$3360,"",'J Book Items Cons.'!X$5:X$3360,"CG",'J Book Items Cons.'!R$5:R$3360,"",'J Book Items Cons.'!N$5:N$3360,"")+SUMIFS('J Book Items Cons.'!R$5:R$3360,'J Book Items Cons.'!E$5:E$3360,2,'J Book Items Cons.'!S$5:S$3360,"[PARENT]",'J Book Items Cons.'!X$5:X$3360,"CG",'J Book Items Cons.'!R$5:R$3360,"&lt;&gt;")+SUMIFS('J Book Items Cons.'!N$5:N$3360,'J Book Items Cons.'!E$5:E$3360,2,'J Book Items Cons.'!S$5:S$3360,"[PARENT]",'J Book Items Cons.'!X$5:X$3360,"CG",'J Book Items Cons.'!R$5:R$3360,"",'J Book Items Cons.'!N$5:N$3360,"&lt;&gt;")+SUMIFS('J Book Items Cons.'!L$5:L$3360,'J Book Items Cons.'!E$5:E$3360,2,'J Book Items Cons.'!S$5:S$3360,"[PARENT]",'J Book Items Cons.'!X$5:X$3360,"CG",'J Book Items Cons.'!R$5:R$3360,"",'J Book Items Cons.'!N$5:N$3360,"")</f>
        <v>115501</v>
      </c>
      <c r="AC10" s="26">
        <f>SUMIFS('J Book Items Cons.'!R$5:R$3360,'J Book Items Cons.'!E$5:E$3360,2,'J Book Items Cons.'!S$5:S$3360,"",'J Book Items Cons.'!X$5:X$3360,"LSD",'J Book Items Cons.'!R$5:R$3360,"&lt;&gt;")+SUMIFS('J Book Items Cons.'!N$5:N$3360,'J Book Items Cons.'!E$5:E$3360,2,'J Book Items Cons.'!S$5:S$3360,"",'J Book Items Cons.'!X$5:X$3360,"LSD",'J Book Items Cons.'!R$5:R$3360,"",'J Book Items Cons.'!N$5:N$3360,"&lt;&gt;")+SUMIFS('J Book Items Cons.'!L$5:L$3360,'J Book Items Cons.'!E$5:E$3360,2,'J Book Items Cons.'!S$5:S$3360,"",'J Book Items Cons.'!X$5:X$3360,"LSD",'J Book Items Cons.'!R$5:R$3360,"",'J Book Items Cons.'!N$5:N$3360,"")+SUMIFS('J Book Items Cons.'!R$5:R$3360,'J Book Items Cons.'!E$5:E$3360,2,'J Book Items Cons.'!S$5:S$3360,"[PARENT]",'J Book Items Cons.'!X$5:X$3360,"LSD",'J Book Items Cons.'!R$5:R$3360,"&lt;&gt;")+SUMIFS('J Book Items Cons.'!N$5:N$3360,'J Book Items Cons.'!E$5:E$3360,2,'J Book Items Cons.'!S$5:S$3360,"[PARENT]",'J Book Items Cons.'!X$5:X$3360,"LSD",'J Book Items Cons.'!R$5:R$3360,"",'J Book Items Cons.'!N$5:N$3360,"&lt;&gt;")+SUMIFS('J Book Items Cons.'!L$5:L$3360,'J Book Items Cons.'!E$5:E$3360,2,'J Book Items Cons.'!S$5:S$3360,"[PARENT]",'J Book Items Cons.'!X$5:X$3360,"LSD",'J Book Items Cons.'!R$5:R$3360,"",'J Book Items Cons.'!N$5:N$3360,"")</f>
        <v>94421</v>
      </c>
      <c r="AD10" s="25">
        <f>SUMIFS('J Book Items Cons.'!R$5:R$3360,'J Book Items Cons.'!E$5:E$3360,2,'J Book Items Cons.'!S$5:S$3360,"",'J Book Items Cons.'!X$5:X$3360,"WMSM",'J Book Items Cons.'!R$5:R$3360,"&lt;&gt;")+SUMIFS('J Book Items Cons.'!N$5:N$3360,'J Book Items Cons.'!E$5:E$3360,2,'J Book Items Cons.'!S$5:S$3360,"",'J Book Items Cons.'!X$5:X$3360,"WMSM",'J Book Items Cons.'!R$5:R$3360,"",'J Book Items Cons.'!N$5:N$3360,"&lt;&gt;")+SUMIFS('J Book Items Cons.'!L$5:L$3360,'J Book Items Cons.'!E$5:E$3360,2,'J Book Items Cons.'!S$5:S$3360,"",'J Book Items Cons.'!X$5:X$3360,"WMSM",'J Book Items Cons.'!R$5:R$3360,"",'J Book Items Cons.'!N$5:N$3360,"")+SUMIFS('J Book Items Cons.'!R$5:R$3360,'J Book Items Cons.'!E$5:E$3360,2,'J Book Items Cons.'!S$5:S$3360,"[PARENT]",'J Book Items Cons.'!X$5:X$3360,"WMSM",'J Book Items Cons.'!R$5:R$3360,"&lt;&gt;")+SUMIFS('J Book Items Cons.'!N$5:N$3360,'J Book Items Cons.'!E$5:E$3360,2,'J Book Items Cons.'!S$5:S$3360,"[PARENT]",'J Book Items Cons.'!X$5:X$3360,"WMSM",'J Book Items Cons.'!R$5:R$3360,"",'J Book Items Cons.'!N$5:N$3360,"&lt;&gt;")+SUMIFS('J Book Items Cons.'!L$5:L$3360,'J Book Items Cons.'!E$5:E$3360,2,'J Book Items Cons.'!S$5:S$3360,"[PARENT]",'J Book Items Cons.'!X$5:X$3360,"WMSM",'J Book Items Cons.'!R$5:R$3360,"",'J Book Items Cons.'!N$5:N$3360,"")</f>
        <v>0</v>
      </c>
      <c r="AE10" s="14">
        <f>SUMIFS('J Book Items Cons.'!R$5:R$3360,'J Book Items Cons.'!E$5:E$3360,2,'J Book Items Cons.'!S$5:S$3360,"",'J Book Items Cons.'!X$5:X$3360,"WPC",'J Book Items Cons.'!R$5:R$3360,"&lt;&gt;")+SUMIFS('J Book Items Cons.'!N$5:N$3360,'J Book Items Cons.'!E$5:E$3360,2,'J Book Items Cons.'!S$5:S$3360,"",'J Book Items Cons.'!X$5:X$3360,"WPC",'J Book Items Cons.'!R$5:R$3360,"",'J Book Items Cons.'!N$5:N$3360,"&lt;&gt;")+SUMIFS('J Book Items Cons.'!L$5:L$3360,'J Book Items Cons.'!E$5:E$3360,2,'J Book Items Cons.'!S$5:S$3360,"",'J Book Items Cons.'!X$5:X$3360,"WPC",'J Book Items Cons.'!R$5:R$3360,"",'J Book Items Cons.'!N$5:N$3360,"")+SUMIFS('J Book Items Cons.'!R$5:R$3360,'J Book Items Cons.'!E$5:E$3360,2,'J Book Items Cons.'!S$5:S$3360,"[PARENT]",'J Book Items Cons.'!X$5:X$3360,"WPC",'J Book Items Cons.'!R$5:R$3360,"&lt;&gt;")+SUMIFS('J Book Items Cons.'!N$5:N$3360,'J Book Items Cons.'!E$5:E$3360,2,'J Book Items Cons.'!S$5:S$3360,"[PARENT]",'J Book Items Cons.'!X$5:X$3360,"WPC",'J Book Items Cons.'!R$5:R$3360,"",'J Book Items Cons.'!N$5:N$3360,"&lt;&gt;")+SUMIFS('J Book Items Cons.'!L$5:L$3360,'J Book Items Cons.'!E$5:E$3360,2,'J Book Items Cons.'!S$5:S$3360,"[PARENT]",'J Book Items Cons.'!X$5:X$3360,"WPC",'J Book Items Cons.'!R$5:R$3360,"",'J Book Items Cons.'!N$5:N$3360,"")</f>
        <v>0</v>
      </c>
      <c r="AF10" s="14">
        <f>SUMIFS('J Book Items Cons.'!R$5:R$3360,'J Book Items Cons.'!E$5:E$3360,2,'J Book Items Cons.'!S$5:S$3360,"",'J Book Items Cons.'!X$5:X$3360,"WAGB",'J Book Items Cons.'!R$5:R$3360,"&lt;&gt;")+SUMIFS('J Book Items Cons.'!N$5:N$3360,'J Book Items Cons.'!E$5:E$3360,2,'J Book Items Cons.'!S$5:S$3360,"",'J Book Items Cons.'!X$5:X$3360,"WAGB",'J Book Items Cons.'!R$5:R$3360,"",'J Book Items Cons.'!N$5:N$3360,"&lt;&gt;")+SUMIFS('J Book Items Cons.'!L$5:L$3360,'J Book Items Cons.'!E$5:E$3360,2,'J Book Items Cons.'!S$5:S$3360,"",'J Book Items Cons.'!X$5:X$3360,"WAGB",'J Book Items Cons.'!R$5:R$3360,"",'J Book Items Cons.'!N$5:N$3360,"")+SUMIFS('J Book Items Cons.'!R$5:R$3360,'J Book Items Cons.'!E$5:E$3360,2,'J Book Items Cons.'!S$5:S$3360,"[PARENT]",'J Book Items Cons.'!X$5:X$3360,"WAGB",'J Book Items Cons.'!R$5:R$3360,"&lt;&gt;")+SUMIFS('J Book Items Cons.'!N$5:N$3360,'J Book Items Cons.'!E$5:E$3360,2,'J Book Items Cons.'!S$5:S$3360,"[PARENT]",'J Book Items Cons.'!X$5:X$3360,"WAGB",'J Book Items Cons.'!R$5:R$3360,"",'J Book Items Cons.'!N$5:N$3360,"&lt;&gt;")+SUMIFS('J Book Items Cons.'!L$5:L$3360,'J Book Items Cons.'!E$5:E$3360,2,'J Book Items Cons.'!S$5:S$3360,"[PARENT]",'J Book Items Cons.'!X$5:X$3360,"WAGB",'J Book Items Cons.'!R$5:R$3360,"",'J Book Items Cons.'!N$5:N$3360,"")</f>
        <v>0</v>
      </c>
      <c r="AG10" s="14">
        <f>SUMIFS('J Book Items Cons.'!R$5:R$3360,'J Book Items Cons.'!E$5:E$3360,2,'J Book Items Cons.'!S$5:S$3360,"",'J Book Items Cons.'!X$5:X$3360,"WCC",'J Book Items Cons.'!R$5:R$3360,"&lt;&gt;")+SUMIFS('J Book Items Cons.'!N$5:N$3360,'J Book Items Cons.'!E$5:E$3360,2,'J Book Items Cons.'!S$5:S$3360,"",'J Book Items Cons.'!X$5:X$3360,"WCC",'J Book Items Cons.'!R$5:R$3360,"",'J Book Items Cons.'!N$5:N$3360,"&lt;&gt;")+SUMIFS('J Book Items Cons.'!L$5:L$3360,'J Book Items Cons.'!E$5:E$3360,2,'J Book Items Cons.'!S$5:S$3360,"",'J Book Items Cons.'!X$5:X$3360,"WCC",'J Book Items Cons.'!R$5:R$3360,"",'J Book Items Cons.'!N$5:N$3360,"")+SUMIFS('J Book Items Cons.'!R$5:R$3360,'J Book Items Cons.'!E$5:E$3360,2,'J Book Items Cons.'!S$5:S$3360,"[PARENT]",'J Book Items Cons.'!X$5:X$3360,"WCC",'J Book Items Cons.'!R$5:R$3360,"&lt;&gt;")+SUMIFS('J Book Items Cons.'!N$5:N$3360,'J Book Items Cons.'!E$5:E$3360,2,'J Book Items Cons.'!S$5:S$3360,"[PARENT]",'J Book Items Cons.'!X$5:X$3360,"WCC",'J Book Items Cons.'!R$5:R$3360,"",'J Book Items Cons.'!N$5:N$3360,"&lt;&gt;")+SUMIFS('J Book Items Cons.'!L$5:L$3360,'J Book Items Cons.'!E$5:E$3360,2,'J Book Items Cons.'!S$5:S$3360,"[PARENT]",'J Book Items Cons.'!X$5:X$3360,"WCC",'J Book Items Cons.'!R$5:R$3360,"",'J Book Items Cons.'!N$5:N$3360,"")</f>
        <v>0</v>
      </c>
      <c r="AH10" s="26">
        <f>SUMIFS('J Book Items Cons.'!R$5:R$3360,'J Book Items Cons.'!E$5:E$3360,2,'J Book Items Cons.'!S$5:S$3360,"",'J Book Items Cons.'!X$5:X$3360,"WMSL",'J Book Items Cons.'!R$5:R$3360,"&lt;&gt;")+SUMIFS('J Book Items Cons.'!N$5:N$3360,'J Book Items Cons.'!E$5:E$3360,2,'J Book Items Cons.'!S$5:S$3360,"",'J Book Items Cons.'!X$5:X$3360,"WMSL",'J Book Items Cons.'!R$5:R$3360,"",'J Book Items Cons.'!N$5:N$3360,"&lt;&gt;")+SUMIFS('J Book Items Cons.'!L$5:L$3360,'J Book Items Cons.'!E$5:E$3360,2,'J Book Items Cons.'!S$5:S$3360,"",'J Book Items Cons.'!X$5:X$3360,"WMSL",'J Book Items Cons.'!R$5:R$3360,"",'J Book Items Cons.'!N$5:N$3360,"")+SUMIFS('J Book Items Cons.'!R$5:R$3360,'J Book Items Cons.'!E$5:E$3360,2,'J Book Items Cons.'!S$5:S$3360,"[PARENT]",'J Book Items Cons.'!X$5:X$3360,"WMSL",'J Book Items Cons.'!R$5:R$3360,"&lt;&gt;")+SUMIFS('J Book Items Cons.'!N$5:N$3360,'J Book Items Cons.'!E$5:E$3360,2,'J Book Items Cons.'!S$5:S$3360,"[PARENT]",'J Book Items Cons.'!X$5:X$3360,"WMSL",'J Book Items Cons.'!R$5:R$3360,"",'J Book Items Cons.'!N$5:N$3360,"&lt;&gt;")+SUMIFS('J Book Items Cons.'!L$5:L$3360,'J Book Items Cons.'!E$5:E$3360,2,'J Book Items Cons.'!S$5:S$3360,"[PARENT]",'J Book Items Cons.'!X$5:X$3360,"WMSL",'J Book Items Cons.'!R$5:R$3360,"",'J Book Items Cons.'!N$5:N$3360,"")</f>
        <v>0</v>
      </c>
      <c r="AI10" s="14">
        <f t="shared" si="1"/>
        <v>8605390</v>
      </c>
    </row>
    <row r="11" spans="1:35" ht="9.75" customHeight="1" x14ac:dyDescent="0.15">
      <c r="A11" s="7" t="s">
        <v>8851</v>
      </c>
      <c r="B11" s="37">
        <f>IF(B16=0,0,(SUMIFS('J Book Items Cons.'!R$5:R$3360,'J Book Items Cons.'!E$5:E$3360,3,'J Book Items Cons.'!S$5:S$3360,"",'J Book Items Cons.'!U$5:U$3360,"USN",'J Book Items Cons.'!W$5:W$3360,"Surface Combatants",'J Book Items Cons.'!R$5:R$3360,"&lt;&gt;")+SUMIFS('J Book Items Cons.'!N$5:N$3360,'J Book Items Cons.'!E$5:E$3360,3,'J Book Items Cons.'!S$5:S$3360,"",'J Book Items Cons.'!U$5:U$3360,"USN",'J Book Items Cons.'!W$5:W$3360,"Surface Combatants",'J Book Items Cons.'!R$5:R$3360,"",'J Book Items Cons.'!N$5:N$3360,"&lt;&gt;")+SUMIFS('J Book Items Cons.'!L$5:L$3360,'J Book Items Cons.'!E$5:E$3360,3,'J Book Items Cons.'!S$5:S$3360,"",'J Book Items Cons.'!U$5:U$3360,"USN",'J Book Items Cons.'!W$5:W$3360,"Surface Combatants",'J Book Items Cons.'!R$5:R$3360,"",'J Book Items Cons.'!N$5:N$3360,"")+SUMIFS('J Book Items Cons.'!R$5:R$3360,'J Book Items Cons.'!E$5:E$3360,3,'J Book Items Cons.'!S$5:S$3360,"[PARENT]",'J Book Items Cons.'!U$5:U$3360,"USN",'J Book Items Cons.'!W$5:W$3360,"Surface Combatants",'J Book Items Cons.'!R$5:R$3360,"&lt;&gt;")+SUMIFS('J Book Items Cons.'!N$5:N$3360,'J Book Items Cons.'!E$5:E$3360,3,'J Book Items Cons.'!S$5:S$3360,"[PARENT]",'J Book Items Cons.'!U$5:U$3360,"USN",'J Book Items Cons.'!W$5:W$3360,"Surface Combatants",'J Book Items Cons.'!R$5:R$3360,"",'J Book Items Cons.'!N$5:N$3360,"&lt;&gt;")+SUMIFS('J Book Items Cons.'!L$5:L$3360,'J Book Items Cons.'!E$5:E$3360,3,'J Book Items Cons.'!S$5:S$3360,"[PARENT]",'J Book Items Cons.'!U$5:U$3360,"USN",'J Book Items Cons.'!W$5:W$3360,"Surface Combatants",'J Book Items Cons.'!R$5:R$3360,"",'J Book Items Cons.'!N$5:N$3360,""))/B16)</f>
        <v>1.522552500719067E-2</v>
      </c>
      <c r="C11" s="38">
        <f>IF(C16=0,0,(SUMIFS('J Book Items Cons.'!R$5:R$3360,'J Book Items Cons.'!E$5:E$3360,3,'J Book Items Cons.'!S$5:S$3360,"",'J Book Items Cons.'!U$5:U$3360,"USN",'J Book Items Cons.'!W$5:W$3360,"Amphibious Warfare Ships",'J Book Items Cons.'!R$5:R$3360,"&lt;&gt;")+SUMIFS('J Book Items Cons.'!N$5:N$3360,'J Book Items Cons.'!E$5:E$3360,3,'J Book Items Cons.'!S$5:S$3360,"",'J Book Items Cons.'!U$5:U$3360,"USN",'J Book Items Cons.'!W$5:W$3360,"Amphibious Warfare Ships",'J Book Items Cons.'!R$5:R$3360,"",'J Book Items Cons.'!N$5:N$3360,"&lt;&gt;")+SUMIFS('J Book Items Cons.'!L$5:L$3360,'J Book Items Cons.'!E$5:E$3360,3,'J Book Items Cons.'!S$5:S$3360,"",'J Book Items Cons.'!U$5:U$3360,"USN",'J Book Items Cons.'!W$5:W$3360,"Amphibious Warfare Ships",'J Book Items Cons.'!R$5:R$3360,"",'J Book Items Cons.'!N$5:N$3360,"")+SUMIFS('J Book Items Cons.'!R$5:R$3360,'J Book Items Cons.'!E$5:E$3360,3,'J Book Items Cons.'!S$5:S$3360,"[PARENT]",'J Book Items Cons.'!U$5:U$3360,"USN",'J Book Items Cons.'!W$5:W$3360,"Amphibious Warfare Ships",'J Book Items Cons.'!R$5:R$3360,"&lt;&gt;")+SUMIFS('J Book Items Cons.'!N$5:N$3360,'J Book Items Cons.'!E$5:E$3360,3,'J Book Items Cons.'!S$5:S$3360,"[PARENT]",'J Book Items Cons.'!U$5:U$3360,"USN",'J Book Items Cons.'!W$5:W$3360,"Amphibious Warfare Ships",'J Book Items Cons.'!R$5:R$3360,"",'J Book Items Cons.'!N$5:N$3360,"&lt;&gt;")+SUMIFS('J Book Items Cons.'!L$5:L$3360,'J Book Items Cons.'!E$5:E$3360,3,'J Book Items Cons.'!S$5:S$3360,"[PARENT]",'J Book Items Cons.'!U$5:U$3360,"USN",'J Book Items Cons.'!W$5:W$3360,"Amphibious Warfare Ships",'J Book Items Cons.'!R$5:R$3360,"",'J Book Items Cons.'!N$5:N$3360,""))/C16)</f>
        <v>0</v>
      </c>
      <c r="D11" s="38">
        <f>IF(D16=0,0,(SUMIFS('J Book Items Cons.'!R$5:R$3360,'J Book Items Cons.'!E$5:E$3360,3,'J Book Items Cons.'!S$5:S$3360,"",'J Book Items Cons.'!U$5:U$3360,"USN",'J Book Items Cons.'!W$5:W$3360,"Expeditionary &amp; Seabasing Ships",'J Book Items Cons.'!R$5:R$3360,"&lt;&gt;")+SUMIFS('J Book Items Cons.'!N$5:N$3360,'J Book Items Cons.'!E$5:E$3360,3,'J Book Items Cons.'!S$5:S$3360,"",'J Book Items Cons.'!U$5:U$3360,"USN",'J Book Items Cons.'!W$5:W$3360,"Expeditionary &amp; Seabasing Ships",'J Book Items Cons.'!R$5:R$3360,"",'J Book Items Cons.'!N$5:N$3360,"&lt;&gt;")+SUMIFS('J Book Items Cons.'!L$5:L$3360,'J Book Items Cons.'!E$5:E$3360,3,'J Book Items Cons.'!S$5:S$3360,"",'J Book Items Cons.'!U$5:U$3360,"USN",'J Book Items Cons.'!W$5:W$3360,"Expeditionary &amp; Seabasing Ships",'J Book Items Cons.'!R$5:R$3360,"",'J Book Items Cons.'!N$5:N$3360,"")+SUMIFS('J Book Items Cons.'!R$5:R$3360,'J Book Items Cons.'!E$5:E$3360,3,'J Book Items Cons.'!S$5:S$3360,"[PARENT]",'J Book Items Cons.'!U$5:U$3360,"USN",'J Book Items Cons.'!W$5:W$3360,"Expeditionary &amp; Seabasing Ships",'J Book Items Cons.'!R$5:R$3360,"&lt;&gt;")+SUMIFS('J Book Items Cons.'!N$5:N$3360,'J Book Items Cons.'!E$5:E$3360,3,'J Book Items Cons.'!S$5:S$3360,"[PARENT]",'J Book Items Cons.'!U$5:U$3360,"USN",'J Book Items Cons.'!W$5:W$3360,"Expeditionary &amp; Seabasing Ships",'J Book Items Cons.'!R$5:R$3360,"",'J Book Items Cons.'!N$5:N$3360,"&lt;&gt;")+SUMIFS('J Book Items Cons.'!L$5:L$3360,'J Book Items Cons.'!E$5:E$3360,3,'J Book Items Cons.'!S$5:S$3360,"[PARENT]",'J Book Items Cons.'!U$5:U$3360,"USN",'J Book Items Cons.'!W$5:W$3360,"Expeditionary &amp; Seabasing Ships",'J Book Items Cons.'!R$5:R$3360,"",'J Book Items Cons.'!N$5:N$3360,""))/D16)</f>
        <v>0</v>
      </c>
      <c r="E11" s="38">
        <f>IF(E16=0,0,(SUMIFS('J Book Items Cons.'!R$5:R$3360,'J Book Items Cons.'!E$5:E$3360,3,'J Book Items Cons.'!S$5:S$3360,"",'J Book Items Cons.'!U$5:U$3360,"MSC",'J Book Items Cons.'!W$5:W$3360,"Combat Logistics Ships",'J Book Items Cons.'!R$5:R$3360,"&lt;&gt;")+SUMIFS('J Book Items Cons.'!N$5:N$3360,'J Book Items Cons.'!E$5:E$3360,3,'J Book Items Cons.'!S$5:S$3360,"",'J Book Items Cons.'!U$5:U$3360,"MSC",'J Book Items Cons.'!W$5:W$3360,"Combat Logistics Ships",'J Book Items Cons.'!R$5:R$3360,"",'J Book Items Cons.'!N$5:N$3360,"&lt;&gt;")+SUMIFS('J Book Items Cons.'!L$5:L$3360,'J Book Items Cons.'!E$5:E$3360,3,'J Book Items Cons.'!S$5:S$3360,"",'J Book Items Cons.'!U$5:U$3360,"MSC",'J Book Items Cons.'!W$5:W$3360,"Combat Logistics Ships",'J Book Items Cons.'!R$5:R$3360,"",'J Book Items Cons.'!N$5:N$3360,"")+SUMIFS('J Book Items Cons.'!R$5:R$3360,'J Book Items Cons.'!E$5:E$3360,3,'J Book Items Cons.'!S$5:S$3360,"[PARENT]",'J Book Items Cons.'!U$5:U$3360,"MSC",'J Book Items Cons.'!W$5:W$3360,"Combat Logistics Ships",'J Book Items Cons.'!R$5:R$3360,"&lt;&gt;")+SUMIFS('J Book Items Cons.'!N$5:N$3360,'J Book Items Cons.'!E$5:E$3360,3,'J Book Items Cons.'!S$5:S$3360,"[PARENT]",'J Book Items Cons.'!U$5:U$3360,"MSC",'J Book Items Cons.'!W$5:W$3360,"Combat Logistics Ships",'J Book Items Cons.'!R$5:R$3360,"",'J Book Items Cons.'!N$5:N$3360,"&lt;&gt;")+SUMIFS('J Book Items Cons.'!L$5:L$3360,'J Book Items Cons.'!E$5:E$3360,3,'J Book Items Cons.'!S$5:S$3360,"[PARENT]",'J Book Items Cons.'!U$5:U$3360,"MSC",'J Book Items Cons.'!W$5:W$3360,"Combat Logistics Ships",'J Book Items Cons.'!R$5:R$3360,"",'J Book Items Cons.'!N$5:N$3360,""))/E16)</f>
        <v>0</v>
      </c>
      <c r="F11" s="38"/>
      <c r="G11" s="38">
        <f>IF(G16=0,0,(SUMIFS('J Book Items Cons.'!R$5:R$3360,'J Book Items Cons.'!E$5:E$3360,3,'J Book Items Cons.'!S$5:S$3360,"",'J Book Items Cons.'!U$5:U$3360,"USN",'J Book Items Cons.'!W$5:W$3360,"Amphibious Warfare Craft",'J Book Items Cons.'!R$5:R$3360,"&lt;&gt;")+SUMIFS('J Book Items Cons.'!N$5:N$3360,'J Book Items Cons.'!E$5:E$3360,3,'J Book Items Cons.'!S$5:S$3360,"",'J Book Items Cons.'!U$5:U$3360,"USN",'J Book Items Cons.'!W$5:W$3360,"Amphibious Warfare Craft",'J Book Items Cons.'!R$5:R$3360,"",'J Book Items Cons.'!N$5:N$3360,"&lt;&gt;")+SUMIFS('J Book Items Cons.'!L$5:L$3360,'J Book Items Cons.'!E$5:E$3360,3,'J Book Items Cons.'!S$5:S$3360,"",'J Book Items Cons.'!U$5:U$3360,"USN",'J Book Items Cons.'!W$5:W$3360,"Amphibious Warfare Craft",'J Book Items Cons.'!R$5:R$3360,"",'J Book Items Cons.'!N$5:N$3360,"")+SUMIFS('J Book Items Cons.'!R$5:R$3360,'J Book Items Cons.'!E$5:E$3360,3,'J Book Items Cons.'!S$5:S$3360,"[PARENT]",'J Book Items Cons.'!U$5:U$3360,"USN",'J Book Items Cons.'!W$5:W$3360,"Amphibious Warfare Craft",'J Book Items Cons.'!R$5:R$3360,"&lt;&gt;")+SUMIFS('J Book Items Cons.'!N$5:N$3360,'J Book Items Cons.'!E$5:E$3360,3,'J Book Items Cons.'!S$5:S$3360,"[PARENT]",'J Book Items Cons.'!U$5:U$3360,"USN",'J Book Items Cons.'!W$5:W$3360,"Amphibious Warfare Craft",'J Book Items Cons.'!R$5:R$3360,"",'J Book Items Cons.'!N$5:N$3360,"&lt;&gt;")+SUMIFS('J Book Items Cons.'!L$5:L$3360,'J Book Items Cons.'!E$5:E$3360,3,'J Book Items Cons.'!S$5:S$3360,"[PARENT]",'J Book Items Cons.'!U$5:U$3360,"USN",'J Book Items Cons.'!W$5:W$3360,"Amphibious Warfare Craft",'J Book Items Cons.'!R$5:R$3360,"",'J Book Items Cons.'!N$5:N$3360,""))/G16)</f>
        <v>8.630523095223365E-3</v>
      </c>
      <c r="H11" s="38">
        <f>IF(H16=0,0,(SUMIFS('J Book Items Cons.'!R$5:R$3360,'J Book Items Cons.'!E$5:E$3360,3,'J Book Items Cons.'!S$5:S$3360,"",'J Book Items Cons.'!U$5:U$3360,"MSC",'J Book Items Cons.'!W$5:W$3360,"Cargo &amp; Vehicle Cargo Ships",'J Book Items Cons.'!R$5:R$3360,"&lt;&gt;")+SUMIFS('J Book Items Cons.'!N$5:N$3360,'J Book Items Cons.'!E$5:E$3360,3,'J Book Items Cons.'!S$5:S$3360,"",'J Book Items Cons.'!U$5:U$3360,"MSC",'J Book Items Cons.'!W$5:W$3360,"Cargo &amp; Vehicle Cargo Ships",'J Book Items Cons.'!R$5:R$3360,"",'J Book Items Cons.'!N$5:N$3360,"&lt;&gt;")+SUMIFS('J Book Items Cons.'!L$5:L$3360,'J Book Items Cons.'!E$5:E$3360,3,'J Book Items Cons.'!S$5:S$3360,"",'J Book Items Cons.'!U$5:U$3360,"MSC",'J Book Items Cons.'!W$5:W$3360,"Cargo &amp; Vehicle Cargo Ships",'J Book Items Cons.'!R$5:R$3360,"",'J Book Items Cons.'!N$5:N$3360,"")+SUMIFS('J Book Items Cons.'!R$5:R$3360,'J Book Items Cons.'!E$5:E$3360,3,'J Book Items Cons.'!S$5:S$3360,"[PARENT]",'J Book Items Cons.'!U$5:U$3360,"MSC",'J Book Items Cons.'!W$5:W$3360,"Cargo &amp; Vehicle Cargo Ships",'J Book Items Cons.'!R$5:R$3360,"&lt;&gt;")+SUMIFS('J Book Items Cons.'!N$5:N$3360,'J Book Items Cons.'!E$5:E$3360,3,'J Book Items Cons.'!S$5:S$3360,"[PARENT]",'J Book Items Cons.'!U$5:U$3360,"MSC",'J Book Items Cons.'!W$5:W$3360,"Cargo &amp; Vehicle Cargo Ships",'J Book Items Cons.'!R$5:R$3360,"",'J Book Items Cons.'!N$5:N$3360,"&lt;&gt;")+SUMIFS('J Book Items Cons.'!L$5:L$3360,'J Book Items Cons.'!E$5:E$3360,3,'J Book Items Cons.'!S$5:S$3360,"[PARENT]",'J Book Items Cons.'!U$5:U$3360,"MSC",'J Book Items Cons.'!W$5:W$3360,"Cargo &amp; Vehicle Cargo Ships",'J Book Items Cons.'!R$5:R$3360,"",'J Book Items Cons.'!N$5:N$3360,""))/H16)</f>
        <v>0</v>
      </c>
      <c r="I11" s="38">
        <f>IF(I16=0,0,(SUMIFS('J Book Items Cons.'!R$5:R$3360,'J Book Items Cons.'!E$5:E$3360,3,'J Book Items Cons.'!S$5:S$3360,"",'J Book Items Cons.'!U$5:U$3360,"MSC",'J Book Items Cons.'!W$5:W$3360,"Surveillance Ships",'J Book Items Cons.'!R$5:R$3360,"&lt;&gt;")+SUMIFS('J Book Items Cons.'!N$5:N$3360,'J Book Items Cons.'!E$5:E$3360,3,'J Book Items Cons.'!S$5:S$3360,"",'J Book Items Cons.'!U$5:U$3360,"MSC",'J Book Items Cons.'!W$5:W$3360,"Surveillance Ships",'J Book Items Cons.'!R$5:R$3360,"",'J Book Items Cons.'!N$5:N$3360,"&lt;&gt;")+SUMIFS('J Book Items Cons.'!L$5:L$3360,'J Book Items Cons.'!E$5:E$3360,3,'J Book Items Cons.'!S$5:S$3360,"",'J Book Items Cons.'!U$5:U$3360,"MSC",'J Book Items Cons.'!W$5:W$3360,"Surveillance Ships",'J Book Items Cons.'!R$5:R$3360,"",'J Book Items Cons.'!N$5:N$3360,"")+SUMIFS('J Book Items Cons.'!R$5:R$3360,'J Book Items Cons.'!E$5:E$3360,3,'J Book Items Cons.'!S$5:S$3360,"[PARENT]",'J Book Items Cons.'!U$5:U$3360,"MSC",'J Book Items Cons.'!W$5:W$3360,"Surveillance Ships",'J Book Items Cons.'!R$5:R$3360,"&lt;&gt;")+SUMIFS('J Book Items Cons.'!N$5:N$3360,'J Book Items Cons.'!E$5:E$3360,3,'J Book Items Cons.'!S$5:S$3360,"[PARENT]",'J Book Items Cons.'!U$5:U$3360,"MSC",'J Book Items Cons.'!W$5:W$3360,"Surveillance Ships",'J Book Items Cons.'!R$5:R$3360,"",'J Book Items Cons.'!N$5:N$3360,"&lt;&gt;")+SUMIFS('J Book Items Cons.'!L$5:L$3360,'J Book Items Cons.'!E$5:E$3360,3,'J Book Items Cons.'!S$5:S$3360,"[PARENT]",'J Book Items Cons.'!U$5:U$3360,"MSC",'J Book Items Cons.'!W$5:W$3360,"Surveillance Ships",'J Book Items Cons.'!R$5:R$3360,"",'J Book Items Cons.'!N$5:N$3360,""))/I16)</f>
        <v>0</v>
      </c>
      <c r="J11" s="38">
        <f>IF(J16=0,0,(SUMIFS('J Book Items Cons.'!R$5:R$3360,'J Book Items Cons.'!E$5:E$3360,3,'J Book Items Cons.'!S$5:S$3360,"",'J Book Items Cons.'!U$5:U$3360,"USN",'J Book Items Cons.'!W$5:W$3360,"Command Ships",'J Book Items Cons.'!R$5:R$3360,"&lt;&gt;")+SUMIFS('J Book Items Cons.'!N$5:N$3360,'J Book Items Cons.'!E$5:E$3360,3,'J Book Items Cons.'!S$5:S$3360,"",'J Book Items Cons.'!U$5:U$3360,"USN",'J Book Items Cons.'!W$5:W$3360,"Command Ships",'J Book Items Cons.'!R$5:R$3360,"",'J Book Items Cons.'!N$5:N$3360,"&lt;&gt;")+SUMIFS('J Book Items Cons.'!L$5:L$3360,'J Book Items Cons.'!E$5:E$3360,3,'J Book Items Cons.'!S$5:S$3360,"",'J Book Items Cons.'!U$5:U$3360,"USN",'J Book Items Cons.'!W$5:W$3360,"Command Ships",'J Book Items Cons.'!R$5:R$3360,"",'J Book Items Cons.'!N$5:N$3360,"")+SUMIFS('J Book Items Cons.'!R$5:R$3360,'J Book Items Cons.'!E$5:E$3360,3,'J Book Items Cons.'!S$5:S$3360,"[PARENT]",'J Book Items Cons.'!U$5:U$3360,"USN",'J Book Items Cons.'!W$5:W$3360,"Command Ships",'J Book Items Cons.'!R$5:R$3360,"&lt;&gt;")+SUMIFS('J Book Items Cons.'!N$5:N$3360,'J Book Items Cons.'!E$5:E$3360,3,'J Book Items Cons.'!S$5:S$3360,"[PARENT]",'J Book Items Cons.'!U$5:U$3360,"USN",'J Book Items Cons.'!W$5:W$3360,"Command Ships",'J Book Items Cons.'!R$5:R$3360,"",'J Book Items Cons.'!N$5:N$3360,"&lt;&gt;")+SUMIFS('J Book Items Cons.'!L$5:L$3360,'J Book Items Cons.'!E$5:E$3360,3,'J Book Items Cons.'!S$5:S$3360,"[PARENT]",'J Book Items Cons.'!U$5:U$3360,"USN",'J Book Items Cons.'!W$5:W$3360,"Command Ships",'J Book Items Cons.'!R$5:R$3360,"",'J Book Items Cons.'!N$5:N$3360,""))/J16)</f>
        <v>0</v>
      </c>
      <c r="K11" s="39">
        <f>IF(K16=0,0,(SUMIFS('J Book Items Cons.'!R$5:R$3360,'J Book Items Cons.'!E$5:E$3360,3,'J Book Items Cons.'!S$5:S$3360,"",'J Book Items Cons.'!U$5:U$3360,"USN",'J Book Items Cons.'!W$5:W$3360,"Mine Warfare",'J Book Items Cons.'!R$5:R$3360,"&lt;&gt;")+SUMIFS('J Book Items Cons.'!N$5:N$3360,'J Book Items Cons.'!E$5:E$3360,3,'J Book Items Cons.'!S$5:S$3360,"",'J Book Items Cons.'!U$5:U$3360,"USN",'J Book Items Cons.'!W$5:W$3360,"Mine Warfare",'J Book Items Cons.'!R$5:R$3360,"",'J Book Items Cons.'!N$5:N$3360,"&lt;&gt;")+SUMIFS('J Book Items Cons.'!L$5:L$3360,'J Book Items Cons.'!E$5:E$3360,3,'J Book Items Cons.'!S$5:S$3360,"",'J Book Items Cons.'!U$5:U$3360,"USN",'J Book Items Cons.'!W$5:W$3360,"Mine Warfare",'J Book Items Cons.'!R$5:R$3360,"",'J Book Items Cons.'!N$5:N$3360,"")+SUMIFS('J Book Items Cons.'!R$5:R$3360,'J Book Items Cons.'!E$5:E$3360,3,'J Book Items Cons.'!S$5:S$3360,"[PARENT]",'J Book Items Cons.'!U$5:U$3360,"USN",'J Book Items Cons.'!W$5:W$3360,"Mine Warfare",'J Book Items Cons.'!R$5:R$3360,"&lt;&gt;")+SUMIFS('J Book Items Cons.'!N$5:N$3360,'J Book Items Cons.'!E$5:E$3360,3,'J Book Items Cons.'!S$5:S$3360,"[PARENT]",'J Book Items Cons.'!U$5:U$3360,"USN",'J Book Items Cons.'!W$5:W$3360,"Mine Warfare",'J Book Items Cons.'!R$5:R$3360,"",'J Book Items Cons.'!N$5:N$3360,"&lt;&gt;")+SUMIFS('J Book Items Cons.'!L$5:L$3360,'J Book Items Cons.'!E$5:E$3360,3,'J Book Items Cons.'!S$5:S$3360,"[PARENT]",'J Book Items Cons.'!U$5:U$3360,"USN",'J Book Items Cons.'!W$5:W$3360,"Mine Warfare",'J Book Items Cons.'!R$5:R$3360,"",'J Book Items Cons.'!N$5:N$3360,""))/K16)</f>
        <v>4.3862170931044393E-2</v>
      </c>
      <c r="L11" s="37">
        <f>IF(L16=0,0,(SUMIFS('J Book Items Cons.'!R$5:R$3360,'J Book Items Cons.'!E$5:E$3360,3,'J Book Items Cons.'!S$5:S$3360,"",'J Book Items Cons.'!U$5:U$3360,"USCG",'J Book Items Cons.'!W$5:W$3360,"Offshore Patrol Cutter",'J Book Items Cons.'!R$5:R$3360,"&lt;&gt;")+SUMIFS('J Book Items Cons.'!N$5:N$3360,'J Book Items Cons.'!E$5:E$3360,3,'J Book Items Cons.'!S$5:S$3360,"",'J Book Items Cons.'!U$5:U$3360,"USCG",'J Book Items Cons.'!W$5:W$3360,"Offshore Patrol Cutter",'J Book Items Cons.'!R$5:R$3360,"",'J Book Items Cons.'!N$5:N$3360,"&lt;&gt;")+SUMIFS('J Book Items Cons.'!L$5:L$3360,'J Book Items Cons.'!E$5:E$3360,3,'J Book Items Cons.'!S$5:S$3360,"",'J Book Items Cons.'!U$5:U$3360,"USCG",'J Book Items Cons.'!W$5:W$3360,"Offshore Patrol Cutter",'J Book Items Cons.'!R$5:R$3360,"",'J Book Items Cons.'!N$5:N$3360,"")+SUMIFS('J Book Items Cons.'!R$5:R$3360,'J Book Items Cons.'!E$5:E$3360,3,'J Book Items Cons.'!S$5:S$3360,"[PARENT]",'J Book Items Cons.'!U$5:U$3360,"USCG",'J Book Items Cons.'!W$5:W$3360,"Offshore Patrol Cutter",'J Book Items Cons.'!R$5:R$3360,"&lt;&gt;")+SUMIFS('J Book Items Cons.'!N$5:N$3360,'J Book Items Cons.'!E$5:E$3360,3,'J Book Items Cons.'!S$5:S$3360,"[PARENT]",'J Book Items Cons.'!U$5:U$3360,"USCG",'J Book Items Cons.'!W$5:W$3360,"Offshore Patrol Cutter",'J Book Items Cons.'!R$5:R$3360,"",'J Book Items Cons.'!N$5:N$3360,"&lt;&gt;")+SUMIFS('J Book Items Cons.'!L$5:L$3360,'J Book Items Cons.'!E$5:E$3360,3,'J Book Items Cons.'!S$5:S$3360,"[PARENT]",'J Book Items Cons.'!U$5:U$3360,"USCG",'J Book Items Cons.'!W$5:W$3360,"Offshore Patrol Cutter",'J Book Items Cons.'!R$5:R$3360,"",'J Book Items Cons.'!N$5:N$3360,""))/L16)</f>
        <v>0</v>
      </c>
      <c r="M11" s="38">
        <f>IF(M16=0,0,(SUMIFS('J Book Items Cons.'!R$5:R$3360,'J Book Items Cons.'!E$5:E$3360,3,'J Book Items Cons.'!S$5:S$3360,"",'J Book Items Cons.'!U$5:U$3360,"USCG",'J Book Items Cons.'!W$5:W$3360,"Fast Response Cutters",'J Book Items Cons.'!R$5:R$3360,"&lt;&gt;")+SUMIFS('J Book Items Cons.'!N$5:N$3360,'J Book Items Cons.'!E$5:E$3360,3,'J Book Items Cons.'!S$5:S$3360,"",'J Book Items Cons.'!U$5:U$3360,"USCG",'J Book Items Cons.'!W$5:W$3360,"Fast Response Cutters",'J Book Items Cons.'!R$5:R$3360,"",'J Book Items Cons.'!N$5:N$3360,"&lt;&gt;")+SUMIFS('J Book Items Cons.'!L$5:L$3360,'J Book Items Cons.'!E$5:E$3360,3,'J Book Items Cons.'!S$5:S$3360,"",'J Book Items Cons.'!U$5:U$3360,"USCG",'J Book Items Cons.'!W$5:W$3360,"Fast Response Cutters",'J Book Items Cons.'!R$5:R$3360,"",'J Book Items Cons.'!N$5:N$3360,"")+SUMIFS('J Book Items Cons.'!R$5:R$3360,'J Book Items Cons.'!E$5:E$3360,3,'J Book Items Cons.'!S$5:S$3360,"[PARENT]",'J Book Items Cons.'!U$5:U$3360,"USCG",'J Book Items Cons.'!W$5:W$3360,"Fast Response Cutters",'J Book Items Cons.'!R$5:R$3360,"&lt;&gt;")+SUMIFS('J Book Items Cons.'!N$5:N$3360,'J Book Items Cons.'!E$5:E$3360,3,'J Book Items Cons.'!S$5:S$3360,"[PARENT]",'J Book Items Cons.'!U$5:U$3360,"USCG",'J Book Items Cons.'!W$5:W$3360,"Fast Response Cutters",'J Book Items Cons.'!R$5:R$3360,"",'J Book Items Cons.'!N$5:N$3360,"&lt;&gt;")+SUMIFS('J Book Items Cons.'!L$5:L$3360,'J Book Items Cons.'!E$5:E$3360,3,'J Book Items Cons.'!S$5:S$3360,"[PARENT]",'J Book Items Cons.'!U$5:U$3360,"USCG",'J Book Items Cons.'!W$5:W$3360,"Fast Response Cutters",'J Book Items Cons.'!R$5:R$3360,"",'J Book Items Cons.'!N$5:N$3360,""))/M16)</f>
        <v>0</v>
      </c>
      <c r="N11" s="38">
        <f>IF(N16=0,0,(SUMIFS('J Book Items Cons.'!R$5:R$3360,'J Book Items Cons.'!E$5:E$3360,3,'J Book Items Cons.'!S$5:S$3360,"",'J Book Items Cons.'!U$5:U$3360,"USCG",'J Book Items Cons.'!W$5:W$3360,"Icebreakers, Oceangoing",'J Book Items Cons.'!R$5:R$3360,"&lt;&gt;")+SUMIFS('J Book Items Cons.'!N$5:N$3360,'J Book Items Cons.'!E$5:E$3360,3,'J Book Items Cons.'!S$5:S$3360,"",'J Book Items Cons.'!U$5:U$3360,"USCG",'J Book Items Cons.'!W$5:W$3360,"Icebreakers, Oceangoing",'J Book Items Cons.'!R$5:R$3360,"",'J Book Items Cons.'!N$5:N$3360,"&lt;&gt;")+SUMIFS('J Book Items Cons.'!L$5:L$3360,'J Book Items Cons.'!E$5:E$3360,3,'J Book Items Cons.'!S$5:S$3360,"",'J Book Items Cons.'!U$5:U$3360,"USCG",'J Book Items Cons.'!W$5:W$3360,"Icebreakers, Oceangoing",'J Book Items Cons.'!R$5:R$3360,"",'J Book Items Cons.'!N$5:N$3360,"")+SUMIFS('J Book Items Cons.'!R$5:R$3360,'J Book Items Cons.'!E$5:E$3360,3,'J Book Items Cons.'!S$5:S$3360,"[PARENT]",'J Book Items Cons.'!U$5:U$3360,"USCG",'J Book Items Cons.'!W$5:W$3360,"Icebreakers, Oceangoing",'J Book Items Cons.'!R$5:R$3360,"&lt;&gt;")+SUMIFS('J Book Items Cons.'!N$5:N$3360,'J Book Items Cons.'!E$5:E$3360,3,'J Book Items Cons.'!S$5:S$3360,"[PARENT]",'J Book Items Cons.'!U$5:U$3360,"USCG",'J Book Items Cons.'!W$5:W$3360,"Icebreakers, Oceangoing",'J Book Items Cons.'!R$5:R$3360,"",'J Book Items Cons.'!N$5:N$3360,"&lt;&gt;")+SUMIFS('J Book Items Cons.'!L$5:L$3360,'J Book Items Cons.'!E$5:E$3360,3,'J Book Items Cons.'!S$5:S$3360,"[PARENT]",'J Book Items Cons.'!U$5:U$3360,"USCG",'J Book Items Cons.'!W$5:W$3360,"Icebreakers, Oceangoing",'J Book Items Cons.'!R$5:R$3360,"",'J Book Items Cons.'!N$5:N$3360,""))/N16)</f>
        <v>0</v>
      </c>
      <c r="O11" s="38"/>
      <c r="P11" s="39">
        <f>IF(P16=0,0,(SUMIFS('J Book Items Cons.'!R$5:R$3360,'J Book Items Cons.'!E$5:E$3360,3,'J Book Items Cons.'!S$5:S$3360,"",'J Book Items Cons.'!U$5:U$3360,"USCG",'J Book Items Cons.'!W$5:W$3360,"National Security Cutters",'J Book Items Cons.'!R$5:R$3360,"&lt;&gt;")+SUMIFS('J Book Items Cons.'!N$5:N$3360,'J Book Items Cons.'!E$5:E$3360,3,'J Book Items Cons.'!S$5:S$3360,"",'J Book Items Cons.'!U$5:U$3360,"USCG",'J Book Items Cons.'!W$5:W$3360,"National Security Cutters",'J Book Items Cons.'!R$5:R$3360,"",'J Book Items Cons.'!N$5:N$3360,"&lt;&gt;")+SUMIFS('J Book Items Cons.'!L$5:L$3360,'J Book Items Cons.'!E$5:E$3360,3,'J Book Items Cons.'!S$5:S$3360,"",'J Book Items Cons.'!U$5:U$3360,"USCG",'J Book Items Cons.'!W$5:W$3360,"National Security Cutters",'J Book Items Cons.'!R$5:R$3360,"",'J Book Items Cons.'!N$5:N$3360,"")+SUMIFS('J Book Items Cons.'!R$5:R$3360,'J Book Items Cons.'!E$5:E$3360,3,'J Book Items Cons.'!S$5:S$3360,"[PARENT]",'J Book Items Cons.'!U$5:U$3360,"USCG",'J Book Items Cons.'!W$5:W$3360,"National Security Cutters",'J Book Items Cons.'!R$5:R$3360,"&lt;&gt;")+SUMIFS('J Book Items Cons.'!N$5:N$3360,'J Book Items Cons.'!E$5:E$3360,3,'J Book Items Cons.'!S$5:S$3360,"[PARENT]",'J Book Items Cons.'!U$5:U$3360,"USCG",'J Book Items Cons.'!W$5:W$3360,"National Security Cutters",'J Book Items Cons.'!R$5:R$3360,"",'J Book Items Cons.'!N$5:N$3360,"&lt;&gt;")+SUMIFS('J Book Items Cons.'!L$5:L$3360,'J Book Items Cons.'!E$5:E$3360,3,'J Book Items Cons.'!S$5:S$3360,"[PARENT]",'J Book Items Cons.'!U$5:U$3360,"USCG",'J Book Items Cons.'!W$5:W$3360,"National Security Cutters",'J Book Items Cons.'!R$5:R$3360,"",'J Book Items Cons.'!N$5:N$3360,""))/P16)</f>
        <v>0</v>
      </c>
      <c r="Q11" s="38">
        <f t="shared" si="0"/>
        <v>8.0787232646049988E-3</v>
      </c>
      <c r="S11" s="7" t="s">
        <v>8825</v>
      </c>
      <c r="T11" s="61">
        <f>SUMIFS('J Book Items Cons.'!R$5:R$3360,'J Book Items Cons.'!E$5:E$3360,4,'J Book Items Cons.'!S$5:S$3360,"",'J Book Items Cons.'!X$5:X$3360,"SSN",'J Book Items Cons.'!R$5:R$3360,"&lt;&gt;")+SUMIFS('J Book Items Cons.'!N$5:N$3360,'J Book Items Cons.'!E$5:E$3360,4,'J Book Items Cons.'!S$5:S$3360,"",'J Book Items Cons.'!X$5:X$3360,"SSN",'J Book Items Cons.'!R$5:R$3360,"",'J Book Items Cons.'!N$5:N$3360,"&lt;&gt;")+SUMIFS('J Book Items Cons.'!L$5:L$3360,'J Book Items Cons.'!E$5:E$3360,4,'J Book Items Cons.'!S$5:S$3360,"",'J Book Items Cons.'!X$5:X$3360,"SSN",'J Book Items Cons.'!R$5:R$3360,"",'J Book Items Cons.'!N$5:N$3360,"")+SUMIFS('J Book Items Cons.'!R$5:R$3360,'J Book Items Cons.'!E$5:E$3360,4,'J Book Items Cons.'!S$5:S$3360,"[PARENT]",'J Book Items Cons.'!X$5:X$3360,"SSN",'J Book Items Cons.'!R$5:R$3360,"&lt;&gt;")+SUMIFS('J Book Items Cons.'!N$5:N$3360,'J Book Items Cons.'!E$5:E$3360,4,'J Book Items Cons.'!S$5:S$3360,"[PARENT]",'J Book Items Cons.'!X$5:X$3360,"SSN",'J Book Items Cons.'!R$5:R$3360,"",'J Book Items Cons.'!N$5:N$3360,"&lt;&gt;")+SUMIFS('J Book Items Cons.'!L$5:L$3360,'J Book Items Cons.'!E$5:E$3360,4,'J Book Items Cons.'!S$5:S$3360,"[PARENT]",'J Book Items Cons.'!X$5:X$3360,"SSN",'J Book Items Cons.'!R$5:R$3360,"",'J Book Items Cons.'!N$5:N$3360,"")</f>
        <v>1923736</v>
      </c>
      <c r="U11" s="62">
        <f>SUMIFS('J Book Items Cons.'!R$5:R$3360,'J Book Items Cons.'!E$5:E$3360,4,'J Book Items Cons.'!S$5:S$3360,"",'J Book Items Cons.'!X$5:X$3360,"SSBN",'J Book Items Cons.'!R$5:R$3360,"&lt;&gt;")+SUMIFS('J Book Items Cons.'!N$5:N$3360,'J Book Items Cons.'!E$5:E$3360,4,'J Book Items Cons.'!S$5:S$3360,"",'J Book Items Cons.'!X$5:X$3360,"SSBN",'J Book Items Cons.'!R$5:R$3360,"",'J Book Items Cons.'!N$5:N$3360,"&lt;&gt;")+SUMIFS('J Book Items Cons.'!L$5:L$3360,'J Book Items Cons.'!E$5:E$3360,4,'J Book Items Cons.'!S$5:S$3360,"",'J Book Items Cons.'!X$5:X$3360,"SSBN",'J Book Items Cons.'!R$5:R$3360,"",'J Book Items Cons.'!N$5:N$3360,"")+SUMIFS('J Book Items Cons.'!R$5:R$3360,'J Book Items Cons.'!E$5:E$3360,4,'J Book Items Cons.'!S$5:S$3360,"[PARENT]",'J Book Items Cons.'!X$5:X$3360,"SSBN",'J Book Items Cons.'!R$5:R$3360,"&lt;&gt;")+SUMIFS('J Book Items Cons.'!N$5:N$3360,'J Book Items Cons.'!E$5:E$3360,4,'J Book Items Cons.'!S$5:S$3360,"[PARENT]",'J Book Items Cons.'!X$5:X$3360,"SSBN",'J Book Items Cons.'!R$5:R$3360,"",'J Book Items Cons.'!N$5:N$3360,"&lt;&gt;")+SUMIFS('J Book Items Cons.'!L$5:L$3360,'J Book Items Cons.'!E$5:E$3360,4,'J Book Items Cons.'!S$5:S$3360,"[PARENT]",'J Book Items Cons.'!X$5:X$3360,"SSBN",'J Book Items Cons.'!R$5:R$3360,"",'J Book Items Cons.'!N$5:N$3360,"")</f>
        <v>3174380</v>
      </c>
      <c r="V11" s="62">
        <f>SUMIFS('J Book Items Cons.'!R$5:R$3360,'J Book Items Cons.'!E$5:E$3360,4,'J Book Items Cons.'!S$5:S$3360,"",'J Book Items Cons.'!X$5:X$3360,"DDG",'J Book Items Cons.'!R$5:R$3360,"&lt;&gt;")+SUMIFS('J Book Items Cons.'!N$5:N$3360,'J Book Items Cons.'!E$5:E$3360,4,'J Book Items Cons.'!S$5:S$3360,"",'J Book Items Cons.'!X$5:X$3360,"DDG",'J Book Items Cons.'!R$5:R$3360,"",'J Book Items Cons.'!N$5:N$3360,"&lt;&gt;")+SUMIFS('J Book Items Cons.'!L$5:L$3360,'J Book Items Cons.'!E$5:E$3360,4,'J Book Items Cons.'!S$5:S$3360,"",'J Book Items Cons.'!X$5:X$3360,"DDG",'J Book Items Cons.'!R$5:R$3360,"",'J Book Items Cons.'!N$5:N$3360,"")+SUMIFS('J Book Items Cons.'!R$5:R$3360,'J Book Items Cons.'!E$5:E$3360,4,'J Book Items Cons.'!S$5:S$3360,"[PARENT]",'J Book Items Cons.'!X$5:X$3360,"DDG",'J Book Items Cons.'!R$5:R$3360,"&lt;&gt;")+SUMIFS('J Book Items Cons.'!N$5:N$3360,'J Book Items Cons.'!E$5:E$3360,4,'J Book Items Cons.'!S$5:S$3360,"[PARENT]",'J Book Items Cons.'!X$5:X$3360,"DDG",'J Book Items Cons.'!R$5:R$3360,"",'J Book Items Cons.'!N$5:N$3360,"&lt;&gt;")+SUMIFS('J Book Items Cons.'!L$5:L$3360,'J Book Items Cons.'!E$5:E$3360,4,'J Book Items Cons.'!S$5:S$3360,"[PARENT]",'J Book Items Cons.'!X$5:X$3360,"DDG",'J Book Items Cons.'!R$5:R$3360,"",'J Book Items Cons.'!N$5:N$3360,"")</f>
        <v>3471430</v>
      </c>
      <c r="W11" s="62">
        <f>SUMIFS('J Book Items Cons.'!R$5:R$3360,'J Book Items Cons.'!E$5:E$3360,4,'J Book Items Cons.'!S$5:S$3360,"",'J Book Items Cons.'!X$5:X$3360,"LPD",'J Book Items Cons.'!R$5:R$3360,"&lt;&gt;")+SUMIFS('J Book Items Cons.'!N$5:N$3360,'J Book Items Cons.'!E$5:E$3360,4,'J Book Items Cons.'!S$5:S$3360,"",'J Book Items Cons.'!X$5:X$3360,"LPD",'J Book Items Cons.'!R$5:R$3360,"",'J Book Items Cons.'!N$5:N$3360,"&lt;&gt;")+SUMIFS('J Book Items Cons.'!L$5:L$3360,'J Book Items Cons.'!E$5:E$3360,4,'J Book Items Cons.'!S$5:S$3360,"",'J Book Items Cons.'!X$5:X$3360,"LPD",'J Book Items Cons.'!R$5:R$3360,"",'J Book Items Cons.'!N$5:N$3360,"")+SUMIFS('J Book Items Cons.'!R$5:R$3360,'J Book Items Cons.'!E$5:E$3360,4,'J Book Items Cons.'!S$5:S$3360,"[PARENT]",'J Book Items Cons.'!X$5:X$3360,"LPD",'J Book Items Cons.'!R$5:R$3360,"&lt;&gt;")+SUMIFS('J Book Items Cons.'!N$5:N$3360,'J Book Items Cons.'!E$5:E$3360,4,'J Book Items Cons.'!S$5:S$3360,"[PARENT]",'J Book Items Cons.'!X$5:X$3360,"LPD",'J Book Items Cons.'!R$5:R$3360,"",'J Book Items Cons.'!N$5:N$3360,"&lt;&gt;")+SUMIFS('J Book Items Cons.'!L$5:L$3360,'J Book Items Cons.'!E$5:E$3360,4,'J Book Items Cons.'!S$5:S$3360,"[PARENT]",'J Book Items Cons.'!X$5:X$3360,"LPD",'J Book Items Cons.'!R$5:R$3360,"",'J Book Items Cons.'!N$5:N$3360,"")</f>
        <v>137394</v>
      </c>
      <c r="X11" s="62">
        <f>SUMIFS('J Book Items Cons.'!R$5:R$3360,'J Book Items Cons.'!E$5:E$3360,4,'J Book Items Cons.'!S$5:S$3360,"",'J Book Items Cons.'!X$5:X$3360,"LCS",'J Book Items Cons.'!R$5:R$3360,"&lt;&gt;")+SUMIFS('J Book Items Cons.'!N$5:N$3360,'J Book Items Cons.'!E$5:E$3360,4,'J Book Items Cons.'!S$5:S$3360,"",'J Book Items Cons.'!X$5:X$3360,"LCS",'J Book Items Cons.'!R$5:R$3360,"",'J Book Items Cons.'!N$5:N$3360,"&lt;&gt;")+SUMIFS('J Book Items Cons.'!L$5:L$3360,'J Book Items Cons.'!E$5:E$3360,4,'J Book Items Cons.'!S$5:S$3360,"",'J Book Items Cons.'!X$5:X$3360,"LCS",'J Book Items Cons.'!R$5:R$3360,"",'J Book Items Cons.'!N$5:N$3360,"")+SUMIFS('J Book Items Cons.'!R$5:R$3360,'J Book Items Cons.'!E$5:E$3360,4,'J Book Items Cons.'!S$5:S$3360,"[PARENT]",'J Book Items Cons.'!X$5:X$3360,"LCS",'J Book Items Cons.'!R$5:R$3360,"&lt;&gt;")+SUMIFS('J Book Items Cons.'!N$5:N$3360,'J Book Items Cons.'!E$5:E$3360,4,'J Book Items Cons.'!S$5:S$3360,"[PARENT]",'J Book Items Cons.'!X$5:X$3360,"LCS",'J Book Items Cons.'!R$5:R$3360,"",'J Book Items Cons.'!N$5:N$3360,"&lt;&gt;")+SUMIFS('J Book Items Cons.'!L$5:L$3360,'J Book Items Cons.'!E$5:E$3360,4,'J Book Items Cons.'!S$5:S$3360,"[PARENT]",'J Book Items Cons.'!X$5:X$3360,"LCS",'J Book Items Cons.'!R$5:R$3360,"",'J Book Items Cons.'!N$5:N$3360,"")</f>
        <v>750942</v>
      </c>
      <c r="Y11" s="62">
        <f>SUMIFS('J Book Items Cons.'!R$5:R$3360,'J Book Items Cons.'!E$5:E$3360,4,'J Book Items Cons.'!S$5:S$3360,"",'J Book Items Cons.'!X$5:X$3360,"LHD",'J Book Items Cons.'!R$5:R$3360,"&lt;&gt;")+SUMIFS('J Book Items Cons.'!N$5:N$3360,'J Book Items Cons.'!E$5:E$3360,4,'J Book Items Cons.'!S$5:S$3360,"",'J Book Items Cons.'!X$5:X$3360,"LHD",'J Book Items Cons.'!R$5:R$3360,"",'J Book Items Cons.'!N$5:N$3360,"&lt;&gt;")+SUMIFS('J Book Items Cons.'!L$5:L$3360,'J Book Items Cons.'!E$5:E$3360,4,'J Book Items Cons.'!S$5:S$3360,"",'J Book Items Cons.'!X$5:X$3360,"LHD",'J Book Items Cons.'!R$5:R$3360,"",'J Book Items Cons.'!N$5:N$3360,"")+SUMIFS('J Book Items Cons.'!R$5:R$3360,'J Book Items Cons.'!E$5:E$3360,4,'J Book Items Cons.'!S$5:S$3360,"[PARENT]",'J Book Items Cons.'!X$5:X$3360,"LHD",'J Book Items Cons.'!R$5:R$3360,"&lt;&gt;")+SUMIFS('J Book Items Cons.'!N$5:N$3360,'J Book Items Cons.'!E$5:E$3360,4,'J Book Items Cons.'!S$5:S$3360,"[PARENT]",'J Book Items Cons.'!X$5:X$3360,"LHD",'J Book Items Cons.'!R$5:R$3360,"",'J Book Items Cons.'!N$5:N$3360,"&lt;&gt;")+SUMIFS('J Book Items Cons.'!L$5:L$3360,'J Book Items Cons.'!E$5:E$3360,4,'J Book Items Cons.'!S$5:S$3360,"[PARENT]",'J Book Items Cons.'!X$5:X$3360,"LHD",'J Book Items Cons.'!R$5:R$3360,"",'J Book Items Cons.'!N$5:N$3360,"")</f>
        <v>755243</v>
      </c>
      <c r="Z11" s="62">
        <f>SUMIFS('J Book Items Cons.'!R$5:R$3360,'J Book Items Cons.'!E$5:E$3360,4,'J Book Items Cons.'!S$5:S$3360,"",'J Book Items Cons.'!X$5:X$3360,"LHA",'J Book Items Cons.'!R$5:R$3360,"&lt;&gt;")+SUMIFS('J Book Items Cons.'!N$5:N$3360,'J Book Items Cons.'!E$5:E$3360,4,'J Book Items Cons.'!S$5:S$3360,"",'J Book Items Cons.'!X$5:X$3360,"LHA",'J Book Items Cons.'!R$5:R$3360,"",'J Book Items Cons.'!N$5:N$3360,"&lt;&gt;")+SUMIFS('J Book Items Cons.'!L$5:L$3360,'J Book Items Cons.'!E$5:E$3360,4,'J Book Items Cons.'!S$5:S$3360,"",'J Book Items Cons.'!X$5:X$3360,"LHA",'J Book Items Cons.'!R$5:R$3360,"",'J Book Items Cons.'!N$5:N$3360,"")+SUMIFS('J Book Items Cons.'!R$5:R$3360,'J Book Items Cons.'!E$5:E$3360,4,'J Book Items Cons.'!S$5:S$3360,"[PARENT]",'J Book Items Cons.'!X$5:X$3360,"LHA",'J Book Items Cons.'!R$5:R$3360,"&lt;&gt;")+SUMIFS('J Book Items Cons.'!N$5:N$3360,'J Book Items Cons.'!E$5:E$3360,4,'J Book Items Cons.'!S$5:S$3360,"[PARENT]",'J Book Items Cons.'!X$5:X$3360,"LHA",'J Book Items Cons.'!R$5:R$3360,"",'J Book Items Cons.'!N$5:N$3360,"&lt;&gt;")+SUMIFS('J Book Items Cons.'!L$5:L$3360,'J Book Items Cons.'!E$5:E$3360,4,'J Book Items Cons.'!S$5:S$3360,"[PARENT]",'J Book Items Cons.'!X$5:X$3360,"LHA",'J Book Items Cons.'!R$5:R$3360,"",'J Book Items Cons.'!N$5:N$3360,"")</f>
        <v>12065</v>
      </c>
      <c r="AA11" s="62">
        <f>SUMIFS('J Book Items Cons.'!R$5:R$3360,'J Book Items Cons.'!E$5:E$3360,4,'J Book Items Cons.'!S$5:S$3360,"",'J Book Items Cons.'!X$5:X$3360,"SSGN",'J Book Items Cons.'!R$5:R$3360,"&lt;&gt;")+SUMIFS('J Book Items Cons.'!N$5:N$3360,'J Book Items Cons.'!E$5:E$3360,4,'J Book Items Cons.'!S$5:S$3360,"",'J Book Items Cons.'!X$5:X$3360,"SSGN",'J Book Items Cons.'!R$5:R$3360,"",'J Book Items Cons.'!N$5:N$3360,"&lt;&gt;")+SUMIFS('J Book Items Cons.'!L$5:L$3360,'J Book Items Cons.'!E$5:E$3360,4,'J Book Items Cons.'!S$5:S$3360,"",'J Book Items Cons.'!X$5:X$3360,"SSGN",'J Book Items Cons.'!R$5:R$3360,"",'J Book Items Cons.'!N$5:N$3360,"")+SUMIFS('J Book Items Cons.'!R$5:R$3360,'J Book Items Cons.'!E$5:E$3360,4,'J Book Items Cons.'!S$5:S$3360,"[PARENT]",'J Book Items Cons.'!X$5:X$3360,"SSGN",'J Book Items Cons.'!R$5:R$3360,"&lt;&gt;")+SUMIFS('J Book Items Cons.'!N$5:N$3360,'J Book Items Cons.'!E$5:E$3360,4,'J Book Items Cons.'!S$5:S$3360,"[PARENT]",'J Book Items Cons.'!X$5:X$3360,"SSGN",'J Book Items Cons.'!R$5:R$3360,"",'J Book Items Cons.'!N$5:N$3360,"&lt;&gt;")+SUMIFS('J Book Items Cons.'!L$5:L$3360,'J Book Items Cons.'!E$5:E$3360,4,'J Book Items Cons.'!S$5:S$3360,"[PARENT]",'J Book Items Cons.'!X$5:X$3360,"SSGN",'J Book Items Cons.'!R$5:R$3360,"",'J Book Items Cons.'!N$5:N$3360,"")</f>
        <v>0</v>
      </c>
      <c r="AB11" s="62">
        <f>SUMIFS('J Book Items Cons.'!R$5:R$3360,'J Book Items Cons.'!E$5:E$3360,4,'J Book Items Cons.'!S$5:S$3360,"",'J Book Items Cons.'!X$5:X$3360,"CG",'J Book Items Cons.'!R$5:R$3360,"&lt;&gt;")+SUMIFS('J Book Items Cons.'!N$5:N$3360,'J Book Items Cons.'!E$5:E$3360,4,'J Book Items Cons.'!S$5:S$3360,"",'J Book Items Cons.'!X$5:X$3360,"CG",'J Book Items Cons.'!R$5:R$3360,"",'J Book Items Cons.'!N$5:N$3360,"&lt;&gt;")+SUMIFS('J Book Items Cons.'!L$5:L$3360,'J Book Items Cons.'!E$5:E$3360,4,'J Book Items Cons.'!S$5:S$3360,"",'J Book Items Cons.'!X$5:X$3360,"CG",'J Book Items Cons.'!R$5:R$3360,"",'J Book Items Cons.'!N$5:N$3360,"")+SUMIFS('J Book Items Cons.'!R$5:R$3360,'J Book Items Cons.'!E$5:E$3360,4,'J Book Items Cons.'!S$5:S$3360,"[PARENT]",'J Book Items Cons.'!X$5:X$3360,"CG",'J Book Items Cons.'!R$5:R$3360,"&lt;&gt;")+SUMIFS('J Book Items Cons.'!N$5:N$3360,'J Book Items Cons.'!E$5:E$3360,4,'J Book Items Cons.'!S$5:S$3360,"[PARENT]",'J Book Items Cons.'!X$5:X$3360,"CG",'J Book Items Cons.'!R$5:R$3360,"",'J Book Items Cons.'!N$5:N$3360,"&lt;&gt;")+SUMIFS('J Book Items Cons.'!L$5:L$3360,'J Book Items Cons.'!E$5:E$3360,4,'J Book Items Cons.'!S$5:S$3360,"[PARENT]",'J Book Items Cons.'!X$5:X$3360,"CG",'J Book Items Cons.'!R$5:R$3360,"",'J Book Items Cons.'!N$5:N$3360,"")</f>
        <v>44940</v>
      </c>
      <c r="AC11" s="63">
        <f>SUMIFS('J Book Items Cons.'!R$5:R$3360,'J Book Items Cons.'!E$5:E$3360,4,'J Book Items Cons.'!S$5:S$3360,"",'J Book Items Cons.'!X$5:X$3360,"LSD",'J Book Items Cons.'!R$5:R$3360,"&lt;&gt;")+SUMIFS('J Book Items Cons.'!N$5:N$3360,'J Book Items Cons.'!E$5:E$3360,4,'J Book Items Cons.'!S$5:S$3360,"",'J Book Items Cons.'!X$5:X$3360,"LSD",'J Book Items Cons.'!R$5:R$3360,"",'J Book Items Cons.'!N$5:N$3360,"&lt;&gt;")+SUMIFS('J Book Items Cons.'!L$5:L$3360,'J Book Items Cons.'!E$5:E$3360,4,'J Book Items Cons.'!S$5:S$3360,"",'J Book Items Cons.'!X$5:X$3360,"LSD",'J Book Items Cons.'!R$5:R$3360,"",'J Book Items Cons.'!N$5:N$3360,"")+SUMIFS('J Book Items Cons.'!R$5:R$3360,'J Book Items Cons.'!E$5:E$3360,4,'J Book Items Cons.'!S$5:S$3360,"[PARENT]",'J Book Items Cons.'!X$5:X$3360,"LSD",'J Book Items Cons.'!R$5:R$3360,"&lt;&gt;")+SUMIFS('J Book Items Cons.'!N$5:N$3360,'J Book Items Cons.'!E$5:E$3360,4,'J Book Items Cons.'!S$5:S$3360,"[PARENT]",'J Book Items Cons.'!X$5:X$3360,"LSD",'J Book Items Cons.'!R$5:R$3360,"",'J Book Items Cons.'!N$5:N$3360,"&lt;&gt;")+SUMIFS('J Book Items Cons.'!L$5:L$3360,'J Book Items Cons.'!E$5:E$3360,4,'J Book Items Cons.'!S$5:S$3360,"[PARENT]",'J Book Items Cons.'!X$5:X$3360,"LSD",'J Book Items Cons.'!R$5:R$3360,"",'J Book Items Cons.'!N$5:N$3360,"")</f>
        <v>30010</v>
      </c>
      <c r="AD11" s="61">
        <f>SUMIFS('J Book Items Cons.'!R$5:R$3360,'J Book Items Cons.'!E$5:E$3360,4,'J Book Items Cons.'!S$5:S$3360,"",'J Book Items Cons.'!X$5:X$3360,"WMSM",'J Book Items Cons.'!R$5:R$3360,"&lt;&gt;")+SUMIFS('J Book Items Cons.'!N$5:N$3360,'J Book Items Cons.'!E$5:E$3360,4,'J Book Items Cons.'!S$5:S$3360,"",'J Book Items Cons.'!X$5:X$3360,"WMSM",'J Book Items Cons.'!R$5:R$3360,"",'J Book Items Cons.'!N$5:N$3360,"&lt;&gt;")+SUMIFS('J Book Items Cons.'!L$5:L$3360,'J Book Items Cons.'!E$5:E$3360,4,'J Book Items Cons.'!S$5:S$3360,"",'J Book Items Cons.'!X$5:X$3360,"WMSM",'J Book Items Cons.'!R$5:R$3360,"",'J Book Items Cons.'!N$5:N$3360,"")+SUMIFS('J Book Items Cons.'!R$5:R$3360,'J Book Items Cons.'!E$5:E$3360,4,'J Book Items Cons.'!S$5:S$3360,"[PARENT]",'J Book Items Cons.'!X$5:X$3360,"WMSM",'J Book Items Cons.'!R$5:R$3360,"&lt;&gt;")+SUMIFS('J Book Items Cons.'!N$5:N$3360,'J Book Items Cons.'!E$5:E$3360,4,'J Book Items Cons.'!S$5:S$3360,"[PARENT]",'J Book Items Cons.'!X$5:X$3360,"WMSM",'J Book Items Cons.'!R$5:R$3360,"",'J Book Items Cons.'!N$5:N$3360,"&lt;&gt;")+SUMIFS('J Book Items Cons.'!L$5:L$3360,'J Book Items Cons.'!E$5:E$3360,4,'J Book Items Cons.'!S$5:S$3360,"[PARENT]",'J Book Items Cons.'!X$5:X$3360,"WMSM",'J Book Items Cons.'!R$5:R$3360,"",'J Book Items Cons.'!N$5:N$3360,"")</f>
        <v>0</v>
      </c>
      <c r="AE11" s="62">
        <f>SUMIFS('J Book Items Cons.'!R$5:R$3360,'J Book Items Cons.'!E$5:E$3360,4,'J Book Items Cons.'!S$5:S$3360,"",'J Book Items Cons.'!X$5:X$3360,"WPC",'J Book Items Cons.'!R$5:R$3360,"&lt;&gt;")+SUMIFS('J Book Items Cons.'!N$5:N$3360,'J Book Items Cons.'!E$5:E$3360,4,'J Book Items Cons.'!S$5:S$3360,"",'J Book Items Cons.'!X$5:X$3360,"WPC",'J Book Items Cons.'!R$5:R$3360,"",'J Book Items Cons.'!N$5:N$3360,"&lt;&gt;")+SUMIFS('J Book Items Cons.'!L$5:L$3360,'J Book Items Cons.'!E$5:E$3360,4,'J Book Items Cons.'!S$5:S$3360,"",'J Book Items Cons.'!X$5:X$3360,"WPC",'J Book Items Cons.'!R$5:R$3360,"",'J Book Items Cons.'!N$5:N$3360,"")+SUMIFS('J Book Items Cons.'!R$5:R$3360,'J Book Items Cons.'!E$5:E$3360,4,'J Book Items Cons.'!S$5:S$3360,"[PARENT]",'J Book Items Cons.'!X$5:X$3360,"WPC",'J Book Items Cons.'!R$5:R$3360,"&lt;&gt;")+SUMIFS('J Book Items Cons.'!N$5:N$3360,'J Book Items Cons.'!E$5:E$3360,4,'J Book Items Cons.'!S$5:S$3360,"[PARENT]",'J Book Items Cons.'!X$5:X$3360,"WPC",'J Book Items Cons.'!R$5:R$3360,"",'J Book Items Cons.'!N$5:N$3360,"&lt;&gt;")+SUMIFS('J Book Items Cons.'!L$5:L$3360,'J Book Items Cons.'!E$5:E$3360,4,'J Book Items Cons.'!S$5:S$3360,"[PARENT]",'J Book Items Cons.'!X$5:X$3360,"WPC",'J Book Items Cons.'!R$5:R$3360,"",'J Book Items Cons.'!N$5:N$3360,"")</f>
        <v>0</v>
      </c>
      <c r="AF11" s="62">
        <f>SUMIFS('J Book Items Cons.'!R$5:R$3360,'J Book Items Cons.'!E$5:E$3360,4,'J Book Items Cons.'!S$5:S$3360,"",'J Book Items Cons.'!X$5:X$3360,"WAGB",'J Book Items Cons.'!R$5:R$3360,"&lt;&gt;")+SUMIFS('J Book Items Cons.'!N$5:N$3360,'J Book Items Cons.'!E$5:E$3360,4,'J Book Items Cons.'!S$5:S$3360,"",'J Book Items Cons.'!X$5:X$3360,"WAGB",'J Book Items Cons.'!R$5:R$3360,"",'J Book Items Cons.'!N$5:N$3360,"&lt;&gt;")+SUMIFS('J Book Items Cons.'!L$5:L$3360,'J Book Items Cons.'!E$5:E$3360,4,'J Book Items Cons.'!S$5:S$3360,"",'J Book Items Cons.'!X$5:X$3360,"WAGB",'J Book Items Cons.'!R$5:R$3360,"",'J Book Items Cons.'!N$5:N$3360,"")+SUMIFS('J Book Items Cons.'!R$5:R$3360,'J Book Items Cons.'!E$5:E$3360,4,'J Book Items Cons.'!S$5:S$3360,"[PARENT]",'J Book Items Cons.'!X$5:X$3360,"WAGB",'J Book Items Cons.'!R$5:R$3360,"&lt;&gt;")+SUMIFS('J Book Items Cons.'!N$5:N$3360,'J Book Items Cons.'!E$5:E$3360,4,'J Book Items Cons.'!S$5:S$3360,"[PARENT]",'J Book Items Cons.'!X$5:X$3360,"WAGB",'J Book Items Cons.'!R$5:R$3360,"",'J Book Items Cons.'!N$5:N$3360,"&lt;&gt;")+SUMIFS('J Book Items Cons.'!L$5:L$3360,'J Book Items Cons.'!E$5:E$3360,4,'J Book Items Cons.'!S$5:S$3360,"[PARENT]",'J Book Items Cons.'!X$5:X$3360,"WAGB",'J Book Items Cons.'!R$5:R$3360,"",'J Book Items Cons.'!N$5:N$3360,"")</f>
        <v>0</v>
      </c>
      <c r="AG11" s="62">
        <f>SUMIFS('J Book Items Cons.'!R$5:R$3360,'J Book Items Cons.'!E$5:E$3360,4,'J Book Items Cons.'!S$5:S$3360,"",'J Book Items Cons.'!X$5:X$3360,"WCC",'J Book Items Cons.'!R$5:R$3360,"&lt;&gt;")+SUMIFS('J Book Items Cons.'!N$5:N$3360,'J Book Items Cons.'!E$5:E$3360,4,'J Book Items Cons.'!S$5:S$3360,"",'J Book Items Cons.'!X$5:X$3360,"WCC",'J Book Items Cons.'!R$5:R$3360,"",'J Book Items Cons.'!N$5:N$3360,"&lt;&gt;")+SUMIFS('J Book Items Cons.'!L$5:L$3360,'J Book Items Cons.'!E$5:E$3360,4,'J Book Items Cons.'!S$5:S$3360,"",'J Book Items Cons.'!X$5:X$3360,"WCC",'J Book Items Cons.'!R$5:R$3360,"",'J Book Items Cons.'!N$5:N$3360,"")+SUMIFS('J Book Items Cons.'!R$5:R$3360,'J Book Items Cons.'!E$5:E$3360,4,'J Book Items Cons.'!S$5:S$3360,"[PARENT]",'J Book Items Cons.'!X$5:X$3360,"WCC",'J Book Items Cons.'!R$5:R$3360,"&lt;&gt;")+SUMIFS('J Book Items Cons.'!N$5:N$3360,'J Book Items Cons.'!E$5:E$3360,4,'J Book Items Cons.'!S$5:S$3360,"[PARENT]",'J Book Items Cons.'!X$5:X$3360,"WCC",'J Book Items Cons.'!R$5:R$3360,"",'J Book Items Cons.'!N$5:N$3360,"&lt;&gt;")+SUMIFS('J Book Items Cons.'!L$5:L$3360,'J Book Items Cons.'!E$5:E$3360,4,'J Book Items Cons.'!S$5:S$3360,"[PARENT]",'J Book Items Cons.'!X$5:X$3360,"WCC",'J Book Items Cons.'!R$5:R$3360,"",'J Book Items Cons.'!N$5:N$3360,"")</f>
        <v>0</v>
      </c>
      <c r="AH11" s="63">
        <f>SUMIFS('J Book Items Cons.'!R$5:R$3360,'J Book Items Cons.'!E$5:E$3360,4,'J Book Items Cons.'!S$5:S$3360,"",'J Book Items Cons.'!X$5:X$3360,"WMSL",'J Book Items Cons.'!R$5:R$3360,"&lt;&gt;")+SUMIFS('J Book Items Cons.'!N$5:N$3360,'J Book Items Cons.'!E$5:E$3360,4,'J Book Items Cons.'!S$5:S$3360,"",'J Book Items Cons.'!X$5:X$3360,"WMSL",'J Book Items Cons.'!R$5:R$3360,"",'J Book Items Cons.'!N$5:N$3360,"&lt;&gt;")+SUMIFS('J Book Items Cons.'!L$5:L$3360,'J Book Items Cons.'!E$5:E$3360,4,'J Book Items Cons.'!S$5:S$3360,"",'J Book Items Cons.'!X$5:X$3360,"WMSL",'J Book Items Cons.'!R$5:R$3360,"",'J Book Items Cons.'!N$5:N$3360,"")+SUMIFS('J Book Items Cons.'!R$5:R$3360,'J Book Items Cons.'!E$5:E$3360,4,'J Book Items Cons.'!S$5:S$3360,"[PARENT]",'J Book Items Cons.'!X$5:X$3360,"WMSL",'J Book Items Cons.'!R$5:R$3360,"&lt;&gt;")+SUMIFS('J Book Items Cons.'!N$5:N$3360,'J Book Items Cons.'!E$5:E$3360,4,'J Book Items Cons.'!S$5:S$3360,"[PARENT]",'J Book Items Cons.'!X$5:X$3360,"WMSL",'J Book Items Cons.'!R$5:R$3360,"",'J Book Items Cons.'!N$5:N$3360,"&lt;&gt;")+SUMIFS('J Book Items Cons.'!L$5:L$3360,'J Book Items Cons.'!E$5:E$3360,4,'J Book Items Cons.'!S$5:S$3360,"[PARENT]",'J Book Items Cons.'!X$5:X$3360,"WMSL",'J Book Items Cons.'!R$5:R$3360,"",'J Book Items Cons.'!N$5:N$3360,"")</f>
        <v>31000</v>
      </c>
      <c r="AI11" s="14">
        <f t="shared" si="1"/>
        <v>10331140</v>
      </c>
    </row>
    <row r="12" spans="1:35" ht="9.75" customHeight="1" x14ac:dyDescent="0.15">
      <c r="A12" s="7" t="s">
        <v>8852</v>
      </c>
      <c r="B12" s="37">
        <f>IF(B16=0,0,(SUMIFS('J Book Items Cons.'!R$5:R$3360,'J Book Items Cons.'!E$5:E$3360,4,'J Book Items Cons.'!S$5:S$3360,"",'J Book Items Cons.'!U$5:U$3360,"USN",'J Book Items Cons.'!W$5:W$3360,"Surface Combatants",'J Book Items Cons.'!R$5:R$3360,"&lt;&gt;")+SUMIFS('J Book Items Cons.'!N$5:N$3360,'J Book Items Cons.'!E$5:E$3360,4,'J Book Items Cons.'!S$5:S$3360,"",'J Book Items Cons.'!U$5:U$3360,"USN",'J Book Items Cons.'!W$5:W$3360,"Surface Combatants",'J Book Items Cons.'!R$5:R$3360,"",'J Book Items Cons.'!N$5:N$3360,"&lt;&gt;")+SUMIFS('J Book Items Cons.'!L$5:L$3360,'J Book Items Cons.'!E$5:E$3360,4,'J Book Items Cons.'!S$5:S$3360,"",'J Book Items Cons.'!U$5:U$3360,"USN",'J Book Items Cons.'!W$5:W$3360,"Surface Combatants",'J Book Items Cons.'!R$5:R$3360,"",'J Book Items Cons.'!N$5:N$3360,"")+SUMIFS('J Book Items Cons.'!R$5:R$3360,'J Book Items Cons.'!E$5:E$3360,4,'J Book Items Cons.'!S$5:S$3360,"[PARENT]",'J Book Items Cons.'!U$5:U$3360,"USN",'J Book Items Cons.'!W$5:W$3360,"Surface Combatants",'J Book Items Cons.'!R$5:R$3360,"&lt;&gt;")+SUMIFS('J Book Items Cons.'!N$5:N$3360,'J Book Items Cons.'!E$5:E$3360,4,'J Book Items Cons.'!S$5:S$3360,"[PARENT]",'J Book Items Cons.'!U$5:U$3360,"USN",'J Book Items Cons.'!W$5:W$3360,"Surface Combatants",'J Book Items Cons.'!R$5:R$3360,"",'J Book Items Cons.'!N$5:N$3360,"&lt;&gt;")+SUMIFS('J Book Items Cons.'!L$5:L$3360,'J Book Items Cons.'!E$5:E$3360,4,'J Book Items Cons.'!S$5:S$3360,"[PARENT]",'J Book Items Cons.'!U$5:U$3360,"USN",'J Book Items Cons.'!W$5:W$3360,"Surface Combatants",'J Book Items Cons.'!R$5:R$3360,"",'J Book Items Cons.'!N$5:N$3360,""))/B16)</f>
        <v>0.31407195615354971</v>
      </c>
      <c r="C12" s="38">
        <f>IF(C16=0,0,(SUMIFS('J Book Items Cons.'!R$5:R$3360,'J Book Items Cons.'!E$5:E$3360,4,'J Book Items Cons.'!S$5:S$3360,"",'J Book Items Cons.'!U$5:U$3360,"USN",'J Book Items Cons.'!W$5:W$3360,"Amphibious Warfare Ships",'J Book Items Cons.'!R$5:R$3360,"&lt;&gt;")+SUMIFS('J Book Items Cons.'!N$5:N$3360,'J Book Items Cons.'!E$5:E$3360,4,'J Book Items Cons.'!S$5:S$3360,"",'J Book Items Cons.'!U$5:U$3360,"USN",'J Book Items Cons.'!W$5:W$3360,"Amphibious Warfare Ships",'J Book Items Cons.'!R$5:R$3360,"",'J Book Items Cons.'!N$5:N$3360,"&lt;&gt;")+SUMIFS('J Book Items Cons.'!L$5:L$3360,'J Book Items Cons.'!E$5:E$3360,4,'J Book Items Cons.'!S$5:S$3360,"",'J Book Items Cons.'!U$5:U$3360,"USN",'J Book Items Cons.'!W$5:W$3360,"Amphibious Warfare Ships",'J Book Items Cons.'!R$5:R$3360,"",'J Book Items Cons.'!N$5:N$3360,"")+SUMIFS('J Book Items Cons.'!R$5:R$3360,'J Book Items Cons.'!E$5:E$3360,4,'J Book Items Cons.'!S$5:S$3360,"[PARENT]",'J Book Items Cons.'!U$5:U$3360,"USN",'J Book Items Cons.'!W$5:W$3360,"Amphibious Warfare Ships",'J Book Items Cons.'!R$5:R$3360,"&lt;&gt;")+SUMIFS('J Book Items Cons.'!N$5:N$3360,'J Book Items Cons.'!E$5:E$3360,4,'J Book Items Cons.'!S$5:S$3360,"[PARENT]",'J Book Items Cons.'!U$5:U$3360,"USN",'J Book Items Cons.'!W$5:W$3360,"Amphibious Warfare Ships",'J Book Items Cons.'!R$5:R$3360,"",'J Book Items Cons.'!N$5:N$3360,"&lt;&gt;")+SUMIFS('J Book Items Cons.'!L$5:L$3360,'J Book Items Cons.'!E$5:E$3360,4,'J Book Items Cons.'!S$5:S$3360,"[PARENT]",'J Book Items Cons.'!U$5:U$3360,"USN",'J Book Items Cons.'!W$5:W$3360,"Amphibious Warfare Ships",'J Book Items Cons.'!R$5:R$3360,"",'J Book Items Cons.'!N$5:N$3360,""))/C16)</f>
        <v>0.28194883962665107</v>
      </c>
      <c r="D12" s="38">
        <f>IF(D16=0,0,(SUMIFS('J Book Items Cons.'!R$5:R$3360,'J Book Items Cons.'!E$5:E$3360,4,'J Book Items Cons.'!S$5:S$3360,"",'J Book Items Cons.'!U$5:U$3360,"USN",'J Book Items Cons.'!W$5:W$3360,"Expeditionary &amp; Seabasing Ships",'J Book Items Cons.'!R$5:R$3360,"&lt;&gt;")+SUMIFS('J Book Items Cons.'!N$5:N$3360,'J Book Items Cons.'!E$5:E$3360,4,'J Book Items Cons.'!S$5:S$3360,"",'J Book Items Cons.'!U$5:U$3360,"USN",'J Book Items Cons.'!W$5:W$3360,"Expeditionary &amp; Seabasing Ships",'J Book Items Cons.'!R$5:R$3360,"",'J Book Items Cons.'!N$5:N$3360,"&lt;&gt;")+SUMIFS('J Book Items Cons.'!L$5:L$3360,'J Book Items Cons.'!E$5:E$3360,4,'J Book Items Cons.'!S$5:S$3360,"",'J Book Items Cons.'!U$5:U$3360,"USN",'J Book Items Cons.'!W$5:W$3360,"Expeditionary &amp; Seabasing Ships",'J Book Items Cons.'!R$5:R$3360,"",'J Book Items Cons.'!N$5:N$3360,"")+SUMIFS('J Book Items Cons.'!R$5:R$3360,'J Book Items Cons.'!E$5:E$3360,4,'J Book Items Cons.'!S$5:S$3360,"[PARENT]",'J Book Items Cons.'!U$5:U$3360,"USN",'J Book Items Cons.'!W$5:W$3360,"Expeditionary &amp; Seabasing Ships",'J Book Items Cons.'!R$5:R$3360,"&lt;&gt;")+SUMIFS('J Book Items Cons.'!N$5:N$3360,'J Book Items Cons.'!E$5:E$3360,4,'J Book Items Cons.'!S$5:S$3360,"[PARENT]",'J Book Items Cons.'!U$5:U$3360,"USN",'J Book Items Cons.'!W$5:W$3360,"Expeditionary &amp; Seabasing Ships",'J Book Items Cons.'!R$5:R$3360,"",'J Book Items Cons.'!N$5:N$3360,"&lt;&gt;")+SUMIFS('J Book Items Cons.'!L$5:L$3360,'J Book Items Cons.'!E$5:E$3360,4,'J Book Items Cons.'!S$5:S$3360,"[PARENT]",'J Book Items Cons.'!U$5:U$3360,"USN",'J Book Items Cons.'!W$5:W$3360,"Expeditionary &amp; Seabasing Ships",'J Book Items Cons.'!R$5:R$3360,"",'J Book Items Cons.'!N$5:N$3360,""))/D16)</f>
        <v>0</v>
      </c>
      <c r="E12" s="38">
        <f>IF(E16=0,0,(SUMIFS('J Book Items Cons.'!R$5:R$3360,'J Book Items Cons.'!E$5:E$3360,4,'J Book Items Cons.'!S$5:S$3360,"",'J Book Items Cons.'!U$5:U$3360,"MSC",'J Book Items Cons.'!W$5:W$3360,"Combat Logistics Ships",'J Book Items Cons.'!R$5:R$3360,"&lt;&gt;")+SUMIFS('J Book Items Cons.'!N$5:N$3360,'J Book Items Cons.'!E$5:E$3360,4,'J Book Items Cons.'!S$5:S$3360,"",'J Book Items Cons.'!U$5:U$3360,"MSC",'J Book Items Cons.'!W$5:W$3360,"Combat Logistics Ships",'J Book Items Cons.'!R$5:R$3360,"",'J Book Items Cons.'!N$5:N$3360,"&lt;&gt;")+SUMIFS('J Book Items Cons.'!L$5:L$3360,'J Book Items Cons.'!E$5:E$3360,4,'J Book Items Cons.'!S$5:S$3360,"",'J Book Items Cons.'!U$5:U$3360,"MSC",'J Book Items Cons.'!W$5:W$3360,"Combat Logistics Ships",'J Book Items Cons.'!R$5:R$3360,"",'J Book Items Cons.'!N$5:N$3360,"")+SUMIFS('J Book Items Cons.'!R$5:R$3360,'J Book Items Cons.'!E$5:E$3360,4,'J Book Items Cons.'!S$5:S$3360,"[PARENT]",'J Book Items Cons.'!U$5:U$3360,"MSC",'J Book Items Cons.'!W$5:W$3360,"Combat Logistics Ships",'J Book Items Cons.'!R$5:R$3360,"&lt;&gt;")+SUMIFS('J Book Items Cons.'!N$5:N$3360,'J Book Items Cons.'!E$5:E$3360,4,'J Book Items Cons.'!S$5:S$3360,"[PARENT]",'J Book Items Cons.'!U$5:U$3360,"MSC",'J Book Items Cons.'!W$5:W$3360,"Combat Logistics Ships",'J Book Items Cons.'!R$5:R$3360,"",'J Book Items Cons.'!N$5:N$3360,"&lt;&gt;")+SUMIFS('J Book Items Cons.'!L$5:L$3360,'J Book Items Cons.'!E$5:E$3360,4,'J Book Items Cons.'!S$5:S$3360,"[PARENT]",'J Book Items Cons.'!U$5:U$3360,"MSC",'J Book Items Cons.'!W$5:W$3360,"Combat Logistics Ships",'J Book Items Cons.'!R$5:R$3360,"",'J Book Items Cons.'!N$5:N$3360,""))/E16)</f>
        <v>0</v>
      </c>
      <c r="F12" s="38"/>
      <c r="G12" s="38">
        <f>IF(G16=0,0,(SUMIFS('J Book Items Cons.'!R$5:R$3360,'J Book Items Cons.'!E$5:E$3360,4,'J Book Items Cons.'!S$5:S$3360,"",'J Book Items Cons.'!U$5:U$3360,"USN",'J Book Items Cons.'!W$5:W$3360,"Amphibious Warfare Craft",'J Book Items Cons.'!R$5:R$3360,"&lt;&gt;")+SUMIFS('J Book Items Cons.'!N$5:N$3360,'J Book Items Cons.'!E$5:E$3360,4,'J Book Items Cons.'!S$5:S$3360,"",'J Book Items Cons.'!U$5:U$3360,"USN",'J Book Items Cons.'!W$5:W$3360,"Amphibious Warfare Craft",'J Book Items Cons.'!R$5:R$3360,"",'J Book Items Cons.'!N$5:N$3360,"&lt;&gt;")+SUMIFS('J Book Items Cons.'!L$5:L$3360,'J Book Items Cons.'!E$5:E$3360,4,'J Book Items Cons.'!S$5:S$3360,"",'J Book Items Cons.'!U$5:U$3360,"USN",'J Book Items Cons.'!W$5:W$3360,"Amphibious Warfare Craft",'J Book Items Cons.'!R$5:R$3360,"",'J Book Items Cons.'!N$5:N$3360,"")+SUMIFS('J Book Items Cons.'!R$5:R$3360,'J Book Items Cons.'!E$5:E$3360,4,'J Book Items Cons.'!S$5:S$3360,"[PARENT]",'J Book Items Cons.'!U$5:U$3360,"USN",'J Book Items Cons.'!W$5:W$3360,"Amphibious Warfare Craft",'J Book Items Cons.'!R$5:R$3360,"&lt;&gt;")+SUMIFS('J Book Items Cons.'!N$5:N$3360,'J Book Items Cons.'!E$5:E$3360,4,'J Book Items Cons.'!S$5:S$3360,"[PARENT]",'J Book Items Cons.'!U$5:U$3360,"USN",'J Book Items Cons.'!W$5:W$3360,"Amphibious Warfare Craft",'J Book Items Cons.'!R$5:R$3360,"",'J Book Items Cons.'!N$5:N$3360,"&lt;&gt;")+SUMIFS('J Book Items Cons.'!L$5:L$3360,'J Book Items Cons.'!E$5:E$3360,4,'J Book Items Cons.'!S$5:S$3360,"[PARENT]",'J Book Items Cons.'!U$5:U$3360,"USN",'J Book Items Cons.'!W$5:W$3360,"Amphibious Warfare Craft",'J Book Items Cons.'!R$5:R$3360,"",'J Book Items Cons.'!N$5:N$3360,""))/G16)</f>
        <v>2.2054937099853372E-2</v>
      </c>
      <c r="H12" s="38">
        <f>IF(H16=0,0,(SUMIFS('J Book Items Cons.'!R$5:R$3360,'J Book Items Cons.'!E$5:E$3360,4,'J Book Items Cons.'!S$5:S$3360,"",'J Book Items Cons.'!U$5:U$3360,"MSC",'J Book Items Cons.'!W$5:W$3360,"Cargo &amp; Vehicle Cargo Ships",'J Book Items Cons.'!R$5:R$3360,"&lt;&gt;")+SUMIFS('J Book Items Cons.'!N$5:N$3360,'J Book Items Cons.'!E$5:E$3360,4,'J Book Items Cons.'!S$5:S$3360,"",'J Book Items Cons.'!U$5:U$3360,"MSC",'J Book Items Cons.'!W$5:W$3360,"Cargo &amp; Vehicle Cargo Ships",'J Book Items Cons.'!R$5:R$3360,"",'J Book Items Cons.'!N$5:N$3360,"&lt;&gt;")+SUMIFS('J Book Items Cons.'!L$5:L$3360,'J Book Items Cons.'!E$5:E$3360,4,'J Book Items Cons.'!S$5:S$3360,"",'J Book Items Cons.'!U$5:U$3360,"MSC",'J Book Items Cons.'!W$5:W$3360,"Cargo &amp; Vehicle Cargo Ships",'J Book Items Cons.'!R$5:R$3360,"",'J Book Items Cons.'!N$5:N$3360,"")+SUMIFS('J Book Items Cons.'!R$5:R$3360,'J Book Items Cons.'!E$5:E$3360,4,'J Book Items Cons.'!S$5:S$3360,"[PARENT]",'J Book Items Cons.'!U$5:U$3360,"MSC",'J Book Items Cons.'!W$5:W$3360,"Cargo &amp; Vehicle Cargo Ships",'J Book Items Cons.'!R$5:R$3360,"&lt;&gt;")+SUMIFS('J Book Items Cons.'!N$5:N$3360,'J Book Items Cons.'!E$5:E$3360,4,'J Book Items Cons.'!S$5:S$3360,"[PARENT]",'J Book Items Cons.'!U$5:U$3360,"MSC",'J Book Items Cons.'!W$5:W$3360,"Cargo &amp; Vehicle Cargo Ships",'J Book Items Cons.'!R$5:R$3360,"",'J Book Items Cons.'!N$5:N$3360,"&lt;&gt;")+SUMIFS('J Book Items Cons.'!L$5:L$3360,'J Book Items Cons.'!E$5:E$3360,4,'J Book Items Cons.'!S$5:S$3360,"[PARENT]",'J Book Items Cons.'!U$5:U$3360,"MSC",'J Book Items Cons.'!W$5:W$3360,"Cargo &amp; Vehicle Cargo Ships",'J Book Items Cons.'!R$5:R$3360,"",'J Book Items Cons.'!N$5:N$3360,""))/H16)</f>
        <v>0</v>
      </c>
      <c r="I12" s="38">
        <f>IF(I16=0,0,(SUMIFS('J Book Items Cons.'!R$5:R$3360,'J Book Items Cons.'!E$5:E$3360,4,'J Book Items Cons.'!S$5:S$3360,"",'J Book Items Cons.'!U$5:U$3360,"MSC",'J Book Items Cons.'!W$5:W$3360,"Surveillance Ships",'J Book Items Cons.'!R$5:R$3360,"&lt;&gt;")+SUMIFS('J Book Items Cons.'!N$5:N$3360,'J Book Items Cons.'!E$5:E$3360,4,'J Book Items Cons.'!S$5:S$3360,"",'J Book Items Cons.'!U$5:U$3360,"MSC",'J Book Items Cons.'!W$5:W$3360,"Surveillance Ships",'J Book Items Cons.'!R$5:R$3360,"",'J Book Items Cons.'!N$5:N$3360,"&lt;&gt;")+SUMIFS('J Book Items Cons.'!L$5:L$3360,'J Book Items Cons.'!E$5:E$3360,4,'J Book Items Cons.'!S$5:S$3360,"",'J Book Items Cons.'!U$5:U$3360,"MSC",'J Book Items Cons.'!W$5:W$3360,"Surveillance Ships",'J Book Items Cons.'!R$5:R$3360,"",'J Book Items Cons.'!N$5:N$3360,"")+SUMIFS('J Book Items Cons.'!R$5:R$3360,'J Book Items Cons.'!E$5:E$3360,4,'J Book Items Cons.'!S$5:S$3360,"[PARENT]",'J Book Items Cons.'!U$5:U$3360,"MSC",'J Book Items Cons.'!W$5:W$3360,"Surveillance Ships",'J Book Items Cons.'!R$5:R$3360,"&lt;&gt;")+SUMIFS('J Book Items Cons.'!N$5:N$3360,'J Book Items Cons.'!E$5:E$3360,4,'J Book Items Cons.'!S$5:S$3360,"[PARENT]",'J Book Items Cons.'!U$5:U$3360,"MSC",'J Book Items Cons.'!W$5:W$3360,"Surveillance Ships",'J Book Items Cons.'!R$5:R$3360,"",'J Book Items Cons.'!N$5:N$3360,"&lt;&gt;")+SUMIFS('J Book Items Cons.'!L$5:L$3360,'J Book Items Cons.'!E$5:E$3360,4,'J Book Items Cons.'!S$5:S$3360,"[PARENT]",'J Book Items Cons.'!U$5:U$3360,"MSC",'J Book Items Cons.'!W$5:W$3360,"Surveillance Ships",'J Book Items Cons.'!R$5:R$3360,"",'J Book Items Cons.'!N$5:N$3360,""))/I16)</f>
        <v>4.8446160398151E-2</v>
      </c>
      <c r="J12" s="38">
        <f>IF(J16=0,0,(SUMIFS('J Book Items Cons.'!R$5:R$3360,'J Book Items Cons.'!E$5:E$3360,4,'J Book Items Cons.'!S$5:S$3360,"",'J Book Items Cons.'!U$5:U$3360,"USN",'J Book Items Cons.'!W$5:W$3360,"Command Ships",'J Book Items Cons.'!R$5:R$3360,"&lt;&gt;")+SUMIFS('J Book Items Cons.'!N$5:N$3360,'J Book Items Cons.'!E$5:E$3360,4,'J Book Items Cons.'!S$5:S$3360,"",'J Book Items Cons.'!U$5:U$3360,"USN",'J Book Items Cons.'!W$5:W$3360,"Command Ships",'J Book Items Cons.'!R$5:R$3360,"",'J Book Items Cons.'!N$5:N$3360,"&lt;&gt;")+SUMIFS('J Book Items Cons.'!L$5:L$3360,'J Book Items Cons.'!E$5:E$3360,4,'J Book Items Cons.'!S$5:S$3360,"",'J Book Items Cons.'!U$5:U$3360,"USN",'J Book Items Cons.'!W$5:W$3360,"Command Ships",'J Book Items Cons.'!R$5:R$3360,"",'J Book Items Cons.'!N$5:N$3360,"")+SUMIFS('J Book Items Cons.'!R$5:R$3360,'J Book Items Cons.'!E$5:E$3360,4,'J Book Items Cons.'!S$5:S$3360,"[PARENT]",'J Book Items Cons.'!U$5:U$3360,"USN",'J Book Items Cons.'!W$5:W$3360,"Command Ships",'J Book Items Cons.'!R$5:R$3360,"&lt;&gt;")+SUMIFS('J Book Items Cons.'!N$5:N$3360,'J Book Items Cons.'!E$5:E$3360,4,'J Book Items Cons.'!S$5:S$3360,"[PARENT]",'J Book Items Cons.'!U$5:U$3360,"USN",'J Book Items Cons.'!W$5:W$3360,"Command Ships",'J Book Items Cons.'!R$5:R$3360,"",'J Book Items Cons.'!N$5:N$3360,"&lt;&gt;")+SUMIFS('J Book Items Cons.'!L$5:L$3360,'J Book Items Cons.'!E$5:E$3360,4,'J Book Items Cons.'!S$5:S$3360,"[PARENT]",'J Book Items Cons.'!U$5:U$3360,"USN",'J Book Items Cons.'!W$5:W$3360,"Command Ships",'J Book Items Cons.'!R$5:R$3360,"",'J Book Items Cons.'!N$5:N$3360,""))/J16)</f>
        <v>0</v>
      </c>
      <c r="K12" s="39">
        <f>IF(K16=0,0,(SUMIFS('J Book Items Cons.'!R$5:R$3360,'J Book Items Cons.'!E$5:E$3360,4,'J Book Items Cons.'!S$5:S$3360,"",'J Book Items Cons.'!U$5:U$3360,"USN",'J Book Items Cons.'!W$5:W$3360,"Mine Warfare",'J Book Items Cons.'!R$5:R$3360,"&lt;&gt;")+SUMIFS('J Book Items Cons.'!N$5:N$3360,'J Book Items Cons.'!E$5:E$3360,4,'J Book Items Cons.'!S$5:S$3360,"",'J Book Items Cons.'!U$5:U$3360,"USN",'J Book Items Cons.'!W$5:W$3360,"Mine Warfare",'J Book Items Cons.'!R$5:R$3360,"",'J Book Items Cons.'!N$5:N$3360,"&lt;&gt;")+SUMIFS('J Book Items Cons.'!L$5:L$3360,'J Book Items Cons.'!E$5:E$3360,4,'J Book Items Cons.'!S$5:S$3360,"",'J Book Items Cons.'!U$5:U$3360,"USN",'J Book Items Cons.'!W$5:W$3360,"Mine Warfare",'J Book Items Cons.'!R$5:R$3360,"",'J Book Items Cons.'!N$5:N$3360,"")+SUMIFS('J Book Items Cons.'!R$5:R$3360,'J Book Items Cons.'!E$5:E$3360,4,'J Book Items Cons.'!S$5:S$3360,"[PARENT]",'J Book Items Cons.'!U$5:U$3360,"USN",'J Book Items Cons.'!W$5:W$3360,"Mine Warfare",'J Book Items Cons.'!R$5:R$3360,"&lt;&gt;")+SUMIFS('J Book Items Cons.'!N$5:N$3360,'J Book Items Cons.'!E$5:E$3360,4,'J Book Items Cons.'!S$5:S$3360,"[PARENT]",'J Book Items Cons.'!U$5:U$3360,"USN",'J Book Items Cons.'!W$5:W$3360,"Mine Warfare",'J Book Items Cons.'!R$5:R$3360,"",'J Book Items Cons.'!N$5:N$3360,"&lt;&gt;")+SUMIFS('J Book Items Cons.'!L$5:L$3360,'J Book Items Cons.'!E$5:E$3360,4,'J Book Items Cons.'!S$5:S$3360,"[PARENT]",'J Book Items Cons.'!U$5:U$3360,"USN",'J Book Items Cons.'!W$5:W$3360,"Mine Warfare",'J Book Items Cons.'!R$5:R$3360,"",'J Book Items Cons.'!N$5:N$3360,""))/K16)</f>
        <v>0</v>
      </c>
      <c r="L12" s="37">
        <f>IF(L16=0,0,(SUMIFS('J Book Items Cons.'!R$5:R$3360,'J Book Items Cons.'!E$5:E$3360,4,'J Book Items Cons.'!S$5:S$3360,"",'J Book Items Cons.'!U$5:U$3360,"USCG",'J Book Items Cons.'!W$5:W$3360,"Offshore Patrol Cutter",'J Book Items Cons.'!R$5:R$3360,"&lt;&gt;")+SUMIFS('J Book Items Cons.'!N$5:N$3360,'J Book Items Cons.'!E$5:E$3360,4,'J Book Items Cons.'!S$5:S$3360,"",'J Book Items Cons.'!U$5:U$3360,"USCG",'J Book Items Cons.'!W$5:W$3360,"Offshore Patrol Cutter",'J Book Items Cons.'!R$5:R$3360,"",'J Book Items Cons.'!N$5:N$3360,"&lt;&gt;")+SUMIFS('J Book Items Cons.'!L$5:L$3360,'J Book Items Cons.'!E$5:E$3360,4,'J Book Items Cons.'!S$5:S$3360,"",'J Book Items Cons.'!U$5:U$3360,"USCG",'J Book Items Cons.'!W$5:W$3360,"Offshore Patrol Cutter",'J Book Items Cons.'!R$5:R$3360,"",'J Book Items Cons.'!N$5:N$3360,"")+SUMIFS('J Book Items Cons.'!R$5:R$3360,'J Book Items Cons.'!E$5:E$3360,4,'J Book Items Cons.'!S$5:S$3360,"[PARENT]",'J Book Items Cons.'!U$5:U$3360,"USCG",'J Book Items Cons.'!W$5:W$3360,"Offshore Patrol Cutter",'J Book Items Cons.'!R$5:R$3360,"&lt;&gt;")+SUMIFS('J Book Items Cons.'!N$5:N$3360,'J Book Items Cons.'!E$5:E$3360,4,'J Book Items Cons.'!S$5:S$3360,"[PARENT]",'J Book Items Cons.'!U$5:U$3360,"USCG",'J Book Items Cons.'!W$5:W$3360,"Offshore Patrol Cutter",'J Book Items Cons.'!R$5:R$3360,"",'J Book Items Cons.'!N$5:N$3360,"&lt;&gt;")+SUMIFS('J Book Items Cons.'!L$5:L$3360,'J Book Items Cons.'!E$5:E$3360,4,'J Book Items Cons.'!S$5:S$3360,"[PARENT]",'J Book Items Cons.'!U$5:U$3360,"USCG",'J Book Items Cons.'!W$5:W$3360,"Offshore Patrol Cutter",'J Book Items Cons.'!R$5:R$3360,"",'J Book Items Cons.'!N$5:N$3360,""))/L16)</f>
        <v>0</v>
      </c>
      <c r="M12" s="38">
        <f>IF(M16=0,0,(SUMIFS('J Book Items Cons.'!R$5:R$3360,'J Book Items Cons.'!E$5:E$3360,4,'J Book Items Cons.'!S$5:S$3360,"",'J Book Items Cons.'!U$5:U$3360,"USCG",'J Book Items Cons.'!W$5:W$3360,"Fast Response Cutters",'J Book Items Cons.'!R$5:R$3360,"&lt;&gt;")+SUMIFS('J Book Items Cons.'!N$5:N$3360,'J Book Items Cons.'!E$5:E$3360,4,'J Book Items Cons.'!S$5:S$3360,"",'J Book Items Cons.'!U$5:U$3360,"USCG",'J Book Items Cons.'!W$5:W$3360,"Fast Response Cutters",'J Book Items Cons.'!R$5:R$3360,"",'J Book Items Cons.'!N$5:N$3360,"&lt;&gt;")+SUMIFS('J Book Items Cons.'!L$5:L$3360,'J Book Items Cons.'!E$5:E$3360,4,'J Book Items Cons.'!S$5:S$3360,"",'J Book Items Cons.'!U$5:U$3360,"USCG",'J Book Items Cons.'!W$5:W$3360,"Fast Response Cutters",'J Book Items Cons.'!R$5:R$3360,"",'J Book Items Cons.'!N$5:N$3360,"")+SUMIFS('J Book Items Cons.'!R$5:R$3360,'J Book Items Cons.'!E$5:E$3360,4,'J Book Items Cons.'!S$5:S$3360,"[PARENT]",'J Book Items Cons.'!U$5:U$3360,"USCG",'J Book Items Cons.'!W$5:W$3360,"Fast Response Cutters",'J Book Items Cons.'!R$5:R$3360,"&lt;&gt;")+SUMIFS('J Book Items Cons.'!N$5:N$3360,'J Book Items Cons.'!E$5:E$3360,4,'J Book Items Cons.'!S$5:S$3360,"[PARENT]",'J Book Items Cons.'!U$5:U$3360,"USCG",'J Book Items Cons.'!W$5:W$3360,"Fast Response Cutters",'J Book Items Cons.'!R$5:R$3360,"",'J Book Items Cons.'!N$5:N$3360,"&lt;&gt;")+SUMIFS('J Book Items Cons.'!L$5:L$3360,'J Book Items Cons.'!E$5:E$3360,4,'J Book Items Cons.'!S$5:S$3360,"[PARENT]",'J Book Items Cons.'!U$5:U$3360,"USCG",'J Book Items Cons.'!W$5:W$3360,"Fast Response Cutters",'J Book Items Cons.'!R$5:R$3360,"",'J Book Items Cons.'!N$5:N$3360,""))/M16)</f>
        <v>0</v>
      </c>
      <c r="N12" s="38">
        <f>IF(N16=0,0,(SUMIFS('J Book Items Cons.'!R$5:R$3360,'J Book Items Cons.'!E$5:E$3360,4,'J Book Items Cons.'!S$5:S$3360,"",'J Book Items Cons.'!U$5:U$3360,"USCG",'J Book Items Cons.'!W$5:W$3360,"Icebreakers, Oceangoing",'J Book Items Cons.'!R$5:R$3360,"&lt;&gt;")+SUMIFS('J Book Items Cons.'!N$5:N$3360,'J Book Items Cons.'!E$5:E$3360,4,'J Book Items Cons.'!S$5:S$3360,"",'J Book Items Cons.'!U$5:U$3360,"USCG",'J Book Items Cons.'!W$5:W$3360,"Icebreakers, Oceangoing",'J Book Items Cons.'!R$5:R$3360,"",'J Book Items Cons.'!N$5:N$3360,"&lt;&gt;")+SUMIFS('J Book Items Cons.'!L$5:L$3360,'J Book Items Cons.'!E$5:E$3360,4,'J Book Items Cons.'!S$5:S$3360,"",'J Book Items Cons.'!U$5:U$3360,"USCG",'J Book Items Cons.'!W$5:W$3360,"Icebreakers, Oceangoing",'J Book Items Cons.'!R$5:R$3360,"",'J Book Items Cons.'!N$5:N$3360,"")+SUMIFS('J Book Items Cons.'!R$5:R$3360,'J Book Items Cons.'!E$5:E$3360,4,'J Book Items Cons.'!S$5:S$3360,"[PARENT]",'J Book Items Cons.'!U$5:U$3360,"USCG",'J Book Items Cons.'!W$5:W$3360,"Icebreakers, Oceangoing",'J Book Items Cons.'!R$5:R$3360,"&lt;&gt;")+SUMIFS('J Book Items Cons.'!N$5:N$3360,'J Book Items Cons.'!E$5:E$3360,4,'J Book Items Cons.'!S$5:S$3360,"[PARENT]",'J Book Items Cons.'!U$5:U$3360,"USCG",'J Book Items Cons.'!W$5:W$3360,"Icebreakers, Oceangoing",'J Book Items Cons.'!R$5:R$3360,"",'J Book Items Cons.'!N$5:N$3360,"&lt;&gt;")+SUMIFS('J Book Items Cons.'!L$5:L$3360,'J Book Items Cons.'!E$5:E$3360,4,'J Book Items Cons.'!S$5:S$3360,"[PARENT]",'J Book Items Cons.'!U$5:U$3360,"USCG",'J Book Items Cons.'!W$5:W$3360,"Icebreakers, Oceangoing",'J Book Items Cons.'!R$5:R$3360,"",'J Book Items Cons.'!N$5:N$3360,""))/N16)</f>
        <v>0</v>
      </c>
      <c r="O12" s="38"/>
      <c r="P12" s="39">
        <f>IF(P16=0,0,(SUMIFS('J Book Items Cons.'!R$5:R$3360,'J Book Items Cons.'!E$5:E$3360,4,'J Book Items Cons.'!S$5:S$3360,"",'J Book Items Cons.'!U$5:U$3360,"USCG",'J Book Items Cons.'!W$5:W$3360,"National Security Cutters",'J Book Items Cons.'!R$5:R$3360,"&lt;&gt;")+SUMIFS('J Book Items Cons.'!N$5:N$3360,'J Book Items Cons.'!E$5:E$3360,4,'J Book Items Cons.'!S$5:S$3360,"",'J Book Items Cons.'!U$5:U$3360,"USCG",'J Book Items Cons.'!W$5:W$3360,"National Security Cutters",'J Book Items Cons.'!R$5:R$3360,"",'J Book Items Cons.'!N$5:N$3360,"&lt;&gt;")+SUMIFS('J Book Items Cons.'!L$5:L$3360,'J Book Items Cons.'!E$5:E$3360,4,'J Book Items Cons.'!S$5:S$3360,"",'J Book Items Cons.'!U$5:U$3360,"USCG",'J Book Items Cons.'!W$5:W$3360,"National Security Cutters",'J Book Items Cons.'!R$5:R$3360,"",'J Book Items Cons.'!N$5:N$3360,"")+SUMIFS('J Book Items Cons.'!R$5:R$3360,'J Book Items Cons.'!E$5:E$3360,4,'J Book Items Cons.'!S$5:S$3360,"[PARENT]",'J Book Items Cons.'!U$5:U$3360,"USCG",'J Book Items Cons.'!W$5:W$3360,"National Security Cutters",'J Book Items Cons.'!R$5:R$3360,"&lt;&gt;")+SUMIFS('J Book Items Cons.'!N$5:N$3360,'J Book Items Cons.'!E$5:E$3360,4,'J Book Items Cons.'!S$5:S$3360,"[PARENT]",'J Book Items Cons.'!U$5:U$3360,"USCG",'J Book Items Cons.'!W$5:W$3360,"National Security Cutters",'J Book Items Cons.'!R$5:R$3360,"",'J Book Items Cons.'!N$5:N$3360,"&lt;&gt;")+SUMIFS('J Book Items Cons.'!L$5:L$3360,'J Book Items Cons.'!E$5:E$3360,4,'J Book Items Cons.'!S$5:S$3360,"[PARENT]",'J Book Items Cons.'!U$5:U$3360,"USCG",'J Book Items Cons.'!W$5:W$3360,"National Security Cutters",'J Book Items Cons.'!R$5:R$3360,"",'J Book Items Cons.'!N$5:N$3360,""))/P16)</f>
        <v>1</v>
      </c>
      <c r="Q12" s="38">
        <f t="shared" si="0"/>
        <v>0.19774943811168105</v>
      </c>
      <c r="S12" s="15" t="s">
        <v>8831</v>
      </c>
      <c r="T12" s="28">
        <f>SUM(T7+T10+T11)</f>
        <v>17605524</v>
      </c>
      <c r="U12" s="16">
        <f t="shared" ref="U12:AH12" si="2">U7+U10+U11</f>
        <v>13525977</v>
      </c>
      <c r="V12" s="16">
        <f t="shared" si="2"/>
        <v>11644369</v>
      </c>
      <c r="W12" s="16">
        <f t="shared" si="2"/>
        <v>1397026</v>
      </c>
      <c r="X12" s="16">
        <f t="shared" si="2"/>
        <v>1327331</v>
      </c>
      <c r="Y12" s="16">
        <f t="shared" si="2"/>
        <v>1101686</v>
      </c>
      <c r="Z12" s="16">
        <f t="shared" si="2"/>
        <v>692040</v>
      </c>
      <c r="AA12" s="16">
        <f t="shared" si="2"/>
        <v>225151</v>
      </c>
      <c r="AB12" s="16">
        <f t="shared" si="2"/>
        <v>160441</v>
      </c>
      <c r="AC12" s="29">
        <f t="shared" si="2"/>
        <v>124431</v>
      </c>
      <c r="AD12" s="28">
        <f t="shared" si="2"/>
        <v>812400</v>
      </c>
      <c r="AE12" s="16">
        <f t="shared" si="2"/>
        <v>216000</v>
      </c>
      <c r="AF12" s="16">
        <f t="shared" si="2"/>
        <v>130000</v>
      </c>
      <c r="AG12" s="16">
        <f t="shared" si="2"/>
        <v>98000</v>
      </c>
      <c r="AH12" s="29">
        <f t="shared" si="2"/>
        <v>31000</v>
      </c>
      <c r="AI12" s="16">
        <f t="shared" si="1"/>
        <v>49091376</v>
      </c>
    </row>
    <row r="13" spans="1:35" ht="9.75" customHeight="1" x14ac:dyDescent="0.15">
      <c r="A13" s="7" t="s">
        <v>8853</v>
      </c>
      <c r="B13" s="37">
        <f>IF(B16=0,0,(SUMIFS('J Book Items Cons.'!R$5:R$3360,'J Book Items Cons.'!E$5:E$3360,5,'J Book Items Cons.'!S$5:S$3360,"",'J Book Items Cons.'!U$5:U$3360,"USN",'J Book Items Cons.'!W$5:W$3360,"Surface Combatants",'J Book Items Cons.'!R$5:R$3360,"&lt;&gt;")+SUMIFS('J Book Items Cons.'!N$5:N$3360,'J Book Items Cons.'!E$5:E$3360,5,'J Book Items Cons.'!S$5:S$3360,"",'J Book Items Cons.'!U$5:U$3360,"USN",'J Book Items Cons.'!W$5:W$3360,"Surface Combatants",'J Book Items Cons.'!R$5:R$3360,"",'J Book Items Cons.'!N$5:N$3360,"&lt;&gt;")+SUMIFS('J Book Items Cons.'!L$5:L$3360,'J Book Items Cons.'!E$5:E$3360,5,'J Book Items Cons.'!S$5:S$3360,"",'J Book Items Cons.'!U$5:U$3360,"USN",'J Book Items Cons.'!W$5:W$3360,"Surface Combatants",'J Book Items Cons.'!R$5:R$3360,"",'J Book Items Cons.'!N$5:N$3360,"")+SUMIFS('J Book Items Cons.'!R$5:R$3360,'J Book Items Cons.'!E$5:E$3360,5,'J Book Items Cons.'!S$5:S$3360,"[PARENT]",'J Book Items Cons.'!U$5:U$3360,"USN",'J Book Items Cons.'!W$5:W$3360,"Surface Combatants",'J Book Items Cons.'!R$5:R$3360,"&lt;&gt;")+SUMIFS('J Book Items Cons.'!N$5:N$3360,'J Book Items Cons.'!E$5:E$3360,5,'J Book Items Cons.'!S$5:S$3360,"[PARENT]",'J Book Items Cons.'!U$5:U$3360,"USN",'J Book Items Cons.'!W$5:W$3360,"Surface Combatants",'J Book Items Cons.'!R$5:R$3360,"",'J Book Items Cons.'!N$5:N$3360,"&lt;&gt;")+SUMIFS('J Book Items Cons.'!L$5:L$3360,'J Book Items Cons.'!E$5:E$3360,5,'J Book Items Cons.'!S$5:S$3360,"[PARENT]",'J Book Items Cons.'!U$5:U$3360,"USN",'J Book Items Cons.'!W$5:W$3360,"Surface Combatants",'J Book Items Cons.'!R$5:R$3360,"",'J Book Items Cons.'!N$5:N$3360,""))/B16)</f>
        <v>0</v>
      </c>
      <c r="C13" s="38">
        <f>IF(C16=0,0,(SUMIFS('J Book Items Cons.'!R$5:R$3360,'J Book Items Cons.'!E$5:E$3360,5,'J Book Items Cons.'!S$5:S$3360,"",'J Book Items Cons.'!U$5:U$3360,"USN",'J Book Items Cons.'!W$5:W$3360,"Amphibious Warfare Ships",'J Book Items Cons.'!R$5:R$3360,"&lt;&gt;")+SUMIFS('J Book Items Cons.'!N$5:N$3360,'J Book Items Cons.'!E$5:E$3360,5,'J Book Items Cons.'!S$5:S$3360,"",'J Book Items Cons.'!U$5:U$3360,"USN",'J Book Items Cons.'!W$5:W$3360,"Amphibious Warfare Ships",'J Book Items Cons.'!R$5:R$3360,"",'J Book Items Cons.'!N$5:N$3360,"&lt;&gt;")+SUMIFS('J Book Items Cons.'!L$5:L$3360,'J Book Items Cons.'!E$5:E$3360,5,'J Book Items Cons.'!S$5:S$3360,"",'J Book Items Cons.'!U$5:U$3360,"USN",'J Book Items Cons.'!W$5:W$3360,"Amphibious Warfare Ships",'J Book Items Cons.'!R$5:R$3360,"",'J Book Items Cons.'!N$5:N$3360,"")+SUMIFS('J Book Items Cons.'!R$5:R$3360,'J Book Items Cons.'!E$5:E$3360,5,'J Book Items Cons.'!S$5:S$3360,"[PARENT]",'J Book Items Cons.'!U$5:U$3360,"USN",'J Book Items Cons.'!W$5:W$3360,"Amphibious Warfare Ships",'J Book Items Cons.'!R$5:R$3360,"&lt;&gt;")+SUMIFS('J Book Items Cons.'!N$5:N$3360,'J Book Items Cons.'!E$5:E$3360,5,'J Book Items Cons.'!S$5:S$3360,"[PARENT]",'J Book Items Cons.'!U$5:U$3360,"USN",'J Book Items Cons.'!W$5:W$3360,"Amphibious Warfare Ships",'J Book Items Cons.'!R$5:R$3360,"",'J Book Items Cons.'!N$5:N$3360,"&lt;&gt;")+SUMIFS('J Book Items Cons.'!L$5:L$3360,'J Book Items Cons.'!E$5:E$3360,5,'J Book Items Cons.'!S$5:S$3360,"[PARENT]",'J Book Items Cons.'!U$5:U$3360,"USN",'J Book Items Cons.'!W$5:W$3360,"Amphibious Warfare Ships",'J Book Items Cons.'!R$5:R$3360,"",'J Book Items Cons.'!N$5:N$3360,""))/C16)</f>
        <v>0</v>
      </c>
      <c r="D13" s="38">
        <f>IF(D16=0,0,(SUMIFS('J Book Items Cons.'!R$5:R$3360,'J Book Items Cons.'!E$5:E$3360,5,'J Book Items Cons.'!S$5:S$3360,"",'J Book Items Cons.'!U$5:U$3360,"USN",'J Book Items Cons.'!W$5:W$3360,"Expeditionary &amp; Seabasing Ships",'J Book Items Cons.'!R$5:R$3360,"&lt;&gt;")+SUMIFS('J Book Items Cons.'!N$5:N$3360,'J Book Items Cons.'!E$5:E$3360,5,'J Book Items Cons.'!S$5:S$3360,"",'J Book Items Cons.'!U$5:U$3360,"USN",'J Book Items Cons.'!W$5:W$3360,"Expeditionary &amp; Seabasing Ships",'J Book Items Cons.'!R$5:R$3360,"",'J Book Items Cons.'!N$5:N$3360,"&lt;&gt;")+SUMIFS('J Book Items Cons.'!L$5:L$3360,'J Book Items Cons.'!E$5:E$3360,5,'J Book Items Cons.'!S$5:S$3360,"",'J Book Items Cons.'!U$5:U$3360,"USN",'J Book Items Cons.'!W$5:W$3360,"Expeditionary &amp; Seabasing Ships",'J Book Items Cons.'!R$5:R$3360,"",'J Book Items Cons.'!N$5:N$3360,"")+SUMIFS('J Book Items Cons.'!R$5:R$3360,'J Book Items Cons.'!E$5:E$3360,5,'J Book Items Cons.'!S$5:S$3360,"[PARENT]",'J Book Items Cons.'!U$5:U$3360,"USN",'J Book Items Cons.'!W$5:W$3360,"Expeditionary &amp; Seabasing Ships",'J Book Items Cons.'!R$5:R$3360,"&lt;&gt;")+SUMIFS('J Book Items Cons.'!N$5:N$3360,'J Book Items Cons.'!E$5:E$3360,5,'J Book Items Cons.'!S$5:S$3360,"[PARENT]",'J Book Items Cons.'!U$5:U$3360,"USN",'J Book Items Cons.'!W$5:W$3360,"Expeditionary &amp; Seabasing Ships",'J Book Items Cons.'!R$5:R$3360,"",'J Book Items Cons.'!N$5:N$3360,"&lt;&gt;")+SUMIFS('J Book Items Cons.'!L$5:L$3360,'J Book Items Cons.'!E$5:E$3360,5,'J Book Items Cons.'!S$5:S$3360,"[PARENT]",'J Book Items Cons.'!U$5:U$3360,"USN",'J Book Items Cons.'!W$5:W$3360,"Expeditionary &amp; Seabasing Ships",'J Book Items Cons.'!R$5:R$3360,"",'J Book Items Cons.'!N$5:N$3360,""))/D16)</f>
        <v>0</v>
      </c>
      <c r="E13" s="38">
        <f>IF(E16=0,0,(SUMIFS('J Book Items Cons.'!R$5:R$3360,'J Book Items Cons.'!E$5:E$3360,5,'J Book Items Cons.'!S$5:S$3360,"",'J Book Items Cons.'!U$5:U$3360,"MSC",'J Book Items Cons.'!W$5:W$3360,"Combat Logistics Ships",'J Book Items Cons.'!R$5:R$3360,"&lt;&gt;")+SUMIFS('J Book Items Cons.'!N$5:N$3360,'J Book Items Cons.'!E$5:E$3360,5,'J Book Items Cons.'!S$5:S$3360,"",'J Book Items Cons.'!U$5:U$3360,"MSC",'J Book Items Cons.'!W$5:W$3360,"Combat Logistics Ships",'J Book Items Cons.'!R$5:R$3360,"",'J Book Items Cons.'!N$5:N$3360,"&lt;&gt;")+SUMIFS('J Book Items Cons.'!L$5:L$3360,'J Book Items Cons.'!E$5:E$3360,5,'J Book Items Cons.'!S$5:S$3360,"",'J Book Items Cons.'!U$5:U$3360,"MSC",'J Book Items Cons.'!W$5:W$3360,"Combat Logistics Ships",'J Book Items Cons.'!R$5:R$3360,"",'J Book Items Cons.'!N$5:N$3360,"")+SUMIFS('J Book Items Cons.'!R$5:R$3360,'J Book Items Cons.'!E$5:E$3360,5,'J Book Items Cons.'!S$5:S$3360,"[PARENT]",'J Book Items Cons.'!U$5:U$3360,"MSC",'J Book Items Cons.'!W$5:W$3360,"Combat Logistics Ships",'J Book Items Cons.'!R$5:R$3360,"&lt;&gt;")+SUMIFS('J Book Items Cons.'!N$5:N$3360,'J Book Items Cons.'!E$5:E$3360,5,'J Book Items Cons.'!S$5:S$3360,"[PARENT]",'J Book Items Cons.'!U$5:U$3360,"MSC",'J Book Items Cons.'!W$5:W$3360,"Combat Logistics Ships",'J Book Items Cons.'!R$5:R$3360,"",'J Book Items Cons.'!N$5:N$3360,"&lt;&gt;")+SUMIFS('J Book Items Cons.'!L$5:L$3360,'J Book Items Cons.'!E$5:E$3360,5,'J Book Items Cons.'!S$5:S$3360,"[PARENT]",'J Book Items Cons.'!U$5:U$3360,"MSC",'J Book Items Cons.'!W$5:W$3360,"Combat Logistics Ships",'J Book Items Cons.'!R$5:R$3360,"",'J Book Items Cons.'!N$5:N$3360,""))/E16)</f>
        <v>0</v>
      </c>
      <c r="F13" s="38"/>
      <c r="G13" s="38">
        <f>IF(G16=0,0,(SUMIFS('J Book Items Cons.'!R$5:R$3360,'J Book Items Cons.'!E$5:E$3360,5,'J Book Items Cons.'!S$5:S$3360,"",'J Book Items Cons.'!U$5:U$3360,"USN",'J Book Items Cons.'!W$5:W$3360,"Amphibious Warfare Craft",'J Book Items Cons.'!R$5:R$3360,"&lt;&gt;")+SUMIFS('J Book Items Cons.'!N$5:N$3360,'J Book Items Cons.'!E$5:E$3360,5,'J Book Items Cons.'!S$5:S$3360,"",'J Book Items Cons.'!U$5:U$3360,"USN",'J Book Items Cons.'!W$5:W$3360,"Amphibious Warfare Craft",'J Book Items Cons.'!R$5:R$3360,"",'J Book Items Cons.'!N$5:N$3360,"&lt;&gt;")+SUMIFS('J Book Items Cons.'!L$5:L$3360,'J Book Items Cons.'!E$5:E$3360,5,'J Book Items Cons.'!S$5:S$3360,"",'J Book Items Cons.'!U$5:U$3360,"USN",'J Book Items Cons.'!W$5:W$3360,"Amphibious Warfare Craft",'J Book Items Cons.'!R$5:R$3360,"",'J Book Items Cons.'!N$5:N$3360,"")+SUMIFS('J Book Items Cons.'!R$5:R$3360,'J Book Items Cons.'!E$5:E$3360,5,'J Book Items Cons.'!S$5:S$3360,"[PARENT]",'J Book Items Cons.'!U$5:U$3360,"USN",'J Book Items Cons.'!W$5:W$3360,"Amphibious Warfare Craft",'J Book Items Cons.'!R$5:R$3360,"&lt;&gt;")+SUMIFS('J Book Items Cons.'!N$5:N$3360,'J Book Items Cons.'!E$5:E$3360,5,'J Book Items Cons.'!S$5:S$3360,"[PARENT]",'J Book Items Cons.'!U$5:U$3360,"USN",'J Book Items Cons.'!W$5:W$3360,"Amphibious Warfare Craft",'J Book Items Cons.'!R$5:R$3360,"",'J Book Items Cons.'!N$5:N$3360,"&lt;&gt;")+SUMIFS('J Book Items Cons.'!L$5:L$3360,'J Book Items Cons.'!E$5:E$3360,5,'J Book Items Cons.'!S$5:S$3360,"[PARENT]",'J Book Items Cons.'!U$5:U$3360,"USN",'J Book Items Cons.'!W$5:W$3360,"Amphibious Warfare Craft",'J Book Items Cons.'!R$5:R$3360,"",'J Book Items Cons.'!N$5:N$3360,""))/G16)</f>
        <v>4.0580389654225557E-2</v>
      </c>
      <c r="H13" s="38">
        <f>IF(H16=0,0,(SUMIFS('J Book Items Cons.'!R$5:R$3360,'J Book Items Cons.'!E$5:E$3360,5,'J Book Items Cons.'!S$5:S$3360,"",'J Book Items Cons.'!U$5:U$3360,"MSC",'J Book Items Cons.'!W$5:W$3360,"Cargo &amp; Vehicle Cargo Ships",'J Book Items Cons.'!R$5:R$3360,"&lt;&gt;")+SUMIFS('J Book Items Cons.'!N$5:N$3360,'J Book Items Cons.'!E$5:E$3360,5,'J Book Items Cons.'!S$5:S$3360,"",'J Book Items Cons.'!U$5:U$3360,"MSC",'J Book Items Cons.'!W$5:W$3360,"Cargo &amp; Vehicle Cargo Ships",'J Book Items Cons.'!R$5:R$3360,"",'J Book Items Cons.'!N$5:N$3360,"&lt;&gt;")+SUMIFS('J Book Items Cons.'!L$5:L$3360,'J Book Items Cons.'!E$5:E$3360,5,'J Book Items Cons.'!S$5:S$3360,"",'J Book Items Cons.'!U$5:U$3360,"MSC",'J Book Items Cons.'!W$5:W$3360,"Cargo &amp; Vehicle Cargo Ships",'J Book Items Cons.'!R$5:R$3360,"",'J Book Items Cons.'!N$5:N$3360,"")+SUMIFS('J Book Items Cons.'!R$5:R$3360,'J Book Items Cons.'!E$5:E$3360,5,'J Book Items Cons.'!S$5:S$3360,"[PARENT]",'J Book Items Cons.'!U$5:U$3360,"MSC",'J Book Items Cons.'!W$5:W$3360,"Cargo &amp; Vehicle Cargo Ships",'J Book Items Cons.'!R$5:R$3360,"&lt;&gt;")+SUMIFS('J Book Items Cons.'!N$5:N$3360,'J Book Items Cons.'!E$5:E$3360,5,'J Book Items Cons.'!S$5:S$3360,"[PARENT]",'J Book Items Cons.'!U$5:U$3360,"MSC",'J Book Items Cons.'!W$5:W$3360,"Cargo &amp; Vehicle Cargo Ships",'J Book Items Cons.'!R$5:R$3360,"",'J Book Items Cons.'!N$5:N$3360,"&lt;&gt;")+SUMIFS('J Book Items Cons.'!L$5:L$3360,'J Book Items Cons.'!E$5:E$3360,5,'J Book Items Cons.'!S$5:S$3360,"[PARENT]",'J Book Items Cons.'!U$5:U$3360,"MSC",'J Book Items Cons.'!W$5:W$3360,"Cargo &amp; Vehicle Cargo Ships",'J Book Items Cons.'!R$5:R$3360,"",'J Book Items Cons.'!N$5:N$3360,""))/H16)</f>
        <v>0</v>
      </c>
      <c r="I13" s="38">
        <f>IF(I16=0,0,(SUMIFS('J Book Items Cons.'!R$5:R$3360,'J Book Items Cons.'!E$5:E$3360,5,'J Book Items Cons.'!S$5:S$3360,"",'J Book Items Cons.'!U$5:U$3360,"MSC",'J Book Items Cons.'!W$5:W$3360,"Surveillance Ships",'J Book Items Cons.'!R$5:R$3360,"&lt;&gt;")+SUMIFS('J Book Items Cons.'!N$5:N$3360,'J Book Items Cons.'!E$5:E$3360,5,'J Book Items Cons.'!S$5:S$3360,"",'J Book Items Cons.'!U$5:U$3360,"MSC",'J Book Items Cons.'!W$5:W$3360,"Surveillance Ships",'J Book Items Cons.'!R$5:R$3360,"",'J Book Items Cons.'!N$5:N$3360,"&lt;&gt;")+SUMIFS('J Book Items Cons.'!L$5:L$3360,'J Book Items Cons.'!E$5:E$3360,5,'J Book Items Cons.'!S$5:S$3360,"",'J Book Items Cons.'!U$5:U$3360,"MSC",'J Book Items Cons.'!W$5:W$3360,"Surveillance Ships",'J Book Items Cons.'!R$5:R$3360,"",'J Book Items Cons.'!N$5:N$3360,"")+SUMIFS('J Book Items Cons.'!R$5:R$3360,'J Book Items Cons.'!E$5:E$3360,5,'J Book Items Cons.'!S$5:S$3360,"[PARENT]",'J Book Items Cons.'!U$5:U$3360,"MSC",'J Book Items Cons.'!W$5:W$3360,"Surveillance Ships",'J Book Items Cons.'!R$5:R$3360,"&lt;&gt;")+SUMIFS('J Book Items Cons.'!N$5:N$3360,'J Book Items Cons.'!E$5:E$3360,5,'J Book Items Cons.'!S$5:S$3360,"[PARENT]",'J Book Items Cons.'!U$5:U$3360,"MSC",'J Book Items Cons.'!W$5:W$3360,"Surveillance Ships",'J Book Items Cons.'!R$5:R$3360,"",'J Book Items Cons.'!N$5:N$3360,"&lt;&gt;")+SUMIFS('J Book Items Cons.'!L$5:L$3360,'J Book Items Cons.'!E$5:E$3360,5,'J Book Items Cons.'!S$5:S$3360,"[PARENT]",'J Book Items Cons.'!U$5:U$3360,"MSC",'J Book Items Cons.'!W$5:W$3360,"Surveillance Ships",'J Book Items Cons.'!R$5:R$3360,"",'J Book Items Cons.'!N$5:N$3360,""))/I16)</f>
        <v>0</v>
      </c>
      <c r="J13" s="38">
        <f>IF(J16=0,0,(SUMIFS('J Book Items Cons.'!R$5:R$3360,'J Book Items Cons.'!E$5:E$3360,5,'J Book Items Cons.'!S$5:S$3360,"",'J Book Items Cons.'!U$5:U$3360,"USN",'J Book Items Cons.'!W$5:W$3360,"Command Ships",'J Book Items Cons.'!R$5:R$3360,"&lt;&gt;")+SUMIFS('J Book Items Cons.'!N$5:N$3360,'J Book Items Cons.'!E$5:E$3360,5,'J Book Items Cons.'!S$5:S$3360,"",'J Book Items Cons.'!U$5:U$3360,"USN",'J Book Items Cons.'!W$5:W$3360,"Command Ships",'J Book Items Cons.'!R$5:R$3360,"",'J Book Items Cons.'!N$5:N$3360,"&lt;&gt;")+SUMIFS('J Book Items Cons.'!L$5:L$3360,'J Book Items Cons.'!E$5:E$3360,5,'J Book Items Cons.'!S$5:S$3360,"",'J Book Items Cons.'!U$5:U$3360,"USN",'J Book Items Cons.'!W$5:W$3360,"Command Ships",'J Book Items Cons.'!R$5:R$3360,"",'J Book Items Cons.'!N$5:N$3360,"")+SUMIFS('J Book Items Cons.'!R$5:R$3360,'J Book Items Cons.'!E$5:E$3360,5,'J Book Items Cons.'!S$5:S$3360,"[PARENT]",'J Book Items Cons.'!U$5:U$3360,"USN",'J Book Items Cons.'!W$5:W$3360,"Command Ships",'J Book Items Cons.'!R$5:R$3360,"&lt;&gt;")+SUMIFS('J Book Items Cons.'!N$5:N$3360,'J Book Items Cons.'!E$5:E$3360,5,'J Book Items Cons.'!S$5:S$3360,"[PARENT]",'J Book Items Cons.'!U$5:U$3360,"USN",'J Book Items Cons.'!W$5:W$3360,"Command Ships",'J Book Items Cons.'!R$5:R$3360,"",'J Book Items Cons.'!N$5:N$3360,"&lt;&gt;")+SUMIFS('J Book Items Cons.'!L$5:L$3360,'J Book Items Cons.'!E$5:E$3360,5,'J Book Items Cons.'!S$5:S$3360,"[PARENT]",'J Book Items Cons.'!U$5:U$3360,"USN",'J Book Items Cons.'!W$5:W$3360,"Command Ships",'J Book Items Cons.'!R$5:R$3360,"",'J Book Items Cons.'!N$5:N$3360,""))/J16)</f>
        <v>0.46506465933217528</v>
      </c>
      <c r="K13" s="39">
        <f>IF(K16=0,0,(SUMIFS('J Book Items Cons.'!R$5:R$3360,'J Book Items Cons.'!E$5:E$3360,5,'J Book Items Cons.'!S$5:S$3360,"",'J Book Items Cons.'!U$5:U$3360,"USN",'J Book Items Cons.'!W$5:W$3360,"Mine Warfare",'J Book Items Cons.'!R$5:R$3360,"&lt;&gt;")+SUMIFS('J Book Items Cons.'!N$5:N$3360,'J Book Items Cons.'!E$5:E$3360,5,'J Book Items Cons.'!S$5:S$3360,"",'J Book Items Cons.'!U$5:U$3360,"USN",'J Book Items Cons.'!W$5:W$3360,"Mine Warfare",'J Book Items Cons.'!R$5:R$3360,"",'J Book Items Cons.'!N$5:N$3360,"&lt;&gt;")+SUMIFS('J Book Items Cons.'!L$5:L$3360,'J Book Items Cons.'!E$5:E$3360,5,'J Book Items Cons.'!S$5:S$3360,"",'J Book Items Cons.'!U$5:U$3360,"USN",'J Book Items Cons.'!W$5:W$3360,"Mine Warfare",'J Book Items Cons.'!R$5:R$3360,"",'J Book Items Cons.'!N$5:N$3360,"")+SUMIFS('J Book Items Cons.'!R$5:R$3360,'J Book Items Cons.'!E$5:E$3360,5,'J Book Items Cons.'!S$5:S$3360,"[PARENT]",'J Book Items Cons.'!U$5:U$3360,"USN",'J Book Items Cons.'!W$5:W$3360,"Mine Warfare",'J Book Items Cons.'!R$5:R$3360,"&lt;&gt;")+SUMIFS('J Book Items Cons.'!N$5:N$3360,'J Book Items Cons.'!E$5:E$3360,5,'J Book Items Cons.'!S$5:S$3360,"[PARENT]",'J Book Items Cons.'!U$5:U$3360,"USN",'J Book Items Cons.'!W$5:W$3360,"Mine Warfare",'J Book Items Cons.'!R$5:R$3360,"",'J Book Items Cons.'!N$5:N$3360,"&lt;&gt;")+SUMIFS('J Book Items Cons.'!L$5:L$3360,'J Book Items Cons.'!E$5:E$3360,5,'J Book Items Cons.'!S$5:S$3360,"[PARENT]",'J Book Items Cons.'!U$5:U$3360,"USN",'J Book Items Cons.'!W$5:W$3360,"Mine Warfare",'J Book Items Cons.'!R$5:R$3360,"",'J Book Items Cons.'!N$5:N$3360,""))/K16)</f>
        <v>0</v>
      </c>
      <c r="L13" s="37">
        <f>IF(L16=0,0,(SUMIFS('J Book Items Cons.'!R$5:R$3360,'J Book Items Cons.'!E$5:E$3360,5,'J Book Items Cons.'!S$5:S$3360,"",'J Book Items Cons.'!U$5:U$3360,"USCG",'J Book Items Cons.'!W$5:W$3360,"Offshore Patrol Cutter",'J Book Items Cons.'!R$5:R$3360,"&lt;&gt;")+SUMIFS('J Book Items Cons.'!N$5:N$3360,'J Book Items Cons.'!E$5:E$3360,5,'J Book Items Cons.'!S$5:S$3360,"",'J Book Items Cons.'!U$5:U$3360,"USCG",'J Book Items Cons.'!W$5:W$3360,"Offshore Patrol Cutter",'J Book Items Cons.'!R$5:R$3360,"",'J Book Items Cons.'!N$5:N$3360,"&lt;&gt;")+SUMIFS('J Book Items Cons.'!L$5:L$3360,'J Book Items Cons.'!E$5:E$3360,5,'J Book Items Cons.'!S$5:S$3360,"",'J Book Items Cons.'!U$5:U$3360,"USCG",'J Book Items Cons.'!W$5:W$3360,"Offshore Patrol Cutter",'J Book Items Cons.'!R$5:R$3360,"",'J Book Items Cons.'!N$5:N$3360,"")+SUMIFS('J Book Items Cons.'!R$5:R$3360,'J Book Items Cons.'!E$5:E$3360,5,'J Book Items Cons.'!S$5:S$3360,"[PARENT]",'J Book Items Cons.'!U$5:U$3360,"USCG",'J Book Items Cons.'!W$5:W$3360,"Offshore Patrol Cutter",'J Book Items Cons.'!R$5:R$3360,"&lt;&gt;")+SUMIFS('J Book Items Cons.'!N$5:N$3360,'J Book Items Cons.'!E$5:E$3360,5,'J Book Items Cons.'!S$5:S$3360,"[PARENT]",'J Book Items Cons.'!U$5:U$3360,"USCG",'J Book Items Cons.'!W$5:W$3360,"Offshore Patrol Cutter",'J Book Items Cons.'!R$5:R$3360,"",'J Book Items Cons.'!N$5:N$3360,"&lt;&gt;")+SUMIFS('J Book Items Cons.'!L$5:L$3360,'J Book Items Cons.'!E$5:E$3360,5,'J Book Items Cons.'!S$5:S$3360,"[PARENT]",'J Book Items Cons.'!U$5:U$3360,"USCG",'J Book Items Cons.'!W$5:W$3360,"Offshore Patrol Cutter",'J Book Items Cons.'!R$5:R$3360,"",'J Book Items Cons.'!N$5:N$3360,""))/L16)</f>
        <v>0</v>
      </c>
      <c r="M13" s="38">
        <f>IF(M16=0,0,(SUMIFS('J Book Items Cons.'!R$5:R$3360,'J Book Items Cons.'!E$5:E$3360,5,'J Book Items Cons.'!S$5:S$3360,"",'J Book Items Cons.'!U$5:U$3360,"USCG",'J Book Items Cons.'!W$5:W$3360,"Fast Response Cutters",'J Book Items Cons.'!R$5:R$3360,"&lt;&gt;")+SUMIFS('J Book Items Cons.'!N$5:N$3360,'J Book Items Cons.'!E$5:E$3360,5,'J Book Items Cons.'!S$5:S$3360,"",'J Book Items Cons.'!U$5:U$3360,"USCG",'J Book Items Cons.'!W$5:W$3360,"Fast Response Cutters",'J Book Items Cons.'!R$5:R$3360,"",'J Book Items Cons.'!N$5:N$3360,"&lt;&gt;")+SUMIFS('J Book Items Cons.'!L$5:L$3360,'J Book Items Cons.'!E$5:E$3360,5,'J Book Items Cons.'!S$5:S$3360,"",'J Book Items Cons.'!U$5:U$3360,"USCG",'J Book Items Cons.'!W$5:W$3360,"Fast Response Cutters",'J Book Items Cons.'!R$5:R$3360,"",'J Book Items Cons.'!N$5:N$3360,"")+SUMIFS('J Book Items Cons.'!R$5:R$3360,'J Book Items Cons.'!E$5:E$3360,5,'J Book Items Cons.'!S$5:S$3360,"[PARENT]",'J Book Items Cons.'!U$5:U$3360,"USCG",'J Book Items Cons.'!W$5:W$3360,"Fast Response Cutters",'J Book Items Cons.'!R$5:R$3360,"&lt;&gt;")+SUMIFS('J Book Items Cons.'!N$5:N$3360,'J Book Items Cons.'!E$5:E$3360,5,'J Book Items Cons.'!S$5:S$3360,"[PARENT]",'J Book Items Cons.'!U$5:U$3360,"USCG",'J Book Items Cons.'!W$5:W$3360,"Fast Response Cutters",'J Book Items Cons.'!R$5:R$3360,"",'J Book Items Cons.'!N$5:N$3360,"&lt;&gt;")+SUMIFS('J Book Items Cons.'!L$5:L$3360,'J Book Items Cons.'!E$5:E$3360,5,'J Book Items Cons.'!S$5:S$3360,"[PARENT]",'J Book Items Cons.'!U$5:U$3360,"USCG",'J Book Items Cons.'!W$5:W$3360,"Fast Response Cutters",'J Book Items Cons.'!R$5:R$3360,"",'J Book Items Cons.'!N$5:N$3360,""))/M16)</f>
        <v>0</v>
      </c>
      <c r="N13" s="38">
        <f>IF(N16=0,0,(SUMIFS('J Book Items Cons.'!R$5:R$3360,'J Book Items Cons.'!E$5:E$3360,5,'J Book Items Cons.'!S$5:S$3360,"",'J Book Items Cons.'!U$5:U$3360,"USCG",'J Book Items Cons.'!W$5:W$3360,"Icebreakers, Oceangoing",'J Book Items Cons.'!R$5:R$3360,"&lt;&gt;")+SUMIFS('J Book Items Cons.'!N$5:N$3360,'J Book Items Cons.'!E$5:E$3360,5,'J Book Items Cons.'!S$5:S$3360,"",'J Book Items Cons.'!U$5:U$3360,"USCG",'J Book Items Cons.'!W$5:W$3360,"Icebreakers, Oceangoing",'J Book Items Cons.'!R$5:R$3360,"",'J Book Items Cons.'!N$5:N$3360,"&lt;&gt;")+SUMIFS('J Book Items Cons.'!L$5:L$3360,'J Book Items Cons.'!E$5:E$3360,5,'J Book Items Cons.'!S$5:S$3360,"",'J Book Items Cons.'!U$5:U$3360,"USCG",'J Book Items Cons.'!W$5:W$3360,"Icebreakers, Oceangoing",'J Book Items Cons.'!R$5:R$3360,"",'J Book Items Cons.'!N$5:N$3360,"")+SUMIFS('J Book Items Cons.'!R$5:R$3360,'J Book Items Cons.'!E$5:E$3360,5,'J Book Items Cons.'!S$5:S$3360,"[PARENT]",'J Book Items Cons.'!U$5:U$3360,"USCG",'J Book Items Cons.'!W$5:W$3360,"Icebreakers, Oceangoing",'J Book Items Cons.'!R$5:R$3360,"&lt;&gt;")+SUMIFS('J Book Items Cons.'!N$5:N$3360,'J Book Items Cons.'!E$5:E$3360,5,'J Book Items Cons.'!S$5:S$3360,"[PARENT]",'J Book Items Cons.'!U$5:U$3360,"USCG",'J Book Items Cons.'!W$5:W$3360,"Icebreakers, Oceangoing",'J Book Items Cons.'!R$5:R$3360,"",'J Book Items Cons.'!N$5:N$3360,"&lt;&gt;")+SUMIFS('J Book Items Cons.'!L$5:L$3360,'J Book Items Cons.'!E$5:E$3360,5,'J Book Items Cons.'!S$5:S$3360,"[PARENT]",'J Book Items Cons.'!U$5:U$3360,"USCG",'J Book Items Cons.'!W$5:W$3360,"Icebreakers, Oceangoing",'J Book Items Cons.'!R$5:R$3360,"",'J Book Items Cons.'!N$5:N$3360,""))/N16)</f>
        <v>0</v>
      </c>
      <c r="O13" s="38"/>
      <c r="P13" s="39">
        <f>IF(P16=0,0,(SUMIFS('J Book Items Cons.'!R$5:R$3360,'J Book Items Cons.'!E$5:E$3360,5,'J Book Items Cons.'!S$5:S$3360,"",'J Book Items Cons.'!U$5:U$3360,"USCG",'J Book Items Cons.'!W$5:W$3360,"National Security Cutters",'J Book Items Cons.'!R$5:R$3360,"&lt;&gt;")+SUMIFS('J Book Items Cons.'!N$5:N$3360,'J Book Items Cons.'!E$5:E$3360,5,'J Book Items Cons.'!S$5:S$3360,"",'J Book Items Cons.'!U$5:U$3360,"USCG",'J Book Items Cons.'!W$5:W$3360,"National Security Cutters",'J Book Items Cons.'!R$5:R$3360,"",'J Book Items Cons.'!N$5:N$3360,"&lt;&gt;")+SUMIFS('J Book Items Cons.'!L$5:L$3360,'J Book Items Cons.'!E$5:E$3360,5,'J Book Items Cons.'!S$5:S$3360,"",'J Book Items Cons.'!U$5:U$3360,"USCG",'J Book Items Cons.'!W$5:W$3360,"National Security Cutters",'J Book Items Cons.'!R$5:R$3360,"",'J Book Items Cons.'!N$5:N$3360,"")+SUMIFS('J Book Items Cons.'!R$5:R$3360,'J Book Items Cons.'!E$5:E$3360,5,'J Book Items Cons.'!S$5:S$3360,"[PARENT]",'J Book Items Cons.'!U$5:U$3360,"USCG",'J Book Items Cons.'!W$5:W$3360,"National Security Cutters",'J Book Items Cons.'!R$5:R$3360,"&lt;&gt;")+SUMIFS('J Book Items Cons.'!N$5:N$3360,'J Book Items Cons.'!E$5:E$3360,5,'J Book Items Cons.'!S$5:S$3360,"[PARENT]",'J Book Items Cons.'!U$5:U$3360,"USCG",'J Book Items Cons.'!W$5:W$3360,"National Security Cutters",'J Book Items Cons.'!R$5:R$3360,"",'J Book Items Cons.'!N$5:N$3360,"&lt;&gt;")+SUMIFS('J Book Items Cons.'!L$5:L$3360,'J Book Items Cons.'!E$5:E$3360,5,'J Book Items Cons.'!S$5:S$3360,"[PARENT]",'J Book Items Cons.'!U$5:U$3360,"USCG",'J Book Items Cons.'!W$5:W$3360,"National Security Cutters",'J Book Items Cons.'!R$5:R$3360,"",'J Book Items Cons.'!N$5:N$3360,""))/P16)</f>
        <v>0</v>
      </c>
      <c r="Q13" s="38">
        <f t="shared" si="0"/>
        <v>2.120473076622849E-3</v>
      </c>
    </row>
    <row r="14" spans="1:35" ht="9.75" customHeight="1" x14ac:dyDescent="0.15">
      <c r="A14" s="7" t="s">
        <v>8854</v>
      </c>
      <c r="B14" s="37">
        <f>IF(B16=0,0,(SUMIFS('J Book Items Cons.'!R$5:R$3360,'J Book Items Cons.'!E$5:E$3360,6,'J Book Items Cons.'!S$5:S$3360,"",'J Book Items Cons.'!U$5:U$3360,"USN",'J Book Items Cons.'!W$5:W$3360,"Surface Combatants",'J Book Items Cons.'!R$5:R$3360,"&lt;&gt;")+SUMIFS('J Book Items Cons.'!N$5:N$3360,'J Book Items Cons.'!E$5:E$3360,6,'J Book Items Cons.'!S$5:S$3360,"",'J Book Items Cons.'!U$5:U$3360,"USN",'J Book Items Cons.'!W$5:W$3360,"Surface Combatants",'J Book Items Cons.'!R$5:R$3360,"",'J Book Items Cons.'!N$5:N$3360,"&lt;&gt;")+SUMIFS('J Book Items Cons.'!L$5:L$3360,'J Book Items Cons.'!E$5:E$3360,6,'J Book Items Cons.'!S$5:S$3360,"",'J Book Items Cons.'!U$5:U$3360,"USN",'J Book Items Cons.'!W$5:W$3360,"Surface Combatants",'J Book Items Cons.'!R$5:R$3360,"",'J Book Items Cons.'!N$5:N$3360,"")+SUMIFS('J Book Items Cons.'!R$5:R$3360,'J Book Items Cons.'!E$5:E$3360,6,'J Book Items Cons.'!S$5:S$3360,"[PARENT]",'J Book Items Cons.'!U$5:U$3360,"USN",'J Book Items Cons.'!W$5:W$3360,"Surface Combatants",'J Book Items Cons.'!R$5:R$3360,"&lt;&gt;")+SUMIFS('J Book Items Cons.'!N$5:N$3360,'J Book Items Cons.'!E$5:E$3360,6,'J Book Items Cons.'!S$5:S$3360,"[PARENT]",'J Book Items Cons.'!U$5:U$3360,"USN",'J Book Items Cons.'!W$5:W$3360,"Surface Combatants",'J Book Items Cons.'!R$5:R$3360,"",'J Book Items Cons.'!N$5:N$3360,"&lt;&gt;")+SUMIFS('J Book Items Cons.'!L$5:L$3360,'J Book Items Cons.'!E$5:E$3360,6,'J Book Items Cons.'!S$5:S$3360,"[PARENT]",'J Book Items Cons.'!U$5:U$3360,"USN",'J Book Items Cons.'!W$5:W$3360,"Surface Combatants",'J Book Items Cons.'!R$5:R$3360,"",'J Book Items Cons.'!N$5:N$3360,""))/B16)</f>
        <v>4.4461447560515701E-4</v>
      </c>
      <c r="C14" s="38">
        <f>IF(C16=0,0,(SUMIFS('J Book Items Cons.'!R$5:R$3360,'J Book Items Cons.'!E$5:E$3360,6,'J Book Items Cons.'!S$5:S$3360,"",'J Book Items Cons.'!U$5:U$3360,"USN",'J Book Items Cons.'!W$5:W$3360,"Amphibious Warfare Ships",'J Book Items Cons.'!R$5:R$3360,"&lt;&gt;")+SUMIFS('J Book Items Cons.'!N$5:N$3360,'J Book Items Cons.'!E$5:E$3360,6,'J Book Items Cons.'!S$5:S$3360,"",'J Book Items Cons.'!U$5:U$3360,"USN",'J Book Items Cons.'!W$5:W$3360,"Amphibious Warfare Ships",'J Book Items Cons.'!R$5:R$3360,"",'J Book Items Cons.'!N$5:N$3360,"&lt;&gt;")+SUMIFS('J Book Items Cons.'!L$5:L$3360,'J Book Items Cons.'!E$5:E$3360,6,'J Book Items Cons.'!S$5:S$3360,"",'J Book Items Cons.'!U$5:U$3360,"USN",'J Book Items Cons.'!W$5:W$3360,"Amphibious Warfare Ships",'J Book Items Cons.'!R$5:R$3360,"",'J Book Items Cons.'!N$5:N$3360,"")+SUMIFS('J Book Items Cons.'!R$5:R$3360,'J Book Items Cons.'!E$5:E$3360,6,'J Book Items Cons.'!S$5:S$3360,"[PARENT]",'J Book Items Cons.'!U$5:U$3360,"USN",'J Book Items Cons.'!W$5:W$3360,"Amphibious Warfare Ships",'J Book Items Cons.'!R$5:R$3360,"&lt;&gt;")+SUMIFS('J Book Items Cons.'!N$5:N$3360,'J Book Items Cons.'!E$5:E$3360,6,'J Book Items Cons.'!S$5:S$3360,"[PARENT]",'J Book Items Cons.'!U$5:U$3360,"USN",'J Book Items Cons.'!W$5:W$3360,"Amphibious Warfare Ships",'J Book Items Cons.'!R$5:R$3360,"",'J Book Items Cons.'!N$5:N$3360,"&lt;&gt;")+SUMIFS('J Book Items Cons.'!L$5:L$3360,'J Book Items Cons.'!E$5:E$3360,6,'J Book Items Cons.'!S$5:S$3360,"[PARENT]",'J Book Items Cons.'!U$5:U$3360,"USN",'J Book Items Cons.'!W$5:W$3360,"Amphibious Warfare Ships",'J Book Items Cons.'!R$5:R$3360,"",'J Book Items Cons.'!N$5:N$3360,""))/C16)</f>
        <v>0</v>
      </c>
      <c r="D14" s="38">
        <f>IF(D16=0,0,(SUMIFS('J Book Items Cons.'!R$5:R$3360,'J Book Items Cons.'!E$5:E$3360,6,'J Book Items Cons.'!S$5:S$3360,"",'J Book Items Cons.'!U$5:U$3360,"USN",'J Book Items Cons.'!W$5:W$3360,"Expeditionary &amp; Seabasing Ships",'J Book Items Cons.'!R$5:R$3360,"&lt;&gt;")+SUMIFS('J Book Items Cons.'!N$5:N$3360,'J Book Items Cons.'!E$5:E$3360,6,'J Book Items Cons.'!S$5:S$3360,"",'J Book Items Cons.'!U$5:U$3360,"USN",'J Book Items Cons.'!W$5:W$3360,"Expeditionary &amp; Seabasing Ships",'J Book Items Cons.'!R$5:R$3360,"",'J Book Items Cons.'!N$5:N$3360,"&lt;&gt;")+SUMIFS('J Book Items Cons.'!L$5:L$3360,'J Book Items Cons.'!E$5:E$3360,6,'J Book Items Cons.'!S$5:S$3360,"",'J Book Items Cons.'!U$5:U$3360,"USN",'J Book Items Cons.'!W$5:W$3360,"Expeditionary &amp; Seabasing Ships",'J Book Items Cons.'!R$5:R$3360,"",'J Book Items Cons.'!N$5:N$3360,"")+SUMIFS('J Book Items Cons.'!R$5:R$3360,'J Book Items Cons.'!E$5:E$3360,6,'J Book Items Cons.'!S$5:S$3360,"[PARENT]",'J Book Items Cons.'!U$5:U$3360,"USN",'J Book Items Cons.'!W$5:W$3360,"Expeditionary &amp; Seabasing Ships",'J Book Items Cons.'!R$5:R$3360,"&lt;&gt;")+SUMIFS('J Book Items Cons.'!N$5:N$3360,'J Book Items Cons.'!E$5:E$3360,6,'J Book Items Cons.'!S$5:S$3360,"[PARENT]",'J Book Items Cons.'!U$5:U$3360,"USN",'J Book Items Cons.'!W$5:W$3360,"Expeditionary &amp; Seabasing Ships",'J Book Items Cons.'!R$5:R$3360,"",'J Book Items Cons.'!N$5:N$3360,"&lt;&gt;")+SUMIFS('J Book Items Cons.'!L$5:L$3360,'J Book Items Cons.'!E$5:E$3360,6,'J Book Items Cons.'!S$5:S$3360,"[PARENT]",'J Book Items Cons.'!U$5:U$3360,"USN",'J Book Items Cons.'!W$5:W$3360,"Expeditionary &amp; Seabasing Ships",'J Book Items Cons.'!R$5:R$3360,"",'J Book Items Cons.'!N$5:N$3360,""))/D16)</f>
        <v>0</v>
      </c>
      <c r="E14" s="38">
        <f>IF(E16=0,0,(SUMIFS('J Book Items Cons.'!R$5:R$3360,'J Book Items Cons.'!E$5:E$3360,6,'J Book Items Cons.'!S$5:S$3360,"",'J Book Items Cons.'!U$5:U$3360,"MSC",'J Book Items Cons.'!W$5:W$3360,"Combat Logistics Ships",'J Book Items Cons.'!R$5:R$3360,"&lt;&gt;")+SUMIFS('J Book Items Cons.'!N$5:N$3360,'J Book Items Cons.'!E$5:E$3360,6,'J Book Items Cons.'!S$5:S$3360,"",'J Book Items Cons.'!U$5:U$3360,"MSC",'J Book Items Cons.'!W$5:W$3360,"Combat Logistics Ships",'J Book Items Cons.'!R$5:R$3360,"",'J Book Items Cons.'!N$5:N$3360,"&lt;&gt;")+SUMIFS('J Book Items Cons.'!L$5:L$3360,'J Book Items Cons.'!E$5:E$3360,6,'J Book Items Cons.'!S$5:S$3360,"",'J Book Items Cons.'!U$5:U$3360,"MSC",'J Book Items Cons.'!W$5:W$3360,"Combat Logistics Ships",'J Book Items Cons.'!R$5:R$3360,"",'J Book Items Cons.'!N$5:N$3360,"")+SUMIFS('J Book Items Cons.'!R$5:R$3360,'J Book Items Cons.'!E$5:E$3360,6,'J Book Items Cons.'!S$5:S$3360,"[PARENT]",'J Book Items Cons.'!U$5:U$3360,"MSC",'J Book Items Cons.'!W$5:W$3360,"Combat Logistics Ships",'J Book Items Cons.'!R$5:R$3360,"&lt;&gt;")+SUMIFS('J Book Items Cons.'!N$5:N$3360,'J Book Items Cons.'!E$5:E$3360,6,'J Book Items Cons.'!S$5:S$3360,"[PARENT]",'J Book Items Cons.'!U$5:U$3360,"MSC",'J Book Items Cons.'!W$5:W$3360,"Combat Logistics Ships",'J Book Items Cons.'!R$5:R$3360,"",'J Book Items Cons.'!N$5:N$3360,"&lt;&gt;")+SUMIFS('J Book Items Cons.'!L$5:L$3360,'J Book Items Cons.'!E$5:E$3360,6,'J Book Items Cons.'!S$5:S$3360,"[PARENT]",'J Book Items Cons.'!U$5:U$3360,"MSC",'J Book Items Cons.'!W$5:W$3360,"Combat Logistics Ships",'J Book Items Cons.'!R$5:R$3360,"",'J Book Items Cons.'!N$5:N$3360,""))/E16)</f>
        <v>0</v>
      </c>
      <c r="F14" s="38"/>
      <c r="G14" s="38"/>
      <c r="H14" s="38">
        <f>IF(H16=0,0,(SUMIFS('J Book Items Cons.'!R$5:R$3360,'J Book Items Cons.'!E$5:E$3360,6,'J Book Items Cons.'!S$5:S$3360,"",'J Book Items Cons.'!U$5:U$3360,"MSC",'J Book Items Cons.'!W$5:W$3360,"Cargo &amp; Vehicle Cargo Ships",'J Book Items Cons.'!R$5:R$3360,"&lt;&gt;")+SUMIFS('J Book Items Cons.'!N$5:N$3360,'J Book Items Cons.'!E$5:E$3360,6,'J Book Items Cons.'!S$5:S$3360,"",'J Book Items Cons.'!U$5:U$3360,"MSC",'J Book Items Cons.'!W$5:W$3360,"Cargo &amp; Vehicle Cargo Ships",'J Book Items Cons.'!R$5:R$3360,"",'J Book Items Cons.'!N$5:N$3360,"&lt;&gt;")+SUMIFS('J Book Items Cons.'!L$5:L$3360,'J Book Items Cons.'!E$5:E$3360,6,'J Book Items Cons.'!S$5:S$3360,"",'J Book Items Cons.'!U$5:U$3360,"MSC",'J Book Items Cons.'!W$5:W$3360,"Cargo &amp; Vehicle Cargo Ships",'J Book Items Cons.'!R$5:R$3360,"",'J Book Items Cons.'!N$5:N$3360,"")+SUMIFS('J Book Items Cons.'!R$5:R$3360,'J Book Items Cons.'!E$5:E$3360,6,'J Book Items Cons.'!S$5:S$3360,"[PARENT]",'J Book Items Cons.'!U$5:U$3360,"MSC",'J Book Items Cons.'!W$5:W$3360,"Cargo &amp; Vehicle Cargo Ships",'J Book Items Cons.'!R$5:R$3360,"&lt;&gt;")+SUMIFS('J Book Items Cons.'!N$5:N$3360,'J Book Items Cons.'!E$5:E$3360,6,'J Book Items Cons.'!S$5:S$3360,"[PARENT]",'J Book Items Cons.'!U$5:U$3360,"MSC",'J Book Items Cons.'!W$5:W$3360,"Cargo &amp; Vehicle Cargo Ships",'J Book Items Cons.'!R$5:R$3360,"",'J Book Items Cons.'!N$5:N$3360,"&lt;&gt;")+SUMIFS('J Book Items Cons.'!L$5:L$3360,'J Book Items Cons.'!E$5:E$3360,6,'J Book Items Cons.'!S$5:S$3360,"[PARENT]",'J Book Items Cons.'!U$5:U$3360,"MSC",'J Book Items Cons.'!W$5:W$3360,"Cargo &amp; Vehicle Cargo Ships",'J Book Items Cons.'!R$5:R$3360,"",'J Book Items Cons.'!N$5:N$3360,""))/H16)</f>
        <v>0</v>
      </c>
      <c r="I14" s="38">
        <f>IF(I16=0,0,(SUMIFS('J Book Items Cons.'!R$5:R$3360,'J Book Items Cons.'!E$5:E$3360,6,'J Book Items Cons.'!S$5:S$3360,"",'J Book Items Cons.'!U$5:U$3360,"MSC",'J Book Items Cons.'!W$5:W$3360,"Surveillance Ships",'J Book Items Cons.'!R$5:R$3360,"&lt;&gt;")+SUMIFS('J Book Items Cons.'!N$5:N$3360,'J Book Items Cons.'!E$5:E$3360,6,'J Book Items Cons.'!S$5:S$3360,"",'J Book Items Cons.'!U$5:U$3360,"MSC",'J Book Items Cons.'!W$5:W$3360,"Surveillance Ships",'J Book Items Cons.'!R$5:R$3360,"",'J Book Items Cons.'!N$5:N$3360,"&lt;&gt;")+SUMIFS('J Book Items Cons.'!L$5:L$3360,'J Book Items Cons.'!E$5:E$3360,6,'J Book Items Cons.'!S$5:S$3360,"",'J Book Items Cons.'!U$5:U$3360,"MSC",'J Book Items Cons.'!W$5:W$3360,"Surveillance Ships",'J Book Items Cons.'!R$5:R$3360,"",'J Book Items Cons.'!N$5:N$3360,"")+SUMIFS('J Book Items Cons.'!R$5:R$3360,'J Book Items Cons.'!E$5:E$3360,6,'J Book Items Cons.'!S$5:S$3360,"[PARENT]",'J Book Items Cons.'!U$5:U$3360,"MSC",'J Book Items Cons.'!W$5:W$3360,"Surveillance Ships",'J Book Items Cons.'!R$5:R$3360,"&lt;&gt;")+SUMIFS('J Book Items Cons.'!N$5:N$3360,'J Book Items Cons.'!E$5:E$3360,6,'J Book Items Cons.'!S$5:S$3360,"[PARENT]",'J Book Items Cons.'!U$5:U$3360,"MSC",'J Book Items Cons.'!W$5:W$3360,"Surveillance Ships",'J Book Items Cons.'!R$5:R$3360,"",'J Book Items Cons.'!N$5:N$3360,"&lt;&gt;")+SUMIFS('J Book Items Cons.'!L$5:L$3360,'J Book Items Cons.'!E$5:E$3360,6,'J Book Items Cons.'!S$5:S$3360,"[PARENT]",'J Book Items Cons.'!U$5:U$3360,"MSC",'J Book Items Cons.'!W$5:W$3360,"Surveillance Ships",'J Book Items Cons.'!R$5:R$3360,"",'J Book Items Cons.'!N$5:N$3360,""))/I16)</f>
        <v>0</v>
      </c>
      <c r="J14" s="38">
        <f>IF(J16=0,0,(SUMIFS('J Book Items Cons.'!R$5:R$3360,'J Book Items Cons.'!E$5:E$3360,6,'J Book Items Cons.'!S$5:S$3360,"",'J Book Items Cons.'!U$5:U$3360,"USN",'J Book Items Cons.'!W$5:W$3360,"Command Ships",'J Book Items Cons.'!R$5:R$3360,"&lt;&gt;")+SUMIFS('J Book Items Cons.'!N$5:N$3360,'J Book Items Cons.'!E$5:E$3360,6,'J Book Items Cons.'!S$5:S$3360,"",'J Book Items Cons.'!U$5:U$3360,"USN",'J Book Items Cons.'!W$5:W$3360,"Command Ships",'J Book Items Cons.'!R$5:R$3360,"",'J Book Items Cons.'!N$5:N$3360,"&lt;&gt;")+SUMIFS('J Book Items Cons.'!L$5:L$3360,'J Book Items Cons.'!E$5:E$3360,6,'J Book Items Cons.'!S$5:S$3360,"",'J Book Items Cons.'!U$5:U$3360,"USN",'J Book Items Cons.'!W$5:W$3360,"Command Ships",'J Book Items Cons.'!R$5:R$3360,"",'J Book Items Cons.'!N$5:N$3360,"")+SUMIFS('J Book Items Cons.'!R$5:R$3360,'J Book Items Cons.'!E$5:E$3360,6,'J Book Items Cons.'!S$5:S$3360,"[PARENT]",'J Book Items Cons.'!U$5:U$3360,"USN",'J Book Items Cons.'!W$5:W$3360,"Command Ships",'J Book Items Cons.'!R$5:R$3360,"&lt;&gt;")+SUMIFS('J Book Items Cons.'!N$5:N$3360,'J Book Items Cons.'!E$5:E$3360,6,'J Book Items Cons.'!S$5:S$3360,"[PARENT]",'J Book Items Cons.'!U$5:U$3360,"USN",'J Book Items Cons.'!W$5:W$3360,"Command Ships",'J Book Items Cons.'!R$5:R$3360,"",'J Book Items Cons.'!N$5:N$3360,"&lt;&gt;")+SUMIFS('J Book Items Cons.'!L$5:L$3360,'J Book Items Cons.'!E$5:E$3360,6,'J Book Items Cons.'!S$5:S$3360,"[PARENT]",'J Book Items Cons.'!U$5:U$3360,"USN",'J Book Items Cons.'!W$5:W$3360,"Command Ships",'J Book Items Cons.'!R$5:R$3360,"",'J Book Items Cons.'!N$5:N$3360,""))/J16)</f>
        <v>0</v>
      </c>
      <c r="K14" s="39">
        <f>IF(K16=0,0,(SUMIFS('J Book Items Cons.'!R$5:R$3360,'J Book Items Cons.'!E$5:E$3360,6,'J Book Items Cons.'!S$5:S$3360,"",'J Book Items Cons.'!U$5:U$3360,"USN",'J Book Items Cons.'!W$5:W$3360,"Mine Warfare",'J Book Items Cons.'!R$5:R$3360,"&lt;&gt;")+SUMIFS('J Book Items Cons.'!N$5:N$3360,'J Book Items Cons.'!E$5:E$3360,6,'J Book Items Cons.'!S$5:S$3360,"",'J Book Items Cons.'!U$5:U$3360,"USN",'J Book Items Cons.'!W$5:W$3360,"Mine Warfare",'J Book Items Cons.'!R$5:R$3360,"",'J Book Items Cons.'!N$5:N$3360,"&lt;&gt;")+SUMIFS('J Book Items Cons.'!L$5:L$3360,'J Book Items Cons.'!E$5:E$3360,6,'J Book Items Cons.'!S$5:S$3360,"",'J Book Items Cons.'!U$5:U$3360,"USN",'J Book Items Cons.'!W$5:W$3360,"Mine Warfare",'J Book Items Cons.'!R$5:R$3360,"",'J Book Items Cons.'!N$5:N$3360,"")+SUMIFS('J Book Items Cons.'!R$5:R$3360,'J Book Items Cons.'!E$5:E$3360,6,'J Book Items Cons.'!S$5:S$3360,"[PARENT]",'J Book Items Cons.'!U$5:U$3360,"USN",'J Book Items Cons.'!W$5:W$3360,"Mine Warfare",'J Book Items Cons.'!R$5:R$3360,"&lt;&gt;")+SUMIFS('J Book Items Cons.'!N$5:N$3360,'J Book Items Cons.'!E$5:E$3360,6,'J Book Items Cons.'!S$5:S$3360,"[PARENT]",'J Book Items Cons.'!U$5:U$3360,"USN",'J Book Items Cons.'!W$5:W$3360,"Mine Warfare",'J Book Items Cons.'!R$5:R$3360,"",'J Book Items Cons.'!N$5:N$3360,"&lt;&gt;")+SUMIFS('J Book Items Cons.'!L$5:L$3360,'J Book Items Cons.'!E$5:E$3360,6,'J Book Items Cons.'!S$5:S$3360,"[PARENT]",'J Book Items Cons.'!U$5:U$3360,"USN",'J Book Items Cons.'!W$5:W$3360,"Mine Warfare",'J Book Items Cons.'!R$5:R$3360,"",'J Book Items Cons.'!N$5:N$3360,""))/K16)</f>
        <v>0</v>
      </c>
      <c r="L14" s="37">
        <f>IF(L16=0,0,(SUMIFS('J Book Items Cons.'!R$5:R$3360,'J Book Items Cons.'!E$5:E$3360,6,'J Book Items Cons.'!S$5:S$3360,"",'J Book Items Cons.'!U$5:U$3360,"USCG",'J Book Items Cons.'!W$5:W$3360,"Offshore Patrol Cutter",'J Book Items Cons.'!R$5:R$3360,"&lt;&gt;")+SUMIFS('J Book Items Cons.'!N$5:N$3360,'J Book Items Cons.'!E$5:E$3360,6,'J Book Items Cons.'!S$5:S$3360,"",'J Book Items Cons.'!U$5:U$3360,"USCG",'J Book Items Cons.'!W$5:W$3360,"Offshore Patrol Cutter",'J Book Items Cons.'!R$5:R$3360,"",'J Book Items Cons.'!N$5:N$3360,"&lt;&gt;")+SUMIFS('J Book Items Cons.'!L$5:L$3360,'J Book Items Cons.'!E$5:E$3360,6,'J Book Items Cons.'!S$5:S$3360,"",'J Book Items Cons.'!U$5:U$3360,"USCG",'J Book Items Cons.'!W$5:W$3360,"Offshore Patrol Cutter",'J Book Items Cons.'!R$5:R$3360,"",'J Book Items Cons.'!N$5:N$3360,"")+SUMIFS('J Book Items Cons.'!R$5:R$3360,'J Book Items Cons.'!E$5:E$3360,6,'J Book Items Cons.'!S$5:S$3360,"[PARENT]",'J Book Items Cons.'!U$5:U$3360,"USCG",'J Book Items Cons.'!W$5:W$3360,"Offshore Patrol Cutter",'J Book Items Cons.'!R$5:R$3360,"&lt;&gt;")+SUMIFS('J Book Items Cons.'!N$5:N$3360,'J Book Items Cons.'!E$5:E$3360,6,'J Book Items Cons.'!S$5:S$3360,"[PARENT]",'J Book Items Cons.'!U$5:U$3360,"USCG",'J Book Items Cons.'!W$5:W$3360,"Offshore Patrol Cutter",'J Book Items Cons.'!R$5:R$3360,"",'J Book Items Cons.'!N$5:N$3360,"&lt;&gt;")+SUMIFS('J Book Items Cons.'!L$5:L$3360,'J Book Items Cons.'!E$5:E$3360,6,'J Book Items Cons.'!S$5:S$3360,"[PARENT]",'J Book Items Cons.'!U$5:U$3360,"USCG",'J Book Items Cons.'!W$5:W$3360,"Offshore Patrol Cutter",'J Book Items Cons.'!R$5:R$3360,"",'J Book Items Cons.'!N$5:N$3360,""))/L16)</f>
        <v>0</v>
      </c>
      <c r="M14" s="38">
        <f>IF(M16=0,0,(SUMIFS('J Book Items Cons.'!R$5:R$3360,'J Book Items Cons.'!E$5:E$3360,6,'J Book Items Cons.'!S$5:S$3360,"",'J Book Items Cons.'!U$5:U$3360,"USCG",'J Book Items Cons.'!W$5:W$3360,"Fast Response Cutters",'J Book Items Cons.'!R$5:R$3360,"&lt;&gt;")+SUMIFS('J Book Items Cons.'!N$5:N$3360,'J Book Items Cons.'!E$5:E$3360,6,'J Book Items Cons.'!S$5:S$3360,"",'J Book Items Cons.'!U$5:U$3360,"USCG",'J Book Items Cons.'!W$5:W$3360,"Fast Response Cutters",'J Book Items Cons.'!R$5:R$3360,"",'J Book Items Cons.'!N$5:N$3360,"&lt;&gt;")+SUMIFS('J Book Items Cons.'!L$5:L$3360,'J Book Items Cons.'!E$5:E$3360,6,'J Book Items Cons.'!S$5:S$3360,"",'J Book Items Cons.'!U$5:U$3360,"USCG",'J Book Items Cons.'!W$5:W$3360,"Fast Response Cutters",'J Book Items Cons.'!R$5:R$3360,"",'J Book Items Cons.'!N$5:N$3360,"")+SUMIFS('J Book Items Cons.'!R$5:R$3360,'J Book Items Cons.'!E$5:E$3360,6,'J Book Items Cons.'!S$5:S$3360,"[PARENT]",'J Book Items Cons.'!U$5:U$3360,"USCG",'J Book Items Cons.'!W$5:W$3360,"Fast Response Cutters",'J Book Items Cons.'!R$5:R$3360,"&lt;&gt;")+SUMIFS('J Book Items Cons.'!N$5:N$3360,'J Book Items Cons.'!E$5:E$3360,6,'J Book Items Cons.'!S$5:S$3360,"[PARENT]",'J Book Items Cons.'!U$5:U$3360,"USCG",'J Book Items Cons.'!W$5:W$3360,"Fast Response Cutters",'J Book Items Cons.'!R$5:R$3360,"",'J Book Items Cons.'!N$5:N$3360,"&lt;&gt;")+SUMIFS('J Book Items Cons.'!L$5:L$3360,'J Book Items Cons.'!E$5:E$3360,6,'J Book Items Cons.'!S$5:S$3360,"[PARENT]",'J Book Items Cons.'!U$5:U$3360,"USCG",'J Book Items Cons.'!W$5:W$3360,"Fast Response Cutters",'J Book Items Cons.'!R$5:R$3360,"",'J Book Items Cons.'!N$5:N$3360,""))/M16)</f>
        <v>0</v>
      </c>
      <c r="N14" s="38">
        <f>IF(N16=0,0,(SUMIFS('J Book Items Cons.'!R$5:R$3360,'J Book Items Cons.'!E$5:E$3360,6,'J Book Items Cons.'!S$5:S$3360,"",'J Book Items Cons.'!U$5:U$3360,"USCG",'J Book Items Cons.'!W$5:W$3360,"Icebreakers, Oceangoing",'J Book Items Cons.'!R$5:R$3360,"&lt;&gt;")+SUMIFS('J Book Items Cons.'!N$5:N$3360,'J Book Items Cons.'!E$5:E$3360,6,'J Book Items Cons.'!S$5:S$3360,"",'J Book Items Cons.'!U$5:U$3360,"USCG",'J Book Items Cons.'!W$5:W$3360,"Icebreakers, Oceangoing",'J Book Items Cons.'!R$5:R$3360,"",'J Book Items Cons.'!N$5:N$3360,"&lt;&gt;")+SUMIFS('J Book Items Cons.'!L$5:L$3360,'J Book Items Cons.'!E$5:E$3360,6,'J Book Items Cons.'!S$5:S$3360,"",'J Book Items Cons.'!U$5:U$3360,"USCG",'J Book Items Cons.'!W$5:W$3360,"Icebreakers, Oceangoing",'J Book Items Cons.'!R$5:R$3360,"",'J Book Items Cons.'!N$5:N$3360,"")+SUMIFS('J Book Items Cons.'!R$5:R$3360,'J Book Items Cons.'!E$5:E$3360,6,'J Book Items Cons.'!S$5:S$3360,"[PARENT]",'J Book Items Cons.'!U$5:U$3360,"USCG",'J Book Items Cons.'!W$5:W$3360,"Icebreakers, Oceangoing",'J Book Items Cons.'!R$5:R$3360,"&lt;&gt;")+SUMIFS('J Book Items Cons.'!N$5:N$3360,'J Book Items Cons.'!E$5:E$3360,6,'J Book Items Cons.'!S$5:S$3360,"[PARENT]",'J Book Items Cons.'!U$5:U$3360,"USCG",'J Book Items Cons.'!W$5:W$3360,"Icebreakers, Oceangoing",'J Book Items Cons.'!R$5:R$3360,"",'J Book Items Cons.'!N$5:N$3360,"&lt;&gt;")+SUMIFS('J Book Items Cons.'!L$5:L$3360,'J Book Items Cons.'!E$5:E$3360,6,'J Book Items Cons.'!S$5:S$3360,"[PARENT]",'J Book Items Cons.'!U$5:U$3360,"USCG",'J Book Items Cons.'!W$5:W$3360,"Icebreakers, Oceangoing",'J Book Items Cons.'!R$5:R$3360,"",'J Book Items Cons.'!N$5:N$3360,""))/N16)</f>
        <v>0</v>
      </c>
      <c r="O14" s="38"/>
      <c r="P14" s="39">
        <f>IF(P16=0,0,(SUMIFS('J Book Items Cons.'!R$5:R$3360,'J Book Items Cons.'!E$5:E$3360,6,'J Book Items Cons.'!S$5:S$3360,"",'J Book Items Cons.'!U$5:U$3360,"USCG",'J Book Items Cons.'!W$5:W$3360,"National Security Cutters",'J Book Items Cons.'!R$5:R$3360,"&lt;&gt;")+SUMIFS('J Book Items Cons.'!N$5:N$3360,'J Book Items Cons.'!E$5:E$3360,6,'J Book Items Cons.'!S$5:S$3360,"",'J Book Items Cons.'!U$5:U$3360,"USCG",'J Book Items Cons.'!W$5:W$3360,"National Security Cutters",'J Book Items Cons.'!R$5:R$3360,"",'J Book Items Cons.'!N$5:N$3360,"&lt;&gt;")+SUMIFS('J Book Items Cons.'!L$5:L$3360,'J Book Items Cons.'!E$5:E$3360,6,'J Book Items Cons.'!S$5:S$3360,"",'J Book Items Cons.'!U$5:U$3360,"USCG",'J Book Items Cons.'!W$5:W$3360,"National Security Cutters",'J Book Items Cons.'!R$5:R$3360,"",'J Book Items Cons.'!N$5:N$3360,"")+SUMIFS('J Book Items Cons.'!R$5:R$3360,'J Book Items Cons.'!E$5:E$3360,6,'J Book Items Cons.'!S$5:S$3360,"[PARENT]",'J Book Items Cons.'!U$5:U$3360,"USCG",'J Book Items Cons.'!W$5:W$3360,"National Security Cutters",'J Book Items Cons.'!R$5:R$3360,"&lt;&gt;")+SUMIFS('J Book Items Cons.'!N$5:N$3360,'J Book Items Cons.'!E$5:E$3360,6,'J Book Items Cons.'!S$5:S$3360,"[PARENT]",'J Book Items Cons.'!U$5:U$3360,"USCG",'J Book Items Cons.'!W$5:W$3360,"National Security Cutters",'J Book Items Cons.'!R$5:R$3360,"",'J Book Items Cons.'!N$5:N$3360,"&lt;&gt;")+SUMIFS('J Book Items Cons.'!L$5:L$3360,'J Book Items Cons.'!E$5:E$3360,6,'J Book Items Cons.'!S$5:S$3360,"[PARENT]",'J Book Items Cons.'!U$5:U$3360,"USCG",'J Book Items Cons.'!W$5:W$3360,"National Security Cutters",'J Book Items Cons.'!R$5:R$3360,"",'J Book Items Cons.'!N$5:N$3360,""))/P16)</f>
        <v>0</v>
      </c>
      <c r="Q14" s="38">
        <f t="shared" si="0"/>
        <v>2.2605756283977394E-4</v>
      </c>
    </row>
    <row r="15" spans="1:35" ht="9.75" customHeight="1" x14ac:dyDescent="0.15">
      <c r="A15" s="7" t="s">
        <v>5665</v>
      </c>
      <c r="B15" s="64">
        <f>IF(B16=0,0,(SUMIFS('J Book Items Cons.'!R$5:R$3360,'J Book Items Cons.'!E$5:E$3360,7,'J Book Items Cons.'!S$5:S$3360,"",'J Book Items Cons.'!U$5:U$3360,"USN",'J Book Items Cons.'!W$5:W$3360,"Surface Combatants",'J Book Items Cons.'!R$5:R$3360,"&lt;&gt;")+SUMIFS('J Book Items Cons.'!N$5:N$3360,'J Book Items Cons.'!E$5:E$3360,7,'J Book Items Cons.'!S$5:S$3360,"",'J Book Items Cons.'!U$5:U$3360,"USN",'J Book Items Cons.'!W$5:W$3360,"Surface Combatants",'J Book Items Cons.'!R$5:R$3360,"",'J Book Items Cons.'!N$5:N$3360,"&lt;&gt;")+SUMIFS('J Book Items Cons.'!L$5:L$3360,'J Book Items Cons.'!E$5:E$3360,7,'J Book Items Cons.'!S$5:S$3360,"",'J Book Items Cons.'!U$5:U$3360,"USN",'J Book Items Cons.'!W$5:W$3360,"Surface Combatants",'J Book Items Cons.'!R$5:R$3360,"",'J Book Items Cons.'!N$5:N$3360,"")+SUMIFS('J Book Items Cons.'!R$5:R$3360,'J Book Items Cons.'!E$5:E$3360,7,'J Book Items Cons.'!S$5:S$3360,"[PARENT]",'J Book Items Cons.'!U$5:U$3360,"USN",'J Book Items Cons.'!W$5:W$3360,"Surface Combatants",'J Book Items Cons.'!R$5:R$3360,"&lt;&gt;")+SUMIFS('J Book Items Cons.'!N$5:N$3360,'J Book Items Cons.'!E$5:E$3360,7,'J Book Items Cons.'!S$5:S$3360,"[PARENT]",'J Book Items Cons.'!U$5:U$3360,"USN",'J Book Items Cons.'!W$5:W$3360,"Surface Combatants",'J Book Items Cons.'!R$5:R$3360,"",'J Book Items Cons.'!N$5:N$3360,"&lt;&gt;")+SUMIFS('J Book Items Cons.'!L$5:L$3360,'J Book Items Cons.'!E$5:E$3360,7,'J Book Items Cons.'!S$5:S$3360,"[PARENT]",'J Book Items Cons.'!U$5:U$3360,"USN",'J Book Items Cons.'!W$5:W$3360,"Surface Combatants",'J Book Items Cons.'!R$5:R$3360,"",'J Book Items Cons.'!N$5:N$3360,""))/B16)</f>
        <v>0</v>
      </c>
      <c r="C15" s="65">
        <f>IF(C16=0,0,(SUMIFS('J Book Items Cons.'!R$5:R$3360,'J Book Items Cons.'!E$5:E$3360,7,'J Book Items Cons.'!S$5:S$3360,"",'J Book Items Cons.'!U$5:U$3360,"USN",'J Book Items Cons.'!W$5:W$3360,"Amphibious Warfare Ships",'J Book Items Cons.'!R$5:R$3360,"&lt;&gt;")+SUMIFS('J Book Items Cons.'!N$5:N$3360,'J Book Items Cons.'!E$5:E$3360,7,'J Book Items Cons.'!S$5:S$3360,"",'J Book Items Cons.'!U$5:U$3360,"USN",'J Book Items Cons.'!W$5:W$3360,"Amphibious Warfare Ships",'J Book Items Cons.'!R$5:R$3360,"",'J Book Items Cons.'!N$5:N$3360,"&lt;&gt;")+SUMIFS('J Book Items Cons.'!L$5:L$3360,'J Book Items Cons.'!E$5:E$3360,7,'J Book Items Cons.'!S$5:S$3360,"",'J Book Items Cons.'!U$5:U$3360,"USN",'J Book Items Cons.'!W$5:W$3360,"Amphibious Warfare Ships",'J Book Items Cons.'!R$5:R$3360,"",'J Book Items Cons.'!N$5:N$3360,"")+SUMIFS('J Book Items Cons.'!R$5:R$3360,'J Book Items Cons.'!E$5:E$3360,7,'J Book Items Cons.'!S$5:S$3360,"[PARENT]",'J Book Items Cons.'!U$5:U$3360,"USN",'J Book Items Cons.'!W$5:W$3360,"Amphibious Warfare Ships",'J Book Items Cons.'!R$5:R$3360,"&lt;&gt;")+SUMIFS('J Book Items Cons.'!N$5:N$3360,'J Book Items Cons.'!E$5:E$3360,7,'J Book Items Cons.'!S$5:S$3360,"[PARENT]",'J Book Items Cons.'!U$5:U$3360,"USN",'J Book Items Cons.'!W$5:W$3360,"Amphibious Warfare Ships",'J Book Items Cons.'!R$5:R$3360,"",'J Book Items Cons.'!N$5:N$3360,"&lt;&gt;")+SUMIFS('J Book Items Cons.'!L$5:L$3360,'J Book Items Cons.'!E$5:E$3360,7,'J Book Items Cons.'!S$5:S$3360,"[PARENT]",'J Book Items Cons.'!U$5:U$3360,"USN",'J Book Items Cons.'!W$5:W$3360,"Amphibious Warfare Ships",'J Book Items Cons.'!R$5:R$3360,"",'J Book Items Cons.'!N$5:N$3360,""))/C16)</f>
        <v>0</v>
      </c>
      <c r="D15" s="65">
        <f>IF(D16=0,0,(SUMIFS('J Book Items Cons.'!R$5:R$3360,'J Book Items Cons.'!E$5:E$3360,7,'J Book Items Cons.'!S$5:S$3360,"",'J Book Items Cons.'!U$5:U$3360,"USN",'J Book Items Cons.'!W$5:W$3360,"Expeditionary &amp; Seabasing Ships",'J Book Items Cons.'!R$5:R$3360,"&lt;&gt;")+SUMIFS('J Book Items Cons.'!N$5:N$3360,'J Book Items Cons.'!E$5:E$3360,7,'J Book Items Cons.'!S$5:S$3360,"",'J Book Items Cons.'!U$5:U$3360,"USN",'J Book Items Cons.'!W$5:W$3360,"Expeditionary &amp; Seabasing Ships",'J Book Items Cons.'!R$5:R$3360,"",'J Book Items Cons.'!N$5:N$3360,"&lt;&gt;")+SUMIFS('J Book Items Cons.'!L$5:L$3360,'J Book Items Cons.'!E$5:E$3360,7,'J Book Items Cons.'!S$5:S$3360,"",'J Book Items Cons.'!U$5:U$3360,"USN",'J Book Items Cons.'!W$5:W$3360,"Expeditionary &amp; Seabasing Ships",'J Book Items Cons.'!R$5:R$3360,"",'J Book Items Cons.'!N$5:N$3360,"")+SUMIFS('J Book Items Cons.'!R$5:R$3360,'J Book Items Cons.'!E$5:E$3360,7,'J Book Items Cons.'!S$5:S$3360,"[PARENT]",'J Book Items Cons.'!U$5:U$3360,"USN",'J Book Items Cons.'!W$5:W$3360,"Expeditionary &amp; Seabasing Ships",'J Book Items Cons.'!R$5:R$3360,"&lt;&gt;")+SUMIFS('J Book Items Cons.'!N$5:N$3360,'J Book Items Cons.'!E$5:E$3360,7,'J Book Items Cons.'!S$5:S$3360,"[PARENT]",'J Book Items Cons.'!U$5:U$3360,"USN",'J Book Items Cons.'!W$5:W$3360,"Expeditionary &amp; Seabasing Ships",'J Book Items Cons.'!R$5:R$3360,"",'J Book Items Cons.'!N$5:N$3360,"&lt;&gt;")+SUMIFS('J Book Items Cons.'!L$5:L$3360,'J Book Items Cons.'!E$5:E$3360,7,'J Book Items Cons.'!S$5:S$3360,"[PARENT]",'J Book Items Cons.'!U$5:U$3360,"USN",'J Book Items Cons.'!W$5:W$3360,"Expeditionary &amp; Seabasing Ships",'J Book Items Cons.'!R$5:R$3360,"",'J Book Items Cons.'!N$5:N$3360,""))/D16)</f>
        <v>1.3473943934124082E-2</v>
      </c>
      <c r="E15" s="65">
        <f>IF(E16=0,0,(SUMIFS('J Book Items Cons.'!R$5:R$3360,'J Book Items Cons.'!E$5:E$3360,7,'J Book Items Cons.'!S$5:S$3360,"",'J Book Items Cons.'!U$5:U$3360,"MSC",'J Book Items Cons.'!W$5:W$3360,"Combat Logistics Ships",'J Book Items Cons.'!R$5:R$3360,"&lt;&gt;")+SUMIFS('J Book Items Cons.'!N$5:N$3360,'J Book Items Cons.'!E$5:E$3360,7,'J Book Items Cons.'!S$5:S$3360,"",'J Book Items Cons.'!U$5:U$3360,"MSC",'J Book Items Cons.'!W$5:W$3360,"Combat Logistics Ships",'J Book Items Cons.'!R$5:R$3360,"",'J Book Items Cons.'!N$5:N$3360,"&lt;&gt;")+SUMIFS('J Book Items Cons.'!L$5:L$3360,'J Book Items Cons.'!E$5:E$3360,7,'J Book Items Cons.'!S$5:S$3360,"",'J Book Items Cons.'!U$5:U$3360,"MSC",'J Book Items Cons.'!W$5:W$3360,"Combat Logistics Ships",'J Book Items Cons.'!R$5:R$3360,"",'J Book Items Cons.'!N$5:N$3360,"")+SUMIFS('J Book Items Cons.'!R$5:R$3360,'J Book Items Cons.'!E$5:E$3360,7,'J Book Items Cons.'!S$5:S$3360,"[PARENT]",'J Book Items Cons.'!U$5:U$3360,"MSC",'J Book Items Cons.'!W$5:W$3360,"Combat Logistics Ships",'J Book Items Cons.'!R$5:R$3360,"&lt;&gt;")+SUMIFS('J Book Items Cons.'!N$5:N$3360,'J Book Items Cons.'!E$5:E$3360,7,'J Book Items Cons.'!S$5:S$3360,"[PARENT]",'J Book Items Cons.'!U$5:U$3360,"MSC",'J Book Items Cons.'!W$5:W$3360,"Combat Logistics Ships",'J Book Items Cons.'!R$5:R$3360,"",'J Book Items Cons.'!N$5:N$3360,"&lt;&gt;")+SUMIFS('J Book Items Cons.'!L$5:L$3360,'J Book Items Cons.'!E$5:E$3360,7,'J Book Items Cons.'!S$5:S$3360,"[PARENT]",'J Book Items Cons.'!U$5:U$3360,"MSC",'J Book Items Cons.'!W$5:W$3360,"Combat Logistics Ships",'J Book Items Cons.'!R$5:R$3360,"",'J Book Items Cons.'!N$5:N$3360,""))/E16)</f>
        <v>0</v>
      </c>
      <c r="F15" s="65"/>
      <c r="G15" s="65"/>
      <c r="H15" s="65">
        <f>IF(H16=0,0,(SUMIFS('J Book Items Cons.'!R$5:R$3360,'J Book Items Cons.'!E$5:E$3360,7,'J Book Items Cons.'!S$5:S$3360,"",'J Book Items Cons.'!U$5:U$3360,"MSC",'J Book Items Cons.'!W$5:W$3360,"Cargo &amp; Vehicle Cargo Ships",'J Book Items Cons.'!R$5:R$3360,"&lt;&gt;")+SUMIFS('J Book Items Cons.'!N$5:N$3360,'J Book Items Cons.'!E$5:E$3360,7,'J Book Items Cons.'!S$5:S$3360,"",'J Book Items Cons.'!U$5:U$3360,"MSC",'J Book Items Cons.'!W$5:W$3360,"Cargo &amp; Vehicle Cargo Ships",'J Book Items Cons.'!R$5:R$3360,"",'J Book Items Cons.'!N$5:N$3360,"&lt;&gt;")+SUMIFS('J Book Items Cons.'!L$5:L$3360,'J Book Items Cons.'!E$5:E$3360,7,'J Book Items Cons.'!S$5:S$3360,"",'J Book Items Cons.'!U$5:U$3360,"MSC",'J Book Items Cons.'!W$5:W$3360,"Cargo &amp; Vehicle Cargo Ships",'J Book Items Cons.'!R$5:R$3360,"",'J Book Items Cons.'!N$5:N$3360,"")+SUMIFS('J Book Items Cons.'!R$5:R$3360,'J Book Items Cons.'!E$5:E$3360,7,'J Book Items Cons.'!S$5:S$3360,"[PARENT]",'J Book Items Cons.'!U$5:U$3360,"MSC",'J Book Items Cons.'!W$5:W$3360,"Cargo &amp; Vehicle Cargo Ships",'J Book Items Cons.'!R$5:R$3360,"&lt;&gt;")+SUMIFS('J Book Items Cons.'!N$5:N$3360,'J Book Items Cons.'!E$5:E$3360,7,'J Book Items Cons.'!S$5:S$3360,"[PARENT]",'J Book Items Cons.'!U$5:U$3360,"MSC",'J Book Items Cons.'!W$5:W$3360,"Cargo &amp; Vehicle Cargo Ships",'J Book Items Cons.'!R$5:R$3360,"",'J Book Items Cons.'!N$5:N$3360,"&lt;&gt;")+SUMIFS('J Book Items Cons.'!L$5:L$3360,'J Book Items Cons.'!E$5:E$3360,7,'J Book Items Cons.'!S$5:S$3360,"[PARENT]",'J Book Items Cons.'!U$5:U$3360,"MSC",'J Book Items Cons.'!W$5:W$3360,"Cargo &amp; Vehicle Cargo Ships",'J Book Items Cons.'!R$5:R$3360,"",'J Book Items Cons.'!N$5:N$3360,""))/H16)</f>
        <v>0</v>
      </c>
      <c r="I15" s="65">
        <f>IF(I16=0,0,(SUMIFS('J Book Items Cons.'!R$5:R$3360,'J Book Items Cons.'!E$5:E$3360,7,'J Book Items Cons.'!S$5:S$3360,"",'J Book Items Cons.'!U$5:U$3360,"MSC",'J Book Items Cons.'!W$5:W$3360,"Surveillance Ships",'J Book Items Cons.'!R$5:R$3360,"&lt;&gt;")+SUMIFS('J Book Items Cons.'!N$5:N$3360,'J Book Items Cons.'!E$5:E$3360,7,'J Book Items Cons.'!S$5:S$3360,"",'J Book Items Cons.'!U$5:U$3360,"MSC",'J Book Items Cons.'!W$5:W$3360,"Surveillance Ships",'J Book Items Cons.'!R$5:R$3360,"",'J Book Items Cons.'!N$5:N$3360,"&lt;&gt;")+SUMIFS('J Book Items Cons.'!L$5:L$3360,'J Book Items Cons.'!E$5:E$3360,7,'J Book Items Cons.'!S$5:S$3360,"",'J Book Items Cons.'!U$5:U$3360,"MSC",'J Book Items Cons.'!W$5:W$3360,"Surveillance Ships",'J Book Items Cons.'!R$5:R$3360,"",'J Book Items Cons.'!N$5:N$3360,"")+SUMIFS('J Book Items Cons.'!R$5:R$3360,'J Book Items Cons.'!E$5:E$3360,7,'J Book Items Cons.'!S$5:S$3360,"[PARENT]",'J Book Items Cons.'!U$5:U$3360,"MSC",'J Book Items Cons.'!W$5:W$3360,"Surveillance Ships",'J Book Items Cons.'!R$5:R$3360,"&lt;&gt;")+SUMIFS('J Book Items Cons.'!N$5:N$3360,'J Book Items Cons.'!E$5:E$3360,7,'J Book Items Cons.'!S$5:S$3360,"[PARENT]",'J Book Items Cons.'!U$5:U$3360,"MSC",'J Book Items Cons.'!W$5:W$3360,"Surveillance Ships",'J Book Items Cons.'!R$5:R$3360,"",'J Book Items Cons.'!N$5:N$3360,"&lt;&gt;")+SUMIFS('J Book Items Cons.'!L$5:L$3360,'J Book Items Cons.'!E$5:E$3360,7,'J Book Items Cons.'!S$5:S$3360,"[PARENT]",'J Book Items Cons.'!U$5:U$3360,"MSC",'J Book Items Cons.'!W$5:W$3360,"Surveillance Ships",'J Book Items Cons.'!R$5:R$3360,"",'J Book Items Cons.'!N$5:N$3360,""))/I16)</f>
        <v>0</v>
      </c>
      <c r="J15" s="65">
        <f>IF(J16=0,0,(SUMIFS('J Book Items Cons.'!R$5:R$3360,'J Book Items Cons.'!E$5:E$3360,7,'J Book Items Cons.'!S$5:S$3360,"",'J Book Items Cons.'!U$5:U$3360,"USN",'J Book Items Cons.'!W$5:W$3360,"Command Ships",'J Book Items Cons.'!R$5:R$3360,"&lt;&gt;")+SUMIFS('J Book Items Cons.'!N$5:N$3360,'J Book Items Cons.'!E$5:E$3360,7,'J Book Items Cons.'!S$5:S$3360,"",'J Book Items Cons.'!U$5:U$3360,"USN",'J Book Items Cons.'!W$5:W$3360,"Command Ships",'J Book Items Cons.'!R$5:R$3360,"",'J Book Items Cons.'!N$5:N$3360,"&lt;&gt;")+SUMIFS('J Book Items Cons.'!L$5:L$3360,'J Book Items Cons.'!E$5:E$3360,7,'J Book Items Cons.'!S$5:S$3360,"",'J Book Items Cons.'!U$5:U$3360,"USN",'J Book Items Cons.'!W$5:W$3360,"Command Ships",'J Book Items Cons.'!R$5:R$3360,"",'J Book Items Cons.'!N$5:N$3360,"")+SUMIFS('J Book Items Cons.'!R$5:R$3360,'J Book Items Cons.'!E$5:E$3360,7,'J Book Items Cons.'!S$5:S$3360,"[PARENT]",'J Book Items Cons.'!U$5:U$3360,"USN",'J Book Items Cons.'!W$5:W$3360,"Command Ships",'J Book Items Cons.'!R$5:R$3360,"&lt;&gt;")+SUMIFS('J Book Items Cons.'!N$5:N$3360,'J Book Items Cons.'!E$5:E$3360,7,'J Book Items Cons.'!S$5:S$3360,"[PARENT]",'J Book Items Cons.'!U$5:U$3360,"USN",'J Book Items Cons.'!W$5:W$3360,"Command Ships",'J Book Items Cons.'!R$5:R$3360,"",'J Book Items Cons.'!N$5:N$3360,"&lt;&gt;")+SUMIFS('J Book Items Cons.'!L$5:L$3360,'J Book Items Cons.'!E$5:E$3360,7,'J Book Items Cons.'!S$5:S$3360,"[PARENT]",'J Book Items Cons.'!U$5:U$3360,"USN",'J Book Items Cons.'!W$5:W$3360,"Command Ships",'J Book Items Cons.'!R$5:R$3360,"",'J Book Items Cons.'!N$5:N$3360,""))/J16)</f>
        <v>0</v>
      </c>
      <c r="K15" s="66">
        <f>IF(K16=0,0,(SUMIFS('J Book Items Cons.'!R$5:R$3360,'J Book Items Cons.'!E$5:E$3360,7,'J Book Items Cons.'!S$5:S$3360,"",'J Book Items Cons.'!U$5:U$3360,"USN",'J Book Items Cons.'!W$5:W$3360,"Mine Warfare",'J Book Items Cons.'!R$5:R$3360,"&lt;&gt;")+SUMIFS('J Book Items Cons.'!N$5:N$3360,'J Book Items Cons.'!E$5:E$3360,7,'J Book Items Cons.'!S$5:S$3360,"",'J Book Items Cons.'!U$5:U$3360,"USN",'J Book Items Cons.'!W$5:W$3360,"Mine Warfare",'J Book Items Cons.'!R$5:R$3360,"",'J Book Items Cons.'!N$5:N$3360,"&lt;&gt;")+SUMIFS('J Book Items Cons.'!L$5:L$3360,'J Book Items Cons.'!E$5:E$3360,7,'J Book Items Cons.'!S$5:S$3360,"",'J Book Items Cons.'!U$5:U$3360,"USN",'J Book Items Cons.'!W$5:W$3360,"Mine Warfare",'J Book Items Cons.'!R$5:R$3360,"",'J Book Items Cons.'!N$5:N$3360,"")+SUMIFS('J Book Items Cons.'!R$5:R$3360,'J Book Items Cons.'!E$5:E$3360,7,'J Book Items Cons.'!S$5:S$3360,"[PARENT]",'J Book Items Cons.'!U$5:U$3360,"USN",'J Book Items Cons.'!W$5:W$3360,"Mine Warfare",'J Book Items Cons.'!R$5:R$3360,"&lt;&gt;")+SUMIFS('J Book Items Cons.'!N$5:N$3360,'J Book Items Cons.'!E$5:E$3360,7,'J Book Items Cons.'!S$5:S$3360,"[PARENT]",'J Book Items Cons.'!U$5:U$3360,"USN",'J Book Items Cons.'!W$5:W$3360,"Mine Warfare",'J Book Items Cons.'!R$5:R$3360,"",'J Book Items Cons.'!N$5:N$3360,"&lt;&gt;")+SUMIFS('J Book Items Cons.'!L$5:L$3360,'J Book Items Cons.'!E$5:E$3360,7,'J Book Items Cons.'!S$5:S$3360,"[PARENT]",'J Book Items Cons.'!U$5:U$3360,"USN",'J Book Items Cons.'!W$5:W$3360,"Mine Warfare",'J Book Items Cons.'!R$5:R$3360,"",'J Book Items Cons.'!N$5:N$3360,""))/K16)</f>
        <v>0</v>
      </c>
      <c r="L15" s="64">
        <f>IF(L16=0,0,(SUMIFS('J Book Items Cons.'!R$5:R$3360,'J Book Items Cons.'!E$5:E$3360,7,'J Book Items Cons.'!S$5:S$3360,"",'J Book Items Cons.'!U$5:U$3360,"USCG",'J Book Items Cons.'!W$5:W$3360,"Offshore Patrol Cutter",'J Book Items Cons.'!R$5:R$3360,"&lt;&gt;")+SUMIFS('J Book Items Cons.'!N$5:N$3360,'J Book Items Cons.'!E$5:E$3360,7,'J Book Items Cons.'!S$5:S$3360,"",'J Book Items Cons.'!U$5:U$3360,"USCG",'J Book Items Cons.'!W$5:W$3360,"Offshore Patrol Cutter",'J Book Items Cons.'!R$5:R$3360,"",'J Book Items Cons.'!N$5:N$3360,"&lt;&gt;")+SUMIFS('J Book Items Cons.'!L$5:L$3360,'J Book Items Cons.'!E$5:E$3360,7,'J Book Items Cons.'!S$5:S$3360,"",'J Book Items Cons.'!U$5:U$3360,"USCG",'J Book Items Cons.'!W$5:W$3360,"Offshore Patrol Cutter",'J Book Items Cons.'!R$5:R$3360,"",'J Book Items Cons.'!N$5:N$3360,"")+SUMIFS('J Book Items Cons.'!R$5:R$3360,'J Book Items Cons.'!E$5:E$3360,7,'J Book Items Cons.'!S$5:S$3360,"[PARENT]",'J Book Items Cons.'!U$5:U$3360,"USCG",'J Book Items Cons.'!W$5:W$3360,"Offshore Patrol Cutter",'J Book Items Cons.'!R$5:R$3360,"&lt;&gt;")+SUMIFS('J Book Items Cons.'!N$5:N$3360,'J Book Items Cons.'!E$5:E$3360,7,'J Book Items Cons.'!S$5:S$3360,"[PARENT]",'J Book Items Cons.'!U$5:U$3360,"USCG",'J Book Items Cons.'!W$5:W$3360,"Offshore Patrol Cutter",'J Book Items Cons.'!R$5:R$3360,"",'J Book Items Cons.'!N$5:N$3360,"&lt;&gt;")+SUMIFS('J Book Items Cons.'!L$5:L$3360,'J Book Items Cons.'!E$5:E$3360,7,'J Book Items Cons.'!S$5:S$3360,"[PARENT]",'J Book Items Cons.'!U$5:U$3360,"USCG",'J Book Items Cons.'!W$5:W$3360,"Offshore Patrol Cutter",'J Book Items Cons.'!R$5:R$3360,"",'J Book Items Cons.'!N$5:N$3360,""))/L16)</f>
        <v>0</v>
      </c>
      <c r="M15" s="65">
        <f>IF(M16=0,0,(SUMIFS('J Book Items Cons.'!R$5:R$3360,'J Book Items Cons.'!E$5:E$3360,7,'J Book Items Cons.'!S$5:S$3360,"",'J Book Items Cons.'!U$5:U$3360,"USCG",'J Book Items Cons.'!W$5:W$3360,"Fast Response Cutters",'J Book Items Cons.'!R$5:R$3360,"&lt;&gt;")+SUMIFS('J Book Items Cons.'!N$5:N$3360,'J Book Items Cons.'!E$5:E$3360,7,'J Book Items Cons.'!S$5:S$3360,"",'J Book Items Cons.'!U$5:U$3360,"USCG",'J Book Items Cons.'!W$5:W$3360,"Fast Response Cutters",'J Book Items Cons.'!R$5:R$3360,"",'J Book Items Cons.'!N$5:N$3360,"&lt;&gt;")+SUMIFS('J Book Items Cons.'!L$5:L$3360,'J Book Items Cons.'!E$5:E$3360,7,'J Book Items Cons.'!S$5:S$3360,"",'J Book Items Cons.'!U$5:U$3360,"USCG",'J Book Items Cons.'!W$5:W$3360,"Fast Response Cutters",'J Book Items Cons.'!R$5:R$3360,"",'J Book Items Cons.'!N$5:N$3360,"")+SUMIFS('J Book Items Cons.'!R$5:R$3360,'J Book Items Cons.'!E$5:E$3360,7,'J Book Items Cons.'!S$5:S$3360,"[PARENT]",'J Book Items Cons.'!U$5:U$3360,"USCG",'J Book Items Cons.'!W$5:W$3360,"Fast Response Cutters",'J Book Items Cons.'!R$5:R$3360,"&lt;&gt;")+SUMIFS('J Book Items Cons.'!N$5:N$3360,'J Book Items Cons.'!E$5:E$3360,7,'J Book Items Cons.'!S$5:S$3360,"[PARENT]",'J Book Items Cons.'!U$5:U$3360,"USCG",'J Book Items Cons.'!W$5:W$3360,"Fast Response Cutters",'J Book Items Cons.'!R$5:R$3360,"",'J Book Items Cons.'!N$5:N$3360,"&lt;&gt;")+SUMIFS('J Book Items Cons.'!L$5:L$3360,'J Book Items Cons.'!E$5:E$3360,7,'J Book Items Cons.'!S$5:S$3360,"[PARENT]",'J Book Items Cons.'!U$5:U$3360,"USCG",'J Book Items Cons.'!W$5:W$3360,"Fast Response Cutters",'J Book Items Cons.'!R$5:R$3360,"",'J Book Items Cons.'!N$5:N$3360,""))/M16)</f>
        <v>0</v>
      </c>
      <c r="N15" s="65">
        <f>IF(N16=0,0,(SUMIFS('J Book Items Cons.'!R$5:R$3360,'J Book Items Cons.'!E$5:E$3360,7,'J Book Items Cons.'!S$5:S$3360,"",'J Book Items Cons.'!U$5:U$3360,"USCG",'J Book Items Cons.'!W$5:W$3360,"Icebreakers, Oceangoing",'J Book Items Cons.'!R$5:R$3360,"&lt;&gt;")+SUMIFS('J Book Items Cons.'!N$5:N$3360,'J Book Items Cons.'!E$5:E$3360,7,'J Book Items Cons.'!S$5:S$3360,"",'J Book Items Cons.'!U$5:U$3360,"USCG",'J Book Items Cons.'!W$5:W$3360,"Icebreakers, Oceangoing",'J Book Items Cons.'!R$5:R$3360,"",'J Book Items Cons.'!N$5:N$3360,"&lt;&gt;")+SUMIFS('J Book Items Cons.'!L$5:L$3360,'J Book Items Cons.'!E$5:E$3360,7,'J Book Items Cons.'!S$5:S$3360,"",'J Book Items Cons.'!U$5:U$3360,"USCG",'J Book Items Cons.'!W$5:W$3360,"Icebreakers, Oceangoing",'J Book Items Cons.'!R$5:R$3360,"",'J Book Items Cons.'!N$5:N$3360,"")+SUMIFS('J Book Items Cons.'!R$5:R$3360,'J Book Items Cons.'!E$5:E$3360,7,'J Book Items Cons.'!S$5:S$3360,"[PARENT]",'J Book Items Cons.'!U$5:U$3360,"USCG",'J Book Items Cons.'!W$5:W$3360,"Icebreakers, Oceangoing",'J Book Items Cons.'!R$5:R$3360,"&lt;&gt;")+SUMIFS('J Book Items Cons.'!N$5:N$3360,'J Book Items Cons.'!E$5:E$3360,7,'J Book Items Cons.'!S$5:S$3360,"[PARENT]",'J Book Items Cons.'!U$5:U$3360,"USCG",'J Book Items Cons.'!W$5:W$3360,"Icebreakers, Oceangoing",'J Book Items Cons.'!R$5:R$3360,"",'J Book Items Cons.'!N$5:N$3360,"&lt;&gt;")+SUMIFS('J Book Items Cons.'!L$5:L$3360,'J Book Items Cons.'!E$5:E$3360,7,'J Book Items Cons.'!S$5:S$3360,"[PARENT]",'J Book Items Cons.'!U$5:U$3360,"USCG",'J Book Items Cons.'!W$5:W$3360,"Icebreakers, Oceangoing",'J Book Items Cons.'!R$5:R$3360,"",'J Book Items Cons.'!N$5:N$3360,""))/N16)</f>
        <v>0</v>
      </c>
      <c r="O15" s="65"/>
      <c r="P15" s="66">
        <f>IF(P16=0,0,(SUMIFS('J Book Items Cons.'!R$5:R$3360,'J Book Items Cons.'!E$5:E$3360,7,'J Book Items Cons.'!S$5:S$3360,"",'J Book Items Cons.'!U$5:U$3360,"USCG",'J Book Items Cons.'!W$5:W$3360,"National Security Cutters",'J Book Items Cons.'!R$5:R$3360,"&lt;&gt;")+SUMIFS('J Book Items Cons.'!N$5:N$3360,'J Book Items Cons.'!E$5:E$3360,7,'J Book Items Cons.'!S$5:S$3360,"",'J Book Items Cons.'!U$5:U$3360,"USCG",'J Book Items Cons.'!W$5:W$3360,"National Security Cutters",'J Book Items Cons.'!R$5:R$3360,"",'J Book Items Cons.'!N$5:N$3360,"&lt;&gt;")+SUMIFS('J Book Items Cons.'!L$5:L$3360,'J Book Items Cons.'!E$5:E$3360,7,'J Book Items Cons.'!S$5:S$3360,"",'J Book Items Cons.'!U$5:U$3360,"USCG",'J Book Items Cons.'!W$5:W$3360,"National Security Cutters",'J Book Items Cons.'!R$5:R$3360,"",'J Book Items Cons.'!N$5:N$3360,"")+SUMIFS('J Book Items Cons.'!R$5:R$3360,'J Book Items Cons.'!E$5:E$3360,7,'J Book Items Cons.'!S$5:S$3360,"[PARENT]",'J Book Items Cons.'!U$5:U$3360,"USCG",'J Book Items Cons.'!W$5:W$3360,"National Security Cutters",'J Book Items Cons.'!R$5:R$3360,"&lt;&gt;")+SUMIFS('J Book Items Cons.'!N$5:N$3360,'J Book Items Cons.'!E$5:E$3360,7,'J Book Items Cons.'!S$5:S$3360,"[PARENT]",'J Book Items Cons.'!U$5:U$3360,"USCG",'J Book Items Cons.'!W$5:W$3360,"National Security Cutters",'J Book Items Cons.'!R$5:R$3360,"",'J Book Items Cons.'!N$5:N$3360,"&lt;&gt;")+SUMIFS('J Book Items Cons.'!L$5:L$3360,'J Book Items Cons.'!E$5:E$3360,7,'J Book Items Cons.'!S$5:S$3360,"[PARENT]",'J Book Items Cons.'!U$5:U$3360,"USCG",'J Book Items Cons.'!W$5:W$3360,"National Security Cutters",'J Book Items Cons.'!R$5:R$3360,"",'J Book Items Cons.'!N$5:N$3360,""))/P16)</f>
        <v>0</v>
      </c>
      <c r="Q15" s="38">
        <f t="shared" si="0"/>
        <v>1.4247127280249483E-3</v>
      </c>
    </row>
    <row r="16" spans="1:35" ht="9.75" customHeight="1" x14ac:dyDescent="0.15">
      <c r="A16" s="15" t="s">
        <v>8831</v>
      </c>
      <c r="B16" s="28">
        <f>SUMIFS('J Book Items Cons.'!R$5:R$3360,'J Book Items Cons.'!S$5:S$3360,"",'J Book Items Cons.'!U$5:U$3360,"USN",'J Book Items Cons.'!W$5:W$3360,"Surface Combatants",'J Book Items Cons.'!R$5:R$3360,"&lt;&gt;")+SUMIFS('J Book Items Cons.'!N$5:N$3360,'J Book Items Cons.'!S$5:S$3360,"",'J Book Items Cons.'!U$5:U$3360,"USN",'J Book Items Cons.'!W$5:W$3360,"Surface Combatants",'J Book Items Cons.'!R$5:R$3360,"",'J Book Items Cons.'!N$5:N$3360,"&lt;&gt;")+SUMIFS('J Book Items Cons.'!L$5:L$3360,'J Book Items Cons.'!S$5:S$3360,"",'J Book Items Cons.'!U$5:U$3360,"USN",'J Book Items Cons.'!W$5:W$3360,"Surface Combatants",'J Book Items Cons.'!R$5:R$3360,"",'J Book Items Cons.'!N$5:N$3360,"")+SUMIFS('J Book Items Cons.'!R$5:R$3360,'J Book Items Cons.'!S$5:S$3360,"[PARENT]",'J Book Items Cons.'!U$5:U$3360,"USN",'J Book Items Cons.'!W$5:W$3360,"Surface Combatants",'J Book Items Cons.'!R$5:R$3360,"&lt;&gt;")+SUMIFS('J Book Items Cons.'!N$5:N$3360,'J Book Items Cons.'!S$5:S$3360,"[PARENT]",'J Book Items Cons.'!U$5:U$3360,"USN",'J Book Items Cons.'!W$5:W$3360,"Surface Combatants",'J Book Items Cons.'!R$5:R$3360,"",'J Book Items Cons.'!N$5:N$3360,"&lt;&gt;")+SUMIFS('J Book Items Cons.'!L$5:L$3360,'J Book Items Cons.'!S$5:S$3360,"[PARENT]",'J Book Items Cons.'!U$5:U$3360,"USN",'J Book Items Cons.'!W$5:W$3360,"Surface Combatants",'J Book Items Cons.'!R$5:R$3360,"",'J Book Items Cons.'!N$5:N$3360,"")</f>
        <v>13587052</v>
      </c>
      <c r="C16" s="16">
        <f>SUMIFS('J Book Items Cons.'!R$5:R$3360,'J Book Items Cons.'!S$5:S$3360,"",'J Book Items Cons.'!U$5:U$3360,"USN",'J Book Items Cons.'!W$5:W$3360,"Amphibious Warfare Ships",'J Book Items Cons.'!R$5:R$3360,"&lt;&gt;")+SUMIFS('J Book Items Cons.'!N$5:N$3360,'J Book Items Cons.'!S$5:S$3360,"",'J Book Items Cons.'!U$5:U$3360,"USN",'J Book Items Cons.'!W$5:W$3360,"Amphibious Warfare Ships",'J Book Items Cons.'!R$5:R$3360,"",'J Book Items Cons.'!N$5:N$3360,"&lt;&gt;")+SUMIFS('J Book Items Cons.'!L$5:L$3360,'J Book Items Cons.'!S$5:S$3360,"",'J Book Items Cons.'!U$5:U$3360,"USN",'J Book Items Cons.'!W$5:W$3360,"Amphibious Warfare Ships",'J Book Items Cons.'!R$5:R$3360,"",'J Book Items Cons.'!N$5:N$3360,"")+SUMIFS('J Book Items Cons.'!R$5:R$3360,'J Book Items Cons.'!S$5:S$3360,"[PARENT]",'J Book Items Cons.'!U$5:U$3360,"USN",'J Book Items Cons.'!W$5:W$3360,"Amphibious Warfare Ships",'J Book Items Cons.'!R$5:R$3360,"&lt;&gt;")+SUMIFS('J Book Items Cons.'!N$5:N$3360,'J Book Items Cons.'!S$5:S$3360,"[PARENT]",'J Book Items Cons.'!U$5:U$3360,"USN",'J Book Items Cons.'!W$5:W$3360,"Amphibious Warfare Ships",'J Book Items Cons.'!R$5:R$3360,"",'J Book Items Cons.'!N$5:N$3360,"&lt;&gt;")+SUMIFS('J Book Items Cons.'!L$5:L$3360,'J Book Items Cons.'!S$5:S$3360,"[PARENT]",'J Book Items Cons.'!U$5:U$3360,"USN",'J Book Items Cons.'!W$5:W$3360,"Amphibious Warfare Ships",'J Book Items Cons.'!R$5:R$3360,"",'J Book Items Cons.'!N$5:N$3360,"")</f>
        <v>3315183</v>
      </c>
      <c r="D16" s="16">
        <f>SUMIFS('J Book Items Cons.'!R$5:R$3360,'J Book Items Cons.'!S$5:S$3360,"",'J Book Items Cons.'!U$5:U$3360,"USN",'J Book Items Cons.'!W$5:W$3360,"Expeditionary &amp; Seabasing Ships",'J Book Items Cons.'!R$5:R$3360,"&lt;&gt;")+SUMIFS('J Book Items Cons.'!N$5:N$3360,'J Book Items Cons.'!S$5:S$3360,"",'J Book Items Cons.'!U$5:U$3360,"USN",'J Book Items Cons.'!W$5:W$3360,"Expeditionary &amp; Seabasing Ships",'J Book Items Cons.'!R$5:R$3360,"",'J Book Items Cons.'!N$5:N$3360,"&lt;&gt;")+SUMIFS('J Book Items Cons.'!L$5:L$3360,'J Book Items Cons.'!S$5:S$3360,"",'J Book Items Cons.'!U$5:U$3360,"USN",'J Book Items Cons.'!W$5:W$3360,"Expeditionary &amp; Seabasing Ships",'J Book Items Cons.'!R$5:R$3360,"",'J Book Items Cons.'!N$5:N$3360,"")+SUMIFS('J Book Items Cons.'!R$5:R$3360,'J Book Items Cons.'!S$5:S$3360,"[PARENT]",'J Book Items Cons.'!U$5:U$3360,"USN",'J Book Items Cons.'!W$5:W$3360,"Expeditionary &amp; Seabasing Ships",'J Book Items Cons.'!R$5:R$3360,"&lt;&gt;")+SUMIFS('J Book Items Cons.'!N$5:N$3360,'J Book Items Cons.'!S$5:S$3360,"[PARENT]",'J Book Items Cons.'!U$5:U$3360,"USN",'J Book Items Cons.'!W$5:W$3360,"Expeditionary &amp; Seabasing Ships",'J Book Items Cons.'!R$5:R$3360,"",'J Book Items Cons.'!N$5:N$3360,"&lt;&gt;")+SUMIFS('J Book Items Cons.'!L$5:L$3360,'J Book Items Cons.'!S$5:S$3360,"[PARENT]",'J Book Items Cons.'!U$5:U$3360,"USN",'J Book Items Cons.'!W$5:W$3360,"Expeditionary &amp; Seabasing Ships",'J Book Items Cons.'!R$5:R$3360,"",'J Book Items Cons.'!N$5:N$3360,"")</f>
        <v>2825676</v>
      </c>
      <c r="E16" s="16">
        <f>SUMIFS('J Book Items Cons.'!R$5:R$3360,'J Book Items Cons.'!S$5:S$3360,"",'J Book Items Cons.'!U$5:U$3360,"MSC",'J Book Items Cons.'!W$5:W$3360,"Combat Logistics Ships",'J Book Items Cons.'!R$5:R$3360,"&lt;&gt;")+SUMIFS('J Book Items Cons.'!N$5:N$3360,'J Book Items Cons.'!S$5:S$3360,"",'J Book Items Cons.'!U$5:U$3360,"MSC",'J Book Items Cons.'!W$5:W$3360,"Combat Logistics Ships",'J Book Items Cons.'!R$5:R$3360,"",'J Book Items Cons.'!N$5:N$3360,"&lt;&gt;")+SUMIFS('J Book Items Cons.'!L$5:L$3360,'J Book Items Cons.'!S$5:S$3360,"",'J Book Items Cons.'!U$5:U$3360,"MSC",'J Book Items Cons.'!W$5:W$3360,"Combat Logistics Ships",'J Book Items Cons.'!R$5:R$3360,"",'J Book Items Cons.'!N$5:N$3360,"")+SUMIFS('J Book Items Cons.'!R$5:R$3360,'J Book Items Cons.'!S$5:S$3360,"[PARENT]",'J Book Items Cons.'!U$5:U$3360,"MSC",'J Book Items Cons.'!W$5:W$3360,"Combat Logistics Ships",'J Book Items Cons.'!R$5:R$3360,"&lt;&gt;")+SUMIFS('J Book Items Cons.'!N$5:N$3360,'J Book Items Cons.'!S$5:S$3360,"[PARENT]",'J Book Items Cons.'!U$5:U$3360,"MSC",'J Book Items Cons.'!W$5:W$3360,"Combat Logistics Ships",'J Book Items Cons.'!R$5:R$3360,"",'J Book Items Cons.'!N$5:N$3360,"&lt;&gt;")+SUMIFS('J Book Items Cons.'!L$5:L$3360,'J Book Items Cons.'!S$5:S$3360,"[PARENT]",'J Book Items Cons.'!U$5:U$3360,"MSC",'J Book Items Cons.'!W$5:W$3360,"Combat Logistics Ships",'J Book Items Cons.'!R$5:R$3360,"",'J Book Items Cons.'!N$5:N$3360,"")</f>
        <v>1861705</v>
      </c>
      <c r="F16" s="16">
        <f>SUMIFS('J Book Items Cons.'!R$5:R$3360,'J Book Items Cons.'!S$5:S$3360,"",'J Book Items Cons.'!U$5:U$3360,"USN",'J Book Items Cons.'!W$5:W$3360,"Unmanned Surface Vehicles",'J Book Items Cons.'!R$5:R$3360,"&lt;&gt;")+SUMIFS('J Book Items Cons.'!N$5:N$3360,'J Book Items Cons.'!S$5:S$3360,"",'J Book Items Cons.'!U$5:U$3360,"USN",'J Book Items Cons.'!W$5:W$3360,"Unmanned Surface Vehicles",'J Book Items Cons.'!R$5:R$3360,"",'J Book Items Cons.'!N$5:N$3360,"&lt;&gt;")+SUMIFS('J Book Items Cons.'!L$5:L$3360,'J Book Items Cons.'!S$5:S$3360,"",'J Book Items Cons.'!U$5:U$3360,"USN",'J Book Items Cons.'!W$5:W$3360,"Unmanned Surface Vehicles",'J Book Items Cons.'!R$5:R$3360,"",'J Book Items Cons.'!N$5:N$3360,"")+SUMIFS('J Book Items Cons.'!R$5:R$3360,'J Book Items Cons.'!S$5:S$3360,"[PARENT]",'J Book Items Cons.'!U$5:U$3360,"USN",'J Book Items Cons.'!W$5:W$3360,"Unmanned Surface Vehicles",'J Book Items Cons.'!R$5:R$3360,"&lt;&gt;")+SUMIFS('J Book Items Cons.'!N$5:N$3360,'J Book Items Cons.'!S$5:S$3360,"[PARENT]",'J Book Items Cons.'!U$5:U$3360,"USN",'J Book Items Cons.'!W$5:W$3360,"Unmanned Surface Vehicles",'J Book Items Cons.'!R$5:R$3360,"",'J Book Items Cons.'!N$5:N$3360,"&lt;&gt;")+SUMIFS('J Book Items Cons.'!L$5:L$3360,'J Book Items Cons.'!S$5:S$3360,"[PARENT]",'J Book Items Cons.'!U$5:U$3360,"USN",'J Book Items Cons.'!W$5:W$3360,"Unmanned Surface Vehicles",'J Book Items Cons.'!R$5:R$3360,"",'J Book Items Cons.'!N$5:N$3360,"")</f>
        <v>1325714</v>
      </c>
      <c r="G16" s="16">
        <f>SUMIFS('J Book Items Cons.'!R$5:R$3360,'J Book Items Cons.'!S$5:S$3360,"",'J Book Items Cons.'!U$5:U$3360,"USN",'J Book Items Cons.'!W$5:W$3360,"Amphibious Warfare Craft",'J Book Items Cons.'!R$5:R$3360,"&lt;&gt;")+SUMIFS('J Book Items Cons.'!N$5:N$3360,'J Book Items Cons.'!S$5:S$3360,"",'J Book Items Cons.'!U$5:U$3360,"USN",'J Book Items Cons.'!W$5:W$3360,"Amphibious Warfare Craft",'J Book Items Cons.'!R$5:R$3360,"",'J Book Items Cons.'!N$5:N$3360,"&lt;&gt;")+SUMIFS('J Book Items Cons.'!L$5:L$3360,'J Book Items Cons.'!S$5:S$3360,"",'J Book Items Cons.'!U$5:U$3360,"USN",'J Book Items Cons.'!W$5:W$3360,"Amphibious Warfare Craft",'J Book Items Cons.'!R$5:R$3360,"",'J Book Items Cons.'!N$5:N$3360,"")+SUMIFS('J Book Items Cons.'!R$5:R$3360,'J Book Items Cons.'!S$5:S$3360,"[PARENT]",'J Book Items Cons.'!U$5:U$3360,"USN",'J Book Items Cons.'!W$5:W$3360,"Amphibious Warfare Craft",'J Book Items Cons.'!R$5:R$3360,"&lt;&gt;")+SUMIFS('J Book Items Cons.'!N$5:N$3360,'J Book Items Cons.'!S$5:S$3360,"[PARENT]",'J Book Items Cons.'!U$5:U$3360,"USN",'J Book Items Cons.'!W$5:W$3360,"Amphibious Warfare Craft",'J Book Items Cons.'!R$5:R$3360,"",'J Book Items Cons.'!N$5:N$3360,"&lt;&gt;")+SUMIFS('J Book Items Cons.'!L$5:L$3360,'J Book Items Cons.'!S$5:S$3360,"[PARENT]",'J Book Items Cons.'!U$5:U$3360,"USN",'J Book Items Cons.'!W$5:W$3360,"Amphibious Warfare Craft",'J Book Items Cons.'!R$5:R$3360,"",'J Book Items Cons.'!N$5:N$3360,"")</f>
        <v>921381</v>
      </c>
      <c r="H16" s="16">
        <f>SUMIFS('J Book Items Cons.'!R$5:R$3360,'J Book Items Cons.'!S$5:S$3360,"",'J Book Items Cons.'!U$5:U$3360,"MSC",'J Book Items Cons.'!W$5:W$3360,"Cargo &amp; Vehicle Cargo Ships",'J Book Items Cons.'!R$5:R$3360,"&lt;&gt;")+SUMIFS('J Book Items Cons.'!N$5:N$3360,'J Book Items Cons.'!S$5:S$3360,"",'J Book Items Cons.'!U$5:U$3360,"MSC",'J Book Items Cons.'!W$5:W$3360,"Cargo &amp; Vehicle Cargo Ships",'J Book Items Cons.'!R$5:R$3360,"",'J Book Items Cons.'!N$5:N$3360,"&lt;&gt;")+SUMIFS('J Book Items Cons.'!L$5:L$3360,'J Book Items Cons.'!S$5:S$3360,"",'J Book Items Cons.'!U$5:U$3360,"MSC",'J Book Items Cons.'!W$5:W$3360,"Cargo &amp; Vehicle Cargo Ships",'J Book Items Cons.'!R$5:R$3360,"",'J Book Items Cons.'!N$5:N$3360,"")+SUMIFS('J Book Items Cons.'!R$5:R$3360,'J Book Items Cons.'!S$5:S$3360,"[PARENT]",'J Book Items Cons.'!U$5:U$3360,"MSC",'J Book Items Cons.'!W$5:W$3360,"Cargo &amp; Vehicle Cargo Ships",'J Book Items Cons.'!R$5:R$3360,"&lt;&gt;")+SUMIFS('J Book Items Cons.'!N$5:N$3360,'J Book Items Cons.'!S$5:S$3360,"[PARENT]",'J Book Items Cons.'!U$5:U$3360,"MSC",'J Book Items Cons.'!W$5:W$3360,"Cargo &amp; Vehicle Cargo Ships",'J Book Items Cons.'!R$5:R$3360,"",'J Book Items Cons.'!N$5:N$3360,"&lt;&gt;")+SUMIFS('J Book Items Cons.'!L$5:L$3360,'J Book Items Cons.'!S$5:S$3360,"[PARENT]",'J Book Items Cons.'!U$5:U$3360,"MSC",'J Book Items Cons.'!W$5:W$3360,"Cargo &amp; Vehicle Cargo Ships",'J Book Items Cons.'!R$5:R$3360,"",'J Book Items Cons.'!N$5:N$3360,"")</f>
        <v>890000</v>
      </c>
      <c r="I16" s="16">
        <f>SUMIFS('J Book Items Cons.'!R$5:R$3360,'J Book Items Cons.'!S$5:S$3360,"",'J Book Items Cons.'!U$5:U$3360,"MSC",'J Book Items Cons.'!W$5:W$3360,"Surveillance Ships",'J Book Items Cons.'!R$5:R$3360,"&lt;&gt;")+SUMIFS('J Book Items Cons.'!N$5:N$3360,'J Book Items Cons.'!S$5:S$3360,"",'J Book Items Cons.'!U$5:U$3360,"MSC",'J Book Items Cons.'!W$5:W$3360,"Surveillance Ships",'J Book Items Cons.'!R$5:R$3360,"",'J Book Items Cons.'!N$5:N$3360,"&lt;&gt;")+SUMIFS('J Book Items Cons.'!L$5:L$3360,'J Book Items Cons.'!S$5:S$3360,"",'J Book Items Cons.'!U$5:U$3360,"MSC",'J Book Items Cons.'!W$5:W$3360,"Surveillance Ships",'J Book Items Cons.'!R$5:R$3360,"",'J Book Items Cons.'!N$5:N$3360,"")+SUMIFS('J Book Items Cons.'!R$5:R$3360,'J Book Items Cons.'!S$5:S$3360,"[PARENT]",'J Book Items Cons.'!U$5:U$3360,"MSC",'J Book Items Cons.'!W$5:W$3360,"Surveillance Ships",'J Book Items Cons.'!R$5:R$3360,"&lt;&gt;")+SUMIFS('J Book Items Cons.'!N$5:N$3360,'J Book Items Cons.'!S$5:S$3360,"[PARENT]",'J Book Items Cons.'!U$5:U$3360,"MSC",'J Book Items Cons.'!W$5:W$3360,"Surveillance Ships",'J Book Items Cons.'!R$5:R$3360,"",'J Book Items Cons.'!N$5:N$3360,"&lt;&gt;")+SUMIFS('J Book Items Cons.'!L$5:L$3360,'J Book Items Cons.'!S$5:S$3360,"[PARENT]",'J Book Items Cons.'!U$5:U$3360,"MSC",'J Book Items Cons.'!W$5:W$3360,"Surveillance Ships",'J Book Items Cons.'!R$5:R$3360,"",'J Book Items Cons.'!N$5:N$3360,"")</f>
        <v>643374</v>
      </c>
      <c r="J16" s="16">
        <f>SUMIFS('J Book Items Cons.'!R$5:R$3360,'J Book Items Cons.'!S$5:S$3360,"",'J Book Items Cons.'!U$5:U$3360,"USN",'J Book Items Cons.'!W$5:W$3360,"Command Ships",'J Book Items Cons.'!R$5:R$3360,"&lt;&gt;")+SUMIFS('J Book Items Cons.'!N$5:N$3360,'J Book Items Cons.'!S$5:S$3360,"",'J Book Items Cons.'!U$5:U$3360,"USN",'J Book Items Cons.'!W$5:W$3360,"Command Ships",'J Book Items Cons.'!R$5:R$3360,"",'J Book Items Cons.'!N$5:N$3360,"&lt;&gt;")+SUMIFS('J Book Items Cons.'!L$5:L$3360,'J Book Items Cons.'!S$5:S$3360,"",'J Book Items Cons.'!U$5:U$3360,"USN",'J Book Items Cons.'!W$5:W$3360,"Command Ships",'J Book Items Cons.'!R$5:R$3360,"",'J Book Items Cons.'!N$5:N$3360,"")+SUMIFS('J Book Items Cons.'!R$5:R$3360,'J Book Items Cons.'!S$5:S$3360,"[PARENT]",'J Book Items Cons.'!U$5:U$3360,"USN",'J Book Items Cons.'!W$5:W$3360,"Command Ships",'J Book Items Cons.'!R$5:R$3360,"&lt;&gt;")+SUMIFS('J Book Items Cons.'!N$5:N$3360,'J Book Items Cons.'!S$5:S$3360,"[PARENT]",'J Book Items Cons.'!U$5:U$3360,"USN",'J Book Items Cons.'!W$5:W$3360,"Command Ships",'J Book Items Cons.'!R$5:R$3360,"",'J Book Items Cons.'!N$5:N$3360,"&lt;&gt;")+SUMIFS('J Book Items Cons.'!L$5:L$3360,'J Book Items Cons.'!S$5:S$3360,"[PARENT]",'J Book Items Cons.'!U$5:U$3360,"USN",'J Book Items Cons.'!W$5:W$3360,"Command Ships",'J Book Items Cons.'!R$5:R$3360,"",'J Book Items Cons.'!N$5:N$3360,"")</f>
        <v>41448</v>
      </c>
      <c r="K16" s="29">
        <f>SUMIFS('J Book Items Cons.'!R$5:R$3360,'J Book Items Cons.'!S$5:S$3360,"",'J Book Items Cons.'!U$5:U$3360,"USN",'J Book Items Cons.'!W$5:W$3360,"Mine Warfare",'J Book Items Cons.'!R$5:R$3360,"&lt;&gt;")+SUMIFS('J Book Items Cons.'!N$5:N$3360,'J Book Items Cons.'!S$5:S$3360,"",'J Book Items Cons.'!U$5:U$3360,"USN",'J Book Items Cons.'!W$5:W$3360,"Mine Warfare",'J Book Items Cons.'!R$5:R$3360,"",'J Book Items Cons.'!N$5:N$3360,"&lt;&gt;")+SUMIFS('J Book Items Cons.'!L$5:L$3360,'J Book Items Cons.'!S$5:S$3360,"",'J Book Items Cons.'!U$5:U$3360,"USN",'J Book Items Cons.'!W$5:W$3360,"Mine Warfare",'J Book Items Cons.'!R$5:R$3360,"",'J Book Items Cons.'!N$5:N$3360,"")+SUMIFS('J Book Items Cons.'!R$5:R$3360,'J Book Items Cons.'!S$5:S$3360,"[PARENT]",'J Book Items Cons.'!U$5:U$3360,"USN",'J Book Items Cons.'!W$5:W$3360,"Mine Warfare",'J Book Items Cons.'!R$5:R$3360,"&lt;&gt;")+SUMIFS('J Book Items Cons.'!N$5:N$3360,'J Book Items Cons.'!S$5:S$3360,"[PARENT]",'J Book Items Cons.'!U$5:U$3360,"USN",'J Book Items Cons.'!W$5:W$3360,"Mine Warfare",'J Book Items Cons.'!R$5:R$3360,"",'J Book Items Cons.'!N$5:N$3360,"&lt;&gt;")+SUMIFS('J Book Items Cons.'!L$5:L$3360,'J Book Items Cons.'!S$5:S$3360,"[PARENT]",'J Book Items Cons.'!U$5:U$3360,"USN",'J Book Items Cons.'!W$5:W$3360,"Mine Warfare",'J Book Items Cons.'!R$5:R$3360,"",'J Book Items Cons.'!N$5:N$3360,"")</f>
        <v>24349</v>
      </c>
      <c r="L16" s="28">
        <f>SUMIFS('J Book Items Cons.'!R$5:R$3360,'J Book Items Cons.'!S$5:S$3360,"",'J Book Items Cons.'!U$5:U$3360,"USCG",'J Book Items Cons.'!W$5:W$3360,"Offshore Patrol Cutter",'J Book Items Cons.'!R$5:R$3360,"&lt;&gt;")+SUMIFS('J Book Items Cons.'!N$5:N$3360,'J Book Items Cons.'!S$5:S$3360,"",'J Book Items Cons.'!U$5:U$3360,"USCG",'J Book Items Cons.'!W$5:W$3360,"Offshore Patrol Cutter",'J Book Items Cons.'!R$5:R$3360,"",'J Book Items Cons.'!N$5:N$3360,"&lt;&gt;")+SUMIFS('J Book Items Cons.'!L$5:L$3360,'J Book Items Cons.'!S$5:S$3360,"",'J Book Items Cons.'!U$5:U$3360,"USCG",'J Book Items Cons.'!W$5:W$3360,"Offshore Patrol Cutter",'J Book Items Cons.'!R$5:R$3360,"",'J Book Items Cons.'!N$5:N$3360,"")+SUMIFS('J Book Items Cons.'!R$5:R$3360,'J Book Items Cons.'!S$5:S$3360,"[PARENT]",'J Book Items Cons.'!U$5:U$3360,"USCG",'J Book Items Cons.'!W$5:W$3360,"Offshore Patrol Cutter",'J Book Items Cons.'!R$5:R$3360,"&lt;&gt;")+SUMIFS('J Book Items Cons.'!N$5:N$3360,'J Book Items Cons.'!S$5:S$3360,"[PARENT]",'J Book Items Cons.'!U$5:U$3360,"USCG",'J Book Items Cons.'!W$5:W$3360,"Offshore Patrol Cutter",'J Book Items Cons.'!R$5:R$3360,"",'J Book Items Cons.'!N$5:N$3360,"&lt;&gt;")+SUMIFS('J Book Items Cons.'!L$5:L$3360,'J Book Items Cons.'!S$5:S$3360,"[PARENT]",'J Book Items Cons.'!U$5:U$3360,"USCG",'J Book Items Cons.'!W$5:W$3360,"Offshore Patrol Cutter",'J Book Items Cons.'!R$5:R$3360,"",'J Book Items Cons.'!N$5:N$3360,"")</f>
        <v>812400</v>
      </c>
      <c r="M16" s="16">
        <f>SUMIFS('J Book Items Cons.'!R$5:R$3360,'J Book Items Cons.'!S$5:S$3360,"",'J Book Items Cons.'!U$5:U$3360,"USCG",'J Book Items Cons.'!W$5:W$3360,"Fast Response Cutters",'J Book Items Cons.'!R$5:R$3360,"&lt;&gt;")+SUMIFS('J Book Items Cons.'!N$5:N$3360,'J Book Items Cons.'!S$5:S$3360,"",'J Book Items Cons.'!U$5:U$3360,"USCG",'J Book Items Cons.'!W$5:W$3360,"Fast Response Cutters",'J Book Items Cons.'!R$5:R$3360,"",'J Book Items Cons.'!N$5:N$3360,"&lt;&gt;")+SUMIFS('J Book Items Cons.'!L$5:L$3360,'J Book Items Cons.'!S$5:S$3360,"",'J Book Items Cons.'!U$5:U$3360,"USCG",'J Book Items Cons.'!W$5:W$3360,"Fast Response Cutters",'J Book Items Cons.'!R$5:R$3360,"",'J Book Items Cons.'!N$5:N$3360,"")+SUMIFS('J Book Items Cons.'!R$5:R$3360,'J Book Items Cons.'!S$5:S$3360,"[PARENT]",'J Book Items Cons.'!U$5:U$3360,"USCG",'J Book Items Cons.'!W$5:W$3360,"Fast Response Cutters",'J Book Items Cons.'!R$5:R$3360,"&lt;&gt;")+SUMIFS('J Book Items Cons.'!N$5:N$3360,'J Book Items Cons.'!S$5:S$3360,"[PARENT]",'J Book Items Cons.'!U$5:U$3360,"USCG",'J Book Items Cons.'!W$5:W$3360,"Fast Response Cutters",'J Book Items Cons.'!R$5:R$3360,"",'J Book Items Cons.'!N$5:N$3360,"&lt;&gt;")+SUMIFS('J Book Items Cons.'!L$5:L$3360,'J Book Items Cons.'!S$5:S$3360,"[PARENT]",'J Book Items Cons.'!U$5:U$3360,"USCG",'J Book Items Cons.'!W$5:W$3360,"Fast Response Cutters",'J Book Items Cons.'!R$5:R$3360,"",'J Book Items Cons.'!N$5:N$3360,"")</f>
        <v>216000</v>
      </c>
      <c r="N16" s="16">
        <f>SUMIFS('J Book Items Cons.'!R$5:R$3360,'J Book Items Cons.'!S$5:S$3360,"",'J Book Items Cons.'!U$5:U$3360,"USCG",'J Book Items Cons.'!W$5:W$3360,"Icebreakers, Oceangoing",'J Book Items Cons.'!R$5:R$3360,"&lt;&gt;")+SUMIFS('J Book Items Cons.'!N$5:N$3360,'J Book Items Cons.'!S$5:S$3360,"",'J Book Items Cons.'!U$5:U$3360,"USCG",'J Book Items Cons.'!W$5:W$3360,"Icebreakers, Oceangoing",'J Book Items Cons.'!R$5:R$3360,"",'J Book Items Cons.'!N$5:N$3360,"&lt;&gt;")+SUMIFS('J Book Items Cons.'!L$5:L$3360,'J Book Items Cons.'!S$5:S$3360,"",'J Book Items Cons.'!U$5:U$3360,"USCG",'J Book Items Cons.'!W$5:W$3360,"Icebreakers, Oceangoing",'J Book Items Cons.'!R$5:R$3360,"",'J Book Items Cons.'!N$5:N$3360,"")+SUMIFS('J Book Items Cons.'!R$5:R$3360,'J Book Items Cons.'!S$5:S$3360,"[PARENT]",'J Book Items Cons.'!U$5:U$3360,"USCG",'J Book Items Cons.'!W$5:W$3360,"Icebreakers, Oceangoing",'J Book Items Cons.'!R$5:R$3360,"&lt;&gt;")+SUMIFS('J Book Items Cons.'!N$5:N$3360,'J Book Items Cons.'!S$5:S$3360,"[PARENT]",'J Book Items Cons.'!U$5:U$3360,"USCG",'J Book Items Cons.'!W$5:W$3360,"Icebreakers, Oceangoing",'J Book Items Cons.'!R$5:R$3360,"",'J Book Items Cons.'!N$5:N$3360,"&lt;&gt;")+SUMIFS('J Book Items Cons.'!L$5:L$3360,'J Book Items Cons.'!S$5:S$3360,"[PARENT]",'J Book Items Cons.'!U$5:U$3360,"USCG",'J Book Items Cons.'!W$5:W$3360,"Icebreakers, Oceangoing",'J Book Items Cons.'!R$5:R$3360,"",'J Book Items Cons.'!N$5:N$3360,"")</f>
        <v>130000</v>
      </c>
      <c r="O16" s="16">
        <f>SUMIFS('J Book Items Cons.'!R$5:R$3360,'J Book Items Cons.'!S$5:S$3360,"",'J Book Items Cons.'!U$5:U$3360,"USCG",'J Book Items Cons.'!W$5:W$3360,"Waterways Commerce Cutters",'J Book Items Cons.'!R$5:R$3360,"&lt;&gt;")+SUMIFS('J Book Items Cons.'!N$5:N$3360,'J Book Items Cons.'!S$5:S$3360,"",'J Book Items Cons.'!U$5:U$3360,"USCG",'J Book Items Cons.'!W$5:W$3360,"Waterways Commerce Cutters",'J Book Items Cons.'!R$5:R$3360,"",'J Book Items Cons.'!N$5:N$3360,"&lt;&gt;")+SUMIFS('J Book Items Cons.'!L$5:L$3360,'J Book Items Cons.'!S$5:S$3360,"",'J Book Items Cons.'!U$5:U$3360,"USCG",'J Book Items Cons.'!W$5:W$3360,"Waterways Commerce Cutters",'J Book Items Cons.'!R$5:R$3360,"",'J Book Items Cons.'!N$5:N$3360,"")+SUMIFS('J Book Items Cons.'!R$5:R$3360,'J Book Items Cons.'!S$5:S$3360,"[PARENT]",'J Book Items Cons.'!U$5:U$3360,"USCG",'J Book Items Cons.'!W$5:W$3360,"Waterways Commerce Cutters",'J Book Items Cons.'!R$5:R$3360,"&lt;&gt;")+SUMIFS('J Book Items Cons.'!N$5:N$3360,'J Book Items Cons.'!S$5:S$3360,"[PARENT]",'J Book Items Cons.'!U$5:U$3360,"USCG",'J Book Items Cons.'!W$5:W$3360,"Waterways Commerce Cutters",'J Book Items Cons.'!R$5:R$3360,"",'J Book Items Cons.'!N$5:N$3360,"&lt;&gt;")+SUMIFS('J Book Items Cons.'!L$5:L$3360,'J Book Items Cons.'!S$5:S$3360,"[PARENT]",'J Book Items Cons.'!U$5:U$3360,"USCG",'J Book Items Cons.'!W$5:W$3360,"Waterways Commerce Cutters",'J Book Items Cons.'!R$5:R$3360,"",'J Book Items Cons.'!N$5:N$3360,"")</f>
        <v>98000</v>
      </c>
      <c r="P16" s="29">
        <f>SUMIFS('J Book Items Cons.'!R$5:R$3360,'J Book Items Cons.'!S$5:S$3360,"",'J Book Items Cons.'!U$5:U$3360,"USCG",'J Book Items Cons.'!W$5:W$3360,"National Security Cutters",'J Book Items Cons.'!R$5:R$3360,"&lt;&gt;")+SUMIFS('J Book Items Cons.'!N$5:N$3360,'J Book Items Cons.'!S$5:S$3360,"",'J Book Items Cons.'!U$5:U$3360,"USCG",'J Book Items Cons.'!W$5:W$3360,"National Security Cutters",'J Book Items Cons.'!R$5:R$3360,"",'J Book Items Cons.'!N$5:N$3360,"&lt;&gt;")+SUMIFS('J Book Items Cons.'!L$5:L$3360,'J Book Items Cons.'!S$5:S$3360,"",'J Book Items Cons.'!U$5:U$3360,"USCG",'J Book Items Cons.'!W$5:W$3360,"National Security Cutters",'J Book Items Cons.'!R$5:R$3360,"",'J Book Items Cons.'!N$5:N$3360,"")+SUMIFS('J Book Items Cons.'!R$5:R$3360,'J Book Items Cons.'!S$5:S$3360,"[PARENT]",'J Book Items Cons.'!U$5:U$3360,"USCG",'J Book Items Cons.'!W$5:W$3360,"National Security Cutters",'J Book Items Cons.'!R$5:R$3360,"&lt;&gt;")+SUMIFS('J Book Items Cons.'!N$5:N$3360,'J Book Items Cons.'!S$5:S$3360,"[PARENT]",'J Book Items Cons.'!U$5:U$3360,"USCG",'J Book Items Cons.'!W$5:W$3360,"National Security Cutters",'J Book Items Cons.'!R$5:R$3360,"",'J Book Items Cons.'!N$5:N$3360,"&lt;&gt;")+SUMIFS('J Book Items Cons.'!L$5:L$3360,'J Book Items Cons.'!S$5:S$3360,"[PARENT]",'J Book Items Cons.'!U$5:U$3360,"USCG",'J Book Items Cons.'!W$5:W$3360,"National Security Cutters",'J Book Items Cons.'!R$5:R$3360,"",'J Book Items Cons.'!N$5:N$3360,"")</f>
        <v>31000</v>
      </c>
      <c r="Q16" s="16">
        <f>SUM(B16:P16)</f>
        <v>26723282</v>
      </c>
    </row>
    <row r="17" spans="1:17" ht="9.75" customHeight="1" x14ac:dyDescent="0.15">
      <c r="A17" s="43"/>
      <c r="B17" s="43"/>
      <c r="C17" s="43"/>
      <c r="D17" s="43"/>
      <c r="E17" s="43"/>
      <c r="F17" s="43"/>
      <c r="G17" s="43"/>
      <c r="H17" s="43"/>
      <c r="I17" s="43"/>
      <c r="J17" s="43"/>
      <c r="K17" s="43"/>
      <c r="L17" s="43"/>
      <c r="M17" s="43"/>
      <c r="N17" s="43"/>
      <c r="O17" s="43"/>
      <c r="P17" s="43"/>
      <c r="Q17" s="43"/>
    </row>
    <row r="18" spans="1:17" ht="9.75" customHeight="1" x14ac:dyDescent="0.15">
      <c r="A18" s="43"/>
      <c r="B18" s="43"/>
      <c r="C18" s="43"/>
      <c r="D18" s="43"/>
      <c r="E18" s="43"/>
      <c r="F18" s="43"/>
      <c r="G18" s="43"/>
      <c r="H18" s="43"/>
      <c r="I18" s="43"/>
      <c r="J18" s="43"/>
      <c r="K18" s="43"/>
      <c r="L18" s="43"/>
      <c r="M18" s="43"/>
      <c r="N18" s="43"/>
      <c r="O18" s="43"/>
      <c r="P18" s="43"/>
      <c r="Q18" s="43"/>
    </row>
    <row r="19" spans="1:17" ht="9.75" customHeight="1" x14ac:dyDescent="0.15">
      <c r="A19" s="11" t="s">
        <v>8861</v>
      </c>
      <c r="B19" s="11"/>
      <c r="C19" s="11"/>
      <c r="D19" s="11"/>
      <c r="E19" s="11"/>
      <c r="F19" s="11"/>
      <c r="G19" s="11"/>
      <c r="H19" s="11"/>
      <c r="I19" s="11"/>
      <c r="J19" s="11"/>
      <c r="K19" s="11"/>
      <c r="L19" s="11"/>
      <c r="M19" s="11"/>
      <c r="N19" s="11"/>
      <c r="O19" s="11"/>
      <c r="P19" s="11"/>
      <c r="Q19" s="11"/>
    </row>
    <row r="20" spans="1:17" ht="9.75" customHeight="1" x14ac:dyDescent="0.15">
      <c r="A20" s="31"/>
      <c r="B20" s="32" t="s">
        <v>44</v>
      </c>
      <c r="C20" s="33"/>
      <c r="D20" s="33"/>
      <c r="E20" s="33"/>
      <c r="F20" s="33"/>
      <c r="G20" s="33"/>
      <c r="H20" s="33"/>
      <c r="I20" s="33"/>
      <c r="J20" s="33"/>
      <c r="K20" s="34"/>
      <c r="L20" s="32" t="s">
        <v>7086</v>
      </c>
      <c r="M20" s="33"/>
      <c r="N20" s="33"/>
      <c r="O20" s="33"/>
      <c r="P20" s="34"/>
      <c r="Q20" s="31"/>
    </row>
    <row r="21" spans="1:17" ht="9.75" customHeight="1" x14ac:dyDescent="0.15">
      <c r="A21" s="12" t="s">
        <v>8820</v>
      </c>
      <c r="B21" s="22" t="s">
        <v>130</v>
      </c>
      <c r="C21" s="12" t="s">
        <v>171</v>
      </c>
      <c r="D21" s="12" t="s">
        <v>211</v>
      </c>
      <c r="E21" s="12" t="s">
        <v>235</v>
      </c>
      <c r="F21" s="12" t="s">
        <v>5560</v>
      </c>
      <c r="G21" s="12" t="s">
        <v>282</v>
      </c>
      <c r="H21" s="12" t="s">
        <v>288</v>
      </c>
      <c r="I21" s="12" t="s">
        <v>249</v>
      </c>
      <c r="J21" s="12" t="s">
        <v>4977</v>
      </c>
      <c r="K21" s="23" t="s">
        <v>4779</v>
      </c>
      <c r="L21" s="22" t="s">
        <v>8649</v>
      </c>
      <c r="M21" s="12" t="s">
        <v>8657</v>
      </c>
      <c r="N21" s="12" t="s">
        <v>8668</v>
      </c>
      <c r="O21" s="12" t="s">
        <v>8682</v>
      </c>
      <c r="P21" s="23" t="s">
        <v>7088</v>
      </c>
      <c r="Q21" s="13" t="s">
        <v>8831</v>
      </c>
    </row>
    <row r="22" spans="1:17" ht="9.75" customHeight="1" x14ac:dyDescent="0.15">
      <c r="A22" s="7" t="s">
        <v>8822</v>
      </c>
      <c r="B22" s="37">
        <f t="shared" ref="B22:P22" si="3">IF(B25=0,0,1)</f>
        <v>1</v>
      </c>
      <c r="C22" s="38">
        <f t="shared" si="3"/>
        <v>1</v>
      </c>
      <c r="D22" s="38">
        <f t="shared" si="3"/>
        <v>1</v>
      </c>
      <c r="E22" s="38">
        <f t="shared" si="3"/>
        <v>1</v>
      </c>
      <c r="F22" s="38">
        <f t="shared" si="3"/>
        <v>1</v>
      </c>
      <c r="G22" s="38">
        <f t="shared" si="3"/>
        <v>1</v>
      </c>
      <c r="H22" s="38">
        <f t="shared" si="3"/>
        <v>1</v>
      </c>
      <c r="I22" s="38">
        <f t="shared" si="3"/>
        <v>1</v>
      </c>
      <c r="J22" s="38">
        <f t="shared" si="3"/>
        <v>0</v>
      </c>
      <c r="K22" s="39">
        <f t="shared" si="3"/>
        <v>0</v>
      </c>
      <c r="L22" s="37">
        <f t="shared" si="3"/>
        <v>1</v>
      </c>
      <c r="M22" s="38">
        <f t="shared" si="3"/>
        <v>1</v>
      </c>
      <c r="N22" s="38">
        <f t="shared" si="3"/>
        <v>1</v>
      </c>
      <c r="O22" s="38">
        <f t="shared" si="3"/>
        <v>1</v>
      </c>
      <c r="P22" s="39">
        <f t="shared" si="3"/>
        <v>0</v>
      </c>
      <c r="Q22" s="38">
        <f>IF(Q25=0,0,SUMPRODUCT(B22:P22,B$25:P$25)/Q$25)</f>
        <v>1</v>
      </c>
    </row>
    <row r="23" spans="1:17" ht="9.75" customHeight="1" x14ac:dyDescent="0.15">
      <c r="A23" s="4" t="s">
        <v>8849</v>
      </c>
      <c r="B23" s="37">
        <f>IF(B25=0,0,(SUMIFS('J Book Items Cons.'!R$5:R$3360,'J Book Items Cons.'!S$5:S$3360,"",'J Book Items Cons.'!E$5:E$3360,1,'J Book Items Cons.'!F$5:F$3360,"Full ship DD&amp;C",'J Book Items Cons.'!U$5:U$3360,"USN",'J Book Items Cons.'!W$5:W$3360,"Surface Combatants",'J Book Items Cons.'!R$5:R$3360,"&lt;&gt;")+SUMIFS('J Book Items Cons.'!N$5:N$3360,'J Book Items Cons.'!S$5:S$3360,"",'J Book Items Cons.'!E$5:E$3360,1,'J Book Items Cons.'!F$5:F$3360,"Full ship DD&amp;C",'J Book Items Cons.'!U$5:U$3360,"USN",'J Book Items Cons.'!W$5:W$3360,"Surface Combatants",'J Book Items Cons.'!R$5:R$3360,"",'J Book Items Cons.'!N$5:N$3360,"&lt;&gt;")+SUMIFS('J Book Items Cons.'!L$5:L$3360,'J Book Items Cons.'!S$5:S$3360,"",'J Book Items Cons.'!E$5:E$3360,1,'J Book Items Cons.'!F$5:F$3360,"Full ship DD&amp;C",'J Book Items Cons.'!U$5:U$3360,"USN",'J Book Items Cons.'!W$5:W$3360,"Surface Combatants",'J Book Items Cons.'!R$5:R$3360,"",'J Book Items Cons.'!N$5:N$3360,"")+SUMIFS('J Book Items Cons.'!R$5:R$3360,'J Book Items Cons.'!S$5:S$3360,"[PARENT]",'J Book Items Cons.'!E$5:E$3360,1,'J Book Items Cons.'!F$5:F$3360,"Full ship DD&amp;C",'J Book Items Cons.'!U$5:U$3360,"USN",'J Book Items Cons.'!W$5:W$3360,"Surface Combatants",'J Book Items Cons.'!R$5:R$3360,"&lt;&gt;")+SUMIFS('J Book Items Cons.'!N$5:N$3360,'J Book Items Cons.'!S$5:S$3360,"[PARENT]",'J Book Items Cons.'!E$5:E$3360,1,'J Book Items Cons.'!F$5:F$3360,"Full ship DD&amp;C",'J Book Items Cons.'!U$5:U$3360,"USN",'J Book Items Cons.'!W$5:W$3360,"Surface Combatants",'J Book Items Cons.'!R$5:R$3360,"",'J Book Items Cons.'!N$5:N$3360,"&lt;&gt;")+SUMIFS('J Book Items Cons.'!L$5:L$3360,'J Book Items Cons.'!S$5:S$3360,"[PARENT]",'J Book Items Cons.'!E$5:E$3360,1,'J Book Items Cons.'!F$5:F$3360,"Full ship DD&amp;C",'J Book Items Cons.'!U$5:U$3360,"USN",'J Book Items Cons.'!W$5:W$3360,"Surface Combatants",'J Book Items Cons.'!R$5:R$3360,"",'J Book Items Cons.'!N$5:N$3360,""))/B25)</f>
        <v>0.7652623407958894</v>
      </c>
      <c r="C23" s="38">
        <f>IF(C25=0,0,(SUMIFS('J Book Items Cons.'!R$5:R$3360,'J Book Items Cons.'!S$5:S$3360,"",'J Book Items Cons.'!E$5:E$3360,1,'J Book Items Cons.'!F$5:F$3360,"Full ship DD&amp;C",'J Book Items Cons.'!U$5:U$3360,"USN",'J Book Items Cons.'!W$5:W$3360,"Amphibious Warfare Ships",'J Book Items Cons.'!R$5:R$3360,"&lt;&gt;")+SUMIFS('J Book Items Cons.'!N$5:N$3360,'J Book Items Cons.'!S$5:S$3360,"",'J Book Items Cons.'!E$5:E$3360,1,'J Book Items Cons.'!F$5:F$3360,"Full ship DD&amp;C",'J Book Items Cons.'!U$5:U$3360,"USN",'J Book Items Cons.'!W$5:W$3360,"Amphibious Warfare Ships",'J Book Items Cons.'!R$5:R$3360,"",'J Book Items Cons.'!N$5:N$3360,"&lt;&gt;")+SUMIFS('J Book Items Cons.'!L$5:L$3360,'J Book Items Cons.'!S$5:S$3360,"",'J Book Items Cons.'!E$5:E$3360,1,'J Book Items Cons.'!F$5:F$3360,"Full ship DD&amp;C",'J Book Items Cons.'!U$5:U$3360,"USN",'J Book Items Cons.'!W$5:W$3360,"Amphibious Warfare Ships",'J Book Items Cons.'!R$5:R$3360,"",'J Book Items Cons.'!N$5:N$3360,"")+SUMIFS('J Book Items Cons.'!R$5:R$3360,'J Book Items Cons.'!S$5:S$3360,"[PARENT]",'J Book Items Cons.'!E$5:E$3360,1,'J Book Items Cons.'!F$5:F$3360,"Full ship DD&amp;C",'J Book Items Cons.'!U$5:U$3360,"USN",'J Book Items Cons.'!W$5:W$3360,"Amphibious Warfare Ships",'J Book Items Cons.'!R$5:R$3360,"&lt;&gt;")+SUMIFS('J Book Items Cons.'!N$5:N$3360,'J Book Items Cons.'!S$5:S$3360,"[PARENT]",'J Book Items Cons.'!E$5:E$3360,1,'J Book Items Cons.'!F$5:F$3360,"Full ship DD&amp;C",'J Book Items Cons.'!U$5:U$3360,"USN",'J Book Items Cons.'!W$5:W$3360,"Amphibious Warfare Ships",'J Book Items Cons.'!R$5:R$3360,"",'J Book Items Cons.'!N$5:N$3360,"&lt;&gt;")+SUMIFS('J Book Items Cons.'!L$5:L$3360,'J Book Items Cons.'!S$5:S$3360,"[PARENT]",'J Book Items Cons.'!E$5:E$3360,1,'J Book Items Cons.'!F$5:F$3360,"Full ship DD&amp;C",'J Book Items Cons.'!U$5:U$3360,"USN",'J Book Items Cons.'!W$5:W$3360,"Amphibious Warfare Ships",'J Book Items Cons.'!R$5:R$3360,"",'J Book Items Cons.'!N$5:N$3360,""))/C25)</f>
        <v>0.84240687679083093</v>
      </c>
      <c r="D23" s="38">
        <f>IF(D25=0,0,(SUMIFS('J Book Items Cons.'!R$5:R$3360,'J Book Items Cons.'!S$5:S$3360,"",'J Book Items Cons.'!E$5:E$3360,1,'J Book Items Cons.'!F$5:F$3360,"Full ship DD&amp;C",'J Book Items Cons.'!U$5:U$3360,"USN",'J Book Items Cons.'!W$5:W$3360,"Expeditionary &amp; Seabasing Ships",'J Book Items Cons.'!R$5:R$3360,"&lt;&gt;")+SUMIFS('J Book Items Cons.'!N$5:N$3360,'J Book Items Cons.'!S$5:S$3360,"",'J Book Items Cons.'!E$5:E$3360,1,'J Book Items Cons.'!F$5:F$3360,"Full ship DD&amp;C",'J Book Items Cons.'!U$5:U$3360,"USN",'J Book Items Cons.'!W$5:W$3360,"Expeditionary &amp; Seabasing Ships",'J Book Items Cons.'!R$5:R$3360,"",'J Book Items Cons.'!N$5:N$3360,"&lt;&gt;")+SUMIFS('J Book Items Cons.'!L$5:L$3360,'J Book Items Cons.'!S$5:S$3360,"",'J Book Items Cons.'!E$5:E$3360,1,'J Book Items Cons.'!F$5:F$3360,"Full ship DD&amp;C",'J Book Items Cons.'!U$5:U$3360,"USN",'J Book Items Cons.'!W$5:W$3360,"Expeditionary &amp; Seabasing Ships",'J Book Items Cons.'!R$5:R$3360,"",'J Book Items Cons.'!N$5:N$3360,"")+SUMIFS('J Book Items Cons.'!R$5:R$3360,'J Book Items Cons.'!S$5:S$3360,"[PARENT]",'J Book Items Cons.'!E$5:E$3360,1,'J Book Items Cons.'!F$5:F$3360,"Full ship DD&amp;C",'J Book Items Cons.'!U$5:U$3360,"USN",'J Book Items Cons.'!W$5:W$3360,"Expeditionary &amp; Seabasing Ships",'J Book Items Cons.'!R$5:R$3360,"&lt;&gt;")+SUMIFS('J Book Items Cons.'!N$5:N$3360,'J Book Items Cons.'!S$5:S$3360,"[PARENT]",'J Book Items Cons.'!E$5:E$3360,1,'J Book Items Cons.'!F$5:F$3360,"Full ship DD&amp;C",'J Book Items Cons.'!U$5:U$3360,"USN",'J Book Items Cons.'!W$5:W$3360,"Expeditionary &amp; Seabasing Ships",'J Book Items Cons.'!R$5:R$3360,"",'J Book Items Cons.'!N$5:N$3360,"&lt;&gt;")+SUMIFS('J Book Items Cons.'!L$5:L$3360,'J Book Items Cons.'!S$5:S$3360,"[PARENT]",'J Book Items Cons.'!E$5:E$3360,1,'J Book Items Cons.'!F$5:F$3360,"Full ship DD&amp;C",'J Book Items Cons.'!U$5:U$3360,"USN",'J Book Items Cons.'!W$5:W$3360,"Expeditionary &amp; Seabasing Ships",'J Book Items Cons.'!R$5:R$3360,"",'J Book Items Cons.'!N$5:N$3360,""))/D25)</f>
        <v>1</v>
      </c>
      <c r="E23" s="38">
        <f>IF(E25=0,0,(SUMIFS('J Book Items Cons.'!R$5:R$3360,'J Book Items Cons.'!S$5:S$3360,"",'J Book Items Cons.'!E$5:E$3360,1,'J Book Items Cons.'!F$5:F$3360,"Full ship DD&amp;C",'J Book Items Cons.'!U$5:U$3360,"MSC",'J Book Items Cons.'!W$5:W$3360,"Combat Logistics Ships",'J Book Items Cons.'!R$5:R$3360,"&lt;&gt;")+SUMIFS('J Book Items Cons.'!N$5:N$3360,'J Book Items Cons.'!S$5:S$3360,"",'J Book Items Cons.'!E$5:E$3360,1,'J Book Items Cons.'!F$5:F$3360,"Full ship DD&amp;C",'J Book Items Cons.'!U$5:U$3360,"MSC",'J Book Items Cons.'!W$5:W$3360,"Combat Logistics Ships",'J Book Items Cons.'!R$5:R$3360,"",'J Book Items Cons.'!N$5:N$3360,"&lt;&gt;")+SUMIFS('J Book Items Cons.'!L$5:L$3360,'J Book Items Cons.'!S$5:S$3360,"",'J Book Items Cons.'!E$5:E$3360,1,'J Book Items Cons.'!F$5:F$3360,"Full ship DD&amp;C",'J Book Items Cons.'!U$5:U$3360,"MSC",'J Book Items Cons.'!W$5:W$3360,"Combat Logistics Ships",'J Book Items Cons.'!R$5:R$3360,"",'J Book Items Cons.'!N$5:N$3360,"")+SUMIFS('J Book Items Cons.'!R$5:R$3360,'J Book Items Cons.'!S$5:S$3360,"[PARENT]",'J Book Items Cons.'!E$5:E$3360,1,'J Book Items Cons.'!F$5:F$3360,"Full ship DD&amp;C",'J Book Items Cons.'!U$5:U$3360,"MSC",'J Book Items Cons.'!W$5:W$3360,"Combat Logistics Ships",'J Book Items Cons.'!R$5:R$3360,"&lt;&gt;")+SUMIFS('J Book Items Cons.'!N$5:N$3360,'J Book Items Cons.'!S$5:S$3360,"[PARENT]",'J Book Items Cons.'!E$5:E$3360,1,'J Book Items Cons.'!F$5:F$3360,"Full ship DD&amp;C",'J Book Items Cons.'!U$5:U$3360,"MSC",'J Book Items Cons.'!W$5:W$3360,"Combat Logistics Ships",'J Book Items Cons.'!R$5:R$3360,"",'J Book Items Cons.'!N$5:N$3360,"&lt;&gt;")+SUMIFS('J Book Items Cons.'!L$5:L$3360,'J Book Items Cons.'!S$5:S$3360,"[PARENT]",'J Book Items Cons.'!E$5:E$3360,1,'J Book Items Cons.'!F$5:F$3360,"Full ship DD&amp;C",'J Book Items Cons.'!U$5:U$3360,"MSC",'J Book Items Cons.'!W$5:W$3360,"Combat Logistics Ships",'J Book Items Cons.'!R$5:R$3360,"",'J Book Items Cons.'!N$5:N$3360,""))/E25)</f>
        <v>1</v>
      </c>
      <c r="F23" s="38">
        <f>IF(F25=0,0,(SUMIFS('J Book Items Cons.'!R$5:R$3360,'J Book Items Cons.'!S$5:S$3360,"",'J Book Items Cons.'!E$5:E$3360,1,'J Book Items Cons.'!F$5:F$3360,"Full ship DD&amp;C",'J Book Items Cons.'!U$5:U$3360,"USN",'J Book Items Cons.'!W$5:W$3360,"Unmanned Surface Vehicles",'J Book Items Cons.'!R$5:R$3360,"&lt;&gt;")+SUMIFS('J Book Items Cons.'!N$5:N$3360,'J Book Items Cons.'!S$5:S$3360,"",'J Book Items Cons.'!E$5:E$3360,1,'J Book Items Cons.'!F$5:F$3360,"Full ship DD&amp;C",'J Book Items Cons.'!U$5:U$3360,"USN",'J Book Items Cons.'!W$5:W$3360,"Unmanned Surface Vehicles",'J Book Items Cons.'!R$5:R$3360,"",'J Book Items Cons.'!N$5:N$3360,"&lt;&gt;")+SUMIFS('J Book Items Cons.'!L$5:L$3360,'J Book Items Cons.'!S$5:S$3360,"",'J Book Items Cons.'!E$5:E$3360,1,'J Book Items Cons.'!F$5:F$3360,"Full ship DD&amp;C",'J Book Items Cons.'!U$5:U$3360,"USN",'J Book Items Cons.'!W$5:W$3360,"Unmanned Surface Vehicles",'J Book Items Cons.'!R$5:R$3360,"",'J Book Items Cons.'!N$5:N$3360,"")+SUMIFS('J Book Items Cons.'!R$5:R$3360,'J Book Items Cons.'!S$5:S$3360,"[PARENT]",'J Book Items Cons.'!E$5:E$3360,1,'J Book Items Cons.'!F$5:F$3360,"Full ship DD&amp;C",'J Book Items Cons.'!U$5:U$3360,"USN",'J Book Items Cons.'!W$5:W$3360,"Unmanned Surface Vehicles",'J Book Items Cons.'!R$5:R$3360,"&lt;&gt;")+SUMIFS('J Book Items Cons.'!N$5:N$3360,'J Book Items Cons.'!S$5:S$3360,"[PARENT]",'J Book Items Cons.'!E$5:E$3360,1,'J Book Items Cons.'!F$5:F$3360,"Full ship DD&amp;C",'J Book Items Cons.'!U$5:U$3360,"USN",'J Book Items Cons.'!W$5:W$3360,"Unmanned Surface Vehicles",'J Book Items Cons.'!R$5:R$3360,"",'J Book Items Cons.'!N$5:N$3360,"&lt;&gt;")+SUMIFS('J Book Items Cons.'!L$5:L$3360,'J Book Items Cons.'!S$5:S$3360,"[PARENT]",'J Book Items Cons.'!E$5:E$3360,1,'J Book Items Cons.'!F$5:F$3360,"Full ship DD&amp;C",'J Book Items Cons.'!U$5:U$3360,"USN",'J Book Items Cons.'!W$5:W$3360,"Unmanned Surface Vehicles",'J Book Items Cons.'!R$5:R$3360,"",'J Book Items Cons.'!N$5:N$3360,""))/F25)</f>
        <v>0</v>
      </c>
      <c r="G23" s="38">
        <f>IF(G25=0,0,(SUMIFS('J Book Items Cons.'!R$5:R$3360,'J Book Items Cons.'!S$5:S$3360,"",'J Book Items Cons.'!E$5:E$3360,1,'J Book Items Cons.'!F$5:F$3360,"Full ship DD&amp;C",'J Book Items Cons.'!U$5:U$3360,"USN",'J Book Items Cons.'!W$5:W$3360,"Amphibious Warfare Craft",'J Book Items Cons.'!R$5:R$3360,"&lt;&gt;")+SUMIFS('J Book Items Cons.'!N$5:N$3360,'J Book Items Cons.'!S$5:S$3360,"",'J Book Items Cons.'!E$5:E$3360,1,'J Book Items Cons.'!F$5:F$3360,"Full ship DD&amp;C",'J Book Items Cons.'!U$5:U$3360,"USN",'J Book Items Cons.'!W$5:W$3360,"Amphibious Warfare Craft",'J Book Items Cons.'!R$5:R$3360,"",'J Book Items Cons.'!N$5:N$3360,"&lt;&gt;")+SUMIFS('J Book Items Cons.'!L$5:L$3360,'J Book Items Cons.'!S$5:S$3360,"",'J Book Items Cons.'!E$5:E$3360,1,'J Book Items Cons.'!F$5:F$3360,"Full ship DD&amp;C",'J Book Items Cons.'!U$5:U$3360,"USN",'J Book Items Cons.'!W$5:W$3360,"Amphibious Warfare Craft",'J Book Items Cons.'!R$5:R$3360,"",'J Book Items Cons.'!N$5:N$3360,"")+SUMIFS('J Book Items Cons.'!R$5:R$3360,'J Book Items Cons.'!S$5:S$3360,"[PARENT]",'J Book Items Cons.'!E$5:E$3360,1,'J Book Items Cons.'!F$5:F$3360,"Full ship DD&amp;C",'J Book Items Cons.'!U$5:U$3360,"USN",'J Book Items Cons.'!W$5:W$3360,"Amphibious Warfare Craft",'J Book Items Cons.'!R$5:R$3360,"&lt;&gt;")+SUMIFS('J Book Items Cons.'!N$5:N$3360,'J Book Items Cons.'!S$5:S$3360,"[PARENT]",'J Book Items Cons.'!E$5:E$3360,1,'J Book Items Cons.'!F$5:F$3360,"Full ship DD&amp;C",'J Book Items Cons.'!U$5:U$3360,"USN",'J Book Items Cons.'!W$5:W$3360,"Amphibious Warfare Craft",'J Book Items Cons.'!R$5:R$3360,"",'J Book Items Cons.'!N$5:N$3360,"&lt;&gt;")+SUMIFS('J Book Items Cons.'!L$5:L$3360,'J Book Items Cons.'!S$5:S$3360,"[PARENT]",'J Book Items Cons.'!E$5:E$3360,1,'J Book Items Cons.'!F$5:F$3360,"Full ship DD&amp;C",'J Book Items Cons.'!U$5:U$3360,"USN",'J Book Items Cons.'!W$5:W$3360,"Amphibious Warfare Craft",'J Book Items Cons.'!R$5:R$3360,"",'J Book Items Cons.'!N$5:N$3360,""))/G25)</f>
        <v>1</v>
      </c>
      <c r="H23" s="38">
        <f>IF(H25=0,0,(SUMIFS('J Book Items Cons.'!R$5:R$3360,'J Book Items Cons.'!S$5:S$3360,"",'J Book Items Cons.'!E$5:E$3360,1,'J Book Items Cons.'!F$5:F$3360,"Full ship DD&amp;C",'J Book Items Cons.'!U$5:U$3360,"MSC",'J Book Items Cons.'!W$5:W$3360,"Cargo &amp; Vehicle Cargo Ships",'J Book Items Cons.'!R$5:R$3360,"&lt;&gt;")+SUMIFS('J Book Items Cons.'!N$5:N$3360,'J Book Items Cons.'!S$5:S$3360,"",'J Book Items Cons.'!E$5:E$3360,1,'J Book Items Cons.'!F$5:F$3360,"Full ship DD&amp;C",'J Book Items Cons.'!U$5:U$3360,"MSC",'J Book Items Cons.'!W$5:W$3360,"Cargo &amp; Vehicle Cargo Ships",'J Book Items Cons.'!R$5:R$3360,"",'J Book Items Cons.'!N$5:N$3360,"&lt;&gt;")+SUMIFS('J Book Items Cons.'!L$5:L$3360,'J Book Items Cons.'!S$5:S$3360,"",'J Book Items Cons.'!E$5:E$3360,1,'J Book Items Cons.'!F$5:F$3360,"Full ship DD&amp;C",'J Book Items Cons.'!U$5:U$3360,"MSC",'J Book Items Cons.'!W$5:W$3360,"Cargo &amp; Vehicle Cargo Ships",'J Book Items Cons.'!R$5:R$3360,"",'J Book Items Cons.'!N$5:N$3360,"")+SUMIFS('J Book Items Cons.'!R$5:R$3360,'J Book Items Cons.'!S$5:S$3360,"[PARENT]",'J Book Items Cons.'!E$5:E$3360,1,'J Book Items Cons.'!F$5:F$3360,"Full ship DD&amp;C",'J Book Items Cons.'!U$5:U$3360,"MSC",'J Book Items Cons.'!W$5:W$3360,"Cargo &amp; Vehicle Cargo Ships",'J Book Items Cons.'!R$5:R$3360,"&lt;&gt;")+SUMIFS('J Book Items Cons.'!N$5:N$3360,'J Book Items Cons.'!S$5:S$3360,"[PARENT]",'J Book Items Cons.'!E$5:E$3360,1,'J Book Items Cons.'!F$5:F$3360,"Full ship DD&amp;C",'J Book Items Cons.'!U$5:U$3360,"MSC",'J Book Items Cons.'!W$5:W$3360,"Cargo &amp; Vehicle Cargo Ships",'J Book Items Cons.'!R$5:R$3360,"",'J Book Items Cons.'!N$5:N$3360,"&lt;&gt;")+SUMIFS('J Book Items Cons.'!L$5:L$3360,'J Book Items Cons.'!S$5:S$3360,"[PARENT]",'J Book Items Cons.'!E$5:E$3360,1,'J Book Items Cons.'!F$5:F$3360,"Full ship DD&amp;C",'J Book Items Cons.'!U$5:U$3360,"MSC",'J Book Items Cons.'!W$5:W$3360,"Cargo &amp; Vehicle Cargo Ships",'J Book Items Cons.'!R$5:R$3360,"",'J Book Items Cons.'!N$5:N$3360,""))/H25)</f>
        <v>1</v>
      </c>
      <c r="I23" s="38">
        <f>IF(I25=0,0,(SUMIFS('J Book Items Cons.'!R$5:R$3360,'J Book Items Cons.'!S$5:S$3360,"",'J Book Items Cons.'!E$5:E$3360,1,'J Book Items Cons.'!F$5:F$3360,"Full ship DD&amp;C",'J Book Items Cons.'!U$5:U$3360,"MSC",'J Book Items Cons.'!W$5:W$3360,"Surveillance Ships",'J Book Items Cons.'!R$5:R$3360,"&lt;&gt;")+SUMIFS('J Book Items Cons.'!N$5:N$3360,'J Book Items Cons.'!S$5:S$3360,"",'J Book Items Cons.'!E$5:E$3360,1,'J Book Items Cons.'!F$5:F$3360,"Full ship DD&amp;C",'J Book Items Cons.'!U$5:U$3360,"MSC",'J Book Items Cons.'!W$5:W$3360,"Surveillance Ships",'J Book Items Cons.'!R$5:R$3360,"",'J Book Items Cons.'!N$5:N$3360,"&lt;&gt;")+SUMIFS('J Book Items Cons.'!L$5:L$3360,'J Book Items Cons.'!S$5:S$3360,"",'J Book Items Cons.'!E$5:E$3360,1,'J Book Items Cons.'!F$5:F$3360,"Full ship DD&amp;C",'J Book Items Cons.'!U$5:U$3360,"MSC",'J Book Items Cons.'!W$5:W$3360,"Surveillance Ships",'J Book Items Cons.'!R$5:R$3360,"",'J Book Items Cons.'!N$5:N$3360,"")+SUMIFS('J Book Items Cons.'!R$5:R$3360,'J Book Items Cons.'!S$5:S$3360,"[PARENT]",'J Book Items Cons.'!E$5:E$3360,1,'J Book Items Cons.'!F$5:F$3360,"Full ship DD&amp;C",'J Book Items Cons.'!U$5:U$3360,"MSC",'J Book Items Cons.'!W$5:W$3360,"Surveillance Ships",'J Book Items Cons.'!R$5:R$3360,"&lt;&gt;")+SUMIFS('J Book Items Cons.'!N$5:N$3360,'J Book Items Cons.'!S$5:S$3360,"[PARENT]",'J Book Items Cons.'!E$5:E$3360,1,'J Book Items Cons.'!F$5:F$3360,"Full ship DD&amp;C",'J Book Items Cons.'!U$5:U$3360,"MSC",'J Book Items Cons.'!W$5:W$3360,"Surveillance Ships",'J Book Items Cons.'!R$5:R$3360,"",'J Book Items Cons.'!N$5:N$3360,"&lt;&gt;")+SUMIFS('J Book Items Cons.'!L$5:L$3360,'J Book Items Cons.'!S$5:S$3360,"[PARENT]",'J Book Items Cons.'!E$5:E$3360,1,'J Book Items Cons.'!F$5:F$3360,"Full ship DD&amp;C",'J Book Items Cons.'!U$5:U$3360,"MSC",'J Book Items Cons.'!W$5:W$3360,"Surveillance Ships",'J Book Items Cons.'!R$5:R$3360,"",'J Book Items Cons.'!N$5:N$3360,""))/I25)</f>
        <v>1</v>
      </c>
      <c r="J23" s="38">
        <f>IF(J25=0,0,(SUMIFS('J Book Items Cons.'!R$5:R$3360,'J Book Items Cons.'!S$5:S$3360,"",'J Book Items Cons.'!E$5:E$3360,1,'J Book Items Cons.'!F$5:F$3360,"Full ship DD&amp;C",'J Book Items Cons.'!U$5:U$3360,"USN",'J Book Items Cons.'!W$5:W$3360,"Command Ships",'J Book Items Cons.'!R$5:R$3360,"&lt;&gt;")+SUMIFS('J Book Items Cons.'!N$5:N$3360,'J Book Items Cons.'!S$5:S$3360,"",'J Book Items Cons.'!E$5:E$3360,1,'J Book Items Cons.'!F$5:F$3360,"Full ship DD&amp;C",'J Book Items Cons.'!U$5:U$3360,"USN",'J Book Items Cons.'!W$5:W$3360,"Command Ships",'J Book Items Cons.'!R$5:R$3360,"",'J Book Items Cons.'!N$5:N$3360,"&lt;&gt;")+SUMIFS('J Book Items Cons.'!L$5:L$3360,'J Book Items Cons.'!S$5:S$3360,"",'J Book Items Cons.'!E$5:E$3360,1,'J Book Items Cons.'!F$5:F$3360,"Full ship DD&amp;C",'J Book Items Cons.'!U$5:U$3360,"USN",'J Book Items Cons.'!W$5:W$3360,"Command Ships",'J Book Items Cons.'!R$5:R$3360,"",'J Book Items Cons.'!N$5:N$3360,"")+SUMIFS('J Book Items Cons.'!R$5:R$3360,'J Book Items Cons.'!S$5:S$3360,"[PARENT]",'J Book Items Cons.'!E$5:E$3360,1,'J Book Items Cons.'!F$5:F$3360,"Full ship DD&amp;C",'J Book Items Cons.'!U$5:U$3360,"USN",'J Book Items Cons.'!W$5:W$3360,"Command Ships",'J Book Items Cons.'!R$5:R$3360,"&lt;&gt;")+SUMIFS('J Book Items Cons.'!N$5:N$3360,'J Book Items Cons.'!S$5:S$3360,"[PARENT]",'J Book Items Cons.'!E$5:E$3360,1,'J Book Items Cons.'!F$5:F$3360,"Full ship DD&amp;C",'J Book Items Cons.'!U$5:U$3360,"USN",'J Book Items Cons.'!W$5:W$3360,"Command Ships",'J Book Items Cons.'!R$5:R$3360,"",'J Book Items Cons.'!N$5:N$3360,"&lt;&gt;")+SUMIFS('J Book Items Cons.'!L$5:L$3360,'J Book Items Cons.'!S$5:S$3360,"[PARENT]",'J Book Items Cons.'!E$5:E$3360,1,'J Book Items Cons.'!F$5:F$3360,"Full ship DD&amp;C",'J Book Items Cons.'!U$5:U$3360,"USN",'J Book Items Cons.'!W$5:W$3360,"Command Ships",'J Book Items Cons.'!R$5:R$3360,"",'J Book Items Cons.'!N$5:N$3360,""))/J25)</f>
        <v>0</v>
      </c>
      <c r="K23" s="39">
        <f>IF(K25=0,0,(SUMIFS('J Book Items Cons.'!R$5:R$3360,'J Book Items Cons.'!S$5:S$3360,"",'J Book Items Cons.'!E$5:E$3360,1,'J Book Items Cons.'!F$5:F$3360,"Full ship DD&amp;C",'J Book Items Cons.'!U$5:U$3360,"USN",'J Book Items Cons.'!W$5:W$3360,"Mine Warfare",'J Book Items Cons.'!R$5:R$3360,"&lt;&gt;")+SUMIFS('J Book Items Cons.'!N$5:N$3360,'J Book Items Cons.'!S$5:S$3360,"",'J Book Items Cons.'!E$5:E$3360,1,'J Book Items Cons.'!F$5:F$3360,"Full ship DD&amp;C",'J Book Items Cons.'!U$5:U$3360,"USN",'J Book Items Cons.'!W$5:W$3360,"Mine Warfare",'J Book Items Cons.'!R$5:R$3360,"",'J Book Items Cons.'!N$5:N$3360,"&lt;&gt;")+SUMIFS('J Book Items Cons.'!L$5:L$3360,'J Book Items Cons.'!S$5:S$3360,"",'J Book Items Cons.'!E$5:E$3360,1,'J Book Items Cons.'!F$5:F$3360,"Full ship DD&amp;C",'J Book Items Cons.'!U$5:U$3360,"USN",'J Book Items Cons.'!W$5:W$3360,"Mine Warfare",'J Book Items Cons.'!R$5:R$3360,"",'J Book Items Cons.'!N$5:N$3360,"")+SUMIFS('J Book Items Cons.'!R$5:R$3360,'J Book Items Cons.'!S$5:S$3360,"[PARENT]",'J Book Items Cons.'!E$5:E$3360,1,'J Book Items Cons.'!F$5:F$3360,"Full ship DD&amp;C",'J Book Items Cons.'!U$5:U$3360,"USN",'J Book Items Cons.'!W$5:W$3360,"Mine Warfare",'J Book Items Cons.'!R$5:R$3360,"&lt;&gt;")+SUMIFS('J Book Items Cons.'!N$5:N$3360,'J Book Items Cons.'!S$5:S$3360,"[PARENT]",'J Book Items Cons.'!E$5:E$3360,1,'J Book Items Cons.'!F$5:F$3360,"Full ship DD&amp;C",'J Book Items Cons.'!U$5:U$3360,"USN",'J Book Items Cons.'!W$5:W$3360,"Mine Warfare",'J Book Items Cons.'!R$5:R$3360,"",'J Book Items Cons.'!N$5:N$3360,"&lt;&gt;")+SUMIFS('J Book Items Cons.'!L$5:L$3360,'J Book Items Cons.'!S$5:S$3360,"[PARENT]",'J Book Items Cons.'!E$5:E$3360,1,'J Book Items Cons.'!F$5:F$3360,"Full ship DD&amp;C",'J Book Items Cons.'!U$5:U$3360,"USN",'J Book Items Cons.'!W$5:W$3360,"Mine Warfare",'J Book Items Cons.'!R$5:R$3360,"",'J Book Items Cons.'!N$5:N$3360,""))/K25)</f>
        <v>0</v>
      </c>
      <c r="L23" s="37">
        <f>IF(L25=0,0,(SUMIFS('J Book Items Cons.'!R$5:R$3360,'J Book Items Cons.'!S$5:S$3360,"",'J Book Items Cons.'!E$5:E$3360,1,'J Book Items Cons.'!F$5:F$3360,"Full ship DD&amp;C",'J Book Items Cons.'!U$5:U$3360,"USCG",'J Book Items Cons.'!W$5:W$3360,"Offshore Patrol Cutter",'J Book Items Cons.'!R$5:R$3360,"&lt;&gt;")+SUMIFS('J Book Items Cons.'!N$5:N$3360,'J Book Items Cons.'!S$5:S$3360,"",'J Book Items Cons.'!E$5:E$3360,1,'J Book Items Cons.'!F$5:F$3360,"Full ship DD&amp;C",'J Book Items Cons.'!U$5:U$3360,"USCG",'J Book Items Cons.'!W$5:W$3360,"Offshore Patrol Cutter",'J Book Items Cons.'!R$5:R$3360,"",'J Book Items Cons.'!N$5:N$3360,"&lt;&gt;")+SUMIFS('J Book Items Cons.'!L$5:L$3360,'J Book Items Cons.'!S$5:S$3360,"",'J Book Items Cons.'!E$5:E$3360,1,'J Book Items Cons.'!F$5:F$3360,"Full ship DD&amp;C",'J Book Items Cons.'!U$5:U$3360,"USCG",'J Book Items Cons.'!W$5:W$3360,"Offshore Patrol Cutter",'J Book Items Cons.'!R$5:R$3360,"",'J Book Items Cons.'!N$5:N$3360,"")+SUMIFS('J Book Items Cons.'!R$5:R$3360,'J Book Items Cons.'!S$5:S$3360,"[PARENT]",'J Book Items Cons.'!E$5:E$3360,1,'J Book Items Cons.'!F$5:F$3360,"Full ship DD&amp;C",'J Book Items Cons.'!U$5:U$3360,"USCG",'J Book Items Cons.'!W$5:W$3360,"Offshore Patrol Cutter",'J Book Items Cons.'!R$5:R$3360,"&lt;&gt;")+SUMIFS('J Book Items Cons.'!N$5:N$3360,'J Book Items Cons.'!S$5:S$3360,"[PARENT]",'J Book Items Cons.'!E$5:E$3360,1,'J Book Items Cons.'!F$5:F$3360,"Full ship DD&amp;C",'J Book Items Cons.'!U$5:U$3360,"USCG",'J Book Items Cons.'!W$5:W$3360,"Offshore Patrol Cutter",'J Book Items Cons.'!R$5:R$3360,"",'J Book Items Cons.'!N$5:N$3360,"&lt;&gt;")+SUMIFS('J Book Items Cons.'!L$5:L$3360,'J Book Items Cons.'!S$5:S$3360,"[PARENT]",'J Book Items Cons.'!E$5:E$3360,1,'J Book Items Cons.'!F$5:F$3360,"Full ship DD&amp;C",'J Book Items Cons.'!U$5:U$3360,"USCG",'J Book Items Cons.'!W$5:W$3360,"Offshore Patrol Cutter",'J Book Items Cons.'!R$5:R$3360,"",'J Book Items Cons.'!N$5:N$3360,""))/L25)</f>
        <v>0</v>
      </c>
      <c r="M23" s="38">
        <f>IF(M25=0,0,(SUMIFS('J Book Items Cons.'!R$5:R$3360,'J Book Items Cons.'!S$5:S$3360,"",'J Book Items Cons.'!E$5:E$3360,1,'J Book Items Cons.'!F$5:F$3360,"Full ship DD&amp;C",'J Book Items Cons.'!U$5:U$3360,"USCG",'J Book Items Cons.'!W$5:W$3360,"Fast Response Cutters",'J Book Items Cons.'!R$5:R$3360,"&lt;&gt;")+SUMIFS('J Book Items Cons.'!N$5:N$3360,'J Book Items Cons.'!S$5:S$3360,"",'J Book Items Cons.'!E$5:E$3360,1,'J Book Items Cons.'!F$5:F$3360,"Full ship DD&amp;C",'J Book Items Cons.'!U$5:U$3360,"USCG",'J Book Items Cons.'!W$5:W$3360,"Fast Response Cutters",'J Book Items Cons.'!R$5:R$3360,"",'J Book Items Cons.'!N$5:N$3360,"&lt;&gt;")+SUMIFS('J Book Items Cons.'!L$5:L$3360,'J Book Items Cons.'!S$5:S$3360,"",'J Book Items Cons.'!E$5:E$3360,1,'J Book Items Cons.'!F$5:F$3360,"Full ship DD&amp;C",'J Book Items Cons.'!U$5:U$3360,"USCG",'J Book Items Cons.'!W$5:W$3360,"Fast Response Cutters",'J Book Items Cons.'!R$5:R$3360,"",'J Book Items Cons.'!N$5:N$3360,"")+SUMIFS('J Book Items Cons.'!R$5:R$3360,'J Book Items Cons.'!S$5:S$3360,"[PARENT]",'J Book Items Cons.'!E$5:E$3360,1,'J Book Items Cons.'!F$5:F$3360,"Full ship DD&amp;C",'J Book Items Cons.'!U$5:U$3360,"USCG",'J Book Items Cons.'!W$5:W$3360,"Fast Response Cutters",'J Book Items Cons.'!R$5:R$3360,"&lt;&gt;")+SUMIFS('J Book Items Cons.'!N$5:N$3360,'J Book Items Cons.'!S$5:S$3360,"[PARENT]",'J Book Items Cons.'!E$5:E$3360,1,'J Book Items Cons.'!F$5:F$3360,"Full ship DD&amp;C",'J Book Items Cons.'!U$5:U$3360,"USCG",'J Book Items Cons.'!W$5:W$3360,"Fast Response Cutters",'J Book Items Cons.'!R$5:R$3360,"",'J Book Items Cons.'!N$5:N$3360,"&lt;&gt;")+SUMIFS('J Book Items Cons.'!L$5:L$3360,'J Book Items Cons.'!S$5:S$3360,"[PARENT]",'J Book Items Cons.'!E$5:E$3360,1,'J Book Items Cons.'!F$5:F$3360,"Full ship DD&amp;C",'J Book Items Cons.'!U$5:U$3360,"USCG",'J Book Items Cons.'!W$5:W$3360,"Fast Response Cutters",'J Book Items Cons.'!R$5:R$3360,"",'J Book Items Cons.'!N$5:N$3360,""))/M25)</f>
        <v>1</v>
      </c>
      <c r="N23" s="38">
        <f>IF(N25=0,0,(SUMIFS('J Book Items Cons.'!R$5:R$3360,'J Book Items Cons.'!S$5:S$3360,"",'J Book Items Cons.'!E$5:E$3360,1,'J Book Items Cons.'!F$5:F$3360,"Full ship DD&amp;C",'J Book Items Cons.'!U$5:U$3360,"USCG",'J Book Items Cons.'!W$5:W$3360,"Icebreakers, Oceangoing",'J Book Items Cons.'!R$5:R$3360,"&lt;&gt;")+SUMIFS('J Book Items Cons.'!N$5:N$3360,'J Book Items Cons.'!S$5:S$3360,"",'J Book Items Cons.'!E$5:E$3360,1,'J Book Items Cons.'!F$5:F$3360,"Full ship DD&amp;C",'J Book Items Cons.'!U$5:U$3360,"USCG",'J Book Items Cons.'!W$5:W$3360,"Icebreakers, Oceangoing",'J Book Items Cons.'!R$5:R$3360,"",'J Book Items Cons.'!N$5:N$3360,"&lt;&gt;")+SUMIFS('J Book Items Cons.'!L$5:L$3360,'J Book Items Cons.'!S$5:S$3360,"",'J Book Items Cons.'!E$5:E$3360,1,'J Book Items Cons.'!F$5:F$3360,"Full ship DD&amp;C",'J Book Items Cons.'!U$5:U$3360,"USCG",'J Book Items Cons.'!W$5:W$3360,"Icebreakers, Oceangoing",'J Book Items Cons.'!R$5:R$3360,"",'J Book Items Cons.'!N$5:N$3360,"")+SUMIFS('J Book Items Cons.'!R$5:R$3360,'J Book Items Cons.'!S$5:S$3360,"[PARENT]",'J Book Items Cons.'!E$5:E$3360,1,'J Book Items Cons.'!F$5:F$3360,"Full ship DD&amp;C",'J Book Items Cons.'!U$5:U$3360,"USCG",'J Book Items Cons.'!W$5:W$3360,"Icebreakers, Oceangoing",'J Book Items Cons.'!R$5:R$3360,"&lt;&gt;")+SUMIFS('J Book Items Cons.'!N$5:N$3360,'J Book Items Cons.'!S$5:S$3360,"[PARENT]",'J Book Items Cons.'!E$5:E$3360,1,'J Book Items Cons.'!F$5:F$3360,"Full ship DD&amp;C",'J Book Items Cons.'!U$5:U$3360,"USCG",'J Book Items Cons.'!W$5:W$3360,"Icebreakers, Oceangoing",'J Book Items Cons.'!R$5:R$3360,"",'J Book Items Cons.'!N$5:N$3360,"&lt;&gt;")+SUMIFS('J Book Items Cons.'!L$5:L$3360,'J Book Items Cons.'!S$5:S$3360,"[PARENT]",'J Book Items Cons.'!E$5:E$3360,1,'J Book Items Cons.'!F$5:F$3360,"Full ship DD&amp;C",'J Book Items Cons.'!U$5:U$3360,"USCG",'J Book Items Cons.'!W$5:W$3360,"Icebreakers, Oceangoing",'J Book Items Cons.'!R$5:R$3360,"",'J Book Items Cons.'!N$5:N$3360,""))/N25)</f>
        <v>0</v>
      </c>
      <c r="O23" s="38">
        <f>IF(O25=0,0,(SUMIFS('J Book Items Cons.'!R$5:R$3360,'J Book Items Cons.'!S$5:S$3360,"",'J Book Items Cons.'!E$5:E$3360,1,'J Book Items Cons.'!F$5:F$3360,"Full ship DD&amp;C",'J Book Items Cons.'!U$5:U$3360,"USCG",'J Book Items Cons.'!W$5:W$3360,"Waterways Commerce Cutters",'J Book Items Cons.'!R$5:R$3360,"&lt;&gt;")+SUMIFS('J Book Items Cons.'!N$5:N$3360,'J Book Items Cons.'!S$5:S$3360,"",'J Book Items Cons.'!E$5:E$3360,1,'J Book Items Cons.'!F$5:F$3360,"Full ship DD&amp;C",'J Book Items Cons.'!U$5:U$3360,"USCG",'J Book Items Cons.'!W$5:W$3360,"Waterways Commerce Cutters",'J Book Items Cons.'!R$5:R$3360,"",'J Book Items Cons.'!N$5:N$3360,"&lt;&gt;")+SUMIFS('J Book Items Cons.'!L$5:L$3360,'J Book Items Cons.'!S$5:S$3360,"",'J Book Items Cons.'!E$5:E$3360,1,'J Book Items Cons.'!F$5:F$3360,"Full ship DD&amp;C",'J Book Items Cons.'!U$5:U$3360,"USCG",'J Book Items Cons.'!W$5:W$3360,"Waterways Commerce Cutters",'J Book Items Cons.'!R$5:R$3360,"",'J Book Items Cons.'!N$5:N$3360,"")+SUMIFS('J Book Items Cons.'!R$5:R$3360,'J Book Items Cons.'!S$5:S$3360,"[PARENT]",'J Book Items Cons.'!E$5:E$3360,1,'J Book Items Cons.'!F$5:F$3360,"Full ship DD&amp;C",'J Book Items Cons.'!U$5:U$3360,"USCG",'J Book Items Cons.'!W$5:W$3360,"Waterways Commerce Cutters",'J Book Items Cons.'!R$5:R$3360,"&lt;&gt;")+SUMIFS('J Book Items Cons.'!N$5:N$3360,'J Book Items Cons.'!S$5:S$3360,"[PARENT]",'J Book Items Cons.'!E$5:E$3360,1,'J Book Items Cons.'!F$5:F$3360,"Full ship DD&amp;C",'J Book Items Cons.'!U$5:U$3360,"USCG",'J Book Items Cons.'!W$5:W$3360,"Waterways Commerce Cutters",'J Book Items Cons.'!R$5:R$3360,"",'J Book Items Cons.'!N$5:N$3360,"&lt;&gt;")+SUMIFS('J Book Items Cons.'!L$5:L$3360,'J Book Items Cons.'!S$5:S$3360,"[PARENT]",'J Book Items Cons.'!E$5:E$3360,1,'J Book Items Cons.'!F$5:F$3360,"Full ship DD&amp;C",'J Book Items Cons.'!U$5:U$3360,"USCG",'J Book Items Cons.'!W$5:W$3360,"Waterways Commerce Cutters",'J Book Items Cons.'!R$5:R$3360,"",'J Book Items Cons.'!N$5:N$3360,""))/O25)</f>
        <v>0</v>
      </c>
      <c r="P23" s="39">
        <f>IF(P25=0,0,(SUMIFS('J Book Items Cons.'!R$5:R$3360,'J Book Items Cons.'!S$5:S$3360,"",'J Book Items Cons.'!E$5:E$3360,1,'J Book Items Cons.'!F$5:F$3360,"Full ship DD&amp;C",'J Book Items Cons.'!U$5:U$3360,"USCG",'J Book Items Cons.'!W$5:W$3360,"National Security Cutters",'J Book Items Cons.'!R$5:R$3360,"&lt;&gt;")+SUMIFS('J Book Items Cons.'!N$5:N$3360,'J Book Items Cons.'!S$5:S$3360,"",'J Book Items Cons.'!E$5:E$3360,1,'J Book Items Cons.'!F$5:F$3360,"Full ship DD&amp;C",'J Book Items Cons.'!U$5:U$3360,"USCG",'J Book Items Cons.'!W$5:W$3360,"National Security Cutters",'J Book Items Cons.'!R$5:R$3360,"",'J Book Items Cons.'!N$5:N$3360,"&lt;&gt;")+SUMIFS('J Book Items Cons.'!L$5:L$3360,'J Book Items Cons.'!S$5:S$3360,"",'J Book Items Cons.'!E$5:E$3360,1,'J Book Items Cons.'!F$5:F$3360,"Full ship DD&amp;C",'J Book Items Cons.'!U$5:U$3360,"USCG",'J Book Items Cons.'!W$5:W$3360,"National Security Cutters",'J Book Items Cons.'!R$5:R$3360,"",'J Book Items Cons.'!N$5:N$3360,"")+SUMIFS('J Book Items Cons.'!R$5:R$3360,'J Book Items Cons.'!S$5:S$3360,"[PARENT]",'J Book Items Cons.'!E$5:E$3360,1,'J Book Items Cons.'!F$5:F$3360,"Full ship DD&amp;C",'J Book Items Cons.'!U$5:U$3360,"USCG",'J Book Items Cons.'!W$5:W$3360,"National Security Cutters",'J Book Items Cons.'!R$5:R$3360,"&lt;&gt;")+SUMIFS('J Book Items Cons.'!N$5:N$3360,'J Book Items Cons.'!S$5:S$3360,"[PARENT]",'J Book Items Cons.'!E$5:E$3360,1,'J Book Items Cons.'!F$5:F$3360,"Full ship DD&amp;C",'J Book Items Cons.'!U$5:U$3360,"USCG",'J Book Items Cons.'!W$5:W$3360,"National Security Cutters",'J Book Items Cons.'!R$5:R$3360,"",'J Book Items Cons.'!N$5:N$3360,"&lt;&gt;")+SUMIFS('J Book Items Cons.'!L$5:L$3360,'J Book Items Cons.'!S$5:S$3360,"[PARENT]",'J Book Items Cons.'!E$5:E$3360,1,'J Book Items Cons.'!F$5:F$3360,"Full ship DD&amp;C",'J Book Items Cons.'!U$5:U$3360,"USCG",'J Book Items Cons.'!W$5:W$3360,"National Security Cutters",'J Book Items Cons.'!R$5:R$3360,"",'J Book Items Cons.'!N$5:N$3360,""))/P25)</f>
        <v>0</v>
      </c>
      <c r="Q23" s="38">
        <f>IF(Q25=0,0,SUMPRODUCT(B23:P23,B$25:P$25)/Q$25)</f>
        <v>0.76598436884382604</v>
      </c>
    </row>
    <row r="24" spans="1:17" ht="9.75" customHeight="1" thickBot="1" x14ac:dyDescent="0.2">
      <c r="A24" s="4" t="s">
        <v>8850</v>
      </c>
      <c r="B24" s="37">
        <f>IF(B25=0,0,(SUMIFS('J Book Items Cons.'!R$5:R$3360,'J Book Items Cons.'!S$5:S$3360,"",'J Book Items Cons.'!E$5:E$3360,1,'J Book Items Cons.'!F$5:F$3360,"Advance procurement / LLTM",'J Book Items Cons.'!U$5:U$3360,"USN",'J Book Items Cons.'!W$5:W$3360,"Surface Combatants",'J Book Items Cons.'!R$5:R$3360,"&lt;&gt;")+SUMIFS('J Book Items Cons.'!N$5:N$3360,'J Book Items Cons.'!S$5:S$3360,"",'J Book Items Cons.'!E$5:E$3360,1,'J Book Items Cons.'!F$5:F$3360,"Advance procurement / LLTM",'J Book Items Cons.'!U$5:U$3360,"USN",'J Book Items Cons.'!W$5:W$3360,"Surface Combatants",'J Book Items Cons.'!R$5:R$3360,"",'J Book Items Cons.'!N$5:N$3360,"&lt;&gt;")+SUMIFS('J Book Items Cons.'!L$5:L$3360,'J Book Items Cons.'!S$5:S$3360,"",'J Book Items Cons.'!E$5:E$3360,1,'J Book Items Cons.'!F$5:F$3360,"Advance procurement / LLTM",'J Book Items Cons.'!U$5:U$3360,"USN",'J Book Items Cons.'!W$5:W$3360,"Surface Combatants",'J Book Items Cons.'!R$5:R$3360,"",'J Book Items Cons.'!N$5:N$3360,"")+SUMIFS('J Book Items Cons.'!R$5:R$3360,'J Book Items Cons.'!S$5:S$3360,"[PARENT]",'J Book Items Cons.'!E$5:E$3360,1,'J Book Items Cons.'!F$5:F$3360,"Advance procurement / LLTM",'J Book Items Cons.'!U$5:U$3360,"USN",'J Book Items Cons.'!W$5:W$3360,"Surface Combatants",'J Book Items Cons.'!R$5:R$3360,"&lt;&gt;")+SUMIFS('J Book Items Cons.'!N$5:N$3360,'J Book Items Cons.'!S$5:S$3360,"[PARENT]",'J Book Items Cons.'!E$5:E$3360,1,'J Book Items Cons.'!F$5:F$3360,"Advance procurement / LLTM",'J Book Items Cons.'!U$5:U$3360,"USN",'J Book Items Cons.'!W$5:W$3360,"Surface Combatants",'J Book Items Cons.'!R$5:R$3360,"",'J Book Items Cons.'!N$5:N$3360,"&lt;&gt;")+SUMIFS('J Book Items Cons.'!L$5:L$3360,'J Book Items Cons.'!S$5:S$3360,"[PARENT]",'J Book Items Cons.'!E$5:E$3360,1,'J Book Items Cons.'!F$5:F$3360,"Advance procurement / LLTM",'J Book Items Cons.'!U$5:U$3360,"USN",'J Book Items Cons.'!W$5:W$3360,"Surface Combatants",'J Book Items Cons.'!R$5:R$3360,"",'J Book Items Cons.'!N$5:N$3360,""))/B25)</f>
        <v>0.23473765920411058</v>
      </c>
      <c r="C24" s="38">
        <f>IF(C25=0,0,(SUMIFS('J Book Items Cons.'!R$5:R$3360,'J Book Items Cons.'!S$5:S$3360,"",'J Book Items Cons.'!E$5:E$3360,1,'J Book Items Cons.'!F$5:F$3360,"Advance procurement / LLTM",'J Book Items Cons.'!U$5:U$3360,"USN",'J Book Items Cons.'!W$5:W$3360,"Amphibious Warfare Ships",'J Book Items Cons.'!R$5:R$3360,"&lt;&gt;")+SUMIFS('J Book Items Cons.'!N$5:N$3360,'J Book Items Cons.'!S$5:S$3360,"",'J Book Items Cons.'!E$5:E$3360,1,'J Book Items Cons.'!F$5:F$3360,"Advance procurement / LLTM",'J Book Items Cons.'!U$5:U$3360,"USN",'J Book Items Cons.'!W$5:W$3360,"Amphibious Warfare Ships",'J Book Items Cons.'!R$5:R$3360,"",'J Book Items Cons.'!N$5:N$3360,"&lt;&gt;")+SUMIFS('J Book Items Cons.'!L$5:L$3360,'J Book Items Cons.'!S$5:S$3360,"",'J Book Items Cons.'!E$5:E$3360,1,'J Book Items Cons.'!F$5:F$3360,"Advance procurement / LLTM",'J Book Items Cons.'!U$5:U$3360,"USN",'J Book Items Cons.'!W$5:W$3360,"Amphibious Warfare Ships",'J Book Items Cons.'!R$5:R$3360,"",'J Book Items Cons.'!N$5:N$3360,"")+SUMIFS('J Book Items Cons.'!R$5:R$3360,'J Book Items Cons.'!S$5:S$3360,"[PARENT]",'J Book Items Cons.'!E$5:E$3360,1,'J Book Items Cons.'!F$5:F$3360,"Advance procurement / LLTM",'J Book Items Cons.'!U$5:U$3360,"USN",'J Book Items Cons.'!W$5:W$3360,"Amphibious Warfare Ships",'J Book Items Cons.'!R$5:R$3360,"&lt;&gt;")+SUMIFS('J Book Items Cons.'!N$5:N$3360,'J Book Items Cons.'!S$5:S$3360,"[PARENT]",'J Book Items Cons.'!E$5:E$3360,1,'J Book Items Cons.'!F$5:F$3360,"Advance procurement / LLTM",'J Book Items Cons.'!U$5:U$3360,"USN",'J Book Items Cons.'!W$5:W$3360,"Amphibious Warfare Ships",'J Book Items Cons.'!R$5:R$3360,"",'J Book Items Cons.'!N$5:N$3360,"&lt;&gt;")+SUMIFS('J Book Items Cons.'!L$5:L$3360,'J Book Items Cons.'!S$5:S$3360,"[PARENT]",'J Book Items Cons.'!E$5:E$3360,1,'J Book Items Cons.'!F$5:F$3360,"Advance procurement / LLTM",'J Book Items Cons.'!U$5:U$3360,"USN",'J Book Items Cons.'!W$5:W$3360,"Amphibious Warfare Ships",'J Book Items Cons.'!R$5:R$3360,"",'J Book Items Cons.'!N$5:N$3360,""))/C25)</f>
        <v>0.15759312320916904</v>
      </c>
      <c r="D24" s="38">
        <f>IF(D25=0,0,(SUMIFS('J Book Items Cons.'!R$5:R$3360,'J Book Items Cons.'!S$5:S$3360,"",'J Book Items Cons.'!E$5:E$3360,1,'J Book Items Cons.'!F$5:F$3360,"Advance procurement / LLTM",'J Book Items Cons.'!U$5:U$3360,"USN",'J Book Items Cons.'!W$5:W$3360,"Expeditionary &amp; Seabasing Ships",'J Book Items Cons.'!R$5:R$3360,"&lt;&gt;")+SUMIFS('J Book Items Cons.'!N$5:N$3360,'J Book Items Cons.'!S$5:S$3360,"",'J Book Items Cons.'!E$5:E$3360,1,'J Book Items Cons.'!F$5:F$3360,"Advance procurement / LLTM",'J Book Items Cons.'!U$5:U$3360,"USN",'J Book Items Cons.'!W$5:W$3360,"Expeditionary &amp; Seabasing Ships",'J Book Items Cons.'!R$5:R$3360,"",'J Book Items Cons.'!N$5:N$3360,"&lt;&gt;")+SUMIFS('J Book Items Cons.'!L$5:L$3360,'J Book Items Cons.'!S$5:S$3360,"",'J Book Items Cons.'!E$5:E$3360,1,'J Book Items Cons.'!F$5:F$3360,"Advance procurement / LLTM",'J Book Items Cons.'!U$5:U$3360,"USN",'J Book Items Cons.'!W$5:W$3360,"Expeditionary &amp; Seabasing Ships",'J Book Items Cons.'!R$5:R$3360,"",'J Book Items Cons.'!N$5:N$3360,"")+SUMIFS('J Book Items Cons.'!R$5:R$3360,'J Book Items Cons.'!S$5:S$3360,"[PARENT]",'J Book Items Cons.'!E$5:E$3360,1,'J Book Items Cons.'!F$5:F$3360,"Advance procurement / LLTM",'J Book Items Cons.'!U$5:U$3360,"USN",'J Book Items Cons.'!W$5:W$3360,"Expeditionary &amp; Seabasing Ships",'J Book Items Cons.'!R$5:R$3360,"&lt;&gt;")+SUMIFS('J Book Items Cons.'!N$5:N$3360,'J Book Items Cons.'!S$5:S$3360,"[PARENT]",'J Book Items Cons.'!E$5:E$3360,1,'J Book Items Cons.'!F$5:F$3360,"Advance procurement / LLTM",'J Book Items Cons.'!U$5:U$3360,"USN",'J Book Items Cons.'!W$5:W$3360,"Expeditionary &amp; Seabasing Ships",'J Book Items Cons.'!R$5:R$3360,"",'J Book Items Cons.'!N$5:N$3360,"&lt;&gt;")+SUMIFS('J Book Items Cons.'!L$5:L$3360,'J Book Items Cons.'!S$5:S$3360,"[PARENT]",'J Book Items Cons.'!E$5:E$3360,1,'J Book Items Cons.'!F$5:F$3360,"Advance procurement / LLTM",'J Book Items Cons.'!U$5:U$3360,"USN",'J Book Items Cons.'!W$5:W$3360,"Expeditionary &amp; Seabasing Ships",'J Book Items Cons.'!R$5:R$3360,"",'J Book Items Cons.'!N$5:N$3360,""))/D25)</f>
        <v>0</v>
      </c>
      <c r="E24" s="38">
        <f>IF(E25=0,0,(SUMIFS('J Book Items Cons.'!R$5:R$3360,'J Book Items Cons.'!S$5:S$3360,"",'J Book Items Cons.'!E$5:E$3360,1,'J Book Items Cons.'!F$5:F$3360,"Advance procurement / LLTM",'J Book Items Cons.'!U$5:U$3360,"MSC",'J Book Items Cons.'!W$5:W$3360,"Combat Logistics Ships",'J Book Items Cons.'!R$5:R$3360,"&lt;&gt;")+SUMIFS('J Book Items Cons.'!N$5:N$3360,'J Book Items Cons.'!S$5:S$3360,"",'J Book Items Cons.'!E$5:E$3360,1,'J Book Items Cons.'!F$5:F$3360,"Advance procurement / LLTM",'J Book Items Cons.'!U$5:U$3360,"MSC",'J Book Items Cons.'!W$5:W$3360,"Combat Logistics Ships",'J Book Items Cons.'!R$5:R$3360,"",'J Book Items Cons.'!N$5:N$3360,"&lt;&gt;")+SUMIFS('J Book Items Cons.'!L$5:L$3360,'J Book Items Cons.'!S$5:S$3360,"",'J Book Items Cons.'!E$5:E$3360,1,'J Book Items Cons.'!F$5:F$3360,"Advance procurement / LLTM",'J Book Items Cons.'!U$5:U$3360,"MSC",'J Book Items Cons.'!W$5:W$3360,"Combat Logistics Ships",'J Book Items Cons.'!R$5:R$3360,"",'J Book Items Cons.'!N$5:N$3360,"")+SUMIFS('J Book Items Cons.'!R$5:R$3360,'J Book Items Cons.'!S$5:S$3360,"[PARENT]",'J Book Items Cons.'!E$5:E$3360,1,'J Book Items Cons.'!F$5:F$3360,"Advance procurement / LLTM",'J Book Items Cons.'!U$5:U$3360,"MSC",'J Book Items Cons.'!W$5:W$3360,"Combat Logistics Ships",'J Book Items Cons.'!R$5:R$3360,"&lt;&gt;")+SUMIFS('J Book Items Cons.'!N$5:N$3360,'J Book Items Cons.'!S$5:S$3360,"[PARENT]",'J Book Items Cons.'!E$5:E$3360,1,'J Book Items Cons.'!F$5:F$3360,"Advance procurement / LLTM",'J Book Items Cons.'!U$5:U$3360,"MSC",'J Book Items Cons.'!W$5:W$3360,"Combat Logistics Ships",'J Book Items Cons.'!R$5:R$3360,"",'J Book Items Cons.'!N$5:N$3360,"&lt;&gt;")+SUMIFS('J Book Items Cons.'!L$5:L$3360,'J Book Items Cons.'!S$5:S$3360,"[PARENT]",'J Book Items Cons.'!E$5:E$3360,1,'J Book Items Cons.'!F$5:F$3360,"Advance procurement / LLTM",'J Book Items Cons.'!U$5:U$3360,"MSC",'J Book Items Cons.'!W$5:W$3360,"Combat Logistics Ships",'J Book Items Cons.'!R$5:R$3360,"",'J Book Items Cons.'!N$5:N$3360,""))/E25)</f>
        <v>0</v>
      </c>
      <c r="F24" s="38">
        <f>IF(F25=0,0,(SUMIFS('J Book Items Cons.'!R$5:R$3360,'J Book Items Cons.'!S$5:S$3360,"",'J Book Items Cons.'!E$5:E$3360,1,'J Book Items Cons.'!F$5:F$3360,"Advance procurement / LLTM",'J Book Items Cons.'!U$5:U$3360,"USN",'J Book Items Cons.'!W$5:W$3360,"Unmanned Surface Vehicles",'J Book Items Cons.'!R$5:R$3360,"&lt;&gt;")+SUMIFS('J Book Items Cons.'!N$5:N$3360,'J Book Items Cons.'!S$5:S$3360,"",'J Book Items Cons.'!E$5:E$3360,1,'J Book Items Cons.'!F$5:F$3360,"Advance procurement / LLTM",'J Book Items Cons.'!U$5:U$3360,"USN",'J Book Items Cons.'!W$5:W$3360,"Unmanned Surface Vehicles",'J Book Items Cons.'!R$5:R$3360,"",'J Book Items Cons.'!N$5:N$3360,"&lt;&gt;")+SUMIFS('J Book Items Cons.'!L$5:L$3360,'J Book Items Cons.'!S$5:S$3360,"",'J Book Items Cons.'!E$5:E$3360,1,'J Book Items Cons.'!F$5:F$3360,"Advance procurement / LLTM",'J Book Items Cons.'!U$5:U$3360,"USN",'J Book Items Cons.'!W$5:W$3360,"Unmanned Surface Vehicles",'J Book Items Cons.'!R$5:R$3360,"",'J Book Items Cons.'!N$5:N$3360,"")+SUMIFS('J Book Items Cons.'!R$5:R$3360,'J Book Items Cons.'!S$5:S$3360,"[PARENT]",'J Book Items Cons.'!E$5:E$3360,1,'J Book Items Cons.'!F$5:F$3360,"Advance procurement / LLTM",'J Book Items Cons.'!U$5:U$3360,"USN",'J Book Items Cons.'!W$5:W$3360,"Unmanned Surface Vehicles",'J Book Items Cons.'!R$5:R$3360,"&lt;&gt;")+SUMIFS('J Book Items Cons.'!N$5:N$3360,'J Book Items Cons.'!S$5:S$3360,"[PARENT]",'J Book Items Cons.'!E$5:E$3360,1,'J Book Items Cons.'!F$5:F$3360,"Advance procurement / LLTM",'J Book Items Cons.'!U$5:U$3360,"USN",'J Book Items Cons.'!W$5:W$3360,"Unmanned Surface Vehicles",'J Book Items Cons.'!R$5:R$3360,"",'J Book Items Cons.'!N$5:N$3360,"&lt;&gt;")+SUMIFS('J Book Items Cons.'!L$5:L$3360,'J Book Items Cons.'!S$5:S$3360,"[PARENT]",'J Book Items Cons.'!E$5:E$3360,1,'J Book Items Cons.'!F$5:F$3360,"Advance procurement / LLTM",'J Book Items Cons.'!U$5:U$3360,"USN",'J Book Items Cons.'!W$5:W$3360,"Unmanned Surface Vehicles",'J Book Items Cons.'!R$5:R$3360,"",'J Book Items Cons.'!N$5:N$3360,""))/F25)</f>
        <v>0</v>
      </c>
      <c r="G24" s="38">
        <f>IF(G25=0,0,(SUMIFS('J Book Items Cons.'!R$5:R$3360,'J Book Items Cons.'!S$5:S$3360,"",'J Book Items Cons.'!E$5:E$3360,1,'J Book Items Cons.'!F$5:F$3360,"Advance procurement / LLTM",'J Book Items Cons.'!U$5:U$3360,"USN",'J Book Items Cons.'!W$5:W$3360,"Amphibious Warfare Craft",'J Book Items Cons.'!R$5:R$3360,"&lt;&gt;")+SUMIFS('J Book Items Cons.'!N$5:N$3360,'J Book Items Cons.'!S$5:S$3360,"",'J Book Items Cons.'!E$5:E$3360,1,'J Book Items Cons.'!F$5:F$3360,"Advance procurement / LLTM",'J Book Items Cons.'!U$5:U$3360,"USN",'J Book Items Cons.'!W$5:W$3360,"Amphibious Warfare Craft",'J Book Items Cons.'!R$5:R$3360,"",'J Book Items Cons.'!N$5:N$3360,"&lt;&gt;")+SUMIFS('J Book Items Cons.'!L$5:L$3360,'J Book Items Cons.'!S$5:S$3360,"",'J Book Items Cons.'!E$5:E$3360,1,'J Book Items Cons.'!F$5:F$3360,"Advance procurement / LLTM",'J Book Items Cons.'!U$5:U$3360,"USN",'J Book Items Cons.'!W$5:W$3360,"Amphibious Warfare Craft",'J Book Items Cons.'!R$5:R$3360,"",'J Book Items Cons.'!N$5:N$3360,"")+SUMIFS('J Book Items Cons.'!R$5:R$3360,'J Book Items Cons.'!S$5:S$3360,"[PARENT]",'J Book Items Cons.'!E$5:E$3360,1,'J Book Items Cons.'!F$5:F$3360,"Advance procurement / LLTM",'J Book Items Cons.'!U$5:U$3360,"USN",'J Book Items Cons.'!W$5:W$3360,"Amphibious Warfare Craft",'J Book Items Cons.'!R$5:R$3360,"&lt;&gt;")+SUMIFS('J Book Items Cons.'!N$5:N$3360,'J Book Items Cons.'!S$5:S$3360,"[PARENT]",'J Book Items Cons.'!E$5:E$3360,1,'J Book Items Cons.'!F$5:F$3360,"Advance procurement / LLTM",'J Book Items Cons.'!U$5:U$3360,"USN",'J Book Items Cons.'!W$5:W$3360,"Amphibious Warfare Craft",'J Book Items Cons.'!R$5:R$3360,"",'J Book Items Cons.'!N$5:N$3360,"&lt;&gt;")+SUMIFS('J Book Items Cons.'!L$5:L$3360,'J Book Items Cons.'!S$5:S$3360,"[PARENT]",'J Book Items Cons.'!E$5:E$3360,1,'J Book Items Cons.'!F$5:F$3360,"Advance procurement / LLTM",'J Book Items Cons.'!U$5:U$3360,"USN",'J Book Items Cons.'!W$5:W$3360,"Amphibious Warfare Craft",'J Book Items Cons.'!R$5:R$3360,"",'J Book Items Cons.'!N$5:N$3360,""))/G25)</f>
        <v>0</v>
      </c>
      <c r="H24" s="38">
        <f>IF(H25=0,0,(SUMIFS('J Book Items Cons.'!R$5:R$3360,'J Book Items Cons.'!S$5:S$3360,"",'J Book Items Cons.'!E$5:E$3360,1,'J Book Items Cons.'!F$5:F$3360,"Advance procurement / LLTM",'J Book Items Cons.'!U$5:U$3360,"MSC",'J Book Items Cons.'!W$5:W$3360,"Cargo &amp; Vehicle Cargo Ships",'J Book Items Cons.'!R$5:R$3360,"&lt;&gt;")+SUMIFS('J Book Items Cons.'!N$5:N$3360,'J Book Items Cons.'!S$5:S$3360,"",'J Book Items Cons.'!E$5:E$3360,1,'J Book Items Cons.'!F$5:F$3360,"Advance procurement / LLTM",'J Book Items Cons.'!U$5:U$3360,"MSC",'J Book Items Cons.'!W$5:W$3360,"Cargo &amp; Vehicle Cargo Ships",'J Book Items Cons.'!R$5:R$3360,"",'J Book Items Cons.'!N$5:N$3360,"&lt;&gt;")+SUMIFS('J Book Items Cons.'!L$5:L$3360,'J Book Items Cons.'!S$5:S$3360,"",'J Book Items Cons.'!E$5:E$3360,1,'J Book Items Cons.'!F$5:F$3360,"Advance procurement / LLTM",'J Book Items Cons.'!U$5:U$3360,"MSC",'J Book Items Cons.'!W$5:W$3360,"Cargo &amp; Vehicle Cargo Ships",'J Book Items Cons.'!R$5:R$3360,"",'J Book Items Cons.'!N$5:N$3360,"")+SUMIFS('J Book Items Cons.'!R$5:R$3360,'J Book Items Cons.'!S$5:S$3360,"[PARENT]",'J Book Items Cons.'!E$5:E$3360,1,'J Book Items Cons.'!F$5:F$3360,"Advance procurement / LLTM",'J Book Items Cons.'!U$5:U$3360,"MSC",'J Book Items Cons.'!W$5:W$3360,"Cargo &amp; Vehicle Cargo Ships",'J Book Items Cons.'!R$5:R$3360,"&lt;&gt;")+SUMIFS('J Book Items Cons.'!N$5:N$3360,'J Book Items Cons.'!S$5:S$3360,"[PARENT]",'J Book Items Cons.'!E$5:E$3360,1,'J Book Items Cons.'!F$5:F$3360,"Advance procurement / LLTM",'J Book Items Cons.'!U$5:U$3360,"MSC",'J Book Items Cons.'!W$5:W$3360,"Cargo &amp; Vehicle Cargo Ships",'J Book Items Cons.'!R$5:R$3360,"",'J Book Items Cons.'!N$5:N$3360,"&lt;&gt;")+SUMIFS('J Book Items Cons.'!L$5:L$3360,'J Book Items Cons.'!S$5:S$3360,"[PARENT]",'J Book Items Cons.'!E$5:E$3360,1,'J Book Items Cons.'!F$5:F$3360,"Advance procurement / LLTM",'J Book Items Cons.'!U$5:U$3360,"MSC",'J Book Items Cons.'!W$5:W$3360,"Cargo &amp; Vehicle Cargo Ships",'J Book Items Cons.'!R$5:R$3360,"",'J Book Items Cons.'!N$5:N$3360,""))/H25)</f>
        <v>0</v>
      </c>
      <c r="I24" s="38">
        <f>IF(I25=0,0,(SUMIFS('J Book Items Cons.'!R$5:R$3360,'J Book Items Cons.'!S$5:S$3360,"",'J Book Items Cons.'!E$5:E$3360,1,'J Book Items Cons.'!F$5:F$3360,"Advance procurement / LLTM",'J Book Items Cons.'!U$5:U$3360,"MSC",'J Book Items Cons.'!W$5:W$3360,"Surveillance Ships",'J Book Items Cons.'!R$5:R$3360,"&lt;&gt;")+SUMIFS('J Book Items Cons.'!N$5:N$3360,'J Book Items Cons.'!S$5:S$3360,"",'J Book Items Cons.'!E$5:E$3360,1,'J Book Items Cons.'!F$5:F$3360,"Advance procurement / LLTM",'J Book Items Cons.'!U$5:U$3360,"MSC",'J Book Items Cons.'!W$5:W$3360,"Surveillance Ships",'J Book Items Cons.'!R$5:R$3360,"",'J Book Items Cons.'!N$5:N$3360,"&lt;&gt;")+SUMIFS('J Book Items Cons.'!L$5:L$3360,'J Book Items Cons.'!S$5:S$3360,"",'J Book Items Cons.'!E$5:E$3360,1,'J Book Items Cons.'!F$5:F$3360,"Advance procurement / LLTM",'J Book Items Cons.'!U$5:U$3360,"MSC",'J Book Items Cons.'!W$5:W$3360,"Surveillance Ships",'J Book Items Cons.'!R$5:R$3360,"",'J Book Items Cons.'!N$5:N$3360,"")+SUMIFS('J Book Items Cons.'!R$5:R$3360,'J Book Items Cons.'!S$5:S$3360,"[PARENT]",'J Book Items Cons.'!E$5:E$3360,1,'J Book Items Cons.'!F$5:F$3360,"Advance procurement / LLTM",'J Book Items Cons.'!U$5:U$3360,"MSC",'J Book Items Cons.'!W$5:W$3360,"Surveillance Ships",'J Book Items Cons.'!R$5:R$3360,"&lt;&gt;")+SUMIFS('J Book Items Cons.'!N$5:N$3360,'J Book Items Cons.'!S$5:S$3360,"[PARENT]",'J Book Items Cons.'!E$5:E$3360,1,'J Book Items Cons.'!F$5:F$3360,"Advance procurement / LLTM",'J Book Items Cons.'!U$5:U$3360,"MSC",'J Book Items Cons.'!W$5:W$3360,"Surveillance Ships",'J Book Items Cons.'!R$5:R$3360,"",'J Book Items Cons.'!N$5:N$3360,"&lt;&gt;")+SUMIFS('J Book Items Cons.'!L$5:L$3360,'J Book Items Cons.'!S$5:S$3360,"[PARENT]",'J Book Items Cons.'!E$5:E$3360,1,'J Book Items Cons.'!F$5:F$3360,"Advance procurement / LLTM",'J Book Items Cons.'!U$5:U$3360,"MSC",'J Book Items Cons.'!W$5:W$3360,"Surveillance Ships",'J Book Items Cons.'!R$5:R$3360,"",'J Book Items Cons.'!N$5:N$3360,""))/I25)</f>
        <v>0</v>
      </c>
      <c r="J24" s="38">
        <f>IF(J25=0,0,(SUMIFS('J Book Items Cons.'!R$5:R$3360,'J Book Items Cons.'!S$5:S$3360,"",'J Book Items Cons.'!E$5:E$3360,1,'J Book Items Cons.'!F$5:F$3360,"Advance procurement / LLTM",'J Book Items Cons.'!U$5:U$3360,"USN",'J Book Items Cons.'!W$5:W$3360,"Command Ships",'J Book Items Cons.'!R$5:R$3360,"&lt;&gt;")+SUMIFS('J Book Items Cons.'!N$5:N$3360,'J Book Items Cons.'!S$5:S$3360,"",'J Book Items Cons.'!E$5:E$3360,1,'J Book Items Cons.'!F$5:F$3360,"Advance procurement / LLTM",'J Book Items Cons.'!U$5:U$3360,"USN",'J Book Items Cons.'!W$5:W$3360,"Command Ships",'J Book Items Cons.'!R$5:R$3360,"",'J Book Items Cons.'!N$5:N$3360,"&lt;&gt;")+SUMIFS('J Book Items Cons.'!L$5:L$3360,'J Book Items Cons.'!S$5:S$3360,"",'J Book Items Cons.'!E$5:E$3360,1,'J Book Items Cons.'!F$5:F$3360,"Advance procurement / LLTM",'J Book Items Cons.'!U$5:U$3360,"USN",'J Book Items Cons.'!W$5:W$3360,"Command Ships",'J Book Items Cons.'!R$5:R$3360,"",'J Book Items Cons.'!N$5:N$3360,"")+SUMIFS('J Book Items Cons.'!R$5:R$3360,'J Book Items Cons.'!S$5:S$3360,"[PARENT]",'J Book Items Cons.'!E$5:E$3360,1,'J Book Items Cons.'!F$5:F$3360,"Advance procurement / LLTM",'J Book Items Cons.'!U$5:U$3360,"USN",'J Book Items Cons.'!W$5:W$3360,"Command Ships",'J Book Items Cons.'!R$5:R$3360,"&lt;&gt;")+SUMIFS('J Book Items Cons.'!N$5:N$3360,'J Book Items Cons.'!S$5:S$3360,"[PARENT]",'J Book Items Cons.'!E$5:E$3360,1,'J Book Items Cons.'!F$5:F$3360,"Advance procurement / LLTM",'J Book Items Cons.'!U$5:U$3360,"USN",'J Book Items Cons.'!W$5:W$3360,"Command Ships",'J Book Items Cons.'!R$5:R$3360,"",'J Book Items Cons.'!N$5:N$3360,"&lt;&gt;")+SUMIFS('J Book Items Cons.'!L$5:L$3360,'J Book Items Cons.'!S$5:S$3360,"[PARENT]",'J Book Items Cons.'!E$5:E$3360,1,'J Book Items Cons.'!F$5:F$3360,"Advance procurement / LLTM",'J Book Items Cons.'!U$5:U$3360,"USN",'J Book Items Cons.'!W$5:W$3360,"Command Ships",'J Book Items Cons.'!R$5:R$3360,"",'J Book Items Cons.'!N$5:N$3360,""))/J25)</f>
        <v>0</v>
      </c>
      <c r="K24" s="39">
        <f>IF(K25=0,0,(SUMIFS('J Book Items Cons.'!R$5:R$3360,'J Book Items Cons.'!S$5:S$3360,"",'J Book Items Cons.'!E$5:E$3360,1,'J Book Items Cons.'!F$5:F$3360,"Advance procurement / LLTM",'J Book Items Cons.'!U$5:U$3360,"USN",'J Book Items Cons.'!W$5:W$3360,"Mine Warfare",'J Book Items Cons.'!R$5:R$3360,"&lt;&gt;")+SUMIFS('J Book Items Cons.'!N$5:N$3360,'J Book Items Cons.'!S$5:S$3360,"",'J Book Items Cons.'!E$5:E$3360,1,'J Book Items Cons.'!F$5:F$3360,"Advance procurement / LLTM",'J Book Items Cons.'!U$5:U$3360,"USN",'J Book Items Cons.'!W$5:W$3360,"Mine Warfare",'J Book Items Cons.'!R$5:R$3360,"",'J Book Items Cons.'!N$5:N$3360,"&lt;&gt;")+SUMIFS('J Book Items Cons.'!L$5:L$3360,'J Book Items Cons.'!S$5:S$3360,"",'J Book Items Cons.'!E$5:E$3360,1,'J Book Items Cons.'!F$5:F$3360,"Advance procurement / LLTM",'J Book Items Cons.'!U$5:U$3360,"USN",'J Book Items Cons.'!W$5:W$3360,"Mine Warfare",'J Book Items Cons.'!R$5:R$3360,"",'J Book Items Cons.'!N$5:N$3360,"")+SUMIFS('J Book Items Cons.'!R$5:R$3360,'J Book Items Cons.'!S$5:S$3360,"[PARENT]",'J Book Items Cons.'!E$5:E$3360,1,'J Book Items Cons.'!F$5:F$3360,"Advance procurement / LLTM",'J Book Items Cons.'!U$5:U$3360,"USN",'J Book Items Cons.'!W$5:W$3360,"Mine Warfare",'J Book Items Cons.'!R$5:R$3360,"&lt;&gt;")+SUMIFS('J Book Items Cons.'!N$5:N$3360,'J Book Items Cons.'!S$5:S$3360,"[PARENT]",'J Book Items Cons.'!E$5:E$3360,1,'J Book Items Cons.'!F$5:F$3360,"Advance procurement / LLTM",'J Book Items Cons.'!U$5:U$3360,"USN",'J Book Items Cons.'!W$5:W$3360,"Mine Warfare",'J Book Items Cons.'!R$5:R$3360,"",'J Book Items Cons.'!N$5:N$3360,"&lt;&gt;")+SUMIFS('J Book Items Cons.'!L$5:L$3360,'J Book Items Cons.'!S$5:S$3360,"[PARENT]",'J Book Items Cons.'!E$5:E$3360,1,'J Book Items Cons.'!F$5:F$3360,"Advance procurement / LLTM",'J Book Items Cons.'!U$5:U$3360,"USN",'J Book Items Cons.'!W$5:W$3360,"Mine Warfare",'J Book Items Cons.'!R$5:R$3360,"",'J Book Items Cons.'!N$5:N$3360,""))/K25)</f>
        <v>0</v>
      </c>
      <c r="L24" s="37">
        <f>IF(L25=0,0,(SUMIFS('J Book Items Cons.'!R$5:R$3360,'J Book Items Cons.'!S$5:S$3360,"",'J Book Items Cons.'!E$5:E$3360,1,'J Book Items Cons.'!F$5:F$3360,"Advance procurement / LLTM",'J Book Items Cons.'!U$5:U$3360,"USCG",'J Book Items Cons.'!W$5:W$3360,"Offshore Patrol Cutter",'J Book Items Cons.'!R$5:R$3360,"&lt;&gt;")+SUMIFS('J Book Items Cons.'!N$5:N$3360,'J Book Items Cons.'!S$5:S$3360,"",'J Book Items Cons.'!E$5:E$3360,1,'J Book Items Cons.'!F$5:F$3360,"Advance procurement / LLTM",'J Book Items Cons.'!U$5:U$3360,"USCG",'J Book Items Cons.'!W$5:W$3360,"Offshore Patrol Cutter",'J Book Items Cons.'!R$5:R$3360,"",'J Book Items Cons.'!N$5:N$3360,"&lt;&gt;")+SUMIFS('J Book Items Cons.'!L$5:L$3360,'J Book Items Cons.'!S$5:S$3360,"",'J Book Items Cons.'!E$5:E$3360,1,'J Book Items Cons.'!F$5:F$3360,"Advance procurement / LLTM",'J Book Items Cons.'!U$5:U$3360,"USCG",'J Book Items Cons.'!W$5:W$3360,"Offshore Patrol Cutter",'J Book Items Cons.'!R$5:R$3360,"",'J Book Items Cons.'!N$5:N$3360,"")+SUMIFS('J Book Items Cons.'!R$5:R$3360,'J Book Items Cons.'!S$5:S$3360,"[PARENT]",'J Book Items Cons.'!E$5:E$3360,1,'J Book Items Cons.'!F$5:F$3360,"Advance procurement / LLTM",'J Book Items Cons.'!U$5:U$3360,"USCG",'J Book Items Cons.'!W$5:W$3360,"Offshore Patrol Cutter",'J Book Items Cons.'!R$5:R$3360,"&lt;&gt;")+SUMIFS('J Book Items Cons.'!N$5:N$3360,'J Book Items Cons.'!S$5:S$3360,"[PARENT]",'J Book Items Cons.'!E$5:E$3360,1,'J Book Items Cons.'!F$5:F$3360,"Advance procurement / LLTM",'J Book Items Cons.'!U$5:U$3360,"USCG",'J Book Items Cons.'!W$5:W$3360,"Offshore Patrol Cutter",'J Book Items Cons.'!R$5:R$3360,"",'J Book Items Cons.'!N$5:N$3360,"&lt;&gt;")+SUMIFS('J Book Items Cons.'!L$5:L$3360,'J Book Items Cons.'!S$5:S$3360,"[PARENT]",'J Book Items Cons.'!E$5:E$3360,1,'J Book Items Cons.'!F$5:F$3360,"Advance procurement / LLTM",'J Book Items Cons.'!U$5:U$3360,"USCG",'J Book Items Cons.'!W$5:W$3360,"Offshore Patrol Cutter",'J Book Items Cons.'!R$5:R$3360,"",'J Book Items Cons.'!N$5:N$3360,""))/L25)</f>
        <v>0</v>
      </c>
      <c r="M24" s="38">
        <f>IF(M25=0,0,(SUMIFS('J Book Items Cons.'!R$5:R$3360,'J Book Items Cons.'!S$5:S$3360,"",'J Book Items Cons.'!E$5:E$3360,1,'J Book Items Cons.'!F$5:F$3360,"Advance procurement / LLTM",'J Book Items Cons.'!U$5:U$3360,"USCG",'J Book Items Cons.'!W$5:W$3360,"Fast Response Cutters",'J Book Items Cons.'!R$5:R$3360,"&lt;&gt;")+SUMIFS('J Book Items Cons.'!N$5:N$3360,'J Book Items Cons.'!S$5:S$3360,"",'J Book Items Cons.'!E$5:E$3360,1,'J Book Items Cons.'!F$5:F$3360,"Advance procurement / LLTM",'J Book Items Cons.'!U$5:U$3360,"USCG",'J Book Items Cons.'!W$5:W$3360,"Fast Response Cutters",'J Book Items Cons.'!R$5:R$3360,"",'J Book Items Cons.'!N$5:N$3360,"&lt;&gt;")+SUMIFS('J Book Items Cons.'!L$5:L$3360,'J Book Items Cons.'!S$5:S$3360,"",'J Book Items Cons.'!E$5:E$3360,1,'J Book Items Cons.'!F$5:F$3360,"Advance procurement / LLTM",'J Book Items Cons.'!U$5:U$3360,"USCG",'J Book Items Cons.'!W$5:W$3360,"Fast Response Cutters",'J Book Items Cons.'!R$5:R$3360,"",'J Book Items Cons.'!N$5:N$3360,"")+SUMIFS('J Book Items Cons.'!R$5:R$3360,'J Book Items Cons.'!S$5:S$3360,"[PARENT]",'J Book Items Cons.'!E$5:E$3360,1,'J Book Items Cons.'!F$5:F$3360,"Advance procurement / LLTM",'J Book Items Cons.'!U$5:U$3360,"USCG",'J Book Items Cons.'!W$5:W$3360,"Fast Response Cutters",'J Book Items Cons.'!R$5:R$3360,"&lt;&gt;")+SUMIFS('J Book Items Cons.'!N$5:N$3360,'J Book Items Cons.'!S$5:S$3360,"[PARENT]",'J Book Items Cons.'!E$5:E$3360,1,'J Book Items Cons.'!F$5:F$3360,"Advance procurement / LLTM",'J Book Items Cons.'!U$5:U$3360,"USCG",'J Book Items Cons.'!W$5:W$3360,"Fast Response Cutters",'J Book Items Cons.'!R$5:R$3360,"",'J Book Items Cons.'!N$5:N$3360,"&lt;&gt;")+SUMIFS('J Book Items Cons.'!L$5:L$3360,'J Book Items Cons.'!S$5:S$3360,"[PARENT]",'J Book Items Cons.'!E$5:E$3360,1,'J Book Items Cons.'!F$5:F$3360,"Advance procurement / LLTM",'J Book Items Cons.'!U$5:U$3360,"USCG",'J Book Items Cons.'!W$5:W$3360,"Fast Response Cutters",'J Book Items Cons.'!R$5:R$3360,"",'J Book Items Cons.'!N$5:N$3360,""))/M25)</f>
        <v>0</v>
      </c>
      <c r="N24" s="38">
        <f>IF(N25=0,0,(SUMIFS('J Book Items Cons.'!R$5:R$3360,'J Book Items Cons.'!S$5:S$3360,"",'J Book Items Cons.'!E$5:E$3360,1,'J Book Items Cons.'!F$5:F$3360,"Advance procurement / LLTM",'J Book Items Cons.'!U$5:U$3360,"USCG",'J Book Items Cons.'!W$5:W$3360,"Icebreakers, Oceangoing",'J Book Items Cons.'!R$5:R$3360,"&lt;&gt;")+SUMIFS('J Book Items Cons.'!N$5:N$3360,'J Book Items Cons.'!S$5:S$3360,"",'J Book Items Cons.'!E$5:E$3360,1,'J Book Items Cons.'!F$5:F$3360,"Advance procurement / LLTM",'J Book Items Cons.'!U$5:U$3360,"USCG",'J Book Items Cons.'!W$5:W$3360,"Icebreakers, Oceangoing",'J Book Items Cons.'!R$5:R$3360,"",'J Book Items Cons.'!N$5:N$3360,"&lt;&gt;")+SUMIFS('J Book Items Cons.'!L$5:L$3360,'J Book Items Cons.'!S$5:S$3360,"",'J Book Items Cons.'!E$5:E$3360,1,'J Book Items Cons.'!F$5:F$3360,"Advance procurement / LLTM",'J Book Items Cons.'!U$5:U$3360,"USCG",'J Book Items Cons.'!W$5:W$3360,"Icebreakers, Oceangoing",'J Book Items Cons.'!R$5:R$3360,"",'J Book Items Cons.'!N$5:N$3360,"")+SUMIFS('J Book Items Cons.'!R$5:R$3360,'J Book Items Cons.'!S$5:S$3360,"[PARENT]",'J Book Items Cons.'!E$5:E$3360,1,'J Book Items Cons.'!F$5:F$3360,"Advance procurement / LLTM",'J Book Items Cons.'!U$5:U$3360,"USCG",'J Book Items Cons.'!W$5:W$3360,"Icebreakers, Oceangoing",'J Book Items Cons.'!R$5:R$3360,"&lt;&gt;")+SUMIFS('J Book Items Cons.'!N$5:N$3360,'J Book Items Cons.'!S$5:S$3360,"[PARENT]",'J Book Items Cons.'!E$5:E$3360,1,'J Book Items Cons.'!F$5:F$3360,"Advance procurement / LLTM",'J Book Items Cons.'!U$5:U$3360,"USCG",'J Book Items Cons.'!W$5:W$3360,"Icebreakers, Oceangoing",'J Book Items Cons.'!R$5:R$3360,"",'J Book Items Cons.'!N$5:N$3360,"&lt;&gt;")+SUMIFS('J Book Items Cons.'!L$5:L$3360,'J Book Items Cons.'!S$5:S$3360,"[PARENT]",'J Book Items Cons.'!E$5:E$3360,1,'J Book Items Cons.'!F$5:F$3360,"Advance procurement / LLTM",'J Book Items Cons.'!U$5:U$3360,"USCG",'J Book Items Cons.'!W$5:W$3360,"Icebreakers, Oceangoing",'J Book Items Cons.'!R$5:R$3360,"",'J Book Items Cons.'!N$5:N$3360,""))/N25)</f>
        <v>0</v>
      </c>
      <c r="O24" s="38">
        <f>IF(O25=0,0,(SUMIFS('J Book Items Cons.'!R$5:R$3360,'J Book Items Cons.'!S$5:S$3360,"",'J Book Items Cons.'!E$5:E$3360,1,'J Book Items Cons.'!F$5:F$3360,"Advance procurement / LLTM",'J Book Items Cons.'!U$5:U$3360,"USCG",'J Book Items Cons.'!W$5:W$3360,"Waterways Commerce Cutters",'J Book Items Cons.'!R$5:R$3360,"&lt;&gt;")+SUMIFS('J Book Items Cons.'!N$5:N$3360,'J Book Items Cons.'!S$5:S$3360,"",'J Book Items Cons.'!E$5:E$3360,1,'J Book Items Cons.'!F$5:F$3360,"Advance procurement / LLTM",'J Book Items Cons.'!U$5:U$3360,"USCG",'J Book Items Cons.'!W$5:W$3360,"Waterways Commerce Cutters",'J Book Items Cons.'!R$5:R$3360,"",'J Book Items Cons.'!N$5:N$3360,"&lt;&gt;")+SUMIFS('J Book Items Cons.'!L$5:L$3360,'J Book Items Cons.'!S$5:S$3360,"",'J Book Items Cons.'!E$5:E$3360,1,'J Book Items Cons.'!F$5:F$3360,"Advance procurement / LLTM",'J Book Items Cons.'!U$5:U$3360,"USCG",'J Book Items Cons.'!W$5:W$3360,"Waterways Commerce Cutters",'J Book Items Cons.'!R$5:R$3360,"",'J Book Items Cons.'!N$5:N$3360,"")+SUMIFS('J Book Items Cons.'!R$5:R$3360,'J Book Items Cons.'!S$5:S$3360,"[PARENT]",'J Book Items Cons.'!E$5:E$3360,1,'J Book Items Cons.'!F$5:F$3360,"Advance procurement / LLTM",'J Book Items Cons.'!U$5:U$3360,"USCG",'J Book Items Cons.'!W$5:W$3360,"Waterways Commerce Cutters",'J Book Items Cons.'!R$5:R$3360,"&lt;&gt;")+SUMIFS('J Book Items Cons.'!N$5:N$3360,'J Book Items Cons.'!S$5:S$3360,"[PARENT]",'J Book Items Cons.'!E$5:E$3360,1,'J Book Items Cons.'!F$5:F$3360,"Advance procurement / LLTM",'J Book Items Cons.'!U$5:U$3360,"USCG",'J Book Items Cons.'!W$5:W$3360,"Waterways Commerce Cutters",'J Book Items Cons.'!R$5:R$3360,"",'J Book Items Cons.'!N$5:N$3360,"&lt;&gt;")+SUMIFS('J Book Items Cons.'!L$5:L$3360,'J Book Items Cons.'!S$5:S$3360,"[PARENT]",'J Book Items Cons.'!E$5:E$3360,1,'J Book Items Cons.'!F$5:F$3360,"Advance procurement / LLTM",'J Book Items Cons.'!U$5:U$3360,"USCG",'J Book Items Cons.'!W$5:W$3360,"Waterways Commerce Cutters",'J Book Items Cons.'!R$5:R$3360,"",'J Book Items Cons.'!N$5:N$3360,""))/O25)</f>
        <v>0</v>
      </c>
      <c r="P24" s="39">
        <f>IF(P25=0,0,(SUMIFS('J Book Items Cons.'!R$5:R$3360,'J Book Items Cons.'!S$5:S$3360,"",'J Book Items Cons.'!E$5:E$3360,1,'J Book Items Cons.'!F$5:F$3360,"Advance procurement / LLTM",'J Book Items Cons.'!U$5:U$3360,"USCG",'J Book Items Cons.'!W$5:W$3360,"National Security Cutters",'J Book Items Cons.'!R$5:R$3360,"&lt;&gt;")+SUMIFS('J Book Items Cons.'!N$5:N$3360,'J Book Items Cons.'!S$5:S$3360,"",'J Book Items Cons.'!E$5:E$3360,1,'J Book Items Cons.'!F$5:F$3360,"Advance procurement / LLTM",'J Book Items Cons.'!U$5:U$3360,"USCG",'J Book Items Cons.'!W$5:W$3360,"National Security Cutters",'J Book Items Cons.'!R$5:R$3360,"",'J Book Items Cons.'!N$5:N$3360,"&lt;&gt;")+SUMIFS('J Book Items Cons.'!L$5:L$3360,'J Book Items Cons.'!S$5:S$3360,"",'J Book Items Cons.'!E$5:E$3360,1,'J Book Items Cons.'!F$5:F$3360,"Advance procurement / LLTM",'J Book Items Cons.'!U$5:U$3360,"USCG",'J Book Items Cons.'!W$5:W$3360,"National Security Cutters",'J Book Items Cons.'!R$5:R$3360,"",'J Book Items Cons.'!N$5:N$3360,"")+SUMIFS('J Book Items Cons.'!R$5:R$3360,'J Book Items Cons.'!S$5:S$3360,"[PARENT]",'J Book Items Cons.'!E$5:E$3360,1,'J Book Items Cons.'!F$5:F$3360,"Advance procurement / LLTM",'J Book Items Cons.'!U$5:U$3360,"USCG",'J Book Items Cons.'!W$5:W$3360,"National Security Cutters",'J Book Items Cons.'!R$5:R$3360,"&lt;&gt;")+SUMIFS('J Book Items Cons.'!N$5:N$3360,'J Book Items Cons.'!S$5:S$3360,"[PARENT]",'J Book Items Cons.'!E$5:E$3360,1,'J Book Items Cons.'!F$5:F$3360,"Advance procurement / LLTM",'J Book Items Cons.'!U$5:U$3360,"USCG",'J Book Items Cons.'!W$5:W$3360,"National Security Cutters",'J Book Items Cons.'!R$5:R$3360,"",'J Book Items Cons.'!N$5:N$3360,"&lt;&gt;")+SUMIFS('J Book Items Cons.'!L$5:L$3360,'J Book Items Cons.'!S$5:S$3360,"[PARENT]",'J Book Items Cons.'!E$5:E$3360,1,'J Book Items Cons.'!F$5:F$3360,"Advance procurement / LLTM",'J Book Items Cons.'!U$5:U$3360,"USCG",'J Book Items Cons.'!W$5:W$3360,"National Security Cutters",'J Book Items Cons.'!R$5:R$3360,"",'J Book Items Cons.'!N$5:N$3360,""))/P25)</f>
        <v>0</v>
      </c>
      <c r="Q24" s="38">
        <f>IF(Q25=0,0,SUMPRODUCT(B24:P24,B$25:P$25)/Q$25)</f>
        <v>0.10791832165852501</v>
      </c>
    </row>
    <row r="25" spans="1:17" ht="9.75" customHeight="1" x14ac:dyDescent="0.15">
      <c r="A25" s="15" t="s">
        <v>8831</v>
      </c>
      <c r="B25" s="28">
        <f>SUMIFS('J Book Items Cons.'!R$5:R$3360,'J Book Items Cons.'!S$5:S$3360,"",'J Book Items Cons.'!E$5:E$3360,1,'J Book Items Cons.'!U$5:U$3360,"USN",'J Book Items Cons.'!W$5:W$3360,"Surface Combatants",'J Book Items Cons.'!R$5:R$3360,"&lt;&gt;")+SUMIFS('J Book Items Cons.'!N$5:N$3360,'J Book Items Cons.'!S$5:S$3360,"",'J Book Items Cons.'!E$5:E$3360,1,'J Book Items Cons.'!U$5:U$3360,"USN",'J Book Items Cons.'!W$5:W$3360,"Surface Combatants",'J Book Items Cons.'!R$5:R$3360,"",'J Book Items Cons.'!N$5:N$3360,"&lt;&gt;")+SUMIFS('J Book Items Cons.'!L$5:L$3360,'J Book Items Cons.'!S$5:S$3360,"",'J Book Items Cons.'!E$5:E$3360,1,'J Book Items Cons.'!U$5:U$3360,"USN",'J Book Items Cons.'!W$5:W$3360,"Surface Combatants",'J Book Items Cons.'!R$5:R$3360,"",'J Book Items Cons.'!N$5:N$3360,"")+SUMIFS('J Book Items Cons.'!R$5:R$3360,'J Book Items Cons.'!S$5:S$3360,"[PARENT]",'J Book Items Cons.'!E$5:E$3360,1,'J Book Items Cons.'!U$5:U$3360,"USN",'J Book Items Cons.'!W$5:W$3360,"Surface Combatants",'J Book Items Cons.'!R$5:R$3360,"&lt;&gt;")+SUMIFS('J Book Items Cons.'!N$5:N$3360,'J Book Items Cons.'!S$5:S$3360,"[PARENT]",'J Book Items Cons.'!E$5:E$3360,1,'J Book Items Cons.'!U$5:U$3360,"USN",'J Book Items Cons.'!W$5:W$3360,"Surface Combatants",'J Book Items Cons.'!R$5:R$3360,"",'J Book Items Cons.'!N$5:N$3360,"&lt;&gt;")+SUMIFS('J Book Items Cons.'!L$5:L$3360,'J Book Items Cons.'!S$5:S$3360,"[PARENT]",'J Book Items Cons.'!E$5:E$3360,1,'J Book Items Cons.'!U$5:U$3360,"USN",'J Book Items Cons.'!W$5:W$3360,"Surface Combatants",'J Book Items Cons.'!R$5:R$3360,"",'J Book Items Cons.'!N$5:N$3360,"")</f>
        <v>7455131</v>
      </c>
      <c r="C25" s="16">
        <f>SUMIFS('J Book Items Cons.'!R$5:R$3360,'J Book Items Cons.'!S$5:S$3360,"",'J Book Items Cons.'!E$5:E$3360,1,'J Book Items Cons.'!U$5:U$3360,"USN",'J Book Items Cons.'!W$5:W$3360,"Amphibious Warfare Ships",'J Book Items Cons.'!R$5:R$3360,"&lt;&gt;")+SUMIFS('J Book Items Cons.'!N$5:N$3360,'J Book Items Cons.'!S$5:S$3360,"",'J Book Items Cons.'!E$5:E$3360,1,'J Book Items Cons.'!U$5:U$3360,"USN",'J Book Items Cons.'!W$5:W$3360,"Amphibious Warfare Ships",'J Book Items Cons.'!R$5:R$3360,"",'J Book Items Cons.'!N$5:N$3360,"&lt;&gt;")+SUMIFS('J Book Items Cons.'!L$5:L$3360,'J Book Items Cons.'!S$5:S$3360,"",'J Book Items Cons.'!E$5:E$3360,1,'J Book Items Cons.'!U$5:U$3360,"USN",'J Book Items Cons.'!W$5:W$3360,"Amphibious Warfare Ships",'J Book Items Cons.'!R$5:R$3360,"",'J Book Items Cons.'!N$5:N$3360,"")+SUMIFS('J Book Items Cons.'!R$5:R$3360,'J Book Items Cons.'!S$5:S$3360,"[PARENT]",'J Book Items Cons.'!E$5:E$3360,1,'J Book Items Cons.'!U$5:U$3360,"USN",'J Book Items Cons.'!W$5:W$3360,"Amphibious Warfare Ships",'J Book Items Cons.'!R$5:R$3360,"&lt;&gt;")+SUMIFS('J Book Items Cons.'!N$5:N$3360,'J Book Items Cons.'!S$5:S$3360,"[PARENT]",'J Book Items Cons.'!E$5:E$3360,1,'J Book Items Cons.'!U$5:U$3360,"USN",'J Book Items Cons.'!W$5:W$3360,"Amphibious Warfare Ships",'J Book Items Cons.'!R$5:R$3360,"",'J Book Items Cons.'!N$5:N$3360,"&lt;&gt;")+SUMIFS('J Book Items Cons.'!L$5:L$3360,'J Book Items Cons.'!S$5:S$3360,"[PARENT]",'J Book Items Cons.'!E$5:E$3360,1,'J Book Items Cons.'!U$5:U$3360,"USN",'J Book Items Cons.'!W$5:W$3360,"Amphibious Warfare Ships",'J Book Items Cons.'!R$5:R$3360,"",'J Book Items Cons.'!N$5:N$3360,"")</f>
        <v>1745000</v>
      </c>
      <c r="D25" s="16">
        <f>SUMIFS('J Book Items Cons.'!R$5:R$3360,'J Book Items Cons.'!S$5:S$3360,"",'J Book Items Cons.'!E$5:E$3360,1,'J Book Items Cons.'!U$5:U$3360,"USN",'J Book Items Cons.'!W$5:W$3360,"Expeditionary &amp; Seabasing Ships",'J Book Items Cons.'!R$5:R$3360,"&lt;&gt;")+SUMIFS('J Book Items Cons.'!N$5:N$3360,'J Book Items Cons.'!S$5:S$3360,"",'J Book Items Cons.'!E$5:E$3360,1,'J Book Items Cons.'!U$5:U$3360,"USN",'J Book Items Cons.'!W$5:W$3360,"Expeditionary &amp; Seabasing Ships",'J Book Items Cons.'!R$5:R$3360,"",'J Book Items Cons.'!N$5:N$3360,"&lt;&gt;")+SUMIFS('J Book Items Cons.'!L$5:L$3360,'J Book Items Cons.'!S$5:S$3360,"",'J Book Items Cons.'!E$5:E$3360,1,'J Book Items Cons.'!U$5:U$3360,"USN",'J Book Items Cons.'!W$5:W$3360,"Expeditionary &amp; Seabasing Ships",'J Book Items Cons.'!R$5:R$3360,"",'J Book Items Cons.'!N$5:N$3360,"")+SUMIFS('J Book Items Cons.'!R$5:R$3360,'J Book Items Cons.'!S$5:S$3360,"[PARENT]",'J Book Items Cons.'!E$5:E$3360,1,'J Book Items Cons.'!U$5:U$3360,"USN",'J Book Items Cons.'!W$5:W$3360,"Expeditionary &amp; Seabasing Ships",'J Book Items Cons.'!R$5:R$3360,"&lt;&gt;")+SUMIFS('J Book Items Cons.'!N$5:N$3360,'J Book Items Cons.'!S$5:S$3360,"[PARENT]",'J Book Items Cons.'!E$5:E$3360,1,'J Book Items Cons.'!U$5:U$3360,"USN",'J Book Items Cons.'!W$5:W$3360,"Expeditionary &amp; Seabasing Ships",'J Book Items Cons.'!R$5:R$3360,"",'J Book Items Cons.'!N$5:N$3360,"&lt;&gt;")+SUMIFS('J Book Items Cons.'!L$5:L$3360,'J Book Items Cons.'!S$5:S$3360,"[PARENT]",'J Book Items Cons.'!E$5:E$3360,1,'J Book Items Cons.'!U$5:U$3360,"USN",'J Book Items Cons.'!W$5:W$3360,"Expeditionary &amp; Seabasing Ships",'J Book Items Cons.'!R$5:R$3360,"",'J Book Items Cons.'!N$5:N$3360,"")</f>
        <v>2763941</v>
      </c>
      <c r="E25" s="16">
        <f>SUMIFS('J Book Items Cons.'!R$5:R$3360,'J Book Items Cons.'!S$5:S$3360,"",'J Book Items Cons.'!E$5:E$3360,1,'J Book Items Cons.'!U$5:U$3360,"MSC",'J Book Items Cons.'!W$5:W$3360,"Combat Logistics Ships",'J Book Items Cons.'!R$5:R$3360,"&lt;&gt;")+SUMIFS('J Book Items Cons.'!N$5:N$3360,'J Book Items Cons.'!S$5:S$3360,"",'J Book Items Cons.'!E$5:E$3360,1,'J Book Items Cons.'!U$5:U$3360,"MSC",'J Book Items Cons.'!W$5:W$3360,"Combat Logistics Ships",'J Book Items Cons.'!R$5:R$3360,"",'J Book Items Cons.'!N$5:N$3360,"&lt;&gt;")+SUMIFS('J Book Items Cons.'!L$5:L$3360,'J Book Items Cons.'!S$5:S$3360,"",'J Book Items Cons.'!E$5:E$3360,1,'J Book Items Cons.'!U$5:U$3360,"MSC",'J Book Items Cons.'!W$5:W$3360,"Combat Logistics Ships",'J Book Items Cons.'!R$5:R$3360,"",'J Book Items Cons.'!N$5:N$3360,"")+SUMIFS('J Book Items Cons.'!R$5:R$3360,'J Book Items Cons.'!S$5:S$3360,"[PARENT]",'J Book Items Cons.'!E$5:E$3360,1,'J Book Items Cons.'!U$5:U$3360,"MSC",'J Book Items Cons.'!W$5:W$3360,"Combat Logistics Ships",'J Book Items Cons.'!R$5:R$3360,"&lt;&gt;")+SUMIFS('J Book Items Cons.'!N$5:N$3360,'J Book Items Cons.'!S$5:S$3360,"[PARENT]",'J Book Items Cons.'!E$5:E$3360,1,'J Book Items Cons.'!U$5:U$3360,"MSC",'J Book Items Cons.'!W$5:W$3360,"Combat Logistics Ships",'J Book Items Cons.'!R$5:R$3360,"",'J Book Items Cons.'!N$5:N$3360,"&lt;&gt;")+SUMIFS('J Book Items Cons.'!L$5:L$3360,'J Book Items Cons.'!S$5:S$3360,"[PARENT]",'J Book Items Cons.'!E$5:E$3360,1,'J Book Items Cons.'!U$5:U$3360,"MSC",'J Book Items Cons.'!W$5:W$3360,"Combat Logistics Ships",'J Book Items Cons.'!R$5:R$3360,"",'J Book Items Cons.'!N$5:N$3360,"")</f>
        <v>1861705</v>
      </c>
      <c r="F25" s="16">
        <f>SUMIFS('J Book Items Cons.'!R$5:R$3360,'J Book Items Cons.'!S$5:S$3360,"",'J Book Items Cons.'!E$5:E$3360,1,'J Book Items Cons.'!U$5:U$3360,"USN",'J Book Items Cons.'!W$5:W$3360,"Unmanned Surface Vehicles",'J Book Items Cons.'!R$5:R$3360,"&lt;&gt;")+SUMIFS('J Book Items Cons.'!N$5:N$3360,'J Book Items Cons.'!S$5:S$3360,"",'J Book Items Cons.'!E$5:E$3360,1,'J Book Items Cons.'!U$5:U$3360,"USN",'J Book Items Cons.'!W$5:W$3360,"Unmanned Surface Vehicles",'J Book Items Cons.'!R$5:R$3360,"",'J Book Items Cons.'!N$5:N$3360,"&lt;&gt;")+SUMIFS('J Book Items Cons.'!L$5:L$3360,'J Book Items Cons.'!S$5:S$3360,"",'J Book Items Cons.'!E$5:E$3360,1,'J Book Items Cons.'!U$5:U$3360,"USN",'J Book Items Cons.'!W$5:W$3360,"Unmanned Surface Vehicles",'J Book Items Cons.'!R$5:R$3360,"",'J Book Items Cons.'!N$5:N$3360,"")+SUMIFS('J Book Items Cons.'!R$5:R$3360,'J Book Items Cons.'!S$5:S$3360,"[PARENT]",'J Book Items Cons.'!E$5:E$3360,1,'J Book Items Cons.'!U$5:U$3360,"USN",'J Book Items Cons.'!W$5:W$3360,"Unmanned Surface Vehicles",'J Book Items Cons.'!R$5:R$3360,"&lt;&gt;")+SUMIFS('J Book Items Cons.'!N$5:N$3360,'J Book Items Cons.'!S$5:S$3360,"[PARENT]",'J Book Items Cons.'!E$5:E$3360,1,'J Book Items Cons.'!U$5:U$3360,"USN",'J Book Items Cons.'!W$5:W$3360,"Unmanned Surface Vehicles",'J Book Items Cons.'!R$5:R$3360,"",'J Book Items Cons.'!N$5:N$3360,"&lt;&gt;")+SUMIFS('J Book Items Cons.'!L$5:L$3360,'J Book Items Cons.'!S$5:S$3360,"[PARENT]",'J Book Items Cons.'!E$5:E$3360,1,'J Book Items Cons.'!U$5:U$3360,"USN",'J Book Items Cons.'!W$5:W$3360,"Unmanned Surface Vehicles",'J Book Items Cons.'!R$5:R$3360,"",'J Book Items Cons.'!N$5:N$3360,"")</f>
        <v>1325714</v>
      </c>
      <c r="G25" s="16">
        <f>SUMIFS('J Book Items Cons.'!R$5:R$3360,'J Book Items Cons.'!S$5:S$3360,"",'J Book Items Cons.'!E$5:E$3360,1,'J Book Items Cons.'!U$5:U$3360,"USN",'J Book Items Cons.'!W$5:W$3360,"Amphibious Warfare Craft",'J Book Items Cons.'!R$5:R$3360,"&lt;&gt;")+SUMIFS('J Book Items Cons.'!N$5:N$3360,'J Book Items Cons.'!S$5:S$3360,"",'J Book Items Cons.'!E$5:E$3360,1,'J Book Items Cons.'!U$5:U$3360,"USN",'J Book Items Cons.'!W$5:W$3360,"Amphibious Warfare Craft",'J Book Items Cons.'!R$5:R$3360,"",'J Book Items Cons.'!N$5:N$3360,"&lt;&gt;")+SUMIFS('J Book Items Cons.'!L$5:L$3360,'J Book Items Cons.'!S$5:S$3360,"",'J Book Items Cons.'!E$5:E$3360,1,'J Book Items Cons.'!U$5:U$3360,"USN",'J Book Items Cons.'!W$5:W$3360,"Amphibious Warfare Craft",'J Book Items Cons.'!R$5:R$3360,"",'J Book Items Cons.'!N$5:N$3360,"")+SUMIFS('J Book Items Cons.'!R$5:R$3360,'J Book Items Cons.'!S$5:S$3360,"[PARENT]",'J Book Items Cons.'!E$5:E$3360,1,'J Book Items Cons.'!U$5:U$3360,"USN",'J Book Items Cons.'!W$5:W$3360,"Amphibious Warfare Craft",'J Book Items Cons.'!R$5:R$3360,"&lt;&gt;")+SUMIFS('J Book Items Cons.'!N$5:N$3360,'J Book Items Cons.'!S$5:S$3360,"[PARENT]",'J Book Items Cons.'!E$5:E$3360,1,'J Book Items Cons.'!U$5:U$3360,"USN",'J Book Items Cons.'!W$5:W$3360,"Amphibious Warfare Craft",'J Book Items Cons.'!R$5:R$3360,"",'J Book Items Cons.'!N$5:N$3360,"&lt;&gt;")+SUMIFS('J Book Items Cons.'!L$5:L$3360,'J Book Items Cons.'!S$5:S$3360,"[PARENT]",'J Book Items Cons.'!E$5:E$3360,1,'J Book Items Cons.'!U$5:U$3360,"USN",'J Book Items Cons.'!W$5:W$3360,"Amphibious Warfare Craft",'J Book Items Cons.'!R$5:R$3360,"",'J Book Items Cons.'!N$5:N$3360,"")</f>
        <v>854095</v>
      </c>
      <c r="H25" s="16">
        <f>SUMIFS('J Book Items Cons.'!R$5:R$3360,'J Book Items Cons.'!S$5:S$3360,"",'J Book Items Cons.'!E$5:E$3360,1,'J Book Items Cons.'!U$5:U$3360,"MSC",'J Book Items Cons.'!W$5:W$3360,"Cargo &amp; Vehicle Cargo Ships",'J Book Items Cons.'!R$5:R$3360,"&lt;&gt;")+SUMIFS('J Book Items Cons.'!N$5:N$3360,'J Book Items Cons.'!S$5:S$3360,"",'J Book Items Cons.'!E$5:E$3360,1,'J Book Items Cons.'!U$5:U$3360,"MSC",'J Book Items Cons.'!W$5:W$3360,"Cargo &amp; Vehicle Cargo Ships",'J Book Items Cons.'!R$5:R$3360,"",'J Book Items Cons.'!N$5:N$3360,"&lt;&gt;")+SUMIFS('J Book Items Cons.'!L$5:L$3360,'J Book Items Cons.'!S$5:S$3360,"",'J Book Items Cons.'!E$5:E$3360,1,'J Book Items Cons.'!U$5:U$3360,"MSC",'J Book Items Cons.'!W$5:W$3360,"Cargo &amp; Vehicle Cargo Ships",'J Book Items Cons.'!R$5:R$3360,"",'J Book Items Cons.'!N$5:N$3360,"")+SUMIFS('J Book Items Cons.'!R$5:R$3360,'J Book Items Cons.'!S$5:S$3360,"[PARENT]",'J Book Items Cons.'!E$5:E$3360,1,'J Book Items Cons.'!U$5:U$3360,"MSC",'J Book Items Cons.'!W$5:W$3360,"Cargo &amp; Vehicle Cargo Ships",'J Book Items Cons.'!R$5:R$3360,"&lt;&gt;")+SUMIFS('J Book Items Cons.'!N$5:N$3360,'J Book Items Cons.'!S$5:S$3360,"[PARENT]",'J Book Items Cons.'!E$5:E$3360,1,'J Book Items Cons.'!U$5:U$3360,"MSC",'J Book Items Cons.'!W$5:W$3360,"Cargo &amp; Vehicle Cargo Ships",'J Book Items Cons.'!R$5:R$3360,"",'J Book Items Cons.'!N$5:N$3360,"&lt;&gt;")+SUMIFS('J Book Items Cons.'!L$5:L$3360,'J Book Items Cons.'!S$5:S$3360,"[PARENT]",'J Book Items Cons.'!E$5:E$3360,1,'J Book Items Cons.'!U$5:U$3360,"MSC",'J Book Items Cons.'!W$5:W$3360,"Cargo &amp; Vehicle Cargo Ships",'J Book Items Cons.'!R$5:R$3360,"",'J Book Items Cons.'!N$5:N$3360,"")</f>
        <v>890000</v>
      </c>
      <c r="I25" s="16">
        <f>SUMIFS('J Book Items Cons.'!R$5:R$3360,'J Book Items Cons.'!S$5:S$3360,"",'J Book Items Cons.'!E$5:E$3360,1,'J Book Items Cons.'!U$5:U$3360,"MSC",'J Book Items Cons.'!W$5:W$3360,"Surveillance Ships",'J Book Items Cons.'!R$5:R$3360,"&lt;&gt;")+SUMIFS('J Book Items Cons.'!N$5:N$3360,'J Book Items Cons.'!S$5:S$3360,"",'J Book Items Cons.'!E$5:E$3360,1,'J Book Items Cons.'!U$5:U$3360,"MSC",'J Book Items Cons.'!W$5:W$3360,"Surveillance Ships",'J Book Items Cons.'!R$5:R$3360,"",'J Book Items Cons.'!N$5:N$3360,"&lt;&gt;")+SUMIFS('J Book Items Cons.'!L$5:L$3360,'J Book Items Cons.'!S$5:S$3360,"",'J Book Items Cons.'!E$5:E$3360,1,'J Book Items Cons.'!U$5:U$3360,"MSC",'J Book Items Cons.'!W$5:W$3360,"Surveillance Ships",'J Book Items Cons.'!R$5:R$3360,"",'J Book Items Cons.'!N$5:N$3360,"")+SUMIFS('J Book Items Cons.'!R$5:R$3360,'J Book Items Cons.'!S$5:S$3360,"[PARENT]",'J Book Items Cons.'!E$5:E$3360,1,'J Book Items Cons.'!U$5:U$3360,"MSC",'J Book Items Cons.'!W$5:W$3360,"Surveillance Ships",'J Book Items Cons.'!R$5:R$3360,"&lt;&gt;")+SUMIFS('J Book Items Cons.'!N$5:N$3360,'J Book Items Cons.'!S$5:S$3360,"[PARENT]",'J Book Items Cons.'!E$5:E$3360,1,'J Book Items Cons.'!U$5:U$3360,"MSC",'J Book Items Cons.'!W$5:W$3360,"Surveillance Ships",'J Book Items Cons.'!R$5:R$3360,"",'J Book Items Cons.'!N$5:N$3360,"&lt;&gt;")+SUMIFS('J Book Items Cons.'!L$5:L$3360,'J Book Items Cons.'!S$5:S$3360,"[PARENT]",'J Book Items Cons.'!E$5:E$3360,1,'J Book Items Cons.'!U$5:U$3360,"MSC",'J Book Items Cons.'!W$5:W$3360,"Surveillance Ships",'J Book Items Cons.'!R$5:R$3360,"",'J Book Items Cons.'!N$5:N$3360,"")</f>
        <v>612205</v>
      </c>
      <c r="J25" s="16">
        <f>SUMIFS('J Book Items Cons.'!R$5:R$3360,'J Book Items Cons.'!S$5:S$3360,"",'J Book Items Cons.'!E$5:E$3360,1,'J Book Items Cons.'!U$5:U$3360,"USN",'J Book Items Cons.'!W$5:W$3360,"Command Ships",'J Book Items Cons.'!R$5:R$3360,"&lt;&gt;")+SUMIFS('J Book Items Cons.'!N$5:N$3360,'J Book Items Cons.'!S$5:S$3360,"",'J Book Items Cons.'!E$5:E$3360,1,'J Book Items Cons.'!U$5:U$3360,"USN",'J Book Items Cons.'!W$5:W$3360,"Command Ships",'J Book Items Cons.'!R$5:R$3360,"",'J Book Items Cons.'!N$5:N$3360,"&lt;&gt;")+SUMIFS('J Book Items Cons.'!L$5:L$3360,'J Book Items Cons.'!S$5:S$3360,"",'J Book Items Cons.'!E$5:E$3360,1,'J Book Items Cons.'!U$5:U$3360,"USN",'J Book Items Cons.'!W$5:W$3360,"Command Ships",'J Book Items Cons.'!R$5:R$3360,"",'J Book Items Cons.'!N$5:N$3360,"")+SUMIFS('J Book Items Cons.'!R$5:R$3360,'J Book Items Cons.'!S$5:S$3360,"[PARENT]",'J Book Items Cons.'!E$5:E$3360,1,'J Book Items Cons.'!U$5:U$3360,"USN",'J Book Items Cons.'!W$5:W$3360,"Command Ships",'J Book Items Cons.'!R$5:R$3360,"&lt;&gt;")+SUMIFS('J Book Items Cons.'!N$5:N$3360,'J Book Items Cons.'!S$5:S$3360,"[PARENT]",'J Book Items Cons.'!E$5:E$3360,1,'J Book Items Cons.'!U$5:U$3360,"USN",'J Book Items Cons.'!W$5:W$3360,"Command Ships",'J Book Items Cons.'!R$5:R$3360,"",'J Book Items Cons.'!N$5:N$3360,"&lt;&gt;")+SUMIFS('J Book Items Cons.'!L$5:L$3360,'J Book Items Cons.'!S$5:S$3360,"[PARENT]",'J Book Items Cons.'!E$5:E$3360,1,'J Book Items Cons.'!U$5:U$3360,"USN",'J Book Items Cons.'!W$5:W$3360,"Command Ships",'J Book Items Cons.'!R$5:R$3360,"",'J Book Items Cons.'!N$5:N$3360,"")</f>
        <v>0</v>
      </c>
      <c r="K25" s="29">
        <f>SUMIFS('J Book Items Cons.'!R$5:R$3360,'J Book Items Cons.'!S$5:S$3360,"",'J Book Items Cons.'!E$5:E$3360,1,'J Book Items Cons.'!U$5:U$3360,"USN",'J Book Items Cons.'!W$5:W$3360,"Mine Warfare",'J Book Items Cons.'!R$5:R$3360,"&lt;&gt;")+SUMIFS('J Book Items Cons.'!N$5:N$3360,'J Book Items Cons.'!S$5:S$3360,"",'J Book Items Cons.'!E$5:E$3360,1,'J Book Items Cons.'!U$5:U$3360,"USN",'J Book Items Cons.'!W$5:W$3360,"Mine Warfare",'J Book Items Cons.'!R$5:R$3360,"",'J Book Items Cons.'!N$5:N$3360,"&lt;&gt;")+SUMIFS('J Book Items Cons.'!L$5:L$3360,'J Book Items Cons.'!S$5:S$3360,"",'J Book Items Cons.'!E$5:E$3360,1,'J Book Items Cons.'!U$5:U$3360,"USN",'J Book Items Cons.'!W$5:W$3360,"Mine Warfare",'J Book Items Cons.'!R$5:R$3360,"",'J Book Items Cons.'!N$5:N$3360,"")+SUMIFS('J Book Items Cons.'!R$5:R$3360,'J Book Items Cons.'!S$5:S$3360,"[PARENT]",'J Book Items Cons.'!E$5:E$3360,1,'J Book Items Cons.'!U$5:U$3360,"USN",'J Book Items Cons.'!W$5:W$3360,"Mine Warfare",'J Book Items Cons.'!R$5:R$3360,"&lt;&gt;")+SUMIFS('J Book Items Cons.'!N$5:N$3360,'J Book Items Cons.'!S$5:S$3360,"[PARENT]",'J Book Items Cons.'!E$5:E$3360,1,'J Book Items Cons.'!U$5:U$3360,"USN",'J Book Items Cons.'!W$5:W$3360,"Mine Warfare",'J Book Items Cons.'!R$5:R$3360,"",'J Book Items Cons.'!N$5:N$3360,"&lt;&gt;")+SUMIFS('J Book Items Cons.'!L$5:L$3360,'J Book Items Cons.'!S$5:S$3360,"[PARENT]",'J Book Items Cons.'!E$5:E$3360,1,'J Book Items Cons.'!U$5:U$3360,"USN",'J Book Items Cons.'!W$5:W$3360,"Mine Warfare",'J Book Items Cons.'!R$5:R$3360,"",'J Book Items Cons.'!N$5:N$3360,"")</f>
        <v>0</v>
      </c>
      <c r="L25" s="28">
        <f>SUMIFS('J Book Items Cons.'!R$5:R$3360,'J Book Items Cons.'!S$5:S$3360,"",'J Book Items Cons.'!E$5:E$3360,1,'J Book Items Cons.'!U$5:U$3360,"USCG",'J Book Items Cons.'!W$5:W$3360,"Offshore Patrol Cutter",'J Book Items Cons.'!R$5:R$3360,"&lt;&gt;")+SUMIFS('J Book Items Cons.'!N$5:N$3360,'J Book Items Cons.'!S$5:S$3360,"",'J Book Items Cons.'!E$5:E$3360,1,'J Book Items Cons.'!U$5:U$3360,"USCG",'J Book Items Cons.'!W$5:W$3360,"Offshore Patrol Cutter",'J Book Items Cons.'!R$5:R$3360,"",'J Book Items Cons.'!N$5:N$3360,"&lt;&gt;")+SUMIFS('J Book Items Cons.'!L$5:L$3360,'J Book Items Cons.'!S$5:S$3360,"",'J Book Items Cons.'!E$5:E$3360,1,'J Book Items Cons.'!U$5:U$3360,"USCG",'J Book Items Cons.'!W$5:W$3360,"Offshore Patrol Cutter",'J Book Items Cons.'!R$5:R$3360,"",'J Book Items Cons.'!N$5:N$3360,"")+SUMIFS('J Book Items Cons.'!R$5:R$3360,'J Book Items Cons.'!S$5:S$3360,"[PARENT]",'J Book Items Cons.'!E$5:E$3360,1,'J Book Items Cons.'!U$5:U$3360,"USCG",'J Book Items Cons.'!W$5:W$3360,"Offshore Patrol Cutter",'J Book Items Cons.'!R$5:R$3360,"&lt;&gt;")+SUMIFS('J Book Items Cons.'!N$5:N$3360,'J Book Items Cons.'!S$5:S$3360,"[PARENT]",'J Book Items Cons.'!E$5:E$3360,1,'J Book Items Cons.'!U$5:U$3360,"USCG",'J Book Items Cons.'!W$5:W$3360,"Offshore Patrol Cutter",'J Book Items Cons.'!R$5:R$3360,"",'J Book Items Cons.'!N$5:N$3360,"&lt;&gt;")+SUMIFS('J Book Items Cons.'!L$5:L$3360,'J Book Items Cons.'!S$5:S$3360,"[PARENT]",'J Book Items Cons.'!E$5:E$3360,1,'J Book Items Cons.'!U$5:U$3360,"USCG",'J Book Items Cons.'!W$5:W$3360,"Offshore Patrol Cutter",'J Book Items Cons.'!R$5:R$3360,"",'J Book Items Cons.'!N$5:N$3360,"")</f>
        <v>812400</v>
      </c>
      <c r="M25" s="16">
        <f>SUMIFS('J Book Items Cons.'!R$5:R$3360,'J Book Items Cons.'!S$5:S$3360,"",'J Book Items Cons.'!E$5:E$3360,1,'J Book Items Cons.'!U$5:U$3360,"USCG",'J Book Items Cons.'!W$5:W$3360,"Fast Response Cutters",'J Book Items Cons.'!R$5:R$3360,"&lt;&gt;")+SUMIFS('J Book Items Cons.'!N$5:N$3360,'J Book Items Cons.'!S$5:S$3360,"",'J Book Items Cons.'!E$5:E$3360,1,'J Book Items Cons.'!U$5:U$3360,"USCG",'J Book Items Cons.'!W$5:W$3360,"Fast Response Cutters",'J Book Items Cons.'!R$5:R$3360,"",'J Book Items Cons.'!N$5:N$3360,"&lt;&gt;")+SUMIFS('J Book Items Cons.'!L$5:L$3360,'J Book Items Cons.'!S$5:S$3360,"",'J Book Items Cons.'!E$5:E$3360,1,'J Book Items Cons.'!U$5:U$3360,"USCG",'J Book Items Cons.'!W$5:W$3360,"Fast Response Cutters",'J Book Items Cons.'!R$5:R$3360,"",'J Book Items Cons.'!N$5:N$3360,"")+SUMIFS('J Book Items Cons.'!R$5:R$3360,'J Book Items Cons.'!S$5:S$3360,"[PARENT]",'J Book Items Cons.'!E$5:E$3360,1,'J Book Items Cons.'!U$5:U$3360,"USCG",'J Book Items Cons.'!W$5:W$3360,"Fast Response Cutters",'J Book Items Cons.'!R$5:R$3360,"&lt;&gt;")+SUMIFS('J Book Items Cons.'!N$5:N$3360,'J Book Items Cons.'!S$5:S$3360,"[PARENT]",'J Book Items Cons.'!E$5:E$3360,1,'J Book Items Cons.'!U$5:U$3360,"USCG",'J Book Items Cons.'!W$5:W$3360,"Fast Response Cutters",'J Book Items Cons.'!R$5:R$3360,"",'J Book Items Cons.'!N$5:N$3360,"&lt;&gt;")+SUMIFS('J Book Items Cons.'!L$5:L$3360,'J Book Items Cons.'!S$5:S$3360,"[PARENT]",'J Book Items Cons.'!E$5:E$3360,1,'J Book Items Cons.'!U$5:U$3360,"USCG",'J Book Items Cons.'!W$5:W$3360,"Fast Response Cutters",'J Book Items Cons.'!R$5:R$3360,"",'J Book Items Cons.'!N$5:N$3360,"")</f>
        <v>216000</v>
      </c>
      <c r="N25" s="16">
        <f>SUMIFS('J Book Items Cons.'!R$5:R$3360,'J Book Items Cons.'!S$5:S$3360,"",'J Book Items Cons.'!E$5:E$3360,1,'J Book Items Cons.'!U$5:U$3360,"USCG",'J Book Items Cons.'!W$5:W$3360,"Icebreakers, Oceangoing",'J Book Items Cons.'!R$5:R$3360,"&lt;&gt;")+SUMIFS('J Book Items Cons.'!N$5:N$3360,'J Book Items Cons.'!S$5:S$3360,"",'J Book Items Cons.'!E$5:E$3360,1,'J Book Items Cons.'!U$5:U$3360,"USCG",'J Book Items Cons.'!W$5:W$3360,"Icebreakers, Oceangoing",'J Book Items Cons.'!R$5:R$3360,"",'J Book Items Cons.'!N$5:N$3360,"&lt;&gt;")+SUMIFS('J Book Items Cons.'!L$5:L$3360,'J Book Items Cons.'!S$5:S$3360,"",'J Book Items Cons.'!E$5:E$3360,1,'J Book Items Cons.'!U$5:U$3360,"USCG",'J Book Items Cons.'!W$5:W$3360,"Icebreakers, Oceangoing",'J Book Items Cons.'!R$5:R$3360,"",'J Book Items Cons.'!N$5:N$3360,"")+SUMIFS('J Book Items Cons.'!R$5:R$3360,'J Book Items Cons.'!S$5:S$3360,"[PARENT]",'J Book Items Cons.'!E$5:E$3360,1,'J Book Items Cons.'!U$5:U$3360,"USCG",'J Book Items Cons.'!W$5:W$3360,"Icebreakers, Oceangoing",'J Book Items Cons.'!R$5:R$3360,"&lt;&gt;")+SUMIFS('J Book Items Cons.'!N$5:N$3360,'J Book Items Cons.'!S$5:S$3360,"[PARENT]",'J Book Items Cons.'!E$5:E$3360,1,'J Book Items Cons.'!U$5:U$3360,"USCG",'J Book Items Cons.'!W$5:W$3360,"Icebreakers, Oceangoing",'J Book Items Cons.'!R$5:R$3360,"",'J Book Items Cons.'!N$5:N$3360,"&lt;&gt;")+SUMIFS('J Book Items Cons.'!L$5:L$3360,'J Book Items Cons.'!S$5:S$3360,"[PARENT]",'J Book Items Cons.'!E$5:E$3360,1,'J Book Items Cons.'!U$5:U$3360,"USCG",'J Book Items Cons.'!W$5:W$3360,"Icebreakers, Oceangoing",'J Book Items Cons.'!R$5:R$3360,"",'J Book Items Cons.'!N$5:N$3360,"")</f>
        <v>130000</v>
      </c>
      <c r="O25" s="16">
        <f>SUMIFS('J Book Items Cons.'!R$5:R$3360,'J Book Items Cons.'!S$5:S$3360,"",'J Book Items Cons.'!E$5:E$3360,1,'J Book Items Cons.'!U$5:U$3360,"USCG",'J Book Items Cons.'!W$5:W$3360,"Waterways Commerce Cutters",'J Book Items Cons.'!R$5:R$3360,"&lt;&gt;")+SUMIFS('J Book Items Cons.'!N$5:N$3360,'J Book Items Cons.'!S$5:S$3360,"",'J Book Items Cons.'!E$5:E$3360,1,'J Book Items Cons.'!U$5:U$3360,"USCG",'J Book Items Cons.'!W$5:W$3360,"Waterways Commerce Cutters",'J Book Items Cons.'!R$5:R$3360,"",'J Book Items Cons.'!N$5:N$3360,"&lt;&gt;")+SUMIFS('J Book Items Cons.'!L$5:L$3360,'J Book Items Cons.'!S$5:S$3360,"",'J Book Items Cons.'!E$5:E$3360,1,'J Book Items Cons.'!U$5:U$3360,"USCG",'J Book Items Cons.'!W$5:W$3360,"Waterways Commerce Cutters",'J Book Items Cons.'!R$5:R$3360,"",'J Book Items Cons.'!N$5:N$3360,"")+SUMIFS('J Book Items Cons.'!R$5:R$3360,'J Book Items Cons.'!S$5:S$3360,"[PARENT]",'J Book Items Cons.'!E$5:E$3360,1,'J Book Items Cons.'!U$5:U$3360,"USCG",'J Book Items Cons.'!W$5:W$3360,"Waterways Commerce Cutters",'J Book Items Cons.'!R$5:R$3360,"&lt;&gt;")+SUMIFS('J Book Items Cons.'!N$5:N$3360,'J Book Items Cons.'!S$5:S$3360,"[PARENT]",'J Book Items Cons.'!E$5:E$3360,1,'J Book Items Cons.'!U$5:U$3360,"USCG",'J Book Items Cons.'!W$5:W$3360,"Waterways Commerce Cutters",'J Book Items Cons.'!R$5:R$3360,"",'J Book Items Cons.'!N$5:N$3360,"&lt;&gt;")+SUMIFS('J Book Items Cons.'!L$5:L$3360,'J Book Items Cons.'!S$5:S$3360,"[PARENT]",'J Book Items Cons.'!E$5:E$3360,1,'J Book Items Cons.'!U$5:U$3360,"USCG",'J Book Items Cons.'!W$5:W$3360,"Waterways Commerce Cutters",'J Book Items Cons.'!R$5:R$3360,"",'J Book Items Cons.'!N$5:N$3360,"")</f>
        <v>98000</v>
      </c>
      <c r="P25" s="29">
        <f>SUMIFS('J Book Items Cons.'!R$5:R$3360,'J Book Items Cons.'!S$5:S$3360,"",'J Book Items Cons.'!E$5:E$3360,1,'J Book Items Cons.'!U$5:U$3360,"USCG",'J Book Items Cons.'!W$5:W$3360,"National Security Cutters",'J Book Items Cons.'!R$5:R$3360,"&lt;&gt;")+SUMIFS('J Book Items Cons.'!N$5:N$3360,'J Book Items Cons.'!S$5:S$3360,"",'J Book Items Cons.'!E$5:E$3360,1,'J Book Items Cons.'!U$5:U$3360,"USCG",'J Book Items Cons.'!W$5:W$3360,"National Security Cutters",'J Book Items Cons.'!R$5:R$3360,"",'J Book Items Cons.'!N$5:N$3360,"&lt;&gt;")+SUMIFS('J Book Items Cons.'!L$5:L$3360,'J Book Items Cons.'!S$5:S$3360,"",'J Book Items Cons.'!E$5:E$3360,1,'J Book Items Cons.'!U$5:U$3360,"USCG",'J Book Items Cons.'!W$5:W$3360,"National Security Cutters",'J Book Items Cons.'!R$5:R$3360,"",'J Book Items Cons.'!N$5:N$3360,"")+SUMIFS('J Book Items Cons.'!R$5:R$3360,'J Book Items Cons.'!S$5:S$3360,"[PARENT]",'J Book Items Cons.'!E$5:E$3360,1,'J Book Items Cons.'!U$5:U$3360,"USCG",'J Book Items Cons.'!W$5:W$3360,"National Security Cutters",'J Book Items Cons.'!R$5:R$3360,"&lt;&gt;")+SUMIFS('J Book Items Cons.'!N$5:N$3360,'J Book Items Cons.'!S$5:S$3360,"[PARENT]",'J Book Items Cons.'!E$5:E$3360,1,'J Book Items Cons.'!U$5:U$3360,"USCG",'J Book Items Cons.'!W$5:W$3360,"National Security Cutters",'J Book Items Cons.'!R$5:R$3360,"",'J Book Items Cons.'!N$5:N$3360,"&lt;&gt;")+SUMIFS('J Book Items Cons.'!L$5:L$3360,'J Book Items Cons.'!S$5:S$3360,"[PARENT]",'J Book Items Cons.'!E$5:E$3360,1,'J Book Items Cons.'!U$5:U$3360,"USCG",'J Book Items Cons.'!W$5:W$3360,"National Security Cutters",'J Book Items Cons.'!R$5:R$3360,"",'J Book Items Cons.'!N$5:N$3360,"")</f>
        <v>0</v>
      </c>
      <c r="Q25" s="16">
        <f>SUM(B25:P25)</f>
        <v>18764191</v>
      </c>
    </row>
    <row r="26" spans="1:17" ht="9.75" customHeight="1" x14ac:dyDescent="0.15"/>
    <row r="27" spans="1:17" ht="9.75" customHeight="1" x14ac:dyDescent="0.15">
      <c r="A27" s="11" t="s">
        <v>8862</v>
      </c>
      <c r="B27" s="11"/>
      <c r="C27" s="11"/>
      <c r="D27" s="11"/>
      <c r="E27" s="11"/>
      <c r="F27" s="11"/>
      <c r="G27" s="11"/>
      <c r="H27" s="11"/>
      <c r="I27" s="11"/>
      <c r="J27" s="11"/>
      <c r="K27" s="11"/>
      <c r="L27" s="11"/>
      <c r="M27" s="11"/>
      <c r="N27" s="11"/>
      <c r="O27" s="11"/>
      <c r="P27" s="11"/>
      <c r="Q27" s="11"/>
    </row>
    <row r="28" spans="1:17" ht="9.75" customHeight="1" x14ac:dyDescent="0.15">
      <c r="A28" s="31"/>
      <c r="B28" s="32" t="s">
        <v>44</v>
      </c>
      <c r="C28" s="33"/>
      <c r="D28" s="33"/>
      <c r="E28" s="33"/>
      <c r="F28" s="33"/>
      <c r="G28" s="33"/>
      <c r="H28" s="33"/>
      <c r="I28" s="33"/>
      <c r="J28" s="33"/>
      <c r="K28" s="34"/>
      <c r="L28" s="32" t="s">
        <v>7086</v>
      </c>
      <c r="M28" s="33"/>
      <c r="N28" s="33"/>
      <c r="O28" s="33"/>
      <c r="P28" s="34"/>
      <c r="Q28" s="31"/>
    </row>
    <row r="29" spans="1:17" ht="9.75" customHeight="1" x14ac:dyDescent="0.15">
      <c r="A29" s="12" t="s">
        <v>8820</v>
      </c>
      <c r="B29" s="22" t="s">
        <v>130</v>
      </c>
      <c r="C29" s="12" t="s">
        <v>171</v>
      </c>
      <c r="D29" s="12" t="s">
        <v>211</v>
      </c>
      <c r="E29" s="12" t="s">
        <v>235</v>
      </c>
      <c r="F29" s="12" t="s">
        <v>5560</v>
      </c>
      <c r="G29" s="12" t="s">
        <v>282</v>
      </c>
      <c r="H29" s="12" t="s">
        <v>288</v>
      </c>
      <c r="I29" s="12" t="s">
        <v>249</v>
      </c>
      <c r="J29" s="12" t="s">
        <v>4977</v>
      </c>
      <c r="K29" s="23" t="s">
        <v>4779</v>
      </c>
      <c r="L29" s="22" t="s">
        <v>8649</v>
      </c>
      <c r="M29" s="12" t="s">
        <v>8657</v>
      </c>
      <c r="N29" s="12" t="s">
        <v>8668</v>
      </c>
      <c r="O29" s="12" t="s">
        <v>8682</v>
      </c>
      <c r="P29" s="23" t="s">
        <v>7088</v>
      </c>
      <c r="Q29" s="13" t="s">
        <v>8831</v>
      </c>
    </row>
    <row r="30" spans="1:17" ht="9.75" customHeight="1" x14ac:dyDescent="0.15">
      <c r="A30" s="7" t="s">
        <v>4383</v>
      </c>
      <c r="B30" s="37">
        <f>IF(B36=0,0,(SUMIFS('J Book Items Cons.'!R$5:R$3360,'J Book Items Cons.'!S$5:S$3360,"",'J Book Items Cons.'!E$5:E$3360,2,'J Book Items Cons.'!U$5:U$3360,"USN",'J Book Items Cons.'!W$5:W$3360,"Surface Combatants",'J Book Items Cons.'!R$5:R$3360,"&lt;&gt;")+SUMIFS('J Book Items Cons.'!N$5:N$3360,'J Book Items Cons.'!S$5:S$3360,"",'J Book Items Cons.'!E$5:E$3360,2,'J Book Items Cons.'!U$5:U$3360,"USN",'J Book Items Cons.'!W$5:W$3360,"Surface Combatants",'J Book Items Cons.'!R$5:R$3360,"",'J Book Items Cons.'!N$5:N$3360,"&lt;&gt;")+SUMIFS('J Book Items Cons.'!L$5:L$3360,'J Book Items Cons.'!S$5:S$3360,"",'J Book Items Cons.'!E$5:E$3360,2,'J Book Items Cons.'!U$5:U$3360,"USN",'J Book Items Cons.'!W$5:W$3360,"Surface Combatants",'J Book Items Cons.'!R$5:R$3360,"",'J Book Items Cons.'!N$5:N$3360,"")+SUMIFS('J Book Items Cons.'!R$5:R$3360,'J Book Items Cons.'!S$5:S$3360,"[PARENT]",'J Book Items Cons.'!E$5:E$3360,2,'J Book Items Cons.'!U$5:U$3360,"USN",'J Book Items Cons.'!W$5:W$3360,"Surface Combatants",'J Book Items Cons.'!R$5:R$3360,"&lt;&gt;")+SUMIFS('J Book Items Cons.'!N$5:N$3360,'J Book Items Cons.'!S$5:S$3360,"[PARENT]",'J Book Items Cons.'!E$5:E$3360,2,'J Book Items Cons.'!U$5:U$3360,"USN",'J Book Items Cons.'!W$5:W$3360,"Surface Combatants",'J Book Items Cons.'!R$5:R$3360,"",'J Book Items Cons.'!N$5:N$3360,"&lt;&gt;")+SUMIFS('J Book Items Cons.'!L$5:L$3360,'J Book Items Cons.'!S$5:S$3360,"[PARENT]",'J Book Items Cons.'!E$5:E$3360,2,'J Book Items Cons.'!U$5:U$3360,"USN",'J Book Items Cons.'!W$5:W$3360,"Surface Combatants",'J Book Items Cons.'!R$5:R$3360,"",'J Book Items Cons.'!N$5:N$3360,""))/B36)</f>
        <v>0.26936061309335196</v>
      </c>
      <c r="C30" s="38">
        <f>IF(C36=0,0,(SUMIFS('J Book Items Cons.'!R$5:R$3360,'J Book Items Cons.'!S$5:S$3360,"",'J Book Items Cons.'!E$5:E$3360,2,'J Book Items Cons.'!U$5:U$3360,"USN",'J Book Items Cons.'!W$5:W$3360,"Amphibious Warfare Ships",'J Book Items Cons.'!R$5:R$3360,"&lt;&gt;")+SUMIFS('J Book Items Cons.'!N$5:N$3360,'J Book Items Cons.'!S$5:S$3360,"",'J Book Items Cons.'!E$5:E$3360,2,'J Book Items Cons.'!U$5:U$3360,"USN",'J Book Items Cons.'!W$5:W$3360,"Amphibious Warfare Ships",'J Book Items Cons.'!R$5:R$3360,"",'J Book Items Cons.'!N$5:N$3360,"&lt;&gt;")+SUMIFS('J Book Items Cons.'!L$5:L$3360,'J Book Items Cons.'!S$5:S$3360,"",'J Book Items Cons.'!E$5:E$3360,2,'J Book Items Cons.'!U$5:U$3360,"USN",'J Book Items Cons.'!W$5:W$3360,"Amphibious Warfare Ships",'J Book Items Cons.'!R$5:R$3360,"",'J Book Items Cons.'!N$5:N$3360,"")+SUMIFS('J Book Items Cons.'!R$5:R$3360,'J Book Items Cons.'!S$5:S$3360,"[PARENT]",'J Book Items Cons.'!E$5:E$3360,2,'J Book Items Cons.'!U$5:U$3360,"USN",'J Book Items Cons.'!W$5:W$3360,"Amphibious Warfare Ships",'J Book Items Cons.'!R$5:R$3360,"&lt;&gt;")+SUMIFS('J Book Items Cons.'!N$5:N$3360,'J Book Items Cons.'!S$5:S$3360,"[PARENT]",'J Book Items Cons.'!E$5:E$3360,2,'J Book Items Cons.'!U$5:U$3360,"USN",'J Book Items Cons.'!W$5:W$3360,"Amphibious Warfare Ships",'J Book Items Cons.'!R$5:R$3360,"",'J Book Items Cons.'!N$5:N$3360,"&lt;&gt;")+SUMIFS('J Book Items Cons.'!L$5:L$3360,'J Book Items Cons.'!S$5:S$3360,"[PARENT]",'J Book Items Cons.'!E$5:E$3360,2,'J Book Items Cons.'!U$5:U$3360,"USN",'J Book Items Cons.'!W$5:W$3360,"Amphibious Warfare Ships",'J Book Items Cons.'!R$5:R$3360,"",'J Book Items Cons.'!N$5:N$3360,""))/C36)</f>
        <v>0.40471142535615273</v>
      </c>
      <c r="D30" s="38">
        <f>IF(D36=0,0,(SUMIFS('J Book Items Cons.'!R$5:R$3360,'J Book Items Cons.'!S$5:S$3360,"",'J Book Items Cons.'!E$5:E$3360,2,'J Book Items Cons.'!U$5:U$3360,"USN",'J Book Items Cons.'!W$5:W$3360,"Expeditionary &amp; Seabasing Ships",'J Book Items Cons.'!R$5:R$3360,"&lt;&gt;")+SUMIFS('J Book Items Cons.'!N$5:N$3360,'J Book Items Cons.'!S$5:S$3360,"",'J Book Items Cons.'!E$5:E$3360,2,'J Book Items Cons.'!U$5:U$3360,"USN",'J Book Items Cons.'!W$5:W$3360,"Expeditionary &amp; Seabasing Ships",'J Book Items Cons.'!R$5:R$3360,"",'J Book Items Cons.'!N$5:N$3360,"&lt;&gt;")+SUMIFS('J Book Items Cons.'!L$5:L$3360,'J Book Items Cons.'!S$5:S$3360,"",'J Book Items Cons.'!E$5:E$3360,2,'J Book Items Cons.'!U$5:U$3360,"USN",'J Book Items Cons.'!W$5:W$3360,"Expeditionary &amp; Seabasing Ships",'J Book Items Cons.'!R$5:R$3360,"",'J Book Items Cons.'!N$5:N$3360,"")+SUMIFS('J Book Items Cons.'!R$5:R$3360,'J Book Items Cons.'!S$5:S$3360,"[PARENT]",'J Book Items Cons.'!E$5:E$3360,2,'J Book Items Cons.'!U$5:U$3360,"USN",'J Book Items Cons.'!W$5:W$3360,"Expeditionary &amp; Seabasing Ships",'J Book Items Cons.'!R$5:R$3360,"&lt;&gt;")+SUMIFS('J Book Items Cons.'!N$5:N$3360,'J Book Items Cons.'!S$5:S$3360,"[PARENT]",'J Book Items Cons.'!E$5:E$3360,2,'J Book Items Cons.'!U$5:U$3360,"USN",'J Book Items Cons.'!W$5:W$3360,"Expeditionary &amp; Seabasing Ships",'J Book Items Cons.'!R$5:R$3360,"",'J Book Items Cons.'!N$5:N$3360,"&lt;&gt;")+SUMIFS('J Book Items Cons.'!L$5:L$3360,'J Book Items Cons.'!S$5:S$3360,"[PARENT]",'J Book Items Cons.'!E$5:E$3360,2,'J Book Items Cons.'!U$5:U$3360,"USN",'J Book Items Cons.'!W$5:W$3360,"Expeditionary &amp; Seabasing Ships",'J Book Items Cons.'!R$5:R$3360,"",'J Book Items Cons.'!N$5:N$3360,""))/D36)</f>
        <v>0.38328338867741152</v>
      </c>
      <c r="E30" s="38">
        <f>IF(E36=0,0,(SUMIFS('J Book Items Cons.'!R$5:R$3360,'J Book Items Cons.'!S$5:S$3360,"",'J Book Items Cons.'!E$5:E$3360,2,'J Book Items Cons.'!U$5:U$3360,"MSC",'J Book Items Cons.'!W$5:W$3360,"Combat Logistics Ships",'J Book Items Cons.'!R$5:R$3360,"&lt;&gt;")+SUMIFS('J Book Items Cons.'!N$5:N$3360,'J Book Items Cons.'!S$5:S$3360,"",'J Book Items Cons.'!E$5:E$3360,2,'J Book Items Cons.'!U$5:U$3360,"MSC",'J Book Items Cons.'!W$5:W$3360,"Combat Logistics Ships",'J Book Items Cons.'!R$5:R$3360,"",'J Book Items Cons.'!N$5:N$3360,"&lt;&gt;")+SUMIFS('J Book Items Cons.'!L$5:L$3360,'J Book Items Cons.'!S$5:S$3360,"",'J Book Items Cons.'!E$5:E$3360,2,'J Book Items Cons.'!U$5:U$3360,"MSC",'J Book Items Cons.'!W$5:W$3360,"Combat Logistics Ships",'J Book Items Cons.'!R$5:R$3360,"",'J Book Items Cons.'!N$5:N$3360,"")+SUMIFS('J Book Items Cons.'!R$5:R$3360,'J Book Items Cons.'!S$5:S$3360,"[PARENT]",'J Book Items Cons.'!E$5:E$3360,2,'J Book Items Cons.'!U$5:U$3360,"MSC",'J Book Items Cons.'!W$5:W$3360,"Combat Logistics Ships",'J Book Items Cons.'!R$5:R$3360,"&lt;&gt;")+SUMIFS('J Book Items Cons.'!N$5:N$3360,'J Book Items Cons.'!S$5:S$3360,"[PARENT]",'J Book Items Cons.'!E$5:E$3360,2,'J Book Items Cons.'!U$5:U$3360,"MSC",'J Book Items Cons.'!W$5:W$3360,"Combat Logistics Ships",'J Book Items Cons.'!R$5:R$3360,"",'J Book Items Cons.'!N$5:N$3360,"&lt;&gt;")+SUMIFS('J Book Items Cons.'!L$5:L$3360,'J Book Items Cons.'!S$5:S$3360,"[PARENT]",'J Book Items Cons.'!E$5:E$3360,2,'J Book Items Cons.'!U$5:U$3360,"MSC",'J Book Items Cons.'!W$5:W$3360,"Combat Logistics Ships",'J Book Items Cons.'!R$5:R$3360,"",'J Book Items Cons.'!N$5:N$3360,""))/E36)</f>
        <v>0</v>
      </c>
      <c r="F30" s="38">
        <f>IF(F36=0,0,(SUMIFS('J Book Items Cons.'!R$5:R$3360,'J Book Items Cons.'!S$5:S$3360,"",'J Book Items Cons.'!E$5:E$3360,2,'J Book Items Cons.'!U$5:U$3360,"USN",'J Book Items Cons.'!W$5:W$3360,"Unmanned Surface Vehicles",'J Book Items Cons.'!R$5:R$3360,"&lt;&gt;")+SUMIFS('J Book Items Cons.'!N$5:N$3360,'J Book Items Cons.'!S$5:S$3360,"",'J Book Items Cons.'!E$5:E$3360,2,'J Book Items Cons.'!U$5:U$3360,"USN",'J Book Items Cons.'!W$5:W$3360,"Unmanned Surface Vehicles",'J Book Items Cons.'!R$5:R$3360,"",'J Book Items Cons.'!N$5:N$3360,"&lt;&gt;")+SUMIFS('J Book Items Cons.'!L$5:L$3360,'J Book Items Cons.'!S$5:S$3360,"",'J Book Items Cons.'!E$5:E$3360,2,'J Book Items Cons.'!U$5:U$3360,"USN",'J Book Items Cons.'!W$5:W$3360,"Unmanned Surface Vehicles",'J Book Items Cons.'!R$5:R$3360,"",'J Book Items Cons.'!N$5:N$3360,"")+SUMIFS('J Book Items Cons.'!R$5:R$3360,'J Book Items Cons.'!S$5:S$3360,"[PARENT]",'J Book Items Cons.'!E$5:E$3360,2,'J Book Items Cons.'!U$5:U$3360,"USN",'J Book Items Cons.'!W$5:W$3360,"Unmanned Surface Vehicles",'J Book Items Cons.'!R$5:R$3360,"&lt;&gt;")+SUMIFS('J Book Items Cons.'!N$5:N$3360,'J Book Items Cons.'!S$5:S$3360,"[PARENT]",'J Book Items Cons.'!E$5:E$3360,2,'J Book Items Cons.'!U$5:U$3360,"USN",'J Book Items Cons.'!W$5:W$3360,"Unmanned Surface Vehicles",'J Book Items Cons.'!R$5:R$3360,"",'J Book Items Cons.'!N$5:N$3360,"&lt;&gt;")+SUMIFS('J Book Items Cons.'!L$5:L$3360,'J Book Items Cons.'!S$5:S$3360,"[PARENT]",'J Book Items Cons.'!E$5:E$3360,2,'J Book Items Cons.'!U$5:U$3360,"USN",'J Book Items Cons.'!W$5:W$3360,"Unmanned Surface Vehicles",'J Book Items Cons.'!R$5:R$3360,"",'J Book Items Cons.'!N$5:N$3360,""))/F36)</f>
        <v>0</v>
      </c>
      <c r="G30" s="38">
        <f>IF(G36=0,0,(SUMIFS('J Book Items Cons.'!R$5:R$3360,'J Book Items Cons.'!S$5:S$3360,"",'J Book Items Cons.'!E$5:E$3360,2,'J Book Items Cons.'!U$5:U$3360,"USN",'J Book Items Cons.'!W$5:W$3360,"Amphibious Warfare Craft",'J Book Items Cons.'!R$5:R$3360,"&lt;&gt;")+SUMIFS('J Book Items Cons.'!N$5:N$3360,'J Book Items Cons.'!S$5:S$3360,"",'J Book Items Cons.'!E$5:E$3360,2,'J Book Items Cons.'!U$5:U$3360,"USN",'J Book Items Cons.'!W$5:W$3360,"Amphibious Warfare Craft",'J Book Items Cons.'!R$5:R$3360,"",'J Book Items Cons.'!N$5:N$3360,"&lt;&gt;")+SUMIFS('J Book Items Cons.'!L$5:L$3360,'J Book Items Cons.'!S$5:S$3360,"",'J Book Items Cons.'!E$5:E$3360,2,'J Book Items Cons.'!U$5:U$3360,"USN",'J Book Items Cons.'!W$5:W$3360,"Amphibious Warfare Craft",'J Book Items Cons.'!R$5:R$3360,"",'J Book Items Cons.'!N$5:N$3360,"")+SUMIFS('J Book Items Cons.'!R$5:R$3360,'J Book Items Cons.'!S$5:S$3360,"[PARENT]",'J Book Items Cons.'!E$5:E$3360,2,'J Book Items Cons.'!U$5:U$3360,"USN",'J Book Items Cons.'!W$5:W$3360,"Amphibious Warfare Craft",'J Book Items Cons.'!R$5:R$3360,"&lt;&gt;")+SUMIFS('J Book Items Cons.'!N$5:N$3360,'J Book Items Cons.'!S$5:S$3360,"[PARENT]",'J Book Items Cons.'!E$5:E$3360,2,'J Book Items Cons.'!U$5:U$3360,"USN",'J Book Items Cons.'!W$5:W$3360,"Amphibious Warfare Craft",'J Book Items Cons.'!R$5:R$3360,"",'J Book Items Cons.'!N$5:N$3360,"&lt;&gt;")+SUMIFS('J Book Items Cons.'!L$5:L$3360,'J Book Items Cons.'!S$5:S$3360,"[PARENT]",'J Book Items Cons.'!E$5:E$3360,2,'J Book Items Cons.'!U$5:U$3360,"USN",'J Book Items Cons.'!W$5:W$3360,"Amphibious Warfare Craft",'J Book Items Cons.'!R$5:R$3360,"",'J Book Items Cons.'!N$5:N$3360,""))/G36)</f>
        <v>2.4120916684005587E-2</v>
      </c>
      <c r="H30" s="38">
        <f>IF(H36=0,0,(SUMIFS('J Book Items Cons.'!R$5:R$3360,'J Book Items Cons.'!S$5:S$3360,"",'J Book Items Cons.'!E$5:E$3360,2,'J Book Items Cons.'!U$5:U$3360,"MSC",'J Book Items Cons.'!W$5:W$3360,"Cargo &amp; Vehicle Cargo Ships",'J Book Items Cons.'!R$5:R$3360,"&lt;&gt;")+SUMIFS('J Book Items Cons.'!N$5:N$3360,'J Book Items Cons.'!S$5:S$3360,"",'J Book Items Cons.'!E$5:E$3360,2,'J Book Items Cons.'!U$5:U$3360,"MSC",'J Book Items Cons.'!W$5:W$3360,"Cargo &amp; Vehicle Cargo Ships",'J Book Items Cons.'!R$5:R$3360,"",'J Book Items Cons.'!N$5:N$3360,"&lt;&gt;")+SUMIFS('J Book Items Cons.'!L$5:L$3360,'J Book Items Cons.'!S$5:S$3360,"",'J Book Items Cons.'!E$5:E$3360,2,'J Book Items Cons.'!U$5:U$3360,"MSC",'J Book Items Cons.'!W$5:W$3360,"Cargo &amp; Vehicle Cargo Ships",'J Book Items Cons.'!R$5:R$3360,"",'J Book Items Cons.'!N$5:N$3360,"")+SUMIFS('J Book Items Cons.'!R$5:R$3360,'J Book Items Cons.'!S$5:S$3360,"[PARENT]",'J Book Items Cons.'!E$5:E$3360,2,'J Book Items Cons.'!U$5:U$3360,"MSC",'J Book Items Cons.'!W$5:W$3360,"Cargo &amp; Vehicle Cargo Ships",'J Book Items Cons.'!R$5:R$3360,"&lt;&gt;")+SUMIFS('J Book Items Cons.'!N$5:N$3360,'J Book Items Cons.'!S$5:S$3360,"[PARENT]",'J Book Items Cons.'!E$5:E$3360,2,'J Book Items Cons.'!U$5:U$3360,"MSC",'J Book Items Cons.'!W$5:W$3360,"Cargo &amp; Vehicle Cargo Ships",'J Book Items Cons.'!R$5:R$3360,"",'J Book Items Cons.'!N$5:N$3360,"&lt;&gt;")+SUMIFS('J Book Items Cons.'!L$5:L$3360,'J Book Items Cons.'!S$5:S$3360,"[PARENT]",'J Book Items Cons.'!E$5:E$3360,2,'J Book Items Cons.'!U$5:U$3360,"MSC",'J Book Items Cons.'!W$5:W$3360,"Cargo &amp; Vehicle Cargo Ships",'J Book Items Cons.'!R$5:R$3360,"",'J Book Items Cons.'!N$5:N$3360,""))/H36)</f>
        <v>0</v>
      </c>
      <c r="I30" s="38">
        <f>IF(I36=0,0,(SUMIFS('J Book Items Cons.'!R$5:R$3360,'J Book Items Cons.'!S$5:S$3360,"",'J Book Items Cons.'!E$5:E$3360,2,'J Book Items Cons.'!U$5:U$3360,"MSC",'J Book Items Cons.'!W$5:W$3360,"Surveillance Ships",'J Book Items Cons.'!R$5:R$3360,"&lt;&gt;")+SUMIFS('J Book Items Cons.'!N$5:N$3360,'J Book Items Cons.'!S$5:S$3360,"",'J Book Items Cons.'!E$5:E$3360,2,'J Book Items Cons.'!U$5:U$3360,"MSC",'J Book Items Cons.'!W$5:W$3360,"Surveillance Ships",'J Book Items Cons.'!R$5:R$3360,"",'J Book Items Cons.'!N$5:N$3360,"&lt;&gt;")+SUMIFS('J Book Items Cons.'!L$5:L$3360,'J Book Items Cons.'!S$5:S$3360,"",'J Book Items Cons.'!E$5:E$3360,2,'J Book Items Cons.'!U$5:U$3360,"MSC",'J Book Items Cons.'!W$5:W$3360,"Surveillance Ships",'J Book Items Cons.'!R$5:R$3360,"",'J Book Items Cons.'!N$5:N$3360,"")+SUMIFS('J Book Items Cons.'!R$5:R$3360,'J Book Items Cons.'!S$5:S$3360,"[PARENT]",'J Book Items Cons.'!E$5:E$3360,2,'J Book Items Cons.'!U$5:U$3360,"MSC",'J Book Items Cons.'!W$5:W$3360,"Surveillance Ships",'J Book Items Cons.'!R$5:R$3360,"&lt;&gt;")+SUMIFS('J Book Items Cons.'!N$5:N$3360,'J Book Items Cons.'!S$5:S$3360,"[PARENT]",'J Book Items Cons.'!E$5:E$3360,2,'J Book Items Cons.'!U$5:U$3360,"MSC",'J Book Items Cons.'!W$5:W$3360,"Surveillance Ships",'J Book Items Cons.'!R$5:R$3360,"",'J Book Items Cons.'!N$5:N$3360,"&lt;&gt;")+SUMIFS('J Book Items Cons.'!L$5:L$3360,'J Book Items Cons.'!S$5:S$3360,"[PARENT]",'J Book Items Cons.'!E$5:E$3360,2,'J Book Items Cons.'!U$5:U$3360,"MSC",'J Book Items Cons.'!W$5:W$3360,"Surveillance Ships",'J Book Items Cons.'!R$5:R$3360,"",'J Book Items Cons.'!N$5:N$3360,""))/I36)</f>
        <v>0</v>
      </c>
      <c r="J30" s="38">
        <f>IF(J36=0,0,(SUMIFS('J Book Items Cons.'!R$5:R$3360,'J Book Items Cons.'!S$5:S$3360,"",'J Book Items Cons.'!E$5:E$3360,2,'J Book Items Cons.'!U$5:U$3360,"USN",'J Book Items Cons.'!W$5:W$3360,"Command Ships",'J Book Items Cons.'!R$5:R$3360,"&lt;&gt;")+SUMIFS('J Book Items Cons.'!N$5:N$3360,'J Book Items Cons.'!S$5:S$3360,"",'J Book Items Cons.'!E$5:E$3360,2,'J Book Items Cons.'!U$5:U$3360,"USN",'J Book Items Cons.'!W$5:W$3360,"Command Ships",'J Book Items Cons.'!R$5:R$3360,"",'J Book Items Cons.'!N$5:N$3360,"&lt;&gt;")+SUMIFS('J Book Items Cons.'!L$5:L$3360,'J Book Items Cons.'!S$5:S$3360,"",'J Book Items Cons.'!E$5:E$3360,2,'J Book Items Cons.'!U$5:U$3360,"USN",'J Book Items Cons.'!W$5:W$3360,"Command Ships",'J Book Items Cons.'!R$5:R$3360,"",'J Book Items Cons.'!N$5:N$3360,"")+SUMIFS('J Book Items Cons.'!R$5:R$3360,'J Book Items Cons.'!S$5:S$3360,"[PARENT]",'J Book Items Cons.'!E$5:E$3360,2,'J Book Items Cons.'!U$5:U$3360,"USN",'J Book Items Cons.'!W$5:W$3360,"Command Ships",'J Book Items Cons.'!R$5:R$3360,"&lt;&gt;")+SUMIFS('J Book Items Cons.'!N$5:N$3360,'J Book Items Cons.'!S$5:S$3360,"[PARENT]",'J Book Items Cons.'!E$5:E$3360,2,'J Book Items Cons.'!U$5:U$3360,"USN",'J Book Items Cons.'!W$5:W$3360,"Command Ships",'J Book Items Cons.'!R$5:R$3360,"",'J Book Items Cons.'!N$5:N$3360,"&lt;&gt;")+SUMIFS('J Book Items Cons.'!L$5:L$3360,'J Book Items Cons.'!S$5:S$3360,"[PARENT]",'J Book Items Cons.'!E$5:E$3360,2,'J Book Items Cons.'!U$5:U$3360,"USN",'J Book Items Cons.'!W$5:W$3360,"Command Ships",'J Book Items Cons.'!R$5:R$3360,"",'J Book Items Cons.'!N$5:N$3360,""))/J36)</f>
        <v>0.53493534066782478</v>
      </c>
      <c r="K30" s="39">
        <f>IF(K36=0,0,(SUMIFS('J Book Items Cons.'!R$5:R$3360,'J Book Items Cons.'!S$5:S$3360,"",'J Book Items Cons.'!E$5:E$3360,2,'J Book Items Cons.'!U$5:U$3360,"USN",'J Book Items Cons.'!W$5:W$3360,"Mine Warfare",'J Book Items Cons.'!R$5:R$3360,"&lt;&gt;")+SUMIFS('J Book Items Cons.'!N$5:N$3360,'J Book Items Cons.'!S$5:S$3360,"",'J Book Items Cons.'!E$5:E$3360,2,'J Book Items Cons.'!U$5:U$3360,"USN",'J Book Items Cons.'!W$5:W$3360,"Mine Warfare",'J Book Items Cons.'!R$5:R$3360,"",'J Book Items Cons.'!N$5:N$3360,"&lt;&gt;")+SUMIFS('J Book Items Cons.'!L$5:L$3360,'J Book Items Cons.'!S$5:S$3360,"",'J Book Items Cons.'!E$5:E$3360,2,'J Book Items Cons.'!U$5:U$3360,"USN",'J Book Items Cons.'!W$5:W$3360,"Mine Warfare",'J Book Items Cons.'!R$5:R$3360,"",'J Book Items Cons.'!N$5:N$3360,"")+SUMIFS('J Book Items Cons.'!R$5:R$3360,'J Book Items Cons.'!S$5:S$3360,"[PARENT]",'J Book Items Cons.'!E$5:E$3360,2,'J Book Items Cons.'!U$5:U$3360,"USN",'J Book Items Cons.'!W$5:W$3360,"Mine Warfare",'J Book Items Cons.'!R$5:R$3360,"&lt;&gt;")+SUMIFS('J Book Items Cons.'!N$5:N$3360,'J Book Items Cons.'!S$5:S$3360,"[PARENT]",'J Book Items Cons.'!E$5:E$3360,2,'J Book Items Cons.'!U$5:U$3360,"USN",'J Book Items Cons.'!W$5:W$3360,"Mine Warfare",'J Book Items Cons.'!R$5:R$3360,"",'J Book Items Cons.'!N$5:N$3360,"&lt;&gt;")+SUMIFS('J Book Items Cons.'!L$5:L$3360,'J Book Items Cons.'!S$5:S$3360,"[PARENT]",'J Book Items Cons.'!E$5:E$3360,2,'J Book Items Cons.'!U$5:U$3360,"USN",'J Book Items Cons.'!W$5:W$3360,"Mine Warfare",'J Book Items Cons.'!R$5:R$3360,"",'J Book Items Cons.'!N$5:N$3360,""))/K36)</f>
        <v>0.95613782906895561</v>
      </c>
      <c r="L30" s="37">
        <f>IF(L36=0,0,(SUMIFS('J Book Items Cons.'!R$5:R$3360,'J Book Items Cons.'!S$5:S$3360,"",'J Book Items Cons.'!E$5:E$3360,2,'J Book Items Cons.'!U$5:U$3360,"USCG",'J Book Items Cons.'!W$5:W$3360,"Offshore Patrol Cutter",'J Book Items Cons.'!R$5:R$3360,"&lt;&gt;")+SUMIFS('J Book Items Cons.'!N$5:N$3360,'J Book Items Cons.'!S$5:S$3360,"",'J Book Items Cons.'!E$5:E$3360,2,'J Book Items Cons.'!U$5:U$3360,"USCG",'J Book Items Cons.'!W$5:W$3360,"Offshore Patrol Cutter",'J Book Items Cons.'!R$5:R$3360,"",'J Book Items Cons.'!N$5:N$3360,"&lt;&gt;")+SUMIFS('J Book Items Cons.'!L$5:L$3360,'J Book Items Cons.'!S$5:S$3360,"",'J Book Items Cons.'!E$5:E$3360,2,'J Book Items Cons.'!U$5:U$3360,"USCG",'J Book Items Cons.'!W$5:W$3360,"Offshore Patrol Cutter",'J Book Items Cons.'!R$5:R$3360,"",'J Book Items Cons.'!N$5:N$3360,"")+SUMIFS('J Book Items Cons.'!R$5:R$3360,'J Book Items Cons.'!S$5:S$3360,"[PARENT]",'J Book Items Cons.'!E$5:E$3360,2,'J Book Items Cons.'!U$5:U$3360,"USCG",'J Book Items Cons.'!W$5:W$3360,"Offshore Patrol Cutter",'J Book Items Cons.'!R$5:R$3360,"&lt;&gt;")+SUMIFS('J Book Items Cons.'!N$5:N$3360,'J Book Items Cons.'!S$5:S$3360,"[PARENT]",'J Book Items Cons.'!E$5:E$3360,2,'J Book Items Cons.'!U$5:U$3360,"USCG",'J Book Items Cons.'!W$5:W$3360,"Offshore Patrol Cutter",'J Book Items Cons.'!R$5:R$3360,"",'J Book Items Cons.'!N$5:N$3360,"&lt;&gt;")+SUMIFS('J Book Items Cons.'!L$5:L$3360,'J Book Items Cons.'!S$5:S$3360,"[PARENT]",'J Book Items Cons.'!E$5:E$3360,2,'J Book Items Cons.'!U$5:U$3360,"USCG",'J Book Items Cons.'!W$5:W$3360,"Offshore Patrol Cutter",'J Book Items Cons.'!R$5:R$3360,"",'J Book Items Cons.'!N$5:N$3360,""))/L36)</f>
        <v>0</v>
      </c>
      <c r="M30" s="38">
        <f>IF(M36=0,0,(SUMIFS('J Book Items Cons.'!R$5:R$3360,'J Book Items Cons.'!S$5:S$3360,"",'J Book Items Cons.'!E$5:E$3360,2,'J Book Items Cons.'!U$5:U$3360,"USCG",'J Book Items Cons.'!W$5:W$3360,"Fast Response Cutters",'J Book Items Cons.'!R$5:R$3360,"&lt;&gt;")+SUMIFS('J Book Items Cons.'!N$5:N$3360,'J Book Items Cons.'!S$5:S$3360,"",'J Book Items Cons.'!E$5:E$3360,2,'J Book Items Cons.'!U$5:U$3360,"USCG",'J Book Items Cons.'!W$5:W$3360,"Fast Response Cutters",'J Book Items Cons.'!R$5:R$3360,"",'J Book Items Cons.'!N$5:N$3360,"&lt;&gt;")+SUMIFS('J Book Items Cons.'!L$5:L$3360,'J Book Items Cons.'!S$5:S$3360,"",'J Book Items Cons.'!E$5:E$3360,2,'J Book Items Cons.'!U$5:U$3360,"USCG",'J Book Items Cons.'!W$5:W$3360,"Fast Response Cutters",'J Book Items Cons.'!R$5:R$3360,"",'J Book Items Cons.'!N$5:N$3360,"")+SUMIFS('J Book Items Cons.'!R$5:R$3360,'J Book Items Cons.'!S$5:S$3360,"[PARENT]",'J Book Items Cons.'!E$5:E$3360,2,'J Book Items Cons.'!U$5:U$3360,"USCG",'J Book Items Cons.'!W$5:W$3360,"Fast Response Cutters",'J Book Items Cons.'!R$5:R$3360,"&lt;&gt;")+SUMIFS('J Book Items Cons.'!N$5:N$3360,'J Book Items Cons.'!S$5:S$3360,"[PARENT]",'J Book Items Cons.'!E$5:E$3360,2,'J Book Items Cons.'!U$5:U$3360,"USCG",'J Book Items Cons.'!W$5:W$3360,"Fast Response Cutters",'J Book Items Cons.'!R$5:R$3360,"",'J Book Items Cons.'!N$5:N$3360,"&lt;&gt;")+SUMIFS('J Book Items Cons.'!L$5:L$3360,'J Book Items Cons.'!S$5:S$3360,"[PARENT]",'J Book Items Cons.'!E$5:E$3360,2,'J Book Items Cons.'!U$5:U$3360,"USCG",'J Book Items Cons.'!W$5:W$3360,"Fast Response Cutters",'J Book Items Cons.'!R$5:R$3360,"",'J Book Items Cons.'!N$5:N$3360,""))/M36)</f>
        <v>0</v>
      </c>
      <c r="N30" s="38">
        <f>IF(N36=0,0,(SUMIFS('J Book Items Cons.'!R$5:R$3360,'J Book Items Cons.'!S$5:S$3360,"",'J Book Items Cons.'!E$5:E$3360,2,'J Book Items Cons.'!U$5:U$3360,"USCG",'J Book Items Cons.'!W$5:W$3360,"Icebreakers, Oceangoing",'J Book Items Cons.'!R$5:R$3360,"&lt;&gt;")+SUMIFS('J Book Items Cons.'!N$5:N$3360,'J Book Items Cons.'!S$5:S$3360,"",'J Book Items Cons.'!E$5:E$3360,2,'J Book Items Cons.'!U$5:U$3360,"USCG",'J Book Items Cons.'!W$5:W$3360,"Icebreakers, Oceangoing",'J Book Items Cons.'!R$5:R$3360,"",'J Book Items Cons.'!N$5:N$3360,"&lt;&gt;")+SUMIFS('J Book Items Cons.'!L$5:L$3360,'J Book Items Cons.'!S$5:S$3360,"",'J Book Items Cons.'!E$5:E$3360,2,'J Book Items Cons.'!U$5:U$3360,"USCG",'J Book Items Cons.'!W$5:W$3360,"Icebreakers, Oceangoing",'J Book Items Cons.'!R$5:R$3360,"",'J Book Items Cons.'!N$5:N$3360,"")+SUMIFS('J Book Items Cons.'!R$5:R$3360,'J Book Items Cons.'!S$5:S$3360,"[PARENT]",'J Book Items Cons.'!E$5:E$3360,2,'J Book Items Cons.'!U$5:U$3360,"USCG",'J Book Items Cons.'!W$5:W$3360,"Icebreakers, Oceangoing",'J Book Items Cons.'!R$5:R$3360,"&lt;&gt;")+SUMIFS('J Book Items Cons.'!N$5:N$3360,'J Book Items Cons.'!S$5:S$3360,"[PARENT]",'J Book Items Cons.'!E$5:E$3360,2,'J Book Items Cons.'!U$5:U$3360,"USCG",'J Book Items Cons.'!W$5:W$3360,"Icebreakers, Oceangoing",'J Book Items Cons.'!R$5:R$3360,"",'J Book Items Cons.'!N$5:N$3360,"&lt;&gt;")+SUMIFS('J Book Items Cons.'!L$5:L$3360,'J Book Items Cons.'!S$5:S$3360,"[PARENT]",'J Book Items Cons.'!E$5:E$3360,2,'J Book Items Cons.'!U$5:U$3360,"USCG",'J Book Items Cons.'!W$5:W$3360,"Icebreakers, Oceangoing",'J Book Items Cons.'!R$5:R$3360,"",'J Book Items Cons.'!N$5:N$3360,""))/N36)</f>
        <v>0</v>
      </c>
      <c r="O30" s="38">
        <f>IF(O36=0,0,(SUMIFS('J Book Items Cons.'!R$5:R$3360,'J Book Items Cons.'!S$5:S$3360,"",'J Book Items Cons.'!E$5:E$3360,2,'J Book Items Cons.'!U$5:U$3360,"USCG",'J Book Items Cons.'!W$5:W$3360,"Waterways Commerce Cutters",'J Book Items Cons.'!R$5:R$3360,"&lt;&gt;")+SUMIFS('J Book Items Cons.'!N$5:N$3360,'J Book Items Cons.'!S$5:S$3360,"",'J Book Items Cons.'!E$5:E$3360,2,'J Book Items Cons.'!U$5:U$3360,"USCG",'J Book Items Cons.'!W$5:W$3360,"Waterways Commerce Cutters",'J Book Items Cons.'!R$5:R$3360,"",'J Book Items Cons.'!N$5:N$3360,"&lt;&gt;")+SUMIFS('J Book Items Cons.'!L$5:L$3360,'J Book Items Cons.'!S$5:S$3360,"",'J Book Items Cons.'!E$5:E$3360,2,'J Book Items Cons.'!U$5:U$3360,"USCG",'J Book Items Cons.'!W$5:W$3360,"Waterways Commerce Cutters",'J Book Items Cons.'!R$5:R$3360,"",'J Book Items Cons.'!N$5:N$3360,"")+SUMIFS('J Book Items Cons.'!R$5:R$3360,'J Book Items Cons.'!S$5:S$3360,"[PARENT]",'J Book Items Cons.'!E$5:E$3360,2,'J Book Items Cons.'!U$5:U$3360,"USCG",'J Book Items Cons.'!W$5:W$3360,"Waterways Commerce Cutters",'J Book Items Cons.'!R$5:R$3360,"&lt;&gt;")+SUMIFS('J Book Items Cons.'!N$5:N$3360,'J Book Items Cons.'!S$5:S$3360,"[PARENT]",'J Book Items Cons.'!E$5:E$3360,2,'J Book Items Cons.'!U$5:U$3360,"USCG",'J Book Items Cons.'!W$5:W$3360,"Waterways Commerce Cutters",'J Book Items Cons.'!R$5:R$3360,"",'J Book Items Cons.'!N$5:N$3360,"&lt;&gt;")+SUMIFS('J Book Items Cons.'!L$5:L$3360,'J Book Items Cons.'!S$5:S$3360,"[PARENT]",'J Book Items Cons.'!E$5:E$3360,2,'J Book Items Cons.'!U$5:U$3360,"USCG",'J Book Items Cons.'!W$5:W$3360,"Waterways Commerce Cutters",'J Book Items Cons.'!R$5:R$3360,"",'J Book Items Cons.'!N$5:N$3360,""))/O36)</f>
        <v>0</v>
      </c>
      <c r="P30" s="39">
        <f>IF(P36=0,0,(SUMIFS('J Book Items Cons.'!R$5:R$3360,'J Book Items Cons.'!S$5:S$3360,"",'J Book Items Cons.'!E$5:E$3360,2,'J Book Items Cons.'!U$5:U$3360,"USCG",'J Book Items Cons.'!W$5:W$3360,"National Security Cutters",'J Book Items Cons.'!R$5:R$3360,"&lt;&gt;")+SUMIFS('J Book Items Cons.'!N$5:N$3360,'J Book Items Cons.'!S$5:S$3360,"",'J Book Items Cons.'!E$5:E$3360,2,'J Book Items Cons.'!U$5:U$3360,"USCG",'J Book Items Cons.'!W$5:W$3360,"National Security Cutters",'J Book Items Cons.'!R$5:R$3360,"",'J Book Items Cons.'!N$5:N$3360,"&lt;&gt;")+SUMIFS('J Book Items Cons.'!L$5:L$3360,'J Book Items Cons.'!S$5:S$3360,"",'J Book Items Cons.'!E$5:E$3360,2,'J Book Items Cons.'!U$5:U$3360,"USCG",'J Book Items Cons.'!W$5:W$3360,"National Security Cutters",'J Book Items Cons.'!R$5:R$3360,"",'J Book Items Cons.'!N$5:N$3360,"")+SUMIFS('J Book Items Cons.'!R$5:R$3360,'J Book Items Cons.'!S$5:S$3360,"[PARENT]",'J Book Items Cons.'!E$5:E$3360,2,'J Book Items Cons.'!U$5:U$3360,"USCG",'J Book Items Cons.'!W$5:W$3360,"National Security Cutters",'J Book Items Cons.'!R$5:R$3360,"&lt;&gt;")+SUMIFS('J Book Items Cons.'!N$5:N$3360,'J Book Items Cons.'!S$5:S$3360,"[PARENT]",'J Book Items Cons.'!E$5:E$3360,2,'J Book Items Cons.'!U$5:U$3360,"USCG",'J Book Items Cons.'!W$5:W$3360,"National Security Cutters",'J Book Items Cons.'!R$5:R$3360,"",'J Book Items Cons.'!N$5:N$3360,"&lt;&gt;")+SUMIFS('J Book Items Cons.'!L$5:L$3360,'J Book Items Cons.'!S$5:S$3360,"[PARENT]",'J Book Items Cons.'!E$5:E$3360,2,'J Book Items Cons.'!U$5:U$3360,"USCG",'J Book Items Cons.'!W$5:W$3360,"National Security Cutters",'J Book Items Cons.'!R$5:R$3360,"",'J Book Items Cons.'!N$5:N$3360,""))/P36)</f>
        <v>0</v>
      </c>
      <c r="Q30" s="38">
        <f>IF(Q36=0,0,SUMPRODUCT(B30:P30,B$36:P$36)/Q$36)</f>
        <v>0.29625330329807764</v>
      </c>
    </row>
    <row r="31" spans="1:17" ht="9.75" customHeight="1" x14ac:dyDescent="0.15">
      <c r="A31" s="7" t="s">
        <v>8851</v>
      </c>
      <c r="B31" s="37">
        <f>IF(B36=0,0,(SUMIFS('J Book Items Cons.'!R$5:R$3360,'J Book Items Cons.'!S$5:S$3360,"",'J Book Items Cons.'!E$5:E$3360,3,'J Book Items Cons.'!U$5:U$3360,"USN",'J Book Items Cons.'!W$5:W$3360,"Surface Combatants",'J Book Items Cons.'!R$5:R$3360,"&lt;&gt;")+SUMIFS('J Book Items Cons.'!N$5:N$3360,'J Book Items Cons.'!S$5:S$3360,"",'J Book Items Cons.'!E$5:E$3360,3,'J Book Items Cons.'!U$5:U$3360,"USN",'J Book Items Cons.'!W$5:W$3360,"Surface Combatants",'J Book Items Cons.'!R$5:R$3360,"",'J Book Items Cons.'!N$5:N$3360,"&lt;&gt;")+SUMIFS('J Book Items Cons.'!L$5:L$3360,'J Book Items Cons.'!S$5:S$3360,"",'J Book Items Cons.'!E$5:E$3360,3,'J Book Items Cons.'!U$5:U$3360,"USN",'J Book Items Cons.'!W$5:W$3360,"Surface Combatants",'J Book Items Cons.'!R$5:R$3360,"",'J Book Items Cons.'!N$5:N$3360,"")+SUMIFS('J Book Items Cons.'!R$5:R$3360,'J Book Items Cons.'!S$5:S$3360,"[PARENT]",'J Book Items Cons.'!E$5:E$3360,3,'J Book Items Cons.'!U$5:U$3360,"USN",'J Book Items Cons.'!W$5:W$3360,"Surface Combatants",'J Book Items Cons.'!R$5:R$3360,"&lt;&gt;")+SUMIFS('J Book Items Cons.'!N$5:N$3360,'J Book Items Cons.'!S$5:S$3360,"[PARENT]",'J Book Items Cons.'!E$5:E$3360,3,'J Book Items Cons.'!U$5:U$3360,"USN",'J Book Items Cons.'!W$5:W$3360,"Surface Combatants",'J Book Items Cons.'!R$5:R$3360,"",'J Book Items Cons.'!N$5:N$3360,"&lt;&gt;")+SUMIFS('J Book Items Cons.'!L$5:L$3360,'J Book Items Cons.'!S$5:S$3360,"[PARENT]",'J Book Items Cons.'!E$5:E$3360,3,'J Book Items Cons.'!U$5:U$3360,"USN",'J Book Items Cons.'!W$5:W$3360,"Surface Combatants",'J Book Items Cons.'!R$5:R$3360,"",'J Book Items Cons.'!N$5:N$3360,""))/B36)</f>
        <v>3.3736572927146324E-2</v>
      </c>
      <c r="C31" s="38">
        <f>IF(C36=0,0,(SUMIFS('J Book Items Cons.'!R$5:R$3360,'J Book Items Cons.'!S$5:S$3360,"",'J Book Items Cons.'!E$5:E$3360,3,'J Book Items Cons.'!U$5:U$3360,"USN",'J Book Items Cons.'!W$5:W$3360,"Amphibious Warfare Ships",'J Book Items Cons.'!R$5:R$3360,"&lt;&gt;")+SUMIFS('J Book Items Cons.'!N$5:N$3360,'J Book Items Cons.'!S$5:S$3360,"",'J Book Items Cons.'!E$5:E$3360,3,'J Book Items Cons.'!U$5:U$3360,"USN",'J Book Items Cons.'!W$5:W$3360,"Amphibious Warfare Ships",'J Book Items Cons.'!R$5:R$3360,"",'J Book Items Cons.'!N$5:N$3360,"&lt;&gt;")+SUMIFS('J Book Items Cons.'!L$5:L$3360,'J Book Items Cons.'!S$5:S$3360,"",'J Book Items Cons.'!E$5:E$3360,3,'J Book Items Cons.'!U$5:U$3360,"USN",'J Book Items Cons.'!W$5:W$3360,"Amphibious Warfare Ships",'J Book Items Cons.'!R$5:R$3360,"",'J Book Items Cons.'!N$5:N$3360,"")+SUMIFS('J Book Items Cons.'!R$5:R$3360,'J Book Items Cons.'!S$5:S$3360,"[PARENT]",'J Book Items Cons.'!E$5:E$3360,3,'J Book Items Cons.'!U$5:U$3360,"USN",'J Book Items Cons.'!W$5:W$3360,"Amphibious Warfare Ships",'J Book Items Cons.'!R$5:R$3360,"&lt;&gt;")+SUMIFS('J Book Items Cons.'!N$5:N$3360,'J Book Items Cons.'!S$5:S$3360,"[PARENT]",'J Book Items Cons.'!E$5:E$3360,3,'J Book Items Cons.'!U$5:U$3360,"USN",'J Book Items Cons.'!W$5:W$3360,"Amphibious Warfare Ships",'J Book Items Cons.'!R$5:R$3360,"",'J Book Items Cons.'!N$5:N$3360,"&lt;&gt;")+SUMIFS('J Book Items Cons.'!L$5:L$3360,'J Book Items Cons.'!S$5:S$3360,"[PARENT]",'J Book Items Cons.'!E$5:E$3360,3,'J Book Items Cons.'!U$5:U$3360,"USN",'J Book Items Cons.'!W$5:W$3360,"Amphibious Warfare Ships",'J Book Items Cons.'!R$5:R$3360,"",'J Book Items Cons.'!N$5:N$3360,""))/C36)</f>
        <v>0</v>
      </c>
      <c r="D31" s="38">
        <f>IF(D36=0,0,(SUMIFS('J Book Items Cons.'!R$5:R$3360,'J Book Items Cons.'!S$5:S$3360,"",'J Book Items Cons.'!E$5:E$3360,3,'J Book Items Cons.'!U$5:U$3360,"USN",'J Book Items Cons.'!W$5:W$3360,"Expeditionary &amp; Seabasing Ships",'J Book Items Cons.'!R$5:R$3360,"&lt;&gt;")+SUMIFS('J Book Items Cons.'!N$5:N$3360,'J Book Items Cons.'!S$5:S$3360,"",'J Book Items Cons.'!E$5:E$3360,3,'J Book Items Cons.'!U$5:U$3360,"USN",'J Book Items Cons.'!W$5:W$3360,"Expeditionary &amp; Seabasing Ships",'J Book Items Cons.'!R$5:R$3360,"",'J Book Items Cons.'!N$5:N$3360,"&lt;&gt;")+SUMIFS('J Book Items Cons.'!L$5:L$3360,'J Book Items Cons.'!S$5:S$3360,"",'J Book Items Cons.'!E$5:E$3360,3,'J Book Items Cons.'!U$5:U$3360,"USN",'J Book Items Cons.'!W$5:W$3360,"Expeditionary &amp; Seabasing Ships",'J Book Items Cons.'!R$5:R$3360,"",'J Book Items Cons.'!N$5:N$3360,"")+SUMIFS('J Book Items Cons.'!R$5:R$3360,'J Book Items Cons.'!S$5:S$3360,"[PARENT]",'J Book Items Cons.'!E$5:E$3360,3,'J Book Items Cons.'!U$5:U$3360,"USN",'J Book Items Cons.'!W$5:W$3360,"Expeditionary &amp; Seabasing Ships",'J Book Items Cons.'!R$5:R$3360,"&lt;&gt;")+SUMIFS('J Book Items Cons.'!N$5:N$3360,'J Book Items Cons.'!S$5:S$3360,"[PARENT]",'J Book Items Cons.'!E$5:E$3360,3,'J Book Items Cons.'!U$5:U$3360,"USN",'J Book Items Cons.'!W$5:W$3360,"Expeditionary &amp; Seabasing Ships",'J Book Items Cons.'!R$5:R$3360,"",'J Book Items Cons.'!N$5:N$3360,"&lt;&gt;")+SUMIFS('J Book Items Cons.'!L$5:L$3360,'J Book Items Cons.'!S$5:S$3360,"[PARENT]",'J Book Items Cons.'!E$5:E$3360,3,'J Book Items Cons.'!U$5:U$3360,"USN",'J Book Items Cons.'!W$5:W$3360,"Expeditionary &amp; Seabasing Ships",'J Book Items Cons.'!R$5:R$3360,"",'J Book Items Cons.'!N$5:N$3360,""))/D36)</f>
        <v>0</v>
      </c>
      <c r="E31" s="38">
        <f>IF(E36=0,0,(SUMIFS('J Book Items Cons.'!R$5:R$3360,'J Book Items Cons.'!S$5:S$3360,"",'J Book Items Cons.'!E$5:E$3360,3,'J Book Items Cons.'!U$5:U$3360,"MSC",'J Book Items Cons.'!W$5:W$3360,"Combat Logistics Ships",'J Book Items Cons.'!R$5:R$3360,"&lt;&gt;")+SUMIFS('J Book Items Cons.'!N$5:N$3360,'J Book Items Cons.'!S$5:S$3360,"",'J Book Items Cons.'!E$5:E$3360,3,'J Book Items Cons.'!U$5:U$3360,"MSC",'J Book Items Cons.'!W$5:W$3360,"Combat Logistics Ships",'J Book Items Cons.'!R$5:R$3360,"",'J Book Items Cons.'!N$5:N$3360,"&lt;&gt;")+SUMIFS('J Book Items Cons.'!L$5:L$3360,'J Book Items Cons.'!S$5:S$3360,"",'J Book Items Cons.'!E$5:E$3360,3,'J Book Items Cons.'!U$5:U$3360,"MSC",'J Book Items Cons.'!W$5:W$3360,"Combat Logistics Ships",'J Book Items Cons.'!R$5:R$3360,"",'J Book Items Cons.'!N$5:N$3360,"")+SUMIFS('J Book Items Cons.'!R$5:R$3360,'J Book Items Cons.'!S$5:S$3360,"[PARENT]",'J Book Items Cons.'!E$5:E$3360,3,'J Book Items Cons.'!U$5:U$3360,"MSC",'J Book Items Cons.'!W$5:W$3360,"Combat Logistics Ships",'J Book Items Cons.'!R$5:R$3360,"&lt;&gt;")+SUMIFS('J Book Items Cons.'!N$5:N$3360,'J Book Items Cons.'!S$5:S$3360,"[PARENT]",'J Book Items Cons.'!E$5:E$3360,3,'J Book Items Cons.'!U$5:U$3360,"MSC",'J Book Items Cons.'!W$5:W$3360,"Combat Logistics Ships",'J Book Items Cons.'!R$5:R$3360,"",'J Book Items Cons.'!N$5:N$3360,"&lt;&gt;")+SUMIFS('J Book Items Cons.'!L$5:L$3360,'J Book Items Cons.'!S$5:S$3360,"[PARENT]",'J Book Items Cons.'!E$5:E$3360,3,'J Book Items Cons.'!U$5:U$3360,"MSC",'J Book Items Cons.'!W$5:W$3360,"Combat Logistics Ships",'J Book Items Cons.'!R$5:R$3360,"",'J Book Items Cons.'!N$5:N$3360,""))/E36)</f>
        <v>0</v>
      </c>
      <c r="F31" s="38">
        <f>IF(F36=0,0,(SUMIFS('J Book Items Cons.'!R$5:R$3360,'J Book Items Cons.'!S$5:S$3360,"",'J Book Items Cons.'!E$5:E$3360,3,'J Book Items Cons.'!U$5:U$3360,"USN",'J Book Items Cons.'!W$5:W$3360,"Unmanned Surface Vehicles",'J Book Items Cons.'!R$5:R$3360,"&lt;&gt;")+SUMIFS('J Book Items Cons.'!N$5:N$3360,'J Book Items Cons.'!S$5:S$3360,"",'J Book Items Cons.'!E$5:E$3360,3,'J Book Items Cons.'!U$5:U$3360,"USN",'J Book Items Cons.'!W$5:W$3360,"Unmanned Surface Vehicles",'J Book Items Cons.'!R$5:R$3360,"",'J Book Items Cons.'!N$5:N$3360,"&lt;&gt;")+SUMIFS('J Book Items Cons.'!L$5:L$3360,'J Book Items Cons.'!S$5:S$3360,"",'J Book Items Cons.'!E$5:E$3360,3,'J Book Items Cons.'!U$5:U$3360,"USN",'J Book Items Cons.'!W$5:W$3360,"Unmanned Surface Vehicles",'J Book Items Cons.'!R$5:R$3360,"",'J Book Items Cons.'!N$5:N$3360,"")+SUMIFS('J Book Items Cons.'!R$5:R$3360,'J Book Items Cons.'!S$5:S$3360,"[PARENT]",'J Book Items Cons.'!E$5:E$3360,3,'J Book Items Cons.'!U$5:U$3360,"USN",'J Book Items Cons.'!W$5:W$3360,"Unmanned Surface Vehicles",'J Book Items Cons.'!R$5:R$3360,"&lt;&gt;")+SUMIFS('J Book Items Cons.'!N$5:N$3360,'J Book Items Cons.'!S$5:S$3360,"[PARENT]",'J Book Items Cons.'!E$5:E$3360,3,'J Book Items Cons.'!U$5:U$3360,"USN",'J Book Items Cons.'!W$5:W$3360,"Unmanned Surface Vehicles",'J Book Items Cons.'!R$5:R$3360,"",'J Book Items Cons.'!N$5:N$3360,"&lt;&gt;")+SUMIFS('J Book Items Cons.'!L$5:L$3360,'J Book Items Cons.'!S$5:S$3360,"[PARENT]",'J Book Items Cons.'!E$5:E$3360,3,'J Book Items Cons.'!U$5:U$3360,"USN",'J Book Items Cons.'!W$5:W$3360,"Unmanned Surface Vehicles",'J Book Items Cons.'!R$5:R$3360,"",'J Book Items Cons.'!N$5:N$3360,""))/F36)</f>
        <v>0</v>
      </c>
      <c r="G31" s="38">
        <f>IF(G36=0,0,(SUMIFS('J Book Items Cons.'!R$5:R$3360,'J Book Items Cons.'!S$5:S$3360,"",'J Book Items Cons.'!E$5:E$3360,3,'J Book Items Cons.'!U$5:U$3360,"USN",'J Book Items Cons.'!W$5:W$3360,"Amphibious Warfare Craft",'J Book Items Cons.'!R$5:R$3360,"&lt;&gt;")+SUMIFS('J Book Items Cons.'!N$5:N$3360,'J Book Items Cons.'!S$5:S$3360,"",'J Book Items Cons.'!E$5:E$3360,3,'J Book Items Cons.'!U$5:U$3360,"USN",'J Book Items Cons.'!W$5:W$3360,"Amphibious Warfare Craft",'J Book Items Cons.'!R$5:R$3360,"",'J Book Items Cons.'!N$5:N$3360,"&lt;&gt;")+SUMIFS('J Book Items Cons.'!L$5:L$3360,'J Book Items Cons.'!S$5:S$3360,"",'J Book Items Cons.'!E$5:E$3360,3,'J Book Items Cons.'!U$5:U$3360,"USN",'J Book Items Cons.'!W$5:W$3360,"Amphibious Warfare Craft",'J Book Items Cons.'!R$5:R$3360,"",'J Book Items Cons.'!N$5:N$3360,"")+SUMIFS('J Book Items Cons.'!R$5:R$3360,'J Book Items Cons.'!S$5:S$3360,"[PARENT]",'J Book Items Cons.'!E$5:E$3360,3,'J Book Items Cons.'!U$5:U$3360,"USN",'J Book Items Cons.'!W$5:W$3360,"Amphibious Warfare Craft",'J Book Items Cons.'!R$5:R$3360,"&lt;&gt;")+SUMIFS('J Book Items Cons.'!N$5:N$3360,'J Book Items Cons.'!S$5:S$3360,"[PARENT]",'J Book Items Cons.'!E$5:E$3360,3,'J Book Items Cons.'!U$5:U$3360,"USN",'J Book Items Cons.'!W$5:W$3360,"Amphibious Warfare Craft",'J Book Items Cons.'!R$5:R$3360,"",'J Book Items Cons.'!N$5:N$3360,"&lt;&gt;")+SUMIFS('J Book Items Cons.'!L$5:L$3360,'J Book Items Cons.'!S$5:S$3360,"[PARENT]",'J Book Items Cons.'!E$5:E$3360,3,'J Book Items Cons.'!U$5:U$3360,"USN",'J Book Items Cons.'!W$5:W$3360,"Amphibious Warfare Craft",'J Book Items Cons.'!R$5:R$3360,"",'J Book Items Cons.'!N$5:N$3360,""))/G36)</f>
        <v>0.11818208839877538</v>
      </c>
      <c r="H31" s="38">
        <f>IF(H36=0,0,(SUMIFS('J Book Items Cons.'!R$5:R$3360,'J Book Items Cons.'!S$5:S$3360,"",'J Book Items Cons.'!E$5:E$3360,3,'J Book Items Cons.'!U$5:U$3360,"MSC",'J Book Items Cons.'!W$5:W$3360,"Cargo &amp; Vehicle Cargo Ships",'J Book Items Cons.'!R$5:R$3360,"&lt;&gt;")+SUMIFS('J Book Items Cons.'!N$5:N$3360,'J Book Items Cons.'!S$5:S$3360,"",'J Book Items Cons.'!E$5:E$3360,3,'J Book Items Cons.'!U$5:U$3360,"MSC",'J Book Items Cons.'!W$5:W$3360,"Cargo &amp; Vehicle Cargo Ships",'J Book Items Cons.'!R$5:R$3360,"",'J Book Items Cons.'!N$5:N$3360,"&lt;&gt;")+SUMIFS('J Book Items Cons.'!L$5:L$3360,'J Book Items Cons.'!S$5:S$3360,"",'J Book Items Cons.'!E$5:E$3360,3,'J Book Items Cons.'!U$5:U$3360,"MSC",'J Book Items Cons.'!W$5:W$3360,"Cargo &amp; Vehicle Cargo Ships",'J Book Items Cons.'!R$5:R$3360,"",'J Book Items Cons.'!N$5:N$3360,"")+SUMIFS('J Book Items Cons.'!R$5:R$3360,'J Book Items Cons.'!S$5:S$3360,"[PARENT]",'J Book Items Cons.'!E$5:E$3360,3,'J Book Items Cons.'!U$5:U$3360,"MSC",'J Book Items Cons.'!W$5:W$3360,"Cargo &amp; Vehicle Cargo Ships",'J Book Items Cons.'!R$5:R$3360,"&lt;&gt;")+SUMIFS('J Book Items Cons.'!N$5:N$3360,'J Book Items Cons.'!S$5:S$3360,"[PARENT]",'J Book Items Cons.'!E$5:E$3360,3,'J Book Items Cons.'!U$5:U$3360,"MSC",'J Book Items Cons.'!W$5:W$3360,"Cargo &amp; Vehicle Cargo Ships",'J Book Items Cons.'!R$5:R$3360,"",'J Book Items Cons.'!N$5:N$3360,"&lt;&gt;")+SUMIFS('J Book Items Cons.'!L$5:L$3360,'J Book Items Cons.'!S$5:S$3360,"[PARENT]",'J Book Items Cons.'!E$5:E$3360,3,'J Book Items Cons.'!U$5:U$3360,"MSC",'J Book Items Cons.'!W$5:W$3360,"Cargo &amp; Vehicle Cargo Ships",'J Book Items Cons.'!R$5:R$3360,"",'J Book Items Cons.'!N$5:N$3360,""))/H36)</f>
        <v>0</v>
      </c>
      <c r="I31" s="38">
        <f>IF(I36=0,0,(SUMIFS('J Book Items Cons.'!R$5:R$3360,'J Book Items Cons.'!S$5:S$3360,"",'J Book Items Cons.'!E$5:E$3360,3,'J Book Items Cons.'!U$5:U$3360,"MSC",'J Book Items Cons.'!W$5:W$3360,"Surveillance Ships",'J Book Items Cons.'!R$5:R$3360,"&lt;&gt;")+SUMIFS('J Book Items Cons.'!N$5:N$3360,'J Book Items Cons.'!S$5:S$3360,"",'J Book Items Cons.'!E$5:E$3360,3,'J Book Items Cons.'!U$5:U$3360,"MSC",'J Book Items Cons.'!W$5:W$3360,"Surveillance Ships",'J Book Items Cons.'!R$5:R$3360,"",'J Book Items Cons.'!N$5:N$3360,"&lt;&gt;")+SUMIFS('J Book Items Cons.'!L$5:L$3360,'J Book Items Cons.'!S$5:S$3360,"",'J Book Items Cons.'!E$5:E$3360,3,'J Book Items Cons.'!U$5:U$3360,"MSC",'J Book Items Cons.'!W$5:W$3360,"Surveillance Ships",'J Book Items Cons.'!R$5:R$3360,"",'J Book Items Cons.'!N$5:N$3360,"")+SUMIFS('J Book Items Cons.'!R$5:R$3360,'J Book Items Cons.'!S$5:S$3360,"[PARENT]",'J Book Items Cons.'!E$5:E$3360,3,'J Book Items Cons.'!U$5:U$3360,"MSC",'J Book Items Cons.'!W$5:W$3360,"Surveillance Ships",'J Book Items Cons.'!R$5:R$3360,"&lt;&gt;")+SUMIFS('J Book Items Cons.'!N$5:N$3360,'J Book Items Cons.'!S$5:S$3360,"[PARENT]",'J Book Items Cons.'!E$5:E$3360,3,'J Book Items Cons.'!U$5:U$3360,"MSC",'J Book Items Cons.'!W$5:W$3360,"Surveillance Ships",'J Book Items Cons.'!R$5:R$3360,"",'J Book Items Cons.'!N$5:N$3360,"&lt;&gt;")+SUMIFS('J Book Items Cons.'!L$5:L$3360,'J Book Items Cons.'!S$5:S$3360,"[PARENT]",'J Book Items Cons.'!E$5:E$3360,3,'J Book Items Cons.'!U$5:U$3360,"MSC",'J Book Items Cons.'!W$5:W$3360,"Surveillance Ships",'J Book Items Cons.'!R$5:R$3360,"",'J Book Items Cons.'!N$5:N$3360,""))/I36)</f>
        <v>0</v>
      </c>
      <c r="J31" s="38">
        <f>IF(J36=0,0,(SUMIFS('J Book Items Cons.'!R$5:R$3360,'J Book Items Cons.'!S$5:S$3360,"",'J Book Items Cons.'!E$5:E$3360,3,'J Book Items Cons.'!U$5:U$3360,"USN",'J Book Items Cons.'!W$5:W$3360,"Command Ships",'J Book Items Cons.'!R$5:R$3360,"&lt;&gt;")+SUMIFS('J Book Items Cons.'!N$5:N$3360,'J Book Items Cons.'!S$5:S$3360,"",'J Book Items Cons.'!E$5:E$3360,3,'J Book Items Cons.'!U$5:U$3360,"USN",'J Book Items Cons.'!W$5:W$3360,"Command Ships",'J Book Items Cons.'!R$5:R$3360,"",'J Book Items Cons.'!N$5:N$3360,"&lt;&gt;")+SUMIFS('J Book Items Cons.'!L$5:L$3360,'J Book Items Cons.'!S$5:S$3360,"",'J Book Items Cons.'!E$5:E$3360,3,'J Book Items Cons.'!U$5:U$3360,"USN",'J Book Items Cons.'!W$5:W$3360,"Command Ships",'J Book Items Cons.'!R$5:R$3360,"",'J Book Items Cons.'!N$5:N$3360,"")+SUMIFS('J Book Items Cons.'!R$5:R$3360,'J Book Items Cons.'!S$5:S$3360,"[PARENT]",'J Book Items Cons.'!E$5:E$3360,3,'J Book Items Cons.'!U$5:U$3360,"USN",'J Book Items Cons.'!W$5:W$3360,"Command Ships",'J Book Items Cons.'!R$5:R$3360,"&lt;&gt;")+SUMIFS('J Book Items Cons.'!N$5:N$3360,'J Book Items Cons.'!S$5:S$3360,"[PARENT]",'J Book Items Cons.'!E$5:E$3360,3,'J Book Items Cons.'!U$5:U$3360,"USN",'J Book Items Cons.'!W$5:W$3360,"Command Ships",'J Book Items Cons.'!R$5:R$3360,"",'J Book Items Cons.'!N$5:N$3360,"&lt;&gt;")+SUMIFS('J Book Items Cons.'!L$5:L$3360,'J Book Items Cons.'!S$5:S$3360,"[PARENT]",'J Book Items Cons.'!E$5:E$3360,3,'J Book Items Cons.'!U$5:U$3360,"USN",'J Book Items Cons.'!W$5:W$3360,"Command Ships",'J Book Items Cons.'!R$5:R$3360,"",'J Book Items Cons.'!N$5:N$3360,""))/J36)</f>
        <v>0</v>
      </c>
      <c r="K31" s="39">
        <f>IF(K36=0,0,(SUMIFS('J Book Items Cons.'!R$5:R$3360,'J Book Items Cons.'!S$5:S$3360,"",'J Book Items Cons.'!E$5:E$3360,3,'J Book Items Cons.'!U$5:U$3360,"USN",'J Book Items Cons.'!W$5:W$3360,"Mine Warfare",'J Book Items Cons.'!R$5:R$3360,"&lt;&gt;")+SUMIFS('J Book Items Cons.'!N$5:N$3360,'J Book Items Cons.'!S$5:S$3360,"",'J Book Items Cons.'!E$5:E$3360,3,'J Book Items Cons.'!U$5:U$3360,"USN",'J Book Items Cons.'!W$5:W$3360,"Mine Warfare",'J Book Items Cons.'!R$5:R$3360,"",'J Book Items Cons.'!N$5:N$3360,"&lt;&gt;")+SUMIFS('J Book Items Cons.'!L$5:L$3360,'J Book Items Cons.'!S$5:S$3360,"",'J Book Items Cons.'!E$5:E$3360,3,'J Book Items Cons.'!U$5:U$3360,"USN",'J Book Items Cons.'!W$5:W$3360,"Mine Warfare",'J Book Items Cons.'!R$5:R$3360,"",'J Book Items Cons.'!N$5:N$3360,"")+SUMIFS('J Book Items Cons.'!R$5:R$3360,'J Book Items Cons.'!S$5:S$3360,"[PARENT]",'J Book Items Cons.'!E$5:E$3360,3,'J Book Items Cons.'!U$5:U$3360,"USN",'J Book Items Cons.'!W$5:W$3360,"Mine Warfare",'J Book Items Cons.'!R$5:R$3360,"&lt;&gt;")+SUMIFS('J Book Items Cons.'!N$5:N$3360,'J Book Items Cons.'!S$5:S$3360,"[PARENT]",'J Book Items Cons.'!E$5:E$3360,3,'J Book Items Cons.'!U$5:U$3360,"USN",'J Book Items Cons.'!W$5:W$3360,"Mine Warfare",'J Book Items Cons.'!R$5:R$3360,"",'J Book Items Cons.'!N$5:N$3360,"&lt;&gt;")+SUMIFS('J Book Items Cons.'!L$5:L$3360,'J Book Items Cons.'!S$5:S$3360,"[PARENT]",'J Book Items Cons.'!E$5:E$3360,3,'J Book Items Cons.'!U$5:U$3360,"USN",'J Book Items Cons.'!W$5:W$3360,"Mine Warfare",'J Book Items Cons.'!R$5:R$3360,"",'J Book Items Cons.'!N$5:N$3360,""))/K36)</f>
        <v>4.3862170931044393E-2</v>
      </c>
      <c r="L31" s="37">
        <f>IF(L36=0,0,(SUMIFS('J Book Items Cons.'!R$5:R$3360,'J Book Items Cons.'!S$5:S$3360,"",'J Book Items Cons.'!E$5:E$3360,3,'J Book Items Cons.'!U$5:U$3360,"USCG",'J Book Items Cons.'!W$5:W$3360,"Offshore Patrol Cutter",'J Book Items Cons.'!R$5:R$3360,"&lt;&gt;")+SUMIFS('J Book Items Cons.'!N$5:N$3360,'J Book Items Cons.'!S$5:S$3360,"",'J Book Items Cons.'!E$5:E$3360,3,'J Book Items Cons.'!U$5:U$3360,"USCG",'J Book Items Cons.'!W$5:W$3360,"Offshore Patrol Cutter",'J Book Items Cons.'!R$5:R$3360,"",'J Book Items Cons.'!N$5:N$3360,"&lt;&gt;")+SUMIFS('J Book Items Cons.'!L$5:L$3360,'J Book Items Cons.'!S$5:S$3360,"",'J Book Items Cons.'!E$5:E$3360,3,'J Book Items Cons.'!U$5:U$3360,"USCG",'J Book Items Cons.'!W$5:W$3360,"Offshore Patrol Cutter",'J Book Items Cons.'!R$5:R$3360,"",'J Book Items Cons.'!N$5:N$3360,"")+SUMIFS('J Book Items Cons.'!R$5:R$3360,'J Book Items Cons.'!S$5:S$3360,"[PARENT]",'J Book Items Cons.'!E$5:E$3360,3,'J Book Items Cons.'!U$5:U$3360,"USCG",'J Book Items Cons.'!W$5:W$3360,"Offshore Patrol Cutter",'J Book Items Cons.'!R$5:R$3360,"&lt;&gt;")+SUMIFS('J Book Items Cons.'!N$5:N$3360,'J Book Items Cons.'!S$5:S$3360,"[PARENT]",'J Book Items Cons.'!E$5:E$3360,3,'J Book Items Cons.'!U$5:U$3360,"USCG",'J Book Items Cons.'!W$5:W$3360,"Offshore Patrol Cutter",'J Book Items Cons.'!R$5:R$3360,"",'J Book Items Cons.'!N$5:N$3360,"&lt;&gt;")+SUMIFS('J Book Items Cons.'!L$5:L$3360,'J Book Items Cons.'!S$5:S$3360,"[PARENT]",'J Book Items Cons.'!E$5:E$3360,3,'J Book Items Cons.'!U$5:U$3360,"USCG",'J Book Items Cons.'!W$5:W$3360,"Offshore Patrol Cutter",'J Book Items Cons.'!R$5:R$3360,"",'J Book Items Cons.'!N$5:N$3360,""))/L36)</f>
        <v>0</v>
      </c>
      <c r="M31" s="38">
        <f>IF(M36=0,0,(SUMIFS('J Book Items Cons.'!R$5:R$3360,'J Book Items Cons.'!S$5:S$3360,"",'J Book Items Cons.'!E$5:E$3360,3,'J Book Items Cons.'!U$5:U$3360,"USCG",'J Book Items Cons.'!W$5:W$3360,"Fast Response Cutters",'J Book Items Cons.'!R$5:R$3360,"&lt;&gt;")+SUMIFS('J Book Items Cons.'!N$5:N$3360,'J Book Items Cons.'!S$5:S$3360,"",'J Book Items Cons.'!E$5:E$3360,3,'J Book Items Cons.'!U$5:U$3360,"USCG",'J Book Items Cons.'!W$5:W$3360,"Fast Response Cutters",'J Book Items Cons.'!R$5:R$3360,"",'J Book Items Cons.'!N$5:N$3360,"&lt;&gt;")+SUMIFS('J Book Items Cons.'!L$5:L$3360,'J Book Items Cons.'!S$5:S$3360,"",'J Book Items Cons.'!E$5:E$3360,3,'J Book Items Cons.'!U$5:U$3360,"USCG",'J Book Items Cons.'!W$5:W$3360,"Fast Response Cutters",'J Book Items Cons.'!R$5:R$3360,"",'J Book Items Cons.'!N$5:N$3360,"")+SUMIFS('J Book Items Cons.'!R$5:R$3360,'J Book Items Cons.'!S$5:S$3360,"[PARENT]",'J Book Items Cons.'!E$5:E$3360,3,'J Book Items Cons.'!U$5:U$3360,"USCG",'J Book Items Cons.'!W$5:W$3360,"Fast Response Cutters",'J Book Items Cons.'!R$5:R$3360,"&lt;&gt;")+SUMIFS('J Book Items Cons.'!N$5:N$3360,'J Book Items Cons.'!S$5:S$3360,"[PARENT]",'J Book Items Cons.'!E$5:E$3360,3,'J Book Items Cons.'!U$5:U$3360,"USCG",'J Book Items Cons.'!W$5:W$3360,"Fast Response Cutters",'J Book Items Cons.'!R$5:R$3360,"",'J Book Items Cons.'!N$5:N$3360,"&lt;&gt;")+SUMIFS('J Book Items Cons.'!L$5:L$3360,'J Book Items Cons.'!S$5:S$3360,"[PARENT]",'J Book Items Cons.'!E$5:E$3360,3,'J Book Items Cons.'!U$5:U$3360,"USCG",'J Book Items Cons.'!W$5:W$3360,"Fast Response Cutters",'J Book Items Cons.'!R$5:R$3360,"",'J Book Items Cons.'!N$5:N$3360,""))/M36)</f>
        <v>0</v>
      </c>
      <c r="N31" s="38">
        <f>IF(N36=0,0,(SUMIFS('J Book Items Cons.'!R$5:R$3360,'J Book Items Cons.'!S$5:S$3360,"",'J Book Items Cons.'!E$5:E$3360,3,'J Book Items Cons.'!U$5:U$3360,"USCG",'J Book Items Cons.'!W$5:W$3360,"Icebreakers, Oceangoing",'J Book Items Cons.'!R$5:R$3360,"&lt;&gt;")+SUMIFS('J Book Items Cons.'!N$5:N$3360,'J Book Items Cons.'!S$5:S$3360,"",'J Book Items Cons.'!E$5:E$3360,3,'J Book Items Cons.'!U$5:U$3360,"USCG",'J Book Items Cons.'!W$5:W$3360,"Icebreakers, Oceangoing",'J Book Items Cons.'!R$5:R$3360,"",'J Book Items Cons.'!N$5:N$3360,"&lt;&gt;")+SUMIFS('J Book Items Cons.'!L$5:L$3360,'J Book Items Cons.'!S$5:S$3360,"",'J Book Items Cons.'!E$5:E$3360,3,'J Book Items Cons.'!U$5:U$3360,"USCG",'J Book Items Cons.'!W$5:W$3360,"Icebreakers, Oceangoing",'J Book Items Cons.'!R$5:R$3360,"",'J Book Items Cons.'!N$5:N$3360,"")+SUMIFS('J Book Items Cons.'!R$5:R$3360,'J Book Items Cons.'!S$5:S$3360,"[PARENT]",'J Book Items Cons.'!E$5:E$3360,3,'J Book Items Cons.'!U$5:U$3360,"USCG",'J Book Items Cons.'!W$5:W$3360,"Icebreakers, Oceangoing",'J Book Items Cons.'!R$5:R$3360,"&lt;&gt;")+SUMIFS('J Book Items Cons.'!N$5:N$3360,'J Book Items Cons.'!S$5:S$3360,"[PARENT]",'J Book Items Cons.'!E$5:E$3360,3,'J Book Items Cons.'!U$5:U$3360,"USCG",'J Book Items Cons.'!W$5:W$3360,"Icebreakers, Oceangoing",'J Book Items Cons.'!R$5:R$3360,"",'J Book Items Cons.'!N$5:N$3360,"&lt;&gt;")+SUMIFS('J Book Items Cons.'!L$5:L$3360,'J Book Items Cons.'!S$5:S$3360,"[PARENT]",'J Book Items Cons.'!E$5:E$3360,3,'J Book Items Cons.'!U$5:U$3360,"USCG",'J Book Items Cons.'!W$5:W$3360,"Icebreakers, Oceangoing",'J Book Items Cons.'!R$5:R$3360,"",'J Book Items Cons.'!N$5:N$3360,""))/N36)</f>
        <v>0</v>
      </c>
      <c r="O31" s="38">
        <f>IF(O36=0,0,(SUMIFS('J Book Items Cons.'!R$5:R$3360,'J Book Items Cons.'!S$5:S$3360,"",'J Book Items Cons.'!E$5:E$3360,3,'J Book Items Cons.'!U$5:U$3360,"USCG",'J Book Items Cons.'!W$5:W$3360,"Waterways Commerce Cutters",'J Book Items Cons.'!R$5:R$3360,"&lt;&gt;")+SUMIFS('J Book Items Cons.'!N$5:N$3360,'J Book Items Cons.'!S$5:S$3360,"",'J Book Items Cons.'!E$5:E$3360,3,'J Book Items Cons.'!U$5:U$3360,"USCG",'J Book Items Cons.'!W$5:W$3360,"Waterways Commerce Cutters",'J Book Items Cons.'!R$5:R$3360,"",'J Book Items Cons.'!N$5:N$3360,"&lt;&gt;")+SUMIFS('J Book Items Cons.'!L$5:L$3360,'J Book Items Cons.'!S$5:S$3360,"",'J Book Items Cons.'!E$5:E$3360,3,'J Book Items Cons.'!U$5:U$3360,"USCG",'J Book Items Cons.'!W$5:W$3360,"Waterways Commerce Cutters",'J Book Items Cons.'!R$5:R$3360,"",'J Book Items Cons.'!N$5:N$3360,"")+SUMIFS('J Book Items Cons.'!R$5:R$3360,'J Book Items Cons.'!S$5:S$3360,"[PARENT]",'J Book Items Cons.'!E$5:E$3360,3,'J Book Items Cons.'!U$5:U$3360,"USCG",'J Book Items Cons.'!W$5:W$3360,"Waterways Commerce Cutters",'J Book Items Cons.'!R$5:R$3360,"&lt;&gt;")+SUMIFS('J Book Items Cons.'!N$5:N$3360,'J Book Items Cons.'!S$5:S$3360,"[PARENT]",'J Book Items Cons.'!E$5:E$3360,3,'J Book Items Cons.'!U$5:U$3360,"USCG",'J Book Items Cons.'!W$5:W$3360,"Waterways Commerce Cutters",'J Book Items Cons.'!R$5:R$3360,"",'J Book Items Cons.'!N$5:N$3360,"&lt;&gt;")+SUMIFS('J Book Items Cons.'!L$5:L$3360,'J Book Items Cons.'!S$5:S$3360,"[PARENT]",'J Book Items Cons.'!E$5:E$3360,3,'J Book Items Cons.'!U$5:U$3360,"USCG",'J Book Items Cons.'!W$5:W$3360,"Waterways Commerce Cutters",'J Book Items Cons.'!R$5:R$3360,"",'J Book Items Cons.'!N$5:N$3360,""))/O36)</f>
        <v>0</v>
      </c>
      <c r="P31" s="39">
        <f>IF(P36=0,0,(SUMIFS('J Book Items Cons.'!R$5:R$3360,'J Book Items Cons.'!S$5:S$3360,"",'J Book Items Cons.'!E$5:E$3360,3,'J Book Items Cons.'!U$5:U$3360,"USCG",'J Book Items Cons.'!W$5:W$3360,"National Security Cutters",'J Book Items Cons.'!R$5:R$3360,"&lt;&gt;")+SUMIFS('J Book Items Cons.'!N$5:N$3360,'J Book Items Cons.'!S$5:S$3360,"",'J Book Items Cons.'!E$5:E$3360,3,'J Book Items Cons.'!U$5:U$3360,"USCG",'J Book Items Cons.'!W$5:W$3360,"National Security Cutters",'J Book Items Cons.'!R$5:R$3360,"",'J Book Items Cons.'!N$5:N$3360,"&lt;&gt;")+SUMIFS('J Book Items Cons.'!L$5:L$3360,'J Book Items Cons.'!S$5:S$3360,"",'J Book Items Cons.'!E$5:E$3360,3,'J Book Items Cons.'!U$5:U$3360,"USCG",'J Book Items Cons.'!W$5:W$3360,"National Security Cutters",'J Book Items Cons.'!R$5:R$3360,"",'J Book Items Cons.'!N$5:N$3360,"")+SUMIFS('J Book Items Cons.'!R$5:R$3360,'J Book Items Cons.'!S$5:S$3360,"[PARENT]",'J Book Items Cons.'!E$5:E$3360,3,'J Book Items Cons.'!U$5:U$3360,"USCG",'J Book Items Cons.'!W$5:W$3360,"National Security Cutters",'J Book Items Cons.'!R$5:R$3360,"&lt;&gt;")+SUMIFS('J Book Items Cons.'!N$5:N$3360,'J Book Items Cons.'!S$5:S$3360,"[PARENT]",'J Book Items Cons.'!E$5:E$3360,3,'J Book Items Cons.'!U$5:U$3360,"USCG",'J Book Items Cons.'!W$5:W$3360,"National Security Cutters",'J Book Items Cons.'!R$5:R$3360,"",'J Book Items Cons.'!N$5:N$3360,"&lt;&gt;")+SUMIFS('J Book Items Cons.'!L$5:L$3360,'J Book Items Cons.'!S$5:S$3360,"[PARENT]",'J Book Items Cons.'!E$5:E$3360,3,'J Book Items Cons.'!U$5:U$3360,"USCG",'J Book Items Cons.'!W$5:W$3360,"National Security Cutters",'J Book Items Cons.'!R$5:R$3360,"",'J Book Items Cons.'!N$5:N$3360,""))/P36)</f>
        <v>0</v>
      </c>
      <c r="Q31" s="38">
        <f>IF(Q36=0,0,SUMPRODUCT(B31:P31,B$36:P$36)/Q$36)</f>
        <v>2.7124956857510492E-2</v>
      </c>
    </row>
    <row r="32" spans="1:17" ht="9.75" customHeight="1" x14ac:dyDescent="0.15">
      <c r="A32" s="7" t="s">
        <v>8852</v>
      </c>
      <c r="B32" s="37">
        <f>IF(B36=0,0,(SUMIFS('J Book Items Cons.'!R$5:R$3360,'J Book Items Cons.'!S$5:S$3360,"",'J Book Items Cons.'!E$5:E$3360,4,'J Book Items Cons.'!U$5:U$3360,"USN",'J Book Items Cons.'!W$5:W$3360,"Surface Combatants",'J Book Items Cons.'!R$5:R$3360,"&lt;&gt;")+SUMIFS('J Book Items Cons.'!N$5:N$3360,'J Book Items Cons.'!S$5:S$3360,"",'J Book Items Cons.'!E$5:E$3360,4,'J Book Items Cons.'!U$5:U$3360,"USN",'J Book Items Cons.'!W$5:W$3360,"Surface Combatants",'J Book Items Cons.'!R$5:R$3360,"",'J Book Items Cons.'!N$5:N$3360,"&lt;&gt;")+SUMIFS('J Book Items Cons.'!L$5:L$3360,'J Book Items Cons.'!S$5:S$3360,"",'J Book Items Cons.'!E$5:E$3360,4,'J Book Items Cons.'!U$5:U$3360,"USN",'J Book Items Cons.'!W$5:W$3360,"Surface Combatants",'J Book Items Cons.'!R$5:R$3360,"",'J Book Items Cons.'!N$5:N$3360,"")+SUMIFS('J Book Items Cons.'!R$5:R$3360,'J Book Items Cons.'!S$5:S$3360,"[PARENT]",'J Book Items Cons.'!E$5:E$3360,4,'J Book Items Cons.'!U$5:U$3360,"USN",'J Book Items Cons.'!W$5:W$3360,"Surface Combatants",'J Book Items Cons.'!R$5:R$3360,"&lt;&gt;")+SUMIFS('J Book Items Cons.'!N$5:N$3360,'J Book Items Cons.'!S$5:S$3360,"[PARENT]",'J Book Items Cons.'!E$5:E$3360,4,'J Book Items Cons.'!U$5:U$3360,"USN",'J Book Items Cons.'!W$5:W$3360,"Surface Combatants",'J Book Items Cons.'!R$5:R$3360,"",'J Book Items Cons.'!N$5:N$3360,"&lt;&gt;")+SUMIFS('J Book Items Cons.'!L$5:L$3360,'J Book Items Cons.'!S$5:S$3360,"[PARENT]",'J Book Items Cons.'!E$5:E$3360,4,'J Book Items Cons.'!U$5:U$3360,"USN",'J Book Items Cons.'!W$5:W$3360,"Surface Combatants",'J Book Items Cons.'!R$5:R$3360,"",'J Book Items Cons.'!N$5:N$3360,""))/B36)</f>
        <v>0.69591764146994062</v>
      </c>
      <c r="C32" s="38">
        <f>IF(C36=0,0,(SUMIFS('J Book Items Cons.'!R$5:R$3360,'J Book Items Cons.'!S$5:S$3360,"",'J Book Items Cons.'!E$5:E$3360,4,'J Book Items Cons.'!U$5:U$3360,"USN",'J Book Items Cons.'!W$5:W$3360,"Amphibious Warfare Ships",'J Book Items Cons.'!R$5:R$3360,"&lt;&gt;")+SUMIFS('J Book Items Cons.'!N$5:N$3360,'J Book Items Cons.'!S$5:S$3360,"",'J Book Items Cons.'!E$5:E$3360,4,'J Book Items Cons.'!U$5:U$3360,"USN",'J Book Items Cons.'!W$5:W$3360,"Amphibious Warfare Ships",'J Book Items Cons.'!R$5:R$3360,"",'J Book Items Cons.'!N$5:N$3360,"&lt;&gt;")+SUMIFS('J Book Items Cons.'!L$5:L$3360,'J Book Items Cons.'!S$5:S$3360,"",'J Book Items Cons.'!E$5:E$3360,4,'J Book Items Cons.'!U$5:U$3360,"USN",'J Book Items Cons.'!W$5:W$3360,"Amphibious Warfare Ships",'J Book Items Cons.'!R$5:R$3360,"",'J Book Items Cons.'!N$5:N$3360,"")+SUMIFS('J Book Items Cons.'!R$5:R$3360,'J Book Items Cons.'!S$5:S$3360,"[PARENT]",'J Book Items Cons.'!E$5:E$3360,4,'J Book Items Cons.'!U$5:U$3360,"USN",'J Book Items Cons.'!W$5:W$3360,"Amphibious Warfare Ships",'J Book Items Cons.'!R$5:R$3360,"&lt;&gt;")+SUMIFS('J Book Items Cons.'!N$5:N$3360,'J Book Items Cons.'!S$5:S$3360,"[PARENT]",'J Book Items Cons.'!E$5:E$3360,4,'J Book Items Cons.'!U$5:U$3360,"USN",'J Book Items Cons.'!W$5:W$3360,"Amphibious Warfare Ships",'J Book Items Cons.'!R$5:R$3360,"",'J Book Items Cons.'!N$5:N$3360,"&lt;&gt;")+SUMIFS('J Book Items Cons.'!L$5:L$3360,'J Book Items Cons.'!S$5:S$3360,"[PARENT]",'J Book Items Cons.'!E$5:E$3360,4,'J Book Items Cons.'!U$5:U$3360,"USN",'J Book Items Cons.'!W$5:W$3360,"Amphibious Warfare Ships",'J Book Items Cons.'!R$5:R$3360,"",'J Book Items Cons.'!N$5:N$3360,""))/C36)</f>
        <v>0.59528857464384721</v>
      </c>
      <c r="D32" s="38">
        <f>IF(D36=0,0,(SUMIFS('J Book Items Cons.'!R$5:R$3360,'J Book Items Cons.'!S$5:S$3360,"",'J Book Items Cons.'!E$5:E$3360,4,'J Book Items Cons.'!U$5:U$3360,"USN",'J Book Items Cons.'!W$5:W$3360,"Expeditionary &amp; Seabasing Ships",'J Book Items Cons.'!R$5:R$3360,"&lt;&gt;")+SUMIFS('J Book Items Cons.'!N$5:N$3360,'J Book Items Cons.'!S$5:S$3360,"",'J Book Items Cons.'!E$5:E$3360,4,'J Book Items Cons.'!U$5:U$3360,"USN",'J Book Items Cons.'!W$5:W$3360,"Expeditionary &amp; Seabasing Ships",'J Book Items Cons.'!R$5:R$3360,"",'J Book Items Cons.'!N$5:N$3360,"&lt;&gt;")+SUMIFS('J Book Items Cons.'!L$5:L$3360,'J Book Items Cons.'!S$5:S$3360,"",'J Book Items Cons.'!E$5:E$3360,4,'J Book Items Cons.'!U$5:U$3360,"USN",'J Book Items Cons.'!W$5:W$3360,"Expeditionary &amp; Seabasing Ships",'J Book Items Cons.'!R$5:R$3360,"",'J Book Items Cons.'!N$5:N$3360,"")+SUMIFS('J Book Items Cons.'!R$5:R$3360,'J Book Items Cons.'!S$5:S$3360,"[PARENT]",'J Book Items Cons.'!E$5:E$3360,4,'J Book Items Cons.'!U$5:U$3360,"USN",'J Book Items Cons.'!W$5:W$3360,"Expeditionary &amp; Seabasing Ships",'J Book Items Cons.'!R$5:R$3360,"&lt;&gt;")+SUMIFS('J Book Items Cons.'!N$5:N$3360,'J Book Items Cons.'!S$5:S$3360,"[PARENT]",'J Book Items Cons.'!E$5:E$3360,4,'J Book Items Cons.'!U$5:U$3360,"USN",'J Book Items Cons.'!W$5:W$3360,"Expeditionary &amp; Seabasing Ships",'J Book Items Cons.'!R$5:R$3360,"",'J Book Items Cons.'!N$5:N$3360,"&lt;&gt;")+SUMIFS('J Book Items Cons.'!L$5:L$3360,'J Book Items Cons.'!S$5:S$3360,"[PARENT]",'J Book Items Cons.'!E$5:E$3360,4,'J Book Items Cons.'!U$5:U$3360,"USN",'J Book Items Cons.'!W$5:W$3360,"Expeditionary &amp; Seabasing Ships",'J Book Items Cons.'!R$5:R$3360,"",'J Book Items Cons.'!N$5:N$3360,""))/D36)</f>
        <v>0</v>
      </c>
      <c r="E32" s="38">
        <f>IF(E36=0,0,(SUMIFS('J Book Items Cons.'!R$5:R$3360,'J Book Items Cons.'!S$5:S$3360,"",'J Book Items Cons.'!E$5:E$3360,4,'J Book Items Cons.'!U$5:U$3360,"MSC",'J Book Items Cons.'!W$5:W$3360,"Combat Logistics Ships",'J Book Items Cons.'!R$5:R$3360,"&lt;&gt;")+SUMIFS('J Book Items Cons.'!N$5:N$3360,'J Book Items Cons.'!S$5:S$3360,"",'J Book Items Cons.'!E$5:E$3360,4,'J Book Items Cons.'!U$5:U$3360,"MSC",'J Book Items Cons.'!W$5:W$3360,"Combat Logistics Ships",'J Book Items Cons.'!R$5:R$3360,"",'J Book Items Cons.'!N$5:N$3360,"&lt;&gt;")+SUMIFS('J Book Items Cons.'!L$5:L$3360,'J Book Items Cons.'!S$5:S$3360,"",'J Book Items Cons.'!E$5:E$3360,4,'J Book Items Cons.'!U$5:U$3360,"MSC",'J Book Items Cons.'!W$5:W$3360,"Combat Logistics Ships",'J Book Items Cons.'!R$5:R$3360,"",'J Book Items Cons.'!N$5:N$3360,"")+SUMIFS('J Book Items Cons.'!R$5:R$3360,'J Book Items Cons.'!S$5:S$3360,"[PARENT]",'J Book Items Cons.'!E$5:E$3360,4,'J Book Items Cons.'!U$5:U$3360,"MSC",'J Book Items Cons.'!W$5:W$3360,"Combat Logistics Ships",'J Book Items Cons.'!R$5:R$3360,"&lt;&gt;")+SUMIFS('J Book Items Cons.'!N$5:N$3360,'J Book Items Cons.'!S$5:S$3360,"[PARENT]",'J Book Items Cons.'!E$5:E$3360,4,'J Book Items Cons.'!U$5:U$3360,"MSC",'J Book Items Cons.'!W$5:W$3360,"Combat Logistics Ships",'J Book Items Cons.'!R$5:R$3360,"",'J Book Items Cons.'!N$5:N$3360,"&lt;&gt;")+SUMIFS('J Book Items Cons.'!L$5:L$3360,'J Book Items Cons.'!S$5:S$3360,"[PARENT]",'J Book Items Cons.'!E$5:E$3360,4,'J Book Items Cons.'!U$5:U$3360,"MSC",'J Book Items Cons.'!W$5:W$3360,"Combat Logistics Ships",'J Book Items Cons.'!R$5:R$3360,"",'J Book Items Cons.'!N$5:N$3360,""))/E36)</f>
        <v>0</v>
      </c>
      <c r="F32" s="38">
        <f>IF(F36=0,0,(SUMIFS('J Book Items Cons.'!R$5:R$3360,'J Book Items Cons.'!S$5:S$3360,"",'J Book Items Cons.'!E$5:E$3360,4,'J Book Items Cons.'!U$5:U$3360,"USN",'J Book Items Cons.'!W$5:W$3360,"Unmanned Surface Vehicles",'J Book Items Cons.'!R$5:R$3360,"&lt;&gt;")+SUMIFS('J Book Items Cons.'!N$5:N$3360,'J Book Items Cons.'!S$5:S$3360,"",'J Book Items Cons.'!E$5:E$3360,4,'J Book Items Cons.'!U$5:U$3360,"USN",'J Book Items Cons.'!W$5:W$3360,"Unmanned Surface Vehicles",'J Book Items Cons.'!R$5:R$3360,"",'J Book Items Cons.'!N$5:N$3360,"&lt;&gt;")+SUMIFS('J Book Items Cons.'!L$5:L$3360,'J Book Items Cons.'!S$5:S$3360,"",'J Book Items Cons.'!E$5:E$3360,4,'J Book Items Cons.'!U$5:U$3360,"USN",'J Book Items Cons.'!W$5:W$3360,"Unmanned Surface Vehicles",'J Book Items Cons.'!R$5:R$3360,"",'J Book Items Cons.'!N$5:N$3360,"")+SUMIFS('J Book Items Cons.'!R$5:R$3360,'J Book Items Cons.'!S$5:S$3360,"[PARENT]",'J Book Items Cons.'!E$5:E$3360,4,'J Book Items Cons.'!U$5:U$3360,"USN",'J Book Items Cons.'!W$5:W$3360,"Unmanned Surface Vehicles",'J Book Items Cons.'!R$5:R$3360,"&lt;&gt;")+SUMIFS('J Book Items Cons.'!N$5:N$3360,'J Book Items Cons.'!S$5:S$3360,"[PARENT]",'J Book Items Cons.'!E$5:E$3360,4,'J Book Items Cons.'!U$5:U$3360,"USN",'J Book Items Cons.'!W$5:W$3360,"Unmanned Surface Vehicles",'J Book Items Cons.'!R$5:R$3360,"",'J Book Items Cons.'!N$5:N$3360,"&lt;&gt;")+SUMIFS('J Book Items Cons.'!L$5:L$3360,'J Book Items Cons.'!S$5:S$3360,"[PARENT]",'J Book Items Cons.'!E$5:E$3360,4,'J Book Items Cons.'!U$5:U$3360,"USN",'J Book Items Cons.'!W$5:W$3360,"Unmanned Surface Vehicles",'J Book Items Cons.'!R$5:R$3360,"",'J Book Items Cons.'!N$5:N$3360,""))/F36)</f>
        <v>0</v>
      </c>
      <c r="G32" s="38">
        <f>IF(G36=0,0,(SUMIFS('J Book Items Cons.'!R$5:R$3360,'J Book Items Cons.'!S$5:S$3360,"",'J Book Items Cons.'!E$5:E$3360,4,'J Book Items Cons.'!U$5:U$3360,"USN",'J Book Items Cons.'!W$5:W$3360,"Amphibious Warfare Craft",'J Book Items Cons.'!R$5:R$3360,"&lt;&gt;")+SUMIFS('J Book Items Cons.'!N$5:N$3360,'J Book Items Cons.'!S$5:S$3360,"",'J Book Items Cons.'!E$5:E$3360,4,'J Book Items Cons.'!U$5:U$3360,"USN",'J Book Items Cons.'!W$5:W$3360,"Amphibious Warfare Craft",'J Book Items Cons.'!R$5:R$3360,"",'J Book Items Cons.'!N$5:N$3360,"&lt;&gt;")+SUMIFS('J Book Items Cons.'!L$5:L$3360,'J Book Items Cons.'!S$5:S$3360,"",'J Book Items Cons.'!E$5:E$3360,4,'J Book Items Cons.'!U$5:U$3360,"USN",'J Book Items Cons.'!W$5:W$3360,"Amphibious Warfare Craft",'J Book Items Cons.'!R$5:R$3360,"",'J Book Items Cons.'!N$5:N$3360,"")+SUMIFS('J Book Items Cons.'!R$5:R$3360,'J Book Items Cons.'!S$5:S$3360,"[PARENT]",'J Book Items Cons.'!E$5:E$3360,4,'J Book Items Cons.'!U$5:U$3360,"USN",'J Book Items Cons.'!W$5:W$3360,"Amphibious Warfare Craft",'J Book Items Cons.'!R$5:R$3360,"&lt;&gt;")+SUMIFS('J Book Items Cons.'!N$5:N$3360,'J Book Items Cons.'!S$5:S$3360,"[PARENT]",'J Book Items Cons.'!E$5:E$3360,4,'J Book Items Cons.'!U$5:U$3360,"USN",'J Book Items Cons.'!W$5:W$3360,"Amphibious Warfare Craft",'J Book Items Cons.'!R$5:R$3360,"",'J Book Items Cons.'!N$5:N$3360,"&lt;&gt;")+SUMIFS('J Book Items Cons.'!L$5:L$3360,'J Book Items Cons.'!S$5:S$3360,"[PARENT]",'J Book Items Cons.'!E$5:E$3360,4,'J Book Items Cons.'!U$5:U$3360,"USN",'J Book Items Cons.'!W$5:W$3360,"Amphibious Warfare Craft",'J Book Items Cons.'!R$5:R$3360,"",'J Book Items Cons.'!N$5:N$3360,""))/G36)</f>
        <v>0.3020093332937015</v>
      </c>
      <c r="H32" s="38">
        <f>IF(H36=0,0,(SUMIFS('J Book Items Cons.'!R$5:R$3360,'J Book Items Cons.'!S$5:S$3360,"",'J Book Items Cons.'!E$5:E$3360,4,'J Book Items Cons.'!U$5:U$3360,"MSC",'J Book Items Cons.'!W$5:W$3360,"Cargo &amp; Vehicle Cargo Ships",'J Book Items Cons.'!R$5:R$3360,"&lt;&gt;")+SUMIFS('J Book Items Cons.'!N$5:N$3360,'J Book Items Cons.'!S$5:S$3360,"",'J Book Items Cons.'!E$5:E$3360,4,'J Book Items Cons.'!U$5:U$3360,"MSC",'J Book Items Cons.'!W$5:W$3360,"Cargo &amp; Vehicle Cargo Ships",'J Book Items Cons.'!R$5:R$3360,"",'J Book Items Cons.'!N$5:N$3360,"&lt;&gt;")+SUMIFS('J Book Items Cons.'!L$5:L$3360,'J Book Items Cons.'!S$5:S$3360,"",'J Book Items Cons.'!E$5:E$3360,4,'J Book Items Cons.'!U$5:U$3360,"MSC",'J Book Items Cons.'!W$5:W$3360,"Cargo &amp; Vehicle Cargo Ships",'J Book Items Cons.'!R$5:R$3360,"",'J Book Items Cons.'!N$5:N$3360,"")+SUMIFS('J Book Items Cons.'!R$5:R$3360,'J Book Items Cons.'!S$5:S$3360,"[PARENT]",'J Book Items Cons.'!E$5:E$3360,4,'J Book Items Cons.'!U$5:U$3360,"MSC",'J Book Items Cons.'!W$5:W$3360,"Cargo &amp; Vehicle Cargo Ships",'J Book Items Cons.'!R$5:R$3360,"&lt;&gt;")+SUMIFS('J Book Items Cons.'!N$5:N$3360,'J Book Items Cons.'!S$5:S$3360,"[PARENT]",'J Book Items Cons.'!E$5:E$3360,4,'J Book Items Cons.'!U$5:U$3360,"MSC",'J Book Items Cons.'!W$5:W$3360,"Cargo &amp; Vehicle Cargo Ships",'J Book Items Cons.'!R$5:R$3360,"",'J Book Items Cons.'!N$5:N$3360,"&lt;&gt;")+SUMIFS('J Book Items Cons.'!L$5:L$3360,'J Book Items Cons.'!S$5:S$3360,"[PARENT]",'J Book Items Cons.'!E$5:E$3360,4,'J Book Items Cons.'!U$5:U$3360,"MSC",'J Book Items Cons.'!W$5:W$3360,"Cargo &amp; Vehicle Cargo Ships",'J Book Items Cons.'!R$5:R$3360,"",'J Book Items Cons.'!N$5:N$3360,""))/H36)</f>
        <v>0</v>
      </c>
      <c r="I32" s="38">
        <f>IF(I36=0,0,(SUMIFS('J Book Items Cons.'!R$5:R$3360,'J Book Items Cons.'!S$5:S$3360,"",'J Book Items Cons.'!E$5:E$3360,4,'J Book Items Cons.'!U$5:U$3360,"MSC",'J Book Items Cons.'!W$5:W$3360,"Surveillance Ships",'J Book Items Cons.'!R$5:R$3360,"&lt;&gt;")+SUMIFS('J Book Items Cons.'!N$5:N$3360,'J Book Items Cons.'!S$5:S$3360,"",'J Book Items Cons.'!E$5:E$3360,4,'J Book Items Cons.'!U$5:U$3360,"MSC",'J Book Items Cons.'!W$5:W$3360,"Surveillance Ships",'J Book Items Cons.'!R$5:R$3360,"",'J Book Items Cons.'!N$5:N$3360,"&lt;&gt;")+SUMIFS('J Book Items Cons.'!L$5:L$3360,'J Book Items Cons.'!S$5:S$3360,"",'J Book Items Cons.'!E$5:E$3360,4,'J Book Items Cons.'!U$5:U$3360,"MSC",'J Book Items Cons.'!W$5:W$3360,"Surveillance Ships",'J Book Items Cons.'!R$5:R$3360,"",'J Book Items Cons.'!N$5:N$3360,"")+SUMIFS('J Book Items Cons.'!R$5:R$3360,'J Book Items Cons.'!S$5:S$3360,"[PARENT]",'J Book Items Cons.'!E$5:E$3360,4,'J Book Items Cons.'!U$5:U$3360,"MSC",'J Book Items Cons.'!W$5:W$3360,"Surveillance Ships",'J Book Items Cons.'!R$5:R$3360,"&lt;&gt;")+SUMIFS('J Book Items Cons.'!N$5:N$3360,'J Book Items Cons.'!S$5:S$3360,"[PARENT]",'J Book Items Cons.'!E$5:E$3360,4,'J Book Items Cons.'!U$5:U$3360,"MSC",'J Book Items Cons.'!W$5:W$3360,"Surveillance Ships",'J Book Items Cons.'!R$5:R$3360,"",'J Book Items Cons.'!N$5:N$3360,"&lt;&gt;")+SUMIFS('J Book Items Cons.'!L$5:L$3360,'J Book Items Cons.'!S$5:S$3360,"[PARENT]",'J Book Items Cons.'!E$5:E$3360,4,'J Book Items Cons.'!U$5:U$3360,"MSC",'J Book Items Cons.'!W$5:W$3360,"Surveillance Ships",'J Book Items Cons.'!R$5:R$3360,"",'J Book Items Cons.'!N$5:N$3360,""))/I36)</f>
        <v>1</v>
      </c>
      <c r="J32" s="38">
        <f>IF(J36=0,0,(SUMIFS('J Book Items Cons.'!R$5:R$3360,'J Book Items Cons.'!S$5:S$3360,"",'J Book Items Cons.'!E$5:E$3360,4,'J Book Items Cons.'!U$5:U$3360,"USN",'J Book Items Cons.'!W$5:W$3360,"Command Ships",'J Book Items Cons.'!R$5:R$3360,"&lt;&gt;")+SUMIFS('J Book Items Cons.'!N$5:N$3360,'J Book Items Cons.'!S$5:S$3360,"",'J Book Items Cons.'!E$5:E$3360,4,'J Book Items Cons.'!U$5:U$3360,"USN",'J Book Items Cons.'!W$5:W$3360,"Command Ships",'J Book Items Cons.'!R$5:R$3360,"",'J Book Items Cons.'!N$5:N$3360,"&lt;&gt;")+SUMIFS('J Book Items Cons.'!L$5:L$3360,'J Book Items Cons.'!S$5:S$3360,"",'J Book Items Cons.'!E$5:E$3360,4,'J Book Items Cons.'!U$5:U$3360,"USN",'J Book Items Cons.'!W$5:W$3360,"Command Ships",'J Book Items Cons.'!R$5:R$3360,"",'J Book Items Cons.'!N$5:N$3360,"")+SUMIFS('J Book Items Cons.'!R$5:R$3360,'J Book Items Cons.'!S$5:S$3360,"[PARENT]",'J Book Items Cons.'!E$5:E$3360,4,'J Book Items Cons.'!U$5:U$3360,"USN",'J Book Items Cons.'!W$5:W$3360,"Command Ships",'J Book Items Cons.'!R$5:R$3360,"&lt;&gt;")+SUMIFS('J Book Items Cons.'!N$5:N$3360,'J Book Items Cons.'!S$5:S$3360,"[PARENT]",'J Book Items Cons.'!E$5:E$3360,4,'J Book Items Cons.'!U$5:U$3360,"USN",'J Book Items Cons.'!W$5:W$3360,"Command Ships",'J Book Items Cons.'!R$5:R$3360,"",'J Book Items Cons.'!N$5:N$3360,"&lt;&gt;")+SUMIFS('J Book Items Cons.'!L$5:L$3360,'J Book Items Cons.'!S$5:S$3360,"[PARENT]",'J Book Items Cons.'!E$5:E$3360,4,'J Book Items Cons.'!U$5:U$3360,"USN",'J Book Items Cons.'!W$5:W$3360,"Command Ships",'J Book Items Cons.'!R$5:R$3360,"",'J Book Items Cons.'!N$5:N$3360,""))/J36)</f>
        <v>0</v>
      </c>
      <c r="K32" s="39">
        <f>IF(K36=0,0,(SUMIFS('J Book Items Cons.'!R$5:R$3360,'J Book Items Cons.'!S$5:S$3360,"",'J Book Items Cons.'!E$5:E$3360,4,'J Book Items Cons.'!U$5:U$3360,"USN",'J Book Items Cons.'!W$5:W$3360,"Mine Warfare",'J Book Items Cons.'!R$5:R$3360,"&lt;&gt;")+SUMIFS('J Book Items Cons.'!N$5:N$3360,'J Book Items Cons.'!S$5:S$3360,"",'J Book Items Cons.'!E$5:E$3360,4,'J Book Items Cons.'!U$5:U$3360,"USN",'J Book Items Cons.'!W$5:W$3360,"Mine Warfare",'J Book Items Cons.'!R$5:R$3360,"",'J Book Items Cons.'!N$5:N$3360,"&lt;&gt;")+SUMIFS('J Book Items Cons.'!L$5:L$3360,'J Book Items Cons.'!S$5:S$3360,"",'J Book Items Cons.'!E$5:E$3360,4,'J Book Items Cons.'!U$5:U$3360,"USN",'J Book Items Cons.'!W$5:W$3360,"Mine Warfare",'J Book Items Cons.'!R$5:R$3360,"",'J Book Items Cons.'!N$5:N$3360,"")+SUMIFS('J Book Items Cons.'!R$5:R$3360,'J Book Items Cons.'!S$5:S$3360,"[PARENT]",'J Book Items Cons.'!E$5:E$3360,4,'J Book Items Cons.'!U$5:U$3360,"USN",'J Book Items Cons.'!W$5:W$3360,"Mine Warfare",'J Book Items Cons.'!R$5:R$3360,"&lt;&gt;")+SUMIFS('J Book Items Cons.'!N$5:N$3360,'J Book Items Cons.'!S$5:S$3360,"[PARENT]",'J Book Items Cons.'!E$5:E$3360,4,'J Book Items Cons.'!U$5:U$3360,"USN",'J Book Items Cons.'!W$5:W$3360,"Mine Warfare",'J Book Items Cons.'!R$5:R$3360,"",'J Book Items Cons.'!N$5:N$3360,"&lt;&gt;")+SUMIFS('J Book Items Cons.'!L$5:L$3360,'J Book Items Cons.'!S$5:S$3360,"[PARENT]",'J Book Items Cons.'!E$5:E$3360,4,'J Book Items Cons.'!U$5:U$3360,"USN",'J Book Items Cons.'!W$5:W$3360,"Mine Warfare",'J Book Items Cons.'!R$5:R$3360,"",'J Book Items Cons.'!N$5:N$3360,""))/K36)</f>
        <v>0</v>
      </c>
      <c r="L32" s="37">
        <f>IF(L36=0,0,(SUMIFS('J Book Items Cons.'!R$5:R$3360,'J Book Items Cons.'!S$5:S$3360,"",'J Book Items Cons.'!E$5:E$3360,4,'J Book Items Cons.'!U$5:U$3360,"USCG",'J Book Items Cons.'!W$5:W$3360,"Offshore Patrol Cutter",'J Book Items Cons.'!R$5:R$3360,"&lt;&gt;")+SUMIFS('J Book Items Cons.'!N$5:N$3360,'J Book Items Cons.'!S$5:S$3360,"",'J Book Items Cons.'!E$5:E$3360,4,'J Book Items Cons.'!U$5:U$3360,"USCG",'J Book Items Cons.'!W$5:W$3360,"Offshore Patrol Cutter",'J Book Items Cons.'!R$5:R$3360,"",'J Book Items Cons.'!N$5:N$3360,"&lt;&gt;")+SUMIFS('J Book Items Cons.'!L$5:L$3360,'J Book Items Cons.'!S$5:S$3360,"",'J Book Items Cons.'!E$5:E$3360,4,'J Book Items Cons.'!U$5:U$3360,"USCG",'J Book Items Cons.'!W$5:W$3360,"Offshore Patrol Cutter",'J Book Items Cons.'!R$5:R$3360,"",'J Book Items Cons.'!N$5:N$3360,"")+SUMIFS('J Book Items Cons.'!R$5:R$3360,'J Book Items Cons.'!S$5:S$3360,"[PARENT]",'J Book Items Cons.'!E$5:E$3360,4,'J Book Items Cons.'!U$5:U$3360,"USCG",'J Book Items Cons.'!W$5:W$3360,"Offshore Patrol Cutter",'J Book Items Cons.'!R$5:R$3360,"&lt;&gt;")+SUMIFS('J Book Items Cons.'!N$5:N$3360,'J Book Items Cons.'!S$5:S$3360,"[PARENT]",'J Book Items Cons.'!E$5:E$3360,4,'J Book Items Cons.'!U$5:U$3360,"USCG",'J Book Items Cons.'!W$5:W$3360,"Offshore Patrol Cutter",'J Book Items Cons.'!R$5:R$3360,"",'J Book Items Cons.'!N$5:N$3360,"&lt;&gt;")+SUMIFS('J Book Items Cons.'!L$5:L$3360,'J Book Items Cons.'!S$5:S$3360,"[PARENT]",'J Book Items Cons.'!E$5:E$3360,4,'J Book Items Cons.'!U$5:U$3360,"USCG",'J Book Items Cons.'!W$5:W$3360,"Offshore Patrol Cutter",'J Book Items Cons.'!R$5:R$3360,"",'J Book Items Cons.'!N$5:N$3360,""))/L36)</f>
        <v>0</v>
      </c>
      <c r="M32" s="38">
        <f>IF(M36=0,0,(SUMIFS('J Book Items Cons.'!R$5:R$3360,'J Book Items Cons.'!S$5:S$3360,"",'J Book Items Cons.'!E$5:E$3360,4,'J Book Items Cons.'!U$5:U$3360,"USCG",'J Book Items Cons.'!W$5:W$3360,"Fast Response Cutters",'J Book Items Cons.'!R$5:R$3360,"&lt;&gt;")+SUMIFS('J Book Items Cons.'!N$5:N$3360,'J Book Items Cons.'!S$5:S$3360,"",'J Book Items Cons.'!E$5:E$3360,4,'J Book Items Cons.'!U$5:U$3360,"USCG",'J Book Items Cons.'!W$5:W$3360,"Fast Response Cutters",'J Book Items Cons.'!R$5:R$3360,"",'J Book Items Cons.'!N$5:N$3360,"&lt;&gt;")+SUMIFS('J Book Items Cons.'!L$5:L$3360,'J Book Items Cons.'!S$5:S$3360,"",'J Book Items Cons.'!E$5:E$3360,4,'J Book Items Cons.'!U$5:U$3360,"USCG",'J Book Items Cons.'!W$5:W$3360,"Fast Response Cutters",'J Book Items Cons.'!R$5:R$3360,"",'J Book Items Cons.'!N$5:N$3360,"")+SUMIFS('J Book Items Cons.'!R$5:R$3360,'J Book Items Cons.'!S$5:S$3360,"[PARENT]",'J Book Items Cons.'!E$5:E$3360,4,'J Book Items Cons.'!U$5:U$3360,"USCG",'J Book Items Cons.'!W$5:W$3360,"Fast Response Cutters",'J Book Items Cons.'!R$5:R$3360,"&lt;&gt;")+SUMIFS('J Book Items Cons.'!N$5:N$3360,'J Book Items Cons.'!S$5:S$3360,"[PARENT]",'J Book Items Cons.'!E$5:E$3360,4,'J Book Items Cons.'!U$5:U$3360,"USCG",'J Book Items Cons.'!W$5:W$3360,"Fast Response Cutters",'J Book Items Cons.'!R$5:R$3360,"",'J Book Items Cons.'!N$5:N$3360,"&lt;&gt;")+SUMIFS('J Book Items Cons.'!L$5:L$3360,'J Book Items Cons.'!S$5:S$3360,"[PARENT]",'J Book Items Cons.'!E$5:E$3360,4,'J Book Items Cons.'!U$5:U$3360,"USCG",'J Book Items Cons.'!W$5:W$3360,"Fast Response Cutters",'J Book Items Cons.'!R$5:R$3360,"",'J Book Items Cons.'!N$5:N$3360,""))/M36)</f>
        <v>0</v>
      </c>
      <c r="N32" s="38">
        <f>IF(N36=0,0,(SUMIFS('J Book Items Cons.'!R$5:R$3360,'J Book Items Cons.'!S$5:S$3360,"",'J Book Items Cons.'!E$5:E$3360,4,'J Book Items Cons.'!U$5:U$3360,"USCG",'J Book Items Cons.'!W$5:W$3360,"Icebreakers, Oceangoing",'J Book Items Cons.'!R$5:R$3360,"&lt;&gt;")+SUMIFS('J Book Items Cons.'!N$5:N$3360,'J Book Items Cons.'!S$5:S$3360,"",'J Book Items Cons.'!E$5:E$3360,4,'J Book Items Cons.'!U$5:U$3360,"USCG",'J Book Items Cons.'!W$5:W$3360,"Icebreakers, Oceangoing",'J Book Items Cons.'!R$5:R$3360,"",'J Book Items Cons.'!N$5:N$3360,"&lt;&gt;")+SUMIFS('J Book Items Cons.'!L$5:L$3360,'J Book Items Cons.'!S$5:S$3360,"",'J Book Items Cons.'!E$5:E$3360,4,'J Book Items Cons.'!U$5:U$3360,"USCG",'J Book Items Cons.'!W$5:W$3360,"Icebreakers, Oceangoing",'J Book Items Cons.'!R$5:R$3360,"",'J Book Items Cons.'!N$5:N$3360,"")+SUMIFS('J Book Items Cons.'!R$5:R$3360,'J Book Items Cons.'!S$5:S$3360,"[PARENT]",'J Book Items Cons.'!E$5:E$3360,4,'J Book Items Cons.'!U$5:U$3360,"USCG",'J Book Items Cons.'!W$5:W$3360,"Icebreakers, Oceangoing",'J Book Items Cons.'!R$5:R$3360,"&lt;&gt;")+SUMIFS('J Book Items Cons.'!N$5:N$3360,'J Book Items Cons.'!S$5:S$3360,"[PARENT]",'J Book Items Cons.'!E$5:E$3360,4,'J Book Items Cons.'!U$5:U$3360,"USCG",'J Book Items Cons.'!W$5:W$3360,"Icebreakers, Oceangoing",'J Book Items Cons.'!R$5:R$3360,"",'J Book Items Cons.'!N$5:N$3360,"&lt;&gt;")+SUMIFS('J Book Items Cons.'!L$5:L$3360,'J Book Items Cons.'!S$5:S$3360,"[PARENT]",'J Book Items Cons.'!E$5:E$3360,4,'J Book Items Cons.'!U$5:U$3360,"USCG",'J Book Items Cons.'!W$5:W$3360,"Icebreakers, Oceangoing",'J Book Items Cons.'!R$5:R$3360,"",'J Book Items Cons.'!N$5:N$3360,""))/N36)</f>
        <v>0</v>
      </c>
      <c r="O32" s="38">
        <f>IF(O36=0,0,(SUMIFS('J Book Items Cons.'!R$5:R$3360,'J Book Items Cons.'!S$5:S$3360,"",'J Book Items Cons.'!E$5:E$3360,4,'J Book Items Cons.'!U$5:U$3360,"USCG",'J Book Items Cons.'!W$5:W$3360,"Waterways Commerce Cutters",'J Book Items Cons.'!R$5:R$3360,"&lt;&gt;")+SUMIFS('J Book Items Cons.'!N$5:N$3360,'J Book Items Cons.'!S$5:S$3360,"",'J Book Items Cons.'!E$5:E$3360,4,'J Book Items Cons.'!U$5:U$3360,"USCG",'J Book Items Cons.'!W$5:W$3360,"Waterways Commerce Cutters",'J Book Items Cons.'!R$5:R$3360,"",'J Book Items Cons.'!N$5:N$3360,"&lt;&gt;")+SUMIFS('J Book Items Cons.'!L$5:L$3360,'J Book Items Cons.'!S$5:S$3360,"",'J Book Items Cons.'!E$5:E$3360,4,'J Book Items Cons.'!U$5:U$3360,"USCG",'J Book Items Cons.'!W$5:W$3360,"Waterways Commerce Cutters",'J Book Items Cons.'!R$5:R$3360,"",'J Book Items Cons.'!N$5:N$3360,"")+SUMIFS('J Book Items Cons.'!R$5:R$3360,'J Book Items Cons.'!S$5:S$3360,"[PARENT]",'J Book Items Cons.'!E$5:E$3360,4,'J Book Items Cons.'!U$5:U$3360,"USCG",'J Book Items Cons.'!W$5:W$3360,"Waterways Commerce Cutters",'J Book Items Cons.'!R$5:R$3360,"&lt;&gt;")+SUMIFS('J Book Items Cons.'!N$5:N$3360,'J Book Items Cons.'!S$5:S$3360,"[PARENT]",'J Book Items Cons.'!E$5:E$3360,4,'J Book Items Cons.'!U$5:U$3360,"USCG",'J Book Items Cons.'!W$5:W$3360,"Waterways Commerce Cutters",'J Book Items Cons.'!R$5:R$3360,"",'J Book Items Cons.'!N$5:N$3360,"&lt;&gt;")+SUMIFS('J Book Items Cons.'!L$5:L$3360,'J Book Items Cons.'!S$5:S$3360,"[PARENT]",'J Book Items Cons.'!E$5:E$3360,4,'J Book Items Cons.'!U$5:U$3360,"USCG",'J Book Items Cons.'!W$5:W$3360,"Waterways Commerce Cutters",'J Book Items Cons.'!R$5:R$3360,"",'J Book Items Cons.'!N$5:N$3360,""))/O36)</f>
        <v>0</v>
      </c>
      <c r="P32" s="39">
        <f>IF(P36=0,0,(SUMIFS('J Book Items Cons.'!R$5:R$3360,'J Book Items Cons.'!S$5:S$3360,"",'J Book Items Cons.'!E$5:E$3360,4,'J Book Items Cons.'!U$5:U$3360,"USCG",'J Book Items Cons.'!W$5:W$3360,"National Security Cutters",'J Book Items Cons.'!R$5:R$3360,"&lt;&gt;")+SUMIFS('J Book Items Cons.'!N$5:N$3360,'J Book Items Cons.'!S$5:S$3360,"",'J Book Items Cons.'!E$5:E$3360,4,'J Book Items Cons.'!U$5:U$3360,"USCG",'J Book Items Cons.'!W$5:W$3360,"National Security Cutters",'J Book Items Cons.'!R$5:R$3360,"",'J Book Items Cons.'!N$5:N$3360,"&lt;&gt;")+SUMIFS('J Book Items Cons.'!L$5:L$3360,'J Book Items Cons.'!S$5:S$3360,"",'J Book Items Cons.'!E$5:E$3360,4,'J Book Items Cons.'!U$5:U$3360,"USCG",'J Book Items Cons.'!W$5:W$3360,"National Security Cutters",'J Book Items Cons.'!R$5:R$3360,"",'J Book Items Cons.'!N$5:N$3360,"")+SUMIFS('J Book Items Cons.'!R$5:R$3360,'J Book Items Cons.'!S$5:S$3360,"[PARENT]",'J Book Items Cons.'!E$5:E$3360,4,'J Book Items Cons.'!U$5:U$3360,"USCG",'J Book Items Cons.'!W$5:W$3360,"National Security Cutters",'J Book Items Cons.'!R$5:R$3360,"&lt;&gt;")+SUMIFS('J Book Items Cons.'!N$5:N$3360,'J Book Items Cons.'!S$5:S$3360,"[PARENT]",'J Book Items Cons.'!E$5:E$3360,4,'J Book Items Cons.'!U$5:U$3360,"USCG",'J Book Items Cons.'!W$5:W$3360,"National Security Cutters",'J Book Items Cons.'!R$5:R$3360,"",'J Book Items Cons.'!N$5:N$3360,"&lt;&gt;")+SUMIFS('J Book Items Cons.'!L$5:L$3360,'J Book Items Cons.'!S$5:S$3360,"[PARENT]",'J Book Items Cons.'!E$5:E$3360,4,'J Book Items Cons.'!U$5:U$3360,"USCG",'J Book Items Cons.'!W$5:W$3360,"National Security Cutters",'J Book Items Cons.'!R$5:R$3360,"",'J Book Items Cons.'!N$5:N$3360,""))/P36)</f>
        <v>1</v>
      </c>
      <c r="Q32" s="38">
        <f>IF(Q36=0,0,SUMPRODUCT(B32:P32,B$36:P$36)/Q$36)</f>
        <v>0.66395948984626507</v>
      </c>
    </row>
    <row r="33" spans="1:17" ht="9.75" customHeight="1" x14ac:dyDescent="0.15">
      <c r="A33" s="7" t="s">
        <v>8853</v>
      </c>
      <c r="B33" s="37">
        <f>IF(B36=0,0,(SUMIFS('J Book Items Cons.'!R$5:R$3360,'J Book Items Cons.'!S$5:S$3360,"",'J Book Items Cons.'!E$5:E$3360,5,'J Book Items Cons.'!U$5:U$3360,"USN",'J Book Items Cons.'!W$5:W$3360,"Surface Combatants",'J Book Items Cons.'!R$5:R$3360,"&lt;&gt;")+SUMIFS('J Book Items Cons.'!N$5:N$3360,'J Book Items Cons.'!S$5:S$3360,"",'J Book Items Cons.'!E$5:E$3360,5,'J Book Items Cons.'!U$5:U$3360,"USN",'J Book Items Cons.'!W$5:W$3360,"Surface Combatants",'J Book Items Cons.'!R$5:R$3360,"",'J Book Items Cons.'!N$5:N$3360,"&lt;&gt;")+SUMIFS('J Book Items Cons.'!L$5:L$3360,'J Book Items Cons.'!S$5:S$3360,"",'J Book Items Cons.'!E$5:E$3360,5,'J Book Items Cons.'!U$5:U$3360,"USN",'J Book Items Cons.'!W$5:W$3360,"Surface Combatants",'J Book Items Cons.'!R$5:R$3360,"",'J Book Items Cons.'!N$5:N$3360,"")+SUMIFS('J Book Items Cons.'!R$5:R$3360,'J Book Items Cons.'!S$5:S$3360,"[PARENT]",'J Book Items Cons.'!E$5:E$3360,5,'J Book Items Cons.'!U$5:U$3360,"USN",'J Book Items Cons.'!W$5:W$3360,"Surface Combatants",'J Book Items Cons.'!R$5:R$3360,"&lt;&gt;")+SUMIFS('J Book Items Cons.'!N$5:N$3360,'J Book Items Cons.'!S$5:S$3360,"[PARENT]",'J Book Items Cons.'!E$5:E$3360,5,'J Book Items Cons.'!U$5:U$3360,"USN",'J Book Items Cons.'!W$5:W$3360,"Surface Combatants",'J Book Items Cons.'!R$5:R$3360,"",'J Book Items Cons.'!N$5:N$3360,"&lt;&gt;")+SUMIFS('J Book Items Cons.'!L$5:L$3360,'J Book Items Cons.'!S$5:S$3360,"[PARENT]",'J Book Items Cons.'!E$5:E$3360,5,'J Book Items Cons.'!U$5:U$3360,"USN",'J Book Items Cons.'!W$5:W$3360,"Surface Combatants",'J Book Items Cons.'!R$5:R$3360,"",'J Book Items Cons.'!N$5:N$3360,""))/B36)</f>
        <v>0</v>
      </c>
      <c r="C33" s="38">
        <f>IF(C36=0,0,(SUMIFS('J Book Items Cons.'!R$5:R$3360,'J Book Items Cons.'!S$5:S$3360,"",'J Book Items Cons.'!E$5:E$3360,5,'J Book Items Cons.'!U$5:U$3360,"USN",'J Book Items Cons.'!W$5:W$3360,"Amphibious Warfare Ships",'J Book Items Cons.'!R$5:R$3360,"&lt;&gt;")+SUMIFS('J Book Items Cons.'!N$5:N$3360,'J Book Items Cons.'!S$5:S$3360,"",'J Book Items Cons.'!E$5:E$3360,5,'J Book Items Cons.'!U$5:U$3360,"USN",'J Book Items Cons.'!W$5:W$3360,"Amphibious Warfare Ships",'J Book Items Cons.'!R$5:R$3360,"",'J Book Items Cons.'!N$5:N$3360,"&lt;&gt;")+SUMIFS('J Book Items Cons.'!L$5:L$3360,'J Book Items Cons.'!S$5:S$3360,"",'J Book Items Cons.'!E$5:E$3360,5,'J Book Items Cons.'!U$5:U$3360,"USN",'J Book Items Cons.'!W$5:W$3360,"Amphibious Warfare Ships",'J Book Items Cons.'!R$5:R$3360,"",'J Book Items Cons.'!N$5:N$3360,"")+SUMIFS('J Book Items Cons.'!R$5:R$3360,'J Book Items Cons.'!S$5:S$3360,"[PARENT]",'J Book Items Cons.'!E$5:E$3360,5,'J Book Items Cons.'!U$5:U$3360,"USN",'J Book Items Cons.'!W$5:W$3360,"Amphibious Warfare Ships",'J Book Items Cons.'!R$5:R$3360,"&lt;&gt;")+SUMIFS('J Book Items Cons.'!N$5:N$3360,'J Book Items Cons.'!S$5:S$3360,"[PARENT]",'J Book Items Cons.'!E$5:E$3360,5,'J Book Items Cons.'!U$5:U$3360,"USN",'J Book Items Cons.'!W$5:W$3360,"Amphibious Warfare Ships",'J Book Items Cons.'!R$5:R$3360,"",'J Book Items Cons.'!N$5:N$3360,"&lt;&gt;")+SUMIFS('J Book Items Cons.'!L$5:L$3360,'J Book Items Cons.'!S$5:S$3360,"[PARENT]",'J Book Items Cons.'!E$5:E$3360,5,'J Book Items Cons.'!U$5:U$3360,"USN",'J Book Items Cons.'!W$5:W$3360,"Amphibious Warfare Ships",'J Book Items Cons.'!R$5:R$3360,"",'J Book Items Cons.'!N$5:N$3360,""))/C36)</f>
        <v>0</v>
      </c>
      <c r="D33" s="38">
        <f>IF(D36=0,0,(SUMIFS('J Book Items Cons.'!R$5:R$3360,'J Book Items Cons.'!S$5:S$3360,"",'J Book Items Cons.'!E$5:E$3360,5,'J Book Items Cons.'!U$5:U$3360,"USN",'J Book Items Cons.'!W$5:W$3360,"Expeditionary &amp; Seabasing Ships",'J Book Items Cons.'!R$5:R$3360,"&lt;&gt;")+SUMIFS('J Book Items Cons.'!N$5:N$3360,'J Book Items Cons.'!S$5:S$3360,"",'J Book Items Cons.'!E$5:E$3360,5,'J Book Items Cons.'!U$5:U$3360,"USN",'J Book Items Cons.'!W$5:W$3360,"Expeditionary &amp; Seabasing Ships",'J Book Items Cons.'!R$5:R$3360,"",'J Book Items Cons.'!N$5:N$3360,"&lt;&gt;")+SUMIFS('J Book Items Cons.'!L$5:L$3360,'J Book Items Cons.'!S$5:S$3360,"",'J Book Items Cons.'!E$5:E$3360,5,'J Book Items Cons.'!U$5:U$3360,"USN",'J Book Items Cons.'!W$5:W$3360,"Expeditionary &amp; Seabasing Ships",'J Book Items Cons.'!R$5:R$3360,"",'J Book Items Cons.'!N$5:N$3360,"")+SUMIFS('J Book Items Cons.'!R$5:R$3360,'J Book Items Cons.'!S$5:S$3360,"[PARENT]",'J Book Items Cons.'!E$5:E$3360,5,'J Book Items Cons.'!U$5:U$3360,"USN",'J Book Items Cons.'!W$5:W$3360,"Expeditionary &amp; Seabasing Ships",'J Book Items Cons.'!R$5:R$3360,"&lt;&gt;")+SUMIFS('J Book Items Cons.'!N$5:N$3360,'J Book Items Cons.'!S$5:S$3360,"[PARENT]",'J Book Items Cons.'!E$5:E$3360,5,'J Book Items Cons.'!U$5:U$3360,"USN",'J Book Items Cons.'!W$5:W$3360,"Expeditionary &amp; Seabasing Ships",'J Book Items Cons.'!R$5:R$3360,"",'J Book Items Cons.'!N$5:N$3360,"&lt;&gt;")+SUMIFS('J Book Items Cons.'!L$5:L$3360,'J Book Items Cons.'!S$5:S$3360,"[PARENT]",'J Book Items Cons.'!E$5:E$3360,5,'J Book Items Cons.'!U$5:U$3360,"USN",'J Book Items Cons.'!W$5:W$3360,"Expeditionary &amp; Seabasing Ships",'J Book Items Cons.'!R$5:R$3360,"",'J Book Items Cons.'!N$5:N$3360,""))/D36)</f>
        <v>0</v>
      </c>
      <c r="E33" s="38">
        <f>IF(E36=0,0,(SUMIFS('J Book Items Cons.'!R$5:R$3360,'J Book Items Cons.'!S$5:S$3360,"",'J Book Items Cons.'!E$5:E$3360,5,'J Book Items Cons.'!U$5:U$3360,"MSC",'J Book Items Cons.'!W$5:W$3360,"Combat Logistics Ships",'J Book Items Cons.'!R$5:R$3360,"&lt;&gt;")+SUMIFS('J Book Items Cons.'!N$5:N$3360,'J Book Items Cons.'!S$5:S$3360,"",'J Book Items Cons.'!E$5:E$3360,5,'J Book Items Cons.'!U$5:U$3360,"MSC",'J Book Items Cons.'!W$5:W$3360,"Combat Logistics Ships",'J Book Items Cons.'!R$5:R$3360,"",'J Book Items Cons.'!N$5:N$3360,"&lt;&gt;")+SUMIFS('J Book Items Cons.'!L$5:L$3360,'J Book Items Cons.'!S$5:S$3360,"",'J Book Items Cons.'!E$5:E$3360,5,'J Book Items Cons.'!U$5:U$3360,"MSC",'J Book Items Cons.'!W$5:W$3360,"Combat Logistics Ships",'J Book Items Cons.'!R$5:R$3360,"",'J Book Items Cons.'!N$5:N$3360,"")+SUMIFS('J Book Items Cons.'!R$5:R$3360,'J Book Items Cons.'!S$5:S$3360,"[PARENT]",'J Book Items Cons.'!E$5:E$3360,5,'J Book Items Cons.'!U$5:U$3360,"MSC",'J Book Items Cons.'!W$5:W$3360,"Combat Logistics Ships",'J Book Items Cons.'!R$5:R$3360,"&lt;&gt;")+SUMIFS('J Book Items Cons.'!N$5:N$3360,'J Book Items Cons.'!S$5:S$3360,"[PARENT]",'J Book Items Cons.'!E$5:E$3360,5,'J Book Items Cons.'!U$5:U$3360,"MSC",'J Book Items Cons.'!W$5:W$3360,"Combat Logistics Ships",'J Book Items Cons.'!R$5:R$3360,"",'J Book Items Cons.'!N$5:N$3360,"&lt;&gt;")+SUMIFS('J Book Items Cons.'!L$5:L$3360,'J Book Items Cons.'!S$5:S$3360,"[PARENT]",'J Book Items Cons.'!E$5:E$3360,5,'J Book Items Cons.'!U$5:U$3360,"MSC",'J Book Items Cons.'!W$5:W$3360,"Combat Logistics Ships",'J Book Items Cons.'!R$5:R$3360,"",'J Book Items Cons.'!N$5:N$3360,""))/E36)</f>
        <v>0</v>
      </c>
      <c r="F33" s="38">
        <f>IF(F36=0,0,(SUMIFS('J Book Items Cons.'!R$5:R$3360,'J Book Items Cons.'!S$5:S$3360,"",'J Book Items Cons.'!E$5:E$3360,5,'J Book Items Cons.'!U$5:U$3360,"USN",'J Book Items Cons.'!W$5:W$3360,"Unmanned Surface Vehicles",'J Book Items Cons.'!R$5:R$3360,"&lt;&gt;")+SUMIFS('J Book Items Cons.'!N$5:N$3360,'J Book Items Cons.'!S$5:S$3360,"",'J Book Items Cons.'!E$5:E$3360,5,'J Book Items Cons.'!U$5:U$3360,"USN",'J Book Items Cons.'!W$5:W$3360,"Unmanned Surface Vehicles",'J Book Items Cons.'!R$5:R$3360,"",'J Book Items Cons.'!N$5:N$3360,"&lt;&gt;")+SUMIFS('J Book Items Cons.'!L$5:L$3360,'J Book Items Cons.'!S$5:S$3360,"",'J Book Items Cons.'!E$5:E$3360,5,'J Book Items Cons.'!U$5:U$3360,"USN",'J Book Items Cons.'!W$5:W$3360,"Unmanned Surface Vehicles",'J Book Items Cons.'!R$5:R$3360,"",'J Book Items Cons.'!N$5:N$3360,"")+SUMIFS('J Book Items Cons.'!R$5:R$3360,'J Book Items Cons.'!S$5:S$3360,"[PARENT]",'J Book Items Cons.'!E$5:E$3360,5,'J Book Items Cons.'!U$5:U$3360,"USN",'J Book Items Cons.'!W$5:W$3360,"Unmanned Surface Vehicles",'J Book Items Cons.'!R$5:R$3360,"&lt;&gt;")+SUMIFS('J Book Items Cons.'!N$5:N$3360,'J Book Items Cons.'!S$5:S$3360,"[PARENT]",'J Book Items Cons.'!E$5:E$3360,5,'J Book Items Cons.'!U$5:U$3360,"USN",'J Book Items Cons.'!W$5:W$3360,"Unmanned Surface Vehicles",'J Book Items Cons.'!R$5:R$3360,"",'J Book Items Cons.'!N$5:N$3360,"&lt;&gt;")+SUMIFS('J Book Items Cons.'!L$5:L$3360,'J Book Items Cons.'!S$5:S$3360,"[PARENT]",'J Book Items Cons.'!E$5:E$3360,5,'J Book Items Cons.'!U$5:U$3360,"USN",'J Book Items Cons.'!W$5:W$3360,"Unmanned Surface Vehicles",'J Book Items Cons.'!R$5:R$3360,"",'J Book Items Cons.'!N$5:N$3360,""))/F36)</f>
        <v>0</v>
      </c>
      <c r="G33" s="38">
        <f>IF(G36=0,0,(SUMIFS('J Book Items Cons.'!R$5:R$3360,'J Book Items Cons.'!S$5:S$3360,"",'J Book Items Cons.'!E$5:E$3360,5,'J Book Items Cons.'!U$5:U$3360,"USN",'J Book Items Cons.'!W$5:W$3360,"Amphibious Warfare Craft",'J Book Items Cons.'!R$5:R$3360,"&lt;&gt;")+SUMIFS('J Book Items Cons.'!N$5:N$3360,'J Book Items Cons.'!S$5:S$3360,"",'J Book Items Cons.'!E$5:E$3360,5,'J Book Items Cons.'!U$5:U$3360,"USN",'J Book Items Cons.'!W$5:W$3360,"Amphibious Warfare Craft",'J Book Items Cons.'!R$5:R$3360,"",'J Book Items Cons.'!N$5:N$3360,"&lt;&gt;")+SUMIFS('J Book Items Cons.'!L$5:L$3360,'J Book Items Cons.'!S$5:S$3360,"",'J Book Items Cons.'!E$5:E$3360,5,'J Book Items Cons.'!U$5:U$3360,"USN",'J Book Items Cons.'!W$5:W$3360,"Amphibious Warfare Craft",'J Book Items Cons.'!R$5:R$3360,"",'J Book Items Cons.'!N$5:N$3360,"")+SUMIFS('J Book Items Cons.'!R$5:R$3360,'J Book Items Cons.'!S$5:S$3360,"[PARENT]",'J Book Items Cons.'!E$5:E$3360,5,'J Book Items Cons.'!U$5:U$3360,"USN",'J Book Items Cons.'!W$5:W$3360,"Amphibious Warfare Craft",'J Book Items Cons.'!R$5:R$3360,"&lt;&gt;")+SUMIFS('J Book Items Cons.'!N$5:N$3360,'J Book Items Cons.'!S$5:S$3360,"[PARENT]",'J Book Items Cons.'!E$5:E$3360,5,'J Book Items Cons.'!U$5:U$3360,"USN",'J Book Items Cons.'!W$5:W$3360,"Amphibious Warfare Craft",'J Book Items Cons.'!R$5:R$3360,"",'J Book Items Cons.'!N$5:N$3360,"&lt;&gt;")+SUMIFS('J Book Items Cons.'!L$5:L$3360,'J Book Items Cons.'!S$5:S$3360,"[PARENT]",'J Book Items Cons.'!E$5:E$3360,5,'J Book Items Cons.'!U$5:U$3360,"USN",'J Book Items Cons.'!W$5:W$3360,"Amphibious Warfare Craft",'J Book Items Cons.'!R$5:R$3360,"",'J Book Items Cons.'!N$5:N$3360,""))/G36)</f>
        <v>0.55568766162351757</v>
      </c>
      <c r="H33" s="38">
        <f>IF(H36=0,0,(SUMIFS('J Book Items Cons.'!R$5:R$3360,'J Book Items Cons.'!S$5:S$3360,"",'J Book Items Cons.'!E$5:E$3360,5,'J Book Items Cons.'!U$5:U$3360,"MSC",'J Book Items Cons.'!W$5:W$3360,"Cargo &amp; Vehicle Cargo Ships",'J Book Items Cons.'!R$5:R$3360,"&lt;&gt;")+SUMIFS('J Book Items Cons.'!N$5:N$3360,'J Book Items Cons.'!S$5:S$3360,"",'J Book Items Cons.'!E$5:E$3360,5,'J Book Items Cons.'!U$5:U$3360,"MSC",'J Book Items Cons.'!W$5:W$3360,"Cargo &amp; Vehicle Cargo Ships",'J Book Items Cons.'!R$5:R$3360,"",'J Book Items Cons.'!N$5:N$3360,"&lt;&gt;")+SUMIFS('J Book Items Cons.'!L$5:L$3360,'J Book Items Cons.'!S$5:S$3360,"",'J Book Items Cons.'!E$5:E$3360,5,'J Book Items Cons.'!U$5:U$3360,"MSC",'J Book Items Cons.'!W$5:W$3360,"Cargo &amp; Vehicle Cargo Ships",'J Book Items Cons.'!R$5:R$3360,"",'J Book Items Cons.'!N$5:N$3360,"")+SUMIFS('J Book Items Cons.'!R$5:R$3360,'J Book Items Cons.'!S$5:S$3360,"[PARENT]",'J Book Items Cons.'!E$5:E$3360,5,'J Book Items Cons.'!U$5:U$3360,"MSC",'J Book Items Cons.'!W$5:W$3360,"Cargo &amp; Vehicle Cargo Ships",'J Book Items Cons.'!R$5:R$3360,"&lt;&gt;")+SUMIFS('J Book Items Cons.'!N$5:N$3360,'J Book Items Cons.'!S$5:S$3360,"[PARENT]",'J Book Items Cons.'!E$5:E$3360,5,'J Book Items Cons.'!U$5:U$3360,"MSC",'J Book Items Cons.'!W$5:W$3360,"Cargo &amp; Vehicle Cargo Ships",'J Book Items Cons.'!R$5:R$3360,"",'J Book Items Cons.'!N$5:N$3360,"&lt;&gt;")+SUMIFS('J Book Items Cons.'!L$5:L$3360,'J Book Items Cons.'!S$5:S$3360,"[PARENT]",'J Book Items Cons.'!E$5:E$3360,5,'J Book Items Cons.'!U$5:U$3360,"MSC",'J Book Items Cons.'!W$5:W$3360,"Cargo &amp; Vehicle Cargo Ships",'J Book Items Cons.'!R$5:R$3360,"",'J Book Items Cons.'!N$5:N$3360,""))/H36)</f>
        <v>0</v>
      </c>
      <c r="I33" s="38">
        <f>IF(I36=0,0,(SUMIFS('J Book Items Cons.'!R$5:R$3360,'J Book Items Cons.'!S$5:S$3360,"",'J Book Items Cons.'!E$5:E$3360,5,'J Book Items Cons.'!U$5:U$3360,"MSC",'J Book Items Cons.'!W$5:W$3360,"Surveillance Ships",'J Book Items Cons.'!R$5:R$3360,"&lt;&gt;")+SUMIFS('J Book Items Cons.'!N$5:N$3360,'J Book Items Cons.'!S$5:S$3360,"",'J Book Items Cons.'!E$5:E$3360,5,'J Book Items Cons.'!U$5:U$3360,"MSC",'J Book Items Cons.'!W$5:W$3360,"Surveillance Ships",'J Book Items Cons.'!R$5:R$3360,"",'J Book Items Cons.'!N$5:N$3360,"&lt;&gt;")+SUMIFS('J Book Items Cons.'!L$5:L$3360,'J Book Items Cons.'!S$5:S$3360,"",'J Book Items Cons.'!E$5:E$3360,5,'J Book Items Cons.'!U$5:U$3360,"MSC",'J Book Items Cons.'!W$5:W$3360,"Surveillance Ships",'J Book Items Cons.'!R$5:R$3360,"",'J Book Items Cons.'!N$5:N$3360,"")+SUMIFS('J Book Items Cons.'!R$5:R$3360,'J Book Items Cons.'!S$5:S$3360,"[PARENT]",'J Book Items Cons.'!E$5:E$3360,5,'J Book Items Cons.'!U$5:U$3360,"MSC",'J Book Items Cons.'!W$5:W$3360,"Surveillance Ships",'J Book Items Cons.'!R$5:R$3360,"&lt;&gt;")+SUMIFS('J Book Items Cons.'!N$5:N$3360,'J Book Items Cons.'!S$5:S$3360,"[PARENT]",'J Book Items Cons.'!E$5:E$3360,5,'J Book Items Cons.'!U$5:U$3360,"MSC",'J Book Items Cons.'!W$5:W$3360,"Surveillance Ships",'J Book Items Cons.'!R$5:R$3360,"",'J Book Items Cons.'!N$5:N$3360,"&lt;&gt;")+SUMIFS('J Book Items Cons.'!L$5:L$3360,'J Book Items Cons.'!S$5:S$3360,"[PARENT]",'J Book Items Cons.'!E$5:E$3360,5,'J Book Items Cons.'!U$5:U$3360,"MSC",'J Book Items Cons.'!W$5:W$3360,"Surveillance Ships",'J Book Items Cons.'!R$5:R$3360,"",'J Book Items Cons.'!N$5:N$3360,""))/I36)</f>
        <v>0</v>
      </c>
      <c r="J33" s="38">
        <f>IF(J36=0,0,(SUMIFS('J Book Items Cons.'!R$5:R$3360,'J Book Items Cons.'!S$5:S$3360,"",'J Book Items Cons.'!E$5:E$3360,5,'J Book Items Cons.'!U$5:U$3360,"USN",'J Book Items Cons.'!W$5:W$3360,"Command Ships",'J Book Items Cons.'!R$5:R$3360,"&lt;&gt;")+SUMIFS('J Book Items Cons.'!N$5:N$3360,'J Book Items Cons.'!S$5:S$3360,"",'J Book Items Cons.'!E$5:E$3360,5,'J Book Items Cons.'!U$5:U$3360,"USN",'J Book Items Cons.'!W$5:W$3360,"Command Ships",'J Book Items Cons.'!R$5:R$3360,"",'J Book Items Cons.'!N$5:N$3360,"&lt;&gt;")+SUMIFS('J Book Items Cons.'!L$5:L$3360,'J Book Items Cons.'!S$5:S$3360,"",'J Book Items Cons.'!E$5:E$3360,5,'J Book Items Cons.'!U$5:U$3360,"USN",'J Book Items Cons.'!W$5:W$3360,"Command Ships",'J Book Items Cons.'!R$5:R$3360,"",'J Book Items Cons.'!N$5:N$3360,"")+SUMIFS('J Book Items Cons.'!R$5:R$3360,'J Book Items Cons.'!S$5:S$3360,"[PARENT]",'J Book Items Cons.'!E$5:E$3360,5,'J Book Items Cons.'!U$5:U$3360,"USN",'J Book Items Cons.'!W$5:W$3360,"Command Ships",'J Book Items Cons.'!R$5:R$3360,"&lt;&gt;")+SUMIFS('J Book Items Cons.'!N$5:N$3360,'J Book Items Cons.'!S$5:S$3360,"[PARENT]",'J Book Items Cons.'!E$5:E$3360,5,'J Book Items Cons.'!U$5:U$3360,"USN",'J Book Items Cons.'!W$5:W$3360,"Command Ships",'J Book Items Cons.'!R$5:R$3360,"",'J Book Items Cons.'!N$5:N$3360,"&lt;&gt;")+SUMIFS('J Book Items Cons.'!L$5:L$3360,'J Book Items Cons.'!S$5:S$3360,"[PARENT]",'J Book Items Cons.'!E$5:E$3360,5,'J Book Items Cons.'!U$5:U$3360,"USN",'J Book Items Cons.'!W$5:W$3360,"Command Ships",'J Book Items Cons.'!R$5:R$3360,"",'J Book Items Cons.'!N$5:N$3360,""))/J36)</f>
        <v>0.46506465933217528</v>
      </c>
      <c r="K33" s="39">
        <f>IF(K36=0,0,(SUMIFS('J Book Items Cons.'!R$5:R$3360,'J Book Items Cons.'!S$5:S$3360,"",'J Book Items Cons.'!E$5:E$3360,5,'J Book Items Cons.'!U$5:U$3360,"USN",'J Book Items Cons.'!W$5:W$3360,"Mine Warfare",'J Book Items Cons.'!R$5:R$3360,"&lt;&gt;")+SUMIFS('J Book Items Cons.'!N$5:N$3360,'J Book Items Cons.'!S$5:S$3360,"",'J Book Items Cons.'!E$5:E$3360,5,'J Book Items Cons.'!U$5:U$3360,"USN",'J Book Items Cons.'!W$5:W$3360,"Mine Warfare",'J Book Items Cons.'!R$5:R$3360,"",'J Book Items Cons.'!N$5:N$3360,"&lt;&gt;")+SUMIFS('J Book Items Cons.'!L$5:L$3360,'J Book Items Cons.'!S$5:S$3360,"",'J Book Items Cons.'!E$5:E$3360,5,'J Book Items Cons.'!U$5:U$3360,"USN",'J Book Items Cons.'!W$5:W$3360,"Mine Warfare",'J Book Items Cons.'!R$5:R$3360,"",'J Book Items Cons.'!N$5:N$3360,"")+SUMIFS('J Book Items Cons.'!R$5:R$3360,'J Book Items Cons.'!S$5:S$3360,"[PARENT]",'J Book Items Cons.'!E$5:E$3360,5,'J Book Items Cons.'!U$5:U$3360,"USN",'J Book Items Cons.'!W$5:W$3360,"Mine Warfare",'J Book Items Cons.'!R$5:R$3360,"&lt;&gt;")+SUMIFS('J Book Items Cons.'!N$5:N$3360,'J Book Items Cons.'!S$5:S$3360,"[PARENT]",'J Book Items Cons.'!E$5:E$3360,5,'J Book Items Cons.'!U$5:U$3360,"USN",'J Book Items Cons.'!W$5:W$3360,"Mine Warfare",'J Book Items Cons.'!R$5:R$3360,"",'J Book Items Cons.'!N$5:N$3360,"&lt;&gt;")+SUMIFS('J Book Items Cons.'!L$5:L$3360,'J Book Items Cons.'!S$5:S$3360,"[PARENT]",'J Book Items Cons.'!E$5:E$3360,5,'J Book Items Cons.'!U$5:U$3360,"USN",'J Book Items Cons.'!W$5:W$3360,"Mine Warfare",'J Book Items Cons.'!R$5:R$3360,"",'J Book Items Cons.'!N$5:N$3360,""))/K36)</f>
        <v>0</v>
      </c>
      <c r="L33" s="37">
        <f>IF(L36=0,0,(SUMIFS('J Book Items Cons.'!R$5:R$3360,'J Book Items Cons.'!S$5:S$3360,"",'J Book Items Cons.'!E$5:E$3360,5,'J Book Items Cons.'!U$5:U$3360,"USCG",'J Book Items Cons.'!W$5:W$3360,"Offshore Patrol Cutter",'J Book Items Cons.'!R$5:R$3360,"&lt;&gt;")+SUMIFS('J Book Items Cons.'!N$5:N$3360,'J Book Items Cons.'!S$5:S$3360,"",'J Book Items Cons.'!E$5:E$3360,5,'J Book Items Cons.'!U$5:U$3360,"USCG",'J Book Items Cons.'!W$5:W$3360,"Offshore Patrol Cutter",'J Book Items Cons.'!R$5:R$3360,"",'J Book Items Cons.'!N$5:N$3360,"&lt;&gt;")+SUMIFS('J Book Items Cons.'!L$5:L$3360,'J Book Items Cons.'!S$5:S$3360,"",'J Book Items Cons.'!E$5:E$3360,5,'J Book Items Cons.'!U$5:U$3360,"USCG",'J Book Items Cons.'!W$5:W$3360,"Offshore Patrol Cutter",'J Book Items Cons.'!R$5:R$3360,"",'J Book Items Cons.'!N$5:N$3360,"")+SUMIFS('J Book Items Cons.'!R$5:R$3360,'J Book Items Cons.'!S$5:S$3360,"[PARENT]",'J Book Items Cons.'!E$5:E$3360,5,'J Book Items Cons.'!U$5:U$3360,"USCG",'J Book Items Cons.'!W$5:W$3360,"Offshore Patrol Cutter",'J Book Items Cons.'!R$5:R$3360,"&lt;&gt;")+SUMIFS('J Book Items Cons.'!N$5:N$3360,'J Book Items Cons.'!S$5:S$3360,"[PARENT]",'J Book Items Cons.'!E$5:E$3360,5,'J Book Items Cons.'!U$5:U$3360,"USCG",'J Book Items Cons.'!W$5:W$3360,"Offshore Patrol Cutter",'J Book Items Cons.'!R$5:R$3360,"",'J Book Items Cons.'!N$5:N$3360,"&lt;&gt;")+SUMIFS('J Book Items Cons.'!L$5:L$3360,'J Book Items Cons.'!S$5:S$3360,"[PARENT]",'J Book Items Cons.'!E$5:E$3360,5,'J Book Items Cons.'!U$5:U$3360,"USCG",'J Book Items Cons.'!W$5:W$3360,"Offshore Patrol Cutter",'J Book Items Cons.'!R$5:R$3360,"",'J Book Items Cons.'!N$5:N$3360,""))/L36)</f>
        <v>0</v>
      </c>
      <c r="M33" s="38">
        <f>IF(M36=0,0,(SUMIFS('J Book Items Cons.'!R$5:R$3360,'J Book Items Cons.'!S$5:S$3360,"",'J Book Items Cons.'!E$5:E$3360,5,'J Book Items Cons.'!U$5:U$3360,"USCG",'J Book Items Cons.'!W$5:W$3360,"Fast Response Cutters",'J Book Items Cons.'!R$5:R$3360,"&lt;&gt;")+SUMIFS('J Book Items Cons.'!N$5:N$3360,'J Book Items Cons.'!S$5:S$3360,"",'J Book Items Cons.'!E$5:E$3360,5,'J Book Items Cons.'!U$5:U$3360,"USCG",'J Book Items Cons.'!W$5:W$3360,"Fast Response Cutters",'J Book Items Cons.'!R$5:R$3360,"",'J Book Items Cons.'!N$5:N$3360,"&lt;&gt;")+SUMIFS('J Book Items Cons.'!L$5:L$3360,'J Book Items Cons.'!S$5:S$3360,"",'J Book Items Cons.'!E$5:E$3360,5,'J Book Items Cons.'!U$5:U$3360,"USCG",'J Book Items Cons.'!W$5:W$3360,"Fast Response Cutters",'J Book Items Cons.'!R$5:R$3360,"",'J Book Items Cons.'!N$5:N$3360,"")+SUMIFS('J Book Items Cons.'!R$5:R$3360,'J Book Items Cons.'!S$5:S$3360,"[PARENT]",'J Book Items Cons.'!E$5:E$3360,5,'J Book Items Cons.'!U$5:U$3360,"USCG",'J Book Items Cons.'!W$5:W$3360,"Fast Response Cutters",'J Book Items Cons.'!R$5:R$3360,"&lt;&gt;")+SUMIFS('J Book Items Cons.'!N$5:N$3360,'J Book Items Cons.'!S$5:S$3360,"[PARENT]",'J Book Items Cons.'!E$5:E$3360,5,'J Book Items Cons.'!U$5:U$3360,"USCG",'J Book Items Cons.'!W$5:W$3360,"Fast Response Cutters",'J Book Items Cons.'!R$5:R$3360,"",'J Book Items Cons.'!N$5:N$3360,"&lt;&gt;")+SUMIFS('J Book Items Cons.'!L$5:L$3360,'J Book Items Cons.'!S$5:S$3360,"[PARENT]",'J Book Items Cons.'!E$5:E$3360,5,'J Book Items Cons.'!U$5:U$3360,"USCG",'J Book Items Cons.'!W$5:W$3360,"Fast Response Cutters",'J Book Items Cons.'!R$5:R$3360,"",'J Book Items Cons.'!N$5:N$3360,""))/M36)</f>
        <v>0</v>
      </c>
      <c r="N33" s="38">
        <f>IF(N36=0,0,(SUMIFS('J Book Items Cons.'!R$5:R$3360,'J Book Items Cons.'!S$5:S$3360,"",'J Book Items Cons.'!E$5:E$3360,5,'J Book Items Cons.'!U$5:U$3360,"USCG",'J Book Items Cons.'!W$5:W$3360,"Icebreakers, Oceangoing",'J Book Items Cons.'!R$5:R$3360,"&lt;&gt;")+SUMIFS('J Book Items Cons.'!N$5:N$3360,'J Book Items Cons.'!S$5:S$3360,"",'J Book Items Cons.'!E$5:E$3360,5,'J Book Items Cons.'!U$5:U$3360,"USCG",'J Book Items Cons.'!W$5:W$3360,"Icebreakers, Oceangoing",'J Book Items Cons.'!R$5:R$3360,"",'J Book Items Cons.'!N$5:N$3360,"&lt;&gt;")+SUMIFS('J Book Items Cons.'!L$5:L$3360,'J Book Items Cons.'!S$5:S$3360,"",'J Book Items Cons.'!E$5:E$3360,5,'J Book Items Cons.'!U$5:U$3360,"USCG",'J Book Items Cons.'!W$5:W$3360,"Icebreakers, Oceangoing",'J Book Items Cons.'!R$5:R$3360,"",'J Book Items Cons.'!N$5:N$3360,"")+SUMIFS('J Book Items Cons.'!R$5:R$3360,'J Book Items Cons.'!S$5:S$3360,"[PARENT]",'J Book Items Cons.'!E$5:E$3360,5,'J Book Items Cons.'!U$5:U$3360,"USCG",'J Book Items Cons.'!W$5:W$3360,"Icebreakers, Oceangoing",'J Book Items Cons.'!R$5:R$3360,"&lt;&gt;")+SUMIFS('J Book Items Cons.'!N$5:N$3360,'J Book Items Cons.'!S$5:S$3360,"[PARENT]",'J Book Items Cons.'!E$5:E$3360,5,'J Book Items Cons.'!U$5:U$3360,"USCG",'J Book Items Cons.'!W$5:W$3360,"Icebreakers, Oceangoing",'J Book Items Cons.'!R$5:R$3360,"",'J Book Items Cons.'!N$5:N$3360,"&lt;&gt;")+SUMIFS('J Book Items Cons.'!L$5:L$3360,'J Book Items Cons.'!S$5:S$3360,"[PARENT]",'J Book Items Cons.'!E$5:E$3360,5,'J Book Items Cons.'!U$5:U$3360,"USCG",'J Book Items Cons.'!W$5:W$3360,"Icebreakers, Oceangoing",'J Book Items Cons.'!R$5:R$3360,"",'J Book Items Cons.'!N$5:N$3360,""))/N36)</f>
        <v>0</v>
      </c>
      <c r="O33" s="38">
        <f>IF(O36=0,0,(SUMIFS('J Book Items Cons.'!R$5:R$3360,'J Book Items Cons.'!S$5:S$3360,"",'J Book Items Cons.'!E$5:E$3360,5,'J Book Items Cons.'!U$5:U$3360,"USCG",'J Book Items Cons.'!W$5:W$3360,"Waterways Commerce Cutters",'J Book Items Cons.'!R$5:R$3360,"&lt;&gt;")+SUMIFS('J Book Items Cons.'!N$5:N$3360,'J Book Items Cons.'!S$5:S$3360,"",'J Book Items Cons.'!E$5:E$3360,5,'J Book Items Cons.'!U$5:U$3360,"USCG",'J Book Items Cons.'!W$5:W$3360,"Waterways Commerce Cutters",'J Book Items Cons.'!R$5:R$3360,"",'J Book Items Cons.'!N$5:N$3360,"&lt;&gt;")+SUMIFS('J Book Items Cons.'!L$5:L$3360,'J Book Items Cons.'!S$5:S$3360,"",'J Book Items Cons.'!E$5:E$3360,5,'J Book Items Cons.'!U$5:U$3360,"USCG",'J Book Items Cons.'!W$5:W$3360,"Waterways Commerce Cutters",'J Book Items Cons.'!R$5:R$3360,"",'J Book Items Cons.'!N$5:N$3360,"")+SUMIFS('J Book Items Cons.'!R$5:R$3360,'J Book Items Cons.'!S$5:S$3360,"[PARENT]",'J Book Items Cons.'!E$5:E$3360,5,'J Book Items Cons.'!U$5:U$3360,"USCG",'J Book Items Cons.'!W$5:W$3360,"Waterways Commerce Cutters",'J Book Items Cons.'!R$5:R$3360,"&lt;&gt;")+SUMIFS('J Book Items Cons.'!N$5:N$3360,'J Book Items Cons.'!S$5:S$3360,"[PARENT]",'J Book Items Cons.'!E$5:E$3360,5,'J Book Items Cons.'!U$5:U$3360,"USCG",'J Book Items Cons.'!W$5:W$3360,"Waterways Commerce Cutters",'J Book Items Cons.'!R$5:R$3360,"",'J Book Items Cons.'!N$5:N$3360,"&lt;&gt;")+SUMIFS('J Book Items Cons.'!L$5:L$3360,'J Book Items Cons.'!S$5:S$3360,"[PARENT]",'J Book Items Cons.'!E$5:E$3360,5,'J Book Items Cons.'!U$5:U$3360,"USCG",'J Book Items Cons.'!W$5:W$3360,"Waterways Commerce Cutters",'J Book Items Cons.'!R$5:R$3360,"",'J Book Items Cons.'!N$5:N$3360,""))/O36)</f>
        <v>0</v>
      </c>
      <c r="P33" s="39">
        <f>IF(P36=0,0,(SUMIFS('J Book Items Cons.'!R$5:R$3360,'J Book Items Cons.'!S$5:S$3360,"",'J Book Items Cons.'!E$5:E$3360,5,'J Book Items Cons.'!U$5:U$3360,"USCG",'J Book Items Cons.'!W$5:W$3360,"National Security Cutters",'J Book Items Cons.'!R$5:R$3360,"&lt;&gt;")+SUMIFS('J Book Items Cons.'!N$5:N$3360,'J Book Items Cons.'!S$5:S$3360,"",'J Book Items Cons.'!E$5:E$3360,5,'J Book Items Cons.'!U$5:U$3360,"USCG",'J Book Items Cons.'!W$5:W$3360,"National Security Cutters",'J Book Items Cons.'!R$5:R$3360,"",'J Book Items Cons.'!N$5:N$3360,"&lt;&gt;")+SUMIFS('J Book Items Cons.'!L$5:L$3360,'J Book Items Cons.'!S$5:S$3360,"",'J Book Items Cons.'!E$5:E$3360,5,'J Book Items Cons.'!U$5:U$3360,"USCG",'J Book Items Cons.'!W$5:W$3360,"National Security Cutters",'J Book Items Cons.'!R$5:R$3360,"",'J Book Items Cons.'!N$5:N$3360,"")+SUMIFS('J Book Items Cons.'!R$5:R$3360,'J Book Items Cons.'!S$5:S$3360,"[PARENT]",'J Book Items Cons.'!E$5:E$3360,5,'J Book Items Cons.'!U$5:U$3360,"USCG",'J Book Items Cons.'!W$5:W$3360,"National Security Cutters",'J Book Items Cons.'!R$5:R$3360,"&lt;&gt;")+SUMIFS('J Book Items Cons.'!N$5:N$3360,'J Book Items Cons.'!S$5:S$3360,"[PARENT]",'J Book Items Cons.'!E$5:E$3360,5,'J Book Items Cons.'!U$5:U$3360,"USCG",'J Book Items Cons.'!W$5:W$3360,"National Security Cutters",'J Book Items Cons.'!R$5:R$3360,"",'J Book Items Cons.'!N$5:N$3360,"&lt;&gt;")+SUMIFS('J Book Items Cons.'!L$5:L$3360,'J Book Items Cons.'!S$5:S$3360,"[PARENT]",'J Book Items Cons.'!E$5:E$3360,5,'J Book Items Cons.'!U$5:U$3360,"USCG",'J Book Items Cons.'!W$5:W$3360,"National Security Cutters",'J Book Items Cons.'!R$5:R$3360,"",'J Book Items Cons.'!N$5:N$3360,""))/P36)</f>
        <v>0</v>
      </c>
      <c r="Q33" s="38">
        <f>IF(Q36=0,0,SUMPRODUCT(B33:P33,B$36:P$36)/Q$36)</f>
        <v>7.1196572573425784E-3</v>
      </c>
    </row>
    <row r="34" spans="1:17" ht="9.75" customHeight="1" x14ac:dyDescent="0.15">
      <c r="A34" s="7" t="s">
        <v>8854</v>
      </c>
      <c r="B34" s="37">
        <f>IF(B36=0,0,(SUMIFS('J Book Items Cons.'!R$5:R$3360,'J Book Items Cons.'!S$5:S$3360,"",'J Book Items Cons.'!E$5:E$3360,6,'J Book Items Cons.'!U$5:U$3360,"USN",'J Book Items Cons.'!W$5:W$3360,"Surface Combatants",'J Book Items Cons.'!R$5:R$3360,"&lt;&gt;")+SUMIFS('J Book Items Cons.'!N$5:N$3360,'J Book Items Cons.'!S$5:S$3360,"",'J Book Items Cons.'!E$5:E$3360,6,'J Book Items Cons.'!U$5:U$3360,"USN",'J Book Items Cons.'!W$5:W$3360,"Surface Combatants",'J Book Items Cons.'!R$5:R$3360,"",'J Book Items Cons.'!N$5:N$3360,"&lt;&gt;")+SUMIFS('J Book Items Cons.'!L$5:L$3360,'J Book Items Cons.'!S$5:S$3360,"",'J Book Items Cons.'!E$5:E$3360,6,'J Book Items Cons.'!U$5:U$3360,"USN",'J Book Items Cons.'!W$5:W$3360,"Surface Combatants",'J Book Items Cons.'!R$5:R$3360,"",'J Book Items Cons.'!N$5:N$3360,"")+SUMIFS('J Book Items Cons.'!R$5:R$3360,'J Book Items Cons.'!S$5:S$3360,"[PARENT]",'J Book Items Cons.'!E$5:E$3360,6,'J Book Items Cons.'!U$5:U$3360,"USN",'J Book Items Cons.'!W$5:W$3360,"Surface Combatants",'J Book Items Cons.'!R$5:R$3360,"&lt;&gt;")+SUMIFS('J Book Items Cons.'!N$5:N$3360,'J Book Items Cons.'!S$5:S$3360,"[PARENT]",'J Book Items Cons.'!E$5:E$3360,6,'J Book Items Cons.'!U$5:U$3360,"USN",'J Book Items Cons.'!W$5:W$3360,"Surface Combatants",'J Book Items Cons.'!R$5:R$3360,"",'J Book Items Cons.'!N$5:N$3360,"&lt;&gt;")+SUMIFS('J Book Items Cons.'!L$5:L$3360,'J Book Items Cons.'!S$5:S$3360,"[PARENT]",'J Book Items Cons.'!E$5:E$3360,6,'J Book Items Cons.'!U$5:U$3360,"USN",'J Book Items Cons.'!W$5:W$3360,"Surface Combatants",'J Book Items Cons.'!R$5:R$3360,"",'J Book Items Cons.'!N$5:N$3360,""))/B36)</f>
        <v>9.8517250956103321E-4</v>
      </c>
      <c r="C34" s="38">
        <f>IF(C36=0,0,(SUMIFS('J Book Items Cons.'!R$5:R$3360,'J Book Items Cons.'!S$5:S$3360,"",'J Book Items Cons.'!E$5:E$3360,6,'J Book Items Cons.'!U$5:U$3360,"USN",'J Book Items Cons.'!W$5:W$3360,"Amphibious Warfare Ships",'J Book Items Cons.'!R$5:R$3360,"&lt;&gt;")+SUMIFS('J Book Items Cons.'!N$5:N$3360,'J Book Items Cons.'!S$5:S$3360,"",'J Book Items Cons.'!E$5:E$3360,6,'J Book Items Cons.'!U$5:U$3360,"USN",'J Book Items Cons.'!W$5:W$3360,"Amphibious Warfare Ships",'J Book Items Cons.'!R$5:R$3360,"",'J Book Items Cons.'!N$5:N$3360,"&lt;&gt;")+SUMIFS('J Book Items Cons.'!L$5:L$3360,'J Book Items Cons.'!S$5:S$3360,"",'J Book Items Cons.'!E$5:E$3360,6,'J Book Items Cons.'!U$5:U$3360,"USN",'J Book Items Cons.'!W$5:W$3360,"Amphibious Warfare Ships",'J Book Items Cons.'!R$5:R$3360,"",'J Book Items Cons.'!N$5:N$3360,"")+SUMIFS('J Book Items Cons.'!R$5:R$3360,'J Book Items Cons.'!S$5:S$3360,"[PARENT]",'J Book Items Cons.'!E$5:E$3360,6,'J Book Items Cons.'!U$5:U$3360,"USN",'J Book Items Cons.'!W$5:W$3360,"Amphibious Warfare Ships",'J Book Items Cons.'!R$5:R$3360,"&lt;&gt;")+SUMIFS('J Book Items Cons.'!N$5:N$3360,'J Book Items Cons.'!S$5:S$3360,"[PARENT]",'J Book Items Cons.'!E$5:E$3360,6,'J Book Items Cons.'!U$5:U$3360,"USN",'J Book Items Cons.'!W$5:W$3360,"Amphibious Warfare Ships",'J Book Items Cons.'!R$5:R$3360,"",'J Book Items Cons.'!N$5:N$3360,"&lt;&gt;")+SUMIFS('J Book Items Cons.'!L$5:L$3360,'J Book Items Cons.'!S$5:S$3360,"[PARENT]",'J Book Items Cons.'!E$5:E$3360,6,'J Book Items Cons.'!U$5:U$3360,"USN",'J Book Items Cons.'!W$5:W$3360,"Amphibious Warfare Ships",'J Book Items Cons.'!R$5:R$3360,"",'J Book Items Cons.'!N$5:N$3360,""))/C36)</f>
        <v>0</v>
      </c>
      <c r="D34" s="38">
        <f>IF(D36=0,0,(SUMIFS('J Book Items Cons.'!R$5:R$3360,'J Book Items Cons.'!S$5:S$3360,"",'J Book Items Cons.'!E$5:E$3360,6,'J Book Items Cons.'!U$5:U$3360,"USN",'J Book Items Cons.'!W$5:W$3360,"Expeditionary &amp; Seabasing Ships",'J Book Items Cons.'!R$5:R$3360,"&lt;&gt;")+SUMIFS('J Book Items Cons.'!N$5:N$3360,'J Book Items Cons.'!S$5:S$3360,"",'J Book Items Cons.'!E$5:E$3360,6,'J Book Items Cons.'!U$5:U$3360,"USN",'J Book Items Cons.'!W$5:W$3360,"Expeditionary &amp; Seabasing Ships",'J Book Items Cons.'!R$5:R$3360,"",'J Book Items Cons.'!N$5:N$3360,"&lt;&gt;")+SUMIFS('J Book Items Cons.'!L$5:L$3360,'J Book Items Cons.'!S$5:S$3360,"",'J Book Items Cons.'!E$5:E$3360,6,'J Book Items Cons.'!U$5:U$3360,"USN",'J Book Items Cons.'!W$5:W$3360,"Expeditionary &amp; Seabasing Ships",'J Book Items Cons.'!R$5:R$3360,"",'J Book Items Cons.'!N$5:N$3360,"")+SUMIFS('J Book Items Cons.'!R$5:R$3360,'J Book Items Cons.'!S$5:S$3360,"[PARENT]",'J Book Items Cons.'!E$5:E$3360,6,'J Book Items Cons.'!U$5:U$3360,"USN",'J Book Items Cons.'!W$5:W$3360,"Expeditionary &amp; Seabasing Ships",'J Book Items Cons.'!R$5:R$3360,"&lt;&gt;")+SUMIFS('J Book Items Cons.'!N$5:N$3360,'J Book Items Cons.'!S$5:S$3360,"[PARENT]",'J Book Items Cons.'!E$5:E$3360,6,'J Book Items Cons.'!U$5:U$3360,"USN",'J Book Items Cons.'!W$5:W$3360,"Expeditionary &amp; Seabasing Ships",'J Book Items Cons.'!R$5:R$3360,"",'J Book Items Cons.'!N$5:N$3360,"&lt;&gt;")+SUMIFS('J Book Items Cons.'!L$5:L$3360,'J Book Items Cons.'!S$5:S$3360,"[PARENT]",'J Book Items Cons.'!E$5:E$3360,6,'J Book Items Cons.'!U$5:U$3360,"USN",'J Book Items Cons.'!W$5:W$3360,"Expeditionary &amp; Seabasing Ships",'J Book Items Cons.'!R$5:R$3360,"",'J Book Items Cons.'!N$5:N$3360,""))/D36)</f>
        <v>0</v>
      </c>
      <c r="E34" s="38">
        <f>IF(E36=0,0,(SUMIFS('J Book Items Cons.'!R$5:R$3360,'J Book Items Cons.'!S$5:S$3360,"",'J Book Items Cons.'!E$5:E$3360,6,'J Book Items Cons.'!U$5:U$3360,"MSC",'J Book Items Cons.'!W$5:W$3360,"Combat Logistics Ships",'J Book Items Cons.'!R$5:R$3360,"&lt;&gt;")+SUMIFS('J Book Items Cons.'!N$5:N$3360,'J Book Items Cons.'!S$5:S$3360,"",'J Book Items Cons.'!E$5:E$3360,6,'J Book Items Cons.'!U$5:U$3360,"MSC",'J Book Items Cons.'!W$5:W$3360,"Combat Logistics Ships",'J Book Items Cons.'!R$5:R$3360,"",'J Book Items Cons.'!N$5:N$3360,"&lt;&gt;")+SUMIFS('J Book Items Cons.'!L$5:L$3360,'J Book Items Cons.'!S$5:S$3360,"",'J Book Items Cons.'!E$5:E$3360,6,'J Book Items Cons.'!U$5:U$3360,"MSC",'J Book Items Cons.'!W$5:W$3360,"Combat Logistics Ships",'J Book Items Cons.'!R$5:R$3360,"",'J Book Items Cons.'!N$5:N$3360,"")+SUMIFS('J Book Items Cons.'!R$5:R$3360,'J Book Items Cons.'!S$5:S$3360,"[PARENT]",'J Book Items Cons.'!E$5:E$3360,6,'J Book Items Cons.'!U$5:U$3360,"MSC",'J Book Items Cons.'!W$5:W$3360,"Combat Logistics Ships",'J Book Items Cons.'!R$5:R$3360,"&lt;&gt;")+SUMIFS('J Book Items Cons.'!N$5:N$3360,'J Book Items Cons.'!S$5:S$3360,"[PARENT]",'J Book Items Cons.'!E$5:E$3360,6,'J Book Items Cons.'!U$5:U$3360,"MSC",'J Book Items Cons.'!W$5:W$3360,"Combat Logistics Ships",'J Book Items Cons.'!R$5:R$3360,"",'J Book Items Cons.'!N$5:N$3360,"&lt;&gt;")+SUMIFS('J Book Items Cons.'!L$5:L$3360,'J Book Items Cons.'!S$5:S$3360,"[PARENT]",'J Book Items Cons.'!E$5:E$3360,6,'J Book Items Cons.'!U$5:U$3360,"MSC",'J Book Items Cons.'!W$5:W$3360,"Combat Logistics Ships",'J Book Items Cons.'!R$5:R$3360,"",'J Book Items Cons.'!N$5:N$3360,""))/E36)</f>
        <v>0</v>
      </c>
      <c r="F34" s="38">
        <f>IF(F36=0,0,(SUMIFS('J Book Items Cons.'!R$5:R$3360,'J Book Items Cons.'!S$5:S$3360,"",'J Book Items Cons.'!E$5:E$3360,6,'J Book Items Cons.'!U$5:U$3360,"USN",'J Book Items Cons.'!W$5:W$3360,"Unmanned Surface Vehicles",'J Book Items Cons.'!R$5:R$3360,"&lt;&gt;")+SUMIFS('J Book Items Cons.'!N$5:N$3360,'J Book Items Cons.'!S$5:S$3360,"",'J Book Items Cons.'!E$5:E$3360,6,'J Book Items Cons.'!U$5:U$3360,"USN",'J Book Items Cons.'!W$5:W$3360,"Unmanned Surface Vehicles",'J Book Items Cons.'!R$5:R$3360,"",'J Book Items Cons.'!N$5:N$3360,"&lt;&gt;")+SUMIFS('J Book Items Cons.'!L$5:L$3360,'J Book Items Cons.'!S$5:S$3360,"",'J Book Items Cons.'!E$5:E$3360,6,'J Book Items Cons.'!U$5:U$3360,"USN",'J Book Items Cons.'!W$5:W$3360,"Unmanned Surface Vehicles",'J Book Items Cons.'!R$5:R$3360,"",'J Book Items Cons.'!N$5:N$3360,"")+SUMIFS('J Book Items Cons.'!R$5:R$3360,'J Book Items Cons.'!S$5:S$3360,"[PARENT]",'J Book Items Cons.'!E$5:E$3360,6,'J Book Items Cons.'!U$5:U$3360,"USN",'J Book Items Cons.'!W$5:W$3360,"Unmanned Surface Vehicles",'J Book Items Cons.'!R$5:R$3360,"&lt;&gt;")+SUMIFS('J Book Items Cons.'!N$5:N$3360,'J Book Items Cons.'!S$5:S$3360,"[PARENT]",'J Book Items Cons.'!E$5:E$3360,6,'J Book Items Cons.'!U$5:U$3360,"USN",'J Book Items Cons.'!W$5:W$3360,"Unmanned Surface Vehicles",'J Book Items Cons.'!R$5:R$3360,"",'J Book Items Cons.'!N$5:N$3360,"&lt;&gt;")+SUMIFS('J Book Items Cons.'!L$5:L$3360,'J Book Items Cons.'!S$5:S$3360,"[PARENT]",'J Book Items Cons.'!E$5:E$3360,6,'J Book Items Cons.'!U$5:U$3360,"USN",'J Book Items Cons.'!W$5:W$3360,"Unmanned Surface Vehicles",'J Book Items Cons.'!R$5:R$3360,"",'J Book Items Cons.'!N$5:N$3360,""))/F36)</f>
        <v>0</v>
      </c>
      <c r="G34" s="38">
        <f>IF(G36=0,0,(SUMIFS('J Book Items Cons.'!R$5:R$3360,'J Book Items Cons.'!S$5:S$3360,"",'J Book Items Cons.'!E$5:E$3360,6,'J Book Items Cons.'!U$5:U$3360,"USN",'J Book Items Cons.'!W$5:W$3360,"Amphibious Warfare Craft",'J Book Items Cons.'!R$5:R$3360,"&lt;&gt;")+SUMIFS('J Book Items Cons.'!N$5:N$3360,'J Book Items Cons.'!S$5:S$3360,"",'J Book Items Cons.'!E$5:E$3360,6,'J Book Items Cons.'!U$5:U$3360,"USN",'J Book Items Cons.'!W$5:W$3360,"Amphibious Warfare Craft",'J Book Items Cons.'!R$5:R$3360,"",'J Book Items Cons.'!N$5:N$3360,"&lt;&gt;")+SUMIFS('J Book Items Cons.'!L$5:L$3360,'J Book Items Cons.'!S$5:S$3360,"",'J Book Items Cons.'!E$5:E$3360,6,'J Book Items Cons.'!U$5:U$3360,"USN",'J Book Items Cons.'!W$5:W$3360,"Amphibious Warfare Craft",'J Book Items Cons.'!R$5:R$3360,"",'J Book Items Cons.'!N$5:N$3360,"")+SUMIFS('J Book Items Cons.'!R$5:R$3360,'J Book Items Cons.'!S$5:S$3360,"[PARENT]",'J Book Items Cons.'!E$5:E$3360,6,'J Book Items Cons.'!U$5:U$3360,"USN",'J Book Items Cons.'!W$5:W$3360,"Amphibious Warfare Craft",'J Book Items Cons.'!R$5:R$3360,"&lt;&gt;")+SUMIFS('J Book Items Cons.'!N$5:N$3360,'J Book Items Cons.'!S$5:S$3360,"[PARENT]",'J Book Items Cons.'!E$5:E$3360,6,'J Book Items Cons.'!U$5:U$3360,"USN",'J Book Items Cons.'!W$5:W$3360,"Amphibious Warfare Craft",'J Book Items Cons.'!R$5:R$3360,"",'J Book Items Cons.'!N$5:N$3360,"&lt;&gt;")+SUMIFS('J Book Items Cons.'!L$5:L$3360,'J Book Items Cons.'!S$5:S$3360,"[PARENT]",'J Book Items Cons.'!E$5:E$3360,6,'J Book Items Cons.'!U$5:U$3360,"USN",'J Book Items Cons.'!W$5:W$3360,"Amphibious Warfare Craft",'J Book Items Cons.'!R$5:R$3360,"",'J Book Items Cons.'!N$5:N$3360,""))/G36)</f>
        <v>0</v>
      </c>
      <c r="H34" s="38">
        <f>IF(H36=0,0,(SUMIFS('J Book Items Cons.'!R$5:R$3360,'J Book Items Cons.'!S$5:S$3360,"",'J Book Items Cons.'!E$5:E$3360,6,'J Book Items Cons.'!U$5:U$3360,"MSC",'J Book Items Cons.'!W$5:W$3360,"Cargo &amp; Vehicle Cargo Ships",'J Book Items Cons.'!R$5:R$3360,"&lt;&gt;")+SUMIFS('J Book Items Cons.'!N$5:N$3360,'J Book Items Cons.'!S$5:S$3360,"",'J Book Items Cons.'!E$5:E$3360,6,'J Book Items Cons.'!U$5:U$3360,"MSC",'J Book Items Cons.'!W$5:W$3360,"Cargo &amp; Vehicle Cargo Ships",'J Book Items Cons.'!R$5:R$3360,"",'J Book Items Cons.'!N$5:N$3360,"&lt;&gt;")+SUMIFS('J Book Items Cons.'!L$5:L$3360,'J Book Items Cons.'!S$5:S$3360,"",'J Book Items Cons.'!E$5:E$3360,6,'J Book Items Cons.'!U$5:U$3360,"MSC",'J Book Items Cons.'!W$5:W$3360,"Cargo &amp; Vehicle Cargo Ships",'J Book Items Cons.'!R$5:R$3360,"",'J Book Items Cons.'!N$5:N$3360,"")+SUMIFS('J Book Items Cons.'!R$5:R$3360,'J Book Items Cons.'!S$5:S$3360,"[PARENT]",'J Book Items Cons.'!E$5:E$3360,6,'J Book Items Cons.'!U$5:U$3360,"MSC",'J Book Items Cons.'!W$5:W$3360,"Cargo &amp; Vehicle Cargo Ships",'J Book Items Cons.'!R$5:R$3360,"&lt;&gt;")+SUMIFS('J Book Items Cons.'!N$5:N$3360,'J Book Items Cons.'!S$5:S$3360,"[PARENT]",'J Book Items Cons.'!E$5:E$3360,6,'J Book Items Cons.'!U$5:U$3360,"MSC",'J Book Items Cons.'!W$5:W$3360,"Cargo &amp; Vehicle Cargo Ships",'J Book Items Cons.'!R$5:R$3360,"",'J Book Items Cons.'!N$5:N$3360,"&lt;&gt;")+SUMIFS('J Book Items Cons.'!L$5:L$3360,'J Book Items Cons.'!S$5:S$3360,"[PARENT]",'J Book Items Cons.'!E$5:E$3360,6,'J Book Items Cons.'!U$5:U$3360,"MSC",'J Book Items Cons.'!W$5:W$3360,"Cargo &amp; Vehicle Cargo Ships",'J Book Items Cons.'!R$5:R$3360,"",'J Book Items Cons.'!N$5:N$3360,""))/H36)</f>
        <v>0</v>
      </c>
      <c r="I34" s="38">
        <f>IF(I36=0,0,(SUMIFS('J Book Items Cons.'!R$5:R$3360,'J Book Items Cons.'!S$5:S$3360,"",'J Book Items Cons.'!E$5:E$3360,6,'J Book Items Cons.'!U$5:U$3360,"MSC",'J Book Items Cons.'!W$5:W$3360,"Surveillance Ships",'J Book Items Cons.'!R$5:R$3360,"&lt;&gt;")+SUMIFS('J Book Items Cons.'!N$5:N$3360,'J Book Items Cons.'!S$5:S$3360,"",'J Book Items Cons.'!E$5:E$3360,6,'J Book Items Cons.'!U$5:U$3360,"MSC",'J Book Items Cons.'!W$5:W$3360,"Surveillance Ships",'J Book Items Cons.'!R$5:R$3360,"",'J Book Items Cons.'!N$5:N$3360,"&lt;&gt;")+SUMIFS('J Book Items Cons.'!L$5:L$3360,'J Book Items Cons.'!S$5:S$3360,"",'J Book Items Cons.'!E$5:E$3360,6,'J Book Items Cons.'!U$5:U$3360,"MSC",'J Book Items Cons.'!W$5:W$3360,"Surveillance Ships",'J Book Items Cons.'!R$5:R$3360,"",'J Book Items Cons.'!N$5:N$3360,"")+SUMIFS('J Book Items Cons.'!R$5:R$3360,'J Book Items Cons.'!S$5:S$3360,"[PARENT]",'J Book Items Cons.'!E$5:E$3360,6,'J Book Items Cons.'!U$5:U$3360,"MSC",'J Book Items Cons.'!W$5:W$3360,"Surveillance Ships",'J Book Items Cons.'!R$5:R$3360,"&lt;&gt;")+SUMIFS('J Book Items Cons.'!N$5:N$3360,'J Book Items Cons.'!S$5:S$3360,"[PARENT]",'J Book Items Cons.'!E$5:E$3360,6,'J Book Items Cons.'!U$5:U$3360,"MSC",'J Book Items Cons.'!W$5:W$3360,"Surveillance Ships",'J Book Items Cons.'!R$5:R$3360,"",'J Book Items Cons.'!N$5:N$3360,"&lt;&gt;")+SUMIFS('J Book Items Cons.'!L$5:L$3360,'J Book Items Cons.'!S$5:S$3360,"[PARENT]",'J Book Items Cons.'!E$5:E$3360,6,'J Book Items Cons.'!U$5:U$3360,"MSC",'J Book Items Cons.'!W$5:W$3360,"Surveillance Ships",'J Book Items Cons.'!R$5:R$3360,"",'J Book Items Cons.'!N$5:N$3360,""))/I36)</f>
        <v>0</v>
      </c>
      <c r="J34" s="38">
        <f>IF(J36=0,0,(SUMIFS('J Book Items Cons.'!R$5:R$3360,'J Book Items Cons.'!S$5:S$3360,"",'J Book Items Cons.'!E$5:E$3360,6,'J Book Items Cons.'!U$5:U$3360,"USN",'J Book Items Cons.'!W$5:W$3360,"Command Ships",'J Book Items Cons.'!R$5:R$3360,"&lt;&gt;")+SUMIFS('J Book Items Cons.'!N$5:N$3360,'J Book Items Cons.'!S$5:S$3360,"",'J Book Items Cons.'!E$5:E$3360,6,'J Book Items Cons.'!U$5:U$3360,"USN",'J Book Items Cons.'!W$5:W$3360,"Command Ships",'J Book Items Cons.'!R$5:R$3360,"",'J Book Items Cons.'!N$5:N$3360,"&lt;&gt;")+SUMIFS('J Book Items Cons.'!L$5:L$3360,'J Book Items Cons.'!S$5:S$3360,"",'J Book Items Cons.'!E$5:E$3360,6,'J Book Items Cons.'!U$5:U$3360,"USN",'J Book Items Cons.'!W$5:W$3360,"Command Ships",'J Book Items Cons.'!R$5:R$3360,"",'J Book Items Cons.'!N$5:N$3360,"")+SUMIFS('J Book Items Cons.'!R$5:R$3360,'J Book Items Cons.'!S$5:S$3360,"[PARENT]",'J Book Items Cons.'!E$5:E$3360,6,'J Book Items Cons.'!U$5:U$3360,"USN",'J Book Items Cons.'!W$5:W$3360,"Command Ships",'J Book Items Cons.'!R$5:R$3360,"&lt;&gt;")+SUMIFS('J Book Items Cons.'!N$5:N$3360,'J Book Items Cons.'!S$5:S$3360,"[PARENT]",'J Book Items Cons.'!E$5:E$3360,6,'J Book Items Cons.'!U$5:U$3360,"USN",'J Book Items Cons.'!W$5:W$3360,"Command Ships",'J Book Items Cons.'!R$5:R$3360,"",'J Book Items Cons.'!N$5:N$3360,"&lt;&gt;")+SUMIFS('J Book Items Cons.'!L$5:L$3360,'J Book Items Cons.'!S$5:S$3360,"[PARENT]",'J Book Items Cons.'!E$5:E$3360,6,'J Book Items Cons.'!U$5:U$3360,"USN",'J Book Items Cons.'!W$5:W$3360,"Command Ships",'J Book Items Cons.'!R$5:R$3360,"",'J Book Items Cons.'!N$5:N$3360,""))/J36)</f>
        <v>0</v>
      </c>
      <c r="K34" s="39">
        <f>IF(K36=0,0,(SUMIFS('J Book Items Cons.'!R$5:R$3360,'J Book Items Cons.'!S$5:S$3360,"",'J Book Items Cons.'!E$5:E$3360,6,'J Book Items Cons.'!U$5:U$3360,"USN",'J Book Items Cons.'!W$5:W$3360,"Mine Warfare",'J Book Items Cons.'!R$5:R$3360,"&lt;&gt;")+SUMIFS('J Book Items Cons.'!N$5:N$3360,'J Book Items Cons.'!S$5:S$3360,"",'J Book Items Cons.'!E$5:E$3360,6,'J Book Items Cons.'!U$5:U$3360,"USN",'J Book Items Cons.'!W$5:W$3360,"Mine Warfare",'J Book Items Cons.'!R$5:R$3360,"",'J Book Items Cons.'!N$5:N$3360,"&lt;&gt;")+SUMIFS('J Book Items Cons.'!L$5:L$3360,'J Book Items Cons.'!S$5:S$3360,"",'J Book Items Cons.'!E$5:E$3360,6,'J Book Items Cons.'!U$5:U$3360,"USN",'J Book Items Cons.'!W$5:W$3360,"Mine Warfare",'J Book Items Cons.'!R$5:R$3360,"",'J Book Items Cons.'!N$5:N$3360,"")+SUMIFS('J Book Items Cons.'!R$5:R$3360,'J Book Items Cons.'!S$5:S$3360,"[PARENT]",'J Book Items Cons.'!E$5:E$3360,6,'J Book Items Cons.'!U$5:U$3360,"USN",'J Book Items Cons.'!W$5:W$3360,"Mine Warfare",'J Book Items Cons.'!R$5:R$3360,"&lt;&gt;")+SUMIFS('J Book Items Cons.'!N$5:N$3360,'J Book Items Cons.'!S$5:S$3360,"[PARENT]",'J Book Items Cons.'!E$5:E$3360,6,'J Book Items Cons.'!U$5:U$3360,"USN",'J Book Items Cons.'!W$5:W$3360,"Mine Warfare",'J Book Items Cons.'!R$5:R$3360,"",'J Book Items Cons.'!N$5:N$3360,"&lt;&gt;")+SUMIFS('J Book Items Cons.'!L$5:L$3360,'J Book Items Cons.'!S$5:S$3360,"[PARENT]",'J Book Items Cons.'!E$5:E$3360,6,'J Book Items Cons.'!U$5:U$3360,"USN",'J Book Items Cons.'!W$5:W$3360,"Mine Warfare",'J Book Items Cons.'!R$5:R$3360,"",'J Book Items Cons.'!N$5:N$3360,""))/K36)</f>
        <v>0</v>
      </c>
      <c r="L34" s="37">
        <f>IF(L36=0,0,(SUMIFS('J Book Items Cons.'!R$5:R$3360,'J Book Items Cons.'!S$5:S$3360,"",'J Book Items Cons.'!E$5:E$3360,6,'J Book Items Cons.'!U$5:U$3360,"USCG",'J Book Items Cons.'!W$5:W$3360,"Offshore Patrol Cutter",'J Book Items Cons.'!R$5:R$3360,"&lt;&gt;")+SUMIFS('J Book Items Cons.'!N$5:N$3360,'J Book Items Cons.'!S$5:S$3360,"",'J Book Items Cons.'!E$5:E$3360,6,'J Book Items Cons.'!U$5:U$3360,"USCG",'J Book Items Cons.'!W$5:W$3360,"Offshore Patrol Cutter",'J Book Items Cons.'!R$5:R$3360,"",'J Book Items Cons.'!N$5:N$3360,"&lt;&gt;")+SUMIFS('J Book Items Cons.'!L$5:L$3360,'J Book Items Cons.'!S$5:S$3360,"",'J Book Items Cons.'!E$5:E$3360,6,'J Book Items Cons.'!U$5:U$3360,"USCG",'J Book Items Cons.'!W$5:W$3360,"Offshore Patrol Cutter",'J Book Items Cons.'!R$5:R$3360,"",'J Book Items Cons.'!N$5:N$3360,"")+SUMIFS('J Book Items Cons.'!R$5:R$3360,'J Book Items Cons.'!S$5:S$3360,"[PARENT]",'J Book Items Cons.'!E$5:E$3360,6,'J Book Items Cons.'!U$5:U$3360,"USCG",'J Book Items Cons.'!W$5:W$3360,"Offshore Patrol Cutter",'J Book Items Cons.'!R$5:R$3360,"&lt;&gt;")+SUMIFS('J Book Items Cons.'!N$5:N$3360,'J Book Items Cons.'!S$5:S$3360,"[PARENT]",'J Book Items Cons.'!E$5:E$3360,6,'J Book Items Cons.'!U$5:U$3360,"USCG",'J Book Items Cons.'!W$5:W$3360,"Offshore Patrol Cutter",'J Book Items Cons.'!R$5:R$3360,"",'J Book Items Cons.'!N$5:N$3360,"&lt;&gt;")+SUMIFS('J Book Items Cons.'!L$5:L$3360,'J Book Items Cons.'!S$5:S$3360,"[PARENT]",'J Book Items Cons.'!E$5:E$3360,6,'J Book Items Cons.'!U$5:U$3360,"USCG",'J Book Items Cons.'!W$5:W$3360,"Offshore Patrol Cutter",'J Book Items Cons.'!R$5:R$3360,"",'J Book Items Cons.'!N$5:N$3360,""))/L36)</f>
        <v>0</v>
      </c>
      <c r="M34" s="38">
        <f>IF(M36=0,0,(SUMIFS('J Book Items Cons.'!R$5:R$3360,'J Book Items Cons.'!S$5:S$3360,"",'J Book Items Cons.'!E$5:E$3360,6,'J Book Items Cons.'!U$5:U$3360,"USCG",'J Book Items Cons.'!W$5:W$3360,"Fast Response Cutters",'J Book Items Cons.'!R$5:R$3360,"&lt;&gt;")+SUMIFS('J Book Items Cons.'!N$5:N$3360,'J Book Items Cons.'!S$5:S$3360,"",'J Book Items Cons.'!E$5:E$3360,6,'J Book Items Cons.'!U$5:U$3360,"USCG",'J Book Items Cons.'!W$5:W$3360,"Fast Response Cutters",'J Book Items Cons.'!R$5:R$3360,"",'J Book Items Cons.'!N$5:N$3360,"&lt;&gt;")+SUMIFS('J Book Items Cons.'!L$5:L$3360,'J Book Items Cons.'!S$5:S$3360,"",'J Book Items Cons.'!E$5:E$3360,6,'J Book Items Cons.'!U$5:U$3360,"USCG",'J Book Items Cons.'!W$5:W$3360,"Fast Response Cutters",'J Book Items Cons.'!R$5:R$3360,"",'J Book Items Cons.'!N$5:N$3360,"")+SUMIFS('J Book Items Cons.'!R$5:R$3360,'J Book Items Cons.'!S$5:S$3360,"[PARENT]",'J Book Items Cons.'!E$5:E$3360,6,'J Book Items Cons.'!U$5:U$3360,"USCG",'J Book Items Cons.'!W$5:W$3360,"Fast Response Cutters",'J Book Items Cons.'!R$5:R$3360,"&lt;&gt;")+SUMIFS('J Book Items Cons.'!N$5:N$3360,'J Book Items Cons.'!S$5:S$3360,"[PARENT]",'J Book Items Cons.'!E$5:E$3360,6,'J Book Items Cons.'!U$5:U$3360,"USCG",'J Book Items Cons.'!W$5:W$3360,"Fast Response Cutters",'J Book Items Cons.'!R$5:R$3360,"",'J Book Items Cons.'!N$5:N$3360,"&lt;&gt;")+SUMIFS('J Book Items Cons.'!L$5:L$3360,'J Book Items Cons.'!S$5:S$3360,"[PARENT]",'J Book Items Cons.'!E$5:E$3360,6,'J Book Items Cons.'!U$5:U$3360,"USCG",'J Book Items Cons.'!W$5:W$3360,"Fast Response Cutters",'J Book Items Cons.'!R$5:R$3360,"",'J Book Items Cons.'!N$5:N$3360,""))/M36)</f>
        <v>0</v>
      </c>
      <c r="N34" s="38">
        <f>IF(N36=0,0,(SUMIFS('J Book Items Cons.'!R$5:R$3360,'J Book Items Cons.'!S$5:S$3360,"",'J Book Items Cons.'!E$5:E$3360,6,'J Book Items Cons.'!U$5:U$3360,"USCG",'J Book Items Cons.'!W$5:W$3360,"Icebreakers, Oceangoing",'J Book Items Cons.'!R$5:R$3360,"&lt;&gt;")+SUMIFS('J Book Items Cons.'!N$5:N$3360,'J Book Items Cons.'!S$5:S$3360,"",'J Book Items Cons.'!E$5:E$3360,6,'J Book Items Cons.'!U$5:U$3360,"USCG",'J Book Items Cons.'!W$5:W$3360,"Icebreakers, Oceangoing",'J Book Items Cons.'!R$5:R$3360,"",'J Book Items Cons.'!N$5:N$3360,"&lt;&gt;")+SUMIFS('J Book Items Cons.'!L$5:L$3360,'J Book Items Cons.'!S$5:S$3360,"",'J Book Items Cons.'!E$5:E$3360,6,'J Book Items Cons.'!U$5:U$3360,"USCG",'J Book Items Cons.'!W$5:W$3360,"Icebreakers, Oceangoing",'J Book Items Cons.'!R$5:R$3360,"",'J Book Items Cons.'!N$5:N$3360,"")+SUMIFS('J Book Items Cons.'!R$5:R$3360,'J Book Items Cons.'!S$5:S$3360,"[PARENT]",'J Book Items Cons.'!E$5:E$3360,6,'J Book Items Cons.'!U$5:U$3360,"USCG",'J Book Items Cons.'!W$5:W$3360,"Icebreakers, Oceangoing",'J Book Items Cons.'!R$5:R$3360,"&lt;&gt;")+SUMIFS('J Book Items Cons.'!N$5:N$3360,'J Book Items Cons.'!S$5:S$3360,"[PARENT]",'J Book Items Cons.'!E$5:E$3360,6,'J Book Items Cons.'!U$5:U$3360,"USCG",'J Book Items Cons.'!W$5:W$3360,"Icebreakers, Oceangoing",'J Book Items Cons.'!R$5:R$3360,"",'J Book Items Cons.'!N$5:N$3360,"&lt;&gt;")+SUMIFS('J Book Items Cons.'!L$5:L$3360,'J Book Items Cons.'!S$5:S$3360,"[PARENT]",'J Book Items Cons.'!E$5:E$3360,6,'J Book Items Cons.'!U$5:U$3360,"USCG",'J Book Items Cons.'!W$5:W$3360,"Icebreakers, Oceangoing",'J Book Items Cons.'!R$5:R$3360,"",'J Book Items Cons.'!N$5:N$3360,""))/N36)</f>
        <v>0</v>
      </c>
      <c r="O34" s="38">
        <f>IF(O36=0,0,(SUMIFS('J Book Items Cons.'!R$5:R$3360,'J Book Items Cons.'!S$5:S$3360,"",'J Book Items Cons.'!E$5:E$3360,6,'J Book Items Cons.'!U$5:U$3360,"USCG",'J Book Items Cons.'!W$5:W$3360,"Waterways Commerce Cutters",'J Book Items Cons.'!R$5:R$3360,"&lt;&gt;")+SUMIFS('J Book Items Cons.'!N$5:N$3360,'J Book Items Cons.'!S$5:S$3360,"",'J Book Items Cons.'!E$5:E$3360,6,'J Book Items Cons.'!U$5:U$3360,"USCG",'J Book Items Cons.'!W$5:W$3360,"Waterways Commerce Cutters",'J Book Items Cons.'!R$5:R$3360,"",'J Book Items Cons.'!N$5:N$3360,"&lt;&gt;")+SUMIFS('J Book Items Cons.'!L$5:L$3360,'J Book Items Cons.'!S$5:S$3360,"",'J Book Items Cons.'!E$5:E$3360,6,'J Book Items Cons.'!U$5:U$3360,"USCG",'J Book Items Cons.'!W$5:W$3360,"Waterways Commerce Cutters",'J Book Items Cons.'!R$5:R$3360,"",'J Book Items Cons.'!N$5:N$3360,"")+SUMIFS('J Book Items Cons.'!R$5:R$3360,'J Book Items Cons.'!S$5:S$3360,"[PARENT]",'J Book Items Cons.'!E$5:E$3360,6,'J Book Items Cons.'!U$5:U$3360,"USCG",'J Book Items Cons.'!W$5:W$3360,"Waterways Commerce Cutters",'J Book Items Cons.'!R$5:R$3360,"&lt;&gt;")+SUMIFS('J Book Items Cons.'!N$5:N$3360,'J Book Items Cons.'!S$5:S$3360,"[PARENT]",'J Book Items Cons.'!E$5:E$3360,6,'J Book Items Cons.'!U$5:U$3360,"USCG",'J Book Items Cons.'!W$5:W$3360,"Waterways Commerce Cutters",'J Book Items Cons.'!R$5:R$3360,"",'J Book Items Cons.'!N$5:N$3360,"&lt;&gt;")+SUMIFS('J Book Items Cons.'!L$5:L$3360,'J Book Items Cons.'!S$5:S$3360,"[PARENT]",'J Book Items Cons.'!E$5:E$3360,6,'J Book Items Cons.'!U$5:U$3360,"USCG",'J Book Items Cons.'!W$5:W$3360,"Waterways Commerce Cutters",'J Book Items Cons.'!R$5:R$3360,"",'J Book Items Cons.'!N$5:N$3360,""))/O36)</f>
        <v>0</v>
      </c>
      <c r="P34" s="39">
        <f>IF(P36=0,0,(SUMIFS('J Book Items Cons.'!R$5:R$3360,'J Book Items Cons.'!S$5:S$3360,"",'J Book Items Cons.'!E$5:E$3360,6,'J Book Items Cons.'!U$5:U$3360,"USCG",'J Book Items Cons.'!W$5:W$3360,"National Security Cutters",'J Book Items Cons.'!R$5:R$3360,"&lt;&gt;")+SUMIFS('J Book Items Cons.'!N$5:N$3360,'J Book Items Cons.'!S$5:S$3360,"",'J Book Items Cons.'!E$5:E$3360,6,'J Book Items Cons.'!U$5:U$3360,"USCG",'J Book Items Cons.'!W$5:W$3360,"National Security Cutters",'J Book Items Cons.'!R$5:R$3360,"",'J Book Items Cons.'!N$5:N$3360,"&lt;&gt;")+SUMIFS('J Book Items Cons.'!L$5:L$3360,'J Book Items Cons.'!S$5:S$3360,"",'J Book Items Cons.'!E$5:E$3360,6,'J Book Items Cons.'!U$5:U$3360,"USCG",'J Book Items Cons.'!W$5:W$3360,"National Security Cutters",'J Book Items Cons.'!R$5:R$3360,"",'J Book Items Cons.'!N$5:N$3360,"")+SUMIFS('J Book Items Cons.'!R$5:R$3360,'J Book Items Cons.'!S$5:S$3360,"[PARENT]",'J Book Items Cons.'!E$5:E$3360,6,'J Book Items Cons.'!U$5:U$3360,"USCG",'J Book Items Cons.'!W$5:W$3360,"National Security Cutters",'J Book Items Cons.'!R$5:R$3360,"&lt;&gt;")+SUMIFS('J Book Items Cons.'!N$5:N$3360,'J Book Items Cons.'!S$5:S$3360,"[PARENT]",'J Book Items Cons.'!E$5:E$3360,6,'J Book Items Cons.'!U$5:U$3360,"USCG",'J Book Items Cons.'!W$5:W$3360,"National Security Cutters",'J Book Items Cons.'!R$5:R$3360,"",'J Book Items Cons.'!N$5:N$3360,"&lt;&gt;")+SUMIFS('J Book Items Cons.'!L$5:L$3360,'J Book Items Cons.'!S$5:S$3360,"[PARENT]",'J Book Items Cons.'!E$5:E$3360,6,'J Book Items Cons.'!U$5:U$3360,"USCG",'J Book Items Cons.'!W$5:W$3360,"National Security Cutters",'J Book Items Cons.'!R$5:R$3360,"",'J Book Items Cons.'!N$5:N$3360,""))/P36)</f>
        <v>0</v>
      </c>
      <c r="Q34" s="38">
        <f>IF(Q36=0,0,SUMPRODUCT(B34:P34,B$36:P$36)/Q$36)</f>
        <v>7.5900627345509679E-4</v>
      </c>
    </row>
    <row r="35" spans="1:17" ht="9.75" customHeight="1" thickBot="1" x14ac:dyDescent="0.2">
      <c r="A35" s="7" t="s">
        <v>5665</v>
      </c>
      <c r="B35" s="37">
        <f>IF(B36=0,0,(SUMIFS('J Book Items Cons.'!R$5:R$3360,'J Book Items Cons.'!S$5:S$3360,"",'J Book Items Cons.'!E$5:E$3360,7,'J Book Items Cons.'!U$5:U$3360,"USN",'J Book Items Cons.'!W$5:W$3360,"Surface Combatants",'J Book Items Cons.'!R$5:R$3360,"&lt;&gt;")+SUMIFS('J Book Items Cons.'!N$5:N$3360,'J Book Items Cons.'!S$5:S$3360,"",'J Book Items Cons.'!E$5:E$3360,7,'J Book Items Cons.'!U$5:U$3360,"USN",'J Book Items Cons.'!W$5:W$3360,"Surface Combatants",'J Book Items Cons.'!R$5:R$3360,"",'J Book Items Cons.'!N$5:N$3360,"&lt;&gt;")+SUMIFS('J Book Items Cons.'!L$5:L$3360,'J Book Items Cons.'!S$5:S$3360,"",'J Book Items Cons.'!E$5:E$3360,7,'J Book Items Cons.'!U$5:U$3360,"USN",'J Book Items Cons.'!W$5:W$3360,"Surface Combatants",'J Book Items Cons.'!R$5:R$3360,"",'J Book Items Cons.'!N$5:N$3360,"")+SUMIFS('J Book Items Cons.'!R$5:R$3360,'J Book Items Cons.'!S$5:S$3360,"[PARENT]",'J Book Items Cons.'!E$5:E$3360,7,'J Book Items Cons.'!U$5:U$3360,"USN",'J Book Items Cons.'!W$5:W$3360,"Surface Combatants",'J Book Items Cons.'!R$5:R$3360,"&lt;&gt;")+SUMIFS('J Book Items Cons.'!N$5:N$3360,'J Book Items Cons.'!S$5:S$3360,"[PARENT]",'J Book Items Cons.'!E$5:E$3360,7,'J Book Items Cons.'!U$5:U$3360,"USN",'J Book Items Cons.'!W$5:W$3360,"Surface Combatants",'J Book Items Cons.'!R$5:R$3360,"",'J Book Items Cons.'!N$5:N$3360,"&lt;&gt;")+SUMIFS('J Book Items Cons.'!L$5:L$3360,'J Book Items Cons.'!S$5:S$3360,"[PARENT]",'J Book Items Cons.'!E$5:E$3360,7,'J Book Items Cons.'!U$5:U$3360,"USN",'J Book Items Cons.'!W$5:W$3360,"Surface Combatants",'J Book Items Cons.'!R$5:R$3360,"",'J Book Items Cons.'!N$5:N$3360,""))/B36)</f>
        <v>0</v>
      </c>
      <c r="C35" s="38">
        <f>IF(C36=0,0,(SUMIFS('J Book Items Cons.'!R$5:R$3360,'J Book Items Cons.'!S$5:S$3360,"",'J Book Items Cons.'!E$5:E$3360,7,'J Book Items Cons.'!U$5:U$3360,"USN",'J Book Items Cons.'!W$5:W$3360,"Amphibious Warfare Ships",'J Book Items Cons.'!R$5:R$3360,"&lt;&gt;")+SUMIFS('J Book Items Cons.'!N$5:N$3360,'J Book Items Cons.'!S$5:S$3360,"",'J Book Items Cons.'!E$5:E$3360,7,'J Book Items Cons.'!U$5:U$3360,"USN",'J Book Items Cons.'!W$5:W$3360,"Amphibious Warfare Ships",'J Book Items Cons.'!R$5:R$3360,"",'J Book Items Cons.'!N$5:N$3360,"&lt;&gt;")+SUMIFS('J Book Items Cons.'!L$5:L$3360,'J Book Items Cons.'!S$5:S$3360,"",'J Book Items Cons.'!E$5:E$3360,7,'J Book Items Cons.'!U$5:U$3360,"USN",'J Book Items Cons.'!W$5:W$3360,"Amphibious Warfare Ships",'J Book Items Cons.'!R$5:R$3360,"",'J Book Items Cons.'!N$5:N$3360,"")+SUMIFS('J Book Items Cons.'!R$5:R$3360,'J Book Items Cons.'!S$5:S$3360,"[PARENT]",'J Book Items Cons.'!E$5:E$3360,7,'J Book Items Cons.'!U$5:U$3360,"USN",'J Book Items Cons.'!W$5:W$3360,"Amphibious Warfare Ships",'J Book Items Cons.'!R$5:R$3360,"&lt;&gt;")+SUMIFS('J Book Items Cons.'!N$5:N$3360,'J Book Items Cons.'!S$5:S$3360,"[PARENT]",'J Book Items Cons.'!E$5:E$3360,7,'J Book Items Cons.'!U$5:U$3360,"USN",'J Book Items Cons.'!W$5:W$3360,"Amphibious Warfare Ships",'J Book Items Cons.'!R$5:R$3360,"",'J Book Items Cons.'!N$5:N$3360,"&lt;&gt;")+SUMIFS('J Book Items Cons.'!L$5:L$3360,'J Book Items Cons.'!S$5:S$3360,"[PARENT]",'J Book Items Cons.'!E$5:E$3360,7,'J Book Items Cons.'!U$5:U$3360,"USN",'J Book Items Cons.'!W$5:W$3360,"Amphibious Warfare Ships",'J Book Items Cons.'!R$5:R$3360,"",'J Book Items Cons.'!N$5:N$3360,""))/C36)</f>
        <v>0</v>
      </c>
      <c r="D35" s="38">
        <f>IF(D36=0,0,(SUMIFS('J Book Items Cons.'!R$5:R$3360,'J Book Items Cons.'!S$5:S$3360,"",'J Book Items Cons.'!E$5:E$3360,7,'J Book Items Cons.'!U$5:U$3360,"USN",'J Book Items Cons.'!W$5:W$3360,"Expeditionary &amp; Seabasing Ships",'J Book Items Cons.'!R$5:R$3360,"&lt;&gt;")+SUMIFS('J Book Items Cons.'!N$5:N$3360,'J Book Items Cons.'!S$5:S$3360,"",'J Book Items Cons.'!E$5:E$3360,7,'J Book Items Cons.'!U$5:U$3360,"USN",'J Book Items Cons.'!W$5:W$3360,"Expeditionary &amp; Seabasing Ships",'J Book Items Cons.'!R$5:R$3360,"",'J Book Items Cons.'!N$5:N$3360,"&lt;&gt;")+SUMIFS('J Book Items Cons.'!L$5:L$3360,'J Book Items Cons.'!S$5:S$3360,"",'J Book Items Cons.'!E$5:E$3360,7,'J Book Items Cons.'!U$5:U$3360,"USN",'J Book Items Cons.'!W$5:W$3360,"Expeditionary &amp; Seabasing Ships",'J Book Items Cons.'!R$5:R$3360,"",'J Book Items Cons.'!N$5:N$3360,"")+SUMIFS('J Book Items Cons.'!R$5:R$3360,'J Book Items Cons.'!S$5:S$3360,"[PARENT]",'J Book Items Cons.'!E$5:E$3360,7,'J Book Items Cons.'!U$5:U$3360,"USN",'J Book Items Cons.'!W$5:W$3360,"Expeditionary &amp; Seabasing Ships",'J Book Items Cons.'!R$5:R$3360,"&lt;&gt;")+SUMIFS('J Book Items Cons.'!N$5:N$3360,'J Book Items Cons.'!S$5:S$3360,"[PARENT]",'J Book Items Cons.'!E$5:E$3360,7,'J Book Items Cons.'!U$5:U$3360,"USN",'J Book Items Cons.'!W$5:W$3360,"Expeditionary &amp; Seabasing Ships",'J Book Items Cons.'!R$5:R$3360,"",'J Book Items Cons.'!N$5:N$3360,"&lt;&gt;")+SUMIFS('J Book Items Cons.'!L$5:L$3360,'J Book Items Cons.'!S$5:S$3360,"[PARENT]",'J Book Items Cons.'!E$5:E$3360,7,'J Book Items Cons.'!U$5:U$3360,"USN",'J Book Items Cons.'!W$5:W$3360,"Expeditionary &amp; Seabasing Ships",'J Book Items Cons.'!R$5:R$3360,"",'J Book Items Cons.'!N$5:N$3360,""))/D36)</f>
        <v>0.61671661132258848</v>
      </c>
      <c r="E35" s="38">
        <f>IF(E36=0,0,(SUMIFS('J Book Items Cons.'!R$5:R$3360,'J Book Items Cons.'!S$5:S$3360,"",'J Book Items Cons.'!E$5:E$3360,7,'J Book Items Cons.'!U$5:U$3360,"MSC",'J Book Items Cons.'!W$5:W$3360,"Combat Logistics Ships",'J Book Items Cons.'!R$5:R$3360,"&lt;&gt;")+SUMIFS('J Book Items Cons.'!N$5:N$3360,'J Book Items Cons.'!S$5:S$3360,"",'J Book Items Cons.'!E$5:E$3360,7,'J Book Items Cons.'!U$5:U$3360,"MSC",'J Book Items Cons.'!W$5:W$3360,"Combat Logistics Ships",'J Book Items Cons.'!R$5:R$3360,"",'J Book Items Cons.'!N$5:N$3360,"&lt;&gt;")+SUMIFS('J Book Items Cons.'!L$5:L$3360,'J Book Items Cons.'!S$5:S$3360,"",'J Book Items Cons.'!E$5:E$3360,7,'J Book Items Cons.'!U$5:U$3360,"MSC",'J Book Items Cons.'!W$5:W$3360,"Combat Logistics Ships",'J Book Items Cons.'!R$5:R$3360,"",'J Book Items Cons.'!N$5:N$3360,"")+SUMIFS('J Book Items Cons.'!R$5:R$3360,'J Book Items Cons.'!S$5:S$3360,"[PARENT]",'J Book Items Cons.'!E$5:E$3360,7,'J Book Items Cons.'!U$5:U$3360,"MSC",'J Book Items Cons.'!W$5:W$3360,"Combat Logistics Ships",'J Book Items Cons.'!R$5:R$3360,"&lt;&gt;")+SUMIFS('J Book Items Cons.'!N$5:N$3360,'J Book Items Cons.'!S$5:S$3360,"[PARENT]",'J Book Items Cons.'!E$5:E$3360,7,'J Book Items Cons.'!U$5:U$3360,"MSC",'J Book Items Cons.'!W$5:W$3360,"Combat Logistics Ships",'J Book Items Cons.'!R$5:R$3360,"",'J Book Items Cons.'!N$5:N$3360,"&lt;&gt;")+SUMIFS('J Book Items Cons.'!L$5:L$3360,'J Book Items Cons.'!S$5:S$3360,"[PARENT]",'J Book Items Cons.'!E$5:E$3360,7,'J Book Items Cons.'!U$5:U$3360,"MSC",'J Book Items Cons.'!W$5:W$3360,"Combat Logistics Ships",'J Book Items Cons.'!R$5:R$3360,"",'J Book Items Cons.'!N$5:N$3360,""))/E36)</f>
        <v>0</v>
      </c>
      <c r="F35" s="38">
        <f>IF(F36=0,0,(SUMIFS('J Book Items Cons.'!R$5:R$3360,'J Book Items Cons.'!S$5:S$3360,"",'J Book Items Cons.'!E$5:E$3360,7,'J Book Items Cons.'!U$5:U$3360,"USN",'J Book Items Cons.'!W$5:W$3360,"Unmanned Surface Vehicles",'J Book Items Cons.'!R$5:R$3360,"&lt;&gt;")+SUMIFS('J Book Items Cons.'!N$5:N$3360,'J Book Items Cons.'!S$5:S$3360,"",'J Book Items Cons.'!E$5:E$3360,7,'J Book Items Cons.'!U$5:U$3360,"USN",'J Book Items Cons.'!W$5:W$3360,"Unmanned Surface Vehicles",'J Book Items Cons.'!R$5:R$3360,"",'J Book Items Cons.'!N$5:N$3360,"&lt;&gt;")+SUMIFS('J Book Items Cons.'!L$5:L$3360,'J Book Items Cons.'!S$5:S$3360,"",'J Book Items Cons.'!E$5:E$3360,7,'J Book Items Cons.'!U$5:U$3360,"USN",'J Book Items Cons.'!W$5:W$3360,"Unmanned Surface Vehicles",'J Book Items Cons.'!R$5:R$3360,"",'J Book Items Cons.'!N$5:N$3360,"")+SUMIFS('J Book Items Cons.'!R$5:R$3360,'J Book Items Cons.'!S$5:S$3360,"[PARENT]",'J Book Items Cons.'!E$5:E$3360,7,'J Book Items Cons.'!U$5:U$3360,"USN",'J Book Items Cons.'!W$5:W$3360,"Unmanned Surface Vehicles",'J Book Items Cons.'!R$5:R$3360,"&lt;&gt;")+SUMIFS('J Book Items Cons.'!N$5:N$3360,'J Book Items Cons.'!S$5:S$3360,"[PARENT]",'J Book Items Cons.'!E$5:E$3360,7,'J Book Items Cons.'!U$5:U$3360,"USN",'J Book Items Cons.'!W$5:W$3360,"Unmanned Surface Vehicles",'J Book Items Cons.'!R$5:R$3360,"",'J Book Items Cons.'!N$5:N$3360,"&lt;&gt;")+SUMIFS('J Book Items Cons.'!L$5:L$3360,'J Book Items Cons.'!S$5:S$3360,"[PARENT]",'J Book Items Cons.'!E$5:E$3360,7,'J Book Items Cons.'!U$5:U$3360,"USN",'J Book Items Cons.'!W$5:W$3360,"Unmanned Surface Vehicles",'J Book Items Cons.'!R$5:R$3360,"",'J Book Items Cons.'!N$5:N$3360,""))/F36)</f>
        <v>0</v>
      </c>
      <c r="G35" s="38">
        <f>IF(G36=0,0,(SUMIFS('J Book Items Cons.'!R$5:R$3360,'J Book Items Cons.'!S$5:S$3360,"",'J Book Items Cons.'!E$5:E$3360,7,'J Book Items Cons.'!U$5:U$3360,"USN",'J Book Items Cons.'!W$5:W$3360,"Amphibious Warfare Craft",'J Book Items Cons.'!R$5:R$3360,"&lt;&gt;")+SUMIFS('J Book Items Cons.'!N$5:N$3360,'J Book Items Cons.'!S$5:S$3360,"",'J Book Items Cons.'!E$5:E$3360,7,'J Book Items Cons.'!U$5:U$3360,"USN",'J Book Items Cons.'!W$5:W$3360,"Amphibious Warfare Craft",'J Book Items Cons.'!R$5:R$3360,"",'J Book Items Cons.'!N$5:N$3360,"&lt;&gt;")+SUMIFS('J Book Items Cons.'!L$5:L$3360,'J Book Items Cons.'!S$5:S$3360,"",'J Book Items Cons.'!E$5:E$3360,7,'J Book Items Cons.'!U$5:U$3360,"USN",'J Book Items Cons.'!W$5:W$3360,"Amphibious Warfare Craft",'J Book Items Cons.'!R$5:R$3360,"",'J Book Items Cons.'!N$5:N$3360,"")+SUMIFS('J Book Items Cons.'!R$5:R$3360,'J Book Items Cons.'!S$5:S$3360,"[PARENT]",'J Book Items Cons.'!E$5:E$3360,7,'J Book Items Cons.'!U$5:U$3360,"USN",'J Book Items Cons.'!W$5:W$3360,"Amphibious Warfare Craft",'J Book Items Cons.'!R$5:R$3360,"&lt;&gt;")+SUMIFS('J Book Items Cons.'!N$5:N$3360,'J Book Items Cons.'!S$5:S$3360,"[PARENT]",'J Book Items Cons.'!E$5:E$3360,7,'J Book Items Cons.'!U$5:U$3360,"USN",'J Book Items Cons.'!W$5:W$3360,"Amphibious Warfare Craft",'J Book Items Cons.'!R$5:R$3360,"",'J Book Items Cons.'!N$5:N$3360,"&lt;&gt;")+SUMIFS('J Book Items Cons.'!L$5:L$3360,'J Book Items Cons.'!S$5:S$3360,"[PARENT]",'J Book Items Cons.'!E$5:E$3360,7,'J Book Items Cons.'!U$5:U$3360,"USN",'J Book Items Cons.'!W$5:W$3360,"Amphibious Warfare Craft",'J Book Items Cons.'!R$5:R$3360,"",'J Book Items Cons.'!N$5:N$3360,""))/G36)</f>
        <v>0</v>
      </c>
      <c r="H35" s="38">
        <f>IF(H36=0,0,(SUMIFS('J Book Items Cons.'!R$5:R$3360,'J Book Items Cons.'!S$5:S$3360,"",'J Book Items Cons.'!E$5:E$3360,7,'J Book Items Cons.'!U$5:U$3360,"MSC",'J Book Items Cons.'!W$5:W$3360,"Cargo &amp; Vehicle Cargo Ships",'J Book Items Cons.'!R$5:R$3360,"&lt;&gt;")+SUMIFS('J Book Items Cons.'!N$5:N$3360,'J Book Items Cons.'!S$5:S$3360,"",'J Book Items Cons.'!E$5:E$3360,7,'J Book Items Cons.'!U$5:U$3360,"MSC",'J Book Items Cons.'!W$5:W$3360,"Cargo &amp; Vehicle Cargo Ships",'J Book Items Cons.'!R$5:R$3360,"",'J Book Items Cons.'!N$5:N$3360,"&lt;&gt;")+SUMIFS('J Book Items Cons.'!L$5:L$3360,'J Book Items Cons.'!S$5:S$3360,"",'J Book Items Cons.'!E$5:E$3360,7,'J Book Items Cons.'!U$5:U$3360,"MSC",'J Book Items Cons.'!W$5:W$3360,"Cargo &amp; Vehicle Cargo Ships",'J Book Items Cons.'!R$5:R$3360,"",'J Book Items Cons.'!N$5:N$3360,"")+SUMIFS('J Book Items Cons.'!R$5:R$3360,'J Book Items Cons.'!S$5:S$3360,"[PARENT]",'J Book Items Cons.'!E$5:E$3360,7,'J Book Items Cons.'!U$5:U$3360,"MSC",'J Book Items Cons.'!W$5:W$3360,"Cargo &amp; Vehicle Cargo Ships",'J Book Items Cons.'!R$5:R$3360,"&lt;&gt;")+SUMIFS('J Book Items Cons.'!N$5:N$3360,'J Book Items Cons.'!S$5:S$3360,"[PARENT]",'J Book Items Cons.'!E$5:E$3360,7,'J Book Items Cons.'!U$5:U$3360,"MSC",'J Book Items Cons.'!W$5:W$3360,"Cargo &amp; Vehicle Cargo Ships",'J Book Items Cons.'!R$5:R$3360,"",'J Book Items Cons.'!N$5:N$3360,"&lt;&gt;")+SUMIFS('J Book Items Cons.'!L$5:L$3360,'J Book Items Cons.'!S$5:S$3360,"[PARENT]",'J Book Items Cons.'!E$5:E$3360,7,'J Book Items Cons.'!U$5:U$3360,"MSC",'J Book Items Cons.'!W$5:W$3360,"Cargo &amp; Vehicle Cargo Ships",'J Book Items Cons.'!R$5:R$3360,"",'J Book Items Cons.'!N$5:N$3360,""))/H36)</f>
        <v>0</v>
      </c>
      <c r="I35" s="38">
        <f>IF(I36=0,0,(SUMIFS('J Book Items Cons.'!R$5:R$3360,'J Book Items Cons.'!S$5:S$3360,"",'J Book Items Cons.'!E$5:E$3360,7,'J Book Items Cons.'!U$5:U$3360,"MSC",'J Book Items Cons.'!W$5:W$3360,"Surveillance Ships",'J Book Items Cons.'!R$5:R$3360,"&lt;&gt;")+SUMIFS('J Book Items Cons.'!N$5:N$3360,'J Book Items Cons.'!S$5:S$3360,"",'J Book Items Cons.'!E$5:E$3360,7,'J Book Items Cons.'!U$5:U$3360,"MSC",'J Book Items Cons.'!W$5:W$3360,"Surveillance Ships",'J Book Items Cons.'!R$5:R$3360,"",'J Book Items Cons.'!N$5:N$3360,"&lt;&gt;")+SUMIFS('J Book Items Cons.'!L$5:L$3360,'J Book Items Cons.'!S$5:S$3360,"",'J Book Items Cons.'!E$5:E$3360,7,'J Book Items Cons.'!U$5:U$3360,"MSC",'J Book Items Cons.'!W$5:W$3360,"Surveillance Ships",'J Book Items Cons.'!R$5:R$3360,"",'J Book Items Cons.'!N$5:N$3360,"")+SUMIFS('J Book Items Cons.'!R$5:R$3360,'J Book Items Cons.'!S$5:S$3360,"[PARENT]",'J Book Items Cons.'!E$5:E$3360,7,'J Book Items Cons.'!U$5:U$3360,"MSC",'J Book Items Cons.'!W$5:W$3360,"Surveillance Ships",'J Book Items Cons.'!R$5:R$3360,"&lt;&gt;")+SUMIFS('J Book Items Cons.'!N$5:N$3360,'J Book Items Cons.'!S$5:S$3360,"[PARENT]",'J Book Items Cons.'!E$5:E$3360,7,'J Book Items Cons.'!U$5:U$3360,"MSC",'J Book Items Cons.'!W$5:W$3360,"Surveillance Ships",'J Book Items Cons.'!R$5:R$3360,"",'J Book Items Cons.'!N$5:N$3360,"&lt;&gt;")+SUMIFS('J Book Items Cons.'!L$5:L$3360,'J Book Items Cons.'!S$5:S$3360,"[PARENT]",'J Book Items Cons.'!E$5:E$3360,7,'J Book Items Cons.'!U$5:U$3360,"MSC",'J Book Items Cons.'!W$5:W$3360,"Surveillance Ships",'J Book Items Cons.'!R$5:R$3360,"",'J Book Items Cons.'!N$5:N$3360,""))/I36)</f>
        <v>0</v>
      </c>
      <c r="J35" s="38">
        <f>IF(J36=0,0,(SUMIFS('J Book Items Cons.'!R$5:R$3360,'J Book Items Cons.'!S$5:S$3360,"",'J Book Items Cons.'!E$5:E$3360,7,'J Book Items Cons.'!U$5:U$3360,"USN",'J Book Items Cons.'!W$5:W$3360,"Command Ships",'J Book Items Cons.'!R$5:R$3360,"&lt;&gt;")+SUMIFS('J Book Items Cons.'!N$5:N$3360,'J Book Items Cons.'!S$5:S$3360,"",'J Book Items Cons.'!E$5:E$3360,7,'J Book Items Cons.'!U$5:U$3360,"USN",'J Book Items Cons.'!W$5:W$3360,"Command Ships",'J Book Items Cons.'!R$5:R$3360,"",'J Book Items Cons.'!N$5:N$3360,"&lt;&gt;")+SUMIFS('J Book Items Cons.'!L$5:L$3360,'J Book Items Cons.'!S$5:S$3360,"",'J Book Items Cons.'!E$5:E$3360,7,'J Book Items Cons.'!U$5:U$3360,"USN",'J Book Items Cons.'!W$5:W$3360,"Command Ships",'J Book Items Cons.'!R$5:R$3360,"",'J Book Items Cons.'!N$5:N$3360,"")+SUMIFS('J Book Items Cons.'!R$5:R$3360,'J Book Items Cons.'!S$5:S$3360,"[PARENT]",'J Book Items Cons.'!E$5:E$3360,7,'J Book Items Cons.'!U$5:U$3360,"USN",'J Book Items Cons.'!W$5:W$3360,"Command Ships",'J Book Items Cons.'!R$5:R$3360,"&lt;&gt;")+SUMIFS('J Book Items Cons.'!N$5:N$3360,'J Book Items Cons.'!S$5:S$3360,"[PARENT]",'J Book Items Cons.'!E$5:E$3360,7,'J Book Items Cons.'!U$5:U$3360,"USN",'J Book Items Cons.'!W$5:W$3360,"Command Ships",'J Book Items Cons.'!R$5:R$3360,"",'J Book Items Cons.'!N$5:N$3360,"&lt;&gt;")+SUMIFS('J Book Items Cons.'!L$5:L$3360,'J Book Items Cons.'!S$5:S$3360,"[PARENT]",'J Book Items Cons.'!E$5:E$3360,7,'J Book Items Cons.'!U$5:U$3360,"USN",'J Book Items Cons.'!W$5:W$3360,"Command Ships",'J Book Items Cons.'!R$5:R$3360,"",'J Book Items Cons.'!N$5:N$3360,""))/J36)</f>
        <v>0</v>
      </c>
      <c r="K35" s="39">
        <f>IF(K36=0,0,(SUMIFS('J Book Items Cons.'!R$5:R$3360,'J Book Items Cons.'!S$5:S$3360,"",'J Book Items Cons.'!E$5:E$3360,7,'J Book Items Cons.'!U$5:U$3360,"USN",'J Book Items Cons.'!W$5:W$3360,"Mine Warfare",'J Book Items Cons.'!R$5:R$3360,"&lt;&gt;")+SUMIFS('J Book Items Cons.'!N$5:N$3360,'J Book Items Cons.'!S$5:S$3360,"",'J Book Items Cons.'!E$5:E$3360,7,'J Book Items Cons.'!U$5:U$3360,"USN",'J Book Items Cons.'!W$5:W$3360,"Mine Warfare",'J Book Items Cons.'!R$5:R$3360,"",'J Book Items Cons.'!N$5:N$3360,"&lt;&gt;")+SUMIFS('J Book Items Cons.'!L$5:L$3360,'J Book Items Cons.'!S$5:S$3360,"",'J Book Items Cons.'!E$5:E$3360,7,'J Book Items Cons.'!U$5:U$3360,"USN",'J Book Items Cons.'!W$5:W$3360,"Mine Warfare",'J Book Items Cons.'!R$5:R$3360,"",'J Book Items Cons.'!N$5:N$3360,"")+SUMIFS('J Book Items Cons.'!R$5:R$3360,'J Book Items Cons.'!S$5:S$3360,"[PARENT]",'J Book Items Cons.'!E$5:E$3360,7,'J Book Items Cons.'!U$5:U$3360,"USN",'J Book Items Cons.'!W$5:W$3360,"Mine Warfare",'J Book Items Cons.'!R$5:R$3360,"&lt;&gt;")+SUMIFS('J Book Items Cons.'!N$5:N$3360,'J Book Items Cons.'!S$5:S$3360,"[PARENT]",'J Book Items Cons.'!E$5:E$3360,7,'J Book Items Cons.'!U$5:U$3360,"USN",'J Book Items Cons.'!W$5:W$3360,"Mine Warfare",'J Book Items Cons.'!R$5:R$3360,"",'J Book Items Cons.'!N$5:N$3360,"&lt;&gt;")+SUMIFS('J Book Items Cons.'!L$5:L$3360,'J Book Items Cons.'!S$5:S$3360,"[PARENT]",'J Book Items Cons.'!E$5:E$3360,7,'J Book Items Cons.'!U$5:U$3360,"USN",'J Book Items Cons.'!W$5:W$3360,"Mine Warfare",'J Book Items Cons.'!R$5:R$3360,"",'J Book Items Cons.'!N$5:N$3360,""))/K36)</f>
        <v>0</v>
      </c>
      <c r="L35" s="37">
        <f>IF(L36=0,0,(SUMIFS('J Book Items Cons.'!R$5:R$3360,'J Book Items Cons.'!S$5:S$3360,"",'J Book Items Cons.'!E$5:E$3360,7,'J Book Items Cons.'!U$5:U$3360,"USCG",'J Book Items Cons.'!W$5:W$3360,"Offshore Patrol Cutter",'J Book Items Cons.'!R$5:R$3360,"&lt;&gt;")+SUMIFS('J Book Items Cons.'!N$5:N$3360,'J Book Items Cons.'!S$5:S$3360,"",'J Book Items Cons.'!E$5:E$3360,7,'J Book Items Cons.'!U$5:U$3360,"USCG",'J Book Items Cons.'!W$5:W$3360,"Offshore Patrol Cutter",'J Book Items Cons.'!R$5:R$3360,"",'J Book Items Cons.'!N$5:N$3360,"&lt;&gt;")+SUMIFS('J Book Items Cons.'!L$5:L$3360,'J Book Items Cons.'!S$5:S$3360,"",'J Book Items Cons.'!E$5:E$3360,7,'J Book Items Cons.'!U$5:U$3360,"USCG",'J Book Items Cons.'!W$5:W$3360,"Offshore Patrol Cutter",'J Book Items Cons.'!R$5:R$3360,"",'J Book Items Cons.'!N$5:N$3360,"")+SUMIFS('J Book Items Cons.'!R$5:R$3360,'J Book Items Cons.'!S$5:S$3360,"[PARENT]",'J Book Items Cons.'!E$5:E$3360,7,'J Book Items Cons.'!U$5:U$3360,"USCG",'J Book Items Cons.'!W$5:W$3360,"Offshore Patrol Cutter",'J Book Items Cons.'!R$5:R$3360,"&lt;&gt;")+SUMIFS('J Book Items Cons.'!N$5:N$3360,'J Book Items Cons.'!S$5:S$3360,"[PARENT]",'J Book Items Cons.'!E$5:E$3360,7,'J Book Items Cons.'!U$5:U$3360,"USCG",'J Book Items Cons.'!W$5:W$3360,"Offshore Patrol Cutter",'J Book Items Cons.'!R$5:R$3360,"",'J Book Items Cons.'!N$5:N$3360,"&lt;&gt;")+SUMIFS('J Book Items Cons.'!L$5:L$3360,'J Book Items Cons.'!S$5:S$3360,"[PARENT]",'J Book Items Cons.'!E$5:E$3360,7,'J Book Items Cons.'!U$5:U$3360,"USCG",'J Book Items Cons.'!W$5:W$3360,"Offshore Patrol Cutter",'J Book Items Cons.'!R$5:R$3360,"",'J Book Items Cons.'!N$5:N$3360,""))/L36)</f>
        <v>0</v>
      </c>
      <c r="M35" s="38">
        <f>IF(M36=0,0,(SUMIFS('J Book Items Cons.'!R$5:R$3360,'J Book Items Cons.'!S$5:S$3360,"",'J Book Items Cons.'!E$5:E$3360,7,'J Book Items Cons.'!U$5:U$3360,"USCG",'J Book Items Cons.'!W$5:W$3360,"Fast Response Cutters",'J Book Items Cons.'!R$5:R$3360,"&lt;&gt;")+SUMIFS('J Book Items Cons.'!N$5:N$3360,'J Book Items Cons.'!S$5:S$3360,"",'J Book Items Cons.'!E$5:E$3360,7,'J Book Items Cons.'!U$5:U$3360,"USCG",'J Book Items Cons.'!W$5:W$3360,"Fast Response Cutters",'J Book Items Cons.'!R$5:R$3360,"",'J Book Items Cons.'!N$5:N$3360,"&lt;&gt;")+SUMIFS('J Book Items Cons.'!L$5:L$3360,'J Book Items Cons.'!S$5:S$3360,"",'J Book Items Cons.'!E$5:E$3360,7,'J Book Items Cons.'!U$5:U$3360,"USCG",'J Book Items Cons.'!W$5:W$3360,"Fast Response Cutters",'J Book Items Cons.'!R$5:R$3360,"",'J Book Items Cons.'!N$5:N$3360,"")+SUMIFS('J Book Items Cons.'!R$5:R$3360,'J Book Items Cons.'!S$5:S$3360,"[PARENT]",'J Book Items Cons.'!E$5:E$3360,7,'J Book Items Cons.'!U$5:U$3360,"USCG",'J Book Items Cons.'!W$5:W$3360,"Fast Response Cutters",'J Book Items Cons.'!R$5:R$3360,"&lt;&gt;")+SUMIFS('J Book Items Cons.'!N$5:N$3360,'J Book Items Cons.'!S$5:S$3360,"[PARENT]",'J Book Items Cons.'!E$5:E$3360,7,'J Book Items Cons.'!U$5:U$3360,"USCG",'J Book Items Cons.'!W$5:W$3360,"Fast Response Cutters",'J Book Items Cons.'!R$5:R$3360,"",'J Book Items Cons.'!N$5:N$3360,"&lt;&gt;")+SUMIFS('J Book Items Cons.'!L$5:L$3360,'J Book Items Cons.'!S$5:S$3360,"[PARENT]",'J Book Items Cons.'!E$5:E$3360,7,'J Book Items Cons.'!U$5:U$3360,"USCG",'J Book Items Cons.'!W$5:W$3360,"Fast Response Cutters",'J Book Items Cons.'!R$5:R$3360,"",'J Book Items Cons.'!N$5:N$3360,""))/M36)</f>
        <v>0</v>
      </c>
      <c r="N35" s="38">
        <f>IF(N36=0,0,(SUMIFS('J Book Items Cons.'!R$5:R$3360,'J Book Items Cons.'!S$5:S$3360,"",'J Book Items Cons.'!E$5:E$3360,7,'J Book Items Cons.'!U$5:U$3360,"USCG",'J Book Items Cons.'!W$5:W$3360,"Icebreakers, Oceangoing",'J Book Items Cons.'!R$5:R$3360,"&lt;&gt;")+SUMIFS('J Book Items Cons.'!N$5:N$3360,'J Book Items Cons.'!S$5:S$3360,"",'J Book Items Cons.'!E$5:E$3360,7,'J Book Items Cons.'!U$5:U$3360,"USCG",'J Book Items Cons.'!W$5:W$3360,"Icebreakers, Oceangoing",'J Book Items Cons.'!R$5:R$3360,"",'J Book Items Cons.'!N$5:N$3360,"&lt;&gt;")+SUMIFS('J Book Items Cons.'!L$5:L$3360,'J Book Items Cons.'!S$5:S$3360,"",'J Book Items Cons.'!E$5:E$3360,7,'J Book Items Cons.'!U$5:U$3360,"USCG",'J Book Items Cons.'!W$5:W$3360,"Icebreakers, Oceangoing",'J Book Items Cons.'!R$5:R$3360,"",'J Book Items Cons.'!N$5:N$3360,"")+SUMIFS('J Book Items Cons.'!R$5:R$3360,'J Book Items Cons.'!S$5:S$3360,"[PARENT]",'J Book Items Cons.'!E$5:E$3360,7,'J Book Items Cons.'!U$5:U$3360,"USCG",'J Book Items Cons.'!W$5:W$3360,"Icebreakers, Oceangoing",'J Book Items Cons.'!R$5:R$3360,"&lt;&gt;")+SUMIFS('J Book Items Cons.'!N$5:N$3360,'J Book Items Cons.'!S$5:S$3360,"[PARENT]",'J Book Items Cons.'!E$5:E$3360,7,'J Book Items Cons.'!U$5:U$3360,"USCG",'J Book Items Cons.'!W$5:W$3360,"Icebreakers, Oceangoing",'J Book Items Cons.'!R$5:R$3360,"",'J Book Items Cons.'!N$5:N$3360,"&lt;&gt;")+SUMIFS('J Book Items Cons.'!L$5:L$3360,'J Book Items Cons.'!S$5:S$3360,"[PARENT]",'J Book Items Cons.'!E$5:E$3360,7,'J Book Items Cons.'!U$5:U$3360,"USCG",'J Book Items Cons.'!W$5:W$3360,"Icebreakers, Oceangoing",'J Book Items Cons.'!R$5:R$3360,"",'J Book Items Cons.'!N$5:N$3360,""))/N36)</f>
        <v>0</v>
      </c>
      <c r="O35" s="38">
        <f>IF(O36=0,0,(SUMIFS('J Book Items Cons.'!R$5:R$3360,'J Book Items Cons.'!S$5:S$3360,"",'J Book Items Cons.'!E$5:E$3360,7,'J Book Items Cons.'!U$5:U$3360,"USCG",'J Book Items Cons.'!W$5:W$3360,"Waterways Commerce Cutters",'J Book Items Cons.'!R$5:R$3360,"&lt;&gt;")+SUMIFS('J Book Items Cons.'!N$5:N$3360,'J Book Items Cons.'!S$5:S$3360,"",'J Book Items Cons.'!E$5:E$3360,7,'J Book Items Cons.'!U$5:U$3360,"USCG",'J Book Items Cons.'!W$5:W$3360,"Waterways Commerce Cutters",'J Book Items Cons.'!R$5:R$3360,"",'J Book Items Cons.'!N$5:N$3360,"&lt;&gt;")+SUMIFS('J Book Items Cons.'!L$5:L$3360,'J Book Items Cons.'!S$5:S$3360,"",'J Book Items Cons.'!E$5:E$3360,7,'J Book Items Cons.'!U$5:U$3360,"USCG",'J Book Items Cons.'!W$5:W$3360,"Waterways Commerce Cutters",'J Book Items Cons.'!R$5:R$3360,"",'J Book Items Cons.'!N$5:N$3360,"")+SUMIFS('J Book Items Cons.'!R$5:R$3360,'J Book Items Cons.'!S$5:S$3360,"[PARENT]",'J Book Items Cons.'!E$5:E$3360,7,'J Book Items Cons.'!U$5:U$3360,"USCG",'J Book Items Cons.'!W$5:W$3360,"Waterways Commerce Cutters",'J Book Items Cons.'!R$5:R$3360,"&lt;&gt;")+SUMIFS('J Book Items Cons.'!N$5:N$3360,'J Book Items Cons.'!S$5:S$3360,"[PARENT]",'J Book Items Cons.'!E$5:E$3360,7,'J Book Items Cons.'!U$5:U$3360,"USCG",'J Book Items Cons.'!W$5:W$3360,"Waterways Commerce Cutters",'J Book Items Cons.'!R$5:R$3360,"",'J Book Items Cons.'!N$5:N$3360,"&lt;&gt;")+SUMIFS('J Book Items Cons.'!L$5:L$3360,'J Book Items Cons.'!S$5:S$3360,"[PARENT]",'J Book Items Cons.'!E$5:E$3360,7,'J Book Items Cons.'!U$5:U$3360,"USCG",'J Book Items Cons.'!W$5:W$3360,"Waterways Commerce Cutters",'J Book Items Cons.'!R$5:R$3360,"",'J Book Items Cons.'!N$5:N$3360,""))/O36)</f>
        <v>0</v>
      </c>
      <c r="P35" s="39">
        <f>IF(P36=0,0,(SUMIFS('J Book Items Cons.'!R$5:R$3360,'J Book Items Cons.'!S$5:S$3360,"",'J Book Items Cons.'!E$5:E$3360,7,'J Book Items Cons.'!U$5:U$3360,"USCG",'J Book Items Cons.'!W$5:W$3360,"National Security Cutters",'J Book Items Cons.'!R$5:R$3360,"&lt;&gt;")+SUMIFS('J Book Items Cons.'!N$5:N$3360,'J Book Items Cons.'!S$5:S$3360,"",'J Book Items Cons.'!E$5:E$3360,7,'J Book Items Cons.'!U$5:U$3360,"USCG",'J Book Items Cons.'!W$5:W$3360,"National Security Cutters",'J Book Items Cons.'!R$5:R$3360,"",'J Book Items Cons.'!N$5:N$3360,"&lt;&gt;")+SUMIFS('J Book Items Cons.'!L$5:L$3360,'J Book Items Cons.'!S$5:S$3360,"",'J Book Items Cons.'!E$5:E$3360,7,'J Book Items Cons.'!U$5:U$3360,"USCG",'J Book Items Cons.'!W$5:W$3360,"National Security Cutters",'J Book Items Cons.'!R$5:R$3360,"",'J Book Items Cons.'!N$5:N$3360,"")+SUMIFS('J Book Items Cons.'!R$5:R$3360,'J Book Items Cons.'!S$5:S$3360,"[PARENT]",'J Book Items Cons.'!E$5:E$3360,7,'J Book Items Cons.'!U$5:U$3360,"USCG",'J Book Items Cons.'!W$5:W$3360,"National Security Cutters",'J Book Items Cons.'!R$5:R$3360,"&lt;&gt;")+SUMIFS('J Book Items Cons.'!N$5:N$3360,'J Book Items Cons.'!S$5:S$3360,"[PARENT]",'J Book Items Cons.'!E$5:E$3360,7,'J Book Items Cons.'!U$5:U$3360,"USCG",'J Book Items Cons.'!W$5:W$3360,"National Security Cutters",'J Book Items Cons.'!R$5:R$3360,"",'J Book Items Cons.'!N$5:N$3360,"&lt;&gt;")+SUMIFS('J Book Items Cons.'!L$5:L$3360,'J Book Items Cons.'!S$5:S$3360,"[PARENT]",'J Book Items Cons.'!E$5:E$3360,7,'J Book Items Cons.'!U$5:U$3360,"USCG",'J Book Items Cons.'!W$5:W$3360,"National Security Cutters",'J Book Items Cons.'!R$5:R$3360,"",'J Book Items Cons.'!N$5:N$3360,""))/P36)</f>
        <v>0</v>
      </c>
      <c r="Q35" s="38">
        <f>IF(Q36=0,0,SUMPRODUCT(B35:P35,B$36:P$36)/Q$36)</f>
        <v>4.7835864673490981E-3</v>
      </c>
    </row>
    <row r="36" spans="1:17" ht="9.75" customHeight="1" x14ac:dyDescent="0.15">
      <c r="A36" s="15" t="s">
        <v>8831</v>
      </c>
      <c r="B36" s="28">
        <f>SUMIFS('J Book Items Cons.'!R$5:R$3360,'J Book Items Cons.'!S$5:S$3360,"",'J Book Items Cons.'!E$5:E$3360,"&gt;1",'J Book Items Cons.'!U$5:U$3360,"USN",'J Book Items Cons.'!W$5:W$3360,"Surface Combatants",'J Book Items Cons.'!R$5:R$3360,"&lt;&gt;")+SUMIFS('J Book Items Cons.'!N$5:N$3360,'J Book Items Cons.'!S$5:S$3360,"",'J Book Items Cons.'!E$5:E$3360,"&gt;1",'J Book Items Cons.'!U$5:U$3360,"USN",'J Book Items Cons.'!W$5:W$3360,"Surface Combatants",'J Book Items Cons.'!R$5:R$3360,"",'J Book Items Cons.'!N$5:N$3360,"&lt;&gt;")+SUMIFS('J Book Items Cons.'!L$5:L$3360,'J Book Items Cons.'!S$5:S$3360,"",'J Book Items Cons.'!E$5:E$3360,"&gt;1",'J Book Items Cons.'!U$5:U$3360,"USN",'J Book Items Cons.'!W$5:W$3360,"Surface Combatants",'J Book Items Cons.'!R$5:R$3360,"",'J Book Items Cons.'!N$5:N$3360,"")+SUMIFS('J Book Items Cons.'!R$5:R$3360,'J Book Items Cons.'!S$5:S$3360,"[PARENT]",'J Book Items Cons.'!E$5:E$3360,"&gt;1",'J Book Items Cons.'!U$5:U$3360,"USN",'J Book Items Cons.'!W$5:W$3360,"Surface Combatants",'J Book Items Cons.'!R$5:R$3360,"&lt;&gt;")+SUMIFS('J Book Items Cons.'!N$5:N$3360,'J Book Items Cons.'!S$5:S$3360,"[PARENT]",'J Book Items Cons.'!E$5:E$3360,"&gt;1",'J Book Items Cons.'!U$5:U$3360,"USN",'J Book Items Cons.'!W$5:W$3360,"Surface Combatants",'J Book Items Cons.'!R$5:R$3360,"",'J Book Items Cons.'!N$5:N$3360,"&lt;&gt;")+SUMIFS('J Book Items Cons.'!L$5:L$3360,'J Book Items Cons.'!S$5:S$3360,"[PARENT]",'J Book Items Cons.'!E$5:E$3360,"&gt;1",'J Book Items Cons.'!U$5:U$3360,"USN",'J Book Items Cons.'!W$5:W$3360,"Surface Combatants",'J Book Items Cons.'!R$5:R$3360,"",'J Book Items Cons.'!N$5:N$3360,"")</f>
        <v>6131921</v>
      </c>
      <c r="C36" s="16">
        <f>SUMIFS('J Book Items Cons.'!R$5:R$3360,'J Book Items Cons.'!S$5:S$3360,"",'J Book Items Cons.'!E$5:E$3360,"&gt;1",'J Book Items Cons.'!U$5:U$3360,"USN",'J Book Items Cons.'!W$5:W$3360,"Amphibious Warfare Ships",'J Book Items Cons.'!R$5:R$3360,"&lt;&gt;")+SUMIFS('J Book Items Cons.'!N$5:N$3360,'J Book Items Cons.'!S$5:S$3360,"",'J Book Items Cons.'!E$5:E$3360,"&gt;1",'J Book Items Cons.'!U$5:U$3360,"USN",'J Book Items Cons.'!W$5:W$3360,"Amphibious Warfare Ships",'J Book Items Cons.'!R$5:R$3360,"",'J Book Items Cons.'!N$5:N$3360,"&lt;&gt;")+SUMIFS('J Book Items Cons.'!L$5:L$3360,'J Book Items Cons.'!S$5:S$3360,"",'J Book Items Cons.'!E$5:E$3360,"&gt;1",'J Book Items Cons.'!U$5:U$3360,"USN",'J Book Items Cons.'!W$5:W$3360,"Amphibious Warfare Ships",'J Book Items Cons.'!R$5:R$3360,"",'J Book Items Cons.'!N$5:N$3360,"")+SUMIFS('J Book Items Cons.'!R$5:R$3360,'J Book Items Cons.'!S$5:S$3360,"[PARENT]",'J Book Items Cons.'!E$5:E$3360,"&gt;1",'J Book Items Cons.'!U$5:U$3360,"USN",'J Book Items Cons.'!W$5:W$3360,"Amphibious Warfare Ships",'J Book Items Cons.'!R$5:R$3360,"&lt;&gt;")+SUMIFS('J Book Items Cons.'!N$5:N$3360,'J Book Items Cons.'!S$5:S$3360,"[PARENT]",'J Book Items Cons.'!E$5:E$3360,"&gt;1",'J Book Items Cons.'!U$5:U$3360,"USN",'J Book Items Cons.'!W$5:W$3360,"Amphibious Warfare Ships",'J Book Items Cons.'!R$5:R$3360,"",'J Book Items Cons.'!N$5:N$3360,"&lt;&gt;")+SUMIFS('J Book Items Cons.'!L$5:L$3360,'J Book Items Cons.'!S$5:S$3360,"[PARENT]",'J Book Items Cons.'!E$5:E$3360,"&gt;1",'J Book Items Cons.'!U$5:U$3360,"USN",'J Book Items Cons.'!W$5:W$3360,"Amphibious Warfare Ships",'J Book Items Cons.'!R$5:R$3360,"",'J Book Items Cons.'!N$5:N$3360,"")</f>
        <v>1570183</v>
      </c>
      <c r="D36" s="16">
        <f>SUMIFS('J Book Items Cons.'!R$5:R$3360,'J Book Items Cons.'!S$5:S$3360,"",'J Book Items Cons.'!E$5:E$3360,"&gt;1",'J Book Items Cons.'!U$5:U$3360,"USN",'J Book Items Cons.'!W$5:W$3360,"Expeditionary &amp; Seabasing Ships",'J Book Items Cons.'!R$5:R$3360,"&lt;&gt;")+SUMIFS('J Book Items Cons.'!N$5:N$3360,'J Book Items Cons.'!S$5:S$3360,"",'J Book Items Cons.'!E$5:E$3360,"&gt;1",'J Book Items Cons.'!U$5:U$3360,"USN",'J Book Items Cons.'!W$5:W$3360,"Expeditionary &amp; Seabasing Ships",'J Book Items Cons.'!R$5:R$3360,"",'J Book Items Cons.'!N$5:N$3360,"&lt;&gt;")+SUMIFS('J Book Items Cons.'!L$5:L$3360,'J Book Items Cons.'!S$5:S$3360,"",'J Book Items Cons.'!E$5:E$3360,"&gt;1",'J Book Items Cons.'!U$5:U$3360,"USN",'J Book Items Cons.'!W$5:W$3360,"Expeditionary &amp; Seabasing Ships",'J Book Items Cons.'!R$5:R$3360,"",'J Book Items Cons.'!N$5:N$3360,"")+SUMIFS('J Book Items Cons.'!R$5:R$3360,'J Book Items Cons.'!S$5:S$3360,"[PARENT]",'J Book Items Cons.'!E$5:E$3360,"&gt;1",'J Book Items Cons.'!U$5:U$3360,"USN",'J Book Items Cons.'!W$5:W$3360,"Expeditionary &amp; Seabasing Ships",'J Book Items Cons.'!R$5:R$3360,"&lt;&gt;")+SUMIFS('J Book Items Cons.'!N$5:N$3360,'J Book Items Cons.'!S$5:S$3360,"[PARENT]",'J Book Items Cons.'!E$5:E$3360,"&gt;1",'J Book Items Cons.'!U$5:U$3360,"USN",'J Book Items Cons.'!W$5:W$3360,"Expeditionary &amp; Seabasing Ships",'J Book Items Cons.'!R$5:R$3360,"",'J Book Items Cons.'!N$5:N$3360,"&lt;&gt;")+SUMIFS('J Book Items Cons.'!L$5:L$3360,'J Book Items Cons.'!S$5:S$3360,"[PARENT]",'J Book Items Cons.'!E$5:E$3360,"&gt;1",'J Book Items Cons.'!U$5:U$3360,"USN",'J Book Items Cons.'!W$5:W$3360,"Expeditionary &amp; Seabasing Ships",'J Book Items Cons.'!R$5:R$3360,"",'J Book Items Cons.'!N$5:N$3360,"")</f>
        <v>61735</v>
      </c>
      <c r="E36" s="16">
        <f>SUMIFS('J Book Items Cons.'!R$5:R$3360,'J Book Items Cons.'!S$5:S$3360,"",'J Book Items Cons.'!E$5:E$3360,"&gt;1",'J Book Items Cons.'!U$5:U$3360,"MSC",'J Book Items Cons.'!W$5:W$3360,"Combat Logistics Ships",'J Book Items Cons.'!R$5:R$3360,"&lt;&gt;")+SUMIFS('J Book Items Cons.'!N$5:N$3360,'J Book Items Cons.'!S$5:S$3360,"",'J Book Items Cons.'!E$5:E$3360,"&gt;1",'J Book Items Cons.'!U$5:U$3360,"MSC",'J Book Items Cons.'!W$5:W$3360,"Combat Logistics Ships",'J Book Items Cons.'!R$5:R$3360,"",'J Book Items Cons.'!N$5:N$3360,"&lt;&gt;")+SUMIFS('J Book Items Cons.'!L$5:L$3360,'J Book Items Cons.'!S$5:S$3360,"",'J Book Items Cons.'!E$5:E$3360,"&gt;1",'J Book Items Cons.'!U$5:U$3360,"MSC",'J Book Items Cons.'!W$5:W$3360,"Combat Logistics Ships",'J Book Items Cons.'!R$5:R$3360,"",'J Book Items Cons.'!N$5:N$3360,"")+SUMIFS('J Book Items Cons.'!R$5:R$3360,'J Book Items Cons.'!S$5:S$3360,"[PARENT]",'J Book Items Cons.'!E$5:E$3360,"&gt;1",'J Book Items Cons.'!U$5:U$3360,"MSC",'J Book Items Cons.'!W$5:W$3360,"Combat Logistics Ships",'J Book Items Cons.'!R$5:R$3360,"&lt;&gt;")+SUMIFS('J Book Items Cons.'!N$5:N$3360,'J Book Items Cons.'!S$5:S$3360,"[PARENT]",'J Book Items Cons.'!E$5:E$3360,"&gt;1",'J Book Items Cons.'!U$5:U$3360,"MSC",'J Book Items Cons.'!W$5:W$3360,"Combat Logistics Ships",'J Book Items Cons.'!R$5:R$3360,"",'J Book Items Cons.'!N$5:N$3360,"&lt;&gt;")+SUMIFS('J Book Items Cons.'!L$5:L$3360,'J Book Items Cons.'!S$5:S$3360,"[PARENT]",'J Book Items Cons.'!E$5:E$3360,"&gt;1",'J Book Items Cons.'!U$5:U$3360,"MSC",'J Book Items Cons.'!W$5:W$3360,"Combat Logistics Ships",'J Book Items Cons.'!R$5:R$3360,"",'J Book Items Cons.'!N$5:N$3360,"")</f>
        <v>0</v>
      </c>
      <c r="F36" s="16">
        <f>SUMIFS('J Book Items Cons.'!R$5:R$3360,'J Book Items Cons.'!S$5:S$3360,"",'J Book Items Cons.'!E$5:E$3360,"&gt;1",'J Book Items Cons.'!U$5:U$3360,"USN",'J Book Items Cons.'!W$5:W$3360,"Unmanned Surface Vehicles",'J Book Items Cons.'!R$5:R$3360,"&lt;&gt;")+SUMIFS('J Book Items Cons.'!N$5:N$3360,'J Book Items Cons.'!S$5:S$3360,"",'J Book Items Cons.'!E$5:E$3360,"&gt;1",'J Book Items Cons.'!U$5:U$3360,"USN",'J Book Items Cons.'!W$5:W$3360,"Unmanned Surface Vehicles",'J Book Items Cons.'!R$5:R$3360,"",'J Book Items Cons.'!N$5:N$3360,"&lt;&gt;")+SUMIFS('J Book Items Cons.'!L$5:L$3360,'J Book Items Cons.'!S$5:S$3360,"",'J Book Items Cons.'!E$5:E$3360,"&gt;1",'J Book Items Cons.'!U$5:U$3360,"USN",'J Book Items Cons.'!W$5:W$3360,"Unmanned Surface Vehicles",'J Book Items Cons.'!R$5:R$3360,"",'J Book Items Cons.'!N$5:N$3360,"")+SUMIFS('J Book Items Cons.'!R$5:R$3360,'J Book Items Cons.'!S$5:S$3360,"[PARENT]",'J Book Items Cons.'!E$5:E$3360,"&gt;1",'J Book Items Cons.'!U$5:U$3360,"USN",'J Book Items Cons.'!W$5:W$3360,"Unmanned Surface Vehicles",'J Book Items Cons.'!R$5:R$3360,"&lt;&gt;")+SUMIFS('J Book Items Cons.'!N$5:N$3360,'J Book Items Cons.'!S$5:S$3360,"[PARENT]",'J Book Items Cons.'!E$5:E$3360,"&gt;1",'J Book Items Cons.'!U$5:U$3360,"USN",'J Book Items Cons.'!W$5:W$3360,"Unmanned Surface Vehicles",'J Book Items Cons.'!R$5:R$3360,"",'J Book Items Cons.'!N$5:N$3360,"&lt;&gt;")+SUMIFS('J Book Items Cons.'!L$5:L$3360,'J Book Items Cons.'!S$5:S$3360,"[PARENT]",'J Book Items Cons.'!E$5:E$3360,"&gt;1",'J Book Items Cons.'!U$5:U$3360,"USN",'J Book Items Cons.'!W$5:W$3360,"Unmanned Surface Vehicles",'J Book Items Cons.'!R$5:R$3360,"",'J Book Items Cons.'!N$5:N$3360,"")</f>
        <v>0</v>
      </c>
      <c r="G36" s="16">
        <f>SUMIFS('J Book Items Cons.'!R$5:R$3360,'J Book Items Cons.'!S$5:S$3360,"",'J Book Items Cons.'!E$5:E$3360,"&gt;1",'J Book Items Cons.'!U$5:U$3360,"USN",'J Book Items Cons.'!W$5:W$3360,"Amphibious Warfare Craft",'J Book Items Cons.'!R$5:R$3360,"&lt;&gt;")+SUMIFS('J Book Items Cons.'!N$5:N$3360,'J Book Items Cons.'!S$5:S$3360,"",'J Book Items Cons.'!E$5:E$3360,"&gt;1",'J Book Items Cons.'!U$5:U$3360,"USN",'J Book Items Cons.'!W$5:W$3360,"Amphibious Warfare Craft",'J Book Items Cons.'!R$5:R$3360,"",'J Book Items Cons.'!N$5:N$3360,"&lt;&gt;")+SUMIFS('J Book Items Cons.'!L$5:L$3360,'J Book Items Cons.'!S$5:S$3360,"",'J Book Items Cons.'!E$5:E$3360,"&gt;1",'J Book Items Cons.'!U$5:U$3360,"USN",'J Book Items Cons.'!W$5:W$3360,"Amphibious Warfare Craft",'J Book Items Cons.'!R$5:R$3360,"",'J Book Items Cons.'!N$5:N$3360,"")+SUMIFS('J Book Items Cons.'!R$5:R$3360,'J Book Items Cons.'!S$5:S$3360,"[PARENT]",'J Book Items Cons.'!E$5:E$3360,"&gt;1",'J Book Items Cons.'!U$5:U$3360,"USN",'J Book Items Cons.'!W$5:W$3360,"Amphibious Warfare Craft",'J Book Items Cons.'!R$5:R$3360,"&lt;&gt;")+SUMIFS('J Book Items Cons.'!N$5:N$3360,'J Book Items Cons.'!S$5:S$3360,"[PARENT]",'J Book Items Cons.'!E$5:E$3360,"&gt;1",'J Book Items Cons.'!U$5:U$3360,"USN",'J Book Items Cons.'!W$5:W$3360,"Amphibious Warfare Craft",'J Book Items Cons.'!R$5:R$3360,"",'J Book Items Cons.'!N$5:N$3360,"&lt;&gt;")+SUMIFS('J Book Items Cons.'!L$5:L$3360,'J Book Items Cons.'!S$5:S$3360,"[PARENT]",'J Book Items Cons.'!E$5:E$3360,"&gt;1",'J Book Items Cons.'!U$5:U$3360,"USN",'J Book Items Cons.'!W$5:W$3360,"Amphibious Warfare Craft",'J Book Items Cons.'!R$5:R$3360,"",'J Book Items Cons.'!N$5:N$3360,"")</f>
        <v>67286</v>
      </c>
      <c r="H36" s="16">
        <f>SUMIFS('J Book Items Cons.'!R$5:R$3360,'J Book Items Cons.'!S$5:S$3360,"",'J Book Items Cons.'!E$5:E$3360,"&gt;1",'J Book Items Cons.'!U$5:U$3360,"MSC",'J Book Items Cons.'!W$5:W$3360,"Cargo &amp; Vehicle Cargo Ships",'J Book Items Cons.'!R$5:R$3360,"&lt;&gt;")+SUMIFS('J Book Items Cons.'!N$5:N$3360,'J Book Items Cons.'!S$5:S$3360,"",'J Book Items Cons.'!E$5:E$3360,"&gt;1",'J Book Items Cons.'!U$5:U$3360,"MSC",'J Book Items Cons.'!W$5:W$3360,"Cargo &amp; Vehicle Cargo Ships",'J Book Items Cons.'!R$5:R$3360,"",'J Book Items Cons.'!N$5:N$3360,"&lt;&gt;")+SUMIFS('J Book Items Cons.'!L$5:L$3360,'J Book Items Cons.'!S$5:S$3360,"",'J Book Items Cons.'!E$5:E$3360,"&gt;1",'J Book Items Cons.'!U$5:U$3360,"MSC",'J Book Items Cons.'!W$5:W$3360,"Cargo &amp; Vehicle Cargo Ships",'J Book Items Cons.'!R$5:R$3360,"",'J Book Items Cons.'!N$5:N$3360,"")+SUMIFS('J Book Items Cons.'!R$5:R$3360,'J Book Items Cons.'!S$5:S$3360,"[PARENT]",'J Book Items Cons.'!E$5:E$3360,"&gt;1",'J Book Items Cons.'!U$5:U$3360,"MSC",'J Book Items Cons.'!W$5:W$3360,"Cargo &amp; Vehicle Cargo Ships",'J Book Items Cons.'!R$5:R$3360,"&lt;&gt;")+SUMIFS('J Book Items Cons.'!N$5:N$3360,'J Book Items Cons.'!S$5:S$3360,"[PARENT]",'J Book Items Cons.'!E$5:E$3360,"&gt;1",'J Book Items Cons.'!U$5:U$3360,"MSC",'J Book Items Cons.'!W$5:W$3360,"Cargo &amp; Vehicle Cargo Ships",'J Book Items Cons.'!R$5:R$3360,"",'J Book Items Cons.'!N$5:N$3360,"&lt;&gt;")+SUMIFS('J Book Items Cons.'!L$5:L$3360,'J Book Items Cons.'!S$5:S$3360,"[PARENT]",'J Book Items Cons.'!E$5:E$3360,"&gt;1",'J Book Items Cons.'!U$5:U$3360,"MSC",'J Book Items Cons.'!W$5:W$3360,"Cargo &amp; Vehicle Cargo Ships",'J Book Items Cons.'!R$5:R$3360,"",'J Book Items Cons.'!N$5:N$3360,"")</f>
        <v>0</v>
      </c>
      <c r="I36" s="16">
        <f>SUMIFS('J Book Items Cons.'!R$5:R$3360,'J Book Items Cons.'!S$5:S$3360,"",'J Book Items Cons.'!E$5:E$3360,"&gt;1",'J Book Items Cons.'!U$5:U$3360,"MSC",'J Book Items Cons.'!W$5:W$3360,"Surveillance Ships",'J Book Items Cons.'!R$5:R$3360,"&lt;&gt;")+SUMIFS('J Book Items Cons.'!N$5:N$3360,'J Book Items Cons.'!S$5:S$3360,"",'J Book Items Cons.'!E$5:E$3360,"&gt;1",'J Book Items Cons.'!U$5:U$3360,"MSC",'J Book Items Cons.'!W$5:W$3360,"Surveillance Ships",'J Book Items Cons.'!R$5:R$3360,"",'J Book Items Cons.'!N$5:N$3360,"&lt;&gt;")+SUMIFS('J Book Items Cons.'!L$5:L$3360,'J Book Items Cons.'!S$5:S$3360,"",'J Book Items Cons.'!E$5:E$3360,"&gt;1",'J Book Items Cons.'!U$5:U$3360,"MSC",'J Book Items Cons.'!W$5:W$3360,"Surveillance Ships",'J Book Items Cons.'!R$5:R$3360,"",'J Book Items Cons.'!N$5:N$3360,"")+SUMIFS('J Book Items Cons.'!R$5:R$3360,'J Book Items Cons.'!S$5:S$3360,"[PARENT]",'J Book Items Cons.'!E$5:E$3360,"&gt;1",'J Book Items Cons.'!U$5:U$3360,"MSC",'J Book Items Cons.'!W$5:W$3360,"Surveillance Ships",'J Book Items Cons.'!R$5:R$3360,"&lt;&gt;")+SUMIFS('J Book Items Cons.'!N$5:N$3360,'J Book Items Cons.'!S$5:S$3360,"[PARENT]",'J Book Items Cons.'!E$5:E$3360,"&gt;1",'J Book Items Cons.'!U$5:U$3360,"MSC",'J Book Items Cons.'!W$5:W$3360,"Surveillance Ships",'J Book Items Cons.'!R$5:R$3360,"",'J Book Items Cons.'!N$5:N$3360,"&lt;&gt;")+SUMIFS('J Book Items Cons.'!L$5:L$3360,'J Book Items Cons.'!S$5:S$3360,"[PARENT]",'J Book Items Cons.'!E$5:E$3360,"&gt;1",'J Book Items Cons.'!U$5:U$3360,"MSC",'J Book Items Cons.'!W$5:W$3360,"Surveillance Ships",'J Book Items Cons.'!R$5:R$3360,"",'J Book Items Cons.'!N$5:N$3360,"")</f>
        <v>31169</v>
      </c>
      <c r="J36" s="16">
        <f>SUMIFS('J Book Items Cons.'!R$5:R$3360,'J Book Items Cons.'!S$5:S$3360,"",'J Book Items Cons.'!E$5:E$3360,"&gt;1",'J Book Items Cons.'!U$5:U$3360,"USN",'J Book Items Cons.'!W$5:W$3360,"Command Ships",'J Book Items Cons.'!R$5:R$3360,"&lt;&gt;")+SUMIFS('J Book Items Cons.'!N$5:N$3360,'J Book Items Cons.'!S$5:S$3360,"",'J Book Items Cons.'!E$5:E$3360,"&gt;1",'J Book Items Cons.'!U$5:U$3360,"USN",'J Book Items Cons.'!W$5:W$3360,"Command Ships",'J Book Items Cons.'!R$5:R$3360,"",'J Book Items Cons.'!N$5:N$3360,"&lt;&gt;")+SUMIFS('J Book Items Cons.'!L$5:L$3360,'J Book Items Cons.'!S$5:S$3360,"",'J Book Items Cons.'!E$5:E$3360,"&gt;1",'J Book Items Cons.'!U$5:U$3360,"USN",'J Book Items Cons.'!W$5:W$3360,"Command Ships",'J Book Items Cons.'!R$5:R$3360,"",'J Book Items Cons.'!N$5:N$3360,"")+SUMIFS('J Book Items Cons.'!R$5:R$3360,'J Book Items Cons.'!S$5:S$3360,"[PARENT]",'J Book Items Cons.'!E$5:E$3360,"&gt;1",'J Book Items Cons.'!U$5:U$3360,"USN",'J Book Items Cons.'!W$5:W$3360,"Command Ships",'J Book Items Cons.'!R$5:R$3360,"&lt;&gt;")+SUMIFS('J Book Items Cons.'!N$5:N$3360,'J Book Items Cons.'!S$5:S$3360,"[PARENT]",'J Book Items Cons.'!E$5:E$3360,"&gt;1",'J Book Items Cons.'!U$5:U$3360,"USN",'J Book Items Cons.'!W$5:W$3360,"Command Ships",'J Book Items Cons.'!R$5:R$3360,"",'J Book Items Cons.'!N$5:N$3360,"&lt;&gt;")+SUMIFS('J Book Items Cons.'!L$5:L$3360,'J Book Items Cons.'!S$5:S$3360,"[PARENT]",'J Book Items Cons.'!E$5:E$3360,"&gt;1",'J Book Items Cons.'!U$5:U$3360,"USN",'J Book Items Cons.'!W$5:W$3360,"Command Ships",'J Book Items Cons.'!R$5:R$3360,"",'J Book Items Cons.'!N$5:N$3360,"")</f>
        <v>41448</v>
      </c>
      <c r="K36" s="29">
        <f>SUMIFS('J Book Items Cons.'!R$5:R$3360,'J Book Items Cons.'!S$5:S$3360,"",'J Book Items Cons.'!E$5:E$3360,"&gt;1",'J Book Items Cons.'!U$5:U$3360,"USN",'J Book Items Cons.'!W$5:W$3360,"Mine Warfare",'J Book Items Cons.'!R$5:R$3360,"&lt;&gt;")+SUMIFS('J Book Items Cons.'!N$5:N$3360,'J Book Items Cons.'!S$5:S$3360,"",'J Book Items Cons.'!E$5:E$3360,"&gt;1",'J Book Items Cons.'!U$5:U$3360,"USN",'J Book Items Cons.'!W$5:W$3360,"Mine Warfare",'J Book Items Cons.'!R$5:R$3360,"",'J Book Items Cons.'!N$5:N$3360,"&lt;&gt;")+SUMIFS('J Book Items Cons.'!L$5:L$3360,'J Book Items Cons.'!S$5:S$3360,"",'J Book Items Cons.'!E$5:E$3360,"&gt;1",'J Book Items Cons.'!U$5:U$3360,"USN",'J Book Items Cons.'!W$5:W$3360,"Mine Warfare",'J Book Items Cons.'!R$5:R$3360,"",'J Book Items Cons.'!N$5:N$3360,"")+SUMIFS('J Book Items Cons.'!R$5:R$3360,'J Book Items Cons.'!S$5:S$3360,"[PARENT]",'J Book Items Cons.'!E$5:E$3360,"&gt;1",'J Book Items Cons.'!U$5:U$3360,"USN",'J Book Items Cons.'!W$5:W$3360,"Mine Warfare",'J Book Items Cons.'!R$5:R$3360,"&lt;&gt;")+SUMIFS('J Book Items Cons.'!N$5:N$3360,'J Book Items Cons.'!S$5:S$3360,"[PARENT]",'J Book Items Cons.'!E$5:E$3360,"&gt;1",'J Book Items Cons.'!U$5:U$3360,"USN",'J Book Items Cons.'!W$5:W$3360,"Mine Warfare",'J Book Items Cons.'!R$5:R$3360,"",'J Book Items Cons.'!N$5:N$3360,"&lt;&gt;")+SUMIFS('J Book Items Cons.'!L$5:L$3360,'J Book Items Cons.'!S$5:S$3360,"[PARENT]",'J Book Items Cons.'!E$5:E$3360,"&gt;1",'J Book Items Cons.'!U$5:U$3360,"USN",'J Book Items Cons.'!W$5:W$3360,"Mine Warfare",'J Book Items Cons.'!R$5:R$3360,"",'J Book Items Cons.'!N$5:N$3360,"")</f>
        <v>24349</v>
      </c>
      <c r="L36" s="28">
        <f>SUMIFS('J Book Items Cons.'!R$5:R$3360,'J Book Items Cons.'!S$5:S$3360,"",'J Book Items Cons.'!E$5:E$3360,"&gt;1",'J Book Items Cons.'!U$5:U$3360,"USCG",'J Book Items Cons.'!W$5:W$3360,"Offshore Patrol Cutter",'J Book Items Cons.'!R$5:R$3360,"&lt;&gt;")+SUMIFS('J Book Items Cons.'!N$5:N$3360,'J Book Items Cons.'!S$5:S$3360,"",'J Book Items Cons.'!E$5:E$3360,"&gt;1",'J Book Items Cons.'!U$5:U$3360,"USCG",'J Book Items Cons.'!W$5:W$3360,"Offshore Patrol Cutter",'J Book Items Cons.'!R$5:R$3360,"",'J Book Items Cons.'!N$5:N$3360,"&lt;&gt;")+SUMIFS('J Book Items Cons.'!L$5:L$3360,'J Book Items Cons.'!S$5:S$3360,"",'J Book Items Cons.'!E$5:E$3360,"&gt;1",'J Book Items Cons.'!U$5:U$3360,"USCG",'J Book Items Cons.'!W$5:W$3360,"Offshore Patrol Cutter",'J Book Items Cons.'!R$5:R$3360,"",'J Book Items Cons.'!N$5:N$3360,"")+SUMIFS('J Book Items Cons.'!R$5:R$3360,'J Book Items Cons.'!S$5:S$3360,"[PARENT]",'J Book Items Cons.'!E$5:E$3360,"&gt;1",'J Book Items Cons.'!U$5:U$3360,"USCG",'J Book Items Cons.'!W$5:W$3360,"Offshore Patrol Cutter",'J Book Items Cons.'!R$5:R$3360,"&lt;&gt;")+SUMIFS('J Book Items Cons.'!N$5:N$3360,'J Book Items Cons.'!S$5:S$3360,"[PARENT]",'J Book Items Cons.'!E$5:E$3360,"&gt;1",'J Book Items Cons.'!U$5:U$3360,"USCG",'J Book Items Cons.'!W$5:W$3360,"Offshore Patrol Cutter",'J Book Items Cons.'!R$5:R$3360,"",'J Book Items Cons.'!N$5:N$3360,"&lt;&gt;")+SUMIFS('J Book Items Cons.'!L$5:L$3360,'J Book Items Cons.'!S$5:S$3360,"[PARENT]",'J Book Items Cons.'!E$5:E$3360,"&gt;1",'J Book Items Cons.'!U$5:U$3360,"USCG",'J Book Items Cons.'!W$5:W$3360,"Offshore Patrol Cutter",'J Book Items Cons.'!R$5:R$3360,"",'J Book Items Cons.'!N$5:N$3360,"")</f>
        <v>0</v>
      </c>
      <c r="M36" s="16">
        <f>SUMIFS('J Book Items Cons.'!R$5:R$3360,'J Book Items Cons.'!S$5:S$3360,"",'J Book Items Cons.'!E$5:E$3360,"&gt;1",'J Book Items Cons.'!U$5:U$3360,"USCG",'J Book Items Cons.'!W$5:W$3360,"Fast Response Cutters",'J Book Items Cons.'!R$5:R$3360,"&lt;&gt;")+SUMIFS('J Book Items Cons.'!N$5:N$3360,'J Book Items Cons.'!S$5:S$3360,"",'J Book Items Cons.'!E$5:E$3360,"&gt;1",'J Book Items Cons.'!U$5:U$3360,"USCG",'J Book Items Cons.'!W$5:W$3360,"Fast Response Cutters",'J Book Items Cons.'!R$5:R$3360,"",'J Book Items Cons.'!N$5:N$3360,"&lt;&gt;")+SUMIFS('J Book Items Cons.'!L$5:L$3360,'J Book Items Cons.'!S$5:S$3360,"",'J Book Items Cons.'!E$5:E$3360,"&gt;1",'J Book Items Cons.'!U$5:U$3360,"USCG",'J Book Items Cons.'!W$5:W$3360,"Fast Response Cutters",'J Book Items Cons.'!R$5:R$3360,"",'J Book Items Cons.'!N$5:N$3360,"")+SUMIFS('J Book Items Cons.'!R$5:R$3360,'J Book Items Cons.'!S$5:S$3360,"[PARENT]",'J Book Items Cons.'!E$5:E$3360,"&gt;1",'J Book Items Cons.'!U$5:U$3360,"USCG",'J Book Items Cons.'!W$5:W$3360,"Fast Response Cutters",'J Book Items Cons.'!R$5:R$3360,"&lt;&gt;")+SUMIFS('J Book Items Cons.'!N$5:N$3360,'J Book Items Cons.'!S$5:S$3360,"[PARENT]",'J Book Items Cons.'!E$5:E$3360,"&gt;1",'J Book Items Cons.'!U$5:U$3360,"USCG",'J Book Items Cons.'!W$5:W$3360,"Fast Response Cutters",'J Book Items Cons.'!R$5:R$3360,"",'J Book Items Cons.'!N$5:N$3360,"&lt;&gt;")+SUMIFS('J Book Items Cons.'!L$5:L$3360,'J Book Items Cons.'!S$5:S$3360,"[PARENT]",'J Book Items Cons.'!E$5:E$3360,"&gt;1",'J Book Items Cons.'!U$5:U$3360,"USCG",'J Book Items Cons.'!W$5:W$3360,"Fast Response Cutters",'J Book Items Cons.'!R$5:R$3360,"",'J Book Items Cons.'!N$5:N$3360,"")</f>
        <v>0</v>
      </c>
      <c r="N36" s="16">
        <f>SUMIFS('J Book Items Cons.'!R$5:R$3360,'J Book Items Cons.'!S$5:S$3360,"",'J Book Items Cons.'!E$5:E$3360,"&gt;1",'J Book Items Cons.'!U$5:U$3360,"USCG",'J Book Items Cons.'!W$5:W$3360,"Icebreakers, Oceangoing",'J Book Items Cons.'!R$5:R$3360,"&lt;&gt;")+SUMIFS('J Book Items Cons.'!N$5:N$3360,'J Book Items Cons.'!S$5:S$3360,"",'J Book Items Cons.'!E$5:E$3360,"&gt;1",'J Book Items Cons.'!U$5:U$3360,"USCG",'J Book Items Cons.'!W$5:W$3360,"Icebreakers, Oceangoing",'J Book Items Cons.'!R$5:R$3360,"",'J Book Items Cons.'!N$5:N$3360,"&lt;&gt;")+SUMIFS('J Book Items Cons.'!L$5:L$3360,'J Book Items Cons.'!S$5:S$3360,"",'J Book Items Cons.'!E$5:E$3360,"&gt;1",'J Book Items Cons.'!U$5:U$3360,"USCG",'J Book Items Cons.'!W$5:W$3360,"Icebreakers, Oceangoing",'J Book Items Cons.'!R$5:R$3360,"",'J Book Items Cons.'!N$5:N$3360,"")+SUMIFS('J Book Items Cons.'!R$5:R$3360,'J Book Items Cons.'!S$5:S$3360,"[PARENT]",'J Book Items Cons.'!E$5:E$3360,"&gt;1",'J Book Items Cons.'!U$5:U$3360,"USCG",'J Book Items Cons.'!W$5:W$3360,"Icebreakers, Oceangoing",'J Book Items Cons.'!R$5:R$3360,"&lt;&gt;")+SUMIFS('J Book Items Cons.'!N$5:N$3360,'J Book Items Cons.'!S$5:S$3360,"[PARENT]",'J Book Items Cons.'!E$5:E$3360,"&gt;1",'J Book Items Cons.'!U$5:U$3360,"USCG",'J Book Items Cons.'!W$5:W$3360,"Icebreakers, Oceangoing",'J Book Items Cons.'!R$5:R$3360,"",'J Book Items Cons.'!N$5:N$3360,"&lt;&gt;")+SUMIFS('J Book Items Cons.'!L$5:L$3360,'J Book Items Cons.'!S$5:S$3360,"[PARENT]",'J Book Items Cons.'!E$5:E$3360,"&gt;1",'J Book Items Cons.'!U$5:U$3360,"USCG",'J Book Items Cons.'!W$5:W$3360,"Icebreakers, Oceangoing",'J Book Items Cons.'!R$5:R$3360,"",'J Book Items Cons.'!N$5:N$3360,"")</f>
        <v>0</v>
      </c>
      <c r="O36" s="16">
        <f>SUMIFS('J Book Items Cons.'!R$5:R$3360,'J Book Items Cons.'!S$5:S$3360,"",'J Book Items Cons.'!E$5:E$3360,"&gt;1",'J Book Items Cons.'!U$5:U$3360,"USCG",'J Book Items Cons.'!W$5:W$3360,"Waterways Commerce Cutters",'J Book Items Cons.'!R$5:R$3360,"&lt;&gt;")+SUMIFS('J Book Items Cons.'!N$5:N$3360,'J Book Items Cons.'!S$5:S$3360,"",'J Book Items Cons.'!E$5:E$3360,"&gt;1",'J Book Items Cons.'!U$5:U$3360,"USCG",'J Book Items Cons.'!W$5:W$3360,"Waterways Commerce Cutters",'J Book Items Cons.'!R$5:R$3360,"",'J Book Items Cons.'!N$5:N$3360,"&lt;&gt;")+SUMIFS('J Book Items Cons.'!L$5:L$3360,'J Book Items Cons.'!S$5:S$3360,"",'J Book Items Cons.'!E$5:E$3360,"&gt;1",'J Book Items Cons.'!U$5:U$3360,"USCG",'J Book Items Cons.'!W$5:W$3360,"Waterways Commerce Cutters",'J Book Items Cons.'!R$5:R$3360,"",'J Book Items Cons.'!N$5:N$3360,"")+SUMIFS('J Book Items Cons.'!R$5:R$3360,'J Book Items Cons.'!S$5:S$3360,"[PARENT]",'J Book Items Cons.'!E$5:E$3360,"&gt;1",'J Book Items Cons.'!U$5:U$3360,"USCG",'J Book Items Cons.'!W$5:W$3360,"Waterways Commerce Cutters",'J Book Items Cons.'!R$5:R$3360,"&lt;&gt;")+SUMIFS('J Book Items Cons.'!N$5:N$3360,'J Book Items Cons.'!S$5:S$3360,"[PARENT]",'J Book Items Cons.'!E$5:E$3360,"&gt;1",'J Book Items Cons.'!U$5:U$3360,"USCG",'J Book Items Cons.'!W$5:W$3360,"Waterways Commerce Cutters",'J Book Items Cons.'!R$5:R$3360,"",'J Book Items Cons.'!N$5:N$3360,"&lt;&gt;")+SUMIFS('J Book Items Cons.'!L$5:L$3360,'J Book Items Cons.'!S$5:S$3360,"[PARENT]",'J Book Items Cons.'!E$5:E$3360,"&gt;1",'J Book Items Cons.'!U$5:U$3360,"USCG",'J Book Items Cons.'!W$5:W$3360,"Waterways Commerce Cutters",'J Book Items Cons.'!R$5:R$3360,"",'J Book Items Cons.'!N$5:N$3360,"")</f>
        <v>0</v>
      </c>
      <c r="P36" s="29">
        <f>SUMIFS('J Book Items Cons.'!R$5:R$3360,'J Book Items Cons.'!S$5:S$3360,"",'J Book Items Cons.'!E$5:E$3360,"&gt;1",'J Book Items Cons.'!U$5:U$3360,"USCG",'J Book Items Cons.'!W$5:W$3360,"National Security Cutters",'J Book Items Cons.'!R$5:R$3360,"&lt;&gt;")+SUMIFS('J Book Items Cons.'!N$5:N$3360,'J Book Items Cons.'!S$5:S$3360,"",'J Book Items Cons.'!E$5:E$3360,"&gt;1",'J Book Items Cons.'!U$5:U$3360,"USCG",'J Book Items Cons.'!W$5:W$3360,"National Security Cutters",'J Book Items Cons.'!R$5:R$3360,"",'J Book Items Cons.'!N$5:N$3360,"&lt;&gt;")+SUMIFS('J Book Items Cons.'!L$5:L$3360,'J Book Items Cons.'!S$5:S$3360,"",'J Book Items Cons.'!E$5:E$3360,"&gt;1",'J Book Items Cons.'!U$5:U$3360,"USCG",'J Book Items Cons.'!W$5:W$3360,"National Security Cutters",'J Book Items Cons.'!R$5:R$3360,"",'J Book Items Cons.'!N$5:N$3360,"")+SUMIFS('J Book Items Cons.'!R$5:R$3360,'J Book Items Cons.'!S$5:S$3360,"[PARENT]",'J Book Items Cons.'!E$5:E$3360,"&gt;1",'J Book Items Cons.'!U$5:U$3360,"USCG",'J Book Items Cons.'!W$5:W$3360,"National Security Cutters",'J Book Items Cons.'!R$5:R$3360,"&lt;&gt;")+SUMIFS('J Book Items Cons.'!N$5:N$3360,'J Book Items Cons.'!S$5:S$3360,"[PARENT]",'J Book Items Cons.'!E$5:E$3360,"&gt;1",'J Book Items Cons.'!U$5:U$3360,"USCG",'J Book Items Cons.'!W$5:W$3360,"National Security Cutters",'J Book Items Cons.'!R$5:R$3360,"",'J Book Items Cons.'!N$5:N$3360,"&lt;&gt;")+SUMIFS('J Book Items Cons.'!L$5:L$3360,'J Book Items Cons.'!S$5:S$3360,"[PARENT]",'J Book Items Cons.'!E$5:E$3360,"&gt;1",'J Book Items Cons.'!U$5:U$3360,"USCG",'J Book Items Cons.'!W$5:W$3360,"National Security Cutters",'J Book Items Cons.'!R$5:R$3360,"",'J Book Items Cons.'!N$5:N$3360,"")</f>
        <v>31000</v>
      </c>
      <c r="Q36" s="16">
        <f>SUM(B36:P36)</f>
        <v>7959091</v>
      </c>
    </row>
    <row r="37" spans="1:17" ht="9.75" customHeight="1" x14ac:dyDescent="0.15">
      <c r="I37" s="70"/>
      <c r="J37" s="70"/>
      <c r="K37" s="70"/>
      <c r="L37" s="70"/>
      <c r="M37" s="70"/>
      <c r="N37" s="70"/>
      <c r="O37" s="71"/>
      <c r="P37" s="71"/>
      <c r="Q37" s="71"/>
    </row>
    <row r="38" spans="1:17" ht="9.75" customHeight="1" x14ac:dyDescent="0.15">
      <c r="I38" s="70"/>
      <c r="J38" s="70"/>
      <c r="K38" s="70"/>
      <c r="L38" s="70"/>
      <c r="M38" s="70"/>
      <c r="N38" s="70"/>
      <c r="O38" s="71"/>
      <c r="P38" s="71"/>
      <c r="Q38" s="71"/>
    </row>
    <row r="39" spans="1:17" ht="9.75" customHeight="1" x14ac:dyDescent="0.15">
      <c r="I39" s="70"/>
      <c r="J39" s="70"/>
      <c r="K39" s="70"/>
      <c r="L39" s="70"/>
      <c r="M39" s="70"/>
      <c r="N39" s="70"/>
      <c r="O39" s="71"/>
      <c r="P39" s="71"/>
      <c r="Q39" s="71"/>
    </row>
    <row r="40" spans="1:17" ht="9.75" customHeight="1" x14ac:dyDescent="0.15">
      <c r="I40" s="68"/>
      <c r="J40" s="68"/>
      <c r="K40" s="68"/>
      <c r="L40" s="68"/>
      <c r="M40" s="68"/>
      <c r="N40" s="68"/>
      <c r="O40" s="69"/>
      <c r="P40" s="69"/>
      <c r="Q40" s="69"/>
    </row>
    <row r="41" spans="1:17" ht="9.75" customHeight="1" x14ac:dyDescent="0.15">
      <c r="I41" s="71"/>
      <c r="J41" s="71"/>
      <c r="K41" s="71"/>
      <c r="L41" s="71"/>
      <c r="M41" s="71"/>
      <c r="N41" s="71"/>
      <c r="O41" s="71"/>
      <c r="P41" s="71"/>
      <c r="Q41" s="71"/>
    </row>
    <row r="42" spans="1:17" ht="9.75" customHeight="1" x14ac:dyDescent="0.15">
      <c r="I42" s="71"/>
      <c r="J42" s="71"/>
      <c r="K42" s="71"/>
      <c r="L42" s="71"/>
      <c r="M42" s="71"/>
      <c r="N42" s="71"/>
      <c r="O42" s="71"/>
      <c r="P42" s="71"/>
      <c r="Q42" s="71"/>
    </row>
    <row r="43" spans="1:17" ht="9.75" customHeight="1" x14ac:dyDescent="0.15">
      <c r="I43" s="71"/>
      <c r="J43" s="71"/>
      <c r="K43" s="71"/>
      <c r="L43" s="71"/>
      <c r="M43" s="71"/>
      <c r="N43" s="71"/>
      <c r="O43" s="71"/>
      <c r="P43" s="71"/>
      <c r="Q43" s="71"/>
    </row>
    <row r="44" spans="1:17" ht="9.75" customHeight="1" x14ac:dyDescent="0.15">
      <c r="I44" s="71"/>
      <c r="J44" s="71"/>
      <c r="K44" s="71"/>
      <c r="L44" s="71"/>
      <c r="M44" s="71"/>
      <c r="N44" s="71"/>
      <c r="O44" s="71"/>
      <c r="P44" s="71"/>
      <c r="Q44" s="71"/>
    </row>
    <row r="45" spans="1:17" ht="9.75" customHeight="1" x14ac:dyDescent="0.15">
      <c r="I45" s="71"/>
      <c r="J45" s="71"/>
      <c r="K45" s="71"/>
      <c r="L45" s="71"/>
      <c r="M45" s="71"/>
      <c r="N45" s="71"/>
      <c r="O45" s="71"/>
      <c r="P45" s="71"/>
      <c r="Q45" s="71"/>
    </row>
    <row r="46" spans="1:17" ht="9.75" customHeight="1" x14ac:dyDescent="0.15">
      <c r="I46" s="71"/>
      <c r="J46" s="71"/>
      <c r="K46" s="71"/>
      <c r="L46" s="71"/>
      <c r="M46" s="71"/>
      <c r="N46" s="71"/>
      <c r="O46" s="71"/>
      <c r="P46" s="71"/>
      <c r="Q46" s="71"/>
    </row>
    <row r="47" spans="1:17" ht="9.75" customHeight="1" x14ac:dyDescent="0.15">
      <c r="I47" s="71"/>
      <c r="J47" s="71"/>
      <c r="K47" s="71"/>
      <c r="L47" s="71"/>
      <c r="M47" s="71"/>
      <c r="N47" s="71"/>
      <c r="O47" s="71"/>
      <c r="P47" s="71"/>
      <c r="Q47" s="71"/>
    </row>
    <row r="48" spans="1:17" ht="9.75" customHeight="1" x14ac:dyDescent="0.15"/>
    <row r="49" ht="9.75" customHeight="1" x14ac:dyDescent="0.15"/>
    <row r="50" ht="9.75" customHeight="1" x14ac:dyDescent="0.15"/>
    <row r="51" ht="9.75" customHeight="1" x14ac:dyDescent="0.15"/>
    <row r="52" ht="9.75" customHeight="1" x14ac:dyDescent="0.15"/>
    <row r="53" ht="9.75" customHeight="1" x14ac:dyDescent="0.15"/>
    <row r="54" ht="9.75" customHeight="1" x14ac:dyDescent="0.15"/>
    <row r="55" ht="9.75" customHeight="1" x14ac:dyDescent="0.15"/>
    <row r="56" ht="9.75" customHeight="1" x14ac:dyDescent="0.15"/>
    <row r="57" ht="9.75" customHeight="1" x14ac:dyDescent="0.15"/>
    <row r="58" ht="9.75" customHeight="1" x14ac:dyDescent="0.15"/>
    <row r="59" ht="9.75" customHeight="1" x14ac:dyDescent="0.15"/>
    <row r="60" ht="9.75" customHeight="1" x14ac:dyDescent="0.15"/>
    <row r="61" ht="9.75" customHeight="1" x14ac:dyDescent="0.15"/>
    <row r="62" ht="9.75" customHeight="1" x14ac:dyDescent="0.15"/>
    <row r="63" ht="9.75" customHeight="1" x14ac:dyDescent="0.15"/>
    <row r="64" ht="9.75" customHeight="1" x14ac:dyDescent="0.15"/>
    <row r="65" spans="9:10" ht="9.75" customHeight="1" x14ac:dyDescent="0.15"/>
    <row r="66" spans="9:10" ht="9.75" customHeight="1" x14ac:dyDescent="0.15"/>
    <row r="67" spans="9:10" ht="9.75" customHeight="1" x14ac:dyDescent="0.15"/>
    <row r="68" spans="9:10" ht="9.75" customHeight="1" x14ac:dyDescent="0.15"/>
    <row r="69" spans="9:10" ht="9.75" customHeight="1" x14ac:dyDescent="0.15"/>
    <row r="70" spans="9:10" ht="9.75" customHeight="1" x14ac:dyDescent="0.15"/>
    <row r="71" spans="9:10" ht="9.75" customHeight="1" x14ac:dyDescent="0.15">
      <c r="I71" s="71"/>
      <c r="J71" s="72"/>
    </row>
    <row r="72" spans="9:10" ht="9.75" customHeight="1" x14ac:dyDescent="0.15"/>
    <row r="73" spans="9:10" ht="9.75" customHeight="1" x14ac:dyDescent="0.15"/>
    <row r="74" spans="9:10" ht="9.75" customHeight="1" x14ac:dyDescent="0.15"/>
    <row r="75" spans="9:10" ht="9.75" customHeight="1" x14ac:dyDescent="0.15"/>
    <row r="76" spans="9:10" ht="9.75" customHeight="1" x14ac:dyDescent="0.15"/>
    <row r="77" spans="9:10" ht="9.75" customHeight="1" x14ac:dyDescent="0.15"/>
    <row r="78" spans="9:10" ht="9.75" customHeight="1" x14ac:dyDescent="0.15"/>
    <row r="79" spans="9:10" ht="9.75" customHeight="1" x14ac:dyDescent="0.15"/>
    <row r="80" spans="9:10" ht="9.75" customHeight="1" x14ac:dyDescent="0.15"/>
    <row r="81" ht="9.75" customHeight="1" x14ac:dyDescent="0.15"/>
    <row r="82" ht="9.75" customHeight="1" x14ac:dyDescent="0.15"/>
    <row r="83" ht="9.75" customHeight="1" x14ac:dyDescent="0.15"/>
    <row r="84" ht="9.75" customHeight="1" x14ac:dyDescent="0.15"/>
    <row r="85" ht="9.75" customHeight="1" x14ac:dyDescent="0.15"/>
    <row r="86" ht="9.75" customHeight="1" x14ac:dyDescent="0.15"/>
    <row r="87" ht="9.75" customHeight="1" x14ac:dyDescent="0.15"/>
    <row r="88" ht="9.75" customHeight="1" x14ac:dyDescent="0.15"/>
    <row r="89" ht="9.75" customHeight="1" x14ac:dyDescent="0.15"/>
    <row r="90" ht="9.75" customHeight="1" x14ac:dyDescent="0.15"/>
    <row r="91" ht="9.75" customHeight="1" x14ac:dyDescent="0.15"/>
    <row r="92" ht="9.75" customHeight="1" x14ac:dyDescent="0.15"/>
    <row r="93" ht="9.75" customHeight="1" x14ac:dyDescent="0.15"/>
    <row r="94" ht="9.75" customHeight="1" x14ac:dyDescent="0.15"/>
    <row r="95" ht="9.75" customHeight="1" x14ac:dyDescent="0.15"/>
    <row r="96" ht="9.75" customHeight="1" x14ac:dyDescent="0.15"/>
    <row r="97" ht="9.75" customHeight="1" x14ac:dyDescent="0.15"/>
    <row r="98" ht="9.75" customHeight="1" x14ac:dyDescent="0.15"/>
    <row r="99" ht="9.75" customHeight="1" x14ac:dyDescent="0.15"/>
    <row r="100" ht="9.75" customHeight="1" x14ac:dyDescent="0.15"/>
    <row r="101" ht="9.75" customHeight="1" x14ac:dyDescent="0.15"/>
    <row r="102" ht="9.75" customHeight="1" x14ac:dyDescent="0.15"/>
    <row r="103" ht="9.75" customHeight="1" x14ac:dyDescent="0.15"/>
    <row r="104" ht="9.75" customHeight="1" x14ac:dyDescent="0.15"/>
    <row r="105" ht="9.75" customHeight="1" x14ac:dyDescent="0.15"/>
    <row r="106" ht="9.75" customHeight="1" x14ac:dyDescent="0.15"/>
    <row r="107" ht="9.75" customHeight="1" x14ac:dyDescent="0.15"/>
    <row r="108" ht="9.75" customHeight="1" x14ac:dyDescent="0.15"/>
    <row r="109" ht="9.75" customHeight="1" x14ac:dyDescent="0.15"/>
    <row r="110" ht="9.75" customHeight="1" x14ac:dyDescent="0.15"/>
    <row r="111" ht="9.75" customHeight="1" x14ac:dyDescent="0.15"/>
    <row r="112" ht="9.75" customHeight="1" x14ac:dyDescent="0.15"/>
    <row r="113" spans="9:17" ht="9.75" customHeight="1" x14ac:dyDescent="0.15"/>
    <row r="114" spans="9:17" ht="9.75" customHeight="1" x14ac:dyDescent="0.15"/>
    <row r="115" spans="9:17" ht="9.75" customHeight="1" x14ac:dyDescent="0.15"/>
    <row r="116" spans="9:17" ht="9.75" customHeight="1" x14ac:dyDescent="0.15"/>
    <row r="117" spans="9:17" ht="9.75" customHeight="1" x14ac:dyDescent="0.15"/>
    <row r="118" spans="9:17" ht="9.75" customHeight="1" x14ac:dyDescent="0.15"/>
    <row r="119" spans="9:17" ht="9.75" customHeight="1" x14ac:dyDescent="0.15"/>
    <row r="120" spans="9:17" ht="9.75" customHeight="1" x14ac:dyDescent="0.15"/>
    <row r="121" spans="9:17" ht="9.75" customHeight="1" x14ac:dyDescent="0.15"/>
    <row r="122" spans="9:17" ht="9.75" customHeight="1" x14ac:dyDescent="0.15"/>
    <row r="123" spans="9:17" ht="9.75" customHeight="1" x14ac:dyDescent="0.15"/>
    <row r="124" spans="9:17" ht="9.75" customHeight="1" x14ac:dyDescent="0.15"/>
    <row r="125" spans="9:17" ht="9.75" customHeight="1" x14ac:dyDescent="0.15">
      <c r="I125" s="71"/>
      <c r="J125" s="71"/>
      <c r="K125" s="71"/>
      <c r="L125" s="71"/>
      <c r="M125" s="71"/>
      <c r="N125" s="71"/>
      <c r="O125" s="71"/>
      <c r="P125" s="71"/>
      <c r="Q125" s="71"/>
    </row>
    <row r="126" spans="9:17" ht="9.75" customHeight="1" x14ac:dyDescent="0.15">
      <c r="I126" s="71"/>
      <c r="J126" s="71"/>
      <c r="K126" s="71"/>
      <c r="L126" s="71"/>
      <c r="M126" s="71"/>
      <c r="N126" s="71"/>
      <c r="O126" s="71"/>
      <c r="P126" s="71"/>
      <c r="Q126" s="71"/>
    </row>
    <row r="127" spans="9:17" ht="9.75" customHeight="1" x14ac:dyDescent="0.15"/>
    <row r="128" spans="9:17" ht="9.75" customHeight="1" x14ac:dyDescent="0.15"/>
    <row r="129" ht="9.75" customHeight="1" x14ac:dyDescent="0.15"/>
    <row r="130" ht="9.75" customHeight="1" x14ac:dyDescent="0.15"/>
    <row r="131" ht="9.75" customHeight="1" x14ac:dyDescent="0.15"/>
    <row r="132" ht="9.75" customHeight="1" x14ac:dyDescent="0.15"/>
    <row r="133" ht="9.75" customHeight="1" x14ac:dyDescent="0.15"/>
    <row r="134" ht="9.75" customHeight="1" x14ac:dyDescent="0.15"/>
    <row r="135" ht="9.75" customHeight="1" x14ac:dyDescent="0.15"/>
    <row r="136" ht="9.75" customHeight="1" x14ac:dyDescent="0.15"/>
    <row r="137" ht="9.75" customHeight="1" x14ac:dyDescent="0.15"/>
    <row r="138" ht="9.75" customHeight="1" x14ac:dyDescent="0.15"/>
    <row r="139" ht="9.75" customHeight="1" x14ac:dyDescent="0.15"/>
    <row r="140" ht="9.75" customHeight="1" x14ac:dyDescent="0.15"/>
    <row r="141" ht="9.75" customHeight="1" x14ac:dyDescent="0.15"/>
    <row r="142" ht="9.75" customHeight="1" x14ac:dyDescent="0.15"/>
    <row r="143" ht="9.75" customHeight="1" x14ac:dyDescent="0.15"/>
    <row r="144" ht="9.75" customHeight="1" x14ac:dyDescent="0.15"/>
    <row r="145" ht="9.75" customHeight="1" x14ac:dyDescent="0.15"/>
    <row r="146" ht="9.75" customHeight="1" x14ac:dyDescent="0.15"/>
    <row r="147" ht="9.75" customHeight="1" x14ac:dyDescent="0.15"/>
    <row r="148" ht="9.75" customHeight="1" x14ac:dyDescent="0.15"/>
    <row r="149" ht="9.75" customHeight="1" x14ac:dyDescent="0.15"/>
    <row r="150" ht="9.75" customHeight="1" x14ac:dyDescent="0.15"/>
    <row r="151" ht="9.75" customHeight="1" x14ac:dyDescent="0.15"/>
    <row r="152" ht="9.75" customHeight="1" x14ac:dyDescent="0.15"/>
    <row r="153" ht="9.75" customHeight="1" x14ac:dyDescent="0.15"/>
    <row r="154" ht="9.75" customHeight="1" x14ac:dyDescent="0.15"/>
    <row r="155" ht="9.75" customHeight="1" x14ac:dyDescent="0.15"/>
    <row r="156" ht="9.75" customHeight="1" x14ac:dyDescent="0.15"/>
    <row r="157" ht="9.75" customHeight="1" x14ac:dyDescent="0.15"/>
    <row r="158" ht="9.75" customHeight="1" x14ac:dyDescent="0.15"/>
    <row r="159" ht="9.75" customHeight="1" x14ac:dyDescent="0.15"/>
    <row r="160" ht="9.75" customHeight="1" x14ac:dyDescent="0.15"/>
    <row r="161" ht="9.75" customHeight="1" x14ac:dyDescent="0.15"/>
    <row r="162" ht="9.75" customHeight="1" x14ac:dyDescent="0.15"/>
    <row r="163" ht="9.75" customHeight="1" x14ac:dyDescent="0.15"/>
    <row r="164" ht="9.75" customHeight="1" x14ac:dyDescent="0.15"/>
    <row r="165" ht="9.75" customHeight="1" x14ac:dyDescent="0.15"/>
    <row r="166" ht="9.75" customHeight="1" x14ac:dyDescent="0.15"/>
    <row r="167" ht="9.75" customHeight="1" x14ac:dyDescent="0.15"/>
    <row r="168" ht="9.75" customHeight="1" x14ac:dyDescent="0.15"/>
    <row r="169" ht="9.75" customHeight="1" x14ac:dyDescent="0.15"/>
    <row r="170" ht="9.75" customHeight="1" x14ac:dyDescent="0.15"/>
    <row r="171" ht="9.75" customHeight="1" x14ac:dyDescent="0.15"/>
    <row r="172" ht="9.75" customHeight="1" x14ac:dyDescent="0.15"/>
    <row r="173" ht="9.75" customHeight="1" x14ac:dyDescent="0.15"/>
    <row r="174" ht="9.75" customHeight="1" x14ac:dyDescent="0.15"/>
    <row r="175" ht="9.75" customHeight="1" x14ac:dyDescent="0.15"/>
    <row r="176" ht="9.75" customHeight="1" x14ac:dyDescent="0.15"/>
    <row r="177" ht="9.75" customHeight="1" x14ac:dyDescent="0.15"/>
    <row r="178" ht="9.75" customHeight="1" x14ac:dyDescent="0.15"/>
    <row r="179" ht="9.75" customHeight="1" x14ac:dyDescent="0.15"/>
    <row r="180" ht="9.75" customHeight="1" x14ac:dyDescent="0.15"/>
    <row r="181" ht="9.75" customHeight="1" x14ac:dyDescent="0.15"/>
    <row r="182" ht="9.75" customHeight="1" x14ac:dyDescent="0.15"/>
    <row r="183" ht="9.75" customHeight="1" x14ac:dyDescent="0.15"/>
    <row r="184" ht="9.75" customHeight="1" x14ac:dyDescent="0.15"/>
    <row r="185" ht="9.75" customHeight="1" x14ac:dyDescent="0.15"/>
    <row r="186" ht="9.75" customHeight="1" x14ac:dyDescent="0.15"/>
    <row r="187" ht="9.75" customHeight="1" x14ac:dyDescent="0.15"/>
    <row r="188" ht="9.75" customHeight="1" x14ac:dyDescent="0.15"/>
    <row r="189" ht="9.75" customHeight="1" x14ac:dyDescent="0.15"/>
    <row r="190" ht="9.75" customHeight="1" x14ac:dyDescent="0.15"/>
    <row r="191" ht="9.75" customHeight="1" x14ac:dyDescent="0.15"/>
    <row r="192" ht="9.75" customHeight="1" x14ac:dyDescent="0.15"/>
    <row r="193" ht="9.75" customHeight="1" x14ac:dyDescent="0.15"/>
    <row r="194" ht="9.75" customHeight="1" x14ac:dyDescent="0.15"/>
    <row r="195" ht="9.75" customHeight="1" x14ac:dyDescent="0.15"/>
    <row r="196" ht="9.75" customHeight="1" x14ac:dyDescent="0.15"/>
    <row r="197" ht="9.75" customHeight="1" x14ac:dyDescent="0.15"/>
    <row r="198" ht="9.75" customHeight="1" x14ac:dyDescent="0.15"/>
  </sheetData>
  <pageMargins left="0.75" right="0.75" top="1" bottom="1"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14F"/>
  </sheetPr>
  <dimension ref="A1:L182"/>
  <sheetViews>
    <sheetView showGridLines="0" zoomScale="75" zoomScaleNormal="75" workbookViewId="0">
      <selection activeCell="I58" sqref="I58"/>
    </sheetView>
  </sheetViews>
  <sheetFormatPr baseColWidth="10" defaultColWidth="55" defaultRowHeight="11" x14ac:dyDescent="0.15"/>
  <cols>
    <col min="1" max="1" width="23.1640625" style="1" customWidth="1"/>
    <col min="2" max="2" width="30.83203125" style="1" customWidth="1"/>
    <col min="3" max="3" width="10.5" style="1" customWidth="1"/>
    <col min="4" max="4" width="12.6640625" style="1" customWidth="1"/>
    <col min="5" max="5" width="39.33203125" style="1" customWidth="1"/>
    <col min="6" max="6" width="27.83203125" style="1" customWidth="1"/>
    <col min="7" max="7" width="8.33203125" style="1" customWidth="1"/>
    <col min="8" max="8" width="12.5" style="1" customWidth="1"/>
    <col min="9" max="9" width="30" style="1" customWidth="1"/>
    <col min="10" max="10" width="55" style="1" customWidth="1"/>
    <col min="11" max="11" width="32" style="1" customWidth="1"/>
    <col min="12" max="12" width="22" style="1" customWidth="1"/>
    <col min="13" max="13" width="55" style="1" customWidth="1"/>
    <col min="14" max="16384" width="55" style="1"/>
  </cols>
  <sheetData>
    <row r="1" spans="1:12" ht="9.75" customHeight="1" x14ac:dyDescent="0.15">
      <c r="A1" s="2" t="s">
        <v>8863</v>
      </c>
      <c r="B1" s="2"/>
      <c r="C1" s="2"/>
      <c r="D1" s="2"/>
      <c r="E1" s="2"/>
      <c r="F1" s="2"/>
      <c r="G1" s="2"/>
      <c r="H1" s="2"/>
    </row>
    <row r="2" spans="1:12" ht="9.75" customHeight="1" x14ac:dyDescent="0.15">
      <c r="A2" s="3" t="s">
        <v>8864</v>
      </c>
      <c r="B2" s="42"/>
    </row>
    <row r="5" spans="1:12" ht="9.75" customHeight="1" x14ac:dyDescent="0.15">
      <c r="A5" s="11" t="s">
        <v>8865</v>
      </c>
      <c r="B5" s="11"/>
      <c r="C5" s="11"/>
      <c r="D5" s="11"/>
      <c r="E5" s="11"/>
      <c r="F5" s="11"/>
      <c r="G5" s="11"/>
      <c r="H5" s="11"/>
    </row>
    <row r="6" spans="1:12" ht="9.75" customHeight="1" x14ac:dyDescent="0.15">
      <c r="A6" s="3" t="s">
        <v>8866</v>
      </c>
      <c r="B6" s="67"/>
      <c r="C6" s="67"/>
      <c r="D6" s="67"/>
      <c r="E6" s="67"/>
      <c r="F6" s="67"/>
      <c r="G6" s="67"/>
      <c r="H6" s="67"/>
    </row>
    <row r="7" spans="1:12" ht="9.75" customHeight="1" x14ac:dyDescent="0.15">
      <c r="A7" s="67"/>
      <c r="B7" s="67"/>
      <c r="C7" s="67"/>
      <c r="D7" s="67"/>
      <c r="E7" s="67"/>
      <c r="F7" s="67"/>
      <c r="G7" s="67"/>
      <c r="H7" s="67"/>
    </row>
    <row r="8" spans="1:12" ht="9.75" customHeight="1" x14ac:dyDescent="0.15">
      <c r="A8" s="47" t="s">
        <v>25</v>
      </c>
      <c r="B8" s="47" t="s">
        <v>8820</v>
      </c>
      <c r="C8" s="47" t="s">
        <v>2</v>
      </c>
      <c r="D8" s="47" t="s">
        <v>8867</v>
      </c>
      <c r="E8" s="47" t="s">
        <v>5</v>
      </c>
      <c r="F8" s="47" t="s">
        <v>8868</v>
      </c>
      <c r="G8" s="47" t="s">
        <v>20</v>
      </c>
      <c r="H8" s="73" t="s">
        <v>8821</v>
      </c>
      <c r="I8" s="74" t="s">
        <v>8869</v>
      </c>
      <c r="J8" s="74" t="s">
        <v>8870</v>
      </c>
      <c r="K8" s="74" t="s">
        <v>8871</v>
      </c>
      <c r="L8" s="74" t="s">
        <v>8872</v>
      </c>
    </row>
    <row r="9" spans="1:12" ht="9.75" customHeight="1" x14ac:dyDescent="0.15">
      <c r="A9" s="75"/>
      <c r="B9" s="75"/>
      <c r="C9" s="75"/>
      <c r="D9" s="75"/>
      <c r="E9" s="75"/>
      <c r="F9" s="75"/>
      <c r="G9" s="75"/>
      <c r="H9" s="76"/>
    </row>
    <row r="10" spans="1:12" ht="9.75" customHeight="1" x14ac:dyDescent="0.15">
      <c r="A10" s="47" t="s">
        <v>5027</v>
      </c>
      <c r="B10" s="47"/>
      <c r="C10" s="47"/>
      <c r="D10" s="47"/>
      <c r="E10" s="47"/>
      <c r="F10" s="47"/>
      <c r="G10" s="47"/>
      <c r="H10" s="73"/>
    </row>
    <row r="11" spans="1:12" ht="9.75" customHeight="1" x14ac:dyDescent="0.15">
      <c r="A11" s="18"/>
      <c r="B11" s="18" t="s">
        <v>8823</v>
      </c>
      <c r="C11" s="18"/>
      <c r="D11" s="18"/>
      <c r="E11" s="18"/>
      <c r="F11" s="18"/>
      <c r="G11" s="18"/>
      <c r="H11" s="77">
        <f>SUM(H12:H15)</f>
        <v>346443</v>
      </c>
    </row>
    <row r="12" spans="1:12" ht="9.75" customHeight="1" x14ac:dyDescent="0.15">
      <c r="A12" s="78"/>
      <c r="B12" s="70"/>
      <c r="C12" s="3" t="s">
        <v>5597</v>
      </c>
      <c r="D12" s="70"/>
      <c r="E12" s="70" t="s">
        <v>6187</v>
      </c>
      <c r="F12" s="70"/>
      <c r="G12" s="3" t="s">
        <v>8873</v>
      </c>
      <c r="H12" s="60">
        <f>IF('J Book Items Cons.'!R2582&lt;&gt;"",'J Book Items Cons.'!R2582,IF('J Book Items Cons.'!N2582&lt;&gt;"",'J Book Items Cons.'!N2582,'J Book Items Cons.'!L2582))</f>
        <v>180719</v>
      </c>
    </row>
    <row r="13" spans="1:12" ht="9.75" customHeight="1" x14ac:dyDescent="0.15">
      <c r="A13" s="78"/>
      <c r="B13" s="70"/>
      <c r="C13" s="3" t="s">
        <v>5597</v>
      </c>
      <c r="D13" s="70"/>
      <c r="E13" s="70" t="s">
        <v>6187</v>
      </c>
      <c r="F13" s="70"/>
      <c r="G13" s="3" t="s">
        <v>8873</v>
      </c>
      <c r="H13" s="60">
        <f>IF('J Book Items Cons.'!R2554&lt;&gt;"",'J Book Items Cons.'!R2554,IF('J Book Items Cons.'!N2554&lt;&gt;"",'J Book Items Cons.'!N2554,'J Book Items Cons.'!L2554))</f>
        <v>112718</v>
      </c>
    </row>
    <row r="14" spans="1:12" ht="9.75" customHeight="1" x14ac:dyDescent="0.15">
      <c r="A14" s="78"/>
      <c r="B14" s="70"/>
      <c r="C14" s="3" t="s">
        <v>5597</v>
      </c>
      <c r="D14" s="70"/>
      <c r="E14" s="70" t="s">
        <v>5027</v>
      </c>
      <c r="F14" s="70"/>
      <c r="G14" s="3" t="s">
        <v>8873</v>
      </c>
      <c r="H14" s="60">
        <f>IF('J Book Items Cons.'!R2597&lt;&gt;"",'J Book Items Cons.'!R2597,IF('J Book Items Cons.'!N2597&lt;&gt;"",'J Book Items Cons.'!N2597,'J Book Items Cons.'!L2597))</f>
        <v>36577</v>
      </c>
    </row>
    <row r="15" spans="1:12" ht="9.75" customHeight="1" x14ac:dyDescent="0.15">
      <c r="A15" s="78"/>
      <c r="B15" s="70"/>
      <c r="C15" s="3" t="s">
        <v>5597</v>
      </c>
      <c r="D15" s="70"/>
      <c r="E15" s="70" t="s">
        <v>5027</v>
      </c>
      <c r="F15" s="70"/>
      <c r="G15" s="3" t="s">
        <v>8873</v>
      </c>
      <c r="H15" s="60">
        <f>IF('J Book Items Cons.'!R2567&lt;&gt;"",'J Book Items Cons.'!R2567,IF('J Book Items Cons.'!N2567&lt;&gt;"",'J Book Items Cons.'!N2567,'J Book Items Cons.'!L2567))</f>
        <v>16429</v>
      </c>
    </row>
    <row r="16" spans="1:12" ht="9.75" customHeight="1" x14ac:dyDescent="0.15">
      <c r="A16" s="19"/>
      <c r="B16" s="18" t="s">
        <v>8825</v>
      </c>
      <c r="C16" s="18"/>
      <c r="D16" s="18"/>
      <c r="E16" s="18"/>
      <c r="F16" s="18"/>
      <c r="G16" s="18"/>
      <c r="H16" s="77">
        <f>SUM(H17:H19)</f>
        <v>755243</v>
      </c>
    </row>
    <row r="17" spans="1:8" ht="9.75" customHeight="1" x14ac:dyDescent="0.15">
      <c r="A17" s="79"/>
      <c r="B17" s="71"/>
      <c r="C17" s="3" t="s">
        <v>5597</v>
      </c>
      <c r="D17" s="71"/>
      <c r="E17" s="71" t="s">
        <v>5027</v>
      </c>
      <c r="F17" s="71"/>
      <c r="G17" s="3" t="s">
        <v>8873</v>
      </c>
      <c r="H17" s="60">
        <f>IF('J Book Items Cons.'!R2622&lt;&gt;"",'J Book Items Cons.'!R2622,IF('J Book Items Cons.'!N2622&lt;&gt;"",'J Book Items Cons.'!N2622,'J Book Items Cons.'!L2622))</f>
        <v>395086</v>
      </c>
    </row>
    <row r="18" spans="1:8" ht="9.75" customHeight="1" x14ac:dyDescent="0.15">
      <c r="A18" s="79"/>
      <c r="B18" s="71"/>
      <c r="C18" s="3" t="s">
        <v>5597</v>
      </c>
      <c r="D18" s="71"/>
      <c r="E18" s="71" t="s">
        <v>6187</v>
      </c>
      <c r="F18" s="71"/>
      <c r="G18" s="3" t="s">
        <v>8873</v>
      </c>
      <c r="H18" s="60">
        <f>IF('J Book Items Cons.'!R2616&lt;&gt;"",'J Book Items Cons.'!R2616,IF('J Book Items Cons.'!N2616&lt;&gt;"",'J Book Items Cons.'!N2616,'J Book Items Cons.'!L2616))</f>
        <v>236773</v>
      </c>
    </row>
    <row r="19" spans="1:8" ht="9.75" customHeight="1" x14ac:dyDescent="0.15">
      <c r="A19" s="79"/>
      <c r="B19" s="71"/>
      <c r="C19" s="3" t="s">
        <v>6411</v>
      </c>
      <c r="D19" s="71" t="s">
        <v>6468</v>
      </c>
      <c r="E19" s="71" t="s">
        <v>6469</v>
      </c>
      <c r="F19" s="71"/>
      <c r="G19" s="3" t="s">
        <v>8873</v>
      </c>
      <c r="H19" s="60">
        <f>IF('J Book Items Cons.'!R2664&lt;&gt;"",'J Book Items Cons.'!R2664,IF('J Book Items Cons.'!N2664&lt;&gt;"",'J Book Items Cons.'!N2664,'J Book Items Cons.'!L2664))</f>
        <v>123384</v>
      </c>
    </row>
    <row r="20" spans="1:8" ht="9.75" customHeight="1" x14ac:dyDescent="0.15">
      <c r="A20" s="80"/>
      <c r="B20" s="81" t="s">
        <v>8874</v>
      </c>
      <c r="C20" s="82"/>
      <c r="D20" s="82"/>
      <c r="E20" s="80"/>
      <c r="F20" s="82"/>
      <c r="G20" s="82"/>
      <c r="H20" s="82">
        <f>H11+H16</f>
        <v>1101686</v>
      </c>
    </row>
    <row r="21" spans="1:8" ht="9.75" customHeight="1" x14ac:dyDescent="0.15">
      <c r="A21" s="71"/>
      <c r="B21" s="71"/>
      <c r="C21" s="71"/>
      <c r="D21" s="71"/>
      <c r="E21" s="71"/>
      <c r="F21" s="71"/>
      <c r="G21" s="71"/>
      <c r="H21" s="71"/>
    </row>
    <row r="22" spans="1:8" ht="9.75" customHeight="1" x14ac:dyDescent="0.15">
      <c r="A22" s="71"/>
      <c r="B22" s="71"/>
      <c r="C22" s="71"/>
      <c r="D22" s="71"/>
      <c r="E22" s="71"/>
      <c r="F22" s="71"/>
      <c r="G22" s="71"/>
      <c r="H22" s="72"/>
    </row>
    <row r="23" spans="1:8" ht="9.75" customHeight="1" x14ac:dyDescent="0.15">
      <c r="A23" s="83" t="s">
        <v>172</v>
      </c>
      <c r="B23" s="84"/>
      <c r="C23" s="84"/>
      <c r="D23" s="84"/>
      <c r="E23" s="84"/>
      <c r="F23" s="84"/>
      <c r="G23" s="84"/>
      <c r="H23" s="85"/>
    </row>
    <row r="24" spans="1:8" ht="9.75" customHeight="1" x14ac:dyDescent="0.15">
      <c r="A24" s="18"/>
      <c r="B24" s="18" t="s">
        <v>8822</v>
      </c>
      <c r="C24" s="18"/>
      <c r="D24" s="18"/>
      <c r="E24" s="18"/>
      <c r="F24" s="18"/>
      <c r="G24" s="18"/>
      <c r="H24" s="86">
        <f>SUM(H25:H25)</f>
        <v>835037</v>
      </c>
    </row>
    <row r="25" spans="1:8" ht="9.75" customHeight="1" x14ac:dyDescent="0.15">
      <c r="A25" s="71"/>
      <c r="B25" s="71"/>
      <c r="C25" s="3" t="s">
        <v>37</v>
      </c>
      <c r="D25" s="71" t="s">
        <v>168</v>
      </c>
      <c r="E25" s="71" t="s">
        <v>169</v>
      </c>
      <c r="F25" s="71" t="s">
        <v>41</v>
      </c>
      <c r="G25" s="3" t="s">
        <v>43</v>
      </c>
      <c r="H25" s="87">
        <f>IF('J Book Items Cons.'!R32&lt;&gt;"",'J Book Items Cons.'!R32,IF('J Book Items Cons.'!N32&lt;&gt;"",'J Book Items Cons.'!N32,'J Book Items Cons.'!L32))</f>
        <v>835037</v>
      </c>
    </row>
    <row r="26" spans="1:8" ht="9.75" customHeight="1" x14ac:dyDescent="0.15">
      <c r="A26" s="71"/>
      <c r="B26" s="71"/>
      <c r="C26" s="3" t="s">
        <v>37</v>
      </c>
      <c r="D26" s="71" t="s">
        <v>168</v>
      </c>
      <c r="E26" s="71" t="s">
        <v>185</v>
      </c>
      <c r="F26" s="71" t="s">
        <v>61</v>
      </c>
      <c r="G26" s="3" t="s">
        <v>8873</v>
      </c>
      <c r="H26" s="87">
        <f>IF('J Book Items Cons.'!R36&lt;&gt;"",'J Book Items Cons.'!R36,IF('J Book Items Cons.'!N36&lt;&gt;"",'J Book Items Cons.'!N36,'J Book Items Cons.'!L36))</f>
        <v>275000</v>
      </c>
    </row>
    <row r="27" spans="1:8" ht="9.75" customHeight="1" x14ac:dyDescent="0.15">
      <c r="A27" s="18"/>
      <c r="B27" s="18" t="s">
        <v>8823</v>
      </c>
      <c r="C27" s="18"/>
      <c r="D27" s="18"/>
      <c r="E27" s="18"/>
      <c r="F27" s="18"/>
      <c r="G27" s="18"/>
      <c r="H27" s="86">
        <f>SUM(H26:H26)</f>
        <v>275000</v>
      </c>
    </row>
    <row r="28" spans="1:8" ht="9.75" customHeight="1" x14ac:dyDescent="0.15">
      <c r="A28" s="71"/>
      <c r="B28" s="71"/>
      <c r="C28" s="3" t="s">
        <v>5597</v>
      </c>
      <c r="D28" s="71"/>
      <c r="E28" s="71" t="s">
        <v>172</v>
      </c>
      <c r="F28" s="71"/>
      <c r="G28" s="3" t="s">
        <v>8873</v>
      </c>
      <c r="H28" s="87">
        <f>IF('J Book Items Cons.'!R2598&lt;&gt;"",'J Book Items Cons.'!R2598,IF('J Book Items Cons.'!N2598&lt;&gt;"",'J Book Items Cons.'!N2598,'J Book Items Cons.'!L2598))</f>
        <v>105286</v>
      </c>
    </row>
    <row r="29" spans="1:8" ht="9.75" customHeight="1" x14ac:dyDescent="0.15">
      <c r="A29" s="71"/>
      <c r="B29" s="71"/>
      <c r="C29" s="3" t="s">
        <v>5597</v>
      </c>
      <c r="D29" s="71"/>
      <c r="E29" s="71" t="s">
        <v>172</v>
      </c>
      <c r="F29" s="71"/>
      <c r="G29" s="3" t="s">
        <v>8873</v>
      </c>
      <c r="H29" s="87">
        <f>IF('J Book Items Cons.'!R2568&lt;&gt;"",'J Book Items Cons.'!R2568,IF('J Book Items Cons.'!N2568&lt;&gt;"",'J Book Items Cons.'!N2568,'J Book Items Cons.'!L2568))</f>
        <v>44309</v>
      </c>
    </row>
    <row r="30" spans="1:8" ht="9.75" customHeight="1" x14ac:dyDescent="0.15">
      <c r="A30" s="18"/>
      <c r="B30" s="18" t="s">
        <v>8825</v>
      </c>
      <c r="C30" s="18"/>
      <c r="D30" s="18"/>
      <c r="E30" s="18"/>
      <c r="F30" s="18"/>
      <c r="G30" s="18"/>
      <c r="H30" s="86">
        <f>SUM(H28:H29)</f>
        <v>149595</v>
      </c>
    </row>
    <row r="31" spans="1:8" ht="24" customHeight="1" x14ac:dyDescent="0.15">
      <c r="A31" s="71"/>
      <c r="B31" s="71"/>
      <c r="C31" s="3" t="s">
        <v>6411</v>
      </c>
      <c r="D31" s="71" t="s">
        <v>75</v>
      </c>
      <c r="E31" s="71" t="s">
        <v>6502</v>
      </c>
      <c r="F31" s="71"/>
      <c r="G31" s="3" t="s">
        <v>8873</v>
      </c>
      <c r="H31" s="87">
        <f>IF('J Book Items Cons.'!R2671&lt;&gt;"",'J Book Items Cons.'!R2671,IF('J Book Items Cons.'!N2671&lt;&gt;"",'J Book Items Cons.'!N2671,'J Book Items Cons.'!L2671))</f>
        <v>125542</v>
      </c>
    </row>
    <row r="32" spans="1:8" ht="9.75" customHeight="1" x14ac:dyDescent="0.15">
      <c r="A32" s="71"/>
      <c r="B32" s="71"/>
      <c r="C32" s="3" t="s">
        <v>5597</v>
      </c>
      <c r="D32" s="71"/>
      <c r="E32" s="71" t="s">
        <v>172</v>
      </c>
      <c r="F32" s="71"/>
      <c r="G32" s="3" t="s">
        <v>8873</v>
      </c>
      <c r="H32" s="87">
        <f>IF('J Book Items Cons.'!R2623&lt;&gt;"",'J Book Items Cons.'!R2623,IF('J Book Items Cons.'!N2623&lt;&gt;"",'J Book Items Cons.'!N2623,'J Book Items Cons.'!L2623))</f>
        <v>11852</v>
      </c>
    </row>
    <row r="33" spans="1:8" ht="9.75" customHeight="1" x14ac:dyDescent="0.15">
      <c r="A33" s="80"/>
      <c r="B33" s="81" t="s">
        <v>8874</v>
      </c>
      <c r="C33" s="82"/>
      <c r="D33" s="82"/>
      <c r="E33" s="80"/>
      <c r="F33" s="82"/>
      <c r="G33" s="82"/>
      <c r="H33" s="82" t="e">
        <f>H24+#REF!+H27</f>
        <v>#REF!</v>
      </c>
    </row>
    <row r="35" spans="1:8" ht="9.75" customHeight="1" x14ac:dyDescent="0.15">
      <c r="A35" s="71"/>
      <c r="B35" s="71"/>
      <c r="C35" s="71"/>
      <c r="D35" s="71"/>
      <c r="E35" s="71"/>
      <c r="F35" s="71"/>
      <c r="G35" s="71"/>
      <c r="H35" s="72"/>
    </row>
    <row r="36" spans="1:8" ht="9.75" customHeight="1" x14ac:dyDescent="0.15">
      <c r="A36" s="83" t="s">
        <v>5021</v>
      </c>
      <c r="B36" s="84"/>
      <c r="C36" s="84"/>
      <c r="D36" s="84"/>
      <c r="E36" s="84"/>
      <c r="F36" s="84"/>
      <c r="G36" s="84"/>
      <c r="H36" s="85"/>
    </row>
    <row r="37" spans="1:8" ht="9.75" customHeight="1" x14ac:dyDescent="0.15">
      <c r="A37" s="18"/>
      <c r="B37" s="18" t="s">
        <v>8823</v>
      </c>
      <c r="C37" s="18"/>
      <c r="D37" s="18"/>
      <c r="E37" s="18"/>
      <c r="F37" s="18"/>
      <c r="G37" s="18"/>
      <c r="H37" s="86">
        <f>SUM(H35:H36)</f>
        <v>0</v>
      </c>
    </row>
    <row r="38" spans="1:8" ht="9.75" customHeight="1" x14ac:dyDescent="0.15">
      <c r="A38" s="71"/>
      <c r="B38" s="71"/>
      <c r="C38" s="3" t="s">
        <v>5597</v>
      </c>
      <c r="D38" s="71"/>
      <c r="E38" s="71" t="s">
        <v>5021</v>
      </c>
      <c r="F38" s="71"/>
      <c r="G38" s="3" t="s">
        <v>8873</v>
      </c>
      <c r="H38" s="87">
        <f>IF('J Book Items Cons.'!R2599&lt;&gt;"",'J Book Items Cons.'!R2599,IF('J Book Items Cons.'!N2599&lt;&gt;"",'J Book Items Cons.'!N2599,'J Book Items Cons.'!L2599))</f>
        <v>73346</v>
      </c>
    </row>
    <row r="39" spans="1:8" ht="9.75" customHeight="1" x14ac:dyDescent="0.15">
      <c r="A39" s="71"/>
      <c r="B39" s="71"/>
      <c r="C39" s="3" t="s">
        <v>5597</v>
      </c>
      <c r="D39" s="71"/>
      <c r="E39" s="71" t="s">
        <v>5021</v>
      </c>
      <c r="F39" s="71"/>
      <c r="G39" s="3" t="s">
        <v>8873</v>
      </c>
      <c r="H39" s="87">
        <f>IF('J Book Items Cons.'!R2569&lt;&gt;"",'J Book Items Cons.'!R2569,IF('J Book Items Cons.'!N2569&lt;&gt;"",'J Book Items Cons.'!N2569,'J Book Items Cons.'!L2569))</f>
        <v>21075</v>
      </c>
    </row>
    <row r="40" spans="1:8" ht="9.75" customHeight="1" x14ac:dyDescent="0.15">
      <c r="A40" s="18"/>
      <c r="B40" s="18" t="s">
        <v>8825</v>
      </c>
      <c r="C40" s="18"/>
      <c r="D40" s="18"/>
      <c r="E40" s="18"/>
      <c r="F40" s="18"/>
      <c r="G40" s="18"/>
      <c r="H40" s="86">
        <f>SUM(H38:H39)</f>
        <v>94421</v>
      </c>
    </row>
    <row r="41" spans="1:8" ht="9.75" customHeight="1" x14ac:dyDescent="0.15">
      <c r="A41" s="71"/>
      <c r="B41" s="71"/>
      <c r="C41" s="3" t="s">
        <v>5597</v>
      </c>
      <c r="D41" s="71"/>
      <c r="E41" s="71" t="s">
        <v>5021</v>
      </c>
      <c r="F41" s="71"/>
      <c r="G41" s="3" t="s">
        <v>8873</v>
      </c>
      <c r="H41" s="87">
        <f>IF('J Book Items Cons.'!R2624&lt;&gt;"",'J Book Items Cons.'!R2624,IF('J Book Items Cons.'!N2624&lt;&gt;"",'J Book Items Cons.'!N2624,'J Book Items Cons.'!L2624))</f>
        <v>25931</v>
      </c>
    </row>
    <row r="42" spans="1:8" ht="9.75" customHeight="1" x14ac:dyDescent="0.15">
      <c r="A42" s="71"/>
      <c r="B42" s="71"/>
      <c r="C42" s="3" t="s">
        <v>6411</v>
      </c>
      <c r="D42" s="71" t="s">
        <v>495</v>
      </c>
      <c r="E42" s="71" t="s">
        <v>6651</v>
      </c>
      <c r="F42" s="71"/>
      <c r="G42" s="3" t="s">
        <v>8873</v>
      </c>
      <c r="H42" s="87">
        <f>IF('J Book Items Cons.'!R2698&lt;&gt;"",'J Book Items Cons.'!R2698,IF('J Book Items Cons.'!N2698&lt;&gt;"",'J Book Items Cons.'!N2698,'J Book Items Cons.'!L2698))</f>
        <v>4079</v>
      </c>
    </row>
    <row r="43" spans="1:8" ht="9.75" customHeight="1" x14ac:dyDescent="0.15">
      <c r="A43" s="80"/>
      <c r="B43" s="81" t="s">
        <v>8874</v>
      </c>
      <c r="C43" s="82"/>
      <c r="D43" s="82"/>
      <c r="E43" s="80"/>
      <c r="F43" s="82"/>
      <c r="G43" s="82"/>
      <c r="H43" s="82">
        <f>H34+H37</f>
        <v>0</v>
      </c>
    </row>
    <row r="44" spans="1:8" ht="9.75" customHeight="1" x14ac:dyDescent="0.15">
      <c r="A44" s="71"/>
      <c r="B44" s="71"/>
      <c r="C44" s="71"/>
      <c r="D44" s="71"/>
      <c r="E44" s="71"/>
      <c r="F44" s="71"/>
      <c r="G44" s="71"/>
      <c r="H44" s="72"/>
    </row>
    <row r="45" spans="1:8" ht="9.75" customHeight="1" x14ac:dyDescent="0.15">
      <c r="A45" s="71"/>
      <c r="B45" s="71"/>
      <c r="C45" s="71"/>
      <c r="D45" s="71"/>
      <c r="E45" s="71"/>
      <c r="F45" s="71"/>
      <c r="G45" s="71"/>
      <c r="H45" s="72"/>
    </row>
    <row r="46" spans="1:8" ht="9.75" customHeight="1" x14ac:dyDescent="0.15">
      <c r="A46" s="83" t="s">
        <v>194</v>
      </c>
      <c r="B46" s="84"/>
      <c r="C46" s="84"/>
      <c r="D46" s="84"/>
      <c r="E46" s="84"/>
      <c r="F46" s="84"/>
      <c r="G46" s="84"/>
      <c r="H46" s="85"/>
    </row>
    <row r="47" spans="1:8" ht="9.75" customHeight="1" x14ac:dyDescent="0.15">
      <c r="A47" s="18"/>
      <c r="B47" s="18" t="s">
        <v>8822</v>
      </c>
      <c r="C47" s="88"/>
      <c r="D47" s="18"/>
      <c r="E47" s="18"/>
      <c r="F47" s="18"/>
      <c r="G47" s="18"/>
      <c r="H47" s="86">
        <f>H45</f>
        <v>0</v>
      </c>
    </row>
    <row r="48" spans="1:8" ht="9.75" customHeight="1" x14ac:dyDescent="0.15">
      <c r="A48" s="71"/>
      <c r="B48" s="71"/>
      <c r="C48" s="3" t="s">
        <v>37</v>
      </c>
      <c r="D48" s="71" t="s">
        <v>191</v>
      </c>
      <c r="E48" s="71" t="s">
        <v>192</v>
      </c>
      <c r="F48" s="71" t="s">
        <v>41</v>
      </c>
      <c r="G48" s="3" t="s">
        <v>43</v>
      </c>
      <c r="H48" s="87">
        <f>IF('J Book Items Cons.'!R38&lt;&gt;"",'J Book Items Cons.'!R38,IF('J Book Items Cons.'!N38&lt;&gt;"",'J Book Items Cons.'!N38,'J Book Items Cons.'!L38))</f>
        <v>634963</v>
      </c>
    </row>
    <row r="49" spans="1:8" ht="9.75" customHeight="1" x14ac:dyDescent="0.15">
      <c r="A49" s="18"/>
      <c r="B49" s="18" t="s">
        <v>8823</v>
      </c>
      <c r="C49" s="88"/>
      <c r="D49" s="18"/>
      <c r="E49" s="18"/>
      <c r="F49" s="18"/>
      <c r="G49" s="88"/>
      <c r="H49" s="86">
        <f>SUM(H47:H48)</f>
        <v>634963</v>
      </c>
    </row>
    <row r="50" spans="1:8" ht="9.75" customHeight="1" x14ac:dyDescent="0.15">
      <c r="A50" s="71"/>
      <c r="B50" s="71"/>
      <c r="C50" s="3" t="s">
        <v>5597</v>
      </c>
      <c r="D50" s="71"/>
      <c r="E50" s="71" t="s">
        <v>194</v>
      </c>
      <c r="F50" s="71"/>
      <c r="G50" s="3" t="s">
        <v>8873</v>
      </c>
      <c r="H50" s="87">
        <f>IF('J Book Items Cons.'!R2595&lt;&gt;"",'J Book Items Cons.'!R2595,IF('J Book Items Cons.'!N2595&lt;&gt;"",'J Book Items Cons.'!N2595,'J Book Items Cons.'!L2595))</f>
        <v>29116</v>
      </c>
    </row>
    <row r="51" spans="1:8" ht="9.75" customHeight="1" x14ac:dyDescent="0.15">
      <c r="A51" s="71"/>
      <c r="B51" s="71"/>
      <c r="C51" s="3" t="s">
        <v>5597</v>
      </c>
      <c r="D51" s="71"/>
      <c r="E51" s="71" t="s">
        <v>194</v>
      </c>
      <c r="F51" s="71"/>
      <c r="G51" s="3" t="s">
        <v>8873</v>
      </c>
      <c r="H51" s="87">
        <f>IF('J Book Items Cons.'!R2566&lt;&gt;"",'J Book Items Cons.'!R2566,IF('J Book Items Cons.'!N2566&lt;&gt;"",'J Book Items Cons.'!N2566,'J Book Items Cons.'!L2566))</f>
        <v>15896</v>
      </c>
    </row>
    <row r="52" spans="1:8" ht="9.75" customHeight="1" x14ac:dyDescent="0.15">
      <c r="A52" s="18"/>
      <c r="B52" s="18" t="s">
        <v>8825</v>
      </c>
      <c r="C52" s="88"/>
      <c r="D52" s="18"/>
      <c r="E52" s="18"/>
      <c r="F52" s="18"/>
      <c r="G52" s="88"/>
      <c r="H52" s="86">
        <f>H50</f>
        <v>29116</v>
      </c>
    </row>
    <row r="53" spans="1:8" ht="9.75" customHeight="1" x14ac:dyDescent="0.15">
      <c r="A53" s="71"/>
      <c r="B53" s="71"/>
      <c r="C53" s="3" t="s">
        <v>5597</v>
      </c>
      <c r="D53" s="71"/>
      <c r="E53" s="71" t="s">
        <v>194</v>
      </c>
      <c r="F53" s="71"/>
      <c r="G53" s="3" t="s">
        <v>8873</v>
      </c>
      <c r="H53" s="87">
        <f>IF('J Book Items Cons.'!R2621&lt;&gt;"",'J Book Items Cons.'!R2621,IF('J Book Items Cons.'!N2621&lt;&gt;"",'J Book Items Cons.'!N2621,'J Book Items Cons.'!L2621))</f>
        <v>12065</v>
      </c>
    </row>
    <row r="54" spans="1:8" ht="9.75" customHeight="1" x14ac:dyDescent="0.15">
      <c r="A54" s="80"/>
      <c r="B54" s="81" t="s">
        <v>8874</v>
      </c>
      <c r="C54" s="89"/>
      <c r="D54" s="82"/>
      <c r="E54" s="80"/>
      <c r="F54" s="82"/>
      <c r="G54" s="89"/>
      <c r="H54" s="82">
        <f>H44+H46+H49</f>
        <v>634963</v>
      </c>
    </row>
    <row r="55" spans="1:8" ht="9.75" customHeight="1" x14ac:dyDescent="0.15">
      <c r="A55" s="71"/>
      <c r="B55" s="71"/>
      <c r="C55" s="90"/>
      <c r="D55" s="71"/>
      <c r="E55" s="71"/>
      <c r="F55" s="71"/>
      <c r="G55" s="90"/>
      <c r="H55" s="72"/>
    </row>
    <row r="56" spans="1:8" ht="9.75" customHeight="1" x14ac:dyDescent="0.15">
      <c r="A56" s="71"/>
      <c r="B56" s="71"/>
      <c r="C56" s="90"/>
      <c r="D56" s="71"/>
      <c r="E56" s="71"/>
      <c r="F56" s="71"/>
      <c r="G56" s="90"/>
      <c r="H56" s="72"/>
    </row>
    <row r="57" spans="1:8" ht="9.75" customHeight="1" x14ac:dyDescent="0.15">
      <c r="A57" s="83" t="s">
        <v>131</v>
      </c>
      <c r="B57" s="84"/>
      <c r="C57" s="91"/>
      <c r="D57" s="84"/>
      <c r="E57" s="84"/>
      <c r="F57" s="84"/>
      <c r="G57" s="91"/>
      <c r="H57" s="85"/>
    </row>
    <row r="58" spans="1:8" ht="9.75" customHeight="1" x14ac:dyDescent="0.15">
      <c r="A58" s="18"/>
      <c r="B58" s="18" t="s">
        <v>8822</v>
      </c>
      <c r="C58" s="88"/>
      <c r="D58" s="18"/>
      <c r="E58" s="18"/>
      <c r="F58" s="18"/>
      <c r="G58" s="88"/>
      <c r="H58" s="86">
        <f ca="1">SUM(H56:H58)</f>
        <v>0</v>
      </c>
    </row>
    <row r="59" spans="1:8" ht="9.75" customHeight="1" x14ac:dyDescent="0.15">
      <c r="A59" s="71"/>
      <c r="B59" s="71"/>
      <c r="C59" s="3" t="s">
        <v>37</v>
      </c>
      <c r="D59" s="71" t="s">
        <v>136</v>
      </c>
      <c r="E59" s="71" t="s">
        <v>137</v>
      </c>
      <c r="F59" s="71" t="s">
        <v>41</v>
      </c>
      <c r="G59" s="3" t="s">
        <v>43</v>
      </c>
      <c r="H59" s="87">
        <f>IF('J Book Items Cons.'!R25&lt;&gt;"",'J Book Items Cons.'!R25,IF('J Book Items Cons.'!N25&lt;&gt;"",'J Book Items Cons.'!N25,'J Book Items Cons.'!L25))</f>
        <v>5410773</v>
      </c>
    </row>
    <row r="60" spans="1:8" ht="9.75" customHeight="1" x14ac:dyDescent="0.15">
      <c r="A60" s="71"/>
      <c r="B60" s="71"/>
      <c r="C60" s="3" t="s">
        <v>37</v>
      </c>
      <c r="D60" s="71" t="s">
        <v>136</v>
      </c>
      <c r="E60" s="71" t="s">
        <v>149</v>
      </c>
      <c r="F60" s="71" t="s">
        <v>61</v>
      </c>
      <c r="G60" s="3" t="s">
        <v>8873</v>
      </c>
      <c r="H60" s="87">
        <f>IF('J Book Items Cons.'!R29&lt;&gt;"",'J Book Items Cons.'!R29,IF('J Book Items Cons.'!N29&lt;&gt;"",'J Book Items Cons.'!N29,'J Book Items Cons.'!L29))</f>
        <v>1750000</v>
      </c>
    </row>
    <row r="61" spans="1:8" ht="9.75" customHeight="1" x14ac:dyDescent="0.15">
      <c r="A61" s="71"/>
      <c r="B61" s="71"/>
      <c r="C61" s="3" t="s">
        <v>37</v>
      </c>
      <c r="D61" s="71" t="s">
        <v>127</v>
      </c>
      <c r="E61" s="71" t="s">
        <v>128</v>
      </c>
      <c r="F61" s="71" t="s">
        <v>41</v>
      </c>
      <c r="G61" s="3" t="s">
        <v>8873</v>
      </c>
      <c r="H61" s="87">
        <f>IF('J Book Items Cons.'!R24&lt;&gt;"",'J Book Items Cons.'!R24,IF('J Book Items Cons.'!N24&lt;&gt;"",'J Book Items Cons.'!N24,'J Book Items Cons.'!L24))</f>
        <v>52358</v>
      </c>
    </row>
    <row r="62" spans="1:8" ht="9.75" customHeight="1" x14ac:dyDescent="0.15">
      <c r="A62" s="18"/>
      <c r="B62" s="18" t="s">
        <v>8823</v>
      </c>
      <c r="C62" s="88"/>
      <c r="D62" s="18"/>
      <c r="E62" s="18"/>
      <c r="F62" s="18"/>
      <c r="G62" s="88"/>
      <c r="H62" s="86">
        <f>SUM(H60:H61)</f>
        <v>1802358</v>
      </c>
    </row>
    <row r="63" spans="1:8" ht="9.75" customHeight="1" x14ac:dyDescent="0.15">
      <c r="A63" s="71"/>
      <c r="B63" s="71"/>
      <c r="C63" s="3" t="s">
        <v>5597</v>
      </c>
      <c r="D63" s="71"/>
      <c r="E63" s="71" t="s">
        <v>131</v>
      </c>
      <c r="F63" s="71"/>
      <c r="G63" s="3" t="s">
        <v>8873</v>
      </c>
      <c r="H63" s="87">
        <f>IF('J Book Items Cons.'!R2589&lt;&gt;"",'J Book Items Cons.'!R2589,IF('J Book Items Cons.'!N2589&lt;&gt;"",'J Book Items Cons.'!N2589,'J Book Items Cons.'!L2589))</f>
        <v>525288</v>
      </c>
    </row>
    <row r="64" spans="1:8" ht="9.75" customHeight="1" x14ac:dyDescent="0.15">
      <c r="A64" s="71"/>
      <c r="B64" s="71"/>
      <c r="C64" s="3" t="s">
        <v>5597</v>
      </c>
      <c r="D64" s="71"/>
      <c r="E64" s="71" t="s">
        <v>131</v>
      </c>
      <c r="F64" s="71"/>
      <c r="G64" s="3" t="s">
        <v>8873</v>
      </c>
      <c r="H64" s="87">
        <f>IF('J Book Items Cons.'!R2560&lt;&gt;"",'J Book Items Cons.'!R2560,IF('J Book Items Cons.'!N2560&lt;&gt;"",'J Book Items Cons.'!N2560,'J Book Items Cons.'!L2560))</f>
        <v>426684</v>
      </c>
    </row>
    <row r="65" spans="1:8" ht="9.75" customHeight="1" x14ac:dyDescent="0.15">
      <c r="A65" s="71"/>
      <c r="B65" s="71"/>
      <c r="C65" s="3" t="s">
        <v>5597</v>
      </c>
      <c r="D65" s="71"/>
      <c r="E65" s="71" t="s">
        <v>6222</v>
      </c>
      <c r="F65" s="71"/>
      <c r="G65" s="3" t="s">
        <v>8873</v>
      </c>
      <c r="H65" s="87">
        <f>IF('J Book Items Cons.'!R2590&lt;&gt;"",'J Book Items Cons.'!R2590,IF('J Book Items Cons.'!N2590&lt;&gt;"",'J Book Items Cons.'!N2590,'J Book Items Cons.'!L2590))</f>
        <v>6174</v>
      </c>
    </row>
    <row r="66" spans="1:8" ht="9.75" customHeight="1" x14ac:dyDescent="0.15">
      <c r="A66" s="71"/>
      <c r="B66" s="71"/>
      <c r="C66" s="3" t="s">
        <v>5597</v>
      </c>
      <c r="D66" s="71"/>
      <c r="E66" s="71" t="s">
        <v>6222</v>
      </c>
      <c r="F66" s="71"/>
      <c r="G66" s="3" t="s">
        <v>8873</v>
      </c>
      <c r="H66" s="87">
        <f>IF('J Book Items Cons.'!R2561&lt;&gt;"",'J Book Items Cons.'!R2561,IF('J Book Items Cons.'!N2561&lt;&gt;"",'J Book Items Cons.'!N2561,'J Book Items Cons.'!L2561))</f>
        <v>1662</v>
      </c>
    </row>
    <row r="67" spans="1:8" ht="9.75" customHeight="1" x14ac:dyDescent="0.15">
      <c r="A67" s="18"/>
      <c r="B67" s="18" t="s">
        <v>8825</v>
      </c>
      <c r="C67" s="88"/>
      <c r="D67" s="18"/>
      <c r="E67" s="18"/>
      <c r="F67" s="18"/>
      <c r="G67" s="88"/>
      <c r="H67" s="86"/>
    </row>
    <row r="68" spans="1:8" ht="9.75" customHeight="1" x14ac:dyDescent="0.15">
      <c r="A68" s="71"/>
      <c r="B68" s="71"/>
      <c r="C68" s="3" t="s">
        <v>5597</v>
      </c>
      <c r="D68" s="71"/>
      <c r="E68" s="71" t="s">
        <v>131</v>
      </c>
      <c r="F68" s="71"/>
      <c r="G68" s="3" t="s">
        <v>8873</v>
      </c>
      <c r="H68" s="87">
        <f>IF('J Book Items Cons.'!R2619&lt;&gt;"",'J Book Items Cons.'!R2619,IF('J Book Items Cons.'!N2619&lt;&gt;"",'J Book Items Cons.'!N2619,'J Book Items Cons.'!L2619))</f>
        <v>1282612</v>
      </c>
    </row>
    <row r="69" spans="1:8" ht="9.75" customHeight="1" x14ac:dyDescent="0.15">
      <c r="A69" s="71"/>
      <c r="B69" s="71"/>
      <c r="C69" s="3" t="s">
        <v>8334</v>
      </c>
      <c r="D69" s="71" t="s">
        <v>8371</v>
      </c>
      <c r="E69" s="71" t="s">
        <v>8372</v>
      </c>
      <c r="F69" s="71"/>
      <c r="G69" s="3" t="s">
        <v>8873</v>
      </c>
      <c r="H69" s="87">
        <f>IF('J Book Items Cons.'!R3264&lt;&gt;"",'J Book Items Cons.'!R3264,IF('J Book Items Cons.'!N3264&lt;&gt;"",'J Book Items Cons.'!N3264,'J Book Items Cons.'!L3264))</f>
        <v>1008875</v>
      </c>
    </row>
    <row r="70" spans="1:8" ht="9.75" customHeight="1" x14ac:dyDescent="0.15">
      <c r="A70" s="71"/>
      <c r="B70" s="71"/>
      <c r="C70" s="3" t="s">
        <v>6411</v>
      </c>
      <c r="D70" s="71" t="s">
        <v>6434</v>
      </c>
      <c r="E70" s="71" t="s">
        <v>6435</v>
      </c>
      <c r="F70" s="71"/>
      <c r="G70" s="3" t="s">
        <v>43</v>
      </c>
      <c r="H70" s="87">
        <f>IF('J Book Items Cons.'!R2657&lt;&gt;"",'J Book Items Cons.'!R2657,IF('J Book Items Cons.'!N2657&lt;&gt;"",'J Book Items Cons.'!N2657,'J Book Items Cons.'!L2657))</f>
        <v>878787</v>
      </c>
    </row>
    <row r="71" spans="1:8" ht="9.75" customHeight="1" x14ac:dyDescent="0.15">
      <c r="A71" s="71"/>
      <c r="B71" s="71"/>
      <c r="C71" s="3" t="s">
        <v>8334</v>
      </c>
      <c r="D71" s="71" t="s">
        <v>7007</v>
      </c>
      <c r="E71" s="71" t="s">
        <v>8486</v>
      </c>
      <c r="F71" s="71"/>
      <c r="G71" s="3" t="s">
        <v>8873</v>
      </c>
      <c r="H71" s="87">
        <f>IF('J Book Items Cons.'!R3294&lt;&gt;"",'J Book Items Cons.'!R3294,IF('J Book Items Cons.'!N3294&lt;&gt;"",'J Book Items Cons.'!N3294,'J Book Items Cons.'!L3294))</f>
        <v>128513</v>
      </c>
    </row>
    <row r="72" spans="1:8" ht="9.75" customHeight="1" x14ac:dyDescent="0.15">
      <c r="A72" s="71"/>
      <c r="B72" s="71"/>
      <c r="C72" s="3" t="s">
        <v>6411</v>
      </c>
      <c r="D72" s="71" t="s">
        <v>6507</v>
      </c>
      <c r="E72" s="71" t="s">
        <v>6508</v>
      </c>
      <c r="F72" s="71"/>
      <c r="G72" s="3" t="s">
        <v>43</v>
      </c>
      <c r="H72" s="87">
        <f>IF('J Book Items Cons.'!R2672&lt;&gt;"",'J Book Items Cons.'!R2672,IF('J Book Items Cons.'!N2672&lt;&gt;"",'J Book Items Cons.'!N2672,'J Book Items Cons.'!L2672))</f>
        <v>115267</v>
      </c>
    </row>
    <row r="73" spans="1:8" ht="9.75" customHeight="1" x14ac:dyDescent="0.15">
      <c r="A73" s="71"/>
      <c r="B73" s="71"/>
      <c r="C73" s="3" t="s">
        <v>8334</v>
      </c>
      <c r="D73" s="71" t="s">
        <v>8461</v>
      </c>
      <c r="E73" s="71" t="s">
        <v>8462</v>
      </c>
      <c r="F73" s="71"/>
      <c r="G73" s="3" t="s">
        <v>8873</v>
      </c>
      <c r="H73" s="87">
        <f>IF('J Book Items Cons.'!R3288&lt;&gt;"",'J Book Items Cons.'!R3288,IF('J Book Items Cons.'!N3288&lt;&gt;"",'J Book Items Cons.'!N3288,'J Book Items Cons.'!L3288))</f>
        <v>32127</v>
      </c>
    </row>
    <row r="74" spans="1:8" ht="9.75" customHeight="1" x14ac:dyDescent="0.15">
      <c r="A74" s="71"/>
      <c r="B74" s="71"/>
      <c r="C74" s="3" t="s">
        <v>6657</v>
      </c>
      <c r="D74" s="71" t="s">
        <v>6746</v>
      </c>
      <c r="E74" s="71" t="s">
        <v>6747</v>
      </c>
      <c r="F74" s="71"/>
      <c r="G74" s="3" t="s">
        <v>8873</v>
      </c>
      <c r="H74" s="87">
        <f>IF('J Book Items Cons.'!R2723&lt;&gt;"",'J Book Items Cons.'!R2723,IF('J Book Items Cons.'!N2723&lt;&gt;"",'J Book Items Cons.'!N2723,'J Book Items Cons.'!L2723))</f>
        <v>14915</v>
      </c>
    </row>
    <row r="75" spans="1:8" ht="9.75" customHeight="1" x14ac:dyDescent="0.15">
      <c r="A75" s="71"/>
      <c r="B75" s="71"/>
      <c r="C75" s="3" t="s">
        <v>7455</v>
      </c>
      <c r="D75" s="71" t="s">
        <v>7456</v>
      </c>
      <c r="E75" s="71" t="s">
        <v>7457</v>
      </c>
      <c r="F75" s="71"/>
      <c r="G75" s="3" t="s">
        <v>43</v>
      </c>
      <c r="H75" s="87">
        <f>IF('J Book Items Cons.'!R2975&lt;&gt;"",'J Book Items Cons.'!R2975,IF('J Book Items Cons.'!N2975&lt;&gt;"",'J Book Items Cons.'!N2975,'J Book Items Cons.'!L2975))</f>
        <v>7358</v>
      </c>
    </row>
    <row r="76" spans="1:8" ht="9.75" customHeight="1" x14ac:dyDescent="0.15">
      <c r="A76" s="80"/>
      <c r="B76" s="81" t="s">
        <v>8874</v>
      </c>
      <c r="C76" s="89"/>
      <c r="D76" s="82"/>
      <c r="E76" s="80"/>
      <c r="F76" s="82"/>
      <c r="G76" s="89"/>
      <c r="H76" s="82">
        <f>H55+H59+H62</f>
        <v>7213131</v>
      </c>
    </row>
    <row r="77" spans="1:8" ht="9.75" customHeight="1" x14ac:dyDescent="0.15">
      <c r="A77" s="71"/>
      <c r="B77" s="71"/>
      <c r="C77" s="90"/>
      <c r="D77" s="71"/>
      <c r="E77" s="71"/>
      <c r="F77" s="71"/>
      <c r="G77" s="90"/>
      <c r="H77" s="72"/>
    </row>
    <row r="78" spans="1:8" ht="9.75" customHeight="1" x14ac:dyDescent="0.15">
      <c r="A78" s="71"/>
      <c r="B78" s="71"/>
      <c r="C78" s="90"/>
      <c r="D78" s="71"/>
      <c r="E78" s="71"/>
      <c r="F78" s="71"/>
      <c r="G78" s="90"/>
      <c r="H78" s="72"/>
    </row>
    <row r="79" spans="1:8" ht="10.5" customHeight="1" x14ac:dyDescent="0.15">
      <c r="A79" s="83" t="s">
        <v>156</v>
      </c>
      <c r="B79" s="84"/>
      <c r="C79" s="91"/>
      <c r="D79" s="84"/>
      <c r="E79" s="84"/>
      <c r="F79" s="84"/>
      <c r="G79" s="91"/>
      <c r="H79" s="85"/>
    </row>
    <row r="80" spans="1:8" ht="10.5" customHeight="1" x14ac:dyDescent="0.15">
      <c r="A80" s="18"/>
      <c r="B80" s="18" t="s">
        <v>8823</v>
      </c>
      <c r="C80" s="88"/>
      <c r="D80" s="18"/>
      <c r="E80" s="18"/>
      <c r="F80" s="18"/>
      <c r="G80" s="88"/>
      <c r="H80" s="86">
        <f>SUM(H81:H82)</f>
        <v>576389</v>
      </c>
    </row>
    <row r="81" spans="1:8" ht="9.75" customHeight="1" x14ac:dyDescent="0.15">
      <c r="A81" s="71"/>
      <c r="B81" s="71"/>
      <c r="C81" s="3" t="s">
        <v>5597</v>
      </c>
      <c r="D81" s="71"/>
      <c r="E81" s="71" t="s">
        <v>156</v>
      </c>
      <c r="F81" s="71"/>
      <c r="G81" s="3" t="s">
        <v>8873</v>
      </c>
      <c r="H81" s="87">
        <f>IF('J Book Items Cons.'!R2564&lt;&gt;"",'J Book Items Cons.'!R2564,IF('J Book Items Cons.'!N2564&lt;&gt;"",'J Book Items Cons.'!N2564,'J Book Items Cons.'!L2564))</f>
        <v>345600</v>
      </c>
    </row>
    <row r="82" spans="1:8" ht="9.75" customHeight="1" x14ac:dyDescent="0.15">
      <c r="A82" s="71"/>
      <c r="B82" s="71"/>
      <c r="C82" s="3" t="s">
        <v>5597</v>
      </c>
      <c r="D82" s="71"/>
      <c r="E82" s="71" t="s">
        <v>156</v>
      </c>
      <c r="F82" s="71"/>
      <c r="G82" s="3" t="s">
        <v>8873</v>
      </c>
      <c r="H82" s="87">
        <f>IF('J Book Items Cons.'!R2594&lt;&gt;"",'J Book Items Cons.'!R2594,IF('J Book Items Cons.'!N2594&lt;&gt;"",'J Book Items Cons.'!N2594,'J Book Items Cons.'!L2594))</f>
        <v>230789</v>
      </c>
    </row>
    <row r="83" spans="1:8" ht="9.75" customHeight="1" x14ac:dyDescent="0.15">
      <c r="A83" s="18"/>
      <c r="B83" s="18" t="s">
        <v>8825</v>
      </c>
      <c r="C83" s="88"/>
      <c r="D83" s="18"/>
      <c r="E83" s="18"/>
      <c r="F83" s="18"/>
      <c r="G83" s="88"/>
      <c r="H83" s="86"/>
    </row>
    <row r="84" spans="1:8" ht="9.75" customHeight="1" x14ac:dyDescent="0.15">
      <c r="A84" s="71"/>
      <c r="B84" s="71"/>
      <c r="C84" s="3" t="s">
        <v>5597</v>
      </c>
      <c r="D84" s="71"/>
      <c r="E84" s="71" t="s">
        <v>156</v>
      </c>
      <c r="F84" s="71"/>
      <c r="G84" s="3" t="s">
        <v>8873</v>
      </c>
      <c r="H84" s="87">
        <f>IF('J Book Items Cons.'!R2620&lt;&gt;"",'J Book Items Cons.'!R2620,IF('J Book Items Cons.'!N2620&lt;&gt;"",'J Book Items Cons.'!N2620,'J Book Items Cons.'!L2620))</f>
        <v>383361</v>
      </c>
    </row>
    <row r="85" spans="1:8" ht="9.75" customHeight="1" x14ac:dyDescent="0.15">
      <c r="A85" s="71"/>
      <c r="B85" s="71"/>
      <c r="C85" s="3" t="s">
        <v>6411</v>
      </c>
      <c r="D85" s="71" t="s">
        <v>6636</v>
      </c>
      <c r="E85" s="71" t="s">
        <v>6637</v>
      </c>
      <c r="F85" s="71"/>
      <c r="G85" s="3" t="s">
        <v>8873</v>
      </c>
      <c r="H85" s="87">
        <f>IF('J Book Items Cons.'!R2695&lt;&gt;"",'J Book Items Cons.'!R2695,IF('J Book Items Cons.'!N2695&lt;&gt;"",'J Book Items Cons.'!N2695,'J Book Items Cons.'!L2695))</f>
        <v>189458</v>
      </c>
    </row>
    <row r="86" spans="1:8" ht="9.75" customHeight="1" x14ac:dyDescent="0.15">
      <c r="A86" s="71"/>
      <c r="B86" s="71"/>
      <c r="C86" s="3" t="s">
        <v>6411</v>
      </c>
      <c r="D86" s="71" t="s">
        <v>6623</v>
      </c>
      <c r="E86" s="71" t="s">
        <v>6624</v>
      </c>
      <c r="F86" s="71"/>
      <c r="G86" s="3" t="s">
        <v>8873</v>
      </c>
      <c r="H86" s="87">
        <f>IF('J Book Items Cons.'!R2693&lt;&gt;"",'J Book Items Cons.'!R2693,IF('J Book Items Cons.'!N2693&lt;&gt;"",'J Book Items Cons.'!N2693,'J Book Items Cons.'!L2693))</f>
        <v>91372</v>
      </c>
    </row>
    <row r="87" spans="1:8" ht="9.75" customHeight="1" x14ac:dyDescent="0.15">
      <c r="A87" s="71"/>
      <c r="B87" s="71"/>
      <c r="C87" s="3" t="s">
        <v>6411</v>
      </c>
      <c r="D87" s="71" t="s">
        <v>4898</v>
      </c>
      <c r="E87" s="71" t="s">
        <v>6618</v>
      </c>
      <c r="F87" s="71"/>
      <c r="G87" s="3" t="s">
        <v>8873</v>
      </c>
      <c r="H87" s="87">
        <f>IF('J Book Items Cons.'!R2692&lt;&gt;"",'J Book Items Cons.'!R2692,IF('J Book Items Cons.'!N2692&lt;&gt;"",'J Book Items Cons.'!N2692,'J Book Items Cons.'!L2692))</f>
        <v>38880</v>
      </c>
    </row>
    <row r="88" spans="1:8" ht="9.75" customHeight="1" x14ac:dyDescent="0.15">
      <c r="A88" s="71"/>
      <c r="B88" s="71"/>
      <c r="C88" s="3" t="s">
        <v>8334</v>
      </c>
      <c r="D88" s="71" t="s">
        <v>8432</v>
      </c>
      <c r="E88" s="71" t="s">
        <v>8433</v>
      </c>
      <c r="F88" s="71"/>
      <c r="G88" s="3" t="s">
        <v>8873</v>
      </c>
      <c r="H88" s="87">
        <f>IF('J Book Items Cons.'!R3280&lt;&gt;"",'J Book Items Cons.'!R3280,IF('J Book Items Cons.'!N3280&lt;&gt;"",'J Book Items Cons.'!N3280,'J Book Items Cons.'!L3280))</f>
        <v>32238</v>
      </c>
    </row>
    <row r="89" spans="1:8" ht="9.75" customHeight="1" x14ac:dyDescent="0.15">
      <c r="A89" s="71"/>
      <c r="B89" s="71"/>
      <c r="C89" s="3" t="s">
        <v>7118</v>
      </c>
      <c r="D89" s="71" t="s">
        <v>1508</v>
      </c>
      <c r="E89" s="71" t="s">
        <v>7359</v>
      </c>
      <c r="F89" s="71"/>
      <c r="G89" s="3" t="s">
        <v>43</v>
      </c>
      <c r="H89" s="87">
        <f>IF('J Book Items Cons.'!R2925&lt;&gt;"",'J Book Items Cons.'!R2925,IF('J Book Items Cons.'!N2925&lt;&gt;"",'J Book Items Cons.'!N2925,'J Book Items Cons.'!L2925))</f>
        <v>9643</v>
      </c>
    </row>
    <row r="90" spans="1:8" ht="9.75" customHeight="1" x14ac:dyDescent="0.15">
      <c r="A90" s="71"/>
      <c r="B90" s="71"/>
      <c r="C90" s="3" t="s">
        <v>6411</v>
      </c>
      <c r="D90" s="71" t="s">
        <v>6630</v>
      </c>
      <c r="E90" s="71" t="s">
        <v>6631</v>
      </c>
      <c r="F90" s="71"/>
      <c r="G90" s="3" t="s">
        <v>8873</v>
      </c>
      <c r="H90" s="87">
        <f>IF('J Book Items Cons.'!R2694&lt;&gt;"",'J Book Items Cons.'!R2694,IF('J Book Items Cons.'!N2694&lt;&gt;"",'J Book Items Cons.'!N2694,'J Book Items Cons.'!L2694))</f>
        <v>3790</v>
      </c>
    </row>
    <row r="91" spans="1:8" ht="9.75" customHeight="1" x14ac:dyDescent="0.15">
      <c r="A91" s="71"/>
      <c r="B91" s="71"/>
      <c r="C91" s="3" t="s">
        <v>8334</v>
      </c>
      <c r="D91" s="71" t="s">
        <v>8585</v>
      </c>
      <c r="E91" s="71" t="s">
        <v>8586</v>
      </c>
      <c r="F91" s="71"/>
      <c r="G91" s="3" t="s">
        <v>8873</v>
      </c>
      <c r="H91" s="87">
        <f>IF('J Book Items Cons.'!R3320&lt;&gt;"",'J Book Items Cons.'!R3320,IF('J Book Items Cons.'!N3320&lt;&gt;"",'J Book Items Cons.'!N3320,'J Book Items Cons.'!L3320))</f>
        <v>2200</v>
      </c>
    </row>
    <row r="92" spans="1:8" ht="9.75" customHeight="1" x14ac:dyDescent="0.15">
      <c r="A92" s="80"/>
      <c r="B92" s="81" t="s">
        <v>8874</v>
      </c>
      <c r="C92" s="89"/>
      <c r="D92" s="82"/>
      <c r="E92" s="80"/>
      <c r="F92" s="82"/>
      <c r="G92" s="89"/>
      <c r="H92" s="82"/>
    </row>
    <row r="93" spans="1:8" ht="9.75" customHeight="1" x14ac:dyDescent="0.15">
      <c r="A93" s="71"/>
      <c r="B93" s="71"/>
      <c r="C93" s="90"/>
      <c r="D93" s="71"/>
      <c r="E93" s="71"/>
      <c r="F93" s="71"/>
      <c r="G93" s="90"/>
      <c r="H93" s="72"/>
    </row>
    <row r="94" spans="1:8" ht="9.75" customHeight="1" x14ac:dyDescent="0.15">
      <c r="A94" s="71"/>
      <c r="B94" s="71"/>
      <c r="C94" s="90"/>
      <c r="D94" s="71"/>
      <c r="E94" s="71"/>
      <c r="F94" s="71"/>
      <c r="G94" s="90"/>
      <c r="H94" s="72"/>
    </row>
    <row r="95" spans="1:8" ht="9.75" customHeight="1" x14ac:dyDescent="0.15">
      <c r="A95" s="83" t="s">
        <v>5077</v>
      </c>
      <c r="B95" s="84"/>
      <c r="C95" s="91"/>
      <c r="D95" s="84"/>
      <c r="E95" s="84"/>
      <c r="F95" s="84"/>
      <c r="G95" s="91"/>
      <c r="H95" s="85"/>
    </row>
    <row r="96" spans="1:8" ht="10.5" customHeight="1" x14ac:dyDescent="0.15">
      <c r="A96" s="18"/>
      <c r="B96" s="18" t="s">
        <v>8823</v>
      </c>
      <c r="C96" s="88"/>
      <c r="D96" s="18"/>
      <c r="E96" s="18"/>
      <c r="F96" s="18"/>
      <c r="G96" s="88"/>
      <c r="H96" s="86"/>
    </row>
    <row r="97" spans="1:12" ht="12" customHeight="1" x14ac:dyDescent="0.15">
      <c r="A97" s="71"/>
      <c r="B97" s="71"/>
      <c r="C97" s="3" t="s">
        <v>5597</v>
      </c>
      <c r="D97" s="71"/>
      <c r="E97" s="71" t="s">
        <v>5077</v>
      </c>
      <c r="F97" s="71"/>
      <c r="G97" s="3" t="s">
        <v>8873</v>
      </c>
      <c r="H97" s="87">
        <f>IF('J Book Items Cons.'!R2557&lt;&gt;"",'J Book Items Cons.'!R2557,IF('J Book Items Cons.'!N2557&lt;&gt;"",'J Book Items Cons.'!N2557,'J Book Items Cons.'!L2557))</f>
        <v>75209</v>
      </c>
    </row>
    <row r="98" spans="1:12" ht="9.75" customHeight="1" x14ac:dyDescent="0.15">
      <c r="A98" s="71"/>
      <c r="B98" s="71"/>
      <c r="C98" s="3" t="s">
        <v>5597</v>
      </c>
      <c r="D98" s="71"/>
      <c r="E98" s="71" t="s">
        <v>5077</v>
      </c>
      <c r="F98" s="71"/>
      <c r="G98" s="3" t="s">
        <v>8873</v>
      </c>
      <c r="H98" s="87">
        <f>IF('J Book Items Cons.'!R2585&lt;&gt;"",'J Book Items Cons.'!R2585,IF('J Book Items Cons.'!N2585&lt;&gt;"",'J Book Items Cons.'!N2585,'J Book Items Cons.'!L2585))</f>
        <v>40292</v>
      </c>
    </row>
    <row r="99" spans="1:12" ht="9.75" customHeight="1" x14ac:dyDescent="0.15">
      <c r="A99" s="18"/>
      <c r="B99" s="18" t="s">
        <v>8825</v>
      </c>
      <c r="C99" s="88"/>
      <c r="D99" s="18"/>
      <c r="E99" s="18"/>
      <c r="F99" s="18"/>
      <c r="G99" s="88"/>
      <c r="H99" s="86">
        <f>H77</f>
        <v>0</v>
      </c>
    </row>
    <row r="100" spans="1:12" ht="9.75" customHeight="1" x14ac:dyDescent="0.15">
      <c r="A100" s="71"/>
      <c r="B100" s="71"/>
      <c r="C100" s="3" t="s">
        <v>5597</v>
      </c>
      <c r="D100" s="71"/>
      <c r="E100" s="71" t="s">
        <v>5077</v>
      </c>
      <c r="F100" s="71"/>
      <c r="G100" s="3" t="s">
        <v>8873</v>
      </c>
      <c r="H100" s="87">
        <f>IF('J Book Items Cons.'!R2617&lt;&gt;"",'J Book Items Cons.'!R2617,IF('J Book Items Cons.'!N2617&lt;&gt;"",'J Book Items Cons.'!N2617,'J Book Items Cons.'!L2617))</f>
        <v>44940</v>
      </c>
    </row>
    <row r="101" spans="1:12" ht="9.75" customHeight="1" x14ac:dyDescent="0.15">
      <c r="A101" s="80"/>
      <c r="B101" s="81" t="s">
        <v>8874</v>
      </c>
      <c r="C101" s="82"/>
      <c r="D101" s="82"/>
      <c r="E101" s="80"/>
      <c r="F101" s="82"/>
      <c r="G101" s="82"/>
      <c r="H101" s="82"/>
    </row>
    <row r="104" spans="1:12" ht="9.75" customHeight="1" x14ac:dyDescent="0.15">
      <c r="A104" s="47" t="s">
        <v>90</v>
      </c>
      <c r="B104" s="47"/>
      <c r="C104" s="47"/>
      <c r="D104" s="47"/>
      <c r="E104" s="47"/>
      <c r="F104" s="47"/>
      <c r="G104" s="47"/>
      <c r="H104" s="73"/>
      <c r="I104" s="92" t="s">
        <v>8875</v>
      </c>
    </row>
    <row r="105" spans="1:12" ht="9.75" customHeight="1" x14ac:dyDescent="0.15">
      <c r="A105" s="18"/>
      <c r="B105" s="18" t="s">
        <v>8822</v>
      </c>
      <c r="C105" s="18"/>
      <c r="D105" s="18"/>
      <c r="E105" s="18"/>
      <c r="F105" s="18"/>
      <c r="G105" s="18"/>
      <c r="H105" s="77">
        <f>SUM(H83:H84)</f>
        <v>383361</v>
      </c>
      <c r="I105" s="92" t="s">
        <v>8876</v>
      </c>
      <c r="J105" s="92" t="s">
        <v>8877</v>
      </c>
      <c r="K105" s="92" t="s">
        <v>8878</v>
      </c>
      <c r="L105" s="92" t="s">
        <v>8879</v>
      </c>
    </row>
    <row r="106" spans="1:12" ht="9.75" customHeight="1" x14ac:dyDescent="0.15">
      <c r="A106" s="78"/>
      <c r="B106" s="70"/>
      <c r="C106" s="3" t="s">
        <v>37</v>
      </c>
      <c r="D106" s="70">
        <v>2013</v>
      </c>
      <c r="E106" s="70" t="s">
        <v>88</v>
      </c>
      <c r="F106" s="70" t="s">
        <v>41</v>
      </c>
      <c r="G106" s="3" t="s">
        <v>43</v>
      </c>
      <c r="H106" s="60">
        <f>IF('J Book Items Cons.'!R14&lt;&gt;"",'J Book Items Cons.'!R14,IF('J Book Items Cons.'!N14&lt;&gt;"",'J Book Items Cons.'!N14,'J Book Items Cons.'!L14))</f>
        <v>7340305</v>
      </c>
      <c r="I106" s="92" t="s">
        <v>8880</v>
      </c>
      <c r="K106" s="92" t="s">
        <v>8881</v>
      </c>
      <c r="L106" s="92" t="s">
        <v>8882</v>
      </c>
    </row>
    <row r="107" spans="1:12" ht="9.75" customHeight="1" x14ac:dyDescent="0.15">
      <c r="A107" s="78"/>
      <c r="B107" s="70"/>
      <c r="C107" s="3" t="s">
        <v>37</v>
      </c>
      <c r="D107" s="70">
        <v>2013</v>
      </c>
      <c r="E107" s="70" t="s">
        <v>103</v>
      </c>
      <c r="F107" s="70" t="s">
        <v>61</v>
      </c>
      <c r="G107" s="3" t="s">
        <v>8873</v>
      </c>
      <c r="H107" s="60">
        <f>IF('J Book Items Cons.'!R18&lt;&gt;"",'J Book Items Cons.'!R18,IF('J Book Items Cons.'!N18&lt;&gt;"",'J Book Items Cons.'!N18,'J Book Items Cons.'!L18))</f>
        <v>3126816</v>
      </c>
      <c r="I107" s="92" t="s">
        <v>8880</v>
      </c>
      <c r="K107" s="92" t="s">
        <v>8883</v>
      </c>
      <c r="L107" s="92" t="s">
        <v>8882</v>
      </c>
    </row>
    <row r="108" spans="1:12" ht="9.75" customHeight="1" x14ac:dyDescent="0.15">
      <c r="A108" s="18"/>
      <c r="B108" s="18" t="s">
        <v>8823</v>
      </c>
      <c r="C108" s="18"/>
      <c r="D108" s="18"/>
      <c r="E108" s="18"/>
      <c r="F108" s="18"/>
      <c r="G108" s="18"/>
      <c r="H108" s="77">
        <f>SUM(H86:H86)</f>
        <v>91372</v>
      </c>
      <c r="I108" s="92" t="s">
        <v>8884</v>
      </c>
      <c r="J108" s="92" t="s">
        <v>8885</v>
      </c>
      <c r="L108" s="92" t="s">
        <v>8886</v>
      </c>
    </row>
    <row r="109" spans="1:12" ht="9.75" customHeight="1" x14ac:dyDescent="0.15">
      <c r="A109" s="78"/>
      <c r="B109" s="70"/>
      <c r="C109" s="3" t="s">
        <v>5597</v>
      </c>
      <c r="D109" s="70"/>
      <c r="E109" s="70" t="s">
        <v>90</v>
      </c>
      <c r="F109" s="70"/>
      <c r="G109" s="3" t="s">
        <v>8873</v>
      </c>
      <c r="H109" s="60">
        <f>IF('J Book Items Cons.'!R2577&lt;&gt;"",'J Book Items Cons.'!R2577,IF('J Book Items Cons.'!N2577&lt;&gt;"",'J Book Items Cons.'!N2577,'J Book Items Cons.'!L2577))</f>
        <v>75160</v>
      </c>
    </row>
    <row r="110" spans="1:12" ht="9.75" customHeight="1" x14ac:dyDescent="0.15">
      <c r="A110" s="78"/>
      <c r="B110" s="70"/>
      <c r="C110" s="3" t="s">
        <v>5597</v>
      </c>
      <c r="D110" s="70"/>
      <c r="E110" s="70" t="s">
        <v>6254</v>
      </c>
      <c r="F110" s="70"/>
      <c r="G110" s="3" t="s">
        <v>8873</v>
      </c>
      <c r="H110" s="60">
        <f>IF('J Book Items Cons.'!R2578&lt;&gt;"",'J Book Items Cons.'!R2578,IF('J Book Items Cons.'!N2578&lt;&gt;"",'J Book Items Cons.'!N2578,'J Book Items Cons.'!L2578))</f>
        <v>259540</v>
      </c>
    </row>
    <row r="111" spans="1:12" ht="12" customHeight="1" x14ac:dyDescent="0.15">
      <c r="A111" s="78"/>
      <c r="B111" s="70"/>
      <c r="C111" s="3" t="s">
        <v>5597</v>
      </c>
      <c r="D111" s="70"/>
      <c r="E111" s="70" t="s">
        <v>6256</v>
      </c>
      <c r="F111" s="70"/>
      <c r="G111" s="3" t="s">
        <v>8873</v>
      </c>
      <c r="H111" s="60">
        <f>IF('J Book Items Cons.'!R2579&lt;&gt;"",'J Book Items Cons.'!R2579,IF('J Book Items Cons.'!N2579&lt;&gt;"",'J Book Items Cons.'!N2579,'J Book Items Cons.'!L2579))</f>
        <v>453013</v>
      </c>
    </row>
    <row r="112" spans="1:12" ht="12" customHeight="1" x14ac:dyDescent="0.15">
      <c r="A112" s="78"/>
      <c r="B112" s="70"/>
      <c r="C112" s="3" t="s">
        <v>5597</v>
      </c>
      <c r="D112" s="70"/>
      <c r="E112" s="70" t="s">
        <v>90</v>
      </c>
      <c r="F112" s="70"/>
      <c r="G112" s="3" t="s">
        <v>8873</v>
      </c>
      <c r="H112" s="60">
        <f>IF('J Book Items Cons.'!R2608&lt;&gt;"",'J Book Items Cons.'!R2608,IF('J Book Items Cons.'!N2608&lt;&gt;"",'J Book Items Cons.'!N2608,'J Book Items Cons.'!L2608))</f>
        <v>584293</v>
      </c>
    </row>
    <row r="113" spans="1:12" ht="9.75" customHeight="1" x14ac:dyDescent="0.15">
      <c r="A113" s="78"/>
      <c r="B113" s="70"/>
      <c r="C113" s="3" t="s">
        <v>5597</v>
      </c>
      <c r="D113" s="70"/>
      <c r="E113" s="70" t="s">
        <v>6254</v>
      </c>
      <c r="F113" s="70"/>
      <c r="G113" s="3" t="s">
        <v>8873</v>
      </c>
      <c r="H113" s="60">
        <f>IF('J Book Items Cons.'!R2609&lt;&gt;"",'J Book Items Cons.'!R2609,IF('J Book Items Cons.'!N2609&lt;&gt;"",'J Book Items Cons.'!N2609,'J Book Items Cons.'!L2609))</f>
        <v>2431863</v>
      </c>
    </row>
    <row r="114" spans="1:12" ht="9.75" customHeight="1" x14ac:dyDescent="0.15">
      <c r="A114" s="78"/>
      <c r="B114" s="70"/>
      <c r="C114" s="3" t="s">
        <v>5597</v>
      </c>
      <c r="D114" s="70"/>
      <c r="E114" s="70" t="s">
        <v>6256</v>
      </c>
      <c r="F114" s="70"/>
      <c r="G114" s="3" t="s">
        <v>8873</v>
      </c>
      <c r="H114" s="60">
        <f>IF('J Book Items Cons.'!R2610&lt;&gt;"",'J Book Items Cons.'!R2610,IF('J Book Items Cons.'!N2610&lt;&gt;"",'J Book Items Cons.'!N2610,'J Book Items Cons.'!L2610))</f>
        <v>1410798</v>
      </c>
    </row>
    <row r="115" spans="1:12" ht="9.75" customHeight="1" x14ac:dyDescent="0.15">
      <c r="A115" s="18"/>
      <c r="B115" s="18" t="s">
        <v>8825</v>
      </c>
      <c r="C115" s="18"/>
      <c r="D115" s="18"/>
      <c r="E115" s="18"/>
      <c r="F115" s="18"/>
      <c r="G115" s="18"/>
      <c r="H115" s="77">
        <f>SUM(H87:H94)</f>
        <v>86751</v>
      </c>
      <c r="I115" s="92" t="s">
        <v>8887</v>
      </c>
      <c r="J115" s="92" t="s">
        <v>8888</v>
      </c>
    </row>
    <row r="116" spans="1:12" ht="9.75" customHeight="1" x14ac:dyDescent="0.15">
      <c r="A116" s="78"/>
      <c r="B116" s="70"/>
      <c r="C116" s="3" t="s">
        <v>5597</v>
      </c>
      <c r="D116" s="70"/>
      <c r="E116" s="70" t="s">
        <v>6305</v>
      </c>
      <c r="F116" s="70"/>
      <c r="G116" s="3" t="s">
        <v>8873</v>
      </c>
      <c r="H116" s="60">
        <f>IF('J Book Items Cons.'!R2612&lt;&gt;"",'J Book Items Cons.'!R2612,IF('J Book Items Cons.'!N2612&lt;&gt;"",'J Book Items Cons.'!N2612,'J Book Items Cons.'!L2612))</f>
        <v>7620</v>
      </c>
    </row>
    <row r="117" spans="1:12" ht="9.75" customHeight="1" x14ac:dyDescent="0.15">
      <c r="A117" s="78"/>
      <c r="B117" s="70"/>
      <c r="C117" s="3" t="s">
        <v>5597</v>
      </c>
      <c r="D117" s="70"/>
      <c r="E117" s="70" t="s">
        <v>90</v>
      </c>
      <c r="F117" s="70"/>
      <c r="G117" s="3" t="s">
        <v>8873</v>
      </c>
      <c r="H117" s="60">
        <f>IF('J Book Items Cons.'!R2615&lt;&gt;"",'J Book Items Cons.'!R2615,IF('J Book Items Cons.'!N2615&lt;&gt;"",'J Book Items Cons.'!N2615,'J Book Items Cons.'!L2615))</f>
        <v>53356</v>
      </c>
    </row>
    <row r="118" spans="1:12" ht="12" customHeight="1" x14ac:dyDescent="0.15">
      <c r="A118" s="78"/>
      <c r="B118" s="70"/>
      <c r="C118" s="3" t="s">
        <v>6411</v>
      </c>
      <c r="D118" s="70">
        <v>4</v>
      </c>
      <c r="E118" s="70" t="s">
        <v>6428</v>
      </c>
      <c r="F118" s="70"/>
      <c r="G118" s="3" t="s">
        <v>8873</v>
      </c>
      <c r="H118" s="60">
        <f>IF('J Book Items Cons.'!R2656&lt;&gt;"",'J Book Items Cons.'!R2656,IF('J Book Items Cons.'!N2656&lt;&gt;"",'J Book Items Cons.'!N2656,'J Book Items Cons.'!L2656))</f>
        <v>204863</v>
      </c>
      <c r="I118" s="92" t="s">
        <v>8889</v>
      </c>
      <c r="J118" s="92" t="s">
        <v>8890</v>
      </c>
      <c r="K118" s="92" t="s">
        <v>8891</v>
      </c>
      <c r="L118" s="92" t="s">
        <v>8892</v>
      </c>
    </row>
    <row r="119" spans="1:12" ht="12" customHeight="1" x14ac:dyDescent="0.15">
      <c r="A119" s="78"/>
      <c r="B119" s="70"/>
      <c r="C119" s="3" t="s">
        <v>6411</v>
      </c>
      <c r="D119" s="70">
        <v>11</v>
      </c>
      <c r="E119" s="70" t="s">
        <v>6485</v>
      </c>
      <c r="F119" s="70"/>
      <c r="G119" s="3" t="s">
        <v>8873</v>
      </c>
      <c r="H119" s="60">
        <f>IF('J Book Items Cons.'!R2667&lt;&gt;"",'J Book Items Cons.'!R2667,IF('J Book Items Cons.'!N2667&lt;&gt;"",'J Book Items Cons.'!N2667,'J Book Items Cons.'!L2667))</f>
        <v>383062</v>
      </c>
      <c r="I119" s="92" t="s">
        <v>8893</v>
      </c>
    </row>
    <row r="120" spans="1:12" ht="9.75" customHeight="1" x14ac:dyDescent="0.15">
      <c r="A120" s="78"/>
      <c r="B120" s="70"/>
      <c r="C120" s="3" t="s">
        <v>6411</v>
      </c>
      <c r="D120" s="70">
        <v>12</v>
      </c>
      <c r="E120" s="70" t="s">
        <v>6489</v>
      </c>
      <c r="F120" s="70"/>
      <c r="G120" s="3" t="s">
        <v>8873</v>
      </c>
      <c r="H120" s="60">
        <f>IF('J Book Items Cons.'!R2668&lt;&gt;"",'J Book Items Cons.'!R2668,IF('J Book Items Cons.'!N2668&lt;&gt;"",'J Book Items Cons.'!N2668,'J Book Items Cons.'!L2668))</f>
        <v>52039</v>
      </c>
      <c r="I120" s="92" t="s">
        <v>8894</v>
      </c>
    </row>
    <row r="121" spans="1:12" ht="9.75" customHeight="1" x14ac:dyDescent="0.15">
      <c r="A121" s="78"/>
      <c r="B121" s="70"/>
      <c r="C121" s="3" t="s">
        <v>6657</v>
      </c>
      <c r="D121" s="70">
        <v>2150</v>
      </c>
      <c r="E121" s="70" t="s">
        <v>6698</v>
      </c>
      <c r="F121" s="70"/>
      <c r="G121" s="3" t="s">
        <v>43</v>
      </c>
      <c r="H121" s="60">
        <f>IF('J Book Items Cons.'!R2709&lt;&gt;"",'J Book Items Cons.'!R2709,IF('J Book Items Cons.'!N2709&lt;&gt;"",'J Book Items Cons.'!N2709,'J Book Items Cons.'!L2709))</f>
        <v>498597</v>
      </c>
      <c r="I121" s="92" t="s">
        <v>8895</v>
      </c>
      <c r="J121" s="92" t="s">
        <v>8896</v>
      </c>
      <c r="K121" s="92" t="s">
        <v>8897</v>
      </c>
      <c r="L121" s="92" t="s">
        <v>8898</v>
      </c>
    </row>
    <row r="122" spans="1:12" ht="9.75" customHeight="1" x14ac:dyDescent="0.15">
      <c r="A122" s="78"/>
      <c r="B122" s="70"/>
      <c r="C122" s="3" t="s">
        <v>6657</v>
      </c>
      <c r="D122" s="70">
        <v>2210</v>
      </c>
      <c r="E122" s="70" t="s">
        <v>6742</v>
      </c>
      <c r="F122" s="70"/>
      <c r="G122" s="3" t="s">
        <v>8873</v>
      </c>
      <c r="H122" s="60">
        <f>IF('J Book Items Cons.'!R2722&lt;&gt;"",'J Book Items Cons.'!R2722,IF('J Book Items Cons.'!N2722&lt;&gt;"",'J Book Items Cons.'!N2722,'J Book Items Cons.'!L2722))</f>
        <v>56482</v>
      </c>
      <c r="I122" s="92" t="s">
        <v>8899</v>
      </c>
      <c r="L122" s="92" t="s">
        <v>8900</v>
      </c>
    </row>
    <row r="123" spans="1:12" ht="9.75" customHeight="1" x14ac:dyDescent="0.15">
      <c r="A123" s="78"/>
      <c r="B123" s="70"/>
      <c r="C123" s="3" t="s">
        <v>6657</v>
      </c>
      <c r="D123" s="70">
        <v>3107</v>
      </c>
      <c r="E123" s="70" t="s">
        <v>7000</v>
      </c>
      <c r="F123" s="70"/>
      <c r="G123" s="3" t="s">
        <v>8873</v>
      </c>
      <c r="H123" s="60">
        <f>IF('J Book Items Cons.'!R2783&lt;&gt;"",'J Book Items Cons.'!R2783,IF('J Book Items Cons.'!N2783&lt;&gt;"",'J Book Items Cons.'!N2783,'J Book Items Cons.'!L2783))</f>
        <v>113115</v>
      </c>
      <c r="I123" s="92" t="s">
        <v>8901</v>
      </c>
      <c r="K123" s="92" t="s">
        <v>8902</v>
      </c>
      <c r="L123" s="92" t="s">
        <v>8898</v>
      </c>
    </row>
    <row r="124" spans="1:12" ht="12" customHeight="1" x14ac:dyDescent="0.15">
      <c r="A124" s="78"/>
      <c r="B124" s="70"/>
      <c r="C124" s="3" t="s">
        <v>6657</v>
      </c>
      <c r="D124" s="70">
        <v>3130</v>
      </c>
      <c r="E124" s="70" t="s">
        <v>7004</v>
      </c>
      <c r="F124" s="70"/>
      <c r="G124" s="3" t="s">
        <v>8873</v>
      </c>
      <c r="H124" s="60">
        <f>IF('J Book Items Cons.'!R2784&lt;&gt;"",'J Book Items Cons.'!R2784,IF('J Book Items Cons.'!N2784&lt;&gt;"",'J Book Items Cons.'!N2784,'J Book Items Cons.'!L2784))</f>
        <v>84584</v>
      </c>
      <c r="I124" s="92" t="s">
        <v>8903</v>
      </c>
      <c r="K124" s="92" t="s">
        <v>8904</v>
      </c>
      <c r="L124" s="92" t="s">
        <v>8898</v>
      </c>
    </row>
    <row r="125" spans="1:12" ht="12" customHeight="1" x14ac:dyDescent="0.15">
      <c r="A125" s="78"/>
      <c r="B125" s="70"/>
      <c r="C125" s="3" t="s">
        <v>7455</v>
      </c>
      <c r="D125" s="70">
        <v>5353</v>
      </c>
      <c r="E125" s="70" t="s">
        <v>7707</v>
      </c>
      <c r="F125" s="70" t="s">
        <v>293</v>
      </c>
      <c r="G125" s="3" t="s">
        <v>43</v>
      </c>
      <c r="H125" s="60">
        <f>IF('J Book Items Cons.'!R3051&lt;&gt;"",'J Book Items Cons.'!R3051,IF('J Book Items Cons.'!N3051&lt;&gt;"",'J Book Items Cons.'!N3051,'J Book Items Cons.'!L3051))</f>
        <v>67264</v>
      </c>
      <c r="I125" s="92" t="s">
        <v>8905</v>
      </c>
      <c r="K125" s="92" t="s">
        <v>8906</v>
      </c>
      <c r="L125" s="92" t="s">
        <v>8907</v>
      </c>
    </row>
    <row r="126" spans="1:12" ht="9.75" customHeight="1" x14ac:dyDescent="0.15">
      <c r="A126" s="78"/>
      <c r="B126" s="70"/>
      <c r="C126" s="3" t="s">
        <v>7455</v>
      </c>
      <c r="D126" s="70">
        <v>5420</v>
      </c>
      <c r="E126" s="70" t="s">
        <v>7817</v>
      </c>
      <c r="F126" s="70"/>
      <c r="G126" s="3" t="s">
        <v>43</v>
      </c>
      <c r="H126" s="60">
        <f>IF('J Book Items Cons.'!R3096&lt;&gt;"",'J Book Items Cons.'!R3096,IF('J Book Items Cons.'!N3096&lt;&gt;"",'J Book Items Cons.'!N3096,'J Book Items Cons.'!L3096))</f>
        <v>102954</v>
      </c>
      <c r="I126" s="92" t="s">
        <v>8908</v>
      </c>
      <c r="J126" s="92" t="s">
        <v>8909</v>
      </c>
      <c r="K126" s="92" t="s">
        <v>8910</v>
      </c>
      <c r="L126" s="92" t="s">
        <v>8911</v>
      </c>
    </row>
    <row r="127" spans="1:12" ht="9.75" customHeight="1" x14ac:dyDescent="0.15">
      <c r="A127" s="78"/>
      <c r="B127" s="70"/>
      <c r="C127" s="3" t="s">
        <v>8334</v>
      </c>
      <c r="D127" s="70">
        <v>3117</v>
      </c>
      <c r="E127" s="70" t="s">
        <v>8478</v>
      </c>
      <c r="F127" s="70"/>
      <c r="G127" s="3" t="s">
        <v>8873</v>
      </c>
      <c r="H127" s="60">
        <f>IF('J Book Items Cons.'!R3292&lt;&gt;"",'J Book Items Cons.'!R3292,IF('J Book Items Cons.'!N3292&lt;&gt;"",'J Book Items Cons.'!N3292,'J Book Items Cons.'!L3292))</f>
        <v>268321</v>
      </c>
      <c r="I127" s="92" t="s">
        <v>8912</v>
      </c>
      <c r="J127" s="92" t="s">
        <v>8913</v>
      </c>
      <c r="K127" s="92" t="s">
        <v>8914</v>
      </c>
      <c r="L127" s="92" t="s">
        <v>8882</v>
      </c>
    </row>
    <row r="128" spans="1:12" ht="9.75" customHeight="1" x14ac:dyDescent="0.15">
      <c r="A128" s="78"/>
      <c r="B128" s="70"/>
      <c r="C128" s="3" t="s">
        <v>8334</v>
      </c>
      <c r="D128" s="70">
        <v>3225</v>
      </c>
      <c r="E128" s="70" t="s">
        <v>8490</v>
      </c>
      <c r="F128" s="70"/>
      <c r="G128" s="3" t="s">
        <v>8873</v>
      </c>
      <c r="H128" s="60">
        <f>IF('J Book Items Cons.'!R3295&lt;&gt;"",'J Book Items Cons.'!R3295,IF('J Book Items Cons.'!N3295&lt;&gt;"",'J Book Items Cons.'!N3295,'J Book Items Cons.'!L3295))</f>
        <v>31479</v>
      </c>
      <c r="I128" s="92" t="s">
        <v>8915</v>
      </c>
      <c r="K128" s="92" t="s">
        <v>8916</v>
      </c>
      <c r="L128" s="92" t="s">
        <v>8882</v>
      </c>
    </row>
    <row r="129" spans="1:12" ht="9.75" customHeight="1" x14ac:dyDescent="0.15">
      <c r="A129" s="80"/>
      <c r="B129" s="81" t="s">
        <v>8874</v>
      </c>
      <c r="C129" s="82"/>
      <c r="D129" s="82"/>
      <c r="E129" s="80"/>
      <c r="F129" s="82"/>
      <c r="G129" s="82"/>
      <c r="H129" s="82" t="e">
        <f>H82+H85+#REF!</f>
        <v>#REF!</v>
      </c>
    </row>
    <row r="130" spans="1:12" ht="10.5" customHeight="1" x14ac:dyDescent="0.15"/>
    <row r="131" spans="1:12" ht="10.5" customHeight="1" x14ac:dyDescent="0.15"/>
    <row r="132" spans="1:12" ht="9.75" customHeight="1" x14ac:dyDescent="0.15">
      <c r="A132" s="47" t="s">
        <v>47</v>
      </c>
      <c r="B132" s="47"/>
      <c r="C132" s="47"/>
      <c r="D132" s="47"/>
      <c r="E132" s="47"/>
      <c r="F132" s="47"/>
      <c r="G132" s="47"/>
      <c r="H132" s="73"/>
      <c r="I132" s="92" t="s">
        <v>8875</v>
      </c>
    </row>
    <row r="133" spans="1:12" ht="9.75" customHeight="1" x14ac:dyDescent="0.15">
      <c r="A133" s="18"/>
      <c r="B133" s="18" t="s">
        <v>8822</v>
      </c>
      <c r="C133" s="18"/>
      <c r="D133" s="18"/>
      <c r="E133" s="18"/>
      <c r="F133" s="18"/>
      <c r="G133" s="18"/>
      <c r="H133" s="77">
        <f>SUM(H100:H102)</f>
        <v>44940</v>
      </c>
      <c r="I133" s="92" t="s">
        <v>8917</v>
      </c>
      <c r="J133" s="92" t="s">
        <v>8918</v>
      </c>
      <c r="K133" s="92" t="s">
        <v>8919</v>
      </c>
      <c r="L133" s="92" t="s">
        <v>8879</v>
      </c>
    </row>
    <row r="134" spans="1:12" ht="9.75" customHeight="1" x14ac:dyDescent="0.15">
      <c r="A134" s="78"/>
      <c r="B134" s="70"/>
      <c r="C134" s="3" t="s">
        <v>37</v>
      </c>
      <c r="D134" s="70">
        <v>1045</v>
      </c>
      <c r="E134" s="70" t="s">
        <v>40</v>
      </c>
      <c r="F134" s="70" t="s">
        <v>41</v>
      </c>
      <c r="G134" s="3" t="s">
        <v>43</v>
      </c>
      <c r="H134" s="60">
        <f>IF('J Book Items Cons.'!R5&lt;&gt;"",'J Book Items Cons.'!R5,IF('J Book Items Cons.'!N5&lt;&gt;"",'J Book Items Cons.'!N5,'J Book Items Cons.'!L5))</f>
        <v>3928828</v>
      </c>
      <c r="I134" s="92" t="s">
        <v>8880</v>
      </c>
      <c r="K134" s="92" t="s">
        <v>8920</v>
      </c>
      <c r="L134" s="92" t="s">
        <v>8882</v>
      </c>
    </row>
    <row r="135" spans="1:12" ht="9.75" customHeight="1" x14ac:dyDescent="0.15">
      <c r="A135" s="78"/>
      <c r="B135" s="70"/>
      <c r="C135" s="3" t="s">
        <v>37</v>
      </c>
      <c r="D135" s="70">
        <v>1045</v>
      </c>
      <c r="E135" s="70" t="s">
        <v>60</v>
      </c>
      <c r="F135" s="70" t="s">
        <v>61</v>
      </c>
      <c r="G135" s="3" t="s">
        <v>8873</v>
      </c>
      <c r="H135" s="60">
        <f>IF('J Book Items Cons.'!R8&lt;&gt;"",'J Book Items Cons.'!R8,IF('J Book Items Cons.'!N8&lt;&gt;"",'J Book Items Cons.'!N8,'J Book Items Cons.'!L8))</f>
        <v>5350766</v>
      </c>
      <c r="I135" s="92" t="s">
        <v>8921</v>
      </c>
      <c r="J135" s="92" t="s">
        <v>8922</v>
      </c>
      <c r="K135" s="92" t="s">
        <v>8923</v>
      </c>
      <c r="L135" s="92" t="s">
        <v>8882</v>
      </c>
    </row>
    <row r="136" spans="1:12" ht="9.75" customHeight="1" x14ac:dyDescent="0.15">
      <c r="A136" s="78"/>
      <c r="B136" s="70"/>
      <c r="C136" s="3" t="s">
        <v>4371</v>
      </c>
      <c r="D136" s="70"/>
      <c r="E136" s="70" t="s">
        <v>4698</v>
      </c>
      <c r="F136" s="70" t="s">
        <v>4669</v>
      </c>
      <c r="G136" s="3" t="s">
        <v>8873</v>
      </c>
      <c r="H136" s="60">
        <f>IF('J Book Items Cons.'!R1901&lt;&gt;"",'J Book Items Cons.'!R1901,IF('J Book Items Cons.'!N1901&lt;&gt;"",'J Book Items Cons.'!N1901,'J Book Items Cons.'!L1901))</f>
        <v>193600</v>
      </c>
      <c r="I136" s="92" t="s">
        <v>8924</v>
      </c>
      <c r="L136" s="92" t="s">
        <v>8925</v>
      </c>
    </row>
    <row r="137" spans="1:12" ht="10.5" customHeight="1" x14ac:dyDescent="0.15">
      <c r="A137" s="18"/>
      <c r="B137" s="18" t="s">
        <v>8823</v>
      </c>
      <c r="C137" s="18"/>
      <c r="D137" s="18"/>
      <c r="E137" s="18"/>
      <c r="F137" s="18"/>
      <c r="G137" s="18"/>
      <c r="H137" s="77">
        <f>SUM(H104:H105)</f>
        <v>383361</v>
      </c>
      <c r="I137" s="92" t="s">
        <v>8926</v>
      </c>
      <c r="L137" s="92" t="s">
        <v>8927</v>
      </c>
    </row>
    <row r="138" spans="1:12" ht="12" customHeight="1" x14ac:dyDescent="0.15">
      <c r="A138" s="78"/>
      <c r="B138" s="70"/>
      <c r="C138" s="3" t="s">
        <v>5597</v>
      </c>
      <c r="D138" s="70"/>
      <c r="E138" s="70" t="s">
        <v>47</v>
      </c>
      <c r="F138" s="70"/>
      <c r="G138" s="3" t="s">
        <v>8873</v>
      </c>
      <c r="H138" s="60">
        <f>IF('J Book Items Cons.'!R2575&lt;&gt;"",'J Book Items Cons.'!R2575,IF('J Book Items Cons.'!N2575&lt;&gt;"",'J Book Items Cons.'!N2575,'J Book Items Cons.'!L2575))</f>
        <v>577323</v>
      </c>
    </row>
    <row r="139" spans="1:12" ht="9.75" customHeight="1" x14ac:dyDescent="0.15">
      <c r="A139" s="78"/>
      <c r="B139" s="70"/>
      <c r="C139" s="3" t="s">
        <v>5597</v>
      </c>
      <c r="D139" s="70"/>
      <c r="E139" s="70" t="s">
        <v>47</v>
      </c>
      <c r="F139" s="70"/>
      <c r="G139" s="3" t="s">
        <v>8873</v>
      </c>
      <c r="H139" s="60">
        <f>IF('J Book Items Cons.'!R2606&lt;&gt;"",'J Book Items Cons.'!R2606,IF('J Book Items Cons.'!N2606&lt;&gt;"",'J Book Items Cons.'!N2606,'J Book Items Cons.'!L2606))</f>
        <v>301080</v>
      </c>
    </row>
    <row r="140" spans="1:12" ht="9.75" customHeight="1" x14ac:dyDescent="0.15">
      <c r="A140" s="18"/>
      <c r="B140" s="18" t="s">
        <v>8825</v>
      </c>
      <c r="C140" s="18"/>
      <c r="D140" s="18"/>
      <c r="E140" s="18"/>
      <c r="F140" s="18"/>
      <c r="G140" s="18"/>
      <c r="H140" s="77">
        <f>SUM(H107:H109)</f>
        <v>3293348</v>
      </c>
      <c r="I140" s="92" t="s">
        <v>8887</v>
      </c>
      <c r="J140" s="92" t="s">
        <v>8928</v>
      </c>
    </row>
    <row r="141" spans="1:12" ht="9.75" customHeight="1" x14ac:dyDescent="0.15">
      <c r="A141" s="78"/>
      <c r="B141" s="70"/>
      <c r="C141" s="3" t="s">
        <v>5597</v>
      </c>
      <c r="D141" s="70"/>
      <c r="E141" s="70" t="s">
        <v>6311</v>
      </c>
      <c r="F141" s="70"/>
      <c r="G141" s="3" t="s">
        <v>8873</v>
      </c>
      <c r="H141" s="60">
        <f>IF('J Book Items Cons.'!R2614&lt;&gt;"",'J Book Items Cons.'!R2614,IF('J Book Items Cons.'!N2614&lt;&gt;"",'J Book Items Cons.'!N2614,'J Book Items Cons.'!L2614))</f>
        <v>2669</v>
      </c>
    </row>
    <row r="142" spans="1:12" ht="9.75" customHeight="1" x14ac:dyDescent="0.15">
      <c r="A142" s="78"/>
      <c r="B142" s="70"/>
      <c r="C142" s="3" t="s">
        <v>7455</v>
      </c>
      <c r="D142" s="70">
        <v>5358</v>
      </c>
      <c r="E142" s="70" t="s">
        <v>7715</v>
      </c>
      <c r="F142" s="70"/>
      <c r="G142" s="3" t="s">
        <v>43</v>
      </c>
      <c r="H142" s="60">
        <f>IF('J Book Items Cons.'!R3053&lt;&gt;"",'J Book Items Cons.'!R3053,IF('J Book Items Cons.'!N3053&lt;&gt;"",'J Book Items Cons.'!N3053,'J Book Items Cons.'!L3053))</f>
        <v>492999</v>
      </c>
      <c r="I142" s="92" t="s">
        <v>8929</v>
      </c>
      <c r="J142" s="92" t="s">
        <v>8930</v>
      </c>
      <c r="K142" s="92" t="s">
        <v>8931</v>
      </c>
      <c r="L142" s="92" t="s">
        <v>8932</v>
      </c>
    </row>
    <row r="143" spans="1:12" ht="12" customHeight="1" x14ac:dyDescent="0.15">
      <c r="A143" s="78"/>
      <c r="B143" s="70"/>
      <c r="C143" s="3" t="s">
        <v>8334</v>
      </c>
      <c r="D143" s="70">
        <v>1250</v>
      </c>
      <c r="E143" s="70" t="s">
        <v>8336</v>
      </c>
      <c r="F143" s="70"/>
      <c r="G143" s="3" t="s">
        <v>43</v>
      </c>
      <c r="H143" s="60">
        <f>IF('J Book Items Cons.'!R3255&lt;&gt;"",'J Book Items Cons.'!R3255,IF('J Book Items Cons.'!N3255&lt;&gt;"",'J Book Items Cons.'!N3255,'J Book Items Cons.'!L3255))</f>
        <v>2678712</v>
      </c>
      <c r="I143" s="92" t="s">
        <v>8933</v>
      </c>
      <c r="J143" s="92" t="s">
        <v>8934</v>
      </c>
      <c r="K143" s="92" t="s">
        <v>8935</v>
      </c>
      <c r="L143" s="92" t="s">
        <v>8936</v>
      </c>
    </row>
    <row r="144" spans="1:12" ht="10.5" customHeight="1" x14ac:dyDescent="0.15">
      <c r="A144" s="80"/>
      <c r="B144" s="81" t="s">
        <v>8874</v>
      </c>
      <c r="C144" s="82"/>
      <c r="D144" s="82"/>
      <c r="E144" s="80"/>
      <c r="F144" s="82"/>
      <c r="G144" s="82"/>
      <c r="H144" s="82">
        <f>H99+H103+H106</f>
        <v>7340305</v>
      </c>
    </row>
    <row r="147" spans="1:12" ht="9.75" customHeight="1" x14ac:dyDescent="0.15">
      <c r="A147" s="47" t="s">
        <v>6251</v>
      </c>
      <c r="B147" s="47"/>
      <c r="C147" s="47"/>
      <c r="D147" s="47"/>
      <c r="E147" s="47"/>
      <c r="F147" s="47"/>
      <c r="G147" s="47"/>
      <c r="H147" s="73"/>
      <c r="I147" s="92" t="s">
        <v>8937</v>
      </c>
    </row>
    <row r="148" spans="1:12" ht="9.75" customHeight="1" x14ac:dyDescent="0.15">
      <c r="A148" s="18"/>
      <c r="B148" s="18" t="s">
        <v>8823</v>
      </c>
      <c r="C148" s="18"/>
      <c r="D148" s="18"/>
      <c r="E148" s="18"/>
      <c r="F148" s="18"/>
      <c r="G148" s="18"/>
      <c r="H148" s="77">
        <f>SUM(H115:H116)</f>
        <v>94371</v>
      </c>
      <c r="I148" s="92" t="s">
        <v>8938</v>
      </c>
      <c r="L148" s="92" t="s">
        <v>8939</v>
      </c>
    </row>
    <row r="149" spans="1:12" ht="12" customHeight="1" x14ac:dyDescent="0.15">
      <c r="A149" s="78"/>
      <c r="B149" s="70"/>
      <c r="C149" s="3" t="s">
        <v>5597</v>
      </c>
      <c r="D149" s="70"/>
      <c r="E149" s="70" t="s">
        <v>6251</v>
      </c>
      <c r="F149" s="70"/>
      <c r="G149" s="3" t="s">
        <v>8873</v>
      </c>
      <c r="H149" s="60">
        <f>IF('J Book Items Cons.'!R2576&lt;&gt;"",'J Book Items Cons.'!R2576,IF('J Book Items Cons.'!N2576&lt;&gt;"",'J Book Items Cons.'!N2576,'J Book Items Cons.'!L2576))</f>
        <v>157370</v>
      </c>
    </row>
    <row r="150" spans="1:12" ht="12" customHeight="1" x14ac:dyDescent="0.15">
      <c r="A150" s="78"/>
      <c r="B150" s="70"/>
      <c r="C150" s="3" t="s">
        <v>5597</v>
      </c>
      <c r="D150" s="70"/>
      <c r="E150" s="70" t="s">
        <v>6251</v>
      </c>
      <c r="F150" s="70"/>
      <c r="G150" s="3" t="s">
        <v>8873</v>
      </c>
      <c r="H150" s="60">
        <f>IF('J Book Items Cons.'!R2607&lt;&gt;"",'J Book Items Cons.'!R2607,IF('J Book Items Cons.'!N2607&lt;&gt;"",'J Book Items Cons.'!N2607,'J Book Items Cons.'!L2607))</f>
        <v>67781</v>
      </c>
    </row>
    <row r="151" spans="1:12" ht="10.5" customHeight="1" x14ac:dyDescent="0.15">
      <c r="A151" s="80"/>
      <c r="B151" s="81" t="s">
        <v>8874</v>
      </c>
      <c r="C151" s="82"/>
      <c r="D151" s="82"/>
      <c r="E151" s="80"/>
      <c r="F151" s="82"/>
      <c r="G151" s="82"/>
      <c r="H151" s="82">
        <f>H114</f>
        <v>1410798</v>
      </c>
    </row>
    <row r="152" spans="1:12" ht="10.5" customHeight="1" x14ac:dyDescent="0.15"/>
    <row r="153" spans="1:12" ht="10.5" customHeight="1" x14ac:dyDescent="0.15"/>
    <row r="154" spans="1:12" ht="10.5" customHeight="1" x14ac:dyDescent="0.15">
      <c r="A154" s="47" t="s">
        <v>8669</v>
      </c>
      <c r="B154" s="47"/>
      <c r="C154" s="47"/>
      <c r="D154" s="47"/>
      <c r="E154" s="47"/>
      <c r="F154" s="47"/>
      <c r="G154" s="47"/>
      <c r="H154" s="73"/>
      <c r="I154" s="92" t="s">
        <v>8940</v>
      </c>
    </row>
    <row r="155" spans="1:12" ht="10.5" customHeight="1" x14ac:dyDescent="0.15">
      <c r="A155" s="18"/>
      <c r="B155" s="18" t="s">
        <v>8822</v>
      </c>
      <c r="C155" s="18"/>
      <c r="D155" s="18"/>
      <c r="E155" s="18"/>
      <c r="F155" s="18"/>
      <c r="G155" s="18"/>
      <c r="H155" s="77">
        <f>SUM(H122:H122)</f>
        <v>56482</v>
      </c>
      <c r="I155" s="92" t="s">
        <v>8941</v>
      </c>
      <c r="J155" s="92" t="s">
        <v>8942</v>
      </c>
      <c r="K155" s="92" t="s">
        <v>8943</v>
      </c>
      <c r="L155" s="92" t="s">
        <v>8944</v>
      </c>
    </row>
    <row r="156" spans="1:12" ht="12" customHeight="1" x14ac:dyDescent="0.15">
      <c r="A156" s="78"/>
      <c r="B156" s="70"/>
      <c r="C156" s="3" t="s">
        <v>7086</v>
      </c>
      <c r="D156" s="70" t="s">
        <v>8665</v>
      </c>
      <c r="E156" s="70" t="s">
        <v>8666</v>
      </c>
      <c r="F156" s="70" t="s">
        <v>8650</v>
      </c>
      <c r="G156" s="3" t="s">
        <v>8873</v>
      </c>
      <c r="H156" s="60">
        <f>IF('J Book Items Cons.'!R3337&lt;&gt;"",'J Book Items Cons.'!R3337,IF('J Book Items Cons.'!N3337&lt;&gt;"",'J Book Items Cons.'!N3337,'J Book Items Cons.'!L3337))</f>
        <v>130000</v>
      </c>
      <c r="I156" s="92" t="s">
        <v>8941</v>
      </c>
      <c r="K156" s="92" t="s">
        <v>8945</v>
      </c>
      <c r="L156" s="92" t="s">
        <v>8882</v>
      </c>
    </row>
    <row r="157" spans="1:12" ht="10.5" customHeight="1" x14ac:dyDescent="0.15">
      <c r="A157" s="80"/>
      <c r="B157" s="81" t="s">
        <v>8874</v>
      </c>
      <c r="C157" s="82"/>
      <c r="D157" s="82"/>
      <c r="E157" s="80"/>
      <c r="F157" s="82"/>
      <c r="G157" s="82"/>
      <c r="H157" s="82">
        <f>H121</f>
        <v>498597</v>
      </c>
    </row>
    <row r="158" spans="1:12" ht="10.5" customHeight="1" x14ac:dyDescent="0.15"/>
    <row r="159" spans="1:12" ht="10.5" customHeight="1" x14ac:dyDescent="0.15"/>
    <row r="160" spans="1:12" ht="10.5" customHeight="1" x14ac:dyDescent="0.15">
      <c r="A160" s="47" t="s">
        <v>8683</v>
      </c>
      <c r="B160" s="47"/>
      <c r="C160" s="47"/>
      <c r="D160" s="47"/>
      <c r="E160" s="47"/>
      <c r="F160" s="47"/>
      <c r="G160" s="47"/>
      <c r="H160" s="73"/>
      <c r="I160" s="92" t="s">
        <v>8946</v>
      </c>
    </row>
    <row r="161" spans="1:12" ht="10.5" customHeight="1" x14ac:dyDescent="0.15">
      <c r="A161" s="18"/>
      <c r="B161" s="18" t="s">
        <v>8822</v>
      </c>
      <c r="C161" s="18"/>
      <c r="D161" s="18"/>
      <c r="E161" s="18"/>
      <c r="F161" s="18"/>
      <c r="G161" s="18"/>
      <c r="H161" s="77">
        <f>SUM(H128:H128)</f>
        <v>31479</v>
      </c>
      <c r="I161" s="92" t="s">
        <v>8947</v>
      </c>
      <c r="J161" s="92" t="s">
        <v>8948</v>
      </c>
      <c r="K161" s="92" t="s">
        <v>8949</v>
      </c>
      <c r="L161" s="92" t="s">
        <v>8950</v>
      </c>
    </row>
    <row r="162" spans="1:12" ht="12" customHeight="1" x14ac:dyDescent="0.15">
      <c r="A162" s="78"/>
      <c r="B162" s="70"/>
      <c r="C162" s="3" t="s">
        <v>7086</v>
      </c>
      <c r="D162" s="70" t="s">
        <v>8679</v>
      </c>
      <c r="E162" s="70" t="s">
        <v>8680</v>
      </c>
      <c r="F162" s="70" t="s">
        <v>8650</v>
      </c>
      <c r="G162" s="3" t="s">
        <v>8873</v>
      </c>
      <c r="H162" s="60">
        <f>IF('J Book Items Cons.'!R3340&lt;&gt;"",'J Book Items Cons.'!R3340,IF('J Book Items Cons.'!N3340&lt;&gt;"",'J Book Items Cons.'!N3340,'J Book Items Cons.'!L3340))</f>
        <v>98000</v>
      </c>
      <c r="I162" s="92" t="s">
        <v>8947</v>
      </c>
      <c r="K162" s="92" t="s">
        <v>8951</v>
      </c>
      <c r="L162" s="92" t="s">
        <v>8882</v>
      </c>
    </row>
    <row r="163" spans="1:12" ht="10.5" customHeight="1" x14ac:dyDescent="0.15">
      <c r="A163" s="80"/>
      <c r="B163" s="81" t="s">
        <v>8874</v>
      </c>
      <c r="C163" s="82"/>
      <c r="D163" s="82"/>
      <c r="E163" s="80"/>
      <c r="F163" s="82"/>
      <c r="G163" s="82"/>
      <c r="H163" s="82">
        <f>H127</f>
        <v>268321</v>
      </c>
    </row>
    <row r="164" spans="1:12" ht="10.5" customHeight="1" x14ac:dyDescent="0.15"/>
    <row r="165" spans="1:12" ht="10.5" customHeight="1" x14ac:dyDescent="0.15"/>
    <row r="166" spans="1:12" ht="10.5" customHeight="1" x14ac:dyDescent="0.15">
      <c r="A166" s="47" t="s">
        <v>7089</v>
      </c>
      <c r="B166" s="47"/>
      <c r="C166" s="47"/>
      <c r="D166" s="47"/>
      <c r="E166" s="47"/>
      <c r="F166" s="47"/>
      <c r="G166" s="47"/>
      <c r="H166" s="73"/>
      <c r="I166" s="92" t="s">
        <v>8952</v>
      </c>
    </row>
    <row r="167" spans="1:12" ht="10.5" customHeight="1" x14ac:dyDescent="0.15">
      <c r="A167" s="18"/>
      <c r="B167" s="18" t="s">
        <v>8825</v>
      </c>
      <c r="C167" s="18"/>
      <c r="D167" s="18"/>
      <c r="E167" s="18"/>
      <c r="F167" s="18"/>
      <c r="G167" s="18"/>
      <c r="H167" s="77">
        <f>SUM(H134:H135)</f>
        <v>9279594</v>
      </c>
      <c r="I167" s="92" t="s">
        <v>8953</v>
      </c>
      <c r="J167" s="92" t="s">
        <v>8954</v>
      </c>
      <c r="K167" s="92" t="s">
        <v>8955</v>
      </c>
      <c r="L167" s="92" t="s">
        <v>8956</v>
      </c>
    </row>
    <row r="168" spans="1:12" ht="12" customHeight="1" x14ac:dyDescent="0.15">
      <c r="A168" s="78"/>
      <c r="B168" s="70"/>
      <c r="C168" s="3" t="s">
        <v>7086</v>
      </c>
      <c r="D168" s="70"/>
      <c r="E168" s="70" t="s">
        <v>8710</v>
      </c>
      <c r="F168" s="70"/>
      <c r="G168" s="3" t="s">
        <v>8873</v>
      </c>
      <c r="H168" s="60">
        <f>IF('J Book Items Cons.'!R3347&lt;&gt;"",'J Book Items Cons.'!R3347,IF('J Book Items Cons.'!N3347&lt;&gt;"",'J Book Items Cons.'!N3347,'J Book Items Cons.'!L3347))</f>
        <v>30000</v>
      </c>
      <c r="I168" s="92" t="s">
        <v>8957</v>
      </c>
      <c r="K168" s="92" t="s">
        <v>8958</v>
      </c>
    </row>
    <row r="169" spans="1:12" ht="10.5" customHeight="1" x14ac:dyDescent="0.15">
      <c r="A169" s="78"/>
      <c r="B169" s="70"/>
      <c r="C169" s="3" t="s">
        <v>7086</v>
      </c>
      <c r="D169" s="70" t="s">
        <v>8718</v>
      </c>
      <c r="E169" s="70" t="s">
        <v>8719</v>
      </c>
      <c r="F169" s="70"/>
      <c r="G169" s="3" t="s">
        <v>8873</v>
      </c>
      <c r="H169" s="60">
        <f>IF('J Book Items Cons.'!R3349&lt;&gt;"",'J Book Items Cons.'!R3349,IF('J Book Items Cons.'!N3349&lt;&gt;"",'J Book Items Cons.'!N3349,'J Book Items Cons.'!L3349))</f>
        <v>1000</v>
      </c>
      <c r="I169" s="92" t="s">
        <v>8959</v>
      </c>
      <c r="J169" s="92" t="s">
        <v>8960</v>
      </c>
      <c r="L169" s="92" t="s">
        <v>8961</v>
      </c>
    </row>
    <row r="170" spans="1:12" ht="10.5" customHeight="1" x14ac:dyDescent="0.15">
      <c r="A170" s="80"/>
      <c r="B170" s="81" t="s">
        <v>8874</v>
      </c>
      <c r="C170" s="82"/>
      <c r="D170" s="82"/>
      <c r="E170" s="80"/>
      <c r="F170" s="82"/>
      <c r="G170" s="82"/>
      <c r="H170" s="82">
        <f>H133</f>
        <v>44940</v>
      </c>
    </row>
    <row r="171" spans="1:12" ht="10.5" customHeight="1" x14ac:dyDescent="0.15"/>
    <row r="172" spans="1:12" ht="10.5" customHeight="1" x14ac:dyDescent="0.15"/>
    <row r="173" spans="1:12" ht="10.5" customHeight="1" x14ac:dyDescent="0.15">
      <c r="A173" s="47" t="s">
        <v>8652</v>
      </c>
      <c r="B173" s="47"/>
      <c r="C173" s="47"/>
      <c r="D173" s="47"/>
      <c r="E173" s="47"/>
      <c r="F173" s="47"/>
      <c r="G173" s="47"/>
      <c r="H173" s="73"/>
      <c r="I173" s="92" t="s">
        <v>8962</v>
      </c>
    </row>
    <row r="174" spans="1:12" ht="10.5" customHeight="1" x14ac:dyDescent="0.15">
      <c r="A174" s="18"/>
      <c r="B174" s="18" t="s">
        <v>8822</v>
      </c>
      <c r="C174" s="18"/>
      <c r="D174" s="18"/>
      <c r="E174" s="18"/>
      <c r="F174" s="18"/>
      <c r="G174" s="18"/>
      <c r="H174" s="77">
        <f>SUM(H141:H141)</f>
        <v>2669</v>
      </c>
      <c r="I174" s="92" t="s">
        <v>8963</v>
      </c>
      <c r="J174" s="92" t="s">
        <v>8964</v>
      </c>
      <c r="K174" s="92" t="s">
        <v>8965</v>
      </c>
      <c r="L174" s="92" t="s">
        <v>8966</v>
      </c>
    </row>
    <row r="175" spans="1:12" ht="12" customHeight="1" x14ac:dyDescent="0.15">
      <c r="A175" s="78"/>
      <c r="B175" s="70"/>
      <c r="C175" s="3" t="s">
        <v>7086</v>
      </c>
      <c r="D175" s="70" t="s">
        <v>8648</v>
      </c>
      <c r="E175" s="70" t="s">
        <v>8649</v>
      </c>
      <c r="F175" s="70" t="s">
        <v>8650</v>
      </c>
      <c r="G175" s="3" t="s">
        <v>8873</v>
      </c>
      <c r="H175" s="60">
        <f>IF('J Book Items Cons.'!R3334&lt;&gt;"",'J Book Items Cons.'!R3334,IF('J Book Items Cons.'!N3334&lt;&gt;"",'J Book Items Cons.'!N3334,'J Book Items Cons.'!L3334))</f>
        <v>812400</v>
      </c>
      <c r="I175" s="92" t="s">
        <v>8967</v>
      </c>
      <c r="K175" s="92" t="s">
        <v>8968</v>
      </c>
      <c r="L175" s="92" t="s">
        <v>8900</v>
      </c>
    </row>
    <row r="176" spans="1:12" ht="10.5" customHeight="1" x14ac:dyDescent="0.15">
      <c r="A176" s="80"/>
      <c r="B176" s="81" t="s">
        <v>8874</v>
      </c>
      <c r="C176" s="82"/>
      <c r="D176" s="82"/>
      <c r="E176" s="80"/>
      <c r="F176" s="82"/>
      <c r="G176" s="82"/>
      <c r="H176" s="82">
        <f>H140</f>
        <v>3293348</v>
      </c>
    </row>
    <row r="177" spans="1:12" ht="10.5" customHeight="1" x14ac:dyDescent="0.15"/>
    <row r="178" spans="1:12" ht="10.5" customHeight="1" x14ac:dyDescent="0.15"/>
    <row r="179" spans="1:12" ht="10.5" customHeight="1" x14ac:dyDescent="0.15">
      <c r="A179" s="47" t="s">
        <v>8658</v>
      </c>
      <c r="B179" s="47"/>
      <c r="C179" s="47"/>
      <c r="D179" s="47"/>
      <c r="E179" s="47"/>
      <c r="F179" s="47"/>
      <c r="G179" s="47"/>
      <c r="H179" s="73"/>
      <c r="I179" s="92" t="s">
        <v>8969</v>
      </c>
    </row>
    <row r="180" spans="1:12" ht="10.5" customHeight="1" x14ac:dyDescent="0.15">
      <c r="A180" s="18"/>
      <c r="B180" s="18" t="s">
        <v>8822</v>
      </c>
      <c r="C180" s="18"/>
      <c r="D180" s="18"/>
      <c r="E180" s="18"/>
      <c r="F180" s="18"/>
      <c r="G180" s="18"/>
      <c r="H180" s="77">
        <f>SUM(H147:H147)</f>
        <v>0</v>
      </c>
      <c r="I180" s="92" t="s">
        <v>8970</v>
      </c>
      <c r="J180" s="92" t="s">
        <v>8971</v>
      </c>
      <c r="K180" s="92" t="s">
        <v>8972</v>
      </c>
      <c r="L180" s="92" t="s">
        <v>8973</v>
      </c>
    </row>
    <row r="181" spans="1:12" ht="12" customHeight="1" x14ac:dyDescent="0.15">
      <c r="A181" s="78"/>
      <c r="B181" s="70"/>
      <c r="C181" s="3" t="s">
        <v>7086</v>
      </c>
      <c r="D181" s="70" t="s">
        <v>8654</v>
      </c>
      <c r="E181" s="70" t="s">
        <v>8655</v>
      </c>
      <c r="F181" s="70" t="s">
        <v>41</v>
      </c>
      <c r="G181" s="3" t="s">
        <v>8873</v>
      </c>
      <c r="H181" s="60">
        <f>IF('J Book Items Cons.'!R3335&lt;&gt;"",'J Book Items Cons.'!R3335,IF('J Book Items Cons.'!N3335&lt;&gt;"",'J Book Items Cons.'!N3335,'J Book Items Cons.'!L3335))</f>
        <v>216000</v>
      </c>
      <c r="I181" s="92" t="s">
        <v>8970</v>
      </c>
      <c r="K181" s="92" t="s">
        <v>8974</v>
      </c>
      <c r="L181" s="92" t="s">
        <v>8882</v>
      </c>
    </row>
    <row r="182" spans="1:12" ht="10.5" customHeight="1" x14ac:dyDescent="0.15">
      <c r="A182" s="80"/>
      <c r="B182" s="81" t="s">
        <v>8874</v>
      </c>
      <c r="C182" s="82"/>
      <c r="D182" s="82"/>
      <c r="E182" s="80"/>
      <c r="F182" s="82"/>
      <c r="G182" s="82"/>
      <c r="H182" s="82">
        <f>H146</f>
        <v>0</v>
      </c>
    </row>
  </sheetData>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14F"/>
  </sheetPr>
  <dimension ref="A1:E268"/>
  <sheetViews>
    <sheetView showGridLines="0" topLeftCell="A25" zoomScaleNormal="100" workbookViewId="0">
      <selection activeCell="E52" sqref="E52"/>
    </sheetView>
  </sheetViews>
  <sheetFormatPr baseColWidth="10" defaultColWidth="8.6640625" defaultRowHeight="10" customHeight="1" x14ac:dyDescent="0.15"/>
  <cols>
    <col min="1" max="1" width="18" style="1" customWidth="1"/>
    <col min="2" max="2" width="14" style="1" customWidth="1"/>
    <col min="3" max="3" width="24" style="1" customWidth="1"/>
    <col min="4" max="5" width="34" style="1" customWidth="1"/>
    <col min="6" max="6" width="8.6640625" style="1" customWidth="1"/>
    <col min="7" max="16384" width="8.6640625" style="1"/>
  </cols>
  <sheetData>
    <row r="1" spans="1:5" ht="10" customHeight="1" x14ac:dyDescent="0.15">
      <c r="A1" s="2" t="s">
        <v>8975</v>
      </c>
      <c r="B1" s="2"/>
      <c r="C1" s="2"/>
      <c r="D1" s="2"/>
      <c r="E1" s="2"/>
    </row>
    <row r="2" spans="1:5" ht="10" customHeight="1" x14ac:dyDescent="0.15">
      <c r="A2" s="3" t="s">
        <v>8976</v>
      </c>
      <c r="B2" s="4"/>
      <c r="C2" s="4"/>
      <c r="D2" s="4"/>
      <c r="E2" s="4"/>
    </row>
    <row r="3" spans="1:5" ht="10" customHeight="1" x14ac:dyDescent="0.15">
      <c r="A3" s="5"/>
      <c r="B3" s="5"/>
      <c r="C3" s="5"/>
      <c r="D3" s="5"/>
      <c r="E3" s="5"/>
    </row>
    <row r="4" spans="1:5" ht="10" customHeight="1" x14ac:dyDescent="0.15">
      <c r="A4" s="47" t="s">
        <v>8977</v>
      </c>
      <c r="B4" s="47" t="s">
        <v>8978</v>
      </c>
      <c r="C4" s="47" t="s">
        <v>8979</v>
      </c>
      <c r="D4" s="47" t="s">
        <v>8</v>
      </c>
      <c r="E4" s="47" t="s">
        <v>8980</v>
      </c>
    </row>
    <row r="5" spans="1:5" ht="10" customHeight="1" x14ac:dyDescent="0.15">
      <c r="A5" s="5"/>
      <c r="B5" s="5"/>
      <c r="C5" s="5"/>
      <c r="D5" s="5"/>
      <c r="E5" s="5"/>
    </row>
    <row r="6" spans="1:5" ht="10" customHeight="1" x14ac:dyDescent="0.15">
      <c r="A6" s="18" t="s">
        <v>8981</v>
      </c>
      <c r="B6" s="18"/>
      <c r="C6" s="18"/>
      <c r="D6" s="93"/>
      <c r="E6" s="93"/>
    </row>
    <row r="7" spans="1:5" ht="10" customHeight="1" x14ac:dyDescent="0.15">
      <c r="A7" s="7"/>
      <c r="B7" s="7"/>
      <c r="C7" s="7"/>
      <c r="D7" s="7"/>
      <c r="E7" s="7"/>
    </row>
    <row r="8" spans="1:5" ht="10" customHeight="1" x14ac:dyDescent="0.15">
      <c r="A8" s="7" t="s">
        <v>8982</v>
      </c>
      <c r="B8" s="7" t="s">
        <v>8983</v>
      </c>
      <c r="C8" s="7" t="s">
        <v>8873</v>
      </c>
      <c r="D8" s="7" t="s">
        <v>8984</v>
      </c>
      <c r="E8" s="7" t="s">
        <v>8985</v>
      </c>
    </row>
    <row r="9" spans="1:5" ht="10" customHeight="1" x14ac:dyDescent="0.15">
      <c r="A9" s="7" t="s">
        <v>8982</v>
      </c>
      <c r="B9" s="7" t="s">
        <v>8983</v>
      </c>
      <c r="C9" s="7" t="s">
        <v>43</v>
      </c>
      <c r="D9" s="7" t="s">
        <v>8986</v>
      </c>
      <c r="E9" s="7" t="s">
        <v>8987</v>
      </c>
    </row>
    <row r="10" spans="1:5" ht="10" customHeight="1" x14ac:dyDescent="0.15">
      <c r="A10" s="7" t="s">
        <v>8982</v>
      </c>
      <c r="B10" s="7" t="s">
        <v>8983</v>
      </c>
      <c r="C10" s="7" t="s">
        <v>54</v>
      </c>
      <c r="D10" s="7" t="s">
        <v>8988</v>
      </c>
      <c r="E10" s="7" t="s">
        <v>8989</v>
      </c>
    </row>
    <row r="11" spans="1:5" ht="10" customHeight="1" x14ac:dyDescent="0.15">
      <c r="A11" s="7" t="s">
        <v>8982</v>
      </c>
      <c r="B11" s="7" t="s">
        <v>8983</v>
      </c>
      <c r="C11" s="7" t="s">
        <v>407</v>
      </c>
      <c r="D11" s="7" t="s">
        <v>8990</v>
      </c>
      <c r="E11" s="7" t="s">
        <v>8991</v>
      </c>
    </row>
    <row r="12" spans="1:5" ht="10" customHeight="1" x14ac:dyDescent="0.15">
      <c r="A12" s="7" t="s">
        <v>8982</v>
      </c>
      <c r="B12" s="7" t="s">
        <v>8983</v>
      </c>
      <c r="C12" s="7" t="s">
        <v>5253</v>
      </c>
      <c r="D12" s="7" t="s">
        <v>8992</v>
      </c>
      <c r="E12" s="7" t="s">
        <v>8993</v>
      </c>
    </row>
    <row r="13" spans="1:5" ht="10" customHeight="1" x14ac:dyDescent="0.15">
      <c r="A13" s="7" t="s">
        <v>8982</v>
      </c>
      <c r="B13" s="7" t="s">
        <v>8983</v>
      </c>
      <c r="C13" s="7" t="s">
        <v>219</v>
      </c>
      <c r="D13" s="7" t="s">
        <v>8994</v>
      </c>
      <c r="E13" s="7" t="s">
        <v>8995</v>
      </c>
    </row>
    <row r="14" spans="1:5" ht="10" customHeight="1" x14ac:dyDescent="0.15">
      <c r="A14" s="5"/>
      <c r="B14" s="5"/>
      <c r="C14" s="5"/>
      <c r="D14" s="5"/>
      <c r="E14" s="5"/>
    </row>
    <row r="15" spans="1:5" ht="10" customHeight="1" x14ac:dyDescent="0.15">
      <c r="A15" s="18" t="s">
        <v>8996</v>
      </c>
      <c r="B15" s="18"/>
      <c r="C15" s="18"/>
      <c r="D15" s="93"/>
      <c r="E15" s="93"/>
    </row>
    <row r="16" spans="1:5" ht="10" customHeight="1" x14ac:dyDescent="0.15">
      <c r="A16" s="7"/>
      <c r="B16" s="7"/>
      <c r="C16" s="7"/>
      <c r="D16" s="7"/>
      <c r="E16" s="7"/>
    </row>
    <row r="17" spans="1:5" ht="10" customHeight="1" x14ac:dyDescent="0.15">
      <c r="A17" s="7" t="s">
        <v>8997</v>
      </c>
      <c r="B17" s="7" t="s">
        <v>8998</v>
      </c>
      <c r="C17" s="7" t="s">
        <v>8999</v>
      </c>
      <c r="D17" s="7" t="s">
        <v>9000</v>
      </c>
      <c r="E17" s="7" t="s">
        <v>9001</v>
      </c>
    </row>
    <row r="18" spans="1:5" ht="10" customHeight="1" x14ac:dyDescent="0.15">
      <c r="A18" s="7" t="s">
        <v>8997</v>
      </c>
      <c r="B18" s="7" t="s">
        <v>9002</v>
      </c>
      <c r="C18" s="7" t="s">
        <v>9003</v>
      </c>
      <c r="D18" s="7" t="s">
        <v>9004</v>
      </c>
      <c r="E18" s="7"/>
    </row>
    <row r="19" spans="1:5" ht="10" customHeight="1" x14ac:dyDescent="0.15">
      <c r="A19" s="7" t="s">
        <v>8997</v>
      </c>
      <c r="B19" s="7" t="s">
        <v>9002</v>
      </c>
      <c r="C19" s="7" t="s">
        <v>9005</v>
      </c>
      <c r="D19" s="7" t="s">
        <v>9006</v>
      </c>
      <c r="E19" s="7"/>
    </row>
    <row r="20" spans="1:5" ht="10" customHeight="1" x14ac:dyDescent="0.15">
      <c r="A20" s="7" t="s">
        <v>8997</v>
      </c>
      <c r="B20" s="7" t="s">
        <v>9002</v>
      </c>
      <c r="C20" s="7" t="s">
        <v>9007</v>
      </c>
      <c r="D20" s="7" t="s">
        <v>9008</v>
      </c>
      <c r="E20" s="7"/>
    </row>
    <row r="21" spans="1:5" ht="10" customHeight="1" x14ac:dyDescent="0.15">
      <c r="A21" s="5"/>
      <c r="B21" s="5"/>
      <c r="C21" s="5"/>
      <c r="D21" s="5"/>
      <c r="E21" s="5"/>
    </row>
    <row r="22" spans="1:5" ht="10" customHeight="1" x14ac:dyDescent="0.15">
      <c r="A22" s="18" t="s">
        <v>9009</v>
      </c>
      <c r="B22" s="18"/>
      <c r="C22" s="18"/>
      <c r="D22" s="93"/>
      <c r="E22" s="93"/>
    </row>
    <row r="23" spans="1:5" ht="10" customHeight="1" x14ac:dyDescent="0.15">
      <c r="A23" s="7"/>
      <c r="B23" s="7"/>
      <c r="C23" s="7"/>
      <c r="D23" s="7"/>
      <c r="E23" s="7"/>
    </row>
    <row r="24" spans="1:5" ht="10" customHeight="1" x14ac:dyDescent="0.15">
      <c r="A24" s="7" t="s">
        <v>9010</v>
      </c>
      <c r="B24" s="7" t="s">
        <v>9011</v>
      </c>
      <c r="C24" s="7" t="s">
        <v>6412</v>
      </c>
      <c r="D24" s="7" t="s">
        <v>9012</v>
      </c>
      <c r="E24" s="7" t="s">
        <v>9013</v>
      </c>
    </row>
    <row r="25" spans="1:5" ht="10" customHeight="1" x14ac:dyDescent="0.15">
      <c r="A25" s="7" t="s">
        <v>9010</v>
      </c>
      <c r="B25" s="7" t="s">
        <v>9011</v>
      </c>
      <c r="C25" s="7" t="s">
        <v>6417</v>
      </c>
      <c r="D25" s="7" t="s">
        <v>9014</v>
      </c>
      <c r="E25" s="7" t="s">
        <v>9015</v>
      </c>
    </row>
    <row r="26" spans="1:5" ht="10" customHeight="1" x14ac:dyDescent="0.15">
      <c r="A26" s="7" t="s">
        <v>9010</v>
      </c>
      <c r="B26" s="7" t="s">
        <v>9011</v>
      </c>
      <c r="C26" s="7" t="s">
        <v>6422</v>
      </c>
      <c r="D26" s="7" t="s">
        <v>9016</v>
      </c>
      <c r="E26" s="7" t="s">
        <v>9017</v>
      </c>
    </row>
    <row r="27" spans="1:5" ht="10" customHeight="1" x14ac:dyDescent="0.15">
      <c r="A27" s="7" t="s">
        <v>9010</v>
      </c>
      <c r="B27" s="7" t="s">
        <v>9011</v>
      </c>
      <c r="C27" s="7" t="s">
        <v>6427</v>
      </c>
      <c r="D27" s="7" t="s">
        <v>9018</v>
      </c>
      <c r="E27" s="7" t="s">
        <v>9019</v>
      </c>
    </row>
    <row r="28" spans="1:5" ht="10" customHeight="1" x14ac:dyDescent="0.15">
      <c r="A28" s="7" t="s">
        <v>9010</v>
      </c>
      <c r="B28" s="7" t="s">
        <v>9011</v>
      </c>
      <c r="C28" s="7" t="s">
        <v>6434</v>
      </c>
      <c r="D28" s="7" t="s">
        <v>9020</v>
      </c>
      <c r="E28" s="7" t="s">
        <v>9021</v>
      </c>
    </row>
    <row r="29" spans="1:5" ht="10" customHeight="1" x14ac:dyDescent="0.15">
      <c r="A29" s="7" t="s">
        <v>9010</v>
      </c>
      <c r="B29" s="7" t="s">
        <v>9011</v>
      </c>
      <c r="C29" s="7" t="s">
        <v>6458</v>
      </c>
      <c r="D29" s="7" t="s">
        <v>9022</v>
      </c>
      <c r="E29" s="7" t="s">
        <v>9023</v>
      </c>
    </row>
    <row r="30" spans="1:5" ht="10" customHeight="1" x14ac:dyDescent="0.15">
      <c r="A30" s="7" t="s">
        <v>9010</v>
      </c>
      <c r="B30" s="7" t="s">
        <v>9011</v>
      </c>
      <c r="C30" s="7" t="s">
        <v>6463</v>
      </c>
      <c r="D30" s="7" t="s">
        <v>9024</v>
      </c>
      <c r="E30" s="7" t="s">
        <v>9025</v>
      </c>
    </row>
    <row r="31" spans="1:5" ht="10" customHeight="1" x14ac:dyDescent="0.15">
      <c r="A31" s="5"/>
      <c r="B31" s="5"/>
      <c r="C31" s="5"/>
      <c r="D31" s="5"/>
      <c r="E31" s="5"/>
    </row>
    <row r="32" spans="1:5" ht="10" customHeight="1" x14ac:dyDescent="0.15">
      <c r="A32" s="18" t="s">
        <v>9026</v>
      </c>
      <c r="B32" s="18"/>
      <c r="C32" s="18"/>
      <c r="D32" s="93"/>
      <c r="E32" s="93"/>
    </row>
    <row r="33" spans="1:5" ht="10" customHeight="1" x14ac:dyDescent="0.15">
      <c r="A33" s="7"/>
      <c r="B33" s="7"/>
      <c r="C33" s="7"/>
      <c r="D33" s="7"/>
      <c r="E33" s="7"/>
    </row>
    <row r="34" spans="1:5" ht="10" customHeight="1" x14ac:dyDescent="0.15">
      <c r="A34" s="7" t="s">
        <v>9027</v>
      </c>
      <c r="B34" s="7" t="s">
        <v>9028</v>
      </c>
      <c r="C34" s="7" t="s">
        <v>41</v>
      </c>
      <c r="D34" s="7" t="s">
        <v>9029</v>
      </c>
      <c r="E34" s="7" t="s">
        <v>9030</v>
      </c>
    </row>
    <row r="35" spans="1:5" ht="10" customHeight="1" x14ac:dyDescent="0.15">
      <c r="A35" s="7" t="s">
        <v>9027</v>
      </c>
      <c r="B35" s="7" t="s">
        <v>9028</v>
      </c>
      <c r="C35" s="7" t="s">
        <v>61</v>
      </c>
      <c r="D35" s="7" t="s">
        <v>9031</v>
      </c>
      <c r="E35" s="7" t="s">
        <v>9032</v>
      </c>
    </row>
    <row r="36" spans="1:5" ht="10" customHeight="1" x14ac:dyDescent="0.15">
      <c r="A36" s="7" t="s">
        <v>9027</v>
      </c>
      <c r="B36" s="7" t="s">
        <v>9028</v>
      </c>
      <c r="C36" s="7" t="s">
        <v>4669</v>
      </c>
      <c r="D36" s="7" t="s">
        <v>9033</v>
      </c>
      <c r="E36" s="7" t="s">
        <v>9034</v>
      </c>
    </row>
    <row r="37" spans="1:5" ht="10" customHeight="1" x14ac:dyDescent="0.15">
      <c r="A37" s="7" t="s">
        <v>9027</v>
      </c>
      <c r="B37" s="7" t="s">
        <v>9028</v>
      </c>
      <c r="C37" s="7" t="s">
        <v>293</v>
      </c>
      <c r="D37" s="7" t="s">
        <v>9035</v>
      </c>
      <c r="E37" s="7" t="s">
        <v>9036</v>
      </c>
    </row>
    <row r="38" spans="1:5" ht="10" customHeight="1" x14ac:dyDescent="0.15">
      <c r="A38" s="5"/>
      <c r="B38" s="5"/>
      <c r="C38" s="5"/>
      <c r="D38" s="5"/>
      <c r="E38" s="5"/>
    </row>
    <row r="39" spans="1:5" ht="10" customHeight="1" x14ac:dyDescent="0.15">
      <c r="A39" s="18" t="s">
        <v>9037</v>
      </c>
      <c r="B39" s="18"/>
      <c r="C39" s="18"/>
      <c r="D39" s="93"/>
      <c r="E39" s="93"/>
    </row>
    <row r="40" spans="1:5" ht="10" customHeight="1" x14ac:dyDescent="0.15">
      <c r="A40" s="7"/>
      <c r="B40" s="7"/>
      <c r="C40" s="7"/>
      <c r="D40" s="7"/>
      <c r="E40" s="7"/>
    </row>
    <row r="41" spans="1:5" ht="10" customHeight="1" x14ac:dyDescent="0.15">
      <c r="A41" s="7" t="s">
        <v>9038</v>
      </c>
      <c r="B41" s="7" t="s">
        <v>9039</v>
      </c>
      <c r="C41" s="7" t="s">
        <v>44</v>
      </c>
      <c r="D41" s="7" t="s">
        <v>9040</v>
      </c>
      <c r="E41" s="7"/>
    </row>
    <row r="42" spans="1:5" ht="10" customHeight="1" x14ac:dyDescent="0.15">
      <c r="A42" s="7"/>
      <c r="B42" s="7"/>
      <c r="C42" s="7"/>
      <c r="D42" s="7"/>
      <c r="E42" s="7"/>
    </row>
    <row r="43" spans="1:5" ht="10" customHeight="1" x14ac:dyDescent="0.15">
      <c r="A43" s="7" t="s">
        <v>9038</v>
      </c>
      <c r="B43" s="7" t="s">
        <v>9041</v>
      </c>
      <c r="C43" s="7" t="s">
        <v>45</v>
      </c>
      <c r="D43" s="7" t="s">
        <v>9042</v>
      </c>
      <c r="E43" s="7"/>
    </row>
    <row r="44" spans="1:5" ht="10" customHeight="1" x14ac:dyDescent="0.15">
      <c r="A44" s="7" t="s">
        <v>9038</v>
      </c>
      <c r="B44" s="7" t="s">
        <v>9043</v>
      </c>
      <c r="C44" s="7" t="s">
        <v>67</v>
      </c>
      <c r="D44" s="7" t="s">
        <v>9044</v>
      </c>
      <c r="E44" s="7" t="s">
        <v>9045</v>
      </c>
    </row>
    <row r="45" spans="1:5" ht="10" customHeight="1" x14ac:dyDescent="0.15">
      <c r="A45" s="7" t="s">
        <v>9038</v>
      </c>
      <c r="B45" s="7" t="s">
        <v>9043</v>
      </c>
      <c r="C45" s="7" t="s">
        <v>130</v>
      </c>
      <c r="D45" s="7" t="s">
        <v>9046</v>
      </c>
      <c r="E45" s="7" t="s">
        <v>9047</v>
      </c>
    </row>
    <row r="46" spans="1:5" ht="10" customHeight="1" x14ac:dyDescent="0.15">
      <c r="A46" s="7" t="s">
        <v>9038</v>
      </c>
      <c r="B46" s="7" t="s">
        <v>9043</v>
      </c>
      <c r="C46" s="7" t="s">
        <v>46</v>
      </c>
      <c r="D46" s="7" t="s">
        <v>9048</v>
      </c>
      <c r="E46" s="7" t="s">
        <v>9049</v>
      </c>
    </row>
    <row r="47" spans="1:5" ht="10" customHeight="1" x14ac:dyDescent="0.15">
      <c r="A47" s="7" t="s">
        <v>9038</v>
      </c>
      <c r="B47" s="7" t="s">
        <v>9043</v>
      </c>
      <c r="C47" s="7" t="s">
        <v>171</v>
      </c>
      <c r="D47" s="7" t="s">
        <v>9050</v>
      </c>
      <c r="E47" s="7" t="s">
        <v>9051</v>
      </c>
    </row>
    <row r="48" spans="1:5" ht="10" customHeight="1" x14ac:dyDescent="0.15">
      <c r="A48" s="7" t="s">
        <v>9038</v>
      </c>
      <c r="B48" s="7" t="s">
        <v>9043</v>
      </c>
      <c r="C48" s="7" t="s">
        <v>4779</v>
      </c>
      <c r="D48" s="7" t="s">
        <v>9052</v>
      </c>
      <c r="E48" s="7" t="s">
        <v>9053</v>
      </c>
    </row>
    <row r="49" spans="1:5" ht="10" customHeight="1" x14ac:dyDescent="0.15">
      <c r="A49" s="7" t="s">
        <v>9038</v>
      </c>
      <c r="B49" s="7" t="s">
        <v>9043</v>
      </c>
      <c r="C49" s="7" t="s">
        <v>235</v>
      </c>
      <c r="D49" s="7" t="s">
        <v>9054</v>
      </c>
      <c r="E49" s="7" t="s">
        <v>9055</v>
      </c>
    </row>
    <row r="50" spans="1:5" ht="10" customHeight="1" x14ac:dyDescent="0.15">
      <c r="A50" s="7" t="s">
        <v>9038</v>
      </c>
      <c r="B50" s="7" t="s">
        <v>9043</v>
      </c>
      <c r="C50" s="7" t="s">
        <v>4977</v>
      </c>
      <c r="D50" s="7" t="s">
        <v>9056</v>
      </c>
      <c r="E50" s="7" t="s">
        <v>9057</v>
      </c>
    </row>
    <row r="51" spans="1:5" ht="10" customHeight="1" x14ac:dyDescent="0.15">
      <c r="A51" s="7" t="s">
        <v>9038</v>
      </c>
      <c r="B51" s="7" t="s">
        <v>9043</v>
      </c>
      <c r="C51" s="7" t="s">
        <v>5084</v>
      </c>
      <c r="D51" s="7" t="s">
        <v>9058</v>
      </c>
      <c r="E51" s="7" t="s">
        <v>9059</v>
      </c>
    </row>
    <row r="52" spans="1:5" ht="10" customHeight="1" x14ac:dyDescent="0.15">
      <c r="A52" s="7" t="s">
        <v>9038</v>
      </c>
      <c r="B52" s="7" t="s">
        <v>9043</v>
      </c>
      <c r="C52" s="7" t="s">
        <v>249</v>
      </c>
      <c r="D52" s="7" t="s">
        <v>9060</v>
      </c>
      <c r="E52" s="7" t="s">
        <v>9061</v>
      </c>
    </row>
    <row r="53" spans="1:5" ht="10" customHeight="1" x14ac:dyDescent="0.15">
      <c r="A53" s="7" t="s">
        <v>9038</v>
      </c>
      <c r="B53" s="7" t="s">
        <v>9043</v>
      </c>
      <c r="C53" s="7" t="s">
        <v>264</v>
      </c>
      <c r="D53" s="7" t="s">
        <v>9062</v>
      </c>
      <c r="E53" s="7" t="s">
        <v>9063</v>
      </c>
    </row>
    <row r="54" spans="1:5" ht="10" customHeight="1" x14ac:dyDescent="0.15">
      <c r="A54" s="7" t="s">
        <v>9038</v>
      </c>
      <c r="B54" s="7" t="s">
        <v>9043</v>
      </c>
      <c r="C54" s="7" t="s">
        <v>211</v>
      </c>
      <c r="D54" s="7" t="s">
        <v>9064</v>
      </c>
      <c r="E54" s="7" t="s">
        <v>9065</v>
      </c>
    </row>
    <row r="55" spans="1:5" ht="10" customHeight="1" x14ac:dyDescent="0.15">
      <c r="A55" s="7"/>
      <c r="B55" s="7"/>
      <c r="C55" s="7"/>
      <c r="D55" s="7"/>
      <c r="E55" s="7"/>
    </row>
    <row r="56" spans="1:5" ht="10" customHeight="1" x14ac:dyDescent="0.15">
      <c r="A56" s="7" t="s">
        <v>9038</v>
      </c>
      <c r="B56" s="7" t="s">
        <v>9041</v>
      </c>
      <c r="C56" s="7" t="s">
        <v>272</v>
      </c>
      <c r="D56" s="7" t="s">
        <v>9066</v>
      </c>
      <c r="E56" s="7"/>
    </row>
    <row r="57" spans="1:5" ht="10" customHeight="1" x14ac:dyDescent="0.15">
      <c r="A57" s="7" t="s">
        <v>9038</v>
      </c>
      <c r="B57" s="7" t="s">
        <v>9043</v>
      </c>
      <c r="C57" s="7" t="s">
        <v>5405</v>
      </c>
      <c r="D57" s="7" t="s">
        <v>9067</v>
      </c>
      <c r="E57" s="7" t="s">
        <v>9068</v>
      </c>
    </row>
    <row r="58" spans="1:5" ht="10" customHeight="1" x14ac:dyDescent="0.15">
      <c r="A58" s="7" t="s">
        <v>9038</v>
      </c>
      <c r="B58" s="7" t="s">
        <v>9043</v>
      </c>
      <c r="C58" s="7" t="s">
        <v>4722</v>
      </c>
      <c r="D58" s="7" t="s">
        <v>9069</v>
      </c>
      <c r="E58" s="7" t="s">
        <v>9070</v>
      </c>
    </row>
    <row r="59" spans="1:5" ht="10" customHeight="1" x14ac:dyDescent="0.15">
      <c r="A59" s="7" t="s">
        <v>9038</v>
      </c>
      <c r="B59" s="7" t="s">
        <v>9043</v>
      </c>
      <c r="C59" s="7" t="s">
        <v>273</v>
      </c>
      <c r="D59" s="7" t="s">
        <v>9071</v>
      </c>
      <c r="E59" s="7" t="s">
        <v>9072</v>
      </c>
    </row>
    <row r="60" spans="1:5" ht="10" customHeight="1" x14ac:dyDescent="0.15">
      <c r="A60" s="7" t="s">
        <v>9038</v>
      </c>
      <c r="B60" s="7" t="s">
        <v>9043</v>
      </c>
      <c r="C60" s="7" t="s">
        <v>5147</v>
      </c>
      <c r="D60" s="7" t="s">
        <v>9073</v>
      </c>
      <c r="E60" s="7" t="s">
        <v>9074</v>
      </c>
    </row>
    <row r="61" spans="1:5" ht="10" customHeight="1" x14ac:dyDescent="0.15">
      <c r="A61" s="7" t="s">
        <v>9038</v>
      </c>
      <c r="B61" s="7" t="s">
        <v>9043</v>
      </c>
      <c r="C61" s="7" t="s">
        <v>288</v>
      </c>
      <c r="D61" s="7" t="s">
        <v>9075</v>
      </c>
      <c r="E61" s="7" t="s">
        <v>9076</v>
      </c>
    </row>
    <row r="62" spans="1:5" ht="10" customHeight="1" x14ac:dyDescent="0.15">
      <c r="A62" s="7" t="s">
        <v>9038</v>
      </c>
      <c r="B62" s="7" t="s">
        <v>9043</v>
      </c>
      <c r="C62" s="7" t="s">
        <v>9077</v>
      </c>
      <c r="D62" s="7" t="s">
        <v>9078</v>
      </c>
      <c r="E62" s="7" t="s">
        <v>9079</v>
      </c>
    </row>
    <row r="63" spans="1:5" ht="10" customHeight="1" x14ac:dyDescent="0.15">
      <c r="A63" s="7" t="s">
        <v>9038</v>
      </c>
      <c r="B63" s="7" t="s">
        <v>9043</v>
      </c>
      <c r="C63" s="7" t="s">
        <v>9080</v>
      </c>
      <c r="D63" s="7" t="s">
        <v>9081</v>
      </c>
      <c r="E63" s="7" t="s">
        <v>9082</v>
      </c>
    </row>
    <row r="64" spans="1:5" ht="10" customHeight="1" x14ac:dyDescent="0.15">
      <c r="A64" s="7" t="s">
        <v>9038</v>
      </c>
      <c r="B64" s="7" t="s">
        <v>9043</v>
      </c>
      <c r="C64" s="7" t="s">
        <v>5400</v>
      </c>
      <c r="D64" s="7" t="s">
        <v>9083</v>
      </c>
      <c r="E64" s="7" t="s">
        <v>9084</v>
      </c>
    </row>
    <row r="65" spans="1:5" ht="10" customHeight="1" x14ac:dyDescent="0.15">
      <c r="A65" s="7" t="s">
        <v>9038</v>
      </c>
      <c r="B65" s="7" t="s">
        <v>9043</v>
      </c>
      <c r="C65" s="7" t="s">
        <v>5103</v>
      </c>
      <c r="D65" s="7" t="s">
        <v>9085</v>
      </c>
      <c r="E65" s="7" t="s">
        <v>9086</v>
      </c>
    </row>
    <row r="66" spans="1:5" ht="10" customHeight="1" x14ac:dyDescent="0.15">
      <c r="A66" s="7" t="s">
        <v>9038</v>
      </c>
      <c r="B66" s="7" t="s">
        <v>9043</v>
      </c>
      <c r="C66" s="7" t="s">
        <v>5137</v>
      </c>
      <c r="D66" s="7" t="s">
        <v>9087</v>
      </c>
      <c r="E66" s="7" t="s">
        <v>9088</v>
      </c>
    </row>
    <row r="67" spans="1:5" ht="10" customHeight="1" x14ac:dyDescent="0.15">
      <c r="A67" s="7" t="s">
        <v>9038</v>
      </c>
      <c r="B67" s="7" t="s">
        <v>9043</v>
      </c>
      <c r="C67" s="7" t="s">
        <v>9089</v>
      </c>
      <c r="D67" s="7" t="s">
        <v>9090</v>
      </c>
      <c r="E67" s="7" t="s">
        <v>9091</v>
      </c>
    </row>
    <row r="68" spans="1:5" ht="10" customHeight="1" x14ac:dyDescent="0.15">
      <c r="A68" s="7"/>
      <c r="B68" s="7"/>
      <c r="C68" s="7"/>
      <c r="D68" s="7"/>
      <c r="E68" s="7"/>
    </row>
    <row r="69" spans="1:5" ht="10" customHeight="1" x14ac:dyDescent="0.15">
      <c r="A69" s="7" t="s">
        <v>9038</v>
      </c>
      <c r="B69" s="7" t="s">
        <v>9041</v>
      </c>
      <c r="C69" s="7" t="s">
        <v>281</v>
      </c>
      <c r="D69" s="7" t="s">
        <v>9092</v>
      </c>
      <c r="E69" s="7"/>
    </row>
    <row r="70" spans="1:5" ht="10" customHeight="1" x14ac:dyDescent="0.15">
      <c r="A70" s="7" t="s">
        <v>9038</v>
      </c>
      <c r="B70" s="7" t="s">
        <v>9043</v>
      </c>
      <c r="C70" s="7" t="s">
        <v>6240</v>
      </c>
      <c r="D70" s="7" t="s">
        <v>9093</v>
      </c>
      <c r="E70" s="7" t="s">
        <v>9094</v>
      </c>
    </row>
    <row r="71" spans="1:5" ht="10" customHeight="1" x14ac:dyDescent="0.15">
      <c r="A71" s="7" t="s">
        <v>9038</v>
      </c>
      <c r="B71" s="7" t="s">
        <v>9043</v>
      </c>
      <c r="C71" s="7" t="s">
        <v>282</v>
      </c>
      <c r="D71" s="7" t="s">
        <v>9095</v>
      </c>
      <c r="E71" s="7" t="s">
        <v>9096</v>
      </c>
    </row>
    <row r="72" spans="1:5" ht="10" customHeight="1" x14ac:dyDescent="0.15">
      <c r="A72" s="7" t="s">
        <v>9038</v>
      </c>
      <c r="B72" s="7" t="s">
        <v>9043</v>
      </c>
      <c r="C72" s="7" t="s">
        <v>9097</v>
      </c>
      <c r="D72" s="7" t="s">
        <v>9098</v>
      </c>
      <c r="E72" s="7" t="s">
        <v>9099</v>
      </c>
    </row>
    <row r="73" spans="1:5" ht="10" customHeight="1" x14ac:dyDescent="0.15">
      <c r="A73" s="7" t="s">
        <v>9038</v>
      </c>
      <c r="B73" s="7" t="s">
        <v>9043</v>
      </c>
      <c r="C73" s="7" t="s">
        <v>6609</v>
      </c>
      <c r="D73" s="7" t="s">
        <v>9100</v>
      </c>
      <c r="E73" s="7" t="s">
        <v>9101</v>
      </c>
    </row>
    <row r="74" spans="1:5" ht="10" customHeight="1" x14ac:dyDescent="0.15">
      <c r="A74" s="7"/>
      <c r="B74" s="7"/>
      <c r="C74" s="7"/>
      <c r="D74" s="7"/>
      <c r="E74" s="7"/>
    </row>
    <row r="75" spans="1:5" ht="10" customHeight="1" x14ac:dyDescent="0.15">
      <c r="A75" s="7" t="s">
        <v>9038</v>
      </c>
      <c r="B75" s="7" t="s">
        <v>9041</v>
      </c>
      <c r="C75" s="7" t="s">
        <v>4767</v>
      </c>
      <c r="D75" s="7" t="s">
        <v>9102</v>
      </c>
      <c r="E75" s="7"/>
    </row>
    <row r="76" spans="1:5" ht="10" customHeight="1" x14ac:dyDescent="0.15">
      <c r="A76" s="7" t="s">
        <v>9038</v>
      </c>
      <c r="B76" s="7" t="s">
        <v>9043</v>
      </c>
      <c r="C76" s="7" t="s">
        <v>5560</v>
      </c>
      <c r="D76" s="7" t="s">
        <v>9103</v>
      </c>
      <c r="E76" s="7" t="s">
        <v>9104</v>
      </c>
    </row>
    <row r="77" spans="1:5" ht="10" customHeight="1" x14ac:dyDescent="0.15">
      <c r="A77" s="7" t="s">
        <v>9038</v>
      </c>
      <c r="B77" s="7" t="s">
        <v>9043</v>
      </c>
      <c r="C77" s="7" t="s">
        <v>4768</v>
      </c>
      <c r="D77" s="7" t="s">
        <v>9105</v>
      </c>
      <c r="E77" s="7" t="s">
        <v>9106</v>
      </c>
    </row>
    <row r="78" spans="1:5" ht="10" customHeight="1" x14ac:dyDescent="0.15">
      <c r="A78" s="7"/>
      <c r="B78" s="7"/>
      <c r="C78" s="7"/>
      <c r="D78" s="7"/>
      <c r="E78" s="7"/>
    </row>
    <row r="79" spans="1:5" ht="10" customHeight="1" x14ac:dyDescent="0.15">
      <c r="A79" s="7" t="s">
        <v>9038</v>
      </c>
      <c r="B79" s="7" t="s">
        <v>9041</v>
      </c>
      <c r="C79" s="7" t="s">
        <v>355</v>
      </c>
      <c r="D79" s="7" t="s">
        <v>9107</v>
      </c>
      <c r="E79" s="7"/>
    </row>
    <row r="80" spans="1:5" ht="10" customHeight="1" x14ac:dyDescent="0.15">
      <c r="A80" s="7" t="s">
        <v>9038</v>
      </c>
      <c r="B80" s="7" t="s">
        <v>9043</v>
      </c>
      <c r="C80" s="7" t="s">
        <v>9108</v>
      </c>
      <c r="D80" s="7" t="s">
        <v>9109</v>
      </c>
      <c r="E80" s="7" t="s">
        <v>9110</v>
      </c>
    </row>
    <row r="81" spans="1:5" ht="10" customHeight="1" x14ac:dyDescent="0.15">
      <c r="A81" s="7" t="s">
        <v>9038</v>
      </c>
      <c r="B81" s="7" t="s">
        <v>9043</v>
      </c>
      <c r="C81" s="7" t="s">
        <v>9111</v>
      </c>
      <c r="D81" s="7" t="s">
        <v>9112</v>
      </c>
      <c r="E81" s="7" t="s">
        <v>9113</v>
      </c>
    </row>
    <row r="82" spans="1:5" ht="10" customHeight="1" x14ac:dyDescent="0.15">
      <c r="A82" s="7" t="s">
        <v>9038</v>
      </c>
      <c r="B82" s="7" t="s">
        <v>9043</v>
      </c>
      <c r="C82" s="7" t="s">
        <v>9114</v>
      </c>
      <c r="D82" s="7" t="s">
        <v>9115</v>
      </c>
      <c r="E82" s="7" t="s">
        <v>9116</v>
      </c>
    </row>
    <row r="83" spans="1:5" ht="10" customHeight="1" x14ac:dyDescent="0.15">
      <c r="A83" s="7" t="s">
        <v>9038</v>
      </c>
      <c r="B83" s="7" t="s">
        <v>9043</v>
      </c>
      <c r="C83" s="7" t="s">
        <v>8815</v>
      </c>
      <c r="D83" s="7" t="s">
        <v>9117</v>
      </c>
      <c r="E83" s="7" t="s">
        <v>9118</v>
      </c>
    </row>
    <row r="84" spans="1:5" ht="10" customHeight="1" x14ac:dyDescent="0.15">
      <c r="A84" s="7" t="s">
        <v>9038</v>
      </c>
      <c r="B84" s="7" t="s">
        <v>9043</v>
      </c>
      <c r="C84" s="7" t="s">
        <v>356</v>
      </c>
      <c r="D84" s="7" t="s">
        <v>9119</v>
      </c>
      <c r="E84" s="7" t="s">
        <v>9120</v>
      </c>
    </row>
    <row r="85" spans="1:5" ht="10" customHeight="1" x14ac:dyDescent="0.15">
      <c r="A85" s="7" t="s">
        <v>9038</v>
      </c>
      <c r="B85" s="7" t="s">
        <v>9043</v>
      </c>
      <c r="C85" s="7" t="s">
        <v>5380</v>
      </c>
      <c r="D85" s="7" t="s">
        <v>9121</v>
      </c>
      <c r="E85" s="7" t="s">
        <v>9122</v>
      </c>
    </row>
    <row r="86" spans="1:5" ht="10" customHeight="1" x14ac:dyDescent="0.15">
      <c r="A86" s="7" t="s">
        <v>9038</v>
      </c>
      <c r="B86" s="7" t="s">
        <v>9043</v>
      </c>
      <c r="C86" s="7" t="s">
        <v>9123</v>
      </c>
      <c r="D86" s="7" t="s">
        <v>9124</v>
      </c>
      <c r="E86" s="7" t="s">
        <v>9125</v>
      </c>
    </row>
    <row r="87" spans="1:5" ht="10" customHeight="1" x14ac:dyDescent="0.15">
      <c r="A87" s="7" t="s">
        <v>9038</v>
      </c>
      <c r="B87" s="7" t="s">
        <v>9043</v>
      </c>
      <c r="C87" s="7" t="s">
        <v>9126</v>
      </c>
      <c r="D87" s="7" t="s">
        <v>9127</v>
      </c>
      <c r="E87" s="7" t="s">
        <v>9128</v>
      </c>
    </row>
    <row r="88" spans="1:5" ht="10" customHeight="1" x14ac:dyDescent="0.15">
      <c r="A88" s="7"/>
      <c r="B88" s="7"/>
      <c r="C88" s="7"/>
      <c r="D88" s="7"/>
      <c r="E88" s="7"/>
    </row>
    <row r="89" spans="1:5" ht="10" customHeight="1" x14ac:dyDescent="0.15">
      <c r="A89" s="7" t="s">
        <v>9038</v>
      </c>
      <c r="B89" s="7" t="s">
        <v>9039</v>
      </c>
      <c r="C89" s="7" t="s">
        <v>221</v>
      </c>
      <c r="D89" s="7" t="s">
        <v>9129</v>
      </c>
      <c r="E89" s="7"/>
    </row>
    <row r="90" spans="1:5" ht="10" customHeight="1" x14ac:dyDescent="0.15">
      <c r="A90" s="7" t="s">
        <v>9038</v>
      </c>
      <c r="B90" s="7" t="s">
        <v>9002</v>
      </c>
      <c r="C90" s="7" t="s">
        <v>9130</v>
      </c>
      <c r="D90" s="7" t="s">
        <v>9131</v>
      </c>
      <c r="E90" s="7" t="s">
        <v>9132</v>
      </c>
    </row>
    <row r="91" spans="1:5" ht="10" customHeight="1" x14ac:dyDescent="0.15">
      <c r="A91" s="7"/>
      <c r="B91" s="7"/>
      <c r="C91" s="7"/>
      <c r="D91" s="7"/>
      <c r="E91" s="7"/>
    </row>
    <row r="92" spans="1:5" ht="10" customHeight="1" x14ac:dyDescent="0.15">
      <c r="A92" s="7" t="s">
        <v>9038</v>
      </c>
      <c r="B92" s="7" t="s">
        <v>9039</v>
      </c>
      <c r="C92" s="7" t="s">
        <v>7086</v>
      </c>
      <c r="D92" s="7" t="s">
        <v>9133</v>
      </c>
      <c r="E92" s="7"/>
    </row>
    <row r="93" spans="1:5" ht="10" customHeight="1" x14ac:dyDescent="0.15">
      <c r="A93" s="7"/>
      <c r="B93" s="7"/>
      <c r="C93" s="7"/>
      <c r="D93" s="7"/>
      <c r="E93" s="7"/>
    </row>
    <row r="94" spans="1:5" ht="10" customHeight="1" x14ac:dyDescent="0.15">
      <c r="A94" s="7" t="s">
        <v>9038</v>
      </c>
      <c r="B94" s="7" t="s">
        <v>9041</v>
      </c>
      <c r="C94" s="7" t="s">
        <v>7087</v>
      </c>
      <c r="D94" s="7" t="s">
        <v>9134</v>
      </c>
      <c r="E94" s="7"/>
    </row>
    <row r="95" spans="1:5" ht="10" customHeight="1" x14ac:dyDescent="0.15">
      <c r="A95" s="7" t="s">
        <v>9038</v>
      </c>
      <c r="B95" s="7" t="s">
        <v>9043</v>
      </c>
      <c r="C95" s="7" t="s">
        <v>8668</v>
      </c>
      <c r="D95" s="7" t="s">
        <v>9135</v>
      </c>
      <c r="E95" s="7" t="s">
        <v>9136</v>
      </c>
    </row>
    <row r="96" spans="1:5" ht="10" customHeight="1" x14ac:dyDescent="0.15">
      <c r="A96" s="7" t="s">
        <v>9038</v>
      </c>
      <c r="B96" s="7" t="s">
        <v>9043</v>
      </c>
      <c r="C96" s="7" t="s">
        <v>8677</v>
      </c>
      <c r="D96" s="7" t="s">
        <v>9137</v>
      </c>
      <c r="E96" s="7" t="s">
        <v>9138</v>
      </c>
    </row>
    <row r="97" spans="1:5" ht="10" customHeight="1" x14ac:dyDescent="0.15">
      <c r="A97" s="7" t="s">
        <v>9038</v>
      </c>
      <c r="B97" s="7" t="s">
        <v>9043</v>
      </c>
      <c r="C97" s="7" t="s">
        <v>7088</v>
      </c>
      <c r="D97" s="7" t="s">
        <v>9139</v>
      </c>
      <c r="E97" s="7" t="s">
        <v>9140</v>
      </c>
    </row>
    <row r="98" spans="1:5" ht="10" customHeight="1" x14ac:dyDescent="0.15">
      <c r="A98" s="7" t="s">
        <v>9038</v>
      </c>
      <c r="B98" s="7" t="s">
        <v>9043</v>
      </c>
      <c r="C98" s="7" t="s">
        <v>9141</v>
      </c>
      <c r="D98" s="7" t="s">
        <v>9142</v>
      </c>
      <c r="E98" s="7" t="s">
        <v>9143</v>
      </c>
    </row>
    <row r="99" spans="1:5" ht="10" customHeight="1" x14ac:dyDescent="0.15">
      <c r="A99" s="7" t="s">
        <v>9038</v>
      </c>
      <c r="B99" s="7" t="s">
        <v>9043</v>
      </c>
      <c r="C99" s="7" t="s">
        <v>9144</v>
      </c>
      <c r="D99" s="7" t="s">
        <v>9145</v>
      </c>
      <c r="E99" s="7" t="s">
        <v>9146</v>
      </c>
    </row>
    <row r="100" spans="1:5" ht="10" customHeight="1" x14ac:dyDescent="0.15">
      <c r="A100" s="7" t="s">
        <v>9038</v>
      </c>
      <c r="B100" s="7" t="s">
        <v>9043</v>
      </c>
      <c r="C100" s="7" t="s">
        <v>8649</v>
      </c>
      <c r="D100" s="7" t="s">
        <v>9147</v>
      </c>
      <c r="E100" s="7" t="s">
        <v>9148</v>
      </c>
    </row>
    <row r="101" spans="1:5" ht="10" customHeight="1" x14ac:dyDescent="0.15">
      <c r="A101" s="7" t="s">
        <v>9038</v>
      </c>
      <c r="B101" s="7" t="s">
        <v>9043</v>
      </c>
      <c r="C101" s="7" t="s">
        <v>8657</v>
      </c>
      <c r="D101" s="7" t="s">
        <v>9149</v>
      </c>
      <c r="E101" s="7" t="s">
        <v>9150</v>
      </c>
    </row>
    <row r="102" spans="1:5" ht="10" customHeight="1" x14ac:dyDescent="0.15">
      <c r="A102" s="7" t="s">
        <v>9038</v>
      </c>
      <c r="B102" s="7" t="s">
        <v>9043</v>
      </c>
      <c r="C102" s="7" t="s">
        <v>9097</v>
      </c>
      <c r="D102" s="7" t="s">
        <v>9151</v>
      </c>
      <c r="E102" s="7" t="s">
        <v>9152</v>
      </c>
    </row>
    <row r="103" spans="1:5" ht="10" customHeight="1" x14ac:dyDescent="0.15">
      <c r="A103" s="7" t="s">
        <v>9038</v>
      </c>
      <c r="B103" s="7" t="s">
        <v>9043</v>
      </c>
      <c r="C103" s="7" t="s">
        <v>9153</v>
      </c>
      <c r="D103" s="7" t="s">
        <v>9154</v>
      </c>
      <c r="E103" s="7" t="s">
        <v>9155</v>
      </c>
    </row>
    <row r="104" spans="1:5" ht="10" customHeight="1" x14ac:dyDescent="0.15">
      <c r="A104" s="7" t="s">
        <v>9038</v>
      </c>
      <c r="B104" s="7" t="s">
        <v>9043</v>
      </c>
      <c r="C104" s="7" t="s">
        <v>8633</v>
      </c>
      <c r="D104" s="7" t="s">
        <v>9156</v>
      </c>
      <c r="E104" s="7" t="s">
        <v>9157</v>
      </c>
    </row>
    <row r="105" spans="1:5" ht="10" customHeight="1" x14ac:dyDescent="0.15">
      <c r="A105" s="7" t="s">
        <v>9038</v>
      </c>
      <c r="B105" s="7" t="s">
        <v>9043</v>
      </c>
      <c r="C105" s="7" t="s">
        <v>9158</v>
      </c>
      <c r="D105" s="7" t="s">
        <v>9159</v>
      </c>
      <c r="E105" s="7" t="s">
        <v>9160</v>
      </c>
    </row>
    <row r="106" spans="1:5" ht="10" customHeight="1" x14ac:dyDescent="0.15">
      <c r="A106" s="7" t="s">
        <v>9038</v>
      </c>
      <c r="B106" s="7" t="s">
        <v>9043</v>
      </c>
      <c r="C106" s="7" t="s">
        <v>9161</v>
      </c>
      <c r="D106" s="7" t="s">
        <v>9162</v>
      </c>
      <c r="E106" s="7" t="s">
        <v>9163</v>
      </c>
    </row>
    <row r="107" spans="1:5" ht="10" customHeight="1" x14ac:dyDescent="0.15">
      <c r="A107" s="7" t="s">
        <v>9038</v>
      </c>
      <c r="B107" s="7" t="s">
        <v>9043</v>
      </c>
      <c r="C107" s="7" t="s">
        <v>9164</v>
      </c>
      <c r="D107" s="7" t="s">
        <v>9165</v>
      </c>
      <c r="E107" s="7" t="s">
        <v>9166</v>
      </c>
    </row>
    <row r="108" spans="1:5" ht="10" customHeight="1" x14ac:dyDescent="0.15">
      <c r="A108" s="7" t="s">
        <v>9038</v>
      </c>
      <c r="B108" s="7" t="s">
        <v>9043</v>
      </c>
      <c r="C108" s="7" t="s">
        <v>9167</v>
      </c>
      <c r="D108" s="7" t="s">
        <v>9168</v>
      </c>
      <c r="E108" s="7" t="s">
        <v>9169</v>
      </c>
    </row>
    <row r="109" spans="1:5" ht="10" customHeight="1" x14ac:dyDescent="0.15">
      <c r="A109" s="7" t="s">
        <v>9038</v>
      </c>
      <c r="B109" s="7" t="s">
        <v>9043</v>
      </c>
      <c r="C109" s="7" t="s">
        <v>9170</v>
      </c>
      <c r="D109" s="7" t="s">
        <v>9171</v>
      </c>
      <c r="E109" s="7" t="s">
        <v>9172</v>
      </c>
    </row>
    <row r="110" spans="1:5" ht="10" customHeight="1" x14ac:dyDescent="0.15">
      <c r="A110" s="7" t="s">
        <v>9038</v>
      </c>
      <c r="B110" s="7" t="s">
        <v>9043</v>
      </c>
      <c r="C110" s="7" t="s">
        <v>9173</v>
      </c>
      <c r="D110" s="7" t="s">
        <v>9174</v>
      </c>
      <c r="E110" s="7" t="s">
        <v>9175</v>
      </c>
    </row>
    <row r="111" spans="1:5" ht="10" customHeight="1" x14ac:dyDescent="0.15">
      <c r="A111" s="7"/>
      <c r="B111" s="7"/>
      <c r="C111" s="7"/>
      <c r="D111" s="7"/>
      <c r="E111" s="7"/>
    </row>
    <row r="112" spans="1:5" ht="10" customHeight="1" x14ac:dyDescent="0.15">
      <c r="A112" s="7" t="s">
        <v>9038</v>
      </c>
      <c r="B112" s="7" t="s">
        <v>9041</v>
      </c>
      <c r="C112" s="7" t="s">
        <v>8661</v>
      </c>
      <c r="D112" s="7" t="s">
        <v>9176</v>
      </c>
      <c r="E112" s="7"/>
    </row>
    <row r="113" spans="1:5" ht="10" customHeight="1" x14ac:dyDescent="0.15">
      <c r="A113" s="7" t="s">
        <v>9038</v>
      </c>
      <c r="B113" s="7" t="s">
        <v>9043</v>
      </c>
      <c r="C113" s="7" t="s">
        <v>9177</v>
      </c>
      <c r="D113" s="7" t="s">
        <v>9178</v>
      </c>
      <c r="E113" s="7" t="s">
        <v>9179</v>
      </c>
    </row>
    <row r="114" spans="1:5" ht="10" customHeight="1" x14ac:dyDescent="0.15">
      <c r="A114" s="7" t="s">
        <v>9038</v>
      </c>
      <c r="B114" s="7" t="s">
        <v>9043</v>
      </c>
      <c r="C114" s="7" t="s">
        <v>9180</v>
      </c>
      <c r="D114" s="7" t="s">
        <v>9181</v>
      </c>
      <c r="E114" s="7" t="s">
        <v>9182</v>
      </c>
    </row>
    <row r="115" spans="1:5" ht="10" customHeight="1" x14ac:dyDescent="0.15">
      <c r="A115" s="7" t="s">
        <v>9038</v>
      </c>
      <c r="B115" s="7" t="s">
        <v>9043</v>
      </c>
      <c r="C115" s="7" t="s">
        <v>9183</v>
      </c>
      <c r="D115" s="7" t="s">
        <v>9184</v>
      </c>
      <c r="E115" s="7" t="s">
        <v>9185</v>
      </c>
    </row>
    <row r="116" spans="1:5" ht="10" customHeight="1" x14ac:dyDescent="0.15">
      <c r="A116" s="7" t="s">
        <v>9038</v>
      </c>
      <c r="B116" s="7" t="s">
        <v>9043</v>
      </c>
      <c r="C116" s="7" t="s">
        <v>9186</v>
      </c>
      <c r="D116" s="7" t="s">
        <v>9187</v>
      </c>
      <c r="E116" s="7" t="s">
        <v>9188</v>
      </c>
    </row>
    <row r="117" spans="1:5" ht="10" customHeight="1" x14ac:dyDescent="0.15">
      <c r="A117" s="7" t="s">
        <v>9038</v>
      </c>
      <c r="B117" s="7" t="s">
        <v>9043</v>
      </c>
      <c r="C117" s="7" t="s">
        <v>9189</v>
      </c>
      <c r="D117" s="7" t="s">
        <v>9190</v>
      </c>
      <c r="E117" s="7" t="s">
        <v>9191</v>
      </c>
    </row>
    <row r="118" spans="1:5" ht="10" customHeight="1" x14ac:dyDescent="0.15">
      <c r="A118" s="7"/>
      <c r="B118" s="7"/>
      <c r="C118" s="7"/>
      <c r="D118" s="7"/>
      <c r="E118" s="7"/>
    </row>
    <row r="119" spans="1:5" ht="10" customHeight="1" x14ac:dyDescent="0.15">
      <c r="A119" s="18" t="s">
        <v>9192</v>
      </c>
      <c r="B119" s="18"/>
      <c r="C119" s="18"/>
      <c r="D119" s="93"/>
      <c r="E119" s="93"/>
    </row>
    <row r="120" spans="1:5" ht="10" customHeight="1" x14ac:dyDescent="0.15">
      <c r="A120" s="7" t="s">
        <v>9193</v>
      </c>
      <c r="B120" s="7" t="s">
        <v>9002</v>
      </c>
      <c r="C120" s="7" t="s">
        <v>9194</v>
      </c>
      <c r="D120" s="7"/>
      <c r="E120" s="7"/>
    </row>
    <row r="121" spans="1:5" ht="10" customHeight="1" x14ac:dyDescent="0.15">
      <c r="A121" s="7"/>
      <c r="B121" s="7"/>
      <c r="C121" s="7"/>
      <c r="D121" s="7"/>
      <c r="E121" s="7"/>
    </row>
    <row r="122" spans="1:5" ht="10" customHeight="1" x14ac:dyDescent="0.15">
      <c r="A122" s="7" t="s">
        <v>9193</v>
      </c>
      <c r="B122" s="7" t="s">
        <v>9195</v>
      </c>
      <c r="C122" s="7" t="s">
        <v>68</v>
      </c>
      <c r="D122" s="7"/>
      <c r="E122" s="7"/>
    </row>
    <row r="123" spans="1:5" ht="10" customHeight="1" x14ac:dyDescent="0.15">
      <c r="A123" s="7" t="s">
        <v>9193</v>
      </c>
      <c r="B123" s="7" t="s">
        <v>9196</v>
      </c>
      <c r="C123" s="7" t="s">
        <v>9197</v>
      </c>
      <c r="D123" s="7" t="s">
        <v>9198</v>
      </c>
      <c r="E123" s="7" t="s">
        <v>9199</v>
      </c>
    </row>
    <row r="124" spans="1:5" ht="10" customHeight="1" x14ac:dyDescent="0.15">
      <c r="A124" s="7" t="s">
        <v>9193</v>
      </c>
      <c r="B124" s="7" t="s">
        <v>9196</v>
      </c>
      <c r="C124" s="7" t="s">
        <v>9200</v>
      </c>
      <c r="D124" s="7" t="s">
        <v>9201</v>
      </c>
      <c r="E124" s="7" t="s">
        <v>9202</v>
      </c>
    </row>
    <row r="125" spans="1:5" ht="10" customHeight="1" x14ac:dyDescent="0.15">
      <c r="A125" s="7"/>
      <c r="B125" s="7"/>
      <c r="C125" s="7"/>
      <c r="D125" s="7"/>
      <c r="E125" s="7"/>
    </row>
    <row r="126" spans="1:5" ht="10" customHeight="1" x14ac:dyDescent="0.15">
      <c r="A126" s="7" t="s">
        <v>9193</v>
      </c>
      <c r="B126" s="7" t="s">
        <v>9196</v>
      </c>
      <c r="C126" s="7" t="s">
        <v>9203</v>
      </c>
      <c r="D126" s="7" t="s">
        <v>9204</v>
      </c>
      <c r="E126" s="7" t="s">
        <v>9202</v>
      </c>
    </row>
    <row r="127" spans="1:5" ht="10" customHeight="1" x14ac:dyDescent="0.15">
      <c r="A127" s="7" t="s">
        <v>9193</v>
      </c>
      <c r="B127" s="7" t="s">
        <v>9196</v>
      </c>
      <c r="C127" s="7" t="s">
        <v>9205</v>
      </c>
      <c r="D127" s="7" t="s">
        <v>9206</v>
      </c>
      <c r="E127" s="7" t="s">
        <v>9199</v>
      </c>
    </row>
    <row r="128" spans="1:5" ht="10" customHeight="1" x14ac:dyDescent="0.15">
      <c r="A128" s="7"/>
      <c r="B128" s="7"/>
      <c r="C128" s="7"/>
      <c r="D128" s="7"/>
      <c r="E128" s="7"/>
    </row>
    <row r="129" spans="1:5" ht="10" customHeight="1" x14ac:dyDescent="0.15">
      <c r="A129" s="7" t="s">
        <v>9193</v>
      </c>
      <c r="B129" s="7" t="s">
        <v>9196</v>
      </c>
      <c r="C129" s="7" t="s">
        <v>9207</v>
      </c>
      <c r="D129" s="7" t="s">
        <v>9208</v>
      </c>
      <c r="E129" s="7" t="s">
        <v>9209</v>
      </c>
    </row>
    <row r="130" spans="1:5" ht="10" customHeight="1" x14ac:dyDescent="0.15">
      <c r="A130" s="7"/>
      <c r="B130" s="7"/>
      <c r="C130" s="7"/>
      <c r="D130" s="7"/>
      <c r="E130" s="7"/>
    </row>
    <row r="131" spans="1:5" ht="10" customHeight="1" x14ac:dyDescent="0.15">
      <c r="A131" s="7" t="s">
        <v>9193</v>
      </c>
      <c r="B131" s="7" t="s">
        <v>9196</v>
      </c>
      <c r="C131" s="7" t="s">
        <v>9210</v>
      </c>
      <c r="D131" s="7" t="s">
        <v>9211</v>
      </c>
      <c r="E131" s="7" t="s">
        <v>9212</v>
      </c>
    </row>
    <row r="132" spans="1:5" ht="10" customHeight="1" x14ac:dyDescent="0.15">
      <c r="A132" s="7"/>
      <c r="B132" s="7"/>
      <c r="C132" s="7"/>
      <c r="D132" s="7"/>
      <c r="E132" s="7"/>
    </row>
    <row r="133" spans="1:5" ht="10" customHeight="1" x14ac:dyDescent="0.15">
      <c r="A133" s="7" t="s">
        <v>9193</v>
      </c>
      <c r="B133" s="7" t="s">
        <v>9196</v>
      </c>
      <c r="C133" s="7" t="s">
        <v>9213</v>
      </c>
      <c r="D133" s="7" t="s">
        <v>9214</v>
      </c>
      <c r="E133" s="7" t="s">
        <v>9199</v>
      </c>
    </row>
    <row r="134" spans="1:5" ht="10" customHeight="1" x14ac:dyDescent="0.15">
      <c r="A134" s="7" t="s">
        <v>9193</v>
      </c>
      <c r="B134" s="7" t="s">
        <v>9196</v>
      </c>
      <c r="C134" s="7" t="s">
        <v>9215</v>
      </c>
      <c r="D134" s="7" t="s">
        <v>9216</v>
      </c>
      <c r="E134" s="7" t="s">
        <v>9199</v>
      </c>
    </row>
    <row r="135" spans="1:5" ht="10" customHeight="1" x14ac:dyDescent="0.15">
      <c r="A135" s="7"/>
      <c r="B135" s="7"/>
      <c r="C135" s="7"/>
      <c r="D135" s="7"/>
      <c r="E135" s="7"/>
    </row>
    <row r="136" spans="1:5" ht="10" customHeight="1" x14ac:dyDescent="0.15">
      <c r="A136" s="7" t="s">
        <v>9193</v>
      </c>
      <c r="B136" s="7" t="s">
        <v>9196</v>
      </c>
      <c r="C136" s="7" t="s">
        <v>9217</v>
      </c>
      <c r="D136" s="7" t="s">
        <v>9218</v>
      </c>
      <c r="E136" s="7" t="s">
        <v>9209</v>
      </c>
    </row>
    <row r="137" spans="1:5" ht="10" customHeight="1" x14ac:dyDescent="0.15">
      <c r="A137" s="7" t="s">
        <v>9193</v>
      </c>
      <c r="B137" s="7" t="s">
        <v>9196</v>
      </c>
      <c r="C137" s="7" t="s">
        <v>9219</v>
      </c>
      <c r="D137" s="7" t="s">
        <v>9220</v>
      </c>
      <c r="E137" s="7" t="s">
        <v>9199</v>
      </c>
    </row>
    <row r="138" spans="1:5" ht="10" customHeight="1" x14ac:dyDescent="0.15">
      <c r="A138" s="7" t="s">
        <v>9193</v>
      </c>
      <c r="B138" s="7" t="s">
        <v>9196</v>
      </c>
      <c r="C138" s="7" t="s">
        <v>9221</v>
      </c>
      <c r="D138" s="7" t="s">
        <v>9222</v>
      </c>
      <c r="E138" s="7" t="s">
        <v>9202</v>
      </c>
    </row>
    <row r="139" spans="1:5" ht="10" customHeight="1" x14ac:dyDescent="0.15">
      <c r="A139" s="7"/>
      <c r="B139" s="7"/>
      <c r="C139" s="7"/>
      <c r="D139" s="7"/>
      <c r="E139" s="7"/>
    </row>
    <row r="140" spans="1:5" ht="10" customHeight="1" x14ac:dyDescent="0.15">
      <c r="A140" s="7" t="s">
        <v>9193</v>
      </c>
      <c r="B140" s="7" t="s">
        <v>9196</v>
      </c>
      <c r="C140" s="7" t="s">
        <v>9223</v>
      </c>
      <c r="D140" s="7" t="s">
        <v>9224</v>
      </c>
      <c r="E140" s="7" t="s">
        <v>9209</v>
      </c>
    </row>
    <row r="141" spans="1:5" ht="10" customHeight="1" x14ac:dyDescent="0.15">
      <c r="A141" s="7" t="s">
        <v>9193</v>
      </c>
      <c r="B141" s="7" t="s">
        <v>9196</v>
      </c>
      <c r="C141" s="7" t="s">
        <v>9225</v>
      </c>
      <c r="D141" s="7" t="s">
        <v>9226</v>
      </c>
      <c r="E141" s="7" t="s">
        <v>9212</v>
      </c>
    </row>
    <row r="142" spans="1:5" ht="10" customHeight="1" x14ac:dyDescent="0.15">
      <c r="A142" s="7"/>
      <c r="B142" s="7"/>
      <c r="C142" s="7"/>
      <c r="D142" s="7"/>
      <c r="E142" s="7"/>
    </row>
    <row r="143" spans="1:5" ht="10" customHeight="1" x14ac:dyDescent="0.15">
      <c r="A143" s="7" t="s">
        <v>9193</v>
      </c>
      <c r="B143" s="7" t="s">
        <v>9196</v>
      </c>
      <c r="C143" s="7" t="s">
        <v>9227</v>
      </c>
      <c r="D143" s="7" t="s">
        <v>9228</v>
      </c>
      <c r="E143" s="7" t="s">
        <v>9202</v>
      </c>
    </row>
    <row r="144" spans="1:5" ht="10" customHeight="1" x14ac:dyDescent="0.15">
      <c r="A144" s="7" t="s">
        <v>9193</v>
      </c>
      <c r="B144" s="7" t="s">
        <v>9196</v>
      </c>
      <c r="C144" s="7" t="s">
        <v>9229</v>
      </c>
      <c r="D144" s="7" t="s">
        <v>9230</v>
      </c>
      <c r="E144" s="7" t="s">
        <v>9199</v>
      </c>
    </row>
    <row r="145" spans="1:5" ht="10" customHeight="1" x14ac:dyDescent="0.15">
      <c r="A145" s="7" t="s">
        <v>9193</v>
      </c>
      <c r="B145" s="7" t="s">
        <v>9196</v>
      </c>
      <c r="C145" s="7" t="s">
        <v>9231</v>
      </c>
      <c r="D145" s="7" t="s">
        <v>9232</v>
      </c>
      <c r="E145" s="7" t="s">
        <v>9202</v>
      </c>
    </row>
    <row r="146" spans="1:5" ht="10" customHeight="1" x14ac:dyDescent="0.15">
      <c r="A146" s="7" t="s">
        <v>9193</v>
      </c>
      <c r="B146" s="7" t="s">
        <v>9196</v>
      </c>
      <c r="C146" s="7" t="s">
        <v>9233</v>
      </c>
      <c r="D146" s="7" t="s">
        <v>9234</v>
      </c>
      <c r="E146" s="7" t="s">
        <v>9209</v>
      </c>
    </row>
    <row r="147" spans="1:5" ht="10" customHeight="1" x14ac:dyDescent="0.15">
      <c r="A147" s="7"/>
      <c r="B147" s="7"/>
      <c r="C147" s="7"/>
      <c r="D147" s="7"/>
      <c r="E147" s="7"/>
    </row>
    <row r="148" spans="1:5" ht="10" customHeight="1" x14ac:dyDescent="0.15">
      <c r="A148" s="7" t="s">
        <v>9193</v>
      </c>
      <c r="B148" s="7" t="s">
        <v>9196</v>
      </c>
      <c r="C148" s="7" t="s">
        <v>9235</v>
      </c>
      <c r="D148" s="7" t="s">
        <v>9236</v>
      </c>
      <c r="E148" s="7" t="s">
        <v>9209</v>
      </c>
    </row>
    <row r="149" spans="1:5" ht="10" customHeight="1" x14ac:dyDescent="0.15">
      <c r="A149" s="7"/>
      <c r="B149" s="7"/>
      <c r="C149" s="7"/>
      <c r="D149" s="7"/>
      <c r="E149" s="7"/>
    </row>
    <row r="150" spans="1:5" ht="10" customHeight="1" x14ac:dyDescent="0.15">
      <c r="A150" s="7" t="s">
        <v>9193</v>
      </c>
      <c r="B150" s="7" t="s">
        <v>9196</v>
      </c>
      <c r="C150" s="7" t="s">
        <v>9237</v>
      </c>
      <c r="D150" s="7" t="s">
        <v>9238</v>
      </c>
      <c r="E150" s="7" t="s">
        <v>9199</v>
      </c>
    </row>
    <row r="151" spans="1:5" ht="10" customHeight="1" x14ac:dyDescent="0.15">
      <c r="A151" s="7" t="s">
        <v>9193</v>
      </c>
      <c r="B151" s="7" t="s">
        <v>9196</v>
      </c>
      <c r="C151" s="7" t="s">
        <v>9239</v>
      </c>
      <c r="D151" s="7" t="s">
        <v>9240</v>
      </c>
      <c r="E151" s="7" t="s">
        <v>9212</v>
      </c>
    </row>
    <row r="152" spans="1:5" ht="10" customHeight="1" x14ac:dyDescent="0.15">
      <c r="A152" s="7" t="s">
        <v>9193</v>
      </c>
      <c r="B152" s="7" t="s">
        <v>9196</v>
      </c>
      <c r="C152" s="7" t="s">
        <v>9241</v>
      </c>
      <c r="D152" s="7" t="s">
        <v>9242</v>
      </c>
      <c r="E152" s="7" t="s">
        <v>9199</v>
      </c>
    </row>
    <row r="153" spans="1:5" ht="10" customHeight="1" x14ac:dyDescent="0.15">
      <c r="A153" s="7" t="s">
        <v>9193</v>
      </c>
      <c r="B153" s="7" t="s">
        <v>9196</v>
      </c>
      <c r="C153" s="7" t="s">
        <v>9243</v>
      </c>
      <c r="D153" s="7" t="s">
        <v>9244</v>
      </c>
      <c r="E153" s="7" t="s">
        <v>9245</v>
      </c>
    </row>
    <row r="154" spans="1:5" ht="10" customHeight="1" x14ac:dyDescent="0.15">
      <c r="A154" s="7"/>
      <c r="B154" s="7"/>
      <c r="C154" s="7"/>
      <c r="D154" s="7"/>
      <c r="E154" s="7"/>
    </row>
    <row r="155" spans="1:5" ht="10" customHeight="1" x14ac:dyDescent="0.15">
      <c r="A155" s="7" t="s">
        <v>9193</v>
      </c>
      <c r="B155" s="7" t="s">
        <v>9196</v>
      </c>
      <c r="C155" s="7" t="s">
        <v>9246</v>
      </c>
      <c r="D155" s="7" t="s">
        <v>9247</v>
      </c>
      <c r="E155" s="7" t="s">
        <v>9199</v>
      </c>
    </row>
    <row r="156" spans="1:5" ht="10" customHeight="1" x14ac:dyDescent="0.15">
      <c r="A156" s="7" t="s">
        <v>9193</v>
      </c>
      <c r="B156" s="7" t="s">
        <v>9196</v>
      </c>
      <c r="C156" s="7" t="s">
        <v>9248</v>
      </c>
      <c r="D156" s="7" t="s">
        <v>9249</v>
      </c>
      <c r="E156" s="7" t="s">
        <v>9199</v>
      </c>
    </row>
    <row r="157" spans="1:5" ht="10" customHeight="1" x14ac:dyDescent="0.15">
      <c r="A157" s="7" t="s">
        <v>9193</v>
      </c>
      <c r="B157" s="7" t="s">
        <v>9196</v>
      </c>
      <c r="C157" s="7" t="s">
        <v>9250</v>
      </c>
      <c r="D157" s="7" t="s">
        <v>9251</v>
      </c>
      <c r="E157" s="7" t="s">
        <v>9252</v>
      </c>
    </row>
    <row r="158" spans="1:5" ht="10" customHeight="1" x14ac:dyDescent="0.15">
      <c r="A158" s="7" t="s">
        <v>9193</v>
      </c>
      <c r="B158" s="7" t="s">
        <v>9196</v>
      </c>
      <c r="C158" s="7" t="s">
        <v>9253</v>
      </c>
      <c r="D158" s="7" t="s">
        <v>9254</v>
      </c>
      <c r="E158" s="7" t="s">
        <v>9212</v>
      </c>
    </row>
    <row r="159" spans="1:5" ht="10" customHeight="1" x14ac:dyDescent="0.15">
      <c r="A159" s="7" t="s">
        <v>9193</v>
      </c>
      <c r="B159" s="7" t="s">
        <v>9196</v>
      </c>
      <c r="C159" s="7" t="s">
        <v>279</v>
      </c>
      <c r="D159" s="7" t="s">
        <v>9255</v>
      </c>
      <c r="E159" s="7" t="s">
        <v>9212</v>
      </c>
    </row>
    <row r="160" spans="1:5" ht="10" customHeight="1" x14ac:dyDescent="0.15">
      <c r="A160" s="7"/>
      <c r="B160" s="7"/>
      <c r="C160" s="7"/>
      <c r="D160" s="7"/>
      <c r="E160" s="7"/>
    </row>
    <row r="161" spans="1:5" ht="10" customHeight="1" x14ac:dyDescent="0.15">
      <c r="A161" s="7" t="s">
        <v>9193</v>
      </c>
      <c r="B161" s="7" t="s">
        <v>9196</v>
      </c>
      <c r="C161" s="7" t="s">
        <v>9256</v>
      </c>
      <c r="D161" s="7" t="s">
        <v>9257</v>
      </c>
      <c r="E161" s="7" t="s">
        <v>9199</v>
      </c>
    </row>
    <row r="162" spans="1:5" ht="10" customHeight="1" x14ac:dyDescent="0.15">
      <c r="A162" s="7" t="s">
        <v>9193</v>
      </c>
      <c r="B162" s="7" t="s">
        <v>9196</v>
      </c>
      <c r="C162" s="7" t="s">
        <v>9258</v>
      </c>
      <c r="D162" s="7" t="s">
        <v>9259</v>
      </c>
      <c r="E162" s="7" t="s">
        <v>9199</v>
      </c>
    </row>
    <row r="163" spans="1:5" ht="10" customHeight="1" x14ac:dyDescent="0.15">
      <c r="A163" s="7" t="s">
        <v>9193</v>
      </c>
      <c r="B163" s="7" t="s">
        <v>9196</v>
      </c>
      <c r="C163" s="7" t="s">
        <v>9260</v>
      </c>
      <c r="D163" s="7" t="s">
        <v>9261</v>
      </c>
      <c r="E163" s="7" t="s">
        <v>9199</v>
      </c>
    </row>
    <row r="164" spans="1:5" ht="10" customHeight="1" x14ac:dyDescent="0.15">
      <c r="A164" s="7" t="s">
        <v>9193</v>
      </c>
      <c r="B164" s="7" t="s">
        <v>9196</v>
      </c>
      <c r="C164" s="7" t="s">
        <v>9262</v>
      </c>
      <c r="D164" s="7" t="s">
        <v>9263</v>
      </c>
      <c r="E164" s="7" t="s">
        <v>9199</v>
      </c>
    </row>
    <row r="165" spans="1:5" ht="10" customHeight="1" x14ac:dyDescent="0.15">
      <c r="A165" s="7" t="s">
        <v>9193</v>
      </c>
      <c r="B165" s="7" t="s">
        <v>9196</v>
      </c>
      <c r="C165" s="7" t="s">
        <v>9264</v>
      </c>
      <c r="D165" s="7" t="s">
        <v>9265</v>
      </c>
      <c r="E165" s="7" t="s">
        <v>9199</v>
      </c>
    </row>
    <row r="166" spans="1:5" ht="10" customHeight="1" x14ac:dyDescent="0.15">
      <c r="A166" s="7" t="s">
        <v>9193</v>
      </c>
      <c r="B166" s="7" t="s">
        <v>9196</v>
      </c>
      <c r="C166" s="7" t="s">
        <v>9266</v>
      </c>
      <c r="D166" s="7" t="s">
        <v>9267</v>
      </c>
      <c r="E166" s="7" t="s">
        <v>9212</v>
      </c>
    </row>
    <row r="167" spans="1:5" ht="10" customHeight="1" x14ac:dyDescent="0.15">
      <c r="A167" s="7" t="s">
        <v>9193</v>
      </c>
      <c r="B167" s="7" t="s">
        <v>9196</v>
      </c>
      <c r="C167" s="7" t="s">
        <v>9268</v>
      </c>
      <c r="D167" s="7" t="s">
        <v>9269</v>
      </c>
      <c r="E167" s="7" t="s">
        <v>9199</v>
      </c>
    </row>
    <row r="168" spans="1:5" ht="10" customHeight="1" x14ac:dyDescent="0.15">
      <c r="A168" s="7"/>
      <c r="B168" s="7"/>
      <c r="C168" s="7"/>
      <c r="D168" s="7"/>
      <c r="E168" s="7"/>
    </row>
    <row r="169" spans="1:5" ht="10" customHeight="1" x14ac:dyDescent="0.15">
      <c r="A169" s="7" t="s">
        <v>9193</v>
      </c>
      <c r="B169" s="7" t="s">
        <v>9196</v>
      </c>
      <c r="C169" s="7" t="s">
        <v>9270</v>
      </c>
      <c r="D169" s="7" t="s">
        <v>8645</v>
      </c>
      <c r="E169" s="7" t="s">
        <v>9199</v>
      </c>
    </row>
    <row r="170" spans="1:5" ht="10" customHeight="1" x14ac:dyDescent="0.15">
      <c r="A170" s="7" t="s">
        <v>9193</v>
      </c>
      <c r="B170" s="7" t="s">
        <v>9196</v>
      </c>
      <c r="C170" s="7" t="s">
        <v>9271</v>
      </c>
      <c r="D170" s="7" t="s">
        <v>8649</v>
      </c>
      <c r="E170" s="7" t="s">
        <v>9212</v>
      </c>
    </row>
    <row r="171" spans="1:5" ht="10" customHeight="1" x14ac:dyDescent="0.15">
      <c r="A171" s="7" t="s">
        <v>9193</v>
      </c>
      <c r="B171" s="7" t="s">
        <v>9196</v>
      </c>
      <c r="C171" s="7" t="s">
        <v>9272</v>
      </c>
      <c r="D171" s="7" t="s">
        <v>8655</v>
      </c>
      <c r="E171" s="7" t="s">
        <v>9202</v>
      </c>
    </row>
    <row r="172" spans="1:5" ht="10" customHeight="1" x14ac:dyDescent="0.15">
      <c r="A172" s="7" t="s">
        <v>9193</v>
      </c>
      <c r="B172" s="7" t="s">
        <v>9196</v>
      </c>
      <c r="C172" s="7" t="s">
        <v>9273</v>
      </c>
      <c r="D172" s="7" t="s">
        <v>9274</v>
      </c>
      <c r="E172" s="7" t="s">
        <v>9199</v>
      </c>
    </row>
    <row r="173" spans="1:5" ht="10" customHeight="1" x14ac:dyDescent="0.15">
      <c r="A173" s="7" t="s">
        <v>9193</v>
      </c>
      <c r="B173" s="7" t="s">
        <v>9196</v>
      </c>
      <c r="C173" s="7" t="s">
        <v>9275</v>
      </c>
      <c r="D173" s="7" t="s">
        <v>9276</v>
      </c>
      <c r="E173" s="7" t="s">
        <v>9277</v>
      </c>
    </row>
    <row r="174" spans="1:5" ht="10" customHeight="1" x14ac:dyDescent="0.15">
      <c r="A174" s="7" t="s">
        <v>9193</v>
      </c>
      <c r="B174" s="7" t="s">
        <v>9196</v>
      </c>
      <c r="C174" s="7" t="s">
        <v>9278</v>
      </c>
      <c r="D174" s="7" t="s">
        <v>9279</v>
      </c>
      <c r="E174" s="7" t="s">
        <v>9280</v>
      </c>
    </row>
    <row r="175" spans="1:5" ht="10" customHeight="1" x14ac:dyDescent="0.15">
      <c r="A175" s="7" t="s">
        <v>9193</v>
      </c>
      <c r="B175" s="7" t="s">
        <v>9196</v>
      </c>
      <c r="C175" s="7" t="s">
        <v>9281</v>
      </c>
      <c r="D175" s="7" t="s">
        <v>9282</v>
      </c>
      <c r="E175" s="7" t="s">
        <v>9212</v>
      </c>
    </row>
    <row r="176" spans="1:5" ht="10" customHeight="1" x14ac:dyDescent="0.15">
      <c r="A176" s="7" t="s">
        <v>9193</v>
      </c>
      <c r="B176" s="7" t="s">
        <v>9196</v>
      </c>
      <c r="C176" s="7" t="s">
        <v>9283</v>
      </c>
      <c r="D176" s="7" t="s">
        <v>9284</v>
      </c>
      <c r="E176" s="7" t="s">
        <v>9199</v>
      </c>
    </row>
    <row r="177" spans="1:5" ht="10" customHeight="1" x14ac:dyDescent="0.15">
      <c r="A177" s="7" t="s">
        <v>9193</v>
      </c>
      <c r="B177" s="7" t="s">
        <v>9196</v>
      </c>
      <c r="C177" s="7" t="s">
        <v>9285</v>
      </c>
      <c r="D177" s="7" t="s">
        <v>9286</v>
      </c>
      <c r="E177" s="7" t="s">
        <v>9199</v>
      </c>
    </row>
    <row r="178" spans="1:5" ht="10" customHeight="1" x14ac:dyDescent="0.15">
      <c r="A178" s="7" t="s">
        <v>9193</v>
      </c>
      <c r="B178" s="7" t="s">
        <v>9196</v>
      </c>
      <c r="C178" s="7" t="s">
        <v>9287</v>
      </c>
      <c r="D178" s="7" t="s">
        <v>9288</v>
      </c>
      <c r="E178" s="7" t="s">
        <v>9199</v>
      </c>
    </row>
    <row r="179" spans="1:5" ht="10" customHeight="1" x14ac:dyDescent="0.15">
      <c r="A179" s="7"/>
      <c r="B179" s="7"/>
      <c r="C179" s="7"/>
      <c r="D179" s="7"/>
      <c r="E179" s="7"/>
    </row>
    <row r="180" spans="1:5" ht="10" customHeight="1" x14ac:dyDescent="0.15">
      <c r="A180" s="18" t="s">
        <v>9289</v>
      </c>
      <c r="B180" s="18"/>
      <c r="C180" s="18"/>
      <c r="D180" s="93"/>
      <c r="E180" s="93"/>
    </row>
    <row r="181" spans="1:5" ht="10" customHeight="1" x14ac:dyDescent="0.15">
      <c r="A181" s="7"/>
      <c r="B181" s="7"/>
      <c r="C181" s="7"/>
      <c r="D181" s="7"/>
      <c r="E181" s="7"/>
    </row>
    <row r="182" spans="1:5" ht="10" customHeight="1" x14ac:dyDescent="0.15">
      <c r="A182" s="7" t="s">
        <v>9290</v>
      </c>
      <c r="B182" s="7" t="s">
        <v>9291</v>
      </c>
      <c r="C182" s="7" t="s">
        <v>9292</v>
      </c>
      <c r="D182" s="7" t="s">
        <v>9293</v>
      </c>
      <c r="E182" s="7" t="s">
        <v>9294</v>
      </c>
    </row>
    <row r="183" spans="1:5" ht="10" customHeight="1" x14ac:dyDescent="0.15">
      <c r="A183" s="7" t="s">
        <v>9290</v>
      </c>
      <c r="B183" s="7" t="s">
        <v>9291</v>
      </c>
      <c r="C183" s="7" t="s">
        <v>9295</v>
      </c>
      <c r="D183" s="7" t="s">
        <v>9296</v>
      </c>
      <c r="E183" s="7"/>
    </row>
    <row r="184" spans="1:5" ht="10" customHeight="1" x14ac:dyDescent="0.15">
      <c r="A184" s="7" t="s">
        <v>9290</v>
      </c>
      <c r="B184" s="7" t="s">
        <v>9291</v>
      </c>
      <c r="C184" s="7" t="s">
        <v>9297</v>
      </c>
      <c r="D184" s="7" t="s">
        <v>9298</v>
      </c>
      <c r="E184" s="7" t="s">
        <v>9299</v>
      </c>
    </row>
    <row r="185" spans="1:5" ht="10" customHeight="1" x14ac:dyDescent="0.15">
      <c r="A185" s="7" t="s">
        <v>9290</v>
      </c>
      <c r="B185" s="7" t="s">
        <v>9291</v>
      </c>
      <c r="C185" s="7" t="s">
        <v>9300</v>
      </c>
      <c r="D185" s="7" t="s">
        <v>9301</v>
      </c>
      <c r="E185" s="7"/>
    </row>
    <row r="186" spans="1:5" ht="10" customHeight="1" x14ac:dyDescent="0.15">
      <c r="A186" s="7" t="s">
        <v>9290</v>
      </c>
      <c r="B186" s="7" t="s">
        <v>9291</v>
      </c>
      <c r="C186" s="7" t="s">
        <v>9302</v>
      </c>
      <c r="D186" s="7" t="s">
        <v>9303</v>
      </c>
      <c r="E186" s="7"/>
    </row>
    <row r="187" spans="1:5" ht="10" customHeight="1" x14ac:dyDescent="0.15">
      <c r="A187" s="7" t="s">
        <v>9290</v>
      </c>
      <c r="B187" s="7" t="s">
        <v>9291</v>
      </c>
      <c r="C187" s="7" t="s">
        <v>9304</v>
      </c>
      <c r="D187" s="7" t="s">
        <v>9305</v>
      </c>
      <c r="E187" s="7"/>
    </row>
    <row r="188" spans="1:5" ht="10" customHeight="1" x14ac:dyDescent="0.15">
      <c r="A188" s="7" t="s">
        <v>9290</v>
      </c>
      <c r="B188" s="7" t="s">
        <v>9291</v>
      </c>
      <c r="C188" s="7" t="s">
        <v>9306</v>
      </c>
      <c r="D188" s="7" t="s">
        <v>9307</v>
      </c>
      <c r="E188" s="7"/>
    </row>
    <row r="189" spans="1:5" ht="10" customHeight="1" x14ac:dyDescent="0.15">
      <c r="A189" s="5"/>
      <c r="B189" s="5"/>
      <c r="C189" s="5"/>
      <c r="D189" s="5"/>
      <c r="E189" s="5"/>
    </row>
    <row r="190" spans="1:5" ht="10" customHeight="1" x14ac:dyDescent="0.15">
      <c r="A190" s="18" t="s">
        <v>9308</v>
      </c>
      <c r="B190" s="18"/>
      <c r="C190" s="18"/>
      <c r="D190" s="93"/>
      <c r="E190" s="93"/>
    </row>
    <row r="191" spans="1:5" ht="10" customHeight="1" x14ac:dyDescent="0.15">
      <c r="A191" s="7"/>
      <c r="B191" s="7"/>
      <c r="C191" s="7"/>
      <c r="D191" s="7"/>
      <c r="E191" s="7"/>
    </row>
    <row r="192" spans="1:5" ht="10" customHeight="1" x14ac:dyDescent="0.15">
      <c r="A192" s="7" t="s">
        <v>9010</v>
      </c>
      <c r="B192" s="7" t="s">
        <v>9002</v>
      </c>
      <c r="C192" s="7" t="s">
        <v>9309</v>
      </c>
      <c r="D192" s="7" t="s">
        <v>9310</v>
      </c>
      <c r="E192" s="7" t="s">
        <v>9311</v>
      </c>
    </row>
    <row r="193" spans="1:5" ht="10" customHeight="1" x14ac:dyDescent="0.15">
      <c r="A193" s="7" t="s">
        <v>9010</v>
      </c>
      <c r="B193" s="7" t="s">
        <v>9002</v>
      </c>
      <c r="C193" s="7" t="s">
        <v>9312</v>
      </c>
      <c r="D193" s="7" t="s">
        <v>9313</v>
      </c>
      <c r="E193" s="7" t="s">
        <v>9314</v>
      </c>
    </row>
    <row r="194" spans="1:5" ht="10" customHeight="1" x14ac:dyDescent="0.15">
      <c r="A194" s="5"/>
      <c r="B194" s="5"/>
      <c r="C194" s="5"/>
      <c r="D194" s="5"/>
      <c r="E194" s="5"/>
    </row>
    <row r="195" spans="1:5" ht="10" customHeight="1" x14ac:dyDescent="0.15">
      <c r="A195" s="18" t="s">
        <v>9315</v>
      </c>
      <c r="B195" s="18"/>
      <c r="C195" s="18"/>
      <c r="D195" s="93"/>
      <c r="E195" s="93"/>
    </row>
    <row r="196" spans="1:5" ht="10" customHeight="1" x14ac:dyDescent="0.15">
      <c r="A196" s="7"/>
      <c r="B196" s="7"/>
      <c r="C196" s="7"/>
      <c r="D196" s="7"/>
      <c r="E196" s="7"/>
    </row>
    <row r="197" spans="1:5" ht="10" customHeight="1" x14ac:dyDescent="0.15">
      <c r="A197" s="7" t="s">
        <v>9316</v>
      </c>
      <c r="B197" s="7" t="s">
        <v>9028</v>
      </c>
      <c r="C197" s="7" t="s">
        <v>4383</v>
      </c>
      <c r="D197" s="7" t="s">
        <v>9317</v>
      </c>
      <c r="E197" s="7" t="s">
        <v>9318</v>
      </c>
    </row>
    <row r="198" spans="1:5" ht="10" customHeight="1" x14ac:dyDescent="0.15">
      <c r="A198" s="7" t="s">
        <v>9316</v>
      </c>
      <c r="B198" s="7" t="s">
        <v>9028</v>
      </c>
      <c r="C198" s="7" t="s">
        <v>5703</v>
      </c>
      <c r="D198" s="7" t="s">
        <v>9319</v>
      </c>
      <c r="E198" s="7" t="s">
        <v>9320</v>
      </c>
    </row>
    <row r="199" spans="1:5" ht="10" customHeight="1" x14ac:dyDescent="0.15">
      <c r="A199" s="7"/>
      <c r="B199" s="7"/>
      <c r="C199" s="7"/>
      <c r="D199" s="7"/>
      <c r="E199" s="7"/>
    </row>
    <row r="200" spans="1:5" ht="10" customHeight="1" x14ac:dyDescent="0.15">
      <c r="A200" s="7" t="s">
        <v>9321</v>
      </c>
      <c r="B200" s="7" t="s">
        <v>9028</v>
      </c>
      <c r="C200" s="7" t="s">
        <v>293</v>
      </c>
      <c r="D200" s="7" t="s">
        <v>9322</v>
      </c>
      <c r="E200" s="7" t="s">
        <v>9323</v>
      </c>
    </row>
    <row r="201" spans="1:5" ht="10" customHeight="1" x14ac:dyDescent="0.15">
      <c r="A201" s="7"/>
      <c r="B201" s="7"/>
      <c r="C201" s="7"/>
      <c r="D201" s="7"/>
      <c r="E201" s="7"/>
    </row>
    <row r="202" spans="1:5" ht="10" customHeight="1" x14ac:dyDescent="0.15">
      <c r="A202" s="7" t="s">
        <v>9324</v>
      </c>
      <c r="B202" s="7" t="s">
        <v>9028</v>
      </c>
      <c r="C202" s="7" t="s">
        <v>109</v>
      </c>
      <c r="D202" s="7" t="s">
        <v>9325</v>
      </c>
      <c r="E202" s="7" t="s">
        <v>9326</v>
      </c>
    </row>
    <row r="203" spans="1:5" ht="10" customHeight="1" x14ac:dyDescent="0.15">
      <c r="A203" s="7" t="s">
        <v>9324</v>
      </c>
      <c r="B203" s="7" t="s">
        <v>9028</v>
      </c>
      <c r="C203" s="7" t="s">
        <v>336</v>
      </c>
      <c r="D203" s="7" t="s">
        <v>9327</v>
      </c>
      <c r="E203" s="7" t="s">
        <v>9328</v>
      </c>
    </row>
    <row r="204" spans="1:5" ht="10" customHeight="1" x14ac:dyDescent="0.15">
      <c r="A204" s="7"/>
      <c r="B204" s="7"/>
      <c r="C204" s="7"/>
      <c r="D204" s="7"/>
      <c r="E204" s="7"/>
    </row>
    <row r="205" spans="1:5" ht="10" customHeight="1" x14ac:dyDescent="0.15">
      <c r="A205" s="7" t="s">
        <v>9329</v>
      </c>
      <c r="B205" s="7" t="s">
        <v>9028</v>
      </c>
      <c r="C205" s="7" t="s">
        <v>4487</v>
      </c>
      <c r="D205" s="7" t="s">
        <v>9330</v>
      </c>
      <c r="E205" s="7" t="s">
        <v>9331</v>
      </c>
    </row>
    <row r="206" spans="1:5" ht="10" customHeight="1" x14ac:dyDescent="0.15">
      <c r="A206" s="7"/>
      <c r="B206" s="7"/>
      <c r="C206" s="7"/>
      <c r="D206" s="7"/>
      <c r="E206" s="7"/>
    </row>
    <row r="207" spans="1:5" ht="10" customHeight="1" x14ac:dyDescent="0.15">
      <c r="A207" s="7" t="s">
        <v>9332</v>
      </c>
      <c r="B207" s="7" t="s">
        <v>9028</v>
      </c>
      <c r="C207" s="7" t="s">
        <v>5665</v>
      </c>
      <c r="D207" s="7" t="s">
        <v>9333</v>
      </c>
      <c r="E207" s="7" t="s">
        <v>9334</v>
      </c>
    </row>
    <row r="208" spans="1:5" ht="10" customHeight="1" x14ac:dyDescent="0.15">
      <c r="A208" s="7"/>
      <c r="B208" s="7"/>
      <c r="C208" s="7"/>
      <c r="D208" s="7"/>
      <c r="E208" s="7"/>
    </row>
    <row r="209" spans="1:5" ht="10" customHeight="1" x14ac:dyDescent="0.15">
      <c r="A209" s="7" t="s">
        <v>2627</v>
      </c>
      <c r="B209" s="7" t="s">
        <v>9028</v>
      </c>
      <c r="C209" s="7" t="s">
        <v>6595</v>
      </c>
      <c r="D209" s="7" t="s">
        <v>9335</v>
      </c>
      <c r="E209" s="7" t="s">
        <v>9336</v>
      </c>
    </row>
    <row r="210" spans="1:5" ht="10" customHeight="1" x14ac:dyDescent="0.15">
      <c r="A210" s="7" t="s">
        <v>2627</v>
      </c>
      <c r="B210" s="7" t="s">
        <v>9028</v>
      </c>
      <c r="C210" s="7" t="s">
        <v>8650</v>
      </c>
      <c r="D210" s="7" t="s">
        <v>9337</v>
      </c>
      <c r="E210" s="7" t="s">
        <v>9338</v>
      </c>
    </row>
    <row r="211" spans="1:5" ht="10" customHeight="1" x14ac:dyDescent="0.15">
      <c r="A211" s="5"/>
      <c r="B211" s="5"/>
      <c r="C211" s="5"/>
      <c r="D211" s="5"/>
      <c r="E211" s="5"/>
    </row>
    <row r="213" spans="1:5" ht="10" customHeight="1" x14ac:dyDescent="0.15">
      <c r="A213" s="18" t="s">
        <v>9339</v>
      </c>
      <c r="B213" s="18"/>
      <c r="C213" s="18"/>
      <c r="D213" s="93"/>
      <c r="E213" s="93"/>
    </row>
    <row r="215" spans="1:5" ht="10" customHeight="1" x14ac:dyDescent="0.15">
      <c r="A215" s="95" t="s">
        <v>9340</v>
      </c>
      <c r="B215" s="95" t="s">
        <v>9341</v>
      </c>
      <c r="C215" s="95" t="s">
        <v>9342</v>
      </c>
      <c r="D215" s="96" t="s">
        <v>9343</v>
      </c>
      <c r="E215" s="96" t="s">
        <v>9344</v>
      </c>
    </row>
    <row r="216" spans="1:5" ht="10" customHeight="1" x14ac:dyDescent="0.15">
      <c r="A216" s="95"/>
      <c r="B216" s="95"/>
      <c r="C216" s="95"/>
      <c r="D216" s="95"/>
      <c r="E216" s="95"/>
    </row>
    <row r="217" spans="1:5" ht="10" customHeight="1" x14ac:dyDescent="0.15">
      <c r="A217" s="95" t="s">
        <v>9340</v>
      </c>
      <c r="B217" s="95" t="s">
        <v>9345</v>
      </c>
      <c r="C217" s="95" t="s">
        <v>9346</v>
      </c>
      <c r="D217" s="96" t="s">
        <v>9347</v>
      </c>
      <c r="E217" s="96" t="s">
        <v>9348</v>
      </c>
    </row>
    <row r="218" spans="1:5" ht="10" customHeight="1" x14ac:dyDescent="0.15">
      <c r="A218" s="95"/>
      <c r="B218" s="95"/>
      <c r="C218" s="95"/>
      <c r="D218" s="95"/>
      <c r="E218" s="95"/>
    </row>
    <row r="219" spans="1:5" ht="10" customHeight="1" x14ac:dyDescent="0.15">
      <c r="A219" s="95" t="s">
        <v>9340</v>
      </c>
      <c r="B219" s="95" t="s">
        <v>8997</v>
      </c>
      <c r="C219" s="95" t="s">
        <v>9349</v>
      </c>
      <c r="D219" s="96" t="s">
        <v>9350</v>
      </c>
      <c r="E219" s="96" t="s">
        <v>9351</v>
      </c>
    </row>
    <row r="220" spans="1:5" ht="10" customHeight="1" x14ac:dyDescent="0.15">
      <c r="A220" s="95"/>
      <c r="B220" s="95"/>
      <c r="C220" s="95"/>
      <c r="D220" s="95"/>
      <c r="E220" s="95"/>
    </row>
    <row r="221" spans="1:5" ht="10" customHeight="1" x14ac:dyDescent="0.15">
      <c r="A221" s="95" t="s">
        <v>9340</v>
      </c>
      <c r="B221" s="95" t="s">
        <v>9352</v>
      </c>
      <c r="C221" s="95" t="s">
        <v>9353</v>
      </c>
      <c r="D221" s="96" t="s">
        <v>9354</v>
      </c>
      <c r="E221" s="96" t="s">
        <v>9355</v>
      </c>
    </row>
    <row r="222" spans="1:5" ht="10" customHeight="1" x14ac:dyDescent="0.15">
      <c r="A222" s="95"/>
      <c r="B222" s="95"/>
      <c r="C222" s="95"/>
      <c r="D222" s="95"/>
      <c r="E222" s="95"/>
    </row>
    <row r="223" spans="1:5" ht="10" customHeight="1" x14ac:dyDescent="0.15">
      <c r="A223" s="95" t="s">
        <v>9340</v>
      </c>
      <c r="B223" s="95" t="s">
        <v>9356</v>
      </c>
      <c r="C223" s="95" t="s">
        <v>9357</v>
      </c>
      <c r="D223" s="96" t="s">
        <v>9358</v>
      </c>
      <c r="E223" s="96" t="s">
        <v>9359</v>
      </c>
    </row>
    <row r="224" spans="1:5" ht="10" customHeight="1" x14ac:dyDescent="0.15">
      <c r="A224" s="95"/>
      <c r="B224" s="95"/>
      <c r="C224" s="95"/>
      <c r="D224" s="95"/>
      <c r="E224" s="95"/>
    </row>
    <row r="225" spans="1:5" ht="10" customHeight="1" x14ac:dyDescent="0.15">
      <c r="A225" s="95" t="s">
        <v>9340</v>
      </c>
      <c r="B225" s="95" t="s">
        <v>9360</v>
      </c>
      <c r="C225" s="95" t="s">
        <v>9361</v>
      </c>
      <c r="D225" s="96" t="s">
        <v>9362</v>
      </c>
      <c r="E225" s="96" t="s">
        <v>9363</v>
      </c>
    </row>
    <row r="226" spans="1:5" ht="10" customHeight="1" x14ac:dyDescent="0.15">
      <c r="A226" s="95"/>
      <c r="B226" s="95"/>
      <c r="C226" s="95"/>
      <c r="D226" s="95"/>
      <c r="E226" s="95"/>
    </row>
    <row r="227" spans="1:5" ht="10" customHeight="1" x14ac:dyDescent="0.15">
      <c r="A227" s="95" t="s">
        <v>9340</v>
      </c>
      <c r="B227" s="95" t="s">
        <v>9364</v>
      </c>
      <c r="C227" s="95" t="s">
        <v>9365</v>
      </c>
      <c r="D227" s="96" t="s">
        <v>9366</v>
      </c>
      <c r="E227" s="96" t="s">
        <v>9367</v>
      </c>
    </row>
    <row r="228" spans="1:5" ht="10" customHeight="1" x14ac:dyDescent="0.15">
      <c r="A228" s="95"/>
      <c r="B228" s="95"/>
      <c r="C228" s="95"/>
      <c r="D228" s="95"/>
      <c r="E228" s="95"/>
    </row>
    <row r="229" spans="1:5" ht="10" customHeight="1" x14ac:dyDescent="0.15">
      <c r="A229" s="95" t="s">
        <v>9340</v>
      </c>
      <c r="B229" s="95" t="s">
        <v>9368</v>
      </c>
      <c r="C229" s="95" t="s">
        <v>9369</v>
      </c>
      <c r="D229" s="96" t="s">
        <v>9370</v>
      </c>
      <c r="E229" s="96" t="s">
        <v>9371</v>
      </c>
    </row>
    <row r="230" spans="1:5" ht="10" customHeight="1" x14ac:dyDescent="0.15">
      <c r="A230" s="95"/>
      <c r="B230" s="95"/>
      <c r="C230" s="95"/>
      <c r="D230" s="95"/>
      <c r="E230" s="95"/>
    </row>
    <row r="231" spans="1:5" ht="10" customHeight="1" x14ac:dyDescent="0.15">
      <c r="A231" s="95" t="s">
        <v>9340</v>
      </c>
      <c r="B231" s="95" t="s">
        <v>9372</v>
      </c>
      <c r="C231" s="95" t="s">
        <v>9373</v>
      </c>
      <c r="D231" s="96" t="s">
        <v>9374</v>
      </c>
      <c r="E231" s="96" t="s">
        <v>9375</v>
      </c>
    </row>
    <row r="232" spans="1:5" ht="10" customHeight="1" x14ac:dyDescent="0.15">
      <c r="A232" s="95"/>
      <c r="B232" s="95"/>
      <c r="C232" s="95"/>
      <c r="D232" s="95"/>
      <c r="E232" s="95"/>
    </row>
    <row r="233" spans="1:5" ht="10" customHeight="1" x14ac:dyDescent="0.15">
      <c r="A233" s="95" t="s">
        <v>9340</v>
      </c>
      <c r="B233" s="95" t="s">
        <v>9376</v>
      </c>
      <c r="C233" s="95" t="s">
        <v>9377</v>
      </c>
      <c r="D233" s="96" t="s">
        <v>9378</v>
      </c>
      <c r="E233" s="96" t="s">
        <v>9379</v>
      </c>
    </row>
    <row r="235" spans="1:5" ht="10" customHeight="1" x14ac:dyDescent="0.15">
      <c r="A235" s="18" t="s">
        <v>9380</v>
      </c>
      <c r="B235" s="18"/>
      <c r="C235" s="18"/>
      <c r="D235" s="93"/>
      <c r="E235" s="93"/>
    </row>
    <row r="237" spans="1:5" ht="10" customHeight="1" x14ac:dyDescent="0.15">
      <c r="A237" s="95" t="s">
        <v>9381</v>
      </c>
      <c r="B237" s="95" t="s">
        <v>9382</v>
      </c>
      <c r="C237" s="95" t="s">
        <v>9383</v>
      </c>
      <c r="D237" s="96" t="s">
        <v>9384</v>
      </c>
      <c r="E237" s="96" t="s">
        <v>9385</v>
      </c>
    </row>
    <row r="238" spans="1:5" ht="10" customHeight="1" x14ac:dyDescent="0.15">
      <c r="A238" s="95"/>
      <c r="B238" s="95"/>
      <c r="C238" s="95"/>
      <c r="D238" s="95"/>
      <c r="E238" s="95"/>
    </row>
    <row r="239" spans="1:5" ht="10" customHeight="1" x14ac:dyDescent="0.15">
      <c r="A239" s="95" t="s">
        <v>9381</v>
      </c>
      <c r="B239" s="95" t="s">
        <v>9386</v>
      </c>
      <c r="C239" s="95" t="s">
        <v>9387</v>
      </c>
      <c r="D239" s="96" t="s">
        <v>9388</v>
      </c>
      <c r="E239" s="96" t="s">
        <v>9389</v>
      </c>
    </row>
    <row r="240" spans="1:5" ht="10" customHeight="1" x14ac:dyDescent="0.15">
      <c r="A240" s="95"/>
      <c r="B240" s="95"/>
      <c r="C240" s="95"/>
      <c r="D240" s="95"/>
      <c r="E240" s="95"/>
    </row>
    <row r="241" spans="1:5" ht="10" customHeight="1" x14ac:dyDescent="0.15">
      <c r="A241" s="95" t="s">
        <v>9381</v>
      </c>
      <c r="B241" s="95" t="s">
        <v>9390</v>
      </c>
      <c r="C241" s="95" t="s">
        <v>9391</v>
      </c>
      <c r="D241" s="96" t="s">
        <v>9392</v>
      </c>
      <c r="E241" s="96" t="s">
        <v>9393</v>
      </c>
    </row>
    <row r="242" spans="1:5" ht="10" customHeight="1" x14ac:dyDescent="0.15">
      <c r="A242" s="95"/>
      <c r="B242" s="95"/>
      <c r="C242" s="95"/>
      <c r="D242" s="95"/>
      <c r="E242" s="95"/>
    </row>
    <row r="243" spans="1:5" ht="10" customHeight="1" x14ac:dyDescent="0.15">
      <c r="A243" s="95" t="s">
        <v>9381</v>
      </c>
      <c r="B243" s="95" t="s">
        <v>9394</v>
      </c>
      <c r="C243" s="95" t="s">
        <v>9395</v>
      </c>
      <c r="D243" s="96" t="s">
        <v>9396</v>
      </c>
      <c r="E243" s="96" t="s">
        <v>9397</v>
      </c>
    </row>
    <row r="244" spans="1:5" ht="10" customHeight="1" x14ac:dyDescent="0.15">
      <c r="A244" s="95"/>
      <c r="B244" s="95"/>
      <c r="C244" s="95"/>
      <c r="D244" s="95"/>
      <c r="E244" s="95"/>
    </row>
    <row r="245" spans="1:5" ht="10" customHeight="1" x14ac:dyDescent="0.15">
      <c r="A245" s="95" t="s">
        <v>9381</v>
      </c>
      <c r="B245" s="95" t="s">
        <v>9398</v>
      </c>
      <c r="C245" s="95" t="s">
        <v>9399</v>
      </c>
      <c r="D245" s="96" t="s">
        <v>9400</v>
      </c>
      <c r="E245" s="96" t="s">
        <v>9401</v>
      </c>
    </row>
    <row r="246" spans="1:5" ht="10" customHeight="1" x14ac:dyDescent="0.15">
      <c r="A246" s="95"/>
      <c r="B246" s="95"/>
      <c r="C246" s="95"/>
      <c r="D246" s="95"/>
      <c r="E246" s="95"/>
    </row>
    <row r="247" spans="1:5" ht="10" customHeight="1" x14ac:dyDescent="0.15">
      <c r="A247" s="95" t="s">
        <v>9381</v>
      </c>
      <c r="B247" s="95" t="s">
        <v>9402</v>
      </c>
      <c r="C247" s="95" t="s">
        <v>9403</v>
      </c>
      <c r="D247" s="96" t="s">
        <v>9404</v>
      </c>
      <c r="E247" s="96" t="s">
        <v>9405</v>
      </c>
    </row>
    <row r="248" spans="1:5" ht="10" customHeight="1" x14ac:dyDescent="0.15">
      <c r="A248" s="95"/>
      <c r="B248" s="95"/>
      <c r="C248" s="95"/>
      <c r="D248" s="95"/>
      <c r="E248" s="95"/>
    </row>
    <row r="249" spans="1:5" ht="10" customHeight="1" x14ac:dyDescent="0.15">
      <c r="A249" s="95" t="s">
        <v>9381</v>
      </c>
      <c r="B249" s="95" t="s">
        <v>9406</v>
      </c>
      <c r="C249" s="95" t="s">
        <v>9407</v>
      </c>
      <c r="D249" s="96" t="s">
        <v>9408</v>
      </c>
      <c r="E249" s="96" t="s">
        <v>9409</v>
      </c>
    </row>
    <row r="252" spans="1:5" ht="10" customHeight="1" x14ac:dyDescent="0.15">
      <c r="A252" s="18" t="s">
        <v>9410</v>
      </c>
      <c r="B252" s="18"/>
      <c r="C252" s="18"/>
      <c r="D252" s="93"/>
      <c r="E252" s="93"/>
    </row>
    <row r="254" spans="1:5" ht="10" customHeight="1" x14ac:dyDescent="0.15">
      <c r="A254" s="95" t="s">
        <v>9411</v>
      </c>
      <c r="B254" s="95" t="s">
        <v>9412</v>
      </c>
      <c r="C254" s="95" t="s">
        <v>9413</v>
      </c>
      <c r="D254" s="96" t="s">
        <v>9414</v>
      </c>
      <c r="E254" s="96" t="s">
        <v>9415</v>
      </c>
    </row>
    <row r="255" spans="1:5" ht="10" customHeight="1" x14ac:dyDescent="0.15">
      <c r="A255" s="95"/>
      <c r="B255" s="95"/>
      <c r="C255" s="95"/>
      <c r="D255" s="95"/>
      <c r="E255" s="95"/>
    </row>
    <row r="256" spans="1:5" ht="10" customHeight="1" x14ac:dyDescent="0.15">
      <c r="A256" s="95" t="s">
        <v>9411</v>
      </c>
      <c r="B256" s="95" t="s">
        <v>9416</v>
      </c>
      <c r="C256" s="95" t="s">
        <v>9417</v>
      </c>
      <c r="D256" s="96" t="s">
        <v>9418</v>
      </c>
      <c r="E256" s="96" t="s">
        <v>9419</v>
      </c>
    </row>
    <row r="257" spans="1:5" ht="10" customHeight="1" x14ac:dyDescent="0.15">
      <c r="A257" s="95"/>
      <c r="B257" s="95"/>
      <c r="C257" s="95"/>
      <c r="D257" s="95"/>
      <c r="E257" s="95"/>
    </row>
    <row r="258" spans="1:5" ht="10" customHeight="1" x14ac:dyDescent="0.15">
      <c r="A258" s="95" t="s">
        <v>9411</v>
      </c>
      <c r="B258" s="95" t="s">
        <v>9420</v>
      </c>
      <c r="C258" s="95" t="s">
        <v>9421</v>
      </c>
      <c r="D258" s="96" t="s">
        <v>9422</v>
      </c>
      <c r="E258" s="96" t="s">
        <v>9423</v>
      </c>
    </row>
    <row r="259" spans="1:5" ht="10" customHeight="1" x14ac:dyDescent="0.15">
      <c r="A259" s="95"/>
      <c r="B259" s="95"/>
      <c r="C259" s="95"/>
      <c r="D259" s="95"/>
      <c r="E259" s="95"/>
    </row>
    <row r="260" spans="1:5" ht="10" customHeight="1" x14ac:dyDescent="0.15">
      <c r="A260" s="95" t="s">
        <v>9411</v>
      </c>
      <c r="B260" s="95" t="s">
        <v>9424</v>
      </c>
      <c r="C260" s="95" t="s">
        <v>9425</v>
      </c>
      <c r="D260" s="96" t="s">
        <v>9426</v>
      </c>
      <c r="E260" s="96" t="s">
        <v>9427</v>
      </c>
    </row>
    <row r="261" spans="1:5" ht="10" customHeight="1" x14ac:dyDescent="0.15">
      <c r="A261" s="95"/>
      <c r="B261" s="95"/>
      <c r="C261" s="95"/>
      <c r="D261" s="95"/>
      <c r="E261" s="95"/>
    </row>
    <row r="262" spans="1:5" ht="10" customHeight="1" x14ac:dyDescent="0.15">
      <c r="A262" s="95" t="s">
        <v>9411</v>
      </c>
      <c r="B262" s="95" t="s">
        <v>9428</v>
      </c>
      <c r="C262" s="95" t="s">
        <v>9429</v>
      </c>
      <c r="D262" s="96" t="s">
        <v>9430</v>
      </c>
      <c r="E262" s="96" t="s">
        <v>9431</v>
      </c>
    </row>
    <row r="263" spans="1:5" ht="10" customHeight="1" x14ac:dyDescent="0.15">
      <c r="A263" s="95"/>
      <c r="B263" s="95"/>
      <c r="C263" s="95"/>
      <c r="D263" s="95"/>
      <c r="E263" s="95"/>
    </row>
    <row r="264" spans="1:5" ht="10" customHeight="1" x14ac:dyDescent="0.15">
      <c r="A264" s="95" t="s">
        <v>9411</v>
      </c>
      <c r="B264" s="95" t="s">
        <v>9432</v>
      </c>
      <c r="C264" s="95" t="s">
        <v>9433</v>
      </c>
      <c r="D264" s="96" t="s">
        <v>9434</v>
      </c>
      <c r="E264" s="96" t="s">
        <v>9435</v>
      </c>
    </row>
    <row r="265" spans="1:5" ht="10" customHeight="1" x14ac:dyDescent="0.15">
      <c r="A265" s="95"/>
      <c r="B265" s="95"/>
      <c r="C265" s="95"/>
      <c r="D265" s="95"/>
      <c r="E265" s="95"/>
    </row>
    <row r="266" spans="1:5" ht="10" customHeight="1" x14ac:dyDescent="0.15">
      <c r="A266" s="95" t="s">
        <v>9411</v>
      </c>
      <c r="B266" s="95" t="s">
        <v>9436</v>
      </c>
      <c r="C266" s="95" t="s">
        <v>9437</v>
      </c>
      <c r="D266" s="96" t="s">
        <v>9438</v>
      </c>
      <c r="E266" s="96" t="s">
        <v>9379</v>
      </c>
    </row>
    <row r="267" spans="1:5" ht="10" customHeight="1" x14ac:dyDescent="0.15">
      <c r="A267" s="95"/>
      <c r="B267" s="95"/>
      <c r="C267" s="95"/>
      <c r="D267" s="95"/>
      <c r="E267" s="95"/>
    </row>
    <row r="268" spans="1:5" ht="10" customHeight="1" x14ac:dyDescent="0.15">
      <c r="A268" s="95" t="s">
        <v>9411</v>
      </c>
      <c r="B268" s="95" t="s">
        <v>9439</v>
      </c>
      <c r="C268" s="95" t="s">
        <v>9440</v>
      </c>
      <c r="D268" s="96" t="s">
        <v>9441</v>
      </c>
      <c r="E268" s="96" t="s">
        <v>9442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J Book Items Cons.</vt:lpstr>
      <vt:lpstr>TAM</vt:lpstr>
      <vt:lpstr>SAM</vt:lpstr>
      <vt:lpstr>Competitive Dynamics</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Brendan Toole</cp:lastModifiedBy>
  <cp:revision>0</cp:revision>
  <dcterms:created xsi:type="dcterms:W3CDTF">2026-04-08T14:17:30Z</dcterms:created>
  <dcterms:modified xsi:type="dcterms:W3CDTF">2026-04-11T03:32:31Z</dcterms:modified>
  <dc:language>en-US</dc:language>
</cp:coreProperties>
</file>